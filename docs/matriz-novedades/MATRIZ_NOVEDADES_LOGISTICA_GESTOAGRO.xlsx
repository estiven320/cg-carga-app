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GUÍA" sheetId="1" state="visible" r:id="rId1"/>
    <sheet name="DASHBOARD" sheetId="2" state="visible" r:id="rId2"/>
    <sheet name="NOVEDADES" sheetId="3" state="visible" r:id="rId3"/>
    <sheet name="DESPACHOS" sheetId="4" state="visible" r:id="rId4"/>
    <sheet name="LISTAS" sheetId="5" state="visible" r:id="rId5"/>
  </sheets>
  <definedNames>
    <definedName name="TIPOS_NOVEDAD">OFFSET(LISTAS!$A$3,0,0,MAX(1,COUNTA(LISTAS!$A$3:$A$42)),1)</definedName>
    <definedName name="CAUSAS_RAIZ">OFFSET(LISTAS!$E$3,0,0,MAX(1,COUNTA(LISTAS!$E$3:$E$42)),1)</definedName>
    <definedName name="ESTADOS_NOV">OFFSET(LISTAS!$H$3,0,0,MAX(1,COUNTA(LISTAS!$H$3:$H$42)),1)</definedName>
    <definedName name="TRANSPORTADORAS">OFFSET(LISTAS!$K$3,0,0,MAX(1,COUNTA(LISTAS!$K$3:$K$42)),1)</definedName>
    <definedName name="RESPONSABLES">OFFSET(LISTAS!$M$3,0,0,MAX(1,COUNTA(LISTAS!$M$3:$M$42)),1)</definedName>
    <definedName name="_xlnm._FilterDatabase" localSheetId="2" hidden="1">'NOVEDADES'!$A$3:$AB$2003</definedName>
    <definedName name="_xlnm._FilterDatabase" localSheetId="3" hidden="1">'DESPACHOS'!$A$2:$O$3002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dd/mm/yyyy"/>
    <numFmt numFmtId="166" formatCode="&quot;$&quot;#,##0"/>
    <numFmt numFmtId="167" formatCode="0.0%"/>
    <numFmt numFmtId="168" formatCode="yyyy-mm-dd"/>
    <numFmt numFmtId="169" formatCode="0.00000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9"/>
    </font>
    <font>
      <name val="Arial"/>
      <sz val="9"/>
    </font>
    <font>
      <name val="Arial"/>
      <i val="1"/>
      <color rgb="FF595959"/>
      <sz val="8"/>
    </font>
    <font>
      <name val="Arial"/>
      <b val="1"/>
      <color rgb="FF1F4E2E"/>
      <sz val="16"/>
    </font>
    <font>
      <name val="Arial"/>
      <b val="1"/>
      <color rgb="FFFFFFFF"/>
      <sz val="10"/>
    </font>
    <font>
      <name val="Arial"/>
      <b val="1"/>
      <sz val="9"/>
    </font>
    <font>
      <name val="Arial"/>
      <b val="1"/>
      <color rgb="FF1F4E2E"/>
      <sz val="10"/>
    </font>
    <font>
      <name val="Arial"/>
      <b val="1"/>
      <color rgb="FFFFFFFF"/>
      <sz val="8"/>
    </font>
    <font>
      <name val="Arial"/>
      <b val="1"/>
      <color rgb="FF1F4E2E"/>
      <sz val="18"/>
    </font>
    <font>
      <name val="Arial"/>
      <b val="1"/>
      <color rgb="FF1F4E2E"/>
      <sz val="11"/>
    </font>
  </fonts>
  <fills count="8">
    <fill>
      <patternFill/>
    </fill>
    <fill>
      <patternFill patternType="gray125"/>
    </fill>
    <fill>
      <patternFill patternType="solid">
        <fgColor rgb="FF1F4E2E"/>
      </patternFill>
    </fill>
    <fill>
      <patternFill patternType="solid">
        <fgColor rgb="FFBF8F00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165" fontId="8" fillId="4" borderId="1" applyAlignment="1" applyProtection="1" pivotButton="0" quotePrefix="0" xfId="0">
      <alignment horizontal="center" vertical="center" wrapText="1"/>
      <protection locked="0" hidden="0"/>
    </xf>
    <xf numFmtId="0" fontId="9" fillId="2" borderId="0" applyAlignment="1" pivotButton="0" quotePrefix="0" xfId="0">
      <alignment horizontal="center" vertical="center" wrapText="1"/>
    </xf>
    <xf numFmtId="3" fontId="10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167" fontId="10" fillId="6" borderId="1" applyAlignment="1" pivotButton="0" quotePrefix="0" xfId="0">
      <alignment horizontal="center" vertical="center" wrapText="1"/>
    </xf>
    <xf numFmtId="166" fontId="10" fillId="6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11" fillId="4" borderId="1" applyAlignment="1" applyProtection="1" pivotButton="0" quotePrefix="0" xfId="0">
      <alignment horizontal="center" vertical="center" wrapText="1"/>
      <protection locked="0" hidden="0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 wrapText="1"/>
    </xf>
    <xf numFmtId="167" fontId="3" fillId="6" borderId="1" applyAlignment="1" pivotButton="0" quotePrefix="0" xfId="0">
      <alignment horizontal="center" vertical="center" wrapText="1"/>
    </xf>
    <xf numFmtId="166" fontId="3" fillId="6" borderId="1" applyAlignment="1" pivotButton="0" quotePrefix="0" xfId="0">
      <alignment horizontal="center" vertical="center" wrapText="1"/>
    </xf>
    <xf numFmtId="169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6" fontId="7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center" vertical="center" wrapText="1"/>
    </xf>
    <xf numFmtId="167" fontId="7" fillId="7" borderId="1" applyAlignment="1" pivotButton="0" quotePrefix="0" xfId="0">
      <alignment horizontal="center" vertical="center" wrapText="1"/>
    </xf>
    <xf numFmtId="166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5" fontId="3" fillId="4" borderId="1" applyAlignment="1" applyProtection="1" pivotButton="0" quotePrefix="0" xfId="0">
      <alignment horizontal="center" vertical="center" wrapText="1"/>
      <protection locked="0" hidden="0"/>
    </xf>
    <xf numFmtId="0" fontId="3" fillId="4" borderId="1" applyProtection="1" pivotButton="0" quotePrefix="0" xfId="0">
      <protection locked="0" hidden="0"/>
    </xf>
    <xf numFmtId="0" fontId="3" fillId="6" borderId="1" pivotButton="0" quotePrefix="0" xfId="0"/>
    <xf numFmtId="165" fontId="3" fillId="6" borderId="1" applyAlignment="1" pivotButton="0" quotePrefix="0" xfId="0">
      <alignment horizontal="center" vertical="center" wrapText="1"/>
    </xf>
    <xf numFmtId="3" fontId="3" fillId="4" borderId="1" applyAlignment="1" applyProtection="1" pivotButton="0" quotePrefix="0" xfId="0">
      <alignment horizontal="center" vertical="center" wrapText="1"/>
      <protection locked="0" hidden="0"/>
    </xf>
    <xf numFmtId="166" fontId="3" fillId="4" borderId="1" applyProtection="1" pivotButton="0" quotePrefix="0" xfId="0">
      <protection locked="0" hidden="0"/>
    </xf>
    <xf numFmtId="164" fontId="3" fillId="4" borderId="1" applyProtection="1" pivotButton="0" quotePrefix="0" xfId="0">
      <protection locked="0" hidden="0"/>
    </xf>
    <xf numFmtId="165" fontId="3" fillId="4" borderId="1" applyProtection="1" pivotButton="0" quotePrefix="0" xfId="0">
      <protection locked="0" hidden="0"/>
    </xf>
    <xf numFmtId="3" fontId="3" fillId="4" borderId="1" applyProtection="1" pivotButton="0" quotePrefix="0" xfId="0">
      <protection locked="0" hidden="0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2">
    <dxf>
      <font>
        <name val="Arial"/>
        <b val="1"/>
        <color rgb="FF9C0006"/>
        <sz val="18"/>
      </font>
      <fill>
        <patternFill patternType="solid">
          <fgColor rgb="FFFFC7CE"/>
        </patternFill>
      </fill>
    </dxf>
    <dxf>
      <font>
        <name val="Arial"/>
        <b val="1"/>
        <color rgb="FF006100"/>
        <sz val="18"/>
      </font>
      <fill>
        <patternFill patternType="solid">
          <fgColor rgb="FFC6EFCE"/>
        </patternFill>
      </fill>
    </dxf>
    <dxf>
      <font>
        <name val="Arial"/>
        <b val="1"/>
        <color rgb="FF9C6500"/>
        <sz val="18"/>
      </font>
      <fill>
        <patternFill patternType="solid">
          <fgColor rgb="FFFFEB9C"/>
        </patternFill>
      </fill>
    </dxf>
    <dxf>
      <font>
        <name val="Arial"/>
        <b val="1"/>
        <color rgb="FF9C0006"/>
        <sz val="9"/>
      </font>
      <fill>
        <patternFill patternType="solid">
          <fgColor rgb="FFFFC7CE"/>
        </patternFill>
      </fill>
    </dxf>
    <dxf>
      <font>
        <name val="Arial"/>
        <b val="1"/>
        <color rgb="FF9C6500"/>
        <sz val="9"/>
      </font>
      <fill>
        <patternFill patternType="solid">
          <fgColor rgb="FFFFEB9C"/>
        </patternFill>
      </fill>
    </dxf>
    <dxf>
      <font>
        <name val="Arial"/>
        <b val="1"/>
        <color rgb="FF006100"/>
        <sz val="9"/>
      </font>
      <fill>
        <patternFill patternType="solid">
          <fgColor rgb="FFC6EFCE"/>
        </patternFill>
      </fill>
    </dxf>
    <dxf>
      <font>
        <name val="Arial"/>
        <b val="1"/>
        <color rgb="FF1F4E79"/>
        <sz val="9"/>
      </font>
      <fill>
        <patternFill patternType="solid">
          <fgColor rgb="FFDDEBF7"/>
        </patternFill>
      </fill>
    </dxf>
    <dxf>
      <font>
        <name val="Arial"/>
        <b val="1"/>
        <color rgb="FF833C00"/>
        <sz val="9"/>
      </font>
      <fill>
        <patternFill patternType="solid">
          <fgColor rgb="FFF8CBAD"/>
        </patternFill>
      </fill>
    </dxf>
    <dxf>
      <font>
        <name val="Arial"/>
        <b val="1"/>
        <color rgb="FF595959"/>
        <sz val="9"/>
      </font>
      <fill>
        <patternFill patternType="solid">
          <fgColor rgb="FFD9D9D9"/>
        </patternFill>
      </fill>
    </dxf>
    <dxf>
      <font>
        <name val="Arial"/>
        <color rgb="FF006100"/>
        <sz val="9"/>
      </font>
    </dxf>
    <dxf>
      <font>
        <name val="Arial"/>
        <b val="1"/>
        <color rgb="FF9C0006"/>
        <sz val="9"/>
      </font>
    </dxf>
    <dxf>
      <font>
        <name val="Arial"/>
        <b val="1"/>
        <color rgb="FF833C00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2E"/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0" customWidth="1" min="2" max="2"/>
  </cols>
  <sheetData>
    <row r="2" ht="30" customHeight="1">
      <c r="B2" s="1" t="inlineStr">
        <is>
          <t>GUÍA DE USO — MATRIZ DE NOVEDADES DE LOGÍSTICA Y TRANSPORTE · GESTOAGRO S.A.S.</t>
        </is>
      </c>
    </row>
    <row r="3" ht="20" customHeight="1">
      <c r="B3" s="2" t="inlineStr">
        <is>
          <t>LA REGLA DE ORO — COLORES</t>
        </is>
      </c>
    </row>
    <row r="4" ht="32" customHeight="1">
      <c r="B4" s="3" t="inlineStr">
        <is>
          <t>•  Celdas AMARILLAS = usted las digita.        •  Celdas GRISES = se calculan solas, NO las toque.        •  Encabezado DORADO = columna de captura.        •  Encabezado AZUL = columna calculada.</t>
        </is>
      </c>
    </row>
    <row r="5" ht="20" customHeight="1">
      <c r="B5" s="2" t="inlineStr">
        <is>
          <t>FLUJO DIARIO — PASO A PASO</t>
        </is>
      </c>
    </row>
    <row r="6" ht="32" customHeight="1">
      <c r="B6" s="3" t="inlineStr">
        <is>
          <t>1)  DESPACHOS: pegue el export de Access desde la fila 3 (columnas A a J, mismo orden). Luego complete a mano Destino/Ciudad (K), Cajas enviadas (L) y Valor despachado (M).</t>
        </is>
      </c>
    </row>
    <row r="7" ht="32" customHeight="1">
      <c r="B7" s="3" t="inlineStr">
        <is>
          <t>2)  NOVEDADES: para registrar un evento digite SOLO la Fecha novedad (B) y el # Pedido / Remisión (C). Cliente, destino, ruta, transportadora, transportador, placa y fecha de despacho se traen solos desde DESPACHOS.</t>
        </is>
      </c>
    </row>
    <row r="8" ht="32" customHeight="1">
      <c r="B8" s="3" t="inlineStr">
        <is>
          <t>3)  Elija de las listas: Tipo de novedad (L), Causa raíz (M), Responsable (O) y Estado (T). El Área responsable, la Criticidad y la Fecha compromiso se calculan solas.</t>
        </is>
      </c>
    </row>
    <row r="9" ht="32" customHeight="1">
      <c r="B9" s="3" t="inlineStr">
        <is>
          <t>4)  Registre el impacto: Cajas afectadas (Q) y Valor afectado (R). El % del despacho sale solo.</t>
        </is>
      </c>
    </row>
    <row r="10" ht="32" customHeight="1">
      <c r="B10" s="3" t="inlineStr">
        <is>
          <t>5)  Al resolver el caso: cambie el Estado (T) a uno que cierre y escriba la Fecha cierre real (V). El semáforo pasa a CERRADA EN SLA o CERRADA FUERA DE SLA.</t>
        </is>
      </c>
    </row>
    <row r="11" ht="20" customHeight="1">
      <c r="B11" s="2" t="inlineStr">
        <is>
          <t>CÓMO LEER EL SEMÁFORO SLA (columna Y)</t>
        </is>
      </c>
    </row>
    <row r="12" ht="32" customHeight="1">
      <c r="B12" s="3" t="inlineStr">
        <is>
          <t>EN PLAZO = dentro de la fecha compromiso.   POR VENCER = vence hoy o mañana.   VENCIDA = ya pasó la fecha compromiso y sigue abierta.   CERRADA EN SLA = se resolvió a tiempo.   CERRADA FUERA DE SLA = se resolvió tarde.   SIN CLASIFICAR = falta el Tipo de novedad.</t>
        </is>
      </c>
    </row>
    <row r="13" ht="20" customHeight="1">
      <c r="B13" s="2" t="inlineStr">
        <is>
          <t>VERIFICACIÓN DE LA LLAVE (columna K)</t>
        </is>
      </c>
    </row>
    <row r="14" ht="32" customHeight="1">
      <c r="B14" s="3" t="inlineStr">
        <is>
          <t>OK = el pedido existe una sola vez en DESPACHOS.   NO EXISTE = el número está mal o el despacho no se ha pegado.   DUPLICADO = el pedido aparece más de una vez en DESPACHOS y el cruce puede traer el dato equivocado. Corrija antes de seguir.</t>
        </is>
      </c>
    </row>
    <row r="15" ht="20" customHeight="1">
      <c r="B15" s="2" t="inlineStr">
        <is>
          <t>CÓMO CAMBIAR LAS REGLAS DE NEGOCIO</t>
        </is>
      </c>
    </row>
    <row r="16" ht="32" customHeight="1">
      <c r="B16" s="3" t="inlineStr">
        <is>
          <t>Todo se controla desde LISTAS, sin tocar fórmulas: A/B/C = tipo de novedad con su criticidad y su SLA en días hábiles;  E/F = causa raíz con su área responsable;  H/I = estados y cuáles cierran el caso;  K = transportadoras;  M = responsables;  O = zonas cercanas. Agregue filas hacia abajo: las listas desplegables crecen solas.</t>
        </is>
      </c>
    </row>
    <row r="17" ht="20" customHeight="1">
      <c r="B17" s="2" t="inlineStr">
        <is>
          <t>DASHBOARD</t>
        </is>
      </c>
    </row>
    <row r="18" ht="32" customHeight="1">
      <c r="B18" s="3" t="inlineStr">
        <is>
          <t>Cambie las dos fechas amarillas del PERIODO y todo el tablero se recalcula: ratio de incidencia, top causas raíz, novedades por tipo, abiertas vs. cerradas por transportadora y pipeline por estado. La consulta rápida de la derecha trae la ficha completa de cualquier pedido.</t>
        </is>
      </c>
    </row>
    <row r="19" ht="20" customHeight="1">
      <c r="B19" s="2" t="inlineStr">
        <is>
          <t>PROTECCIÓN — PIN 2026</t>
        </is>
      </c>
    </row>
    <row r="20" ht="32" customHeight="1">
      <c r="B20" s="3" t="inlineStr">
        <is>
          <t>DESPACHOS, NOVEDADES y DASHBOARD están protegidas para que nadie borre una fórmula; solo las celdas amarillas se editan. Para cambiar algo protegido: Revisar → Desproteger hoja → 2026. LISTAS queda libre para que pueda ampliar los catálogos.</t>
        </is>
      </c>
    </row>
    <row r="21" ht="20" customHeight="1">
      <c r="B21" s="2" t="inlineStr">
        <is>
          <t>CAPACIDAD Y CIERRE</t>
        </is>
      </c>
    </row>
    <row r="22" ht="32" customHeight="1">
      <c r="B22" s="3" t="inlineStr">
        <is>
          <t>DESPACHOS admite 3.000 despachos y NOVEDADES 2.000 registros. Con su ciclo de ~1.000 pedidos cada 15 días, haga el cierre mensual: guarde una COPIA con el nombre del mes en una carpeta "Históricos", y en el archivo activo borre solo las celdas amarillas.</t>
        </is>
      </c>
    </row>
    <row r="23" ht="20" customHeight="1">
      <c r="B23" s="2" t="inlineStr">
        <is>
          <t>SI USA GOOGLE SHEETS</t>
        </is>
      </c>
    </row>
    <row r="24" ht="32" customHeight="1">
      <c r="B24" s="3" t="inlineStr">
        <is>
          <t>Las fórmulas funcionan igual salvo dos: BUSCARX no existe (use ÍNDICE+COINCIDIR, que es lo que trae este archivo) y los nombres definidos no aceptan DESPLAZAMIENTO. En Sheets apunte la validación de datos directamente al rango, por ejemplo LISTAS!A3:A42.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C1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F4E2E"/>
    <outlinePr summaryBelow="1" summaryRight="1"/>
    <pageSetUpPr/>
  </sheetPr>
  <dimension ref="B2:O8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3" customWidth="1" min="3" max="3"/>
    <col width="13" customWidth="1" min="4" max="4"/>
    <col width="15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6" customWidth="1" min="11" max="11"/>
    <col width="2" customWidth="1" min="12" max="12"/>
    <col width="2" customWidth="1" min="13" max="13"/>
    <col width="22" customWidth="1" min="14" max="14"/>
    <col width="20" customWidth="1" min="15" max="15"/>
    <col width="2" customWidth="1" min="16" max="16"/>
  </cols>
  <sheetData>
    <row r="2" ht="24" customHeight="1">
      <c r="B2" s="4" t="inlineStr">
        <is>
          <t>DASHBOARD DE NOVEDADES DE LOGÍSTICA Y TRANSPORTE — GESTOAGRO S.A.S.</t>
        </is>
      </c>
    </row>
    <row r="3">
      <c r="B3" s="5" t="inlineStr">
        <is>
          <t>Todos los indicadores respetan el PERIODO de abajo. Novedades se filtran por Fecha novedad; despachos por Fecha despacho.</t>
        </is>
      </c>
    </row>
    <row r="4" ht="20" customHeight="1">
      <c r="B4" s="6" t="inlineStr">
        <is>
          <t>📅 PERIODO A CONSULTAR</t>
        </is>
      </c>
      <c r="D4" s="7" t="inlineStr">
        <is>
          <t>Desde:</t>
        </is>
      </c>
      <c r="E4" s="8" t="n">
        <v>46023</v>
      </c>
      <c r="F4" s="7" t="inlineStr">
        <is>
          <t>Hasta:</t>
        </is>
      </c>
      <c r="G4" s="8" t="n">
        <v>46387</v>
      </c>
      <c r="H4" s="5" t="inlineStr">
        <is>
          <t>◄ Cambie las dos fechas AMARILLAS y todo el tablero se recalcula.</t>
        </is>
      </c>
    </row>
    <row r="6" ht="22" customHeight="1">
      <c r="B6" s="9" t="inlineStr">
        <is>
          <t>NOVEDADES DEL PERIODO</t>
        </is>
      </c>
      <c r="D6" s="9" t="inlineStr">
        <is>
          <t>PEDIDOS DESPACHADOS</t>
        </is>
      </c>
      <c r="F6" s="9" t="inlineStr">
        <is>
          <t>% RATIO DE INCIDENCIA</t>
        </is>
      </c>
      <c r="H6" s="9" t="inlineStr">
        <is>
          <t>NOVEDADES ABIERTAS</t>
        </is>
      </c>
      <c r="J6" s="9" t="inlineStr">
        <is>
          <t>NOVEDADES CERRADAS</t>
        </is>
      </c>
    </row>
    <row r="7" ht="30" customHeight="1">
      <c r="B7" s="10">
        <f>COUNTIFS(NOVEDADES!$B$4:$B$2003,"&gt;="&amp;$E$4,NOVEDADES!$B$4:$B$2003,"&lt;="&amp;$G$4)</f>
        <v/>
      </c>
      <c r="C7" s="11" t="n"/>
      <c r="D7" s="10">
        <f>COUNTIFS(DESPACHOS!$J$3:$J$3002,"&gt;="&amp;$E$4,DESPACHOS!$J$3:$J$3002,"&lt;="&amp;$G$4)</f>
        <v/>
      </c>
      <c r="E7" s="11" t="n"/>
      <c r="F7" s="12">
        <f>IFERROR(COUNTIFS(DESPACHOS!$J$3:$J$3002,"&gt;="&amp;$E$4,DESPACHOS!$J$3:$J$3002,"&lt;="&amp;$G$4,DESPACHOS!$O$3:$O$3002,"SÍ*")/COUNTIFS(DESPACHOS!$J$3:$J$3002,"&gt;="&amp;$E$4,DESPACHOS!$J$3:$J$3002,"&lt;="&amp;$G$4),0)</f>
        <v/>
      </c>
      <c r="G7" s="11" t="n"/>
      <c r="H7" s="10">
        <f>COUNTIFS(NOVEDADES!$Y$4:$Y$2003,"EN PLAZO",NOVEDADES!$B$4:$B$2003,"&gt;="&amp;$E$4,NOVEDADES!$B$4:$B$2003,"&lt;="&amp;$G$4)+COUNTIFS(NOVEDADES!$Y$4:$Y$2003,"POR VENCER",NOVEDADES!$B$4:$B$2003,"&gt;="&amp;$E$4,NOVEDADES!$B$4:$B$2003,"&lt;="&amp;$G$4)+COUNTIFS(NOVEDADES!$Y$4:$Y$2003,"VENCIDA",NOVEDADES!$B$4:$B$2003,"&gt;="&amp;$E$4,NOVEDADES!$B$4:$B$2003,"&lt;="&amp;$G$4)+COUNTIFS(NOVEDADES!$Y$4:$Y$2003,"SIN CLASIFICAR",NOVEDADES!$B$4:$B$2003,"&gt;="&amp;$E$4,NOVEDADES!$B$4:$B$2003,"&lt;="&amp;$G$4)</f>
        <v/>
      </c>
      <c r="I7" s="11" t="n"/>
      <c r="J7" s="10">
        <f>COUNTIFS(NOVEDADES!$Y$4:$Y$2003,"CERRADA*",NOVEDADES!$B$4:$B$2003,"&gt;="&amp;$E$4,NOVEDADES!$B$4:$B$2003,"&lt;="&amp;$G$4)</f>
        <v/>
      </c>
      <c r="K7" s="11" t="n"/>
    </row>
    <row r="9" ht="22" customHeight="1">
      <c r="B9" s="9" t="inlineStr">
        <is>
          <t>VALOR IMPACTADO</t>
        </is>
      </c>
      <c r="D9" s="9" t="inlineStr">
        <is>
          <t>CAJAS AFECTADAS</t>
        </is>
      </c>
      <c r="F9" s="9" t="inlineStr">
        <is>
          <t>DÍAS PROM. DE GESTIÓN</t>
        </is>
      </c>
      <c r="H9" s="9" t="inlineStr">
        <is>
          <t>VENCIDAS (SLA roto)</t>
        </is>
      </c>
      <c r="J9" s="9" t="inlineStr">
        <is>
          <t>% CUMPLIMIENTO SLA</t>
        </is>
      </c>
    </row>
    <row r="10" ht="30" customHeight="1">
      <c r="B10" s="13">
        <f>SUMIFS(NOVEDADES!$R$4:$R$2003,NOVEDADES!$B$4:$B$2003,"&gt;="&amp;$E$4,NOVEDADES!$B$4:$B$2003,"&lt;="&amp;$G$4)</f>
        <v/>
      </c>
      <c r="C10" s="11" t="n"/>
      <c r="D10" s="10">
        <f>SUMIFS(NOVEDADES!$Q$4:$Q$2003,NOVEDADES!$B$4:$B$2003,"&gt;="&amp;$E$4,NOVEDADES!$B$4:$B$2003,"&lt;="&amp;$G$4)</f>
        <v/>
      </c>
      <c r="E10" s="11" t="n"/>
      <c r="F10" s="14">
        <f>IFERROR(ROUND(AVERAGEIFS(NOVEDADES!$W$4:$W$2003,NOVEDADES!$B$4:$B$2003,"&gt;="&amp;$E$4,NOVEDADES!$B$4:$B$2003,"&lt;="&amp;$G$4),1),0)</f>
        <v/>
      </c>
      <c r="G10" s="11" t="n"/>
      <c r="H10" s="10">
        <f>COUNTIFS(NOVEDADES!$Y$4:$Y$2003,"VENCIDA",NOVEDADES!$B$4:$B$2003,"&gt;="&amp;$E$4,NOVEDADES!$B$4:$B$2003,"&lt;="&amp;$G$4)</f>
        <v/>
      </c>
      <c r="I10" s="11" t="n"/>
      <c r="J10" s="12">
        <f>IFERROR(COUNTIFS(NOVEDADES!$Y$4:$Y$2003,"CERRADA EN SLA",NOVEDADES!$B$4:$B$2003,"&gt;="&amp;$E$4,NOVEDADES!$B$4:$B$2003,"&lt;="&amp;$G$4)/COUNTIFS(NOVEDADES!$Y$4:$Y$2003,"CERRADA*",NOVEDADES!$B$4:$B$2003,"&gt;="&amp;$E$4,NOVEDADES!$B$4:$B$2003,"&lt;="&amp;$G$4),"—")</f>
        <v/>
      </c>
      <c r="K10" s="11" t="n"/>
    </row>
    <row r="12" ht="18" customHeight="1">
      <c r="B12" s="6" t="inlineStr">
        <is>
          <t>1. CAUSA RAÍZ — CONTEO, PARTICIPACIÓN E IMPACTO ECONÓMICO</t>
        </is>
      </c>
      <c r="N12" s="6" t="inlineStr">
        <is>
          <t>CONSULTA RÁPIDA DE PEDIDO</t>
        </is>
      </c>
    </row>
    <row r="13" ht="28" customHeight="1">
      <c r="B13" s="15" t="inlineStr">
        <is>
          <t>Causa raíz</t>
        </is>
      </c>
      <c r="C13" s="15" t="inlineStr">
        <is>
          <t># Novedades</t>
        </is>
      </c>
      <c r="D13" s="15" t="inlineStr">
        <is>
          <t>% Participación</t>
        </is>
      </c>
      <c r="E13" s="15" t="inlineStr">
        <is>
          <t>Valor impactado</t>
        </is>
      </c>
      <c r="F13" s="15" t="inlineStr">
        <is>
          <t>Orden (auxiliar)</t>
        </is>
      </c>
      <c r="N13" s="16" t="inlineStr">
        <is>
          <t>Digite # Pedido →</t>
        </is>
      </c>
      <c r="O13" s="17" t="n"/>
    </row>
    <row r="14">
      <c r="B14" s="18">
        <f>IF(LISTAS!$E3="","",LISTAS!$E3)</f>
        <v/>
      </c>
      <c r="C14" s="19">
        <f>IF($B14="","",COUNTIFS(NOVEDADES!$M$4:$M$2003,$B14,NOVEDADES!$B$4:$B$2003,"&gt;="&amp;$E$4,NOVEDADES!$B$4:$B$2003,"&lt;="&amp;$G$4))</f>
        <v/>
      </c>
      <c r="D14" s="20">
        <f>IF($B14="","",IFERROR($C14/$C$31,0))</f>
        <v/>
      </c>
      <c r="E14" s="21">
        <f>IF($B14="","",SUMIFS(NOVEDADES!$R$4:$R$2003,NOVEDADES!$M$4:$M$2003,$B14,NOVEDADES!$B$4:$B$2003,"&gt;="&amp;$E$4,NOVEDADES!$B$4:$B$2003,"&lt;="&amp;$G$4))</f>
        <v/>
      </c>
      <c r="F14" s="22">
        <f>IF($B14="","",$C14+ROW()/100000)</f>
        <v/>
      </c>
      <c r="N14" s="23" t="inlineStr">
        <is>
          <t>Cliente</t>
        </is>
      </c>
      <c r="O14" s="24">
        <f>IF($O$13="","—",IFERROR(INDEX(DESPACHOS!$D$3:$D$3002,MATCH($O$13,DESPACHOS!$B$3:$B$3002,0)),"NO EXISTE"))</f>
        <v/>
      </c>
    </row>
    <row r="15">
      <c r="B15" s="18">
        <f>IF(LISTAS!$E4="","",LISTAS!$E4)</f>
        <v/>
      </c>
      <c r="C15" s="19">
        <f>IF($B15="","",COUNTIFS(NOVEDADES!$M$4:$M$2003,$B15,NOVEDADES!$B$4:$B$2003,"&gt;="&amp;$E$4,NOVEDADES!$B$4:$B$2003,"&lt;="&amp;$G$4))</f>
        <v/>
      </c>
      <c r="D15" s="20">
        <f>IF($B15="","",IFERROR($C15/$C$31,0))</f>
        <v/>
      </c>
      <c r="E15" s="21">
        <f>IF($B15="","",SUMIFS(NOVEDADES!$R$4:$R$2003,NOVEDADES!$M$4:$M$2003,$B15,NOVEDADES!$B$4:$B$2003,"&gt;="&amp;$E$4,NOVEDADES!$B$4:$B$2003,"&lt;="&amp;$G$4))</f>
        <v/>
      </c>
      <c r="F15" s="22">
        <f>IF($B15="","",$C15+ROW()/100000)</f>
        <v/>
      </c>
      <c r="N15" s="23" t="inlineStr">
        <is>
          <t># Factura</t>
        </is>
      </c>
      <c r="O15" s="24">
        <f>IF($O$13="","—",IFERROR(INDEX(DESPACHOS!$C$3:$C$3002,MATCH($O$13,DESPACHOS!$B$3:$B$3002,0)),"—"))</f>
        <v/>
      </c>
    </row>
    <row r="16">
      <c r="B16" s="18">
        <f>IF(LISTAS!$E5="","",LISTAS!$E5)</f>
        <v/>
      </c>
      <c r="C16" s="19">
        <f>IF($B16="","",COUNTIFS(NOVEDADES!$M$4:$M$2003,$B16,NOVEDADES!$B$4:$B$2003,"&gt;="&amp;$E$4,NOVEDADES!$B$4:$B$2003,"&lt;="&amp;$G$4))</f>
        <v/>
      </c>
      <c r="D16" s="20">
        <f>IF($B16="","",IFERROR($C16/$C$31,0))</f>
        <v/>
      </c>
      <c r="E16" s="21">
        <f>IF($B16="","",SUMIFS(NOVEDADES!$R$4:$R$2003,NOVEDADES!$M$4:$M$2003,$B16,NOVEDADES!$B$4:$B$2003,"&gt;="&amp;$E$4,NOVEDADES!$B$4:$B$2003,"&lt;="&amp;$G$4))</f>
        <v/>
      </c>
      <c r="F16" s="22">
        <f>IF($B16="","",$C16+ROW()/100000)</f>
        <v/>
      </c>
      <c r="N16" s="23" t="inlineStr">
        <is>
          <t>Destino / Ciudad</t>
        </is>
      </c>
      <c r="O16" s="24">
        <f>IF($O$13="","—",IFERROR(INDEX(DESPACHOS!$K$3:$K$3002,MATCH($O$13,DESPACHOS!$B$3:$B$3002,0)),"—"))</f>
        <v/>
      </c>
    </row>
    <row r="17">
      <c r="B17" s="18">
        <f>IF(LISTAS!$E6="","",LISTAS!$E6)</f>
        <v/>
      </c>
      <c r="C17" s="19">
        <f>IF($B17="","",COUNTIFS(NOVEDADES!$M$4:$M$2003,$B17,NOVEDADES!$B$4:$B$2003,"&gt;="&amp;$E$4,NOVEDADES!$B$4:$B$2003,"&lt;="&amp;$G$4))</f>
        <v/>
      </c>
      <c r="D17" s="20">
        <f>IF($B17="","",IFERROR($C17/$C$31,0))</f>
        <v/>
      </c>
      <c r="E17" s="21">
        <f>IF($B17="","",SUMIFS(NOVEDADES!$R$4:$R$2003,NOVEDADES!$M$4:$M$2003,$B17,NOVEDADES!$B$4:$B$2003,"&gt;="&amp;$E$4,NOVEDADES!$B$4:$B$2003,"&lt;="&amp;$G$4))</f>
        <v/>
      </c>
      <c r="F17" s="22">
        <f>IF($B17="","",$C17+ROW()/100000)</f>
        <v/>
      </c>
      <c r="N17" s="23" t="inlineStr">
        <is>
          <t>Transportadora</t>
        </is>
      </c>
      <c r="O17" s="24">
        <f>IF($O$13="","—",IFERROR(INDEX(DESPACHOS!$F$3:$F$3002,MATCH($O$13,DESPACHOS!$B$3:$B$3002,0)),"—"))</f>
        <v/>
      </c>
    </row>
    <row r="18">
      <c r="B18" s="18">
        <f>IF(LISTAS!$E7="","",LISTAS!$E7)</f>
        <v/>
      </c>
      <c r="C18" s="19">
        <f>IF($B18="","",COUNTIFS(NOVEDADES!$M$4:$M$2003,$B18,NOVEDADES!$B$4:$B$2003,"&gt;="&amp;$E$4,NOVEDADES!$B$4:$B$2003,"&lt;="&amp;$G$4))</f>
        <v/>
      </c>
      <c r="D18" s="20">
        <f>IF($B18="","",IFERROR($C18/$C$31,0))</f>
        <v/>
      </c>
      <c r="E18" s="21">
        <f>IF($B18="","",SUMIFS(NOVEDADES!$R$4:$R$2003,NOVEDADES!$M$4:$M$2003,$B18,NOVEDADES!$B$4:$B$2003,"&gt;="&amp;$E$4,NOVEDADES!$B$4:$B$2003,"&lt;="&amp;$G$4))</f>
        <v/>
      </c>
      <c r="F18" s="22">
        <f>IF($B18="","",$C18+ROW()/100000)</f>
        <v/>
      </c>
      <c r="N18" s="23" t="inlineStr">
        <is>
          <t>Placa</t>
        </is>
      </c>
      <c r="O18" s="24">
        <f>IF($O$13="","—",IFERROR(INDEX(DESPACHOS!$H$3:$H$3002,MATCH($O$13,DESPACHOS!$B$3:$B$3002,0)),"—"))</f>
        <v/>
      </c>
    </row>
    <row r="19">
      <c r="B19" s="18">
        <f>IF(LISTAS!$E8="","",LISTAS!$E8)</f>
        <v/>
      </c>
      <c r="C19" s="19">
        <f>IF($B19="","",COUNTIFS(NOVEDADES!$M$4:$M$2003,$B19,NOVEDADES!$B$4:$B$2003,"&gt;="&amp;$E$4,NOVEDADES!$B$4:$B$2003,"&lt;="&amp;$G$4))</f>
        <v/>
      </c>
      <c r="D19" s="20">
        <f>IF($B19="","",IFERROR($C19/$C$31,0))</f>
        <v/>
      </c>
      <c r="E19" s="21">
        <f>IF($B19="","",SUMIFS(NOVEDADES!$R$4:$R$2003,NOVEDADES!$M$4:$M$2003,$B19,NOVEDADES!$B$4:$B$2003,"&gt;="&amp;$E$4,NOVEDADES!$B$4:$B$2003,"&lt;="&amp;$G$4))</f>
        <v/>
      </c>
      <c r="F19" s="22">
        <f>IF($B19="","",$C19+ROW()/100000)</f>
        <v/>
      </c>
      <c r="N19" s="23" t="inlineStr">
        <is>
          <t>Fecha despacho</t>
        </is>
      </c>
      <c r="O19" s="25">
        <f>IF($O$13="","—",IFERROR(INDEX(DESPACHOS!$J$3:$J$3002,MATCH($O$13,DESPACHOS!$B$3:$B$3002,0)),"—"))</f>
        <v/>
      </c>
    </row>
    <row r="20">
      <c r="B20" s="18">
        <f>IF(LISTAS!$E9="","",LISTAS!$E9)</f>
        <v/>
      </c>
      <c r="C20" s="19">
        <f>IF($B20="","",COUNTIFS(NOVEDADES!$M$4:$M$2003,$B20,NOVEDADES!$B$4:$B$2003,"&gt;="&amp;$E$4,NOVEDADES!$B$4:$B$2003,"&lt;="&amp;$G$4))</f>
        <v/>
      </c>
      <c r="D20" s="20">
        <f>IF($B20="","",IFERROR($C20/$C$31,0))</f>
        <v/>
      </c>
      <c r="E20" s="21">
        <f>IF($B20="","",SUMIFS(NOVEDADES!$R$4:$R$2003,NOVEDADES!$M$4:$M$2003,$B20,NOVEDADES!$B$4:$B$2003,"&gt;="&amp;$E$4,NOVEDADES!$B$4:$B$2003,"&lt;="&amp;$G$4))</f>
        <v/>
      </c>
      <c r="F20" s="22">
        <f>IF($B20="","",$C20+ROW()/100000)</f>
        <v/>
      </c>
      <c r="N20" s="23" t="inlineStr">
        <is>
          <t>Novedades del pedido</t>
        </is>
      </c>
      <c r="O20" s="26">
        <f>IF($O$13="","—",COUNTIFS(NOVEDADES!$C$4:$C$2003,$O$13))</f>
        <v/>
      </c>
    </row>
    <row r="21">
      <c r="B21" s="18">
        <f>IF(LISTAS!$E10="","",LISTAS!$E10)</f>
        <v/>
      </c>
      <c r="C21" s="19">
        <f>IF($B21="","",COUNTIFS(NOVEDADES!$M$4:$M$2003,$B21,NOVEDADES!$B$4:$B$2003,"&gt;="&amp;$E$4,NOVEDADES!$B$4:$B$2003,"&lt;="&amp;$G$4))</f>
        <v/>
      </c>
      <c r="D21" s="20">
        <f>IF($B21="","",IFERROR($C21/$C$31,0))</f>
        <v/>
      </c>
      <c r="E21" s="21">
        <f>IF($B21="","",SUMIFS(NOVEDADES!$R$4:$R$2003,NOVEDADES!$M$4:$M$2003,$B21,NOVEDADES!$B$4:$B$2003,"&gt;="&amp;$E$4,NOVEDADES!$B$4:$B$2003,"&lt;="&amp;$G$4))</f>
        <v/>
      </c>
      <c r="F21" s="22">
        <f>IF($B21="","",$C21+ROW()/100000)</f>
        <v/>
      </c>
      <c r="N21" s="23" t="inlineStr">
        <is>
          <t>Valor afectado</t>
        </is>
      </c>
      <c r="O21" s="27">
        <f>IF($O$13="","—",SUMIFS(NOVEDADES!$R$4:$R$2003,NOVEDADES!$C$4:$C$2003,$O$13))</f>
        <v/>
      </c>
    </row>
    <row r="22">
      <c r="B22" s="18">
        <f>IF(LISTAS!$E11="","",LISTAS!$E11)</f>
        <v/>
      </c>
      <c r="C22" s="19">
        <f>IF($B22="","",COUNTIFS(NOVEDADES!$M$4:$M$2003,$B22,NOVEDADES!$B$4:$B$2003,"&gt;="&amp;$E$4,NOVEDADES!$B$4:$B$2003,"&lt;="&amp;$G$4))</f>
        <v/>
      </c>
      <c r="D22" s="20">
        <f>IF($B22="","",IFERROR($C22/$C$31,0))</f>
        <v/>
      </c>
      <c r="E22" s="21">
        <f>IF($B22="","",SUMIFS(NOVEDADES!$R$4:$R$2003,NOVEDADES!$M$4:$M$2003,$B22,NOVEDADES!$B$4:$B$2003,"&gt;="&amp;$E$4,NOVEDADES!$B$4:$B$2003,"&lt;="&amp;$G$4))</f>
        <v/>
      </c>
      <c r="F22" s="22">
        <f>IF($B22="","",$C22+ROW()/100000)</f>
        <v/>
      </c>
      <c r="N22" s="23" t="inlineStr">
        <is>
          <t>Estado más reciente</t>
        </is>
      </c>
      <c r="O22" s="24">
        <f>IF($O$13="","—",IFERROR(LOOKUP(2,1/(NOVEDADES!$C$4:$C$2003=$O$13),NOVEDADES!$T$4:$T$2003),"—"))</f>
        <v/>
      </c>
    </row>
    <row r="23">
      <c r="B23" s="18">
        <f>IF(LISTAS!$E12="","",LISTAS!$E12)</f>
        <v/>
      </c>
      <c r="C23" s="19">
        <f>IF($B23="","",COUNTIFS(NOVEDADES!$M$4:$M$2003,$B23,NOVEDADES!$B$4:$B$2003,"&gt;="&amp;$E$4,NOVEDADES!$B$4:$B$2003,"&lt;="&amp;$G$4))</f>
        <v/>
      </c>
      <c r="D23" s="20">
        <f>IF($B23="","",IFERROR($C23/$C$31,0))</f>
        <v/>
      </c>
      <c r="E23" s="21">
        <f>IF($B23="","",SUMIFS(NOVEDADES!$R$4:$R$2003,NOVEDADES!$M$4:$M$2003,$B23,NOVEDADES!$B$4:$B$2003,"&gt;="&amp;$E$4,NOVEDADES!$B$4:$B$2003,"&lt;="&amp;$G$4))</f>
        <v/>
      </c>
      <c r="F23" s="22">
        <f>IF($B23="","",$C23+ROW()/100000)</f>
        <v/>
      </c>
      <c r="N23" s="23" t="inlineStr">
        <is>
          <t>Semáforo SLA</t>
        </is>
      </c>
      <c r="O23" s="24">
        <f>IF($O$13="","—",IFERROR(LOOKUP(2,1/(NOVEDADES!$C$4:$C$2003=$O$13),NOVEDADES!$Y$4:$Y$2003),"—"))</f>
        <v/>
      </c>
    </row>
    <row r="24">
      <c r="B24" s="18">
        <f>IF(LISTAS!$E13="","",LISTAS!$E13)</f>
        <v/>
      </c>
      <c r="C24" s="19">
        <f>IF($B24="","",COUNTIFS(NOVEDADES!$M$4:$M$2003,$B24,NOVEDADES!$B$4:$B$2003,"&gt;="&amp;$E$4,NOVEDADES!$B$4:$B$2003,"&lt;="&amp;$G$4))</f>
        <v/>
      </c>
      <c r="D24" s="20">
        <f>IF($B24="","",IFERROR($C24/$C$31,0))</f>
        <v/>
      </c>
      <c r="E24" s="21">
        <f>IF($B24="","",SUMIFS(NOVEDADES!$R$4:$R$2003,NOVEDADES!$M$4:$M$2003,$B24,NOVEDADES!$B$4:$B$2003,"&gt;="&amp;$E$4,NOVEDADES!$B$4:$B$2003,"&lt;="&amp;$G$4))</f>
        <v/>
      </c>
      <c r="F24" s="22">
        <f>IF($B24="","",$C24+ROW()/100000)</f>
        <v/>
      </c>
    </row>
    <row r="25">
      <c r="B25" s="18">
        <f>IF(LISTAS!$E14="","",LISTAS!$E14)</f>
        <v/>
      </c>
      <c r="C25" s="19">
        <f>IF($B25="","",COUNTIFS(NOVEDADES!$M$4:$M$2003,$B25,NOVEDADES!$B$4:$B$2003,"&gt;="&amp;$E$4,NOVEDADES!$B$4:$B$2003,"&lt;="&amp;$G$4))</f>
        <v/>
      </c>
      <c r="D25" s="20">
        <f>IF($B25="","",IFERROR($C25/$C$31,0))</f>
        <v/>
      </c>
      <c r="E25" s="21">
        <f>IF($B25="","",SUMIFS(NOVEDADES!$R$4:$R$2003,NOVEDADES!$M$4:$M$2003,$B25,NOVEDADES!$B$4:$B$2003,"&gt;="&amp;$E$4,NOVEDADES!$B$4:$B$2003,"&lt;="&amp;$G$4))</f>
        <v/>
      </c>
      <c r="F25" s="22">
        <f>IF($B25="","",$C25+ROW()/100000)</f>
        <v/>
      </c>
      <c r="N25" s="28" t="inlineStr">
        <is>
          <t>El semáforo y el estado corresponden a la novedad más reciente registrada para ese pedido.</t>
        </is>
      </c>
    </row>
    <row r="26">
      <c r="B26" s="18">
        <f>IF(LISTAS!$E15="","",LISTAS!$E15)</f>
        <v/>
      </c>
      <c r="C26" s="19">
        <f>IF($B26="","",COUNTIFS(NOVEDADES!$M$4:$M$2003,$B26,NOVEDADES!$B$4:$B$2003,"&gt;="&amp;$E$4,NOVEDADES!$B$4:$B$2003,"&lt;="&amp;$G$4))</f>
        <v/>
      </c>
      <c r="D26" s="20">
        <f>IF($B26="","",IFERROR($C26/$C$31,0))</f>
        <v/>
      </c>
      <c r="E26" s="21">
        <f>IF($B26="","",SUMIFS(NOVEDADES!$R$4:$R$2003,NOVEDADES!$M$4:$M$2003,$B26,NOVEDADES!$B$4:$B$2003,"&gt;="&amp;$E$4,NOVEDADES!$B$4:$B$2003,"&lt;="&amp;$G$4))</f>
        <v/>
      </c>
      <c r="F26" s="22">
        <f>IF($B26="","",$C26+ROW()/100000)</f>
        <v/>
      </c>
    </row>
    <row r="27">
      <c r="B27" s="18">
        <f>IF(LISTAS!$E16="","",LISTAS!$E16)</f>
        <v/>
      </c>
      <c r="C27" s="19">
        <f>IF($B27="","",COUNTIFS(NOVEDADES!$M$4:$M$2003,$B27,NOVEDADES!$B$4:$B$2003,"&gt;="&amp;$E$4,NOVEDADES!$B$4:$B$2003,"&lt;="&amp;$G$4))</f>
        <v/>
      </c>
      <c r="D27" s="20">
        <f>IF($B27="","",IFERROR($C27/$C$31,0))</f>
        <v/>
      </c>
      <c r="E27" s="21">
        <f>IF($B27="","",SUMIFS(NOVEDADES!$R$4:$R$2003,NOVEDADES!$M$4:$M$2003,$B27,NOVEDADES!$B$4:$B$2003,"&gt;="&amp;$E$4,NOVEDADES!$B$4:$B$2003,"&lt;="&amp;$G$4))</f>
        <v/>
      </c>
      <c r="F27" s="22">
        <f>IF($B27="","",$C27+ROW()/100000)</f>
        <v/>
      </c>
    </row>
    <row r="28">
      <c r="B28" s="18">
        <f>IF(LISTAS!$E17="","",LISTAS!$E17)</f>
        <v/>
      </c>
      <c r="C28" s="19">
        <f>IF($B28="","",COUNTIFS(NOVEDADES!$M$4:$M$2003,$B28,NOVEDADES!$B$4:$B$2003,"&gt;="&amp;$E$4,NOVEDADES!$B$4:$B$2003,"&lt;="&amp;$G$4))</f>
        <v/>
      </c>
      <c r="D28" s="20">
        <f>IF($B28="","",IFERROR($C28/$C$31,0))</f>
        <v/>
      </c>
      <c r="E28" s="21">
        <f>IF($B28="","",SUMIFS(NOVEDADES!$R$4:$R$2003,NOVEDADES!$M$4:$M$2003,$B28,NOVEDADES!$B$4:$B$2003,"&gt;="&amp;$E$4,NOVEDADES!$B$4:$B$2003,"&lt;="&amp;$G$4))</f>
        <v/>
      </c>
      <c r="F28" s="22">
        <f>IF($B28="","",$C28+ROW()/100000)</f>
        <v/>
      </c>
    </row>
    <row r="29">
      <c r="B29" s="18">
        <f>IF(LISTAS!$E18="","",LISTAS!$E18)</f>
        <v/>
      </c>
      <c r="C29" s="19">
        <f>IF($B29="","",COUNTIFS(NOVEDADES!$M$4:$M$2003,$B29,NOVEDADES!$B$4:$B$2003,"&gt;="&amp;$E$4,NOVEDADES!$B$4:$B$2003,"&lt;="&amp;$G$4))</f>
        <v/>
      </c>
      <c r="D29" s="20">
        <f>IF($B29="","",IFERROR($C29/$C$31,0))</f>
        <v/>
      </c>
      <c r="E29" s="21">
        <f>IF($B29="","",SUMIFS(NOVEDADES!$R$4:$R$2003,NOVEDADES!$M$4:$M$2003,$B29,NOVEDADES!$B$4:$B$2003,"&gt;="&amp;$E$4,NOVEDADES!$B$4:$B$2003,"&lt;="&amp;$G$4))</f>
        <v/>
      </c>
      <c r="F29" s="22">
        <f>IF($B29="","",$C29+ROW()/100000)</f>
        <v/>
      </c>
    </row>
    <row r="30">
      <c r="B30" s="18">
        <f>IF(LISTAS!$E19="","",LISTAS!$E19)</f>
        <v/>
      </c>
      <c r="C30" s="19">
        <f>IF($B30="","",COUNTIFS(NOVEDADES!$M$4:$M$2003,$B30,NOVEDADES!$B$4:$B$2003,"&gt;="&amp;$E$4,NOVEDADES!$B$4:$B$2003,"&lt;="&amp;$G$4))</f>
        <v/>
      </c>
      <c r="D30" s="20">
        <f>IF($B30="","",IFERROR($C30/$C$31,0))</f>
        <v/>
      </c>
      <c r="E30" s="21">
        <f>IF($B30="","",SUMIFS(NOVEDADES!$R$4:$R$2003,NOVEDADES!$M$4:$M$2003,$B30,NOVEDADES!$B$4:$B$2003,"&gt;="&amp;$E$4,NOVEDADES!$B$4:$B$2003,"&lt;="&amp;$G$4))</f>
        <v/>
      </c>
      <c r="F30" s="22">
        <f>IF($B30="","",$C30+ROW()/100000)</f>
        <v/>
      </c>
    </row>
    <row r="31">
      <c r="B31" s="29" t="inlineStr">
        <is>
          <t>TOTAL</t>
        </is>
      </c>
      <c r="C31" s="30">
        <f>SUM($C$14:$C$30)</f>
        <v/>
      </c>
      <c r="D31" s="31">
        <f>IF($C$31=0,0,1)</f>
        <v/>
      </c>
      <c r="E31" s="32">
        <f>SUM($E$14:$E$30)</f>
        <v/>
      </c>
      <c r="F31" s="33" t="inlineStr"/>
    </row>
    <row r="33" ht="18" customHeight="1">
      <c r="B33" s="6" t="inlineStr">
        <is>
          <t>2. TOP 5 CAUSAS RAÍZ — ranking automático del periodo</t>
        </is>
      </c>
    </row>
    <row r="34" ht="28" customHeight="1">
      <c r="B34" s="15" t="inlineStr">
        <is>
          <t>Puesto</t>
        </is>
      </c>
      <c r="C34" s="15" t="inlineStr">
        <is>
          <t>Causa raíz</t>
        </is>
      </c>
      <c r="D34" s="15" t="inlineStr">
        <is>
          <t># Novedades</t>
        </is>
      </c>
      <c r="E34" s="15" t="inlineStr">
        <is>
          <t>% Participación</t>
        </is>
      </c>
    </row>
    <row r="35">
      <c r="B35" s="33">
        <f>"#"&amp;1</f>
        <v/>
      </c>
      <c r="C35" s="18">
        <f>IFERROR(INDEX($B$14:$B$30,MATCH(LARGE($F$14:$F$30,1),$F$14:$F$30,0)),"—")</f>
        <v/>
      </c>
      <c r="D35" s="19">
        <f>IFERROR(INDEX($C$14:$C$30,MATCH(LARGE($F$14:$F$30,1),$F$14:$F$30,0)),0)</f>
        <v/>
      </c>
      <c r="E35" s="20">
        <f>IFERROR($D35/$C$31,0)</f>
        <v/>
      </c>
    </row>
    <row r="36">
      <c r="B36" s="33">
        <f>"#"&amp;2</f>
        <v/>
      </c>
      <c r="C36" s="18">
        <f>IFERROR(INDEX($B$14:$B$30,MATCH(LARGE($F$14:$F$30,2),$F$14:$F$30,0)),"—")</f>
        <v/>
      </c>
      <c r="D36" s="19">
        <f>IFERROR(INDEX($C$14:$C$30,MATCH(LARGE($F$14:$F$30,2),$F$14:$F$30,0)),0)</f>
        <v/>
      </c>
      <c r="E36" s="20">
        <f>IFERROR($D36/$C$31,0)</f>
        <v/>
      </c>
    </row>
    <row r="37">
      <c r="B37" s="33">
        <f>"#"&amp;3</f>
        <v/>
      </c>
      <c r="C37" s="18">
        <f>IFERROR(INDEX($B$14:$B$30,MATCH(LARGE($F$14:$F$30,3),$F$14:$F$30,0)),"—")</f>
        <v/>
      </c>
      <c r="D37" s="19">
        <f>IFERROR(INDEX($C$14:$C$30,MATCH(LARGE($F$14:$F$30,3),$F$14:$F$30,0)),0)</f>
        <v/>
      </c>
      <c r="E37" s="20">
        <f>IFERROR($D37/$C$31,0)</f>
        <v/>
      </c>
    </row>
    <row r="38">
      <c r="B38" s="33">
        <f>"#"&amp;4</f>
        <v/>
      </c>
      <c r="C38" s="18">
        <f>IFERROR(INDEX($B$14:$B$30,MATCH(LARGE($F$14:$F$30,4),$F$14:$F$30,0)),"—")</f>
        <v/>
      </c>
      <c r="D38" s="19">
        <f>IFERROR(INDEX($C$14:$C$30,MATCH(LARGE($F$14:$F$30,4),$F$14:$F$30,0)),0)</f>
        <v/>
      </c>
      <c r="E38" s="20">
        <f>IFERROR($D38/$C$31,0)</f>
        <v/>
      </c>
    </row>
    <row r="39">
      <c r="B39" s="33">
        <f>"#"&amp;5</f>
        <v/>
      </c>
      <c r="C39" s="18">
        <f>IFERROR(INDEX($B$14:$B$30,MATCH(LARGE($F$14:$F$30,5),$F$14:$F$30,0)),"—")</f>
        <v/>
      </c>
      <c r="D39" s="19">
        <f>IFERROR(INDEX($C$14:$C$30,MATCH(LARGE($F$14:$F$30,5),$F$14:$F$30,0)),0)</f>
        <v/>
      </c>
      <c r="E39" s="20">
        <f>IFERROR($D39/$C$31,0)</f>
        <v/>
      </c>
    </row>
    <row r="41" ht="18" customHeight="1">
      <c r="B41" s="6" t="inlineStr">
        <is>
          <t>3. NOVEDADES POR TIPO — volumen, impacto y estado de gestión</t>
        </is>
      </c>
    </row>
    <row r="42" ht="28" customHeight="1">
      <c r="B42" s="15" t="inlineStr">
        <is>
          <t>Tipo de novedad</t>
        </is>
      </c>
      <c r="C42" s="15" t="inlineStr">
        <is>
          <t># Novedades</t>
        </is>
      </c>
      <c r="D42" s="15" t="inlineStr">
        <is>
          <t>% Part.</t>
        </is>
      </c>
      <c r="E42" s="15" t="inlineStr">
        <is>
          <t>Valor impactado</t>
        </is>
      </c>
      <c r="F42" s="15" t="inlineStr">
        <is>
          <t>Abiertas</t>
        </is>
      </c>
      <c r="G42" s="15" t="inlineStr">
        <is>
          <t>Cerradas</t>
        </is>
      </c>
      <c r="H42" s="15" t="inlineStr">
        <is>
          <t>Vencidas</t>
        </is>
      </c>
    </row>
    <row r="43">
      <c r="B43" s="18">
        <f>IF(LISTAS!$A3="","",LISTAS!$A3)</f>
        <v/>
      </c>
      <c r="C43" s="19">
        <f>IF($B43="","",COUNTIFS(NOVEDADES!$L$4:$L$2003,$B43,NOVEDADES!$B$4:$B$2003,"&gt;="&amp;$E$4,NOVEDADES!$B$4:$B$2003,"&lt;="&amp;$G$4))</f>
        <v/>
      </c>
      <c r="D43" s="20">
        <f>IF($B43="","",IFERROR($C43/$C$59,0))</f>
        <v/>
      </c>
      <c r="E43" s="21">
        <f>IF($B43="","",SUMIFS(NOVEDADES!$R$4:$R$2003,NOVEDADES!$L$4:$L$2003,$B43,NOVEDADES!$B$4:$B$2003,"&gt;="&amp;$E$4,NOVEDADES!$B$4:$B$2003,"&lt;="&amp;$G$4))</f>
        <v/>
      </c>
      <c r="F43" s="19">
        <f>IF($B43="","",COUNTIFS(NOVEDADES!$Y$4:$Y$2003,"EN PLAZO",NOVEDADES!$B$4:$B$2003,"&gt;="&amp;$E$4,NOVEDADES!$B$4:$B$2003,"&lt;="&amp;$G$4,NOVEDADES!$L$4:$L$2003,$B43)+COUNTIFS(NOVEDADES!$Y$4:$Y$2003,"POR VENCER",NOVEDADES!$B$4:$B$2003,"&gt;="&amp;$E$4,NOVEDADES!$B$4:$B$2003,"&lt;="&amp;$G$4,NOVEDADES!$L$4:$L$2003,$B43)+COUNTIFS(NOVEDADES!$Y$4:$Y$2003,"VENCIDA",NOVEDADES!$B$4:$B$2003,"&gt;="&amp;$E$4,NOVEDADES!$B$4:$B$2003,"&lt;="&amp;$G$4,NOVEDADES!$L$4:$L$2003,$B43)+COUNTIFS(NOVEDADES!$Y$4:$Y$2003,"SIN CLASIFICAR",NOVEDADES!$B$4:$B$2003,"&gt;="&amp;$E$4,NOVEDADES!$B$4:$B$2003,"&lt;="&amp;$G$4,NOVEDADES!$L$4:$L$2003,$B43))</f>
        <v/>
      </c>
      <c r="G43" s="19">
        <f>IF($B43="","",COUNTIFS(NOVEDADES!$L$4:$L$2003,$B43,NOVEDADES!$Y$4:$Y$2003,"CERRADA*",NOVEDADES!$B$4:$B$2003,"&gt;="&amp;$E$4,NOVEDADES!$B$4:$B$2003,"&lt;="&amp;$G$4))</f>
        <v/>
      </c>
      <c r="H43" s="19">
        <f>IF($B43="","",COUNTIFS(NOVEDADES!$L$4:$L$2003,$B43,NOVEDADES!$Y$4:$Y$2003,"VENCIDA",NOVEDADES!$B$4:$B$2003,"&gt;="&amp;$E$4,NOVEDADES!$B$4:$B$2003,"&lt;="&amp;$G$4))</f>
        <v/>
      </c>
    </row>
    <row r="44">
      <c r="B44" s="18">
        <f>IF(LISTAS!$A4="","",LISTAS!$A4)</f>
        <v/>
      </c>
      <c r="C44" s="19">
        <f>IF($B44="","",COUNTIFS(NOVEDADES!$L$4:$L$2003,$B44,NOVEDADES!$B$4:$B$2003,"&gt;="&amp;$E$4,NOVEDADES!$B$4:$B$2003,"&lt;="&amp;$G$4))</f>
        <v/>
      </c>
      <c r="D44" s="20">
        <f>IF($B44="","",IFERROR($C44/$C$59,0))</f>
        <v/>
      </c>
      <c r="E44" s="21">
        <f>IF($B44="","",SUMIFS(NOVEDADES!$R$4:$R$2003,NOVEDADES!$L$4:$L$2003,$B44,NOVEDADES!$B$4:$B$2003,"&gt;="&amp;$E$4,NOVEDADES!$B$4:$B$2003,"&lt;="&amp;$G$4))</f>
        <v/>
      </c>
      <c r="F44" s="19">
        <f>IF($B44="","",COUNTIFS(NOVEDADES!$Y$4:$Y$2003,"EN PLAZO",NOVEDADES!$B$4:$B$2003,"&gt;="&amp;$E$4,NOVEDADES!$B$4:$B$2003,"&lt;="&amp;$G$4,NOVEDADES!$L$4:$L$2003,$B44)+COUNTIFS(NOVEDADES!$Y$4:$Y$2003,"POR VENCER",NOVEDADES!$B$4:$B$2003,"&gt;="&amp;$E$4,NOVEDADES!$B$4:$B$2003,"&lt;="&amp;$G$4,NOVEDADES!$L$4:$L$2003,$B44)+COUNTIFS(NOVEDADES!$Y$4:$Y$2003,"VENCIDA",NOVEDADES!$B$4:$B$2003,"&gt;="&amp;$E$4,NOVEDADES!$B$4:$B$2003,"&lt;="&amp;$G$4,NOVEDADES!$L$4:$L$2003,$B44)+COUNTIFS(NOVEDADES!$Y$4:$Y$2003,"SIN CLASIFICAR",NOVEDADES!$B$4:$B$2003,"&gt;="&amp;$E$4,NOVEDADES!$B$4:$B$2003,"&lt;="&amp;$G$4,NOVEDADES!$L$4:$L$2003,$B44))</f>
        <v/>
      </c>
      <c r="G44" s="19">
        <f>IF($B44="","",COUNTIFS(NOVEDADES!$L$4:$L$2003,$B44,NOVEDADES!$Y$4:$Y$2003,"CERRADA*",NOVEDADES!$B$4:$B$2003,"&gt;="&amp;$E$4,NOVEDADES!$B$4:$B$2003,"&lt;="&amp;$G$4))</f>
        <v/>
      </c>
      <c r="H44" s="19">
        <f>IF($B44="","",COUNTIFS(NOVEDADES!$L$4:$L$2003,$B44,NOVEDADES!$Y$4:$Y$2003,"VENCIDA",NOVEDADES!$B$4:$B$2003,"&gt;="&amp;$E$4,NOVEDADES!$B$4:$B$2003,"&lt;="&amp;$G$4))</f>
        <v/>
      </c>
    </row>
    <row r="45">
      <c r="B45" s="18">
        <f>IF(LISTAS!$A5="","",LISTAS!$A5)</f>
        <v/>
      </c>
      <c r="C45" s="19">
        <f>IF($B45="","",COUNTIFS(NOVEDADES!$L$4:$L$2003,$B45,NOVEDADES!$B$4:$B$2003,"&gt;="&amp;$E$4,NOVEDADES!$B$4:$B$2003,"&lt;="&amp;$G$4))</f>
        <v/>
      </c>
      <c r="D45" s="20">
        <f>IF($B45="","",IFERROR($C45/$C$59,0))</f>
        <v/>
      </c>
      <c r="E45" s="21">
        <f>IF($B45="","",SUMIFS(NOVEDADES!$R$4:$R$2003,NOVEDADES!$L$4:$L$2003,$B45,NOVEDADES!$B$4:$B$2003,"&gt;="&amp;$E$4,NOVEDADES!$B$4:$B$2003,"&lt;="&amp;$G$4))</f>
        <v/>
      </c>
      <c r="F45" s="19">
        <f>IF($B45="","",COUNTIFS(NOVEDADES!$Y$4:$Y$2003,"EN PLAZO",NOVEDADES!$B$4:$B$2003,"&gt;="&amp;$E$4,NOVEDADES!$B$4:$B$2003,"&lt;="&amp;$G$4,NOVEDADES!$L$4:$L$2003,$B45)+COUNTIFS(NOVEDADES!$Y$4:$Y$2003,"POR VENCER",NOVEDADES!$B$4:$B$2003,"&gt;="&amp;$E$4,NOVEDADES!$B$4:$B$2003,"&lt;="&amp;$G$4,NOVEDADES!$L$4:$L$2003,$B45)+COUNTIFS(NOVEDADES!$Y$4:$Y$2003,"VENCIDA",NOVEDADES!$B$4:$B$2003,"&gt;="&amp;$E$4,NOVEDADES!$B$4:$B$2003,"&lt;="&amp;$G$4,NOVEDADES!$L$4:$L$2003,$B45)+COUNTIFS(NOVEDADES!$Y$4:$Y$2003,"SIN CLASIFICAR",NOVEDADES!$B$4:$B$2003,"&gt;="&amp;$E$4,NOVEDADES!$B$4:$B$2003,"&lt;="&amp;$G$4,NOVEDADES!$L$4:$L$2003,$B45))</f>
        <v/>
      </c>
      <c r="G45" s="19">
        <f>IF($B45="","",COUNTIFS(NOVEDADES!$L$4:$L$2003,$B45,NOVEDADES!$Y$4:$Y$2003,"CERRADA*",NOVEDADES!$B$4:$B$2003,"&gt;="&amp;$E$4,NOVEDADES!$B$4:$B$2003,"&lt;="&amp;$G$4))</f>
        <v/>
      </c>
      <c r="H45" s="19">
        <f>IF($B45="","",COUNTIFS(NOVEDADES!$L$4:$L$2003,$B45,NOVEDADES!$Y$4:$Y$2003,"VENCIDA",NOVEDADES!$B$4:$B$2003,"&gt;="&amp;$E$4,NOVEDADES!$B$4:$B$2003,"&lt;="&amp;$G$4))</f>
        <v/>
      </c>
    </row>
    <row r="46">
      <c r="B46" s="18">
        <f>IF(LISTAS!$A6="","",LISTAS!$A6)</f>
        <v/>
      </c>
      <c r="C46" s="19">
        <f>IF($B46="","",COUNTIFS(NOVEDADES!$L$4:$L$2003,$B46,NOVEDADES!$B$4:$B$2003,"&gt;="&amp;$E$4,NOVEDADES!$B$4:$B$2003,"&lt;="&amp;$G$4))</f>
        <v/>
      </c>
      <c r="D46" s="20">
        <f>IF($B46="","",IFERROR($C46/$C$59,0))</f>
        <v/>
      </c>
      <c r="E46" s="21">
        <f>IF($B46="","",SUMIFS(NOVEDADES!$R$4:$R$2003,NOVEDADES!$L$4:$L$2003,$B46,NOVEDADES!$B$4:$B$2003,"&gt;="&amp;$E$4,NOVEDADES!$B$4:$B$2003,"&lt;="&amp;$G$4))</f>
        <v/>
      </c>
      <c r="F46" s="19">
        <f>IF($B46="","",COUNTIFS(NOVEDADES!$Y$4:$Y$2003,"EN PLAZO",NOVEDADES!$B$4:$B$2003,"&gt;="&amp;$E$4,NOVEDADES!$B$4:$B$2003,"&lt;="&amp;$G$4,NOVEDADES!$L$4:$L$2003,$B46)+COUNTIFS(NOVEDADES!$Y$4:$Y$2003,"POR VENCER",NOVEDADES!$B$4:$B$2003,"&gt;="&amp;$E$4,NOVEDADES!$B$4:$B$2003,"&lt;="&amp;$G$4,NOVEDADES!$L$4:$L$2003,$B46)+COUNTIFS(NOVEDADES!$Y$4:$Y$2003,"VENCIDA",NOVEDADES!$B$4:$B$2003,"&gt;="&amp;$E$4,NOVEDADES!$B$4:$B$2003,"&lt;="&amp;$G$4,NOVEDADES!$L$4:$L$2003,$B46)+COUNTIFS(NOVEDADES!$Y$4:$Y$2003,"SIN CLASIFICAR",NOVEDADES!$B$4:$B$2003,"&gt;="&amp;$E$4,NOVEDADES!$B$4:$B$2003,"&lt;="&amp;$G$4,NOVEDADES!$L$4:$L$2003,$B46))</f>
        <v/>
      </c>
      <c r="G46" s="19">
        <f>IF($B46="","",COUNTIFS(NOVEDADES!$L$4:$L$2003,$B46,NOVEDADES!$Y$4:$Y$2003,"CERRADA*",NOVEDADES!$B$4:$B$2003,"&gt;="&amp;$E$4,NOVEDADES!$B$4:$B$2003,"&lt;="&amp;$G$4))</f>
        <v/>
      </c>
      <c r="H46" s="19">
        <f>IF($B46="","",COUNTIFS(NOVEDADES!$L$4:$L$2003,$B46,NOVEDADES!$Y$4:$Y$2003,"VENCIDA",NOVEDADES!$B$4:$B$2003,"&gt;="&amp;$E$4,NOVEDADES!$B$4:$B$2003,"&lt;="&amp;$G$4))</f>
        <v/>
      </c>
    </row>
    <row r="47">
      <c r="B47" s="18">
        <f>IF(LISTAS!$A7="","",LISTAS!$A7)</f>
        <v/>
      </c>
      <c r="C47" s="19">
        <f>IF($B47="","",COUNTIFS(NOVEDADES!$L$4:$L$2003,$B47,NOVEDADES!$B$4:$B$2003,"&gt;="&amp;$E$4,NOVEDADES!$B$4:$B$2003,"&lt;="&amp;$G$4))</f>
        <v/>
      </c>
      <c r="D47" s="20">
        <f>IF($B47="","",IFERROR($C47/$C$59,0))</f>
        <v/>
      </c>
      <c r="E47" s="21">
        <f>IF($B47="","",SUMIFS(NOVEDADES!$R$4:$R$2003,NOVEDADES!$L$4:$L$2003,$B47,NOVEDADES!$B$4:$B$2003,"&gt;="&amp;$E$4,NOVEDADES!$B$4:$B$2003,"&lt;="&amp;$G$4))</f>
        <v/>
      </c>
      <c r="F47" s="19">
        <f>IF($B47="","",COUNTIFS(NOVEDADES!$Y$4:$Y$2003,"EN PLAZO",NOVEDADES!$B$4:$B$2003,"&gt;="&amp;$E$4,NOVEDADES!$B$4:$B$2003,"&lt;="&amp;$G$4,NOVEDADES!$L$4:$L$2003,$B47)+COUNTIFS(NOVEDADES!$Y$4:$Y$2003,"POR VENCER",NOVEDADES!$B$4:$B$2003,"&gt;="&amp;$E$4,NOVEDADES!$B$4:$B$2003,"&lt;="&amp;$G$4,NOVEDADES!$L$4:$L$2003,$B47)+COUNTIFS(NOVEDADES!$Y$4:$Y$2003,"VENCIDA",NOVEDADES!$B$4:$B$2003,"&gt;="&amp;$E$4,NOVEDADES!$B$4:$B$2003,"&lt;="&amp;$G$4,NOVEDADES!$L$4:$L$2003,$B47)+COUNTIFS(NOVEDADES!$Y$4:$Y$2003,"SIN CLASIFICAR",NOVEDADES!$B$4:$B$2003,"&gt;="&amp;$E$4,NOVEDADES!$B$4:$B$2003,"&lt;="&amp;$G$4,NOVEDADES!$L$4:$L$2003,$B47))</f>
        <v/>
      </c>
      <c r="G47" s="19">
        <f>IF($B47="","",COUNTIFS(NOVEDADES!$L$4:$L$2003,$B47,NOVEDADES!$Y$4:$Y$2003,"CERRADA*",NOVEDADES!$B$4:$B$2003,"&gt;="&amp;$E$4,NOVEDADES!$B$4:$B$2003,"&lt;="&amp;$G$4))</f>
        <v/>
      </c>
      <c r="H47" s="19">
        <f>IF($B47="","",COUNTIFS(NOVEDADES!$L$4:$L$2003,$B47,NOVEDADES!$Y$4:$Y$2003,"VENCIDA",NOVEDADES!$B$4:$B$2003,"&gt;="&amp;$E$4,NOVEDADES!$B$4:$B$2003,"&lt;="&amp;$G$4))</f>
        <v/>
      </c>
    </row>
    <row r="48">
      <c r="B48" s="18">
        <f>IF(LISTAS!$A8="","",LISTAS!$A8)</f>
        <v/>
      </c>
      <c r="C48" s="19">
        <f>IF($B48="","",COUNTIFS(NOVEDADES!$L$4:$L$2003,$B48,NOVEDADES!$B$4:$B$2003,"&gt;="&amp;$E$4,NOVEDADES!$B$4:$B$2003,"&lt;="&amp;$G$4))</f>
        <v/>
      </c>
      <c r="D48" s="20">
        <f>IF($B48="","",IFERROR($C48/$C$59,0))</f>
        <v/>
      </c>
      <c r="E48" s="21">
        <f>IF($B48="","",SUMIFS(NOVEDADES!$R$4:$R$2003,NOVEDADES!$L$4:$L$2003,$B48,NOVEDADES!$B$4:$B$2003,"&gt;="&amp;$E$4,NOVEDADES!$B$4:$B$2003,"&lt;="&amp;$G$4))</f>
        <v/>
      </c>
      <c r="F48" s="19">
        <f>IF($B48="","",COUNTIFS(NOVEDADES!$Y$4:$Y$2003,"EN PLAZO",NOVEDADES!$B$4:$B$2003,"&gt;="&amp;$E$4,NOVEDADES!$B$4:$B$2003,"&lt;="&amp;$G$4,NOVEDADES!$L$4:$L$2003,$B48)+COUNTIFS(NOVEDADES!$Y$4:$Y$2003,"POR VENCER",NOVEDADES!$B$4:$B$2003,"&gt;="&amp;$E$4,NOVEDADES!$B$4:$B$2003,"&lt;="&amp;$G$4,NOVEDADES!$L$4:$L$2003,$B48)+COUNTIFS(NOVEDADES!$Y$4:$Y$2003,"VENCIDA",NOVEDADES!$B$4:$B$2003,"&gt;="&amp;$E$4,NOVEDADES!$B$4:$B$2003,"&lt;="&amp;$G$4,NOVEDADES!$L$4:$L$2003,$B48)+COUNTIFS(NOVEDADES!$Y$4:$Y$2003,"SIN CLASIFICAR",NOVEDADES!$B$4:$B$2003,"&gt;="&amp;$E$4,NOVEDADES!$B$4:$B$2003,"&lt;="&amp;$G$4,NOVEDADES!$L$4:$L$2003,$B48))</f>
        <v/>
      </c>
      <c r="G48" s="19">
        <f>IF($B48="","",COUNTIFS(NOVEDADES!$L$4:$L$2003,$B48,NOVEDADES!$Y$4:$Y$2003,"CERRADA*",NOVEDADES!$B$4:$B$2003,"&gt;="&amp;$E$4,NOVEDADES!$B$4:$B$2003,"&lt;="&amp;$G$4))</f>
        <v/>
      </c>
      <c r="H48" s="19">
        <f>IF($B48="","",COUNTIFS(NOVEDADES!$L$4:$L$2003,$B48,NOVEDADES!$Y$4:$Y$2003,"VENCIDA",NOVEDADES!$B$4:$B$2003,"&gt;="&amp;$E$4,NOVEDADES!$B$4:$B$2003,"&lt;="&amp;$G$4))</f>
        <v/>
      </c>
    </row>
    <row r="49">
      <c r="B49" s="18">
        <f>IF(LISTAS!$A9="","",LISTAS!$A9)</f>
        <v/>
      </c>
      <c r="C49" s="19">
        <f>IF($B49="","",COUNTIFS(NOVEDADES!$L$4:$L$2003,$B49,NOVEDADES!$B$4:$B$2003,"&gt;="&amp;$E$4,NOVEDADES!$B$4:$B$2003,"&lt;="&amp;$G$4))</f>
        <v/>
      </c>
      <c r="D49" s="20">
        <f>IF($B49="","",IFERROR($C49/$C$59,0))</f>
        <v/>
      </c>
      <c r="E49" s="21">
        <f>IF($B49="","",SUMIFS(NOVEDADES!$R$4:$R$2003,NOVEDADES!$L$4:$L$2003,$B49,NOVEDADES!$B$4:$B$2003,"&gt;="&amp;$E$4,NOVEDADES!$B$4:$B$2003,"&lt;="&amp;$G$4))</f>
        <v/>
      </c>
      <c r="F49" s="19">
        <f>IF($B49="","",COUNTIFS(NOVEDADES!$Y$4:$Y$2003,"EN PLAZO",NOVEDADES!$B$4:$B$2003,"&gt;="&amp;$E$4,NOVEDADES!$B$4:$B$2003,"&lt;="&amp;$G$4,NOVEDADES!$L$4:$L$2003,$B49)+COUNTIFS(NOVEDADES!$Y$4:$Y$2003,"POR VENCER",NOVEDADES!$B$4:$B$2003,"&gt;="&amp;$E$4,NOVEDADES!$B$4:$B$2003,"&lt;="&amp;$G$4,NOVEDADES!$L$4:$L$2003,$B49)+COUNTIFS(NOVEDADES!$Y$4:$Y$2003,"VENCIDA",NOVEDADES!$B$4:$B$2003,"&gt;="&amp;$E$4,NOVEDADES!$B$4:$B$2003,"&lt;="&amp;$G$4,NOVEDADES!$L$4:$L$2003,$B49)+COUNTIFS(NOVEDADES!$Y$4:$Y$2003,"SIN CLASIFICAR",NOVEDADES!$B$4:$B$2003,"&gt;="&amp;$E$4,NOVEDADES!$B$4:$B$2003,"&lt;="&amp;$G$4,NOVEDADES!$L$4:$L$2003,$B49))</f>
        <v/>
      </c>
      <c r="G49" s="19">
        <f>IF($B49="","",COUNTIFS(NOVEDADES!$L$4:$L$2003,$B49,NOVEDADES!$Y$4:$Y$2003,"CERRADA*",NOVEDADES!$B$4:$B$2003,"&gt;="&amp;$E$4,NOVEDADES!$B$4:$B$2003,"&lt;="&amp;$G$4))</f>
        <v/>
      </c>
      <c r="H49" s="19">
        <f>IF($B49="","",COUNTIFS(NOVEDADES!$L$4:$L$2003,$B49,NOVEDADES!$Y$4:$Y$2003,"VENCIDA",NOVEDADES!$B$4:$B$2003,"&gt;="&amp;$E$4,NOVEDADES!$B$4:$B$2003,"&lt;="&amp;$G$4))</f>
        <v/>
      </c>
    </row>
    <row r="50">
      <c r="B50" s="18">
        <f>IF(LISTAS!$A10="","",LISTAS!$A10)</f>
        <v/>
      </c>
      <c r="C50" s="19">
        <f>IF($B50="","",COUNTIFS(NOVEDADES!$L$4:$L$2003,$B50,NOVEDADES!$B$4:$B$2003,"&gt;="&amp;$E$4,NOVEDADES!$B$4:$B$2003,"&lt;="&amp;$G$4))</f>
        <v/>
      </c>
      <c r="D50" s="20">
        <f>IF($B50="","",IFERROR($C50/$C$59,0))</f>
        <v/>
      </c>
      <c r="E50" s="21">
        <f>IF($B50="","",SUMIFS(NOVEDADES!$R$4:$R$2003,NOVEDADES!$L$4:$L$2003,$B50,NOVEDADES!$B$4:$B$2003,"&gt;="&amp;$E$4,NOVEDADES!$B$4:$B$2003,"&lt;="&amp;$G$4))</f>
        <v/>
      </c>
      <c r="F50" s="19">
        <f>IF($B50="","",COUNTIFS(NOVEDADES!$Y$4:$Y$2003,"EN PLAZO",NOVEDADES!$B$4:$B$2003,"&gt;="&amp;$E$4,NOVEDADES!$B$4:$B$2003,"&lt;="&amp;$G$4,NOVEDADES!$L$4:$L$2003,$B50)+COUNTIFS(NOVEDADES!$Y$4:$Y$2003,"POR VENCER",NOVEDADES!$B$4:$B$2003,"&gt;="&amp;$E$4,NOVEDADES!$B$4:$B$2003,"&lt;="&amp;$G$4,NOVEDADES!$L$4:$L$2003,$B50)+COUNTIFS(NOVEDADES!$Y$4:$Y$2003,"VENCIDA",NOVEDADES!$B$4:$B$2003,"&gt;="&amp;$E$4,NOVEDADES!$B$4:$B$2003,"&lt;="&amp;$G$4,NOVEDADES!$L$4:$L$2003,$B50)+COUNTIFS(NOVEDADES!$Y$4:$Y$2003,"SIN CLASIFICAR",NOVEDADES!$B$4:$B$2003,"&gt;="&amp;$E$4,NOVEDADES!$B$4:$B$2003,"&lt;="&amp;$G$4,NOVEDADES!$L$4:$L$2003,$B50))</f>
        <v/>
      </c>
      <c r="G50" s="19">
        <f>IF($B50="","",COUNTIFS(NOVEDADES!$L$4:$L$2003,$B50,NOVEDADES!$Y$4:$Y$2003,"CERRADA*",NOVEDADES!$B$4:$B$2003,"&gt;="&amp;$E$4,NOVEDADES!$B$4:$B$2003,"&lt;="&amp;$G$4))</f>
        <v/>
      </c>
      <c r="H50" s="19">
        <f>IF($B50="","",COUNTIFS(NOVEDADES!$L$4:$L$2003,$B50,NOVEDADES!$Y$4:$Y$2003,"VENCIDA",NOVEDADES!$B$4:$B$2003,"&gt;="&amp;$E$4,NOVEDADES!$B$4:$B$2003,"&lt;="&amp;$G$4))</f>
        <v/>
      </c>
    </row>
    <row r="51">
      <c r="B51" s="18">
        <f>IF(LISTAS!$A11="","",LISTAS!$A11)</f>
        <v/>
      </c>
      <c r="C51" s="19">
        <f>IF($B51="","",COUNTIFS(NOVEDADES!$L$4:$L$2003,$B51,NOVEDADES!$B$4:$B$2003,"&gt;="&amp;$E$4,NOVEDADES!$B$4:$B$2003,"&lt;="&amp;$G$4))</f>
        <v/>
      </c>
      <c r="D51" s="20">
        <f>IF($B51="","",IFERROR($C51/$C$59,0))</f>
        <v/>
      </c>
      <c r="E51" s="21">
        <f>IF($B51="","",SUMIFS(NOVEDADES!$R$4:$R$2003,NOVEDADES!$L$4:$L$2003,$B51,NOVEDADES!$B$4:$B$2003,"&gt;="&amp;$E$4,NOVEDADES!$B$4:$B$2003,"&lt;="&amp;$G$4))</f>
        <v/>
      </c>
      <c r="F51" s="19">
        <f>IF($B51="","",COUNTIFS(NOVEDADES!$Y$4:$Y$2003,"EN PLAZO",NOVEDADES!$B$4:$B$2003,"&gt;="&amp;$E$4,NOVEDADES!$B$4:$B$2003,"&lt;="&amp;$G$4,NOVEDADES!$L$4:$L$2003,$B51)+COUNTIFS(NOVEDADES!$Y$4:$Y$2003,"POR VENCER",NOVEDADES!$B$4:$B$2003,"&gt;="&amp;$E$4,NOVEDADES!$B$4:$B$2003,"&lt;="&amp;$G$4,NOVEDADES!$L$4:$L$2003,$B51)+COUNTIFS(NOVEDADES!$Y$4:$Y$2003,"VENCIDA",NOVEDADES!$B$4:$B$2003,"&gt;="&amp;$E$4,NOVEDADES!$B$4:$B$2003,"&lt;="&amp;$G$4,NOVEDADES!$L$4:$L$2003,$B51)+COUNTIFS(NOVEDADES!$Y$4:$Y$2003,"SIN CLASIFICAR",NOVEDADES!$B$4:$B$2003,"&gt;="&amp;$E$4,NOVEDADES!$B$4:$B$2003,"&lt;="&amp;$G$4,NOVEDADES!$L$4:$L$2003,$B51))</f>
        <v/>
      </c>
      <c r="G51" s="19">
        <f>IF($B51="","",COUNTIFS(NOVEDADES!$L$4:$L$2003,$B51,NOVEDADES!$Y$4:$Y$2003,"CERRADA*",NOVEDADES!$B$4:$B$2003,"&gt;="&amp;$E$4,NOVEDADES!$B$4:$B$2003,"&lt;="&amp;$G$4))</f>
        <v/>
      </c>
      <c r="H51" s="19">
        <f>IF($B51="","",COUNTIFS(NOVEDADES!$L$4:$L$2003,$B51,NOVEDADES!$Y$4:$Y$2003,"VENCIDA",NOVEDADES!$B$4:$B$2003,"&gt;="&amp;$E$4,NOVEDADES!$B$4:$B$2003,"&lt;="&amp;$G$4))</f>
        <v/>
      </c>
    </row>
    <row r="52">
      <c r="B52" s="18">
        <f>IF(LISTAS!$A12="","",LISTAS!$A12)</f>
        <v/>
      </c>
      <c r="C52" s="19">
        <f>IF($B52="","",COUNTIFS(NOVEDADES!$L$4:$L$2003,$B52,NOVEDADES!$B$4:$B$2003,"&gt;="&amp;$E$4,NOVEDADES!$B$4:$B$2003,"&lt;="&amp;$G$4))</f>
        <v/>
      </c>
      <c r="D52" s="20">
        <f>IF($B52="","",IFERROR($C52/$C$59,0))</f>
        <v/>
      </c>
      <c r="E52" s="21">
        <f>IF($B52="","",SUMIFS(NOVEDADES!$R$4:$R$2003,NOVEDADES!$L$4:$L$2003,$B52,NOVEDADES!$B$4:$B$2003,"&gt;="&amp;$E$4,NOVEDADES!$B$4:$B$2003,"&lt;="&amp;$G$4))</f>
        <v/>
      </c>
      <c r="F52" s="19">
        <f>IF($B52="","",COUNTIFS(NOVEDADES!$Y$4:$Y$2003,"EN PLAZO",NOVEDADES!$B$4:$B$2003,"&gt;="&amp;$E$4,NOVEDADES!$B$4:$B$2003,"&lt;="&amp;$G$4,NOVEDADES!$L$4:$L$2003,$B52)+COUNTIFS(NOVEDADES!$Y$4:$Y$2003,"POR VENCER",NOVEDADES!$B$4:$B$2003,"&gt;="&amp;$E$4,NOVEDADES!$B$4:$B$2003,"&lt;="&amp;$G$4,NOVEDADES!$L$4:$L$2003,$B52)+COUNTIFS(NOVEDADES!$Y$4:$Y$2003,"VENCIDA",NOVEDADES!$B$4:$B$2003,"&gt;="&amp;$E$4,NOVEDADES!$B$4:$B$2003,"&lt;="&amp;$G$4,NOVEDADES!$L$4:$L$2003,$B52)+COUNTIFS(NOVEDADES!$Y$4:$Y$2003,"SIN CLASIFICAR",NOVEDADES!$B$4:$B$2003,"&gt;="&amp;$E$4,NOVEDADES!$B$4:$B$2003,"&lt;="&amp;$G$4,NOVEDADES!$L$4:$L$2003,$B52))</f>
        <v/>
      </c>
      <c r="G52" s="19">
        <f>IF($B52="","",COUNTIFS(NOVEDADES!$L$4:$L$2003,$B52,NOVEDADES!$Y$4:$Y$2003,"CERRADA*",NOVEDADES!$B$4:$B$2003,"&gt;="&amp;$E$4,NOVEDADES!$B$4:$B$2003,"&lt;="&amp;$G$4))</f>
        <v/>
      </c>
      <c r="H52" s="19">
        <f>IF($B52="","",COUNTIFS(NOVEDADES!$L$4:$L$2003,$B52,NOVEDADES!$Y$4:$Y$2003,"VENCIDA",NOVEDADES!$B$4:$B$2003,"&gt;="&amp;$E$4,NOVEDADES!$B$4:$B$2003,"&lt;="&amp;$G$4))</f>
        <v/>
      </c>
    </row>
    <row r="53">
      <c r="B53" s="18">
        <f>IF(LISTAS!$A13="","",LISTAS!$A13)</f>
        <v/>
      </c>
      <c r="C53" s="19">
        <f>IF($B53="","",COUNTIFS(NOVEDADES!$L$4:$L$2003,$B53,NOVEDADES!$B$4:$B$2003,"&gt;="&amp;$E$4,NOVEDADES!$B$4:$B$2003,"&lt;="&amp;$G$4))</f>
        <v/>
      </c>
      <c r="D53" s="20">
        <f>IF($B53="","",IFERROR($C53/$C$59,0))</f>
        <v/>
      </c>
      <c r="E53" s="21">
        <f>IF($B53="","",SUMIFS(NOVEDADES!$R$4:$R$2003,NOVEDADES!$L$4:$L$2003,$B53,NOVEDADES!$B$4:$B$2003,"&gt;="&amp;$E$4,NOVEDADES!$B$4:$B$2003,"&lt;="&amp;$G$4))</f>
        <v/>
      </c>
      <c r="F53" s="19">
        <f>IF($B53="","",COUNTIFS(NOVEDADES!$Y$4:$Y$2003,"EN PLAZO",NOVEDADES!$B$4:$B$2003,"&gt;="&amp;$E$4,NOVEDADES!$B$4:$B$2003,"&lt;="&amp;$G$4,NOVEDADES!$L$4:$L$2003,$B53)+COUNTIFS(NOVEDADES!$Y$4:$Y$2003,"POR VENCER",NOVEDADES!$B$4:$B$2003,"&gt;="&amp;$E$4,NOVEDADES!$B$4:$B$2003,"&lt;="&amp;$G$4,NOVEDADES!$L$4:$L$2003,$B53)+COUNTIFS(NOVEDADES!$Y$4:$Y$2003,"VENCIDA",NOVEDADES!$B$4:$B$2003,"&gt;="&amp;$E$4,NOVEDADES!$B$4:$B$2003,"&lt;="&amp;$G$4,NOVEDADES!$L$4:$L$2003,$B53)+COUNTIFS(NOVEDADES!$Y$4:$Y$2003,"SIN CLASIFICAR",NOVEDADES!$B$4:$B$2003,"&gt;="&amp;$E$4,NOVEDADES!$B$4:$B$2003,"&lt;="&amp;$G$4,NOVEDADES!$L$4:$L$2003,$B53))</f>
        <v/>
      </c>
      <c r="G53" s="19">
        <f>IF($B53="","",COUNTIFS(NOVEDADES!$L$4:$L$2003,$B53,NOVEDADES!$Y$4:$Y$2003,"CERRADA*",NOVEDADES!$B$4:$B$2003,"&gt;="&amp;$E$4,NOVEDADES!$B$4:$B$2003,"&lt;="&amp;$G$4))</f>
        <v/>
      </c>
      <c r="H53" s="19">
        <f>IF($B53="","",COUNTIFS(NOVEDADES!$L$4:$L$2003,$B53,NOVEDADES!$Y$4:$Y$2003,"VENCIDA",NOVEDADES!$B$4:$B$2003,"&gt;="&amp;$E$4,NOVEDADES!$B$4:$B$2003,"&lt;="&amp;$G$4))</f>
        <v/>
      </c>
    </row>
    <row r="54">
      <c r="B54" s="18">
        <f>IF(LISTAS!$A14="","",LISTAS!$A14)</f>
        <v/>
      </c>
      <c r="C54" s="19">
        <f>IF($B54="","",COUNTIFS(NOVEDADES!$L$4:$L$2003,$B54,NOVEDADES!$B$4:$B$2003,"&gt;="&amp;$E$4,NOVEDADES!$B$4:$B$2003,"&lt;="&amp;$G$4))</f>
        <v/>
      </c>
      <c r="D54" s="20">
        <f>IF($B54="","",IFERROR($C54/$C$59,0))</f>
        <v/>
      </c>
      <c r="E54" s="21">
        <f>IF($B54="","",SUMIFS(NOVEDADES!$R$4:$R$2003,NOVEDADES!$L$4:$L$2003,$B54,NOVEDADES!$B$4:$B$2003,"&gt;="&amp;$E$4,NOVEDADES!$B$4:$B$2003,"&lt;="&amp;$G$4))</f>
        <v/>
      </c>
      <c r="F54" s="19">
        <f>IF($B54="","",COUNTIFS(NOVEDADES!$Y$4:$Y$2003,"EN PLAZO",NOVEDADES!$B$4:$B$2003,"&gt;="&amp;$E$4,NOVEDADES!$B$4:$B$2003,"&lt;="&amp;$G$4,NOVEDADES!$L$4:$L$2003,$B54)+COUNTIFS(NOVEDADES!$Y$4:$Y$2003,"POR VENCER",NOVEDADES!$B$4:$B$2003,"&gt;="&amp;$E$4,NOVEDADES!$B$4:$B$2003,"&lt;="&amp;$G$4,NOVEDADES!$L$4:$L$2003,$B54)+COUNTIFS(NOVEDADES!$Y$4:$Y$2003,"VENCIDA",NOVEDADES!$B$4:$B$2003,"&gt;="&amp;$E$4,NOVEDADES!$B$4:$B$2003,"&lt;="&amp;$G$4,NOVEDADES!$L$4:$L$2003,$B54)+COUNTIFS(NOVEDADES!$Y$4:$Y$2003,"SIN CLASIFICAR",NOVEDADES!$B$4:$B$2003,"&gt;="&amp;$E$4,NOVEDADES!$B$4:$B$2003,"&lt;="&amp;$G$4,NOVEDADES!$L$4:$L$2003,$B54))</f>
        <v/>
      </c>
      <c r="G54" s="19">
        <f>IF($B54="","",COUNTIFS(NOVEDADES!$L$4:$L$2003,$B54,NOVEDADES!$Y$4:$Y$2003,"CERRADA*",NOVEDADES!$B$4:$B$2003,"&gt;="&amp;$E$4,NOVEDADES!$B$4:$B$2003,"&lt;="&amp;$G$4))</f>
        <v/>
      </c>
      <c r="H54" s="19">
        <f>IF($B54="","",COUNTIFS(NOVEDADES!$L$4:$L$2003,$B54,NOVEDADES!$Y$4:$Y$2003,"VENCIDA",NOVEDADES!$B$4:$B$2003,"&gt;="&amp;$E$4,NOVEDADES!$B$4:$B$2003,"&lt;="&amp;$G$4))</f>
        <v/>
      </c>
    </row>
    <row r="55">
      <c r="B55" s="18">
        <f>IF(LISTAS!$A15="","",LISTAS!$A15)</f>
        <v/>
      </c>
      <c r="C55" s="19">
        <f>IF($B55="","",COUNTIFS(NOVEDADES!$L$4:$L$2003,$B55,NOVEDADES!$B$4:$B$2003,"&gt;="&amp;$E$4,NOVEDADES!$B$4:$B$2003,"&lt;="&amp;$G$4))</f>
        <v/>
      </c>
      <c r="D55" s="20">
        <f>IF($B55="","",IFERROR($C55/$C$59,0))</f>
        <v/>
      </c>
      <c r="E55" s="21">
        <f>IF($B55="","",SUMIFS(NOVEDADES!$R$4:$R$2003,NOVEDADES!$L$4:$L$2003,$B55,NOVEDADES!$B$4:$B$2003,"&gt;="&amp;$E$4,NOVEDADES!$B$4:$B$2003,"&lt;="&amp;$G$4))</f>
        <v/>
      </c>
      <c r="F55" s="19">
        <f>IF($B55="","",COUNTIFS(NOVEDADES!$Y$4:$Y$2003,"EN PLAZO",NOVEDADES!$B$4:$B$2003,"&gt;="&amp;$E$4,NOVEDADES!$B$4:$B$2003,"&lt;="&amp;$G$4,NOVEDADES!$L$4:$L$2003,$B55)+COUNTIFS(NOVEDADES!$Y$4:$Y$2003,"POR VENCER",NOVEDADES!$B$4:$B$2003,"&gt;="&amp;$E$4,NOVEDADES!$B$4:$B$2003,"&lt;="&amp;$G$4,NOVEDADES!$L$4:$L$2003,$B55)+COUNTIFS(NOVEDADES!$Y$4:$Y$2003,"VENCIDA",NOVEDADES!$B$4:$B$2003,"&gt;="&amp;$E$4,NOVEDADES!$B$4:$B$2003,"&lt;="&amp;$G$4,NOVEDADES!$L$4:$L$2003,$B55)+COUNTIFS(NOVEDADES!$Y$4:$Y$2003,"SIN CLASIFICAR",NOVEDADES!$B$4:$B$2003,"&gt;="&amp;$E$4,NOVEDADES!$B$4:$B$2003,"&lt;="&amp;$G$4,NOVEDADES!$L$4:$L$2003,$B55))</f>
        <v/>
      </c>
      <c r="G55" s="19">
        <f>IF($B55="","",COUNTIFS(NOVEDADES!$L$4:$L$2003,$B55,NOVEDADES!$Y$4:$Y$2003,"CERRADA*",NOVEDADES!$B$4:$B$2003,"&gt;="&amp;$E$4,NOVEDADES!$B$4:$B$2003,"&lt;="&amp;$G$4))</f>
        <v/>
      </c>
      <c r="H55" s="19">
        <f>IF($B55="","",COUNTIFS(NOVEDADES!$L$4:$L$2003,$B55,NOVEDADES!$Y$4:$Y$2003,"VENCIDA",NOVEDADES!$B$4:$B$2003,"&gt;="&amp;$E$4,NOVEDADES!$B$4:$B$2003,"&lt;="&amp;$G$4))</f>
        <v/>
      </c>
    </row>
    <row r="56">
      <c r="B56" s="18">
        <f>IF(LISTAS!$A16="","",LISTAS!$A16)</f>
        <v/>
      </c>
      <c r="C56" s="19">
        <f>IF($B56="","",COUNTIFS(NOVEDADES!$L$4:$L$2003,$B56,NOVEDADES!$B$4:$B$2003,"&gt;="&amp;$E$4,NOVEDADES!$B$4:$B$2003,"&lt;="&amp;$G$4))</f>
        <v/>
      </c>
      <c r="D56" s="20">
        <f>IF($B56="","",IFERROR($C56/$C$59,0))</f>
        <v/>
      </c>
      <c r="E56" s="21">
        <f>IF($B56="","",SUMIFS(NOVEDADES!$R$4:$R$2003,NOVEDADES!$L$4:$L$2003,$B56,NOVEDADES!$B$4:$B$2003,"&gt;="&amp;$E$4,NOVEDADES!$B$4:$B$2003,"&lt;="&amp;$G$4))</f>
        <v/>
      </c>
      <c r="F56" s="19">
        <f>IF($B56="","",COUNTIFS(NOVEDADES!$Y$4:$Y$2003,"EN PLAZO",NOVEDADES!$B$4:$B$2003,"&gt;="&amp;$E$4,NOVEDADES!$B$4:$B$2003,"&lt;="&amp;$G$4,NOVEDADES!$L$4:$L$2003,$B56)+COUNTIFS(NOVEDADES!$Y$4:$Y$2003,"POR VENCER",NOVEDADES!$B$4:$B$2003,"&gt;="&amp;$E$4,NOVEDADES!$B$4:$B$2003,"&lt;="&amp;$G$4,NOVEDADES!$L$4:$L$2003,$B56)+COUNTIFS(NOVEDADES!$Y$4:$Y$2003,"VENCIDA",NOVEDADES!$B$4:$B$2003,"&gt;="&amp;$E$4,NOVEDADES!$B$4:$B$2003,"&lt;="&amp;$G$4,NOVEDADES!$L$4:$L$2003,$B56)+COUNTIFS(NOVEDADES!$Y$4:$Y$2003,"SIN CLASIFICAR",NOVEDADES!$B$4:$B$2003,"&gt;="&amp;$E$4,NOVEDADES!$B$4:$B$2003,"&lt;="&amp;$G$4,NOVEDADES!$L$4:$L$2003,$B56))</f>
        <v/>
      </c>
      <c r="G56" s="19">
        <f>IF($B56="","",COUNTIFS(NOVEDADES!$L$4:$L$2003,$B56,NOVEDADES!$Y$4:$Y$2003,"CERRADA*",NOVEDADES!$B$4:$B$2003,"&gt;="&amp;$E$4,NOVEDADES!$B$4:$B$2003,"&lt;="&amp;$G$4))</f>
        <v/>
      </c>
      <c r="H56" s="19">
        <f>IF($B56="","",COUNTIFS(NOVEDADES!$L$4:$L$2003,$B56,NOVEDADES!$Y$4:$Y$2003,"VENCIDA",NOVEDADES!$B$4:$B$2003,"&gt;="&amp;$E$4,NOVEDADES!$B$4:$B$2003,"&lt;="&amp;$G$4))</f>
        <v/>
      </c>
    </row>
    <row r="57">
      <c r="B57" s="18">
        <f>IF(LISTAS!$A17="","",LISTAS!$A17)</f>
        <v/>
      </c>
      <c r="C57" s="19">
        <f>IF($B57="","",COUNTIFS(NOVEDADES!$L$4:$L$2003,$B57,NOVEDADES!$B$4:$B$2003,"&gt;="&amp;$E$4,NOVEDADES!$B$4:$B$2003,"&lt;="&amp;$G$4))</f>
        <v/>
      </c>
      <c r="D57" s="20">
        <f>IF($B57="","",IFERROR($C57/$C$59,0))</f>
        <v/>
      </c>
      <c r="E57" s="21">
        <f>IF($B57="","",SUMIFS(NOVEDADES!$R$4:$R$2003,NOVEDADES!$L$4:$L$2003,$B57,NOVEDADES!$B$4:$B$2003,"&gt;="&amp;$E$4,NOVEDADES!$B$4:$B$2003,"&lt;="&amp;$G$4))</f>
        <v/>
      </c>
      <c r="F57" s="19">
        <f>IF($B57="","",COUNTIFS(NOVEDADES!$Y$4:$Y$2003,"EN PLAZO",NOVEDADES!$B$4:$B$2003,"&gt;="&amp;$E$4,NOVEDADES!$B$4:$B$2003,"&lt;="&amp;$G$4,NOVEDADES!$L$4:$L$2003,$B57)+COUNTIFS(NOVEDADES!$Y$4:$Y$2003,"POR VENCER",NOVEDADES!$B$4:$B$2003,"&gt;="&amp;$E$4,NOVEDADES!$B$4:$B$2003,"&lt;="&amp;$G$4,NOVEDADES!$L$4:$L$2003,$B57)+COUNTIFS(NOVEDADES!$Y$4:$Y$2003,"VENCIDA",NOVEDADES!$B$4:$B$2003,"&gt;="&amp;$E$4,NOVEDADES!$B$4:$B$2003,"&lt;="&amp;$G$4,NOVEDADES!$L$4:$L$2003,$B57)+COUNTIFS(NOVEDADES!$Y$4:$Y$2003,"SIN CLASIFICAR",NOVEDADES!$B$4:$B$2003,"&gt;="&amp;$E$4,NOVEDADES!$B$4:$B$2003,"&lt;="&amp;$G$4,NOVEDADES!$L$4:$L$2003,$B57))</f>
        <v/>
      </c>
      <c r="G57" s="19">
        <f>IF($B57="","",COUNTIFS(NOVEDADES!$L$4:$L$2003,$B57,NOVEDADES!$Y$4:$Y$2003,"CERRADA*",NOVEDADES!$B$4:$B$2003,"&gt;="&amp;$E$4,NOVEDADES!$B$4:$B$2003,"&lt;="&amp;$G$4))</f>
        <v/>
      </c>
      <c r="H57" s="19">
        <f>IF($B57="","",COUNTIFS(NOVEDADES!$L$4:$L$2003,$B57,NOVEDADES!$Y$4:$Y$2003,"VENCIDA",NOVEDADES!$B$4:$B$2003,"&gt;="&amp;$E$4,NOVEDADES!$B$4:$B$2003,"&lt;="&amp;$G$4))</f>
        <v/>
      </c>
    </row>
    <row r="58">
      <c r="B58" s="18">
        <f>IF(LISTAS!$A18="","",LISTAS!$A18)</f>
        <v/>
      </c>
      <c r="C58" s="19">
        <f>IF($B58="","",COUNTIFS(NOVEDADES!$L$4:$L$2003,$B58,NOVEDADES!$B$4:$B$2003,"&gt;="&amp;$E$4,NOVEDADES!$B$4:$B$2003,"&lt;="&amp;$G$4))</f>
        <v/>
      </c>
      <c r="D58" s="20">
        <f>IF($B58="","",IFERROR($C58/$C$59,0))</f>
        <v/>
      </c>
      <c r="E58" s="21">
        <f>IF($B58="","",SUMIFS(NOVEDADES!$R$4:$R$2003,NOVEDADES!$L$4:$L$2003,$B58,NOVEDADES!$B$4:$B$2003,"&gt;="&amp;$E$4,NOVEDADES!$B$4:$B$2003,"&lt;="&amp;$G$4))</f>
        <v/>
      </c>
      <c r="F58" s="19">
        <f>IF($B58="","",COUNTIFS(NOVEDADES!$Y$4:$Y$2003,"EN PLAZO",NOVEDADES!$B$4:$B$2003,"&gt;="&amp;$E$4,NOVEDADES!$B$4:$B$2003,"&lt;="&amp;$G$4,NOVEDADES!$L$4:$L$2003,$B58)+COUNTIFS(NOVEDADES!$Y$4:$Y$2003,"POR VENCER",NOVEDADES!$B$4:$B$2003,"&gt;="&amp;$E$4,NOVEDADES!$B$4:$B$2003,"&lt;="&amp;$G$4,NOVEDADES!$L$4:$L$2003,$B58)+COUNTIFS(NOVEDADES!$Y$4:$Y$2003,"VENCIDA",NOVEDADES!$B$4:$B$2003,"&gt;="&amp;$E$4,NOVEDADES!$B$4:$B$2003,"&lt;="&amp;$G$4,NOVEDADES!$L$4:$L$2003,$B58)+COUNTIFS(NOVEDADES!$Y$4:$Y$2003,"SIN CLASIFICAR",NOVEDADES!$B$4:$B$2003,"&gt;="&amp;$E$4,NOVEDADES!$B$4:$B$2003,"&lt;="&amp;$G$4,NOVEDADES!$L$4:$L$2003,$B58))</f>
        <v/>
      </c>
      <c r="G58" s="19">
        <f>IF($B58="","",COUNTIFS(NOVEDADES!$L$4:$L$2003,$B58,NOVEDADES!$Y$4:$Y$2003,"CERRADA*",NOVEDADES!$B$4:$B$2003,"&gt;="&amp;$E$4,NOVEDADES!$B$4:$B$2003,"&lt;="&amp;$G$4))</f>
        <v/>
      </c>
      <c r="H58" s="19">
        <f>IF($B58="","",COUNTIFS(NOVEDADES!$L$4:$L$2003,$B58,NOVEDADES!$Y$4:$Y$2003,"VENCIDA",NOVEDADES!$B$4:$B$2003,"&gt;="&amp;$E$4,NOVEDADES!$B$4:$B$2003,"&lt;="&amp;$G$4))</f>
        <v/>
      </c>
    </row>
    <row r="59">
      <c r="B59" s="29" t="inlineStr">
        <is>
          <t>TOTAL</t>
        </is>
      </c>
      <c r="C59" s="30">
        <f>SUM($C$43:$C$58)</f>
        <v/>
      </c>
      <c r="D59" s="31">
        <f>IF($C$59=0,0,1)</f>
        <v/>
      </c>
      <c r="E59" s="32">
        <f>SUM($E$43:$E$58)</f>
        <v/>
      </c>
      <c r="F59" s="30">
        <f>SUM($F$43:$F$58)</f>
        <v/>
      </c>
      <c r="G59" s="30">
        <f>SUM($G$43:$G$58)</f>
        <v/>
      </c>
      <c r="H59" s="30">
        <f>SUM($H$43:$H$58)</f>
        <v/>
      </c>
    </row>
    <row r="61" ht="18" customHeight="1">
      <c r="B61" s="6" t="inlineStr">
        <is>
          <t>4. NOVEDADES ABIERTAS VS. CERRADAS POR TRANSPORTADORA</t>
        </is>
      </c>
    </row>
    <row r="62" ht="28" customHeight="1">
      <c r="B62" s="15" t="inlineStr">
        <is>
          <t>Transportadora</t>
        </is>
      </c>
      <c r="C62" s="15" t="inlineStr">
        <is>
          <t>Despachos</t>
        </is>
      </c>
      <c r="D62" s="15" t="inlineStr">
        <is>
          <t>Novedades</t>
        </is>
      </c>
      <c r="E62" s="15" t="inlineStr">
        <is>
          <t>% Incidencia</t>
        </is>
      </c>
      <c r="F62" s="15" t="inlineStr">
        <is>
          <t>Abiertas</t>
        </is>
      </c>
      <c r="G62" s="15" t="inlineStr">
        <is>
          <t>Vencidas</t>
        </is>
      </c>
      <c r="H62" s="15" t="inlineStr">
        <is>
          <t>Cerradas</t>
        </is>
      </c>
      <c r="I62" s="15" t="inlineStr">
        <is>
          <t>% Cierre</t>
        </is>
      </c>
      <c r="J62" s="15" t="inlineStr">
        <is>
          <t>Días prom.</t>
        </is>
      </c>
      <c r="K62" s="15" t="inlineStr">
        <is>
          <t>Valor impactado</t>
        </is>
      </c>
    </row>
    <row r="63">
      <c r="B63" s="18">
        <f>IF(LISTAS!$K3="","",LISTAS!$K3)</f>
        <v/>
      </c>
      <c r="C63" s="19">
        <f>IF($B63="","",COUNTIFS(DESPACHOS!$F$3:$F$3002,$B63,DESPACHOS!$J$3:$J$3002,"&gt;="&amp;$E$4,DESPACHOS!$J$3:$J$3002,"&lt;="&amp;$G$4))</f>
        <v/>
      </c>
      <c r="D63" s="19">
        <f>IF($B63="","",COUNTIFS(NOVEDADES!$G$4:$G$2003,$B63,NOVEDADES!$B$4:$B$2003,"&gt;="&amp;$E$4,NOVEDADES!$B$4:$B$2003,"&lt;="&amp;$G$4))</f>
        <v/>
      </c>
      <c r="E63" s="20">
        <f>IF($B63="","",IFERROR($D63/$C63,"—"))</f>
        <v/>
      </c>
      <c r="F63" s="19">
        <f>IF($B63="","",COUNTIFS(NOVEDADES!$Y$4:$Y$2003,"EN PLAZO",NOVEDADES!$B$4:$B$2003,"&gt;="&amp;$E$4,NOVEDADES!$B$4:$B$2003,"&lt;="&amp;$G$4,NOVEDADES!$G$4:$G$2003,$B63)+COUNTIFS(NOVEDADES!$Y$4:$Y$2003,"POR VENCER",NOVEDADES!$B$4:$B$2003,"&gt;="&amp;$E$4,NOVEDADES!$B$4:$B$2003,"&lt;="&amp;$G$4,NOVEDADES!$G$4:$G$2003,$B63)+COUNTIFS(NOVEDADES!$Y$4:$Y$2003,"VENCIDA",NOVEDADES!$B$4:$B$2003,"&gt;="&amp;$E$4,NOVEDADES!$B$4:$B$2003,"&lt;="&amp;$G$4,NOVEDADES!$G$4:$G$2003,$B63)+COUNTIFS(NOVEDADES!$Y$4:$Y$2003,"SIN CLASIFICAR",NOVEDADES!$B$4:$B$2003,"&gt;="&amp;$E$4,NOVEDADES!$B$4:$B$2003,"&lt;="&amp;$G$4,NOVEDADES!$G$4:$G$2003,$B63))</f>
        <v/>
      </c>
      <c r="G63" s="19">
        <f>IF($B63="","",COUNTIFS(NOVEDADES!$G$4:$G$2003,$B63,NOVEDADES!$Y$4:$Y$2003,"VENCIDA",NOVEDADES!$B$4:$B$2003,"&gt;="&amp;$E$4,NOVEDADES!$B$4:$B$2003,"&lt;="&amp;$G$4))</f>
        <v/>
      </c>
      <c r="H63" s="19">
        <f>IF($B63="","",COUNTIFS(NOVEDADES!$G$4:$G$2003,$B63,NOVEDADES!$Y$4:$Y$2003,"CERRADA*",NOVEDADES!$B$4:$B$2003,"&gt;="&amp;$E$4,NOVEDADES!$B$4:$B$2003,"&lt;="&amp;$G$4))</f>
        <v/>
      </c>
      <c r="I63" s="20">
        <f>IF($B63="","",IFERROR($H63/$D63,"—"))</f>
        <v/>
      </c>
      <c r="J63" s="34">
        <f>IF($B63="","",IFERROR(ROUND(AVERAGEIFS(NOVEDADES!$W$4:$W$2003,NOVEDADES!$G$4:$G$2003,$B63,NOVEDADES!$B$4:$B$2003,"&gt;="&amp;$E$4,NOVEDADES!$B$4:$B$2003,"&lt;="&amp;$G$4),1),0))</f>
        <v/>
      </c>
      <c r="K63" s="21">
        <f>IF($B63="","",SUMIFS(NOVEDADES!$R$4:$R$2003,NOVEDADES!$G$4:$G$2003,$B63,NOVEDADES!$B$4:$B$2003,"&gt;="&amp;$E$4,NOVEDADES!$B$4:$B$2003,"&lt;="&amp;$G$4))</f>
        <v/>
      </c>
    </row>
    <row r="64">
      <c r="B64" s="18">
        <f>IF(LISTAS!$K4="","",LISTAS!$K4)</f>
        <v/>
      </c>
      <c r="C64" s="19">
        <f>IF($B64="","",COUNTIFS(DESPACHOS!$F$3:$F$3002,$B64,DESPACHOS!$J$3:$J$3002,"&gt;="&amp;$E$4,DESPACHOS!$J$3:$J$3002,"&lt;="&amp;$G$4))</f>
        <v/>
      </c>
      <c r="D64" s="19">
        <f>IF($B64="","",COUNTIFS(NOVEDADES!$G$4:$G$2003,$B64,NOVEDADES!$B$4:$B$2003,"&gt;="&amp;$E$4,NOVEDADES!$B$4:$B$2003,"&lt;="&amp;$G$4))</f>
        <v/>
      </c>
      <c r="E64" s="20">
        <f>IF($B64="","",IFERROR($D64/$C64,"—"))</f>
        <v/>
      </c>
      <c r="F64" s="19">
        <f>IF($B64="","",COUNTIFS(NOVEDADES!$Y$4:$Y$2003,"EN PLAZO",NOVEDADES!$B$4:$B$2003,"&gt;="&amp;$E$4,NOVEDADES!$B$4:$B$2003,"&lt;="&amp;$G$4,NOVEDADES!$G$4:$G$2003,$B64)+COUNTIFS(NOVEDADES!$Y$4:$Y$2003,"POR VENCER",NOVEDADES!$B$4:$B$2003,"&gt;="&amp;$E$4,NOVEDADES!$B$4:$B$2003,"&lt;="&amp;$G$4,NOVEDADES!$G$4:$G$2003,$B64)+COUNTIFS(NOVEDADES!$Y$4:$Y$2003,"VENCIDA",NOVEDADES!$B$4:$B$2003,"&gt;="&amp;$E$4,NOVEDADES!$B$4:$B$2003,"&lt;="&amp;$G$4,NOVEDADES!$G$4:$G$2003,$B64)+COUNTIFS(NOVEDADES!$Y$4:$Y$2003,"SIN CLASIFICAR",NOVEDADES!$B$4:$B$2003,"&gt;="&amp;$E$4,NOVEDADES!$B$4:$B$2003,"&lt;="&amp;$G$4,NOVEDADES!$G$4:$G$2003,$B64))</f>
        <v/>
      </c>
      <c r="G64" s="19">
        <f>IF($B64="","",COUNTIFS(NOVEDADES!$G$4:$G$2003,$B64,NOVEDADES!$Y$4:$Y$2003,"VENCIDA",NOVEDADES!$B$4:$B$2003,"&gt;="&amp;$E$4,NOVEDADES!$B$4:$B$2003,"&lt;="&amp;$G$4))</f>
        <v/>
      </c>
      <c r="H64" s="19">
        <f>IF($B64="","",COUNTIFS(NOVEDADES!$G$4:$G$2003,$B64,NOVEDADES!$Y$4:$Y$2003,"CERRADA*",NOVEDADES!$B$4:$B$2003,"&gt;="&amp;$E$4,NOVEDADES!$B$4:$B$2003,"&lt;="&amp;$G$4))</f>
        <v/>
      </c>
      <c r="I64" s="20">
        <f>IF($B64="","",IFERROR($H64/$D64,"—"))</f>
        <v/>
      </c>
      <c r="J64" s="34">
        <f>IF($B64="","",IFERROR(ROUND(AVERAGEIFS(NOVEDADES!$W$4:$W$2003,NOVEDADES!$G$4:$G$2003,$B64,NOVEDADES!$B$4:$B$2003,"&gt;="&amp;$E$4,NOVEDADES!$B$4:$B$2003,"&lt;="&amp;$G$4),1),0))</f>
        <v/>
      </c>
      <c r="K64" s="21">
        <f>IF($B64="","",SUMIFS(NOVEDADES!$R$4:$R$2003,NOVEDADES!$G$4:$G$2003,$B64,NOVEDADES!$B$4:$B$2003,"&gt;="&amp;$E$4,NOVEDADES!$B$4:$B$2003,"&lt;="&amp;$G$4))</f>
        <v/>
      </c>
    </row>
    <row r="65">
      <c r="B65" s="18">
        <f>IF(LISTAS!$K5="","",LISTAS!$K5)</f>
        <v/>
      </c>
      <c r="C65" s="19">
        <f>IF($B65="","",COUNTIFS(DESPACHOS!$F$3:$F$3002,$B65,DESPACHOS!$J$3:$J$3002,"&gt;="&amp;$E$4,DESPACHOS!$J$3:$J$3002,"&lt;="&amp;$G$4))</f>
        <v/>
      </c>
      <c r="D65" s="19">
        <f>IF($B65="","",COUNTIFS(NOVEDADES!$G$4:$G$2003,$B65,NOVEDADES!$B$4:$B$2003,"&gt;="&amp;$E$4,NOVEDADES!$B$4:$B$2003,"&lt;="&amp;$G$4))</f>
        <v/>
      </c>
      <c r="E65" s="20">
        <f>IF($B65="","",IFERROR($D65/$C65,"—"))</f>
        <v/>
      </c>
      <c r="F65" s="19">
        <f>IF($B65="","",COUNTIFS(NOVEDADES!$Y$4:$Y$2003,"EN PLAZO",NOVEDADES!$B$4:$B$2003,"&gt;="&amp;$E$4,NOVEDADES!$B$4:$B$2003,"&lt;="&amp;$G$4,NOVEDADES!$G$4:$G$2003,$B65)+COUNTIFS(NOVEDADES!$Y$4:$Y$2003,"POR VENCER",NOVEDADES!$B$4:$B$2003,"&gt;="&amp;$E$4,NOVEDADES!$B$4:$B$2003,"&lt;="&amp;$G$4,NOVEDADES!$G$4:$G$2003,$B65)+COUNTIFS(NOVEDADES!$Y$4:$Y$2003,"VENCIDA",NOVEDADES!$B$4:$B$2003,"&gt;="&amp;$E$4,NOVEDADES!$B$4:$B$2003,"&lt;="&amp;$G$4,NOVEDADES!$G$4:$G$2003,$B65)+COUNTIFS(NOVEDADES!$Y$4:$Y$2003,"SIN CLASIFICAR",NOVEDADES!$B$4:$B$2003,"&gt;="&amp;$E$4,NOVEDADES!$B$4:$B$2003,"&lt;="&amp;$G$4,NOVEDADES!$G$4:$G$2003,$B65))</f>
        <v/>
      </c>
      <c r="G65" s="19">
        <f>IF($B65="","",COUNTIFS(NOVEDADES!$G$4:$G$2003,$B65,NOVEDADES!$Y$4:$Y$2003,"VENCIDA",NOVEDADES!$B$4:$B$2003,"&gt;="&amp;$E$4,NOVEDADES!$B$4:$B$2003,"&lt;="&amp;$G$4))</f>
        <v/>
      </c>
      <c r="H65" s="19">
        <f>IF($B65="","",COUNTIFS(NOVEDADES!$G$4:$G$2003,$B65,NOVEDADES!$Y$4:$Y$2003,"CERRADA*",NOVEDADES!$B$4:$B$2003,"&gt;="&amp;$E$4,NOVEDADES!$B$4:$B$2003,"&lt;="&amp;$G$4))</f>
        <v/>
      </c>
      <c r="I65" s="20">
        <f>IF($B65="","",IFERROR($H65/$D65,"—"))</f>
        <v/>
      </c>
      <c r="J65" s="34">
        <f>IF($B65="","",IFERROR(ROUND(AVERAGEIFS(NOVEDADES!$W$4:$W$2003,NOVEDADES!$G$4:$G$2003,$B65,NOVEDADES!$B$4:$B$2003,"&gt;="&amp;$E$4,NOVEDADES!$B$4:$B$2003,"&lt;="&amp;$G$4),1),0))</f>
        <v/>
      </c>
      <c r="K65" s="21">
        <f>IF($B65="","",SUMIFS(NOVEDADES!$R$4:$R$2003,NOVEDADES!$G$4:$G$2003,$B65,NOVEDADES!$B$4:$B$2003,"&gt;="&amp;$E$4,NOVEDADES!$B$4:$B$2003,"&lt;="&amp;$G$4))</f>
        <v/>
      </c>
    </row>
    <row r="66">
      <c r="B66" s="18">
        <f>IF(LISTAS!$K6="","",LISTAS!$K6)</f>
        <v/>
      </c>
      <c r="C66" s="19">
        <f>IF($B66="","",COUNTIFS(DESPACHOS!$F$3:$F$3002,$B66,DESPACHOS!$J$3:$J$3002,"&gt;="&amp;$E$4,DESPACHOS!$J$3:$J$3002,"&lt;="&amp;$G$4))</f>
        <v/>
      </c>
      <c r="D66" s="19">
        <f>IF($B66="","",COUNTIFS(NOVEDADES!$G$4:$G$2003,$B66,NOVEDADES!$B$4:$B$2003,"&gt;="&amp;$E$4,NOVEDADES!$B$4:$B$2003,"&lt;="&amp;$G$4))</f>
        <v/>
      </c>
      <c r="E66" s="20">
        <f>IF($B66="","",IFERROR($D66/$C66,"—"))</f>
        <v/>
      </c>
      <c r="F66" s="19">
        <f>IF($B66="","",COUNTIFS(NOVEDADES!$Y$4:$Y$2003,"EN PLAZO",NOVEDADES!$B$4:$B$2003,"&gt;="&amp;$E$4,NOVEDADES!$B$4:$B$2003,"&lt;="&amp;$G$4,NOVEDADES!$G$4:$G$2003,$B66)+COUNTIFS(NOVEDADES!$Y$4:$Y$2003,"POR VENCER",NOVEDADES!$B$4:$B$2003,"&gt;="&amp;$E$4,NOVEDADES!$B$4:$B$2003,"&lt;="&amp;$G$4,NOVEDADES!$G$4:$G$2003,$B66)+COUNTIFS(NOVEDADES!$Y$4:$Y$2003,"VENCIDA",NOVEDADES!$B$4:$B$2003,"&gt;="&amp;$E$4,NOVEDADES!$B$4:$B$2003,"&lt;="&amp;$G$4,NOVEDADES!$G$4:$G$2003,$B66)+COUNTIFS(NOVEDADES!$Y$4:$Y$2003,"SIN CLASIFICAR",NOVEDADES!$B$4:$B$2003,"&gt;="&amp;$E$4,NOVEDADES!$B$4:$B$2003,"&lt;="&amp;$G$4,NOVEDADES!$G$4:$G$2003,$B66))</f>
        <v/>
      </c>
      <c r="G66" s="19">
        <f>IF($B66="","",COUNTIFS(NOVEDADES!$G$4:$G$2003,$B66,NOVEDADES!$Y$4:$Y$2003,"VENCIDA",NOVEDADES!$B$4:$B$2003,"&gt;="&amp;$E$4,NOVEDADES!$B$4:$B$2003,"&lt;="&amp;$G$4))</f>
        <v/>
      </c>
      <c r="H66" s="19">
        <f>IF($B66="","",COUNTIFS(NOVEDADES!$G$4:$G$2003,$B66,NOVEDADES!$Y$4:$Y$2003,"CERRADA*",NOVEDADES!$B$4:$B$2003,"&gt;="&amp;$E$4,NOVEDADES!$B$4:$B$2003,"&lt;="&amp;$G$4))</f>
        <v/>
      </c>
      <c r="I66" s="20">
        <f>IF($B66="","",IFERROR($H66/$D66,"—"))</f>
        <v/>
      </c>
      <c r="J66" s="34">
        <f>IF($B66="","",IFERROR(ROUND(AVERAGEIFS(NOVEDADES!$W$4:$W$2003,NOVEDADES!$G$4:$G$2003,$B66,NOVEDADES!$B$4:$B$2003,"&gt;="&amp;$E$4,NOVEDADES!$B$4:$B$2003,"&lt;="&amp;$G$4),1),0))</f>
        <v/>
      </c>
      <c r="K66" s="21">
        <f>IF($B66="","",SUMIFS(NOVEDADES!$R$4:$R$2003,NOVEDADES!$G$4:$G$2003,$B66,NOVEDADES!$B$4:$B$2003,"&gt;="&amp;$E$4,NOVEDADES!$B$4:$B$2003,"&lt;="&amp;$G$4))</f>
        <v/>
      </c>
    </row>
    <row r="67">
      <c r="B67" s="18">
        <f>IF(LISTAS!$K7="","",LISTAS!$K7)</f>
        <v/>
      </c>
      <c r="C67" s="19">
        <f>IF($B67="","",COUNTIFS(DESPACHOS!$F$3:$F$3002,$B67,DESPACHOS!$J$3:$J$3002,"&gt;="&amp;$E$4,DESPACHOS!$J$3:$J$3002,"&lt;="&amp;$G$4))</f>
        <v/>
      </c>
      <c r="D67" s="19">
        <f>IF($B67="","",COUNTIFS(NOVEDADES!$G$4:$G$2003,$B67,NOVEDADES!$B$4:$B$2003,"&gt;="&amp;$E$4,NOVEDADES!$B$4:$B$2003,"&lt;="&amp;$G$4))</f>
        <v/>
      </c>
      <c r="E67" s="20">
        <f>IF($B67="","",IFERROR($D67/$C67,"—"))</f>
        <v/>
      </c>
      <c r="F67" s="19">
        <f>IF($B67="","",COUNTIFS(NOVEDADES!$Y$4:$Y$2003,"EN PLAZO",NOVEDADES!$B$4:$B$2003,"&gt;="&amp;$E$4,NOVEDADES!$B$4:$B$2003,"&lt;="&amp;$G$4,NOVEDADES!$G$4:$G$2003,$B67)+COUNTIFS(NOVEDADES!$Y$4:$Y$2003,"POR VENCER",NOVEDADES!$B$4:$B$2003,"&gt;="&amp;$E$4,NOVEDADES!$B$4:$B$2003,"&lt;="&amp;$G$4,NOVEDADES!$G$4:$G$2003,$B67)+COUNTIFS(NOVEDADES!$Y$4:$Y$2003,"VENCIDA",NOVEDADES!$B$4:$B$2003,"&gt;="&amp;$E$4,NOVEDADES!$B$4:$B$2003,"&lt;="&amp;$G$4,NOVEDADES!$G$4:$G$2003,$B67)+COUNTIFS(NOVEDADES!$Y$4:$Y$2003,"SIN CLASIFICAR",NOVEDADES!$B$4:$B$2003,"&gt;="&amp;$E$4,NOVEDADES!$B$4:$B$2003,"&lt;="&amp;$G$4,NOVEDADES!$G$4:$G$2003,$B67))</f>
        <v/>
      </c>
      <c r="G67" s="19">
        <f>IF($B67="","",COUNTIFS(NOVEDADES!$G$4:$G$2003,$B67,NOVEDADES!$Y$4:$Y$2003,"VENCIDA",NOVEDADES!$B$4:$B$2003,"&gt;="&amp;$E$4,NOVEDADES!$B$4:$B$2003,"&lt;="&amp;$G$4))</f>
        <v/>
      </c>
      <c r="H67" s="19">
        <f>IF($B67="","",COUNTIFS(NOVEDADES!$G$4:$G$2003,$B67,NOVEDADES!$Y$4:$Y$2003,"CERRADA*",NOVEDADES!$B$4:$B$2003,"&gt;="&amp;$E$4,NOVEDADES!$B$4:$B$2003,"&lt;="&amp;$G$4))</f>
        <v/>
      </c>
      <c r="I67" s="20">
        <f>IF($B67="","",IFERROR($H67/$D67,"—"))</f>
        <v/>
      </c>
      <c r="J67" s="34">
        <f>IF($B67="","",IFERROR(ROUND(AVERAGEIFS(NOVEDADES!$W$4:$W$2003,NOVEDADES!$G$4:$G$2003,$B67,NOVEDADES!$B$4:$B$2003,"&gt;="&amp;$E$4,NOVEDADES!$B$4:$B$2003,"&lt;="&amp;$G$4),1),0))</f>
        <v/>
      </c>
      <c r="K67" s="21">
        <f>IF($B67="","",SUMIFS(NOVEDADES!$R$4:$R$2003,NOVEDADES!$G$4:$G$2003,$B67,NOVEDADES!$B$4:$B$2003,"&gt;="&amp;$E$4,NOVEDADES!$B$4:$B$2003,"&lt;="&amp;$G$4))</f>
        <v/>
      </c>
    </row>
    <row r="68">
      <c r="B68" s="18">
        <f>IF(LISTAS!$K8="","",LISTAS!$K8)</f>
        <v/>
      </c>
      <c r="C68" s="19">
        <f>IF($B68="","",COUNTIFS(DESPACHOS!$F$3:$F$3002,$B68,DESPACHOS!$J$3:$J$3002,"&gt;="&amp;$E$4,DESPACHOS!$J$3:$J$3002,"&lt;="&amp;$G$4))</f>
        <v/>
      </c>
      <c r="D68" s="19">
        <f>IF($B68="","",COUNTIFS(NOVEDADES!$G$4:$G$2003,$B68,NOVEDADES!$B$4:$B$2003,"&gt;="&amp;$E$4,NOVEDADES!$B$4:$B$2003,"&lt;="&amp;$G$4))</f>
        <v/>
      </c>
      <c r="E68" s="20">
        <f>IF($B68="","",IFERROR($D68/$C68,"—"))</f>
        <v/>
      </c>
      <c r="F68" s="19">
        <f>IF($B68="","",COUNTIFS(NOVEDADES!$Y$4:$Y$2003,"EN PLAZO",NOVEDADES!$B$4:$B$2003,"&gt;="&amp;$E$4,NOVEDADES!$B$4:$B$2003,"&lt;="&amp;$G$4,NOVEDADES!$G$4:$G$2003,$B68)+COUNTIFS(NOVEDADES!$Y$4:$Y$2003,"POR VENCER",NOVEDADES!$B$4:$B$2003,"&gt;="&amp;$E$4,NOVEDADES!$B$4:$B$2003,"&lt;="&amp;$G$4,NOVEDADES!$G$4:$G$2003,$B68)+COUNTIFS(NOVEDADES!$Y$4:$Y$2003,"VENCIDA",NOVEDADES!$B$4:$B$2003,"&gt;="&amp;$E$4,NOVEDADES!$B$4:$B$2003,"&lt;="&amp;$G$4,NOVEDADES!$G$4:$G$2003,$B68)+COUNTIFS(NOVEDADES!$Y$4:$Y$2003,"SIN CLASIFICAR",NOVEDADES!$B$4:$B$2003,"&gt;="&amp;$E$4,NOVEDADES!$B$4:$B$2003,"&lt;="&amp;$G$4,NOVEDADES!$G$4:$G$2003,$B68))</f>
        <v/>
      </c>
      <c r="G68" s="19">
        <f>IF($B68="","",COUNTIFS(NOVEDADES!$G$4:$G$2003,$B68,NOVEDADES!$Y$4:$Y$2003,"VENCIDA",NOVEDADES!$B$4:$B$2003,"&gt;="&amp;$E$4,NOVEDADES!$B$4:$B$2003,"&lt;="&amp;$G$4))</f>
        <v/>
      </c>
      <c r="H68" s="19">
        <f>IF($B68="","",COUNTIFS(NOVEDADES!$G$4:$G$2003,$B68,NOVEDADES!$Y$4:$Y$2003,"CERRADA*",NOVEDADES!$B$4:$B$2003,"&gt;="&amp;$E$4,NOVEDADES!$B$4:$B$2003,"&lt;="&amp;$G$4))</f>
        <v/>
      </c>
      <c r="I68" s="20">
        <f>IF($B68="","",IFERROR($H68/$D68,"—"))</f>
        <v/>
      </c>
      <c r="J68" s="34">
        <f>IF($B68="","",IFERROR(ROUND(AVERAGEIFS(NOVEDADES!$W$4:$W$2003,NOVEDADES!$G$4:$G$2003,$B68,NOVEDADES!$B$4:$B$2003,"&gt;="&amp;$E$4,NOVEDADES!$B$4:$B$2003,"&lt;="&amp;$G$4),1),0))</f>
        <v/>
      </c>
      <c r="K68" s="21">
        <f>IF($B68="","",SUMIFS(NOVEDADES!$R$4:$R$2003,NOVEDADES!$G$4:$G$2003,$B68,NOVEDADES!$B$4:$B$2003,"&gt;="&amp;$E$4,NOVEDADES!$B$4:$B$2003,"&lt;="&amp;$G$4))</f>
        <v/>
      </c>
    </row>
    <row r="69">
      <c r="B69" s="18">
        <f>IF(LISTAS!$K9="","",LISTAS!$K9)</f>
        <v/>
      </c>
      <c r="C69" s="19">
        <f>IF($B69="","",COUNTIFS(DESPACHOS!$F$3:$F$3002,$B69,DESPACHOS!$J$3:$J$3002,"&gt;="&amp;$E$4,DESPACHOS!$J$3:$J$3002,"&lt;="&amp;$G$4))</f>
        <v/>
      </c>
      <c r="D69" s="19">
        <f>IF($B69="","",COUNTIFS(NOVEDADES!$G$4:$G$2003,$B69,NOVEDADES!$B$4:$B$2003,"&gt;="&amp;$E$4,NOVEDADES!$B$4:$B$2003,"&lt;="&amp;$G$4))</f>
        <v/>
      </c>
      <c r="E69" s="20">
        <f>IF($B69="","",IFERROR($D69/$C69,"—"))</f>
        <v/>
      </c>
      <c r="F69" s="19">
        <f>IF($B69="","",COUNTIFS(NOVEDADES!$Y$4:$Y$2003,"EN PLAZO",NOVEDADES!$B$4:$B$2003,"&gt;="&amp;$E$4,NOVEDADES!$B$4:$B$2003,"&lt;="&amp;$G$4,NOVEDADES!$G$4:$G$2003,$B69)+COUNTIFS(NOVEDADES!$Y$4:$Y$2003,"POR VENCER",NOVEDADES!$B$4:$B$2003,"&gt;="&amp;$E$4,NOVEDADES!$B$4:$B$2003,"&lt;="&amp;$G$4,NOVEDADES!$G$4:$G$2003,$B69)+COUNTIFS(NOVEDADES!$Y$4:$Y$2003,"VENCIDA",NOVEDADES!$B$4:$B$2003,"&gt;="&amp;$E$4,NOVEDADES!$B$4:$B$2003,"&lt;="&amp;$G$4,NOVEDADES!$G$4:$G$2003,$B69)+COUNTIFS(NOVEDADES!$Y$4:$Y$2003,"SIN CLASIFICAR",NOVEDADES!$B$4:$B$2003,"&gt;="&amp;$E$4,NOVEDADES!$B$4:$B$2003,"&lt;="&amp;$G$4,NOVEDADES!$G$4:$G$2003,$B69))</f>
        <v/>
      </c>
      <c r="G69" s="19">
        <f>IF($B69="","",COUNTIFS(NOVEDADES!$G$4:$G$2003,$B69,NOVEDADES!$Y$4:$Y$2003,"VENCIDA",NOVEDADES!$B$4:$B$2003,"&gt;="&amp;$E$4,NOVEDADES!$B$4:$B$2003,"&lt;="&amp;$G$4))</f>
        <v/>
      </c>
      <c r="H69" s="19">
        <f>IF($B69="","",COUNTIFS(NOVEDADES!$G$4:$G$2003,$B69,NOVEDADES!$Y$4:$Y$2003,"CERRADA*",NOVEDADES!$B$4:$B$2003,"&gt;="&amp;$E$4,NOVEDADES!$B$4:$B$2003,"&lt;="&amp;$G$4))</f>
        <v/>
      </c>
      <c r="I69" s="20">
        <f>IF($B69="","",IFERROR($H69/$D69,"—"))</f>
        <v/>
      </c>
      <c r="J69" s="34">
        <f>IF($B69="","",IFERROR(ROUND(AVERAGEIFS(NOVEDADES!$W$4:$W$2003,NOVEDADES!$G$4:$G$2003,$B69,NOVEDADES!$B$4:$B$2003,"&gt;="&amp;$E$4,NOVEDADES!$B$4:$B$2003,"&lt;="&amp;$G$4),1),0))</f>
        <v/>
      </c>
      <c r="K69" s="21">
        <f>IF($B69="","",SUMIFS(NOVEDADES!$R$4:$R$2003,NOVEDADES!$G$4:$G$2003,$B69,NOVEDADES!$B$4:$B$2003,"&gt;="&amp;$E$4,NOVEDADES!$B$4:$B$2003,"&lt;="&amp;$G$4))</f>
        <v/>
      </c>
    </row>
    <row r="70">
      <c r="B70" s="18">
        <f>IF(LISTAS!$K10="","",LISTAS!$K10)</f>
        <v/>
      </c>
      <c r="C70" s="19">
        <f>IF($B70="","",COUNTIFS(DESPACHOS!$F$3:$F$3002,$B70,DESPACHOS!$J$3:$J$3002,"&gt;="&amp;$E$4,DESPACHOS!$J$3:$J$3002,"&lt;="&amp;$G$4))</f>
        <v/>
      </c>
      <c r="D70" s="19">
        <f>IF($B70="","",COUNTIFS(NOVEDADES!$G$4:$G$2003,$B70,NOVEDADES!$B$4:$B$2003,"&gt;="&amp;$E$4,NOVEDADES!$B$4:$B$2003,"&lt;="&amp;$G$4))</f>
        <v/>
      </c>
      <c r="E70" s="20">
        <f>IF($B70="","",IFERROR($D70/$C70,"—"))</f>
        <v/>
      </c>
      <c r="F70" s="19">
        <f>IF($B70="","",COUNTIFS(NOVEDADES!$Y$4:$Y$2003,"EN PLAZO",NOVEDADES!$B$4:$B$2003,"&gt;="&amp;$E$4,NOVEDADES!$B$4:$B$2003,"&lt;="&amp;$G$4,NOVEDADES!$G$4:$G$2003,$B70)+COUNTIFS(NOVEDADES!$Y$4:$Y$2003,"POR VENCER",NOVEDADES!$B$4:$B$2003,"&gt;="&amp;$E$4,NOVEDADES!$B$4:$B$2003,"&lt;="&amp;$G$4,NOVEDADES!$G$4:$G$2003,$B70)+COUNTIFS(NOVEDADES!$Y$4:$Y$2003,"VENCIDA",NOVEDADES!$B$4:$B$2003,"&gt;="&amp;$E$4,NOVEDADES!$B$4:$B$2003,"&lt;="&amp;$G$4,NOVEDADES!$G$4:$G$2003,$B70)+COUNTIFS(NOVEDADES!$Y$4:$Y$2003,"SIN CLASIFICAR",NOVEDADES!$B$4:$B$2003,"&gt;="&amp;$E$4,NOVEDADES!$B$4:$B$2003,"&lt;="&amp;$G$4,NOVEDADES!$G$4:$G$2003,$B70))</f>
        <v/>
      </c>
      <c r="G70" s="19">
        <f>IF($B70="","",COUNTIFS(NOVEDADES!$G$4:$G$2003,$B70,NOVEDADES!$Y$4:$Y$2003,"VENCIDA",NOVEDADES!$B$4:$B$2003,"&gt;="&amp;$E$4,NOVEDADES!$B$4:$B$2003,"&lt;="&amp;$G$4))</f>
        <v/>
      </c>
      <c r="H70" s="19">
        <f>IF($B70="","",COUNTIFS(NOVEDADES!$G$4:$G$2003,$B70,NOVEDADES!$Y$4:$Y$2003,"CERRADA*",NOVEDADES!$B$4:$B$2003,"&gt;="&amp;$E$4,NOVEDADES!$B$4:$B$2003,"&lt;="&amp;$G$4))</f>
        <v/>
      </c>
      <c r="I70" s="20">
        <f>IF($B70="","",IFERROR($H70/$D70,"—"))</f>
        <v/>
      </c>
      <c r="J70" s="34">
        <f>IF($B70="","",IFERROR(ROUND(AVERAGEIFS(NOVEDADES!$W$4:$W$2003,NOVEDADES!$G$4:$G$2003,$B70,NOVEDADES!$B$4:$B$2003,"&gt;="&amp;$E$4,NOVEDADES!$B$4:$B$2003,"&lt;="&amp;$G$4),1),0))</f>
        <v/>
      </c>
      <c r="K70" s="21">
        <f>IF($B70="","",SUMIFS(NOVEDADES!$R$4:$R$2003,NOVEDADES!$G$4:$G$2003,$B70,NOVEDADES!$B$4:$B$2003,"&gt;="&amp;$E$4,NOVEDADES!$B$4:$B$2003,"&lt;="&amp;$G$4))</f>
        <v/>
      </c>
    </row>
    <row r="71">
      <c r="B71" s="18">
        <f>IF(LISTAS!$K11="","",LISTAS!$K11)</f>
        <v/>
      </c>
      <c r="C71" s="19">
        <f>IF($B71="","",COUNTIFS(DESPACHOS!$F$3:$F$3002,$B71,DESPACHOS!$J$3:$J$3002,"&gt;="&amp;$E$4,DESPACHOS!$J$3:$J$3002,"&lt;="&amp;$G$4))</f>
        <v/>
      </c>
      <c r="D71" s="19">
        <f>IF($B71="","",COUNTIFS(NOVEDADES!$G$4:$G$2003,$B71,NOVEDADES!$B$4:$B$2003,"&gt;="&amp;$E$4,NOVEDADES!$B$4:$B$2003,"&lt;="&amp;$G$4))</f>
        <v/>
      </c>
      <c r="E71" s="20">
        <f>IF($B71="","",IFERROR($D71/$C71,"—"))</f>
        <v/>
      </c>
      <c r="F71" s="19">
        <f>IF($B71="","",COUNTIFS(NOVEDADES!$Y$4:$Y$2003,"EN PLAZO",NOVEDADES!$B$4:$B$2003,"&gt;="&amp;$E$4,NOVEDADES!$B$4:$B$2003,"&lt;="&amp;$G$4,NOVEDADES!$G$4:$G$2003,$B71)+COUNTIFS(NOVEDADES!$Y$4:$Y$2003,"POR VENCER",NOVEDADES!$B$4:$B$2003,"&gt;="&amp;$E$4,NOVEDADES!$B$4:$B$2003,"&lt;="&amp;$G$4,NOVEDADES!$G$4:$G$2003,$B71)+COUNTIFS(NOVEDADES!$Y$4:$Y$2003,"VENCIDA",NOVEDADES!$B$4:$B$2003,"&gt;="&amp;$E$4,NOVEDADES!$B$4:$B$2003,"&lt;="&amp;$G$4,NOVEDADES!$G$4:$G$2003,$B71)+COUNTIFS(NOVEDADES!$Y$4:$Y$2003,"SIN CLASIFICAR",NOVEDADES!$B$4:$B$2003,"&gt;="&amp;$E$4,NOVEDADES!$B$4:$B$2003,"&lt;="&amp;$G$4,NOVEDADES!$G$4:$G$2003,$B71))</f>
        <v/>
      </c>
      <c r="G71" s="19">
        <f>IF($B71="","",COUNTIFS(NOVEDADES!$G$4:$G$2003,$B71,NOVEDADES!$Y$4:$Y$2003,"VENCIDA",NOVEDADES!$B$4:$B$2003,"&gt;="&amp;$E$4,NOVEDADES!$B$4:$B$2003,"&lt;="&amp;$G$4))</f>
        <v/>
      </c>
      <c r="H71" s="19">
        <f>IF($B71="","",COUNTIFS(NOVEDADES!$G$4:$G$2003,$B71,NOVEDADES!$Y$4:$Y$2003,"CERRADA*",NOVEDADES!$B$4:$B$2003,"&gt;="&amp;$E$4,NOVEDADES!$B$4:$B$2003,"&lt;="&amp;$G$4))</f>
        <v/>
      </c>
      <c r="I71" s="20">
        <f>IF($B71="","",IFERROR($H71/$D71,"—"))</f>
        <v/>
      </c>
      <c r="J71" s="34">
        <f>IF($B71="","",IFERROR(ROUND(AVERAGEIFS(NOVEDADES!$W$4:$W$2003,NOVEDADES!$G$4:$G$2003,$B71,NOVEDADES!$B$4:$B$2003,"&gt;="&amp;$E$4,NOVEDADES!$B$4:$B$2003,"&lt;="&amp;$G$4),1),0))</f>
        <v/>
      </c>
      <c r="K71" s="21">
        <f>IF($B71="","",SUMIFS(NOVEDADES!$R$4:$R$2003,NOVEDADES!$G$4:$G$2003,$B71,NOVEDADES!$B$4:$B$2003,"&gt;="&amp;$E$4,NOVEDADES!$B$4:$B$2003,"&lt;="&amp;$G$4))</f>
        <v/>
      </c>
    </row>
    <row r="72">
      <c r="B72" s="18">
        <f>IF(LISTAS!$K12="","",LISTAS!$K12)</f>
        <v/>
      </c>
      <c r="C72" s="19">
        <f>IF($B72="","",COUNTIFS(DESPACHOS!$F$3:$F$3002,$B72,DESPACHOS!$J$3:$J$3002,"&gt;="&amp;$E$4,DESPACHOS!$J$3:$J$3002,"&lt;="&amp;$G$4))</f>
        <v/>
      </c>
      <c r="D72" s="19">
        <f>IF($B72="","",COUNTIFS(NOVEDADES!$G$4:$G$2003,$B72,NOVEDADES!$B$4:$B$2003,"&gt;="&amp;$E$4,NOVEDADES!$B$4:$B$2003,"&lt;="&amp;$G$4))</f>
        <v/>
      </c>
      <c r="E72" s="20">
        <f>IF($B72="","",IFERROR($D72/$C72,"—"))</f>
        <v/>
      </c>
      <c r="F72" s="19">
        <f>IF($B72="","",COUNTIFS(NOVEDADES!$Y$4:$Y$2003,"EN PLAZO",NOVEDADES!$B$4:$B$2003,"&gt;="&amp;$E$4,NOVEDADES!$B$4:$B$2003,"&lt;="&amp;$G$4,NOVEDADES!$G$4:$G$2003,$B72)+COUNTIFS(NOVEDADES!$Y$4:$Y$2003,"POR VENCER",NOVEDADES!$B$4:$B$2003,"&gt;="&amp;$E$4,NOVEDADES!$B$4:$B$2003,"&lt;="&amp;$G$4,NOVEDADES!$G$4:$G$2003,$B72)+COUNTIFS(NOVEDADES!$Y$4:$Y$2003,"VENCIDA",NOVEDADES!$B$4:$B$2003,"&gt;="&amp;$E$4,NOVEDADES!$B$4:$B$2003,"&lt;="&amp;$G$4,NOVEDADES!$G$4:$G$2003,$B72)+COUNTIFS(NOVEDADES!$Y$4:$Y$2003,"SIN CLASIFICAR",NOVEDADES!$B$4:$B$2003,"&gt;="&amp;$E$4,NOVEDADES!$B$4:$B$2003,"&lt;="&amp;$G$4,NOVEDADES!$G$4:$G$2003,$B72))</f>
        <v/>
      </c>
      <c r="G72" s="19">
        <f>IF($B72="","",COUNTIFS(NOVEDADES!$G$4:$G$2003,$B72,NOVEDADES!$Y$4:$Y$2003,"VENCIDA",NOVEDADES!$B$4:$B$2003,"&gt;="&amp;$E$4,NOVEDADES!$B$4:$B$2003,"&lt;="&amp;$G$4))</f>
        <v/>
      </c>
      <c r="H72" s="19">
        <f>IF($B72="","",COUNTIFS(NOVEDADES!$G$4:$G$2003,$B72,NOVEDADES!$Y$4:$Y$2003,"CERRADA*",NOVEDADES!$B$4:$B$2003,"&gt;="&amp;$E$4,NOVEDADES!$B$4:$B$2003,"&lt;="&amp;$G$4))</f>
        <v/>
      </c>
      <c r="I72" s="20">
        <f>IF($B72="","",IFERROR($H72/$D72,"—"))</f>
        <v/>
      </c>
      <c r="J72" s="34">
        <f>IF($B72="","",IFERROR(ROUND(AVERAGEIFS(NOVEDADES!$W$4:$W$2003,NOVEDADES!$G$4:$G$2003,$B72,NOVEDADES!$B$4:$B$2003,"&gt;="&amp;$E$4,NOVEDADES!$B$4:$B$2003,"&lt;="&amp;$G$4),1),0))</f>
        <v/>
      </c>
      <c r="K72" s="21">
        <f>IF($B72="","",SUMIFS(NOVEDADES!$R$4:$R$2003,NOVEDADES!$G$4:$G$2003,$B72,NOVEDADES!$B$4:$B$2003,"&gt;="&amp;$E$4,NOVEDADES!$B$4:$B$2003,"&lt;="&amp;$G$4))</f>
        <v/>
      </c>
    </row>
    <row r="73">
      <c r="B73" s="29" t="inlineStr">
        <is>
          <t>TOTAL</t>
        </is>
      </c>
      <c r="C73" s="30">
        <f>SUM($C$63:$C$72)</f>
        <v/>
      </c>
      <c r="D73" s="30">
        <f>SUM($D$63:$D$72)</f>
        <v/>
      </c>
      <c r="E73" s="31">
        <f>IFERROR($D$73/$C$73,"—")</f>
        <v/>
      </c>
      <c r="F73" s="30">
        <f>SUM($F$63:$F$72)</f>
        <v/>
      </c>
      <c r="G73" s="30">
        <f>SUM($G$63:$G$72)</f>
        <v/>
      </c>
      <c r="H73" s="30">
        <f>SUM($H$63:$H$72)</f>
        <v/>
      </c>
      <c r="I73" s="31">
        <f>IFERROR($H$73/$D$73,"—")</f>
        <v/>
      </c>
      <c r="J73" s="35">
        <f>IFERROR(ROUND(AVERAGEIFS(NOVEDADES!$W$4:$W$2003,NOVEDADES!$B$4:$B$2003,"&gt;="&amp;$E$4,NOVEDADES!$B$4:$B$2003,"&lt;="&amp;$G$4),1),0)</f>
        <v/>
      </c>
      <c r="K73" s="32">
        <f>SUM($K$63:$K$72)</f>
        <v/>
      </c>
    </row>
    <row r="75" ht="18" customHeight="1">
      <c r="B75" s="6" t="inlineStr">
        <is>
          <t>5. NOVEDADES POR ESTADO — pipeline de gestión</t>
        </is>
      </c>
    </row>
    <row r="76" ht="28" customHeight="1">
      <c r="B76" s="15" t="inlineStr">
        <is>
          <t>Estado</t>
        </is>
      </c>
      <c r="C76" s="15" t="inlineStr">
        <is>
          <t># Casos</t>
        </is>
      </c>
      <c r="D76" s="15" t="inlineStr">
        <is>
          <t>% Part.</t>
        </is>
      </c>
      <c r="E76" s="15" t="inlineStr">
        <is>
          <t>Valor impactado</t>
        </is>
      </c>
    </row>
    <row r="77">
      <c r="B77" s="18">
        <f>IF(LISTAS!$H3="","",LISTAS!$H3)</f>
        <v/>
      </c>
      <c r="C77" s="19">
        <f>IF($B77="","",COUNTIFS(NOVEDADES!$T$4:$T$2003,$B77,NOVEDADES!$B$4:$B$2003,"&gt;="&amp;$E$4,NOVEDADES!$B$4:$B$2003,"&lt;="&amp;$G$4))</f>
        <v/>
      </c>
      <c r="D77" s="20">
        <f>IF($B77="","",IFERROR($C77/$C$87,0))</f>
        <v/>
      </c>
      <c r="E77" s="21">
        <f>IF($B77="","",SUMIFS(NOVEDADES!$R$4:$R$2003,NOVEDADES!$T$4:$T$2003,$B77,NOVEDADES!$B$4:$B$2003,"&gt;="&amp;$E$4,NOVEDADES!$B$4:$B$2003,"&lt;="&amp;$G$4))</f>
        <v/>
      </c>
    </row>
    <row r="78">
      <c r="B78" s="18">
        <f>IF(LISTAS!$H4="","",LISTAS!$H4)</f>
        <v/>
      </c>
      <c r="C78" s="19">
        <f>IF($B78="","",COUNTIFS(NOVEDADES!$T$4:$T$2003,$B78,NOVEDADES!$B$4:$B$2003,"&gt;="&amp;$E$4,NOVEDADES!$B$4:$B$2003,"&lt;="&amp;$G$4))</f>
        <v/>
      </c>
      <c r="D78" s="20">
        <f>IF($B78="","",IFERROR($C78/$C$87,0))</f>
        <v/>
      </c>
      <c r="E78" s="21">
        <f>IF($B78="","",SUMIFS(NOVEDADES!$R$4:$R$2003,NOVEDADES!$T$4:$T$2003,$B78,NOVEDADES!$B$4:$B$2003,"&gt;="&amp;$E$4,NOVEDADES!$B$4:$B$2003,"&lt;="&amp;$G$4))</f>
        <v/>
      </c>
    </row>
    <row r="79">
      <c r="B79" s="18">
        <f>IF(LISTAS!$H5="","",LISTAS!$H5)</f>
        <v/>
      </c>
      <c r="C79" s="19">
        <f>IF($B79="","",COUNTIFS(NOVEDADES!$T$4:$T$2003,$B79,NOVEDADES!$B$4:$B$2003,"&gt;="&amp;$E$4,NOVEDADES!$B$4:$B$2003,"&lt;="&amp;$G$4))</f>
        <v/>
      </c>
      <c r="D79" s="20">
        <f>IF($B79="","",IFERROR($C79/$C$87,0))</f>
        <v/>
      </c>
      <c r="E79" s="21">
        <f>IF($B79="","",SUMIFS(NOVEDADES!$R$4:$R$2003,NOVEDADES!$T$4:$T$2003,$B79,NOVEDADES!$B$4:$B$2003,"&gt;="&amp;$E$4,NOVEDADES!$B$4:$B$2003,"&lt;="&amp;$G$4))</f>
        <v/>
      </c>
    </row>
    <row r="80">
      <c r="B80" s="18">
        <f>IF(LISTAS!$H6="","",LISTAS!$H6)</f>
        <v/>
      </c>
      <c r="C80" s="19">
        <f>IF($B80="","",COUNTIFS(NOVEDADES!$T$4:$T$2003,$B80,NOVEDADES!$B$4:$B$2003,"&gt;="&amp;$E$4,NOVEDADES!$B$4:$B$2003,"&lt;="&amp;$G$4))</f>
        <v/>
      </c>
      <c r="D80" s="20">
        <f>IF($B80="","",IFERROR($C80/$C$87,0))</f>
        <v/>
      </c>
      <c r="E80" s="21">
        <f>IF($B80="","",SUMIFS(NOVEDADES!$R$4:$R$2003,NOVEDADES!$T$4:$T$2003,$B80,NOVEDADES!$B$4:$B$2003,"&gt;="&amp;$E$4,NOVEDADES!$B$4:$B$2003,"&lt;="&amp;$G$4))</f>
        <v/>
      </c>
    </row>
    <row r="81">
      <c r="B81" s="18">
        <f>IF(LISTAS!$H7="","",LISTAS!$H7)</f>
        <v/>
      </c>
      <c r="C81" s="19">
        <f>IF($B81="","",COUNTIFS(NOVEDADES!$T$4:$T$2003,$B81,NOVEDADES!$B$4:$B$2003,"&gt;="&amp;$E$4,NOVEDADES!$B$4:$B$2003,"&lt;="&amp;$G$4))</f>
        <v/>
      </c>
      <c r="D81" s="20">
        <f>IF($B81="","",IFERROR($C81/$C$87,0))</f>
        <v/>
      </c>
      <c r="E81" s="21">
        <f>IF($B81="","",SUMIFS(NOVEDADES!$R$4:$R$2003,NOVEDADES!$T$4:$T$2003,$B81,NOVEDADES!$B$4:$B$2003,"&gt;="&amp;$E$4,NOVEDADES!$B$4:$B$2003,"&lt;="&amp;$G$4))</f>
        <v/>
      </c>
    </row>
    <row r="82">
      <c r="B82" s="18">
        <f>IF(LISTAS!$H8="","",LISTAS!$H8)</f>
        <v/>
      </c>
      <c r="C82" s="19">
        <f>IF($B82="","",COUNTIFS(NOVEDADES!$T$4:$T$2003,$B82,NOVEDADES!$B$4:$B$2003,"&gt;="&amp;$E$4,NOVEDADES!$B$4:$B$2003,"&lt;="&amp;$G$4))</f>
        <v/>
      </c>
      <c r="D82" s="20">
        <f>IF($B82="","",IFERROR($C82/$C$87,0))</f>
        <v/>
      </c>
      <c r="E82" s="21">
        <f>IF($B82="","",SUMIFS(NOVEDADES!$R$4:$R$2003,NOVEDADES!$T$4:$T$2003,$B82,NOVEDADES!$B$4:$B$2003,"&gt;="&amp;$E$4,NOVEDADES!$B$4:$B$2003,"&lt;="&amp;$G$4))</f>
        <v/>
      </c>
    </row>
    <row r="83">
      <c r="B83" s="18">
        <f>IF(LISTAS!$H9="","",LISTAS!$H9)</f>
        <v/>
      </c>
      <c r="C83" s="19">
        <f>IF($B83="","",COUNTIFS(NOVEDADES!$T$4:$T$2003,$B83,NOVEDADES!$B$4:$B$2003,"&gt;="&amp;$E$4,NOVEDADES!$B$4:$B$2003,"&lt;="&amp;$G$4))</f>
        <v/>
      </c>
      <c r="D83" s="20">
        <f>IF($B83="","",IFERROR($C83/$C$87,0))</f>
        <v/>
      </c>
      <c r="E83" s="21">
        <f>IF($B83="","",SUMIFS(NOVEDADES!$R$4:$R$2003,NOVEDADES!$T$4:$T$2003,$B83,NOVEDADES!$B$4:$B$2003,"&gt;="&amp;$E$4,NOVEDADES!$B$4:$B$2003,"&lt;="&amp;$G$4))</f>
        <v/>
      </c>
    </row>
    <row r="84">
      <c r="B84" s="18">
        <f>IF(LISTAS!$H10="","",LISTAS!$H10)</f>
        <v/>
      </c>
      <c r="C84" s="19">
        <f>IF($B84="","",COUNTIFS(NOVEDADES!$T$4:$T$2003,$B84,NOVEDADES!$B$4:$B$2003,"&gt;="&amp;$E$4,NOVEDADES!$B$4:$B$2003,"&lt;="&amp;$G$4))</f>
        <v/>
      </c>
      <c r="D84" s="20">
        <f>IF($B84="","",IFERROR($C84/$C$87,0))</f>
        <v/>
      </c>
      <c r="E84" s="21">
        <f>IF($B84="","",SUMIFS(NOVEDADES!$R$4:$R$2003,NOVEDADES!$T$4:$T$2003,$B84,NOVEDADES!$B$4:$B$2003,"&gt;="&amp;$E$4,NOVEDADES!$B$4:$B$2003,"&lt;="&amp;$G$4))</f>
        <v/>
      </c>
    </row>
    <row r="85">
      <c r="B85" s="18">
        <f>IF(LISTAS!$H11="","",LISTAS!$H11)</f>
        <v/>
      </c>
      <c r="C85" s="19">
        <f>IF($B85="","",COUNTIFS(NOVEDADES!$T$4:$T$2003,$B85,NOVEDADES!$B$4:$B$2003,"&gt;="&amp;$E$4,NOVEDADES!$B$4:$B$2003,"&lt;="&amp;$G$4))</f>
        <v/>
      </c>
      <c r="D85" s="20">
        <f>IF($B85="","",IFERROR($C85/$C$87,0))</f>
        <v/>
      </c>
      <c r="E85" s="21">
        <f>IF($B85="","",SUMIFS(NOVEDADES!$R$4:$R$2003,NOVEDADES!$T$4:$T$2003,$B85,NOVEDADES!$B$4:$B$2003,"&gt;="&amp;$E$4,NOVEDADES!$B$4:$B$2003,"&lt;="&amp;$G$4))</f>
        <v/>
      </c>
    </row>
    <row r="86">
      <c r="B86" s="18">
        <f>IF(LISTAS!$H12="","",LISTAS!$H12)</f>
        <v/>
      </c>
      <c r="C86" s="19">
        <f>IF($B86="","",COUNTIFS(NOVEDADES!$T$4:$T$2003,$B86,NOVEDADES!$B$4:$B$2003,"&gt;="&amp;$E$4,NOVEDADES!$B$4:$B$2003,"&lt;="&amp;$G$4))</f>
        <v/>
      </c>
      <c r="D86" s="20">
        <f>IF($B86="","",IFERROR($C86/$C$87,0))</f>
        <v/>
      </c>
      <c r="E86" s="21">
        <f>IF($B86="","",SUMIFS(NOVEDADES!$R$4:$R$2003,NOVEDADES!$T$4:$T$2003,$B86,NOVEDADES!$B$4:$B$2003,"&gt;="&amp;$E$4,NOVEDADES!$B$4:$B$2003,"&lt;="&amp;$G$4))</f>
        <v/>
      </c>
    </row>
    <row r="87">
      <c r="B87" s="29" t="inlineStr">
        <is>
          <t>TOTAL</t>
        </is>
      </c>
      <c r="C87" s="30">
        <f>SUM($C$77:$C$86)</f>
        <v/>
      </c>
      <c r="D87" s="31">
        <f>IF($C$87=0,0,1)</f>
        <v/>
      </c>
      <c r="E87" s="32">
        <f>SUM($E$77:$E$86)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C1B"/>
  <mergeCells count="31">
    <mergeCell ref="D10:E10"/>
    <mergeCell ref="B7:C7"/>
    <mergeCell ref="F10:G10"/>
    <mergeCell ref="H10:I10"/>
    <mergeCell ref="J10:K10"/>
    <mergeCell ref="B33:E33"/>
    <mergeCell ref="F6:G6"/>
    <mergeCell ref="H9:I9"/>
    <mergeCell ref="F7:G7"/>
    <mergeCell ref="J9:K9"/>
    <mergeCell ref="D6:E6"/>
    <mergeCell ref="B12:F12"/>
    <mergeCell ref="H6:I6"/>
    <mergeCell ref="B41:H41"/>
    <mergeCell ref="N12:O12"/>
    <mergeCell ref="J6:K6"/>
    <mergeCell ref="B75:E75"/>
    <mergeCell ref="N25:O27"/>
    <mergeCell ref="B3:K3"/>
    <mergeCell ref="H4:K4"/>
    <mergeCell ref="D7:E7"/>
    <mergeCell ref="H7:I7"/>
    <mergeCell ref="J7:K7"/>
    <mergeCell ref="B10:C10"/>
    <mergeCell ref="B2:K2"/>
    <mergeCell ref="B9:C9"/>
    <mergeCell ref="D9:E9"/>
    <mergeCell ref="F9:G9"/>
    <mergeCell ref="B6:C6"/>
    <mergeCell ref="B61:K61"/>
    <mergeCell ref="B4:C4"/>
  </mergeCells>
  <conditionalFormatting sqref="F7">
    <cfRule type="cellIs" priority="1" operator="greaterThan" dxfId="0">
      <formula>0.05</formula>
    </cfRule>
    <cfRule type="cellIs" priority="2" operator="lessThanOrEqual" dxfId="1">
      <formula>0.03</formula>
    </cfRule>
  </conditionalFormatting>
  <conditionalFormatting sqref="H10">
    <cfRule type="cellIs" priority="3" operator="greaterThan" dxfId="0">
      <formula>0</formula>
    </cfRule>
  </conditionalFormatting>
  <conditionalFormatting sqref="H7">
    <cfRule type="cellIs" priority="4" operator="greaterThan" dxfId="2">
      <formula>0</formula>
    </cfRule>
  </conditionalFormatting>
  <conditionalFormatting sqref="J10">
    <cfRule type="cellIs" priority="5" operator="lessThan" dxfId="0">
      <formula>0.9</formula>
    </cfRule>
    <cfRule type="cellIs" priority="6" operator="greaterThanOrEqual" dxfId="1">
      <formula>0.9</formula>
    </cfRule>
  </conditionalFormatting>
  <conditionalFormatting sqref="C14:C30">
    <cfRule type="dataBar" priority="7">
      <dataBar showValue="1">
        <cfvo type="num" val="0"/>
        <cfvo type="percentile" val="100"/>
        <color rgb="FF2E75B6"/>
      </dataBar>
    </cfRule>
  </conditionalFormatting>
  <conditionalFormatting sqref="C43:C58">
    <cfRule type="dataBar" priority="8">
      <dataBar showValue="1">
        <cfvo type="num" val="0"/>
        <cfvo type="percentile" val="100"/>
        <color rgb="FF2E75B6"/>
      </dataBar>
    </cfRule>
  </conditionalFormatting>
  <conditionalFormatting sqref="E63:E72">
    <cfRule type="cellIs" priority="9" operator="greaterThan" dxfId="3">
      <formula>0.05</formula>
    </cfRule>
  </conditionalFormatting>
  <conditionalFormatting sqref="G63:G72">
    <cfRule type="cellIs" priority="10" operator="greaterThan" dxfId="3">
      <formula>0</formula>
    </cfRule>
  </conditionalFormatting>
  <conditionalFormatting sqref="I63:I72">
    <cfRule type="cellIs" priority="11" operator="lessThan" dxfId="4">
      <formula>0.8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BF8F00"/>
    <outlinePr summaryBelow="1" summaryRight="1"/>
    <pageSetUpPr/>
  </sheetPr>
  <dimension ref="A1:AB200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0" customWidth="1" min="9" max="9"/>
    <col width="13" customWidth="1" min="10" max="10"/>
    <col width="14" customWidth="1" min="11" max="11"/>
    <col width="34" customWidth="1" min="12" max="12"/>
    <col width="34" customWidth="1" min="13" max="13"/>
    <col width="16" customWidth="1" min="14" max="14"/>
    <col width="20" customWidth="1" min="15" max="15"/>
    <col width="11" customWidth="1" min="16" max="16"/>
    <col width="13" customWidth="1" min="17" max="17"/>
    <col width="15" customWidth="1" min="18" max="18"/>
    <col width="13" customWidth="1" min="19" max="19"/>
    <col width="22" customWidth="1" min="20" max="20"/>
    <col width="15" customWidth="1" min="21" max="21"/>
    <col width="15" customWidth="1" min="22" max="22"/>
    <col width="13" customWidth="1" min="23" max="23"/>
    <col width="12" customWidth="1" min="24" max="24"/>
    <col width="20" customWidth="1" min="25" max="25"/>
    <col width="38" customWidth="1" min="26" max="26"/>
    <col width="38" customWidth="1" min="27" max="27"/>
    <col width="26" customWidth="1" min="28" max="28"/>
  </cols>
  <sheetData>
    <row r="1" ht="26" customHeight="1">
      <c r="A1" s="36" t="inlineStr">
        <is>
          <t>MATRIZ DE NOVEDADES DE LOGÍSTICA Y TRANSPORTE — GESTOAGRO S.A.S.</t>
        </is>
      </c>
    </row>
    <row r="2" ht="16" customHeight="1">
      <c r="A2" s="37" t="inlineStr">
        <is>
          <t>Digite SOLO las celdas AMARILLAS. La llave es el # Pedido / Remisión (columna C): al escribirlo se traen cliente, destino, ruta, transportadora, transportador, placa y fecha de despacho. Las celdas GRISES no se tocan.</t>
        </is>
      </c>
    </row>
    <row r="3" ht="32" customHeight="1">
      <c r="A3" s="15" t="inlineStr">
        <is>
          <t>Consecutivo</t>
        </is>
      </c>
      <c r="B3" s="38" t="inlineStr">
        <is>
          <t>Fecha novedad</t>
        </is>
      </c>
      <c r="C3" s="38" t="inlineStr">
        <is>
          <t># Pedido / Remisión</t>
        </is>
      </c>
      <c r="D3" s="15" t="inlineStr">
        <is>
          <t>Cliente</t>
        </is>
      </c>
      <c r="E3" s="15" t="inlineStr">
        <is>
          <t>Destino / Ciudad</t>
        </is>
      </c>
      <c r="F3" s="15" t="inlineStr">
        <is>
          <t>Ruta</t>
        </is>
      </c>
      <c r="G3" s="15" t="inlineStr">
        <is>
          <t>Transportadora</t>
        </is>
      </c>
      <c r="H3" s="15" t="inlineStr">
        <is>
          <t>Transportador</t>
        </is>
      </c>
      <c r="I3" s="15" t="inlineStr">
        <is>
          <t>Placa</t>
        </is>
      </c>
      <c r="J3" s="15" t="inlineStr">
        <is>
          <t>Fecha despacho</t>
        </is>
      </c>
      <c r="K3" s="15" t="inlineStr">
        <is>
          <t>Verif. despacho</t>
        </is>
      </c>
      <c r="L3" s="38" t="inlineStr">
        <is>
          <t>Tipo de novedad</t>
        </is>
      </c>
      <c r="M3" s="38" t="inlineStr">
        <is>
          <t>Causa raíz</t>
        </is>
      </c>
      <c r="N3" s="15" t="inlineStr">
        <is>
          <t>Área responsable</t>
        </is>
      </c>
      <c r="O3" s="38" t="inlineStr">
        <is>
          <t>Responsable</t>
        </is>
      </c>
      <c r="P3" s="15" t="inlineStr">
        <is>
          <t>Criticidad</t>
        </is>
      </c>
      <c r="Q3" s="38" t="inlineStr">
        <is>
          <t>Cajas afectadas</t>
        </is>
      </c>
      <c r="R3" s="38" t="inlineStr">
        <is>
          <t>Valor afectado</t>
        </is>
      </c>
      <c r="S3" s="15" t="inlineStr">
        <is>
          <t>% del despacho</t>
        </is>
      </c>
      <c r="T3" s="38" t="inlineStr">
        <is>
          <t>Estado</t>
        </is>
      </c>
      <c r="U3" s="15" t="inlineStr">
        <is>
          <t>Fecha compromiso</t>
        </is>
      </c>
      <c r="V3" s="38" t="inlineStr">
        <is>
          <t>Fecha cierre real</t>
        </is>
      </c>
      <c r="W3" s="15" t="inlineStr">
        <is>
          <t>Días de gestión</t>
        </is>
      </c>
      <c r="X3" s="15" t="inlineStr">
        <is>
          <t>Días de mora</t>
        </is>
      </c>
      <c r="Y3" s="15" t="inlineStr">
        <is>
          <t>Semáforo SLA</t>
        </is>
      </c>
      <c r="Z3" s="38" t="inlineStr">
        <is>
          <t>Acción correctiva</t>
        </is>
      </c>
      <c r="AA3" s="38" t="inlineStr">
        <is>
          <t>Observaciones</t>
        </is>
      </c>
      <c r="AB3" s="38" t="inlineStr">
        <is>
          <t>Soporte / evidencia</t>
        </is>
      </c>
    </row>
    <row r="4">
      <c r="A4" s="39">
        <f>IF($C4="","","NOV-"&amp;TEXT(ROW()-3,"0000"))</f>
        <v/>
      </c>
      <c r="B4" s="40" t="n"/>
      <c r="C4" s="41" t="n"/>
      <c r="D4" s="42">
        <f>IF($C4="","",IFERROR(INDEX(DESPACHOS!$D$3:$D$3002,MATCH($C4,DESPACHOS!$B$3:$B$3002,0)),"SIN DESPACHO"))</f>
        <v/>
      </c>
      <c r="E4" s="42">
        <f>IF($C4="","",IFERROR(INDEX(DESPACHOS!$K$3:$K$3002,MATCH($C4,DESPACHOS!$B$3:$B$3002,0)),""))</f>
        <v/>
      </c>
      <c r="F4" s="42">
        <f>IF($C4="","",IFERROR(INDEX(DESPACHOS!$I$3:$I$3002,MATCH($C4,DESPACHOS!$B$3:$B$3002,0)),""))</f>
        <v/>
      </c>
      <c r="G4" s="42">
        <f>IF($C4="","",IFERROR(INDEX(DESPACHOS!$F$3:$F$3002,MATCH($C4,DESPACHOS!$B$3:$B$3002,0)),""))</f>
        <v/>
      </c>
      <c r="H4" s="42">
        <f>IF($C4="","",IFERROR(INDEX(DESPACHOS!$G$3:$G$3002,MATCH($C4,DESPACHOS!$B$3:$B$3002,0)),""))</f>
        <v/>
      </c>
      <c r="I4" s="39">
        <f>IF($C4="","",IFERROR(INDEX(DESPACHOS!$H$3:$H$3002,MATCH($C4,DESPACHOS!$B$3:$B$3002,0)),""))</f>
        <v/>
      </c>
      <c r="J4" s="43">
        <f>IF($C4="","",IFERROR(INDEX(DESPACHOS!$J$3:$J$3002,MATCH($C4,DESPACHOS!$B$3:$B$3002,0)),""))</f>
        <v/>
      </c>
      <c r="K4" s="39">
        <f>IF($C4="","",IF(COUNTIFS(DESPACHOS!$B$3:$B$3002,$C4)=0,"NO EXISTE",IF(COUNTIFS(DESPACHOS!$B$3:$B$3002,$C4)&gt;1,"DUPLICADO","OK")))</f>
        <v/>
      </c>
      <c r="L4" s="41" t="n"/>
      <c r="M4" s="41" t="n"/>
      <c r="N4" s="42">
        <f>IF($M4="","",IFERROR(INDEX(LISTAS!$F$3:$F$42,MATCH($M4,LISTAS!$E$3:$E$42,0)),"Por definir"))</f>
        <v/>
      </c>
      <c r="O4" s="41" t="n"/>
      <c r="P4" s="39">
        <f>IF($L4="","",IFERROR(INDEX(LISTAS!$B$3:$B$42,MATCH($L4,LISTAS!$A$3:$A$42,0)),"Media"))</f>
        <v/>
      </c>
      <c r="Q4" s="44" t="n"/>
      <c r="R4" s="45" t="n"/>
      <c r="S4" s="20">
        <f>IFERROR(IF(OR($R4="",$C4=""),"",$R4/INDEX(DESPACHOS!$M$3:$M$3002,MATCH($C4,DESPACHOS!$B$3:$B$3002,0))),"")</f>
        <v/>
      </c>
      <c r="T4" s="41" t="n"/>
      <c r="U4" s="43">
        <f>IF(OR($B4="",$L4=""),"",WORKDAY($B4,IFERROR(INDEX(LISTAS!$C$3:$C$42,MATCH($L4,LISTAS!$A$3:$A$42,0)),3)))</f>
        <v/>
      </c>
      <c r="V4" s="40" t="n"/>
      <c r="W4" s="19">
        <f>IF($B4="","",IF($V4&lt;&gt;"",$V4-$B4,TODAY()-$B4))</f>
        <v/>
      </c>
      <c r="X4" s="19">
        <f>IF(OR($B4="",$U4=""),"",IF($V4&lt;&gt;"",MAX(0,$V4-$U4),MAX(0,TODAY()-$U4)))</f>
        <v/>
      </c>
      <c r="Y4" s="39">
        <f>IF($C4="","",IF(IFERROR(INDEX(LISTAS!$I$3:$I$42,MATCH($T4,LISTAS!$H$3:$H$42,0)),"NO")="SÍ",IF(N($X4)&gt;0,"CERRADA FUERA DE SLA","CERRADA EN SLA"),IF($U4="","SIN CLASIFICAR",IF(N($X4)&gt;0,"VENCIDA",IF(TODAY()&gt;=$U4-1,"POR VENCER","EN PLAZO")))))</f>
        <v/>
      </c>
      <c r="Z4" s="41" t="n"/>
      <c r="AA4" s="41" t="n"/>
      <c r="AB4" s="41" t="n"/>
    </row>
    <row r="5">
      <c r="A5" s="39">
        <f>IF($C5="","","NOV-"&amp;TEXT(ROW()-3,"0000"))</f>
        <v/>
      </c>
      <c r="B5" s="40" t="n"/>
      <c r="C5" s="41" t="n"/>
      <c r="D5" s="42">
        <f>IF($C5="","",IFERROR(INDEX(DESPACHOS!$D$3:$D$3002,MATCH($C5,DESPACHOS!$B$3:$B$3002,0)),"SIN DESPACHO"))</f>
        <v/>
      </c>
      <c r="E5" s="42">
        <f>IF($C5="","",IFERROR(INDEX(DESPACHOS!$K$3:$K$3002,MATCH($C5,DESPACHOS!$B$3:$B$3002,0)),""))</f>
        <v/>
      </c>
      <c r="F5" s="42">
        <f>IF($C5="","",IFERROR(INDEX(DESPACHOS!$I$3:$I$3002,MATCH($C5,DESPACHOS!$B$3:$B$3002,0)),""))</f>
        <v/>
      </c>
      <c r="G5" s="42">
        <f>IF($C5="","",IFERROR(INDEX(DESPACHOS!$F$3:$F$3002,MATCH($C5,DESPACHOS!$B$3:$B$3002,0)),""))</f>
        <v/>
      </c>
      <c r="H5" s="42">
        <f>IF($C5="","",IFERROR(INDEX(DESPACHOS!$G$3:$G$3002,MATCH($C5,DESPACHOS!$B$3:$B$3002,0)),""))</f>
        <v/>
      </c>
      <c r="I5" s="39">
        <f>IF($C5="","",IFERROR(INDEX(DESPACHOS!$H$3:$H$3002,MATCH($C5,DESPACHOS!$B$3:$B$3002,0)),""))</f>
        <v/>
      </c>
      <c r="J5" s="43">
        <f>IF($C5="","",IFERROR(INDEX(DESPACHOS!$J$3:$J$3002,MATCH($C5,DESPACHOS!$B$3:$B$3002,0)),""))</f>
        <v/>
      </c>
      <c r="K5" s="39">
        <f>IF($C5="","",IF(COUNTIFS(DESPACHOS!$B$3:$B$3002,$C5)=0,"NO EXISTE",IF(COUNTIFS(DESPACHOS!$B$3:$B$3002,$C5)&gt;1,"DUPLICADO","OK")))</f>
        <v/>
      </c>
      <c r="L5" s="41" t="n"/>
      <c r="M5" s="41" t="n"/>
      <c r="N5" s="42">
        <f>IF($M5="","",IFERROR(INDEX(LISTAS!$F$3:$F$42,MATCH($M5,LISTAS!$E$3:$E$42,0)),"Por definir"))</f>
        <v/>
      </c>
      <c r="O5" s="41" t="n"/>
      <c r="P5" s="39">
        <f>IF($L5="","",IFERROR(INDEX(LISTAS!$B$3:$B$42,MATCH($L5,LISTAS!$A$3:$A$42,0)),"Media"))</f>
        <v/>
      </c>
      <c r="Q5" s="44" t="n"/>
      <c r="R5" s="45" t="n"/>
      <c r="S5" s="20">
        <f>IFERROR(IF(OR($R5="",$C5=""),"",$R5/INDEX(DESPACHOS!$M$3:$M$3002,MATCH($C5,DESPACHOS!$B$3:$B$3002,0))),"")</f>
        <v/>
      </c>
      <c r="T5" s="41" t="n"/>
      <c r="U5" s="43">
        <f>IF(OR($B5="",$L5=""),"",WORKDAY($B5,IFERROR(INDEX(LISTAS!$C$3:$C$42,MATCH($L5,LISTAS!$A$3:$A$42,0)),3)))</f>
        <v/>
      </c>
      <c r="V5" s="40" t="n"/>
      <c r="W5" s="19">
        <f>IF($B5="","",IF($V5&lt;&gt;"",$V5-$B5,TODAY()-$B5))</f>
        <v/>
      </c>
      <c r="X5" s="19">
        <f>IF(OR($B5="",$U5=""),"",IF($V5&lt;&gt;"",MAX(0,$V5-$U5),MAX(0,TODAY()-$U5)))</f>
        <v/>
      </c>
      <c r="Y5" s="39">
        <f>IF($C5="","",IF(IFERROR(INDEX(LISTAS!$I$3:$I$42,MATCH($T5,LISTAS!$H$3:$H$42,0)),"NO")="SÍ",IF(N($X5)&gt;0,"CERRADA FUERA DE SLA","CERRADA EN SLA"),IF($U5="","SIN CLASIFICAR",IF(N($X5)&gt;0,"VENCIDA",IF(TODAY()&gt;=$U5-1,"POR VENCER","EN PLAZO")))))</f>
        <v/>
      </c>
      <c r="Z5" s="41" t="n"/>
      <c r="AA5" s="41" t="n"/>
      <c r="AB5" s="41" t="n"/>
    </row>
    <row r="6">
      <c r="A6" s="39">
        <f>IF($C6="","","NOV-"&amp;TEXT(ROW()-3,"0000"))</f>
        <v/>
      </c>
      <c r="B6" s="40" t="n"/>
      <c r="C6" s="41" t="n"/>
      <c r="D6" s="42">
        <f>IF($C6="","",IFERROR(INDEX(DESPACHOS!$D$3:$D$3002,MATCH($C6,DESPACHOS!$B$3:$B$3002,0)),"SIN DESPACHO"))</f>
        <v/>
      </c>
      <c r="E6" s="42">
        <f>IF($C6="","",IFERROR(INDEX(DESPACHOS!$K$3:$K$3002,MATCH($C6,DESPACHOS!$B$3:$B$3002,0)),""))</f>
        <v/>
      </c>
      <c r="F6" s="42">
        <f>IF($C6="","",IFERROR(INDEX(DESPACHOS!$I$3:$I$3002,MATCH($C6,DESPACHOS!$B$3:$B$3002,0)),""))</f>
        <v/>
      </c>
      <c r="G6" s="42">
        <f>IF($C6="","",IFERROR(INDEX(DESPACHOS!$F$3:$F$3002,MATCH($C6,DESPACHOS!$B$3:$B$3002,0)),""))</f>
        <v/>
      </c>
      <c r="H6" s="42">
        <f>IF($C6="","",IFERROR(INDEX(DESPACHOS!$G$3:$G$3002,MATCH($C6,DESPACHOS!$B$3:$B$3002,0)),""))</f>
        <v/>
      </c>
      <c r="I6" s="39">
        <f>IF($C6="","",IFERROR(INDEX(DESPACHOS!$H$3:$H$3002,MATCH($C6,DESPACHOS!$B$3:$B$3002,0)),""))</f>
        <v/>
      </c>
      <c r="J6" s="43">
        <f>IF($C6="","",IFERROR(INDEX(DESPACHOS!$J$3:$J$3002,MATCH($C6,DESPACHOS!$B$3:$B$3002,0)),""))</f>
        <v/>
      </c>
      <c r="K6" s="39">
        <f>IF($C6="","",IF(COUNTIFS(DESPACHOS!$B$3:$B$3002,$C6)=0,"NO EXISTE",IF(COUNTIFS(DESPACHOS!$B$3:$B$3002,$C6)&gt;1,"DUPLICADO","OK")))</f>
        <v/>
      </c>
      <c r="L6" s="41" t="n"/>
      <c r="M6" s="41" t="n"/>
      <c r="N6" s="42">
        <f>IF($M6="","",IFERROR(INDEX(LISTAS!$F$3:$F$42,MATCH($M6,LISTAS!$E$3:$E$42,0)),"Por definir"))</f>
        <v/>
      </c>
      <c r="O6" s="41" t="n"/>
      <c r="P6" s="39">
        <f>IF($L6="","",IFERROR(INDEX(LISTAS!$B$3:$B$42,MATCH($L6,LISTAS!$A$3:$A$42,0)),"Media"))</f>
        <v/>
      </c>
      <c r="Q6" s="44" t="n"/>
      <c r="R6" s="45" t="n"/>
      <c r="S6" s="20">
        <f>IFERROR(IF(OR($R6="",$C6=""),"",$R6/INDEX(DESPACHOS!$M$3:$M$3002,MATCH($C6,DESPACHOS!$B$3:$B$3002,0))),"")</f>
        <v/>
      </c>
      <c r="T6" s="41" t="n"/>
      <c r="U6" s="43">
        <f>IF(OR($B6="",$L6=""),"",WORKDAY($B6,IFERROR(INDEX(LISTAS!$C$3:$C$42,MATCH($L6,LISTAS!$A$3:$A$42,0)),3)))</f>
        <v/>
      </c>
      <c r="V6" s="40" t="n"/>
      <c r="W6" s="19">
        <f>IF($B6="","",IF($V6&lt;&gt;"",$V6-$B6,TODAY()-$B6))</f>
        <v/>
      </c>
      <c r="X6" s="19">
        <f>IF(OR($B6="",$U6=""),"",IF($V6&lt;&gt;"",MAX(0,$V6-$U6),MAX(0,TODAY()-$U6)))</f>
        <v/>
      </c>
      <c r="Y6" s="39">
        <f>IF($C6="","",IF(IFERROR(INDEX(LISTAS!$I$3:$I$42,MATCH($T6,LISTAS!$H$3:$H$42,0)),"NO")="SÍ",IF(N($X6)&gt;0,"CERRADA FUERA DE SLA","CERRADA EN SLA"),IF($U6="","SIN CLASIFICAR",IF(N($X6)&gt;0,"VENCIDA",IF(TODAY()&gt;=$U6-1,"POR VENCER","EN PLAZO")))))</f>
        <v/>
      </c>
      <c r="Z6" s="41" t="n"/>
      <c r="AA6" s="41" t="n"/>
      <c r="AB6" s="41" t="n"/>
    </row>
    <row r="7">
      <c r="A7" s="39">
        <f>IF($C7="","","NOV-"&amp;TEXT(ROW()-3,"0000"))</f>
        <v/>
      </c>
      <c r="B7" s="40" t="n"/>
      <c r="C7" s="41" t="n"/>
      <c r="D7" s="42">
        <f>IF($C7="","",IFERROR(INDEX(DESPACHOS!$D$3:$D$3002,MATCH($C7,DESPACHOS!$B$3:$B$3002,0)),"SIN DESPACHO"))</f>
        <v/>
      </c>
      <c r="E7" s="42">
        <f>IF($C7="","",IFERROR(INDEX(DESPACHOS!$K$3:$K$3002,MATCH($C7,DESPACHOS!$B$3:$B$3002,0)),""))</f>
        <v/>
      </c>
      <c r="F7" s="42">
        <f>IF($C7="","",IFERROR(INDEX(DESPACHOS!$I$3:$I$3002,MATCH($C7,DESPACHOS!$B$3:$B$3002,0)),""))</f>
        <v/>
      </c>
      <c r="G7" s="42">
        <f>IF($C7="","",IFERROR(INDEX(DESPACHOS!$F$3:$F$3002,MATCH($C7,DESPACHOS!$B$3:$B$3002,0)),""))</f>
        <v/>
      </c>
      <c r="H7" s="42">
        <f>IF($C7="","",IFERROR(INDEX(DESPACHOS!$G$3:$G$3002,MATCH($C7,DESPACHOS!$B$3:$B$3002,0)),""))</f>
        <v/>
      </c>
      <c r="I7" s="39">
        <f>IF($C7="","",IFERROR(INDEX(DESPACHOS!$H$3:$H$3002,MATCH($C7,DESPACHOS!$B$3:$B$3002,0)),""))</f>
        <v/>
      </c>
      <c r="J7" s="43">
        <f>IF($C7="","",IFERROR(INDEX(DESPACHOS!$J$3:$J$3002,MATCH($C7,DESPACHOS!$B$3:$B$3002,0)),""))</f>
        <v/>
      </c>
      <c r="K7" s="39">
        <f>IF($C7="","",IF(COUNTIFS(DESPACHOS!$B$3:$B$3002,$C7)=0,"NO EXISTE",IF(COUNTIFS(DESPACHOS!$B$3:$B$3002,$C7)&gt;1,"DUPLICADO","OK")))</f>
        <v/>
      </c>
      <c r="L7" s="41" t="n"/>
      <c r="M7" s="41" t="n"/>
      <c r="N7" s="42">
        <f>IF($M7="","",IFERROR(INDEX(LISTAS!$F$3:$F$42,MATCH($M7,LISTAS!$E$3:$E$42,0)),"Por definir"))</f>
        <v/>
      </c>
      <c r="O7" s="41" t="n"/>
      <c r="P7" s="39">
        <f>IF($L7="","",IFERROR(INDEX(LISTAS!$B$3:$B$42,MATCH($L7,LISTAS!$A$3:$A$42,0)),"Media"))</f>
        <v/>
      </c>
      <c r="Q7" s="44" t="n"/>
      <c r="R7" s="45" t="n"/>
      <c r="S7" s="20">
        <f>IFERROR(IF(OR($R7="",$C7=""),"",$R7/INDEX(DESPACHOS!$M$3:$M$3002,MATCH($C7,DESPACHOS!$B$3:$B$3002,0))),"")</f>
        <v/>
      </c>
      <c r="T7" s="41" t="n"/>
      <c r="U7" s="43">
        <f>IF(OR($B7="",$L7=""),"",WORKDAY($B7,IFERROR(INDEX(LISTAS!$C$3:$C$42,MATCH($L7,LISTAS!$A$3:$A$42,0)),3)))</f>
        <v/>
      </c>
      <c r="V7" s="40" t="n"/>
      <c r="W7" s="19">
        <f>IF($B7="","",IF($V7&lt;&gt;"",$V7-$B7,TODAY()-$B7))</f>
        <v/>
      </c>
      <c r="X7" s="19">
        <f>IF(OR($B7="",$U7=""),"",IF($V7&lt;&gt;"",MAX(0,$V7-$U7),MAX(0,TODAY()-$U7)))</f>
        <v/>
      </c>
      <c r="Y7" s="39">
        <f>IF($C7="","",IF(IFERROR(INDEX(LISTAS!$I$3:$I$42,MATCH($T7,LISTAS!$H$3:$H$42,0)),"NO")="SÍ",IF(N($X7)&gt;0,"CERRADA FUERA DE SLA","CERRADA EN SLA"),IF($U7="","SIN CLASIFICAR",IF(N($X7)&gt;0,"VENCIDA",IF(TODAY()&gt;=$U7-1,"POR VENCER","EN PLAZO")))))</f>
        <v/>
      </c>
      <c r="Z7" s="41" t="n"/>
      <c r="AA7" s="41" t="n"/>
      <c r="AB7" s="41" t="n"/>
    </row>
    <row r="8">
      <c r="A8" s="39">
        <f>IF($C8="","","NOV-"&amp;TEXT(ROW()-3,"0000"))</f>
        <v/>
      </c>
      <c r="B8" s="40" t="n"/>
      <c r="C8" s="41" t="n"/>
      <c r="D8" s="42">
        <f>IF($C8="","",IFERROR(INDEX(DESPACHOS!$D$3:$D$3002,MATCH($C8,DESPACHOS!$B$3:$B$3002,0)),"SIN DESPACHO"))</f>
        <v/>
      </c>
      <c r="E8" s="42">
        <f>IF($C8="","",IFERROR(INDEX(DESPACHOS!$K$3:$K$3002,MATCH($C8,DESPACHOS!$B$3:$B$3002,0)),""))</f>
        <v/>
      </c>
      <c r="F8" s="42">
        <f>IF($C8="","",IFERROR(INDEX(DESPACHOS!$I$3:$I$3002,MATCH($C8,DESPACHOS!$B$3:$B$3002,0)),""))</f>
        <v/>
      </c>
      <c r="G8" s="42">
        <f>IF($C8="","",IFERROR(INDEX(DESPACHOS!$F$3:$F$3002,MATCH($C8,DESPACHOS!$B$3:$B$3002,0)),""))</f>
        <v/>
      </c>
      <c r="H8" s="42">
        <f>IF($C8="","",IFERROR(INDEX(DESPACHOS!$G$3:$G$3002,MATCH($C8,DESPACHOS!$B$3:$B$3002,0)),""))</f>
        <v/>
      </c>
      <c r="I8" s="39">
        <f>IF($C8="","",IFERROR(INDEX(DESPACHOS!$H$3:$H$3002,MATCH($C8,DESPACHOS!$B$3:$B$3002,0)),""))</f>
        <v/>
      </c>
      <c r="J8" s="43">
        <f>IF($C8="","",IFERROR(INDEX(DESPACHOS!$J$3:$J$3002,MATCH($C8,DESPACHOS!$B$3:$B$3002,0)),""))</f>
        <v/>
      </c>
      <c r="K8" s="39">
        <f>IF($C8="","",IF(COUNTIFS(DESPACHOS!$B$3:$B$3002,$C8)=0,"NO EXISTE",IF(COUNTIFS(DESPACHOS!$B$3:$B$3002,$C8)&gt;1,"DUPLICADO","OK")))</f>
        <v/>
      </c>
      <c r="L8" s="41" t="n"/>
      <c r="M8" s="41" t="n"/>
      <c r="N8" s="42">
        <f>IF($M8="","",IFERROR(INDEX(LISTAS!$F$3:$F$42,MATCH($M8,LISTAS!$E$3:$E$42,0)),"Por definir"))</f>
        <v/>
      </c>
      <c r="O8" s="41" t="n"/>
      <c r="P8" s="39">
        <f>IF($L8="","",IFERROR(INDEX(LISTAS!$B$3:$B$42,MATCH($L8,LISTAS!$A$3:$A$42,0)),"Media"))</f>
        <v/>
      </c>
      <c r="Q8" s="44" t="n"/>
      <c r="R8" s="45" t="n"/>
      <c r="S8" s="20">
        <f>IFERROR(IF(OR($R8="",$C8=""),"",$R8/INDEX(DESPACHOS!$M$3:$M$3002,MATCH($C8,DESPACHOS!$B$3:$B$3002,0))),"")</f>
        <v/>
      </c>
      <c r="T8" s="41" t="n"/>
      <c r="U8" s="43">
        <f>IF(OR($B8="",$L8=""),"",WORKDAY($B8,IFERROR(INDEX(LISTAS!$C$3:$C$42,MATCH($L8,LISTAS!$A$3:$A$42,0)),3)))</f>
        <v/>
      </c>
      <c r="V8" s="40" t="n"/>
      <c r="W8" s="19">
        <f>IF($B8="","",IF($V8&lt;&gt;"",$V8-$B8,TODAY()-$B8))</f>
        <v/>
      </c>
      <c r="X8" s="19">
        <f>IF(OR($B8="",$U8=""),"",IF($V8&lt;&gt;"",MAX(0,$V8-$U8),MAX(0,TODAY()-$U8)))</f>
        <v/>
      </c>
      <c r="Y8" s="39">
        <f>IF($C8="","",IF(IFERROR(INDEX(LISTAS!$I$3:$I$42,MATCH($T8,LISTAS!$H$3:$H$42,0)),"NO")="SÍ",IF(N($X8)&gt;0,"CERRADA FUERA DE SLA","CERRADA EN SLA"),IF($U8="","SIN CLASIFICAR",IF(N($X8)&gt;0,"VENCIDA",IF(TODAY()&gt;=$U8-1,"POR VENCER","EN PLAZO")))))</f>
        <v/>
      </c>
      <c r="Z8" s="41" t="n"/>
      <c r="AA8" s="41" t="n"/>
      <c r="AB8" s="41" t="n"/>
    </row>
    <row r="9">
      <c r="A9" s="39">
        <f>IF($C9="","","NOV-"&amp;TEXT(ROW()-3,"0000"))</f>
        <v/>
      </c>
      <c r="B9" s="40" t="n"/>
      <c r="C9" s="41" t="n"/>
      <c r="D9" s="42">
        <f>IF($C9="","",IFERROR(INDEX(DESPACHOS!$D$3:$D$3002,MATCH($C9,DESPACHOS!$B$3:$B$3002,0)),"SIN DESPACHO"))</f>
        <v/>
      </c>
      <c r="E9" s="42">
        <f>IF($C9="","",IFERROR(INDEX(DESPACHOS!$K$3:$K$3002,MATCH($C9,DESPACHOS!$B$3:$B$3002,0)),""))</f>
        <v/>
      </c>
      <c r="F9" s="42">
        <f>IF($C9="","",IFERROR(INDEX(DESPACHOS!$I$3:$I$3002,MATCH($C9,DESPACHOS!$B$3:$B$3002,0)),""))</f>
        <v/>
      </c>
      <c r="G9" s="42">
        <f>IF($C9="","",IFERROR(INDEX(DESPACHOS!$F$3:$F$3002,MATCH($C9,DESPACHOS!$B$3:$B$3002,0)),""))</f>
        <v/>
      </c>
      <c r="H9" s="42">
        <f>IF($C9="","",IFERROR(INDEX(DESPACHOS!$G$3:$G$3002,MATCH($C9,DESPACHOS!$B$3:$B$3002,0)),""))</f>
        <v/>
      </c>
      <c r="I9" s="39">
        <f>IF($C9="","",IFERROR(INDEX(DESPACHOS!$H$3:$H$3002,MATCH($C9,DESPACHOS!$B$3:$B$3002,0)),""))</f>
        <v/>
      </c>
      <c r="J9" s="43">
        <f>IF($C9="","",IFERROR(INDEX(DESPACHOS!$J$3:$J$3002,MATCH($C9,DESPACHOS!$B$3:$B$3002,0)),""))</f>
        <v/>
      </c>
      <c r="K9" s="39">
        <f>IF($C9="","",IF(COUNTIFS(DESPACHOS!$B$3:$B$3002,$C9)=0,"NO EXISTE",IF(COUNTIFS(DESPACHOS!$B$3:$B$3002,$C9)&gt;1,"DUPLICADO","OK")))</f>
        <v/>
      </c>
      <c r="L9" s="41" t="n"/>
      <c r="M9" s="41" t="n"/>
      <c r="N9" s="42">
        <f>IF($M9="","",IFERROR(INDEX(LISTAS!$F$3:$F$42,MATCH($M9,LISTAS!$E$3:$E$42,0)),"Por definir"))</f>
        <v/>
      </c>
      <c r="O9" s="41" t="n"/>
      <c r="P9" s="39">
        <f>IF($L9="","",IFERROR(INDEX(LISTAS!$B$3:$B$42,MATCH($L9,LISTAS!$A$3:$A$42,0)),"Media"))</f>
        <v/>
      </c>
      <c r="Q9" s="44" t="n"/>
      <c r="R9" s="45" t="n"/>
      <c r="S9" s="20">
        <f>IFERROR(IF(OR($R9="",$C9=""),"",$R9/INDEX(DESPACHOS!$M$3:$M$3002,MATCH($C9,DESPACHOS!$B$3:$B$3002,0))),"")</f>
        <v/>
      </c>
      <c r="T9" s="41" t="n"/>
      <c r="U9" s="43">
        <f>IF(OR($B9="",$L9=""),"",WORKDAY($B9,IFERROR(INDEX(LISTAS!$C$3:$C$42,MATCH($L9,LISTAS!$A$3:$A$42,0)),3)))</f>
        <v/>
      </c>
      <c r="V9" s="40" t="n"/>
      <c r="W9" s="19">
        <f>IF($B9="","",IF($V9&lt;&gt;"",$V9-$B9,TODAY()-$B9))</f>
        <v/>
      </c>
      <c r="X9" s="19">
        <f>IF(OR($B9="",$U9=""),"",IF($V9&lt;&gt;"",MAX(0,$V9-$U9),MAX(0,TODAY()-$U9)))</f>
        <v/>
      </c>
      <c r="Y9" s="39">
        <f>IF($C9="","",IF(IFERROR(INDEX(LISTAS!$I$3:$I$42,MATCH($T9,LISTAS!$H$3:$H$42,0)),"NO")="SÍ",IF(N($X9)&gt;0,"CERRADA FUERA DE SLA","CERRADA EN SLA"),IF($U9="","SIN CLASIFICAR",IF(N($X9)&gt;0,"VENCIDA",IF(TODAY()&gt;=$U9-1,"POR VENCER","EN PLAZO")))))</f>
        <v/>
      </c>
      <c r="Z9" s="41" t="n"/>
      <c r="AA9" s="41" t="n"/>
      <c r="AB9" s="41" t="n"/>
    </row>
    <row r="10">
      <c r="A10" s="39">
        <f>IF($C10="","","NOV-"&amp;TEXT(ROW()-3,"0000"))</f>
        <v/>
      </c>
      <c r="B10" s="40" t="n"/>
      <c r="C10" s="41" t="n"/>
      <c r="D10" s="42">
        <f>IF($C10="","",IFERROR(INDEX(DESPACHOS!$D$3:$D$3002,MATCH($C10,DESPACHOS!$B$3:$B$3002,0)),"SIN DESPACHO"))</f>
        <v/>
      </c>
      <c r="E10" s="42">
        <f>IF($C10="","",IFERROR(INDEX(DESPACHOS!$K$3:$K$3002,MATCH($C10,DESPACHOS!$B$3:$B$3002,0)),""))</f>
        <v/>
      </c>
      <c r="F10" s="42">
        <f>IF($C10="","",IFERROR(INDEX(DESPACHOS!$I$3:$I$3002,MATCH($C10,DESPACHOS!$B$3:$B$3002,0)),""))</f>
        <v/>
      </c>
      <c r="G10" s="42">
        <f>IF($C10="","",IFERROR(INDEX(DESPACHOS!$F$3:$F$3002,MATCH($C10,DESPACHOS!$B$3:$B$3002,0)),""))</f>
        <v/>
      </c>
      <c r="H10" s="42">
        <f>IF($C10="","",IFERROR(INDEX(DESPACHOS!$G$3:$G$3002,MATCH($C10,DESPACHOS!$B$3:$B$3002,0)),""))</f>
        <v/>
      </c>
      <c r="I10" s="39">
        <f>IF($C10="","",IFERROR(INDEX(DESPACHOS!$H$3:$H$3002,MATCH($C10,DESPACHOS!$B$3:$B$3002,0)),""))</f>
        <v/>
      </c>
      <c r="J10" s="43">
        <f>IF($C10="","",IFERROR(INDEX(DESPACHOS!$J$3:$J$3002,MATCH($C10,DESPACHOS!$B$3:$B$3002,0)),""))</f>
        <v/>
      </c>
      <c r="K10" s="39">
        <f>IF($C10="","",IF(COUNTIFS(DESPACHOS!$B$3:$B$3002,$C10)=0,"NO EXISTE",IF(COUNTIFS(DESPACHOS!$B$3:$B$3002,$C10)&gt;1,"DUPLICADO","OK")))</f>
        <v/>
      </c>
      <c r="L10" s="41" t="n"/>
      <c r="M10" s="41" t="n"/>
      <c r="N10" s="42">
        <f>IF($M10="","",IFERROR(INDEX(LISTAS!$F$3:$F$42,MATCH($M10,LISTAS!$E$3:$E$42,0)),"Por definir"))</f>
        <v/>
      </c>
      <c r="O10" s="41" t="n"/>
      <c r="P10" s="39">
        <f>IF($L10="","",IFERROR(INDEX(LISTAS!$B$3:$B$42,MATCH($L10,LISTAS!$A$3:$A$42,0)),"Media"))</f>
        <v/>
      </c>
      <c r="Q10" s="44" t="n"/>
      <c r="R10" s="45" t="n"/>
      <c r="S10" s="20">
        <f>IFERROR(IF(OR($R10="",$C10=""),"",$R10/INDEX(DESPACHOS!$M$3:$M$3002,MATCH($C10,DESPACHOS!$B$3:$B$3002,0))),"")</f>
        <v/>
      </c>
      <c r="T10" s="41" t="n"/>
      <c r="U10" s="43">
        <f>IF(OR($B10="",$L10=""),"",WORKDAY($B10,IFERROR(INDEX(LISTAS!$C$3:$C$42,MATCH($L10,LISTAS!$A$3:$A$42,0)),3)))</f>
        <v/>
      </c>
      <c r="V10" s="40" t="n"/>
      <c r="W10" s="19">
        <f>IF($B10="","",IF($V10&lt;&gt;"",$V10-$B10,TODAY()-$B10))</f>
        <v/>
      </c>
      <c r="X10" s="19">
        <f>IF(OR($B10="",$U10=""),"",IF($V10&lt;&gt;"",MAX(0,$V10-$U10),MAX(0,TODAY()-$U10)))</f>
        <v/>
      </c>
      <c r="Y10" s="39">
        <f>IF($C10="","",IF(IFERROR(INDEX(LISTAS!$I$3:$I$42,MATCH($T10,LISTAS!$H$3:$H$42,0)),"NO")="SÍ",IF(N($X10)&gt;0,"CERRADA FUERA DE SLA","CERRADA EN SLA"),IF($U10="","SIN CLASIFICAR",IF(N($X10)&gt;0,"VENCIDA",IF(TODAY()&gt;=$U10-1,"POR VENCER","EN PLAZO")))))</f>
        <v/>
      </c>
      <c r="Z10" s="41" t="n"/>
      <c r="AA10" s="41" t="n"/>
      <c r="AB10" s="41" t="n"/>
    </row>
    <row r="11">
      <c r="A11" s="39">
        <f>IF($C11="","","NOV-"&amp;TEXT(ROW()-3,"0000"))</f>
        <v/>
      </c>
      <c r="B11" s="40" t="n"/>
      <c r="C11" s="41" t="n"/>
      <c r="D11" s="42">
        <f>IF($C11="","",IFERROR(INDEX(DESPACHOS!$D$3:$D$3002,MATCH($C11,DESPACHOS!$B$3:$B$3002,0)),"SIN DESPACHO"))</f>
        <v/>
      </c>
      <c r="E11" s="42">
        <f>IF($C11="","",IFERROR(INDEX(DESPACHOS!$K$3:$K$3002,MATCH($C11,DESPACHOS!$B$3:$B$3002,0)),""))</f>
        <v/>
      </c>
      <c r="F11" s="42">
        <f>IF($C11="","",IFERROR(INDEX(DESPACHOS!$I$3:$I$3002,MATCH($C11,DESPACHOS!$B$3:$B$3002,0)),""))</f>
        <v/>
      </c>
      <c r="G11" s="42">
        <f>IF($C11="","",IFERROR(INDEX(DESPACHOS!$F$3:$F$3002,MATCH($C11,DESPACHOS!$B$3:$B$3002,0)),""))</f>
        <v/>
      </c>
      <c r="H11" s="42">
        <f>IF($C11="","",IFERROR(INDEX(DESPACHOS!$G$3:$G$3002,MATCH($C11,DESPACHOS!$B$3:$B$3002,0)),""))</f>
        <v/>
      </c>
      <c r="I11" s="39">
        <f>IF($C11="","",IFERROR(INDEX(DESPACHOS!$H$3:$H$3002,MATCH($C11,DESPACHOS!$B$3:$B$3002,0)),""))</f>
        <v/>
      </c>
      <c r="J11" s="43">
        <f>IF($C11="","",IFERROR(INDEX(DESPACHOS!$J$3:$J$3002,MATCH($C11,DESPACHOS!$B$3:$B$3002,0)),""))</f>
        <v/>
      </c>
      <c r="K11" s="39">
        <f>IF($C11="","",IF(COUNTIFS(DESPACHOS!$B$3:$B$3002,$C11)=0,"NO EXISTE",IF(COUNTIFS(DESPACHOS!$B$3:$B$3002,$C11)&gt;1,"DUPLICADO","OK")))</f>
        <v/>
      </c>
      <c r="L11" s="41" t="n"/>
      <c r="M11" s="41" t="n"/>
      <c r="N11" s="42">
        <f>IF($M11="","",IFERROR(INDEX(LISTAS!$F$3:$F$42,MATCH($M11,LISTAS!$E$3:$E$42,0)),"Por definir"))</f>
        <v/>
      </c>
      <c r="O11" s="41" t="n"/>
      <c r="P11" s="39">
        <f>IF($L11="","",IFERROR(INDEX(LISTAS!$B$3:$B$42,MATCH($L11,LISTAS!$A$3:$A$42,0)),"Media"))</f>
        <v/>
      </c>
      <c r="Q11" s="44" t="n"/>
      <c r="R11" s="45" t="n"/>
      <c r="S11" s="20">
        <f>IFERROR(IF(OR($R11="",$C11=""),"",$R11/INDEX(DESPACHOS!$M$3:$M$3002,MATCH($C11,DESPACHOS!$B$3:$B$3002,0))),"")</f>
        <v/>
      </c>
      <c r="T11" s="41" t="n"/>
      <c r="U11" s="43">
        <f>IF(OR($B11="",$L11=""),"",WORKDAY($B11,IFERROR(INDEX(LISTAS!$C$3:$C$42,MATCH($L11,LISTAS!$A$3:$A$42,0)),3)))</f>
        <v/>
      </c>
      <c r="V11" s="40" t="n"/>
      <c r="W11" s="19">
        <f>IF($B11="","",IF($V11&lt;&gt;"",$V11-$B11,TODAY()-$B11))</f>
        <v/>
      </c>
      <c r="X11" s="19">
        <f>IF(OR($B11="",$U11=""),"",IF($V11&lt;&gt;"",MAX(0,$V11-$U11),MAX(0,TODAY()-$U11)))</f>
        <v/>
      </c>
      <c r="Y11" s="39">
        <f>IF($C11="","",IF(IFERROR(INDEX(LISTAS!$I$3:$I$42,MATCH($T11,LISTAS!$H$3:$H$42,0)),"NO")="SÍ",IF(N($X11)&gt;0,"CERRADA FUERA DE SLA","CERRADA EN SLA"),IF($U11="","SIN CLASIFICAR",IF(N($X11)&gt;0,"VENCIDA",IF(TODAY()&gt;=$U11-1,"POR VENCER","EN PLAZO")))))</f>
        <v/>
      </c>
      <c r="Z11" s="41" t="n"/>
      <c r="AA11" s="41" t="n"/>
      <c r="AB11" s="41" t="n"/>
    </row>
    <row r="12">
      <c r="A12" s="39">
        <f>IF($C12="","","NOV-"&amp;TEXT(ROW()-3,"0000"))</f>
        <v/>
      </c>
      <c r="B12" s="40" t="n"/>
      <c r="C12" s="41" t="n"/>
      <c r="D12" s="42">
        <f>IF($C12="","",IFERROR(INDEX(DESPACHOS!$D$3:$D$3002,MATCH($C12,DESPACHOS!$B$3:$B$3002,0)),"SIN DESPACHO"))</f>
        <v/>
      </c>
      <c r="E12" s="42">
        <f>IF($C12="","",IFERROR(INDEX(DESPACHOS!$K$3:$K$3002,MATCH($C12,DESPACHOS!$B$3:$B$3002,0)),""))</f>
        <v/>
      </c>
      <c r="F12" s="42">
        <f>IF($C12="","",IFERROR(INDEX(DESPACHOS!$I$3:$I$3002,MATCH($C12,DESPACHOS!$B$3:$B$3002,0)),""))</f>
        <v/>
      </c>
      <c r="G12" s="42">
        <f>IF($C12="","",IFERROR(INDEX(DESPACHOS!$F$3:$F$3002,MATCH($C12,DESPACHOS!$B$3:$B$3002,0)),""))</f>
        <v/>
      </c>
      <c r="H12" s="42">
        <f>IF($C12="","",IFERROR(INDEX(DESPACHOS!$G$3:$G$3002,MATCH($C12,DESPACHOS!$B$3:$B$3002,0)),""))</f>
        <v/>
      </c>
      <c r="I12" s="39">
        <f>IF($C12="","",IFERROR(INDEX(DESPACHOS!$H$3:$H$3002,MATCH($C12,DESPACHOS!$B$3:$B$3002,0)),""))</f>
        <v/>
      </c>
      <c r="J12" s="43">
        <f>IF($C12="","",IFERROR(INDEX(DESPACHOS!$J$3:$J$3002,MATCH($C12,DESPACHOS!$B$3:$B$3002,0)),""))</f>
        <v/>
      </c>
      <c r="K12" s="39">
        <f>IF($C12="","",IF(COUNTIFS(DESPACHOS!$B$3:$B$3002,$C12)=0,"NO EXISTE",IF(COUNTIFS(DESPACHOS!$B$3:$B$3002,$C12)&gt;1,"DUPLICADO","OK")))</f>
        <v/>
      </c>
      <c r="L12" s="41" t="n"/>
      <c r="M12" s="41" t="n"/>
      <c r="N12" s="42">
        <f>IF($M12="","",IFERROR(INDEX(LISTAS!$F$3:$F$42,MATCH($M12,LISTAS!$E$3:$E$42,0)),"Por definir"))</f>
        <v/>
      </c>
      <c r="O12" s="41" t="n"/>
      <c r="P12" s="39">
        <f>IF($L12="","",IFERROR(INDEX(LISTAS!$B$3:$B$42,MATCH($L12,LISTAS!$A$3:$A$42,0)),"Media"))</f>
        <v/>
      </c>
      <c r="Q12" s="44" t="n"/>
      <c r="R12" s="45" t="n"/>
      <c r="S12" s="20">
        <f>IFERROR(IF(OR($R12="",$C12=""),"",$R12/INDEX(DESPACHOS!$M$3:$M$3002,MATCH($C12,DESPACHOS!$B$3:$B$3002,0))),"")</f>
        <v/>
      </c>
      <c r="T12" s="41" t="n"/>
      <c r="U12" s="43">
        <f>IF(OR($B12="",$L12=""),"",WORKDAY($B12,IFERROR(INDEX(LISTAS!$C$3:$C$42,MATCH($L12,LISTAS!$A$3:$A$42,0)),3)))</f>
        <v/>
      </c>
      <c r="V12" s="40" t="n"/>
      <c r="W12" s="19">
        <f>IF($B12="","",IF($V12&lt;&gt;"",$V12-$B12,TODAY()-$B12))</f>
        <v/>
      </c>
      <c r="X12" s="19">
        <f>IF(OR($B12="",$U12=""),"",IF($V12&lt;&gt;"",MAX(0,$V12-$U12),MAX(0,TODAY()-$U12)))</f>
        <v/>
      </c>
      <c r="Y12" s="39">
        <f>IF($C12="","",IF(IFERROR(INDEX(LISTAS!$I$3:$I$42,MATCH($T12,LISTAS!$H$3:$H$42,0)),"NO")="SÍ",IF(N($X12)&gt;0,"CERRADA FUERA DE SLA","CERRADA EN SLA"),IF($U12="","SIN CLASIFICAR",IF(N($X12)&gt;0,"VENCIDA",IF(TODAY()&gt;=$U12-1,"POR VENCER","EN PLAZO")))))</f>
        <v/>
      </c>
      <c r="Z12" s="41" t="n"/>
      <c r="AA12" s="41" t="n"/>
      <c r="AB12" s="41" t="n"/>
    </row>
    <row r="13">
      <c r="A13" s="39">
        <f>IF($C13="","","NOV-"&amp;TEXT(ROW()-3,"0000"))</f>
        <v/>
      </c>
      <c r="B13" s="40" t="n"/>
      <c r="C13" s="41" t="n"/>
      <c r="D13" s="42">
        <f>IF($C13="","",IFERROR(INDEX(DESPACHOS!$D$3:$D$3002,MATCH($C13,DESPACHOS!$B$3:$B$3002,0)),"SIN DESPACHO"))</f>
        <v/>
      </c>
      <c r="E13" s="42">
        <f>IF($C13="","",IFERROR(INDEX(DESPACHOS!$K$3:$K$3002,MATCH($C13,DESPACHOS!$B$3:$B$3002,0)),""))</f>
        <v/>
      </c>
      <c r="F13" s="42">
        <f>IF($C13="","",IFERROR(INDEX(DESPACHOS!$I$3:$I$3002,MATCH($C13,DESPACHOS!$B$3:$B$3002,0)),""))</f>
        <v/>
      </c>
      <c r="G13" s="42">
        <f>IF($C13="","",IFERROR(INDEX(DESPACHOS!$F$3:$F$3002,MATCH($C13,DESPACHOS!$B$3:$B$3002,0)),""))</f>
        <v/>
      </c>
      <c r="H13" s="42">
        <f>IF($C13="","",IFERROR(INDEX(DESPACHOS!$G$3:$G$3002,MATCH($C13,DESPACHOS!$B$3:$B$3002,0)),""))</f>
        <v/>
      </c>
      <c r="I13" s="39">
        <f>IF($C13="","",IFERROR(INDEX(DESPACHOS!$H$3:$H$3002,MATCH($C13,DESPACHOS!$B$3:$B$3002,0)),""))</f>
        <v/>
      </c>
      <c r="J13" s="43">
        <f>IF($C13="","",IFERROR(INDEX(DESPACHOS!$J$3:$J$3002,MATCH($C13,DESPACHOS!$B$3:$B$3002,0)),""))</f>
        <v/>
      </c>
      <c r="K13" s="39">
        <f>IF($C13="","",IF(COUNTIFS(DESPACHOS!$B$3:$B$3002,$C13)=0,"NO EXISTE",IF(COUNTIFS(DESPACHOS!$B$3:$B$3002,$C13)&gt;1,"DUPLICADO","OK")))</f>
        <v/>
      </c>
      <c r="L13" s="41" t="n"/>
      <c r="M13" s="41" t="n"/>
      <c r="N13" s="42">
        <f>IF($M13="","",IFERROR(INDEX(LISTAS!$F$3:$F$42,MATCH($M13,LISTAS!$E$3:$E$42,0)),"Por definir"))</f>
        <v/>
      </c>
      <c r="O13" s="41" t="n"/>
      <c r="P13" s="39">
        <f>IF($L13="","",IFERROR(INDEX(LISTAS!$B$3:$B$42,MATCH($L13,LISTAS!$A$3:$A$42,0)),"Media"))</f>
        <v/>
      </c>
      <c r="Q13" s="44" t="n"/>
      <c r="R13" s="45" t="n"/>
      <c r="S13" s="20">
        <f>IFERROR(IF(OR($R13="",$C13=""),"",$R13/INDEX(DESPACHOS!$M$3:$M$3002,MATCH($C13,DESPACHOS!$B$3:$B$3002,0))),"")</f>
        <v/>
      </c>
      <c r="T13" s="41" t="n"/>
      <c r="U13" s="43">
        <f>IF(OR($B13="",$L13=""),"",WORKDAY($B13,IFERROR(INDEX(LISTAS!$C$3:$C$42,MATCH($L13,LISTAS!$A$3:$A$42,0)),3)))</f>
        <v/>
      </c>
      <c r="V13" s="40" t="n"/>
      <c r="W13" s="19">
        <f>IF($B13="","",IF($V13&lt;&gt;"",$V13-$B13,TODAY()-$B13))</f>
        <v/>
      </c>
      <c r="X13" s="19">
        <f>IF(OR($B13="",$U13=""),"",IF($V13&lt;&gt;"",MAX(0,$V13-$U13),MAX(0,TODAY()-$U13)))</f>
        <v/>
      </c>
      <c r="Y13" s="39">
        <f>IF($C13="","",IF(IFERROR(INDEX(LISTAS!$I$3:$I$42,MATCH($T13,LISTAS!$H$3:$H$42,0)),"NO")="SÍ",IF(N($X13)&gt;0,"CERRADA FUERA DE SLA","CERRADA EN SLA"),IF($U13="","SIN CLASIFICAR",IF(N($X13)&gt;0,"VENCIDA",IF(TODAY()&gt;=$U13-1,"POR VENCER","EN PLAZO")))))</f>
        <v/>
      </c>
      <c r="Z13" s="41" t="n"/>
      <c r="AA13" s="41" t="n"/>
      <c r="AB13" s="41" t="n"/>
    </row>
    <row r="14">
      <c r="A14" s="39">
        <f>IF($C14="","","NOV-"&amp;TEXT(ROW()-3,"0000"))</f>
        <v/>
      </c>
      <c r="B14" s="40" t="n"/>
      <c r="C14" s="41" t="n"/>
      <c r="D14" s="42">
        <f>IF($C14="","",IFERROR(INDEX(DESPACHOS!$D$3:$D$3002,MATCH($C14,DESPACHOS!$B$3:$B$3002,0)),"SIN DESPACHO"))</f>
        <v/>
      </c>
      <c r="E14" s="42">
        <f>IF($C14="","",IFERROR(INDEX(DESPACHOS!$K$3:$K$3002,MATCH($C14,DESPACHOS!$B$3:$B$3002,0)),""))</f>
        <v/>
      </c>
      <c r="F14" s="42">
        <f>IF($C14="","",IFERROR(INDEX(DESPACHOS!$I$3:$I$3002,MATCH($C14,DESPACHOS!$B$3:$B$3002,0)),""))</f>
        <v/>
      </c>
      <c r="G14" s="42">
        <f>IF($C14="","",IFERROR(INDEX(DESPACHOS!$F$3:$F$3002,MATCH($C14,DESPACHOS!$B$3:$B$3002,0)),""))</f>
        <v/>
      </c>
      <c r="H14" s="42">
        <f>IF($C14="","",IFERROR(INDEX(DESPACHOS!$G$3:$G$3002,MATCH($C14,DESPACHOS!$B$3:$B$3002,0)),""))</f>
        <v/>
      </c>
      <c r="I14" s="39">
        <f>IF($C14="","",IFERROR(INDEX(DESPACHOS!$H$3:$H$3002,MATCH($C14,DESPACHOS!$B$3:$B$3002,0)),""))</f>
        <v/>
      </c>
      <c r="J14" s="43">
        <f>IF($C14="","",IFERROR(INDEX(DESPACHOS!$J$3:$J$3002,MATCH($C14,DESPACHOS!$B$3:$B$3002,0)),""))</f>
        <v/>
      </c>
      <c r="K14" s="39">
        <f>IF($C14="","",IF(COUNTIFS(DESPACHOS!$B$3:$B$3002,$C14)=0,"NO EXISTE",IF(COUNTIFS(DESPACHOS!$B$3:$B$3002,$C14)&gt;1,"DUPLICADO","OK")))</f>
        <v/>
      </c>
      <c r="L14" s="41" t="n"/>
      <c r="M14" s="41" t="n"/>
      <c r="N14" s="42">
        <f>IF($M14="","",IFERROR(INDEX(LISTAS!$F$3:$F$42,MATCH($M14,LISTAS!$E$3:$E$42,0)),"Por definir"))</f>
        <v/>
      </c>
      <c r="O14" s="41" t="n"/>
      <c r="P14" s="39">
        <f>IF($L14="","",IFERROR(INDEX(LISTAS!$B$3:$B$42,MATCH($L14,LISTAS!$A$3:$A$42,0)),"Media"))</f>
        <v/>
      </c>
      <c r="Q14" s="44" t="n"/>
      <c r="R14" s="45" t="n"/>
      <c r="S14" s="20">
        <f>IFERROR(IF(OR($R14="",$C14=""),"",$R14/INDEX(DESPACHOS!$M$3:$M$3002,MATCH($C14,DESPACHOS!$B$3:$B$3002,0))),"")</f>
        <v/>
      </c>
      <c r="T14" s="41" t="n"/>
      <c r="U14" s="43">
        <f>IF(OR($B14="",$L14=""),"",WORKDAY($B14,IFERROR(INDEX(LISTAS!$C$3:$C$42,MATCH($L14,LISTAS!$A$3:$A$42,0)),3)))</f>
        <v/>
      </c>
      <c r="V14" s="40" t="n"/>
      <c r="W14" s="19">
        <f>IF($B14="","",IF($V14&lt;&gt;"",$V14-$B14,TODAY()-$B14))</f>
        <v/>
      </c>
      <c r="X14" s="19">
        <f>IF(OR($B14="",$U14=""),"",IF($V14&lt;&gt;"",MAX(0,$V14-$U14),MAX(0,TODAY()-$U14)))</f>
        <v/>
      </c>
      <c r="Y14" s="39">
        <f>IF($C14="","",IF(IFERROR(INDEX(LISTAS!$I$3:$I$42,MATCH($T14,LISTAS!$H$3:$H$42,0)),"NO")="SÍ",IF(N($X14)&gt;0,"CERRADA FUERA DE SLA","CERRADA EN SLA"),IF($U14="","SIN CLASIFICAR",IF(N($X14)&gt;0,"VENCIDA",IF(TODAY()&gt;=$U14-1,"POR VENCER","EN PLAZO")))))</f>
        <v/>
      </c>
      <c r="Z14" s="41" t="n"/>
      <c r="AA14" s="41" t="n"/>
      <c r="AB14" s="41" t="n"/>
    </row>
    <row r="15">
      <c r="A15" s="39">
        <f>IF($C15="","","NOV-"&amp;TEXT(ROW()-3,"0000"))</f>
        <v/>
      </c>
      <c r="B15" s="40" t="n"/>
      <c r="C15" s="41" t="n"/>
      <c r="D15" s="42">
        <f>IF($C15="","",IFERROR(INDEX(DESPACHOS!$D$3:$D$3002,MATCH($C15,DESPACHOS!$B$3:$B$3002,0)),"SIN DESPACHO"))</f>
        <v/>
      </c>
      <c r="E15" s="42">
        <f>IF($C15="","",IFERROR(INDEX(DESPACHOS!$K$3:$K$3002,MATCH($C15,DESPACHOS!$B$3:$B$3002,0)),""))</f>
        <v/>
      </c>
      <c r="F15" s="42">
        <f>IF($C15="","",IFERROR(INDEX(DESPACHOS!$I$3:$I$3002,MATCH($C15,DESPACHOS!$B$3:$B$3002,0)),""))</f>
        <v/>
      </c>
      <c r="G15" s="42">
        <f>IF($C15="","",IFERROR(INDEX(DESPACHOS!$F$3:$F$3002,MATCH($C15,DESPACHOS!$B$3:$B$3002,0)),""))</f>
        <v/>
      </c>
      <c r="H15" s="42">
        <f>IF($C15="","",IFERROR(INDEX(DESPACHOS!$G$3:$G$3002,MATCH($C15,DESPACHOS!$B$3:$B$3002,0)),""))</f>
        <v/>
      </c>
      <c r="I15" s="39">
        <f>IF($C15="","",IFERROR(INDEX(DESPACHOS!$H$3:$H$3002,MATCH($C15,DESPACHOS!$B$3:$B$3002,0)),""))</f>
        <v/>
      </c>
      <c r="J15" s="43">
        <f>IF($C15="","",IFERROR(INDEX(DESPACHOS!$J$3:$J$3002,MATCH($C15,DESPACHOS!$B$3:$B$3002,0)),""))</f>
        <v/>
      </c>
      <c r="K15" s="39">
        <f>IF($C15="","",IF(COUNTIFS(DESPACHOS!$B$3:$B$3002,$C15)=0,"NO EXISTE",IF(COUNTIFS(DESPACHOS!$B$3:$B$3002,$C15)&gt;1,"DUPLICADO","OK")))</f>
        <v/>
      </c>
      <c r="L15" s="41" t="n"/>
      <c r="M15" s="41" t="n"/>
      <c r="N15" s="42">
        <f>IF($M15="","",IFERROR(INDEX(LISTAS!$F$3:$F$42,MATCH($M15,LISTAS!$E$3:$E$42,0)),"Por definir"))</f>
        <v/>
      </c>
      <c r="O15" s="41" t="n"/>
      <c r="P15" s="39">
        <f>IF($L15="","",IFERROR(INDEX(LISTAS!$B$3:$B$42,MATCH($L15,LISTAS!$A$3:$A$42,0)),"Media"))</f>
        <v/>
      </c>
      <c r="Q15" s="44" t="n"/>
      <c r="R15" s="45" t="n"/>
      <c r="S15" s="20">
        <f>IFERROR(IF(OR($R15="",$C15=""),"",$R15/INDEX(DESPACHOS!$M$3:$M$3002,MATCH($C15,DESPACHOS!$B$3:$B$3002,0))),"")</f>
        <v/>
      </c>
      <c r="T15" s="41" t="n"/>
      <c r="U15" s="43">
        <f>IF(OR($B15="",$L15=""),"",WORKDAY($B15,IFERROR(INDEX(LISTAS!$C$3:$C$42,MATCH($L15,LISTAS!$A$3:$A$42,0)),3)))</f>
        <v/>
      </c>
      <c r="V15" s="40" t="n"/>
      <c r="W15" s="19">
        <f>IF($B15="","",IF($V15&lt;&gt;"",$V15-$B15,TODAY()-$B15))</f>
        <v/>
      </c>
      <c r="X15" s="19">
        <f>IF(OR($B15="",$U15=""),"",IF($V15&lt;&gt;"",MAX(0,$V15-$U15),MAX(0,TODAY()-$U15)))</f>
        <v/>
      </c>
      <c r="Y15" s="39">
        <f>IF($C15="","",IF(IFERROR(INDEX(LISTAS!$I$3:$I$42,MATCH($T15,LISTAS!$H$3:$H$42,0)),"NO")="SÍ",IF(N($X15)&gt;0,"CERRADA FUERA DE SLA","CERRADA EN SLA"),IF($U15="","SIN CLASIFICAR",IF(N($X15)&gt;0,"VENCIDA",IF(TODAY()&gt;=$U15-1,"POR VENCER","EN PLAZO")))))</f>
        <v/>
      </c>
      <c r="Z15" s="41" t="n"/>
      <c r="AA15" s="41" t="n"/>
      <c r="AB15" s="41" t="n"/>
    </row>
    <row r="16">
      <c r="A16" s="39">
        <f>IF($C16="","","NOV-"&amp;TEXT(ROW()-3,"0000"))</f>
        <v/>
      </c>
      <c r="B16" s="40" t="n"/>
      <c r="C16" s="41" t="n"/>
      <c r="D16" s="42">
        <f>IF($C16="","",IFERROR(INDEX(DESPACHOS!$D$3:$D$3002,MATCH($C16,DESPACHOS!$B$3:$B$3002,0)),"SIN DESPACHO"))</f>
        <v/>
      </c>
      <c r="E16" s="42">
        <f>IF($C16="","",IFERROR(INDEX(DESPACHOS!$K$3:$K$3002,MATCH($C16,DESPACHOS!$B$3:$B$3002,0)),""))</f>
        <v/>
      </c>
      <c r="F16" s="42">
        <f>IF($C16="","",IFERROR(INDEX(DESPACHOS!$I$3:$I$3002,MATCH($C16,DESPACHOS!$B$3:$B$3002,0)),""))</f>
        <v/>
      </c>
      <c r="G16" s="42">
        <f>IF($C16="","",IFERROR(INDEX(DESPACHOS!$F$3:$F$3002,MATCH($C16,DESPACHOS!$B$3:$B$3002,0)),""))</f>
        <v/>
      </c>
      <c r="H16" s="42">
        <f>IF($C16="","",IFERROR(INDEX(DESPACHOS!$G$3:$G$3002,MATCH($C16,DESPACHOS!$B$3:$B$3002,0)),""))</f>
        <v/>
      </c>
      <c r="I16" s="39">
        <f>IF($C16="","",IFERROR(INDEX(DESPACHOS!$H$3:$H$3002,MATCH($C16,DESPACHOS!$B$3:$B$3002,0)),""))</f>
        <v/>
      </c>
      <c r="J16" s="43">
        <f>IF($C16="","",IFERROR(INDEX(DESPACHOS!$J$3:$J$3002,MATCH($C16,DESPACHOS!$B$3:$B$3002,0)),""))</f>
        <v/>
      </c>
      <c r="K16" s="39">
        <f>IF($C16="","",IF(COUNTIFS(DESPACHOS!$B$3:$B$3002,$C16)=0,"NO EXISTE",IF(COUNTIFS(DESPACHOS!$B$3:$B$3002,$C16)&gt;1,"DUPLICADO","OK")))</f>
        <v/>
      </c>
      <c r="L16" s="41" t="n"/>
      <c r="M16" s="41" t="n"/>
      <c r="N16" s="42">
        <f>IF($M16="","",IFERROR(INDEX(LISTAS!$F$3:$F$42,MATCH($M16,LISTAS!$E$3:$E$42,0)),"Por definir"))</f>
        <v/>
      </c>
      <c r="O16" s="41" t="n"/>
      <c r="P16" s="39">
        <f>IF($L16="","",IFERROR(INDEX(LISTAS!$B$3:$B$42,MATCH($L16,LISTAS!$A$3:$A$42,0)),"Media"))</f>
        <v/>
      </c>
      <c r="Q16" s="44" t="n"/>
      <c r="R16" s="45" t="n"/>
      <c r="S16" s="20">
        <f>IFERROR(IF(OR($R16="",$C16=""),"",$R16/INDEX(DESPACHOS!$M$3:$M$3002,MATCH($C16,DESPACHOS!$B$3:$B$3002,0))),"")</f>
        <v/>
      </c>
      <c r="T16" s="41" t="n"/>
      <c r="U16" s="43">
        <f>IF(OR($B16="",$L16=""),"",WORKDAY($B16,IFERROR(INDEX(LISTAS!$C$3:$C$42,MATCH($L16,LISTAS!$A$3:$A$42,0)),3)))</f>
        <v/>
      </c>
      <c r="V16" s="40" t="n"/>
      <c r="W16" s="19">
        <f>IF($B16="","",IF($V16&lt;&gt;"",$V16-$B16,TODAY()-$B16))</f>
        <v/>
      </c>
      <c r="X16" s="19">
        <f>IF(OR($B16="",$U16=""),"",IF($V16&lt;&gt;"",MAX(0,$V16-$U16),MAX(0,TODAY()-$U16)))</f>
        <v/>
      </c>
      <c r="Y16" s="39">
        <f>IF($C16="","",IF(IFERROR(INDEX(LISTAS!$I$3:$I$42,MATCH($T16,LISTAS!$H$3:$H$42,0)),"NO")="SÍ",IF(N($X16)&gt;0,"CERRADA FUERA DE SLA","CERRADA EN SLA"),IF($U16="","SIN CLASIFICAR",IF(N($X16)&gt;0,"VENCIDA",IF(TODAY()&gt;=$U16-1,"POR VENCER","EN PLAZO")))))</f>
        <v/>
      </c>
      <c r="Z16" s="41" t="n"/>
      <c r="AA16" s="41" t="n"/>
      <c r="AB16" s="41" t="n"/>
    </row>
    <row r="17">
      <c r="A17" s="39">
        <f>IF($C17="","","NOV-"&amp;TEXT(ROW()-3,"0000"))</f>
        <v/>
      </c>
      <c r="B17" s="40" t="n"/>
      <c r="C17" s="41" t="n"/>
      <c r="D17" s="42">
        <f>IF($C17="","",IFERROR(INDEX(DESPACHOS!$D$3:$D$3002,MATCH($C17,DESPACHOS!$B$3:$B$3002,0)),"SIN DESPACHO"))</f>
        <v/>
      </c>
      <c r="E17" s="42">
        <f>IF($C17="","",IFERROR(INDEX(DESPACHOS!$K$3:$K$3002,MATCH($C17,DESPACHOS!$B$3:$B$3002,0)),""))</f>
        <v/>
      </c>
      <c r="F17" s="42">
        <f>IF($C17="","",IFERROR(INDEX(DESPACHOS!$I$3:$I$3002,MATCH($C17,DESPACHOS!$B$3:$B$3002,0)),""))</f>
        <v/>
      </c>
      <c r="G17" s="42">
        <f>IF($C17="","",IFERROR(INDEX(DESPACHOS!$F$3:$F$3002,MATCH($C17,DESPACHOS!$B$3:$B$3002,0)),""))</f>
        <v/>
      </c>
      <c r="H17" s="42">
        <f>IF($C17="","",IFERROR(INDEX(DESPACHOS!$G$3:$G$3002,MATCH($C17,DESPACHOS!$B$3:$B$3002,0)),""))</f>
        <v/>
      </c>
      <c r="I17" s="39">
        <f>IF($C17="","",IFERROR(INDEX(DESPACHOS!$H$3:$H$3002,MATCH($C17,DESPACHOS!$B$3:$B$3002,0)),""))</f>
        <v/>
      </c>
      <c r="J17" s="43">
        <f>IF($C17="","",IFERROR(INDEX(DESPACHOS!$J$3:$J$3002,MATCH($C17,DESPACHOS!$B$3:$B$3002,0)),""))</f>
        <v/>
      </c>
      <c r="K17" s="39">
        <f>IF($C17="","",IF(COUNTIFS(DESPACHOS!$B$3:$B$3002,$C17)=0,"NO EXISTE",IF(COUNTIFS(DESPACHOS!$B$3:$B$3002,$C17)&gt;1,"DUPLICADO","OK")))</f>
        <v/>
      </c>
      <c r="L17" s="41" t="n"/>
      <c r="M17" s="41" t="n"/>
      <c r="N17" s="42">
        <f>IF($M17="","",IFERROR(INDEX(LISTAS!$F$3:$F$42,MATCH($M17,LISTAS!$E$3:$E$42,0)),"Por definir"))</f>
        <v/>
      </c>
      <c r="O17" s="41" t="n"/>
      <c r="P17" s="39">
        <f>IF($L17="","",IFERROR(INDEX(LISTAS!$B$3:$B$42,MATCH($L17,LISTAS!$A$3:$A$42,0)),"Media"))</f>
        <v/>
      </c>
      <c r="Q17" s="44" t="n"/>
      <c r="R17" s="45" t="n"/>
      <c r="S17" s="20">
        <f>IFERROR(IF(OR($R17="",$C17=""),"",$R17/INDEX(DESPACHOS!$M$3:$M$3002,MATCH($C17,DESPACHOS!$B$3:$B$3002,0))),"")</f>
        <v/>
      </c>
      <c r="T17" s="41" t="n"/>
      <c r="U17" s="43">
        <f>IF(OR($B17="",$L17=""),"",WORKDAY($B17,IFERROR(INDEX(LISTAS!$C$3:$C$42,MATCH($L17,LISTAS!$A$3:$A$42,0)),3)))</f>
        <v/>
      </c>
      <c r="V17" s="40" t="n"/>
      <c r="W17" s="19">
        <f>IF($B17="","",IF($V17&lt;&gt;"",$V17-$B17,TODAY()-$B17))</f>
        <v/>
      </c>
      <c r="X17" s="19">
        <f>IF(OR($B17="",$U17=""),"",IF($V17&lt;&gt;"",MAX(0,$V17-$U17),MAX(0,TODAY()-$U17)))</f>
        <v/>
      </c>
      <c r="Y17" s="39">
        <f>IF($C17="","",IF(IFERROR(INDEX(LISTAS!$I$3:$I$42,MATCH($T17,LISTAS!$H$3:$H$42,0)),"NO")="SÍ",IF(N($X17)&gt;0,"CERRADA FUERA DE SLA","CERRADA EN SLA"),IF($U17="","SIN CLASIFICAR",IF(N($X17)&gt;0,"VENCIDA",IF(TODAY()&gt;=$U17-1,"POR VENCER","EN PLAZO")))))</f>
        <v/>
      </c>
      <c r="Z17" s="41" t="n"/>
      <c r="AA17" s="41" t="n"/>
      <c r="AB17" s="41" t="n"/>
    </row>
    <row r="18">
      <c r="A18" s="39">
        <f>IF($C18="","","NOV-"&amp;TEXT(ROW()-3,"0000"))</f>
        <v/>
      </c>
      <c r="B18" s="40" t="n"/>
      <c r="C18" s="41" t="n"/>
      <c r="D18" s="42">
        <f>IF($C18="","",IFERROR(INDEX(DESPACHOS!$D$3:$D$3002,MATCH($C18,DESPACHOS!$B$3:$B$3002,0)),"SIN DESPACHO"))</f>
        <v/>
      </c>
      <c r="E18" s="42">
        <f>IF($C18="","",IFERROR(INDEX(DESPACHOS!$K$3:$K$3002,MATCH($C18,DESPACHOS!$B$3:$B$3002,0)),""))</f>
        <v/>
      </c>
      <c r="F18" s="42">
        <f>IF($C18="","",IFERROR(INDEX(DESPACHOS!$I$3:$I$3002,MATCH($C18,DESPACHOS!$B$3:$B$3002,0)),""))</f>
        <v/>
      </c>
      <c r="G18" s="42">
        <f>IF($C18="","",IFERROR(INDEX(DESPACHOS!$F$3:$F$3002,MATCH($C18,DESPACHOS!$B$3:$B$3002,0)),""))</f>
        <v/>
      </c>
      <c r="H18" s="42">
        <f>IF($C18="","",IFERROR(INDEX(DESPACHOS!$G$3:$G$3002,MATCH($C18,DESPACHOS!$B$3:$B$3002,0)),""))</f>
        <v/>
      </c>
      <c r="I18" s="39">
        <f>IF($C18="","",IFERROR(INDEX(DESPACHOS!$H$3:$H$3002,MATCH($C18,DESPACHOS!$B$3:$B$3002,0)),""))</f>
        <v/>
      </c>
      <c r="J18" s="43">
        <f>IF($C18="","",IFERROR(INDEX(DESPACHOS!$J$3:$J$3002,MATCH($C18,DESPACHOS!$B$3:$B$3002,0)),""))</f>
        <v/>
      </c>
      <c r="K18" s="39">
        <f>IF($C18="","",IF(COUNTIFS(DESPACHOS!$B$3:$B$3002,$C18)=0,"NO EXISTE",IF(COUNTIFS(DESPACHOS!$B$3:$B$3002,$C18)&gt;1,"DUPLICADO","OK")))</f>
        <v/>
      </c>
      <c r="L18" s="41" t="n"/>
      <c r="M18" s="41" t="n"/>
      <c r="N18" s="42">
        <f>IF($M18="","",IFERROR(INDEX(LISTAS!$F$3:$F$42,MATCH($M18,LISTAS!$E$3:$E$42,0)),"Por definir"))</f>
        <v/>
      </c>
      <c r="O18" s="41" t="n"/>
      <c r="P18" s="39">
        <f>IF($L18="","",IFERROR(INDEX(LISTAS!$B$3:$B$42,MATCH($L18,LISTAS!$A$3:$A$42,0)),"Media"))</f>
        <v/>
      </c>
      <c r="Q18" s="44" t="n"/>
      <c r="R18" s="45" t="n"/>
      <c r="S18" s="20">
        <f>IFERROR(IF(OR($R18="",$C18=""),"",$R18/INDEX(DESPACHOS!$M$3:$M$3002,MATCH($C18,DESPACHOS!$B$3:$B$3002,0))),"")</f>
        <v/>
      </c>
      <c r="T18" s="41" t="n"/>
      <c r="U18" s="43">
        <f>IF(OR($B18="",$L18=""),"",WORKDAY($B18,IFERROR(INDEX(LISTAS!$C$3:$C$42,MATCH($L18,LISTAS!$A$3:$A$42,0)),3)))</f>
        <v/>
      </c>
      <c r="V18" s="40" t="n"/>
      <c r="W18" s="19">
        <f>IF($B18="","",IF($V18&lt;&gt;"",$V18-$B18,TODAY()-$B18))</f>
        <v/>
      </c>
      <c r="X18" s="19">
        <f>IF(OR($B18="",$U18=""),"",IF($V18&lt;&gt;"",MAX(0,$V18-$U18),MAX(0,TODAY()-$U18)))</f>
        <v/>
      </c>
      <c r="Y18" s="39">
        <f>IF($C18="","",IF(IFERROR(INDEX(LISTAS!$I$3:$I$42,MATCH($T18,LISTAS!$H$3:$H$42,0)),"NO")="SÍ",IF(N($X18)&gt;0,"CERRADA FUERA DE SLA","CERRADA EN SLA"),IF($U18="","SIN CLASIFICAR",IF(N($X18)&gt;0,"VENCIDA",IF(TODAY()&gt;=$U18-1,"POR VENCER","EN PLAZO")))))</f>
        <v/>
      </c>
      <c r="Z18" s="41" t="n"/>
      <c r="AA18" s="41" t="n"/>
      <c r="AB18" s="41" t="n"/>
    </row>
    <row r="19">
      <c r="A19" s="39">
        <f>IF($C19="","","NOV-"&amp;TEXT(ROW()-3,"0000"))</f>
        <v/>
      </c>
      <c r="B19" s="40" t="n"/>
      <c r="C19" s="41" t="n"/>
      <c r="D19" s="42">
        <f>IF($C19="","",IFERROR(INDEX(DESPACHOS!$D$3:$D$3002,MATCH($C19,DESPACHOS!$B$3:$B$3002,0)),"SIN DESPACHO"))</f>
        <v/>
      </c>
      <c r="E19" s="42">
        <f>IF($C19="","",IFERROR(INDEX(DESPACHOS!$K$3:$K$3002,MATCH($C19,DESPACHOS!$B$3:$B$3002,0)),""))</f>
        <v/>
      </c>
      <c r="F19" s="42">
        <f>IF($C19="","",IFERROR(INDEX(DESPACHOS!$I$3:$I$3002,MATCH($C19,DESPACHOS!$B$3:$B$3002,0)),""))</f>
        <v/>
      </c>
      <c r="G19" s="42">
        <f>IF($C19="","",IFERROR(INDEX(DESPACHOS!$F$3:$F$3002,MATCH($C19,DESPACHOS!$B$3:$B$3002,0)),""))</f>
        <v/>
      </c>
      <c r="H19" s="42">
        <f>IF($C19="","",IFERROR(INDEX(DESPACHOS!$G$3:$G$3002,MATCH($C19,DESPACHOS!$B$3:$B$3002,0)),""))</f>
        <v/>
      </c>
      <c r="I19" s="39">
        <f>IF($C19="","",IFERROR(INDEX(DESPACHOS!$H$3:$H$3002,MATCH($C19,DESPACHOS!$B$3:$B$3002,0)),""))</f>
        <v/>
      </c>
      <c r="J19" s="43">
        <f>IF($C19="","",IFERROR(INDEX(DESPACHOS!$J$3:$J$3002,MATCH($C19,DESPACHOS!$B$3:$B$3002,0)),""))</f>
        <v/>
      </c>
      <c r="K19" s="39">
        <f>IF($C19="","",IF(COUNTIFS(DESPACHOS!$B$3:$B$3002,$C19)=0,"NO EXISTE",IF(COUNTIFS(DESPACHOS!$B$3:$B$3002,$C19)&gt;1,"DUPLICADO","OK")))</f>
        <v/>
      </c>
      <c r="L19" s="41" t="n"/>
      <c r="M19" s="41" t="n"/>
      <c r="N19" s="42">
        <f>IF($M19="","",IFERROR(INDEX(LISTAS!$F$3:$F$42,MATCH($M19,LISTAS!$E$3:$E$42,0)),"Por definir"))</f>
        <v/>
      </c>
      <c r="O19" s="41" t="n"/>
      <c r="P19" s="39">
        <f>IF($L19="","",IFERROR(INDEX(LISTAS!$B$3:$B$42,MATCH($L19,LISTAS!$A$3:$A$42,0)),"Media"))</f>
        <v/>
      </c>
      <c r="Q19" s="44" t="n"/>
      <c r="R19" s="45" t="n"/>
      <c r="S19" s="20">
        <f>IFERROR(IF(OR($R19="",$C19=""),"",$R19/INDEX(DESPACHOS!$M$3:$M$3002,MATCH($C19,DESPACHOS!$B$3:$B$3002,0))),"")</f>
        <v/>
      </c>
      <c r="T19" s="41" t="n"/>
      <c r="U19" s="43">
        <f>IF(OR($B19="",$L19=""),"",WORKDAY($B19,IFERROR(INDEX(LISTAS!$C$3:$C$42,MATCH($L19,LISTAS!$A$3:$A$42,0)),3)))</f>
        <v/>
      </c>
      <c r="V19" s="40" t="n"/>
      <c r="W19" s="19">
        <f>IF($B19="","",IF($V19&lt;&gt;"",$V19-$B19,TODAY()-$B19))</f>
        <v/>
      </c>
      <c r="X19" s="19">
        <f>IF(OR($B19="",$U19=""),"",IF($V19&lt;&gt;"",MAX(0,$V19-$U19),MAX(0,TODAY()-$U19)))</f>
        <v/>
      </c>
      <c r="Y19" s="39">
        <f>IF($C19="","",IF(IFERROR(INDEX(LISTAS!$I$3:$I$42,MATCH($T19,LISTAS!$H$3:$H$42,0)),"NO")="SÍ",IF(N($X19)&gt;0,"CERRADA FUERA DE SLA","CERRADA EN SLA"),IF($U19="","SIN CLASIFICAR",IF(N($X19)&gt;0,"VENCIDA",IF(TODAY()&gt;=$U19-1,"POR VENCER","EN PLAZO")))))</f>
        <v/>
      </c>
      <c r="Z19" s="41" t="n"/>
      <c r="AA19" s="41" t="n"/>
      <c r="AB19" s="41" t="n"/>
    </row>
    <row r="20">
      <c r="A20" s="39">
        <f>IF($C20="","","NOV-"&amp;TEXT(ROW()-3,"0000"))</f>
        <v/>
      </c>
      <c r="B20" s="40" t="n"/>
      <c r="C20" s="41" t="n"/>
      <c r="D20" s="42">
        <f>IF($C20="","",IFERROR(INDEX(DESPACHOS!$D$3:$D$3002,MATCH($C20,DESPACHOS!$B$3:$B$3002,0)),"SIN DESPACHO"))</f>
        <v/>
      </c>
      <c r="E20" s="42">
        <f>IF($C20="","",IFERROR(INDEX(DESPACHOS!$K$3:$K$3002,MATCH($C20,DESPACHOS!$B$3:$B$3002,0)),""))</f>
        <v/>
      </c>
      <c r="F20" s="42">
        <f>IF($C20="","",IFERROR(INDEX(DESPACHOS!$I$3:$I$3002,MATCH($C20,DESPACHOS!$B$3:$B$3002,0)),""))</f>
        <v/>
      </c>
      <c r="G20" s="42">
        <f>IF($C20="","",IFERROR(INDEX(DESPACHOS!$F$3:$F$3002,MATCH($C20,DESPACHOS!$B$3:$B$3002,0)),""))</f>
        <v/>
      </c>
      <c r="H20" s="42">
        <f>IF($C20="","",IFERROR(INDEX(DESPACHOS!$G$3:$G$3002,MATCH($C20,DESPACHOS!$B$3:$B$3002,0)),""))</f>
        <v/>
      </c>
      <c r="I20" s="39">
        <f>IF($C20="","",IFERROR(INDEX(DESPACHOS!$H$3:$H$3002,MATCH($C20,DESPACHOS!$B$3:$B$3002,0)),""))</f>
        <v/>
      </c>
      <c r="J20" s="43">
        <f>IF($C20="","",IFERROR(INDEX(DESPACHOS!$J$3:$J$3002,MATCH($C20,DESPACHOS!$B$3:$B$3002,0)),""))</f>
        <v/>
      </c>
      <c r="K20" s="39">
        <f>IF($C20="","",IF(COUNTIFS(DESPACHOS!$B$3:$B$3002,$C20)=0,"NO EXISTE",IF(COUNTIFS(DESPACHOS!$B$3:$B$3002,$C20)&gt;1,"DUPLICADO","OK")))</f>
        <v/>
      </c>
      <c r="L20" s="41" t="n"/>
      <c r="M20" s="41" t="n"/>
      <c r="N20" s="42">
        <f>IF($M20="","",IFERROR(INDEX(LISTAS!$F$3:$F$42,MATCH($M20,LISTAS!$E$3:$E$42,0)),"Por definir"))</f>
        <v/>
      </c>
      <c r="O20" s="41" t="n"/>
      <c r="P20" s="39">
        <f>IF($L20="","",IFERROR(INDEX(LISTAS!$B$3:$B$42,MATCH($L20,LISTAS!$A$3:$A$42,0)),"Media"))</f>
        <v/>
      </c>
      <c r="Q20" s="44" t="n"/>
      <c r="R20" s="45" t="n"/>
      <c r="S20" s="20">
        <f>IFERROR(IF(OR($R20="",$C20=""),"",$R20/INDEX(DESPACHOS!$M$3:$M$3002,MATCH($C20,DESPACHOS!$B$3:$B$3002,0))),"")</f>
        <v/>
      </c>
      <c r="T20" s="41" t="n"/>
      <c r="U20" s="43">
        <f>IF(OR($B20="",$L20=""),"",WORKDAY($B20,IFERROR(INDEX(LISTAS!$C$3:$C$42,MATCH($L20,LISTAS!$A$3:$A$42,0)),3)))</f>
        <v/>
      </c>
      <c r="V20" s="40" t="n"/>
      <c r="W20" s="19">
        <f>IF($B20="","",IF($V20&lt;&gt;"",$V20-$B20,TODAY()-$B20))</f>
        <v/>
      </c>
      <c r="X20" s="19">
        <f>IF(OR($B20="",$U20=""),"",IF($V20&lt;&gt;"",MAX(0,$V20-$U20),MAX(0,TODAY()-$U20)))</f>
        <v/>
      </c>
      <c r="Y20" s="39">
        <f>IF($C20="","",IF(IFERROR(INDEX(LISTAS!$I$3:$I$42,MATCH($T20,LISTAS!$H$3:$H$42,0)),"NO")="SÍ",IF(N($X20)&gt;0,"CERRADA FUERA DE SLA","CERRADA EN SLA"),IF($U20="","SIN CLASIFICAR",IF(N($X20)&gt;0,"VENCIDA",IF(TODAY()&gt;=$U20-1,"POR VENCER","EN PLAZO")))))</f>
        <v/>
      </c>
      <c r="Z20" s="41" t="n"/>
      <c r="AA20" s="41" t="n"/>
      <c r="AB20" s="41" t="n"/>
    </row>
    <row r="21">
      <c r="A21" s="39">
        <f>IF($C21="","","NOV-"&amp;TEXT(ROW()-3,"0000"))</f>
        <v/>
      </c>
      <c r="B21" s="40" t="n"/>
      <c r="C21" s="41" t="n"/>
      <c r="D21" s="42">
        <f>IF($C21="","",IFERROR(INDEX(DESPACHOS!$D$3:$D$3002,MATCH($C21,DESPACHOS!$B$3:$B$3002,0)),"SIN DESPACHO"))</f>
        <v/>
      </c>
      <c r="E21" s="42">
        <f>IF($C21="","",IFERROR(INDEX(DESPACHOS!$K$3:$K$3002,MATCH($C21,DESPACHOS!$B$3:$B$3002,0)),""))</f>
        <v/>
      </c>
      <c r="F21" s="42">
        <f>IF($C21="","",IFERROR(INDEX(DESPACHOS!$I$3:$I$3002,MATCH($C21,DESPACHOS!$B$3:$B$3002,0)),""))</f>
        <v/>
      </c>
      <c r="G21" s="42">
        <f>IF($C21="","",IFERROR(INDEX(DESPACHOS!$F$3:$F$3002,MATCH($C21,DESPACHOS!$B$3:$B$3002,0)),""))</f>
        <v/>
      </c>
      <c r="H21" s="42">
        <f>IF($C21="","",IFERROR(INDEX(DESPACHOS!$G$3:$G$3002,MATCH($C21,DESPACHOS!$B$3:$B$3002,0)),""))</f>
        <v/>
      </c>
      <c r="I21" s="39">
        <f>IF($C21="","",IFERROR(INDEX(DESPACHOS!$H$3:$H$3002,MATCH($C21,DESPACHOS!$B$3:$B$3002,0)),""))</f>
        <v/>
      </c>
      <c r="J21" s="43">
        <f>IF($C21="","",IFERROR(INDEX(DESPACHOS!$J$3:$J$3002,MATCH($C21,DESPACHOS!$B$3:$B$3002,0)),""))</f>
        <v/>
      </c>
      <c r="K21" s="39">
        <f>IF($C21="","",IF(COUNTIFS(DESPACHOS!$B$3:$B$3002,$C21)=0,"NO EXISTE",IF(COUNTIFS(DESPACHOS!$B$3:$B$3002,$C21)&gt;1,"DUPLICADO","OK")))</f>
        <v/>
      </c>
      <c r="L21" s="41" t="n"/>
      <c r="M21" s="41" t="n"/>
      <c r="N21" s="42">
        <f>IF($M21="","",IFERROR(INDEX(LISTAS!$F$3:$F$42,MATCH($M21,LISTAS!$E$3:$E$42,0)),"Por definir"))</f>
        <v/>
      </c>
      <c r="O21" s="41" t="n"/>
      <c r="P21" s="39">
        <f>IF($L21="","",IFERROR(INDEX(LISTAS!$B$3:$B$42,MATCH($L21,LISTAS!$A$3:$A$42,0)),"Media"))</f>
        <v/>
      </c>
      <c r="Q21" s="44" t="n"/>
      <c r="R21" s="45" t="n"/>
      <c r="S21" s="20">
        <f>IFERROR(IF(OR($R21="",$C21=""),"",$R21/INDEX(DESPACHOS!$M$3:$M$3002,MATCH($C21,DESPACHOS!$B$3:$B$3002,0))),"")</f>
        <v/>
      </c>
      <c r="T21" s="41" t="n"/>
      <c r="U21" s="43">
        <f>IF(OR($B21="",$L21=""),"",WORKDAY($B21,IFERROR(INDEX(LISTAS!$C$3:$C$42,MATCH($L21,LISTAS!$A$3:$A$42,0)),3)))</f>
        <v/>
      </c>
      <c r="V21" s="40" t="n"/>
      <c r="W21" s="19">
        <f>IF($B21="","",IF($V21&lt;&gt;"",$V21-$B21,TODAY()-$B21))</f>
        <v/>
      </c>
      <c r="X21" s="19">
        <f>IF(OR($B21="",$U21=""),"",IF($V21&lt;&gt;"",MAX(0,$V21-$U21),MAX(0,TODAY()-$U21)))</f>
        <v/>
      </c>
      <c r="Y21" s="39">
        <f>IF($C21="","",IF(IFERROR(INDEX(LISTAS!$I$3:$I$42,MATCH($T21,LISTAS!$H$3:$H$42,0)),"NO")="SÍ",IF(N($X21)&gt;0,"CERRADA FUERA DE SLA","CERRADA EN SLA"),IF($U21="","SIN CLASIFICAR",IF(N($X21)&gt;0,"VENCIDA",IF(TODAY()&gt;=$U21-1,"POR VENCER","EN PLAZO")))))</f>
        <v/>
      </c>
      <c r="Z21" s="41" t="n"/>
      <c r="AA21" s="41" t="n"/>
      <c r="AB21" s="41" t="n"/>
    </row>
    <row r="22">
      <c r="A22" s="39">
        <f>IF($C22="","","NOV-"&amp;TEXT(ROW()-3,"0000"))</f>
        <v/>
      </c>
      <c r="B22" s="40" t="n"/>
      <c r="C22" s="41" t="n"/>
      <c r="D22" s="42">
        <f>IF($C22="","",IFERROR(INDEX(DESPACHOS!$D$3:$D$3002,MATCH($C22,DESPACHOS!$B$3:$B$3002,0)),"SIN DESPACHO"))</f>
        <v/>
      </c>
      <c r="E22" s="42">
        <f>IF($C22="","",IFERROR(INDEX(DESPACHOS!$K$3:$K$3002,MATCH($C22,DESPACHOS!$B$3:$B$3002,0)),""))</f>
        <v/>
      </c>
      <c r="F22" s="42">
        <f>IF($C22="","",IFERROR(INDEX(DESPACHOS!$I$3:$I$3002,MATCH($C22,DESPACHOS!$B$3:$B$3002,0)),""))</f>
        <v/>
      </c>
      <c r="G22" s="42">
        <f>IF($C22="","",IFERROR(INDEX(DESPACHOS!$F$3:$F$3002,MATCH($C22,DESPACHOS!$B$3:$B$3002,0)),""))</f>
        <v/>
      </c>
      <c r="H22" s="42">
        <f>IF($C22="","",IFERROR(INDEX(DESPACHOS!$G$3:$G$3002,MATCH($C22,DESPACHOS!$B$3:$B$3002,0)),""))</f>
        <v/>
      </c>
      <c r="I22" s="39">
        <f>IF($C22="","",IFERROR(INDEX(DESPACHOS!$H$3:$H$3002,MATCH($C22,DESPACHOS!$B$3:$B$3002,0)),""))</f>
        <v/>
      </c>
      <c r="J22" s="43">
        <f>IF($C22="","",IFERROR(INDEX(DESPACHOS!$J$3:$J$3002,MATCH($C22,DESPACHOS!$B$3:$B$3002,0)),""))</f>
        <v/>
      </c>
      <c r="K22" s="39">
        <f>IF($C22="","",IF(COUNTIFS(DESPACHOS!$B$3:$B$3002,$C22)=0,"NO EXISTE",IF(COUNTIFS(DESPACHOS!$B$3:$B$3002,$C22)&gt;1,"DUPLICADO","OK")))</f>
        <v/>
      </c>
      <c r="L22" s="41" t="n"/>
      <c r="M22" s="41" t="n"/>
      <c r="N22" s="42">
        <f>IF($M22="","",IFERROR(INDEX(LISTAS!$F$3:$F$42,MATCH($M22,LISTAS!$E$3:$E$42,0)),"Por definir"))</f>
        <v/>
      </c>
      <c r="O22" s="41" t="n"/>
      <c r="P22" s="39">
        <f>IF($L22="","",IFERROR(INDEX(LISTAS!$B$3:$B$42,MATCH($L22,LISTAS!$A$3:$A$42,0)),"Media"))</f>
        <v/>
      </c>
      <c r="Q22" s="44" t="n"/>
      <c r="R22" s="45" t="n"/>
      <c r="S22" s="20">
        <f>IFERROR(IF(OR($R22="",$C22=""),"",$R22/INDEX(DESPACHOS!$M$3:$M$3002,MATCH($C22,DESPACHOS!$B$3:$B$3002,0))),"")</f>
        <v/>
      </c>
      <c r="T22" s="41" t="n"/>
      <c r="U22" s="43">
        <f>IF(OR($B22="",$L22=""),"",WORKDAY($B22,IFERROR(INDEX(LISTAS!$C$3:$C$42,MATCH($L22,LISTAS!$A$3:$A$42,0)),3)))</f>
        <v/>
      </c>
      <c r="V22" s="40" t="n"/>
      <c r="W22" s="19">
        <f>IF($B22="","",IF($V22&lt;&gt;"",$V22-$B22,TODAY()-$B22))</f>
        <v/>
      </c>
      <c r="X22" s="19">
        <f>IF(OR($B22="",$U22=""),"",IF($V22&lt;&gt;"",MAX(0,$V22-$U22),MAX(0,TODAY()-$U22)))</f>
        <v/>
      </c>
      <c r="Y22" s="39">
        <f>IF($C22="","",IF(IFERROR(INDEX(LISTAS!$I$3:$I$42,MATCH($T22,LISTAS!$H$3:$H$42,0)),"NO")="SÍ",IF(N($X22)&gt;0,"CERRADA FUERA DE SLA","CERRADA EN SLA"),IF($U22="","SIN CLASIFICAR",IF(N($X22)&gt;0,"VENCIDA",IF(TODAY()&gt;=$U22-1,"POR VENCER","EN PLAZO")))))</f>
        <v/>
      </c>
      <c r="Z22" s="41" t="n"/>
      <c r="AA22" s="41" t="n"/>
      <c r="AB22" s="41" t="n"/>
    </row>
    <row r="23">
      <c r="A23" s="39">
        <f>IF($C23="","","NOV-"&amp;TEXT(ROW()-3,"0000"))</f>
        <v/>
      </c>
      <c r="B23" s="40" t="n"/>
      <c r="C23" s="41" t="n"/>
      <c r="D23" s="42">
        <f>IF($C23="","",IFERROR(INDEX(DESPACHOS!$D$3:$D$3002,MATCH($C23,DESPACHOS!$B$3:$B$3002,0)),"SIN DESPACHO"))</f>
        <v/>
      </c>
      <c r="E23" s="42">
        <f>IF($C23="","",IFERROR(INDEX(DESPACHOS!$K$3:$K$3002,MATCH($C23,DESPACHOS!$B$3:$B$3002,0)),""))</f>
        <v/>
      </c>
      <c r="F23" s="42">
        <f>IF($C23="","",IFERROR(INDEX(DESPACHOS!$I$3:$I$3002,MATCH($C23,DESPACHOS!$B$3:$B$3002,0)),""))</f>
        <v/>
      </c>
      <c r="G23" s="42">
        <f>IF($C23="","",IFERROR(INDEX(DESPACHOS!$F$3:$F$3002,MATCH($C23,DESPACHOS!$B$3:$B$3002,0)),""))</f>
        <v/>
      </c>
      <c r="H23" s="42">
        <f>IF($C23="","",IFERROR(INDEX(DESPACHOS!$G$3:$G$3002,MATCH($C23,DESPACHOS!$B$3:$B$3002,0)),""))</f>
        <v/>
      </c>
      <c r="I23" s="39">
        <f>IF($C23="","",IFERROR(INDEX(DESPACHOS!$H$3:$H$3002,MATCH($C23,DESPACHOS!$B$3:$B$3002,0)),""))</f>
        <v/>
      </c>
      <c r="J23" s="43">
        <f>IF($C23="","",IFERROR(INDEX(DESPACHOS!$J$3:$J$3002,MATCH($C23,DESPACHOS!$B$3:$B$3002,0)),""))</f>
        <v/>
      </c>
      <c r="K23" s="39">
        <f>IF($C23="","",IF(COUNTIFS(DESPACHOS!$B$3:$B$3002,$C23)=0,"NO EXISTE",IF(COUNTIFS(DESPACHOS!$B$3:$B$3002,$C23)&gt;1,"DUPLICADO","OK")))</f>
        <v/>
      </c>
      <c r="L23" s="41" t="n"/>
      <c r="M23" s="41" t="n"/>
      <c r="N23" s="42">
        <f>IF($M23="","",IFERROR(INDEX(LISTAS!$F$3:$F$42,MATCH($M23,LISTAS!$E$3:$E$42,0)),"Por definir"))</f>
        <v/>
      </c>
      <c r="O23" s="41" t="n"/>
      <c r="P23" s="39">
        <f>IF($L23="","",IFERROR(INDEX(LISTAS!$B$3:$B$42,MATCH($L23,LISTAS!$A$3:$A$42,0)),"Media"))</f>
        <v/>
      </c>
      <c r="Q23" s="44" t="n"/>
      <c r="R23" s="45" t="n"/>
      <c r="S23" s="20">
        <f>IFERROR(IF(OR($R23="",$C23=""),"",$R23/INDEX(DESPACHOS!$M$3:$M$3002,MATCH($C23,DESPACHOS!$B$3:$B$3002,0))),"")</f>
        <v/>
      </c>
      <c r="T23" s="41" t="n"/>
      <c r="U23" s="43">
        <f>IF(OR($B23="",$L23=""),"",WORKDAY($B23,IFERROR(INDEX(LISTAS!$C$3:$C$42,MATCH($L23,LISTAS!$A$3:$A$42,0)),3)))</f>
        <v/>
      </c>
      <c r="V23" s="40" t="n"/>
      <c r="W23" s="19">
        <f>IF($B23="","",IF($V23&lt;&gt;"",$V23-$B23,TODAY()-$B23))</f>
        <v/>
      </c>
      <c r="X23" s="19">
        <f>IF(OR($B23="",$U23=""),"",IF($V23&lt;&gt;"",MAX(0,$V23-$U23),MAX(0,TODAY()-$U23)))</f>
        <v/>
      </c>
      <c r="Y23" s="39">
        <f>IF($C23="","",IF(IFERROR(INDEX(LISTAS!$I$3:$I$42,MATCH($T23,LISTAS!$H$3:$H$42,0)),"NO")="SÍ",IF(N($X23)&gt;0,"CERRADA FUERA DE SLA","CERRADA EN SLA"),IF($U23="","SIN CLASIFICAR",IF(N($X23)&gt;0,"VENCIDA",IF(TODAY()&gt;=$U23-1,"POR VENCER","EN PLAZO")))))</f>
        <v/>
      </c>
      <c r="Z23" s="41" t="n"/>
      <c r="AA23" s="41" t="n"/>
      <c r="AB23" s="41" t="n"/>
    </row>
    <row r="24">
      <c r="A24" s="39">
        <f>IF($C24="","","NOV-"&amp;TEXT(ROW()-3,"0000"))</f>
        <v/>
      </c>
      <c r="B24" s="40" t="n"/>
      <c r="C24" s="41" t="n"/>
      <c r="D24" s="42">
        <f>IF($C24="","",IFERROR(INDEX(DESPACHOS!$D$3:$D$3002,MATCH($C24,DESPACHOS!$B$3:$B$3002,0)),"SIN DESPACHO"))</f>
        <v/>
      </c>
      <c r="E24" s="42">
        <f>IF($C24="","",IFERROR(INDEX(DESPACHOS!$K$3:$K$3002,MATCH($C24,DESPACHOS!$B$3:$B$3002,0)),""))</f>
        <v/>
      </c>
      <c r="F24" s="42">
        <f>IF($C24="","",IFERROR(INDEX(DESPACHOS!$I$3:$I$3002,MATCH($C24,DESPACHOS!$B$3:$B$3002,0)),""))</f>
        <v/>
      </c>
      <c r="G24" s="42">
        <f>IF($C24="","",IFERROR(INDEX(DESPACHOS!$F$3:$F$3002,MATCH($C24,DESPACHOS!$B$3:$B$3002,0)),""))</f>
        <v/>
      </c>
      <c r="H24" s="42">
        <f>IF($C24="","",IFERROR(INDEX(DESPACHOS!$G$3:$G$3002,MATCH($C24,DESPACHOS!$B$3:$B$3002,0)),""))</f>
        <v/>
      </c>
      <c r="I24" s="39">
        <f>IF($C24="","",IFERROR(INDEX(DESPACHOS!$H$3:$H$3002,MATCH($C24,DESPACHOS!$B$3:$B$3002,0)),""))</f>
        <v/>
      </c>
      <c r="J24" s="43">
        <f>IF($C24="","",IFERROR(INDEX(DESPACHOS!$J$3:$J$3002,MATCH($C24,DESPACHOS!$B$3:$B$3002,0)),""))</f>
        <v/>
      </c>
      <c r="K24" s="39">
        <f>IF($C24="","",IF(COUNTIFS(DESPACHOS!$B$3:$B$3002,$C24)=0,"NO EXISTE",IF(COUNTIFS(DESPACHOS!$B$3:$B$3002,$C24)&gt;1,"DUPLICADO","OK")))</f>
        <v/>
      </c>
      <c r="L24" s="41" t="n"/>
      <c r="M24" s="41" t="n"/>
      <c r="N24" s="42">
        <f>IF($M24="","",IFERROR(INDEX(LISTAS!$F$3:$F$42,MATCH($M24,LISTAS!$E$3:$E$42,0)),"Por definir"))</f>
        <v/>
      </c>
      <c r="O24" s="41" t="n"/>
      <c r="P24" s="39">
        <f>IF($L24="","",IFERROR(INDEX(LISTAS!$B$3:$B$42,MATCH($L24,LISTAS!$A$3:$A$42,0)),"Media"))</f>
        <v/>
      </c>
      <c r="Q24" s="44" t="n"/>
      <c r="R24" s="45" t="n"/>
      <c r="S24" s="20">
        <f>IFERROR(IF(OR($R24="",$C24=""),"",$R24/INDEX(DESPACHOS!$M$3:$M$3002,MATCH($C24,DESPACHOS!$B$3:$B$3002,0))),"")</f>
        <v/>
      </c>
      <c r="T24" s="41" t="n"/>
      <c r="U24" s="43">
        <f>IF(OR($B24="",$L24=""),"",WORKDAY($B24,IFERROR(INDEX(LISTAS!$C$3:$C$42,MATCH($L24,LISTAS!$A$3:$A$42,0)),3)))</f>
        <v/>
      </c>
      <c r="V24" s="40" t="n"/>
      <c r="W24" s="19">
        <f>IF($B24="","",IF($V24&lt;&gt;"",$V24-$B24,TODAY()-$B24))</f>
        <v/>
      </c>
      <c r="X24" s="19">
        <f>IF(OR($B24="",$U24=""),"",IF($V24&lt;&gt;"",MAX(0,$V24-$U24),MAX(0,TODAY()-$U24)))</f>
        <v/>
      </c>
      <c r="Y24" s="39">
        <f>IF($C24="","",IF(IFERROR(INDEX(LISTAS!$I$3:$I$42,MATCH($T24,LISTAS!$H$3:$H$42,0)),"NO")="SÍ",IF(N($X24)&gt;0,"CERRADA FUERA DE SLA","CERRADA EN SLA"),IF($U24="","SIN CLASIFICAR",IF(N($X24)&gt;0,"VENCIDA",IF(TODAY()&gt;=$U24-1,"POR VENCER","EN PLAZO")))))</f>
        <v/>
      </c>
      <c r="Z24" s="41" t="n"/>
      <c r="AA24" s="41" t="n"/>
      <c r="AB24" s="41" t="n"/>
    </row>
    <row r="25">
      <c r="A25" s="39">
        <f>IF($C25="","","NOV-"&amp;TEXT(ROW()-3,"0000"))</f>
        <v/>
      </c>
      <c r="B25" s="40" t="n"/>
      <c r="C25" s="41" t="n"/>
      <c r="D25" s="42">
        <f>IF($C25="","",IFERROR(INDEX(DESPACHOS!$D$3:$D$3002,MATCH($C25,DESPACHOS!$B$3:$B$3002,0)),"SIN DESPACHO"))</f>
        <v/>
      </c>
      <c r="E25" s="42">
        <f>IF($C25="","",IFERROR(INDEX(DESPACHOS!$K$3:$K$3002,MATCH($C25,DESPACHOS!$B$3:$B$3002,0)),""))</f>
        <v/>
      </c>
      <c r="F25" s="42">
        <f>IF($C25="","",IFERROR(INDEX(DESPACHOS!$I$3:$I$3002,MATCH($C25,DESPACHOS!$B$3:$B$3002,0)),""))</f>
        <v/>
      </c>
      <c r="G25" s="42">
        <f>IF($C25="","",IFERROR(INDEX(DESPACHOS!$F$3:$F$3002,MATCH($C25,DESPACHOS!$B$3:$B$3002,0)),""))</f>
        <v/>
      </c>
      <c r="H25" s="42">
        <f>IF($C25="","",IFERROR(INDEX(DESPACHOS!$G$3:$G$3002,MATCH($C25,DESPACHOS!$B$3:$B$3002,0)),""))</f>
        <v/>
      </c>
      <c r="I25" s="39">
        <f>IF($C25="","",IFERROR(INDEX(DESPACHOS!$H$3:$H$3002,MATCH($C25,DESPACHOS!$B$3:$B$3002,0)),""))</f>
        <v/>
      </c>
      <c r="J25" s="43">
        <f>IF($C25="","",IFERROR(INDEX(DESPACHOS!$J$3:$J$3002,MATCH($C25,DESPACHOS!$B$3:$B$3002,0)),""))</f>
        <v/>
      </c>
      <c r="K25" s="39">
        <f>IF($C25="","",IF(COUNTIFS(DESPACHOS!$B$3:$B$3002,$C25)=0,"NO EXISTE",IF(COUNTIFS(DESPACHOS!$B$3:$B$3002,$C25)&gt;1,"DUPLICADO","OK")))</f>
        <v/>
      </c>
      <c r="L25" s="41" t="n"/>
      <c r="M25" s="41" t="n"/>
      <c r="N25" s="42">
        <f>IF($M25="","",IFERROR(INDEX(LISTAS!$F$3:$F$42,MATCH($M25,LISTAS!$E$3:$E$42,0)),"Por definir"))</f>
        <v/>
      </c>
      <c r="O25" s="41" t="n"/>
      <c r="P25" s="39">
        <f>IF($L25="","",IFERROR(INDEX(LISTAS!$B$3:$B$42,MATCH($L25,LISTAS!$A$3:$A$42,0)),"Media"))</f>
        <v/>
      </c>
      <c r="Q25" s="44" t="n"/>
      <c r="R25" s="45" t="n"/>
      <c r="S25" s="20">
        <f>IFERROR(IF(OR($R25="",$C25=""),"",$R25/INDEX(DESPACHOS!$M$3:$M$3002,MATCH($C25,DESPACHOS!$B$3:$B$3002,0))),"")</f>
        <v/>
      </c>
      <c r="T25" s="41" t="n"/>
      <c r="U25" s="43">
        <f>IF(OR($B25="",$L25=""),"",WORKDAY($B25,IFERROR(INDEX(LISTAS!$C$3:$C$42,MATCH($L25,LISTAS!$A$3:$A$42,0)),3)))</f>
        <v/>
      </c>
      <c r="V25" s="40" t="n"/>
      <c r="W25" s="19">
        <f>IF($B25="","",IF($V25&lt;&gt;"",$V25-$B25,TODAY()-$B25))</f>
        <v/>
      </c>
      <c r="X25" s="19">
        <f>IF(OR($B25="",$U25=""),"",IF($V25&lt;&gt;"",MAX(0,$V25-$U25),MAX(0,TODAY()-$U25)))</f>
        <v/>
      </c>
      <c r="Y25" s="39">
        <f>IF($C25="","",IF(IFERROR(INDEX(LISTAS!$I$3:$I$42,MATCH($T25,LISTAS!$H$3:$H$42,0)),"NO")="SÍ",IF(N($X25)&gt;0,"CERRADA FUERA DE SLA","CERRADA EN SLA"),IF($U25="","SIN CLASIFICAR",IF(N($X25)&gt;0,"VENCIDA",IF(TODAY()&gt;=$U25-1,"POR VENCER","EN PLAZO")))))</f>
        <v/>
      </c>
      <c r="Z25" s="41" t="n"/>
      <c r="AA25" s="41" t="n"/>
      <c r="AB25" s="41" t="n"/>
    </row>
    <row r="26">
      <c r="A26" s="39">
        <f>IF($C26="","","NOV-"&amp;TEXT(ROW()-3,"0000"))</f>
        <v/>
      </c>
      <c r="B26" s="40" t="n"/>
      <c r="C26" s="41" t="n"/>
      <c r="D26" s="42">
        <f>IF($C26="","",IFERROR(INDEX(DESPACHOS!$D$3:$D$3002,MATCH($C26,DESPACHOS!$B$3:$B$3002,0)),"SIN DESPACHO"))</f>
        <v/>
      </c>
      <c r="E26" s="42">
        <f>IF($C26="","",IFERROR(INDEX(DESPACHOS!$K$3:$K$3002,MATCH($C26,DESPACHOS!$B$3:$B$3002,0)),""))</f>
        <v/>
      </c>
      <c r="F26" s="42">
        <f>IF($C26="","",IFERROR(INDEX(DESPACHOS!$I$3:$I$3002,MATCH($C26,DESPACHOS!$B$3:$B$3002,0)),""))</f>
        <v/>
      </c>
      <c r="G26" s="42">
        <f>IF($C26="","",IFERROR(INDEX(DESPACHOS!$F$3:$F$3002,MATCH($C26,DESPACHOS!$B$3:$B$3002,0)),""))</f>
        <v/>
      </c>
      <c r="H26" s="42">
        <f>IF($C26="","",IFERROR(INDEX(DESPACHOS!$G$3:$G$3002,MATCH($C26,DESPACHOS!$B$3:$B$3002,0)),""))</f>
        <v/>
      </c>
      <c r="I26" s="39">
        <f>IF($C26="","",IFERROR(INDEX(DESPACHOS!$H$3:$H$3002,MATCH($C26,DESPACHOS!$B$3:$B$3002,0)),""))</f>
        <v/>
      </c>
      <c r="J26" s="43">
        <f>IF($C26="","",IFERROR(INDEX(DESPACHOS!$J$3:$J$3002,MATCH($C26,DESPACHOS!$B$3:$B$3002,0)),""))</f>
        <v/>
      </c>
      <c r="K26" s="39">
        <f>IF($C26="","",IF(COUNTIFS(DESPACHOS!$B$3:$B$3002,$C26)=0,"NO EXISTE",IF(COUNTIFS(DESPACHOS!$B$3:$B$3002,$C26)&gt;1,"DUPLICADO","OK")))</f>
        <v/>
      </c>
      <c r="L26" s="41" t="n"/>
      <c r="M26" s="41" t="n"/>
      <c r="N26" s="42">
        <f>IF($M26="","",IFERROR(INDEX(LISTAS!$F$3:$F$42,MATCH($M26,LISTAS!$E$3:$E$42,0)),"Por definir"))</f>
        <v/>
      </c>
      <c r="O26" s="41" t="n"/>
      <c r="P26" s="39">
        <f>IF($L26="","",IFERROR(INDEX(LISTAS!$B$3:$B$42,MATCH($L26,LISTAS!$A$3:$A$42,0)),"Media"))</f>
        <v/>
      </c>
      <c r="Q26" s="44" t="n"/>
      <c r="R26" s="45" t="n"/>
      <c r="S26" s="20">
        <f>IFERROR(IF(OR($R26="",$C26=""),"",$R26/INDEX(DESPACHOS!$M$3:$M$3002,MATCH($C26,DESPACHOS!$B$3:$B$3002,0))),"")</f>
        <v/>
      </c>
      <c r="T26" s="41" t="n"/>
      <c r="U26" s="43">
        <f>IF(OR($B26="",$L26=""),"",WORKDAY($B26,IFERROR(INDEX(LISTAS!$C$3:$C$42,MATCH($L26,LISTAS!$A$3:$A$42,0)),3)))</f>
        <v/>
      </c>
      <c r="V26" s="40" t="n"/>
      <c r="W26" s="19">
        <f>IF($B26="","",IF($V26&lt;&gt;"",$V26-$B26,TODAY()-$B26))</f>
        <v/>
      </c>
      <c r="X26" s="19">
        <f>IF(OR($B26="",$U26=""),"",IF($V26&lt;&gt;"",MAX(0,$V26-$U26),MAX(0,TODAY()-$U26)))</f>
        <v/>
      </c>
      <c r="Y26" s="39">
        <f>IF($C26="","",IF(IFERROR(INDEX(LISTAS!$I$3:$I$42,MATCH($T26,LISTAS!$H$3:$H$42,0)),"NO")="SÍ",IF(N($X26)&gt;0,"CERRADA FUERA DE SLA","CERRADA EN SLA"),IF($U26="","SIN CLASIFICAR",IF(N($X26)&gt;0,"VENCIDA",IF(TODAY()&gt;=$U26-1,"POR VENCER","EN PLAZO")))))</f>
        <v/>
      </c>
      <c r="Z26" s="41" t="n"/>
      <c r="AA26" s="41" t="n"/>
      <c r="AB26" s="41" t="n"/>
    </row>
    <row r="27">
      <c r="A27" s="39">
        <f>IF($C27="","","NOV-"&amp;TEXT(ROW()-3,"0000"))</f>
        <v/>
      </c>
      <c r="B27" s="40" t="n"/>
      <c r="C27" s="41" t="n"/>
      <c r="D27" s="42">
        <f>IF($C27="","",IFERROR(INDEX(DESPACHOS!$D$3:$D$3002,MATCH($C27,DESPACHOS!$B$3:$B$3002,0)),"SIN DESPACHO"))</f>
        <v/>
      </c>
      <c r="E27" s="42">
        <f>IF($C27="","",IFERROR(INDEX(DESPACHOS!$K$3:$K$3002,MATCH($C27,DESPACHOS!$B$3:$B$3002,0)),""))</f>
        <v/>
      </c>
      <c r="F27" s="42">
        <f>IF($C27="","",IFERROR(INDEX(DESPACHOS!$I$3:$I$3002,MATCH($C27,DESPACHOS!$B$3:$B$3002,0)),""))</f>
        <v/>
      </c>
      <c r="G27" s="42">
        <f>IF($C27="","",IFERROR(INDEX(DESPACHOS!$F$3:$F$3002,MATCH($C27,DESPACHOS!$B$3:$B$3002,0)),""))</f>
        <v/>
      </c>
      <c r="H27" s="42">
        <f>IF($C27="","",IFERROR(INDEX(DESPACHOS!$G$3:$G$3002,MATCH($C27,DESPACHOS!$B$3:$B$3002,0)),""))</f>
        <v/>
      </c>
      <c r="I27" s="39">
        <f>IF($C27="","",IFERROR(INDEX(DESPACHOS!$H$3:$H$3002,MATCH($C27,DESPACHOS!$B$3:$B$3002,0)),""))</f>
        <v/>
      </c>
      <c r="J27" s="43">
        <f>IF($C27="","",IFERROR(INDEX(DESPACHOS!$J$3:$J$3002,MATCH($C27,DESPACHOS!$B$3:$B$3002,0)),""))</f>
        <v/>
      </c>
      <c r="K27" s="39">
        <f>IF($C27="","",IF(COUNTIFS(DESPACHOS!$B$3:$B$3002,$C27)=0,"NO EXISTE",IF(COUNTIFS(DESPACHOS!$B$3:$B$3002,$C27)&gt;1,"DUPLICADO","OK")))</f>
        <v/>
      </c>
      <c r="L27" s="41" t="n"/>
      <c r="M27" s="41" t="n"/>
      <c r="N27" s="42">
        <f>IF($M27="","",IFERROR(INDEX(LISTAS!$F$3:$F$42,MATCH($M27,LISTAS!$E$3:$E$42,0)),"Por definir"))</f>
        <v/>
      </c>
      <c r="O27" s="41" t="n"/>
      <c r="P27" s="39">
        <f>IF($L27="","",IFERROR(INDEX(LISTAS!$B$3:$B$42,MATCH($L27,LISTAS!$A$3:$A$42,0)),"Media"))</f>
        <v/>
      </c>
      <c r="Q27" s="44" t="n"/>
      <c r="R27" s="45" t="n"/>
      <c r="S27" s="20">
        <f>IFERROR(IF(OR($R27="",$C27=""),"",$R27/INDEX(DESPACHOS!$M$3:$M$3002,MATCH($C27,DESPACHOS!$B$3:$B$3002,0))),"")</f>
        <v/>
      </c>
      <c r="T27" s="41" t="n"/>
      <c r="U27" s="43">
        <f>IF(OR($B27="",$L27=""),"",WORKDAY($B27,IFERROR(INDEX(LISTAS!$C$3:$C$42,MATCH($L27,LISTAS!$A$3:$A$42,0)),3)))</f>
        <v/>
      </c>
      <c r="V27" s="40" t="n"/>
      <c r="W27" s="19">
        <f>IF($B27="","",IF($V27&lt;&gt;"",$V27-$B27,TODAY()-$B27))</f>
        <v/>
      </c>
      <c r="X27" s="19">
        <f>IF(OR($B27="",$U27=""),"",IF($V27&lt;&gt;"",MAX(0,$V27-$U27),MAX(0,TODAY()-$U27)))</f>
        <v/>
      </c>
      <c r="Y27" s="39">
        <f>IF($C27="","",IF(IFERROR(INDEX(LISTAS!$I$3:$I$42,MATCH($T27,LISTAS!$H$3:$H$42,0)),"NO")="SÍ",IF(N($X27)&gt;0,"CERRADA FUERA DE SLA","CERRADA EN SLA"),IF($U27="","SIN CLASIFICAR",IF(N($X27)&gt;0,"VENCIDA",IF(TODAY()&gt;=$U27-1,"POR VENCER","EN PLAZO")))))</f>
        <v/>
      </c>
      <c r="Z27" s="41" t="n"/>
      <c r="AA27" s="41" t="n"/>
      <c r="AB27" s="41" t="n"/>
    </row>
    <row r="28">
      <c r="A28" s="39">
        <f>IF($C28="","","NOV-"&amp;TEXT(ROW()-3,"0000"))</f>
        <v/>
      </c>
      <c r="B28" s="40" t="n"/>
      <c r="C28" s="41" t="n"/>
      <c r="D28" s="42">
        <f>IF($C28="","",IFERROR(INDEX(DESPACHOS!$D$3:$D$3002,MATCH($C28,DESPACHOS!$B$3:$B$3002,0)),"SIN DESPACHO"))</f>
        <v/>
      </c>
      <c r="E28" s="42">
        <f>IF($C28="","",IFERROR(INDEX(DESPACHOS!$K$3:$K$3002,MATCH($C28,DESPACHOS!$B$3:$B$3002,0)),""))</f>
        <v/>
      </c>
      <c r="F28" s="42">
        <f>IF($C28="","",IFERROR(INDEX(DESPACHOS!$I$3:$I$3002,MATCH($C28,DESPACHOS!$B$3:$B$3002,0)),""))</f>
        <v/>
      </c>
      <c r="G28" s="42">
        <f>IF($C28="","",IFERROR(INDEX(DESPACHOS!$F$3:$F$3002,MATCH($C28,DESPACHOS!$B$3:$B$3002,0)),""))</f>
        <v/>
      </c>
      <c r="H28" s="42">
        <f>IF($C28="","",IFERROR(INDEX(DESPACHOS!$G$3:$G$3002,MATCH($C28,DESPACHOS!$B$3:$B$3002,0)),""))</f>
        <v/>
      </c>
      <c r="I28" s="39">
        <f>IF($C28="","",IFERROR(INDEX(DESPACHOS!$H$3:$H$3002,MATCH($C28,DESPACHOS!$B$3:$B$3002,0)),""))</f>
        <v/>
      </c>
      <c r="J28" s="43">
        <f>IF($C28="","",IFERROR(INDEX(DESPACHOS!$J$3:$J$3002,MATCH($C28,DESPACHOS!$B$3:$B$3002,0)),""))</f>
        <v/>
      </c>
      <c r="K28" s="39">
        <f>IF($C28="","",IF(COUNTIFS(DESPACHOS!$B$3:$B$3002,$C28)=0,"NO EXISTE",IF(COUNTIFS(DESPACHOS!$B$3:$B$3002,$C28)&gt;1,"DUPLICADO","OK")))</f>
        <v/>
      </c>
      <c r="L28" s="41" t="n"/>
      <c r="M28" s="41" t="n"/>
      <c r="N28" s="42">
        <f>IF($M28="","",IFERROR(INDEX(LISTAS!$F$3:$F$42,MATCH($M28,LISTAS!$E$3:$E$42,0)),"Por definir"))</f>
        <v/>
      </c>
      <c r="O28" s="41" t="n"/>
      <c r="P28" s="39">
        <f>IF($L28="","",IFERROR(INDEX(LISTAS!$B$3:$B$42,MATCH($L28,LISTAS!$A$3:$A$42,0)),"Media"))</f>
        <v/>
      </c>
      <c r="Q28" s="44" t="n"/>
      <c r="R28" s="45" t="n"/>
      <c r="S28" s="20">
        <f>IFERROR(IF(OR($R28="",$C28=""),"",$R28/INDEX(DESPACHOS!$M$3:$M$3002,MATCH($C28,DESPACHOS!$B$3:$B$3002,0))),"")</f>
        <v/>
      </c>
      <c r="T28" s="41" t="n"/>
      <c r="U28" s="43">
        <f>IF(OR($B28="",$L28=""),"",WORKDAY($B28,IFERROR(INDEX(LISTAS!$C$3:$C$42,MATCH($L28,LISTAS!$A$3:$A$42,0)),3)))</f>
        <v/>
      </c>
      <c r="V28" s="40" t="n"/>
      <c r="W28" s="19">
        <f>IF($B28="","",IF($V28&lt;&gt;"",$V28-$B28,TODAY()-$B28))</f>
        <v/>
      </c>
      <c r="X28" s="19">
        <f>IF(OR($B28="",$U28=""),"",IF($V28&lt;&gt;"",MAX(0,$V28-$U28),MAX(0,TODAY()-$U28)))</f>
        <v/>
      </c>
      <c r="Y28" s="39">
        <f>IF($C28="","",IF(IFERROR(INDEX(LISTAS!$I$3:$I$42,MATCH($T28,LISTAS!$H$3:$H$42,0)),"NO")="SÍ",IF(N($X28)&gt;0,"CERRADA FUERA DE SLA","CERRADA EN SLA"),IF($U28="","SIN CLASIFICAR",IF(N($X28)&gt;0,"VENCIDA",IF(TODAY()&gt;=$U28-1,"POR VENCER","EN PLAZO")))))</f>
        <v/>
      </c>
      <c r="Z28" s="41" t="n"/>
      <c r="AA28" s="41" t="n"/>
      <c r="AB28" s="41" t="n"/>
    </row>
    <row r="29">
      <c r="A29" s="39">
        <f>IF($C29="","","NOV-"&amp;TEXT(ROW()-3,"0000"))</f>
        <v/>
      </c>
      <c r="B29" s="40" t="n"/>
      <c r="C29" s="41" t="n"/>
      <c r="D29" s="42">
        <f>IF($C29="","",IFERROR(INDEX(DESPACHOS!$D$3:$D$3002,MATCH($C29,DESPACHOS!$B$3:$B$3002,0)),"SIN DESPACHO"))</f>
        <v/>
      </c>
      <c r="E29" s="42">
        <f>IF($C29="","",IFERROR(INDEX(DESPACHOS!$K$3:$K$3002,MATCH($C29,DESPACHOS!$B$3:$B$3002,0)),""))</f>
        <v/>
      </c>
      <c r="F29" s="42">
        <f>IF($C29="","",IFERROR(INDEX(DESPACHOS!$I$3:$I$3002,MATCH($C29,DESPACHOS!$B$3:$B$3002,0)),""))</f>
        <v/>
      </c>
      <c r="G29" s="42">
        <f>IF($C29="","",IFERROR(INDEX(DESPACHOS!$F$3:$F$3002,MATCH($C29,DESPACHOS!$B$3:$B$3002,0)),""))</f>
        <v/>
      </c>
      <c r="H29" s="42">
        <f>IF($C29="","",IFERROR(INDEX(DESPACHOS!$G$3:$G$3002,MATCH($C29,DESPACHOS!$B$3:$B$3002,0)),""))</f>
        <v/>
      </c>
      <c r="I29" s="39">
        <f>IF($C29="","",IFERROR(INDEX(DESPACHOS!$H$3:$H$3002,MATCH($C29,DESPACHOS!$B$3:$B$3002,0)),""))</f>
        <v/>
      </c>
      <c r="J29" s="43">
        <f>IF($C29="","",IFERROR(INDEX(DESPACHOS!$J$3:$J$3002,MATCH($C29,DESPACHOS!$B$3:$B$3002,0)),""))</f>
        <v/>
      </c>
      <c r="K29" s="39">
        <f>IF($C29="","",IF(COUNTIFS(DESPACHOS!$B$3:$B$3002,$C29)=0,"NO EXISTE",IF(COUNTIFS(DESPACHOS!$B$3:$B$3002,$C29)&gt;1,"DUPLICADO","OK")))</f>
        <v/>
      </c>
      <c r="L29" s="41" t="n"/>
      <c r="M29" s="41" t="n"/>
      <c r="N29" s="42">
        <f>IF($M29="","",IFERROR(INDEX(LISTAS!$F$3:$F$42,MATCH($M29,LISTAS!$E$3:$E$42,0)),"Por definir"))</f>
        <v/>
      </c>
      <c r="O29" s="41" t="n"/>
      <c r="P29" s="39">
        <f>IF($L29="","",IFERROR(INDEX(LISTAS!$B$3:$B$42,MATCH($L29,LISTAS!$A$3:$A$42,0)),"Media"))</f>
        <v/>
      </c>
      <c r="Q29" s="44" t="n"/>
      <c r="R29" s="45" t="n"/>
      <c r="S29" s="20">
        <f>IFERROR(IF(OR($R29="",$C29=""),"",$R29/INDEX(DESPACHOS!$M$3:$M$3002,MATCH($C29,DESPACHOS!$B$3:$B$3002,0))),"")</f>
        <v/>
      </c>
      <c r="T29" s="41" t="n"/>
      <c r="U29" s="43">
        <f>IF(OR($B29="",$L29=""),"",WORKDAY($B29,IFERROR(INDEX(LISTAS!$C$3:$C$42,MATCH($L29,LISTAS!$A$3:$A$42,0)),3)))</f>
        <v/>
      </c>
      <c r="V29" s="40" t="n"/>
      <c r="W29" s="19">
        <f>IF($B29="","",IF($V29&lt;&gt;"",$V29-$B29,TODAY()-$B29))</f>
        <v/>
      </c>
      <c r="X29" s="19">
        <f>IF(OR($B29="",$U29=""),"",IF($V29&lt;&gt;"",MAX(0,$V29-$U29),MAX(0,TODAY()-$U29)))</f>
        <v/>
      </c>
      <c r="Y29" s="39">
        <f>IF($C29="","",IF(IFERROR(INDEX(LISTAS!$I$3:$I$42,MATCH($T29,LISTAS!$H$3:$H$42,0)),"NO")="SÍ",IF(N($X29)&gt;0,"CERRADA FUERA DE SLA","CERRADA EN SLA"),IF($U29="","SIN CLASIFICAR",IF(N($X29)&gt;0,"VENCIDA",IF(TODAY()&gt;=$U29-1,"POR VENCER","EN PLAZO")))))</f>
        <v/>
      </c>
      <c r="Z29" s="41" t="n"/>
      <c r="AA29" s="41" t="n"/>
      <c r="AB29" s="41" t="n"/>
    </row>
    <row r="30">
      <c r="A30" s="39">
        <f>IF($C30="","","NOV-"&amp;TEXT(ROW()-3,"0000"))</f>
        <v/>
      </c>
      <c r="B30" s="40" t="n"/>
      <c r="C30" s="41" t="n"/>
      <c r="D30" s="42">
        <f>IF($C30="","",IFERROR(INDEX(DESPACHOS!$D$3:$D$3002,MATCH($C30,DESPACHOS!$B$3:$B$3002,0)),"SIN DESPACHO"))</f>
        <v/>
      </c>
      <c r="E30" s="42">
        <f>IF($C30="","",IFERROR(INDEX(DESPACHOS!$K$3:$K$3002,MATCH($C30,DESPACHOS!$B$3:$B$3002,0)),""))</f>
        <v/>
      </c>
      <c r="F30" s="42">
        <f>IF($C30="","",IFERROR(INDEX(DESPACHOS!$I$3:$I$3002,MATCH($C30,DESPACHOS!$B$3:$B$3002,0)),""))</f>
        <v/>
      </c>
      <c r="G30" s="42">
        <f>IF($C30="","",IFERROR(INDEX(DESPACHOS!$F$3:$F$3002,MATCH($C30,DESPACHOS!$B$3:$B$3002,0)),""))</f>
        <v/>
      </c>
      <c r="H30" s="42">
        <f>IF($C30="","",IFERROR(INDEX(DESPACHOS!$G$3:$G$3002,MATCH($C30,DESPACHOS!$B$3:$B$3002,0)),""))</f>
        <v/>
      </c>
      <c r="I30" s="39">
        <f>IF($C30="","",IFERROR(INDEX(DESPACHOS!$H$3:$H$3002,MATCH($C30,DESPACHOS!$B$3:$B$3002,0)),""))</f>
        <v/>
      </c>
      <c r="J30" s="43">
        <f>IF($C30="","",IFERROR(INDEX(DESPACHOS!$J$3:$J$3002,MATCH($C30,DESPACHOS!$B$3:$B$3002,0)),""))</f>
        <v/>
      </c>
      <c r="K30" s="39">
        <f>IF($C30="","",IF(COUNTIFS(DESPACHOS!$B$3:$B$3002,$C30)=0,"NO EXISTE",IF(COUNTIFS(DESPACHOS!$B$3:$B$3002,$C30)&gt;1,"DUPLICADO","OK")))</f>
        <v/>
      </c>
      <c r="L30" s="41" t="n"/>
      <c r="M30" s="41" t="n"/>
      <c r="N30" s="42">
        <f>IF($M30="","",IFERROR(INDEX(LISTAS!$F$3:$F$42,MATCH($M30,LISTAS!$E$3:$E$42,0)),"Por definir"))</f>
        <v/>
      </c>
      <c r="O30" s="41" t="n"/>
      <c r="P30" s="39">
        <f>IF($L30="","",IFERROR(INDEX(LISTAS!$B$3:$B$42,MATCH($L30,LISTAS!$A$3:$A$42,0)),"Media"))</f>
        <v/>
      </c>
      <c r="Q30" s="44" t="n"/>
      <c r="R30" s="45" t="n"/>
      <c r="S30" s="20">
        <f>IFERROR(IF(OR($R30="",$C30=""),"",$R30/INDEX(DESPACHOS!$M$3:$M$3002,MATCH($C30,DESPACHOS!$B$3:$B$3002,0))),"")</f>
        <v/>
      </c>
      <c r="T30" s="41" t="n"/>
      <c r="U30" s="43">
        <f>IF(OR($B30="",$L30=""),"",WORKDAY($B30,IFERROR(INDEX(LISTAS!$C$3:$C$42,MATCH($L30,LISTAS!$A$3:$A$42,0)),3)))</f>
        <v/>
      </c>
      <c r="V30" s="40" t="n"/>
      <c r="W30" s="19">
        <f>IF($B30="","",IF($V30&lt;&gt;"",$V30-$B30,TODAY()-$B30))</f>
        <v/>
      </c>
      <c r="X30" s="19">
        <f>IF(OR($B30="",$U30=""),"",IF($V30&lt;&gt;"",MAX(0,$V30-$U30),MAX(0,TODAY()-$U30)))</f>
        <v/>
      </c>
      <c r="Y30" s="39">
        <f>IF($C30="","",IF(IFERROR(INDEX(LISTAS!$I$3:$I$42,MATCH($T30,LISTAS!$H$3:$H$42,0)),"NO")="SÍ",IF(N($X30)&gt;0,"CERRADA FUERA DE SLA","CERRADA EN SLA"),IF($U30="","SIN CLASIFICAR",IF(N($X30)&gt;0,"VENCIDA",IF(TODAY()&gt;=$U30-1,"POR VENCER","EN PLAZO")))))</f>
        <v/>
      </c>
      <c r="Z30" s="41" t="n"/>
      <c r="AA30" s="41" t="n"/>
      <c r="AB30" s="41" t="n"/>
    </row>
    <row r="31">
      <c r="A31" s="39">
        <f>IF($C31="","","NOV-"&amp;TEXT(ROW()-3,"0000"))</f>
        <v/>
      </c>
      <c r="B31" s="40" t="n"/>
      <c r="C31" s="41" t="n"/>
      <c r="D31" s="42">
        <f>IF($C31="","",IFERROR(INDEX(DESPACHOS!$D$3:$D$3002,MATCH($C31,DESPACHOS!$B$3:$B$3002,0)),"SIN DESPACHO"))</f>
        <v/>
      </c>
      <c r="E31" s="42">
        <f>IF($C31="","",IFERROR(INDEX(DESPACHOS!$K$3:$K$3002,MATCH($C31,DESPACHOS!$B$3:$B$3002,0)),""))</f>
        <v/>
      </c>
      <c r="F31" s="42">
        <f>IF($C31="","",IFERROR(INDEX(DESPACHOS!$I$3:$I$3002,MATCH($C31,DESPACHOS!$B$3:$B$3002,0)),""))</f>
        <v/>
      </c>
      <c r="G31" s="42">
        <f>IF($C31="","",IFERROR(INDEX(DESPACHOS!$F$3:$F$3002,MATCH($C31,DESPACHOS!$B$3:$B$3002,0)),""))</f>
        <v/>
      </c>
      <c r="H31" s="42">
        <f>IF($C31="","",IFERROR(INDEX(DESPACHOS!$G$3:$G$3002,MATCH($C31,DESPACHOS!$B$3:$B$3002,0)),""))</f>
        <v/>
      </c>
      <c r="I31" s="39">
        <f>IF($C31="","",IFERROR(INDEX(DESPACHOS!$H$3:$H$3002,MATCH($C31,DESPACHOS!$B$3:$B$3002,0)),""))</f>
        <v/>
      </c>
      <c r="J31" s="43">
        <f>IF($C31="","",IFERROR(INDEX(DESPACHOS!$J$3:$J$3002,MATCH($C31,DESPACHOS!$B$3:$B$3002,0)),""))</f>
        <v/>
      </c>
      <c r="K31" s="39">
        <f>IF($C31="","",IF(COUNTIFS(DESPACHOS!$B$3:$B$3002,$C31)=0,"NO EXISTE",IF(COUNTIFS(DESPACHOS!$B$3:$B$3002,$C31)&gt;1,"DUPLICADO","OK")))</f>
        <v/>
      </c>
      <c r="L31" s="41" t="n"/>
      <c r="M31" s="41" t="n"/>
      <c r="N31" s="42">
        <f>IF($M31="","",IFERROR(INDEX(LISTAS!$F$3:$F$42,MATCH($M31,LISTAS!$E$3:$E$42,0)),"Por definir"))</f>
        <v/>
      </c>
      <c r="O31" s="41" t="n"/>
      <c r="P31" s="39">
        <f>IF($L31="","",IFERROR(INDEX(LISTAS!$B$3:$B$42,MATCH($L31,LISTAS!$A$3:$A$42,0)),"Media"))</f>
        <v/>
      </c>
      <c r="Q31" s="44" t="n"/>
      <c r="R31" s="45" t="n"/>
      <c r="S31" s="20">
        <f>IFERROR(IF(OR($R31="",$C31=""),"",$R31/INDEX(DESPACHOS!$M$3:$M$3002,MATCH($C31,DESPACHOS!$B$3:$B$3002,0))),"")</f>
        <v/>
      </c>
      <c r="T31" s="41" t="n"/>
      <c r="U31" s="43">
        <f>IF(OR($B31="",$L31=""),"",WORKDAY($B31,IFERROR(INDEX(LISTAS!$C$3:$C$42,MATCH($L31,LISTAS!$A$3:$A$42,0)),3)))</f>
        <v/>
      </c>
      <c r="V31" s="40" t="n"/>
      <c r="W31" s="19">
        <f>IF($B31="","",IF($V31&lt;&gt;"",$V31-$B31,TODAY()-$B31))</f>
        <v/>
      </c>
      <c r="X31" s="19">
        <f>IF(OR($B31="",$U31=""),"",IF($V31&lt;&gt;"",MAX(0,$V31-$U31),MAX(0,TODAY()-$U31)))</f>
        <v/>
      </c>
      <c r="Y31" s="39">
        <f>IF($C31="","",IF(IFERROR(INDEX(LISTAS!$I$3:$I$42,MATCH($T31,LISTAS!$H$3:$H$42,0)),"NO")="SÍ",IF(N($X31)&gt;0,"CERRADA FUERA DE SLA","CERRADA EN SLA"),IF($U31="","SIN CLASIFICAR",IF(N($X31)&gt;0,"VENCIDA",IF(TODAY()&gt;=$U31-1,"POR VENCER","EN PLAZO")))))</f>
        <v/>
      </c>
      <c r="Z31" s="41" t="n"/>
      <c r="AA31" s="41" t="n"/>
      <c r="AB31" s="41" t="n"/>
    </row>
    <row r="32">
      <c r="A32" s="39">
        <f>IF($C32="","","NOV-"&amp;TEXT(ROW()-3,"0000"))</f>
        <v/>
      </c>
      <c r="B32" s="40" t="n"/>
      <c r="C32" s="41" t="n"/>
      <c r="D32" s="42">
        <f>IF($C32="","",IFERROR(INDEX(DESPACHOS!$D$3:$D$3002,MATCH($C32,DESPACHOS!$B$3:$B$3002,0)),"SIN DESPACHO"))</f>
        <v/>
      </c>
      <c r="E32" s="42">
        <f>IF($C32="","",IFERROR(INDEX(DESPACHOS!$K$3:$K$3002,MATCH($C32,DESPACHOS!$B$3:$B$3002,0)),""))</f>
        <v/>
      </c>
      <c r="F32" s="42">
        <f>IF($C32="","",IFERROR(INDEX(DESPACHOS!$I$3:$I$3002,MATCH($C32,DESPACHOS!$B$3:$B$3002,0)),""))</f>
        <v/>
      </c>
      <c r="G32" s="42">
        <f>IF($C32="","",IFERROR(INDEX(DESPACHOS!$F$3:$F$3002,MATCH($C32,DESPACHOS!$B$3:$B$3002,0)),""))</f>
        <v/>
      </c>
      <c r="H32" s="42">
        <f>IF($C32="","",IFERROR(INDEX(DESPACHOS!$G$3:$G$3002,MATCH($C32,DESPACHOS!$B$3:$B$3002,0)),""))</f>
        <v/>
      </c>
      <c r="I32" s="39">
        <f>IF($C32="","",IFERROR(INDEX(DESPACHOS!$H$3:$H$3002,MATCH($C32,DESPACHOS!$B$3:$B$3002,0)),""))</f>
        <v/>
      </c>
      <c r="J32" s="43">
        <f>IF($C32="","",IFERROR(INDEX(DESPACHOS!$J$3:$J$3002,MATCH($C32,DESPACHOS!$B$3:$B$3002,0)),""))</f>
        <v/>
      </c>
      <c r="K32" s="39">
        <f>IF($C32="","",IF(COUNTIFS(DESPACHOS!$B$3:$B$3002,$C32)=0,"NO EXISTE",IF(COUNTIFS(DESPACHOS!$B$3:$B$3002,$C32)&gt;1,"DUPLICADO","OK")))</f>
        <v/>
      </c>
      <c r="L32" s="41" t="n"/>
      <c r="M32" s="41" t="n"/>
      <c r="N32" s="42">
        <f>IF($M32="","",IFERROR(INDEX(LISTAS!$F$3:$F$42,MATCH($M32,LISTAS!$E$3:$E$42,0)),"Por definir"))</f>
        <v/>
      </c>
      <c r="O32" s="41" t="n"/>
      <c r="P32" s="39">
        <f>IF($L32="","",IFERROR(INDEX(LISTAS!$B$3:$B$42,MATCH($L32,LISTAS!$A$3:$A$42,0)),"Media"))</f>
        <v/>
      </c>
      <c r="Q32" s="44" t="n"/>
      <c r="R32" s="45" t="n"/>
      <c r="S32" s="20">
        <f>IFERROR(IF(OR($R32="",$C32=""),"",$R32/INDEX(DESPACHOS!$M$3:$M$3002,MATCH($C32,DESPACHOS!$B$3:$B$3002,0))),"")</f>
        <v/>
      </c>
      <c r="T32" s="41" t="n"/>
      <c r="U32" s="43">
        <f>IF(OR($B32="",$L32=""),"",WORKDAY($B32,IFERROR(INDEX(LISTAS!$C$3:$C$42,MATCH($L32,LISTAS!$A$3:$A$42,0)),3)))</f>
        <v/>
      </c>
      <c r="V32" s="40" t="n"/>
      <c r="W32" s="19">
        <f>IF($B32="","",IF($V32&lt;&gt;"",$V32-$B32,TODAY()-$B32))</f>
        <v/>
      </c>
      <c r="X32" s="19">
        <f>IF(OR($B32="",$U32=""),"",IF($V32&lt;&gt;"",MAX(0,$V32-$U32),MAX(0,TODAY()-$U32)))</f>
        <v/>
      </c>
      <c r="Y32" s="39">
        <f>IF($C32="","",IF(IFERROR(INDEX(LISTAS!$I$3:$I$42,MATCH($T32,LISTAS!$H$3:$H$42,0)),"NO")="SÍ",IF(N($X32)&gt;0,"CERRADA FUERA DE SLA","CERRADA EN SLA"),IF($U32="","SIN CLASIFICAR",IF(N($X32)&gt;0,"VENCIDA",IF(TODAY()&gt;=$U32-1,"POR VENCER","EN PLAZO")))))</f>
        <v/>
      </c>
      <c r="Z32" s="41" t="n"/>
      <c r="AA32" s="41" t="n"/>
      <c r="AB32" s="41" t="n"/>
    </row>
    <row r="33">
      <c r="A33" s="39">
        <f>IF($C33="","","NOV-"&amp;TEXT(ROW()-3,"0000"))</f>
        <v/>
      </c>
      <c r="B33" s="40" t="n"/>
      <c r="C33" s="41" t="n"/>
      <c r="D33" s="42">
        <f>IF($C33="","",IFERROR(INDEX(DESPACHOS!$D$3:$D$3002,MATCH($C33,DESPACHOS!$B$3:$B$3002,0)),"SIN DESPACHO"))</f>
        <v/>
      </c>
      <c r="E33" s="42">
        <f>IF($C33="","",IFERROR(INDEX(DESPACHOS!$K$3:$K$3002,MATCH($C33,DESPACHOS!$B$3:$B$3002,0)),""))</f>
        <v/>
      </c>
      <c r="F33" s="42">
        <f>IF($C33="","",IFERROR(INDEX(DESPACHOS!$I$3:$I$3002,MATCH($C33,DESPACHOS!$B$3:$B$3002,0)),""))</f>
        <v/>
      </c>
      <c r="G33" s="42">
        <f>IF($C33="","",IFERROR(INDEX(DESPACHOS!$F$3:$F$3002,MATCH($C33,DESPACHOS!$B$3:$B$3002,0)),""))</f>
        <v/>
      </c>
      <c r="H33" s="42">
        <f>IF($C33="","",IFERROR(INDEX(DESPACHOS!$G$3:$G$3002,MATCH($C33,DESPACHOS!$B$3:$B$3002,0)),""))</f>
        <v/>
      </c>
      <c r="I33" s="39">
        <f>IF($C33="","",IFERROR(INDEX(DESPACHOS!$H$3:$H$3002,MATCH($C33,DESPACHOS!$B$3:$B$3002,0)),""))</f>
        <v/>
      </c>
      <c r="J33" s="43">
        <f>IF($C33="","",IFERROR(INDEX(DESPACHOS!$J$3:$J$3002,MATCH($C33,DESPACHOS!$B$3:$B$3002,0)),""))</f>
        <v/>
      </c>
      <c r="K33" s="39">
        <f>IF($C33="","",IF(COUNTIFS(DESPACHOS!$B$3:$B$3002,$C33)=0,"NO EXISTE",IF(COUNTIFS(DESPACHOS!$B$3:$B$3002,$C33)&gt;1,"DUPLICADO","OK")))</f>
        <v/>
      </c>
      <c r="L33" s="41" t="n"/>
      <c r="M33" s="41" t="n"/>
      <c r="N33" s="42">
        <f>IF($M33="","",IFERROR(INDEX(LISTAS!$F$3:$F$42,MATCH($M33,LISTAS!$E$3:$E$42,0)),"Por definir"))</f>
        <v/>
      </c>
      <c r="O33" s="41" t="n"/>
      <c r="P33" s="39">
        <f>IF($L33="","",IFERROR(INDEX(LISTAS!$B$3:$B$42,MATCH($L33,LISTAS!$A$3:$A$42,0)),"Media"))</f>
        <v/>
      </c>
      <c r="Q33" s="44" t="n"/>
      <c r="R33" s="45" t="n"/>
      <c r="S33" s="20">
        <f>IFERROR(IF(OR($R33="",$C33=""),"",$R33/INDEX(DESPACHOS!$M$3:$M$3002,MATCH($C33,DESPACHOS!$B$3:$B$3002,0))),"")</f>
        <v/>
      </c>
      <c r="T33" s="41" t="n"/>
      <c r="U33" s="43">
        <f>IF(OR($B33="",$L33=""),"",WORKDAY($B33,IFERROR(INDEX(LISTAS!$C$3:$C$42,MATCH($L33,LISTAS!$A$3:$A$42,0)),3)))</f>
        <v/>
      </c>
      <c r="V33" s="40" t="n"/>
      <c r="W33" s="19">
        <f>IF($B33="","",IF($V33&lt;&gt;"",$V33-$B33,TODAY()-$B33))</f>
        <v/>
      </c>
      <c r="X33" s="19">
        <f>IF(OR($B33="",$U33=""),"",IF($V33&lt;&gt;"",MAX(0,$V33-$U33),MAX(0,TODAY()-$U33)))</f>
        <v/>
      </c>
      <c r="Y33" s="39">
        <f>IF($C33="","",IF(IFERROR(INDEX(LISTAS!$I$3:$I$42,MATCH($T33,LISTAS!$H$3:$H$42,0)),"NO")="SÍ",IF(N($X33)&gt;0,"CERRADA FUERA DE SLA","CERRADA EN SLA"),IF($U33="","SIN CLASIFICAR",IF(N($X33)&gt;0,"VENCIDA",IF(TODAY()&gt;=$U33-1,"POR VENCER","EN PLAZO")))))</f>
        <v/>
      </c>
      <c r="Z33" s="41" t="n"/>
      <c r="AA33" s="41" t="n"/>
      <c r="AB33" s="41" t="n"/>
    </row>
    <row r="34">
      <c r="A34" s="39">
        <f>IF($C34="","","NOV-"&amp;TEXT(ROW()-3,"0000"))</f>
        <v/>
      </c>
      <c r="B34" s="40" t="n"/>
      <c r="C34" s="41" t="n"/>
      <c r="D34" s="42">
        <f>IF($C34="","",IFERROR(INDEX(DESPACHOS!$D$3:$D$3002,MATCH($C34,DESPACHOS!$B$3:$B$3002,0)),"SIN DESPACHO"))</f>
        <v/>
      </c>
      <c r="E34" s="42">
        <f>IF($C34="","",IFERROR(INDEX(DESPACHOS!$K$3:$K$3002,MATCH($C34,DESPACHOS!$B$3:$B$3002,0)),""))</f>
        <v/>
      </c>
      <c r="F34" s="42">
        <f>IF($C34="","",IFERROR(INDEX(DESPACHOS!$I$3:$I$3002,MATCH($C34,DESPACHOS!$B$3:$B$3002,0)),""))</f>
        <v/>
      </c>
      <c r="G34" s="42">
        <f>IF($C34="","",IFERROR(INDEX(DESPACHOS!$F$3:$F$3002,MATCH($C34,DESPACHOS!$B$3:$B$3002,0)),""))</f>
        <v/>
      </c>
      <c r="H34" s="42">
        <f>IF($C34="","",IFERROR(INDEX(DESPACHOS!$G$3:$G$3002,MATCH($C34,DESPACHOS!$B$3:$B$3002,0)),""))</f>
        <v/>
      </c>
      <c r="I34" s="39">
        <f>IF($C34="","",IFERROR(INDEX(DESPACHOS!$H$3:$H$3002,MATCH($C34,DESPACHOS!$B$3:$B$3002,0)),""))</f>
        <v/>
      </c>
      <c r="J34" s="43">
        <f>IF($C34="","",IFERROR(INDEX(DESPACHOS!$J$3:$J$3002,MATCH($C34,DESPACHOS!$B$3:$B$3002,0)),""))</f>
        <v/>
      </c>
      <c r="K34" s="39">
        <f>IF($C34="","",IF(COUNTIFS(DESPACHOS!$B$3:$B$3002,$C34)=0,"NO EXISTE",IF(COUNTIFS(DESPACHOS!$B$3:$B$3002,$C34)&gt;1,"DUPLICADO","OK")))</f>
        <v/>
      </c>
      <c r="L34" s="41" t="n"/>
      <c r="M34" s="41" t="n"/>
      <c r="N34" s="42">
        <f>IF($M34="","",IFERROR(INDEX(LISTAS!$F$3:$F$42,MATCH($M34,LISTAS!$E$3:$E$42,0)),"Por definir"))</f>
        <v/>
      </c>
      <c r="O34" s="41" t="n"/>
      <c r="P34" s="39">
        <f>IF($L34="","",IFERROR(INDEX(LISTAS!$B$3:$B$42,MATCH($L34,LISTAS!$A$3:$A$42,0)),"Media"))</f>
        <v/>
      </c>
      <c r="Q34" s="44" t="n"/>
      <c r="R34" s="45" t="n"/>
      <c r="S34" s="20">
        <f>IFERROR(IF(OR($R34="",$C34=""),"",$R34/INDEX(DESPACHOS!$M$3:$M$3002,MATCH($C34,DESPACHOS!$B$3:$B$3002,0))),"")</f>
        <v/>
      </c>
      <c r="T34" s="41" t="n"/>
      <c r="U34" s="43">
        <f>IF(OR($B34="",$L34=""),"",WORKDAY($B34,IFERROR(INDEX(LISTAS!$C$3:$C$42,MATCH($L34,LISTAS!$A$3:$A$42,0)),3)))</f>
        <v/>
      </c>
      <c r="V34" s="40" t="n"/>
      <c r="W34" s="19">
        <f>IF($B34="","",IF($V34&lt;&gt;"",$V34-$B34,TODAY()-$B34))</f>
        <v/>
      </c>
      <c r="X34" s="19">
        <f>IF(OR($B34="",$U34=""),"",IF($V34&lt;&gt;"",MAX(0,$V34-$U34),MAX(0,TODAY()-$U34)))</f>
        <v/>
      </c>
      <c r="Y34" s="39">
        <f>IF($C34="","",IF(IFERROR(INDEX(LISTAS!$I$3:$I$42,MATCH($T34,LISTAS!$H$3:$H$42,0)),"NO")="SÍ",IF(N($X34)&gt;0,"CERRADA FUERA DE SLA","CERRADA EN SLA"),IF($U34="","SIN CLASIFICAR",IF(N($X34)&gt;0,"VENCIDA",IF(TODAY()&gt;=$U34-1,"POR VENCER","EN PLAZO")))))</f>
        <v/>
      </c>
      <c r="Z34" s="41" t="n"/>
      <c r="AA34" s="41" t="n"/>
      <c r="AB34" s="41" t="n"/>
    </row>
    <row r="35">
      <c r="A35" s="39">
        <f>IF($C35="","","NOV-"&amp;TEXT(ROW()-3,"0000"))</f>
        <v/>
      </c>
      <c r="B35" s="40" t="n"/>
      <c r="C35" s="41" t="n"/>
      <c r="D35" s="42">
        <f>IF($C35="","",IFERROR(INDEX(DESPACHOS!$D$3:$D$3002,MATCH($C35,DESPACHOS!$B$3:$B$3002,0)),"SIN DESPACHO"))</f>
        <v/>
      </c>
      <c r="E35" s="42">
        <f>IF($C35="","",IFERROR(INDEX(DESPACHOS!$K$3:$K$3002,MATCH($C35,DESPACHOS!$B$3:$B$3002,0)),""))</f>
        <v/>
      </c>
      <c r="F35" s="42">
        <f>IF($C35="","",IFERROR(INDEX(DESPACHOS!$I$3:$I$3002,MATCH($C35,DESPACHOS!$B$3:$B$3002,0)),""))</f>
        <v/>
      </c>
      <c r="G35" s="42">
        <f>IF($C35="","",IFERROR(INDEX(DESPACHOS!$F$3:$F$3002,MATCH($C35,DESPACHOS!$B$3:$B$3002,0)),""))</f>
        <v/>
      </c>
      <c r="H35" s="42">
        <f>IF($C35="","",IFERROR(INDEX(DESPACHOS!$G$3:$G$3002,MATCH($C35,DESPACHOS!$B$3:$B$3002,0)),""))</f>
        <v/>
      </c>
      <c r="I35" s="39">
        <f>IF($C35="","",IFERROR(INDEX(DESPACHOS!$H$3:$H$3002,MATCH($C35,DESPACHOS!$B$3:$B$3002,0)),""))</f>
        <v/>
      </c>
      <c r="J35" s="43">
        <f>IF($C35="","",IFERROR(INDEX(DESPACHOS!$J$3:$J$3002,MATCH($C35,DESPACHOS!$B$3:$B$3002,0)),""))</f>
        <v/>
      </c>
      <c r="K35" s="39">
        <f>IF($C35="","",IF(COUNTIFS(DESPACHOS!$B$3:$B$3002,$C35)=0,"NO EXISTE",IF(COUNTIFS(DESPACHOS!$B$3:$B$3002,$C35)&gt;1,"DUPLICADO","OK")))</f>
        <v/>
      </c>
      <c r="L35" s="41" t="n"/>
      <c r="M35" s="41" t="n"/>
      <c r="N35" s="42">
        <f>IF($M35="","",IFERROR(INDEX(LISTAS!$F$3:$F$42,MATCH($M35,LISTAS!$E$3:$E$42,0)),"Por definir"))</f>
        <v/>
      </c>
      <c r="O35" s="41" t="n"/>
      <c r="P35" s="39">
        <f>IF($L35="","",IFERROR(INDEX(LISTAS!$B$3:$B$42,MATCH($L35,LISTAS!$A$3:$A$42,0)),"Media"))</f>
        <v/>
      </c>
      <c r="Q35" s="44" t="n"/>
      <c r="R35" s="45" t="n"/>
      <c r="S35" s="20">
        <f>IFERROR(IF(OR($R35="",$C35=""),"",$R35/INDEX(DESPACHOS!$M$3:$M$3002,MATCH($C35,DESPACHOS!$B$3:$B$3002,0))),"")</f>
        <v/>
      </c>
      <c r="T35" s="41" t="n"/>
      <c r="U35" s="43">
        <f>IF(OR($B35="",$L35=""),"",WORKDAY($B35,IFERROR(INDEX(LISTAS!$C$3:$C$42,MATCH($L35,LISTAS!$A$3:$A$42,0)),3)))</f>
        <v/>
      </c>
      <c r="V35" s="40" t="n"/>
      <c r="W35" s="19">
        <f>IF($B35="","",IF($V35&lt;&gt;"",$V35-$B35,TODAY()-$B35))</f>
        <v/>
      </c>
      <c r="X35" s="19">
        <f>IF(OR($B35="",$U35=""),"",IF($V35&lt;&gt;"",MAX(0,$V35-$U35),MAX(0,TODAY()-$U35)))</f>
        <v/>
      </c>
      <c r="Y35" s="39">
        <f>IF($C35="","",IF(IFERROR(INDEX(LISTAS!$I$3:$I$42,MATCH($T35,LISTAS!$H$3:$H$42,0)),"NO")="SÍ",IF(N($X35)&gt;0,"CERRADA FUERA DE SLA","CERRADA EN SLA"),IF($U35="","SIN CLASIFICAR",IF(N($X35)&gt;0,"VENCIDA",IF(TODAY()&gt;=$U35-1,"POR VENCER","EN PLAZO")))))</f>
        <v/>
      </c>
      <c r="Z35" s="41" t="n"/>
      <c r="AA35" s="41" t="n"/>
      <c r="AB35" s="41" t="n"/>
    </row>
    <row r="36">
      <c r="A36" s="39">
        <f>IF($C36="","","NOV-"&amp;TEXT(ROW()-3,"0000"))</f>
        <v/>
      </c>
      <c r="B36" s="40" t="n"/>
      <c r="C36" s="41" t="n"/>
      <c r="D36" s="42">
        <f>IF($C36="","",IFERROR(INDEX(DESPACHOS!$D$3:$D$3002,MATCH($C36,DESPACHOS!$B$3:$B$3002,0)),"SIN DESPACHO"))</f>
        <v/>
      </c>
      <c r="E36" s="42">
        <f>IF($C36="","",IFERROR(INDEX(DESPACHOS!$K$3:$K$3002,MATCH($C36,DESPACHOS!$B$3:$B$3002,0)),""))</f>
        <v/>
      </c>
      <c r="F36" s="42">
        <f>IF($C36="","",IFERROR(INDEX(DESPACHOS!$I$3:$I$3002,MATCH($C36,DESPACHOS!$B$3:$B$3002,0)),""))</f>
        <v/>
      </c>
      <c r="G36" s="42">
        <f>IF($C36="","",IFERROR(INDEX(DESPACHOS!$F$3:$F$3002,MATCH($C36,DESPACHOS!$B$3:$B$3002,0)),""))</f>
        <v/>
      </c>
      <c r="H36" s="42">
        <f>IF($C36="","",IFERROR(INDEX(DESPACHOS!$G$3:$G$3002,MATCH($C36,DESPACHOS!$B$3:$B$3002,0)),""))</f>
        <v/>
      </c>
      <c r="I36" s="39">
        <f>IF($C36="","",IFERROR(INDEX(DESPACHOS!$H$3:$H$3002,MATCH($C36,DESPACHOS!$B$3:$B$3002,0)),""))</f>
        <v/>
      </c>
      <c r="J36" s="43">
        <f>IF($C36="","",IFERROR(INDEX(DESPACHOS!$J$3:$J$3002,MATCH($C36,DESPACHOS!$B$3:$B$3002,0)),""))</f>
        <v/>
      </c>
      <c r="K36" s="39">
        <f>IF($C36="","",IF(COUNTIFS(DESPACHOS!$B$3:$B$3002,$C36)=0,"NO EXISTE",IF(COUNTIFS(DESPACHOS!$B$3:$B$3002,$C36)&gt;1,"DUPLICADO","OK")))</f>
        <v/>
      </c>
      <c r="L36" s="41" t="n"/>
      <c r="M36" s="41" t="n"/>
      <c r="N36" s="42">
        <f>IF($M36="","",IFERROR(INDEX(LISTAS!$F$3:$F$42,MATCH($M36,LISTAS!$E$3:$E$42,0)),"Por definir"))</f>
        <v/>
      </c>
      <c r="O36" s="41" t="n"/>
      <c r="P36" s="39">
        <f>IF($L36="","",IFERROR(INDEX(LISTAS!$B$3:$B$42,MATCH($L36,LISTAS!$A$3:$A$42,0)),"Media"))</f>
        <v/>
      </c>
      <c r="Q36" s="44" t="n"/>
      <c r="R36" s="45" t="n"/>
      <c r="S36" s="20">
        <f>IFERROR(IF(OR($R36="",$C36=""),"",$R36/INDEX(DESPACHOS!$M$3:$M$3002,MATCH($C36,DESPACHOS!$B$3:$B$3002,0))),"")</f>
        <v/>
      </c>
      <c r="T36" s="41" t="n"/>
      <c r="U36" s="43">
        <f>IF(OR($B36="",$L36=""),"",WORKDAY($B36,IFERROR(INDEX(LISTAS!$C$3:$C$42,MATCH($L36,LISTAS!$A$3:$A$42,0)),3)))</f>
        <v/>
      </c>
      <c r="V36" s="40" t="n"/>
      <c r="W36" s="19">
        <f>IF($B36="","",IF($V36&lt;&gt;"",$V36-$B36,TODAY()-$B36))</f>
        <v/>
      </c>
      <c r="X36" s="19">
        <f>IF(OR($B36="",$U36=""),"",IF($V36&lt;&gt;"",MAX(0,$V36-$U36),MAX(0,TODAY()-$U36)))</f>
        <v/>
      </c>
      <c r="Y36" s="39">
        <f>IF($C36="","",IF(IFERROR(INDEX(LISTAS!$I$3:$I$42,MATCH($T36,LISTAS!$H$3:$H$42,0)),"NO")="SÍ",IF(N($X36)&gt;0,"CERRADA FUERA DE SLA","CERRADA EN SLA"),IF($U36="","SIN CLASIFICAR",IF(N($X36)&gt;0,"VENCIDA",IF(TODAY()&gt;=$U36-1,"POR VENCER","EN PLAZO")))))</f>
        <v/>
      </c>
      <c r="Z36" s="41" t="n"/>
      <c r="AA36" s="41" t="n"/>
      <c r="AB36" s="41" t="n"/>
    </row>
    <row r="37">
      <c r="A37" s="39">
        <f>IF($C37="","","NOV-"&amp;TEXT(ROW()-3,"0000"))</f>
        <v/>
      </c>
      <c r="B37" s="40" t="n"/>
      <c r="C37" s="41" t="n"/>
      <c r="D37" s="42">
        <f>IF($C37="","",IFERROR(INDEX(DESPACHOS!$D$3:$D$3002,MATCH($C37,DESPACHOS!$B$3:$B$3002,0)),"SIN DESPACHO"))</f>
        <v/>
      </c>
      <c r="E37" s="42">
        <f>IF($C37="","",IFERROR(INDEX(DESPACHOS!$K$3:$K$3002,MATCH($C37,DESPACHOS!$B$3:$B$3002,0)),""))</f>
        <v/>
      </c>
      <c r="F37" s="42">
        <f>IF($C37="","",IFERROR(INDEX(DESPACHOS!$I$3:$I$3002,MATCH($C37,DESPACHOS!$B$3:$B$3002,0)),""))</f>
        <v/>
      </c>
      <c r="G37" s="42">
        <f>IF($C37="","",IFERROR(INDEX(DESPACHOS!$F$3:$F$3002,MATCH($C37,DESPACHOS!$B$3:$B$3002,0)),""))</f>
        <v/>
      </c>
      <c r="H37" s="42">
        <f>IF($C37="","",IFERROR(INDEX(DESPACHOS!$G$3:$G$3002,MATCH($C37,DESPACHOS!$B$3:$B$3002,0)),""))</f>
        <v/>
      </c>
      <c r="I37" s="39">
        <f>IF($C37="","",IFERROR(INDEX(DESPACHOS!$H$3:$H$3002,MATCH($C37,DESPACHOS!$B$3:$B$3002,0)),""))</f>
        <v/>
      </c>
      <c r="J37" s="43">
        <f>IF($C37="","",IFERROR(INDEX(DESPACHOS!$J$3:$J$3002,MATCH($C37,DESPACHOS!$B$3:$B$3002,0)),""))</f>
        <v/>
      </c>
      <c r="K37" s="39">
        <f>IF($C37="","",IF(COUNTIFS(DESPACHOS!$B$3:$B$3002,$C37)=0,"NO EXISTE",IF(COUNTIFS(DESPACHOS!$B$3:$B$3002,$C37)&gt;1,"DUPLICADO","OK")))</f>
        <v/>
      </c>
      <c r="L37" s="41" t="n"/>
      <c r="M37" s="41" t="n"/>
      <c r="N37" s="42">
        <f>IF($M37="","",IFERROR(INDEX(LISTAS!$F$3:$F$42,MATCH($M37,LISTAS!$E$3:$E$42,0)),"Por definir"))</f>
        <v/>
      </c>
      <c r="O37" s="41" t="n"/>
      <c r="P37" s="39">
        <f>IF($L37="","",IFERROR(INDEX(LISTAS!$B$3:$B$42,MATCH($L37,LISTAS!$A$3:$A$42,0)),"Media"))</f>
        <v/>
      </c>
      <c r="Q37" s="44" t="n"/>
      <c r="R37" s="45" t="n"/>
      <c r="S37" s="20">
        <f>IFERROR(IF(OR($R37="",$C37=""),"",$R37/INDEX(DESPACHOS!$M$3:$M$3002,MATCH($C37,DESPACHOS!$B$3:$B$3002,0))),"")</f>
        <v/>
      </c>
      <c r="T37" s="41" t="n"/>
      <c r="U37" s="43">
        <f>IF(OR($B37="",$L37=""),"",WORKDAY($B37,IFERROR(INDEX(LISTAS!$C$3:$C$42,MATCH($L37,LISTAS!$A$3:$A$42,0)),3)))</f>
        <v/>
      </c>
      <c r="V37" s="40" t="n"/>
      <c r="W37" s="19">
        <f>IF($B37="","",IF($V37&lt;&gt;"",$V37-$B37,TODAY()-$B37))</f>
        <v/>
      </c>
      <c r="X37" s="19">
        <f>IF(OR($B37="",$U37=""),"",IF($V37&lt;&gt;"",MAX(0,$V37-$U37),MAX(0,TODAY()-$U37)))</f>
        <v/>
      </c>
      <c r="Y37" s="39">
        <f>IF($C37="","",IF(IFERROR(INDEX(LISTAS!$I$3:$I$42,MATCH($T37,LISTAS!$H$3:$H$42,0)),"NO")="SÍ",IF(N($X37)&gt;0,"CERRADA FUERA DE SLA","CERRADA EN SLA"),IF($U37="","SIN CLASIFICAR",IF(N($X37)&gt;0,"VENCIDA",IF(TODAY()&gt;=$U37-1,"POR VENCER","EN PLAZO")))))</f>
        <v/>
      </c>
      <c r="Z37" s="41" t="n"/>
      <c r="AA37" s="41" t="n"/>
      <c r="AB37" s="41" t="n"/>
    </row>
    <row r="38">
      <c r="A38" s="39">
        <f>IF($C38="","","NOV-"&amp;TEXT(ROW()-3,"0000"))</f>
        <v/>
      </c>
      <c r="B38" s="40" t="n"/>
      <c r="C38" s="41" t="n"/>
      <c r="D38" s="42">
        <f>IF($C38="","",IFERROR(INDEX(DESPACHOS!$D$3:$D$3002,MATCH($C38,DESPACHOS!$B$3:$B$3002,0)),"SIN DESPACHO"))</f>
        <v/>
      </c>
      <c r="E38" s="42">
        <f>IF($C38="","",IFERROR(INDEX(DESPACHOS!$K$3:$K$3002,MATCH($C38,DESPACHOS!$B$3:$B$3002,0)),""))</f>
        <v/>
      </c>
      <c r="F38" s="42">
        <f>IF($C38="","",IFERROR(INDEX(DESPACHOS!$I$3:$I$3002,MATCH($C38,DESPACHOS!$B$3:$B$3002,0)),""))</f>
        <v/>
      </c>
      <c r="G38" s="42">
        <f>IF($C38="","",IFERROR(INDEX(DESPACHOS!$F$3:$F$3002,MATCH($C38,DESPACHOS!$B$3:$B$3002,0)),""))</f>
        <v/>
      </c>
      <c r="H38" s="42">
        <f>IF($C38="","",IFERROR(INDEX(DESPACHOS!$G$3:$G$3002,MATCH($C38,DESPACHOS!$B$3:$B$3002,0)),""))</f>
        <v/>
      </c>
      <c r="I38" s="39">
        <f>IF($C38="","",IFERROR(INDEX(DESPACHOS!$H$3:$H$3002,MATCH($C38,DESPACHOS!$B$3:$B$3002,0)),""))</f>
        <v/>
      </c>
      <c r="J38" s="43">
        <f>IF($C38="","",IFERROR(INDEX(DESPACHOS!$J$3:$J$3002,MATCH($C38,DESPACHOS!$B$3:$B$3002,0)),""))</f>
        <v/>
      </c>
      <c r="K38" s="39">
        <f>IF($C38="","",IF(COUNTIFS(DESPACHOS!$B$3:$B$3002,$C38)=0,"NO EXISTE",IF(COUNTIFS(DESPACHOS!$B$3:$B$3002,$C38)&gt;1,"DUPLICADO","OK")))</f>
        <v/>
      </c>
      <c r="L38" s="41" t="n"/>
      <c r="M38" s="41" t="n"/>
      <c r="N38" s="42">
        <f>IF($M38="","",IFERROR(INDEX(LISTAS!$F$3:$F$42,MATCH($M38,LISTAS!$E$3:$E$42,0)),"Por definir"))</f>
        <v/>
      </c>
      <c r="O38" s="41" t="n"/>
      <c r="P38" s="39">
        <f>IF($L38="","",IFERROR(INDEX(LISTAS!$B$3:$B$42,MATCH($L38,LISTAS!$A$3:$A$42,0)),"Media"))</f>
        <v/>
      </c>
      <c r="Q38" s="44" t="n"/>
      <c r="R38" s="45" t="n"/>
      <c r="S38" s="20">
        <f>IFERROR(IF(OR($R38="",$C38=""),"",$R38/INDEX(DESPACHOS!$M$3:$M$3002,MATCH($C38,DESPACHOS!$B$3:$B$3002,0))),"")</f>
        <v/>
      </c>
      <c r="T38" s="41" t="n"/>
      <c r="U38" s="43">
        <f>IF(OR($B38="",$L38=""),"",WORKDAY($B38,IFERROR(INDEX(LISTAS!$C$3:$C$42,MATCH($L38,LISTAS!$A$3:$A$42,0)),3)))</f>
        <v/>
      </c>
      <c r="V38" s="40" t="n"/>
      <c r="W38" s="19">
        <f>IF($B38="","",IF($V38&lt;&gt;"",$V38-$B38,TODAY()-$B38))</f>
        <v/>
      </c>
      <c r="X38" s="19">
        <f>IF(OR($B38="",$U38=""),"",IF($V38&lt;&gt;"",MAX(0,$V38-$U38),MAX(0,TODAY()-$U38)))</f>
        <v/>
      </c>
      <c r="Y38" s="39">
        <f>IF($C38="","",IF(IFERROR(INDEX(LISTAS!$I$3:$I$42,MATCH($T38,LISTAS!$H$3:$H$42,0)),"NO")="SÍ",IF(N($X38)&gt;0,"CERRADA FUERA DE SLA","CERRADA EN SLA"),IF($U38="","SIN CLASIFICAR",IF(N($X38)&gt;0,"VENCIDA",IF(TODAY()&gt;=$U38-1,"POR VENCER","EN PLAZO")))))</f>
        <v/>
      </c>
      <c r="Z38" s="41" t="n"/>
      <c r="AA38" s="41" t="n"/>
      <c r="AB38" s="41" t="n"/>
    </row>
    <row r="39">
      <c r="A39" s="39">
        <f>IF($C39="","","NOV-"&amp;TEXT(ROW()-3,"0000"))</f>
        <v/>
      </c>
      <c r="B39" s="40" t="n"/>
      <c r="C39" s="41" t="n"/>
      <c r="D39" s="42">
        <f>IF($C39="","",IFERROR(INDEX(DESPACHOS!$D$3:$D$3002,MATCH($C39,DESPACHOS!$B$3:$B$3002,0)),"SIN DESPACHO"))</f>
        <v/>
      </c>
      <c r="E39" s="42">
        <f>IF($C39="","",IFERROR(INDEX(DESPACHOS!$K$3:$K$3002,MATCH($C39,DESPACHOS!$B$3:$B$3002,0)),""))</f>
        <v/>
      </c>
      <c r="F39" s="42">
        <f>IF($C39="","",IFERROR(INDEX(DESPACHOS!$I$3:$I$3002,MATCH($C39,DESPACHOS!$B$3:$B$3002,0)),""))</f>
        <v/>
      </c>
      <c r="G39" s="42">
        <f>IF($C39="","",IFERROR(INDEX(DESPACHOS!$F$3:$F$3002,MATCH($C39,DESPACHOS!$B$3:$B$3002,0)),""))</f>
        <v/>
      </c>
      <c r="H39" s="42">
        <f>IF($C39="","",IFERROR(INDEX(DESPACHOS!$G$3:$G$3002,MATCH($C39,DESPACHOS!$B$3:$B$3002,0)),""))</f>
        <v/>
      </c>
      <c r="I39" s="39">
        <f>IF($C39="","",IFERROR(INDEX(DESPACHOS!$H$3:$H$3002,MATCH($C39,DESPACHOS!$B$3:$B$3002,0)),""))</f>
        <v/>
      </c>
      <c r="J39" s="43">
        <f>IF($C39="","",IFERROR(INDEX(DESPACHOS!$J$3:$J$3002,MATCH($C39,DESPACHOS!$B$3:$B$3002,0)),""))</f>
        <v/>
      </c>
      <c r="K39" s="39">
        <f>IF($C39="","",IF(COUNTIFS(DESPACHOS!$B$3:$B$3002,$C39)=0,"NO EXISTE",IF(COUNTIFS(DESPACHOS!$B$3:$B$3002,$C39)&gt;1,"DUPLICADO","OK")))</f>
        <v/>
      </c>
      <c r="L39" s="41" t="n"/>
      <c r="M39" s="41" t="n"/>
      <c r="N39" s="42">
        <f>IF($M39="","",IFERROR(INDEX(LISTAS!$F$3:$F$42,MATCH($M39,LISTAS!$E$3:$E$42,0)),"Por definir"))</f>
        <v/>
      </c>
      <c r="O39" s="41" t="n"/>
      <c r="P39" s="39">
        <f>IF($L39="","",IFERROR(INDEX(LISTAS!$B$3:$B$42,MATCH($L39,LISTAS!$A$3:$A$42,0)),"Media"))</f>
        <v/>
      </c>
      <c r="Q39" s="44" t="n"/>
      <c r="R39" s="45" t="n"/>
      <c r="S39" s="20">
        <f>IFERROR(IF(OR($R39="",$C39=""),"",$R39/INDEX(DESPACHOS!$M$3:$M$3002,MATCH($C39,DESPACHOS!$B$3:$B$3002,0))),"")</f>
        <v/>
      </c>
      <c r="T39" s="41" t="n"/>
      <c r="U39" s="43">
        <f>IF(OR($B39="",$L39=""),"",WORKDAY($B39,IFERROR(INDEX(LISTAS!$C$3:$C$42,MATCH($L39,LISTAS!$A$3:$A$42,0)),3)))</f>
        <v/>
      </c>
      <c r="V39" s="40" t="n"/>
      <c r="W39" s="19">
        <f>IF($B39="","",IF($V39&lt;&gt;"",$V39-$B39,TODAY()-$B39))</f>
        <v/>
      </c>
      <c r="X39" s="19">
        <f>IF(OR($B39="",$U39=""),"",IF($V39&lt;&gt;"",MAX(0,$V39-$U39),MAX(0,TODAY()-$U39)))</f>
        <v/>
      </c>
      <c r="Y39" s="39">
        <f>IF($C39="","",IF(IFERROR(INDEX(LISTAS!$I$3:$I$42,MATCH($T39,LISTAS!$H$3:$H$42,0)),"NO")="SÍ",IF(N($X39)&gt;0,"CERRADA FUERA DE SLA","CERRADA EN SLA"),IF($U39="","SIN CLASIFICAR",IF(N($X39)&gt;0,"VENCIDA",IF(TODAY()&gt;=$U39-1,"POR VENCER","EN PLAZO")))))</f>
        <v/>
      </c>
      <c r="Z39" s="41" t="n"/>
      <c r="AA39" s="41" t="n"/>
      <c r="AB39" s="41" t="n"/>
    </row>
    <row r="40">
      <c r="A40" s="39">
        <f>IF($C40="","","NOV-"&amp;TEXT(ROW()-3,"0000"))</f>
        <v/>
      </c>
      <c r="B40" s="40" t="n"/>
      <c r="C40" s="41" t="n"/>
      <c r="D40" s="42">
        <f>IF($C40="","",IFERROR(INDEX(DESPACHOS!$D$3:$D$3002,MATCH($C40,DESPACHOS!$B$3:$B$3002,0)),"SIN DESPACHO"))</f>
        <v/>
      </c>
      <c r="E40" s="42">
        <f>IF($C40="","",IFERROR(INDEX(DESPACHOS!$K$3:$K$3002,MATCH($C40,DESPACHOS!$B$3:$B$3002,0)),""))</f>
        <v/>
      </c>
      <c r="F40" s="42">
        <f>IF($C40="","",IFERROR(INDEX(DESPACHOS!$I$3:$I$3002,MATCH($C40,DESPACHOS!$B$3:$B$3002,0)),""))</f>
        <v/>
      </c>
      <c r="G40" s="42">
        <f>IF($C40="","",IFERROR(INDEX(DESPACHOS!$F$3:$F$3002,MATCH($C40,DESPACHOS!$B$3:$B$3002,0)),""))</f>
        <v/>
      </c>
      <c r="H40" s="42">
        <f>IF($C40="","",IFERROR(INDEX(DESPACHOS!$G$3:$G$3002,MATCH($C40,DESPACHOS!$B$3:$B$3002,0)),""))</f>
        <v/>
      </c>
      <c r="I40" s="39">
        <f>IF($C40="","",IFERROR(INDEX(DESPACHOS!$H$3:$H$3002,MATCH($C40,DESPACHOS!$B$3:$B$3002,0)),""))</f>
        <v/>
      </c>
      <c r="J40" s="43">
        <f>IF($C40="","",IFERROR(INDEX(DESPACHOS!$J$3:$J$3002,MATCH($C40,DESPACHOS!$B$3:$B$3002,0)),""))</f>
        <v/>
      </c>
      <c r="K40" s="39">
        <f>IF($C40="","",IF(COUNTIFS(DESPACHOS!$B$3:$B$3002,$C40)=0,"NO EXISTE",IF(COUNTIFS(DESPACHOS!$B$3:$B$3002,$C40)&gt;1,"DUPLICADO","OK")))</f>
        <v/>
      </c>
      <c r="L40" s="41" t="n"/>
      <c r="M40" s="41" t="n"/>
      <c r="N40" s="42">
        <f>IF($M40="","",IFERROR(INDEX(LISTAS!$F$3:$F$42,MATCH($M40,LISTAS!$E$3:$E$42,0)),"Por definir"))</f>
        <v/>
      </c>
      <c r="O40" s="41" t="n"/>
      <c r="P40" s="39">
        <f>IF($L40="","",IFERROR(INDEX(LISTAS!$B$3:$B$42,MATCH($L40,LISTAS!$A$3:$A$42,0)),"Media"))</f>
        <v/>
      </c>
      <c r="Q40" s="44" t="n"/>
      <c r="R40" s="45" t="n"/>
      <c r="S40" s="20">
        <f>IFERROR(IF(OR($R40="",$C40=""),"",$R40/INDEX(DESPACHOS!$M$3:$M$3002,MATCH($C40,DESPACHOS!$B$3:$B$3002,0))),"")</f>
        <v/>
      </c>
      <c r="T40" s="41" t="n"/>
      <c r="U40" s="43">
        <f>IF(OR($B40="",$L40=""),"",WORKDAY($B40,IFERROR(INDEX(LISTAS!$C$3:$C$42,MATCH($L40,LISTAS!$A$3:$A$42,0)),3)))</f>
        <v/>
      </c>
      <c r="V40" s="40" t="n"/>
      <c r="W40" s="19">
        <f>IF($B40="","",IF($V40&lt;&gt;"",$V40-$B40,TODAY()-$B40))</f>
        <v/>
      </c>
      <c r="X40" s="19">
        <f>IF(OR($B40="",$U40=""),"",IF($V40&lt;&gt;"",MAX(0,$V40-$U40),MAX(0,TODAY()-$U40)))</f>
        <v/>
      </c>
      <c r="Y40" s="39">
        <f>IF($C40="","",IF(IFERROR(INDEX(LISTAS!$I$3:$I$42,MATCH($T40,LISTAS!$H$3:$H$42,0)),"NO")="SÍ",IF(N($X40)&gt;0,"CERRADA FUERA DE SLA","CERRADA EN SLA"),IF($U40="","SIN CLASIFICAR",IF(N($X40)&gt;0,"VENCIDA",IF(TODAY()&gt;=$U40-1,"POR VENCER","EN PLAZO")))))</f>
        <v/>
      </c>
      <c r="Z40" s="41" t="n"/>
      <c r="AA40" s="41" t="n"/>
      <c r="AB40" s="41" t="n"/>
    </row>
    <row r="41">
      <c r="A41" s="39">
        <f>IF($C41="","","NOV-"&amp;TEXT(ROW()-3,"0000"))</f>
        <v/>
      </c>
      <c r="B41" s="40" t="n"/>
      <c r="C41" s="41" t="n"/>
      <c r="D41" s="42">
        <f>IF($C41="","",IFERROR(INDEX(DESPACHOS!$D$3:$D$3002,MATCH($C41,DESPACHOS!$B$3:$B$3002,0)),"SIN DESPACHO"))</f>
        <v/>
      </c>
      <c r="E41" s="42">
        <f>IF($C41="","",IFERROR(INDEX(DESPACHOS!$K$3:$K$3002,MATCH($C41,DESPACHOS!$B$3:$B$3002,0)),""))</f>
        <v/>
      </c>
      <c r="F41" s="42">
        <f>IF($C41="","",IFERROR(INDEX(DESPACHOS!$I$3:$I$3002,MATCH($C41,DESPACHOS!$B$3:$B$3002,0)),""))</f>
        <v/>
      </c>
      <c r="G41" s="42">
        <f>IF($C41="","",IFERROR(INDEX(DESPACHOS!$F$3:$F$3002,MATCH($C41,DESPACHOS!$B$3:$B$3002,0)),""))</f>
        <v/>
      </c>
      <c r="H41" s="42">
        <f>IF($C41="","",IFERROR(INDEX(DESPACHOS!$G$3:$G$3002,MATCH($C41,DESPACHOS!$B$3:$B$3002,0)),""))</f>
        <v/>
      </c>
      <c r="I41" s="39">
        <f>IF($C41="","",IFERROR(INDEX(DESPACHOS!$H$3:$H$3002,MATCH($C41,DESPACHOS!$B$3:$B$3002,0)),""))</f>
        <v/>
      </c>
      <c r="J41" s="43">
        <f>IF($C41="","",IFERROR(INDEX(DESPACHOS!$J$3:$J$3002,MATCH($C41,DESPACHOS!$B$3:$B$3002,0)),""))</f>
        <v/>
      </c>
      <c r="K41" s="39">
        <f>IF($C41="","",IF(COUNTIFS(DESPACHOS!$B$3:$B$3002,$C41)=0,"NO EXISTE",IF(COUNTIFS(DESPACHOS!$B$3:$B$3002,$C41)&gt;1,"DUPLICADO","OK")))</f>
        <v/>
      </c>
      <c r="L41" s="41" t="n"/>
      <c r="M41" s="41" t="n"/>
      <c r="N41" s="42">
        <f>IF($M41="","",IFERROR(INDEX(LISTAS!$F$3:$F$42,MATCH($M41,LISTAS!$E$3:$E$42,0)),"Por definir"))</f>
        <v/>
      </c>
      <c r="O41" s="41" t="n"/>
      <c r="P41" s="39">
        <f>IF($L41="","",IFERROR(INDEX(LISTAS!$B$3:$B$42,MATCH($L41,LISTAS!$A$3:$A$42,0)),"Media"))</f>
        <v/>
      </c>
      <c r="Q41" s="44" t="n"/>
      <c r="R41" s="45" t="n"/>
      <c r="S41" s="20">
        <f>IFERROR(IF(OR($R41="",$C41=""),"",$R41/INDEX(DESPACHOS!$M$3:$M$3002,MATCH($C41,DESPACHOS!$B$3:$B$3002,0))),"")</f>
        <v/>
      </c>
      <c r="T41" s="41" t="n"/>
      <c r="U41" s="43">
        <f>IF(OR($B41="",$L41=""),"",WORKDAY($B41,IFERROR(INDEX(LISTAS!$C$3:$C$42,MATCH($L41,LISTAS!$A$3:$A$42,0)),3)))</f>
        <v/>
      </c>
      <c r="V41" s="40" t="n"/>
      <c r="W41" s="19">
        <f>IF($B41="","",IF($V41&lt;&gt;"",$V41-$B41,TODAY()-$B41))</f>
        <v/>
      </c>
      <c r="X41" s="19">
        <f>IF(OR($B41="",$U41=""),"",IF($V41&lt;&gt;"",MAX(0,$V41-$U41),MAX(0,TODAY()-$U41)))</f>
        <v/>
      </c>
      <c r="Y41" s="39">
        <f>IF($C41="","",IF(IFERROR(INDEX(LISTAS!$I$3:$I$42,MATCH($T41,LISTAS!$H$3:$H$42,0)),"NO")="SÍ",IF(N($X41)&gt;0,"CERRADA FUERA DE SLA","CERRADA EN SLA"),IF($U41="","SIN CLASIFICAR",IF(N($X41)&gt;0,"VENCIDA",IF(TODAY()&gt;=$U41-1,"POR VENCER","EN PLAZO")))))</f>
        <v/>
      </c>
      <c r="Z41" s="41" t="n"/>
      <c r="AA41" s="41" t="n"/>
      <c r="AB41" s="41" t="n"/>
    </row>
    <row r="42">
      <c r="A42" s="39">
        <f>IF($C42="","","NOV-"&amp;TEXT(ROW()-3,"0000"))</f>
        <v/>
      </c>
      <c r="B42" s="40" t="n"/>
      <c r="C42" s="41" t="n"/>
      <c r="D42" s="42">
        <f>IF($C42="","",IFERROR(INDEX(DESPACHOS!$D$3:$D$3002,MATCH($C42,DESPACHOS!$B$3:$B$3002,0)),"SIN DESPACHO"))</f>
        <v/>
      </c>
      <c r="E42" s="42">
        <f>IF($C42="","",IFERROR(INDEX(DESPACHOS!$K$3:$K$3002,MATCH($C42,DESPACHOS!$B$3:$B$3002,0)),""))</f>
        <v/>
      </c>
      <c r="F42" s="42">
        <f>IF($C42="","",IFERROR(INDEX(DESPACHOS!$I$3:$I$3002,MATCH($C42,DESPACHOS!$B$3:$B$3002,0)),""))</f>
        <v/>
      </c>
      <c r="G42" s="42">
        <f>IF($C42="","",IFERROR(INDEX(DESPACHOS!$F$3:$F$3002,MATCH($C42,DESPACHOS!$B$3:$B$3002,0)),""))</f>
        <v/>
      </c>
      <c r="H42" s="42">
        <f>IF($C42="","",IFERROR(INDEX(DESPACHOS!$G$3:$G$3002,MATCH($C42,DESPACHOS!$B$3:$B$3002,0)),""))</f>
        <v/>
      </c>
      <c r="I42" s="39">
        <f>IF($C42="","",IFERROR(INDEX(DESPACHOS!$H$3:$H$3002,MATCH($C42,DESPACHOS!$B$3:$B$3002,0)),""))</f>
        <v/>
      </c>
      <c r="J42" s="43">
        <f>IF($C42="","",IFERROR(INDEX(DESPACHOS!$J$3:$J$3002,MATCH($C42,DESPACHOS!$B$3:$B$3002,0)),""))</f>
        <v/>
      </c>
      <c r="K42" s="39">
        <f>IF($C42="","",IF(COUNTIFS(DESPACHOS!$B$3:$B$3002,$C42)=0,"NO EXISTE",IF(COUNTIFS(DESPACHOS!$B$3:$B$3002,$C42)&gt;1,"DUPLICADO","OK")))</f>
        <v/>
      </c>
      <c r="L42" s="41" t="n"/>
      <c r="M42" s="41" t="n"/>
      <c r="N42" s="42">
        <f>IF($M42="","",IFERROR(INDEX(LISTAS!$F$3:$F$42,MATCH($M42,LISTAS!$E$3:$E$42,0)),"Por definir"))</f>
        <v/>
      </c>
      <c r="O42" s="41" t="n"/>
      <c r="P42" s="39">
        <f>IF($L42="","",IFERROR(INDEX(LISTAS!$B$3:$B$42,MATCH($L42,LISTAS!$A$3:$A$42,0)),"Media"))</f>
        <v/>
      </c>
      <c r="Q42" s="44" t="n"/>
      <c r="R42" s="45" t="n"/>
      <c r="S42" s="20">
        <f>IFERROR(IF(OR($R42="",$C42=""),"",$R42/INDEX(DESPACHOS!$M$3:$M$3002,MATCH($C42,DESPACHOS!$B$3:$B$3002,0))),"")</f>
        <v/>
      </c>
      <c r="T42" s="41" t="n"/>
      <c r="U42" s="43">
        <f>IF(OR($B42="",$L42=""),"",WORKDAY($B42,IFERROR(INDEX(LISTAS!$C$3:$C$42,MATCH($L42,LISTAS!$A$3:$A$42,0)),3)))</f>
        <v/>
      </c>
      <c r="V42" s="40" t="n"/>
      <c r="W42" s="19">
        <f>IF($B42="","",IF($V42&lt;&gt;"",$V42-$B42,TODAY()-$B42))</f>
        <v/>
      </c>
      <c r="X42" s="19">
        <f>IF(OR($B42="",$U42=""),"",IF($V42&lt;&gt;"",MAX(0,$V42-$U42),MAX(0,TODAY()-$U42)))</f>
        <v/>
      </c>
      <c r="Y42" s="39">
        <f>IF($C42="","",IF(IFERROR(INDEX(LISTAS!$I$3:$I$42,MATCH($T42,LISTAS!$H$3:$H$42,0)),"NO")="SÍ",IF(N($X42)&gt;0,"CERRADA FUERA DE SLA","CERRADA EN SLA"),IF($U42="","SIN CLASIFICAR",IF(N($X42)&gt;0,"VENCIDA",IF(TODAY()&gt;=$U42-1,"POR VENCER","EN PLAZO")))))</f>
        <v/>
      </c>
      <c r="Z42" s="41" t="n"/>
      <c r="AA42" s="41" t="n"/>
      <c r="AB42" s="41" t="n"/>
    </row>
    <row r="43">
      <c r="A43" s="39">
        <f>IF($C43="","","NOV-"&amp;TEXT(ROW()-3,"0000"))</f>
        <v/>
      </c>
      <c r="B43" s="40" t="n"/>
      <c r="C43" s="41" t="n"/>
      <c r="D43" s="42">
        <f>IF($C43="","",IFERROR(INDEX(DESPACHOS!$D$3:$D$3002,MATCH($C43,DESPACHOS!$B$3:$B$3002,0)),"SIN DESPACHO"))</f>
        <v/>
      </c>
      <c r="E43" s="42">
        <f>IF($C43="","",IFERROR(INDEX(DESPACHOS!$K$3:$K$3002,MATCH($C43,DESPACHOS!$B$3:$B$3002,0)),""))</f>
        <v/>
      </c>
      <c r="F43" s="42">
        <f>IF($C43="","",IFERROR(INDEX(DESPACHOS!$I$3:$I$3002,MATCH($C43,DESPACHOS!$B$3:$B$3002,0)),""))</f>
        <v/>
      </c>
      <c r="G43" s="42">
        <f>IF($C43="","",IFERROR(INDEX(DESPACHOS!$F$3:$F$3002,MATCH($C43,DESPACHOS!$B$3:$B$3002,0)),""))</f>
        <v/>
      </c>
      <c r="H43" s="42">
        <f>IF($C43="","",IFERROR(INDEX(DESPACHOS!$G$3:$G$3002,MATCH($C43,DESPACHOS!$B$3:$B$3002,0)),""))</f>
        <v/>
      </c>
      <c r="I43" s="39">
        <f>IF($C43="","",IFERROR(INDEX(DESPACHOS!$H$3:$H$3002,MATCH($C43,DESPACHOS!$B$3:$B$3002,0)),""))</f>
        <v/>
      </c>
      <c r="J43" s="43">
        <f>IF($C43="","",IFERROR(INDEX(DESPACHOS!$J$3:$J$3002,MATCH($C43,DESPACHOS!$B$3:$B$3002,0)),""))</f>
        <v/>
      </c>
      <c r="K43" s="39">
        <f>IF($C43="","",IF(COUNTIFS(DESPACHOS!$B$3:$B$3002,$C43)=0,"NO EXISTE",IF(COUNTIFS(DESPACHOS!$B$3:$B$3002,$C43)&gt;1,"DUPLICADO","OK")))</f>
        <v/>
      </c>
      <c r="L43" s="41" t="n"/>
      <c r="M43" s="41" t="n"/>
      <c r="N43" s="42">
        <f>IF($M43="","",IFERROR(INDEX(LISTAS!$F$3:$F$42,MATCH($M43,LISTAS!$E$3:$E$42,0)),"Por definir"))</f>
        <v/>
      </c>
      <c r="O43" s="41" t="n"/>
      <c r="P43" s="39">
        <f>IF($L43="","",IFERROR(INDEX(LISTAS!$B$3:$B$42,MATCH($L43,LISTAS!$A$3:$A$42,0)),"Media"))</f>
        <v/>
      </c>
      <c r="Q43" s="44" t="n"/>
      <c r="R43" s="45" t="n"/>
      <c r="S43" s="20">
        <f>IFERROR(IF(OR($R43="",$C43=""),"",$R43/INDEX(DESPACHOS!$M$3:$M$3002,MATCH($C43,DESPACHOS!$B$3:$B$3002,0))),"")</f>
        <v/>
      </c>
      <c r="T43" s="41" t="n"/>
      <c r="U43" s="43">
        <f>IF(OR($B43="",$L43=""),"",WORKDAY($B43,IFERROR(INDEX(LISTAS!$C$3:$C$42,MATCH($L43,LISTAS!$A$3:$A$42,0)),3)))</f>
        <v/>
      </c>
      <c r="V43" s="40" t="n"/>
      <c r="W43" s="19">
        <f>IF($B43="","",IF($V43&lt;&gt;"",$V43-$B43,TODAY()-$B43))</f>
        <v/>
      </c>
      <c r="X43" s="19">
        <f>IF(OR($B43="",$U43=""),"",IF($V43&lt;&gt;"",MAX(0,$V43-$U43),MAX(0,TODAY()-$U43)))</f>
        <v/>
      </c>
      <c r="Y43" s="39">
        <f>IF($C43="","",IF(IFERROR(INDEX(LISTAS!$I$3:$I$42,MATCH($T43,LISTAS!$H$3:$H$42,0)),"NO")="SÍ",IF(N($X43)&gt;0,"CERRADA FUERA DE SLA","CERRADA EN SLA"),IF($U43="","SIN CLASIFICAR",IF(N($X43)&gt;0,"VENCIDA",IF(TODAY()&gt;=$U43-1,"POR VENCER","EN PLAZO")))))</f>
        <v/>
      </c>
      <c r="Z43" s="41" t="n"/>
      <c r="AA43" s="41" t="n"/>
      <c r="AB43" s="41" t="n"/>
    </row>
    <row r="44">
      <c r="A44" s="39">
        <f>IF($C44="","","NOV-"&amp;TEXT(ROW()-3,"0000"))</f>
        <v/>
      </c>
      <c r="B44" s="40" t="n"/>
      <c r="C44" s="41" t="n"/>
      <c r="D44" s="42">
        <f>IF($C44="","",IFERROR(INDEX(DESPACHOS!$D$3:$D$3002,MATCH($C44,DESPACHOS!$B$3:$B$3002,0)),"SIN DESPACHO"))</f>
        <v/>
      </c>
      <c r="E44" s="42">
        <f>IF($C44="","",IFERROR(INDEX(DESPACHOS!$K$3:$K$3002,MATCH($C44,DESPACHOS!$B$3:$B$3002,0)),""))</f>
        <v/>
      </c>
      <c r="F44" s="42">
        <f>IF($C44="","",IFERROR(INDEX(DESPACHOS!$I$3:$I$3002,MATCH($C44,DESPACHOS!$B$3:$B$3002,0)),""))</f>
        <v/>
      </c>
      <c r="G44" s="42">
        <f>IF($C44="","",IFERROR(INDEX(DESPACHOS!$F$3:$F$3002,MATCH($C44,DESPACHOS!$B$3:$B$3002,0)),""))</f>
        <v/>
      </c>
      <c r="H44" s="42">
        <f>IF($C44="","",IFERROR(INDEX(DESPACHOS!$G$3:$G$3002,MATCH($C44,DESPACHOS!$B$3:$B$3002,0)),""))</f>
        <v/>
      </c>
      <c r="I44" s="39">
        <f>IF($C44="","",IFERROR(INDEX(DESPACHOS!$H$3:$H$3002,MATCH($C44,DESPACHOS!$B$3:$B$3002,0)),""))</f>
        <v/>
      </c>
      <c r="J44" s="43">
        <f>IF($C44="","",IFERROR(INDEX(DESPACHOS!$J$3:$J$3002,MATCH($C44,DESPACHOS!$B$3:$B$3002,0)),""))</f>
        <v/>
      </c>
      <c r="K44" s="39">
        <f>IF($C44="","",IF(COUNTIFS(DESPACHOS!$B$3:$B$3002,$C44)=0,"NO EXISTE",IF(COUNTIFS(DESPACHOS!$B$3:$B$3002,$C44)&gt;1,"DUPLICADO","OK")))</f>
        <v/>
      </c>
      <c r="L44" s="41" t="n"/>
      <c r="M44" s="41" t="n"/>
      <c r="N44" s="42">
        <f>IF($M44="","",IFERROR(INDEX(LISTAS!$F$3:$F$42,MATCH($M44,LISTAS!$E$3:$E$42,0)),"Por definir"))</f>
        <v/>
      </c>
      <c r="O44" s="41" t="n"/>
      <c r="P44" s="39">
        <f>IF($L44="","",IFERROR(INDEX(LISTAS!$B$3:$B$42,MATCH($L44,LISTAS!$A$3:$A$42,0)),"Media"))</f>
        <v/>
      </c>
      <c r="Q44" s="44" t="n"/>
      <c r="R44" s="45" t="n"/>
      <c r="S44" s="20">
        <f>IFERROR(IF(OR($R44="",$C44=""),"",$R44/INDEX(DESPACHOS!$M$3:$M$3002,MATCH($C44,DESPACHOS!$B$3:$B$3002,0))),"")</f>
        <v/>
      </c>
      <c r="T44" s="41" t="n"/>
      <c r="U44" s="43">
        <f>IF(OR($B44="",$L44=""),"",WORKDAY($B44,IFERROR(INDEX(LISTAS!$C$3:$C$42,MATCH($L44,LISTAS!$A$3:$A$42,0)),3)))</f>
        <v/>
      </c>
      <c r="V44" s="40" t="n"/>
      <c r="W44" s="19">
        <f>IF($B44="","",IF($V44&lt;&gt;"",$V44-$B44,TODAY()-$B44))</f>
        <v/>
      </c>
      <c r="X44" s="19">
        <f>IF(OR($B44="",$U44=""),"",IF($V44&lt;&gt;"",MAX(0,$V44-$U44),MAX(0,TODAY()-$U44)))</f>
        <v/>
      </c>
      <c r="Y44" s="39">
        <f>IF($C44="","",IF(IFERROR(INDEX(LISTAS!$I$3:$I$42,MATCH($T44,LISTAS!$H$3:$H$42,0)),"NO")="SÍ",IF(N($X44)&gt;0,"CERRADA FUERA DE SLA","CERRADA EN SLA"),IF($U44="","SIN CLASIFICAR",IF(N($X44)&gt;0,"VENCIDA",IF(TODAY()&gt;=$U44-1,"POR VENCER","EN PLAZO")))))</f>
        <v/>
      </c>
      <c r="Z44" s="41" t="n"/>
      <c r="AA44" s="41" t="n"/>
      <c r="AB44" s="41" t="n"/>
    </row>
    <row r="45">
      <c r="A45" s="39">
        <f>IF($C45="","","NOV-"&amp;TEXT(ROW()-3,"0000"))</f>
        <v/>
      </c>
      <c r="B45" s="40" t="n"/>
      <c r="C45" s="41" t="n"/>
      <c r="D45" s="42">
        <f>IF($C45="","",IFERROR(INDEX(DESPACHOS!$D$3:$D$3002,MATCH($C45,DESPACHOS!$B$3:$B$3002,0)),"SIN DESPACHO"))</f>
        <v/>
      </c>
      <c r="E45" s="42">
        <f>IF($C45="","",IFERROR(INDEX(DESPACHOS!$K$3:$K$3002,MATCH($C45,DESPACHOS!$B$3:$B$3002,0)),""))</f>
        <v/>
      </c>
      <c r="F45" s="42">
        <f>IF($C45="","",IFERROR(INDEX(DESPACHOS!$I$3:$I$3002,MATCH($C45,DESPACHOS!$B$3:$B$3002,0)),""))</f>
        <v/>
      </c>
      <c r="G45" s="42">
        <f>IF($C45="","",IFERROR(INDEX(DESPACHOS!$F$3:$F$3002,MATCH($C45,DESPACHOS!$B$3:$B$3002,0)),""))</f>
        <v/>
      </c>
      <c r="H45" s="42">
        <f>IF($C45="","",IFERROR(INDEX(DESPACHOS!$G$3:$G$3002,MATCH($C45,DESPACHOS!$B$3:$B$3002,0)),""))</f>
        <v/>
      </c>
      <c r="I45" s="39">
        <f>IF($C45="","",IFERROR(INDEX(DESPACHOS!$H$3:$H$3002,MATCH($C45,DESPACHOS!$B$3:$B$3002,0)),""))</f>
        <v/>
      </c>
      <c r="J45" s="43">
        <f>IF($C45="","",IFERROR(INDEX(DESPACHOS!$J$3:$J$3002,MATCH($C45,DESPACHOS!$B$3:$B$3002,0)),""))</f>
        <v/>
      </c>
      <c r="K45" s="39">
        <f>IF($C45="","",IF(COUNTIFS(DESPACHOS!$B$3:$B$3002,$C45)=0,"NO EXISTE",IF(COUNTIFS(DESPACHOS!$B$3:$B$3002,$C45)&gt;1,"DUPLICADO","OK")))</f>
        <v/>
      </c>
      <c r="L45" s="41" t="n"/>
      <c r="M45" s="41" t="n"/>
      <c r="N45" s="42">
        <f>IF($M45="","",IFERROR(INDEX(LISTAS!$F$3:$F$42,MATCH($M45,LISTAS!$E$3:$E$42,0)),"Por definir"))</f>
        <v/>
      </c>
      <c r="O45" s="41" t="n"/>
      <c r="P45" s="39">
        <f>IF($L45="","",IFERROR(INDEX(LISTAS!$B$3:$B$42,MATCH($L45,LISTAS!$A$3:$A$42,0)),"Media"))</f>
        <v/>
      </c>
      <c r="Q45" s="44" t="n"/>
      <c r="R45" s="45" t="n"/>
      <c r="S45" s="20">
        <f>IFERROR(IF(OR($R45="",$C45=""),"",$R45/INDEX(DESPACHOS!$M$3:$M$3002,MATCH($C45,DESPACHOS!$B$3:$B$3002,0))),"")</f>
        <v/>
      </c>
      <c r="T45" s="41" t="n"/>
      <c r="U45" s="43">
        <f>IF(OR($B45="",$L45=""),"",WORKDAY($B45,IFERROR(INDEX(LISTAS!$C$3:$C$42,MATCH($L45,LISTAS!$A$3:$A$42,0)),3)))</f>
        <v/>
      </c>
      <c r="V45" s="40" t="n"/>
      <c r="W45" s="19">
        <f>IF($B45="","",IF($V45&lt;&gt;"",$V45-$B45,TODAY()-$B45))</f>
        <v/>
      </c>
      <c r="X45" s="19">
        <f>IF(OR($B45="",$U45=""),"",IF($V45&lt;&gt;"",MAX(0,$V45-$U45),MAX(0,TODAY()-$U45)))</f>
        <v/>
      </c>
      <c r="Y45" s="39">
        <f>IF($C45="","",IF(IFERROR(INDEX(LISTAS!$I$3:$I$42,MATCH($T45,LISTAS!$H$3:$H$42,0)),"NO")="SÍ",IF(N($X45)&gt;0,"CERRADA FUERA DE SLA","CERRADA EN SLA"),IF($U45="","SIN CLASIFICAR",IF(N($X45)&gt;0,"VENCIDA",IF(TODAY()&gt;=$U45-1,"POR VENCER","EN PLAZO")))))</f>
        <v/>
      </c>
      <c r="Z45" s="41" t="n"/>
      <c r="AA45" s="41" t="n"/>
      <c r="AB45" s="41" t="n"/>
    </row>
    <row r="46">
      <c r="A46" s="39">
        <f>IF($C46="","","NOV-"&amp;TEXT(ROW()-3,"0000"))</f>
        <v/>
      </c>
      <c r="B46" s="40" t="n"/>
      <c r="C46" s="41" t="n"/>
      <c r="D46" s="42">
        <f>IF($C46="","",IFERROR(INDEX(DESPACHOS!$D$3:$D$3002,MATCH($C46,DESPACHOS!$B$3:$B$3002,0)),"SIN DESPACHO"))</f>
        <v/>
      </c>
      <c r="E46" s="42">
        <f>IF($C46="","",IFERROR(INDEX(DESPACHOS!$K$3:$K$3002,MATCH($C46,DESPACHOS!$B$3:$B$3002,0)),""))</f>
        <v/>
      </c>
      <c r="F46" s="42">
        <f>IF($C46="","",IFERROR(INDEX(DESPACHOS!$I$3:$I$3002,MATCH($C46,DESPACHOS!$B$3:$B$3002,0)),""))</f>
        <v/>
      </c>
      <c r="G46" s="42">
        <f>IF($C46="","",IFERROR(INDEX(DESPACHOS!$F$3:$F$3002,MATCH($C46,DESPACHOS!$B$3:$B$3002,0)),""))</f>
        <v/>
      </c>
      <c r="H46" s="42">
        <f>IF($C46="","",IFERROR(INDEX(DESPACHOS!$G$3:$G$3002,MATCH($C46,DESPACHOS!$B$3:$B$3002,0)),""))</f>
        <v/>
      </c>
      <c r="I46" s="39">
        <f>IF($C46="","",IFERROR(INDEX(DESPACHOS!$H$3:$H$3002,MATCH($C46,DESPACHOS!$B$3:$B$3002,0)),""))</f>
        <v/>
      </c>
      <c r="J46" s="43">
        <f>IF($C46="","",IFERROR(INDEX(DESPACHOS!$J$3:$J$3002,MATCH($C46,DESPACHOS!$B$3:$B$3002,0)),""))</f>
        <v/>
      </c>
      <c r="K46" s="39">
        <f>IF($C46="","",IF(COUNTIFS(DESPACHOS!$B$3:$B$3002,$C46)=0,"NO EXISTE",IF(COUNTIFS(DESPACHOS!$B$3:$B$3002,$C46)&gt;1,"DUPLICADO","OK")))</f>
        <v/>
      </c>
      <c r="L46" s="41" t="n"/>
      <c r="M46" s="41" t="n"/>
      <c r="N46" s="42">
        <f>IF($M46="","",IFERROR(INDEX(LISTAS!$F$3:$F$42,MATCH($M46,LISTAS!$E$3:$E$42,0)),"Por definir"))</f>
        <v/>
      </c>
      <c r="O46" s="41" t="n"/>
      <c r="P46" s="39">
        <f>IF($L46="","",IFERROR(INDEX(LISTAS!$B$3:$B$42,MATCH($L46,LISTAS!$A$3:$A$42,0)),"Media"))</f>
        <v/>
      </c>
      <c r="Q46" s="44" t="n"/>
      <c r="R46" s="45" t="n"/>
      <c r="S46" s="20">
        <f>IFERROR(IF(OR($R46="",$C46=""),"",$R46/INDEX(DESPACHOS!$M$3:$M$3002,MATCH($C46,DESPACHOS!$B$3:$B$3002,0))),"")</f>
        <v/>
      </c>
      <c r="T46" s="41" t="n"/>
      <c r="U46" s="43">
        <f>IF(OR($B46="",$L46=""),"",WORKDAY($B46,IFERROR(INDEX(LISTAS!$C$3:$C$42,MATCH($L46,LISTAS!$A$3:$A$42,0)),3)))</f>
        <v/>
      </c>
      <c r="V46" s="40" t="n"/>
      <c r="W46" s="19">
        <f>IF($B46="","",IF($V46&lt;&gt;"",$V46-$B46,TODAY()-$B46))</f>
        <v/>
      </c>
      <c r="X46" s="19">
        <f>IF(OR($B46="",$U46=""),"",IF($V46&lt;&gt;"",MAX(0,$V46-$U46),MAX(0,TODAY()-$U46)))</f>
        <v/>
      </c>
      <c r="Y46" s="39">
        <f>IF($C46="","",IF(IFERROR(INDEX(LISTAS!$I$3:$I$42,MATCH($T46,LISTAS!$H$3:$H$42,0)),"NO")="SÍ",IF(N($X46)&gt;0,"CERRADA FUERA DE SLA","CERRADA EN SLA"),IF($U46="","SIN CLASIFICAR",IF(N($X46)&gt;0,"VENCIDA",IF(TODAY()&gt;=$U46-1,"POR VENCER","EN PLAZO")))))</f>
        <v/>
      </c>
      <c r="Z46" s="41" t="n"/>
      <c r="AA46" s="41" t="n"/>
      <c r="AB46" s="41" t="n"/>
    </row>
    <row r="47">
      <c r="A47" s="39">
        <f>IF($C47="","","NOV-"&amp;TEXT(ROW()-3,"0000"))</f>
        <v/>
      </c>
      <c r="B47" s="40" t="n"/>
      <c r="C47" s="41" t="n"/>
      <c r="D47" s="42">
        <f>IF($C47="","",IFERROR(INDEX(DESPACHOS!$D$3:$D$3002,MATCH($C47,DESPACHOS!$B$3:$B$3002,0)),"SIN DESPACHO"))</f>
        <v/>
      </c>
      <c r="E47" s="42">
        <f>IF($C47="","",IFERROR(INDEX(DESPACHOS!$K$3:$K$3002,MATCH($C47,DESPACHOS!$B$3:$B$3002,0)),""))</f>
        <v/>
      </c>
      <c r="F47" s="42">
        <f>IF($C47="","",IFERROR(INDEX(DESPACHOS!$I$3:$I$3002,MATCH($C47,DESPACHOS!$B$3:$B$3002,0)),""))</f>
        <v/>
      </c>
      <c r="G47" s="42">
        <f>IF($C47="","",IFERROR(INDEX(DESPACHOS!$F$3:$F$3002,MATCH($C47,DESPACHOS!$B$3:$B$3002,0)),""))</f>
        <v/>
      </c>
      <c r="H47" s="42">
        <f>IF($C47="","",IFERROR(INDEX(DESPACHOS!$G$3:$G$3002,MATCH($C47,DESPACHOS!$B$3:$B$3002,0)),""))</f>
        <v/>
      </c>
      <c r="I47" s="39">
        <f>IF($C47="","",IFERROR(INDEX(DESPACHOS!$H$3:$H$3002,MATCH($C47,DESPACHOS!$B$3:$B$3002,0)),""))</f>
        <v/>
      </c>
      <c r="J47" s="43">
        <f>IF($C47="","",IFERROR(INDEX(DESPACHOS!$J$3:$J$3002,MATCH($C47,DESPACHOS!$B$3:$B$3002,0)),""))</f>
        <v/>
      </c>
      <c r="K47" s="39">
        <f>IF($C47="","",IF(COUNTIFS(DESPACHOS!$B$3:$B$3002,$C47)=0,"NO EXISTE",IF(COUNTIFS(DESPACHOS!$B$3:$B$3002,$C47)&gt;1,"DUPLICADO","OK")))</f>
        <v/>
      </c>
      <c r="L47" s="41" t="n"/>
      <c r="M47" s="41" t="n"/>
      <c r="N47" s="42">
        <f>IF($M47="","",IFERROR(INDEX(LISTAS!$F$3:$F$42,MATCH($M47,LISTAS!$E$3:$E$42,0)),"Por definir"))</f>
        <v/>
      </c>
      <c r="O47" s="41" t="n"/>
      <c r="P47" s="39">
        <f>IF($L47="","",IFERROR(INDEX(LISTAS!$B$3:$B$42,MATCH($L47,LISTAS!$A$3:$A$42,0)),"Media"))</f>
        <v/>
      </c>
      <c r="Q47" s="44" t="n"/>
      <c r="R47" s="45" t="n"/>
      <c r="S47" s="20">
        <f>IFERROR(IF(OR($R47="",$C47=""),"",$R47/INDEX(DESPACHOS!$M$3:$M$3002,MATCH($C47,DESPACHOS!$B$3:$B$3002,0))),"")</f>
        <v/>
      </c>
      <c r="T47" s="41" t="n"/>
      <c r="U47" s="43">
        <f>IF(OR($B47="",$L47=""),"",WORKDAY($B47,IFERROR(INDEX(LISTAS!$C$3:$C$42,MATCH($L47,LISTAS!$A$3:$A$42,0)),3)))</f>
        <v/>
      </c>
      <c r="V47" s="40" t="n"/>
      <c r="W47" s="19">
        <f>IF($B47="","",IF($V47&lt;&gt;"",$V47-$B47,TODAY()-$B47))</f>
        <v/>
      </c>
      <c r="X47" s="19">
        <f>IF(OR($B47="",$U47=""),"",IF($V47&lt;&gt;"",MAX(0,$V47-$U47),MAX(0,TODAY()-$U47)))</f>
        <v/>
      </c>
      <c r="Y47" s="39">
        <f>IF($C47="","",IF(IFERROR(INDEX(LISTAS!$I$3:$I$42,MATCH($T47,LISTAS!$H$3:$H$42,0)),"NO")="SÍ",IF(N($X47)&gt;0,"CERRADA FUERA DE SLA","CERRADA EN SLA"),IF($U47="","SIN CLASIFICAR",IF(N($X47)&gt;0,"VENCIDA",IF(TODAY()&gt;=$U47-1,"POR VENCER","EN PLAZO")))))</f>
        <v/>
      </c>
      <c r="Z47" s="41" t="n"/>
      <c r="AA47" s="41" t="n"/>
      <c r="AB47" s="41" t="n"/>
    </row>
    <row r="48">
      <c r="A48" s="39">
        <f>IF($C48="","","NOV-"&amp;TEXT(ROW()-3,"0000"))</f>
        <v/>
      </c>
      <c r="B48" s="40" t="n"/>
      <c r="C48" s="41" t="n"/>
      <c r="D48" s="42">
        <f>IF($C48="","",IFERROR(INDEX(DESPACHOS!$D$3:$D$3002,MATCH($C48,DESPACHOS!$B$3:$B$3002,0)),"SIN DESPACHO"))</f>
        <v/>
      </c>
      <c r="E48" s="42">
        <f>IF($C48="","",IFERROR(INDEX(DESPACHOS!$K$3:$K$3002,MATCH($C48,DESPACHOS!$B$3:$B$3002,0)),""))</f>
        <v/>
      </c>
      <c r="F48" s="42">
        <f>IF($C48="","",IFERROR(INDEX(DESPACHOS!$I$3:$I$3002,MATCH($C48,DESPACHOS!$B$3:$B$3002,0)),""))</f>
        <v/>
      </c>
      <c r="G48" s="42">
        <f>IF($C48="","",IFERROR(INDEX(DESPACHOS!$F$3:$F$3002,MATCH($C48,DESPACHOS!$B$3:$B$3002,0)),""))</f>
        <v/>
      </c>
      <c r="H48" s="42">
        <f>IF($C48="","",IFERROR(INDEX(DESPACHOS!$G$3:$G$3002,MATCH($C48,DESPACHOS!$B$3:$B$3002,0)),""))</f>
        <v/>
      </c>
      <c r="I48" s="39">
        <f>IF($C48="","",IFERROR(INDEX(DESPACHOS!$H$3:$H$3002,MATCH($C48,DESPACHOS!$B$3:$B$3002,0)),""))</f>
        <v/>
      </c>
      <c r="J48" s="43">
        <f>IF($C48="","",IFERROR(INDEX(DESPACHOS!$J$3:$J$3002,MATCH($C48,DESPACHOS!$B$3:$B$3002,0)),""))</f>
        <v/>
      </c>
      <c r="K48" s="39">
        <f>IF($C48="","",IF(COUNTIFS(DESPACHOS!$B$3:$B$3002,$C48)=0,"NO EXISTE",IF(COUNTIFS(DESPACHOS!$B$3:$B$3002,$C48)&gt;1,"DUPLICADO","OK")))</f>
        <v/>
      </c>
      <c r="L48" s="41" t="n"/>
      <c r="M48" s="41" t="n"/>
      <c r="N48" s="42">
        <f>IF($M48="","",IFERROR(INDEX(LISTAS!$F$3:$F$42,MATCH($M48,LISTAS!$E$3:$E$42,0)),"Por definir"))</f>
        <v/>
      </c>
      <c r="O48" s="41" t="n"/>
      <c r="P48" s="39">
        <f>IF($L48="","",IFERROR(INDEX(LISTAS!$B$3:$B$42,MATCH($L48,LISTAS!$A$3:$A$42,0)),"Media"))</f>
        <v/>
      </c>
      <c r="Q48" s="44" t="n"/>
      <c r="R48" s="45" t="n"/>
      <c r="S48" s="20">
        <f>IFERROR(IF(OR($R48="",$C48=""),"",$R48/INDEX(DESPACHOS!$M$3:$M$3002,MATCH($C48,DESPACHOS!$B$3:$B$3002,0))),"")</f>
        <v/>
      </c>
      <c r="T48" s="41" t="n"/>
      <c r="U48" s="43">
        <f>IF(OR($B48="",$L48=""),"",WORKDAY($B48,IFERROR(INDEX(LISTAS!$C$3:$C$42,MATCH($L48,LISTAS!$A$3:$A$42,0)),3)))</f>
        <v/>
      </c>
      <c r="V48" s="40" t="n"/>
      <c r="W48" s="19">
        <f>IF($B48="","",IF($V48&lt;&gt;"",$V48-$B48,TODAY()-$B48))</f>
        <v/>
      </c>
      <c r="X48" s="19">
        <f>IF(OR($B48="",$U48=""),"",IF($V48&lt;&gt;"",MAX(0,$V48-$U48),MAX(0,TODAY()-$U48)))</f>
        <v/>
      </c>
      <c r="Y48" s="39">
        <f>IF($C48="","",IF(IFERROR(INDEX(LISTAS!$I$3:$I$42,MATCH($T48,LISTAS!$H$3:$H$42,0)),"NO")="SÍ",IF(N($X48)&gt;0,"CERRADA FUERA DE SLA","CERRADA EN SLA"),IF($U48="","SIN CLASIFICAR",IF(N($X48)&gt;0,"VENCIDA",IF(TODAY()&gt;=$U48-1,"POR VENCER","EN PLAZO")))))</f>
        <v/>
      </c>
      <c r="Z48" s="41" t="n"/>
      <c r="AA48" s="41" t="n"/>
      <c r="AB48" s="41" t="n"/>
    </row>
    <row r="49">
      <c r="A49" s="39">
        <f>IF($C49="","","NOV-"&amp;TEXT(ROW()-3,"0000"))</f>
        <v/>
      </c>
      <c r="B49" s="40" t="n"/>
      <c r="C49" s="41" t="n"/>
      <c r="D49" s="42">
        <f>IF($C49="","",IFERROR(INDEX(DESPACHOS!$D$3:$D$3002,MATCH($C49,DESPACHOS!$B$3:$B$3002,0)),"SIN DESPACHO"))</f>
        <v/>
      </c>
      <c r="E49" s="42">
        <f>IF($C49="","",IFERROR(INDEX(DESPACHOS!$K$3:$K$3002,MATCH($C49,DESPACHOS!$B$3:$B$3002,0)),""))</f>
        <v/>
      </c>
      <c r="F49" s="42">
        <f>IF($C49="","",IFERROR(INDEX(DESPACHOS!$I$3:$I$3002,MATCH($C49,DESPACHOS!$B$3:$B$3002,0)),""))</f>
        <v/>
      </c>
      <c r="G49" s="42">
        <f>IF($C49="","",IFERROR(INDEX(DESPACHOS!$F$3:$F$3002,MATCH($C49,DESPACHOS!$B$3:$B$3002,0)),""))</f>
        <v/>
      </c>
      <c r="H49" s="42">
        <f>IF($C49="","",IFERROR(INDEX(DESPACHOS!$G$3:$G$3002,MATCH($C49,DESPACHOS!$B$3:$B$3002,0)),""))</f>
        <v/>
      </c>
      <c r="I49" s="39">
        <f>IF($C49="","",IFERROR(INDEX(DESPACHOS!$H$3:$H$3002,MATCH($C49,DESPACHOS!$B$3:$B$3002,0)),""))</f>
        <v/>
      </c>
      <c r="J49" s="43">
        <f>IF($C49="","",IFERROR(INDEX(DESPACHOS!$J$3:$J$3002,MATCH($C49,DESPACHOS!$B$3:$B$3002,0)),""))</f>
        <v/>
      </c>
      <c r="K49" s="39">
        <f>IF($C49="","",IF(COUNTIFS(DESPACHOS!$B$3:$B$3002,$C49)=0,"NO EXISTE",IF(COUNTIFS(DESPACHOS!$B$3:$B$3002,$C49)&gt;1,"DUPLICADO","OK")))</f>
        <v/>
      </c>
      <c r="L49" s="41" t="n"/>
      <c r="M49" s="41" t="n"/>
      <c r="N49" s="42">
        <f>IF($M49="","",IFERROR(INDEX(LISTAS!$F$3:$F$42,MATCH($M49,LISTAS!$E$3:$E$42,0)),"Por definir"))</f>
        <v/>
      </c>
      <c r="O49" s="41" t="n"/>
      <c r="P49" s="39">
        <f>IF($L49="","",IFERROR(INDEX(LISTAS!$B$3:$B$42,MATCH($L49,LISTAS!$A$3:$A$42,0)),"Media"))</f>
        <v/>
      </c>
      <c r="Q49" s="44" t="n"/>
      <c r="R49" s="45" t="n"/>
      <c r="S49" s="20">
        <f>IFERROR(IF(OR($R49="",$C49=""),"",$R49/INDEX(DESPACHOS!$M$3:$M$3002,MATCH($C49,DESPACHOS!$B$3:$B$3002,0))),"")</f>
        <v/>
      </c>
      <c r="T49" s="41" t="n"/>
      <c r="U49" s="43">
        <f>IF(OR($B49="",$L49=""),"",WORKDAY($B49,IFERROR(INDEX(LISTAS!$C$3:$C$42,MATCH($L49,LISTAS!$A$3:$A$42,0)),3)))</f>
        <v/>
      </c>
      <c r="V49" s="40" t="n"/>
      <c r="W49" s="19">
        <f>IF($B49="","",IF($V49&lt;&gt;"",$V49-$B49,TODAY()-$B49))</f>
        <v/>
      </c>
      <c r="X49" s="19">
        <f>IF(OR($B49="",$U49=""),"",IF($V49&lt;&gt;"",MAX(0,$V49-$U49),MAX(0,TODAY()-$U49)))</f>
        <v/>
      </c>
      <c r="Y49" s="39">
        <f>IF($C49="","",IF(IFERROR(INDEX(LISTAS!$I$3:$I$42,MATCH($T49,LISTAS!$H$3:$H$42,0)),"NO")="SÍ",IF(N($X49)&gt;0,"CERRADA FUERA DE SLA","CERRADA EN SLA"),IF($U49="","SIN CLASIFICAR",IF(N($X49)&gt;0,"VENCIDA",IF(TODAY()&gt;=$U49-1,"POR VENCER","EN PLAZO")))))</f>
        <v/>
      </c>
      <c r="Z49" s="41" t="n"/>
      <c r="AA49" s="41" t="n"/>
      <c r="AB49" s="41" t="n"/>
    </row>
    <row r="50">
      <c r="A50" s="39">
        <f>IF($C50="","","NOV-"&amp;TEXT(ROW()-3,"0000"))</f>
        <v/>
      </c>
      <c r="B50" s="40" t="n"/>
      <c r="C50" s="41" t="n"/>
      <c r="D50" s="42">
        <f>IF($C50="","",IFERROR(INDEX(DESPACHOS!$D$3:$D$3002,MATCH($C50,DESPACHOS!$B$3:$B$3002,0)),"SIN DESPACHO"))</f>
        <v/>
      </c>
      <c r="E50" s="42">
        <f>IF($C50="","",IFERROR(INDEX(DESPACHOS!$K$3:$K$3002,MATCH($C50,DESPACHOS!$B$3:$B$3002,0)),""))</f>
        <v/>
      </c>
      <c r="F50" s="42">
        <f>IF($C50="","",IFERROR(INDEX(DESPACHOS!$I$3:$I$3002,MATCH($C50,DESPACHOS!$B$3:$B$3002,0)),""))</f>
        <v/>
      </c>
      <c r="G50" s="42">
        <f>IF($C50="","",IFERROR(INDEX(DESPACHOS!$F$3:$F$3002,MATCH($C50,DESPACHOS!$B$3:$B$3002,0)),""))</f>
        <v/>
      </c>
      <c r="H50" s="42">
        <f>IF($C50="","",IFERROR(INDEX(DESPACHOS!$G$3:$G$3002,MATCH($C50,DESPACHOS!$B$3:$B$3002,0)),""))</f>
        <v/>
      </c>
      <c r="I50" s="39">
        <f>IF($C50="","",IFERROR(INDEX(DESPACHOS!$H$3:$H$3002,MATCH($C50,DESPACHOS!$B$3:$B$3002,0)),""))</f>
        <v/>
      </c>
      <c r="J50" s="43">
        <f>IF($C50="","",IFERROR(INDEX(DESPACHOS!$J$3:$J$3002,MATCH($C50,DESPACHOS!$B$3:$B$3002,0)),""))</f>
        <v/>
      </c>
      <c r="K50" s="39">
        <f>IF($C50="","",IF(COUNTIFS(DESPACHOS!$B$3:$B$3002,$C50)=0,"NO EXISTE",IF(COUNTIFS(DESPACHOS!$B$3:$B$3002,$C50)&gt;1,"DUPLICADO","OK")))</f>
        <v/>
      </c>
      <c r="L50" s="41" t="n"/>
      <c r="M50" s="41" t="n"/>
      <c r="N50" s="42">
        <f>IF($M50="","",IFERROR(INDEX(LISTAS!$F$3:$F$42,MATCH($M50,LISTAS!$E$3:$E$42,0)),"Por definir"))</f>
        <v/>
      </c>
      <c r="O50" s="41" t="n"/>
      <c r="P50" s="39">
        <f>IF($L50="","",IFERROR(INDEX(LISTAS!$B$3:$B$42,MATCH($L50,LISTAS!$A$3:$A$42,0)),"Media"))</f>
        <v/>
      </c>
      <c r="Q50" s="44" t="n"/>
      <c r="R50" s="45" t="n"/>
      <c r="S50" s="20">
        <f>IFERROR(IF(OR($R50="",$C50=""),"",$R50/INDEX(DESPACHOS!$M$3:$M$3002,MATCH($C50,DESPACHOS!$B$3:$B$3002,0))),"")</f>
        <v/>
      </c>
      <c r="T50" s="41" t="n"/>
      <c r="U50" s="43">
        <f>IF(OR($B50="",$L50=""),"",WORKDAY($B50,IFERROR(INDEX(LISTAS!$C$3:$C$42,MATCH($L50,LISTAS!$A$3:$A$42,0)),3)))</f>
        <v/>
      </c>
      <c r="V50" s="40" t="n"/>
      <c r="W50" s="19">
        <f>IF($B50="","",IF($V50&lt;&gt;"",$V50-$B50,TODAY()-$B50))</f>
        <v/>
      </c>
      <c r="X50" s="19">
        <f>IF(OR($B50="",$U50=""),"",IF($V50&lt;&gt;"",MAX(0,$V50-$U50),MAX(0,TODAY()-$U50)))</f>
        <v/>
      </c>
      <c r="Y50" s="39">
        <f>IF($C50="","",IF(IFERROR(INDEX(LISTAS!$I$3:$I$42,MATCH($T50,LISTAS!$H$3:$H$42,0)),"NO")="SÍ",IF(N($X50)&gt;0,"CERRADA FUERA DE SLA","CERRADA EN SLA"),IF($U50="","SIN CLASIFICAR",IF(N($X50)&gt;0,"VENCIDA",IF(TODAY()&gt;=$U50-1,"POR VENCER","EN PLAZO")))))</f>
        <v/>
      </c>
      <c r="Z50" s="41" t="n"/>
      <c r="AA50" s="41" t="n"/>
      <c r="AB50" s="41" t="n"/>
    </row>
    <row r="51">
      <c r="A51" s="39">
        <f>IF($C51="","","NOV-"&amp;TEXT(ROW()-3,"0000"))</f>
        <v/>
      </c>
      <c r="B51" s="40" t="n"/>
      <c r="C51" s="41" t="n"/>
      <c r="D51" s="42">
        <f>IF($C51="","",IFERROR(INDEX(DESPACHOS!$D$3:$D$3002,MATCH($C51,DESPACHOS!$B$3:$B$3002,0)),"SIN DESPACHO"))</f>
        <v/>
      </c>
      <c r="E51" s="42">
        <f>IF($C51="","",IFERROR(INDEX(DESPACHOS!$K$3:$K$3002,MATCH($C51,DESPACHOS!$B$3:$B$3002,0)),""))</f>
        <v/>
      </c>
      <c r="F51" s="42">
        <f>IF($C51="","",IFERROR(INDEX(DESPACHOS!$I$3:$I$3002,MATCH($C51,DESPACHOS!$B$3:$B$3002,0)),""))</f>
        <v/>
      </c>
      <c r="G51" s="42">
        <f>IF($C51="","",IFERROR(INDEX(DESPACHOS!$F$3:$F$3002,MATCH($C51,DESPACHOS!$B$3:$B$3002,0)),""))</f>
        <v/>
      </c>
      <c r="H51" s="42">
        <f>IF($C51="","",IFERROR(INDEX(DESPACHOS!$G$3:$G$3002,MATCH($C51,DESPACHOS!$B$3:$B$3002,0)),""))</f>
        <v/>
      </c>
      <c r="I51" s="39">
        <f>IF($C51="","",IFERROR(INDEX(DESPACHOS!$H$3:$H$3002,MATCH($C51,DESPACHOS!$B$3:$B$3002,0)),""))</f>
        <v/>
      </c>
      <c r="J51" s="43">
        <f>IF($C51="","",IFERROR(INDEX(DESPACHOS!$J$3:$J$3002,MATCH($C51,DESPACHOS!$B$3:$B$3002,0)),""))</f>
        <v/>
      </c>
      <c r="K51" s="39">
        <f>IF($C51="","",IF(COUNTIFS(DESPACHOS!$B$3:$B$3002,$C51)=0,"NO EXISTE",IF(COUNTIFS(DESPACHOS!$B$3:$B$3002,$C51)&gt;1,"DUPLICADO","OK")))</f>
        <v/>
      </c>
      <c r="L51" s="41" t="n"/>
      <c r="M51" s="41" t="n"/>
      <c r="N51" s="42">
        <f>IF($M51="","",IFERROR(INDEX(LISTAS!$F$3:$F$42,MATCH($M51,LISTAS!$E$3:$E$42,0)),"Por definir"))</f>
        <v/>
      </c>
      <c r="O51" s="41" t="n"/>
      <c r="P51" s="39">
        <f>IF($L51="","",IFERROR(INDEX(LISTAS!$B$3:$B$42,MATCH($L51,LISTAS!$A$3:$A$42,0)),"Media"))</f>
        <v/>
      </c>
      <c r="Q51" s="44" t="n"/>
      <c r="R51" s="45" t="n"/>
      <c r="S51" s="20">
        <f>IFERROR(IF(OR($R51="",$C51=""),"",$R51/INDEX(DESPACHOS!$M$3:$M$3002,MATCH($C51,DESPACHOS!$B$3:$B$3002,0))),"")</f>
        <v/>
      </c>
      <c r="T51" s="41" t="n"/>
      <c r="U51" s="43">
        <f>IF(OR($B51="",$L51=""),"",WORKDAY($B51,IFERROR(INDEX(LISTAS!$C$3:$C$42,MATCH($L51,LISTAS!$A$3:$A$42,0)),3)))</f>
        <v/>
      </c>
      <c r="V51" s="40" t="n"/>
      <c r="W51" s="19">
        <f>IF($B51="","",IF($V51&lt;&gt;"",$V51-$B51,TODAY()-$B51))</f>
        <v/>
      </c>
      <c r="X51" s="19">
        <f>IF(OR($B51="",$U51=""),"",IF($V51&lt;&gt;"",MAX(0,$V51-$U51),MAX(0,TODAY()-$U51)))</f>
        <v/>
      </c>
      <c r="Y51" s="39">
        <f>IF($C51="","",IF(IFERROR(INDEX(LISTAS!$I$3:$I$42,MATCH($T51,LISTAS!$H$3:$H$42,0)),"NO")="SÍ",IF(N($X51)&gt;0,"CERRADA FUERA DE SLA","CERRADA EN SLA"),IF($U51="","SIN CLASIFICAR",IF(N($X51)&gt;0,"VENCIDA",IF(TODAY()&gt;=$U51-1,"POR VENCER","EN PLAZO")))))</f>
        <v/>
      </c>
      <c r="Z51" s="41" t="n"/>
      <c r="AA51" s="41" t="n"/>
      <c r="AB51" s="41" t="n"/>
    </row>
    <row r="52">
      <c r="A52" s="39">
        <f>IF($C52="","","NOV-"&amp;TEXT(ROW()-3,"0000"))</f>
        <v/>
      </c>
      <c r="B52" s="40" t="n"/>
      <c r="C52" s="41" t="n"/>
      <c r="D52" s="42">
        <f>IF($C52="","",IFERROR(INDEX(DESPACHOS!$D$3:$D$3002,MATCH($C52,DESPACHOS!$B$3:$B$3002,0)),"SIN DESPACHO"))</f>
        <v/>
      </c>
      <c r="E52" s="42">
        <f>IF($C52="","",IFERROR(INDEX(DESPACHOS!$K$3:$K$3002,MATCH($C52,DESPACHOS!$B$3:$B$3002,0)),""))</f>
        <v/>
      </c>
      <c r="F52" s="42">
        <f>IF($C52="","",IFERROR(INDEX(DESPACHOS!$I$3:$I$3002,MATCH($C52,DESPACHOS!$B$3:$B$3002,0)),""))</f>
        <v/>
      </c>
      <c r="G52" s="42">
        <f>IF($C52="","",IFERROR(INDEX(DESPACHOS!$F$3:$F$3002,MATCH($C52,DESPACHOS!$B$3:$B$3002,0)),""))</f>
        <v/>
      </c>
      <c r="H52" s="42">
        <f>IF($C52="","",IFERROR(INDEX(DESPACHOS!$G$3:$G$3002,MATCH($C52,DESPACHOS!$B$3:$B$3002,0)),""))</f>
        <v/>
      </c>
      <c r="I52" s="39">
        <f>IF($C52="","",IFERROR(INDEX(DESPACHOS!$H$3:$H$3002,MATCH($C52,DESPACHOS!$B$3:$B$3002,0)),""))</f>
        <v/>
      </c>
      <c r="J52" s="43">
        <f>IF($C52="","",IFERROR(INDEX(DESPACHOS!$J$3:$J$3002,MATCH($C52,DESPACHOS!$B$3:$B$3002,0)),""))</f>
        <v/>
      </c>
      <c r="K52" s="39">
        <f>IF($C52="","",IF(COUNTIFS(DESPACHOS!$B$3:$B$3002,$C52)=0,"NO EXISTE",IF(COUNTIFS(DESPACHOS!$B$3:$B$3002,$C52)&gt;1,"DUPLICADO","OK")))</f>
        <v/>
      </c>
      <c r="L52" s="41" t="n"/>
      <c r="M52" s="41" t="n"/>
      <c r="N52" s="42">
        <f>IF($M52="","",IFERROR(INDEX(LISTAS!$F$3:$F$42,MATCH($M52,LISTAS!$E$3:$E$42,0)),"Por definir"))</f>
        <v/>
      </c>
      <c r="O52" s="41" t="n"/>
      <c r="P52" s="39">
        <f>IF($L52="","",IFERROR(INDEX(LISTAS!$B$3:$B$42,MATCH($L52,LISTAS!$A$3:$A$42,0)),"Media"))</f>
        <v/>
      </c>
      <c r="Q52" s="44" t="n"/>
      <c r="R52" s="45" t="n"/>
      <c r="S52" s="20">
        <f>IFERROR(IF(OR($R52="",$C52=""),"",$R52/INDEX(DESPACHOS!$M$3:$M$3002,MATCH($C52,DESPACHOS!$B$3:$B$3002,0))),"")</f>
        <v/>
      </c>
      <c r="T52" s="41" t="n"/>
      <c r="U52" s="43">
        <f>IF(OR($B52="",$L52=""),"",WORKDAY($B52,IFERROR(INDEX(LISTAS!$C$3:$C$42,MATCH($L52,LISTAS!$A$3:$A$42,0)),3)))</f>
        <v/>
      </c>
      <c r="V52" s="40" t="n"/>
      <c r="W52" s="19">
        <f>IF($B52="","",IF($V52&lt;&gt;"",$V52-$B52,TODAY()-$B52))</f>
        <v/>
      </c>
      <c r="X52" s="19">
        <f>IF(OR($B52="",$U52=""),"",IF($V52&lt;&gt;"",MAX(0,$V52-$U52),MAX(0,TODAY()-$U52)))</f>
        <v/>
      </c>
      <c r="Y52" s="39">
        <f>IF($C52="","",IF(IFERROR(INDEX(LISTAS!$I$3:$I$42,MATCH($T52,LISTAS!$H$3:$H$42,0)),"NO")="SÍ",IF(N($X52)&gt;0,"CERRADA FUERA DE SLA","CERRADA EN SLA"),IF($U52="","SIN CLASIFICAR",IF(N($X52)&gt;0,"VENCIDA",IF(TODAY()&gt;=$U52-1,"POR VENCER","EN PLAZO")))))</f>
        <v/>
      </c>
      <c r="Z52" s="41" t="n"/>
      <c r="AA52" s="41" t="n"/>
      <c r="AB52" s="41" t="n"/>
    </row>
    <row r="53">
      <c r="A53" s="39">
        <f>IF($C53="","","NOV-"&amp;TEXT(ROW()-3,"0000"))</f>
        <v/>
      </c>
      <c r="B53" s="40" t="n"/>
      <c r="C53" s="41" t="n"/>
      <c r="D53" s="42">
        <f>IF($C53="","",IFERROR(INDEX(DESPACHOS!$D$3:$D$3002,MATCH($C53,DESPACHOS!$B$3:$B$3002,0)),"SIN DESPACHO"))</f>
        <v/>
      </c>
      <c r="E53" s="42">
        <f>IF($C53="","",IFERROR(INDEX(DESPACHOS!$K$3:$K$3002,MATCH($C53,DESPACHOS!$B$3:$B$3002,0)),""))</f>
        <v/>
      </c>
      <c r="F53" s="42">
        <f>IF($C53="","",IFERROR(INDEX(DESPACHOS!$I$3:$I$3002,MATCH($C53,DESPACHOS!$B$3:$B$3002,0)),""))</f>
        <v/>
      </c>
      <c r="G53" s="42">
        <f>IF($C53="","",IFERROR(INDEX(DESPACHOS!$F$3:$F$3002,MATCH($C53,DESPACHOS!$B$3:$B$3002,0)),""))</f>
        <v/>
      </c>
      <c r="H53" s="42">
        <f>IF($C53="","",IFERROR(INDEX(DESPACHOS!$G$3:$G$3002,MATCH($C53,DESPACHOS!$B$3:$B$3002,0)),""))</f>
        <v/>
      </c>
      <c r="I53" s="39">
        <f>IF($C53="","",IFERROR(INDEX(DESPACHOS!$H$3:$H$3002,MATCH($C53,DESPACHOS!$B$3:$B$3002,0)),""))</f>
        <v/>
      </c>
      <c r="J53" s="43">
        <f>IF($C53="","",IFERROR(INDEX(DESPACHOS!$J$3:$J$3002,MATCH($C53,DESPACHOS!$B$3:$B$3002,0)),""))</f>
        <v/>
      </c>
      <c r="K53" s="39">
        <f>IF($C53="","",IF(COUNTIFS(DESPACHOS!$B$3:$B$3002,$C53)=0,"NO EXISTE",IF(COUNTIFS(DESPACHOS!$B$3:$B$3002,$C53)&gt;1,"DUPLICADO","OK")))</f>
        <v/>
      </c>
      <c r="L53" s="41" t="n"/>
      <c r="M53" s="41" t="n"/>
      <c r="N53" s="42">
        <f>IF($M53="","",IFERROR(INDEX(LISTAS!$F$3:$F$42,MATCH($M53,LISTAS!$E$3:$E$42,0)),"Por definir"))</f>
        <v/>
      </c>
      <c r="O53" s="41" t="n"/>
      <c r="P53" s="39">
        <f>IF($L53="","",IFERROR(INDEX(LISTAS!$B$3:$B$42,MATCH($L53,LISTAS!$A$3:$A$42,0)),"Media"))</f>
        <v/>
      </c>
      <c r="Q53" s="44" t="n"/>
      <c r="R53" s="45" t="n"/>
      <c r="S53" s="20">
        <f>IFERROR(IF(OR($R53="",$C53=""),"",$R53/INDEX(DESPACHOS!$M$3:$M$3002,MATCH($C53,DESPACHOS!$B$3:$B$3002,0))),"")</f>
        <v/>
      </c>
      <c r="T53" s="41" t="n"/>
      <c r="U53" s="43">
        <f>IF(OR($B53="",$L53=""),"",WORKDAY($B53,IFERROR(INDEX(LISTAS!$C$3:$C$42,MATCH($L53,LISTAS!$A$3:$A$42,0)),3)))</f>
        <v/>
      </c>
      <c r="V53" s="40" t="n"/>
      <c r="W53" s="19">
        <f>IF($B53="","",IF($V53&lt;&gt;"",$V53-$B53,TODAY()-$B53))</f>
        <v/>
      </c>
      <c r="X53" s="19">
        <f>IF(OR($B53="",$U53=""),"",IF($V53&lt;&gt;"",MAX(0,$V53-$U53),MAX(0,TODAY()-$U53)))</f>
        <v/>
      </c>
      <c r="Y53" s="39">
        <f>IF($C53="","",IF(IFERROR(INDEX(LISTAS!$I$3:$I$42,MATCH($T53,LISTAS!$H$3:$H$42,0)),"NO")="SÍ",IF(N($X53)&gt;0,"CERRADA FUERA DE SLA","CERRADA EN SLA"),IF($U53="","SIN CLASIFICAR",IF(N($X53)&gt;0,"VENCIDA",IF(TODAY()&gt;=$U53-1,"POR VENCER","EN PLAZO")))))</f>
        <v/>
      </c>
      <c r="Z53" s="41" t="n"/>
      <c r="AA53" s="41" t="n"/>
      <c r="AB53" s="41" t="n"/>
    </row>
    <row r="54">
      <c r="A54" s="39">
        <f>IF($C54="","","NOV-"&amp;TEXT(ROW()-3,"0000"))</f>
        <v/>
      </c>
      <c r="B54" s="40" t="n"/>
      <c r="C54" s="41" t="n"/>
      <c r="D54" s="42">
        <f>IF($C54="","",IFERROR(INDEX(DESPACHOS!$D$3:$D$3002,MATCH($C54,DESPACHOS!$B$3:$B$3002,0)),"SIN DESPACHO"))</f>
        <v/>
      </c>
      <c r="E54" s="42">
        <f>IF($C54="","",IFERROR(INDEX(DESPACHOS!$K$3:$K$3002,MATCH($C54,DESPACHOS!$B$3:$B$3002,0)),""))</f>
        <v/>
      </c>
      <c r="F54" s="42">
        <f>IF($C54="","",IFERROR(INDEX(DESPACHOS!$I$3:$I$3002,MATCH($C54,DESPACHOS!$B$3:$B$3002,0)),""))</f>
        <v/>
      </c>
      <c r="G54" s="42">
        <f>IF($C54="","",IFERROR(INDEX(DESPACHOS!$F$3:$F$3002,MATCH($C54,DESPACHOS!$B$3:$B$3002,0)),""))</f>
        <v/>
      </c>
      <c r="H54" s="42">
        <f>IF($C54="","",IFERROR(INDEX(DESPACHOS!$G$3:$G$3002,MATCH($C54,DESPACHOS!$B$3:$B$3002,0)),""))</f>
        <v/>
      </c>
      <c r="I54" s="39">
        <f>IF($C54="","",IFERROR(INDEX(DESPACHOS!$H$3:$H$3002,MATCH($C54,DESPACHOS!$B$3:$B$3002,0)),""))</f>
        <v/>
      </c>
      <c r="J54" s="43">
        <f>IF($C54="","",IFERROR(INDEX(DESPACHOS!$J$3:$J$3002,MATCH($C54,DESPACHOS!$B$3:$B$3002,0)),""))</f>
        <v/>
      </c>
      <c r="K54" s="39">
        <f>IF($C54="","",IF(COUNTIFS(DESPACHOS!$B$3:$B$3002,$C54)=0,"NO EXISTE",IF(COUNTIFS(DESPACHOS!$B$3:$B$3002,$C54)&gt;1,"DUPLICADO","OK")))</f>
        <v/>
      </c>
      <c r="L54" s="41" t="n"/>
      <c r="M54" s="41" t="n"/>
      <c r="N54" s="42">
        <f>IF($M54="","",IFERROR(INDEX(LISTAS!$F$3:$F$42,MATCH($M54,LISTAS!$E$3:$E$42,0)),"Por definir"))</f>
        <v/>
      </c>
      <c r="O54" s="41" t="n"/>
      <c r="P54" s="39">
        <f>IF($L54="","",IFERROR(INDEX(LISTAS!$B$3:$B$42,MATCH($L54,LISTAS!$A$3:$A$42,0)),"Media"))</f>
        <v/>
      </c>
      <c r="Q54" s="44" t="n"/>
      <c r="R54" s="45" t="n"/>
      <c r="S54" s="20">
        <f>IFERROR(IF(OR($R54="",$C54=""),"",$R54/INDEX(DESPACHOS!$M$3:$M$3002,MATCH($C54,DESPACHOS!$B$3:$B$3002,0))),"")</f>
        <v/>
      </c>
      <c r="T54" s="41" t="n"/>
      <c r="U54" s="43">
        <f>IF(OR($B54="",$L54=""),"",WORKDAY($B54,IFERROR(INDEX(LISTAS!$C$3:$C$42,MATCH($L54,LISTAS!$A$3:$A$42,0)),3)))</f>
        <v/>
      </c>
      <c r="V54" s="40" t="n"/>
      <c r="W54" s="19">
        <f>IF($B54="","",IF($V54&lt;&gt;"",$V54-$B54,TODAY()-$B54))</f>
        <v/>
      </c>
      <c r="X54" s="19">
        <f>IF(OR($B54="",$U54=""),"",IF($V54&lt;&gt;"",MAX(0,$V54-$U54),MAX(0,TODAY()-$U54)))</f>
        <v/>
      </c>
      <c r="Y54" s="39">
        <f>IF($C54="","",IF(IFERROR(INDEX(LISTAS!$I$3:$I$42,MATCH($T54,LISTAS!$H$3:$H$42,0)),"NO")="SÍ",IF(N($X54)&gt;0,"CERRADA FUERA DE SLA","CERRADA EN SLA"),IF($U54="","SIN CLASIFICAR",IF(N($X54)&gt;0,"VENCIDA",IF(TODAY()&gt;=$U54-1,"POR VENCER","EN PLAZO")))))</f>
        <v/>
      </c>
      <c r="Z54" s="41" t="n"/>
      <c r="AA54" s="41" t="n"/>
      <c r="AB54" s="41" t="n"/>
    </row>
    <row r="55">
      <c r="A55" s="39">
        <f>IF($C55="","","NOV-"&amp;TEXT(ROW()-3,"0000"))</f>
        <v/>
      </c>
      <c r="B55" s="40" t="n"/>
      <c r="C55" s="41" t="n"/>
      <c r="D55" s="42">
        <f>IF($C55="","",IFERROR(INDEX(DESPACHOS!$D$3:$D$3002,MATCH($C55,DESPACHOS!$B$3:$B$3002,0)),"SIN DESPACHO"))</f>
        <v/>
      </c>
      <c r="E55" s="42">
        <f>IF($C55="","",IFERROR(INDEX(DESPACHOS!$K$3:$K$3002,MATCH($C55,DESPACHOS!$B$3:$B$3002,0)),""))</f>
        <v/>
      </c>
      <c r="F55" s="42">
        <f>IF($C55="","",IFERROR(INDEX(DESPACHOS!$I$3:$I$3002,MATCH($C55,DESPACHOS!$B$3:$B$3002,0)),""))</f>
        <v/>
      </c>
      <c r="G55" s="42">
        <f>IF($C55="","",IFERROR(INDEX(DESPACHOS!$F$3:$F$3002,MATCH($C55,DESPACHOS!$B$3:$B$3002,0)),""))</f>
        <v/>
      </c>
      <c r="H55" s="42">
        <f>IF($C55="","",IFERROR(INDEX(DESPACHOS!$G$3:$G$3002,MATCH($C55,DESPACHOS!$B$3:$B$3002,0)),""))</f>
        <v/>
      </c>
      <c r="I55" s="39">
        <f>IF($C55="","",IFERROR(INDEX(DESPACHOS!$H$3:$H$3002,MATCH($C55,DESPACHOS!$B$3:$B$3002,0)),""))</f>
        <v/>
      </c>
      <c r="J55" s="43">
        <f>IF($C55="","",IFERROR(INDEX(DESPACHOS!$J$3:$J$3002,MATCH($C55,DESPACHOS!$B$3:$B$3002,0)),""))</f>
        <v/>
      </c>
      <c r="K55" s="39">
        <f>IF($C55="","",IF(COUNTIFS(DESPACHOS!$B$3:$B$3002,$C55)=0,"NO EXISTE",IF(COUNTIFS(DESPACHOS!$B$3:$B$3002,$C55)&gt;1,"DUPLICADO","OK")))</f>
        <v/>
      </c>
      <c r="L55" s="41" t="n"/>
      <c r="M55" s="41" t="n"/>
      <c r="N55" s="42">
        <f>IF($M55="","",IFERROR(INDEX(LISTAS!$F$3:$F$42,MATCH($M55,LISTAS!$E$3:$E$42,0)),"Por definir"))</f>
        <v/>
      </c>
      <c r="O55" s="41" t="n"/>
      <c r="P55" s="39">
        <f>IF($L55="","",IFERROR(INDEX(LISTAS!$B$3:$B$42,MATCH($L55,LISTAS!$A$3:$A$42,0)),"Media"))</f>
        <v/>
      </c>
      <c r="Q55" s="44" t="n"/>
      <c r="R55" s="45" t="n"/>
      <c r="S55" s="20">
        <f>IFERROR(IF(OR($R55="",$C55=""),"",$R55/INDEX(DESPACHOS!$M$3:$M$3002,MATCH($C55,DESPACHOS!$B$3:$B$3002,0))),"")</f>
        <v/>
      </c>
      <c r="T55" s="41" t="n"/>
      <c r="U55" s="43">
        <f>IF(OR($B55="",$L55=""),"",WORKDAY($B55,IFERROR(INDEX(LISTAS!$C$3:$C$42,MATCH($L55,LISTAS!$A$3:$A$42,0)),3)))</f>
        <v/>
      </c>
      <c r="V55" s="40" t="n"/>
      <c r="W55" s="19">
        <f>IF($B55="","",IF($V55&lt;&gt;"",$V55-$B55,TODAY()-$B55))</f>
        <v/>
      </c>
      <c r="X55" s="19">
        <f>IF(OR($B55="",$U55=""),"",IF($V55&lt;&gt;"",MAX(0,$V55-$U55),MAX(0,TODAY()-$U55)))</f>
        <v/>
      </c>
      <c r="Y55" s="39">
        <f>IF($C55="","",IF(IFERROR(INDEX(LISTAS!$I$3:$I$42,MATCH($T55,LISTAS!$H$3:$H$42,0)),"NO")="SÍ",IF(N($X55)&gt;0,"CERRADA FUERA DE SLA","CERRADA EN SLA"),IF($U55="","SIN CLASIFICAR",IF(N($X55)&gt;0,"VENCIDA",IF(TODAY()&gt;=$U55-1,"POR VENCER","EN PLAZO")))))</f>
        <v/>
      </c>
      <c r="Z55" s="41" t="n"/>
      <c r="AA55" s="41" t="n"/>
      <c r="AB55" s="41" t="n"/>
    </row>
    <row r="56">
      <c r="A56" s="39">
        <f>IF($C56="","","NOV-"&amp;TEXT(ROW()-3,"0000"))</f>
        <v/>
      </c>
      <c r="B56" s="40" t="n"/>
      <c r="C56" s="41" t="n"/>
      <c r="D56" s="42">
        <f>IF($C56="","",IFERROR(INDEX(DESPACHOS!$D$3:$D$3002,MATCH($C56,DESPACHOS!$B$3:$B$3002,0)),"SIN DESPACHO"))</f>
        <v/>
      </c>
      <c r="E56" s="42">
        <f>IF($C56="","",IFERROR(INDEX(DESPACHOS!$K$3:$K$3002,MATCH($C56,DESPACHOS!$B$3:$B$3002,0)),""))</f>
        <v/>
      </c>
      <c r="F56" s="42">
        <f>IF($C56="","",IFERROR(INDEX(DESPACHOS!$I$3:$I$3002,MATCH($C56,DESPACHOS!$B$3:$B$3002,0)),""))</f>
        <v/>
      </c>
      <c r="G56" s="42">
        <f>IF($C56="","",IFERROR(INDEX(DESPACHOS!$F$3:$F$3002,MATCH($C56,DESPACHOS!$B$3:$B$3002,0)),""))</f>
        <v/>
      </c>
      <c r="H56" s="42">
        <f>IF($C56="","",IFERROR(INDEX(DESPACHOS!$G$3:$G$3002,MATCH($C56,DESPACHOS!$B$3:$B$3002,0)),""))</f>
        <v/>
      </c>
      <c r="I56" s="39">
        <f>IF($C56="","",IFERROR(INDEX(DESPACHOS!$H$3:$H$3002,MATCH($C56,DESPACHOS!$B$3:$B$3002,0)),""))</f>
        <v/>
      </c>
      <c r="J56" s="43">
        <f>IF($C56="","",IFERROR(INDEX(DESPACHOS!$J$3:$J$3002,MATCH($C56,DESPACHOS!$B$3:$B$3002,0)),""))</f>
        <v/>
      </c>
      <c r="K56" s="39">
        <f>IF($C56="","",IF(COUNTIFS(DESPACHOS!$B$3:$B$3002,$C56)=0,"NO EXISTE",IF(COUNTIFS(DESPACHOS!$B$3:$B$3002,$C56)&gt;1,"DUPLICADO","OK")))</f>
        <v/>
      </c>
      <c r="L56" s="41" t="n"/>
      <c r="M56" s="41" t="n"/>
      <c r="N56" s="42">
        <f>IF($M56="","",IFERROR(INDEX(LISTAS!$F$3:$F$42,MATCH($M56,LISTAS!$E$3:$E$42,0)),"Por definir"))</f>
        <v/>
      </c>
      <c r="O56" s="41" t="n"/>
      <c r="P56" s="39">
        <f>IF($L56="","",IFERROR(INDEX(LISTAS!$B$3:$B$42,MATCH($L56,LISTAS!$A$3:$A$42,0)),"Media"))</f>
        <v/>
      </c>
      <c r="Q56" s="44" t="n"/>
      <c r="R56" s="45" t="n"/>
      <c r="S56" s="20">
        <f>IFERROR(IF(OR($R56="",$C56=""),"",$R56/INDEX(DESPACHOS!$M$3:$M$3002,MATCH($C56,DESPACHOS!$B$3:$B$3002,0))),"")</f>
        <v/>
      </c>
      <c r="T56" s="41" t="n"/>
      <c r="U56" s="43">
        <f>IF(OR($B56="",$L56=""),"",WORKDAY($B56,IFERROR(INDEX(LISTAS!$C$3:$C$42,MATCH($L56,LISTAS!$A$3:$A$42,0)),3)))</f>
        <v/>
      </c>
      <c r="V56" s="40" t="n"/>
      <c r="W56" s="19">
        <f>IF($B56="","",IF($V56&lt;&gt;"",$V56-$B56,TODAY()-$B56))</f>
        <v/>
      </c>
      <c r="X56" s="19">
        <f>IF(OR($B56="",$U56=""),"",IF($V56&lt;&gt;"",MAX(0,$V56-$U56),MAX(0,TODAY()-$U56)))</f>
        <v/>
      </c>
      <c r="Y56" s="39">
        <f>IF($C56="","",IF(IFERROR(INDEX(LISTAS!$I$3:$I$42,MATCH($T56,LISTAS!$H$3:$H$42,0)),"NO")="SÍ",IF(N($X56)&gt;0,"CERRADA FUERA DE SLA","CERRADA EN SLA"),IF($U56="","SIN CLASIFICAR",IF(N($X56)&gt;0,"VENCIDA",IF(TODAY()&gt;=$U56-1,"POR VENCER","EN PLAZO")))))</f>
        <v/>
      </c>
      <c r="Z56" s="41" t="n"/>
      <c r="AA56" s="41" t="n"/>
      <c r="AB56" s="41" t="n"/>
    </row>
    <row r="57">
      <c r="A57" s="39">
        <f>IF($C57="","","NOV-"&amp;TEXT(ROW()-3,"0000"))</f>
        <v/>
      </c>
      <c r="B57" s="40" t="n"/>
      <c r="C57" s="41" t="n"/>
      <c r="D57" s="42">
        <f>IF($C57="","",IFERROR(INDEX(DESPACHOS!$D$3:$D$3002,MATCH($C57,DESPACHOS!$B$3:$B$3002,0)),"SIN DESPACHO"))</f>
        <v/>
      </c>
      <c r="E57" s="42">
        <f>IF($C57="","",IFERROR(INDEX(DESPACHOS!$K$3:$K$3002,MATCH($C57,DESPACHOS!$B$3:$B$3002,0)),""))</f>
        <v/>
      </c>
      <c r="F57" s="42">
        <f>IF($C57="","",IFERROR(INDEX(DESPACHOS!$I$3:$I$3002,MATCH($C57,DESPACHOS!$B$3:$B$3002,0)),""))</f>
        <v/>
      </c>
      <c r="G57" s="42">
        <f>IF($C57="","",IFERROR(INDEX(DESPACHOS!$F$3:$F$3002,MATCH($C57,DESPACHOS!$B$3:$B$3002,0)),""))</f>
        <v/>
      </c>
      <c r="H57" s="42">
        <f>IF($C57="","",IFERROR(INDEX(DESPACHOS!$G$3:$G$3002,MATCH($C57,DESPACHOS!$B$3:$B$3002,0)),""))</f>
        <v/>
      </c>
      <c r="I57" s="39">
        <f>IF($C57="","",IFERROR(INDEX(DESPACHOS!$H$3:$H$3002,MATCH($C57,DESPACHOS!$B$3:$B$3002,0)),""))</f>
        <v/>
      </c>
      <c r="J57" s="43">
        <f>IF($C57="","",IFERROR(INDEX(DESPACHOS!$J$3:$J$3002,MATCH($C57,DESPACHOS!$B$3:$B$3002,0)),""))</f>
        <v/>
      </c>
      <c r="K57" s="39">
        <f>IF($C57="","",IF(COUNTIFS(DESPACHOS!$B$3:$B$3002,$C57)=0,"NO EXISTE",IF(COUNTIFS(DESPACHOS!$B$3:$B$3002,$C57)&gt;1,"DUPLICADO","OK")))</f>
        <v/>
      </c>
      <c r="L57" s="41" t="n"/>
      <c r="M57" s="41" t="n"/>
      <c r="N57" s="42">
        <f>IF($M57="","",IFERROR(INDEX(LISTAS!$F$3:$F$42,MATCH($M57,LISTAS!$E$3:$E$42,0)),"Por definir"))</f>
        <v/>
      </c>
      <c r="O57" s="41" t="n"/>
      <c r="P57" s="39">
        <f>IF($L57="","",IFERROR(INDEX(LISTAS!$B$3:$B$42,MATCH($L57,LISTAS!$A$3:$A$42,0)),"Media"))</f>
        <v/>
      </c>
      <c r="Q57" s="44" t="n"/>
      <c r="R57" s="45" t="n"/>
      <c r="S57" s="20">
        <f>IFERROR(IF(OR($R57="",$C57=""),"",$R57/INDEX(DESPACHOS!$M$3:$M$3002,MATCH($C57,DESPACHOS!$B$3:$B$3002,0))),"")</f>
        <v/>
      </c>
      <c r="T57" s="41" t="n"/>
      <c r="U57" s="43">
        <f>IF(OR($B57="",$L57=""),"",WORKDAY($B57,IFERROR(INDEX(LISTAS!$C$3:$C$42,MATCH($L57,LISTAS!$A$3:$A$42,0)),3)))</f>
        <v/>
      </c>
      <c r="V57" s="40" t="n"/>
      <c r="W57" s="19">
        <f>IF($B57="","",IF($V57&lt;&gt;"",$V57-$B57,TODAY()-$B57))</f>
        <v/>
      </c>
      <c r="X57" s="19">
        <f>IF(OR($B57="",$U57=""),"",IF($V57&lt;&gt;"",MAX(0,$V57-$U57),MAX(0,TODAY()-$U57)))</f>
        <v/>
      </c>
      <c r="Y57" s="39">
        <f>IF($C57="","",IF(IFERROR(INDEX(LISTAS!$I$3:$I$42,MATCH($T57,LISTAS!$H$3:$H$42,0)),"NO")="SÍ",IF(N($X57)&gt;0,"CERRADA FUERA DE SLA","CERRADA EN SLA"),IF($U57="","SIN CLASIFICAR",IF(N($X57)&gt;0,"VENCIDA",IF(TODAY()&gt;=$U57-1,"POR VENCER","EN PLAZO")))))</f>
        <v/>
      </c>
      <c r="Z57" s="41" t="n"/>
      <c r="AA57" s="41" t="n"/>
      <c r="AB57" s="41" t="n"/>
    </row>
    <row r="58">
      <c r="A58" s="39">
        <f>IF($C58="","","NOV-"&amp;TEXT(ROW()-3,"0000"))</f>
        <v/>
      </c>
      <c r="B58" s="40" t="n"/>
      <c r="C58" s="41" t="n"/>
      <c r="D58" s="42">
        <f>IF($C58="","",IFERROR(INDEX(DESPACHOS!$D$3:$D$3002,MATCH($C58,DESPACHOS!$B$3:$B$3002,0)),"SIN DESPACHO"))</f>
        <v/>
      </c>
      <c r="E58" s="42">
        <f>IF($C58="","",IFERROR(INDEX(DESPACHOS!$K$3:$K$3002,MATCH($C58,DESPACHOS!$B$3:$B$3002,0)),""))</f>
        <v/>
      </c>
      <c r="F58" s="42">
        <f>IF($C58="","",IFERROR(INDEX(DESPACHOS!$I$3:$I$3002,MATCH($C58,DESPACHOS!$B$3:$B$3002,0)),""))</f>
        <v/>
      </c>
      <c r="G58" s="42">
        <f>IF($C58="","",IFERROR(INDEX(DESPACHOS!$F$3:$F$3002,MATCH($C58,DESPACHOS!$B$3:$B$3002,0)),""))</f>
        <v/>
      </c>
      <c r="H58" s="42">
        <f>IF($C58="","",IFERROR(INDEX(DESPACHOS!$G$3:$G$3002,MATCH($C58,DESPACHOS!$B$3:$B$3002,0)),""))</f>
        <v/>
      </c>
      <c r="I58" s="39">
        <f>IF($C58="","",IFERROR(INDEX(DESPACHOS!$H$3:$H$3002,MATCH($C58,DESPACHOS!$B$3:$B$3002,0)),""))</f>
        <v/>
      </c>
      <c r="J58" s="43">
        <f>IF($C58="","",IFERROR(INDEX(DESPACHOS!$J$3:$J$3002,MATCH($C58,DESPACHOS!$B$3:$B$3002,0)),""))</f>
        <v/>
      </c>
      <c r="K58" s="39">
        <f>IF($C58="","",IF(COUNTIFS(DESPACHOS!$B$3:$B$3002,$C58)=0,"NO EXISTE",IF(COUNTIFS(DESPACHOS!$B$3:$B$3002,$C58)&gt;1,"DUPLICADO","OK")))</f>
        <v/>
      </c>
      <c r="L58" s="41" t="n"/>
      <c r="M58" s="41" t="n"/>
      <c r="N58" s="42">
        <f>IF($M58="","",IFERROR(INDEX(LISTAS!$F$3:$F$42,MATCH($M58,LISTAS!$E$3:$E$42,0)),"Por definir"))</f>
        <v/>
      </c>
      <c r="O58" s="41" t="n"/>
      <c r="P58" s="39">
        <f>IF($L58="","",IFERROR(INDEX(LISTAS!$B$3:$B$42,MATCH($L58,LISTAS!$A$3:$A$42,0)),"Media"))</f>
        <v/>
      </c>
      <c r="Q58" s="44" t="n"/>
      <c r="R58" s="45" t="n"/>
      <c r="S58" s="20">
        <f>IFERROR(IF(OR($R58="",$C58=""),"",$R58/INDEX(DESPACHOS!$M$3:$M$3002,MATCH($C58,DESPACHOS!$B$3:$B$3002,0))),"")</f>
        <v/>
      </c>
      <c r="T58" s="41" t="n"/>
      <c r="U58" s="43">
        <f>IF(OR($B58="",$L58=""),"",WORKDAY($B58,IFERROR(INDEX(LISTAS!$C$3:$C$42,MATCH($L58,LISTAS!$A$3:$A$42,0)),3)))</f>
        <v/>
      </c>
      <c r="V58" s="40" t="n"/>
      <c r="W58" s="19">
        <f>IF($B58="","",IF($V58&lt;&gt;"",$V58-$B58,TODAY()-$B58))</f>
        <v/>
      </c>
      <c r="X58" s="19">
        <f>IF(OR($B58="",$U58=""),"",IF($V58&lt;&gt;"",MAX(0,$V58-$U58),MAX(0,TODAY()-$U58)))</f>
        <v/>
      </c>
      <c r="Y58" s="39">
        <f>IF($C58="","",IF(IFERROR(INDEX(LISTAS!$I$3:$I$42,MATCH($T58,LISTAS!$H$3:$H$42,0)),"NO")="SÍ",IF(N($X58)&gt;0,"CERRADA FUERA DE SLA","CERRADA EN SLA"),IF($U58="","SIN CLASIFICAR",IF(N($X58)&gt;0,"VENCIDA",IF(TODAY()&gt;=$U58-1,"POR VENCER","EN PLAZO")))))</f>
        <v/>
      </c>
      <c r="Z58" s="41" t="n"/>
      <c r="AA58" s="41" t="n"/>
      <c r="AB58" s="41" t="n"/>
    </row>
    <row r="59">
      <c r="A59" s="39">
        <f>IF($C59="","","NOV-"&amp;TEXT(ROW()-3,"0000"))</f>
        <v/>
      </c>
      <c r="B59" s="40" t="n"/>
      <c r="C59" s="41" t="n"/>
      <c r="D59" s="42">
        <f>IF($C59="","",IFERROR(INDEX(DESPACHOS!$D$3:$D$3002,MATCH($C59,DESPACHOS!$B$3:$B$3002,0)),"SIN DESPACHO"))</f>
        <v/>
      </c>
      <c r="E59" s="42">
        <f>IF($C59="","",IFERROR(INDEX(DESPACHOS!$K$3:$K$3002,MATCH($C59,DESPACHOS!$B$3:$B$3002,0)),""))</f>
        <v/>
      </c>
      <c r="F59" s="42">
        <f>IF($C59="","",IFERROR(INDEX(DESPACHOS!$I$3:$I$3002,MATCH($C59,DESPACHOS!$B$3:$B$3002,0)),""))</f>
        <v/>
      </c>
      <c r="G59" s="42">
        <f>IF($C59="","",IFERROR(INDEX(DESPACHOS!$F$3:$F$3002,MATCH($C59,DESPACHOS!$B$3:$B$3002,0)),""))</f>
        <v/>
      </c>
      <c r="H59" s="42">
        <f>IF($C59="","",IFERROR(INDEX(DESPACHOS!$G$3:$G$3002,MATCH($C59,DESPACHOS!$B$3:$B$3002,0)),""))</f>
        <v/>
      </c>
      <c r="I59" s="39">
        <f>IF($C59="","",IFERROR(INDEX(DESPACHOS!$H$3:$H$3002,MATCH($C59,DESPACHOS!$B$3:$B$3002,0)),""))</f>
        <v/>
      </c>
      <c r="J59" s="43">
        <f>IF($C59="","",IFERROR(INDEX(DESPACHOS!$J$3:$J$3002,MATCH($C59,DESPACHOS!$B$3:$B$3002,0)),""))</f>
        <v/>
      </c>
      <c r="K59" s="39">
        <f>IF($C59="","",IF(COUNTIFS(DESPACHOS!$B$3:$B$3002,$C59)=0,"NO EXISTE",IF(COUNTIFS(DESPACHOS!$B$3:$B$3002,$C59)&gt;1,"DUPLICADO","OK")))</f>
        <v/>
      </c>
      <c r="L59" s="41" t="n"/>
      <c r="M59" s="41" t="n"/>
      <c r="N59" s="42">
        <f>IF($M59="","",IFERROR(INDEX(LISTAS!$F$3:$F$42,MATCH($M59,LISTAS!$E$3:$E$42,0)),"Por definir"))</f>
        <v/>
      </c>
      <c r="O59" s="41" t="n"/>
      <c r="P59" s="39">
        <f>IF($L59="","",IFERROR(INDEX(LISTAS!$B$3:$B$42,MATCH($L59,LISTAS!$A$3:$A$42,0)),"Media"))</f>
        <v/>
      </c>
      <c r="Q59" s="44" t="n"/>
      <c r="R59" s="45" t="n"/>
      <c r="S59" s="20">
        <f>IFERROR(IF(OR($R59="",$C59=""),"",$R59/INDEX(DESPACHOS!$M$3:$M$3002,MATCH($C59,DESPACHOS!$B$3:$B$3002,0))),"")</f>
        <v/>
      </c>
      <c r="T59" s="41" t="n"/>
      <c r="U59" s="43">
        <f>IF(OR($B59="",$L59=""),"",WORKDAY($B59,IFERROR(INDEX(LISTAS!$C$3:$C$42,MATCH($L59,LISTAS!$A$3:$A$42,0)),3)))</f>
        <v/>
      </c>
      <c r="V59" s="40" t="n"/>
      <c r="W59" s="19">
        <f>IF($B59="","",IF($V59&lt;&gt;"",$V59-$B59,TODAY()-$B59))</f>
        <v/>
      </c>
      <c r="X59" s="19">
        <f>IF(OR($B59="",$U59=""),"",IF($V59&lt;&gt;"",MAX(0,$V59-$U59),MAX(0,TODAY()-$U59)))</f>
        <v/>
      </c>
      <c r="Y59" s="39">
        <f>IF($C59="","",IF(IFERROR(INDEX(LISTAS!$I$3:$I$42,MATCH($T59,LISTAS!$H$3:$H$42,0)),"NO")="SÍ",IF(N($X59)&gt;0,"CERRADA FUERA DE SLA","CERRADA EN SLA"),IF($U59="","SIN CLASIFICAR",IF(N($X59)&gt;0,"VENCIDA",IF(TODAY()&gt;=$U59-1,"POR VENCER","EN PLAZO")))))</f>
        <v/>
      </c>
      <c r="Z59" s="41" t="n"/>
      <c r="AA59" s="41" t="n"/>
      <c r="AB59" s="41" t="n"/>
    </row>
    <row r="60">
      <c r="A60" s="39">
        <f>IF($C60="","","NOV-"&amp;TEXT(ROW()-3,"0000"))</f>
        <v/>
      </c>
      <c r="B60" s="40" t="n"/>
      <c r="C60" s="41" t="n"/>
      <c r="D60" s="42">
        <f>IF($C60="","",IFERROR(INDEX(DESPACHOS!$D$3:$D$3002,MATCH($C60,DESPACHOS!$B$3:$B$3002,0)),"SIN DESPACHO"))</f>
        <v/>
      </c>
      <c r="E60" s="42">
        <f>IF($C60="","",IFERROR(INDEX(DESPACHOS!$K$3:$K$3002,MATCH($C60,DESPACHOS!$B$3:$B$3002,0)),""))</f>
        <v/>
      </c>
      <c r="F60" s="42">
        <f>IF($C60="","",IFERROR(INDEX(DESPACHOS!$I$3:$I$3002,MATCH($C60,DESPACHOS!$B$3:$B$3002,0)),""))</f>
        <v/>
      </c>
      <c r="G60" s="42">
        <f>IF($C60="","",IFERROR(INDEX(DESPACHOS!$F$3:$F$3002,MATCH($C60,DESPACHOS!$B$3:$B$3002,0)),""))</f>
        <v/>
      </c>
      <c r="H60" s="42">
        <f>IF($C60="","",IFERROR(INDEX(DESPACHOS!$G$3:$G$3002,MATCH($C60,DESPACHOS!$B$3:$B$3002,0)),""))</f>
        <v/>
      </c>
      <c r="I60" s="39">
        <f>IF($C60="","",IFERROR(INDEX(DESPACHOS!$H$3:$H$3002,MATCH($C60,DESPACHOS!$B$3:$B$3002,0)),""))</f>
        <v/>
      </c>
      <c r="J60" s="43">
        <f>IF($C60="","",IFERROR(INDEX(DESPACHOS!$J$3:$J$3002,MATCH($C60,DESPACHOS!$B$3:$B$3002,0)),""))</f>
        <v/>
      </c>
      <c r="K60" s="39">
        <f>IF($C60="","",IF(COUNTIFS(DESPACHOS!$B$3:$B$3002,$C60)=0,"NO EXISTE",IF(COUNTIFS(DESPACHOS!$B$3:$B$3002,$C60)&gt;1,"DUPLICADO","OK")))</f>
        <v/>
      </c>
      <c r="L60" s="41" t="n"/>
      <c r="M60" s="41" t="n"/>
      <c r="N60" s="42">
        <f>IF($M60="","",IFERROR(INDEX(LISTAS!$F$3:$F$42,MATCH($M60,LISTAS!$E$3:$E$42,0)),"Por definir"))</f>
        <v/>
      </c>
      <c r="O60" s="41" t="n"/>
      <c r="P60" s="39">
        <f>IF($L60="","",IFERROR(INDEX(LISTAS!$B$3:$B$42,MATCH($L60,LISTAS!$A$3:$A$42,0)),"Media"))</f>
        <v/>
      </c>
      <c r="Q60" s="44" t="n"/>
      <c r="R60" s="45" t="n"/>
      <c r="S60" s="20">
        <f>IFERROR(IF(OR($R60="",$C60=""),"",$R60/INDEX(DESPACHOS!$M$3:$M$3002,MATCH($C60,DESPACHOS!$B$3:$B$3002,0))),"")</f>
        <v/>
      </c>
      <c r="T60" s="41" t="n"/>
      <c r="U60" s="43">
        <f>IF(OR($B60="",$L60=""),"",WORKDAY($B60,IFERROR(INDEX(LISTAS!$C$3:$C$42,MATCH($L60,LISTAS!$A$3:$A$42,0)),3)))</f>
        <v/>
      </c>
      <c r="V60" s="40" t="n"/>
      <c r="W60" s="19">
        <f>IF($B60="","",IF($V60&lt;&gt;"",$V60-$B60,TODAY()-$B60))</f>
        <v/>
      </c>
      <c r="X60" s="19">
        <f>IF(OR($B60="",$U60=""),"",IF($V60&lt;&gt;"",MAX(0,$V60-$U60),MAX(0,TODAY()-$U60)))</f>
        <v/>
      </c>
      <c r="Y60" s="39">
        <f>IF($C60="","",IF(IFERROR(INDEX(LISTAS!$I$3:$I$42,MATCH($T60,LISTAS!$H$3:$H$42,0)),"NO")="SÍ",IF(N($X60)&gt;0,"CERRADA FUERA DE SLA","CERRADA EN SLA"),IF($U60="","SIN CLASIFICAR",IF(N($X60)&gt;0,"VENCIDA",IF(TODAY()&gt;=$U60-1,"POR VENCER","EN PLAZO")))))</f>
        <v/>
      </c>
      <c r="Z60" s="41" t="n"/>
      <c r="AA60" s="41" t="n"/>
      <c r="AB60" s="41" t="n"/>
    </row>
    <row r="61">
      <c r="A61" s="39">
        <f>IF($C61="","","NOV-"&amp;TEXT(ROW()-3,"0000"))</f>
        <v/>
      </c>
      <c r="B61" s="40" t="n"/>
      <c r="C61" s="41" t="n"/>
      <c r="D61" s="42">
        <f>IF($C61="","",IFERROR(INDEX(DESPACHOS!$D$3:$D$3002,MATCH($C61,DESPACHOS!$B$3:$B$3002,0)),"SIN DESPACHO"))</f>
        <v/>
      </c>
      <c r="E61" s="42">
        <f>IF($C61="","",IFERROR(INDEX(DESPACHOS!$K$3:$K$3002,MATCH($C61,DESPACHOS!$B$3:$B$3002,0)),""))</f>
        <v/>
      </c>
      <c r="F61" s="42">
        <f>IF($C61="","",IFERROR(INDEX(DESPACHOS!$I$3:$I$3002,MATCH($C61,DESPACHOS!$B$3:$B$3002,0)),""))</f>
        <v/>
      </c>
      <c r="G61" s="42">
        <f>IF($C61="","",IFERROR(INDEX(DESPACHOS!$F$3:$F$3002,MATCH($C61,DESPACHOS!$B$3:$B$3002,0)),""))</f>
        <v/>
      </c>
      <c r="H61" s="42">
        <f>IF($C61="","",IFERROR(INDEX(DESPACHOS!$G$3:$G$3002,MATCH($C61,DESPACHOS!$B$3:$B$3002,0)),""))</f>
        <v/>
      </c>
      <c r="I61" s="39">
        <f>IF($C61="","",IFERROR(INDEX(DESPACHOS!$H$3:$H$3002,MATCH($C61,DESPACHOS!$B$3:$B$3002,0)),""))</f>
        <v/>
      </c>
      <c r="J61" s="43">
        <f>IF($C61="","",IFERROR(INDEX(DESPACHOS!$J$3:$J$3002,MATCH($C61,DESPACHOS!$B$3:$B$3002,0)),""))</f>
        <v/>
      </c>
      <c r="K61" s="39">
        <f>IF($C61="","",IF(COUNTIFS(DESPACHOS!$B$3:$B$3002,$C61)=0,"NO EXISTE",IF(COUNTIFS(DESPACHOS!$B$3:$B$3002,$C61)&gt;1,"DUPLICADO","OK")))</f>
        <v/>
      </c>
      <c r="L61" s="41" t="n"/>
      <c r="M61" s="41" t="n"/>
      <c r="N61" s="42">
        <f>IF($M61="","",IFERROR(INDEX(LISTAS!$F$3:$F$42,MATCH($M61,LISTAS!$E$3:$E$42,0)),"Por definir"))</f>
        <v/>
      </c>
      <c r="O61" s="41" t="n"/>
      <c r="P61" s="39">
        <f>IF($L61="","",IFERROR(INDEX(LISTAS!$B$3:$B$42,MATCH($L61,LISTAS!$A$3:$A$42,0)),"Media"))</f>
        <v/>
      </c>
      <c r="Q61" s="44" t="n"/>
      <c r="R61" s="45" t="n"/>
      <c r="S61" s="20">
        <f>IFERROR(IF(OR($R61="",$C61=""),"",$R61/INDEX(DESPACHOS!$M$3:$M$3002,MATCH($C61,DESPACHOS!$B$3:$B$3002,0))),"")</f>
        <v/>
      </c>
      <c r="T61" s="41" t="n"/>
      <c r="U61" s="43">
        <f>IF(OR($B61="",$L61=""),"",WORKDAY($B61,IFERROR(INDEX(LISTAS!$C$3:$C$42,MATCH($L61,LISTAS!$A$3:$A$42,0)),3)))</f>
        <v/>
      </c>
      <c r="V61" s="40" t="n"/>
      <c r="W61" s="19">
        <f>IF($B61="","",IF($V61&lt;&gt;"",$V61-$B61,TODAY()-$B61))</f>
        <v/>
      </c>
      <c r="X61" s="19">
        <f>IF(OR($B61="",$U61=""),"",IF($V61&lt;&gt;"",MAX(0,$V61-$U61),MAX(0,TODAY()-$U61)))</f>
        <v/>
      </c>
      <c r="Y61" s="39">
        <f>IF($C61="","",IF(IFERROR(INDEX(LISTAS!$I$3:$I$42,MATCH($T61,LISTAS!$H$3:$H$42,0)),"NO")="SÍ",IF(N($X61)&gt;0,"CERRADA FUERA DE SLA","CERRADA EN SLA"),IF($U61="","SIN CLASIFICAR",IF(N($X61)&gt;0,"VENCIDA",IF(TODAY()&gt;=$U61-1,"POR VENCER","EN PLAZO")))))</f>
        <v/>
      </c>
      <c r="Z61" s="41" t="n"/>
      <c r="AA61" s="41" t="n"/>
      <c r="AB61" s="41" t="n"/>
    </row>
    <row r="62">
      <c r="A62" s="39">
        <f>IF($C62="","","NOV-"&amp;TEXT(ROW()-3,"0000"))</f>
        <v/>
      </c>
      <c r="B62" s="40" t="n"/>
      <c r="C62" s="41" t="n"/>
      <c r="D62" s="42">
        <f>IF($C62="","",IFERROR(INDEX(DESPACHOS!$D$3:$D$3002,MATCH($C62,DESPACHOS!$B$3:$B$3002,0)),"SIN DESPACHO"))</f>
        <v/>
      </c>
      <c r="E62" s="42">
        <f>IF($C62="","",IFERROR(INDEX(DESPACHOS!$K$3:$K$3002,MATCH($C62,DESPACHOS!$B$3:$B$3002,0)),""))</f>
        <v/>
      </c>
      <c r="F62" s="42">
        <f>IF($C62="","",IFERROR(INDEX(DESPACHOS!$I$3:$I$3002,MATCH($C62,DESPACHOS!$B$3:$B$3002,0)),""))</f>
        <v/>
      </c>
      <c r="G62" s="42">
        <f>IF($C62="","",IFERROR(INDEX(DESPACHOS!$F$3:$F$3002,MATCH($C62,DESPACHOS!$B$3:$B$3002,0)),""))</f>
        <v/>
      </c>
      <c r="H62" s="42">
        <f>IF($C62="","",IFERROR(INDEX(DESPACHOS!$G$3:$G$3002,MATCH($C62,DESPACHOS!$B$3:$B$3002,0)),""))</f>
        <v/>
      </c>
      <c r="I62" s="39">
        <f>IF($C62="","",IFERROR(INDEX(DESPACHOS!$H$3:$H$3002,MATCH($C62,DESPACHOS!$B$3:$B$3002,0)),""))</f>
        <v/>
      </c>
      <c r="J62" s="43">
        <f>IF($C62="","",IFERROR(INDEX(DESPACHOS!$J$3:$J$3002,MATCH($C62,DESPACHOS!$B$3:$B$3002,0)),""))</f>
        <v/>
      </c>
      <c r="K62" s="39">
        <f>IF($C62="","",IF(COUNTIFS(DESPACHOS!$B$3:$B$3002,$C62)=0,"NO EXISTE",IF(COUNTIFS(DESPACHOS!$B$3:$B$3002,$C62)&gt;1,"DUPLICADO","OK")))</f>
        <v/>
      </c>
      <c r="L62" s="41" t="n"/>
      <c r="M62" s="41" t="n"/>
      <c r="N62" s="42">
        <f>IF($M62="","",IFERROR(INDEX(LISTAS!$F$3:$F$42,MATCH($M62,LISTAS!$E$3:$E$42,0)),"Por definir"))</f>
        <v/>
      </c>
      <c r="O62" s="41" t="n"/>
      <c r="P62" s="39">
        <f>IF($L62="","",IFERROR(INDEX(LISTAS!$B$3:$B$42,MATCH($L62,LISTAS!$A$3:$A$42,0)),"Media"))</f>
        <v/>
      </c>
      <c r="Q62" s="44" t="n"/>
      <c r="R62" s="45" t="n"/>
      <c r="S62" s="20">
        <f>IFERROR(IF(OR($R62="",$C62=""),"",$R62/INDEX(DESPACHOS!$M$3:$M$3002,MATCH($C62,DESPACHOS!$B$3:$B$3002,0))),"")</f>
        <v/>
      </c>
      <c r="T62" s="41" t="n"/>
      <c r="U62" s="43">
        <f>IF(OR($B62="",$L62=""),"",WORKDAY($B62,IFERROR(INDEX(LISTAS!$C$3:$C$42,MATCH($L62,LISTAS!$A$3:$A$42,0)),3)))</f>
        <v/>
      </c>
      <c r="V62" s="40" t="n"/>
      <c r="W62" s="19">
        <f>IF($B62="","",IF($V62&lt;&gt;"",$V62-$B62,TODAY()-$B62))</f>
        <v/>
      </c>
      <c r="X62" s="19">
        <f>IF(OR($B62="",$U62=""),"",IF($V62&lt;&gt;"",MAX(0,$V62-$U62),MAX(0,TODAY()-$U62)))</f>
        <v/>
      </c>
      <c r="Y62" s="39">
        <f>IF($C62="","",IF(IFERROR(INDEX(LISTAS!$I$3:$I$42,MATCH($T62,LISTAS!$H$3:$H$42,0)),"NO")="SÍ",IF(N($X62)&gt;0,"CERRADA FUERA DE SLA","CERRADA EN SLA"),IF($U62="","SIN CLASIFICAR",IF(N($X62)&gt;0,"VENCIDA",IF(TODAY()&gt;=$U62-1,"POR VENCER","EN PLAZO")))))</f>
        <v/>
      </c>
      <c r="Z62" s="41" t="n"/>
      <c r="AA62" s="41" t="n"/>
      <c r="AB62" s="41" t="n"/>
    </row>
    <row r="63">
      <c r="A63" s="39">
        <f>IF($C63="","","NOV-"&amp;TEXT(ROW()-3,"0000"))</f>
        <v/>
      </c>
      <c r="B63" s="40" t="n"/>
      <c r="C63" s="41" t="n"/>
      <c r="D63" s="42">
        <f>IF($C63="","",IFERROR(INDEX(DESPACHOS!$D$3:$D$3002,MATCH($C63,DESPACHOS!$B$3:$B$3002,0)),"SIN DESPACHO"))</f>
        <v/>
      </c>
      <c r="E63" s="42">
        <f>IF($C63="","",IFERROR(INDEX(DESPACHOS!$K$3:$K$3002,MATCH($C63,DESPACHOS!$B$3:$B$3002,0)),""))</f>
        <v/>
      </c>
      <c r="F63" s="42">
        <f>IF($C63="","",IFERROR(INDEX(DESPACHOS!$I$3:$I$3002,MATCH($C63,DESPACHOS!$B$3:$B$3002,0)),""))</f>
        <v/>
      </c>
      <c r="G63" s="42">
        <f>IF($C63="","",IFERROR(INDEX(DESPACHOS!$F$3:$F$3002,MATCH($C63,DESPACHOS!$B$3:$B$3002,0)),""))</f>
        <v/>
      </c>
      <c r="H63" s="42">
        <f>IF($C63="","",IFERROR(INDEX(DESPACHOS!$G$3:$G$3002,MATCH($C63,DESPACHOS!$B$3:$B$3002,0)),""))</f>
        <v/>
      </c>
      <c r="I63" s="39">
        <f>IF($C63="","",IFERROR(INDEX(DESPACHOS!$H$3:$H$3002,MATCH($C63,DESPACHOS!$B$3:$B$3002,0)),""))</f>
        <v/>
      </c>
      <c r="J63" s="43">
        <f>IF($C63="","",IFERROR(INDEX(DESPACHOS!$J$3:$J$3002,MATCH($C63,DESPACHOS!$B$3:$B$3002,0)),""))</f>
        <v/>
      </c>
      <c r="K63" s="39">
        <f>IF($C63="","",IF(COUNTIFS(DESPACHOS!$B$3:$B$3002,$C63)=0,"NO EXISTE",IF(COUNTIFS(DESPACHOS!$B$3:$B$3002,$C63)&gt;1,"DUPLICADO","OK")))</f>
        <v/>
      </c>
      <c r="L63" s="41" t="n"/>
      <c r="M63" s="41" t="n"/>
      <c r="N63" s="42">
        <f>IF($M63="","",IFERROR(INDEX(LISTAS!$F$3:$F$42,MATCH($M63,LISTAS!$E$3:$E$42,0)),"Por definir"))</f>
        <v/>
      </c>
      <c r="O63" s="41" t="n"/>
      <c r="P63" s="39">
        <f>IF($L63="","",IFERROR(INDEX(LISTAS!$B$3:$B$42,MATCH($L63,LISTAS!$A$3:$A$42,0)),"Media"))</f>
        <v/>
      </c>
      <c r="Q63" s="44" t="n"/>
      <c r="R63" s="45" t="n"/>
      <c r="S63" s="20">
        <f>IFERROR(IF(OR($R63="",$C63=""),"",$R63/INDEX(DESPACHOS!$M$3:$M$3002,MATCH($C63,DESPACHOS!$B$3:$B$3002,0))),"")</f>
        <v/>
      </c>
      <c r="T63" s="41" t="n"/>
      <c r="U63" s="43">
        <f>IF(OR($B63="",$L63=""),"",WORKDAY($B63,IFERROR(INDEX(LISTAS!$C$3:$C$42,MATCH($L63,LISTAS!$A$3:$A$42,0)),3)))</f>
        <v/>
      </c>
      <c r="V63" s="40" t="n"/>
      <c r="W63" s="19">
        <f>IF($B63="","",IF($V63&lt;&gt;"",$V63-$B63,TODAY()-$B63))</f>
        <v/>
      </c>
      <c r="X63" s="19">
        <f>IF(OR($B63="",$U63=""),"",IF($V63&lt;&gt;"",MAX(0,$V63-$U63),MAX(0,TODAY()-$U63)))</f>
        <v/>
      </c>
      <c r="Y63" s="39">
        <f>IF($C63="","",IF(IFERROR(INDEX(LISTAS!$I$3:$I$42,MATCH($T63,LISTAS!$H$3:$H$42,0)),"NO")="SÍ",IF(N($X63)&gt;0,"CERRADA FUERA DE SLA","CERRADA EN SLA"),IF($U63="","SIN CLASIFICAR",IF(N($X63)&gt;0,"VENCIDA",IF(TODAY()&gt;=$U63-1,"POR VENCER","EN PLAZO")))))</f>
        <v/>
      </c>
      <c r="Z63" s="41" t="n"/>
      <c r="AA63" s="41" t="n"/>
      <c r="AB63" s="41" t="n"/>
    </row>
    <row r="64">
      <c r="A64" s="39">
        <f>IF($C64="","","NOV-"&amp;TEXT(ROW()-3,"0000"))</f>
        <v/>
      </c>
      <c r="B64" s="40" t="n"/>
      <c r="C64" s="41" t="n"/>
      <c r="D64" s="42">
        <f>IF($C64="","",IFERROR(INDEX(DESPACHOS!$D$3:$D$3002,MATCH($C64,DESPACHOS!$B$3:$B$3002,0)),"SIN DESPACHO"))</f>
        <v/>
      </c>
      <c r="E64" s="42">
        <f>IF($C64="","",IFERROR(INDEX(DESPACHOS!$K$3:$K$3002,MATCH($C64,DESPACHOS!$B$3:$B$3002,0)),""))</f>
        <v/>
      </c>
      <c r="F64" s="42">
        <f>IF($C64="","",IFERROR(INDEX(DESPACHOS!$I$3:$I$3002,MATCH($C64,DESPACHOS!$B$3:$B$3002,0)),""))</f>
        <v/>
      </c>
      <c r="G64" s="42">
        <f>IF($C64="","",IFERROR(INDEX(DESPACHOS!$F$3:$F$3002,MATCH($C64,DESPACHOS!$B$3:$B$3002,0)),""))</f>
        <v/>
      </c>
      <c r="H64" s="42">
        <f>IF($C64="","",IFERROR(INDEX(DESPACHOS!$G$3:$G$3002,MATCH($C64,DESPACHOS!$B$3:$B$3002,0)),""))</f>
        <v/>
      </c>
      <c r="I64" s="39">
        <f>IF($C64="","",IFERROR(INDEX(DESPACHOS!$H$3:$H$3002,MATCH($C64,DESPACHOS!$B$3:$B$3002,0)),""))</f>
        <v/>
      </c>
      <c r="J64" s="43">
        <f>IF($C64="","",IFERROR(INDEX(DESPACHOS!$J$3:$J$3002,MATCH($C64,DESPACHOS!$B$3:$B$3002,0)),""))</f>
        <v/>
      </c>
      <c r="K64" s="39">
        <f>IF($C64="","",IF(COUNTIFS(DESPACHOS!$B$3:$B$3002,$C64)=0,"NO EXISTE",IF(COUNTIFS(DESPACHOS!$B$3:$B$3002,$C64)&gt;1,"DUPLICADO","OK")))</f>
        <v/>
      </c>
      <c r="L64" s="41" t="n"/>
      <c r="M64" s="41" t="n"/>
      <c r="N64" s="42">
        <f>IF($M64="","",IFERROR(INDEX(LISTAS!$F$3:$F$42,MATCH($M64,LISTAS!$E$3:$E$42,0)),"Por definir"))</f>
        <v/>
      </c>
      <c r="O64" s="41" t="n"/>
      <c r="P64" s="39">
        <f>IF($L64="","",IFERROR(INDEX(LISTAS!$B$3:$B$42,MATCH($L64,LISTAS!$A$3:$A$42,0)),"Media"))</f>
        <v/>
      </c>
      <c r="Q64" s="44" t="n"/>
      <c r="R64" s="45" t="n"/>
      <c r="S64" s="20">
        <f>IFERROR(IF(OR($R64="",$C64=""),"",$R64/INDEX(DESPACHOS!$M$3:$M$3002,MATCH($C64,DESPACHOS!$B$3:$B$3002,0))),"")</f>
        <v/>
      </c>
      <c r="T64" s="41" t="n"/>
      <c r="U64" s="43">
        <f>IF(OR($B64="",$L64=""),"",WORKDAY($B64,IFERROR(INDEX(LISTAS!$C$3:$C$42,MATCH($L64,LISTAS!$A$3:$A$42,0)),3)))</f>
        <v/>
      </c>
      <c r="V64" s="40" t="n"/>
      <c r="W64" s="19">
        <f>IF($B64="","",IF($V64&lt;&gt;"",$V64-$B64,TODAY()-$B64))</f>
        <v/>
      </c>
      <c r="X64" s="19">
        <f>IF(OR($B64="",$U64=""),"",IF($V64&lt;&gt;"",MAX(0,$V64-$U64),MAX(0,TODAY()-$U64)))</f>
        <v/>
      </c>
      <c r="Y64" s="39">
        <f>IF($C64="","",IF(IFERROR(INDEX(LISTAS!$I$3:$I$42,MATCH($T64,LISTAS!$H$3:$H$42,0)),"NO")="SÍ",IF(N($X64)&gt;0,"CERRADA FUERA DE SLA","CERRADA EN SLA"),IF($U64="","SIN CLASIFICAR",IF(N($X64)&gt;0,"VENCIDA",IF(TODAY()&gt;=$U64-1,"POR VENCER","EN PLAZO")))))</f>
        <v/>
      </c>
      <c r="Z64" s="41" t="n"/>
      <c r="AA64" s="41" t="n"/>
      <c r="AB64" s="41" t="n"/>
    </row>
    <row r="65">
      <c r="A65" s="39">
        <f>IF($C65="","","NOV-"&amp;TEXT(ROW()-3,"0000"))</f>
        <v/>
      </c>
      <c r="B65" s="40" t="n"/>
      <c r="C65" s="41" t="n"/>
      <c r="D65" s="42">
        <f>IF($C65="","",IFERROR(INDEX(DESPACHOS!$D$3:$D$3002,MATCH($C65,DESPACHOS!$B$3:$B$3002,0)),"SIN DESPACHO"))</f>
        <v/>
      </c>
      <c r="E65" s="42">
        <f>IF($C65="","",IFERROR(INDEX(DESPACHOS!$K$3:$K$3002,MATCH($C65,DESPACHOS!$B$3:$B$3002,0)),""))</f>
        <v/>
      </c>
      <c r="F65" s="42">
        <f>IF($C65="","",IFERROR(INDEX(DESPACHOS!$I$3:$I$3002,MATCH($C65,DESPACHOS!$B$3:$B$3002,0)),""))</f>
        <v/>
      </c>
      <c r="G65" s="42">
        <f>IF($C65="","",IFERROR(INDEX(DESPACHOS!$F$3:$F$3002,MATCH($C65,DESPACHOS!$B$3:$B$3002,0)),""))</f>
        <v/>
      </c>
      <c r="H65" s="42">
        <f>IF($C65="","",IFERROR(INDEX(DESPACHOS!$G$3:$G$3002,MATCH($C65,DESPACHOS!$B$3:$B$3002,0)),""))</f>
        <v/>
      </c>
      <c r="I65" s="39">
        <f>IF($C65="","",IFERROR(INDEX(DESPACHOS!$H$3:$H$3002,MATCH($C65,DESPACHOS!$B$3:$B$3002,0)),""))</f>
        <v/>
      </c>
      <c r="J65" s="43">
        <f>IF($C65="","",IFERROR(INDEX(DESPACHOS!$J$3:$J$3002,MATCH($C65,DESPACHOS!$B$3:$B$3002,0)),""))</f>
        <v/>
      </c>
      <c r="K65" s="39">
        <f>IF($C65="","",IF(COUNTIFS(DESPACHOS!$B$3:$B$3002,$C65)=0,"NO EXISTE",IF(COUNTIFS(DESPACHOS!$B$3:$B$3002,$C65)&gt;1,"DUPLICADO","OK")))</f>
        <v/>
      </c>
      <c r="L65" s="41" t="n"/>
      <c r="M65" s="41" t="n"/>
      <c r="N65" s="42">
        <f>IF($M65="","",IFERROR(INDEX(LISTAS!$F$3:$F$42,MATCH($M65,LISTAS!$E$3:$E$42,0)),"Por definir"))</f>
        <v/>
      </c>
      <c r="O65" s="41" t="n"/>
      <c r="P65" s="39">
        <f>IF($L65="","",IFERROR(INDEX(LISTAS!$B$3:$B$42,MATCH($L65,LISTAS!$A$3:$A$42,0)),"Media"))</f>
        <v/>
      </c>
      <c r="Q65" s="44" t="n"/>
      <c r="R65" s="45" t="n"/>
      <c r="S65" s="20">
        <f>IFERROR(IF(OR($R65="",$C65=""),"",$R65/INDEX(DESPACHOS!$M$3:$M$3002,MATCH($C65,DESPACHOS!$B$3:$B$3002,0))),"")</f>
        <v/>
      </c>
      <c r="T65" s="41" t="n"/>
      <c r="U65" s="43">
        <f>IF(OR($B65="",$L65=""),"",WORKDAY($B65,IFERROR(INDEX(LISTAS!$C$3:$C$42,MATCH($L65,LISTAS!$A$3:$A$42,0)),3)))</f>
        <v/>
      </c>
      <c r="V65" s="40" t="n"/>
      <c r="W65" s="19">
        <f>IF($B65="","",IF($V65&lt;&gt;"",$V65-$B65,TODAY()-$B65))</f>
        <v/>
      </c>
      <c r="X65" s="19">
        <f>IF(OR($B65="",$U65=""),"",IF($V65&lt;&gt;"",MAX(0,$V65-$U65),MAX(0,TODAY()-$U65)))</f>
        <v/>
      </c>
      <c r="Y65" s="39">
        <f>IF($C65="","",IF(IFERROR(INDEX(LISTAS!$I$3:$I$42,MATCH($T65,LISTAS!$H$3:$H$42,0)),"NO")="SÍ",IF(N($X65)&gt;0,"CERRADA FUERA DE SLA","CERRADA EN SLA"),IF($U65="","SIN CLASIFICAR",IF(N($X65)&gt;0,"VENCIDA",IF(TODAY()&gt;=$U65-1,"POR VENCER","EN PLAZO")))))</f>
        <v/>
      </c>
      <c r="Z65" s="41" t="n"/>
      <c r="AA65" s="41" t="n"/>
      <c r="AB65" s="41" t="n"/>
    </row>
    <row r="66">
      <c r="A66" s="39">
        <f>IF($C66="","","NOV-"&amp;TEXT(ROW()-3,"0000"))</f>
        <v/>
      </c>
      <c r="B66" s="40" t="n"/>
      <c r="C66" s="41" t="n"/>
      <c r="D66" s="42">
        <f>IF($C66="","",IFERROR(INDEX(DESPACHOS!$D$3:$D$3002,MATCH($C66,DESPACHOS!$B$3:$B$3002,0)),"SIN DESPACHO"))</f>
        <v/>
      </c>
      <c r="E66" s="42">
        <f>IF($C66="","",IFERROR(INDEX(DESPACHOS!$K$3:$K$3002,MATCH($C66,DESPACHOS!$B$3:$B$3002,0)),""))</f>
        <v/>
      </c>
      <c r="F66" s="42">
        <f>IF($C66="","",IFERROR(INDEX(DESPACHOS!$I$3:$I$3002,MATCH($C66,DESPACHOS!$B$3:$B$3002,0)),""))</f>
        <v/>
      </c>
      <c r="G66" s="42">
        <f>IF($C66="","",IFERROR(INDEX(DESPACHOS!$F$3:$F$3002,MATCH($C66,DESPACHOS!$B$3:$B$3002,0)),""))</f>
        <v/>
      </c>
      <c r="H66" s="42">
        <f>IF($C66="","",IFERROR(INDEX(DESPACHOS!$G$3:$G$3002,MATCH($C66,DESPACHOS!$B$3:$B$3002,0)),""))</f>
        <v/>
      </c>
      <c r="I66" s="39">
        <f>IF($C66="","",IFERROR(INDEX(DESPACHOS!$H$3:$H$3002,MATCH($C66,DESPACHOS!$B$3:$B$3002,0)),""))</f>
        <v/>
      </c>
      <c r="J66" s="43">
        <f>IF($C66="","",IFERROR(INDEX(DESPACHOS!$J$3:$J$3002,MATCH($C66,DESPACHOS!$B$3:$B$3002,0)),""))</f>
        <v/>
      </c>
      <c r="K66" s="39">
        <f>IF($C66="","",IF(COUNTIFS(DESPACHOS!$B$3:$B$3002,$C66)=0,"NO EXISTE",IF(COUNTIFS(DESPACHOS!$B$3:$B$3002,$C66)&gt;1,"DUPLICADO","OK")))</f>
        <v/>
      </c>
      <c r="L66" s="41" t="n"/>
      <c r="M66" s="41" t="n"/>
      <c r="N66" s="42">
        <f>IF($M66="","",IFERROR(INDEX(LISTAS!$F$3:$F$42,MATCH($M66,LISTAS!$E$3:$E$42,0)),"Por definir"))</f>
        <v/>
      </c>
      <c r="O66" s="41" t="n"/>
      <c r="P66" s="39">
        <f>IF($L66="","",IFERROR(INDEX(LISTAS!$B$3:$B$42,MATCH($L66,LISTAS!$A$3:$A$42,0)),"Media"))</f>
        <v/>
      </c>
      <c r="Q66" s="44" t="n"/>
      <c r="R66" s="45" t="n"/>
      <c r="S66" s="20">
        <f>IFERROR(IF(OR($R66="",$C66=""),"",$R66/INDEX(DESPACHOS!$M$3:$M$3002,MATCH($C66,DESPACHOS!$B$3:$B$3002,0))),"")</f>
        <v/>
      </c>
      <c r="T66" s="41" t="n"/>
      <c r="U66" s="43">
        <f>IF(OR($B66="",$L66=""),"",WORKDAY($B66,IFERROR(INDEX(LISTAS!$C$3:$C$42,MATCH($L66,LISTAS!$A$3:$A$42,0)),3)))</f>
        <v/>
      </c>
      <c r="V66" s="40" t="n"/>
      <c r="W66" s="19">
        <f>IF($B66="","",IF($V66&lt;&gt;"",$V66-$B66,TODAY()-$B66))</f>
        <v/>
      </c>
      <c r="X66" s="19">
        <f>IF(OR($B66="",$U66=""),"",IF($V66&lt;&gt;"",MAX(0,$V66-$U66),MAX(0,TODAY()-$U66)))</f>
        <v/>
      </c>
      <c r="Y66" s="39">
        <f>IF($C66="","",IF(IFERROR(INDEX(LISTAS!$I$3:$I$42,MATCH($T66,LISTAS!$H$3:$H$42,0)),"NO")="SÍ",IF(N($X66)&gt;0,"CERRADA FUERA DE SLA","CERRADA EN SLA"),IF($U66="","SIN CLASIFICAR",IF(N($X66)&gt;0,"VENCIDA",IF(TODAY()&gt;=$U66-1,"POR VENCER","EN PLAZO")))))</f>
        <v/>
      </c>
      <c r="Z66" s="41" t="n"/>
      <c r="AA66" s="41" t="n"/>
      <c r="AB66" s="41" t="n"/>
    </row>
    <row r="67">
      <c r="A67" s="39">
        <f>IF($C67="","","NOV-"&amp;TEXT(ROW()-3,"0000"))</f>
        <v/>
      </c>
      <c r="B67" s="40" t="n"/>
      <c r="C67" s="41" t="n"/>
      <c r="D67" s="42">
        <f>IF($C67="","",IFERROR(INDEX(DESPACHOS!$D$3:$D$3002,MATCH($C67,DESPACHOS!$B$3:$B$3002,0)),"SIN DESPACHO"))</f>
        <v/>
      </c>
      <c r="E67" s="42">
        <f>IF($C67="","",IFERROR(INDEX(DESPACHOS!$K$3:$K$3002,MATCH($C67,DESPACHOS!$B$3:$B$3002,0)),""))</f>
        <v/>
      </c>
      <c r="F67" s="42">
        <f>IF($C67="","",IFERROR(INDEX(DESPACHOS!$I$3:$I$3002,MATCH($C67,DESPACHOS!$B$3:$B$3002,0)),""))</f>
        <v/>
      </c>
      <c r="G67" s="42">
        <f>IF($C67="","",IFERROR(INDEX(DESPACHOS!$F$3:$F$3002,MATCH($C67,DESPACHOS!$B$3:$B$3002,0)),""))</f>
        <v/>
      </c>
      <c r="H67" s="42">
        <f>IF($C67="","",IFERROR(INDEX(DESPACHOS!$G$3:$G$3002,MATCH($C67,DESPACHOS!$B$3:$B$3002,0)),""))</f>
        <v/>
      </c>
      <c r="I67" s="39">
        <f>IF($C67="","",IFERROR(INDEX(DESPACHOS!$H$3:$H$3002,MATCH($C67,DESPACHOS!$B$3:$B$3002,0)),""))</f>
        <v/>
      </c>
      <c r="J67" s="43">
        <f>IF($C67="","",IFERROR(INDEX(DESPACHOS!$J$3:$J$3002,MATCH($C67,DESPACHOS!$B$3:$B$3002,0)),""))</f>
        <v/>
      </c>
      <c r="K67" s="39">
        <f>IF($C67="","",IF(COUNTIFS(DESPACHOS!$B$3:$B$3002,$C67)=0,"NO EXISTE",IF(COUNTIFS(DESPACHOS!$B$3:$B$3002,$C67)&gt;1,"DUPLICADO","OK")))</f>
        <v/>
      </c>
      <c r="L67" s="41" t="n"/>
      <c r="M67" s="41" t="n"/>
      <c r="N67" s="42">
        <f>IF($M67="","",IFERROR(INDEX(LISTAS!$F$3:$F$42,MATCH($M67,LISTAS!$E$3:$E$42,0)),"Por definir"))</f>
        <v/>
      </c>
      <c r="O67" s="41" t="n"/>
      <c r="P67" s="39">
        <f>IF($L67="","",IFERROR(INDEX(LISTAS!$B$3:$B$42,MATCH($L67,LISTAS!$A$3:$A$42,0)),"Media"))</f>
        <v/>
      </c>
      <c r="Q67" s="44" t="n"/>
      <c r="R67" s="45" t="n"/>
      <c r="S67" s="20">
        <f>IFERROR(IF(OR($R67="",$C67=""),"",$R67/INDEX(DESPACHOS!$M$3:$M$3002,MATCH($C67,DESPACHOS!$B$3:$B$3002,0))),"")</f>
        <v/>
      </c>
      <c r="T67" s="41" t="n"/>
      <c r="U67" s="43">
        <f>IF(OR($B67="",$L67=""),"",WORKDAY($B67,IFERROR(INDEX(LISTAS!$C$3:$C$42,MATCH($L67,LISTAS!$A$3:$A$42,0)),3)))</f>
        <v/>
      </c>
      <c r="V67" s="40" t="n"/>
      <c r="W67" s="19">
        <f>IF($B67="","",IF($V67&lt;&gt;"",$V67-$B67,TODAY()-$B67))</f>
        <v/>
      </c>
      <c r="X67" s="19">
        <f>IF(OR($B67="",$U67=""),"",IF($V67&lt;&gt;"",MAX(0,$V67-$U67),MAX(0,TODAY()-$U67)))</f>
        <v/>
      </c>
      <c r="Y67" s="39">
        <f>IF($C67="","",IF(IFERROR(INDEX(LISTAS!$I$3:$I$42,MATCH($T67,LISTAS!$H$3:$H$42,0)),"NO")="SÍ",IF(N($X67)&gt;0,"CERRADA FUERA DE SLA","CERRADA EN SLA"),IF($U67="","SIN CLASIFICAR",IF(N($X67)&gt;0,"VENCIDA",IF(TODAY()&gt;=$U67-1,"POR VENCER","EN PLAZO")))))</f>
        <v/>
      </c>
      <c r="Z67" s="41" t="n"/>
      <c r="AA67" s="41" t="n"/>
      <c r="AB67" s="41" t="n"/>
    </row>
    <row r="68">
      <c r="A68" s="39">
        <f>IF($C68="","","NOV-"&amp;TEXT(ROW()-3,"0000"))</f>
        <v/>
      </c>
      <c r="B68" s="40" t="n"/>
      <c r="C68" s="41" t="n"/>
      <c r="D68" s="42">
        <f>IF($C68="","",IFERROR(INDEX(DESPACHOS!$D$3:$D$3002,MATCH($C68,DESPACHOS!$B$3:$B$3002,0)),"SIN DESPACHO"))</f>
        <v/>
      </c>
      <c r="E68" s="42">
        <f>IF($C68="","",IFERROR(INDEX(DESPACHOS!$K$3:$K$3002,MATCH($C68,DESPACHOS!$B$3:$B$3002,0)),""))</f>
        <v/>
      </c>
      <c r="F68" s="42">
        <f>IF($C68="","",IFERROR(INDEX(DESPACHOS!$I$3:$I$3002,MATCH($C68,DESPACHOS!$B$3:$B$3002,0)),""))</f>
        <v/>
      </c>
      <c r="G68" s="42">
        <f>IF($C68="","",IFERROR(INDEX(DESPACHOS!$F$3:$F$3002,MATCH($C68,DESPACHOS!$B$3:$B$3002,0)),""))</f>
        <v/>
      </c>
      <c r="H68" s="42">
        <f>IF($C68="","",IFERROR(INDEX(DESPACHOS!$G$3:$G$3002,MATCH($C68,DESPACHOS!$B$3:$B$3002,0)),""))</f>
        <v/>
      </c>
      <c r="I68" s="39">
        <f>IF($C68="","",IFERROR(INDEX(DESPACHOS!$H$3:$H$3002,MATCH($C68,DESPACHOS!$B$3:$B$3002,0)),""))</f>
        <v/>
      </c>
      <c r="J68" s="43">
        <f>IF($C68="","",IFERROR(INDEX(DESPACHOS!$J$3:$J$3002,MATCH($C68,DESPACHOS!$B$3:$B$3002,0)),""))</f>
        <v/>
      </c>
      <c r="K68" s="39">
        <f>IF($C68="","",IF(COUNTIFS(DESPACHOS!$B$3:$B$3002,$C68)=0,"NO EXISTE",IF(COUNTIFS(DESPACHOS!$B$3:$B$3002,$C68)&gt;1,"DUPLICADO","OK")))</f>
        <v/>
      </c>
      <c r="L68" s="41" t="n"/>
      <c r="M68" s="41" t="n"/>
      <c r="N68" s="42">
        <f>IF($M68="","",IFERROR(INDEX(LISTAS!$F$3:$F$42,MATCH($M68,LISTAS!$E$3:$E$42,0)),"Por definir"))</f>
        <v/>
      </c>
      <c r="O68" s="41" t="n"/>
      <c r="P68" s="39">
        <f>IF($L68="","",IFERROR(INDEX(LISTAS!$B$3:$B$42,MATCH($L68,LISTAS!$A$3:$A$42,0)),"Media"))</f>
        <v/>
      </c>
      <c r="Q68" s="44" t="n"/>
      <c r="R68" s="45" t="n"/>
      <c r="S68" s="20">
        <f>IFERROR(IF(OR($R68="",$C68=""),"",$R68/INDEX(DESPACHOS!$M$3:$M$3002,MATCH($C68,DESPACHOS!$B$3:$B$3002,0))),"")</f>
        <v/>
      </c>
      <c r="T68" s="41" t="n"/>
      <c r="U68" s="43">
        <f>IF(OR($B68="",$L68=""),"",WORKDAY($B68,IFERROR(INDEX(LISTAS!$C$3:$C$42,MATCH($L68,LISTAS!$A$3:$A$42,0)),3)))</f>
        <v/>
      </c>
      <c r="V68" s="40" t="n"/>
      <c r="W68" s="19">
        <f>IF($B68="","",IF($V68&lt;&gt;"",$V68-$B68,TODAY()-$B68))</f>
        <v/>
      </c>
      <c r="X68" s="19">
        <f>IF(OR($B68="",$U68=""),"",IF($V68&lt;&gt;"",MAX(0,$V68-$U68),MAX(0,TODAY()-$U68)))</f>
        <v/>
      </c>
      <c r="Y68" s="39">
        <f>IF($C68="","",IF(IFERROR(INDEX(LISTAS!$I$3:$I$42,MATCH($T68,LISTAS!$H$3:$H$42,0)),"NO")="SÍ",IF(N($X68)&gt;0,"CERRADA FUERA DE SLA","CERRADA EN SLA"),IF($U68="","SIN CLASIFICAR",IF(N($X68)&gt;0,"VENCIDA",IF(TODAY()&gt;=$U68-1,"POR VENCER","EN PLAZO")))))</f>
        <v/>
      </c>
      <c r="Z68" s="41" t="n"/>
      <c r="AA68" s="41" t="n"/>
      <c r="AB68" s="41" t="n"/>
    </row>
    <row r="69">
      <c r="A69" s="39">
        <f>IF($C69="","","NOV-"&amp;TEXT(ROW()-3,"0000"))</f>
        <v/>
      </c>
      <c r="B69" s="40" t="n"/>
      <c r="C69" s="41" t="n"/>
      <c r="D69" s="42">
        <f>IF($C69="","",IFERROR(INDEX(DESPACHOS!$D$3:$D$3002,MATCH($C69,DESPACHOS!$B$3:$B$3002,0)),"SIN DESPACHO"))</f>
        <v/>
      </c>
      <c r="E69" s="42">
        <f>IF($C69="","",IFERROR(INDEX(DESPACHOS!$K$3:$K$3002,MATCH($C69,DESPACHOS!$B$3:$B$3002,0)),""))</f>
        <v/>
      </c>
      <c r="F69" s="42">
        <f>IF($C69="","",IFERROR(INDEX(DESPACHOS!$I$3:$I$3002,MATCH($C69,DESPACHOS!$B$3:$B$3002,0)),""))</f>
        <v/>
      </c>
      <c r="G69" s="42">
        <f>IF($C69="","",IFERROR(INDEX(DESPACHOS!$F$3:$F$3002,MATCH($C69,DESPACHOS!$B$3:$B$3002,0)),""))</f>
        <v/>
      </c>
      <c r="H69" s="42">
        <f>IF($C69="","",IFERROR(INDEX(DESPACHOS!$G$3:$G$3002,MATCH($C69,DESPACHOS!$B$3:$B$3002,0)),""))</f>
        <v/>
      </c>
      <c r="I69" s="39">
        <f>IF($C69="","",IFERROR(INDEX(DESPACHOS!$H$3:$H$3002,MATCH($C69,DESPACHOS!$B$3:$B$3002,0)),""))</f>
        <v/>
      </c>
      <c r="J69" s="43">
        <f>IF($C69="","",IFERROR(INDEX(DESPACHOS!$J$3:$J$3002,MATCH($C69,DESPACHOS!$B$3:$B$3002,0)),""))</f>
        <v/>
      </c>
      <c r="K69" s="39">
        <f>IF($C69="","",IF(COUNTIFS(DESPACHOS!$B$3:$B$3002,$C69)=0,"NO EXISTE",IF(COUNTIFS(DESPACHOS!$B$3:$B$3002,$C69)&gt;1,"DUPLICADO","OK")))</f>
        <v/>
      </c>
      <c r="L69" s="41" t="n"/>
      <c r="M69" s="41" t="n"/>
      <c r="N69" s="42">
        <f>IF($M69="","",IFERROR(INDEX(LISTAS!$F$3:$F$42,MATCH($M69,LISTAS!$E$3:$E$42,0)),"Por definir"))</f>
        <v/>
      </c>
      <c r="O69" s="41" t="n"/>
      <c r="P69" s="39">
        <f>IF($L69="","",IFERROR(INDEX(LISTAS!$B$3:$B$42,MATCH($L69,LISTAS!$A$3:$A$42,0)),"Media"))</f>
        <v/>
      </c>
      <c r="Q69" s="44" t="n"/>
      <c r="R69" s="45" t="n"/>
      <c r="S69" s="20">
        <f>IFERROR(IF(OR($R69="",$C69=""),"",$R69/INDEX(DESPACHOS!$M$3:$M$3002,MATCH($C69,DESPACHOS!$B$3:$B$3002,0))),"")</f>
        <v/>
      </c>
      <c r="T69" s="41" t="n"/>
      <c r="U69" s="43">
        <f>IF(OR($B69="",$L69=""),"",WORKDAY($B69,IFERROR(INDEX(LISTAS!$C$3:$C$42,MATCH($L69,LISTAS!$A$3:$A$42,0)),3)))</f>
        <v/>
      </c>
      <c r="V69" s="40" t="n"/>
      <c r="W69" s="19">
        <f>IF($B69="","",IF($V69&lt;&gt;"",$V69-$B69,TODAY()-$B69))</f>
        <v/>
      </c>
      <c r="X69" s="19">
        <f>IF(OR($B69="",$U69=""),"",IF($V69&lt;&gt;"",MAX(0,$V69-$U69),MAX(0,TODAY()-$U69)))</f>
        <v/>
      </c>
      <c r="Y69" s="39">
        <f>IF($C69="","",IF(IFERROR(INDEX(LISTAS!$I$3:$I$42,MATCH($T69,LISTAS!$H$3:$H$42,0)),"NO")="SÍ",IF(N($X69)&gt;0,"CERRADA FUERA DE SLA","CERRADA EN SLA"),IF($U69="","SIN CLASIFICAR",IF(N($X69)&gt;0,"VENCIDA",IF(TODAY()&gt;=$U69-1,"POR VENCER","EN PLAZO")))))</f>
        <v/>
      </c>
      <c r="Z69" s="41" t="n"/>
      <c r="AA69" s="41" t="n"/>
      <c r="AB69" s="41" t="n"/>
    </row>
    <row r="70">
      <c r="A70" s="39">
        <f>IF($C70="","","NOV-"&amp;TEXT(ROW()-3,"0000"))</f>
        <v/>
      </c>
      <c r="B70" s="40" t="n"/>
      <c r="C70" s="41" t="n"/>
      <c r="D70" s="42">
        <f>IF($C70="","",IFERROR(INDEX(DESPACHOS!$D$3:$D$3002,MATCH($C70,DESPACHOS!$B$3:$B$3002,0)),"SIN DESPACHO"))</f>
        <v/>
      </c>
      <c r="E70" s="42">
        <f>IF($C70="","",IFERROR(INDEX(DESPACHOS!$K$3:$K$3002,MATCH($C70,DESPACHOS!$B$3:$B$3002,0)),""))</f>
        <v/>
      </c>
      <c r="F70" s="42">
        <f>IF($C70="","",IFERROR(INDEX(DESPACHOS!$I$3:$I$3002,MATCH($C70,DESPACHOS!$B$3:$B$3002,0)),""))</f>
        <v/>
      </c>
      <c r="G70" s="42">
        <f>IF($C70="","",IFERROR(INDEX(DESPACHOS!$F$3:$F$3002,MATCH($C70,DESPACHOS!$B$3:$B$3002,0)),""))</f>
        <v/>
      </c>
      <c r="H70" s="42">
        <f>IF($C70="","",IFERROR(INDEX(DESPACHOS!$G$3:$G$3002,MATCH($C70,DESPACHOS!$B$3:$B$3002,0)),""))</f>
        <v/>
      </c>
      <c r="I70" s="39">
        <f>IF($C70="","",IFERROR(INDEX(DESPACHOS!$H$3:$H$3002,MATCH($C70,DESPACHOS!$B$3:$B$3002,0)),""))</f>
        <v/>
      </c>
      <c r="J70" s="43">
        <f>IF($C70="","",IFERROR(INDEX(DESPACHOS!$J$3:$J$3002,MATCH($C70,DESPACHOS!$B$3:$B$3002,0)),""))</f>
        <v/>
      </c>
      <c r="K70" s="39">
        <f>IF($C70="","",IF(COUNTIFS(DESPACHOS!$B$3:$B$3002,$C70)=0,"NO EXISTE",IF(COUNTIFS(DESPACHOS!$B$3:$B$3002,$C70)&gt;1,"DUPLICADO","OK")))</f>
        <v/>
      </c>
      <c r="L70" s="41" t="n"/>
      <c r="M70" s="41" t="n"/>
      <c r="N70" s="42">
        <f>IF($M70="","",IFERROR(INDEX(LISTAS!$F$3:$F$42,MATCH($M70,LISTAS!$E$3:$E$42,0)),"Por definir"))</f>
        <v/>
      </c>
      <c r="O70" s="41" t="n"/>
      <c r="P70" s="39">
        <f>IF($L70="","",IFERROR(INDEX(LISTAS!$B$3:$B$42,MATCH($L70,LISTAS!$A$3:$A$42,0)),"Media"))</f>
        <v/>
      </c>
      <c r="Q70" s="44" t="n"/>
      <c r="R70" s="45" t="n"/>
      <c r="S70" s="20">
        <f>IFERROR(IF(OR($R70="",$C70=""),"",$R70/INDEX(DESPACHOS!$M$3:$M$3002,MATCH($C70,DESPACHOS!$B$3:$B$3002,0))),"")</f>
        <v/>
      </c>
      <c r="T70" s="41" t="n"/>
      <c r="U70" s="43">
        <f>IF(OR($B70="",$L70=""),"",WORKDAY($B70,IFERROR(INDEX(LISTAS!$C$3:$C$42,MATCH($L70,LISTAS!$A$3:$A$42,0)),3)))</f>
        <v/>
      </c>
      <c r="V70" s="40" t="n"/>
      <c r="W70" s="19">
        <f>IF($B70="","",IF($V70&lt;&gt;"",$V70-$B70,TODAY()-$B70))</f>
        <v/>
      </c>
      <c r="X70" s="19">
        <f>IF(OR($B70="",$U70=""),"",IF($V70&lt;&gt;"",MAX(0,$V70-$U70),MAX(0,TODAY()-$U70)))</f>
        <v/>
      </c>
      <c r="Y70" s="39">
        <f>IF($C70="","",IF(IFERROR(INDEX(LISTAS!$I$3:$I$42,MATCH($T70,LISTAS!$H$3:$H$42,0)),"NO")="SÍ",IF(N($X70)&gt;0,"CERRADA FUERA DE SLA","CERRADA EN SLA"),IF($U70="","SIN CLASIFICAR",IF(N($X70)&gt;0,"VENCIDA",IF(TODAY()&gt;=$U70-1,"POR VENCER","EN PLAZO")))))</f>
        <v/>
      </c>
      <c r="Z70" s="41" t="n"/>
      <c r="AA70" s="41" t="n"/>
      <c r="AB70" s="41" t="n"/>
    </row>
    <row r="71">
      <c r="A71" s="39">
        <f>IF($C71="","","NOV-"&amp;TEXT(ROW()-3,"0000"))</f>
        <v/>
      </c>
      <c r="B71" s="40" t="n"/>
      <c r="C71" s="41" t="n"/>
      <c r="D71" s="42">
        <f>IF($C71="","",IFERROR(INDEX(DESPACHOS!$D$3:$D$3002,MATCH($C71,DESPACHOS!$B$3:$B$3002,0)),"SIN DESPACHO"))</f>
        <v/>
      </c>
      <c r="E71" s="42">
        <f>IF($C71="","",IFERROR(INDEX(DESPACHOS!$K$3:$K$3002,MATCH($C71,DESPACHOS!$B$3:$B$3002,0)),""))</f>
        <v/>
      </c>
      <c r="F71" s="42">
        <f>IF($C71="","",IFERROR(INDEX(DESPACHOS!$I$3:$I$3002,MATCH($C71,DESPACHOS!$B$3:$B$3002,0)),""))</f>
        <v/>
      </c>
      <c r="G71" s="42">
        <f>IF($C71="","",IFERROR(INDEX(DESPACHOS!$F$3:$F$3002,MATCH($C71,DESPACHOS!$B$3:$B$3002,0)),""))</f>
        <v/>
      </c>
      <c r="H71" s="42">
        <f>IF($C71="","",IFERROR(INDEX(DESPACHOS!$G$3:$G$3002,MATCH($C71,DESPACHOS!$B$3:$B$3002,0)),""))</f>
        <v/>
      </c>
      <c r="I71" s="39">
        <f>IF($C71="","",IFERROR(INDEX(DESPACHOS!$H$3:$H$3002,MATCH($C71,DESPACHOS!$B$3:$B$3002,0)),""))</f>
        <v/>
      </c>
      <c r="J71" s="43">
        <f>IF($C71="","",IFERROR(INDEX(DESPACHOS!$J$3:$J$3002,MATCH($C71,DESPACHOS!$B$3:$B$3002,0)),""))</f>
        <v/>
      </c>
      <c r="K71" s="39">
        <f>IF($C71="","",IF(COUNTIFS(DESPACHOS!$B$3:$B$3002,$C71)=0,"NO EXISTE",IF(COUNTIFS(DESPACHOS!$B$3:$B$3002,$C71)&gt;1,"DUPLICADO","OK")))</f>
        <v/>
      </c>
      <c r="L71" s="41" t="n"/>
      <c r="M71" s="41" t="n"/>
      <c r="N71" s="42">
        <f>IF($M71="","",IFERROR(INDEX(LISTAS!$F$3:$F$42,MATCH($M71,LISTAS!$E$3:$E$42,0)),"Por definir"))</f>
        <v/>
      </c>
      <c r="O71" s="41" t="n"/>
      <c r="P71" s="39">
        <f>IF($L71="","",IFERROR(INDEX(LISTAS!$B$3:$B$42,MATCH($L71,LISTAS!$A$3:$A$42,0)),"Media"))</f>
        <v/>
      </c>
      <c r="Q71" s="44" t="n"/>
      <c r="R71" s="45" t="n"/>
      <c r="S71" s="20">
        <f>IFERROR(IF(OR($R71="",$C71=""),"",$R71/INDEX(DESPACHOS!$M$3:$M$3002,MATCH($C71,DESPACHOS!$B$3:$B$3002,0))),"")</f>
        <v/>
      </c>
      <c r="T71" s="41" t="n"/>
      <c r="U71" s="43">
        <f>IF(OR($B71="",$L71=""),"",WORKDAY($B71,IFERROR(INDEX(LISTAS!$C$3:$C$42,MATCH($L71,LISTAS!$A$3:$A$42,0)),3)))</f>
        <v/>
      </c>
      <c r="V71" s="40" t="n"/>
      <c r="W71" s="19">
        <f>IF($B71="","",IF($V71&lt;&gt;"",$V71-$B71,TODAY()-$B71))</f>
        <v/>
      </c>
      <c r="X71" s="19">
        <f>IF(OR($B71="",$U71=""),"",IF($V71&lt;&gt;"",MAX(0,$V71-$U71),MAX(0,TODAY()-$U71)))</f>
        <v/>
      </c>
      <c r="Y71" s="39">
        <f>IF($C71="","",IF(IFERROR(INDEX(LISTAS!$I$3:$I$42,MATCH($T71,LISTAS!$H$3:$H$42,0)),"NO")="SÍ",IF(N($X71)&gt;0,"CERRADA FUERA DE SLA","CERRADA EN SLA"),IF($U71="","SIN CLASIFICAR",IF(N($X71)&gt;0,"VENCIDA",IF(TODAY()&gt;=$U71-1,"POR VENCER","EN PLAZO")))))</f>
        <v/>
      </c>
      <c r="Z71" s="41" t="n"/>
      <c r="AA71" s="41" t="n"/>
      <c r="AB71" s="41" t="n"/>
    </row>
    <row r="72">
      <c r="A72" s="39">
        <f>IF($C72="","","NOV-"&amp;TEXT(ROW()-3,"0000"))</f>
        <v/>
      </c>
      <c r="B72" s="40" t="n"/>
      <c r="C72" s="41" t="n"/>
      <c r="D72" s="42">
        <f>IF($C72="","",IFERROR(INDEX(DESPACHOS!$D$3:$D$3002,MATCH($C72,DESPACHOS!$B$3:$B$3002,0)),"SIN DESPACHO"))</f>
        <v/>
      </c>
      <c r="E72" s="42">
        <f>IF($C72="","",IFERROR(INDEX(DESPACHOS!$K$3:$K$3002,MATCH($C72,DESPACHOS!$B$3:$B$3002,0)),""))</f>
        <v/>
      </c>
      <c r="F72" s="42">
        <f>IF($C72="","",IFERROR(INDEX(DESPACHOS!$I$3:$I$3002,MATCH($C72,DESPACHOS!$B$3:$B$3002,0)),""))</f>
        <v/>
      </c>
      <c r="G72" s="42">
        <f>IF($C72="","",IFERROR(INDEX(DESPACHOS!$F$3:$F$3002,MATCH($C72,DESPACHOS!$B$3:$B$3002,0)),""))</f>
        <v/>
      </c>
      <c r="H72" s="42">
        <f>IF($C72="","",IFERROR(INDEX(DESPACHOS!$G$3:$G$3002,MATCH($C72,DESPACHOS!$B$3:$B$3002,0)),""))</f>
        <v/>
      </c>
      <c r="I72" s="39">
        <f>IF($C72="","",IFERROR(INDEX(DESPACHOS!$H$3:$H$3002,MATCH($C72,DESPACHOS!$B$3:$B$3002,0)),""))</f>
        <v/>
      </c>
      <c r="J72" s="43">
        <f>IF($C72="","",IFERROR(INDEX(DESPACHOS!$J$3:$J$3002,MATCH($C72,DESPACHOS!$B$3:$B$3002,0)),""))</f>
        <v/>
      </c>
      <c r="K72" s="39">
        <f>IF($C72="","",IF(COUNTIFS(DESPACHOS!$B$3:$B$3002,$C72)=0,"NO EXISTE",IF(COUNTIFS(DESPACHOS!$B$3:$B$3002,$C72)&gt;1,"DUPLICADO","OK")))</f>
        <v/>
      </c>
      <c r="L72" s="41" t="n"/>
      <c r="M72" s="41" t="n"/>
      <c r="N72" s="42">
        <f>IF($M72="","",IFERROR(INDEX(LISTAS!$F$3:$F$42,MATCH($M72,LISTAS!$E$3:$E$42,0)),"Por definir"))</f>
        <v/>
      </c>
      <c r="O72" s="41" t="n"/>
      <c r="P72" s="39">
        <f>IF($L72="","",IFERROR(INDEX(LISTAS!$B$3:$B$42,MATCH($L72,LISTAS!$A$3:$A$42,0)),"Media"))</f>
        <v/>
      </c>
      <c r="Q72" s="44" t="n"/>
      <c r="R72" s="45" t="n"/>
      <c r="S72" s="20">
        <f>IFERROR(IF(OR($R72="",$C72=""),"",$R72/INDEX(DESPACHOS!$M$3:$M$3002,MATCH($C72,DESPACHOS!$B$3:$B$3002,0))),"")</f>
        <v/>
      </c>
      <c r="T72" s="41" t="n"/>
      <c r="U72" s="43">
        <f>IF(OR($B72="",$L72=""),"",WORKDAY($B72,IFERROR(INDEX(LISTAS!$C$3:$C$42,MATCH($L72,LISTAS!$A$3:$A$42,0)),3)))</f>
        <v/>
      </c>
      <c r="V72" s="40" t="n"/>
      <c r="W72" s="19">
        <f>IF($B72="","",IF($V72&lt;&gt;"",$V72-$B72,TODAY()-$B72))</f>
        <v/>
      </c>
      <c r="X72" s="19">
        <f>IF(OR($B72="",$U72=""),"",IF($V72&lt;&gt;"",MAX(0,$V72-$U72),MAX(0,TODAY()-$U72)))</f>
        <v/>
      </c>
      <c r="Y72" s="39">
        <f>IF($C72="","",IF(IFERROR(INDEX(LISTAS!$I$3:$I$42,MATCH($T72,LISTAS!$H$3:$H$42,0)),"NO")="SÍ",IF(N($X72)&gt;0,"CERRADA FUERA DE SLA","CERRADA EN SLA"),IF($U72="","SIN CLASIFICAR",IF(N($X72)&gt;0,"VENCIDA",IF(TODAY()&gt;=$U72-1,"POR VENCER","EN PLAZO")))))</f>
        <v/>
      </c>
      <c r="Z72" s="41" t="n"/>
      <c r="AA72" s="41" t="n"/>
      <c r="AB72" s="41" t="n"/>
    </row>
    <row r="73">
      <c r="A73" s="39">
        <f>IF($C73="","","NOV-"&amp;TEXT(ROW()-3,"0000"))</f>
        <v/>
      </c>
      <c r="B73" s="40" t="n"/>
      <c r="C73" s="41" t="n"/>
      <c r="D73" s="42">
        <f>IF($C73="","",IFERROR(INDEX(DESPACHOS!$D$3:$D$3002,MATCH($C73,DESPACHOS!$B$3:$B$3002,0)),"SIN DESPACHO"))</f>
        <v/>
      </c>
      <c r="E73" s="42">
        <f>IF($C73="","",IFERROR(INDEX(DESPACHOS!$K$3:$K$3002,MATCH($C73,DESPACHOS!$B$3:$B$3002,0)),""))</f>
        <v/>
      </c>
      <c r="F73" s="42">
        <f>IF($C73="","",IFERROR(INDEX(DESPACHOS!$I$3:$I$3002,MATCH($C73,DESPACHOS!$B$3:$B$3002,0)),""))</f>
        <v/>
      </c>
      <c r="G73" s="42">
        <f>IF($C73="","",IFERROR(INDEX(DESPACHOS!$F$3:$F$3002,MATCH($C73,DESPACHOS!$B$3:$B$3002,0)),""))</f>
        <v/>
      </c>
      <c r="H73" s="42">
        <f>IF($C73="","",IFERROR(INDEX(DESPACHOS!$G$3:$G$3002,MATCH($C73,DESPACHOS!$B$3:$B$3002,0)),""))</f>
        <v/>
      </c>
      <c r="I73" s="39">
        <f>IF($C73="","",IFERROR(INDEX(DESPACHOS!$H$3:$H$3002,MATCH($C73,DESPACHOS!$B$3:$B$3002,0)),""))</f>
        <v/>
      </c>
      <c r="J73" s="43">
        <f>IF($C73="","",IFERROR(INDEX(DESPACHOS!$J$3:$J$3002,MATCH($C73,DESPACHOS!$B$3:$B$3002,0)),""))</f>
        <v/>
      </c>
      <c r="K73" s="39">
        <f>IF($C73="","",IF(COUNTIFS(DESPACHOS!$B$3:$B$3002,$C73)=0,"NO EXISTE",IF(COUNTIFS(DESPACHOS!$B$3:$B$3002,$C73)&gt;1,"DUPLICADO","OK")))</f>
        <v/>
      </c>
      <c r="L73" s="41" t="n"/>
      <c r="M73" s="41" t="n"/>
      <c r="N73" s="42">
        <f>IF($M73="","",IFERROR(INDEX(LISTAS!$F$3:$F$42,MATCH($M73,LISTAS!$E$3:$E$42,0)),"Por definir"))</f>
        <v/>
      </c>
      <c r="O73" s="41" t="n"/>
      <c r="P73" s="39">
        <f>IF($L73="","",IFERROR(INDEX(LISTAS!$B$3:$B$42,MATCH($L73,LISTAS!$A$3:$A$42,0)),"Media"))</f>
        <v/>
      </c>
      <c r="Q73" s="44" t="n"/>
      <c r="R73" s="45" t="n"/>
      <c r="S73" s="20">
        <f>IFERROR(IF(OR($R73="",$C73=""),"",$R73/INDEX(DESPACHOS!$M$3:$M$3002,MATCH($C73,DESPACHOS!$B$3:$B$3002,0))),"")</f>
        <v/>
      </c>
      <c r="T73" s="41" t="n"/>
      <c r="U73" s="43">
        <f>IF(OR($B73="",$L73=""),"",WORKDAY($B73,IFERROR(INDEX(LISTAS!$C$3:$C$42,MATCH($L73,LISTAS!$A$3:$A$42,0)),3)))</f>
        <v/>
      </c>
      <c r="V73" s="40" t="n"/>
      <c r="W73" s="19">
        <f>IF($B73="","",IF($V73&lt;&gt;"",$V73-$B73,TODAY()-$B73))</f>
        <v/>
      </c>
      <c r="X73" s="19">
        <f>IF(OR($B73="",$U73=""),"",IF($V73&lt;&gt;"",MAX(0,$V73-$U73),MAX(0,TODAY()-$U73)))</f>
        <v/>
      </c>
      <c r="Y73" s="39">
        <f>IF($C73="","",IF(IFERROR(INDEX(LISTAS!$I$3:$I$42,MATCH($T73,LISTAS!$H$3:$H$42,0)),"NO")="SÍ",IF(N($X73)&gt;0,"CERRADA FUERA DE SLA","CERRADA EN SLA"),IF($U73="","SIN CLASIFICAR",IF(N($X73)&gt;0,"VENCIDA",IF(TODAY()&gt;=$U73-1,"POR VENCER","EN PLAZO")))))</f>
        <v/>
      </c>
      <c r="Z73" s="41" t="n"/>
      <c r="AA73" s="41" t="n"/>
      <c r="AB73" s="41" t="n"/>
    </row>
    <row r="74">
      <c r="A74" s="39">
        <f>IF($C74="","","NOV-"&amp;TEXT(ROW()-3,"0000"))</f>
        <v/>
      </c>
      <c r="B74" s="40" t="n"/>
      <c r="C74" s="41" t="n"/>
      <c r="D74" s="42">
        <f>IF($C74="","",IFERROR(INDEX(DESPACHOS!$D$3:$D$3002,MATCH($C74,DESPACHOS!$B$3:$B$3002,0)),"SIN DESPACHO"))</f>
        <v/>
      </c>
      <c r="E74" s="42">
        <f>IF($C74="","",IFERROR(INDEX(DESPACHOS!$K$3:$K$3002,MATCH($C74,DESPACHOS!$B$3:$B$3002,0)),""))</f>
        <v/>
      </c>
      <c r="F74" s="42">
        <f>IF($C74="","",IFERROR(INDEX(DESPACHOS!$I$3:$I$3002,MATCH($C74,DESPACHOS!$B$3:$B$3002,0)),""))</f>
        <v/>
      </c>
      <c r="G74" s="42">
        <f>IF($C74="","",IFERROR(INDEX(DESPACHOS!$F$3:$F$3002,MATCH($C74,DESPACHOS!$B$3:$B$3002,0)),""))</f>
        <v/>
      </c>
      <c r="H74" s="42">
        <f>IF($C74="","",IFERROR(INDEX(DESPACHOS!$G$3:$G$3002,MATCH($C74,DESPACHOS!$B$3:$B$3002,0)),""))</f>
        <v/>
      </c>
      <c r="I74" s="39">
        <f>IF($C74="","",IFERROR(INDEX(DESPACHOS!$H$3:$H$3002,MATCH($C74,DESPACHOS!$B$3:$B$3002,0)),""))</f>
        <v/>
      </c>
      <c r="J74" s="43">
        <f>IF($C74="","",IFERROR(INDEX(DESPACHOS!$J$3:$J$3002,MATCH($C74,DESPACHOS!$B$3:$B$3002,0)),""))</f>
        <v/>
      </c>
      <c r="K74" s="39">
        <f>IF($C74="","",IF(COUNTIFS(DESPACHOS!$B$3:$B$3002,$C74)=0,"NO EXISTE",IF(COUNTIFS(DESPACHOS!$B$3:$B$3002,$C74)&gt;1,"DUPLICADO","OK")))</f>
        <v/>
      </c>
      <c r="L74" s="41" t="n"/>
      <c r="M74" s="41" t="n"/>
      <c r="N74" s="42">
        <f>IF($M74="","",IFERROR(INDEX(LISTAS!$F$3:$F$42,MATCH($M74,LISTAS!$E$3:$E$42,0)),"Por definir"))</f>
        <v/>
      </c>
      <c r="O74" s="41" t="n"/>
      <c r="P74" s="39">
        <f>IF($L74="","",IFERROR(INDEX(LISTAS!$B$3:$B$42,MATCH($L74,LISTAS!$A$3:$A$42,0)),"Media"))</f>
        <v/>
      </c>
      <c r="Q74" s="44" t="n"/>
      <c r="R74" s="45" t="n"/>
      <c r="S74" s="20">
        <f>IFERROR(IF(OR($R74="",$C74=""),"",$R74/INDEX(DESPACHOS!$M$3:$M$3002,MATCH($C74,DESPACHOS!$B$3:$B$3002,0))),"")</f>
        <v/>
      </c>
      <c r="T74" s="41" t="n"/>
      <c r="U74" s="43">
        <f>IF(OR($B74="",$L74=""),"",WORKDAY($B74,IFERROR(INDEX(LISTAS!$C$3:$C$42,MATCH($L74,LISTAS!$A$3:$A$42,0)),3)))</f>
        <v/>
      </c>
      <c r="V74" s="40" t="n"/>
      <c r="W74" s="19">
        <f>IF($B74="","",IF($V74&lt;&gt;"",$V74-$B74,TODAY()-$B74))</f>
        <v/>
      </c>
      <c r="X74" s="19">
        <f>IF(OR($B74="",$U74=""),"",IF($V74&lt;&gt;"",MAX(0,$V74-$U74),MAX(0,TODAY()-$U74)))</f>
        <v/>
      </c>
      <c r="Y74" s="39">
        <f>IF($C74="","",IF(IFERROR(INDEX(LISTAS!$I$3:$I$42,MATCH($T74,LISTAS!$H$3:$H$42,0)),"NO")="SÍ",IF(N($X74)&gt;0,"CERRADA FUERA DE SLA","CERRADA EN SLA"),IF($U74="","SIN CLASIFICAR",IF(N($X74)&gt;0,"VENCIDA",IF(TODAY()&gt;=$U74-1,"POR VENCER","EN PLAZO")))))</f>
        <v/>
      </c>
      <c r="Z74" s="41" t="n"/>
      <c r="AA74" s="41" t="n"/>
      <c r="AB74" s="41" t="n"/>
    </row>
    <row r="75">
      <c r="A75" s="39">
        <f>IF($C75="","","NOV-"&amp;TEXT(ROW()-3,"0000"))</f>
        <v/>
      </c>
      <c r="B75" s="40" t="n"/>
      <c r="C75" s="41" t="n"/>
      <c r="D75" s="42">
        <f>IF($C75="","",IFERROR(INDEX(DESPACHOS!$D$3:$D$3002,MATCH($C75,DESPACHOS!$B$3:$B$3002,0)),"SIN DESPACHO"))</f>
        <v/>
      </c>
      <c r="E75" s="42">
        <f>IF($C75="","",IFERROR(INDEX(DESPACHOS!$K$3:$K$3002,MATCH($C75,DESPACHOS!$B$3:$B$3002,0)),""))</f>
        <v/>
      </c>
      <c r="F75" s="42">
        <f>IF($C75="","",IFERROR(INDEX(DESPACHOS!$I$3:$I$3002,MATCH($C75,DESPACHOS!$B$3:$B$3002,0)),""))</f>
        <v/>
      </c>
      <c r="G75" s="42">
        <f>IF($C75="","",IFERROR(INDEX(DESPACHOS!$F$3:$F$3002,MATCH($C75,DESPACHOS!$B$3:$B$3002,0)),""))</f>
        <v/>
      </c>
      <c r="H75" s="42">
        <f>IF($C75="","",IFERROR(INDEX(DESPACHOS!$G$3:$G$3002,MATCH($C75,DESPACHOS!$B$3:$B$3002,0)),""))</f>
        <v/>
      </c>
      <c r="I75" s="39">
        <f>IF($C75="","",IFERROR(INDEX(DESPACHOS!$H$3:$H$3002,MATCH($C75,DESPACHOS!$B$3:$B$3002,0)),""))</f>
        <v/>
      </c>
      <c r="J75" s="43">
        <f>IF($C75="","",IFERROR(INDEX(DESPACHOS!$J$3:$J$3002,MATCH($C75,DESPACHOS!$B$3:$B$3002,0)),""))</f>
        <v/>
      </c>
      <c r="K75" s="39">
        <f>IF($C75="","",IF(COUNTIFS(DESPACHOS!$B$3:$B$3002,$C75)=0,"NO EXISTE",IF(COUNTIFS(DESPACHOS!$B$3:$B$3002,$C75)&gt;1,"DUPLICADO","OK")))</f>
        <v/>
      </c>
      <c r="L75" s="41" t="n"/>
      <c r="M75" s="41" t="n"/>
      <c r="N75" s="42">
        <f>IF($M75="","",IFERROR(INDEX(LISTAS!$F$3:$F$42,MATCH($M75,LISTAS!$E$3:$E$42,0)),"Por definir"))</f>
        <v/>
      </c>
      <c r="O75" s="41" t="n"/>
      <c r="P75" s="39">
        <f>IF($L75="","",IFERROR(INDEX(LISTAS!$B$3:$B$42,MATCH($L75,LISTAS!$A$3:$A$42,0)),"Media"))</f>
        <v/>
      </c>
      <c r="Q75" s="44" t="n"/>
      <c r="R75" s="45" t="n"/>
      <c r="S75" s="20">
        <f>IFERROR(IF(OR($R75="",$C75=""),"",$R75/INDEX(DESPACHOS!$M$3:$M$3002,MATCH($C75,DESPACHOS!$B$3:$B$3002,0))),"")</f>
        <v/>
      </c>
      <c r="T75" s="41" t="n"/>
      <c r="U75" s="43">
        <f>IF(OR($B75="",$L75=""),"",WORKDAY($B75,IFERROR(INDEX(LISTAS!$C$3:$C$42,MATCH($L75,LISTAS!$A$3:$A$42,0)),3)))</f>
        <v/>
      </c>
      <c r="V75" s="40" t="n"/>
      <c r="W75" s="19">
        <f>IF($B75="","",IF($V75&lt;&gt;"",$V75-$B75,TODAY()-$B75))</f>
        <v/>
      </c>
      <c r="X75" s="19">
        <f>IF(OR($B75="",$U75=""),"",IF($V75&lt;&gt;"",MAX(0,$V75-$U75),MAX(0,TODAY()-$U75)))</f>
        <v/>
      </c>
      <c r="Y75" s="39">
        <f>IF($C75="","",IF(IFERROR(INDEX(LISTAS!$I$3:$I$42,MATCH($T75,LISTAS!$H$3:$H$42,0)),"NO")="SÍ",IF(N($X75)&gt;0,"CERRADA FUERA DE SLA","CERRADA EN SLA"),IF($U75="","SIN CLASIFICAR",IF(N($X75)&gt;0,"VENCIDA",IF(TODAY()&gt;=$U75-1,"POR VENCER","EN PLAZO")))))</f>
        <v/>
      </c>
      <c r="Z75" s="41" t="n"/>
      <c r="AA75" s="41" t="n"/>
      <c r="AB75" s="41" t="n"/>
    </row>
    <row r="76">
      <c r="A76" s="39">
        <f>IF($C76="","","NOV-"&amp;TEXT(ROW()-3,"0000"))</f>
        <v/>
      </c>
      <c r="B76" s="40" t="n"/>
      <c r="C76" s="41" t="n"/>
      <c r="D76" s="42">
        <f>IF($C76="","",IFERROR(INDEX(DESPACHOS!$D$3:$D$3002,MATCH($C76,DESPACHOS!$B$3:$B$3002,0)),"SIN DESPACHO"))</f>
        <v/>
      </c>
      <c r="E76" s="42">
        <f>IF($C76="","",IFERROR(INDEX(DESPACHOS!$K$3:$K$3002,MATCH($C76,DESPACHOS!$B$3:$B$3002,0)),""))</f>
        <v/>
      </c>
      <c r="F76" s="42">
        <f>IF($C76="","",IFERROR(INDEX(DESPACHOS!$I$3:$I$3002,MATCH($C76,DESPACHOS!$B$3:$B$3002,0)),""))</f>
        <v/>
      </c>
      <c r="G76" s="42">
        <f>IF($C76="","",IFERROR(INDEX(DESPACHOS!$F$3:$F$3002,MATCH($C76,DESPACHOS!$B$3:$B$3002,0)),""))</f>
        <v/>
      </c>
      <c r="H76" s="42">
        <f>IF($C76="","",IFERROR(INDEX(DESPACHOS!$G$3:$G$3002,MATCH($C76,DESPACHOS!$B$3:$B$3002,0)),""))</f>
        <v/>
      </c>
      <c r="I76" s="39">
        <f>IF($C76="","",IFERROR(INDEX(DESPACHOS!$H$3:$H$3002,MATCH($C76,DESPACHOS!$B$3:$B$3002,0)),""))</f>
        <v/>
      </c>
      <c r="J76" s="43">
        <f>IF($C76="","",IFERROR(INDEX(DESPACHOS!$J$3:$J$3002,MATCH($C76,DESPACHOS!$B$3:$B$3002,0)),""))</f>
        <v/>
      </c>
      <c r="K76" s="39">
        <f>IF($C76="","",IF(COUNTIFS(DESPACHOS!$B$3:$B$3002,$C76)=0,"NO EXISTE",IF(COUNTIFS(DESPACHOS!$B$3:$B$3002,$C76)&gt;1,"DUPLICADO","OK")))</f>
        <v/>
      </c>
      <c r="L76" s="41" t="n"/>
      <c r="M76" s="41" t="n"/>
      <c r="N76" s="42">
        <f>IF($M76="","",IFERROR(INDEX(LISTAS!$F$3:$F$42,MATCH($M76,LISTAS!$E$3:$E$42,0)),"Por definir"))</f>
        <v/>
      </c>
      <c r="O76" s="41" t="n"/>
      <c r="P76" s="39">
        <f>IF($L76="","",IFERROR(INDEX(LISTAS!$B$3:$B$42,MATCH($L76,LISTAS!$A$3:$A$42,0)),"Media"))</f>
        <v/>
      </c>
      <c r="Q76" s="44" t="n"/>
      <c r="R76" s="45" t="n"/>
      <c r="S76" s="20">
        <f>IFERROR(IF(OR($R76="",$C76=""),"",$R76/INDEX(DESPACHOS!$M$3:$M$3002,MATCH($C76,DESPACHOS!$B$3:$B$3002,0))),"")</f>
        <v/>
      </c>
      <c r="T76" s="41" t="n"/>
      <c r="U76" s="43">
        <f>IF(OR($B76="",$L76=""),"",WORKDAY($B76,IFERROR(INDEX(LISTAS!$C$3:$C$42,MATCH($L76,LISTAS!$A$3:$A$42,0)),3)))</f>
        <v/>
      </c>
      <c r="V76" s="40" t="n"/>
      <c r="W76" s="19">
        <f>IF($B76="","",IF($V76&lt;&gt;"",$V76-$B76,TODAY()-$B76))</f>
        <v/>
      </c>
      <c r="X76" s="19">
        <f>IF(OR($B76="",$U76=""),"",IF($V76&lt;&gt;"",MAX(0,$V76-$U76),MAX(0,TODAY()-$U76)))</f>
        <v/>
      </c>
      <c r="Y76" s="39">
        <f>IF($C76="","",IF(IFERROR(INDEX(LISTAS!$I$3:$I$42,MATCH($T76,LISTAS!$H$3:$H$42,0)),"NO")="SÍ",IF(N($X76)&gt;0,"CERRADA FUERA DE SLA","CERRADA EN SLA"),IF($U76="","SIN CLASIFICAR",IF(N($X76)&gt;0,"VENCIDA",IF(TODAY()&gt;=$U76-1,"POR VENCER","EN PLAZO")))))</f>
        <v/>
      </c>
      <c r="Z76" s="41" t="n"/>
      <c r="AA76" s="41" t="n"/>
      <c r="AB76" s="41" t="n"/>
    </row>
    <row r="77">
      <c r="A77" s="39">
        <f>IF($C77="","","NOV-"&amp;TEXT(ROW()-3,"0000"))</f>
        <v/>
      </c>
      <c r="B77" s="40" t="n"/>
      <c r="C77" s="41" t="n"/>
      <c r="D77" s="42">
        <f>IF($C77="","",IFERROR(INDEX(DESPACHOS!$D$3:$D$3002,MATCH($C77,DESPACHOS!$B$3:$B$3002,0)),"SIN DESPACHO"))</f>
        <v/>
      </c>
      <c r="E77" s="42">
        <f>IF($C77="","",IFERROR(INDEX(DESPACHOS!$K$3:$K$3002,MATCH($C77,DESPACHOS!$B$3:$B$3002,0)),""))</f>
        <v/>
      </c>
      <c r="F77" s="42">
        <f>IF($C77="","",IFERROR(INDEX(DESPACHOS!$I$3:$I$3002,MATCH($C77,DESPACHOS!$B$3:$B$3002,0)),""))</f>
        <v/>
      </c>
      <c r="G77" s="42">
        <f>IF($C77="","",IFERROR(INDEX(DESPACHOS!$F$3:$F$3002,MATCH($C77,DESPACHOS!$B$3:$B$3002,0)),""))</f>
        <v/>
      </c>
      <c r="H77" s="42">
        <f>IF($C77="","",IFERROR(INDEX(DESPACHOS!$G$3:$G$3002,MATCH($C77,DESPACHOS!$B$3:$B$3002,0)),""))</f>
        <v/>
      </c>
      <c r="I77" s="39">
        <f>IF($C77="","",IFERROR(INDEX(DESPACHOS!$H$3:$H$3002,MATCH($C77,DESPACHOS!$B$3:$B$3002,0)),""))</f>
        <v/>
      </c>
      <c r="J77" s="43">
        <f>IF($C77="","",IFERROR(INDEX(DESPACHOS!$J$3:$J$3002,MATCH($C77,DESPACHOS!$B$3:$B$3002,0)),""))</f>
        <v/>
      </c>
      <c r="K77" s="39">
        <f>IF($C77="","",IF(COUNTIFS(DESPACHOS!$B$3:$B$3002,$C77)=0,"NO EXISTE",IF(COUNTIFS(DESPACHOS!$B$3:$B$3002,$C77)&gt;1,"DUPLICADO","OK")))</f>
        <v/>
      </c>
      <c r="L77" s="41" t="n"/>
      <c r="M77" s="41" t="n"/>
      <c r="N77" s="42">
        <f>IF($M77="","",IFERROR(INDEX(LISTAS!$F$3:$F$42,MATCH($M77,LISTAS!$E$3:$E$42,0)),"Por definir"))</f>
        <v/>
      </c>
      <c r="O77" s="41" t="n"/>
      <c r="P77" s="39">
        <f>IF($L77="","",IFERROR(INDEX(LISTAS!$B$3:$B$42,MATCH($L77,LISTAS!$A$3:$A$42,0)),"Media"))</f>
        <v/>
      </c>
      <c r="Q77" s="44" t="n"/>
      <c r="R77" s="45" t="n"/>
      <c r="S77" s="20">
        <f>IFERROR(IF(OR($R77="",$C77=""),"",$R77/INDEX(DESPACHOS!$M$3:$M$3002,MATCH($C77,DESPACHOS!$B$3:$B$3002,0))),"")</f>
        <v/>
      </c>
      <c r="T77" s="41" t="n"/>
      <c r="U77" s="43">
        <f>IF(OR($B77="",$L77=""),"",WORKDAY($B77,IFERROR(INDEX(LISTAS!$C$3:$C$42,MATCH($L77,LISTAS!$A$3:$A$42,0)),3)))</f>
        <v/>
      </c>
      <c r="V77" s="40" t="n"/>
      <c r="W77" s="19">
        <f>IF($B77="","",IF($V77&lt;&gt;"",$V77-$B77,TODAY()-$B77))</f>
        <v/>
      </c>
      <c r="X77" s="19">
        <f>IF(OR($B77="",$U77=""),"",IF($V77&lt;&gt;"",MAX(0,$V77-$U77),MAX(0,TODAY()-$U77)))</f>
        <v/>
      </c>
      <c r="Y77" s="39">
        <f>IF($C77="","",IF(IFERROR(INDEX(LISTAS!$I$3:$I$42,MATCH($T77,LISTAS!$H$3:$H$42,0)),"NO")="SÍ",IF(N($X77)&gt;0,"CERRADA FUERA DE SLA","CERRADA EN SLA"),IF($U77="","SIN CLASIFICAR",IF(N($X77)&gt;0,"VENCIDA",IF(TODAY()&gt;=$U77-1,"POR VENCER","EN PLAZO")))))</f>
        <v/>
      </c>
      <c r="Z77" s="41" t="n"/>
      <c r="AA77" s="41" t="n"/>
      <c r="AB77" s="41" t="n"/>
    </row>
    <row r="78">
      <c r="A78" s="39">
        <f>IF($C78="","","NOV-"&amp;TEXT(ROW()-3,"0000"))</f>
        <v/>
      </c>
      <c r="B78" s="40" t="n"/>
      <c r="C78" s="41" t="n"/>
      <c r="D78" s="42">
        <f>IF($C78="","",IFERROR(INDEX(DESPACHOS!$D$3:$D$3002,MATCH($C78,DESPACHOS!$B$3:$B$3002,0)),"SIN DESPACHO"))</f>
        <v/>
      </c>
      <c r="E78" s="42">
        <f>IF($C78="","",IFERROR(INDEX(DESPACHOS!$K$3:$K$3002,MATCH($C78,DESPACHOS!$B$3:$B$3002,0)),""))</f>
        <v/>
      </c>
      <c r="F78" s="42">
        <f>IF($C78="","",IFERROR(INDEX(DESPACHOS!$I$3:$I$3002,MATCH($C78,DESPACHOS!$B$3:$B$3002,0)),""))</f>
        <v/>
      </c>
      <c r="G78" s="42">
        <f>IF($C78="","",IFERROR(INDEX(DESPACHOS!$F$3:$F$3002,MATCH($C78,DESPACHOS!$B$3:$B$3002,0)),""))</f>
        <v/>
      </c>
      <c r="H78" s="42">
        <f>IF($C78="","",IFERROR(INDEX(DESPACHOS!$G$3:$G$3002,MATCH($C78,DESPACHOS!$B$3:$B$3002,0)),""))</f>
        <v/>
      </c>
      <c r="I78" s="39">
        <f>IF($C78="","",IFERROR(INDEX(DESPACHOS!$H$3:$H$3002,MATCH($C78,DESPACHOS!$B$3:$B$3002,0)),""))</f>
        <v/>
      </c>
      <c r="J78" s="43">
        <f>IF($C78="","",IFERROR(INDEX(DESPACHOS!$J$3:$J$3002,MATCH($C78,DESPACHOS!$B$3:$B$3002,0)),""))</f>
        <v/>
      </c>
      <c r="K78" s="39">
        <f>IF($C78="","",IF(COUNTIFS(DESPACHOS!$B$3:$B$3002,$C78)=0,"NO EXISTE",IF(COUNTIFS(DESPACHOS!$B$3:$B$3002,$C78)&gt;1,"DUPLICADO","OK")))</f>
        <v/>
      </c>
      <c r="L78" s="41" t="n"/>
      <c r="M78" s="41" t="n"/>
      <c r="N78" s="42">
        <f>IF($M78="","",IFERROR(INDEX(LISTAS!$F$3:$F$42,MATCH($M78,LISTAS!$E$3:$E$42,0)),"Por definir"))</f>
        <v/>
      </c>
      <c r="O78" s="41" t="n"/>
      <c r="P78" s="39">
        <f>IF($L78="","",IFERROR(INDEX(LISTAS!$B$3:$B$42,MATCH($L78,LISTAS!$A$3:$A$42,0)),"Media"))</f>
        <v/>
      </c>
      <c r="Q78" s="44" t="n"/>
      <c r="R78" s="45" t="n"/>
      <c r="S78" s="20">
        <f>IFERROR(IF(OR($R78="",$C78=""),"",$R78/INDEX(DESPACHOS!$M$3:$M$3002,MATCH($C78,DESPACHOS!$B$3:$B$3002,0))),"")</f>
        <v/>
      </c>
      <c r="T78" s="41" t="n"/>
      <c r="U78" s="43">
        <f>IF(OR($B78="",$L78=""),"",WORKDAY($B78,IFERROR(INDEX(LISTAS!$C$3:$C$42,MATCH($L78,LISTAS!$A$3:$A$42,0)),3)))</f>
        <v/>
      </c>
      <c r="V78" s="40" t="n"/>
      <c r="W78" s="19">
        <f>IF($B78="","",IF($V78&lt;&gt;"",$V78-$B78,TODAY()-$B78))</f>
        <v/>
      </c>
      <c r="X78" s="19">
        <f>IF(OR($B78="",$U78=""),"",IF($V78&lt;&gt;"",MAX(0,$V78-$U78),MAX(0,TODAY()-$U78)))</f>
        <v/>
      </c>
      <c r="Y78" s="39">
        <f>IF($C78="","",IF(IFERROR(INDEX(LISTAS!$I$3:$I$42,MATCH($T78,LISTAS!$H$3:$H$42,0)),"NO")="SÍ",IF(N($X78)&gt;0,"CERRADA FUERA DE SLA","CERRADA EN SLA"),IF($U78="","SIN CLASIFICAR",IF(N($X78)&gt;0,"VENCIDA",IF(TODAY()&gt;=$U78-1,"POR VENCER","EN PLAZO")))))</f>
        <v/>
      </c>
      <c r="Z78" s="41" t="n"/>
      <c r="AA78" s="41" t="n"/>
      <c r="AB78" s="41" t="n"/>
    </row>
    <row r="79">
      <c r="A79" s="39">
        <f>IF($C79="","","NOV-"&amp;TEXT(ROW()-3,"0000"))</f>
        <v/>
      </c>
      <c r="B79" s="40" t="n"/>
      <c r="C79" s="41" t="n"/>
      <c r="D79" s="42">
        <f>IF($C79="","",IFERROR(INDEX(DESPACHOS!$D$3:$D$3002,MATCH($C79,DESPACHOS!$B$3:$B$3002,0)),"SIN DESPACHO"))</f>
        <v/>
      </c>
      <c r="E79" s="42">
        <f>IF($C79="","",IFERROR(INDEX(DESPACHOS!$K$3:$K$3002,MATCH($C79,DESPACHOS!$B$3:$B$3002,0)),""))</f>
        <v/>
      </c>
      <c r="F79" s="42">
        <f>IF($C79="","",IFERROR(INDEX(DESPACHOS!$I$3:$I$3002,MATCH($C79,DESPACHOS!$B$3:$B$3002,0)),""))</f>
        <v/>
      </c>
      <c r="G79" s="42">
        <f>IF($C79="","",IFERROR(INDEX(DESPACHOS!$F$3:$F$3002,MATCH($C79,DESPACHOS!$B$3:$B$3002,0)),""))</f>
        <v/>
      </c>
      <c r="H79" s="42">
        <f>IF($C79="","",IFERROR(INDEX(DESPACHOS!$G$3:$G$3002,MATCH($C79,DESPACHOS!$B$3:$B$3002,0)),""))</f>
        <v/>
      </c>
      <c r="I79" s="39">
        <f>IF($C79="","",IFERROR(INDEX(DESPACHOS!$H$3:$H$3002,MATCH($C79,DESPACHOS!$B$3:$B$3002,0)),""))</f>
        <v/>
      </c>
      <c r="J79" s="43">
        <f>IF($C79="","",IFERROR(INDEX(DESPACHOS!$J$3:$J$3002,MATCH($C79,DESPACHOS!$B$3:$B$3002,0)),""))</f>
        <v/>
      </c>
      <c r="K79" s="39">
        <f>IF($C79="","",IF(COUNTIFS(DESPACHOS!$B$3:$B$3002,$C79)=0,"NO EXISTE",IF(COUNTIFS(DESPACHOS!$B$3:$B$3002,$C79)&gt;1,"DUPLICADO","OK")))</f>
        <v/>
      </c>
      <c r="L79" s="41" t="n"/>
      <c r="M79" s="41" t="n"/>
      <c r="N79" s="42">
        <f>IF($M79="","",IFERROR(INDEX(LISTAS!$F$3:$F$42,MATCH($M79,LISTAS!$E$3:$E$42,0)),"Por definir"))</f>
        <v/>
      </c>
      <c r="O79" s="41" t="n"/>
      <c r="P79" s="39">
        <f>IF($L79="","",IFERROR(INDEX(LISTAS!$B$3:$B$42,MATCH($L79,LISTAS!$A$3:$A$42,0)),"Media"))</f>
        <v/>
      </c>
      <c r="Q79" s="44" t="n"/>
      <c r="R79" s="45" t="n"/>
      <c r="S79" s="20">
        <f>IFERROR(IF(OR($R79="",$C79=""),"",$R79/INDEX(DESPACHOS!$M$3:$M$3002,MATCH($C79,DESPACHOS!$B$3:$B$3002,0))),"")</f>
        <v/>
      </c>
      <c r="T79" s="41" t="n"/>
      <c r="U79" s="43">
        <f>IF(OR($B79="",$L79=""),"",WORKDAY($B79,IFERROR(INDEX(LISTAS!$C$3:$C$42,MATCH($L79,LISTAS!$A$3:$A$42,0)),3)))</f>
        <v/>
      </c>
      <c r="V79" s="40" t="n"/>
      <c r="W79" s="19">
        <f>IF($B79="","",IF($V79&lt;&gt;"",$V79-$B79,TODAY()-$B79))</f>
        <v/>
      </c>
      <c r="X79" s="19">
        <f>IF(OR($B79="",$U79=""),"",IF($V79&lt;&gt;"",MAX(0,$V79-$U79),MAX(0,TODAY()-$U79)))</f>
        <v/>
      </c>
      <c r="Y79" s="39">
        <f>IF($C79="","",IF(IFERROR(INDEX(LISTAS!$I$3:$I$42,MATCH($T79,LISTAS!$H$3:$H$42,0)),"NO")="SÍ",IF(N($X79)&gt;0,"CERRADA FUERA DE SLA","CERRADA EN SLA"),IF($U79="","SIN CLASIFICAR",IF(N($X79)&gt;0,"VENCIDA",IF(TODAY()&gt;=$U79-1,"POR VENCER","EN PLAZO")))))</f>
        <v/>
      </c>
      <c r="Z79" s="41" t="n"/>
      <c r="AA79" s="41" t="n"/>
      <c r="AB79" s="41" t="n"/>
    </row>
    <row r="80">
      <c r="A80" s="39">
        <f>IF($C80="","","NOV-"&amp;TEXT(ROW()-3,"0000"))</f>
        <v/>
      </c>
      <c r="B80" s="40" t="n"/>
      <c r="C80" s="41" t="n"/>
      <c r="D80" s="42">
        <f>IF($C80="","",IFERROR(INDEX(DESPACHOS!$D$3:$D$3002,MATCH($C80,DESPACHOS!$B$3:$B$3002,0)),"SIN DESPACHO"))</f>
        <v/>
      </c>
      <c r="E80" s="42">
        <f>IF($C80="","",IFERROR(INDEX(DESPACHOS!$K$3:$K$3002,MATCH($C80,DESPACHOS!$B$3:$B$3002,0)),""))</f>
        <v/>
      </c>
      <c r="F80" s="42">
        <f>IF($C80="","",IFERROR(INDEX(DESPACHOS!$I$3:$I$3002,MATCH($C80,DESPACHOS!$B$3:$B$3002,0)),""))</f>
        <v/>
      </c>
      <c r="G80" s="42">
        <f>IF($C80="","",IFERROR(INDEX(DESPACHOS!$F$3:$F$3002,MATCH($C80,DESPACHOS!$B$3:$B$3002,0)),""))</f>
        <v/>
      </c>
      <c r="H80" s="42">
        <f>IF($C80="","",IFERROR(INDEX(DESPACHOS!$G$3:$G$3002,MATCH($C80,DESPACHOS!$B$3:$B$3002,0)),""))</f>
        <v/>
      </c>
      <c r="I80" s="39">
        <f>IF($C80="","",IFERROR(INDEX(DESPACHOS!$H$3:$H$3002,MATCH($C80,DESPACHOS!$B$3:$B$3002,0)),""))</f>
        <v/>
      </c>
      <c r="J80" s="43">
        <f>IF($C80="","",IFERROR(INDEX(DESPACHOS!$J$3:$J$3002,MATCH($C80,DESPACHOS!$B$3:$B$3002,0)),""))</f>
        <v/>
      </c>
      <c r="K80" s="39">
        <f>IF($C80="","",IF(COUNTIFS(DESPACHOS!$B$3:$B$3002,$C80)=0,"NO EXISTE",IF(COUNTIFS(DESPACHOS!$B$3:$B$3002,$C80)&gt;1,"DUPLICADO","OK")))</f>
        <v/>
      </c>
      <c r="L80" s="41" t="n"/>
      <c r="M80" s="41" t="n"/>
      <c r="N80" s="42">
        <f>IF($M80="","",IFERROR(INDEX(LISTAS!$F$3:$F$42,MATCH($M80,LISTAS!$E$3:$E$42,0)),"Por definir"))</f>
        <v/>
      </c>
      <c r="O80" s="41" t="n"/>
      <c r="P80" s="39">
        <f>IF($L80="","",IFERROR(INDEX(LISTAS!$B$3:$B$42,MATCH($L80,LISTAS!$A$3:$A$42,0)),"Media"))</f>
        <v/>
      </c>
      <c r="Q80" s="44" t="n"/>
      <c r="R80" s="45" t="n"/>
      <c r="S80" s="20">
        <f>IFERROR(IF(OR($R80="",$C80=""),"",$R80/INDEX(DESPACHOS!$M$3:$M$3002,MATCH($C80,DESPACHOS!$B$3:$B$3002,0))),"")</f>
        <v/>
      </c>
      <c r="T80" s="41" t="n"/>
      <c r="U80" s="43">
        <f>IF(OR($B80="",$L80=""),"",WORKDAY($B80,IFERROR(INDEX(LISTAS!$C$3:$C$42,MATCH($L80,LISTAS!$A$3:$A$42,0)),3)))</f>
        <v/>
      </c>
      <c r="V80" s="40" t="n"/>
      <c r="W80" s="19">
        <f>IF($B80="","",IF($V80&lt;&gt;"",$V80-$B80,TODAY()-$B80))</f>
        <v/>
      </c>
      <c r="X80" s="19">
        <f>IF(OR($B80="",$U80=""),"",IF($V80&lt;&gt;"",MAX(0,$V80-$U80),MAX(0,TODAY()-$U80)))</f>
        <v/>
      </c>
      <c r="Y80" s="39">
        <f>IF($C80="","",IF(IFERROR(INDEX(LISTAS!$I$3:$I$42,MATCH($T80,LISTAS!$H$3:$H$42,0)),"NO")="SÍ",IF(N($X80)&gt;0,"CERRADA FUERA DE SLA","CERRADA EN SLA"),IF($U80="","SIN CLASIFICAR",IF(N($X80)&gt;0,"VENCIDA",IF(TODAY()&gt;=$U80-1,"POR VENCER","EN PLAZO")))))</f>
        <v/>
      </c>
      <c r="Z80" s="41" t="n"/>
      <c r="AA80" s="41" t="n"/>
      <c r="AB80" s="41" t="n"/>
    </row>
    <row r="81">
      <c r="A81" s="39">
        <f>IF($C81="","","NOV-"&amp;TEXT(ROW()-3,"0000"))</f>
        <v/>
      </c>
      <c r="B81" s="40" t="n"/>
      <c r="C81" s="41" t="n"/>
      <c r="D81" s="42">
        <f>IF($C81="","",IFERROR(INDEX(DESPACHOS!$D$3:$D$3002,MATCH($C81,DESPACHOS!$B$3:$B$3002,0)),"SIN DESPACHO"))</f>
        <v/>
      </c>
      <c r="E81" s="42">
        <f>IF($C81="","",IFERROR(INDEX(DESPACHOS!$K$3:$K$3002,MATCH($C81,DESPACHOS!$B$3:$B$3002,0)),""))</f>
        <v/>
      </c>
      <c r="F81" s="42">
        <f>IF($C81="","",IFERROR(INDEX(DESPACHOS!$I$3:$I$3002,MATCH($C81,DESPACHOS!$B$3:$B$3002,0)),""))</f>
        <v/>
      </c>
      <c r="G81" s="42">
        <f>IF($C81="","",IFERROR(INDEX(DESPACHOS!$F$3:$F$3002,MATCH($C81,DESPACHOS!$B$3:$B$3002,0)),""))</f>
        <v/>
      </c>
      <c r="H81" s="42">
        <f>IF($C81="","",IFERROR(INDEX(DESPACHOS!$G$3:$G$3002,MATCH($C81,DESPACHOS!$B$3:$B$3002,0)),""))</f>
        <v/>
      </c>
      <c r="I81" s="39">
        <f>IF($C81="","",IFERROR(INDEX(DESPACHOS!$H$3:$H$3002,MATCH($C81,DESPACHOS!$B$3:$B$3002,0)),""))</f>
        <v/>
      </c>
      <c r="J81" s="43">
        <f>IF($C81="","",IFERROR(INDEX(DESPACHOS!$J$3:$J$3002,MATCH($C81,DESPACHOS!$B$3:$B$3002,0)),""))</f>
        <v/>
      </c>
      <c r="K81" s="39">
        <f>IF($C81="","",IF(COUNTIFS(DESPACHOS!$B$3:$B$3002,$C81)=0,"NO EXISTE",IF(COUNTIFS(DESPACHOS!$B$3:$B$3002,$C81)&gt;1,"DUPLICADO","OK")))</f>
        <v/>
      </c>
      <c r="L81" s="41" t="n"/>
      <c r="M81" s="41" t="n"/>
      <c r="N81" s="42">
        <f>IF($M81="","",IFERROR(INDEX(LISTAS!$F$3:$F$42,MATCH($M81,LISTAS!$E$3:$E$42,0)),"Por definir"))</f>
        <v/>
      </c>
      <c r="O81" s="41" t="n"/>
      <c r="P81" s="39">
        <f>IF($L81="","",IFERROR(INDEX(LISTAS!$B$3:$B$42,MATCH($L81,LISTAS!$A$3:$A$42,0)),"Media"))</f>
        <v/>
      </c>
      <c r="Q81" s="44" t="n"/>
      <c r="R81" s="45" t="n"/>
      <c r="S81" s="20">
        <f>IFERROR(IF(OR($R81="",$C81=""),"",$R81/INDEX(DESPACHOS!$M$3:$M$3002,MATCH($C81,DESPACHOS!$B$3:$B$3002,0))),"")</f>
        <v/>
      </c>
      <c r="T81" s="41" t="n"/>
      <c r="U81" s="43">
        <f>IF(OR($B81="",$L81=""),"",WORKDAY($B81,IFERROR(INDEX(LISTAS!$C$3:$C$42,MATCH($L81,LISTAS!$A$3:$A$42,0)),3)))</f>
        <v/>
      </c>
      <c r="V81" s="40" t="n"/>
      <c r="W81" s="19">
        <f>IF($B81="","",IF($V81&lt;&gt;"",$V81-$B81,TODAY()-$B81))</f>
        <v/>
      </c>
      <c r="X81" s="19">
        <f>IF(OR($B81="",$U81=""),"",IF($V81&lt;&gt;"",MAX(0,$V81-$U81),MAX(0,TODAY()-$U81)))</f>
        <v/>
      </c>
      <c r="Y81" s="39">
        <f>IF($C81="","",IF(IFERROR(INDEX(LISTAS!$I$3:$I$42,MATCH($T81,LISTAS!$H$3:$H$42,0)),"NO")="SÍ",IF(N($X81)&gt;0,"CERRADA FUERA DE SLA","CERRADA EN SLA"),IF($U81="","SIN CLASIFICAR",IF(N($X81)&gt;0,"VENCIDA",IF(TODAY()&gt;=$U81-1,"POR VENCER","EN PLAZO")))))</f>
        <v/>
      </c>
      <c r="Z81" s="41" t="n"/>
      <c r="AA81" s="41" t="n"/>
      <c r="AB81" s="41" t="n"/>
    </row>
    <row r="82">
      <c r="A82" s="39">
        <f>IF($C82="","","NOV-"&amp;TEXT(ROW()-3,"0000"))</f>
        <v/>
      </c>
      <c r="B82" s="40" t="n"/>
      <c r="C82" s="41" t="n"/>
      <c r="D82" s="42">
        <f>IF($C82="","",IFERROR(INDEX(DESPACHOS!$D$3:$D$3002,MATCH($C82,DESPACHOS!$B$3:$B$3002,0)),"SIN DESPACHO"))</f>
        <v/>
      </c>
      <c r="E82" s="42">
        <f>IF($C82="","",IFERROR(INDEX(DESPACHOS!$K$3:$K$3002,MATCH($C82,DESPACHOS!$B$3:$B$3002,0)),""))</f>
        <v/>
      </c>
      <c r="F82" s="42">
        <f>IF($C82="","",IFERROR(INDEX(DESPACHOS!$I$3:$I$3002,MATCH($C82,DESPACHOS!$B$3:$B$3002,0)),""))</f>
        <v/>
      </c>
      <c r="G82" s="42">
        <f>IF($C82="","",IFERROR(INDEX(DESPACHOS!$F$3:$F$3002,MATCH($C82,DESPACHOS!$B$3:$B$3002,0)),""))</f>
        <v/>
      </c>
      <c r="H82" s="42">
        <f>IF($C82="","",IFERROR(INDEX(DESPACHOS!$G$3:$G$3002,MATCH($C82,DESPACHOS!$B$3:$B$3002,0)),""))</f>
        <v/>
      </c>
      <c r="I82" s="39">
        <f>IF($C82="","",IFERROR(INDEX(DESPACHOS!$H$3:$H$3002,MATCH($C82,DESPACHOS!$B$3:$B$3002,0)),""))</f>
        <v/>
      </c>
      <c r="J82" s="43">
        <f>IF($C82="","",IFERROR(INDEX(DESPACHOS!$J$3:$J$3002,MATCH($C82,DESPACHOS!$B$3:$B$3002,0)),""))</f>
        <v/>
      </c>
      <c r="K82" s="39">
        <f>IF($C82="","",IF(COUNTIFS(DESPACHOS!$B$3:$B$3002,$C82)=0,"NO EXISTE",IF(COUNTIFS(DESPACHOS!$B$3:$B$3002,$C82)&gt;1,"DUPLICADO","OK")))</f>
        <v/>
      </c>
      <c r="L82" s="41" t="n"/>
      <c r="M82" s="41" t="n"/>
      <c r="N82" s="42">
        <f>IF($M82="","",IFERROR(INDEX(LISTAS!$F$3:$F$42,MATCH($M82,LISTAS!$E$3:$E$42,0)),"Por definir"))</f>
        <v/>
      </c>
      <c r="O82" s="41" t="n"/>
      <c r="P82" s="39">
        <f>IF($L82="","",IFERROR(INDEX(LISTAS!$B$3:$B$42,MATCH($L82,LISTAS!$A$3:$A$42,0)),"Media"))</f>
        <v/>
      </c>
      <c r="Q82" s="44" t="n"/>
      <c r="R82" s="45" t="n"/>
      <c r="S82" s="20">
        <f>IFERROR(IF(OR($R82="",$C82=""),"",$R82/INDEX(DESPACHOS!$M$3:$M$3002,MATCH($C82,DESPACHOS!$B$3:$B$3002,0))),"")</f>
        <v/>
      </c>
      <c r="T82" s="41" t="n"/>
      <c r="U82" s="43">
        <f>IF(OR($B82="",$L82=""),"",WORKDAY($B82,IFERROR(INDEX(LISTAS!$C$3:$C$42,MATCH($L82,LISTAS!$A$3:$A$42,0)),3)))</f>
        <v/>
      </c>
      <c r="V82" s="40" t="n"/>
      <c r="W82" s="19">
        <f>IF($B82="","",IF($V82&lt;&gt;"",$V82-$B82,TODAY()-$B82))</f>
        <v/>
      </c>
      <c r="X82" s="19">
        <f>IF(OR($B82="",$U82=""),"",IF($V82&lt;&gt;"",MAX(0,$V82-$U82),MAX(0,TODAY()-$U82)))</f>
        <v/>
      </c>
      <c r="Y82" s="39">
        <f>IF($C82="","",IF(IFERROR(INDEX(LISTAS!$I$3:$I$42,MATCH($T82,LISTAS!$H$3:$H$42,0)),"NO")="SÍ",IF(N($X82)&gt;0,"CERRADA FUERA DE SLA","CERRADA EN SLA"),IF($U82="","SIN CLASIFICAR",IF(N($X82)&gt;0,"VENCIDA",IF(TODAY()&gt;=$U82-1,"POR VENCER","EN PLAZO")))))</f>
        <v/>
      </c>
      <c r="Z82" s="41" t="n"/>
      <c r="AA82" s="41" t="n"/>
      <c r="AB82" s="41" t="n"/>
    </row>
    <row r="83">
      <c r="A83" s="39">
        <f>IF($C83="","","NOV-"&amp;TEXT(ROW()-3,"0000"))</f>
        <v/>
      </c>
      <c r="B83" s="40" t="n"/>
      <c r="C83" s="41" t="n"/>
      <c r="D83" s="42">
        <f>IF($C83="","",IFERROR(INDEX(DESPACHOS!$D$3:$D$3002,MATCH($C83,DESPACHOS!$B$3:$B$3002,0)),"SIN DESPACHO"))</f>
        <v/>
      </c>
      <c r="E83" s="42">
        <f>IF($C83="","",IFERROR(INDEX(DESPACHOS!$K$3:$K$3002,MATCH($C83,DESPACHOS!$B$3:$B$3002,0)),""))</f>
        <v/>
      </c>
      <c r="F83" s="42">
        <f>IF($C83="","",IFERROR(INDEX(DESPACHOS!$I$3:$I$3002,MATCH($C83,DESPACHOS!$B$3:$B$3002,0)),""))</f>
        <v/>
      </c>
      <c r="G83" s="42">
        <f>IF($C83="","",IFERROR(INDEX(DESPACHOS!$F$3:$F$3002,MATCH($C83,DESPACHOS!$B$3:$B$3002,0)),""))</f>
        <v/>
      </c>
      <c r="H83" s="42">
        <f>IF($C83="","",IFERROR(INDEX(DESPACHOS!$G$3:$G$3002,MATCH($C83,DESPACHOS!$B$3:$B$3002,0)),""))</f>
        <v/>
      </c>
      <c r="I83" s="39">
        <f>IF($C83="","",IFERROR(INDEX(DESPACHOS!$H$3:$H$3002,MATCH($C83,DESPACHOS!$B$3:$B$3002,0)),""))</f>
        <v/>
      </c>
      <c r="J83" s="43">
        <f>IF($C83="","",IFERROR(INDEX(DESPACHOS!$J$3:$J$3002,MATCH($C83,DESPACHOS!$B$3:$B$3002,0)),""))</f>
        <v/>
      </c>
      <c r="K83" s="39">
        <f>IF($C83="","",IF(COUNTIFS(DESPACHOS!$B$3:$B$3002,$C83)=0,"NO EXISTE",IF(COUNTIFS(DESPACHOS!$B$3:$B$3002,$C83)&gt;1,"DUPLICADO","OK")))</f>
        <v/>
      </c>
      <c r="L83" s="41" t="n"/>
      <c r="M83" s="41" t="n"/>
      <c r="N83" s="42">
        <f>IF($M83="","",IFERROR(INDEX(LISTAS!$F$3:$F$42,MATCH($M83,LISTAS!$E$3:$E$42,0)),"Por definir"))</f>
        <v/>
      </c>
      <c r="O83" s="41" t="n"/>
      <c r="P83" s="39">
        <f>IF($L83="","",IFERROR(INDEX(LISTAS!$B$3:$B$42,MATCH($L83,LISTAS!$A$3:$A$42,0)),"Media"))</f>
        <v/>
      </c>
      <c r="Q83" s="44" t="n"/>
      <c r="R83" s="45" t="n"/>
      <c r="S83" s="20">
        <f>IFERROR(IF(OR($R83="",$C83=""),"",$R83/INDEX(DESPACHOS!$M$3:$M$3002,MATCH($C83,DESPACHOS!$B$3:$B$3002,0))),"")</f>
        <v/>
      </c>
      <c r="T83" s="41" t="n"/>
      <c r="U83" s="43">
        <f>IF(OR($B83="",$L83=""),"",WORKDAY($B83,IFERROR(INDEX(LISTAS!$C$3:$C$42,MATCH($L83,LISTAS!$A$3:$A$42,0)),3)))</f>
        <v/>
      </c>
      <c r="V83" s="40" t="n"/>
      <c r="W83" s="19">
        <f>IF($B83="","",IF($V83&lt;&gt;"",$V83-$B83,TODAY()-$B83))</f>
        <v/>
      </c>
      <c r="X83" s="19">
        <f>IF(OR($B83="",$U83=""),"",IF($V83&lt;&gt;"",MAX(0,$V83-$U83),MAX(0,TODAY()-$U83)))</f>
        <v/>
      </c>
      <c r="Y83" s="39">
        <f>IF($C83="","",IF(IFERROR(INDEX(LISTAS!$I$3:$I$42,MATCH($T83,LISTAS!$H$3:$H$42,0)),"NO")="SÍ",IF(N($X83)&gt;0,"CERRADA FUERA DE SLA","CERRADA EN SLA"),IF($U83="","SIN CLASIFICAR",IF(N($X83)&gt;0,"VENCIDA",IF(TODAY()&gt;=$U83-1,"POR VENCER","EN PLAZO")))))</f>
        <v/>
      </c>
      <c r="Z83" s="41" t="n"/>
      <c r="AA83" s="41" t="n"/>
      <c r="AB83" s="41" t="n"/>
    </row>
    <row r="84">
      <c r="A84" s="39">
        <f>IF($C84="","","NOV-"&amp;TEXT(ROW()-3,"0000"))</f>
        <v/>
      </c>
      <c r="B84" s="40" t="n"/>
      <c r="C84" s="41" t="n"/>
      <c r="D84" s="42">
        <f>IF($C84="","",IFERROR(INDEX(DESPACHOS!$D$3:$D$3002,MATCH($C84,DESPACHOS!$B$3:$B$3002,0)),"SIN DESPACHO"))</f>
        <v/>
      </c>
      <c r="E84" s="42">
        <f>IF($C84="","",IFERROR(INDEX(DESPACHOS!$K$3:$K$3002,MATCH($C84,DESPACHOS!$B$3:$B$3002,0)),""))</f>
        <v/>
      </c>
      <c r="F84" s="42">
        <f>IF($C84="","",IFERROR(INDEX(DESPACHOS!$I$3:$I$3002,MATCH($C84,DESPACHOS!$B$3:$B$3002,0)),""))</f>
        <v/>
      </c>
      <c r="G84" s="42">
        <f>IF($C84="","",IFERROR(INDEX(DESPACHOS!$F$3:$F$3002,MATCH($C84,DESPACHOS!$B$3:$B$3002,0)),""))</f>
        <v/>
      </c>
      <c r="H84" s="42">
        <f>IF($C84="","",IFERROR(INDEX(DESPACHOS!$G$3:$G$3002,MATCH($C84,DESPACHOS!$B$3:$B$3002,0)),""))</f>
        <v/>
      </c>
      <c r="I84" s="39">
        <f>IF($C84="","",IFERROR(INDEX(DESPACHOS!$H$3:$H$3002,MATCH($C84,DESPACHOS!$B$3:$B$3002,0)),""))</f>
        <v/>
      </c>
      <c r="J84" s="43">
        <f>IF($C84="","",IFERROR(INDEX(DESPACHOS!$J$3:$J$3002,MATCH($C84,DESPACHOS!$B$3:$B$3002,0)),""))</f>
        <v/>
      </c>
      <c r="K84" s="39">
        <f>IF($C84="","",IF(COUNTIFS(DESPACHOS!$B$3:$B$3002,$C84)=0,"NO EXISTE",IF(COUNTIFS(DESPACHOS!$B$3:$B$3002,$C84)&gt;1,"DUPLICADO","OK")))</f>
        <v/>
      </c>
      <c r="L84" s="41" t="n"/>
      <c r="M84" s="41" t="n"/>
      <c r="N84" s="42">
        <f>IF($M84="","",IFERROR(INDEX(LISTAS!$F$3:$F$42,MATCH($M84,LISTAS!$E$3:$E$42,0)),"Por definir"))</f>
        <v/>
      </c>
      <c r="O84" s="41" t="n"/>
      <c r="P84" s="39">
        <f>IF($L84="","",IFERROR(INDEX(LISTAS!$B$3:$B$42,MATCH($L84,LISTAS!$A$3:$A$42,0)),"Media"))</f>
        <v/>
      </c>
      <c r="Q84" s="44" t="n"/>
      <c r="R84" s="45" t="n"/>
      <c r="S84" s="20">
        <f>IFERROR(IF(OR($R84="",$C84=""),"",$R84/INDEX(DESPACHOS!$M$3:$M$3002,MATCH($C84,DESPACHOS!$B$3:$B$3002,0))),"")</f>
        <v/>
      </c>
      <c r="T84" s="41" t="n"/>
      <c r="U84" s="43">
        <f>IF(OR($B84="",$L84=""),"",WORKDAY($B84,IFERROR(INDEX(LISTAS!$C$3:$C$42,MATCH($L84,LISTAS!$A$3:$A$42,0)),3)))</f>
        <v/>
      </c>
      <c r="V84" s="40" t="n"/>
      <c r="W84" s="19">
        <f>IF($B84="","",IF($V84&lt;&gt;"",$V84-$B84,TODAY()-$B84))</f>
        <v/>
      </c>
      <c r="X84" s="19">
        <f>IF(OR($B84="",$U84=""),"",IF($V84&lt;&gt;"",MAX(0,$V84-$U84),MAX(0,TODAY()-$U84)))</f>
        <v/>
      </c>
      <c r="Y84" s="39">
        <f>IF($C84="","",IF(IFERROR(INDEX(LISTAS!$I$3:$I$42,MATCH($T84,LISTAS!$H$3:$H$42,0)),"NO")="SÍ",IF(N($X84)&gt;0,"CERRADA FUERA DE SLA","CERRADA EN SLA"),IF($U84="","SIN CLASIFICAR",IF(N($X84)&gt;0,"VENCIDA",IF(TODAY()&gt;=$U84-1,"POR VENCER","EN PLAZO")))))</f>
        <v/>
      </c>
      <c r="Z84" s="41" t="n"/>
      <c r="AA84" s="41" t="n"/>
      <c r="AB84" s="41" t="n"/>
    </row>
    <row r="85">
      <c r="A85" s="39">
        <f>IF($C85="","","NOV-"&amp;TEXT(ROW()-3,"0000"))</f>
        <v/>
      </c>
      <c r="B85" s="40" t="n"/>
      <c r="C85" s="41" t="n"/>
      <c r="D85" s="42">
        <f>IF($C85="","",IFERROR(INDEX(DESPACHOS!$D$3:$D$3002,MATCH($C85,DESPACHOS!$B$3:$B$3002,0)),"SIN DESPACHO"))</f>
        <v/>
      </c>
      <c r="E85" s="42">
        <f>IF($C85="","",IFERROR(INDEX(DESPACHOS!$K$3:$K$3002,MATCH($C85,DESPACHOS!$B$3:$B$3002,0)),""))</f>
        <v/>
      </c>
      <c r="F85" s="42">
        <f>IF($C85="","",IFERROR(INDEX(DESPACHOS!$I$3:$I$3002,MATCH($C85,DESPACHOS!$B$3:$B$3002,0)),""))</f>
        <v/>
      </c>
      <c r="G85" s="42">
        <f>IF($C85="","",IFERROR(INDEX(DESPACHOS!$F$3:$F$3002,MATCH($C85,DESPACHOS!$B$3:$B$3002,0)),""))</f>
        <v/>
      </c>
      <c r="H85" s="42">
        <f>IF($C85="","",IFERROR(INDEX(DESPACHOS!$G$3:$G$3002,MATCH($C85,DESPACHOS!$B$3:$B$3002,0)),""))</f>
        <v/>
      </c>
      <c r="I85" s="39">
        <f>IF($C85="","",IFERROR(INDEX(DESPACHOS!$H$3:$H$3002,MATCH($C85,DESPACHOS!$B$3:$B$3002,0)),""))</f>
        <v/>
      </c>
      <c r="J85" s="43">
        <f>IF($C85="","",IFERROR(INDEX(DESPACHOS!$J$3:$J$3002,MATCH($C85,DESPACHOS!$B$3:$B$3002,0)),""))</f>
        <v/>
      </c>
      <c r="K85" s="39">
        <f>IF($C85="","",IF(COUNTIFS(DESPACHOS!$B$3:$B$3002,$C85)=0,"NO EXISTE",IF(COUNTIFS(DESPACHOS!$B$3:$B$3002,$C85)&gt;1,"DUPLICADO","OK")))</f>
        <v/>
      </c>
      <c r="L85" s="41" t="n"/>
      <c r="M85" s="41" t="n"/>
      <c r="N85" s="42">
        <f>IF($M85="","",IFERROR(INDEX(LISTAS!$F$3:$F$42,MATCH($M85,LISTAS!$E$3:$E$42,0)),"Por definir"))</f>
        <v/>
      </c>
      <c r="O85" s="41" t="n"/>
      <c r="P85" s="39">
        <f>IF($L85="","",IFERROR(INDEX(LISTAS!$B$3:$B$42,MATCH($L85,LISTAS!$A$3:$A$42,0)),"Media"))</f>
        <v/>
      </c>
      <c r="Q85" s="44" t="n"/>
      <c r="R85" s="45" t="n"/>
      <c r="S85" s="20">
        <f>IFERROR(IF(OR($R85="",$C85=""),"",$R85/INDEX(DESPACHOS!$M$3:$M$3002,MATCH($C85,DESPACHOS!$B$3:$B$3002,0))),"")</f>
        <v/>
      </c>
      <c r="T85" s="41" t="n"/>
      <c r="U85" s="43">
        <f>IF(OR($B85="",$L85=""),"",WORKDAY($B85,IFERROR(INDEX(LISTAS!$C$3:$C$42,MATCH($L85,LISTAS!$A$3:$A$42,0)),3)))</f>
        <v/>
      </c>
      <c r="V85" s="40" t="n"/>
      <c r="W85" s="19">
        <f>IF($B85="","",IF($V85&lt;&gt;"",$V85-$B85,TODAY()-$B85))</f>
        <v/>
      </c>
      <c r="X85" s="19">
        <f>IF(OR($B85="",$U85=""),"",IF($V85&lt;&gt;"",MAX(0,$V85-$U85),MAX(0,TODAY()-$U85)))</f>
        <v/>
      </c>
      <c r="Y85" s="39">
        <f>IF($C85="","",IF(IFERROR(INDEX(LISTAS!$I$3:$I$42,MATCH($T85,LISTAS!$H$3:$H$42,0)),"NO")="SÍ",IF(N($X85)&gt;0,"CERRADA FUERA DE SLA","CERRADA EN SLA"),IF($U85="","SIN CLASIFICAR",IF(N($X85)&gt;0,"VENCIDA",IF(TODAY()&gt;=$U85-1,"POR VENCER","EN PLAZO")))))</f>
        <v/>
      </c>
      <c r="Z85" s="41" t="n"/>
      <c r="AA85" s="41" t="n"/>
      <c r="AB85" s="41" t="n"/>
    </row>
    <row r="86">
      <c r="A86" s="39">
        <f>IF($C86="","","NOV-"&amp;TEXT(ROW()-3,"0000"))</f>
        <v/>
      </c>
      <c r="B86" s="40" t="n"/>
      <c r="C86" s="41" t="n"/>
      <c r="D86" s="42">
        <f>IF($C86="","",IFERROR(INDEX(DESPACHOS!$D$3:$D$3002,MATCH($C86,DESPACHOS!$B$3:$B$3002,0)),"SIN DESPACHO"))</f>
        <v/>
      </c>
      <c r="E86" s="42">
        <f>IF($C86="","",IFERROR(INDEX(DESPACHOS!$K$3:$K$3002,MATCH($C86,DESPACHOS!$B$3:$B$3002,0)),""))</f>
        <v/>
      </c>
      <c r="F86" s="42">
        <f>IF($C86="","",IFERROR(INDEX(DESPACHOS!$I$3:$I$3002,MATCH($C86,DESPACHOS!$B$3:$B$3002,0)),""))</f>
        <v/>
      </c>
      <c r="G86" s="42">
        <f>IF($C86="","",IFERROR(INDEX(DESPACHOS!$F$3:$F$3002,MATCH($C86,DESPACHOS!$B$3:$B$3002,0)),""))</f>
        <v/>
      </c>
      <c r="H86" s="42">
        <f>IF($C86="","",IFERROR(INDEX(DESPACHOS!$G$3:$G$3002,MATCH($C86,DESPACHOS!$B$3:$B$3002,0)),""))</f>
        <v/>
      </c>
      <c r="I86" s="39">
        <f>IF($C86="","",IFERROR(INDEX(DESPACHOS!$H$3:$H$3002,MATCH($C86,DESPACHOS!$B$3:$B$3002,0)),""))</f>
        <v/>
      </c>
      <c r="J86" s="43">
        <f>IF($C86="","",IFERROR(INDEX(DESPACHOS!$J$3:$J$3002,MATCH($C86,DESPACHOS!$B$3:$B$3002,0)),""))</f>
        <v/>
      </c>
      <c r="K86" s="39">
        <f>IF($C86="","",IF(COUNTIFS(DESPACHOS!$B$3:$B$3002,$C86)=0,"NO EXISTE",IF(COUNTIFS(DESPACHOS!$B$3:$B$3002,$C86)&gt;1,"DUPLICADO","OK")))</f>
        <v/>
      </c>
      <c r="L86" s="41" t="n"/>
      <c r="M86" s="41" t="n"/>
      <c r="N86" s="42">
        <f>IF($M86="","",IFERROR(INDEX(LISTAS!$F$3:$F$42,MATCH($M86,LISTAS!$E$3:$E$42,0)),"Por definir"))</f>
        <v/>
      </c>
      <c r="O86" s="41" t="n"/>
      <c r="P86" s="39">
        <f>IF($L86="","",IFERROR(INDEX(LISTAS!$B$3:$B$42,MATCH($L86,LISTAS!$A$3:$A$42,0)),"Media"))</f>
        <v/>
      </c>
      <c r="Q86" s="44" t="n"/>
      <c r="R86" s="45" t="n"/>
      <c r="S86" s="20">
        <f>IFERROR(IF(OR($R86="",$C86=""),"",$R86/INDEX(DESPACHOS!$M$3:$M$3002,MATCH($C86,DESPACHOS!$B$3:$B$3002,0))),"")</f>
        <v/>
      </c>
      <c r="T86" s="41" t="n"/>
      <c r="U86" s="43">
        <f>IF(OR($B86="",$L86=""),"",WORKDAY($B86,IFERROR(INDEX(LISTAS!$C$3:$C$42,MATCH($L86,LISTAS!$A$3:$A$42,0)),3)))</f>
        <v/>
      </c>
      <c r="V86" s="40" t="n"/>
      <c r="W86" s="19">
        <f>IF($B86="","",IF($V86&lt;&gt;"",$V86-$B86,TODAY()-$B86))</f>
        <v/>
      </c>
      <c r="X86" s="19">
        <f>IF(OR($B86="",$U86=""),"",IF($V86&lt;&gt;"",MAX(0,$V86-$U86),MAX(0,TODAY()-$U86)))</f>
        <v/>
      </c>
      <c r="Y86" s="39">
        <f>IF($C86="","",IF(IFERROR(INDEX(LISTAS!$I$3:$I$42,MATCH($T86,LISTAS!$H$3:$H$42,0)),"NO")="SÍ",IF(N($X86)&gt;0,"CERRADA FUERA DE SLA","CERRADA EN SLA"),IF($U86="","SIN CLASIFICAR",IF(N($X86)&gt;0,"VENCIDA",IF(TODAY()&gt;=$U86-1,"POR VENCER","EN PLAZO")))))</f>
        <v/>
      </c>
      <c r="Z86" s="41" t="n"/>
      <c r="AA86" s="41" t="n"/>
      <c r="AB86" s="41" t="n"/>
    </row>
    <row r="87">
      <c r="A87" s="39">
        <f>IF($C87="","","NOV-"&amp;TEXT(ROW()-3,"0000"))</f>
        <v/>
      </c>
      <c r="B87" s="40" t="n"/>
      <c r="C87" s="41" t="n"/>
      <c r="D87" s="42">
        <f>IF($C87="","",IFERROR(INDEX(DESPACHOS!$D$3:$D$3002,MATCH($C87,DESPACHOS!$B$3:$B$3002,0)),"SIN DESPACHO"))</f>
        <v/>
      </c>
      <c r="E87" s="42">
        <f>IF($C87="","",IFERROR(INDEX(DESPACHOS!$K$3:$K$3002,MATCH($C87,DESPACHOS!$B$3:$B$3002,0)),""))</f>
        <v/>
      </c>
      <c r="F87" s="42">
        <f>IF($C87="","",IFERROR(INDEX(DESPACHOS!$I$3:$I$3002,MATCH($C87,DESPACHOS!$B$3:$B$3002,0)),""))</f>
        <v/>
      </c>
      <c r="G87" s="42">
        <f>IF($C87="","",IFERROR(INDEX(DESPACHOS!$F$3:$F$3002,MATCH($C87,DESPACHOS!$B$3:$B$3002,0)),""))</f>
        <v/>
      </c>
      <c r="H87" s="42">
        <f>IF($C87="","",IFERROR(INDEX(DESPACHOS!$G$3:$G$3002,MATCH($C87,DESPACHOS!$B$3:$B$3002,0)),""))</f>
        <v/>
      </c>
      <c r="I87" s="39">
        <f>IF($C87="","",IFERROR(INDEX(DESPACHOS!$H$3:$H$3002,MATCH($C87,DESPACHOS!$B$3:$B$3002,0)),""))</f>
        <v/>
      </c>
      <c r="J87" s="43">
        <f>IF($C87="","",IFERROR(INDEX(DESPACHOS!$J$3:$J$3002,MATCH($C87,DESPACHOS!$B$3:$B$3002,0)),""))</f>
        <v/>
      </c>
      <c r="K87" s="39">
        <f>IF($C87="","",IF(COUNTIFS(DESPACHOS!$B$3:$B$3002,$C87)=0,"NO EXISTE",IF(COUNTIFS(DESPACHOS!$B$3:$B$3002,$C87)&gt;1,"DUPLICADO","OK")))</f>
        <v/>
      </c>
      <c r="L87" s="41" t="n"/>
      <c r="M87" s="41" t="n"/>
      <c r="N87" s="42">
        <f>IF($M87="","",IFERROR(INDEX(LISTAS!$F$3:$F$42,MATCH($M87,LISTAS!$E$3:$E$42,0)),"Por definir"))</f>
        <v/>
      </c>
      <c r="O87" s="41" t="n"/>
      <c r="P87" s="39">
        <f>IF($L87="","",IFERROR(INDEX(LISTAS!$B$3:$B$42,MATCH($L87,LISTAS!$A$3:$A$42,0)),"Media"))</f>
        <v/>
      </c>
      <c r="Q87" s="44" t="n"/>
      <c r="R87" s="45" t="n"/>
      <c r="S87" s="20">
        <f>IFERROR(IF(OR($R87="",$C87=""),"",$R87/INDEX(DESPACHOS!$M$3:$M$3002,MATCH($C87,DESPACHOS!$B$3:$B$3002,0))),"")</f>
        <v/>
      </c>
      <c r="T87" s="41" t="n"/>
      <c r="U87" s="43">
        <f>IF(OR($B87="",$L87=""),"",WORKDAY($B87,IFERROR(INDEX(LISTAS!$C$3:$C$42,MATCH($L87,LISTAS!$A$3:$A$42,0)),3)))</f>
        <v/>
      </c>
      <c r="V87" s="40" t="n"/>
      <c r="W87" s="19">
        <f>IF($B87="","",IF($V87&lt;&gt;"",$V87-$B87,TODAY()-$B87))</f>
        <v/>
      </c>
      <c r="X87" s="19">
        <f>IF(OR($B87="",$U87=""),"",IF($V87&lt;&gt;"",MAX(0,$V87-$U87),MAX(0,TODAY()-$U87)))</f>
        <v/>
      </c>
      <c r="Y87" s="39">
        <f>IF($C87="","",IF(IFERROR(INDEX(LISTAS!$I$3:$I$42,MATCH($T87,LISTAS!$H$3:$H$42,0)),"NO")="SÍ",IF(N($X87)&gt;0,"CERRADA FUERA DE SLA","CERRADA EN SLA"),IF($U87="","SIN CLASIFICAR",IF(N($X87)&gt;0,"VENCIDA",IF(TODAY()&gt;=$U87-1,"POR VENCER","EN PLAZO")))))</f>
        <v/>
      </c>
      <c r="Z87" s="41" t="n"/>
      <c r="AA87" s="41" t="n"/>
      <c r="AB87" s="41" t="n"/>
    </row>
    <row r="88">
      <c r="A88" s="39">
        <f>IF($C88="","","NOV-"&amp;TEXT(ROW()-3,"0000"))</f>
        <v/>
      </c>
      <c r="B88" s="40" t="n"/>
      <c r="C88" s="41" t="n"/>
      <c r="D88" s="42">
        <f>IF($C88="","",IFERROR(INDEX(DESPACHOS!$D$3:$D$3002,MATCH($C88,DESPACHOS!$B$3:$B$3002,0)),"SIN DESPACHO"))</f>
        <v/>
      </c>
      <c r="E88" s="42">
        <f>IF($C88="","",IFERROR(INDEX(DESPACHOS!$K$3:$K$3002,MATCH($C88,DESPACHOS!$B$3:$B$3002,0)),""))</f>
        <v/>
      </c>
      <c r="F88" s="42">
        <f>IF($C88="","",IFERROR(INDEX(DESPACHOS!$I$3:$I$3002,MATCH($C88,DESPACHOS!$B$3:$B$3002,0)),""))</f>
        <v/>
      </c>
      <c r="G88" s="42">
        <f>IF($C88="","",IFERROR(INDEX(DESPACHOS!$F$3:$F$3002,MATCH($C88,DESPACHOS!$B$3:$B$3002,0)),""))</f>
        <v/>
      </c>
      <c r="H88" s="42">
        <f>IF($C88="","",IFERROR(INDEX(DESPACHOS!$G$3:$G$3002,MATCH($C88,DESPACHOS!$B$3:$B$3002,0)),""))</f>
        <v/>
      </c>
      <c r="I88" s="39">
        <f>IF($C88="","",IFERROR(INDEX(DESPACHOS!$H$3:$H$3002,MATCH($C88,DESPACHOS!$B$3:$B$3002,0)),""))</f>
        <v/>
      </c>
      <c r="J88" s="43">
        <f>IF($C88="","",IFERROR(INDEX(DESPACHOS!$J$3:$J$3002,MATCH($C88,DESPACHOS!$B$3:$B$3002,0)),""))</f>
        <v/>
      </c>
      <c r="K88" s="39">
        <f>IF($C88="","",IF(COUNTIFS(DESPACHOS!$B$3:$B$3002,$C88)=0,"NO EXISTE",IF(COUNTIFS(DESPACHOS!$B$3:$B$3002,$C88)&gt;1,"DUPLICADO","OK")))</f>
        <v/>
      </c>
      <c r="L88" s="41" t="n"/>
      <c r="M88" s="41" t="n"/>
      <c r="N88" s="42">
        <f>IF($M88="","",IFERROR(INDEX(LISTAS!$F$3:$F$42,MATCH($M88,LISTAS!$E$3:$E$42,0)),"Por definir"))</f>
        <v/>
      </c>
      <c r="O88" s="41" t="n"/>
      <c r="P88" s="39">
        <f>IF($L88="","",IFERROR(INDEX(LISTAS!$B$3:$B$42,MATCH($L88,LISTAS!$A$3:$A$42,0)),"Media"))</f>
        <v/>
      </c>
      <c r="Q88" s="44" t="n"/>
      <c r="R88" s="45" t="n"/>
      <c r="S88" s="20">
        <f>IFERROR(IF(OR($R88="",$C88=""),"",$R88/INDEX(DESPACHOS!$M$3:$M$3002,MATCH($C88,DESPACHOS!$B$3:$B$3002,0))),"")</f>
        <v/>
      </c>
      <c r="T88" s="41" t="n"/>
      <c r="U88" s="43">
        <f>IF(OR($B88="",$L88=""),"",WORKDAY($B88,IFERROR(INDEX(LISTAS!$C$3:$C$42,MATCH($L88,LISTAS!$A$3:$A$42,0)),3)))</f>
        <v/>
      </c>
      <c r="V88" s="40" t="n"/>
      <c r="W88" s="19">
        <f>IF($B88="","",IF($V88&lt;&gt;"",$V88-$B88,TODAY()-$B88))</f>
        <v/>
      </c>
      <c r="X88" s="19">
        <f>IF(OR($B88="",$U88=""),"",IF($V88&lt;&gt;"",MAX(0,$V88-$U88),MAX(0,TODAY()-$U88)))</f>
        <v/>
      </c>
      <c r="Y88" s="39">
        <f>IF($C88="","",IF(IFERROR(INDEX(LISTAS!$I$3:$I$42,MATCH($T88,LISTAS!$H$3:$H$42,0)),"NO")="SÍ",IF(N($X88)&gt;0,"CERRADA FUERA DE SLA","CERRADA EN SLA"),IF($U88="","SIN CLASIFICAR",IF(N($X88)&gt;0,"VENCIDA",IF(TODAY()&gt;=$U88-1,"POR VENCER","EN PLAZO")))))</f>
        <v/>
      </c>
      <c r="Z88" s="41" t="n"/>
      <c r="AA88" s="41" t="n"/>
      <c r="AB88" s="41" t="n"/>
    </row>
    <row r="89">
      <c r="A89" s="39">
        <f>IF($C89="","","NOV-"&amp;TEXT(ROW()-3,"0000"))</f>
        <v/>
      </c>
      <c r="B89" s="40" t="n"/>
      <c r="C89" s="41" t="n"/>
      <c r="D89" s="42">
        <f>IF($C89="","",IFERROR(INDEX(DESPACHOS!$D$3:$D$3002,MATCH($C89,DESPACHOS!$B$3:$B$3002,0)),"SIN DESPACHO"))</f>
        <v/>
      </c>
      <c r="E89" s="42">
        <f>IF($C89="","",IFERROR(INDEX(DESPACHOS!$K$3:$K$3002,MATCH($C89,DESPACHOS!$B$3:$B$3002,0)),""))</f>
        <v/>
      </c>
      <c r="F89" s="42">
        <f>IF($C89="","",IFERROR(INDEX(DESPACHOS!$I$3:$I$3002,MATCH($C89,DESPACHOS!$B$3:$B$3002,0)),""))</f>
        <v/>
      </c>
      <c r="G89" s="42">
        <f>IF($C89="","",IFERROR(INDEX(DESPACHOS!$F$3:$F$3002,MATCH($C89,DESPACHOS!$B$3:$B$3002,0)),""))</f>
        <v/>
      </c>
      <c r="H89" s="42">
        <f>IF($C89="","",IFERROR(INDEX(DESPACHOS!$G$3:$G$3002,MATCH($C89,DESPACHOS!$B$3:$B$3002,0)),""))</f>
        <v/>
      </c>
      <c r="I89" s="39">
        <f>IF($C89="","",IFERROR(INDEX(DESPACHOS!$H$3:$H$3002,MATCH($C89,DESPACHOS!$B$3:$B$3002,0)),""))</f>
        <v/>
      </c>
      <c r="J89" s="43">
        <f>IF($C89="","",IFERROR(INDEX(DESPACHOS!$J$3:$J$3002,MATCH($C89,DESPACHOS!$B$3:$B$3002,0)),""))</f>
        <v/>
      </c>
      <c r="K89" s="39">
        <f>IF($C89="","",IF(COUNTIFS(DESPACHOS!$B$3:$B$3002,$C89)=0,"NO EXISTE",IF(COUNTIFS(DESPACHOS!$B$3:$B$3002,$C89)&gt;1,"DUPLICADO","OK")))</f>
        <v/>
      </c>
      <c r="L89" s="41" t="n"/>
      <c r="M89" s="41" t="n"/>
      <c r="N89" s="42">
        <f>IF($M89="","",IFERROR(INDEX(LISTAS!$F$3:$F$42,MATCH($M89,LISTAS!$E$3:$E$42,0)),"Por definir"))</f>
        <v/>
      </c>
      <c r="O89" s="41" t="n"/>
      <c r="P89" s="39">
        <f>IF($L89="","",IFERROR(INDEX(LISTAS!$B$3:$B$42,MATCH($L89,LISTAS!$A$3:$A$42,0)),"Media"))</f>
        <v/>
      </c>
      <c r="Q89" s="44" t="n"/>
      <c r="R89" s="45" t="n"/>
      <c r="S89" s="20">
        <f>IFERROR(IF(OR($R89="",$C89=""),"",$R89/INDEX(DESPACHOS!$M$3:$M$3002,MATCH($C89,DESPACHOS!$B$3:$B$3002,0))),"")</f>
        <v/>
      </c>
      <c r="T89" s="41" t="n"/>
      <c r="U89" s="43">
        <f>IF(OR($B89="",$L89=""),"",WORKDAY($B89,IFERROR(INDEX(LISTAS!$C$3:$C$42,MATCH($L89,LISTAS!$A$3:$A$42,0)),3)))</f>
        <v/>
      </c>
      <c r="V89" s="40" t="n"/>
      <c r="W89" s="19">
        <f>IF($B89="","",IF($V89&lt;&gt;"",$V89-$B89,TODAY()-$B89))</f>
        <v/>
      </c>
      <c r="X89" s="19">
        <f>IF(OR($B89="",$U89=""),"",IF($V89&lt;&gt;"",MAX(0,$V89-$U89),MAX(0,TODAY()-$U89)))</f>
        <v/>
      </c>
      <c r="Y89" s="39">
        <f>IF($C89="","",IF(IFERROR(INDEX(LISTAS!$I$3:$I$42,MATCH($T89,LISTAS!$H$3:$H$42,0)),"NO")="SÍ",IF(N($X89)&gt;0,"CERRADA FUERA DE SLA","CERRADA EN SLA"),IF($U89="","SIN CLASIFICAR",IF(N($X89)&gt;0,"VENCIDA",IF(TODAY()&gt;=$U89-1,"POR VENCER","EN PLAZO")))))</f>
        <v/>
      </c>
      <c r="Z89" s="41" t="n"/>
      <c r="AA89" s="41" t="n"/>
      <c r="AB89" s="41" t="n"/>
    </row>
    <row r="90">
      <c r="A90" s="39">
        <f>IF($C90="","","NOV-"&amp;TEXT(ROW()-3,"0000"))</f>
        <v/>
      </c>
      <c r="B90" s="40" t="n"/>
      <c r="C90" s="41" t="n"/>
      <c r="D90" s="42">
        <f>IF($C90="","",IFERROR(INDEX(DESPACHOS!$D$3:$D$3002,MATCH($C90,DESPACHOS!$B$3:$B$3002,0)),"SIN DESPACHO"))</f>
        <v/>
      </c>
      <c r="E90" s="42">
        <f>IF($C90="","",IFERROR(INDEX(DESPACHOS!$K$3:$K$3002,MATCH($C90,DESPACHOS!$B$3:$B$3002,0)),""))</f>
        <v/>
      </c>
      <c r="F90" s="42">
        <f>IF($C90="","",IFERROR(INDEX(DESPACHOS!$I$3:$I$3002,MATCH($C90,DESPACHOS!$B$3:$B$3002,0)),""))</f>
        <v/>
      </c>
      <c r="G90" s="42">
        <f>IF($C90="","",IFERROR(INDEX(DESPACHOS!$F$3:$F$3002,MATCH($C90,DESPACHOS!$B$3:$B$3002,0)),""))</f>
        <v/>
      </c>
      <c r="H90" s="42">
        <f>IF($C90="","",IFERROR(INDEX(DESPACHOS!$G$3:$G$3002,MATCH($C90,DESPACHOS!$B$3:$B$3002,0)),""))</f>
        <v/>
      </c>
      <c r="I90" s="39">
        <f>IF($C90="","",IFERROR(INDEX(DESPACHOS!$H$3:$H$3002,MATCH($C90,DESPACHOS!$B$3:$B$3002,0)),""))</f>
        <v/>
      </c>
      <c r="J90" s="43">
        <f>IF($C90="","",IFERROR(INDEX(DESPACHOS!$J$3:$J$3002,MATCH($C90,DESPACHOS!$B$3:$B$3002,0)),""))</f>
        <v/>
      </c>
      <c r="K90" s="39">
        <f>IF($C90="","",IF(COUNTIFS(DESPACHOS!$B$3:$B$3002,$C90)=0,"NO EXISTE",IF(COUNTIFS(DESPACHOS!$B$3:$B$3002,$C90)&gt;1,"DUPLICADO","OK")))</f>
        <v/>
      </c>
      <c r="L90" s="41" t="n"/>
      <c r="M90" s="41" t="n"/>
      <c r="N90" s="42">
        <f>IF($M90="","",IFERROR(INDEX(LISTAS!$F$3:$F$42,MATCH($M90,LISTAS!$E$3:$E$42,0)),"Por definir"))</f>
        <v/>
      </c>
      <c r="O90" s="41" t="n"/>
      <c r="P90" s="39">
        <f>IF($L90="","",IFERROR(INDEX(LISTAS!$B$3:$B$42,MATCH($L90,LISTAS!$A$3:$A$42,0)),"Media"))</f>
        <v/>
      </c>
      <c r="Q90" s="44" t="n"/>
      <c r="R90" s="45" t="n"/>
      <c r="S90" s="20">
        <f>IFERROR(IF(OR($R90="",$C90=""),"",$R90/INDEX(DESPACHOS!$M$3:$M$3002,MATCH($C90,DESPACHOS!$B$3:$B$3002,0))),"")</f>
        <v/>
      </c>
      <c r="T90" s="41" t="n"/>
      <c r="U90" s="43">
        <f>IF(OR($B90="",$L90=""),"",WORKDAY($B90,IFERROR(INDEX(LISTAS!$C$3:$C$42,MATCH($L90,LISTAS!$A$3:$A$42,0)),3)))</f>
        <v/>
      </c>
      <c r="V90" s="40" t="n"/>
      <c r="W90" s="19">
        <f>IF($B90="","",IF($V90&lt;&gt;"",$V90-$B90,TODAY()-$B90))</f>
        <v/>
      </c>
      <c r="X90" s="19">
        <f>IF(OR($B90="",$U90=""),"",IF($V90&lt;&gt;"",MAX(0,$V90-$U90),MAX(0,TODAY()-$U90)))</f>
        <v/>
      </c>
      <c r="Y90" s="39">
        <f>IF($C90="","",IF(IFERROR(INDEX(LISTAS!$I$3:$I$42,MATCH($T90,LISTAS!$H$3:$H$42,0)),"NO")="SÍ",IF(N($X90)&gt;0,"CERRADA FUERA DE SLA","CERRADA EN SLA"),IF($U90="","SIN CLASIFICAR",IF(N($X90)&gt;0,"VENCIDA",IF(TODAY()&gt;=$U90-1,"POR VENCER","EN PLAZO")))))</f>
        <v/>
      </c>
      <c r="Z90" s="41" t="n"/>
      <c r="AA90" s="41" t="n"/>
      <c r="AB90" s="41" t="n"/>
    </row>
    <row r="91">
      <c r="A91" s="39">
        <f>IF($C91="","","NOV-"&amp;TEXT(ROW()-3,"0000"))</f>
        <v/>
      </c>
      <c r="B91" s="40" t="n"/>
      <c r="C91" s="41" t="n"/>
      <c r="D91" s="42">
        <f>IF($C91="","",IFERROR(INDEX(DESPACHOS!$D$3:$D$3002,MATCH($C91,DESPACHOS!$B$3:$B$3002,0)),"SIN DESPACHO"))</f>
        <v/>
      </c>
      <c r="E91" s="42">
        <f>IF($C91="","",IFERROR(INDEX(DESPACHOS!$K$3:$K$3002,MATCH($C91,DESPACHOS!$B$3:$B$3002,0)),""))</f>
        <v/>
      </c>
      <c r="F91" s="42">
        <f>IF($C91="","",IFERROR(INDEX(DESPACHOS!$I$3:$I$3002,MATCH($C91,DESPACHOS!$B$3:$B$3002,0)),""))</f>
        <v/>
      </c>
      <c r="G91" s="42">
        <f>IF($C91="","",IFERROR(INDEX(DESPACHOS!$F$3:$F$3002,MATCH($C91,DESPACHOS!$B$3:$B$3002,0)),""))</f>
        <v/>
      </c>
      <c r="H91" s="42">
        <f>IF($C91="","",IFERROR(INDEX(DESPACHOS!$G$3:$G$3002,MATCH($C91,DESPACHOS!$B$3:$B$3002,0)),""))</f>
        <v/>
      </c>
      <c r="I91" s="39">
        <f>IF($C91="","",IFERROR(INDEX(DESPACHOS!$H$3:$H$3002,MATCH($C91,DESPACHOS!$B$3:$B$3002,0)),""))</f>
        <v/>
      </c>
      <c r="J91" s="43">
        <f>IF($C91="","",IFERROR(INDEX(DESPACHOS!$J$3:$J$3002,MATCH($C91,DESPACHOS!$B$3:$B$3002,0)),""))</f>
        <v/>
      </c>
      <c r="K91" s="39">
        <f>IF($C91="","",IF(COUNTIFS(DESPACHOS!$B$3:$B$3002,$C91)=0,"NO EXISTE",IF(COUNTIFS(DESPACHOS!$B$3:$B$3002,$C91)&gt;1,"DUPLICADO","OK")))</f>
        <v/>
      </c>
      <c r="L91" s="41" t="n"/>
      <c r="M91" s="41" t="n"/>
      <c r="N91" s="42">
        <f>IF($M91="","",IFERROR(INDEX(LISTAS!$F$3:$F$42,MATCH($M91,LISTAS!$E$3:$E$42,0)),"Por definir"))</f>
        <v/>
      </c>
      <c r="O91" s="41" t="n"/>
      <c r="P91" s="39">
        <f>IF($L91="","",IFERROR(INDEX(LISTAS!$B$3:$B$42,MATCH($L91,LISTAS!$A$3:$A$42,0)),"Media"))</f>
        <v/>
      </c>
      <c r="Q91" s="44" t="n"/>
      <c r="R91" s="45" t="n"/>
      <c r="S91" s="20">
        <f>IFERROR(IF(OR($R91="",$C91=""),"",$R91/INDEX(DESPACHOS!$M$3:$M$3002,MATCH($C91,DESPACHOS!$B$3:$B$3002,0))),"")</f>
        <v/>
      </c>
      <c r="T91" s="41" t="n"/>
      <c r="U91" s="43">
        <f>IF(OR($B91="",$L91=""),"",WORKDAY($B91,IFERROR(INDEX(LISTAS!$C$3:$C$42,MATCH($L91,LISTAS!$A$3:$A$42,0)),3)))</f>
        <v/>
      </c>
      <c r="V91" s="40" t="n"/>
      <c r="W91" s="19">
        <f>IF($B91="","",IF($V91&lt;&gt;"",$V91-$B91,TODAY()-$B91))</f>
        <v/>
      </c>
      <c r="X91" s="19">
        <f>IF(OR($B91="",$U91=""),"",IF($V91&lt;&gt;"",MAX(0,$V91-$U91),MAX(0,TODAY()-$U91)))</f>
        <v/>
      </c>
      <c r="Y91" s="39">
        <f>IF($C91="","",IF(IFERROR(INDEX(LISTAS!$I$3:$I$42,MATCH($T91,LISTAS!$H$3:$H$42,0)),"NO")="SÍ",IF(N($X91)&gt;0,"CERRADA FUERA DE SLA","CERRADA EN SLA"),IF($U91="","SIN CLASIFICAR",IF(N($X91)&gt;0,"VENCIDA",IF(TODAY()&gt;=$U91-1,"POR VENCER","EN PLAZO")))))</f>
        <v/>
      </c>
      <c r="Z91" s="41" t="n"/>
      <c r="AA91" s="41" t="n"/>
      <c r="AB91" s="41" t="n"/>
    </row>
    <row r="92">
      <c r="A92" s="39">
        <f>IF($C92="","","NOV-"&amp;TEXT(ROW()-3,"0000"))</f>
        <v/>
      </c>
      <c r="B92" s="40" t="n"/>
      <c r="C92" s="41" t="n"/>
      <c r="D92" s="42">
        <f>IF($C92="","",IFERROR(INDEX(DESPACHOS!$D$3:$D$3002,MATCH($C92,DESPACHOS!$B$3:$B$3002,0)),"SIN DESPACHO"))</f>
        <v/>
      </c>
      <c r="E92" s="42">
        <f>IF($C92="","",IFERROR(INDEX(DESPACHOS!$K$3:$K$3002,MATCH($C92,DESPACHOS!$B$3:$B$3002,0)),""))</f>
        <v/>
      </c>
      <c r="F92" s="42">
        <f>IF($C92="","",IFERROR(INDEX(DESPACHOS!$I$3:$I$3002,MATCH($C92,DESPACHOS!$B$3:$B$3002,0)),""))</f>
        <v/>
      </c>
      <c r="G92" s="42">
        <f>IF($C92="","",IFERROR(INDEX(DESPACHOS!$F$3:$F$3002,MATCH($C92,DESPACHOS!$B$3:$B$3002,0)),""))</f>
        <v/>
      </c>
      <c r="H92" s="42">
        <f>IF($C92="","",IFERROR(INDEX(DESPACHOS!$G$3:$G$3002,MATCH($C92,DESPACHOS!$B$3:$B$3002,0)),""))</f>
        <v/>
      </c>
      <c r="I92" s="39">
        <f>IF($C92="","",IFERROR(INDEX(DESPACHOS!$H$3:$H$3002,MATCH($C92,DESPACHOS!$B$3:$B$3002,0)),""))</f>
        <v/>
      </c>
      <c r="J92" s="43">
        <f>IF($C92="","",IFERROR(INDEX(DESPACHOS!$J$3:$J$3002,MATCH($C92,DESPACHOS!$B$3:$B$3002,0)),""))</f>
        <v/>
      </c>
      <c r="K92" s="39">
        <f>IF($C92="","",IF(COUNTIFS(DESPACHOS!$B$3:$B$3002,$C92)=0,"NO EXISTE",IF(COUNTIFS(DESPACHOS!$B$3:$B$3002,$C92)&gt;1,"DUPLICADO","OK")))</f>
        <v/>
      </c>
      <c r="L92" s="41" t="n"/>
      <c r="M92" s="41" t="n"/>
      <c r="N92" s="42">
        <f>IF($M92="","",IFERROR(INDEX(LISTAS!$F$3:$F$42,MATCH($M92,LISTAS!$E$3:$E$42,0)),"Por definir"))</f>
        <v/>
      </c>
      <c r="O92" s="41" t="n"/>
      <c r="P92" s="39">
        <f>IF($L92="","",IFERROR(INDEX(LISTAS!$B$3:$B$42,MATCH($L92,LISTAS!$A$3:$A$42,0)),"Media"))</f>
        <v/>
      </c>
      <c r="Q92" s="44" t="n"/>
      <c r="R92" s="45" t="n"/>
      <c r="S92" s="20">
        <f>IFERROR(IF(OR($R92="",$C92=""),"",$R92/INDEX(DESPACHOS!$M$3:$M$3002,MATCH($C92,DESPACHOS!$B$3:$B$3002,0))),"")</f>
        <v/>
      </c>
      <c r="T92" s="41" t="n"/>
      <c r="U92" s="43">
        <f>IF(OR($B92="",$L92=""),"",WORKDAY($B92,IFERROR(INDEX(LISTAS!$C$3:$C$42,MATCH($L92,LISTAS!$A$3:$A$42,0)),3)))</f>
        <v/>
      </c>
      <c r="V92" s="40" t="n"/>
      <c r="W92" s="19">
        <f>IF($B92="","",IF($V92&lt;&gt;"",$V92-$B92,TODAY()-$B92))</f>
        <v/>
      </c>
      <c r="X92" s="19">
        <f>IF(OR($B92="",$U92=""),"",IF($V92&lt;&gt;"",MAX(0,$V92-$U92),MAX(0,TODAY()-$U92)))</f>
        <v/>
      </c>
      <c r="Y92" s="39">
        <f>IF($C92="","",IF(IFERROR(INDEX(LISTAS!$I$3:$I$42,MATCH($T92,LISTAS!$H$3:$H$42,0)),"NO")="SÍ",IF(N($X92)&gt;0,"CERRADA FUERA DE SLA","CERRADA EN SLA"),IF($U92="","SIN CLASIFICAR",IF(N($X92)&gt;0,"VENCIDA",IF(TODAY()&gt;=$U92-1,"POR VENCER","EN PLAZO")))))</f>
        <v/>
      </c>
      <c r="Z92" s="41" t="n"/>
      <c r="AA92" s="41" t="n"/>
      <c r="AB92" s="41" t="n"/>
    </row>
    <row r="93">
      <c r="A93" s="39">
        <f>IF($C93="","","NOV-"&amp;TEXT(ROW()-3,"0000"))</f>
        <v/>
      </c>
      <c r="B93" s="40" t="n"/>
      <c r="C93" s="41" t="n"/>
      <c r="D93" s="42">
        <f>IF($C93="","",IFERROR(INDEX(DESPACHOS!$D$3:$D$3002,MATCH($C93,DESPACHOS!$B$3:$B$3002,0)),"SIN DESPACHO"))</f>
        <v/>
      </c>
      <c r="E93" s="42">
        <f>IF($C93="","",IFERROR(INDEX(DESPACHOS!$K$3:$K$3002,MATCH($C93,DESPACHOS!$B$3:$B$3002,0)),""))</f>
        <v/>
      </c>
      <c r="F93" s="42">
        <f>IF($C93="","",IFERROR(INDEX(DESPACHOS!$I$3:$I$3002,MATCH($C93,DESPACHOS!$B$3:$B$3002,0)),""))</f>
        <v/>
      </c>
      <c r="G93" s="42">
        <f>IF($C93="","",IFERROR(INDEX(DESPACHOS!$F$3:$F$3002,MATCH($C93,DESPACHOS!$B$3:$B$3002,0)),""))</f>
        <v/>
      </c>
      <c r="H93" s="42">
        <f>IF($C93="","",IFERROR(INDEX(DESPACHOS!$G$3:$G$3002,MATCH($C93,DESPACHOS!$B$3:$B$3002,0)),""))</f>
        <v/>
      </c>
      <c r="I93" s="39">
        <f>IF($C93="","",IFERROR(INDEX(DESPACHOS!$H$3:$H$3002,MATCH($C93,DESPACHOS!$B$3:$B$3002,0)),""))</f>
        <v/>
      </c>
      <c r="J93" s="43">
        <f>IF($C93="","",IFERROR(INDEX(DESPACHOS!$J$3:$J$3002,MATCH($C93,DESPACHOS!$B$3:$B$3002,0)),""))</f>
        <v/>
      </c>
      <c r="K93" s="39">
        <f>IF($C93="","",IF(COUNTIFS(DESPACHOS!$B$3:$B$3002,$C93)=0,"NO EXISTE",IF(COUNTIFS(DESPACHOS!$B$3:$B$3002,$C93)&gt;1,"DUPLICADO","OK")))</f>
        <v/>
      </c>
      <c r="L93" s="41" t="n"/>
      <c r="M93" s="41" t="n"/>
      <c r="N93" s="42">
        <f>IF($M93="","",IFERROR(INDEX(LISTAS!$F$3:$F$42,MATCH($M93,LISTAS!$E$3:$E$42,0)),"Por definir"))</f>
        <v/>
      </c>
      <c r="O93" s="41" t="n"/>
      <c r="P93" s="39">
        <f>IF($L93="","",IFERROR(INDEX(LISTAS!$B$3:$B$42,MATCH($L93,LISTAS!$A$3:$A$42,0)),"Media"))</f>
        <v/>
      </c>
      <c r="Q93" s="44" t="n"/>
      <c r="R93" s="45" t="n"/>
      <c r="S93" s="20">
        <f>IFERROR(IF(OR($R93="",$C93=""),"",$R93/INDEX(DESPACHOS!$M$3:$M$3002,MATCH($C93,DESPACHOS!$B$3:$B$3002,0))),"")</f>
        <v/>
      </c>
      <c r="T93" s="41" t="n"/>
      <c r="U93" s="43">
        <f>IF(OR($B93="",$L93=""),"",WORKDAY($B93,IFERROR(INDEX(LISTAS!$C$3:$C$42,MATCH($L93,LISTAS!$A$3:$A$42,0)),3)))</f>
        <v/>
      </c>
      <c r="V93" s="40" t="n"/>
      <c r="W93" s="19">
        <f>IF($B93="","",IF($V93&lt;&gt;"",$V93-$B93,TODAY()-$B93))</f>
        <v/>
      </c>
      <c r="X93" s="19">
        <f>IF(OR($B93="",$U93=""),"",IF($V93&lt;&gt;"",MAX(0,$V93-$U93),MAX(0,TODAY()-$U93)))</f>
        <v/>
      </c>
      <c r="Y93" s="39">
        <f>IF($C93="","",IF(IFERROR(INDEX(LISTAS!$I$3:$I$42,MATCH($T93,LISTAS!$H$3:$H$42,0)),"NO")="SÍ",IF(N($X93)&gt;0,"CERRADA FUERA DE SLA","CERRADA EN SLA"),IF($U93="","SIN CLASIFICAR",IF(N($X93)&gt;0,"VENCIDA",IF(TODAY()&gt;=$U93-1,"POR VENCER","EN PLAZO")))))</f>
        <v/>
      </c>
      <c r="Z93" s="41" t="n"/>
      <c r="AA93" s="41" t="n"/>
      <c r="AB93" s="41" t="n"/>
    </row>
    <row r="94">
      <c r="A94" s="39">
        <f>IF($C94="","","NOV-"&amp;TEXT(ROW()-3,"0000"))</f>
        <v/>
      </c>
      <c r="B94" s="40" t="n"/>
      <c r="C94" s="41" t="n"/>
      <c r="D94" s="42">
        <f>IF($C94="","",IFERROR(INDEX(DESPACHOS!$D$3:$D$3002,MATCH($C94,DESPACHOS!$B$3:$B$3002,0)),"SIN DESPACHO"))</f>
        <v/>
      </c>
      <c r="E94" s="42">
        <f>IF($C94="","",IFERROR(INDEX(DESPACHOS!$K$3:$K$3002,MATCH($C94,DESPACHOS!$B$3:$B$3002,0)),""))</f>
        <v/>
      </c>
      <c r="F94" s="42">
        <f>IF($C94="","",IFERROR(INDEX(DESPACHOS!$I$3:$I$3002,MATCH($C94,DESPACHOS!$B$3:$B$3002,0)),""))</f>
        <v/>
      </c>
      <c r="G94" s="42">
        <f>IF($C94="","",IFERROR(INDEX(DESPACHOS!$F$3:$F$3002,MATCH($C94,DESPACHOS!$B$3:$B$3002,0)),""))</f>
        <v/>
      </c>
      <c r="H94" s="42">
        <f>IF($C94="","",IFERROR(INDEX(DESPACHOS!$G$3:$G$3002,MATCH($C94,DESPACHOS!$B$3:$B$3002,0)),""))</f>
        <v/>
      </c>
      <c r="I94" s="39">
        <f>IF($C94="","",IFERROR(INDEX(DESPACHOS!$H$3:$H$3002,MATCH($C94,DESPACHOS!$B$3:$B$3002,0)),""))</f>
        <v/>
      </c>
      <c r="J94" s="43">
        <f>IF($C94="","",IFERROR(INDEX(DESPACHOS!$J$3:$J$3002,MATCH($C94,DESPACHOS!$B$3:$B$3002,0)),""))</f>
        <v/>
      </c>
      <c r="K94" s="39">
        <f>IF($C94="","",IF(COUNTIFS(DESPACHOS!$B$3:$B$3002,$C94)=0,"NO EXISTE",IF(COUNTIFS(DESPACHOS!$B$3:$B$3002,$C94)&gt;1,"DUPLICADO","OK")))</f>
        <v/>
      </c>
      <c r="L94" s="41" t="n"/>
      <c r="M94" s="41" t="n"/>
      <c r="N94" s="42">
        <f>IF($M94="","",IFERROR(INDEX(LISTAS!$F$3:$F$42,MATCH($M94,LISTAS!$E$3:$E$42,0)),"Por definir"))</f>
        <v/>
      </c>
      <c r="O94" s="41" t="n"/>
      <c r="P94" s="39">
        <f>IF($L94="","",IFERROR(INDEX(LISTAS!$B$3:$B$42,MATCH($L94,LISTAS!$A$3:$A$42,0)),"Media"))</f>
        <v/>
      </c>
      <c r="Q94" s="44" t="n"/>
      <c r="R94" s="45" t="n"/>
      <c r="S94" s="20">
        <f>IFERROR(IF(OR($R94="",$C94=""),"",$R94/INDEX(DESPACHOS!$M$3:$M$3002,MATCH($C94,DESPACHOS!$B$3:$B$3002,0))),"")</f>
        <v/>
      </c>
      <c r="T94" s="41" t="n"/>
      <c r="U94" s="43">
        <f>IF(OR($B94="",$L94=""),"",WORKDAY($B94,IFERROR(INDEX(LISTAS!$C$3:$C$42,MATCH($L94,LISTAS!$A$3:$A$42,0)),3)))</f>
        <v/>
      </c>
      <c r="V94" s="40" t="n"/>
      <c r="W94" s="19">
        <f>IF($B94="","",IF($V94&lt;&gt;"",$V94-$B94,TODAY()-$B94))</f>
        <v/>
      </c>
      <c r="X94" s="19">
        <f>IF(OR($B94="",$U94=""),"",IF($V94&lt;&gt;"",MAX(0,$V94-$U94),MAX(0,TODAY()-$U94)))</f>
        <v/>
      </c>
      <c r="Y94" s="39">
        <f>IF($C94="","",IF(IFERROR(INDEX(LISTAS!$I$3:$I$42,MATCH($T94,LISTAS!$H$3:$H$42,0)),"NO")="SÍ",IF(N($X94)&gt;0,"CERRADA FUERA DE SLA","CERRADA EN SLA"),IF($U94="","SIN CLASIFICAR",IF(N($X94)&gt;0,"VENCIDA",IF(TODAY()&gt;=$U94-1,"POR VENCER","EN PLAZO")))))</f>
        <v/>
      </c>
      <c r="Z94" s="41" t="n"/>
      <c r="AA94" s="41" t="n"/>
      <c r="AB94" s="41" t="n"/>
    </row>
    <row r="95">
      <c r="A95" s="39">
        <f>IF($C95="","","NOV-"&amp;TEXT(ROW()-3,"0000"))</f>
        <v/>
      </c>
      <c r="B95" s="40" t="n"/>
      <c r="C95" s="41" t="n"/>
      <c r="D95" s="42">
        <f>IF($C95="","",IFERROR(INDEX(DESPACHOS!$D$3:$D$3002,MATCH($C95,DESPACHOS!$B$3:$B$3002,0)),"SIN DESPACHO"))</f>
        <v/>
      </c>
      <c r="E95" s="42">
        <f>IF($C95="","",IFERROR(INDEX(DESPACHOS!$K$3:$K$3002,MATCH($C95,DESPACHOS!$B$3:$B$3002,0)),""))</f>
        <v/>
      </c>
      <c r="F95" s="42">
        <f>IF($C95="","",IFERROR(INDEX(DESPACHOS!$I$3:$I$3002,MATCH($C95,DESPACHOS!$B$3:$B$3002,0)),""))</f>
        <v/>
      </c>
      <c r="G95" s="42">
        <f>IF($C95="","",IFERROR(INDEX(DESPACHOS!$F$3:$F$3002,MATCH($C95,DESPACHOS!$B$3:$B$3002,0)),""))</f>
        <v/>
      </c>
      <c r="H95" s="42">
        <f>IF($C95="","",IFERROR(INDEX(DESPACHOS!$G$3:$G$3002,MATCH($C95,DESPACHOS!$B$3:$B$3002,0)),""))</f>
        <v/>
      </c>
      <c r="I95" s="39">
        <f>IF($C95="","",IFERROR(INDEX(DESPACHOS!$H$3:$H$3002,MATCH($C95,DESPACHOS!$B$3:$B$3002,0)),""))</f>
        <v/>
      </c>
      <c r="J95" s="43">
        <f>IF($C95="","",IFERROR(INDEX(DESPACHOS!$J$3:$J$3002,MATCH($C95,DESPACHOS!$B$3:$B$3002,0)),""))</f>
        <v/>
      </c>
      <c r="K95" s="39">
        <f>IF($C95="","",IF(COUNTIFS(DESPACHOS!$B$3:$B$3002,$C95)=0,"NO EXISTE",IF(COUNTIFS(DESPACHOS!$B$3:$B$3002,$C95)&gt;1,"DUPLICADO","OK")))</f>
        <v/>
      </c>
      <c r="L95" s="41" t="n"/>
      <c r="M95" s="41" t="n"/>
      <c r="N95" s="42">
        <f>IF($M95="","",IFERROR(INDEX(LISTAS!$F$3:$F$42,MATCH($M95,LISTAS!$E$3:$E$42,0)),"Por definir"))</f>
        <v/>
      </c>
      <c r="O95" s="41" t="n"/>
      <c r="P95" s="39">
        <f>IF($L95="","",IFERROR(INDEX(LISTAS!$B$3:$B$42,MATCH($L95,LISTAS!$A$3:$A$42,0)),"Media"))</f>
        <v/>
      </c>
      <c r="Q95" s="44" t="n"/>
      <c r="R95" s="45" t="n"/>
      <c r="S95" s="20">
        <f>IFERROR(IF(OR($R95="",$C95=""),"",$R95/INDEX(DESPACHOS!$M$3:$M$3002,MATCH($C95,DESPACHOS!$B$3:$B$3002,0))),"")</f>
        <v/>
      </c>
      <c r="T95" s="41" t="n"/>
      <c r="U95" s="43">
        <f>IF(OR($B95="",$L95=""),"",WORKDAY($B95,IFERROR(INDEX(LISTAS!$C$3:$C$42,MATCH($L95,LISTAS!$A$3:$A$42,0)),3)))</f>
        <v/>
      </c>
      <c r="V95" s="40" t="n"/>
      <c r="W95" s="19">
        <f>IF($B95="","",IF($V95&lt;&gt;"",$V95-$B95,TODAY()-$B95))</f>
        <v/>
      </c>
      <c r="X95" s="19">
        <f>IF(OR($B95="",$U95=""),"",IF($V95&lt;&gt;"",MAX(0,$V95-$U95),MAX(0,TODAY()-$U95)))</f>
        <v/>
      </c>
      <c r="Y95" s="39">
        <f>IF($C95="","",IF(IFERROR(INDEX(LISTAS!$I$3:$I$42,MATCH($T95,LISTAS!$H$3:$H$42,0)),"NO")="SÍ",IF(N($X95)&gt;0,"CERRADA FUERA DE SLA","CERRADA EN SLA"),IF($U95="","SIN CLASIFICAR",IF(N($X95)&gt;0,"VENCIDA",IF(TODAY()&gt;=$U95-1,"POR VENCER","EN PLAZO")))))</f>
        <v/>
      </c>
      <c r="Z95" s="41" t="n"/>
      <c r="AA95" s="41" t="n"/>
      <c r="AB95" s="41" t="n"/>
    </row>
    <row r="96">
      <c r="A96" s="39">
        <f>IF($C96="","","NOV-"&amp;TEXT(ROW()-3,"0000"))</f>
        <v/>
      </c>
      <c r="B96" s="40" t="n"/>
      <c r="C96" s="41" t="n"/>
      <c r="D96" s="42">
        <f>IF($C96="","",IFERROR(INDEX(DESPACHOS!$D$3:$D$3002,MATCH($C96,DESPACHOS!$B$3:$B$3002,0)),"SIN DESPACHO"))</f>
        <v/>
      </c>
      <c r="E96" s="42">
        <f>IF($C96="","",IFERROR(INDEX(DESPACHOS!$K$3:$K$3002,MATCH($C96,DESPACHOS!$B$3:$B$3002,0)),""))</f>
        <v/>
      </c>
      <c r="F96" s="42">
        <f>IF($C96="","",IFERROR(INDEX(DESPACHOS!$I$3:$I$3002,MATCH($C96,DESPACHOS!$B$3:$B$3002,0)),""))</f>
        <v/>
      </c>
      <c r="G96" s="42">
        <f>IF($C96="","",IFERROR(INDEX(DESPACHOS!$F$3:$F$3002,MATCH($C96,DESPACHOS!$B$3:$B$3002,0)),""))</f>
        <v/>
      </c>
      <c r="H96" s="42">
        <f>IF($C96="","",IFERROR(INDEX(DESPACHOS!$G$3:$G$3002,MATCH($C96,DESPACHOS!$B$3:$B$3002,0)),""))</f>
        <v/>
      </c>
      <c r="I96" s="39">
        <f>IF($C96="","",IFERROR(INDEX(DESPACHOS!$H$3:$H$3002,MATCH($C96,DESPACHOS!$B$3:$B$3002,0)),""))</f>
        <v/>
      </c>
      <c r="J96" s="43">
        <f>IF($C96="","",IFERROR(INDEX(DESPACHOS!$J$3:$J$3002,MATCH($C96,DESPACHOS!$B$3:$B$3002,0)),""))</f>
        <v/>
      </c>
      <c r="K96" s="39">
        <f>IF($C96="","",IF(COUNTIFS(DESPACHOS!$B$3:$B$3002,$C96)=0,"NO EXISTE",IF(COUNTIFS(DESPACHOS!$B$3:$B$3002,$C96)&gt;1,"DUPLICADO","OK")))</f>
        <v/>
      </c>
      <c r="L96" s="41" t="n"/>
      <c r="M96" s="41" t="n"/>
      <c r="N96" s="42">
        <f>IF($M96="","",IFERROR(INDEX(LISTAS!$F$3:$F$42,MATCH($M96,LISTAS!$E$3:$E$42,0)),"Por definir"))</f>
        <v/>
      </c>
      <c r="O96" s="41" t="n"/>
      <c r="P96" s="39">
        <f>IF($L96="","",IFERROR(INDEX(LISTAS!$B$3:$B$42,MATCH($L96,LISTAS!$A$3:$A$42,0)),"Media"))</f>
        <v/>
      </c>
      <c r="Q96" s="44" t="n"/>
      <c r="R96" s="45" t="n"/>
      <c r="S96" s="20">
        <f>IFERROR(IF(OR($R96="",$C96=""),"",$R96/INDEX(DESPACHOS!$M$3:$M$3002,MATCH($C96,DESPACHOS!$B$3:$B$3002,0))),"")</f>
        <v/>
      </c>
      <c r="T96" s="41" t="n"/>
      <c r="U96" s="43">
        <f>IF(OR($B96="",$L96=""),"",WORKDAY($B96,IFERROR(INDEX(LISTAS!$C$3:$C$42,MATCH($L96,LISTAS!$A$3:$A$42,0)),3)))</f>
        <v/>
      </c>
      <c r="V96" s="40" t="n"/>
      <c r="W96" s="19">
        <f>IF($B96="","",IF($V96&lt;&gt;"",$V96-$B96,TODAY()-$B96))</f>
        <v/>
      </c>
      <c r="X96" s="19">
        <f>IF(OR($B96="",$U96=""),"",IF($V96&lt;&gt;"",MAX(0,$V96-$U96),MAX(0,TODAY()-$U96)))</f>
        <v/>
      </c>
      <c r="Y96" s="39">
        <f>IF($C96="","",IF(IFERROR(INDEX(LISTAS!$I$3:$I$42,MATCH($T96,LISTAS!$H$3:$H$42,0)),"NO")="SÍ",IF(N($X96)&gt;0,"CERRADA FUERA DE SLA","CERRADA EN SLA"),IF($U96="","SIN CLASIFICAR",IF(N($X96)&gt;0,"VENCIDA",IF(TODAY()&gt;=$U96-1,"POR VENCER","EN PLAZO")))))</f>
        <v/>
      </c>
      <c r="Z96" s="41" t="n"/>
      <c r="AA96" s="41" t="n"/>
      <c r="AB96" s="41" t="n"/>
    </row>
    <row r="97">
      <c r="A97" s="39">
        <f>IF($C97="","","NOV-"&amp;TEXT(ROW()-3,"0000"))</f>
        <v/>
      </c>
      <c r="B97" s="40" t="n"/>
      <c r="C97" s="41" t="n"/>
      <c r="D97" s="42">
        <f>IF($C97="","",IFERROR(INDEX(DESPACHOS!$D$3:$D$3002,MATCH($C97,DESPACHOS!$B$3:$B$3002,0)),"SIN DESPACHO"))</f>
        <v/>
      </c>
      <c r="E97" s="42">
        <f>IF($C97="","",IFERROR(INDEX(DESPACHOS!$K$3:$K$3002,MATCH($C97,DESPACHOS!$B$3:$B$3002,0)),""))</f>
        <v/>
      </c>
      <c r="F97" s="42">
        <f>IF($C97="","",IFERROR(INDEX(DESPACHOS!$I$3:$I$3002,MATCH($C97,DESPACHOS!$B$3:$B$3002,0)),""))</f>
        <v/>
      </c>
      <c r="G97" s="42">
        <f>IF($C97="","",IFERROR(INDEX(DESPACHOS!$F$3:$F$3002,MATCH($C97,DESPACHOS!$B$3:$B$3002,0)),""))</f>
        <v/>
      </c>
      <c r="H97" s="42">
        <f>IF($C97="","",IFERROR(INDEX(DESPACHOS!$G$3:$G$3002,MATCH($C97,DESPACHOS!$B$3:$B$3002,0)),""))</f>
        <v/>
      </c>
      <c r="I97" s="39">
        <f>IF($C97="","",IFERROR(INDEX(DESPACHOS!$H$3:$H$3002,MATCH($C97,DESPACHOS!$B$3:$B$3002,0)),""))</f>
        <v/>
      </c>
      <c r="J97" s="43">
        <f>IF($C97="","",IFERROR(INDEX(DESPACHOS!$J$3:$J$3002,MATCH($C97,DESPACHOS!$B$3:$B$3002,0)),""))</f>
        <v/>
      </c>
      <c r="K97" s="39">
        <f>IF($C97="","",IF(COUNTIFS(DESPACHOS!$B$3:$B$3002,$C97)=0,"NO EXISTE",IF(COUNTIFS(DESPACHOS!$B$3:$B$3002,$C97)&gt;1,"DUPLICADO","OK")))</f>
        <v/>
      </c>
      <c r="L97" s="41" t="n"/>
      <c r="M97" s="41" t="n"/>
      <c r="N97" s="42">
        <f>IF($M97="","",IFERROR(INDEX(LISTAS!$F$3:$F$42,MATCH($M97,LISTAS!$E$3:$E$42,0)),"Por definir"))</f>
        <v/>
      </c>
      <c r="O97" s="41" t="n"/>
      <c r="P97" s="39">
        <f>IF($L97="","",IFERROR(INDEX(LISTAS!$B$3:$B$42,MATCH($L97,LISTAS!$A$3:$A$42,0)),"Media"))</f>
        <v/>
      </c>
      <c r="Q97" s="44" t="n"/>
      <c r="R97" s="45" t="n"/>
      <c r="S97" s="20">
        <f>IFERROR(IF(OR($R97="",$C97=""),"",$R97/INDEX(DESPACHOS!$M$3:$M$3002,MATCH($C97,DESPACHOS!$B$3:$B$3002,0))),"")</f>
        <v/>
      </c>
      <c r="T97" s="41" t="n"/>
      <c r="U97" s="43">
        <f>IF(OR($B97="",$L97=""),"",WORKDAY($B97,IFERROR(INDEX(LISTAS!$C$3:$C$42,MATCH($L97,LISTAS!$A$3:$A$42,0)),3)))</f>
        <v/>
      </c>
      <c r="V97" s="40" t="n"/>
      <c r="W97" s="19">
        <f>IF($B97="","",IF($V97&lt;&gt;"",$V97-$B97,TODAY()-$B97))</f>
        <v/>
      </c>
      <c r="X97" s="19">
        <f>IF(OR($B97="",$U97=""),"",IF($V97&lt;&gt;"",MAX(0,$V97-$U97),MAX(0,TODAY()-$U97)))</f>
        <v/>
      </c>
      <c r="Y97" s="39">
        <f>IF($C97="","",IF(IFERROR(INDEX(LISTAS!$I$3:$I$42,MATCH($T97,LISTAS!$H$3:$H$42,0)),"NO")="SÍ",IF(N($X97)&gt;0,"CERRADA FUERA DE SLA","CERRADA EN SLA"),IF($U97="","SIN CLASIFICAR",IF(N($X97)&gt;0,"VENCIDA",IF(TODAY()&gt;=$U97-1,"POR VENCER","EN PLAZO")))))</f>
        <v/>
      </c>
      <c r="Z97" s="41" t="n"/>
      <c r="AA97" s="41" t="n"/>
      <c r="AB97" s="41" t="n"/>
    </row>
    <row r="98">
      <c r="A98" s="39">
        <f>IF($C98="","","NOV-"&amp;TEXT(ROW()-3,"0000"))</f>
        <v/>
      </c>
      <c r="B98" s="40" t="n"/>
      <c r="C98" s="41" t="n"/>
      <c r="D98" s="42">
        <f>IF($C98="","",IFERROR(INDEX(DESPACHOS!$D$3:$D$3002,MATCH($C98,DESPACHOS!$B$3:$B$3002,0)),"SIN DESPACHO"))</f>
        <v/>
      </c>
      <c r="E98" s="42">
        <f>IF($C98="","",IFERROR(INDEX(DESPACHOS!$K$3:$K$3002,MATCH($C98,DESPACHOS!$B$3:$B$3002,0)),""))</f>
        <v/>
      </c>
      <c r="F98" s="42">
        <f>IF($C98="","",IFERROR(INDEX(DESPACHOS!$I$3:$I$3002,MATCH($C98,DESPACHOS!$B$3:$B$3002,0)),""))</f>
        <v/>
      </c>
      <c r="G98" s="42">
        <f>IF($C98="","",IFERROR(INDEX(DESPACHOS!$F$3:$F$3002,MATCH($C98,DESPACHOS!$B$3:$B$3002,0)),""))</f>
        <v/>
      </c>
      <c r="H98" s="42">
        <f>IF($C98="","",IFERROR(INDEX(DESPACHOS!$G$3:$G$3002,MATCH($C98,DESPACHOS!$B$3:$B$3002,0)),""))</f>
        <v/>
      </c>
      <c r="I98" s="39">
        <f>IF($C98="","",IFERROR(INDEX(DESPACHOS!$H$3:$H$3002,MATCH($C98,DESPACHOS!$B$3:$B$3002,0)),""))</f>
        <v/>
      </c>
      <c r="J98" s="43">
        <f>IF($C98="","",IFERROR(INDEX(DESPACHOS!$J$3:$J$3002,MATCH($C98,DESPACHOS!$B$3:$B$3002,0)),""))</f>
        <v/>
      </c>
      <c r="K98" s="39">
        <f>IF($C98="","",IF(COUNTIFS(DESPACHOS!$B$3:$B$3002,$C98)=0,"NO EXISTE",IF(COUNTIFS(DESPACHOS!$B$3:$B$3002,$C98)&gt;1,"DUPLICADO","OK")))</f>
        <v/>
      </c>
      <c r="L98" s="41" t="n"/>
      <c r="M98" s="41" t="n"/>
      <c r="N98" s="42">
        <f>IF($M98="","",IFERROR(INDEX(LISTAS!$F$3:$F$42,MATCH($M98,LISTAS!$E$3:$E$42,0)),"Por definir"))</f>
        <v/>
      </c>
      <c r="O98" s="41" t="n"/>
      <c r="P98" s="39">
        <f>IF($L98="","",IFERROR(INDEX(LISTAS!$B$3:$B$42,MATCH($L98,LISTAS!$A$3:$A$42,0)),"Media"))</f>
        <v/>
      </c>
      <c r="Q98" s="44" t="n"/>
      <c r="R98" s="45" t="n"/>
      <c r="S98" s="20">
        <f>IFERROR(IF(OR($R98="",$C98=""),"",$R98/INDEX(DESPACHOS!$M$3:$M$3002,MATCH($C98,DESPACHOS!$B$3:$B$3002,0))),"")</f>
        <v/>
      </c>
      <c r="T98" s="41" t="n"/>
      <c r="U98" s="43">
        <f>IF(OR($B98="",$L98=""),"",WORKDAY($B98,IFERROR(INDEX(LISTAS!$C$3:$C$42,MATCH($L98,LISTAS!$A$3:$A$42,0)),3)))</f>
        <v/>
      </c>
      <c r="V98" s="40" t="n"/>
      <c r="W98" s="19">
        <f>IF($B98="","",IF($V98&lt;&gt;"",$V98-$B98,TODAY()-$B98))</f>
        <v/>
      </c>
      <c r="X98" s="19">
        <f>IF(OR($B98="",$U98=""),"",IF($V98&lt;&gt;"",MAX(0,$V98-$U98),MAX(0,TODAY()-$U98)))</f>
        <v/>
      </c>
      <c r="Y98" s="39">
        <f>IF($C98="","",IF(IFERROR(INDEX(LISTAS!$I$3:$I$42,MATCH($T98,LISTAS!$H$3:$H$42,0)),"NO")="SÍ",IF(N($X98)&gt;0,"CERRADA FUERA DE SLA","CERRADA EN SLA"),IF($U98="","SIN CLASIFICAR",IF(N($X98)&gt;0,"VENCIDA",IF(TODAY()&gt;=$U98-1,"POR VENCER","EN PLAZO")))))</f>
        <v/>
      </c>
      <c r="Z98" s="41" t="n"/>
      <c r="AA98" s="41" t="n"/>
      <c r="AB98" s="41" t="n"/>
    </row>
    <row r="99">
      <c r="A99" s="39">
        <f>IF($C99="","","NOV-"&amp;TEXT(ROW()-3,"0000"))</f>
        <v/>
      </c>
      <c r="B99" s="40" t="n"/>
      <c r="C99" s="41" t="n"/>
      <c r="D99" s="42">
        <f>IF($C99="","",IFERROR(INDEX(DESPACHOS!$D$3:$D$3002,MATCH($C99,DESPACHOS!$B$3:$B$3002,0)),"SIN DESPACHO"))</f>
        <v/>
      </c>
      <c r="E99" s="42">
        <f>IF($C99="","",IFERROR(INDEX(DESPACHOS!$K$3:$K$3002,MATCH($C99,DESPACHOS!$B$3:$B$3002,0)),""))</f>
        <v/>
      </c>
      <c r="F99" s="42">
        <f>IF($C99="","",IFERROR(INDEX(DESPACHOS!$I$3:$I$3002,MATCH($C99,DESPACHOS!$B$3:$B$3002,0)),""))</f>
        <v/>
      </c>
      <c r="G99" s="42">
        <f>IF($C99="","",IFERROR(INDEX(DESPACHOS!$F$3:$F$3002,MATCH($C99,DESPACHOS!$B$3:$B$3002,0)),""))</f>
        <v/>
      </c>
      <c r="H99" s="42">
        <f>IF($C99="","",IFERROR(INDEX(DESPACHOS!$G$3:$G$3002,MATCH($C99,DESPACHOS!$B$3:$B$3002,0)),""))</f>
        <v/>
      </c>
      <c r="I99" s="39">
        <f>IF($C99="","",IFERROR(INDEX(DESPACHOS!$H$3:$H$3002,MATCH($C99,DESPACHOS!$B$3:$B$3002,0)),""))</f>
        <v/>
      </c>
      <c r="J99" s="43">
        <f>IF($C99="","",IFERROR(INDEX(DESPACHOS!$J$3:$J$3002,MATCH($C99,DESPACHOS!$B$3:$B$3002,0)),""))</f>
        <v/>
      </c>
      <c r="K99" s="39">
        <f>IF($C99="","",IF(COUNTIFS(DESPACHOS!$B$3:$B$3002,$C99)=0,"NO EXISTE",IF(COUNTIFS(DESPACHOS!$B$3:$B$3002,$C99)&gt;1,"DUPLICADO","OK")))</f>
        <v/>
      </c>
      <c r="L99" s="41" t="n"/>
      <c r="M99" s="41" t="n"/>
      <c r="N99" s="42">
        <f>IF($M99="","",IFERROR(INDEX(LISTAS!$F$3:$F$42,MATCH($M99,LISTAS!$E$3:$E$42,0)),"Por definir"))</f>
        <v/>
      </c>
      <c r="O99" s="41" t="n"/>
      <c r="P99" s="39">
        <f>IF($L99="","",IFERROR(INDEX(LISTAS!$B$3:$B$42,MATCH($L99,LISTAS!$A$3:$A$42,0)),"Media"))</f>
        <v/>
      </c>
      <c r="Q99" s="44" t="n"/>
      <c r="R99" s="45" t="n"/>
      <c r="S99" s="20">
        <f>IFERROR(IF(OR($R99="",$C99=""),"",$R99/INDEX(DESPACHOS!$M$3:$M$3002,MATCH($C99,DESPACHOS!$B$3:$B$3002,0))),"")</f>
        <v/>
      </c>
      <c r="T99" s="41" t="n"/>
      <c r="U99" s="43">
        <f>IF(OR($B99="",$L99=""),"",WORKDAY($B99,IFERROR(INDEX(LISTAS!$C$3:$C$42,MATCH($L99,LISTAS!$A$3:$A$42,0)),3)))</f>
        <v/>
      </c>
      <c r="V99" s="40" t="n"/>
      <c r="W99" s="19">
        <f>IF($B99="","",IF($V99&lt;&gt;"",$V99-$B99,TODAY()-$B99))</f>
        <v/>
      </c>
      <c r="X99" s="19">
        <f>IF(OR($B99="",$U99=""),"",IF($V99&lt;&gt;"",MAX(0,$V99-$U99),MAX(0,TODAY()-$U99)))</f>
        <v/>
      </c>
      <c r="Y99" s="39">
        <f>IF($C99="","",IF(IFERROR(INDEX(LISTAS!$I$3:$I$42,MATCH($T99,LISTAS!$H$3:$H$42,0)),"NO")="SÍ",IF(N($X99)&gt;0,"CERRADA FUERA DE SLA","CERRADA EN SLA"),IF($U99="","SIN CLASIFICAR",IF(N($X99)&gt;0,"VENCIDA",IF(TODAY()&gt;=$U99-1,"POR VENCER","EN PLAZO")))))</f>
        <v/>
      </c>
      <c r="Z99" s="41" t="n"/>
      <c r="AA99" s="41" t="n"/>
      <c r="AB99" s="41" t="n"/>
    </row>
    <row r="100">
      <c r="A100" s="39">
        <f>IF($C100="","","NOV-"&amp;TEXT(ROW()-3,"0000"))</f>
        <v/>
      </c>
      <c r="B100" s="40" t="n"/>
      <c r="C100" s="41" t="n"/>
      <c r="D100" s="42">
        <f>IF($C100="","",IFERROR(INDEX(DESPACHOS!$D$3:$D$3002,MATCH($C100,DESPACHOS!$B$3:$B$3002,0)),"SIN DESPACHO"))</f>
        <v/>
      </c>
      <c r="E100" s="42">
        <f>IF($C100="","",IFERROR(INDEX(DESPACHOS!$K$3:$K$3002,MATCH($C100,DESPACHOS!$B$3:$B$3002,0)),""))</f>
        <v/>
      </c>
      <c r="F100" s="42">
        <f>IF($C100="","",IFERROR(INDEX(DESPACHOS!$I$3:$I$3002,MATCH($C100,DESPACHOS!$B$3:$B$3002,0)),""))</f>
        <v/>
      </c>
      <c r="G100" s="42">
        <f>IF($C100="","",IFERROR(INDEX(DESPACHOS!$F$3:$F$3002,MATCH($C100,DESPACHOS!$B$3:$B$3002,0)),""))</f>
        <v/>
      </c>
      <c r="H100" s="42">
        <f>IF($C100="","",IFERROR(INDEX(DESPACHOS!$G$3:$G$3002,MATCH($C100,DESPACHOS!$B$3:$B$3002,0)),""))</f>
        <v/>
      </c>
      <c r="I100" s="39">
        <f>IF($C100="","",IFERROR(INDEX(DESPACHOS!$H$3:$H$3002,MATCH($C100,DESPACHOS!$B$3:$B$3002,0)),""))</f>
        <v/>
      </c>
      <c r="J100" s="43">
        <f>IF($C100="","",IFERROR(INDEX(DESPACHOS!$J$3:$J$3002,MATCH($C100,DESPACHOS!$B$3:$B$3002,0)),""))</f>
        <v/>
      </c>
      <c r="K100" s="39">
        <f>IF($C100="","",IF(COUNTIFS(DESPACHOS!$B$3:$B$3002,$C100)=0,"NO EXISTE",IF(COUNTIFS(DESPACHOS!$B$3:$B$3002,$C100)&gt;1,"DUPLICADO","OK")))</f>
        <v/>
      </c>
      <c r="L100" s="41" t="n"/>
      <c r="M100" s="41" t="n"/>
      <c r="N100" s="42">
        <f>IF($M100="","",IFERROR(INDEX(LISTAS!$F$3:$F$42,MATCH($M100,LISTAS!$E$3:$E$42,0)),"Por definir"))</f>
        <v/>
      </c>
      <c r="O100" s="41" t="n"/>
      <c r="P100" s="39">
        <f>IF($L100="","",IFERROR(INDEX(LISTAS!$B$3:$B$42,MATCH($L100,LISTAS!$A$3:$A$42,0)),"Media"))</f>
        <v/>
      </c>
      <c r="Q100" s="44" t="n"/>
      <c r="R100" s="45" t="n"/>
      <c r="S100" s="20">
        <f>IFERROR(IF(OR($R100="",$C100=""),"",$R100/INDEX(DESPACHOS!$M$3:$M$3002,MATCH($C100,DESPACHOS!$B$3:$B$3002,0))),"")</f>
        <v/>
      </c>
      <c r="T100" s="41" t="n"/>
      <c r="U100" s="43">
        <f>IF(OR($B100="",$L100=""),"",WORKDAY($B100,IFERROR(INDEX(LISTAS!$C$3:$C$42,MATCH($L100,LISTAS!$A$3:$A$42,0)),3)))</f>
        <v/>
      </c>
      <c r="V100" s="40" t="n"/>
      <c r="W100" s="19">
        <f>IF($B100="","",IF($V100&lt;&gt;"",$V100-$B100,TODAY()-$B100))</f>
        <v/>
      </c>
      <c r="X100" s="19">
        <f>IF(OR($B100="",$U100=""),"",IF($V100&lt;&gt;"",MAX(0,$V100-$U100),MAX(0,TODAY()-$U100)))</f>
        <v/>
      </c>
      <c r="Y100" s="39">
        <f>IF($C100="","",IF(IFERROR(INDEX(LISTAS!$I$3:$I$42,MATCH($T100,LISTAS!$H$3:$H$42,0)),"NO")="SÍ",IF(N($X100)&gt;0,"CERRADA FUERA DE SLA","CERRADA EN SLA"),IF($U100="","SIN CLASIFICAR",IF(N($X100)&gt;0,"VENCIDA",IF(TODAY()&gt;=$U100-1,"POR VENCER","EN PLAZO")))))</f>
        <v/>
      </c>
      <c r="Z100" s="41" t="n"/>
      <c r="AA100" s="41" t="n"/>
      <c r="AB100" s="41" t="n"/>
    </row>
    <row r="101">
      <c r="A101" s="39">
        <f>IF($C101="","","NOV-"&amp;TEXT(ROW()-3,"0000"))</f>
        <v/>
      </c>
      <c r="B101" s="40" t="n"/>
      <c r="C101" s="41" t="n"/>
      <c r="D101" s="42">
        <f>IF($C101="","",IFERROR(INDEX(DESPACHOS!$D$3:$D$3002,MATCH($C101,DESPACHOS!$B$3:$B$3002,0)),"SIN DESPACHO"))</f>
        <v/>
      </c>
      <c r="E101" s="42">
        <f>IF($C101="","",IFERROR(INDEX(DESPACHOS!$K$3:$K$3002,MATCH($C101,DESPACHOS!$B$3:$B$3002,0)),""))</f>
        <v/>
      </c>
      <c r="F101" s="42">
        <f>IF($C101="","",IFERROR(INDEX(DESPACHOS!$I$3:$I$3002,MATCH($C101,DESPACHOS!$B$3:$B$3002,0)),""))</f>
        <v/>
      </c>
      <c r="G101" s="42">
        <f>IF($C101="","",IFERROR(INDEX(DESPACHOS!$F$3:$F$3002,MATCH($C101,DESPACHOS!$B$3:$B$3002,0)),""))</f>
        <v/>
      </c>
      <c r="H101" s="42">
        <f>IF($C101="","",IFERROR(INDEX(DESPACHOS!$G$3:$G$3002,MATCH($C101,DESPACHOS!$B$3:$B$3002,0)),""))</f>
        <v/>
      </c>
      <c r="I101" s="39">
        <f>IF($C101="","",IFERROR(INDEX(DESPACHOS!$H$3:$H$3002,MATCH($C101,DESPACHOS!$B$3:$B$3002,0)),""))</f>
        <v/>
      </c>
      <c r="J101" s="43">
        <f>IF($C101="","",IFERROR(INDEX(DESPACHOS!$J$3:$J$3002,MATCH($C101,DESPACHOS!$B$3:$B$3002,0)),""))</f>
        <v/>
      </c>
      <c r="K101" s="39">
        <f>IF($C101="","",IF(COUNTIFS(DESPACHOS!$B$3:$B$3002,$C101)=0,"NO EXISTE",IF(COUNTIFS(DESPACHOS!$B$3:$B$3002,$C101)&gt;1,"DUPLICADO","OK")))</f>
        <v/>
      </c>
      <c r="L101" s="41" t="n"/>
      <c r="M101" s="41" t="n"/>
      <c r="N101" s="42">
        <f>IF($M101="","",IFERROR(INDEX(LISTAS!$F$3:$F$42,MATCH($M101,LISTAS!$E$3:$E$42,0)),"Por definir"))</f>
        <v/>
      </c>
      <c r="O101" s="41" t="n"/>
      <c r="P101" s="39">
        <f>IF($L101="","",IFERROR(INDEX(LISTAS!$B$3:$B$42,MATCH($L101,LISTAS!$A$3:$A$42,0)),"Media"))</f>
        <v/>
      </c>
      <c r="Q101" s="44" t="n"/>
      <c r="R101" s="45" t="n"/>
      <c r="S101" s="20">
        <f>IFERROR(IF(OR($R101="",$C101=""),"",$R101/INDEX(DESPACHOS!$M$3:$M$3002,MATCH($C101,DESPACHOS!$B$3:$B$3002,0))),"")</f>
        <v/>
      </c>
      <c r="T101" s="41" t="n"/>
      <c r="U101" s="43">
        <f>IF(OR($B101="",$L101=""),"",WORKDAY($B101,IFERROR(INDEX(LISTAS!$C$3:$C$42,MATCH($L101,LISTAS!$A$3:$A$42,0)),3)))</f>
        <v/>
      </c>
      <c r="V101" s="40" t="n"/>
      <c r="W101" s="19">
        <f>IF($B101="","",IF($V101&lt;&gt;"",$V101-$B101,TODAY()-$B101))</f>
        <v/>
      </c>
      <c r="X101" s="19">
        <f>IF(OR($B101="",$U101=""),"",IF($V101&lt;&gt;"",MAX(0,$V101-$U101),MAX(0,TODAY()-$U101)))</f>
        <v/>
      </c>
      <c r="Y101" s="39">
        <f>IF($C101="","",IF(IFERROR(INDEX(LISTAS!$I$3:$I$42,MATCH($T101,LISTAS!$H$3:$H$42,0)),"NO")="SÍ",IF(N($X101)&gt;0,"CERRADA FUERA DE SLA","CERRADA EN SLA"),IF($U101="","SIN CLASIFICAR",IF(N($X101)&gt;0,"VENCIDA",IF(TODAY()&gt;=$U101-1,"POR VENCER","EN PLAZO")))))</f>
        <v/>
      </c>
      <c r="Z101" s="41" t="n"/>
      <c r="AA101" s="41" t="n"/>
      <c r="AB101" s="41" t="n"/>
    </row>
    <row r="102">
      <c r="A102" s="39">
        <f>IF($C102="","","NOV-"&amp;TEXT(ROW()-3,"0000"))</f>
        <v/>
      </c>
      <c r="B102" s="40" t="n"/>
      <c r="C102" s="41" t="n"/>
      <c r="D102" s="42">
        <f>IF($C102="","",IFERROR(INDEX(DESPACHOS!$D$3:$D$3002,MATCH($C102,DESPACHOS!$B$3:$B$3002,0)),"SIN DESPACHO"))</f>
        <v/>
      </c>
      <c r="E102" s="42">
        <f>IF($C102="","",IFERROR(INDEX(DESPACHOS!$K$3:$K$3002,MATCH($C102,DESPACHOS!$B$3:$B$3002,0)),""))</f>
        <v/>
      </c>
      <c r="F102" s="42">
        <f>IF($C102="","",IFERROR(INDEX(DESPACHOS!$I$3:$I$3002,MATCH($C102,DESPACHOS!$B$3:$B$3002,0)),""))</f>
        <v/>
      </c>
      <c r="G102" s="42">
        <f>IF($C102="","",IFERROR(INDEX(DESPACHOS!$F$3:$F$3002,MATCH($C102,DESPACHOS!$B$3:$B$3002,0)),""))</f>
        <v/>
      </c>
      <c r="H102" s="42">
        <f>IF($C102="","",IFERROR(INDEX(DESPACHOS!$G$3:$G$3002,MATCH($C102,DESPACHOS!$B$3:$B$3002,0)),""))</f>
        <v/>
      </c>
      <c r="I102" s="39">
        <f>IF($C102="","",IFERROR(INDEX(DESPACHOS!$H$3:$H$3002,MATCH($C102,DESPACHOS!$B$3:$B$3002,0)),""))</f>
        <v/>
      </c>
      <c r="J102" s="43">
        <f>IF($C102="","",IFERROR(INDEX(DESPACHOS!$J$3:$J$3002,MATCH($C102,DESPACHOS!$B$3:$B$3002,0)),""))</f>
        <v/>
      </c>
      <c r="K102" s="39">
        <f>IF($C102="","",IF(COUNTIFS(DESPACHOS!$B$3:$B$3002,$C102)=0,"NO EXISTE",IF(COUNTIFS(DESPACHOS!$B$3:$B$3002,$C102)&gt;1,"DUPLICADO","OK")))</f>
        <v/>
      </c>
      <c r="L102" s="41" t="n"/>
      <c r="M102" s="41" t="n"/>
      <c r="N102" s="42">
        <f>IF($M102="","",IFERROR(INDEX(LISTAS!$F$3:$F$42,MATCH($M102,LISTAS!$E$3:$E$42,0)),"Por definir"))</f>
        <v/>
      </c>
      <c r="O102" s="41" t="n"/>
      <c r="P102" s="39">
        <f>IF($L102="","",IFERROR(INDEX(LISTAS!$B$3:$B$42,MATCH($L102,LISTAS!$A$3:$A$42,0)),"Media"))</f>
        <v/>
      </c>
      <c r="Q102" s="44" t="n"/>
      <c r="R102" s="45" t="n"/>
      <c r="S102" s="20">
        <f>IFERROR(IF(OR($R102="",$C102=""),"",$R102/INDEX(DESPACHOS!$M$3:$M$3002,MATCH($C102,DESPACHOS!$B$3:$B$3002,0))),"")</f>
        <v/>
      </c>
      <c r="T102" s="41" t="n"/>
      <c r="U102" s="43">
        <f>IF(OR($B102="",$L102=""),"",WORKDAY($B102,IFERROR(INDEX(LISTAS!$C$3:$C$42,MATCH($L102,LISTAS!$A$3:$A$42,0)),3)))</f>
        <v/>
      </c>
      <c r="V102" s="40" t="n"/>
      <c r="W102" s="19">
        <f>IF($B102="","",IF($V102&lt;&gt;"",$V102-$B102,TODAY()-$B102))</f>
        <v/>
      </c>
      <c r="X102" s="19">
        <f>IF(OR($B102="",$U102=""),"",IF($V102&lt;&gt;"",MAX(0,$V102-$U102),MAX(0,TODAY()-$U102)))</f>
        <v/>
      </c>
      <c r="Y102" s="39">
        <f>IF($C102="","",IF(IFERROR(INDEX(LISTAS!$I$3:$I$42,MATCH($T102,LISTAS!$H$3:$H$42,0)),"NO")="SÍ",IF(N($X102)&gt;0,"CERRADA FUERA DE SLA","CERRADA EN SLA"),IF($U102="","SIN CLASIFICAR",IF(N($X102)&gt;0,"VENCIDA",IF(TODAY()&gt;=$U102-1,"POR VENCER","EN PLAZO")))))</f>
        <v/>
      </c>
      <c r="Z102" s="41" t="n"/>
      <c r="AA102" s="41" t="n"/>
      <c r="AB102" s="41" t="n"/>
    </row>
    <row r="103">
      <c r="A103" s="39">
        <f>IF($C103="","","NOV-"&amp;TEXT(ROW()-3,"0000"))</f>
        <v/>
      </c>
      <c r="B103" s="40" t="n"/>
      <c r="C103" s="41" t="n"/>
      <c r="D103" s="42">
        <f>IF($C103="","",IFERROR(INDEX(DESPACHOS!$D$3:$D$3002,MATCH($C103,DESPACHOS!$B$3:$B$3002,0)),"SIN DESPACHO"))</f>
        <v/>
      </c>
      <c r="E103" s="42">
        <f>IF($C103="","",IFERROR(INDEX(DESPACHOS!$K$3:$K$3002,MATCH($C103,DESPACHOS!$B$3:$B$3002,0)),""))</f>
        <v/>
      </c>
      <c r="F103" s="42">
        <f>IF($C103="","",IFERROR(INDEX(DESPACHOS!$I$3:$I$3002,MATCH($C103,DESPACHOS!$B$3:$B$3002,0)),""))</f>
        <v/>
      </c>
      <c r="G103" s="42">
        <f>IF($C103="","",IFERROR(INDEX(DESPACHOS!$F$3:$F$3002,MATCH($C103,DESPACHOS!$B$3:$B$3002,0)),""))</f>
        <v/>
      </c>
      <c r="H103" s="42">
        <f>IF($C103="","",IFERROR(INDEX(DESPACHOS!$G$3:$G$3002,MATCH($C103,DESPACHOS!$B$3:$B$3002,0)),""))</f>
        <v/>
      </c>
      <c r="I103" s="39">
        <f>IF($C103="","",IFERROR(INDEX(DESPACHOS!$H$3:$H$3002,MATCH($C103,DESPACHOS!$B$3:$B$3002,0)),""))</f>
        <v/>
      </c>
      <c r="J103" s="43">
        <f>IF($C103="","",IFERROR(INDEX(DESPACHOS!$J$3:$J$3002,MATCH($C103,DESPACHOS!$B$3:$B$3002,0)),""))</f>
        <v/>
      </c>
      <c r="K103" s="39">
        <f>IF($C103="","",IF(COUNTIFS(DESPACHOS!$B$3:$B$3002,$C103)=0,"NO EXISTE",IF(COUNTIFS(DESPACHOS!$B$3:$B$3002,$C103)&gt;1,"DUPLICADO","OK")))</f>
        <v/>
      </c>
      <c r="L103" s="41" t="n"/>
      <c r="M103" s="41" t="n"/>
      <c r="N103" s="42">
        <f>IF($M103="","",IFERROR(INDEX(LISTAS!$F$3:$F$42,MATCH($M103,LISTAS!$E$3:$E$42,0)),"Por definir"))</f>
        <v/>
      </c>
      <c r="O103" s="41" t="n"/>
      <c r="P103" s="39">
        <f>IF($L103="","",IFERROR(INDEX(LISTAS!$B$3:$B$42,MATCH($L103,LISTAS!$A$3:$A$42,0)),"Media"))</f>
        <v/>
      </c>
      <c r="Q103" s="44" t="n"/>
      <c r="R103" s="45" t="n"/>
      <c r="S103" s="20">
        <f>IFERROR(IF(OR($R103="",$C103=""),"",$R103/INDEX(DESPACHOS!$M$3:$M$3002,MATCH($C103,DESPACHOS!$B$3:$B$3002,0))),"")</f>
        <v/>
      </c>
      <c r="T103" s="41" t="n"/>
      <c r="U103" s="43">
        <f>IF(OR($B103="",$L103=""),"",WORKDAY($B103,IFERROR(INDEX(LISTAS!$C$3:$C$42,MATCH($L103,LISTAS!$A$3:$A$42,0)),3)))</f>
        <v/>
      </c>
      <c r="V103" s="40" t="n"/>
      <c r="W103" s="19">
        <f>IF($B103="","",IF($V103&lt;&gt;"",$V103-$B103,TODAY()-$B103))</f>
        <v/>
      </c>
      <c r="X103" s="19">
        <f>IF(OR($B103="",$U103=""),"",IF($V103&lt;&gt;"",MAX(0,$V103-$U103),MAX(0,TODAY()-$U103)))</f>
        <v/>
      </c>
      <c r="Y103" s="39">
        <f>IF($C103="","",IF(IFERROR(INDEX(LISTAS!$I$3:$I$42,MATCH($T103,LISTAS!$H$3:$H$42,0)),"NO")="SÍ",IF(N($X103)&gt;0,"CERRADA FUERA DE SLA","CERRADA EN SLA"),IF($U103="","SIN CLASIFICAR",IF(N($X103)&gt;0,"VENCIDA",IF(TODAY()&gt;=$U103-1,"POR VENCER","EN PLAZO")))))</f>
        <v/>
      </c>
      <c r="Z103" s="41" t="n"/>
      <c r="AA103" s="41" t="n"/>
      <c r="AB103" s="41" t="n"/>
    </row>
    <row r="104">
      <c r="A104" s="39">
        <f>IF($C104="","","NOV-"&amp;TEXT(ROW()-3,"0000"))</f>
        <v/>
      </c>
      <c r="B104" s="40" t="n"/>
      <c r="C104" s="41" t="n"/>
      <c r="D104" s="42">
        <f>IF($C104="","",IFERROR(INDEX(DESPACHOS!$D$3:$D$3002,MATCH($C104,DESPACHOS!$B$3:$B$3002,0)),"SIN DESPACHO"))</f>
        <v/>
      </c>
      <c r="E104" s="42">
        <f>IF($C104="","",IFERROR(INDEX(DESPACHOS!$K$3:$K$3002,MATCH($C104,DESPACHOS!$B$3:$B$3002,0)),""))</f>
        <v/>
      </c>
      <c r="F104" s="42">
        <f>IF($C104="","",IFERROR(INDEX(DESPACHOS!$I$3:$I$3002,MATCH($C104,DESPACHOS!$B$3:$B$3002,0)),""))</f>
        <v/>
      </c>
      <c r="G104" s="42">
        <f>IF($C104="","",IFERROR(INDEX(DESPACHOS!$F$3:$F$3002,MATCH($C104,DESPACHOS!$B$3:$B$3002,0)),""))</f>
        <v/>
      </c>
      <c r="H104" s="42">
        <f>IF($C104="","",IFERROR(INDEX(DESPACHOS!$G$3:$G$3002,MATCH($C104,DESPACHOS!$B$3:$B$3002,0)),""))</f>
        <v/>
      </c>
      <c r="I104" s="39">
        <f>IF($C104="","",IFERROR(INDEX(DESPACHOS!$H$3:$H$3002,MATCH($C104,DESPACHOS!$B$3:$B$3002,0)),""))</f>
        <v/>
      </c>
      <c r="J104" s="43">
        <f>IF($C104="","",IFERROR(INDEX(DESPACHOS!$J$3:$J$3002,MATCH($C104,DESPACHOS!$B$3:$B$3002,0)),""))</f>
        <v/>
      </c>
      <c r="K104" s="39">
        <f>IF($C104="","",IF(COUNTIFS(DESPACHOS!$B$3:$B$3002,$C104)=0,"NO EXISTE",IF(COUNTIFS(DESPACHOS!$B$3:$B$3002,$C104)&gt;1,"DUPLICADO","OK")))</f>
        <v/>
      </c>
      <c r="L104" s="41" t="n"/>
      <c r="M104" s="41" t="n"/>
      <c r="N104" s="42">
        <f>IF($M104="","",IFERROR(INDEX(LISTAS!$F$3:$F$42,MATCH($M104,LISTAS!$E$3:$E$42,0)),"Por definir"))</f>
        <v/>
      </c>
      <c r="O104" s="41" t="n"/>
      <c r="P104" s="39">
        <f>IF($L104="","",IFERROR(INDEX(LISTAS!$B$3:$B$42,MATCH($L104,LISTAS!$A$3:$A$42,0)),"Media"))</f>
        <v/>
      </c>
      <c r="Q104" s="44" t="n"/>
      <c r="R104" s="45" t="n"/>
      <c r="S104" s="20">
        <f>IFERROR(IF(OR($R104="",$C104=""),"",$R104/INDEX(DESPACHOS!$M$3:$M$3002,MATCH($C104,DESPACHOS!$B$3:$B$3002,0))),"")</f>
        <v/>
      </c>
      <c r="T104" s="41" t="n"/>
      <c r="U104" s="43">
        <f>IF(OR($B104="",$L104=""),"",WORKDAY($B104,IFERROR(INDEX(LISTAS!$C$3:$C$42,MATCH($L104,LISTAS!$A$3:$A$42,0)),3)))</f>
        <v/>
      </c>
      <c r="V104" s="40" t="n"/>
      <c r="W104" s="19">
        <f>IF($B104="","",IF($V104&lt;&gt;"",$V104-$B104,TODAY()-$B104))</f>
        <v/>
      </c>
      <c r="X104" s="19">
        <f>IF(OR($B104="",$U104=""),"",IF($V104&lt;&gt;"",MAX(0,$V104-$U104),MAX(0,TODAY()-$U104)))</f>
        <v/>
      </c>
      <c r="Y104" s="39">
        <f>IF($C104="","",IF(IFERROR(INDEX(LISTAS!$I$3:$I$42,MATCH($T104,LISTAS!$H$3:$H$42,0)),"NO")="SÍ",IF(N($X104)&gt;0,"CERRADA FUERA DE SLA","CERRADA EN SLA"),IF($U104="","SIN CLASIFICAR",IF(N($X104)&gt;0,"VENCIDA",IF(TODAY()&gt;=$U104-1,"POR VENCER","EN PLAZO")))))</f>
        <v/>
      </c>
      <c r="Z104" s="41" t="n"/>
      <c r="AA104" s="41" t="n"/>
      <c r="AB104" s="41" t="n"/>
    </row>
    <row r="105">
      <c r="A105" s="39">
        <f>IF($C105="","","NOV-"&amp;TEXT(ROW()-3,"0000"))</f>
        <v/>
      </c>
      <c r="B105" s="40" t="n"/>
      <c r="C105" s="41" t="n"/>
      <c r="D105" s="42">
        <f>IF($C105="","",IFERROR(INDEX(DESPACHOS!$D$3:$D$3002,MATCH($C105,DESPACHOS!$B$3:$B$3002,0)),"SIN DESPACHO"))</f>
        <v/>
      </c>
      <c r="E105" s="42">
        <f>IF($C105="","",IFERROR(INDEX(DESPACHOS!$K$3:$K$3002,MATCH($C105,DESPACHOS!$B$3:$B$3002,0)),""))</f>
        <v/>
      </c>
      <c r="F105" s="42">
        <f>IF($C105="","",IFERROR(INDEX(DESPACHOS!$I$3:$I$3002,MATCH($C105,DESPACHOS!$B$3:$B$3002,0)),""))</f>
        <v/>
      </c>
      <c r="G105" s="42">
        <f>IF($C105="","",IFERROR(INDEX(DESPACHOS!$F$3:$F$3002,MATCH($C105,DESPACHOS!$B$3:$B$3002,0)),""))</f>
        <v/>
      </c>
      <c r="H105" s="42">
        <f>IF($C105="","",IFERROR(INDEX(DESPACHOS!$G$3:$G$3002,MATCH($C105,DESPACHOS!$B$3:$B$3002,0)),""))</f>
        <v/>
      </c>
      <c r="I105" s="39">
        <f>IF($C105="","",IFERROR(INDEX(DESPACHOS!$H$3:$H$3002,MATCH($C105,DESPACHOS!$B$3:$B$3002,0)),""))</f>
        <v/>
      </c>
      <c r="J105" s="43">
        <f>IF($C105="","",IFERROR(INDEX(DESPACHOS!$J$3:$J$3002,MATCH($C105,DESPACHOS!$B$3:$B$3002,0)),""))</f>
        <v/>
      </c>
      <c r="K105" s="39">
        <f>IF($C105="","",IF(COUNTIFS(DESPACHOS!$B$3:$B$3002,$C105)=0,"NO EXISTE",IF(COUNTIFS(DESPACHOS!$B$3:$B$3002,$C105)&gt;1,"DUPLICADO","OK")))</f>
        <v/>
      </c>
      <c r="L105" s="41" t="n"/>
      <c r="M105" s="41" t="n"/>
      <c r="N105" s="42">
        <f>IF($M105="","",IFERROR(INDEX(LISTAS!$F$3:$F$42,MATCH($M105,LISTAS!$E$3:$E$42,0)),"Por definir"))</f>
        <v/>
      </c>
      <c r="O105" s="41" t="n"/>
      <c r="P105" s="39">
        <f>IF($L105="","",IFERROR(INDEX(LISTAS!$B$3:$B$42,MATCH($L105,LISTAS!$A$3:$A$42,0)),"Media"))</f>
        <v/>
      </c>
      <c r="Q105" s="44" t="n"/>
      <c r="R105" s="45" t="n"/>
      <c r="S105" s="20">
        <f>IFERROR(IF(OR($R105="",$C105=""),"",$R105/INDEX(DESPACHOS!$M$3:$M$3002,MATCH($C105,DESPACHOS!$B$3:$B$3002,0))),"")</f>
        <v/>
      </c>
      <c r="T105" s="41" t="n"/>
      <c r="U105" s="43">
        <f>IF(OR($B105="",$L105=""),"",WORKDAY($B105,IFERROR(INDEX(LISTAS!$C$3:$C$42,MATCH($L105,LISTAS!$A$3:$A$42,0)),3)))</f>
        <v/>
      </c>
      <c r="V105" s="40" t="n"/>
      <c r="W105" s="19">
        <f>IF($B105="","",IF($V105&lt;&gt;"",$V105-$B105,TODAY()-$B105))</f>
        <v/>
      </c>
      <c r="X105" s="19">
        <f>IF(OR($B105="",$U105=""),"",IF($V105&lt;&gt;"",MAX(0,$V105-$U105),MAX(0,TODAY()-$U105)))</f>
        <v/>
      </c>
      <c r="Y105" s="39">
        <f>IF($C105="","",IF(IFERROR(INDEX(LISTAS!$I$3:$I$42,MATCH($T105,LISTAS!$H$3:$H$42,0)),"NO")="SÍ",IF(N($X105)&gt;0,"CERRADA FUERA DE SLA","CERRADA EN SLA"),IF($U105="","SIN CLASIFICAR",IF(N($X105)&gt;0,"VENCIDA",IF(TODAY()&gt;=$U105-1,"POR VENCER","EN PLAZO")))))</f>
        <v/>
      </c>
      <c r="Z105" s="41" t="n"/>
      <c r="AA105" s="41" t="n"/>
      <c r="AB105" s="41" t="n"/>
    </row>
    <row r="106">
      <c r="A106" s="39">
        <f>IF($C106="","","NOV-"&amp;TEXT(ROW()-3,"0000"))</f>
        <v/>
      </c>
      <c r="B106" s="40" t="n"/>
      <c r="C106" s="41" t="n"/>
      <c r="D106" s="42">
        <f>IF($C106="","",IFERROR(INDEX(DESPACHOS!$D$3:$D$3002,MATCH($C106,DESPACHOS!$B$3:$B$3002,0)),"SIN DESPACHO"))</f>
        <v/>
      </c>
      <c r="E106" s="42">
        <f>IF($C106="","",IFERROR(INDEX(DESPACHOS!$K$3:$K$3002,MATCH($C106,DESPACHOS!$B$3:$B$3002,0)),""))</f>
        <v/>
      </c>
      <c r="F106" s="42">
        <f>IF($C106="","",IFERROR(INDEX(DESPACHOS!$I$3:$I$3002,MATCH($C106,DESPACHOS!$B$3:$B$3002,0)),""))</f>
        <v/>
      </c>
      <c r="G106" s="42">
        <f>IF($C106="","",IFERROR(INDEX(DESPACHOS!$F$3:$F$3002,MATCH($C106,DESPACHOS!$B$3:$B$3002,0)),""))</f>
        <v/>
      </c>
      <c r="H106" s="42">
        <f>IF($C106="","",IFERROR(INDEX(DESPACHOS!$G$3:$G$3002,MATCH($C106,DESPACHOS!$B$3:$B$3002,0)),""))</f>
        <v/>
      </c>
      <c r="I106" s="39">
        <f>IF($C106="","",IFERROR(INDEX(DESPACHOS!$H$3:$H$3002,MATCH($C106,DESPACHOS!$B$3:$B$3002,0)),""))</f>
        <v/>
      </c>
      <c r="J106" s="43">
        <f>IF($C106="","",IFERROR(INDEX(DESPACHOS!$J$3:$J$3002,MATCH($C106,DESPACHOS!$B$3:$B$3002,0)),""))</f>
        <v/>
      </c>
      <c r="K106" s="39">
        <f>IF($C106="","",IF(COUNTIFS(DESPACHOS!$B$3:$B$3002,$C106)=0,"NO EXISTE",IF(COUNTIFS(DESPACHOS!$B$3:$B$3002,$C106)&gt;1,"DUPLICADO","OK")))</f>
        <v/>
      </c>
      <c r="L106" s="41" t="n"/>
      <c r="M106" s="41" t="n"/>
      <c r="N106" s="42">
        <f>IF($M106="","",IFERROR(INDEX(LISTAS!$F$3:$F$42,MATCH($M106,LISTAS!$E$3:$E$42,0)),"Por definir"))</f>
        <v/>
      </c>
      <c r="O106" s="41" t="n"/>
      <c r="P106" s="39">
        <f>IF($L106="","",IFERROR(INDEX(LISTAS!$B$3:$B$42,MATCH($L106,LISTAS!$A$3:$A$42,0)),"Media"))</f>
        <v/>
      </c>
      <c r="Q106" s="44" t="n"/>
      <c r="R106" s="45" t="n"/>
      <c r="S106" s="20">
        <f>IFERROR(IF(OR($R106="",$C106=""),"",$R106/INDEX(DESPACHOS!$M$3:$M$3002,MATCH($C106,DESPACHOS!$B$3:$B$3002,0))),"")</f>
        <v/>
      </c>
      <c r="T106" s="41" t="n"/>
      <c r="U106" s="43">
        <f>IF(OR($B106="",$L106=""),"",WORKDAY($B106,IFERROR(INDEX(LISTAS!$C$3:$C$42,MATCH($L106,LISTAS!$A$3:$A$42,0)),3)))</f>
        <v/>
      </c>
      <c r="V106" s="40" t="n"/>
      <c r="W106" s="19">
        <f>IF($B106="","",IF($V106&lt;&gt;"",$V106-$B106,TODAY()-$B106))</f>
        <v/>
      </c>
      <c r="X106" s="19">
        <f>IF(OR($B106="",$U106=""),"",IF($V106&lt;&gt;"",MAX(0,$V106-$U106),MAX(0,TODAY()-$U106)))</f>
        <v/>
      </c>
      <c r="Y106" s="39">
        <f>IF($C106="","",IF(IFERROR(INDEX(LISTAS!$I$3:$I$42,MATCH($T106,LISTAS!$H$3:$H$42,0)),"NO")="SÍ",IF(N($X106)&gt;0,"CERRADA FUERA DE SLA","CERRADA EN SLA"),IF($U106="","SIN CLASIFICAR",IF(N($X106)&gt;0,"VENCIDA",IF(TODAY()&gt;=$U106-1,"POR VENCER","EN PLAZO")))))</f>
        <v/>
      </c>
      <c r="Z106" s="41" t="n"/>
      <c r="AA106" s="41" t="n"/>
      <c r="AB106" s="41" t="n"/>
    </row>
    <row r="107">
      <c r="A107" s="39">
        <f>IF($C107="","","NOV-"&amp;TEXT(ROW()-3,"0000"))</f>
        <v/>
      </c>
      <c r="B107" s="40" t="n"/>
      <c r="C107" s="41" t="n"/>
      <c r="D107" s="42">
        <f>IF($C107="","",IFERROR(INDEX(DESPACHOS!$D$3:$D$3002,MATCH($C107,DESPACHOS!$B$3:$B$3002,0)),"SIN DESPACHO"))</f>
        <v/>
      </c>
      <c r="E107" s="42">
        <f>IF($C107="","",IFERROR(INDEX(DESPACHOS!$K$3:$K$3002,MATCH($C107,DESPACHOS!$B$3:$B$3002,0)),""))</f>
        <v/>
      </c>
      <c r="F107" s="42">
        <f>IF($C107="","",IFERROR(INDEX(DESPACHOS!$I$3:$I$3002,MATCH($C107,DESPACHOS!$B$3:$B$3002,0)),""))</f>
        <v/>
      </c>
      <c r="G107" s="42">
        <f>IF($C107="","",IFERROR(INDEX(DESPACHOS!$F$3:$F$3002,MATCH($C107,DESPACHOS!$B$3:$B$3002,0)),""))</f>
        <v/>
      </c>
      <c r="H107" s="42">
        <f>IF($C107="","",IFERROR(INDEX(DESPACHOS!$G$3:$G$3002,MATCH($C107,DESPACHOS!$B$3:$B$3002,0)),""))</f>
        <v/>
      </c>
      <c r="I107" s="39">
        <f>IF($C107="","",IFERROR(INDEX(DESPACHOS!$H$3:$H$3002,MATCH($C107,DESPACHOS!$B$3:$B$3002,0)),""))</f>
        <v/>
      </c>
      <c r="J107" s="43">
        <f>IF($C107="","",IFERROR(INDEX(DESPACHOS!$J$3:$J$3002,MATCH($C107,DESPACHOS!$B$3:$B$3002,0)),""))</f>
        <v/>
      </c>
      <c r="K107" s="39">
        <f>IF($C107="","",IF(COUNTIFS(DESPACHOS!$B$3:$B$3002,$C107)=0,"NO EXISTE",IF(COUNTIFS(DESPACHOS!$B$3:$B$3002,$C107)&gt;1,"DUPLICADO","OK")))</f>
        <v/>
      </c>
      <c r="L107" s="41" t="n"/>
      <c r="M107" s="41" t="n"/>
      <c r="N107" s="42">
        <f>IF($M107="","",IFERROR(INDEX(LISTAS!$F$3:$F$42,MATCH($M107,LISTAS!$E$3:$E$42,0)),"Por definir"))</f>
        <v/>
      </c>
      <c r="O107" s="41" t="n"/>
      <c r="P107" s="39">
        <f>IF($L107="","",IFERROR(INDEX(LISTAS!$B$3:$B$42,MATCH($L107,LISTAS!$A$3:$A$42,0)),"Media"))</f>
        <v/>
      </c>
      <c r="Q107" s="44" t="n"/>
      <c r="R107" s="45" t="n"/>
      <c r="S107" s="20">
        <f>IFERROR(IF(OR($R107="",$C107=""),"",$R107/INDEX(DESPACHOS!$M$3:$M$3002,MATCH($C107,DESPACHOS!$B$3:$B$3002,0))),"")</f>
        <v/>
      </c>
      <c r="T107" s="41" t="n"/>
      <c r="U107" s="43">
        <f>IF(OR($B107="",$L107=""),"",WORKDAY($B107,IFERROR(INDEX(LISTAS!$C$3:$C$42,MATCH($L107,LISTAS!$A$3:$A$42,0)),3)))</f>
        <v/>
      </c>
      <c r="V107" s="40" t="n"/>
      <c r="W107" s="19">
        <f>IF($B107="","",IF($V107&lt;&gt;"",$V107-$B107,TODAY()-$B107))</f>
        <v/>
      </c>
      <c r="X107" s="19">
        <f>IF(OR($B107="",$U107=""),"",IF($V107&lt;&gt;"",MAX(0,$V107-$U107),MAX(0,TODAY()-$U107)))</f>
        <v/>
      </c>
      <c r="Y107" s="39">
        <f>IF($C107="","",IF(IFERROR(INDEX(LISTAS!$I$3:$I$42,MATCH($T107,LISTAS!$H$3:$H$42,0)),"NO")="SÍ",IF(N($X107)&gt;0,"CERRADA FUERA DE SLA","CERRADA EN SLA"),IF($U107="","SIN CLASIFICAR",IF(N($X107)&gt;0,"VENCIDA",IF(TODAY()&gt;=$U107-1,"POR VENCER","EN PLAZO")))))</f>
        <v/>
      </c>
      <c r="Z107" s="41" t="n"/>
      <c r="AA107" s="41" t="n"/>
      <c r="AB107" s="41" t="n"/>
    </row>
    <row r="108">
      <c r="A108" s="39">
        <f>IF($C108="","","NOV-"&amp;TEXT(ROW()-3,"0000"))</f>
        <v/>
      </c>
      <c r="B108" s="40" t="n"/>
      <c r="C108" s="41" t="n"/>
      <c r="D108" s="42">
        <f>IF($C108="","",IFERROR(INDEX(DESPACHOS!$D$3:$D$3002,MATCH($C108,DESPACHOS!$B$3:$B$3002,0)),"SIN DESPACHO"))</f>
        <v/>
      </c>
      <c r="E108" s="42">
        <f>IF($C108="","",IFERROR(INDEX(DESPACHOS!$K$3:$K$3002,MATCH($C108,DESPACHOS!$B$3:$B$3002,0)),""))</f>
        <v/>
      </c>
      <c r="F108" s="42">
        <f>IF($C108="","",IFERROR(INDEX(DESPACHOS!$I$3:$I$3002,MATCH($C108,DESPACHOS!$B$3:$B$3002,0)),""))</f>
        <v/>
      </c>
      <c r="G108" s="42">
        <f>IF($C108="","",IFERROR(INDEX(DESPACHOS!$F$3:$F$3002,MATCH($C108,DESPACHOS!$B$3:$B$3002,0)),""))</f>
        <v/>
      </c>
      <c r="H108" s="42">
        <f>IF($C108="","",IFERROR(INDEX(DESPACHOS!$G$3:$G$3002,MATCH($C108,DESPACHOS!$B$3:$B$3002,0)),""))</f>
        <v/>
      </c>
      <c r="I108" s="39">
        <f>IF($C108="","",IFERROR(INDEX(DESPACHOS!$H$3:$H$3002,MATCH($C108,DESPACHOS!$B$3:$B$3002,0)),""))</f>
        <v/>
      </c>
      <c r="J108" s="43">
        <f>IF($C108="","",IFERROR(INDEX(DESPACHOS!$J$3:$J$3002,MATCH($C108,DESPACHOS!$B$3:$B$3002,0)),""))</f>
        <v/>
      </c>
      <c r="K108" s="39">
        <f>IF($C108="","",IF(COUNTIFS(DESPACHOS!$B$3:$B$3002,$C108)=0,"NO EXISTE",IF(COUNTIFS(DESPACHOS!$B$3:$B$3002,$C108)&gt;1,"DUPLICADO","OK")))</f>
        <v/>
      </c>
      <c r="L108" s="41" t="n"/>
      <c r="M108" s="41" t="n"/>
      <c r="N108" s="42">
        <f>IF($M108="","",IFERROR(INDEX(LISTAS!$F$3:$F$42,MATCH($M108,LISTAS!$E$3:$E$42,0)),"Por definir"))</f>
        <v/>
      </c>
      <c r="O108" s="41" t="n"/>
      <c r="P108" s="39">
        <f>IF($L108="","",IFERROR(INDEX(LISTAS!$B$3:$B$42,MATCH($L108,LISTAS!$A$3:$A$42,0)),"Media"))</f>
        <v/>
      </c>
      <c r="Q108" s="44" t="n"/>
      <c r="R108" s="45" t="n"/>
      <c r="S108" s="20">
        <f>IFERROR(IF(OR($R108="",$C108=""),"",$R108/INDEX(DESPACHOS!$M$3:$M$3002,MATCH($C108,DESPACHOS!$B$3:$B$3002,0))),"")</f>
        <v/>
      </c>
      <c r="T108" s="41" t="n"/>
      <c r="U108" s="43">
        <f>IF(OR($B108="",$L108=""),"",WORKDAY($B108,IFERROR(INDEX(LISTAS!$C$3:$C$42,MATCH($L108,LISTAS!$A$3:$A$42,0)),3)))</f>
        <v/>
      </c>
      <c r="V108" s="40" t="n"/>
      <c r="W108" s="19">
        <f>IF($B108="","",IF($V108&lt;&gt;"",$V108-$B108,TODAY()-$B108))</f>
        <v/>
      </c>
      <c r="X108" s="19">
        <f>IF(OR($B108="",$U108=""),"",IF($V108&lt;&gt;"",MAX(0,$V108-$U108),MAX(0,TODAY()-$U108)))</f>
        <v/>
      </c>
      <c r="Y108" s="39">
        <f>IF($C108="","",IF(IFERROR(INDEX(LISTAS!$I$3:$I$42,MATCH($T108,LISTAS!$H$3:$H$42,0)),"NO")="SÍ",IF(N($X108)&gt;0,"CERRADA FUERA DE SLA","CERRADA EN SLA"),IF($U108="","SIN CLASIFICAR",IF(N($X108)&gt;0,"VENCIDA",IF(TODAY()&gt;=$U108-1,"POR VENCER","EN PLAZO")))))</f>
        <v/>
      </c>
      <c r="Z108" s="41" t="n"/>
      <c r="AA108" s="41" t="n"/>
      <c r="AB108" s="41" t="n"/>
    </row>
    <row r="109">
      <c r="A109" s="39">
        <f>IF($C109="","","NOV-"&amp;TEXT(ROW()-3,"0000"))</f>
        <v/>
      </c>
      <c r="B109" s="40" t="n"/>
      <c r="C109" s="41" t="n"/>
      <c r="D109" s="42">
        <f>IF($C109="","",IFERROR(INDEX(DESPACHOS!$D$3:$D$3002,MATCH($C109,DESPACHOS!$B$3:$B$3002,0)),"SIN DESPACHO"))</f>
        <v/>
      </c>
      <c r="E109" s="42">
        <f>IF($C109="","",IFERROR(INDEX(DESPACHOS!$K$3:$K$3002,MATCH($C109,DESPACHOS!$B$3:$B$3002,0)),""))</f>
        <v/>
      </c>
      <c r="F109" s="42">
        <f>IF($C109="","",IFERROR(INDEX(DESPACHOS!$I$3:$I$3002,MATCH($C109,DESPACHOS!$B$3:$B$3002,0)),""))</f>
        <v/>
      </c>
      <c r="G109" s="42">
        <f>IF($C109="","",IFERROR(INDEX(DESPACHOS!$F$3:$F$3002,MATCH($C109,DESPACHOS!$B$3:$B$3002,0)),""))</f>
        <v/>
      </c>
      <c r="H109" s="42">
        <f>IF($C109="","",IFERROR(INDEX(DESPACHOS!$G$3:$G$3002,MATCH($C109,DESPACHOS!$B$3:$B$3002,0)),""))</f>
        <v/>
      </c>
      <c r="I109" s="39">
        <f>IF($C109="","",IFERROR(INDEX(DESPACHOS!$H$3:$H$3002,MATCH($C109,DESPACHOS!$B$3:$B$3002,0)),""))</f>
        <v/>
      </c>
      <c r="J109" s="43">
        <f>IF($C109="","",IFERROR(INDEX(DESPACHOS!$J$3:$J$3002,MATCH($C109,DESPACHOS!$B$3:$B$3002,0)),""))</f>
        <v/>
      </c>
      <c r="K109" s="39">
        <f>IF($C109="","",IF(COUNTIFS(DESPACHOS!$B$3:$B$3002,$C109)=0,"NO EXISTE",IF(COUNTIFS(DESPACHOS!$B$3:$B$3002,$C109)&gt;1,"DUPLICADO","OK")))</f>
        <v/>
      </c>
      <c r="L109" s="41" t="n"/>
      <c r="M109" s="41" t="n"/>
      <c r="N109" s="42">
        <f>IF($M109="","",IFERROR(INDEX(LISTAS!$F$3:$F$42,MATCH($M109,LISTAS!$E$3:$E$42,0)),"Por definir"))</f>
        <v/>
      </c>
      <c r="O109" s="41" t="n"/>
      <c r="P109" s="39">
        <f>IF($L109="","",IFERROR(INDEX(LISTAS!$B$3:$B$42,MATCH($L109,LISTAS!$A$3:$A$42,0)),"Media"))</f>
        <v/>
      </c>
      <c r="Q109" s="44" t="n"/>
      <c r="R109" s="45" t="n"/>
      <c r="S109" s="20">
        <f>IFERROR(IF(OR($R109="",$C109=""),"",$R109/INDEX(DESPACHOS!$M$3:$M$3002,MATCH($C109,DESPACHOS!$B$3:$B$3002,0))),"")</f>
        <v/>
      </c>
      <c r="T109" s="41" t="n"/>
      <c r="U109" s="43">
        <f>IF(OR($B109="",$L109=""),"",WORKDAY($B109,IFERROR(INDEX(LISTAS!$C$3:$C$42,MATCH($L109,LISTAS!$A$3:$A$42,0)),3)))</f>
        <v/>
      </c>
      <c r="V109" s="40" t="n"/>
      <c r="W109" s="19">
        <f>IF($B109="","",IF($V109&lt;&gt;"",$V109-$B109,TODAY()-$B109))</f>
        <v/>
      </c>
      <c r="X109" s="19">
        <f>IF(OR($B109="",$U109=""),"",IF($V109&lt;&gt;"",MAX(0,$V109-$U109),MAX(0,TODAY()-$U109)))</f>
        <v/>
      </c>
      <c r="Y109" s="39">
        <f>IF($C109="","",IF(IFERROR(INDEX(LISTAS!$I$3:$I$42,MATCH($T109,LISTAS!$H$3:$H$42,0)),"NO")="SÍ",IF(N($X109)&gt;0,"CERRADA FUERA DE SLA","CERRADA EN SLA"),IF($U109="","SIN CLASIFICAR",IF(N($X109)&gt;0,"VENCIDA",IF(TODAY()&gt;=$U109-1,"POR VENCER","EN PLAZO")))))</f>
        <v/>
      </c>
      <c r="Z109" s="41" t="n"/>
      <c r="AA109" s="41" t="n"/>
      <c r="AB109" s="41" t="n"/>
    </row>
    <row r="110">
      <c r="A110" s="39">
        <f>IF($C110="","","NOV-"&amp;TEXT(ROW()-3,"0000"))</f>
        <v/>
      </c>
      <c r="B110" s="40" t="n"/>
      <c r="C110" s="41" t="n"/>
      <c r="D110" s="42">
        <f>IF($C110="","",IFERROR(INDEX(DESPACHOS!$D$3:$D$3002,MATCH($C110,DESPACHOS!$B$3:$B$3002,0)),"SIN DESPACHO"))</f>
        <v/>
      </c>
      <c r="E110" s="42">
        <f>IF($C110="","",IFERROR(INDEX(DESPACHOS!$K$3:$K$3002,MATCH($C110,DESPACHOS!$B$3:$B$3002,0)),""))</f>
        <v/>
      </c>
      <c r="F110" s="42">
        <f>IF($C110="","",IFERROR(INDEX(DESPACHOS!$I$3:$I$3002,MATCH($C110,DESPACHOS!$B$3:$B$3002,0)),""))</f>
        <v/>
      </c>
      <c r="G110" s="42">
        <f>IF($C110="","",IFERROR(INDEX(DESPACHOS!$F$3:$F$3002,MATCH($C110,DESPACHOS!$B$3:$B$3002,0)),""))</f>
        <v/>
      </c>
      <c r="H110" s="42">
        <f>IF($C110="","",IFERROR(INDEX(DESPACHOS!$G$3:$G$3002,MATCH($C110,DESPACHOS!$B$3:$B$3002,0)),""))</f>
        <v/>
      </c>
      <c r="I110" s="39">
        <f>IF($C110="","",IFERROR(INDEX(DESPACHOS!$H$3:$H$3002,MATCH($C110,DESPACHOS!$B$3:$B$3002,0)),""))</f>
        <v/>
      </c>
      <c r="J110" s="43">
        <f>IF($C110="","",IFERROR(INDEX(DESPACHOS!$J$3:$J$3002,MATCH($C110,DESPACHOS!$B$3:$B$3002,0)),""))</f>
        <v/>
      </c>
      <c r="K110" s="39">
        <f>IF($C110="","",IF(COUNTIFS(DESPACHOS!$B$3:$B$3002,$C110)=0,"NO EXISTE",IF(COUNTIFS(DESPACHOS!$B$3:$B$3002,$C110)&gt;1,"DUPLICADO","OK")))</f>
        <v/>
      </c>
      <c r="L110" s="41" t="n"/>
      <c r="M110" s="41" t="n"/>
      <c r="N110" s="42">
        <f>IF($M110="","",IFERROR(INDEX(LISTAS!$F$3:$F$42,MATCH($M110,LISTAS!$E$3:$E$42,0)),"Por definir"))</f>
        <v/>
      </c>
      <c r="O110" s="41" t="n"/>
      <c r="P110" s="39">
        <f>IF($L110="","",IFERROR(INDEX(LISTAS!$B$3:$B$42,MATCH($L110,LISTAS!$A$3:$A$42,0)),"Media"))</f>
        <v/>
      </c>
      <c r="Q110" s="44" t="n"/>
      <c r="R110" s="45" t="n"/>
      <c r="S110" s="20">
        <f>IFERROR(IF(OR($R110="",$C110=""),"",$R110/INDEX(DESPACHOS!$M$3:$M$3002,MATCH($C110,DESPACHOS!$B$3:$B$3002,0))),"")</f>
        <v/>
      </c>
      <c r="T110" s="41" t="n"/>
      <c r="U110" s="43">
        <f>IF(OR($B110="",$L110=""),"",WORKDAY($B110,IFERROR(INDEX(LISTAS!$C$3:$C$42,MATCH($L110,LISTAS!$A$3:$A$42,0)),3)))</f>
        <v/>
      </c>
      <c r="V110" s="40" t="n"/>
      <c r="W110" s="19">
        <f>IF($B110="","",IF($V110&lt;&gt;"",$V110-$B110,TODAY()-$B110))</f>
        <v/>
      </c>
      <c r="X110" s="19">
        <f>IF(OR($B110="",$U110=""),"",IF($V110&lt;&gt;"",MAX(0,$V110-$U110),MAX(0,TODAY()-$U110)))</f>
        <v/>
      </c>
      <c r="Y110" s="39">
        <f>IF($C110="","",IF(IFERROR(INDEX(LISTAS!$I$3:$I$42,MATCH($T110,LISTAS!$H$3:$H$42,0)),"NO")="SÍ",IF(N($X110)&gt;0,"CERRADA FUERA DE SLA","CERRADA EN SLA"),IF($U110="","SIN CLASIFICAR",IF(N($X110)&gt;0,"VENCIDA",IF(TODAY()&gt;=$U110-1,"POR VENCER","EN PLAZO")))))</f>
        <v/>
      </c>
      <c r="Z110" s="41" t="n"/>
      <c r="AA110" s="41" t="n"/>
      <c r="AB110" s="41" t="n"/>
    </row>
    <row r="111">
      <c r="A111" s="39">
        <f>IF($C111="","","NOV-"&amp;TEXT(ROW()-3,"0000"))</f>
        <v/>
      </c>
      <c r="B111" s="40" t="n"/>
      <c r="C111" s="41" t="n"/>
      <c r="D111" s="42">
        <f>IF($C111="","",IFERROR(INDEX(DESPACHOS!$D$3:$D$3002,MATCH($C111,DESPACHOS!$B$3:$B$3002,0)),"SIN DESPACHO"))</f>
        <v/>
      </c>
      <c r="E111" s="42">
        <f>IF($C111="","",IFERROR(INDEX(DESPACHOS!$K$3:$K$3002,MATCH($C111,DESPACHOS!$B$3:$B$3002,0)),""))</f>
        <v/>
      </c>
      <c r="F111" s="42">
        <f>IF($C111="","",IFERROR(INDEX(DESPACHOS!$I$3:$I$3002,MATCH($C111,DESPACHOS!$B$3:$B$3002,0)),""))</f>
        <v/>
      </c>
      <c r="G111" s="42">
        <f>IF($C111="","",IFERROR(INDEX(DESPACHOS!$F$3:$F$3002,MATCH($C111,DESPACHOS!$B$3:$B$3002,0)),""))</f>
        <v/>
      </c>
      <c r="H111" s="42">
        <f>IF($C111="","",IFERROR(INDEX(DESPACHOS!$G$3:$G$3002,MATCH($C111,DESPACHOS!$B$3:$B$3002,0)),""))</f>
        <v/>
      </c>
      <c r="I111" s="39">
        <f>IF($C111="","",IFERROR(INDEX(DESPACHOS!$H$3:$H$3002,MATCH($C111,DESPACHOS!$B$3:$B$3002,0)),""))</f>
        <v/>
      </c>
      <c r="J111" s="43">
        <f>IF($C111="","",IFERROR(INDEX(DESPACHOS!$J$3:$J$3002,MATCH($C111,DESPACHOS!$B$3:$B$3002,0)),""))</f>
        <v/>
      </c>
      <c r="K111" s="39">
        <f>IF($C111="","",IF(COUNTIFS(DESPACHOS!$B$3:$B$3002,$C111)=0,"NO EXISTE",IF(COUNTIFS(DESPACHOS!$B$3:$B$3002,$C111)&gt;1,"DUPLICADO","OK")))</f>
        <v/>
      </c>
      <c r="L111" s="41" t="n"/>
      <c r="M111" s="41" t="n"/>
      <c r="N111" s="42">
        <f>IF($M111="","",IFERROR(INDEX(LISTAS!$F$3:$F$42,MATCH($M111,LISTAS!$E$3:$E$42,0)),"Por definir"))</f>
        <v/>
      </c>
      <c r="O111" s="41" t="n"/>
      <c r="P111" s="39">
        <f>IF($L111="","",IFERROR(INDEX(LISTAS!$B$3:$B$42,MATCH($L111,LISTAS!$A$3:$A$42,0)),"Media"))</f>
        <v/>
      </c>
      <c r="Q111" s="44" t="n"/>
      <c r="R111" s="45" t="n"/>
      <c r="S111" s="20">
        <f>IFERROR(IF(OR($R111="",$C111=""),"",$R111/INDEX(DESPACHOS!$M$3:$M$3002,MATCH($C111,DESPACHOS!$B$3:$B$3002,0))),"")</f>
        <v/>
      </c>
      <c r="T111" s="41" t="n"/>
      <c r="U111" s="43">
        <f>IF(OR($B111="",$L111=""),"",WORKDAY($B111,IFERROR(INDEX(LISTAS!$C$3:$C$42,MATCH($L111,LISTAS!$A$3:$A$42,0)),3)))</f>
        <v/>
      </c>
      <c r="V111" s="40" t="n"/>
      <c r="W111" s="19">
        <f>IF($B111="","",IF($V111&lt;&gt;"",$V111-$B111,TODAY()-$B111))</f>
        <v/>
      </c>
      <c r="X111" s="19">
        <f>IF(OR($B111="",$U111=""),"",IF($V111&lt;&gt;"",MAX(0,$V111-$U111),MAX(0,TODAY()-$U111)))</f>
        <v/>
      </c>
      <c r="Y111" s="39">
        <f>IF($C111="","",IF(IFERROR(INDEX(LISTAS!$I$3:$I$42,MATCH($T111,LISTAS!$H$3:$H$42,0)),"NO")="SÍ",IF(N($X111)&gt;0,"CERRADA FUERA DE SLA","CERRADA EN SLA"),IF($U111="","SIN CLASIFICAR",IF(N($X111)&gt;0,"VENCIDA",IF(TODAY()&gt;=$U111-1,"POR VENCER","EN PLAZO")))))</f>
        <v/>
      </c>
      <c r="Z111" s="41" t="n"/>
      <c r="AA111" s="41" t="n"/>
      <c r="AB111" s="41" t="n"/>
    </row>
    <row r="112">
      <c r="A112" s="39">
        <f>IF($C112="","","NOV-"&amp;TEXT(ROW()-3,"0000"))</f>
        <v/>
      </c>
      <c r="B112" s="40" t="n"/>
      <c r="C112" s="41" t="n"/>
      <c r="D112" s="42">
        <f>IF($C112="","",IFERROR(INDEX(DESPACHOS!$D$3:$D$3002,MATCH($C112,DESPACHOS!$B$3:$B$3002,0)),"SIN DESPACHO"))</f>
        <v/>
      </c>
      <c r="E112" s="42">
        <f>IF($C112="","",IFERROR(INDEX(DESPACHOS!$K$3:$K$3002,MATCH($C112,DESPACHOS!$B$3:$B$3002,0)),""))</f>
        <v/>
      </c>
      <c r="F112" s="42">
        <f>IF($C112="","",IFERROR(INDEX(DESPACHOS!$I$3:$I$3002,MATCH($C112,DESPACHOS!$B$3:$B$3002,0)),""))</f>
        <v/>
      </c>
      <c r="G112" s="42">
        <f>IF($C112="","",IFERROR(INDEX(DESPACHOS!$F$3:$F$3002,MATCH($C112,DESPACHOS!$B$3:$B$3002,0)),""))</f>
        <v/>
      </c>
      <c r="H112" s="42">
        <f>IF($C112="","",IFERROR(INDEX(DESPACHOS!$G$3:$G$3002,MATCH($C112,DESPACHOS!$B$3:$B$3002,0)),""))</f>
        <v/>
      </c>
      <c r="I112" s="39">
        <f>IF($C112="","",IFERROR(INDEX(DESPACHOS!$H$3:$H$3002,MATCH($C112,DESPACHOS!$B$3:$B$3002,0)),""))</f>
        <v/>
      </c>
      <c r="J112" s="43">
        <f>IF($C112="","",IFERROR(INDEX(DESPACHOS!$J$3:$J$3002,MATCH($C112,DESPACHOS!$B$3:$B$3002,0)),""))</f>
        <v/>
      </c>
      <c r="K112" s="39">
        <f>IF($C112="","",IF(COUNTIFS(DESPACHOS!$B$3:$B$3002,$C112)=0,"NO EXISTE",IF(COUNTIFS(DESPACHOS!$B$3:$B$3002,$C112)&gt;1,"DUPLICADO","OK")))</f>
        <v/>
      </c>
      <c r="L112" s="41" t="n"/>
      <c r="M112" s="41" t="n"/>
      <c r="N112" s="42">
        <f>IF($M112="","",IFERROR(INDEX(LISTAS!$F$3:$F$42,MATCH($M112,LISTAS!$E$3:$E$42,0)),"Por definir"))</f>
        <v/>
      </c>
      <c r="O112" s="41" t="n"/>
      <c r="P112" s="39">
        <f>IF($L112="","",IFERROR(INDEX(LISTAS!$B$3:$B$42,MATCH($L112,LISTAS!$A$3:$A$42,0)),"Media"))</f>
        <v/>
      </c>
      <c r="Q112" s="44" t="n"/>
      <c r="R112" s="45" t="n"/>
      <c r="S112" s="20">
        <f>IFERROR(IF(OR($R112="",$C112=""),"",$R112/INDEX(DESPACHOS!$M$3:$M$3002,MATCH($C112,DESPACHOS!$B$3:$B$3002,0))),"")</f>
        <v/>
      </c>
      <c r="T112" s="41" t="n"/>
      <c r="U112" s="43">
        <f>IF(OR($B112="",$L112=""),"",WORKDAY($B112,IFERROR(INDEX(LISTAS!$C$3:$C$42,MATCH($L112,LISTAS!$A$3:$A$42,0)),3)))</f>
        <v/>
      </c>
      <c r="V112" s="40" t="n"/>
      <c r="W112" s="19">
        <f>IF($B112="","",IF($V112&lt;&gt;"",$V112-$B112,TODAY()-$B112))</f>
        <v/>
      </c>
      <c r="X112" s="19">
        <f>IF(OR($B112="",$U112=""),"",IF($V112&lt;&gt;"",MAX(0,$V112-$U112),MAX(0,TODAY()-$U112)))</f>
        <v/>
      </c>
      <c r="Y112" s="39">
        <f>IF($C112="","",IF(IFERROR(INDEX(LISTAS!$I$3:$I$42,MATCH($T112,LISTAS!$H$3:$H$42,0)),"NO")="SÍ",IF(N($X112)&gt;0,"CERRADA FUERA DE SLA","CERRADA EN SLA"),IF($U112="","SIN CLASIFICAR",IF(N($X112)&gt;0,"VENCIDA",IF(TODAY()&gt;=$U112-1,"POR VENCER","EN PLAZO")))))</f>
        <v/>
      </c>
      <c r="Z112" s="41" t="n"/>
      <c r="AA112" s="41" t="n"/>
      <c r="AB112" s="41" t="n"/>
    </row>
    <row r="113">
      <c r="A113" s="39">
        <f>IF($C113="","","NOV-"&amp;TEXT(ROW()-3,"0000"))</f>
        <v/>
      </c>
      <c r="B113" s="40" t="n"/>
      <c r="C113" s="41" t="n"/>
      <c r="D113" s="42">
        <f>IF($C113="","",IFERROR(INDEX(DESPACHOS!$D$3:$D$3002,MATCH($C113,DESPACHOS!$B$3:$B$3002,0)),"SIN DESPACHO"))</f>
        <v/>
      </c>
      <c r="E113" s="42">
        <f>IF($C113="","",IFERROR(INDEX(DESPACHOS!$K$3:$K$3002,MATCH($C113,DESPACHOS!$B$3:$B$3002,0)),""))</f>
        <v/>
      </c>
      <c r="F113" s="42">
        <f>IF($C113="","",IFERROR(INDEX(DESPACHOS!$I$3:$I$3002,MATCH($C113,DESPACHOS!$B$3:$B$3002,0)),""))</f>
        <v/>
      </c>
      <c r="G113" s="42">
        <f>IF($C113="","",IFERROR(INDEX(DESPACHOS!$F$3:$F$3002,MATCH($C113,DESPACHOS!$B$3:$B$3002,0)),""))</f>
        <v/>
      </c>
      <c r="H113" s="42">
        <f>IF($C113="","",IFERROR(INDEX(DESPACHOS!$G$3:$G$3002,MATCH($C113,DESPACHOS!$B$3:$B$3002,0)),""))</f>
        <v/>
      </c>
      <c r="I113" s="39">
        <f>IF($C113="","",IFERROR(INDEX(DESPACHOS!$H$3:$H$3002,MATCH($C113,DESPACHOS!$B$3:$B$3002,0)),""))</f>
        <v/>
      </c>
      <c r="J113" s="43">
        <f>IF($C113="","",IFERROR(INDEX(DESPACHOS!$J$3:$J$3002,MATCH($C113,DESPACHOS!$B$3:$B$3002,0)),""))</f>
        <v/>
      </c>
      <c r="K113" s="39">
        <f>IF($C113="","",IF(COUNTIFS(DESPACHOS!$B$3:$B$3002,$C113)=0,"NO EXISTE",IF(COUNTIFS(DESPACHOS!$B$3:$B$3002,$C113)&gt;1,"DUPLICADO","OK")))</f>
        <v/>
      </c>
      <c r="L113" s="41" t="n"/>
      <c r="M113" s="41" t="n"/>
      <c r="N113" s="42">
        <f>IF($M113="","",IFERROR(INDEX(LISTAS!$F$3:$F$42,MATCH($M113,LISTAS!$E$3:$E$42,0)),"Por definir"))</f>
        <v/>
      </c>
      <c r="O113" s="41" t="n"/>
      <c r="P113" s="39">
        <f>IF($L113="","",IFERROR(INDEX(LISTAS!$B$3:$B$42,MATCH($L113,LISTAS!$A$3:$A$42,0)),"Media"))</f>
        <v/>
      </c>
      <c r="Q113" s="44" t="n"/>
      <c r="R113" s="45" t="n"/>
      <c r="S113" s="20">
        <f>IFERROR(IF(OR($R113="",$C113=""),"",$R113/INDEX(DESPACHOS!$M$3:$M$3002,MATCH($C113,DESPACHOS!$B$3:$B$3002,0))),"")</f>
        <v/>
      </c>
      <c r="T113" s="41" t="n"/>
      <c r="U113" s="43">
        <f>IF(OR($B113="",$L113=""),"",WORKDAY($B113,IFERROR(INDEX(LISTAS!$C$3:$C$42,MATCH($L113,LISTAS!$A$3:$A$42,0)),3)))</f>
        <v/>
      </c>
      <c r="V113" s="40" t="n"/>
      <c r="W113" s="19">
        <f>IF($B113="","",IF($V113&lt;&gt;"",$V113-$B113,TODAY()-$B113))</f>
        <v/>
      </c>
      <c r="X113" s="19">
        <f>IF(OR($B113="",$U113=""),"",IF($V113&lt;&gt;"",MAX(0,$V113-$U113),MAX(0,TODAY()-$U113)))</f>
        <v/>
      </c>
      <c r="Y113" s="39">
        <f>IF($C113="","",IF(IFERROR(INDEX(LISTAS!$I$3:$I$42,MATCH($T113,LISTAS!$H$3:$H$42,0)),"NO")="SÍ",IF(N($X113)&gt;0,"CERRADA FUERA DE SLA","CERRADA EN SLA"),IF($U113="","SIN CLASIFICAR",IF(N($X113)&gt;0,"VENCIDA",IF(TODAY()&gt;=$U113-1,"POR VENCER","EN PLAZO")))))</f>
        <v/>
      </c>
      <c r="Z113" s="41" t="n"/>
      <c r="AA113" s="41" t="n"/>
      <c r="AB113" s="41" t="n"/>
    </row>
    <row r="114">
      <c r="A114" s="39">
        <f>IF($C114="","","NOV-"&amp;TEXT(ROW()-3,"0000"))</f>
        <v/>
      </c>
      <c r="B114" s="40" t="n"/>
      <c r="C114" s="41" t="n"/>
      <c r="D114" s="42">
        <f>IF($C114="","",IFERROR(INDEX(DESPACHOS!$D$3:$D$3002,MATCH($C114,DESPACHOS!$B$3:$B$3002,0)),"SIN DESPACHO"))</f>
        <v/>
      </c>
      <c r="E114" s="42">
        <f>IF($C114="","",IFERROR(INDEX(DESPACHOS!$K$3:$K$3002,MATCH($C114,DESPACHOS!$B$3:$B$3002,0)),""))</f>
        <v/>
      </c>
      <c r="F114" s="42">
        <f>IF($C114="","",IFERROR(INDEX(DESPACHOS!$I$3:$I$3002,MATCH($C114,DESPACHOS!$B$3:$B$3002,0)),""))</f>
        <v/>
      </c>
      <c r="G114" s="42">
        <f>IF($C114="","",IFERROR(INDEX(DESPACHOS!$F$3:$F$3002,MATCH($C114,DESPACHOS!$B$3:$B$3002,0)),""))</f>
        <v/>
      </c>
      <c r="H114" s="42">
        <f>IF($C114="","",IFERROR(INDEX(DESPACHOS!$G$3:$G$3002,MATCH($C114,DESPACHOS!$B$3:$B$3002,0)),""))</f>
        <v/>
      </c>
      <c r="I114" s="39">
        <f>IF($C114="","",IFERROR(INDEX(DESPACHOS!$H$3:$H$3002,MATCH($C114,DESPACHOS!$B$3:$B$3002,0)),""))</f>
        <v/>
      </c>
      <c r="J114" s="43">
        <f>IF($C114="","",IFERROR(INDEX(DESPACHOS!$J$3:$J$3002,MATCH($C114,DESPACHOS!$B$3:$B$3002,0)),""))</f>
        <v/>
      </c>
      <c r="K114" s="39">
        <f>IF($C114="","",IF(COUNTIFS(DESPACHOS!$B$3:$B$3002,$C114)=0,"NO EXISTE",IF(COUNTIFS(DESPACHOS!$B$3:$B$3002,$C114)&gt;1,"DUPLICADO","OK")))</f>
        <v/>
      </c>
      <c r="L114" s="41" t="n"/>
      <c r="M114" s="41" t="n"/>
      <c r="N114" s="42">
        <f>IF($M114="","",IFERROR(INDEX(LISTAS!$F$3:$F$42,MATCH($M114,LISTAS!$E$3:$E$42,0)),"Por definir"))</f>
        <v/>
      </c>
      <c r="O114" s="41" t="n"/>
      <c r="P114" s="39">
        <f>IF($L114="","",IFERROR(INDEX(LISTAS!$B$3:$B$42,MATCH($L114,LISTAS!$A$3:$A$42,0)),"Media"))</f>
        <v/>
      </c>
      <c r="Q114" s="44" t="n"/>
      <c r="R114" s="45" t="n"/>
      <c r="S114" s="20">
        <f>IFERROR(IF(OR($R114="",$C114=""),"",$R114/INDEX(DESPACHOS!$M$3:$M$3002,MATCH($C114,DESPACHOS!$B$3:$B$3002,0))),"")</f>
        <v/>
      </c>
      <c r="T114" s="41" t="n"/>
      <c r="U114" s="43">
        <f>IF(OR($B114="",$L114=""),"",WORKDAY($B114,IFERROR(INDEX(LISTAS!$C$3:$C$42,MATCH($L114,LISTAS!$A$3:$A$42,0)),3)))</f>
        <v/>
      </c>
      <c r="V114" s="40" t="n"/>
      <c r="W114" s="19">
        <f>IF($B114="","",IF($V114&lt;&gt;"",$V114-$B114,TODAY()-$B114))</f>
        <v/>
      </c>
      <c r="X114" s="19">
        <f>IF(OR($B114="",$U114=""),"",IF($V114&lt;&gt;"",MAX(0,$V114-$U114),MAX(0,TODAY()-$U114)))</f>
        <v/>
      </c>
      <c r="Y114" s="39">
        <f>IF($C114="","",IF(IFERROR(INDEX(LISTAS!$I$3:$I$42,MATCH($T114,LISTAS!$H$3:$H$42,0)),"NO")="SÍ",IF(N($X114)&gt;0,"CERRADA FUERA DE SLA","CERRADA EN SLA"),IF($U114="","SIN CLASIFICAR",IF(N($X114)&gt;0,"VENCIDA",IF(TODAY()&gt;=$U114-1,"POR VENCER","EN PLAZO")))))</f>
        <v/>
      </c>
      <c r="Z114" s="41" t="n"/>
      <c r="AA114" s="41" t="n"/>
      <c r="AB114" s="41" t="n"/>
    </row>
    <row r="115">
      <c r="A115" s="39">
        <f>IF($C115="","","NOV-"&amp;TEXT(ROW()-3,"0000"))</f>
        <v/>
      </c>
      <c r="B115" s="40" t="n"/>
      <c r="C115" s="41" t="n"/>
      <c r="D115" s="42">
        <f>IF($C115="","",IFERROR(INDEX(DESPACHOS!$D$3:$D$3002,MATCH($C115,DESPACHOS!$B$3:$B$3002,0)),"SIN DESPACHO"))</f>
        <v/>
      </c>
      <c r="E115" s="42">
        <f>IF($C115="","",IFERROR(INDEX(DESPACHOS!$K$3:$K$3002,MATCH($C115,DESPACHOS!$B$3:$B$3002,0)),""))</f>
        <v/>
      </c>
      <c r="F115" s="42">
        <f>IF($C115="","",IFERROR(INDEX(DESPACHOS!$I$3:$I$3002,MATCH($C115,DESPACHOS!$B$3:$B$3002,0)),""))</f>
        <v/>
      </c>
      <c r="G115" s="42">
        <f>IF($C115="","",IFERROR(INDEX(DESPACHOS!$F$3:$F$3002,MATCH($C115,DESPACHOS!$B$3:$B$3002,0)),""))</f>
        <v/>
      </c>
      <c r="H115" s="42">
        <f>IF($C115="","",IFERROR(INDEX(DESPACHOS!$G$3:$G$3002,MATCH($C115,DESPACHOS!$B$3:$B$3002,0)),""))</f>
        <v/>
      </c>
      <c r="I115" s="39">
        <f>IF($C115="","",IFERROR(INDEX(DESPACHOS!$H$3:$H$3002,MATCH($C115,DESPACHOS!$B$3:$B$3002,0)),""))</f>
        <v/>
      </c>
      <c r="J115" s="43">
        <f>IF($C115="","",IFERROR(INDEX(DESPACHOS!$J$3:$J$3002,MATCH($C115,DESPACHOS!$B$3:$B$3002,0)),""))</f>
        <v/>
      </c>
      <c r="K115" s="39">
        <f>IF($C115="","",IF(COUNTIFS(DESPACHOS!$B$3:$B$3002,$C115)=0,"NO EXISTE",IF(COUNTIFS(DESPACHOS!$B$3:$B$3002,$C115)&gt;1,"DUPLICADO","OK")))</f>
        <v/>
      </c>
      <c r="L115" s="41" t="n"/>
      <c r="M115" s="41" t="n"/>
      <c r="N115" s="42">
        <f>IF($M115="","",IFERROR(INDEX(LISTAS!$F$3:$F$42,MATCH($M115,LISTAS!$E$3:$E$42,0)),"Por definir"))</f>
        <v/>
      </c>
      <c r="O115" s="41" t="n"/>
      <c r="P115" s="39">
        <f>IF($L115="","",IFERROR(INDEX(LISTAS!$B$3:$B$42,MATCH($L115,LISTAS!$A$3:$A$42,0)),"Media"))</f>
        <v/>
      </c>
      <c r="Q115" s="44" t="n"/>
      <c r="R115" s="45" t="n"/>
      <c r="S115" s="20">
        <f>IFERROR(IF(OR($R115="",$C115=""),"",$R115/INDEX(DESPACHOS!$M$3:$M$3002,MATCH($C115,DESPACHOS!$B$3:$B$3002,0))),"")</f>
        <v/>
      </c>
      <c r="T115" s="41" t="n"/>
      <c r="U115" s="43">
        <f>IF(OR($B115="",$L115=""),"",WORKDAY($B115,IFERROR(INDEX(LISTAS!$C$3:$C$42,MATCH($L115,LISTAS!$A$3:$A$42,0)),3)))</f>
        <v/>
      </c>
      <c r="V115" s="40" t="n"/>
      <c r="W115" s="19">
        <f>IF($B115="","",IF($V115&lt;&gt;"",$V115-$B115,TODAY()-$B115))</f>
        <v/>
      </c>
      <c r="X115" s="19">
        <f>IF(OR($B115="",$U115=""),"",IF($V115&lt;&gt;"",MAX(0,$V115-$U115),MAX(0,TODAY()-$U115)))</f>
        <v/>
      </c>
      <c r="Y115" s="39">
        <f>IF($C115="","",IF(IFERROR(INDEX(LISTAS!$I$3:$I$42,MATCH($T115,LISTAS!$H$3:$H$42,0)),"NO")="SÍ",IF(N($X115)&gt;0,"CERRADA FUERA DE SLA","CERRADA EN SLA"),IF($U115="","SIN CLASIFICAR",IF(N($X115)&gt;0,"VENCIDA",IF(TODAY()&gt;=$U115-1,"POR VENCER","EN PLAZO")))))</f>
        <v/>
      </c>
      <c r="Z115" s="41" t="n"/>
      <c r="AA115" s="41" t="n"/>
      <c r="AB115" s="41" t="n"/>
    </row>
    <row r="116">
      <c r="A116" s="39">
        <f>IF($C116="","","NOV-"&amp;TEXT(ROW()-3,"0000"))</f>
        <v/>
      </c>
      <c r="B116" s="40" t="n"/>
      <c r="C116" s="41" t="n"/>
      <c r="D116" s="42">
        <f>IF($C116="","",IFERROR(INDEX(DESPACHOS!$D$3:$D$3002,MATCH($C116,DESPACHOS!$B$3:$B$3002,0)),"SIN DESPACHO"))</f>
        <v/>
      </c>
      <c r="E116" s="42">
        <f>IF($C116="","",IFERROR(INDEX(DESPACHOS!$K$3:$K$3002,MATCH($C116,DESPACHOS!$B$3:$B$3002,0)),""))</f>
        <v/>
      </c>
      <c r="F116" s="42">
        <f>IF($C116="","",IFERROR(INDEX(DESPACHOS!$I$3:$I$3002,MATCH($C116,DESPACHOS!$B$3:$B$3002,0)),""))</f>
        <v/>
      </c>
      <c r="G116" s="42">
        <f>IF($C116="","",IFERROR(INDEX(DESPACHOS!$F$3:$F$3002,MATCH($C116,DESPACHOS!$B$3:$B$3002,0)),""))</f>
        <v/>
      </c>
      <c r="H116" s="42">
        <f>IF($C116="","",IFERROR(INDEX(DESPACHOS!$G$3:$G$3002,MATCH($C116,DESPACHOS!$B$3:$B$3002,0)),""))</f>
        <v/>
      </c>
      <c r="I116" s="39">
        <f>IF($C116="","",IFERROR(INDEX(DESPACHOS!$H$3:$H$3002,MATCH($C116,DESPACHOS!$B$3:$B$3002,0)),""))</f>
        <v/>
      </c>
      <c r="J116" s="43">
        <f>IF($C116="","",IFERROR(INDEX(DESPACHOS!$J$3:$J$3002,MATCH($C116,DESPACHOS!$B$3:$B$3002,0)),""))</f>
        <v/>
      </c>
      <c r="K116" s="39">
        <f>IF($C116="","",IF(COUNTIFS(DESPACHOS!$B$3:$B$3002,$C116)=0,"NO EXISTE",IF(COUNTIFS(DESPACHOS!$B$3:$B$3002,$C116)&gt;1,"DUPLICADO","OK")))</f>
        <v/>
      </c>
      <c r="L116" s="41" t="n"/>
      <c r="M116" s="41" t="n"/>
      <c r="N116" s="42">
        <f>IF($M116="","",IFERROR(INDEX(LISTAS!$F$3:$F$42,MATCH($M116,LISTAS!$E$3:$E$42,0)),"Por definir"))</f>
        <v/>
      </c>
      <c r="O116" s="41" t="n"/>
      <c r="P116" s="39">
        <f>IF($L116="","",IFERROR(INDEX(LISTAS!$B$3:$B$42,MATCH($L116,LISTAS!$A$3:$A$42,0)),"Media"))</f>
        <v/>
      </c>
      <c r="Q116" s="44" t="n"/>
      <c r="R116" s="45" t="n"/>
      <c r="S116" s="20">
        <f>IFERROR(IF(OR($R116="",$C116=""),"",$R116/INDEX(DESPACHOS!$M$3:$M$3002,MATCH($C116,DESPACHOS!$B$3:$B$3002,0))),"")</f>
        <v/>
      </c>
      <c r="T116" s="41" t="n"/>
      <c r="U116" s="43">
        <f>IF(OR($B116="",$L116=""),"",WORKDAY($B116,IFERROR(INDEX(LISTAS!$C$3:$C$42,MATCH($L116,LISTAS!$A$3:$A$42,0)),3)))</f>
        <v/>
      </c>
      <c r="V116" s="40" t="n"/>
      <c r="W116" s="19">
        <f>IF($B116="","",IF($V116&lt;&gt;"",$V116-$B116,TODAY()-$B116))</f>
        <v/>
      </c>
      <c r="X116" s="19">
        <f>IF(OR($B116="",$U116=""),"",IF($V116&lt;&gt;"",MAX(0,$V116-$U116),MAX(0,TODAY()-$U116)))</f>
        <v/>
      </c>
      <c r="Y116" s="39">
        <f>IF($C116="","",IF(IFERROR(INDEX(LISTAS!$I$3:$I$42,MATCH($T116,LISTAS!$H$3:$H$42,0)),"NO")="SÍ",IF(N($X116)&gt;0,"CERRADA FUERA DE SLA","CERRADA EN SLA"),IF($U116="","SIN CLASIFICAR",IF(N($X116)&gt;0,"VENCIDA",IF(TODAY()&gt;=$U116-1,"POR VENCER","EN PLAZO")))))</f>
        <v/>
      </c>
      <c r="Z116" s="41" t="n"/>
      <c r="AA116" s="41" t="n"/>
      <c r="AB116" s="41" t="n"/>
    </row>
    <row r="117">
      <c r="A117" s="39">
        <f>IF($C117="","","NOV-"&amp;TEXT(ROW()-3,"0000"))</f>
        <v/>
      </c>
      <c r="B117" s="40" t="n"/>
      <c r="C117" s="41" t="n"/>
      <c r="D117" s="42">
        <f>IF($C117="","",IFERROR(INDEX(DESPACHOS!$D$3:$D$3002,MATCH($C117,DESPACHOS!$B$3:$B$3002,0)),"SIN DESPACHO"))</f>
        <v/>
      </c>
      <c r="E117" s="42">
        <f>IF($C117="","",IFERROR(INDEX(DESPACHOS!$K$3:$K$3002,MATCH($C117,DESPACHOS!$B$3:$B$3002,0)),""))</f>
        <v/>
      </c>
      <c r="F117" s="42">
        <f>IF($C117="","",IFERROR(INDEX(DESPACHOS!$I$3:$I$3002,MATCH($C117,DESPACHOS!$B$3:$B$3002,0)),""))</f>
        <v/>
      </c>
      <c r="G117" s="42">
        <f>IF($C117="","",IFERROR(INDEX(DESPACHOS!$F$3:$F$3002,MATCH($C117,DESPACHOS!$B$3:$B$3002,0)),""))</f>
        <v/>
      </c>
      <c r="H117" s="42">
        <f>IF($C117="","",IFERROR(INDEX(DESPACHOS!$G$3:$G$3002,MATCH($C117,DESPACHOS!$B$3:$B$3002,0)),""))</f>
        <v/>
      </c>
      <c r="I117" s="39">
        <f>IF($C117="","",IFERROR(INDEX(DESPACHOS!$H$3:$H$3002,MATCH($C117,DESPACHOS!$B$3:$B$3002,0)),""))</f>
        <v/>
      </c>
      <c r="J117" s="43">
        <f>IF($C117="","",IFERROR(INDEX(DESPACHOS!$J$3:$J$3002,MATCH($C117,DESPACHOS!$B$3:$B$3002,0)),""))</f>
        <v/>
      </c>
      <c r="K117" s="39">
        <f>IF($C117="","",IF(COUNTIFS(DESPACHOS!$B$3:$B$3002,$C117)=0,"NO EXISTE",IF(COUNTIFS(DESPACHOS!$B$3:$B$3002,$C117)&gt;1,"DUPLICADO","OK")))</f>
        <v/>
      </c>
      <c r="L117" s="41" t="n"/>
      <c r="M117" s="41" t="n"/>
      <c r="N117" s="42">
        <f>IF($M117="","",IFERROR(INDEX(LISTAS!$F$3:$F$42,MATCH($M117,LISTAS!$E$3:$E$42,0)),"Por definir"))</f>
        <v/>
      </c>
      <c r="O117" s="41" t="n"/>
      <c r="P117" s="39">
        <f>IF($L117="","",IFERROR(INDEX(LISTAS!$B$3:$B$42,MATCH($L117,LISTAS!$A$3:$A$42,0)),"Media"))</f>
        <v/>
      </c>
      <c r="Q117" s="44" t="n"/>
      <c r="R117" s="45" t="n"/>
      <c r="S117" s="20">
        <f>IFERROR(IF(OR($R117="",$C117=""),"",$R117/INDEX(DESPACHOS!$M$3:$M$3002,MATCH($C117,DESPACHOS!$B$3:$B$3002,0))),"")</f>
        <v/>
      </c>
      <c r="T117" s="41" t="n"/>
      <c r="U117" s="43">
        <f>IF(OR($B117="",$L117=""),"",WORKDAY($B117,IFERROR(INDEX(LISTAS!$C$3:$C$42,MATCH($L117,LISTAS!$A$3:$A$42,0)),3)))</f>
        <v/>
      </c>
      <c r="V117" s="40" t="n"/>
      <c r="W117" s="19">
        <f>IF($B117="","",IF($V117&lt;&gt;"",$V117-$B117,TODAY()-$B117))</f>
        <v/>
      </c>
      <c r="X117" s="19">
        <f>IF(OR($B117="",$U117=""),"",IF($V117&lt;&gt;"",MAX(0,$V117-$U117),MAX(0,TODAY()-$U117)))</f>
        <v/>
      </c>
      <c r="Y117" s="39">
        <f>IF($C117="","",IF(IFERROR(INDEX(LISTAS!$I$3:$I$42,MATCH($T117,LISTAS!$H$3:$H$42,0)),"NO")="SÍ",IF(N($X117)&gt;0,"CERRADA FUERA DE SLA","CERRADA EN SLA"),IF($U117="","SIN CLASIFICAR",IF(N($X117)&gt;0,"VENCIDA",IF(TODAY()&gt;=$U117-1,"POR VENCER","EN PLAZO")))))</f>
        <v/>
      </c>
      <c r="Z117" s="41" t="n"/>
      <c r="AA117" s="41" t="n"/>
      <c r="AB117" s="41" t="n"/>
    </row>
    <row r="118">
      <c r="A118" s="39">
        <f>IF($C118="","","NOV-"&amp;TEXT(ROW()-3,"0000"))</f>
        <v/>
      </c>
      <c r="B118" s="40" t="n"/>
      <c r="C118" s="41" t="n"/>
      <c r="D118" s="42">
        <f>IF($C118="","",IFERROR(INDEX(DESPACHOS!$D$3:$D$3002,MATCH($C118,DESPACHOS!$B$3:$B$3002,0)),"SIN DESPACHO"))</f>
        <v/>
      </c>
      <c r="E118" s="42">
        <f>IF($C118="","",IFERROR(INDEX(DESPACHOS!$K$3:$K$3002,MATCH($C118,DESPACHOS!$B$3:$B$3002,0)),""))</f>
        <v/>
      </c>
      <c r="F118" s="42">
        <f>IF($C118="","",IFERROR(INDEX(DESPACHOS!$I$3:$I$3002,MATCH($C118,DESPACHOS!$B$3:$B$3002,0)),""))</f>
        <v/>
      </c>
      <c r="G118" s="42">
        <f>IF($C118="","",IFERROR(INDEX(DESPACHOS!$F$3:$F$3002,MATCH($C118,DESPACHOS!$B$3:$B$3002,0)),""))</f>
        <v/>
      </c>
      <c r="H118" s="42">
        <f>IF($C118="","",IFERROR(INDEX(DESPACHOS!$G$3:$G$3002,MATCH($C118,DESPACHOS!$B$3:$B$3002,0)),""))</f>
        <v/>
      </c>
      <c r="I118" s="39">
        <f>IF($C118="","",IFERROR(INDEX(DESPACHOS!$H$3:$H$3002,MATCH($C118,DESPACHOS!$B$3:$B$3002,0)),""))</f>
        <v/>
      </c>
      <c r="J118" s="43">
        <f>IF($C118="","",IFERROR(INDEX(DESPACHOS!$J$3:$J$3002,MATCH($C118,DESPACHOS!$B$3:$B$3002,0)),""))</f>
        <v/>
      </c>
      <c r="K118" s="39">
        <f>IF($C118="","",IF(COUNTIFS(DESPACHOS!$B$3:$B$3002,$C118)=0,"NO EXISTE",IF(COUNTIFS(DESPACHOS!$B$3:$B$3002,$C118)&gt;1,"DUPLICADO","OK")))</f>
        <v/>
      </c>
      <c r="L118" s="41" t="n"/>
      <c r="M118" s="41" t="n"/>
      <c r="N118" s="42">
        <f>IF($M118="","",IFERROR(INDEX(LISTAS!$F$3:$F$42,MATCH($M118,LISTAS!$E$3:$E$42,0)),"Por definir"))</f>
        <v/>
      </c>
      <c r="O118" s="41" t="n"/>
      <c r="P118" s="39">
        <f>IF($L118="","",IFERROR(INDEX(LISTAS!$B$3:$B$42,MATCH($L118,LISTAS!$A$3:$A$42,0)),"Media"))</f>
        <v/>
      </c>
      <c r="Q118" s="44" t="n"/>
      <c r="R118" s="45" t="n"/>
      <c r="S118" s="20">
        <f>IFERROR(IF(OR($R118="",$C118=""),"",$R118/INDEX(DESPACHOS!$M$3:$M$3002,MATCH($C118,DESPACHOS!$B$3:$B$3002,0))),"")</f>
        <v/>
      </c>
      <c r="T118" s="41" t="n"/>
      <c r="U118" s="43">
        <f>IF(OR($B118="",$L118=""),"",WORKDAY($B118,IFERROR(INDEX(LISTAS!$C$3:$C$42,MATCH($L118,LISTAS!$A$3:$A$42,0)),3)))</f>
        <v/>
      </c>
      <c r="V118" s="40" t="n"/>
      <c r="W118" s="19">
        <f>IF($B118="","",IF($V118&lt;&gt;"",$V118-$B118,TODAY()-$B118))</f>
        <v/>
      </c>
      <c r="X118" s="19">
        <f>IF(OR($B118="",$U118=""),"",IF($V118&lt;&gt;"",MAX(0,$V118-$U118),MAX(0,TODAY()-$U118)))</f>
        <v/>
      </c>
      <c r="Y118" s="39">
        <f>IF($C118="","",IF(IFERROR(INDEX(LISTAS!$I$3:$I$42,MATCH($T118,LISTAS!$H$3:$H$42,0)),"NO")="SÍ",IF(N($X118)&gt;0,"CERRADA FUERA DE SLA","CERRADA EN SLA"),IF($U118="","SIN CLASIFICAR",IF(N($X118)&gt;0,"VENCIDA",IF(TODAY()&gt;=$U118-1,"POR VENCER","EN PLAZO")))))</f>
        <v/>
      </c>
      <c r="Z118" s="41" t="n"/>
      <c r="AA118" s="41" t="n"/>
      <c r="AB118" s="41" t="n"/>
    </row>
    <row r="119">
      <c r="A119" s="39">
        <f>IF($C119="","","NOV-"&amp;TEXT(ROW()-3,"0000"))</f>
        <v/>
      </c>
      <c r="B119" s="40" t="n"/>
      <c r="C119" s="41" t="n"/>
      <c r="D119" s="42">
        <f>IF($C119="","",IFERROR(INDEX(DESPACHOS!$D$3:$D$3002,MATCH($C119,DESPACHOS!$B$3:$B$3002,0)),"SIN DESPACHO"))</f>
        <v/>
      </c>
      <c r="E119" s="42">
        <f>IF($C119="","",IFERROR(INDEX(DESPACHOS!$K$3:$K$3002,MATCH($C119,DESPACHOS!$B$3:$B$3002,0)),""))</f>
        <v/>
      </c>
      <c r="F119" s="42">
        <f>IF($C119="","",IFERROR(INDEX(DESPACHOS!$I$3:$I$3002,MATCH($C119,DESPACHOS!$B$3:$B$3002,0)),""))</f>
        <v/>
      </c>
      <c r="G119" s="42">
        <f>IF($C119="","",IFERROR(INDEX(DESPACHOS!$F$3:$F$3002,MATCH($C119,DESPACHOS!$B$3:$B$3002,0)),""))</f>
        <v/>
      </c>
      <c r="H119" s="42">
        <f>IF($C119="","",IFERROR(INDEX(DESPACHOS!$G$3:$G$3002,MATCH($C119,DESPACHOS!$B$3:$B$3002,0)),""))</f>
        <v/>
      </c>
      <c r="I119" s="39">
        <f>IF($C119="","",IFERROR(INDEX(DESPACHOS!$H$3:$H$3002,MATCH($C119,DESPACHOS!$B$3:$B$3002,0)),""))</f>
        <v/>
      </c>
      <c r="J119" s="43">
        <f>IF($C119="","",IFERROR(INDEX(DESPACHOS!$J$3:$J$3002,MATCH($C119,DESPACHOS!$B$3:$B$3002,0)),""))</f>
        <v/>
      </c>
      <c r="K119" s="39">
        <f>IF($C119="","",IF(COUNTIFS(DESPACHOS!$B$3:$B$3002,$C119)=0,"NO EXISTE",IF(COUNTIFS(DESPACHOS!$B$3:$B$3002,$C119)&gt;1,"DUPLICADO","OK")))</f>
        <v/>
      </c>
      <c r="L119" s="41" t="n"/>
      <c r="M119" s="41" t="n"/>
      <c r="N119" s="42">
        <f>IF($M119="","",IFERROR(INDEX(LISTAS!$F$3:$F$42,MATCH($M119,LISTAS!$E$3:$E$42,0)),"Por definir"))</f>
        <v/>
      </c>
      <c r="O119" s="41" t="n"/>
      <c r="P119" s="39">
        <f>IF($L119="","",IFERROR(INDEX(LISTAS!$B$3:$B$42,MATCH($L119,LISTAS!$A$3:$A$42,0)),"Media"))</f>
        <v/>
      </c>
      <c r="Q119" s="44" t="n"/>
      <c r="R119" s="45" t="n"/>
      <c r="S119" s="20">
        <f>IFERROR(IF(OR($R119="",$C119=""),"",$R119/INDEX(DESPACHOS!$M$3:$M$3002,MATCH($C119,DESPACHOS!$B$3:$B$3002,0))),"")</f>
        <v/>
      </c>
      <c r="T119" s="41" t="n"/>
      <c r="U119" s="43">
        <f>IF(OR($B119="",$L119=""),"",WORKDAY($B119,IFERROR(INDEX(LISTAS!$C$3:$C$42,MATCH($L119,LISTAS!$A$3:$A$42,0)),3)))</f>
        <v/>
      </c>
      <c r="V119" s="40" t="n"/>
      <c r="W119" s="19">
        <f>IF($B119="","",IF($V119&lt;&gt;"",$V119-$B119,TODAY()-$B119))</f>
        <v/>
      </c>
      <c r="X119" s="19">
        <f>IF(OR($B119="",$U119=""),"",IF($V119&lt;&gt;"",MAX(0,$V119-$U119),MAX(0,TODAY()-$U119)))</f>
        <v/>
      </c>
      <c r="Y119" s="39">
        <f>IF($C119="","",IF(IFERROR(INDEX(LISTAS!$I$3:$I$42,MATCH($T119,LISTAS!$H$3:$H$42,0)),"NO")="SÍ",IF(N($X119)&gt;0,"CERRADA FUERA DE SLA","CERRADA EN SLA"),IF($U119="","SIN CLASIFICAR",IF(N($X119)&gt;0,"VENCIDA",IF(TODAY()&gt;=$U119-1,"POR VENCER","EN PLAZO")))))</f>
        <v/>
      </c>
      <c r="Z119" s="41" t="n"/>
      <c r="AA119" s="41" t="n"/>
      <c r="AB119" s="41" t="n"/>
    </row>
    <row r="120">
      <c r="A120" s="39">
        <f>IF($C120="","","NOV-"&amp;TEXT(ROW()-3,"0000"))</f>
        <v/>
      </c>
      <c r="B120" s="40" t="n"/>
      <c r="C120" s="41" t="n"/>
      <c r="D120" s="42">
        <f>IF($C120="","",IFERROR(INDEX(DESPACHOS!$D$3:$D$3002,MATCH($C120,DESPACHOS!$B$3:$B$3002,0)),"SIN DESPACHO"))</f>
        <v/>
      </c>
      <c r="E120" s="42">
        <f>IF($C120="","",IFERROR(INDEX(DESPACHOS!$K$3:$K$3002,MATCH($C120,DESPACHOS!$B$3:$B$3002,0)),""))</f>
        <v/>
      </c>
      <c r="F120" s="42">
        <f>IF($C120="","",IFERROR(INDEX(DESPACHOS!$I$3:$I$3002,MATCH($C120,DESPACHOS!$B$3:$B$3002,0)),""))</f>
        <v/>
      </c>
      <c r="G120" s="42">
        <f>IF($C120="","",IFERROR(INDEX(DESPACHOS!$F$3:$F$3002,MATCH($C120,DESPACHOS!$B$3:$B$3002,0)),""))</f>
        <v/>
      </c>
      <c r="H120" s="42">
        <f>IF($C120="","",IFERROR(INDEX(DESPACHOS!$G$3:$G$3002,MATCH($C120,DESPACHOS!$B$3:$B$3002,0)),""))</f>
        <v/>
      </c>
      <c r="I120" s="39">
        <f>IF($C120="","",IFERROR(INDEX(DESPACHOS!$H$3:$H$3002,MATCH($C120,DESPACHOS!$B$3:$B$3002,0)),""))</f>
        <v/>
      </c>
      <c r="J120" s="43">
        <f>IF($C120="","",IFERROR(INDEX(DESPACHOS!$J$3:$J$3002,MATCH($C120,DESPACHOS!$B$3:$B$3002,0)),""))</f>
        <v/>
      </c>
      <c r="K120" s="39">
        <f>IF($C120="","",IF(COUNTIFS(DESPACHOS!$B$3:$B$3002,$C120)=0,"NO EXISTE",IF(COUNTIFS(DESPACHOS!$B$3:$B$3002,$C120)&gt;1,"DUPLICADO","OK")))</f>
        <v/>
      </c>
      <c r="L120" s="41" t="n"/>
      <c r="M120" s="41" t="n"/>
      <c r="N120" s="42">
        <f>IF($M120="","",IFERROR(INDEX(LISTAS!$F$3:$F$42,MATCH($M120,LISTAS!$E$3:$E$42,0)),"Por definir"))</f>
        <v/>
      </c>
      <c r="O120" s="41" t="n"/>
      <c r="P120" s="39">
        <f>IF($L120="","",IFERROR(INDEX(LISTAS!$B$3:$B$42,MATCH($L120,LISTAS!$A$3:$A$42,0)),"Media"))</f>
        <v/>
      </c>
      <c r="Q120" s="44" t="n"/>
      <c r="R120" s="45" t="n"/>
      <c r="S120" s="20">
        <f>IFERROR(IF(OR($R120="",$C120=""),"",$R120/INDEX(DESPACHOS!$M$3:$M$3002,MATCH($C120,DESPACHOS!$B$3:$B$3002,0))),"")</f>
        <v/>
      </c>
      <c r="T120" s="41" t="n"/>
      <c r="U120" s="43">
        <f>IF(OR($B120="",$L120=""),"",WORKDAY($B120,IFERROR(INDEX(LISTAS!$C$3:$C$42,MATCH($L120,LISTAS!$A$3:$A$42,0)),3)))</f>
        <v/>
      </c>
      <c r="V120" s="40" t="n"/>
      <c r="W120" s="19">
        <f>IF($B120="","",IF($V120&lt;&gt;"",$V120-$B120,TODAY()-$B120))</f>
        <v/>
      </c>
      <c r="X120" s="19">
        <f>IF(OR($B120="",$U120=""),"",IF($V120&lt;&gt;"",MAX(0,$V120-$U120),MAX(0,TODAY()-$U120)))</f>
        <v/>
      </c>
      <c r="Y120" s="39">
        <f>IF($C120="","",IF(IFERROR(INDEX(LISTAS!$I$3:$I$42,MATCH($T120,LISTAS!$H$3:$H$42,0)),"NO")="SÍ",IF(N($X120)&gt;0,"CERRADA FUERA DE SLA","CERRADA EN SLA"),IF($U120="","SIN CLASIFICAR",IF(N($X120)&gt;0,"VENCIDA",IF(TODAY()&gt;=$U120-1,"POR VENCER","EN PLAZO")))))</f>
        <v/>
      </c>
      <c r="Z120" s="41" t="n"/>
      <c r="AA120" s="41" t="n"/>
      <c r="AB120" s="41" t="n"/>
    </row>
    <row r="121">
      <c r="A121" s="39">
        <f>IF($C121="","","NOV-"&amp;TEXT(ROW()-3,"0000"))</f>
        <v/>
      </c>
      <c r="B121" s="40" t="n"/>
      <c r="C121" s="41" t="n"/>
      <c r="D121" s="42">
        <f>IF($C121="","",IFERROR(INDEX(DESPACHOS!$D$3:$D$3002,MATCH($C121,DESPACHOS!$B$3:$B$3002,0)),"SIN DESPACHO"))</f>
        <v/>
      </c>
      <c r="E121" s="42">
        <f>IF($C121="","",IFERROR(INDEX(DESPACHOS!$K$3:$K$3002,MATCH($C121,DESPACHOS!$B$3:$B$3002,0)),""))</f>
        <v/>
      </c>
      <c r="F121" s="42">
        <f>IF($C121="","",IFERROR(INDEX(DESPACHOS!$I$3:$I$3002,MATCH($C121,DESPACHOS!$B$3:$B$3002,0)),""))</f>
        <v/>
      </c>
      <c r="G121" s="42">
        <f>IF($C121="","",IFERROR(INDEX(DESPACHOS!$F$3:$F$3002,MATCH($C121,DESPACHOS!$B$3:$B$3002,0)),""))</f>
        <v/>
      </c>
      <c r="H121" s="42">
        <f>IF($C121="","",IFERROR(INDEX(DESPACHOS!$G$3:$G$3002,MATCH($C121,DESPACHOS!$B$3:$B$3002,0)),""))</f>
        <v/>
      </c>
      <c r="I121" s="39">
        <f>IF($C121="","",IFERROR(INDEX(DESPACHOS!$H$3:$H$3002,MATCH($C121,DESPACHOS!$B$3:$B$3002,0)),""))</f>
        <v/>
      </c>
      <c r="J121" s="43">
        <f>IF($C121="","",IFERROR(INDEX(DESPACHOS!$J$3:$J$3002,MATCH($C121,DESPACHOS!$B$3:$B$3002,0)),""))</f>
        <v/>
      </c>
      <c r="K121" s="39">
        <f>IF($C121="","",IF(COUNTIFS(DESPACHOS!$B$3:$B$3002,$C121)=0,"NO EXISTE",IF(COUNTIFS(DESPACHOS!$B$3:$B$3002,$C121)&gt;1,"DUPLICADO","OK")))</f>
        <v/>
      </c>
      <c r="L121" s="41" t="n"/>
      <c r="M121" s="41" t="n"/>
      <c r="N121" s="42">
        <f>IF($M121="","",IFERROR(INDEX(LISTAS!$F$3:$F$42,MATCH($M121,LISTAS!$E$3:$E$42,0)),"Por definir"))</f>
        <v/>
      </c>
      <c r="O121" s="41" t="n"/>
      <c r="P121" s="39">
        <f>IF($L121="","",IFERROR(INDEX(LISTAS!$B$3:$B$42,MATCH($L121,LISTAS!$A$3:$A$42,0)),"Media"))</f>
        <v/>
      </c>
      <c r="Q121" s="44" t="n"/>
      <c r="R121" s="45" t="n"/>
      <c r="S121" s="20">
        <f>IFERROR(IF(OR($R121="",$C121=""),"",$R121/INDEX(DESPACHOS!$M$3:$M$3002,MATCH($C121,DESPACHOS!$B$3:$B$3002,0))),"")</f>
        <v/>
      </c>
      <c r="T121" s="41" t="n"/>
      <c r="U121" s="43">
        <f>IF(OR($B121="",$L121=""),"",WORKDAY($B121,IFERROR(INDEX(LISTAS!$C$3:$C$42,MATCH($L121,LISTAS!$A$3:$A$42,0)),3)))</f>
        <v/>
      </c>
      <c r="V121" s="40" t="n"/>
      <c r="W121" s="19">
        <f>IF($B121="","",IF($V121&lt;&gt;"",$V121-$B121,TODAY()-$B121))</f>
        <v/>
      </c>
      <c r="X121" s="19">
        <f>IF(OR($B121="",$U121=""),"",IF($V121&lt;&gt;"",MAX(0,$V121-$U121),MAX(0,TODAY()-$U121)))</f>
        <v/>
      </c>
      <c r="Y121" s="39">
        <f>IF($C121="","",IF(IFERROR(INDEX(LISTAS!$I$3:$I$42,MATCH($T121,LISTAS!$H$3:$H$42,0)),"NO")="SÍ",IF(N($X121)&gt;0,"CERRADA FUERA DE SLA","CERRADA EN SLA"),IF($U121="","SIN CLASIFICAR",IF(N($X121)&gt;0,"VENCIDA",IF(TODAY()&gt;=$U121-1,"POR VENCER","EN PLAZO")))))</f>
        <v/>
      </c>
      <c r="Z121" s="41" t="n"/>
      <c r="AA121" s="41" t="n"/>
      <c r="AB121" s="41" t="n"/>
    </row>
    <row r="122">
      <c r="A122" s="39">
        <f>IF($C122="","","NOV-"&amp;TEXT(ROW()-3,"0000"))</f>
        <v/>
      </c>
      <c r="B122" s="40" t="n"/>
      <c r="C122" s="41" t="n"/>
      <c r="D122" s="42">
        <f>IF($C122="","",IFERROR(INDEX(DESPACHOS!$D$3:$D$3002,MATCH($C122,DESPACHOS!$B$3:$B$3002,0)),"SIN DESPACHO"))</f>
        <v/>
      </c>
      <c r="E122" s="42">
        <f>IF($C122="","",IFERROR(INDEX(DESPACHOS!$K$3:$K$3002,MATCH($C122,DESPACHOS!$B$3:$B$3002,0)),""))</f>
        <v/>
      </c>
      <c r="F122" s="42">
        <f>IF($C122="","",IFERROR(INDEX(DESPACHOS!$I$3:$I$3002,MATCH($C122,DESPACHOS!$B$3:$B$3002,0)),""))</f>
        <v/>
      </c>
      <c r="G122" s="42">
        <f>IF($C122="","",IFERROR(INDEX(DESPACHOS!$F$3:$F$3002,MATCH($C122,DESPACHOS!$B$3:$B$3002,0)),""))</f>
        <v/>
      </c>
      <c r="H122" s="42">
        <f>IF($C122="","",IFERROR(INDEX(DESPACHOS!$G$3:$G$3002,MATCH($C122,DESPACHOS!$B$3:$B$3002,0)),""))</f>
        <v/>
      </c>
      <c r="I122" s="39">
        <f>IF($C122="","",IFERROR(INDEX(DESPACHOS!$H$3:$H$3002,MATCH($C122,DESPACHOS!$B$3:$B$3002,0)),""))</f>
        <v/>
      </c>
      <c r="J122" s="43">
        <f>IF($C122="","",IFERROR(INDEX(DESPACHOS!$J$3:$J$3002,MATCH($C122,DESPACHOS!$B$3:$B$3002,0)),""))</f>
        <v/>
      </c>
      <c r="K122" s="39">
        <f>IF($C122="","",IF(COUNTIFS(DESPACHOS!$B$3:$B$3002,$C122)=0,"NO EXISTE",IF(COUNTIFS(DESPACHOS!$B$3:$B$3002,$C122)&gt;1,"DUPLICADO","OK")))</f>
        <v/>
      </c>
      <c r="L122" s="41" t="n"/>
      <c r="M122" s="41" t="n"/>
      <c r="N122" s="42">
        <f>IF($M122="","",IFERROR(INDEX(LISTAS!$F$3:$F$42,MATCH($M122,LISTAS!$E$3:$E$42,0)),"Por definir"))</f>
        <v/>
      </c>
      <c r="O122" s="41" t="n"/>
      <c r="P122" s="39">
        <f>IF($L122="","",IFERROR(INDEX(LISTAS!$B$3:$B$42,MATCH($L122,LISTAS!$A$3:$A$42,0)),"Media"))</f>
        <v/>
      </c>
      <c r="Q122" s="44" t="n"/>
      <c r="R122" s="45" t="n"/>
      <c r="S122" s="20">
        <f>IFERROR(IF(OR($R122="",$C122=""),"",$R122/INDEX(DESPACHOS!$M$3:$M$3002,MATCH($C122,DESPACHOS!$B$3:$B$3002,0))),"")</f>
        <v/>
      </c>
      <c r="T122" s="41" t="n"/>
      <c r="U122" s="43">
        <f>IF(OR($B122="",$L122=""),"",WORKDAY($B122,IFERROR(INDEX(LISTAS!$C$3:$C$42,MATCH($L122,LISTAS!$A$3:$A$42,0)),3)))</f>
        <v/>
      </c>
      <c r="V122" s="40" t="n"/>
      <c r="W122" s="19">
        <f>IF($B122="","",IF($V122&lt;&gt;"",$V122-$B122,TODAY()-$B122))</f>
        <v/>
      </c>
      <c r="X122" s="19">
        <f>IF(OR($B122="",$U122=""),"",IF($V122&lt;&gt;"",MAX(0,$V122-$U122),MAX(0,TODAY()-$U122)))</f>
        <v/>
      </c>
      <c r="Y122" s="39">
        <f>IF($C122="","",IF(IFERROR(INDEX(LISTAS!$I$3:$I$42,MATCH($T122,LISTAS!$H$3:$H$42,0)),"NO")="SÍ",IF(N($X122)&gt;0,"CERRADA FUERA DE SLA","CERRADA EN SLA"),IF($U122="","SIN CLASIFICAR",IF(N($X122)&gt;0,"VENCIDA",IF(TODAY()&gt;=$U122-1,"POR VENCER","EN PLAZO")))))</f>
        <v/>
      </c>
      <c r="Z122" s="41" t="n"/>
      <c r="AA122" s="41" t="n"/>
      <c r="AB122" s="41" t="n"/>
    </row>
    <row r="123">
      <c r="A123" s="39">
        <f>IF($C123="","","NOV-"&amp;TEXT(ROW()-3,"0000"))</f>
        <v/>
      </c>
      <c r="B123" s="40" t="n"/>
      <c r="C123" s="41" t="n"/>
      <c r="D123" s="42">
        <f>IF($C123="","",IFERROR(INDEX(DESPACHOS!$D$3:$D$3002,MATCH($C123,DESPACHOS!$B$3:$B$3002,0)),"SIN DESPACHO"))</f>
        <v/>
      </c>
      <c r="E123" s="42">
        <f>IF($C123="","",IFERROR(INDEX(DESPACHOS!$K$3:$K$3002,MATCH($C123,DESPACHOS!$B$3:$B$3002,0)),""))</f>
        <v/>
      </c>
      <c r="F123" s="42">
        <f>IF($C123="","",IFERROR(INDEX(DESPACHOS!$I$3:$I$3002,MATCH($C123,DESPACHOS!$B$3:$B$3002,0)),""))</f>
        <v/>
      </c>
      <c r="G123" s="42">
        <f>IF($C123="","",IFERROR(INDEX(DESPACHOS!$F$3:$F$3002,MATCH($C123,DESPACHOS!$B$3:$B$3002,0)),""))</f>
        <v/>
      </c>
      <c r="H123" s="42">
        <f>IF($C123="","",IFERROR(INDEX(DESPACHOS!$G$3:$G$3002,MATCH($C123,DESPACHOS!$B$3:$B$3002,0)),""))</f>
        <v/>
      </c>
      <c r="I123" s="39">
        <f>IF($C123="","",IFERROR(INDEX(DESPACHOS!$H$3:$H$3002,MATCH($C123,DESPACHOS!$B$3:$B$3002,0)),""))</f>
        <v/>
      </c>
      <c r="J123" s="43">
        <f>IF($C123="","",IFERROR(INDEX(DESPACHOS!$J$3:$J$3002,MATCH($C123,DESPACHOS!$B$3:$B$3002,0)),""))</f>
        <v/>
      </c>
      <c r="K123" s="39">
        <f>IF($C123="","",IF(COUNTIFS(DESPACHOS!$B$3:$B$3002,$C123)=0,"NO EXISTE",IF(COUNTIFS(DESPACHOS!$B$3:$B$3002,$C123)&gt;1,"DUPLICADO","OK")))</f>
        <v/>
      </c>
      <c r="L123" s="41" t="n"/>
      <c r="M123" s="41" t="n"/>
      <c r="N123" s="42">
        <f>IF($M123="","",IFERROR(INDEX(LISTAS!$F$3:$F$42,MATCH($M123,LISTAS!$E$3:$E$42,0)),"Por definir"))</f>
        <v/>
      </c>
      <c r="O123" s="41" t="n"/>
      <c r="P123" s="39">
        <f>IF($L123="","",IFERROR(INDEX(LISTAS!$B$3:$B$42,MATCH($L123,LISTAS!$A$3:$A$42,0)),"Media"))</f>
        <v/>
      </c>
      <c r="Q123" s="44" t="n"/>
      <c r="R123" s="45" t="n"/>
      <c r="S123" s="20">
        <f>IFERROR(IF(OR($R123="",$C123=""),"",$R123/INDEX(DESPACHOS!$M$3:$M$3002,MATCH($C123,DESPACHOS!$B$3:$B$3002,0))),"")</f>
        <v/>
      </c>
      <c r="T123" s="41" t="n"/>
      <c r="U123" s="43">
        <f>IF(OR($B123="",$L123=""),"",WORKDAY($B123,IFERROR(INDEX(LISTAS!$C$3:$C$42,MATCH($L123,LISTAS!$A$3:$A$42,0)),3)))</f>
        <v/>
      </c>
      <c r="V123" s="40" t="n"/>
      <c r="W123" s="19">
        <f>IF($B123="","",IF($V123&lt;&gt;"",$V123-$B123,TODAY()-$B123))</f>
        <v/>
      </c>
      <c r="X123" s="19">
        <f>IF(OR($B123="",$U123=""),"",IF($V123&lt;&gt;"",MAX(0,$V123-$U123),MAX(0,TODAY()-$U123)))</f>
        <v/>
      </c>
      <c r="Y123" s="39">
        <f>IF($C123="","",IF(IFERROR(INDEX(LISTAS!$I$3:$I$42,MATCH($T123,LISTAS!$H$3:$H$42,0)),"NO")="SÍ",IF(N($X123)&gt;0,"CERRADA FUERA DE SLA","CERRADA EN SLA"),IF($U123="","SIN CLASIFICAR",IF(N($X123)&gt;0,"VENCIDA",IF(TODAY()&gt;=$U123-1,"POR VENCER","EN PLAZO")))))</f>
        <v/>
      </c>
      <c r="Z123" s="41" t="n"/>
      <c r="AA123" s="41" t="n"/>
      <c r="AB123" s="41" t="n"/>
    </row>
    <row r="124">
      <c r="A124" s="39">
        <f>IF($C124="","","NOV-"&amp;TEXT(ROW()-3,"0000"))</f>
        <v/>
      </c>
      <c r="B124" s="40" t="n"/>
      <c r="C124" s="41" t="n"/>
      <c r="D124" s="42">
        <f>IF($C124="","",IFERROR(INDEX(DESPACHOS!$D$3:$D$3002,MATCH($C124,DESPACHOS!$B$3:$B$3002,0)),"SIN DESPACHO"))</f>
        <v/>
      </c>
      <c r="E124" s="42">
        <f>IF($C124="","",IFERROR(INDEX(DESPACHOS!$K$3:$K$3002,MATCH($C124,DESPACHOS!$B$3:$B$3002,0)),""))</f>
        <v/>
      </c>
      <c r="F124" s="42">
        <f>IF($C124="","",IFERROR(INDEX(DESPACHOS!$I$3:$I$3002,MATCH($C124,DESPACHOS!$B$3:$B$3002,0)),""))</f>
        <v/>
      </c>
      <c r="G124" s="42">
        <f>IF($C124="","",IFERROR(INDEX(DESPACHOS!$F$3:$F$3002,MATCH($C124,DESPACHOS!$B$3:$B$3002,0)),""))</f>
        <v/>
      </c>
      <c r="H124" s="42">
        <f>IF($C124="","",IFERROR(INDEX(DESPACHOS!$G$3:$G$3002,MATCH($C124,DESPACHOS!$B$3:$B$3002,0)),""))</f>
        <v/>
      </c>
      <c r="I124" s="39">
        <f>IF($C124="","",IFERROR(INDEX(DESPACHOS!$H$3:$H$3002,MATCH($C124,DESPACHOS!$B$3:$B$3002,0)),""))</f>
        <v/>
      </c>
      <c r="J124" s="43">
        <f>IF($C124="","",IFERROR(INDEX(DESPACHOS!$J$3:$J$3002,MATCH($C124,DESPACHOS!$B$3:$B$3002,0)),""))</f>
        <v/>
      </c>
      <c r="K124" s="39">
        <f>IF($C124="","",IF(COUNTIFS(DESPACHOS!$B$3:$B$3002,$C124)=0,"NO EXISTE",IF(COUNTIFS(DESPACHOS!$B$3:$B$3002,$C124)&gt;1,"DUPLICADO","OK")))</f>
        <v/>
      </c>
      <c r="L124" s="41" t="n"/>
      <c r="M124" s="41" t="n"/>
      <c r="N124" s="42">
        <f>IF($M124="","",IFERROR(INDEX(LISTAS!$F$3:$F$42,MATCH($M124,LISTAS!$E$3:$E$42,0)),"Por definir"))</f>
        <v/>
      </c>
      <c r="O124" s="41" t="n"/>
      <c r="P124" s="39">
        <f>IF($L124="","",IFERROR(INDEX(LISTAS!$B$3:$B$42,MATCH($L124,LISTAS!$A$3:$A$42,0)),"Media"))</f>
        <v/>
      </c>
      <c r="Q124" s="44" t="n"/>
      <c r="R124" s="45" t="n"/>
      <c r="S124" s="20">
        <f>IFERROR(IF(OR($R124="",$C124=""),"",$R124/INDEX(DESPACHOS!$M$3:$M$3002,MATCH($C124,DESPACHOS!$B$3:$B$3002,0))),"")</f>
        <v/>
      </c>
      <c r="T124" s="41" t="n"/>
      <c r="U124" s="43">
        <f>IF(OR($B124="",$L124=""),"",WORKDAY($B124,IFERROR(INDEX(LISTAS!$C$3:$C$42,MATCH($L124,LISTAS!$A$3:$A$42,0)),3)))</f>
        <v/>
      </c>
      <c r="V124" s="40" t="n"/>
      <c r="W124" s="19">
        <f>IF($B124="","",IF($V124&lt;&gt;"",$V124-$B124,TODAY()-$B124))</f>
        <v/>
      </c>
      <c r="X124" s="19">
        <f>IF(OR($B124="",$U124=""),"",IF($V124&lt;&gt;"",MAX(0,$V124-$U124),MAX(0,TODAY()-$U124)))</f>
        <v/>
      </c>
      <c r="Y124" s="39">
        <f>IF($C124="","",IF(IFERROR(INDEX(LISTAS!$I$3:$I$42,MATCH($T124,LISTAS!$H$3:$H$42,0)),"NO")="SÍ",IF(N($X124)&gt;0,"CERRADA FUERA DE SLA","CERRADA EN SLA"),IF($U124="","SIN CLASIFICAR",IF(N($X124)&gt;0,"VENCIDA",IF(TODAY()&gt;=$U124-1,"POR VENCER","EN PLAZO")))))</f>
        <v/>
      </c>
      <c r="Z124" s="41" t="n"/>
      <c r="AA124" s="41" t="n"/>
      <c r="AB124" s="41" t="n"/>
    </row>
    <row r="125">
      <c r="A125" s="39">
        <f>IF($C125="","","NOV-"&amp;TEXT(ROW()-3,"0000"))</f>
        <v/>
      </c>
      <c r="B125" s="40" t="n"/>
      <c r="C125" s="41" t="n"/>
      <c r="D125" s="42">
        <f>IF($C125="","",IFERROR(INDEX(DESPACHOS!$D$3:$D$3002,MATCH($C125,DESPACHOS!$B$3:$B$3002,0)),"SIN DESPACHO"))</f>
        <v/>
      </c>
      <c r="E125" s="42">
        <f>IF($C125="","",IFERROR(INDEX(DESPACHOS!$K$3:$K$3002,MATCH($C125,DESPACHOS!$B$3:$B$3002,0)),""))</f>
        <v/>
      </c>
      <c r="F125" s="42">
        <f>IF($C125="","",IFERROR(INDEX(DESPACHOS!$I$3:$I$3002,MATCH($C125,DESPACHOS!$B$3:$B$3002,0)),""))</f>
        <v/>
      </c>
      <c r="G125" s="42">
        <f>IF($C125="","",IFERROR(INDEX(DESPACHOS!$F$3:$F$3002,MATCH($C125,DESPACHOS!$B$3:$B$3002,0)),""))</f>
        <v/>
      </c>
      <c r="H125" s="42">
        <f>IF($C125="","",IFERROR(INDEX(DESPACHOS!$G$3:$G$3002,MATCH($C125,DESPACHOS!$B$3:$B$3002,0)),""))</f>
        <v/>
      </c>
      <c r="I125" s="39">
        <f>IF($C125="","",IFERROR(INDEX(DESPACHOS!$H$3:$H$3002,MATCH($C125,DESPACHOS!$B$3:$B$3002,0)),""))</f>
        <v/>
      </c>
      <c r="J125" s="43">
        <f>IF($C125="","",IFERROR(INDEX(DESPACHOS!$J$3:$J$3002,MATCH($C125,DESPACHOS!$B$3:$B$3002,0)),""))</f>
        <v/>
      </c>
      <c r="K125" s="39">
        <f>IF($C125="","",IF(COUNTIFS(DESPACHOS!$B$3:$B$3002,$C125)=0,"NO EXISTE",IF(COUNTIFS(DESPACHOS!$B$3:$B$3002,$C125)&gt;1,"DUPLICADO","OK")))</f>
        <v/>
      </c>
      <c r="L125" s="41" t="n"/>
      <c r="M125" s="41" t="n"/>
      <c r="N125" s="42">
        <f>IF($M125="","",IFERROR(INDEX(LISTAS!$F$3:$F$42,MATCH($M125,LISTAS!$E$3:$E$42,0)),"Por definir"))</f>
        <v/>
      </c>
      <c r="O125" s="41" t="n"/>
      <c r="P125" s="39">
        <f>IF($L125="","",IFERROR(INDEX(LISTAS!$B$3:$B$42,MATCH($L125,LISTAS!$A$3:$A$42,0)),"Media"))</f>
        <v/>
      </c>
      <c r="Q125" s="44" t="n"/>
      <c r="R125" s="45" t="n"/>
      <c r="S125" s="20">
        <f>IFERROR(IF(OR($R125="",$C125=""),"",$R125/INDEX(DESPACHOS!$M$3:$M$3002,MATCH($C125,DESPACHOS!$B$3:$B$3002,0))),"")</f>
        <v/>
      </c>
      <c r="T125" s="41" t="n"/>
      <c r="U125" s="43">
        <f>IF(OR($B125="",$L125=""),"",WORKDAY($B125,IFERROR(INDEX(LISTAS!$C$3:$C$42,MATCH($L125,LISTAS!$A$3:$A$42,0)),3)))</f>
        <v/>
      </c>
      <c r="V125" s="40" t="n"/>
      <c r="W125" s="19">
        <f>IF($B125="","",IF($V125&lt;&gt;"",$V125-$B125,TODAY()-$B125))</f>
        <v/>
      </c>
      <c r="X125" s="19">
        <f>IF(OR($B125="",$U125=""),"",IF($V125&lt;&gt;"",MAX(0,$V125-$U125),MAX(0,TODAY()-$U125)))</f>
        <v/>
      </c>
      <c r="Y125" s="39">
        <f>IF($C125="","",IF(IFERROR(INDEX(LISTAS!$I$3:$I$42,MATCH($T125,LISTAS!$H$3:$H$42,0)),"NO")="SÍ",IF(N($X125)&gt;0,"CERRADA FUERA DE SLA","CERRADA EN SLA"),IF($U125="","SIN CLASIFICAR",IF(N($X125)&gt;0,"VENCIDA",IF(TODAY()&gt;=$U125-1,"POR VENCER","EN PLAZO")))))</f>
        <v/>
      </c>
      <c r="Z125" s="41" t="n"/>
      <c r="AA125" s="41" t="n"/>
      <c r="AB125" s="41" t="n"/>
    </row>
    <row r="126">
      <c r="A126" s="39">
        <f>IF($C126="","","NOV-"&amp;TEXT(ROW()-3,"0000"))</f>
        <v/>
      </c>
      <c r="B126" s="40" t="n"/>
      <c r="C126" s="41" t="n"/>
      <c r="D126" s="42">
        <f>IF($C126="","",IFERROR(INDEX(DESPACHOS!$D$3:$D$3002,MATCH($C126,DESPACHOS!$B$3:$B$3002,0)),"SIN DESPACHO"))</f>
        <v/>
      </c>
      <c r="E126" s="42">
        <f>IF($C126="","",IFERROR(INDEX(DESPACHOS!$K$3:$K$3002,MATCH($C126,DESPACHOS!$B$3:$B$3002,0)),""))</f>
        <v/>
      </c>
      <c r="F126" s="42">
        <f>IF($C126="","",IFERROR(INDEX(DESPACHOS!$I$3:$I$3002,MATCH($C126,DESPACHOS!$B$3:$B$3002,0)),""))</f>
        <v/>
      </c>
      <c r="G126" s="42">
        <f>IF($C126="","",IFERROR(INDEX(DESPACHOS!$F$3:$F$3002,MATCH($C126,DESPACHOS!$B$3:$B$3002,0)),""))</f>
        <v/>
      </c>
      <c r="H126" s="42">
        <f>IF($C126="","",IFERROR(INDEX(DESPACHOS!$G$3:$G$3002,MATCH($C126,DESPACHOS!$B$3:$B$3002,0)),""))</f>
        <v/>
      </c>
      <c r="I126" s="39">
        <f>IF($C126="","",IFERROR(INDEX(DESPACHOS!$H$3:$H$3002,MATCH($C126,DESPACHOS!$B$3:$B$3002,0)),""))</f>
        <v/>
      </c>
      <c r="J126" s="43">
        <f>IF($C126="","",IFERROR(INDEX(DESPACHOS!$J$3:$J$3002,MATCH($C126,DESPACHOS!$B$3:$B$3002,0)),""))</f>
        <v/>
      </c>
      <c r="K126" s="39">
        <f>IF($C126="","",IF(COUNTIFS(DESPACHOS!$B$3:$B$3002,$C126)=0,"NO EXISTE",IF(COUNTIFS(DESPACHOS!$B$3:$B$3002,$C126)&gt;1,"DUPLICADO","OK")))</f>
        <v/>
      </c>
      <c r="L126" s="41" t="n"/>
      <c r="M126" s="41" t="n"/>
      <c r="N126" s="42">
        <f>IF($M126="","",IFERROR(INDEX(LISTAS!$F$3:$F$42,MATCH($M126,LISTAS!$E$3:$E$42,0)),"Por definir"))</f>
        <v/>
      </c>
      <c r="O126" s="41" t="n"/>
      <c r="P126" s="39">
        <f>IF($L126="","",IFERROR(INDEX(LISTAS!$B$3:$B$42,MATCH($L126,LISTAS!$A$3:$A$42,0)),"Media"))</f>
        <v/>
      </c>
      <c r="Q126" s="44" t="n"/>
      <c r="R126" s="45" t="n"/>
      <c r="S126" s="20">
        <f>IFERROR(IF(OR($R126="",$C126=""),"",$R126/INDEX(DESPACHOS!$M$3:$M$3002,MATCH($C126,DESPACHOS!$B$3:$B$3002,0))),"")</f>
        <v/>
      </c>
      <c r="T126" s="41" t="n"/>
      <c r="U126" s="43">
        <f>IF(OR($B126="",$L126=""),"",WORKDAY($B126,IFERROR(INDEX(LISTAS!$C$3:$C$42,MATCH($L126,LISTAS!$A$3:$A$42,0)),3)))</f>
        <v/>
      </c>
      <c r="V126" s="40" t="n"/>
      <c r="W126" s="19">
        <f>IF($B126="","",IF($V126&lt;&gt;"",$V126-$B126,TODAY()-$B126))</f>
        <v/>
      </c>
      <c r="X126" s="19">
        <f>IF(OR($B126="",$U126=""),"",IF($V126&lt;&gt;"",MAX(0,$V126-$U126),MAX(0,TODAY()-$U126)))</f>
        <v/>
      </c>
      <c r="Y126" s="39">
        <f>IF($C126="","",IF(IFERROR(INDEX(LISTAS!$I$3:$I$42,MATCH($T126,LISTAS!$H$3:$H$42,0)),"NO")="SÍ",IF(N($X126)&gt;0,"CERRADA FUERA DE SLA","CERRADA EN SLA"),IF($U126="","SIN CLASIFICAR",IF(N($X126)&gt;0,"VENCIDA",IF(TODAY()&gt;=$U126-1,"POR VENCER","EN PLAZO")))))</f>
        <v/>
      </c>
      <c r="Z126" s="41" t="n"/>
      <c r="AA126" s="41" t="n"/>
      <c r="AB126" s="41" t="n"/>
    </row>
    <row r="127">
      <c r="A127" s="39">
        <f>IF($C127="","","NOV-"&amp;TEXT(ROW()-3,"0000"))</f>
        <v/>
      </c>
      <c r="B127" s="40" t="n"/>
      <c r="C127" s="41" t="n"/>
      <c r="D127" s="42">
        <f>IF($C127="","",IFERROR(INDEX(DESPACHOS!$D$3:$D$3002,MATCH($C127,DESPACHOS!$B$3:$B$3002,0)),"SIN DESPACHO"))</f>
        <v/>
      </c>
      <c r="E127" s="42">
        <f>IF($C127="","",IFERROR(INDEX(DESPACHOS!$K$3:$K$3002,MATCH($C127,DESPACHOS!$B$3:$B$3002,0)),""))</f>
        <v/>
      </c>
      <c r="F127" s="42">
        <f>IF($C127="","",IFERROR(INDEX(DESPACHOS!$I$3:$I$3002,MATCH($C127,DESPACHOS!$B$3:$B$3002,0)),""))</f>
        <v/>
      </c>
      <c r="G127" s="42">
        <f>IF($C127="","",IFERROR(INDEX(DESPACHOS!$F$3:$F$3002,MATCH($C127,DESPACHOS!$B$3:$B$3002,0)),""))</f>
        <v/>
      </c>
      <c r="H127" s="42">
        <f>IF($C127="","",IFERROR(INDEX(DESPACHOS!$G$3:$G$3002,MATCH($C127,DESPACHOS!$B$3:$B$3002,0)),""))</f>
        <v/>
      </c>
      <c r="I127" s="39">
        <f>IF($C127="","",IFERROR(INDEX(DESPACHOS!$H$3:$H$3002,MATCH($C127,DESPACHOS!$B$3:$B$3002,0)),""))</f>
        <v/>
      </c>
      <c r="J127" s="43">
        <f>IF($C127="","",IFERROR(INDEX(DESPACHOS!$J$3:$J$3002,MATCH($C127,DESPACHOS!$B$3:$B$3002,0)),""))</f>
        <v/>
      </c>
      <c r="K127" s="39">
        <f>IF($C127="","",IF(COUNTIFS(DESPACHOS!$B$3:$B$3002,$C127)=0,"NO EXISTE",IF(COUNTIFS(DESPACHOS!$B$3:$B$3002,$C127)&gt;1,"DUPLICADO","OK")))</f>
        <v/>
      </c>
      <c r="L127" s="41" t="n"/>
      <c r="M127" s="41" t="n"/>
      <c r="N127" s="42">
        <f>IF($M127="","",IFERROR(INDEX(LISTAS!$F$3:$F$42,MATCH($M127,LISTAS!$E$3:$E$42,0)),"Por definir"))</f>
        <v/>
      </c>
      <c r="O127" s="41" t="n"/>
      <c r="P127" s="39">
        <f>IF($L127="","",IFERROR(INDEX(LISTAS!$B$3:$B$42,MATCH($L127,LISTAS!$A$3:$A$42,0)),"Media"))</f>
        <v/>
      </c>
      <c r="Q127" s="44" t="n"/>
      <c r="R127" s="45" t="n"/>
      <c r="S127" s="20">
        <f>IFERROR(IF(OR($R127="",$C127=""),"",$R127/INDEX(DESPACHOS!$M$3:$M$3002,MATCH($C127,DESPACHOS!$B$3:$B$3002,0))),"")</f>
        <v/>
      </c>
      <c r="T127" s="41" t="n"/>
      <c r="U127" s="43">
        <f>IF(OR($B127="",$L127=""),"",WORKDAY($B127,IFERROR(INDEX(LISTAS!$C$3:$C$42,MATCH($L127,LISTAS!$A$3:$A$42,0)),3)))</f>
        <v/>
      </c>
      <c r="V127" s="40" t="n"/>
      <c r="W127" s="19">
        <f>IF($B127="","",IF($V127&lt;&gt;"",$V127-$B127,TODAY()-$B127))</f>
        <v/>
      </c>
      <c r="X127" s="19">
        <f>IF(OR($B127="",$U127=""),"",IF($V127&lt;&gt;"",MAX(0,$V127-$U127),MAX(0,TODAY()-$U127)))</f>
        <v/>
      </c>
      <c r="Y127" s="39">
        <f>IF($C127="","",IF(IFERROR(INDEX(LISTAS!$I$3:$I$42,MATCH($T127,LISTAS!$H$3:$H$42,0)),"NO")="SÍ",IF(N($X127)&gt;0,"CERRADA FUERA DE SLA","CERRADA EN SLA"),IF($U127="","SIN CLASIFICAR",IF(N($X127)&gt;0,"VENCIDA",IF(TODAY()&gt;=$U127-1,"POR VENCER","EN PLAZO")))))</f>
        <v/>
      </c>
      <c r="Z127" s="41" t="n"/>
      <c r="AA127" s="41" t="n"/>
      <c r="AB127" s="41" t="n"/>
    </row>
    <row r="128">
      <c r="A128" s="39">
        <f>IF($C128="","","NOV-"&amp;TEXT(ROW()-3,"0000"))</f>
        <v/>
      </c>
      <c r="B128" s="40" t="n"/>
      <c r="C128" s="41" t="n"/>
      <c r="D128" s="42">
        <f>IF($C128="","",IFERROR(INDEX(DESPACHOS!$D$3:$D$3002,MATCH($C128,DESPACHOS!$B$3:$B$3002,0)),"SIN DESPACHO"))</f>
        <v/>
      </c>
      <c r="E128" s="42">
        <f>IF($C128="","",IFERROR(INDEX(DESPACHOS!$K$3:$K$3002,MATCH($C128,DESPACHOS!$B$3:$B$3002,0)),""))</f>
        <v/>
      </c>
      <c r="F128" s="42">
        <f>IF($C128="","",IFERROR(INDEX(DESPACHOS!$I$3:$I$3002,MATCH($C128,DESPACHOS!$B$3:$B$3002,0)),""))</f>
        <v/>
      </c>
      <c r="G128" s="42">
        <f>IF($C128="","",IFERROR(INDEX(DESPACHOS!$F$3:$F$3002,MATCH($C128,DESPACHOS!$B$3:$B$3002,0)),""))</f>
        <v/>
      </c>
      <c r="H128" s="42">
        <f>IF($C128="","",IFERROR(INDEX(DESPACHOS!$G$3:$G$3002,MATCH($C128,DESPACHOS!$B$3:$B$3002,0)),""))</f>
        <v/>
      </c>
      <c r="I128" s="39">
        <f>IF($C128="","",IFERROR(INDEX(DESPACHOS!$H$3:$H$3002,MATCH($C128,DESPACHOS!$B$3:$B$3002,0)),""))</f>
        <v/>
      </c>
      <c r="J128" s="43">
        <f>IF($C128="","",IFERROR(INDEX(DESPACHOS!$J$3:$J$3002,MATCH($C128,DESPACHOS!$B$3:$B$3002,0)),""))</f>
        <v/>
      </c>
      <c r="K128" s="39">
        <f>IF($C128="","",IF(COUNTIFS(DESPACHOS!$B$3:$B$3002,$C128)=0,"NO EXISTE",IF(COUNTIFS(DESPACHOS!$B$3:$B$3002,$C128)&gt;1,"DUPLICADO","OK")))</f>
        <v/>
      </c>
      <c r="L128" s="41" t="n"/>
      <c r="M128" s="41" t="n"/>
      <c r="N128" s="42">
        <f>IF($M128="","",IFERROR(INDEX(LISTAS!$F$3:$F$42,MATCH($M128,LISTAS!$E$3:$E$42,0)),"Por definir"))</f>
        <v/>
      </c>
      <c r="O128" s="41" t="n"/>
      <c r="P128" s="39">
        <f>IF($L128="","",IFERROR(INDEX(LISTAS!$B$3:$B$42,MATCH($L128,LISTAS!$A$3:$A$42,0)),"Media"))</f>
        <v/>
      </c>
      <c r="Q128" s="44" t="n"/>
      <c r="R128" s="45" t="n"/>
      <c r="S128" s="20">
        <f>IFERROR(IF(OR($R128="",$C128=""),"",$R128/INDEX(DESPACHOS!$M$3:$M$3002,MATCH($C128,DESPACHOS!$B$3:$B$3002,0))),"")</f>
        <v/>
      </c>
      <c r="T128" s="41" t="n"/>
      <c r="U128" s="43">
        <f>IF(OR($B128="",$L128=""),"",WORKDAY($B128,IFERROR(INDEX(LISTAS!$C$3:$C$42,MATCH($L128,LISTAS!$A$3:$A$42,0)),3)))</f>
        <v/>
      </c>
      <c r="V128" s="40" t="n"/>
      <c r="W128" s="19">
        <f>IF($B128="","",IF($V128&lt;&gt;"",$V128-$B128,TODAY()-$B128))</f>
        <v/>
      </c>
      <c r="X128" s="19">
        <f>IF(OR($B128="",$U128=""),"",IF($V128&lt;&gt;"",MAX(0,$V128-$U128),MAX(0,TODAY()-$U128)))</f>
        <v/>
      </c>
      <c r="Y128" s="39">
        <f>IF($C128="","",IF(IFERROR(INDEX(LISTAS!$I$3:$I$42,MATCH($T128,LISTAS!$H$3:$H$42,0)),"NO")="SÍ",IF(N($X128)&gt;0,"CERRADA FUERA DE SLA","CERRADA EN SLA"),IF($U128="","SIN CLASIFICAR",IF(N($X128)&gt;0,"VENCIDA",IF(TODAY()&gt;=$U128-1,"POR VENCER","EN PLAZO")))))</f>
        <v/>
      </c>
      <c r="Z128" s="41" t="n"/>
      <c r="AA128" s="41" t="n"/>
      <c r="AB128" s="41" t="n"/>
    </row>
    <row r="129">
      <c r="A129" s="39">
        <f>IF($C129="","","NOV-"&amp;TEXT(ROW()-3,"0000"))</f>
        <v/>
      </c>
      <c r="B129" s="40" t="n"/>
      <c r="C129" s="41" t="n"/>
      <c r="D129" s="42">
        <f>IF($C129="","",IFERROR(INDEX(DESPACHOS!$D$3:$D$3002,MATCH($C129,DESPACHOS!$B$3:$B$3002,0)),"SIN DESPACHO"))</f>
        <v/>
      </c>
      <c r="E129" s="42">
        <f>IF($C129="","",IFERROR(INDEX(DESPACHOS!$K$3:$K$3002,MATCH($C129,DESPACHOS!$B$3:$B$3002,0)),""))</f>
        <v/>
      </c>
      <c r="F129" s="42">
        <f>IF($C129="","",IFERROR(INDEX(DESPACHOS!$I$3:$I$3002,MATCH($C129,DESPACHOS!$B$3:$B$3002,0)),""))</f>
        <v/>
      </c>
      <c r="G129" s="42">
        <f>IF($C129="","",IFERROR(INDEX(DESPACHOS!$F$3:$F$3002,MATCH($C129,DESPACHOS!$B$3:$B$3002,0)),""))</f>
        <v/>
      </c>
      <c r="H129" s="42">
        <f>IF($C129="","",IFERROR(INDEX(DESPACHOS!$G$3:$G$3002,MATCH($C129,DESPACHOS!$B$3:$B$3002,0)),""))</f>
        <v/>
      </c>
      <c r="I129" s="39">
        <f>IF($C129="","",IFERROR(INDEX(DESPACHOS!$H$3:$H$3002,MATCH($C129,DESPACHOS!$B$3:$B$3002,0)),""))</f>
        <v/>
      </c>
      <c r="J129" s="43">
        <f>IF($C129="","",IFERROR(INDEX(DESPACHOS!$J$3:$J$3002,MATCH($C129,DESPACHOS!$B$3:$B$3002,0)),""))</f>
        <v/>
      </c>
      <c r="K129" s="39">
        <f>IF($C129="","",IF(COUNTIFS(DESPACHOS!$B$3:$B$3002,$C129)=0,"NO EXISTE",IF(COUNTIFS(DESPACHOS!$B$3:$B$3002,$C129)&gt;1,"DUPLICADO","OK")))</f>
        <v/>
      </c>
      <c r="L129" s="41" t="n"/>
      <c r="M129" s="41" t="n"/>
      <c r="N129" s="42">
        <f>IF($M129="","",IFERROR(INDEX(LISTAS!$F$3:$F$42,MATCH($M129,LISTAS!$E$3:$E$42,0)),"Por definir"))</f>
        <v/>
      </c>
      <c r="O129" s="41" t="n"/>
      <c r="P129" s="39">
        <f>IF($L129="","",IFERROR(INDEX(LISTAS!$B$3:$B$42,MATCH($L129,LISTAS!$A$3:$A$42,0)),"Media"))</f>
        <v/>
      </c>
      <c r="Q129" s="44" t="n"/>
      <c r="R129" s="45" t="n"/>
      <c r="S129" s="20">
        <f>IFERROR(IF(OR($R129="",$C129=""),"",$R129/INDEX(DESPACHOS!$M$3:$M$3002,MATCH($C129,DESPACHOS!$B$3:$B$3002,0))),"")</f>
        <v/>
      </c>
      <c r="T129" s="41" t="n"/>
      <c r="U129" s="43">
        <f>IF(OR($B129="",$L129=""),"",WORKDAY($B129,IFERROR(INDEX(LISTAS!$C$3:$C$42,MATCH($L129,LISTAS!$A$3:$A$42,0)),3)))</f>
        <v/>
      </c>
      <c r="V129" s="40" t="n"/>
      <c r="W129" s="19">
        <f>IF($B129="","",IF($V129&lt;&gt;"",$V129-$B129,TODAY()-$B129))</f>
        <v/>
      </c>
      <c r="X129" s="19">
        <f>IF(OR($B129="",$U129=""),"",IF($V129&lt;&gt;"",MAX(0,$V129-$U129),MAX(0,TODAY()-$U129)))</f>
        <v/>
      </c>
      <c r="Y129" s="39">
        <f>IF($C129="","",IF(IFERROR(INDEX(LISTAS!$I$3:$I$42,MATCH($T129,LISTAS!$H$3:$H$42,0)),"NO")="SÍ",IF(N($X129)&gt;0,"CERRADA FUERA DE SLA","CERRADA EN SLA"),IF($U129="","SIN CLASIFICAR",IF(N($X129)&gt;0,"VENCIDA",IF(TODAY()&gt;=$U129-1,"POR VENCER","EN PLAZO")))))</f>
        <v/>
      </c>
      <c r="Z129" s="41" t="n"/>
      <c r="AA129" s="41" t="n"/>
      <c r="AB129" s="41" t="n"/>
    </row>
    <row r="130">
      <c r="A130" s="39">
        <f>IF($C130="","","NOV-"&amp;TEXT(ROW()-3,"0000"))</f>
        <v/>
      </c>
      <c r="B130" s="40" t="n"/>
      <c r="C130" s="41" t="n"/>
      <c r="D130" s="42">
        <f>IF($C130="","",IFERROR(INDEX(DESPACHOS!$D$3:$D$3002,MATCH($C130,DESPACHOS!$B$3:$B$3002,0)),"SIN DESPACHO"))</f>
        <v/>
      </c>
      <c r="E130" s="42">
        <f>IF($C130="","",IFERROR(INDEX(DESPACHOS!$K$3:$K$3002,MATCH($C130,DESPACHOS!$B$3:$B$3002,0)),""))</f>
        <v/>
      </c>
      <c r="F130" s="42">
        <f>IF($C130="","",IFERROR(INDEX(DESPACHOS!$I$3:$I$3002,MATCH($C130,DESPACHOS!$B$3:$B$3002,0)),""))</f>
        <v/>
      </c>
      <c r="G130" s="42">
        <f>IF($C130="","",IFERROR(INDEX(DESPACHOS!$F$3:$F$3002,MATCH($C130,DESPACHOS!$B$3:$B$3002,0)),""))</f>
        <v/>
      </c>
      <c r="H130" s="42">
        <f>IF($C130="","",IFERROR(INDEX(DESPACHOS!$G$3:$G$3002,MATCH($C130,DESPACHOS!$B$3:$B$3002,0)),""))</f>
        <v/>
      </c>
      <c r="I130" s="39">
        <f>IF($C130="","",IFERROR(INDEX(DESPACHOS!$H$3:$H$3002,MATCH($C130,DESPACHOS!$B$3:$B$3002,0)),""))</f>
        <v/>
      </c>
      <c r="J130" s="43">
        <f>IF($C130="","",IFERROR(INDEX(DESPACHOS!$J$3:$J$3002,MATCH($C130,DESPACHOS!$B$3:$B$3002,0)),""))</f>
        <v/>
      </c>
      <c r="K130" s="39">
        <f>IF($C130="","",IF(COUNTIFS(DESPACHOS!$B$3:$B$3002,$C130)=0,"NO EXISTE",IF(COUNTIFS(DESPACHOS!$B$3:$B$3002,$C130)&gt;1,"DUPLICADO","OK")))</f>
        <v/>
      </c>
      <c r="L130" s="41" t="n"/>
      <c r="M130" s="41" t="n"/>
      <c r="N130" s="42">
        <f>IF($M130="","",IFERROR(INDEX(LISTAS!$F$3:$F$42,MATCH($M130,LISTAS!$E$3:$E$42,0)),"Por definir"))</f>
        <v/>
      </c>
      <c r="O130" s="41" t="n"/>
      <c r="P130" s="39">
        <f>IF($L130="","",IFERROR(INDEX(LISTAS!$B$3:$B$42,MATCH($L130,LISTAS!$A$3:$A$42,0)),"Media"))</f>
        <v/>
      </c>
      <c r="Q130" s="44" t="n"/>
      <c r="R130" s="45" t="n"/>
      <c r="S130" s="20">
        <f>IFERROR(IF(OR($R130="",$C130=""),"",$R130/INDEX(DESPACHOS!$M$3:$M$3002,MATCH($C130,DESPACHOS!$B$3:$B$3002,0))),"")</f>
        <v/>
      </c>
      <c r="T130" s="41" t="n"/>
      <c r="U130" s="43">
        <f>IF(OR($B130="",$L130=""),"",WORKDAY($B130,IFERROR(INDEX(LISTAS!$C$3:$C$42,MATCH($L130,LISTAS!$A$3:$A$42,0)),3)))</f>
        <v/>
      </c>
      <c r="V130" s="40" t="n"/>
      <c r="W130" s="19">
        <f>IF($B130="","",IF($V130&lt;&gt;"",$V130-$B130,TODAY()-$B130))</f>
        <v/>
      </c>
      <c r="X130" s="19">
        <f>IF(OR($B130="",$U130=""),"",IF($V130&lt;&gt;"",MAX(0,$V130-$U130),MAX(0,TODAY()-$U130)))</f>
        <v/>
      </c>
      <c r="Y130" s="39">
        <f>IF($C130="","",IF(IFERROR(INDEX(LISTAS!$I$3:$I$42,MATCH($T130,LISTAS!$H$3:$H$42,0)),"NO")="SÍ",IF(N($X130)&gt;0,"CERRADA FUERA DE SLA","CERRADA EN SLA"),IF($U130="","SIN CLASIFICAR",IF(N($X130)&gt;0,"VENCIDA",IF(TODAY()&gt;=$U130-1,"POR VENCER","EN PLAZO")))))</f>
        <v/>
      </c>
      <c r="Z130" s="41" t="n"/>
      <c r="AA130" s="41" t="n"/>
      <c r="AB130" s="41" t="n"/>
    </row>
    <row r="131">
      <c r="A131" s="39">
        <f>IF($C131="","","NOV-"&amp;TEXT(ROW()-3,"0000"))</f>
        <v/>
      </c>
      <c r="B131" s="40" t="n"/>
      <c r="C131" s="41" t="n"/>
      <c r="D131" s="42">
        <f>IF($C131="","",IFERROR(INDEX(DESPACHOS!$D$3:$D$3002,MATCH($C131,DESPACHOS!$B$3:$B$3002,0)),"SIN DESPACHO"))</f>
        <v/>
      </c>
      <c r="E131" s="42">
        <f>IF($C131="","",IFERROR(INDEX(DESPACHOS!$K$3:$K$3002,MATCH($C131,DESPACHOS!$B$3:$B$3002,0)),""))</f>
        <v/>
      </c>
      <c r="F131" s="42">
        <f>IF($C131="","",IFERROR(INDEX(DESPACHOS!$I$3:$I$3002,MATCH($C131,DESPACHOS!$B$3:$B$3002,0)),""))</f>
        <v/>
      </c>
      <c r="G131" s="42">
        <f>IF($C131="","",IFERROR(INDEX(DESPACHOS!$F$3:$F$3002,MATCH($C131,DESPACHOS!$B$3:$B$3002,0)),""))</f>
        <v/>
      </c>
      <c r="H131" s="42">
        <f>IF($C131="","",IFERROR(INDEX(DESPACHOS!$G$3:$G$3002,MATCH($C131,DESPACHOS!$B$3:$B$3002,0)),""))</f>
        <v/>
      </c>
      <c r="I131" s="39">
        <f>IF($C131="","",IFERROR(INDEX(DESPACHOS!$H$3:$H$3002,MATCH($C131,DESPACHOS!$B$3:$B$3002,0)),""))</f>
        <v/>
      </c>
      <c r="J131" s="43">
        <f>IF($C131="","",IFERROR(INDEX(DESPACHOS!$J$3:$J$3002,MATCH($C131,DESPACHOS!$B$3:$B$3002,0)),""))</f>
        <v/>
      </c>
      <c r="K131" s="39">
        <f>IF($C131="","",IF(COUNTIFS(DESPACHOS!$B$3:$B$3002,$C131)=0,"NO EXISTE",IF(COUNTIFS(DESPACHOS!$B$3:$B$3002,$C131)&gt;1,"DUPLICADO","OK")))</f>
        <v/>
      </c>
      <c r="L131" s="41" t="n"/>
      <c r="M131" s="41" t="n"/>
      <c r="N131" s="42">
        <f>IF($M131="","",IFERROR(INDEX(LISTAS!$F$3:$F$42,MATCH($M131,LISTAS!$E$3:$E$42,0)),"Por definir"))</f>
        <v/>
      </c>
      <c r="O131" s="41" t="n"/>
      <c r="P131" s="39">
        <f>IF($L131="","",IFERROR(INDEX(LISTAS!$B$3:$B$42,MATCH($L131,LISTAS!$A$3:$A$42,0)),"Media"))</f>
        <v/>
      </c>
      <c r="Q131" s="44" t="n"/>
      <c r="R131" s="45" t="n"/>
      <c r="S131" s="20">
        <f>IFERROR(IF(OR($R131="",$C131=""),"",$R131/INDEX(DESPACHOS!$M$3:$M$3002,MATCH($C131,DESPACHOS!$B$3:$B$3002,0))),"")</f>
        <v/>
      </c>
      <c r="T131" s="41" t="n"/>
      <c r="U131" s="43">
        <f>IF(OR($B131="",$L131=""),"",WORKDAY($B131,IFERROR(INDEX(LISTAS!$C$3:$C$42,MATCH($L131,LISTAS!$A$3:$A$42,0)),3)))</f>
        <v/>
      </c>
      <c r="V131" s="40" t="n"/>
      <c r="W131" s="19">
        <f>IF($B131="","",IF($V131&lt;&gt;"",$V131-$B131,TODAY()-$B131))</f>
        <v/>
      </c>
      <c r="X131" s="19">
        <f>IF(OR($B131="",$U131=""),"",IF($V131&lt;&gt;"",MAX(0,$V131-$U131),MAX(0,TODAY()-$U131)))</f>
        <v/>
      </c>
      <c r="Y131" s="39">
        <f>IF($C131="","",IF(IFERROR(INDEX(LISTAS!$I$3:$I$42,MATCH($T131,LISTAS!$H$3:$H$42,0)),"NO")="SÍ",IF(N($X131)&gt;0,"CERRADA FUERA DE SLA","CERRADA EN SLA"),IF($U131="","SIN CLASIFICAR",IF(N($X131)&gt;0,"VENCIDA",IF(TODAY()&gt;=$U131-1,"POR VENCER","EN PLAZO")))))</f>
        <v/>
      </c>
      <c r="Z131" s="41" t="n"/>
      <c r="AA131" s="41" t="n"/>
      <c r="AB131" s="41" t="n"/>
    </row>
    <row r="132">
      <c r="A132" s="39">
        <f>IF($C132="","","NOV-"&amp;TEXT(ROW()-3,"0000"))</f>
        <v/>
      </c>
      <c r="B132" s="40" t="n"/>
      <c r="C132" s="41" t="n"/>
      <c r="D132" s="42">
        <f>IF($C132="","",IFERROR(INDEX(DESPACHOS!$D$3:$D$3002,MATCH($C132,DESPACHOS!$B$3:$B$3002,0)),"SIN DESPACHO"))</f>
        <v/>
      </c>
      <c r="E132" s="42">
        <f>IF($C132="","",IFERROR(INDEX(DESPACHOS!$K$3:$K$3002,MATCH($C132,DESPACHOS!$B$3:$B$3002,0)),""))</f>
        <v/>
      </c>
      <c r="F132" s="42">
        <f>IF($C132="","",IFERROR(INDEX(DESPACHOS!$I$3:$I$3002,MATCH($C132,DESPACHOS!$B$3:$B$3002,0)),""))</f>
        <v/>
      </c>
      <c r="G132" s="42">
        <f>IF($C132="","",IFERROR(INDEX(DESPACHOS!$F$3:$F$3002,MATCH($C132,DESPACHOS!$B$3:$B$3002,0)),""))</f>
        <v/>
      </c>
      <c r="H132" s="42">
        <f>IF($C132="","",IFERROR(INDEX(DESPACHOS!$G$3:$G$3002,MATCH($C132,DESPACHOS!$B$3:$B$3002,0)),""))</f>
        <v/>
      </c>
      <c r="I132" s="39">
        <f>IF($C132="","",IFERROR(INDEX(DESPACHOS!$H$3:$H$3002,MATCH($C132,DESPACHOS!$B$3:$B$3002,0)),""))</f>
        <v/>
      </c>
      <c r="J132" s="43">
        <f>IF($C132="","",IFERROR(INDEX(DESPACHOS!$J$3:$J$3002,MATCH($C132,DESPACHOS!$B$3:$B$3002,0)),""))</f>
        <v/>
      </c>
      <c r="K132" s="39">
        <f>IF($C132="","",IF(COUNTIFS(DESPACHOS!$B$3:$B$3002,$C132)=0,"NO EXISTE",IF(COUNTIFS(DESPACHOS!$B$3:$B$3002,$C132)&gt;1,"DUPLICADO","OK")))</f>
        <v/>
      </c>
      <c r="L132" s="41" t="n"/>
      <c r="M132" s="41" t="n"/>
      <c r="N132" s="42">
        <f>IF($M132="","",IFERROR(INDEX(LISTAS!$F$3:$F$42,MATCH($M132,LISTAS!$E$3:$E$42,0)),"Por definir"))</f>
        <v/>
      </c>
      <c r="O132" s="41" t="n"/>
      <c r="P132" s="39">
        <f>IF($L132="","",IFERROR(INDEX(LISTAS!$B$3:$B$42,MATCH($L132,LISTAS!$A$3:$A$42,0)),"Media"))</f>
        <v/>
      </c>
      <c r="Q132" s="44" t="n"/>
      <c r="R132" s="45" t="n"/>
      <c r="S132" s="20">
        <f>IFERROR(IF(OR($R132="",$C132=""),"",$R132/INDEX(DESPACHOS!$M$3:$M$3002,MATCH($C132,DESPACHOS!$B$3:$B$3002,0))),"")</f>
        <v/>
      </c>
      <c r="T132" s="41" t="n"/>
      <c r="U132" s="43">
        <f>IF(OR($B132="",$L132=""),"",WORKDAY($B132,IFERROR(INDEX(LISTAS!$C$3:$C$42,MATCH($L132,LISTAS!$A$3:$A$42,0)),3)))</f>
        <v/>
      </c>
      <c r="V132" s="40" t="n"/>
      <c r="W132" s="19">
        <f>IF($B132="","",IF($V132&lt;&gt;"",$V132-$B132,TODAY()-$B132))</f>
        <v/>
      </c>
      <c r="X132" s="19">
        <f>IF(OR($B132="",$U132=""),"",IF($V132&lt;&gt;"",MAX(0,$V132-$U132),MAX(0,TODAY()-$U132)))</f>
        <v/>
      </c>
      <c r="Y132" s="39">
        <f>IF($C132="","",IF(IFERROR(INDEX(LISTAS!$I$3:$I$42,MATCH($T132,LISTAS!$H$3:$H$42,0)),"NO")="SÍ",IF(N($X132)&gt;0,"CERRADA FUERA DE SLA","CERRADA EN SLA"),IF($U132="","SIN CLASIFICAR",IF(N($X132)&gt;0,"VENCIDA",IF(TODAY()&gt;=$U132-1,"POR VENCER","EN PLAZO")))))</f>
        <v/>
      </c>
      <c r="Z132" s="41" t="n"/>
      <c r="AA132" s="41" t="n"/>
      <c r="AB132" s="41" t="n"/>
    </row>
    <row r="133">
      <c r="A133" s="39">
        <f>IF($C133="","","NOV-"&amp;TEXT(ROW()-3,"0000"))</f>
        <v/>
      </c>
      <c r="B133" s="40" t="n"/>
      <c r="C133" s="41" t="n"/>
      <c r="D133" s="42">
        <f>IF($C133="","",IFERROR(INDEX(DESPACHOS!$D$3:$D$3002,MATCH($C133,DESPACHOS!$B$3:$B$3002,0)),"SIN DESPACHO"))</f>
        <v/>
      </c>
      <c r="E133" s="42">
        <f>IF($C133="","",IFERROR(INDEX(DESPACHOS!$K$3:$K$3002,MATCH($C133,DESPACHOS!$B$3:$B$3002,0)),""))</f>
        <v/>
      </c>
      <c r="F133" s="42">
        <f>IF($C133="","",IFERROR(INDEX(DESPACHOS!$I$3:$I$3002,MATCH($C133,DESPACHOS!$B$3:$B$3002,0)),""))</f>
        <v/>
      </c>
      <c r="G133" s="42">
        <f>IF($C133="","",IFERROR(INDEX(DESPACHOS!$F$3:$F$3002,MATCH($C133,DESPACHOS!$B$3:$B$3002,0)),""))</f>
        <v/>
      </c>
      <c r="H133" s="42">
        <f>IF($C133="","",IFERROR(INDEX(DESPACHOS!$G$3:$G$3002,MATCH($C133,DESPACHOS!$B$3:$B$3002,0)),""))</f>
        <v/>
      </c>
      <c r="I133" s="39">
        <f>IF($C133="","",IFERROR(INDEX(DESPACHOS!$H$3:$H$3002,MATCH($C133,DESPACHOS!$B$3:$B$3002,0)),""))</f>
        <v/>
      </c>
      <c r="J133" s="43">
        <f>IF($C133="","",IFERROR(INDEX(DESPACHOS!$J$3:$J$3002,MATCH($C133,DESPACHOS!$B$3:$B$3002,0)),""))</f>
        <v/>
      </c>
      <c r="K133" s="39">
        <f>IF($C133="","",IF(COUNTIFS(DESPACHOS!$B$3:$B$3002,$C133)=0,"NO EXISTE",IF(COUNTIFS(DESPACHOS!$B$3:$B$3002,$C133)&gt;1,"DUPLICADO","OK")))</f>
        <v/>
      </c>
      <c r="L133" s="41" t="n"/>
      <c r="M133" s="41" t="n"/>
      <c r="N133" s="42">
        <f>IF($M133="","",IFERROR(INDEX(LISTAS!$F$3:$F$42,MATCH($M133,LISTAS!$E$3:$E$42,0)),"Por definir"))</f>
        <v/>
      </c>
      <c r="O133" s="41" t="n"/>
      <c r="P133" s="39">
        <f>IF($L133="","",IFERROR(INDEX(LISTAS!$B$3:$B$42,MATCH($L133,LISTAS!$A$3:$A$42,0)),"Media"))</f>
        <v/>
      </c>
      <c r="Q133" s="44" t="n"/>
      <c r="R133" s="45" t="n"/>
      <c r="S133" s="20">
        <f>IFERROR(IF(OR($R133="",$C133=""),"",$R133/INDEX(DESPACHOS!$M$3:$M$3002,MATCH($C133,DESPACHOS!$B$3:$B$3002,0))),"")</f>
        <v/>
      </c>
      <c r="T133" s="41" t="n"/>
      <c r="U133" s="43">
        <f>IF(OR($B133="",$L133=""),"",WORKDAY($B133,IFERROR(INDEX(LISTAS!$C$3:$C$42,MATCH($L133,LISTAS!$A$3:$A$42,0)),3)))</f>
        <v/>
      </c>
      <c r="V133" s="40" t="n"/>
      <c r="W133" s="19">
        <f>IF($B133="","",IF($V133&lt;&gt;"",$V133-$B133,TODAY()-$B133))</f>
        <v/>
      </c>
      <c r="X133" s="19">
        <f>IF(OR($B133="",$U133=""),"",IF($V133&lt;&gt;"",MAX(0,$V133-$U133),MAX(0,TODAY()-$U133)))</f>
        <v/>
      </c>
      <c r="Y133" s="39">
        <f>IF($C133="","",IF(IFERROR(INDEX(LISTAS!$I$3:$I$42,MATCH($T133,LISTAS!$H$3:$H$42,0)),"NO")="SÍ",IF(N($X133)&gt;0,"CERRADA FUERA DE SLA","CERRADA EN SLA"),IF($U133="","SIN CLASIFICAR",IF(N($X133)&gt;0,"VENCIDA",IF(TODAY()&gt;=$U133-1,"POR VENCER","EN PLAZO")))))</f>
        <v/>
      </c>
      <c r="Z133" s="41" t="n"/>
      <c r="AA133" s="41" t="n"/>
      <c r="AB133" s="41" t="n"/>
    </row>
    <row r="134">
      <c r="A134" s="39">
        <f>IF($C134="","","NOV-"&amp;TEXT(ROW()-3,"0000"))</f>
        <v/>
      </c>
      <c r="B134" s="40" t="n"/>
      <c r="C134" s="41" t="n"/>
      <c r="D134" s="42">
        <f>IF($C134="","",IFERROR(INDEX(DESPACHOS!$D$3:$D$3002,MATCH($C134,DESPACHOS!$B$3:$B$3002,0)),"SIN DESPACHO"))</f>
        <v/>
      </c>
      <c r="E134" s="42">
        <f>IF($C134="","",IFERROR(INDEX(DESPACHOS!$K$3:$K$3002,MATCH($C134,DESPACHOS!$B$3:$B$3002,0)),""))</f>
        <v/>
      </c>
      <c r="F134" s="42">
        <f>IF($C134="","",IFERROR(INDEX(DESPACHOS!$I$3:$I$3002,MATCH($C134,DESPACHOS!$B$3:$B$3002,0)),""))</f>
        <v/>
      </c>
      <c r="G134" s="42">
        <f>IF($C134="","",IFERROR(INDEX(DESPACHOS!$F$3:$F$3002,MATCH($C134,DESPACHOS!$B$3:$B$3002,0)),""))</f>
        <v/>
      </c>
      <c r="H134" s="42">
        <f>IF($C134="","",IFERROR(INDEX(DESPACHOS!$G$3:$G$3002,MATCH($C134,DESPACHOS!$B$3:$B$3002,0)),""))</f>
        <v/>
      </c>
      <c r="I134" s="39">
        <f>IF($C134="","",IFERROR(INDEX(DESPACHOS!$H$3:$H$3002,MATCH($C134,DESPACHOS!$B$3:$B$3002,0)),""))</f>
        <v/>
      </c>
      <c r="J134" s="43">
        <f>IF($C134="","",IFERROR(INDEX(DESPACHOS!$J$3:$J$3002,MATCH($C134,DESPACHOS!$B$3:$B$3002,0)),""))</f>
        <v/>
      </c>
      <c r="K134" s="39">
        <f>IF($C134="","",IF(COUNTIFS(DESPACHOS!$B$3:$B$3002,$C134)=0,"NO EXISTE",IF(COUNTIFS(DESPACHOS!$B$3:$B$3002,$C134)&gt;1,"DUPLICADO","OK")))</f>
        <v/>
      </c>
      <c r="L134" s="41" t="n"/>
      <c r="M134" s="41" t="n"/>
      <c r="N134" s="42">
        <f>IF($M134="","",IFERROR(INDEX(LISTAS!$F$3:$F$42,MATCH($M134,LISTAS!$E$3:$E$42,0)),"Por definir"))</f>
        <v/>
      </c>
      <c r="O134" s="41" t="n"/>
      <c r="P134" s="39">
        <f>IF($L134="","",IFERROR(INDEX(LISTAS!$B$3:$B$42,MATCH($L134,LISTAS!$A$3:$A$42,0)),"Media"))</f>
        <v/>
      </c>
      <c r="Q134" s="44" t="n"/>
      <c r="R134" s="45" t="n"/>
      <c r="S134" s="20">
        <f>IFERROR(IF(OR($R134="",$C134=""),"",$R134/INDEX(DESPACHOS!$M$3:$M$3002,MATCH($C134,DESPACHOS!$B$3:$B$3002,0))),"")</f>
        <v/>
      </c>
      <c r="T134" s="41" t="n"/>
      <c r="U134" s="43">
        <f>IF(OR($B134="",$L134=""),"",WORKDAY($B134,IFERROR(INDEX(LISTAS!$C$3:$C$42,MATCH($L134,LISTAS!$A$3:$A$42,0)),3)))</f>
        <v/>
      </c>
      <c r="V134" s="40" t="n"/>
      <c r="W134" s="19">
        <f>IF($B134="","",IF($V134&lt;&gt;"",$V134-$B134,TODAY()-$B134))</f>
        <v/>
      </c>
      <c r="X134" s="19">
        <f>IF(OR($B134="",$U134=""),"",IF($V134&lt;&gt;"",MAX(0,$V134-$U134),MAX(0,TODAY()-$U134)))</f>
        <v/>
      </c>
      <c r="Y134" s="39">
        <f>IF($C134="","",IF(IFERROR(INDEX(LISTAS!$I$3:$I$42,MATCH($T134,LISTAS!$H$3:$H$42,0)),"NO")="SÍ",IF(N($X134)&gt;0,"CERRADA FUERA DE SLA","CERRADA EN SLA"),IF($U134="","SIN CLASIFICAR",IF(N($X134)&gt;0,"VENCIDA",IF(TODAY()&gt;=$U134-1,"POR VENCER","EN PLAZO")))))</f>
        <v/>
      </c>
      <c r="Z134" s="41" t="n"/>
      <c r="AA134" s="41" t="n"/>
      <c r="AB134" s="41" t="n"/>
    </row>
    <row r="135">
      <c r="A135" s="39">
        <f>IF($C135="","","NOV-"&amp;TEXT(ROW()-3,"0000"))</f>
        <v/>
      </c>
      <c r="B135" s="40" t="n"/>
      <c r="C135" s="41" t="n"/>
      <c r="D135" s="42">
        <f>IF($C135="","",IFERROR(INDEX(DESPACHOS!$D$3:$D$3002,MATCH($C135,DESPACHOS!$B$3:$B$3002,0)),"SIN DESPACHO"))</f>
        <v/>
      </c>
      <c r="E135" s="42">
        <f>IF($C135="","",IFERROR(INDEX(DESPACHOS!$K$3:$K$3002,MATCH($C135,DESPACHOS!$B$3:$B$3002,0)),""))</f>
        <v/>
      </c>
      <c r="F135" s="42">
        <f>IF($C135="","",IFERROR(INDEX(DESPACHOS!$I$3:$I$3002,MATCH($C135,DESPACHOS!$B$3:$B$3002,0)),""))</f>
        <v/>
      </c>
      <c r="G135" s="42">
        <f>IF($C135="","",IFERROR(INDEX(DESPACHOS!$F$3:$F$3002,MATCH($C135,DESPACHOS!$B$3:$B$3002,0)),""))</f>
        <v/>
      </c>
      <c r="H135" s="42">
        <f>IF($C135="","",IFERROR(INDEX(DESPACHOS!$G$3:$G$3002,MATCH($C135,DESPACHOS!$B$3:$B$3002,0)),""))</f>
        <v/>
      </c>
      <c r="I135" s="39">
        <f>IF($C135="","",IFERROR(INDEX(DESPACHOS!$H$3:$H$3002,MATCH($C135,DESPACHOS!$B$3:$B$3002,0)),""))</f>
        <v/>
      </c>
      <c r="J135" s="43">
        <f>IF($C135="","",IFERROR(INDEX(DESPACHOS!$J$3:$J$3002,MATCH($C135,DESPACHOS!$B$3:$B$3002,0)),""))</f>
        <v/>
      </c>
      <c r="K135" s="39">
        <f>IF($C135="","",IF(COUNTIFS(DESPACHOS!$B$3:$B$3002,$C135)=0,"NO EXISTE",IF(COUNTIFS(DESPACHOS!$B$3:$B$3002,$C135)&gt;1,"DUPLICADO","OK")))</f>
        <v/>
      </c>
      <c r="L135" s="41" t="n"/>
      <c r="M135" s="41" t="n"/>
      <c r="N135" s="42">
        <f>IF($M135="","",IFERROR(INDEX(LISTAS!$F$3:$F$42,MATCH($M135,LISTAS!$E$3:$E$42,0)),"Por definir"))</f>
        <v/>
      </c>
      <c r="O135" s="41" t="n"/>
      <c r="P135" s="39">
        <f>IF($L135="","",IFERROR(INDEX(LISTAS!$B$3:$B$42,MATCH($L135,LISTAS!$A$3:$A$42,0)),"Media"))</f>
        <v/>
      </c>
      <c r="Q135" s="44" t="n"/>
      <c r="R135" s="45" t="n"/>
      <c r="S135" s="20">
        <f>IFERROR(IF(OR($R135="",$C135=""),"",$R135/INDEX(DESPACHOS!$M$3:$M$3002,MATCH($C135,DESPACHOS!$B$3:$B$3002,0))),"")</f>
        <v/>
      </c>
      <c r="T135" s="41" t="n"/>
      <c r="U135" s="43">
        <f>IF(OR($B135="",$L135=""),"",WORKDAY($B135,IFERROR(INDEX(LISTAS!$C$3:$C$42,MATCH($L135,LISTAS!$A$3:$A$42,0)),3)))</f>
        <v/>
      </c>
      <c r="V135" s="40" t="n"/>
      <c r="W135" s="19">
        <f>IF($B135="","",IF($V135&lt;&gt;"",$V135-$B135,TODAY()-$B135))</f>
        <v/>
      </c>
      <c r="X135" s="19">
        <f>IF(OR($B135="",$U135=""),"",IF($V135&lt;&gt;"",MAX(0,$V135-$U135),MAX(0,TODAY()-$U135)))</f>
        <v/>
      </c>
      <c r="Y135" s="39">
        <f>IF($C135="","",IF(IFERROR(INDEX(LISTAS!$I$3:$I$42,MATCH($T135,LISTAS!$H$3:$H$42,0)),"NO")="SÍ",IF(N($X135)&gt;0,"CERRADA FUERA DE SLA","CERRADA EN SLA"),IF($U135="","SIN CLASIFICAR",IF(N($X135)&gt;0,"VENCIDA",IF(TODAY()&gt;=$U135-1,"POR VENCER","EN PLAZO")))))</f>
        <v/>
      </c>
      <c r="Z135" s="41" t="n"/>
      <c r="AA135" s="41" t="n"/>
      <c r="AB135" s="41" t="n"/>
    </row>
    <row r="136">
      <c r="A136" s="39">
        <f>IF($C136="","","NOV-"&amp;TEXT(ROW()-3,"0000"))</f>
        <v/>
      </c>
      <c r="B136" s="40" t="n"/>
      <c r="C136" s="41" t="n"/>
      <c r="D136" s="42">
        <f>IF($C136="","",IFERROR(INDEX(DESPACHOS!$D$3:$D$3002,MATCH($C136,DESPACHOS!$B$3:$B$3002,0)),"SIN DESPACHO"))</f>
        <v/>
      </c>
      <c r="E136" s="42">
        <f>IF($C136="","",IFERROR(INDEX(DESPACHOS!$K$3:$K$3002,MATCH($C136,DESPACHOS!$B$3:$B$3002,0)),""))</f>
        <v/>
      </c>
      <c r="F136" s="42">
        <f>IF($C136="","",IFERROR(INDEX(DESPACHOS!$I$3:$I$3002,MATCH($C136,DESPACHOS!$B$3:$B$3002,0)),""))</f>
        <v/>
      </c>
      <c r="G136" s="42">
        <f>IF($C136="","",IFERROR(INDEX(DESPACHOS!$F$3:$F$3002,MATCH($C136,DESPACHOS!$B$3:$B$3002,0)),""))</f>
        <v/>
      </c>
      <c r="H136" s="42">
        <f>IF($C136="","",IFERROR(INDEX(DESPACHOS!$G$3:$G$3002,MATCH($C136,DESPACHOS!$B$3:$B$3002,0)),""))</f>
        <v/>
      </c>
      <c r="I136" s="39">
        <f>IF($C136="","",IFERROR(INDEX(DESPACHOS!$H$3:$H$3002,MATCH($C136,DESPACHOS!$B$3:$B$3002,0)),""))</f>
        <v/>
      </c>
      <c r="J136" s="43">
        <f>IF($C136="","",IFERROR(INDEX(DESPACHOS!$J$3:$J$3002,MATCH($C136,DESPACHOS!$B$3:$B$3002,0)),""))</f>
        <v/>
      </c>
      <c r="K136" s="39">
        <f>IF($C136="","",IF(COUNTIFS(DESPACHOS!$B$3:$B$3002,$C136)=0,"NO EXISTE",IF(COUNTIFS(DESPACHOS!$B$3:$B$3002,$C136)&gt;1,"DUPLICADO","OK")))</f>
        <v/>
      </c>
      <c r="L136" s="41" t="n"/>
      <c r="M136" s="41" t="n"/>
      <c r="N136" s="42">
        <f>IF($M136="","",IFERROR(INDEX(LISTAS!$F$3:$F$42,MATCH($M136,LISTAS!$E$3:$E$42,0)),"Por definir"))</f>
        <v/>
      </c>
      <c r="O136" s="41" t="n"/>
      <c r="P136" s="39">
        <f>IF($L136="","",IFERROR(INDEX(LISTAS!$B$3:$B$42,MATCH($L136,LISTAS!$A$3:$A$42,0)),"Media"))</f>
        <v/>
      </c>
      <c r="Q136" s="44" t="n"/>
      <c r="R136" s="45" t="n"/>
      <c r="S136" s="20">
        <f>IFERROR(IF(OR($R136="",$C136=""),"",$R136/INDEX(DESPACHOS!$M$3:$M$3002,MATCH($C136,DESPACHOS!$B$3:$B$3002,0))),"")</f>
        <v/>
      </c>
      <c r="T136" s="41" t="n"/>
      <c r="U136" s="43">
        <f>IF(OR($B136="",$L136=""),"",WORKDAY($B136,IFERROR(INDEX(LISTAS!$C$3:$C$42,MATCH($L136,LISTAS!$A$3:$A$42,0)),3)))</f>
        <v/>
      </c>
      <c r="V136" s="40" t="n"/>
      <c r="W136" s="19">
        <f>IF($B136="","",IF($V136&lt;&gt;"",$V136-$B136,TODAY()-$B136))</f>
        <v/>
      </c>
      <c r="X136" s="19">
        <f>IF(OR($B136="",$U136=""),"",IF($V136&lt;&gt;"",MAX(0,$V136-$U136),MAX(0,TODAY()-$U136)))</f>
        <v/>
      </c>
      <c r="Y136" s="39">
        <f>IF($C136="","",IF(IFERROR(INDEX(LISTAS!$I$3:$I$42,MATCH($T136,LISTAS!$H$3:$H$42,0)),"NO")="SÍ",IF(N($X136)&gt;0,"CERRADA FUERA DE SLA","CERRADA EN SLA"),IF($U136="","SIN CLASIFICAR",IF(N($X136)&gt;0,"VENCIDA",IF(TODAY()&gt;=$U136-1,"POR VENCER","EN PLAZO")))))</f>
        <v/>
      </c>
      <c r="Z136" s="41" t="n"/>
      <c r="AA136" s="41" t="n"/>
      <c r="AB136" s="41" t="n"/>
    </row>
    <row r="137">
      <c r="A137" s="39">
        <f>IF($C137="","","NOV-"&amp;TEXT(ROW()-3,"0000"))</f>
        <v/>
      </c>
      <c r="B137" s="40" t="n"/>
      <c r="C137" s="41" t="n"/>
      <c r="D137" s="42">
        <f>IF($C137="","",IFERROR(INDEX(DESPACHOS!$D$3:$D$3002,MATCH($C137,DESPACHOS!$B$3:$B$3002,0)),"SIN DESPACHO"))</f>
        <v/>
      </c>
      <c r="E137" s="42">
        <f>IF($C137="","",IFERROR(INDEX(DESPACHOS!$K$3:$K$3002,MATCH($C137,DESPACHOS!$B$3:$B$3002,0)),""))</f>
        <v/>
      </c>
      <c r="F137" s="42">
        <f>IF($C137="","",IFERROR(INDEX(DESPACHOS!$I$3:$I$3002,MATCH($C137,DESPACHOS!$B$3:$B$3002,0)),""))</f>
        <v/>
      </c>
      <c r="G137" s="42">
        <f>IF($C137="","",IFERROR(INDEX(DESPACHOS!$F$3:$F$3002,MATCH($C137,DESPACHOS!$B$3:$B$3002,0)),""))</f>
        <v/>
      </c>
      <c r="H137" s="42">
        <f>IF($C137="","",IFERROR(INDEX(DESPACHOS!$G$3:$G$3002,MATCH($C137,DESPACHOS!$B$3:$B$3002,0)),""))</f>
        <v/>
      </c>
      <c r="I137" s="39">
        <f>IF($C137="","",IFERROR(INDEX(DESPACHOS!$H$3:$H$3002,MATCH($C137,DESPACHOS!$B$3:$B$3002,0)),""))</f>
        <v/>
      </c>
      <c r="J137" s="43">
        <f>IF($C137="","",IFERROR(INDEX(DESPACHOS!$J$3:$J$3002,MATCH($C137,DESPACHOS!$B$3:$B$3002,0)),""))</f>
        <v/>
      </c>
      <c r="K137" s="39">
        <f>IF($C137="","",IF(COUNTIFS(DESPACHOS!$B$3:$B$3002,$C137)=0,"NO EXISTE",IF(COUNTIFS(DESPACHOS!$B$3:$B$3002,$C137)&gt;1,"DUPLICADO","OK")))</f>
        <v/>
      </c>
      <c r="L137" s="41" t="n"/>
      <c r="M137" s="41" t="n"/>
      <c r="N137" s="42">
        <f>IF($M137="","",IFERROR(INDEX(LISTAS!$F$3:$F$42,MATCH($M137,LISTAS!$E$3:$E$42,0)),"Por definir"))</f>
        <v/>
      </c>
      <c r="O137" s="41" t="n"/>
      <c r="P137" s="39">
        <f>IF($L137="","",IFERROR(INDEX(LISTAS!$B$3:$B$42,MATCH($L137,LISTAS!$A$3:$A$42,0)),"Media"))</f>
        <v/>
      </c>
      <c r="Q137" s="44" t="n"/>
      <c r="R137" s="45" t="n"/>
      <c r="S137" s="20">
        <f>IFERROR(IF(OR($R137="",$C137=""),"",$R137/INDEX(DESPACHOS!$M$3:$M$3002,MATCH($C137,DESPACHOS!$B$3:$B$3002,0))),"")</f>
        <v/>
      </c>
      <c r="T137" s="41" t="n"/>
      <c r="U137" s="43">
        <f>IF(OR($B137="",$L137=""),"",WORKDAY($B137,IFERROR(INDEX(LISTAS!$C$3:$C$42,MATCH($L137,LISTAS!$A$3:$A$42,0)),3)))</f>
        <v/>
      </c>
      <c r="V137" s="40" t="n"/>
      <c r="W137" s="19">
        <f>IF($B137="","",IF($V137&lt;&gt;"",$V137-$B137,TODAY()-$B137))</f>
        <v/>
      </c>
      <c r="X137" s="19">
        <f>IF(OR($B137="",$U137=""),"",IF($V137&lt;&gt;"",MAX(0,$V137-$U137),MAX(0,TODAY()-$U137)))</f>
        <v/>
      </c>
      <c r="Y137" s="39">
        <f>IF($C137="","",IF(IFERROR(INDEX(LISTAS!$I$3:$I$42,MATCH($T137,LISTAS!$H$3:$H$42,0)),"NO")="SÍ",IF(N($X137)&gt;0,"CERRADA FUERA DE SLA","CERRADA EN SLA"),IF($U137="","SIN CLASIFICAR",IF(N($X137)&gt;0,"VENCIDA",IF(TODAY()&gt;=$U137-1,"POR VENCER","EN PLAZO")))))</f>
        <v/>
      </c>
      <c r="Z137" s="41" t="n"/>
      <c r="AA137" s="41" t="n"/>
      <c r="AB137" s="41" t="n"/>
    </row>
    <row r="138">
      <c r="A138" s="39">
        <f>IF($C138="","","NOV-"&amp;TEXT(ROW()-3,"0000"))</f>
        <v/>
      </c>
      <c r="B138" s="40" t="n"/>
      <c r="C138" s="41" t="n"/>
      <c r="D138" s="42">
        <f>IF($C138="","",IFERROR(INDEX(DESPACHOS!$D$3:$D$3002,MATCH($C138,DESPACHOS!$B$3:$B$3002,0)),"SIN DESPACHO"))</f>
        <v/>
      </c>
      <c r="E138" s="42">
        <f>IF($C138="","",IFERROR(INDEX(DESPACHOS!$K$3:$K$3002,MATCH($C138,DESPACHOS!$B$3:$B$3002,0)),""))</f>
        <v/>
      </c>
      <c r="F138" s="42">
        <f>IF($C138="","",IFERROR(INDEX(DESPACHOS!$I$3:$I$3002,MATCH($C138,DESPACHOS!$B$3:$B$3002,0)),""))</f>
        <v/>
      </c>
      <c r="G138" s="42">
        <f>IF($C138="","",IFERROR(INDEX(DESPACHOS!$F$3:$F$3002,MATCH($C138,DESPACHOS!$B$3:$B$3002,0)),""))</f>
        <v/>
      </c>
      <c r="H138" s="42">
        <f>IF($C138="","",IFERROR(INDEX(DESPACHOS!$G$3:$G$3002,MATCH($C138,DESPACHOS!$B$3:$B$3002,0)),""))</f>
        <v/>
      </c>
      <c r="I138" s="39">
        <f>IF($C138="","",IFERROR(INDEX(DESPACHOS!$H$3:$H$3002,MATCH($C138,DESPACHOS!$B$3:$B$3002,0)),""))</f>
        <v/>
      </c>
      <c r="J138" s="43">
        <f>IF($C138="","",IFERROR(INDEX(DESPACHOS!$J$3:$J$3002,MATCH($C138,DESPACHOS!$B$3:$B$3002,0)),""))</f>
        <v/>
      </c>
      <c r="K138" s="39">
        <f>IF($C138="","",IF(COUNTIFS(DESPACHOS!$B$3:$B$3002,$C138)=0,"NO EXISTE",IF(COUNTIFS(DESPACHOS!$B$3:$B$3002,$C138)&gt;1,"DUPLICADO","OK")))</f>
        <v/>
      </c>
      <c r="L138" s="41" t="n"/>
      <c r="M138" s="41" t="n"/>
      <c r="N138" s="42">
        <f>IF($M138="","",IFERROR(INDEX(LISTAS!$F$3:$F$42,MATCH($M138,LISTAS!$E$3:$E$42,0)),"Por definir"))</f>
        <v/>
      </c>
      <c r="O138" s="41" t="n"/>
      <c r="P138" s="39">
        <f>IF($L138="","",IFERROR(INDEX(LISTAS!$B$3:$B$42,MATCH($L138,LISTAS!$A$3:$A$42,0)),"Media"))</f>
        <v/>
      </c>
      <c r="Q138" s="44" t="n"/>
      <c r="R138" s="45" t="n"/>
      <c r="S138" s="20">
        <f>IFERROR(IF(OR($R138="",$C138=""),"",$R138/INDEX(DESPACHOS!$M$3:$M$3002,MATCH($C138,DESPACHOS!$B$3:$B$3002,0))),"")</f>
        <v/>
      </c>
      <c r="T138" s="41" t="n"/>
      <c r="U138" s="43">
        <f>IF(OR($B138="",$L138=""),"",WORKDAY($B138,IFERROR(INDEX(LISTAS!$C$3:$C$42,MATCH($L138,LISTAS!$A$3:$A$42,0)),3)))</f>
        <v/>
      </c>
      <c r="V138" s="40" t="n"/>
      <c r="W138" s="19">
        <f>IF($B138="","",IF($V138&lt;&gt;"",$V138-$B138,TODAY()-$B138))</f>
        <v/>
      </c>
      <c r="X138" s="19">
        <f>IF(OR($B138="",$U138=""),"",IF($V138&lt;&gt;"",MAX(0,$V138-$U138),MAX(0,TODAY()-$U138)))</f>
        <v/>
      </c>
      <c r="Y138" s="39">
        <f>IF($C138="","",IF(IFERROR(INDEX(LISTAS!$I$3:$I$42,MATCH($T138,LISTAS!$H$3:$H$42,0)),"NO")="SÍ",IF(N($X138)&gt;0,"CERRADA FUERA DE SLA","CERRADA EN SLA"),IF($U138="","SIN CLASIFICAR",IF(N($X138)&gt;0,"VENCIDA",IF(TODAY()&gt;=$U138-1,"POR VENCER","EN PLAZO")))))</f>
        <v/>
      </c>
      <c r="Z138" s="41" t="n"/>
      <c r="AA138" s="41" t="n"/>
      <c r="AB138" s="41" t="n"/>
    </row>
    <row r="139">
      <c r="A139" s="39">
        <f>IF($C139="","","NOV-"&amp;TEXT(ROW()-3,"0000"))</f>
        <v/>
      </c>
      <c r="B139" s="40" t="n"/>
      <c r="C139" s="41" t="n"/>
      <c r="D139" s="42">
        <f>IF($C139="","",IFERROR(INDEX(DESPACHOS!$D$3:$D$3002,MATCH($C139,DESPACHOS!$B$3:$B$3002,0)),"SIN DESPACHO"))</f>
        <v/>
      </c>
      <c r="E139" s="42">
        <f>IF($C139="","",IFERROR(INDEX(DESPACHOS!$K$3:$K$3002,MATCH($C139,DESPACHOS!$B$3:$B$3002,0)),""))</f>
        <v/>
      </c>
      <c r="F139" s="42">
        <f>IF($C139="","",IFERROR(INDEX(DESPACHOS!$I$3:$I$3002,MATCH($C139,DESPACHOS!$B$3:$B$3002,0)),""))</f>
        <v/>
      </c>
      <c r="G139" s="42">
        <f>IF($C139="","",IFERROR(INDEX(DESPACHOS!$F$3:$F$3002,MATCH($C139,DESPACHOS!$B$3:$B$3002,0)),""))</f>
        <v/>
      </c>
      <c r="H139" s="42">
        <f>IF($C139="","",IFERROR(INDEX(DESPACHOS!$G$3:$G$3002,MATCH($C139,DESPACHOS!$B$3:$B$3002,0)),""))</f>
        <v/>
      </c>
      <c r="I139" s="39">
        <f>IF($C139="","",IFERROR(INDEX(DESPACHOS!$H$3:$H$3002,MATCH($C139,DESPACHOS!$B$3:$B$3002,0)),""))</f>
        <v/>
      </c>
      <c r="J139" s="43">
        <f>IF($C139="","",IFERROR(INDEX(DESPACHOS!$J$3:$J$3002,MATCH($C139,DESPACHOS!$B$3:$B$3002,0)),""))</f>
        <v/>
      </c>
      <c r="K139" s="39">
        <f>IF($C139="","",IF(COUNTIFS(DESPACHOS!$B$3:$B$3002,$C139)=0,"NO EXISTE",IF(COUNTIFS(DESPACHOS!$B$3:$B$3002,$C139)&gt;1,"DUPLICADO","OK")))</f>
        <v/>
      </c>
      <c r="L139" s="41" t="n"/>
      <c r="M139" s="41" t="n"/>
      <c r="N139" s="42">
        <f>IF($M139="","",IFERROR(INDEX(LISTAS!$F$3:$F$42,MATCH($M139,LISTAS!$E$3:$E$42,0)),"Por definir"))</f>
        <v/>
      </c>
      <c r="O139" s="41" t="n"/>
      <c r="P139" s="39">
        <f>IF($L139="","",IFERROR(INDEX(LISTAS!$B$3:$B$42,MATCH($L139,LISTAS!$A$3:$A$42,0)),"Media"))</f>
        <v/>
      </c>
      <c r="Q139" s="44" t="n"/>
      <c r="R139" s="45" t="n"/>
      <c r="S139" s="20">
        <f>IFERROR(IF(OR($R139="",$C139=""),"",$R139/INDEX(DESPACHOS!$M$3:$M$3002,MATCH($C139,DESPACHOS!$B$3:$B$3002,0))),"")</f>
        <v/>
      </c>
      <c r="T139" s="41" t="n"/>
      <c r="U139" s="43">
        <f>IF(OR($B139="",$L139=""),"",WORKDAY($B139,IFERROR(INDEX(LISTAS!$C$3:$C$42,MATCH($L139,LISTAS!$A$3:$A$42,0)),3)))</f>
        <v/>
      </c>
      <c r="V139" s="40" t="n"/>
      <c r="W139" s="19">
        <f>IF($B139="","",IF($V139&lt;&gt;"",$V139-$B139,TODAY()-$B139))</f>
        <v/>
      </c>
      <c r="X139" s="19">
        <f>IF(OR($B139="",$U139=""),"",IF($V139&lt;&gt;"",MAX(0,$V139-$U139),MAX(0,TODAY()-$U139)))</f>
        <v/>
      </c>
      <c r="Y139" s="39">
        <f>IF($C139="","",IF(IFERROR(INDEX(LISTAS!$I$3:$I$42,MATCH($T139,LISTAS!$H$3:$H$42,0)),"NO")="SÍ",IF(N($X139)&gt;0,"CERRADA FUERA DE SLA","CERRADA EN SLA"),IF($U139="","SIN CLASIFICAR",IF(N($X139)&gt;0,"VENCIDA",IF(TODAY()&gt;=$U139-1,"POR VENCER","EN PLAZO")))))</f>
        <v/>
      </c>
      <c r="Z139" s="41" t="n"/>
      <c r="AA139" s="41" t="n"/>
      <c r="AB139" s="41" t="n"/>
    </row>
    <row r="140">
      <c r="A140" s="39">
        <f>IF($C140="","","NOV-"&amp;TEXT(ROW()-3,"0000"))</f>
        <v/>
      </c>
      <c r="B140" s="40" t="n"/>
      <c r="C140" s="41" t="n"/>
      <c r="D140" s="42">
        <f>IF($C140="","",IFERROR(INDEX(DESPACHOS!$D$3:$D$3002,MATCH($C140,DESPACHOS!$B$3:$B$3002,0)),"SIN DESPACHO"))</f>
        <v/>
      </c>
      <c r="E140" s="42">
        <f>IF($C140="","",IFERROR(INDEX(DESPACHOS!$K$3:$K$3002,MATCH($C140,DESPACHOS!$B$3:$B$3002,0)),""))</f>
        <v/>
      </c>
      <c r="F140" s="42">
        <f>IF($C140="","",IFERROR(INDEX(DESPACHOS!$I$3:$I$3002,MATCH($C140,DESPACHOS!$B$3:$B$3002,0)),""))</f>
        <v/>
      </c>
      <c r="G140" s="42">
        <f>IF($C140="","",IFERROR(INDEX(DESPACHOS!$F$3:$F$3002,MATCH($C140,DESPACHOS!$B$3:$B$3002,0)),""))</f>
        <v/>
      </c>
      <c r="H140" s="42">
        <f>IF($C140="","",IFERROR(INDEX(DESPACHOS!$G$3:$G$3002,MATCH($C140,DESPACHOS!$B$3:$B$3002,0)),""))</f>
        <v/>
      </c>
      <c r="I140" s="39">
        <f>IF($C140="","",IFERROR(INDEX(DESPACHOS!$H$3:$H$3002,MATCH($C140,DESPACHOS!$B$3:$B$3002,0)),""))</f>
        <v/>
      </c>
      <c r="J140" s="43">
        <f>IF($C140="","",IFERROR(INDEX(DESPACHOS!$J$3:$J$3002,MATCH($C140,DESPACHOS!$B$3:$B$3002,0)),""))</f>
        <v/>
      </c>
      <c r="K140" s="39">
        <f>IF($C140="","",IF(COUNTIFS(DESPACHOS!$B$3:$B$3002,$C140)=0,"NO EXISTE",IF(COUNTIFS(DESPACHOS!$B$3:$B$3002,$C140)&gt;1,"DUPLICADO","OK")))</f>
        <v/>
      </c>
      <c r="L140" s="41" t="n"/>
      <c r="M140" s="41" t="n"/>
      <c r="N140" s="42">
        <f>IF($M140="","",IFERROR(INDEX(LISTAS!$F$3:$F$42,MATCH($M140,LISTAS!$E$3:$E$42,0)),"Por definir"))</f>
        <v/>
      </c>
      <c r="O140" s="41" t="n"/>
      <c r="P140" s="39">
        <f>IF($L140="","",IFERROR(INDEX(LISTAS!$B$3:$B$42,MATCH($L140,LISTAS!$A$3:$A$42,0)),"Media"))</f>
        <v/>
      </c>
      <c r="Q140" s="44" t="n"/>
      <c r="R140" s="45" t="n"/>
      <c r="S140" s="20">
        <f>IFERROR(IF(OR($R140="",$C140=""),"",$R140/INDEX(DESPACHOS!$M$3:$M$3002,MATCH($C140,DESPACHOS!$B$3:$B$3002,0))),"")</f>
        <v/>
      </c>
      <c r="T140" s="41" t="n"/>
      <c r="U140" s="43">
        <f>IF(OR($B140="",$L140=""),"",WORKDAY($B140,IFERROR(INDEX(LISTAS!$C$3:$C$42,MATCH($L140,LISTAS!$A$3:$A$42,0)),3)))</f>
        <v/>
      </c>
      <c r="V140" s="40" t="n"/>
      <c r="W140" s="19">
        <f>IF($B140="","",IF($V140&lt;&gt;"",$V140-$B140,TODAY()-$B140))</f>
        <v/>
      </c>
      <c r="X140" s="19">
        <f>IF(OR($B140="",$U140=""),"",IF($V140&lt;&gt;"",MAX(0,$V140-$U140),MAX(0,TODAY()-$U140)))</f>
        <v/>
      </c>
      <c r="Y140" s="39">
        <f>IF($C140="","",IF(IFERROR(INDEX(LISTAS!$I$3:$I$42,MATCH($T140,LISTAS!$H$3:$H$42,0)),"NO")="SÍ",IF(N($X140)&gt;0,"CERRADA FUERA DE SLA","CERRADA EN SLA"),IF($U140="","SIN CLASIFICAR",IF(N($X140)&gt;0,"VENCIDA",IF(TODAY()&gt;=$U140-1,"POR VENCER","EN PLAZO")))))</f>
        <v/>
      </c>
      <c r="Z140" s="41" t="n"/>
      <c r="AA140" s="41" t="n"/>
      <c r="AB140" s="41" t="n"/>
    </row>
    <row r="141">
      <c r="A141" s="39">
        <f>IF($C141="","","NOV-"&amp;TEXT(ROW()-3,"0000"))</f>
        <v/>
      </c>
      <c r="B141" s="40" t="n"/>
      <c r="C141" s="41" t="n"/>
      <c r="D141" s="42">
        <f>IF($C141="","",IFERROR(INDEX(DESPACHOS!$D$3:$D$3002,MATCH($C141,DESPACHOS!$B$3:$B$3002,0)),"SIN DESPACHO"))</f>
        <v/>
      </c>
      <c r="E141" s="42">
        <f>IF($C141="","",IFERROR(INDEX(DESPACHOS!$K$3:$K$3002,MATCH($C141,DESPACHOS!$B$3:$B$3002,0)),""))</f>
        <v/>
      </c>
      <c r="F141" s="42">
        <f>IF($C141="","",IFERROR(INDEX(DESPACHOS!$I$3:$I$3002,MATCH($C141,DESPACHOS!$B$3:$B$3002,0)),""))</f>
        <v/>
      </c>
      <c r="G141" s="42">
        <f>IF($C141="","",IFERROR(INDEX(DESPACHOS!$F$3:$F$3002,MATCH($C141,DESPACHOS!$B$3:$B$3002,0)),""))</f>
        <v/>
      </c>
      <c r="H141" s="42">
        <f>IF($C141="","",IFERROR(INDEX(DESPACHOS!$G$3:$G$3002,MATCH($C141,DESPACHOS!$B$3:$B$3002,0)),""))</f>
        <v/>
      </c>
      <c r="I141" s="39">
        <f>IF($C141="","",IFERROR(INDEX(DESPACHOS!$H$3:$H$3002,MATCH($C141,DESPACHOS!$B$3:$B$3002,0)),""))</f>
        <v/>
      </c>
      <c r="J141" s="43">
        <f>IF($C141="","",IFERROR(INDEX(DESPACHOS!$J$3:$J$3002,MATCH($C141,DESPACHOS!$B$3:$B$3002,0)),""))</f>
        <v/>
      </c>
      <c r="K141" s="39">
        <f>IF($C141="","",IF(COUNTIFS(DESPACHOS!$B$3:$B$3002,$C141)=0,"NO EXISTE",IF(COUNTIFS(DESPACHOS!$B$3:$B$3002,$C141)&gt;1,"DUPLICADO","OK")))</f>
        <v/>
      </c>
      <c r="L141" s="41" t="n"/>
      <c r="M141" s="41" t="n"/>
      <c r="N141" s="42">
        <f>IF($M141="","",IFERROR(INDEX(LISTAS!$F$3:$F$42,MATCH($M141,LISTAS!$E$3:$E$42,0)),"Por definir"))</f>
        <v/>
      </c>
      <c r="O141" s="41" t="n"/>
      <c r="P141" s="39">
        <f>IF($L141="","",IFERROR(INDEX(LISTAS!$B$3:$B$42,MATCH($L141,LISTAS!$A$3:$A$42,0)),"Media"))</f>
        <v/>
      </c>
      <c r="Q141" s="44" t="n"/>
      <c r="R141" s="45" t="n"/>
      <c r="S141" s="20">
        <f>IFERROR(IF(OR($R141="",$C141=""),"",$R141/INDEX(DESPACHOS!$M$3:$M$3002,MATCH($C141,DESPACHOS!$B$3:$B$3002,0))),"")</f>
        <v/>
      </c>
      <c r="T141" s="41" t="n"/>
      <c r="U141" s="43">
        <f>IF(OR($B141="",$L141=""),"",WORKDAY($B141,IFERROR(INDEX(LISTAS!$C$3:$C$42,MATCH($L141,LISTAS!$A$3:$A$42,0)),3)))</f>
        <v/>
      </c>
      <c r="V141" s="40" t="n"/>
      <c r="W141" s="19">
        <f>IF($B141="","",IF($V141&lt;&gt;"",$V141-$B141,TODAY()-$B141))</f>
        <v/>
      </c>
      <c r="X141" s="19">
        <f>IF(OR($B141="",$U141=""),"",IF($V141&lt;&gt;"",MAX(0,$V141-$U141),MAX(0,TODAY()-$U141)))</f>
        <v/>
      </c>
      <c r="Y141" s="39">
        <f>IF($C141="","",IF(IFERROR(INDEX(LISTAS!$I$3:$I$42,MATCH($T141,LISTAS!$H$3:$H$42,0)),"NO")="SÍ",IF(N($X141)&gt;0,"CERRADA FUERA DE SLA","CERRADA EN SLA"),IF($U141="","SIN CLASIFICAR",IF(N($X141)&gt;0,"VENCIDA",IF(TODAY()&gt;=$U141-1,"POR VENCER","EN PLAZO")))))</f>
        <v/>
      </c>
      <c r="Z141" s="41" t="n"/>
      <c r="AA141" s="41" t="n"/>
      <c r="AB141" s="41" t="n"/>
    </row>
    <row r="142">
      <c r="A142" s="39">
        <f>IF($C142="","","NOV-"&amp;TEXT(ROW()-3,"0000"))</f>
        <v/>
      </c>
      <c r="B142" s="40" t="n"/>
      <c r="C142" s="41" t="n"/>
      <c r="D142" s="42">
        <f>IF($C142="","",IFERROR(INDEX(DESPACHOS!$D$3:$D$3002,MATCH($C142,DESPACHOS!$B$3:$B$3002,0)),"SIN DESPACHO"))</f>
        <v/>
      </c>
      <c r="E142" s="42">
        <f>IF($C142="","",IFERROR(INDEX(DESPACHOS!$K$3:$K$3002,MATCH($C142,DESPACHOS!$B$3:$B$3002,0)),""))</f>
        <v/>
      </c>
      <c r="F142" s="42">
        <f>IF($C142="","",IFERROR(INDEX(DESPACHOS!$I$3:$I$3002,MATCH($C142,DESPACHOS!$B$3:$B$3002,0)),""))</f>
        <v/>
      </c>
      <c r="G142" s="42">
        <f>IF($C142="","",IFERROR(INDEX(DESPACHOS!$F$3:$F$3002,MATCH($C142,DESPACHOS!$B$3:$B$3002,0)),""))</f>
        <v/>
      </c>
      <c r="H142" s="42">
        <f>IF($C142="","",IFERROR(INDEX(DESPACHOS!$G$3:$G$3002,MATCH($C142,DESPACHOS!$B$3:$B$3002,0)),""))</f>
        <v/>
      </c>
      <c r="I142" s="39">
        <f>IF($C142="","",IFERROR(INDEX(DESPACHOS!$H$3:$H$3002,MATCH($C142,DESPACHOS!$B$3:$B$3002,0)),""))</f>
        <v/>
      </c>
      <c r="J142" s="43">
        <f>IF($C142="","",IFERROR(INDEX(DESPACHOS!$J$3:$J$3002,MATCH($C142,DESPACHOS!$B$3:$B$3002,0)),""))</f>
        <v/>
      </c>
      <c r="K142" s="39">
        <f>IF($C142="","",IF(COUNTIFS(DESPACHOS!$B$3:$B$3002,$C142)=0,"NO EXISTE",IF(COUNTIFS(DESPACHOS!$B$3:$B$3002,$C142)&gt;1,"DUPLICADO","OK")))</f>
        <v/>
      </c>
      <c r="L142" s="41" t="n"/>
      <c r="M142" s="41" t="n"/>
      <c r="N142" s="42">
        <f>IF($M142="","",IFERROR(INDEX(LISTAS!$F$3:$F$42,MATCH($M142,LISTAS!$E$3:$E$42,0)),"Por definir"))</f>
        <v/>
      </c>
      <c r="O142" s="41" t="n"/>
      <c r="P142" s="39">
        <f>IF($L142="","",IFERROR(INDEX(LISTAS!$B$3:$B$42,MATCH($L142,LISTAS!$A$3:$A$42,0)),"Media"))</f>
        <v/>
      </c>
      <c r="Q142" s="44" t="n"/>
      <c r="R142" s="45" t="n"/>
      <c r="S142" s="20">
        <f>IFERROR(IF(OR($R142="",$C142=""),"",$R142/INDEX(DESPACHOS!$M$3:$M$3002,MATCH($C142,DESPACHOS!$B$3:$B$3002,0))),"")</f>
        <v/>
      </c>
      <c r="T142" s="41" t="n"/>
      <c r="U142" s="43">
        <f>IF(OR($B142="",$L142=""),"",WORKDAY($B142,IFERROR(INDEX(LISTAS!$C$3:$C$42,MATCH($L142,LISTAS!$A$3:$A$42,0)),3)))</f>
        <v/>
      </c>
      <c r="V142" s="40" t="n"/>
      <c r="W142" s="19">
        <f>IF($B142="","",IF($V142&lt;&gt;"",$V142-$B142,TODAY()-$B142))</f>
        <v/>
      </c>
      <c r="X142" s="19">
        <f>IF(OR($B142="",$U142=""),"",IF($V142&lt;&gt;"",MAX(0,$V142-$U142),MAX(0,TODAY()-$U142)))</f>
        <v/>
      </c>
      <c r="Y142" s="39">
        <f>IF($C142="","",IF(IFERROR(INDEX(LISTAS!$I$3:$I$42,MATCH($T142,LISTAS!$H$3:$H$42,0)),"NO")="SÍ",IF(N($X142)&gt;0,"CERRADA FUERA DE SLA","CERRADA EN SLA"),IF($U142="","SIN CLASIFICAR",IF(N($X142)&gt;0,"VENCIDA",IF(TODAY()&gt;=$U142-1,"POR VENCER","EN PLAZO")))))</f>
        <v/>
      </c>
      <c r="Z142" s="41" t="n"/>
      <c r="AA142" s="41" t="n"/>
      <c r="AB142" s="41" t="n"/>
    </row>
    <row r="143">
      <c r="A143" s="39">
        <f>IF($C143="","","NOV-"&amp;TEXT(ROW()-3,"0000"))</f>
        <v/>
      </c>
      <c r="B143" s="40" t="n"/>
      <c r="C143" s="41" t="n"/>
      <c r="D143" s="42">
        <f>IF($C143="","",IFERROR(INDEX(DESPACHOS!$D$3:$D$3002,MATCH($C143,DESPACHOS!$B$3:$B$3002,0)),"SIN DESPACHO"))</f>
        <v/>
      </c>
      <c r="E143" s="42">
        <f>IF($C143="","",IFERROR(INDEX(DESPACHOS!$K$3:$K$3002,MATCH($C143,DESPACHOS!$B$3:$B$3002,0)),""))</f>
        <v/>
      </c>
      <c r="F143" s="42">
        <f>IF($C143="","",IFERROR(INDEX(DESPACHOS!$I$3:$I$3002,MATCH($C143,DESPACHOS!$B$3:$B$3002,0)),""))</f>
        <v/>
      </c>
      <c r="G143" s="42">
        <f>IF($C143="","",IFERROR(INDEX(DESPACHOS!$F$3:$F$3002,MATCH($C143,DESPACHOS!$B$3:$B$3002,0)),""))</f>
        <v/>
      </c>
      <c r="H143" s="42">
        <f>IF($C143="","",IFERROR(INDEX(DESPACHOS!$G$3:$G$3002,MATCH($C143,DESPACHOS!$B$3:$B$3002,0)),""))</f>
        <v/>
      </c>
      <c r="I143" s="39">
        <f>IF($C143="","",IFERROR(INDEX(DESPACHOS!$H$3:$H$3002,MATCH($C143,DESPACHOS!$B$3:$B$3002,0)),""))</f>
        <v/>
      </c>
      <c r="J143" s="43">
        <f>IF($C143="","",IFERROR(INDEX(DESPACHOS!$J$3:$J$3002,MATCH($C143,DESPACHOS!$B$3:$B$3002,0)),""))</f>
        <v/>
      </c>
      <c r="K143" s="39">
        <f>IF($C143="","",IF(COUNTIFS(DESPACHOS!$B$3:$B$3002,$C143)=0,"NO EXISTE",IF(COUNTIFS(DESPACHOS!$B$3:$B$3002,$C143)&gt;1,"DUPLICADO","OK")))</f>
        <v/>
      </c>
      <c r="L143" s="41" t="n"/>
      <c r="M143" s="41" t="n"/>
      <c r="N143" s="42">
        <f>IF($M143="","",IFERROR(INDEX(LISTAS!$F$3:$F$42,MATCH($M143,LISTAS!$E$3:$E$42,0)),"Por definir"))</f>
        <v/>
      </c>
      <c r="O143" s="41" t="n"/>
      <c r="P143" s="39">
        <f>IF($L143="","",IFERROR(INDEX(LISTAS!$B$3:$B$42,MATCH($L143,LISTAS!$A$3:$A$42,0)),"Media"))</f>
        <v/>
      </c>
      <c r="Q143" s="44" t="n"/>
      <c r="R143" s="45" t="n"/>
      <c r="S143" s="20">
        <f>IFERROR(IF(OR($R143="",$C143=""),"",$R143/INDEX(DESPACHOS!$M$3:$M$3002,MATCH($C143,DESPACHOS!$B$3:$B$3002,0))),"")</f>
        <v/>
      </c>
      <c r="T143" s="41" t="n"/>
      <c r="U143" s="43">
        <f>IF(OR($B143="",$L143=""),"",WORKDAY($B143,IFERROR(INDEX(LISTAS!$C$3:$C$42,MATCH($L143,LISTAS!$A$3:$A$42,0)),3)))</f>
        <v/>
      </c>
      <c r="V143" s="40" t="n"/>
      <c r="W143" s="19">
        <f>IF($B143="","",IF($V143&lt;&gt;"",$V143-$B143,TODAY()-$B143))</f>
        <v/>
      </c>
      <c r="X143" s="19">
        <f>IF(OR($B143="",$U143=""),"",IF($V143&lt;&gt;"",MAX(0,$V143-$U143),MAX(0,TODAY()-$U143)))</f>
        <v/>
      </c>
      <c r="Y143" s="39">
        <f>IF($C143="","",IF(IFERROR(INDEX(LISTAS!$I$3:$I$42,MATCH($T143,LISTAS!$H$3:$H$42,0)),"NO")="SÍ",IF(N($X143)&gt;0,"CERRADA FUERA DE SLA","CERRADA EN SLA"),IF($U143="","SIN CLASIFICAR",IF(N($X143)&gt;0,"VENCIDA",IF(TODAY()&gt;=$U143-1,"POR VENCER","EN PLAZO")))))</f>
        <v/>
      </c>
      <c r="Z143" s="41" t="n"/>
      <c r="AA143" s="41" t="n"/>
      <c r="AB143" s="41" t="n"/>
    </row>
    <row r="144">
      <c r="A144" s="39">
        <f>IF($C144="","","NOV-"&amp;TEXT(ROW()-3,"0000"))</f>
        <v/>
      </c>
      <c r="B144" s="40" t="n"/>
      <c r="C144" s="41" t="n"/>
      <c r="D144" s="42">
        <f>IF($C144="","",IFERROR(INDEX(DESPACHOS!$D$3:$D$3002,MATCH($C144,DESPACHOS!$B$3:$B$3002,0)),"SIN DESPACHO"))</f>
        <v/>
      </c>
      <c r="E144" s="42">
        <f>IF($C144="","",IFERROR(INDEX(DESPACHOS!$K$3:$K$3002,MATCH($C144,DESPACHOS!$B$3:$B$3002,0)),""))</f>
        <v/>
      </c>
      <c r="F144" s="42">
        <f>IF($C144="","",IFERROR(INDEX(DESPACHOS!$I$3:$I$3002,MATCH($C144,DESPACHOS!$B$3:$B$3002,0)),""))</f>
        <v/>
      </c>
      <c r="G144" s="42">
        <f>IF($C144="","",IFERROR(INDEX(DESPACHOS!$F$3:$F$3002,MATCH($C144,DESPACHOS!$B$3:$B$3002,0)),""))</f>
        <v/>
      </c>
      <c r="H144" s="42">
        <f>IF($C144="","",IFERROR(INDEX(DESPACHOS!$G$3:$G$3002,MATCH($C144,DESPACHOS!$B$3:$B$3002,0)),""))</f>
        <v/>
      </c>
      <c r="I144" s="39">
        <f>IF($C144="","",IFERROR(INDEX(DESPACHOS!$H$3:$H$3002,MATCH($C144,DESPACHOS!$B$3:$B$3002,0)),""))</f>
        <v/>
      </c>
      <c r="J144" s="43">
        <f>IF($C144="","",IFERROR(INDEX(DESPACHOS!$J$3:$J$3002,MATCH($C144,DESPACHOS!$B$3:$B$3002,0)),""))</f>
        <v/>
      </c>
      <c r="K144" s="39">
        <f>IF($C144="","",IF(COUNTIFS(DESPACHOS!$B$3:$B$3002,$C144)=0,"NO EXISTE",IF(COUNTIFS(DESPACHOS!$B$3:$B$3002,$C144)&gt;1,"DUPLICADO","OK")))</f>
        <v/>
      </c>
      <c r="L144" s="41" t="n"/>
      <c r="M144" s="41" t="n"/>
      <c r="N144" s="42">
        <f>IF($M144="","",IFERROR(INDEX(LISTAS!$F$3:$F$42,MATCH($M144,LISTAS!$E$3:$E$42,0)),"Por definir"))</f>
        <v/>
      </c>
      <c r="O144" s="41" t="n"/>
      <c r="P144" s="39">
        <f>IF($L144="","",IFERROR(INDEX(LISTAS!$B$3:$B$42,MATCH($L144,LISTAS!$A$3:$A$42,0)),"Media"))</f>
        <v/>
      </c>
      <c r="Q144" s="44" t="n"/>
      <c r="R144" s="45" t="n"/>
      <c r="S144" s="20">
        <f>IFERROR(IF(OR($R144="",$C144=""),"",$R144/INDEX(DESPACHOS!$M$3:$M$3002,MATCH($C144,DESPACHOS!$B$3:$B$3002,0))),"")</f>
        <v/>
      </c>
      <c r="T144" s="41" t="n"/>
      <c r="U144" s="43">
        <f>IF(OR($B144="",$L144=""),"",WORKDAY($B144,IFERROR(INDEX(LISTAS!$C$3:$C$42,MATCH($L144,LISTAS!$A$3:$A$42,0)),3)))</f>
        <v/>
      </c>
      <c r="V144" s="40" t="n"/>
      <c r="W144" s="19">
        <f>IF($B144="","",IF($V144&lt;&gt;"",$V144-$B144,TODAY()-$B144))</f>
        <v/>
      </c>
      <c r="X144" s="19">
        <f>IF(OR($B144="",$U144=""),"",IF($V144&lt;&gt;"",MAX(0,$V144-$U144),MAX(0,TODAY()-$U144)))</f>
        <v/>
      </c>
      <c r="Y144" s="39">
        <f>IF($C144="","",IF(IFERROR(INDEX(LISTAS!$I$3:$I$42,MATCH($T144,LISTAS!$H$3:$H$42,0)),"NO")="SÍ",IF(N($X144)&gt;0,"CERRADA FUERA DE SLA","CERRADA EN SLA"),IF($U144="","SIN CLASIFICAR",IF(N($X144)&gt;0,"VENCIDA",IF(TODAY()&gt;=$U144-1,"POR VENCER","EN PLAZO")))))</f>
        <v/>
      </c>
      <c r="Z144" s="41" t="n"/>
      <c r="AA144" s="41" t="n"/>
      <c r="AB144" s="41" t="n"/>
    </row>
    <row r="145">
      <c r="A145" s="39">
        <f>IF($C145="","","NOV-"&amp;TEXT(ROW()-3,"0000"))</f>
        <v/>
      </c>
      <c r="B145" s="40" t="n"/>
      <c r="C145" s="41" t="n"/>
      <c r="D145" s="42">
        <f>IF($C145="","",IFERROR(INDEX(DESPACHOS!$D$3:$D$3002,MATCH($C145,DESPACHOS!$B$3:$B$3002,0)),"SIN DESPACHO"))</f>
        <v/>
      </c>
      <c r="E145" s="42">
        <f>IF($C145="","",IFERROR(INDEX(DESPACHOS!$K$3:$K$3002,MATCH($C145,DESPACHOS!$B$3:$B$3002,0)),""))</f>
        <v/>
      </c>
      <c r="F145" s="42">
        <f>IF($C145="","",IFERROR(INDEX(DESPACHOS!$I$3:$I$3002,MATCH($C145,DESPACHOS!$B$3:$B$3002,0)),""))</f>
        <v/>
      </c>
      <c r="G145" s="42">
        <f>IF($C145="","",IFERROR(INDEX(DESPACHOS!$F$3:$F$3002,MATCH($C145,DESPACHOS!$B$3:$B$3002,0)),""))</f>
        <v/>
      </c>
      <c r="H145" s="42">
        <f>IF($C145="","",IFERROR(INDEX(DESPACHOS!$G$3:$G$3002,MATCH($C145,DESPACHOS!$B$3:$B$3002,0)),""))</f>
        <v/>
      </c>
      <c r="I145" s="39">
        <f>IF($C145="","",IFERROR(INDEX(DESPACHOS!$H$3:$H$3002,MATCH($C145,DESPACHOS!$B$3:$B$3002,0)),""))</f>
        <v/>
      </c>
      <c r="J145" s="43">
        <f>IF($C145="","",IFERROR(INDEX(DESPACHOS!$J$3:$J$3002,MATCH($C145,DESPACHOS!$B$3:$B$3002,0)),""))</f>
        <v/>
      </c>
      <c r="K145" s="39">
        <f>IF($C145="","",IF(COUNTIFS(DESPACHOS!$B$3:$B$3002,$C145)=0,"NO EXISTE",IF(COUNTIFS(DESPACHOS!$B$3:$B$3002,$C145)&gt;1,"DUPLICADO","OK")))</f>
        <v/>
      </c>
      <c r="L145" s="41" t="n"/>
      <c r="M145" s="41" t="n"/>
      <c r="N145" s="42">
        <f>IF($M145="","",IFERROR(INDEX(LISTAS!$F$3:$F$42,MATCH($M145,LISTAS!$E$3:$E$42,0)),"Por definir"))</f>
        <v/>
      </c>
      <c r="O145" s="41" t="n"/>
      <c r="P145" s="39">
        <f>IF($L145="","",IFERROR(INDEX(LISTAS!$B$3:$B$42,MATCH($L145,LISTAS!$A$3:$A$42,0)),"Media"))</f>
        <v/>
      </c>
      <c r="Q145" s="44" t="n"/>
      <c r="R145" s="45" t="n"/>
      <c r="S145" s="20">
        <f>IFERROR(IF(OR($R145="",$C145=""),"",$R145/INDEX(DESPACHOS!$M$3:$M$3002,MATCH($C145,DESPACHOS!$B$3:$B$3002,0))),"")</f>
        <v/>
      </c>
      <c r="T145" s="41" t="n"/>
      <c r="U145" s="43">
        <f>IF(OR($B145="",$L145=""),"",WORKDAY($B145,IFERROR(INDEX(LISTAS!$C$3:$C$42,MATCH($L145,LISTAS!$A$3:$A$42,0)),3)))</f>
        <v/>
      </c>
      <c r="V145" s="40" t="n"/>
      <c r="W145" s="19">
        <f>IF($B145="","",IF($V145&lt;&gt;"",$V145-$B145,TODAY()-$B145))</f>
        <v/>
      </c>
      <c r="X145" s="19">
        <f>IF(OR($B145="",$U145=""),"",IF($V145&lt;&gt;"",MAX(0,$V145-$U145),MAX(0,TODAY()-$U145)))</f>
        <v/>
      </c>
      <c r="Y145" s="39">
        <f>IF($C145="","",IF(IFERROR(INDEX(LISTAS!$I$3:$I$42,MATCH($T145,LISTAS!$H$3:$H$42,0)),"NO")="SÍ",IF(N($X145)&gt;0,"CERRADA FUERA DE SLA","CERRADA EN SLA"),IF($U145="","SIN CLASIFICAR",IF(N($X145)&gt;0,"VENCIDA",IF(TODAY()&gt;=$U145-1,"POR VENCER","EN PLAZO")))))</f>
        <v/>
      </c>
      <c r="Z145" s="41" t="n"/>
      <c r="AA145" s="41" t="n"/>
      <c r="AB145" s="41" t="n"/>
    </row>
    <row r="146">
      <c r="A146" s="39">
        <f>IF($C146="","","NOV-"&amp;TEXT(ROW()-3,"0000"))</f>
        <v/>
      </c>
      <c r="B146" s="40" t="n"/>
      <c r="C146" s="41" t="n"/>
      <c r="D146" s="42">
        <f>IF($C146="","",IFERROR(INDEX(DESPACHOS!$D$3:$D$3002,MATCH($C146,DESPACHOS!$B$3:$B$3002,0)),"SIN DESPACHO"))</f>
        <v/>
      </c>
      <c r="E146" s="42">
        <f>IF($C146="","",IFERROR(INDEX(DESPACHOS!$K$3:$K$3002,MATCH($C146,DESPACHOS!$B$3:$B$3002,0)),""))</f>
        <v/>
      </c>
      <c r="F146" s="42">
        <f>IF($C146="","",IFERROR(INDEX(DESPACHOS!$I$3:$I$3002,MATCH($C146,DESPACHOS!$B$3:$B$3002,0)),""))</f>
        <v/>
      </c>
      <c r="G146" s="42">
        <f>IF($C146="","",IFERROR(INDEX(DESPACHOS!$F$3:$F$3002,MATCH($C146,DESPACHOS!$B$3:$B$3002,0)),""))</f>
        <v/>
      </c>
      <c r="H146" s="42">
        <f>IF($C146="","",IFERROR(INDEX(DESPACHOS!$G$3:$G$3002,MATCH($C146,DESPACHOS!$B$3:$B$3002,0)),""))</f>
        <v/>
      </c>
      <c r="I146" s="39">
        <f>IF($C146="","",IFERROR(INDEX(DESPACHOS!$H$3:$H$3002,MATCH($C146,DESPACHOS!$B$3:$B$3002,0)),""))</f>
        <v/>
      </c>
      <c r="J146" s="43">
        <f>IF($C146="","",IFERROR(INDEX(DESPACHOS!$J$3:$J$3002,MATCH($C146,DESPACHOS!$B$3:$B$3002,0)),""))</f>
        <v/>
      </c>
      <c r="K146" s="39">
        <f>IF($C146="","",IF(COUNTIFS(DESPACHOS!$B$3:$B$3002,$C146)=0,"NO EXISTE",IF(COUNTIFS(DESPACHOS!$B$3:$B$3002,$C146)&gt;1,"DUPLICADO","OK")))</f>
        <v/>
      </c>
      <c r="L146" s="41" t="n"/>
      <c r="M146" s="41" t="n"/>
      <c r="N146" s="42">
        <f>IF($M146="","",IFERROR(INDEX(LISTAS!$F$3:$F$42,MATCH($M146,LISTAS!$E$3:$E$42,0)),"Por definir"))</f>
        <v/>
      </c>
      <c r="O146" s="41" t="n"/>
      <c r="P146" s="39">
        <f>IF($L146="","",IFERROR(INDEX(LISTAS!$B$3:$B$42,MATCH($L146,LISTAS!$A$3:$A$42,0)),"Media"))</f>
        <v/>
      </c>
      <c r="Q146" s="44" t="n"/>
      <c r="R146" s="45" t="n"/>
      <c r="S146" s="20">
        <f>IFERROR(IF(OR($R146="",$C146=""),"",$R146/INDEX(DESPACHOS!$M$3:$M$3002,MATCH($C146,DESPACHOS!$B$3:$B$3002,0))),"")</f>
        <v/>
      </c>
      <c r="T146" s="41" t="n"/>
      <c r="U146" s="43">
        <f>IF(OR($B146="",$L146=""),"",WORKDAY($B146,IFERROR(INDEX(LISTAS!$C$3:$C$42,MATCH($L146,LISTAS!$A$3:$A$42,0)),3)))</f>
        <v/>
      </c>
      <c r="V146" s="40" t="n"/>
      <c r="W146" s="19">
        <f>IF($B146="","",IF($V146&lt;&gt;"",$V146-$B146,TODAY()-$B146))</f>
        <v/>
      </c>
      <c r="X146" s="19">
        <f>IF(OR($B146="",$U146=""),"",IF($V146&lt;&gt;"",MAX(0,$V146-$U146),MAX(0,TODAY()-$U146)))</f>
        <v/>
      </c>
      <c r="Y146" s="39">
        <f>IF($C146="","",IF(IFERROR(INDEX(LISTAS!$I$3:$I$42,MATCH($T146,LISTAS!$H$3:$H$42,0)),"NO")="SÍ",IF(N($X146)&gt;0,"CERRADA FUERA DE SLA","CERRADA EN SLA"),IF($U146="","SIN CLASIFICAR",IF(N($X146)&gt;0,"VENCIDA",IF(TODAY()&gt;=$U146-1,"POR VENCER","EN PLAZO")))))</f>
        <v/>
      </c>
      <c r="Z146" s="41" t="n"/>
      <c r="AA146" s="41" t="n"/>
      <c r="AB146" s="41" t="n"/>
    </row>
    <row r="147">
      <c r="A147" s="39">
        <f>IF($C147="","","NOV-"&amp;TEXT(ROW()-3,"0000"))</f>
        <v/>
      </c>
      <c r="B147" s="40" t="n"/>
      <c r="C147" s="41" t="n"/>
      <c r="D147" s="42">
        <f>IF($C147="","",IFERROR(INDEX(DESPACHOS!$D$3:$D$3002,MATCH($C147,DESPACHOS!$B$3:$B$3002,0)),"SIN DESPACHO"))</f>
        <v/>
      </c>
      <c r="E147" s="42">
        <f>IF($C147="","",IFERROR(INDEX(DESPACHOS!$K$3:$K$3002,MATCH($C147,DESPACHOS!$B$3:$B$3002,0)),""))</f>
        <v/>
      </c>
      <c r="F147" s="42">
        <f>IF($C147="","",IFERROR(INDEX(DESPACHOS!$I$3:$I$3002,MATCH($C147,DESPACHOS!$B$3:$B$3002,0)),""))</f>
        <v/>
      </c>
      <c r="G147" s="42">
        <f>IF($C147="","",IFERROR(INDEX(DESPACHOS!$F$3:$F$3002,MATCH($C147,DESPACHOS!$B$3:$B$3002,0)),""))</f>
        <v/>
      </c>
      <c r="H147" s="42">
        <f>IF($C147="","",IFERROR(INDEX(DESPACHOS!$G$3:$G$3002,MATCH($C147,DESPACHOS!$B$3:$B$3002,0)),""))</f>
        <v/>
      </c>
      <c r="I147" s="39">
        <f>IF($C147="","",IFERROR(INDEX(DESPACHOS!$H$3:$H$3002,MATCH($C147,DESPACHOS!$B$3:$B$3002,0)),""))</f>
        <v/>
      </c>
      <c r="J147" s="43">
        <f>IF($C147="","",IFERROR(INDEX(DESPACHOS!$J$3:$J$3002,MATCH($C147,DESPACHOS!$B$3:$B$3002,0)),""))</f>
        <v/>
      </c>
      <c r="K147" s="39">
        <f>IF($C147="","",IF(COUNTIFS(DESPACHOS!$B$3:$B$3002,$C147)=0,"NO EXISTE",IF(COUNTIFS(DESPACHOS!$B$3:$B$3002,$C147)&gt;1,"DUPLICADO","OK")))</f>
        <v/>
      </c>
      <c r="L147" s="41" t="n"/>
      <c r="M147" s="41" t="n"/>
      <c r="N147" s="42">
        <f>IF($M147="","",IFERROR(INDEX(LISTAS!$F$3:$F$42,MATCH($M147,LISTAS!$E$3:$E$42,0)),"Por definir"))</f>
        <v/>
      </c>
      <c r="O147" s="41" t="n"/>
      <c r="P147" s="39">
        <f>IF($L147="","",IFERROR(INDEX(LISTAS!$B$3:$B$42,MATCH($L147,LISTAS!$A$3:$A$42,0)),"Media"))</f>
        <v/>
      </c>
      <c r="Q147" s="44" t="n"/>
      <c r="R147" s="45" t="n"/>
      <c r="S147" s="20">
        <f>IFERROR(IF(OR($R147="",$C147=""),"",$R147/INDEX(DESPACHOS!$M$3:$M$3002,MATCH($C147,DESPACHOS!$B$3:$B$3002,0))),"")</f>
        <v/>
      </c>
      <c r="T147" s="41" t="n"/>
      <c r="U147" s="43">
        <f>IF(OR($B147="",$L147=""),"",WORKDAY($B147,IFERROR(INDEX(LISTAS!$C$3:$C$42,MATCH($L147,LISTAS!$A$3:$A$42,0)),3)))</f>
        <v/>
      </c>
      <c r="V147" s="40" t="n"/>
      <c r="W147" s="19">
        <f>IF($B147="","",IF($V147&lt;&gt;"",$V147-$B147,TODAY()-$B147))</f>
        <v/>
      </c>
      <c r="X147" s="19">
        <f>IF(OR($B147="",$U147=""),"",IF($V147&lt;&gt;"",MAX(0,$V147-$U147),MAX(0,TODAY()-$U147)))</f>
        <v/>
      </c>
      <c r="Y147" s="39">
        <f>IF($C147="","",IF(IFERROR(INDEX(LISTAS!$I$3:$I$42,MATCH($T147,LISTAS!$H$3:$H$42,0)),"NO")="SÍ",IF(N($X147)&gt;0,"CERRADA FUERA DE SLA","CERRADA EN SLA"),IF($U147="","SIN CLASIFICAR",IF(N($X147)&gt;0,"VENCIDA",IF(TODAY()&gt;=$U147-1,"POR VENCER","EN PLAZO")))))</f>
        <v/>
      </c>
      <c r="Z147" s="41" t="n"/>
      <c r="AA147" s="41" t="n"/>
      <c r="AB147" s="41" t="n"/>
    </row>
    <row r="148">
      <c r="A148" s="39">
        <f>IF($C148="","","NOV-"&amp;TEXT(ROW()-3,"0000"))</f>
        <v/>
      </c>
      <c r="B148" s="40" t="n"/>
      <c r="C148" s="41" t="n"/>
      <c r="D148" s="42">
        <f>IF($C148="","",IFERROR(INDEX(DESPACHOS!$D$3:$D$3002,MATCH($C148,DESPACHOS!$B$3:$B$3002,0)),"SIN DESPACHO"))</f>
        <v/>
      </c>
      <c r="E148" s="42">
        <f>IF($C148="","",IFERROR(INDEX(DESPACHOS!$K$3:$K$3002,MATCH($C148,DESPACHOS!$B$3:$B$3002,0)),""))</f>
        <v/>
      </c>
      <c r="F148" s="42">
        <f>IF($C148="","",IFERROR(INDEX(DESPACHOS!$I$3:$I$3002,MATCH($C148,DESPACHOS!$B$3:$B$3002,0)),""))</f>
        <v/>
      </c>
      <c r="G148" s="42">
        <f>IF($C148="","",IFERROR(INDEX(DESPACHOS!$F$3:$F$3002,MATCH($C148,DESPACHOS!$B$3:$B$3002,0)),""))</f>
        <v/>
      </c>
      <c r="H148" s="42">
        <f>IF($C148="","",IFERROR(INDEX(DESPACHOS!$G$3:$G$3002,MATCH($C148,DESPACHOS!$B$3:$B$3002,0)),""))</f>
        <v/>
      </c>
      <c r="I148" s="39">
        <f>IF($C148="","",IFERROR(INDEX(DESPACHOS!$H$3:$H$3002,MATCH($C148,DESPACHOS!$B$3:$B$3002,0)),""))</f>
        <v/>
      </c>
      <c r="J148" s="43">
        <f>IF($C148="","",IFERROR(INDEX(DESPACHOS!$J$3:$J$3002,MATCH($C148,DESPACHOS!$B$3:$B$3002,0)),""))</f>
        <v/>
      </c>
      <c r="K148" s="39">
        <f>IF($C148="","",IF(COUNTIFS(DESPACHOS!$B$3:$B$3002,$C148)=0,"NO EXISTE",IF(COUNTIFS(DESPACHOS!$B$3:$B$3002,$C148)&gt;1,"DUPLICADO","OK")))</f>
        <v/>
      </c>
      <c r="L148" s="41" t="n"/>
      <c r="M148" s="41" t="n"/>
      <c r="N148" s="42">
        <f>IF($M148="","",IFERROR(INDEX(LISTAS!$F$3:$F$42,MATCH($M148,LISTAS!$E$3:$E$42,0)),"Por definir"))</f>
        <v/>
      </c>
      <c r="O148" s="41" t="n"/>
      <c r="P148" s="39">
        <f>IF($L148="","",IFERROR(INDEX(LISTAS!$B$3:$B$42,MATCH($L148,LISTAS!$A$3:$A$42,0)),"Media"))</f>
        <v/>
      </c>
      <c r="Q148" s="44" t="n"/>
      <c r="R148" s="45" t="n"/>
      <c r="S148" s="20">
        <f>IFERROR(IF(OR($R148="",$C148=""),"",$R148/INDEX(DESPACHOS!$M$3:$M$3002,MATCH($C148,DESPACHOS!$B$3:$B$3002,0))),"")</f>
        <v/>
      </c>
      <c r="T148" s="41" t="n"/>
      <c r="U148" s="43">
        <f>IF(OR($B148="",$L148=""),"",WORKDAY($B148,IFERROR(INDEX(LISTAS!$C$3:$C$42,MATCH($L148,LISTAS!$A$3:$A$42,0)),3)))</f>
        <v/>
      </c>
      <c r="V148" s="40" t="n"/>
      <c r="W148" s="19">
        <f>IF($B148="","",IF($V148&lt;&gt;"",$V148-$B148,TODAY()-$B148))</f>
        <v/>
      </c>
      <c r="X148" s="19">
        <f>IF(OR($B148="",$U148=""),"",IF($V148&lt;&gt;"",MAX(0,$V148-$U148),MAX(0,TODAY()-$U148)))</f>
        <v/>
      </c>
      <c r="Y148" s="39">
        <f>IF($C148="","",IF(IFERROR(INDEX(LISTAS!$I$3:$I$42,MATCH($T148,LISTAS!$H$3:$H$42,0)),"NO")="SÍ",IF(N($X148)&gt;0,"CERRADA FUERA DE SLA","CERRADA EN SLA"),IF($U148="","SIN CLASIFICAR",IF(N($X148)&gt;0,"VENCIDA",IF(TODAY()&gt;=$U148-1,"POR VENCER","EN PLAZO")))))</f>
        <v/>
      </c>
      <c r="Z148" s="41" t="n"/>
      <c r="AA148" s="41" t="n"/>
      <c r="AB148" s="41" t="n"/>
    </row>
    <row r="149">
      <c r="A149" s="39">
        <f>IF($C149="","","NOV-"&amp;TEXT(ROW()-3,"0000"))</f>
        <v/>
      </c>
      <c r="B149" s="40" t="n"/>
      <c r="C149" s="41" t="n"/>
      <c r="D149" s="42">
        <f>IF($C149="","",IFERROR(INDEX(DESPACHOS!$D$3:$D$3002,MATCH($C149,DESPACHOS!$B$3:$B$3002,0)),"SIN DESPACHO"))</f>
        <v/>
      </c>
      <c r="E149" s="42">
        <f>IF($C149="","",IFERROR(INDEX(DESPACHOS!$K$3:$K$3002,MATCH($C149,DESPACHOS!$B$3:$B$3002,0)),""))</f>
        <v/>
      </c>
      <c r="F149" s="42">
        <f>IF($C149="","",IFERROR(INDEX(DESPACHOS!$I$3:$I$3002,MATCH($C149,DESPACHOS!$B$3:$B$3002,0)),""))</f>
        <v/>
      </c>
      <c r="G149" s="42">
        <f>IF($C149="","",IFERROR(INDEX(DESPACHOS!$F$3:$F$3002,MATCH($C149,DESPACHOS!$B$3:$B$3002,0)),""))</f>
        <v/>
      </c>
      <c r="H149" s="42">
        <f>IF($C149="","",IFERROR(INDEX(DESPACHOS!$G$3:$G$3002,MATCH($C149,DESPACHOS!$B$3:$B$3002,0)),""))</f>
        <v/>
      </c>
      <c r="I149" s="39">
        <f>IF($C149="","",IFERROR(INDEX(DESPACHOS!$H$3:$H$3002,MATCH($C149,DESPACHOS!$B$3:$B$3002,0)),""))</f>
        <v/>
      </c>
      <c r="J149" s="43">
        <f>IF($C149="","",IFERROR(INDEX(DESPACHOS!$J$3:$J$3002,MATCH($C149,DESPACHOS!$B$3:$B$3002,0)),""))</f>
        <v/>
      </c>
      <c r="K149" s="39">
        <f>IF($C149="","",IF(COUNTIFS(DESPACHOS!$B$3:$B$3002,$C149)=0,"NO EXISTE",IF(COUNTIFS(DESPACHOS!$B$3:$B$3002,$C149)&gt;1,"DUPLICADO","OK")))</f>
        <v/>
      </c>
      <c r="L149" s="41" t="n"/>
      <c r="M149" s="41" t="n"/>
      <c r="N149" s="42">
        <f>IF($M149="","",IFERROR(INDEX(LISTAS!$F$3:$F$42,MATCH($M149,LISTAS!$E$3:$E$42,0)),"Por definir"))</f>
        <v/>
      </c>
      <c r="O149" s="41" t="n"/>
      <c r="P149" s="39">
        <f>IF($L149="","",IFERROR(INDEX(LISTAS!$B$3:$B$42,MATCH($L149,LISTAS!$A$3:$A$42,0)),"Media"))</f>
        <v/>
      </c>
      <c r="Q149" s="44" t="n"/>
      <c r="R149" s="45" t="n"/>
      <c r="S149" s="20">
        <f>IFERROR(IF(OR($R149="",$C149=""),"",$R149/INDEX(DESPACHOS!$M$3:$M$3002,MATCH($C149,DESPACHOS!$B$3:$B$3002,0))),"")</f>
        <v/>
      </c>
      <c r="T149" s="41" t="n"/>
      <c r="U149" s="43">
        <f>IF(OR($B149="",$L149=""),"",WORKDAY($B149,IFERROR(INDEX(LISTAS!$C$3:$C$42,MATCH($L149,LISTAS!$A$3:$A$42,0)),3)))</f>
        <v/>
      </c>
      <c r="V149" s="40" t="n"/>
      <c r="W149" s="19">
        <f>IF($B149="","",IF($V149&lt;&gt;"",$V149-$B149,TODAY()-$B149))</f>
        <v/>
      </c>
      <c r="X149" s="19">
        <f>IF(OR($B149="",$U149=""),"",IF($V149&lt;&gt;"",MAX(0,$V149-$U149),MAX(0,TODAY()-$U149)))</f>
        <v/>
      </c>
      <c r="Y149" s="39">
        <f>IF($C149="","",IF(IFERROR(INDEX(LISTAS!$I$3:$I$42,MATCH($T149,LISTAS!$H$3:$H$42,0)),"NO")="SÍ",IF(N($X149)&gt;0,"CERRADA FUERA DE SLA","CERRADA EN SLA"),IF($U149="","SIN CLASIFICAR",IF(N($X149)&gt;0,"VENCIDA",IF(TODAY()&gt;=$U149-1,"POR VENCER","EN PLAZO")))))</f>
        <v/>
      </c>
      <c r="Z149" s="41" t="n"/>
      <c r="AA149" s="41" t="n"/>
      <c r="AB149" s="41" t="n"/>
    </row>
    <row r="150">
      <c r="A150" s="39">
        <f>IF($C150="","","NOV-"&amp;TEXT(ROW()-3,"0000"))</f>
        <v/>
      </c>
      <c r="B150" s="40" t="n"/>
      <c r="C150" s="41" t="n"/>
      <c r="D150" s="42">
        <f>IF($C150="","",IFERROR(INDEX(DESPACHOS!$D$3:$D$3002,MATCH($C150,DESPACHOS!$B$3:$B$3002,0)),"SIN DESPACHO"))</f>
        <v/>
      </c>
      <c r="E150" s="42">
        <f>IF($C150="","",IFERROR(INDEX(DESPACHOS!$K$3:$K$3002,MATCH($C150,DESPACHOS!$B$3:$B$3002,0)),""))</f>
        <v/>
      </c>
      <c r="F150" s="42">
        <f>IF($C150="","",IFERROR(INDEX(DESPACHOS!$I$3:$I$3002,MATCH($C150,DESPACHOS!$B$3:$B$3002,0)),""))</f>
        <v/>
      </c>
      <c r="G150" s="42">
        <f>IF($C150="","",IFERROR(INDEX(DESPACHOS!$F$3:$F$3002,MATCH($C150,DESPACHOS!$B$3:$B$3002,0)),""))</f>
        <v/>
      </c>
      <c r="H150" s="42">
        <f>IF($C150="","",IFERROR(INDEX(DESPACHOS!$G$3:$G$3002,MATCH($C150,DESPACHOS!$B$3:$B$3002,0)),""))</f>
        <v/>
      </c>
      <c r="I150" s="39">
        <f>IF($C150="","",IFERROR(INDEX(DESPACHOS!$H$3:$H$3002,MATCH($C150,DESPACHOS!$B$3:$B$3002,0)),""))</f>
        <v/>
      </c>
      <c r="J150" s="43">
        <f>IF($C150="","",IFERROR(INDEX(DESPACHOS!$J$3:$J$3002,MATCH($C150,DESPACHOS!$B$3:$B$3002,0)),""))</f>
        <v/>
      </c>
      <c r="K150" s="39">
        <f>IF($C150="","",IF(COUNTIFS(DESPACHOS!$B$3:$B$3002,$C150)=0,"NO EXISTE",IF(COUNTIFS(DESPACHOS!$B$3:$B$3002,$C150)&gt;1,"DUPLICADO","OK")))</f>
        <v/>
      </c>
      <c r="L150" s="41" t="n"/>
      <c r="M150" s="41" t="n"/>
      <c r="N150" s="42">
        <f>IF($M150="","",IFERROR(INDEX(LISTAS!$F$3:$F$42,MATCH($M150,LISTAS!$E$3:$E$42,0)),"Por definir"))</f>
        <v/>
      </c>
      <c r="O150" s="41" t="n"/>
      <c r="P150" s="39">
        <f>IF($L150="","",IFERROR(INDEX(LISTAS!$B$3:$B$42,MATCH($L150,LISTAS!$A$3:$A$42,0)),"Media"))</f>
        <v/>
      </c>
      <c r="Q150" s="44" t="n"/>
      <c r="R150" s="45" t="n"/>
      <c r="S150" s="20">
        <f>IFERROR(IF(OR($R150="",$C150=""),"",$R150/INDEX(DESPACHOS!$M$3:$M$3002,MATCH($C150,DESPACHOS!$B$3:$B$3002,0))),"")</f>
        <v/>
      </c>
      <c r="T150" s="41" t="n"/>
      <c r="U150" s="43">
        <f>IF(OR($B150="",$L150=""),"",WORKDAY($B150,IFERROR(INDEX(LISTAS!$C$3:$C$42,MATCH($L150,LISTAS!$A$3:$A$42,0)),3)))</f>
        <v/>
      </c>
      <c r="V150" s="40" t="n"/>
      <c r="W150" s="19">
        <f>IF($B150="","",IF($V150&lt;&gt;"",$V150-$B150,TODAY()-$B150))</f>
        <v/>
      </c>
      <c r="X150" s="19">
        <f>IF(OR($B150="",$U150=""),"",IF($V150&lt;&gt;"",MAX(0,$V150-$U150),MAX(0,TODAY()-$U150)))</f>
        <v/>
      </c>
      <c r="Y150" s="39">
        <f>IF($C150="","",IF(IFERROR(INDEX(LISTAS!$I$3:$I$42,MATCH($T150,LISTAS!$H$3:$H$42,0)),"NO")="SÍ",IF(N($X150)&gt;0,"CERRADA FUERA DE SLA","CERRADA EN SLA"),IF($U150="","SIN CLASIFICAR",IF(N($X150)&gt;0,"VENCIDA",IF(TODAY()&gt;=$U150-1,"POR VENCER","EN PLAZO")))))</f>
        <v/>
      </c>
      <c r="Z150" s="41" t="n"/>
      <c r="AA150" s="41" t="n"/>
      <c r="AB150" s="41" t="n"/>
    </row>
    <row r="151">
      <c r="A151" s="39">
        <f>IF($C151="","","NOV-"&amp;TEXT(ROW()-3,"0000"))</f>
        <v/>
      </c>
      <c r="B151" s="40" t="n"/>
      <c r="C151" s="41" t="n"/>
      <c r="D151" s="42">
        <f>IF($C151="","",IFERROR(INDEX(DESPACHOS!$D$3:$D$3002,MATCH($C151,DESPACHOS!$B$3:$B$3002,0)),"SIN DESPACHO"))</f>
        <v/>
      </c>
      <c r="E151" s="42">
        <f>IF($C151="","",IFERROR(INDEX(DESPACHOS!$K$3:$K$3002,MATCH($C151,DESPACHOS!$B$3:$B$3002,0)),""))</f>
        <v/>
      </c>
      <c r="F151" s="42">
        <f>IF($C151="","",IFERROR(INDEX(DESPACHOS!$I$3:$I$3002,MATCH($C151,DESPACHOS!$B$3:$B$3002,0)),""))</f>
        <v/>
      </c>
      <c r="G151" s="42">
        <f>IF($C151="","",IFERROR(INDEX(DESPACHOS!$F$3:$F$3002,MATCH($C151,DESPACHOS!$B$3:$B$3002,0)),""))</f>
        <v/>
      </c>
      <c r="H151" s="42">
        <f>IF($C151="","",IFERROR(INDEX(DESPACHOS!$G$3:$G$3002,MATCH($C151,DESPACHOS!$B$3:$B$3002,0)),""))</f>
        <v/>
      </c>
      <c r="I151" s="39">
        <f>IF($C151="","",IFERROR(INDEX(DESPACHOS!$H$3:$H$3002,MATCH($C151,DESPACHOS!$B$3:$B$3002,0)),""))</f>
        <v/>
      </c>
      <c r="J151" s="43">
        <f>IF($C151="","",IFERROR(INDEX(DESPACHOS!$J$3:$J$3002,MATCH($C151,DESPACHOS!$B$3:$B$3002,0)),""))</f>
        <v/>
      </c>
      <c r="K151" s="39">
        <f>IF($C151="","",IF(COUNTIFS(DESPACHOS!$B$3:$B$3002,$C151)=0,"NO EXISTE",IF(COUNTIFS(DESPACHOS!$B$3:$B$3002,$C151)&gt;1,"DUPLICADO","OK")))</f>
        <v/>
      </c>
      <c r="L151" s="41" t="n"/>
      <c r="M151" s="41" t="n"/>
      <c r="N151" s="42">
        <f>IF($M151="","",IFERROR(INDEX(LISTAS!$F$3:$F$42,MATCH($M151,LISTAS!$E$3:$E$42,0)),"Por definir"))</f>
        <v/>
      </c>
      <c r="O151" s="41" t="n"/>
      <c r="P151" s="39">
        <f>IF($L151="","",IFERROR(INDEX(LISTAS!$B$3:$B$42,MATCH($L151,LISTAS!$A$3:$A$42,0)),"Media"))</f>
        <v/>
      </c>
      <c r="Q151" s="44" t="n"/>
      <c r="R151" s="45" t="n"/>
      <c r="S151" s="20">
        <f>IFERROR(IF(OR($R151="",$C151=""),"",$R151/INDEX(DESPACHOS!$M$3:$M$3002,MATCH($C151,DESPACHOS!$B$3:$B$3002,0))),"")</f>
        <v/>
      </c>
      <c r="T151" s="41" t="n"/>
      <c r="U151" s="43">
        <f>IF(OR($B151="",$L151=""),"",WORKDAY($B151,IFERROR(INDEX(LISTAS!$C$3:$C$42,MATCH($L151,LISTAS!$A$3:$A$42,0)),3)))</f>
        <v/>
      </c>
      <c r="V151" s="40" t="n"/>
      <c r="W151" s="19">
        <f>IF($B151="","",IF($V151&lt;&gt;"",$V151-$B151,TODAY()-$B151))</f>
        <v/>
      </c>
      <c r="X151" s="19">
        <f>IF(OR($B151="",$U151=""),"",IF($V151&lt;&gt;"",MAX(0,$V151-$U151),MAX(0,TODAY()-$U151)))</f>
        <v/>
      </c>
      <c r="Y151" s="39">
        <f>IF($C151="","",IF(IFERROR(INDEX(LISTAS!$I$3:$I$42,MATCH($T151,LISTAS!$H$3:$H$42,0)),"NO")="SÍ",IF(N($X151)&gt;0,"CERRADA FUERA DE SLA","CERRADA EN SLA"),IF($U151="","SIN CLASIFICAR",IF(N($X151)&gt;0,"VENCIDA",IF(TODAY()&gt;=$U151-1,"POR VENCER","EN PLAZO")))))</f>
        <v/>
      </c>
      <c r="Z151" s="41" t="n"/>
      <c r="AA151" s="41" t="n"/>
      <c r="AB151" s="41" t="n"/>
    </row>
    <row r="152">
      <c r="A152" s="39">
        <f>IF($C152="","","NOV-"&amp;TEXT(ROW()-3,"0000"))</f>
        <v/>
      </c>
      <c r="B152" s="40" t="n"/>
      <c r="C152" s="41" t="n"/>
      <c r="D152" s="42">
        <f>IF($C152="","",IFERROR(INDEX(DESPACHOS!$D$3:$D$3002,MATCH($C152,DESPACHOS!$B$3:$B$3002,0)),"SIN DESPACHO"))</f>
        <v/>
      </c>
      <c r="E152" s="42">
        <f>IF($C152="","",IFERROR(INDEX(DESPACHOS!$K$3:$K$3002,MATCH($C152,DESPACHOS!$B$3:$B$3002,0)),""))</f>
        <v/>
      </c>
      <c r="F152" s="42">
        <f>IF($C152="","",IFERROR(INDEX(DESPACHOS!$I$3:$I$3002,MATCH($C152,DESPACHOS!$B$3:$B$3002,0)),""))</f>
        <v/>
      </c>
      <c r="G152" s="42">
        <f>IF($C152="","",IFERROR(INDEX(DESPACHOS!$F$3:$F$3002,MATCH($C152,DESPACHOS!$B$3:$B$3002,0)),""))</f>
        <v/>
      </c>
      <c r="H152" s="42">
        <f>IF($C152="","",IFERROR(INDEX(DESPACHOS!$G$3:$G$3002,MATCH($C152,DESPACHOS!$B$3:$B$3002,0)),""))</f>
        <v/>
      </c>
      <c r="I152" s="39">
        <f>IF($C152="","",IFERROR(INDEX(DESPACHOS!$H$3:$H$3002,MATCH($C152,DESPACHOS!$B$3:$B$3002,0)),""))</f>
        <v/>
      </c>
      <c r="J152" s="43">
        <f>IF($C152="","",IFERROR(INDEX(DESPACHOS!$J$3:$J$3002,MATCH($C152,DESPACHOS!$B$3:$B$3002,0)),""))</f>
        <v/>
      </c>
      <c r="K152" s="39">
        <f>IF($C152="","",IF(COUNTIFS(DESPACHOS!$B$3:$B$3002,$C152)=0,"NO EXISTE",IF(COUNTIFS(DESPACHOS!$B$3:$B$3002,$C152)&gt;1,"DUPLICADO","OK")))</f>
        <v/>
      </c>
      <c r="L152" s="41" t="n"/>
      <c r="M152" s="41" t="n"/>
      <c r="N152" s="42">
        <f>IF($M152="","",IFERROR(INDEX(LISTAS!$F$3:$F$42,MATCH($M152,LISTAS!$E$3:$E$42,0)),"Por definir"))</f>
        <v/>
      </c>
      <c r="O152" s="41" t="n"/>
      <c r="P152" s="39">
        <f>IF($L152="","",IFERROR(INDEX(LISTAS!$B$3:$B$42,MATCH($L152,LISTAS!$A$3:$A$42,0)),"Media"))</f>
        <v/>
      </c>
      <c r="Q152" s="44" t="n"/>
      <c r="R152" s="45" t="n"/>
      <c r="S152" s="20">
        <f>IFERROR(IF(OR($R152="",$C152=""),"",$R152/INDEX(DESPACHOS!$M$3:$M$3002,MATCH($C152,DESPACHOS!$B$3:$B$3002,0))),"")</f>
        <v/>
      </c>
      <c r="T152" s="41" t="n"/>
      <c r="U152" s="43">
        <f>IF(OR($B152="",$L152=""),"",WORKDAY($B152,IFERROR(INDEX(LISTAS!$C$3:$C$42,MATCH($L152,LISTAS!$A$3:$A$42,0)),3)))</f>
        <v/>
      </c>
      <c r="V152" s="40" t="n"/>
      <c r="W152" s="19">
        <f>IF($B152="","",IF($V152&lt;&gt;"",$V152-$B152,TODAY()-$B152))</f>
        <v/>
      </c>
      <c r="X152" s="19">
        <f>IF(OR($B152="",$U152=""),"",IF($V152&lt;&gt;"",MAX(0,$V152-$U152),MAX(0,TODAY()-$U152)))</f>
        <v/>
      </c>
      <c r="Y152" s="39">
        <f>IF($C152="","",IF(IFERROR(INDEX(LISTAS!$I$3:$I$42,MATCH($T152,LISTAS!$H$3:$H$42,0)),"NO")="SÍ",IF(N($X152)&gt;0,"CERRADA FUERA DE SLA","CERRADA EN SLA"),IF($U152="","SIN CLASIFICAR",IF(N($X152)&gt;0,"VENCIDA",IF(TODAY()&gt;=$U152-1,"POR VENCER","EN PLAZO")))))</f>
        <v/>
      </c>
      <c r="Z152" s="41" t="n"/>
      <c r="AA152" s="41" t="n"/>
      <c r="AB152" s="41" t="n"/>
    </row>
    <row r="153">
      <c r="A153" s="39">
        <f>IF($C153="","","NOV-"&amp;TEXT(ROW()-3,"0000"))</f>
        <v/>
      </c>
      <c r="B153" s="40" t="n"/>
      <c r="C153" s="41" t="n"/>
      <c r="D153" s="42">
        <f>IF($C153="","",IFERROR(INDEX(DESPACHOS!$D$3:$D$3002,MATCH($C153,DESPACHOS!$B$3:$B$3002,0)),"SIN DESPACHO"))</f>
        <v/>
      </c>
      <c r="E153" s="42">
        <f>IF($C153="","",IFERROR(INDEX(DESPACHOS!$K$3:$K$3002,MATCH($C153,DESPACHOS!$B$3:$B$3002,0)),""))</f>
        <v/>
      </c>
      <c r="F153" s="42">
        <f>IF($C153="","",IFERROR(INDEX(DESPACHOS!$I$3:$I$3002,MATCH($C153,DESPACHOS!$B$3:$B$3002,0)),""))</f>
        <v/>
      </c>
      <c r="G153" s="42">
        <f>IF($C153="","",IFERROR(INDEX(DESPACHOS!$F$3:$F$3002,MATCH($C153,DESPACHOS!$B$3:$B$3002,0)),""))</f>
        <v/>
      </c>
      <c r="H153" s="42">
        <f>IF($C153="","",IFERROR(INDEX(DESPACHOS!$G$3:$G$3002,MATCH($C153,DESPACHOS!$B$3:$B$3002,0)),""))</f>
        <v/>
      </c>
      <c r="I153" s="39">
        <f>IF($C153="","",IFERROR(INDEX(DESPACHOS!$H$3:$H$3002,MATCH($C153,DESPACHOS!$B$3:$B$3002,0)),""))</f>
        <v/>
      </c>
      <c r="J153" s="43">
        <f>IF($C153="","",IFERROR(INDEX(DESPACHOS!$J$3:$J$3002,MATCH($C153,DESPACHOS!$B$3:$B$3002,0)),""))</f>
        <v/>
      </c>
      <c r="K153" s="39">
        <f>IF($C153="","",IF(COUNTIFS(DESPACHOS!$B$3:$B$3002,$C153)=0,"NO EXISTE",IF(COUNTIFS(DESPACHOS!$B$3:$B$3002,$C153)&gt;1,"DUPLICADO","OK")))</f>
        <v/>
      </c>
      <c r="L153" s="41" t="n"/>
      <c r="M153" s="41" t="n"/>
      <c r="N153" s="42">
        <f>IF($M153="","",IFERROR(INDEX(LISTAS!$F$3:$F$42,MATCH($M153,LISTAS!$E$3:$E$42,0)),"Por definir"))</f>
        <v/>
      </c>
      <c r="O153" s="41" t="n"/>
      <c r="P153" s="39">
        <f>IF($L153="","",IFERROR(INDEX(LISTAS!$B$3:$B$42,MATCH($L153,LISTAS!$A$3:$A$42,0)),"Media"))</f>
        <v/>
      </c>
      <c r="Q153" s="44" t="n"/>
      <c r="R153" s="45" t="n"/>
      <c r="S153" s="20">
        <f>IFERROR(IF(OR($R153="",$C153=""),"",$R153/INDEX(DESPACHOS!$M$3:$M$3002,MATCH($C153,DESPACHOS!$B$3:$B$3002,0))),"")</f>
        <v/>
      </c>
      <c r="T153" s="41" t="n"/>
      <c r="U153" s="43">
        <f>IF(OR($B153="",$L153=""),"",WORKDAY($B153,IFERROR(INDEX(LISTAS!$C$3:$C$42,MATCH($L153,LISTAS!$A$3:$A$42,0)),3)))</f>
        <v/>
      </c>
      <c r="V153" s="40" t="n"/>
      <c r="W153" s="19">
        <f>IF($B153="","",IF($V153&lt;&gt;"",$V153-$B153,TODAY()-$B153))</f>
        <v/>
      </c>
      <c r="X153" s="19">
        <f>IF(OR($B153="",$U153=""),"",IF($V153&lt;&gt;"",MAX(0,$V153-$U153),MAX(0,TODAY()-$U153)))</f>
        <v/>
      </c>
      <c r="Y153" s="39">
        <f>IF($C153="","",IF(IFERROR(INDEX(LISTAS!$I$3:$I$42,MATCH($T153,LISTAS!$H$3:$H$42,0)),"NO")="SÍ",IF(N($X153)&gt;0,"CERRADA FUERA DE SLA","CERRADA EN SLA"),IF($U153="","SIN CLASIFICAR",IF(N($X153)&gt;0,"VENCIDA",IF(TODAY()&gt;=$U153-1,"POR VENCER","EN PLAZO")))))</f>
        <v/>
      </c>
      <c r="Z153" s="41" t="n"/>
      <c r="AA153" s="41" t="n"/>
      <c r="AB153" s="41" t="n"/>
    </row>
    <row r="154">
      <c r="A154" s="39">
        <f>IF($C154="","","NOV-"&amp;TEXT(ROW()-3,"0000"))</f>
        <v/>
      </c>
      <c r="B154" s="40" t="n"/>
      <c r="C154" s="41" t="n"/>
      <c r="D154" s="42">
        <f>IF($C154="","",IFERROR(INDEX(DESPACHOS!$D$3:$D$3002,MATCH($C154,DESPACHOS!$B$3:$B$3002,0)),"SIN DESPACHO"))</f>
        <v/>
      </c>
      <c r="E154" s="42">
        <f>IF($C154="","",IFERROR(INDEX(DESPACHOS!$K$3:$K$3002,MATCH($C154,DESPACHOS!$B$3:$B$3002,0)),""))</f>
        <v/>
      </c>
      <c r="F154" s="42">
        <f>IF($C154="","",IFERROR(INDEX(DESPACHOS!$I$3:$I$3002,MATCH($C154,DESPACHOS!$B$3:$B$3002,0)),""))</f>
        <v/>
      </c>
      <c r="G154" s="42">
        <f>IF($C154="","",IFERROR(INDEX(DESPACHOS!$F$3:$F$3002,MATCH($C154,DESPACHOS!$B$3:$B$3002,0)),""))</f>
        <v/>
      </c>
      <c r="H154" s="42">
        <f>IF($C154="","",IFERROR(INDEX(DESPACHOS!$G$3:$G$3002,MATCH($C154,DESPACHOS!$B$3:$B$3002,0)),""))</f>
        <v/>
      </c>
      <c r="I154" s="39">
        <f>IF($C154="","",IFERROR(INDEX(DESPACHOS!$H$3:$H$3002,MATCH($C154,DESPACHOS!$B$3:$B$3002,0)),""))</f>
        <v/>
      </c>
      <c r="J154" s="43">
        <f>IF($C154="","",IFERROR(INDEX(DESPACHOS!$J$3:$J$3002,MATCH($C154,DESPACHOS!$B$3:$B$3002,0)),""))</f>
        <v/>
      </c>
      <c r="K154" s="39">
        <f>IF($C154="","",IF(COUNTIFS(DESPACHOS!$B$3:$B$3002,$C154)=0,"NO EXISTE",IF(COUNTIFS(DESPACHOS!$B$3:$B$3002,$C154)&gt;1,"DUPLICADO","OK")))</f>
        <v/>
      </c>
      <c r="L154" s="41" t="n"/>
      <c r="M154" s="41" t="n"/>
      <c r="N154" s="42">
        <f>IF($M154="","",IFERROR(INDEX(LISTAS!$F$3:$F$42,MATCH($M154,LISTAS!$E$3:$E$42,0)),"Por definir"))</f>
        <v/>
      </c>
      <c r="O154" s="41" t="n"/>
      <c r="P154" s="39">
        <f>IF($L154="","",IFERROR(INDEX(LISTAS!$B$3:$B$42,MATCH($L154,LISTAS!$A$3:$A$42,0)),"Media"))</f>
        <v/>
      </c>
      <c r="Q154" s="44" t="n"/>
      <c r="R154" s="45" t="n"/>
      <c r="S154" s="20">
        <f>IFERROR(IF(OR($R154="",$C154=""),"",$R154/INDEX(DESPACHOS!$M$3:$M$3002,MATCH($C154,DESPACHOS!$B$3:$B$3002,0))),"")</f>
        <v/>
      </c>
      <c r="T154" s="41" t="n"/>
      <c r="U154" s="43">
        <f>IF(OR($B154="",$L154=""),"",WORKDAY($B154,IFERROR(INDEX(LISTAS!$C$3:$C$42,MATCH($L154,LISTAS!$A$3:$A$42,0)),3)))</f>
        <v/>
      </c>
      <c r="V154" s="40" t="n"/>
      <c r="W154" s="19">
        <f>IF($B154="","",IF($V154&lt;&gt;"",$V154-$B154,TODAY()-$B154))</f>
        <v/>
      </c>
      <c r="X154" s="19">
        <f>IF(OR($B154="",$U154=""),"",IF($V154&lt;&gt;"",MAX(0,$V154-$U154),MAX(0,TODAY()-$U154)))</f>
        <v/>
      </c>
      <c r="Y154" s="39">
        <f>IF($C154="","",IF(IFERROR(INDEX(LISTAS!$I$3:$I$42,MATCH($T154,LISTAS!$H$3:$H$42,0)),"NO")="SÍ",IF(N($X154)&gt;0,"CERRADA FUERA DE SLA","CERRADA EN SLA"),IF($U154="","SIN CLASIFICAR",IF(N($X154)&gt;0,"VENCIDA",IF(TODAY()&gt;=$U154-1,"POR VENCER","EN PLAZO")))))</f>
        <v/>
      </c>
      <c r="Z154" s="41" t="n"/>
      <c r="AA154" s="41" t="n"/>
      <c r="AB154" s="41" t="n"/>
    </row>
    <row r="155">
      <c r="A155" s="39">
        <f>IF($C155="","","NOV-"&amp;TEXT(ROW()-3,"0000"))</f>
        <v/>
      </c>
      <c r="B155" s="40" t="n"/>
      <c r="C155" s="41" t="n"/>
      <c r="D155" s="42">
        <f>IF($C155="","",IFERROR(INDEX(DESPACHOS!$D$3:$D$3002,MATCH($C155,DESPACHOS!$B$3:$B$3002,0)),"SIN DESPACHO"))</f>
        <v/>
      </c>
      <c r="E155" s="42">
        <f>IF($C155="","",IFERROR(INDEX(DESPACHOS!$K$3:$K$3002,MATCH($C155,DESPACHOS!$B$3:$B$3002,0)),""))</f>
        <v/>
      </c>
      <c r="F155" s="42">
        <f>IF($C155="","",IFERROR(INDEX(DESPACHOS!$I$3:$I$3002,MATCH($C155,DESPACHOS!$B$3:$B$3002,0)),""))</f>
        <v/>
      </c>
      <c r="G155" s="42">
        <f>IF($C155="","",IFERROR(INDEX(DESPACHOS!$F$3:$F$3002,MATCH($C155,DESPACHOS!$B$3:$B$3002,0)),""))</f>
        <v/>
      </c>
      <c r="H155" s="42">
        <f>IF($C155="","",IFERROR(INDEX(DESPACHOS!$G$3:$G$3002,MATCH($C155,DESPACHOS!$B$3:$B$3002,0)),""))</f>
        <v/>
      </c>
      <c r="I155" s="39">
        <f>IF($C155="","",IFERROR(INDEX(DESPACHOS!$H$3:$H$3002,MATCH($C155,DESPACHOS!$B$3:$B$3002,0)),""))</f>
        <v/>
      </c>
      <c r="J155" s="43">
        <f>IF($C155="","",IFERROR(INDEX(DESPACHOS!$J$3:$J$3002,MATCH($C155,DESPACHOS!$B$3:$B$3002,0)),""))</f>
        <v/>
      </c>
      <c r="K155" s="39">
        <f>IF($C155="","",IF(COUNTIFS(DESPACHOS!$B$3:$B$3002,$C155)=0,"NO EXISTE",IF(COUNTIFS(DESPACHOS!$B$3:$B$3002,$C155)&gt;1,"DUPLICADO","OK")))</f>
        <v/>
      </c>
      <c r="L155" s="41" t="n"/>
      <c r="M155" s="41" t="n"/>
      <c r="N155" s="42">
        <f>IF($M155="","",IFERROR(INDEX(LISTAS!$F$3:$F$42,MATCH($M155,LISTAS!$E$3:$E$42,0)),"Por definir"))</f>
        <v/>
      </c>
      <c r="O155" s="41" t="n"/>
      <c r="P155" s="39">
        <f>IF($L155="","",IFERROR(INDEX(LISTAS!$B$3:$B$42,MATCH($L155,LISTAS!$A$3:$A$42,0)),"Media"))</f>
        <v/>
      </c>
      <c r="Q155" s="44" t="n"/>
      <c r="R155" s="45" t="n"/>
      <c r="S155" s="20">
        <f>IFERROR(IF(OR($R155="",$C155=""),"",$R155/INDEX(DESPACHOS!$M$3:$M$3002,MATCH($C155,DESPACHOS!$B$3:$B$3002,0))),"")</f>
        <v/>
      </c>
      <c r="T155" s="41" t="n"/>
      <c r="U155" s="43">
        <f>IF(OR($B155="",$L155=""),"",WORKDAY($B155,IFERROR(INDEX(LISTAS!$C$3:$C$42,MATCH($L155,LISTAS!$A$3:$A$42,0)),3)))</f>
        <v/>
      </c>
      <c r="V155" s="40" t="n"/>
      <c r="W155" s="19">
        <f>IF($B155="","",IF($V155&lt;&gt;"",$V155-$B155,TODAY()-$B155))</f>
        <v/>
      </c>
      <c r="X155" s="19">
        <f>IF(OR($B155="",$U155=""),"",IF($V155&lt;&gt;"",MAX(0,$V155-$U155),MAX(0,TODAY()-$U155)))</f>
        <v/>
      </c>
      <c r="Y155" s="39">
        <f>IF($C155="","",IF(IFERROR(INDEX(LISTAS!$I$3:$I$42,MATCH($T155,LISTAS!$H$3:$H$42,0)),"NO")="SÍ",IF(N($X155)&gt;0,"CERRADA FUERA DE SLA","CERRADA EN SLA"),IF($U155="","SIN CLASIFICAR",IF(N($X155)&gt;0,"VENCIDA",IF(TODAY()&gt;=$U155-1,"POR VENCER","EN PLAZO")))))</f>
        <v/>
      </c>
      <c r="Z155" s="41" t="n"/>
      <c r="AA155" s="41" t="n"/>
      <c r="AB155" s="41" t="n"/>
    </row>
    <row r="156">
      <c r="A156" s="39">
        <f>IF($C156="","","NOV-"&amp;TEXT(ROW()-3,"0000"))</f>
        <v/>
      </c>
      <c r="B156" s="40" t="n"/>
      <c r="C156" s="41" t="n"/>
      <c r="D156" s="42">
        <f>IF($C156="","",IFERROR(INDEX(DESPACHOS!$D$3:$D$3002,MATCH($C156,DESPACHOS!$B$3:$B$3002,0)),"SIN DESPACHO"))</f>
        <v/>
      </c>
      <c r="E156" s="42">
        <f>IF($C156="","",IFERROR(INDEX(DESPACHOS!$K$3:$K$3002,MATCH($C156,DESPACHOS!$B$3:$B$3002,0)),""))</f>
        <v/>
      </c>
      <c r="F156" s="42">
        <f>IF($C156="","",IFERROR(INDEX(DESPACHOS!$I$3:$I$3002,MATCH($C156,DESPACHOS!$B$3:$B$3002,0)),""))</f>
        <v/>
      </c>
      <c r="G156" s="42">
        <f>IF($C156="","",IFERROR(INDEX(DESPACHOS!$F$3:$F$3002,MATCH($C156,DESPACHOS!$B$3:$B$3002,0)),""))</f>
        <v/>
      </c>
      <c r="H156" s="42">
        <f>IF($C156="","",IFERROR(INDEX(DESPACHOS!$G$3:$G$3002,MATCH($C156,DESPACHOS!$B$3:$B$3002,0)),""))</f>
        <v/>
      </c>
      <c r="I156" s="39">
        <f>IF($C156="","",IFERROR(INDEX(DESPACHOS!$H$3:$H$3002,MATCH($C156,DESPACHOS!$B$3:$B$3002,0)),""))</f>
        <v/>
      </c>
      <c r="J156" s="43">
        <f>IF($C156="","",IFERROR(INDEX(DESPACHOS!$J$3:$J$3002,MATCH($C156,DESPACHOS!$B$3:$B$3002,0)),""))</f>
        <v/>
      </c>
      <c r="K156" s="39">
        <f>IF($C156="","",IF(COUNTIFS(DESPACHOS!$B$3:$B$3002,$C156)=0,"NO EXISTE",IF(COUNTIFS(DESPACHOS!$B$3:$B$3002,$C156)&gt;1,"DUPLICADO","OK")))</f>
        <v/>
      </c>
      <c r="L156" s="41" t="n"/>
      <c r="M156" s="41" t="n"/>
      <c r="N156" s="42">
        <f>IF($M156="","",IFERROR(INDEX(LISTAS!$F$3:$F$42,MATCH($M156,LISTAS!$E$3:$E$42,0)),"Por definir"))</f>
        <v/>
      </c>
      <c r="O156" s="41" t="n"/>
      <c r="P156" s="39">
        <f>IF($L156="","",IFERROR(INDEX(LISTAS!$B$3:$B$42,MATCH($L156,LISTAS!$A$3:$A$42,0)),"Media"))</f>
        <v/>
      </c>
      <c r="Q156" s="44" t="n"/>
      <c r="R156" s="45" t="n"/>
      <c r="S156" s="20">
        <f>IFERROR(IF(OR($R156="",$C156=""),"",$R156/INDEX(DESPACHOS!$M$3:$M$3002,MATCH($C156,DESPACHOS!$B$3:$B$3002,0))),"")</f>
        <v/>
      </c>
      <c r="T156" s="41" t="n"/>
      <c r="U156" s="43">
        <f>IF(OR($B156="",$L156=""),"",WORKDAY($B156,IFERROR(INDEX(LISTAS!$C$3:$C$42,MATCH($L156,LISTAS!$A$3:$A$42,0)),3)))</f>
        <v/>
      </c>
      <c r="V156" s="40" t="n"/>
      <c r="W156" s="19">
        <f>IF($B156="","",IF($V156&lt;&gt;"",$V156-$B156,TODAY()-$B156))</f>
        <v/>
      </c>
      <c r="X156" s="19">
        <f>IF(OR($B156="",$U156=""),"",IF($V156&lt;&gt;"",MAX(0,$V156-$U156),MAX(0,TODAY()-$U156)))</f>
        <v/>
      </c>
      <c r="Y156" s="39">
        <f>IF($C156="","",IF(IFERROR(INDEX(LISTAS!$I$3:$I$42,MATCH($T156,LISTAS!$H$3:$H$42,0)),"NO")="SÍ",IF(N($X156)&gt;0,"CERRADA FUERA DE SLA","CERRADA EN SLA"),IF($U156="","SIN CLASIFICAR",IF(N($X156)&gt;0,"VENCIDA",IF(TODAY()&gt;=$U156-1,"POR VENCER","EN PLAZO")))))</f>
        <v/>
      </c>
      <c r="Z156" s="41" t="n"/>
      <c r="AA156" s="41" t="n"/>
      <c r="AB156" s="41" t="n"/>
    </row>
    <row r="157">
      <c r="A157" s="39">
        <f>IF($C157="","","NOV-"&amp;TEXT(ROW()-3,"0000"))</f>
        <v/>
      </c>
      <c r="B157" s="40" t="n"/>
      <c r="C157" s="41" t="n"/>
      <c r="D157" s="42">
        <f>IF($C157="","",IFERROR(INDEX(DESPACHOS!$D$3:$D$3002,MATCH($C157,DESPACHOS!$B$3:$B$3002,0)),"SIN DESPACHO"))</f>
        <v/>
      </c>
      <c r="E157" s="42">
        <f>IF($C157="","",IFERROR(INDEX(DESPACHOS!$K$3:$K$3002,MATCH($C157,DESPACHOS!$B$3:$B$3002,0)),""))</f>
        <v/>
      </c>
      <c r="F157" s="42">
        <f>IF($C157="","",IFERROR(INDEX(DESPACHOS!$I$3:$I$3002,MATCH($C157,DESPACHOS!$B$3:$B$3002,0)),""))</f>
        <v/>
      </c>
      <c r="G157" s="42">
        <f>IF($C157="","",IFERROR(INDEX(DESPACHOS!$F$3:$F$3002,MATCH($C157,DESPACHOS!$B$3:$B$3002,0)),""))</f>
        <v/>
      </c>
      <c r="H157" s="42">
        <f>IF($C157="","",IFERROR(INDEX(DESPACHOS!$G$3:$G$3002,MATCH($C157,DESPACHOS!$B$3:$B$3002,0)),""))</f>
        <v/>
      </c>
      <c r="I157" s="39">
        <f>IF($C157="","",IFERROR(INDEX(DESPACHOS!$H$3:$H$3002,MATCH($C157,DESPACHOS!$B$3:$B$3002,0)),""))</f>
        <v/>
      </c>
      <c r="J157" s="43">
        <f>IF($C157="","",IFERROR(INDEX(DESPACHOS!$J$3:$J$3002,MATCH($C157,DESPACHOS!$B$3:$B$3002,0)),""))</f>
        <v/>
      </c>
      <c r="K157" s="39">
        <f>IF($C157="","",IF(COUNTIFS(DESPACHOS!$B$3:$B$3002,$C157)=0,"NO EXISTE",IF(COUNTIFS(DESPACHOS!$B$3:$B$3002,$C157)&gt;1,"DUPLICADO","OK")))</f>
        <v/>
      </c>
      <c r="L157" s="41" t="n"/>
      <c r="M157" s="41" t="n"/>
      <c r="N157" s="42">
        <f>IF($M157="","",IFERROR(INDEX(LISTAS!$F$3:$F$42,MATCH($M157,LISTAS!$E$3:$E$42,0)),"Por definir"))</f>
        <v/>
      </c>
      <c r="O157" s="41" t="n"/>
      <c r="P157" s="39">
        <f>IF($L157="","",IFERROR(INDEX(LISTAS!$B$3:$B$42,MATCH($L157,LISTAS!$A$3:$A$42,0)),"Media"))</f>
        <v/>
      </c>
      <c r="Q157" s="44" t="n"/>
      <c r="R157" s="45" t="n"/>
      <c r="S157" s="20">
        <f>IFERROR(IF(OR($R157="",$C157=""),"",$R157/INDEX(DESPACHOS!$M$3:$M$3002,MATCH($C157,DESPACHOS!$B$3:$B$3002,0))),"")</f>
        <v/>
      </c>
      <c r="T157" s="41" t="n"/>
      <c r="U157" s="43">
        <f>IF(OR($B157="",$L157=""),"",WORKDAY($B157,IFERROR(INDEX(LISTAS!$C$3:$C$42,MATCH($L157,LISTAS!$A$3:$A$42,0)),3)))</f>
        <v/>
      </c>
      <c r="V157" s="40" t="n"/>
      <c r="W157" s="19">
        <f>IF($B157="","",IF($V157&lt;&gt;"",$V157-$B157,TODAY()-$B157))</f>
        <v/>
      </c>
      <c r="X157" s="19">
        <f>IF(OR($B157="",$U157=""),"",IF($V157&lt;&gt;"",MAX(0,$V157-$U157),MAX(0,TODAY()-$U157)))</f>
        <v/>
      </c>
      <c r="Y157" s="39">
        <f>IF($C157="","",IF(IFERROR(INDEX(LISTAS!$I$3:$I$42,MATCH($T157,LISTAS!$H$3:$H$42,0)),"NO")="SÍ",IF(N($X157)&gt;0,"CERRADA FUERA DE SLA","CERRADA EN SLA"),IF($U157="","SIN CLASIFICAR",IF(N($X157)&gt;0,"VENCIDA",IF(TODAY()&gt;=$U157-1,"POR VENCER","EN PLAZO")))))</f>
        <v/>
      </c>
      <c r="Z157" s="41" t="n"/>
      <c r="AA157" s="41" t="n"/>
      <c r="AB157" s="41" t="n"/>
    </row>
    <row r="158">
      <c r="A158" s="39">
        <f>IF($C158="","","NOV-"&amp;TEXT(ROW()-3,"0000"))</f>
        <v/>
      </c>
      <c r="B158" s="40" t="n"/>
      <c r="C158" s="41" t="n"/>
      <c r="D158" s="42">
        <f>IF($C158="","",IFERROR(INDEX(DESPACHOS!$D$3:$D$3002,MATCH($C158,DESPACHOS!$B$3:$B$3002,0)),"SIN DESPACHO"))</f>
        <v/>
      </c>
      <c r="E158" s="42">
        <f>IF($C158="","",IFERROR(INDEX(DESPACHOS!$K$3:$K$3002,MATCH($C158,DESPACHOS!$B$3:$B$3002,0)),""))</f>
        <v/>
      </c>
      <c r="F158" s="42">
        <f>IF($C158="","",IFERROR(INDEX(DESPACHOS!$I$3:$I$3002,MATCH($C158,DESPACHOS!$B$3:$B$3002,0)),""))</f>
        <v/>
      </c>
      <c r="G158" s="42">
        <f>IF($C158="","",IFERROR(INDEX(DESPACHOS!$F$3:$F$3002,MATCH($C158,DESPACHOS!$B$3:$B$3002,0)),""))</f>
        <v/>
      </c>
      <c r="H158" s="42">
        <f>IF($C158="","",IFERROR(INDEX(DESPACHOS!$G$3:$G$3002,MATCH($C158,DESPACHOS!$B$3:$B$3002,0)),""))</f>
        <v/>
      </c>
      <c r="I158" s="39">
        <f>IF($C158="","",IFERROR(INDEX(DESPACHOS!$H$3:$H$3002,MATCH($C158,DESPACHOS!$B$3:$B$3002,0)),""))</f>
        <v/>
      </c>
      <c r="J158" s="43">
        <f>IF($C158="","",IFERROR(INDEX(DESPACHOS!$J$3:$J$3002,MATCH($C158,DESPACHOS!$B$3:$B$3002,0)),""))</f>
        <v/>
      </c>
      <c r="K158" s="39">
        <f>IF($C158="","",IF(COUNTIFS(DESPACHOS!$B$3:$B$3002,$C158)=0,"NO EXISTE",IF(COUNTIFS(DESPACHOS!$B$3:$B$3002,$C158)&gt;1,"DUPLICADO","OK")))</f>
        <v/>
      </c>
      <c r="L158" s="41" t="n"/>
      <c r="M158" s="41" t="n"/>
      <c r="N158" s="42">
        <f>IF($M158="","",IFERROR(INDEX(LISTAS!$F$3:$F$42,MATCH($M158,LISTAS!$E$3:$E$42,0)),"Por definir"))</f>
        <v/>
      </c>
      <c r="O158" s="41" t="n"/>
      <c r="P158" s="39">
        <f>IF($L158="","",IFERROR(INDEX(LISTAS!$B$3:$B$42,MATCH($L158,LISTAS!$A$3:$A$42,0)),"Media"))</f>
        <v/>
      </c>
      <c r="Q158" s="44" t="n"/>
      <c r="R158" s="45" t="n"/>
      <c r="S158" s="20">
        <f>IFERROR(IF(OR($R158="",$C158=""),"",$R158/INDEX(DESPACHOS!$M$3:$M$3002,MATCH($C158,DESPACHOS!$B$3:$B$3002,0))),"")</f>
        <v/>
      </c>
      <c r="T158" s="41" t="n"/>
      <c r="U158" s="43">
        <f>IF(OR($B158="",$L158=""),"",WORKDAY($B158,IFERROR(INDEX(LISTAS!$C$3:$C$42,MATCH($L158,LISTAS!$A$3:$A$42,0)),3)))</f>
        <v/>
      </c>
      <c r="V158" s="40" t="n"/>
      <c r="W158" s="19">
        <f>IF($B158="","",IF($V158&lt;&gt;"",$V158-$B158,TODAY()-$B158))</f>
        <v/>
      </c>
      <c r="X158" s="19">
        <f>IF(OR($B158="",$U158=""),"",IF($V158&lt;&gt;"",MAX(0,$V158-$U158),MAX(0,TODAY()-$U158)))</f>
        <v/>
      </c>
      <c r="Y158" s="39">
        <f>IF($C158="","",IF(IFERROR(INDEX(LISTAS!$I$3:$I$42,MATCH($T158,LISTAS!$H$3:$H$42,0)),"NO")="SÍ",IF(N($X158)&gt;0,"CERRADA FUERA DE SLA","CERRADA EN SLA"),IF($U158="","SIN CLASIFICAR",IF(N($X158)&gt;0,"VENCIDA",IF(TODAY()&gt;=$U158-1,"POR VENCER","EN PLAZO")))))</f>
        <v/>
      </c>
      <c r="Z158" s="41" t="n"/>
      <c r="AA158" s="41" t="n"/>
      <c r="AB158" s="41" t="n"/>
    </row>
    <row r="159">
      <c r="A159" s="39">
        <f>IF($C159="","","NOV-"&amp;TEXT(ROW()-3,"0000"))</f>
        <v/>
      </c>
      <c r="B159" s="40" t="n"/>
      <c r="C159" s="41" t="n"/>
      <c r="D159" s="42">
        <f>IF($C159="","",IFERROR(INDEX(DESPACHOS!$D$3:$D$3002,MATCH($C159,DESPACHOS!$B$3:$B$3002,0)),"SIN DESPACHO"))</f>
        <v/>
      </c>
      <c r="E159" s="42">
        <f>IF($C159="","",IFERROR(INDEX(DESPACHOS!$K$3:$K$3002,MATCH($C159,DESPACHOS!$B$3:$B$3002,0)),""))</f>
        <v/>
      </c>
      <c r="F159" s="42">
        <f>IF($C159="","",IFERROR(INDEX(DESPACHOS!$I$3:$I$3002,MATCH($C159,DESPACHOS!$B$3:$B$3002,0)),""))</f>
        <v/>
      </c>
      <c r="G159" s="42">
        <f>IF($C159="","",IFERROR(INDEX(DESPACHOS!$F$3:$F$3002,MATCH($C159,DESPACHOS!$B$3:$B$3002,0)),""))</f>
        <v/>
      </c>
      <c r="H159" s="42">
        <f>IF($C159="","",IFERROR(INDEX(DESPACHOS!$G$3:$G$3002,MATCH($C159,DESPACHOS!$B$3:$B$3002,0)),""))</f>
        <v/>
      </c>
      <c r="I159" s="39">
        <f>IF($C159="","",IFERROR(INDEX(DESPACHOS!$H$3:$H$3002,MATCH($C159,DESPACHOS!$B$3:$B$3002,0)),""))</f>
        <v/>
      </c>
      <c r="J159" s="43">
        <f>IF($C159="","",IFERROR(INDEX(DESPACHOS!$J$3:$J$3002,MATCH($C159,DESPACHOS!$B$3:$B$3002,0)),""))</f>
        <v/>
      </c>
      <c r="K159" s="39">
        <f>IF($C159="","",IF(COUNTIFS(DESPACHOS!$B$3:$B$3002,$C159)=0,"NO EXISTE",IF(COUNTIFS(DESPACHOS!$B$3:$B$3002,$C159)&gt;1,"DUPLICADO","OK")))</f>
        <v/>
      </c>
      <c r="L159" s="41" t="n"/>
      <c r="M159" s="41" t="n"/>
      <c r="N159" s="42">
        <f>IF($M159="","",IFERROR(INDEX(LISTAS!$F$3:$F$42,MATCH($M159,LISTAS!$E$3:$E$42,0)),"Por definir"))</f>
        <v/>
      </c>
      <c r="O159" s="41" t="n"/>
      <c r="P159" s="39">
        <f>IF($L159="","",IFERROR(INDEX(LISTAS!$B$3:$B$42,MATCH($L159,LISTAS!$A$3:$A$42,0)),"Media"))</f>
        <v/>
      </c>
      <c r="Q159" s="44" t="n"/>
      <c r="R159" s="45" t="n"/>
      <c r="S159" s="20">
        <f>IFERROR(IF(OR($R159="",$C159=""),"",$R159/INDEX(DESPACHOS!$M$3:$M$3002,MATCH($C159,DESPACHOS!$B$3:$B$3002,0))),"")</f>
        <v/>
      </c>
      <c r="T159" s="41" t="n"/>
      <c r="U159" s="43">
        <f>IF(OR($B159="",$L159=""),"",WORKDAY($B159,IFERROR(INDEX(LISTAS!$C$3:$C$42,MATCH($L159,LISTAS!$A$3:$A$42,0)),3)))</f>
        <v/>
      </c>
      <c r="V159" s="40" t="n"/>
      <c r="W159" s="19">
        <f>IF($B159="","",IF($V159&lt;&gt;"",$V159-$B159,TODAY()-$B159))</f>
        <v/>
      </c>
      <c r="X159" s="19">
        <f>IF(OR($B159="",$U159=""),"",IF($V159&lt;&gt;"",MAX(0,$V159-$U159),MAX(0,TODAY()-$U159)))</f>
        <v/>
      </c>
      <c r="Y159" s="39">
        <f>IF($C159="","",IF(IFERROR(INDEX(LISTAS!$I$3:$I$42,MATCH($T159,LISTAS!$H$3:$H$42,0)),"NO")="SÍ",IF(N($X159)&gt;0,"CERRADA FUERA DE SLA","CERRADA EN SLA"),IF($U159="","SIN CLASIFICAR",IF(N($X159)&gt;0,"VENCIDA",IF(TODAY()&gt;=$U159-1,"POR VENCER","EN PLAZO")))))</f>
        <v/>
      </c>
      <c r="Z159" s="41" t="n"/>
      <c r="AA159" s="41" t="n"/>
      <c r="AB159" s="41" t="n"/>
    </row>
    <row r="160">
      <c r="A160" s="39">
        <f>IF($C160="","","NOV-"&amp;TEXT(ROW()-3,"0000"))</f>
        <v/>
      </c>
      <c r="B160" s="40" t="n"/>
      <c r="C160" s="41" t="n"/>
      <c r="D160" s="42">
        <f>IF($C160="","",IFERROR(INDEX(DESPACHOS!$D$3:$D$3002,MATCH($C160,DESPACHOS!$B$3:$B$3002,0)),"SIN DESPACHO"))</f>
        <v/>
      </c>
      <c r="E160" s="42">
        <f>IF($C160="","",IFERROR(INDEX(DESPACHOS!$K$3:$K$3002,MATCH($C160,DESPACHOS!$B$3:$B$3002,0)),""))</f>
        <v/>
      </c>
      <c r="F160" s="42">
        <f>IF($C160="","",IFERROR(INDEX(DESPACHOS!$I$3:$I$3002,MATCH($C160,DESPACHOS!$B$3:$B$3002,0)),""))</f>
        <v/>
      </c>
      <c r="G160" s="42">
        <f>IF($C160="","",IFERROR(INDEX(DESPACHOS!$F$3:$F$3002,MATCH($C160,DESPACHOS!$B$3:$B$3002,0)),""))</f>
        <v/>
      </c>
      <c r="H160" s="42">
        <f>IF($C160="","",IFERROR(INDEX(DESPACHOS!$G$3:$G$3002,MATCH($C160,DESPACHOS!$B$3:$B$3002,0)),""))</f>
        <v/>
      </c>
      <c r="I160" s="39">
        <f>IF($C160="","",IFERROR(INDEX(DESPACHOS!$H$3:$H$3002,MATCH($C160,DESPACHOS!$B$3:$B$3002,0)),""))</f>
        <v/>
      </c>
      <c r="J160" s="43">
        <f>IF($C160="","",IFERROR(INDEX(DESPACHOS!$J$3:$J$3002,MATCH($C160,DESPACHOS!$B$3:$B$3002,0)),""))</f>
        <v/>
      </c>
      <c r="K160" s="39">
        <f>IF($C160="","",IF(COUNTIFS(DESPACHOS!$B$3:$B$3002,$C160)=0,"NO EXISTE",IF(COUNTIFS(DESPACHOS!$B$3:$B$3002,$C160)&gt;1,"DUPLICADO","OK")))</f>
        <v/>
      </c>
      <c r="L160" s="41" t="n"/>
      <c r="M160" s="41" t="n"/>
      <c r="N160" s="42">
        <f>IF($M160="","",IFERROR(INDEX(LISTAS!$F$3:$F$42,MATCH($M160,LISTAS!$E$3:$E$42,0)),"Por definir"))</f>
        <v/>
      </c>
      <c r="O160" s="41" t="n"/>
      <c r="P160" s="39">
        <f>IF($L160="","",IFERROR(INDEX(LISTAS!$B$3:$B$42,MATCH($L160,LISTAS!$A$3:$A$42,0)),"Media"))</f>
        <v/>
      </c>
      <c r="Q160" s="44" t="n"/>
      <c r="R160" s="45" t="n"/>
      <c r="S160" s="20">
        <f>IFERROR(IF(OR($R160="",$C160=""),"",$R160/INDEX(DESPACHOS!$M$3:$M$3002,MATCH($C160,DESPACHOS!$B$3:$B$3002,0))),"")</f>
        <v/>
      </c>
      <c r="T160" s="41" t="n"/>
      <c r="U160" s="43">
        <f>IF(OR($B160="",$L160=""),"",WORKDAY($B160,IFERROR(INDEX(LISTAS!$C$3:$C$42,MATCH($L160,LISTAS!$A$3:$A$42,0)),3)))</f>
        <v/>
      </c>
      <c r="V160" s="40" t="n"/>
      <c r="W160" s="19">
        <f>IF($B160="","",IF($V160&lt;&gt;"",$V160-$B160,TODAY()-$B160))</f>
        <v/>
      </c>
      <c r="X160" s="19">
        <f>IF(OR($B160="",$U160=""),"",IF($V160&lt;&gt;"",MAX(0,$V160-$U160),MAX(0,TODAY()-$U160)))</f>
        <v/>
      </c>
      <c r="Y160" s="39">
        <f>IF($C160="","",IF(IFERROR(INDEX(LISTAS!$I$3:$I$42,MATCH($T160,LISTAS!$H$3:$H$42,0)),"NO")="SÍ",IF(N($X160)&gt;0,"CERRADA FUERA DE SLA","CERRADA EN SLA"),IF($U160="","SIN CLASIFICAR",IF(N($X160)&gt;0,"VENCIDA",IF(TODAY()&gt;=$U160-1,"POR VENCER","EN PLAZO")))))</f>
        <v/>
      </c>
      <c r="Z160" s="41" t="n"/>
      <c r="AA160" s="41" t="n"/>
      <c r="AB160" s="41" t="n"/>
    </row>
    <row r="161">
      <c r="A161" s="39">
        <f>IF($C161="","","NOV-"&amp;TEXT(ROW()-3,"0000"))</f>
        <v/>
      </c>
      <c r="B161" s="40" t="n"/>
      <c r="C161" s="41" t="n"/>
      <c r="D161" s="42">
        <f>IF($C161="","",IFERROR(INDEX(DESPACHOS!$D$3:$D$3002,MATCH($C161,DESPACHOS!$B$3:$B$3002,0)),"SIN DESPACHO"))</f>
        <v/>
      </c>
      <c r="E161" s="42">
        <f>IF($C161="","",IFERROR(INDEX(DESPACHOS!$K$3:$K$3002,MATCH($C161,DESPACHOS!$B$3:$B$3002,0)),""))</f>
        <v/>
      </c>
      <c r="F161" s="42">
        <f>IF($C161="","",IFERROR(INDEX(DESPACHOS!$I$3:$I$3002,MATCH($C161,DESPACHOS!$B$3:$B$3002,0)),""))</f>
        <v/>
      </c>
      <c r="G161" s="42">
        <f>IF($C161="","",IFERROR(INDEX(DESPACHOS!$F$3:$F$3002,MATCH($C161,DESPACHOS!$B$3:$B$3002,0)),""))</f>
        <v/>
      </c>
      <c r="H161" s="42">
        <f>IF($C161="","",IFERROR(INDEX(DESPACHOS!$G$3:$G$3002,MATCH($C161,DESPACHOS!$B$3:$B$3002,0)),""))</f>
        <v/>
      </c>
      <c r="I161" s="39">
        <f>IF($C161="","",IFERROR(INDEX(DESPACHOS!$H$3:$H$3002,MATCH($C161,DESPACHOS!$B$3:$B$3002,0)),""))</f>
        <v/>
      </c>
      <c r="J161" s="43">
        <f>IF($C161="","",IFERROR(INDEX(DESPACHOS!$J$3:$J$3002,MATCH($C161,DESPACHOS!$B$3:$B$3002,0)),""))</f>
        <v/>
      </c>
      <c r="K161" s="39">
        <f>IF($C161="","",IF(COUNTIFS(DESPACHOS!$B$3:$B$3002,$C161)=0,"NO EXISTE",IF(COUNTIFS(DESPACHOS!$B$3:$B$3002,$C161)&gt;1,"DUPLICADO","OK")))</f>
        <v/>
      </c>
      <c r="L161" s="41" t="n"/>
      <c r="M161" s="41" t="n"/>
      <c r="N161" s="42">
        <f>IF($M161="","",IFERROR(INDEX(LISTAS!$F$3:$F$42,MATCH($M161,LISTAS!$E$3:$E$42,0)),"Por definir"))</f>
        <v/>
      </c>
      <c r="O161" s="41" t="n"/>
      <c r="P161" s="39">
        <f>IF($L161="","",IFERROR(INDEX(LISTAS!$B$3:$B$42,MATCH($L161,LISTAS!$A$3:$A$42,0)),"Media"))</f>
        <v/>
      </c>
      <c r="Q161" s="44" t="n"/>
      <c r="R161" s="45" t="n"/>
      <c r="S161" s="20">
        <f>IFERROR(IF(OR($R161="",$C161=""),"",$R161/INDEX(DESPACHOS!$M$3:$M$3002,MATCH($C161,DESPACHOS!$B$3:$B$3002,0))),"")</f>
        <v/>
      </c>
      <c r="T161" s="41" t="n"/>
      <c r="U161" s="43">
        <f>IF(OR($B161="",$L161=""),"",WORKDAY($B161,IFERROR(INDEX(LISTAS!$C$3:$C$42,MATCH($L161,LISTAS!$A$3:$A$42,0)),3)))</f>
        <v/>
      </c>
      <c r="V161" s="40" t="n"/>
      <c r="W161" s="19">
        <f>IF($B161="","",IF($V161&lt;&gt;"",$V161-$B161,TODAY()-$B161))</f>
        <v/>
      </c>
      <c r="X161" s="19">
        <f>IF(OR($B161="",$U161=""),"",IF($V161&lt;&gt;"",MAX(0,$V161-$U161),MAX(0,TODAY()-$U161)))</f>
        <v/>
      </c>
      <c r="Y161" s="39">
        <f>IF($C161="","",IF(IFERROR(INDEX(LISTAS!$I$3:$I$42,MATCH($T161,LISTAS!$H$3:$H$42,0)),"NO")="SÍ",IF(N($X161)&gt;0,"CERRADA FUERA DE SLA","CERRADA EN SLA"),IF($U161="","SIN CLASIFICAR",IF(N($X161)&gt;0,"VENCIDA",IF(TODAY()&gt;=$U161-1,"POR VENCER","EN PLAZO")))))</f>
        <v/>
      </c>
      <c r="Z161" s="41" t="n"/>
      <c r="AA161" s="41" t="n"/>
      <c r="AB161" s="41" t="n"/>
    </row>
    <row r="162">
      <c r="A162" s="39">
        <f>IF($C162="","","NOV-"&amp;TEXT(ROW()-3,"0000"))</f>
        <v/>
      </c>
      <c r="B162" s="40" t="n"/>
      <c r="C162" s="41" t="n"/>
      <c r="D162" s="42">
        <f>IF($C162="","",IFERROR(INDEX(DESPACHOS!$D$3:$D$3002,MATCH($C162,DESPACHOS!$B$3:$B$3002,0)),"SIN DESPACHO"))</f>
        <v/>
      </c>
      <c r="E162" s="42">
        <f>IF($C162="","",IFERROR(INDEX(DESPACHOS!$K$3:$K$3002,MATCH($C162,DESPACHOS!$B$3:$B$3002,0)),""))</f>
        <v/>
      </c>
      <c r="F162" s="42">
        <f>IF($C162="","",IFERROR(INDEX(DESPACHOS!$I$3:$I$3002,MATCH($C162,DESPACHOS!$B$3:$B$3002,0)),""))</f>
        <v/>
      </c>
      <c r="G162" s="42">
        <f>IF($C162="","",IFERROR(INDEX(DESPACHOS!$F$3:$F$3002,MATCH($C162,DESPACHOS!$B$3:$B$3002,0)),""))</f>
        <v/>
      </c>
      <c r="H162" s="42">
        <f>IF($C162="","",IFERROR(INDEX(DESPACHOS!$G$3:$G$3002,MATCH($C162,DESPACHOS!$B$3:$B$3002,0)),""))</f>
        <v/>
      </c>
      <c r="I162" s="39">
        <f>IF($C162="","",IFERROR(INDEX(DESPACHOS!$H$3:$H$3002,MATCH($C162,DESPACHOS!$B$3:$B$3002,0)),""))</f>
        <v/>
      </c>
      <c r="J162" s="43">
        <f>IF($C162="","",IFERROR(INDEX(DESPACHOS!$J$3:$J$3002,MATCH($C162,DESPACHOS!$B$3:$B$3002,0)),""))</f>
        <v/>
      </c>
      <c r="K162" s="39">
        <f>IF($C162="","",IF(COUNTIFS(DESPACHOS!$B$3:$B$3002,$C162)=0,"NO EXISTE",IF(COUNTIFS(DESPACHOS!$B$3:$B$3002,$C162)&gt;1,"DUPLICADO","OK")))</f>
        <v/>
      </c>
      <c r="L162" s="41" t="n"/>
      <c r="M162" s="41" t="n"/>
      <c r="N162" s="42">
        <f>IF($M162="","",IFERROR(INDEX(LISTAS!$F$3:$F$42,MATCH($M162,LISTAS!$E$3:$E$42,0)),"Por definir"))</f>
        <v/>
      </c>
      <c r="O162" s="41" t="n"/>
      <c r="P162" s="39">
        <f>IF($L162="","",IFERROR(INDEX(LISTAS!$B$3:$B$42,MATCH($L162,LISTAS!$A$3:$A$42,0)),"Media"))</f>
        <v/>
      </c>
      <c r="Q162" s="44" t="n"/>
      <c r="R162" s="45" t="n"/>
      <c r="S162" s="20">
        <f>IFERROR(IF(OR($R162="",$C162=""),"",$R162/INDEX(DESPACHOS!$M$3:$M$3002,MATCH($C162,DESPACHOS!$B$3:$B$3002,0))),"")</f>
        <v/>
      </c>
      <c r="T162" s="41" t="n"/>
      <c r="U162" s="43">
        <f>IF(OR($B162="",$L162=""),"",WORKDAY($B162,IFERROR(INDEX(LISTAS!$C$3:$C$42,MATCH($L162,LISTAS!$A$3:$A$42,0)),3)))</f>
        <v/>
      </c>
      <c r="V162" s="40" t="n"/>
      <c r="W162" s="19">
        <f>IF($B162="","",IF($V162&lt;&gt;"",$V162-$B162,TODAY()-$B162))</f>
        <v/>
      </c>
      <c r="X162" s="19">
        <f>IF(OR($B162="",$U162=""),"",IF($V162&lt;&gt;"",MAX(0,$V162-$U162),MAX(0,TODAY()-$U162)))</f>
        <v/>
      </c>
      <c r="Y162" s="39">
        <f>IF($C162="","",IF(IFERROR(INDEX(LISTAS!$I$3:$I$42,MATCH($T162,LISTAS!$H$3:$H$42,0)),"NO")="SÍ",IF(N($X162)&gt;0,"CERRADA FUERA DE SLA","CERRADA EN SLA"),IF($U162="","SIN CLASIFICAR",IF(N($X162)&gt;0,"VENCIDA",IF(TODAY()&gt;=$U162-1,"POR VENCER","EN PLAZO")))))</f>
        <v/>
      </c>
      <c r="Z162" s="41" t="n"/>
      <c r="AA162" s="41" t="n"/>
      <c r="AB162" s="41" t="n"/>
    </row>
    <row r="163">
      <c r="A163" s="39">
        <f>IF($C163="","","NOV-"&amp;TEXT(ROW()-3,"0000"))</f>
        <v/>
      </c>
      <c r="B163" s="40" t="n"/>
      <c r="C163" s="41" t="n"/>
      <c r="D163" s="42">
        <f>IF($C163="","",IFERROR(INDEX(DESPACHOS!$D$3:$D$3002,MATCH($C163,DESPACHOS!$B$3:$B$3002,0)),"SIN DESPACHO"))</f>
        <v/>
      </c>
      <c r="E163" s="42">
        <f>IF($C163="","",IFERROR(INDEX(DESPACHOS!$K$3:$K$3002,MATCH($C163,DESPACHOS!$B$3:$B$3002,0)),""))</f>
        <v/>
      </c>
      <c r="F163" s="42">
        <f>IF($C163="","",IFERROR(INDEX(DESPACHOS!$I$3:$I$3002,MATCH($C163,DESPACHOS!$B$3:$B$3002,0)),""))</f>
        <v/>
      </c>
      <c r="G163" s="42">
        <f>IF($C163="","",IFERROR(INDEX(DESPACHOS!$F$3:$F$3002,MATCH($C163,DESPACHOS!$B$3:$B$3002,0)),""))</f>
        <v/>
      </c>
      <c r="H163" s="42">
        <f>IF($C163="","",IFERROR(INDEX(DESPACHOS!$G$3:$G$3002,MATCH($C163,DESPACHOS!$B$3:$B$3002,0)),""))</f>
        <v/>
      </c>
      <c r="I163" s="39">
        <f>IF($C163="","",IFERROR(INDEX(DESPACHOS!$H$3:$H$3002,MATCH($C163,DESPACHOS!$B$3:$B$3002,0)),""))</f>
        <v/>
      </c>
      <c r="J163" s="43">
        <f>IF($C163="","",IFERROR(INDEX(DESPACHOS!$J$3:$J$3002,MATCH($C163,DESPACHOS!$B$3:$B$3002,0)),""))</f>
        <v/>
      </c>
      <c r="K163" s="39">
        <f>IF($C163="","",IF(COUNTIFS(DESPACHOS!$B$3:$B$3002,$C163)=0,"NO EXISTE",IF(COUNTIFS(DESPACHOS!$B$3:$B$3002,$C163)&gt;1,"DUPLICADO","OK")))</f>
        <v/>
      </c>
      <c r="L163" s="41" t="n"/>
      <c r="M163" s="41" t="n"/>
      <c r="N163" s="42">
        <f>IF($M163="","",IFERROR(INDEX(LISTAS!$F$3:$F$42,MATCH($M163,LISTAS!$E$3:$E$42,0)),"Por definir"))</f>
        <v/>
      </c>
      <c r="O163" s="41" t="n"/>
      <c r="P163" s="39">
        <f>IF($L163="","",IFERROR(INDEX(LISTAS!$B$3:$B$42,MATCH($L163,LISTAS!$A$3:$A$42,0)),"Media"))</f>
        <v/>
      </c>
      <c r="Q163" s="44" t="n"/>
      <c r="R163" s="45" t="n"/>
      <c r="S163" s="20">
        <f>IFERROR(IF(OR($R163="",$C163=""),"",$R163/INDEX(DESPACHOS!$M$3:$M$3002,MATCH($C163,DESPACHOS!$B$3:$B$3002,0))),"")</f>
        <v/>
      </c>
      <c r="T163" s="41" t="n"/>
      <c r="U163" s="43">
        <f>IF(OR($B163="",$L163=""),"",WORKDAY($B163,IFERROR(INDEX(LISTAS!$C$3:$C$42,MATCH($L163,LISTAS!$A$3:$A$42,0)),3)))</f>
        <v/>
      </c>
      <c r="V163" s="40" t="n"/>
      <c r="W163" s="19">
        <f>IF($B163="","",IF($V163&lt;&gt;"",$V163-$B163,TODAY()-$B163))</f>
        <v/>
      </c>
      <c r="X163" s="19">
        <f>IF(OR($B163="",$U163=""),"",IF($V163&lt;&gt;"",MAX(0,$V163-$U163),MAX(0,TODAY()-$U163)))</f>
        <v/>
      </c>
      <c r="Y163" s="39">
        <f>IF($C163="","",IF(IFERROR(INDEX(LISTAS!$I$3:$I$42,MATCH($T163,LISTAS!$H$3:$H$42,0)),"NO")="SÍ",IF(N($X163)&gt;0,"CERRADA FUERA DE SLA","CERRADA EN SLA"),IF($U163="","SIN CLASIFICAR",IF(N($X163)&gt;0,"VENCIDA",IF(TODAY()&gt;=$U163-1,"POR VENCER","EN PLAZO")))))</f>
        <v/>
      </c>
      <c r="Z163" s="41" t="n"/>
      <c r="AA163" s="41" t="n"/>
      <c r="AB163" s="41" t="n"/>
    </row>
    <row r="164">
      <c r="A164" s="39">
        <f>IF($C164="","","NOV-"&amp;TEXT(ROW()-3,"0000"))</f>
        <v/>
      </c>
      <c r="B164" s="40" t="n"/>
      <c r="C164" s="41" t="n"/>
      <c r="D164" s="42">
        <f>IF($C164="","",IFERROR(INDEX(DESPACHOS!$D$3:$D$3002,MATCH($C164,DESPACHOS!$B$3:$B$3002,0)),"SIN DESPACHO"))</f>
        <v/>
      </c>
      <c r="E164" s="42">
        <f>IF($C164="","",IFERROR(INDEX(DESPACHOS!$K$3:$K$3002,MATCH($C164,DESPACHOS!$B$3:$B$3002,0)),""))</f>
        <v/>
      </c>
      <c r="F164" s="42">
        <f>IF($C164="","",IFERROR(INDEX(DESPACHOS!$I$3:$I$3002,MATCH($C164,DESPACHOS!$B$3:$B$3002,0)),""))</f>
        <v/>
      </c>
      <c r="G164" s="42">
        <f>IF($C164="","",IFERROR(INDEX(DESPACHOS!$F$3:$F$3002,MATCH($C164,DESPACHOS!$B$3:$B$3002,0)),""))</f>
        <v/>
      </c>
      <c r="H164" s="42">
        <f>IF($C164="","",IFERROR(INDEX(DESPACHOS!$G$3:$G$3002,MATCH($C164,DESPACHOS!$B$3:$B$3002,0)),""))</f>
        <v/>
      </c>
      <c r="I164" s="39">
        <f>IF($C164="","",IFERROR(INDEX(DESPACHOS!$H$3:$H$3002,MATCH($C164,DESPACHOS!$B$3:$B$3002,0)),""))</f>
        <v/>
      </c>
      <c r="J164" s="43">
        <f>IF($C164="","",IFERROR(INDEX(DESPACHOS!$J$3:$J$3002,MATCH($C164,DESPACHOS!$B$3:$B$3002,0)),""))</f>
        <v/>
      </c>
      <c r="K164" s="39">
        <f>IF($C164="","",IF(COUNTIFS(DESPACHOS!$B$3:$B$3002,$C164)=0,"NO EXISTE",IF(COUNTIFS(DESPACHOS!$B$3:$B$3002,$C164)&gt;1,"DUPLICADO","OK")))</f>
        <v/>
      </c>
      <c r="L164" s="41" t="n"/>
      <c r="M164" s="41" t="n"/>
      <c r="N164" s="42">
        <f>IF($M164="","",IFERROR(INDEX(LISTAS!$F$3:$F$42,MATCH($M164,LISTAS!$E$3:$E$42,0)),"Por definir"))</f>
        <v/>
      </c>
      <c r="O164" s="41" t="n"/>
      <c r="P164" s="39">
        <f>IF($L164="","",IFERROR(INDEX(LISTAS!$B$3:$B$42,MATCH($L164,LISTAS!$A$3:$A$42,0)),"Media"))</f>
        <v/>
      </c>
      <c r="Q164" s="44" t="n"/>
      <c r="R164" s="45" t="n"/>
      <c r="S164" s="20">
        <f>IFERROR(IF(OR($R164="",$C164=""),"",$R164/INDEX(DESPACHOS!$M$3:$M$3002,MATCH($C164,DESPACHOS!$B$3:$B$3002,0))),"")</f>
        <v/>
      </c>
      <c r="T164" s="41" t="n"/>
      <c r="U164" s="43">
        <f>IF(OR($B164="",$L164=""),"",WORKDAY($B164,IFERROR(INDEX(LISTAS!$C$3:$C$42,MATCH($L164,LISTAS!$A$3:$A$42,0)),3)))</f>
        <v/>
      </c>
      <c r="V164" s="40" t="n"/>
      <c r="W164" s="19">
        <f>IF($B164="","",IF($V164&lt;&gt;"",$V164-$B164,TODAY()-$B164))</f>
        <v/>
      </c>
      <c r="X164" s="19">
        <f>IF(OR($B164="",$U164=""),"",IF($V164&lt;&gt;"",MAX(0,$V164-$U164),MAX(0,TODAY()-$U164)))</f>
        <v/>
      </c>
      <c r="Y164" s="39">
        <f>IF($C164="","",IF(IFERROR(INDEX(LISTAS!$I$3:$I$42,MATCH($T164,LISTAS!$H$3:$H$42,0)),"NO")="SÍ",IF(N($X164)&gt;0,"CERRADA FUERA DE SLA","CERRADA EN SLA"),IF($U164="","SIN CLASIFICAR",IF(N($X164)&gt;0,"VENCIDA",IF(TODAY()&gt;=$U164-1,"POR VENCER","EN PLAZO")))))</f>
        <v/>
      </c>
      <c r="Z164" s="41" t="n"/>
      <c r="AA164" s="41" t="n"/>
      <c r="AB164" s="41" t="n"/>
    </row>
    <row r="165">
      <c r="A165" s="39">
        <f>IF($C165="","","NOV-"&amp;TEXT(ROW()-3,"0000"))</f>
        <v/>
      </c>
      <c r="B165" s="40" t="n"/>
      <c r="C165" s="41" t="n"/>
      <c r="D165" s="42">
        <f>IF($C165="","",IFERROR(INDEX(DESPACHOS!$D$3:$D$3002,MATCH($C165,DESPACHOS!$B$3:$B$3002,0)),"SIN DESPACHO"))</f>
        <v/>
      </c>
      <c r="E165" s="42">
        <f>IF($C165="","",IFERROR(INDEX(DESPACHOS!$K$3:$K$3002,MATCH($C165,DESPACHOS!$B$3:$B$3002,0)),""))</f>
        <v/>
      </c>
      <c r="F165" s="42">
        <f>IF($C165="","",IFERROR(INDEX(DESPACHOS!$I$3:$I$3002,MATCH($C165,DESPACHOS!$B$3:$B$3002,0)),""))</f>
        <v/>
      </c>
      <c r="G165" s="42">
        <f>IF($C165="","",IFERROR(INDEX(DESPACHOS!$F$3:$F$3002,MATCH($C165,DESPACHOS!$B$3:$B$3002,0)),""))</f>
        <v/>
      </c>
      <c r="H165" s="42">
        <f>IF($C165="","",IFERROR(INDEX(DESPACHOS!$G$3:$G$3002,MATCH($C165,DESPACHOS!$B$3:$B$3002,0)),""))</f>
        <v/>
      </c>
      <c r="I165" s="39">
        <f>IF($C165="","",IFERROR(INDEX(DESPACHOS!$H$3:$H$3002,MATCH($C165,DESPACHOS!$B$3:$B$3002,0)),""))</f>
        <v/>
      </c>
      <c r="J165" s="43">
        <f>IF($C165="","",IFERROR(INDEX(DESPACHOS!$J$3:$J$3002,MATCH($C165,DESPACHOS!$B$3:$B$3002,0)),""))</f>
        <v/>
      </c>
      <c r="K165" s="39">
        <f>IF($C165="","",IF(COUNTIFS(DESPACHOS!$B$3:$B$3002,$C165)=0,"NO EXISTE",IF(COUNTIFS(DESPACHOS!$B$3:$B$3002,$C165)&gt;1,"DUPLICADO","OK")))</f>
        <v/>
      </c>
      <c r="L165" s="41" t="n"/>
      <c r="M165" s="41" t="n"/>
      <c r="N165" s="42">
        <f>IF($M165="","",IFERROR(INDEX(LISTAS!$F$3:$F$42,MATCH($M165,LISTAS!$E$3:$E$42,0)),"Por definir"))</f>
        <v/>
      </c>
      <c r="O165" s="41" t="n"/>
      <c r="P165" s="39">
        <f>IF($L165="","",IFERROR(INDEX(LISTAS!$B$3:$B$42,MATCH($L165,LISTAS!$A$3:$A$42,0)),"Media"))</f>
        <v/>
      </c>
      <c r="Q165" s="44" t="n"/>
      <c r="R165" s="45" t="n"/>
      <c r="S165" s="20">
        <f>IFERROR(IF(OR($R165="",$C165=""),"",$R165/INDEX(DESPACHOS!$M$3:$M$3002,MATCH($C165,DESPACHOS!$B$3:$B$3002,0))),"")</f>
        <v/>
      </c>
      <c r="T165" s="41" t="n"/>
      <c r="U165" s="43">
        <f>IF(OR($B165="",$L165=""),"",WORKDAY($B165,IFERROR(INDEX(LISTAS!$C$3:$C$42,MATCH($L165,LISTAS!$A$3:$A$42,0)),3)))</f>
        <v/>
      </c>
      <c r="V165" s="40" t="n"/>
      <c r="W165" s="19">
        <f>IF($B165="","",IF($V165&lt;&gt;"",$V165-$B165,TODAY()-$B165))</f>
        <v/>
      </c>
      <c r="X165" s="19">
        <f>IF(OR($B165="",$U165=""),"",IF($V165&lt;&gt;"",MAX(0,$V165-$U165),MAX(0,TODAY()-$U165)))</f>
        <v/>
      </c>
      <c r="Y165" s="39">
        <f>IF($C165="","",IF(IFERROR(INDEX(LISTAS!$I$3:$I$42,MATCH($T165,LISTAS!$H$3:$H$42,0)),"NO")="SÍ",IF(N($X165)&gt;0,"CERRADA FUERA DE SLA","CERRADA EN SLA"),IF($U165="","SIN CLASIFICAR",IF(N($X165)&gt;0,"VENCIDA",IF(TODAY()&gt;=$U165-1,"POR VENCER","EN PLAZO")))))</f>
        <v/>
      </c>
      <c r="Z165" s="41" t="n"/>
      <c r="AA165" s="41" t="n"/>
      <c r="AB165" s="41" t="n"/>
    </row>
    <row r="166">
      <c r="A166" s="39">
        <f>IF($C166="","","NOV-"&amp;TEXT(ROW()-3,"0000"))</f>
        <v/>
      </c>
      <c r="B166" s="40" t="n"/>
      <c r="C166" s="41" t="n"/>
      <c r="D166" s="42">
        <f>IF($C166="","",IFERROR(INDEX(DESPACHOS!$D$3:$D$3002,MATCH($C166,DESPACHOS!$B$3:$B$3002,0)),"SIN DESPACHO"))</f>
        <v/>
      </c>
      <c r="E166" s="42">
        <f>IF($C166="","",IFERROR(INDEX(DESPACHOS!$K$3:$K$3002,MATCH($C166,DESPACHOS!$B$3:$B$3002,0)),""))</f>
        <v/>
      </c>
      <c r="F166" s="42">
        <f>IF($C166="","",IFERROR(INDEX(DESPACHOS!$I$3:$I$3002,MATCH($C166,DESPACHOS!$B$3:$B$3002,0)),""))</f>
        <v/>
      </c>
      <c r="G166" s="42">
        <f>IF($C166="","",IFERROR(INDEX(DESPACHOS!$F$3:$F$3002,MATCH($C166,DESPACHOS!$B$3:$B$3002,0)),""))</f>
        <v/>
      </c>
      <c r="H166" s="42">
        <f>IF($C166="","",IFERROR(INDEX(DESPACHOS!$G$3:$G$3002,MATCH($C166,DESPACHOS!$B$3:$B$3002,0)),""))</f>
        <v/>
      </c>
      <c r="I166" s="39">
        <f>IF($C166="","",IFERROR(INDEX(DESPACHOS!$H$3:$H$3002,MATCH($C166,DESPACHOS!$B$3:$B$3002,0)),""))</f>
        <v/>
      </c>
      <c r="J166" s="43">
        <f>IF($C166="","",IFERROR(INDEX(DESPACHOS!$J$3:$J$3002,MATCH($C166,DESPACHOS!$B$3:$B$3002,0)),""))</f>
        <v/>
      </c>
      <c r="K166" s="39">
        <f>IF($C166="","",IF(COUNTIFS(DESPACHOS!$B$3:$B$3002,$C166)=0,"NO EXISTE",IF(COUNTIFS(DESPACHOS!$B$3:$B$3002,$C166)&gt;1,"DUPLICADO","OK")))</f>
        <v/>
      </c>
      <c r="L166" s="41" t="n"/>
      <c r="M166" s="41" t="n"/>
      <c r="N166" s="42">
        <f>IF($M166="","",IFERROR(INDEX(LISTAS!$F$3:$F$42,MATCH($M166,LISTAS!$E$3:$E$42,0)),"Por definir"))</f>
        <v/>
      </c>
      <c r="O166" s="41" t="n"/>
      <c r="P166" s="39">
        <f>IF($L166="","",IFERROR(INDEX(LISTAS!$B$3:$B$42,MATCH($L166,LISTAS!$A$3:$A$42,0)),"Media"))</f>
        <v/>
      </c>
      <c r="Q166" s="44" t="n"/>
      <c r="R166" s="45" t="n"/>
      <c r="S166" s="20">
        <f>IFERROR(IF(OR($R166="",$C166=""),"",$R166/INDEX(DESPACHOS!$M$3:$M$3002,MATCH($C166,DESPACHOS!$B$3:$B$3002,0))),"")</f>
        <v/>
      </c>
      <c r="T166" s="41" t="n"/>
      <c r="U166" s="43">
        <f>IF(OR($B166="",$L166=""),"",WORKDAY($B166,IFERROR(INDEX(LISTAS!$C$3:$C$42,MATCH($L166,LISTAS!$A$3:$A$42,0)),3)))</f>
        <v/>
      </c>
      <c r="V166" s="40" t="n"/>
      <c r="W166" s="19">
        <f>IF($B166="","",IF($V166&lt;&gt;"",$V166-$B166,TODAY()-$B166))</f>
        <v/>
      </c>
      <c r="X166" s="19">
        <f>IF(OR($B166="",$U166=""),"",IF($V166&lt;&gt;"",MAX(0,$V166-$U166),MAX(0,TODAY()-$U166)))</f>
        <v/>
      </c>
      <c r="Y166" s="39">
        <f>IF($C166="","",IF(IFERROR(INDEX(LISTAS!$I$3:$I$42,MATCH($T166,LISTAS!$H$3:$H$42,0)),"NO")="SÍ",IF(N($X166)&gt;0,"CERRADA FUERA DE SLA","CERRADA EN SLA"),IF($U166="","SIN CLASIFICAR",IF(N($X166)&gt;0,"VENCIDA",IF(TODAY()&gt;=$U166-1,"POR VENCER","EN PLAZO")))))</f>
        <v/>
      </c>
      <c r="Z166" s="41" t="n"/>
      <c r="AA166" s="41" t="n"/>
      <c r="AB166" s="41" t="n"/>
    </row>
    <row r="167">
      <c r="A167" s="39">
        <f>IF($C167="","","NOV-"&amp;TEXT(ROW()-3,"0000"))</f>
        <v/>
      </c>
      <c r="B167" s="40" t="n"/>
      <c r="C167" s="41" t="n"/>
      <c r="D167" s="42">
        <f>IF($C167="","",IFERROR(INDEX(DESPACHOS!$D$3:$D$3002,MATCH($C167,DESPACHOS!$B$3:$B$3002,0)),"SIN DESPACHO"))</f>
        <v/>
      </c>
      <c r="E167" s="42">
        <f>IF($C167="","",IFERROR(INDEX(DESPACHOS!$K$3:$K$3002,MATCH($C167,DESPACHOS!$B$3:$B$3002,0)),""))</f>
        <v/>
      </c>
      <c r="F167" s="42">
        <f>IF($C167="","",IFERROR(INDEX(DESPACHOS!$I$3:$I$3002,MATCH($C167,DESPACHOS!$B$3:$B$3002,0)),""))</f>
        <v/>
      </c>
      <c r="G167" s="42">
        <f>IF($C167="","",IFERROR(INDEX(DESPACHOS!$F$3:$F$3002,MATCH($C167,DESPACHOS!$B$3:$B$3002,0)),""))</f>
        <v/>
      </c>
      <c r="H167" s="42">
        <f>IF($C167="","",IFERROR(INDEX(DESPACHOS!$G$3:$G$3002,MATCH($C167,DESPACHOS!$B$3:$B$3002,0)),""))</f>
        <v/>
      </c>
      <c r="I167" s="39">
        <f>IF($C167="","",IFERROR(INDEX(DESPACHOS!$H$3:$H$3002,MATCH($C167,DESPACHOS!$B$3:$B$3002,0)),""))</f>
        <v/>
      </c>
      <c r="J167" s="43">
        <f>IF($C167="","",IFERROR(INDEX(DESPACHOS!$J$3:$J$3002,MATCH($C167,DESPACHOS!$B$3:$B$3002,0)),""))</f>
        <v/>
      </c>
      <c r="K167" s="39">
        <f>IF($C167="","",IF(COUNTIFS(DESPACHOS!$B$3:$B$3002,$C167)=0,"NO EXISTE",IF(COUNTIFS(DESPACHOS!$B$3:$B$3002,$C167)&gt;1,"DUPLICADO","OK")))</f>
        <v/>
      </c>
      <c r="L167" s="41" t="n"/>
      <c r="M167" s="41" t="n"/>
      <c r="N167" s="42">
        <f>IF($M167="","",IFERROR(INDEX(LISTAS!$F$3:$F$42,MATCH($M167,LISTAS!$E$3:$E$42,0)),"Por definir"))</f>
        <v/>
      </c>
      <c r="O167" s="41" t="n"/>
      <c r="P167" s="39">
        <f>IF($L167="","",IFERROR(INDEX(LISTAS!$B$3:$B$42,MATCH($L167,LISTAS!$A$3:$A$42,0)),"Media"))</f>
        <v/>
      </c>
      <c r="Q167" s="44" t="n"/>
      <c r="R167" s="45" t="n"/>
      <c r="S167" s="20">
        <f>IFERROR(IF(OR($R167="",$C167=""),"",$R167/INDEX(DESPACHOS!$M$3:$M$3002,MATCH($C167,DESPACHOS!$B$3:$B$3002,0))),"")</f>
        <v/>
      </c>
      <c r="T167" s="41" t="n"/>
      <c r="U167" s="43">
        <f>IF(OR($B167="",$L167=""),"",WORKDAY($B167,IFERROR(INDEX(LISTAS!$C$3:$C$42,MATCH($L167,LISTAS!$A$3:$A$42,0)),3)))</f>
        <v/>
      </c>
      <c r="V167" s="40" t="n"/>
      <c r="W167" s="19">
        <f>IF($B167="","",IF($V167&lt;&gt;"",$V167-$B167,TODAY()-$B167))</f>
        <v/>
      </c>
      <c r="X167" s="19">
        <f>IF(OR($B167="",$U167=""),"",IF($V167&lt;&gt;"",MAX(0,$V167-$U167),MAX(0,TODAY()-$U167)))</f>
        <v/>
      </c>
      <c r="Y167" s="39">
        <f>IF($C167="","",IF(IFERROR(INDEX(LISTAS!$I$3:$I$42,MATCH($T167,LISTAS!$H$3:$H$42,0)),"NO")="SÍ",IF(N($X167)&gt;0,"CERRADA FUERA DE SLA","CERRADA EN SLA"),IF($U167="","SIN CLASIFICAR",IF(N($X167)&gt;0,"VENCIDA",IF(TODAY()&gt;=$U167-1,"POR VENCER","EN PLAZO")))))</f>
        <v/>
      </c>
      <c r="Z167" s="41" t="n"/>
      <c r="AA167" s="41" t="n"/>
      <c r="AB167" s="41" t="n"/>
    </row>
    <row r="168">
      <c r="A168" s="39">
        <f>IF($C168="","","NOV-"&amp;TEXT(ROW()-3,"0000"))</f>
        <v/>
      </c>
      <c r="B168" s="40" t="n"/>
      <c r="C168" s="41" t="n"/>
      <c r="D168" s="42">
        <f>IF($C168="","",IFERROR(INDEX(DESPACHOS!$D$3:$D$3002,MATCH($C168,DESPACHOS!$B$3:$B$3002,0)),"SIN DESPACHO"))</f>
        <v/>
      </c>
      <c r="E168" s="42">
        <f>IF($C168="","",IFERROR(INDEX(DESPACHOS!$K$3:$K$3002,MATCH($C168,DESPACHOS!$B$3:$B$3002,0)),""))</f>
        <v/>
      </c>
      <c r="F168" s="42">
        <f>IF($C168="","",IFERROR(INDEX(DESPACHOS!$I$3:$I$3002,MATCH($C168,DESPACHOS!$B$3:$B$3002,0)),""))</f>
        <v/>
      </c>
      <c r="G168" s="42">
        <f>IF($C168="","",IFERROR(INDEX(DESPACHOS!$F$3:$F$3002,MATCH($C168,DESPACHOS!$B$3:$B$3002,0)),""))</f>
        <v/>
      </c>
      <c r="H168" s="42">
        <f>IF($C168="","",IFERROR(INDEX(DESPACHOS!$G$3:$G$3002,MATCH($C168,DESPACHOS!$B$3:$B$3002,0)),""))</f>
        <v/>
      </c>
      <c r="I168" s="39">
        <f>IF($C168="","",IFERROR(INDEX(DESPACHOS!$H$3:$H$3002,MATCH($C168,DESPACHOS!$B$3:$B$3002,0)),""))</f>
        <v/>
      </c>
      <c r="J168" s="43">
        <f>IF($C168="","",IFERROR(INDEX(DESPACHOS!$J$3:$J$3002,MATCH($C168,DESPACHOS!$B$3:$B$3002,0)),""))</f>
        <v/>
      </c>
      <c r="K168" s="39">
        <f>IF($C168="","",IF(COUNTIFS(DESPACHOS!$B$3:$B$3002,$C168)=0,"NO EXISTE",IF(COUNTIFS(DESPACHOS!$B$3:$B$3002,$C168)&gt;1,"DUPLICADO","OK")))</f>
        <v/>
      </c>
      <c r="L168" s="41" t="n"/>
      <c r="M168" s="41" t="n"/>
      <c r="N168" s="42">
        <f>IF($M168="","",IFERROR(INDEX(LISTAS!$F$3:$F$42,MATCH($M168,LISTAS!$E$3:$E$42,0)),"Por definir"))</f>
        <v/>
      </c>
      <c r="O168" s="41" t="n"/>
      <c r="P168" s="39">
        <f>IF($L168="","",IFERROR(INDEX(LISTAS!$B$3:$B$42,MATCH($L168,LISTAS!$A$3:$A$42,0)),"Media"))</f>
        <v/>
      </c>
      <c r="Q168" s="44" t="n"/>
      <c r="R168" s="45" t="n"/>
      <c r="S168" s="20">
        <f>IFERROR(IF(OR($R168="",$C168=""),"",$R168/INDEX(DESPACHOS!$M$3:$M$3002,MATCH($C168,DESPACHOS!$B$3:$B$3002,0))),"")</f>
        <v/>
      </c>
      <c r="T168" s="41" t="n"/>
      <c r="U168" s="43">
        <f>IF(OR($B168="",$L168=""),"",WORKDAY($B168,IFERROR(INDEX(LISTAS!$C$3:$C$42,MATCH($L168,LISTAS!$A$3:$A$42,0)),3)))</f>
        <v/>
      </c>
      <c r="V168" s="40" t="n"/>
      <c r="W168" s="19">
        <f>IF($B168="","",IF($V168&lt;&gt;"",$V168-$B168,TODAY()-$B168))</f>
        <v/>
      </c>
      <c r="X168" s="19">
        <f>IF(OR($B168="",$U168=""),"",IF($V168&lt;&gt;"",MAX(0,$V168-$U168),MAX(0,TODAY()-$U168)))</f>
        <v/>
      </c>
      <c r="Y168" s="39">
        <f>IF($C168="","",IF(IFERROR(INDEX(LISTAS!$I$3:$I$42,MATCH($T168,LISTAS!$H$3:$H$42,0)),"NO")="SÍ",IF(N($X168)&gt;0,"CERRADA FUERA DE SLA","CERRADA EN SLA"),IF($U168="","SIN CLASIFICAR",IF(N($X168)&gt;0,"VENCIDA",IF(TODAY()&gt;=$U168-1,"POR VENCER","EN PLAZO")))))</f>
        <v/>
      </c>
      <c r="Z168" s="41" t="n"/>
      <c r="AA168" s="41" t="n"/>
      <c r="AB168" s="41" t="n"/>
    </row>
    <row r="169">
      <c r="A169" s="39">
        <f>IF($C169="","","NOV-"&amp;TEXT(ROW()-3,"0000"))</f>
        <v/>
      </c>
      <c r="B169" s="40" t="n"/>
      <c r="C169" s="41" t="n"/>
      <c r="D169" s="42">
        <f>IF($C169="","",IFERROR(INDEX(DESPACHOS!$D$3:$D$3002,MATCH($C169,DESPACHOS!$B$3:$B$3002,0)),"SIN DESPACHO"))</f>
        <v/>
      </c>
      <c r="E169" s="42">
        <f>IF($C169="","",IFERROR(INDEX(DESPACHOS!$K$3:$K$3002,MATCH($C169,DESPACHOS!$B$3:$B$3002,0)),""))</f>
        <v/>
      </c>
      <c r="F169" s="42">
        <f>IF($C169="","",IFERROR(INDEX(DESPACHOS!$I$3:$I$3002,MATCH($C169,DESPACHOS!$B$3:$B$3002,0)),""))</f>
        <v/>
      </c>
      <c r="G169" s="42">
        <f>IF($C169="","",IFERROR(INDEX(DESPACHOS!$F$3:$F$3002,MATCH($C169,DESPACHOS!$B$3:$B$3002,0)),""))</f>
        <v/>
      </c>
      <c r="H169" s="42">
        <f>IF($C169="","",IFERROR(INDEX(DESPACHOS!$G$3:$G$3002,MATCH($C169,DESPACHOS!$B$3:$B$3002,0)),""))</f>
        <v/>
      </c>
      <c r="I169" s="39">
        <f>IF($C169="","",IFERROR(INDEX(DESPACHOS!$H$3:$H$3002,MATCH($C169,DESPACHOS!$B$3:$B$3002,0)),""))</f>
        <v/>
      </c>
      <c r="J169" s="43">
        <f>IF($C169="","",IFERROR(INDEX(DESPACHOS!$J$3:$J$3002,MATCH($C169,DESPACHOS!$B$3:$B$3002,0)),""))</f>
        <v/>
      </c>
      <c r="K169" s="39">
        <f>IF($C169="","",IF(COUNTIFS(DESPACHOS!$B$3:$B$3002,$C169)=0,"NO EXISTE",IF(COUNTIFS(DESPACHOS!$B$3:$B$3002,$C169)&gt;1,"DUPLICADO","OK")))</f>
        <v/>
      </c>
      <c r="L169" s="41" t="n"/>
      <c r="M169" s="41" t="n"/>
      <c r="N169" s="42">
        <f>IF($M169="","",IFERROR(INDEX(LISTAS!$F$3:$F$42,MATCH($M169,LISTAS!$E$3:$E$42,0)),"Por definir"))</f>
        <v/>
      </c>
      <c r="O169" s="41" t="n"/>
      <c r="P169" s="39">
        <f>IF($L169="","",IFERROR(INDEX(LISTAS!$B$3:$B$42,MATCH($L169,LISTAS!$A$3:$A$42,0)),"Media"))</f>
        <v/>
      </c>
      <c r="Q169" s="44" t="n"/>
      <c r="R169" s="45" t="n"/>
      <c r="S169" s="20">
        <f>IFERROR(IF(OR($R169="",$C169=""),"",$R169/INDEX(DESPACHOS!$M$3:$M$3002,MATCH($C169,DESPACHOS!$B$3:$B$3002,0))),"")</f>
        <v/>
      </c>
      <c r="T169" s="41" t="n"/>
      <c r="U169" s="43">
        <f>IF(OR($B169="",$L169=""),"",WORKDAY($B169,IFERROR(INDEX(LISTAS!$C$3:$C$42,MATCH($L169,LISTAS!$A$3:$A$42,0)),3)))</f>
        <v/>
      </c>
      <c r="V169" s="40" t="n"/>
      <c r="W169" s="19">
        <f>IF($B169="","",IF($V169&lt;&gt;"",$V169-$B169,TODAY()-$B169))</f>
        <v/>
      </c>
      <c r="X169" s="19">
        <f>IF(OR($B169="",$U169=""),"",IF($V169&lt;&gt;"",MAX(0,$V169-$U169),MAX(0,TODAY()-$U169)))</f>
        <v/>
      </c>
      <c r="Y169" s="39">
        <f>IF($C169="","",IF(IFERROR(INDEX(LISTAS!$I$3:$I$42,MATCH($T169,LISTAS!$H$3:$H$42,0)),"NO")="SÍ",IF(N($X169)&gt;0,"CERRADA FUERA DE SLA","CERRADA EN SLA"),IF($U169="","SIN CLASIFICAR",IF(N($X169)&gt;0,"VENCIDA",IF(TODAY()&gt;=$U169-1,"POR VENCER","EN PLAZO")))))</f>
        <v/>
      </c>
      <c r="Z169" s="41" t="n"/>
      <c r="AA169" s="41" t="n"/>
      <c r="AB169" s="41" t="n"/>
    </row>
    <row r="170">
      <c r="A170" s="39">
        <f>IF($C170="","","NOV-"&amp;TEXT(ROW()-3,"0000"))</f>
        <v/>
      </c>
      <c r="B170" s="40" t="n"/>
      <c r="C170" s="41" t="n"/>
      <c r="D170" s="42">
        <f>IF($C170="","",IFERROR(INDEX(DESPACHOS!$D$3:$D$3002,MATCH($C170,DESPACHOS!$B$3:$B$3002,0)),"SIN DESPACHO"))</f>
        <v/>
      </c>
      <c r="E170" s="42">
        <f>IF($C170="","",IFERROR(INDEX(DESPACHOS!$K$3:$K$3002,MATCH($C170,DESPACHOS!$B$3:$B$3002,0)),""))</f>
        <v/>
      </c>
      <c r="F170" s="42">
        <f>IF($C170="","",IFERROR(INDEX(DESPACHOS!$I$3:$I$3002,MATCH($C170,DESPACHOS!$B$3:$B$3002,0)),""))</f>
        <v/>
      </c>
      <c r="G170" s="42">
        <f>IF($C170="","",IFERROR(INDEX(DESPACHOS!$F$3:$F$3002,MATCH($C170,DESPACHOS!$B$3:$B$3002,0)),""))</f>
        <v/>
      </c>
      <c r="H170" s="42">
        <f>IF($C170="","",IFERROR(INDEX(DESPACHOS!$G$3:$G$3002,MATCH($C170,DESPACHOS!$B$3:$B$3002,0)),""))</f>
        <v/>
      </c>
      <c r="I170" s="39">
        <f>IF($C170="","",IFERROR(INDEX(DESPACHOS!$H$3:$H$3002,MATCH($C170,DESPACHOS!$B$3:$B$3002,0)),""))</f>
        <v/>
      </c>
      <c r="J170" s="43">
        <f>IF($C170="","",IFERROR(INDEX(DESPACHOS!$J$3:$J$3002,MATCH($C170,DESPACHOS!$B$3:$B$3002,0)),""))</f>
        <v/>
      </c>
      <c r="K170" s="39">
        <f>IF($C170="","",IF(COUNTIFS(DESPACHOS!$B$3:$B$3002,$C170)=0,"NO EXISTE",IF(COUNTIFS(DESPACHOS!$B$3:$B$3002,$C170)&gt;1,"DUPLICADO","OK")))</f>
        <v/>
      </c>
      <c r="L170" s="41" t="n"/>
      <c r="M170" s="41" t="n"/>
      <c r="N170" s="42">
        <f>IF($M170="","",IFERROR(INDEX(LISTAS!$F$3:$F$42,MATCH($M170,LISTAS!$E$3:$E$42,0)),"Por definir"))</f>
        <v/>
      </c>
      <c r="O170" s="41" t="n"/>
      <c r="P170" s="39">
        <f>IF($L170="","",IFERROR(INDEX(LISTAS!$B$3:$B$42,MATCH($L170,LISTAS!$A$3:$A$42,0)),"Media"))</f>
        <v/>
      </c>
      <c r="Q170" s="44" t="n"/>
      <c r="R170" s="45" t="n"/>
      <c r="S170" s="20">
        <f>IFERROR(IF(OR($R170="",$C170=""),"",$R170/INDEX(DESPACHOS!$M$3:$M$3002,MATCH($C170,DESPACHOS!$B$3:$B$3002,0))),"")</f>
        <v/>
      </c>
      <c r="T170" s="41" t="n"/>
      <c r="U170" s="43">
        <f>IF(OR($B170="",$L170=""),"",WORKDAY($B170,IFERROR(INDEX(LISTAS!$C$3:$C$42,MATCH($L170,LISTAS!$A$3:$A$42,0)),3)))</f>
        <v/>
      </c>
      <c r="V170" s="40" t="n"/>
      <c r="W170" s="19">
        <f>IF($B170="","",IF($V170&lt;&gt;"",$V170-$B170,TODAY()-$B170))</f>
        <v/>
      </c>
      <c r="X170" s="19">
        <f>IF(OR($B170="",$U170=""),"",IF($V170&lt;&gt;"",MAX(0,$V170-$U170),MAX(0,TODAY()-$U170)))</f>
        <v/>
      </c>
      <c r="Y170" s="39">
        <f>IF($C170="","",IF(IFERROR(INDEX(LISTAS!$I$3:$I$42,MATCH($T170,LISTAS!$H$3:$H$42,0)),"NO")="SÍ",IF(N($X170)&gt;0,"CERRADA FUERA DE SLA","CERRADA EN SLA"),IF($U170="","SIN CLASIFICAR",IF(N($X170)&gt;0,"VENCIDA",IF(TODAY()&gt;=$U170-1,"POR VENCER","EN PLAZO")))))</f>
        <v/>
      </c>
      <c r="Z170" s="41" t="n"/>
      <c r="AA170" s="41" t="n"/>
      <c r="AB170" s="41" t="n"/>
    </row>
    <row r="171">
      <c r="A171" s="39">
        <f>IF($C171="","","NOV-"&amp;TEXT(ROW()-3,"0000"))</f>
        <v/>
      </c>
      <c r="B171" s="40" t="n"/>
      <c r="C171" s="41" t="n"/>
      <c r="D171" s="42">
        <f>IF($C171="","",IFERROR(INDEX(DESPACHOS!$D$3:$D$3002,MATCH($C171,DESPACHOS!$B$3:$B$3002,0)),"SIN DESPACHO"))</f>
        <v/>
      </c>
      <c r="E171" s="42">
        <f>IF($C171="","",IFERROR(INDEX(DESPACHOS!$K$3:$K$3002,MATCH($C171,DESPACHOS!$B$3:$B$3002,0)),""))</f>
        <v/>
      </c>
      <c r="F171" s="42">
        <f>IF($C171="","",IFERROR(INDEX(DESPACHOS!$I$3:$I$3002,MATCH($C171,DESPACHOS!$B$3:$B$3002,0)),""))</f>
        <v/>
      </c>
      <c r="G171" s="42">
        <f>IF($C171="","",IFERROR(INDEX(DESPACHOS!$F$3:$F$3002,MATCH($C171,DESPACHOS!$B$3:$B$3002,0)),""))</f>
        <v/>
      </c>
      <c r="H171" s="42">
        <f>IF($C171="","",IFERROR(INDEX(DESPACHOS!$G$3:$G$3002,MATCH($C171,DESPACHOS!$B$3:$B$3002,0)),""))</f>
        <v/>
      </c>
      <c r="I171" s="39">
        <f>IF($C171="","",IFERROR(INDEX(DESPACHOS!$H$3:$H$3002,MATCH($C171,DESPACHOS!$B$3:$B$3002,0)),""))</f>
        <v/>
      </c>
      <c r="J171" s="43">
        <f>IF($C171="","",IFERROR(INDEX(DESPACHOS!$J$3:$J$3002,MATCH($C171,DESPACHOS!$B$3:$B$3002,0)),""))</f>
        <v/>
      </c>
      <c r="K171" s="39">
        <f>IF($C171="","",IF(COUNTIFS(DESPACHOS!$B$3:$B$3002,$C171)=0,"NO EXISTE",IF(COUNTIFS(DESPACHOS!$B$3:$B$3002,$C171)&gt;1,"DUPLICADO","OK")))</f>
        <v/>
      </c>
      <c r="L171" s="41" t="n"/>
      <c r="M171" s="41" t="n"/>
      <c r="N171" s="42">
        <f>IF($M171="","",IFERROR(INDEX(LISTAS!$F$3:$F$42,MATCH($M171,LISTAS!$E$3:$E$42,0)),"Por definir"))</f>
        <v/>
      </c>
      <c r="O171" s="41" t="n"/>
      <c r="P171" s="39">
        <f>IF($L171="","",IFERROR(INDEX(LISTAS!$B$3:$B$42,MATCH($L171,LISTAS!$A$3:$A$42,0)),"Media"))</f>
        <v/>
      </c>
      <c r="Q171" s="44" t="n"/>
      <c r="R171" s="45" t="n"/>
      <c r="S171" s="20">
        <f>IFERROR(IF(OR($R171="",$C171=""),"",$R171/INDEX(DESPACHOS!$M$3:$M$3002,MATCH($C171,DESPACHOS!$B$3:$B$3002,0))),"")</f>
        <v/>
      </c>
      <c r="T171" s="41" t="n"/>
      <c r="U171" s="43">
        <f>IF(OR($B171="",$L171=""),"",WORKDAY($B171,IFERROR(INDEX(LISTAS!$C$3:$C$42,MATCH($L171,LISTAS!$A$3:$A$42,0)),3)))</f>
        <v/>
      </c>
      <c r="V171" s="40" t="n"/>
      <c r="W171" s="19">
        <f>IF($B171="","",IF($V171&lt;&gt;"",$V171-$B171,TODAY()-$B171))</f>
        <v/>
      </c>
      <c r="X171" s="19">
        <f>IF(OR($B171="",$U171=""),"",IF($V171&lt;&gt;"",MAX(0,$V171-$U171),MAX(0,TODAY()-$U171)))</f>
        <v/>
      </c>
      <c r="Y171" s="39">
        <f>IF($C171="","",IF(IFERROR(INDEX(LISTAS!$I$3:$I$42,MATCH($T171,LISTAS!$H$3:$H$42,0)),"NO")="SÍ",IF(N($X171)&gt;0,"CERRADA FUERA DE SLA","CERRADA EN SLA"),IF($U171="","SIN CLASIFICAR",IF(N($X171)&gt;0,"VENCIDA",IF(TODAY()&gt;=$U171-1,"POR VENCER","EN PLAZO")))))</f>
        <v/>
      </c>
      <c r="Z171" s="41" t="n"/>
      <c r="AA171" s="41" t="n"/>
      <c r="AB171" s="41" t="n"/>
    </row>
    <row r="172">
      <c r="A172" s="39">
        <f>IF($C172="","","NOV-"&amp;TEXT(ROW()-3,"0000"))</f>
        <v/>
      </c>
      <c r="B172" s="40" t="n"/>
      <c r="C172" s="41" t="n"/>
      <c r="D172" s="42">
        <f>IF($C172="","",IFERROR(INDEX(DESPACHOS!$D$3:$D$3002,MATCH($C172,DESPACHOS!$B$3:$B$3002,0)),"SIN DESPACHO"))</f>
        <v/>
      </c>
      <c r="E172" s="42">
        <f>IF($C172="","",IFERROR(INDEX(DESPACHOS!$K$3:$K$3002,MATCH($C172,DESPACHOS!$B$3:$B$3002,0)),""))</f>
        <v/>
      </c>
      <c r="F172" s="42">
        <f>IF($C172="","",IFERROR(INDEX(DESPACHOS!$I$3:$I$3002,MATCH($C172,DESPACHOS!$B$3:$B$3002,0)),""))</f>
        <v/>
      </c>
      <c r="G172" s="42">
        <f>IF($C172="","",IFERROR(INDEX(DESPACHOS!$F$3:$F$3002,MATCH($C172,DESPACHOS!$B$3:$B$3002,0)),""))</f>
        <v/>
      </c>
      <c r="H172" s="42">
        <f>IF($C172="","",IFERROR(INDEX(DESPACHOS!$G$3:$G$3002,MATCH($C172,DESPACHOS!$B$3:$B$3002,0)),""))</f>
        <v/>
      </c>
      <c r="I172" s="39">
        <f>IF($C172="","",IFERROR(INDEX(DESPACHOS!$H$3:$H$3002,MATCH($C172,DESPACHOS!$B$3:$B$3002,0)),""))</f>
        <v/>
      </c>
      <c r="J172" s="43">
        <f>IF($C172="","",IFERROR(INDEX(DESPACHOS!$J$3:$J$3002,MATCH($C172,DESPACHOS!$B$3:$B$3002,0)),""))</f>
        <v/>
      </c>
      <c r="K172" s="39">
        <f>IF($C172="","",IF(COUNTIFS(DESPACHOS!$B$3:$B$3002,$C172)=0,"NO EXISTE",IF(COUNTIFS(DESPACHOS!$B$3:$B$3002,$C172)&gt;1,"DUPLICADO","OK")))</f>
        <v/>
      </c>
      <c r="L172" s="41" t="n"/>
      <c r="M172" s="41" t="n"/>
      <c r="N172" s="42">
        <f>IF($M172="","",IFERROR(INDEX(LISTAS!$F$3:$F$42,MATCH($M172,LISTAS!$E$3:$E$42,0)),"Por definir"))</f>
        <v/>
      </c>
      <c r="O172" s="41" t="n"/>
      <c r="P172" s="39">
        <f>IF($L172="","",IFERROR(INDEX(LISTAS!$B$3:$B$42,MATCH($L172,LISTAS!$A$3:$A$42,0)),"Media"))</f>
        <v/>
      </c>
      <c r="Q172" s="44" t="n"/>
      <c r="R172" s="45" t="n"/>
      <c r="S172" s="20">
        <f>IFERROR(IF(OR($R172="",$C172=""),"",$R172/INDEX(DESPACHOS!$M$3:$M$3002,MATCH($C172,DESPACHOS!$B$3:$B$3002,0))),"")</f>
        <v/>
      </c>
      <c r="T172" s="41" t="n"/>
      <c r="U172" s="43">
        <f>IF(OR($B172="",$L172=""),"",WORKDAY($B172,IFERROR(INDEX(LISTAS!$C$3:$C$42,MATCH($L172,LISTAS!$A$3:$A$42,0)),3)))</f>
        <v/>
      </c>
      <c r="V172" s="40" t="n"/>
      <c r="W172" s="19">
        <f>IF($B172="","",IF($V172&lt;&gt;"",$V172-$B172,TODAY()-$B172))</f>
        <v/>
      </c>
      <c r="X172" s="19">
        <f>IF(OR($B172="",$U172=""),"",IF($V172&lt;&gt;"",MAX(0,$V172-$U172),MAX(0,TODAY()-$U172)))</f>
        <v/>
      </c>
      <c r="Y172" s="39">
        <f>IF($C172="","",IF(IFERROR(INDEX(LISTAS!$I$3:$I$42,MATCH($T172,LISTAS!$H$3:$H$42,0)),"NO")="SÍ",IF(N($X172)&gt;0,"CERRADA FUERA DE SLA","CERRADA EN SLA"),IF($U172="","SIN CLASIFICAR",IF(N($X172)&gt;0,"VENCIDA",IF(TODAY()&gt;=$U172-1,"POR VENCER","EN PLAZO")))))</f>
        <v/>
      </c>
      <c r="Z172" s="41" t="n"/>
      <c r="AA172" s="41" t="n"/>
      <c r="AB172" s="41" t="n"/>
    </row>
    <row r="173">
      <c r="A173" s="39">
        <f>IF($C173="","","NOV-"&amp;TEXT(ROW()-3,"0000"))</f>
        <v/>
      </c>
      <c r="B173" s="40" t="n"/>
      <c r="C173" s="41" t="n"/>
      <c r="D173" s="42">
        <f>IF($C173="","",IFERROR(INDEX(DESPACHOS!$D$3:$D$3002,MATCH($C173,DESPACHOS!$B$3:$B$3002,0)),"SIN DESPACHO"))</f>
        <v/>
      </c>
      <c r="E173" s="42">
        <f>IF($C173="","",IFERROR(INDEX(DESPACHOS!$K$3:$K$3002,MATCH($C173,DESPACHOS!$B$3:$B$3002,0)),""))</f>
        <v/>
      </c>
      <c r="F173" s="42">
        <f>IF($C173="","",IFERROR(INDEX(DESPACHOS!$I$3:$I$3002,MATCH($C173,DESPACHOS!$B$3:$B$3002,0)),""))</f>
        <v/>
      </c>
      <c r="G173" s="42">
        <f>IF($C173="","",IFERROR(INDEX(DESPACHOS!$F$3:$F$3002,MATCH($C173,DESPACHOS!$B$3:$B$3002,0)),""))</f>
        <v/>
      </c>
      <c r="H173" s="42">
        <f>IF($C173="","",IFERROR(INDEX(DESPACHOS!$G$3:$G$3002,MATCH($C173,DESPACHOS!$B$3:$B$3002,0)),""))</f>
        <v/>
      </c>
      <c r="I173" s="39">
        <f>IF($C173="","",IFERROR(INDEX(DESPACHOS!$H$3:$H$3002,MATCH($C173,DESPACHOS!$B$3:$B$3002,0)),""))</f>
        <v/>
      </c>
      <c r="J173" s="43">
        <f>IF($C173="","",IFERROR(INDEX(DESPACHOS!$J$3:$J$3002,MATCH($C173,DESPACHOS!$B$3:$B$3002,0)),""))</f>
        <v/>
      </c>
      <c r="K173" s="39">
        <f>IF($C173="","",IF(COUNTIFS(DESPACHOS!$B$3:$B$3002,$C173)=0,"NO EXISTE",IF(COUNTIFS(DESPACHOS!$B$3:$B$3002,$C173)&gt;1,"DUPLICADO","OK")))</f>
        <v/>
      </c>
      <c r="L173" s="41" t="n"/>
      <c r="M173" s="41" t="n"/>
      <c r="N173" s="42">
        <f>IF($M173="","",IFERROR(INDEX(LISTAS!$F$3:$F$42,MATCH($M173,LISTAS!$E$3:$E$42,0)),"Por definir"))</f>
        <v/>
      </c>
      <c r="O173" s="41" t="n"/>
      <c r="P173" s="39">
        <f>IF($L173="","",IFERROR(INDEX(LISTAS!$B$3:$B$42,MATCH($L173,LISTAS!$A$3:$A$42,0)),"Media"))</f>
        <v/>
      </c>
      <c r="Q173" s="44" t="n"/>
      <c r="R173" s="45" t="n"/>
      <c r="S173" s="20">
        <f>IFERROR(IF(OR($R173="",$C173=""),"",$R173/INDEX(DESPACHOS!$M$3:$M$3002,MATCH($C173,DESPACHOS!$B$3:$B$3002,0))),"")</f>
        <v/>
      </c>
      <c r="T173" s="41" t="n"/>
      <c r="U173" s="43">
        <f>IF(OR($B173="",$L173=""),"",WORKDAY($B173,IFERROR(INDEX(LISTAS!$C$3:$C$42,MATCH($L173,LISTAS!$A$3:$A$42,0)),3)))</f>
        <v/>
      </c>
      <c r="V173" s="40" t="n"/>
      <c r="W173" s="19">
        <f>IF($B173="","",IF($V173&lt;&gt;"",$V173-$B173,TODAY()-$B173))</f>
        <v/>
      </c>
      <c r="X173" s="19">
        <f>IF(OR($B173="",$U173=""),"",IF($V173&lt;&gt;"",MAX(0,$V173-$U173),MAX(0,TODAY()-$U173)))</f>
        <v/>
      </c>
      <c r="Y173" s="39">
        <f>IF($C173="","",IF(IFERROR(INDEX(LISTAS!$I$3:$I$42,MATCH($T173,LISTAS!$H$3:$H$42,0)),"NO")="SÍ",IF(N($X173)&gt;0,"CERRADA FUERA DE SLA","CERRADA EN SLA"),IF($U173="","SIN CLASIFICAR",IF(N($X173)&gt;0,"VENCIDA",IF(TODAY()&gt;=$U173-1,"POR VENCER","EN PLAZO")))))</f>
        <v/>
      </c>
      <c r="Z173" s="41" t="n"/>
      <c r="AA173" s="41" t="n"/>
      <c r="AB173" s="41" t="n"/>
    </row>
    <row r="174">
      <c r="A174" s="39">
        <f>IF($C174="","","NOV-"&amp;TEXT(ROW()-3,"0000"))</f>
        <v/>
      </c>
      <c r="B174" s="40" t="n"/>
      <c r="C174" s="41" t="n"/>
      <c r="D174" s="42">
        <f>IF($C174="","",IFERROR(INDEX(DESPACHOS!$D$3:$D$3002,MATCH($C174,DESPACHOS!$B$3:$B$3002,0)),"SIN DESPACHO"))</f>
        <v/>
      </c>
      <c r="E174" s="42">
        <f>IF($C174="","",IFERROR(INDEX(DESPACHOS!$K$3:$K$3002,MATCH($C174,DESPACHOS!$B$3:$B$3002,0)),""))</f>
        <v/>
      </c>
      <c r="F174" s="42">
        <f>IF($C174="","",IFERROR(INDEX(DESPACHOS!$I$3:$I$3002,MATCH($C174,DESPACHOS!$B$3:$B$3002,0)),""))</f>
        <v/>
      </c>
      <c r="G174" s="42">
        <f>IF($C174="","",IFERROR(INDEX(DESPACHOS!$F$3:$F$3002,MATCH($C174,DESPACHOS!$B$3:$B$3002,0)),""))</f>
        <v/>
      </c>
      <c r="H174" s="42">
        <f>IF($C174="","",IFERROR(INDEX(DESPACHOS!$G$3:$G$3002,MATCH($C174,DESPACHOS!$B$3:$B$3002,0)),""))</f>
        <v/>
      </c>
      <c r="I174" s="39">
        <f>IF($C174="","",IFERROR(INDEX(DESPACHOS!$H$3:$H$3002,MATCH($C174,DESPACHOS!$B$3:$B$3002,0)),""))</f>
        <v/>
      </c>
      <c r="J174" s="43">
        <f>IF($C174="","",IFERROR(INDEX(DESPACHOS!$J$3:$J$3002,MATCH($C174,DESPACHOS!$B$3:$B$3002,0)),""))</f>
        <v/>
      </c>
      <c r="K174" s="39">
        <f>IF($C174="","",IF(COUNTIFS(DESPACHOS!$B$3:$B$3002,$C174)=0,"NO EXISTE",IF(COUNTIFS(DESPACHOS!$B$3:$B$3002,$C174)&gt;1,"DUPLICADO","OK")))</f>
        <v/>
      </c>
      <c r="L174" s="41" t="n"/>
      <c r="M174" s="41" t="n"/>
      <c r="N174" s="42">
        <f>IF($M174="","",IFERROR(INDEX(LISTAS!$F$3:$F$42,MATCH($M174,LISTAS!$E$3:$E$42,0)),"Por definir"))</f>
        <v/>
      </c>
      <c r="O174" s="41" t="n"/>
      <c r="P174" s="39">
        <f>IF($L174="","",IFERROR(INDEX(LISTAS!$B$3:$B$42,MATCH($L174,LISTAS!$A$3:$A$42,0)),"Media"))</f>
        <v/>
      </c>
      <c r="Q174" s="44" t="n"/>
      <c r="R174" s="45" t="n"/>
      <c r="S174" s="20">
        <f>IFERROR(IF(OR($R174="",$C174=""),"",$R174/INDEX(DESPACHOS!$M$3:$M$3002,MATCH($C174,DESPACHOS!$B$3:$B$3002,0))),"")</f>
        <v/>
      </c>
      <c r="T174" s="41" t="n"/>
      <c r="U174" s="43">
        <f>IF(OR($B174="",$L174=""),"",WORKDAY($B174,IFERROR(INDEX(LISTAS!$C$3:$C$42,MATCH($L174,LISTAS!$A$3:$A$42,0)),3)))</f>
        <v/>
      </c>
      <c r="V174" s="40" t="n"/>
      <c r="W174" s="19">
        <f>IF($B174="","",IF($V174&lt;&gt;"",$V174-$B174,TODAY()-$B174))</f>
        <v/>
      </c>
      <c r="X174" s="19">
        <f>IF(OR($B174="",$U174=""),"",IF($V174&lt;&gt;"",MAX(0,$V174-$U174),MAX(0,TODAY()-$U174)))</f>
        <v/>
      </c>
      <c r="Y174" s="39">
        <f>IF($C174="","",IF(IFERROR(INDEX(LISTAS!$I$3:$I$42,MATCH($T174,LISTAS!$H$3:$H$42,0)),"NO")="SÍ",IF(N($X174)&gt;0,"CERRADA FUERA DE SLA","CERRADA EN SLA"),IF($U174="","SIN CLASIFICAR",IF(N($X174)&gt;0,"VENCIDA",IF(TODAY()&gt;=$U174-1,"POR VENCER","EN PLAZO")))))</f>
        <v/>
      </c>
      <c r="Z174" s="41" t="n"/>
      <c r="AA174" s="41" t="n"/>
      <c r="AB174" s="41" t="n"/>
    </row>
    <row r="175">
      <c r="A175" s="39">
        <f>IF($C175="","","NOV-"&amp;TEXT(ROW()-3,"0000"))</f>
        <v/>
      </c>
      <c r="B175" s="40" t="n"/>
      <c r="C175" s="41" t="n"/>
      <c r="D175" s="42">
        <f>IF($C175="","",IFERROR(INDEX(DESPACHOS!$D$3:$D$3002,MATCH($C175,DESPACHOS!$B$3:$B$3002,0)),"SIN DESPACHO"))</f>
        <v/>
      </c>
      <c r="E175" s="42">
        <f>IF($C175="","",IFERROR(INDEX(DESPACHOS!$K$3:$K$3002,MATCH($C175,DESPACHOS!$B$3:$B$3002,0)),""))</f>
        <v/>
      </c>
      <c r="F175" s="42">
        <f>IF($C175="","",IFERROR(INDEX(DESPACHOS!$I$3:$I$3002,MATCH($C175,DESPACHOS!$B$3:$B$3002,0)),""))</f>
        <v/>
      </c>
      <c r="G175" s="42">
        <f>IF($C175="","",IFERROR(INDEX(DESPACHOS!$F$3:$F$3002,MATCH($C175,DESPACHOS!$B$3:$B$3002,0)),""))</f>
        <v/>
      </c>
      <c r="H175" s="42">
        <f>IF($C175="","",IFERROR(INDEX(DESPACHOS!$G$3:$G$3002,MATCH($C175,DESPACHOS!$B$3:$B$3002,0)),""))</f>
        <v/>
      </c>
      <c r="I175" s="39">
        <f>IF($C175="","",IFERROR(INDEX(DESPACHOS!$H$3:$H$3002,MATCH($C175,DESPACHOS!$B$3:$B$3002,0)),""))</f>
        <v/>
      </c>
      <c r="J175" s="43">
        <f>IF($C175="","",IFERROR(INDEX(DESPACHOS!$J$3:$J$3002,MATCH($C175,DESPACHOS!$B$3:$B$3002,0)),""))</f>
        <v/>
      </c>
      <c r="K175" s="39">
        <f>IF($C175="","",IF(COUNTIFS(DESPACHOS!$B$3:$B$3002,$C175)=0,"NO EXISTE",IF(COUNTIFS(DESPACHOS!$B$3:$B$3002,$C175)&gt;1,"DUPLICADO","OK")))</f>
        <v/>
      </c>
      <c r="L175" s="41" t="n"/>
      <c r="M175" s="41" t="n"/>
      <c r="N175" s="42">
        <f>IF($M175="","",IFERROR(INDEX(LISTAS!$F$3:$F$42,MATCH($M175,LISTAS!$E$3:$E$42,0)),"Por definir"))</f>
        <v/>
      </c>
      <c r="O175" s="41" t="n"/>
      <c r="P175" s="39">
        <f>IF($L175="","",IFERROR(INDEX(LISTAS!$B$3:$B$42,MATCH($L175,LISTAS!$A$3:$A$42,0)),"Media"))</f>
        <v/>
      </c>
      <c r="Q175" s="44" t="n"/>
      <c r="R175" s="45" t="n"/>
      <c r="S175" s="20">
        <f>IFERROR(IF(OR($R175="",$C175=""),"",$R175/INDEX(DESPACHOS!$M$3:$M$3002,MATCH($C175,DESPACHOS!$B$3:$B$3002,0))),"")</f>
        <v/>
      </c>
      <c r="T175" s="41" t="n"/>
      <c r="U175" s="43">
        <f>IF(OR($B175="",$L175=""),"",WORKDAY($B175,IFERROR(INDEX(LISTAS!$C$3:$C$42,MATCH($L175,LISTAS!$A$3:$A$42,0)),3)))</f>
        <v/>
      </c>
      <c r="V175" s="40" t="n"/>
      <c r="W175" s="19">
        <f>IF($B175="","",IF($V175&lt;&gt;"",$V175-$B175,TODAY()-$B175))</f>
        <v/>
      </c>
      <c r="X175" s="19">
        <f>IF(OR($B175="",$U175=""),"",IF($V175&lt;&gt;"",MAX(0,$V175-$U175),MAX(0,TODAY()-$U175)))</f>
        <v/>
      </c>
      <c r="Y175" s="39">
        <f>IF($C175="","",IF(IFERROR(INDEX(LISTAS!$I$3:$I$42,MATCH($T175,LISTAS!$H$3:$H$42,0)),"NO")="SÍ",IF(N($X175)&gt;0,"CERRADA FUERA DE SLA","CERRADA EN SLA"),IF($U175="","SIN CLASIFICAR",IF(N($X175)&gt;0,"VENCIDA",IF(TODAY()&gt;=$U175-1,"POR VENCER","EN PLAZO")))))</f>
        <v/>
      </c>
      <c r="Z175" s="41" t="n"/>
      <c r="AA175" s="41" t="n"/>
      <c r="AB175" s="41" t="n"/>
    </row>
    <row r="176">
      <c r="A176" s="39">
        <f>IF($C176="","","NOV-"&amp;TEXT(ROW()-3,"0000"))</f>
        <v/>
      </c>
      <c r="B176" s="40" t="n"/>
      <c r="C176" s="41" t="n"/>
      <c r="D176" s="42">
        <f>IF($C176="","",IFERROR(INDEX(DESPACHOS!$D$3:$D$3002,MATCH($C176,DESPACHOS!$B$3:$B$3002,0)),"SIN DESPACHO"))</f>
        <v/>
      </c>
      <c r="E176" s="42">
        <f>IF($C176="","",IFERROR(INDEX(DESPACHOS!$K$3:$K$3002,MATCH($C176,DESPACHOS!$B$3:$B$3002,0)),""))</f>
        <v/>
      </c>
      <c r="F176" s="42">
        <f>IF($C176="","",IFERROR(INDEX(DESPACHOS!$I$3:$I$3002,MATCH($C176,DESPACHOS!$B$3:$B$3002,0)),""))</f>
        <v/>
      </c>
      <c r="G176" s="42">
        <f>IF($C176="","",IFERROR(INDEX(DESPACHOS!$F$3:$F$3002,MATCH($C176,DESPACHOS!$B$3:$B$3002,0)),""))</f>
        <v/>
      </c>
      <c r="H176" s="42">
        <f>IF($C176="","",IFERROR(INDEX(DESPACHOS!$G$3:$G$3002,MATCH($C176,DESPACHOS!$B$3:$B$3002,0)),""))</f>
        <v/>
      </c>
      <c r="I176" s="39">
        <f>IF($C176="","",IFERROR(INDEX(DESPACHOS!$H$3:$H$3002,MATCH($C176,DESPACHOS!$B$3:$B$3002,0)),""))</f>
        <v/>
      </c>
      <c r="J176" s="43">
        <f>IF($C176="","",IFERROR(INDEX(DESPACHOS!$J$3:$J$3002,MATCH($C176,DESPACHOS!$B$3:$B$3002,0)),""))</f>
        <v/>
      </c>
      <c r="K176" s="39">
        <f>IF($C176="","",IF(COUNTIFS(DESPACHOS!$B$3:$B$3002,$C176)=0,"NO EXISTE",IF(COUNTIFS(DESPACHOS!$B$3:$B$3002,$C176)&gt;1,"DUPLICADO","OK")))</f>
        <v/>
      </c>
      <c r="L176" s="41" t="n"/>
      <c r="M176" s="41" t="n"/>
      <c r="N176" s="42">
        <f>IF($M176="","",IFERROR(INDEX(LISTAS!$F$3:$F$42,MATCH($M176,LISTAS!$E$3:$E$42,0)),"Por definir"))</f>
        <v/>
      </c>
      <c r="O176" s="41" t="n"/>
      <c r="P176" s="39">
        <f>IF($L176="","",IFERROR(INDEX(LISTAS!$B$3:$B$42,MATCH($L176,LISTAS!$A$3:$A$42,0)),"Media"))</f>
        <v/>
      </c>
      <c r="Q176" s="44" t="n"/>
      <c r="R176" s="45" t="n"/>
      <c r="S176" s="20">
        <f>IFERROR(IF(OR($R176="",$C176=""),"",$R176/INDEX(DESPACHOS!$M$3:$M$3002,MATCH($C176,DESPACHOS!$B$3:$B$3002,0))),"")</f>
        <v/>
      </c>
      <c r="T176" s="41" t="n"/>
      <c r="U176" s="43">
        <f>IF(OR($B176="",$L176=""),"",WORKDAY($B176,IFERROR(INDEX(LISTAS!$C$3:$C$42,MATCH($L176,LISTAS!$A$3:$A$42,0)),3)))</f>
        <v/>
      </c>
      <c r="V176" s="40" t="n"/>
      <c r="W176" s="19">
        <f>IF($B176="","",IF($V176&lt;&gt;"",$V176-$B176,TODAY()-$B176))</f>
        <v/>
      </c>
      <c r="X176" s="19">
        <f>IF(OR($B176="",$U176=""),"",IF($V176&lt;&gt;"",MAX(0,$V176-$U176),MAX(0,TODAY()-$U176)))</f>
        <v/>
      </c>
      <c r="Y176" s="39">
        <f>IF($C176="","",IF(IFERROR(INDEX(LISTAS!$I$3:$I$42,MATCH($T176,LISTAS!$H$3:$H$42,0)),"NO")="SÍ",IF(N($X176)&gt;0,"CERRADA FUERA DE SLA","CERRADA EN SLA"),IF($U176="","SIN CLASIFICAR",IF(N($X176)&gt;0,"VENCIDA",IF(TODAY()&gt;=$U176-1,"POR VENCER","EN PLAZO")))))</f>
        <v/>
      </c>
      <c r="Z176" s="41" t="n"/>
      <c r="AA176" s="41" t="n"/>
      <c r="AB176" s="41" t="n"/>
    </row>
    <row r="177">
      <c r="A177" s="39">
        <f>IF($C177="","","NOV-"&amp;TEXT(ROW()-3,"0000"))</f>
        <v/>
      </c>
      <c r="B177" s="40" t="n"/>
      <c r="C177" s="41" t="n"/>
      <c r="D177" s="42">
        <f>IF($C177="","",IFERROR(INDEX(DESPACHOS!$D$3:$D$3002,MATCH($C177,DESPACHOS!$B$3:$B$3002,0)),"SIN DESPACHO"))</f>
        <v/>
      </c>
      <c r="E177" s="42">
        <f>IF($C177="","",IFERROR(INDEX(DESPACHOS!$K$3:$K$3002,MATCH($C177,DESPACHOS!$B$3:$B$3002,0)),""))</f>
        <v/>
      </c>
      <c r="F177" s="42">
        <f>IF($C177="","",IFERROR(INDEX(DESPACHOS!$I$3:$I$3002,MATCH($C177,DESPACHOS!$B$3:$B$3002,0)),""))</f>
        <v/>
      </c>
      <c r="G177" s="42">
        <f>IF($C177="","",IFERROR(INDEX(DESPACHOS!$F$3:$F$3002,MATCH($C177,DESPACHOS!$B$3:$B$3002,0)),""))</f>
        <v/>
      </c>
      <c r="H177" s="42">
        <f>IF($C177="","",IFERROR(INDEX(DESPACHOS!$G$3:$G$3002,MATCH($C177,DESPACHOS!$B$3:$B$3002,0)),""))</f>
        <v/>
      </c>
      <c r="I177" s="39">
        <f>IF($C177="","",IFERROR(INDEX(DESPACHOS!$H$3:$H$3002,MATCH($C177,DESPACHOS!$B$3:$B$3002,0)),""))</f>
        <v/>
      </c>
      <c r="J177" s="43">
        <f>IF($C177="","",IFERROR(INDEX(DESPACHOS!$J$3:$J$3002,MATCH($C177,DESPACHOS!$B$3:$B$3002,0)),""))</f>
        <v/>
      </c>
      <c r="K177" s="39">
        <f>IF($C177="","",IF(COUNTIFS(DESPACHOS!$B$3:$B$3002,$C177)=0,"NO EXISTE",IF(COUNTIFS(DESPACHOS!$B$3:$B$3002,$C177)&gt;1,"DUPLICADO","OK")))</f>
        <v/>
      </c>
      <c r="L177" s="41" t="n"/>
      <c r="M177" s="41" t="n"/>
      <c r="N177" s="42">
        <f>IF($M177="","",IFERROR(INDEX(LISTAS!$F$3:$F$42,MATCH($M177,LISTAS!$E$3:$E$42,0)),"Por definir"))</f>
        <v/>
      </c>
      <c r="O177" s="41" t="n"/>
      <c r="P177" s="39">
        <f>IF($L177="","",IFERROR(INDEX(LISTAS!$B$3:$B$42,MATCH($L177,LISTAS!$A$3:$A$42,0)),"Media"))</f>
        <v/>
      </c>
      <c r="Q177" s="44" t="n"/>
      <c r="R177" s="45" t="n"/>
      <c r="S177" s="20">
        <f>IFERROR(IF(OR($R177="",$C177=""),"",$R177/INDEX(DESPACHOS!$M$3:$M$3002,MATCH($C177,DESPACHOS!$B$3:$B$3002,0))),"")</f>
        <v/>
      </c>
      <c r="T177" s="41" t="n"/>
      <c r="U177" s="43">
        <f>IF(OR($B177="",$L177=""),"",WORKDAY($B177,IFERROR(INDEX(LISTAS!$C$3:$C$42,MATCH($L177,LISTAS!$A$3:$A$42,0)),3)))</f>
        <v/>
      </c>
      <c r="V177" s="40" t="n"/>
      <c r="W177" s="19">
        <f>IF($B177="","",IF($V177&lt;&gt;"",$V177-$B177,TODAY()-$B177))</f>
        <v/>
      </c>
      <c r="X177" s="19">
        <f>IF(OR($B177="",$U177=""),"",IF($V177&lt;&gt;"",MAX(0,$V177-$U177),MAX(0,TODAY()-$U177)))</f>
        <v/>
      </c>
      <c r="Y177" s="39">
        <f>IF($C177="","",IF(IFERROR(INDEX(LISTAS!$I$3:$I$42,MATCH($T177,LISTAS!$H$3:$H$42,0)),"NO")="SÍ",IF(N($X177)&gt;0,"CERRADA FUERA DE SLA","CERRADA EN SLA"),IF($U177="","SIN CLASIFICAR",IF(N($X177)&gt;0,"VENCIDA",IF(TODAY()&gt;=$U177-1,"POR VENCER","EN PLAZO")))))</f>
        <v/>
      </c>
      <c r="Z177" s="41" t="n"/>
      <c r="AA177" s="41" t="n"/>
      <c r="AB177" s="41" t="n"/>
    </row>
    <row r="178">
      <c r="A178" s="39">
        <f>IF($C178="","","NOV-"&amp;TEXT(ROW()-3,"0000"))</f>
        <v/>
      </c>
      <c r="B178" s="40" t="n"/>
      <c r="C178" s="41" t="n"/>
      <c r="D178" s="42">
        <f>IF($C178="","",IFERROR(INDEX(DESPACHOS!$D$3:$D$3002,MATCH($C178,DESPACHOS!$B$3:$B$3002,0)),"SIN DESPACHO"))</f>
        <v/>
      </c>
      <c r="E178" s="42">
        <f>IF($C178="","",IFERROR(INDEX(DESPACHOS!$K$3:$K$3002,MATCH($C178,DESPACHOS!$B$3:$B$3002,0)),""))</f>
        <v/>
      </c>
      <c r="F178" s="42">
        <f>IF($C178="","",IFERROR(INDEX(DESPACHOS!$I$3:$I$3002,MATCH($C178,DESPACHOS!$B$3:$B$3002,0)),""))</f>
        <v/>
      </c>
      <c r="G178" s="42">
        <f>IF($C178="","",IFERROR(INDEX(DESPACHOS!$F$3:$F$3002,MATCH($C178,DESPACHOS!$B$3:$B$3002,0)),""))</f>
        <v/>
      </c>
      <c r="H178" s="42">
        <f>IF($C178="","",IFERROR(INDEX(DESPACHOS!$G$3:$G$3002,MATCH($C178,DESPACHOS!$B$3:$B$3002,0)),""))</f>
        <v/>
      </c>
      <c r="I178" s="39">
        <f>IF($C178="","",IFERROR(INDEX(DESPACHOS!$H$3:$H$3002,MATCH($C178,DESPACHOS!$B$3:$B$3002,0)),""))</f>
        <v/>
      </c>
      <c r="J178" s="43">
        <f>IF($C178="","",IFERROR(INDEX(DESPACHOS!$J$3:$J$3002,MATCH($C178,DESPACHOS!$B$3:$B$3002,0)),""))</f>
        <v/>
      </c>
      <c r="K178" s="39">
        <f>IF($C178="","",IF(COUNTIFS(DESPACHOS!$B$3:$B$3002,$C178)=0,"NO EXISTE",IF(COUNTIFS(DESPACHOS!$B$3:$B$3002,$C178)&gt;1,"DUPLICADO","OK")))</f>
        <v/>
      </c>
      <c r="L178" s="41" t="n"/>
      <c r="M178" s="41" t="n"/>
      <c r="N178" s="42">
        <f>IF($M178="","",IFERROR(INDEX(LISTAS!$F$3:$F$42,MATCH($M178,LISTAS!$E$3:$E$42,0)),"Por definir"))</f>
        <v/>
      </c>
      <c r="O178" s="41" t="n"/>
      <c r="P178" s="39">
        <f>IF($L178="","",IFERROR(INDEX(LISTAS!$B$3:$B$42,MATCH($L178,LISTAS!$A$3:$A$42,0)),"Media"))</f>
        <v/>
      </c>
      <c r="Q178" s="44" t="n"/>
      <c r="R178" s="45" t="n"/>
      <c r="S178" s="20">
        <f>IFERROR(IF(OR($R178="",$C178=""),"",$R178/INDEX(DESPACHOS!$M$3:$M$3002,MATCH($C178,DESPACHOS!$B$3:$B$3002,0))),"")</f>
        <v/>
      </c>
      <c r="T178" s="41" t="n"/>
      <c r="U178" s="43">
        <f>IF(OR($B178="",$L178=""),"",WORKDAY($B178,IFERROR(INDEX(LISTAS!$C$3:$C$42,MATCH($L178,LISTAS!$A$3:$A$42,0)),3)))</f>
        <v/>
      </c>
      <c r="V178" s="40" t="n"/>
      <c r="W178" s="19">
        <f>IF($B178="","",IF($V178&lt;&gt;"",$V178-$B178,TODAY()-$B178))</f>
        <v/>
      </c>
      <c r="X178" s="19">
        <f>IF(OR($B178="",$U178=""),"",IF($V178&lt;&gt;"",MAX(0,$V178-$U178),MAX(0,TODAY()-$U178)))</f>
        <v/>
      </c>
      <c r="Y178" s="39">
        <f>IF($C178="","",IF(IFERROR(INDEX(LISTAS!$I$3:$I$42,MATCH($T178,LISTAS!$H$3:$H$42,0)),"NO")="SÍ",IF(N($X178)&gt;0,"CERRADA FUERA DE SLA","CERRADA EN SLA"),IF($U178="","SIN CLASIFICAR",IF(N($X178)&gt;0,"VENCIDA",IF(TODAY()&gt;=$U178-1,"POR VENCER","EN PLAZO")))))</f>
        <v/>
      </c>
      <c r="Z178" s="41" t="n"/>
      <c r="AA178" s="41" t="n"/>
      <c r="AB178" s="41" t="n"/>
    </row>
    <row r="179">
      <c r="A179" s="39">
        <f>IF($C179="","","NOV-"&amp;TEXT(ROW()-3,"0000"))</f>
        <v/>
      </c>
      <c r="B179" s="40" t="n"/>
      <c r="C179" s="41" t="n"/>
      <c r="D179" s="42">
        <f>IF($C179="","",IFERROR(INDEX(DESPACHOS!$D$3:$D$3002,MATCH($C179,DESPACHOS!$B$3:$B$3002,0)),"SIN DESPACHO"))</f>
        <v/>
      </c>
      <c r="E179" s="42">
        <f>IF($C179="","",IFERROR(INDEX(DESPACHOS!$K$3:$K$3002,MATCH($C179,DESPACHOS!$B$3:$B$3002,0)),""))</f>
        <v/>
      </c>
      <c r="F179" s="42">
        <f>IF($C179="","",IFERROR(INDEX(DESPACHOS!$I$3:$I$3002,MATCH($C179,DESPACHOS!$B$3:$B$3002,0)),""))</f>
        <v/>
      </c>
      <c r="G179" s="42">
        <f>IF($C179="","",IFERROR(INDEX(DESPACHOS!$F$3:$F$3002,MATCH($C179,DESPACHOS!$B$3:$B$3002,0)),""))</f>
        <v/>
      </c>
      <c r="H179" s="42">
        <f>IF($C179="","",IFERROR(INDEX(DESPACHOS!$G$3:$G$3002,MATCH($C179,DESPACHOS!$B$3:$B$3002,0)),""))</f>
        <v/>
      </c>
      <c r="I179" s="39">
        <f>IF($C179="","",IFERROR(INDEX(DESPACHOS!$H$3:$H$3002,MATCH($C179,DESPACHOS!$B$3:$B$3002,0)),""))</f>
        <v/>
      </c>
      <c r="J179" s="43">
        <f>IF($C179="","",IFERROR(INDEX(DESPACHOS!$J$3:$J$3002,MATCH($C179,DESPACHOS!$B$3:$B$3002,0)),""))</f>
        <v/>
      </c>
      <c r="K179" s="39">
        <f>IF($C179="","",IF(COUNTIFS(DESPACHOS!$B$3:$B$3002,$C179)=0,"NO EXISTE",IF(COUNTIFS(DESPACHOS!$B$3:$B$3002,$C179)&gt;1,"DUPLICADO","OK")))</f>
        <v/>
      </c>
      <c r="L179" s="41" t="n"/>
      <c r="M179" s="41" t="n"/>
      <c r="N179" s="42">
        <f>IF($M179="","",IFERROR(INDEX(LISTAS!$F$3:$F$42,MATCH($M179,LISTAS!$E$3:$E$42,0)),"Por definir"))</f>
        <v/>
      </c>
      <c r="O179" s="41" t="n"/>
      <c r="P179" s="39">
        <f>IF($L179="","",IFERROR(INDEX(LISTAS!$B$3:$B$42,MATCH($L179,LISTAS!$A$3:$A$42,0)),"Media"))</f>
        <v/>
      </c>
      <c r="Q179" s="44" t="n"/>
      <c r="R179" s="45" t="n"/>
      <c r="S179" s="20">
        <f>IFERROR(IF(OR($R179="",$C179=""),"",$R179/INDEX(DESPACHOS!$M$3:$M$3002,MATCH($C179,DESPACHOS!$B$3:$B$3002,0))),"")</f>
        <v/>
      </c>
      <c r="T179" s="41" t="n"/>
      <c r="U179" s="43">
        <f>IF(OR($B179="",$L179=""),"",WORKDAY($B179,IFERROR(INDEX(LISTAS!$C$3:$C$42,MATCH($L179,LISTAS!$A$3:$A$42,0)),3)))</f>
        <v/>
      </c>
      <c r="V179" s="40" t="n"/>
      <c r="W179" s="19">
        <f>IF($B179="","",IF($V179&lt;&gt;"",$V179-$B179,TODAY()-$B179))</f>
        <v/>
      </c>
      <c r="X179" s="19">
        <f>IF(OR($B179="",$U179=""),"",IF($V179&lt;&gt;"",MAX(0,$V179-$U179),MAX(0,TODAY()-$U179)))</f>
        <v/>
      </c>
      <c r="Y179" s="39">
        <f>IF($C179="","",IF(IFERROR(INDEX(LISTAS!$I$3:$I$42,MATCH($T179,LISTAS!$H$3:$H$42,0)),"NO")="SÍ",IF(N($X179)&gt;0,"CERRADA FUERA DE SLA","CERRADA EN SLA"),IF($U179="","SIN CLASIFICAR",IF(N($X179)&gt;0,"VENCIDA",IF(TODAY()&gt;=$U179-1,"POR VENCER","EN PLAZO")))))</f>
        <v/>
      </c>
      <c r="Z179" s="41" t="n"/>
      <c r="AA179" s="41" t="n"/>
      <c r="AB179" s="41" t="n"/>
    </row>
    <row r="180">
      <c r="A180" s="39">
        <f>IF($C180="","","NOV-"&amp;TEXT(ROW()-3,"0000"))</f>
        <v/>
      </c>
      <c r="B180" s="40" t="n"/>
      <c r="C180" s="41" t="n"/>
      <c r="D180" s="42">
        <f>IF($C180="","",IFERROR(INDEX(DESPACHOS!$D$3:$D$3002,MATCH($C180,DESPACHOS!$B$3:$B$3002,0)),"SIN DESPACHO"))</f>
        <v/>
      </c>
      <c r="E180" s="42">
        <f>IF($C180="","",IFERROR(INDEX(DESPACHOS!$K$3:$K$3002,MATCH($C180,DESPACHOS!$B$3:$B$3002,0)),""))</f>
        <v/>
      </c>
      <c r="F180" s="42">
        <f>IF($C180="","",IFERROR(INDEX(DESPACHOS!$I$3:$I$3002,MATCH($C180,DESPACHOS!$B$3:$B$3002,0)),""))</f>
        <v/>
      </c>
      <c r="G180" s="42">
        <f>IF($C180="","",IFERROR(INDEX(DESPACHOS!$F$3:$F$3002,MATCH($C180,DESPACHOS!$B$3:$B$3002,0)),""))</f>
        <v/>
      </c>
      <c r="H180" s="42">
        <f>IF($C180="","",IFERROR(INDEX(DESPACHOS!$G$3:$G$3002,MATCH($C180,DESPACHOS!$B$3:$B$3002,0)),""))</f>
        <v/>
      </c>
      <c r="I180" s="39">
        <f>IF($C180="","",IFERROR(INDEX(DESPACHOS!$H$3:$H$3002,MATCH($C180,DESPACHOS!$B$3:$B$3002,0)),""))</f>
        <v/>
      </c>
      <c r="J180" s="43">
        <f>IF($C180="","",IFERROR(INDEX(DESPACHOS!$J$3:$J$3002,MATCH($C180,DESPACHOS!$B$3:$B$3002,0)),""))</f>
        <v/>
      </c>
      <c r="K180" s="39">
        <f>IF($C180="","",IF(COUNTIFS(DESPACHOS!$B$3:$B$3002,$C180)=0,"NO EXISTE",IF(COUNTIFS(DESPACHOS!$B$3:$B$3002,$C180)&gt;1,"DUPLICADO","OK")))</f>
        <v/>
      </c>
      <c r="L180" s="41" t="n"/>
      <c r="M180" s="41" t="n"/>
      <c r="N180" s="42">
        <f>IF($M180="","",IFERROR(INDEX(LISTAS!$F$3:$F$42,MATCH($M180,LISTAS!$E$3:$E$42,0)),"Por definir"))</f>
        <v/>
      </c>
      <c r="O180" s="41" t="n"/>
      <c r="P180" s="39">
        <f>IF($L180="","",IFERROR(INDEX(LISTAS!$B$3:$B$42,MATCH($L180,LISTAS!$A$3:$A$42,0)),"Media"))</f>
        <v/>
      </c>
      <c r="Q180" s="44" t="n"/>
      <c r="R180" s="45" t="n"/>
      <c r="S180" s="20">
        <f>IFERROR(IF(OR($R180="",$C180=""),"",$R180/INDEX(DESPACHOS!$M$3:$M$3002,MATCH($C180,DESPACHOS!$B$3:$B$3002,0))),"")</f>
        <v/>
      </c>
      <c r="T180" s="41" t="n"/>
      <c r="U180" s="43">
        <f>IF(OR($B180="",$L180=""),"",WORKDAY($B180,IFERROR(INDEX(LISTAS!$C$3:$C$42,MATCH($L180,LISTAS!$A$3:$A$42,0)),3)))</f>
        <v/>
      </c>
      <c r="V180" s="40" t="n"/>
      <c r="W180" s="19">
        <f>IF($B180="","",IF($V180&lt;&gt;"",$V180-$B180,TODAY()-$B180))</f>
        <v/>
      </c>
      <c r="X180" s="19">
        <f>IF(OR($B180="",$U180=""),"",IF($V180&lt;&gt;"",MAX(0,$V180-$U180),MAX(0,TODAY()-$U180)))</f>
        <v/>
      </c>
      <c r="Y180" s="39">
        <f>IF($C180="","",IF(IFERROR(INDEX(LISTAS!$I$3:$I$42,MATCH($T180,LISTAS!$H$3:$H$42,0)),"NO")="SÍ",IF(N($X180)&gt;0,"CERRADA FUERA DE SLA","CERRADA EN SLA"),IF($U180="","SIN CLASIFICAR",IF(N($X180)&gt;0,"VENCIDA",IF(TODAY()&gt;=$U180-1,"POR VENCER","EN PLAZO")))))</f>
        <v/>
      </c>
      <c r="Z180" s="41" t="n"/>
      <c r="AA180" s="41" t="n"/>
      <c r="AB180" s="41" t="n"/>
    </row>
    <row r="181">
      <c r="A181" s="39">
        <f>IF($C181="","","NOV-"&amp;TEXT(ROW()-3,"0000"))</f>
        <v/>
      </c>
      <c r="B181" s="40" t="n"/>
      <c r="C181" s="41" t="n"/>
      <c r="D181" s="42">
        <f>IF($C181="","",IFERROR(INDEX(DESPACHOS!$D$3:$D$3002,MATCH($C181,DESPACHOS!$B$3:$B$3002,0)),"SIN DESPACHO"))</f>
        <v/>
      </c>
      <c r="E181" s="42">
        <f>IF($C181="","",IFERROR(INDEX(DESPACHOS!$K$3:$K$3002,MATCH($C181,DESPACHOS!$B$3:$B$3002,0)),""))</f>
        <v/>
      </c>
      <c r="F181" s="42">
        <f>IF($C181="","",IFERROR(INDEX(DESPACHOS!$I$3:$I$3002,MATCH($C181,DESPACHOS!$B$3:$B$3002,0)),""))</f>
        <v/>
      </c>
      <c r="G181" s="42">
        <f>IF($C181="","",IFERROR(INDEX(DESPACHOS!$F$3:$F$3002,MATCH($C181,DESPACHOS!$B$3:$B$3002,0)),""))</f>
        <v/>
      </c>
      <c r="H181" s="42">
        <f>IF($C181="","",IFERROR(INDEX(DESPACHOS!$G$3:$G$3002,MATCH($C181,DESPACHOS!$B$3:$B$3002,0)),""))</f>
        <v/>
      </c>
      <c r="I181" s="39">
        <f>IF($C181="","",IFERROR(INDEX(DESPACHOS!$H$3:$H$3002,MATCH($C181,DESPACHOS!$B$3:$B$3002,0)),""))</f>
        <v/>
      </c>
      <c r="J181" s="43">
        <f>IF($C181="","",IFERROR(INDEX(DESPACHOS!$J$3:$J$3002,MATCH($C181,DESPACHOS!$B$3:$B$3002,0)),""))</f>
        <v/>
      </c>
      <c r="K181" s="39">
        <f>IF($C181="","",IF(COUNTIFS(DESPACHOS!$B$3:$B$3002,$C181)=0,"NO EXISTE",IF(COUNTIFS(DESPACHOS!$B$3:$B$3002,$C181)&gt;1,"DUPLICADO","OK")))</f>
        <v/>
      </c>
      <c r="L181" s="41" t="n"/>
      <c r="M181" s="41" t="n"/>
      <c r="N181" s="42">
        <f>IF($M181="","",IFERROR(INDEX(LISTAS!$F$3:$F$42,MATCH($M181,LISTAS!$E$3:$E$42,0)),"Por definir"))</f>
        <v/>
      </c>
      <c r="O181" s="41" t="n"/>
      <c r="P181" s="39">
        <f>IF($L181="","",IFERROR(INDEX(LISTAS!$B$3:$B$42,MATCH($L181,LISTAS!$A$3:$A$42,0)),"Media"))</f>
        <v/>
      </c>
      <c r="Q181" s="44" t="n"/>
      <c r="R181" s="45" t="n"/>
      <c r="S181" s="20">
        <f>IFERROR(IF(OR($R181="",$C181=""),"",$R181/INDEX(DESPACHOS!$M$3:$M$3002,MATCH($C181,DESPACHOS!$B$3:$B$3002,0))),"")</f>
        <v/>
      </c>
      <c r="T181" s="41" t="n"/>
      <c r="U181" s="43">
        <f>IF(OR($B181="",$L181=""),"",WORKDAY($B181,IFERROR(INDEX(LISTAS!$C$3:$C$42,MATCH($L181,LISTAS!$A$3:$A$42,0)),3)))</f>
        <v/>
      </c>
      <c r="V181" s="40" t="n"/>
      <c r="W181" s="19">
        <f>IF($B181="","",IF($V181&lt;&gt;"",$V181-$B181,TODAY()-$B181))</f>
        <v/>
      </c>
      <c r="X181" s="19">
        <f>IF(OR($B181="",$U181=""),"",IF($V181&lt;&gt;"",MAX(0,$V181-$U181),MAX(0,TODAY()-$U181)))</f>
        <v/>
      </c>
      <c r="Y181" s="39">
        <f>IF($C181="","",IF(IFERROR(INDEX(LISTAS!$I$3:$I$42,MATCH($T181,LISTAS!$H$3:$H$42,0)),"NO")="SÍ",IF(N($X181)&gt;0,"CERRADA FUERA DE SLA","CERRADA EN SLA"),IF($U181="","SIN CLASIFICAR",IF(N($X181)&gt;0,"VENCIDA",IF(TODAY()&gt;=$U181-1,"POR VENCER","EN PLAZO")))))</f>
        <v/>
      </c>
      <c r="Z181" s="41" t="n"/>
      <c r="AA181" s="41" t="n"/>
      <c r="AB181" s="41" t="n"/>
    </row>
    <row r="182">
      <c r="A182" s="39">
        <f>IF($C182="","","NOV-"&amp;TEXT(ROW()-3,"0000"))</f>
        <v/>
      </c>
      <c r="B182" s="40" t="n"/>
      <c r="C182" s="41" t="n"/>
      <c r="D182" s="42">
        <f>IF($C182="","",IFERROR(INDEX(DESPACHOS!$D$3:$D$3002,MATCH($C182,DESPACHOS!$B$3:$B$3002,0)),"SIN DESPACHO"))</f>
        <v/>
      </c>
      <c r="E182" s="42">
        <f>IF($C182="","",IFERROR(INDEX(DESPACHOS!$K$3:$K$3002,MATCH($C182,DESPACHOS!$B$3:$B$3002,0)),""))</f>
        <v/>
      </c>
      <c r="F182" s="42">
        <f>IF($C182="","",IFERROR(INDEX(DESPACHOS!$I$3:$I$3002,MATCH($C182,DESPACHOS!$B$3:$B$3002,0)),""))</f>
        <v/>
      </c>
      <c r="G182" s="42">
        <f>IF($C182="","",IFERROR(INDEX(DESPACHOS!$F$3:$F$3002,MATCH($C182,DESPACHOS!$B$3:$B$3002,0)),""))</f>
        <v/>
      </c>
      <c r="H182" s="42">
        <f>IF($C182="","",IFERROR(INDEX(DESPACHOS!$G$3:$G$3002,MATCH($C182,DESPACHOS!$B$3:$B$3002,0)),""))</f>
        <v/>
      </c>
      <c r="I182" s="39">
        <f>IF($C182="","",IFERROR(INDEX(DESPACHOS!$H$3:$H$3002,MATCH($C182,DESPACHOS!$B$3:$B$3002,0)),""))</f>
        <v/>
      </c>
      <c r="J182" s="43">
        <f>IF($C182="","",IFERROR(INDEX(DESPACHOS!$J$3:$J$3002,MATCH($C182,DESPACHOS!$B$3:$B$3002,0)),""))</f>
        <v/>
      </c>
      <c r="K182" s="39">
        <f>IF($C182="","",IF(COUNTIFS(DESPACHOS!$B$3:$B$3002,$C182)=0,"NO EXISTE",IF(COUNTIFS(DESPACHOS!$B$3:$B$3002,$C182)&gt;1,"DUPLICADO","OK")))</f>
        <v/>
      </c>
      <c r="L182" s="41" t="n"/>
      <c r="M182" s="41" t="n"/>
      <c r="N182" s="42">
        <f>IF($M182="","",IFERROR(INDEX(LISTAS!$F$3:$F$42,MATCH($M182,LISTAS!$E$3:$E$42,0)),"Por definir"))</f>
        <v/>
      </c>
      <c r="O182" s="41" t="n"/>
      <c r="P182" s="39">
        <f>IF($L182="","",IFERROR(INDEX(LISTAS!$B$3:$B$42,MATCH($L182,LISTAS!$A$3:$A$42,0)),"Media"))</f>
        <v/>
      </c>
      <c r="Q182" s="44" t="n"/>
      <c r="R182" s="45" t="n"/>
      <c r="S182" s="20">
        <f>IFERROR(IF(OR($R182="",$C182=""),"",$R182/INDEX(DESPACHOS!$M$3:$M$3002,MATCH($C182,DESPACHOS!$B$3:$B$3002,0))),"")</f>
        <v/>
      </c>
      <c r="T182" s="41" t="n"/>
      <c r="U182" s="43">
        <f>IF(OR($B182="",$L182=""),"",WORKDAY($B182,IFERROR(INDEX(LISTAS!$C$3:$C$42,MATCH($L182,LISTAS!$A$3:$A$42,0)),3)))</f>
        <v/>
      </c>
      <c r="V182" s="40" t="n"/>
      <c r="W182" s="19">
        <f>IF($B182="","",IF($V182&lt;&gt;"",$V182-$B182,TODAY()-$B182))</f>
        <v/>
      </c>
      <c r="X182" s="19">
        <f>IF(OR($B182="",$U182=""),"",IF($V182&lt;&gt;"",MAX(0,$V182-$U182),MAX(0,TODAY()-$U182)))</f>
        <v/>
      </c>
      <c r="Y182" s="39">
        <f>IF($C182="","",IF(IFERROR(INDEX(LISTAS!$I$3:$I$42,MATCH($T182,LISTAS!$H$3:$H$42,0)),"NO")="SÍ",IF(N($X182)&gt;0,"CERRADA FUERA DE SLA","CERRADA EN SLA"),IF($U182="","SIN CLASIFICAR",IF(N($X182)&gt;0,"VENCIDA",IF(TODAY()&gt;=$U182-1,"POR VENCER","EN PLAZO")))))</f>
        <v/>
      </c>
      <c r="Z182" s="41" t="n"/>
      <c r="AA182" s="41" t="n"/>
      <c r="AB182" s="41" t="n"/>
    </row>
    <row r="183">
      <c r="A183" s="39">
        <f>IF($C183="","","NOV-"&amp;TEXT(ROW()-3,"0000"))</f>
        <v/>
      </c>
      <c r="B183" s="40" t="n"/>
      <c r="C183" s="41" t="n"/>
      <c r="D183" s="42">
        <f>IF($C183="","",IFERROR(INDEX(DESPACHOS!$D$3:$D$3002,MATCH($C183,DESPACHOS!$B$3:$B$3002,0)),"SIN DESPACHO"))</f>
        <v/>
      </c>
      <c r="E183" s="42">
        <f>IF($C183="","",IFERROR(INDEX(DESPACHOS!$K$3:$K$3002,MATCH($C183,DESPACHOS!$B$3:$B$3002,0)),""))</f>
        <v/>
      </c>
      <c r="F183" s="42">
        <f>IF($C183="","",IFERROR(INDEX(DESPACHOS!$I$3:$I$3002,MATCH($C183,DESPACHOS!$B$3:$B$3002,0)),""))</f>
        <v/>
      </c>
      <c r="G183" s="42">
        <f>IF($C183="","",IFERROR(INDEX(DESPACHOS!$F$3:$F$3002,MATCH($C183,DESPACHOS!$B$3:$B$3002,0)),""))</f>
        <v/>
      </c>
      <c r="H183" s="42">
        <f>IF($C183="","",IFERROR(INDEX(DESPACHOS!$G$3:$G$3002,MATCH($C183,DESPACHOS!$B$3:$B$3002,0)),""))</f>
        <v/>
      </c>
      <c r="I183" s="39">
        <f>IF($C183="","",IFERROR(INDEX(DESPACHOS!$H$3:$H$3002,MATCH($C183,DESPACHOS!$B$3:$B$3002,0)),""))</f>
        <v/>
      </c>
      <c r="J183" s="43">
        <f>IF($C183="","",IFERROR(INDEX(DESPACHOS!$J$3:$J$3002,MATCH($C183,DESPACHOS!$B$3:$B$3002,0)),""))</f>
        <v/>
      </c>
      <c r="K183" s="39">
        <f>IF($C183="","",IF(COUNTIFS(DESPACHOS!$B$3:$B$3002,$C183)=0,"NO EXISTE",IF(COUNTIFS(DESPACHOS!$B$3:$B$3002,$C183)&gt;1,"DUPLICADO","OK")))</f>
        <v/>
      </c>
      <c r="L183" s="41" t="n"/>
      <c r="M183" s="41" t="n"/>
      <c r="N183" s="42">
        <f>IF($M183="","",IFERROR(INDEX(LISTAS!$F$3:$F$42,MATCH($M183,LISTAS!$E$3:$E$42,0)),"Por definir"))</f>
        <v/>
      </c>
      <c r="O183" s="41" t="n"/>
      <c r="P183" s="39">
        <f>IF($L183="","",IFERROR(INDEX(LISTAS!$B$3:$B$42,MATCH($L183,LISTAS!$A$3:$A$42,0)),"Media"))</f>
        <v/>
      </c>
      <c r="Q183" s="44" t="n"/>
      <c r="R183" s="45" t="n"/>
      <c r="S183" s="20">
        <f>IFERROR(IF(OR($R183="",$C183=""),"",$R183/INDEX(DESPACHOS!$M$3:$M$3002,MATCH($C183,DESPACHOS!$B$3:$B$3002,0))),"")</f>
        <v/>
      </c>
      <c r="T183" s="41" t="n"/>
      <c r="U183" s="43">
        <f>IF(OR($B183="",$L183=""),"",WORKDAY($B183,IFERROR(INDEX(LISTAS!$C$3:$C$42,MATCH($L183,LISTAS!$A$3:$A$42,0)),3)))</f>
        <v/>
      </c>
      <c r="V183" s="40" t="n"/>
      <c r="W183" s="19">
        <f>IF($B183="","",IF($V183&lt;&gt;"",$V183-$B183,TODAY()-$B183))</f>
        <v/>
      </c>
      <c r="X183" s="19">
        <f>IF(OR($B183="",$U183=""),"",IF($V183&lt;&gt;"",MAX(0,$V183-$U183),MAX(0,TODAY()-$U183)))</f>
        <v/>
      </c>
      <c r="Y183" s="39">
        <f>IF($C183="","",IF(IFERROR(INDEX(LISTAS!$I$3:$I$42,MATCH($T183,LISTAS!$H$3:$H$42,0)),"NO")="SÍ",IF(N($X183)&gt;0,"CERRADA FUERA DE SLA","CERRADA EN SLA"),IF($U183="","SIN CLASIFICAR",IF(N($X183)&gt;0,"VENCIDA",IF(TODAY()&gt;=$U183-1,"POR VENCER","EN PLAZO")))))</f>
        <v/>
      </c>
      <c r="Z183" s="41" t="n"/>
      <c r="AA183" s="41" t="n"/>
      <c r="AB183" s="41" t="n"/>
    </row>
    <row r="184">
      <c r="A184" s="39">
        <f>IF($C184="","","NOV-"&amp;TEXT(ROW()-3,"0000"))</f>
        <v/>
      </c>
      <c r="B184" s="40" t="n"/>
      <c r="C184" s="41" t="n"/>
      <c r="D184" s="42">
        <f>IF($C184="","",IFERROR(INDEX(DESPACHOS!$D$3:$D$3002,MATCH($C184,DESPACHOS!$B$3:$B$3002,0)),"SIN DESPACHO"))</f>
        <v/>
      </c>
      <c r="E184" s="42">
        <f>IF($C184="","",IFERROR(INDEX(DESPACHOS!$K$3:$K$3002,MATCH($C184,DESPACHOS!$B$3:$B$3002,0)),""))</f>
        <v/>
      </c>
      <c r="F184" s="42">
        <f>IF($C184="","",IFERROR(INDEX(DESPACHOS!$I$3:$I$3002,MATCH($C184,DESPACHOS!$B$3:$B$3002,0)),""))</f>
        <v/>
      </c>
      <c r="G184" s="42">
        <f>IF($C184="","",IFERROR(INDEX(DESPACHOS!$F$3:$F$3002,MATCH($C184,DESPACHOS!$B$3:$B$3002,0)),""))</f>
        <v/>
      </c>
      <c r="H184" s="42">
        <f>IF($C184="","",IFERROR(INDEX(DESPACHOS!$G$3:$G$3002,MATCH($C184,DESPACHOS!$B$3:$B$3002,0)),""))</f>
        <v/>
      </c>
      <c r="I184" s="39">
        <f>IF($C184="","",IFERROR(INDEX(DESPACHOS!$H$3:$H$3002,MATCH($C184,DESPACHOS!$B$3:$B$3002,0)),""))</f>
        <v/>
      </c>
      <c r="J184" s="43">
        <f>IF($C184="","",IFERROR(INDEX(DESPACHOS!$J$3:$J$3002,MATCH($C184,DESPACHOS!$B$3:$B$3002,0)),""))</f>
        <v/>
      </c>
      <c r="K184" s="39">
        <f>IF($C184="","",IF(COUNTIFS(DESPACHOS!$B$3:$B$3002,$C184)=0,"NO EXISTE",IF(COUNTIFS(DESPACHOS!$B$3:$B$3002,$C184)&gt;1,"DUPLICADO","OK")))</f>
        <v/>
      </c>
      <c r="L184" s="41" t="n"/>
      <c r="M184" s="41" t="n"/>
      <c r="N184" s="42">
        <f>IF($M184="","",IFERROR(INDEX(LISTAS!$F$3:$F$42,MATCH($M184,LISTAS!$E$3:$E$42,0)),"Por definir"))</f>
        <v/>
      </c>
      <c r="O184" s="41" t="n"/>
      <c r="P184" s="39">
        <f>IF($L184="","",IFERROR(INDEX(LISTAS!$B$3:$B$42,MATCH($L184,LISTAS!$A$3:$A$42,0)),"Media"))</f>
        <v/>
      </c>
      <c r="Q184" s="44" t="n"/>
      <c r="R184" s="45" t="n"/>
      <c r="S184" s="20">
        <f>IFERROR(IF(OR($R184="",$C184=""),"",$R184/INDEX(DESPACHOS!$M$3:$M$3002,MATCH($C184,DESPACHOS!$B$3:$B$3002,0))),"")</f>
        <v/>
      </c>
      <c r="T184" s="41" t="n"/>
      <c r="U184" s="43">
        <f>IF(OR($B184="",$L184=""),"",WORKDAY($B184,IFERROR(INDEX(LISTAS!$C$3:$C$42,MATCH($L184,LISTAS!$A$3:$A$42,0)),3)))</f>
        <v/>
      </c>
      <c r="V184" s="40" t="n"/>
      <c r="W184" s="19">
        <f>IF($B184="","",IF($V184&lt;&gt;"",$V184-$B184,TODAY()-$B184))</f>
        <v/>
      </c>
      <c r="X184" s="19">
        <f>IF(OR($B184="",$U184=""),"",IF($V184&lt;&gt;"",MAX(0,$V184-$U184),MAX(0,TODAY()-$U184)))</f>
        <v/>
      </c>
      <c r="Y184" s="39">
        <f>IF($C184="","",IF(IFERROR(INDEX(LISTAS!$I$3:$I$42,MATCH($T184,LISTAS!$H$3:$H$42,0)),"NO")="SÍ",IF(N($X184)&gt;0,"CERRADA FUERA DE SLA","CERRADA EN SLA"),IF($U184="","SIN CLASIFICAR",IF(N($X184)&gt;0,"VENCIDA",IF(TODAY()&gt;=$U184-1,"POR VENCER","EN PLAZO")))))</f>
        <v/>
      </c>
      <c r="Z184" s="41" t="n"/>
      <c r="AA184" s="41" t="n"/>
      <c r="AB184" s="41" t="n"/>
    </row>
    <row r="185">
      <c r="A185" s="39">
        <f>IF($C185="","","NOV-"&amp;TEXT(ROW()-3,"0000"))</f>
        <v/>
      </c>
      <c r="B185" s="40" t="n"/>
      <c r="C185" s="41" t="n"/>
      <c r="D185" s="42">
        <f>IF($C185="","",IFERROR(INDEX(DESPACHOS!$D$3:$D$3002,MATCH($C185,DESPACHOS!$B$3:$B$3002,0)),"SIN DESPACHO"))</f>
        <v/>
      </c>
      <c r="E185" s="42">
        <f>IF($C185="","",IFERROR(INDEX(DESPACHOS!$K$3:$K$3002,MATCH($C185,DESPACHOS!$B$3:$B$3002,0)),""))</f>
        <v/>
      </c>
      <c r="F185" s="42">
        <f>IF($C185="","",IFERROR(INDEX(DESPACHOS!$I$3:$I$3002,MATCH($C185,DESPACHOS!$B$3:$B$3002,0)),""))</f>
        <v/>
      </c>
      <c r="G185" s="42">
        <f>IF($C185="","",IFERROR(INDEX(DESPACHOS!$F$3:$F$3002,MATCH($C185,DESPACHOS!$B$3:$B$3002,0)),""))</f>
        <v/>
      </c>
      <c r="H185" s="42">
        <f>IF($C185="","",IFERROR(INDEX(DESPACHOS!$G$3:$G$3002,MATCH($C185,DESPACHOS!$B$3:$B$3002,0)),""))</f>
        <v/>
      </c>
      <c r="I185" s="39">
        <f>IF($C185="","",IFERROR(INDEX(DESPACHOS!$H$3:$H$3002,MATCH($C185,DESPACHOS!$B$3:$B$3002,0)),""))</f>
        <v/>
      </c>
      <c r="J185" s="43">
        <f>IF($C185="","",IFERROR(INDEX(DESPACHOS!$J$3:$J$3002,MATCH($C185,DESPACHOS!$B$3:$B$3002,0)),""))</f>
        <v/>
      </c>
      <c r="K185" s="39">
        <f>IF($C185="","",IF(COUNTIFS(DESPACHOS!$B$3:$B$3002,$C185)=0,"NO EXISTE",IF(COUNTIFS(DESPACHOS!$B$3:$B$3002,$C185)&gt;1,"DUPLICADO","OK")))</f>
        <v/>
      </c>
      <c r="L185" s="41" t="n"/>
      <c r="M185" s="41" t="n"/>
      <c r="N185" s="42">
        <f>IF($M185="","",IFERROR(INDEX(LISTAS!$F$3:$F$42,MATCH($M185,LISTAS!$E$3:$E$42,0)),"Por definir"))</f>
        <v/>
      </c>
      <c r="O185" s="41" t="n"/>
      <c r="P185" s="39">
        <f>IF($L185="","",IFERROR(INDEX(LISTAS!$B$3:$B$42,MATCH($L185,LISTAS!$A$3:$A$42,0)),"Media"))</f>
        <v/>
      </c>
      <c r="Q185" s="44" t="n"/>
      <c r="R185" s="45" t="n"/>
      <c r="S185" s="20">
        <f>IFERROR(IF(OR($R185="",$C185=""),"",$R185/INDEX(DESPACHOS!$M$3:$M$3002,MATCH($C185,DESPACHOS!$B$3:$B$3002,0))),"")</f>
        <v/>
      </c>
      <c r="T185" s="41" t="n"/>
      <c r="U185" s="43">
        <f>IF(OR($B185="",$L185=""),"",WORKDAY($B185,IFERROR(INDEX(LISTAS!$C$3:$C$42,MATCH($L185,LISTAS!$A$3:$A$42,0)),3)))</f>
        <v/>
      </c>
      <c r="V185" s="40" t="n"/>
      <c r="W185" s="19">
        <f>IF($B185="","",IF($V185&lt;&gt;"",$V185-$B185,TODAY()-$B185))</f>
        <v/>
      </c>
      <c r="X185" s="19">
        <f>IF(OR($B185="",$U185=""),"",IF($V185&lt;&gt;"",MAX(0,$V185-$U185),MAX(0,TODAY()-$U185)))</f>
        <v/>
      </c>
      <c r="Y185" s="39">
        <f>IF($C185="","",IF(IFERROR(INDEX(LISTAS!$I$3:$I$42,MATCH($T185,LISTAS!$H$3:$H$42,0)),"NO")="SÍ",IF(N($X185)&gt;0,"CERRADA FUERA DE SLA","CERRADA EN SLA"),IF($U185="","SIN CLASIFICAR",IF(N($X185)&gt;0,"VENCIDA",IF(TODAY()&gt;=$U185-1,"POR VENCER","EN PLAZO")))))</f>
        <v/>
      </c>
      <c r="Z185" s="41" t="n"/>
      <c r="AA185" s="41" t="n"/>
      <c r="AB185" s="41" t="n"/>
    </row>
    <row r="186">
      <c r="A186" s="39">
        <f>IF($C186="","","NOV-"&amp;TEXT(ROW()-3,"0000"))</f>
        <v/>
      </c>
      <c r="B186" s="40" t="n"/>
      <c r="C186" s="41" t="n"/>
      <c r="D186" s="42">
        <f>IF($C186="","",IFERROR(INDEX(DESPACHOS!$D$3:$D$3002,MATCH($C186,DESPACHOS!$B$3:$B$3002,0)),"SIN DESPACHO"))</f>
        <v/>
      </c>
      <c r="E186" s="42">
        <f>IF($C186="","",IFERROR(INDEX(DESPACHOS!$K$3:$K$3002,MATCH($C186,DESPACHOS!$B$3:$B$3002,0)),""))</f>
        <v/>
      </c>
      <c r="F186" s="42">
        <f>IF($C186="","",IFERROR(INDEX(DESPACHOS!$I$3:$I$3002,MATCH($C186,DESPACHOS!$B$3:$B$3002,0)),""))</f>
        <v/>
      </c>
      <c r="G186" s="42">
        <f>IF($C186="","",IFERROR(INDEX(DESPACHOS!$F$3:$F$3002,MATCH($C186,DESPACHOS!$B$3:$B$3002,0)),""))</f>
        <v/>
      </c>
      <c r="H186" s="42">
        <f>IF($C186="","",IFERROR(INDEX(DESPACHOS!$G$3:$G$3002,MATCH($C186,DESPACHOS!$B$3:$B$3002,0)),""))</f>
        <v/>
      </c>
      <c r="I186" s="39">
        <f>IF($C186="","",IFERROR(INDEX(DESPACHOS!$H$3:$H$3002,MATCH($C186,DESPACHOS!$B$3:$B$3002,0)),""))</f>
        <v/>
      </c>
      <c r="J186" s="43">
        <f>IF($C186="","",IFERROR(INDEX(DESPACHOS!$J$3:$J$3002,MATCH($C186,DESPACHOS!$B$3:$B$3002,0)),""))</f>
        <v/>
      </c>
      <c r="K186" s="39">
        <f>IF($C186="","",IF(COUNTIFS(DESPACHOS!$B$3:$B$3002,$C186)=0,"NO EXISTE",IF(COUNTIFS(DESPACHOS!$B$3:$B$3002,$C186)&gt;1,"DUPLICADO","OK")))</f>
        <v/>
      </c>
      <c r="L186" s="41" t="n"/>
      <c r="M186" s="41" t="n"/>
      <c r="N186" s="42">
        <f>IF($M186="","",IFERROR(INDEX(LISTAS!$F$3:$F$42,MATCH($M186,LISTAS!$E$3:$E$42,0)),"Por definir"))</f>
        <v/>
      </c>
      <c r="O186" s="41" t="n"/>
      <c r="P186" s="39">
        <f>IF($L186="","",IFERROR(INDEX(LISTAS!$B$3:$B$42,MATCH($L186,LISTAS!$A$3:$A$42,0)),"Media"))</f>
        <v/>
      </c>
      <c r="Q186" s="44" t="n"/>
      <c r="R186" s="45" t="n"/>
      <c r="S186" s="20">
        <f>IFERROR(IF(OR($R186="",$C186=""),"",$R186/INDEX(DESPACHOS!$M$3:$M$3002,MATCH($C186,DESPACHOS!$B$3:$B$3002,0))),"")</f>
        <v/>
      </c>
      <c r="T186" s="41" t="n"/>
      <c r="U186" s="43">
        <f>IF(OR($B186="",$L186=""),"",WORKDAY($B186,IFERROR(INDEX(LISTAS!$C$3:$C$42,MATCH($L186,LISTAS!$A$3:$A$42,0)),3)))</f>
        <v/>
      </c>
      <c r="V186" s="40" t="n"/>
      <c r="W186" s="19">
        <f>IF($B186="","",IF($V186&lt;&gt;"",$V186-$B186,TODAY()-$B186))</f>
        <v/>
      </c>
      <c r="X186" s="19">
        <f>IF(OR($B186="",$U186=""),"",IF($V186&lt;&gt;"",MAX(0,$V186-$U186),MAX(0,TODAY()-$U186)))</f>
        <v/>
      </c>
      <c r="Y186" s="39">
        <f>IF($C186="","",IF(IFERROR(INDEX(LISTAS!$I$3:$I$42,MATCH($T186,LISTAS!$H$3:$H$42,0)),"NO")="SÍ",IF(N($X186)&gt;0,"CERRADA FUERA DE SLA","CERRADA EN SLA"),IF($U186="","SIN CLASIFICAR",IF(N($X186)&gt;0,"VENCIDA",IF(TODAY()&gt;=$U186-1,"POR VENCER","EN PLAZO")))))</f>
        <v/>
      </c>
      <c r="Z186" s="41" t="n"/>
      <c r="AA186" s="41" t="n"/>
      <c r="AB186" s="41" t="n"/>
    </row>
    <row r="187">
      <c r="A187" s="39">
        <f>IF($C187="","","NOV-"&amp;TEXT(ROW()-3,"0000"))</f>
        <v/>
      </c>
      <c r="B187" s="40" t="n"/>
      <c r="C187" s="41" t="n"/>
      <c r="D187" s="42">
        <f>IF($C187="","",IFERROR(INDEX(DESPACHOS!$D$3:$D$3002,MATCH($C187,DESPACHOS!$B$3:$B$3002,0)),"SIN DESPACHO"))</f>
        <v/>
      </c>
      <c r="E187" s="42">
        <f>IF($C187="","",IFERROR(INDEX(DESPACHOS!$K$3:$K$3002,MATCH($C187,DESPACHOS!$B$3:$B$3002,0)),""))</f>
        <v/>
      </c>
      <c r="F187" s="42">
        <f>IF($C187="","",IFERROR(INDEX(DESPACHOS!$I$3:$I$3002,MATCH($C187,DESPACHOS!$B$3:$B$3002,0)),""))</f>
        <v/>
      </c>
      <c r="G187" s="42">
        <f>IF($C187="","",IFERROR(INDEX(DESPACHOS!$F$3:$F$3002,MATCH($C187,DESPACHOS!$B$3:$B$3002,0)),""))</f>
        <v/>
      </c>
      <c r="H187" s="42">
        <f>IF($C187="","",IFERROR(INDEX(DESPACHOS!$G$3:$G$3002,MATCH($C187,DESPACHOS!$B$3:$B$3002,0)),""))</f>
        <v/>
      </c>
      <c r="I187" s="39">
        <f>IF($C187="","",IFERROR(INDEX(DESPACHOS!$H$3:$H$3002,MATCH($C187,DESPACHOS!$B$3:$B$3002,0)),""))</f>
        <v/>
      </c>
      <c r="J187" s="43">
        <f>IF($C187="","",IFERROR(INDEX(DESPACHOS!$J$3:$J$3002,MATCH($C187,DESPACHOS!$B$3:$B$3002,0)),""))</f>
        <v/>
      </c>
      <c r="K187" s="39">
        <f>IF($C187="","",IF(COUNTIFS(DESPACHOS!$B$3:$B$3002,$C187)=0,"NO EXISTE",IF(COUNTIFS(DESPACHOS!$B$3:$B$3002,$C187)&gt;1,"DUPLICADO","OK")))</f>
        <v/>
      </c>
      <c r="L187" s="41" t="n"/>
      <c r="M187" s="41" t="n"/>
      <c r="N187" s="42">
        <f>IF($M187="","",IFERROR(INDEX(LISTAS!$F$3:$F$42,MATCH($M187,LISTAS!$E$3:$E$42,0)),"Por definir"))</f>
        <v/>
      </c>
      <c r="O187" s="41" t="n"/>
      <c r="P187" s="39">
        <f>IF($L187="","",IFERROR(INDEX(LISTAS!$B$3:$B$42,MATCH($L187,LISTAS!$A$3:$A$42,0)),"Media"))</f>
        <v/>
      </c>
      <c r="Q187" s="44" t="n"/>
      <c r="R187" s="45" t="n"/>
      <c r="S187" s="20">
        <f>IFERROR(IF(OR($R187="",$C187=""),"",$R187/INDEX(DESPACHOS!$M$3:$M$3002,MATCH($C187,DESPACHOS!$B$3:$B$3002,0))),"")</f>
        <v/>
      </c>
      <c r="T187" s="41" t="n"/>
      <c r="U187" s="43">
        <f>IF(OR($B187="",$L187=""),"",WORKDAY($B187,IFERROR(INDEX(LISTAS!$C$3:$C$42,MATCH($L187,LISTAS!$A$3:$A$42,0)),3)))</f>
        <v/>
      </c>
      <c r="V187" s="40" t="n"/>
      <c r="W187" s="19">
        <f>IF($B187="","",IF($V187&lt;&gt;"",$V187-$B187,TODAY()-$B187))</f>
        <v/>
      </c>
      <c r="X187" s="19">
        <f>IF(OR($B187="",$U187=""),"",IF($V187&lt;&gt;"",MAX(0,$V187-$U187),MAX(0,TODAY()-$U187)))</f>
        <v/>
      </c>
      <c r="Y187" s="39">
        <f>IF($C187="","",IF(IFERROR(INDEX(LISTAS!$I$3:$I$42,MATCH($T187,LISTAS!$H$3:$H$42,0)),"NO")="SÍ",IF(N($X187)&gt;0,"CERRADA FUERA DE SLA","CERRADA EN SLA"),IF($U187="","SIN CLASIFICAR",IF(N($X187)&gt;0,"VENCIDA",IF(TODAY()&gt;=$U187-1,"POR VENCER","EN PLAZO")))))</f>
        <v/>
      </c>
      <c r="Z187" s="41" t="n"/>
      <c r="AA187" s="41" t="n"/>
      <c r="AB187" s="41" t="n"/>
    </row>
    <row r="188">
      <c r="A188" s="39">
        <f>IF($C188="","","NOV-"&amp;TEXT(ROW()-3,"0000"))</f>
        <v/>
      </c>
      <c r="B188" s="40" t="n"/>
      <c r="C188" s="41" t="n"/>
      <c r="D188" s="42">
        <f>IF($C188="","",IFERROR(INDEX(DESPACHOS!$D$3:$D$3002,MATCH($C188,DESPACHOS!$B$3:$B$3002,0)),"SIN DESPACHO"))</f>
        <v/>
      </c>
      <c r="E188" s="42">
        <f>IF($C188="","",IFERROR(INDEX(DESPACHOS!$K$3:$K$3002,MATCH($C188,DESPACHOS!$B$3:$B$3002,0)),""))</f>
        <v/>
      </c>
      <c r="F188" s="42">
        <f>IF($C188="","",IFERROR(INDEX(DESPACHOS!$I$3:$I$3002,MATCH($C188,DESPACHOS!$B$3:$B$3002,0)),""))</f>
        <v/>
      </c>
      <c r="G188" s="42">
        <f>IF($C188="","",IFERROR(INDEX(DESPACHOS!$F$3:$F$3002,MATCH($C188,DESPACHOS!$B$3:$B$3002,0)),""))</f>
        <v/>
      </c>
      <c r="H188" s="42">
        <f>IF($C188="","",IFERROR(INDEX(DESPACHOS!$G$3:$G$3002,MATCH($C188,DESPACHOS!$B$3:$B$3002,0)),""))</f>
        <v/>
      </c>
      <c r="I188" s="39">
        <f>IF($C188="","",IFERROR(INDEX(DESPACHOS!$H$3:$H$3002,MATCH($C188,DESPACHOS!$B$3:$B$3002,0)),""))</f>
        <v/>
      </c>
      <c r="J188" s="43">
        <f>IF($C188="","",IFERROR(INDEX(DESPACHOS!$J$3:$J$3002,MATCH($C188,DESPACHOS!$B$3:$B$3002,0)),""))</f>
        <v/>
      </c>
      <c r="K188" s="39">
        <f>IF($C188="","",IF(COUNTIFS(DESPACHOS!$B$3:$B$3002,$C188)=0,"NO EXISTE",IF(COUNTIFS(DESPACHOS!$B$3:$B$3002,$C188)&gt;1,"DUPLICADO","OK")))</f>
        <v/>
      </c>
      <c r="L188" s="41" t="n"/>
      <c r="M188" s="41" t="n"/>
      <c r="N188" s="42">
        <f>IF($M188="","",IFERROR(INDEX(LISTAS!$F$3:$F$42,MATCH($M188,LISTAS!$E$3:$E$42,0)),"Por definir"))</f>
        <v/>
      </c>
      <c r="O188" s="41" t="n"/>
      <c r="P188" s="39">
        <f>IF($L188="","",IFERROR(INDEX(LISTAS!$B$3:$B$42,MATCH($L188,LISTAS!$A$3:$A$42,0)),"Media"))</f>
        <v/>
      </c>
      <c r="Q188" s="44" t="n"/>
      <c r="R188" s="45" t="n"/>
      <c r="S188" s="20">
        <f>IFERROR(IF(OR($R188="",$C188=""),"",$R188/INDEX(DESPACHOS!$M$3:$M$3002,MATCH($C188,DESPACHOS!$B$3:$B$3002,0))),"")</f>
        <v/>
      </c>
      <c r="T188" s="41" t="n"/>
      <c r="U188" s="43">
        <f>IF(OR($B188="",$L188=""),"",WORKDAY($B188,IFERROR(INDEX(LISTAS!$C$3:$C$42,MATCH($L188,LISTAS!$A$3:$A$42,0)),3)))</f>
        <v/>
      </c>
      <c r="V188" s="40" t="n"/>
      <c r="W188" s="19">
        <f>IF($B188="","",IF($V188&lt;&gt;"",$V188-$B188,TODAY()-$B188))</f>
        <v/>
      </c>
      <c r="X188" s="19">
        <f>IF(OR($B188="",$U188=""),"",IF($V188&lt;&gt;"",MAX(0,$V188-$U188),MAX(0,TODAY()-$U188)))</f>
        <v/>
      </c>
      <c r="Y188" s="39">
        <f>IF($C188="","",IF(IFERROR(INDEX(LISTAS!$I$3:$I$42,MATCH($T188,LISTAS!$H$3:$H$42,0)),"NO")="SÍ",IF(N($X188)&gt;0,"CERRADA FUERA DE SLA","CERRADA EN SLA"),IF($U188="","SIN CLASIFICAR",IF(N($X188)&gt;0,"VENCIDA",IF(TODAY()&gt;=$U188-1,"POR VENCER","EN PLAZO")))))</f>
        <v/>
      </c>
      <c r="Z188" s="41" t="n"/>
      <c r="AA188" s="41" t="n"/>
      <c r="AB188" s="41" t="n"/>
    </row>
    <row r="189">
      <c r="A189" s="39">
        <f>IF($C189="","","NOV-"&amp;TEXT(ROW()-3,"0000"))</f>
        <v/>
      </c>
      <c r="B189" s="40" t="n"/>
      <c r="C189" s="41" t="n"/>
      <c r="D189" s="42">
        <f>IF($C189="","",IFERROR(INDEX(DESPACHOS!$D$3:$D$3002,MATCH($C189,DESPACHOS!$B$3:$B$3002,0)),"SIN DESPACHO"))</f>
        <v/>
      </c>
      <c r="E189" s="42">
        <f>IF($C189="","",IFERROR(INDEX(DESPACHOS!$K$3:$K$3002,MATCH($C189,DESPACHOS!$B$3:$B$3002,0)),""))</f>
        <v/>
      </c>
      <c r="F189" s="42">
        <f>IF($C189="","",IFERROR(INDEX(DESPACHOS!$I$3:$I$3002,MATCH($C189,DESPACHOS!$B$3:$B$3002,0)),""))</f>
        <v/>
      </c>
      <c r="G189" s="42">
        <f>IF($C189="","",IFERROR(INDEX(DESPACHOS!$F$3:$F$3002,MATCH($C189,DESPACHOS!$B$3:$B$3002,0)),""))</f>
        <v/>
      </c>
      <c r="H189" s="42">
        <f>IF($C189="","",IFERROR(INDEX(DESPACHOS!$G$3:$G$3002,MATCH($C189,DESPACHOS!$B$3:$B$3002,0)),""))</f>
        <v/>
      </c>
      <c r="I189" s="39">
        <f>IF($C189="","",IFERROR(INDEX(DESPACHOS!$H$3:$H$3002,MATCH($C189,DESPACHOS!$B$3:$B$3002,0)),""))</f>
        <v/>
      </c>
      <c r="J189" s="43">
        <f>IF($C189="","",IFERROR(INDEX(DESPACHOS!$J$3:$J$3002,MATCH($C189,DESPACHOS!$B$3:$B$3002,0)),""))</f>
        <v/>
      </c>
      <c r="K189" s="39">
        <f>IF($C189="","",IF(COUNTIFS(DESPACHOS!$B$3:$B$3002,$C189)=0,"NO EXISTE",IF(COUNTIFS(DESPACHOS!$B$3:$B$3002,$C189)&gt;1,"DUPLICADO","OK")))</f>
        <v/>
      </c>
      <c r="L189" s="41" t="n"/>
      <c r="M189" s="41" t="n"/>
      <c r="N189" s="42">
        <f>IF($M189="","",IFERROR(INDEX(LISTAS!$F$3:$F$42,MATCH($M189,LISTAS!$E$3:$E$42,0)),"Por definir"))</f>
        <v/>
      </c>
      <c r="O189" s="41" t="n"/>
      <c r="P189" s="39">
        <f>IF($L189="","",IFERROR(INDEX(LISTAS!$B$3:$B$42,MATCH($L189,LISTAS!$A$3:$A$42,0)),"Media"))</f>
        <v/>
      </c>
      <c r="Q189" s="44" t="n"/>
      <c r="R189" s="45" t="n"/>
      <c r="S189" s="20">
        <f>IFERROR(IF(OR($R189="",$C189=""),"",$R189/INDEX(DESPACHOS!$M$3:$M$3002,MATCH($C189,DESPACHOS!$B$3:$B$3002,0))),"")</f>
        <v/>
      </c>
      <c r="T189" s="41" t="n"/>
      <c r="U189" s="43">
        <f>IF(OR($B189="",$L189=""),"",WORKDAY($B189,IFERROR(INDEX(LISTAS!$C$3:$C$42,MATCH($L189,LISTAS!$A$3:$A$42,0)),3)))</f>
        <v/>
      </c>
      <c r="V189" s="40" t="n"/>
      <c r="W189" s="19">
        <f>IF($B189="","",IF($V189&lt;&gt;"",$V189-$B189,TODAY()-$B189))</f>
        <v/>
      </c>
      <c r="X189" s="19">
        <f>IF(OR($B189="",$U189=""),"",IF($V189&lt;&gt;"",MAX(0,$V189-$U189),MAX(0,TODAY()-$U189)))</f>
        <v/>
      </c>
      <c r="Y189" s="39">
        <f>IF($C189="","",IF(IFERROR(INDEX(LISTAS!$I$3:$I$42,MATCH($T189,LISTAS!$H$3:$H$42,0)),"NO")="SÍ",IF(N($X189)&gt;0,"CERRADA FUERA DE SLA","CERRADA EN SLA"),IF($U189="","SIN CLASIFICAR",IF(N($X189)&gt;0,"VENCIDA",IF(TODAY()&gt;=$U189-1,"POR VENCER","EN PLAZO")))))</f>
        <v/>
      </c>
      <c r="Z189" s="41" t="n"/>
      <c r="AA189" s="41" t="n"/>
      <c r="AB189" s="41" t="n"/>
    </row>
    <row r="190">
      <c r="A190" s="39">
        <f>IF($C190="","","NOV-"&amp;TEXT(ROW()-3,"0000"))</f>
        <v/>
      </c>
      <c r="B190" s="40" t="n"/>
      <c r="C190" s="41" t="n"/>
      <c r="D190" s="42">
        <f>IF($C190="","",IFERROR(INDEX(DESPACHOS!$D$3:$D$3002,MATCH($C190,DESPACHOS!$B$3:$B$3002,0)),"SIN DESPACHO"))</f>
        <v/>
      </c>
      <c r="E190" s="42">
        <f>IF($C190="","",IFERROR(INDEX(DESPACHOS!$K$3:$K$3002,MATCH($C190,DESPACHOS!$B$3:$B$3002,0)),""))</f>
        <v/>
      </c>
      <c r="F190" s="42">
        <f>IF($C190="","",IFERROR(INDEX(DESPACHOS!$I$3:$I$3002,MATCH($C190,DESPACHOS!$B$3:$B$3002,0)),""))</f>
        <v/>
      </c>
      <c r="G190" s="42">
        <f>IF($C190="","",IFERROR(INDEX(DESPACHOS!$F$3:$F$3002,MATCH($C190,DESPACHOS!$B$3:$B$3002,0)),""))</f>
        <v/>
      </c>
      <c r="H190" s="42">
        <f>IF($C190="","",IFERROR(INDEX(DESPACHOS!$G$3:$G$3002,MATCH($C190,DESPACHOS!$B$3:$B$3002,0)),""))</f>
        <v/>
      </c>
      <c r="I190" s="39">
        <f>IF($C190="","",IFERROR(INDEX(DESPACHOS!$H$3:$H$3002,MATCH($C190,DESPACHOS!$B$3:$B$3002,0)),""))</f>
        <v/>
      </c>
      <c r="J190" s="43">
        <f>IF($C190="","",IFERROR(INDEX(DESPACHOS!$J$3:$J$3002,MATCH($C190,DESPACHOS!$B$3:$B$3002,0)),""))</f>
        <v/>
      </c>
      <c r="K190" s="39">
        <f>IF($C190="","",IF(COUNTIFS(DESPACHOS!$B$3:$B$3002,$C190)=0,"NO EXISTE",IF(COUNTIFS(DESPACHOS!$B$3:$B$3002,$C190)&gt;1,"DUPLICADO","OK")))</f>
        <v/>
      </c>
      <c r="L190" s="41" t="n"/>
      <c r="M190" s="41" t="n"/>
      <c r="N190" s="42">
        <f>IF($M190="","",IFERROR(INDEX(LISTAS!$F$3:$F$42,MATCH($M190,LISTAS!$E$3:$E$42,0)),"Por definir"))</f>
        <v/>
      </c>
      <c r="O190" s="41" t="n"/>
      <c r="P190" s="39">
        <f>IF($L190="","",IFERROR(INDEX(LISTAS!$B$3:$B$42,MATCH($L190,LISTAS!$A$3:$A$42,0)),"Media"))</f>
        <v/>
      </c>
      <c r="Q190" s="44" t="n"/>
      <c r="R190" s="45" t="n"/>
      <c r="S190" s="20">
        <f>IFERROR(IF(OR($R190="",$C190=""),"",$R190/INDEX(DESPACHOS!$M$3:$M$3002,MATCH($C190,DESPACHOS!$B$3:$B$3002,0))),"")</f>
        <v/>
      </c>
      <c r="T190" s="41" t="n"/>
      <c r="U190" s="43">
        <f>IF(OR($B190="",$L190=""),"",WORKDAY($B190,IFERROR(INDEX(LISTAS!$C$3:$C$42,MATCH($L190,LISTAS!$A$3:$A$42,0)),3)))</f>
        <v/>
      </c>
      <c r="V190" s="40" t="n"/>
      <c r="W190" s="19">
        <f>IF($B190="","",IF($V190&lt;&gt;"",$V190-$B190,TODAY()-$B190))</f>
        <v/>
      </c>
      <c r="X190" s="19">
        <f>IF(OR($B190="",$U190=""),"",IF($V190&lt;&gt;"",MAX(0,$V190-$U190),MAX(0,TODAY()-$U190)))</f>
        <v/>
      </c>
      <c r="Y190" s="39">
        <f>IF($C190="","",IF(IFERROR(INDEX(LISTAS!$I$3:$I$42,MATCH($T190,LISTAS!$H$3:$H$42,0)),"NO")="SÍ",IF(N($X190)&gt;0,"CERRADA FUERA DE SLA","CERRADA EN SLA"),IF($U190="","SIN CLASIFICAR",IF(N($X190)&gt;0,"VENCIDA",IF(TODAY()&gt;=$U190-1,"POR VENCER","EN PLAZO")))))</f>
        <v/>
      </c>
      <c r="Z190" s="41" t="n"/>
      <c r="AA190" s="41" t="n"/>
      <c r="AB190" s="41" t="n"/>
    </row>
    <row r="191">
      <c r="A191" s="39">
        <f>IF($C191="","","NOV-"&amp;TEXT(ROW()-3,"0000"))</f>
        <v/>
      </c>
      <c r="B191" s="40" t="n"/>
      <c r="C191" s="41" t="n"/>
      <c r="D191" s="42">
        <f>IF($C191="","",IFERROR(INDEX(DESPACHOS!$D$3:$D$3002,MATCH($C191,DESPACHOS!$B$3:$B$3002,0)),"SIN DESPACHO"))</f>
        <v/>
      </c>
      <c r="E191" s="42">
        <f>IF($C191="","",IFERROR(INDEX(DESPACHOS!$K$3:$K$3002,MATCH($C191,DESPACHOS!$B$3:$B$3002,0)),""))</f>
        <v/>
      </c>
      <c r="F191" s="42">
        <f>IF($C191="","",IFERROR(INDEX(DESPACHOS!$I$3:$I$3002,MATCH($C191,DESPACHOS!$B$3:$B$3002,0)),""))</f>
        <v/>
      </c>
      <c r="G191" s="42">
        <f>IF($C191="","",IFERROR(INDEX(DESPACHOS!$F$3:$F$3002,MATCH($C191,DESPACHOS!$B$3:$B$3002,0)),""))</f>
        <v/>
      </c>
      <c r="H191" s="42">
        <f>IF($C191="","",IFERROR(INDEX(DESPACHOS!$G$3:$G$3002,MATCH($C191,DESPACHOS!$B$3:$B$3002,0)),""))</f>
        <v/>
      </c>
      <c r="I191" s="39">
        <f>IF($C191="","",IFERROR(INDEX(DESPACHOS!$H$3:$H$3002,MATCH($C191,DESPACHOS!$B$3:$B$3002,0)),""))</f>
        <v/>
      </c>
      <c r="J191" s="43">
        <f>IF($C191="","",IFERROR(INDEX(DESPACHOS!$J$3:$J$3002,MATCH($C191,DESPACHOS!$B$3:$B$3002,0)),""))</f>
        <v/>
      </c>
      <c r="K191" s="39">
        <f>IF($C191="","",IF(COUNTIFS(DESPACHOS!$B$3:$B$3002,$C191)=0,"NO EXISTE",IF(COUNTIFS(DESPACHOS!$B$3:$B$3002,$C191)&gt;1,"DUPLICADO","OK")))</f>
        <v/>
      </c>
      <c r="L191" s="41" t="n"/>
      <c r="M191" s="41" t="n"/>
      <c r="N191" s="42">
        <f>IF($M191="","",IFERROR(INDEX(LISTAS!$F$3:$F$42,MATCH($M191,LISTAS!$E$3:$E$42,0)),"Por definir"))</f>
        <v/>
      </c>
      <c r="O191" s="41" t="n"/>
      <c r="P191" s="39">
        <f>IF($L191="","",IFERROR(INDEX(LISTAS!$B$3:$B$42,MATCH($L191,LISTAS!$A$3:$A$42,0)),"Media"))</f>
        <v/>
      </c>
      <c r="Q191" s="44" t="n"/>
      <c r="R191" s="45" t="n"/>
      <c r="S191" s="20">
        <f>IFERROR(IF(OR($R191="",$C191=""),"",$R191/INDEX(DESPACHOS!$M$3:$M$3002,MATCH($C191,DESPACHOS!$B$3:$B$3002,0))),"")</f>
        <v/>
      </c>
      <c r="T191" s="41" t="n"/>
      <c r="U191" s="43">
        <f>IF(OR($B191="",$L191=""),"",WORKDAY($B191,IFERROR(INDEX(LISTAS!$C$3:$C$42,MATCH($L191,LISTAS!$A$3:$A$42,0)),3)))</f>
        <v/>
      </c>
      <c r="V191" s="40" t="n"/>
      <c r="W191" s="19">
        <f>IF($B191="","",IF($V191&lt;&gt;"",$V191-$B191,TODAY()-$B191))</f>
        <v/>
      </c>
      <c r="X191" s="19">
        <f>IF(OR($B191="",$U191=""),"",IF($V191&lt;&gt;"",MAX(0,$V191-$U191),MAX(0,TODAY()-$U191)))</f>
        <v/>
      </c>
      <c r="Y191" s="39">
        <f>IF($C191="","",IF(IFERROR(INDEX(LISTAS!$I$3:$I$42,MATCH($T191,LISTAS!$H$3:$H$42,0)),"NO")="SÍ",IF(N($X191)&gt;0,"CERRADA FUERA DE SLA","CERRADA EN SLA"),IF($U191="","SIN CLASIFICAR",IF(N($X191)&gt;0,"VENCIDA",IF(TODAY()&gt;=$U191-1,"POR VENCER","EN PLAZO")))))</f>
        <v/>
      </c>
      <c r="Z191" s="41" t="n"/>
      <c r="AA191" s="41" t="n"/>
      <c r="AB191" s="41" t="n"/>
    </row>
    <row r="192">
      <c r="A192" s="39">
        <f>IF($C192="","","NOV-"&amp;TEXT(ROW()-3,"0000"))</f>
        <v/>
      </c>
      <c r="B192" s="40" t="n"/>
      <c r="C192" s="41" t="n"/>
      <c r="D192" s="42">
        <f>IF($C192="","",IFERROR(INDEX(DESPACHOS!$D$3:$D$3002,MATCH($C192,DESPACHOS!$B$3:$B$3002,0)),"SIN DESPACHO"))</f>
        <v/>
      </c>
      <c r="E192" s="42">
        <f>IF($C192="","",IFERROR(INDEX(DESPACHOS!$K$3:$K$3002,MATCH($C192,DESPACHOS!$B$3:$B$3002,0)),""))</f>
        <v/>
      </c>
      <c r="F192" s="42">
        <f>IF($C192="","",IFERROR(INDEX(DESPACHOS!$I$3:$I$3002,MATCH($C192,DESPACHOS!$B$3:$B$3002,0)),""))</f>
        <v/>
      </c>
      <c r="G192" s="42">
        <f>IF($C192="","",IFERROR(INDEX(DESPACHOS!$F$3:$F$3002,MATCH($C192,DESPACHOS!$B$3:$B$3002,0)),""))</f>
        <v/>
      </c>
      <c r="H192" s="42">
        <f>IF($C192="","",IFERROR(INDEX(DESPACHOS!$G$3:$G$3002,MATCH($C192,DESPACHOS!$B$3:$B$3002,0)),""))</f>
        <v/>
      </c>
      <c r="I192" s="39">
        <f>IF($C192="","",IFERROR(INDEX(DESPACHOS!$H$3:$H$3002,MATCH($C192,DESPACHOS!$B$3:$B$3002,0)),""))</f>
        <v/>
      </c>
      <c r="J192" s="43">
        <f>IF($C192="","",IFERROR(INDEX(DESPACHOS!$J$3:$J$3002,MATCH($C192,DESPACHOS!$B$3:$B$3002,0)),""))</f>
        <v/>
      </c>
      <c r="K192" s="39">
        <f>IF($C192="","",IF(COUNTIFS(DESPACHOS!$B$3:$B$3002,$C192)=0,"NO EXISTE",IF(COUNTIFS(DESPACHOS!$B$3:$B$3002,$C192)&gt;1,"DUPLICADO","OK")))</f>
        <v/>
      </c>
      <c r="L192" s="41" t="n"/>
      <c r="M192" s="41" t="n"/>
      <c r="N192" s="42">
        <f>IF($M192="","",IFERROR(INDEX(LISTAS!$F$3:$F$42,MATCH($M192,LISTAS!$E$3:$E$42,0)),"Por definir"))</f>
        <v/>
      </c>
      <c r="O192" s="41" t="n"/>
      <c r="P192" s="39">
        <f>IF($L192="","",IFERROR(INDEX(LISTAS!$B$3:$B$42,MATCH($L192,LISTAS!$A$3:$A$42,0)),"Media"))</f>
        <v/>
      </c>
      <c r="Q192" s="44" t="n"/>
      <c r="R192" s="45" t="n"/>
      <c r="S192" s="20">
        <f>IFERROR(IF(OR($R192="",$C192=""),"",$R192/INDEX(DESPACHOS!$M$3:$M$3002,MATCH($C192,DESPACHOS!$B$3:$B$3002,0))),"")</f>
        <v/>
      </c>
      <c r="T192" s="41" t="n"/>
      <c r="U192" s="43">
        <f>IF(OR($B192="",$L192=""),"",WORKDAY($B192,IFERROR(INDEX(LISTAS!$C$3:$C$42,MATCH($L192,LISTAS!$A$3:$A$42,0)),3)))</f>
        <v/>
      </c>
      <c r="V192" s="40" t="n"/>
      <c r="W192" s="19">
        <f>IF($B192="","",IF($V192&lt;&gt;"",$V192-$B192,TODAY()-$B192))</f>
        <v/>
      </c>
      <c r="X192" s="19">
        <f>IF(OR($B192="",$U192=""),"",IF($V192&lt;&gt;"",MAX(0,$V192-$U192),MAX(0,TODAY()-$U192)))</f>
        <v/>
      </c>
      <c r="Y192" s="39">
        <f>IF($C192="","",IF(IFERROR(INDEX(LISTAS!$I$3:$I$42,MATCH($T192,LISTAS!$H$3:$H$42,0)),"NO")="SÍ",IF(N($X192)&gt;0,"CERRADA FUERA DE SLA","CERRADA EN SLA"),IF($U192="","SIN CLASIFICAR",IF(N($X192)&gt;0,"VENCIDA",IF(TODAY()&gt;=$U192-1,"POR VENCER","EN PLAZO")))))</f>
        <v/>
      </c>
      <c r="Z192" s="41" t="n"/>
      <c r="AA192" s="41" t="n"/>
      <c r="AB192" s="41" t="n"/>
    </row>
    <row r="193">
      <c r="A193" s="39">
        <f>IF($C193="","","NOV-"&amp;TEXT(ROW()-3,"0000"))</f>
        <v/>
      </c>
      <c r="B193" s="40" t="n"/>
      <c r="C193" s="41" t="n"/>
      <c r="D193" s="42">
        <f>IF($C193="","",IFERROR(INDEX(DESPACHOS!$D$3:$D$3002,MATCH($C193,DESPACHOS!$B$3:$B$3002,0)),"SIN DESPACHO"))</f>
        <v/>
      </c>
      <c r="E193" s="42">
        <f>IF($C193="","",IFERROR(INDEX(DESPACHOS!$K$3:$K$3002,MATCH($C193,DESPACHOS!$B$3:$B$3002,0)),""))</f>
        <v/>
      </c>
      <c r="F193" s="42">
        <f>IF($C193="","",IFERROR(INDEX(DESPACHOS!$I$3:$I$3002,MATCH($C193,DESPACHOS!$B$3:$B$3002,0)),""))</f>
        <v/>
      </c>
      <c r="G193" s="42">
        <f>IF($C193="","",IFERROR(INDEX(DESPACHOS!$F$3:$F$3002,MATCH($C193,DESPACHOS!$B$3:$B$3002,0)),""))</f>
        <v/>
      </c>
      <c r="H193" s="42">
        <f>IF($C193="","",IFERROR(INDEX(DESPACHOS!$G$3:$G$3002,MATCH($C193,DESPACHOS!$B$3:$B$3002,0)),""))</f>
        <v/>
      </c>
      <c r="I193" s="39">
        <f>IF($C193="","",IFERROR(INDEX(DESPACHOS!$H$3:$H$3002,MATCH($C193,DESPACHOS!$B$3:$B$3002,0)),""))</f>
        <v/>
      </c>
      <c r="J193" s="43">
        <f>IF($C193="","",IFERROR(INDEX(DESPACHOS!$J$3:$J$3002,MATCH($C193,DESPACHOS!$B$3:$B$3002,0)),""))</f>
        <v/>
      </c>
      <c r="K193" s="39">
        <f>IF($C193="","",IF(COUNTIFS(DESPACHOS!$B$3:$B$3002,$C193)=0,"NO EXISTE",IF(COUNTIFS(DESPACHOS!$B$3:$B$3002,$C193)&gt;1,"DUPLICADO","OK")))</f>
        <v/>
      </c>
      <c r="L193" s="41" t="n"/>
      <c r="M193" s="41" t="n"/>
      <c r="N193" s="42">
        <f>IF($M193="","",IFERROR(INDEX(LISTAS!$F$3:$F$42,MATCH($M193,LISTAS!$E$3:$E$42,0)),"Por definir"))</f>
        <v/>
      </c>
      <c r="O193" s="41" t="n"/>
      <c r="P193" s="39">
        <f>IF($L193="","",IFERROR(INDEX(LISTAS!$B$3:$B$42,MATCH($L193,LISTAS!$A$3:$A$42,0)),"Media"))</f>
        <v/>
      </c>
      <c r="Q193" s="44" t="n"/>
      <c r="R193" s="45" t="n"/>
      <c r="S193" s="20">
        <f>IFERROR(IF(OR($R193="",$C193=""),"",$R193/INDEX(DESPACHOS!$M$3:$M$3002,MATCH($C193,DESPACHOS!$B$3:$B$3002,0))),"")</f>
        <v/>
      </c>
      <c r="T193" s="41" t="n"/>
      <c r="U193" s="43">
        <f>IF(OR($B193="",$L193=""),"",WORKDAY($B193,IFERROR(INDEX(LISTAS!$C$3:$C$42,MATCH($L193,LISTAS!$A$3:$A$42,0)),3)))</f>
        <v/>
      </c>
      <c r="V193" s="40" t="n"/>
      <c r="W193" s="19">
        <f>IF($B193="","",IF($V193&lt;&gt;"",$V193-$B193,TODAY()-$B193))</f>
        <v/>
      </c>
      <c r="X193" s="19">
        <f>IF(OR($B193="",$U193=""),"",IF($V193&lt;&gt;"",MAX(0,$V193-$U193),MAX(0,TODAY()-$U193)))</f>
        <v/>
      </c>
      <c r="Y193" s="39">
        <f>IF($C193="","",IF(IFERROR(INDEX(LISTAS!$I$3:$I$42,MATCH($T193,LISTAS!$H$3:$H$42,0)),"NO")="SÍ",IF(N($X193)&gt;0,"CERRADA FUERA DE SLA","CERRADA EN SLA"),IF($U193="","SIN CLASIFICAR",IF(N($X193)&gt;0,"VENCIDA",IF(TODAY()&gt;=$U193-1,"POR VENCER","EN PLAZO")))))</f>
        <v/>
      </c>
      <c r="Z193" s="41" t="n"/>
      <c r="AA193" s="41" t="n"/>
      <c r="AB193" s="41" t="n"/>
    </row>
    <row r="194">
      <c r="A194" s="39">
        <f>IF($C194="","","NOV-"&amp;TEXT(ROW()-3,"0000"))</f>
        <v/>
      </c>
      <c r="B194" s="40" t="n"/>
      <c r="C194" s="41" t="n"/>
      <c r="D194" s="42">
        <f>IF($C194="","",IFERROR(INDEX(DESPACHOS!$D$3:$D$3002,MATCH($C194,DESPACHOS!$B$3:$B$3002,0)),"SIN DESPACHO"))</f>
        <v/>
      </c>
      <c r="E194" s="42">
        <f>IF($C194="","",IFERROR(INDEX(DESPACHOS!$K$3:$K$3002,MATCH($C194,DESPACHOS!$B$3:$B$3002,0)),""))</f>
        <v/>
      </c>
      <c r="F194" s="42">
        <f>IF($C194="","",IFERROR(INDEX(DESPACHOS!$I$3:$I$3002,MATCH($C194,DESPACHOS!$B$3:$B$3002,0)),""))</f>
        <v/>
      </c>
      <c r="G194" s="42">
        <f>IF($C194="","",IFERROR(INDEX(DESPACHOS!$F$3:$F$3002,MATCH($C194,DESPACHOS!$B$3:$B$3002,0)),""))</f>
        <v/>
      </c>
      <c r="H194" s="42">
        <f>IF($C194="","",IFERROR(INDEX(DESPACHOS!$G$3:$G$3002,MATCH($C194,DESPACHOS!$B$3:$B$3002,0)),""))</f>
        <v/>
      </c>
      <c r="I194" s="39">
        <f>IF($C194="","",IFERROR(INDEX(DESPACHOS!$H$3:$H$3002,MATCH($C194,DESPACHOS!$B$3:$B$3002,0)),""))</f>
        <v/>
      </c>
      <c r="J194" s="43">
        <f>IF($C194="","",IFERROR(INDEX(DESPACHOS!$J$3:$J$3002,MATCH($C194,DESPACHOS!$B$3:$B$3002,0)),""))</f>
        <v/>
      </c>
      <c r="K194" s="39">
        <f>IF($C194="","",IF(COUNTIFS(DESPACHOS!$B$3:$B$3002,$C194)=0,"NO EXISTE",IF(COUNTIFS(DESPACHOS!$B$3:$B$3002,$C194)&gt;1,"DUPLICADO","OK")))</f>
        <v/>
      </c>
      <c r="L194" s="41" t="n"/>
      <c r="M194" s="41" t="n"/>
      <c r="N194" s="42">
        <f>IF($M194="","",IFERROR(INDEX(LISTAS!$F$3:$F$42,MATCH($M194,LISTAS!$E$3:$E$42,0)),"Por definir"))</f>
        <v/>
      </c>
      <c r="O194" s="41" t="n"/>
      <c r="P194" s="39">
        <f>IF($L194="","",IFERROR(INDEX(LISTAS!$B$3:$B$42,MATCH($L194,LISTAS!$A$3:$A$42,0)),"Media"))</f>
        <v/>
      </c>
      <c r="Q194" s="44" t="n"/>
      <c r="R194" s="45" t="n"/>
      <c r="S194" s="20">
        <f>IFERROR(IF(OR($R194="",$C194=""),"",$R194/INDEX(DESPACHOS!$M$3:$M$3002,MATCH($C194,DESPACHOS!$B$3:$B$3002,0))),"")</f>
        <v/>
      </c>
      <c r="T194" s="41" t="n"/>
      <c r="U194" s="43">
        <f>IF(OR($B194="",$L194=""),"",WORKDAY($B194,IFERROR(INDEX(LISTAS!$C$3:$C$42,MATCH($L194,LISTAS!$A$3:$A$42,0)),3)))</f>
        <v/>
      </c>
      <c r="V194" s="40" t="n"/>
      <c r="W194" s="19">
        <f>IF($B194="","",IF($V194&lt;&gt;"",$V194-$B194,TODAY()-$B194))</f>
        <v/>
      </c>
      <c r="X194" s="19">
        <f>IF(OR($B194="",$U194=""),"",IF($V194&lt;&gt;"",MAX(0,$V194-$U194),MAX(0,TODAY()-$U194)))</f>
        <v/>
      </c>
      <c r="Y194" s="39">
        <f>IF($C194="","",IF(IFERROR(INDEX(LISTAS!$I$3:$I$42,MATCH($T194,LISTAS!$H$3:$H$42,0)),"NO")="SÍ",IF(N($X194)&gt;0,"CERRADA FUERA DE SLA","CERRADA EN SLA"),IF($U194="","SIN CLASIFICAR",IF(N($X194)&gt;0,"VENCIDA",IF(TODAY()&gt;=$U194-1,"POR VENCER","EN PLAZO")))))</f>
        <v/>
      </c>
      <c r="Z194" s="41" t="n"/>
      <c r="AA194" s="41" t="n"/>
      <c r="AB194" s="41" t="n"/>
    </row>
    <row r="195">
      <c r="A195" s="39">
        <f>IF($C195="","","NOV-"&amp;TEXT(ROW()-3,"0000"))</f>
        <v/>
      </c>
      <c r="B195" s="40" t="n"/>
      <c r="C195" s="41" t="n"/>
      <c r="D195" s="42">
        <f>IF($C195="","",IFERROR(INDEX(DESPACHOS!$D$3:$D$3002,MATCH($C195,DESPACHOS!$B$3:$B$3002,0)),"SIN DESPACHO"))</f>
        <v/>
      </c>
      <c r="E195" s="42">
        <f>IF($C195="","",IFERROR(INDEX(DESPACHOS!$K$3:$K$3002,MATCH($C195,DESPACHOS!$B$3:$B$3002,0)),""))</f>
        <v/>
      </c>
      <c r="F195" s="42">
        <f>IF($C195="","",IFERROR(INDEX(DESPACHOS!$I$3:$I$3002,MATCH($C195,DESPACHOS!$B$3:$B$3002,0)),""))</f>
        <v/>
      </c>
      <c r="G195" s="42">
        <f>IF($C195="","",IFERROR(INDEX(DESPACHOS!$F$3:$F$3002,MATCH($C195,DESPACHOS!$B$3:$B$3002,0)),""))</f>
        <v/>
      </c>
      <c r="H195" s="42">
        <f>IF($C195="","",IFERROR(INDEX(DESPACHOS!$G$3:$G$3002,MATCH($C195,DESPACHOS!$B$3:$B$3002,0)),""))</f>
        <v/>
      </c>
      <c r="I195" s="39">
        <f>IF($C195="","",IFERROR(INDEX(DESPACHOS!$H$3:$H$3002,MATCH($C195,DESPACHOS!$B$3:$B$3002,0)),""))</f>
        <v/>
      </c>
      <c r="J195" s="43">
        <f>IF($C195="","",IFERROR(INDEX(DESPACHOS!$J$3:$J$3002,MATCH($C195,DESPACHOS!$B$3:$B$3002,0)),""))</f>
        <v/>
      </c>
      <c r="K195" s="39">
        <f>IF($C195="","",IF(COUNTIFS(DESPACHOS!$B$3:$B$3002,$C195)=0,"NO EXISTE",IF(COUNTIFS(DESPACHOS!$B$3:$B$3002,$C195)&gt;1,"DUPLICADO","OK")))</f>
        <v/>
      </c>
      <c r="L195" s="41" t="n"/>
      <c r="M195" s="41" t="n"/>
      <c r="N195" s="42">
        <f>IF($M195="","",IFERROR(INDEX(LISTAS!$F$3:$F$42,MATCH($M195,LISTAS!$E$3:$E$42,0)),"Por definir"))</f>
        <v/>
      </c>
      <c r="O195" s="41" t="n"/>
      <c r="P195" s="39">
        <f>IF($L195="","",IFERROR(INDEX(LISTAS!$B$3:$B$42,MATCH($L195,LISTAS!$A$3:$A$42,0)),"Media"))</f>
        <v/>
      </c>
      <c r="Q195" s="44" t="n"/>
      <c r="R195" s="45" t="n"/>
      <c r="S195" s="20">
        <f>IFERROR(IF(OR($R195="",$C195=""),"",$R195/INDEX(DESPACHOS!$M$3:$M$3002,MATCH($C195,DESPACHOS!$B$3:$B$3002,0))),"")</f>
        <v/>
      </c>
      <c r="T195" s="41" t="n"/>
      <c r="U195" s="43">
        <f>IF(OR($B195="",$L195=""),"",WORKDAY($B195,IFERROR(INDEX(LISTAS!$C$3:$C$42,MATCH($L195,LISTAS!$A$3:$A$42,0)),3)))</f>
        <v/>
      </c>
      <c r="V195" s="40" t="n"/>
      <c r="W195" s="19">
        <f>IF($B195="","",IF($V195&lt;&gt;"",$V195-$B195,TODAY()-$B195))</f>
        <v/>
      </c>
      <c r="X195" s="19">
        <f>IF(OR($B195="",$U195=""),"",IF($V195&lt;&gt;"",MAX(0,$V195-$U195),MAX(0,TODAY()-$U195)))</f>
        <v/>
      </c>
      <c r="Y195" s="39">
        <f>IF($C195="","",IF(IFERROR(INDEX(LISTAS!$I$3:$I$42,MATCH($T195,LISTAS!$H$3:$H$42,0)),"NO")="SÍ",IF(N($X195)&gt;0,"CERRADA FUERA DE SLA","CERRADA EN SLA"),IF($U195="","SIN CLASIFICAR",IF(N($X195)&gt;0,"VENCIDA",IF(TODAY()&gt;=$U195-1,"POR VENCER","EN PLAZO")))))</f>
        <v/>
      </c>
      <c r="Z195" s="41" t="n"/>
      <c r="AA195" s="41" t="n"/>
      <c r="AB195" s="41" t="n"/>
    </row>
    <row r="196">
      <c r="A196" s="39">
        <f>IF($C196="","","NOV-"&amp;TEXT(ROW()-3,"0000"))</f>
        <v/>
      </c>
      <c r="B196" s="40" t="n"/>
      <c r="C196" s="41" t="n"/>
      <c r="D196" s="42">
        <f>IF($C196="","",IFERROR(INDEX(DESPACHOS!$D$3:$D$3002,MATCH($C196,DESPACHOS!$B$3:$B$3002,0)),"SIN DESPACHO"))</f>
        <v/>
      </c>
      <c r="E196" s="42">
        <f>IF($C196="","",IFERROR(INDEX(DESPACHOS!$K$3:$K$3002,MATCH($C196,DESPACHOS!$B$3:$B$3002,0)),""))</f>
        <v/>
      </c>
      <c r="F196" s="42">
        <f>IF($C196="","",IFERROR(INDEX(DESPACHOS!$I$3:$I$3002,MATCH($C196,DESPACHOS!$B$3:$B$3002,0)),""))</f>
        <v/>
      </c>
      <c r="G196" s="42">
        <f>IF($C196="","",IFERROR(INDEX(DESPACHOS!$F$3:$F$3002,MATCH($C196,DESPACHOS!$B$3:$B$3002,0)),""))</f>
        <v/>
      </c>
      <c r="H196" s="42">
        <f>IF($C196="","",IFERROR(INDEX(DESPACHOS!$G$3:$G$3002,MATCH($C196,DESPACHOS!$B$3:$B$3002,0)),""))</f>
        <v/>
      </c>
      <c r="I196" s="39">
        <f>IF($C196="","",IFERROR(INDEX(DESPACHOS!$H$3:$H$3002,MATCH($C196,DESPACHOS!$B$3:$B$3002,0)),""))</f>
        <v/>
      </c>
      <c r="J196" s="43">
        <f>IF($C196="","",IFERROR(INDEX(DESPACHOS!$J$3:$J$3002,MATCH($C196,DESPACHOS!$B$3:$B$3002,0)),""))</f>
        <v/>
      </c>
      <c r="K196" s="39">
        <f>IF($C196="","",IF(COUNTIFS(DESPACHOS!$B$3:$B$3002,$C196)=0,"NO EXISTE",IF(COUNTIFS(DESPACHOS!$B$3:$B$3002,$C196)&gt;1,"DUPLICADO","OK")))</f>
        <v/>
      </c>
      <c r="L196" s="41" t="n"/>
      <c r="M196" s="41" t="n"/>
      <c r="N196" s="42">
        <f>IF($M196="","",IFERROR(INDEX(LISTAS!$F$3:$F$42,MATCH($M196,LISTAS!$E$3:$E$42,0)),"Por definir"))</f>
        <v/>
      </c>
      <c r="O196" s="41" t="n"/>
      <c r="P196" s="39">
        <f>IF($L196="","",IFERROR(INDEX(LISTAS!$B$3:$B$42,MATCH($L196,LISTAS!$A$3:$A$42,0)),"Media"))</f>
        <v/>
      </c>
      <c r="Q196" s="44" t="n"/>
      <c r="R196" s="45" t="n"/>
      <c r="S196" s="20">
        <f>IFERROR(IF(OR($R196="",$C196=""),"",$R196/INDEX(DESPACHOS!$M$3:$M$3002,MATCH($C196,DESPACHOS!$B$3:$B$3002,0))),"")</f>
        <v/>
      </c>
      <c r="T196" s="41" t="n"/>
      <c r="U196" s="43">
        <f>IF(OR($B196="",$L196=""),"",WORKDAY($B196,IFERROR(INDEX(LISTAS!$C$3:$C$42,MATCH($L196,LISTAS!$A$3:$A$42,0)),3)))</f>
        <v/>
      </c>
      <c r="V196" s="40" t="n"/>
      <c r="W196" s="19">
        <f>IF($B196="","",IF($V196&lt;&gt;"",$V196-$B196,TODAY()-$B196))</f>
        <v/>
      </c>
      <c r="X196" s="19">
        <f>IF(OR($B196="",$U196=""),"",IF($V196&lt;&gt;"",MAX(0,$V196-$U196),MAX(0,TODAY()-$U196)))</f>
        <v/>
      </c>
      <c r="Y196" s="39">
        <f>IF($C196="","",IF(IFERROR(INDEX(LISTAS!$I$3:$I$42,MATCH($T196,LISTAS!$H$3:$H$42,0)),"NO")="SÍ",IF(N($X196)&gt;0,"CERRADA FUERA DE SLA","CERRADA EN SLA"),IF($U196="","SIN CLASIFICAR",IF(N($X196)&gt;0,"VENCIDA",IF(TODAY()&gt;=$U196-1,"POR VENCER","EN PLAZO")))))</f>
        <v/>
      </c>
      <c r="Z196" s="41" t="n"/>
      <c r="AA196" s="41" t="n"/>
      <c r="AB196" s="41" t="n"/>
    </row>
    <row r="197">
      <c r="A197" s="39">
        <f>IF($C197="","","NOV-"&amp;TEXT(ROW()-3,"0000"))</f>
        <v/>
      </c>
      <c r="B197" s="40" t="n"/>
      <c r="C197" s="41" t="n"/>
      <c r="D197" s="42">
        <f>IF($C197="","",IFERROR(INDEX(DESPACHOS!$D$3:$D$3002,MATCH($C197,DESPACHOS!$B$3:$B$3002,0)),"SIN DESPACHO"))</f>
        <v/>
      </c>
      <c r="E197" s="42">
        <f>IF($C197="","",IFERROR(INDEX(DESPACHOS!$K$3:$K$3002,MATCH($C197,DESPACHOS!$B$3:$B$3002,0)),""))</f>
        <v/>
      </c>
      <c r="F197" s="42">
        <f>IF($C197="","",IFERROR(INDEX(DESPACHOS!$I$3:$I$3002,MATCH($C197,DESPACHOS!$B$3:$B$3002,0)),""))</f>
        <v/>
      </c>
      <c r="G197" s="42">
        <f>IF($C197="","",IFERROR(INDEX(DESPACHOS!$F$3:$F$3002,MATCH($C197,DESPACHOS!$B$3:$B$3002,0)),""))</f>
        <v/>
      </c>
      <c r="H197" s="42">
        <f>IF($C197="","",IFERROR(INDEX(DESPACHOS!$G$3:$G$3002,MATCH($C197,DESPACHOS!$B$3:$B$3002,0)),""))</f>
        <v/>
      </c>
      <c r="I197" s="39">
        <f>IF($C197="","",IFERROR(INDEX(DESPACHOS!$H$3:$H$3002,MATCH($C197,DESPACHOS!$B$3:$B$3002,0)),""))</f>
        <v/>
      </c>
      <c r="J197" s="43">
        <f>IF($C197="","",IFERROR(INDEX(DESPACHOS!$J$3:$J$3002,MATCH($C197,DESPACHOS!$B$3:$B$3002,0)),""))</f>
        <v/>
      </c>
      <c r="K197" s="39">
        <f>IF($C197="","",IF(COUNTIFS(DESPACHOS!$B$3:$B$3002,$C197)=0,"NO EXISTE",IF(COUNTIFS(DESPACHOS!$B$3:$B$3002,$C197)&gt;1,"DUPLICADO","OK")))</f>
        <v/>
      </c>
      <c r="L197" s="41" t="n"/>
      <c r="M197" s="41" t="n"/>
      <c r="N197" s="42">
        <f>IF($M197="","",IFERROR(INDEX(LISTAS!$F$3:$F$42,MATCH($M197,LISTAS!$E$3:$E$42,0)),"Por definir"))</f>
        <v/>
      </c>
      <c r="O197" s="41" t="n"/>
      <c r="P197" s="39">
        <f>IF($L197="","",IFERROR(INDEX(LISTAS!$B$3:$B$42,MATCH($L197,LISTAS!$A$3:$A$42,0)),"Media"))</f>
        <v/>
      </c>
      <c r="Q197" s="44" t="n"/>
      <c r="R197" s="45" t="n"/>
      <c r="S197" s="20">
        <f>IFERROR(IF(OR($R197="",$C197=""),"",$R197/INDEX(DESPACHOS!$M$3:$M$3002,MATCH($C197,DESPACHOS!$B$3:$B$3002,0))),"")</f>
        <v/>
      </c>
      <c r="T197" s="41" t="n"/>
      <c r="U197" s="43">
        <f>IF(OR($B197="",$L197=""),"",WORKDAY($B197,IFERROR(INDEX(LISTAS!$C$3:$C$42,MATCH($L197,LISTAS!$A$3:$A$42,0)),3)))</f>
        <v/>
      </c>
      <c r="V197" s="40" t="n"/>
      <c r="W197" s="19">
        <f>IF($B197="","",IF($V197&lt;&gt;"",$V197-$B197,TODAY()-$B197))</f>
        <v/>
      </c>
      <c r="X197" s="19">
        <f>IF(OR($B197="",$U197=""),"",IF($V197&lt;&gt;"",MAX(0,$V197-$U197),MAX(0,TODAY()-$U197)))</f>
        <v/>
      </c>
      <c r="Y197" s="39">
        <f>IF($C197="","",IF(IFERROR(INDEX(LISTAS!$I$3:$I$42,MATCH($T197,LISTAS!$H$3:$H$42,0)),"NO")="SÍ",IF(N($X197)&gt;0,"CERRADA FUERA DE SLA","CERRADA EN SLA"),IF($U197="","SIN CLASIFICAR",IF(N($X197)&gt;0,"VENCIDA",IF(TODAY()&gt;=$U197-1,"POR VENCER","EN PLAZO")))))</f>
        <v/>
      </c>
      <c r="Z197" s="41" t="n"/>
      <c r="AA197" s="41" t="n"/>
      <c r="AB197" s="41" t="n"/>
    </row>
    <row r="198">
      <c r="A198" s="39">
        <f>IF($C198="","","NOV-"&amp;TEXT(ROW()-3,"0000"))</f>
        <v/>
      </c>
      <c r="B198" s="40" t="n"/>
      <c r="C198" s="41" t="n"/>
      <c r="D198" s="42">
        <f>IF($C198="","",IFERROR(INDEX(DESPACHOS!$D$3:$D$3002,MATCH($C198,DESPACHOS!$B$3:$B$3002,0)),"SIN DESPACHO"))</f>
        <v/>
      </c>
      <c r="E198" s="42">
        <f>IF($C198="","",IFERROR(INDEX(DESPACHOS!$K$3:$K$3002,MATCH($C198,DESPACHOS!$B$3:$B$3002,0)),""))</f>
        <v/>
      </c>
      <c r="F198" s="42">
        <f>IF($C198="","",IFERROR(INDEX(DESPACHOS!$I$3:$I$3002,MATCH($C198,DESPACHOS!$B$3:$B$3002,0)),""))</f>
        <v/>
      </c>
      <c r="G198" s="42">
        <f>IF($C198="","",IFERROR(INDEX(DESPACHOS!$F$3:$F$3002,MATCH($C198,DESPACHOS!$B$3:$B$3002,0)),""))</f>
        <v/>
      </c>
      <c r="H198" s="42">
        <f>IF($C198="","",IFERROR(INDEX(DESPACHOS!$G$3:$G$3002,MATCH($C198,DESPACHOS!$B$3:$B$3002,0)),""))</f>
        <v/>
      </c>
      <c r="I198" s="39">
        <f>IF($C198="","",IFERROR(INDEX(DESPACHOS!$H$3:$H$3002,MATCH($C198,DESPACHOS!$B$3:$B$3002,0)),""))</f>
        <v/>
      </c>
      <c r="J198" s="43">
        <f>IF($C198="","",IFERROR(INDEX(DESPACHOS!$J$3:$J$3002,MATCH($C198,DESPACHOS!$B$3:$B$3002,0)),""))</f>
        <v/>
      </c>
      <c r="K198" s="39">
        <f>IF($C198="","",IF(COUNTIFS(DESPACHOS!$B$3:$B$3002,$C198)=0,"NO EXISTE",IF(COUNTIFS(DESPACHOS!$B$3:$B$3002,$C198)&gt;1,"DUPLICADO","OK")))</f>
        <v/>
      </c>
      <c r="L198" s="41" t="n"/>
      <c r="M198" s="41" t="n"/>
      <c r="N198" s="42">
        <f>IF($M198="","",IFERROR(INDEX(LISTAS!$F$3:$F$42,MATCH($M198,LISTAS!$E$3:$E$42,0)),"Por definir"))</f>
        <v/>
      </c>
      <c r="O198" s="41" t="n"/>
      <c r="P198" s="39">
        <f>IF($L198="","",IFERROR(INDEX(LISTAS!$B$3:$B$42,MATCH($L198,LISTAS!$A$3:$A$42,0)),"Media"))</f>
        <v/>
      </c>
      <c r="Q198" s="44" t="n"/>
      <c r="R198" s="45" t="n"/>
      <c r="S198" s="20">
        <f>IFERROR(IF(OR($R198="",$C198=""),"",$R198/INDEX(DESPACHOS!$M$3:$M$3002,MATCH($C198,DESPACHOS!$B$3:$B$3002,0))),"")</f>
        <v/>
      </c>
      <c r="T198" s="41" t="n"/>
      <c r="U198" s="43">
        <f>IF(OR($B198="",$L198=""),"",WORKDAY($B198,IFERROR(INDEX(LISTAS!$C$3:$C$42,MATCH($L198,LISTAS!$A$3:$A$42,0)),3)))</f>
        <v/>
      </c>
      <c r="V198" s="40" t="n"/>
      <c r="W198" s="19">
        <f>IF($B198="","",IF($V198&lt;&gt;"",$V198-$B198,TODAY()-$B198))</f>
        <v/>
      </c>
      <c r="X198" s="19">
        <f>IF(OR($B198="",$U198=""),"",IF($V198&lt;&gt;"",MAX(0,$V198-$U198),MAX(0,TODAY()-$U198)))</f>
        <v/>
      </c>
      <c r="Y198" s="39">
        <f>IF($C198="","",IF(IFERROR(INDEX(LISTAS!$I$3:$I$42,MATCH($T198,LISTAS!$H$3:$H$42,0)),"NO")="SÍ",IF(N($X198)&gt;0,"CERRADA FUERA DE SLA","CERRADA EN SLA"),IF($U198="","SIN CLASIFICAR",IF(N($X198)&gt;0,"VENCIDA",IF(TODAY()&gt;=$U198-1,"POR VENCER","EN PLAZO")))))</f>
        <v/>
      </c>
      <c r="Z198" s="41" t="n"/>
      <c r="AA198" s="41" t="n"/>
      <c r="AB198" s="41" t="n"/>
    </row>
    <row r="199">
      <c r="A199" s="39">
        <f>IF($C199="","","NOV-"&amp;TEXT(ROW()-3,"0000"))</f>
        <v/>
      </c>
      <c r="B199" s="40" t="n"/>
      <c r="C199" s="41" t="n"/>
      <c r="D199" s="42">
        <f>IF($C199="","",IFERROR(INDEX(DESPACHOS!$D$3:$D$3002,MATCH($C199,DESPACHOS!$B$3:$B$3002,0)),"SIN DESPACHO"))</f>
        <v/>
      </c>
      <c r="E199" s="42">
        <f>IF($C199="","",IFERROR(INDEX(DESPACHOS!$K$3:$K$3002,MATCH($C199,DESPACHOS!$B$3:$B$3002,0)),""))</f>
        <v/>
      </c>
      <c r="F199" s="42">
        <f>IF($C199="","",IFERROR(INDEX(DESPACHOS!$I$3:$I$3002,MATCH($C199,DESPACHOS!$B$3:$B$3002,0)),""))</f>
        <v/>
      </c>
      <c r="G199" s="42">
        <f>IF($C199="","",IFERROR(INDEX(DESPACHOS!$F$3:$F$3002,MATCH($C199,DESPACHOS!$B$3:$B$3002,0)),""))</f>
        <v/>
      </c>
      <c r="H199" s="42">
        <f>IF($C199="","",IFERROR(INDEX(DESPACHOS!$G$3:$G$3002,MATCH($C199,DESPACHOS!$B$3:$B$3002,0)),""))</f>
        <v/>
      </c>
      <c r="I199" s="39">
        <f>IF($C199="","",IFERROR(INDEX(DESPACHOS!$H$3:$H$3002,MATCH($C199,DESPACHOS!$B$3:$B$3002,0)),""))</f>
        <v/>
      </c>
      <c r="J199" s="43">
        <f>IF($C199="","",IFERROR(INDEX(DESPACHOS!$J$3:$J$3002,MATCH($C199,DESPACHOS!$B$3:$B$3002,0)),""))</f>
        <v/>
      </c>
      <c r="K199" s="39">
        <f>IF($C199="","",IF(COUNTIFS(DESPACHOS!$B$3:$B$3002,$C199)=0,"NO EXISTE",IF(COUNTIFS(DESPACHOS!$B$3:$B$3002,$C199)&gt;1,"DUPLICADO","OK")))</f>
        <v/>
      </c>
      <c r="L199" s="41" t="n"/>
      <c r="M199" s="41" t="n"/>
      <c r="N199" s="42">
        <f>IF($M199="","",IFERROR(INDEX(LISTAS!$F$3:$F$42,MATCH($M199,LISTAS!$E$3:$E$42,0)),"Por definir"))</f>
        <v/>
      </c>
      <c r="O199" s="41" t="n"/>
      <c r="P199" s="39">
        <f>IF($L199="","",IFERROR(INDEX(LISTAS!$B$3:$B$42,MATCH($L199,LISTAS!$A$3:$A$42,0)),"Media"))</f>
        <v/>
      </c>
      <c r="Q199" s="44" t="n"/>
      <c r="R199" s="45" t="n"/>
      <c r="S199" s="20">
        <f>IFERROR(IF(OR($R199="",$C199=""),"",$R199/INDEX(DESPACHOS!$M$3:$M$3002,MATCH($C199,DESPACHOS!$B$3:$B$3002,0))),"")</f>
        <v/>
      </c>
      <c r="T199" s="41" t="n"/>
      <c r="U199" s="43">
        <f>IF(OR($B199="",$L199=""),"",WORKDAY($B199,IFERROR(INDEX(LISTAS!$C$3:$C$42,MATCH($L199,LISTAS!$A$3:$A$42,0)),3)))</f>
        <v/>
      </c>
      <c r="V199" s="40" t="n"/>
      <c r="W199" s="19">
        <f>IF($B199="","",IF($V199&lt;&gt;"",$V199-$B199,TODAY()-$B199))</f>
        <v/>
      </c>
      <c r="X199" s="19">
        <f>IF(OR($B199="",$U199=""),"",IF($V199&lt;&gt;"",MAX(0,$V199-$U199),MAX(0,TODAY()-$U199)))</f>
        <v/>
      </c>
      <c r="Y199" s="39">
        <f>IF($C199="","",IF(IFERROR(INDEX(LISTAS!$I$3:$I$42,MATCH($T199,LISTAS!$H$3:$H$42,0)),"NO")="SÍ",IF(N($X199)&gt;0,"CERRADA FUERA DE SLA","CERRADA EN SLA"),IF($U199="","SIN CLASIFICAR",IF(N($X199)&gt;0,"VENCIDA",IF(TODAY()&gt;=$U199-1,"POR VENCER","EN PLAZO")))))</f>
        <v/>
      </c>
      <c r="Z199" s="41" t="n"/>
      <c r="AA199" s="41" t="n"/>
      <c r="AB199" s="41" t="n"/>
    </row>
    <row r="200">
      <c r="A200" s="39">
        <f>IF($C200="","","NOV-"&amp;TEXT(ROW()-3,"0000"))</f>
        <v/>
      </c>
      <c r="B200" s="40" t="n"/>
      <c r="C200" s="41" t="n"/>
      <c r="D200" s="42">
        <f>IF($C200="","",IFERROR(INDEX(DESPACHOS!$D$3:$D$3002,MATCH($C200,DESPACHOS!$B$3:$B$3002,0)),"SIN DESPACHO"))</f>
        <v/>
      </c>
      <c r="E200" s="42">
        <f>IF($C200="","",IFERROR(INDEX(DESPACHOS!$K$3:$K$3002,MATCH($C200,DESPACHOS!$B$3:$B$3002,0)),""))</f>
        <v/>
      </c>
      <c r="F200" s="42">
        <f>IF($C200="","",IFERROR(INDEX(DESPACHOS!$I$3:$I$3002,MATCH($C200,DESPACHOS!$B$3:$B$3002,0)),""))</f>
        <v/>
      </c>
      <c r="G200" s="42">
        <f>IF($C200="","",IFERROR(INDEX(DESPACHOS!$F$3:$F$3002,MATCH($C200,DESPACHOS!$B$3:$B$3002,0)),""))</f>
        <v/>
      </c>
      <c r="H200" s="42">
        <f>IF($C200="","",IFERROR(INDEX(DESPACHOS!$G$3:$G$3002,MATCH($C200,DESPACHOS!$B$3:$B$3002,0)),""))</f>
        <v/>
      </c>
      <c r="I200" s="39">
        <f>IF($C200="","",IFERROR(INDEX(DESPACHOS!$H$3:$H$3002,MATCH($C200,DESPACHOS!$B$3:$B$3002,0)),""))</f>
        <v/>
      </c>
      <c r="J200" s="43">
        <f>IF($C200="","",IFERROR(INDEX(DESPACHOS!$J$3:$J$3002,MATCH($C200,DESPACHOS!$B$3:$B$3002,0)),""))</f>
        <v/>
      </c>
      <c r="K200" s="39">
        <f>IF($C200="","",IF(COUNTIFS(DESPACHOS!$B$3:$B$3002,$C200)=0,"NO EXISTE",IF(COUNTIFS(DESPACHOS!$B$3:$B$3002,$C200)&gt;1,"DUPLICADO","OK")))</f>
        <v/>
      </c>
      <c r="L200" s="41" t="n"/>
      <c r="M200" s="41" t="n"/>
      <c r="N200" s="42">
        <f>IF($M200="","",IFERROR(INDEX(LISTAS!$F$3:$F$42,MATCH($M200,LISTAS!$E$3:$E$42,0)),"Por definir"))</f>
        <v/>
      </c>
      <c r="O200" s="41" t="n"/>
      <c r="P200" s="39">
        <f>IF($L200="","",IFERROR(INDEX(LISTAS!$B$3:$B$42,MATCH($L200,LISTAS!$A$3:$A$42,0)),"Media"))</f>
        <v/>
      </c>
      <c r="Q200" s="44" t="n"/>
      <c r="R200" s="45" t="n"/>
      <c r="S200" s="20">
        <f>IFERROR(IF(OR($R200="",$C200=""),"",$R200/INDEX(DESPACHOS!$M$3:$M$3002,MATCH($C200,DESPACHOS!$B$3:$B$3002,0))),"")</f>
        <v/>
      </c>
      <c r="T200" s="41" t="n"/>
      <c r="U200" s="43">
        <f>IF(OR($B200="",$L200=""),"",WORKDAY($B200,IFERROR(INDEX(LISTAS!$C$3:$C$42,MATCH($L200,LISTAS!$A$3:$A$42,0)),3)))</f>
        <v/>
      </c>
      <c r="V200" s="40" t="n"/>
      <c r="W200" s="19">
        <f>IF($B200="","",IF($V200&lt;&gt;"",$V200-$B200,TODAY()-$B200))</f>
        <v/>
      </c>
      <c r="X200" s="19">
        <f>IF(OR($B200="",$U200=""),"",IF($V200&lt;&gt;"",MAX(0,$V200-$U200),MAX(0,TODAY()-$U200)))</f>
        <v/>
      </c>
      <c r="Y200" s="39">
        <f>IF($C200="","",IF(IFERROR(INDEX(LISTAS!$I$3:$I$42,MATCH($T200,LISTAS!$H$3:$H$42,0)),"NO")="SÍ",IF(N($X200)&gt;0,"CERRADA FUERA DE SLA","CERRADA EN SLA"),IF($U200="","SIN CLASIFICAR",IF(N($X200)&gt;0,"VENCIDA",IF(TODAY()&gt;=$U200-1,"POR VENCER","EN PLAZO")))))</f>
        <v/>
      </c>
      <c r="Z200" s="41" t="n"/>
      <c r="AA200" s="41" t="n"/>
      <c r="AB200" s="41" t="n"/>
    </row>
    <row r="201">
      <c r="A201" s="39">
        <f>IF($C201="","","NOV-"&amp;TEXT(ROW()-3,"0000"))</f>
        <v/>
      </c>
      <c r="B201" s="40" t="n"/>
      <c r="C201" s="41" t="n"/>
      <c r="D201" s="42">
        <f>IF($C201="","",IFERROR(INDEX(DESPACHOS!$D$3:$D$3002,MATCH($C201,DESPACHOS!$B$3:$B$3002,0)),"SIN DESPACHO"))</f>
        <v/>
      </c>
      <c r="E201" s="42">
        <f>IF($C201="","",IFERROR(INDEX(DESPACHOS!$K$3:$K$3002,MATCH($C201,DESPACHOS!$B$3:$B$3002,0)),""))</f>
        <v/>
      </c>
      <c r="F201" s="42">
        <f>IF($C201="","",IFERROR(INDEX(DESPACHOS!$I$3:$I$3002,MATCH($C201,DESPACHOS!$B$3:$B$3002,0)),""))</f>
        <v/>
      </c>
      <c r="G201" s="42">
        <f>IF($C201="","",IFERROR(INDEX(DESPACHOS!$F$3:$F$3002,MATCH($C201,DESPACHOS!$B$3:$B$3002,0)),""))</f>
        <v/>
      </c>
      <c r="H201" s="42">
        <f>IF($C201="","",IFERROR(INDEX(DESPACHOS!$G$3:$G$3002,MATCH($C201,DESPACHOS!$B$3:$B$3002,0)),""))</f>
        <v/>
      </c>
      <c r="I201" s="39">
        <f>IF($C201="","",IFERROR(INDEX(DESPACHOS!$H$3:$H$3002,MATCH($C201,DESPACHOS!$B$3:$B$3002,0)),""))</f>
        <v/>
      </c>
      <c r="J201" s="43">
        <f>IF($C201="","",IFERROR(INDEX(DESPACHOS!$J$3:$J$3002,MATCH($C201,DESPACHOS!$B$3:$B$3002,0)),""))</f>
        <v/>
      </c>
      <c r="K201" s="39">
        <f>IF($C201="","",IF(COUNTIFS(DESPACHOS!$B$3:$B$3002,$C201)=0,"NO EXISTE",IF(COUNTIFS(DESPACHOS!$B$3:$B$3002,$C201)&gt;1,"DUPLICADO","OK")))</f>
        <v/>
      </c>
      <c r="L201" s="41" t="n"/>
      <c r="M201" s="41" t="n"/>
      <c r="N201" s="42">
        <f>IF($M201="","",IFERROR(INDEX(LISTAS!$F$3:$F$42,MATCH($M201,LISTAS!$E$3:$E$42,0)),"Por definir"))</f>
        <v/>
      </c>
      <c r="O201" s="41" t="n"/>
      <c r="P201" s="39">
        <f>IF($L201="","",IFERROR(INDEX(LISTAS!$B$3:$B$42,MATCH($L201,LISTAS!$A$3:$A$42,0)),"Media"))</f>
        <v/>
      </c>
      <c r="Q201" s="44" t="n"/>
      <c r="R201" s="45" t="n"/>
      <c r="S201" s="20">
        <f>IFERROR(IF(OR($R201="",$C201=""),"",$R201/INDEX(DESPACHOS!$M$3:$M$3002,MATCH($C201,DESPACHOS!$B$3:$B$3002,0))),"")</f>
        <v/>
      </c>
      <c r="T201" s="41" t="n"/>
      <c r="U201" s="43">
        <f>IF(OR($B201="",$L201=""),"",WORKDAY($B201,IFERROR(INDEX(LISTAS!$C$3:$C$42,MATCH($L201,LISTAS!$A$3:$A$42,0)),3)))</f>
        <v/>
      </c>
      <c r="V201" s="40" t="n"/>
      <c r="W201" s="19">
        <f>IF($B201="","",IF($V201&lt;&gt;"",$V201-$B201,TODAY()-$B201))</f>
        <v/>
      </c>
      <c r="X201" s="19">
        <f>IF(OR($B201="",$U201=""),"",IF($V201&lt;&gt;"",MAX(0,$V201-$U201),MAX(0,TODAY()-$U201)))</f>
        <v/>
      </c>
      <c r="Y201" s="39">
        <f>IF($C201="","",IF(IFERROR(INDEX(LISTAS!$I$3:$I$42,MATCH($T201,LISTAS!$H$3:$H$42,0)),"NO")="SÍ",IF(N($X201)&gt;0,"CERRADA FUERA DE SLA","CERRADA EN SLA"),IF($U201="","SIN CLASIFICAR",IF(N($X201)&gt;0,"VENCIDA",IF(TODAY()&gt;=$U201-1,"POR VENCER","EN PLAZO")))))</f>
        <v/>
      </c>
      <c r="Z201" s="41" t="n"/>
      <c r="AA201" s="41" t="n"/>
      <c r="AB201" s="41" t="n"/>
    </row>
    <row r="202">
      <c r="A202" s="39">
        <f>IF($C202="","","NOV-"&amp;TEXT(ROW()-3,"0000"))</f>
        <v/>
      </c>
      <c r="B202" s="40" t="n"/>
      <c r="C202" s="41" t="n"/>
      <c r="D202" s="42">
        <f>IF($C202="","",IFERROR(INDEX(DESPACHOS!$D$3:$D$3002,MATCH($C202,DESPACHOS!$B$3:$B$3002,0)),"SIN DESPACHO"))</f>
        <v/>
      </c>
      <c r="E202" s="42">
        <f>IF($C202="","",IFERROR(INDEX(DESPACHOS!$K$3:$K$3002,MATCH($C202,DESPACHOS!$B$3:$B$3002,0)),""))</f>
        <v/>
      </c>
      <c r="F202" s="42">
        <f>IF($C202="","",IFERROR(INDEX(DESPACHOS!$I$3:$I$3002,MATCH($C202,DESPACHOS!$B$3:$B$3002,0)),""))</f>
        <v/>
      </c>
      <c r="G202" s="42">
        <f>IF($C202="","",IFERROR(INDEX(DESPACHOS!$F$3:$F$3002,MATCH($C202,DESPACHOS!$B$3:$B$3002,0)),""))</f>
        <v/>
      </c>
      <c r="H202" s="42">
        <f>IF($C202="","",IFERROR(INDEX(DESPACHOS!$G$3:$G$3002,MATCH($C202,DESPACHOS!$B$3:$B$3002,0)),""))</f>
        <v/>
      </c>
      <c r="I202" s="39">
        <f>IF($C202="","",IFERROR(INDEX(DESPACHOS!$H$3:$H$3002,MATCH($C202,DESPACHOS!$B$3:$B$3002,0)),""))</f>
        <v/>
      </c>
      <c r="J202" s="43">
        <f>IF($C202="","",IFERROR(INDEX(DESPACHOS!$J$3:$J$3002,MATCH($C202,DESPACHOS!$B$3:$B$3002,0)),""))</f>
        <v/>
      </c>
      <c r="K202" s="39">
        <f>IF($C202="","",IF(COUNTIFS(DESPACHOS!$B$3:$B$3002,$C202)=0,"NO EXISTE",IF(COUNTIFS(DESPACHOS!$B$3:$B$3002,$C202)&gt;1,"DUPLICADO","OK")))</f>
        <v/>
      </c>
      <c r="L202" s="41" t="n"/>
      <c r="M202" s="41" t="n"/>
      <c r="N202" s="42">
        <f>IF($M202="","",IFERROR(INDEX(LISTAS!$F$3:$F$42,MATCH($M202,LISTAS!$E$3:$E$42,0)),"Por definir"))</f>
        <v/>
      </c>
      <c r="O202" s="41" t="n"/>
      <c r="P202" s="39">
        <f>IF($L202="","",IFERROR(INDEX(LISTAS!$B$3:$B$42,MATCH($L202,LISTAS!$A$3:$A$42,0)),"Media"))</f>
        <v/>
      </c>
      <c r="Q202" s="44" t="n"/>
      <c r="R202" s="45" t="n"/>
      <c r="S202" s="20">
        <f>IFERROR(IF(OR($R202="",$C202=""),"",$R202/INDEX(DESPACHOS!$M$3:$M$3002,MATCH($C202,DESPACHOS!$B$3:$B$3002,0))),"")</f>
        <v/>
      </c>
      <c r="T202" s="41" t="n"/>
      <c r="U202" s="43">
        <f>IF(OR($B202="",$L202=""),"",WORKDAY($B202,IFERROR(INDEX(LISTAS!$C$3:$C$42,MATCH($L202,LISTAS!$A$3:$A$42,0)),3)))</f>
        <v/>
      </c>
      <c r="V202" s="40" t="n"/>
      <c r="W202" s="19">
        <f>IF($B202="","",IF($V202&lt;&gt;"",$V202-$B202,TODAY()-$B202))</f>
        <v/>
      </c>
      <c r="X202" s="19">
        <f>IF(OR($B202="",$U202=""),"",IF($V202&lt;&gt;"",MAX(0,$V202-$U202),MAX(0,TODAY()-$U202)))</f>
        <v/>
      </c>
      <c r="Y202" s="39">
        <f>IF($C202="","",IF(IFERROR(INDEX(LISTAS!$I$3:$I$42,MATCH($T202,LISTAS!$H$3:$H$42,0)),"NO")="SÍ",IF(N($X202)&gt;0,"CERRADA FUERA DE SLA","CERRADA EN SLA"),IF($U202="","SIN CLASIFICAR",IF(N($X202)&gt;0,"VENCIDA",IF(TODAY()&gt;=$U202-1,"POR VENCER","EN PLAZO")))))</f>
        <v/>
      </c>
      <c r="Z202" s="41" t="n"/>
      <c r="AA202" s="41" t="n"/>
      <c r="AB202" s="41" t="n"/>
    </row>
    <row r="203">
      <c r="A203" s="39">
        <f>IF($C203="","","NOV-"&amp;TEXT(ROW()-3,"0000"))</f>
        <v/>
      </c>
      <c r="B203" s="40" t="n"/>
      <c r="C203" s="41" t="n"/>
      <c r="D203" s="42">
        <f>IF($C203="","",IFERROR(INDEX(DESPACHOS!$D$3:$D$3002,MATCH($C203,DESPACHOS!$B$3:$B$3002,0)),"SIN DESPACHO"))</f>
        <v/>
      </c>
      <c r="E203" s="42">
        <f>IF($C203="","",IFERROR(INDEX(DESPACHOS!$K$3:$K$3002,MATCH($C203,DESPACHOS!$B$3:$B$3002,0)),""))</f>
        <v/>
      </c>
      <c r="F203" s="42">
        <f>IF($C203="","",IFERROR(INDEX(DESPACHOS!$I$3:$I$3002,MATCH($C203,DESPACHOS!$B$3:$B$3002,0)),""))</f>
        <v/>
      </c>
      <c r="G203" s="42">
        <f>IF($C203="","",IFERROR(INDEX(DESPACHOS!$F$3:$F$3002,MATCH($C203,DESPACHOS!$B$3:$B$3002,0)),""))</f>
        <v/>
      </c>
      <c r="H203" s="42">
        <f>IF($C203="","",IFERROR(INDEX(DESPACHOS!$G$3:$G$3002,MATCH($C203,DESPACHOS!$B$3:$B$3002,0)),""))</f>
        <v/>
      </c>
      <c r="I203" s="39">
        <f>IF($C203="","",IFERROR(INDEX(DESPACHOS!$H$3:$H$3002,MATCH($C203,DESPACHOS!$B$3:$B$3002,0)),""))</f>
        <v/>
      </c>
      <c r="J203" s="43">
        <f>IF($C203="","",IFERROR(INDEX(DESPACHOS!$J$3:$J$3002,MATCH($C203,DESPACHOS!$B$3:$B$3002,0)),""))</f>
        <v/>
      </c>
      <c r="K203" s="39">
        <f>IF($C203="","",IF(COUNTIFS(DESPACHOS!$B$3:$B$3002,$C203)=0,"NO EXISTE",IF(COUNTIFS(DESPACHOS!$B$3:$B$3002,$C203)&gt;1,"DUPLICADO","OK")))</f>
        <v/>
      </c>
      <c r="L203" s="41" t="n"/>
      <c r="M203" s="41" t="n"/>
      <c r="N203" s="42">
        <f>IF($M203="","",IFERROR(INDEX(LISTAS!$F$3:$F$42,MATCH($M203,LISTAS!$E$3:$E$42,0)),"Por definir"))</f>
        <v/>
      </c>
      <c r="O203" s="41" t="n"/>
      <c r="P203" s="39">
        <f>IF($L203="","",IFERROR(INDEX(LISTAS!$B$3:$B$42,MATCH($L203,LISTAS!$A$3:$A$42,0)),"Media"))</f>
        <v/>
      </c>
      <c r="Q203" s="44" t="n"/>
      <c r="R203" s="45" t="n"/>
      <c r="S203" s="20">
        <f>IFERROR(IF(OR($R203="",$C203=""),"",$R203/INDEX(DESPACHOS!$M$3:$M$3002,MATCH($C203,DESPACHOS!$B$3:$B$3002,0))),"")</f>
        <v/>
      </c>
      <c r="T203" s="41" t="n"/>
      <c r="U203" s="43">
        <f>IF(OR($B203="",$L203=""),"",WORKDAY($B203,IFERROR(INDEX(LISTAS!$C$3:$C$42,MATCH($L203,LISTAS!$A$3:$A$42,0)),3)))</f>
        <v/>
      </c>
      <c r="V203" s="40" t="n"/>
      <c r="W203" s="19">
        <f>IF($B203="","",IF($V203&lt;&gt;"",$V203-$B203,TODAY()-$B203))</f>
        <v/>
      </c>
      <c r="X203" s="19">
        <f>IF(OR($B203="",$U203=""),"",IF($V203&lt;&gt;"",MAX(0,$V203-$U203),MAX(0,TODAY()-$U203)))</f>
        <v/>
      </c>
      <c r="Y203" s="39">
        <f>IF($C203="","",IF(IFERROR(INDEX(LISTAS!$I$3:$I$42,MATCH($T203,LISTAS!$H$3:$H$42,0)),"NO")="SÍ",IF(N($X203)&gt;0,"CERRADA FUERA DE SLA","CERRADA EN SLA"),IF($U203="","SIN CLASIFICAR",IF(N($X203)&gt;0,"VENCIDA",IF(TODAY()&gt;=$U203-1,"POR VENCER","EN PLAZO")))))</f>
        <v/>
      </c>
      <c r="Z203" s="41" t="n"/>
      <c r="AA203" s="41" t="n"/>
      <c r="AB203" s="41" t="n"/>
    </row>
    <row r="204">
      <c r="A204" s="39">
        <f>IF($C204="","","NOV-"&amp;TEXT(ROW()-3,"0000"))</f>
        <v/>
      </c>
      <c r="B204" s="40" t="n"/>
      <c r="C204" s="41" t="n"/>
      <c r="D204" s="42">
        <f>IF($C204="","",IFERROR(INDEX(DESPACHOS!$D$3:$D$3002,MATCH($C204,DESPACHOS!$B$3:$B$3002,0)),"SIN DESPACHO"))</f>
        <v/>
      </c>
      <c r="E204" s="42">
        <f>IF($C204="","",IFERROR(INDEX(DESPACHOS!$K$3:$K$3002,MATCH($C204,DESPACHOS!$B$3:$B$3002,0)),""))</f>
        <v/>
      </c>
      <c r="F204" s="42">
        <f>IF($C204="","",IFERROR(INDEX(DESPACHOS!$I$3:$I$3002,MATCH($C204,DESPACHOS!$B$3:$B$3002,0)),""))</f>
        <v/>
      </c>
      <c r="G204" s="42">
        <f>IF($C204="","",IFERROR(INDEX(DESPACHOS!$F$3:$F$3002,MATCH($C204,DESPACHOS!$B$3:$B$3002,0)),""))</f>
        <v/>
      </c>
      <c r="H204" s="42">
        <f>IF($C204="","",IFERROR(INDEX(DESPACHOS!$G$3:$G$3002,MATCH($C204,DESPACHOS!$B$3:$B$3002,0)),""))</f>
        <v/>
      </c>
      <c r="I204" s="39">
        <f>IF($C204="","",IFERROR(INDEX(DESPACHOS!$H$3:$H$3002,MATCH($C204,DESPACHOS!$B$3:$B$3002,0)),""))</f>
        <v/>
      </c>
      <c r="J204" s="43">
        <f>IF($C204="","",IFERROR(INDEX(DESPACHOS!$J$3:$J$3002,MATCH($C204,DESPACHOS!$B$3:$B$3002,0)),""))</f>
        <v/>
      </c>
      <c r="K204" s="39">
        <f>IF($C204="","",IF(COUNTIFS(DESPACHOS!$B$3:$B$3002,$C204)=0,"NO EXISTE",IF(COUNTIFS(DESPACHOS!$B$3:$B$3002,$C204)&gt;1,"DUPLICADO","OK")))</f>
        <v/>
      </c>
      <c r="L204" s="41" t="n"/>
      <c r="M204" s="41" t="n"/>
      <c r="N204" s="42">
        <f>IF($M204="","",IFERROR(INDEX(LISTAS!$F$3:$F$42,MATCH($M204,LISTAS!$E$3:$E$42,0)),"Por definir"))</f>
        <v/>
      </c>
      <c r="O204" s="41" t="n"/>
      <c r="P204" s="39">
        <f>IF($L204="","",IFERROR(INDEX(LISTAS!$B$3:$B$42,MATCH($L204,LISTAS!$A$3:$A$42,0)),"Media"))</f>
        <v/>
      </c>
      <c r="Q204" s="44" t="n"/>
      <c r="R204" s="45" t="n"/>
      <c r="S204" s="20">
        <f>IFERROR(IF(OR($R204="",$C204=""),"",$R204/INDEX(DESPACHOS!$M$3:$M$3002,MATCH($C204,DESPACHOS!$B$3:$B$3002,0))),"")</f>
        <v/>
      </c>
      <c r="T204" s="41" t="n"/>
      <c r="U204" s="43">
        <f>IF(OR($B204="",$L204=""),"",WORKDAY($B204,IFERROR(INDEX(LISTAS!$C$3:$C$42,MATCH($L204,LISTAS!$A$3:$A$42,0)),3)))</f>
        <v/>
      </c>
      <c r="V204" s="40" t="n"/>
      <c r="W204" s="19">
        <f>IF($B204="","",IF($V204&lt;&gt;"",$V204-$B204,TODAY()-$B204))</f>
        <v/>
      </c>
      <c r="X204" s="19">
        <f>IF(OR($B204="",$U204=""),"",IF($V204&lt;&gt;"",MAX(0,$V204-$U204),MAX(0,TODAY()-$U204)))</f>
        <v/>
      </c>
      <c r="Y204" s="39">
        <f>IF($C204="","",IF(IFERROR(INDEX(LISTAS!$I$3:$I$42,MATCH($T204,LISTAS!$H$3:$H$42,0)),"NO")="SÍ",IF(N($X204)&gt;0,"CERRADA FUERA DE SLA","CERRADA EN SLA"),IF($U204="","SIN CLASIFICAR",IF(N($X204)&gt;0,"VENCIDA",IF(TODAY()&gt;=$U204-1,"POR VENCER","EN PLAZO")))))</f>
        <v/>
      </c>
      <c r="Z204" s="41" t="n"/>
      <c r="AA204" s="41" t="n"/>
      <c r="AB204" s="41" t="n"/>
    </row>
    <row r="205">
      <c r="A205" s="39">
        <f>IF($C205="","","NOV-"&amp;TEXT(ROW()-3,"0000"))</f>
        <v/>
      </c>
      <c r="B205" s="40" t="n"/>
      <c r="C205" s="41" t="n"/>
      <c r="D205" s="42">
        <f>IF($C205="","",IFERROR(INDEX(DESPACHOS!$D$3:$D$3002,MATCH($C205,DESPACHOS!$B$3:$B$3002,0)),"SIN DESPACHO"))</f>
        <v/>
      </c>
      <c r="E205" s="42">
        <f>IF($C205="","",IFERROR(INDEX(DESPACHOS!$K$3:$K$3002,MATCH($C205,DESPACHOS!$B$3:$B$3002,0)),""))</f>
        <v/>
      </c>
      <c r="F205" s="42">
        <f>IF($C205="","",IFERROR(INDEX(DESPACHOS!$I$3:$I$3002,MATCH($C205,DESPACHOS!$B$3:$B$3002,0)),""))</f>
        <v/>
      </c>
      <c r="G205" s="42">
        <f>IF($C205="","",IFERROR(INDEX(DESPACHOS!$F$3:$F$3002,MATCH($C205,DESPACHOS!$B$3:$B$3002,0)),""))</f>
        <v/>
      </c>
      <c r="H205" s="42">
        <f>IF($C205="","",IFERROR(INDEX(DESPACHOS!$G$3:$G$3002,MATCH($C205,DESPACHOS!$B$3:$B$3002,0)),""))</f>
        <v/>
      </c>
      <c r="I205" s="39">
        <f>IF($C205="","",IFERROR(INDEX(DESPACHOS!$H$3:$H$3002,MATCH($C205,DESPACHOS!$B$3:$B$3002,0)),""))</f>
        <v/>
      </c>
      <c r="J205" s="43">
        <f>IF($C205="","",IFERROR(INDEX(DESPACHOS!$J$3:$J$3002,MATCH($C205,DESPACHOS!$B$3:$B$3002,0)),""))</f>
        <v/>
      </c>
      <c r="K205" s="39">
        <f>IF($C205="","",IF(COUNTIFS(DESPACHOS!$B$3:$B$3002,$C205)=0,"NO EXISTE",IF(COUNTIFS(DESPACHOS!$B$3:$B$3002,$C205)&gt;1,"DUPLICADO","OK")))</f>
        <v/>
      </c>
      <c r="L205" s="41" t="n"/>
      <c r="M205" s="41" t="n"/>
      <c r="N205" s="42">
        <f>IF($M205="","",IFERROR(INDEX(LISTAS!$F$3:$F$42,MATCH($M205,LISTAS!$E$3:$E$42,0)),"Por definir"))</f>
        <v/>
      </c>
      <c r="O205" s="41" t="n"/>
      <c r="P205" s="39">
        <f>IF($L205="","",IFERROR(INDEX(LISTAS!$B$3:$B$42,MATCH($L205,LISTAS!$A$3:$A$42,0)),"Media"))</f>
        <v/>
      </c>
      <c r="Q205" s="44" t="n"/>
      <c r="R205" s="45" t="n"/>
      <c r="S205" s="20">
        <f>IFERROR(IF(OR($R205="",$C205=""),"",$R205/INDEX(DESPACHOS!$M$3:$M$3002,MATCH($C205,DESPACHOS!$B$3:$B$3002,0))),"")</f>
        <v/>
      </c>
      <c r="T205" s="41" t="n"/>
      <c r="U205" s="43">
        <f>IF(OR($B205="",$L205=""),"",WORKDAY($B205,IFERROR(INDEX(LISTAS!$C$3:$C$42,MATCH($L205,LISTAS!$A$3:$A$42,0)),3)))</f>
        <v/>
      </c>
      <c r="V205" s="40" t="n"/>
      <c r="W205" s="19">
        <f>IF($B205="","",IF($V205&lt;&gt;"",$V205-$B205,TODAY()-$B205))</f>
        <v/>
      </c>
      <c r="X205" s="19">
        <f>IF(OR($B205="",$U205=""),"",IF($V205&lt;&gt;"",MAX(0,$V205-$U205),MAX(0,TODAY()-$U205)))</f>
        <v/>
      </c>
      <c r="Y205" s="39">
        <f>IF($C205="","",IF(IFERROR(INDEX(LISTAS!$I$3:$I$42,MATCH($T205,LISTAS!$H$3:$H$42,0)),"NO")="SÍ",IF(N($X205)&gt;0,"CERRADA FUERA DE SLA","CERRADA EN SLA"),IF($U205="","SIN CLASIFICAR",IF(N($X205)&gt;0,"VENCIDA",IF(TODAY()&gt;=$U205-1,"POR VENCER","EN PLAZO")))))</f>
        <v/>
      </c>
      <c r="Z205" s="41" t="n"/>
      <c r="AA205" s="41" t="n"/>
      <c r="AB205" s="41" t="n"/>
    </row>
    <row r="206">
      <c r="A206" s="39">
        <f>IF($C206="","","NOV-"&amp;TEXT(ROW()-3,"0000"))</f>
        <v/>
      </c>
      <c r="B206" s="40" t="n"/>
      <c r="C206" s="41" t="n"/>
      <c r="D206" s="42">
        <f>IF($C206="","",IFERROR(INDEX(DESPACHOS!$D$3:$D$3002,MATCH($C206,DESPACHOS!$B$3:$B$3002,0)),"SIN DESPACHO"))</f>
        <v/>
      </c>
      <c r="E206" s="42">
        <f>IF($C206="","",IFERROR(INDEX(DESPACHOS!$K$3:$K$3002,MATCH($C206,DESPACHOS!$B$3:$B$3002,0)),""))</f>
        <v/>
      </c>
      <c r="F206" s="42">
        <f>IF($C206="","",IFERROR(INDEX(DESPACHOS!$I$3:$I$3002,MATCH($C206,DESPACHOS!$B$3:$B$3002,0)),""))</f>
        <v/>
      </c>
      <c r="G206" s="42">
        <f>IF($C206="","",IFERROR(INDEX(DESPACHOS!$F$3:$F$3002,MATCH($C206,DESPACHOS!$B$3:$B$3002,0)),""))</f>
        <v/>
      </c>
      <c r="H206" s="42">
        <f>IF($C206="","",IFERROR(INDEX(DESPACHOS!$G$3:$G$3002,MATCH($C206,DESPACHOS!$B$3:$B$3002,0)),""))</f>
        <v/>
      </c>
      <c r="I206" s="39">
        <f>IF($C206="","",IFERROR(INDEX(DESPACHOS!$H$3:$H$3002,MATCH($C206,DESPACHOS!$B$3:$B$3002,0)),""))</f>
        <v/>
      </c>
      <c r="J206" s="43">
        <f>IF($C206="","",IFERROR(INDEX(DESPACHOS!$J$3:$J$3002,MATCH($C206,DESPACHOS!$B$3:$B$3002,0)),""))</f>
        <v/>
      </c>
      <c r="K206" s="39">
        <f>IF($C206="","",IF(COUNTIFS(DESPACHOS!$B$3:$B$3002,$C206)=0,"NO EXISTE",IF(COUNTIFS(DESPACHOS!$B$3:$B$3002,$C206)&gt;1,"DUPLICADO","OK")))</f>
        <v/>
      </c>
      <c r="L206" s="41" t="n"/>
      <c r="M206" s="41" t="n"/>
      <c r="N206" s="42">
        <f>IF($M206="","",IFERROR(INDEX(LISTAS!$F$3:$F$42,MATCH($M206,LISTAS!$E$3:$E$42,0)),"Por definir"))</f>
        <v/>
      </c>
      <c r="O206" s="41" t="n"/>
      <c r="P206" s="39">
        <f>IF($L206="","",IFERROR(INDEX(LISTAS!$B$3:$B$42,MATCH($L206,LISTAS!$A$3:$A$42,0)),"Media"))</f>
        <v/>
      </c>
      <c r="Q206" s="44" t="n"/>
      <c r="R206" s="45" t="n"/>
      <c r="S206" s="20">
        <f>IFERROR(IF(OR($R206="",$C206=""),"",$R206/INDEX(DESPACHOS!$M$3:$M$3002,MATCH($C206,DESPACHOS!$B$3:$B$3002,0))),"")</f>
        <v/>
      </c>
      <c r="T206" s="41" t="n"/>
      <c r="U206" s="43">
        <f>IF(OR($B206="",$L206=""),"",WORKDAY($B206,IFERROR(INDEX(LISTAS!$C$3:$C$42,MATCH($L206,LISTAS!$A$3:$A$42,0)),3)))</f>
        <v/>
      </c>
      <c r="V206" s="40" t="n"/>
      <c r="W206" s="19">
        <f>IF($B206="","",IF($V206&lt;&gt;"",$V206-$B206,TODAY()-$B206))</f>
        <v/>
      </c>
      <c r="X206" s="19">
        <f>IF(OR($B206="",$U206=""),"",IF($V206&lt;&gt;"",MAX(0,$V206-$U206),MAX(0,TODAY()-$U206)))</f>
        <v/>
      </c>
      <c r="Y206" s="39">
        <f>IF($C206="","",IF(IFERROR(INDEX(LISTAS!$I$3:$I$42,MATCH($T206,LISTAS!$H$3:$H$42,0)),"NO")="SÍ",IF(N($X206)&gt;0,"CERRADA FUERA DE SLA","CERRADA EN SLA"),IF($U206="","SIN CLASIFICAR",IF(N($X206)&gt;0,"VENCIDA",IF(TODAY()&gt;=$U206-1,"POR VENCER","EN PLAZO")))))</f>
        <v/>
      </c>
      <c r="Z206" s="41" t="n"/>
      <c r="AA206" s="41" t="n"/>
      <c r="AB206" s="41" t="n"/>
    </row>
    <row r="207">
      <c r="A207" s="39">
        <f>IF($C207="","","NOV-"&amp;TEXT(ROW()-3,"0000"))</f>
        <v/>
      </c>
      <c r="B207" s="40" t="n"/>
      <c r="C207" s="41" t="n"/>
      <c r="D207" s="42">
        <f>IF($C207="","",IFERROR(INDEX(DESPACHOS!$D$3:$D$3002,MATCH($C207,DESPACHOS!$B$3:$B$3002,0)),"SIN DESPACHO"))</f>
        <v/>
      </c>
      <c r="E207" s="42">
        <f>IF($C207="","",IFERROR(INDEX(DESPACHOS!$K$3:$K$3002,MATCH($C207,DESPACHOS!$B$3:$B$3002,0)),""))</f>
        <v/>
      </c>
      <c r="F207" s="42">
        <f>IF($C207="","",IFERROR(INDEX(DESPACHOS!$I$3:$I$3002,MATCH($C207,DESPACHOS!$B$3:$B$3002,0)),""))</f>
        <v/>
      </c>
      <c r="G207" s="42">
        <f>IF($C207="","",IFERROR(INDEX(DESPACHOS!$F$3:$F$3002,MATCH($C207,DESPACHOS!$B$3:$B$3002,0)),""))</f>
        <v/>
      </c>
      <c r="H207" s="42">
        <f>IF($C207="","",IFERROR(INDEX(DESPACHOS!$G$3:$G$3002,MATCH($C207,DESPACHOS!$B$3:$B$3002,0)),""))</f>
        <v/>
      </c>
      <c r="I207" s="39">
        <f>IF($C207="","",IFERROR(INDEX(DESPACHOS!$H$3:$H$3002,MATCH($C207,DESPACHOS!$B$3:$B$3002,0)),""))</f>
        <v/>
      </c>
      <c r="J207" s="43">
        <f>IF($C207="","",IFERROR(INDEX(DESPACHOS!$J$3:$J$3002,MATCH($C207,DESPACHOS!$B$3:$B$3002,0)),""))</f>
        <v/>
      </c>
      <c r="K207" s="39">
        <f>IF($C207="","",IF(COUNTIFS(DESPACHOS!$B$3:$B$3002,$C207)=0,"NO EXISTE",IF(COUNTIFS(DESPACHOS!$B$3:$B$3002,$C207)&gt;1,"DUPLICADO","OK")))</f>
        <v/>
      </c>
      <c r="L207" s="41" t="n"/>
      <c r="M207" s="41" t="n"/>
      <c r="N207" s="42">
        <f>IF($M207="","",IFERROR(INDEX(LISTAS!$F$3:$F$42,MATCH($M207,LISTAS!$E$3:$E$42,0)),"Por definir"))</f>
        <v/>
      </c>
      <c r="O207" s="41" t="n"/>
      <c r="P207" s="39">
        <f>IF($L207="","",IFERROR(INDEX(LISTAS!$B$3:$B$42,MATCH($L207,LISTAS!$A$3:$A$42,0)),"Media"))</f>
        <v/>
      </c>
      <c r="Q207" s="44" t="n"/>
      <c r="R207" s="45" t="n"/>
      <c r="S207" s="20">
        <f>IFERROR(IF(OR($R207="",$C207=""),"",$R207/INDEX(DESPACHOS!$M$3:$M$3002,MATCH($C207,DESPACHOS!$B$3:$B$3002,0))),"")</f>
        <v/>
      </c>
      <c r="T207" s="41" t="n"/>
      <c r="U207" s="43">
        <f>IF(OR($B207="",$L207=""),"",WORKDAY($B207,IFERROR(INDEX(LISTAS!$C$3:$C$42,MATCH($L207,LISTAS!$A$3:$A$42,0)),3)))</f>
        <v/>
      </c>
      <c r="V207" s="40" t="n"/>
      <c r="W207" s="19">
        <f>IF($B207="","",IF($V207&lt;&gt;"",$V207-$B207,TODAY()-$B207))</f>
        <v/>
      </c>
      <c r="X207" s="19">
        <f>IF(OR($B207="",$U207=""),"",IF($V207&lt;&gt;"",MAX(0,$V207-$U207),MAX(0,TODAY()-$U207)))</f>
        <v/>
      </c>
      <c r="Y207" s="39">
        <f>IF($C207="","",IF(IFERROR(INDEX(LISTAS!$I$3:$I$42,MATCH($T207,LISTAS!$H$3:$H$42,0)),"NO")="SÍ",IF(N($X207)&gt;0,"CERRADA FUERA DE SLA","CERRADA EN SLA"),IF($U207="","SIN CLASIFICAR",IF(N($X207)&gt;0,"VENCIDA",IF(TODAY()&gt;=$U207-1,"POR VENCER","EN PLAZO")))))</f>
        <v/>
      </c>
      <c r="Z207" s="41" t="n"/>
      <c r="AA207" s="41" t="n"/>
      <c r="AB207" s="41" t="n"/>
    </row>
    <row r="208">
      <c r="A208" s="39">
        <f>IF($C208="","","NOV-"&amp;TEXT(ROW()-3,"0000"))</f>
        <v/>
      </c>
      <c r="B208" s="40" t="n"/>
      <c r="C208" s="41" t="n"/>
      <c r="D208" s="42">
        <f>IF($C208="","",IFERROR(INDEX(DESPACHOS!$D$3:$D$3002,MATCH($C208,DESPACHOS!$B$3:$B$3002,0)),"SIN DESPACHO"))</f>
        <v/>
      </c>
      <c r="E208" s="42">
        <f>IF($C208="","",IFERROR(INDEX(DESPACHOS!$K$3:$K$3002,MATCH($C208,DESPACHOS!$B$3:$B$3002,0)),""))</f>
        <v/>
      </c>
      <c r="F208" s="42">
        <f>IF($C208="","",IFERROR(INDEX(DESPACHOS!$I$3:$I$3002,MATCH($C208,DESPACHOS!$B$3:$B$3002,0)),""))</f>
        <v/>
      </c>
      <c r="G208" s="42">
        <f>IF($C208="","",IFERROR(INDEX(DESPACHOS!$F$3:$F$3002,MATCH($C208,DESPACHOS!$B$3:$B$3002,0)),""))</f>
        <v/>
      </c>
      <c r="H208" s="42">
        <f>IF($C208="","",IFERROR(INDEX(DESPACHOS!$G$3:$G$3002,MATCH($C208,DESPACHOS!$B$3:$B$3002,0)),""))</f>
        <v/>
      </c>
      <c r="I208" s="39">
        <f>IF($C208="","",IFERROR(INDEX(DESPACHOS!$H$3:$H$3002,MATCH($C208,DESPACHOS!$B$3:$B$3002,0)),""))</f>
        <v/>
      </c>
      <c r="J208" s="43">
        <f>IF($C208="","",IFERROR(INDEX(DESPACHOS!$J$3:$J$3002,MATCH($C208,DESPACHOS!$B$3:$B$3002,0)),""))</f>
        <v/>
      </c>
      <c r="K208" s="39">
        <f>IF($C208="","",IF(COUNTIFS(DESPACHOS!$B$3:$B$3002,$C208)=0,"NO EXISTE",IF(COUNTIFS(DESPACHOS!$B$3:$B$3002,$C208)&gt;1,"DUPLICADO","OK")))</f>
        <v/>
      </c>
      <c r="L208" s="41" t="n"/>
      <c r="M208" s="41" t="n"/>
      <c r="N208" s="42">
        <f>IF($M208="","",IFERROR(INDEX(LISTAS!$F$3:$F$42,MATCH($M208,LISTAS!$E$3:$E$42,0)),"Por definir"))</f>
        <v/>
      </c>
      <c r="O208" s="41" t="n"/>
      <c r="P208" s="39">
        <f>IF($L208="","",IFERROR(INDEX(LISTAS!$B$3:$B$42,MATCH($L208,LISTAS!$A$3:$A$42,0)),"Media"))</f>
        <v/>
      </c>
      <c r="Q208" s="44" t="n"/>
      <c r="R208" s="45" t="n"/>
      <c r="S208" s="20">
        <f>IFERROR(IF(OR($R208="",$C208=""),"",$R208/INDEX(DESPACHOS!$M$3:$M$3002,MATCH($C208,DESPACHOS!$B$3:$B$3002,0))),"")</f>
        <v/>
      </c>
      <c r="T208" s="41" t="n"/>
      <c r="U208" s="43">
        <f>IF(OR($B208="",$L208=""),"",WORKDAY($B208,IFERROR(INDEX(LISTAS!$C$3:$C$42,MATCH($L208,LISTAS!$A$3:$A$42,0)),3)))</f>
        <v/>
      </c>
      <c r="V208" s="40" t="n"/>
      <c r="W208" s="19">
        <f>IF($B208="","",IF($V208&lt;&gt;"",$V208-$B208,TODAY()-$B208))</f>
        <v/>
      </c>
      <c r="X208" s="19">
        <f>IF(OR($B208="",$U208=""),"",IF($V208&lt;&gt;"",MAX(0,$V208-$U208),MAX(0,TODAY()-$U208)))</f>
        <v/>
      </c>
      <c r="Y208" s="39">
        <f>IF($C208="","",IF(IFERROR(INDEX(LISTAS!$I$3:$I$42,MATCH($T208,LISTAS!$H$3:$H$42,0)),"NO")="SÍ",IF(N($X208)&gt;0,"CERRADA FUERA DE SLA","CERRADA EN SLA"),IF($U208="","SIN CLASIFICAR",IF(N($X208)&gt;0,"VENCIDA",IF(TODAY()&gt;=$U208-1,"POR VENCER","EN PLAZO")))))</f>
        <v/>
      </c>
      <c r="Z208" s="41" t="n"/>
      <c r="AA208" s="41" t="n"/>
      <c r="AB208" s="41" t="n"/>
    </row>
    <row r="209">
      <c r="A209" s="39">
        <f>IF($C209="","","NOV-"&amp;TEXT(ROW()-3,"0000"))</f>
        <v/>
      </c>
      <c r="B209" s="40" t="n"/>
      <c r="C209" s="41" t="n"/>
      <c r="D209" s="42">
        <f>IF($C209="","",IFERROR(INDEX(DESPACHOS!$D$3:$D$3002,MATCH($C209,DESPACHOS!$B$3:$B$3002,0)),"SIN DESPACHO"))</f>
        <v/>
      </c>
      <c r="E209" s="42">
        <f>IF($C209="","",IFERROR(INDEX(DESPACHOS!$K$3:$K$3002,MATCH($C209,DESPACHOS!$B$3:$B$3002,0)),""))</f>
        <v/>
      </c>
      <c r="F209" s="42">
        <f>IF($C209="","",IFERROR(INDEX(DESPACHOS!$I$3:$I$3002,MATCH($C209,DESPACHOS!$B$3:$B$3002,0)),""))</f>
        <v/>
      </c>
      <c r="G209" s="42">
        <f>IF($C209="","",IFERROR(INDEX(DESPACHOS!$F$3:$F$3002,MATCH($C209,DESPACHOS!$B$3:$B$3002,0)),""))</f>
        <v/>
      </c>
      <c r="H209" s="42">
        <f>IF($C209="","",IFERROR(INDEX(DESPACHOS!$G$3:$G$3002,MATCH($C209,DESPACHOS!$B$3:$B$3002,0)),""))</f>
        <v/>
      </c>
      <c r="I209" s="39">
        <f>IF($C209="","",IFERROR(INDEX(DESPACHOS!$H$3:$H$3002,MATCH($C209,DESPACHOS!$B$3:$B$3002,0)),""))</f>
        <v/>
      </c>
      <c r="J209" s="43">
        <f>IF($C209="","",IFERROR(INDEX(DESPACHOS!$J$3:$J$3002,MATCH($C209,DESPACHOS!$B$3:$B$3002,0)),""))</f>
        <v/>
      </c>
      <c r="K209" s="39">
        <f>IF($C209="","",IF(COUNTIFS(DESPACHOS!$B$3:$B$3002,$C209)=0,"NO EXISTE",IF(COUNTIFS(DESPACHOS!$B$3:$B$3002,$C209)&gt;1,"DUPLICADO","OK")))</f>
        <v/>
      </c>
      <c r="L209" s="41" t="n"/>
      <c r="M209" s="41" t="n"/>
      <c r="N209" s="42">
        <f>IF($M209="","",IFERROR(INDEX(LISTAS!$F$3:$F$42,MATCH($M209,LISTAS!$E$3:$E$42,0)),"Por definir"))</f>
        <v/>
      </c>
      <c r="O209" s="41" t="n"/>
      <c r="P209" s="39">
        <f>IF($L209="","",IFERROR(INDEX(LISTAS!$B$3:$B$42,MATCH($L209,LISTAS!$A$3:$A$42,0)),"Media"))</f>
        <v/>
      </c>
      <c r="Q209" s="44" t="n"/>
      <c r="R209" s="45" t="n"/>
      <c r="S209" s="20">
        <f>IFERROR(IF(OR($R209="",$C209=""),"",$R209/INDEX(DESPACHOS!$M$3:$M$3002,MATCH($C209,DESPACHOS!$B$3:$B$3002,0))),"")</f>
        <v/>
      </c>
      <c r="T209" s="41" t="n"/>
      <c r="U209" s="43">
        <f>IF(OR($B209="",$L209=""),"",WORKDAY($B209,IFERROR(INDEX(LISTAS!$C$3:$C$42,MATCH($L209,LISTAS!$A$3:$A$42,0)),3)))</f>
        <v/>
      </c>
      <c r="V209" s="40" t="n"/>
      <c r="W209" s="19">
        <f>IF($B209="","",IF($V209&lt;&gt;"",$V209-$B209,TODAY()-$B209))</f>
        <v/>
      </c>
      <c r="X209" s="19">
        <f>IF(OR($B209="",$U209=""),"",IF($V209&lt;&gt;"",MAX(0,$V209-$U209),MAX(0,TODAY()-$U209)))</f>
        <v/>
      </c>
      <c r="Y209" s="39">
        <f>IF($C209="","",IF(IFERROR(INDEX(LISTAS!$I$3:$I$42,MATCH($T209,LISTAS!$H$3:$H$42,0)),"NO")="SÍ",IF(N($X209)&gt;0,"CERRADA FUERA DE SLA","CERRADA EN SLA"),IF($U209="","SIN CLASIFICAR",IF(N($X209)&gt;0,"VENCIDA",IF(TODAY()&gt;=$U209-1,"POR VENCER","EN PLAZO")))))</f>
        <v/>
      </c>
      <c r="Z209" s="41" t="n"/>
      <c r="AA209" s="41" t="n"/>
      <c r="AB209" s="41" t="n"/>
    </row>
    <row r="210">
      <c r="A210" s="39">
        <f>IF($C210="","","NOV-"&amp;TEXT(ROW()-3,"0000"))</f>
        <v/>
      </c>
      <c r="B210" s="40" t="n"/>
      <c r="C210" s="41" t="n"/>
      <c r="D210" s="42">
        <f>IF($C210="","",IFERROR(INDEX(DESPACHOS!$D$3:$D$3002,MATCH($C210,DESPACHOS!$B$3:$B$3002,0)),"SIN DESPACHO"))</f>
        <v/>
      </c>
      <c r="E210" s="42">
        <f>IF($C210="","",IFERROR(INDEX(DESPACHOS!$K$3:$K$3002,MATCH($C210,DESPACHOS!$B$3:$B$3002,0)),""))</f>
        <v/>
      </c>
      <c r="F210" s="42">
        <f>IF($C210="","",IFERROR(INDEX(DESPACHOS!$I$3:$I$3002,MATCH($C210,DESPACHOS!$B$3:$B$3002,0)),""))</f>
        <v/>
      </c>
      <c r="G210" s="42">
        <f>IF($C210="","",IFERROR(INDEX(DESPACHOS!$F$3:$F$3002,MATCH($C210,DESPACHOS!$B$3:$B$3002,0)),""))</f>
        <v/>
      </c>
      <c r="H210" s="42">
        <f>IF($C210="","",IFERROR(INDEX(DESPACHOS!$G$3:$G$3002,MATCH($C210,DESPACHOS!$B$3:$B$3002,0)),""))</f>
        <v/>
      </c>
      <c r="I210" s="39">
        <f>IF($C210="","",IFERROR(INDEX(DESPACHOS!$H$3:$H$3002,MATCH($C210,DESPACHOS!$B$3:$B$3002,0)),""))</f>
        <v/>
      </c>
      <c r="J210" s="43">
        <f>IF($C210="","",IFERROR(INDEX(DESPACHOS!$J$3:$J$3002,MATCH($C210,DESPACHOS!$B$3:$B$3002,0)),""))</f>
        <v/>
      </c>
      <c r="K210" s="39">
        <f>IF($C210="","",IF(COUNTIFS(DESPACHOS!$B$3:$B$3002,$C210)=0,"NO EXISTE",IF(COUNTIFS(DESPACHOS!$B$3:$B$3002,$C210)&gt;1,"DUPLICADO","OK")))</f>
        <v/>
      </c>
      <c r="L210" s="41" t="n"/>
      <c r="M210" s="41" t="n"/>
      <c r="N210" s="42">
        <f>IF($M210="","",IFERROR(INDEX(LISTAS!$F$3:$F$42,MATCH($M210,LISTAS!$E$3:$E$42,0)),"Por definir"))</f>
        <v/>
      </c>
      <c r="O210" s="41" t="n"/>
      <c r="P210" s="39">
        <f>IF($L210="","",IFERROR(INDEX(LISTAS!$B$3:$B$42,MATCH($L210,LISTAS!$A$3:$A$42,0)),"Media"))</f>
        <v/>
      </c>
      <c r="Q210" s="44" t="n"/>
      <c r="R210" s="45" t="n"/>
      <c r="S210" s="20">
        <f>IFERROR(IF(OR($R210="",$C210=""),"",$R210/INDEX(DESPACHOS!$M$3:$M$3002,MATCH($C210,DESPACHOS!$B$3:$B$3002,0))),"")</f>
        <v/>
      </c>
      <c r="T210" s="41" t="n"/>
      <c r="U210" s="43">
        <f>IF(OR($B210="",$L210=""),"",WORKDAY($B210,IFERROR(INDEX(LISTAS!$C$3:$C$42,MATCH($L210,LISTAS!$A$3:$A$42,0)),3)))</f>
        <v/>
      </c>
      <c r="V210" s="40" t="n"/>
      <c r="W210" s="19">
        <f>IF($B210="","",IF($V210&lt;&gt;"",$V210-$B210,TODAY()-$B210))</f>
        <v/>
      </c>
      <c r="X210" s="19">
        <f>IF(OR($B210="",$U210=""),"",IF($V210&lt;&gt;"",MAX(0,$V210-$U210),MAX(0,TODAY()-$U210)))</f>
        <v/>
      </c>
      <c r="Y210" s="39">
        <f>IF($C210="","",IF(IFERROR(INDEX(LISTAS!$I$3:$I$42,MATCH($T210,LISTAS!$H$3:$H$42,0)),"NO")="SÍ",IF(N($X210)&gt;0,"CERRADA FUERA DE SLA","CERRADA EN SLA"),IF($U210="","SIN CLASIFICAR",IF(N($X210)&gt;0,"VENCIDA",IF(TODAY()&gt;=$U210-1,"POR VENCER","EN PLAZO")))))</f>
        <v/>
      </c>
      <c r="Z210" s="41" t="n"/>
      <c r="AA210" s="41" t="n"/>
      <c r="AB210" s="41" t="n"/>
    </row>
    <row r="211">
      <c r="A211" s="39">
        <f>IF($C211="","","NOV-"&amp;TEXT(ROW()-3,"0000"))</f>
        <v/>
      </c>
      <c r="B211" s="40" t="n"/>
      <c r="C211" s="41" t="n"/>
      <c r="D211" s="42">
        <f>IF($C211="","",IFERROR(INDEX(DESPACHOS!$D$3:$D$3002,MATCH($C211,DESPACHOS!$B$3:$B$3002,0)),"SIN DESPACHO"))</f>
        <v/>
      </c>
      <c r="E211" s="42">
        <f>IF($C211="","",IFERROR(INDEX(DESPACHOS!$K$3:$K$3002,MATCH($C211,DESPACHOS!$B$3:$B$3002,0)),""))</f>
        <v/>
      </c>
      <c r="F211" s="42">
        <f>IF($C211="","",IFERROR(INDEX(DESPACHOS!$I$3:$I$3002,MATCH($C211,DESPACHOS!$B$3:$B$3002,0)),""))</f>
        <v/>
      </c>
      <c r="G211" s="42">
        <f>IF($C211="","",IFERROR(INDEX(DESPACHOS!$F$3:$F$3002,MATCH($C211,DESPACHOS!$B$3:$B$3002,0)),""))</f>
        <v/>
      </c>
      <c r="H211" s="42">
        <f>IF($C211="","",IFERROR(INDEX(DESPACHOS!$G$3:$G$3002,MATCH($C211,DESPACHOS!$B$3:$B$3002,0)),""))</f>
        <v/>
      </c>
      <c r="I211" s="39">
        <f>IF($C211="","",IFERROR(INDEX(DESPACHOS!$H$3:$H$3002,MATCH($C211,DESPACHOS!$B$3:$B$3002,0)),""))</f>
        <v/>
      </c>
      <c r="J211" s="43">
        <f>IF($C211="","",IFERROR(INDEX(DESPACHOS!$J$3:$J$3002,MATCH($C211,DESPACHOS!$B$3:$B$3002,0)),""))</f>
        <v/>
      </c>
      <c r="K211" s="39">
        <f>IF($C211="","",IF(COUNTIFS(DESPACHOS!$B$3:$B$3002,$C211)=0,"NO EXISTE",IF(COUNTIFS(DESPACHOS!$B$3:$B$3002,$C211)&gt;1,"DUPLICADO","OK")))</f>
        <v/>
      </c>
      <c r="L211" s="41" t="n"/>
      <c r="M211" s="41" t="n"/>
      <c r="N211" s="42">
        <f>IF($M211="","",IFERROR(INDEX(LISTAS!$F$3:$F$42,MATCH($M211,LISTAS!$E$3:$E$42,0)),"Por definir"))</f>
        <v/>
      </c>
      <c r="O211" s="41" t="n"/>
      <c r="P211" s="39">
        <f>IF($L211="","",IFERROR(INDEX(LISTAS!$B$3:$B$42,MATCH($L211,LISTAS!$A$3:$A$42,0)),"Media"))</f>
        <v/>
      </c>
      <c r="Q211" s="44" t="n"/>
      <c r="R211" s="45" t="n"/>
      <c r="S211" s="20">
        <f>IFERROR(IF(OR($R211="",$C211=""),"",$R211/INDEX(DESPACHOS!$M$3:$M$3002,MATCH($C211,DESPACHOS!$B$3:$B$3002,0))),"")</f>
        <v/>
      </c>
      <c r="T211" s="41" t="n"/>
      <c r="U211" s="43">
        <f>IF(OR($B211="",$L211=""),"",WORKDAY($B211,IFERROR(INDEX(LISTAS!$C$3:$C$42,MATCH($L211,LISTAS!$A$3:$A$42,0)),3)))</f>
        <v/>
      </c>
      <c r="V211" s="40" t="n"/>
      <c r="W211" s="19">
        <f>IF($B211="","",IF($V211&lt;&gt;"",$V211-$B211,TODAY()-$B211))</f>
        <v/>
      </c>
      <c r="X211" s="19">
        <f>IF(OR($B211="",$U211=""),"",IF($V211&lt;&gt;"",MAX(0,$V211-$U211),MAX(0,TODAY()-$U211)))</f>
        <v/>
      </c>
      <c r="Y211" s="39">
        <f>IF($C211="","",IF(IFERROR(INDEX(LISTAS!$I$3:$I$42,MATCH($T211,LISTAS!$H$3:$H$42,0)),"NO")="SÍ",IF(N($X211)&gt;0,"CERRADA FUERA DE SLA","CERRADA EN SLA"),IF($U211="","SIN CLASIFICAR",IF(N($X211)&gt;0,"VENCIDA",IF(TODAY()&gt;=$U211-1,"POR VENCER","EN PLAZO")))))</f>
        <v/>
      </c>
      <c r="Z211" s="41" t="n"/>
      <c r="AA211" s="41" t="n"/>
      <c r="AB211" s="41" t="n"/>
    </row>
    <row r="212">
      <c r="A212" s="39">
        <f>IF($C212="","","NOV-"&amp;TEXT(ROW()-3,"0000"))</f>
        <v/>
      </c>
      <c r="B212" s="40" t="n"/>
      <c r="C212" s="41" t="n"/>
      <c r="D212" s="42">
        <f>IF($C212="","",IFERROR(INDEX(DESPACHOS!$D$3:$D$3002,MATCH($C212,DESPACHOS!$B$3:$B$3002,0)),"SIN DESPACHO"))</f>
        <v/>
      </c>
      <c r="E212" s="42">
        <f>IF($C212="","",IFERROR(INDEX(DESPACHOS!$K$3:$K$3002,MATCH($C212,DESPACHOS!$B$3:$B$3002,0)),""))</f>
        <v/>
      </c>
      <c r="F212" s="42">
        <f>IF($C212="","",IFERROR(INDEX(DESPACHOS!$I$3:$I$3002,MATCH($C212,DESPACHOS!$B$3:$B$3002,0)),""))</f>
        <v/>
      </c>
      <c r="G212" s="42">
        <f>IF($C212="","",IFERROR(INDEX(DESPACHOS!$F$3:$F$3002,MATCH($C212,DESPACHOS!$B$3:$B$3002,0)),""))</f>
        <v/>
      </c>
      <c r="H212" s="42">
        <f>IF($C212="","",IFERROR(INDEX(DESPACHOS!$G$3:$G$3002,MATCH($C212,DESPACHOS!$B$3:$B$3002,0)),""))</f>
        <v/>
      </c>
      <c r="I212" s="39">
        <f>IF($C212="","",IFERROR(INDEX(DESPACHOS!$H$3:$H$3002,MATCH($C212,DESPACHOS!$B$3:$B$3002,0)),""))</f>
        <v/>
      </c>
      <c r="J212" s="43">
        <f>IF($C212="","",IFERROR(INDEX(DESPACHOS!$J$3:$J$3002,MATCH($C212,DESPACHOS!$B$3:$B$3002,0)),""))</f>
        <v/>
      </c>
      <c r="K212" s="39">
        <f>IF($C212="","",IF(COUNTIFS(DESPACHOS!$B$3:$B$3002,$C212)=0,"NO EXISTE",IF(COUNTIFS(DESPACHOS!$B$3:$B$3002,$C212)&gt;1,"DUPLICADO","OK")))</f>
        <v/>
      </c>
      <c r="L212" s="41" t="n"/>
      <c r="M212" s="41" t="n"/>
      <c r="N212" s="42">
        <f>IF($M212="","",IFERROR(INDEX(LISTAS!$F$3:$F$42,MATCH($M212,LISTAS!$E$3:$E$42,0)),"Por definir"))</f>
        <v/>
      </c>
      <c r="O212" s="41" t="n"/>
      <c r="P212" s="39">
        <f>IF($L212="","",IFERROR(INDEX(LISTAS!$B$3:$B$42,MATCH($L212,LISTAS!$A$3:$A$42,0)),"Media"))</f>
        <v/>
      </c>
      <c r="Q212" s="44" t="n"/>
      <c r="R212" s="45" t="n"/>
      <c r="S212" s="20">
        <f>IFERROR(IF(OR($R212="",$C212=""),"",$R212/INDEX(DESPACHOS!$M$3:$M$3002,MATCH($C212,DESPACHOS!$B$3:$B$3002,0))),"")</f>
        <v/>
      </c>
      <c r="T212" s="41" t="n"/>
      <c r="U212" s="43">
        <f>IF(OR($B212="",$L212=""),"",WORKDAY($B212,IFERROR(INDEX(LISTAS!$C$3:$C$42,MATCH($L212,LISTAS!$A$3:$A$42,0)),3)))</f>
        <v/>
      </c>
      <c r="V212" s="40" t="n"/>
      <c r="W212" s="19">
        <f>IF($B212="","",IF($V212&lt;&gt;"",$V212-$B212,TODAY()-$B212))</f>
        <v/>
      </c>
      <c r="X212" s="19">
        <f>IF(OR($B212="",$U212=""),"",IF($V212&lt;&gt;"",MAX(0,$V212-$U212),MAX(0,TODAY()-$U212)))</f>
        <v/>
      </c>
      <c r="Y212" s="39">
        <f>IF($C212="","",IF(IFERROR(INDEX(LISTAS!$I$3:$I$42,MATCH($T212,LISTAS!$H$3:$H$42,0)),"NO")="SÍ",IF(N($X212)&gt;0,"CERRADA FUERA DE SLA","CERRADA EN SLA"),IF($U212="","SIN CLASIFICAR",IF(N($X212)&gt;0,"VENCIDA",IF(TODAY()&gt;=$U212-1,"POR VENCER","EN PLAZO")))))</f>
        <v/>
      </c>
      <c r="Z212" s="41" t="n"/>
      <c r="AA212" s="41" t="n"/>
      <c r="AB212" s="41" t="n"/>
    </row>
    <row r="213">
      <c r="A213" s="39">
        <f>IF($C213="","","NOV-"&amp;TEXT(ROW()-3,"0000"))</f>
        <v/>
      </c>
      <c r="B213" s="40" t="n"/>
      <c r="C213" s="41" t="n"/>
      <c r="D213" s="42">
        <f>IF($C213="","",IFERROR(INDEX(DESPACHOS!$D$3:$D$3002,MATCH($C213,DESPACHOS!$B$3:$B$3002,0)),"SIN DESPACHO"))</f>
        <v/>
      </c>
      <c r="E213" s="42">
        <f>IF($C213="","",IFERROR(INDEX(DESPACHOS!$K$3:$K$3002,MATCH($C213,DESPACHOS!$B$3:$B$3002,0)),""))</f>
        <v/>
      </c>
      <c r="F213" s="42">
        <f>IF($C213="","",IFERROR(INDEX(DESPACHOS!$I$3:$I$3002,MATCH($C213,DESPACHOS!$B$3:$B$3002,0)),""))</f>
        <v/>
      </c>
      <c r="G213" s="42">
        <f>IF($C213="","",IFERROR(INDEX(DESPACHOS!$F$3:$F$3002,MATCH($C213,DESPACHOS!$B$3:$B$3002,0)),""))</f>
        <v/>
      </c>
      <c r="H213" s="42">
        <f>IF($C213="","",IFERROR(INDEX(DESPACHOS!$G$3:$G$3002,MATCH($C213,DESPACHOS!$B$3:$B$3002,0)),""))</f>
        <v/>
      </c>
      <c r="I213" s="39">
        <f>IF($C213="","",IFERROR(INDEX(DESPACHOS!$H$3:$H$3002,MATCH($C213,DESPACHOS!$B$3:$B$3002,0)),""))</f>
        <v/>
      </c>
      <c r="J213" s="43">
        <f>IF($C213="","",IFERROR(INDEX(DESPACHOS!$J$3:$J$3002,MATCH($C213,DESPACHOS!$B$3:$B$3002,0)),""))</f>
        <v/>
      </c>
      <c r="K213" s="39">
        <f>IF($C213="","",IF(COUNTIFS(DESPACHOS!$B$3:$B$3002,$C213)=0,"NO EXISTE",IF(COUNTIFS(DESPACHOS!$B$3:$B$3002,$C213)&gt;1,"DUPLICADO","OK")))</f>
        <v/>
      </c>
      <c r="L213" s="41" t="n"/>
      <c r="M213" s="41" t="n"/>
      <c r="N213" s="42">
        <f>IF($M213="","",IFERROR(INDEX(LISTAS!$F$3:$F$42,MATCH($M213,LISTAS!$E$3:$E$42,0)),"Por definir"))</f>
        <v/>
      </c>
      <c r="O213" s="41" t="n"/>
      <c r="P213" s="39">
        <f>IF($L213="","",IFERROR(INDEX(LISTAS!$B$3:$B$42,MATCH($L213,LISTAS!$A$3:$A$42,0)),"Media"))</f>
        <v/>
      </c>
      <c r="Q213" s="44" t="n"/>
      <c r="R213" s="45" t="n"/>
      <c r="S213" s="20">
        <f>IFERROR(IF(OR($R213="",$C213=""),"",$R213/INDEX(DESPACHOS!$M$3:$M$3002,MATCH($C213,DESPACHOS!$B$3:$B$3002,0))),"")</f>
        <v/>
      </c>
      <c r="T213" s="41" t="n"/>
      <c r="U213" s="43">
        <f>IF(OR($B213="",$L213=""),"",WORKDAY($B213,IFERROR(INDEX(LISTAS!$C$3:$C$42,MATCH($L213,LISTAS!$A$3:$A$42,0)),3)))</f>
        <v/>
      </c>
      <c r="V213" s="40" t="n"/>
      <c r="W213" s="19">
        <f>IF($B213="","",IF($V213&lt;&gt;"",$V213-$B213,TODAY()-$B213))</f>
        <v/>
      </c>
      <c r="X213" s="19">
        <f>IF(OR($B213="",$U213=""),"",IF($V213&lt;&gt;"",MAX(0,$V213-$U213),MAX(0,TODAY()-$U213)))</f>
        <v/>
      </c>
      <c r="Y213" s="39">
        <f>IF($C213="","",IF(IFERROR(INDEX(LISTAS!$I$3:$I$42,MATCH($T213,LISTAS!$H$3:$H$42,0)),"NO")="SÍ",IF(N($X213)&gt;0,"CERRADA FUERA DE SLA","CERRADA EN SLA"),IF($U213="","SIN CLASIFICAR",IF(N($X213)&gt;0,"VENCIDA",IF(TODAY()&gt;=$U213-1,"POR VENCER","EN PLAZO")))))</f>
        <v/>
      </c>
      <c r="Z213" s="41" t="n"/>
      <c r="AA213" s="41" t="n"/>
      <c r="AB213" s="41" t="n"/>
    </row>
    <row r="214">
      <c r="A214" s="39">
        <f>IF($C214="","","NOV-"&amp;TEXT(ROW()-3,"0000"))</f>
        <v/>
      </c>
      <c r="B214" s="40" t="n"/>
      <c r="C214" s="41" t="n"/>
      <c r="D214" s="42">
        <f>IF($C214="","",IFERROR(INDEX(DESPACHOS!$D$3:$D$3002,MATCH($C214,DESPACHOS!$B$3:$B$3002,0)),"SIN DESPACHO"))</f>
        <v/>
      </c>
      <c r="E214" s="42">
        <f>IF($C214="","",IFERROR(INDEX(DESPACHOS!$K$3:$K$3002,MATCH($C214,DESPACHOS!$B$3:$B$3002,0)),""))</f>
        <v/>
      </c>
      <c r="F214" s="42">
        <f>IF($C214="","",IFERROR(INDEX(DESPACHOS!$I$3:$I$3002,MATCH($C214,DESPACHOS!$B$3:$B$3002,0)),""))</f>
        <v/>
      </c>
      <c r="G214" s="42">
        <f>IF($C214="","",IFERROR(INDEX(DESPACHOS!$F$3:$F$3002,MATCH($C214,DESPACHOS!$B$3:$B$3002,0)),""))</f>
        <v/>
      </c>
      <c r="H214" s="42">
        <f>IF($C214="","",IFERROR(INDEX(DESPACHOS!$G$3:$G$3002,MATCH($C214,DESPACHOS!$B$3:$B$3002,0)),""))</f>
        <v/>
      </c>
      <c r="I214" s="39">
        <f>IF($C214="","",IFERROR(INDEX(DESPACHOS!$H$3:$H$3002,MATCH($C214,DESPACHOS!$B$3:$B$3002,0)),""))</f>
        <v/>
      </c>
      <c r="J214" s="43">
        <f>IF($C214="","",IFERROR(INDEX(DESPACHOS!$J$3:$J$3002,MATCH($C214,DESPACHOS!$B$3:$B$3002,0)),""))</f>
        <v/>
      </c>
      <c r="K214" s="39">
        <f>IF($C214="","",IF(COUNTIFS(DESPACHOS!$B$3:$B$3002,$C214)=0,"NO EXISTE",IF(COUNTIFS(DESPACHOS!$B$3:$B$3002,$C214)&gt;1,"DUPLICADO","OK")))</f>
        <v/>
      </c>
      <c r="L214" s="41" t="n"/>
      <c r="M214" s="41" t="n"/>
      <c r="N214" s="42">
        <f>IF($M214="","",IFERROR(INDEX(LISTAS!$F$3:$F$42,MATCH($M214,LISTAS!$E$3:$E$42,0)),"Por definir"))</f>
        <v/>
      </c>
      <c r="O214" s="41" t="n"/>
      <c r="P214" s="39">
        <f>IF($L214="","",IFERROR(INDEX(LISTAS!$B$3:$B$42,MATCH($L214,LISTAS!$A$3:$A$42,0)),"Media"))</f>
        <v/>
      </c>
      <c r="Q214" s="44" t="n"/>
      <c r="R214" s="45" t="n"/>
      <c r="S214" s="20">
        <f>IFERROR(IF(OR($R214="",$C214=""),"",$R214/INDEX(DESPACHOS!$M$3:$M$3002,MATCH($C214,DESPACHOS!$B$3:$B$3002,0))),"")</f>
        <v/>
      </c>
      <c r="T214" s="41" t="n"/>
      <c r="U214" s="43">
        <f>IF(OR($B214="",$L214=""),"",WORKDAY($B214,IFERROR(INDEX(LISTAS!$C$3:$C$42,MATCH($L214,LISTAS!$A$3:$A$42,0)),3)))</f>
        <v/>
      </c>
      <c r="V214" s="40" t="n"/>
      <c r="W214" s="19">
        <f>IF($B214="","",IF($V214&lt;&gt;"",$V214-$B214,TODAY()-$B214))</f>
        <v/>
      </c>
      <c r="X214" s="19">
        <f>IF(OR($B214="",$U214=""),"",IF($V214&lt;&gt;"",MAX(0,$V214-$U214),MAX(0,TODAY()-$U214)))</f>
        <v/>
      </c>
      <c r="Y214" s="39">
        <f>IF($C214="","",IF(IFERROR(INDEX(LISTAS!$I$3:$I$42,MATCH($T214,LISTAS!$H$3:$H$42,0)),"NO")="SÍ",IF(N($X214)&gt;0,"CERRADA FUERA DE SLA","CERRADA EN SLA"),IF($U214="","SIN CLASIFICAR",IF(N($X214)&gt;0,"VENCIDA",IF(TODAY()&gt;=$U214-1,"POR VENCER","EN PLAZO")))))</f>
        <v/>
      </c>
      <c r="Z214" s="41" t="n"/>
      <c r="AA214" s="41" t="n"/>
      <c r="AB214" s="41" t="n"/>
    </row>
    <row r="215">
      <c r="A215" s="39">
        <f>IF($C215="","","NOV-"&amp;TEXT(ROW()-3,"0000"))</f>
        <v/>
      </c>
      <c r="B215" s="40" t="n"/>
      <c r="C215" s="41" t="n"/>
      <c r="D215" s="42">
        <f>IF($C215="","",IFERROR(INDEX(DESPACHOS!$D$3:$D$3002,MATCH($C215,DESPACHOS!$B$3:$B$3002,0)),"SIN DESPACHO"))</f>
        <v/>
      </c>
      <c r="E215" s="42">
        <f>IF($C215="","",IFERROR(INDEX(DESPACHOS!$K$3:$K$3002,MATCH($C215,DESPACHOS!$B$3:$B$3002,0)),""))</f>
        <v/>
      </c>
      <c r="F215" s="42">
        <f>IF($C215="","",IFERROR(INDEX(DESPACHOS!$I$3:$I$3002,MATCH($C215,DESPACHOS!$B$3:$B$3002,0)),""))</f>
        <v/>
      </c>
      <c r="G215" s="42">
        <f>IF($C215="","",IFERROR(INDEX(DESPACHOS!$F$3:$F$3002,MATCH($C215,DESPACHOS!$B$3:$B$3002,0)),""))</f>
        <v/>
      </c>
      <c r="H215" s="42">
        <f>IF($C215="","",IFERROR(INDEX(DESPACHOS!$G$3:$G$3002,MATCH($C215,DESPACHOS!$B$3:$B$3002,0)),""))</f>
        <v/>
      </c>
      <c r="I215" s="39">
        <f>IF($C215="","",IFERROR(INDEX(DESPACHOS!$H$3:$H$3002,MATCH($C215,DESPACHOS!$B$3:$B$3002,0)),""))</f>
        <v/>
      </c>
      <c r="J215" s="43">
        <f>IF($C215="","",IFERROR(INDEX(DESPACHOS!$J$3:$J$3002,MATCH($C215,DESPACHOS!$B$3:$B$3002,0)),""))</f>
        <v/>
      </c>
      <c r="K215" s="39">
        <f>IF($C215="","",IF(COUNTIFS(DESPACHOS!$B$3:$B$3002,$C215)=0,"NO EXISTE",IF(COUNTIFS(DESPACHOS!$B$3:$B$3002,$C215)&gt;1,"DUPLICADO","OK")))</f>
        <v/>
      </c>
      <c r="L215" s="41" t="n"/>
      <c r="M215" s="41" t="n"/>
      <c r="N215" s="42">
        <f>IF($M215="","",IFERROR(INDEX(LISTAS!$F$3:$F$42,MATCH($M215,LISTAS!$E$3:$E$42,0)),"Por definir"))</f>
        <v/>
      </c>
      <c r="O215" s="41" t="n"/>
      <c r="P215" s="39">
        <f>IF($L215="","",IFERROR(INDEX(LISTAS!$B$3:$B$42,MATCH($L215,LISTAS!$A$3:$A$42,0)),"Media"))</f>
        <v/>
      </c>
      <c r="Q215" s="44" t="n"/>
      <c r="R215" s="45" t="n"/>
      <c r="S215" s="20">
        <f>IFERROR(IF(OR($R215="",$C215=""),"",$R215/INDEX(DESPACHOS!$M$3:$M$3002,MATCH($C215,DESPACHOS!$B$3:$B$3002,0))),"")</f>
        <v/>
      </c>
      <c r="T215" s="41" t="n"/>
      <c r="U215" s="43">
        <f>IF(OR($B215="",$L215=""),"",WORKDAY($B215,IFERROR(INDEX(LISTAS!$C$3:$C$42,MATCH($L215,LISTAS!$A$3:$A$42,0)),3)))</f>
        <v/>
      </c>
      <c r="V215" s="40" t="n"/>
      <c r="W215" s="19">
        <f>IF($B215="","",IF($V215&lt;&gt;"",$V215-$B215,TODAY()-$B215))</f>
        <v/>
      </c>
      <c r="X215" s="19">
        <f>IF(OR($B215="",$U215=""),"",IF($V215&lt;&gt;"",MAX(0,$V215-$U215),MAX(0,TODAY()-$U215)))</f>
        <v/>
      </c>
      <c r="Y215" s="39">
        <f>IF($C215="","",IF(IFERROR(INDEX(LISTAS!$I$3:$I$42,MATCH($T215,LISTAS!$H$3:$H$42,0)),"NO")="SÍ",IF(N($X215)&gt;0,"CERRADA FUERA DE SLA","CERRADA EN SLA"),IF($U215="","SIN CLASIFICAR",IF(N($X215)&gt;0,"VENCIDA",IF(TODAY()&gt;=$U215-1,"POR VENCER","EN PLAZO")))))</f>
        <v/>
      </c>
      <c r="Z215" s="41" t="n"/>
      <c r="AA215" s="41" t="n"/>
      <c r="AB215" s="41" t="n"/>
    </row>
    <row r="216">
      <c r="A216" s="39">
        <f>IF($C216="","","NOV-"&amp;TEXT(ROW()-3,"0000"))</f>
        <v/>
      </c>
      <c r="B216" s="40" t="n"/>
      <c r="C216" s="41" t="n"/>
      <c r="D216" s="42">
        <f>IF($C216="","",IFERROR(INDEX(DESPACHOS!$D$3:$D$3002,MATCH($C216,DESPACHOS!$B$3:$B$3002,0)),"SIN DESPACHO"))</f>
        <v/>
      </c>
      <c r="E216" s="42">
        <f>IF($C216="","",IFERROR(INDEX(DESPACHOS!$K$3:$K$3002,MATCH($C216,DESPACHOS!$B$3:$B$3002,0)),""))</f>
        <v/>
      </c>
      <c r="F216" s="42">
        <f>IF($C216="","",IFERROR(INDEX(DESPACHOS!$I$3:$I$3002,MATCH($C216,DESPACHOS!$B$3:$B$3002,0)),""))</f>
        <v/>
      </c>
      <c r="G216" s="42">
        <f>IF($C216="","",IFERROR(INDEX(DESPACHOS!$F$3:$F$3002,MATCH($C216,DESPACHOS!$B$3:$B$3002,0)),""))</f>
        <v/>
      </c>
      <c r="H216" s="42">
        <f>IF($C216="","",IFERROR(INDEX(DESPACHOS!$G$3:$G$3002,MATCH($C216,DESPACHOS!$B$3:$B$3002,0)),""))</f>
        <v/>
      </c>
      <c r="I216" s="39">
        <f>IF($C216="","",IFERROR(INDEX(DESPACHOS!$H$3:$H$3002,MATCH($C216,DESPACHOS!$B$3:$B$3002,0)),""))</f>
        <v/>
      </c>
      <c r="J216" s="43">
        <f>IF($C216="","",IFERROR(INDEX(DESPACHOS!$J$3:$J$3002,MATCH($C216,DESPACHOS!$B$3:$B$3002,0)),""))</f>
        <v/>
      </c>
      <c r="K216" s="39">
        <f>IF($C216="","",IF(COUNTIFS(DESPACHOS!$B$3:$B$3002,$C216)=0,"NO EXISTE",IF(COUNTIFS(DESPACHOS!$B$3:$B$3002,$C216)&gt;1,"DUPLICADO","OK")))</f>
        <v/>
      </c>
      <c r="L216" s="41" t="n"/>
      <c r="M216" s="41" t="n"/>
      <c r="N216" s="42">
        <f>IF($M216="","",IFERROR(INDEX(LISTAS!$F$3:$F$42,MATCH($M216,LISTAS!$E$3:$E$42,0)),"Por definir"))</f>
        <v/>
      </c>
      <c r="O216" s="41" t="n"/>
      <c r="P216" s="39">
        <f>IF($L216="","",IFERROR(INDEX(LISTAS!$B$3:$B$42,MATCH($L216,LISTAS!$A$3:$A$42,0)),"Media"))</f>
        <v/>
      </c>
      <c r="Q216" s="44" t="n"/>
      <c r="R216" s="45" t="n"/>
      <c r="S216" s="20">
        <f>IFERROR(IF(OR($R216="",$C216=""),"",$R216/INDEX(DESPACHOS!$M$3:$M$3002,MATCH($C216,DESPACHOS!$B$3:$B$3002,0))),"")</f>
        <v/>
      </c>
      <c r="T216" s="41" t="n"/>
      <c r="U216" s="43">
        <f>IF(OR($B216="",$L216=""),"",WORKDAY($B216,IFERROR(INDEX(LISTAS!$C$3:$C$42,MATCH($L216,LISTAS!$A$3:$A$42,0)),3)))</f>
        <v/>
      </c>
      <c r="V216" s="40" t="n"/>
      <c r="W216" s="19">
        <f>IF($B216="","",IF($V216&lt;&gt;"",$V216-$B216,TODAY()-$B216))</f>
        <v/>
      </c>
      <c r="X216" s="19">
        <f>IF(OR($B216="",$U216=""),"",IF($V216&lt;&gt;"",MAX(0,$V216-$U216),MAX(0,TODAY()-$U216)))</f>
        <v/>
      </c>
      <c r="Y216" s="39">
        <f>IF($C216="","",IF(IFERROR(INDEX(LISTAS!$I$3:$I$42,MATCH($T216,LISTAS!$H$3:$H$42,0)),"NO")="SÍ",IF(N($X216)&gt;0,"CERRADA FUERA DE SLA","CERRADA EN SLA"),IF($U216="","SIN CLASIFICAR",IF(N($X216)&gt;0,"VENCIDA",IF(TODAY()&gt;=$U216-1,"POR VENCER","EN PLAZO")))))</f>
        <v/>
      </c>
      <c r="Z216" s="41" t="n"/>
      <c r="AA216" s="41" t="n"/>
      <c r="AB216" s="41" t="n"/>
    </row>
    <row r="217">
      <c r="A217" s="39">
        <f>IF($C217="","","NOV-"&amp;TEXT(ROW()-3,"0000"))</f>
        <v/>
      </c>
      <c r="B217" s="40" t="n"/>
      <c r="C217" s="41" t="n"/>
      <c r="D217" s="42">
        <f>IF($C217="","",IFERROR(INDEX(DESPACHOS!$D$3:$D$3002,MATCH($C217,DESPACHOS!$B$3:$B$3002,0)),"SIN DESPACHO"))</f>
        <v/>
      </c>
      <c r="E217" s="42">
        <f>IF($C217="","",IFERROR(INDEX(DESPACHOS!$K$3:$K$3002,MATCH($C217,DESPACHOS!$B$3:$B$3002,0)),""))</f>
        <v/>
      </c>
      <c r="F217" s="42">
        <f>IF($C217="","",IFERROR(INDEX(DESPACHOS!$I$3:$I$3002,MATCH($C217,DESPACHOS!$B$3:$B$3002,0)),""))</f>
        <v/>
      </c>
      <c r="G217" s="42">
        <f>IF($C217="","",IFERROR(INDEX(DESPACHOS!$F$3:$F$3002,MATCH($C217,DESPACHOS!$B$3:$B$3002,0)),""))</f>
        <v/>
      </c>
      <c r="H217" s="42">
        <f>IF($C217="","",IFERROR(INDEX(DESPACHOS!$G$3:$G$3002,MATCH($C217,DESPACHOS!$B$3:$B$3002,0)),""))</f>
        <v/>
      </c>
      <c r="I217" s="39">
        <f>IF($C217="","",IFERROR(INDEX(DESPACHOS!$H$3:$H$3002,MATCH($C217,DESPACHOS!$B$3:$B$3002,0)),""))</f>
        <v/>
      </c>
      <c r="J217" s="43">
        <f>IF($C217="","",IFERROR(INDEX(DESPACHOS!$J$3:$J$3002,MATCH($C217,DESPACHOS!$B$3:$B$3002,0)),""))</f>
        <v/>
      </c>
      <c r="K217" s="39">
        <f>IF($C217="","",IF(COUNTIFS(DESPACHOS!$B$3:$B$3002,$C217)=0,"NO EXISTE",IF(COUNTIFS(DESPACHOS!$B$3:$B$3002,$C217)&gt;1,"DUPLICADO","OK")))</f>
        <v/>
      </c>
      <c r="L217" s="41" t="n"/>
      <c r="M217" s="41" t="n"/>
      <c r="N217" s="42">
        <f>IF($M217="","",IFERROR(INDEX(LISTAS!$F$3:$F$42,MATCH($M217,LISTAS!$E$3:$E$42,0)),"Por definir"))</f>
        <v/>
      </c>
      <c r="O217" s="41" t="n"/>
      <c r="P217" s="39">
        <f>IF($L217="","",IFERROR(INDEX(LISTAS!$B$3:$B$42,MATCH($L217,LISTAS!$A$3:$A$42,0)),"Media"))</f>
        <v/>
      </c>
      <c r="Q217" s="44" t="n"/>
      <c r="R217" s="45" t="n"/>
      <c r="S217" s="20">
        <f>IFERROR(IF(OR($R217="",$C217=""),"",$R217/INDEX(DESPACHOS!$M$3:$M$3002,MATCH($C217,DESPACHOS!$B$3:$B$3002,0))),"")</f>
        <v/>
      </c>
      <c r="T217" s="41" t="n"/>
      <c r="U217" s="43">
        <f>IF(OR($B217="",$L217=""),"",WORKDAY($B217,IFERROR(INDEX(LISTAS!$C$3:$C$42,MATCH($L217,LISTAS!$A$3:$A$42,0)),3)))</f>
        <v/>
      </c>
      <c r="V217" s="40" t="n"/>
      <c r="W217" s="19">
        <f>IF($B217="","",IF($V217&lt;&gt;"",$V217-$B217,TODAY()-$B217))</f>
        <v/>
      </c>
      <c r="X217" s="19">
        <f>IF(OR($B217="",$U217=""),"",IF($V217&lt;&gt;"",MAX(0,$V217-$U217),MAX(0,TODAY()-$U217)))</f>
        <v/>
      </c>
      <c r="Y217" s="39">
        <f>IF($C217="","",IF(IFERROR(INDEX(LISTAS!$I$3:$I$42,MATCH($T217,LISTAS!$H$3:$H$42,0)),"NO")="SÍ",IF(N($X217)&gt;0,"CERRADA FUERA DE SLA","CERRADA EN SLA"),IF($U217="","SIN CLASIFICAR",IF(N($X217)&gt;0,"VENCIDA",IF(TODAY()&gt;=$U217-1,"POR VENCER","EN PLAZO")))))</f>
        <v/>
      </c>
      <c r="Z217" s="41" t="n"/>
      <c r="AA217" s="41" t="n"/>
      <c r="AB217" s="41" t="n"/>
    </row>
    <row r="218">
      <c r="A218" s="39">
        <f>IF($C218="","","NOV-"&amp;TEXT(ROW()-3,"0000"))</f>
        <v/>
      </c>
      <c r="B218" s="40" t="n"/>
      <c r="C218" s="41" t="n"/>
      <c r="D218" s="42">
        <f>IF($C218="","",IFERROR(INDEX(DESPACHOS!$D$3:$D$3002,MATCH($C218,DESPACHOS!$B$3:$B$3002,0)),"SIN DESPACHO"))</f>
        <v/>
      </c>
      <c r="E218" s="42">
        <f>IF($C218="","",IFERROR(INDEX(DESPACHOS!$K$3:$K$3002,MATCH($C218,DESPACHOS!$B$3:$B$3002,0)),""))</f>
        <v/>
      </c>
      <c r="F218" s="42">
        <f>IF($C218="","",IFERROR(INDEX(DESPACHOS!$I$3:$I$3002,MATCH($C218,DESPACHOS!$B$3:$B$3002,0)),""))</f>
        <v/>
      </c>
      <c r="G218" s="42">
        <f>IF($C218="","",IFERROR(INDEX(DESPACHOS!$F$3:$F$3002,MATCH($C218,DESPACHOS!$B$3:$B$3002,0)),""))</f>
        <v/>
      </c>
      <c r="H218" s="42">
        <f>IF($C218="","",IFERROR(INDEX(DESPACHOS!$G$3:$G$3002,MATCH($C218,DESPACHOS!$B$3:$B$3002,0)),""))</f>
        <v/>
      </c>
      <c r="I218" s="39">
        <f>IF($C218="","",IFERROR(INDEX(DESPACHOS!$H$3:$H$3002,MATCH($C218,DESPACHOS!$B$3:$B$3002,0)),""))</f>
        <v/>
      </c>
      <c r="J218" s="43">
        <f>IF($C218="","",IFERROR(INDEX(DESPACHOS!$J$3:$J$3002,MATCH($C218,DESPACHOS!$B$3:$B$3002,0)),""))</f>
        <v/>
      </c>
      <c r="K218" s="39">
        <f>IF($C218="","",IF(COUNTIFS(DESPACHOS!$B$3:$B$3002,$C218)=0,"NO EXISTE",IF(COUNTIFS(DESPACHOS!$B$3:$B$3002,$C218)&gt;1,"DUPLICADO","OK")))</f>
        <v/>
      </c>
      <c r="L218" s="41" t="n"/>
      <c r="M218" s="41" t="n"/>
      <c r="N218" s="42">
        <f>IF($M218="","",IFERROR(INDEX(LISTAS!$F$3:$F$42,MATCH($M218,LISTAS!$E$3:$E$42,0)),"Por definir"))</f>
        <v/>
      </c>
      <c r="O218" s="41" t="n"/>
      <c r="P218" s="39">
        <f>IF($L218="","",IFERROR(INDEX(LISTAS!$B$3:$B$42,MATCH($L218,LISTAS!$A$3:$A$42,0)),"Media"))</f>
        <v/>
      </c>
      <c r="Q218" s="44" t="n"/>
      <c r="R218" s="45" t="n"/>
      <c r="S218" s="20">
        <f>IFERROR(IF(OR($R218="",$C218=""),"",$R218/INDEX(DESPACHOS!$M$3:$M$3002,MATCH($C218,DESPACHOS!$B$3:$B$3002,0))),"")</f>
        <v/>
      </c>
      <c r="T218" s="41" t="n"/>
      <c r="U218" s="43">
        <f>IF(OR($B218="",$L218=""),"",WORKDAY($B218,IFERROR(INDEX(LISTAS!$C$3:$C$42,MATCH($L218,LISTAS!$A$3:$A$42,0)),3)))</f>
        <v/>
      </c>
      <c r="V218" s="40" t="n"/>
      <c r="W218" s="19">
        <f>IF($B218="","",IF($V218&lt;&gt;"",$V218-$B218,TODAY()-$B218))</f>
        <v/>
      </c>
      <c r="X218" s="19">
        <f>IF(OR($B218="",$U218=""),"",IF($V218&lt;&gt;"",MAX(0,$V218-$U218),MAX(0,TODAY()-$U218)))</f>
        <v/>
      </c>
      <c r="Y218" s="39">
        <f>IF($C218="","",IF(IFERROR(INDEX(LISTAS!$I$3:$I$42,MATCH($T218,LISTAS!$H$3:$H$42,0)),"NO")="SÍ",IF(N($X218)&gt;0,"CERRADA FUERA DE SLA","CERRADA EN SLA"),IF($U218="","SIN CLASIFICAR",IF(N($X218)&gt;0,"VENCIDA",IF(TODAY()&gt;=$U218-1,"POR VENCER","EN PLAZO")))))</f>
        <v/>
      </c>
      <c r="Z218" s="41" t="n"/>
      <c r="AA218" s="41" t="n"/>
      <c r="AB218" s="41" t="n"/>
    </row>
    <row r="219">
      <c r="A219" s="39">
        <f>IF($C219="","","NOV-"&amp;TEXT(ROW()-3,"0000"))</f>
        <v/>
      </c>
      <c r="B219" s="40" t="n"/>
      <c r="C219" s="41" t="n"/>
      <c r="D219" s="42">
        <f>IF($C219="","",IFERROR(INDEX(DESPACHOS!$D$3:$D$3002,MATCH($C219,DESPACHOS!$B$3:$B$3002,0)),"SIN DESPACHO"))</f>
        <v/>
      </c>
      <c r="E219" s="42">
        <f>IF($C219="","",IFERROR(INDEX(DESPACHOS!$K$3:$K$3002,MATCH($C219,DESPACHOS!$B$3:$B$3002,0)),""))</f>
        <v/>
      </c>
      <c r="F219" s="42">
        <f>IF($C219="","",IFERROR(INDEX(DESPACHOS!$I$3:$I$3002,MATCH($C219,DESPACHOS!$B$3:$B$3002,0)),""))</f>
        <v/>
      </c>
      <c r="G219" s="42">
        <f>IF($C219="","",IFERROR(INDEX(DESPACHOS!$F$3:$F$3002,MATCH($C219,DESPACHOS!$B$3:$B$3002,0)),""))</f>
        <v/>
      </c>
      <c r="H219" s="42">
        <f>IF($C219="","",IFERROR(INDEX(DESPACHOS!$G$3:$G$3002,MATCH($C219,DESPACHOS!$B$3:$B$3002,0)),""))</f>
        <v/>
      </c>
      <c r="I219" s="39">
        <f>IF($C219="","",IFERROR(INDEX(DESPACHOS!$H$3:$H$3002,MATCH($C219,DESPACHOS!$B$3:$B$3002,0)),""))</f>
        <v/>
      </c>
      <c r="J219" s="43">
        <f>IF($C219="","",IFERROR(INDEX(DESPACHOS!$J$3:$J$3002,MATCH($C219,DESPACHOS!$B$3:$B$3002,0)),""))</f>
        <v/>
      </c>
      <c r="K219" s="39">
        <f>IF($C219="","",IF(COUNTIFS(DESPACHOS!$B$3:$B$3002,$C219)=0,"NO EXISTE",IF(COUNTIFS(DESPACHOS!$B$3:$B$3002,$C219)&gt;1,"DUPLICADO","OK")))</f>
        <v/>
      </c>
      <c r="L219" s="41" t="n"/>
      <c r="M219" s="41" t="n"/>
      <c r="N219" s="42">
        <f>IF($M219="","",IFERROR(INDEX(LISTAS!$F$3:$F$42,MATCH($M219,LISTAS!$E$3:$E$42,0)),"Por definir"))</f>
        <v/>
      </c>
      <c r="O219" s="41" t="n"/>
      <c r="P219" s="39">
        <f>IF($L219="","",IFERROR(INDEX(LISTAS!$B$3:$B$42,MATCH($L219,LISTAS!$A$3:$A$42,0)),"Media"))</f>
        <v/>
      </c>
      <c r="Q219" s="44" t="n"/>
      <c r="R219" s="45" t="n"/>
      <c r="S219" s="20">
        <f>IFERROR(IF(OR($R219="",$C219=""),"",$R219/INDEX(DESPACHOS!$M$3:$M$3002,MATCH($C219,DESPACHOS!$B$3:$B$3002,0))),"")</f>
        <v/>
      </c>
      <c r="T219" s="41" t="n"/>
      <c r="U219" s="43">
        <f>IF(OR($B219="",$L219=""),"",WORKDAY($B219,IFERROR(INDEX(LISTAS!$C$3:$C$42,MATCH($L219,LISTAS!$A$3:$A$42,0)),3)))</f>
        <v/>
      </c>
      <c r="V219" s="40" t="n"/>
      <c r="W219" s="19">
        <f>IF($B219="","",IF($V219&lt;&gt;"",$V219-$B219,TODAY()-$B219))</f>
        <v/>
      </c>
      <c r="X219" s="19">
        <f>IF(OR($B219="",$U219=""),"",IF($V219&lt;&gt;"",MAX(0,$V219-$U219),MAX(0,TODAY()-$U219)))</f>
        <v/>
      </c>
      <c r="Y219" s="39">
        <f>IF($C219="","",IF(IFERROR(INDEX(LISTAS!$I$3:$I$42,MATCH($T219,LISTAS!$H$3:$H$42,0)),"NO")="SÍ",IF(N($X219)&gt;0,"CERRADA FUERA DE SLA","CERRADA EN SLA"),IF($U219="","SIN CLASIFICAR",IF(N($X219)&gt;0,"VENCIDA",IF(TODAY()&gt;=$U219-1,"POR VENCER","EN PLAZO")))))</f>
        <v/>
      </c>
      <c r="Z219" s="41" t="n"/>
      <c r="AA219" s="41" t="n"/>
      <c r="AB219" s="41" t="n"/>
    </row>
    <row r="220">
      <c r="A220" s="39">
        <f>IF($C220="","","NOV-"&amp;TEXT(ROW()-3,"0000"))</f>
        <v/>
      </c>
      <c r="B220" s="40" t="n"/>
      <c r="C220" s="41" t="n"/>
      <c r="D220" s="42">
        <f>IF($C220="","",IFERROR(INDEX(DESPACHOS!$D$3:$D$3002,MATCH($C220,DESPACHOS!$B$3:$B$3002,0)),"SIN DESPACHO"))</f>
        <v/>
      </c>
      <c r="E220" s="42">
        <f>IF($C220="","",IFERROR(INDEX(DESPACHOS!$K$3:$K$3002,MATCH($C220,DESPACHOS!$B$3:$B$3002,0)),""))</f>
        <v/>
      </c>
      <c r="F220" s="42">
        <f>IF($C220="","",IFERROR(INDEX(DESPACHOS!$I$3:$I$3002,MATCH($C220,DESPACHOS!$B$3:$B$3002,0)),""))</f>
        <v/>
      </c>
      <c r="G220" s="42">
        <f>IF($C220="","",IFERROR(INDEX(DESPACHOS!$F$3:$F$3002,MATCH($C220,DESPACHOS!$B$3:$B$3002,0)),""))</f>
        <v/>
      </c>
      <c r="H220" s="42">
        <f>IF($C220="","",IFERROR(INDEX(DESPACHOS!$G$3:$G$3002,MATCH($C220,DESPACHOS!$B$3:$B$3002,0)),""))</f>
        <v/>
      </c>
      <c r="I220" s="39">
        <f>IF($C220="","",IFERROR(INDEX(DESPACHOS!$H$3:$H$3002,MATCH($C220,DESPACHOS!$B$3:$B$3002,0)),""))</f>
        <v/>
      </c>
      <c r="J220" s="43">
        <f>IF($C220="","",IFERROR(INDEX(DESPACHOS!$J$3:$J$3002,MATCH($C220,DESPACHOS!$B$3:$B$3002,0)),""))</f>
        <v/>
      </c>
      <c r="K220" s="39">
        <f>IF($C220="","",IF(COUNTIFS(DESPACHOS!$B$3:$B$3002,$C220)=0,"NO EXISTE",IF(COUNTIFS(DESPACHOS!$B$3:$B$3002,$C220)&gt;1,"DUPLICADO","OK")))</f>
        <v/>
      </c>
      <c r="L220" s="41" t="n"/>
      <c r="M220" s="41" t="n"/>
      <c r="N220" s="42">
        <f>IF($M220="","",IFERROR(INDEX(LISTAS!$F$3:$F$42,MATCH($M220,LISTAS!$E$3:$E$42,0)),"Por definir"))</f>
        <v/>
      </c>
      <c r="O220" s="41" t="n"/>
      <c r="P220" s="39">
        <f>IF($L220="","",IFERROR(INDEX(LISTAS!$B$3:$B$42,MATCH($L220,LISTAS!$A$3:$A$42,0)),"Media"))</f>
        <v/>
      </c>
      <c r="Q220" s="44" t="n"/>
      <c r="R220" s="45" t="n"/>
      <c r="S220" s="20">
        <f>IFERROR(IF(OR($R220="",$C220=""),"",$R220/INDEX(DESPACHOS!$M$3:$M$3002,MATCH($C220,DESPACHOS!$B$3:$B$3002,0))),"")</f>
        <v/>
      </c>
      <c r="T220" s="41" t="n"/>
      <c r="U220" s="43">
        <f>IF(OR($B220="",$L220=""),"",WORKDAY($B220,IFERROR(INDEX(LISTAS!$C$3:$C$42,MATCH($L220,LISTAS!$A$3:$A$42,0)),3)))</f>
        <v/>
      </c>
      <c r="V220" s="40" t="n"/>
      <c r="W220" s="19">
        <f>IF($B220="","",IF($V220&lt;&gt;"",$V220-$B220,TODAY()-$B220))</f>
        <v/>
      </c>
      <c r="X220" s="19">
        <f>IF(OR($B220="",$U220=""),"",IF($V220&lt;&gt;"",MAX(0,$V220-$U220),MAX(0,TODAY()-$U220)))</f>
        <v/>
      </c>
      <c r="Y220" s="39">
        <f>IF($C220="","",IF(IFERROR(INDEX(LISTAS!$I$3:$I$42,MATCH($T220,LISTAS!$H$3:$H$42,0)),"NO")="SÍ",IF(N($X220)&gt;0,"CERRADA FUERA DE SLA","CERRADA EN SLA"),IF($U220="","SIN CLASIFICAR",IF(N($X220)&gt;0,"VENCIDA",IF(TODAY()&gt;=$U220-1,"POR VENCER","EN PLAZO")))))</f>
        <v/>
      </c>
      <c r="Z220" s="41" t="n"/>
      <c r="AA220" s="41" t="n"/>
      <c r="AB220" s="41" t="n"/>
    </row>
    <row r="221">
      <c r="A221" s="39">
        <f>IF($C221="","","NOV-"&amp;TEXT(ROW()-3,"0000"))</f>
        <v/>
      </c>
      <c r="B221" s="40" t="n"/>
      <c r="C221" s="41" t="n"/>
      <c r="D221" s="42">
        <f>IF($C221="","",IFERROR(INDEX(DESPACHOS!$D$3:$D$3002,MATCH($C221,DESPACHOS!$B$3:$B$3002,0)),"SIN DESPACHO"))</f>
        <v/>
      </c>
      <c r="E221" s="42">
        <f>IF($C221="","",IFERROR(INDEX(DESPACHOS!$K$3:$K$3002,MATCH($C221,DESPACHOS!$B$3:$B$3002,0)),""))</f>
        <v/>
      </c>
      <c r="F221" s="42">
        <f>IF($C221="","",IFERROR(INDEX(DESPACHOS!$I$3:$I$3002,MATCH($C221,DESPACHOS!$B$3:$B$3002,0)),""))</f>
        <v/>
      </c>
      <c r="G221" s="42">
        <f>IF($C221="","",IFERROR(INDEX(DESPACHOS!$F$3:$F$3002,MATCH($C221,DESPACHOS!$B$3:$B$3002,0)),""))</f>
        <v/>
      </c>
      <c r="H221" s="42">
        <f>IF($C221="","",IFERROR(INDEX(DESPACHOS!$G$3:$G$3002,MATCH($C221,DESPACHOS!$B$3:$B$3002,0)),""))</f>
        <v/>
      </c>
      <c r="I221" s="39">
        <f>IF($C221="","",IFERROR(INDEX(DESPACHOS!$H$3:$H$3002,MATCH($C221,DESPACHOS!$B$3:$B$3002,0)),""))</f>
        <v/>
      </c>
      <c r="J221" s="43">
        <f>IF($C221="","",IFERROR(INDEX(DESPACHOS!$J$3:$J$3002,MATCH($C221,DESPACHOS!$B$3:$B$3002,0)),""))</f>
        <v/>
      </c>
      <c r="K221" s="39">
        <f>IF($C221="","",IF(COUNTIFS(DESPACHOS!$B$3:$B$3002,$C221)=0,"NO EXISTE",IF(COUNTIFS(DESPACHOS!$B$3:$B$3002,$C221)&gt;1,"DUPLICADO","OK")))</f>
        <v/>
      </c>
      <c r="L221" s="41" t="n"/>
      <c r="M221" s="41" t="n"/>
      <c r="N221" s="42">
        <f>IF($M221="","",IFERROR(INDEX(LISTAS!$F$3:$F$42,MATCH($M221,LISTAS!$E$3:$E$42,0)),"Por definir"))</f>
        <v/>
      </c>
      <c r="O221" s="41" t="n"/>
      <c r="P221" s="39">
        <f>IF($L221="","",IFERROR(INDEX(LISTAS!$B$3:$B$42,MATCH($L221,LISTAS!$A$3:$A$42,0)),"Media"))</f>
        <v/>
      </c>
      <c r="Q221" s="44" t="n"/>
      <c r="R221" s="45" t="n"/>
      <c r="S221" s="20">
        <f>IFERROR(IF(OR($R221="",$C221=""),"",$R221/INDEX(DESPACHOS!$M$3:$M$3002,MATCH($C221,DESPACHOS!$B$3:$B$3002,0))),"")</f>
        <v/>
      </c>
      <c r="T221" s="41" t="n"/>
      <c r="U221" s="43">
        <f>IF(OR($B221="",$L221=""),"",WORKDAY($B221,IFERROR(INDEX(LISTAS!$C$3:$C$42,MATCH($L221,LISTAS!$A$3:$A$42,0)),3)))</f>
        <v/>
      </c>
      <c r="V221" s="40" t="n"/>
      <c r="W221" s="19">
        <f>IF($B221="","",IF($V221&lt;&gt;"",$V221-$B221,TODAY()-$B221))</f>
        <v/>
      </c>
      <c r="X221" s="19">
        <f>IF(OR($B221="",$U221=""),"",IF($V221&lt;&gt;"",MAX(0,$V221-$U221),MAX(0,TODAY()-$U221)))</f>
        <v/>
      </c>
      <c r="Y221" s="39">
        <f>IF($C221="","",IF(IFERROR(INDEX(LISTAS!$I$3:$I$42,MATCH($T221,LISTAS!$H$3:$H$42,0)),"NO")="SÍ",IF(N($X221)&gt;0,"CERRADA FUERA DE SLA","CERRADA EN SLA"),IF($U221="","SIN CLASIFICAR",IF(N($X221)&gt;0,"VENCIDA",IF(TODAY()&gt;=$U221-1,"POR VENCER","EN PLAZO")))))</f>
        <v/>
      </c>
      <c r="Z221" s="41" t="n"/>
      <c r="AA221" s="41" t="n"/>
      <c r="AB221" s="41" t="n"/>
    </row>
    <row r="222">
      <c r="A222" s="39">
        <f>IF($C222="","","NOV-"&amp;TEXT(ROW()-3,"0000"))</f>
        <v/>
      </c>
      <c r="B222" s="40" t="n"/>
      <c r="C222" s="41" t="n"/>
      <c r="D222" s="42">
        <f>IF($C222="","",IFERROR(INDEX(DESPACHOS!$D$3:$D$3002,MATCH($C222,DESPACHOS!$B$3:$B$3002,0)),"SIN DESPACHO"))</f>
        <v/>
      </c>
      <c r="E222" s="42">
        <f>IF($C222="","",IFERROR(INDEX(DESPACHOS!$K$3:$K$3002,MATCH($C222,DESPACHOS!$B$3:$B$3002,0)),""))</f>
        <v/>
      </c>
      <c r="F222" s="42">
        <f>IF($C222="","",IFERROR(INDEX(DESPACHOS!$I$3:$I$3002,MATCH($C222,DESPACHOS!$B$3:$B$3002,0)),""))</f>
        <v/>
      </c>
      <c r="G222" s="42">
        <f>IF($C222="","",IFERROR(INDEX(DESPACHOS!$F$3:$F$3002,MATCH($C222,DESPACHOS!$B$3:$B$3002,0)),""))</f>
        <v/>
      </c>
      <c r="H222" s="42">
        <f>IF($C222="","",IFERROR(INDEX(DESPACHOS!$G$3:$G$3002,MATCH($C222,DESPACHOS!$B$3:$B$3002,0)),""))</f>
        <v/>
      </c>
      <c r="I222" s="39">
        <f>IF($C222="","",IFERROR(INDEX(DESPACHOS!$H$3:$H$3002,MATCH($C222,DESPACHOS!$B$3:$B$3002,0)),""))</f>
        <v/>
      </c>
      <c r="J222" s="43">
        <f>IF($C222="","",IFERROR(INDEX(DESPACHOS!$J$3:$J$3002,MATCH($C222,DESPACHOS!$B$3:$B$3002,0)),""))</f>
        <v/>
      </c>
      <c r="K222" s="39">
        <f>IF($C222="","",IF(COUNTIFS(DESPACHOS!$B$3:$B$3002,$C222)=0,"NO EXISTE",IF(COUNTIFS(DESPACHOS!$B$3:$B$3002,$C222)&gt;1,"DUPLICADO","OK")))</f>
        <v/>
      </c>
      <c r="L222" s="41" t="n"/>
      <c r="M222" s="41" t="n"/>
      <c r="N222" s="42">
        <f>IF($M222="","",IFERROR(INDEX(LISTAS!$F$3:$F$42,MATCH($M222,LISTAS!$E$3:$E$42,0)),"Por definir"))</f>
        <v/>
      </c>
      <c r="O222" s="41" t="n"/>
      <c r="P222" s="39">
        <f>IF($L222="","",IFERROR(INDEX(LISTAS!$B$3:$B$42,MATCH($L222,LISTAS!$A$3:$A$42,0)),"Media"))</f>
        <v/>
      </c>
      <c r="Q222" s="44" t="n"/>
      <c r="R222" s="45" t="n"/>
      <c r="S222" s="20">
        <f>IFERROR(IF(OR($R222="",$C222=""),"",$R222/INDEX(DESPACHOS!$M$3:$M$3002,MATCH($C222,DESPACHOS!$B$3:$B$3002,0))),"")</f>
        <v/>
      </c>
      <c r="T222" s="41" t="n"/>
      <c r="U222" s="43">
        <f>IF(OR($B222="",$L222=""),"",WORKDAY($B222,IFERROR(INDEX(LISTAS!$C$3:$C$42,MATCH($L222,LISTAS!$A$3:$A$42,0)),3)))</f>
        <v/>
      </c>
      <c r="V222" s="40" t="n"/>
      <c r="W222" s="19">
        <f>IF($B222="","",IF($V222&lt;&gt;"",$V222-$B222,TODAY()-$B222))</f>
        <v/>
      </c>
      <c r="X222" s="19">
        <f>IF(OR($B222="",$U222=""),"",IF($V222&lt;&gt;"",MAX(0,$V222-$U222),MAX(0,TODAY()-$U222)))</f>
        <v/>
      </c>
      <c r="Y222" s="39">
        <f>IF($C222="","",IF(IFERROR(INDEX(LISTAS!$I$3:$I$42,MATCH($T222,LISTAS!$H$3:$H$42,0)),"NO")="SÍ",IF(N($X222)&gt;0,"CERRADA FUERA DE SLA","CERRADA EN SLA"),IF($U222="","SIN CLASIFICAR",IF(N($X222)&gt;0,"VENCIDA",IF(TODAY()&gt;=$U222-1,"POR VENCER","EN PLAZO")))))</f>
        <v/>
      </c>
      <c r="Z222" s="41" t="n"/>
      <c r="AA222" s="41" t="n"/>
      <c r="AB222" s="41" t="n"/>
    </row>
    <row r="223">
      <c r="A223" s="39">
        <f>IF($C223="","","NOV-"&amp;TEXT(ROW()-3,"0000"))</f>
        <v/>
      </c>
      <c r="B223" s="40" t="n"/>
      <c r="C223" s="41" t="n"/>
      <c r="D223" s="42">
        <f>IF($C223="","",IFERROR(INDEX(DESPACHOS!$D$3:$D$3002,MATCH($C223,DESPACHOS!$B$3:$B$3002,0)),"SIN DESPACHO"))</f>
        <v/>
      </c>
      <c r="E223" s="42">
        <f>IF($C223="","",IFERROR(INDEX(DESPACHOS!$K$3:$K$3002,MATCH($C223,DESPACHOS!$B$3:$B$3002,0)),""))</f>
        <v/>
      </c>
      <c r="F223" s="42">
        <f>IF($C223="","",IFERROR(INDEX(DESPACHOS!$I$3:$I$3002,MATCH($C223,DESPACHOS!$B$3:$B$3002,0)),""))</f>
        <v/>
      </c>
      <c r="G223" s="42">
        <f>IF($C223="","",IFERROR(INDEX(DESPACHOS!$F$3:$F$3002,MATCH($C223,DESPACHOS!$B$3:$B$3002,0)),""))</f>
        <v/>
      </c>
      <c r="H223" s="42">
        <f>IF($C223="","",IFERROR(INDEX(DESPACHOS!$G$3:$G$3002,MATCH($C223,DESPACHOS!$B$3:$B$3002,0)),""))</f>
        <v/>
      </c>
      <c r="I223" s="39">
        <f>IF($C223="","",IFERROR(INDEX(DESPACHOS!$H$3:$H$3002,MATCH($C223,DESPACHOS!$B$3:$B$3002,0)),""))</f>
        <v/>
      </c>
      <c r="J223" s="43">
        <f>IF($C223="","",IFERROR(INDEX(DESPACHOS!$J$3:$J$3002,MATCH($C223,DESPACHOS!$B$3:$B$3002,0)),""))</f>
        <v/>
      </c>
      <c r="K223" s="39">
        <f>IF($C223="","",IF(COUNTIFS(DESPACHOS!$B$3:$B$3002,$C223)=0,"NO EXISTE",IF(COUNTIFS(DESPACHOS!$B$3:$B$3002,$C223)&gt;1,"DUPLICADO","OK")))</f>
        <v/>
      </c>
      <c r="L223" s="41" t="n"/>
      <c r="M223" s="41" t="n"/>
      <c r="N223" s="42">
        <f>IF($M223="","",IFERROR(INDEX(LISTAS!$F$3:$F$42,MATCH($M223,LISTAS!$E$3:$E$42,0)),"Por definir"))</f>
        <v/>
      </c>
      <c r="O223" s="41" t="n"/>
      <c r="P223" s="39">
        <f>IF($L223="","",IFERROR(INDEX(LISTAS!$B$3:$B$42,MATCH($L223,LISTAS!$A$3:$A$42,0)),"Media"))</f>
        <v/>
      </c>
      <c r="Q223" s="44" t="n"/>
      <c r="R223" s="45" t="n"/>
      <c r="S223" s="20">
        <f>IFERROR(IF(OR($R223="",$C223=""),"",$R223/INDEX(DESPACHOS!$M$3:$M$3002,MATCH($C223,DESPACHOS!$B$3:$B$3002,0))),"")</f>
        <v/>
      </c>
      <c r="T223" s="41" t="n"/>
      <c r="U223" s="43">
        <f>IF(OR($B223="",$L223=""),"",WORKDAY($B223,IFERROR(INDEX(LISTAS!$C$3:$C$42,MATCH($L223,LISTAS!$A$3:$A$42,0)),3)))</f>
        <v/>
      </c>
      <c r="V223" s="40" t="n"/>
      <c r="W223" s="19">
        <f>IF($B223="","",IF($V223&lt;&gt;"",$V223-$B223,TODAY()-$B223))</f>
        <v/>
      </c>
      <c r="X223" s="19">
        <f>IF(OR($B223="",$U223=""),"",IF($V223&lt;&gt;"",MAX(0,$V223-$U223),MAX(0,TODAY()-$U223)))</f>
        <v/>
      </c>
      <c r="Y223" s="39">
        <f>IF($C223="","",IF(IFERROR(INDEX(LISTAS!$I$3:$I$42,MATCH($T223,LISTAS!$H$3:$H$42,0)),"NO")="SÍ",IF(N($X223)&gt;0,"CERRADA FUERA DE SLA","CERRADA EN SLA"),IF($U223="","SIN CLASIFICAR",IF(N($X223)&gt;0,"VENCIDA",IF(TODAY()&gt;=$U223-1,"POR VENCER","EN PLAZO")))))</f>
        <v/>
      </c>
      <c r="Z223" s="41" t="n"/>
      <c r="AA223" s="41" t="n"/>
      <c r="AB223" s="41" t="n"/>
    </row>
    <row r="224">
      <c r="A224" s="39">
        <f>IF($C224="","","NOV-"&amp;TEXT(ROW()-3,"0000"))</f>
        <v/>
      </c>
      <c r="B224" s="40" t="n"/>
      <c r="C224" s="41" t="n"/>
      <c r="D224" s="42">
        <f>IF($C224="","",IFERROR(INDEX(DESPACHOS!$D$3:$D$3002,MATCH($C224,DESPACHOS!$B$3:$B$3002,0)),"SIN DESPACHO"))</f>
        <v/>
      </c>
      <c r="E224" s="42">
        <f>IF($C224="","",IFERROR(INDEX(DESPACHOS!$K$3:$K$3002,MATCH($C224,DESPACHOS!$B$3:$B$3002,0)),""))</f>
        <v/>
      </c>
      <c r="F224" s="42">
        <f>IF($C224="","",IFERROR(INDEX(DESPACHOS!$I$3:$I$3002,MATCH($C224,DESPACHOS!$B$3:$B$3002,0)),""))</f>
        <v/>
      </c>
      <c r="G224" s="42">
        <f>IF($C224="","",IFERROR(INDEX(DESPACHOS!$F$3:$F$3002,MATCH($C224,DESPACHOS!$B$3:$B$3002,0)),""))</f>
        <v/>
      </c>
      <c r="H224" s="42">
        <f>IF($C224="","",IFERROR(INDEX(DESPACHOS!$G$3:$G$3002,MATCH($C224,DESPACHOS!$B$3:$B$3002,0)),""))</f>
        <v/>
      </c>
      <c r="I224" s="39">
        <f>IF($C224="","",IFERROR(INDEX(DESPACHOS!$H$3:$H$3002,MATCH($C224,DESPACHOS!$B$3:$B$3002,0)),""))</f>
        <v/>
      </c>
      <c r="J224" s="43">
        <f>IF($C224="","",IFERROR(INDEX(DESPACHOS!$J$3:$J$3002,MATCH($C224,DESPACHOS!$B$3:$B$3002,0)),""))</f>
        <v/>
      </c>
      <c r="K224" s="39">
        <f>IF($C224="","",IF(COUNTIFS(DESPACHOS!$B$3:$B$3002,$C224)=0,"NO EXISTE",IF(COUNTIFS(DESPACHOS!$B$3:$B$3002,$C224)&gt;1,"DUPLICADO","OK")))</f>
        <v/>
      </c>
      <c r="L224" s="41" t="n"/>
      <c r="M224" s="41" t="n"/>
      <c r="N224" s="42">
        <f>IF($M224="","",IFERROR(INDEX(LISTAS!$F$3:$F$42,MATCH($M224,LISTAS!$E$3:$E$42,0)),"Por definir"))</f>
        <v/>
      </c>
      <c r="O224" s="41" t="n"/>
      <c r="P224" s="39">
        <f>IF($L224="","",IFERROR(INDEX(LISTAS!$B$3:$B$42,MATCH($L224,LISTAS!$A$3:$A$42,0)),"Media"))</f>
        <v/>
      </c>
      <c r="Q224" s="44" t="n"/>
      <c r="R224" s="45" t="n"/>
      <c r="S224" s="20">
        <f>IFERROR(IF(OR($R224="",$C224=""),"",$R224/INDEX(DESPACHOS!$M$3:$M$3002,MATCH($C224,DESPACHOS!$B$3:$B$3002,0))),"")</f>
        <v/>
      </c>
      <c r="T224" s="41" t="n"/>
      <c r="U224" s="43">
        <f>IF(OR($B224="",$L224=""),"",WORKDAY($B224,IFERROR(INDEX(LISTAS!$C$3:$C$42,MATCH($L224,LISTAS!$A$3:$A$42,0)),3)))</f>
        <v/>
      </c>
      <c r="V224" s="40" t="n"/>
      <c r="W224" s="19">
        <f>IF($B224="","",IF($V224&lt;&gt;"",$V224-$B224,TODAY()-$B224))</f>
        <v/>
      </c>
      <c r="X224" s="19">
        <f>IF(OR($B224="",$U224=""),"",IF($V224&lt;&gt;"",MAX(0,$V224-$U224),MAX(0,TODAY()-$U224)))</f>
        <v/>
      </c>
      <c r="Y224" s="39">
        <f>IF($C224="","",IF(IFERROR(INDEX(LISTAS!$I$3:$I$42,MATCH($T224,LISTAS!$H$3:$H$42,0)),"NO")="SÍ",IF(N($X224)&gt;0,"CERRADA FUERA DE SLA","CERRADA EN SLA"),IF($U224="","SIN CLASIFICAR",IF(N($X224)&gt;0,"VENCIDA",IF(TODAY()&gt;=$U224-1,"POR VENCER","EN PLAZO")))))</f>
        <v/>
      </c>
      <c r="Z224" s="41" t="n"/>
      <c r="AA224" s="41" t="n"/>
      <c r="AB224" s="41" t="n"/>
    </row>
    <row r="225">
      <c r="A225" s="39">
        <f>IF($C225="","","NOV-"&amp;TEXT(ROW()-3,"0000"))</f>
        <v/>
      </c>
      <c r="B225" s="40" t="n"/>
      <c r="C225" s="41" t="n"/>
      <c r="D225" s="42">
        <f>IF($C225="","",IFERROR(INDEX(DESPACHOS!$D$3:$D$3002,MATCH($C225,DESPACHOS!$B$3:$B$3002,0)),"SIN DESPACHO"))</f>
        <v/>
      </c>
      <c r="E225" s="42">
        <f>IF($C225="","",IFERROR(INDEX(DESPACHOS!$K$3:$K$3002,MATCH($C225,DESPACHOS!$B$3:$B$3002,0)),""))</f>
        <v/>
      </c>
      <c r="F225" s="42">
        <f>IF($C225="","",IFERROR(INDEX(DESPACHOS!$I$3:$I$3002,MATCH($C225,DESPACHOS!$B$3:$B$3002,0)),""))</f>
        <v/>
      </c>
      <c r="G225" s="42">
        <f>IF($C225="","",IFERROR(INDEX(DESPACHOS!$F$3:$F$3002,MATCH($C225,DESPACHOS!$B$3:$B$3002,0)),""))</f>
        <v/>
      </c>
      <c r="H225" s="42">
        <f>IF($C225="","",IFERROR(INDEX(DESPACHOS!$G$3:$G$3002,MATCH($C225,DESPACHOS!$B$3:$B$3002,0)),""))</f>
        <v/>
      </c>
      <c r="I225" s="39">
        <f>IF($C225="","",IFERROR(INDEX(DESPACHOS!$H$3:$H$3002,MATCH($C225,DESPACHOS!$B$3:$B$3002,0)),""))</f>
        <v/>
      </c>
      <c r="J225" s="43">
        <f>IF($C225="","",IFERROR(INDEX(DESPACHOS!$J$3:$J$3002,MATCH($C225,DESPACHOS!$B$3:$B$3002,0)),""))</f>
        <v/>
      </c>
      <c r="K225" s="39">
        <f>IF($C225="","",IF(COUNTIFS(DESPACHOS!$B$3:$B$3002,$C225)=0,"NO EXISTE",IF(COUNTIFS(DESPACHOS!$B$3:$B$3002,$C225)&gt;1,"DUPLICADO","OK")))</f>
        <v/>
      </c>
      <c r="L225" s="41" t="n"/>
      <c r="M225" s="41" t="n"/>
      <c r="N225" s="42">
        <f>IF($M225="","",IFERROR(INDEX(LISTAS!$F$3:$F$42,MATCH($M225,LISTAS!$E$3:$E$42,0)),"Por definir"))</f>
        <v/>
      </c>
      <c r="O225" s="41" t="n"/>
      <c r="P225" s="39">
        <f>IF($L225="","",IFERROR(INDEX(LISTAS!$B$3:$B$42,MATCH($L225,LISTAS!$A$3:$A$42,0)),"Media"))</f>
        <v/>
      </c>
      <c r="Q225" s="44" t="n"/>
      <c r="R225" s="45" t="n"/>
      <c r="S225" s="20">
        <f>IFERROR(IF(OR($R225="",$C225=""),"",$R225/INDEX(DESPACHOS!$M$3:$M$3002,MATCH($C225,DESPACHOS!$B$3:$B$3002,0))),"")</f>
        <v/>
      </c>
      <c r="T225" s="41" t="n"/>
      <c r="U225" s="43">
        <f>IF(OR($B225="",$L225=""),"",WORKDAY($B225,IFERROR(INDEX(LISTAS!$C$3:$C$42,MATCH($L225,LISTAS!$A$3:$A$42,0)),3)))</f>
        <v/>
      </c>
      <c r="V225" s="40" t="n"/>
      <c r="W225" s="19">
        <f>IF($B225="","",IF($V225&lt;&gt;"",$V225-$B225,TODAY()-$B225))</f>
        <v/>
      </c>
      <c r="X225" s="19">
        <f>IF(OR($B225="",$U225=""),"",IF($V225&lt;&gt;"",MAX(0,$V225-$U225),MAX(0,TODAY()-$U225)))</f>
        <v/>
      </c>
      <c r="Y225" s="39">
        <f>IF($C225="","",IF(IFERROR(INDEX(LISTAS!$I$3:$I$42,MATCH($T225,LISTAS!$H$3:$H$42,0)),"NO")="SÍ",IF(N($X225)&gt;0,"CERRADA FUERA DE SLA","CERRADA EN SLA"),IF($U225="","SIN CLASIFICAR",IF(N($X225)&gt;0,"VENCIDA",IF(TODAY()&gt;=$U225-1,"POR VENCER","EN PLAZO")))))</f>
        <v/>
      </c>
      <c r="Z225" s="41" t="n"/>
      <c r="AA225" s="41" t="n"/>
      <c r="AB225" s="41" t="n"/>
    </row>
    <row r="226">
      <c r="A226" s="39">
        <f>IF($C226="","","NOV-"&amp;TEXT(ROW()-3,"0000"))</f>
        <v/>
      </c>
      <c r="B226" s="40" t="n"/>
      <c r="C226" s="41" t="n"/>
      <c r="D226" s="42">
        <f>IF($C226="","",IFERROR(INDEX(DESPACHOS!$D$3:$D$3002,MATCH($C226,DESPACHOS!$B$3:$B$3002,0)),"SIN DESPACHO"))</f>
        <v/>
      </c>
      <c r="E226" s="42">
        <f>IF($C226="","",IFERROR(INDEX(DESPACHOS!$K$3:$K$3002,MATCH($C226,DESPACHOS!$B$3:$B$3002,0)),""))</f>
        <v/>
      </c>
      <c r="F226" s="42">
        <f>IF($C226="","",IFERROR(INDEX(DESPACHOS!$I$3:$I$3002,MATCH($C226,DESPACHOS!$B$3:$B$3002,0)),""))</f>
        <v/>
      </c>
      <c r="G226" s="42">
        <f>IF($C226="","",IFERROR(INDEX(DESPACHOS!$F$3:$F$3002,MATCH($C226,DESPACHOS!$B$3:$B$3002,0)),""))</f>
        <v/>
      </c>
      <c r="H226" s="42">
        <f>IF($C226="","",IFERROR(INDEX(DESPACHOS!$G$3:$G$3002,MATCH($C226,DESPACHOS!$B$3:$B$3002,0)),""))</f>
        <v/>
      </c>
      <c r="I226" s="39">
        <f>IF($C226="","",IFERROR(INDEX(DESPACHOS!$H$3:$H$3002,MATCH($C226,DESPACHOS!$B$3:$B$3002,0)),""))</f>
        <v/>
      </c>
      <c r="J226" s="43">
        <f>IF($C226="","",IFERROR(INDEX(DESPACHOS!$J$3:$J$3002,MATCH($C226,DESPACHOS!$B$3:$B$3002,0)),""))</f>
        <v/>
      </c>
      <c r="K226" s="39">
        <f>IF($C226="","",IF(COUNTIFS(DESPACHOS!$B$3:$B$3002,$C226)=0,"NO EXISTE",IF(COUNTIFS(DESPACHOS!$B$3:$B$3002,$C226)&gt;1,"DUPLICADO","OK")))</f>
        <v/>
      </c>
      <c r="L226" s="41" t="n"/>
      <c r="M226" s="41" t="n"/>
      <c r="N226" s="42">
        <f>IF($M226="","",IFERROR(INDEX(LISTAS!$F$3:$F$42,MATCH($M226,LISTAS!$E$3:$E$42,0)),"Por definir"))</f>
        <v/>
      </c>
      <c r="O226" s="41" t="n"/>
      <c r="P226" s="39">
        <f>IF($L226="","",IFERROR(INDEX(LISTAS!$B$3:$B$42,MATCH($L226,LISTAS!$A$3:$A$42,0)),"Media"))</f>
        <v/>
      </c>
      <c r="Q226" s="44" t="n"/>
      <c r="R226" s="45" t="n"/>
      <c r="S226" s="20">
        <f>IFERROR(IF(OR($R226="",$C226=""),"",$R226/INDEX(DESPACHOS!$M$3:$M$3002,MATCH($C226,DESPACHOS!$B$3:$B$3002,0))),"")</f>
        <v/>
      </c>
      <c r="T226" s="41" t="n"/>
      <c r="U226" s="43">
        <f>IF(OR($B226="",$L226=""),"",WORKDAY($B226,IFERROR(INDEX(LISTAS!$C$3:$C$42,MATCH($L226,LISTAS!$A$3:$A$42,0)),3)))</f>
        <v/>
      </c>
      <c r="V226" s="40" t="n"/>
      <c r="W226" s="19">
        <f>IF($B226="","",IF($V226&lt;&gt;"",$V226-$B226,TODAY()-$B226))</f>
        <v/>
      </c>
      <c r="X226" s="19">
        <f>IF(OR($B226="",$U226=""),"",IF($V226&lt;&gt;"",MAX(0,$V226-$U226),MAX(0,TODAY()-$U226)))</f>
        <v/>
      </c>
      <c r="Y226" s="39">
        <f>IF($C226="","",IF(IFERROR(INDEX(LISTAS!$I$3:$I$42,MATCH($T226,LISTAS!$H$3:$H$42,0)),"NO")="SÍ",IF(N($X226)&gt;0,"CERRADA FUERA DE SLA","CERRADA EN SLA"),IF($U226="","SIN CLASIFICAR",IF(N($X226)&gt;0,"VENCIDA",IF(TODAY()&gt;=$U226-1,"POR VENCER","EN PLAZO")))))</f>
        <v/>
      </c>
      <c r="Z226" s="41" t="n"/>
      <c r="AA226" s="41" t="n"/>
      <c r="AB226" s="41" t="n"/>
    </row>
    <row r="227">
      <c r="A227" s="39">
        <f>IF($C227="","","NOV-"&amp;TEXT(ROW()-3,"0000"))</f>
        <v/>
      </c>
      <c r="B227" s="40" t="n"/>
      <c r="C227" s="41" t="n"/>
      <c r="D227" s="42">
        <f>IF($C227="","",IFERROR(INDEX(DESPACHOS!$D$3:$D$3002,MATCH($C227,DESPACHOS!$B$3:$B$3002,0)),"SIN DESPACHO"))</f>
        <v/>
      </c>
      <c r="E227" s="42">
        <f>IF($C227="","",IFERROR(INDEX(DESPACHOS!$K$3:$K$3002,MATCH($C227,DESPACHOS!$B$3:$B$3002,0)),""))</f>
        <v/>
      </c>
      <c r="F227" s="42">
        <f>IF($C227="","",IFERROR(INDEX(DESPACHOS!$I$3:$I$3002,MATCH($C227,DESPACHOS!$B$3:$B$3002,0)),""))</f>
        <v/>
      </c>
      <c r="G227" s="42">
        <f>IF($C227="","",IFERROR(INDEX(DESPACHOS!$F$3:$F$3002,MATCH($C227,DESPACHOS!$B$3:$B$3002,0)),""))</f>
        <v/>
      </c>
      <c r="H227" s="42">
        <f>IF($C227="","",IFERROR(INDEX(DESPACHOS!$G$3:$G$3002,MATCH($C227,DESPACHOS!$B$3:$B$3002,0)),""))</f>
        <v/>
      </c>
      <c r="I227" s="39">
        <f>IF($C227="","",IFERROR(INDEX(DESPACHOS!$H$3:$H$3002,MATCH($C227,DESPACHOS!$B$3:$B$3002,0)),""))</f>
        <v/>
      </c>
      <c r="J227" s="43">
        <f>IF($C227="","",IFERROR(INDEX(DESPACHOS!$J$3:$J$3002,MATCH($C227,DESPACHOS!$B$3:$B$3002,0)),""))</f>
        <v/>
      </c>
      <c r="K227" s="39">
        <f>IF($C227="","",IF(COUNTIFS(DESPACHOS!$B$3:$B$3002,$C227)=0,"NO EXISTE",IF(COUNTIFS(DESPACHOS!$B$3:$B$3002,$C227)&gt;1,"DUPLICADO","OK")))</f>
        <v/>
      </c>
      <c r="L227" s="41" t="n"/>
      <c r="M227" s="41" t="n"/>
      <c r="N227" s="42">
        <f>IF($M227="","",IFERROR(INDEX(LISTAS!$F$3:$F$42,MATCH($M227,LISTAS!$E$3:$E$42,0)),"Por definir"))</f>
        <v/>
      </c>
      <c r="O227" s="41" t="n"/>
      <c r="P227" s="39">
        <f>IF($L227="","",IFERROR(INDEX(LISTAS!$B$3:$B$42,MATCH($L227,LISTAS!$A$3:$A$42,0)),"Media"))</f>
        <v/>
      </c>
      <c r="Q227" s="44" t="n"/>
      <c r="R227" s="45" t="n"/>
      <c r="S227" s="20">
        <f>IFERROR(IF(OR($R227="",$C227=""),"",$R227/INDEX(DESPACHOS!$M$3:$M$3002,MATCH($C227,DESPACHOS!$B$3:$B$3002,0))),"")</f>
        <v/>
      </c>
      <c r="T227" s="41" t="n"/>
      <c r="U227" s="43">
        <f>IF(OR($B227="",$L227=""),"",WORKDAY($B227,IFERROR(INDEX(LISTAS!$C$3:$C$42,MATCH($L227,LISTAS!$A$3:$A$42,0)),3)))</f>
        <v/>
      </c>
      <c r="V227" s="40" t="n"/>
      <c r="W227" s="19">
        <f>IF($B227="","",IF($V227&lt;&gt;"",$V227-$B227,TODAY()-$B227))</f>
        <v/>
      </c>
      <c r="X227" s="19">
        <f>IF(OR($B227="",$U227=""),"",IF($V227&lt;&gt;"",MAX(0,$V227-$U227),MAX(0,TODAY()-$U227)))</f>
        <v/>
      </c>
      <c r="Y227" s="39">
        <f>IF($C227="","",IF(IFERROR(INDEX(LISTAS!$I$3:$I$42,MATCH($T227,LISTAS!$H$3:$H$42,0)),"NO")="SÍ",IF(N($X227)&gt;0,"CERRADA FUERA DE SLA","CERRADA EN SLA"),IF($U227="","SIN CLASIFICAR",IF(N($X227)&gt;0,"VENCIDA",IF(TODAY()&gt;=$U227-1,"POR VENCER","EN PLAZO")))))</f>
        <v/>
      </c>
      <c r="Z227" s="41" t="n"/>
      <c r="AA227" s="41" t="n"/>
      <c r="AB227" s="41" t="n"/>
    </row>
    <row r="228">
      <c r="A228" s="39">
        <f>IF($C228="","","NOV-"&amp;TEXT(ROW()-3,"0000"))</f>
        <v/>
      </c>
      <c r="B228" s="40" t="n"/>
      <c r="C228" s="41" t="n"/>
      <c r="D228" s="42">
        <f>IF($C228="","",IFERROR(INDEX(DESPACHOS!$D$3:$D$3002,MATCH($C228,DESPACHOS!$B$3:$B$3002,0)),"SIN DESPACHO"))</f>
        <v/>
      </c>
      <c r="E228" s="42">
        <f>IF($C228="","",IFERROR(INDEX(DESPACHOS!$K$3:$K$3002,MATCH($C228,DESPACHOS!$B$3:$B$3002,0)),""))</f>
        <v/>
      </c>
      <c r="F228" s="42">
        <f>IF($C228="","",IFERROR(INDEX(DESPACHOS!$I$3:$I$3002,MATCH($C228,DESPACHOS!$B$3:$B$3002,0)),""))</f>
        <v/>
      </c>
      <c r="G228" s="42">
        <f>IF($C228="","",IFERROR(INDEX(DESPACHOS!$F$3:$F$3002,MATCH($C228,DESPACHOS!$B$3:$B$3002,0)),""))</f>
        <v/>
      </c>
      <c r="H228" s="42">
        <f>IF($C228="","",IFERROR(INDEX(DESPACHOS!$G$3:$G$3002,MATCH($C228,DESPACHOS!$B$3:$B$3002,0)),""))</f>
        <v/>
      </c>
      <c r="I228" s="39">
        <f>IF($C228="","",IFERROR(INDEX(DESPACHOS!$H$3:$H$3002,MATCH($C228,DESPACHOS!$B$3:$B$3002,0)),""))</f>
        <v/>
      </c>
      <c r="J228" s="43">
        <f>IF($C228="","",IFERROR(INDEX(DESPACHOS!$J$3:$J$3002,MATCH($C228,DESPACHOS!$B$3:$B$3002,0)),""))</f>
        <v/>
      </c>
      <c r="K228" s="39">
        <f>IF($C228="","",IF(COUNTIFS(DESPACHOS!$B$3:$B$3002,$C228)=0,"NO EXISTE",IF(COUNTIFS(DESPACHOS!$B$3:$B$3002,$C228)&gt;1,"DUPLICADO","OK")))</f>
        <v/>
      </c>
      <c r="L228" s="41" t="n"/>
      <c r="M228" s="41" t="n"/>
      <c r="N228" s="42">
        <f>IF($M228="","",IFERROR(INDEX(LISTAS!$F$3:$F$42,MATCH($M228,LISTAS!$E$3:$E$42,0)),"Por definir"))</f>
        <v/>
      </c>
      <c r="O228" s="41" t="n"/>
      <c r="P228" s="39">
        <f>IF($L228="","",IFERROR(INDEX(LISTAS!$B$3:$B$42,MATCH($L228,LISTAS!$A$3:$A$42,0)),"Media"))</f>
        <v/>
      </c>
      <c r="Q228" s="44" t="n"/>
      <c r="R228" s="45" t="n"/>
      <c r="S228" s="20">
        <f>IFERROR(IF(OR($R228="",$C228=""),"",$R228/INDEX(DESPACHOS!$M$3:$M$3002,MATCH($C228,DESPACHOS!$B$3:$B$3002,0))),"")</f>
        <v/>
      </c>
      <c r="T228" s="41" t="n"/>
      <c r="U228" s="43">
        <f>IF(OR($B228="",$L228=""),"",WORKDAY($B228,IFERROR(INDEX(LISTAS!$C$3:$C$42,MATCH($L228,LISTAS!$A$3:$A$42,0)),3)))</f>
        <v/>
      </c>
      <c r="V228" s="40" t="n"/>
      <c r="W228" s="19">
        <f>IF($B228="","",IF($V228&lt;&gt;"",$V228-$B228,TODAY()-$B228))</f>
        <v/>
      </c>
      <c r="X228" s="19">
        <f>IF(OR($B228="",$U228=""),"",IF($V228&lt;&gt;"",MAX(0,$V228-$U228),MAX(0,TODAY()-$U228)))</f>
        <v/>
      </c>
      <c r="Y228" s="39">
        <f>IF($C228="","",IF(IFERROR(INDEX(LISTAS!$I$3:$I$42,MATCH($T228,LISTAS!$H$3:$H$42,0)),"NO")="SÍ",IF(N($X228)&gt;0,"CERRADA FUERA DE SLA","CERRADA EN SLA"),IF($U228="","SIN CLASIFICAR",IF(N($X228)&gt;0,"VENCIDA",IF(TODAY()&gt;=$U228-1,"POR VENCER","EN PLAZO")))))</f>
        <v/>
      </c>
      <c r="Z228" s="41" t="n"/>
      <c r="AA228" s="41" t="n"/>
      <c r="AB228" s="41" t="n"/>
    </row>
    <row r="229">
      <c r="A229" s="39">
        <f>IF($C229="","","NOV-"&amp;TEXT(ROW()-3,"0000"))</f>
        <v/>
      </c>
      <c r="B229" s="40" t="n"/>
      <c r="C229" s="41" t="n"/>
      <c r="D229" s="42">
        <f>IF($C229="","",IFERROR(INDEX(DESPACHOS!$D$3:$D$3002,MATCH($C229,DESPACHOS!$B$3:$B$3002,0)),"SIN DESPACHO"))</f>
        <v/>
      </c>
      <c r="E229" s="42">
        <f>IF($C229="","",IFERROR(INDEX(DESPACHOS!$K$3:$K$3002,MATCH($C229,DESPACHOS!$B$3:$B$3002,0)),""))</f>
        <v/>
      </c>
      <c r="F229" s="42">
        <f>IF($C229="","",IFERROR(INDEX(DESPACHOS!$I$3:$I$3002,MATCH($C229,DESPACHOS!$B$3:$B$3002,0)),""))</f>
        <v/>
      </c>
      <c r="G229" s="42">
        <f>IF($C229="","",IFERROR(INDEX(DESPACHOS!$F$3:$F$3002,MATCH($C229,DESPACHOS!$B$3:$B$3002,0)),""))</f>
        <v/>
      </c>
      <c r="H229" s="42">
        <f>IF($C229="","",IFERROR(INDEX(DESPACHOS!$G$3:$G$3002,MATCH($C229,DESPACHOS!$B$3:$B$3002,0)),""))</f>
        <v/>
      </c>
      <c r="I229" s="39">
        <f>IF($C229="","",IFERROR(INDEX(DESPACHOS!$H$3:$H$3002,MATCH($C229,DESPACHOS!$B$3:$B$3002,0)),""))</f>
        <v/>
      </c>
      <c r="J229" s="43">
        <f>IF($C229="","",IFERROR(INDEX(DESPACHOS!$J$3:$J$3002,MATCH($C229,DESPACHOS!$B$3:$B$3002,0)),""))</f>
        <v/>
      </c>
      <c r="K229" s="39">
        <f>IF($C229="","",IF(COUNTIFS(DESPACHOS!$B$3:$B$3002,$C229)=0,"NO EXISTE",IF(COUNTIFS(DESPACHOS!$B$3:$B$3002,$C229)&gt;1,"DUPLICADO","OK")))</f>
        <v/>
      </c>
      <c r="L229" s="41" t="n"/>
      <c r="M229" s="41" t="n"/>
      <c r="N229" s="42">
        <f>IF($M229="","",IFERROR(INDEX(LISTAS!$F$3:$F$42,MATCH($M229,LISTAS!$E$3:$E$42,0)),"Por definir"))</f>
        <v/>
      </c>
      <c r="O229" s="41" t="n"/>
      <c r="P229" s="39">
        <f>IF($L229="","",IFERROR(INDEX(LISTAS!$B$3:$B$42,MATCH($L229,LISTAS!$A$3:$A$42,0)),"Media"))</f>
        <v/>
      </c>
      <c r="Q229" s="44" t="n"/>
      <c r="R229" s="45" t="n"/>
      <c r="S229" s="20">
        <f>IFERROR(IF(OR($R229="",$C229=""),"",$R229/INDEX(DESPACHOS!$M$3:$M$3002,MATCH($C229,DESPACHOS!$B$3:$B$3002,0))),"")</f>
        <v/>
      </c>
      <c r="T229" s="41" t="n"/>
      <c r="U229" s="43">
        <f>IF(OR($B229="",$L229=""),"",WORKDAY($B229,IFERROR(INDEX(LISTAS!$C$3:$C$42,MATCH($L229,LISTAS!$A$3:$A$42,0)),3)))</f>
        <v/>
      </c>
      <c r="V229" s="40" t="n"/>
      <c r="W229" s="19">
        <f>IF($B229="","",IF($V229&lt;&gt;"",$V229-$B229,TODAY()-$B229))</f>
        <v/>
      </c>
      <c r="X229" s="19">
        <f>IF(OR($B229="",$U229=""),"",IF($V229&lt;&gt;"",MAX(0,$V229-$U229),MAX(0,TODAY()-$U229)))</f>
        <v/>
      </c>
      <c r="Y229" s="39">
        <f>IF($C229="","",IF(IFERROR(INDEX(LISTAS!$I$3:$I$42,MATCH($T229,LISTAS!$H$3:$H$42,0)),"NO")="SÍ",IF(N($X229)&gt;0,"CERRADA FUERA DE SLA","CERRADA EN SLA"),IF($U229="","SIN CLASIFICAR",IF(N($X229)&gt;0,"VENCIDA",IF(TODAY()&gt;=$U229-1,"POR VENCER","EN PLAZO")))))</f>
        <v/>
      </c>
      <c r="Z229" s="41" t="n"/>
      <c r="AA229" s="41" t="n"/>
      <c r="AB229" s="41" t="n"/>
    </row>
    <row r="230">
      <c r="A230" s="39">
        <f>IF($C230="","","NOV-"&amp;TEXT(ROW()-3,"0000"))</f>
        <v/>
      </c>
      <c r="B230" s="40" t="n"/>
      <c r="C230" s="41" t="n"/>
      <c r="D230" s="42">
        <f>IF($C230="","",IFERROR(INDEX(DESPACHOS!$D$3:$D$3002,MATCH($C230,DESPACHOS!$B$3:$B$3002,0)),"SIN DESPACHO"))</f>
        <v/>
      </c>
      <c r="E230" s="42">
        <f>IF($C230="","",IFERROR(INDEX(DESPACHOS!$K$3:$K$3002,MATCH($C230,DESPACHOS!$B$3:$B$3002,0)),""))</f>
        <v/>
      </c>
      <c r="F230" s="42">
        <f>IF($C230="","",IFERROR(INDEX(DESPACHOS!$I$3:$I$3002,MATCH($C230,DESPACHOS!$B$3:$B$3002,0)),""))</f>
        <v/>
      </c>
      <c r="G230" s="42">
        <f>IF($C230="","",IFERROR(INDEX(DESPACHOS!$F$3:$F$3002,MATCH($C230,DESPACHOS!$B$3:$B$3002,0)),""))</f>
        <v/>
      </c>
      <c r="H230" s="42">
        <f>IF($C230="","",IFERROR(INDEX(DESPACHOS!$G$3:$G$3002,MATCH($C230,DESPACHOS!$B$3:$B$3002,0)),""))</f>
        <v/>
      </c>
      <c r="I230" s="39">
        <f>IF($C230="","",IFERROR(INDEX(DESPACHOS!$H$3:$H$3002,MATCH($C230,DESPACHOS!$B$3:$B$3002,0)),""))</f>
        <v/>
      </c>
      <c r="J230" s="43">
        <f>IF($C230="","",IFERROR(INDEX(DESPACHOS!$J$3:$J$3002,MATCH($C230,DESPACHOS!$B$3:$B$3002,0)),""))</f>
        <v/>
      </c>
      <c r="K230" s="39">
        <f>IF($C230="","",IF(COUNTIFS(DESPACHOS!$B$3:$B$3002,$C230)=0,"NO EXISTE",IF(COUNTIFS(DESPACHOS!$B$3:$B$3002,$C230)&gt;1,"DUPLICADO","OK")))</f>
        <v/>
      </c>
      <c r="L230" s="41" t="n"/>
      <c r="M230" s="41" t="n"/>
      <c r="N230" s="42">
        <f>IF($M230="","",IFERROR(INDEX(LISTAS!$F$3:$F$42,MATCH($M230,LISTAS!$E$3:$E$42,0)),"Por definir"))</f>
        <v/>
      </c>
      <c r="O230" s="41" t="n"/>
      <c r="P230" s="39">
        <f>IF($L230="","",IFERROR(INDEX(LISTAS!$B$3:$B$42,MATCH($L230,LISTAS!$A$3:$A$42,0)),"Media"))</f>
        <v/>
      </c>
      <c r="Q230" s="44" t="n"/>
      <c r="R230" s="45" t="n"/>
      <c r="S230" s="20">
        <f>IFERROR(IF(OR($R230="",$C230=""),"",$R230/INDEX(DESPACHOS!$M$3:$M$3002,MATCH($C230,DESPACHOS!$B$3:$B$3002,0))),"")</f>
        <v/>
      </c>
      <c r="T230" s="41" t="n"/>
      <c r="U230" s="43">
        <f>IF(OR($B230="",$L230=""),"",WORKDAY($B230,IFERROR(INDEX(LISTAS!$C$3:$C$42,MATCH($L230,LISTAS!$A$3:$A$42,0)),3)))</f>
        <v/>
      </c>
      <c r="V230" s="40" t="n"/>
      <c r="W230" s="19">
        <f>IF($B230="","",IF($V230&lt;&gt;"",$V230-$B230,TODAY()-$B230))</f>
        <v/>
      </c>
      <c r="X230" s="19">
        <f>IF(OR($B230="",$U230=""),"",IF($V230&lt;&gt;"",MAX(0,$V230-$U230),MAX(0,TODAY()-$U230)))</f>
        <v/>
      </c>
      <c r="Y230" s="39">
        <f>IF($C230="","",IF(IFERROR(INDEX(LISTAS!$I$3:$I$42,MATCH($T230,LISTAS!$H$3:$H$42,0)),"NO")="SÍ",IF(N($X230)&gt;0,"CERRADA FUERA DE SLA","CERRADA EN SLA"),IF($U230="","SIN CLASIFICAR",IF(N($X230)&gt;0,"VENCIDA",IF(TODAY()&gt;=$U230-1,"POR VENCER","EN PLAZO")))))</f>
        <v/>
      </c>
      <c r="Z230" s="41" t="n"/>
      <c r="AA230" s="41" t="n"/>
      <c r="AB230" s="41" t="n"/>
    </row>
    <row r="231">
      <c r="A231" s="39">
        <f>IF($C231="","","NOV-"&amp;TEXT(ROW()-3,"0000"))</f>
        <v/>
      </c>
      <c r="B231" s="40" t="n"/>
      <c r="C231" s="41" t="n"/>
      <c r="D231" s="42">
        <f>IF($C231="","",IFERROR(INDEX(DESPACHOS!$D$3:$D$3002,MATCH($C231,DESPACHOS!$B$3:$B$3002,0)),"SIN DESPACHO"))</f>
        <v/>
      </c>
      <c r="E231" s="42">
        <f>IF($C231="","",IFERROR(INDEX(DESPACHOS!$K$3:$K$3002,MATCH($C231,DESPACHOS!$B$3:$B$3002,0)),""))</f>
        <v/>
      </c>
      <c r="F231" s="42">
        <f>IF($C231="","",IFERROR(INDEX(DESPACHOS!$I$3:$I$3002,MATCH($C231,DESPACHOS!$B$3:$B$3002,0)),""))</f>
        <v/>
      </c>
      <c r="G231" s="42">
        <f>IF($C231="","",IFERROR(INDEX(DESPACHOS!$F$3:$F$3002,MATCH($C231,DESPACHOS!$B$3:$B$3002,0)),""))</f>
        <v/>
      </c>
      <c r="H231" s="42">
        <f>IF($C231="","",IFERROR(INDEX(DESPACHOS!$G$3:$G$3002,MATCH($C231,DESPACHOS!$B$3:$B$3002,0)),""))</f>
        <v/>
      </c>
      <c r="I231" s="39">
        <f>IF($C231="","",IFERROR(INDEX(DESPACHOS!$H$3:$H$3002,MATCH($C231,DESPACHOS!$B$3:$B$3002,0)),""))</f>
        <v/>
      </c>
      <c r="J231" s="43">
        <f>IF($C231="","",IFERROR(INDEX(DESPACHOS!$J$3:$J$3002,MATCH($C231,DESPACHOS!$B$3:$B$3002,0)),""))</f>
        <v/>
      </c>
      <c r="K231" s="39">
        <f>IF($C231="","",IF(COUNTIFS(DESPACHOS!$B$3:$B$3002,$C231)=0,"NO EXISTE",IF(COUNTIFS(DESPACHOS!$B$3:$B$3002,$C231)&gt;1,"DUPLICADO","OK")))</f>
        <v/>
      </c>
      <c r="L231" s="41" t="n"/>
      <c r="M231" s="41" t="n"/>
      <c r="N231" s="42">
        <f>IF($M231="","",IFERROR(INDEX(LISTAS!$F$3:$F$42,MATCH($M231,LISTAS!$E$3:$E$42,0)),"Por definir"))</f>
        <v/>
      </c>
      <c r="O231" s="41" t="n"/>
      <c r="P231" s="39">
        <f>IF($L231="","",IFERROR(INDEX(LISTAS!$B$3:$B$42,MATCH($L231,LISTAS!$A$3:$A$42,0)),"Media"))</f>
        <v/>
      </c>
      <c r="Q231" s="44" t="n"/>
      <c r="R231" s="45" t="n"/>
      <c r="S231" s="20">
        <f>IFERROR(IF(OR($R231="",$C231=""),"",$R231/INDEX(DESPACHOS!$M$3:$M$3002,MATCH($C231,DESPACHOS!$B$3:$B$3002,0))),"")</f>
        <v/>
      </c>
      <c r="T231" s="41" t="n"/>
      <c r="U231" s="43">
        <f>IF(OR($B231="",$L231=""),"",WORKDAY($B231,IFERROR(INDEX(LISTAS!$C$3:$C$42,MATCH($L231,LISTAS!$A$3:$A$42,0)),3)))</f>
        <v/>
      </c>
      <c r="V231" s="40" t="n"/>
      <c r="W231" s="19">
        <f>IF($B231="","",IF($V231&lt;&gt;"",$V231-$B231,TODAY()-$B231))</f>
        <v/>
      </c>
      <c r="X231" s="19">
        <f>IF(OR($B231="",$U231=""),"",IF($V231&lt;&gt;"",MAX(0,$V231-$U231),MAX(0,TODAY()-$U231)))</f>
        <v/>
      </c>
      <c r="Y231" s="39">
        <f>IF($C231="","",IF(IFERROR(INDEX(LISTAS!$I$3:$I$42,MATCH($T231,LISTAS!$H$3:$H$42,0)),"NO")="SÍ",IF(N($X231)&gt;0,"CERRADA FUERA DE SLA","CERRADA EN SLA"),IF($U231="","SIN CLASIFICAR",IF(N($X231)&gt;0,"VENCIDA",IF(TODAY()&gt;=$U231-1,"POR VENCER","EN PLAZO")))))</f>
        <v/>
      </c>
      <c r="Z231" s="41" t="n"/>
      <c r="AA231" s="41" t="n"/>
      <c r="AB231" s="41" t="n"/>
    </row>
    <row r="232">
      <c r="A232" s="39">
        <f>IF($C232="","","NOV-"&amp;TEXT(ROW()-3,"0000"))</f>
        <v/>
      </c>
      <c r="B232" s="40" t="n"/>
      <c r="C232" s="41" t="n"/>
      <c r="D232" s="42">
        <f>IF($C232="","",IFERROR(INDEX(DESPACHOS!$D$3:$D$3002,MATCH($C232,DESPACHOS!$B$3:$B$3002,0)),"SIN DESPACHO"))</f>
        <v/>
      </c>
      <c r="E232" s="42">
        <f>IF($C232="","",IFERROR(INDEX(DESPACHOS!$K$3:$K$3002,MATCH($C232,DESPACHOS!$B$3:$B$3002,0)),""))</f>
        <v/>
      </c>
      <c r="F232" s="42">
        <f>IF($C232="","",IFERROR(INDEX(DESPACHOS!$I$3:$I$3002,MATCH($C232,DESPACHOS!$B$3:$B$3002,0)),""))</f>
        <v/>
      </c>
      <c r="G232" s="42">
        <f>IF($C232="","",IFERROR(INDEX(DESPACHOS!$F$3:$F$3002,MATCH($C232,DESPACHOS!$B$3:$B$3002,0)),""))</f>
        <v/>
      </c>
      <c r="H232" s="42">
        <f>IF($C232="","",IFERROR(INDEX(DESPACHOS!$G$3:$G$3002,MATCH($C232,DESPACHOS!$B$3:$B$3002,0)),""))</f>
        <v/>
      </c>
      <c r="I232" s="39">
        <f>IF($C232="","",IFERROR(INDEX(DESPACHOS!$H$3:$H$3002,MATCH($C232,DESPACHOS!$B$3:$B$3002,0)),""))</f>
        <v/>
      </c>
      <c r="J232" s="43">
        <f>IF($C232="","",IFERROR(INDEX(DESPACHOS!$J$3:$J$3002,MATCH($C232,DESPACHOS!$B$3:$B$3002,0)),""))</f>
        <v/>
      </c>
      <c r="K232" s="39">
        <f>IF($C232="","",IF(COUNTIFS(DESPACHOS!$B$3:$B$3002,$C232)=0,"NO EXISTE",IF(COUNTIFS(DESPACHOS!$B$3:$B$3002,$C232)&gt;1,"DUPLICADO","OK")))</f>
        <v/>
      </c>
      <c r="L232" s="41" t="n"/>
      <c r="M232" s="41" t="n"/>
      <c r="N232" s="42">
        <f>IF($M232="","",IFERROR(INDEX(LISTAS!$F$3:$F$42,MATCH($M232,LISTAS!$E$3:$E$42,0)),"Por definir"))</f>
        <v/>
      </c>
      <c r="O232" s="41" t="n"/>
      <c r="P232" s="39">
        <f>IF($L232="","",IFERROR(INDEX(LISTAS!$B$3:$B$42,MATCH($L232,LISTAS!$A$3:$A$42,0)),"Media"))</f>
        <v/>
      </c>
      <c r="Q232" s="44" t="n"/>
      <c r="R232" s="45" t="n"/>
      <c r="S232" s="20">
        <f>IFERROR(IF(OR($R232="",$C232=""),"",$R232/INDEX(DESPACHOS!$M$3:$M$3002,MATCH($C232,DESPACHOS!$B$3:$B$3002,0))),"")</f>
        <v/>
      </c>
      <c r="T232" s="41" t="n"/>
      <c r="U232" s="43">
        <f>IF(OR($B232="",$L232=""),"",WORKDAY($B232,IFERROR(INDEX(LISTAS!$C$3:$C$42,MATCH($L232,LISTAS!$A$3:$A$42,0)),3)))</f>
        <v/>
      </c>
      <c r="V232" s="40" t="n"/>
      <c r="W232" s="19">
        <f>IF($B232="","",IF($V232&lt;&gt;"",$V232-$B232,TODAY()-$B232))</f>
        <v/>
      </c>
      <c r="X232" s="19">
        <f>IF(OR($B232="",$U232=""),"",IF($V232&lt;&gt;"",MAX(0,$V232-$U232),MAX(0,TODAY()-$U232)))</f>
        <v/>
      </c>
      <c r="Y232" s="39">
        <f>IF($C232="","",IF(IFERROR(INDEX(LISTAS!$I$3:$I$42,MATCH($T232,LISTAS!$H$3:$H$42,0)),"NO")="SÍ",IF(N($X232)&gt;0,"CERRADA FUERA DE SLA","CERRADA EN SLA"),IF($U232="","SIN CLASIFICAR",IF(N($X232)&gt;0,"VENCIDA",IF(TODAY()&gt;=$U232-1,"POR VENCER","EN PLAZO")))))</f>
        <v/>
      </c>
      <c r="Z232" s="41" t="n"/>
      <c r="AA232" s="41" t="n"/>
      <c r="AB232" s="41" t="n"/>
    </row>
    <row r="233">
      <c r="A233" s="39">
        <f>IF($C233="","","NOV-"&amp;TEXT(ROW()-3,"0000"))</f>
        <v/>
      </c>
      <c r="B233" s="40" t="n"/>
      <c r="C233" s="41" t="n"/>
      <c r="D233" s="42">
        <f>IF($C233="","",IFERROR(INDEX(DESPACHOS!$D$3:$D$3002,MATCH($C233,DESPACHOS!$B$3:$B$3002,0)),"SIN DESPACHO"))</f>
        <v/>
      </c>
      <c r="E233" s="42">
        <f>IF($C233="","",IFERROR(INDEX(DESPACHOS!$K$3:$K$3002,MATCH($C233,DESPACHOS!$B$3:$B$3002,0)),""))</f>
        <v/>
      </c>
      <c r="F233" s="42">
        <f>IF($C233="","",IFERROR(INDEX(DESPACHOS!$I$3:$I$3002,MATCH($C233,DESPACHOS!$B$3:$B$3002,0)),""))</f>
        <v/>
      </c>
      <c r="G233" s="42">
        <f>IF($C233="","",IFERROR(INDEX(DESPACHOS!$F$3:$F$3002,MATCH($C233,DESPACHOS!$B$3:$B$3002,0)),""))</f>
        <v/>
      </c>
      <c r="H233" s="42">
        <f>IF($C233="","",IFERROR(INDEX(DESPACHOS!$G$3:$G$3002,MATCH($C233,DESPACHOS!$B$3:$B$3002,0)),""))</f>
        <v/>
      </c>
      <c r="I233" s="39">
        <f>IF($C233="","",IFERROR(INDEX(DESPACHOS!$H$3:$H$3002,MATCH($C233,DESPACHOS!$B$3:$B$3002,0)),""))</f>
        <v/>
      </c>
      <c r="J233" s="43">
        <f>IF($C233="","",IFERROR(INDEX(DESPACHOS!$J$3:$J$3002,MATCH($C233,DESPACHOS!$B$3:$B$3002,0)),""))</f>
        <v/>
      </c>
      <c r="K233" s="39">
        <f>IF($C233="","",IF(COUNTIFS(DESPACHOS!$B$3:$B$3002,$C233)=0,"NO EXISTE",IF(COUNTIFS(DESPACHOS!$B$3:$B$3002,$C233)&gt;1,"DUPLICADO","OK")))</f>
        <v/>
      </c>
      <c r="L233" s="41" t="n"/>
      <c r="M233" s="41" t="n"/>
      <c r="N233" s="42">
        <f>IF($M233="","",IFERROR(INDEX(LISTAS!$F$3:$F$42,MATCH($M233,LISTAS!$E$3:$E$42,0)),"Por definir"))</f>
        <v/>
      </c>
      <c r="O233" s="41" t="n"/>
      <c r="P233" s="39">
        <f>IF($L233="","",IFERROR(INDEX(LISTAS!$B$3:$B$42,MATCH($L233,LISTAS!$A$3:$A$42,0)),"Media"))</f>
        <v/>
      </c>
      <c r="Q233" s="44" t="n"/>
      <c r="R233" s="45" t="n"/>
      <c r="S233" s="20">
        <f>IFERROR(IF(OR($R233="",$C233=""),"",$R233/INDEX(DESPACHOS!$M$3:$M$3002,MATCH($C233,DESPACHOS!$B$3:$B$3002,0))),"")</f>
        <v/>
      </c>
      <c r="T233" s="41" t="n"/>
      <c r="U233" s="43">
        <f>IF(OR($B233="",$L233=""),"",WORKDAY($B233,IFERROR(INDEX(LISTAS!$C$3:$C$42,MATCH($L233,LISTAS!$A$3:$A$42,0)),3)))</f>
        <v/>
      </c>
      <c r="V233" s="40" t="n"/>
      <c r="W233" s="19">
        <f>IF($B233="","",IF($V233&lt;&gt;"",$V233-$B233,TODAY()-$B233))</f>
        <v/>
      </c>
      <c r="X233" s="19">
        <f>IF(OR($B233="",$U233=""),"",IF($V233&lt;&gt;"",MAX(0,$V233-$U233),MAX(0,TODAY()-$U233)))</f>
        <v/>
      </c>
      <c r="Y233" s="39">
        <f>IF($C233="","",IF(IFERROR(INDEX(LISTAS!$I$3:$I$42,MATCH($T233,LISTAS!$H$3:$H$42,0)),"NO")="SÍ",IF(N($X233)&gt;0,"CERRADA FUERA DE SLA","CERRADA EN SLA"),IF($U233="","SIN CLASIFICAR",IF(N($X233)&gt;0,"VENCIDA",IF(TODAY()&gt;=$U233-1,"POR VENCER","EN PLAZO")))))</f>
        <v/>
      </c>
      <c r="Z233" s="41" t="n"/>
      <c r="AA233" s="41" t="n"/>
      <c r="AB233" s="41" t="n"/>
    </row>
    <row r="234">
      <c r="A234" s="39">
        <f>IF($C234="","","NOV-"&amp;TEXT(ROW()-3,"0000"))</f>
        <v/>
      </c>
      <c r="B234" s="40" t="n"/>
      <c r="C234" s="41" t="n"/>
      <c r="D234" s="42">
        <f>IF($C234="","",IFERROR(INDEX(DESPACHOS!$D$3:$D$3002,MATCH($C234,DESPACHOS!$B$3:$B$3002,0)),"SIN DESPACHO"))</f>
        <v/>
      </c>
      <c r="E234" s="42">
        <f>IF($C234="","",IFERROR(INDEX(DESPACHOS!$K$3:$K$3002,MATCH($C234,DESPACHOS!$B$3:$B$3002,0)),""))</f>
        <v/>
      </c>
      <c r="F234" s="42">
        <f>IF($C234="","",IFERROR(INDEX(DESPACHOS!$I$3:$I$3002,MATCH($C234,DESPACHOS!$B$3:$B$3002,0)),""))</f>
        <v/>
      </c>
      <c r="G234" s="42">
        <f>IF($C234="","",IFERROR(INDEX(DESPACHOS!$F$3:$F$3002,MATCH($C234,DESPACHOS!$B$3:$B$3002,0)),""))</f>
        <v/>
      </c>
      <c r="H234" s="42">
        <f>IF($C234="","",IFERROR(INDEX(DESPACHOS!$G$3:$G$3002,MATCH($C234,DESPACHOS!$B$3:$B$3002,0)),""))</f>
        <v/>
      </c>
      <c r="I234" s="39">
        <f>IF($C234="","",IFERROR(INDEX(DESPACHOS!$H$3:$H$3002,MATCH($C234,DESPACHOS!$B$3:$B$3002,0)),""))</f>
        <v/>
      </c>
      <c r="J234" s="43">
        <f>IF($C234="","",IFERROR(INDEX(DESPACHOS!$J$3:$J$3002,MATCH($C234,DESPACHOS!$B$3:$B$3002,0)),""))</f>
        <v/>
      </c>
      <c r="K234" s="39">
        <f>IF($C234="","",IF(COUNTIFS(DESPACHOS!$B$3:$B$3002,$C234)=0,"NO EXISTE",IF(COUNTIFS(DESPACHOS!$B$3:$B$3002,$C234)&gt;1,"DUPLICADO","OK")))</f>
        <v/>
      </c>
      <c r="L234" s="41" t="n"/>
      <c r="M234" s="41" t="n"/>
      <c r="N234" s="42">
        <f>IF($M234="","",IFERROR(INDEX(LISTAS!$F$3:$F$42,MATCH($M234,LISTAS!$E$3:$E$42,0)),"Por definir"))</f>
        <v/>
      </c>
      <c r="O234" s="41" t="n"/>
      <c r="P234" s="39">
        <f>IF($L234="","",IFERROR(INDEX(LISTAS!$B$3:$B$42,MATCH($L234,LISTAS!$A$3:$A$42,0)),"Media"))</f>
        <v/>
      </c>
      <c r="Q234" s="44" t="n"/>
      <c r="R234" s="45" t="n"/>
      <c r="S234" s="20">
        <f>IFERROR(IF(OR($R234="",$C234=""),"",$R234/INDEX(DESPACHOS!$M$3:$M$3002,MATCH($C234,DESPACHOS!$B$3:$B$3002,0))),"")</f>
        <v/>
      </c>
      <c r="T234" s="41" t="n"/>
      <c r="U234" s="43">
        <f>IF(OR($B234="",$L234=""),"",WORKDAY($B234,IFERROR(INDEX(LISTAS!$C$3:$C$42,MATCH($L234,LISTAS!$A$3:$A$42,0)),3)))</f>
        <v/>
      </c>
      <c r="V234" s="40" t="n"/>
      <c r="W234" s="19">
        <f>IF($B234="","",IF($V234&lt;&gt;"",$V234-$B234,TODAY()-$B234))</f>
        <v/>
      </c>
      <c r="X234" s="19">
        <f>IF(OR($B234="",$U234=""),"",IF($V234&lt;&gt;"",MAX(0,$V234-$U234),MAX(0,TODAY()-$U234)))</f>
        <v/>
      </c>
      <c r="Y234" s="39">
        <f>IF($C234="","",IF(IFERROR(INDEX(LISTAS!$I$3:$I$42,MATCH($T234,LISTAS!$H$3:$H$42,0)),"NO")="SÍ",IF(N($X234)&gt;0,"CERRADA FUERA DE SLA","CERRADA EN SLA"),IF($U234="","SIN CLASIFICAR",IF(N($X234)&gt;0,"VENCIDA",IF(TODAY()&gt;=$U234-1,"POR VENCER","EN PLAZO")))))</f>
        <v/>
      </c>
      <c r="Z234" s="41" t="n"/>
      <c r="AA234" s="41" t="n"/>
      <c r="AB234" s="41" t="n"/>
    </row>
    <row r="235">
      <c r="A235" s="39">
        <f>IF($C235="","","NOV-"&amp;TEXT(ROW()-3,"0000"))</f>
        <v/>
      </c>
      <c r="B235" s="40" t="n"/>
      <c r="C235" s="41" t="n"/>
      <c r="D235" s="42">
        <f>IF($C235="","",IFERROR(INDEX(DESPACHOS!$D$3:$D$3002,MATCH($C235,DESPACHOS!$B$3:$B$3002,0)),"SIN DESPACHO"))</f>
        <v/>
      </c>
      <c r="E235" s="42">
        <f>IF($C235="","",IFERROR(INDEX(DESPACHOS!$K$3:$K$3002,MATCH($C235,DESPACHOS!$B$3:$B$3002,0)),""))</f>
        <v/>
      </c>
      <c r="F235" s="42">
        <f>IF($C235="","",IFERROR(INDEX(DESPACHOS!$I$3:$I$3002,MATCH($C235,DESPACHOS!$B$3:$B$3002,0)),""))</f>
        <v/>
      </c>
      <c r="G235" s="42">
        <f>IF($C235="","",IFERROR(INDEX(DESPACHOS!$F$3:$F$3002,MATCH($C235,DESPACHOS!$B$3:$B$3002,0)),""))</f>
        <v/>
      </c>
      <c r="H235" s="42">
        <f>IF($C235="","",IFERROR(INDEX(DESPACHOS!$G$3:$G$3002,MATCH($C235,DESPACHOS!$B$3:$B$3002,0)),""))</f>
        <v/>
      </c>
      <c r="I235" s="39">
        <f>IF($C235="","",IFERROR(INDEX(DESPACHOS!$H$3:$H$3002,MATCH($C235,DESPACHOS!$B$3:$B$3002,0)),""))</f>
        <v/>
      </c>
      <c r="J235" s="43">
        <f>IF($C235="","",IFERROR(INDEX(DESPACHOS!$J$3:$J$3002,MATCH($C235,DESPACHOS!$B$3:$B$3002,0)),""))</f>
        <v/>
      </c>
      <c r="K235" s="39">
        <f>IF($C235="","",IF(COUNTIFS(DESPACHOS!$B$3:$B$3002,$C235)=0,"NO EXISTE",IF(COUNTIFS(DESPACHOS!$B$3:$B$3002,$C235)&gt;1,"DUPLICADO","OK")))</f>
        <v/>
      </c>
      <c r="L235" s="41" t="n"/>
      <c r="M235" s="41" t="n"/>
      <c r="N235" s="42">
        <f>IF($M235="","",IFERROR(INDEX(LISTAS!$F$3:$F$42,MATCH($M235,LISTAS!$E$3:$E$42,0)),"Por definir"))</f>
        <v/>
      </c>
      <c r="O235" s="41" t="n"/>
      <c r="P235" s="39">
        <f>IF($L235="","",IFERROR(INDEX(LISTAS!$B$3:$B$42,MATCH($L235,LISTAS!$A$3:$A$42,0)),"Media"))</f>
        <v/>
      </c>
      <c r="Q235" s="44" t="n"/>
      <c r="R235" s="45" t="n"/>
      <c r="S235" s="20">
        <f>IFERROR(IF(OR($R235="",$C235=""),"",$R235/INDEX(DESPACHOS!$M$3:$M$3002,MATCH($C235,DESPACHOS!$B$3:$B$3002,0))),"")</f>
        <v/>
      </c>
      <c r="T235" s="41" t="n"/>
      <c r="U235" s="43">
        <f>IF(OR($B235="",$L235=""),"",WORKDAY($B235,IFERROR(INDEX(LISTAS!$C$3:$C$42,MATCH($L235,LISTAS!$A$3:$A$42,0)),3)))</f>
        <v/>
      </c>
      <c r="V235" s="40" t="n"/>
      <c r="W235" s="19">
        <f>IF($B235="","",IF($V235&lt;&gt;"",$V235-$B235,TODAY()-$B235))</f>
        <v/>
      </c>
      <c r="X235" s="19">
        <f>IF(OR($B235="",$U235=""),"",IF($V235&lt;&gt;"",MAX(0,$V235-$U235),MAX(0,TODAY()-$U235)))</f>
        <v/>
      </c>
      <c r="Y235" s="39">
        <f>IF($C235="","",IF(IFERROR(INDEX(LISTAS!$I$3:$I$42,MATCH($T235,LISTAS!$H$3:$H$42,0)),"NO")="SÍ",IF(N($X235)&gt;0,"CERRADA FUERA DE SLA","CERRADA EN SLA"),IF($U235="","SIN CLASIFICAR",IF(N($X235)&gt;0,"VENCIDA",IF(TODAY()&gt;=$U235-1,"POR VENCER","EN PLAZO")))))</f>
        <v/>
      </c>
      <c r="Z235" s="41" t="n"/>
      <c r="AA235" s="41" t="n"/>
      <c r="AB235" s="41" t="n"/>
    </row>
    <row r="236">
      <c r="A236" s="39">
        <f>IF($C236="","","NOV-"&amp;TEXT(ROW()-3,"0000"))</f>
        <v/>
      </c>
      <c r="B236" s="40" t="n"/>
      <c r="C236" s="41" t="n"/>
      <c r="D236" s="42">
        <f>IF($C236="","",IFERROR(INDEX(DESPACHOS!$D$3:$D$3002,MATCH($C236,DESPACHOS!$B$3:$B$3002,0)),"SIN DESPACHO"))</f>
        <v/>
      </c>
      <c r="E236" s="42">
        <f>IF($C236="","",IFERROR(INDEX(DESPACHOS!$K$3:$K$3002,MATCH($C236,DESPACHOS!$B$3:$B$3002,0)),""))</f>
        <v/>
      </c>
      <c r="F236" s="42">
        <f>IF($C236="","",IFERROR(INDEX(DESPACHOS!$I$3:$I$3002,MATCH($C236,DESPACHOS!$B$3:$B$3002,0)),""))</f>
        <v/>
      </c>
      <c r="G236" s="42">
        <f>IF($C236="","",IFERROR(INDEX(DESPACHOS!$F$3:$F$3002,MATCH($C236,DESPACHOS!$B$3:$B$3002,0)),""))</f>
        <v/>
      </c>
      <c r="H236" s="42">
        <f>IF($C236="","",IFERROR(INDEX(DESPACHOS!$G$3:$G$3002,MATCH($C236,DESPACHOS!$B$3:$B$3002,0)),""))</f>
        <v/>
      </c>
      <c r="I236" s="39">
        <f>IF($C236="","",IFERROR(INDEX(DESPACHOS!$H$3:$H$3002,MATCH($C236,DESPACHOS!$B$3:$B$3002,0)),""))</f>
        <v/>
      </c>
      <c r="J236" s="43">
        <f>IF($C236="","",IFERROR(INDEX(DESPACHOS!$J$3:$J$3002,MATCH($C236,DESPACHOS!$B$3:$B$3002,0)),""))</f>
        <v/>
      </c>
      <c r="K236" s="39">
        <f>IF($C236="","",IF(COUNTIFS(DESPACHOS!$B$3:$B$3002,$C236)=0,"NO EXISTE",IF(COUNTIFS(DESPACHOS!$B$3:$B$3002,$C236)&gt;1,"DUPLICADO","OK")))</f>
        <v/>
      </c>
      <c r="L236" s="41" t="n"/>
      <c r="M236" s="41" t="n"/>
      <c r="N236" s="42">
        <f>IF($M236="","",IFERROR(INDEX(LISTAS!$F$3:$F$42,MATCH($M236,LISTAS!$E$3:$E$42,0)),"Por definir"))</f>
        <v/>
      </c>
      <c r="O236" s="41" t="n"/>
      <c r="P236" s="39">
        <f>IF($L236="","",IFERROR(INDEX(LISTAS!$B$3:$B$42,MATCH($L236,LISTAS!$A$3:$A$42,0)),"Media"))</f>
        <v/>
      </c>
      <c r="Q236" s="44" t="n"/>
      <c r="R236" s="45" t="n"/>
      <c r="S236" s="20">
        <f>IFERROR(IF(OR($R236="",$C236=""),"",$R236/INDEX(DESPACHOS!$M$3:$M$3002,MATCH($C236,DESPACHOS!$B$3:$B$3002,0))),"")</f>
        <v/>
      </c>
      <c r="T236" s="41" t="n"/>
      <c r="U236" s="43">
        <f>IF(OR($B236="",$L236=""),"",WORKDAY($B236,IFERROR(INDEX(LISTAS!$C$3:$C$42,MATCH($L236,LISTAS!$A$3:$A$42,0)),3)))</f>
        <v/>
      </c>
      <c r="V236" s="40" t="n"/>
      <c r="W236" s="19">
        <f>IF($B236="","",IF($V236&lt;&gt;"",$V236-$B236,TODAY()-$B236))</f>
        <v/>
      </c>
      <c r="X236" s="19">
        <f>IF(OR($B236="",$U236=""),"",IF($V236&lt;&gt;"",MAX(0,$V236-$U236),MAX(0,TODAY()-$U236)))</f>
        <v/>
      </c>
      <c r="Y236" s="39">
        <f>IF($C236="","",IF(IFERROR(INDEX(LISTAS!$I$3:$I$42,MATCH($T236,LISTAS!$H$3:$H$42,0)),"NO")="SÍ",IF(N($X236)&gt;0,"CERRADA FUERA DE SLA","CERRADA EN SLA"),IF($U236="","SIN CLASIFICAR",IF(N($X236)&gt;0,"VENCIDA",IF(TODAY()&gt;=$U236-1,"POR VENCER","EN PLAZO")))))</f>
        <v/>
      </c>
      <c r="Z236" s="41" t="n"/>
      <c r="AA236" s="41" t="n"/>
      <c r="AB236" s="41" t="n"/>
    </row>
    <row r="237">
      <c r="A237" s="39">
        <f>IF($C237="","","NOV-"&amp;TEXT(ROW()-3,"0000"))</f>
        <v/>
      </c>
      <c r="B237" s="40" t="n"/>
      <c r="C237" s="41" t="n"/>
      <c r="D237" s="42">
        <f>IF($C237="","",IFERROR(INDEX(DESPACHOS!$D$3:$D$3002,MATCH($C237,DESPACHOS!$B$3:$B$3002,0)),"SIN DESPACHO"))</f>
        <v/>
      </c>
      <c r="E237" s="42">
        <f>IF($C237="","",IFERROR(INDEX(DESPACHOS!$K$3:$K$3002,MATCH($C237,DESPACHOS!$B$3:$B$3002,0)),""))</f>
        <v/>
      </c>
      <c r="F237" s="42">
        <f>IF($C237="","",IFERROR(INDEX(DESPACHOS!$I$3:$I$3002,MATCH($C237,DESPACHOS!$B$3:$B$3002,0)),""))</f>
        <v/>
      </c>
      <c r="G237" s="42">
        <f>IF($C237="","",IFERROR(INDEX(DESPACHOS!$F$3:$F$3002,MATCH($C237,DESPACHOS!$B$3:$B$3002,0)),""))</f>
        <v/>
      </c>
      <c r="H237" s="42">
        <f>IF($C237="","",IFERROR(INDEX(DESPACHOS!$G$3:$G$3002,MATCH($C237,DESPACHOS!$B$3:$B$3002,0)),""))</f>
        <v/>
      </c>
      <c r="I237" s="39">
        <f>IF($C237="","",IFERROR(INDEX(DESPACHOS!$H$3:$H$3002,MATCH($C237,DESPACHOS!$B$3:$B$3002,0)),""))</f>
        <v/>
      </c>
      <c r="J237" s="43">
        <f>IF($C237="","",IFERROR(INDEX(DESPACHOS!$J$3:$J$3002,MATCH($C237,DESPACHOS!$B$3:$B$3002,0)),""))</f>
        <v/>
      </c>
      <c r="K237" s="39">
        <f>IF($C237="","",IF(COUNTIFS(DESPACHOS!$B$3:$B$3002,$C237)=0,"NO EXISTE",IF(COUNTIFS(DESPACHOS!$B$3:$B$3002,$C237)&gt;1,"DUPLICADO","OK")))</f>
        <v/>
      </c>
      <c r="L237" s="41" t="n"/>
      <c r="M237" s="41" t="n"/>
      <c r="N237" s="42">
        <f>IF($M237="","",IFERROR(INDEX(LISTAS!$F$3:$F$42,MATCH($M237,LISTAS!$E$3:$E$42,0)),"Por definir"))</f>
        <v/>
      </c>
      <c r="O237" s="41" t="n"/>
      <c r="P237" s="39">
        <f>IF($L237="","",IFERROR(INDEX(LISTAS!$B$3:$B$42,MATCH($L237,LISTAS!$A$3:$A$42,0)),"Media"))</f>
        <v/>
      </c>
      <c r="Q237" s="44" t="n"/>
      <c r="R237" s="45" t="n"/>
      <c r="S237" s="20">
        <f>IFERROR(IF(OR($R237="",$C237=""),"",$R237/INDEX(DESPACHOS!$M$3:$M$3002,MATCH($C237,DESPACHOS!$B$3:$B$3002,0))),"")</f>
        <v/>
      </c>
      <c r="T237" s="41" t="n"/>
      <c r="U237" s="43">
        <f>IF(OR($B237="",$L237=""),"",WORKDAY($B237,IFERROR(INDEX(LISTAS!$C$3:$C$42,MATCH($L237,LISTAS!$A$3:$A$42,0)),3)))</f>
        <v/>
      </c>
      <c r="V237" s="40" t="n"/>
      <c r="W237" s="19">
        <f>IF($B237="","",IF($V237&lt;&gt;"",$V237-$B237,TODAY()-$B237))</f>
        <v/>
      </c>
      <c r="X237" s="19">
        <f>IF(OR($B237="",$U237=""),"",IF($V237&lt;&gt;"",MAX(0,$V237-$U237),MAX(0,TODAY()-$U237)))</f>
        <v/>
      </c>
      <c r="Y237" s="39">
        <f>IF($C237="","",IF(IFERROR(INDEX(LISTAS!$I$3:$I$42,MATCH($T237,LISTAS!$H$3:$H$42,0)),"NO")="SÍ",IF(N($X237)&gt;0,"CERRADA FUERA DE SLA","CERRADA EN SLA"),IF($U237="","SIN CLASIFICAR",IF(N($X237)&gt;0,"VENCIDA",IF(TODAY()&gt;=$U237-1,"POR VENCER","EN PLAZO")))))</f>
        <v/>
      </c>
      <c r="Z237" s="41" t="n"/>
      <c r="AA237" s="41" t="n"/>
      <c r="AB237" s="41" t="n"/>
    </row>
    <row r="238">
      <c r="A238" s="39">
        <f>IF($C238="","","NOV-"&amp;TEXT(ROW()-3,"0000"))</f>
        <v/>
      </c>
      <c r="B238" s="40" t="n"/>
      <c r="C238" s="41" t="n"/>
      <c r="D238" s="42">
        <f>IF($C238="","",IFERROR(INDEX(DESPACHOS!$D$3:$D$3002,MATCH($C238,DESPACHOS!$B$3:$B$3002,0)),"SIN DESPACHO"))</f>
        <v/>
      </c>
      <c r="E238" s="42">
        <f>IF($C238="","",IFERROR(INDEX(DESPACHOS!$K$3:$K$3002,MATCH($C238,DESPACHOS!$B$3:$B$3002,0)),""))</f>
        <v/>
      </c>
      <c r="F238" s="42">
        <f>IF($C238="","",IFERROR(INDEX(DESPACHOS!$I$3:$I$3002,MATCH($C238,DESPACHOS!$B$3:$B$3002,0)),""))</f>
        <v/>
      </c>
      <c r="G238" s="42">
        <f>IF($C238="","",IFERROR(INDEX(DESPACHOS!$F$3:$F$3002,MATCH($C238,DESPACHOS!$B$3:$B$3002,0)),""))</f>
        <v/>
      </c>
      <c r="H238" s="42">
        <f>IF($C238="","",IFERROR(INDEX(DESPACHOS!$G$3:$G$3002,MATCH($C238,DESPACHOS!$B$3:$B$3002,0)),""))</f>
        <v/>
      </c>
      <c r="I238" s="39">
        <f>IF($C238="","",IFERROR(INDEX(DESPACHOS!$H$3:$H$3002,MATCH($C238,DESPACHOS!$B$3:$B$3002,0)),""))</f>
        <v/>
      </c>
      <c r="J238" s="43">
        <f>IF($C238="","",IFERROR(INDEX(DESPACHOS!$J$3:$J$3002,MATCH($C238,DESPACHOS!$B$3:$B$3002,0)),""))</f>
        <v/>
      </c>
      <c r="K238" s="39">
        <f>IF($C238="","",IF(COUNTIFS(DESPACHOS!$B$3:$B$3002,$C238)=0,"NO EXISTE",IF(COUNTIFS(DESPACHOS!$B$3:$B$3002,$C238)&gt;1,"DUPLICADO","OK")))</f>
        <v/>
      </c>
      <c r="L238" s="41" t="n"/>
      <c r="M238" s="41" t="n"/>
      <c r="N238" s="42">
        <f>IF($M238="","",IFERROR(INDEX(LISTAS!$F$3:$F$42,MATCH($M238,LISTAS!$E$3:$E$42,0)),"Por definir"))</f>
        <v/>
      </c>
      <c r="O238" s="41" t="n"/>
      <c r="P238" s="39">
        <f>IF($L238="","",IFERROR(INDEX(LISTAS!$B$3:$B$42,MATCH($L238,LISTAS!$A$3:$A$42,0)),"Media"))</f>
        <v/>
      </c>
      <c r="Q238" s="44" t="n"/>
      <c r="R238" s="45" t="n"/>
      <c r="S238" s="20">
        <f>IFERROR(IF(OR($R238="",$C238=""),"",$R238/INDEX(DESPACHOS!$M$3:$M$3002,MATCH($C238,DESPACHOS!$B$3:$B$3002,0))),"")</f>
        <v/>
      </c>
      <c r="T238" s="41" t="n"/>
      <c r="U238" s="43">
        <f>IF(OR($B238="",$L238=""),"",WORKDAY($B238,IFERROR(INDEX(LISTAS!$C$3:$C$42,MATCH($L238,LISTAS!$A$3:$A$42,0)),3)))</f>
        <v/>
      </c>
      <c r="V238" s="40" t="n"/>
      <c r="W238" s="19">
        <f>IF($B238="","",IF($V238&lt;&gt;"",$V238-$B238,TODAY()-$B238))</f>
        <v/>
      </c>
      <c r="X238" s="19">
        <f>IF(OR($B238="",$U238=""),"",IF($V238&lt;&gt;"",MAX(0,$V238-$U238),MAX(0,TODAY()-$U238)))</f>
        <v/>
      </c>
      <c r="Y238" s="39">
        <f>IF($C238="","",IF(IFERROR(INDEX(LISTAS!$I$3:$I$42,MATCH($T238,LISTAS!$H$3:$H$42,0)),"NO")="SÍ",IF(N($X238)&gt;0,"CERRADA FUERA DE SLA","CERRADA EN SLA"),IF($U238="","SIN CLASIFICAR",IF(N($X238)&gt;0,"VENCIDA",IF(TODAY()&gt;=$U238-1,"POR VENCER","EN PLAZO")))))</f>
        <v/>
      </c>
      <c r="Z238" s="41" t="n"/>
      <c r="AA238" s="41" t="n"/>
      <c r="AB238" s="41" t="n"/>
    </row>
    <row r="239">
      <c r="A239" s="39">
        <f>IF($C239="","","NOV-"&amp;TEXT(ROW()-3,"0000"))</f>
        <v/>
      </c>
      <c r="B239" s="40" t="n"/>
      <c r="C239" s="41" t="n"/>
      <c r="D239" s="42">
        <f>IF($C239="","",IFERROR(INDEX(DESPACHOS!$D$3:$D$3002,MATCH($C239,DESPACHOS!$B$3:$B$3002,0)),"SIN DESPACHO"))</f>
        <v/>
      </c>
      <c r="E239" s="42">
        <f>IF($C239="","",IFERROR(INDEX(DESPACHOS!$K$3:$K$3002,MATCH($C239,DESPACHOS!$B$3:$B$3002,0)),""))</f>
        <v/>
      </c>
      <c r="F239" s="42">
        <f>IF($C239="","",IFERROR(INDEX(DESPACHOS!$I$3:$I$3002,MATCH($C239,DESPACHOS!$B$3:$B$3002,0)),""))</f>
        <v/>
      </c>
      <c r="G239" s="42">
        <f>IF($C239="","",IFERROR(INDEX(DESPACHOS!$F$3:$F$3002,MATCH($C239,DESPACHOS!$B$3:$B$3002,0)),""))</f>
        <v/>
      </c>
      <c r="H239" s="42">
        <f>IF($C239="","",IFERROR(INDEX(DESPACHOS!$G$3:$G$3002,MATCH($C239,DESPACHOS!$B$3:$B$3002,0)),""))</f>
        <v/>
      </c>
      <c r="I239" s="39">
        <f>IF($C239="","",IFERROR(INDEX(DESPACHOS!$H$3:$H$3002,MATCH($C239,DESPACHOS!$B$3:$B$3002,0)),""))</f>
        <v/>
      </c>
      <c r="J239" s="43">
        <f>IF($C239="","",IFERROR(INDEX(DESPACHOS!$J$3:$J$3002,MATCH($C239,DESPACHOS!$B$3:$B$3002,0)),""))</f>
        <v/>
      </c>
      <c r="K239" s="39">
        <f>IF($C239="","",IF(COUNTIFS(DESPACHOS!$B$3:$B$3002,$C239)=0,"NO EXISTE",IF(COUNTIFS(DESPACHOS!$B$3:$B$3002,$C239)&gt;1,"DUPLICADO","OK")))</f>
        <v/>
      </c>
      <c r="L239" s="41" t="n"/>
      <c r="M239" s="41" t="n"/>
      <c r="N239" s="42">
        <f>IF($M239="","",IFERROR(INDEX(LISTAS!$F$3:$F$42,MATCH($M239,LISTAS!$E$3:$E$42,0)),"Por definir"))</f>
        <v/>
      </c>
      <c r="O239" s="41" t="n"/>
      <c r="P239" s="39">
        <f>IF($L239="","",IFERROR(INDEX(LISTAS!$B$3:$B$42,MATCH($L239,LISTAS!$A$3:$A$42,0)),"Media"))</f>
        <v/>
      </c>
      <c r="Q239" s="44" t="n"/>
      <c r="R239" s="45" t="n"/>
      <c r="S239" s="20">
        <f>IFERROR(IF(OR($R239="",$C239=""),"",$R239/INDEX(DESPACHOS!$M$3:$M$3002,MATCH($C239,DESPACHOS!$B$3:$B$3002,0))),"")</f>
        <v/>
      </c>
      <c r="T239" s="41" t="n"/>
      <c r="U239" s="43">
        <f>IF(OR($B239="",$L239=""),"",WORKDAY($B239,IFERROR(INDEX(LISTAS!$C$3:$C$42,MATCH($L239,LISTAS!$A$3:$A$42,0)),3)))</f>
        <v/>
      </c>
      <c r="V239" s="40" t="n"/>
      <c r="W239" s="19">
        <f>IF($B239="","",IF($V239&lt;&gt;"",$V239-$B239,TODAY()-$B239))</f>
        <v/>
      </c>
      <c r="X239" s="19">
        <f>IF(OR($B239="",$U239=""),"",IF($V239&lt;&gt;"",MAX(0,$V239-$U239),MAX(0,TODAY()-$U239)))</f>
        <v/>
      </c>
      <c r="Y239" s="39">
        <f>IF($C239="","",IF(IFERROR(INDEX(LISTAS!$I$3:$I$42,MATCH($T239,LISTAS!$H$3:$H$42,0)),"NO")="SÍ",IF(N($X239)&gt;0,"CERRADA FUERA DE SLA","CERRADA EN SLA"),IF($U239="","SIN CLASIFICAR",IF(N($X239)&gt;0,"VENCIDA",IF(TODAY()&gt;=$U239-1,"POR VENCER","EN PLAZO")))))</f>
        <v/>
      </c>
      <c r="Z239" s="41" t="n"/>
      <c r="AA239" s="41" t="n"/>
      <c r="AB239" s="41" t="n"/>
    </row>
    <row r="240">
      <c r="A240" s="39">
        <f>IF($C240="","","NOV-"&amp;TEXT(ROW()-3,"0000"))</f>
        <v/>
      </c>
      <c r="B240" s="40" t="n"/>
      <c r="C240" s="41" t="n"/>
      <c r="D240" s="42">
        <f>IF($C240="","",IFERROR(INDEX(DESPACHOS!$D$3:$D$3002,MATCH($C240,DESPACHOS!$B$3:$B$3002,0)),"SIN DESPACHO"))</f>
        <v/>
      </c>
      <c r="E240" s="42">
        <f>IF($C240="","",IFERROR(INDEX(DESPACHOS!$K$3:$K$3002,MATCH($C240,DESPACHOS!$B$3:$B$3002,0)),""))</f>
        <v/>
      </c>
      <c r="F240" s="42">
        <f>IF($C240="","",IFERROR(INDEX(DESPACHOS!$I$3:$I$3002,MATCH($C240,DESPACHOS!$B$3:$B$3002,0)),""))</f>
        <v/>
      </c>
      <c r="G240" s="42">
        <f>IF($C240="","",IFERROR(INDEX(DESPACHOS!$F$3:$F$3002,MATCH($C240,DESPACHOS!$B$3:$B$3002,0)),""))</f>
        <v/>
      </c>
      <c r="H240" s="42">
        <f>IF($C240="","",IFERROR(INDEX(DESPACHOS!$G$3:$G$3002,MATCH($C240,DESPACHOS!$B$3:$B$3002,0)),""))</f>
        <v/>
      </c>
      <c r="I240" s="39">
        <f>IF($C240="","",IFERROR(INDEX(DESPACHOS!$H$3:$H$3002,MATCH($C240,DESPACHOS!$B$3:$B$3002,0)),""))</f>
        <v/>
      </c>
      <c r="J240" s="43">
        <f>IF($C240="","",IFERROR(INDEX(DESPACHOS!$J$3:$J$3002,MATCH($C240,DESPACHOS!$B$3:$B$3002,0)),""))</f>
        <v/>
      </c>
      <c r="K240" s="39">
        <f>IF($C240="","",IF(COUNTIFS(DESPACHOS!$B$3:$B$3002,$C240)=0,"NO EXISTE",IF(COUNTIFS(DESPACHOS!$B$3:$B$3002,$C240)&gt;1,"DUPLICADO","OK")))</f>
        <v/>
      </c>
      <c r="L240" s="41" t="n"/>
      <c r="M240" s="41" t="n"/>
      <c r="N240" s="42">
        <f>IF($M240="","",IFERROR(INDEX(LISTAS!$F$3:$F$42,MATCH($M240,LISTAS!$E$3:$E$42,0)),"Por definir"))</f>
        <v/>
      </c>
      <c r="O240" s="41" t="n"/>
      <c r="P240" s="39">
        <f>IF($L240="","",IFERROR(INDEX(LISTAS!$B$3:$B$42,MATCH($L240,LISTAS!$A$3:$A$42,0)),"Media"))</f>
        <v/>
      </c>
      <c r="Q240" s="44" t="n"/>
      <c r="R240" s="45" t="n"/>
      <c r="S240" s="20">
        <f>IFERROR(IF(OR($R240="",$C240=""),"",$R240/INDEX(DESPACHOS!$M$3:$M$3002,MATCH($C240,DESPACHOS!$B$3:$B$3002,0))),"")</f>
        <v/>
      </c>
      <c r="T240" s="41" t="n"/>
      <c r="U240" s="43">
        <f>IF(OR($B240="",$L240=""),"",WORKDAY($B240,IFERROR(INDEX(LISTAS!$C$3:$C$42,MATCH($L240,LISTAS!$A$3:$A$42,0)),3)))</f>
        <v/>
      </c>
      <c r="V240" s="40" t="n"/>
      <c r="W240" s="19">
        <f>IF($B240="","",IF($V240&lt;&gt;"",$V240-$B240,TODAY()-$B240))</f>
        <v/>
      </c>
      <c r="X240" s="19">
        <f>IF(OR($B240="",$U240=""),"",IF($V240&lt;&gt;"",MAX(0,$V240-$U240),MAX(0,TODAY()-$U240)))</f>
        <v/>
      </c>
      <c r="Y240" s="39">
        <f>IF($C240="","",IF(IFERROR(INDEX(LISTAS!$I$3:$I$42,MATCH($T240,LISTAS!$H$3:$H$42,0)),"NO")="SÍ",IF(N($X240)&gt;0,"CERRADA FUERA DE SLA","CERRADA EN SLA"),IF($U240="","SIN CLASIFICAR",IF(N($X240)&gt;0,"VENCIDA",IF(TODAY()&gt;=$U240-1,"POR VENCER","EN PLAZO")))))</f>
        <v/>
      </c>
      <c r="Z240" s="41" t="n"/>
      <c r="AA240" s="41" t="n"/>
      <c r="AB240" s="41" t="n"/>
    </row>
    <row r="241">
      <c r="A241" s="39">
        <f>IF($C241="","","NOV-"&amp;TEXT(ROW()-3,"0000"))</f>
        <v/>
      </c>
      <c r="B241" s="40" t="n"/>
      <c r="C241" s="41" t="n"/>
      <c r="D241" s="42">
        <f>IF($C241="","",IFERROR(INDEX(DESPACHOS!$D$3:$D$3002,MATCH($C241,DESPACHOS!$B$3:$B$3002,0)),"SIN DESPACHO"))</f>
        <v/>
      </c>
      <c r="E241" s="42">
        <f>IF($C241="","",IFERROR(INDEX(DESPACHOS!$K$3:$K$3002,MATCH($C241,DESPACHOS!$B$3:$B$3002,0)),""))</f>
        <v/>
      </c>
      <c r="F241" s="42">
        <f>IF($C241="","",IFERROR(INDEX(DESPACHOS!$I$3:$I$3002,MATCH($C241,DESPACHOS!$B$3:$B$3002,0)),""))</f>
        <v/>
      </c>
      <c r="G241" s="42">
        <f>IF($C241="","",IFERROR(INDEX(DESPACHOS!$F$3:$F$3002,MATCH($C241,DESPACHOS!$B$3:$B$3002,0)),""))</f>
        <v/>
      </c>
      <c r="H241" s="42">
        <f>IF($C241="","",IFERROR(INDEX(DESPACHOS!$G$3:$G$3002,MATCH($C241,DESPACHOS!$B$3:$B$3002,0)),""))</f>
        <v/>
      </c>
      <c r="I241" s="39">
        <f>IF($C241="","",IFERROR(INDEX(DESPACHOS!$H$3:$H$3002,MATCH($C241,DESPACHOS!$B$3:$B$3002,0)),""))</f>
        <v/>
      </c>
      <c r="J241" s="43">
        <f>IF($C241="","",IFERROR(INDEX(DESPACHOS!$J$3:$J$3002,MATCH($C241,DESPACHOS!$B$3:$B$3002,0)),""))</f>
        <v/>
      </c>
      <c r="K241" s="39">
        <f>IF($C241="","",IF(COUNTIFS(DESPACHOS!$B$3:$B$3002,$C241)=0,"NO EXISTE",IF(COUNTIFS(DESPACHOS!$B$3:$B$3002,$C241)&gt;1,"DUPLICADO","OK")))</f>
        <v/>
      </c>
      <c r="L241" s="41" t="n"/>
      <c r="M241" s="41" t="n"/>
      <c r="N241" s="42">
        <f>IF($M241="","",IFERROR(INDEX(LISTAS!$F$3:$F$42,MATCH($M241,LISTAS!$E$3:$E$42,0)),"Por definir"))</f>
        <v/>
      </c>
      <c r="O241" s="41" t="n"/>
      <c r="P241" s="39">
        <f>IF($L241="","",IFERROR(INDEX(LISTAS!$B$3:$B$42,MATCH($L241,LISTAS!$A$3:$A$42,0)),"Media"))</f>
        <v/>
      </c>
      <c r="Q241" s="44" t="n"/>
      <c r="R241" s="45" t="n"/>
      <c r="S241" s="20">
        <f>IFERROR(IF(OR($R241="",$C241=""),"",$R241/INDEX(DESPACHOS!$M$3:$M$3002,MATCH($C241,DESPACHOS!$B$3:$B$3002,0))),"")</f>
        <v/>
      </c>
      <c r="T241" s="41" t="n"/>
      <c r="U241" s="43">
        <f>IF(OR($B241="",$L241=""),"",WORKDAY($B241,IFERROR(INDEX(LISTAS!$C$3:$C$42,MATCH($L241,LISTAS!$A$3:$A$42,0)),3)))</f>
        <v/>
      </c>
      <c r="V241" s="40" t="n"/>
      <c r="W241" s="19">
        <f>IF($B241="","",IF($V241&lt;&gt;"",$V241-$B241,TODAY()-$B241))</f>
        <v/>
      </c>
      <c r="X241" s="19">
        <f>IF(OR($B241="",$U241=""),"",IF($V241&lt;&gt;"",MAX(0,$V241-$U241),MAX(0,TODAY()-$U241)))</f>
        <v/>
      </c>
      <c r="Y241" s="39">
        <f>IF($C241="","",IF(IFERROR(INDEX(LISTAS!$I$3:$I$42,MATCH($T241,LISTAS!$H$3:$H$42,0)),"NO")="SÍ",IF(N($X241)&gt;0,"CERRADA FUERA DE SLA","CERRADA EN SLA"),IF($U241="","SIN CLASIFICAR",IF(N($X241)&gt;0,"VENCIDA",IF(TODAY()&gt;=$U241-1,"POR VENCER","EN PLAZO")))))</f>
        <v/>
      </c>
      <c r="Z241" s="41" t="n"/>
      <c r="AA241" s="41" t="n"/>
      <c r="AB241" s="41" t="n"/>
    </row>
    <row r="242">
      <c r="A242" s="39">
        <f>IF($C242="","","NOV-"&amp;TEXT(ROW()-3,"0000"))</f>
        <v/>
      </c>
      <c r="B242" s="40" t="n"/>
      <c r="C242" s="41" t="n"/>
      <c r="D242" s="42">
        <f>IF($C242="","",IFERROR(INDEX(DESPACHOS!$D$3:$D$3002,MATCH($C242,DESPACHOS!$B$3:$B$3002,0)),"SIN DESPACHO"))</f>
        <v/>
      </c>
      <c r="E242" s="42">
        <f>IF($C242="","",IFERROR(INDEX(DESPACHOS!$K$3:$K$3002,MATCH($C242,DESPACHOS!$B$3:$B$3002,0)),""))</f>
        <v/>
      </c>
      <c r="F242" s="42">
        <f>IF($C242="","",IFERROR(INDEX(DESPACHOS!$I$3:$I$3002,MATCH($C242,DESPACHOS!$B$3:$B$3002,0)),""))</f>
        <v/>
      </c>
      <c r="G242" s="42">
        <f>IF($C242="","",IFERROR(INDEX(DESPACHOS!$F$3:$F$3002,MATCH($C242,DESPACHOS!$B$3:$B$3002,0)),""))</f>
        <v/>
      </c>
      <c r="H242" s="42">
        <f>IF($C242="","",IFERROR(INDEX(DESPACHOS!$G$3:$G$3002,MATCH($C242,DESPACHOS!$B$3:$B$3002,0)),""))</f>
        <v/>
      </c>
      <c r="I242" s="39">
        <f>IF($C242="","",IFERROR(INDEX(DESPACHOS!$H$3:$H$3002,MATCH($C242,DESPACHOS!$B$3:$B$3002,0)),""))</f>
        <v/>
      </c>
      <c r="J242" s="43">
        <f>IF($C242="","",IFERROR(INDEX(DESPACHOS!$J$3:$J$3002,MATCH($C242,DESPACHOS!$B$3:$B$3002,0)),""))</f>
        <v/>
      </c>
      <c r="K242" s="39">
        <f>IF($C242="","",IF(COUNTIFS(DESPACHOS!$B$3:$B$3002,$C242)=0,"NO EXISTE",IF(COUNTIFS(DESPACHOS!$B$3:$B$3002,$C242)&gt;1,"DUPLICADO","OK")))</f>
        <v/>
      </c>
      <c r="L242" s="41" t="n"/>
      <c r="M242" s="41" t="n"/>
      <c r="N242" s="42">
        <f>IF($M242="","",IFERROR(INDEX(LISTAS!$F$3:$F$42,MATCH($M242,LISTAS!$E$3:$E$42,0)),"Por definir"))</f>
        <v/>
      </c>
      <c r="O242" s="41" t="n"/>
      <c r="P242" s="39">
        <f>IF($L242="","",IFERROR(INDEX(LISTAS!$B$3:$B$42,MATCH($L242,LISTAS!$A$3:$A$42,0)),"Media"))</f>
        <v/>
      </c>
      <c r="Q242" s="44" t="n"/>
      <c r="R242" s="45" t="n"/>
      <c r="S242" s="20">
        <f>IFERROR(IF(OR($R242="",$C242=""),"",$R242/INDEX(DESPACHOS!$M$3:$M$3002,MATCH($C242,DESPACHOS!$B$3:$B$3002,0))),"")</f>
        <v/>
      </c>
      <c r="T242" s="41" t="n"/>
      <c r="U242" s="43">
        <f>IF(OR($B242="",$L242=""),"",WORKDAY($B242,IFERROR(INDEX(LISTAS!$C$3:$C$42,MATCH($L242,LISTAS!$A$3:$A$42,0)),3)))</f>
        <v/>
      </c>
      <c r="V242" s="40" t="n"/>
      <c r="W242" s="19">
        <f>IF($B242="","",IF($V242&lt;&gt;"",$V242-$B242,TODAY()-$B242))</f>
        <v/>
      </c>
      <c r="X242" s="19">
        <f>IF(OR($B242="",$U242=""),"",IF($V242&lt;&gt;"",MAX(0,$V242-$U242),MAX(0,TODAY()-$U242)))</f>
        <v/>
      </c>
      <c r="Y242" s="39">
        <f>IF($C242="","",IF(IFERROR(INDEX(LISTAS!$I$3:$I$42,MATCH($T242,LISTAS!$H$3:$H$42,0)),"NO")="SÍ",IF(N($X242)&gt;0,"CERRADA FUERA DE SLA","CERRADA EN SLA"),IF($U242="","SIN CLASIFICAR",IF(N($X242)&gt;0,"VENCIDA",IF(TODAY()&gt;=$U242-1,"POR VENCER","EN PLAZO")))))</f>
        <v/>
      </c>
      <c r="Z242" s="41" t="n"/>
      <c r="AA242" s="41" t="n"/>
      <c r="AB242" s="41" t="n"/>
    </row>
    <row r="243">
      <c r="A243" s="39">
        <f>IF($C243="","","NOV-"&amp;TEXT(ROW()-3,"0000"))</f>
        <v/>
      </c>
      <c r="B243" s="40" t="n"/>
      <c r="C243" s="41" t="n"/>
      <c r="D243" s="42">
        <f>IF($C243="","",IFERROR(INDEX(DESPACHOS!$D$3:$D$3002,MATCH($C243,DESPACHOS!$B$3:$B$3002,0)),"SIN DESPACHO"))</f>
        <v/>
      </c>
      <c r="E243" s="42">
        <f>IF($C243="","",IFERROR(INDEX(DESPACHOS!$K$3:$K$3002,MATCH($C243,DESPACHOS!$B$3:$B$3002,0)),""))</f>
        <v/>
      </c>
      <c r="F243" s="42">
        <f>IF($C243="","",IFERROR(INDEX(DESPACHOS!$I$3:$I$3002,MATCH($C243,DESPACHOS!$B$3:$B$3002,0)),""))</f>
        <v/>
      </c>
      <c r="G243" s="42">
        <f>IF($C243="","",IFERROR(INDEX(DESPACHOS!$F$3:$F$3002,MATCH($C243,DESPACHOS!$B$3:$B$3002,0)),""))</f>
        <v/>
      </c>
      <c r="H243" s="42">
        <f>IF($C243="","",IFERROR(INDEX(DESPACHOS!$G$3:$G$3002,MATCH($C243,DESPACHOS!$B$3:$B$3002,0)),""))</f>
        <v/>
      </c>
      <c r="I243" s="39">
        <f>IF($C243="","",IFERROR(INDEX(DESPACHOS!$H$3:$H$3002,MATCH($C243,DESPACHOS!$B$3:$B$3002,0)),""))</f>
        <v/>
      </c>
      <c r="J243" s="43">
        <f>IF($C243="","",IFERROR(INDEX(DESPACHOS!$J$3:$J$3002,MATCH($C243,DESPACHOS!$B$3:$B$3002,0)),""))</f>
        <v/>
      </c>
      <c r="K243" s="39">
        <f>IF($C243="","",IF(COUNTIFS(DESPACHOS!$B$3:$B$3002,$C243)=0,"NO EXISTE",IF(COUNTIFS(DESPACHOS!$B$3:$B$3002,$C243)&gt;1,"DUPLICADO","OK")))</f>
        <v/>
      </c>
      <c r="L243" s="41" t="n"/>
      <c r="M243" s="41" t="n"/>
      <c r="N243" s="42">
        <f>IF($M243="","",IFERROR(INDEX(LISTAS!$F$3:$F$42,MATCH($M243,LISTAS!$E$3:$E$42,0)),"Por definir"))</f>
        <v/>
      </c>
      <c r="O243" s="41" t="n"/>
      <c r="P243" s="39">
        <f>IF($L243="","",IFERROR(INDEX(LISTAS!$B$3:$B$42,MATCH($L243,LISTAS!$A$3:$A$42,0)),"Media"))</f>
        <v/>
      </c>
      <c r="Q243" s="44" t="n"/>
      <c r="R243" s="45" t="n"/>
      <c r="S243" s="20">
        <f>IFERROR(IF(OR($R243="",$C243=""),"",$R243/INDEX(DESPACHOS!$M$3:$M$3002,MATCH($C243,DESPACHOS!$B$3:$B$3002,0))),"")</f>
        <v/>
      </c>
      <c r="T243" s="41" t="n"/>
      <c r="U243" s="43">
        <f>IF(OR($B243="",$L243=""),"",WORKDAY($B243,IFERROR(INDEX(LISTAS!$C$3:$C$42,MATCH($L243,LISTAS!$A$3:$A$42,0)),3)))</f>
        <v/>
      </c>
      <c r="V243" s="40" t="n"/>
      <c r="W243" s="19">
        <f>IF($B243="","",IF($V243&lt;&gt;"",$V243-$B243,TODAY()-$B243))</f>
        <v/>
      </c>
      <c r="X243" s="19">
        <f>IF(OR($B243="",$U243=""),"",IF($V243&lt;&gt;"",MAX(0,$V243-$U243),MAX(0,TODAY()-$U243)))</f>
        <v/>
      </c>
      <c r="Y243" s="39">
        <f>IF($C243="","",IF(IFERROR(INDEX(LISTAS!$I$3:$I$42,MATCH($T243,LISTAS!$H$3:$H$42,0)),"NO")="SÍ",IF(N($X243)&gt;0,"CERRADA FUERA DE SLA","CERRADA EN SLA"),IF($U243="","SIN CLASIFICAR",IF(N($X243)&gt;0,"VENCIDA",IF(TODAY()&gt;=$U243-1,"POR VENCER","EN PLAZO")))))</f>
        <v/>
      </c>
      <c r="Z243" s="41" t="n"/>
      <c r="AA243" s="41" t="n"/>
      <c r="AB243" s="41" t="n"/>
    </row>
    <row r="244">
      <c r="A244" s="39">
        <f>IF($C244="","","NOV-"&amp;TEXT(ROW()-3,"0000"))</f>
        <v/>
      </c>
      <c r="B244" s="40" t="n"/>
      <c r="C244" s="41" t="n"/>
      <c r="D244" s="42">
        <f>IF($C244="","",IFERROR(INDEX(DESPACHOS!$D$3:$D$3002,MATCH($C244,DESPACHOS!$B$3:$B$3002,0)),"SIN DESPACHO"))</f>
        <v/>
      </c>
      <c r="E244" s="42">
        <f>IF($C244="","",IFERROR(INDEX(DESPACHOS!$K$3:$K$3002,MATCH($C244,DESPACHOS!$B$3:$B$3002,0)),""))</f>
        <v/>
      </c>
      <c r="F244" s="42">
        <f>IF($C244="","",IFERROR(INDEX(DESPACHOS!$I$3:$I$3002,MATCH($C244,DESPACHOS!$B$3:$B$3002,0)),""))</f>
        <v/>
      </c>
      <c r="G244" s="42">
        <f>IF($C244="","",IFERROR(INDEX(DESPACHOS!$F$3:$F$3002,MATCH($C244,DESPACHOS!$B$3:$B$3002,0)),""))</f>
        <v/>
      </c>
      <c r="H244" s="42">
        <f>IF($C244="","",IFERROR(INDEX(DESPACHOS!$G$3:$G$3002,MATCH($C244,DESPACHOS!$B$3:$B$3002,0)),""))</f>
        <v/>
      </c>
      <c r="I244" s="39">
        <f>IF($C244="","",IFERROR(INDEX(DESPACHOS!$H$3:$H$3002,MATCH($C244,DESPACHOS!$B$3:$B$3002,0)),""))</f>
        <v/>
      </c>
      <c r="J244" s="43">
        <f>IF($C244="","",IFERROR(INDEX(DESPACHOS!$J$3:$J$3002,MATCH($C244,DESPACHOS!$B$3:$B$3002,0)),""))</f>
        <v/>
      </c>
      <c r="K244" s="39">
        <f>IF($C244="","",IF(COUNTIFS(DESPACHOS!$B$3:$B$3002,$C244)=0,"NO EXISTE",IF(COUNTIFS(DESPACHOS!$B$3:$B$3002,$C244)&gt;1,"DUPLICADO","OK")))</f>
        <v/>
      </c>
      <c r="L244" s="41" t="n"/>
      <c r="M244" s="41" t="n"/>
      <c r="N244" s="42">
        <f>IF($M244="","",IFERROR(INDEX(LISTAS!$F$3:$F$42,MATCH($M244,LISTAS!$E$3:$E$42,0)),"Por definir"))</f>
        <v/>
      </c>
      <c r="O244" s="41" t="n"/>
      <c r="P244" s="39">
        <f>IF($L244="","",IFERROR(INDEX(LISTAS!$B$3:$B$42,MATCH($L244,LISTAS!$A$3:$A$42,0)),"Media"))</f>
        <v/>
      </c>
      <c r="Q244" s="44" t="n"/>
      <c r="R244" s="45" t="n"/>
      <c r="S244" s="20">
        <f>IFERROR(IF(OR($R244="",$C244=""),"",$R244/INDEX(DESPACHOS!$M$3:$M$3002,MATCH($C244,DESPACHOS!$B$3:$B$3002,0))),"")</f>
        <v/>
      </c>
      <c r="T244" s="41" t="n"/>
      <c r="U244" s="43">
        <f>IF(OR($B244="",$L244=""),"",WORKDAY($B244,IFERROR(INDEX(LISTAS!$C$3:$C$42,MATCH($L244,LISTAS!$A$3:$A$42,0)),3)))</f>
        <v/>
      </c>
      <c r="V244" s="40" t="n"/>
      <c r="W244" s="19">
        <f>IF($B244="","",IF($V244&lt;&gt;"",$V244-$B244,TODAY()-$B244))</f>
        <v/>
      </c>
      <c r="X244" s="19">
        <f>IF(OR($B244="",$U244=""),"",IF($V244&lt;&gt;"",MAX(0,$V244-$U244),MAX(0,TODAY()-$U244)))</f>
        <v/>
      </c>
      <c r="Y244" s="39">
        <f>IF($C244="","",IF(IFERROR(INDEX(LISTAS!$I$3:$I$42,MATCH($T244,LISTAS!$H$3:$H$42,0)),"NO")="SÍ",IF(N($X244)&gt;0,"CERRADA FUERA DE SLA","CERRADA EN SLA"),IF($U244="","SIN CLASIFICAR",IF(N($X244)&gt;0,"VENCIDA",IF(TODAY()&gt;=$U244-1,"POR VENCER","EN PLAZO")))))</f>
        <v/>
      </c>
      <c r="Z244" s="41" t="n"/>
      <c r="AA244" s="41" t="n"/>
      <c r="AB244" s="41" t="n"/>
    </row>
    <row r="245">
      <c r="A245" s="39">
        <f>IF($C245="","","NOV-"&amp;TEXT(ROW()-3,"0000"))</f>
        <v/>
      </c>
      <c r="B245" s="40" t="n"/>
      <c r="C245" s="41" t="n"/>
      <c r="D245" s="42">
        <f>IF($C245="","",IFERROR(INDEX(DESPACHOS!$D$3:$D$3002,MATCH($C245,DESPACHOS!$B$3:$B$3002,0)),"SIN DESPACHO"))</f>
        <v/>
      </c>
      <c r="E245" s="42">
        <f>IF($C245="","",IFERROR(INDEX(DESPACHOS!$K$3:$K$3002,MATCH($C245,DESPACHOS!$B$3:$B$3002,0)),""))</f>
        <v/>
      </c>
      <c r="F245" s="42">
        <f>IF($C245="","",IFERROR(INDEX(DESPACHOS!$I$3:$I$3002,MATCH($C245,DESPACHOS!$B$3:$B$3002,0)),""))</f>
        <v/>
      </c>
      <c r="G245" s="42">
        <f>IF($C245="","",IFERROR(INDEX(DESPACHOS!$F$3:$F$3002,MATCH($C245,DESPACHOS!$B$3:$B$3002,0)),""))</f>
        <v/>
      </c>
      <c r="H245" s="42">
        <f>IF($C245="","",IFERROR(INDEX(DESPACHOS!$G$3:$G$3002,MATCH($C245,DESPACHOS!$B$3:$B$3002,0)),""))</f>
        <v/>
      </c>
      <c r="I245" s="39">
        <f>IF($C245="","",IFERROR(INDEX(DESPACHOS!$H$3:$H$3002,MATCH($C245,DESPACHOS!$B$3:$B$3002,0)),""))</f>
        <v/>
      </c>
      <c r="J245" s="43">
        <f>IF($C245="","",IFERROR(INDEX(DESPACHOS!$J$3:$J$3002,MATCH($C245,DESPACHOS!$B$3:$B$3002,0)),""))</f>
        <v/>
      </c>
      <c r="K245" s="39">
        <f>IF($C245="","",IF(COUNTIFS(DESPACHOS!$B$3:$B$3002,$C245)=0,"NO EXISTE",IF(COUNTIFS(DESPACHOS!$B$3:$B$3002,$C245)&gt;1,"DUPLICADO","OK")))</f>
        <v/>
      </c>
      <c r="L245" s="41" t="n"/>
      <c r="M245" s="41" t="n"/>
      <c r="N245" s="42">
        <f>IF($M245="","",IFERROR(INDEX(LISTAS!$F$3:$F$42,MATCH($M245,LISTAS!$E$3:$E$42,0)),"Por definir"))</f>
        <v/>
      </c>
      <c r="O245" s="41" t="n"/>
      <c r="P245" s="39">
        <f>IF($L245="","",IFERROR(INDEX(LISTAS!$B$3:$B$42,MATCH($L245,LISTAS!$A$3:$A$42,0)),"Media"))</f>
        <v/>
      </c>
      <c r="Q245" s="44" t="n"/>
      <c r="R245" s="45" t="n"/>
      <c r="S245" s="20">
        <f>IFERROR(IF(OR($R245="",$C245=""),"",$R245/INDEX(DESPACHOS!$M$3:$M$3002,MATCH($C245,DESPACHOS!$B$3:$B$3002,0))),"")</f>
        <v/>
      </c>
      <c r="T245" s="41" t="n"/>
      <c r="U245" s="43">
        <f>IF(OR($B245="",$L245=""),"",WORKDAY($B245,IFERROR(INDEX(LISTAS!$C$3:$C$42,MATCH($L245,LISTAS!$A$3:$A$42,0)),3)))</f>
        <v/>
      </c>
      <c r="V245" s="40" t="n"/>
      <c r="W245" s="19">
        <f>IF($B245="","",IF($V245&lt;&gt;"",$V245-$B245,TODAY()-$B245))</f>
        <v/>
      </c>
      <c r="X245" s="19">
        <f>IF(OR($B245="",$U245=""),"",IF($V245&lt;&gt;"",MAX(0,$V245-$U245),MAX(0,TODAY()-$U245)))</f>
        <v/>
      </c>
      <c r="Y245" s="39">
        <f>IF($C245="","",IF(IFERROR(INDEX(LISTAS!$I$3:$I$42,MATCH($T245,LISTAS!$H$3:$H$42,0)),"NO")="SÍ",IF(N($X245)&gt;0,"CERRADA FUERA DE SLA","CERRADA EN SLA"),IF($U245="","SIN CLASIFICAR",IF(N($X245)&gt;0,"VENCIDA",IF(TODAY()&gt;=$U245-1,"POR VENCER","EN PLAZO")))))</f>
        <v/>
      </c>
      <c r="Z245" s="41" t="n"/>
      <c r="AA245" s="41" t="n"/>
      <c r="AB245" s="41" t="n"/>
    </row>
    <row r="246">
      <c r="A246" s="39">
        <f>IF($C246="","","NOV-"&amp;TEXT(ROW()-3,"0000"))</f>
        <v/>
      </c>
      <c r="B246" s="40" t="n"/>
      <c r="C246" s="41" t="n"/>
      <c r="D246" s="42">
        <f>IF($C246="","",IFERROR(INDEX(DESPACHOS!$D$3:$D$3002,MATCH($C246,DESPACHOS!$B$3:$B$3002,0)),"SIN DESPACHO"))</f>
        <v/>
      </c>
      <c r="E246" s="42">
        <f>IF($C246="","",IFERROR(INDEX(DESPACHOS!$K$3:$K$3002,MATCH($C246,DESPACHOS!$B$3:$B$3002,0)),""))</f>
        <v/>
      </c>
      <c r="F246" s="42">
        <f>IF($C246="","",IFERROR(INDEX(DESPACHOS!$I$3:$I$3002,MATCH($C246,DESPACHOS!$B$3:$B$3002,0)),""))</f>
        <v/>
      </c>
      <c r="G246" s="42">
        <f>IF($C246="","",IFERROR(INDEX(DESPACHOS!$F$3:$F$3002,MATCH($C246,DESPACHOS!$B$3:$B$3002,0)),""))</f>
        <v/>
      </c>
      <c r="H246" s="42">
        <f>IF($C246="","",IFERROR(INDEX(DESPACHOS!$G$3:$G$3002,MATCH($C246,DESPACHOS!$B$3:$B$3002,0)),""))</f>
        <v/>
      </c>
      <c r="I246" s="39">
        <f>IF($C246="","",IFERROR(INDEX(DESPACHOS!$H$3:$H$3002,MATCH($C246,DESPACHOS!$B$3:$B$3002,0)),""))</f>
        <v/>
      </c>
      <c r="J246" s="43">
        <f>IF($C246="","",IFERROR(INDEX(DESPACHOS!$J$3:$J$3002,MATCH($C246,DESPACHOS!$B$3:$B$3002,0)),""))</f>
        <v/>
      </c>
      <c r="K246" s="39">
        <f>IF($C246="","",IF(COUNTIFS(DESPACHOS!$B$3:$B$3002,$C246)=0,"NO EXISTE",IF(COUNTIFS(DESPACHOS!$B$3:$B$3002,$C246)&gt;1,"DUPLICADO","OK")))</f>
        <v/>
      </c>
      <c r="L246" s="41" t="n"/>
      <c r="M246" s="41" t="n"/>
      <c r="N246" s="42">
        <f>IF($M246="","",IFERROR(INDEX(LISTAS!$F$3:$F$42,MATCH($M246,LISTAS!$E$3:$E$42,0)),"Por definir"))</f>
        <v/>
      </c>
      <c r="O246" s="41" t="n"/>
      <c r="P246" s="39">
        <f>IF($L246="","",IFERROR(INDEX(LISTAS!$B$3:$B$42,MATCH($L246,LISTAS!$A$3:$A$42,0)),"Media"))</f>
        <v/>
      </c>
      <c r="Q246" s="44" t="n"/>
      <c r="R246" s="45" t="n"/>
      <c r="S246" s="20">
        <f>IFERROR(IF(OR($R246="",$C246=""),"",$R246/INDEX(DESPACHOS!$M$3:$M$3002,MATCH($C246,DESPACHOS!$B$3:$B$3002,0))),"")</f>
        <v/>
      </c>
      <c r="T246" s="41" t="n"/>
      <c r="U246" s="43">
        <f>IF(OR($B246="",$L246=""),"",WORKDAY($B246,IFERROR(INDEX(LISTAS!$C$3:$C$42,MATCH($L246,LISTAS!$A$3:$A$42,0)),3)))</f>
        <v/>
      </c>
      <c r="V246" s="40" t="n"/>
      <c r="W246" s="19">
        <f>IF($B246="","",IF($V246&lt;&gt;"",$V246-$B246,TODAY()-$B246))</f>
        <v/>
      </c>
      <c r="X246" s="19">
        <f>IF(OR($B246="",$U246=""),"",IF($V246&lt;&gt;"",MAX(0,$V246-$U246),MAX(0,TODAY()-$U246)))</f>
        <v/>
      </c>
      <c r="Y246" s="39">
        <f>IF($C246="","",IF(IFERROR(INDEX(LISTAS!$I$3:$I$42,MATCH($T246,LISTAS!$H$3:$H$42,0)),"NO")="SÍ",IF(N($X246)&gt;0,"CERRADA FUERA DE SLA","CERRADA EN SLA"),IF($U246="","SIN CLASIFICAR",IF(N($X246)&gt;0,"VENCIDA",IF(TODAY()&gt;=$U246-1,"POR VENCER","EN PLAZO")))))</f>
        <v/>
      </c>
      <c r="Z246" s="41" t="n"/>
      <c r="AA246" s="41" t="n"/>
      <c r="AB246" s="41" t="n"/>
    </row>
    <row r="247">
      <c r="A247" s="39">
        <f>IF($C247="","","NOV-"&amp;TEXT(ROW()-3,"0000"))</f>
        <v/>
      </c>
      <c r="B247" s="40" t="n"/>
      <c r="C247" s="41" t="n"/>
      <c r="D247" s="42">
        <f>IF($C247="","",IFERROR(INDEX(DESPACHOS!$D$3:$D$3002,MATCH($C247,DESPACHOS!$B$3:$B$3002,0)),"SIN DESPACHO"))</f>
        <v/>
      </c>
      <c r="E247" s="42">
        <f>IF($C247="","",IFERROR(INDEX(DESPACHOS!$K$3:$K$3002,MATCH($C247,DESPACHOS!$B$3:$B$3002,0)),""))</f>
        <v/>
      </c>
      <c r="F247" s="42">
        <f>IF($C247="","",IFERROR(INDEX(DESPACHOS!$I$3:$I$3002,MATCH($C247,DESPACHOS!$B$3:$B$3002,0)),""))</f>
        <v/>
      </c>
      <c r="G247" s="42">
        <f>IF($C247="","",IFERROR(INDEX(DESPACHOS!$F$3:$F$3002,MATCH($C247,DESPACHOS!$B$3:$B$3002,0)),""))</f>
        <v/>
      </c>
      <c r="H247" s="42">
        <f>IF($C247="","",IFERROR(INDEX(DESPACHOS!$G$3:$G$3002,MATCH($C247,DESPACHOS!$B$3:$B$3002,0)),""))</f>
        <v/>
      </c>
      <c r="I247" s="39">
        <f>IF($C247="","",IFERROR(INDEX(DESPACHOS!$H$3:$H$3002,MATCH($C247,DESPACHOS!$B$3:$B$3002,0)),""))</f>
        <v/>
      </c>
      <c r="J247" s="43">
        <f>IF($C247="","",IFERROR(INDEX(DESPACHOS!$J$3:$J$3002,MATCH($C247,DESPACHOS!$B$3:$B$3002,0)),""))</f>
        <v/>
      </c>
      <c r="K247" s="39">
        <f>IF($C247="","",IF(COUNTIFS(DESPACHOS!$B$3:$B$3002,$C247)=0,"NO EXISTE",IF(COUNTIFS(DESPACHOS!$B$3:$B$3002,$C247)&gt;1,"DUPLICADO","OK")))</f>
        <v/>
      </c>
      <c r="L247" s="41" t="n"/>
      <c r="M247" s="41" t="n"/>
      <c r="N247" s="42">
        <f>IF($M247="","",IFERROR(INDEX(LISTAS!$F$3:$F$42,MATCH($M247,LISTAS!$E$3:$E$42,0)),"Por definir"))</f>
        <v/>
      </c>
      <c r="O247" s="41" t="n"/>
      <c r="P247" s="39">
        <f>IF($L247="","",IFERROR(INDEX(LISTAS!$B$3:$B$42,MATCH($L247,LISTAS!$A$3:$A$42,0)),"Media"))</f>
        <v/>
      </c>
      <c r="Q247" s="44" t="n"/>
      <c r="R247" s="45" t="n"/>
      <c r="S247" s="20">
        <f>IFERROR(IF(OR($R247="",$C247=""),"",$R247/INDEX(DESPACHOS!$M$3:$M$3002,MATCH($C247,DESPACHOS!$B$3:$B$3002,0))),"")</f>
        <v/>
      </c>
      <c r="T247" s="41" t="n"/>
      <c r="U247" s="43">
        <f>IF(OR($B247="",$L247=""),"",WORKDAY($B247,IFERROR(INDEX(LISTAS!$C$3:$C$42,MATCH($L247,LISTAS!$A$3:$A$42,0)),3)))</f>
        <v/>
      </c>
      <c r="V247" s="40" t="n"/>
      <c r="W247" s="19">
        <f>IF($B247="","",IF($V247&lt;&gt;"",$V247-$B247,TODAY()-$B247))</f>
        <v/>
      </c>
      <c r="X247" s="19">
        <f>IF(OR($B247="",$U247=""),"",IF($V247&lt;&gt;"",MAX(0,$V247-$U247),MAX(0,TODAY()-$U247)))</f>
        <v/>
      </c>
      <c r="Y247" s="39">
        <f>IF($C247="","",IF(IFERROR(INDEX(LISTAS!$I$3:$I$42,MATCH($T247,LISTAS!$H$3:$H$42,0)),"NO")="SÍ",IF(N($X247)&gt;0,"CERRADA FUERA DE SLA","CERRADA EN SLA"),IF($U247="","SIN CLASIFICAR",IF(N($X247)&gt;0,"VENCIDA",IF(TODAY()&gt;=$U247-1,"POR VENCER","EN PLAZO")))))</f>
        <v/>
      </c>
      <c r="Z247" s="41" t="n"/>
      <c r="AA247" s="41" t="n"/>
      <c r="AB247" s="41" t="n"/>
    </row>
    <row r="248">
      <c r="A248" s="39">
        <f>IF($C248="","","NOV-"&amp;TEXT(ROW()-3,"0000"))</f>
        <v/>
      </c>
      <c r="B248" s="40" t="n"/>
      <c r="C248" s="41" t="n"/>
      <c r="D248" s="42">
        <f>IF($C248="","",IFERROR(INDEX(DESPACHOS!$D$3:$D$3002,MATCH($C248,DESPACHOS!$B$3:$B$3002,0)),"SIN DESPACHO"))</f>
        <v/>
      </c>
      <c r="E248" s="42">
        <f>IF($C248="","",IFERROR(INDEX(DESPACHOS!$K$3:$K$3002,MATCH($C248,DESPACHOS!$B$3:$B$3002,0)),""))</f>
        <v/>
      </c>
      <c r="F248" s="42">
        <f>IF($C248="","",IFERROR(INDEX(DESPACHOS!$I$3:$I$3002,MATCH($C248,DESPACHOS!$B$3:$B$3002,0)),""))</f>
        <v/>
      </c>
      <c r="G248" s="42">
        <f>IF($C248="","",IFERROR(INDEX(DESPACHOS!$F$3:$F$3002,MATCH($C248,DESPACHOS!$B$3:$B$3002,0)),""))</f>
        <v/>
      </c>
      <c r="H248" s="42">
        <f>IF($C248="","",IFERROR(INDEX(DESPACHOS!$G$3:$G$3002,MATCH($C248,DESPACHOS!$B$3:$B$3002,0)),""))</f>
        <v/>
      </c>
      <c r="I248" s="39">
        <f>IF($C248="","",IFERROR(INDEX(DESPACHOS!$H$3:$H$3002,MATCH($C248,DESPACHOS!$B$3:$B$3002,0)),""))</f>
        <v/>
      </c>
      <c r="J248" s="43">
        <f>IF($C248="","",IFERROR(INDEX(DESPACHOS!$J$3:$J$3002,MATCH($C248,DESPACHOS!$B$3:$B$3002,0)),""))</f>
        <v/>
      </c>
      <c r="K248" s="39">
        <f>IF($C248="","",IF(COUNTIFS(DESPACHOS!$B$3:$B$3002,$C248)=0,"NO EXISTE",IF(COUNTIFS(DESPACHOS!$B$3:$B$3002,$C248)&gt;1,"DUPLICADO","OK")))</f>
        <v/>
      </c>
      <c r="L248" s="41" t="n"/>
      <c r="M248" s="41" t="n"/>
      <c r="N248" s="42">
        <f>IF($M248="","",IFERROR(INDEX(LISTAS!$F$3:$F$42,MATCH($M248,LISTAS!$E$3:$E$42,0)),"Por definir"))</f>
        <v/>
      </c>
      <c r="O248" s="41" t="n"/>
      <c r="P248" s="39">
        <f>IF($L248="","",IFERROR(INDEX(LISTAS!$B$3:$B$42,MATCH($L248,LISTAS!$A$3:$A$42,0)),"Media"))</f>
        <v/>
      </c>
      <c r="Q248" s="44" t="n"/>
      <c r="R248" s="45" t="n"/>
      <c r="S248" s="20">
        <f>IFERROR(IF(OR($R248="",$C248=""),"",$R248/INDEX(DESPACHOS!$M$3:$M$3002,MATCH($C248,DESPACHOS!$B$3:$B$3002,0))),"")</f>
        <v/>
      </c>
      <c r="T248" s="41" t="n"/>
      <c r="U248" s="43">
        <f>IF(OR($B248="",$L248=""),"",WORKDAY($B248,IFERROR(INDEX(LISTAS!$C$3:$C$42,MATCH($L248,LISTAS!$A$3:$A$42,0)),3)))</f>
        <v/>
      </c>
      <c r="V248" s="40" t="n"/>
      <c r="W248" s="19">
        <f>IF($B248="","",IF($V248&lt;&gt;"",$V248-$B248,TODAY()-$B248))</f>
        <v/>
      </c>
      <c r="X248" s="19">
        <f>IF(OR($B248="",$U248=""),"",IF($V248&lt;&gt;"",MAX(0,$V248-$U248),MAX(0,TODAY()-$U248)))</f>
        <v/>
      </c>
      <c r="Y248" s="39">
        <f>IF($C248="","",IF(IFERROR(INDEX(LISTAS!$I$3:$I$42,MATCH($T248,LISTAS!$H$3:$H$42,0)),"NO")="SÍ",IF(N($X248)&gt;0,"CERRADA FUERA DE SLA","CERRADA EN SLA"),IF($U248="","SIN CLASIFICAR",IF(N($X248)&gt;0,"VENCIDA",IF(TODAY()&gt;=$U248-1,"POR VENCER","EN PLAZO")))))</f>
        <v/>
      </c>
      <c r="Z248" s="41" t="n"/>
      <c r="AA248" s="41" t="n"/>
      <c r="AB248" s="41" t="n"/>
    </row>
    <row r="249">
      <c r="A249" s="39">
        <f>IF($C249="","","NOV-"&amp;TEXT(ROW()-3,"0000"))</f>
        <v/>
      </c>
      <c r="B249" s="40" t="n"/>
      <c r="C249" s="41" t="n"/>
      <c r="D249" s="42">
        <f>IF($C249="","",IFERROR(INDEX(DESPACHOS!$D$3:$D$3002,MATCH($C249,DESPACHOS!$B$3:$B$3002,0)),"SIN DESPACHO"))</f>
        <v/>
      </c>
      <c r="E249" s="42">
        <f>IF($C249="","",IFERROR(INDEX(DESPACHOS!$K$3:$K$3002,MATCH($C249,DESPACHOS!$B$3:$B$3002,0)),""))</f>
        <v/>
      </c>
      <c r="F249" s="42">
        <f>IF($C249="","",IFERROR(INDEX(DESPACHOS!$I$3:$I$3002,MATCH($C249,DESPACHOS!$B$3:$B$3002,0)),""))</f>
        <v/>
      </c>
      <c r="G249" s="42">
        <f>IF($C249="","",IFERROR(INDEX(DESPACHOS!$F$3:$F$3002,MATCH($C249,DESPACHOS!$B$3:$B$3002,0)),""))</f>
        <v/>
      </c>
      <c r="H249" s="42">
        <f>IF($C249="","",IFERROR(INDEX(DESPACHOS!$G$3:$G$3002,MATCH($C249,DESPACHOS!$B$3:$B$3002,0)),""))</f>
        <v/>
      </c>
      <c r="I249" s="39">
        <f>IF($C249="","",IFERROR(INDEX(DESPACHOS!$H$3:$H$3002,MATCH($C249,DESPACHOS!$B$3:$B$3002,0)),""))</f>
        <v/>
      </c>
      <c r="J249" s="43">
        <f>IF($C249="","",IFERROR(INDEX(DESPACHOS!$J$3:$J$3002,MATCH($C249,DESPACHOS!$B$3:$B$3002,0)),""))</f>
        <v/>
      </c>
      <c r="K249" s="39">
        <f>IF($C249="","",IF(COUNTIFS(DESPACHOS!$B$3:$B$3002,$C249)=0,"NO EXISTE",IF(COUNTIFS(DESPACHOS!$B$3:$B$3002,$C249)&gt;1,"DUPLICADO","OK")))</f>
        <v/>
      </c>
      <c r="L249" s="41" t="n"/>
      <c r="M249" s="41" t="n"/>
      <c r="N249" s="42">
        <f>IF($M249="","",IFERROR(INDEX(LISTAS!$F$3:$F$42,MATCH($M249,LISTAS!$E$3:$E$42,0)),"Por definir"))</f>
        <v/>
      </c>
      <c r="O249" s="41" t="n"/>
      <c r="P249" s="39">
        <f>IF($L249="","",IFERROR(INDEX(LISTAS!$B$3:$B$42,MATCH($L249,LISTAS!$A$3:$A$42,0)),"Media"))</f>
        <v/>
      </c>
      <c r="Q249" s="44" t="n"/>
      <c r="R249" s="45" t="n"/>
      <c r="S249" s="20">
        <f>IFERROR(IF(OR($R249="",$C249=""),"",$R249/INDEX(DESPACHOS!$M$3:$M$3002,MATCH($C249,DESPACHOS!$B$3:$B$3002,0))),"")</f>
        <v/>
      </c>
      <c r="T249" s="41" t="n"/>
      <c r="U249" s="43">
        <f>IF(OR($B249="",$L249=""),"",WORKDAY($B249,IFERROR(INDEX(LISTAS!$C$3:$C$42,MATCH($L249,LISTAS!$A$3:$A$42,0)),3)))</f>
        <v/>
      </c>
      <c r="V249" s="40" t="n"/>
      <c r="W249" s="19">
        <f>IF($B249="","",IF($V249&lt;&gt;"",$V249-$B249,TODAY()-$B249))</f>
        <v/>
      </c>
      <c r="X249" s="19">
        <f>IF(OR($B249="",$U249=""),"",IF($V249&lt;&gt;"",MAX(0,$V249-$U249),MAX(0,TODAY()-$U249)))</f>
        <v/>
      </c>
      <c r="Y249" s="39">
        <f>IF($C249="","",IF(IFERROR(INDEX(LISTAS!$I$3:$I$42,MATCH($T249,LISTAS!$H$3:$H$42,0)),"NO")="SÍ",IF(N($X249)&gt;0,"CERRADA FUERA DE SLA","CERRADA EN SLA"),IF($U249="","SIN CLASIFICAR",IF(N($X249)&gt;0,"VENCIDA",IF(TODAY()&gt;=$U249-1,"POR VENCER","EN PLAZO")))))</f>
        <v/>
      </c>
      <c r="Z249" s="41" t="n"/>
      <c r="AA249" s="41" t="n"/>
      <c r="AB249" s="41" t="n"/>
    </row>
    <row r="250">
      <c r="A250" s="39">
        <f>IF($C250="","","NOV-"&amp;TEXT(ROW()-3,"0000"))</f>
        <v/>
      </c>
      <c r="B250" s="40" t="n"/>
      <c r="C250" s="41" t="n"/>
      <c r="D250" s="42">
        <f>IF($C250="","",IFERROR(INDEX(DESPACHOS!$D$3:$D$3002,MATCH($C250,DESPACHOS!$B$3:$B$3002,0)),"SIN DESPACHO"))</f>
        <v/>
      </c>
      <c r="E250" s="42">
        <f>IF($C250="","",IFERROR(INDEX(DESPACHOS!$K$3:$K$3002,MATCH($C250,DESPACHOS!$B$3:$B$3002,0)),""))</f>
        <v/>
      </c>
      <c r="F250" s="42">
        <f>IF($C250="","",IFERROR(INDEX(DESPACHOS!$I$3:$I$3002,MATCH($C250,DESPACHOS!$B$3:$B$3002,0)),""))</f>
        <v/>
      </c>
      <c r="G250" s="42">
        <f>IF($C250="","",IFERROR(INDEX(DESPACHOS!$F$3:$F$3002,MATCH($C250,DESPACHOS!$B$3:$B$3002,0)),""))</f>
        <v/>
      </c>
      <c r="H250" s="42">
        <f>IF($C250="","",IFERROR(INDEX(DESPACHOS!$G$3:$G$3002,MATCH($C250,DESPACHOS!$B$3:$B$3002,0)),""))</f>
        <v/>
      </c>
      <c r="I250" s="39">
        <f>IF($C250="","",IFERROR(INDEX(DESPACHOS!$H$3:$H$3002,MATCH($C250,DESPACHOS!$B$3:$B$3002,0)),""))</f>
        <v/>
      </c>
      <c r="J250" s="43">
        <f>IF($C250="","",IFERROR(INDEX(DESPACHOS!$J$3:$J$3002,MATCH($C250,DESPACHOS!$B$3:$B$3002,0)),""))</f>
        <v/>
      </c>
      <c r="K250" s="39">
        <f>IF($C250="","",IF(COUNTIFS(DESPACHOS!$B$3:$B$3002,$C250)=0,"NO EXISTE",IF(COUNTIFS(DESPACHOS!$B$3:$B$3002,$C250)&gt;1,"DUPLICADO","OK")))</f>
        <v/>
      </c>
      <c r="L250" s="41" t="n"/>
      <c r="M250" s="41" t="n"/>
      <c r="N250" s="42">
        <f>IF($M250="","",IFERROR(INDEX(LISTAS!$F$3:$F$42,MATCH($M250,LISTAS!$E$3:$E$42,0)),"Por definir"))</f>
        <v/>
      </c>
      <c r="O250" s="41" t="n"/>
      <c r="P250" s="39">
        <f>IF($L250="","",IFERROR(INDEX(LISTAS!$B$3:$B$42,MATCH($L250,LISTAS!$A$3:$A$42,0)),"Media"))</f>
        <v/>
      </c>
      <c r="Q250" s="44" t="n"/>
      <c r="R250" s="45" t="n"/>
      <c r="S250" s="20">
        <f>IFERROR(IF(OR($R250="",$C250=""),"",$R250/INDEX(DESPACHOS!$M$3:$M$3002,MATCH($C250,DESPACHOS!$B$3:$B$3002,0))),"")</f>
        <v/>
      </c>
      <c r="T250" s="41" t="n"/>
      <c r="U250" s="43">
        <f>IF(OR($B250="",$L250=""),"",WORKDAY($B250,IFERROR(INDEX(LISTAS!$C$3:$C$42,MATCH($L250,LISTAS!$A$3:$A$42,0)),3)))</f>
        <v/>
      </c>
      <c r="V250" s="40" t="n"/>
      <c r="W250" s="19">
        <f>IF($B250="","",IF($V250&lt;&gt;"",$V250-$B250,TODAY()-$B250))</f>
        <v/>
      </c>
      <c r="X250" s="19">
        <f>IF(OR($B250="",$U250=""),"",IF($V250&lt;&gt;"",MAX(0,$V250-$U250),MAX(0,TODAY()-$U250)))</f>
        <v/>
      </c>
      <c r="Y250" s="39">
        <f>IF($C250="","",IF(IFERROR(INDEX(LISTAS!$I$3:$I$42,MATCH($T250,LISTAS!$H$3:$H$42,0)),"NO")="SÍ",IF(N($X250)&gt;0,"CERRADA FUERA DE SLA","CERRADA EN SLA"),IF($U250="","SIN CLASIFICAR",IF(N($X250)&gt;0,"VENCIDA",IF(TODAY()&gt;=$U250-1,"POR VENCER","EN PLAZO")))))</f>
        <v/>
      </c>
      <c r="Z250" s="41" t="n"/>
      <c r="AA250" s="41" t="n"/>
      <c r="AB250" s="41" t="n"/>
    </row>
    <row r="251">
      <c r="A251" s="39">
        <f>IF($C251="","","NOV-"&amp;TEXT(ROW()-3,"0000"))</f>
        <v/>
      </c>
      <c r="B251" s="40" t="n"/>
      <c r="C251" s="41" t="n"/>
      <c r="D251" s="42">
        <f>IF($C251="","",IFERROR(INDEX(DESPACHOS!$D$3:$D$3002,MATCH($C251,DESPACHOS!$B$3:$B$3002,0)),"SIN DESPACHO"))</f>
        <v/>
      </c>
      <c r="E251" s="42">
        <f>IF($C251="","",IFERROR(INDEX(DESPACHOS!$K$3:$K$3002,MATCH($C251,DESPACHOS!$B$3:$B$3002,0)),""))</f>
        <v/>
      </c>
      <c r="F251" s="42">
        <f>IF($C251="","",IFERROR(INDEX(DESPACHOS!$I$3:$I$3002,MATCH($C251,DESPACHOS!$B$3:$B$3002,0)),""))</f>
        <v/>
      </c>
      <c r="G251" s="42">
        <f>IF($C251="","",IFERROR(INDEX(DESPACHOS!$F$3:$F$3002,MATCH($C251,DESPACHOS!$B$3:$B$3002,0)),""))</f>
        <v/>
      </c>
      <c r="H251" s="42">
        <f>IF($C251="","",IFERROR(INDEX(DESPACHOS!$G$3:$G$3002,MATCH($C251,DESPACHOS!$B$3:$B$3002,0)),""))</f>
        <v/>
      </c>
      <c r="I251" s="39">
        <f>IF($C251="","",IFERROR(INDEX(DESPACHOS!$H$3:$H$3002,MATCH($C251,DESPACHOS!$B$3:$B$3002,0)),""))</f>
        <v/>
      </c>
      <c r="J251" s="43">
        <f>IF($C251="","",IFERROR(INDEX(DESPACHOS!$J$3:$J$3002,MATCH($C251,DESPACHOS!$B$3:$B$3002,0)),""))</f>
        <v/>
      </c>
      <c r="K251" s="39">
        <f>IF($C251="","",IF(COUNTIFS(DESPACHOS!$B$3:$B$3002,$C251)=0,"NO EXISTE",IF(COUNTIFS(DESPACHOS!$B$3:$B$3002,$C251)&gt;1,"DUPLICADO","OK")))</f>
        <v/>
      </c>
      <c r="L251" s="41" t="n"/>
      <c r="M251" s="41" t="n"/>
      <c r="N251" s="42">
        <f>IF($M251="","",IFERROR(INDEX(LISTAS!$F$3:$F$42,MATCH($M251,LISTAS!$E$3:$E$42,0)),"Por definir"))</f>
        <v/>
      </c>
      <c r="O251" s="41" t="n"/>
      <c r="P251" s="39">
        <f>IF($L251="","",IFERROR(INDEX(LISTAS!$B$3:$B$42,MATCH($L251,LISTAS!$A$3:$A$42,0)),"Media"))</f>
        <v/>
      </c>
      <c r="Q251" s="44" t="n"/>
      <c r="R251" s="45" t="n"/>
      <c r="S251" s="20">
        <f>IFERROR(IF(OR($R251="",$C251=""),"",$R251/INDEX(DESPACHOS!$M$3:$M$3002,MATCH($C251,DESPACHOS!$B$3:$B$3002,0))),"")</f>
        <v/>
      </c>
      <c r="T251" s="41" t="n"/>
      <c r="U251" s="43">
        <f>IF(OR($B251="",$L251=""),"",WORKDAY($B251,IFERROR(INDEX(LISTAS!$C$3:$C$42,MATCH($L251,LISTAS!$A$3:$A$42,0)),3)))</f>
        <v/>
      </c>
      <c r="V251" s="40" t="n"/>
      <c r="W251" s="19">
        <f>IF($B251="","",IF($V251&lt;&gt;"",$V251-$B251,TODAY()-$B251))</f>
        <v/>
      </c>
      <c r="X251" s="19">
        <f>IF(OR($B251="",$U251=""),"",IF($V251&lt;&gt;"",MAX(0,$V251-$U251),MAX(0,TODAY()-$U251)))</f>
        <v/>
      </c>
      <c r="Y251" s="39">
        <f>IF($C251="","",IF(IFERROR(INDEX(LISTAS!$I$3:$I$42,MATCH($T251,LISTAS!$H$3:$H$42,0)),"NO")="SÍ",IF(N($X251)&gt;0,"CERRADA FUERA DE SLA","CERRADA EN SLA"),IF($U251="","SIN CLASIFICAR",IF(N($X251)&gt;0,"VENCIDA",IF(TODAY()&gt;=$U251-1,"POR VENCER","EN PLAZO")))))</f>
        <v/>
      </c>
      <c r="Z251" s="41" t="n"/>
      <c r="AA251" s="41" t="n"/>
      <c r="AB251" s="41" t="n"/>
    </row>
    <row r="252">
      <c r="A252" s="39">
        <f>IF($C252="","","NOV-"&amp;TEXT(ROW()-3,"0000"))</f>
        <v/>
      </c>
      <c r="B252" s="40" t="n"/>
      <c r="C252" s="41" t="n"/>
      <c r="D252" s="42">
        <f>IF($C252="","",IFERROR(INDEX(DESPACHOS!$D$3:$D$3002,MATCH($C252,DESPACHOS!$B$3:$B$3002,0)),"SIN DESPACHO"))</f>
        <v/>
      </c>
      <c r="E252" s="42">
        <f>IF($C252="","",IFERROR(INDEX(DESPACHOS!$K$3:$K$3002,MATCH($C252,DESPACHOS!$B$3:$B$3002,0)),""))</f>
        <v/>
      </c>
      <c r="F252" s="42">
        <f>IF($C252="","",IFERROR(INDEX(DESPACHOS!$I$3:$I$3002,MATCH($C252,DESPACHOS!$B$3:$B$3002,0)),""))</f>
        <v/>
      </c>
      <c r="G252" s="42">
        <f>IF($C252="","",IFERROR(INDEX(DESPACHOS!$F$3:$F$3002,MATCH($C252,DESPACHOS!$B$3:$B$3002,0)),""))</f>
        <v/>
      </c>
      <c r="H252" s="42">
        <f>IF($C252="","",IFERROR(INDEX(DESPACHOS!$G$3:$G$3002,MATCH($C252,DESPACHOS!$B$3:$B$3002,0)),""))</f>
        <v/>
      </c>
      <c r="I252" s="39">
        <f>IF($C252="","",IFERROR(INDEX(DESPACHOS!$H$3:$H$3002,MATCH($C252,DESPACHOS!$B$3:$B$3002,0)),""))</f>
        <v/>
      </c>
      <c r="J252" s="43">
        <f>IF($C252="","",IFERROR(INDEX(DESPACHOS!$J$3:$J$3002,MATCH($C252,DESPACHOS!$B$3:$B$3002,0)),""))</f>
        <v/>
      </c>
      <c r="K252" s="39">
        <f>IF($C252="","",IF(COUNTIFS(DESPACHOS!$B$3:$B$3002,$C252)=0,"NO EXISTE",IF(COUNTIFS(DESPACHOS!$B$3:$B$3002,$C252)&gt;1,"DUPLICADO","OK")))</f>
        <v/>
      </c>
      <c r="L252" s="41" t="n"/>
      <c r="M252" s="41" t="n"/>
      <c r="N252" s="42">
        <f>IF($M252="","",IFERROR(INDEX(LISTAS!$F$3:$F$42,MATCH($M252,LISTAS!$E$3:$E$42,0)),"Por definir"))</f>
        <v/>
      </c>
      <c r="O252" s="41" t="n"/>
      <c r="P252" s="39">
        <f>IF($L252="","",IFERROR(INDEX(LISTAS!$B$3:$B$42,MATCH($L252,LISTAS!$A$3:$A$42,0)),"Media"))</f>
        <v/>
      </c>
      <c r="Q252" s="44" t="n"/>
      <c r="R252" s="45" t="n"/>
      <c r="S252" s="20">
        <f>IFERROR(IF(OR($R252="",$C252=""),"",$R252/INDEX(DESPACHOS!$M$3:$M$3002,MATCH($C252,DESPACHOS!$B$3:$B$3002,0))),"")</f>
        <v/>
      </c>
      <c r="T252" s="41" t="n"/>
      <c r="U252" s="43">
        <f>IF(OR($B252="",$L252=""),"",WORKDAY($B252,IFERROR(INDEX(LISTAS!$C$3:$C$42,MATCH($L252,LISTAS!$A$3:$A$42,0)),3)))</f>
        <v/>
      </c>
      <c r="V252" s="40" t="n"/>
      <c r="W252" s="19">
        <f>IF($B252="","",IF($V252&lt;&gt;"",$V252-$B252,TODAY()-$B252))</f>
        <v/>
      </c>
      <c r="X252" s="19">
        <f>IF(OR($B252="",$U252=""),"",IF($V252&lt;&gt;"",MAX(0,$V252-$U252),MAX(0,TODAY()-$U252)))</f>
        <v/>
      </c>
      <c r="Y252" s="39">
        <f>IF($C252="","",IF(IFERROR(INDEX(LISTAS!$I$3:$I$42,MATCH($T252,LISTAS!$H$3:$H$42,0)),"NO")="SÍ",IF(N($X252)&gt;0,"CERRADA FUERA DE SLA","CERRADA EN SLA"),IF($U252="","SIN CLASIFICAR",IF(N($X252)&gt;0,"VENCIDA",IF(TODAY()&gt;=$U252-1,"POR VENCER","EN PLAZO")))))</f>
        <v/>
      </c>
      <c r="Z252" s="41" t="n"/>
      <c r="AA252" s="41" t="n"/>
      <c r="AB252" s="41" t="n"/>
    </row>
    <row r="253">
      <c r="A253" s="39">
        <f>IF($C253="","","NOV-"&amp;TEXT(ROW()-3,"0000"))</f>
        <v/>
      </c>
      <c r="B253" s="40" t="n"/>
      <c r="C253" s="41" t="n"/>
      <c r="D253" s="42">
        <f>IF($C253="","",IFERROR(INDEX(DESPACHOS!$D$3:$D$3002,MATCH($C253,DESPACHOS!$B$3:$B$3002,0)),"SIN DESPACHO"))</f>
        <v/>
      </c>
      <c r="E253" s="42">
        <f>IF($C253="","",IFERROR(INDEX(DESPACHOS!$K$3:$K$3002,MATCH($C253,DESPACHOS!$B$3:$B$3002,0)),""))</f>
        <v/>
      </c>
      <c r="F253" s="42">
        <f>IF($C253="","",IFERROR(INDEX(DESPACHOS!$I$3:$I$3002,MATCH($C253,DESPACHOS!$B$3:$B$3002,0)),""))</f>
        <v/>
      </c>
      <c r="G253" s="42">
        <f>IF($C253="","",IFERROR(INDEX(DESPACHOS!$F$3:$F$3002,MATCH($C253,DESPACHOS!$B$3:$B$3002,0)),""))</f>
        <v/>
      </c>
      <c r="H253" s="42">
        <f>IF($C253="","",IFERROR(INDEX(DESPACHOS!$G$3:$G$3002,MATCH($C253,DESPACHOS!$B$3:$B$3002,0)),""))</f>
        <v/>
      </c>
      <c r="I253" s="39">
        <f>IF($C253="","",IFERROR(INDEX(DESPACHOS!$H$3:$H$3002,MATCH($C253,DESPACHOS!$B$3:$B$3002,0)),""))</f>
        <v/>
      </c>
      <c r="J253" s="43">
        <f>IF($C253="","",IFERROR(INDEX(DESPACHOS!$J$3:$J$3002,MATCH($C253,DESPACHOS!$B$3:$B$3002,0)),""))</f>
        <v/>
      </c>
      <c r="K253" s="39">
        <f>IF($C253="","",IF(COUNTIFS(DESPACHOS!$B$3:$B$3002,$C253)=0,"NO EXISTE",IF(COUNTIFS(DESPACHOS!$B$3:$B$3002,$C253)&gt;1,"DUPLICADO","OK")))</f>
        <v/>
      </c>
      <c r="L253" s="41" t="n"/>
      <c r="M253" s="41" t="n"/>
      <c r="N253" s="42">
        <f>IF($M253="","",IFERROR(INDEX(LISTAS!$F$3:$F$42,MATCH($M253,LISTAS!$E$3:$E$42,0)),"Por definir"))</f>
        <v/>
      </c>
      <c r="O253" s="41" t="n"/>
      <c r="P253" s="39">
        <f>IF($L253="","",IFERROR(INDEX(LISTAS!$B$3:$B$42,MATCH($L253,LISTAS!$A$3:$A$42,0)),"Media"))</f>
        <v/>
      </c>
      <c r="Q253" s="44" t="n"/>
      <c r="R253" s="45" t="n"/>
      <c r="S253" s="20">
        <f>IFERROR(IF(OR($R253="",$C253=""),"",$R253/INDEX(DESPACHOS!$M$3:$M$3002,MATCH($C253,DESPACHOS!$B$3:$B$3002,0))),"")</f>
        <v/>
      </c>
      <c r="T253" s="41" t="n"/>
      <c r="U253" s="43">
        <f>IF(OR($B253="",$L253=""),"",WORKDAY($B253,IFERROR(INDEX(LISTAS!$C$3:$C$42,MATCH($L253,LISTAS!$A$3:$A$42,0)),3)))</f>
        <v/>
      </c>
      <c r="V253" s="40" t="n"/>
      <c r="W253" s="19">
        <f>IF($B253="","",IF($V253&lt;&gt;"",$V253-$B253,TODAY()-$B253))</f>
        <v/>
      </c>
      <c r="X253" s="19">
        <f>IF(OR($B253="",$U253=""),"",IF($V253&lt;&gt;"",MAX(0,$V253-$U253),MAX(0,TODAY()-$U253)))</f>
        <v/>
      </c>
      <c r="Y253" s="39">
        <f>IF($C253="","",IF(IFERROR(INDEX(LISTAS!$I$3:$I$42,MATCH($T253,LISTAS!$H$3:$H$42,0)),"NO")="SÍ",IF(N($X253)&gt;0,"CERRADA FUERA DE SLA","CERRADA EN SLA"),IF($U253="","SIN CLASIFICAR",IF(N($X253)&gt;0,"VENCIDA",IF(TODAY()&gt;=$U253-1,"POR VENCER","EN PLAZO")))))</f>
        <v/>
      </c>
      <c r="Z253" s="41" t="n"/>
      <c r="AA253" s="41" t="n"/>
      <c r="AB253" s="41" t="n"/>
    </row>
    <row r="254">
      <c r="A254" s="39">
        <f>IF($C254="","","NOV-"&amp;TEXT(ROW()-3,"0000"))</f>
        <v/>
      </c>
      <c r="B254" s="40" t="n"/>
      <c r="C254" s="41" t="n"/>
      <c r="D254" s="42">
        <f>IF($C254="","",IFERROR(INDEX(DESPACHOS!$D$3:$D$3002,MATCH($C254,DESPACHOS!$B$3:$B$3002,0)),"SIN DESPACHO"))</f>
        <v/>
      </c>
      <c r="E254" s="42">
        <f>IF($C254="","",IFERROR(INDEX(DESPACHOS!$K$3:$K$3002,MATCH($C254,DESPACHOS!$B$3:$B$3002,0)),""))</f>
        <v/>
      </c>
      <c r="F254" s="42">
        <f>IF($C254="","",IFERROR(INDEX(DESPACHOS!$I$3:$I$3002,MATCH($C254,DESPACHOS!$B$3:$B$3002,0)),""))</f>
        <v/>
      </c>
      <c r="G254" s="42">
        <f>IF($C254="","",IFERROR(INDEX(DESPACHOS!$F$3:$F$3002,MATCH($C254,DESPACHOS!$B$3:$B$3002,0)),""))</f>
        <v/>
      </c>
      <c r="H254" s="42">
        <f>IF($C254="","",IFERROR(INDEX(DESPACHOS!$G$3:$G$3002,MATCH($C254,DESPACHOS!$B$3:$B$3002,0)),""))</f>
        <v/>
      </c>
      <c r="I254" s="39">
        <f>IF($C254="","",IFERROR(INDEX(DESPACHOS!$H$3:$H$3002,MATCH($C254,DESPACHOS!$B$3:$B$3002,0)),""))</f>
        <v/>
      </c>
      <c r="J254" s="43">
        <f>IF($C254="","",IFERROR(INDEX(DESPACHOS!$J$3:$J$3002,MATCH($C254,DESPACHOS!$B$3:$B$3002,0)),""))</f>
        <v/>
      </c>
      <c r="K254" s="39">
        <f>IF($C254="","",IF(COUNTIFS(DESPACHOS!$B$3:$B$3002,$C254)=0,"NO EXISTE",IF(COUNTIFS(DESPACHOS!$B$3:$B$3002,$C254)&gt;1,"DUPLICADO","OK")))</f>
        <v/>
      </c>
      <c r="L254" s="41" t="n"/>
      <c r="M254" s="41" t="n"/>
      <c r="N254" s="42">
        <f>IF($M254="","",IFERROR(INDEX(LISTAS!$F$3:$F$42,MATCH($M254,LISTAS!$E$3:$E$42,0)),"Por definir"))</f>
        <v/>
      </c>
      <c r="O254" s="41" t="n"/>
      <c r="P254" s="39">
        <f>IF($L254="","",IFERROR(INDEX(LISTAS!$B$3:$B$42,MATCH($L254,LISTAS!$A$3:$A$42,0)),"Media"))</f>
        <v/>
      </c>
      <c r="Q254" s="44" t="n"/>
      <c r="R254" s="45" t="n"/>
      <c r="S254" s="20">
        <f>IFERROR(IF(OR($R254="",$C254=""),"",$R254/INDEX(DESPACHOS!$M$3:$M$3002,MATCH($C254,DESPACHOS!$B$3:$B$3002,0))),"")</f>
        <v/>
      </c>
      <c r="T254" s="41" t="n"/>
      <c r="U254" s="43">
        <f>IF(OR($B254="",$L254=""),"",WORKDAY($B254,IFERROR(INDEX(LISTAS!$C$3:$C$42,MATCH($L254,LISTAS!$A$3:$A$42,0)),3)))</f>
        <v/>
      </c>
      <c r="V254" s="40" t="n"/>
      <c r="W254" s="19">
        <f>IF($B254="","",IF($V254&lt;&gt;"",$V254-$B254,TODAY()-$B254))</f>
        <v/>
      </c>
      <c r="X254" s="19">
        <f>IF(OR($B254="",$U254=""),"",IF($V254&lt;&gt;"",MAX(0,$V254-$U254),MAX(0,TODAY()-$U254)))</f>
        <v/>
      </c>
      <c r="Y254" s="39">
        <f>IF($C254="","",IF(IFERROR(INDEX(LISTAS!$I$3:$I$42,MATCH($T254,LISTAS!$H$3:$H$42,0)),"NO")="SÍ",IF(N($X254)&gt;0,"CERRADA FUERA DE SLA","CERRADA EN SLA"),IF($U254="","SIN CLASIFICAR",IF(N($X254)&gt;0,"VENCIDA",IF(TODAY()&gt;=$U254-1,"POR VENCER","EN PLAZO")))))</f>
        <v/>
      </c>
      <c r="Z254" s="41" t="n"/>
      <c r="AA254" s="41" t="n"/>
      <c r="AB254" s="41" t="n"/>
    </row>
    <row r="255">
      <c r="A255" s="39">
        <f>IF($C255="","","NOV-"&amp;TEXT(ROW()-3,"0000"))</f>
        <v/>
      </c>
      <c r="B255" s="40" t="n"/>
      <c r="C255" s="41" t="n"/>
      <c r="D255" s="42">
        <f>IF($C255="","",IFERROR(INDEX(DESPACHOS!$D$3:$D$3002,MATCH($C255,DESPACHOS!$B$3:$B$3002,0)),"SIN DESPACHO"))</f>
        <v/>
      </c>
      <c r="E255" s="42">
        <f>IF($C255="","",IFERROR(INDEX(DESPACHOS!$K$3:$K$3002,MATCH($C255,DESPACHOS!$B$3:$B$3002,0)),""))</f>
        <v/>
      </c>
      <c r="F255" s="42">
        <f>IF($C255="","",IFERROR(INDEX(DESPACHOS!$I$3:$I$3002,MATCH($C255,DESPACHOS!$B$3:$B$3002,0)),""))</f>
        <v/>
      </c>
      <c r="G255" s="42">
        <f>IF($C255="","",IFERROR(INDEX(DESPACHOS!$F$3:$F$3002,MATCH($C255,DESPACHOS!$B$3:$B$3002,0)),""))</f>
        <v/>
      </c>
      <c r="H255" s="42">
        <f>IF($C255="","",IFERROR(INDEX(DESPACHOS!$G$3:$G$3002,MATCH($C255,DESPACHOS!$B$3:$B$3002,0)),""))</f>
        <v/>
      </c>
      <c r="I255" s="39">
        <f>IF($C255="","",IFERROR(INDEX(DESPACHOS!$H$3:$H$3002,MATCH($C255,DESPACHOS!$B$3:$B$3002,0)),""))</f>
        <v/>
      </c>
      <c r="J255" s="43">
        <f>IF($C255="","",IFERROR(INDEX(DESPACHOS!$J$3:$J$3002,MATCH($C255,DESPACHOS!$B$3:$B$3002,0)),""))</f>
        <v/>
      </c>
      <c r="K255" s="39">
        <f>IF($C255="","",IF(COUNTIFS(DESPACHOS!$B$3:$B$3002,$C255)=0,"NO EXISTE",IF(COUNTIFS(DESPACHOS!$B$3:$B$3002,$C255)&gt;1,"DUPLICADO","OK")))</f>
        <v/>
      </c>
      <c r="L255" s="41" t="n"/>
      <c r="M255" s="41" t="n"/>
      <c r="N255" s="42">
        <f>IF($M255="","",IFERROR(INDEX(LISTAS!$F$3:$F$42,MATCH($M255,LISTAS!$E$3:$E$42,0)),"Por definir"))</f>
        <v/>
      </c>
      <c r="O255" s="41" t="n"/>
      <c r="P255" s="39">
        <f>IF($L255="","",IFERROR(INDEX(LISTAS!$B$3:$B$42,MATCH($L255,LISTAS!$A$3:$A$42,0)),"Media"))</f>
        <v/>
      </c>
      <c r="Q255" s="44" t="n"/>
      <c r="R255" s="45" t="n"/>
      <c r="S255" s="20">
        <f>IFERROR(IF(OR($R255="",$C255=""),"",$R255/INDEX(DESPACHOS!$M$3:$M$3002,MATCH($C255,DESPACHOS!$B$3:$B$3002,0))),"")</f>
        <v/>
      </c>
      <c r="T255" s="41" t="n"/>
      <c r="U255" s="43">
        <f>IF(OR($B255="",$L255=""),"",WORKDAY($B255,IFERROR(INDEX(LISTAS!$C$3:$C$42,MATCH($L255,LISTAS!$A$3:$A$42,0)),3)))</f>
        <v/>
      </c>
      <c r="V255" s="40" t="n"/>
      <c r="W255" s="19">
        <f>IF($B255="","",IF($V255&lt;&gt;"",$V255-$B255,TODAY()-$B255))</f>
        <v/>
      </c>
      <c r="X255" s="19">
        <f>IF(OR($B255="",$U255=""),"",IF($V255&lt;&gt;"",MAX(0,$V255-$U255),MAX(0,TODAY()-$U255)))</f>
        <v/>
      </c>
      <c r="Y255" s="39">
        <f>IF($C255="","",IF(IFERROR(INDEX(LISTAS!$I$3:$I$42,MATCH($T255,LISTAS!$H$3:$H$42,0)),"NO")="SÍ",IF(N($X255)&gt;0,"CERRADA FUERA DE SLA","CERRADA EN SLA"),IF($U255="","SIN CLASIFICAR",IF(N($X255)&gt;0,"VENCIDA",IF(TODAY()&gt;=$U255-1,"POR VENCER","EN PLAZO")))))</f>
        <v/>
      </c>
      <c r="Z255" s="41" t="n"/>
      <c r="AA255" s="41" t="n"/>
      <c r="AB255" s="41" t="n"/>
    </row>
    <row r="256">
      <c r="A256" s="39">
        <f>IF($C256="","","NOV-"&amp;TEXT(ROW()-3,"0000"))</f>
        <v/>
      </c>
      <c r="B256" s="40" t="n"/>
      <c r="C256" s="41" t="n"/>
      <c r="D256" s="42">
        <f>IF($C256="","",IFERROR(INDEX(DESPACHOS!$D$3:$D$3002,MATCH($C256,DESPACHOS!$B$3:$B$3002,0)),"SIN DESPACHO"))</f>
        <v/>
      </c>
      <c r="E256" s="42">
        <f>IF($C256="","",IFERROR(INDEX(DESPACHOS!$K$3:$K$3002,MATCH($C256,DESPACHOS!$B$3:$B$3002,0)),""))</f>
        <v/>
      </c>
      <c r="F256" s="42">
        <f>IF($C256="","",IFERROR(INDEX(DESPACHOS!$I$3:$I$3002,MATCH($C256,DESPACHOS!$B$3:$B$3002,0)),""))</f>
        <v/>
      </c>
      <c r="G256" s="42">
        <f>IF($C256="","",IFERROR(INDEX(DESPACHOS!$F$3:$F$3002,MATCH($C256,DESPACHOS!$B$3:$B$3002,0)),""))</f>
        <v/>
      </c>
      <c r="H256" s="42">
        <f>IF($C256="","",IFERROR(INDEX(DESPACHOS!$G$3:$G$3002,MATCH($C256,DESPACHOS!$B$3:$B$3002,0)),""))</f>
        <v/>
      </c>
      <c r="I256" s="39">
        <f>IF($C256="","",IFERROR(INDEX(DESPACHOS!$H$3:$H$3002,MATCH($C256,DESPACHOS!$B$3:$B$3002,0)),""))</f>
        <v/>
      </c>
      <c r="J256" s="43">
        <f>IF($C256="","",IFERROR(INDEX(DESPACHOS!$J$3:$J$3002,MATCH($C256,DESPACHOS!$B$3:$B$3002,0)),""))</f>
        <v/>
      </c>
      <c r="K256" s="39">
        <f>IF($C256="","",IF(COUNTIFS(DESPACHOS!$B$3:$B$3002,$C256)=0,"NO EXISTE",IF(COUNTIFS(DESPACHOS!$B$3:$B$3002,$C256)&gt;1,"DUPLICADO","OK")))</f>
        <v/>
      </c>
      <c r="L256" s="41" t="n"/>
      <c r="M256" s="41" t="n"/>
      <c r="N256" s="42">
        <f>IF($M256="","",IFERROR(INDEX(LISTAS!$F$3:$F$42,MATCH($M256,LISTAS!$E$3:$E$42,0)),"Por definir"))</f>
        <v/>
      </c>
      <c r="O256" s="41" t="n"/>
      <c r="P256" s="39">
        <f>IF($L256="","",IFERROR(INDEX(LISTAS!$B$3:$B$42,MATCH($L256,LISTAS!$A$3:$A$42,0)),"Media"))</f>
        <v/>
      </c>
      <c r="Q256" s="44" t="n"/>
      <c r="R256" s="45" t="n"/>
      <c r="S256" s="20">
        <f>IFERROR(IF(OR($R256="",$C256=""),"",$R256/INDEX(DESPACHOS!$M$3:$M$3002,MATCH($C256,DESPACHOS!$B$3:$B$3002,0))),"")</f>
        <v/>
      </c>
      <c r="T256" s="41" t="n"/>
      <c r="U256" s="43">
        <f>IF(OR($B256="",$L256=""),"",WORKDAY($B256,IFERROR(INDEX(LISTAS!$C$3:$C$42,MATCH($L256,LISTAS!$A$3:$A$42,0)),3)))</f>
        <v/>
      </c>
      <c r="V256" s="40" t="n"/>
      <c r="W256" s="19">
        <f>IF($B256="","",IF($V256&lt;&gt;"",$V256-$B256,TODAY()-$B256))</f>
        <v/>
      </c>
      <c r="X256" s="19">
        <f>IF(OR($B256="",$U256=""),"",IF($V256&lt;&gt;"",MAX(0,$V256-$U256),MAX(0,TODAY()-$U256)))</f>
        <v/>
      </c>
      <c r="Y256" s="39">
        <f>IF($C256="","",IF(IFERROR(INDEX(LISTAS!$I$3:$I$42,MATCH($T256,LISTAS!$H$3:$H$42,0)),"NO")="SÍ",IF(N($X256)&gt;0,"CERRADA FUERA DE SLA","CERRADA EN SLA"),IF($U256="","SIN CLASIFICAR",IF(N($X256)&gt;0,"VENCIDA",IF(TODAY()&gt;=$U256-1,"POR VENCER","EN PLAZO")))))</f>
        <v/>
      </c>
      <c r="Z256" s="41" t="n"/>
      <c r="AA256" s="41" t="n"/>
      <c r="AB256" s="41" t="n"/>
    </row>
    <row r="257">
      <c r="A257" s="39">
        <f>IF($C257="","","NOV-"&amp;TEXT(ROW()-3,"0000"))</f>
        <v/>
      </c>
      <c r="B257" s="40" t="n"/>
      <c r="C257" s="41" t="n"/>
      <c r="D257" s="42">
        <f>IF($C257="","",IFERROR(INDEX(DESPACHOS!$D$3:$D$3002,MATCH($C257,DESPACHOS!$B$3:$B$3002,0)),"SIN DESPACHO"))</f>
        <v/>
      </c>
      <c r="E257" s="42">
        <f>IF($C257="","",IFERROR(INDEX(DESPACHOS!$K$3:$K$3002,MATCH($C257,DESPACHOS!$B$3:$B$3002,0)),""))</f>
        <v/>
      </c>
      <c r="F257" s="42">
        <f>IF($C257="","",IFERROR(INDEX(DESPACHOS!$I$3:$I$3002,MATCH($C257,DESPACHOS!$B$3:$B$3002,0)),""))</f>
        <v/>
      </c>
      <c r="G257" s="42">
        <f>IF($C257="","",IFERROR(INDEX(DESPACHOS!$F$3:$F$3002,MATCH($C257,DESPACHOS!$B$3:$B$3002,0)),""))</f>
        <v/>
      </c>
      <c r="H257" s="42">
        <f>IF($C257="","",IFERROR(INDEX(DESPACHOS!$G$3:$G$3002,MATCH($C257,DESPACHOS!$B$3:$B$3002,0)),""))</f>
        <v/>
      </c>
      <c r="I257" s="39">
        <f>IF($C257="","",IFERROR(INDEX(DESPACHOS!$H$3:$H$3002,MATCH($C257,DESPACHOS!$B$3:$B$3002,0)),""))</f>
        <v/>
      </c>
      <c r="J257" s="43">
        <f>IF($C257="","",IFERROR(INDEX(DESPACHOS!$J$3:$J$3002,MATCH($C257,DESPACHOS!$B$3:$B$3002,0)),""))</f>
        <v/>
      </c>
      <c r="K257" s="39">
        <f>IF($C257="","",IF(COUNTIFS(DESPACHOS!$B$3:$B$3002,$C257)=0,"NO EXISTE",IF(COUNTIFS(DESPACHOS!$B$3:$B$3002,$C257)&gt;1,"DUPLICADO","OK")))</f>
        <v/>
      </c>
      <c r="L257" s="41" t="n"/>
      <c r="M257" s="41" t="n"/>
      <c r="N257" s="42">
        <f>IF($M257="","",IFERROR(INDEX(LISTAS!$F$3:$F$42,MATCH($M257,LISTAS!$E$3:$E$42,0)),"Por definir"))</f>
        <v/>
      </c>
      <c r="O257" s="41" t="n"/>
      <c r="P257" s="39">
        <f>IF($L257="","",IFERROR(INDEX(LISTAS!$B$3:$B$42,MATCH($L257,LISTAS!$A$3:$A$42,0)),"Media"))</f>
        <v/>
      </c>
      <c r="Q257" s="44" t="n"/>
      <c r="R257" s="45" t="n"/>
      <c r="S257" s="20">
        <f>IFERROR(IF(OR($R257="",$C257=""),"",$R257/INDEX(DESPACHOS!$M$3:$M$3002,MATCH($C257,DESPACHOS!$B$3:$B$3002,0))),"")</f>
        <v/>
      </c>
      <c r="T257" s="41" t="n"/>
      <c r="U257" s="43">
        <f>IF(OR($B257="",$L257=""),"",WORKDAY($B257,IFERROR(INDEX(LISTAS!$C$3:$C$42,MATCH($L257,LISTAS!$A$3:$A$42,0)),3)))</f>
        <v/>
      </c>
      <c r="V257" s="40" t="n"/>
      <c r="W257" s="19">
        <f>IF($B257="","",IF($V257&lt;&gt;"",$V257-$B257,TODAY()-$B257))</f>
        <v/>
      </c>
      <c r="X257" s="19">
        <f>IF(OR($B257="",$U257=""),"",IF($V257&lt;&gt;"",MAX(0,$V257-$U257),MAX(0,TODAY()-$U257)))</f>
        <v/>
      </c>
      <c r="Y257" s="39">
        <f>IF($C257="","",IF(IFERROR(INDEX(LISTAS!$I$3:$I$42,MATCH($T257,LISTAS!$H$3:$H$42,0)),"NO")="SÍ",IF(N($X257)&gt;0,"CERRADA FUERA DE SLA","CERRADA EN SLA"),IF($U257="","SIN CLASIFICAR",IF(N($X257)&gt;0,"VENCIDA",IF(TODAY()&gt;=$U257-1,"POR VENCER","EN PLAZO")))))</f>
        <v/>
      </c>
      <c r="Z257" s="41" t="n"/>
      <c r="AA257" s="41" t="n"/>
      <c r="AB257" s="41" t="n"/>
    </row>
    <row r="258">
      <c r="A258" s="39">
        <f>IF($C258="","","NOV-"&amp;TEXT(ROW()-3,"0000"))</f>
        <v/>
      </c>
      <c r="B258" s="40" t="n"/>
      <c r="C258" s="41" t="n"/>
      <c r="D258" s="42">
        <f>IF($C258="","",IFERROR(INDEX(DESPACHOS!$D$3:$D$3002,MATCH($C258,DESPACHOS!$B$3:$B$3002,0)),"SIN DESPACHO"))</f>
        <v/>
      </c>
      <c r="E258" s="42">
        <f>IF($C258="","",IFERROR(INDEX(DESPACHOS!$K$3:$K$3002,MATCH($C258,DESPACHOS!$B$3:$B$3002,0)),""))</f>
        <v/>
      </c>
      <c r="F258" s="42">
        <f>IF($C258="","",IFERROR(INDEX(DESPACHOS!$I$3:$I$3002,MATCH($C258,DESPACHOS!$B$3:$B$3002,0)),""))</f>
        <v/>
      </c>
      <c r="G258" s="42">
        <f>IF($C258="","",IFERROR(INDEX(DESPACHOS!$F$3:$F$3002,MATCH($C258,DESPACHOS!$B$3:$B$3002,0)),""))</f>
        <v/>
      </c>
      <c r="H258" s="42">
        <f>IF($C258="","",IFERROR(INDEX(DESPACHOS!$G$3:$G$3002,MATCH($C258,DESPACHOS!$B$3:$B$3002,0)),""))</f>
        <v/>
      </c>
      <c r="I258" s="39">
        <f>IF($C258="","",IFERROR(INDEX(DESPACHOS!$H$3:$H$3002,MATCH($C258,DESPACHOS!$B$3:$B$3002,0)),""))</f>
        <v/>
      </c>
      <c r="J258" s="43">
        <f>IF($C258="","",IFERROR(INDEX(DESPACHOS!$J$3:$J$3002,MATCH($C258,DESPACHOS!$B$3:$B$3002,0)),""))</f>
        <v/>
      </c>
      <c r="K258" s="39">
        <f>IF($C258="","",IF(COUNTIFS(DESPACHOS!$B$3:$B$3002,$C258)=0,"NO EXISTE",IF(COUNTIFS(DESPACHOS!$B$3:$B$3002,$C258)&gt;1,"DUPLICADO","OK")))</f>
        <v/>
      </c>
      <c r="L258" s="41" t="n"/>
      <c r="M258" s="41" t="n"/>
      <c r="N258" s="42">
        <f>IF($M258="","",IFERROR(INDEX(LISTAS!$F$3:$F$42,MATCH($M258,LISTAS!$E$3:$E$42,0)),"Por definir"))</f>
        <v/>
      </c>
      <c r="O258" s="41" t="n"/>
      <c r="P258" s="39">
        <f>IF($L258="","",IFERROR(INDEX(LISTAS!$B$3:$B$42,MATCH($L258,LISTAS!$A$3:$A$42,0)),"Media"))</f>
        <v/>
      </c>
      <c r="Q258" s="44" t="n"/>
      <c r="R258" s="45" t="n"/>
      <c r="S258" s="20">
        <f>IFERROR(IF(OR($R258="",$C258=""),"",$R258/INDEX(DESPACHOS!$M$3:$M$3002,MATCH($C258,DESPACHOS!$B$3:$B$3002,0))),"")</f>
        <v/>
      </c>
      <c r="T258" s="41" t="n"/>
      <c r="U258" s="43">
        <f>IF(OR($B258="",$L258=""),"",WORKDAY($B258,IFERROR(INDEX(LISTAS!$C$3:$C$42,MATCH($L258,LISTAS!$A$3:$A$42,0)),3)))</f>
        <v/>
      </c>
      <c r="V258" s="40" t="n"/>
      <c r="W258" s="19">
        <f>IF($B258="","",IF($V258&lt;&gt;"",$V258-$B258,TODAY()-$B258))</f>
        <v/>
      </c>
      <c r="X258" s="19">
        <f>IF(OR($B258="",$U258=""),"",IF($V258&lt;&gt;"",MAX(0,$V258-$U258),MAX(0,TODAY()-$U258)))</f>
        <v/>
      </c>
      <c r="Y258" s="39">
        <f>IF($C258="","",IF(IFERROR(INDEX(LISTAS!$I$3:$I$42,MATCH($T258,LISTAS!$H$3:$H$42,0)),"NO")="SÍ",IF(N($X258)&gt;0,"CERRADA FUERA DE SLA","CERRADA EN SLA"),IF($U258="","SIN CLASIFICAR",IF(N($X258)&gt;0,"VENCIDA",IF(TODAY()&gt;=$U258-1,"POR VENCER","EN PLAZO")))))</f>
        <v/>
      </c>
      <c r="Z258" s="41" t="n"/>
      <c r="AA258" s="41" t="n"/>
      <c r="AB258" s="41" t="n"/>
    </row>
    <row r="259">
      <c r="A259" s="39">
        <f>IF($C259="","","NOV-"&amp;TEXT(ROW()-3,"0000"))</f>
        <v/>
      </c>
      <c r="B259" s="40" t="n"/>
      <c r="C259" s="41" t="n"/>
      <c r="D259" s="42">
        <f>IF($C259="","",IFERROR(INDEX(DESPACHOS!$D$3:$D$3002,MATCH($C259,DESPACHOS!$B$3:$B$3002,0)),"SIN DESPACHO"))</f>
        <v/>
      </c>
      <c r="E259" s="42">
        <f>IF($C259="","",IFERROR(INDEX(DESPACHOS!$K$3:$K$3002,MATCH($C259,DESPACHOS!$B$3:$B$3002,0)),""))</f>
        <v/>
      </c>
      <c r="F259" s="42">
        <f>IF($C259="","",IFERROR(INDEX(DESPACHOS!$I$3:$I$3002,MATCH($C259,DESPACHOS!$B$3:$B$3002,0)),""))</f>
        <v/>
      </c>
      <c r="G259" s="42">
        <f>IF($C259="","",IFERROR(INDEX(DESPACHOS!$F$3:$F$3002,MATCH($C259,DESPACHOS!$B$3:$B$3002,0)),""))</f>
        <v/>
      </c>
      <c r="H259" s="42">
        <f>IF($C259="","",IFERROR(INDEX(DESPACHOS!$G$3:$G$3002,MATCH($C259,DESPACHOS!$B$3:$B$3002,0)),""))</f>
        <v/>
      </c>
      <c r="I259" s="39">
        <f>IF($C259="","",IFERROR(INDEX(DESPACHOS!$H$3:$H$3002,MATCH($C259,DESPACHOS!$B$3:$B$3002,0)),""))</f>
        <v/>
      </c>
      <c r="J259" s="43">
        <f>IF($C259="","",IFERROR(INDEX(DESPACHOS!$J$3:$J$3002,MATCH($C259,DESPACHOS!$B$3:$B$3002,0)),""))</f>
        <v/>
      </c>
      <c r="K259" s="39">
        <f>IF($C259="","",IF(COUNTIFS(DESPACHOS!$B$3:$B$3002,$C259)=0,"NO EXISTE",IF(COUNTIFS(DESPACHOS!$B$3:$B$3002,$C259)&gt;1,"DUPLICADO","OK")))</f>
        <v/>
      </c>
      <c r="L259" s="41" t="n"/>
      <c r="M259" s="41" t="n"/>
      <c r="N259" s="42">
        <f>IF($M259="","",IFERROR(INDEX(LISTAS!$F$3:$F$42,MATCH($M259,LISTAS!$E$3:$E$42,0)),"Por definir"))</f>
        <v/>
      </c>
      <c r="O259" s="41" t="n"/>
      <c r="P259" s="39">
        <f>IF($L259="","",IFERROR(INDEX(LISTAS!$B$3:$B$42,MATCH($L259,LISTAS!$A$3:$A$42,0)),"Media"))</f>
        <v/>
      </c>
      <c r="Q259" s="44" t="n"/>
      <c r="R259" s="45" t="n"/>
      <c r="S259" s="20">
        <f>IFERROR(IF(OR($R259="",$C259=""),"",$R259/INDEX(DESPACHOS!$M$3:$M$3002,MATCH($C259,DESPACHOS!$B$3:$B$3002,0))),"")</f>
        <v/>
      </c>
      <c r="T259" s="41" t="n"/>
      <c r="U259" s="43">
        <f>IF(OR($B259="",$L259=""),"",WORKDAY($B259,IFERROR(INDEX(LISTAS!$C$3:$C$42,MATCH($L259,LISTAS!$A$3:$A$42,0)),3)))</f>
        <v/>
      </c>
      <c r="V259" s="40" t="n"/>
      <c r="W259" s="19">
        <f>IF($B259="","",IF($V259&lt;&gt;"",$V259-$B259,TODAY()-$B259))</f>
        <v/>
      </c>
      <c r="X259" s="19">
        <f>IF(OR($B259="",$U259=""),"",IF($V259&lt;&gt;"",MAX(0,$V259-$U259),MAX(0,TODAY()-$U259)))</f>
        <v/>
      </c>
      <c r="Y259" s="39">
        <f>IF($C259="","",IF(IFERROR(INDEX(LISTAS!$I$3:$I$42,MATCH($T259,LISTAS!$H$3:$H$42,0)),"NO")="SÍ",IF(N($X259)&gt;0,"CERRADA FUERA DE SLA","CERRADA EN SLA"),IF($U259="","SIN CLASIFICAR",IF(N($X259)&gt;0,"VENCIDA",IF(TODAY()&gt;=$U259-1,"POR VENCER","EN PLAZO")))))</f>
        <v/>
      </c>
      <c r="Z259" s="41" t="n"/>
      <c r="AA259" s="41" t="n"/>
      <c r="AB259" s="41" t="n"/>
    </row>
    <row r="260">
      <c r="A260" s="39">
        <f>IF($C260="","","NOV-"&amp;TEXT(ROW()-3,"0000"))</f>
        <v/>
      </c>
      <c r="B260" s="40" t="n"/>
      <c r="C260" s="41" t="n"/>
      <c r="D260" s="42">
        <f>IF($C260="","",IFERROR(INDEX(DESPACHOS!$D$3:$D$3002,MATCH($C260,DESPACHOS!$B$3:$B$3002,0)),"SIN DESPACHO"))</f>
        <v/>
      </c>
      <c r="E260" s="42">
        <f>IF($C260="","",IFERROR(INDEX(DESPACHOS!$K$3:$K$3002,MATCH($C260,DESPACHOS!$B$3:$B$3002,0)),""))</f>
        <v/>
      </c>
      <c r="F260" s="42">
        <f>IF($C260="","",IFERROR(INDEX(DESPACHOS!$I$3:$I$3002,MATCH($C260,DESPACHOS!$B$3:$B$3002,0)),""))</f>
        <v/>
      </c>
      <c r="G260" s="42">
        <f>IF($C260="","",IFERROR(INDEX(DESPACHOS!$F$3:$F$3002,MATCH($C260,DESPACHOS!$B$3:$B$3002,0)),""))</f>
        <v/>
      </c>
      <c r="H260" s="42">
        <f>IF($C260="","",IFERROR(INDEX(DESPACHOS!$G$3:$G$3002,MATCH($C260,DESPACHOS!$B$3:$B$3002,0)),""))</f>
        <v/>
      </c>
      <c r="I260" s="39">
        <f>IF($C260="","",IFERROR(INDEX(DESPACHOS!$H$3:$H$3002,MATCH($C260,DESPACHOS!$B$3:$B$3002,0)),""))</f>
        <v/>
      </c>
      <c r="J260" s="43">
        <f>IF($C260="","",IFERROR(INDEX(DESPACHOS!$J$3:$J$3002,MATCH($C260,DESPACHOS!$B$3:$B$3002,0)),""))</f>
        <v/>
      </c>
      <c r="K260" s="39">
        <f>IF($C260="","",IF(COUNTIFS(DESPACHOS!$B$3:$B$3002,$C260)=0,"NO EXISTE",IF(COUNTIFS(DESPACHOS!$B$3:$B$3002,$C260)&gt;1,"DUPLICADO","OK")))</f>
        <v/>
      </c>
      <c r="L260" s="41" t="n"/>
      <c r="M260" s="41" t="n"/>
      <c r="N260" s="42">
        <f>IF($M260="","",IFERROR(INDEX(LISTAS!$F$3:$F$42,MATCH($M260,LISTAS!$E$3:$E$42,0)),"Por definir"))</f>
        <v/>
      </c>
      <c r="O260" s="41" t="n"/>
      <c r="P260" s="39">
        <f>IF($L260="","",IFERROR(INDEX(LISTAS!$B$3:$B$42,MATCH($L260,LISTAS!$A$3:$A$42,0)),"Media"))</f>
        <v/>
      </c>
      <c r="Q260" s="44" t="n"/>
      <c r="R260" s="45" t="n"/>
      <c r="S260" s="20">
        <f>IFERROR(IF(OR($R260="",$C260=""),"",$R260/INDEX(DESPACHOS!$M$3:$M$3002,MATCH($C260,DESPACHOS!$B$3:$B$3002,0))),"")</f>
        <v/>
      </c>
      <c r="T260" s="41" t="n"/>
      <c r="U260" s="43">
        <f>IF(OR($B260="",$L260=""),"",WORKDAY($B260,IFERROR(INDEX(LISTAS!$C$3:$C$42,MATCH($L260,LISTAS!$A$3:$A$42,0)),3)))</f>
        <v/>
      </c>
      <c r="V260" s="40" t="n"/>
      <c r="W260" s="19">
        <f>IF($B260="","",IF($V260&lt;&gt;"",$V260-$B260,TODAY()-$B260))</f>
        <v/>
      </c>
      <c r="X260" s="19">
        <f>IF(OR($B260="",$U260=""),"",IF($V260&lt;&gt;"",MAX(0,$V260-$U260),MAX(0,TODAY()-$U260)))</f>
        <v/>
      </c>
      <c r="Y260" s="39">
        <f>IF($C260="","",IF(IFERROR(INDEX(LISTAS!$I$3:$I$42,MATCH($T260,LISTAS!$H$3:$H$42,0)),"NO")="SÍ",IF(N($X260)&gt;0,"CERRADA FUERA DE SLA","CERRADA EN SLA"),IF($U260="","SIN CLASIFICAR",IF(N($X260)&gt;0,"VENCIDA",IF(TODAY()&gt;=$U260-1,"POR VENCER","EN PLAZO")))))</f>
        <v/>
      </c>
      <c r="Z260" s="41" t="n"/>
      <c r="AA260" s="41" t="n"/>
      <c r="AB260" s="41" t="n"/>
    </row>
    <row r="261">
      <c r="A261" s="39">
        <f>IF($C261="","","NOV-"&amp;TEXT(ROW()-3,"0000"))</f>
        <v/>
      </c>
      <c r="B261" s="40" t="n"/>
      <c r="C261" s="41" t="n"/>
      <c r="D261" s="42">
        <f>IF($C261="","",IFERROR(INDEX(DESPACHOS!$D$3:$D$3002,MATCH($C261,DESPACHOS!$B$3:$B$3002,0)),"SIN DESPACHO"))</f>
        <v/>
      </c>
      <c r="E261" s="42">
        <f>IF($C261="","",IFERROR(INDEX(DESPACHOS!$K$3:$K$3002,MATCH($C261,DESPACHOS!$B$3:$B$3002,0)),""))</f>
        <v/>
      </c>
      <c r="F261" s="42">
        <f>IF($C261="","",IFERROR(INDEX(DESPACHOS!$I$3:$I$3002,MATCH($C261,DESPACHOS!$B$3:$B$3002,0)),""))</f>
        <v/>
      </c>
      <c r="G261" s="42">
        <f>IF($C261="","",IFERROR(INDEX(DESPACHOS!$F$3:$F$3002,MATCH($C261,DESPACHOS!$B$3:$B$3002,0)),""))</f>
        <v/>
      </c>
      <c r="H261" s="42">
        <f>IF($C261="","",IFERROR(INDEX(DESPACHOS!$G$3:$G$3002,MATCH($C261,DESPACHOS!$B$3:$B$3002,0)),""))</f>
        <v/>
      </c>
      <c r="I261" s="39">
        <f>IF($C261="","",IFERROR(INDEX(DESPACHOS!$H$3:$H$3002,MATCH($C261,DESPACHOS!$B$3:$B$3002,0)),""))</f>
        <v/>
      </c>
      <c r="J261" s="43">
        <f>IF($C261="","",IFERROR(INDEX(DESPACHOS!$J$3:$J$3002,MATCH($C261,DESPACHOS!$B$3:$B$3002,0)),""))</f>
        <v/>
      </c>
      <c r="K261" s="39">
        <f>IF($C261="","",IF(COUNTIFS(DESPACHOS!$B$3:$B$3002,$C261)=0,"NO EXISTE",IF(COUNTIFS(DESPACHOS!$B$3:$B$3002,$C261)&gt;1,"DUPLICADO","OK")))</f>
        <v/>
      </c>
      <c r="L261" s="41" t="n"/>
      <c r="M261" s="41" t="n"/>
      <c r="N261" s="42">
        <f>IF($M261="","",IFERROR(INDEX(LISTAS!$F$3:$F$42,MATCH($M261,LISTAS!$E$3:$E$42,0)),"Por definir"))</f>
        <v/>
      </c>
      <c r="O261" s="41" t="n"/>
      <c r="P261" s="39">
        <f>IF($L261="","",IFERROR(INDEX(LISTAS!$B$3:$B$42,MATCH($L261,LISTAS!$A$3:$A$42,0)),"Media"))</f>
        <v/>
      </c>
      <c r="Q261" s="44" t="n"/>
      <c r="R261" s="45" t="n"/>
      <c r="S261" s="20">
        <f>IFERROR(IF(OR($R261="",$C261=""),"",$R261/INDEX(DESPACHOS!$M$3:$M$3002,MATCH($C261,DESPACHOS!$B$3:$B$3002,0))),"")</f>
        <v/>
      </c>
      <c r="T261" s="41" t="n"/>
      <c r="U261" s="43">
        <f>IF(OR($B261="",$L261=""),"",WORKDAY($B261,IFERROR(INDEX(LISTAS!$C$3:$C$42,MATCH($L261,LISTAS!$A$3:$A$42,0)),3)))</f>
        <v/>
      </c>
      <c r="V261" s="40" t="n"/>
      <c r="W261" s="19">
        <f>IF($B261="","",IF($V261&lt;&gt;"",$V261-$B261,TODAY()-$B261))</f>
        <v/>
      </c>
      <c r="X261" s="19">
        <f>IF(OR($B261="",$U261=""),"",IF($V261&lt;&gt;"",MAX(0,$V261-$U261),MAX(0,TODAY()-$U261)))</f>
        <v/>
      </c>
      <c r="Y261" s="39">
        <f>IF($C261="","",IF(IFERROR(INDEX(LISTAS!$I$3:$I$42,MATCH($T261,LISTAS!$H$3:$H$42,0)),"NO")="SÍ",IF(N($X261)&gt;0,"CERRADA FUERA DE SLA","CERRADA EN SLA"),IF($U261="","SIN CLASIFICAR",IF(N($X261)&gt;0,"VENCIDA",IF(TODAY()&gt;=$U261-1,"POR VENCER","EN PLAZO")))))</f>
        <v/>
      </c>
      <c r="Z261" s="41" t="n"/>
      <c r="AA261" s="41" t="n"/>
      <c r="AB261" s="41" t="n"/>
    </row>
    <row r="262">
      <c r="A262" s="39">
        <f>IF($C262="","","NOV-"&amp;TEXT(ROW()-3,"0000"))</f>
        <v/>
      </c>
      <c r="B262" s="40" t="n"/>
      <c r="C262" s="41" t="n"/>
      <c r="D262" s="42">
        <f>IF($C262="","",IFERROR(INDEX(DESPACHOS!$D$3:$D$3002,MATCH($C262,DESPACHOS!$B$3:$B$3002,0)),"SIN DESPACHO"))</f>
        <v/>
      </c>
      <c r="E262" s="42">
        <f>IF($C262="","",IFERROR(INDEX(DESPACHOS!$K$3:$K$3002,MATCH($C262,DESPACHOS!$B$3:$B$3002,0)),""))</f>
        <v/>
      </c>
      <c r="F262" s="42">
        <f>IF($C262="","",IFERROR(INDEX(DESPACHOS!$I$3:$I$3002,MATCH($C262,DESPACHOS!$B$3:$B$3002,0)),""))</f>
        <v/>
      </c>
      <c r="G262" s="42">
        <f>IF($C262="","",IFERROR(INDEX(DESPACHOS!$F$3:$F$3002,MATCH($C262,DESPACHOS!$B$3:$B$3002,0)),""))</f>
        <v/>
      </c>
      <c r="H262" s="42">
        <f>IF($C262="","",IFERROR(INDEX(DESPACHOS!$G$3:$G$3002,MATCH($C262,DESPACHOS!$B$3:$B$3002,0)),""))</f>
        <v/>
      </c>
      <c r="I262" s="39">
        <f>IF($C262="","",IFERROR(INDEX(DESPACHOS!$H$3:$H$3002,MATCH($C262,DESPACHOS!$B$3:$B$3002,0)),""))</f>
        <v/>
      </c>
      <c r="J262" s="43">
        <f>IF($C262="","",IFERROR(INDEX(DESPACHOS!$J$3:$J$3002,MATCH($C262,DESPACHOS!$B$3:$B$3002,0)),""))</f>
        <v/>
      </c>
      <c r="K262" s="39">
        <f>IF($C262="","",IF(COUNTIFS(DESPACHOS!$B$3:$B$3002,$C262)=0,"NO EXISTE",IF(COUNTIFS(DESPACHOS!$B$3:$B$3002,$C262)&gt;1,"DUPLICADO","OK")))</f>
        <v/>
      </c>
      <c r="L262" s="41" t="n"/>
      <c r="M262" s="41" t="n"/>
      <c r="N262" s="42">
        <f>IF($M262="","",IFERROR(INDEX(LISTAS!$F$3:$F$42,MATCH($M262,LISTAS!$E$3:$E$42,0)),"Por definir"))</f>
        <v/>
      </c>
      <c r="O262" s="41" t="n"/>
      <c r="P262" s="39">
        <f>IF($L262="","",IFERROR(INDEX(LISTAS!$B$3:$B$42,MATCH($L262,LISTAS!$A$3:$A$42,0)),"Media"))</f>
        <v/>
      </c>
      <c r="Q262" s="44" t="n"/>
      <c r="R262" s="45" t="n"/>
      <c r="S262" s="20">
        <f>IFERROR(IF(OR($R262="",$C262=""),"",$R262/INDEX(DESPACHOS!$M$3:$M$3002,MATCH($C262,DESPACHOS!$B$3:$B$3002,0))),"")</f>
        <v/>
      </c>
      <c r="T262" s="41" t="n"/>
      <c r="U262" s="43">
        <f>IF(OR($B262="",$L262=""),"",WORKDAY($B262,IFERROR(INDEX(LISTAS!$C$3:$C$42,MATCH($L262,LISTAS!$A$3:$A$42,0)),3)))</f>
        <v/>
      </c>
      <c r="V262" s="40" t="n"/>
      <c r="W262" s="19">
        <f>IF($B262="","",IF($V262&lt;&gt;"",$V262-$B262,TODAY()-$B262))</f>
        <v/>
      </c>
      <c r="X262" s="19">
        <f>IF(OR($B262="",$U262=""),"",IF($V262&lt;&gt;"",MAX(0,$V262-$U262),MAX(0,TODAY()-$U262)))</f>
        <v/>
      </c>
      <c r="Y262" s="39">
        <f>IF($C262="","",IF(IFERROR(INDEX(LISTAS!$I$3:$I$42,MATCH($T262,LISTAS!$H$3:$H$42,0)),"NO")="SÍ",IF(N($X262)&gt;0,"CERRADA FUERA DE SLA","CERRADA EN SLA"),IF($U262="","SIN CLASIFICAR",IF(N($X262)&gt;0,"VENCIDA",IF(TODAY()&gt;=$U262-1,"POR VENCER","EN PLAZO")))))</f>
        <v/>
      </c>
      <c r="Z262" s="41" t="n"/>
      <c r="AA262" s="41" t="n"/>
      <c r="AB262" s="41" t="n"/>
    </row>
    <row r="263">
      <c r="A263" s="39">
        <f>IF($C263="","","NOV-"&amp;TEXT(ROW()-3,"0000"))</f>
        <v/>
      </c>
      <c r="B263" s="40" t="n"/>
      <c r="C263" s="41" t="n"/>
      <c r="D263" s="42">
        <f>IF($C263="","",IFERROR(INDEX(DESPACHOS!$D$3:$D$3002,MATCH($C263,DESPACHOS!$B$3:$B$3002,0)),"SIN DESPACHO"))</f>
        <v/>
      </c>
      <c r="E263" s="42">
        <f>IF($C263="","",IFERROR(INDEX(DESPACHOS!$K$3:$K$3002,MATCH($C263,DESPACHOS!$B$3:$B$3002,0)),""))</f>
        <v/>
      </c>
      <c r="F263" s="42">
        <f>IF($C263="","",IFERROR(INDEX(DESPACHOS!$I$3:$I$3002,MATCH($C263,DESPACHOS!$B$3:$B$3002,0)),""))</f>
        <v/>
      </c>
      <c r="G263" s="42">
        <f>IF($C263="","",IFERROR(INDEX(DESPACHOS!$F$3:$F$3002,MATCH($C263,DESPACHOS!$B$3:$B$3002,0)),""))</f>
        <v/>
      </c>
      <c r="H263" s="42">
        <f>IF($C263="","",IFERROR(INDEX(DESPACHOS!$G$3:$G$3002,MATCH($C263,DESPACHOS!$B$3:$B$3002,0)),""))</f>
        <v/>
      </c>
      <c r="I263" s="39">
        <f>IF($C263="","",IFERROR(INDEX(DESPACHOS!$H$3:$H$3002,MATCH($C263,DESPACHOS!$B$3:$B$3002,0)),""))</f>
        <v/>
      </c>
      <c r="J263" s="43">
        <f>IF($C263="","",IFERROR(INDEX(DESPACHOS!$J$3:$J$3002,MATCH($C263,DESPACHOS!$B$3:$B$3002,0)),""))</f>
        <v/>
      </c>
      <c r="K263" s="39">
        <f>IF($C263="","",IF(COUNTIFS(DESPACHOS!$B$3:$B$3002,$C263)=0,"NO EXISTE",IF(COUNTIFS(DESPACHOS!$B$3:$B$3002,$C263)&gt;1,"DUPLICADO","OK")))</f>
        <v/>
      </c>
      <c r="L263" s="41" t="n"/>
      <c r="M263" s="41" t="n"/>
      <c r="N263" s="42">
        <f>IF($M263="","",IFERROR(INDEX(LISTAS!$F$3:$F$42,MATCH($M263,LISTAS!$E$3:$E$42,0)),"Por definir"))</f>
        <v/>
      </c>
      <c r="O263" s="41" t="n"/>
      <c r="P263" s="39">
        <f>IF($L263="","",IFERROR(INDEX(LISTAS!$B$3:$B$42,MATCH($L263,LISTAS!$A$3:$A$42,0)),"Media"))</f>
        <v/>
      </c>
      <c r="Q263" s="44" t="n"/>
      <c r="R263" s="45" t="n"/>
      <c r="S263" s="20">
        <f>IFERROR(IF(OR($R263="",$C263=""),"",$R263/INDEX(DESPACHOS!$M$3:$M$3002,MATCH($C263,DESPACHOS!$B$3:$B$3002,0))),"")</f>
        <v/>
      </c>
      <c r="T263" s="41" t="n"/>
      <c r="U263" s="43">
        <f>IF(OR($B263="",$L263=""),"",WORKDAY($B263,IFERROR(INDEX(LISTAS!$C$3:$C$42,MATCH($L263,LISTAS!$A$3:$A$42,0)),3)))</f>
        <v/>
      </c>
      <c r="V263" s="40" t="n"/>
      <c r="W263" s="19">
        <f>IF($B263="","",IF($V263&lt;&gt;"",$V263-$B263,TODAY()-$B263))</f>
        <v/>
      </c>
      <c r="X263" s="19">
        <f>IF(OR($B263="",$U263=""),"",IF($V263&lt;&gt;"",MAX(0,$V263-$U263),MAX(0,TODAY()-$U263)))</f>
        <v/>
      </c>
      <c r="Y263" s="39">
        <f>IF($C263="","",IF(IFERROR(INDEX(LISTAS!$I$3:$I$42,MATCH($T263,LISTAS!$H$3:$H$42,0)),"NO")="SÍ",IF(N($X263)&gt;0,"CERRADA FUERA DE SLA","CERRADA EN SLA"),IF($U263="","SIN CLASIFICAR",IF(N($X263)&gt;0,"VENCIDA",IF(TODAY()&gt;=$U263-1,"POR VENCER","EN PLAZO")))))</f>
        <v/>
      </c>
      <c r="Z263" s="41" t="n"/>
      <c r="AA263" s="41" t="n"/>
      <c r="AB263" s="41" t="n"/>
    </row>
    <row r="264">
      <c r="A264" s="39">
        <f>IF($C264="","","NOV-"&amp;TEXT(ROW()-3,"0000"))</f>
        <v/>
      </c>
      <c r="B264" s="40" t="n"/>
      <c r="C264" s="41" t="n"/>
      <c r="D264" s="42">
        <f>IF($C264="","",IFERROR(INDEX(DESPACHOS!$D$3:$D$3002,MATCH($C264,DESPACHOS!$B$3:$B$3002,0)),"SIN DESPACHO"))</f>
        <v/>
      </c>
      <c r="E264" s="42">
        <f>IF($C264="","",IFERROR(INDEX(DESPACHOS!$K$3:$K$3002,MATCH($C264,DESPACHOS!$B$3:$B$3002,0)),""))</f>
        <v/>
      </c>
      <c r="F264" s="42">
        <f>IF($C264="","",IFERROR(INDEX(DESPACHOS!$I$3:$I$3002,MATCH($C264,DESPACHOS!$B$3:$B$3002,0)),""))</f>
        <v/>
      </c>
      <c r="G264" s="42">
        <f>IF($C264="","",IFERROR(INDEX(DESPACHOS!$F$3:$F$3002,MATCH($C264,DESPACHOS!$B$3:$B$3002,0)),""))</f>
        <v/>
      </c>
      <c r="H264" s="42">
        <f>IF($C264="","",IFERROR(INDEX(DESPACHOS!$G$3:$G$3002,MATCH($C264,DESPACHOS!$B$3:$B$3002,0)),""))</f>
        <v/>
      </c>
      <c r="I264" s="39">
        <f>IF($C264="","",IFERROR(INDEX(DESPACHOS!$H$3:$H$3002,MATCH($C264,DESPACHOS!$B$3:$B$3002,0)),""))</f>
        <v/>
      </c>
      <c r="J264" s="43">
        <f>IF($C264="","",IFERROR(INDEX(DESPACHOS!$J$3:$J$3002,MATCH($C264,DESPACHOS!$B$3:$B$3002,0)),""))</f>
        <v/>
      </c>
      <c r="K264" s="39">
        <f>IF($C264="","",IF(COUNTIFS(DESPACHOS!$B$3:$B$3002,$C264)=0,"NO EXISTE",IF(COUNTIFS(DESPACHOS!$B$3:$B$3002,$C264)&gt;1,"DUPLICADO","OK")))</f>
        <v/>
      </c>
      <c r="L264" s="41" t="n"/>
      <c r="M264" s="41" t="n"/>
      <c r="N264" s="42">
        <f>IF($M264="","",IFERROR(INDEX(LISTAS!$F$3:$F$42,MATCH($M264,LISTAS!$E$3:$E$42,0)),"Por definir"))</f>
        <v/>
      </c>
      <c r="O264" s="41" t="n"/>
      <c r="P264" s="39">
        <f>IF($L264="","",IFERROR(INDEX(LISTAS!$B$3:$B$42,MATCH($L264,LISTAS!$A$3:$A$42,0)),"Media"))</f>
        <v/>
      </c>
      <c r="Q264" s="44" t="n"/>
      <c r="R264" s="45" t="n"/>
      <c r="S264" s="20">
        <f>IFERROR(IF(OR($R264="",$C264=""),"",$R264/INDEX(DESPACHOS!$M$3:$M$3002,MATCH($C264,DESPACHOS!$B$3:$B$3002,0))),"")</f>
        <v/>
      </c>
      <c r="T264" s="41" t="n"/>
      <c r="U264" s="43">
        <f>IF(OR($B264="",$L264=""),"",WORKDAY($B264,IFERROR(INDEX(LISTAS!$C$3:$C$42,MATCH($L264,LISTAS!$A$3:$A$42,0)),3)))</f>
        <v/>
      </c>
      <c r="V264" s="40" t="n"/>
      <c r="W264" s="19">
        <f>IF($B264="","",IF($V264&lt;&gt;"",$V264-$B264,TODAY()-$B264))</f>
        <v/>
      </c>
      <c r="X264" s="19">
        <f>IF(OR($B264="",$U264=""),"",IF($V264&lt;&gt;"",MAX(0,$V264-$U264),MAX(0,TODAY()-$U264)))</f>
        <v/>
      </c>
      <c r="Y264" s="39">
        <f>IF($C264="","",IF(IFERROR(INDEX(LISTAS!$I$3:$I$42,MATCH($T264,LISTAS!$H$3:$H$42,0)),"NO")="SÍ",IF(N($X264)&gt;0,"CERRADA FUERA DE SLA","CERRADA EN SLA"),IF($U264="","SIN CLASIFICAR",IF(N($X264)&gt;0,"VENCIDA",IF(TODAY()&gt;=$U264-1,"POR VENCER","EN PLAZO")))))</f>
        <v/>
      </c>
      <c r="Z264" s="41" t="n"/>
      <c r="AA264" s="41" t="n"/>
      <c r="AB264" s="41" t="n"/>
    </row>
    <row r="265">
      <c r="A265" s="39">
        <f>IF($C265="","","NOV-"&amp;TEXT(ROW()-3,"0000"))</f>
        <v/>
      </c>
      <c r="B265" s="40" t="n"/>
      <c r="C265" s="41" t="n"/>
      <c r="D265" s="42">
        <f>IF($C265="","",IFERROR(INDEX(DESPACHOS!$D$3:$D$3002,MATCH($C265,DESPACHOS!$B$3:$B$3002,0)),"SIN DESPACHO"))</f>
        <v/>
      </c>
      <c r="E265" s="42">
        <f>IF($C265="","",IFERROR(INDEX(DESPACHOS!$K$3:$K$3002,MATCH($C265,DESPACHOS!$B$3:$B$3002,0)),""))</f>
        <v/>
      </c>
      <c r="F265" s="42">
        <f>IF($C265="","",IFERROR(INDEX(DESPACHOS!$I$3:$I$3002,MATCH($C265,DESPACHOS!$B$3:$B$3002,0)),""))</f>
        <v/>
      </c>
      <c r="G265" s="42">
        <f>IF($C265="","",IFERROR(INDEX(DESPACHOS!$F$3:$F$3002,MATCH($C265,DESPACHOS!$B$3:$B$3002,0)),""))</f>
        <v/>
      </c>
      <c r="H265" s="42">
        <f>IF($C265="","",IFERROR(INDEX(DESPACHOS!$G$3:$G$3002,MATCH($C265,DESPACHOS!$B$3:$B$3002,0)),""))</f>
        <v/>
      </c>
      <c r="I265" s="39">
        <f>IF($C265="","",IFERROR(INDEX(DESPACHOS!$H$3:$H$3002,MATCH($C265,DESPACHOS!$B$3:$B$3002,0)),""))</f>
        <v/>
      </c>
      <c r="J265" s="43">
        <f>IF($C265="","",IFERROR(INDEX(DESPACHOS!$J$3:$J$3002,MATCH($C265,DESPACHOS!$B$3:$B$3002,0)),""))</f>
        <v/>
      </c>
      <c r="K265" s="39">
        <f>IF($C265="","",IF(COUNTIFS(DESPACHOS!$B$3:$B$3002,$C265)=0,"NO EXISTE",IF(COUNTIFS(DESPACHOS!$B$3:$B$3002,$C265)&gt;1,"DUPLICADO","OK")))</f>
        <v/>
      </c>
      <c r="L265" s="41" t="n"/>
      <c r="M265" s="41" t="n"/>
      <c r="N265" s="42">
        <f>IF($M265="","",IFERROR(INDEX(LISTAS!$F$3:$F$42,MATCH($M265,LISTAS!$E$3:$E$42,0)),"Por definir"))</f>
        <v/>
      </c>
      <c r="O265" s="41" t="n"/>
      <c r="P265" s="39">
        <f>IF($L265="","",IFERROR(INDEX(LISTAS!$B$3:$B$42,MATCH($L265,LISTAS!$A$3:$A$42,0)),"Media"))</f>
        <v/>
      </c>
      <c r="Q265" s="44" t="n"/>
      <c r="R265" s="45" t="n"/>
      <c r="S265" s="20">
        <f>IFERROR(IF(OR($R265="",$C265=""),"",$R265/INDEX(DESPACHOS!$M$3:$M$3002,MATCH($C265,DESPACHOS!$B$3:$B$3002,0))),"")</f>
        <v/>
      </c>
      <c r="T265" s="41" t="n"/>
      <c r="U265" s="43">
        <f>IF(OR($B265="",$L265=""),"",WORKDAY($B265,IFERROR(INDEX(LISTAS!$C$3:$C$42,MATCH($L265,LISTAS!$A$3:$A$42,0)),3)))</f>
        <v/>
      </c>
      <c r="V265" s="40" t="n"/>
      <c r="W265" s="19">
        <f>IF($B265="","",IF($V265&lt;&gt;"",$V265-$B265,TODAY()-$B265))</f>
        <v/>
      </c>
      <c r="X265" s="19">
        <f>IF(OR($B265="",$U265=""),"",IF($V265&lt;&gt;"",MAX(0,$V265-$U265),MAX(0,TODAY()-$U265)))</f>
        <v/>
      </c>
      <c r="Y265" s="39">
        <f>IF($C265="","",IF(IFERROR(INDEX(LISTAS!$I$3:$I$42,MATCH($T265,LISTAS!$H$3:$H$42,0)),"NO")="SÍ",IF(N($X265)&gt;0,"CERRADA FUERA DE SLA","CERRADA EN SLA"),IF($U265="","SIN CLASIFICAR",IF(N($X265)&gt;0,"VENCIDA",IF(TODAY()&gt;=$U265-1,"POR VENCER","EN PLAZO")))))</f>
        <v/>
      </c>
      <c r="Z265" s="41" t="n"/>
      <c r="AA265" s="41" t="n"/>
      <c r="AB265" s="41" t="n"/>
    </row>
    <row r="266">
      <c r="A266" s="39">
        <f>IF($C266="","","NOV-"&amp;TEXT(ROW()-3,"0000"))</f>
        <v/>
      </c>
      <c r="B266" s="40" t="n"/>
      <c r="C266" s="41" t="n"/>
      <c r="D266" s="42">
        <f>IF($C266="","",IFERROR(INDEX(DESPACHOS!$D$3:$D$3002,MATCH($C266,DESPACHOS!$B$3:$B$3002,0)),"SIN DESPACHO"))</f>
        <v/>
      </c>
      <c r="E266" s="42">
        <f>IF($C266="","",IFERROR(INDEX(DESPACHOS!$K$3:$K$3002,MATCH($C266,DESPACHOS!$B$3:$B$3002,0)),""))</f>
        <v/>
      </c>
      <c r="F266" s="42">
        <f>IF($C266="","",IFERROR(INDEX(DESPACHOS!$I$3:$I$3002,MATCH($C266,DESPACHOS!$B$3:$B$3002,0)),""))</f>
        <v/>
      </c>
      <c r="G266" s="42">
        <f>IF($C266="","",IFERROR(INDEX(DESPACHOS!$F$3:$F$3002,MATCH($C266,DESPACHOS!$B$3:$B$3002,0)),""))</f>
        <v/>
      </c>
      <c r="H266" s="42">
        <f>IF($C266="","",IFERROR(INDEX(DESPACHOS!$G$3:$G$3002,MATCH($C266,DESPACHOS!$B$3:$B$3002,0)),""))</f>
        <v/>
      </c>
      <c r="I266" s="39">
        <f>IF($C266="","",IFERROR(INDEX(DESPACHOS!$H$3:$H$3002,MATCH($C266,DESPACHOS!$B$3:$B$3002,0)),""))</f>
        <v/>
      </c>
      <c r="J266" s="43">
        <f>IF($C266="","",IFERROR(INDEX(DESPACHOS!$J$3:$J$3002,MATCH($C266,DESPACHOS!$B$3:$B$3002,0)),""))</f>
        <v/>
      </c>
      <c r="K266" s="39">
        <f>IF($C266="","",IF(COUNTIFS(DESPACHOS!$B$3:$B$3002,$C266)=0,"NO EXISTE",IF(COUNTIFS(DESPACHOS!$B$3:$B$3002,$C266)&gt;1,"DUPLICADO","OK")))</f>
        <v/>
      </c>
      <c r="L266" s="41" t="n"/>
      <c r="M266" s="41" t="n"/>
      <c r="N266" s="42">
        <f>IF($M266="","",IFERROR(INDEX(LISTAS!$F$3:$F$42,MATCH($M266,LISTAS!$E$3:$E$42,0)),"Por definir"))</f>
        <v/>
      </c>
      <c r="O266" s="41" t="n"/>
      <c r="P266" s="39">
        <f>IF($L266="","",IFERROR(INDEX(LISTAS!$B$3:$B$42,MATCH($L266,LISTAS!$A$3:$A$42,0)),"Media"))</f>
        <v/>
      </c>
      <c r="Q266" s="44" t="n"/>
      <c r="R266" s="45" t="n"/>
      <c r="S266" s="20">
        <f>IFERROR(IF(OR($R266="",$C266=""),"",$R266/INDEX(DESPACHOS!$M$3:$M$3002,MATCH($C266,DESPACHOS!$B$3:$B$3002,0))),"")</f>
        <v/>
      </c>
      <c r="T266" s="41" t="n"/>
      <c r="U266" s="43">
        <f>IF(OR($B266="",$L266=""),"",WORKDAY($B266,IFERROR(INDEX(LISTAS!$C$3:$C$42,MATCH($L266,LISTAS!$A$3:$A$42,0)),3)))</f>
        <v/>
      </c>
      <c r="V266" s="40" t="n"/>
      <c r="W266" s="19">
        <f>IF($B266="","",IF($V266&lt;&gt;"",$V266-$B266,TODAY()-$B266))</f>
        <v/>
      </c>
      <c r="X266" s="19">
        <f>IF(OR($B266="",$U266=""),"",IF($V266&lt;&gt;"",MAX(0,$V266-$U266),MAX(0,TODAY()-$U266)))</f>
        <v/>
      </c>
      <c r="Y266" s="39">
        <f>IF($C266="","",IF(IFERROR(INDEX(LISTAS!$I$3:$I$42,MATCH($T266,LISTAS!$H$3:$H$42,0)),"NO")="SÍ",IF(N($X266)&gt;0,"CERRADA FUERA DE SLA","CERRADA EN SLA"),IF($U266="","SIN CLASIFICAR",IF(N($X266)&gt;0,"VENCIDA",IF(TODAY()&gt;=$U266-1,"POR VENCER","EN PLAZO")))))</f>
        <v/>
      </c>
      <c r="Z266" s="41" t="n"/>
      <c r="AA266" s="41" t="n"/>
      <c r="AB266" s="41" t="n"/>
    </row>
    <row r="267">
      <c r="A267" s="39">
        <f>IF($C267="","","NOV-"&amp;TEXT(ROW()-3,"0000"))</f>
        <v/>
      </c>
      <c r="B267" s="40" t="n"/>
      <c r="C267" s="41" t="n"/>
      <c r="D267" s="42">
        <f>IF($C267="","",IFERROR(INDEX(DESPACHOS!$D$3:$D$3002,MATCH($C267,DESPACHOS!$B$3:$B$3002,0)),"SIN DESPACHO"))</f>
        <v/>
      </c>
      <c r="E267" s="42">
        <f>IF($C267="","",IFERROR(INDEX(DESPACHOS!$K$3:$K$3002,MATCH($C267,DESPACHOS!$B$3:$B$3002,0)),""))</f>
        <v/>
      </c>
      <c r="F267" s="42">
        <f>IF($C267="","",IFERROR(INDEX(DESPACHOS!$I$3:$I$3002,MATCH($C267,DESPACHOS!$B$3:$B$3002,0)),""))</f>
        <v/>
      </c>
      <c r="G267" s="42">
        <f>IF($C267="","",IFERROR(INDEX(DESPACHOS!$F$3:$F$3002,MATCH($C267,DESPACHOS!$B$3:$B$3002,0)),""))</f>
        <v/>
      </c>
      <c r="H267" s="42">
        <f>IF($C267="","",IFERROR(INDEX(DESPACHOS!$G$3:$G$3002,MATCH($C267,DESPACHOS!$B$3:$B$3002,0)),""))</f>
        <v/>
      </c>
      <c r="I267" s="39">
        <f>IF($C267="","",IFERROR(INDEX(DESPACHOS!$H$3:$H$3002,MATCH($C267,DESPACHOS!$B$3:$B$3002,0)),""))</f>
        <v/>
      </c>
      <c r="J267" s="43">
        <f>IF($C267="","",IFERROR(INDEX(DESPACHOS!$J$3:$J$3002,MATCH($C267,DESPACHOS!$B$3:$B$3002,0)),""))</f>
        <v/>
      </c>
      <c r="K267" s="39">
        <f>IF($C267="","",IF(COUNTIFS(DESPACHOS!$B$3:$B$3002,$C267)=0,"NO EXISTE",IF(COUNTIFS(DESPACHOS!$B$3:$B$3002,$C267)&gt;1,"DUPLICADO","OK")))</f>
        <v/>
      </c>
      <c r="L267" s="41" t="n"/>
      <c r="M267" s="41" t="n"/>
      <c r="N267" s="42">
        <f>IF($M267="","",IFERROR(INDEX(LISTAS!$F$3:$F$42,MATCH($M267,LISTAS!$E$3:$E$42,0)),"Por definir"))</f>
        <v/>
      </c>
      <c r="O267" s="41" t="n"/>
      <c r="P267" s="39">
        <f>IF($L267="","",IFERROR(INDEX(LISTAS!$B$3:$B$42,MATCH($L267,LISTAS!$A$3:$A$42,0)),"Media"))</f>
        <v/>
      </c>
      <c r="Q267" s="44" t="n"/>
      <c r="R267" s="45" t="n"/>
      <c r="S267" s="20">
        <f>IFERROR(IF(OR($R267="",$C267=""),"",$R267/INDEX(DESPACHOS!$M$3:$M$3002,MATCH($C267,DESPACHOS!$B$3:$B$3002,0))),"")</f>
        <v/>
      </c>
      <c r="T267" s="41" t="n"/>
      <c r="U267" s="43">
        <f>IF(OR($B267="",$L267=""),"",WORKDAY($B267,IFERROR(INDEX(LISTAS!$C$3:$C$42,MATCH($L267,LISTAS!$A$3:$A$42,0)),3)))</f>
        <v/>
      </c>
      <c r="V267" s="40" t="n"/>
      <c r="W267" s="19">
        <f>IF($B267="","",IF($V267&lt;&gt;"",$V267-$B267,TODAY()-$B267))</f>
        <v/>
      </c>
      <c r="X267" s="19">
        <f>IF(OR($B267="",$U267=""),"",IF($V267&lt;&gt;"",MAX(0,$V267-$U267),MAX(0,TODAY()-$U267)))</f>
        <v/>
      </c>
      <c r="Y267" s="39">
        <f>IF($C267="","",IF(IFERROR(INDEX(LISTAS!$I$3:$I$42,MATCH($T267,LISTAS!$H$3:$H$42,0)),"NO")="SÍ",IF(N($X267)&gt;0,"CERRADA FUERA DE SLA","CERRADA EN SLA"),IF($U267="","SIN CLASIFICAR",IF(N($X267)&gt;0,"VENCIDA",IF(TODAY()&gt;=$U267-1,"POR VENCER","EN PLAZO")))))</f>
        <v/>
      </c>
      <c r="Z267" s="41" t="n"/>
      <c r="AA267" s="41" t="n"/>
      <c r="AB267" s="41" t="n"/>
    </row>
    <row r="268">
      <c r="A268" s="39">
        <f>IF($C268="","","NOV-"&amp;TEXT(ROW()-3,"0000"))</f>
        <v/>
      </c>
      <c r="B268" s="40" t="n"/>
      <c r="C268" s="41" t="n"/>
      <c r="D268" s="42">
        <f>IF($C268="","",IFERROR(INDEX(DESPACHOS!$D$3:$D$3002,MATCH($C268,DESPACHOS!$B$3:$B$3002,0)),"SIN DESPACHO"))</f>
        <v/>
      </c>
      <c r="E268" s="42">
        <f>IF($C268="","",IFERROR(INDEX(DESPACHOS!$K$3:$K$3002,MATCH($C268,DESPACHOS!$B$3:$B$3002,0)),""))</f>
        <v/>
      </c>
      <c r="F268" s="42">
        <f>IF($C268="","",IFERROR(INDEX(DESPACHOS!$I$3:$I$3002,MATCH($C268,DESPACHOS!$B$3:$B$3002,0)),""))</f>
        <v/>
      </c>
      <c r="G268" s="42">
        <f>IF($C268="","",IFERROR(INDEX(DESPACHOS!$F$3:$F$3002,MATCH($C268,DESPACHOS!$B$3:$B$3002,0)),""))</f>
        <v/>
      </c>
      <c r="H268" s="42">
        <f>IF($C268="","",IFERROR(INDEX(DESPACHOS!$G$3:$G$3002,MATCH($C268,DESPACHOS!$B$3:$B$3002,0)),""))</f>
        <v/>
      </c>
      <c r="I268" s="39">
        <f>IF($C268="","",IFERROR(INDEX(DESPACHOS!$H$3:$H$3002,MATCH($C268,DESPACHOS!$B$3:$B$3002,0)),""))</f>
        <v/>
      </c>
      <c r="J268" s="43">
        <f>IF($C268="","",IFERROR(INDEX(DESPACHOS!$J$3:$J$3002,MATCH($C268,DESPACHOS!$B$3:$B$3002,0)),""))</f>
        <v/>
      </c>
      <c r="K268" s="39">
        <f>IF($C268="","",IF(COUNTIFS(DESPACHOS!$B$3:$B$3002,$C268)=0,"NO EXISTE",IF(COUNTIFS(DESPACHOS!$B$3:$B$3002,$C268)&gt;1,"DUPLICADO","OK")))</f>
        <v/>
      </c>
      <c r="L268" s="41" t="n"/>
      <c r="M268" s="41" t="n"/>
      <c r="N268" s="42">
        <f>IF($M268="","",IFERROR(INDEX(LISTAS!$F$3:$F$42,MATCH($M268,LISTAS!$E$3:$E$42,0)),"Por definir"))</f>
        <v/>
      </c>
      <c r="O268" s="41" t="n"/>
      <c r="P268" s="39">
        <f>IF($L268="","",IFERROR(INDEX(LISTAS!$B$3:$B$42,MATCH($L268,LISTAS!$A$3:$A$42,0)),"Media"))</f>
        <v/>
      </c>
      <c r="Q268" s="44" t="n"/>
      <c r="R268" s="45" t="n"/>
      <c r="S268" s="20">
        <f>IFERROR(IF(OR($R268="",$C268=""),"",$R268/INDEX(DESPACHOS!$M$3:$M$3002,MATCH($C268,DESPACHOS!$B$3:$B$3002,0))),"")</f>
        <v/>
      </c>
      <c r="T268" s="41" t="n"/>
      <c r="U268" s="43">
        <f>IF(OR($B268="",$L268=""),"",WORKDAY($B268,IFERROR(INDEX(LISTAS!$C$3:$C$42,MATCH($L268,LISTAS!$A$3:$A$42,0)),3)))</f>
        <v/>
      </c>
      <c r="V268" s="40" t="n"/>
      <c r="W268" s="19">
        <f>IF($B268="","",IF($V268&lt;&gt;"",$V268-$B268,TODAY()-$B268))</f>
        <v/>
      </c>
      <c r="X268" s="19">
        <f>IF(OR($B268="",$U268=""),"",IF($V268&lt;&gt;"",MAX(0,$V268-$U268),MAX(0,TODAY()-$U268)))</f>
        <v/>
      </c>
      <c r="Y268" s="39">
        <f>IF($C268="","",IF(IFERROR(INDEX(LISTAS!$I$3:$I$42,MATCH($T268,LISTAS!$H$3:$H$42,0)),"NO")="SÍ",IF(N($X268)&gt;0,"CERRADA FUERA DE SLA","CERRADA EN SLA"),IF($U268="","SIN CLASIFICAR",IF(N($X268)&gt;0,"VENCIDA",IF(TODAY()&gt;=$U268-1,"POR VENCER","EN PLAZO")))))</f>
        <v/>
      </c>
      <c r="Z268" s="41" t="n"/>
      <c r="AA268" s="41" t="n"/>
      <c r="AB268" s="41" t="n"/>
    </row>
    <row r="269">
      <c r="A269" s="39">
        <f>IF($C269="","","NOV-"&amp;TEXT(ROW()-3,"0000"))</f>
        <v/>
      </c>
      <c r="B269" s="40" t="n"/>
      <c r="C269" s="41" t="n"/>
      <c r="D269" s="42">
        <f>IF($C269="","",IFERROR(INDEX(DESPACHOS!$D$3:$D$3002,MATCH($C269,DESPACHOS!$B$3:$B$3002,0)),"SIN DESPACHO"))</f>
        <v/>
      </c>
      <c r="E269" s="42">
        <f>IF($C269="","",IFERROR(INDEX(DESPACHOS!$K$3:$K$3002,MATCH($C269,DESPACHOS!$B$3:$B$3002,0)),""))</f>
        <v/>
      </c>
      <c r="F269" s="42">
        <f>IF($C269="","",IFERROR(INDEX(DESPACHOS!$I$3:$I$3002,MATCH($C269,DESPACHOS!$B$3:$B$3002,0)),""))</f>
        <v/>
      </c>
      <c r="G269" s="42">
        <f>IF($C269="","",IFERROR(INDEX(DESPACHOS!$F$3:$F$3002,MATCH($C269,DESPACHOS!$B$3:$B$3002,0)),""))</f>
        <v/>
      </c>
      <c r="H269" s="42">
        <f>IF($C269="","",IFERROR(INDEX(DESPACHOS!$G$3:$G$3002,MATCH($C269,DESPACHOS!$B$3:$B$3002,0)),""))</f>
        <v/>
      </c>
      <c r="I269" s="39">
        <f>IF($C269="","",IFERROR(INDEX(DESPACHOS!$H$3:$H$3002,MATCH($C269,DESPACHOS!$B$3:$B$3002,0)),""))</f>
        <v/>
      </c>
      <c r="J269" s="43">
        <f>IF($C269="","",IFERROR(INDEX(DESPACHOS!$J$3:$J$3002,MATCH($C269,DESPACHOS!$B$3:$B$3002,0)),""))</f>
        <v/>
      </c>
      <c r="K269" s="39">
        <f>IF($C269="","",IF(COUNTIFS(DESPACHOS!$B$3:$B$3002,$C269)=0,"NO EXISTE",IF(COUNTIFS(DESPACHOS!$B$3:$B$3002,$C269)&gt;1,"DUPLICADO","OK")))</f>
        <v/>
      </c>
      <c r="L269" s="41" t="n"/>
      <c r="M269" s="41" t="n"/>
      <c r="N269" s="42">
        <f>IF($M269="","",IFERROR(INDEX(LISTAS!$F$3:$F$42,MATCH($M269,LISTAS!$E$3:$E$42,0)),"Por definir"))</f>
        <v/>
      </c>
      <c r="O269" s="41" t="n"/>
      <c r="P269" s="39">
        <f>IF($L269="","",IFERROR(INDEX(LISTAS!$B$3:$B$42,MATCH($L269,LISTAS!$A$3:$A$42,0)),"Media"))</f>
        <v/>
      </c>
      <c r="Q269" s="44" t="n"/>
      <c r="R269" s="45" t="n"/>
      <c r="S269" s="20">
        <f>IFERROR(IF(OR($R269="",$C269=""),"",$R269/INDEX(DESPACHOS!$M$3:$M$3002,MATCH($C269,DESPACHOS!$B$3:$B$3002,0))),"")</f>
        <v/>
      </c>
      <c r="T269" s="41" t="n"/>
      <c r="U269" s="43">
        <f>IF(OR($B269="",$L269=""),"",WORKDAY($B269,IFERROR(INDEX(LISTAS!$C$3:$C$42,MATCH($L269,LISTAS!$A$3:$A$42,0)),3)))</f>
        <v/>
      </c>
      <c r="V269" s="40" t="n"/>
      <c r="W269" s="19">
        <f>IF($B269="","",IF($V269&lt;&gt;"",$V269-$B269,TODAY()-$B269))</f>
        <v/>
      </c>
      <c r="X269" s="19">
        <f>IF(OR($B269="",$U269=""),"",IF($V269&lt;&gt;"",MAX(0,$V269-$U269),MAX(0,TODAY()-$U269)))</f>
        <v/>
      </c>
      <c r="Y269" s="39">
        <f>IF($C269="","",IF(IFERROR(INDEX(LISTAS!$I$3:$I$42,MATCH($T269,LISTAS!$H$3:$H$42,0)),"NO")="SÍ",IF(N($X269)&gt;0,"CERRADA FUERA DE SLA","CERRADA EN SLA"),IF($U269="","SIN CLASIFICAR",IF(N($X269)&gt;0,"VENCIDA",IF(TODAY()&gt;=$U269-1,"POR VENCER","EN PLAZO")))))</f>
        <v/>
      </c>
      <c r="Z269" s="41" t="n"/>
      <c r="AA269" s="41" t="n"/>
      <c r="AB269" s="41" t="n"/>
    </row>
    <row r="270">
      <c r="A270" s="39">
        <f>IF($C270="","","NOV-"&amp;TEXT(ROW()-3,"0000"))</f>
        <v/>
      </c>
      <c r="B270" s="40" t="n"/>
      <c r="C270" s="41" t="n"/>
      <c r="D270" s="42">
        <f>IF($C270="","",IFERROR(INDEX(DESPACHOS!$D$3:$D$3002,MATCH($C270,DESPACHOS!$B$3:$B$3002,0)),"SIN DESPACHO"))</f>
        <v/>
      </c>
      <c r="E270" s="42">
        <f>IF($C270="","",IFERROR(INDEX(DESPACHOS!$K$3:$K$3002,MATCH($C270,DESPACHOS!$B$3:$B$3002,0)),""))</f>
        <v/>
      </c>
      <c r="F270" s="42">
        <f>IF($C270="","",IFERROR(INDEX(DESPACHOS!$I$3:$I$3002,MATCH($C270,DESPACHOS!$B$3:$B$3002,0)),""))</f>
        <v/>
      </c>
      <c r="G270" s="42">
        <f>IF($C270="","",IFERROR(INDEX(DESPACHOS!$F$3:$F$3002,MATCH($C270,DESPACHOS!$B$3:$B$3002,0)),""))</f>
        <v/>
      </c>
      <c r="H270" s="42">
        <f>IF($C270="","",IFERROR(INDEX(DESPACHOS!$G$3:$G$3002,MATCH($C270,DESPACHOS!$B$3:$B$3002,0)),""))</f>
        <v/>
      </c>
      <c r="I270" s="39">
        <f>IF($C270="","",IFERROR(INDEX(DESPACHOS!$H$3:$H$3002,MATCH($C270,DESPACHOS!$B$3:$B$3002,0)),""))</f>
        <v/>
      </c>
      <c r="J270" s="43">
        <f>IF($C270="","",IFERROR(INDEX(DESPACHOS!$J$3:$J$3002,MATCH($C270,DESPACHOS!$B$3:$B$3002,0)),""))</f>
        <v/>
      </c>
      <c r="K270" s="39">
        <f>IF($C270="","",IF(COUNTIFS(DESPACHOS!$B$3:$B$3002,$C270)=0,"NO EXISTE",IF(COUNTIFS(DESPACHOS!$B$3:$B$3002,$C270)&gt;1,"DUPLICADO","OK")))</f>
        <v/>
      </c>
      <c r="L270" s="41" t="n"/>
      <c r="M270" s="41" t="n"/>
      <c r="N270" s="42">
        <f>IF($M270="","",IFERROR(INDEX(LISTAS!$F$3:$F$42,MATCH($M270,LISTAS!$E$3:$E$42,0)),"Por definir"))</f>
        <v/>
      </c>
      <c r="O270" s="41" t="n"/>
      <c r="P270" s="39">
        <f>IF($L270="","",IFERROR(INDEX(LISTAS!$B$3:$B$42,MATCH($L270,LISTAS!$A$3:$A$42,0)),"Media"))</f>
        <v/>
      </c>
      <c r="Q270" s="44" t="n"/>
      <c r="R270" s="45" t="n"/>
      <c r="S270" s="20">
        <f>IFERROR(IF(OR($R270="",$C270=""),"",$R270/INDEX(DESPACHOS!$M$3:$M$3002,MATCH($C270,DESPACHOS!$B$3:$B$3002,0))),"")</f>
        <v/>
      </c>
      <c r="T270" s="41" t="n"/>
      <c r="U270" s="43">
        <f>IF(OR($B270="",$L270=""),"",WORKDAY($B270,IFERROR(INDEX(LISTAS!$C$3:$C$42,MATCH($L270,LISTAS!$A$3:$A$42,0)),3)))</f>
        <v/>
      </c>
      <c r="V270" s="40" t="n"/>
      <c r="W270" s="19">
        <f>IF($B270="","",IF($V270&lt;&gt;"",$V270-$B270,TODAY()-$B270))</f>
        <v/>
      </c>
      <c r="X270" s="19">
        <f>IF(OR($B270="",$U270=""),"",IF($V270&lt;&gt;"",MAX(0,$V270-$U270),MAX(0,TODAY()-$U270)))</f>
        <v/>
      </c>
      <c r="Y270" s="39">
        <f>IF($C270="","",IF(IFERROR(INDEX(LISTAS!$I$3:$I$42,MATCH($T270,LISTAS!$H$3:$H$42,0)),"NO")="SÍ",IF(N($X270)&gt;0,"CERRADA FUERA DE SLA","CERRADA EN SLA"),IF($U270="","SIN CLASIFICAR",IF(N($X270)&gt;0,"VENCIDA",IF(TODAY()&gt;=$U270-1,"POR VENCER","EN PLAZO")))))</f>
        <v/>
      </c>
      <c r="Z270" s="41" t="n"/>
      <c r="AA270" s="41" t="n"/>
      <c r="AB270" s="41" t="n"/>
    </row>
    <row r="271">
      <c r="A271" s="39">
        <f>IF($C271="","","NOV-"&amp;TEXT(ROW()-3,"0000"))</f>
        <v/>
      </c>
      <c r="B271" s="40" t="n"/>
      <c r="C271" s="41" t="n"/>
      <c r="D271" s="42">
        <f>IF($C271="","",IFERROR(INDEX(DESPACHOS!$D$3:$D$3002,MATCH($C271,DESPACHOS!$B$3:$B$3002,0)),"SIN DESPACHO"))</f>
        <v/>
      </c>
      <c r="E271" s="42">
        <f>IF($C271="","",IFERROR(INDEX(DESPACHOS!$K$3:$K$3002,MATCH($C271,DESPACHOS!$B$3:$B$3002,0)),""))</f>
        <v/>
      </c>
      <c r="F271" s="42">
        <f>IF($C271="","",IFERROR(INDEX(DESPACHOS!$I$3:$I$3002,MATCH($C271,DESPACHOS!$B$3:$B$3002,0)),""))</f>
        <v/>
      </c>
      <c r="G271" s="42">
        <f>IF($C271="","",IFERROR(INDEX(DESPACHOS!$F$3:$F$3002,MATCH($C271,DESPACHOS!$B$3:$B$3002,0)),""))</f>
        <v/>
      </c>
      <c r="H271" s="42">
        <f>IF($C271="","",IFERROR(INDEX(DESPACHOS!$G$3:$G$3002,MATCH($C271,DESPACHOS!$B$3:$B$3002,0)),""))</f>
        <v/>
      </c>
      <c r="I271" s="39">
        <f>IF($C271="","",IFERROR(INDEX(DESPACHOS!$H$3:$H$3002,MATCH($C271,DESPACHOS!$B$3:$B$3002,0)),""))</f>
        <v/>
      </c>
      <c r="J271" s="43">
        <f>IF($C271="","",IFERROR(INDEX(DESPACHOS!$J$3:$J$3002,MATCH($C271,DESPACHOS!$B$3:$B$3002,0)),""))</f>
        <v/>
      </c>
      <c r="K271" s="39">
        <f>IF($C271="","",IF(COUNTIFS(DESPACHOS!$B$3:$B$3002,$C271)=0,"NO EXISTE",IF(COUNTIFS(DESPACHOS!$B$3:$B$3002,$C271)&gt;1,"DUPLICADO","OK")))</f>
        <v/>
      </c>
      <c r="L271" s="41" t="n"/>
      <c r="M271" s="41" t="n"/>
      <c r="N271" s="42">
        <f>IF($M271="","",IFERROR(INDEX(LISTAS!$F$3:$F$42,MATCH($M271,LISTAS!$E$3:$E$42,0)),"Por definir"))</f>
        <v/>
      </c>
      <c r="O271" s="41" t="n"/>
      <c r="P271" s="39">
        <f>IF($L271="","",IFERROR(INDEX(LISTAS!$B$3:$B$42,MATCH($L271,LISTAS!$A$3:$A$42,0)),"Media"))</f>
        <v/>
      </c>
      <c r="Q271" s="44" t="n"/>
      <c r="R271" s="45" t="n"/>
      <c r="S271" s="20">
        <f>IFERROR(IF(OR($R271="",$C271=""),"",$R271/INDEX(DESPACHOS!$M$3:$M$3002,MATCH($C271,DESPACHOS!$B$3:$B$3002,0))),"")</f>
        <v/>
      </c>
      <c r="T271" s="41" t="n"/>
      <c r="U271" s="43">
        <f>IF(OR($B271="",$L271=""),"",WORKDAY($B271,IFERROR(INDEX(LISTAS!$C$3:$C$42,MATCH($L271,LISTAS!$A$3:$A$42,0)),3)))</f>
        <v/>
      </c>
      <c r="V271" s="40" t="n"/>
      <c r="W271" s="19">
        <f>IF($B271="","",IF($V271&lt;&gt;"",$V271-$B271,TODAY()-$B271))</f>
        <v/>
      </c>
      <c r="X271" s="19">
        <f>IF(OR($B271="",$U271=""),"",IF($V271&lt;&gt;"",MAX(0,$V271-$U271),MAX(0,TODAY()-$U271)))</f>
        <v/>
      </c>
      <c r="Y271" s="39">
        <f>IF($C271="","",IF(IFERROR(INDEX(LISTAS!$I$3:$I$42,MATCH($T271,LISTAS!$H$3:$H$42,0)),"NO")="SÍ",IF(N($X271)&gt;0,"CERRADA FUERA DE SLA","CERRADA EN SLA"),IF($U271="","SIN CLASIFICAR",IF(N($X271)&gt;0,"VENCIDA",IF(TODAY()&gt;=$U271-1,"POR VENCER","EN PLAZO")))))</f>
        <v/>
      </c>
      <c r="Z271" s="41" t="n"/>
      <c r="AA271" s="41" t="n"/>
      <c r="AB271" s="41" t="n"/>
    </row>
    <row r="272">
      <c r="A272" s="39">
        <f>IF($C272="","","NOV-"&amp;TEXT(ROW()-3,"0000"))</f>
        <v/>
      </c>
      <c r="B272" s="40" t="n"/>
      <c r="C272" s="41" t="n"/>
      <c r="D272" s="42">
        <f>IF($C272="","",IFERROR(INDEX(DESPACHOS!$D$3:$D$3002,MATCH($C272,DESPACHOS!$B$3:$B$3002,0)),"SIN DESPACHO"))</f>
        <v/>
      </c>
      <c r="E272" s="42">
        <f>IF($C272="","",IFERROR(INDEX(DESPACHOS!$K$3:$K$3002,MATCH($C272,DESPACHOS!$B$3:$B$3002,0)),""))</f>
        <v/>
      </c>
      <c r="F272" s="42">
        <f>IF($C272="","",IFERROR(INDEX(DESPACHOS!$I$3:$I$3002,MATCH($C272,DESPACHOS!$B$3:$B$3002,0)),""))</f>
        <v/>
      </c>
      <c r="G272" s="42">
        <f>IF($C272="","",IFERROR(INDEX(DESPACHOS!$F$3:$F$3002,MATCH($C272,DESPACHOS!$B$3:$B$3002,0)),""))</f>
        <v/>
      </c>
      <c r="H272" s="42">
        <f>IF($C272="","",IFERROR(INDEX(DESPACHOS!$G$3:$G$3002,MATCH($C272,DESPACHOS!$B$3:$B$3002,0)),""))</f>
        <v/>
      </c>
      <c r="I272" s="39">
        <f>IF($C272="","",IFERROR(INDEX(DESPACHOS!$H$3:$H$3002,MATCH($C272,DESPACHOS!$B$3:$B$3002,0)),""))</f>
        <v/>
      </c>
      <c r="J272" s="43">
        <f>IF($C272="","",IFERROR(INDEX(DESPACHOS!$J$3:$J$3002,MATCH($C272,DESPACHOS!$B$3:$B$3002,0)),""))</f>
        <v/>
      </c>
      <c r="K272" s="39">
        <f>IF($C272="","",IF(COUNTIFS(DESPACHOS!$B$3:$B$3002,$C272)=0,"NO EXISTE",IF(COUNTIFS(DESPACHOS!$B$3:$B$3002,$C272)&gt;1,"DUPLICADO","OK")))</f>
        <v/>
      </c>
      <c r="L272" s="41" t="n"/>
      <c r="M272" s="41" t="n"/>
      <c r="N272" s="42">
        <f>IF($M272="","",IFERROR(INDEX(LISTAS!$F$3:$F$42,MATCH($M272,LISTAS!$E$3:$E$42,0)),"Por definir"))</f>
        <v/>
      </c>
      <c r="O272" s="41" t="n"/>
      <c r="P272" s="39">
        <f>IF($L272="","",IFERROR(INDEX(LISTAS!$B$3:$B$42,MATCH($L272,LISTAS!$A$3:$A$42,0)),"Media"))</f>
        <v/>
      </c>
      <c r="Q272" s="44" t="n"/>
      <c r="R272" s="45" t="n"/>
      <c r="S272" s="20">
        <f>IFERROR(IF(OR($R272="",$C272=""),"",$R272/INDEX(DESPACHOS!$M$3:$M$3002,MATCH($C272,DESPACHOS!$B$3:$B$3002,0))),"")</f>
        <v/>
      </c>
      <c r="T272" s="41" t="n"/>
      <c r="U272" s="43">
        <f>IF(OR($B272="",$L272=""),"",WORKDAY($B272,IFERROR(INDEX(LISTAS!$C$3:$C$42,MATCH($L272,LISTAS!$A$3:$A$42,0)),3)))</f>
        <v/>
      </c>
      <c r="V272" s="40" t="n"/>
      <c r="W272" s="19">
        <f>IF($B272="","",IF($V272&lt;&gt;"",$V272-$B272,TODAY()-$B272))</f>
        <v/>
      </c>
      <c r="X272" s="19">
        <f>IF(OR($B272="",$U272=""),"",IF($V272&lt;&gt;"",MAX(0,$V272-$U272),MAX(0,TODAY()-$U272)))</f>
        <v/>
      </c>
      <c r="Y272" s="39">
        <f>IF($C272="","",IF(IFERROR(INDEX(LISTAS!$I$3:$I$42,MATCH($T272,LISTAS!$H$3:$H$42,0)),"NO")="SÍ",IF(N($X272)&gt;0,"CERRADA FUERA DE SLA","CERRADA EN SLA"),IF($U272="","SIN CLASIFICAR",IF(N($X272)&gt;0,"VENCIDA",IF(TODAY()&gt;=$U272-1,"POR VENCER","EN PLAZO")))))</f>
        <v/>
      </c>
      <c r="Z272" s="41" t="n"/>
      <c r="AA272" s="41" t="n"/>
      <c r="AB272" s="41" t="n"/>
    </row>
    <row r="273">
      <c r="A273" s="39">
        <f>IF($C273="","","NOV-"&amp;TEXT(ROW()-3,"0000"))</f>
        <v/>
      </c>
      <c r="B273" s="40" t="n"/>
      <c r="C273" s="41" t="n"/>
      <c r="D273" s="42">
        <f>IF($C273="","",IFERROR(INDEX(DESPACHOS!$D$3:$D$3002,MATCH($C273,DESPACHOS!$B$3:$B$3002,0)),"SIN DESPACHO"))</f>
        <v/>
      </c>
      <c r="E273" s="42">
        <f>IF($C273="","",IFERROR(INDEX(DESPACHOS!$K$3:$K$3002,MATCH($C273,DESPACHOS!$B$3:$B$3002,0)),""))</f>
        <v/>
      </c>
      <c r="F273" s="42">
        <f>IF($C273="","",IFERROR(INDEX(DESPACHOS!$I$3:$I$3002,MATCH($C273,DESPACHOS!$B$3:$B$3002,0)),""))</f>
        <v/>
      </c>
      <c r="G273" s="42">
        <f>IF($C273="","",IFERROR(INDEX(DESPACHOS!$F$3:$F$3002,MATCH($C273,DESPACHOS!$B$3:$B$3002,0)),""))</f>
        <v/>
      </c>
      <c r="H273" s="42">
        <f>IF($C273="","",IFERROR(INDEX(DESPACHOS!$G$3:$G$3002,MATCH($C273,DESPACHOS!$B$3:$B$3002,0)),""))</f>
        <v/>
      </c>
      <c r="I273" s="39">
        <f>IF($C273="","",IFERROR(INDEX(DESPACHOS!$H$3:$H$3002,MATCH($C273,DESPACHOS!$B$3:$B$3002,0)),""))</f>
        <v/>
      </c>
      <c r="J273" s="43">
        <f>IF($C273="","",IFERROR(INDEX(DESPACHOS!$J$3:$J$3002,MATCH($C273,DESPACHOS!$B$3:$B$3002,0)),""))</f>
        <v/>
      </c>
      <c r="K273" s="39">
        <f>IF($C273="","",IF(COUNTIFS(DESPACHOS!$B$3:$B$3002,$C273)=0,"NO EXISTE",IF(COUNTIFS(DESPACHOS!$B$3:$B$3002,$C273)&gt;1,"DUPLICADO","OK")))</f>
        <v/>
      </c>
      <c r="L273" s="41" t="n"/>
      <c r="M273" s="41" t="n"/>
      <c r="N273" s="42">
        <f>IF($M273="","",IFERROR(INDEX(LISTAS!$F$3:$F$42,MATCH($M273,LISTAS!$E$3:$E$42,0)),"Por definir"))</f>
        <v/>
      </c>
      <c r="O273" s="41" t="n"/>
      <c r="P273" s="39">
        <f>IF($L273="","",IFERROR(INDEX(LISTAS!$B$3:$B$42,MATCH($L273,LISTAS!$A$3:$A$42,0)),"Media"))</f>
        <v/>
      </c>
      <c r="Q273" s="44" t="n"/>
      <c r="R273" s="45" t="n"/>
      <c r="S273" s="20">
        <f>IFERROR(IF(OR($R273="",$C273=""),"",$R273/INDEX(DESPACHOS!$M$3:$M$3002,MATCH($C273,DESPACHOS!$B$3:$B$3002,0))),"")</f>
        <v/>
      </c>
      <c r="T273" s="41" t="n"/>
      <c r="U273" s="43">
        <f>IF(OR($B273="",$L273=""),"",WORKDAY($B273,IFERROR(INDEX(LISTAS!$C$3:$C$42,MATCH($L273,LISTAS!$A$3:$A$42,0)),3)))</f>
        <v/>
      </c>
      <c r="V273" s="40" t="n"/>
      <c r="W273" s="19">
        <f>IF($B273="","",IF($V273&lt;&gt;"",$V273-$B273,TODAY()-$B273))</f>
        <v/>
      </c>
      <c r="X273" s="19">
        <f>IF(OR($B273="",$U273=""),"",IF($V273&lt;&gt;"",MAX(0,$V273-$U273),MAX(0,TODAY()-$U273)))</f>
        <v/>
      </c>
      <c r="Y273" s="39">
        <f>IF($C273="","",IF(IFERROR(INDEX(LISTAS!$I$3:$I$42,MATCH($T273,LISTAS!$H$3:$H$42,0)),"NO")="SÍ",IF(N($X273)&gt;0,"CERRADA FUERA DE SLA","CERRADA EN SLA"),IF($U273="","SIN CLASIFICAR",IF(N($X273)&gt;0,"VENCIDA",IF(TODAY()&gt;=$U273-1,"POR VENCER","EN PLAZO")))))</f>
        <v/>
      </c>
      <c r="Z273" s="41" t="n"/>
      <c r="AA273" s="41" t="n"/>
      <c r="AB273" s="41" t="n"/>
    </row>
    <row r="274">
      <c r="A274" s="39">
        <f>IF($C274="","","NOV-"&amp;TEXT(ROW()-3,"0000"))</f>
        <v/>
      </c>
      <c r="B274" s="40" t="n"/>
      <c r="C274" s="41" t="n"/>
      <c r="D274" s="42">
        <f>IF($C274="","",IFERROR(INDEX(DESPACHOS!$D$3:$D$3002,MATCH($C274,DESPACHOS!$B$3:$B$3002,0)),"SIN DESPACHO"))</f>
        <v/>
      </c>
      <c r="E274" s="42">
        <f>IF($C274="","",IFERROR(INDEX(DESPACHOS!$K$3:$K$3002,MATCH($C274,DESPACHOS!$B$3:$B$3002,0)),""))</f>
        <v/>
      </c>
      <c r="F274" s="42">
        <f>IF($C274="","",IFERROR(INDEX(DESPACHOS!$I$3:$I$3002,MATCH($C274,DESPACHOS!$B$3:$B$3002,0)),""))</f>
        <v/>
      </c>
      <c r="G274" s="42">
        <f>IF($C274="","",IFERROR(INDEX(DESPACHOS!$F$3:$F$3002,MATCH($C274,DESPACHOS!$B$3:$B$3002,0)),""))</f>
        <v/>
      </c>
      <c r="H274" s="42">
        <f>IF($C274="","",IFERROR(INDEX(DESPACHOS!$G$3:$G$3002,MATCH($C274,DESPACHOS!$B$3:$B$3002,0)),""))</f>
        <v/>
      </c>
      <c r="I274" s="39">
        <f>IF($C274="","",IFERROR(INDEX(DESPACHOS!$H$3:$H$3002,MATCH($C274,DESPACHOS!$B$3:$B$3002,0)),""))</f>
        <v/>
      </c>
      <c r="J274" s="43">
        <f>IF($C274="","",IFERROR(INDEX(DESPACHOS!$J$3:$J$3002,MATCH($C274,DESPACHOS!$B$3:$B$3002,0)),""))</f>
        <v/>
      </c>
      <c r="K274" s="39">
        <f>IF($C274="","",IF(COUNTIFS(DESPACHOS!$B$3:$B$3002,$C274)=0,"NO EXISTE",IF(COUNTIFS(DESPACHOS!$B$3:$B$3002,$C274)&gt;1,"DUPLICADO","OK")))</f>
        <v/>
      </c>
      <c r="L274" s="41" t="n"/>
      <c r="M274" s="41" t="n"/>
      <c r="N274" s="42">
        <f>IF($M274="","",IFERROR(INDEX(LISTAS!$F$3:$F$42,MATCH($M274,LISTAS!$E$3:$E$42,0)),"Por definir"))</f>
        <v/>
      </c>
      <c r="O274" s="41" t="n"/>
      <c r="P274" s="39">
        <f>IF($L274="","",IFERROR(INDEX(LISTAS!$B$3:$B$42,MATCH($L274,LISTAS!$A$3:$A$42,0)),"Media"))</f>
        <v/>
      </c>
      <c r="Q274" s="44" t="n"/>
      <c r="R274" s="45" t="n"/>
      <c r="S274" s="20">
        <f>IFERROR(IF(OR($R274="",$C274=""),"",$R274/INDEX(DESPACHOS!$M$3:$M$3002,MATCH($C274,DESPACHOS!$B$3:$B$3002,0))),"")</f>
        <v/>
      </c>
      <c r="T274" s="41" t="n"/>
      <c r="U274" s="43">
        <f>IF(OR($B274="",$L274=""),"",WORKDAY($B274,IFERROR(INDEX(LISTAS!$C$3:$C$42,MATCH($L274,LISTAS!$A$3:$A$42,0)),3)))</f>
        <v/>
      </c>
      <c r="V274" s="40" t="n"/>
      <c r="W274" s="19">
        <f>IF($B274="","",IF($V274&lt;&gt;"",$V274-$B274,TODAY()-$B274))</f>
        <v/>
      </c>
      <c r="X274" s="19">
        <f>IF(OR($B274="",$U274=""),"",IF($V274&lt;&gt;"",MAX(0,$V274-$U274),MAX(0,TODAY()-$U274)))</f>
        <v/>
      </c>
      <c r="Y274" s="39">
        <f>IF($C274="","",IF(IFERROR(INDEX(LISTAS!$I$3:$I$42,MATCH($T274,LISTAS!$H$3:$H$42,0)),"NO")="SÍ",IF(N($X274)&gt;0,"CERRADA FUERA DE SLA","CERRADA EN SLA"),IF($U274="","SIN CLASIFICAR",IF(N($X274)&gt;0,"VENCIDA",IF(TODAY()&gt;=$U274-1,"POR VENCER","EN PLAZO")))))</f>
        <v/>
      </c>
      <c r="Z274" s="41" t="n"/>
      <c r="AA274" s="41" t="n"/>
      <c r="AB274" s="41" t="n"/>
    </row>
    <row r="275">
      <c r="A275" s="39">
        <f>IF($C275="","","NOV-"&amp;TEXT(ROW()-3,"0000"))</f>
        <v/>
      </c>
      <c r="B275" s="40" t="n"/>
      <c r="C275" s="41" t="n"/>
      <c r="D275" s="42">
        <f>IF($C275="","",IFERROR(INDEX(DESPACHOS!$D$3:$D$3002,MATCH($C275,DESPACHOS!$B$3:$B$3002,0)),"SIN DESPACHO"))</f>
        <v/>
      </c>
      <c r="E275" s="42">
        <f>IF($C275="","",IFERROR(INDEX(DESPACHOS!$K$3:$K$3002,MATCH($C275,DESPACHOS!$B$3:$B$3002,0)),""))</f>
        <v/>
      </c>
      <c r="F275" s="42">
        <f>IF($C275="","",IFERROR(INDEX(DESPACHOS!$I$3:$I$3002,MATCH($C275,DESPACHOS!$B$3:$B$3002,0)),""))</f>
        <v/>
      </c>
      <c r="G275" s="42">
        <f>IF($C275="","",IFERROR(INDEX(DESPACHOS!$F$3:$F$3002,MATCH($C275,DESPACHOS!$B$3:$B$3002,0)),""))</f>
        <v/>
      </c>
      <c r="H275" s="42">
        <f>IF($C275="","",IFERROR(INDEX(DESPACHOS!$G$3:$G$3002,MATCH($C275,DESPACHOS!$B$3:$B$3002,0)),""))</f>
        <v/>
      </c>
      <c r="I275" s="39">
        <f>IF($C275="","",IFERROR(INDEX(DESPACHOS!$H$3:$H$3002,MATCH($C275,DESPACHOS!$B$3:$B$3002,0)),""))</f>
        <v/>
      </c>
      <c r="J275" s="43">
        <f>IF($C275="","",IFERROR(INDEX(DESPACHOS!$J$3:$J$3002,MATCH($C275,DESPACHOS!$B$3:$B$3002,0)),""))</f>
        <v/>
      </c>
      <c r="K275" s="39">
        <f>IF($C275="","",IF(COUNTIFS(DESPACHOS!$B$3:$B$3002,$C275)=0,"NO EXISTE",IF(COUNTIFS(DESPACHOS!$B$3:$B$3002,$C275)&gt;1,"DUPLICADO","OK")))</f>
        <v/>
      </c>
      <c r="L275" s="41" t="n"/>
      <c r="M275" s="41" t="n"/>
      <c r="N275" s="42">
        <f>IF($M275="","",IFERROR(INDEX(LISTAS!$F$3:$F$42,MATCH($M275,LISTAS!$E$3:$E$42,0)),"Por definir"))</f>
        <v/>
      </c>
      <c r="O275" s="41" t="n"/>
      <c r="P275" s="39">
        <f>IF($L275="","",IFERROR(INDEX(LISTAS!$B$3:$B$42,MATCH($L275,LISTAS!$A$3:$A$42,0)),"Media"))</f>
        <v/>
      </c>
      <c r="Q275" s="44" t="n"/>
      <c r="R275" s="45" t="n"/>
      <c r="S275" s="20">
        <f>IFERROR(IF(OR($R275="",$C275=""),"",$R275/INDEX(DESPACHOS!$M$3:$M$3002,MATCH($C275,DESPACHOS!$B$3:$B$3002,0))),"")</f>
        <v/>
      </c>
      <c r="T275" s="41" t="n"/>
      <c r="U275" s="43">
        <f>IF(OR($B275="",$L275=""),"",WORKDAY($B275,IFERROR(INDEX(LISTAS!$C$3:$C$42,MATCH($L275,LISTAS!$A$3:$A$42,0)),3)))</f>
        <v/>
      </c>
      <c r="V275" s="40" t="n"/>
      <c r="W275" s="19">
        <f>IF($B275="","",IF($V275&lt;&gt;"",$V275-$B275,TODAY()-$B275))</f>
        <v/>
      </c>
      <c r="X275" s="19">
        <f>IF(OR($B275="",$U275=""),"",IF($V275&lt;&gt;"",MAX(0,$V275-$U275),MAX(0,TODAY()-$U275)))</f>
        <v/>
      </c>
      <c r="Y275" s="39">
        <f>IF($C275="","",IF(IFERROR(INDEX(LISTAS!$I$3:$I$42,MATCH($T275,LISTAS!$H$3:$H$42,0)),"NO")="SÍ",IF(N($X275)&gt;0,"CERRADA FUERA DE SLA","CERRADA EN SLA"),IF($U275="","SIN CLASIFICAR",IF(N($X275)&gt;0,"VENCIDA",IF(TODAY()&gt;=$U275-1,"POR VENCER","EN PLAZO")))))</f>
        <v/>
      </c>
      <c r="Z275" s="41" t="n"/>
      <c r="AA275" s="41" t="n"/>
      <c r="AB275" s="41" t="n"/>
    </row>
    <row r="276">
      <c r="A276" s="39">
        <f>IF($C276="","","NOV-"&amp;TEXT(ROW()-3,"0000"))</f>
        <v/>
      </c>
      <c r="B276" s="40" t="n"/>
      <c r="C276" s="41" t="n"/>
      <c r="D276" s="42">
        <f>IF($C276="","",IFERROR(INDEX(DESPACHOS!$D$3:$D$3002,MATCH($C276,DESPACHOS!$B$3:$B$3002,0)),"SIN DESPACHO"))</f>
        <v/>
      </c>
      <c r="E276" s="42">
        <f>IF($C276="","",IFERROR(INDEX(DESPACHOS!$K$3:$K$3002,MATCH($C276,DESPACHOS!$B$3:$B$3002,0)),""))</f>
        <v/>
      </c>
      <c r="F276" s="42">
        <f>IF($C276="","",IFERROR(INDEX(DESPACHOS!$I$3:$I$3002,MATCH($C276,DESPACHOS!$B$3:$B$3002,0)),""))</f>
        <v/>
      </c>
      <c r="G276" s="42">
        <f>IF($C276="","",IFERROR(INDEX(DESPACHOS!$F$3:$F$3002,MATCH($C276,DESPACHOS!$B$3:$B$3002,0)),""))</f>
        <v/>
      </c>
      <c r="H276" s="42">
        <f>IF($C276="","",IFERROR(INDEX(DESPACHOS!$G$3:$G$3002,MATCH($C276,DESPACHOS!$B$3:$B$3002,0)),""))</f>
        <v/>
      </c>
      <c r="I276" s="39">
        <f>IF($C276="","",IFERROR(INDEX(DESPACHOS!$H$3:$H$3002,MATCH($C276,DESPACHOS!$B$3:$B$3002,0)),""))</f>
        <v/>
      </c>
      <c r="J276" s="43">
        <f>IF($C276="","",IFERROR(INDEX(DESPACHOS!$J$3:$J$3002,MATCH($C276,DESPACHOS!$B$3:$B$3002,0)),""))</f>
        <v/>
      </c>
      <c r="K276" s="39">
        <f>IF($C276="","",IF(COUNTIFS(DESPACHOS!$B$3:$B$3002,$C276)=0,"NO EXISTE",IF(COUNTIFS(DESPACHOS!$B$3:$B$3002,$C276)&gt;1,"DUPLICADO","OK")))</f>
        <v/>
      </c>
      <c r="L276" s="41" t="n"/>
      <c r="M276" s="41" t="n"/>
      <c r="N276" s="42">
        <f>IF($M276="","",IFERROR(INDEX(LISTAS!$F$3:$F$42,MATCH($M276,LISTAS!$E$3:$E$42,0)),"Por definir"))</f>
        <v/>
      </c>
      <c r="O276" s="41" t="n"/>
      <c r="P276" s="39">
        <f>IF($L276="","",IFERROR(INDEX(LISTAS!$B$3:$B$42,MATCH($L276,LISTAS!$A$3:$A$42,0)),"Media"))</f>
        <v/>
      </c>
      <c r="Q276" s="44" t="n"/>
      <c r="R276" s="45" t="n"/>
      <c r="S276" s="20">
        <f>IFERROR(IF(OR($R276="",$C276=""),"",$R276/INDEX(DESPACHOS!$M$3:$M$3002,MATCH($C276,DESPACHOS!$B$3:$B$3002,0))),"")</f>
        <v/>
      </c>
      <c r="T276" s="41" t="n"/>
      <c r="U276" s="43">
        <f>IF(OR($B276="",$L276=""),"",WORKDAY($B276,IFERROR(INDEX(LISTAS!$C$3:$C$42,MATCH($L276,LISTAS!$A$3:$A$42,0)),3)))</f>
        <v/>
      </c>
      <c r="V276" s="40" t="n"/>
      <c r="W276" s="19">
        <f>IF($B276="","",IF($V276&lt;&gt;"",$V276-$B276,TODAY()-$B276))</f>
        <v/>
      </c>
      <c r="X276" s="19">
        <f>IF(OR($B276="",$U276=""),"",IF($V276&lt;&gt;"",MAX(0,$V276-$U276),MAX(0,TODAY()-$U276)))</f>
        <v/>
      </c>
      <c r="Y276" s="39">
        <f>IF($C276="","",IF(IFERROR(INDEX(LISTAS!$I$3:$I$42,MATCH($T276,LISTAS!$H$3:$H$42,0)),"NO")="SÍ",IF(N($X276)&gt;0,"CERRADA FUERA DE SLA","CERRADA EN SLA"),IF($U276="","SIN CLASIFICAR",IF(N($X276)&gt;0,"VENCIDA",IF(TODAY()&gt;=$U276-1,"POR VENCER","EN PLAZO")))))</f>
        <v/>
      </c>
      <c r="Z276" s="41" t="n"/>
      <c r="AA276" s="41" t="n"/>
      <c r="AB276" s="41" t="n"/>
    </row>
    <row r="277">
      <c r="A277" s="39">
        <f>IF($C277="","","NOV-"&amp;TEXT(ROW()-3,"0000"))</f>
        <v/>
      </c>
      <c r="B277" s="40" t="n"/>
      <c r="C277" s="41" t="n"/>
      <c r="D277" s="42">
        <f>IF($C277="","",IFERROR(INDEX(DESPACHOS!$D$3:$D$3002,MATCH($C277,DESPACHOS!$B$3:$B$3002,0)),"SIN DESPACHO"))</f>
        <v/>
      </c>
      <c r="E277" s="42">
        <f>IF($C277="","",IFERROR(INDEX(DESPACHOS!$K$3:$K$3002,MATCH($C277,DESPACHOS!$B$3:$B$3002,0)),""))</f>
        <v/>
      </c>
      <c r="F277" s="42">
        <f>IF($C277="","",IFERROR(INDEX(DESPACHOS!$I$3:$I$3002,MATCH($C277,DESPACHOS!$B$3:$B$3002,0)),""))</f>
        <v/>
      </c>
      <c r="G277" s="42">
        <f>IF($C277="","",IFERROR(INDEX(DESPACHOS!$F$3:$F$3002,MATCH($C277,DESPACHOS!$B$3:$B$3002,0)),""))</f>
        <v/>
      </c>
      <c r="H277" s="42">
        <f>IF($C277="","",IFERROR(INDEX(DESPACHOS!$G$3:$G$3002,MATCH($C277,DESPACHOS!$B$3:$B$3002,0)),""))</f>
        <v/>
      </c>
      <c r="I277" s="39">
        <f>IF($C277="","",IFERROR(INDEX(DESPACHOS!$H$3:$H$3002,MATCH($C277,DESPACHOS!$B$3:$B$3002,0)),""))</f>
        <v/>
      </c>
      <c r="J277" s="43">
        <f>IF($C277="","",IFERROR(INDEX(DESPACHOS!$J$3:$J$3002,MATCH($C277,DESPACHOS!$B$3:$B$3002,0)),""))</f>
        <v/>
      </c>
      <c r="K277" s="39">
        <f>IF($C277="","",IF(COUNTIFS(DESPACHOS!$B$3:$B$3002,$C277)=0,"NO EXISTE",IF(COUNTIFS(DESPACHOS!$B$3:$B$3002,$C277)&gt;1,"DUPLICADO","OK")))</f>
        <v/>
      </c>
      <c r="L277" s="41" t="n"/>
      <c r="M277" s="41" t="n"/>
      <c r="N277" s="42">
        <f>IF($M277="","",IFERROR(INDEX(LISTAS!$F$3:$F$42,MATCH($M277,LISTAS!$E$3:$E$42,0)),"Por definir"))</f>
        <v/>
      </c>
      <c r="O277" s="41" t="n"/>
      <c r="P277" s="39">
        <f>IF($L277="","",IFERROR(INDEX(LISTAS!$B$3:$B$42,MATCH($L277,LISTAS!$A$3:$A$42,0)),"Media"))</f>
        <v/>
      </c>
      <c r="Q277" s="44" t="n"/>
      <c r="R277" s="45" t="n"/>
      <c r="S277" s="20">
        <f>IFERROR(IF(OR($R277="",$C277=""),"",$R277/INDEX(DESPACHOS!$M$3:$M$3002,MATCH($C277,DESPACHOS!$B$3:$B$3002,0))),"")</f>
        <v/>
      </c>
      <c r="T277" s="41" t="n"/>
      <c r="U277" s="43">
        <f>IF(OR($B277="",$L277=""),"",WORKDAY($B277,IFERROR(INDEX(LISTAS!$C$3:$C$42,MATCH($L277,LISTAS!$A$3:$A$42,0)),3)))</f>
        <v/>
      </c>
      <c r="V277" s="40" t="n"/>
      <c r="W277" s="19">
        <f>IF($B277="","",IF($V277&lt;&gt;"",$V277-$B277,TODAY()-$B277))</f>
        <v/>
      </c>
      <c r="X277" s="19">
        <f>IF(OR($B277="",$U277=""),"",IF($V277&lt;&gt;"",MAX(0,$V277-$U277),MAX(0,TODAY()-$U277)))</f>
        <v/>
      </c>
      <c r="Y277" s="39">
        <f>IF($C277="","",IF(IFERROR(INDEX(LISTAS!$I$3:$I$42,MATCH($T277,LISTAS!$H$3:$H$42,0)),"NO")="SÍ",IF(N($X277)&gt;0,"CERRADA FUERA DE SLA","CERRADA EN SLA"),IF($U277="","SIN CLASIFICAR",IF(N($X277)&gt;0,"VENCIDA",IF(TODAY()&gt;=$U277-1,"POR VENCER","EN PLAZO")))))</f>
        <v/>
      </c>
      <c r="Z277" s="41" t="n"/>
      <c r="AA277" s="41" t="n"/>
      <c r="AB277" s="41" t="n"/>
    </row>
    <row r="278">
      <c r="A278" s="39">
        <f>IF($C278="","","NOV-"&amp;TEXT(ROW()-3,"0000"))</f>
        <v/>
      </c>
      <c r="B278" s="40" t="n"/>
      <c r="C278" s="41" t="n"/>
      <c r="D278" s="42">
        <f>IF($C278="","",IFERROR(INDEX(DESPACHOS!$D$3:$D$3002,MATCH($C278,DESPACHOS!$B$3:$B$3002,0)),"SIN DESPACHO"))</f>
        <v/>
      </c>
      <c r="E278" s="42">
        <f>IF($C278="","",IFERROR(INDEX(DESPACHOS!$K$3:$K$3002,MATCH($C278,DESPACHOS!$B$3:$B$3002,0)),""))</f>
        <v/>
      </c>
      <c r="F278" s="42">
        <f>IF($C278="","",IFERROR(INDEX(DESPACHOS!$I$3:$I$3002,MATCH($C278,DESPACHOS!$B$3:$B$3002,0)),""))</f>
        <v/>
      </c>
      <c r="G278" s="42">
        <f>IF($C278="","",IFERROR(INDEX(DESPACHOS!$F$3:$F$3002,MATCH($C278,DESPACHOS!$B$3:$B$3002,0)),""))</f>
        <v/>
      </c>
      <c r="H278" s="42">
        <f>IF($C278="","",IFERROR(INDEX(DESPACHOS!$G$3:$G$3002,MATCH($C278,DESPACHOS!$B$3:$B$3002,0)),""))</f>
        <v/>
      </c>
      <c r="I278" s="39">
        <f>IF($C278="","",IFERROR(INDEX(DESPACHOS!$H$3:$H$3002,MATCH($C278,DESPACHOS!$B$3:$B$3002,0)),""))</f>
        <v/>
      </c>
      <c r="J278" s="43">
        <f>IF($C278="","",IFERROR(INDEX(DESPACHOS!$J$3:$J$3002,MATCH($C278,DESPACHOS!$B$3:$B$3002,0)),""))</f>
        <v/>
      </c>
      <c r="K278" s="39">
        <f>IF($C278="","",IF(COUNTIFS(DESPACHOS!$B$3:$B$3002,$C278)=0,"NO EXISTE",IF(COUNTIFS(DESPACHOS!$B$3:$B$3002,$C278)&gt;1,"DUPLICADO","OK")))</f>
        <v/>
      </c>
      <c r="L278" s="41" t="n"/>
      <c r="M278" s="41" t="n"/>
      <c r="N278" s="42">
        <f>IF($M278="","",IFERROR(INDEX(LISTAS!$F$3:$F$42,MATCH($M278,LISTAS!$E$3:$E$42,0)),"Por definir"))</f>
        <v/>
      </c>
      <c r="O278" s="41" t="n"/>
      <c r="P278" s="39">
        <f>IF($L278="","",IFERROR(INDEX(LISTAS!$B$3:$B$42,MATCH($L278,LISTAS!$A$3:$A$42,0)),"Media"))</f>
        <v/>
      </c>
      <c r="Q278" s="44" t="n"/>
      <c r="R278" s="45" t="n"/>
      <c r="S278" s="20">
        <f>IFERROR(IF(OR($R278="",$C278=""),"",$R278/INDEX(DESPACHOS!$M$3:$M$3002,MATCH($C278,DESPACHOS!$B$3:$B$3002,0))),"")</f>
        <v/>
      </c>
      <c r="T278" s="41" t="n"/>
      <c r="U278" s="43">
        <f>IF(OR($B278="",$L278=""),"",WORKDAY($B278,IFERROR(INDEX(LISTAS!$C$3:$C$42,MATCH($L278,LISTAS!$A$3:$A$42,0)),3)))</f>
        <v/>
      </c>
      <c r="V278" s="40" t="n"/>
      <c r="W278" s="19">
        <f>IF($B278="","",IF($V278&lt;&gt;"",$V278-$B278,TODAY()-$B278))</f>
        <v/>
      </c>
      <c r="X278" s="19">
        <f>IF(OR($B278="",$U278=""),"",IF($V278&lt;&gt;"",MAX(0,$V278-$U278),MAX(0,TODAY()-$U278)))</f>
        <v/>
      </c>
      <c r="Y278" s="39">
        <f>IF($C278="","",IF(IFERROR(INDEX(LISTAS!$I$3:$I$42,MATCH($T278,LISTAS!$H$3:$H$42,0)),"NO")="SÍ",IF(N($X278)&gt;0,"CERRADA FUERA DE SLA","CERRADA EN SLA"),IF($U278="","SIN CLASIFICAR",IF(N($X278)&gt;0,"VENCIDA",IF(TODAY()&gt;=$U278-1,"POR VENCER","EN PLAZO")))))</f>
        <v/>
      </c>
      <c r="Z278" s="41" t="n"/>
      <c r="AA278" s="41" t="n"/>
      <c r="AB278" s="41" t="n"/>
    </row>
    <row r="279">
      <c r="A279" s="39">
        <f>IF($C279="","","NOV-"&amp;TEXT(ROW()-3,"0000"))</f>
        <v/>
      </c>
      <c r="B279" s="40" t="n"/>
      <c r="C279" s="41" t="n"/>
      <c r="D279" s="42">
        <f>IF($C279="","",IFERROR(INDEX(DESPACHOS!$D$3:$D$3002,MATCH($C279,DESPACHOS!$B$3:$B$3002,0)),"SIN DESPACHO"))</f>
        <v/>
      </c>
      <c r="E279" s="42">
        <f>IF($C279="","",IFERROR(INDEX(DESPACHOS!$K$3:$K$3002,MATCH($C279,DESPACHOS!$B$3:$B$3002,0)),""))</f>
        <v/>
      </c>
      <c r="F279" s="42">
        <f>IF($C279="","",IFERROR(INDEX(DESPACHOS!$I$3:$I$3002,MATCH($C279,DESPACHOS!$B$3:$B$3002,0)),""))</f>
        <v/>
      </c>
      <c r="G279" s="42">
        <f>IF($C279="","",IFERROR(INDEX(DESPACHOS!$F$3:$F$3002,MATCH($C279,DESPACHOS!$B$3:$B$3002,0)),""))</f>
        <v/>
      </c>
      <c r="H279" s="42">
        <f>IF($C279="","",IFERROR(INDEX(DESPACHOS!$G$3:$G$3002,MATCH($C279,DESPACHOS!$B$3:$B$3002,0)),""))</f>
        <v/>
      </c>
      <c r="I279" s="39">
        <f>IF($C279="","",IFERROR(INDEX(DESPACHOS!$H$3:$H$3002,MATCH($C279,DESPACHOS!$B$3:$B$3002,0)),""))</f>
        <v/>
      </c>
      <c r="J279" s="43">
        <f>IF($C279="","",IFERROR(INDEX(DESPACHOS!$J$3:$J$3002,MATCH($C279,DESPACHOS!$B$3:$B$3002,0)),""))</f>
        <v/>
      </c>
      <c r="K279" s="39">
        <f>IF($C279="","",IF(COUNTIFS(DESPACHOS!$B$3:$B$3002,$C279)=0,"NO EXISTE",IF(COUNTIFS(DESPACHOS!$B$3:$B$3002,$C279)&gt;1,"DUPLICADO","OK")))</f>
        <v/>
      </c>
      <c r="L279" s="41" t="n"/>
      <c r="M279" s="41" t="n"/>
      <c r="N279" s="42">
        <f>IF($M279="","",IFERROR(INDEX(LISTAS!$F$3:$F$42,MATCH($M279,LISTAS!$E$3:$E$42,0)),"Por definir"))</f>
        <v/>
      </c>
      <c r="O279" s="41" t="n"/>
      <c r="P279" s="39">
        <f>IF($L279="","",IFERROR(INDEX(LISTAS!$B$3:$B$42,MATCH($L279,LISTAS!$A$3:$A$42,0)),"Media"))</f>
        <v/>
      </c>
      <c r="Q279" s="44" t="n"/>
      <c r="R279" s="45" t="n"/>
      <c r="S279" s="20">
        <f>IFERROR(IF(OR($R279="",$C279=""),"",$R279/INDEX(DESPACHOS!$M$3:$M$3002,MATCH($C279,DESPACHOS!$B$3:$B$3002,0))),"")</f>
        <v/>
      </c>
      <c r="T279" s="41" t="n"/>
      <c r="U279" s="43">
        <f>IF(OR($B279="",$L279=""),"",WORKDAY($B279,IFERROR(INDEX(LISTAS!$C$3:$C$42,MATCH($L279,LISTAS!$A$3:$A$42,0)),3)))</f>
        <v/>
      </c>
      <c r="V279" s="40" t="n"/>
      <c r="W279" s="19">
        <f>IF($B279="","",IF($V279&lt;&gt;"",$V279-$B279,TODAY()-$B279))</f>
        <v/>
      </c>
      <c r="X279" s="19">
        <f>IF(OR($B279="",$U279=""),"",IF($V279&lt;&gt;"",MAX(0,$V279-$U279),MAX(0,TODAY()-$U279)))</f>
        <v/>
      </c>
      <c r="Y279" s="39">
        <f>IF($C279="","",IF(IFERROR(INDEX(LISTAS!$I$3:$I$42,MATCH($T279,LISTAS!$H$3:$H$42,0)),"NO")="SÍ",IF(N($X279)&gt;0,"CERRADA FUERA DE SLA","CERRADA EN SLA"),IF($U279="","SIN CLASIFICAR",IF(N($X279)&gt;0,"VENCIDA",IF(TODAY()&gt;=$U279-1,"POR VENCER","EN PLAZO")))))</f>
        <v/>
      </c>
      <c r="Z279" s="41" t="n"/>
      <c r="AA279" s="41" t="n"/>
      <c r="AB279" s="41" t="n"/>
    </row>
    <row r="280">
      <c r="A280" s="39">
        <f>IF($C280="","","NOV-"&amp;TEXT(ROW()-3,"0000"))</f>
        <v/>
      </c>
      <c r="B280" s="40" t="n"/>
      <c r="C280" s="41" t="n"/>
      <c r="D280" s="42">
        <f>IF($C280="","",IFERROR(INDEX(DESPACHOS!$D$3:$D$3002,MATCH($C280,DESPACHOS!$B$3:$B$3002,0)),"SIN DESPACHO"))</f>
        <v/>
      </c>
      <c r="E280" s="42">
        <f>IF($C280="","",IFERROR(INDEX(DESPACHOS!$K$3:$K$3002,MATCH($C280,DESPACHOS!$B$3:$B$3002,0)),""))</f>
        <v/>
      </c>
      <c r="F280" s="42">
        <f>IF($C280="","",IFERROR(INDEX(DESPACHOS!$I$3:$I$3002,MATCH($C280,DESPACHOS!$B$3:$B$3002,0)),""))</f>
        <v/>
      </c>
      <c r="G280" s="42">
        <f>IF($C280="","",IFERROR(INDEX(DESPACHOS!$F$3:$F$3002,MATCH($C280,DESPACHOS!$B$3:$B$3002,0)),""))</f>
        <v/>
      </c>
      <c r="H280" s="42">
        <f>IF($C280="","",IFERROR(INDEX(DESPACHOS!$G$3:$G$3002,MATCH($C280,DESPACHOS!$B$3:$B$3002,0)),""))</f>
        <v/>
      </c>
      <c r="I280" s="39">
        <f>IF($C280="","",IFERROR(INDEX(DESPACHOS!$H$3:$H$3002,MATCH($C280,DESPACHOS!$B$3:$B$3002,0)),""))</f>
        <v/>
      </c>
      <c r="J280" s="43">
        <f>IF($C280="","",IFERROR(INDEX(DESPACHOS!$J$3:$J$3002,MATCH($C280,DESPACHOS!$B$3:$B$3002,0)),""))</f>
        <v/>
      </c>
      <c r="K280" s="39">
        <f>IF($C280="","",IF(COUNTIFS(DESPACHOS!$B$3:$B$3002,$C280)=0,"NO EXISTE",IF(COUNTIFS(DESPACHOS!$B$3:$B$3002,$C280)&gt;1,"DUPLICADO","OK")))</f>
        <v/>
      </c>
      <c r="L280" s="41" t="n"/>
      <c r="M280" s="41" t="n"/>
      <c r="N280" s="42">
        <f>IF($M280="","",IFERROR(INDEX(LISTAS!$F$3:$F$42,MATCH($M280,LISTAS!$E$3:$E$42,0)),"Por definir"))</f>
        <v/>
      </c>
      <c r="O280" s="41" t="n"/>
      <c r="P280" s="39">
        <f>IF($L280="","",IFERROR(INDEX(LISTAS!$B$3:$B$42,MATCH($L280,LISTAS!$A$3:$A$42,0)),"Media"))</f>
        <v/>
      </c>
      <c r="Q280" s="44" t="n"/>
      <c r="R280" s="45" t="n"/>
      <c r="S280" s="20">
        <f>IFERROR(IF(OR($R280="",$C280=""),"",$R280/INDEX(DESPACHOS!$M$3:$M$3002,MATCH($C280,DESPACHOS!$B$3:$B$3002,0))),"")</f>
        <v/>
      </c>
      <c r="T280" s="41" t="n"/>
      <c r="U280" s="43">
        <f>IF(OR($B280="",$L280=""),"",WORKDAY($B280,IFERROR(INDEX(LISTAS!$C$3:$C$42,MATCH($L280,LISTAS!$A$3:$A$42,0)),3)))</f>
        <v/>
      </c>
      <c r="V280" s="40" t="n"/>
      <c r="W280" s="19">
        <f>IF($B280="","",IF($V280&lt;&gt;"",$V280-$B280,TODAY()-$B280))</f>
        <v/>
      </c>
      <c r="X280" s="19">
        <f>IF(OR($B280="",$U280=""),"",IF($V280&lt;&gt;"",MAX(0,$V280-$U280),MAX(0,TODAY()-$U280)))</f>
        <v/>
      </c>
      <c r="Y280" s="39">
        <f>IF($C280="","",IF(IFERROR(INDEX(LISTAS!$I$3:$I$42,MATCH($T280,LISTAS!$H$3:$H$42,0)),"NO")="SÍ",IF(N($X280)&gt;0,"CERRADA FUERA DE SLA","CERRADA EN SLA"),IF($U280="","SIN CLASIFICAR",IF(N($X280)&gt;0,"VENCIDA",IF(TODAY()&gt;=$U280-1,"POR VENCER","EN PLAZO")))))</f>
        <v/>
      </c>
      <c r="Z280" s="41" t="n"/>
      <c r="AA280" s="41" t="n"/>
      <c r="AB280" s="41" t="n"/>
    </row>
    <row r="281">
      <c r="A281" s="39">
        <f>IF($C281="","","NOV-"&amp;TEXT(ROW()-3,"0000"))</f>
        <v/>
      </c>
      <c r="B281" s="40" t="n"/>
      <c r="C281" s="41" t="n"/>
      <c r="D281" s="42">
        <f>IF($C281="","",IFERROR(INDEX(DESPACHOS!$D$3:$D$3002,MATCH($C281,DESPACHOS!$B$3:$B$3002,0)),"SIN DESPACHO"))</f>
        <v/>
      </c>
      <c r="E281" s="42">
        <f>IF($C281="","",IFERROR(INDEX(DESPACHOS!$K$3:$K$3002,MATCH($C281,DESPACHOS!$B$3:$B$3002,0)),""))</f>
        <v/>
      </c>
      <c r="F281" s="42">
        <f>IF($C281="","",IFERROR(INDEX(DESPACHOS!$I$3:$I$3002,MATCH($C281,DESPACHOS!$B$3:$B$3002,0)),""))</f>
        <v/>
      </c>
      <c r="G281" s="42">
        <f>IF($C281="","",IFERROR(INDEX(DESPACHOS!$F$3:$F$3002,MATCH($C281,DESPACHOS!$B$3:$B$3002,0)),""))</f>
        <v/>
      </c>
      <c r="H281" s="42">
        <f>IF($C281="","",IFERROR(INDEX(DESPACHOS!$G$3:$G$3002,MATCH($C281,DESPACHOS!$B$3:$B$3002,0)),""))</f>
        <v/>
      </c>
      <c r="I281" s="39">
        <f>IF($C281="","",IFERROR(INDEX(DESPACHOS!$H$3:$H$3002,MATCH($C281,DESPACHOS!$B$3:$B$3002,0)),""))</f>
        <v/>
      </c>
      <c r="J281" s="43">
        <f>IF($C281="","",IFERROR(INDEX(DESPACHOS!$J$3:$J$3002,MATCH($C281,DESPACHOS!$B$3:$B$3002,0)),""))</f>
        <v/>
      </c>
      <c r="K281" s="39">
        <f>IF($C281="","",IF(COUNTIFS(DESPACHOS!$B$3:$B$3002,$C281)=0,"NO EXISTE",IF(COUNTIFS(DESPACHOS!$B$3:$B$3002,$C281)&gt;1,"DUPLICADO","OK")))</f>
        <v/>
      </c>
      <c r="L281" s="41" t="n"/>
      <c r="M281" s="41" t="n"/>
      <c r="N281" s="42">
        <f>IF($M281="","",IFERROR(INDEX(LISTAS!$F$3:$F$42,MATCH($M281,LISTAS!$E$3:$E$42,0)),"Por definir"))</f>
        <v/>
      </c>
      <c r="O281" s="41" t="n"/>
      <c r="P281" s="39">
        <f>IF($L281="","",IFERROR(INDEX(LISTAS!$B$3:$B$42,MATCH($L281,LISTAS!$A$3:$A$42,0)),"Media"))</f>
        <v/>
      </c>
      <c r="Q281" s="44" t="n"/>
      <c r="R281" s="45" t="n"/>
      <c r="S281" s="20">
        <f>IFERROR(IF(OR($R281="",$C281=""),"",$R281/INDEX(DESPACHOS!$M$3:$M$3002,MATCH($C281,DESPACHOS!$B$3:$B$3002,0))),"")</f>
        <v/>
      </c>
      <c r="T281" s="41" t="n"/>
      <c r="U281" s="43">
        <f>IF(OR($B281="",$L281=""),"",WORKDAY($B281,IFERROR(INDEX(LISTAS!$C$3:$C$42,MATCH($L281,LISTAS!$A$3:$A$42,0)),3)))</f>
        <v/>
      </c>
      <c r="V281" s="40" t="n"/>
      <c r="W281" s="19">
        <f>IF($B281="","",IF($V281&lt;&gt;"",$V281-$B281,TODAY()-$B281))</f>
        <v/>
      </c>
      <c r="X281" s="19">
        <f>IF(OR($B281="",$U281=""),"",IF($V281&lt;&gt;"",MAX(0,$V281-$U281),MAX(0,TODAY()-$U281)))</f>
        <v/>
      </c>
      <c r="Y281" s="39">
        <f>IF($C281="","",IF(IFERROR(INDEX(LISTAS!$I$3:$I$42,MATCH($T281,LISTAS!$H$3:$H$42,0)),"NO")="SÍ",IF(N($X281)&gt;0,"CERRADA FUERA DE SLA","CERRADA EN SLA"),IF($U281="","SIN CLASIFICAR",IF(N($X281)&gt;0,"VENCIDA",IF(TODAY()&gt;=$U281-1,"POR VENCER","EN PLAZO")))))</f>
        <v/>
      </c>
      <c r="Z281" s="41" t="n"/>
      <c r="AA281" s="41" t="n"/>
      <c r="AB281" s="41" t="n"/>
    </row>
    <row r="282">
      <c r="A282" s="39">
        <f>IF($C282="","","NOV-"&amp;TEXT(ROW()-3,"0000"))</f>
        <v/>
      </c>
      <c r="B282" s="40" t="n"/>
      <c r="C282" s="41" t="n"/>
      <c r="D282" s="42">
        <f>IF($C282="","",IFERROR(INDEX(DESPACHOS!$D$3:$D$3002,MATCH($C282,DESPACHOS!$B$3:$B$3002,0)),"SIN DESPACHO"))</f>
        <v/>
      </c>
      <c r="E282" s="42">
        <f>IF($C282="","",IFERROR(INDEX(DESPACHOS!$K$3:$K$3002,MATCH($C282,DESPACHOS!$B$3:$B$3002,0)),""))</f>
        <v/>
      </c>
      <c r="F282" s="42">
        <f>IF($C282="","",IFERROR(INDEX(DESPACHOS!$I$3:$I$3002,MATCH($C282,DESPACHOS!$B$3:$B$3002,0)),""))</f>
        <v/>
      </c>
      <c r="G282" s="42">
        <f>IF($C282="","",IFERROR(INDEX(DESPACHOS!$F$3:$F$3002,MATCH($C282,DESPACHOS!$B$3:$B$3002,0)),""))</f>
        <v/>
      </c>
      <c r="H282" s="42">
        <f>IF($C282="","",IFERROR(INDEX(DESPACHOS!$G$3:$G$3002,MATCH($C282,DESPACHOS!$B$3:$B$3002,0)),""))</f>
        <v/>
      </c>
      <c r="I282" s="39">
        <f>IF($C282="","",IFERROR(INDEX(DESPACHOS!$H$3:$H$3002,MATCH($C282,DESPACHOS!$B$3:$B$3002,0)),""))</f>
        <v/>
      </c>
      <c r="J282" s="43">
        <f>IF($C282="","",IFERROR(INDEX(DESPACHOS!$J$3:$J$3002,MATCH($C282,DESPACHOS!$B$3:$B$3002,0)),""))</f>
        <v/>
      </c>
      <c r="K282" s="39">
        <f>IF($C282="","",IF(COUNTIFS(DESPACHOS!$B$3:$B$3002,$C282)=0,"NO EXISTE",IF(COUNTIFS(DESPACHOS!$B$3:$B$3002,$C282)&gt;1,"DUPLICADO","OK")))</f>
        <v/>
      </c>
      <c r="L282" s="41" t="n"/>
      <c r="M282" s="41" t="n"/>
      <c r="N282" s="42">
        <f>IF($M282="","",IFERROR(INDEX(LISTAS!$F$3:$F$42,MATCH($M282,LISTAS!$E$3:$E$42,0)),"Por definir"))</f>
        <v/>
      </c>
      <c r="O282" s="41" t="n"/>
      <c r="P282" s="39">
        <f>IF($L282="","",IFERROR(INDEX(LISTAS!$B$3:$B$42,MATCH($L282,LISTAS!$A$3:$A$42,0)),"Media"))</f>
        <v/>
      </c>
      <c r="Q282" s="44" t="n"/>
      <c r="R282" s="45" t="n"/>
      <c r="S282" s="20">
        <f>IFERROR(IF(OR($R282="",$C282=""),"",$R282/INDEX(DESPACHOS!$M$3:$M$3002,MATCH($C282,DESPACHOS!$B$3:$B$3002,0))),"")</f>
        <v/>
      </c>
      <c r="T282" s="41" t="n"/>
      <c r="U282" s="43">
        <f>IF(OR($B282="",$L282=""),"",WORKDAY($B282,IFERROR(INDEX(LISTAS!$C$3:$C$42,MATCH($L282,LISTAS!$A$3:$A$42,0)),3)))</f>
        <v/>
      </c>
      <c r="V282" s="40" t="n"/>
      <c r="W282" s="19">
        <f>IF($B282="","",IF($V282&lt;&gt;"",$V282-$B282,TODAY()-$B282))</f>
        <v/>
      </c>
      <c r="X282" s="19">
        <f>IF(OR($B282="",$U282=""),"",IF($V282&lt;&gt;"",MAX(0,$V282-$U282),MAX(0,TODAY()-$U282)))</f>
        <v/>
      </c>
      <c r="Y282" s="39">
        <f>IF($C282="","",IF(IFERROR(INDEX(LISTAS!$I$3:$I$42,MATCH($T282,LISTAS!$H$3:$H$42,0)),"NO")="SÍ",IF(N($X282)&gt;0,"CERRADA FUERA DE SLA","CERRADA EN SLA"),IF($U282="","SIN CLASIFICAR",IF(N($X282)&gt;0,"VENCIDA",IF(TODAY()&gt;=$U282-1,"POR VENCER","EN PLAZO")))))</f>
        <v/>
      </c>
      <c r="Z282" s="41" t="n"/>
      <c r="AA282" s="41" t="n"/>
      <c r="AB282" s="41" t="n"/>
    </row>
    <row r="283">
      <c r="A283" s="39">
        <f>IF($C283="","","NOV-"&amp;TEXT(ROW()-3,"0000"))</f>
        <v/>
      </c>
      <c r="B283" s="40" t="n"/>
      <c r="C283" s="41" t="n"/>
      <c r="D283" s="42">
        <f>IF($C283="","",IFERROR(INDEX(DESPACHOS!$D$3:$D$3002,MATCH($C283,DESPACHOS!$B$3:$B$3002,0)),"SIN DESPACHO"))</f>
        <v/>
      </c>
      <c r="E283" s="42">
        <f>IF($C283="","",IFERROR(INDEX(DESPACHOS!$K$3:$K$3002,MATCH($C283,DESPACHOS!$B$3:$B$3002,0)),""))</f>
        <v/>
      </c>
      <c r="F283" s="42">
        <f>IF($C283="","",IFERROR(INDEX(DESPACHOS!$I$3:$I$3002,MATCH($C283,DESPACHOS!$B$3:$B$3002,0)),""))</f>
        <v/>
      </c>
      <c r="G283" s="42">
        <f>IF($C283="","",IFERROR(INDEX(DESPACHOS!$F$3:$F$3002,MATCH($C283,DESPACHOS!$B$3:$B$3002,0)),""))</f>
        <v/>
      </c>
      <c r="H283" s="42">
        <f>IF($C283="","",IFERROR(INDEX(DESPACHOS!$G$3:$G$3002,MATCH($C283,DESPACHOS!$B$3:$B$3002,0)),""))</f>
        <v/>
      </c>
      <c r="I283" s="39">
        <f>IF($C283="","",IFERROR(INDEX(DESPACHOS!$H$3:$H$3002,MATCH($C283,DESPACHOS!$B$3:$B$3002,0)),""))</f>
        <v/>
      </c>
      <c r="J283" s="43">
        <f>IF($C283="","",IFERROR(INDEX(DESPACHOS!$J$3:$J$3002,MATCH($C283,DESPACHOS!$B$3:$B$3002,0)),""))</f>
        <v/>
      </c>
      <c r="K283" s="39">
        <f>IF($C283="","",IF(COUNTIFS(DESPACHOS!$B$3:$B$3002,$C283)=0,"NO EXISTE",IF(COUNTIFS(DESPACHOS!$B$3:$B$3002,$C283)&gt;1,"DUPLICADO","OK")))</f>
        <v/>
      </c>
      <c r="L283" s="41" t="n"/>
      <c r="M283" s="41" t="n"/>
      <c r="N283" s="42">
        <f>IF($M283="","",IFERROR(INDEX(LISTAS!$F$3:$F$42,MATCH($M283,LISTAS!$E$3:$E$42,0)),"Por definir"))</f>
        <v/>
      </c>
      <c r="O283" s="41" t="n"/>
      <c r="P283" s="39">
        <f>IF($L283="","",IFERROR(INDEX(LISTAS!$B$3:$B$42,MATCH($L283,LISTAS!$A$3:$A$42,0)),"Media"))</f>
        <v/>
      </c>
      <c r="Q283" s="44" t="n"/>
      <c r="R283" s="45" t="n"/>
      <c r="S283" s="20">
        <f>IFERROR(IF(OR($R283="",$C283=""),"",$R283/INDEX(DESPACHOS!$M$3:$M$3002,MATCH($C283,DESPACHOS!$B$3:$B$3002,0))),"")</f>
        <v/>
      </c>
      <c r="T283" s="41" t="n"/>
      <c r="U283" s="43">
        <f>IF(OR($B283="",$L283=""),"",WORKDAY($B283,IFERROR(INDEX(LISTAS!$C$3:$C$42,MATCH($L283,LISTAS!$A$3:$A$42,0)),3)))</f>
        <v/>
      </c>
      <c r="V283" s="40" t="n"/>
      <c r="W283" s="19">
        <f>IF($B283="","",IF($V283&lt;&gt;"",$V283-$B283,TODAY()-$B283))</f>
        <v/>
      </c>
      <c r="X283" s="19">
        <f>IF(OR($B283="",$U283=""),"",IF($V283&lt;&gt;"",MAX(0,$V283-$U283),MAX(0,TODAY()-$U283)))</f>
        <v/>
      </c>
      <c r="Y283" s="39">
        <f>IF($C283="","",IF(IFERROR(INDEX(LISTAS!$I$3:$I$42,MATCH($T283,LISTAS!$H$3:$H$42,0)),"NO")="SÍ",IF(N($X283)&gt;0,"CERRADA FUERA DE SLA","CERRADA EN SLA"),IF($U283="","SIN CLASIFICAR",IF(N($X283)&gt;0,"VENCIDA",IF(TODAY()&gt;=$U283-1,"POR VENCER","EN PLAZO")))))</f>
        <v/>
      </c>
      <c r="Z283" s="41" t="n"/>
      <c r="AA283" s="41" t="n"/>
      <c r="AB283" s="41" t="n"/>
    </row>
    <row r="284">
      <c r="A284" s="39">
        <f>IF($C284="","","NOV-"&amp;TEXT(ROW()-3,"0000"))</f>
        <v/>
      </c>
      <c r="B284" s="40" t="n"/>
      <c r="C284" s="41" t="n"/>
      <c r="D284" s="42">
        <f>IF($C284="","",IFERROR(INDEX(DESPACHOS!$D$3:$D$3002,MATCH($C284,DESPACHOS!$B$3:$B$3002,0)),"SIN DESPACHO"))</f>
        <v/>
      </c>
      <c r="E284" s="42">
        <f>IF($C284="","",IFERROR(INDEX(DESPACHOS!$K$3:$K$3002,MATCH($C284,DESPACHOS!$B$3:$B$3002,0)),""))</f>
        <v/>
      </c>
      <c r="F284" s="42">
        <f>IF($C284="","",IFERROR(INDEX(DESPACHOS!$I$3:$I$3002,MATCH($C284,DESPACHOS!$B$3:$B$3002,0)),""))</f>
        <v/>
      </c>
      <c r="G284" s="42">
        <f>IF($C284="","",IFERROR(INDEX(DESPACHOS!$F$3:$F$3002,MATCH($C284,DESPACHOS!$B$3:$B$3002,0)),""))</f>
        <v/>
      </c>
      <c r="H284" s="42">
        <f>IF($C284="","",IFERROR(INDEX(DESPACHOS!$G$3:$G$3002,MATCH($C284,DESPACHOS!$B$3:$B$3002,0)),""))</f>
        <v/>
      </c>
      <c r="I284" s="39">
        <f>IF($C284="","",IFERROR(INDEX(DESPACHOS!$H$3:$H$3002,MATCH($C284,DESPACHOS!$B$3:$B$3002,0)),""))</f>
        <v/>
      </c>
      <c r="J284" s="43">
        <f>IF($C284="","",IFERROR(INDEX(DESPACHOS!$J$3:$J$3002,MATCH($C284,DESPACHOS!$B$3:$B$3002,0)),""))</f>
        <v/>
      </c>
      <c r="K284" s="39">
        <f>IF($C284="","",IF(COUNTIFS(DESPACHOS!$B$3:$B$3002,$C284)=0,"NO EXISTE",IF(COUNTIFS(DESPACHOS!$B$3:$B$3002,$C284)&gt;1,"DUPLICADO","OK")))</f>
        <v/>
      </c>
      <c r="L284" s="41" t="n"/>
      <c r="M284" s="41" t="n"/>
      <c r="N284" s="42">
        <f>IF($M284="","",IFERROR(INDEX(LISTAS!$F$3:$F$42,MATCH($M284,LISTAS!$E$3:$E$42,0)),"Por definir"))</f>
        <v/>
      </c>
      <c r="O284" s="41" t="n"/>
      <c r="P284" s="39">
        <f>IF($L284="","",IFERROR(INDEX(LISTAS!$B$3:$B$42,MATCH($L284,LISTAS!$A$3:$A$42,0)),"Media"))</f>
        <v/>
      </c>
      <c r="Q284" s="44" t="n"/>
      <c r="R284" s="45" t="n"/>
      <c r="S284" s="20">
        <f>IFERROR(IF(OR($R284="",$C284=""),"",$R284/INDEX(DESPACHOS!$M$3:$M$3002,MATCH($C284,DESPACHOS!$B$3:$B$3002,0))),"")</f>
        <v/>
      </c>
      <c r="T284" s="41" t="n"/>
      <c r="U284" s="43">
        <f>IF(OR($B284="",$L284=""),"",WORKDAY($B284,IFERROR(INDEX(LISTAS!$C$3:$C$42,MATCH($L284,LISTAS!$A$3:$A$42,0)),3)))</f>
        <v/>
      </c>
      <c r="V284" s="40" t="n"/>
      <c r="W284" s="19">
        <f>IF($B284="","",IF($V284&lt;&gt;"",$V284-$B284,TODAY()-$B284))</f>
        <v/>
      </c>
      <c r="X284" s="19">
        <f>IF(OR($B284="",$U284=""),"",IF($V284&lt;&gt;"",MAX(0,$V284-$U284),MAX(0,TODAY()-$U284)))</f>
        <v/>
      </c>
      <c r="Y284" s="39">
        <f>IF($C284="","",IF(IFERROR(INDEX(LISTAS!$I$3:$I$42,MATCH($T284,LISTAS!$H$3:$H$42,0)),"NO")="SÍ",IF(N($X284)&gt;0,"CERRADA FUERA DE SLA","CERRADA EN SLA"),IF($U284="","SIN CLASIFICAR",IF(N($X284)&gt;0,"VENCIDA",IF(TODAY()&gt;=$U284-1,"POR VENCER","EN PLAZO")))))</f>
        <v/>
      </c>
      <c r="Z284" s="41" t="n"/>
      <c r="AA284" s="41" t="n"/>
      <c r="AB284" s="41" t="n"/>
    </row>
    <row r="285">
      <c r="A285" s="39">
        <f>IF($C285="","","NOV-"&amp;TEXT(ROW()-3,"0000"))</f>
        <v/>
      </c>
      <c r="B285" s="40" t="n"/>
      <c r="C285" s="41" t="n"/>
      <c r="D285" s="42">
        <f>IF($C285="","",IFERROR(INDEX(DESPACHOS!$D$3:$D$3002,MATCH($C285,DESPACHOS!$B$3:$B$3002,0)),"SIN DESPACHO"))</f>
        <v/>
      </c>
      <c r="E285" s="42">
        <f>IF($C285="","",IFERROR(INDEX(DESPACHOS!$K$3:$K$3002,MATCH($C285,DESPACHOS!$B$3:$B$3002,0)),""))</f>
        <v/>
      </c>
      <c r="F285" s="42">
        <f>IF($C285="","",IFERROR(INDEX(DESPACHOS!$I$3:$I$3002,MATCH($C285,DESPACHOS!$B$3:$B$3002,0)),""))</f>
        <v/>
      </c>
      <c r="G285" s="42">
        <f>IF($C285="","",IFERROR(INDEX(DESPACHOS!$F$3:$F$3002,MATCH($C285,DESPACHOS!$B$3:$B$3002,0)),""))</f>
        <v/>
      </c>
      <c r="H285" s="42">
        <f>IF($C285="","",IFERROR(INDEX(DESPACHOS!$G$3:$G$3002,MATCH($C285,DESPACHOS!$B$3:$B$3002,0)),""))</f>
        <v/>
      </c>
      <c r="I285" s="39">
        <f>IF($C285="","",IFERROR(INDEX(DESPACHOS!$H$3:$H$3002,MATCH($C285,DESPACHOS!$B$3:$B$3002,0)),""))</f>
        <v/>
      </c>
      <c r="J285" s="43">
        <f>IF($C285="","",IFERROR(INDEX(DESPACHOS!$J$3:$J$3002,MATCH($C285,DESPACHOS!$B$3:$B$3002,0)),""))</f>
        <v/>
      </c>
      <c r="K285" s="39">
        <f>IF($C285="","",IF(COUNTIFS(DESPACHOS!$B$3:$B$3002,$C285)=0,"NO EXISTE",IF(COUNTIFS(DESPACHOS!$B$3:$B$3002,$C285)&gt;1,"DUPLICADO","OK")))</f>
        <v/>
      </c>
      <c r="L285" s="41" t="n"/>
      <c r="M285" s="41" t="n"/>
      <c r="N285" s="42">
        <f>IF($M285="","",IFERROR(INDEX(LISTAS!$F$3:$F$42,MATCH($M285,LISTAS!$E$3:$E$42,0)),"Por definir"))</f>
        <v/>
      </c>
      <c r="O285" s="41" t="n"/>
      <c r="P285" s="39">
        <f>IF($L285="","",IFERROR(INDEX(LISTAS!$B$3:$B$42,MATCH($L285,LISTAS!$A$3:$A$42,0)),"Media"))</f>
        <v/>
      </c>
      <c r="Q285" s="44" t="n"/>
      <c r="R285" s="45" t="n"/>
      <c r="S285" s="20">
        <f>IFERROR(IF(OR($R285="",$C285=""),"",$R285/INDEX(DESPACHOS!$M$3:$M$3002,MATCH($C285,DESPACHOS!$B$3:$B$3002,0))),"")</f>
        <v/>
      </c>
      <c r="T285" s="41" t="n"/>
      <c r="U285" s="43">
        <f>IF(OR($B285="",$L285=""),"",WORKDAY($B285,IFERROR(INDEX(LISTAS!$C$3:$C$42,MATCH($L285,LISTAS!$A$3:$A$42,0)),3)))</f>
        <v/>
      </c>
      <c r="V285" s="40" t="n"/>
      <c r="W285" s="19">
        <f>IF($B285="","",IF($V285&lt;&gt;"",$V285-$B285,TODAY()-$B285))</f>
        <v/>
      </c>
      <c r="X285" s="19">
        <f>IF(OR($B285="",$U285=""),"",IF($V285&lt;&gt;"",MAX(0,$V285-$U285),MAX(0,TODAY()-$U285)))</f>
        <v/>
      </c>
      <c r="Y285" s="39">
        <f>IF($C285="","",IF(IFERROR(INDEX(LISTAS!$I$3:$I$42,MATCH($T285,LISTAS!$H$3:$H$42,0)),"NO")="SÍ",IF(N($X285)&gt;0,"CERRADA FUERA DE SLA","CERRADA EN SLA"),IF($U285="","SIN CLASIFICAR",IF(N($X285)&gt;0,"VENCIDA",IF(TODAY()&gt;=$U285-1,"POR VENCER","EN PLAZO")))))</f>
        <v/>
      </c>
      <c r="Z285" s="41" t="n"/>
      <c r="AA285" s="41" t="n"/>
      <c r="AB285" s="41" t="n"/>
    </row>
    <row r="286">
      <c r="A286" s="39">
        <f>IF($C286="","","NOV-"&amp;TEXT(ROW()-3,"0000"))</f>
        <v/>
      </c>
      <c r="B286" s="40" t="n"/>
      <c r="C286" s="41" t="n"/>
      <c r="D286" s="42">
        <f>IF($C286="","",IFERROR(INDEX(DESPACHOS!$D$3:$D$3002,MATCH($C286,DESPACHOS!$B$3:$B$3002,0)),"SIN DESPACHO"))</f>
        <v/>
      </c>
      <c r="E286" s="42">
        <f>IF($C286="","",IFERROR(INDEX(DESPACHOS!$K$3:$K$3002,MATCH($C286,DESPACHOS!$B$3:$B$3002,0)),""))</f>
        <v/>
      </c>
      <c r="F286" s="42">
        <f>IF($C286="","",IFERROR(INDEX(DESPACHOS!$I$3:$I$3002,MATCH($C286,DESPACHOS!$B$3:$B$3002,0)),""))</f>
        <v/>
      </c>
      <c r="G286" s="42">
        <f>IF($C286="","",IFERROR(INDEX(DESPACHOS!$F$3:$F$3002,MATCH($C286,DESPACHOS!$B$3:$B$3002,0)),""))</f>
        <v/>
      </c>
      <c r="H286" s="42">
        <f>IF($C286="","",IFERROR(INDEX(DESPACHOS!$G$3:$G$3002,MATCH($C286,DESPACHOS!$B$3:$B$3002,0)),""))</f>
        <v/>
      </c>
      <c r="I286" s="39">
        <f>IF($C286="","",IFERROR(INDEX(DESPACHOS!$H$3:$H$3002,MATCH($C286,DESPACHOS!$B$3:$B$3002,0)),""))</f>
        <v/>
      </c>
      <c r="J286" s="43">
        <f>IF($C286="","",IFERROR(INDEX(DESPACHOS!$J$3:$J$3002,MATCH($C286,DESPACHOS!$B$3:$B$3002,0)),""))</f>
        <v/>
      </c>
      <c r="K286" s="39">
        <f>IF($C286="","",IF(COUNTIFS(DESPACHOS!$B$3:$B$3002,$C286)=0,"NO EXISTE",IF(COUNTIFS(DESPACHOS!$B$3:$B$3002,$C286)&gt;1,"DUPLICADO","OK")))</f>
        <v/>
      </c>
      <c r="L286" s="41" t="n"/>
      <c r="M286" s="41" t="n"/>
      <c r="N286" s="42">
        <f>IF($M286="","",IFERROR(INDEX(LISTAS!$F$3:$F$42,MATCH($M286,LISTAS!$E$3:$E$42,0)),"Por definir"))</f>
        <v/>
      </c>
      <c r="O286" s="41" t="n"/>
      <c r="P286" s="39">
        <f>IF($L286="","",IFERROR(INDEX(LISTAS!$B$3:$B$42,MATCH($L286,LISTAS!$A$3:$A$42,0)),"Media"))</f>
        <v/>
      </c>
      <c r="Q286" s="44" t="n"/>
      <c r="R286" s="45" t="n"/>
      <c r="S286" s="20">
        <f>IFERROR(IF(OR($R286="",$C286=""),"",$R286/INDEX(DESPACHOS!$M$3:$M$3002,MATCH($C286,DESPACHOS!$B$3:$B$3002,0))),"")</f>
        <v/>
      </c>
      <c r="T286" s="41" t="n"/>
      <c r="U286" s="43">
        <f>IF(OR($B286="",$L286=""),"",WORKDAY($B286,IFERROR(INDEX(LISTAS!$C$3:$C$42,MATCH($L286,LISTAS!$A$3:$A$42,0)),3)))</f>
        <v/>
      </c>
      <c r="V286" s="40" t="n"/>
      <c r="W286" s="19">
        <f>IF($B286="","",IF($V286&lt;&gt;"",$V286-$B286,TODAY()-$B286))</f>
        <v/>
      </c>
      <c r="X286" s="19">
        <f>IF(OR($B286="",$U286=""),"",IF($V286&lt;&gt;"",MAX(0,$V286-$U286),MAX(0,TODAY()-$U286)))</f>
        <v/>
      </c>
      <c r="Y286" s="39">
        <f>IF($C286="","",IF(IFERROR(INDEX(LISTAS!$I$3:$I$42,MATCH($T286,LISTAS!$H$3:$H$42,0)),"NO")="SÍ",IF(N($X286)&gt;0,"CERRADA FUERA DE SLA","CERRADA EN SLA"),IF($U286="","SIN CLASIFICAR",IF(N($X286)&gt;0,"VENCIDA",IF(TODAY()&gt;=$U286-1,"POR VENCER","EN PLAZO")))))</f>
        <v/>
      </c>
      <c r="Z286" s="41" t="n"/>
      <c r="AA286" s="41" t="n"/>
      <c r="AB286" s="41" t="n"/>
    </row>
    <row r="287">
      <c r="A287" s="39">
        <f>IF($C287="","","NOV-"&amp;TEXT(ROW()-3,"0000"))</f>
        <v/>
      </c>
      <c r="B287" s="40" t="n"/>
      <c r="C287" s="41" t="n"/>
      <c r="D287" s="42">
        <f>IF($C287="","",IFERROR(INDEX(DESPACHOS!$D$3:$D$3002,MATCH($C287,DESPACHOS!$B$3:$B$3002,0)),"SIN DESPACHO"))</f>
        <v/>
      </c>
      <c r="E287" s="42">
        <f>IF($C287="","",IFERROR(INDEX(DESPACHOS!$K$3:$K$3002,MATCH($C287,DESPACHOS!$B$3:$B$3002,0)),""))</f>
        <v/>
      </c>
      <c r="F287" s="42">
        <f>IF($C287="","",IFERROR(INDEX(DESPACHOS!$I$3:$I$3002,MATCH($C287,DESPACHOS!$B$3:$B$3002,0)),""))</f>
        <v/>
      </c>
      <c r="G287" s="42">
        <f>IF($C287="","",IFERROR(INDEX(DESPACHOS!$F$3:$F$3002,MATCH($C287,DESPACHOS!$B$3:$B$3002,0)),""))</f>
        <v/>
      </c>
      <c r="H287" s="42">
        <f>IF($C287="","",IFERROR(INDEX(DESPACHOS!$G$3:$G$3002,MATCH($C287,DESPACHOS!$B$3:$B$3002,0)),""))</f>
        <v/>
      </c>
      <c r="I287" s="39">
        <f>IF($C287="","",IFERROR(INDEX(DESPACHOS!$H$3:$H$3002,MATCH($C287,DESPACHOS!$B$3:$B$3002,0)),""))</f>
        <v/>
      </c>
      <c r="J287" s="43">
        <f>IF($C287="","",IFERROR(INDEX(DESPACHOS!$J$3:$J$3002,MATCH($C287,DESPACHOS!$B$3:$B$3002,0)),""))</f>
        <v/>
      </c>
      <c r="K287" s="39">
        <f>IF($C287="","",IF(COUNTIFS(DESPACHOS!$B$3:$B$3002,$C287)=0,"NO EXISTE",IF(COUNTIFS(DESPACHOS!$B$3:$B$3002,$C287)&gt;1,"DUPLICADO","OK")))</f>
        <v/>
      </c>
      <c r="L287" s="41" t="n"/>
      <c r="M287" s="41" t="n"/>
      <c r="N287" s="42">
        <f>IF($M287="","",IFERROR(INDEX(LISTAS!$F$3:$F$42,MATCH($M287,LISTAS!$E$3:$E$42,0)),"Por definir"))</f>
        <v/>
      </c>
      <c r="O287" s="41" t="n"/>
      <c r="P287" s="39">
        <f>IF($L287="","",IFERROR(INDEX(LISTAS!$B$3:$B$42,MATCH($L287,LISTAS!$A$3:$A$42,0)),"Media"))</f>
        <v/>
      </c>
      <c r="Q287" s="44" t="n"/>
      <c r="R287" s="45" t="n"/>
      <c r="S287" s="20">
        <f>IFERROR(IF(OR($R287="",$C287=""),"",$R287/INDEX(DESPACHOS!$M$3:$M$3002,MATCH($C287,DESPACHOS!$B$3:$B$3002,0))),"")</f>
        <v/>
      </c>
      <c r="T287" s="41" t="n"/>
      <c r="U287" s="43">
        <f>IF(OR($B287="",$L287=""),"",WORKDAY($B287,IFERROR(INDEX(LISTAS!$C$3:$C$42,MATCH($L287,LISTAS!$A$3:$A$42,0)),3)))</f>
        <v/>
      </c>
      <c r="V287" s="40" t="n"/>
      <c r="W287" s="19">
        <f>IF($B287="","",IF($V287&lt;&gt;"",$V287-$B287,TODAY()-$B287))</f>
        <v/>
      </c>
      <c r="X287" s="19">
        <f>IF(OR($B287="",$U287=""),"",IF($V287&lt;&gt;"",MAX(0,$V287-$U287),MAX(0,TODAY()-$U287)))</f>
        <v/>
      </c>
      <c r="Y287" s="39">
        <f>IF($C287="","",IF(IFERROR(INDEX(LISTAS!$I$3:$I$42,MATCH($T287,LISTAS!$H$3:$H$42,0)),"NO")="SÍ",IF(N($X287)&gt;0,"CERRADA FUERA DE SLA","CERRADA EN SLA"),IF($U287="","SIN CLASIFICAR",IF(N($X287)&gt;0,"VENCIDA",IF(TODAY()&gt;=$U287-1,"POR VENCER","EN PLAZO")))))</f>
        <v/>
      </c>
      <c r="Z287" s="41" t="n"/>
      <c r="AA287" s="41" t="n"/>
      <c r="AB287" s="41" t="n"/>
    </row>
    <row r="288">
      <c r="A288" s="39">
        <f>IF($C288="","","NOV-"&amp;TEXT(ROW()-3,"0000"))</f>
        <v/>
      </c>
      <c r="B288" s="40" t="n"/>
      <c r="C288" s="41" t="n"/>
      <c r="D288" s="42">
        <f>IF($C288="","",IFERROR(INDEX(DESPACHOS!$D$3:$D$3002,MATCH($C288,DESPACHOS!$B$3:$B$3002,0)),"SIN DESPACHO"))</f>
        <v/>
      </c>
      <c r="E288" s="42">
        <f>IF($C288="","",IFERROR(INDEX(DESPACHOS!$K$3:$K$3002,MATCH($C288,DESPACHOS!$B$3:$B$3002,0)),""))</f>
        <v/>
      </c>
      <c r="F288" s="42">
        <f>IF($C288="","",IFERROR(INDEX(DESPACHOS!$I$3:$I$3002,MATCH($C288,DESPACHOS!$B$3:$B$3002,0)),""))</f>
        <v/>
      </c>
      <c r="G288" s="42">
        <f>IF($C288="","",IFERROR(INDEX(DESPACHOS!$F$3:$F$3002,MATCH($C288,DESPACHOS!$B$3:$B$3002,0)),""))</f>
        <v/>
      </c>
      <c r="H288" s="42">
        <f>IF($C288="","",IFERROR(INDEX(DESPACHOS!$G$3:$G$3002,MATCH($C288,DESPACHOS!$B$3:$B$3002,0)),""))</f>
        <v/>
      </c>
      <c r="I288" s="39">
        <f>IF($C288="","",IFERROR(INDEX(DESPACHOS!$H$3:$H$3002,MATCH($C288,DESPACHOS!$B$3:$B$3002,0)),""))</f>
        <v/>
      </c>
      <c r="J288" s="43">
        <f>IF($C288="","",IFERROR(INDEX(DESPACHOS!$J$3:$J$3002,MATCH($C288,DESPACHOS!$B$3:$B$3002,0)),""))</f>
        <v/>
      </c>
      <c r="K288" s="39">
        <f>IF($C288="","",IF(COUNTIFS(DESPACHOS!$B$3:$B$3002,$C288)=0,"NO EXISTE",IF(COUNTIFS(DESPACHOS!$B$3:$B$3002,$C288)&gt;1,"DUPLICADO","OK")))</f>
        <v/>
      </c>
      <c r="L288" s="41" t="n"/>
      <c r="M288" s="41" t="n"/>
      <c r="N288" s="42">
        <f>IF($M288="","",IFERROR(INDEX(LISTAS!$F$3:$F$42,MATCH($M288,LISTAS!$E$3:$E$42,0)),"Por definir"))</f>
        <v/>
      </c>
      <c r="O288" s="41" t="n"/>
      <c r="P288" s="39">
        <f>IF($L288="","",IFERROR(INDEX(LISTAS!$B$3:$B$42,MATCH($L288,LISTAS!$A$3:$A$42,0)),"Media"))</f>
        <v/>
      </c>
      <c r="Q288" s="44" t="n"/>
      <c r="R288" s="45" t="n"/>
      <c r="S288" s="20">
        <f>IFERROR(IF(OR($R288="",$C288=""),"",$R288/INDEX(DESPACHOS!$M$3:$M$3002,MATCH($C288,DESPACHOS!$B$3:$B$3002,0))),"")</f>
        <v/>
      </c>
      <c r="T288" s="41" t="n"/>
      <c r="U288" s="43">
        <f>IF(OR($B288="",$L288=""),"",WORKDAY($B288,IFERROR(INDEX(LISTAS!$C$3:$C$42,MATCH($L288,LISTAS!$A$3:$A$42,0)),3)))</f>
        <v/>
      </c>
      <c r="V288" s="40" t="n"/>
      <c r="W288" s="19">
        <f>IF($B288="","",IF($V288&lt;&gt;"",$V288-$B288,TODAY()-$B288))</f>
        <v/>
      </c>
      <c r="X288" s="19">
        <f>IF(OR($B288="",$U288=""),"",IF($V288&lt;&gt;"",MAX(0,$V288-$U288),MAX(0,TODAY()-$U288)))</f>
        <v/>
      </c>
      <c r="Y288" s="39">
        <f>IF($C288="","",IF(IFERROR(INDEX(LISTAS!$I$3:$I$42,MATCH($T288,LISTAS!$H$3:$H$42,0)),"NO")="SÍ",IF(N($X288)&gt;0,"CERRADA FUERA DE SLA","CERRADA EN SLA"),IF($U288="","SIN CLASIFICAR",IF(N($X288)&gt;0,"VENCIDA",IF(TODAY()&gt;=$U288-1,"POR VENCER","EN PLAZO")))))</f>
        <v/>
      </c>
      <c r="Z288" s="41" t="n"/>
      <c r="AA288" s="41" t="n"/>
      <c r="AB288" s="41" t="n"/>
    </row>
    <row r="289">
      <c r="A289" s="39">
        <f>IF($C289="","","NOV-"&amp;TEXT(ROW()-3,"0000"))</f>
        <v/>
      </c>
      <c r="B289" s="40" t="n"/>
      <c r="C289" s="41" t="n"/>
      <c r="D289" s="42">
        <f>IF($C289="","",IFERROR(INDEX(DESPACHOS!$D$3:$D$3002,MATCH($C289,DESPACHOS!$B$3:$B$3002,0)),"SIN DESPACHO"))</f>
        <v/>
      </c>
      <c r="E289" s="42">
        <f>IF($C289="","",IFERROR(INDEX(DESPACHOS!$K$3:$K$3002,MATCH($C289,DESPACHOS!$B$3:$B$3002,0)),""))</f>
        <v/>
      </c>
      <c r="F289" s="42">
        <f>IF($C289="","",IFERROR(INDEX(DESPACHOS!$I$3:$I$3002,MATCH($C289,DESPACHOS!$B$3:$B$3002,0)),""))</f>
        <v/>
      </c>
      <c r="G289" s="42">
        <f>IF($C289="","",IFERROR(INDEX(DESPACHOS!$F$3:$F$3002,MATCH($C289,DESPACHOS!$B$3:$B$3002,0)),""))</f>
        <v/>
      </c>
      <c r="H289" s="42">
        <f>IF($C289="","",IFERROR(INDEX(DESPACHOS!$G$3:$G$3002,MATCH($C289,DESPACHOS!$B$3:$B$3002,0)),""))</f>
        <v/>
      </c>
      <c r="I289" s="39">
        <f>IF($C289="","",IFERROR(INDEX(DESPACHOS!$H$3:$H$3002,MATCH($C289,DESPACHOS!$B$3:$B$3002,0)),""))</f>
        <v/>
      </c>
      <c r="J289" s="43">
        <f>IF($C289="","",IFERROR(INDEX(DESPACHOS!$J$3:$J$3002,MATCH($C289,DESPACHOS!$B$3:$B$3002,0)),""))</f>
        <v/>
      </c>
      <c r="K289" s="39">
        <f>IF($C289="","",IF(COUNTIFS(DESPACHOS!$B$3:$B$3002,$C289)=0,"NO EXISTE",IF(COUNTIFS(DESPACHOS!$B$3:$B$3002,$C289)&gt;1,"DUPLICADO","OK")))</f>
        <v/>
      </c>
      <c r="L289" s="41" t="n"/>
      <c r="M289" s="41" t="n"/>
      <c r="N289" s="42">
        <f>IF($M289="","",IFERROR(INDEX(LISTAS!$F$3:$F$42,MATCH($M289,LISTAS!$E$3:$E$42,0)),"Por definir"))</f>
        <v/>
      </c>
      <c r="O289" s="41" t="n"/>
      <c r="P289" s="39">
        <f>IF($L289="","",IFERROR(INDEX(LISTAS!$B$3:$B$42,MATCH($L289,LISTAS!$A$3:$A$42,0)),"Media"))</f>
        <v/>
      </c>
      <c r="Q289" s="44" t="n"/>
      <c r="R289" s="45" t="n"/>
      <c r="S289" s="20">
        <f>IFERROR(IF(OR($R289="",$C289=""),"",$R289/INDEX(DESPACHOS!$M$3:$M$3002,MATCH($C289,DESPACHOS!$B$3:$B$3002,0))),"")</f>
        <v/>
      </c>
      <c r="T289" s="41" t="n"/>
      <c r="U289" s="43">
        <f>IF(OR($B289="",$L289=""),"",WORKDAY($B289,IFERROR(INDEX(LISTAS!$C$3:$C$42,MATCH($L289,LISTAS!$A$3:$A$42,0)),3)))</f>
        <v/>
      </c>
      <c r="V289" s="40" t="n"/>
      <c r="W289" s="19">
        <f>IF($B289="","",IF($V289&lt;&gt;"",$V289-$B289,TODAY()-$B289))</f>
        <v/>
      </c>
      <c r="X289" s="19">
        <f>IF(OR($B289="",$U289=""),"",IF($V289&lt;&gt;"",MAX(0,$V289-$U289),MAX(0,TODAY()-$U289)))</f>
        <v/>
      </c>
      <c r="Y289" s="39">
        <f>IF($C289="","",IF(IFERROR(INDEX(LISTAS!$I$3:$I$42,MATCH($T289,LISTAS!$H$3:$H$42,0)),"NO")="SÍ",IF(N($X289)&gt;0,"CERRADA FUERA DE SLA","CERRADA EN SLA"),IF($U289="","SIN CLASIFICAR",IF(N($X289)&gt;0,"VENCIDA",IF(TODAY()&gt;=$U289-1,"POR VENCER","EN PLAZO")))))</f>
        <v/>
      </c>
      <c r="Z289" s="41" t="n"/>
      <c r="AA289" s="41" t="n"/>
      <c r="AB289" s="41" t="n"/>
    </row>
    <row r="290">
      <c r="A290" s="39">
        <f>IF($C290="","","NOV-"&amp;TEXT(ROW()-3,"0000"))</f>
        <v/>
      </c>
      <c r="B290" s="40" t="n"/>
      <c r="C290" s="41" t="n"/>
      <c r="D290" s="42">
        <f>IF($C290="","",IFERROR(INDEX(DESPACHOS!$D$3:$D$3002,MATCH($C290,DESPACHOS!$B$3:$B$3002,0)),"SIN DESPACHO"))</f>
        <v/>
      </c>
      <c r="E290" s="42">
        <f>IF($C290="","",IFERROR(INDEX(DESPACHOS!$K$3:$K$3002,MATCH($C290,DESPACHOS!$B$3:$B$3002,0)),""))</f>
        <v/>
      </c>
      <c r="F290" s="42">
        <f>IF($C290="","",IFERROR(INDEX(DESPACHOS!$I$3:$I$3002,MATCH($C290,DESPACHOS!$B$3:$B$3002,0)),""))</f>
        <v/>
      </c>
      <c r="G290" s="42">
        <f>IF($C290="","",IFERROR(INDEX(DESPACHOS!$F$3:$F$3002,MATCH($C290,DESPACHOS!$B$3:$B$3002,0)),""))</f>
        <v/>
      </c>
      <c r="H290" s="42">
        <f>IF($C290="","",IFERROR(INDEX(DESPACHOS!$G$3:$G$3002,MATCH($C290,DESPACHOS!$B$3:$B$3002,0)),""))</f>
        <v/>
      </c>
      <c r="I290" s="39">
        <f>IF($C290="","",IFERROR(INDEX(DESPACHOS!$H$3:$H$3002,MATCH($C290,DESPACHOS!$B$3:$B$3002,0)),""))</f>
        <v/>
      </c>
      <c r="J290" s="43">
        <f>IF($C290="","",IFERROR(INDEX(DESPACHOS!$J$3:$J$3002,MATCH($C290,DESPACHOS!$B$3:$B$3002,0)),""))</f>
        <v/>
      </c>
      <c r="K290" s="39">
        <f>IF($C290="","",IF(COUNTIFS(DESPACHOS!$B$3:$B$3002,$C290)=0,"NO EXISTE",IF(COUNTIFS(DESPACHOS!$B$3:$B$3002,$C290)&gt;1,"DUPLICADO","OK")))</f>
        <v/>
      </c>
      <c r="L290" s="41" t="n"/>
      <c r="M290" s="41" t="n"/>
      <c r="N290" s="42">
        <f>IF($M290="","",IFERROR(INDEX(LISTAS!$F$3:$F$42,MATCH($M290,LISTAS!$E$3:$E$42,0)),"Por definir"))</f>
        <v/>
      </c>
      <c r="O290" s="41" t="n"/>
      <c r="P290" s="39">
        <f>IF($L290="","",IFERROR(INDEX(LISTAS!$B$3:$B$42,MATCH($L290,LISTAS!$A$3:$A$42,0)),"Media"))</f>
        <v/>
      </c>
      <c r="Q290" s="44" t="n"/>
      <c r="R290" s="45" t="n"/>
      <c r="S290" s="20">
        <f>IFERROR(IF(OR($R290="",$C290=""),"",$R290/INDEX(DESPACHOS!$M$3:$M$3002,MATCH($C290,DESPACHOS!$B$3:$B$3002,0))),"")</f>
        <v/>
      </c>
      <c r="T290" s="41" t="n"/>
      <c r="U290" s="43">
        <f>IF(OR($B290="",$L290=""),"",WORKDAY($B290,IFERROR(INDEX(LISTAS!$C$3:$C$42,MATCH($L290,LISTAS!$A$3:$A$42,0)),3)))</f>
        <v/>
      </c>
      <c r="V290" s="40" t="n"/>
      <c r="W290" s="19">
        <f>IF($B290="","",IF($V290&lt;&gt;"",$V290-$B290,TODAY()-$B290))</f>
        <v/>
      </c>
      <c r="X290" s="19">
        <f>IF(OR($B290="",$U290=""),"",IF($V290&lt;&gt;"",MAX(0,$V290-$U290),MAX(0,TODAY()-$U290)))</f>
        <v/>
      </c>
      <c r="Y290" s="39">
        <f>IF($C290="","",IF(IFERROR(INDEX(LISTAS!$I$3:$I$42,MATCH($T290,LISTAS!$H$3:$H$42,0)),"NO")="SÍ",IF(N($X290)&gt;0,"CERRADA FUERA DE SLA","CERRADA EN SLA"),IF($U290="","SIN CLASIFICAR",IF(N($X290)&gt;0,"VENCIDA",IF(TODAY()&gt;=$U290-1,"POR VENCER","EN PLAZO")))))</f>
        <v/>
      </c>
      <c r="Z290" s="41" t="n"/>
      <c r="AA290" s="41" t="n"/>
      <c r="AB290" s="41" t="n"/>
    </row>
    <row r="291">
      <c r="A291" s="39">
        <f>IF($C291="","","NOV-"&amp;TEXT(ROW()-3,"0000"))</f>
        <v/>
      </c>
      <c r="B291" s="40" t="n"/>
      <c r="C291" s="41" t="n"/>
      <c r="D291" s="42">
        <f>IF($C291="","",IFERROR(INDEX(DESPACHOS!$D$3:$D$3002,MATCH($C291,DESPACHOS!$B$3:$B$3002,0)),"SIN DESPACHO"))</f>
        <v/>
      </c>
      <c r="E291" s="42">
        <f>IF($C291="","",IFERROR(INDEX(DESPACHOS!$K$3:$K$3002,MATCH($C291,DESPACHOS!$B$3:$B$3002,0)),""))</f>
        <v/>
      </c>
      <c r="F291" s="42">
        <f>IF($C291="","",IFERROR(INDEX(DESPACHOS!$I$3:$I$3002,MATCH($C291,DESPACHOS!$B$3:$B$3002,0)),""))</f>
        <v/>
      </c>
      <c r="G291" s="42">
        <f>IF($C291="","",IFERROR(INDEX(DESPACHOS!$F$3:$F$3002,MATCH($C291,DESPACHOS!$B$3:$B$3002,0)),""))</f>
        <v/>
      </c>
      <c r="H291" s="42">
        <f>IF($C291="","",IFERROR(INDEX(DESPACHOS!$G$3:$G$3002,MATCH($C291,DESPACHOS!$B$3:$B$3002,0)),""))</f>
        <v/>
      </c>
      <c r="I291" s="39">
        <f>IF($C291="","",IFERROR(INDEX(DESPACHOS!$H$3:$H$3002,MATCH($C291,DESPACHOS!$B$3:$B$3002,0)),""))</f>
        <v/>
      </c>
      <c r="J291" s="43">
        <f>IF($C291="","",IFERROR(INDEX(DESPACHOS!$J$3:$J$3002,MATCH($C291,DESPACHOS!$B$3:$B$3002,0)),""))</f>
        <v/>
      </c>
      <c r="K291" s="39">
        <f>IF($C291="","",IF(COUNTIFS(DESPACHOS!$B$3:$B$3002,$C291)=0,"NO EXISTE",IF(COUNTIFS(DESPACHOS!$B$3:$B$3002,$C291)&gt;1,"DUPLICADO","OK")))</f>
        <v/>
      </c>
      <c r="L291" s="41" t="n"/>
      <c r="M291" s="41" t="n"/>
      <c r="N291" s="42">
        <f>IF($M291="","",IFERROR(INDEX(LISTAS!$F$3:$F$42,MATCH($M291,LISTAS!$E$3:$E$42,0)),"Por definir"))</f>
        <v/>
      </c>
      <c r="O291" s="41" t="n"/>
      <c r="P291" s="39">
        <f>IF($L291="","",IFERROR(INDEX(LISTAS!$B$3:$B$42,MATCH($L291,LISTAS!$A$3:$A$42,0)),"Media"))</f>
        <v/>
      </c>
      <c r="Q291" s="44" t="n"/>
      <c r="R291" s="45" t="n"/>
      <c r="S291" s="20">
        <f>IFERROR(IF(OR($R291="",$C291=""),"",$R291/INDEX(DESPACHOS!$M$3:$M$3002,MATCH($C291,DESPACHOS!$B$3:$B$3002,0))),"")</f>
        <v/>
      </c>
      <c r="T291" s="41" t="n"/>
      <c r="U291" s="43">
        <f>IF(OR($B291="",$L291=""),"",WORKDAY($B291,IFERROR(INDEX(LISTAS!$C$3:$C$42,MATCH($L291,LISTAS!$A$3:$A$42,0)),3)))</f>
        <v/>
      </c>
      <c r="V291" s="40" t="n"/>
      <c r="W291" s="19">
        <f>IF($B291="","",IF($V291&lt;&gt;"",$V291-$B291,TODAY()-$B291))</f>
        <v/>
      </c>
      <c r="X291" s="19">
        <f>IF(OR($B291="",$U291=""),"",IF($V291&lt;&gt;"",MAX(0,$V291-$U291),MAX(0,TODAY()-$U291)))</f>
        <v/>
      </c>
      <c r="Y291" s="39">
        <f>IF($C291="","",IF(IFERROR(INDEX(LISTAS!$I$3:$I$42,MATCH($T291,LISTAS!$H$3:$H$42,0)),"NO")="SÍ",IF(N($X291)&gt;0,"CERRADA FUERA DE SLA","CERRADA EN SLA"),IF($U291="","SIN CLASIFICAR",IF(N($X291)&gt;0,"VENCIDA",IF(TODAY()&gt;=$U291-1,"POR VENCER","EN PLAZO")))))</f>
        <v/>
      </c>
      <c r="Z291" s="41" t="n"/>
      <c r="AA291" s="41" t="n"/>
      <c r="AB291" s="41" t="n"/>
    </row>
    <row r="292">
      <c r="A292" s="39">
        <f>IF($C292="","","NOV-"&amp;TEXT(ROW()-3,"0000"))</f>
        <v/>
      </c>
      <c r="B292" s="40" t="n"/>
      <c r="C292" s="41" t="n"/>
      <c r="D292" s="42">
        <f>IF($C292="","",IFERROR(INDEX(DESPACHOS!$D$3:$D$3002,MATCH($C292,DESPACHOS!$B$3:$B$3002,0)),"SIN DESPACHO"))</f>
        <v/>
      </c>
      <c r="E292" s="42">
        <f>IF($C292="","",IFERROR(INDEX(DESPACHOS!$K$3:$K$3002,MATCH($C292,DESPACHOS!$B$3:$B$3002,0)),""))</f>
        <v/>
      </c>
      <c r="F292" s="42">
        <f>IF($C292="","",IFERROR(INDEX(DESPACHOS!$I$3:$I$3002,MATCH($C292,DESPACHOS!$B$3:$B$3002,0)),""))</f>
        <v/>
      </c>
      <c r="G292" s="42">
        <f>IF($C292="","",IFERROR(INDEX(DESPACHOS!$F$3:$F$3002,MATCH($C292,DESPACHOS!$B$3:$B$3002,0)),""))</f>
        <v/>
      </c>
      <c r="H292" s="42">
        <f>IF($C292="","",IFERROR(INDEX(DESPACHOS!$G$3:$G$3002,MATCH($C292,DESPACHOS!$B$3:$B$3002,0)),""))</f>
        <v/>
      </c>
      <c r="I292" s="39">
        <f>IF($C292="","",IFERROR(INDEX(DESPACHOS!$H$3:$H$3002,MATCH($C292,DESPACHOS!$B$3:$B$3002,0)),""))</f>
        <v/>
      </c>
      <c r="J292" s="43">
        <f>IF($C292="","",IFERROR(INDEX(DESPACHOS!$J$3:$J$3002,MATCH($C292,DESPACHOS!$B$3:$B$3002,0)),""))</f>
        <v/>
      </c>
      <c r="K292" s="39">
        <f>IF($C292="","",IF(COUNTIFS(DESPACHOS!$B$3:$B$3002,$C292)=0,"NO EXISTE",IF(COUNTIFS(DESPACHOS!$B$3:$B$3002,$C292)&gt;1,"DUPLICADO","OK")))</f>
        <v/>
      </c>
      <c r="L292" s="41" t="n"/>
      <c r="M292" s="41" t="n"/>
      <c r="N292" s="42">
        <f>IF($M292="","",IFERROR(INDEX(LISTAS!$F$3:$F$42,MATCH($M292,LISTAS!$E$3:$E$42,0)),"Por definir"))</f>
        <v/>
      </c>
      <c r="O292" s="41" t="n"/>
      <c r="P292" s="39">
        <f>IF($L292="","",IFERROR(INDEX(LISTAS!$B$3:$B$42,MATCH($L292,LISTAS!$A$3:$A$42,0)),"Media"))</f>
        <v/>
      </c>
      <c r="Q292" s="44" t="n"/>
      <c r="R292" s="45" t="n"/>
      <c r="S292" s="20">
        <f>IFERROR(IF(OR($R292="",$C292=""),"",$R292/INDEX(DESPACHOS!$M$3:$M$3002,MATCH($C292,DESPACHOS!$B$3:$B$3002,0))),"")</f>
        <v/>
      </c>
      <c r="T292" s="41" t="n"/>
      <c r="U292" s="43">
        <f>IF(OR($B292="",$L292=""),"",WORKDAY($B292,IFERROR(INDEX(LISTAS!$C$3:$C$42,MATCH($L292,LISTAS!$A$3:$A$42,0)),3)))</f>
        <v/>
      </c>
      <c r="V292" s="40" t="n"/>
      <c r="W292" s="19">
        <f>IF($B292="","",IF($V292&lt;&gt;"",$V292-$B292,TODAY()-$B292))</f>
        <v/>
      </c>
      <c r="X292" s="19">
        <f>IF(OR($B292="",$U292=""),"",IF($V292&lt;&gt;"",MAX(0,$V292-$U292),MAX(0,TODAY()-$U292)))</f>
        <v/>
      </c>
      <c r="Y292" s="39">
        <f>IF($C292="","",IF(IFERROR(INDEX(LISTAS!$I$3:$I$42,MATCH($T292,LISTAS!$H$3:$H$42,0)),"NO")="SÍ",IF(N($X292)&gt;0,"CERRADA FUERA DE SLA","CERRADA EN SLA"),IF($U292="","SIN CLASIFICAR",IF(N($X292)&gt;0,"VENCIDA",IF(TODAY()&gt;=$U292-1,"POR VENCER","EN PLAZO")))))</f>
        <v/>
      </c>
      <c r="Z292" s="41" t="n"/>
      <c r="AA292" s="41" t="n"/>
      <c r="AB292" s="41" t="n"/>
    </row>
    <row r="293">
      <c r="A293" s="39">
        <f>IF($C293="","","NOV-"&amp;TEXT(ROW()-3,"0000"))</f>
        <v/>
      </c>
      <c r="B293" s="40" t="n"/>
      <c r="C293" s="41" t="n"/>
      <c r="D293" s="42">
        <f>IF($C293="","",IFERROR(INDEX(DESPACHOS!$D$3:$D$3002,MATCH($C293,DESPACHOS!$B$3:$B$3002,0)),"SIN DESPACHO"))</f>
        <v/>
      </c>
      <c r="E293" s="42">
        <f>IF($C293="","",IFERROR(INDEX(DESPACHOS!$K$3:$K$3002,MATCH($C293,DESPACHOS!$B$3:$B$3002,0)),""))</f>
        <v/>
      </c>
      <c r="F293" s="42">
        <f>IF($C293="","",IFERROR(INDEX(DESPACHOS!$I$3:$I$3002,MATCH($C293,DESPACHOS!$B$3:$B$3002,0)),""))</f>
        <v/>
      </c>
      <c r="G293" s="42">
        <f>IF($C293="","",IFERROR(INDEX(DESPACHOS!$F$3:$F$3002,MATCH($C293,DESPACHOS!$B$3:$B$3002,0)),""))</f>
        <v/>
      </c>
      <c r="H293" s="42">
        <f>IF($C293="","",IFERROR(INDEX(DESPACHOS!$G$3:$G$3002,MATCH($C293,DESPACHOS!$B$3:$B$3002,0)),""))</f>
        <v/>
      </c>
      <c r="I293" s="39">
        <f>IF($C293="","",IFERROR(INDEX(DESPACHOS!$H$3:$H$3002,MATCH($C293,DESPACHOS!$B$3:$B$3002,0)),""))</f>
        <v/>
      </c>
      <c r="J293" s="43">
        <f>IF($C293="","",IFERROR(INDEX(DESPACHOS!$J$3:$J$3002,MATCH($C293,DESPACHOS!$B$3:$B$3002,0)),""))</f>
        <v/>
      </c>
      <c r="K293" s="39">
        <f>IF($C293="","",IF(COUNTIFS(DESPACHOS!$B$3:$B$3002,$C293)=0,"NO EXISTE",IF(COUNTIFS(DESPACHOS!$B$3:$B$3002,$C293)&gt;1,"DUPLICADO","OK")))</f>
        <v/>
      </c>
      <c r="L293" s="41" t="n"/>
      <c r="M293" s="41" t="n"/>
      <c r="N293" s="42">
        <f>IF($M293="","",IFERROR(INDEX(LISTAS!$F$3:$F$42,MATCH($M293,LISTAS!$E$3:$E$42,0)),"Por definir"))</f>
        <v/>
      </c>
      <c r="O293" s="41" t="n"/>
      <c r="P293" s="39">
        <f>IF($L293="","",IFERROR(INDEX(LISTAS!$B$3:$B$42,MATCH($L293,LISTAS!$A$3:$A$42,0)),"Media"))</f>
        <v/>
      </c>
      <c r="Q293" s="44" t="n"/>
      <c r="R293" s="45" t="n"/>
      <c r="S293" s="20">
        <f>IFERROR(IF(OR($R293="",$C293=""),"",$R293/INDEX(DESPACHOS!$M$3:$M$3002,MATCH($C293,DESPACHOS!$B$3:$B$3002,0))),"")</f>
        <v/>
      </c>
      <c r="T293" s="41" t="n"/>
      <c r="U293" s="43">
        <f>IF(OR($B293="",$L293=""),"",WORKDAY($B293,IFERROR(INDEX(LISTAS!$C$3:$C$42,MATCH($L293,LISTAS!$A$3:$A$42,0)),3)))</f>
        <v/>
      </c>
      <c r="V293" s="40" t="n"/>
      <c r="W293" s="19">
        <f>IF($B293="","",IF($V293&lt;&gt;"",$V293-$B293,TODAY()-$B293))</f>
        <v/>
      </c>
      <c r="X293" s="19">
        <f>IF(OR($B293="",$U293=""),"",IF($V293&lt;&gt;"",MAX(0,$V293-$U293),MAX(0,TODAY()-$U293)))</f>
        <v/>
      </c>
      <c r="Y293" s="39">
        <f>IF($C293="","",IF(IFERROR(INDEX(LISTAS!$I$3:$I$42,MATCH($T293,LISTAS!$H$3:$H$42,0)),"NO")="SÍ",IF(N($X293)&gt;0,"CERRADA FUERA DE SLA","CERRADA EN SLA"),IF($U293="","SIN CLASIFICAR",IF(N($X293)&gt;0,"VENCIDA",IF(TODAY()&gt;=$U293-1,"POR VENCER","EN PLAZO")))))</f>
        <v/>
      </c>
      <c r="Z293" s="41" t="n"/>
      <c r="AA293" s="41" t="n"/>
      <c r="AB293" s="41" t="n"/>
    </row>
    <row r="294">
      <c r="A294" s="39">
        <f>IF($C294="","","NOV-"&amp;TEXT(ROW()-3,"0000"))</f>
        <v/>
      </c>
      <c r="B294" s="40" t="n"/>
      <c r="C294" s="41" t="n"/>
      <c r="D294" s="42">
        <f>IF($C294="","",IFERROR(INDEX(DESPACHOS!$D$3:$D$3002,MATCH($C294,DESPACHOS!$B$3:$B$3002,0)),"SIN DESPACHO"))</f>
        <v/>
      </c>
      <c r="E294" s="42">
        <f>IF($C294="","",IFERROR(INDEX(DESPACHOS!$K$3:$K$3002,MATCH($C294,DESPACHOS!$B$3:$B$3002,0)),""))</f>
        <v/>
      </c>
      <c r="F294" s="42">
        <f>IF($C294="","",IFERROR(INDEX(DESPACHOS!$I$3:$I$3002,MATCH($C294,DESPACHOS!$B$3:$B$3002,0)),""))</f>
        <v/>
      </c>
      <c r="G294" s="42">
        <f>IF($C294="","",IFERROR(INDEX(DESPACHOS!$F$3:$F$3002,MATCH($C294,DESPACHOS!$B$3:$B$3002,0)),""))</f>
        <v/>
      </c>
      <c r="H294" s="42">
        <f>IF($C294="","",IFERROR(INDEX(DESPACHOS!$G$3:$G$3002,MATCH($C294,DESPACHOS!$B$3:$B$3002,0)),""))</f>
        <v/>
      </c>
      <c r="I294" s="39">
        <f>IF($C294="","",IFERROR(INDEX(DESPACHOS!$H$3:$H$3002,MATCH($C294,DESPACHOS!$B$3:$B$3002,0)),""))</f>
        <v/>
      </c>
      <c r="J294" s="43">
        <f>IF($C294="","",IFERROR(INDEX(DESPACHOS!$J$3:$J$3002,MATCH($C294,DESPACHOS!$B$3:$B$3002,0)),""))</f>
        <v/>
      </c>
      <c r="K294" s="39">
        <f>IF($C294="","",IF(COUNTIFS(DESPACHOS!$B$3:$B$3002,$C294)=0,"NO EXISTE",IF(COUNTIFS(DESPACHOS!$B$3:$B$3002,$C294)&gt;1,"DUPLICADO","OK")))</f>
        <v/>
      </c>
      <c r="L294" s="41" t="n"/>
      <c r="M294" s="41" t="n"/>
      <c r="N294" s="42">
        <f>IF($M294="","",IFERROR(INDEX(LISTAS!$F$3:$F$42,MATCH($M294,LISTAS!$E$3:$E$42,0)),"Por definir"))</f>
        <v/>
      </c>
      <c r="O294" s="41" t="n"/>
      <c r="P294" s="39">
        <f>IF($L294="","",IFERROR(INDEX(LISTAS!$B$3:$B$42,MATCH($L294,LISTAS!$A$3:$A$42,0)),"Media"))</f>
        <v/>
      </c>
      <c r="Q294" s="44" t="n"/>
      <c r="R294" s="45" t="n"/>
      <c r="S294" s="20">
        <f>IFERROR(IF(OR($R294="",$C294=""),"",$R294/INDEX(DESPACHOS!$M$3:$M$3002,MATCH($C294,DESPACHOS!$B$3:$B$3002,0))),"")</f>
        <v/>
      </c>
      <c r="T294" s="41" t="n"/>
      <c r="U294" s="43">
        <f>IF(OR($B294="",$L294=""),"",WORKDAY($B294,IFERROR(INDEX(LISTAS!$C$3:$C$42,MATCH($L294,LISTAS!$A$3:$A$42,0)),3)))</f>
        <v/>
      </c>
      <c r="V294" s="40" t="n"/>
      <c r="W294" s="19">
        <f>IF($B294="","",IF($V294&lt;&gt;"",$V294-$B294,TODAY()-$B294))</f>
        <v/>
      </c>
      <c r="X294" s="19">
        <f>IF(OR($B294="",$U294=""),"",IF($V294&lt;&gt;"",MAX(0,$V294-$U294),MAX(0,TODAY()-$U294)))</f>
        <v/>
      </c>
      <c r="Y294" s="39">
        <f>IF($C294="","",IF(IFERROR(INDEX(LISTAS!$I$3:$I$42,MATCH($T294,LISTAS!$H$3:$H$42,0)),"NO")="SÍ",IF(N($X294)&gt;0,"CERRADA FUERA DE SLA","CERRADA EN SLA"),IF($U294="","SIN CLASIFICAR",IF(N($X294)&gt;0,"VENCIDA",IF(TODAY()&gt;=$U294-1,"POR VENCER","EN PLAZO")))))</f>
        <v/>
      </c>
      <c r="Z294" s="41" t="n"/>
      <c r="AA294" s="41" t="n"/>
      <c r="AB294" s="41" t="n"/>
    </row>
    <row r="295">
      <c r="A295" s="39">
        <f>IF($C295="","","NOV-"&amp;TEXT(ROW()-3,"0000"))</f>
        <v/>
      </c>
      <c r="B295" s="40" t="n"/>
      <c r="C295" s="41" t="n"/>
      <c r="D295" s="42">
        <f>IF($C295="","",IFERROR(INDEX(DESPACHOS!$D$3:$D$3002,MATCH($C295,DESPACHOS!$B$3:$B$3002,0)),"SIN DESPACHO"))</f>
        <v/>
      </c>
      <c r="E295" s="42">
        <f>IF($C295="","",IFERROR(INDEX(DESPACHOS!$K$3:$K$3002,MATCH($C295,DESPACHOS!$B$3:$B$3002,0)),""))</f>
        <v/>
      </c>
      <c r="F295" s="42">
        <f>IF($C295="","",IFERROR(INDEX(DESPACHOS!$I$3:$I$3002,MATCH($C295,DESPACHOS!$B$3:$B$3002,0)),""))</f>
        <v/>
      </c>
      <c r="G295" s="42">
        <f>IF($C295="","",IFERROR(INDEX(DESPACHOS!$F$3:$F$3002,MATCH($C295,DESPACHOS!$B$3:$B$3002,0)),""))</f>
        <v/>
      </c>
      <c r="H295" s="42">
        <f>IF($C295="","",IFERROR(INDEX(DESPACHOS!$G$3:$G$3002,MATCH($C295,DESPACHOS!$B$3:$B$3002,0)),""))</f>
        <v/>
      </c>
      <c r="I295" s="39">
        <f>IF($C295="","",IFERROR(INDEX(DESPACHOS!$H$3:$H$3002,MATCH($C295,DESPACHOS!$B$3:$B$3002,0)),""))</f>
        <v/>
      </c>
      <c r="J295" s="43">
        <f>IF($C295="","",IFERROR(INDEX(DESPACHOS!$J$3:$J$3002,MATCH($C295,DESPACHOS!$B$3:$B$3002,0)),""))</f>
        <v/>
      </c>
      <c r="K295" s="39">
        <f>IF($C295="","",IF(COUNTIFS(DESPACHOS!$B$3:$B$3002,$C295)=0,"NO EXISTE",IF(COUNTIFS(DESPACHOS!$B$3:$B$3002,$C295)&gt;1,"DUPLICADO","OK")))</f>
        <v/>
      </c>
      <c r="L295" s="41" t="n"/>
      <c r="M295" s="41" t="n"/>
      <c r="N295" s="42">
        <f>IF($M295="","",IFERROR(INDEX(LISTAS!$F$3:$F$42,MATCH($M295,LISTAS!$E$3:$E$42,0)),"Por definir"))</f>
        <v/>
      </c>
      <c r="O295" s="41" t="n"/>
      <c r="P295" s="39">
        <f>IF($L295="","",IFERROR(INDEX(LISTAS!$B$3:$B$42,MATCH($L295,LISTAS!$A$3:$A$42,0)),"Media"))</f>
        <v/>
      </c>
      <c r="Q295" s="44" t="n"/>
      <c r="R295" s="45" t="n"/>
      <c r="S295" s="20">
        <f>IFERROR(IF(OR($R295="",$C295=""),"",$R295/INDEX(DESPACHOS!$M$3:$M$3002,MATCH($C295,DESPACHOS!$B$3:$B$3002,0))),"")</f>
        <v/>
      </c>
      <c r="T295" s="41" t="n"/>
      <c r="U295" s="43">
        <f>IF(OR($B295="",$L295=""),"",WORKDAY($B295,IFERROR(INDEX(LISTAS!$C$3:$C$42,MATCH($L295,LISTAS!$A$3:$A$42,0)),3)))</f>
        <v/>
      </c>
      <c r="V295" s="40" t="n"/>
      <c r="W295" s="19">
        <f>IF($B295="","",IF($V295&lt;&gt;"",$V295-$B295,TODAY()-$B295))</f>
        <v/>
      </c>
      <c r="X295" s="19">
        <f>IF(OR($B295="",$U295=""),"",IF($V295&lt;&gt;"",MAX(0,$V295-$U295),MAX(0,TODAY()-$U295)))</f>
        <v/>
      </c>
      <c r="Y295" s="39">
        <f>IF($C295="","",IF(IFERROR(INDEX(LISTAS!$I$3:$I$42,MATCH($T295,LISTAS!$H$3:$H$42,0)),"NO")="SÍ",IF(N($X295)&gt;0,"CERRADA FUERA DE SLA","CERRADA EN SLA"),IF($U295="","SIN CLASIFICAR",IF(N($X295)&gt;0,"VENCIDA",IF(TODAY()&gt;=$U295-1,"POR VENCER","EN PLAZO")))))</f>
        <v/>
      </c>
      <c r="Z295" s="41" t="n"/>
      <c r="AA295" s="41" t="n"/>
      <c r="AB295" s="41" t="n"/>
    </row>
    <row r="296">
      <c r="A296" s="39">
        <f>IF($C296="","","NOV-"&amp;TEXT(ROW()-3,"0000"))</f>
        <v/>
      </c>
      <c r="B296" s="40" t="n"/>
      <c r="C296" s="41" t="n"/>
      <c r="D296" s="42">
        <f>IF($C296="","",IFERROR(INDEX(DESPACHOS!$D$3:$D$3002,MATCH($C296,DESPACHOS!$B$3:$B$3002,0)),"SIN DESPACHO"))</f>
        <v/>
      </c>
      <c r="E296" s="42">
        <f>IF($C296="","",IFERROR(INDEX(DESPACHOS!$K$3:$K$3002,MATCH($C296,DESPACHOS!$B$3:$B$3002,0)),""))</f>
        <v/>
      </c>
      <c r="F296" s="42">
        <f>IF($C296="","",IFERROR(INDEX(DESPACHOS!$I$3:$I$3002,MATCH($C296,DESPACHOS!$B$3:$B$3002,0)),""))</f>
        <v/>
      </c>
      <c r="G296" s="42">
        <f>IF($C296="","",IFERROR(INDEX(DESPACHOS!$F$3:$F$3002,MATCH($C296,DESPACHOS!$B$3:$B$3002,0)),""))</f>
        <v/>
      </c>
      <c r="H296" s="42">
        <f>IF($C296="","",IFERROR(INDEX(DESPACHOS!$G$3:$G$3002,MATCH($C296,DESPACHOS!$B$3:$B$3002,0)),""))</f>
        <v/>
      </c>
      <c r="I296" s="39">
        <f>IF($C296="","",IFERROR(INDEX(DESPACHOS!$H$3:$H$3002,MATCH($C296,DESPACHOS!$B$3:$B$3002,0)),""))</f>
        <v/>
      </c>
      <c r="J296" s="43">
        <f>IF($C296="","",IFERROR(INDEX(DESPACHOS!$J$3:$J$3002,MATCH($C296,DESPACHOS!$B$3:$B$3002,0)),""))</f>
        <v/>
      </c>
      <c r="K296" s="39">
        <f>IF($C296="","",IF(COUNTIFS(DESPACHOS!$B$3:$B$3002,$C296)=0,"NO EXISTE",IF(COUNTIFS(DESPACHOS!$B$3:$B$3002,$C296)&gt;1,"DUPLICADO","OK")))</f>
        <v/>
      </c>
      <c r="L296" s="41" t="n"/>
      <c r="M296" s="41" t="n"/>
      <c r="N296" s="42">
        <f>IF($M296="","",IFERROR(INDEX(LISTAS!$F$3:$F$42,MATCH($M296,LISTAS!$E$3:$E$42,0)),"Por definir"))</f>
        <v/>
      </c>
      <c r="O296" s="41" t="n"/>
      <c r="P296" s="39">
        <f>IF($L296="","",IFERROR(INDEX(LISTAS!$B$3:$B$42,MATCH($L296,LISTAS!$A$3:$A$42,0)),"Media"))</f>
        <v/>
      </c>
      <c r="Q296" s="44" t="n"/>
      <c r="R296" s="45" t="n"/>
      <c r="S296" s="20">
        <f>IFERROR(IF(OR($R296="",$C296=""),"",$R296/INDEX(DESPACHOS!$M$3:$M$3002,MATCH($C296,DESPACHOS!$B$3:$B$3002,0))),"")</f>
        <v/>
      </c>
      <c r="T296" s="41" t="n"/>
      <c r="U296" s="43">
        <f>IF(OR($B296="",$L296=""),"",WORKDAY($B296,IFERROR(INDEX(LISTAS!$C$3:$C$42,MATCH($L296,LISTAS!$A$3:$A$42,0)),3)))</f>
        <v/>
      </c>
      <c r="V296" s="40" t="n"/>
      <c r="W296" s="19">
        <f>IF($B296="","",IF($V296&lt;&gt;"",$V296-$B296,TODAY()-$B296))</f>
        <v/>
      </c>
      <c r="X296" s="19">
        <f>IF(OR($B296="",$U296=""),"",IF($V296&lt;&gt;"",MAX(0,$V296-$U296),MAX(0,TODAY()-$U296)))</f>
        <v/>
      </c>
      <c r="Y296" s="39">
        <f>IF($C296="","",IF(IFERROR(INDEX(LISTAS!$I$3:$I$42,MATCH($T296,LISTAS!$H$3:$H$42,0)),"NO")="SÍ",IF(N($X296)&gt;0,"CERRADA FUERA DE SLA","CERRADA EN SLA"),IF($U296="","SIN CLASIFICAR",IF(N($X296)&gt;0,"VENCIDA",IF(TODAY()&gt;=$U296-1,"POR VENCER","EN PLAZO")))))</f>
        <v/>
      </c>
      <c r="Z296" s="41" t="n"/>
      <c r="AA296" s="41" t="n"/>
      <c r="AB296" s="41" t="n"/>
    </row>
    <row r="297">
      <c r="A297" s="39">
        <f>IF($C297="","","NOV-"&amp;TEXT(ROW()-3,"0000"))</f>
        <v/>
      </c>
      <c r="B297" s="40" t="n"/>
      <c r="C297" s="41" t="n"/>
      <c r="D297" s="42">
        <f>IF($C297="","",IFERROR(INDEX(DESPACHOS!$D$3:$D$3002,MATCH($C297,DESPACHOS!$B$3:$B$3002,0)),"SIN DESPACHO"))</f>
        <v/>
      </c>
      <c r="E297" s="42">
        <f>IF($C297="","",IFERROR(INDEX(DESPACHOS!$K$3:$K$3002,MATCH($C297,DESPACHOS!$B$3:$B$3002,0)),""))</f>
        <v/>
      </c>
      <c r="F297" s="42">
        <f>IF($C297="","",IFERROR(INDEX(DESPACHOS!$I$3:$I$3002,MATCH($C297,DESPACHOS!$B$3:$B$3002,0)),""))</f>
        <v/>
      </c>
      <c r="G297" s="42">
        <f>IF($C297="","",IFERROR(INDEX(DESPACHOS!$F$3:$F$3002,MATCH($C297,DESPACHOS!$B$3:$B$3002,0)),""))</f>
        <v/>
      </c>
      <c r="H297" s="42">
        <f>IF($C297="","",IFERROR(INDEX(DESPACHOS!$G$3:$G$3002,MATCH($C297,DESPACHOS!$B$3:$B$3002,0)),""))</f>
        <v/>
      </c>
      <c r="I297" s="39">
        <f>IF($C297="","",IFERROR(INDEX(DESPACHOS!$H$3:$H$3002,MATCH($C297,DESPACHOS!$B$3:$B$3002,0)),""))</f>
        <v/>
      </c>
      <c r="J297" s="43">
        <f>IF($C297="","",IFERROR(INDEX(DESPACHOS!$J$3:$J$3002,MATCH($C297,DESPACHOS!$B$3:$B$3002,0)),""))</f>
        <v/>
      </c>
      <c r="K297" s="39">
        <f>IF($C297="","",IF(COUNTIFS(DESPACHOS!$B$3:$B$3002,$C297)=0,"NO EXISTE",IF(COUNTIFS(DESPACHOS!$B$3:$B$3002,$C297)&gt;1,"DUPLICADO","OK")))</f>
        <v/>
      </c>
      <c r="L297" s="41" t="n"/>
      <c r="M297" s="41" t="n"/>
      <c r="N297" s="42">
        <f>IF($M297="","",IFERROR(INDEX(LISTAS!$F$3:$F$42,MATCH($M297,LISTAS!$E$3:$E$42,0)),"Por definir"))</f>
        <v/>
      </c>
      <c r="O297" s="41" t="n"/>
      <c r="P297" s="39">
        <f>IF($L297="","",IFERROR(INDEX(LISTAS!$B$3:$B$42,MATCH($L297,LISTAS!$A$3:$A$42,0)),"Media"))</f>
        <v/>
      </c>
      <c r="Q297" s="44" t="n"/>
      <c r="R297" s="45" t="n"/>
      <c r="S297" s="20">
        <f>IFERROR(IF(OR($R297="",$C297=""),"",$R297/INDEX(DESPACHOS!$M$3:$M$3002,MATCH($C297,DESPACHOS!$B$3:$B$3002,0))),"")</f>
        <v/>
      </c>
      <c r="T297" s="41" t="n"/>
      <c r="U297" s="43">
        <f>IF(OR($B297="",$L297=""),"",WORKDAY($B297,IFERROR(INDEX(LISTAS!$C$3:$C$42,MATCH($L297,LISTAS!$A$3:$A$42,0)),3)))</f>
        <v/>
      </c>
      <c r="V297" s="40" t="n"/>
      <c r="W297" s="19">
        <f>IF($B297="","",IF($V297&lt;&gt;"",$V297-$B297,TODAY()-$B297))</f>
        <v/>
      </c>
      <c r="X297" s="19">
        <f>IF(OR($B297="",$U297=""),"",IF($V297&lt;&gt;"",MAX(0,$V297-$U297),MAX(0,TODAY()-$U297)))</f>
        <v/>
      </c>
      <c r="Y297" s="39">
        <f>IF($C297="","",IF(IFERROR(INDEX(LISTAS!$I$3:$I$42,MATCH($T297,LISTAS!$H$3:$H$42,0)),"NO")="SÍ",IF(N($X297)&gt;0,"CERRADA FUERA DE SLA","CERRADA EN SLA"),IF($U297="","SIN CLASIFICAR",IF(N($X297)&gt;0,"VENCIDA",IF(TODAY()&gt;=$U297-1,"POR VENCER","EN PLAZO")))))</f>
        <v/>
      </c>
      <c r="Z297" s="41" t="n"/>
      <c r="AA297" s="41" t="n"/>
      <c r="AB297" s="41" t="n"/>
    </row>
    <row r="298">
      <c r="A298" s="39">
        <f>IF($C298="","","NOV-"&amp;TEXT(ROW()-3,"0000"))</f>
        <v/>
      </c>
      <c r="B298" s="40" t="n"/>
      <c r="C298" s="41" t="n"/>
      <c r="D298" s="42">
        <f>IF($C298="","",IFERROR(INDEX(DESPACHOS!$D$3:$D$3002,MATCH($C298,DESPACHOS!$B$3:$B$3002,0)),"SIN DESPACHO"))</f>
        <v/>
      </c>
      <c r="E298" s="42">
        <f>IF($C298="","",IFERROR(INDEX(DESPACHOS!$K$3:$K$3002,MATCH($C298,DESPACHOS!$B$3:$B$3002,0)),""))</f>
        <v/>
      </c>
      <c r="F298" s="42">
        <f>IF($C298="","",IFERROR(INDEX(DESPACHOS!$I$3:$I$3002,MATCH($C298,DESPACHOS!$B$3:$B$3002,0)),""))</f>
        <v/>
      </c>
      <c r="G298" s="42">
        <f>IF($C298="","",IFERROR(INDEX(DESPACHOS!$F$3:$F$3002,MATCH($C298,DESPACHOS!$B$3:$B$3002,0)),""))</f>
        <v/>
      </c>
      <c r="H298" s="42">
        <f>IF($C298="","",IFERROR(INDEX(DESPACHOS!$G$3:$G$3002,MATCH($C298,DESPACHOS!$B$3:$B$3002,0)),""))</f>
        <v/>
      </c>
      <c r="I298" s="39">
        <f>IF($C298="","",IFERROR(INDEX(DESPACHOS!$H$3:$H$3002,MATCH($C298,DESPACHOS!$B$3:$B$3002,0)),""))</f>
        <v/>
      </c>
      <c r="J298" s="43">
        <f>IF($C298="","",IFERROR(INDEX(DESPACHOS!$J$3:$J$3002,MATCH($C298,DESPACHOS!$B$3:$B$3002,0)),""))</f>
        <v/>
      </c>
      <c r="K298" s="39">
        <f>IF($C298="","",IF(COUNTIFS(DESPACHOS!$B$3:$B$3002,$C298)=0,"NO EXISTE",IF(COUNTIFS(DESPACHOS!$B$3:$B$3002,$C298)&gt;1,"DUPLICADO","OK")))</f>
        <v/>
      </c>
      <c r="L298" s="41" t="n"/>
      <c r="M298" s="41" t="n"/>
      <c r="N298" s="42">
        <f>IF($M298="","",IFERROR(INDEX(LISTAS!$F$3:$F$42,MATCH($M298,LISTAS!$E$3:$E$42,0)),"Por definir"))</f>
        <v/>
      </c>
      <c r="O298" s="41" t="n"/>
      <c r="P298" s="39">
        <f>IF($L298="","",IFERROR(INDEX(LISTAS!$B$3:$B$42,MATCH($L298,LISTAS!$A$3:$A$42,0)),"Media"))</f>
        <v/>
      </c>
      <c r="Q298" s="44" t="n"/>
      <c r="R298" s="45" t="n"/>
      <c r="S298" s="20">
        <f>IFERROR(IF(OR($R298="",$C298=""),"",$R298/INDEX(DESPACHOS!$M$3:$M$3002,MATCH($C298,DESPACHOS!$B$3:$B$3002,0))),"")</f>
        <v/>
      </c>
      <c r="T298" s="41" t="n"/>
      <c r="U298" s="43">
        <f>IF(OR($B298="",$L298=""),"",WORKDAY($B298,IFERROR(INDEX(LISTAS!$C$3:$C$42,MATCH($L298,LISTAS!$A$3:$A$42,0)),3)))</f>
        <v/>
      </c>
      <c r="V298" s="40" t="n"/>
      <c r="W298" s="19">
        <f>IF($B298="","",IF($V298&lt;&gt;"",$V298-$B298,TODAY()-$B298))</f>
        <v/>
      </c>
      <c r="X298" s="19">
        <f>IF(OR($B298="",$U298=""),"",IF($V298&lt;&gt;"",MAX(0,$V298-$U298),MAX(0,TODAY()-$U298)))</f>
        <v/>
      </c>
      <c r="Y298" s="39">
        <f>IF($C298="","",IF(IFERROR(INDEX(LISTAS!$I$3:$I$42,MATCH($T298,LISTAS!$H$3:$H$42,0)),"NO")="SÍ",IF(N($X298)&gt;0,"CERRADA FUERA DE SLA","CERRADA EN SLA"),IF($U298="","SIN CLASIFICAR",IF(N($X298)&gt;0,"VENCIDA",IF(TODAY()&gt;=$U298-1,"POR VENCER","EN PLAZO")))))</f>
        <v/>
      </c>
      <c r="Z298" s="41" t="n"/>
      <c r="AA298" s="41" t="n"/>
      <c r="AB298" s="41" t="n"/>
    </row>
    <row r="299">
      <c r="A299" s="39">
        <f>IF($C299="","","NOV-"&amp;TEXT(ROW()-3,"0000"))</f>
        <v/>
      </c>
      <c r="B299" s="40" t="n"/>
      <c r="C299" s="41" t="n"/>
      <c r="D299" s="42">
        <f>IF($C299="","",IFERROR(INDEX(DESPACHOS!$D$3:$D$3002,MATCH($C299,DESPACHOS!$B$3:$B$3002,0)),"SIN DESPACHO"))</f>
        <v/>
      </c>
      <c r="E299" s="42">
        <f>IF($C299="","",IFERROR(INDEX(DESPACHOS!$K$3:$K$3002,MATCH($C299,DESPACHOS!$B$3:$B$3002,0)),""))</f>
        <v/>
      </c>
      <c r="F299" s="42">
        <f>IF($C299="","",IFERROR(INDEX(DESPACHOS!$I$3:$I$3002,MATCH($C299,DESPACHOS!$B$3:$B$3002,0)),""))</f>
        <v/>
      </c>
      <c r="G299" s="42">
        <f>IF($C299="","",IFERROR(INDEX(DESPACHOS!$F$3:$F$3002,MATCH($C299,DESPACHOS!$B$3:$B$3002,0)),""))</f>
        <v/>
      </c>
      <c r="H299" s="42">
        <f>IF($C299="","",IFERROR(INDEX(DESPACHOS!$G$3:$G$3002,MATCH($C299,DESPACHOS!$B$3:$B$3002,0)),""))</f>
        <v/>
      </c>
      <c r="I299" s="39">
        <f>IF($C299="","",IFERROR(INDEX(DESPACHOS!$H$3:$H$3002,MATCH($C299,DESPACHOS!$B$3:$B$3002,0)),""))</f>
        <v/>
      </c>
      <c r="J299" s="43">
        <f>IF($C299="","",IFERROR(INDEX(DESPACHOS!$J$3:$J$3002,MATCH($C299,DESPACHOS!$B$3:$B$3002,0)),""))</f>
        <v/>
      </c>
      <c r="K299" s="39">
        <f>IF($C299="","",IF(COUNTIFS(DESPACHOS!$B$3:$B$3002,$C299)=0,"NO EXISTE",IF(COUNTIFS(DESPACHOS!$B$3:$B$3002,$C299)&gt;1,"DUPLICADO","OK")))</f>
        <v/>
      </c>
      <c r="L299" s="41" t="n"/>
      <c r="M299" s="41" t="n"/>
      <c r="N299" s="42">
        <f>IF($M299="","",IFERROR(INDEX(LISTAS!$F$3:$F$42,MATCH($M299,LISTAS!$E$3:$E$42,0)),"Por definir"))</f>
        <v/>
      </c>
      <c r="O299" s="41" t="n"/>
      <c r="P299" s="39">
        <f>IF($L299="","",IFERROR(INDEX(LISTAS!$B$3:$B$42,MATCH($L299,LISTAS!$A$3:$A$42,0)),"Media"))</f>
        <v/>
      </c>
      <c r="Q299" s="44" t="n"/>
      <c r="R299" s="45" t="n"/>
      <c r="S299" s="20">
        <f>IFERROR(IF(OR($R299="",$C299=""),"",$R299/INDEX(DESPACHOS!$M$3:$M$3002,MATCH($C299,DESPACHOS!$B$3:$B$3002,0))),"")</f>
        <v/>
      </c>
      <c r="T299" s="41" t="n"/>
      <c r="U299" s="43">
        <f>IF(OR($B299="",$L299=""),"",WORKDAY($B299,IFERROR(INDEX(LISTAS!$C$3:$C$42,MATCH($L299,LISTAS!$A$3:$A$42,0)),3)))</f>
        <v/>
      </c>
      <c r="V299" s="40" t="n"/>
      <c r="W299" s="19">
        <f>IF($B299="","",IF($V299&lt;&gt;"",$V299-$B299,TODAY()-$B299))</f>
        <v/>
      </c>
      <c r="X299" s="19">
        <f>IF(OR($B299="",$U299=""),"",IF($V299&lt;&gt;"",MAX(0,$V299-$U299),MAX(0,TODAY()-$U299)))</f>
        <v/>
      </c>
      <c r="Y299" s="39">
        <f>IF($C299="","",IF(IFERROR(INDEX(LISTAS!$I$3:$I$42,MATCH($T299,LISTAS!$H$3:$H$42,0)),"NO")="SÍ",IF(N($X299)&gt;0,"CERRADA FUERA DE SLA","CERRADA EN SLA"),IF($U299="","SIN CLASIFICAR",IF(N($X299)&gt;0,"VENCIDA",IF(TODAY()&gt;=$U299-1,"POR VENCER","EN PLAZO")))))</f>
        <v/>
      </c>
      <c r="Z299" s="41" t="n"/>
      <c r="AA299" s="41" t="n"/>
      <c r="AB299" s="41" t="n"/>
    </row>
    <row r="300">
      <c r="A300" s="39">
        <f>IF($C300="","","NOV-"&amp;TEXT(ROW()-3,"0000"))</f>
        <v/>
      </c>
      <c r="B300" s="40" t="n"/>
      <c r="C300" s="41" t="n"/>
      <c r="D300" s="42">
        <f>IF($C300="","",IFERROR(INDEX(DESPACHOS!$D$3:$D$3002,MATCH($C300,DESPACHOS!$B$3:$B$3002,0)),"SIN DESPACHO"))</f>
        <v/>
      </c>
      <c r="E300" s="42">
        <f>IF($C300="","",IFERROR(INDEX(DESPACHOS!$K$3:$K$3002,MATCH($C300,DESPACHOS!$B$3:$B$3002,0)),""))</f>
        <v/>
      </c>
      <c r="F300" s="42">
        <f>IF($C300="","",IFERROR(INDEX(DESPACHOS!$I$3:$I$3002,MATCH($C300,DESPACHOS!$B$3:$B$3002,0)),""))</f>
        <v/>
      </c>
      <c r="G300" s="42">
        <f>IF($C300="","",IFERROR(INDEX(DESPACHOS!$F$3:$F$3002,MATCH($C300,DESPACHOS!$B$3:$B$3002,0)),""))</f>
        <v/>
      </c>
      <c r="H300" s="42">
        <f>IF($C300="","",IFERROR(INDEX(DESPACHOS!$G$3:$G$3002,MATCH($C300,DESPACHOS!$B$3:$B$3002,0)),""))</f>
        <v/>
      </c>
      <c r="I300" s="39">
        <f>IF($C300="","",IFERROR(INDEX(DESPACHOS!$H$3:$H$3002,MATCH($C300,DESPACHOS!$B$3:$B$3002,0)),""))</f>
        <v/>
      </c>
      <c r="J300" s="43">
        <f>IF($C300="","",IFERROR(INDEX(DESPACHOS!$J$3:$J$3002,MATCH($C300,DESPACHOS!$B$3:$B$3002,0)),""))</f>
        <v/>
      </c>
      <c r="K300" s="39">
        <f>IF($C300="","",IF(COUNTIFS(DESPACHOS!$B$3:$B$3002,$C300)=0,"NO EXISTE",IF(COUNTIFS(DESPACHOS!$B$3:$B$3002,$C300)&gt;1,"DUPLICADO","OK")))</f>
        <v/>
      </c>
      <c r="L300" s="41" t="n"/>
      <c r="M300" s="41" t="n"/>
      <c r="N300" s="42">
        <f>IF($M300="","",IFERROR(INDEX(LISTAS!$F$3:$F$42,MATCH($M300,LISTAS!$E$3:$E$42,0)),"Por definir"))</f>
        <v/>
      </c>
      <c r="O300" s="41" t="n"/>
      <c r="P300" s="39">
        <f>IF($L300="","",IFERROR(INDEX(LISTAS!$B$3:$B$42,MATCH($L300,LISTAS!$A$3:$A$42,0)),"Media"))</f>
        <v/>
      </c>
      <c r="Q300" s="44" t="n"/>
      <c r="R300" s="45" t="n"/>
      <c r="S300" s="20">
        <f>IFERROR(IF(OR($R300="",$C300=""),"",$R300/INDEX(DESPACHOS!$M$3:$M$3002,MATCH($C300,DESPACHOS!$B$3:$B$3002,0))),"")</f>
        <v/>
      </c>
      <c r="T300" s="41" t="n"/>
      <c r="U300" s="43">
        <f>IF(OR($B300="",$L300=""),"",WORKDAY($B300,IFERROR(INDEX(LISTAS!$C$3:$C$42,MATCH($L300,LISTAS!$A$3:$A$42,0)),3)))</f>
        <v/>
      </c>
      <c r="V300" s="40" t="n"/>
      <c r="W300" s="19">
        <f>IF($B300="","",IF($V300&lt;&gt;"",$V300-$B300,TODAY()-$B300))</f>
        <v/>
      </c>
      <c r="X300" s="19">
        <f>IF(OR($B300="",$U300=""),"",IF($V300&lt;&gt;"",MAX(0,$V300-$U300),MAX(0,TODAY()-$U300)))</f>
        <v/>
      </c>
      <c r="Y300" s="39">
        <f>IF($C300="","",IF(IFERROR(INDEX(LISTAS!$I$3:$I$42,MATCH($T300,LISTAS!$H$3:$H$42,0)),"NO")="SÍ",IF(N($X300)&gt;0,"CERRADA FUERA DE SLA","CERRADA EN SLA"),IF($U300="","SIN CLASIFICAR",IF(N($X300)&gt;0,"VENCIDA",IF(TODAY()&gt;=$U300-1,"POR VENCER","EN PLAZO")))))</f>
        <v/>
      </c>
      <c r="Z300" s="41" t="n"/>
      <c r="AA300" s="41" t="n"/>
      <c r="AB300" s="41" t="n"/>
    </row>
    <row r="301">
      <c r="A301" s="39">
        <f>IF($C301="","","NOV-"&amp;TEXT(ROW()-3,"0000"))</f>
        <v/>
      </c>
      <c r="B301" s="40" t="n"/>
      <c r="C301" s="41" t="n"/>
      <c r="D301" s="42">
        <f>IF($C301="","",IFERROR(INDEX(DESPACHOS!$D$3:$D$3002,MATCH($C301,DESPACHOS!$B$3:$B$3002,0)),"SIN DESPACHO"))</f>
        <v/>
      </c>
      <c r="E301" s="42">
        <f>IF($C301="","",IFERROR(INDEX(DESPACHOS!$K$3:$K$3002,MATCH($C301,DESPACHOS!$B$3:$B$3002,0)),""))</f>
        <v/>
      </c>
      <c r="F301" s="42">
        <f>IF($C301="","",IFERROR(INDEX(DESPACHOS!$I$3:$I$3002,MATCH($C301,DESPACHOS!$B$3:$B$3002,0)),""))</f>
        <v/>
      </c>
      <c r="G301" s="42">
        <f>IF($C301="","",IFERROR(INDEX(DESPACHOS!$F$3:$F$3002,MATCH($C301,DESPACHOS!$B$3:$B$3002,0)),""))</f>
        <v/>
      </c>
      <c r="H301" s="42">
        <f>IF($C301="","",IFERROR(INDEX(DESPACHOS!$G$3:$G$3002,MATCH($C301,DESPACHOS!$B$3:$B$3002,0)),""))</f>
        <v/>
      </c>
      <c r="I301" s="39">
        <f>IF($C301="","",IFERROR(INDEX(DESPACHOS!$H$3:$H$3002,MATCH($C301,DESPACHOS!$B$3:$B$3002,0)),""))</f>
        <v/>
      </c>
      <c r="J301" s="43">
        <f>IF($C301="","",IFERROR(INDEX(DESPACHOS!$J$3:$J$3002,MATCH($C301,DESPACHOS!$B$3:$B$3002,0)),""))</f>
        <v/>
      </c>
      <c r="K301" s="39">
        <f>IF($C301="","",IF(COUNTIFS(DESPACHOS!$B$3:$B$3002,$C301)=0,"NO EXISTE",IF(COUNTIFS(DESPACHOS!$B$3:$B$3002,$C301)&gt;1,"DUPLICADO","OK")))</f>
        <v/>
      </c>
      <c r="L301" s="41" t="n"/>
      <c r="M301" s="41" t="n"/>
      <c r="N301" s="42">
        <f>IF($M301="","",IFERROR(INDEX(LISTAS!$F$3:$F$42,MATCH($M301,LISTAS!$E$3:$E$42,0)),"Por definir"))</f>
        <v/>
      </c>
      <c r="O301" s="41" t="n"/>
      <c r="P301" s="39">
        <f>IF($L301="","",IFERROR(INDEX(LISTAS!$B$3:$B$42,MATCH($L301,LISTAS!$A$3:$A$42,0)),"Media"))</f>
        <v/>
      </c>
      <c r="Q301" s="44" t="n"/>
      <c r="R301" s="45" t="n"/>
      <c r="S301" s="20">
        <f>IFERROR(IF(OR($R301="",$C301=""),"",$R301/INDEX(DESPACHOS!$M$3:$M$3002,MATCH($C301,DESPACHOS!$B$3:$B$3002,0))),"")</f>
        <v/>
      </c>
      <c r="T301" s="41" t="n"/>
      <c r="U301" s="43">
        <f>IF(OR($B301="",$L301=""),"",WORKDAY($B301,IFERROR(INDEX(LISTAS!$C$3:$C$42,MATCH($L301,LISTAS!$A$3:$A$42,0)),3)))</f>
        <v/>
      </c>
      <c r="V301" s="40" t="n"/>
      <c r="W301" s="19">
        <f>IF($B301="","",IF($V301&lt;&gt;"",$V301-$B301,TODAY()-$B301))</f>
        <v/>
      </c>
      <c r="X301" s="19">
        <f>IF(OR($B301="",$U301=""),"",IF($V301&lt;&gt;"",MAX(0,$V301-$U301),MAX(0,TODAY()-$U301)))</f>
        <v/>
      </c>
      <c r="Y301" s="39">
        <f>IF($C301="","",IF(IFERROR(INDEX(LISTAS!$I$3:$I$42,MATCH($T301,LISTAS!$H$3:$H$42,0)),"NO")="SÍ",IF(N($X301)&gt;0,"CERRADA FUERA DE SLA","CERRADA EN SLA"),IF($U301="","SIN CLASIFICAR",IF(N($X301)&gt;0,"VENCIDA",IF(TODAY()&gt;=$U301-1,"POR VENCER","EN PLAZO")))))</f>
        <v/>
      </c>
      <c r="Z301" s="41" t="n"/>
      <c r="AA301" s="41" t="n"/>
      <c r="AB301" s="41" t="n"/>
    </row>
    <row r="302">
      <c r="A302" s="39">
        <f>IF($C302="","","NOV-"&amp;TEXT(ROW()-3,"0000"))</f>
        <v/>
      </c>
      <c r="B302" s="40" t="n"/>
      <c r="C302" s="41" t="n"/>
      <c r="D302" s="42">
        <f>IF($C302="","",IFERROR(INDEX(DESPACHOS!$D$3:$D$3002,MATCH($C302,DESPACHOS!$B$3:$B$3002,0)),"SIN DESPACHO"))</f>
        <v/>
      </c>
      <c r="E302" s="42">
        <f>IF($C302="","",IFERROR(INDEX(DESPACHOS!$K$3:$K$3002,MATCH($C302,DESPACHOS!$B$3:$B$3002,0)),""))</f>
        <v/>
      </c>
      <c r="F302" s="42">
        <f>IF($C302="","",IFERROR(INDEX(DESPACHOS!$I$3:$I$3002,MATCH($C302,DESPACHOS!$B$3:$B$3002,0)),""))</f>
        <v/>
      </c>
      <c r="G302" s="42">
        <f>IF($C302="","",IFERROR(INDEX(DESPACHOS!$F$3:$F$3002,MATCH($C302,DESPACHOS!$B$3:$B$3002,0)),""))</f>
        <v/>
      </c>
      <c r="H302" s="42">
        <f>IF($C302="","",IFERROR(INDEX(DESPACHOS!$G$3:$G$3002,MATCH($C302,DESPACHOS!$B$3:$B$3002,0)),""))</f>
        <v/>
      </c>
      <c r="I302" s="39">
        <f>IF($C302="","",IFERROR(INDEX(DESPACHOS!$H$3:$H$3002,MATCH($C302,DESPACHOS!$B$3:$B$3002,0)),""))</f>
        <v/>
      </c>
      <c r="J302" s="43">
        <f>IF($C302="","",IFERROR(INDEX(DESPACHOS!$J$3:$J$3002,MATCH($C302,DESPACHOS!$B$3:$B$3002,0)),""))</f>
        <v/>
      </c>
      <c r="K302" s="39">
        <f>IF($C302="","",IF(COUNTIFS(DESPACHOS!$B$3:$B$3002,$C302)=0,"NO EXISTE",IF(COUNTIFS(DESPACHOS!$B$3:$B$3002,$C302)&gt;1,"DUPLICADO","OK")))</f>
        <v/>
      </c>
      <c r="L302" s="41" t="n"/>
      <c r="M302" s="41" t="n"/>
      <c r="N302" s="42">
        <f>IF($M302="","",IFERROR(INDEX(LISTAS!$F$3:$F$42,MATCH($M302,LISTAS!$E$3:$E$42,0)),"Por definir"))</f>
        <v/>
      </c>
      <c r="O302" s="41" t="n"/>
      <c r="P302" s="39">
        <f>IF($L302="","",IFERROR(INDEX(LISTAS!$B$3:$B$42,MATCH($L302,LISTAS!$A$3:$A$42,0)),"Media"))</f>
        <v/>
      </c>
      <c r="Q302" s="44" t="n"/>
      <c r="R302" s="45" t="n"/>
      <c r="S302" s="20">
        <f>IFERROR(IF(OR($R302="",$C302=""),"",$R302/INDEX(DESPACHOS!$M$3:$M$3002,MATCH($C302,DESPACHOS!$B$3:$B$3002,0))),"")</f>
        <v/>
      </c>
      <c r="T302" s="41" t="n"/>
      <c r="U302" s="43">
        <f>IF(OR($B302="",$L302=""),"",WORKDAY($B302,IFERROR(INDEX(LISTAS!$C$3:$C$42,MATCH($L302,LISTAS!$A$3:$A$42,0)),3)))</f>
        <v/>
      </c>
      <c r="V302" s="40" t="n"/>
      <c r="W302" s="19">
        <f>IF($B302="","",IF($V302&lt;&gt;"",$V302-$B302,TODAY()-$B302))</f>
        <v/>
      </c>
      <c r="X302" s="19">
        <f>IF(OR($B302="",$U302=""),"",IF($V302&lt;&gt;"",MAX(0,$V302-$U302),MAX(0,TODAY()-$U302)))</f>
        <v/>
      </c>
      <c r="Y302" s="39">
        <f>IF($C302="","",IF(IFERROR(INDEX(LISTAS!$I$3:$I$42,MATCH($T302,LISTAS!$H$3:$H$42,0)),"NO")="SÍ",IF(N($X302)&gt;0,"CERRADA FUERA DE SLA","CERRADA EN SLA"),IF($U302="","SIN CLASIFICAR",IF(N($X302)&gt;0,"VENCIDA",IF(TODAY()&gt;=$U302-1,"POR VENCER","EN PLAZO")))))</f>
        <v/>
      </c>
      <c r="Z302" s="41" t="n"/>
      <c r="AA302" s="41" t="n"/>
      <c r="AB302" s="41" t="n"/>
    </row>
    <row r="303">
      <c r="A303" s="39">
        <f>IF($C303="","","NOV-"&amp;TEXT(ROW()-3,"0000"))</f>
        <v/>
      </c>
      <c r="B303" s="40" t="n"/>
      <c r="C303" s="41" t="n"/>
      <c r="D303" s="42">
        <f>IF($C303="","",IFERROR(INDEX(DESPACHOS!$D$3:$D$3002,MATCH($C303,DESPACHOS!$B$3:$B$3002,0)),"SIN DESPACHO"))</f>
        <v/>
      </c>
      <c r="E303" s="42">
        <f>IF($C303="","",IFERROR(INDEX(DESPACHOS!$K$3:$K$3002,MATCH($C303,DESPACHOS!$B$3:$B$3002,0)),""))</f>
        <v/>
      </c>
      <c r="F303" s="42">
        <f>IF($C303="","",IFERROR(INDEX(DESPACHOS!$I$3:$I$3002,MATCH($C303,DESPACHOS!$B$3:$B$3002,0)),""))</f>
        <v/>
      </c>
      <c r="G303" s="42">
        <f>IF($C303="","",IFERROR(INDEX(DESPACHOS!$F$3:$F$3002,MATCH($C303,DESPACHOS!$B$3:$B$3002,0)),""))</f>
        <v/>
      </c>
      <c r="H303" s="42">
        <f>IF($C303="","",IFERROR(INDEX(DESPACHOS!$G$3:$G$3002,MATCH($C303,DESPACHOS!$B$3:$B$3002,0)),""))</f>
        <v/>
      </c>
      <c r="I303" s="39">
        <f>IF($C303="","",IFERROR(INDEX(DESPACHOS!$H$3:$H$3002,MATCH($C303,DESPACHOS!$B$3:$B$3002,0)),""))</f>
        <v/>
      </c>
      <c r="J303" s="43">
        <f>IF($C303="","",IFERROR(INDEX(DESPACHOS!$J$3:$J$3002,MATCH($C303,DESPACHOS!$B$3:$B$3002,0)),""))</f>
        <v/>
      </c>
      <c r="K303" s="39">
        <f>IF($C303="","",IF(COUNTIFS(DESPACHOS!$B$3:$B$3002,$C303)=0,"NO EXISTE",IF(COUNTIFS(DESPACHOS!$B$3:$B$3002,$C303)&gt;1,"DUPLICADO","OK")))</f>
        <v/>
      </c>
      <c r="L303" s="41" t="n"/>
      <c r="M303" s="41" t="n"/>
      <c r="N303" s="42">
        <f>IF($M303="","",IFERROR(INDEX(LISTAS!$F$3:$F$42,MATCH($M303,LISTAS!$E$3:$E$42,0)),"Por definir"))</f>
        <v/>
      </c>
      <c r="O303" s="41" t="n"/>
      <c r="P303" s="39">
        <f>IF($L303="","",IFERROR(INDEX(LISTAS!$B$3:$B$42,MATCH($L303,LISTAS!$A$3:$A$42,0)),"Media"))</f>
        <v/>
      </c>
      <c r="Q303" s="44" t="n"/>
      <c r="R303" s="45" t="n"/>
      <c r="S303" s="20">
        <f>IFERROR(IF(OR($R303="",$C303=""),"",$R303/INDEX(DESPACHOS!$M$3:$M$3002,MATCH($C303,DESPACHOS!$B$3:$B$3002,0))),"")</f>
        <v/>
      </c>
      <c r="T303" s="41" t="n"/>
      <c r="U303" s="43">
        <f>IF(OR($B303="",$L303=""),"",WORKDAY($B303,IFERROR(INDEX(LISTAS!$C$3:$C$42,MATCH($L303,LISTAS!$A$3:$A$42,0)),3)))</f>
        <v/>
      </c>
      <c r="V303" s="40" t="n"/>
      <c r="W303" s="19">
        <f>IF($B303="","",IF($V303&lt;&gt;"",$V303-$B303,TODAY()-$B303))</f>
        <v/>
      </c>
      <c r="X303" s="19">
        <f>IF(OR($B303="",$U303=""),"",IF($V303&lt;&gt;"",MAX(0,$V303-$U303),MAX(0,TODAY()-$U303)))</f>
        <v/>
      </c>
      <c r="Y303" s="39">
        <f>IF($C303="","",IF(IFERROR(INDEX(LISTAS!$I$3:$I$42,MATCH($T303,LISTAS!$H$3:$H$42,0)),"NO")="SÍ",IF(N($X303)&gt;0,"CERRADA FUERA DE SLA","CERRADA EN SLA"),IF($U303="","SIN CLASIFICAR",IF(N($X303)&gt;0,"VENCIDA",IF(TODAY()&gt;=$U303-1,"POR VENCER","EN PLAZO")))))</f>
        <v/>
      </c>
      <c r="Z303" s="41" t="n"/>
      <c r="AA303" s="41" t="n"/>
      <c r="AB303" s="41" t="n"/>
    </row>
    <row r="304">
      <c r="A304" s="39">
        <f>IF($C304="","","NOV-"&amp;TEXT(ROW()-3,"0000"))</f>
        <v/>
      </c>
      <c r="B304" s="40" t="n"/>
      <c r="C304" s="41" t="n"/>
      <c r="D304" s="42">
        <f>IF($C304="","",IFERROR(INDEX(DESPACHOS!$D$3:$D$3002,MATCH($C304,DESPACHOS!$B$3:$B$3002,0)),"SIN DESPACHO"))</f>
        <v/>
      </c>
      <c r="E304" s="42">
        <f>IF($C304="","",IFERROR(INDEX(DESPACHOS!$K$3:$K$3002,MATCH($C304,DESPACHOS!$B$3:$B$3002,0)),""))</f>
        <v/>
      </c>
      <c r="F304" s="42">
        <f>IF($C304="","",IFERROR(INDEX(DESPACHOS!$I$3:$I$3002,MATCH($C304,DESPACHOS!$B$3:$B$3002,0)),""))</f>
        <v/>
      </c>
      <c r="G304" s="42">
        <f>IF($C304="","",IFERROR(INDEX(DESPACHOS!$F$3:$F$3002,MATCH($C304,DESPACHOS!$B$3:$B$3002,0)),""))</f>
        <v/>
      </c>
      <c r="H304" s="42">
        <f>IF($C304="","",IFERROR(INDEX(DESPACHOS!$G$3:$G$3002,MATCH($C304,DESPACHOS!$B$3:$B$3002,0)),""))</f>
        <v/>
      </c>
      <c r="I304" s="39">
        <f>IF($C304="","",IFERROR(INDEX(DESPACHOS!$H$3:$H$3002,MATCH($C304,DESPACHOS!$B$3:$B$3002,0)),""))</f>
        <v/>
      </c>
      <c r="J304" s="43">
        <f>IF($C304="","",IFERROR(INDEX(DESPACHOS!$J$3:$J$3002,MATCH($C304,DESPACHOS!$B$3:$B$3002,0)),""))</f>
        <v/>
      </c>
      <c r="K304" s="39">
        <f>IF($C304="","",IF(COUNTIFS(DESPACHOS!$B$3:$B$3002,$C304)=0,"NO EXISTE",IF(COUNTIFS(DESPACHOS!$B$3:$B$3002,$C304)&gt;1,"DUPLICADO","OK")))</f>
        <v/>
      </c>
      <c r="L304" s="41" t="n"/>
      <c r="M304" s="41" t="n"/>
      <c r="N304" s="42">
        <f>IF($M304="","",IFERROR(INDEX(LISTAS!$F$3:$F$42,MATCH($M304,LISTAS!$E$3:$E$42,0)),"Por definir"))</f>
        <v/>
      </c>
      <c r="O304" s="41" t="n"/>
      <c r="P304" s="39">
        <f>IF($L304="","",IFERROR(INDEX(LISTAS!$B$3:$B$42,MATCH($L304,LISTAS!$A$3:$A$42,0)),"Media"))</f>
        <v/>
      </c>
      <c r="Q304" s="44" t="n"/>
      <c r="R304" s="45" t="n"/>
      <c r="S304" s="20">
        <f>IFERROR(IF(OR($R304="",$C304=""),"",$R304/INDEX(DESPACHOS!$M$3:$M$3002,MATCH($C304,DESPACHOS!$B$3:$B$3002,0))),"")</f>
        <v/>
      </c>
      <c r="T304" s="41" t="n"/>
      <c r="U304" s="43">
        <f>IF(OR($B304="",$L304=""),"",WORKDAY($B304,IFERROR(INDEX(LISTAS!$C$3:$C$42,MATCH($L304,LISTAS!$A$3:$A$42,0)),3)))</f>
        <v/>
      </c>
      <c r="V304" s="40" t="n"/>
      <c r="W304" s="19">
        <f>IF($B304="","",IF($V304&lt;&gt;"",$V304-$B304,TODAY()-$B304))</f>
        <v/>
      </c>
      <c r="X304" s="19">
        <f>IF(OR($B304="",$U304=""),"",IF($V304&lt;&gt;"",MAX(0,$V304-$U304),MAX(0,TODAY()-$U304)))</f>
        <v/>
      </c>
      <c r="Y304" s="39">
        <f>IF($C304="","",IF(IFERROR(INDEX(LISTAS!$I$3:$I$42,MATCH($T304,LISTAS!$H$3:$H$42,0)),"NO")="SÍ",IF(N($X304)&gt;0,"CERRADA FUERA DE SLA","CERRADA EN SLA"),IF($U304="","SIN CLASIFICAR",IF(N($X304)&gt;0,"VENCIDA",IF(TODAY()&gt;=$U304-1,"POR VENCER","EN PLAZO")))))</f>
        <v/>
      </c>
      <c r="Z304" s="41" t="n"/>
      <c r="AA304" s="41" t="n"/>
      <c r="AB304" s="41" t="n"/>
    </row>
    <row r="305">
      <c r="A305" s="39">
        <f>IF($C305="","","NOV-"&amp;TEXT(ROW()-3,"0000"))</f>
        <v/>
      </c>
      <c r="B305" s="40" t="n"/>
      <c r="C305" s="41" t="n"/>
      <c r="D305" s="42">
        <f>IF($C305="","",IFERROR(INDEX(DESPACHOS!$D$3:$D$3002,MATCH($C305,DESPACHOS!$B$3:$B$3002,0)),"SIN DESPACHO"))</f>
        <v/>
      </c>
      <c r="E305" s="42">
        <f>IF($C305="","",IFERROR(INDEX(DESPACHOS!$K$3:$K$3002,MATCH($C305,DESPACHOS!$B$3:$B$3002,0)),""))</f>
        <v/>
      </c>
      <c r="F305" s="42">
        <f>IF($C305="","",IFERROR(INDEX(DESPACHOS!$I$3:$I$3002,MATCH($C305,DESPACHOS!$B$3:$B$3002,0)),""))</f>
        <v/>
      </c>
      <c r="G305" s="42">
        <f>IF($C305="","",IFERROR(INDEX(DESPACHOS!$F$3:$F$3002,MATCH($C305,DESPACHOS!$B$3:$B$3002,0)),""))</f>
        <v/>
      </c>
      <c r="H305" s="42">
        <f>IF($C305="","",IFERROR(INDEX(DESPACHOS!$G$3:$G$3002,MATCH($C305,DESPACHOS!$B$3:$B$3002,0)),""))</f>
        <v/>
      </c>
      <c r="I305" s="39">
        <f>IF($C305="","",IFERROR(INDEX(DESPACHOS!$H$3:$H$3002,MATCH($C305,DESPACHOS!$B$3:$B$3002,0)),""))</f>
        <v/>
      </c>
      <c r="J305" s="43">
        <f>IF($C305="","",IFERROR(INDEX(DESPACHOS!$J$3:$J$3002,MATCH($C305,DESPACHOS!$B$3:$B$3002,0)),""))</f>
        <v/>
      </c>
      <c r="K305" s="39">
        <f>IF($C305="","",IF(COUNTIFS(DESPACHOS!$B$3:$B$3002,$C305)=0,"NO EXISTE",IF(COUNTIFS(DESPACHOS!$B$3:$B$3002,$C305)&gt;1,"DUPLICADO","OK")))</f>
        <v/>
      </c>
      <c r="L305" s="41" t="n"/>
      <c r="M305" s="41" t="n"/>
      <c r="N305" s="42">
        <f>IF($M305="","",IFERROR(INDEX(LISTAS!$F$3:$F$42,MATCH($M305,LISTAS!$E$3:$E$42,0)),"Por definir"))</f>
        <v/>
      </c>
      <c r="O305" s="41" t="n"/>
      <c r="P305" s="39">
        <f>IF($L305="","",IFERROR(INDEX(LISTAS!$B$3:$B$42,MATCH($L305,LISTAS!$A$3:$A$42,0)),"Media"))</f>
        <v/>
      </c>
      <c r="Q305" s="44" t="n"/>
      <c r="R305" s="45" t="n"/>
      <c r="S305" s="20">
        <f>IFERROR(IF(OR($R305="",$C305=""),"",$R305/INDEX(DESPACHOS!$M$3:$M$3002,MATCH($C305,DESPACHOS!$B$3:$B$3002,0))),"")</f>
        <v/>
      </c>
      <c r="T305" s="41" t="n"/>
      <c r="U305" s="43">
        <f>IF(OR($B305="",$L305=""),"",WORKDAY($B305,IFERROR(INDEX(LISTAS!$C$3:$C$42,MATCH($L305,LISTAS!$A$3:$A$42,0)),3)))</f>
        <v/>
      </c>
      <c r="V305" s="40" t="n"/>
      <c r="W305" s="19">
        <f>IF($B305="","",IF($V305&lt;&gt;"",$V305-$B305,TODAY()-$B305))</f>
        <v/>
      </c>
      <c r="X305" s="19">
        <f>IF(OR($B305="",$U305=""),"",IF($V305&lt;&gt;"",MAX(0,$V305-$U305),MAX(0,TODAY()-$U305)))</f>
        <v/>
      </c>
      <c r="Y305" s="39">
        <f>IF($C305="","",IF(IFERROR(INDEX(LISTAS!$I$3:$I$42,MATCH($T305,LISTAS!$H$3:$H$42,0)),"NO")="SÍ",IF(N($X305)&gt;0,"CERRADA FUERA DE SLA","CERRADA EN SLA"),IF($U305="","SIN CLASIFICAR",IF(N($X305)&gt;0,"VENCIDA",IF(TODAY()&gt;=$U305-1,"POR VENCER","EN PLAZO")))))</f>
        <v/>
      </c>
      <c r="Z305" s="41" t="n"/>
      <c r="AA305" s="41" t="n"/>
      <c r="AB305" s="41" t="n"/>
    </row>
    <row r="306">
      <c r="A306" s="39">
        <f>IF($C306="","","NOV-"&amp;TEXT(ROW()-3,"0000"))</f>
        <v/>
      </c>
      <c r="B306" s="40" t="n"/>
      <c r="C306" s="41" t="n"/>
      <c r="D306" s="42">
        <f>IF($C306="","",IFERROR(INDEX(DESPACHOS!$D$3:$D$3002,MATCH($C306,DESPACHOS!$B$3:$B$3002,0)),"SIN DESPACHO"))</f>
        <v/>
      </c>
      <c r="E306" s="42">
        <f>IF($C306="","",IFERROR(INDEX(DESPACHOS!$K$3:$K$3002,MATCH($C306,DESPACHOS!$B$3:$B$3002,0)),""))</f>
        <v/>
      </c>
      <c r="F306" s="42">
        <f>IF($C306="","",IFERROR(INDEX(DESPACHOS!$I$3:$I$3002,MATCH($C306,DESPACHOS!$B$3:$B$3002,0)),""))</f>
        <v/>
      </c>
      <c r="G306" s="42">
        <f>IF($C306="","",IFERROR(INDEX(DESPACHOS!$F$3:$F$3002,MATCH($C306,DESPACHOS!$B$3:$B$3002,0)),""))</f>
        <v/>
      </c>
      <c r="H306" s="42">
        <f>IF($C306="","",IFERROR(INDEX(DESPACHOS!$G$3:$G$3002,MATCH($C306,DESPACHOS!$B$3:$B$3002,0)),""))</f>
        <v/>
      </c>
      <c r="I306" s="39">
        <f>IF($C306="","",IFERROR(INDEX(DESPACHOS!$H$3:$H$3002,MATCH($C306,DESPACHOS!$B$3:$B$3002,0)),""))</f>
        <v/>
      </c>
      <c r="J306" s="43">
        <f>IF($C306="","",IFERROR(INDEX(DESPACHOS!$J$3:$J$3002,MATCH($C306,DESPACHOS!$B$3:$B$3002,0)),""))</f>
        <v/>
      </c>
      <c r="K306" s="39">
        <f>IF($C306="","",IF(COUNTIFS(DESPACHOS!$B$3:$B$3002,$C306)=0,"NO EXISTE",IF(COUNTIFS(DESPACHOS!$B$3:$B$3002,$C306)&gt;1,"DUPLICADO","OK")))</f>
        <v/>
      </c>
      <c r="L306" s="41" t="n"/>
      <c r="M306" s="41" t="n"/>
      <c r="N306" s="42">
        <f>IF($M306="","",IFERROR(INDEX(LISTAS!$F$3:$F$42,MATCH($M306,LISTAS!$E$3:$E$42,0)),"Por definir"))</f>
        <v/>
      </c>
      <c r="O306" s="41" t="n"/>
      <c r="P306" s="39">
        <f>IF($L306="","",IFERROR(INDEX(LISTAS!$B$3:$B$42,MATCH($L306,LISTAS!$A$3:$A$42,0)),"Media"))</f>
        <v/>
      </c>
      <c r="Q306" s="44" t="n"/>
      <c r="R306" s="45" t="n"/>
      <c r="S306" s="20">
        <f>IFERROR(IF(OR($R306="",$C306=""),"",$R306/INDEX(DESPACHOS!$M$3:$M$3002,MATCH($C306,DESPACHOS!$B$3:$B$3002,0))),"")</f>
        <v/>
      </c>
      <c r="T306" s="41" t="n"/>
      <c r="U306" s="43">
        <f>IF(OR($B306="",$L306=""),"",WORKDAY($B306,IFERROR(INDEX(LISTAS!$C$3:$C$42,MATCH($L306,LISTAS!$A$3:$A$42,0)),3)))</f>
        <v/>
      </c>
      <c r="V306" s="40" t="n"/>
      <c r="W306" s="19">
        <f>IF($B306="","",IF($V306&lt;&gt;"",$V306-$B306,TODAY()-$B306))</f>
        <v/>
      </c>
      <c r="X306" s="19">
        <f>IF(OR($B306="",$U306=""),"",IF($V306&lt;&gt;"",MAX(0,$V306-$U306),MAX(0,TODAY()-$U306)))</f>
        <v/>
      </c>
      <c r="Y306" s="39">
        <f>IF($C306="","",IF(IFERROR(INDEX(LISTAS!$I$3:$I$42,MATCH($T306,LISTAS!$H$3:$H$42,0)),"NO")="SÍ",IF(N($X306)&gt;0,"CERRADA FUERA DE SLA","CERRADA EN SLA"),IF($U306="","SIN CLASIFICAR",IF(N($X306)&gt;0,"VENCIDA",IF(TODAY()&gt;=$U306-1,"POR VENCER","EN PLAZO")))))</f>
        <v/>
      </c>
      <c r="Z306" s="41" t="n"/>
      <c r="AA306" s="41" t="n"/>
      <c r="AB306" s="41" t="n"/>
    </row>
    <row r="307">
      <c r="A307" s="39">
        <f>IF($C307="","","NOV-"&amp;TEXT(ROW()-3,"0000"))</f>
        <v/>
      </c>
      <c r="B307" s="40" t="n"/>
      <c r="C307" s="41" t="n"/>
      <c r="D307" s="42">
        <f>IF($C307="","",IFERROR(INDEX(DESPACHOS!$D$3:$D$3002,MATCH($C307,DESPACHOS!$B$3:$B$3002,0)),"SIN DESPACHO"))</f>
        <v/>
      </c>
      <c r="E307" s="42">
        <f>IF($C307="","",IFERROR(INDEX(DESPACHOS!$K$3:$K$3002,MATCH($C307,DESPACHOS!$B$3:$B$3002,0)),""))</f>
        <v/>
      </c>
      <c r="F307" s="42">
        <f>IF($C307="","",IFERROR(INDEX(DESPACHOS!$I$3:$I$3002,MATCH($C307,DESPACHOS!$B$3:$B$3002,0)),""))</f>
        <v/>
      </c>
      <c r="G307" s="42">
        <f>IF($C307="","",IFERROR(INDEX(DESPACHOS!$F$3:$F$3002,MATCH($C307,DESPACHOS!$B$3:$B$3002,0)),""))</f>
        <v/>
      </c>
      <c r="H307" s="42">
        <f>IF($C307="","",IFERROR(INDEX(DESPACHOS!$G$3:$G$3002,MATCH($C307,DESPACHOS!$B$3:$B$3002,0)),""))</f>
        <v/>
      </c>
      <c r="I307" s="39">
        <f>IF($C307="","",IFERROR(INDEX(DESPACHOS!$H$3:$H$3002,MATCH($C307,DESPACHOS!$B$3:$B$3002,0)),""))</f>
        <v/>
      </c>
      <c r="J307" s="43">
        <f>IF($C307="","",IFERROR(INDEX(DESPACHOS!$J$3:$J$3002,MATCH($C307,DESPACHOS!$B$3:$B$3002,0)),""))</f>
        <v/>
      </c>
      <c r="K307" s="39">
        <f>IF($C307="","",IF(COUNTIFS(DESPACHOS!$B$3:$B$3002,$C307)=0,"NO EXISTE",IF(COUNTIFS(DESPACHOS!$B$3:$B$3002,$C307)&gt;1,"DUPLICADO","OK")))</f>
        <v/>
      </c>
      <c r="L307" s="41" t="n"/>
      <c r="M307" s="41" t="n"/>
      <c r="N307" s="42">
        <f>IF($M307="","",IFERROR(INDEX(LISTAS!$F$3:$F$42,MATCH($M307,LISTAS!$E$3:$E$42,0)),"Por definir"))</f>
        <v/>
      </c>
      <c r="O307" s="41" t="n"/>
      <c r="P307" s="39">
        <f>IF($L307="","",IFERROR(INDEX(LISTAS!$B$3:$B$42,MATCH($L307,LISTAS!$A$3:$A$42,0)),"Media"))</f>
        <v/>
      </c>
      <c r="Q307" s="44" t="n"/>
      <c r="R307" s="45" t="n"/>
      <c r="S307" s="20">
        <f>IFERROR(IF(OR($R307="",$C307=""),"",$R307/INDEX(DESPACHOS!$M$3:$M$3002,MATCH($C307,DESPACHOS!$B$3:$B$3002,0))),"")</f>
        <v/>
      </c>
      <c r="T307" s="41" t="n"/>
      <c r="U307" s="43">
        <f>IF(OR($B307="",$L307=""),"",WORKDAY($B307,IFERROR(INDEX(LISTAS!$C$3:$C$42,MATCH($L307,LISTAS!$A$3:$A$42,0)),3)))</f>
        <v/>
      </c>
      <c r="V307" s="40" t="n"/>
      <c r="W307" s="19">
        <f>IF($B307="","",IF($V307&lt;&gt;"",$V307-$B307,TODAY()-$B307))</f>
        <v/>
      </c>
      <c r="X307" s="19">
        <f>IF(OR($B307="",$U307=""),"",IF($V307&lt;&gt;"",MAX(0,$V307-$U307),MAX(0,TODAY()-$U307)))</f>
        <v/>
      </c>
      <c r="Y307" s="39">
        <f>IF($C307="","",IF(IFERROR(INDEX(LISTAS!$I$3:$I$42,MATCH($T307,LISTAS!$H$3:$H$42,0)),"NO")="SÍ",IF(N($X307)&gt;0,"CERRADA FUERA DE SLA","CERRADA EN SLA"),IF($U307="","SIN CLASIFICAR",IF(N($X307)&gt;0,"VENCIDA",IF(TODAY()&gt;=$U307-1,"POR VENCER","EN PLAZO")))))</f>
        <v/>
      </c>
      <c r="Z307" s="41" t="n"/>
      <c r="AA307" s="41" t="n"/>
      <c r="AB307" s="41" t="n"/>
    </row>
    <row r="308">
      <c r="A308" s="39">
        <f>IF($C308="","","NOV-"&amp;TEXT(ROW()-3,"0000"))</f>
        <v/>
      </c>
      <c r="B308" s="40" t="n"/>
      <c r="C308" s="41" t="n"/>
      <c r="D308" s="42">
        <f>IF($C308="","",IFERROR(INDEX(DESPACHOS!$D$3:$D$3002,MATCH($C308,DESPACHOS!$B$3:$B$3002,0)),"SIN DESPACHO"))</f>
        <v/>
      </c>
      <c r="E308" s="42">
        <f>IF($C308="","",IFERROR(INDEX(DESPACHOS!$K$3:$K$3002,MATCH($C308,DESPACHOS!$B$3:$B$3002,0)),""))</f>
        <v/>
      </c>
      <c r="F308" s="42">
        <f>IF($C308="","",IFERROR(INDEX(DESPACHOS!$I$3:$I$3002,MATCH($C308,DESPACHOS!$B$3:$B$3002,0)),""))</f>
        <v/>
      </c>
      <c r="G308" s="42">
        <f>IF($C308="","",IFERROR(INDEX(DESPACHOS!$F$3:$F$3002,MATCH($C308,DESPACHOS!$B$3:$B$3002,0)),""))</f>
        <v/>
      </c>
      <c r="H308" s="42">
        <f>IF($C308="","",IFERROR(INDEX(DESPACHOS!$G$3:$G$3002,MATCH($C308,DESPACHOS!$B$3:$B$3002,0)),""))</f>
        <v/>
      </c>
      <c r="I308" s="39">
        <f>IF($C308="","",IFERROR(INDEX(DESPACHOS!$H$3:$H$3002,MATCH($C308,DESPACHOS!$B$3:$B$3002,0)),""))</f>
        <v/>
      </c>
      <c r="J308" s="43">
        <f>IF($C308="","",IFERROR(INDEX(DESPACHOS!$J$3:$J$3002,MATCH($C308,DESPACHOS!$B$3:$B$3002,0)),""))</f>
        <v/>
      </c>
      <c r="K308" s="39">
        <f>IF($C308="","",IF(COUNTIFS(DESPACHOS!$B$3:$B$3002,$C308)=0,"NO EXISTE",IF(COUNTIFS(DESPACHOS!$B$3:$B$3002,$C308)&gt;1,"DUPLICADO","OK")))</f>
        <v/>
      </c>
      <c r="L308" s="41" t="n"/>
      <c r="M308" s="41" t="n"/>
      <c r="N308" s="42">
        <f>IF($M308="","",IFERROR(INDEX(LISTAS!$F$3:$F$42,MATCH($M308,LISTAS!$E$3:$E$42,0)),"Por definir"))</f>
        <v/>
      </c>
      <c r="O308" s="41" t="n"/>
      <c r="P308" s="39">
        <f>IF($L308="","",IFERROR(INDEX(LISTAS!$B$3:$B$42,MATCH($L308,LISTAS!$A$3:$A$42,0)),"Media"))</f>
        <v/>
      </c>
      <c r="Q308" s="44" t="n"/>
      <c r="R308" s="45" t="n"/>
      <c r="S308" s="20">
        <f>IFERROR(IF(OR($R308="",$C308=""),"",$R308/INDEX(DESPACHOS!$M$3:$M$3002,MATCH($C308,DESPACHOS!$B$3:$B$3002,0))),"")</f>
        <v/>
      </c>
      <c r="T308" s="41" t="n"/>
      <c r="U308" s="43">
        <f>IF(OR($B308="",$L308=""),"",WORKDAY($B308,IFERROR(INDEX(LISTAS!$C$3:$C$42,MATCH($L308,LISTAS!$A$3:$A$42,0)),3)))</f>
        <v/>
      </c>
      <c r="V308" s="40" t="n"/>
      <c r="W308" s="19">
        <f>IF($B308="","",IF($V308&lt;&gt;"",$V308-$B308,TODAY()-$B308))</f>
        <v/>
      </c>
      <c r="X308" s="19">
        <f>IF(OR($B308="",$U308=""),"",IF($V308&lt;&gt;"",MAX(0,$V308-$U308),MAX(0,TODAY()-$U308)))</f>
        <v/>
      </c>
      <c r="Y308" s="39">
        <f>IF($C308="","",IF(IFERROR(INDEX(LISTAS!$I$3:$I$42,MATCH($T308,LISTAS!$H$3:$H$42,0)),"NO")="SÍ",IF(N($X308)&gt;0,"CERRADA FUERA DE SLA","CERRADA EN SLA"),IF($U308="","SIN CLASIFICAR",IF(N($X308)&gt;0,"VENCIDA",IF(TODAY()&gt;=$U308-1,"POR VENCER","EN PLAZO")))))</f>
        <v/>
      </c>
      <c r="Z308" s="41" t="n"/>
      <c r="AA308" s="41" t="n"/>
      <c r="AB308" s="41" t="n"/>
    </row>
    <row r="309">
      <c r="A309" s="39">
        <f>IF($C309="","","NOV-"&amp;TEXT(ROW()-3,"0000"))</f>
        <v/>
      </c>
      <c r="B309" s="40" t="n"/>
      <c r="C309" s="41" t="n"/>
      <c r="D309" s="42">
        <f>IF($C309="","",IFERROR(INDEX(DESPACHOS!$D$3:$D$3002,MATCH($C309,DESPACHOS!$B$3:$B$3002,0)),"SIN DESPACHO"))</f>
        <v/>
      </c>
      <c r="E309" s="42">
        <f>IF($C309="","",IFERROR(INDEX(DESPACHOS!$K$3:$K$3002,MATCH($C309,DESPACHOS!$B$3:$B$3002,0)),""))</f>
        <v/>
      </c>
      <c r="F309" s="42">
        <f>IF($C309="","",IFERROR(INDEX(DESPACHOS!$I$3:$I$3002,MATCH($C309,DESPACHOS!$B$3:$B$3002,0)),""))</f>
        <v/>
      </c>
      <c r="G309" s="42">
        <f>IF($C309="","",IFERROR(INDEX(DESPACHOS!$F$3:$F$3002,MATCH($C309,DESPACHOS!$B$3:$B$3002,0)),""))</f>
        <v/>
      </c>
      <c r="H309" s="42">
        <f>IF($C309="","",IFERROR(INDEX(DESPACHOS!$G$3:$G$3002,MATCH($C309,DESPACHOS!$B$3:$B$3002,0)),""))</f>
        <v/>
      </c>
      <c r="I309" s="39">
        <f>IF($C309="","",IFERROR(INDEX(DESPACHOS!$H$3:$H$3002,MATCH($C309,DESPACHOS!$B$3:$B$3002,0)),""))</f>
        <v/>
      </c>
      <c r="J309" s="43">
        <f>IF($C309="","",IFERROR(INDEX(DESPACHOS!$J$3:$J$3002,MATCH($C309,DESPACHOS!$B$3:$B$3002,0)),""))</f>
        <v/>
      </c>
      <c r="K309" s="39">
        <f>IF($C309="","",IF(COUNTIFS(DESPACHOS!$B$3:$B$3002,$C309)=0,"NO EXISTE",IF(COUNTIFS(DESPACHOS!$B$3:$B$3002,$C309)&gt;1,"DUPLICADO","OK")))</f>
        <v/>
      </c>
      <c r="L309" s="41" t="n"/>
      <c r="M309" s="41" t="n"/>
      <c r="N309" s="42">
        <f>IF($M309="","",IFERROR(INDEX(LISTAS!$F$3:$F$42,MATCH($M309,LISTAS!$E$3:$E$42,0)),"Por definir"))</f>
        <v/>
      </c>
      <c r="O309" s="41" t="n"/>
      <c r="P309" s="39">
        <f>IF($L309="","",IFERROR(INDEX(LISTAS!$B$3:$B$42,MATCH($L309,LISTAS!$A$3:$A$42,0)),"Media"))</f>
        <v/>
      </c>
      <c r="Q309" s="44" t="n"/>
      <c r="R309" s="45" t="n"/>
      <c r="S309" s="20">
        <f>IFERROR(IF(OR($R309="",$C309=""),"",$R309/INDEX(DESPACHOS!$M$3:$M$3002,MATCH($C309,DESPACHOS!$B$3:$B$3002,0))),"")</f>
        <v/>
      </c>
      <c r="T309" s="41" t="n"/>
      <c r="U309" s="43">
        <f>IF(OR($B309="",$L309=""),"",WORKDAY($B309,IFERROR(INDEX(LISTAS!$C$3:$C$42,MATCH($L309,LISTAS!$A$3:$A$42,0)),3)))</f>
        <v/>
      </c>
      <c r="V309" s="40" t="n"/>
      <c r="W309" s="19">
        <f>IF($B309="","",IF($V309&lt;&gt;"",$V309-$B309,TODAY()-$B309))</f>
        <v/>
      </c>
      <c r="X309" s="19">
        <f>IF(OR($B309="",$U309=""),"",IF($V309&lt;&gt;"",MAX(0,$V309-$U309),MAX(0,TODAY()-$U309)))</f>
        <v/>
      </c>
      <c r="Y309" s="39">
        <f>IF($C309="","",IF(IFERROR(INDEX(LISTAS!$I$3:$I$42,MATCH($T309,LISTAS!$H$3:$H$42,0)),"NO")="SÍ",IF(N($X309)&gt;0,"CERRADA FUERA DE SLA","CERRADA EN SLA"),IF($U309="","SIN CLASIFICAR",IF(N($X309)&gt;0,"VENCIDA",IF(TODAY()&gt;=$U309-1,"POR VENCER","EN PLAZO")))))</f>
        <v/>
      </c>
      <c r="Z309" s="41" t="n"/>
      <c r="AA309" s="41" t="n"/>
      <c r="AB309" s="41" t="n"/>
    </row>
    <row r="310">
      <c r="A310" s="39">
        <f>IF($C310="","","NOV-"&amp;TEXT(ROW()-3,"0000"))</f>
        <v/>
      </c>
      <c r="B310" s="40" t="n"/>
      <c r="C310" s="41" t="n"/>
      <c r="D310" s="42">
        <f>IF($C310="","",IFERROR(INDEX(DESPACHOS!$D$3:$D$3002,MATCH($C310,DESPACHOS!$B$3:$B$3002,0)),"SIN DESPACHO"))</f>
        <v/>
      </c>
      <c r="E310" s="42">
        <f>IF($C310="","",IFERROR(INDEX(DESPACHOS!$K$3:$K$3002,MATCH($C310,DESPACHOS!$B$3:$B$3002,0)),""))</f>
        <v/>
      </c>
      <c r="F310" s="42">
        <f>IF($C310="","",IFERROR(INDEX(DESPACHOS!$I$3:$I$3002,MATCH($C310,DESPACHOS!$B$3:$B$3002,0)),""))</f>
        <v/>
      </c>
      <c r="G310" s="42">
        <f>IF($C310="","",IFERROR(INDEX(DESPACHOS!$F$3:$F$3002,MATCH($C310,DESPACHOS!$B$3:$B$3002,0)),""))</f>
        <v/>
      </c>
      <c r="H310" s="42">
        <f>IF($C310="","",IFERROR(INDEX(DESPACHOS!$G$3:$G$3002,MATCH($C310,DESPACHOS!$B$3:$B$3002,0)),""))</f>
        <v/>
      </c>
      <c r="I310" s="39">
        <f>IF($C310="","",IFERROR(INDEX(DESPACHOS!$H$3:$H$3002,MATCH($C310,DESPACHOS!$B$3:$B$3002,0)),""))</f>
        <v/>
      </c>
      <c r="J310" s="43">
        <f>IF($C310="","",IFERROR(INDEX(DESPACHOS!$J$3:$J$3002,MATCH($C310,DESPACHOS!$B$3:$B$3002,0)),""))</f>
        <v/>
      </c>
      <c r="K310" s="39">
        <f>IF($C310="","",IF(COUNTIFS(DESPACHOS!$B$3:$B$3002,$C310)=0,"NO EXISTE",IF(COUNTIFS(DESPACHOS!$B$3:$B$3002,$C310)&gt;1,"DUPLICADO","OK")))</f>
        <v/>
      </c>
      <c r="L310" s="41" t="n"/>
      <c r="M310" s="41" t="n"/>
      <c r="N310" s="42">
        <f>IF($M310="","",IFERROR(INDEX(LISTAS!$F$3:$F$42,MATCH($M310,LISTAS!$E$3:$E$42,0)),"Por definir"))</f>
        <v/>
      </c>
      <c r="O310" s="41" t="n"/>
      <c r="P310" s="39">
        <f>IF($L310="","",IFERROR(INDEX(LISTAS!$B$3:$B$42,MATCH($L310,LISTAS!$A$3:$A$42,0)),"Media"))</f>
        <v/>
      </c>
      <c r="Q310" s="44" t="n"/>
      <c r="R310" s="45" t="n"/>
      <c r="S310" s="20">
        <f>IFERROR(IF(OR($R310="",$C310=""),"",$R310/INDEX(DESPACHOS!$M$3:$M$3002,MATCH($C310,DESPACHOS!$B$3:$B$3002,0))),"")</f>
        <v/>
      </c>
      <c r="T310" s="41" t="n"/>
      <c r="U310" s="43">
        <f>IF(OR($B310="",$L310=""),"",WORKDAY($B310,IFERROR(INDEX(LISTAS!$C$3:$C$42,MATCH($L310,LISTAS!$A$3:$A$42,0)),3)))</f>
        <v/>
      </c>
      <c r="V310" s="40" t="n"/>
      <c r="W310" s="19">
        <f>IF($B310="","",IF($V310&lt;&gt;"",$V310-$B310,TODAY()-$B310))</f>
        <v/>
      </c>
      <c r="X310" s="19">
        <f>IF(OR($B310="",$U310=""),"",IF($V310&lt;&gt;"",MAX(0,$V310-$U310),MAX(0,TODAY()-$U310)))</f>
        <v/>
      </c>
      <c r="Y310" s="39">
        <f>IF($C310="","",IF(IFERROR(INDEX(LISTAS!$I$3:$I$42,MATCH($T310,LISTAS!$H$3:$H$42,0)),"NO")="SÍ",IF(N($X310)&gt;0,"CERRADA FUERA DE SLA","CERRADA EN SLA"),IF($U310="","SIN CLASIFICAR",IF(N($X310)&gt;0,"VENCIDA",IF(TODAY()&gt;=$U310-1,"POR VENCER","EN PLAZO")))))</f>
        <v/>
      </c>
      <c r="Z310" s="41" t="n"/>
      <c r="AA310" s="41" t="n"/>
      <c r="AB310" s="41" t="n"/>
    </row>
    <row r="311">
      <c r="A311" s="39">
        <f>IF($C311="","","NOV-"&amp;TEXT(ROW()-3,"0000"))</f>
        <v/>
      </c>
      <c r="B311" s="40" t="n"/>
      <c r="C311" s="41" t="n"/>
      <c r="D311" s="42">
        <f>IF($C311="","",IFERROR(INDEX(DESPACHOS!$D$3:$D$3002,MATCH($C311,DESPACHOS!$B$3:$B$3002,0)),"SIN DESPACHO"))</f>
        <v/>
      </c>
      <c r="E311" s="42">
        <f>IF($C311="","",IFERROR(INDEX(DESPACHOS!$K$3:$K$3002,MATCH($C311,DESPACHOS!$B$3:$B$3002,0)),""))</f>
        <v/>
      </c>
      <c r="F311" s="42">
        <f>IF($C311="","",IFERROR(INDEX(DESPACHOS!$I$3:$I$3002,MATCH($C311,DESPACHOS!$B$3:$B$3002,0)),""))</f>
        <v/>
      </c>
      <c r="G311" s="42">
        <f>IF($C311="","",IFERROR(INDEX(DESPACHOS!$F$3:$F$3002,MATCH($C311,DESPACHOS!$B$3:$B$3002,0)),""))</f>
        <v/>
      </c>
      <c r="H311" s="42">
        <f>IF($C311="","",IFERROR(INDEX(DESPACHOS!$G$3:$G$3002,MATCH($C311,DESPACHOS!$B$3:$B$3002,0)),""))</f>
        <v/>
      </c>
      <c r="I311" s="39">
        <f>IF($C311="","",IFERROR(INDEX(DESPACHOS!$H$3:$H$3002,MATCH($C311,DESPACHOS!$B$3:$B$3002,0)),""))</f>
        <v/>
      </c>
      <c r="J311" s="43">
        <f>IF($C311="","",IFERROR(INDEX(DESPACHOS!$J$3:$J$3002,MATCH($C311,DESPACHOS!$B$3:$B$3002,0)),""))</f>
        <v/>
      </c>
      <c r="K311" s="39">
        <f>IF($C311="","",IF(COUNTIFS(DESPACHOS!$B$3:$B$3002,$C311)=0,"NO EXISTE",IF(COUNTIFS(DESPACHOS!$B$3:$B$3002,$C311)&gt;1,"DUPLICADO","OK")))</f>
        <v/>
      </c>
      <c r="L311" s="41" t="n"/>
      <c r="M311" s="41" t="n"/>
      <c r="N311" s="42">
        <f>IF($M311="","",IFERROR(INDEX(LISTAS!$F$3:$F$42,MATCH($M311,LISTAS!$E$3:$E$42,0)),"Por definir"))</f>
        <v/>
      </c>
      <c r="O311" s="41" t="n"/>
      <c r="P311" s="39">
        <f>IF($L311="","",IFERROR(INDEX(LISTAS!$B$3:$B$42,MATCH($L311,LISTAS!$A$3:$A$42,0)),"Media"))</f>
        <v/>
      </c>
      <c r="Q311" s="44" t="n"/>
      <c r="R311" s="45" t="n"/>
      <c r="S311" s="20">
        <f>IFERROR(IF(OR($R311="",$C311=""),"",$R311/INDEX(DESPACHOS!$M$3:$M$3002,MATCH($C311,DESPACHOS!$B$3:$B$3002,0))),"")</f>
        <v/>
      </c>
      <c r="T311" s="41" t="n"/>
      <c r="U311" s="43">
        <f>IF(OR($B311="",$L311=""),"",WORKDAY($B311,IFERROR(INDEX(LISTAS!$C$3:$C$42,MATCH($L311,LISTAS!$A$3:$A$42,0)),3)))</f>
        <v/>
      </c>
      <c r="V311" s="40" t="n"/>
      <c r="W311" s="19">
        <f>IF($B311="","",IF($V311&lt;&gt;"",$V311-$B311,TODAY()-$B311))</f>
        <v/>
      </c>
      <c r="X311" s="19">
        <f>IF(OR($B311="",$U311=""),"",IF($V311&lt;&gt;"",MAX(0,$V311-$U311),MAX(0,TODAY()-$U311)))</f>
        <v/>
      </c>
      <c r="Y311" s="39">
        <f>IF($C311="","",IF(IFERROR(INDEX(LISTAS!$I$3:$I$42,MATCH($T311,LISTAS!$H$3:$H$42,0)),"NO")="SÍ",IF(N($X311)&gt;0,"CERRADA FUERA DE SLA","CERRADA EN SLA"),IF($U311="","SIN CLASIFICAR",IF(N($X311)&gt;0,"VENCIDA",IF(TODAY()&gt;=$U311-1,"POR VENCER","EN PLAZO")))))</f>
        <v/>
      </c>
      <c r="Z311" s="41" t="n"/>
      <c r="AA311" s="41" t="n"/>
      <c r="AB311" s="41" t="n"/>
    </row>
    <row r="312">
      <c r="A312" s="39">
        <f>IF($C312="","","NOV-"&amp;TEXT(ROW()-3,"0000"))</f>
        <v/>
      </c>
      <c r="B312" s="40" t="n"/>
      <c r="C312" s="41" t="n"/>
      <c r="D312" s="42">
        <f>IF($C312="","",IFERROR(INDEX(DESPACHOS!$D$3:$D$3002,MATCH($C312,DESPACHOS!$B$3:$B$3002,0)),"SIN DESPACHO"))</f>
        <v/>
      </c>
      <c r="E312" s="42">
        <f>IF($C312="","",IFERROR(INDEX(DESPACHOS!$K$3:$K$3002,MATCH($C312,DESPACHOS!$B$3:$B$3002,0)),""))</f>
        <v/>
      </c>
      <c r="F312" s="42">
        <f>IF($C312="","",IFERROR(INDEX(DESPACHOS!$I$3:$I$3002,MATCH($C312,DESPACHOS!$B$3:$B$3002,0)),""))</f>
        <v/>
      </c>
      <c r="G312" s="42">
        <f>IF($C312="","",IFERROR(INDEX(DESPACHOS!$F$3:$F$3002,MATCH($C312,DESPACHOS!$B$3:$B$3002,0)),""))</f>
        <v/>
      </c>
      <c r="H312" s="42">
        <f>IF($C312="","",IFERROR(INDEX(DESPACHOS!$G$3:$G$3002,MATCH($C312,DESPACHOS!$B$3:$B$3002,0)),""))</f>
        <v/>
      </c>
      <c r="I312" s="39">
        <f>IF($C312="","",IFERROR(INDEX(DESPACHOS!$H$3:$H$3002,MATCH($C312,DESPACHOS!$B$3:$B$3002,0)),""))</f>
        <v/>
      </c>
      <c r="J312" s="43">
        <f>IF($C312="","",IFERROR(INDEX(DESPACHOS!$J$3:$J$3002,MATCH($C312,DESPACHOS!$B$3:$B$3002,0)),""))</f>
        <v/>
      </c>
      <c r="K312" s="39">
        <f>IF($C312="","",IF(COUNTIFS(DESPACHOS!$B$3:$B$3002,$C312)=0,"NO EXISTE",IF(COUNTIFS(DESPACHOS!$B$3:$B$3002,$C312)&gt;1,"DUPLICADO","OK")))</f>
        <v/>
      </c>
      <c r="L312" s="41" t="n"/>
      <c r="M312" s="41" t="n"/>
      <c r="N312" s="42">
        <f>IF($M312="","",IFERROR(INDEX(LISTAS!$F$3:$F$42,MATCH($M312,LISTAS!$E$3:$E$42,0)),"Por definir"))</f>
        <v/>
      </c>
      <c r="O312" s="41" t="n"/>
      <c r="P312" s="39">
        <f>IF($L312="","",IFERROR(INDEX(LISTAS!$B$3:$B$42,MATCH($L312,LISTAS!$A$3:$A$42,0)),"Media"))</f>
        <v/>
      </c>
      <c r="Q312" s="44" t="n"/>
      <c r="R312" s="45" t="n"/>
      <c r="S312" s="20">
        <f>IFERROR(IF(OR($R312="",$C312=""),"",$R312/INDEX(DESPACHOS!$M$3:$M$3002,MATCH($C312,DESPACHOS!$B$3:$B$3002,0))),"")</f>
        <v/>
      </c>
      <c r="T312" s="41" t="n"/>
      <c r="U312" s="43">
        <f>IF(OR($B312="",$L312=""),"",WORKDAY($B312,IFERROR(INDEX(LISTAS!$C$3:$C$42,MATCH($L312,LISTAS!$A$3:$A$42,0)),3)))</f>
        <v/>
      </c>
      <c r="V312" s="40" t="n"/>
      <c r="W312" s="19">
        <f>IF($B312="","",IF($V312&lt;&gt;"",$V312-$B312,TODAY()-$B312))</f>
        <v/>
      </c>
      <c r="X312" s="19">
        <f>IF(OR($B312="",$U312=""),"",IF($V312&lt;&gt;"",MAX(0,$V312-$U312),MAX(0,TODAY()-$U312)))</f>
        <v/>
      </c>
      <c r="Y312" s="39">
        <f>IF($C312="","",IF(IFERROR(INDEX(LISTAS!$I$3:$I$42,MATCH($T312,LISTAS!$H$3:$H$42,0)),"NO")="SÍ",IF(N($X312)&gt;0,"CERRADA FUERA DE SLA","CERRADA EN SLA"),IF($U312="","SIN CLASIFICAR",IF(N($X312)&gt;0,"VENCIDA",IF(TODAY()&gt;=$U312-1,"POR VENCER","EN PLAZO")))))</f>
        <v/>
      </c>
      <c r="Z312" s="41" t="n"/>
      <c r="AA312" s="41" t="n"/>
      <c r="AB312" s="41" t="n"/>
    </row>
    <row r="313">
      <c r="A313" s="39">
        <f>IF($C313="","","NOV-"&amp;TEXT(ROW()-3,"0000"))</f>
        <v/>
      </c>
      <c r="B313" s="40" t="n"/>
      <c r="C313" s="41" t="n"/>
      <c r="D313" s="42">
        <f>IF($C313="","",IFERROR(INDEX(DESPACHOS!$D$3:$D$3002,MATCH($C313,DESPACHOS!$B$3:$B$3002,0)),"SIN DESPACHO"))</f>
        <v/>
      </c>
      <c r="E313" s="42">
        <f>IF($C313="","",IFERROR(INDEX(DESPACHOS!$K$3:$K$3002,MATCH($C313,DESPACHOS!$B$3:$B$3002,0)),""))</f>
        <v/>
      </c>
      <c r="F313" s="42">
        <f>IF($C313="","",IFERROR(INDEX(DESPACHOS!$I$3:$I$3002,MATCH($C313,DESPACHOS!$B$3:$B$3002,0)),""))</f>
        <v/>
      </c>
      <c r="G313" s="42">
        <f>IF($C313="","",IFERROR(INDEX(DESPACHOS!$F$3:$F$3002,MATCH($C313,DESPACHOS!$B$3:$B$3002,0)),""))</f>
        <v/>
      </c>
      <c r="H313" s="42">
        <f>IF($C313="","",IFERROR(INDEX(DESPACHOS!$G$3:$G$3002,MATCH($C313,DESPACHOS!$B$3:$B$3002,0)),""))</f>
        <v/>
      </c>
      <c r="I313" s="39">
        <f>IF($C313="","",IFERROR(INDEX(DESPACHOS!$H$3:$H$3002,MATCH($C313,DESPACHOS!$B$3:$B$3002,0)),""))</f>
        <v/>
      </c>
      <c r="J313" s="43">
        <f>IF($C313="","",IFERROR(INDEX(DESPACHOS!$J$3:$J$3002,MATCH($C313,DESPACHOS!$B$3:$B$3002,0)),""))</f>
        <v/>
      </c>
      <c r="K313" s="39">
        <f>IF($C313="","",IF(COUNTIFS(DESPACHOS!$B$3:$B$3002,$C313)=0,"NO EXISTE",IF(COUNTIFS(DESPACHOS!$B$3:$B$3002,$C313)&gt;1,"DUPLICADO","OK")))</f>
        <v/>
      </c>
      <c r="L313" s="41" t="n"/>
      <c r="M313" s="41" t="n"/>
      <c r="N313" s="42">
        <f>IF($M313="","",IFERROR(INDEX(LISTAS!$F$3:$F$42,MATCH($M313,LISTAS!$E$3:$E$42,0)),"Por definir"))</f>
        <v/>
      </c>
      <c r="O313" s="41" t="n"/>
      <c r="P313" s="39">
        <f>IF($L313="","",IFERROR(INDEX(LISTAS!$B$3:$B$42,MATCH($L313,LISTAS!$A$3:$A$42,0)),"Media"))</f>
        <v/>
      </c>
      <c r="Q313" s="44" t="n"/>
      <c r="R313" s="45" t="n"/>
      <c r="S313" s="20">
        <f>IFERROR(IF(OR($R313="",$C313=""),"",$R313/INDEX(DESPACHOS!$M$3:$M$3002,MATCH($C313,DESPACHOS!$B$3:$B$3002,0))),"")</f>
        <v/>
      </c>
      <c r="T313" s="41" t="n"/>
      <c r="U313" s="43">
        <f>IF(OR($B313="",$L313=""),"",WORKDAY($B313,IFERROR(INDEX(LISTAS!$C$3:$C$42,MATCH($L313,LISTAS!$A$3:$A$42,0)),3)))</f>
        <v/>
      </c>
      <c r="V313" s="40" t="n"/>
      <c r="W313" s="19">
        <f>IF($B313="","",IF($V313&lt;&gt;"",$V313-$B313,TODAY()-$B313))</f>
        <v/>
      </c>
      <c r="X313" s="19">
        <f>IF(OR($B313="",$U313=""),"",IF($V313&lt;&gt;"",MAX(0,$V313-$U313),MAX(0,TODAY()-$U313)))</f>
        <v/>
      </c>
      <c r="Y313" s="39">
        <f>IF($C313="","",IF(IFERROR(INDEX(LISTAS!$I$3:$I$42,MATCH($T313,LISTAS!$H$3:$H$42,0)),"NO")="SÍ",IF(N($X313)&gt;0,"CERRADA FUERA DE SLA","CERRADA EN SLA"),IF($U313="","SIN CLASIFICAR",IF(N($X313)&gt;0,"VENCIDA",IF(TODAY()&gt;=$U313-1,"POR VENCER","EN PLAZO")))))</f>
        <v/>
      </c>
      <c r="Z313" s="41" t="n"/>
      <c r="AA313" s="41" t="n"/>
      <c r="AB313" s="41" t="n"/>
    </row>
    <row r="314">
      <c r="A314" s="39">
        <f>IF($C314="","","NOV-"&amp;TEXT(ROW()-3,"0000"))</f>
        <v/>
      </c>
      <c r="B314" s="40" t="n"/>
      <c r="C314" s="41" t="n"/>
      <c r="D314" s="42">
        <f>IF($C314="","",IFERROR(INDEX(DESPACHOS!$D$3:$D$3002,MATCH($C314,DESPACHOS!$B$3:$B$3002,0)),"SIN DESPACHO"))</f>
        <v/>
      </c>
      <c r="E314" s="42">
        <f>IF($C314="","",IFERROR(INDEX(DESPACHOS!$K$3:$K$3002,MATCH($C314,DESPACHOS!$B$3:$B$3002,0)),""))</f>
        <v/>
      </c>
      <c r="F314" s="42">
        <f>IF($C314="","",IFERROR(INDEX(DESPACHOS!$I$3:$I$3002,MATCH($C314,DESPACHOS!$B$3:$B$3002,0)),""))</f>
        <v/>
      </c>
      <c r="G314" s="42">
        <f>IF($C314="","",IFERROR(INDEX(DESPACHOS!$F$3:$F$3002,MATCH($C314,DESPACHOS!$B$3:$B$3002,0)),""))</f>
        <v/>
      </c>
      <c r="H314" s="42">
        <f>IF($C314="","",IFERROR(INDEX(DESPACHOS!$G$3:$G$3002,MATCH($C314,DESPACHOS!$B$3:$B$3002,0)),""))</f>
        <v/>
      </c>
      <c r="I314" s="39">
        <f>IF($C314="","",IFERROR(INDEX(DESPACHOS!$H$3:$H$3002,MATCH($C314,DESPACHOS!$B$3:$B$3002,0)),""))</f>
        <v/>
      </c>
      <c r="J314" s="43">
        <f>IF($C314="","",IFERROR(INDEX(DESPACHOS!$J$3:$J$3002,MATCH($C314,DESPACHOS!$B$3:$B$3002,0)),""))</f>
        <v/>
      </c>
      <c r="K314" s="39">
        <f>IF($C314="","",IF(COUNTIFS(DESPACHOS!$B$3:$B$3002,$C314)=0,"NO EXISTE",IF(COUNTIFS(DESPACHOS!$B$3:$B$3002,$C314)&gt;1,"DUPLICADO","OK")))</f>
        <v/>
      </c>
      <c r="L314" s="41" t="n"/>
      <c r="M314" s="41" t="n"/>
      <c r="N314" s="42">
        <f>IF($M314="","",IFERROR(INDEX(LISTAS!$F$3:$F$42,MATCH($M314,LISTAS!$E$3:$E$42,0)),"Por definir"))</f>
        <v/>
      </c>
      <c r="O314" s="41" t="n"/>
      <c r="P314" s="39">
        <f>IF($L314="","",IFERROR(INDEX(LISTAS!$B$3:$B$42,MATCH($L314,LISTAS!$A$3:$A$42,0)),"Media"))</f>
        <v/>
      </c>
      <c r="Q314" s="44" t="n"/>
      <c r="R314" s="45" t="n"/>
      <c r="S314" s="20">
        <f>IFERROR(IF(OR($R314="",$C314=""),"",$R314/INDEX(DESPACHOS!$M$3:$M$3002,MATCH($C314,DESPACHOS!$B$3:$B$3002,0))),"")</f>
        <v/>
      </c>
      <c r="T314" s="41" t="n"/>
      <c r="U314" s="43">
        <f>IF(OR($B314="",$L314=""),"",WORKDAY($B314,IFERROR(INDEX(LISTAS!$C$3:$C$42,MATCH($L314,LISTAS!$A$3:$A$42,0)),3)))</f>
        <v/>
      </c>
      <c r="V314" s="40" t="n"/>
      <c r="W314" s="19">
        <f>IF($B314="","",IF($V314&lt;&gt;"",$V314-$B314,TODAY()-$B314))</f>
        <v/>
      </c>
      <c r="X314" s="19">
        <f>IF(OR($B314="",$U314=""),"",IF($V314&lt;&gt;"",MAX(0,$V314-$U314),MAX(0,TODAY()-$U314)))</f>
        <v/>
      </c>
      <c r="Y314" s="39">
        <f>IF($C314="","",IF(IFERROR(INDEX(LISTAS!$I$3:$I$42,MATCH($T314,LISTAS!$H$3:$H$42,0)),"NO")="SÍ",IF(N($X314)&gt;0,"CERRADA FUERA DE SLA","CERRADA EN SLA"),IF($U314="","SIN CLASIFICAR",IF(N($X314)&gt;0,"VENCIDA",IF(TODAY()&gt;=$U314-1,"POR VENCER","EN PLAZO")))))</f>
        <v/>
      </c>
      <c r="Z314" s="41" t="n"/>
      <c r="AA314" s="41" t="n"/>
      <c r="AB314" s="41" t="n"/>
    </row>
    <row r="315">
      <c r="A315" s="39">
        <f>IF($C315="","","NOV-"&amp;TEXT(ROW()-3,"0000"))</f>
        <v/>
      </c>
      <c r="B315" s="40" t="n"/>
      <c r="C315" s="41" t="n"/>
      <c r="D315" s="42">
        <f>IF($C315="","",IFERROR(INDEX(DESPACHOS!$D$3:$D$3002,MATCH($C315,DESPACHOS!$B$3:$B$3002,0)),"SIN DESPACHO"))</f>
        <v/>
      </c>
      <c r="E315" s="42">
        <f>IF($C315="","",IFERROR(INDEX(DESPACHOS!$K$3:$K$3002,MATCH($C315,DESPACHOS!$B$3:$B$3002,0)),""))</f>
        <v/>
      </c>
      <c r="F315" s="42">
        <f>IF($C315="","",IFERROR(INDEX(DESPACHOS!$I$3:$I$3002,MATCH($C315,DESPACHOS!$B$3:$B$3002,0)),""))</f>
        <v/>
      </c>
      <c r="G315" s="42">
        <f>IF($C315="","",IFERROR(INDEX(DESPACHOS!$F$3:$F$3002,MATCH($C315,DESPACHOS!$B$3:$B$3002,0)),""))</f>
        <v/>
      </c>
      <c r="H315" s="42">
        <f>IF($C315="","",IFERROR(INDEX(DESPACHOS!$G$3:$G$3002,MATCH($C315,DESPACHOS!$B$3:$B$3002,0)),""))</f>
        <v/>
      </c>
      <c r="I315" s="39">
        <f>IF($C315="","",IFERROR(INDEX(DESPACHOS!$H$3:$H$3002,MATCH($C315,DESPACHOS!$B$3:$B$3002,0)),""))</f>
        <v/>
      </c>
      <c r="J315" s="43">
        <f>IF($C315="","",IFERROR(INDEX(DESPACHOS!$J$3:$J$3002,MATCH($C315,DESPACHOS!$B$3:$B$3002,0)),""))</f>
        <v/>
      </c>
      <c r="K315" s="39">
        <f>IF($C315="","",IF(COUNTIFS(DESPACHOS!$B$3:$B$3002,$C315)=0,"NO EXISTE",IF(COUNTIFS(DESPACHOS!$B$3:$B$3002,$C315)&gt;1,"DUPLICADO","OK")))</f>
        <v/>
      </c>
      <c r="L315" s="41" t="n"/>
      <c r="M315" s="41" t="n"/>
      <c r="N315" s="42">
        <f>IF($M315="","",IFERROR(INDEX(LISTAS!$F$3:$F$42,MATCH($M315,LISTAS!$E$3:$E$42,0)),"Por definir"))</f>
        <v/>
      </c>
      <c r="O315" s="41" t="n"/>
      <c r="P315" s="39">
        <f>IF($L315="","",IFERROR(INDEX(LISTAS!$B$3:$B$42,MATCH($L315,LISTAS!$A$3:$A$42,0)),"Media"))</f>
        <v/>
      </c>
      <c r="Q315" s="44" t="n"/>
      <c r="R315" s="45" t="n"/>
      <c r="S315" s="20">
        <f>IFERROR(IF(OR($R315="",$C315=""),"",$R315/INDEX(DESPACHOS!$M$3:$M$3002,MATCH($C315,DESPACHOS!$B$3:$B$3002,0))),"")</f>
        <v/>
      </c>
      <c r="T315" s="41" t="n"/>
      <c r="U315" s="43">
        <f>IF(OR($B315="",$L315=""),"",WORKDAY($B315,IFERROR(INDEX(LISTAS!$C$3:$C$42,MATCH($L315,LISTAS!$A$3:$A$42,0)),3)))</f>
        <v/>
      </c>
      <c r="V315" s="40" t="n"/>
      <c r="W315" s="19">
        <f>IF($B315="","",IF($V315&lt;&gt;"",$V315-$B315,TODAY()-$B315))</f>
        <v/>
      </c>
      <c r="X315" s="19">
        <f>IF(OR($B315="",$U315=""),"",IF($V315&lt;&gt;"",MAX(0,$V315-$U315),MAX(0,TODAY()-$U315)))</f>
        <v/>
      </c>
      <c r="Y315" s="39">
        <f>IF($C315="","",IF(IFERROR(INDEX(LISTAS!$I$3:$I$42,MATCH($T315,LISTAS!$H$3:$H$42,0)),"NO")="SÍ",IF(N($X315)&gt;0,"CERRADA FUERA DE SLA","CERRADA EN SLA"),IF($U315="","SIN CLASIFICAR",IF(N($X315)&gt;0,"VENCIDA",IF(TODAY()&gt;=$U315-1,"POR VENCER","EN PLAZO")))))</f>
        <v/>
      </c>
      <c r="Z315" s="41" t="n"/>
      <c r="AA315" s="41" t="n"/>
      <c r="AB315" s="41" t="n"/>
    </row>
    <row r="316">
      <c r="A316" s="39">
        <f>IF($C316="","","NOV-"&amp;TEXT(ROW()-3,"0000"))</f>
        <v/>
      </c>
      <c r="B316" s="40" t="n"/>
      <c r="C316" s="41" t="n"/>
      <c r="D316" s="42">
        <f>IF($C316="","",IFERROR(INDEX(DESPACHOS!$D$3:$D$3002,MATCH($C316,DESPACHOS!$B$3:$B$3002,0)),"SIN DESPACHO"))</f>
        <v/>
      </c>
      <c r="E316" s="42">
        <f>IF($C316="","",IFERROR(INDEX(DESPACHOS!$K$3:$K$3002,MATCH($C316,DESPACHOS!$B$3:$B$3002,0)),""))</f>
        <v/>
      </c>
      <c r="F316" s="42">
        <f>IF($C316="","",IFERROR(INDEX(DESPACHOS!$I$3:$I$3002,MATCH($C316,DESPACHOS!$B$3:$B$3002,0)),""))</f>
        <v/>
      </c>
      <c r="G316" s="42">
        <f>IF($C316="","",IFERROR(INDEX(DESPACHOS!$F$3:$F$3002,MATCH($C316,DESPACHOS!$B$3:$B$3002,0)),""))</f>
        <v/>
      </c>
      <c r="H316" s="42">
        <f>IF($C316="","",IFERROR(INDEX(DESPACHOS!$G$3:$G$3002,MATCH($C316,DESPACHOS!$B$3:$B$3002,0)),""))</f>
        <v/>
      </c>
      <c r="I316" s="39">
        <f>IF($C316="","",IFERROR(INDEX(DESPACHOS!$H$3:$H$3002,MATCH($C316,DESPACHOS!$B$3:$B$3002,0)),""))</f>
        <v/>
      </c>
      <c r="J316" s="43">
        <f>IF($C316="","",IFERROR(INDEX(DESPACHOS!$J$3:$J$3002,MATCH($C316,DESPACHOS!$B$3:$B$3002,0)),""))</f>
        <v/>
      </c>
      <c r="K316" s="39">
        <f>IF($C316="","",IF(COUNTIFS(DESPACHOS!$B$3:$B$3002,$C316)=0,"NO EXISTE",IF(COUNTIFS(DESPACHOS!$B$3:$B$3002,$C316)&gt;1,"DUPLICADO","OK")))</f>
        <v/>
      </c>
      <c r="L316" s="41" t="n"/>
      <c r="M316" s="41" t="n"/>
      <c r="N316" s="42">
        <f>IF($M316="","",IFERROR(INDEX(LISTAS!$F$3:$F$42,MATCH($M316,LISTAS!$E$3:$E$42,0)),"Por definir"))</f>
        <v/>
      </c>
      <c r="O316" s="41" t="n"/>
      <c r="P316" s="39">
        <f>IF($L316="","",IFERROR(INDEX(LISTAS!$B$3:$B$42,MATCH($L316,LISTAS!$A$3:$A$42,0)),"Media"))</f>
        <v/>
      </c>
      <c r="Q316" s="44" t="n"/>
      <c r="R316" s="45" t="n"/>
      <c r="S316" s="20">
        <f>IFERROR(IF(OR($R316="",$C316=""),"",$R316/INDEX(DESPACHOS!$M$3:$M$3002,MATCH($C316,DESPACHOS!$B$3:$B$3002,0))),"")</f>
        <v/>
      </c>
      <c r="T316" s="41" t="n"/>
      <c r="U316" s="43">
        <f>IF(OR($B316="",$L316=""),"",WORKDAY($B316,IFERROR(INDEX(LISTAS!$C$3:$C$42,MATCH($L316,LISTAS!$A$3:$A$42,0)),3)))</f>
        <v/>
      </c>
      <c r="V316" s="40" t="n"/>
      <c r="W316" s="19">
        <f>IF($B316="","",IF($V316&lt;&gt;"",$V316-$B316,TODAY()-$B316))</f>
        <v/>
      </c>
      <c r="X316" s="19">
        <f>IF(OR($B316="",$U316=""),"",IF($V316&lt;&gt;"",MAX(0,$V316-$U316),MAX(0,TODAY()-$U316)))</f>
        <v/>
      </c>
      <c r="Y316" s="39">
        <f>IF($C316="","",IF(IFERROR(INDEX(LISTAS!$I$3:$I$42,MATCH($T316,LISTAS!$H$3:$H$42,0)),"NO")="SÍ",IF(N($X316)&gt;0,"CERRADA FUERA DE SLA","CERRADA EN SLA"),IF($U316="","SIN CLASIFICAR",IF(N($X316)&gt;0,"VENCIDA",IF(TODAY()&gt;=$U316-1,"POR VENCER","EN PLAZO")))))</f>
        <v/>
      </c>
      <c r="Z316" s="41" t="n"/>
      <c r="AA316" s="41" t="n"/>
      <c r="AB316" s="41" t="n"/>
    </row>
    <row r="317">
      <c r="A317" s="39">
        <f>IF($C317="","","NOV-"&amp;TEXT(ROW()-3,"0000"))</f>
        <v/>
      </c>
      <c r="B317" s="40" t="n"/>
      <c r="C317" s="41" t="n"/>
      <c r="D317" s="42">
        <f>IF($C317="","",IFERROR(INDEX(DESPACHOS!$D$3:$D$3002,MATCH($C317,DESPACHOS!$B$3:$B$3002,0)),"SIN DESPACHO"))</f>
        <v/>
      </c>
      <c r="E317" s="42">
        <f>IF($C317="","",IFERROR(INDEX(DESPACHOS!$K$3:$K$3002,MATCH($C317,DESPACHOS!$B$3:$B$3002,0)),""))</f>
        <v/>
      </c>
      <c r="F317" s="42">
        <f>IF($C317="","",IFERROR(INDEX(DESPACHOS!$I$3:$I$3002,MATCH($C317,DESPACHOS!$B$3:$B$3002,0)),""))</f>
        <v/>
      </c>
      <c r="G317" s="42">
        <f>IF($C317="","",IFERROR(INDEX(DESPACHOS!$F$3:$F$3002,MATCH($C317,DESPACHOS!$B$3:$B$3002,0)),""))</f>
        <v/>
      </c>
      <c r="H317" s="42">
        <f>IF($C317="","",IFERROR(INDEX(DESPACHOS!$G$3:$G$3002,MATCH($C317,DESPACHOS!$B$3:$B$3002,0)),""))</f>
        <v/>
      </c>
      <c r="I317" s="39">
        <f>IF($C317="","",IFERROR(INDEX(DESPACHOS!$H$3:$H$3002,MATCH($C317,DESPACHOS!$B$3:$B$3002,0)),""))</f>
        <v/>
      </c>
      <c r="J317" s="43">
        <f>IF($C317="","",IFERROR(INDEX(DESPACHOS!$J$3:$J$3002,MATCH($C317,DESPACHOS!$B$3:$B$3002,0)),""))</f>
        <v/>
      </c>
      <c r="K317" s="39">
        <f>IF($C317="","",IF(COUNTIFS(DESPACHOS!$B$3:$B$3002,$C317)=0,"NO EXISTE",IF(COUNTIFS(DESPACHOS!$B$3:$B$3002,$C317)&gt;1,"DUPLICADO","OK")))</f>
        <v/>
      </c>
      <c r="L317" s="41" t="n"/>
      <c r="M317" s="41" t="n"/>
      <c r="N317" s="42">
        <f>IF($M317="","",IFERROR(INDEX(LISTAS!$F$3:$F$42,MATCH($M317,LISTAS!$E$3:$E$42,0)),"Por definir"))</f>
        <v/>
      </c>
      <c r="O317" s="41" t="n"/>
      <c r="P317" s="39">
        <f>IF($L317="","",IFERROR(INDEX(LISTAS!$B$3:$B$42,MATCH($L317,LISTAS!$A$3:$A$42,0)),"Media"))</f>
        <v/>
      </c>
      <c r="Q317" s="44" t="n"/>
      <c r="R317" s="45" t="n"/>
      <c r="S317" s="20">
        <f>IFERROR(IF(OR($R317="",$C317=""),"",$R317/INDEX(DESPACHOS!$M$3:$M$3002,MATCH($C317,DESPACHOS!$B$3:$B$3002,0))),"")</f>
        <v/>
      </c>
      <c r="T317" s="41" t="n"/>
      <c r="U317" s="43">
        <f>IF(OR($B317="",$L317=""),"",WORKDAY($B317,IFERROR(INDEX(LISTAS!$C$3:$C$42,MATCH($L317,LISTAS!$A$3:$A$42,0)),3)))</f>
        <v/>
      </c>
      <c r="V317" s="40" t="n"/>
      <c r="W317" s="19">
        <f>IF($B317="","",IF($V317&lt;&gt;"",$V317-$B317,TODAY()-$B317))</f>
        <v/>
      </c>
      <c r="X317" s="19">
        <f>IF(OR($B317="",$U317=""),"",IF($V317&lt;&gt;"",MAX(0,$V317-$U317),MAX(0,TODAY()-$U317)))</f>
        <v/>
      </c>
      <c r="Y317" s="39">
        <f>IF($C317="","",IF(IFERROR(INDEX(LISTAS!$I$3:$I$42,MATCH($T317,LISTAS!$H$3:$H$42,0)),"NO")="SÍ",IF(N($X317)&gt;0,"CERRADA FUERA DE SLA","CERRADA EN SLA"),IF($U317="","SIN CLASIFICAR",IF(N($X317)&gt;0,"VENCIDA",IF(TODAY()&gt;=$U317-1,"POR VENCER","EN PLAZO")))))</f>
        <v/>
      </c>
      <c r="Z317" s="41" t="n"/>
      <c r="AA317" s="41" t="n"/>
      <c r="AB317" s="41" t="n"/>
    </row>
    <row r="318">
      <c r="A318" s="39">
        <f>IF($C318="","","NOV-"&amp;TEXT(ROW()-3,"0000"))</f>
        <v/>
      </c>
      <c r="B318" s="40" t="n"/>
      <c r="C318" s="41" t="n"/>
      <c r="D318" s="42">
        <f>IF($C318="","",IFERROR(INDEX(DESPACHOS!$D$3:$D$3002,MATCH($C318,DESPACHOS!$B$3:$B$3002,0)),"SIN DESPACHO"))</f>
        <v/>
      </c>
      <c r="E318" s="42">
        <f>IF($C318="","",IFERROR(INDEX(DESPACHOS!$K$3:$K$3002,MATCH($C318,DESPACHOS!$B$3:$B$3002,0)),""))</f>
        <v/>
      </c>
      <c r="F318" s="42">
        <f>IF($C318="","",IFERROR(INDEX(DESPACHOS!$I$3:$I$3002,MATCH($C318,DESPACHOS!$B$3:$B$3002,0)),""))</f>
        <v/>
      </c>
      <c r="G318" s="42">
        <f>IF($C318="","",IFERROR(INDEX(DESPACHOS!$F$3:$F$3002,MATCH($C318,DESPACHOS!$B$3:$B$3002,0)),""))</f>
        <v/>
      </c>
      <c r="H318" s="42">
        <f>IF($C318="","",IFERROR(INDEX(DESPACHOS!$G$3:$G$3002,MATCH($C318,DESPACHOS!$B$3:$B$3002,0)),""))</f>
        <v/>
      </c>
      <c r="I318" s="39">
        <f>IF($C318="","",IFERROR(INDEX(DESPACHOS!$H$3:$H$3002,MATCH($C318,DESPACHOS!$B$3:$B$3002,0)),""))</f>
        <v/>
      </c>
      <c r="J318" s="43">
        <f>IF($C318="","",IFERROR(INDEX(DESPACHOS!$J$3:$J$3002,MATCH($C318,DESPACHOS!$B$3:$B$3002,0)),""))</f>
        <v/>
      </c>
      <c r="K318" s="39">
        <f>IF($C318="","",IF(COUNTIFS(DESPACHOS!$B$3:$B$3002,$C318)=0,"NO EXISTE",IF(COUNTIFS(DESPACHOS!$B$3:$B$3002,$C318)&gt;1,"DUPLICADO","OK")))</f>
        <v/>
      </c>
      <c r="L318" s="41" t="n"/>
      <c r="M318" s="41" t="n"/>
      <c r="N318" s="42">
        <f>IF($M318="","",IFERROR(INDEX(LISTAS!$F$3:$F$42,MATCH($M318,LISTAS!$E$3:$E$42,0)),"Por definir"))</f>
        <v/>
      </c>
      <c r="O318" s="41" t="n"/>
      <c r="P318" s="39">
        <f>IF($L318="","",IFERROR(INDEX(LISTAS!$B$3:$B$42,MATCH($L318,LISTAS!$A$3:$A$42,0)),"Media"))</f>
        <v/>
      </c>
      <c r="Q318" s="44" t="n"/>
      <c r="R318" s="45" t="n"/>
      <c r="S318" s="20">
        <f>IFERROR(IF(OR($R318="",$C318=""),"",$R318/INDEX(DESPACHOS!$M$3:$M$3002,MATCH($C318,DESPACHOS!$B$3:$B$3002,0))),"")</f>
        <v/>
      </c>
      <c r="T318" s="41" t="n"/>
      <c r="U318" s="43">
        <f>IF(OR($B318="",$L318=""),"",WORKDAY($B318,IFERROR(INDEX(LISTAS!$C$3:$C$42,MATCH($L318,LISTAS!$A$3:$A$42,0)),3)))</f>
        <v/>
      </c>
      <c r="V318" s="40" t="n"/>
      <c r="W318" s="19">
        <f>IF($B318="","",IF($V318&lt;&gt;"",$V318-$B318,TODAY()-$B318))</f>
        <v/>
      </c>
      <c r="X318" s="19">
        <f>IF(OR($B318="",$U318=""),"",IF($V318&lt;&gt;"",MAX(0,$V318-$U318),MAX(0,TODAY()-$U318)))</f>
        <v/>
      </c>
      <c r="Y318" s="39">
        <f>IF($C318="","",IF(IFERROR(INDEX(LISTAS!$I$3:$I$42,MATCH($T318,LISTAS!$H$3:$H$42,0)),"NO")="SÍ",IF(N($X318)&gt;0,"CERRADA FUERA DE SLA","CERRADA EN SLA"),IF($U318="","SIN CLASIFICAR",IF(N($X318)&gt;0,"VENCIDA",IF(TODAY()&gt;=$U318-1,"POR VENCER","EN PLAZO")))))</f>
        <v/>
      </c>
      <c r="Z318" s="41" t="n"/>
      <c r="AA318" s="41" t="n"/>
      <c r="AB318" s="41" t="n"/>
    </row>
    <row r="319">
      <c r="A319" s="39">
        <f>IF($C319="","","NOV-"&amp;TEXT(ROW()-3,"0000"))</f>
        <v/>
      </c>
      <c r="B319" s="40" t="n"/>
      <c r="C319" s="41" t="n"/>
      <c r="D319" s="42">
        <f>IF($C319="","",IFERROR(INDEX(DESPACHOS!$D$3:$D$3002,MATCH($C319,DESPACHOS!$B$3:$B$3002,0)),"SIN DESPACHO"))</f>
        <v/>
      </c>
      <c r="E319" s="42">
        <f>IF($C319="","",IFERROR(INDEX(DESPACHOS!$K$3:$K$3002,MATCH($C319,DESPACHOS!$B$3:$B$3002,0)),""))</f>
        <v/>
      </c>
      <c r="F319" s="42">
        <f>IF($C319="","",IFERROR(INDEX(DESPACHOS!$I$3:$I$3002,MATCH($C319,DESPACHOS!$B$3:$B$3002,0)),""))</f>
        <v/>
      </c>
      <c r="G319" s="42">
        <f>IF($C319="","",IFERROR(INDEX(DESPACHOS!$F$3:$F$3002,MATCH($C319,DESPACHOS!$B$3:$B$3002,0)),""))</f>
        <v/>
      </c>
      <c r="H319" s="42">
        <f>IF($C319="","",IFERROR(INDEX(DESPACHOS!$G$3:$G$3002,MATCH($C319,DESPACHOS!$B$3:$B$3002,0)),""))</f>
        <v/>
      </c>
      <c r="I319" s="39">
        <f>IF($C319="","",IFERROR(INDEX(DESPACHOS!$H$3:$H$3002,MATCH($C319,DESPACHOS!$B$3:$B$3002,0)),""))</f>
        <v/>
      </c>
      <c r="J319" s="43">
        <f>IF($C319="","",IFERROR(INDEX(DESPACHOS!$J$3:$J$3002,MATCH($C319,DESPACHOS!$B$3:$B$3002,0)),""))</f>
        <v/>
      </c>
      <c r="K319" s="39">
        <f>IF($C319="","",IF(COUNTIFS(DESPACHOS!$B$3:$B$3002,$C319)=0,"NO EXISTE",IF(COUNTIFS(DESPACHOS!$B$3:$B$3002,$C319)&gt;1,"DUPLICADO","OK")))</f>
        <v/>
      </c>
      <c r="L319" s="41" t="n"/>
      <c r="M319" s="41" t="n"/>
      <c r="N319" s="42">
        <f>IF($M319="","",IFERROR(INDEX(LISTAS!$F$3:$F$42,MATCH($M319,LISTAS!$E$3:$E$42,0)),"Por definir"))</f>
        <v/>
      </c>
      <c r="O319" s="41" t="n"/>
      <c r="P319" s="39">
        <f>IF($L319="","",IFERROR(INDEX(LISTAS!$B$3:$B$42,MATCH($L319,LISTAS!$A$3:$A$42,0)),"Media"))</f>
        <v/>
      </c>
      <c r="Q319" s="44" t="n"/>
      <c r="R319" s="45" t="n"/>
      <c r="S319" s="20">
        <f>IFERROR(IF(OR($R319="",$C319=""),"",$R319/INDEX(DESPACHOS!$M$3:$M$3002,MATCH($C319,DESPACHOS!$B$3:$B$3002,0))),"")</f>
        <v/>
      </c>
      <c r="T319" s="41" t="n"/>
      <c r="U319" s="43">
        <f>IF(OR($B319="",$L319=""),"",WORKDAY($B319,IFERROR(INDEX(LISTAS!$C$3:$C$42,MATCH($L319,LISTAS!$A$3:$A$42,0)),3)))</f>
        <v/>
      </c>
      <c r="V319" s="40" t="n"/>
      <c r="W319" s="19">
        <f>IF($B319="","",IF($V319&lt;&gt;"",$V319-$B319,TODAY()-$B319))</f>
        <v/>
      </c>
      <c r="X319" s="19">
        <f>IF(OR($B319="",$U319=""),"",IF($V319&lt;&gt;"",MAX(0,$V319-$U319),MAX(0,TODAY()-$U319)))</f>
        <v/>
      </c>
      <c r="Y319" s="39">
        <f>IF($C319="","",IF(IFERROR(INDEX(LISTAS!$I$3:$I$42,MATCH($T319,LISTAS!$H$3:$H$42,0)),"NO")="SÍ",IF(N($X319)&gt;0,"CERRADA FUERA DE SLA","CERRADA EN SLA"),IF($U319="","SIN CLASIFICAR",IF(N($X319)&gt;0,"VENCIDA",IF(TODAY()&gt;=$U319-1,"POR VENCER","EN PLAZO")))))</f>
        <v/>
      </c>
      <c r="Z319" s="41" t="n"/>
      <c r="AA319" s="41" t="n"/>
      <c r="AB319" s="41" t="n"/>
    </row>
    <row r="320">
      <c r="A320" s="39">
        <f>IF($C320="","","NOV-"&amp;TEXT(ROW()-3,"0000"))</f>
        <v/>
      </c>
      <c r="B320" s="40" t="n"/>
      <c r="C320" s="41" t="n"/>
      <c r="D320" s="42">
        <f>IF($C320="","",IFERROR(INDEX(DESPACHOS!$D$3:$D$3002,MATCH($C320,DESPACHOS!$B$3:$B$3002,0)),"SIN DESPACHO"))</f>
        <v/>
      </c>
      <c r="E320" s="42">
        <f>IF($C320="","",IFERROR(INDEX(DESPACHOS!$K$3:$K$3002,MATCH($C320,DESPACHOS!$B$3:$B$3002,0)),""))</f>
        <v/>
      </c>
      <c r="F320" s="42">
        <f>IF($C320="","",IFERROR(INDEX(DESPACHOS!$I$3:$I$3002,MATCH($C320,DESPACHOS!$B$3:$B$3002,0)),""))</f>
        <v/>
      </c>
      <c r="G320" s="42">
        <f>IF($C320="","",IFERROR(INDEX(DESPACHOS!$F$3:$F$3002,MATCH($C320,DESPACHOS!$B$3:$B$3002,0)),""))</f>
        <v/>
      </c>
      <c r="H320" s="42">
        <f>IF($C320="","",IFERROR(INDEX(DESPACHOS!$G$3:$G$3002,MATCH($C320,DESPACHOS!$B$3:$B$3002,0)),""))</f>
        <v/>
      </c>
      <c r="I320" s="39">
        <f>IF($C320="","",IFERROR(INDEX(DESPACHOS!$H$3:$H$3002,MATCH($C320,DESPACHOS!$B$3:$B$3002,0)),""))</f>
        <v/>
      </c>
      <c r="J320" s="43">
        <f>IF($C320="","",IFERROR(INDEX(DESPACHOS!$J$3:$J$3002,MATCH($C320,DESPACHOS!$B$3:$B$3002,0)),""))</f>
        <v/>
      </c>
      <c r="K320" s="39">
        <f>IF($C320="","",IF(COUNTIFS(DESPACHOS!$B$3:$B$3002,$C320)=0,"NO EXISTE",IF(COUNTIFS(DESPACHOS!$B$3:$B$3002,$C320)&gt;1,"DUPLICADO","OK")))</f>
        <v/>
      </c>
      <c r="L320" s="41" t="n"/>
      <c r="M320" s="41" t="n"/>
      <c r="N320" s="42">
        <f>IF($M320="","",IFERROR(INDEX(LISTAS!$F$3:$F$42,MATCH($M320,LISTAS!$E$3:$E$42,0)),"Por definir"))</f>
        <v/>
      </c>
      <c r="O320" s="41" t="n"/>
      <c r="P320" s="39">
        <f>IF($L320="","",IFERROR(INDEX(LISTAS!$B$3:$B$42,MATCH($L320,LISTAS!$A$3:$A$42,0)),"Media"))</f>
        <v/>
      </c>
      <c r="Q320" s="44" t="n"/>
      <c r="R320" s="45" t="n"/>
      <c r="S320" s="20">
        <f>IFERROR(IF(OR($R320="",$C320=""),"",$R320/INDEX(DESPACHOS!$M$3:$M$3002,MATCH($C320,DESPACHOS!$B$3:$B$3002,0))),"")</f>
        <v/>
      </c>
      <c r="T320" s="41" t="n"/>
      <c r="U320" s="43">
        <f>IF(OR($B320="",$L320=""),"",WORKDAY($B320,IFERROR(INDEX(LISTAS!$C$3:$C$42,MATCH($L320,LISTAS!$A$3:$A$42,0)),3)))</f>
        <v/>
      </c>
      <c r="V320" s="40" t="n"/>
      <c r="W320" s="19">
        <f>IF($B320="","",IF($V320&lt;&gt;"",$V320-$B320,TODAY()-$B320))</f>
        <v/>
      </c>
      <c r="X320" s="19">
        <f>IF(OR($B320="",$U320=""),"",IF($V320&lt;&gt;"",MAX(0,$V320-$U320),MAX(0,TODAY()-$U320)))</f>
        <v/>
      </c>
      <c r="Y320" s="39">
        <f>IF($C320="","",IF(IFERROR(INDEX(LISTAS!$I$3:$I$42,MATCH($T320,LISTAS!$H$3:$H$42,0)),"NO")="SÍ",IF(N($X320)&gt;0,"CERRADA FUERA DE SLA","CERRADA EN SLA"),IF($U320="","SIN CLASIFICAR",IF(N($X320)&gt;0,"VENCIDA",IF(TODAY()&gt;=$U320-1,"POR VENCER","EN PLAZO")))))</f>
        <v/>
      </c>
      <c r="Z320" s="41" t="n"/>
      <c r="AA320" s="41" t="n"/>
      <c r="AB320" s="41" t="n"/>
    </row>
    <row r="321">
      <c r="A321" s="39">
        <f>IF($C321="","","NOV-"&amp;TEXT(ROW()-3,"0000"))</f>
        <v/>
      </c>
      <c r="B321" s="40" t="n"/>
      <c r="C321" s="41" t="n"/>
      <c r="D321" s="42">
        <f>IF($C321="","",IFERROR(INDEX(DESPACHOS!$D$3:$D$3002,MATCH($C321,DESPACHOS!$B$3:$B$3002,0)),"SIN DESPACHO"))</f>
        <v/>
      </c>
      <c r="E321" s="42">
        <f>IF($C321="","",IFERROR(INDEX(DESPACHOS!$K$3:$K$3002,MATCH($C321,DESPACHOS!$B$3:$B$3002,0)),""))</f>
        <v/>
      </c>
      <c r="F321" s="42">
        <f>IF($C321="","",IFERROR(INDEX(DESPACHOS!$I$3:$I$3002,MATCH($C321,DESPACHOS!$B$3:$B$3002,0)),""))</f>
        <v/>
      </c>
      <c r="G321" s="42">
        <f>IF($C321="","",IFERROR(INDEX(DESPACHOS!$F$3:$F$3002,MATCH($C321,DESPACHOS!$B$3:$B$3002,0)),""))</f>
        <v/>
      </c>
      <c r="H321" s="42">
        <f>IF($C321="","",IFERROR(INDEX(DESPACHOS!$G$3:$G$3002,MATCH($C321,DESPACHOS!$B$3:$B$3002,0)),""))</f>
        <v/>
      </c>
      <c r="I321" s="39">
        <f>IF($C321="","",IFERROR(INDEX(DESPACHOS!$H$3:$H$3002,MATCH($C321,DESPACHOS!$B$3:$B$3002,0)),""))</f>
        <v/>
      </c>
      <c r="J321" s="43">
        <f>IF($C321="","",IFERROR(INDEX(DESPACHOS!$J$3:$J$3002,MATCH($C321,DESPACHOS!$B$3:$B$3002,0)),""))</f>
        <v/>
      </c>
      <c r="K321" s="39">
        <f>IF($C321="","",IF(COUNTIFS(DESPACHOS!$B$3:$B$3002,$C321)=0,"NO EXISTE",IF(COUNTIFS(DESPACHOS!$B$3:$B$3002,$C321)&gt;1,"DUPLICADO","OK")))</f>
        <v/>
      </c>
      <c r="L321" s="41" t="n"/>
      <c r="M321" s="41" t="n"/>
      <c r="N321" s="42">
        <f>IF($M321="","",IFERROR(INDEX(LISTAS!$F$3:$F$42,MATCH($M321,LISTAS!$E$3:$E$42,0)),"Por definir"))</f>
        <v/>
      </c>
      <c r="O321" s="41" t="n"/>
      <c r="P321" s="39">
        <f>IF($L321="","",IFERROR(INDEX(LISTAS!$B$3:$B$42,MATCH($L321,LISTAS!$A$3:$A$42,0)),"Media"))</f>
        <v/>
      </c>
      <c r="Q321" s="44" t="n"/>
      <c r="R321" s="45" t="n"/>
      <c r="S321" s="20">
        <f>IFERROR(IF(OR($R321="",$C321=""),"",$R321/INDEX(DESPACHOS!$M$3:$M$3002,MATCH($C321,DESPACHOS!$B$3:$B$3002,0))),"")</f>
        <v/>
      </c>
      <c r="T321" s="41" t="n"/>
      <c r="U321" s="43">
        <f>IF(OR($B321="",$L321=""),"",WORKDAY($B321,IFERROR(INDEX(LISTAS!$C$3:$C$42,MATCH($L321,LISTAS!$A$3:$A$42,0)),3)))</f>
        <v/>
      </c>
      <c r="V321" s="40" t="n"/>
      <c r="W321" s="19">
        <f>IF($B321="","",IF($V321&lt;&gt;"",$V321-$B321,TODAY()-$B321))</f>
        <v/>
      </c>
      <c r="X321" s="19">
        <f>IF(OR($B321="",$U321=""),"",IF($V321&lt;&gt;"",MAX(0,$V321-$U321),MAX(0,TODAY()-$U321)))</f>
        <v/>
      </c>
      <c r="Y321" s="39">
        <f>IF($C321="","",IF(IFERROR(INDEX(LISTAS!$I$3:$I$42,MATCH($T321,LISTAS!$H$3:$H$42,0)),"NO")="SÍ",IF(N($X321)&gt;0,"CERRADA FUERA DE SLA","CERRADA EN SLA"),IF($U321="","SIN CLASIFICAR",IF(N($X321)&gt;0,"VENCIDA",IF(TODAY()&gt;=$U321-1,"POR VENCER","EN PLAZO")))))</f>
        <v/>
      </c>
      <c r="Z321" s="41" t="n"/>
      <c r="AA321" s="41" t="n"/>
      <c r="AB321" s="41" t="n"/>
    </row>
    <row r="322">
      <c r="A322" s="39">
        <f>IF($C322="","","NOV-"&amp;TEXT(ROW()-3,"0000"))</f>
        <v/>
      </c>
      <c r="B322" s="40" t="n"/>
      <c r="C322" s="41" t="n"/>
      <c r="D322" s="42">
        <f>IF($C322="","",IFERROR(INDEX(DESPACHOS!$D$3:$D$3002,MATCH($C322,DESPACHOS!$B$3:$B$3002,0)),"SIN DESPACHO"))</f>
        <v/>
      </c>
      <c r="E322" s="42">
        <f>IF($C322="","",IFERROR(INDEX(DESPACHOS!$K$3:$K$3002,MATCH($C322,DESPACHOS!$B$3:$B$3002,0)),""))</f>
        <v/>
      </c>
      <c r="F322" s="42">
        <f>IF($C322="","",IFERROR(INDEX(DESPACHOS!$I$3:$I$3002,MATCH($C322,DESPACHOS!$B$3:$B$3002,0)),""))</f>
        <v/>
      </c>
      <c r="G322" s="42">
        <f>IF($C322="","",IFERROR(INDEX(DESPACHOS!$F$3:$F$3002,MATCH($C322,DESPACHOS!$B$3:$B$3002,0)),""))</f>
        <v/>
      </c>
      <c r="H322" s="42">
        <f>IF($C322="","",IFERROR(INDEX(DESPACHOS!$G$3:$G$3002,MATCH($C322,DESPACHOS!$B$3:$B$3002,0)),""))</f>
        <v/>
      </c>
      <c r="I322" s="39">
        <f>IF($C322="","",IFERROR(INDEX(DESPACHOS!$H$3:$H$3002,MATCH($C322,DESPACHOS!$B$3:$B$3002,0)),""))</f>
        <v/>
      </c>
      <c r="J322" s="43">
        <f>IF($C322="","",IFERROR(INDEX(DESPACHOS!$J$3:$J$3002,MATCH($C322,DESPACHOS!$B$3:$B$3002,0)),""))</f>
        <v/>
      </c>
      <c r="K322" s="39">
        <f>IF($C322="","",IF(COUNTIFS(DESPACHOS!$B$3:$B$3002,$C322)=0,"NO EXISTE",IF(COUNTIFS(DESPACHOS!$B$3:$B$3002,$C322)&gt;1,"DUPLICADO","OK")))</f>
        <v/>
      </c>
      <c r="L322" s="41" t="n"/>
      <c r="M322" s="41" t="n"/>
      <c r="N322" s="42">
        <f>IF($M322="","",IFERROR(INDEX(LISTAS!$F$3:$F$42,MATCH($M322,LISTAS!$E$3:$E$42,0)),"Por definir"))</f>
        <v/>
      </c>
      <c r="O322" s="41" t="n"/>
      <c r="P322" s="39">
        <f>IF($L322="","",IFERROR(INDEX(LISTAS!$B$3:$B$42,MATCH($L322,LISTAS!$A$3:$A$42,0)),"Media"))</f>
        <v/>
      </c>
      <c r="Q322" s="44" t="n"/>
      <c r="R322" s="45" t="n"/>
      <c r="S322" s="20">
        <f>IFERROR(IF(OR($R322="",$C322=""),"",$R322/INDEX(DESPACHOS!$M$3:$M$3002,MATCH($C322,DESPACHOS!$B$3:$B$3002,0))),"")</f>
        <v/>
      </c>
      <c r="T322" s="41" t="n"/>
      <c r="U322" s="43">
        <f>IF(OR($B322="",$L322=""),"",WORKDAY($B322,IFERROR(INDEX(LISTAS!$C$3:$C$42,MATCH($L322,LISTAS!$A$3:$A$42,0)),3)))</f>
        <v/>
      </c>
      <c r="V322" s="40" t="n"/>
      <c r="W322" s="19">
        <f>IF($B322="","",IF($V322&lt;&gt;"",$V322-$B322,TODAY()-$B322))</f>
        <v/>
      </c>
      <c r="X322" s="19">
        <f>IF(OR($B322="",$U322=""),"",IF($V322&lt;&gt;"",MAX(0,$V322-$U322),MAX(0,TODAY()-$U322)))</f>
        <v/>
      </c>
      <c r="Y322" s="39">
        <f>IF($C322="","",IF(IFERROR(INDEX(LISTAS!$I$3:$I$42,MATCH($T322,LISTAS!$H$3:$H$42,0)),"NO")="SÍ",IF(N($X322)&gt;0,"CERRADA FUERA DE SLA","CERRADA EN SLA"),IF($U322="","SIN CLASIFICAR",IF(N($X322)&gt;0,"VENCIDA",IF(TODAY()&gt;=$U322-1,"POR VENCER","EN PLAZO")))))</f>
        <v/>
      </c>
      <c r="Z322" s="41" t="n"/>
      <c r="AA322" s="41" t="n"/>
      <c r="AB322" s="41" t="n"/>
    </row>
    <row r="323">
      <c r="A323" s="39">
        <f>IF($C323="","","NOV-"&amp;TEXT(ROW()-3,"0000"))</f>
        <v/>
      </c>
      <c r="B323" s="40" t="n"/>
      <c r="C323" s="41" t="n"/>
      <c r="D323" s="42">
        <f>IF($C323="","",IFERROR(INDEX(DESPACHOS!$D$3:$D$3002,MATCH($C323,DESPACHOS!$B$3:$B$3002,0)),"SIN DESPACHO"))</f>
        <v/>
      </c>
      <c r="E323" s="42">
        <f>IF($C323="","",IFERROR(INDEX(DESPACHOS!$K$3:$K$3002,MATCH($C323,DESPACHOS!$B$3:$B$3002,0)),""))</f>
        <v/>
      </c>
      <c r="F323" s="42">
        <f>IF($C323="","",IFERROR(INDEX(DESPACHOS!$I$3:$I$3002,MATCH($C323,DESPACHOS!$B$3:$B$3002,0)),""))</f>
        <v/>
      </c>
      <c r="G323" s="42">
        <f>IF($C323="","",IFERROR(INDEX(DESPACHOS!$F$3:$F$3002,MATCH($C323,DESPACHOS!$B$3:$B$3002,0)),""))</f>
        <v/>
      </c>
      <c r="H323" s="42">
        <f>IF($C323="","",IFERROR(INDEX(DESPACHOS!$G$3:$G$3002,MATCH($C323,DESPACHOS!$B$3:$B$3002,0)),""))</f>
        <v/>
      </c>
      <c r="I323" s="39">
        <f>IF($C323="","",IFERROR(INDEX(DESPACHOS!$H$3:$H$3002,MATCH($C323,DESPACHOS!$B$3:$B$3002,0)),""))</f>
        <v/>
      </c>
      <c r="J323" s="43">
        <f>IF($C323="","",IFERROR(INDEX(DESPACHOS!$J$3:$J$3002,MATCH($C323,DESPACHOS!$B$3:$B$3002,0)),""))</f>
        <v/>
      </c>
      <c r="K323" s="39">
        <f>IF($C323="","",IF(COUNTIFS(DESPACHOS!$B$3:$B$3002,$C323)=0,"NO EXISTE",IF(COUNTIFS(DESPACHOS!$B$3:$B$3002,$C323)&gt;1,"DUPLICADO","OK")))</f>
        <v/>
      </c>
      <c r="L323" s="41" t="n"/>
      <c r="M323" s="41" t="n"/>
      <c r="N323" s="42">
        <f>IF($M323="","",IFERROR(INDEX(LISTAS!$F$3:$F$42,MATCH($M323,LISTAS!$E$3:$E$42,0)),"Por definir"))</f>
        <v/>
      </c>
      <c r="O323" s="41" t="n"/>
      <c r="P323" s="39">
        <f>IF($L323="","",IFERROR(INDEX(LISTAS!$B$3:$B$42,MATCH($L323,LISTAS!$A$3:$A$42,0)),"Media"))</f>
        <v/>
      </c>
      <c r="Q323" s="44" t="n"/>
      <c r="R323" s="45" t="n"/>
      <c r="S323" s="20">
        <f>IFERROR(IF(OR($R323="",$C323=""),"",$R323/INDEX(DESPACHOS!$M$3:$M$3002,MATCH($C323,DESPACHOS!$B$3:$B$3002,0))),"")</f>
        <v/>
      </c>
      <c r="T323" s="41" t="n"/>
      <c r="U323" s="43">
        <f>IF(OR($B323="",$L323=""),"",WORKDAY($B323,IFERROR(INDEX(LISTAS!$C$3:$C$42,MATCH($L323,LISTAS!$A$3:$A$42,0)),3)))</f>
        <v/>
      </c>
      <c r="V323" s="40" t="n"/>
      <c r="W323" s="19">
        <f>IF($B323="","",IF($V323&lt;&gt;"",$V323-$B323,TODAY()-$B323))</f>
        <v/>
      </c>
      <c r="X323" s="19">
        <f>IF(OR($B323="",$U323=""),"",IF($V323&lt;&gt;"",MAX(0,$V323-$U323),MAX(0,TODAY()-$U323)))</f>
        <v/>
      </c>
      <c r="Y323" s="39">
        <f>IF($C323="","",IF(IFERROR(INDEX(LISTAS!$I$3:$I$42,MATCH($T323,LISTAS!$H$3:$H$42,0)),"NO")="SÍ",IF(N($X323)&gt;0,"CERRADA FUERA DE SLA","CERRADA EN SLA"),IF($U323="","SIN CLASIFICAR",IF(N($X323)&gt;0,"VENCIDA",IF(TODAY()&gt;=$U323-1,"POR VENCER","EN PLAZO")))))</f>
        <v/>
      </c>
      <c r="Z323" s="41" t="n"/>
      <c r="AA323" s="41" t="n"/>
      <c r="AB323" s="41" t="n"/>
    </row>
    <row r="324">
      <c r="A324" s="39">
        <f>IF($C324="","","NOV-"&amp;TEXT(ROW()-3,"0000"))</f>
        <v/>
      </c>
      <c r="B324" s="40" t="n"/>
      <c r="C324" s="41" t="n"/>
      <c r="D324" s="42">
        <f>IF($C324="","",IFERROR(INDEX(DESPACHOS!$D$3:$D$3002,MATCH($C324,DESPACHOS!$B$3:$B$3002,0)),"SIN DESPACHO"))</f>
        <v/>
      </c>
      <c r="E324" s="42">
        <f>IF($C324="","",IFERROR(INDEX(DESPACHOS!$K$3:$K$3002,MATCH($C324,DESPACHOS!$B$3:$B$3002,0)),""))</f>
        <v/>
      </c>
      <c r="F324" s="42">
        <f>IF($C324="","",IFERROR(INDEX(DESPACHOS!$I$3:$I$3002,MATCH($C324,DESPACHOS!$B$3:$B$3002,0)),""))</f>
        <v/>
      </c>
      <c r="G324" s="42">
        <f>IF($C324="","",IFERROR(INDEX(DESPACHOS!$F$3:$F$3002,MATCH($C324,DESPACHOS!$B$3:$B$3002,0)),""))</f>
        <v/>
      </c>
      <c r="H324" s="42">
        <f>IF($C324="","",IFERROR(INDEX(DESPACHOS!$G$3:$G$3002,MATCH($C324,DESPACHOS!$B$3:$B$3002,0)),""))</f>
        <v/>
      </c>
      <c r="I324" s="39">
        <f>IF($C324="","",IFERROR(INDEX(DESPACHOS!$H$3:$H$3002,MATCH($C324,DESPACHOS!$B$3:$B$3002,0)),""))</f>
        <v/>
      </c>
      <c r="J324" s="43">
        <f>IF($C324="","",IFERROR(INDEX(DESPACHOS!$J$3:$J$3002,MATCH($C324,DESPACHOS!$B$3:$B$3002,0)),""))</f>
        <v/>
      </c>
      <c r="K324" s="39">
        <f>IF($C324="","",IF(COUNTIFS(DESPACHOS!$B$3:$B$3002,$C324)=0,"NO EXISTE",IF(COUNTIFS(DESPACHOS!$B$3:$B$3002,$C324)&gt;1,"DUPLICADO","OK")))</f>
        <v/>
      </c>
      <c r="L324" s="41" t="n"/>
      <c r="M324" s="41" t="n"/>
      <c r="N324" s="42">
        <f>IF($M324="","",IFERROR(INDEX(LISTAS!$F$3:$F$42,MATCH($M324,LISTAS!$E$3:$E$42,0)),"Por definir"))</f>
        <v/>
      </c>
      <c r="O324" s="41" t="n"/>
      <c r="P324" s="39">
        <f>IF($L324="","",IFERROR(INDEX(LISTAS!$B$3:$B$42,MATCH($L324,LISTAS!$A$3:$A$42,0)),"Media"))</f>
        <v/>
      </c>
      <c r="Q324" s="44" t="n"/>
      <c r="R324" s="45" t="n"/>
      <c r="S324" s="20">
        <f>IFERROR(IF(OR($R324="",$C324=""),"",$R324/INDEX(DESPACHOS!$M$3:$M$3002,MATCH($C324,DESPACHOS!$B$3:$B$3002,0))),"")</f>
        <v/>
      </c>
      <c r="T324" s="41" t="n"/>
      <c r="U324" s="43">
        <f>IF(OR($B324="",$L324=""),"",WORKDAY($B324,IFERROR(INDEX(LISTAS!$C$3:$C$42,MATCH($L324,LISTAS!$A$3:$A$42,0)),3)))</f>
        <v/>
      </c>
      <c r="V324" s="40" t="n"/>
      <c r="W324" s="19">
        <f>IF($B324="","",IF($V324&lt;&gt;"",$V324-$B324,TODAY()-$B324))</f>
        <v/>
      </c>
      <c r="X324" s="19">
        <f>IF(OR($B324="",$U324=""),"",IF($V324&lt;&gt;"",MAX(0,$V324-$U324),MAX(0,TODAY()-$U324)))</f>
        <v/>
      </c>
      <c r="Y324" s="39">
        <f>IF($C324="","",IF(IFERROR(INDEX(LISTAS!$I$3:$I$42,MATCH($T324,LISTAS!$H$3:$H$42,0)),"NO")="SÍ",IF(N($X324)&gt;0,"CERRADA FUERA DE SLA","CERRADA EN SLA"),IF($U324="","SIN CLASIFICAR",IF(N($X324)&gt;0,"VENCIDA",IF(TODAY()&gt;=$U324-1,"POR VENCER","EN PLAZO")))))</f>
        <v/>
      </c>
      <c r="Z324" s="41" t="n"/>
      <c r="AA324" s="41" t="n"/>
      <c r="AB324" s="41" t="n"/>
    </row>
    <row r="325">
      <c r="A325" s="39">
        <f>IF($C325="","","NOV-"&amp;TEXT(ROW()-3,"0000"))</f>
        <v/>
      </c>
      <c r="B325" s="40" t="n"/>
      <c r="C325" s="41" t="n"/>
      <c r="D325" s="42">
        <f>IF($C325="","",IFERROR(INDEX(DESPACHOS!$D$3:$D$3002,MATCH($C325,DESPACHOS!$B$3:$B$3002,0)),"SIN DESPACHO"))</f>
        <v/>
      </c>
      <c r="E325" s="42">
        <f>IF($C325="","",IFERROR(INDEX(DESPACHOS!$K$3:$K$3002,MATCH($C325,DESPACHOS!$B$3:$B$3002,0)),""))</f>
        <v/>
      </c>
      <c r="F325" s="42">
        <f>IF($C325="","",IFERROR(INDEX(DESPACHOS!$I$3:$I$3002,MATCH($C325,DESPACHOS!$B$3:$B$3002,0)),""))</f>
        <v/>
      </c>
      <c r="G325" s="42">
        <f>IF($C325="","",IFERROR(INDEX(DESPACHOS!$F$3:$F$3002,MATCH($C325,DESPACHOS!$B$3:$B$3002,0)),""))</f>
        <v/>
      </c>
      <c r="H325" s="42">
        <f>IF($C325="","",IFERROR(INDEX(DESPACHOS!$G$3:$G$3002,MATCH($C325,DESPACHOS!$B$3:$B$3002,0)),""))</f>
        <v/>
      </c>
      <c r="I325" s="39">
        <f>IF($C325="","",IFERROR(INDEX(DESPACHOS!$H$3:$H$3002,MATCH($C325,DESPACHOS!$B$3:$B$3002,0)),""))</f>
        <v/>
      </c>
      <c r="J325" s="43">
        <f>IF($C325="","",IFERROR(INDEX(DESPACHOS!$J$3:$J$3002,MATCH($C325,DESPACHOS!$B$3:$B$3002,0)),""))</f>
        <v/>
      </c>
      <c r="K325" s="39">
        <f>IF($C325="","",IF(COUNTIFS(DESPACHOS!$B$3:$B$3002,$C325)=0,"NO EXISTE",IF(COUNTIFS(DESPACHOS!$B$3:$B$3002,$C325)&gt;1,"DUPLICADO","OK")))</f>
        <v/>
      </c>
      <c r="L325" s="41" t="n"/>
      <c r="M325" s="41" t="n"/>
      <c r="N325" s="42">
        <f>IF($M325="","",IFERROR(INDEX(LISTAS!$F$3:$F$42,MATCH($M325,LISTAS!$E$3:$E$42,0)),"Por definir"))</f>
        <v/>
      </c>
      <c r="O325" s="41" t="n"/>
      <c r="P325" s="39">
        <f>IF($L325="","",IFERROR(INDEX(LISTAS!$B$3:$B$42,MATCH($L325,LISTAS!$A$3:$A$42,0)),"Media"))</f>
        <v/>
      </c>
      <c r="Q325" s="44" t="n"/>
      <c r="R325" s="45" t="n"/>
      <c r="S325" s="20">
        <f>IFERROR(IF(OR($R325="",$C325=""),"",$R325/INDEX(DESPACHOS!$M$3:$M$3002,MATCH($C325,DESPACHOS!$B$3:$B$3002,0))),"")</f>
        <v/>
      </c>
      <c r="T325" s="41" t="n"/>
      <c r="U325" s="43">
        <f>IF(OR($B325="",$L325=""),"",WORKDAY($B325,IFERROR(INDEX(LISTAS!$C$3:$C$42,MATCH($L325,LISTAS!$A$3:$A$42,0)),3)))</f>
        <v/>
      </c>
      <c r="V325" s="40" t="n"/>
      <c r="W325" s="19">
        <f>IF($B325="","",IF($V325&lt;&gt;"",$V325-$B325,TODAY()-$B325))</f>
        <v/>
      </c>
      <c r="X325" s="19">
        <f>IF(OR($B325="",$U325=""),"",IF($V325&lt;&gt;"",MAX(0,$V325-$U325),MAX(0,TODAY()-$U325)))</f>
        <v/>
      </c>
      <c r="Y325" s="39">
        <f>IF($C325="","",IF(IFERROR(INDEX(LISTAS!$I$3:$I$42,MATCH($T325,LISTAS!$H$3:$H$42,0)),"NO")="SÍ",IF(N($X325)&gt;0,"CERRADA FUERA DE SLA","CERRADA EN SLA"),IF($U325="","SIN CLASIFICAR",IF(N($X325)&gt;0,"VENCIDA",IF(TODAY()&gt;=$U325-1,"POR VENCER","EN PLAZO")))))</f>
        <v/>
      </c>
      <c r="Z325" s="41" t="n"/>
      <c r="AA325" s="41" t="n"/>
      <c r="AB325" s="41" t="n"/>
    </row>
    <row r="326">
      <c r="A326" s="39">
        <f>IF($C326="","","NOV-"&amp;TEXT(ROW()-3,"0000"))</f>
        <v/>
      </c>
      <c r="B326" s="40" t="n"/>
      <c r="C326" s="41" t="n"/>
      <c r="D326" s="42">
        <f>IF($C326="","",IFERROR(INDEX(DESPACHOS!$D$3:$D$3002,MATCH($C326,DESPACHOS!$B$3:$B$3002,0)),"SIN DESPACHO"))</f>
        <v/>
      </c>
      <c r="E326" s="42">
        <f>IF($C326="","",IFERROR(INDEX(DESPACHOS!$K$3:$K$3002,MATCH($C326,DESPACHOS!$B$3:$B$3002,0)),""))</f>
        <v/>
      </c>
      <c r="F326" s="42">
        <f>IF($C326="","",IFERROR(INDEX(DESPACHOS!$I$3:$I$3002,MATCH($C326,DESPACHOS!$B$3:$B$3002,0)),""))</f>
        <v/>
      </c>
      <c r="G326" s="42">
        <f>IF($C326="","",IFERROR(INDEX(DESPACHOS!$F$3:$F$3002,MATCH($C326,DESPACHOS!$B$3:$B$3002,0)),""))</f>
        <v/>
      </c>
      <c r="H326" s="42">
        <f>IF($C326="","",IFERROR(INDEX(DESPACHOS!$G$3:$G$3002,MATCH($C326,DESPACHOS!$B$3:$B$3002,0)),""))</f>
        <v/>
      </c>
      <c r="I326" s="39">
        <f>IF($C326="","",IFERROR(INDEX(DESPACHOS!$H$3:$H$3002,MATCH($C326,DESPACHOS!$B$3:$B$3002,0)),""))</f>
        <v/>
      </c>
      <c r="J326" s="43">
        <f>IF($C326="","",IFERROR(INDEX(DESPACHOS!$J$3:$J$3002,MATCH($C326,DESPACHOS!$B$3:$B$3002,0)),""))</f>
        <v/>
      </c>
      <c r="K326" s="39">
        <f>IF($C326="","",IF(COUNTIFS(DESPACHOS!$B$3:$B$3002,$C326)=0,"NO EXISTE",IF(COUNTIFS(DESPACHOS!$B$3:$B$3002,$C326)&gt;1,"DUPLICADO","OK")))</f>
        <v/>
      </c>
      <c r="L326" s="41" t="n"/>
      <c r="M326" s="41" t="n"/>
      <c r="N326" s="42">
        <f>IF($M326="","",IFERROR(INDEX(LISTAS!$F$3:$F$42,MATCH($M326,LISTAS!$E$3:$E$42,0)),"Por definir"))</f>
        <v/>
      </c>
      <c r="O326" s="41" t="n"/>
      <c r="P326" s="39">
        <f>IF($L326="","",IFERROR(INDEX(LISTAS!$B$3:$B$42,MATCH($L326,LISTAS!$A$3:$A$42,0)),"Media"))</f>
        <v/>
      </c>
      <c r="Q326" s="44" t="n"/>
      <c r="R326" s="45" t="n"/>
      <c r="S326" s="20">
        <f>IFERROR(IF(OR($R326="",$C326=""),"",$R326/INDEX(DESPACHOS!$M$3:$M$3002,MATCH($C326,DESPACHOS!$B$3:$B$3002,0))),"")</f>
        <v/>
      </c>
      <c r="T326" s="41" t="n"/>
      <c r="U326" s="43">
        <f>IF(OR($B326="",$L326=""),"",WORKDAY($B326,IFERROR(INDEX(LISTAS!$C$3:$C$42,MATCH($L326,LISTAS!$A$3:$A$42,0)),3)))</f>
        <v/>
      </c>
      <c r="V326" s="40" t="n"/>
      <c r="W326" s="19">
        <f>IF($B326="","",IF($V326&lt;&gt;"",$V326-$B326,TODAY()-$B326))</f>
        <v/>
      </c>
      <c r="X326" s="19">
        <f>IF(OR($B326="",$U326=""),"",IF($V326&lt;&gt;"",MAX(0,$V326-$U326),MAX(0,TODAY()-$U326)))</f>
        <v/>
      </c>
      <c r="Y326" s="39">
        <f>IF($C326="","",IF(IFERROR(INDEX(LISTAS!$I$3:$I$42,MATCH($T326,LISTAS!$H$3:$H$42,0)),"NO")="SÍ",IF(N($X326)&gt;0,"CERRADA FUERA DE SLA","CERRADA EN SLA"),IF($U326="","SIN CLASIFICAR",IF(N($X326)&gt;0,"VENCIDA",IF(TODAY()&gt;=$U326-1,"POR VENCER","EN PLAZO")))))</f>
        <v/>
      </c>
      <c r="Z326" s="41" t="n"/>
      <c r="AA326" s="41" t="n"/>
      <c r="AB326" s="41" t="n"/>
    </row>
    <row r="327">
      <c r="A327" s="39">
        <f>IF($C327="","","NOV-"&amp;TEXT(ROW()-3,"0000"))</f>
        <v/>
      </c>
      <c r="B327" s="40" t="n"/>
      <c r="C327" s="41" t="n"/>
      <c r="D327" s="42">
        <f>IF($C327="","",IFERROR(INDEX(DESPACHOS!$D$3:$D$3002,MATCH($C327,DESPACHOS!$B$3:$B$3002,0)),"SIN DESPACHO"))</f>
        <v/>
      </c>
      <c r="E327" s="42">
        <f>IF($C327="","",IFERROR(INDEX(DESPACHOS!$K$3:$K$3002,MATCH($C327,DESPACHOS!$B$3:$B$3002,0)),""))</f>
        <v/>
      </c>
      <c r="F327" s="42">
        <f>IF($C327="","",IFERROR(INDEX(DESPACHOS!$I$3:$I$3002,MATCH($C327,DESPACHOS!$B$3:$B$3002,0)),""))</f>
        <v/>
      </c>
      <c r="G327" s="42">
        <f>IF($C327="","",IFERROR(INDEX(DESPACHOS!$F$3:$F$3002,MATCH($C327,DESPACHOS!$B$3:$B$3002,0)),""))</f>
        <v/>
      </c>
      <c r="H327" s="42">
        <f>IF($C327="","",IFERROR(INDEX(DESPACHOS!$G$3:$G$3002,MATCH($C327,DESPACHOS!$B$3:$B$3002,0)),""))</f>
        <v/>
      </c>
      <c r="I327" s="39">
        <f>IF($C327="","",IFERROR(INDEX(DESPACHOS!$H$3:$H$3002,MATCH($C327,DESPACHOS!$B$3:$B$3002,0)),""))</f>
        <v/>
      </c>
      <c r="J327" s="43">
        <f>IF($C327="","",IFERROR(INDEX(DESPACHOS!$J$3:$J$3002,MATCH($C327,DESPACHOS!$B$3:$B$3002,0)),""))</f>
        <v/>
      </c>
      <c r="K327" s="39">
        <f>IF($C327="","",IF(COUNTIFS(DESPACHOS!$B$3:$B$3002,$C327)=0,"NO EXISTE",IF(COUNTIFS(DESPACHOS!$B$3:$B$3002,$C327)&gt;1,"DUPLICADO","OK")))</f>
        <v/>
      </c>
      <c r="L327" s="41" t="n"/>
      <c r="M327" s="41" t="n"/>
      <c r="N327" s="42">
        <f>IF($M327="","",IFERROR(INDEX(LISTAS!$F$3:$F$42,MATCH($M327,LISTAS!$E$3:$E$42,0)),"Por definir"))</f>
        <v/>
      </c>
      <c r="O327" s="41" t="n"/>
      <c r="P327" s="39">
        <f>IF($L327="","",IFERROR(INDEX(LISTAS!$B$3:$B$42,MATCH($L327,LISTAS!$A$3:$A$42,0)),"Media"))</f>
        <v/>
      </c>
      <c r="Q327" s="44" t="n"/>
      <c r="R327" s="45" t="n"/>
      <c r="S327" s="20">
        <f>IFERROR(IF(OR($R327="",$C327=""),"",$R327/INDEX(DESPACHOS!$M$3:$M$3002,MATCH($C327,DESPACHOS!$B$3:$B$3002,0))),"")</f>
        <v/>
      </c>
      <c r="T327" s="41" t="n"/>
      <c r="U327" s="43">
        <f>IF(OR($B327="",$L327=""),"",WORKDAY($B327,IFERROR(INDEX(LISTAS!$C$3:$C$42,MATCH($L327,LISTAS!$A$3:$A$42,0)),3)))</f>
        <v/>
      </c>
      <c r="V327" s="40" t="n"/>
      <c r="W327" s="19">
        <f>IF($B327="","",IF($V327&lt;&gt;"",$V327-$B327,TODAY()-$B327))</f>
        <v/>
      </c>
      <c r="X327" s="19">
        <f>IF(OR($B327="",$U327=""),"",IF($V327&lt;&gt;"",MAX(0,$V327-$U327),MAX(0,TODAY()-$U327)))</f>
        <v/>
      </c>
      <c r="Y327" s="39">
        <f>IF($C327="","",IF(IFERROR(INDEX(LISTAS!$I$3:$I$42,MATCH($T327,LISTAS!$H$3:$H$42,0)),"NO")="SÍ",IF(N($X327)&gt;0,"CERRADA FUERA DE SLA","CERRADA EN SLA"),IF($U327="","SIN CLASIFICAR",IF(N($X327)&gt;0,"VENCIDA",IF(TODAY()&gt;=$U327-1,"POR VENCER","EN PLAZO")))))</f>
        <v/>
      </c>
      <c r="Z327" s="41" t="n"/>
      <c r="AA327" s="41" t="n"/>
      <c r="AB327" s="41" t="n"/>
    </row>
    <row r="328">
      <c r="A328" s="39">
        <f>IF($C328="","","NOV-"&amp;TEXT(ROW()-3,"0000"))</f>
        <v/>
      </c>
      <c r="B328" s="40" t="n"/>
      <c r="C328" s="41" t="n"/>
      <c r="D328" s="42">
        <f>IF($C328="","",IFERROR(INDEX(DESPACHOS!$D$3:$D$3002,MATCH($C328,DESPACHOS!$B$3:$B$3002,0)),"SIN DESPACHO"))</f>
        <v/>
      </c>
      <c r="E328" s="42">
        <f>IF($C328="","",IFERROR(INDEX(DESPACHOS!$K$3:$K$3002,MATCH($C328,DESPACHOS!$B$3:$B$3002,0)),""))</f>
        <v/>
      </c>
      <c r="F328" s="42">
        <f>IF($C328="","",IFERROR(INDEX(DESPACHOS!$I$3:$I$3002,MATCH($C328,DESPACHOS!$B$3:$B$3002,0)),""))</f>
        <v/>
      </c>
      <c r="G328" s="42">
        <f>IF($C328="","",IFERROR(INDEX(DESPACHOS!$F$3:$F$3002,MATCH($C328,DESPACHOS!$B$3:$B$3002,0)),""))</f>
        <v/>
      </c>
      <c r="H328" s="42">
        <f>IF($C328="","",IFERROR(INDEX(DESPACHOS!$G$3:$G$3002,MATCH($C328,DESPACHOS!$B$3:$B$3002,0)),""))</f>
        <v/>
      </c>
      <c r="I328" s="39">
        <f>IF($C328="","",IFERROR(INDEX(DESPACHOS!$H$3:$H$3002,MATCH($C328,DESPACHOS!$B$3:$B$3002,0)),""))</f>
        <v/>
      </c>
      <c r="J328" s="43">
        <f>IF($C328="","",IFERROR(INDEX(DESPACHOS!$J$3:$J$3002,MATCH($C328,DESPACHOS!$B$3:$B$3002,0)),""))</f>
        <v/>
      </c>
      <c r="K328" s="39">
        <f>IF($C328="","",IF(COUNTIFS(DESPACHOS!$B$3:$B$3002,$C328)=0,"NO EXISTE",IF(COUNTIFS(DESPACHOS!$B$3:$B$3002,$C328)&gt;1,"DUPLICADO","OK")))</f>
        <v/>
      </c>
      <c r="L328" s="41" t="n"/>
      <c r="M328" s="41" t="n"/>
      <c r="N328" s="42">
        <f>IF($M328="","",IFERROR(INDEX(LISTAS!$F$3:$F$42,MATCH($M328,LISTAS!$E$3:$E$42,0)),"Por definir"))</f>
        <v/>
      </c>
      <c r="O328" s="41" t="n"/>
      <c r="P328" s="39">
        <f>IF($L328="","",IFERROR(INDEX(LISTAS!$B$3:$B$42,MATCH($L328,LISTAS!$A$3:$A$42,0)),"Media"))</f>
        <v/>
      </c>
      <c r="Q328" s="44" t="n"/>
      <c r="R328" s="45" t="n"/>
      <c r="S328" s="20">
        <f>IFERROR(IF(OR($R328="",$C328=""),"",$R328/INDEX(DESPACHOS!$M$3:$M$3002,MATCH($C328,DESPACHOS!$B$3:$B$3002,0))),"")</f>
        <v/>
      </c>
      <c r="T328" s="41" t="n"/>
      <c r="U328" s="43">
        <f>IF(OR($B328="",$L328=""),"",WORKDAY($B328,IFERROR(INDEX(LISTAS!$C$3:$C$42,MATCH($L328,LISTAS!$A$3:$A$42,0)),3)))</f>
        <v/>
      </c>
      <c r="V328" s="40" t="n"/>
      <c r="W328" s="19">
        <f>IF($B328="","",IF($V328&lt;&gt;"",$V328-$B328,TODAY()-$B328))</f>
        <v/>
      </c>
      <c r="X328" s="19">
        <f>IF(OR($B328="",$U328=""),"",IF($V328&lt;&gt;"",MAX(0,$V328-$U328),MAX(0,TODAY()-$U328)))</f>
        <v/>
      </c>
      <c r="Y328" s="39">
        <f>IF($C328="","",IF(IFERROR(INDEX(LISTAS!$I$3:$I$42,MATCH($T328,LISTAS!$H$3:$H$42,0)),"NO")="SÍ",IF(N($X328)&gt;0,"CERRADA FUERA DE SLA","CERRADA EN SLA"),IF($U328="","SIN CLASIFICAR",IF(N($X328)&gt;0,"VENCIDA",IF(TODAY()&gt;=$U328-1,"POR VENCER","EN PLAZO")))))</f>
        <v/>
      </c>
      <c r="Z328" s="41" t="n"/>
      <c r="AA328" s="41" t="n"/>
      <c r="AB328" s="41" t="n"/>
    </row>
    <row r="329">
      <c r="A329" s="39">
        <f>IF($C329="","","NOV-"&amp;TEXT(ROW()-3,"0000"))</f>
        <v/>
      </c>
      <c r="B329" s="40" t="n"/>
      <c r="C329" s="41" t="n"/>
      <c r="D329" s="42">
        <f>IF($C329="","",IFERROR(INDEX(DESPACHOS!$D$3:$D$3002,MATCH($C329,DESPACHOS!$B$3:$B$3002,0)),"SIN DESPACHO"))</f>
        <v/>
      </c>
      <c r="E329" s="42">
        <f>IF($C329="","",IFERROR(INDEX(DESPACHOS!$K$3:$K$3002,MATCH($C329,DESPACHOS!$B$3:$B$3002,0)),""))</f>
        <v/>
      </c>
      <c r="F329" s="42">
        <f>IF($C329="","",IFERROR(INDEX(DESPACHOS!$I$3:$I$3002,MATCH($C329,DESPACHOS!$B$3:$B$3002,0)),""))</f>
        <v/>
      </c>
      <c r="G329" s="42">
        <f>IF($C329="","",IFERROR(INDEX(DESPACHOS!$F$3:$F$3002,MATCH($C329,DESPACHOS!$B$3:$B$3002,0)),""))</f>
        <v/>
      </c>
      <c r="H329" s="42">
        <f>IF($C329="","",IFERROR(INDEX(DESPACHOS!$G$3:$G$3002,MATCH($C329,DESPACHOS!$B$3:$B$3002,0)),""))</f>
        <v/>
      </c>
      <c r="I329" s="39">
        <f>IF($C329="","",IFERROR(INDEX(DESPACHOS!$H$3:$H$3002,MATCH($C329,DESPACHOS!$B$3:$B$3002,0)),""))</f>
        <v/>
      </c>
      <c r="J329" s="43">
        <f>IF($C329="","",IFERROR(INDEX(DESPACHOS!$J$3:$J$3002,MATCH($C329,DESPACHOS!$B$3:$B$3002,0)),""))</f>
        <v/>
      </c>
      <c r="K329" s="39">
        <f>IF($C329="","",IF(COUNTIFS(DESPACHOS!$B$3:$B$3002,$C329)=0,"NO EXISTE",IF(COUNTIFS(DESPACHOS!$B$3:$B$3002,$C329)&gt;1,"DUPLICADO","OK")))</f>
        <v/>
      </c>
      <c r="L329" s="41" t="n"/>
      <c r="M329" s="41" t="n"/>
      <c r="N329" s="42">
        <f>IF($M329="","",IFERROR(INDEX(LISTAS!$F$3:$F$42,MATCH($M329,LISTAS!$E$3:$E$42,0)),"Por definir"))</f>
        <v/>
      </c>
      <c r="O329" s="41" t="n"/>
      <c r="P329" s="39">
        <f>IF($L329="","",IFERROR(INDEX(LISTAS!$B$3:$B$42,MATCH($L329,LISTAS!$A$3:$A$42,0)),"Media"))</f>
        <v/>
      </c>
      <c r="Q329" s="44" t="n"/>
      <c r="R329" s="45" t="n"/>
      <c r="S329" s="20">
        <f>IFERROR(IF(OR($R329="",$C329=""),"",$R329/INDEX(DESPACHOS!$M$3:$M$3002,MATCH($C329,DESPACHOS!$B$3:$B$3002,0))),"")</f>
        <v/>
      </c>
      <c r="T329" s="41" t="n"/>
      <c r="U329" s="43">
        <f>IF(OR($B329="",$L329=""),"",WORKDAY($B329,IFERROR(INDEX(LISTAS!$C$3:$C$42,MATCH($L329,LISTAS!$A$3:$A$42,0)),3)))</f>
        <v/>
      </c>
      <c r="V329" s="40" t="n"/>
      <c r="W329" s="19">
        <f>IF($B329="","",IF($V329&lt;&gt;"",$V329-$B329,TODAY()-$B329))</f>
        <v/>
      </c>
      <c r="X329" s="19">
        <f>IF(OR($B329="",$U329=""),"",IF($V329&lt;&gt;"",MAX(0,$V329-$U329),MAX(0,TODAY()-$U329)))</f>
        <v/>
      </c>
      <c r="Y329" s="39">
        <f>IF($C329="","",IF(IFERROR(INDEX(LISTAS!$I$3:$I$42,MATCH($T329,LISTAS!$H$3:$H$42,0)),"NO")="SÍ",IF(N($X329)&gt;0,"CERRADA FUERA DE SLA","CERRADA EN SLA"),IF($U329="","SIN CLASIFICAR",IF(N($X329)&gt;0,"VENCIDA",IF(TODAY()&gt;=$U329-1,"POR VENCER","EN PLAZO")))))</f>
        <v/>
      </c>
      <c r="Z329" s="41" t="n"/>
      <c r="AA329" s="41" t="n"/>
      <c r="AB329" s="41" t="n"/>
    </row>
    <row r="330">
      <c r="A330" s="39">
        <f>IF($C330="","","NOV-"&amp;TEXT(ROW()-3,"0000"))</f>
        <v/>
      </c>
      <c r="B330" s="40" t="n"/>
      <c r="C330" s="41" t="n"/>
      <c r="D330" s="42">
        <f>IF($C330="","",IFERROR(INDEX(DESPACHOS!$D$3:$D$3002,MATCH($C330,DESPACHOS!$B$3:$B$3002,0)),"SIN DESPACHO"))</f>
        <v/>
      </c>
      <c r="E330" s="42">
        <f>IF($C330="","",IFERROR(INDEX(DESPACHOS!$K$3:$K$3002,MATCH($C330,DESPACHOS!$B$3:$B$3002,0)),""))</f>
        <v/>
      </c>
      <c r="F330" s="42">
        <f>IF($C330="","",IFERROR(INDEX(DESPACHOS!$I$3:$I$3002,MATCH($C330,DESPACHOS!$B$3:$B$3002,0)),""))</f>
        <v/>
      </c>
      <c r="G330" s="42">
        <f>IF($C330="","",IFERROR(INDEX(DESPACHOS!$F$3:$F$3002,MATCH($C330,DESPACHOS!$B$3:$B$3002,0)),""))</f>
        <v/>
      </c>
      <c r="H330" s="42">
        <f>IF($C330="","",IFERROR(INDEX(DESPACHOS!$G$3:$G$3002,MATCH($C330,DESPACHOS!$B$3:$B$3002,0)),""))</f>
        <v/>
      </c>
      <c r="I330" s="39">
        <f>IF($C330="","",IFERROR(INDEX(DESPACHOS!$H$3:$H$3002,MATCH($C330,DESPACHOS!$B$3:$B$3002,0)),""))</f>
        <v/>
      </c>
      <c r="J330" s="43">
        <f>IF($C330="","",IFERROR(INDEX(DESPACHOS!$J$3:$J$3002,MATCH($C330,DESPACHOS!$B$3:$B$3002,0)),""))</f>
        <v/>
      </c>
      <c r="K330" s="39">
        <f>IF($C330="","",IF(COUNTIFS(DESPACHOS!$B$3:$B$3002,$C330)=0,"NO EXISTE",IF(COUNTIFS(DESPACHOS!$B$3:$B$3002,$C330)&gt;1,"DUPLICADO","OK")))</f>
        <v/>
      </c>
      <c r="L330" s="41" t="n"/>
      <c r="M330" s="41" t="n"/>
      <c r="N330" s="42">
        <f>IF($M330="","",IFERROR(INDEX(LISTAS!$F$3:$F$42,MATCH($M330,LISTAS!$E$3:$E$42,0)),"Por definir"))</f>
        <v/>
      </c>
      <c r="O330" s="41" t="n"/>
      <c r="P330" s="39">
        <f>IF($L330="","",IFERROR(INDEX(LISTAS!$B$3:$B$42,MATCH($L330,LISTAS!$A$3:$A$42,0)),"Media"))</f>
        <v/>
      </c>
      <c r="Q330" s="44" t="n"/>
      <c r="R330" s="45" t="n"/>
      <c r="S330" s="20">
        <f>IFERROR(IF(OR($R330="",$C330=""),"",$R330/INDEX(DESPACHOS!$M$3:$M$3002,MATCH($C330,DESPACHOS!$B$3:$B$3002,0))),"")</f>
        <v/>
      </c>
      <c r="T330" s="41" t="n"/>
      <c r="U330" s="43">
        <f>IF(OR($B330="",$L330=""),"",WORKDAY($B330,IFERROR(INDEX(LISTAS!$C$3:$C$42,MATCH($L330,LISTAS!$A$3:$A$42,0)),3)))</f>
        <v/>
      </c>
      <c r="V330" s="40" t="n"/>
      <c r="W330" s="19">
        <f>IF($B330="","",IF($V330&lt;&gt;"",$V330-$B330,TODAY()-$B330))</f>
        <v/>
      </c>
      <c r="X330" s="19">
        <f>IF(OR($B330="",$U330=""),"",IF($V330&lt;&gt;"",MAX(0,$V330-$U330),MAX(0,TODAY()-$U330)))</f>
        <v/>
      </c>
      <c r="Y330" s="39">
        <f>IF($C330="","",IF(IFERROR(INDEX(LISTAS!$I$3:$I$42,MATCH($T330,LISTAS!$H$3:$H$42,0)),"NO")="SÍ",IF(N($X330)&gt;0,"CERRADA FUERA DE SLA","CERRADA EN SLA"),IF($U330="","SIN CLASIFICAR",IF(N($X330)&gt;0,"VENCIDA",IF(TODAY()&gt;=$U330-1,"POR VENCER","EN PLAZO")))))</f>
        <v/>
      </c>
      <c r="Z330" s="41" t="n"/>
      <c r="AA330" s="41" t="n"/>
      <c r="AB330" s="41" t="n"/>
    </row>
    <row r="331">
      <c r="A331" s="39">
        <f>IF($C331="","","NOV-"&amp;TEXT(ROW()-3,"0000"))</f>
        <v/>
      </c>
      <c r="B331" s="40" t="n"/>
      <c r="C331" s="41" t="n"/>
      <c r="D331" s="42">
        <f>IF($C331="","",IFERROR(INDEX(DESPACHOS!$D$3:$D$3002,MATCH($C331,DESPACHOS!$B$3:$B$3002,0)),"SIN DESPACHO"))</f>
        <v/>
      </c>
      <c r="E331" s="42">
        <f>IF($C331="","",IFERROR(INDEX(DESPACHOS!$K$3:$K$3002,MATCH($C331,DESPACHOS!$B$3:$B$3002,0)),""))</f>
        <v/>
      </c>
      <c r="F331" s="42">
        <f>IF($C331="","",IFERROR(INDEX(DESPACHOS!$I$3:$I$3002,MATCH($C331,DESPACHOS!$B$3:$B$3002,0)),""))</f>
        <v/>
      </c>
      <c r="G331" s="42">
        <f>IF($C331="","",IFERROR(INDEX(DESPACHOS!$F$3:$F$3002,MATCH($C331,DESPACHOS!$B$3:$B$3002,0)),""))</f>
        <v/>
      </c>
      <c r="H331" s="42">
        <f>IF($C331="","",IFERROR(INDEX(DESPACHOS!$G$3:$G$3002,MATCH($C331,DESPACHOS!$B$3:$B$3002,0)),""))</f>
        <v/>
      </c>
      <c r="I331" s="39">
        <f>IF($C331="","",IFERROR(INDEX(DESPACHOS!$H$3:$H$3002,MATCH($C331,DESPACHOS!$B$3:$B$3002,0)),""))</f>
        <v/>
      </c>
      <c r="J331" s="43">
        <f>IF($C331="","",IFERROR(INDEX(DESPACHOS!$J$3:$J$3002,MATCH($C331,DESPACHOS!$B$3:$B$3002,0)),""))</f>
        <v/>
      </c>
      <c r="K331" s="39">
        <f>IF($C331="","",IF(COUNTIFS(DESPACHOS!$B$3:$B$3002,$C331)=0,"NO EXISTE",IF(COUNTIFS(DESPACHOS!$B$3:$B$3002,$C331)&gt;1,"DUPLICADO","OK")))</f>
        <v/>
      </c>
      <c r="L331" s="41" t="n"/>
      <c r="M331" s="41" t="n"/>
      <c r="N331" s="42">
        <f>IF($M331="","",IFERROR(INDEX(LISTAS!$F$3:$F$42,MATCH($M331,LISTAS!$E$3:$E$42,0)),"Por definir"))</f>
        <v/>
      </c>
      <c r="O331" s="41" t="n"/>
      <c r="P331" s="39">
        <f>IF($L331="","",IFERROR(INDEX(LISTAS!$B$3:$B$42,MATCH($L331,LISTAS!$A$3:$A$42,0)),"Media"))</f>
        <v/>
      </c>
      <c r="Q331" s="44" t="n"/>
      <c r="R331" s="45" t="n"/>
      <c r="S331" s="20">
        <f>IFERROR(IF(OR($R331="",$C331=""),"",$R331/INDEX(DESPACHOS!$M$3:$M$3002,MATCH($C331,DESPACHOS!$B$3:$B$3002,0))),"")</f>
        <v/>
      </c>
      <c r="T331" s="41" t="n"/>
      <c r="U331" s="43">
        <f>IF(OR($B331="",$L331=""),"",WORKDAY($B331,IFERROR(INDEX(LISTAS!$C$3:$C$42,MATCH($L331,LISTAS!$A$3:$A$42,0)),3)))</f>
        <v/>
      </c>
      <c r="V331" s="40" t="n"/>
      <c r="W331" s="19">
        <f>IF($B331="","",IF($V331&lt;&gt;"",$V331-$B331,TODAY()-$B331))</f>
        <v/>
      </c>
      <c r="X331" s="19">
        <f>IF(OR($B331="",$U331=""),"",IF($V331&lt;&gt;"",MAX(0,$V331-$U331),MAX(0,TODAY()-$U331)))</f>
        <v/>
      </c>
      <c r="Y331" s="39">
        <f>IF($C331="","",IF(IFERROR(INDEX(LISTAS!$I$3:$I$42,MATCH($T331,LISTAS!$H$3:$H$42,0)),"NO")="SÍ",IF(N($X331)&gt;0,"CERRADA FUERA DE SLA","CERRADA EN SLA"),IF($U331="","SIN CLASIFICAR",IF(N($X331)&gt;0,"VENCIDA",IF(TODAY()&gt;=$U331-1,"POR VENCER","EN PLAZO")))))</f>
        <v/>
      </c>
      <c r="Z331" s="41" t="n"/>
      <c r="AA331" s="41" t="n"/>
      <c r="AB331" s="41" t="n"/>
    </row>
    <row r="332">
      <c r="A332" s="39">
        <f>IF($C332="","","NOV-"&amp;TEXT(ROW()-3,"0000"))</f>
        <v/>
      </c>
      <c r="B332" s="40" t="n"/>
      <c r="C332" s="41" t="n"/>
      <c r="D332" s="42">
        <f>IF($C332="","",IFERROR(INDEX(DESPACHOS!$D$3:$D$3002,MATCH($C332,DESPACHOS!$B$3:$B$3002,0)),"SIN DESPACHO"))</f>
        <v/>
      </c>
      <c r="E332" s="42">
        <f>IF($C332="","",IFERROR(INDEX(DESPACHOS!$K$3:$K$3002,MATCH($C332,DESPACHOS!$B$3:$B$3002,0)),""))</f>
        <v/>
      </c>
      <c r="F332" s="42">
        <f>IF($C332="","",IFERROR(INDEX(DESPACHOS!$I$3:$I$3002,MATCH($C332,DESPACHOS!$B$3:$B$3002,0)),""))</f>
        <v/>
      </c>
      <c r="G332" s="42">
        <f>IF($C332="","",IFERROR(INDEX(DESPACHOS!$F$3:$F$3002,MATCH($C332,DESPACHOS!$B$3:$B$3002,0)),""))</f>
        <v/>
      </c>
      <c r="H332" s="42">
        <f>IF($C332="","",IFERROR(INDEX(DESPACHOS!$G$3:$G$3002,MATCH($C332,DESPACHOS!$B$3:$B$3002,0)),""))</f>
        <v/>
      </c>
      <c r="I332" s="39">
        <f>IF($C332="","",IFERROR(INDEX(DESPACHOS!$H$3:$H$3002,MATCH($C332,DESPACHOS!$B$3:$B$3002,0)),""))</f>
        <v/>
      </c>
      <c r="J332" s="43">
        <f>IF($C332="","",IFERROR(INDEX(DESPACHOS!$J$3:$J$3002,MATCH($C332,DESPACHOS!$B$3:$B$3002,0)),""))</f>
        <v/>
      </c>
      <c r="K332" s="39">
        <f>IF($C332="","",IF(COUNTIFS(DESPACHOS!$B$3:$B$3002,$C332)=0,"NO EXISTE",IF(COUNTIFS(DESPACHOS!$B$3:$B$3002,$C332)&gt;1,"DUPLICADO","OK")))</f>
        <v/>
      </c>
      <c r="L332" s="41" t="n"/>
      <c r="M332" s="41" t="n"/>
      <c r="N332" s="42">
        <f>IF($M332="","",IFERROR(INDEX(LISTAS!$F$3:$F$42,MATCH($M332,LISTAS!$E$3:$E$42,0)),"Por definir"))</f>
        <v/>
      </c>
      <c r="O332" s="41" t="n"/>
      <c r="P332" s="39">
        <f>IF($L332="","",IFERROR(INDEX(LISTAS!$B$3:$B$42,MATCH($L332,LISTAS!$A$3:$A$42,0)),"Media"))</f>
        <v/>
      </c>
      <c r="Q332" s="44" t="n"/>
      <c r="R332" s="45" t="n"/>
      <c r="S332" s="20">
        <f>IFERROR(IF(OR($R332="",$C332=""),"",$R332/INDEX(DESPACHOS!$M$3:$M$3002,MATCH($C332,DESPACHOS!$B$3:$B$3002,0))),"")</f>
        <v/>
      </c>
      <c r="T332" s="41" t="n"/>
      <c r="U332" s="43">
        <f>IF(OR($B332="",$L332=""),"",WORKDAY($B332,IFERROR(INDEX(LISTAS!$C$3:$C$42,MATCH($L332,LISTAS!$A$3:$A$42,0)),3)))</f>
        <v/>
      </c>
      <c r="V332" s="40" t="n"/>
      <c r="W332" s="19">
        <f>IF($B332="","",IF($V332&lt;&gt;"",$V332-$B332,TODAY()-$B332))</f>
        <v/>
      </c>
      <c r="X332" s="19">
        <f>IF(OR($B332="",$U332=""),"",IF($V332&lt;&gt;"",MAX(0,$V332-$U332),MAX(0,TODAY()-$U332)))</f>
        <v/>
      </c>
      <c r="Y332" s="39">
        <f>IF($C332="","",IF(IFERROR(INDEX(LISTAS!$I$3:$I$42,MATCH($T332,LISTAS!$H$3:$H$42,0)),"NO")="SÍ",IF(N($X332)&gt;0,"CERRADA FUERA DE SLA","CERRADA EN SLA"),IF($U332="","SIN CLASIFICAR",IF(N($X332)&gt;0,"VENCIDA",IF(TODAY()&gt;=$U332-1,"POR VENCER","EN PLAZO")))))</f>
        <v/>
      </c>
      <c r="Z332" s="41" t="n"/>
      <c r="AA332" s="41" t="n"/>
      <c r="AB332" s="41" t="n"/>
    </row>
    <row r="333">
      <c r="A333" s="39">
        <f>IF($C333="","","NOV-"&amp;TEXT(ROW()-3,"0000"))</f>
        <v/>
      </c>
      <c r="B333" s="40" t="n"/>
      <c r="C333" s="41" t="n"/>
      <c r="D333" s="42">
        <f>IF($C333="","",IFERROR(INDEX(DESPACHOS!$D$3:$D$3002,MATCH($C333,DESPACHOS!$B$3:$B$3002,0)),"SIN DESPACHO"))</f>
        <v/>
      </c>
      <c r="E333" s="42">
        <f>IF($C333="","",IFERROR(INDEX(DESPACHOS!$K$3:$K$3002,MATCH($C333,DESPACHOS!$B$3:$B$3002,0)),""))</f>
        <v/>
      </c>
      <c r="F333" s="42">
        <f>IF($C333="","",IFERROR(INDEX(DESPACHOS!$I$3:$I$3002,MATCH($C333,DESPACHOS!$B$3:$B$3002,0)),""))</f>
        <v/>
      </c>
      <c r="G333" s="42">
        <f>IF($C333="","",IFERROR(INDEX(DESPACHOS!$F$3:$F$3002,MATCH($C333,DESPACHOS!$B$3:$B$3002,0)),""))</f>
        <v/>
      </c>
      <c r="H333" s="42">
        <f>IF($C333="","",IFERROR(INDEX(DESPACHOS!$G$3:$G$3002,MATCH($C333,DESPACHOS!$B$3:$B$3002,0)),""))</f>
        <v/>
      </c>
      <c r="I333" s="39">
        <f>IF($C333="","",IFERROR(INDEX(DESPACHOS!$H$3:$H$3002,MATCH($C333,DESPACHOS!$B$3:$B$3002,0)),""))</f>
        <v/>
      </c>
      <c r="J333" s="43">
        <f>IF($C333="","",IFERROR(INDEX(DESPACHOS!$J$3:$J$3002,MATCH($C333,DESPACHOS!$B$3:$B$3002,0)),""))</f>
        <v/>
      </c>
      <c r="K333" s="39">
        <f>IF($C333="","",IF(COUNTIFS(DESPACHOS!$B$3:$B$3002,$C333)=0,"NO EXISTE",IF(COUNTIFS(DESPACHOS!$B$3:$B$3002,$C333)&gt;1,"DUPLICADO","OK")))</f>
        <v/>
      </c>
      <c r="L333" s="41" t="n"/>
      <c r="M333" s="41" t="n"/>
      <c r="N333" s="42">
        <f>IF($M333="","",IFERROR(INDEX(LISTAS!$F$3:$F$42,MATCH($M333,LISTAS!$E$3:$E$42,0)),"Por definir"))</f>
        <v/>
      </c>
      <c r="O333" s="41" t="n"/>
      <c r="P333" s="39">
        <f>IF($L333="","",IFERROR(INDEX(LISTAS!$B$3:$B$42,MATCH($L333,LISTAS!$A$3:$A$42,0)),"Media"))</f>
        <v/>
      </c>
      <c r="Q333" s="44" t="n"/>
      <c r="R333" s="45" t="n"/>
      <c r="S333" s="20">
        <f>IFERROR(IF(OR($R333="",$C333=""),"",$R333/INDEX(DESPACHOS!$M$3:$M$3002,MATCH($C333,DESPACHOS!$B$3:$B$3002,0))),"")</f>
        <v/>
      </c>
      <c r="T333" s="41" t="n"/>
      <c r="U333" s="43">
        <f>IF(OR($B333="",$L333=""),"",WORKDAY($B333,IFERROR(INDEX(LISTAS!$C$3:$C$42,MATCH($L333,LISTAS!$A$3:$A$42,0)),3)))</f>
        <v/>
      </c>
      <c r="V333" s="40" t="n"/>
      <c r="W333" s="19">
        <f>IF($B333="","",IF($V333&lt;&gt;"",$V333-$B333,TODAY()-$B333))</f>
        <v/>
      </c>
      <c r="X333" s="19">
        <f>IF(OR($B333="",$U333=""),"",IF($V333&lt;&gt;"",MAX(0,$V333-$U333),MAX(0,TODAY()-$U333)))</f>
        <v/>
      </c>
      <c r="Y333" s="39">
        <f>IF($C333="","",IF(IFERROR(INDEX(LISTAS!$I$3:$I$42,MATCH($T333,LISTAS!$H$3:$H$42,0)),"NO")="SÍ",IF(N($X333)&gt;0,"CERRADA FUERA DE SLA","CERRADA EN SLA"),IF($U333="","SIN CLASIFICAR",IF(N($X333)&gt;0,"VENCIDA",IF(TODAY()&gt;=$U333-1,"POR VENCER","EN PLAZO")))))</f>
        <v/>
      </c>
      <c r="Z333" s="41" t="n"/>
      <c r="AA333" s="41" t="n"/>
      <c r="AB333" s="41" t="n"/>
    </row>
    <row r="334">
      <c r="A334" s="39">
        <f>IF($C334="","","NOV-"&amp;TEXT(ROW()-3,"0000"))</f>
        <v/>
      </c>
      <c r="B334" s="40" t="n"/>
      <c r="C334" s="41" t="n"/>
      <c r="D334" s="42">
        <f>IF($C334="","",IFERROR(INDEX(DESPACHOS!$D$3:$D$3002,MATCH($C334,DESPACHOS!$B$3:$B$3002,0)),"SIN DESPACHO"))</f>
        <v/>
      </c>
      <c r="E334" s="42">
        <f>IF($C334="","",IFERROR(INDEX(DESPACHOS!$K$3:$K$3002,MATCH($C334,DESPACHOS!$B$3:$B$3002,0)),""))</f>
        <v/>
      </c>
      <c r="F334" s="42">
        <f>IF($C334="","",IFERROR(INDEX(DESPACHOS!$I$3:$I$3002,MATCH($C334,DESPACHOS!$B$3:$B$3002,0)),""))</f>
        <v/>
      </c>
      <c r="G334" s="42">
        <f>IF($C334="","",IFERROR(INDEX(DESPACHOS!$F$3:$F$3002,MATCH($C334,DESPACHOS!$B$3:$B$3002,0)),""))</f>
        <v/>
      </c>
      <c r="H334" s="42">
        <f>IF($C334="","",IFERROR(INDEX(DESPACHOS!$G$3:$G$3002,MATCH($C334,DESPACHOS!$B$3:$B$3002,0)),""))</f>
        <v/>
      </c>
      <c r="I334" s="39">
        <f>IF($C334="","",IFERROR(INDEX(DESPACHOS!$H$3:$H$3002,MATCH($C334,DESPACHOS!$B$3:$B$3002,0)),""))</f>
        <v/>
      </c>
      <c r="J334" s="43">
        <f>IF($C334="","",IFERROR(INDEX(DESPACHOS!$J$3:$J$3002,MATCH($C334,DESPACHOS!$B$3:$B$3002,0)),""))</f>
        <v/>
      </c>
      <c r="K334" s="39">
        <f>IF($C334="","",IF(COUNTIFS(DESPACHOS!$B$3:$B$3002,$C334)=0,"NO EXISTE",IF(COUNTIFS(DESPACHOS!$B$3:$B$3002,$C334)&gt;1,"DUPLICADO","OK")))</f>
        <v/>
      </c>
      <c r="L334" s="41" t="n"/>
      <c r="M334" s="41" t="n"/>
      <c r="N334" s="42">
        <f>IF($M334="","",IFERROR(INDEX(LISTAS!$F$3:$F$42,MATCH($M334,LISTAS!$E$3:$E$42,0)),"Por definir"))</f>
        <v/>
      </c>
      <c r="O334" s="41" t="n"/>
      <c r="P334" s="39">
        <f>IF($L334="","",IFERROR(INDEX(LISTAS!$B$3:$B$42,MATCH($L334,LISTAS!$A$3:$A$42,0)),"Media"))</f>
        <v/>
      </c>
      <c r="Q334" s="44" t="n"/>
      <c r="R334" s="45" t="n"/>
      <c r="S334" s="20">
        <f>IFERROR(IF(OR($R334="",$C334=""),"",$R334/INDEX(DESPACHOS!$M$3:$M$3002,MATCH($C334,DESPACHOS!$B$3:$B$3002,0))),"")</f>
        <v/>
      </c>
      <c r="T334" s="41" t="n"/>
      <c r="U334" s="43">
        <f>IF(OR($B334="",$L334=""),"",WORKDAY($B334,IFERROR(INDEX(LISTAS!$C$3:$C$42,MATCH($L334,LISTAS!$A$3:$A$42,0)),3)))</f>
        <v/>
      </c>
      <c r="V334" s="40" t="n"/>
      <c r="W334" s="19">
        <f>IF($B334="","",IF($V334&lt;&gt;"",$V334-$B334,TODAY()-$B334))</f>
        <v/>
      </c>
      <c r="X334" s="19">
        <f>IF(OR($B334="",$U334=""),"",IF($V334&lt;&gt;"",MAX(0,$V334-$U334),MAX(0,TODAY()-$U334)))</f>
        <v/>
      </c>
      <c r="Y334" s="39">
        <f>IF($C334="","",IF(IFERROR(INDEX(LISTAS!$I$3:$I$42,MATCH($T334,LISTAS!$H$3:$H$42,0)),"NO")="SÍ",IF(N($X334)&gt;0,"CERRADA FUERA DE SLA","CERRADA EN SLA"),IF($U334="","SIN CLASIFICAR",IF(N($X334)&gt;0,"VENCIDA",IF(TODAY()&gt;=$U334-1,"POR VENCER","EN PLAZO")))))</f>
        <v/>
      </c>
      <c r="Z334" s="41" t="n"/>
      <c r="AA334" s="41" t="n"/>
      <c r="AB334" s="41" t="n"/>
    </row>
    <row r="335">
      <c r="A335" s="39">
        <f>IF($C335="","","NOV-"&amp;TEXT(ROW()-3,"0000"))</f>
        <v/>
      </c>
      <c r="B335" s="40" t="n"/>
      <c r="C335" s="41" t="n"/>
      <c r="D335" s="42">
        <f>IF($C335="","",IFERROR(INDEX(DESPACHOS!$D$3:$D$3002,MATCH($C335,DESPACHOS!$B$3:$B$3002,0)),"SIN DESPACHO"))</f>
        <v/>
      </c>
      <c r="E335" s="42">
        <f>IF($C335="","",IFERROR(INDEX(DESPACHOS!$K$3:$K$3002,MATCH($C335,DESPACHOS!$B$3:$B$3002,0)),""))</f>
        <v/>
      </c>
      <c r="F335" s="42">
        <f>IF($C335="","",IFERROR(INDEX(DESPACHOS!$I$3:$I$3002,MATCH($C335,DESPACHOS!$B$3:$B$3002,0)),""))</f>
        <v/>
      </c>
      <c r="G335" s="42">
        <f>IF($C335="","",IFERROR(INDEX(DESPACHOS!$F$3:$F$3002,MATCH($C335,DESPACHOS!$B$3:$B$3002,0)),""))</f>
        <v/>
      </c>
      <c r="H335" s="42">
        <f>IF($C335="","",IFERROR(INDEX(DESPACHOS!$G$3:$G$3002,MATCH($C335,DESPACHOS!$B$3:$B$3002,0)),""))</f>
        <v/>
      </c>
      <c r="I335" s="39">
        <f>IF($C335="","",IFERROR(INDEX(DESPACHOS!$H$3:$H$3002,MATCH($C335,DESPACHOS!$B$3:$B$3002,0)),""))</f>
        <v/>
      </c>
      <c r="J335" s="43">
        <f>IF($C335="","",IFERROR(INDEX(DESPACHOS!$J$3:$J$3002,MATCH($C335,DESPACHOS!$B$3:$B$3002,0)),""))</f>
        <v/>
      </c>
      <c r="K335" s="39">
        <f>IF($C335="","",IF(COUNTIFS(DESPACHOS!$B$3:$B$3002,$C335)=0,"NO EXISTE",IF(COUNTIFS(DESPACHOS!$B$3:$B$3002,$C335)&gt;1,"DUPLICADO","OK")))</f>
        <v/>
      </c>
      <c r="L335" s="41" t="n"/>
      <c r="M335" s="41" t="n"/>
      <c r="N335" s="42">
        <f>IF($M335="","",IFERROR(INDEX(LISTAS!$F$3:$F$42,MATCH($M335,LISTAS!$E$3:$E$42,0)),"Por definir"))</f>
        <v/>
      </c>
      <c r="O335" s="41" t="n"/>
      <c r="P335" s="39">
        <f>IF($L335="","",IFERROR(INDEX(LISTAS!$B$3:$B$42,MATCH($L335,LISTAS!$A$3:$A$42,0)),"Media"))</f>
        <v/>
      </c>
      <c r="Q335" s="44" t="n"/>
      <c r="R335" s="45" t="n"/>
      <c r="S335" s="20">
        <f>IFERROR(IF(OR($R335="",$C335=""),"",$R335/INDEX(DESPACHOS!$M$3:$M$3002,MATCH($C335,DESPACHOS!$B$3:$B$3002,0))),"")</f>
        <v/>
      </c>
      <c r="T335" s="41" t="n"/>
      <c r="U335" s="43">
        <f>IF(OR($B335="",$L335=""),"",WORKDAY($B335,IFERROR(INDEX(LISTAS!$C$3:$C$42,MATCH($L335,LISTAS!$A$3:$A$42,0)),3)))</f>
        <v/>
      </c>
      <c r="V335" s="40" t="n"/>
      <c r="W335" s="19">
        <f>IF($B335="","",IF($V335&lt;&gt;"",$V335-$B335,TODAY()-$B335))</f>
        <v/>
      </c>
      <c r="X335" s="19">
        <f>IF(OR($B335="",$U335=""),"",IF($V335&lt;&gt;"",MAX(0,$V335-$U335),MAX(0,TODAY()-$U335)))</f>
        <v/>
      </c>
      <c r="Y335" s="39">
        <f>IF($C335="","",IF(IFERROR(INDEX(LISTAS!$I$3:$I$42,MATCH($T335,LISTAS!$H$3:$H$42,0)),"NO")="SÍ",IF(N($X335)&gt;0,"CERRADA FUERA DE SLA","CERRADA EN SLA"),IF($U335="","SIN CLASIFICAR",IF(N($X335)&gt;0,"VENCIDA",IF(TODAY()&gt;=$U335-1,"POR VENCER","EN PLAZO")))))</f>
        <v/>
      </c>
      <c r="Z335" s="41" t="n"/>
      <c r="AA335" s="41" t="n"/>
      <c r="AB335" s="41" t="n"/>
    </row>
    <row r="336">
      <c r="A336" s="39">
        <f>IF($C336="","","NOV-"&amp;TEXT(ROW()-3,"0000"))</f>
        <v/>
      </c>
      <c r="B336" s="40" t="n"/>
      <c r="C336" s="41" t="n"/>
      <c r="D336" s="42">
        <f>IF($C336="","",IFERROR(INDEX(DESPACHOS!$D$3:$D$3002,MATCH($C336,DESPACHOS!$B$3:$B$3002,0)),"SIN DESPACHO"))</f>
        <v/>
      </c>
      <c r="E336" s="42">
        <f>IF($C336="","",IFERROR(INDEX(DESPACHOS!$K$3:$K$3002,MATCH($C336,DESPACHOS!$B$3:$B$3002,0)),""))</f>
        <v/>
      </c>
      <c r="F336" s="42">
        <f>IF($C336="","",IFERROR(INDEX(DESPACHOS!$I$3:$I$3002,MATCH($C336,DESPACHOS!$B$3:$B$3002,0)),""))</f>
        <v/>
      </c>
      <c r="G336" s="42">
        <f>IF($C336="","",IFERROR(INDEX(DESPACHOS!$F$3:$F$3002,MATCH($C336,DESPACHOS!$B$3:$B$3002,0)),""))</f>
        <v/>
      </c>
      <c r="H336" s="42">
        <f>IF($C336="","",IFERROR(INDEX(DESPACHOS!$G$3:$G$3002,MATCH($C336,DESPACHOS!$B$3:$B$3002,0)),""))</f>
        <v/>
      </c>
      <c r="I336" s="39">
        <f>IF($C336="","",IFERROR(INDEX(DESPACHOS!$H$3:$H$3002,MATCH($C336,DESPACHOS!$B$3:$B$3002,0)),""))</f>
        <v/>
      </c>
      <c r="J336" s="43">
        <f>IF($C336="","",IFERROR(INDEX(DESPACHOS!$J$3:$J$3002,MATCH($C336,DESPACHOS!$B$3:$B$3002,0)),""))</f>
        <v/>
      </c>
      <c r="K336" s="39">
        <f>IF($C336="","",IF(COUNTIFS(DESPACHOS!$B$3:$B$3002,$C336)=0,"NO EXISTE",IF(COUNTIFS(DESPACHOS!$B$3:$B$3002,$C336)&gt;1,"DUPLICADO","OK")))</f>
        <v/>
      </c>
      <c r="L336" s="41" t="n"/>
      <c r="M336" s="41" t="n"/>
      <c r="N336" s="42">
        <f>IF($M336="","",IFERROR(INDEX(LISTAS!$F$3:$F$42,MATCH($M336,LISTAS!$E$3:$E$42,0)),"Por definir"))</f>
        <v/>
      </c>
      <c r="O336" s="41" t="n"/>
      <c r="P336" s="39">
        <f>IF($L336="","",IFERROR(INDEX(LISTAS!$B$3:$B$42,MATCH($L336,LISTAS!$A$3:$A$42,0)),"Media"))</f>
        <v/>
      </c>
      <c r="Q336" s="44" t="n"/>
      <c r="R336" s="45" t="n"/>
      <c r="S336" s="20">
        <f>IFERROR(IF(OR($R336="",$C336=""),"",$R336/INDEX(DESPACHOS!$M$3:$M$3002,MATCH($C336,DESPACHOS!$B$3:$B$3002,0))),"")</f>
        <v/>
      </c>
      <c r="T336" s="41" t="n"/>
      <c r="U336" s="43">
        <f>IF(OR($B336="",$L336=""),"",WORKDAY($B336,IFERROR(INDEX(LISTAS!$C$3:$C$42,MATCH($L336,LISTAS!$A$3:$A$42,0)),3)))</f>
        <v/>
      </c>
      <c r="V336" s="40" t="n"/>
      <c r="W336" s="19">
        <f>IF($B336="","",IF($V336&lt;&gt;"",$V336-$B336,TODAY()-$B336))</f>
        <v/>
      </c>
      <c r="X336" s="19">
        <f>IF(OR($B336="",$U336=""),"",IF($V336&lt;&gt;"",MAX(0,$V336-$U336),MAX(0,TODAY()-$U336)))</f>
        <v/>
      </c>
      <c r="Y336" s="39">
        <f>IF($C336="","",IF(IFERROR(INDEX(LISTAS!$I$3:$I$42,MATCH($T336,LISTAS!$H$3:$H$42,0)),"NO")="SÍ",IF(N($X336)&gt;0,"CERRADA FUERA DE SLA","CERRADA EN SLA"),IF($U336="","SIN CLASIFICAR",IF(N($X336)&gt;0,"VENCIDA",IF(TODAY()&gt;=$U336-1,"POR VENCER","EN PLAZO")))))</f>
        <v/>
      </c>
      <c r="Z336" s="41" t="n"/>
      <c r="AA336" s="41" t="n"/>
      <c r="AB336" s="41" t="n"/>
    </row>
    <row r="337">
      <c r="A337" s="39">
        <f>IF($C337="","","NOV-"&amp;TEXT(ROW()-3,"0000"))</f>
        <v/>
      </c>
      <c r="B337" s="40" t="n"/>
      <c r="C337" s="41" t="n"/>
      <c r="D337" s="42">
        <f>IF($C337="","",IFERROR(INDEX(DESPACHOS!$D$3:$D$3002,MATCH($C337,DESPACHOS!$B$3:$B$3002,0)),"SIN DESPACHO"))</f>
        <v/>
      </c>
      <c r="E337" s="42">
        <f>IF($C337="","",IFERROR(INDEX(DESPACHOS!$K$3:$K$3002,MATCH($C337,DESPACHOS!$B$3:$B$3002,0)),""))</f>
        <v/>
      </c>
      <c r="F337" s="42">
        <f>IF($C337="","",IFERROR(INDEX(DESPACHOS!$I$3:$I$3002,MATCH($C337,DESPACHOS!$B$3:$B$3002,0)),""))</f>
        <v/>
      </c>
      <c r="G337" s="42">
        <f>IF($C337="","",IFERROR(INDEX(DESPACHOS!$F$3:$F$3002,MATCH($C337,DESPACHOS!$B$3:$B$3002,0)),""))</f>
        <v/>
      </c>
      <c r="H337" s="42">
        <f>IF($C337="","",IFERROR(INDEX(DESPACHOS!$G$3:$G$3002,MATCH($C337,DESPACHOS!$B$3:$B$3002,0)),""))</f>
        <v/>
      </c>
      <c r="I337" s="39">
        <f>IF($C337="","",IFERROR(INDEX(DESPACHOS!$H$3:$H$3002,MATCH($C337,DESPACHOS!$B$3:$B$3002,0)),""))</f>
        <v/>
      </c>
      <c r="J337" s="43">
        <f>IF($C337="","",IFERROR(INDEX(DESPACHOS!$J$3:$J$3002,MATCH($C337,DESPACHOS!$B$3:$B$3002,0)),""))</f>
        <v/>
      </c>
      <c r="K337" s="39">
        <f>IF($C337="","",IF(COUNTIFS(DESPACHOS!$B$3:$B$3002,$C337)=0,"NO EXISTE",IF(COUNTIFS(DESPACHOS!$B$3:$B$3002,$C337)&gt;1,"DUPLICADO","OK")))</f>
        <v/>
      </c>
      <c r="L337" s="41" t="n"/>
      <c r="M337" s="41" t="n"/>
      <c r="N337" s="42">
        <f>IF($M337="","",IFERROR(INDEX(LISTAS!$F$3:$F$42,MATCH($M337,LISTAS!$E$3:$E$42,0)),"Por definir"))</f>
        <v/>
      </c>
      <c r="O337" s="41" t="n"/>
      <c r="P337" s="39">
        <f>IF($L337="","",IFERROR(INDEX(LISTAS!$B$3:$B$42,MATCH($L337,LISTAS!$A$3:$A$42,0)),"Media"))</f>
        <v/>
      </c>
      <c r="Q337" s="44" t="n"/>
      <c r="R337" s="45" t="n"/>
      <c r="S337" s="20">
        <f>IFERROR(IF(OR($R337="",$C337=""),"",$R337/INDEX(DESPACHOS!$M$3:$M$3002,MATCH($C337,DESPACHOS!$B$3:$B$3002,0))),"")</f>
        <v/>
      </c>
      <c r="T337" s="41" t="n"/>
      <c r="U337" s="43">
        <f>IF(OR($B337="",$L337=""),"",WORKDAY($B337,IFERROR(INDEX(LISTAS!$C$3:$C$42,MATCH($L337,LISTAS!$A$3:$A$42,0)),3)))</f>
        <v/>
      </c>
      <c r="V337" s="40" t="n"/>
      <c r="W337" s="19">
        <f>IF($B337="","",IF($V337&lt;&gt;"",$V337-$B337,TODAY()-$B337))</f>
        <v/>
      </c>
      <c r="X337" s="19">
        <f>IF(OR($B337="",$U337=""),"",IF($V337&lt;&gt;"",MAX(0,$V337-$U337),MAX(0,TODAY()-$U337)))</f>
        <v/>
      </c>
      <c r="Y337" s="39">
        <f>IF($C337="","",IF(IFERROR(INDEX(LISTAS!$I$3:$I$42,MATCH($T337,LISTAS!$H$3:$H$42,0)),"NO")="SÍ",IF(N($X337)&gt;0,"CERRADA FUERA DE SLA","CERRADA EN SLA"),IF($U337="","SIN CLASIFICAR",IF(N($X337)&gt;0,"VENCIDA",IF(TODAY()&gt;=$U337-1,"POR VENCER","EN PLAZO")))))</f>
        <v/>
      </c>
      <c r="Z337" s="41" t="n"/>
      <c r="AA337" s="41" t="n"/>
      <c r="AB337" s="41" t="n"/>
    </row>
    <row r="338">
      <c r="A338" s="39">
        <f>IF($C338="","","NOV-"&amp;TEXT(ROW()-3,"0000"))</f>
        <v/>
      </c>
      <c r="B338" s="40" t="n"/>
      <c r="C338" s="41" t="n"/>
      <c r="D338" s="42">
        <f>IF($C338="","",IFERROR(INDEX(DESPACHOS!$D$3:$D$3002,MATCH($C338,DESPACHOS!$B$3:$B$3002,0)),"SIN DESPACHO"))</f>
        <v/>
      </c>
      <c r="E338" s="42">
        <f>IF($C338="","",IFERROR(INDEX(DESPACHOS!$K$3:$K$3002,MATCH($C338,DESPACHOS!$B$3:$B$3002,0)),""))</f>
        <v/>
      </c>
      <c r="F338" s="42">
        <f>IF($C338="","",IFERROR(INDEX(DESPACHOS!$I$3:$I$3002,MATCH($C338,DESPACHOS!$B$3:$B$3002,0)),""))</f>
        <v/>
      </c>
      <c r="G338" s="42">
        <f>IF($C338="","",IFERROR(INDEX(DESPACHOS!$F$3:$F$3002,MATCH($C338,DESPACHOS!$B$3:$B$3002,0)),""))</f>
        <v/>
      </c>
      <c r="H338" s="42">
        <f>IF($C338="","",IFERROR(INDEX(DESPACHOS!$G$3:$G$3002,MATCH($C338,DESPACHOS!$B$3:$B$3002,0)),""))</f>
        <v/>
      </c>
      <c r="I338" s="39">
        <f>IF($C338="","",IFERROR(INDEX(DESPACHOS!$H$3:$H$3002,MATCH($C338,DESPACHOS!$B$3:$B$3002,0)),""))</f>
        <v/>
      </c>
      <c r="J338" s="43">
        <f>IF($C338="","",IFERROR(INDEX(DESPACHOS!$J$3:$J$3002,MATCH($C338,DESPACHOS!$B$3:$B$3002,0)),""))</f>
        <v/>
      </c>
      <c r="K338" s="39">
        <f>IF($C338="","",IF(COUNTIFS(DESPACHOS!$B$3:$B$3002,$C338)=0,"NO EXISTE",IF(COUNTIFS(DESPACHOS!$B$3:$B$3002,$C338)&gt;1,"DUPLICADO","OK")))</f>
        <v/>
      </c>
      <c r="L338" s="41" t="n"/>
      <c r="M338" s="41" t="n"/>
      <c r="N338" s="42">
        <f>IF($M338="","",IFERROR(INDEX(LISTAS!$F$3:$F$42,MATCH($M338,LISTAS!$E$3:$E$42,0)),"Por definir"))</f>
        <v/>
      </c>
      <c r="O338" s="41" t="n"/>
      <c r="P338" s="39">
        <f>IF($L338="","",IFERROR(INDEX(LISTAS!$B$3:$B$42,MATCH($L338,LISTAS!$A$3:$A$42,0)),"Media"))</f>
        <v/>
      </c>
      <c r="Q338" s="44" t="n"/>
      <c r="R338" s="45" t="n"/>
      <c r="S338" s="20">
        <f>IFERROR(IF(OR($R338="",$C338=""),"",$R338/INDEX(DESPACHOS!$M$3:$M$3002,MATCH($C338,DESPACHOS!$B$3:$B$3002,0))),"")</f>
        <v/>
      </c>
      <c r="T338" s="41" t="n"/>
      <c r="U338" s="43">
        <f>IF(OR($B338="",$L338=""),"",WORKDAY($B338,IFERROR(INDEX(LISTAS!$C$3:$C$42,MATCH($L338,LISTAS!$A$3:$A$42,0)),3)))</f>
        <v/>
      </c>
      <c r="V338" s="40" t="n"/>
      <c r="W338" s="19">
        <f>IF($B338="","",IF($V338&lt;&gt;"",$V338-$B338,TODAY()-$B338))</f>
        <v/>
      </c>
      <c r="X338" s="19">
        <f>IF(OR($B338="",$U338=""),"",IF($V338&lt;&gt;"",MAX(0,$V338-$U338),MAX(0,TODAY()-$U338)))</f>
        <v/>
      </c>
      <c r="Y338" s="39">
        <f>IF($C338="","",IF(IFERROR(INDEX(LISTAS!$I$3:$I$42,MATCH($T338,LISTAS!$H$3:$H$42,0)),"NO")="SÍ",IF(N($X338)&gt;0,"CERRADA FUERA DE SLA","CERRADA EN SLA"),IF($U338="","SIN CLASIFICAR",IF(N($X338)&gt;0,"VENCIDA",IF(TODAY()&gt;=$U338-1,"POR VENCER","EN PLAZO")))))</f>
        <v/>
      </c>
      <c r="Z338" s="41" t="n"/>
      <c r="AA338" s="41" t="n"/>
      <c r="AB338" s="41" t="n"/>
    </row>
    <row r="339">
      <c r="A339" s="39">
        <f>IF($C339="","","NOV-"&amp;TEXT(ROW()-3,"0000"))</f>
        <v/>
      </c>
      <c r="B339" s="40" t="n"/>
      <c r="C339" s="41" t="n"/>
      <c r="D339" s="42">
        <f>IF($C339="","",IFERROR(INDEX(DESPACHOS!$D$3:$D$3002,MATCH($C339,DESPACHOS!$B$3:$B$3002,0)),"SIN DESPACHO"))</f>
        <v/>
      </c>
      <c r="E339" s="42">
        <f>IF($C339="","",IFERROR(INDEX(DESPACHOS!$K$3:$K$3002,MATCH($C339,DESPACHOS!$B$3:$B$3002,0)),""))</f>
        <v/>
      </c>
      <c r="F339" s="42">
        <f>IF($C339="","",IFERROR(INDEX(DESPACHOS!$I$3:$I$3002,MATCH($C339,DESPACHOS!$B$3:$B$3002,0)),""))</f>
        <v/>
      </c>
      <c r="G339" s="42">
        <f>IF($C339="","",IFERROR(INDEX(DESPACHOS!$F$3:$F$3002,MATCH($C339,DESPACHOS!$B$3:$B$3002,0)),""))</f>
        <v/>
      </c>
      <c r="H339" s="42">
        <f>IF($C339="","",IFERROR(INDEX(DESPACHOS!$G$3:$G$3002,MATCH($C339,DESPACHOS!$B$3:$B$3002,0)),""))</f>
        <v/>
      </c>
      <c r="I339" s="39">
        <f>IF($C339="","",IFERROR(INDEX(DESPACHOS!$H$3:$H$3002,MATCH($C339,DESPACHOS!$B$3:$B$3002,0)),""))</f>
        <v/>
      </c>
      <c r="J339" s="43">
        <f>IF($C339="","",IFERROR(INDEX(DESPACHOS!$J$3:$J$3002,MATCH($C339,DESPACHOS!$B$3:$B$3002,0)),""))</f>
        <v/>
      </c>
      <c r="K339" s="39">
        <f>IF($C339="","",IF(COUNTIFS(DESPACHOS!$B$3:$B$3002,$C339)=0,"NO EXISTE",IF(COUNTIFS(DESPACHOS!$B$3:$B$3002,$C339)&gt;1,"DUPLICADO","OK")))</f>
        <v/>
      </c>
      <c r="L339" s="41" t="n"/>
      <c r="M339" s="41" t="n"/>
      <c r="N339" s="42">
        <f>IF($M339="","",IFERROR(INDEX(LISTAS!$F$3:$F$42,MATCH($M339,LISTAS!$E$3:$E$42,0)),"Por definir"))</f>
        <v/>
      </c>
      <c r="O339" s="41" t="n"/>
      <c r="P339" s="39">
        <f>IF($L339="","",IFERROR(INDEX(LISTAS!$B$3:$B$42,MATCH($L339,LISTAS!$A$3:$A$42,0)),"Media"))</f>
        <v/>
      </c>
      <c r="Q339" s="44" t="n"/>
      <c r="R339" s="45" t="n"/>
      <c r="S339" s="20">
        <f>IFERROR(IF(OR($R339="",$C339=""),"",$R339/INDEX(DESPACHOS!$M$3:$M$3002,MATCH($C339,DESPACHOS!$B$3:$B$3002,0))),"")</f>
        <v/>
      </c>
      <c r="T339" s="41" t="n"/>
      <c r="U339" s="43">
        <f>IF(OR($B339="",$L339=""),"",WORKDAY($B339,IFERROR(INDEX(LISTAS!$C$3:$C$42,MATCH($L339,LISTAS!$A$3:$A$42,0)),3)))</f>
        <v/>
      </c>
      <c r="V339" s="40" t="n"/>
      <c r="W339" s="19">
        <f>IF($B339="","",IF($V339&lt;&gt;"",$V339-$B339,TODAY()-$B339))</f>
        <v/>
      </c>
      <c r="X339" s="19">
        <f>IF(OR($B339="",$U339=""),"",IF($V339&lt;&gt;"",MAX(0,$V339-$U339),MAX(0,TODAY()-$U339)))</f>
        <v/>
      </c>
      <c r="Y339" s="39">
        <f>IF($C339="","",IF(IFERROR(INDEX(LISTAS!$I$3:$I$42,MATCH($T339,LISTAS!$H$3:$H$42,0)),"NO")="SÍ",IF(N($X339)&gt;0,"CERRADA FUERA DE SLA","CERRADA EN SLA"),IF($U339="","SIN CLASIFICAR",IF(N($X339)&gt;0,"VENCIDA",IF(TODAY()&gt;=$U339-1,"POR VENCER","EN PLAZO")))))</f>
        <v/>
      </c>
      <c r="Z339" s="41" t="n"/>
      <c r="AA339" s="41" t="n"/>
      <c r="AB339" s="41" t="n"/>
    </row>
    <row r="340">
      <c r="A340" s="39">
        <f>IF($C340="","","NOV-"&amp;TEXT(ROW()-3,"0000"))</f>
        <v/>
      </c>
      <c r="B340" s="40" t="n"/>
      <c r="C340" s="41" t="n"/>
      <c r="D340" s="42">
        <f>IF($C340="","",IFERROR(INDEX(DESPACHOS!$D$3:$D$3002,MATCH($C340,DESPACHOS!$B$3:$B$3002,0)),"SIN DESPACHO"))</f>
        <v/>
      </c>
      <c r="E340" s="42">
        <f>IF($C340="","",IFERROR(INDEX(DESPACHOS!$K$3:$K$3002,MATCH($C340,DESPACHOS!$B$3:$B$3002,0)),""))</f>
        <v/>
      </c>
      <c r="F340" s="42">
        <f>IF($C340="","",IFERROR(INDEX(DESPACHOS!$I$3:$I$3002,MATCH($C340,DESPACHOS!$B$3:$B$3002,0)),""))</f>
        <v/>
      </c>
      <c r="G340" s="42">
        <f>IF($C340="","",IFERROR(INDEX(DESPACHOS!$F$3:$F$3002,MATCH($C340,DESPACHOS!$B$3:$B$3002,0)),""))</f>
        <v/>
      </c>
      <c r="H340" s="42">
        <f>IF($C340="","",IFERROR(INDEX(DESPACHOS!$G$3:$G$3002,MATCH($C340,DESPACHOS!$B$3:$B$3002,0)),""))</f>
        <v/>
      </c>
      <c r="I340" s="39">
        <f>IF($C340="","",IFERROR(INDEX(DESPACHOS!$H$3:$H$3002,MATCH($C340,DESPACHOS!$B$3:$B$3002,0)),""))</f>
        <v/>
      </c>
      <c r="J340" s="43">
        <f>IF($C340="","",IFERROR(INDEX(DESPACHOS!$J$3:$J$3002,MATCH($C340,DESPACHOS!$B$3:$B$3002,0)),""))</f>
        <v/>
      </c>
      <c r="K340" s="39">
        <f>IF($C340="","",IF(COUNTIFS(DESPACHOS!$B$3:$B$3002,$C340)=0,"NO EXISTE",IF(COUNTIFS(DESPACHOS!$B$3:$B$3002,$C340)&gt;1,"DUPLICADO","OK")))</f>
        <v/>
      </c>
      <c r="L340" s="41" t="n"/>
      <c r="M340" s="41" t="n"/>
      <c r="N340" s="42">
        <f>IF($M340="","",IFERROR(INDEX(LISTAS!$F$3:$F$42,MATCH($M340,LISTAS!$E$3:$E$42,0)),"Por definir"))</f>
        <v/>
      </c>
      <c r="O340" s="41" t="n"/>
      <c r="P340" s="39">
        <f>IF($L340="","",IFERROR(INDEX(LISTAS!$B$3:$B$42,MATCH($L340,LISTAS!$A$3:$A$42,0)),"Media"))</f>
        <v/>
      </c>
      <c r="Q340" s="44" t="n"/>
      <c r="R340" s="45" t="n"/>
      <c r="S340" s="20">
        <f>IFERROR(IF(OR($R340="",$C340=""),"",$R340/INDEX(DESPACHOS!$M$3:$M$3002,MATCH($C340,DESPACHOS!$B$3:$B$3002,0))),"")</f>
        <v/>
      </c>
      <c r="T340" s="41" t="n"/>
      <c r="U340" s="43">
        <f>IF(OR($B340="",$L340=""),"",WORKDAY($B340,IFERROR(INDEX(LISTAS!$C$3:$C$42,MATCH($L340,LISTAS!$A$3:$A$42,0)),3)))</f>
        <v/>
      </c>
      <c r="V340" s="40" t="n"/>
      <c r="W340" s="19">
        <f>IF($B340="","",IF($V340&lt;&gt;"",$V340-$B340,TODAY()-$B340))</f>
        <v/>
      </c>
      <c r="X340" s="19">
        <f>IF(OR($B340="",$U340=""),"",IF($V340&lt;&gt;"",MAX(0,$V340-$U340),MAX(0,TODAY()-$U340)))</f>
        <v/>
      </c>
      <c r="Y340" s="39">
        <f>IF($C340="","",IF(IFERROR(INDEX(LISTAS!$I$3:$I$42,MATCH($T340,LISTAS!$H$3:$H$42,0)),"NO")="SÍ",IF(N($X340)&gt;0,"CERRADA FUERA DE SLA","CERRADA EN SLA"),IF($U340="","SIN CLASIFICAR",IF(N($X340)&gt;0,"VENCIDA",IF(TODAY()&gt;=$U340-1,"POR VENCER","EN PLAZO")))))</f>
        <v/>
      </c>
      <c r="Z340" s="41" t="n"/>
      <c r="AA340" s="41" t="n"/>
      <c r="AB340" s="41" t="n"/>
    </row>
    <row r="341">
      <c r="A341" s="39">
        <f>IF($C341="","","NOV-"&amp;TEXT(ROW()-3,"0000"))</f>
        <v/>
      </c>
      <c r="B341" s="40" t="n"/>
      <c r="C341" s="41" t="n"/>
      <c r="D341" s="42">
        <f>IF($C341="","",IFERROR(INDEX(DESPACHOS!$D$3:$D$3002,MATCH($C341,DESPACHOS!$B$3:$B$3002,0)),"SIN DESPACHO"))</f>
        <v/>
      </c>
      <c r="E341" s="42">
        <f>IF($C341="","",IFERROR(INDEX(DESPACHOS!$K$3:$K$3002,MATCH($C341,DESPACHOS!$B$3:$B$3002,0)),""))</f>
        <v/>
      </c>
      <c r="F341" s="42">
        <f>IF($C341="","",IFERROR(INDEX(DESPACHOS!$I$3:$I$3002,MATCH($C341,DESPACHOS!$B$3:$B$3002,0)),""))</f>
        <v/>
      </c>
      <c r="G341" s="42">
        <f>IF($C341="","",IFERROR(INDEX(DESPACHOS!$F$3:$F$3002,MATCH($C341,DESPACHOS!$B$3:$B$3002,0)),""))</f>
        <v/>
      </c>
      <c r="H341" s="42">
        <f>IF($C341="","",IFERROR(INDEX(DESPACHOS!$G$3:$G$3002,MATCH($C341,DESPACHOS!$B$3:$B$3002,0)),""))</f>
        <v/>
      </c>
      <c r="I341" s="39">
        <f>IF($C341="","",IFERROR(INDEX(DESPACHOS!$H$3:$H$3002,MATCH($C341,DESPACHOS!$B$3:$B$3002,0)),""))</f>
        <v/>
      </c>
      <c r="J341" s="43">
        <f>IF($C341="","",IFERROR(INDEX(DESPACHOS!$J$3:$J$3002,MATCH($C341,DESPACHOS!$B$3:$B$3002,0)),""))</f>
        <v/>
      </c>
      <c r="K341" s="39">
        <f>IF($C341="","",IF(COUNTIFS(DESPACHOS!$B$3:$B$3002,$C341)=0,"NO EXISTE",IF(COUNTIFS(DESPACHOS!$B$3:$B$3002,$C341)&gt;1,"DUPLICADO","OK")))</f>
        <v/>
      </c>
      <c r="L341" s="41" t="n"/>
      <c r="M341" s="41" t="n"/>
      <c r="N341" s="42">
        <f>IF($M341="","",IFERROR(INDEX(LISTAS!$F$3:$F$42,MATCH($M341,LISTAS!$E$3:$E$42,0)),"Por definir"))</f>
        <v/>
      </c>
      <c r="O341" s="41" t="n"/>
      <c r="P341" s="39">
        <f>IF($L341="","",IFERROR(INDEX(LISTAS!$B$3:$B$42,MATCH($L341,LISTAS!$A$3:$A$42,0)),"Media"))</f>
        <v/>
      </c>
      <c r="Q341" s="44" t="n"/>
      <c r="R341" s="45" t="n"/>
      <c r="S341" s="20">
        <f>IFERROR(IF(OR($R341="",$C341=""),"",$R341/INDEX(DESPACHOS!$M$3:$M$3002,MATCH($C341,DESPACHOS!$B$3:$B$3002,0))),"")</f>
        <v/>
      </c>
      <c r="T341" s="41" t="n"/>
      <c r="U341" s="43">
        <f>IF(OR($B341="",$L341=""),"",WORKDAY($B341,IFERROR(INDEX(LISTAS!$C$3:$C$42,MATCH($L341,LISTAS!$A$3:$A$42,0)),3)))</f>
        <v/>
      </c>
      <c r="V341" s="40" t="n"/>
      <c r="W341" s="19">
        <f>IF($B341="","",IF($V341&lt;&gt;"",$V341-$B341,TODAY()-$B341))</f>
        <v/>
      </c>
      <c r="X341" s="19">
        <f>IF(OR($B341="",$U341=""),"",IF($V341&lt;&gt;"",MAX(0,$V341-$U341),MAX(0,TODAY()-$U341)))</f>
        <v/>
      </c>
      <c r="Y341" s="39">
        <f>IF($C341="","",IF(IFERROR(INDEX(LISTAS!$I$3:$I$42,MATCH($T341,LISTAS!$H$3:$H$42,0)),"NO")="SÍ",IF(N($X341)&gt;0,"CERRADA FUERA DE SLA","CERRADA EN SLA"),IF($U341="","SIN CLASIFICAR",IF(N($X341)&gt;0,"VENCIDA",IF(TODAY()&gt;=$U341-1,"POR VENCER","EN PLAZO")))))</f>
        <v/>
      </c>
      <c r="Z341" s="41" t="n"/>
      <c r="AA341" s="41" t="n"/>
      <c r="AB341" s="41" t="n"/>
    </row>
    <row r="342">
      <c r="A342" s="39">
        <f>IF($C342="","","NOV-"&amp;TEXT(ROW()-3,"0000"))</f>
        <v/>
      </c>
      <c r="B342" s="40" t="n"/>
      <c r="C342" s="41" t="n"/>
      <c r="D342" s="42">
        <f>IF($C342="","",IFERROR(INDEX(DESPACHOS!$D$3:$D$3002,MATCH($C342,DESPACHOS!$B$3:$B$3002,0)),"SIN DESPACHO"))</f>
        <v/>
      </c>
      <c r="E342" s="42">
        <f>IF($C342="","",IFERROR(INDEX(DESPACHOS!$K$3:$K$3002,MATCH($C342,DESPACHOS!$B$3:$B$3002,0)),""))</f>
        <v/>
      </c>
      <c r="F342" s="42">
        <f>IF($C342="","",IFERROR(INDEX(DESPACHOS!$I$3:$I$3002,MATCH($C342,DESPACHOS!$B$3:$B$3002,0)),""))</f>
        <v/>
      </c>
      <c r="G342" s="42">
        <f>IF($C342="","",IFERROR(INDEX(DESPACHOS!$F$3:$F$3002,MATCH($C342,DESPACHOS!$B$3:$B$3002,0)),""))</f>
        <v/>
      </c>
      <c r="H342" s="42">
        <f>IF($C342="","",IFERROR(INDEX(DESPACHOS!$G$3:$G$3002,MATCH($C342,DESPACHOS!$B$3:$B$3002,0)),""))</f>
        <v/>
      </c>
      <c r="I342" s="39">
        <f>IF($C342="","",IFERROR(INDEX(DESPACHOS!$H$3:$H$3002,MATCH($C342,DESPACHOS!$B$3:$B$3002,0)),""))</f>
        <v/>
      </c>
      <c r="J342" s="43">
        <f>IF($C342="","",IFERROR(INDEX(DESPACHOS!$J$3:$J$3002,MATCH($C342,DESPACHOS!$B$3:$B$3002,0)),""))</f>
        <v/>
      </c>
      <c r="K342" s="39">
        <f>IF($C342="","",IF(COUNTIFS(DESPACHOS!$B$3:$B$3002,$C342)=0,"NO EXISTE",IF(COUNTIFS(DESPACHOS!$B$3:$B$3002,$C342)&gt;1,"DUPLICADO","OK")))</f>
        <v/>
      </c>
      <c r="L342" s="41" t="n"/>
      <c r="M342" s="41" t="n"/>
      <c r="N342" s="42">
        <f>IF($M342="","",IFERROR(INDEX(LISTAS!$F$3:$F$42,MATCH($M342,LISTAS!$E$3:$E$42,0)),"Por definir"))</f>
        <v/>
      </c>
      <c r="O342" s="41" t="n"/>
      <c r="P342" s="39">
        <f>IF($L342="","",IFERROR(INDEX(LISTAS!$B$3:$B$42,MATCH($L342,LISTAS!$A$3:$A$42,0)),"Media"))</f>
        <v/>
      </c>
      <c r="Q342" s="44" t="n"/>
      <c r="R342" s="45" t="n"/>
      <c r="S342" s="20">
        <f>IFERROR(IF(OR($R342="",$C342=""),"",$R342/INDEX(DESPACHOS!$M$3:$M$3002,MATCH($C342,DESPACHOS!$B$3:$B$3002,0))),"")</f>
        <v/>
      </c>
      <c r="T342" s="41" t="n"/>
      <c r="U342" s="43">
        <f>IF(OR($B342="",$L342=""),"",WORKDAY($B342,IFERROR(INDEX(LISTAS!$C$3:$C$42,MATCH($L342,LISTAS!$A$3:$A$42,0)),3)))</f>
        <v/>
      </c>
      <c r="V342" s="40" t="n"/>
      <c r="W342" s="19">
        <f>IF($B342="","",IF($V342&lt;&gt;"",$V342-$B342,TODAY()-$B342))</f>
        <v/>
      </c>
      <c r="X342" s="19">
        <f>IF(OR($B342="",$U342=""),"",IF($V342&lt;&gt;"",MAX(0,$V342-$U342),MAX(0,TODAY()-$U342)))</f>
        <v/>
      </c>
      <c r="Y342" s="39">
        <f>IF($C342="","",IF(IFERROR(INDEX(LISTAS!$I$3:$I$42,MATCH($T342,LISTAS!$H$3:$H$42,0)),"NO")="SÍ",IF(N($X342)&gt;0,"CERRADA FUERA DE SLA","CERRADA EN SLA"),IF($U342="","SIN CLASIFICAR",IF(N($X342)&gt;0,"VENCIDA",IF(TODAY()&gt;=$U342-1,"POR VENCER","EN PLAZO")))))</f>
        <v/>
      </c>
      <c r="Z342" s="41" t="n"/>
      <c r="AA342" s="41" t="n"/>
      <c r="AB342" s="41" t="n"/>
    </row>
    <row r="343">
      <c r="A343" s="39">
        <f>IF($C343="","","NOV-"&amp;TEXT(ROW()-3,"0000"))</f>
        <v/>
      </c>
      <c r="B343" s="40" t="n"/>
      <c r="C343" s="41" t="n"/>
      <c r="D343" s="42">
        <f>IF($C343="","",IFERROR(INDEX(DESPACHOS!$D$3:$D$3002,MATCH($C343,DESPACHOS!$B$3:$B$3002,0)),"SIN DESPACHO"))</f>
        <v/>
      </c>
      <c r="E343" s="42">
        <f>IF($C343="","",IFERROR(INDEX(DESPACHOS!$K$3:$K$3002,MATCH($C343,DESPACHOS!$B$3:$B$3002,0)),""))</f>
        <v/>
      </c>
      <c r="F343" s="42">
        <f>IF($C343="","",IFERROR(INDEX(DESPACHOS!$I$3:$I$3002,MATCH($C343,DESPACHOS!$B$3:$B$3002,0)),""))</f>
        <v/>
      </c>
      <c r="G343" s="42">
        <f>IF($C343="","",IFERROR(INDEX(DESPACHOS!$F$3:$F$3002,MATCH($C343,DESPACHOS!$B$3:$B$3002,0)),""))</f>
        <v/>
      </c>
      <c r="H343" s="42">
        <f>IF($C343="","",IFERROR(INDEX(DESPACHOS!$G$3:$G$3002,MATCH($C343,DESPACHOS!$B$3:$B$3002,0)),""))</f>
        <v/>
      </c>
      <c r="I343" s="39">
        <f>IF($C343="","",IFERROR(INDEX(DESPACHOS!$H$3:$H$3002,MATCH($C343,DESPACHOS!$B$3:$B$3002,0)),""))</f>
        <v/>
      </c>
      <c r="J343" s="43">
        <f>IF($C343="","",IFERROR(INDEX(DESPACHOS!$J$3:$J$3002,MATCH($C343,DESPACHOS!$B$3:$B$3002,0)),""))</f>
        <v/>
      </c>
      <c r="K343" s="39">
        <f>IF($C343="","",IF(COUNTIFS(DESPACHOS!$B$3:$B$3002,$C343)=0,"NO EXISTE",IF(COUNTIFS(DESPACHOS!$B$3:$B$3002,$C343)&gt;1,"DUPLICADO","OK")))</f>
        <v/>
      </c>
      <c r="L343" s="41" t="n"/>
      <c r="M343" s="41" t="n"/>
      <c r="N343" s="42">
        <f>IF($M343="","",IFERROR(INDEX(LISTAS!$F$3:$F$42,MATCH($M343,LISTAS!$E$3:$E$42,0)),"Por definir"))</f>
        <v/>
      </c>
      <c r="O343" s="41" t="n"/>
      <c r="P343" s="39">
        <f>IF($L343="","",IFERROR(INDEX(LISTAS!$B$3:$B$42,MATCH($L343,LISTAS!$A$3:$A$42,0)),"Media"))</f>
        <v/>
      </c>
      <c r="Q343" s="44" t="n"/>
      <c r="R343" s="45" t="n"/>
      <c r="S343" s="20">
        <f>IFERROR(IF(OR($R343="",$C343=""),"",$R343/INDEX(DESPACHOS!$M$3:$M$3002,MATCH($C343,DESPACHOS!$B$3:$B$3002,0))),"")</f>
        <v/>
      </c>
      <c r="T343" s="41" t="n"/>
      <c r="U343" s="43">
        <f>IF(OR($B343="",$L343=""),"",WORKDAY($B343,IFERROR(INDEX(LISTAS!$C$3:$C$42,MATCH($L343,LISTAS!$A$3:$A$42,0)),3)))</f>
        <v/>
      </c>
      <c r="V343" s="40" t="n"/>
      <c r="W343" s="19">
        <f>IF($B343="","",IF($V343&lt;&gt;"",$V343-$B343,TODAY()-$B343))</f>
        <v/>
      </c>
      <c r="X343" s="19">
        <f>IF(OR($B343="",$U343=""),"",IF($V343&lt;&gt;"",MAX(0,$V343-$U343),MAX(0,TODAY()-$U343)))</f>
        <v/>
      </c>
      <c r="Y343" s="39">
        <f>IF($C343="","",IF(IFERROR(INDEX(LISTAS!$I$3:$I$42,MATCH($T343,LISTAS!$H$3:$H$42,0)),"NO")="SÍ",IF(N($X343)&gt;0,"CERRADA FUERA DE SLA","CERRADA EN SLA"),IF($U343="","SIN CLASIFICAR",IF(N($X343)&gt;0,"VENCIDA",IF(TODAY()&gt;=$U343-1,"POR VENCER","EN PLAZO")))))</f>
        <v/>
      </c>
      <c r="Z343" s="41" t="n"/>
      <c r="AA343" s="41" t="n"/>
      <c r="AB343" s="41" t="n"/>
    </row>
    <row r="344">
      <c r="A344" s="39">
        <f>IF($C344="","","NOV-"&amp;TEXT(ROW()-3,"0000"))</f>
        <v/>
      </c>
      <c r="B344" s="40" t="n"/>
      <c r="C344" s="41" t="n"/>
      <c r="D344" s="42">
        <f>IF($C344="","",IFERROR(INDEX(DESPACHOS!$D$3:$D$3002,MATCH($C344,DESPACHOS!$B$3:$B$3002,0)),"SIN DESPACHO"))</f>
        <v/>
      </c>
      <c r="E344" s="42">
        <f>IF($C344="","",IFERROR(INDEX(DESPACHOS!$K$3:$K$3002,MATCH($C344,DESPACHOS!$B$3:$B$3002,0)),""))</f>
        <v/>
      </c>
      <c r="F344" s="42">
        <f>IF($C344="","",IFERROR(INDEX(DESPACHOS!$I$3:$I$3002,MATCH($C344,DESPACHOS!$B$3:$B$3002,0)),""))</f>
        <v/>
      </c>
      <c r="G344" s="42">
        <f>IF($C344="","",IFERROR(INDEX(DESPACHOS!$F$3:$F$3002,MATCH($C344,DESPACHOS!$B$3:$B$3002,0)),""))</f>
        <v/>
      </c>
      <c r="H344" s="42">
        <f>IF($C344="","",IFERROR(INDEX(DESPACHOS!$G$3:$G$3002,MATCH($C344,DESPACHOS!$B$3:$B$3002,0)),""))</f>
        <v/>
      </c>
      <c r="I344" s="39">
        <f>IF($C344="","",IFERROR(INDEX(DESPACHOS!$H$3:$H$3002,MATCH($C344,DESPACHOS!$B$3:$B$3002,0)),""))</f>
        <v/>
      </c>
      <c r="J344" s="43">
        <f>IF($C344="","",IFERROR(INDEX(DESPACHOS!$J$3:$J$3002,MATCH($C344,DESPACHOS!$B$3:$B$3002,0)),""))</f>
        <v/>
      </c>
      <c r="K344" s="39">
        <f>IF($C344="","",IF(COUNTIFS(DESPACHOS!$B$3:$B$3002,$C344)=0,"NO EXISTE",IF(COUNTIFS(DESPACHOS!$B$3:$B$3002,$C344)&gt;1,"DUPLICADO","OK")))</f>
        <v/>
      </c>
      <c r="L344" s="41" t="n"/>
      <c r="M344" s="41" t="n"/>
      <c r="N344" s="42">
        <f>IF($M344="","",IFERROR(INDEX(LISTAS!$F$3:$F$42,MATCH($M344,LISTAS!$E$3:$E$42,0)),"Por definir"))</f>
        <v/>
      </c>
      <c r="O344" s="41" t="n"/>
      <c r="P344" s="39">
        <f>IF($L344="","",IFERROR(INDEX(LISTAS!$B$3:$B$42,MATCH($L344,LISTAS!$A$3:$A$42,0)),"Media"))</f>
        <v/>
      </c>
      <c r="Q344" s="44" t="n"/>
      <c r="R344" s="45" t="n"/>
      <c r="S344" s="20">
        <f>IFERROR(IF(OR($R344="",$C344=""),"",$R344/INDEX(DESPACHOS!$M$3:$M$3002,MATCH($C344,DESPACHOS!$B$3:$B$3002,0))),"")</f>
        <v/>
      </c>
      <c r="T344" s="41" t="n"/>
      <c r="U344" s="43">
        <f>IF(OR($B344="",$L344=""),"",WORKDAY($B344,IFERROR(INDEX(LISTAS!$C$3:$C$42,MATCH($L344,LISTAS!$A$3:$A$42,0)),3)))</f>
        <v/>
      </c>
      <c r="V344" s="40" t="n"/>
      <c r="W344" s="19">
        <f>IF($B344="","",IF($V344&lt;&gt;"",$V344-$B344,TODAY()-$B344))</f>
        <v/>
      </c>
      <c r="X344" s="19">
        <f>IF(OR($B344="",$U344=""),"",IF($V344&lt;&gt;"",MAX(0,$V344-$U344),MAX(0,TODAY()-$U344)))</f>
        <v/>
      </c>
      <c r="Y344" s="39">
        <f>IF($C344="","",IF(IFERROR(INDEX(LISTAS!$I$3:$I$42,MATCH($T344,LISTAS!$H$3:$H$42,0)),"NO")="SÍ",IF(N($X344)&gt;0,"CERRADA FUERA DE SLA","CERRADA EN SLA"),IF($U344="","SIN CLASIFICAR",IF(N($X344)&gt;0,"VENCIDA",IF(TODAY()&gt;=$U344-1,"POR VENCER","EN PLAZO")))))</f>
        <v/>
      </c>
      <c r="Z344" s="41" t="n"/>
      <c r="AA344" s="41" t="n"/>
      <c r="AB344" s="41" t="n"/>
    </row>
    <row r="345">
      <c r="A345" s="39">
        <f>IF($C345="","","NOV-"&amp;TEXT(ROW()-3,"0000"))</f>
        <v/>
      </c>
      <c r="B345" s="40" t="n"/>
      <c r="C345" s="41" t="n"/>
      <c r="D345" s="42">
        <f>IF($C345="","",IFERROR(INDEX(DESPACHOS!$D$3:$D$3002,MATCH($C345,DESPACHOS!$B$3:$B$3002,0)),"SIN DESPACHO"))</f>
        <v/>
      </c>
      <c r="E345" s="42">
        <f>IF($C345="","",IFERROR(INDEX(DESPACHOS!$K$3:$K$3002,MATCH($C345,DESPACHOS!$B$3:$B$3002,0)),""))</f>
        <v/>
      </c>
      <c r="F345" s="42">
        <f>IF($C345="","",IFERROR(INDEX(DESPACHOS!$I$3:$I$3002,MATCH($C345,DESPACHOS!$B$3:$B$3002,0)),""))</f>
        <v/>
      </c>
      <c r="G345" s="42">
        <f>IF($C345="","",IFERROR(INDEX(DESPACHOS!$F$3:$F$3002,MATCH($C345,DESPACHOS!$B$3:$B$3002,0)),""))</f>
        <v/>
      </c>
      <c r="H345" s="42">
        <f>IF($C345="","",IFERROR(INDEX(DESPACHOS!$G$3:$G$3002,MATCH($C345,DESPACHOS!$B$3:$B$3002,0)),""))</f>
        <v/>
      </c>
      <c r="I345" s="39">
        <f>IF($C345="","",IFERROR(INDEX(DESPACHOS!$H$3:$H$3002,MATCH($C345,DESPACHOS!$B$3:$B$3002,0)),""))</f>
        <v/>
      </c>
      <c r="J345" s="43">
        <f>IF($C345="","",IFERROR(INDEX(DESPACHOS!$J$3:$J$3002,MATCH($C345,DESPACHOS!$B$3:$B$3002,0)),""))</f>
        <v/>
      </c>
      <c r="K345" s="39">
        <f>IF($C345="","",IF(COUNTIFS(DESPACHOS!$B$3:$B$3002,$C345)=0,"NO EXISTE",IF(COUNTIFS(DESPACHOS!$B$3:$B$3002,$C345)&gt;1,"DUPLICADO","OK")))</f>
        <v/>
      </c>
      <c r="L345" s="41" t="n"/>
      <c r="M345" s="41" t="n"/>
      <c r="N345" s="42">
        <f>IF($M345="","",IFERROR(INDEX(LISTAS!$F$3:$F$42,MATCH($M345,LISTAS!$E$3:$E$42,0)),"Por definir"))</f>
        <v/>
      </c>
      <c r="O345" s="41" t="n"/>
      <c r="P345" s="39">
        <f>IF($L345="","",IFERROR(INDEX(LISTAS!$B$3:$B$42,MATCH($L345,LISTAS!$A$3:$A$42,0)),"Media"))</f>
        <v/>
      </c>
      <c r="Q345" s="44" t="n"/>
      <c r="R345" s="45" t="n"/>
      <c r="S345" s="20">
        <f>IFERROR(IF(OR($R345="",$C345=""),"",$R345/INDEX(DESPACHOS!$M$3:$M$3002,MATCH($C345,DESPACHOS!$B$3:$B$3002,0))),"")</f>
        <v/>
      </c>
      <c r="T345" s="41" t="n"/>
      <c r="U345" s="43">
        <f>IF(OR($B345="",$L345=""),"",WORKDAY($B345,IFERROR(INDEX(LISTAS!$C$3:$C$42,MATCH($L345,LISTAS!$A$3:$A$42,0)),3)))</f>
        <v/>
      </c>
      <c r="V345" s="40" t="n"/>
      <c r="W345" s="19">
        <f>IF($B345="","",IF($V345&lt;&gt;"",$V345-$B345,TODAY()-$B345))</f>
        <v/>
      </c>
      <c r="X345" s="19">
        <f>IF(OR($B345="",$U345=""),"",IF($V345&lt;&gt;"",MAX(0,$V345-$U345),MAX(0,TODAY()-$U345)))</f>
        <v/>
      </c>
      <c r="Y345" s="39">
        <f>IF($C345="","",IF(IFERROR(INDEX(LISTAS!$I$3:$I$42,MATCH($T345,LISTAS!$H$3:$H$42,0)),"NO")="SÍ",IF(N($X345)&gt;0,"CERRADA FUERA DE SLA","CERRADA EN SLA"),IF($U345="","SIN CLASIFICAR",IF(N($X345)&gt;0,"VENCIDA",IF(TODAY()&gt;=$U345-1,"POR VENCER","EN PLAZO")))))</f>
        <v/>
      </c>
      <c r="Z345" s="41" t="n"/>
      <c r="AA345" s="41" t="n"/>
      <c r="AB345" s="41" t="n"/>
    </row>
    <row r="346">
      <c r="A346" s="39">
        <f>IF($C346="","","NOV-"&amp;TEXT(ROW()-3,"0000"))</f>
        <v/>
      </c>
      <c r="B346" s="40" t="n"/>
      <c r="C346" s="41" t="n"/>
      <c r="D346" s="42">
        <f>IF($C346="","",IFERROR(INDEX(DESPACHOS!$D$3:$D$3002,MATCH($C346,DESPACHOS!$B$3:$B$3002,0)),"SIN DESPACHO"))</f>
        <v/>
      </c>
      <c r="E346" s="42">
        <f>IF($C346="","",IFERROR(INDEX(DESPACHOS!$K$3:$K$3002,MATCH($C346,DESPACHOS!$B$3:$B$3002,0)),""))</f>
        <v/>
      </c>
      <c r="F346" s="42">
        <f>IF($C346="","",IFERROR(INDEX(DESPACHOS!$I$3:$I$3002,MATCH($C346,DESPACHOS!$B$3:$B$3002,0)),""))</f>
        <v/>
      </c>
      <c r="G346" s="42">
        <f>IF($C346="","",IFERROR(INDEX(DESPACHOS!$F$3:$F$3002,MATCH($C346,DESPACHOS!$B$3:$B$3002,0)),""))</f>
        <v/>
      </c>
      <c r="H346" s="42">
        <f>IF($C346="","",IFERROR(INDEX(DESPACHOS!$G$3:$G$3002,MATCH($C346,DESPACHOS!$B$3:$B$3002,0)),""))</f>
        <v/>
      </c>
      <c r="I346" s="39">
        <f>IF($C346="","",IFERROR(INDEX(DESPACHOS!$H$3:$H$3002,MATCH($C346,DESPACHOS!$B$3:$B$3002,0)),""))</f>
        <v/>
      </c>
      <c r="J346" s="43">
        <f>IF($C346="","",IFERROR(INDEX(DESPACHOS!$J$3:$J$3002,MATCH($C346,DESPACHOS!$B$3:$B$3002,0)),""))</f>
        <v/>
      </c>
      <c r="K346" s="39">
        <f>IF($C346="","",IF(COUNTIFS(DESPACHOS!$B$3:$B$3002,$C346)=0,"NO EXISTE",IF(COUNTIFS(DESPACHOS!$B$3:$B$3002,$C346)&gt;1,"DUPLICADO","OK")))</f>
        <v/>
      </c>
      <c r="L346" s="41" t="n"/>
      <c r="M346" s="41" t="n"/>
      <c r="N346" s="42">
        <f>IF($M346="","",IFERROR(INDEX(LISTAS!$F$3:$F$42,MATCH($M346,LISTAS!$E$3:$E$42,0)),"Por definir"))</f>
        <v/>
      </c>
      <c r="O346" s="41" t="n"/>
      <c r="P346" s="39">
        <f>IF($L346="","",IFERROR(INDEX(LISTAS!$B$3:$B$42,MATCH($L346,LISTAS!$A$3:$A$42,0)),"Media"))</f>
        <v/>
      </c>
      <c r="Q346" s="44" t="n"/>
      <c r="R346" s="45" t="n"/>
      <c r="S346" s="20">
        <f>IFERROR(IF(OR($R346="",$C346=""),"",$R346/INDEX(DESPACHOS!$M$3:$M$3002,MATCH($C346,DESPACHOS!$B$3:$B$3002,0))),"")</f>
        <v/>
      </c>
      <c r="T346" s="41" t="n"/>
      <c r="U346" s="43">
        <f>IF(OR($B346="",$L346=""),"",WORKDAY($B346,IFERROR(INDEX(LISTAS!$C$3:$C$42,MATCH($L346,LISTAS!$A$3:$A$42,0)),3)))</f>
        <v/>
      </c>
      <c r="V346" s="40" t="n"/>
      <c r="W346" s="19">
        <f>IF($B346="","",IF($V346&lt;&gt;"",$V346-$B346,TODAY()-$B346))</f>
        <v/>
      </c>
      <c r="X346" s="19">
        <f>IF(OR($B346="",$U346=""),"",IF($V346&lt;&gt;"",MAX(0,$V346-$U346),MAX(0,TODAY()-$U346)))</f>
        <v/>
      </c>
      <c r="Y346" s="39">
        <f>IF($C346="","",IF(IFERROR(INDEX(LISTAS!$I$3:$I$42,MATCH($T346,LISTAS!$H$3:$H$42,0)),"NO")="SÍ",IF(N($X346)&gt;0,"CERRADA FUERA DE SLA","CERRADA EN SLA"),IF($U346="","SIN CLASIFICAR",IF(N($X346)&gt;0,"VENCIDA",IF(TODAY()&gt;=$U346-1,"POR VENCER","EN PLAZO")))))</f>
        <v/>
      </c>
      <c r="Z346" s="41" t="n"/>
      <c r="AA346" s="41" t="n"/>
      <c r="AB346" s="41" t="n"/>
    </row>
    <row r="347">
      <c r="A347" s="39">
        <f>IF($C347="","","NOV-"&amp;TEXT(ROW()-3,"0000"))</f>
        <v/>
      </c>
      <c r="B347" s="40" t="n"/>
      <c r="C347" s="41" t="n"/>
      <c r="D347" s="42">
        <f>IF($C347="","",IFERROR(INDEX(DESPACHOS!$D$3:$D$3002,MATCH($C347,DESPACHOS!$B$3:$B$3002,0)),"SIN DESPACHO"))</f>
        <v/>
      </c>
      <c r="E347" s="42">
        <f>IF($C347="","",IFERROR(INDEX(DESPACHOS!$K$3:$K$3002,MATCH($C347,DESPACHOS!$B$3:$B$3002,0)),""))</f>
        <v/>
      </c>
      <c r="F347" s="42">
        <f>IF($C347="","",IFERROR(INDEX(DESPACHOS!$I$3:$I$3002,MATCH($C347,DESPACHOS!$B$3:$B$3002,0)),""))</f>
        <v/>
      </c>
      <c r="G347" s="42">
        <f>IF($C347="","",IFERROR(INDEX(DESPACHOS!$F$3:$F$3002,MATCH($C347,DESPACHOS!$B$3:$B$3002,0)),""))</f>
        <v/>
      </c>
      <c r="H347" s="42">
        <f>IF($C347="","",IFERROR(INDEX(DESPACHOS!$G$3:$G$3002,MATCH($C347,DESPACHOS!$B$3:$B$3002,0)),""))</f>
        <v/>
      </c>
      <c r="I347" s="39">
        <f>IF($C347="","",IFERROR(INDEX(DESPACHOS!$H$3:$H$3002,MATCH($C347,DESPACHOS!$B$3:$B$3002,0)),""))</f>
        <v/>
      </c>
      <c r="J347" s="43">
        <f>IF($C347="","",IFERROR(INDEX(DESPACHOS!$J$3:$J$3002,MATCH($C347,DESPACHOS!$B$3:$B$3002,0)),""))</f>
        <v/>
      </c>
      <c r="K347" s="39">
        <f>IF($C347="","",IF(COUNTIFS(DESPACHOS!$B$3:$B$3002,$C347)=0,"NO EXISTE",IF(COUNTIFS(DESPACHOS!$B$3:$B$3002,$C347)&gt;1,"DUPLICADO","OK")))</f>
        <v/>
      </c>
      <c r="L347" s="41" t="n"/>
      <c r="M347" s="41" t="n"/>
      <c r="N347" s="42">
        <f>IF($M347="","",IFERROR(INDEX(LISTAS!$F$3:$F$42,MATCH($M347,LISTAS!$E$3:$E$42,0)),"Por definir"))</f>
        <v/>
      </c>
      <c r="O347" s="41" t="n"/>
      <c r="P347" s="39">
        <f>IF($L347="","",IFERROR(INDEX(LISTAS!$B$3:$B$42,MATCH($L347,LISTAS!$A$3:$A$42,0)),"Media"))</f>
        <v/>
      </c>
      <c r="Q347" s="44" t="n"/>
      <c r="R347" s="45" t="n"/>
      <c r="S347" s="20">
        <f>IFERROR(IF(OR($R347="",$C347=""),"",$R347/INDEX(DESPACHOS!$M$3:$M$3002,MATCH($C347,DESPACHOS!$B$3:$B$3002,0))),"")</f>
        <v/>
      </c>
      <c r="T347" s="41" t="n"/>
      <c r="U347" s="43">
        <f>IF(OR($B347="",$L347=""),"",WORKDAY($B347,IFERROR(INDEX(LISTAS!$C$3:$C$42,MATCH($L347,LISTAS!$A$3:$A$42,0)),3)))</f>
        <v/>
      </c>
      <c r="V347" s="40" t="n"/>
      <c r="W347" s="19">
        <f>IF($B347="","",IF($V347&lt;&gt;"",$V347-$B347,TODAY()-$B347))</f>
        <v/>
      </c>
      <c r="X347" s="19">
        <f>IF(OR($B347="",$U347=""),"",IF($V347&lt;&gt;"",MAX(0,$V347-$U347),MAX(0,TODAY()-$U347)))</f>
        <v/>
      </c>
      <c r="Y347" s="39">
        <f>IF($C347="","",IF(IFERROR(INDEX(LISTAS!$I$3:$I$42,MATCH($T347,LISTAS!$H$3:$H$42,0)),"NO")="SÍ",IF(N($X347)&gt;0,"CERRADA FUERA DE SLA","CERRADA EN SLA"),IF($U347="","SIN CLASIFICAR",IF(N($X347)&gt;0,"VENCIDA",IF(TODAY()&gt;=$U347-1,"POR VENCER","EN PLAZO")))))</f>
        <v/>
      </c>
      <c r="Z347" s="41" t="n"/>
      <c r="AA347" s="41" t="n"/>
      <c r="AB347" s="41" t="n"/>
    </row>
    <row r="348">
      <c r="A348" s="39">
        <f>IF($C348="","","NOV-"&amp;TEXT(ROW()-3,"0000"))</f>
        <v/>
      </c>
      <c r="B348" s="40" t="n"/>
      <c r="C348" s="41" t="n"/>
      <c r="D348" s="42">
        <f>IF($C348="","",IFERROR(INDEX(DESPACHOS!$D$3:$D$3002,MATCH($C348,DESPACHOS!$B$3:$B$3002,0)),"SIN DESPACHO"))</f>
        <v/>
      </c>
      <c r="E348" s="42">
        <f>IF($C348="","",IFERROR(INDEX(DESPACHOS!$K$3:$K$3002,MATCH($C348,DESPACHOS!$B$3:$B$3002,0)),""))</f>
        <v/>
      </c>
      <c r="F348" s="42">
        <f>IF($C348="","",IFERROR(INDEX(DESPACHOS!$I$3:$I$3002,MATCH($C348,DESPACHOS!$B$3:$B$3002,0)),""))</f>
        <v/>
      </c>
      <c r="G348" s="42">
        <f>IF($C348="","",IFERROR(INDEX(DESPACHOS!$F$3:$F$3002,MATCH($C348,DESPACHOS!$B$3:$B$3002,0)),""))</f>
        <v/>
      </c>
      <c r="H348" s="42">
        <f>IF($C348="","",IFERROR(INDEX(DESPACHOS!$G$3:$G$3002,MATCH($C348,DESPACHOS!$B$3:$B$3002,0)),""))</f>
        <v/>
      </c>
      <c r="I348" s="39">
        <f>IF($C348="","",IFERROR(INDEX(DESPACHOS!$H$3:$H$3002,MATCH($C348,DESPACHOS!$B$3:$B$3002,0)),""))</f>
        <v/>
      </c>
      <c r="J348" s="43">
        <f>IF($C348="","",IFERROR(INDEX(DESPACHOS!$J$3:$J$3002,MATCH($C348,DESPACHOS!$B$3:$B$3002,0)),""))</f>
        <v/>
      </c>
      <c r="K348" s="39">
        <f>IF($C348="","",IF(COUNTIFS(DESPACHOS!$B$3:$B$3002,$C348)=0,"NO EXISTE",IF(COUNTIFS(DESPACHOS!$B$3:$B$3002,$C348)&gt;1,"DUPLICADO","OK")))</f>
        <v/>
      </c>
      <c r="L348" s="41" t="n"/>
      <c r="M348" s="41" t="n"/>
      <c r="N348" s="42">
        <f>IF($M348="","",IFERROR(INDEX(LISTAS!$F$3:$F$42,MATCH($M348,LISTAS!$E$3:$E$42,0)),"Por definir"))</f>
        <v/>
      </c>
      <c r="O348" s="41" t="n"/>
      <c r="P348" s="39">
        <f>IF($L348="","",IFERROR(INDEX(LISTAS!$B$3:$B$42,MATCH($L348,LISTAS!$A$3:$A$42,0)),"Media"))</f>
        <v/>
      </c>
      <c r="Q348" s="44" t="n"/>
      <c r="R348" s="45" t="n"/>
      <c r="S348" s="20">
        <f>IFERROR(IF(OR($R348="",$C348=""),"",$R348/INDEX(DESPACHOS!$M$3:$M$3002,MATCH($C348,DESPACHOS!$B$3:$B$3002,0))),"")</f>
        <v/>
      </c>
      <c r="T348" s="41" t="n"/>
      <c r="U348" s="43">
        <f>IF(OR($B348="",$L348=""),"",WORKDAY($B348,IFERROR(INDEX(LISTAS!$C$3:$C$42,MATCH($L348,LISTAS!$A$3:$A$42,0)),3)))</f>
        <v/>
      </c>
      <c r="V348" s="40" t="n"/>
      <c r="W348" s="19">
        <f>IF($B348="","",IF($V348&lt;&gt;"",$V348-$B348,TODAY()-$B348))</f>
        <v/>
      </c>
      <c r="X348" s="19">
        <f>IF(OR($B348="",$U348=""),"",IF($V348&lt;&gt;"",MAX(0,$V348-$U348),MAX(0,TODAY()-$U348)))</f>
        <v/>
      </c>
      <c r="Y348" s="39">
        <f>IF($C348="","",IF(IFERROR(INDEX(LISTAS!$I$3:$I$42,MATCH($T348,LISTAS!$H$3:$H$42,0)),"NO")="SÍ",IF(N($X348)&gt;0,"CERRADA FUERA DE SLA","CERRADA EN SLA"),IF($U348="","SIN CLASIFICAR",IF(N($X348)&gt;0,"VENCIDA",IF(TODAY()&gt;=$U348-1,"POR VENCER","EN PLAZO")))))</f>
        <v/>
      </c>
      <c r="Z348" s="41" t="n"/>
      <c r="AA348" s="41" t="n"/>
      <c r="AB348" s="41" t="n"/>
    </row>
    <row r="349">
      <c r="A349" s="39">
        <f>IF($C349="","","NOV-"&amp;TEXT(ROW()-3,"0000"))</f>
        <v/>
      </c>
      <c r="B349" s="40" t="n"/>
      <c r="C349" s="41" t="n"/>
      <c r="D349" s="42">
        <f>IF($C349="","",IFERROR(INDEX(DESPACHOS!$D$3:$D$3002,MATCH($C349,DESPACHOS!$B$3:$B$3002,0)),"SIN DESPACHO"))</f>
        <v/>
      </c>
      <c r="E349" s="42">
        <f>IF($C349="","",IFERROR(INDEX(DESPACHOS!$K$3:$K$3002,MATCH($C349,DESPACHOS!$B$3:$B$3002,0)),""))</f>
        <v/>
      </c>
      <c r="F349" s="42">
        <f>IF($C349="","",IFERROR(INDEX(DESPACHOS!$I$3:$I$3002,MATCH($C349,DESPACHOS!$B$3:$B$3002,0)),""))</f>
        <v/>
      </c>
      <c r="G349" s="42">
        <f>IF($C349="","",IFERROR(INDEX(DESPACHOS!$F$3:$F$3002,MATCH($C349,DESPACHOS!$B$3:$B$3002,0)),""))</f>
        <v/>
      </c>
      <c r="H349" s="42">
        <f>IF($C349="","",IFERROR(INDEX(DESPACHOS!$G$3:$G$3002,MATCH($C349,DESPACHOS!$B$3:$B$3002,0)),""))</f>
        <v/>
      </c>
      <c r="I349" s="39">
        <f>IF($C349="","",IFERROR(INDEX(DESPACHOS!$H$3:$H$3002,MATCH($C349,DESPACHOS!$B$3:$B$3002,0)),""))</f>
        <v/>
      </c>
      <c r="J349" s="43">
        <f>IF($C349="","",IFERROR(INDEX(DESPACHOS!$J$3:$J$3002,MATCH($C349,DESPACHOS!$B$3:$B$3002,0)),""))</f>
        <v/>
      </c>
      <c r="K349" s="39">
        <f>IF($C349="","",IF(COUNTIFS(DESPACHOS!$B$3:$B$3002,$C349)=0,"NO EXISTE",IF(COUNTIFS(DESPACHOS!$B$3:$B$3002,$C349)&gt;1,"DUPLICADO","OK")))</f>
        <v/>
      </c>
      <c r="L349" s="41" t="n"/>
      <c r="M349" s="41" t="n"/>
      <c r="N349" s="42">
        <f>IF($M349="","",IFERROR(INDEX(LISTAS!$F$3:$F$42,MATCH($M349,LISTAS!$E$3:$E$42,0)),"Por definir"))</f>
        <v/>
      </c>
      <c r="O349" s="41" t="n"/>
      <c r="P349" s="39">
        <f>IF($L349="","",IFERROR(INDEX(LISTAS!$B$3:$B$42,MATCH($L349,LISTAS!$A$3:$A$42,0)),"Media"))</f>
        <v/>
      </c>
      <c r="Q349" s="44" t="n"/>
      <c r="R349" s="45" t="n"/>
      <c r="S349" s="20">
        <f>IFERROR(IF(OR($R349="",$C349=""),"",$R349/INDEX(DESPACHOS!$M$3:$M$3002,MATCH($C349,DESPACHOS!$B$3:$B$3002,0))),"")</f>
        <v/>
      </c>
      <c r="T349" s="41" t="n"/>
      <c r="U349" s="43">
        <f>IF(OR($B349="",$L349=""),"",WORKDAY($B349,IFERROR(INDEX(LISTAS!$C$3:$C$42,MATCH($L349,LISTAS!$A$3:$A$42,0)),3)))</f>
        <v/>
      </c>
      <c r="V349" s="40" t="n"/>
      <c r="W349" s="19">
        <f>IF($B349="","",IF($V349&lt;&gt;"",$V349-$B349,TODAY()-$B349))</f>
        <v/>
      </c>
      <c r="X349" s="19">
        <f>IF(OR($B349="",$U349=""),"",IF($V349&lt;&gt;"",MAX(0,$V349-$U349),MAX(0,TODAY()-$U349)))</f>
        <v/>
      </c>
      <c r="Y349" s="39">
        <f>IF($C349="","",IF(IFERROR(INDEX(LISTAS!$I$3:$I$42,MATCH($T349,LISTAS!$H$3:$H$42,0)),"NO")="SÍ",IF(N($X349)&gt;0,"CERRADA FUERA DE SLA","CERRADA EN SLA"),IF($U349="","SIN CLASIFICAR",IF(N($X349)&gt;0,"VENCIDA",IF(TODAY()&gt;=$U349-1,"POR VENCER","EN PLAZO")))))</f>
        <v/>
      </c>
      <c r="Z349" s="41" t="n"/>
      <c r="AA349" s="41" t="n"/>
      <c r="AB349" s="41" t="n"/>
    </row>
    <row r="350">
      <c r="A350" s="39">
        <f>IF($C350="","","NOV-"&amp;TEXT(ROW()-3,"0000"))</f>
        <v/>
      </c>
      <c r="B350" s="40" t="n"/>
      <c r="C350" s="41" t="n"/>
      <c r="D350" s="42">
        <f>IF($C350="","",IFERROR(INDEX(DESPACHOS!$D$3:$D$3002,MATCH($C350,DESPACHOS!$B$3:$B$3002,0)),"SIN DESPACHO"))</f>
        <v/>
      </c>
      <c r="E350" s="42">
        <f>IF($C350="","",IFERROR(INDEX(DESPACHOS!$K$3:$K$3002,MATCH($C350,DESPACHOS!$B$3:$B$3002,0)),""))</f>
        <v/>
      </c>
      <c r="F350" s="42">
        <f>IF($C350="","",IFERROR(INDEX(DESPACHOS!$I$3:$I$3002,MATCH($C350,DESPACHOS!$B$3:$B$3002,0)),""))</f>
        <v/>
      </c>
      <c r="G350" s="42">
        <f>IF($C350="","",IFERROR(INDEX(DESPACHOS!$F$3:$F$3002,MATCH($C350,DESPACHOS!$B$3:$B$3002,0)),""))</f>
        <v/>
      </c>
      <c r="H350" s="42">
        <f>IF($C350="","",IFERROR(INDEX(DESPACHOS!$G$3:$G$3002,MATCH($C350,DESPACHOS!$B$3:$B$3002,0)),""))</f>
        <v/>
      </c>
      <c r="I350" s="39">
        <f>IF($C350="","",IFERROR(INDEX(DESPACHOS!$H$3:$H$3002,MATCH($C350,DESPACHOS!$B$3:$B$3002,0)),""))</f>
        <v/>
      </c>
      <c r="J350" s="43">
        <f>IF($C350="","",IFERROR(INDEX(DESPACHOS!$J$3:$J$3002,MATCH($C350,DESPACHOS!$B$3:$B$3002,0)),""))</f>
        <v/>
      </c>
      <c r="K350" s="39">
        <f>IF($C350="","",IF(COUNTIFS(DESPACHOS!$B$3:$B$3002,$C350)=0,"NO EXISTE",IF(COUNTIFS(DESPACHOS!$B$3:$B$3002,$C350)&gt;1,"DUPLICADO","OK")))</f>
        <v/>
      </c>
      <c r="L350" s="41" t="n"/>
      <c r="M350" s="41" t="n"/>
      <c r="N350" s="42">
        <f>IF($M350="","",IFERROR(INDEX(LISTAS!$F$3:$F$42,MATCH($M350,LISTAS!$E$3:$E$42,0)),"Por definir"))</f>
        <v/>
      </c>
      <c r="O350" s="41" t="n"/>
      <c r="P350" s="39">
        <f>IF($L350="","",IFERROR(INDEX(LISTAS!$B$3:$B$42,MATCH($L350,LISTAS!$A$3:$A$42,0)),"Media"))</f>
        <v/>
      </c>
      <c r="Q350" s="44" t="n"/>
      <c r="R350" s="45" t="n"/>
      <c r="S350" s="20">
        <f>IFERROR(IF(OR($R350="",$C350=""),"",$R350/INDEX(DESPACHOS!$M$3:$M$3002,MATCH($C350,DESPACHOS!$B$3:$B$3002,0))),"")</f>
        <v/>
      </c>
      <c r="T350" s="41" t="n"/>
      <c r="U350" s="43">
        <f>IF(OR($B350="",$L350=""),"",WORKDAY($B350,IFERROR(INDEX(LISTAS!$C$3:$C$42,MATCH($L350,LISTAS!$A$3:$A$42,0)),3)))</f>
        <v/>
      </c>
      <c r="V350" s="40" t="n"/>
      <c r="W350" s="19">
        <f>IF($B350="","",IF($V350&lt;&gt;"",$V350-$B350,TODAY()-$B350))</f>
        <v/>
      </c>
      <c r="X350" s="19">
        <f>IF(OR($B350="",$U350=""),"",IF($V350&lt;&gt;"",MAX(0,$V350-$U350),MAX(0,TODAY()-$U350)))</f>
        <v/>
      </c>
      <c r="Y350" s="39">
        <f>IF($C350="","",IF(IFERROR(INDEX(LISTAS!$I$3:$I$42,MATCH($T350,LISTAS!$H$3:$H$42,0)),"NO")="SÍ",IF(N($X350)&gt;0,"CERRADA FUERA DE SLA","CERRADA EN SLA"),IF($U350="","SIN CLASIFICAR",IF(N($X350)&gt;0,"VENCIDA",IF(TODAY()&gt;=$U350-1,"POR VENCER","EN PLAZO")))))</f>
        <v/>
      </c>
      <c r="Z350" s="41" t="n"/>
      <c r="AA350" s="41" t="n"/>
      <c r="AB350" s="41" t="n"/>
    </row>
    <row r="351">
      <c r="A351" s="39">
        <f>IF($C351="","","NOV-"&amp;TEXT(ROW()-3,"0000"))</f>
        <v/>
      </c>
      <c r="B351" s="40" t="n"/>
      <c r="C351" s="41" t="n"/>
      <c r="D351" s="42">
        <f>IF($C351="","",IFERROR(INDEX(DESPACHOS!$D$3:$D$3002,MATCH($C351,DESPACHOS!$B$3:$B$3002,0)),"SIN DESPACHO"))</f>
        <v/>
      </c>
      <c r="E351" s="42">
        <f>IF($C351="","",IFERROR(INDEX(DESPACHOS!$K$3:$K$3002,MATCH($C351,DESPACHOS!$B$3:$B$3002,0)),""))</f>
        <v/>
      </c>
      <c r="F351" s="42">
        <f>IF($C351="","",IFERROR(INDEX(DESPACHOS!$I$3:$I$3002,MATCH($C351,DESPACHOS!$B$3:$B$3002,0)),""))</f>
        <v/>
      </c>
      <c r="G351" s="42">
        <f>IF($C351="","",IFERROR(INDEX(DESPACHOS!$F$3:$F$3002,MATCH($C351,DESPACHOS!$B$3:$B$3002,0)),""))</f>
        <v/>
      </c>
      <c r="H351" s="42">
        <f>IF($C351="","",IFERROR(INDEX(DESPACHOS!$G$3:$G$3002,MATCH($C351,DESPACHOS!$B$3:$B$3002,0)),""))</f>
        <v/>
      </c>
      <c r="I351" s="39">
        <f>IF($C351="","",IFERROR(INDEX(DESPACHOS!$H$3:$H$3002,MATCH($C351,DESPACHOS!$B$3:$B$3002,0)),""))</f>
        <v/>
      </c>
      <c r="J351" s="43">
        <f>IF($C351="","",IFERROR(INDEX(DESPACHOS!$J$3:$J$3002,MATCH($C351,DESPACHOS!$B$3:$B$3002,0)),""))</f>
        <v/>
      </c>
      <c r="K351" s="39">
        <f>IF($C351="","",IF(COUNTIFS(DESPACHOS!$B$3:$B$3002,$C351)=0,"NO EXISTE",IF(COUNTIFS(DESPACHOS!$B$3:$B$3002,$C351)&gt;1,"DUPLICADO","OK")))</f>
        <v/>
      </c>
      <c r="L351" s="41" t="n"/>
      <c r="M351" s="41" t="n"/>
      <c r="N351" s="42">
        <f>IF($M351="","",IFERROR(INDEX(LISTAS!$F$3:$F$42,MATCH($M351,LISTAS!$E$3:$E$42,0)),"Por definir"))</f>
        <v/>
      </c>
      <c r="O351" s="41" t="n"/>
      <c r="P351" s="39">
        <f>IF($L351="","",IFERROR(INDEX(LISTAS!$B$3:$B$42,MATCH($L351,LISTAS!$A$3:$A$42,0)),"Media"))</f>
        <v/>
      </c>
      <c r="Q351" s="44" t="n"/>
      <c r="R351" s="45" t="n"/>
      <c r="S351" s="20">
        <f>IFERROR(IF(OR($R351="",$C351=""),"",$R351/INDEX(DESPACHOS!$M$3:$M$3002,MATCH($C351,DESPACHOS!$B$3:$B$3002,0))),"")</f>
        <v/>
      </c>
      <c r="T351" s="41" t="n"/>
      <c r="U351" s="43">
        <f>IF(OR($B351="",$L351=""),"",WORKDAY($B351,IFERROR(INDEX(LISTAS!$C$3:$C$42,MATCH($L351,LISTAS!$A$3:$A$42,0)),3)))</f>
        <v/>
      </c>
      <c r="V351" s="40" t="n"/>
      <c r="W351" s="19">
        <f>IF($B351="","",IF($V351&lt;&gt;"",$V351-$B351,TODAY()-$B351))</f>
        <v/>
      </c>
      <c r="X351" s="19">
        <f>IF(OR($B351="",$U351=""),"",IF($V351&lt;&gt;"",MAX(0,$V351-$U351),MAX(0,TODAY()-$U351)))</f>
        <v/>
      </c>
      <c r="Y351" s="39">
        <f>IF($C351="","",IF(IFERROR(INDEX(LISTAS!$I$3:$I$42,MATCH($T351,LISTAS!$H$3:$H$42,0)),"NO")="SÍ",IF(N($X351)&gt;0,"CERRADA FUERA DE SLA","CERRADA EN SLA"),IF($U351="","SIN CLASIFICAR",IF(N($X351)&gt;0,"VENCIDA",IF(TODAY()&gt;=$U351-1,"POR VENCER","EN PLAZO")))))</f>
        <v/>
      </c>
      <c r="Z351" s="41" t="n"/>
      <c r="AA351" s="41" t="n"/>
      <c r="AB351" s="41" t="n"/>
    </row>
    <row r="352">
      <c r="A352" s="39">
        <f>IF($C352="","","NOV-"&amp;TEXT(ROW()-3,"0000"))</f>
        <v/>
      </c>
      <c r="B352" s="40" t="n"/>
      <c r="C352" s="41" t="n"/>
      <c r="D352" s="42">
        <f>IF($C352="","",IFERROR(INDEX(DESPACHOS!$D$3:$D$3002,MATCH($C352,DESPACHOS!$B$3:$B$3002,0)),"SIN DESPACHO"))</f>
        <v/>
      </c>
      <c r="E352" s="42">
        <f>IF($C352="","",IFERROR(INDEX(DESPACHOS!$K$3:$K$3002,MATCH($C352,DESPACHOS!$B$3:$B$3002,0)),""))</f>
        <v/>
      </c>
      <c r="F352" s="42">
        <f>IF($C352="","",IFERROR(INDEX(DESPACHOS!$I$3:$I$3002,MATCH($C352,DESPACHOS!$B$3:$B$3002,0)),""))</f>
        <v/>
      </c>
      <c r="G352" s="42">
        <f>IF($C352="","",IFERROR(INDEX(DESPACHOS!$F$3:$F$3002,MATCH($C352,DESPACHOS!$B$3:$B$3002,0)),""))</f>
        <v/>
      </c>
      <c r="H352" s="42">
        <f>IF($C352="","",IFERROR(INDEX(DESPACHOS!$G$3:$G$3002,MATCH($C352,DESPACHOS!$B$3:$B$3002,0)),""))</f>
        <v/>
      </c>
      <c r="I352" s="39">
        <f>IF($C352="","",IFERROR(INDEX(DESPACHOS!$H$3:$H$3002,MATCH($C352,DESPACHOS!$B$3:$B$3002,0)),""))</f>
        <v/>
      </c>
      <c r="J352" s="43">
        <f>IF($C352="","",IFERROR(INDEX(DESPACHOS!$J$3:$J$3002,MATCH($C352,DESPACHOS!$B$3:$B$3002,0)),""))</f>
        <v/>
      </c>
      <c r="K352" s="39">
        <f>IF($C352="","",IF(COUNTIFS(DESPACHOS!$B$3:$B$3002,$C352)=0,"NO EXISTE",IF(COUNTIFS(DESPACHOS!$B$3:$B$3002,$C352)&gt;1,"DUPLICADO","OK")))</f>
        <v/>
      </c>
      <c r="L352" s="41" t="n"/>
      <c r="M352" s="41" t="n"/>
      <c r="N352" s="42">
        <f>IF($M352="","",IFERROR(INDEX(LISTAS!$F$3:$F$42,MATCH($M352,LISTAS!$E$3:$E$42,0)),"Por definir"))</f>
        <v/>
      </c>
      <c r="O352" s="41" t="n"/>
      <c r="P352" s="39">
        <f>IF($L352="","",IFERROR(INDEX(LISTAS!$B$3:$B$42,MATCH($L352,LISTAS!$A$3:$A$42,0)),"Media"))</f>
        <v/>
      </c>
      <c r="Q352" s="44" t="n"/>
      <c r="R352" s="45" t="n"/>
      <c r="S352" s="20">
        <f>IFERROR(IF(OR($R352="",$C352=""),"",$R352/INDEX(DESPACHOS!$M$3:$M$3002,MATCH($C352,DESPACHOS!$B$3:$B$3002,0))),"")</f>
        <v/>
      </c>
      <c r="T352" s="41" t="n"/>
      <c r="U352" s="43">
        <f>IF(OR($B352="",$L352=""),"",WORKDAY($B352,IFERROR(INDEX(LISTAS!$C$3:$C$42,MATCH($L352,LISTAS!$A$3:$A$42,0)),3)))</f>
        <v/>
      </c>
      <c r="V352" s="40" t="n"/>
      <c r="W352" s="19">
        <f>IF($B352="","",IF($V352&lt;&gt;"",$V352-$B352,TODAY()-$B352))</f>
        <v/>
      </c>
      <c r="X352" s="19">
        <f>IF(OR($B352="",$U352=""),"",IF($V352&lt;&gt;"",MAX(0,$V352-$U352),MAX(0,TODAY()-$U352)))</f>
        <v/>
      </c>
      <c r="Y352" s="39">
        <f>IF($C352="","",IF(IFERROR(INDEX(LISTAS!$I$3:$I$42,MATCH($T352,LISTAS!$H$3:$H$42,0)),"NO")="SÍ",IF(N($X352)&gt;0,"CERRADA FUERA DE SLA","CERRADA EN SLA"),IF($U352="","SIN CLASIFICAR",IF(N($X352)&gt;0,"VENCIDA",IF(TODAY()&gt;=$U352-1,"POR VENCER","EN PLAZO")))))</f>
        <v/>
      </c>
      <c r="Z352" s="41" t="n"/>
      <c r="AA352" s="41" t="n"/>
      <c r="AB352" s="41" t="n"/>
    </row>
    <row r="353">
      <c r="A353" s="39">
        <f>IF($C353="","","NOV-"&amp;TEXT(ROW()-3,"0000"))</f>
        <v/>
      </c>
      <c r="B353" s="40" t="n"/>
      <c r="C353" s="41" t="n"/>
      <c r="D353" s="42">
        <f>IF($C353="","",IFERROR(INDEX(DESPACHOS!$D$3:$D$3002,MATCH($C353,DESPACHOS!$B$3:$B$3002,0)),"SIN DESPACHO"))</f>
        <v/>
      </c>
      <c r="E353" s="42">
        <f>IF($C353="","",IFERROR(INDEX(DESPACHOS!$K$3:$K$3002,MATCH($C353,DESPACHOS!$B$3:$B$3002,0)),""))</f>
        <v/>
      </c>
      <c r="F353" s="42">
        <f>IF($C353="","",IFERROR(INDEX(DESPACHOS!$I$3:$I$3002,MATCH($C353,DESPACHOS!$B$3:$B$3002,0)),""))</f>
        <v/>
      </c>
      <c r="G353" s="42">
        <f>IF($C353="","",IFERROR(INDEX(DESPACHOS!$F$3:$F$3002,MATCH($C353,DESPACHOS!$B$3:$B$3002,0)),""))</f>
        <v/>
      </c>
      <c r="H353" s="42">
        <f>IF($C353="","",IFERROR(INDEX(DESPACHOS!$G$3:$G$3002,MATCH($C353,DESPACHOS!$B$3:$B$3002,0)),""))</f>
        <v/>
      </c>
      <c r="I353" s="39">
        <f>IF($C353="","",IFERROR(INDEX(DESPACHOS!$H$3:$H$3002,MATCH($C353,DESPACHOS!$B$3:$B$3002,0)),""))</f>
        <v/>
      </c>
      <c r="J353" s="43">
        <f>IF($C353="","",IFERROR(INDEX(DESPACHOS!$J$3:$J$3002,MATCH($C353,DESPACHOS!$B$3:$B$3002,0)),""))</f>
        <v/>
      </c>
      <c r="K353" s="39">
        <f>IF($C353="","",IF(COUNTIFS(DESPACHOS!$B$3:$B$3002,$C353)=0,"NO EXISTE",IF(COUNTIFS(DESPACHOS!$B$3:$B$3002,$C353)&gt;1,"DUPLICADO","OK")))</f>
        <v/>
      </c>
      <c r="L353" s="41" t="n"/>
      <c r="M353" s="41" t="n"/>
      <c r="N353" s="42">
        <f>IF($M353="","",IFERROR(INDEX(LISTAS!$F$3:$F$42,MATCH($M353,LISTAS!$E$3:$E$42,0)),"Por definir"))</f>
        <v/>
      </c>
      <c r="O353" s="41" t="n"/>
      <c r="P353" s="39">
        <f>IF($L353="","",IFERROR(INDEX(LISTAS!$B$3:$B$42,MATCH($L353,LISTAS!$A$3:$A$42,0)),"Media"))</f>
        <v/>
      </c>
      <c r="Q353" s="44" t="n"/>
      <c r="R353" s="45" t="n"/>
      <c r="S353" s="20">
        <f>IFERROR(IF(OR($R353="",$C353=""),"",$R353/INDEX(DESPACHOS!$M$3:$M$3002,MATCH($C353,DESPACHOS!$B$3:$B$3002,0))),"")</f>
        <v/>
      </c>
      <c r="T353" s="41" t="n"/>
      <c r="U353" s="43">
        <f>IF(OR($B353="",$L353=""),"",WORKDAY($B353,IFERROR(INDEX(LISTAS!$C$3:$C$42,MATCH($L353,LISTAS!$A$3:$A$42,0)),3)))</f>
        <v/>
      </c>
      <c r="V353" s="40" t="n"/>
      <c r="W353" s="19">
        <f>IF($B353="","",IF($V353&lt;&gt;"",$V353-$B353,TODAY()-$B353))</f>
        <v/>
      </c>
      <c r="X353" s="19">
        <f>IF(OR($B353="",$U353=""),"",IF($V353&lt;&gt;"",MAX(0,$V353-$U353),MAX(0,TODAY()-$U353)))</f>
        <v/>
      </c>
      <c r="Y353" s="39">
        <f>IF($C353="","",IF(IFERROR(INDEX(LISTAS!$I$3:$I$42,MATCH($T353,LISTAS!$H$3:$H$42,0)),"NO")="SÍ",IF(N($X353)&gt;0,"CERRADA FUERA DE SLA","CERRADA EN SLA"),IF($U353="","SIN CLASIFICAR",IF(N($X353)&gt;0,"VENCIDA",IF(TODAY()&gt;=$U353-1,"POR VENCER","EN PLAZO")))))</f>
        <v/>
      </c>
      <c r="Z353" s="41" t="n"/>
      <c r="AA353" s="41" t="n"/>
      <c r="AB353" s="41" t="n"/>
    </row>
    <row r="354">
      <c r="A354" s="39">
        <f>IF($C354="","","NOV-"&amp;TEXT(ROW()-3,"0000"))</f>
        <v/>
      </c>
      <c r="B354" s="40" t="n"/>
      <c r="C354" s="41" t="n"/>
      <c r="D354" s="42">
        <f>IF($C354="","",IFERROR(INDEX(DESPACHOS!$D$3:$D$3002,MATCH($C354,DESPACHOS!$B$3:$B$3002,0)),"SIN DESPACHO"))</f>
        <v/>
      </c>
      <c r="E354" s="42">
        <f>IF($C354="","",IFERROR(INDEX(DESPACHOS!$K$3:$K$3002,MATCH($C354,DESPACHOS!$B$3:$B$3002,0)),""))</f>
        <v/>
      </c>
      <c r="F354" s="42">
        <f>IF($C354="","",IFERROR(INDEX(DESPACHOS!$I$3:$I$3002,MATCH($C354,DESPACHOS!$B$3:$B$3002,0)),""))</f>
        <v/>
      </c>
      <c r="G354" s="42">
        <f>IF($C354="","",IFERROR(INDEX(DESPACHOS!$F$3:$F$3002,MATCH($C354,DESPACHOS!$B$3:$B$3002,0)),""))</f>
        <v/>
      </c>
      <c r="H354" s="42">
        <f>IF($C354="","",IFERROR(INDEX(DESPACHOS!$G$3:$G$3002,MATCH($C354,DESPACHOS!$B$3:$B$3002,0)),""))</f>
        <v/>
      </c>
      <c r="I354" s="39">
        <f>IF($C354="","",IFERROR(INDEX(DESPACHOS!$H$3:$H$3002,MATCH($C354,DESPACHOS!$B$3:$B$3002,0)),""))</f>
        <v/>
      </c>
      <c r="J354" s="43">
        <f>IF($C354="","",IFERROR(INDEX(DESPACHOS!$J$3:$J$3002,MATCH($C354,DESPACHOS!$B$3:$B$3002,0)),""))</f>
        <v/>
      </c>
      <c r="K354" s="39">
        <f>IF($C354="","",IF(COUNTIFS(DESPACHOS!$B$3:$B$3002,$C354)=0,"NO EXISTE",IF(COUNTIFS(DESPACHOS!$B$3:$B$3002,$C354)&gt;1,"DUPLICADO","OK")))</f>
        <v/>
      </c>
      <c r="L354" s="41" t="n"/>
      <c r="M354" s="41" t="n"/>
      <c r="N354" s="42">
        <f>IF($M354="","",IFERROR(INDEX(LISTAS!$F$3:$F$42,MATCH($M354,LISTAS!$E$3:$E$42,0)),"Por definir"))</f>
        <v/>
      </c>
      <c r="O354" s="41" t="n"/>
      <c r="P354" s="39">
        <f>IF($L354="","",IFERROR(INDEX(LISTAS!$B$3:$B$42,MATCH($L354,LISTAS!$A$3:$A$42,0)),"Media"))</f>
        <v/>
      </c>
      <c r="Q354" s="44" t="n"/>
      <c r="R354" s="45" t="n"/>
      <c r="S354" s="20">
        <f>IFERROR(IF(OR($R354="",$C354=""),"",$R354/INDEX(DESPACHOS!$M$3:$M$3002,MATCH($C354,DESPACHOS!$B$3:$B$3002,0))),"")</f>
        <v/>
      </c>
      <c r="T354" s="41" t="n"/>
      <c r="U354" s="43">
        <f>IF(OR($B354="",$L354=""),"",WORKDAY($B354,IFERROR(INDEX(LISTAS!$C$3:$C$42,MATCH($L354,LISTAS!$A$3:$A$42,0)),3)))</f>
        <v/>
      </c>
      <c r="V354" s="40" t="n"/>
      <c r="W354" s="19">
        <f>IF($B354="","",IF($V354&lt;&gt;"",$V354-$B354,TODAY()-$B354))</f>
        <v/>
      </c>
      <c r="X354" s="19">
        <f>IF(OR($B354="",$U354=""),"",IF($V354&lt;&gt;"",MAX(0,$V354-$U354),MAX(0,TODAY()-$U354)))</f>
        <v/>
      </c>
      <c r="Y354" s="39">
        <f>IF($C354="","",IF(IFERROR(INDEX(LISTAS!$I$3:$I$42,MATCH($T354,LISTAS!$H$3:$H$42,0)),"NO")="SÍ",IF(N($X354)&gt;0,"CERRADA FUERA DE SLA","CERRADA EN SLA"),IF($U354="","SIN CLASIFICAR",IF(N($X354)&gt;0,"VENCIDA",IF(TODAY()&gt;=$U354-1,"POR VENCER","EN PLAZO")))))</f>
        <v/>
      </c>
      <c r="Z354" s="41" t="n"/>
      <c r="AA354" s="41" t="n"/>
      <c r="AB354" s="41" t="n"/>
    </row>
    <row r="355">
      <c r="A355" s="39">
        <f>IF($C355="","","NOV-"&amp;TEXT(ROW()-3,"0000"))</f>
        <v/>
      </c>
      <c r="B355" s="40" t="n"/>
      <c r="C355" s="41" t="n"/>
      <c r="D355" s="42">
        <f>IF($C355="","",IFERROR(INDEX(DESPACHOS!$D$3:$D$3002,MATCH($C355,DESPACHOS!$B$3:$B$3002,0)),"SIN DESPACHO"))</f>
        <v/>
      </c>
      <c r="E355" s="42">
        <f>IF($C355="","",IFERROR(INDEX(DESPACHOS!$K$3:$K$3002,MATCH($C355,DESPACHOS!$B$3:$B$3002,0)),""))</f>
        <v/>
      </c>
      <c r="F355" s="42">
        <f>IF($C355="","",IFERROR(INDEX(DESPACHOS!$I$3:$I$3002,MATCH($C355,DESPACHOS!$B$3:$B$3002,0)),""))</f>
        <v/>
      </c>
      <c r="G355" s="42">
        <f>IF($C355="","",IFERROR(INDEX(DESPACHOS!$F$3:$F$3002,MATCH($C355,DESPACHOS!$B$3:$B$3002,0)),""))</f>
        <v/>
      </c>
      <c r="H355" s="42">
        <f>IF($C355="","",IFERROR(INDEX(DESPACHOS!$G$3:$G$3002,MATCH($C355,DESPACHOS!$B$3:$B$3002,0)),""))</f>
        <v/>
      </c>
      <c r="I355" s="39">
        <f>IF($C355="","",IFERROR(INDEX(DESPACHOS!$H$3:$H$3002,MATCH($C355,DESPACHOS!$B$3:$B$3002,0)),""))</f>
        <v/>
      </c>
      <c r="J355" s="43">
        <f>IF($C355="","",IFERROR(INDEX(DESPACHOS!$J$3:$J$3002,MATCH($C355,DESPACHOS!$B$3:$B$3002,0)),""))</f>
        <v/>
      </c>
      <c r="K355" s="39">
        <f>IF($C355="","",IF(COUNTIFS(DESPACHOS!$B$3:$B$3002,$C355)=0,"NO EXISTE",IF(COUNTIFS(DESPACHOS!$B$3:$B$3002,$C355)&gt;1,"DUPLICADO","OK")))</f>
        <v/>
      </c>
      <c r="L355" s="41" t="n"/>
      <c r="M355" s="41" t="n"/>
      <c r="N355" s="42">
        <f>IF($M355="","",IFERROR(INDEX(LISTAS!$F$3:$F$42,MATCH($M355,LISTAS!$E$3:$E$42,0)),"Por definir"))</f>
        <v/>
      </c>
      <c r="O355" s="41" t="n"/>
      <c r="P355" s="39">
        <f>IF($L355="","",IFERROR(INDEX(LISTAS!$B$3:$B$42,MATCH($L355,LISTAS!$A$3:$A$42,0)),"Media"))</f>
        <v/>
      </c>
      <c r="Q355" s="44" t="n"/>
      <c r="R355" s="45" t="n"/>
      <c r="S355" s="20">
        <f>IFERROR(IF(OR($R355="",$C355=""),"",$R355/INDEX(DESPACHOS!$M$3:$M$3002,MATCH($C355,DESPACHOS!$B$3:$B$3002,0))),"")</f>
        <v/>
      </c>
      <c r="T355" s="41" t="n"/>
      <c r="U355" s="43">
        <f>IF(OR($B355="",$L355=""),"",WORKDAY($B355,IFERROR(INDEX(LISTAS!$C$3:$C$42,MATCH($L355,LISTAS!$A$3:$A$42,0)),3)))</f>
        <v/>
      </c>
      <c r="V355" s="40" t="n"/>
      <c r="W355" s="19">
        <f>IF($B355="","",IF($V355&lt;&gt;"",$V355-$B355,TODAY()-$B355))</f>
        <v/>
      </c>
      <c r="X355" s="19">
        <f>IF(OR($B355="",$U355=""),"",IF($V355&lt;&gt;"",MAX(0,$V355-$U355),MAX(0,TODAY()-$U355)))</f>
        <v/>
      </c>
      <c r="Y355" s="39">
        <f>IF($C355="","",IF(IFERROR(INDEX(LISTAS!$I$3:$I$42,MATCH($T355,LISTAS!$H$3:$H$42,0)),"NO")="SÍ",IF(N($X355)&gt;0,"CERRADA FUERA DE SLA","CERRADA EN SLA"),IF($U355="","SIN CLASIFICAR",IF(N($X355)&gt;0,"VENCIDA",IF(TODAY()&gt;=$U355-1,"POR VENCER","EN PLAZO")))))</f>
        <v/>
      </c>
      <c r="Z355" s="41" t="n"/>
      <c r="AA355" s="41" t="n"/>
      <c r="AB355" s="41" t="n"/>
    </row>
    <row r="356">
      <c r="A356" s="39">
        <f>IF($C356="","","NOV-"&amp;TEXT(ROW()-3,"0000"))</f>
        <v/>
      </c>
      <c r="B356" s="40" t="n"/>
      <c r="C356" s="41" t="n"/>
      <c r="D356" s="42">
        <f>IF($C356="","",IFERROR(INDEX(DESPACHOS!$D$3:$D$3002,MATCH($C356,DESPACHOS!$B$3:$B$3002,0)),"SIN DESPACHO"))</f>
        <v/>
      </c>
      <c r="E356" s="42">
        <f>IF($C356="","",IFERROR(INDEX(DESPACHOS!$K$3:$K$3002,MATCH($C356,DESPACHOS!$B$3:$B$3002,0)),""))</f>
        <v/>
      </c>
      <c r="F356" s="42">
        <f>IF($C356="","",IFERROR(INDEX(DESPACHOS!$I$3:$I$3002,MATCH($C356,DESPACHOS!$B$3:$B$3002,0)),""))</f>
        <v/>
      </c>
      <c r="G356" s="42">
        <f>IF($C356="","",IFERROR(INDEX(DESPACHOS!$F$3:$F$3002,MATCH($C356,DESPACHOS!$B$3:$B$3002,0)),""))</f>
        <v/>
      </c>
      <c r="H356" s="42">
        <f>IF($C356="","",IFERROR(INDEX(DESPACHOS!$G$3:$G$3002,MATCH($C356,DESPACHOS!$B$3:$B$3002,0)),""))</f>
        <v/>
      </c>
      <c r="I356" s="39">
        <f>IF($C356="","",IFERROR(INDEX(DESPACHOS!$H$3:$H$3002,MATCH($C356,DESPACHOS!$B$3:$B$3002,0)),""))</f>
        <v/>
      </c>
      <c r="J356" s="43">
        <f>IF($C356="","",IFERROR(INDEX(DESPACHOS!$J$3:$J$3002,MATCH($C356,DESPACHOS!$B$3:$B$3002,0)),""))</f>
        <v/>
      </c>
      <c r="K356" s="39">
        <f>IF($C356="","",IF(COUNTIFS(DESPACHOS!$B$3:$B$3002,$C356)=0,"NO EXISTE",IF(COUNTIFS(DESPACHOS!$B$3:$B$3002,$C356)&gt;1,"DUPLICADO","OK")))</f>
        <v/>
      </c>
      <c r="L356" s="41" t="n"/>
      <c r="M356" s="41" t="n"/>
      <c r="N356" s="42">
        <f>IF($M356="","",IFERROR(INDEX(LISTAS!$F$3:$F$42,MATCH($M356,LISTAS!$E$3:$E$42,0)),"Por definir"))</f>
        <v/>
      </c>
      <c r="O356" s="41" t="n"/>
      <c r="P356" s="39">
        <f>IF($L356="","",IFERROR(INDEX(LISTAS!$B$3:$B$42,MATCH($L356,LISTAS!$A$3:$A$42,0)),"Media"))</f>
        <v/>
      </c>
      <c r="Q356" s="44" t="n"/>
      <c r="R356" s="45" t="n"/>
      <c r="S356" s="20">
        <f>IFERROR(IF(OR($R356="",$C356=""),"",$R356/INDEX(DESPACHOS!$M$3:$M$3002,MATCH($C356,DESPACHOS!$B$3:$B$3002,0))),"")</f>
        <v/>
      </c>
      <c r="T356" s="41" t="n"/>
      <c r="U356" s="43">
        <f>IF(OR($B356="",$L356=""),"",WORKDAY($B356,IFERROR(INDEX(LISTAS!$C$3:$C$42,MATCH($L356,LISTAS!$A$3:$A$42,0)),3)))</f>
        <v/>
      </c>
      <c r="V356" s="40" t="n"/>
      <c r="W356" s="19">
        <f>IF($B356="","",IF($V356&lt;&gt;"",$V356-$B356,TODAY()-$B356))</f>
        <v/>
      </c>
      <c r="X356" s="19">
        <f>IF(OR($B356="",$U356=""),"",IF($V356&lt;&gt;"",MAX(0,$V356-$U356),MAX(0,TODAY()-$U356)))</f>
        <v/>
      </c>
      <c r="Y356" s="39">
        <f>IF($C356="","",IF(IFERROR(INDEX(LISTAS!$I$3:$I$42,MATCH($T356,LISTAS!$H$3:$H$42,0)),"NO")="SÍ",IF(N($X356)&gt;0,"CERRADA FUERA DE SLA","CERRADA EN SLA"),IF($U356="","SIN CLASIFICAR",IF(N($X356)&gt;0,"VENCIDA",IF(TODAY()&gt;=$U356-1,"POR VENCER","EN PLAZO")))))</f>
        <v/>
      </c>
      <c r="Z356" s="41" t="n"/>
      <c r="AA356" s="41" t="n"/>
      <c r="AB356" s="41" t="n"/>
    </row>
    <row r="357">
      <c r="A357" s="39">
        <f>IF($C357="","","NOV-"&amp;TEXT(ROW()-3,"0000"))</f>
        <v/>
      </c>
      <c r="B357" s="40" t="n"/>
      <c r="C357" s="41" t="n"/>
      <c r="D357" s="42">
        <f>IF($C357="","",IFERROR(INDEX(DESPACHOS!$D$3:$D$3002,MATCH($C357,DESPACHOS!$B$3:$B$3002,0)),"SIN DESPACHO"))</f>
        <v/>
      </c>
      <c r="E357" s="42">
        <f>IF($C357="","",IFERROR(INDEX(DESPACHOS!$K$3:$K$3002,MATCH($C357,DESPACHOS!$B$3:$B$3002,0)),""))</f>
        <v/>
      </c>
      <c r="F357" s="42">
        <f>IF($C357="","",IFERROR(INDEX(DESPACHOS!$I$3:$I$3002,MATCH($C357,DESPACHOS!$B$3:$B$3002,0)),""))</f>
        <v/>
      </c>
      <c r="G357" s="42">
        <f>IF($C357="","",IFERROR(INDEX(DESPACHOS!$F$3:$F$3002,MATCH($C357,DESPACHOS!$B$3:$B$3002,0)),""))</f>
        <v/>
      </c>
      <c r="H357" s="42">
        <f>IF($C357="","",IFERROR(INDEX(DESPACHOS!$G$3:$G$3002,MATCH($C357,DESPACHOS!$B$3:$B$3002,0)),""))</f>
        <v/>
      </c>
      <c r="I357" s="39">
        <f>IF($C357="","",IFERROR(INDEX(DESPACHOS!$H$3:$H$3002,MATCH($C357,DESPACHOS!$B$3:$B$3002,0)),""))</f>
        <v/>
      </c>
      <c r="J357" s="43">
        <f>IF($C357="","",IFERROR(INDEX(DESPACHOS!$J$3:$J$3002,MATCH($C357,DESPACHOS!$B$3:$B$3002,0)),""))</f>
        <v/>
      </c>
      <c r="K357" s="39">
        <f>IF($C357="","",IF(COUNTIFS(DESPACHOS!$B$3:$B$3002,$C357)=0,"NO EXISTE",IF(COUNTIFS(DESPACHOS!$B$3:$B$3002,$C357)&gt;1,"DUPLICADO","OK")))</f>
        <v/>
      </c>
      <c r="L357" s="41" t="n"/>
      <c r="M357" s="41" t="n"/>
      <c r="N357" s="42">
        <f>IF($M357="","",IFERROR(INDEX(LISTAS!$F$3:$F$42,MATCH($M357,LISTAS!$E$3:$E$42,0)),"Por definir"))</f>
        <v/>
      </c>
      <c r="O357" s="41" t="n"/>
      <c r="P357" s="39">
        <f>IF($L357="","",IFERROR(INDEX(LISTAS!$B$3:$B$42,MATCH($L357,LISTAS!$A$3:$A$42,0)),"Media"))</f>
        <v/>
      </c>
      <c r="Q357" s="44" t="n"/>
      <c r="R357" s="45" t="n"/>
      <c r="S357" s="20">
        <f>IFERROR(IF(OR($R357="",$C357=""),"",$R357/INDEX(DESPACHOS!$M$3:$M$3002,MATCH($C357,DESPACHOS!$B$3:$B$3002,0))),"")</f>
        <v/>
      </c>
      <c r="T357" s="41" t="n"/>
      <c r="U357" s="43">
        <f>IF(OR($B357="",$L357=""),"",WORKDAY($B357,IFERROR(INDEX(LISTAS!$C$3:$C$42,MATCH($L357,LISTAS!$A$3:$A$42,0)),3)))</f>
        <v/>
      </c>
      <c r="V357" s="40" t="n"/>
      <c r="W357" s="19">
        <f>IF($B357="","",IF($V357&lt;&gt;"",$V357-$B357,TODAY()-$B357))</f>
        <v/>
      </c>
      <c r="X357" s="19">
        <f>IF(OR($B357="",$U357=""),"",IF($V357&lt;&gt;"",MAX(0,$V357-$U357),MAX(0,TODAY()-$U357)))</f>
        <v/>
      </c>
      <c r="Y357" s="39">
        <f>IF($C357="","",IF(IFERROR(INDEX(LISTAS!$I$3:$I$42,MATCH($T357,LISTAS!$H$3:$H$42,0)),"NO")="SÍ",IF(N($X357)&gt;0,"CERRADA FUERA DE SLA","CERRADA EN SLA"),IF($U357="","SIN CLASIFICAR",IF(N($X357)&gt;0,"VENCIDA",IF(TODAY()&gt;=$U357-1,"POR VENCER","EN PLAZO")))))</f>
        <v/>
      </c>
      <c r="Z357" s="41" t="n"/>
      <c r="AA357" s="41" t="n"/>
      <c r="AB357" s="41" t="n"/>
    </row>
    <row r="358">
      <c r="A358" s="39">
        <f>IF($C358="","","NOV-"&amp;TEXT(ROW()-3,"0000"))</f>
        <v/>
      </c>
      <c r="B358" s="40" t="n"/>
      <c r="C358" s="41" t="n"/>
      <c r="D358" s="42">
        <f>IF($C358="","",IFERROR(INDEX(DESPACHOS!$D$3:$D$3002,MATCH($C358,DESPACHOS!$B$3:$B$3002,0)),"SIN DESPACHO"))</f>
        <v/>
      </c>
      <c r="E358" s="42">
        <f>IF($C358="","",IFERROR(INDEX(DESPACHOS!$K$3:$K$3002,MATCH($C358,DESPACHOS!$B$3:$B$3002,0)),""))</f>
        <v/>
      </c>
      <c r="F358" s="42">
        <f>IF($C358="","",IFERROR(INDEX(DESPACHOS!$I$3:$I$3002,MATCH($C358,DESPACHOS!$B$3:$B$3002,0)),""))</f>
        <v/>
      </c>
      <c r="G358" s="42">
        <f>IF($C358="","",IFERROR(INDEX(DESPACHOS!$F$3:$F$3002,MATCH($C358,DESPACHOS!$B$3:$B$3002,0)),""))</f>
        <v/>
      </c>
      <c r="H358" s="42">
        <f>IF($C358="","",IFERROR(INDEX(DESPACHOS!$G$3:$G$3002,MATCH($C358,DESPACHOS!$B$3:$B$3002,0)),""))</f>
        <v/>
      </c>
      <c r="I358" s="39">
        <f>IF($C358="","",IFERROR(INDEX(DESPACHOS!$H$3:$H$3002,MATCH($C358,DESPACHOS!$B$3:$B$3002,0)),""))</f>
        <v/>
      </c>
      <c r="J358" s="43">
        <f>IF($C358="","",IFERROR(INDEX(DESPACHOS!$J$3:$J$3002,MATCH($C358,DESPACHOS!$B$3:$B$3002,0)),""))</f>
        <v/>
      </c>
      <c r="K358" s="39">
        <f>IF($C358="","",IF(COUNTIFS(DESPACHOS!$B$3:$B$3002,$C358)=0,"NO EXISTE",IF(COUNTIFS(DESPACHOS!$B$3:$B$3002,$C358)&gt;1,"DUPLICADO","OK")))</f>
        <v/>
      </c>
      <c r="L358" s="41" t="n"/>
      <c r="M358" s="41" t="n"/>
      <c r="N358" s="42">
        <f>IF($M358="","",IFERROR(INDEX(LISTAS!$F$3:$F$42,MATCH($M358,LISTAS!$E$3:$E$42,0)),"Por definir"))</f>
        <v/>
      </c>
      <c r="O358" s="41" t="n"/>
      <c r="P358" s="39">
        <f>IF($L358="","",IFERROR(INDEX(LISTAS!$B$3:$B$42,MATCH($L358,LISTAS!$A$3:$A$42,0)),"Media"))</f>
        <v/>
      </c>
      <c r="Q358" s="44" t="n"/>
      <c r="R358" s="45" t="n"/>
      <c r="S358" s="20">
        <f>IFERROR(IF(OR($R358="",$C358=""),"",$R358/INDEX(DESPACHOS!$M$3:$M$3002,MATCH($C358,DESPACHOS!$B$3:$B$3002,0))),"")</f>
        <v/>
      </c>
      <c r="T358" s="41" t="n"/>
      <c r="U358" s="43">
        <f>IF(OR($B358="",$L358=""),"",WORKDAY($B358,IFERROR(INDEX(LISTAS!$C$3:$C$42,MATCH($L358,LISTAS!$A$3:$A$42,0)),3)))</f>
        <v/>
      </c>
      <c r="V358" s="40" t="n"/>
      <c r="W358" s="19">
        <f>IF($B358="","",IF($V358&lt;&gt;"",$V358-$B358,TODAY()-$B358))</f>
        <v/>
      </c>
      <c r="X358" s="19">
        <f>IF(OR($B358="",$U358=""),"",IF($V358&lt;&gt;"",MAX(0,$V358-$U358),MAX(0,TODAY()-$U358)))</f>
        <v/>
      </c>
      <c r="Y358" s="39">
        <f>IF($C358="","",IF(IFERROR(INDEX(LISTAS!$I$3:$I$42,MATCH($T358,LISTAS!$H$3:$H$42,0)),"NO")="SÍ",IF(N($X358)&gt;0,"CERRADA FUERA DE SLA","CERRADA EN SLA"),IF($U358="","SIN CLASIFICAR",IF(N($X358)&gt;0,"VENCIDA",IF(TODAY()&gt;=$U358-1,"POR VENCER","EN PLAZO")))))</f>
        <v/>
      </c>
      <c r="Z358" s="41" t="n"/>
      <c r="AA358" s="41" t="n"/>
      <c r="AB358" s="41" t="n"/>
    </row>
    <row r="359">
      <c r="A359" s="39">
        <f>IF($C359="","","NOV-"&amp;TEXT(ROW()-3,"0000"))</f>
        <v/>
      </c>
      <c r="B359" s="40" t="n"/>
      <c r="C359" s="41" t="n"/>
      <c r="D359" s="42">
        <f>IF($C359="","",IFERROR(INDEX(DESPACHOS!$D$3:$D$3002,MATCH($C359,DESPACHOS!$B$3:$B$3002,0)),"SIN DESPACHO"))</f>
        <v/>
      </c>
      <c r="E359" s="42">
        <f>IF($C359="","",IFERROR(INDEX(DESPACHOS!$K$3:$K$3002,MATCH($C359,DESPACHOS!$B$3:$B$3002,0)),""))</f>
        <v/>
      </c>
      <c r="F359" s="42">
        <f>IF($C359="","",IFERROR(INDEX(DESPACHOS!$I$3:$I$3002,MATCH($C359,DESPACHOS!$B$3:$B$3002,0)),""))</f>
        <v/>
      </c>
      <c r="G359" s="42">
        <f>IF($C359="","",IFERROR(INDEX(DESPACHOS!$F$3:$F$3002,MATCH($C359,DESPACHOS!$B$3:$B$3002,0)),""))</f>
        <v/>
      </c>
      <c r="H359" s="42">
        <f>IF($C359="","",IFERROR(INDEX(DESPACHOS!$G$3:$G$3002,MATCH($C359,DESPACHOS!$B$3:$B$3002,0)),""))</f>
        <v/>
      </c>
      <c r="I359" s="39">
        <f>IF($C359="","",IFERROR(INDEX(DESPACHOS!$H$3:$H$3002,MATCH($C359,DESPACHOS!$B$3:$B$3002,0)),""))</f>
        <v/>
      </c>
      <c r="J359" s="43">
        <f>IF($C359="","",IFERROR(INDEX(DESPACHOS!$J$3:$J$3002,MATCH($C359,DESPACHOS!$B$3:$B$3002,0)),""))</f>
        <v/>
      </c>
      <c r="K359" s="39">
        <f>IF($C359="","",IF(COUNTIFS(DESPACHOS!$B$3:$B$3002,$C359)=0,"NO EXISTE",IF(COUNTIFS(DESPACHOS!$B$3:$B$3002,$C359)&gt;1,"DUPLICADO","OK")))</f>
        <v/>
      </c>
      <c r="L359" s="41" t="n"/>
      <c r="M359" s="41" t="n"/>
      <c r="N359" s="42">
        <f>IF($M359="","",IFERROR(INDEX(LISTAS!$F$3:$F$42,MATCH($M359,LISTAS!$E$3:$E$42,0)),"Por definir"))</f>
        <v/>
      </c>
      <c r="O359" s="41" t="n"/>
      <c r="P359" s="39">
        <f>IF($L359="","",IFERROR(INDEX(LISTAS!$B$3:$B$42,MATCH($L359,LISTAS!$A$3:$A$42,0)),"Media"))</f>
        <v/>
      </c>
      <c r="Q359" s="44" t="n"/>
      <c r="R359" s="45" t="n"/>
      <c r="S359" s="20">
        <f>IFERROR(IF(OR($R359="",$C359=""),"",$R359/INDEX(DESPACHOS!$M$3:$M$3002,MATCH($C359,DESPACHOS!$B$3:$B$3002,0))),"")</f>
        <v/>
      </c>
      <c r="T359" s="41" t="n"/>
      <c r="U359" s="43">
        <f>IF(OR($B359="",$L359=""),"",WORKDAY($B359,IFERROR(INDEX(LISTAS!$C$3:$C$42,MATCH($L359,LISTAS!$A$3:$A$42,0)),3)))</f>
        <v/>
      </c>
      <c r="V359" s="40" t="n"/>
      <c r="W359" s="19">
        <f>IF($B359="","",IF($V359&lt;&gt;"",$V359-$B359,TODAY()-$B359))</f>
        <v/>
      </c>
      <c r="X359" s="19">
        <f>IF(OR($B359="",$U359=""),"",IF($V359&lt;&gt;"",MAX(0,$V359-$U359),MAX(0,TODAY()-$U359)))</f>
        <v/>
      </c>
      <c r="Y359" s="39">
        <f>IF($C359="","",IF(IFERROR(INDEX(LISTAS!$I$3:$I$42,MATCH($T359,LISTAS!$H$3:$H$42,0)),"NO")="SÍ",IF(N($X359)&gt;0,"CERRADA FUERA DE SLA","CERRADA EN SLA"),IF($U359="","SIN CLASIFICAR",IF(N($X359)&gt;0,"VENCIDA",IF(TODAY()&gt;=$U359-1,"POR VENCER","EN PLAZO")))))</f>
        <v/>
      </c>
      <c r="Z359" s="41" t="n"/>
      <c r="AA359" s="41" t="n"/>
      <c r="AB359" s="41" t="n"/>
    </row>
    <row r="360">
      <c r="A360" s="39">
        <f>IF($C360="","","NOV-"&amp;TEXT(ROW()-3,"0000"))</f>
        <v/>
      </c>
      <c r="B360" s="40" t="n"/>
      <c r="C360" s="41" t="n"/>
      <c r="D360" s="42">
        <f>IF($C360="","",IFERROR(INDEX(DESPACHOS!$D$3:$D$3002,MATCH($C360,DESPACHOS!$B$3:$B$3002,0)),"SIN DESPACHO"))</f>
        <v/>
      </c>
      <c r="E360" s="42">
        <f>IF($C360="","",IFERROR(INDEX(DESPACHOS!$K$3:$K$3002,MATCH($C360,DESPACHOS!$B$3:$B$3002,0)),""))</f>
        <v/>
      </c>
      <c r="F360" s="42">
        <f>IF($C360="","",IFERROR(INDEX(DESPACHOS!$I$3:$I$3002,MATCH($C360,DESPACHOS!$B$3:$B$3002,0)),""))</f>
        <v/>
      </c>
      <c r="G360" s="42">
        <f>IF($C360="","",IFERROR(INDEX(DESPACHOS!$F$3:$F$3002,MATCH($C360,DESPACHOS!$B$3:$B$3002,0)),""))</f>
        <v/>
      </c>
      <c r="H360" s="42">
        <f>IF($C360="","",IFERROR(INDEX(DESPACHOS!$G$3:$G$3002,MATCH($C360,DESPACHOS!$B$3:$B$3002,0)),""))</f>
        <v/>
      </c>
      <c r="I360" s="39">
        <f>IF($C360="","",IFERROR(INDEX(DESPACHOS!$H$3:$H$3002,MATCH($C360,DESPACHOS!$B$3:$B$3002,0)),""))</f>
        <v/>
      </c>
      <c r="J360" s="43">
        <f>IF($C360="","",IFERROR(INDEX(DESPACHOS!$J$3:$J$3002,MATCH($C360,DESPACHOS!$B$3:$B$3002,0)),""))</f>
        <v/>
      </c>
      <c r="K360" s="39">
        <f>IF($C360="","",IF(COUNTIFS(DESPACHOS!$B$3:$B$3002,$C360)=0,"NO EXISTE",IF(COUNTIFS(DESPACHOS!$B$3:$B$3002,$C360)&gt;1,"DUPLICADO","OK")))</f>
        <v/>
      </c>
      <c r="L360" s="41" t="n"/>
      <c r="M360" s="41" t="n"/>
      <c r="N360" s="42">
        <f>IF($M360="","",IFERROR(INDEX(LISTAS!$F$3:$F$42,MATCH($M360,LISTAS!$E$3:$E$42,0)),"Por definir"))</f>
        <v/>
      </c>
      <c r="O360" s="41" t="n"/>
      <c r="P360" s="39">
        <f>IF($L360="","",IFERROR(INDEX(LISTAS!$B$3:$B$42,MATCH($L360,LISTAS!$A$3:$A$42,0)),"Media"))</f>
        <v/>
      </c>
      <c r="Q360" s="44" t="n"/>
      <c r="R360" s="45" t="n"/>
      <c r="S360" s="20">
        <f>IFERROR(IF(OR($R360="",$C360=""),"",$R360/INDEX(DESPACHOS!$M$3:$M$3002,MATCH($C360,DESPACHOS!$B$3:$B$3002,0))),"")</f>
        <v/>
      </c>
      <c r="T360" s="41" t="n"/>
      <c r="U360" s="43">
        <f>IF(OR($B360="",$L360=""),"",WORKDAY($B360,IFERROR(INDEX(LISTAS!$C$3:$C$42,MATCH($L360,LISTAS!$A$3:$A$42,0)),3)))</f>
        <v/>
      </c>
      <c r="V360" s="40" t="n"/>
      <c r="W360" s="19">
        <f>IF($B360="","",IF($V360&lt;&gt;"",$V360-$B360,TODAY()-$B360))</f>
        <v/>
      </c>
      <c r="X360" s="19">
        <f>IF(OR($B360="",$U360=""),"",IF($V360&lt;&gt;"",MAX(0,$V360-$U360),MAX(0,TODAY()-$U360)))</f>
        <v/>
      </c>
      <c r="Y360" s="39">
        <f>IF($C360="","",IF(IFERROR(INDEX(LISTAS!$I$3:$I$42,MATCH($T360,LISTAS!$H$3:$H$42,0)),"NO")="SÍ",IF(N($X360)&gt;0,"CERRADA FUERA DE SLA","CERRADA EN SLA"),IF($U360="","SIN CLASIFICAR",IF(N($X360)&gt;0,"VENCIDA",IF(TODAY()&gt;=$U360-1,"POR VENCER","EN PLAZO")))))</f>
        <v/>
      </c>
      <c r="Z360" s="41" t="n"/>
      <c r="AA360" s="41" t="n"/>
      <c r="AB360" s="41" t="n"/>
    </row>
    <row r="361">
      <c r="A361" s="39">
        <f>IF($C361="","","NOV-"&amp;TEXT(ROW()-3,"0000"))</f>
        <v/>
      </c>
      <c r="B361" s="40" t="n"/>
      <c r="C361" s="41" t="n"/>
      <c r="D361" s="42">
        <f>IF($C361="","",IFERROR(INDEX(DESPACHOS!$D$3:$D$3002,MATCH($C361,DESPACHOS!$B$3:$B$3002,0)),"SIN DESPACHO"))</f>
        <v/>
      </c>
      <c r="E361" s="42">
        <f>IF($C361="","",IFERROR(INDEX(DESPACHOS!$K$3:$K$3002,MATCH($C361,DESPACHOS!$B$3:$B$3002,0)),""))</f>
        <v/>
      </c>
      <c r="F361" s="42">
        <f>IF($C361="","",IFERROR(INDEX(DESPACHOS!$I$3:$I$3002,MATCH($C361,DESPACHOS!$B$3:$B$3002,0)),""))</f>
        <v/>
      </c>
      <c r="G361" s="42">
        <f>IF($C361="","",IFERROR(INDEX(DESPACHOS!$F$3:$F$3002,MATCH($C361,DESPACHOS!$B$3:$B$3002,0)),""))</f>
        <v/>
      </c>
      <c r="H361" s="42">
        <f>IF($C361="","",IFERROR(INDEX(DESPACHOS!$G$3:$G$3002,MATCH($C361,DESPACHOS!$B$3:$B$3002,0)),""))</f>
        <v/>
      </c>
      <c r="I361" s="39">
        <f>IF($C361="","",IFERROR(INDEX(DESPACHOS!$H$3:$H$3002,MATCH($C361,DESPACHOS!$B$3:$B$3002,0)),""))</f>
        <v/>
      </c>
      <c r="J361" s="43">
        <f>IF($C361="","",IFERROR(INDEX(DESPACHOS!$J$3:$J$3002,MATCH($C361,DESPACHOS!$B$3:$B$3002,0)),""))</f>
        <v/>
      </c>
      <c r="K361" s="39">
        <f>IF($C361="","",IF(COUNTIFS(DESPACHOS!$B$3:$B$3002,$C361)=0,"NO EXISTE",IF(COUNTIFS(DESPACHOS!$B$3:$B$3002,$C361)&gt;1,"DUPLICADO","OK")))</f>
        <v/>
      </c>
      <c r="L361" s="41" t="n"/>
      <c r="M361" s="41" t="n"/>
      <c r="N361" s="42">
        <f>IF($M361="","",IFERROR(INDEX(LISTAS!$F$3:$F$42,MATCH($M361,LISTAS!$E$3:$E$42,0)),"Por definir"))</f>
        <v/>
      </c>
      <c r="O361" s="41" t="n"/>
      <c r="P361" s="39">
        <f>IF($L361="","",IFERROR(INDEX(LISTAS!$B$3:$B$42,MATCH($L361,LISTAS!$A$3:$A$42,0)),"Media"))</f>
        <v/>
      </c>
      <c r="Q361" s="44" t="n"/>
      <c r="R361" s="45" t="n"/>
      <c r="S361" s="20">
        <f>IFERROR(IF(OR($R361="",$C361=""),"",$R361/INDEX(DESPACHOS!$M$3:$M$3002,MATCH($C361,DESPACHOS!$B$3:$B$3002,0))),"")</f>
        <v/>
      </c>
      <c r="T361" s="41" t="n"/>
      <c r="U361" s="43">
        <f>IF(OR($B361="",$L361=""),"",WORKDAY($B361,IFERROR(INDEX(LISTAS!$C$3:$C$42,MATCH($L361,LISTAS!$A$3:$A$42,0)),3)))</f>
        <v/>
      </c>
      <c r="V361" s="40" t="n"/>
      <c r="W361" s="19">
        <f>IF($B361="","",IF($V361&lt;&gt;"",$V361-$B361,TODAY()-$B361))</f>
        <v/>
      </c>
      <c r="X361" s="19">
        <f>IF(OR($B361="",$U361=""),"",IF($V361&lt;&gt;"",MAX(0,$V361-$U361),MAX(0,TODAY()-$U361)))</f>
        <v/>
      </c>
      <c r="Y361" s="39">
        <f>IF($C361="","",IF(IFERROR(INDEX(LISTAS!$I$3:$I$42,MATCH($T361,LISTAS!$H$3:$H$42,0)),"NO")="SÍ",IF(N($X361)&gt;0,"CERRADA FUERA DE SLA","CERRADA EN SLA"),IF($U361="","SIN CLASIFICAR",IF(N($X361)&gt;0,"VENCIDA",IF(TODAY()&gt;=$U361-1,"POR VENCER","EN PLAZO")))))</f>
        <v/>
      </c>
      <c r="Z361" s="41" t="n"/>
      <c r="AA361" s="41" t="n"/>
      <c r="AB361" s="41" t="n"/>
    </row>
    <row r="362">
      <c r="A362" s="39">
        <f>IF($C362="","","NOV-"&amp;TEXT(ROW()-3,"0000"))</f>
        <v/>
      </c>
      <c r="B362" s="40" t="n"/>
      <c r="C362" s="41" t="n"/>
      <c r="D362" s="42">
        <f>IF($C362="","",IFERROR(INDEX(DESPACHOS!$D$3:$D$3002,MATCH($C362,DESPACHOS!$B$3:$B$3002,0)),"SIN DESPACHO"))</f>
        <v/>
      </c>
      <c r="E362" s="42">
        <f>IF($C362="","",IFERROR(INDEX(DESPACHOS!$K$3:$K$3002,MATCH($C362,DESPACHOS!$B$3:$B$3002,0)),""))</f>
        <v/>
      </c>
      <c r="F362" s="42">
        <f>IF($C362="","",IFERROR(INDEX(DESPACHOS!$I$3:$I$3002,MATCH($C362,DESPACHOS!$B$3:$B$3002,0)),""))</f>
        <v/>
      </c>
      <c r="G362" s="42">
        <f>IF($C362="","",IFERROR(INDEX(DESPACHOS!$F$3:$F$3002,MATCH($C362,DESPACHOS!$B$3:$B$3002,0)),""))</f>
        <v/>
      </c>
      <c r="H362" s="42">
        <f>IF($C362="","",IFERROR(INDEX(DESPACHOS!$G$3:$G$3002,MATCH($C362,DESPACHOS!$B$3:$B$3002,0)),""))</f>
        <v/>
      </c>
      <c r="I362" s="39">
        <f>IF($C362="","",IFERROR(INDEX(DESPACHOS!$H$3:$H$3002,MATCH($C362,DESPACHOS!$B$3:$B$3002,0)),""))</f>
        <v/>
      </c>
      <c r="J362" s="43">
        <f>IF($C362="","",IFERROR(INDEX(DESPACHOS!$J$3:$J$3002,MATCH($C362,DESPACHOS!$B$3:$B$3002,0)),""))</f>
        <v/>
      </c>
      <c r="K362" s="39">
        <f>IF($C362="","",IF(COUNTIFS(DESPACHOS!$B$3:$B$3002,$C362)=0,"NO EXISTE",IF(COUNTIFS(DESPACHOS!$B$3:$B$3002,$C362)&gt;1,"DUPLICADO","OK")))</f>
        <v/>
      </c>
      <c r="L362" s="41" t="n"/>
      <c r="M362" s="41" t="n"/>
      <c r="N362" s="42">
        <f>IF($M362="","",IFERROR(INDEX(LISTAS!$F$3:$F$42,MATCH($M362,LISTAS!$E$3:$E$42,0)),"Por definir"))</f>
        <v/>
      </c>
      <c r="O362" s="41" t="n"/>
      <c r="P362" s="39">
        <f>IF($L362="","",IFERROR(INDEX(LISTAS!$B$3:$B$42,MATCH($L362,LISTAS!$A$3:$A$42,0)),"Media"))</f>
        <v/>
      </c>
      <c r="Q362" s="44" t="n"/>
      <c r="R362" s="45" t="n"/>
      <c r="S362" s="20">
        <f>IFERROR(IF(OR($R362="",$C362=""),"",$R362/INDEX(DESPACHOS!$M$3:$M$3002,MATCH($C362,DESPACHOS!$B$3:$B$3002,0))),"")</f>
        <v/>
      </c>
      <c r="T362" s="41" t="n"/>
      <c r="U362" s="43">
        <f>IF(OR($B362="",$L362=""),"",WORKDAY($B362,IFERROR(INDEX(LISTAS!$C$3:$C$42,MATCH($L362,LISTAS!$A$3:$A$42,0)),3)))</f>
        <v/>
      </c>
      <c r="V362" s="40" t="n"/>
      <c r="W362" s="19">
        <f>IF($B362="","",IF($V362&lt;&gt;"",$V362-$B362,TODAY()-$B362))</f>
        <v/>
      </c>
      <c r="X362" s="19">
        <f>IF(OR($B362="",$U362=""),"",IF($V362&lt;&gt;"",MAX(0,$V362-$U362),MAX(0,TODAY()-$U362)))</f>
        <v/>
      </c>
      <c r="Y362" s="39">
        <f>IF($C362="","",IF(IFERROR(INDEX(LISTAS!$I$3:$I$42,MATCH($T362,LISTAS!$H$3:$H$42,0)),"NO")="SÍ",IF(N($X362)&gt;0,"CERRADA FUERA DE SLA","CERRADA EN SLA"),IF($U362="","SIN CLASIFICAR",IF(N($X362)&gt;0,"VENCIDA",IF(TODAY()&gt;=$U362-1,"POR VENCER","EN PLAZO")))))</f>
        <v/>
      </c>
      <c r="Z362" s="41" t="n"/>
      <c r="AA362" s="41" t="n"/>
      <c r="AB362" s="41" t="n"/>
    </row>
    <row r="363">
      <c r="A363" s="39">
        <f>IF($C363="","","NOV-"&amp;TEXT(ROW()-3,"0000"))</f>
        <v/>
      </c>
      <c r="B363" s="40" t="n"/>
      <c r="C363" s="41" t="n"/>
      <c r="D363" s="42">
        <f>IF($C363="","",IFERROR(INDEX(DESPACHOS!$D$3:$D$3002,MATCH($C363,DESPACHOS!$B$3:$B$3002,0)),"SIN DESPACHO"))</f>
        <v/>
      </c>
      <c r="E363" s="42">
        <f>IF($C363="","",IFERROR(INDEX(DESPACHOS!$K$3:$K$3002,MATCH($C363,DESPACHOS!$B$3:$B$3002,0)),""))</f>
        <v/>
      </c>
      <c r="F363" s="42">
        <f>IF($C363="","",IFERROR(INDEX(DESPACHOS!$I$3:$I$3002,MATCH($C363,DESPACHOS!$B$3:$B$3002,0)),""))</f>
        <v/>
      </c>
      <c r="G363" s="42">
        <f>IF($C363="","",IFERROR(INDEX(DESPACHOS!$F$3:$F$3002,MATCH($C363,DESPACHOS!$B$3:$B$3002,0)),""))</f>
        <v/>
      </c>
      <c r="H363" s="42">
        <f>IF($C363="","",IFERROR(INDEX(DESPACHOS!$G$3:$G$3002,MATCH($C363,DESPACHOS!$B$3:$B$3002,0)),""))</f>
        <v/>
      </c>
      <c r="I363" s="39">
        <f>IF($C363="","",IFERROR(INDEX(DESPACHOS!$H$3:$H$3002,MATCH($C363,DESPACHOS!$B$3:$B$3002,0)),""))</f>
        <v/>
      </c>
      <c r="J363" s="43">
        <f>IF($C363="","",IFERROR(INDEX(DESPACHOS!$J$3:$J$3002,MATCH($C363,DESPACHOS!$B$3:$B$3002,0)),""))</f>
        <v/>
      </c>
      <c r="K363" s="39">
        <f>IF($C363="","",IF(COUNTIFS(DESPACHOS!$B$3:$B$3002,$C363)=0,"NO EXISTE",IF(COUNTIFS(DESPACHOS!$B$3:$B$3002,$C363)&gt;1,"DUPLICADO","OK")))</f>
        <v/>
      </c>
      <c r="L363" s="41" t="n"/>
      <c r="M363" s="41" t="n"/>
      <c r="N363" s="42">
        <f>IF($M363="","",IFERROR(INDEX(LISTAS!$F$3:$F$42,MATCH($M363,LISTAS!$E$3:$E$42,0)),"Por definir"))</f>
        <v/>
      </c>
      <c r="O363" s="41" t="n"/>
      <c r="P363" s="39">
        <f>IF($L363="","",IFERROR(INDEX(LISTAS!$B$3:$B$42,MATCH($L363,LISTAS!$A$3:$A$42,0)),"Media"))</f>
        <v/>
      </c>
      <c r="Q363" s="44" t="n"/>
      <c r="R363" s="45" t="n"/>
      <c r="S363" s="20">
        <f>IFERROR(IF(OR($R363="",$C363=""),"",$R363/INDEX(DESPACHOS!$M$3:$M$3002,MATCH($C363,DESPACHOS!$B$3:$B$3002,0))),"")</f>
        <v/>
      </c>
      <c r="T363" s="41" t="n"/>
      <c r="U363" s="43">
        <f>IF(OR($B363="",$L363=""),"",WORKDAY($B363,IFERROR(INDEX(LISTAS!$C$3:$C$42,MATCH($L363,LISTAS!$A$3:$A$42,0)),3)))</f>
        <v/>
      </c>
      <c r="V363" s="40" t="n"/>
      <c r="W363" s="19">
        <f>IF($B363="","",IF($V363&lt;&gt;"",$V363-$B363,TODAY()-$B363))</f>
        <v/>
      </c>
      <c r="X363" s="19">
        <f>IF(OR($B363="",$U363=""),"",IF($V363&lt;&gt;"",MAX(0,$V363-$U363),MAX(0,TODAY()-$U363)))</f>
        <v/>
      </c>
      <c r="Y363" s="39">
        <f>IF($C363="","",IF(IFERROR(INDEX(LISTAS!$I$3:$I$42,MATCH($T363,LISTAS!$H$3:$H$42,0)),"NO")="SÍ",IF(N($X363)&gt;0,"CERRADA FUERA DE SLA","CERRADA EN SLA"),IF($U363="","SIN CLASIFICAR",IF(N($X363)&gt;0,"VENCIDA",IF(TODAY()&gt;=$U363-1,"POR VENCER","EN PLAZO")))))</f>
        <v/>
      </c>
      <c r="Z363" s="41" t="n"/>
      <c r="AA363" s="41" t="n"/>
      <c r="AB363" s="41" t="n"/>
    </row>
    <row r="364">
      <c r="A364" s="39">
        <f>IF($C364="","","NOV-"&amp;TEXT(ROW()-3,"0000"))</f>
        <v/>
      </c>
      <c r="B364" s="40" t="n"/>
      <c r="C364" s="41" t="n"/>
      <c r="D364" s="42">
        <f>IF($C364="","",IFERROR(INDEX(DESPACHOS!$D$3:$D$3002,MATCH($C364,DESPACHOS!$B$3:$B$3002,0)),"SIN DESPACHO"))</f>
        <v/>
      </c>
      <c r="E364" s="42">
        <f>IF($C364="","",IFERROR(INDEX(DESPACHOS!$K$3:$K$3002,MATCH($C364,DESPACHOS!$B$3:$B$3002,0)),""))</f>
        <v/>
      </c>
      <c r="F364" s="42">
        <f>IF($C364="","",IFERROR(INDEX(DESPACHOS!$I$3:$I$3002,MATCH($C364,DESPACHOS!$B$3:$B$3002,0)),""))</f>
        <v/>
      </c>
      <c r="G364" s="42">
        <f>IF($C364="","",IFERROR(INDEX(DESPACHOS!$F$3:$F$3002,MATCH($C364,DESPACHOS!$B$3:$B$3002,0)),""))</f>
        <v/>
      </c>
      <c r="H364" s="42">
        <f>IF($C364="","",IFERROR(INDEX(DESPACHOS!$G$3:$G$3002,MATCH($C364,DESPACHOS!$B$3:$B$3002,0)),""))</f>
        <v/>
      </c>
      <c r="I364" s="39">
        <f>IF($C364="","",IFERROR(INDEX(DESPACHOS!$H$3:$H$3002,MATCH($C364,DESPACHOS!$B$3:$B$3002,0)),""))</f>
        <v/>
      </c>
      <c r="J364" s="43">
        <f>IF($C364="","",IFERROR(INDEX(DESPACHOS!$J$3:$J$3002,MATCH($C364,DESPACHOS!$B$3:$B$3002,0)),""))</f>
        <v/>
      </c>
      <c r="K364" s="39">
        <f>IF($C364="","",IF(COUNTIFS(DESPACHOS!$B$3:$B$3002,$C364)=0,"NO EXISTE",IF(COUNTIFS(DESPACHOS!$B$3:$B$3002,$C364)&gt;1,"DUPLICADO","OK")))</f>
        <v/>
      </c>
      <c r="L364" s="41" t="n"/>
      <c r="M364" s="41" t="n"/>
      <c r="N364" s="42">
        <f>IF($M364="","",IFERROR(INDEX(LISTAS!$F$3:$F$42,MATCH($M364,LISTAS!$E$3:$E$42,0)),"Por definir"))</f>
        <v/>
      </c>
      <c r="O364" s="41" t="n"/>
      <c r="P364" s="39">
        <f>IF($L364="","",IFERROR(INDEX(LISTAS!$B$3:$B$42,MATCH($L364,LISTAS!$A$3:$A$42,0)),"Media"))</f>
        <v/>
      </c>
      <c r="Q364" s="44" t="n"/>
      <c r="R364" s="45" t="n"/>
      <c r="S364" s="20">
        <f>IFERROR(IF(OR($R364="",$C364=""),"",$R364/INDEX(DESPACHOS!$M$3:$M$3002,MATCH($C364,DESPACHOS!$B$3:$B$3002,0))),"")</f>
        <v/>
      </c>
      <c r="T364" s="41" t="n"/>
      <c r="U364" s="43">
        <f>IF(OR($B364="",$L364=""),"",WORKDAY($B364,IFERROR(INDEX(LISTAS!$C$3:$C$42,MATCH($L364,LISTAS!$A$3:$A$42,0)),3)))</f>
        <v/>
      </c>
      <c r="V364" s="40" t="n"/>
      <c r="W364" s="19">
        <f>IF($B364="","",IF($V364&lt;&gt;"",$V364-$B364,TODAY()-$B364))</f>
        <v/>
      </c>
      <c r="X364" s="19">
        <f>IF(OR($B364="",$U364=""),"",IF($V364&lt;&gt;"",MAX(0,$V364-$U364),MAX(0,TODAY()-$U364)))</f>
        <v/>
      </c>
      <c r="Y364" s="39">
        <f>IF($C364="","",IF(IFERROR(INDEX(LISTAS!$I$3:$I$42,MATCH($T364,LISTAS!$H$3:$H$42,0)),"NO")="SÍ",IF(N($X364)&gt;0,"CERRADA FUERA DE SLA","CERRADA EN SLA"),IF($U364="","SIN CLASIFICAR",IF(N($X364)&gt;0,"VENCIDA",IF(TODAY()&gt;=$U364-1,"POR VENCER","EN PLAZO")))))</f>
        <v/>
      </c>
      <c r="Z364" s="41" t="n"/>
      <c r="AA364" s="41" t="n"/>
      <c r="AB364" s="41" t="n"/>
    </row>
    <row r="365">
      <c r="A365" s="39">
        <f>IF($C365="","","NOV-"&amp;TEXT(ROW()-3,"0000"))</f>
        <v/>
      </c>
      <c r="B365" s="40" t="n"/>
      <c r="C365" s="41" t="n"/>
      <c r="D365" s="42">
        <f>IF($C365="","",IFERROR(INDEX(DESPACHOS!$D$3:$D$3002,MATCH($C365,DESPACHOS!$B$3:$B$3002,0)),"SIN DESPACHO"))</f>
        <v/>
      </c>
      <c r="E365" s="42">
        <f>IF($C365="","",IFERROR(INDEX(DESPACHOS!$K$3:$K$3002,MATCH($C365,DESPACHOS!$B$3:$B$3002,0)),""))</f>
        <v/>
      </c>
      <c r="F365" s="42">
        <f>IF($C365="","",IFERROR(INDEX(DESPACHOS!$I$3:$I$3002,MATCH($C365,DESPACHOS!$B$3:$B$3002,0)),""))</f>
        <v/>
      </c>
      <c r="G365" s="42">
        <f>IF($C365="","",IFERROR(INDEX(DESPACHOS!$F$3:$F$3002,MATCH($C365,DESPACHOS!$B$3:$B$3002,0)),""))</f>
        <v/>
      </c>
      <c r="H365" s="42">
        <f>IF($C365="","",IFERROR(INDEX(DESPACHOS!$G$3:$G$3002,MATCH($C365,DESPACHOS!$B$3:$B$3002,0)),""))</f>
        <v/>
      </c>
      <c r="I365" s="39">
        <f>IF($C365="","",IFERROR(INDEX(DESPACHOS!$H$3:$H$3002,MATCH($C365,DESPACHOS!$B$3:$B$3002,0)),""))</f>
        <v/>
      </c>
      <c r="J365" s="43">
        <f>IF($C365="","",IFERROR(INDEX(DESPACHOS!$J$3:$J$3002,MATCH($C365,DESPACHOS!$B$3:$B$3002,0)),""))</f>
        <v/>
      </c>
      <c r="K365" s="39">
        <f>IF($C365="","",IF(COUNTIFS(DESPACHOS!$B$3:$B$3002,$C365)=0,"NO EXISTE",IF(COUNTIFS(DESPACHOS!$B$3:$B$3002,$C365)&gt;1,"DUPLICADO","OK")))</f>
        <v/>
      </c>
      <c r="L365" s="41" t="n"/>
      <c r="M365" s="41" t="n"/>
      <c r="N365" s="42">
        <f>IF($M365="","",IFERROR(INDEX(LISTAS!$F$3:$F$42,MATCH($M365,LISTAS!$E$3:$E$42,0)),"Por definir"))</f>
        <v/>
      </c>
      <c r="O365" s="41" t="n"/>
      <c r="P365" s="39">
        <f>IF($L365="","",IFERROR(INDEX(LISTAS!$B$3:$B$42,MATCH($L365,LISTAS!$A$3:$A$42,0)),"Media"))</f>
        <v/>
      </c>
      <c r="Q365" s="44" t="n"/>
      <c r="R365" s="45" t="n"/>
      <c r="S365" s="20">
        <f>IFERROR(IF(OR($R365="",$C365=""),"",$R365/INDEX(DESPACHOS!$M$3:$M$3002,MATCH($C365,DESPACHOS!$B$3:$B$3002,0))),"")</f>
        <v/>
      </c>
      <c r="T365" s="41" t="n"/>
      <c r="U365" s="43">
        <f>IF(OR($B365="",$L365=""),"",WORKDAY($B365,IFERROR(INDEX(LISTAS!$C$3:$C$42,MATCH($L365,LISTAS!$A$3:$A$42,0)),3)))</f>
        <v/>
      </c>
      <c r="V365" s="40" t="n"/>
      <c r="W365" s="19">
        <f>IF($B365="","",IF($V365&lt;&gt;"",$V365-$B365,TODAY()-$B365))</f>
        <v/>
      </c>
      <c r="X365" s="19">
        <f>IF(OR($B365="",$U365=""),"",IF($V365&lt;&gt;"",MAX(0,$V365-$U365),MAX(0,TODAY()-$U365)))</f>
        <v/>
      </c>
      <c r="Y365" s="39">
        <f>IF($C365="","",IF(IFERROR(INDEX(LISTAS!$I$3:$I$42,MATCH($T365,LISTAS!$H$3:$H$42,0)),"NO")="SÍ",IF(N($X365)&gt;0,"CERRADA FUERA DE SLA","CERRADA EN SLA"),IF($U365="","SIN CLASIFICAR",IF(N($X365)&gt;0,"VENCIDA",IF(TODAY()&gt;=$U365-1,"POR VENCER","EN PLAZO")))))</f>
        <v/>
      </c>
      <c r="Z365" s="41" t="n"/>
      <c r="AA365" s="41" t="n"/>
      <c r="AB365" s="41" t="n"/>
    </row>
    <row r="366">
      <c r="A366" s="39">
        <f>IF($C366="","","NOV-"&amp;TEXT(ROW()-3,"0000"))</f>
        <v/>
      </c>
      <c r="B366" s="40" t="n"/>
      <c r="C366" s="41" t="n"/>
      <c r="D366" s="42">
        <f>IF($C366="","",IFERROR(INDEX(DESPACHOS!$D$3:$D$3002,MATCH($C366,DESPACHOS!$B$3:$B$3002,0)),"SIN DESPACHO"))</f>
        <v/>
      </c>
      <c r="E366" s="42">
        <f>IF($C366="","",IFERROR(INDEX(DESPACHOS!$K$3:$K$3002,MATCH($C366,DESPACHOS!$B$3:$B$3002,0)),""))</f>
        <v/>
      </c>
      <c r="F366" s="42">
        <f>IF($C366="","",IFERROR(INDEX(DESPACHOS!$I$3:$I$3002,MATCH($C366,DESPACHOS!$B$3:$B$3002,0)),""))</f>
        <v/>
      </c>
      <c r="G366" s="42">
        <f>IF($C366="","",IFERROR(INDEX(DESPACHOS!$F$3:$F$3002,MATCH($C366,DESPACHOS!$B$3:$B$3002,0)),""))</f>
        <v/>
      </c>
      <c r="H366" s="42">
        <f>IF($C366="","",IFERROR(INDEX(DESPACHOS!$G$3:$G$3002,MATCH($C366,DESPACHOS!$B$3:$B$3002,0)),""))</f>
        <v/>
      </c>
      <c r="I366" s="39">
        <f>IF($C366="","",IFERROR(INDEX(DESPACHOS!$H$3:$H$3002,MATCH($C366,DESPACHOS!$B$3:$B$3002,0)),""))</f>
        <v/>
      </c>
      <c r="J366" s="43">
        <f>IF($C366="","",IFERROR(INDEX(DESPACHOS!$J$3:$J$3002,MATCH($C366,DESPACHOS!$B$3:$B$3002,0)),""))</f>
        <v/>
      </c>
      <c r="K366" s="39">
        <f>IF($C366="","",IF(COUNTIFS(DESPACHOS!$B$3:$B$3002,$C366)=0,"NO EXISTE",IF(COUNTIFS(DESPACHOS!$B$3:$B$3002,$C366)&gt;1,"DUPLICADO","OK")))</f>
        <v/>
      </c>
      <c r="L366" s="41" t="n"/>
      <c r="M366" s="41" t="n"/>
      <c r="N366" s="42">
        <f>IF($M366="","",IFERROR(INDEX(LISTAS!$F$3:$F$42,MATCH($M366,LISTAS!$E$3:$E$42,0)),"Por definir"))</f>
        <v/>
      </c>
      <c r="O366" s="41" t="n"/>
      <c r="P366" s="39">
        <f>IF($L366="","",IFERROR(INDEX(LISTAS!$B$3:$B$42,MATCH($L366,LISTAS!$A$3:$A$42,0)),"Media"))</f>
        <v/>
      </c>
      <c r="Q366" s="44" t="n"/>
      <c r="R366" s="45" t="n"/>
      <c r="S366" s="20">
        <f>IFERROR(IF(OR($R366="",$C366=""),"",$R366/INDEX(DESPACHOS!$M$3:$M$3002,MATCH($C366,DESPACHOS!$B$3:$B$3002,0))),"")</f>
        <v/>
      </c>
      <c r="T366" s="41" t="n"/>
      <c r="U366" s="43">
        <f>IF(OR($B366="",$L366=""),"",WORKDAY($B366,IFERROR(INDEX(LISTAS!$C$3:$C$42,MATCH($L366,LISTAS!$A$3:$A$42,0)),3)))</f>
        <v/>
      </c>
      <c r="V366" s="40" t="n"/>
      <c r="W366" s="19">
        <f>IF($B366="","",IF($V366&lt;&gt;"",$V366-$B366,TODAY()-$B366))</f>
        <v/>
      </c>
      <c r="X366" s="19">
        <f>IF(OR($B366="",$U366=""),"",IF($V366&lt;&gt;"",MAX(0,$V366-$U366),MAX(0,TODAY()-$U366)))</f>
        <v/>
      </c>
      <c r="Y366" s="39">
        <f>IF($C366="","",IF(IFERROR(INDEX(LISTAS!$I$3:$I$42,MATCH($T366,LISTAS!$H$3:$H$42,0)),"NO")="SÍ",IF(N($X366)&gt;0,"CERRADA FUERA DE SLA","CERRADA EN SLA"),IF($U366="","SIN CLASIFICAR",IF(N($X366)&gt;0,"VENCIDA",IF(TODAY()&gt;=$U366-1,"POR VENCER","EN PLAZO")))))</f>
        <v/>
      </c>
      <c r="Z366" s="41" t="n"/>
      <c r="AA366" s="41" t="n"/>
      <c r="AB366" s="41" t="n"/>
    </row>
    <row r="367">
      <c r="A367" s="39">
        <f>IF($C367="","","NOV-"&amp;TEXT(ROW()-3,"0000"))</f>
        <v/>
      </c>
      <c r="B367" s="40" t="n"/>
      <c r="C367" s="41" t="n"/>
      <c r="D367" s="42">
        <f>IF($C367="","",IFERROR(INDEX(DESPACHOS!$D$3:$D$3002,MATCH($C367,DESPACHOS!$B$3:$B$3002,0)),"SIN DESPACHO"))</f>
        <v/>
      </c>
      <c r="E367" s="42">
        <f>IF($C367="","",IFERROR(INDEX(DESPACHOS!$K$3:$K$3002,MATCH($C367,DESPACHOS!$B$3:$B$3002,0)),""))</f>
        <v/>
      </c>
      <c r="F367" s="42">
        <f>IF($C367="","",IFERROR(INDEX(DESPACHOS!$I$3:$I$3002,MATCH($C367,DESPACHOS!$B$3:$B$3002,0)),""))</f>
        <v/>
      </c>
      <c r="G367" s="42">
        <f>IF($C367="","",IFERROR(INDEX(DESPACHOS!$F$3:$F$3002,MATCH($C367,DESPACHOS!$B$3:$B$3002,0)),""))</f>
        <v/>
      </c>
      <c r="H367" s="42">
        <f>IF($C367="","",IFERROR(INDEX(DESPACHOS!$G$3:$G$3002,MATCH($C367,DESPACHOS!$B$3:$B$3002,0)),""))</f>
        <v/>
      </c>
      <c r="I367" s="39">
        <f>IF($C367="","",IFERROR(INDEX(DESPACHOS!$H$3:$H$3002,MATCH($C367,DESPACHOS!$B$3:$B$3002,0)),""))</f>
        <v/>
      </c>
      <c r="J367" s="43">
        <f>IF($C367="","",IFERROR(INDEX(DESPACHOS!$J$3:$J$3002,MATCH($C367,DESPACHOS!$B$3:$B$3002,0)),""))</f>
        <v/>
      </c>
      <c r="K367" s="39">
        <f>IF($C367="","",IF(COUNTIFS(DESPACHOS!$B$3:$B$3002,$C367)=0,"NO EXISTE",IF(COUNTIFS(DESPACHOS!$B$3:$B$3002,$C367)&gt;1,"DUPLICADO","OK")))</f>
        <v/>
      </c>
      <c r="L367" s="41" t="n"/>
      <c r="M367" s="41" t="n"/>
      <c r="N367" s="42">
        <f>IF($M367="","",IFERROR(INDEX(LISTAS!$F$3:$F$42,MATCH($M367,LISTAS!$E$3:$E$42,0)),"Por definir"))</f>
        <v/>
      </c>
      <c r="O367" s="41" t="n"/>
      <c r="P367" s="39">
        <f>IF($L367="","",IFERROR(INDEX(LISTAS!$B$3:$B$42,MATCH($L367,LISTAS!$A$3:$A$42,0)),"Media"))</f>
        <v/>
      </c>
      <c r="Q367" s="44" t="n"/>
      <c r="R367" s="45" t="n"/>
      <c r="S367" s="20">
        <f>IFERROR(IF(OR($R367="",$C367=""),"",$R367/INDEX(DESPACHOS!$M$3:$M$3002,MATCH($C367,DESPACHOS!$B$3:$B$3002,0))),"")</f>
        <v/>
      </c>
      <c r="T367" s="41" t="n"/>
      <c r="U367" s="43">
        <f>IF(OR($B367="",$L367=""),"",WORKDAY($B367,IFERROR(INDEX(LISTAS!$C$3:$C$42,MATCH($L367,LISTAS!$A$3:$A$42,0)),3)))</f>
        <v/>
      </c>
      <c r="V367" s="40" t="n"/>
      <c r="W367" s="19">
        <f>IF($B367="","",IF($V367&lt;&gt;"",$V367-$B367,TODAY()-$B367))</f>
        <v/>
      </c>
      <c r="X367" s="19">
        <f>IF(OR($B367="",$U367=""),"",IF($V367&lt;&gt;"",MAX(0,$V367-$U367),MAX(0,TODAY()-$U367)))</f>
        <v/>
      </c>
      <c r="Y367" s="39">
        <f>IF($C367="","",IF(IFERROR(INDEX(LISTAS!$I$3:$I$42,MATCH($T367,LISTAS!$H$3:$H$42,0)),"NO")="SÍ",IF(N($X367)&gt;0,"CERRADA FUERA DE SLA","CERRADA EN SLA"),IF($U367="","SIN CLASIFICAR",IF(N($X367)&gt;0,"VENCIDA",IF(TODAY()&gt;=$U367-1,"POR VENCER","EN PLAZO")))))</f>
        <v/>
      </c>
      <c r="Z367" s="41" t="n"/>
      <c r="AA367" s="41" t="n"/>
      <c r="AB367" s="41" t="n"/>
    </row>
    <row r="368">
      <c r="A368" s="39">
        <f>IF($C368="","","NOV-"&amp;TEXT(ROW()-3,"0000"))</f>
        <v/>
      </c>
      <c r="B368" s="40" t="n"/>
      <c r="C368" s="41" t="n"/>
      <c r="D368" s="42">
        <f>IF($C368="","",IFERROR(INDEX(DESPACHOS!$D$3:$D$3002,MATCH($C368,DESPACHOS!$B$3:$B$3002,0)),"SIN DESPACHO"))</f>
        <v/>
      </c>
      <c r="E368" s="42">
        <f>IF($C368="","",IFERROR(INDEX(DESPACHOS!$K$3:$K$3002,MATCH($C368,DESPACHOS!$B$3:$B$3002,0)),""))</f>
        <v/>
      </c>
      <c r="F368" s="42">
        <f>IF($C368="","",IFERROR(INDEX(DESPACHOS!$I$3:$I$3002,MATCH($C368,DESPACHOS!$B$3:$B$3002,0)),""))</f>
        <v/>
      </c>
      <c r="G368" s="42">
        <f>IF($C368="","",IFERROR(INDEX(DESPACHOS!$F$3:$F$3002,MATCH($C368,DESPACHOS!$B$3:$B$3002,0)),""))</f>
        <v/>
      </c>
      <c r="H368" s="42">
        <f>IF($C368="","",IFERROR(INDEX(DESPACHOS!$G$3:$G$3002,MATCH($C368,DESPACHOS!$B$3:$B$3002,0)),""))</f>
        <v/>
      </c>
      <c r="I368" s="39">
        <f>IF($C368="","",IFERROR(INDEX(DESPACHOS!$H$3:$H$3002,MATCH($C368,DESPACHOS!$B$3:$B$3002,0)),""))</f>
        <v/>
      </c>
      <c r="J368" s="43">
        <f>IF($C368="","",IFERROR(INDEX(DESPACHOS!$J$3:$J$3002,MATCH($C368,DESPACHOS!$B$3:$B$3002,0)),""))</f>
        <v/>
      </c>
      <c r="K368" s="39">
        <f>IF($C368="","",IF(COUNTIFS(DESPACHOS!$B$3:$B$3002,$C368)=0,"NO EXISTE",IF(COUNTIFS(DESPACHOS!$B$3:$B$3002,$C368)&gt;1,"DUPLICADO","OK")))</f>
        <v/>
      </c>
      <c r="L368" s="41" t="n"/>
      <c r="M368" s="41" t="n"/>
      <c r="N368" s="42">
        <f>IF($M368="","",IFERROR(INDEX(LISTAS!$F$3:$F$42,MATCH($M368,LISTAS!$E$3:$E$42,0)),"Por definir"))</f>
        <v/>
      </c>
      <c r="O368" s="41" t="n"/>
      <c r="P368" s="39">
        <f>IF($L368="","",IFERROR(INDEX(LISTAS!$B$3:$B$42,MATCH($L368,LISTAS!$A$3:$A$42,0)),"Media"))</f>
        <v/>
      </c>
      <c r="Q368" s="44" t="n"/>
      <c r="R368" s="45" t="n"/>
      <c r="S368" s="20">
        <f>IFERROR(IF(OR($R368="",$C368=""),"",$R368/INDEX(DESPACHOS!$M$3:$M$3002,MATCH($C368,DESPACHOS!$B$3:$B$3002,0))),"")</f>
        <v/>
      </c>
      <c r="T368" s="41" t="n"/>
      <c r="U368" s="43">
        <f>IF(OR($B368="",$L368=""),"",WORKDAY($B368,IFERROR(INDEX(LISTAS!$C$3:$C$42,MATCH($L368,LISTAS!$A$3:$A$42,0)),3)))</f>
        <v/>
      </c>
      <c r="V368" s="40" t="n"/>
      <c r="W368" s="19">
        <f>IF($B368="","",IF($V368&lt;&gt;"",$V368-$B368,TODAY()-$B368))</f>
        <v/>
      </c>
      <c r="X368" s="19">
        <f>IF(OR($B368="",$U368=""),"",IF($V368&lt;&gt;"",MAX(0,$V368-$U368),MAX(0,TODAY()-$U368)))</f>
        <v/>
      </c>
      <c r="Y368" s="39">
        <f>IF($C368="","",IF(IFERROR(INDEX(LISTAS!$I$3:$I$42,MATCH($T368,LISTAS!$H$3:$H$42,0)),"NO")="SÍ",IF(N($X368)&gt;0,"CERRADA FUERA DE SLA","CERRADA EN SLA"),IF($U368="","SIN CLASIFICAR",IF(N($X368)&gt;0,"VENCIDA",IF(TODAY()&gt;=$U368-1,"POR VENCER","EN PLAZO")))))</f>
        <v/>
      </c>
      <c r="Z368" s="41" t="n"/>
      <c r="AA368" s="41" t="n"/>
      <c r="AB368" s="41" t="n"/>
    </row>
    <row r="369">
      <c r="A369" s="39">
        <f>IF($C369="","","NOV-"&amp;TEXT(ROW()-3,"0000"))</f>
        <v/>
      </c>
      <c r="B369" s="40" t="n"/>
      <c r="C369" s="41" t="n"/>
      <c r="D369" s="42">
        <f>IF($C369="","",IFERROR(INDEX(DESPACHOS!$D$3:$D$3002,MATCH($C369,DESPACHOS!$B$3:$B$3002,0)),"SIN DESPACHO"))</f>
        <v/>
      </c>
      <c r="E369" s="42">
        <f>IF($C369="","",IFERROR(INDEX(DESPACHOS!$K$3:$K$3002,MATCH($C369,DESPACHOS!$B$3:$B$3002,0)),""))</f>
        <v/>
      </c>
      <c r="F369" s="42">
        <f>IF($C369="","",IFERROR(INDEX(DESPACHOS!$I$3:$I$3002,MATCH($C369,DESPACHOS!$B$3:$B$3002,0)),""))</f>
        <v/>
      </c>
      <c r="G369" s="42">
        <f>IF($C369="","",IFERROR(INDEX(DESPACHOS!$F$3:$F$3002,MATCH($C369,DESPACHOS!$B$3:$B$3002,0)),""))</f>
        <v/>
      </c>
      <c r="H369" s="42">
        <f>IF($C369="","",IFERROR(INDEX(DESPACHOS!$G$3:$G$3002,MATCH($C369,DESPACHOS!$B$3:$B$3002,0)),""))</f>
        <v/>
      </c>
      <c r="I369" s="39">
        <f>IF($C369="","",IFERROR(INDEX(DESPACHOS!$H$3:$H$3002,MATCH($C369,DESPACHOS!$B$3:$B$3002,0)),""))</f>
        <v/>
      </c>
      <c r="J369" s="43">
        <f>IF($C369="","",IFERROR(INDEX(DESPACHOS!$J$3:$J$3002,MATCH($C369,DESPACHOS!$B$3:$B$3002,0)),""))</f>
        <v/>
      </c>
      <c r="K369" s="39">
        <f>IF($C369="","",IF(COUNTIFS(DESPACHOS!$B$3:$B$3002,$C369)=0,"NO EXISTE",IF(COUNTIFS(DESPACHOS!$B$3:$B$3002,$C369)&gt;1,"DUPLICADO","OK")))</f>
        <v/>
      </c>
      <c r="L369" s="41" t="n"/>
      <c r="M369" s="41" t="n"/>
      <c r="N369" s="42">
        <f>IF($M369="","",IFERROR(INDEX(LISTAS!$F$3:$F$42,MATCH($M369,LISTAS!$E$3:$E$42,0)),"Por definir"))</f>
        <v/>
      </c>
      <c r="O369" s="41" t="n"/>
      <c r="P369" s="39">
        <f>IF($L369="","",IFERROR(INDEX(LISTAS!$B$3:$B$42,MATCH($L369,LISTAS!$A$3:$A$42,0)),"Media"))</f>
        <v/>
      </c>
      <c r="Q369" s="44" t="n"/>
      <c r="R369" s="45" t="n"/>
      <c r="S369" s="20">
        <f>IFERROR(IF(OR($R369="",$C369=""),"",$R369/INDEX(DESPACHOS!$M$3:$M$3002,MATCH($C369,DESPACHOS!$B$3:$B$3002,0))),"")</f>
        <v/>
      </c>
      <c r="T369" s="41" t="n"/>
      <c r="U369" s="43">
        <f>IF(OR($B369="",$L369=""),"",WORKDAY($B369,IFERROR(INDEX(LISTAS!$C$3:$C$42,MATCH($L369,LISTAS!$A$3:$A$42,0)),3)))</f>
        <v/>
      </c>
      <c r="V369" s="40" t="n"/>
      <c r="W369" s="19">
        <f>IF($B369="","",IF($V369&lt;&gt;"",$V369-$B369,TODAY()-$B369))</f>
        <v/>
      </c>
      <c r="X369" s="19">
        <f>IF(OR($B369="",$U369=""),"",IF($V369&lt;&gt;"",MAX(0,$V369-$U369),MAX(0,TODAY()-$U369)))</f>
        <v/>
      </c>
      <c r="Y369" s="39">
        <f>IF($C369="","",IF(IFERROR(INDEX(LISTAS!$I$3:$I$42,MATCH($T369,LISTAS!$H$3:$H$42,0)),"NO")="SÍ",IF(N($X369)&gt;0,"CERRADA FUERA DE SLA","CERRADA EN SLA"),IF($U369="","SIN CLASIFICAR",IF(N($X369)&gt;0,"VENCIDA",IF(TODAY()&gt;=$U369-1,"POR VENCER","EN PLAZO")))))</f>
        <v/>
      </c>
      <c r="Z369" s="41" t="n"/>
      <c r="AA369" s="41" t="n"/>
      <c r="AB369" s="41" t="n"/>
    </row>
    <row r="370">
      <c r="A370" s="39">
        <f>IF($C370="","","NOV-"&amp;TEXT(ROW()-3,"0000"))</f>
        <v/>
      </c>
      <c r="B370" s="40" t="n"/>
      <c r="C370" s="41" t="n"/>
      <c r="D370" s="42">
        <f>IF($C370="","",IFERROR(INDEX(DESPACHOS!$D$3:$D$3002,MATCH($C370,DESPACHOS!$B$3:$B$3002,0)),"SIN DESPACHO"))</f>
        <v/>
      </c>
      <c r="E370" s="42">
        <f>IF($C370="","",IFERROR(INDEX(DESPACHOS!$K$3:$K$3002,MATCH($C370,DESPACHOS!$B$3:$B$3002,0)),""))</f>
        <v/>
      </c>
      <c r="F370" s="42">
        <f>IF($C370="","",IFERROR(INDEX(DESPACHOS!$I$3:$I$3002,MATCH($C370,DESPACHOS!$B$3:$B$3002,0)),""))</f>
        <v/>
      </c>
      <c r="G370" s="42">
        <f>IF($C370="","",IFERROR(INDEX(DESPACHOS!$F$3:$F$3002,MATCH($C370,DESPACHOS!$B$3:$B$3002,0)),""))</f>
        <v/>
      </c>
      <c r="H370" s="42">
        <f>IF($C370="","",IFERROR(INDEX(DESPACHOS!$G$3:$G$3002,MATCH($C370,DESPACHOS!$B$3:$B$3002,0)),""))</f>
        <v/>
      </c>
      <c r="I370" s="39">
        <f>IF($C370="","",IFERROR(INDEX(DESPACHOS!$H$3:$H$3002,MATCH($C370,DESPACHOS!$B$3:$B$3002,0)),""))</f>
        <v/>
      </c>
      <c r="J370" s="43">
        <f>IF($C370="","",IFERROR(INDEX(DESPACHOS!$J$3:$J$3002,MATCH($C370,DESPACHOS!$B$3:$B$3002,0)),""))</f>
        <v/>
      </c>
      <c r="K370" s="39">
        <f>IF($C370="","",IF(COUNTIFS(DESPACHOS!$B$3:$B$3002,$C370)=0,"NO EXISTE",IF(COUNTIFS(DESPACHOS!$B$3:$B$3002,$C370)&gt;1,"DUPLICADO","OK")))</f>
        <v/>
      </c>
      <c r="L370" s="41" t="n"/>
      <c r="M370" s="41" t="n"/>
      <c r="N370" s="42">
        <f>IF($M370="","",IFERROR(INDEX(LISTAS!$F$3:$F$42,MATCH($M370,LISTAS!$E$3:$E$42,0)),"Por definir"))</f>
        <v/>
      </c>
      <c r="O370" s="41" t="n"/>
      <c r="P370" s="39">
        <f>IF($L370="","",IFERROR(INDEX(LISTAS!$B$3:$B$42,MATCH($L370,LISTAS!$A$3:$A$42,0)),"Media"))</f>
        <v/>
      </c>
      <c r="Q370" s="44" t="n"/>
      <c r="R370" s="45" t="n"/>
      <c r="S370" s="20">
        <f>IFERROR(IF(OR($R370="",$C370=""),"",$R370/INDEX(DESPACHOS!$M$3:$M$3002,MATCH($C370,DESPACHOS!$B$3:$B$3002,0))),"")</f>
        <v/>
      </c>
      <c r="T370" s="41" t="n"/>
      <c r="U370" s="43">
        <f>IF(OR($B370="",$L370=""),"",WORKDAY($B370,IFERROR(INDEX(LISTAS!$C$3:$C$42,MATCH($L370,LISTAS!$A$3:$A$42,0)),3)))</f>
        <v/>
      </c>
      <c r="V370" s="40" t="n"/>
      <c r="W370" s="19">
        <f>IF($B370="","",IF($V370&lt;&gt;"",$V370-$B370,TODAY()-$B370))</f>
        <v/>
      </c>
      <c r="X370" s="19">
        <f>IF(OR($B370="",$U370=""),"",IF($V370&lt;&gt;"",MAX(0,$V370-$U370),MAX(0,TODAY()-$U370)))</f>
        <v/>
      </c>
      <c r="Y370" s="39">
        <f>IF($C370="","",IF(IFERROR(INDEX(LISTAS!$I$3:$I$42,MATCH($T370,LISTAS!$H$3:$H$42,0)),"NO")="SÍ",IF(N($X370)&gt;0,"CERRADA FUERA DE SLA","CERRADA EN SLA"),IF($U370="","SIN CLASIFICAR",IF(N($X370)&gt;0,"VENCIDA",IF(TODAY()&gt;=$U370-1,"POR VENCER","EN PLAZO")))))</f>
        <v/>
      </c>
      <c r="Z370" s="41" t="n"/>
      <c r="AA370" s="41" t="n"/>
      <c r="AB370" s="41" t="n"/>
    </row>
    <row r="371">
      <c r="A371" s="39">
        <f>IF($C371="","","NOV-"&amp;TEXT(ROW()-3,"0000"))</f>
        <v/>
      </c>
      <c r="B371" s="40" t="n"/>
      <c r="C371" s="41" t="n"/>
      <c r="D371" s="42">
        <f>IF($C371="","",IFERROR(INDEX(DESPACHOS!$D$3:$D$3002,MATCH($C371,DESPACHOS!$B$3:$B$3002,0)),"SIN DESPACHO"))</f>
        <v/>
      </c>
      <c r="E371" s="42">
        <f>IF($C371="","",IFERROR(INDEX(DESPACHOS!$K$3:$K$3002,MATCH($C371,DESPACHOS!$B$3:$B$3002,0)),""))</f>
        <v/>
      </c>
      <c r="F371" s="42">
        <f>IF($C371="","",IFERROR(INDEX(DESPACHOS!$I$3:$I$3002,MATCH($C371,DESPACHOS!$B$3:$B$3002,0)),""))</f>
        <v/>
      </c>
      <c r="G371" s="42">
        <f>IF($C371="","",IFERROR(INDEX(DESPACHOS!$F$3:$F$3002,MATCH($C371,DESPACHOS!$B$3:$B$3002,0)),""))</f>
        <v/>
      </c>
      <c r="H371" s="42">
        <f>IF($C371="","",IFERROR(INDEX(DESPACHOS!$G$3:$G$3002,MATCH($C371,DESPACHOS!$B$3:$B$3002,0)),""))</f>
        <v/>
      </c>
      <c r="I371" s="39">
        <f>IF($C371="","",IFERROR(INDEX(DESPACHOS!$H$3:$H$3002,MATCH($C371,DESPACHOS!$B$3:$B$3002,0)),""))</f>
        <v/>
      </c>
      <c r="J371" s="43">
        <f>IF($C371="","",IFERROR(INDEX(DESPACHOS!$J$3:$J$3002,MATCH($C371,DESPACHOS!$B$3:$B$3002,0)),""))</f>
        <v/>
      </c>
      <c r="K371" s="39">
        <f>IF($C371="","",IF(COUNTIFS(DESPACHOS!$B$3:$B$3002,$C371)=0,"NO EXISTE",IF(COUNTIFS(DESPACHOS!$B$3:$B$3002,$C371)&gt;1,"DUPLICADO","OK")))</f>
        <v/>
      </c>
      <c r="L371" s="41" t="n"/>
      <c r="M371" s="41" t="n"/>
      <c r="N371" s="42">
        <f>IF($M371="","",IFERROR(INDEX(LISTAS!$F$3:$F$42,MATCH($M371,LISTAS!$E$3:$E$42,0)),"Por definir"))</f>
        <v/>
      </c>
      <c r="O371" s="41" t="n"/>
      <c r="P371" s="39">
        <f>IF($L371="","",IFERROR(INDEX(LISTAS!$B$3:$B$42,MATCH($L371,LISTAS!$A$3:$A$42,0)),"Media"))</f>
        <v/>
      </c>
      <c r="Q371" s="44" t="n"/>
      <c r="R371" s="45" t="n"/>
      <c r="S371" s="20">
        <f>IFERROR(IF(OR($R371="",$C371=""),"",$R371/INDEX(DESPACHOS!$M$3:$M$3002,MATCH($C371,DESPACHOS!$B$3:$B$3002,0))),"")</f>
        <v/>
      </c>
      <c r="T371" s="41" t="n"/>
      <c r="U371" s="43">
        <f>IF(OR($B371="",$L371=""),"",WORKDAY($B371,IFERROR(INDEX(LISTAS!$C$3:$C$42,MATCH($L371,LISTAS!$A$3:$A$42,0)),3)))</f>
        <v/>
      </c>
      <c r="V371" s="40" t="n"/>
      <c r="W371" s="19">
        <f>IF($B371="","",IF($V371&lt;&gt;"",$V371-$B371,TODAY()-$B371))</f>
        <v/>
      </c>
      <c r="X371" s="19">
        <f>IF(OR($B371="",$U371=""),"",IF($V371&lt;&gt;"",MAX(0,$V371-$U371),MAX(0,TODAY()-$U371)))</f>
        <v/>
      </c>
      <c r="Y371" s="39">
        <f>IF($C371="","",IF(IFERROR(INDEX(LISTAS!$I$3:$I$42,MATCH($T371,LISTAS!$H$3:$H$42,0)),"NO")="SÍ",IF(N($X371)&gt;0,"CERRADA FUERA DE SLA","CERRADA EN SLA"),IF($U371="","SIN CLASIFICAR",IF(N($X371)&gt;0,"VENCIDA",IF(TODAY()&gt;=$U371-1,"POR VENCER","EN PLAZO")))))</f>
        <v/>
      </c>
      <c r="Z371" s="41" t="n"/>
      <c r="AA371" s="41" t="n"/>
      <c r="AB371" s="41" t="n"/>
    </row>
    <row r="372">
      <c r="A372" s="39">
        <f>IF($C372="","","NOV-"&amp;TEXT(ROW()-3,"0000"))</f>
        <v/>
      </c>
      <c r="B372" s="40" t="n"/>
      <c r="C372" s="41" t="n"/>
      <c r="D372" s="42">
        <f>IF($C372="","",IFERROR(INDEX(DESPACHOS!$D$3:$D$3002,MATCH($C372,DESPACHOS!$B$3:$B$3002,0)),"SIN DESPACHO"))</f>
        <v/>
      </c>
      <c r="E372" s="42">
        <f>IF($C372="","",IFERROR(INDEX(DESPACHOS!$K$3:$K$3002,MATCH($C372,DESPACHOS!$B$3:$B$3002,0)),""))</f>
        <v/>
      </c>
      <c r="F372" s="42">
        <f>IF($C372="","",IFERROR(INDEX(DESPACHOS!$I$3:$I$3002,MATCH($C372,DESPACHOS!$B$3:$B$3002,0)),""))</f>
        <v/>
      </c>
      <c r="G372" s="42">
        <f>IF($C372="","",IFERROR(INDEX(DESPACHOS!$F$3:$F$3002,MATCH($C372,DESPACHOS!$B$3:$B$3002,0)),""))</f>
        <v/>
      </c>
      <c r="H372" s="42">
        <f>IF($C372="","",IFERROR(INDEX(DESPACHOS!$G$3:$G$3002,MATCH($C372,DESPACHOS!$B$3:$B$3002,0)),""))</f>
        <v/>
      </c>
      <c r="I372" s="39">
        <f>IF($C372="","",IFERROR(INDEX(DESPACHOS!$H$3:$H$3002,MATCH($C372,DESPACHOS!$B$3:$B$3002,0)),""))</f>
        <v/>
      </c>
      <c r="J372" s="43">
        <f>IF($C372="","",IFERROR(INDEX(DESPACHOS!$J$3:$J$3002,MATCH($C372,DESPACHOS!$B$3:$B$3002,0)),""))</f>
        <v/>
      </c>
      <c r="K372" s="39">
        <f>IF($C372="","",IF(COUNTIFS(DESPACHOS!$B$3:$B$3002,$C372)=0,"NO EXISTE",IF(COUNTIFS(DESPACHOS!$B$3:$B$3002,$C372)&gt;1,"DUPLICADO","OK")))</f>
        <v/>
      </c>
      <c r="L372" s="41" t="n"/>
      <c r="M372" s="41" t="n"/>
      <c r="N372" s="42">
        <f>IF($M372="","",IFERROR(INDEX(LISTAS!$F$3:$F$42,MATCH($M372,LISTAS!$E$3:$E$42,0)),"Por definir"))</f>
        <v/>
      </c>
      <c r="O372" s="41" t="n"/>
      <c r="P372" s="39">
        <f>IF($L372="","",IFERROR(INDEX(LISTAS!$B$3:$B$42,MATCH($L372,LISTAS!$A$3:$A$42,0)),"Media"))</f>
        <v/>
      </c>
      <c r="Q372" s="44" t="n"/>
      <c r="R372" s="45" t="n"/>
      <c r="S372" s="20">
        <f>IFERROR(IF(OR($R372="",$C372=""),"",$R372/INDEX(DESPACHOS!$M$3:$M$3002,MATCH($C372,DESPACHOS!$B$3:$B$3002,0))),"")</f>
        <v/>
      </c>
      <c r="T372" s="41" t="n"/>
      <c r="U372" s="43">
        <f>IF(OR($B372="",$L372=""),"",WORKDAY($B372,IFERROR(INDEX(LISTAS!$C$3:$C$42,MATCH($L372,LISTAS!$A$3:$A$42,0)),3)))</f>
        <v/>
      </c>
      <c r="V372" s="40" t="n"/>
      <c r="W372" s="19">
        <f>IF($B372="","",IF($V372&lt;&gt;"",$V372-$B372,TODAY()-$B372))</f>
        <v/>
      </c>
      <c r="X372" s="19">
        <f>IF(OR($B372="",$U372=""),"",IF($V372&lt;&gt;"",MAX(0,$V372-$U372),MAX(0,TODAY()-$U372)))</f>
        <v/>
      </c>
      <c r="Y372" s="39">
        <f>IF($C372="","",IF(IFERROR(INDEX(LISTAS!$I$3:$I$42,MATCH($T372,LISTAS!$H$3:$H$42,0)),"NO")="SÍ",IF(N($X372)&gt;0,"CERRADA FUERA DE SLA","CERRADA EN SLA"),IF($U372="","SIN CLASIFICAR",IF(N($X372)&gt;0,"VENCIDA",IF(TODAY()&gt;=$U372-1,"POR VENCER","EN PLAZO")))))</f>
        <v/>
      </c>
      <c r="Z372" s="41" t="n"/>
      <c r="AA372" s="41" t="n"/>
      <c r="AB372" s="41" t="n"/>
    </row>
    <row r="373">
      <c r="A373" s="39">
        <f>IF($C373="","","NOV-"&amp;TEXT(ROW()-3,"0000"))</f>
        <v/>
      </c>
      <c r="B373" s="40" t="n"/>
      <c r="C373" s="41" t="n"/>
      <c r="D373" s="42">
        <f>IF($C373="","",IFERROR(INDEX(DESPACHOS!$D$3:$D$3002,MATCH($C373,DESPACHOS!$B$3:$B$3002,0)),"SIN DESPACHO"))</f>
        <v/>
      </c>
      <c r="E373" s="42">
        <f>IF($C373="","",IFERROR(INDEX(DESPACHOS!$K$3:$K$3002,MATCH($C373,DESPACHOS!$B$3:$B$3002,0)),""))</f>
        <v/>
      </c>
      <c r="F373" s="42">
        <f>IF($C373="","",IFERROR(INDEX(DESPACHOS!$I$3:$I$3002,MATCH($C373,DESPACHOS!$B$3:$B$3002,0)),""))</f>
        <v/>
      </c>
      <c r="G373" s="42">
        <f>IF($C373="","",IFERROR(INDEX(DESPACHOS!$F$3:$F$3002,MATCH($C373,DESPACHOS!$B$3:$B$3002,0)),""))</f>
        <v/>
      </c>
      <c r="H373" s="42">
        <f>IF($C373="","",IFERROR(INDEX(DESPACHOS!$G$3:$G$3002,MATCH($C373,DESPACHOS!$B$3:$B$3002,0)),""))</f>
        <v/>
      </c>
      <c r="I373" s="39">
        <f>IF($C373="","",IFERROR(INDEX(DESPACHOS!$H$3:$H$3002,MATCH($C373,DESPACHOS!$B$3:$B$3002,0)),""))</f>
        <v/>
      </c>
      <c r="J373" s="43">
        <f>IF($C373="","",IFERROR(INDEX(DESPACHOS!$J$3:$J$3002,MATCH($C373,DESPACHOS!$B$3:$B$3002,0)),""))</f>
        <v/>
      </c>
      <c r="K373" s="39">
        <f>IF($C373="","",IF(COUNTIFS(DESPACHOS!$B$3:$B$3002,$C373)=0,"NO EXISTE",IF(COUNTIFS(DESPACHOS!$B$3:$B$3002,$C373)&gt;1,"DUPLICADO","OK")))</f>
        <v/>
      </c>
      <c r="L373" s="41" t="n"/>
      <c r="M373" s="41" t="n"/>
      <c r="N373" s="42">
        <f>IF($M373="","",IFERROR(INDEX(LISTAS!$F$3:$F$42,MATCH($M373,LISTAS!$E$3:$E$42,0)),"Por definir"))</f>
        <v/>
      </c>
      <c r="O373" s="41" t="n"/>
      <c r="P373" s="39">
        <f>IF($L373="","",IFERROR(INDEX(LISTAS!$B$3:$B$42,MATCH($L373,LISTAS!$A$3:$A$42,0)),"Media"))</f>
        <v/>
      </c>
      <c r="Q373" s="44" t="n"/>
      <c r="R373" s="45" t="n"/>
      <c r="S373" s="20">
        <f>IFERROR(IF(OR($R373="",$C373=""),"",$R373/INDEX(DESPACHOS!$M$3:$M$3002,MATCH($C373,DESPACHOS!$B$3:$B$3002,0))),"")</f>
        <v/>
      </c>
      <c r="T373" s="41" t="n"/>
      <c r="U373" s="43">
        <f>IF(OR($B373="",$L373=""),"",WORKDAY($B373,IFERROR(INDEX(LISTAS!$C$3:$C$42,MATCH($L373,LISTAS!$A$3:$A$42,0)),3)))</f>
        <v/>
      </c>
      <c r="V373" s="40" t="n"/>
      <c r="W373" s="19">
        <f>IF($B373="","",IF($V373&lt;&gt;"",$V373-$B373,TODAY()-$B373))</f>
        <v/>
      </c>
      <c r="X373" s="19">
        <f>IF(OR($B373="",$U373=""),"",IF($V373&lt;&gt;"",MAX(0,$V373-$U373),MAX(0,TODAY()-$U373)))</f>
        <v/>
      </c>
      <c r="Y373" s="39">
        <f>IF($C373="","",IF(IFERROR(INDEX(LISTAS!$I$3:$I$42,MATCH($T373,LISTAS!$H$3:$H$42,0)),"NO")="SÍ",IF(N($X373)&gt;0,"CERRADA FUERA DE SLA","CERRADA EN SLA"),IF($U373="","SIN CLASIFICAR",IF(N($X373)&gt;0,"VENCIDA",IF(TODAY()&gt;=$U373-1,"POR VENCER","EN PLAZO")))))</f>
        <v/>
      </c>
      <c r="Z373" s="41" t="n"/>
      <c r="AA373" s="41" t="n"/>
      <c r="AB373" s="41" t="n"/>
    </row>
    <row r="374">
      <c r="A374" s="39">
        <f>IF($C374="","","NOV-"&amp;TEXT(ROW()-3,"0000"))</f>
        <v/>
      </c>
      <c r="B374" s="40" t="n"/>
      <c r="C374" s="41" t="n"/>
      <c r="D374" s="42">
        <f>IF($C374="","",IFERROR(INDEX(DESPACHOS!$D$3:$D$3002,MATCH($C374,DESPACHOS!$B$3:$B$3002,0)),"SIN DESPACHO"))</f>
        <v/>
      </c>
      <c r="E374" s="42">
        <f>IF($C374="","",IFERROR(INDEX(DESPACHOS!$K$3:$K$3002,MATCH($C374,DESPACHOS!$B$3:$B$3002,0)),""))</f>
        <v/>
      </c>
      <c r="F374" s="42">
        <f>IF($C374="","",IFERROR(INDEX(DESPACHOS!$I$3:$I$3002,MATCH($C374,DESPACHOS!$B$3:$B$3002,0)),""))</f>
        <v/>
      </c>
      <c r="G374" s="42">
        <f>IF($C374="","",IFERROR(INDEX(DESPACHOS!$F$3:$F$3002,MATCH($C374,DESPACHOS!$B$3:$B$3002,0)),""))</f>
        <v/>
      </c>
      <c r="H374" s="42">
        <f>IF($C374="","",IFERROR(INDEX(DESPACHOS!$G$3:$G$3002,MATCH($C374,DESPACHOS!$B$3:$B$3002,0)),""))</f>
        <v/>
      </c>
      <c r="I374" s="39">
        <f>IF($C374="","",IFERROR(INDEX(DESPACHOS!$H$3:$H$3002,MATCH($C374,DESPACHOS!$B$3:$B$3002,0)),""))</f>
        <v/>
      </c>
      <c r="J374" s="43">
        <f>IF($C374="","",IFERROR(INDEX(DESPACHOS!$J$3:$J$3002,MATCH($C374,DESPACHOS!$B$3:$B$3002,0)),""))</f>
        <v/>
      </c>
      <c r="K374" s="39">
        <f>IF($C374="","",IF(COUNTIFS(DESPACHOS!$B$3:$B$3002,$C374)=0,"NO EXISTE",IF(COUNTIFS(DESPACHOS!$B$3:$B$3002,$C374)&gt;1,"DUPLICADO","OK")))</f>
        <v/>
      </c>
      <c r="L374" s="41" t="n"/>
      <c r="M374" s="41" t="n"/>
      <c r="N374" s="42">
        <f>IF($M374="","",IFERROR(INDEX(LISTAS!$F$3:$F$42,MATCH($M374,LISTAS!$E$3:$E$42,0)),"Por definir"))</f>
        <v/>
      </c>
      <c r="O374" s="41" t="n"/>
      <c r="P374" s="39">
        <f>IF($L374="","",IFERROR(INDEX(LISTAS!$B$3:$B$42,MATCH($L374,LISTAS!$A$3:$A$42,0)),"Media"))</f>
        <v/>
      </c>
      <c r="Q374" s="44" t="n"/>
      <c r="R374" s="45" t="n"/>
      <c r="S374" s="20">
        <f>IFERROR(IF(OR($R374="",$C374=""),"",$R374/INDEX(DESPACHOS!$M$3:$M$3002,MATCH($C374,DESPACHOS!$B$3:$B$3002,0))),"")</f>
        <v/>
      </c>
      <c r="T374" s="41" t="n"/>
      <c r="U374" s="43">
        <f>IF(OR($B374="",$L374=""),"",WORKDAY($B374,IFERROR(INDEX(LISTAS!$C$3:$C$42,MATCH($L374,LISTAS!$A$3:$A$42,0)),3)))</f>
        <v/>
      </c>
      <c r="V374" s="40" t="n"/>
      <c r="W374" s="19">
        <f>IF($B374="","",IF($V374&lt;&gt;"",$V374-$B374,TODAY()-$B374))</f>
        <v/>
      </c>
      <c r="X374" s="19">
        <f>IF(OR($B374="",$U374=""),"",IF($V374&lt;&gt;"",MAX(0,$V374-$U374),MAX(0,TODAY()-$U374)))</f>
        <v/>
      </c>
      <c r="Y374" s="39">
        <f>IF($C374="","",IF(IFERROR(INDEX(LISTAS!$I$3:$I$42,MATCH($T374,LISTAS!$H$3:$H$42,0)),"NO")="SÍ",IF(N($X374)&gt;0,"CERRADA FUERA DE SLA","CERRADA EN SLA"),IF($U374="","SIN CLASIFICAR",IF(N($X374)&gt;0,"VENCIDA",IF(TODAY()&gt;=$U374-1,"POR VENCER","EN PLAZO")))))</f>
        <v/>
      </c>
      <c r="Z374" s="41" t="n"/>
      <c r="AA374" s="41" t="n"/>
      <c r="AB374" s="41" t="n"/>
    </row>
    <row r="375">
      <c r="A375" s="39">
        <f>IF($C375="","","NOV-"&amp;TEXT(ROW()-3,"0000"))</f>
        <v/>
      </c>
      <c r="B375" s="40" t="n"/>
      <c r="C375" s="41" t="n"/>
      <c r="D375" s="42">
        <f>IF($C375="","",IFERROR(INDEX(DESPACHOS!$D$3:$D$3002,MATCH($C375,DESPACHOS!$B$3:$B$3002,0)),"SIN DESPACHO"))</f>
        <v/>
      </c>
      <c r="E375" s="42">
        <f>IF($C375="","",IFERROR(INDEX(DESPACHOS!$K$3:$K$3002,MATCH($C375,DESPACHOS!$B$3:$B$3002,0)),""))</f>
        <v/>
      </c>
      <c r="F375" s="42">
        <f>IF($C375="","",IFERROR(INDEX(DESPACHOS!$I$3:$I$3002,MATCH($C375,DESPACHOS!$B$3:$B$3002,0)),""))</f>
        <v/>
      </c>
      <c r="G375" s="42">
        <f>IF($C375="","",IFERROR(INDEX(DESPACHOS!$F$3:$F$3002,MATCH($C375,DESPACHOS!$B$3:$B$3002,0)),""))</f>
        <v/>
      </c>
      <c r="H375" s="42">
        <f>IF($C375="","",IFERROR(INDEX(DESPACHOS!$G$3:$G$3002,MATCH($C375,DESPACHOS!$B$3:$B$3002,0)),""))</f>
        <v/>
      </c>
      <c r="I375" s="39">
        <f>IF($C375="","",IFERROR(INDEX(DESPACHOS!$H$3:$H$3002,MATCH($C375,DESPACHOS!$B$3:$B$3002,0)),""))</f>
        <v/>
      </c>
      <c r="J375" s="43">
        <f>IF($C375="","",IFERROR(INDEX(DESPACHOS!$J$3:$J$3002,MATCH($C375,DESPACHOS!$B$3:$B$3002,0)),""))</f>
        <v/>
      </c>
      <c r="K375" s="39">
        <f>IF($C375="","",IF(COUNTIFS(DESPACHOS!$B$3:$B$3002,$C375)=0,"NO EXISTE",IF(COUNTIFS(DESPACHOS!$B$3:$B$3002,$C375)&gt;1,"DUPLICADO","OK")))</f>
        <v/>
      </c>
      <c r="L375" s="41" t="n"/>
      <c r="M375" s="41" t="n"/>
      <c r="N375" s="42">
        <f>IF($M375="","",IFERROR(INDEX(LISTAS!$F$3:$F$42,MATCH($M375,LISTAS!$E$3:$E$42,0)),"Por definir"))</f>
        <v/>
      </c>
      <c r="O375" s="41" t="n"/>
      <c r="P375" s="39">
        <f>IF($L375="","",IFERROR(INDEX(LISTAS!$B$3:$B$42,MATCH($L375,LISTAS!$A$3:$A$42,0)),"Media"))</f>
        <v/>
      </c>
      <c r="Q375" s="44" t="n"/>
      <c r="R375" s="45" t="n"/>
      <c r="S375" s="20">
        <f>IFERROR(IF(OR($R375="",$C375=""),"",$R375/INDEX(DESPACHOS!$M$3:$M$3002,MATCH($C375,DESPACHOS!$B$3:$B$3002,0))),"")</f>
        <v/>
      </c>
      <c r="T375" s="41" t="n"/>
      <c r="U375" s="43">
        <f>IF(OR($B375="",$L375=""),"",WORKDAY($B375,IFERROR(INDEX(LISTAS!$C$3:$C$42,MATCH($L375,LISTAS!$A$3:$A$42,0)),3)))</f>
        <v/>
      </c>
      <c r="V375" s="40" t="n"/>
      <c r="W375" s="19">
        <f>IF($B375="","",IF($V375&lt;&gt;"",$V375-$B375,TODAY()-$B375))</f>
        <v/>
      </c>
      <c r="X375" s="19">
        <f>IF(OR($B375="",$U375=""),"",IF($V375&lt;&gt;"",MAX(0,$V375-$U375),MAX(0,TODAY()-$U375)))</f>
        <v/>
      </c>
      <c r="Y375" s="39">
        <f>IF($C375="","",IF(IFERROR(INDEX(LISTAS!$I$3:$I$42,MATCH($T375,LISTAS!$H$3:$H$42,0)),"NO")="SÍ",IF(N($X375)&gt;0,"CERRADA FUERA DE SLA","CERRADA EN SLA"),IF($U375="","SIN CLASIFICAR",IF(N($X375)&gt;0,"VENCIDA",IF(TODAY()&gt;=$U375-1,"POR VENCER","EN PLAZO")))))</f>
        <v/>
      </c>
      <c r="Z375" s="41" t="n"/>
      <c r="AA375" s="41" t="n"/>
      <c r="AB375" s="41" t="n"/>
    </row>
    <row r="376">
      <c r="A376" s="39">
        <f>IF($C376="","","NOV-"&amp;TEXT(ROW()-3,"0000"))</f>
        <v/>
      </c>
      <c r="B376" s="40" t="n"/>
      <c r="C376" s="41" t="n"/>
      <c r="D376" s="42">
        <f>IF($C376="","",IFERROR(INDEX(DESPACHOS!$D$3:$D$3002,MATCH($C376,DESPACHOS!$B$3:$B$3002,0)),"SIN DESPACHO"))</f>
        <v/>
      </c>
      <c r="E376" s="42">
        <f>IF($C376="","",IFERROR(INDEX(DESPACHOS!$K$3:$K$3002,MATCH($C376,DESPACHOS!$B$3:$B$3002,0)),""))</f>
        <v/>
      </c>
      <c r="F376" s="42">
        <f>IF($C376="","",IFERROR(INDEX(DESPACHOS!$I$3:$I$3002,MATCH($C376,DESPACHOS!$B$3:$B$3002,0)),""))</f>
        <v/>
      </c>
      <c r="G376" s="42">
        <f>IF($C376="","",IFERROR(INDEX(DESPACHOS!$F$3:$F$3002,MATCH($C376,DESPACHOS!$B$3:$B$3002,0)),""))</f>
        <v/>
      </c>
      <c r="H376" s="42">
        <f>IF($C376="","",IFERROR(INDEX(DESPACHOS!$G$3:$G$3002,MATCH($C376,DESPACHOS!$B$3:$B$3002,0)),""))</f>
        <v/>
      </c>
      <c r="I376" s="39">
        <f>IF($C376="","",IFERROR(INDEX(DESPACHOS!$H$3:$H$3002,MATCH($C376,DESPACHOS!$B$3:$B$3002,0)),""))</f>
        <v/>
      </c>
      <c r="J376" s="43">
        <f>IF($C376="","",IFERROR(INDEX(DESPACHOS!$J$3:$J$3002,MATCH($C376,DESPACHOS!$B$3:$B$3002,0)),""))</f>
        <v/>
      </c>
      <c r="K376" s="39">
        <f>IF($C376="","",IF(COUNTIFS(DESPACHOS!$B$3:$B$3002,$C376)=0,"NO EXISTE",IF(COUNTIFS(DESPACHOS!$B$3:$B$3002,$C376)&gt;1,"DUPLICADO","OK")))</f>
        <v/>
      </c>
      <c r="L376" s="41" t="n"/>
      <c r="M376" s="41" t="n"/>
      <c r="N376" s="42">
        <f>IF($M376="","",IFERROR(INDEX(LISTAS!$F$3:$F$42,MATCH($M376,LISTAS!$E$3:$E$42,0)),"Por definir"))</f>
        <v/>
      </c>
      <c r="O376" s="41" t="n"/>
      <c r="P376" s="39">
        <f>IF($L376="","",IFERROR(INDEX(LISTAS!$B$3:$B$42,MATCH($L376,LISTAS!$A$3:$A$42,0)),"Media"))</f>
        <v/>
      </c>
      <c r="Q376" s="44" t="n"/>
      <c r="R376" s="45" t="n"/>
      <c r="S376" s="20">
        <f>IFERROR(IF(OR($R376="",$C376=""),"",$R376/INDEX(DESPACHOS!$M$3:$M$3002,MATCH($C376,DESPACHOS!$B$3:$B$3002,0))),"")</f>
        <v/>
      </c>
      <c r="T376" s="41" t="n"/>
      <c r="U376" s="43">
        <f>IF(OR($B376="",$L376=""),"",WORKDAY($B376,IFERROR(INDEX(LISTAS!$C$3:$C$42,MATCH($L376,LISTAS!$A$3:$A$42,0)),3)))</f>
        <v/>
      </c>
      <c r="V376" s="40" t="n"/>
      <c r="W376" s="19">
        <f>IF($B376="","",IF($V376&lt;&gt;"",$V376-$B376,TODAY()-$B376))</f>
        <v/>
      </c>
      <c r="X376" s="19">
        <f>IF(OR($B376="",$U376=""),"",IF($V376&lt;&gt;"",MAX(0,$V376-$U376),MAX(0,TODAY()-$U376)))</f>
        <v/>
      </c>
      <c r="Y376" s="39">
        <f>IF($C376="","",IF(IFERROR(INDEX(LISTAS!$I$3:$I$42,MATCH($T376,LISTAS!$H$3:$H$42,0)),"NO")="SÍ",IF(N($X376)&gt;0,"CERRADA FUERA DE SLA","CERRADA EN SLA"),IF($U376="","SIN CLASIFICAR",IF(N($X376)&gt;0,"VENCIDA",IF(TODAY()&gt;=$U376-1,"POR VENCER","EN PLAZO")))))</f>
        <v/>
      </c>
      <c r="Z376" s="41" t="n"/>
      <c r="AA376" s="41" t="n"/>
      <c r="AB376" s="41" t="n"/>
    </row>
    <row r="377">
      <c r="A377" s="39">
        <f>IF($C377="","","NOV-"&amp;TEXT(ROW()-3,"0000"))</f>
        <v/>
      </c>
      <c r="B377" s="40" t="n"/>
      <c r="C377" s="41" t="n"/>
      <c r="D377" s="42">
        <f>IF($C377="","",IFERROR(INDEX(DESPACHOS!$D$3:$D$3002,MATCH($C377,DESPACHOS!$B$3:$B$3002,0)),"SIN DESPACHO"))</f>
        <v/>
      </c>
      <c r="E377" s="42">
        <f>IF($C377="","",IFERROR(INDEX(DESPACHOS!$K$3:$K$3002,MATCH($C377,DESPACHOS!$B$3:$B$3002,0)),""))</f>
        <v/>
      </c>
      <c r="F377" s="42">
        <f>IF($C377="","",IFERROR(INDEX(DESPACHOS!$I$3:$I$3002,MATCH($C377,DESPACHOS!$B$3:$B$3002,0)),""))</f>
        <v/>
      </c>
      <c r="G377" s="42">
        <f>IF($C377="","",IFERROR(INDEX(DESPACHOS!$F$3:$F$3002,MATCH($C377,DESPACHOS!$B$3:$B$3002,0)),""))</f>
        <v/>
      </c>
      <c r="H377" s="42">
        <f>IF($C377="","",IFERROR(INDEX(DESPACHOS!$G$3:$G$3002,MATCH($C377,DESPACHOS!$B$3:$B$3002,0)),""))</f>
        <v/>
      </c>
      <c r="I377" s="39">
        <f>IF($C377="","",IFERROR(INDEX(DESPACHOS!$H$3:$H$3002,MATCH($C377,DESPACHOS!$B$3:$B$3002,0)),""))</f>
        <v/>
      </c>
      <c r="J377" s="43">
        <f>IF($C377="","",IFERROR(INDEX(DESPACHOS!$J$3:$J$3002,MATCH($C377,DESPACHOS!$B$3:$B$3002,0)),""))</f>
        <v/>
      </c>
      <c r="K377" s="39">
        <f>IF($C377="","",IF(COUNTIFS(DESPACHOS!$B$3:$B$3002,$C377)=0,"NO EXISTE",IF(COUNTIFS(DESPACHOS!$B$3:$B$3002,$C377)&gt;1,"DUPLICADO","OK")))</f>
        <v/>
      </c>
      <c r="L377" s="41" t="n"/>
      <c r="M377" s="41" t="n"/>
      <c r="N377" s="42">
        <f>IF($M377="","",IFERROR(INDEX(LISTAS!$F$3:$F$42,MATCH($M377,LISTAS!$E$3:$E$42,0)),"Por definir"))</f>
        <v/>
      </c>
      <c r="O377" s="41" t="n"/>
      <c r="P377" s="39">
        <f>IF($L377="","",IFERROR(INDEX(LISTAS!$B$3:$B$42,MATCH($L377,LISTAS!$A$3:$A$42,0)),"Media"))</f>
        <v/>
      </c>
      <c r="Q377" s="44" t="n"/>
      <c r="R377" s="45" t="n"/>
      <c r="S377" s="20">
        <f>IFERROR(IF(OR($R377="",$C377=""),"",$R377/INDEX(DESPACHOS!$M$3:$M$3002,MATCH($C377,DESPACHOS!$B$3:$B$3002,0))),"")</f>
        <v/>
      </c>
      <c r="T377" s="41" t="n"/>
      <c r="U377" s="43">
        <f>IF(OR($B377="",$L377=""),"",WORKDAY($B377,IFERROR(INDEX(LISTAS!$C$3:$C$42,MATCH($L377,LISTAS!$A$3:$A$42,0)),3)))</f>
        <v/>
      </c>
      <c r="V377" s="40" t="n"/>
      <c r="W377" s="19">
        <f>IF($B377="","",IF($V377&lt;&gt;"",$V377-$B377,TODAY()-$B377))</f>
        <v/>
      </c>
      <c r="X377" s="19">
        <f>IF(OR($B377="",$U377=""),"",IF($V377&lt;&gt;"",MAX(0,$V377-$U377),MAX(0,TODAY()-$U377)))</f>
        <v/>
      </c>
      <c r="Y377" s="39">
        <f>IF($C377="","",IF(IFERROR(INDEX(LISTAS!$I$3:$I$42,MATCH($T377,LISTAS!$H$3:$H$42,0)),"NO")="SÍ",IF(N($X377)&gt;0,"CERRADA FUERA DE SLA","CERRADA EN SLA"),IF($U377="","SIN CLASIFICAR",IF(N($X377)&gt;0,"VENCIDA",IF(TODAY()&gt;=$U377-1,"POR VENCER","EN PLAZO")))))</f>
        <v/>
      </c>
      <c r="Z377" s="41" t="n"/>
      <c r="AA377" s="41" t="n"/>
      <c r="AB377" s="41" t="n"/>
    </row>
    <row r="378">
      <c r="A378" s="39">
        <f>IF($C378="","","NOV-"&amp;TEXT(ROW()-3,"0000"))</f>
        <v/>
      </c>
      <c r="B378" s="40" t="n"/>
      <c r="C378" s="41" t="n"/>
      <c r="D378" s="42">
        <f>IF($C378="","",IFERROR(INDEX(DESPACHOS!$D$3:$D$3002,MATCH($C378,DESPACHOS!$B$3:$B$3002,0)),"SIN DESPACHO"))</f>
        <v/>
      </c>
      <c r="E378" s="42">
        <f>IF($C378="","",IFERROR(INDEX(DESPACHOS!$K$3:$K$3002,MATCH($C378,DESPACHOS!$B$3:$B$3002,0)),""))</f>
        <v/>
      </c>
      <c r="F378" s="42">
        <f>IF($C378="","",IFERROR(INDEX(DESPACHOS!$I$3:$I$3002,MATCH($C378,DESPACHOS!$B$3:$B$3002,0)),""))</f>
        <v/>
      </c>
      <c r="G378" s="42">
        <f>IF($C378="","",IFERROR(INDEX(DESPACHOS!$F$3:$F$3002,MATCH($C378,DESPACHOS!$B$3:$B$3002,0)),""))</f>
        <v/>
      </c>
      <c r="H378" s="42">
        <f>IF($C378="","",IFERROR(INDEX(DESPACHOS!$G$3:$G$3002,MATCH($C378,DESPACHOS!$B$3:$B$3002,0)),""))</f>
        <v/>
      </c>
      <c r="I378" s="39">
        <f>IF($C378="","",IFERROR(INDEX(DESPACHOS!$H$3:$H$3002,MATCH($C378,DESPACHOS!$B$3:$B$3002,0)),""))</f>
        <v/>
      </c>
      <c r="J378" s="43">
        <f>IF($C378="","",IFERROR(INDEX(DESPACHOS!$J$3:$J$3002,MATCH($C378,DESPACHOS!$B$3:$B$3002,0)),""))</f>
        <v/>
      </c>
      <c r="K378" s="39">
        <f>IF($C378="","",IF(COUNTIFS(DESPACHOS!$B$3:$B$3002,$C378)=0,"NO EXISTE",IF(COUNTIFS(DESPACHOS!$B$3:$B$3002,$C378)&gt;1,"DUPLICADO","OK")))</f>
        <v/>
      </c>
      <c r="L378" s="41" t="n"/>
      <c r="M378" s="41" t="n"/>
      <c r="N378" s="42">
        <f>IF($M378="","",IFERROR(INDEX(LISTAS!$F$3:$F$42,MATCH($M378,LISTAS!$E$3:$E$42,0)),"Por definir"))</f>
        <v/>
      </c>
      <c r="O378" s="41" t="n"/>
      <c r="P378" s="39">
        <f>IF($L378="","",IFERROR(INDEX(LISTAS!$B$3:$B$42,MATCH($L378,LISTAS!$A$3:$A$42,0)),"Media"))</f>
        <v/>
      </c>
      <c r="Q378" s="44" t="n"/>
      <c r="R378" s="45" t="n"/>
      <c r="S378" s="20">
        <f>IFERROR(IF(OR($R378="",$C378=""),"",$R378/INDEX(DESPACHOS!$M$3:$M$3002,MATCH($C378,DESPACHOS!$B$3:$B$3002,0))),"")</f>
        <v/>
      </c>
      <c r="T378" s="41" t="n"/>
      <c r="U378" s="43">
        <f>IF(OR($B378="",$L378=""),"",WORKDAY($B378,IFERROR(INDEX(LISTAS!$C$3:$C$42,MATCH($L378,LISTAS!$A$3:$A$42,0)),3)))</f>
        <v/>
      </c>
      <c r="V378" s="40" t="n"/>
      <c r="W378" s="19">
        <f>IF($B378="","",IF($V378&lt;&gt;"",$V378-$B378,TODAY()-$B378))</f>
        <v/>
      </c>
      <c r="X378" s="19">
        <f>IF(OR($B378="",$U378=""),"",IF($V378&lt;&gt;"",MAX(0,$V378-$U378),MAX(0,TODAY()-$U378)))</f>
        <v/>
      </c>
      <c r="Y378" s="39">
        <f>IF($C378="","",IF(IFERROR(INDEX(LISTAS!$I$3:$I$42,MATCH($T378,LISTAS!$H$3:$H$42,0)),"NO")="SÍ",IF(N($X378)&gt;0,"CERRADA FUERA DE SLA","CERRADA EN SLA"),IF($U378="","SIN CLASIFICAR",IF(N($X378)&gt;0,"VENCIDA",IF(TODAY()&gt;=$U378-1,"POR VENCER","EN PLAZO")))))</f>
        <v/>
      </c>
      <c r="Z378" s="41" t="n"/>
      <c r="AA378" s="41" t="n"/>
      <c r="AB378" s="41" t="n"/>
    </row>
    <row r="379">
      <c r="A379" s="39">
        <f>IF($C379="","","NOV-"&amp;TEXT(ROW()-3,"0000"))</f>
        <v/>
      </c>
      <c r="B379" s="40" t="n"/>
      <c r="C379" s="41" t="n"/>
      <c r="D379" s="42">
        <f>IF($C379="","",IFERROR(INDEX(DESPACHOS!$D$3:$D$3002,MATCH($C379,DESPACHOS!$B$3:$B$3002,0)),"SIN DESPACHO"))</f>
        <v/>
      </c>
      <c r="E379" s="42">
        <f>IF($C379="","",IFERROR(INDEX(DESPACHOS!$K$3:$K$3002,MATCH($C379,DESPACHOS!$B$3:$B$3002,0)),""))</f>
        <v/>
      </c>
      <c r="F379" s="42">
        <f>IF($C379="","",IFERROR(INDEX(DESPACHOS!$I$3:$I$3002,MATCH($C379,DESPACHOS!$B$3:$B$3002,0)),""))</f>
        <v/>
      </c>
      <c r="G379" s="42">
        <f>IF($C379="","",IFERROR(INDEX(DESPACHOS!$F$3:$F$3002,MATCH($C379,DESPACHOS!$B$3:$B$3002,0)),""))</f>
        <v/>
      </c>
      <c r="H379" s="42">
        <f>IF($C379="","",IFERROR(INDEX(DESPACHOS!$G$3:$G$3002,MATCH($C379,DESPACHOS!$B$3:$B$3002,0)),""))</f>
        <v/>
      </c>
      <c r="I379" s="39">
        <f>IF($C379="","",IFERROR(INDEX(DESPACHOS!$H$3:$H$3002,MATCH($C379,DESPACHOS!$B$3:$B$3002,0)),""))</f>
        <v/>
      </c>
      <c r="J379" s="43">
        <f>IF($C379="","",IFERROR(INDEX(DESPACHOS!$J$3:$J$3002,MATCH($C379,DESPACHOS!$B$3:$B$3002,0)),""))</f>
        <v/>
      </c>
      <c r="K379" s="39">
        <f>IF($C379="","",IF(COUNTIFS(DESPACHOS!$B$3:$B$3002,$C379)=0,"NO EXISTE",IF(COUNTIFS(DESPACHOS!$B$3:$B$3002,$C379)&gt;1,"DUPLICADO","OK")))</f>
        <v/>
      </c>
      <c r="L379" s="41" t="n"/>
      <c r="M379" s="41" t="n"/>
      <c r="N379" s="42">
        <f>IF($M379="","",IFERROR(INDEX(LISTAS!$F$3:$F$42,MATCH($M379,LISTAS!$E$3:$E$42,0)),"Por definir"))</f>
        <v/>
      </c>
      <c r="O379" s="41" t="n"/>
      <c r="P379" s="39">
        <f>IF($L379="","",IFERROR(INDEX(LISTAS!$B$3:$B$42,MATCH($L379,LISTAS!$A$3:$A$42,0)),"Media"))</f>
        <v/>
      </c>
      <c r="Q379" s="44" t="n"/>
      <c r="R379" s="45" t="n"/>
      <c r="S379" s="20">
        <f>IFERROR(IF(OR($R379="",$C379=""),"",$R379/INDEX(DESPACHOS!$M$3:$M$3002,MATCH($C379,DESPACHOS!$B$3:$B$3002,0))),"")</f>
        <v/>
      </c>
      <c r="T379" s="41" t="n"/>
      <c r="U379" s="43">
        <f>IF(OR($B379="",$L379=""),"",WORKDAY($B379,IFERROR(INDEX(LISTAS!$C$3:$C$42,MATCH($L379,LISTAS!$A$3:$A$42,0)),3)))</f>
        <v/>
      </c>
      <c r="V379" s="40" t="n"/>
      <c r="W379" s="19">
        <f>IF($B379="","",IF($V379&lt;&gt;"",$V379-$B379,TODAY()-$B379))</f>
        <v/>
      </c>
      <c r="X379" s="19">
        <f>IF(OR($B379="",$U379=""),"",IF($V379&lt;&gt;"",MAX(0,$V379-$U379),MAX(0,TODAY()-$U379)))</f>
        <v/>
      </c>
      <c r="Y379" s="39">
        <f>IF($C379="","",IF(IFERROR(INDEX(LISTAS!$I$3:$I$42,MATCH($T379,LISTAS!$H$3:$H$42,0)),"NO")="SÍ",IF(N($X379)&gt;0,"CERRADA FUERA DE SLA","CERRADA EN SLA"),IF($U379="","SIN CLASIFICAR",IF(N($X379)&gt;0,"VENCIDA",IF(TODAY()&gt;=$U379-1,"POR VENCER","EN PLAZO")))))</f>
        <v/>
      </c>
      <c r="Z379" s="41" t="n"/>
      <c r="AA379" s="41" t="n"/>
      <c r="AB379" s="41" t="n"/>
    </row>
    <row r="380">
      <c r="A380" s="39">
        <f>IF($C380="","","NOV-"&amp;TEXT(ROW()-3,"0000"))</f>
        <v/>
      </c>
      <c r="B380" s="40" t="n"/>
      <c r="C380" s="41" t="n"/>
      <c r="D380" s="42">
        <f>IF($C380="","",IFERROR(INDEX(DESPACHOS!$D$3:$D$3002,MATCH($C380,DESPACHOS!$B$3:$B$3002,0)),"SIN DESPACHO"))</f>
        <v/>
      </c>
      <c r="E380" s="42">
        <f>IF($C380="","",IFERROR(INDEX(DESPACHOS!$K$3:$K$3002,MATCH($C380,DESPACHOS!$B$3:$B$3002,0)),""))</f>
        <v/>
      </c>
      <c r="F380" s="42">
        <f>IF($C380="","",IFERROR(INDEX(DESPACHOS!$I$3:$I$3002,MATCH($C380,DESPACHOS!$B$3:$B$3002,0)),""))</f>
        <v/>
      </c>
      <c r="G380" s="42">
        <f>IF($C380="","",IFERROR(INDEX(DESPACHOS!$F$3:$F$3002,MATCH($C380,DESPACHOS!$B$3:$B$3002,0)),""))</f>
        <v/>
      </c>
      <c r="H380" s="42">
        <f>IF($C380="","",IFERROR(INDEX(DESPACHOS!$G$3:$G$3002,MATCH($C380,DESPACHOS!$B$3:$B$3002,0)),""))</f>
        <v/>
      </c>
      <c r="I380" s="39">
        <f>IF($C380="","",IFERROR(INDEX(DESPACHOS!$H$3:$H$3002,MATCH($C380,DESPACHOS!$B$3:$B$3002,0)),""))</f>
        <v/>
      </c>
      <c r="J380" s="43">
        <f>IF($C380="","",IFERROR(INDEX(DESPACHOS!$J$3:$J$3002,MATCH($C380,DESPACHOS!$B$3:$B$3002,0)),""))</f>
        <v/>
      </c>
      <c r="K380" s="39">
        <f>IF($C380="","",IF(COUNTIFS(DESPACHOS!$B$3:$B$3002,$C380)=0,"NO EXISTE",IF(COUNTIFS(DESPACHOS!$B$3:$B$3002,$C380)&gt;1,"DUPLICADO","OK")))</f>
        <v/>
      </c>
      <c r="L380" s="41" t="n"/>
      <c r="M380" s="41" t="n"/>
      <c r="N380" s="42">
        <f>IF($M380="","",IFERROR(INDEX(LISTAS!$F$3:$F$42,MATCH($M380,LISTAS!$E$3:$E$42,0)),"Por definir"))</f>
        <v/>
      </c>
      <c r="O380" s="41" t="n"/>
      <c r="P380" s="39">
        <f>IF($L380="","",IFERROR(INDEX(LISTAS!$B$3:$B$42,MATCH($L380,LISTAS!$A$3:$A$42,0)),"Media"))</f>
        <v/>
      </c>
      <c r="Q380" s="44" t="n"/>
      <c r="R380" s="45" t="n"/>
      <c r="S380" s="20">
        <f>IFERROR(IF(OR($R380="",$C380=""),"",$R380/INDEX(DESPACHOS!$M$3:$M$3002,MATCH($C380,DESPACHOS!$B$3:$B$3002,0))),"")</f>
        <v/>
      </c>
      <c r="T380" s="41" t="n"/>
      <c r="U380" s="43">
        <f>IF(OR($B380="",$L380=""),"",WORKDAY($B380,IFERROR(INDEX(LISTAS!$C$3:$C$42,MATCH($L380,LISTAS!$A$3:$A$42,0)),3)))</f>
        <v/>
      </c>
      <c r="V380" s="40" t="n"/>
      <c r="W380" s="19">
        <f>IF($B380="","",IF($V380&lt;&gt;"",$V380-$B380,TODAY()-$B380))</f>
        <v/>
      </c>
      <c r="X380" s="19">
        <f>IF(OR($B380="",$U380=""),"",IF($V380&lt;&gt;"",MAX(0,$V380-$U380),MAX(0,TODAY()-$U380)))</f>
        <v/>
      </c>
      <c r="Y380" s="39">
        <f>IF($C380="","",IF(IFERROR(INDEX(LISTAS!$I$3:$I$42,MATCH($T380,LISTAS!$H$3:$H$42,0)),"NO")="SÍ",IF(N($X380)&gt;0,"CERRADA FUERA DE SLA","CERRADA EN SLA"),IF($U380="","SIN CLASIFICAR",IF(N($X380)&gt;0,"VENCIDA",IF(TODAY()&gt;=$U380-1,"POR VENCER","EN PLAZO")))))</f>
        <v/>
      </c>
      <c r="Z380" s="41" t="n"/>
      <c r="AA380" s="41" t="n"/>
      <c r="AB380" s="41" t="n"/>
    </row>
    <row r="381">
      <c r="A381" s="39">
        <f>IF($C381="","","NOV-"&amp;TEXT(ROW()-3,"0000"))</f>
        <v/>
      </c>
      <c r="B381" s="40" t="n"/>
      <c r="C381" s="41" t="n"/>
      <c r="D381" s="42">
        <f>IF($C381="","",IFERROR(INDEX(DESPACHOS!$D$3:$D$3002,MATCH($C381,DESPACHOS!$B$3:$B$3002,0)),"SIN DESPACHO"))</f>
        <v/>
      </c>
      <c r="E381" s="42">
        <f>IF($C381="","",IFERROR(INDEX(DESPACHOS!$K$3:$K$3002,MATCH($C381,DESPACHOS!$B$3:$B$3002,0)),""))</f>
        <v/>
      </c>
      <c r="F381" s="42">
        <f>IF($C381="","",IFERROR(INDEX(DESPACHOS!$I$3:$I$3002,MATCH($C381,DESPACHOS!$B$3:$B$3002,0)),""))</f>
        <v/>
      </c>
      <c r="G381" s="42">
        <f>IF($C381="","",IFERROR(INDEX(DESPACHOS!$F$3:$F$3002,MATCH($C381,DESPACHOS!$B$3:$B$3002,0)),""))</f>
        <v/>
      </c>
      <c r="H381" s="42">
        <f>IF($C381="","",IFERROR(INDEX(DESPACHOS!$G$3:$G$3002,MATCH($C381,DESPACHOS!$B$3:$B$3002,0)),""))</f>
        <v/>
      </c>
      <c r="I381" s="39">
        <f>IF($C381="","",IFERROR(INDEX(DESPACHOS!$H$3:$H$3002,MATCH($C381,DESPACHOS!$B$3:$B$3002,0)),""))</f>
        <v/>
      </c>
      <c r="J381" s="43">
        <f>IF($C381="","",IFERROR(INDEX(DESPACHOS!$J$3:$J$3002,MATCH($C381,DESPACHOS!$B$3:$B$3002,0)),""))</f>
        <v/>
      </c>
      <c r="K381" s="39">
        <f>IF($C381="","",IF(COUNTIFS(DESPACHOS!$B$3:$B$3002,$C381)=0,"NO EXISTE",IF(COUNTIFS(DESPACHOS!$B$3:$B$3002,$C381)&gt;1,"DUPLICADO","OK")))</f>
        <v/>
      </c>
      <c r="L381" s="41" t="n"/>
      <c r="M381" s="41" t="n"/>
      <c r="N381" s="42">
        <f>IF($M381="","",IFERROR(INDEX(LISTAS!$F$3:$F$42,MATCH($M381,LISTAS!$E$3:$E$42,0)),"Por definir"))</f>
        <v/>
      </c>
      <c r="O381" s="41" t="n"/>
      <c r="P381" s="39">
        <f>IF($L381="","",IFERROR(INDEX(LISTAS!$B$3:$B$42,MATCH($L381,LISTAS!$A$3:$A$42,0)),"Media"))</f>
        <v/>
      </c>
      <c r="Q381" s="44" t="n"/>
      <c r="R381" s="45" t="n"/>
      <c r="S381" s="20">
        <f>IFERROR(IF(OR($R381="",$C381=""),"",$R381/INDEX(DESPACHOS!$M$3:$M$3002,MATCH($C381,DESPACHOS!$B$3:$B$3002,0))),"")</f>
        <v/>
      </c>
      <c r="T381" s="41" t="n"/>
      <c r="U381" s="43">
        <f>IF(OR($B381="",$L381=""),"",WORKDAY($B381,IFERROR(INDEX(LISTAS!$C$3:$C$42,MATCH($L381,LISTAS!$A$3:$A$42,0)),3)))</f>
        <v/>
      </c>
      <c r="V381" s="40" t="n"/>
      <c r="W381" s="19">
        <f>IF($B381="","",IF($V381&lt;&gt;"",$V381-$B381,TODAY()-$B381))</f>
        <v/>
      </c>
      <c r="X381" s="19">
        <f>IF(OR($B381="",$U381=""),"",IF($V381&lt;&gt;"",MAX(0,$V381-$U381),MAX(0,TODAY()-$U381)))</f>
        <v/>
      </c>
      <c r="Y381" s="39">
        <f>IF($C381="","",IF(IFERROR(INDEX(LISTAS!$I$3:$I$42,MATCH($T381,LISTAS!$H$3:$H$42,0)),"NO")="SÍ",IF(N($X381)&gt;0,"CERRADA FUERA DE SLA","CERRADA EN SLA"),IF($U381="","SIN CLASIFICAR",IF(N($X381)&gt;0,"VENCIDA",IF(TODAY()&gt;=$U381-1,"POR VENCER","EN PLAZO")))))</f>
        <v/>
      </c>
      <c r="Z381" s="41" t="n"/>
      <c r="AA381" s="41" t="n"/>
      <c r="AB381" s="41" t="n"/>
    </row>
    <row r="382">
      <c r="A382" s="39">
        <f>IF($C382="","","NOV-"&amp;TEXT(ROW()-3,"0000"))</f>
        <v/>
      </c>
      <c r="B382" s="40" t="n"/>
      <c r="C382" s="41" t="n"/>
      <c r="D382" s="42">
        <f>IF($C382="","",IFERROR(INDEX(DESPACHOS!$D$3:$D$3002,MATCH($C382,DESPACHOS!$B$3:$B$3002,0)),"SIN DESPACHO"))</f>
        <v/>
      </c>
      <c r="E382" s="42">
        <f>IF($C382="","",IFERROR(INDEX(DESPACHOS!$K$3:$K$3002,MATCH($C382,DESPACHOS!$B$3:$B$3002,0)),""))</f>
        <v/>
      </c>
      <c r="F382" s="42">
        <f>IF($C382="","",IFERROR(INDEX(DESPACHOS!$I$3:$I$3002,MATCH($C382,DESPACHOS!$B$3:$B$3002,0)),""))</f>
        <v/>
      </c>
      <c r="G382" s="42">
        <f>IF($C382="","",IFERROR(INDEX(DESPACHOS!$F$3:$F$3002,MATCH($C382,DESPACHOS!$B$3:$B$3002,0)),""))</f>
        <v/>
      </c>
      <c r="H382" s="42">
        <f>IF($C382="","",IFERROR(INDEX(DESPACHOS!$G$3:$G$3002,MATCH($C382,DESPACHOS!$B$3:$B$3002,0)),""))</f>
        <v/>
      </c>
      <c r="I382" s="39">
        <f>IF($C382="","",IFERROR(INDEX(DESPACHOS!$H$3:$H$3002,MATCH($C382,DESPACHOS!$B$3:$B$3002,0)),""))</f>
        <v/>
      </c>
      <c r="J382" s="43">
        <f>IF($C382="","",IFERROR(INDEX(DESPACHOS!$J$3:$J$3002,MATCH($C382,DESPACHOS!$B$3:$B$3002,0)),""))</f>
        <v/>
      </c>
      <c r="K382" s="39">
        <f>IF($C382="","",IF(COUNTIFS(DESPACHOS!$B$3:$B$3002,$C382)=0,"NO EXISTE",IF(COUNTIFS(DESPACHOS!$B$3:$B$3002,$C382)&gt;1,"DUPLICADO","OK")))</f>
        <v/>
      </c>
      <c r="L382" s="41" t="n"/>
      <c r="M382" s="41" t="n"/>
      <c r="N382" s="42">
        <f>IF($M382="","",IFERROR(INDEX(LISTAS!$F$3:$F$42,MATCH($M382,LISTAS!$E$3:$E$42,0)),"Por definir"))</f>
        <v/>
      </c>
      <c r="O382" s="41" t="n"/>
      <c r="P382" s="39">
        <f>IF($L382="","",IFERROR(INDEX(LISTAS!$B$3:$B$42,MATCH($L382,LISTAS!$A$3:$A$42,0)),"Media"))</f>
        <v/>
      </c>
      <c r="Q382" s="44" t="n"/>
      <c r="R382" s="45" t="n"/>
      <c r="S382" s="20">
        <f>IFERROR(IF(OR($R382="",$C382=""),"",$R382/INDEX(DESPACHOS!$M$3:$M$3002,MATCH($C382,DESPACHOS!$B$3:$B$3002,0))),"")</f>
        <v/>
      </c>
      <c r="T382" s="41" t="n"/>
      <c r="U382" s="43">
        <f>IF(OR($B382="",$L382=""),"",WORKDAY($B382,IFERROR(INDEX(LISTAS!$C$3:$C$42,MATCH($L382,LISTAS!$A$3:$A$42,0)),3)))</f>
        <v/>
      </c>
      <c r="V382" s="40" t="n"/>
      <c r="W382" s="19">
        <f>IF($B382="","",IF($V382&lt;&gt;"",$V382-$B382,TODAY()-$B382))</f>
        <v/>
      </c>
      <c r="X382" s="19">
        <f>IF(OR($B382="",$U382=""),"",IF($V382&lt;&gt;"",MAX(0,$V382-$U382),MAX(0,TODAY()-$U382)))</f>
        <v/>
      </c>
      <c r="Y382" s="39">
        <f>IF($C382="","",IF(IFERROR(INDEX(LISTAS!$I$3:$I$42,MATCH($T382,LISTAS!$H$3:$H$42,0)),"NO")="SÍ",IF(N($X382)&gt;0,"CERRADA FUERA DE SLA","CERRADA EN SLA"),IF($U382="","SIN CLASIFICAR",IF(N($X382)&gt;0,"VENCIDA",IF(TODAY()&gt;=$U382-1,"POR VENCER","EN PLAZO")))))</f>
        <v/>
      </c>
      <c r="Z382" s="41" t="n"/>
      <c r="AA382" s="41" t="n"/>
      <c r="AB382" s="41" t="n"/>
    </row>
    <row r="383">
      <c r="A383" s="39">
        <f>IF($C383="","","NOV-"&amp;TEXT(ROW()-3,"0000"))</f>
        <v/>
      </c>
      <c r="B383" s="40" t="n"/>
      <c r="C383" s="41" t="n"/>
      <c r="D383" s="42">
        <f>IF($C383="","",IFERROR(INDEX(DESPACHOS!$D$3:$D$3002,MATCH($C383,DESPACHOS!$B$3:$B$3002,0)),"SIN DESPACHO"))</f>
        <v/>
      </c>
      <c r="E383" s="42">
        <f>IF($C383="","",IFERROR(INDEX(DESPACHOS!$K$3:$K$3002,MATCH($C383,DESPACHOS!$B$3:$B$3002,0)),""))</f>
        <v/>
      </c>
      <c r="F383" s="42">
        <f>IF($C383="","",IFERROR(INDEX(DESPACHOS!$I$3:$I$3002,MATCH($C383,DESPACHOS!$B$3:$B$3002,0)),""))</f>
        <v/>
      </c>
      <c r="G383" s="42">
        <f>IF($C383="","",IFERROR(INDEX(DESPACHOS!$F$3:$F$3002,MATCH($C383,DESPACHOS!$B$3:$B$3002,0)),""))</f>
        <v/>
      </c>
      <c r="H383" s="42">
        <f>IF($C383="","",IFERROR(INDEX(DESPACHOS!$G$3:$G$3002,MATCH($C383,DESPACHOS!$B$3:$B$3002,0)),""))</f>
        <v/>
      </c>
      <c r="I383" s="39">
        <f>IF($C383="","",IFERROR(INDEX(DESPACHOS!$H$3:$H$3002,MATCH($C383,DESPACHOS!$B$3:$B$3002,0)),""))</f>
        <v/>
      </c>
      <c r="J383" s="43">
        <f>IF($C383="","",IFERROR(INDEX(DESPACHOS!$J$3:$J$3002,MATCH($C383,DESPACHOS!$B$3:$B$3002,0)),""))</f>
        <v/>
      </c>
      <c r="K383" s="39">
        <f>IF($C383="","",IF(COUNTIFS(DESPACHOS!$B$3:$B$3002,$C383)=0,"NO EXISTE",IF(COUNTIFS(DESPACHOS!$B$3:$B$3002,$C383)&gt;1,"DUPLICADO","OK")))</f>
        <v/>
      </c>
      <c r="L383" s="41" t="n"/>
      <c r="M383" s="41" t="n"/>
      <c r="N383" s="42">
        <f>IF($M383="","",IFERROR(INDEX(LISTAS!$F$3:$F$42,MATCH($M383,LISTAS!$E$3:$E$42,0)),"Por definir"))</f>
        <v/>
      </c>
      <c r="O383" s="41" t="n"/>
      <c r="P383" s="39">
        <f>IF($L383="","",IFERROR(INDEX(LISTAS!$B$3:$B$42,MATCH($L383,LISTAS!$A$3:$A$42,0)),"Media"))</f>
        <v/>
      </c>
      <c r="Q383" s="44" t="n"/>
      <c r="R383" s="45" t="n"/>
      <c r="S383" s="20">
        <f>IFERROR(IF(OR($R383="",$C383=""),"",$R383/INDEX(DESPACHOS!$M$3:$M$3002,MATCH($C383,DESPACHOS!$B$3:$B$3002,0))),"")</f>
        <v/>
      </c>
      <c r="T383" s="41" t="n"/>
      <c r="U383" s="43">
        <f>IF(OR($B383="",$L383=""),"",WORKDAY($B383,IFERROR(INDEX(LISTAS!$C$3:$C$42,MATCH($L383,LISTAS!$A$3:$A$42,0)),3)))</f>
        <v/>
      </c>
      <c r="V383" s="40" t="n"/>
      <c r="W383" s="19">
        <f>IF($B383="","",IF($V383&lt;&gt;"",$V383-$B383,TODAY()-$B383))</f>
        <v/>
      </c>
      <c r="X383" s="19">
        <f>IF(OR($B383="",$U383=""),"",IF($V383&lt;&gt;"",MAX(0,$V383-$U383),MAX(0,TODAY()-$U383)))</f>
        <v/>
      </c>
      <c r="Y383" s="39">
        <f>IF($C383="","",IF(IFERROR(INDEX(LISTAS!$I$3:$I$42,MATCH($T383,LISTAS!$H$3:$H$42,0)),"NO")="SÍ",IF(N($X383)&gt;0,"CERRADA FUERA DE SLA","CERRADA EN SLA"),IF($U383="","SIN CLASIFICAR",IF(N($X383)&gt;0,"VENCIDA",IF(TODAY()&gt;=$U383-1,"POR VENCER","EN PLAZO")))))</f>
        <v/>
      </c>
      <c r="Z383" s="41" t="n"/>
      <c r="AA383" s="41" t="n"/>
      <c r="AB383" s="41" t="n"/>
    </row>
    <row r="384">
      <c r="A384" s="39">
        <f>IF($C384="","","NOV-"&amp;TEXT(ROW()-3,"0000"))</f>
        <v/>
      </c>
      <c r="B384" s="40" t="n"/>
      <c r="C384" s="41" t="n"/>
      <c r="D384" s="42">
        <f>IF($C384="","",IFERROR(INDEX(DESPACHOS!$D$3:$D$3002,MATCH($C384,DESPACHOS!$B$3:$B$3002,0)),"SIN DESPACHO"))</f>
        <v/>
      </c>
      <c r="E384" s="42">
        <f>IF($C384="","",IFERROR(INDEX(DESPACHOS!$K$3:$K$3002,MATCH($C384,DESPACHOS!$B$3:$B$3002,0)),""))</f>
        <v/>
      </c>
      <c r="F384" s="42">
        <f>IF($C384="","",IFERROR(INDEX(DESPACHOS!$I$3:$I$3002,MATCH($C384,DESPACHOS!$B$3:$B$3002,0)),""))</f>
        <v/>
      </c>
      <c r="G384" s="42">
        <f>IF($C384="","",IFERROR(INDEX(DESPACHOS!$F$3:$F$3002,MATCH($C384,DESPACHOS!$B$3:$B$3002,0)),""))</f>
        <v/>
      </c>
      <c r="H384" s="42">
        <f>IF($C384="","",IFERROR(INDEX(DESPACHOS!$G$3:$G$3002,MATCH($C384,DESPACHOS!$B$3:$B$3002,0)),""))</f>
        <v/>
      </c>
      <c r="I384" s="39">
        <f>IF($C384="","",IFERROR(INDEX(DESPACHOS!$H$3:$H$3002,MATCH($C384,DESPACHOS!$B$3:$B$3002,0)),""))</f>
        <v/>
      </c>
      <c r="J384" s="43">
        <f>IF($C384="","",IFERROR(INDEX(DESPACHOS!$J$3:$J$3002,MATCH($C384,DESPACHOS!$B$3:$B$3002,0)),""))</f>
        <v/>
      </c>
      <c r="K384" s="39">
        <f>IF($C384="","",IF(COUNTIFS(DESPACHOS!$B$3:$B$3002,$C384)=0,"NO EXISTE",IF(COUNTIFS(DESPACHOS!$B$3:$B$3002,$C384)&gt;1,"DUPLICADO","OK")))</f>
        <v/>
      </c>
      <c r="L384" s="41" t="n"/>
      <c r="M384" s="41" t="n"/>
      <c r="N384" s="42">
        <f>IF($M384="","",IFERROR(INDEX(LISTAS!$F$3:$F$42,MATCH($M384,LISTAS!$E$3:$E$42,0)),"Por definir"))</f>
        <v/>
      </c>
      <c r="O384" s="41" t="n"/>
      <c r="P384" s="39">
        <f>IF($L384="","",IFERROR(INDEX(LISTAS!$B$3:$B$42,MATCH($L384,LISTAS!$A$3:$A$42,0)),"Media"))</f>
        <v/>
      </c>
      <c r="Q384" s="44" t="n"/>
      <c r="R384" s="45" t="n"/>
      <c r="S384" s="20">
        <f>IFERROR(IF(OR($R384="",$C384=""),"",$R384/INDEX(DESPACHOS!$M$3:$M$3002,MATCH($C384,DESPACHOS!$B$3:$B$3002,0))),"")</f>
        <v/>
      </c>
      <c r="T384" s="41" t="n"/>
      <c r="U384" s="43">
        <f>IF(OR($B384="",$L384=""),"",WORKDAY($B384,IFERROR(INDEX(LISTAS!$C$3:$C$42,MATCH($L384,LISTAS!$A$3:$A$42,0)),3)))</f>
        <v/>
      </c>
      <c r="V384" s="40" t="n"/>
      <c r="W384" s="19">
        <f>IF($B384="","",IF($V384&lt;&gt;"",$V384-$B384,TODAY()-$B384))</f>
        <v/>
      </c>
      <c r="X384" s="19">
        <f>IF(OR($B384="",$U384=""),"",IF($V384&lt;&gt;"",MAX(0,$V384-$U384),MAX(0,TODAY()-$U384)))</f>
        <v/>
      </c>
      <c r="Y384" s="39">
        <f>IF($C384="","",IF(IFERROR(INDEX(LISTAS!$I$3:$I$42,MATCH($T384,LISTAS!$H$3:$H$42,0)),"NO")="SÍ",IF(N($X384)&gt;0,"CERRADA FUERA DE SLA","CERRADA EN SLA"),IF($U384="","SIN CLASIFICAR",IF(N($X384)&gt;0,"VENCIDA",IF(TODAY()&gt;=$U384-1,"POR VENCER","EN PLAZO")))))</f>
        <v/>
      </c>
      <c r="Z384" s="41" t="n"/>
      <c r="AA384" s="41" t="n"/>
      <c r="AB384" s="41" t="n"/>
    </row>
    <row r="385">
      <c r="A385" s="39">
        <f>IF($C385="","","NOV-"&amp;TEXT(ROW()-3,"0000"))</f>
        <v/>
      </c>
      <c r="B385" s="40" t="n"/>
      <c r="C385" s="41" t="n"/>
      <c r="D385" s="42">
        <f>IF($C385="","",IFERROR(INDEX(DESPACHOS!$D$3:$D$3002,MATCH($C385,DESPACHOS!$B$3:$B$3002,0)),"SIN DESPACHO"))</f>
        <v/>
      </c>
      <c r="E385" s="42">
        <f>IF($C385="","",IFERROR(INDEX(DESPACHOS!$K$3:$K$3002,MATCH($C385,DESPACHOS!$B$3:$B$3002,0)),""))</f>
        <v/>
      </c>
      <c r="F385" s="42">
        <f>IF($C385="","",IFERROR(INDEX(DESPACHOS!$I$3:$I$3002,MATCH($C385,DESPACHOS!$B$3:$B$3002,0)),""))</f>
        <v/>
      </c>
      <c r="G385" s="42">
        <f>IF($C385="","",IFERROR(INDEX(DESPACHOS!$F$3:$F$3002,MATCH($C385,DESPACHOS!$B$3:$B$3002,0)),""))</f>
        <v/>
      </c>
      <c r="H385" s="42">
        <f>IF($C385="","",IFERROR(INDEX(DESPACHOS!$G$3:$G$3002,MATCH($C385,DESPACHOS!$B$3:$B$3002,0)),""))</f>
        <v/>
      </c>
      <c r="I385" s="39">
        <f>IF($C385="","",IFERROR(INDEX(DESPACHOS!$H$3:$H$3002,MATCH($C385,DESPACHOS!$B$3:$B$3002,0)),""))</f>
        <v/>
      </c>
      <c r="J385" s="43">
        <f>IF($C385="","",IFERROR(INDEX(DESPACHOS!$J$3:$J$3002,MATCH($C385,DESPACHOS!$B$3:$B$3002,0)),""))</f>
        <v/>
      </c>
      <c r="K385" s="39">
        <f>IF($C385="","",IF(COUNTIFS(DESPACHOS!$B$3:$B$3002,$C385)=0,"NO EXISTE",IF(COUNTIFS(DESPACHOS!$B$3:$B$3002,$C385)&gt;1,"DUPLICADO","OK")))</f>
        <v/>
      </c>
      <c r="L385" s="41" t="n"/>
      <c r="M385" s="41" t="n"/>
      <c r="N385" s="42">
        <f>IF($M385="","",IFERROR(INDEX(LISTAS!$F$3:$F$42,MATCH($M385,LISTAS!$E$3:$E$42,0)),"Por definir"))</f>
        <v/>
      </c>
      <c r="O385" s="41" t="n"/>
      <c r="P385" s="39">
        <f>IF($L385="","",IFERROR(INDEX(LISTAS!$B$3:$B$42,MATCH($L385,LISTAS!$A$3:$A$42,0)),"Media"))</f>
        <v/>
      </c>
      <c r="Q385" s="44" t="n"/>
      <c r="R385" s="45" t="n"/>
      <c r="S385" s="20">
        <f>IFERROR(IF(OR($R385="",$C385=""),"",$R385/INDEX(DESPACHOS!$M$3:$M$3002,MATCH($C385,DESPACHOS!$B$3:$B$3002,0))),"")</f>
        <v/>
      </c>
      <c r="T385" s="41" t="n"/>
      <c r="U385" s="43">
        <f>IF(OR($B385="",$L385=""),"",WORKDAY($B385,IFERROR(INDEX(LISTAS!$C$3:$C$42,MATCH($L385,LISTAS!$A$3:$A$42,0)),3)))</f>
        <v/>
      </c>
      <c r="V385" s="40" t="n"/>
      <c r="W385" s="19">
        <f>IF($B385="","",IF($V385&lt;&gt;"",$V385-$B385,TODAY()-$B385))</f>
        <v/>
      </c>
      <c r="X385" s="19">
        <f>IF(OR($B385="",$U385=""),"",IF($V385&lt;&gt;"",MAX(0,$V385-$U385),MAX(0,TODAY()-$U385)))</f>
        <v/>
      </c>
      <c r="Y385" s="39">
        <f>IF($C385="","",IF(IFERROR(INDEX(LISTAS!$I$3:$I$42,MATCH($T385,LISTAS!$H$3:$H$42,0)),"NO")="SÍ",IF(N($X385)&gt;0,"CERRADA FUERA DE SLA","CERRADA EN SLA"),IF($U385="","SIN CLASIFICAR",IF(N($X385)&gt;0,"VENCIDA",IF(TODAY()&gt;=$U385-1,"POR VENCER","EN PLAZO")))))</f>
        <v/>
      </c>
      <c r="Z385" s="41" t="n"/>
      <c r="AA385" s="41" t="n"/>
      <c r="AB385" s="41" t="n"/>
    </row>
    <row r="386">
      <c r="A386" s="39">
        <f>IF($C386="","","NOV-"&amp;TEXT(ROW()-3,"0000"))</f>
        <v/>
      </c>
      <c r="B386" s="40" t="n"/>
      <c r="C386" s="41" t="n"/>
      <c r="D386" s="42">
        <f>IF($C386="","",IFERROR(INDEX(DESPACHOS!$D$3:$D$3002,MATCH($C386,DESPACHOS!$B$3:$B$3002,0)),"SIN DESPACHO"))</f>
        <v/>
      </c>
      <c r="E386" s="42">
        <f>IF($C386="","",IFERROR(INDEX(DESPACHOS!$K$3:$K$3002,MATCH($C386,DESPACHOS!$B$3:$B$3002,0)),""))</f>
        <v/>
      </c>
      <c r="F386" s="42">
        <f>IF($C386="","",IFERROR(INDEX(DESPACHOS!$I$3:$I$3002,MATCH($C386,DESPACHOS!$B$3:$B$3002,0)),""))</f>
        <v/>
      </c>
      <c r="G386" s="42">
        <f>IF($C386="","",IFERROR(INDEX(DESPACHOS!$F$3:$F$3002,MATCH($C386,DESPACHOS!$B$3:$B$3002,0)),""))</f>
        <v/>
      </c>
      <c r="H386" s="42">
        <f>IF($C386="","",IFERROR(INDEX(DESPACHOS!$G$3:$G$3002,MATCH($C386,DESPACHOS!$B$3:$B$3002,0)),""))</f>
        <v/>
      </c>
      <c r="I386" s="39">
        <f>IF($C386="","",IFERROR(INDEX(DESPACHOS!$H$3:$H$3002,MATCH($C386,DESPACHOS!$B$3:$B$3002,0)),""))</f>
        <v/>
      </c>
      <c r="J386" s="43">
        <f>IF($C386="","",IFERROR(INDEX(DESPACHOS!$J$3:$J$3002,MATCH($C386,DESPACHOS!$B$3:$B$3002,0)),""))</f>
        <v/>
      </c>
      <c r="K386" s="39">
        <f>IF($C386="","",IF(COUNTIFS(DESPACHOS!$B$3:$B$3002,$C386)=0,"NO EXISTE",IF(COUNTIFS(DESPACHOS!$B$3:$B$3002,$C386)&gt;1,"DUPLICADO","OK")))</f>
        <v/>
      </c>
      <c r="L386" s="41" t="n"/>
      <c r="M386" s="41" t="n"/>
      <c r="N386" s="42">
        <f>IF($M386="","",IFERROR(INDEX(LISTAS!$F$3:$F$42,MATCH($M386,LISTAS!$E$3:$E$42,0)),"Por definir"))</f>
        <v/>
      </c>
      <c r="O386" s="41" t="n"/>
      <c r="P386" s="39">
        <f>IF($L386="","",IFERROR(INDEX(LISTAS!$B$3:$B$42,MATCH($L386,LISTAS!$A$3:$A$42,0)),"Media"))</f>
        <v/>
      </c>
      <c r="Q386" s="44" t="n"/>
      <c r="R386" s="45" t="n"/>
      <c r="S386" s="20">
        <f>IFERROR(IF(OR($R386="",$C386=""),"",$R386/INDEX(DESPACHOS!$M$3:$M$3002,MATCH($C386,DESPACHOS!$B$3:$B$3002,0))),"")</f>
        <v/>
      </c>
      <c r="T386" s="41" t="n"/>
      <c r="U386" s="43">
        <f>IF(OR($B386="",$L386=""),"",WORKDAY($B386,IFERROR(INDEX(LISTAS!$C$3:$C$42,MATCH($L386,LISTAS!$A$3:$A$42,0)),3)))</f>
        <v/>
      </c>
      <c r="V386" s="40" t="n"/>
      <c r="W386" s="19">
        <f>IF($B386="","",IF($V386&lt;&gt;"",$V386-$B386,TODAY()-$B386))</f>
        <v/>
      </c>
      <c r="X386" s="19">
        <f>IF(OR($B386="",$U386=""),"",IF($V386&lt;&gt;"",MAX(0,$V386-$U386),MAX(0,TODAY()-$U386)))</f>
        <v/>
      </c>
      <c r="Y386" s="39">
        <f>IF($C386="","",IF(IFERROR(INDEX(LISTAS!$I$3:$I$42,MATCH($T386,LISTAS!$H$3:$H$42,0)),"NO")="SÍ",IF(N($X386)&gt;0,"CERRADA FUERA DE SLA","CERRADA EN SLA"),IF($U386="","SIN CLASIFICAR",IF(N($X386)&gt;0,"VENCIDA",IF(TODAY()&gt;=$U386-1,"POR VENCER","EN PLAZO")))))</f>
        <v/>
      </c>
      <c r="Z386" s="41" t="n"/>
      <c r="AA386" s="41" t="n"/>
      <c r="AB386" s="41" t="n"/>
    </row>
    <row r="387">
      <c r="A387" s="39">
        <f>IF($C387="","","NOV-"&amp;TEXT(ROW()-3,"0000"))</f>
        <v/>
      </c>
      <c r="B387" s="40" t="n"/>
      <c r="C387" s="41" t="n"/>
      <c r="D387" s="42">
        <f>IF($C387="","",IFERROR(INDEX(DESPACHOS!$D$3:$D$3002,MATCH($C387,DESPACHOS!$B$3:$B$3002,0)),"SIN DESPACHO"))</f>
        <v/>
      </c>
      <c r="E387" s="42">
        <f>IF($C387="","",IFERROR(INDEX(DESPACHOS!$K$3:$K$3002,MATCH($C387,DESPACHOS!$B$3:$B$3002,0)),""))</f>
        <v/>
      </c>
      <c r="F387" s="42">
        <f>IF($C387="","",IFERROR(INDEX(DESPACHOS!$I$3:$I$3002,MATCH($C387,DESPACHOS!$B$3:$B$3002,0)),""))</f>
        <v/>
      </c>
      <c r="G387" s="42">
        <f>IF($C387="","",IFERROR(INDEX(DESPACHOS!$F$3:$F$3002,MATCH($C387,DESPACHOS!$B$3:$B$3002,0)),""))</f>
        <v/>
      </c>
      <c r="H387" s="42">
        <f>IF($C387="","",IFERROR(INDEX(DESPACHOS!$G$3:$G$3002,MATCH($C387,DESPACHOS!$B$3:$B$3002,0)),""))</f>
        <v/>
      </c>
      <c r="I387" s="39">
        <f>IF($C387="","",IFERROR(INDEX(DESPACHOS!$H$3:$H$3002,MATCH($C387,DESPACHOS!$B$3:$B$3002,0)),""))</f>
        <v/>
      </c>
      <c r="J387" s="43">
        <f>IF($C387="","",IFERROR(INDEX(DESPACHOS!$J$3:$J$3002,MATCH($C387,DESPACHOS!$B$3:$B$3002,0)),""))</f>
        <v/>
      </c>
      <c r="K387" s="39">
        <f>IF($C387="","",IF(COUNTIFS(DESPACHOS!$B$3:$B$3002,$C387)=0,"NO EXISTE",IF(COUNTIFS(DESPACHOS!$B$3:$B$3002,$C387)&gt;1,"DUPLICADO","OK")))</f>
        <v/>
      </c>
      <c r="L387" s="41" t="n"/>
      <c r="M387" s="41" t="n"/>
      <c r="N387" s="42">
        <f>IF($M387="","",IFERROR(INDEX(LISTAS!$F$3:$F$42,MATCH($M387,LISTAS!$E$3:$E$42,0)),"Por definir"))</f>
        <v/>
      </c>
      <c r="O387" s="41" t="n"/>
      <c r="P387" s="39">
        <f>IF($L387="","",IFERROR(INDEX(LISTAS!$B$3:$B$42,MATCH($L387,LISTAS!$A$3:$A$42,0)),"Media"))</f>
        <v/>
      </c>
      <c r="Q387" s="44" t="n"/>
      <c r="R387" s="45" t="n"/>
      <c r="S387" s="20">
        <f>IFERROR(IF(OR($R387="",$C387=""),"",$R387/INDEX(DESPACHOS!$M$3:$M$3002,MATCH($C387,DESPACHOS!$B$3:$B$3002,0))),"")</f>
        <v/>
      </c>
      <c r="T387" s="41" t="n"/>
      <c r="U387" s="43">
        <f>IF(OR($B387="",$L387=""),"",WORKDAY($B387,IFERROR(INDEX(LISTAS!$C$3:$C$42,MATCH($L387,LISTAS!$A$3:$A$42,0)),3)))</f>
        <v/>
      </c>
      <c r="V387" s="40" t="n"/>
      <c r="W387" s="19">
        <f>IF($B387="","",IF($V387&lt;&gt;"",$V387-$B387,TODAY()-$B387))</f>
        <v/>
      </c>
      <c r="X387" s="19">
        <f>IF(OR($B387="",$U387=""),"",IF($V387&lt;&gt;"",MAX(0,$V387-$U387),MAX(0,TODAY()-$U387)))</f>
        <v/>
      </c>
      <c r="Y387" s="39">
        <f>IF($C387="","",IF(IFERROR(INDEX(LISTAS!$I$3:$I$42,MATCH($T387,LISTAS!$H$3:$H$42,0)),"NO")="SÍ",IF(N($X387)&gt;0,"CERRADA FUERA DE SLA","CERRADA EN SLA"),IF($U387="","SIN CLASIFICAR",IF(N($X387)&gt;0,"VENCIDA",IF(TODAY()&gt;=$U387-1,"POR VENCER","EN PLAZO")))))</f>
        <v/>
      </c>
      <c r="Z387" s="41" t="n"/>
      <c r="AA387" s="41" t="n"/>
      <c r="AB387" s="41" t="n"/>
    </row>
    <row r="388">
      <c r="A388" s="39">
        <f>IF($C388="","","NOV-"&amp;TEXT(ROW()-3,"0000"))</f>
        <v/>
      </c>
      <c r="B388" s="40" t="n"/>
      <c r="C388" s="41" t="n"/>
      <c r="D388" s="42">
        <f>IF($C388="","",IFERROR(INDEX(DESPACHOS!$D$3:$D$3002,MATCH($C388,DESPACHOS!$B$3:$B$3002,0)),"SIN DESPACHO"))</f>
        <v/>
      </c>
      <c r="E388" s="42">
        <f>IF($C388="","",IFERROR(INDEX(DESPACHOS!$K$3:$K$3002,MATCH($C388,DESPACHOS!$B$3:$B$3002,0)),""))</f>
        <v/>
      </c>
      <c r="F388" s="42">
        <f>IF($C388="","",IFERROR(INDEX(DESPACHOS!$I$3:$I$3002,MATCH($C388,DESPACHOS!$B$3:$B$3002,0)),""))</f>
        <v/>
      </c>
      <c r="G388" s="42">
        <f>IF($C388="","",IFERROR(INDEX(DESPACHOS!$F$3:$F$3002,MATCH($C388,DESPACHOS!$B$3:$B$3002,0)),""))</f>
        <v/>
      </c>
      <c r="H388" s="42">
        <f>IF($C388="","",IFERROR(INDEX(DESPACHOS!$G$3:$G$3002,MATCH($C388,DESPACHOS!$B$3:$B$3002,0)),""))</f>
        <v/>
      </c>
      <c r="I388" s="39">
        <f>IF($C388="","",IFERROR(INDEX(DESPACHOS!$H$3:$H$3002,MATCH($C388,DESPACHOS!$B$3:$B$3002,0)),""))</f>
        <v/>
      </c>
      <c r="J388" s="43">
        <f>IF($C388="","",IFERROR(INDEX(DESPACHOS!$J$3:$J$3002,MATCH($C388,DESPACHOS!$B$3:$B$3002,0)),""))</f>
        <v/>
      </c>
      <c r="K388" s="39">
        <f>IF($C388="","",IF(COUNTIFS(DESPACHOS!$B$3:$B$3002,$C388)=0,"NO EXISTE",IF(COUNTIFS(DESPACHOS!$B$3:$B$3002,$C388)&gt;1,"DUPLICADO","OK")))</f>
        <v/>
      </c>
      <c r="L388" s="41" t="n"/>
      <c r="M388" s="41" t="n"/>
      <c r="N388" s="42">
        <f>IF($M388="","",IFERROR(INDEX(LISTAS!$F$3:$F$42,MATCH($M388,LISTAS!$E$3:$E$42,0)),"Por definir"))</f>
        <v/>
      </c>
      <c r="O388" s="41" t="n"/>
      <c r="P388" s="39">
        <f>IF($L388="","",IFERROR(INDEX(LISTAS!$B$3:$B$42,MATCH($L388,LISTAS!$A$3:$A$42,0)),"Media"))</f>
        <v/>
      </c>
      <c r="Q388" s="44" t="n"/>
      <c r="R388" s="45" t="n"/>
      <c r="S388" s="20">
        <f>IFERROR(IF(OR($R388="",$C388=""),"",$R388/INDEX(DESPACHOS!$M$3:$M$3002,MATCH($C388,DESPACHOS!$B$3:$B$3002,0))),"")</f>
        <v/>
      </c>
      <c r="T388" s="41" t="n"/>
      <c r="U388" s="43">
        <f>IF(OR($B388="",$L388=""),"",WORKDAY($B388,IFERROR(INDEX(LISTAS!$C$3:$C$42,MATCH($L388,LISTAS!$A$3:$A$42,0)),3)))</f>
        <v/>
      </c>
      <c r="V388" s="40" t="n"/>
      <c r="W388" s="19">
        <f>IF($B388="","",IF($V388&lt;&gt;"",$V388-$B388,TODAY()-$B388))</f>
        <v/>
      </c>
      <c r="X388" s="19">
        <f>IF(OR($B388="",$U388=""),"",IF($V388&lt;&gt;"",MAX(0,$V388-$U388),MAX(0,TODAY()-$U388)))</f>
        <v/>
      </c>
      <c r="Y388" s="39">
        <f>IF($C388="","",IF(IFERROR(INDEX(LISTAS!$I$3:$I$42,MATCH($T388,LISTAS!$H$3:$H$42,0)),"NO")="SÍ",IF(N($X388)&gt;0,"CERRADA FUERA DE SLA","CERRADA EN SLA"),IF($U388="","SIN CLASIFICAR",IF(N($X388)&gt;0,"VENCIDA",IF(TODAY()&gt;=$U388-1,"POR VENCER","EN PLAZO")))))</f>
        <v/>
      </c>
      <c r="Z388" s="41" t="n"/>
      <c r="AA388" s="41" t="n"/>
      <c r="AB388" s="41" t="n"/>
    </row>
    <row r="389">
      <c r="A389" s="39">
        <f>IF($C389="","","NOV-"&amp;TEXT(ROW()-3,"0000"))</f>
        <v/>
      </c>
      <c r="B389" s="40" t="n"/>
      <c r="C389" s="41" t="n"/>
      <c r="D389" s="42">
        <f>IF($C389="","",IFERROR(INDEX(DESPACHOS!$D$3:$D$3002,MATCH($C389,DESPACHOS!$B$3:$B$3002,0)),"SIN DESPACHO"))</f>
        <v/>
      </c>
      <c r="E389" s="42">
        <f>IF($C389="","",IFERROR(INDEX(DESPACHOS!$K$3:$K$3002,MATCH($C389,DESPACHOS!$B$3:$B$3002,0)),""))</f>
        <v/>
      </c>
      <c r="F389" s="42">
        <f>IF($C389="","",IFERROR(INDEX(DESPACHOS!$I$3:$I$3002,MATCH($C389,DESPACHOS!$B$3:$B$3002,0)),""))</f>
        <v/>
      </c>
      <c r="G389" s="42">
        <f>IF($C389="","",IFERROR(INDEX(DESPACHOS!$F$3:$F$3002,MATCH($C389,DESPACHOS!$B$3:$B$3002,0)),""))</f>
        <v/>
      </c>
      <c r="H389" s="42">
        <f>IF($C389="","",IFERROR(INDEX(DESPACHOS!$G$3:$G$3002,MATCH($C389,DESPACHOS!$B$3:$B$3002,0)),""))</f>
        <v/>
      </c>
      <c r="I389" s="39">
        <f>IF($C389="","",IFERROR(INDEX(DESPACHOS!$H$3:$H$3002,MATCH($C389,DESPACHOS!$B$3:$B$3002,0)),""))</f>
        <v/>
      </c>
      <c r="J389" s="43">
        <f>IF($C389="","",IFERROR(INDEX(DESPACHOS!$J$3:$J$3002,MATCH($C389,DESPACHOS!$B$3:$B$3002,0)),""))</f>
        <v/>
      </c>
      <c r="K389" s="39">
        <f>IF($C389="","",IF(COUNTIFS(DESPACHOS!$B$3:$B$3002,$C389)=0,"NO EXISTE",IF(COUNTIFS(DESPACHOS!$B$3:$B$3002,$C389)&gt;1,"DUPLICADO","OK")))</f>
        <v/>
      </c>
      <c r="L389" s="41" t="n"/>
      <c r="M389" s="41" t="n"/>
      <c r="N389" s="42">
        <f>IF($M389="","",IFERROR(INDEX(LISTAS!$F$3:$F$42,MATCH($M389,LISTAS!$E$3:$E$42,0)),"Por definir"))</f>
        <v/>
      </c>
      <c r="O389" s="41" t="n"/>
      <c r="P389" s="39">
        <f>IF($L389="","",IFERROR(INDEX(LISTAS!$B$3:$B$42,MATCH($L389,LISTAS!$A$3:$A$42,0)),"Media"))</f>
        <v/>
      </c>
      <c r="Q389" s="44" t="n"/>
      <c r="R389" s="45" t="n"/>
      <c r="S389" s="20">
        <f>IFERROR(IF(OR($R389="",$C389=""),"",$R389/INDEX(DESPACHOS!$M$3:$M$3002,MATCH($C389,DESPACHOS!$B$3:$B$3002,0))),"")</f>
        <v/>
      </c>
      <c r="T389" s="41" t="n"/>
      <c r="U389" s="43">
        <f>IF(OR($B389="",$L389=""),"",WORKDAY($B389,IFERROR(INDEX(LISTAS!$C$3:$C$42,MATCH($L389,LISTAS!$A$3:$A$42,0)),3)))</f>
        <v/>
      </c>
      <c r="V389" s="40" t="n"/>
      <c r="W389" s="19">
        <f>IF($B389="","",IF($V389&lt;&gt;"",$V389-$B389,TODAY()-$B389))</f>
        <v/>
      </c>
      <c r="X389" s="19">
        <f>IF(OR($B389="",$U389=""),"",IF($V389&lt;&gt;"",MAX(0,$V389-$U389),MAX(0,TODAY()-$U389)))</f>
        <v/>
      </c>
      <c r="Y389" s="39">
        <f>IF($C389="","",IF(IFERROR(INDEX(LISTAS!$I$3:$I$42,MATCH($T389,LISTAS!$H$3:$H$42,0)),"NO")="SÍ",IF(N($X389)&gt;0,"CERRADA FUERA DE SLA","CERRADA EN SLA"),IF($U389="","SIN CLASIFICAR",IF(N($X389)&gt;0,"VENCIDA",IF(TODAY()&gt;=$U389-1,"POR VENCER","EN PLAZO")))))</f>
        <v/>
      </c>
      <c r="Z389" s="41" t="n"/>
      <c r="AA389" s="41" t="n"/>
      <c r="AB389" s="41" t="n"/>
    </row>
    <row r="390">
      <c r="A390" s="39">
        <f>IF($C390="","","NOV-"&amp;TEXT(ROW()-3,"0000"))</f>
        <v/>
      </c>
      <c r="B390" s="40" t="n"/>
      <c r="C390" s="41" t="n"/>
      <c r="D390" s="42">
        <f>IF($C390="","",IFERROR(INDEX(DESPACHOS!$D$3:$D$3002,MATCH($C390,DESPACHOS!$B$3:$B$3002,0)),"SIN DESPACHO"))</f>
        <v/>
      </c>
      <c r="E390" s="42">
        <f>IF($C390="","",IFERROR(INDEX(DESPACHOS!$K$3:$K$3002,MATCH($C390,DESPACHOS!$B$3:$B$3002,0)),""))</f>
        <v/>
      </c>
      <c r="F390" s="42">
        <f>IF($C390="","",IFERROR(INDEX(DESPACHOS!$I$3:$I$3002,MATCH($C390,DESPACHOS!$B$3:$B$3002,0)),""))</f>
        <v/>
      </c>
      <c r="G390" s="42">
        <f>IF($C390="","",IFERROR(INDEX(DESPACHOS!$F$3:$F$3002,MATCH($C390,DESPACHOS!$B$3:$B$3002,0)),""))</f>
        <v/>
      </c>
      <c r="H390" s="42">
        <f>IF($C390="","",IFERROR(INDEX(DESPACHOS!$G$3:$G$3002,MATCH($C390,DESPACHOS!$B$3:$B$3002,0)),""))</f>
        <v/>
      </c>
      <c r="I390" s="39">
        <f>IF($C390="","",IFERROR(INDEX(DESPACHOS!$H$3:$H$3002,MATCH($C390,DESPACHOS!$B$3:$B$3002,0)),""))</f>
        <v/>
      </c>
      <c r="J390" s="43">
        <f>IF($C390="","",IFERROR(INDEX(DESPACHOS!$J$3:$J$3002,MATCH($C390,DESPACHOS!$B$3:$B$3002,0)),""))</f>
        <v/>
      </c>
      <c r="K390" s="39">
        <f>IF($C390="","",IF(COUNTIFS(DESPACHOS!$B$3:$B$3002,$C390)=0,"NO EXISTE",IF(COUNTIFS(DESPACHOS!$B$3:$B$3002,$C390)&gt;1,"DUPLICADO","OK")))</f>
        <v/>
      </c>
      <c r="L390" s="41" t="n"/>
      <c r="M390" s="41" t="n"/>
      <c r="N390" s="42">
        <f>IF($M390="","",IFERROR(INDEX(LISTAS!$F$3:$F$42,MATCH($M390,LISTAS!$E$3:$E$42,0)),"Por definir"))</f>
        <v/>
      </c>
      <c r="O390" s="41" t="n"/>
      <c r="P390" s="39">
        <f>IF($L390="","",IFERROR(INDEX(LISTAS!$B$3:$B$42,MATCH($L390,LISTAS!$A$3:$A$42,0)),"Media"))</f>
        <v/>
      </c>
      <c r="Q390" s="44" t="n"/>
      <c r="R390" s="45" t="n"/>
      <c r="S390" s="20">
        <f>IFERROR(IF(OR($R390="",$C390=""),"",$R390/INDEX(DESPACHOS!$M$3:$M$3002,MATCH($C390,DESPACHOS!$B$3:$B$3002,0))),"")</f>
        <v/>
      </c>
      <c r="T390" s="41" t="n"/>
      <c r="U390" s="43">
        <f>IF(OR($B390="",$L390=""),"",WORKDAY($B390,IFERROR(INDEX(LISTAS!$C$3:$C$42,MATCH($L390,LISTAS!$A$3:$A$42,0)),3)))</f>
        <v/>
      </c>
      <c r="V390" s="40" t="n"/>
      <c r="W390" s="19">
        <f>IF($B390="","",IF($V390&lt;&gt;"",$V390-$B390,TODAY()-$B390))</f>
        <v/>
      </c>
      <c r="X390" s="19">
        <f>IF(OR($B390="",$U390=""),"",IF($V390&lt;&gt;"",MAX(0,$V390-$U390),MAX(0,TODAY()-$U390)))</f>
        <v/>
      </c>
      <c r="Y390" s="39">
        <f>IF($C390="","",IF(IFERROR(INDEX(LISTAS!$I$3:$I$42,MATCH($T390,LISTAS!$H$3:$H$42,0)),"NO")="SÍ",IF(N($X390)&gt;0,"CERRADA FUERA DE SLA","CERRADA EN SLA"),IF($U390="","SIN CLASIFICAR",IF(N($X390)&gt;0,"VENCIDA",IF(TODAY()&gt;=$U390-1,"POR VENCER","EN PLAZO")))))</f>
        <v/>
      </c>
      <c r="Z390" s="41" t="n"/>
      <c r="AA390" s="41" t="n"/>
      <c r="AB390" s="41" t="n"/>
    </row>
    <row r="391">
      <c r="A391" s="39">
        <f>IF($C391="","","NOV-"&amp;TEXT(ROW()-3,"0000"))</f>
        <v/>
      </c>
      <c r="B391" s="40" t="n"/>
      <c r="C391" s="41" t="n"/>
      <c r="D391" s="42">
        <f>IF($C391="","",IFERROR(INDEX(DESPACHOS!$D$3:$D$3002,MATCH($C391,DESPACHOS!$B$3:$B$3002,0)),"SIN DESPACHO"))</f>
        <v/>
      </c>
      <c r="E391" s="42">
        <f>IF($C391="","",IFERROR(INDEX(DESPACHOS!$K$3:$K$3002,MATCH($C391,DESPACHOS!$B$3:$B$3002,0)),""))</f>
        <v/>
      </c>
      <c r="F391" s="42">
        <f>IF($C391="","",IFERROR(INDEX(DESPACHOS!$I$3:$I$3002,MATCH($C391,DESPACHOS!$B$3:$B$3002,0)),""))</f>
        <v/>
      </c>
      <c r="G391" s="42">
        <f>IF($C391="","",IFERROR(INDEX(DESPACHOS!$F$3:$F$3002,MATCH($C391,DESPACHOS!$B$3:$B$3002,0)),""))</f>
        <v/>
      </c>
      <c r="H391" s="42">
        <f>IF($C391="","",IFERROR(INDEX(DESPACHOS!$G$3:$G$3002,MATCH($C391,DESPACHOS!$B$3:$B$3002,0)),""))</f>
        <v/>
      </c>
      <c r="I391" s="39">
        <f>IF($C391="","",IFERROR(INDEX(DESPACHOS!$H$3:$H$3002,MATCH($C391,DESPACHOS!$B$3:$B$3002,0)),""))</f>
        <v/>
      </c>
      <c r="J391" s="43">
        <f>IF($C391="","",IFERROR(INDEX(DESPACHOS!$J$3:$J$3002,MATCH($C391,DESPACHOS!$B$3:$B$3002,0)),""))</f>
        <v/>
      </c>
      <c r="K391" s="39">
        <f>IF($C391="","",IF(COUNTIFS(DESPACHOS!$B$3:$B$3002,$C391)=0,"NO EXISTE",IF(COUNTIFS(DESPACHOS!$B$3:$B$3002,$C391)&gt;1,"DUPLICADO","OK")))</f>
        <v/>
      </c>
      <c r="L391" s="41" t="n"/>
      <c r="M391" s="41" t="n"/>
      <c r="N391" s="42">
        <f>IF($M391="","",IFERROR(INDEX(LISTAS!$F$3:$F$42,MATCH($M391,LISTAS!$E$3:$E$42,0)),"Por definir"))</f>
        <v/>
      </c>
      <c r="O391" s="41" t="n"/>
      <c r="P391" s="39">
        <f>IF($L391="","",IFERROR(INDEX(LISTAS!$B$3:$B$42,MATCH($L391,LISTAS!$A$3:$A$42,0)),"Media"))</f>
        <v/>
      </c>
      <c r="Q391" s="44" t="n"/>
      <c r="R391" s="45" t="n"/>
      <c r="S391" s="20">
        <f>IFERROR(IF(OR($R391="",$C391=""),"",$R391/INDEX(DESPACHOS!$M$3:$M$3002,MATCH($C391,DESPACHOS!$B$3:$B$3002,0))),"")</f>
        <v/>
      </c>
      <c r="T391" s="41" t="n"/>
      <c r="U391" s="43">
        <f>IF(OR($B391="",$L391=""),"",WORKDAY($B391,IFERROR(INDEX(LISTAS!$C$3:$C$42,MATCH($L391,LISTAS!$A$3:$A$42,0)),3)))</f>
        <v/>
      </c>
      <c r="V391" s="40" t="n"/>
      <c r="W391" s="19">
        <f>IF($B391="","",IF($V391&lt;&gt;"",$V391-$B391,TODAY()-$B391))</f>
        <v/>
      </c>
      <c r="X391" s="19">
        <f>IF(OR($B391="",$U391=""),"",IF($V391&lt;&gt;"",MAX(0,$V391-$U391),MAX(0,TODAY()-$U391)))</f>
        <v/>
      </c>
      <c r="Y391" s="39">
        <f>IF($C391="","",IF(IFERROR(INDEX(LISTAS!$I$3:$I$42,MATCH($T391,LISTAS!$H$3:$H$42,0)),"NO")="SÍ",IF(N($X391)&gt;0,"CERRADA FUERA DE SLA","CERRADA EN SLA"),IF($U391="","SIN CLASIFICAR",IF(N($X391)&gt;0,"VENCIDA",IF(TODAY()&gt;=$U391-1,"POR VENCER","EN PLAZO")))))</f>
        <v/>
      </c>
      <c r="Z391" s="41" t="n"/>
      <c r="AA391" s="41" t="n"/>
      <c r="AB391" s="41" t="n"/>
    </row>
    <row r="392">
      <c r="A392" s="39">
        <f>IF($C392="","","NOV-"&amp;TEXT(ROW()-3,"0000"))</f>
        <v/>
      </c>
      <c r="B392" s="40" t="n"/>
      <c r="C392" s="41" t="n"/>
      <c r="D392" s="42">
        <f>IF($C392="","",IFERROR(INDEX(DESPACHOS!$D$3:$D$3002,MATCH($C392,DESPACHOS!$B$3:$B$3002,0)),"SIN DESPACHO"))</f>
        <v/>
      </c>
      <c r="E392" s="42">
        <f>IF($C392="","",IFERROR(INDEX(DESPACHOS!$K$3:$K$3002,MATCH($C392,DESPACHOS!$B$3:$B$3002,0)),""))</f>
        <v/>
      </c>
      <c r="F392" s="42">
        <f>IF($C392="","",IFERROR(INDEX(DESPACHOS!$I$3:$I$3002,MATCH($C392,DESPACHOS!$B$3:$B$3002,0)),""))</f>
        <v/>
      </c>
      <c r="G392" s="42">
        <f>IF($C392="","",IFERROR(INDEX(DESPACHOS!$F$3:$F$3002,MATCH($C392,DESPACHOS!$B$3:$B$3002,0)),""))</f>
        <v/>
      </c>
      <c r="H392" s="42">
        <f>IF($C392="","",IFERROR(INDEX(DESPACHOS!$G$3:$G$3002,MATCH($C392,DESPACHOS!$B$3:$B$3002,0)),""))</f>
        <v/>
      </c>
      <c r="I392" s="39">
        <f>IF($C392="","",IFERROR(INDEX(DESPACHOS!$H$3:$H$3002,MATCH($C392,DESPACHOS!$B$3:$B$3002,0)),""))</f>
        <v/>
      </c>
      <c r="J392" s="43">
        <f>IF($C392="","",IFERROR(INDEX(DESPACHOS!$J$3:$J$3002,MATCH($C392,DESPACHOS!$B$3:$B$3002,0)),""))</f>
        <v/>
      </c>
      <c r="K392" s="39">
        <f>IF($C392="","",IF(COUNTIFS(DESPACHOS!$B$3:$B$3002,$C392)=0,"NO EXISTE",IF(COUNTIFS(DESPACHOS!$B$3:$B$3002,$C392)&gt;1,"DUPLICADO","OK")))</f>
        <v/>
      </c>
      <c r="L392" s="41" t="n"/>
      <c r="M392" s="41" t="n"/>
      <c r="N392" s="42">
        <f>IF($M392="","",IFERROR(INDEX(LISTAS!$F$3:$F$42,MATCH($M392,LISTAS!$E$3:$E$42,0)),"Por definir"))</f>
        <v/>
      </c>
      <c r="O392" s="41" t="n"/>
      <c r="P392" s="39">
        <f>IF($L392="","",IFERROR(INDEX(LISTAS!$B$3:$B$42,MATCH($L392,LISTAS!$A$3:$A$42,0)),"Media"))</f>
        <v/>
      </c>
      <c r="Q392" s="44" t="n"/>
      <c r="R392" s="45" t="n"/>
      <c r="S392" s="20">
        <f>IFERROR(IF(OR($R392="",$C392=""),"",$R392/INDEX(DESPACHOS!$M$3:$M$3002,MATCH($C392,DESPACHOS!$B$3:$B$3002,0))),"")</f>
        <v/>
      </c>
      <c r="T392" s="41" t="n"/>
      <c r="U392" s="43">
        <f>IF(OR($B392="",$L392=""),"",WORKDAY($B392,IFERROR(INDEX(LISTAS!$C$3:$C$42,MATCH($L392,LISTAS!$A$3:$A$42,0)),3)))</f>
        <v/>
      </c>
      <c r="V392" s="40" t="n"/>
      <c r="W392" s="19">
        <f>IF($B392="","",IF($V392&lt;&gt;"",$V392-$B392,TODAY()-$B392))</f>
        <v/>
      </c>
      <c r="X392" s="19">
        <f>IF(OR($B392="",$U392=""),"",IF($V392&lt;&gt;"",MAX(0,$V392-$U392),MAX(0,TODAY()-$U392)))</f>
        <v/>
      </c>
      <c r="Y392" s="39">
        <f>IF($C392="","",IF(IFERROR(INDEX(LISTAS!$I$3:$I$42,MATCH($T392,LISTAS!$H$3:$H$42,0)),"NO")="SÍ",IF(N($X392)&gt;0,"CERRADA FUERA DE SLA","CERRADA EN SLA"),IF($U392="","SIN CLASIFICAR",IF(N($X392)&gt;0,"VENCIDA",IF(TODAY()&gt;=$U392-1,"POR VENCER","EN PLAZO")))))</f>
        <v/>
      </c>
      <c r="Z392" s="41" t="n"/>
      <c r="AA392" s="41" t="n"/>
      <c r="AB392" s="41" t="n"/>
    </row>
    <row r="393">
      <c r="A393" s="39">
        <f>IF($C393="","","NOV-"&amp;TEXT(ROW()-3,"0000"))</f>
        <v/>
      </c>
      <c r="B393" s="40" t="n"/>
      <c r="C393" s="41" t="n"/>
      <c r="D393" s="42">
        <f>IF($C393="","",IFERROR(INDEX(DESPACHOS!$D$3:$D$3002,MATCH($C393,DESPACHOS!$B$3:$B$3002,0)),"SIN DESPACHO"))</f>
        <v/>
      </c>
      <c r="E393" s="42">
        <f>IF($C393="","",IFERROR(INDEX(DESPACHOS!$K$3:$K$3002,MATCH($C393,DESPACHOS!$B$3:$B$3002,0)),""))</f>
        <v/>
      </c>
      <c r="F393" s="42">
        <f>IF($C393="","",IFERROR(INDEX(DESPACHOS!$I$3:$I$3002,MATCH($C393,DESPACHOS!$B$3:$B$3002,0)),""))</f>
        <v/>
      </c>
      <c r="G393" s="42">
        <f>IF($C393="","",IFERROR(INDEX(DESPACHOS!$F$3:$F$3002,MATCH($C393,DESPACHOS!$B$3:$B$3002,0)),""))</f>
        <v/>
      </c>
      <c r="H393" s="42">
        <f>IF($C393="","",IFERROR(INDEX(DESPACHOS!$G$3:$G$3002,MATCH($C393,DESPACHOS!$B$3:$B$3002,0)),""))</f>
        <v/>
      </c>
      <c r="I393" s="39">
        <f>IF($C393="","",IFERROR(INDEX(DESPACHOS!$H$3:$H$3002,MATCH($C393,DESPACHOS!$B$3:$B$3002,0)),""))</f>
        <v/>
      </c>
      <c r="J393" s="43">
        <f>IF($C393="","",IFERROR(INDEX(DESPACHOS!$J$3:$J$3002,MATCH($C393,DESPACHOS!$B$3:$B$3002,0)),""))</f>
        <v/>
      </c>
      <c r="K393" s="39">
        <f>IF($C393="","",IF(COUNTIFS(DESPACHOS!$B$3:$B$3002,$C393)=0,"NO EXISTE",IF(COUNTIFS(DESPACHOS!$B$3:$B$3002,$C393)&gt;1,"DUPLICADO","OK")))</f>
        <v/>
      </c>
      <c r="L393" s="41" t="n"/>
      <c r="M393" s="41" t="n"/>
      <c r="N393" s="42">
        <f>IF($M393="","",IFERROR(INDEX(LISTAS!$F$3:$F$42,MATCH($M393,LISTAS!$E$3:$E$42,0)),"Por definir"))</f>
        <v/>
      </c>
      <c r="O393" s="41" t="n"/>
      <c r="P393" s="39">
        <f>IF($L393="","",IFERROR(INDEX(LISTAS!$B$3:$B$42,MATCH($L393,LISTAS!$A$3:$A$42,0)),"Media"))</f>
        <v/>
      </c>
      <c r="Q393" s="44" t="n"/>
      <c r="R393" s="45" t="n"/>
      <c r="S393" s="20">
        <f>IFERROR(IF(OR($R393="",$C393=""),"",$R393/INDEX(DESPACHOS!$M$3:$M$3002,MATCH($C393,DESPACHOS!$B$3:$B$3002,0))),"")</f>
        <v/>
      </c>
      <c r="T393" s="41" t="n"/>
      <c r="U393" s="43">
        <f>IF(OR($B393="",$L393=""),"",WORKDAY($B393,IFERROR(INDEX(LISTAS!$C$3:$C$42,MATCH($L393,LISTAS!$A$3:$A$42,0)),3)))</f>
        <v/>
      </c>
      <c r="V393" s="40" t="n"/>
      <c r="W393" s="19">
        <f>IF($B393="","",IF($V393&lt;&gt;"",$V393-$B393,TODAY()-$B393))</f>
        <v/>
      </c>
      <c r="X393" s="19">
        <f>IF(OR($B393="",$U393=""),"",IF($V393&lt;&gt;"",MAX(0,$V393-$U393),MAX(0,TODAY()-$U393)))</f>
        <v/>
      </c>
      <c r="Y393" s="39">
        <f>IF($C393="","",IF(IFERROR(INDEX(LISTAS!$I$3:$I$42,MATCH($T393,LISTAS!$H$3:$H$42,0)),"NO")="SÍ",IF(N($X393)&gt;0,"CERRADA FUERA DE SLA","CERRADA EN SLA"),IF($U393="","SIN CLASIFICAR",IF(N($X393)&gt;0,"VENCIDA",IF(TODAY()&gt;=$U393-1,"POR VENCER","EN PLAZO")))))</f>
        <v/>
      </c>
      <c r="Z393" s="41" t="n"/>
      <c r="AA393" s="41" t="n"/>
      <c r="AB393" s="41" t="n"/>
    </row>
    <row r="394">
      <c r="A394" s="39">
        <f>IF($C394="","","NOV-"&amp;TEXT(ROW()-3,"0000"))</f>
        <v/>
      </c>
      <c r="B394" s="40" t="n"/>
      <c r="C394" s="41" t="n"/>
      <c r="D394" s="42">
        <f>IF($C394="","",IFERROR(INDEX(DESPACHOS!$D$3:$D$3002,MATCH($C394,DESPACHOS!$B$3:$B$3002,0)),"SIN DESPACHO"))</f>
        <v/>
      </c>
      <c r="E394" s="42">
        <f>IF($C394="","",IFERROR(INDEX(DESPACHOS!$K$3:$K$3002,MATCH($C394,DESPACHOS!$B$3:$B$3002,0)),""))</f>
        <v/>
      </c>
      <c r="F394" s="42">
        <f>IF($C394="","",IFERROR(INDEX(DESPACHOS!$I$3:$I$3002,MATCH($C394,DESPACHOS!$B$3:$B$3002,0)),""))</f>
        <v/>
      </c>
      <c r="G394" s="42">
        <f>IF($C394="","",IFERROR(INDEX(DESPACHOS!$F$3:$F$3002,MATCH($C394,DESPACHOS!$B$3:$B$3002,0)),""))</f>
        <v/>
      </c>
      <c r="H394" s="42">
        <f>IF($C394="","",IFERROR(INDEX(DESPACHOS!$G$3:$G$3002,MATCH($C394,DESPACHOS!$B$3:$B$3002,0)),""))</f>
        <v/>
      </c>
      <c r="I394" s="39">
        <f>IF($C394="","",IFERROR(INDEX(DESPACHOS!$H$3:$H$3002,MATCH($C394,DESPACHOS!$B$3:$B$3002,0)),""))</f>
        <v/>
      </c>
      <c r="J394" s="43">
        <f>IF($C394="","",IFERROR(INDEX(DESPACHOS!$J$3:$J$3002,MATCH($C394,DESPACHOS!$B$3:$B$3002,0)),""))</f>
        <v/>
      </c>
      <c r="K394" s="39">
        <f>IF($C394="","",IF(COUNTIFS(DESPACHOS!$B$3:$B$3002,$C394)=0,"NO EXISTE",IF(COUNTIFS(DESPACHOS!$B$3:$B$3002,$C394)&gt;1,"DUPLICADO","OK")))</f>
        <v/>
      </c>
      <c r="L394" s="41" t="n"/>
      <c r="M394" s="41" t="n"/>
      <c r="N394" s="42">
        <f>IF($M394="","",IFERROR(INDEX(LISTAS!$F$3:$F$42,MATCH($M394,LISTAS!$E$3:$E$42,0)),"Por definir"))</f>
        <v/>
      </c>
      <c r="O394" s="41" t="n"/>
      <c r="P394" s="39">
        <f>IF($L394="","",IFERROR(INDEX(LISTAS!$B$3:$B$42,MATCH($L394,LISTAS!$A$3:$A$42,0)),"Media"))</f>
        <v/>
      </c>
      <c r="Q394" s="44" t="n"/>
      <c r="R394" s="45" t="n"/>
      <c r="S394" s="20">
        <f>IFERROR(IF(OR($R394="",$C394=""),"",$R394/INDEX(DESPACHOS!$M$3:$M$3002,MATCH($C394,DESPACHOS!$B$3:$B$3002,0))),"")</f>
        <v/>
      </c>
      <c r="T394" s="41" t="n"/>
      <c r="U394" s="43">
        <f>IF(OR($B394="",$L394=""),"",WORKDAY($B394,IFERROR(INDEX(LISTAS!$C$3:$C$42,MATCH($L394,LISTAS!$A$3:$A$42,0)),3)))</f>
        <v/>
      </c>
      <c r="V394" s="40" t="n"/>
      <c r="W394" s="19">
        <f>IF($B394="","",IF($V394&lt;&gt;"",$V394-$B394,TODAY()-$B394))</f>
        <v/>
      </c>
      <c r="X394" s="19">
        <f>IF(OR($B394="",$U394=""),"",IF($V394&lt;&gt;"",MAX(0,$V394-$U394),MAX(0,TODAY()-$U394)))</f>
        <v/>
      </c>
      <c r="Y394" s="39">
        <f>IF($C394="","",IF(IFERROR(INDEX(LISTAS!$I$3:$I$42,MATCH($T394,LISTAS!$H$3:$H$42,0)),"NO")="SÍ",IF(N($X394)&gt;0,"CERRADA FUERA DE SLA","CERRADA EN SLA"),IF($U394="","SIN CLASIFICAR",IF(N($X394)&gt;0,"VENCIDA",IF(TODAY()&gt;=$U394-1,"POR VENCER","EN PLAZO")))))</f>
        <v/>
      </c>
      <c r="Z394" s="41" t="n"/>
      <c r="AA394" s="41" t="n"/>
      <c r="AB394" s="41" t="n"/>
    </row>
    <row r="395">
      <c r="A395" s="39">
        <f>IF($C395="","","NOV-"&amp;TEXT(ROW()-3,"0000"))</f>
        <v/>
      </c>
      <c r="B395" s="40" t="n"/>
      <c r="C395" s="41" t="n"/>
      <c r="D395" s="42">
        <f>IF($C395="","",IFERROR(INDEX(DESPACHOS!$D$3:$D$3002,MATCH($C395,DESPACHOS!$B$3:$B$3002,0)),"SIN DESPACHO"))</f>
        <v/>
      </c>
      <c r="E395" s="42">
        <f>IF($C395="","",IFERROR(INDEX(DESPACHOS!$K$3:$K$3002,MATCH($C395,DESPACHOS!$B$3:$B$3002,0)),""))</f>
        <v/>
      </c>
      <c r="F395" s="42">
        <f>IF($C395="","",IFERROR(INDEX(DESPACHOS!$I$3:$I$3002,MATCH($C395,DESPACHOS!$B$3:$B$3002,0)),""))</f>
        <v/>
      </c>
      <c r="G395" s="42">
        <f>IF($C395="","",IFERROR(INDEX(DESPACHOS!$F$3:$F$3002,MATCH($C395,DESPACHOS!$B$3:$B$3002,0)),""))</f>
        <v/>
      </c>
      <c r="H395" s="42">
        <f>IF($C395="","",IFERROR(INDEX(DESPACHOS!$G$3:$G$3002,MATCH($C395,DESPACHOS!$B$3:$B$3002,0)),""))</f>
        <v/>
      </c>
      <c r="I395" s="39">
        <f>IF($C395="","",IFERROR(INDEX(DESPACHOS!$H$3:$H$3002,MATCH($C395,DESPACHOS!$B$3:$B$3002,0)),""))</f>
        <v/>
      </c>
      <c r="J395" s="43">
        <f>IF($C395="","",IFERROR(INDEX(DESPACHOS!$J$3:$J$3002,MATCH($C395,DESPACHOS!$B$3:$B$3002,0)),""))</f>
        <v/>
      </c>
      <c r="K395" s="39">
        <f>IF($C395="","",IF(COUNTIFS(DESPACHOS!$B$3:$B$3002,$C395)=0,"NO EXISTE",IF(COUNTIFS(DESPACHOS!$B$3:$B$3002,$C395)&gt;1,"DUPLICADO","OK")))</f>
        <v/>
      </c>
      <c r="L395" s="41" t="n"/>
      <c r="M395" s="41" t="n"/>
      <c r="N395" s="42">
        <f>IF($M395="","",IFERROR(INDEX(LISTAS!$F$3:$F$42,MATCH($M395,LISTAS!$E$3:$E$42,0)),"Por definir"))</f>
        <v/>
      </c>
      <c r="O395" s="41" t="n"/>
      <c r="P395" s="39">
        <f>IF($L395="","",IFERROR(INDEX(LISTAS!$B$3:$B$42,MATCH($L395,LISTAS!$A$3:$A$42,0)),"Media"))</f>
        <v/>
      </c>
      <c r="Q395" s="44" t="n"/>
      <c r="R395" s="45" t="n"/>
      <c r="S395" s="20">
        <f>IFERROR(IF(OR($R395="",$C395=""),"",$R395/INDEX(DESPACHOS!$M$3:$M$3002,MATCH($C395,DESPACHOS!$B$3:$B$3002,0))),"")</f>
        <v/>
      </c>
      <c r="T395" s="41" t="n"/>
      <c r="U395" s="43">
        <f>IF(OR($B395="",$L395=""),"",WORKDAY($B395,IFERROR(INDEX(LISTAS!$C$3:$C$42,MATCH($L395,LISTAS!$A$3:$A$42,0)),3)))</f>
        <v/>
      </c>
      <c r="V395" s="40" t="n"/>
      <c r="W395" s="19">
        <f>IF($B395="","",IF($V395&lt;&gt;"",$V395-$B395,TODAY()-$B395))</f>
        <v/>
      </c>
      <c r="X395" s="19">
        <f>IF(OR($B395="",$U395=""),"",IF($V395&lt;&gt;"",MAX(0,$V395-$U395),MAX(0,TODAY()-$U395)))</f>
        <v/>
      </c>
      <c r="Y395" s="39">
        <f>IF($C395="","",IF(IFERROR(INDEX(LISTAS!$I$3:$I$42,MATCH($T395,LISTAS!$H$3:$H$42,0)),"NO")="SÍ",IF(N($X395)&gt;0,"CERRADA FUERA DE SLA","CERRADA EN SLA"),IF($U395="","SIN CLASIFICAR",IF(N($X395)&gt;0,"VENCIDA",IF(TODAY()&gt;=$U395-1,"POR VENCER","EN PLAZO")))))</f>
        <v/>
      </c>
      <c r="Z395" s="41" t="n"/>
      <c r="AA395" s="41" t="n"/>
      <c r="AB395" s="41" t="n"/>
    </row>
    <row r="396">
      <c r="A396" s="39">
        <f>IF($C396="","","NOV-"&amp;TEXT(ROW()-3,"0000"))</f>
        <v/>
      </c>
      <c r="B396" s="40" t="n"/>
      <c r="C396" s="41" t="n"/>
      <c r="D396" s="42">
        <f>IF($C396="","",IFERROR(INDEX(DESPACHOS!$D$3:$D$3002,MATCH($C396,DESPACHOS!$B$3:$B$3002,0)),"SIN DESPACHO"))</f>
        <v/>
      </c>
      <c r="E396" s="42">
        <f>IF($C396="","",IFERROR(INDEX(DESPACHOS!$K$3:$K$3002,MATCH($C396,DESPACHOS!$B$3:$B$3002,0)),""))</f>
        <v/>
      </c>
      <c r="F396" s="42">
        <f>IF($C396="","",IFERROR(INDEX(DESPACHOS!$I$3:$I$3002,MATCH($C396,DESPACHOS!$B$3:$B$3002,0)),""))</f>
        <v/>
      </c>
      <c r="G396" s="42">
        <f>IF($C396="","",IFERROR(INDEX(DESPACHOS!$F$3:$F$3002,MATCH($C396,DESPACHOS!$B$3:$B$3002,0)),""))</f>
        <v/>
      </c>
      <c r="H396" s="42">
        <f>IF($C396="","",IFERROR(INDEX(DESPACHOS!$G$3:$G$3002,MATCH($C396,DESPACHOS!$B$3:$B$3002,0)),""))</f>
        <v/>
      </c>
      <c r="I396" s="39">
        <f>IF($C396="","",IFERROR(INDEX(DESPACHOS!$H$3:$H$3002,MATCH($C396,DESPACHOS!$B$3:$B$3002,0)),""))</f>
        <v/>
      </c>
      <c r="J396" s="43">
        <f>IF($C396="","",IFERROR(INDEX(DESPACHOS!$J$3:$J$3002,MATCH($C396,DESPACHOS!$B$3:$B$3002,0)),""))</f>
        <v/>
      </c>
      <c r="K396" s="39">
        <f>IF($C396="","",IF(COUNTIFS(DESPACHOS!$B$3:$B$3002,$C396)=0,"NO EXISTE",IF(COUNTIFS(DESPACHOS!$B$3:$B$3002,$C396)&gt;1,"DUPLICADO","OK")))</f>
        <v/>
      </c>
      <c r="L396" s="41" t="n"/>
      <c r="M396" s="41" t="n"/>
      <c r="N396" s="42">
        <f>IF($M396="","",IFERROR(INDEX(LISTAS!$F$3:$F$42,MATCH($M396,LISTAS!$E$3:$E$42,0)),"Por definir"))</f>
        <v/>
      </c>
      <c r="O396" s="41" t="n"/>
      <c r="P396" s="39">
        <f>IF($L396="","",IFERROR(INDEX(LISTAS!$B$3:$B$42,MATCH($L396,LISTAS!$A$3:$A$42,0)),"Media"))</f>
        <v/>
      </c>
      <c r="Q396" s="44" t="n"/>
      <c r="R396" s="45" t="n"/>
      <c r="S396" s="20">
        <f>IFERROR(IF(OR($R396="",$C396=""),"",$R396/INDEX(DESPACHOS!$M$3:$M$3002,MATCH($C396,DESPACHOS!$B$3:$B$3002,0))),"")</f>
        <v/>
      </c>
      <c r="T396" s="41" t="n"/>
      <c r="U396" s="43">
        <f>IF(OR($B396="",$L396=""),"",WORKDAY($B396,IFERROR(INDEX(LISTAS!$C$3:$C$42,MATCH($L396,LISTAS!$A$3:$A$42,0)),3)))</f>
        <v/>
      </c>
      <c r="V396" s="40" t="n"/>
      <c r="W396" s="19">
        <f>IF($B396="","",IF($V396&lt;&gt;"",$V396-$B396,TODAY()-$B396))</f>
        <v/>
      </c>
      <c r="X396" s="19">
        <f>IF(OR($B396="",$U396=""),"",IF($V396&lt;&gt;"",MAX(0,$V396-$U396),MAX(0,TODAY()-$U396)))</f>
        <v/>
      </c>
      <c r="Y396" s="39">
        <f>IF($C396="","",IF(IFERROR(INDEX(LISTAS!$I$3:$I$42,MATCH($T396,LISTAS!$H$3:$H$42,0)),"NO")="SÍ",IF(N($X396)&gt;0,"CERRADA FUERA DE SLA","CERRADA EN SLA"),IF($U396="","SIN CLASIFICAR",IF(N($X396)&gt;0,"VENCIDA",IF(TODAY()&gt;=$U396-1,"POR VENCER","EN PLAZO")))))</f>
        <v/>
      </c>
      <c r="Z396" s="41" t="n"/>
      <c r="AA396" s="41" t="n"/>
      <c r="AB396" s="41" t="n"/>
    </row>
    <row r="397">
      <c r="A397" s="39">
        <f>IF($C397="","","NOV-"&amp;TEXT(ROW()-3,"0000"))</f>
        <v/>
      </c>
      <c r="B397" s="40" t="n"/>
      <c r="C397" s="41" t="n"/>
      <c r="D397" s="42">
        <f>IF($C397="","",IFERROR(INDEX(DESPACHOS!$D$3:$D$3002,MATCH($C397,DESPACHOS!$B$3:$B$3002,0)),"SIN DESPACHO"))</f>
        <v/>
      </c>
      <c r="E397" s="42">
        <f>IF($C397="","",IFERROR(INDEX(DESPACHOS!$K$3:$K$3002,MATCH($C397,DESPACHOS!$B$3:$B$3002,0)),""))</f>
        <v/>
      </c>
      <c r="F397" s="42">
        <f>IF($C397="","",IFERROR(INDEX(DESPACHOS!$I$3:$I$3002,MATCH($C397,DESPACHOS!$B$3:$B$3002,0)),""))</f>
        <v/>
      </c>
      <c r="G397" s="42">
        <f>IF($C397="","",IFERROR(INDEX(DESPACHOS!$F$3:$F$3002,MATCH($C397,DESPACHOS!$B$3:$B$3002,0)),""))</f>
        <v/>
      </c>
      <c r="H397" s="42">
        <f>IF($C397="","",IFERROR(INDEX(DESPACHOS!$G$3:$G$3002,MATCH($C397,DESPACHOS!$B$3:$B$3002,0)),""))</f>
        <v/>
      </c>
      <c r="I397" s="39">
        <f>IF($C397="","",IFERROR(INDEX(DESPACHOS!$H$3:$H$3002,MATCH($C397,DESPACHOS!$B$3:$B$3002,0)),""))</f>
        <v/>
      </c>
      <c r="J397" s="43">
        <f>IF($C397="","",IFERROR(INDEX(DESPACHOS!$J$3:$J$3002,MATCH($C397,DESPACHOS!$B$3:$B$3002,0)),""))</f>
        <v/>
      </c>
      <c r="K397" s="39">
        <f>IF($C397="","",IF(COUNTIFS(DESPACHOS!$B$3:$B$3002,$C397)=0,"NO EXISTE",IF(COUNTIFS(DESPACHOS!$B$3:$B$3002,$C397)&gt;1,"DUPLICADO","OK")))</f>
        <v/>
      </c>
      <c r="L397" s="41" t="n"/>
      <c r="M397" s="41" t="n"/>
      <c r="N397" s="42">
        <f>IF($M397="","",IFERROR(INDEX(LISTAS!$F$3:$F$42,MATCH($M397,LISTAS!$E$3:$E$42,0)),"Por definir"))</f>
        <v/>
      </c>
      <c r="O397" s="41" t="n"/>
      <c r="P397" s="39">
        <f>IF($L397="","",IFERROR(INDEX(LISTAS!$B$3:$B$42,MATCH($L397,LISTAS!$A$3:$A$42,0)),"Media"))</f>
        <v/>
      </c>
      <c r="Q397" s="44" t="n"/>
      <c r="R397" s="45" t="n"/>
      <c r="S397" s="20">
        <f>IFERROR(IF(OR($R397="",$C397=""),"",$R397/INDEX(DESPACHOS!$M$3:$M$3002,MATCH($C397,DESPACHOS!$B$3:$B$3002,0))),"")</f>
        <v/>
      </c>
      <c r="T397" s="41" t="n"/>
      <c r="U397" s="43">
        <f>IF(OR($B397="",$L397=""),"",WORKDAY($B397,IFERROR(INDEX(LISTAS!$C$3:$C$42,MATCH($L397,LISTAS!$A$3:$A$42,0)),3)))</f>
        <v/>
      </c>
      <c r="V397" s="40" t="n"/>
      <c r="W397" s="19">
        <f>IF($B397="","",IF($V397&lt;&gt;"",$V397-$B397,TODAY()-$B397))</f>
        <v/>
      </c>
      <c r="X397" s="19">
        <f>IF(OR($B397="",$U397=""),"",IF($V397&lt;&gt;"",MAX(0,$V397-$U397),MAX(0,TODAY()-$U397)))</f>
        <v/>
      </c>
      <c r="Y397" s="39">
        <f>IF($C397="","",IF(IFERROR(INDEX(LISTAS!$I$3:$I$42,MATCH($T397,LISTAS!$H$3:$H$42,0)),"NO")="SÍ",IF(N($X397)&gt;0,"CERRADA FUERA DE SLA","CERRADA EN SLA"),IF($U397="","SIN CLASIFICAR",IF(N($X397)&gt;0,"VENCIDA",IF(TODAY()&gt;=$U397-1,"POR VENCER","EN PLAZO")))))</f>
        <v/>
      </c>
      <c r="Z397" s="41" t="n"/>
      <c r="AA397" s="41" t="n"/>
      <c r="AB397" s="41" t="n"/>
    </row>
    <row r="398">
      <c r="A398" s="39">
        <f>IF($C398="","","NOV-"&amp;TEXT(ROW()-3,"0000"))</f>
        <v/>
      </c>
      <c r="B398" s="40" t="n"/>
      <c r="C398" s="41" t="n"/>
      <c r="D398" s="42">
        <f>IF($C398="","",IFERROR(INDEX(DESPACHOS!$D$3:$D$3002,MATCH($C398,DESPACHOS!$B$3:$B$3002,0)),"SIN DESPACHO"))</f>
        <v/>
      </c>
      <c r="E398" s="42">
        <f>IF($C398="","",IFERROR(INDEX(DESPACHOS!$K$3:$K$3002,MATCH($C398,DESPACHOS!$B$3:$B$3002,0)),""))</f>
        <v/>
      </c>
      <c r="F398" s="42">
        <f>IF($C398="","",IFERROR(INDEX(DESPACHOS!$I$3:$I$3002,MATCH($C398,DESPACHOS!$B$3:$B$3002,0)),""))</f>
        <v/>
      </c>
      <c r="G398" s="42">
        <f>IF($C398="","",IFERROR(INDEX(DESPACHOS!$F$3:$F$3002,MATCH($C398,DESPACHOS!$B$3:$B$3002,0)),""))</f>
        <v/>
      </c>
      <c r="H398" s="42">
        <f>IF($C398="","",IFERROR(INDEX(DESPACHOS!$G$3:$G$3002,MATCH($C398,DESPACHOS!$B$3:$B$3002,0)),""))</f>
        <v/>
      </c>
      <c r="I398" s="39">
        <f>IF($C398="","",IFERROR(INDEX(DESPACHOS!$H$3:$H$3002,MATCH($C398,DESPACHOS!$B$3:$B$3002,0)),""))</f>
        <v/>
      </c>
      <c r="J398" s="43">
        <f>IF($C398="","",IFERROR(INDEX(DESPACHOS!$J$3:$J$3002,MATCH($C398,DESPACHOS!$B$3:$B$3002,0)),""))</f>
        <v/>
      </c>
      <c r="K398" s="39">
        <f>IF($C398="","",IF(COUNTIFS(DESPACHOS!$B$3:$B$3002,$C398)=0,"NO EXISTE",IF(COUNTIFS(DESPACHOS!$B$3:$B$3002,$C398)&gt;1,"DUPLICADO","OK")))</f>
        <v/>
      </c>
      <c r="L398" s="41" t="n"/>
      <c r="M398" s="41" t="n"/>
      <c r="N398" s="42">
        <f>IF($M398="","",IFERROR(INDEX(LISTAS!$F$3:$F$42,MATCH($M398,LISTAS!$E$3:$E$42,0)),"Por definir"))</f>
        <v/>
      </c>
      <c r="O398" s="41" t="n"/>
      <c r="P398" s="39">
        <f>IF($L398="","",IFERROR(INDEX(LISTAS!$B$3:$B$42,MATCH($L398,LISTAS!$A$3:$A$42,0)),"Media"))</f>
        <v/>
      </c>
      <c r="Q398" s="44" t="n"/>
      <c r="R398" s="45" t="n"/>
      <c r="S398" s="20">
        <f>IFERROR(IF(OR($R398="",$C398=""),"",$R398/INDEX(DESPACHOS!$M$3:$M$3002,MATCH($C398,DESPACHOS!$B$3:$B$3002,0))),"")</f>
        <v/>
      </c>
      <c r="T398" s="41" t="n"/>
      <c r="U398" s="43">
        <f>IF(OR($B398="",$L398=""),"",WORKDAY($B398,IFERROR(INDEX(LISTAS!$C$3:$C$42,MATCH($L398,LISTAS!$A$3:$A$42,0)),3)))</f>
        <v/>
      </c>
      <c r="V398" s="40" t="n"/>
      <c r="W398" s="19">
        <f>IF($B398="","",IF($V398&lt;&gt;"",$V398-$B398,TODAY()-$B398))</f>
        <v/>
      </c>
      <c r="X398" s="19">
        <f>IF(OR($B398="",$U398=""),"",IF($V398&lt;&gt;"",MAX(0,$V398-$U398),MAX(0,TODAY()-$U398)))</f>
        <v/>
      </c>
      <c r="Y398" s="39">
        <f>IF($C398="","",IF(IFERROR(INDEX(LISTAS!$I$3:$I$42,MATCH($T398,LISTAS!$H$3:$H$42,0)),"NO")="SÍ",IF(N($X398)&gt;0,"CERRADA FUERA DE SLA","CERRADA EN SLA"),IF($U398="","SIN CLASIFICAR",IF(N($X398)&gt;0,"VENCIDA",IF(TODAY()&gt;=$U398-1,"POR VENCER","EN PLAZO")))))</f>
        <v/>
      </c>
      <c r="Z398" s="41" t="n"/>
      <c r="AA398" s="41" t="n"/>
      <c r="AB398" s="41" t="n"/>
    </row>
    <row r="399">
      <c r="A399" s="39">
        <f>IF($C399="","","NOV-"&amp;TEXT(ROW()-3,"0000"))</f>
        <v/>
      </c>
      <c r="B399" s="40" t="n"/>
      <c r="C399" s="41" t="n"/>
      <c r="D399" s="42">
        <f>IF($C399="","",IFERROR(INDEX(DESPACHOS!$D$3:$D$3002,MATCH($C399,DESPACHOS!$B$3:$B$3002,0)),"SIN DESPACHO"))</f>
        <v/>
      </c>
      <c r="E399" s="42">
        <f>IF($C399="","",IFERROR(INDEX(DESPACHOS!$K$3:$K$3002,MATCH($C399,DESPACHOS!$B$3:$B$3002,0)),""))</f>
        <v/>
      </c>
      <c r="F399" s="42">
        <f>IF($C399="","",IFERROR(INDEX(DESPACHOS!$I$3:$I$3002,MATCH($C399,DESPACHOS!$B$3:$B$3002,0)),""))</f>
        <v/>
      </c>
      <c r="G399" s="42">
        <f>IF($C399="","",IFERROR(INDEX(DESPACHOS!$F$3:$F$3002,MATCH($C399,DESPACHOS!$B$3:$B$3002,0)),""))</f>
        <v/>
      </c>
      <c r="H399" s="42">
        <f>IF($C399="","",IFERROR(INDEX(DESPACHOS!$G$3:$G$3002,MATCH($C399,DESPACHOS!$B$3:$B$3002,0)),""))</f>
        <v/>
      </c>
      <c r="I399" s="39">
        <f>IF($C399="","",IFERROR(INDEX(DESPACHOS!$H$3:$H$3002,MATCH($C399,DESPACHOS!$B$3:$B$3002,0)),""))</f>
        <v/>
      </c>
      <c r="J399" s="43">
        <f>IF($C399="","",IFERROR(INDEX(DESPACHOS!$J$3:$J$3002,MATCH($C399,DESPACHOS!$B$3:$B$3002,0)),""))</f>
        <v/>
      </c>
      <c r="K399" s="39">
        <f>IF($C399="","",IF(COUNTIFS(DESPACHOS!$B$3:$B$3002,$C399)=0,"NO EXISTE",IF(COUNTIFS(DESPACHOS!$B$3:$B$3002,$C399)&gt;1,"DUPLICADO","OK")))</f>
        <v/>
      </c>
      <c r="L399" s="41" t="n"/>
      <c r="M399" s="41" t="n"/>
      <c r="N399" s="42">
        <f>IF($M399="","",IFERROR(INDEX(LISTAS!$F$3:$F$42,MATCH($M399,LISTAS!$E$3:$E$42,0)),"Por definir"))</f>
        <v/>
      </c>
      <c r="O399" s="41" t="n"/>
      <c r="P399" s="39">
        <f>IF($L399="","",IFERROR(INDEX(LISTAS!$B$3:$B$42,MATCH($L399,LISTAS!$A$3:$A$42,0)),"Media"))</f>
        <v/>
      </c>
      <c r="Q399" s="44" t="n"/>
      <c r="R399" s="45" t="n"/>
      <c r="S399" s="20">
        <f>IFERROR(IF(OR($R399="",$C399=""),"",$R399/INDEX(DESPACHOS!$M$3:$M$3002,MATCH($C399,DESPACHOS!$B$3:$B$3002,0))),"")</f>
        <v/>
      </c>
      <c r="T399" s="41" t="n"/>
      <c r="U399" s="43">
        <f>IF(OR($B399="",$L399=""),"",WORKDAY($B399,IFERROR(INDEX(LISTAS!$C$3:$C$42,MATCH($L399,LISTAS!$A$3:$A$42,0)),3)))</f>
        <v/>
      </c>
      <c r="V399" s="40" t="n"/>
      <c r="W399" s="19">
        <f>IF($B399="","",IF($V399&lt;&gt;"",$V399-$B399,TODAY()-$B399))</f>
        <v/>
      </c>
      <c r="X399" s="19">
        <f>IF(OR($B399="",$U399=""),"",IF($V399&lt;&gt;"",MAX(0,$V399-$U399),MAX(0,TODAY()-$U399)))</f>
        <v/>
      </c>
      <c r="Y399" s="39">
        <f>IF($C399="","",IF(IFERROR(INDEX(LISTAS!$I$3:$I$42,MATCH($T399,LISTAS!$H$3:$H$42,0)),"NO")="SÍ",IF(N($X399)&gt;0,"CERRADA FUERA DE SLA","CERRADA EN SLA"),IF($U399="","SIN CLASIFICAR",IF(N($X399)&gt;0,"VENCIDA",IF(TODAY()&gt;=$U399-1,"POR VENCER","EN PLAZO")))))</f>
        <v/>
      </c>
      <c r="Z399" s="41" t="n"/>
      <c r="AA399" s="41" t="n"/>
      <c r="AB399" s="41" t="n"/>
    </row>
    <row r="400">
      <c r="A400" s="39">
        <f>IF($C400="","","NOV-"&amp;TEXT(ROW()-3,"0000"))</f>
        <v/>
      </c>
      <c r="B400" s="40" t="n"/>
      <c r="C400" s="41" t="n"/>
      <c r="D400" s="42">
        <f>IF($C400="","",IFERROR(INDEX(DESPACHOS!$D$3:$D$3002,MATCH($C400,DESPACHOS!$B$3:$B$3002,0)),"SIN DESPACHO"))</f>
        <v/>
      </c>
      <c r="E400" s="42">
        <f>IF($C400="","",IFERROR(INDEX(DESPACHOS!$K$3:$K$3002,MATCH($C400,DESPACHOS!$B$3:$B$3002,0)),""))</f>
        <v/>
      </c>
      <c r="F400" s="42">
        <f>IF($C400="","",IFERROR(INDEX(DESPACHOS!$I$3:$I$3002,MATCH($C400,DESPACHOS!$B$3:$B$3002,0)),""))</f>
        <v/>
      </c>
      <c r="G400" s="42">
        <f>IF($C400="","",IFERROR(INDEX(DESPACHOS!$F$3:$F$3002,MATCH($C400,DESPACHOS!$B$3:$B$3002,0)),""))</f>
        <v/>
      </c>
      <c r="H400" s="42">
        <f>IF($C400="","",IFERROR(INDEX(DESPACHOS!$G$3:$G$3002,MATCH($C400,DESPACHOS!$B$3:$B$3002,0)),""))</f>
        <v/>
      </c>
      <c r="I400" s="39">
        <f>IF($C400="","",IFERROR(INDEX(DESPACHOS!$H$3:$H$3002,MATCH($C400,DESPACHOS!$B$3:$B$3002,0)),""))</f>
        <v/>
      </c>
      <c r="J400" s="43">
        <f>IF($C400="","",IFERROR(INDEX(DESPACHOS!$J$3:$J$3002,MATCH($C400,DESPACHOS!$B$3:$B$3002,0)),""))</f>
        <v/>
      </c>
      <c r="K400" s="39">
        <f>IF($C400="","",IF(COUNTIFS(DESPACHOS!$B$3:$B$3002,$C400)=0,"NO EXISTE",IF(COUNTIFS(DESPACHOS!$B$3:$B$3002,$C400)&gt;1,"DUPLICADO","OK")))</f>
        <v/>
      </c>
      <c r="L400" s="41" t="n"/>
      <c r="M400" s="41" t="n"/>
      <c r="N400" s="42">
        <f>IF($M400="","",IFERROR(INDEX(LISTAS!$F$3:$F$42,MATCH($M400,LISTAS!$E$3:$E$42,0)),"Por definir"))</f>
        <v/>
      </c>
      <c r="O400" s="41" t="n"/>
      <c r="P400" s="39">
        <f>IF($L400="","",IFERROR(INDEX(LISTAS!$B$3:$B$42,MATCH($L400,LISTAS!$A$3:$A$42,0)),"Media"))</f>
        <v/>
      </c>
      <c r="Q400" s="44" t="n"/>
      <c r="R400" s="45" t="n"/>
      <c r="S400" s="20">
        <f>IFERROR(IF(OR($R400="",$C400=""),"",$R400/INDEX(DESPACHOS!$M$3:$M$3002,MATCH($C400,DESPACHOS!$B$3:$B$3002,0))),"")</f>
        <v/>
      </c>
      <c r="T400" s="41" t="n"/>
      <c r="U400" s="43">
        <f>IF(OR($B400="",$L400=""),"",WORKDAY($B400,IFERROR(INDEX(LISTAS!$C$3:$C$42,MATCH($L400,LISTAS!$A$3:$A$42,0)),3)))</f>
        <v/>
      </c>
      <c r="V400" s="40" t="n"/>
      <c r="W400" s="19">
        <f>IF($B400="","",IF($V400&lt;&gt;"",$V400-$B400,TODAY()-$B400))</f>
        <v/>
      </c>
      <c r="X400" s="19">
        <f>IF(OR($B400="",$U400=""),"",IF($V400&lt;&gt;"",MAX(0,$V400-$U400),MAX(0,TODAY()-$U400)))</f>
        <v/>
      </c>
      <c r="Y400" s="39">
        <f>IF($C400="","",IF(IFERROR(INDEX(LISTAS!$I$3:$I$42,MATCH($T400,LISTAS!$H$3:$H$42,0)),"NO")="SÍ",IF(N($X400)&gt;0,"CERRADA FUERA DE SLA","CERRADA EN SLA"),IF($U400="","SIN CLASIFICAR",IF(N($X400)&gt;0,"VENCIDA",IF(TODAY()&gt;=$U400-1,"POR VENCER","EN PLAZO")))))</f>
        <v/>
      </c>
      <c r="Z400" s="41" t="n"/>
      <c r="AA400" s="41" t="n"/>
      <c r="AB400" s="41" t="n"/>
    </row>
    <row r="401">
      <c r="A401" s="39">
        <f>IF($C401="","","NOV-"&amp;TEXT(ROW()-3,"0000"))</f>
        <v/>
      </c>
      <c r="B401" s="40" t="n"/>
      <c r="C401" s="41" t="n"/>
      <c r="D401" s="42">
        <f>IF($C401="","",IFERROR(INDEX(DESPACHOS!$D$3:$D$3002,MATCH($C401,DESPACHOS!$B$3:$B$3002,0)),"SIN DESPACHO"))</f>
        <v/>
      </c>
      <c r="E401" s="42">
        <f>IF($C401="","",IFERROR(INDEX(DESPACHOS!$K$3:$K$3002,MATCH($C401,DESPACHOS!$B$3:$B$3002,0)),""))</f>
        <v/>
      </c>
      <c r="F401" s="42">
        <f>IF($C401="","",IFERROR(INDEX(DESPACHOS!$I$3:$I$3002,MATCH($C401,DESPACHOS!$B$3:$B$3002,0)),""))</f>
        <v/>
      </c>
      <c r="G401" s="42">
        <f>IF($C401="","",IFERROR(INDEX(DESPACHOS!$F$3:$F$3002,MATCH($C401,DESPACHOS!$B$3:$B$3002,0)),""))</f>
        <v/>
      </c>
      <c r="H401" s="42">
        <f>IF($C401="","",IFERROR(INDEX(DESPACHOS!$G$3:$G$3002,MATCH($C401,DESPACHOS!$B$3:$B$3002,0)),""))</f>
        <v/>
      </c>
      <c r="I401" s="39">
        <f>IF($C401="","",IFERROR(INDEX(DESPACHOS!$H$3:$H$3002,MATCH($C401,DESPACHOS!$B$3:$B$3002,0)),""))</f>
        <v/>
      </c>
      <c r="J401" s="43">
        <f>IF($C401="","",IFERROR(INDEX(DESPACHOS!$J$3:$J$3002,MATCH($C401,DESPACHOS!$B$3:$B$3002,0)),""))</f>
        <v/>
      </c>
      <c r="K401" s="39">
        <f>IF($C401="","",IF(COUNTIFS(DESPACHOS!$B$3:$B$3002,$C401)=0,"NO EXISTE",IF(COUNTIFS(DESPACHOS!$B$3:$B$3002,$C401)&gt;1,"DUPLICADO","OK")))</f>
        <v/>
      </c>
      <c r="L401" s="41" t="n"/>
      <c r="M401" s="41" t="n"/>
      <c r="N401" s="42">
        <f>IF($M401="","",IFERROR(INDEX(LISTAS!$F$3:$F$42,MATCH($M401,LISTAS!$E$3:$E$42,0)),"Por definir"))</f>
        <v/>
      </c>
      <c r="O401" s="41" t="n"/>
      <c r="P401" s="39">
        <f>IF($L401="","",IFERROR(INDEX(LISTAS!$B$3:$B$42,MATCH($L401,LISTAS!$A$3:$A$42,0)),"Media"))</f>
        <v/>
      </c>
      <c r="Q401" s="44" t="n"/>
      <c r="R401" s="45" t="n"/>
      <c r="S401" s="20">
        <f>IFERROR(IF(OR($R401="",$C401=""),"",$R401/INDEX(DESPACHOS!$M$3:$M$3002,MATCH($C401,DESPACHOS!$B$3:$B$3002,0))),"")</f>
        <v/>
      </c>
      <c r="T401" s="41" t="n"/>
      <c r="U401" s="43">
        <f>IF(OR($B401="",$L401=""),"",WORKDAY($B401,IFERROR(INDEX(LISTAS!$C$3:$C$42,MATCH($L401,LISTAS!$A$3:$A$42,0)),3)))</f>
        <v/>
      </c>
      <c r="V401" s="40" t="n"/>
      <c r="W401" s="19">
        <f>IF($B401="","",IF($V401&lt;&gt;"",$V401-$B401,TODAY()-$B401))</f>
        <v/>
      </c>
      <c r="X401" s="19">
        <f>IF(OR($B401="",$U401=""),"",IF($V401&lt;&gt;"",MAX(0,$V401-$U401),MAX(0,TODAY()-$U401)))</f>
        <v/>
      </c>
      <c r="Y401" s="39">
        <f>IF($C401="","",IF(IFERROR(INDEX(LISTAS!$I$3:$I$42,MATCH($T401,LISTAS!$H$3:$H$42,0)),"NO")="SÍ",IF(N($X401)&gt;0,"CERRADA FUERA DE SLA","CERRADA EN SLA"),IF($U401="","SIN CLASIFICAR",IF(N($X401)&gt;0,"VENCIDA",IF(TODAY()&gt;=$U401-1,"POR VENCER","EN PLAZO")))))</f>
        <v/>
      </c>
      <c r="Z401" s="41" t="n"/>
      <c r="AA401" s="41" t="n"/>
      <c r="AB401" s="41" t="n"/>
    </row>
    <row r="402">
      <c r="A402" s="39">
        <f>IF($C402="","","NOV-"&amp;TEXT(ROW()-3,"0000"))</f>
        <v/>
      </c>
      <c r="B402" s="40" t="n"/>
      <c r="C402" s="41" t="n"/>
      <c r="D402" s="42">
        <f>IF($C402="","",IFERROR(INDEX(DESPACHOS!$D$3:$D$3002,MATCH($C402,DESPACHOS!$B$3:$B$3002,0)),"SIN DESPACHO"))</f>
        <v/>
      </c>
      <c r="E402" s="42">
        <f>IF($C402="","",IFERROR(INDEX(DESPACHOS!$K$3:$K$3002,MATCH($C402,DESPACHOS!$B$3:$B$3002,0)),""))</f>
        <v/>
      </c>
      <c r="F402" s="42">
        <f>IF($C402="","",IFERROR(INDEX(DESPACHOS!$I$3:$I$3002,MATCH($C402,DESPACHOS!$B$3:$B$3002,0)),""))</f>
        <v/>
      </c>
      <c r="G402" s="42">
        <f>IF($C402="","",IFERROR(INDEX(DESPACHOS!$F$3:$F$3002,MATCH($C402,DESPACHOS!$B$3:$B$3002,0)),""))</f>
        <v/>
      </c>
      <c r="H402" s="42">
        <f>IF($C402="","",IFERROR(INDEX(DESPACHOS!$G$3:$G$3002,MATCH($C402,DESPACHOS!$B$3:$B$3002,0)),""))</f>
        <v/>
      </c>
      <c r="I402" s="39">
        <f>IF($C402="","",IFERROR(INDEX(DESPACHOS!$H$3:$H$3002,MATCH($C402,DESPACHOS!$B$3:$B$3002,0)),""))</f>
        <v/>
      </c>
      <c r="J402" s="43">
        <f>IF($C402="","",IFERROR(INDEX(DESPACHOS!$J$3:$J$3002,MATCH($C402,DESPACHOS!$B$3:$B$3002,0)),""))</f>
        <v/>
      </c>
      <c r="K402" s="39">
        <f>IF($C402="","",IF(COUNTIFS(DESPACHOS!$B$3:$B$3002,$C402)=0,"NO EXISTE",IF(COUNTIFS(DESPACHOS!$B$3:$B$3002,$C402)&gt;1,"DUPLICADO","OK")))</f>
        <v/>
      </c>
      <c r="L402" s="41" t="n"/>
      <c r="M402" s="41" t="n"/>
      <c r="N402" s="42">
        <f>IF($M402="","",IFERROR(INDEX(LISTAS!$F$3:$F$42,MATCH($M402,LISTAS!$E$3:$E$42,0)),"Por definir"))</f>
        <v/>
      </c>
      <c r="O402" s="41" t="n"/>
      <c r="P402" s="39">
        <f>IF($L402="","",IFERROR(INDEX(LISTAS!$B$3:$B$42,MATCH($L402,LISTAS!$A$3:$A$42,0)),"Media"))</f>
        <v/>
      </c>
      <c r="Q402" s="44" t="n"/>
      <c r="R402" s="45" t="n"/>
      <c r="S402" s="20">
        <f>IFERROR(IF(OR($R402="",$C402=""),"",$R402/INDEX(DESPACHOS!$M$3:$M$3002,MATCH($C402,DESPACHOS!$B$3:$B$3002,0))),"")</f>
        <v/>
      </c>
      <c r="T402" s="41" t="n"/>
      <c r="U402" s="43">
        <f>IF(OR($B402="",$L402=""),"",WORKDAY($B402,IFERROR(INDEX(LISTAS!$C$3:$C$42,MATCH($L402,LISTAS!$A$3:$A$42,0)),3)))</f>
        <v/>
      </c>
      <c r="V402" s="40" t="n"/>
      <c r="W402" s="19">
        <f>IF($B402="","",IF($V402&lt;&gt;"",$V402-$B402,TODAY()-$B402))</f>
        <v/>
      </c>
      <c r="X402" s="19">
        <f>IF(OR($B402="",$U402=""),"",IF($V402&lt;&gt;"",MAX(0,$V402-$U402),MAX(0,TODAY()-$U402)))</f>
        <v/>
      </c>
      <c r="Y402" s="39">
        <f>IF($C402="","",IF(IFERROR(INDEX(LISTAS!$I$3:$I$42,MATCH($T402,LISTAS!$H$3:$H$42,0)),"NO")="SÍ",IF(N($X402)&gt;0,"CERRADA FUERA DE SLA","CERRADA EN SLA"),IF($U402="","SIN CLASIFICAR",IF(N($X402)&gt;0,"VENCIDA",IF(TODAY()&gt;=$U402-1,"POR VENCER","EN PLAZO")))))</f>
        <v/>
      </c>
      <c r="Z402" s="41" t="n"/>
      <c r="AA402" s="41" t="n"/>
      <c r="AB402" s="41" t="n"/>
    </row>
    <row r="403">
      <c r="A403" s="39">
        <f>IF($C403="","","NOV-"&amp;TEXT(ROW()-3,"0000"))</f>
        <v/>
      </c>
      <c r="B403" s="40" t="n"/>
      <c r="C403" s="41" t="n"/>
      <c r="D403" s="42">
        <f>IF($C403="","",IFERROR(INDEX(DESPACHOS!$D$3:$D$3002,MATCH($C403,DESPACHOS!$B$3:$B$3002,0)),"SIN DESPACHO"))</f>
        <v/>
      </c>
      <c r="E403" s="42">
        <f>IF($C403="","",IFERROR(INDEX(DESPACHOS!$K$3:$K$3002,MATCH($C403,DESPACHOS!$B$3:$B$3002,0)),""))</f>
        <v/>
      </c>
      <c r="F403" s="42">
        <f>IF($C403="","",IFERROR(INDEX(DESPACHOS!$I$3:$I$3002,MATCH($C403,DESPACHOS!$B$3:$B$3002,0)),""))</f>
        <v/>
      </c>
      <c r="G403" s="42">
        <f>IF($C403="","",IFERROR(INDEX(DESPACHOS!$F$3:$F$3002,MATCH($C403,DESPACHOS!$B$3:$B$3002,0)),""))</f>
        <v/>
      </c>
      <c r="H403" s="42">
        <f>IF($C403="","",IFERROR(INDEX(DESPACHOS!$G$3:$G$3002,MATCH($C403,DESPACHOS!$B$3:$B$3002,0)),""))</f>
        <v/>
      </c>
      <c r="I403" s="39">
        <f>IF($C403="","",IFERROR(INDEX(DESPACHOS!$H$3:$H$3002,MATCH($C403,DESPACHOS!$B$3:$B$3002,0)),""))</f>
        <v/>
      </c>
      <c r="J403" s="43">
        <f>IF($C403="","",IFERROR(INDEX(DESPACHOS!$J$3:$J$3002,MATCH($C403,DESPACHOS!$B$3:$B$3002,0)),""))</f>
        <v/>
      </c>
      <c r="K403" s="39">
        <f>IF($C403="","",IF(COUNTIFS(DESPACHOS!$B$3:$B$3002,$C403)=0,"NO EXISTE",IF(COUNTIFS(DESPACHOS!$B$3:$B$3002,$C403)&gt;1,"DUPLICADO","OK")))</f>
        <v/>
      </c>
      <c r="L403" s="41" t="n"/>
      <c r="M403" s="41" t="n"/>
      <c r="N403" s="42">
        <f>IF($M403="","",IFERROR(INDEX(LISTAS!$F$3:$F$42,MATCH($M403,LISTAS!$E$3:$E$42,0)),"Por definir"))</f>
        <v/>
      </c>
      <c r="O403" s="41" t="n"/>
      <c r="P403" s="39">
        <f>IF($L403="","",IFERROR(INDEX(LISTAS!$B$3:$B$42,MATCH($L403,LISTAS!$A$3:$A$42,0)),"Media"))</f>
        <v/>
      </c>
      <c r="Q403" s="44" t="n"/>
      <c r="R403" s="45" t="n"/>
      <c r="S403" s="20">
        <f>IFERROR(IF(OR($R403="",$C403=""),"",$R403/INDEX(DESPACHOS!$M$3:$M$3002,MATCH($C403,DESPACHOS!$B$3:$B$3002,0))),"")</f>
        <v/>
      </c>
      <c r="T403" s="41" t="n"/>
      <c r="U403" s="43">
        <f>IF(OR($B403="",$L403=""),"",WORKDAY($B403,IFERROR(INDEX(LISTAS!$C$3:$C$42,MATCH($L403,LISTAS!$A$3:$A$42,0)),3)))</f>
        <v/>
      </c>
      <c r="V403" s="40" t="n"/>
      <c r="W403" s="19">
        <f>IF($B403="","",IF($V403&lt;&gt;"",$V403-$B403,TODAY()-$B403))</f>
        <v/>
      </c>
      <c r="X403" s="19">
        <f>IF(OR($B403="",$U403=""),"",IF($V403&lt;&gt;"",MAX(0,$V403-$U403),MAX(0,TODAY()-$U403)))</f>
        <v/>
      </c>
      <c r="Y403" s="39">
        <f>IF($C403="","",IF(IFERROR(INDEX(LISTAS!$I$3:$I$42,MATCH($T403,LISTAS!$H$3:$H$42,0)),"NO")="SÍ",IF(N($X403)&gt;0,"CERRADA FUERA DE SLA","CERRADA EN SLA"),IF($U403="","SIN CLASIFICAR",IF(N($X403)&gt;0,"VENCIDA",IF(TODAY()&gt;=$U403-1,"POR VENCER","EN PLAZO")))))</f>
        <v/>
      </c>
      <c r="Z403" s="41" t="n"/>
      <c r="AA403" s="41" t="n"/>
      <c r="AB403" s="41" t="n"/>
    </row>
    <row r="404">
      <c r="A404" s="39">
        <f>IF($C404="","","NOV-"&amp;TEXT(ROW()-3,"0000"))</f>
        <v/>
      </c>
      <c r="B404" s="40" t="n"/>
      <c r="C404" s="41" t="n"/>
      <c r="D404" s="42">
        <f>IF($C404="","",IFERROR(INDEX(DESPACHOS!$D$3:$D$3002,MATCH($C404,DESPACHOS!$B$3:$B$3002,0)),"SIN DESPACHO"))</f>
        <v/>
      </c>
      <c r="E404" s="42">
        <f>IF($C404="","",IFERROR(INDEX(DESPACHOS!$K$3:$K$3002,MATCH($C404,DESPACHOS!$B$3:$B$3002,0)),""))</f>
        <v/>
      </c>
      <c r="F404" s="42">
        <f>IF($C404="","",IFERROR(INDEX(DESPACHOS!$I$3:$I$3002,MATCH($C404,DESPACHOS!$B$3:$B$3002,0)),""))</f>
        <v/>
      </c>
      <c r="G404" s="42">
        <f>IF($C404="","",IFERROR(INDEX(DESPACHOS!$F$3:$F$3002,MATCH($C404,DESPACHOS!$B$3:$B$3002,0)),""))</f>
        <v/>
      </c>
      <c r="H404" s="42">
        <f>IF($C404="","",IFERROR(INDEX(DESPACHOS!$G$3:$G$3002,MATCH($C404,DESPACHOS!$B$3:$B$3002,0)),""))</f>
        <v/>
      </c>
      <c r="I404" s="39">
        <f>IF($C404="","",IFERROR(INDEX(DESPACHOS!$H$3:$H$3002,MATCH($C404,DESPACHOS!$B$3:$B$3002,0)),""))</f>
        <v/>
      </c>
      <c r="J404" s="43">
        <f>IF($C404="","",IFERROR(INDEX(DESPACHOS!$J$3:$J$3002,MATCH($C404,DESPACHOS!$B$3:$B$3002,0)),""))</f>
        <v/>
      </c>
      <c r="K404" s="39">
        <f>IF($C404="","",IF(COUNTIFS(DESPACHOS!$B$3:$B$3002,$C404)=0,"NO EXISTE",IF(COUNTIFS(DESPACHOS!$B$3:$B$3002,$C404)&gt;1,"DUPLICADO","OK")))</f>
        <v/>
      </c>
      <c r="L404" s="41" t="n"/>
      <c r="M404" s="41" t="n"/>
      <c r="N404" s="42">
        <f>IF($M404="","",IFERROR(INDEX(LISTAS!$F$3:$F$42,MATCH($M404,LISTAS!$E$3:$E$42,0)),"Por definir"))</f>
        <v/>
      </c>
      <c r="O404" s="41" t="n"/>
      <c r="P404" s="39">
        <f>IF($L404="","",IFERROR(INDEX(LISTAS!$B$3:$B$42,MATCH($L404,LISTAS!$A$3:$A$42,0)),"Media"))</f>
        <v/>
      </c>
      <c r="Q404" s="44" t="n"/>
      <c r="R404" s="45" t="n"/>
      <c r="S404" s="20">
        <f>IFERROR(IF(OR($R404="",$C404=""),"",$R404/INDEX(DESPACHOS!$M$3:$M$3002,MATCH($C404,DESPACHOS!$B$3:$B$3002,0))),"")</f>
        <v/>
      </c>
      <c r="T404" s="41" t="n"/>
      <c r="U404" s="43">
        <f>IF(OR($B404="",$L404=""),"",WORKDAY($B404,IFERROR(INDEX(LISTAS!$C$3:$C$42,MATCH($L404,LISTAS!$A$3:$A$42,0)),3)))</f>
        <v/>
      </c>
      <c r="V404" s="40" t="n"/>
      <c r="W404" s="19">
        <f>IF($B404="","",IF($V404&lt;&gt;"",$V404-$B404,TODAY()-$B404))</f>
        <v/>
      </c>
      <c r="X404" s="19">
        <f>IF(OR($B404="",$U404=""),"",IF($V404&lt;&gt;"",MAX(0,$V404-$U404),MAX(0,TODAY()-$U404)))</f>
        <v/>
      </c>
      <c r="Y404" s="39">
        <f>IF($C404="","",IF(IFERROR(INDEX(LISTAS!$I$3:$I$42,MATCH($T404,LISTAS!$H$3:$H$42,0)),"NO")="SÍ",IF(N($X404)&gt;0,"CERRADA FUERA DE SLA","CERRADA EN SLA"),IF($U404="","SIN CLASIFICAR",IF(N($X404)&gt;0,"VENCIDA",IF(TODAY()&gt;=$U404-1,"POR VENCER","EN PLAZO")))))</f>
        <v/>
      </c>
      <c r="Z404" s="41" t="n"/>
      <c r="AA404" s="41" t="n"/>
      <c r="AB404" s="41" t="n"/>
    </row>
    <row r="405">
      <c r="A405" s="39">
        <f>IF($C405="","","NOV-"&amp;TEXT(ROW()-3,"0000"))</f>
        <v/>
      </c>
      <c r="B405" s="40" t="n"/>
      <c r="C405" s="41" t="n"/>
      <c r="D405" s="42">
        <f>IF($C405="","",IFERROR(INDEX(DESPACHOS!$D$3:$D$3002,MATCH($C405,DESPACHOS!$B$3:$B$3002,0)),"SIN DESPACHO"))</f>
        <v/>
      </c>
      <c r="E405" s="42">
        <f>IF($C405="","",IFERROR(INDEX(DESPACHOS!$K$3:$K$3002,MATCH($C405,DESPACHOS!$B$3:$B$3002,0)),""))</f>
        <v/>
      </c>
      <c r="F405" s="42">
        <f>IF($C405="","",IFERROR(INDEX(DESPACHOS!$I$3:$I$3002,MATCH($C405,DESPACHOS!$B$3:$B$3002,0)),""))</f>
        <v/>
      </c>
      <c r="G405" s="42">
        <f>IF($C405="","",IFERROR(INDEX(DESPACHOS!$F$3:$F$3002,MATCH($C405,DESPACHOS!$B$3:$B$3002,0)),""))</f>
        <v/>
      </c>
      <c r="H405" s="42">
        <f>IF($C405="","",IFERROR(INDEX(DESPACHOS!$G$3:$G$3002,MATCH($C405,DESPACHOS!$B$3:$B$3002,0)),""))</f>
        <v/>
      </c>
      <c r="I405" s="39">
        <f>IF($C405="","",IFERROR(INDEX(DESPACHOS!$H$3:$H$3002,MATCH($C405,DESPACHOS!$B$3:$B$3002,0)),""))</f>
        <v/>
      </c>
      <c r="J405" s="43">
        <f>IF($C405="","",IFERROR(INDEX(DESPACHOS!$J$3:$J$3002,MATCH($C405,DESPACHOS!$B$3:$B$3002,0)),""))</f>
        <v/>
      </c>
      <c r="K405" s="39">
        <f>IF($C405="","",IF(COUNTIFS(DESPACHOS!$B$3:$B$3002,$C405)=0,"NO EXISTE",IF(COUNTIFS(DESPACHOS!$B$3:$B$3002,$C405)&gt;1,"DUPLICADO","OK")))</f>
        <v/>
      </c>
      <c r="L405" s="41" t="n"/>
      <c r="M405" s="41" t="n"/>
      <c r="N405" s="42">
        <f>IF($M405="","",IFERROR(INDEX(LISTAS!$F$3:$F$42,MATCH($M405,LISTAS!$E$3:$E$42,0)),"Por definir"))</f>
        <v/>
      </c>
      <c r="O405" s="41" t="n"/>
      <c r="P405" s="39">
        <f>IF($L405="","",IFERROR(INDEX(LISTAS!$B$3:$B$42,MATCH($L405,LISTAS!$A$3:$A$42,0)),"Media"))</f>
        <v/>
      </c>
      <c r="Q405" s="44" t="n"/>
      <c r="R405" s="45" t="n"/>
      <c r="S405" s="20">
        <f>IFERROR(IF(OR($R405="",$C405=""),"",$R405/INDEX(DESPACHOS!$M$3:$M$3002,MATCH($C405,DESPACHOS!$B$3:$B$3002,0))),"")</f>
        <v/>
      </c>
      <c r="T405" s="41" t="n"/>
      <c r="U405" s="43">
        <f>IF(OR($B405="",$L405=""),"",WORKDAY($B405,IFERROR(INDEX(LISTAS!$C$3:$C$42,MATCH($L405,LISTAS!$A$3:$A$42,0)),3)))</f>
        <v/>
      </c>
      <c r="V405" s="40" t="n"/>
      <c r="W405" s="19">
        <f>IF($B405="","",IF($V405&lt;&gt;"",$V405-$B405,TODAY()-$B405))</f>
        <v/>
      </c>
      <c r="X405" s="19">
        <f>IF(OR($B405="",$U405=""),"",IF($V405&lt;&gt;"",MAX(0,$V405-$U405),MAX(0,TODAY()-$U405)))</f>
        <v/>
      </c>
      <c r="Y405" s="39">
        <f>IF($C405="","",IF(IFERROR(INDEX(LISTAS!$I$3:$I$42,MATCH($T405,LISTAS!$H$3:$H$42,0)),"NO")="SÍ",IF(N($X405)&gt;0,"CERRADA FUERA DE SLA","CERRADA EN SLA"),IF($U405="","SIN CLASIFICAR",IF(N($X405)&gt;0,"VENCIDA",IF(TODAY()&gt;=$U405-1,"POR VENCER","EN PLAZO")))))</f>
        <v/>
      </c>
      <c r="Z405" s="41" t="n"/>
      <c r="AA405" s="41" t="n"/>
      <c r="AB405" s="41" t="n"/>
    </row>
    <row r="406">
      <c r="A406" s="39">
        <f>IF($C406="","","NOV-"&amp;TEXT(ROW()-3,"0000"))</f>
        <v/>
      </c>
      <c r="B406" s="40" t="n"/>
      <c r="C406" s="41" t="n"/>
      <c r="D406" s="42">
        <f>IF($C406="","",IFERROR(INDEX(DESPACHOS!$D$3:$D$3002,MATCH($C406,DESPACHOS!$B$3:$B$3002,0)),"SIN DESPACHO"))</f>
        <v/>
      </c>
      <c r="E406" s="42">
        <f>IF($C406="","",IFERROR(INDEX(DESPACHOS!$K$3:$K$3002,MATCH($C406,DESPACHOS!$B$3:$B$3002,0)),""))</f>
        <v/>
      </c>
      <c r="F406" s="42">
        <f>IF($C406="","",IFERROR(INDEX(DESPACHOS!$I$3:$I$3002,MATCH($C406,DESPACHOS!$B$3:$B$3002,0)),""))</f>
        <v/>
      </c>
      <c r="G406" s="42">
        <f>IF($C406="","",IFERROR(INDEX(DESPACHOS!$F$3:$F$3002,MATCH($C406,DESPACHOS!$B$3:$B$3002,0)),""))</f>
        <v/>
      </c>
      <c r="H406" s="42">
        <f>IF($C406="","",IFERROR(INDEX(DESPACHOS!$G$3:$G$3002,MATCH($C406,DESPACHOS!$B$3:$B$3002,0)),""))</f>
        <v/>
      </c>
      <c r="I406" s="39">
        <f>IF($C406="","",IFERROR(INDEX(DESPACHOS!$H$3:$H$3002,MATCH($C406,DESPACHOS!$B$3:$B$3002,0)),""))</f>
        <v/>
      </c>
      <c r="J406" s="43">
        <f>IF($C406="","",IFERROR(INDEX(DESPACHOS!$J$3:$J$3002,MATCH($C406,DESPACHOS!$B$3:$B$3002,0)),""))</f>
        <v/>
      </c>
      <c r="K406" s="39">
        <f>IF($C406="","",IF(COUNTIFS(DESPACHOS!$B$3:$B$3002,$C406)=0,"NO EXISTE",IF(COUNTIFS(DESPACHOS!$B$3:$B$3002,$C406)&gt;1,"DUPLICADO","OK")))</f>
        <v/>
      </c>
      <c r="L406" s="41" t="n"/>
      <c r="M406" s="41" t="n"/>
      <c r="N406" s="42">
        <f>IF($M406="","",IFERROR(INDEX(LISTAS!$F$3:$F$42,MATCH($M406,LISTAS!$E$3:$E$42,0)),"Por definir"))</f>
        <v/>
      </c>
      <c r="O406" s="41" t="n"/>
      <c r="P406" s="39">
        <f>IF($L406="","",IFERROR(INDEX(LISTAS!$B$3:$B$42,MATCH($L406,LISTAS!$A$3:$A$42,0)),"Media"))</f>
        <v/>
      </c>
      <c r="Q406" s="44" t="n"/>
      <c r="R406" s="45" t="n"/>
      <c r="S406" s="20">
        <f>IFERROR(IF(OR($R406="",$C406=""),"",$R406/INDEX(DESPACHOS!$M$3:$M$3002,MATCH($C406,DESPACHOS!$B$3:$B$3002,0))),"")</f>
        <v/>
      </c>
      <c r="T406" s="41" t="n"/>
      <c r="U406" s="43">
        <f>IF(OR($B406="",$L406=""),"",WORKDAY($B406,IFERROR(INDEX(LISTAS!$C$3:$C$42,MATCH($L406,LISTAS!$A$3:$A$42,0)),3)))</f>
        <v/>
      </c>
      <c r="V406" s="40" t="n"/>
      <c r="W406" s="19">
        <f>IF($B406="","",IF($V406&lt;&gt;"",$V406-$B406,TODAY()-$B406))</f>
        <v/>
      </c>
      <c r="X406" s="19">
        <f>IF(OR($B406="",$U406=""),"",IF($V406&lt;&gt;"",MAX(0,$V406-$U406),MAX(0,TODAY()-$U406)))</f>
        <v/>
      </c>
      <c r="Y406" s="39">
        <f>IF($C406="","",IF(IFERROR(INDEX(LISTAS!$I$3:$I$42,MATCH($T406,LISTAS!$H$3:$H$42,0)),"NO")="SÍ",IF(N($X406)&gt;0,"CERRADA FUERA DE SLA","CERRADA EN SLA"),IF($U406="","SIN CLASIFICAR",IF(N($X406)&gt;0,"VENCIDA",IF(TODAY()&gt;=$U406-1,"POR VENCER","EN PLAZO")))))</f>
        <v/>
      </c>
      <c r="Z406" s="41" t="n"/>
      <c r="AA406" s="41" t="n"/>
      <c r="AB406" s="41" t="n"/>
    </row>
    <row r="407">
      <c r="A407" s="39">
        <f>IF($C407="","","NOV-"&amp;TEXT(ROW()-3,"0000"))</f>
        <v/>
      </c>
      <c r="B407" s="40" t="n"/>
      <c r="C407" s="41" t="n"/>
      <c r="D407" s="42">
        <f>IF($C407="","",IFERROR(INDEX(DESPACHOS!$D$3:$D$3002,MATCH($C407,DESPACHOS!$B$3:$B$3002,0)),"SIN DESPACHO"))</f>
        <v/>
      </c>
      <c r="E407" s="42">
        <f>IF($C407="","",IFERROR(INDEX(DESPACHOS!$K$3:$K$3002,MATCH($C407,DESPACHOS!$B$3:$B$3002,0)),""))</f>
        <v/>
      </c>
      <c r="F407" s="42">
        <f>IF($C407="","",IFERROR(INDEX(DESPACHOS!$I$3:$I$3002,MATCH($C407,DESPACHOS!$B$3:$B$3002,0)),""))</f>
        <v/>
      </c>
      <c r="G407" s="42">
        <f>IF($C407="","",IFERROR(INDEX(DESPACHOS!$F$3:$F$3002,MATCH($C407,DESPACHOS!$B$3:$B$3002,0)),""))</f>
        <v/>
      </c>
      <c r="H407" s="42">
        <f>IF($C407="","",IFERROR(INDEX(DESPACHOS!$G$3:$G$3002,MATCH($C407,DESPACHOS!$B$3:$B$3002,0)),""))</f>
        <v/>
      </c>
      <c r="I407" s="39">
        <f>IF($C407="","",IFERROR(INDEX(DESPACHOS!$H$3:$H$3002,MATCH($C407,DESPACHOS!$B$3:$B$3002,0)),""))</f>
        <v/>
      </c>
      <c r="J407" s="43">
        <f>IF($C407="","",IFERROR(INDEX(DESPACHOS!$J$3:$J$3002,MATCH($C407,DESPACHOS!$B$3:$B$3002,0)),""))</f>
        <v/>
      </c>
      <c r="K407" s="39">
        <f>IF($C407="","",IF(COUNTIFS(DESPACHOS!$B$3:$B$3002,$C407)=0,"NO EXISTE",IF(COUNTIFS(DESPACHOS!$B$3:$B$3002,$C407)&gt;1,"DUPLICADO","OK")))</f>
        <v/>
      </c>
      <c r="L407" s="41" t="n"/>
      <c r="M407" s="41" t="n"/>
      <c r="N407" s="42">
        <f>IF($M407="","",IFERROR(INDEX(LISTAS!$F$3:$F$42,MATCH($M407,LISTAS!$E$3:$E$42,0)),"Por definir"))</f>
        <v/>
      </c>
      <c r="O407" s="41" t="n"/>
      <c r="P407" s="39">
        <f>IF($L407="","",IFERROR(INDEX(LISTAS!$B$3:$B$42,MATCH($L407,LISTAS!$A$3:$A$42,0)),"Media"))</f>
        <v/>
      </c>
      <c r="Q407" s="44" t="n"/>
      <c r="R407" s="45" t="n"/>
      <c r="S407" s="20">
        <f>IFERROR(IF(OR($R407="",$C407=""),"",$R407/INDEX(DESPACHOS!$M$3:$M$3002,MATCH($C407,DESPACHOS!$B$3:$B$3002,0))),"")</f>
        <v/>
      </c>
      <c r="T407" s="41" t="n"/>
      <c r="U407" s="43">
        <f>IF(OR($B407="",$L407=""),"",WORKDAY($B407,IFERROR(INDEX(LISTAS!$C$3:$C$42,MATCH($L407,LISTAS!$A$3:$A$42,0)),3)))</f>
        <v/>
      </c>
      <c r="V407" s="40" t="n"/>
      <c r="W407" s="19">
        <f>IF($B407="","",IF($V407&lt;&gt;"",$V407-$B407,TODAY()-$B407))</f>
        <v/>
      </c>
      <c r="X407" s="19">
        <f>IF(OR($B407="",$U407=""),"",IF($V407&lt;&gt;"",MAX(0,$V407-$U407),MAX(0,TODAY()-$U407)))</f>
        <v/>
      </c>
      <c r="Y407" s="39">
        <f>IF($C407="","",IF(IFERROR(INDEX(LISTAS!$I$3:$I$42,MATCH($T407,LISTAS!$H$3:$H$42,0)),"NO")="SÍ",IF(N($X407)&gt;0,"CERRADA FUERA DE SLA","CERRADA EN SLA"),IF($U407="","SIN CLASIFICAR",IF(N($X407)&gt;0,"VENCIDA",IF(TODAY()&gt;=$U407-1,"POR VENCER","EN PLAZO")))))</f>
        <v/>
      </c>
      <c r="Z407" s="41" t="n"/>
      <c r="AA407" s="41" t="n"/>
      <c r="AB407" s="41" t="n"/>
    </row>
    <row r="408">
      <c r="A408" s="39">
        <f>IF($C408="","","NOV-"&amp;TEXT(ROW()-3,"0000"))</f>
        <v/>
      </c>
      <c r="B408" s="40" t="n"/>
      <c r="C408" s="41" t="n"/>
      <c r="D408" s="42">
        <f>IF($C408="","",IFERROR(INDEX(DESPACHOS!$D$3:$D$3002,MATCH($C408,DESPACHOS!$B$3:$B$3002,0)),"SIN DESPACHO"))</f>
        <v/>
      </c>
      <c r="E408" s="42">
        <f>IF($C408="","",IFERROR(INDEX(DESPACHOS!$K$3:$K$3002,MATCH($C408,DESPACHOS!$B$3:$B$3002,0)),""))</f>
        <v/>
      </c>
      <c r="F408" s="42">
        <f>IF($C408="","",IFERROR(INDEX(DESPACHOS!$I$3:$I$3002,MATCH($C408,DESPACHOS!$B$3:$B$3002,0)),""))</f>
        <v/>
      </c>
      <c r="G408" s="42">
        <f>IF($C408="","",IFERROR(INDEX(DESPACHOS!$F$3:$F$3002,MATCH($C408,DESPACHOS!$B$3:$B$3002,0)),""))</f>
        <v/>
      </c>
      <c r="H408" s="42">
        <f>IF($C408="","",IFERROR(INDEX(DESPACHOS!$G$3:$G$3002,MATCH($C408,DESPACHOS!$B$3:$B$3002,0)),""))</f>
        <v/>
      </c>
      <c r="I408" s="39">
        <f>IF($C408="","",IFERROR(INDEX(DESPACHOS!$H$3:$H$3002,MATCH($C408,DESPACHOS!$B$3:$B$3002,0)),""))</f>
        <v/>
      </c>
      <c r="J408" s="43">
        <f>IF($C408="","",IFERROR(INDEX(DESPACHOS!$J$3:$J$3002,MATCH($C408,DESPACHOS!$B$3:$B$3002,0)),""))</f>
        <v/>
      </c>
      <c r="K408" s="39">
        <f>IF($C408="","",IF(COUNTIFS(DESPACHOS!$B$3:$B$3002,$C408)=0,"NO EXISTE",IF(COUNTIFS(DESPACHOS!$B$3:$B$3002,$C408)&gt;1,"DUPLICADO","OK")))</f>
        <v/>
      </c>
      <c r="L408" s="41" t="n"/>
      <c r="M408" s="41" t="n"/>
      <c r="N408" s="42">
        <f>IF($M408="","",IFERROR(INDEX(LISTAS!$F$3:$F$42,MATCH($M408,LISTAS!$E$3:$E$42,0)),"Por definir"))</f>
        <v/>
      </c>
      <c r="O408" s="41" t="n"/>
      <c r="P408" s="39">
        <f>IF($L408="","",IFERROR(INDEX(LISTAS!$B$3:$B$42,MATCH($L408,LISTAS!$A$3:$A$42,0)),"Media"))</f>
        <v/>
      </c>
      <c r="Q408" s="44" t="n"/>
      <c r="R408" s="45" t="n"/>
      <c r="S408" s="20">
        <f>IFERROR(IF(OR($R408="",$C408=""),"",$R408/INDEX(DESPACHOS!$M$3:$M$3002,MATCH($C408,DESPACHOS!$B$3:$B$3002,0))),"")</f>
        <v/>
      </c>
      <c r="T408" s="41" t="n"/>
      <c r="U408" s="43">
        <f>IF(OR($B408="",$L408=""),"",WORKDAY($B408,IFERROR(INDEX(LISTAS!$C$3:$C$42,MATCH($L408,LISTAS!$A$3:$A$42,0)),3)))</f>
        <v/>
      </c>
      <c r="V408" s="40" t="n"/>
      <c r="W408" s="19">
        <f>IF($B408="","",IF($V408&lt;&gt;"",$V408-$B408,TODAY()-$B408))</f>
        <v/>
      </c>
      <c r="X408" s="19">
        <f>IF(OR($B408="",$U408=""),"",IF($V408&lt;&gt;"",MAX(0,$V408-$U408),MAX(0,TODAY()-$U408)))</f>
        <v/>
      </c>
      <c r="Y408" s="39">
        <f>IF($C408="","",IF(IFERROR(INDEX(LISTAS!$I$3:$I$42,MATCH($T408,LISTAS!$H$3:$H$42,0)),"NO")="SÍ",IF(N($X408)&gt;0,"CERRADA FUERA DE SLA","CERRADA EN SLA"),IF($U408="","SIN CLASIFICAR",IF(N($X408)&gt;0,"VENCIDA",IF(TODAY()&gt;=$U408-1,"POR VENCER","EN PLAZO")))))</f>
        <v/>
      </c>
      <c r="Z408" s="41" t="n"/>
      <c r="AA408" s="41" t="n"/>
      <c r="AB408" s="41" t="n"/>
    </row>
    <row r="409">
      <c r="A409" s="39">
        <f>IF($C409="","","NOV-"&amp;TEXT(ROW()-3,"0000"))</f>
        <v/>
      </c>
      <c r="B409" s="40" t="n"/>
      <c r="C409" s="41" t="n"/>
      <c r="D409" s="42">
        <f>IF($C409="","",IFERROR(INDEX(DESPACHOS!$D$3:$D$3002,MATCH($C409,DESPACHOS!$B$3:$B$3002,0)),"SIN DESPACHO"))</f>
        <v/>
      </c>
      <c r="E409" s="42">
        <f>IF($C409="","",IFERROR(INDEX(DESPACHOS!$K$3:$K$3002,MATCH($C409,DESPACHOS!$B$3:$B$3002,0)),""))</f>
        <v/>
      </c>
      <c r="F409" s="42">
        <f>IF($C409="","",IFERROR(INDEX(DESPACHOS!$I$3:$I$3002,MATCH($C409,DESPACHOS!$B$3:$B$3002,0)),""))</f>
        <v/>
      </c>
      <c r="G409" s="42">
        <f>IF($C409="","",IFERROR(INDEX(DESPACHOS!$F$3:$F$3002,MATCH($C409,DESPACHOS!$B$3:$B$3002,0)),""))</f>
        <v/>
      </c>
      <c r="H409" s="42">
        <f>IF($C409="","",IFERROR(INDEX(DESPACHOS!$G$3:$G$3002,MATCH($C409,DESPACHOS!$B$3:$B$3002,0)),""))</f>
        <v/>
      </c>
      <c r="I409" s="39">
        <f>IF($C409="","",IFERROR(INDEX(DESPACHOS!$H$3:$H$3002,MATCH($C409,DESPACHOS!$B$3:$B$3002,0)),""))</f>
        <v/>
      </c>
      <c r="J409" s="43">
        <f>IF($C409="","",IFERROR(INDEX(DESPACHOS!$J$3:$J$3002,MATCH($C409,DESPACHOS!$B$3:$B$3002,0)),""))</f>
        <v/>
      </c>
      <c r="K409" s="39">
        <f>IF($C409="","",IF(COUNTIFS(DESPACHOS!$B$3:$B$3002,$C409)=0,"NO EXISTE",IF(COUNTIFS(DESPACHOS!$B$3:$B$3002,$C409)&gt;1,"DUPLICADO","OK")))</f>
        <v/>
      </c>
      <c r="L409" s="41" t="n"/>
      <c r="M409" s="41" t="n"/>
      <c r="N409" s="42">
        <f>IF($M409="","",IFERROR(INDEX(LISTAS!$F$3:$F$42,MATCH($M409,LISTAS!$E$3:$E$42,0)),"Por definir"))</f>
        <v/>
      </c>
      <c r="O409" s="41" t="n"/>
      <c r="P409" s="39">
        <f>IF($L409="","",IFERROR(INDEX(LISTAS!$B$3:$B$42,MATCH($L409,LISTAS!$A$3:$A$42,0)),"Media"))</f>
        <v/>
      </c>
      <c r="Q409" s="44" t="n"/>
      <c r="R409" s="45" t="n"/>
      <c r="S409" s="20">
        <f>IFERROR(IF(OR($R409="",$C409=""),"",$R409/INDEX(DESPACHOS!$M$3:$M$3002,MATCH($C409,DESPACHOS!$B$3:$B$3002,0))),"")</f>
        <v/>
      </c>
      <c r="T409" s="41" t="n"/>
      <c r="U409" s="43">
        <f>IF(OR($B409="",$L409=""),"",WORKDAY($B409,IFERROR(INDEX(LISTAS!$C$3:$C$42,MATCH($L409,LISTAS!$A$3:$A$42,0)),3)))</f>
        <v/>
      </c>
      <c r="V409" s="40" t="n"/>
      <c r="W409" s="19">
        <f>IF($B409="","",IF($V409&lt;&gt;"",$V409-$B409,TODAY()-$B409))</f>
        <v/>
      </c>
      <c r="X409" s="19">
        <f>IF(OR($B409="",$U409=""),"",IF($V409&lt;&gt;"",MAX(0,$V409-$U409),MAX(0,TODAY()-$U409)))</f>
        <v/>
      </c>
      <c r="Y409" s="39">
        <f>IF($C409="","",IF(IFERROR(INDEX(LISTAS!$I$3:$I$42,MATCH($T409,LISTAS!$H$3:$H$42,0)),"NO")="SÍ",IF(N($X409)&gt;0,"CERRADA FUERA DE SLA","CERRADA EN SLA"),IF($U409="","SIN CLASIFICAR",IF(N($X409)&gt;0,"VENCIDA",IF(TODAY()&gt;=$U409-1,"POR VENCER","EN PLAZO")))))</f>
        <v/>
      </c>
      <c r="Z409" s="41" t="n"/>
      <c r="AA409" s="41" t="n"/>
      <c r="AB409" s="41" t="n"/>
    </row>
    <row r="410">
      <c r="A410" s="39">
        <f>IF($C410="","","NOV-"&amp;TEXT(ROW()-3,"0000"))</f>
        <v/>
      </c>
      <c r="B410" s="40" t="n"/>
      <c r="C410" s="41" t="n"/>
      <c r="D410" s="42">
        <f>IF($C410="","",IFERROR(INDEX(DESPACHOS!$D$3:$D$3002,MATCH($C410,DESPACHOS!$B$3:$B$3002,0)),"SIN DESPACHO"))</f>
        <v/>
      </c>
      <c r="E410" s="42">
        <f>IF($C410="","",IFERROR(INDEX(DESPACHOS!$K$3:$K$3002,MATCH($C410,DESPACHOS!$B$3:$B$3002,0)),""))</f>
        <v/>
      </c>
      <c r="F410" s="42">
        <f>IF($C410="","",IFERROR(INDEX(DESPACHOS!$I$3:$I$3002,MATCH($C410,DESPACHOS!$B$3:$B$3002,0)),""))</f>
        <v/>
      </c>
      <c r="G410" s="42">
        <f>IF($C410="","",IFERROR(INDEX(DESPACHOS!$F$3:$F$3002,MATCH($C410,DESPACHOS!$B$3:$B$3002,0)),""))</f>
        <v/>
      </c>
      <c r="H410" s="42">
        <f>IF($C410="","",IFERROR(INDEX(DESPACHOS!$G$3:$G$3002,MATCH($C410,DESPACHOS!$B$3:$B$3002,0)),""))</f>
        <v/>
      </c>
      <c r="I410" s="39">
        <f>IF($C410="","",IFERROR(INDEX(DESPACHOS!$H$3:$H$3002,MATCH($C410,DESPACHOS!$B$3:$B$3002,0)),""))</f>
        <v/>
      </c>
      <c r="J410" s="43">
        <f>IF($C410="","",IFERROR(INDEX(DESPACHOS!$J$3:$J$3002,MATCH($C410,DESPACHOS!$B$3:$B$3002,0)),""))</f>
        <v/>
      </c>
      <c r="K410" s="39">
        <f>IF($C410="","",IF(COUNTIFS(DESPACHOS!$B$3:$B$3002,$C410)=0,"NO EXISTE",IF(COUNTIFS(DESPACHOS!$B$3:$B$3002,$C410)&gt;1,"DUPLICADO","OK")))</f>
        <v/>
      </c>
      <c r="L410" s="41" t="n"/>
      <c r="M410" s="41" t="n"/>
      <c r="N410" s="42">
        <f>IF($M410="","",IFERROR(INDEX(LISTAS!$F$3:$F$42,MATCH($M410,LISTAS!$E$3:$E$42,0)),"Por definir"))</f>
        <v/>
      </c>
      <c r="O410" s="41" t="n"/>
      <c r="P410" s="39">
        <f>IF($L410="","",IFERROR(INDEX(LISTAS!$B$3:$B$42,MATCH($L410,LISTAS!$A$3:$A$42,0)),"Media"))</f>
        <v/>
      </c>
      <c r="Q410" s="44" t="n"/>
      <c r="R410" s="45" t="n"/>
      <c r="S410" s="20">
        <f>IFERROR(IF(OR($R410="",$C410=""),"",$R410/INDEX(DESPACHOS!$M$3:$M$3002,MATCH($C410,DESPACHOS!$B$3:$B$3002,0))),"")</f>
        <v/>
      </c>
      <c r="T410" s="41" t="n"/>
      <c r="U410" s="43">
        <f>IF(OR($B410="",$L410=""),"",WORKDAY($B410,IFERROR(INDEX(LISTAS!$C$3:$C$42,MATCH($L410,LISTAS!$A$3:$A$42,0)),3)))</f>
        <v/>
      </c>
      <c r="V410" s="40" t="n"/>
      <c r="W410" s="19">
        <f>IF($B410="","",IF($V410&lt;&gt;"",$V410-$B410,TODAY()-$B410))</f>
        <v/>
      </c>
      <c r="X410" s="19">
        <f>IF(OR($B410="",$U410=""),"",IF($V410&lt;&gt;"",MAX(0,$V410-$U410),MAX(0,TODAY()-$U410)))</f>
        <v/>
      </c>
      <c r="Y410" s="39">
        <f>IF($C410="","",IF(IFERROR(INDEX(LISTAS!$I$3:$I$42,MATCH($T410,LISTAS!$H$3:$H$42,0)),"NO")="SÍ",IF(N($X410)&gt;0,"CERRADA FUERA DE SLA","CERRADA EN SLA"),IF($U410="","SIN CLASIFICAR",IF(N($X410)&gt;0,"VENCIDA",IF(TODAY()&gt;=$U410-1,"POR VENCER","EN PLAZO")))))</f>
        <v/>
      </c>
      <c r="Z410" s="41" t="n"/>
      <c r="AA410" s="41" t="n"/>
      <c r="AB410" s="41" t="n"/>
    </row>
    <row r="411">
      <c r="A411" s="39">
        <f>IF($C411="","","NOV-"&amp;TEXT(ROW()-3,"0000"))</f>
        <v/>
      </c>
      <c r="B411" s="40" t="n"/>
      <c r="C411" s="41" t="n"/>
      <c r="D411" s="42">
        <f>IF($C411="","",IFERROR(INDEX(DESPACHOS!$D$3:$D$3002,MATCH($C411,DESPACHOS!$B$3:$B$3002,0)),"SIN DESPACHO"))</f>
        <v/>
      </c>
      <c r="E411" s="42">
        <f>IF($C411="","",IFERROR(INDEX(DESPACHOS!$K$3:$K$3002,MATCH($C411,DESPACHOS!$B$3:$B$3002,0)),""))</f>
        <v/>
      </c>
      <c r="F411" s="42">
        <f>IF($C411="","",IFERROR(INDEX(DESPACHOS!$I$3:$I$3002,MATCH($C411,DESPACHOS!$B$3:$B$3002,0)),""))</f>
        <v/>
      </c>
      <c r="G411" s="42">
        <f>IF($C411="","",IFERROR(INDEX(DESPACHOS!$F$3:$F$3002,MATCH($C411,DESPACHOS!$B$3:$B$3002,0)),""))</f>
        <v/>
      </c>
      <c r="H411" s="42">
        <f>IF($C411="","",IFERROR(INDEX(DESPACHOS!$G$3:$G$3002,MATCH($C411,DESPACHOS!$B$3:$B$3002,0)),""))</f>
        <v/>
      </c>
      <c r="I411" s="39">
        <f>IF($C411="","",IFERROR(INDEX(DESPACHOS!$H$3:$H$3002,MATCH($C411,DESPACHOS!$B$3:$B$3002,0)),""))</f>
        <v/>
      </c>
      <c r="J411" s="43">
        <f>IF($C411="","",IFERROR(INDEX(DESPACHOS!$J$3:$J$3002,MATCH($C411,DESPACHOS!$B$3:$B$3002,0)),""))</f>
        <v/>
      </c>
      <c r="K411" s="39">
        <f>IF($C411="","",IF(COUNTIFS(DESPACHOS!$B$3:$B$3002,$C411)=0,"NO EXISTE",IF(COUNTIFS(DESPACHOS!$B$3:$B$3002,$C411)&gt;1,"DUPLICADO","OK")))</f>
        <v/>
      </c>
      <c r="L411" s="41" t="n"/>
      <c r="M411" s="41" t="n"/>
      <c r="N411" s="42">
        <f>IF($M411="","",IFERROR(INDEX(LISTAS!$F$3:$F$42,MATCH($M411,LISTAS!$E$3:$E$42,0)),"Por definir"))</f>
        <v/>
      </c>
      <c r="O411" s="41" t="n"/>
      <c r="P411" s="39">
        <f>IF($L411="","",IFERROR(INDEX(LISTAS!$B$3:$B$42,MATCH($L411,LISTAS!$A$3:$A$42,0)),"Media"))</f>
        <v/>
      </c>
      <c r="Q411" s="44" t="n"/>
      <c r="R411" s="45" t="n"/>
      <c r="S411" s="20">
        <f>IFERROR(IF(OR($R411="",$C411=""),"",$R411/INDEX(DESPACHOS!$M$3:$M$3002,MATCH($C411,DESPACHOS!$B$3:$B$3002,0))),"")</f>
        <v/>
      </c>
      <c r="T411" s="41" t="n"/>
      <c r="U411" s="43">
        <f>IF(OR($B411="",$L411=""),"",WORKDAY($B411,IFERROR(INDEX(LISTAS!$C$3:$C$42,MATCH($L411,LISTAS!$A$3:$A$42,0)),3)))</f>
        <v/>
      </c>
      <c r="V411" s="40" t="n"/>
      <c r="W411" s="19">
        <f>IF($B411="","",IF($V411&lt;&gt;"",$V411-$B411,TODAY()-$B411))</f>
        <v/>
      </c>
      <c r="X411" s="19">
        <f>IF(OR($B411="",$U411=""),"",IF($V411&lt;&gt;"",MAX(0,$V411-$U411),MAX(0,TODAY()-$U411)))</f>
        <v/>
      </c>
      <c r="Y411" s="39">
        <f>IF($C411="","",IF(IFERROR(INDEX(LISTAS!$I$3:$I$42,MATCH($T411,LISTAS!$H$3:$H$42,0)),"NO")="SÍ",IF(N($X411)&gt;0,"CERRADA FUERA DE SLA","CERRADA EN SLA"),IF($U411="","SIN CLASIFICAR",IF(N($X411)&gt;0,"VENCIDA",IF(TODAY()&gt;=$U411-1,"POR VENCER","EN PLAZO")))))</f>
        <v/>
      </c>
      <c r="Z411" s="41" t="n"/>
      <c r="AA411" s="41" t="n"/>
      <c r="AB411" s="41" t="n"/>
    </row>
    <row r="412">
      <c r="A412" s="39">
        <f>IF($C412="","","NOV-"&amp;TEXT(ROW()-3,"0000"))</f>
        <v/>
      </c>
      <c r="B412" s="40" t="n"/>
      <c r="C412" s="41" t="n"/>
      <c r="D412" s="42">
        <f>IF($C412="","",IFERROR(INDEX(DESPACHOS!$D$3:$D$3002,MATCH($C412,DESPACHOS!$B$3:$B$3002,0)),"SIN DESPACHO"))</f>
        <v/>
      </c>
      <c r="E412" s="42">
        <f>IF($C412="","",IFERROR(INDEX(DESPACHOS!$K$3:$K$3002,MATCH($C412,DESPACHOS!$B$3:$B$3002,0)),""))</f>
        <v/>
      </c>
      <c r="F412" s="42">
        <f>IF($C412="","",IFERROR(INDEX(DESPACHOS!$I$3:$I$3002,MATCH($C412,DESPACHOS!$B$3:$B$3002,0)),""))</f>
        <v/>
      </c>
      <c r="G412" s="42">
        <f>IF($C412="","",IFERROR(INDEX(DESPACHOS!$F$3:$F$3002,MATCH($C412,DESPACHOS!$B$3:$B$3002,0)),""))</f>
        <v/>
      </c>
      <c r="H412" s="42">
        <f>IF($C412="","",IFERROR(INDEX(DESPACHOS!$G$3:$G$3002,MATCH($C412,DESPACHOS!$B$3:$B$3002,0)),""))</f>
        <v/>
      </c>
      <c r="I412" s="39">
        <f>IF($C412="","",IFERROR(INDEX(DESPACHOS!$H$3:$H$3002,MATCH($C412,DESPACHOS!$B$3:$B$3002,0)),""))</f>
        <v/>
      </c>
      <c r="J412" s="43">
        <f>IF($C412="","",IFERROR(INDEX(DESPACHOS!$J$3:$J$3002,MATCH($C412,DESPACHOS!$B$3:$B$3002,0)),""))</f>
        <v/>
      </c>
      <c r="K412" s="39">
        <f>IF($C412="","",IF(COUNTIFS(DESPACHOS!$B$3:$B$3002,$C412)=0,"NO EXISTE",IF(COUNTIFS(DESPACHOS!$B$3:$B$3002,$C412)&gt;1,"DUPLICADO","OK")))</f>
        <v/>
      </c>
      <c r="L412" s="41" t="n"/>
      <c r="M412" s="41" t="n"/>
      <c r="N412" s="42">
        <f>IF($M412="","",IFERROR(INDEX(LISTAS!$F$3:$F$42,MATCH($M412,LISTAS!$E$3:$E$42,0)),"Por definir"))</f>
        <v/>
      </c>
      <c r="O412" s="41" t="n"/>
      <c r="P412" s="39">
        <f>IF($L412="","",IFERROR(INDEX(LISTAS!$B$3:$B$42,MATCH($L412,LISTAS!$A$3:$A$42,0)),"Media"))</f>
        <v/>
      </c>
      <c r="Q412" s="44" t="n"/>
      <c r="R412" s="45" t="n"/>
      <c r="S412" s="20">
        <f>IFERROR(IF(OR($R412="",$C412=""),"",$R412/INDEX(DESPACHOS!$M$3:$M$3002,MATCH($C412,DESPACHOS!$B$3:$B$3002,0))),"")</f>
        <v/>
      </c>
      <c r="T412" s="41" t="n"/>
      <c r="U412" s="43">
        <f>IF(OR($B412="",$L412=""),"",WORKDAY($B412,IFERROR(INDEX(LISTAS!$C$3:$C$42,MATCH($L412,LISTAS!$A$3:$A$42,0)),3)))</f>
        <v/>
      </c>
      <c r="V412" s="40" t="n"/>
      <c r="W412" s="19">
        <f>IF($B412="","",IF($V412&lt;&gt;"",$V412-$B412,TODAY()-$B412))</f>
        <v/>
      </c>
      <c r="X412" s="19">
        <f>IF(OR($B412="",$U412=""),"",IF($V412&lt;&gt;"",MAX(0,$V412-$U412),MAX(0,TODAY()-$U412)))</f>
        <v/>
      </c>
      <c r="Y412" s="39">
        <f>IF($C412="","",IF(IFERROR(INDEX(LISTAS!$I$3:$I$42,MATCH($T412,LISTAS!$H$3:$H$42,0)),"NO")="SÍ",IF(N($X412)&gt;0,"CERRADA FUERA DE SLA","CERRADA EN SLA"),IF($U412="","SIN CLASIFICAR",IF(N($X412)&gt;0,"VENCIDA",IF(TODAY()&gt;=$U412-1,"POR VENCER","EN PLAZO")))))</f>
        <v/>
      </c>
      <c r="Z412" s="41" t="n"/>
      <c r="AA412" s="41" t="n"/>
      <c r="AB412" s="41" t="n"/>
    </row>
    <row r="413">
      <c r="A413" s="39">
        <f>IF($C413="","","NOV-"&amp;TEXT(ROW()-3,"0000"))</f>
        <v/>
      </c>
      <c r="B413" s="40" t="n"/>
      <c r="C413" s="41" t="n"/>
      <c r="D413" s="42">
        <f>IF($C413="","",IFERROR(INDEX(DESPACHOS!$D$3:$D$3002,MATCH($C413,DESPACHOS!$B$3:$B$3002,0)),"SIN DESPACHO"))</f>
        <v/>
      </c>
      <c r="E413" s="42">
        <f>IF($C413="","",IFERROR(INDEX(DESPACHOS!$K$3:$K$3002,MATCH($C413,DESPACHOS!$B$3:$B$3002,0)),""))</f>
        <v/>
      </c>
      <c r="F413" s="42">
        <f>IF($C413="","",IFERROR(INDEX(DESPACHOS!$I$3:$I$3002,MATCH($C413,DESPACHOS!$B$3:$B$3002,0)),""))</f>
        <v/>
      </c>
      <c r="G413" s="42">
        <f>IF($C413="","",IFERROR(INDEX(DESPACHOS!$F$3:$F$3002,MATCH($C413,DESPACHOS!$B$3:$B$3002,0)),""))</f>
        <v/>
      </c>
      <c r="H413" s="42">
        <f>IF($C413="","",IFERROR(INDEX(DESPACHOS!$G$3:$G$3002,MATCH($C413,DESPACHOS!$B$3:$B$3002,0)),""))</f>
        <v/>
      </c>
      <c r="I413" s="39">
        <f>IF($C413="","",IFERROR(INDEX(DESPACHOS!$H$3:$H$3002,MATCH($C413,DESPACHOS!$B$3:$B$3002,0)),""))</f>
        <v/>
      </c>
      <c r="J413" s="43">
        <f>IF($C413="","",IFERROR(INDEX(DESPACHOS!$J$3:$J$3002,MATCH($C413,DESPACHOS!$B$3:$B$3002,0)),""))</f>
        <v/>
      </c>
      <c r="K413" s="39">
        <f>IF($C413="","",IF(COUNTIFS(DESPACHOS!$B$3:$B$3002,$C413)=0,"NO EXISTE",IF(COUNTIFS(DESPACHOS!$B$3:$B$3002,$C413)&gt;1,"DUPLICADO","OK")))</f>
        <v/>
      </c>
      <c r="L413" s="41" t="n"/>
      <c r="M413" s="41" t="n"/>
      <c r="N413" s="42">
        <f>IF($M413="","",IFERROR(INDEX(LISTAS!$F$3:$F$42,MATCH($M413,LISTAS!$E$3:$E$42,0)),"Por definir"))</f>
        <v/>
      </c>
      <c r="O413" s="41" t="n"/>
      <c r="P413" s="39">
        <f>IF($L413="","",IFERROR(INDEX(LISTAS!$B$3:$B$42,MATCH($L413,LISTAS!$A$3:$A$42,0)),"Media"))</f>
        <v/>
      </c>
      <c r="Q413" s="44" t="n"/>
      <c r="R413" s="45" t="n"/>
      <c r="S413" s="20">
        <f>IFERROR(IF(OR($R413="",$C413=""),"",$R413/INDEX(DESPACHOS!$M$3:$M$3002,MATCH($C413,DESPACHOS!$B$3:$B$3002,0))),"")</f>
        <v/>
      </c>
      <c r="T413" s="41" t="n"/>
      <c r="U413" s="43">
        <f>IF(OR($B413="",$L413=""),"",WORKDAY($B413,IFERROR(INDEX(LISTAS!$C$3:$C$42,MATCH($L413,LISTAS!$A$3:$A$42,0)),3)))</f>
        <v/>
      </c>
      <c r="V413" s="40" t="n"/>
      <c r="W413" s="19">
        <f>IF($B413="","",IF($V413&lt;&gt;"",$V413-$B413,TODAY()-$B413))</f>
        <v/>
      </c>
      <c r="X413" s="19">
        <f>IF(OR($B413="",$U413=""),"",IF($V413&lt;&gt;"",MAX(0,$V413-$U413),MAX(0,TODAY()-$U413)))</f>
        <v/>
      </c>
      <c r="Y413" s="39">
        <f>IF($C413="","",IF(IFERROR(INDEX(LISTAS!$I$3:$I$42,MATCH($T413,LISTAS!$H$3:$H$42,0)),"NO")="SÍ",IF(N($X413)&gt;0,"CERRADA FUERA DE SLA","CERRADA EN SLA"),IF($U413="","SIN CLASIFICAR",IF(N($X413)&gt;0,"VENCIDA",IF(TODAY()&gt;=$U413-1,"POR VENCER","EN PLAZO")))))</f>
        <v/>
      </c>
      <c r="Z413" s="41" t="n"/>
      <c r="AA413" s="41" t="n"/>
      <c r="AB413" s="41" t="n"/>
    </row>
    <row r="414">
      <c r="A414" s="39">
        <f>IF($C414="","","NOV-"&amp;TEXT(ROW()-3,"0000"))</f>
        <v/>
      </c>
      <c r="B414" s="40" t="n"/>
      <c r="C414" s="41" t="n"/>
      <c r="D414" s="42">
        <f>IF($C414="","",IFERROR(INDEX(DESPACHOS!$D$3:$D$3002,MATCH($C414,DESPACHOS!$B$3:$B$3002,0)),"SIN DESPACHO"))</f>
        <v/>
      </c>
      <c r="E414" s="42">
        <f>IF($C414="","",IFERROR(INDEX(DESPACHOS!$K$3:$K$3002,MATCH($C414,DESPACHOS!$B$3:$B$3002,0)),""))</f>
        <v/>
      </c>
      <c r="F414" s="42">
        <f>IF($C414="","",IFERROR(INDEX(DESPACHOS!$I$3:$I$3002,MATCH($C414,DESPACHOS!$B$3:$B$3002,0)),""))</f>
        <v/>
      </c>
      <c r="G414" s="42">
        <f>IF($C414="","",IFERROR(INDEX(DESPACHOS!$F$3:$F$3002,MATCH($C414,DESPACHOS!$B$3:$B$3002,0)),""))</f>
        <v/>
      </c>
      <c r="H414" s="42">
        <f>IF($C414="","",IFERROR(INDEX(DESPACHOS!$G$3:$G$3002,MATCH($C414,DESPACHOS!$B$3:$B$3002,0)),""))</f>
        <v/>
      </c>
      <c r="I414" s="39">
        <f>IF($C414="","",IFERROR(INDEX(DESPACHOS!$H$3:$H$3002,MATCH($C414,DESPACHOS!$B$3:$B$3002,0)),""))</f>
        <v/>
      </c>
      <c r="J414" s="43">
        <f>IF($C414="","",IFERROR(INDEX(DESPACHOS!$J$3:$J$3002,MATCH($C414,DESPACHOS!$B$3:$B$3002,0)),""))</f>
        <v/>
      </c>
      <c r="K414" s="39">
        <f>IF($C414="","",IF(COUNTIFS(DESPACHOS!$B$3:$B$3002,$C414)=0,"NO EXISTE",IF(COUNTIFS(DESPACHOS!$B$3:$B$3002,$C414)&gt;1,"DUPLICADO","OK")))</f>
        <v/>
      </c>
      <c r="L414" s="41" t="n"/>
      <c r="M414" s="41" t="n"/>
      <c r="N414" s="42">
        <f>IF($M414="","",IFERROR(INDEX(LISTAS!$F$3:$F$42,MATCH($M414,LISTAS!$E$3:$E$42,0)),"Por definir"))</f>
        <v/>
      </c>
      <c r="O414" s="41" t="n"/>
      <c r="P414" s="39">
        <f>IF($L414="","",IFERROR(INDEX(LISTAS!$B$3:$B$42,MATCH($L414,LISTAS!$A$3:$A$42,0)),"Media"))</f>
        <v/>
      </c>
      <c r="Q414" s="44" t="n"/>
      <c r="R414" s="45" t="n"/>
      <c r="S414" s="20">
        <f>IFERROR(IF(OR($R414="",$C414=""),"",$R414/INDEX(DESPACHOS!$M$3:$M$3002,MATCH($C414,DESPACHOS!$B$3:$B$3002,0))),"")</f>
        <v/>
      </c>
      <c r="T414" s="41" t="n"/>
      <c r="U414" s="43">
        <f>IF(OR($B414="",$L414=""),"",WORKDAY($B414,IFERROR(INDEX(LISTAS!$C$3:$C$42,MATCH($L414,LISTAS!$A$3:$A$42,0)),3)))</f>
        <v/>
      </c>
      <c r="V414" s="40" t="n"/>
      <c r="W414" s="19">
        <f>IF($B414="","",IF($V414&lt;&gt;"",$V414-$B414,TODAY()-$B414))</f>
        <v/>
      </c>
      <c r="X414" s="19">
        <f>IF(OR($B414="",$U414=""),"",IF($V414&lt;&gt;"",MAX(0,$V414-$U414),MAX(0,TODAY()-$U414)))</f>
        <v/>
      </c>
      <c r="Y414" s="39">
        <f>IF($C414="","",IF(IFERROR(INDEX(LISTAS!$I$3:$I$42,MATCH($T414,LISTAS!$H$3:$H$42,0)),"NO")="SÍ",IF(N($X414)&gt;0,"CERRADA FUERA DE SLA","CERRADA EN SLA"),IF($U414="","SIN CLASIFICAR",IF(N($X414)&gt;0,"VENCIDA",IF(TODAY()&gt;=$U414-1,"POR VENCER","EN PLAZO")))))</f>
        <v/>
      </c>
      <c r="Z414" s="41" t="n"/>
      <c r="AA414" s="41" t="n"/>
      <c r="AB414" s="41" t="n"/>
    </row>
    <row r="415">
      <c r="A415" s="39">
        <f>IF($C415="","","NOV-"&amp;TEXT(ROW()-3,"0000"))</f>
        <v/>
      </c>
      <c r="B415" s="40" t="n"/>
      <c r="C415" s="41" t="n"/>
      <c r="D415" s="42">
        <f>IF($C415="","",IFERROR(INDEX(DESPACHOS!$D$3:$D$3002,MATCH($C415,DESPACHOS!$B$3:$B$3002,0)),"SIN DESPACHO"))</f>
        <v/>
      </c>
      <c r="E415" s="42">
        <f>IF($C415="","",IFERROR(INDEX(DESPACHOS!$K$3:$K$3002,MATCH($C415,DESPACHOS!$B$3:$B$3002,0)),""))</f>
        <v/>
      </c>
      <c r="F415" s="42">
        <f>IF($C415="","",IFERROR(INDEX(DESPACHOS!$I$3:$I$3002,MATCH($C415,DESPACHOS!$B$3:$B$3002,0)),""))</f>
        <v/>
      </c>
      <c r="G415" s="42">
        <f>IF($C415="","",IFERROR(INDEX(DESPACHOS!$F$3:$F$3002,MATCH($C415,DESPACHOS!$B$3:$B$3002,0)),""))</f>
        <v/>
      </c>
      <c r="H415" s="42">
        <f>IF($C415="","",IFERROR(INDEX(DESPACHOS!$G$3:$G$3002,MATCH($C415,DESPACHOS!$B$3:$B$3002,0)),""))</f>
        <v/>
      </c>
      <c r="I415" s="39">
        <f>IF($C415="","",IFERROR(INDEX(DESPACHOS!$H$3:$H$3002,MATCH($C415,DESPACHOS!$B$3:$B$3002,0)),""))</f>
        <v/>
      </c>
      <c r="J415" s="43">
        <f>IF($C415="","",IFERROR(INDEX(DESPACHOS!$J$3:$J$3002,MATCH($C415,DESPACHOS!$B$3:$B$3002,0)),""))</f>
        <v/>
      </c>
      <c r="K415" s="39">
        <f>IF($C415="","",IF(COUNTIFS(DESPACHOS!$B$3:$B$3002,$C415)=0,"NO EXISTE",IF(COUNTIFS(DESPACHOS!$B$3:$B$3002,$C415)&gt;1,"DUPLICADO","OK")))</f>
        <v/>
      </c>
      <c r="L415" s="41" t="n"/>
      <c r="M415" s="41" t="n"/>
      <c r="N415" s="42">
        <f>IF($M415="","",IFERROR(INDEX(LISTAS!$F$3:$F$42,MATCH($M415,LISTAS!$E$3:$E$42,0)),"Por definir"))</f>
        <v/>
      </c>
      <c r="O415" s="41" t="n"/>
      <c r="P415" s="39">
        <f>IF($L415="","",IFERROR(INDEX(LISTAS!$B$3:$B$42,MATCH($L415,LISTAS!$A$3:$A$42,0)),"Media"))</f>
        <v/>
      </c>
      <c r="Q415" s="44" t="n"/>
      <c r="R415" s="45" t="n"/>
      <c r="S415" s="20">
        <f>IFERROR(IF(OR($R415="",$C415=""),"",$R415/INDEX(DESPACHOS!$M$3:$M$3002,MATCH($C415,DESPACHOS!$B$3:$B$3002,0))),"")</f>
        <v/>
      </c>
      <c r="T415" s="41" t="n"/>
      <c r="U415" s="43">
        <f>IF(OR($B415="",$L415=""),"",WORKDAY($B415,IFERROR(INDEX(LISTAS!$C$3:$C$42,MATCH($L415,LISTAS!$A$3:$A$42,0)),3)))</f>
        <v/>
      </c>
      <c r="V415" s="40" t="n"/>
      <c r="W415" s="19">
        <f>IF($B415="","",IF($V415&lt;&gt;"",$V415-$B415,TODAY()-$B415))</f>
        <v/>
      </c>
      <c r="X415" s="19">
        <f>IF(OR($B415="",$U415=""),"",IF($V415&lt;&gt;"",MAX(0,$V415-$U415),MAX(0,TODAY()-$U415)))</f>
        <v/>
      </c>
      <c r="Y415" s="39">
        <f>IF($C415="","",IF(IFERROR(INDEX(LISTAS!$I$3:$I$42,MATCH($T415,LISTAS!$H$3:$H$42,0)),"NO")="SÍ",IF(N($X415)&gt;0,"CERRADA FUERA DE SLA","CERRADA EN SLA"),IF($U415="","SIN CLASIFICAR",IF(N($X415)&gt;0,"VENCIDA",IF(TODAY()&gt;=$U415-1,"POR VENCER","EN PLAZO")))))</f>
        <v/>
      </c>
      <c r="Z415" s="41" t="n"/>
      <c r="AA415" s="41" t="n"/>
      <c r="AB415" s="41" t="n"/>
    </row>
    <row r="416">
      <c r="A416" s="39">
        <f>IF($C416="","","NOV-"&amp;TEXT(ROW()-3,"0000"))</f>
        <v/>
      </c>
      <c r="B416" s="40" t="n"/>
      <c r="C416" s="41" t="n"/>
      <c r="D416" s="42">
        <f>IF($C416="","",IFERROR(INDEX(DESPACHOS!$D$3:$D$3002,MATCH($C416,DESPACHOS!$B$3:$B$3002,0)),"SIN DESPACHO"))</f>
        <v/>
      </c>
      <c r="E416" s="42">
        <f>IF($C416="","",IFERROR(INDEX(DESPACHOS!$K$3:$K$3002,MATCH($C416,DESPACHOS!$B$3:$B$3002,0)),""))</f>
        <v/>
      </c>
      <c r="F416" s="42">
        <f>IF($C416="","",IFERROR(INDEX(DESPACHOS!$I$3:$I$3002,MATCH($C416,DESPACHOS!$B$3:$B$3002,0)),""))</f>
        <v/>
      </c>
      <c r="G416" s="42">
        <f>IF($C416="","",IFERROR(INDEX(DESPACHOS!$F$3:$F$3002,MATCH($C416,DESPACHOS!$B$3:$B$3002,0)),""))</f>
        <v/>
      </c>
      <c r="H416" s="42">
        <f>IF($C416="","",IFERROR(INDEX(DESPACHOS!$G$3:$G$3002,MATCH($C416,DESPACHOS!$B$3:$B$3002,0)),""))</f>
        <v/>
      </c>
      <c r="I416" s="39">
        <f>IF($C416="","",IFERROR(INDEX(DESPACHOS!$H$3:$H$3002,MATCH($C416,DESPACHOS!$B$3:$B$3002,0)),""))</f>
        <v/>
      </c>
      <c r="J416" s="43">
        <f>IF($C416="","",IFERROR(INDEX(DESPACHOS!$J$3:$J$3002,MATCH($C416,DESPACHOS!$B$3:$B$3002,0)),""))</f>
        <v/>
      </c>
      <c r="K416" s="39">
        <f>IF($C416="","",IF(COUNTIFS(DESPACHOS!$B$3:$B$3002,$C416)=0,"NO EXISTE",IF(COUNTIFS(DESPACHOS!$B$3:$B$3002,$C416)&gt;1,"DUPLICADO","OK")))</f>
        <v/>
      </c>
      <c r="L416" s="41" t="n"/>
      <c r="M416" s="41" t="n"/>
      <c r="N416" s="42">
        <f>IF($M416="","",IFERROR(INDEX(LISTAS!$F$3:$F$42,MATCH($M416,LISTAS!$E$3:$E$42,0)),"Por definir"))</f>
        <v/>
      </c>
      <c r="O416" s="41" t="n"/>
      <c r="P416" s="39">
        <f>IF($L416="","",IFERROR(INDEX(LISTAS!$B$3:$B$42,MATCH($L416,LISTAS!$A$3:$A$42,0)),"Media"))</f>
        <v/>
      </c>
      <c r="Q416" s="44" t="n"/>
      <c r="R416" s="45" t="n"/>
      <c r="S416" s="20">
        <f>IFERROR(IF(OR($R416="",$C416=""),"",$R416/INDEX(DESPACHOS!$M$3:$M$3002,MATCH($C416,DESPACHOS!$B$3:$B$3002,0))),"")</f>
        <v/>
      </c>
      <c r="T416" s="41" t="n"/>
      <c r="U416" s="43">
        <f>IF(OR($B416="",$L416=""),"",WORKDAY($B416,IFERROR(INDEX(LISTAS!$C$3:$C$42,MATCH($L416,LISTAS!$A$3:$A$42,0)),3)))</f>
        <v/>
      </c>
      <c r="V416" s="40" t="n"/>
      <c r="W416" s="19">
        <f>IF($B416="","",IF($V416&lt;&gt;"",$V416-$B416,TODAY()-$B416))</f>
        <v/>
      </c>
      <c r="X416" s="19">
        <f>IF(OR($B416="",$U416=""),"",IF($V416&lt;&gt;"",MAX(0,$V416-$U416),MAX(0,TODAY()-$U416)))</f>
        <v/>
      </c>
      <c r="Y416" s="39">
        <f>IF($C416="","",IF(IFERROR(INDEX(LISTAS!$I$3:$I$42,MATCH($T416,LISTAS!$H$3:$H$42,0)),"NO")="SÍ",IF(N($X416)&gt;0,"CERRADA FUERA DE SLA","CERRADA EN SLA"),IF($U416="","SIN CLASIFICAR",IF(N($X416)&gt;0,"VENCIDA",IF(TODAY()&gt;=$U416-1,"POR VENCER","EN PLAZO")))))</f>
        <v/>
      </c>
      <c r="Z416" s="41" t="n"/>
      <c r="AA416" s="41" t="n"/>
      <c r="AB416" s="41" t="n"/>
    </row>
    <row r="417">
      <c r="A417" s="39">
        <f>IF($C417="","","NOV-"&amp;TEXT(ROW()-3,"0000"))</f>
        <v/>
      </c>
      <c r="B417" s="40" t="n"/>
      <c r="C417" s="41" t="n"/>
      <c r="D417" s="42">
        <f>IF($C417="","",IFERROR(INDEX(DESPACHOS!$D$3:$D$3002,MATCH($C417,DESPACHOS!$B$3:$B$3002,0)),"SIN DESPACHO"))</f>
        <v/>
      </c>
      <c r="E417" s="42">
        <f>IF($C417="","",IFERROR(INDEX(DESPACHOS!$K$3:$K$3002,MATCH($C417,DESPACHOS!$B$3:$B$3002,0)),""))</f>
        <v/>
      </c>
      <c r="F417" s="42">
        <f>IF($C417="","",IFERROR(INDEX(DESPACHOS!$I$3:$I$3002,MATCH($C417,DESPACHOS!$B$3:$B$3002,0)),""))</f>
        <v/>
      </c>
      <c r="G417" s="42">
        <f>IF($C417="","",IFERROR(INDEX(DESPACHOS!$F$3:$F$3002,MATCH($C417,DESPACHOS!$B$3:$B$3002,0)),""))</f>
        <v/>
      </c>
      <c r="H417" s="42">
        <f>IF($C417="","",IFERROR(INDEX(DESPACHOS!$G$3:$G$3002,MATCH($C417,DESPACHOS!$B$3:$B$3002,0)),""))</f>
        <v/>
      </c>
      <c r="I417" s="39">
        <f>IF($C417="","",IFERROR(INDEX(DESPACHOS!$H$3:$H$3002,MATCH($C417,DESPACHOS!$B$3:$B$3002,0)),""))</f>
        <v/>
      </c>
      <c r="J417" s="43">
        <f>IF($C417="","",IFERROR(INDEX(DESPACHOS!$J$3:$J$3002,MATCH($C417,DESPACHOS!$B$3:$B$3002,0)),""))</f>
        <v/>
      </c>
      <c r="K417" s="39">
        <f>IF($C417="","",IF(COUNTIFS(DESPACHOS!$B$3:$B$3002,$C417)=0,"NO EXISTE",IF(COUNTIFS(DESPACHOS!$B$3:$B$3002,$C417)&gt;1,"DUPLICADO","OK")))</f>
        <v/>
      </c>
      <c r="L417" s="41" t="n"/>
      <c r="M417" s="41" t="n"/>
      <c r="N417" s="42">
        <f>IF($M417="","",IFERROR(INDEX(LISTAS!$F$3:$F$42,MATCH($M417,LISTAS!$E$3:$E$42,0)),"Por definir"))</f>
        <v/>
      </c>
      <c r="O417" s="41" t="n"/>
      <c r="P417" s="39">
        <f>IF($L417="","",IFERROR(INDEX(LISTAS!$B$3:$B$42,MATCH($L417,LISTAS!$A$3:$A$42,0)),"Media"))</f>
        <v/>
      </c>
      <c r="Q417" s="44" t="n"/>
      <c r="R417" s="45" t="n"/>
      <c r="S417" s="20">
        <f>IFERROR(IF(OR($R417="",$C417=""),"",$R417/INDEX(DESPACHOS!$M$3:$M$3002,MATCH($C417,DESPACHOS!$B$3:$B$3002,0))),"")</f>
        <v/>
      </c>
      <c r="T417" s="41" t="n"/>
      <c r="U417" s="43">
        <f>IF(OR($B417="",$L417=""),"",WORKDAY($B417,IFERROR(INDEX(LISTAS!$C$3:$C$42,MATCH($L417,LISTAS!$A$3:$A$42,0)),3)))</f>
        <v/>
      </c>
      <c r="V417" s="40" t="n"/>
      <c r="W417" s="19">
        <f>IF($B417="","",IF($V417&lt;&gt;"",$V417-$B417,TODAY()-$B417))</f>
        <v/>
      </c>
      <c r="X417" s="19">
        <f>IF(OR($B417="",$U417=""),"",IF($V417&lt;&gt;"",MAX(0,$V417-$U417),MAX(0,TODAY()-$U417)))</f>
        <v/>
      </c>
      <c r="Y417" s="39">
        <f>IF($C417="","",IF(IFERROR(INDEX(LISTAS!$I$3:$I$42,MATCH($T417,LISTAS!$H$3:$H$42,0)),"NO")="SÍ",IF(N($X417)&gt;0,"CERRADA FUERA DE SLA","CERRADA EN SLA"),IF($U417="","SIN CLASIFICAR",IF(N($X417)&gt;0,"VENCIDA",IF(TODAY()&gt;=$U417-1,"POR VENCER","EN PLAZO")))))</f>
        <v/>
      </c>
      <c r="Z417" s="41" t="n"/>
      <c r="AA417" s="41" t="n"/>
      <c r="AB417" s="41" t="n"/>
    </row>
    <row r="418">
      <c r="A418" s="39">
        <f>IF($C418="","","NOV-"&amp;TEXT(ROW()-3,"0000"))</f>
        <v/>
      </c>
      <c r="B418" s="40" t="n"/>
      <c r="C418" s="41" t="n"/>
      <c r="D418" s="42">
        <f>IF($C418="","",IFERROR(INDEX(DESPACHOS!$D$3:$D$3002,MATCH($C418,DESPACHOS!$B$3:$B$3002,0)),"SIN DESPACHO"))</f>
        <v/>
      </c>
      <c r="E418" s="42">
        <f>IF($C418="","",IFERROR(INDEX(DESPACHOS!$K$3:$K$3002,MATCH($C418,DESPACHOS!$B$3:$B$3002,0)),""))</f>
        <v/>
      </c>
      <c r="F418" s="42">
        <f>IF($C418="","",IFERROR(INDEX(DESPACHOS!$I$3:$I$3002,MATCH($C418,DESPACHOS!$B$3:$B$3002,0)),""))</f>
        <v/>
      </c>
      <c r="G418" s="42">
        <f>IF($C418="","",IFERROR(INDEX(DESPACHOS!$F$3:$F$3002,MATCH($C418,DESPACHOS!$B$3:$B$3002,0)),""))</f>
        <v/>
      </c>
      <c r="H418" s="42">
        <f>IF($C418="","",IFERROR(INDEX(DESPACHOS!$G$3:$G$3002,MATCH($C418,DESPACHOS!$B$3:$B$3002,0)),""))</f>
        <v/>
      </c>
      <c r="I418" s="39">
        <f>IF($C418="","",IFERROR(INDEX(DESPACHOS!$H$3:$H$3002,MATCH($C418,DESPACHOS!$B$3:$B$3002,0)),""))</f>
        <v/>
      </c>
      <c r="J418" s="43">
        <f>IF($C418="","",IFERROR(INDEX(DESPACHOS!$J$3:$J$3002,MATCH($C418,DESPACHOS!$B$3:$B$3002,0)),""))</f>
        <v/>
      </c>
      <c r="K418" s="39">
        <f>IF($C418="","",IF(COUNTIFS(DESPACHOS!$B$3:$B$3002,$C418)=0,"NO EXISTE",IF(COUNTIFS(DESPACHOS!$B$3:$B$3002,$C418)&gt;1,"DUPLICADO","OK")))</f>
        <v/>
      </c>
      <c r="L418" s="41" t="n"/>
      <c r="M418" s="41" t="n"/>
      <c r="N418" s="42">
        <f>IF($M418="","",IFERROR(INDEX(LISTAS!$F$3:$F$42,MATCH($M418,LISTAS!$E$3:$E$42,0)),"Por definir"))</f>
        <v/>
      </c>
      <c r="O418" s="41" t="n"/>
      <c r="P418" s="39">
        <f>IF($L418="","",IFERROR(INDEX(LISTAS!$B$3:$B$42,MATCH($L418,LISTAS!$A$3:$A$42,0)),"Media"))</f>
        <v/>
      </c>
      <c r="Q418" s="44" t="n"/>
      <c r="R418" s="45" t="n"/>
      <c r="S418" s="20">
        <f>IFERROR(IF(OR($R418="",$C418=""),"",$R418/INDEX(DESPACHOS!$M$3:$M$3002,MATCH($C418,DESPACHOS!$B$3:$B$3002,0))),"")</f>
        <v/>
      </c>
      <c r="T418" s="41" t="n"/>
      <c r="U418" s="43">
        <f>IF(OR($B418="",$L418=""),"",WORKDAY($B418,IFERROR(INDEX(LISTAS!$C$3:$C$42,MATCH($L418,LISTAS!$A$3:$A$42,0)),3)))</f>
        <v/>
      </c>
      <c r="V418" s="40" t="n"/>
      <c r="W418" s="19">
        <f>IF($B418="","",IF($V418&lt;&gt;"",$V418-$B418,TODAY()-$B418))</f>
        <v/>
      </c>
      <c r="X418" s="19">
        <f>IF(OR($B418="",$U418=""),"",IF($V418&lt;&gt;"",MAX(0,$V418-$U418),MAX(0,TODAY()-$U418)))</f>
        <v/>
      </c>
      <c r="Y418" s="39">
        <f>IF($C418="","",IF(IFERROR(INDEX(LISTAS!$I$3:$I$42,MATCH($T418,LISTAS!$H$3:$H$42,0)),"NO")="SÍ",IF(N($X418)&gt;0,"CERRADA FUERA DE SLA","CERRADA EN SLA"),IF($U418="","SIN CLASIFICAR",IF(N($X418)&gt;0,"VENCIDA",IF(TODAY()&gt;=$U418-1,"POR VENCER","EN PLAZO")))))</f>
        <v/>
      </c>
      <c r="Z418" s="41" t="n"/>
      <c r="AA418" s="41" t="n"/>
      <c r="AB418" s="41" t="n"/>
    </row>
    <row r="419">
      <c r="A419" s="39">
        <f>IF($C419="","","NOV-"&amp;TEXT(ROW()-3,"0000"))</f>
        <v/>
      </c>
      <c r="B419" s="40" t="n"/>
      <c r="C419" s="41" t="n"/>
      <c r="D419" s="42">
        <f>IF($C419="","",IFERROR(INDEX(DESPACHOS!$D$3:$D$3002,MATCH($C419,DESPACHOS!$B$3:$B$3002,0)),"SIN DESPACHO"))</f>
        <v/>
      </c>
      <c r="E419" s="42">
        <f>IF($C419="","",IFERROR(INDEX(DESPACHOS!$K$3:$K$3002,MATCH($C419,DESPACHOS!$B$3:$B$3002,0)),""))</f>
        <v/>
      </c>
      <c r="F419" s="42">
        <f>IF($C419="","",IFERROR(INDEX(DESPACHOS!$I$3:$I$3002,MATCH($C419,DESPACHOS!$B$3:$B$3002,0)),""))</f>
        <v/>
      </c>
      <c r="G419" s="42">
        <f>IF($C419="","",IFERROR(INDEX(DESPACHOS!$F$3:$F$3002,MATCH($C419,DESPACHOS!$B$3:$B$3002,0)),""))</f>
        <v/>
      </c>
      <c r="H419" s="42">
        <f>IF($C419="","",IFERROR(INDEX(DESPACHOS!$G$3:$G$3002,MATCH($C419,DESPACHOS!$B$3:$B$3002,0)),""))</f>
        <v/>
      </c>
      <c r="I419" s="39">
        <f>IF($C419="","",IFERROR(INDEX(DESPACHOS!$H$3:$H$3002,MATCH($C419,DESPACHOS!$B$3:$B$3002,0)),""))</f>
        <v/>
      </c>
      <c r="J419" s="43">
        <f>IF($C419="","",IFERROR(INDEX(DESPACHOS!$J$3:$J$3002,MATCH($C419,DESPACHOS!$B$3:$B$3002,0)),""))</f>
        <v/>
      </c>
      <c r="K419" s="39">
        <f>IF($C419="","",IF(COUNTIFS(DESPACHOS!$B$3:$B$3002,$C419)=0,"NO EXISTE",IF(COUNTIFS(DESPACHOS!$B$3:$B$3002,$C419)&gt;1,"DUPLICADO","OK")))</f>
        <v/>
      </c>
      <c r="L419" s="41" t="n"/>
      <c r="M419" s="41" t="n"/>
      <c r="N419" s="42">
        <f>IF($M419="","",IFERROR(INDEX(LISTAS!$F$3:$F$42,MATCH($M419,LISTAS!$E$3:$E$42,0)),"Por definir"))</f>
        <v/>
      </c>
      <c r="O419" s="41" t="n"/>
      <c r="P419" s="39">
        <f>IF($L419="","",IFERROR(INDEX(LISTAS!$B$3:$B$42,MATCH($L419,LISTAS!$A$3:$A$42,0)),"Media"))</f>
        <v/>
      </c>
      <c r="Q419" s="44" t="n"/>
      <c r="R419" s="45" t="n"/>
      <c r="S419" s="20">
        <f>IFERROR(IF(OR($R419="",$C419=""),"",$R419/INDEX(DESPACHOS!$M$3:$M$3002,MATCH($C419,DESPACHOS!$B$3:$B$3002,0))),"")</f>
        <v/>
      </c>
      <c r="T419" s="41" t="n"/>
      <c r="U419" s="43">
        <f>IF(OR($B419="",$L419=""),"",WORKDAY($B419,IFERROR(INDEX(LISTAS!$C$3:$C$42,MATCH($L419,LISTAS!$A$3:$A$42,0)),3)))</f>
        <v/>
      </c>
      <c r="V419" s="40" t="n"/>
      <c r="W419" s="19">
        <f>IF($B419="","",IF($V419&lt;&gt;"",$V419-$B419,TODAY()-$B419))</f>
        <v/>
      </c>
      <c r="X419" s="19">
        <f>IF(OR($B419="",$U419=""),"",IF($V419&lt;&gt;"",MAX(0,$V419-$U419),MAX(0,TODAY()-$U419)))</f>
        <v/>
      </c>
      <c r="Y419" s="39">
        <f>IF($C419="","",IF(IFERROR(INDEX(LISTAS!$I$3:$I$42,MATCH($T419,LISTAS!$H$3:$H$42,0)),"NO")="SÍ",IF(N($X419)&gt;0,"CERRADA FUERA DE SLA","CERRADA EN SLA"),IF($U419="","SIN CLASIFICAR",IF(N($X419)&gt;0,"VENCIDA",IF(TODAY()&gt;=$U419-1,"POR VENCER","EN PLAZO")))))</f>
        <v/>
      </c>
      <c r="Z419" s="41" t="n"/>
      <c r="AA419" s="41" t="n"/>
      <c r="AB419" s="41" t="n"/>
    </row>
    <row r="420">
      <c r="A420" s="39">
        <f>IF($C420="","","NOV-"&amp;TEXT(ROW()-3,"0000"))</f>
        <v/>
      </c>
      <c r="B420" s="40" t="n"/>
      <c r="C420" s="41" t="n"/>
      <c r="D420" s="42">
        <f>IF($C420="","",IFERROR(INDEX(DESPACHOS!$D$3:$D$3002,MATCH($C420,DESPACHOS!$B$3:$B$3002,0)),"SIN DESPACHO"))</f>
        <v/>
      </c>
      <c r="E420" s="42">
        <f>IF($C420="","",IFERROR(INDEX(DESPACHOS!$K$3:$K$3002,MATCH($C420,DESPACHOS!$B$3:$B$3002,0)),""))</f>
        <v/>
      </c>
      <c r="F420" s="42">
        <f>IF($C420="","",IFERROR(INDEX(DESPACHOS!$I$3:$I$3002,MATCH($C420,DESPACHOS!$B$3:$B$3002,0)),""))</f>
        <v/>
      </c>
      <c r="G420" s="42">
        <f>IF($C420="","",IFERROR(INDEX(DESPACHOS!$F$3:$F$3002,MATCH($C420,DESPACHOS!$B$3:$B$3002,0)),""))</f>
        <v/>
      </c>
      <c r="H420" s="42">
        <f>IF($C420="","",IFERROR(INDEX(DESPACHOS!$G$3:$G$3002,MATCH($C420,DESPACHOS!$B$3:$B$3002,0)),""))</f>
        <v/>
      </c>
      <c r="I420" s="39">
        <f>IF($C420="","",IFERROR(INDEX(DESPACHOS!$H$3:$H$3002,MATCH($C420,DESPACHOS!$B$3:$B$3002,0)),""))</f>
        <v/>
      </c>
      <c r="J420" s="43">
        <f>IF($C420="","",IFERROR(INDEX(DESPACHOS!$J$3:$J$3002,MATCH($C420,DESPACHOS!$B$3:$B$3002,0)),""))</f>
        <v/>
      </c>
      <c r="K420" s="39">
        <f>IF($C420="","",IF(COUNTIFS(DESPACHOS!$B$3:$B$3002,$C420)=0,"NO EXISTE",IF(COUNTIFS(DESPACHOS!$B$3:$B$3002,$C420)&gt;1,"DUPLICADO","OK")))</f>
        <v/>
      </c>
      <c r="L420" s="41" t="n"/>
      <c r="M420" s="41" t="n"/>
      <c r="N420" s="42">
        <f>IF($M420="","",IFERROR(INDEX(LISTAS!$F$3:$F$42,MATCH($M420,LISTAS!$E$3:$E$42,0)),"Por definir"))</f>
        <v/>
      </c>
      <c r="O420" s="41" t="n"/>
      <c r="P420" s="39">
        <f>IF($L420="","",IFERROR(INDEX(LISTAS!$B$3:$B$42,MATCH($L420,LISTAS!$A$3:$A$42,0)),"Media"))</f>
        <v/>
      </c>
      <c r="Q420" s="44" t="n"/>
      <c r="R420" s="45" t="n"/>
      <c r="S420" s="20">
        <f>IFERROR(IF(OR($R420="",$C420=""),"",$R420/INDEX(DESPACHOS!$M$3:$M$3002,MATCH($C420,DESPACHOS!$B$3:$B$3002,0))),"")</f>
        <v/>
      </c>
      <c r="T420" s="41" t="n"/>
      <c r="U420" s="43">
        <f>IF(OR($B420="",$L420=""),"",WORKDAY($B420,IFERROR(INDEX(LISTAS!$C$3:$C$42,MATCH($L420,LISTAS!$A$3:$A$42,0)),3)))</f>
        <v/>
      </c>
      <c r="V420" s="40" t="n"/>
      <c r="W420" s="19">
        <f>IF($B420="","",IF($V420&lt;&gt;"",$V420-$B420,TODAY()-$B420))</f>
        <v/>
      </c>
      <c r="X420" s="19">
        <f>IF(OR($B420="",$U420=""),"",IF($V420&lt;&gt;"",MAX(0,$V420-$U420),MAX(0,TODAY()-$U420)))</f>
        <v/>
      </c>
      <c r="Y420" s="39">
        <f>IF($C420="","",IF(IFERROR(INDEX(LISTAS!$I$3:$I$42,MATCH($T420,LISTAS!$H$3:$H$42,0)),"NO")="SÍ",IF(N($X420)&gt;0,"CERRADA FUERA DE SLA","CERRADA EN SLA"),IF($U420="","SIN CLASIFICAR",IF(N($X420)&gt;0,"VENCIDA",IF(TODAY()&gt;=$U420-1,"POR VENCER","EN PLAZO")))))</f>
        <v/>
      </c>
      <c r="Z420" s="41" t="n"/>
      <c r="AA420" s="41" t="n"/>
      <c r="AB420" s="41" t="n"/>
    </row>
    <row r="421">
      <c r="A421" s="39">
        <f>IF($C421="","","NOV-"&amp;TEXT(ROW()-3,"0000"))</f>
        <v/>
      </c>
      <c r="B421" s="40" t="n"/>
      <c r="C421" s="41" t="n"/>
      <c r="D421" s="42">
        <f>IF($C421="","",IFERROR(INDEX(DESPACHOS!$D$3:$D$3002,MATCH($C421,DESPACHOS!$B$3:$B$3002,0)),"SIN DESPACHO"))</f>
        <v/>
      </c>
      <c r="E421" s="42">
        <f>IF($C421="","",IFERROR(INDEX(DESPACHOS!$K$3:$K$3002,MATCH($C421,DESPACHOS!$B$3:$B$3002,0)),""))</f>
        <v/>
      </c>
      <c r="F421" s="42">
        <f>IF($C421="","",IFERROR(INDEX(DESPACHOS!$I$3:$I$3002,MATCH($C421,DESPACHOS!$B$3:$B$3002,0)),""))</f>
        <v/>
      </c>
      <c r="G421" s="42">
        <f>IF($C421="","",IFERROR(INDEX(DESPACHOS!$F$3:$F$3002,MATCH($C421,DESPACHOS!$B$3:$B$3002,0)),""))</f>
        <v/>
      </c>
      <c r="H421" s="42">
        <f>IF($C421="","",IFERROR(INDEX(DESPACHOS!$G$3:$G$3002,MATCH($C421,DESPACHOS!$B$3:$B$3002,0)),""))</f>
        <v/>
      </c>
      <c r="I421" s="39">
        <f>IF($C421="","",IFERROR(INDEX(DESPACHOS!$H$3:$H$3002,MATCH($C421,DESPACHOS!$B$3:$B$3002,0)),""))</f>
        <v/>
      </c>
      <c r="J421" s="43">
        <f>IF($C421="","",IFERROR(INDEX(DESPACHOS!$J$3:$J$3002,MATCH($C421,DESPACHOS!$B$3:$B$3002,0)),""))</f>
        <v/>
      </c>
      <c r="K421" s="39">
        <f>IF($C421="","",IF(COUNTIFS(DESPACHOS!$B$3:$B$3002,$C421)=0,"NO EXISTE",IF(COUNTIFS(DESPACHOS!$B$3:$B$3002,$C421)&gt;1,"DUPLICADO","OK")))</f>
        <v/>
      </c>
      <c r="L421" s="41" t="n"/>
      <c r="M421" s="41" t="n"/>
      <c r="N421" s="42">
        <f>IF($M421="","",IFERROR(INDEX(LISTAS!$F$3:$F$42,MATCH($M421,LISTAS!$E$3:$E$42,0)),"Por definir"))</f>
        <v/>
      </c>
      <c r="O421" s="41" t="n"/>
      <c r="P421" s="39">
        <f>IF($L421="","",IFERROR(INDEX(LISTAS!$B$3:$B$42,MATCH($L421,LISTAS!$A$3:$A$42,0)),"Media"))</f>
        <v/>
      </c>
      <c r="Q421" s="44" t="n"/>
      <c r="R421" s="45" t="n"/>
      <c r="S421" s="20">
        <f>IFERROR(IF(OR($R421="",$C421=""),"",$R421/INDEX(DESPACHOS!$M$3:$M$3002,MATCH($C421,DESPACHOS!$B$3:$B$3002,0))),"")</f>
        <v/>
      </c>
      <c r="T421" s="41" t="n"/>
      <c r="U421" s="43">
        <f>IF(OR($B421="",$L421=""),"",WORKDAY($B421,IFERROR(INDEX(LISTAS!$C$3:$C$42,MATCH($L421,LISTAS!$A$3:$A$42,0)),3)))</f>
        <v/>
      </c>
      <c r="V421" s="40" t="n"/>
      <c r="W421" s="19">
        <f>IF($B421="","",IF($V421&lt;&gt;"",$V421-$B421,TODAY()-$B421))</f>
        <v/>
      </c>
      <c r="X421" s="19">
        <f>IF(OR($B421="",$U421=""),"",IF($V421&lt;&gt;"",MAX(0,$V421-$U421),MAX(0,TODAY()-$U421)))</f>
        <v/>
      </c>
      <c r="Y421" s="39">
        <f>IF($C421="","",IF(IFERROR(INDEX(LISTAS!$I$3:$I$42,MATCH($T421,LISTAS!$H$3:$H$42,0)),"NO")="SÍ",IF(N($X421)&gt;0,"CERRADA FUERA DE SLA","CERRADA EN SLA"),IF($U421="","SIN CLASIFICAR",IF(N($X421)&gt;0,"VENCIDA",IF(TODAY()&gt;=$U421-1,"POR VENCER","EN PLAZO")))))</f>
        <v/>
      </c>
      <c r="Z421" s="41" t="n"/>
      <c r="AA421" s="41" t="n"/>
      <c r="AB421" s="41" t="n"/>
    </row>
    <row r="422">
      <c r="A422" s="39">
        <f>IF($C422="","","NOV-"&amp;TEXT(ROW()-3,"0000"))</f>
        <v/>
      </c>
      <c r="B422" s="40" t="n"/>
      <c r="C422" s="41" t="n"/>
      <c r="D422" s="42">
        <f>IF($C422="","",IFERROR(INDEX(DESPACHOS!$D$3:$D$3002,MATCH($C422,DESPACHOS!$B$3:$B$3002,0)),"SIN DESPACHO"))</f>
        <v/>
      </c>
      <c r="E422" s="42">
        <f>IF($C422="","",IFERROR(INDEX(DESPACHOS!$K$3:$K$3002,MATCH($C422,DESPACHOS!$B$3:$B$3002,0)),""))</f>
        <v/>
      </c>
      <c r="F422" s="42">
        <f>IF($C422="","",IFERROR(INDEX(DESPACHOS!$I$3:$I$3002,MATCH($C422,DESPACHOS!$B$3:$B$3002,0)),""))</f>
        <v/>
      </c>
      <c r="G422" s="42">
        <f>IF($C422="","",IFERROR(INDEX(DESPACHOS!$F$3:$F$3002,MATCH($C422,DESPACHOS!$B$3:$B$3002,0)),""))</f>
        <v/>
      </c>
      <c r="H422" s="42">
        <f>IF($C422="","",IFERROR(INDEX(DESPACHOS!$G$3:$G$3002,MATCH($C422,DESPACHOS!$B$3:$B$3002,0)),""))</f>
        <v/>
      </c>
      <c r="I422" s="39">
        <f>IF($C422="","",IFERROR(INDEX(DESPACHOS!$H$3:$H$3002,MATCH($C422,DESPACHOS!$B$3:$B$3002,0)),""))</f>
        <v/>
      </c>
      <c r="J422" s="43">
        <f>IF($C422="","",IFERROR(INDEX(DESPACHOS!$J$3:$J$3002,MATCH($C422,DESPACHOS!$B$3:$B$3002,0)),""))</f>
        <v/>
      </c>
      <c r="K422" s="39">
        <f>IF($C422="","",IF(COUNTIFS(DESPACHOS!$B$3:$B$3002,$C422)=0,"NO EXISTE",IF(COUNTIFS(DESPACHOS!$B$3:$B$3002,$C422)&gt;1,"DUPLICADO","OK")))</f>
        <v/>
      </c>
      <c r="L422" s="41" t="n"/>
      <c r="M422" s="41" t="n"/>
      <c r="N422" s="42">
        <f>IF($M422="","",IFERROR(INDEX(LISTAS!$F$3:$F$42,MATCH($M422,LISTAS!$E$3:$E$42,0)),"Por definir"))</f>
        <v/>
      </c>
      <c r="O422" s="41" t="n"/>
      <c r="P422" s="39">
        <f>IF($L422="","",IFERROR(INDEX(LISTAS!$B$3:$B$42,MATCH($L422,LISTAS!$A$3:$A$42,0)),"Media"))</f>
        <v/>
      </c>
      <c r="Q422" s="44" t="n"/>
      <c r="R422" s="45" t="n"/>
      <c r="S422" s="20">
        <f>IFERROR(IF(OR($R422="",$C422=""),"",$R422/INDEX(DESPACHOS!$M$3:$M$3002,MATCH($C422,DESPACHOS!$B$3:$B$3002,0))),"")</f>
        <v/>
      </c>
      <c r="T422" s="41" t="n"/>
      <c r="U422" s="43">
        <f>IF(OR($B422="",$L422=""),"",WORKDAY($B422,IFERROR(INDEX(LISTAS!$C$3:$C$42,MATCH($L422,LISTAS!$A$3:$A$42,0)),3)))</f>
        <v/>
      </c>
      <c r="V422" s="40" t="n"/>
      <c r="W422" s="19">
        <f>IF($B422="","",IF($V422&lt;&gt;"",$V422-$B422,TODAY()-$B422))</f>
        <v/>
      </c>
      <c r="X422" s="19">
        <f>IF(OR($B422="",$U422=""),"",IF($V422&lt;&gt;"",MAX(0,$V422-$U422),MAX(0,TODAY()-$U422)))</f>
        <v/>
      </c>
      <c r="Y422" s="39">
        <f>IF($C422="","",IF(IFERROR(INDEX(LISTAS!$I$3:$I$42,MATCH($T422,LISTAS!$H$3:$H$42,0)),"NO")="SÍ",IF(N($X422)&gt;0,"CERRADA FUERA DE SLA","CERRADA EN SLA"),IF($U422="","SIN CLASIFICAR",IF(N($X422)&gt;0,"VENCIDA",IF(TODAY()&gt;=$U422-1,"POR VENCER","EN PLAZO")))))</f>
        <v/>
      </c>
      <c r="Z422" s="41" t="n"/>
      <c r="AA422" s="41" t="n"/>
      <c r="AB422" s="41" t="n"/>
    </row>
    <row r="423">
      <c r="A423" s="39">
        <f>IF($C423="","","NOV-"&amp;TEXT(ROW()-3,"0000"))</f>
        <v/>
      </c>
      <c r="B423" s="40" t="n"/>
      <c r="C423" s="41" t="n"/>
      <c r="D423" s="42">
        <f>IF($C423="","",IFERROR(INDEX(DESPACHOS!$D$3:$D$3002,MATCH($C423,DESPACHOS!$B$3:$B$3002,0)),"SIN DESPACHO"))</f>
        <v/>
      </c>
      <c r="E423" s="42">
        <f>IF($C423="","",IFERROR(INDEX(DESPACHOS!$K$3:$K$3002,MATCH($C423,DESPACHOS!$B$3:$B$3002,0)),""))</f>
        <v/>
      </c>
      <c r="F423" s="42">
        <f>IF($C423="","",IFERROR(INDEX(DESPACHOS!$I$3:$I$3002,MATCH($C423,DESPACHOS!$B$3:$B$3002,0)),""))</f>
        <v/>
      </c>
      <c r="G423" s="42">
        <f>IF($C423="","",IFERROR(INDEX(DESPACHOS!$F$3:$F$3002,MATCH($C423,DESPACHOS!$B$3:$B$3002,0)),""))</f>
        <v/>
      </c>
      <c r="H423" s="42">
        <f>IF($C423="","",IFERROR(INDEX(DESPACHOS!$G$3:$G$3002,MATCH($C423,DESPACHOS!$B$3:$B$3002,0)),""))</f>
        <v/>
      </c>
      <c r="I423" s="39">
        <f>IF($C423="","",IFERROR(INDEX(DESPACHOS!$H$3:$H$3002,MATCH($C423,DESPACHOS!$B$3:$B$3002,0)),""))</f>
        <v/>
      </c>
      <c r="J423" s="43">
        <f>IF($C423="","",IFERROR(INDEX(DESPACHOS!$J$3:$J$3002,MATCH($C423,DESPACHOS!$B$3:$B$3002,0)),""))</f>
        <v/>
      </c>
      <c r="K423" s="39">
        <f>IF($C423="","",IF(COUNTIFS(DESPACHOS!$B$3:$B$3002,$C423)=0,"NO EXISTE",IF(COUNTIFS(DESPACHOS!$B$3:$B$3002,$C423)&gt;1,"DUPLICADO","OK")))</f>
        <v/>
      </c>
      <c r="L423" s="41" t="n"/>
      <c r="M423" s="41" t="n"/>
      <c r="N423" s="42">
        <f>IF($M423="","",IFERROR(INDEX(LISTAS!$F$3:$F$42,MATCH($M423,LISTAS!$E$3:$E$42,0)),"Por definir"))</f>
        <v/>
      </c>
      <c r="O423" s="41" t="n"/>
      <c r="P423" s="39">
        <f>IF($L423="","",IFERROR(INDEX(LISTAS!$B$3:$B$42,MATCH($L423,LISTAS!$A$3:$A$42,0)),"Media"))</f>
        <v/>
      </c>
      <c r="Q423" s="44" t="n"/>
      <c r="R423" s="45" t="n"/>
      <c r="S423" s="20">
        <f>IFERROR(IF(OR($R423="",$C423=""),"",$R423/INDEX(DESPACHOS!$M$3:$M$3002,MATCH($C423,DESPACHOS!$B$3:$B$3002,0))),"")</f>
        <v/>
      </c>
      <c r="T423" s="41" t="n"/>
      <c r="U423" s="43">
        <f>IF(OR($B423="",$L423=""),"",WORKDAY($B423,IFERROR(INDEX(LISTAS!$C$3:$C$42,MATCH($L423,LISTAS!$A$3:$A$42,0)),3)))</f>
        <v/>
      </c>
      <c r="V423" s="40" t="n"/>
      <c r="W423" s="19">
        <f>IF($B423="","",IF($V423&lt;&gt;"",$V423-$B423,TODAY()-$B423))</f>
        <v/>
      </c>
      <c r="X423" s="19">
        <f>IF(OR($B423="",$U423=""),"",IF($V423&lt;&gt;"",MAX(0,$V423-$U423),MAX(0,TODAY()-$U423)))</f>
        <v/>
      </c>
      <c r="Y423" s="39">
        <f>IF($C423="","",IF(IFERROR(INDEX(LISTAS!$I$3:$I$42,MATCH($T423,LISTAS!$H$3:$H$42,0)),"NO")="SÍ",IF(N($X423)&gt;0,"CERRADA FUERA DE SLA","CERRADA EN SLA"),IF($U423="","SIN CLASIFICAR",IF(N($X423)&gt;0,"VENCIDA",IF(TODAY()&gt;=$U423-1,"POR VENCER","EN PLAZO")))))</f>
        <v/>
      </c>
      <c r="Z423" s="41" t="n"/>
      <c r="AA423" s="41" t="n"/>
      <c r="AB423" s="41" t="n"/>
    </row>
    <row r="424">
      <c r="A424" s="39">
        <f>IF($C424="","","NOV-"&amp;TEXT(ROW()-3,"0000"))</f>
        <v/>
      </c>
      <c r="B424" s="40" t="n"/>
      <c r="C424" s="41" t="n"/>
      <c r="D424" s="42">
        <f>IF($C424="","",IFERROR(INDEX(DESPACHOS!$D$3:$D$3002,MATCH($C424,DESPACHOS!$B$3:$B$3002,0)),"SIN DESPACHO"))</f>
        <v/>
      </c>
      <c r="E424" s="42">
        <f>IF($C424="","",IFERROR(INDEX(DESPACHOS!$K$3:$K$3002,MATCH($C424,DESPACHOS!$B$3:$B$3002,0)),""))</f>
        <v/>
      </c>
      <c r="F424" s="42">
        <f>IF($C424="","",IFERROR(INDEX(DESPACHOS!$I$3:$I$3002,MATCH($C424,DESPACHOS!$B$3:$B$3002,0)),""))</f>
        <v/>
      </c>
      <c r="G424" s="42">
        <f>IF($C424="","",IFERROR(INDEX(DESPACHOS!$F$3:$F$3002,MATCH($C424,DESPACHOS!$B$3:$B$3002,0)),""))</f>
        <v/>
      </c>
      <c r="H424" s="42">
        <f>IF($C424="","",IFERROR(INDEX(DESPACHOS!$G$3:$G$3002,MATCH($C424,DESPACHOS!$B$3:$B$3002,0)),""))</f>
        <v/>
      </c>
      <c r="I424" s="39">
        <f>IF($C424="","",IFERROR(INDEX(DESPACHOS!$H$3:$H$3002,MATCH($C424,DESPACHOS!$B$3:$B$3002,0)),""))</f>
        <v/>
      </c>
      <c r="J424" s="43">
        <f>IF($C424="","",IFERROR(INDEX(DESPACHOS!$J$3:$J$3002,MATCH($C424,DESPACHOS!$B$3:$B$3002,0)),""))</f>
        <v/>
      </c>
      <c r="K424" s="39">
        <f>IF($C424="","",IF(COUNTIFS(DESPACHOS!$B$3:$B$3002,$C424)=0,"NO EXISTE",IF(COUNTIFS(DESPACHOS!$B$3:$B$3002,$C424)&gt;1,"DUPLICADO","OK")))</f>
        <v/>
      </c>
      <c r="L424" s="41" t="n"/>
      <c r="M424" s="41" t="n"/>
      <c r="N424" s="42">
        <f>IF($M424="","",IFERROR(INDEX(LISTAS!$F$3:$F$42,MATCH($M424,LISTAS!$E$3:$E$42,0)),"Por definir"))</f>
        <v/>
      </c>
      <c r="O424" s="41" t="n"/>
      <c r="P424" s="39">
        <f>IF($L424="","",IFERROR(INDEX(LISTAS!$B$3:$B$42,MATCH($L424,LISTAS!$A$3:$A$42,0)),"Media"))</f>
        <v/>
      </c>
      <c r="Q424" s="44" t="n"/>
      <c r="R424" s="45" t="n"/>
      <c r="S424" s="20">
        <f>IFERROR(IF(OR($R424="",$C424=""),"",$R424/INDEX(DESPACHOS!$M$3:$M$3002,MATCH($C424,DESPACHOS!$B$3:$B$3002,0))),"")</f>
        <v/>
      </c>
      <c r="T424" s="41" t="n"/>
      <c r="U424" s="43">
        <f>IF(OR($B424="",$L424=""),"",WORKDAY($B424,IFERROR(INDEX(LISTAS!$C$3:$C$42,MATCH($L424,LISTAS!$A$3:$A$42,0)),3)))</f>
        <v/>
      </c>
      <c r="V424" s="40" t="n"/>
      <c r="W424" s="19">
        <f>IF($B424="","",IF($V424&lt;&gt;"",$V424-$B424,TODAY()-$B424))</f>
        <v/>
      </c>
      <c r="X424" s="19">
        <f>IF(OR($B424="",$U424=""),"",IF($V424&lt;&gt;"",MAX(0,$V424-$U424),MAX(0,TODAY()-$U424)))</f>
        <v/>
      </c>
      <c r="Y424" s="39">
        <f>IF($C424="","",IF(IFERROR(INDEX(LISTAS!$I$3:$I$42,MATCH($T424,LISTAS!$H$3:$H$42,0)),"NO")="SÍ",IF(N($X424)&gt;0,"CERRADA FUERA DE SLA","CERRADA EN SLA"),IF($U424="","SIN CLASIFICAR",IF(N($X424)&gt;0,"VENCIDA",IF(TODAY()&gt;=$U424-1,"POR VENCER","EN PLAZO")))))</f>
        <v/>
      </c>
      <c r="Z424" s="41" t="n"/>
      <c r="AA424" s="41" t="n"/>
      <c r="AB424" s="41" t="n"/>
    </row>
    <row r="425">
      <c r="A425" s="39">
        <f>IF($C425="","","NOV-"&amp;TEXT(ROW()-3,"0000"))</f>
        <v/>
      </c>
      <c r="B425" s="40" t="n"/>
      <c r="C425" s="41" t="n"/>
      <c r="D425" s="42">
        <f>IF($C425="","",IFERROR(INDEX(DESPACHOS!$D$3:$D$3002,MATCH($C425,DESPACHOS!$B$3:$B$3002,0)),"SIN DESPACHO"))</f>
        <v/>
      </c>
      <c r="E425" s="42">
        <f>IF($C425="","",IFERROR(INDEX(DESPACHOS!$K$3:$K$3002,MATCH($C425,DESPACHOS!$B$3:$B$3002,0)),""))</f>
        <v/>
      </c>
      <c r="F425" s="42">
        <f>IF($C425="","",IFERROR(INDEX(DESPACHOS!$I$3:$I$3002,MATCH($C425,DESPACHOS!$B$3:$B$3002,0)),""))</f>
        <v/>
      </c>
      <c r="G425" s="42">
        <f>IF($C425="","",IFERROR(INDEX(DESPACHOS!$F$3:$F$3002,MATCH($C425,DESPACHOS!$B$3:$B$3002,0)),""))</f>
        <v/>
      </c>
      <c r="H425" s="42">
        <f>IF($C425="","",IFERROR(INDEX(DESPACHOS!$G$3:$G$3002,MATCH($C425,DESPACHOS!$B$3:$B$3002,0)),""))</f>
        <v/>
      </c>
      <c r="I425" s="39">
        <f>IF($C425="","",IFERROR(INDEX(DESPACHOS!$H$3:$H$3002,MATCH($C425,DESPACHOS!$B$3:$B$3002,0)),""))</f>
        <v/>
      </c>
      <c r="J425" s="43">
        <f>IF($C425="","",IFERROR(INDEX(DESPACHOS!$J$3:$J$3002,MATCH($C425,DESPACHOS!$B$3:$B$3002,0)),""))</f>
        <v/>
      </c>
      <c r="K425" s="39">
        <f>IF($C425="","",IF(COUNTIFS(DESPACHOS!$B$3:$B$3002,$C425)=0,"NO EXISTE",IF(COUNTIFS(DESPACHOS!$B$3:$B$3002,$C425)&gt;1,"DUPLICADO","OK")))</f>
        <v/>
      </c>
      <c r="L425" s="41" t="n"/>
      <c r="M425" s="41" t="n"/>
      <c r="N425" s="42">
        <f>IF($M425="","",IFERROR(INDEX(LISTAS!$F$3:$F$42,MATCH($M425,LISTAS!$E$3:$E$42,0)),"Por definir"))</f>
        <v/>
      </c>
      <c r="O425" s="41" t="n"/>
      <c r="P425" s="39">
        <f>IF($L425="","",IFERROR(INDEX(LISTAS!$B$3:$B$42,MATCH($L425,LISTAS!$A$3:$A$42,0)),"Media"))</f>
        <v/>
      </c>
      <c r="Q425" s="44" t="n"/>
      <c r="R425" s="45" t="n"/>
      <c r="S425" s="20">
        <f>IFERROR(IF(OR($R425="",$C425=""),"",$R425/INDEX(DESPACHOS!$M$3:$M$3002,MATCH($C425,DESPACHOS!$B$3:$B$3002,0))),"")</f>
        <v/>
      </c>
      <c r="T425" s="41" t="n"/>
      <c r="U425" s="43">
        <f>IF(OR($B425="",$L425=""),"",WORKDAY($B425,IFERROR(INDEX(LISTAS!$C$3:$C$42,MATCH($L425,LISTAS!$A$3:$A$42,0)),3)))</f>
        <v/>
      </c>
      <c r="V425" s="40" t="n"/>
      <c r="W425" s="19">
        <f>IF($B425="","",IF($V425&lt;&gt;"",$V425-$B425,TODAY()-$B425))</f>
        <v/>
      </c>
      <c r="X425" s="19">
        <f>IF(OR($B425="",$U425=""),"",IF($V425&lt;&gt;"",MAX(0,$V425-$U425),MAX(0,TODAY()-$U425)))</f>
        <v/>
      </c>
      <c r="Y425" s="39">
        <f>IF($C425="","",IF(IFERROR(INDEX(LISTAS!$I$3:$I$42,MATCH($T425,LISTAS!$H$3:$H$42,0)),"NO")="SÍ",IF(N($X425)&gt;0,"CERRADA FUERA DE SLA","CERRADA EN SLA"),IF($U425="","SIN CLASIFICAR",IF(N($X425)&gt;0,"VENCIDA",IF(TODAY()&gt;=$U425-1,"POR VENCER","EN PLAZO")))))</f>
        <v/>
      </c>
      <c r="Z425" s="41" t="n"/>
      <c r="AA425" s="41" t="n"/>
      <c r="AB425" s="41" t="n"/>
    </row>
    <row r="426">
      <c r="A426" s="39">
        <f>IF($C426="","","NOV-"&amp;TEXT(ROW()-3,"0000"))</f>
        <v/>
      </c>
      <c r="B426" s="40" t="n"/>
      <c r="C426" s="41" t="n"/>
      <c r="D426" s="42">
        <f>IF($C426="","",IFERROR(INDEX(DESPACHOS!$D$3:$D$3002,MATCH($C426,DESPACHOS!$B$3:$B$3002,0)),"SIN DESPACHO"))</f>
        <v/>
      </c>
      <c r="E426" s="42">
        <f>IF($C426="","",IFERROR(INDEX(DESPACHOS!$K$3:$K$3002,MATCH($C426,DESPACHOS!$B$3:$B$3002,0)),""))</f>
        <v/>
      </c>
      <c r="F426" s="42">
        <f>IF($C426="","",IFERROR(INDEX(DESPACHOS!$I$3:$I$3002,MATCH($C426,DESPACHOS!$B$3:$B$3002,0)),""))</f>
        <v/>
      </c>
      <c r="G426" s="42">
        <f>IF($C426="","",IFERROR(INDEX(DESPACHOS!$F$3:$F$3002,MATCH($C426,DESPACHOS!$B$3:$B$3002,0)),""))</f>
        <v/>
      </c>
      <c r="H426" s="42">
        <f>IF($C426="","",IFERROR(INDEX(DESPACHOS!$G$3:$G$3002,MATCH($C426,DESPACHOS!$B$3:$B$3002,0)),""))</f>
        <v/>
      </c>
      <c r="I426" s="39">
        <f>IF($C426="","",IFERROR(INDEX(DESPACHOS!$H$3:$H$3002,MATCH($C426,DESPACHOS!$B$3:$B$3002,0)),""))</f>
        <v/>
      </c>
      <c r="J426" s="43">
        <f>IF($C426="","",IFERROR(INDEX(DESPACHOS!$J$3:$J$3002,MATCH($C426,DESPACHOS!$B$3:$B$3002,0)),""))</f>
        <v/>
      </c>
      <c r="K426" s="39">
        <f>IF($C426="","",IF(COUNTIFS(DESPACHOS!$B$3:$B$3002,$C426)=0,"NO EXISTE",IF(COUNTIFS(DESPACHOS!$B$3:$B$3002,$C426)&gt;1,"DUPLICADO","OK")))</f>
        <v/>
      </c>
      <c r="L426" s="41" t="n"/>
      <c r="M426" s="41" t="n"/>
      <c r="N426" s="42">
        <f>IF($M426="","",IFERROR(INDEX(LISTAS!$F$3:$F$42,MATCH($M426,LISTAS!$E$3:$E$42,0)),"Por definir"))</f>
        <v/>
      </c>
      <c r="O426" s="41" t="n"/>
      <c r="P426" s="39">
        <f>IF($L426="","",IFERROR(INDEX(LISTAS!$B$3:$B$42,MATCH($L426,LISTAS!$A$3:$A$42,0)),"Media"))</f>
        <v/>
      </c>
      <c r="Q426" s="44" t="n"/>
      <c r="R426" s="45" t="n"/>
      <c r="S426" s="20">
        <f>IFERROR(IF(OR($R426="",$C426=""),"",$R426/INDEX(DESPACHOS!$M$3:$M$3002,MATCH($C426,DESPACHOS!$B$3:$B$3002,0))),"")</f>
        <v/>
      </c>
      <c r="T426" s="41" t="n"/>
      <c r="U426" s="43">
        <f>IF(OR($B426="",$L426=""),"",WORKDAY($B426,IFERROR(INDEX(LISTAS!$C$3:$C$42,MATCH($L426,LISTAS!$A$3:$A$42,0)),3)))</f>
        <v/>
      </c>
      <c r="V426" s="40" t="n"/>
      <c r="W426" s="19">
        <f>IF($B426="","",IF($V426&lt;&gt;"",$V426-$B426,TODAY()-$B426))</f>
        <v/>
      </c>
      <c r="X426" s="19">
        <f>IF(OR($B426="",$U426=""),"",IF($V426&lt;&gt;"",MAX(0,$V426-$U426),MAX(0,TODAY()-$U426)))</f>
        <v/>
      </c>
      <c r="Y426" s="39">
        <f>IF($C426="","",IF(IFERROR(INDEX(LISTAS!$I$3:$I$42,MATCH($T426,LISTAS!$H$3:$H$42,0)),"NO")="SÍ",IF(N($X426)&gt;0,"CERRADA FUERA DE SLA","CERRADA EN SLA"),IF($U426="","SIN CLASIFICAR",IF(N($X426)&gt;0,"VENCIDA",IF(TODAY()&gt;=$U426-1,"POR VENCER","EN PLAZO")))))</f>
        <v/>
      </c>
      <c r="Z426" s="41" t="n"/>
      <c r="AA426" s="41" t="n"/>
      <c r="AB426" s="41" t="n"/>
    </row>
    <row r="427">
      <c r="A427" s="39">
        <f>IF($C427="","","NOV-"&amp;TEXT(ROW()-3,"0000"))</f>
        <v/>
      </c>
      <c r="B427" s="40" t="n"/>
      <c r="C427" s="41" t="n"/>
      <c r="D427" s="42">
        <f>IF($C427="","",IFERROR(INDEX(DESPACHOS!$D$3:$D$3002,MATCH($C427,DESPACHOS!$B$3:$B$3002,0)),"SIN DESPACHO"))</f>
        <v/>
      </c>
      <c r="E427" s="42">
        <f>IF($C427="","",IFERROR(INDEX(DESPACHOS!$K$3:$K$3002,MATCH($C427,DESPACHOS!$B$3:$B$3002,0)),""))</f>
        <v/>
      </c>
      <c r="F427" s="42">
        <f>IF($C427="","",IFERROR(INDEX(DESPACHOS!$I$3:$I$3002,MATCH($C427,DESPACHOS!$B$3:$B$3002,0)),""))</f>
        <v/>
      </c>
      <c r="G427" s="42">
        <f>IF($C427="","",IFERROR(INDEX(DESPACHOS!$F$3:$F$3002,MATCH($C427,DESPACHOS!$B$3:$B$3002,0)),""))</f>
        <v/>
      </c>
      <c r="H427" s="42">
        <f>IF($C427="","",IFERROR(INDEX(DESPACHOS!$G$3:$G$3002,MATCH($C427,DESPACHOS!$B$3:$B$3002,0)),""))</f>
        <v/>
      </c>
      <c r="I427" s="39">
        <f>IF($C427="","",IFERROR(INDEX(DESPACHOS!$H$3:$H$3002,MATCH($C427,DESPACHOS!$B$3:$B$3002,0)),""))</f>
        <v/>
      </c>
      <c r="J427" s="43">
        <f>IF($C427="","",IFERROR(INDEX(DESPACHOS!$J$3:$J$3002,MATCH($C427,DESPACHOS!$B$3:$B$3002,0)),""))</f>
        <v/>
      </c>
      <c r="K427" s="39">
        <f>IF($C427="","",IF(COUNTIFS(DESPACHOS!$B$3:$B$3002,$C427)=0,"NO EXISTE",IF(COUNTIFS(DESPACHOS!$B$3:$B$3002,$C427)&gt;1,"DUPLICADO","OK")))</f>
        <v/>
      </c>
      <c r="L427" s="41" t="n"/>
      <c r="M427" s="41" t="n"/>
      <c r="N427" s="42">
        <f>IF($M427="","",IFERROR(INDEX(LISTAS!$F$3:$F$42,MATCH($M427,LISTAS!$E$3:$E$42,0)),"Por definir"))</f>
        <v/>
      </c>
      <c r="O427" s="41" t="n"/>
      <c r="P427" s="39">
        <f>IF($L427="","",IFERROR(INDEX(LISTAS!$B$3:$B$42,MATCH($L427,LISTAS!$A$3:$A$42,0)),"Media"))</f>
        <v/>
      </c>
      <c r="Q427" s="44" t="n"/>
      <c r="R427" s="45" t="n"/>
      <c r="S427" s="20">
        <f>IFERROR(IF(OR($R427="",$C427=""),"",$R427/INDEX(DESPACHOS!$M$3:$M$3002,MATCH($C427,DESPACHOS!$B$3:$B$3002,0))),"")</f>
        <v/>
      </c>
      <c r="T427" s="41" t="n"/>
      <c r="U427" s="43">
        <f>IF(OR($B427="",$L427=""),"",WORKDAY($B427,IFERROR(INDEX(LISTAS!$C$3:$C$42,MATCH($L427,LISTAS!$A$3:$A$42,0)),3)))</f>
        <v/>
      </c>
      <c r="V427" s="40" t="n"/>
      <c r="W427" s="19">
        <f>IF($B427="","",IF($V427&lt;&gt;"",$V427-$B427,TODAY()-$B427))</f>
        <v/>
      </c>
      <c r="X427" s="19">
        <f>IF(OR($B427="",$U427=""),"",IF($V427&lt;&gt;"",MAX(0,$V427-$U427),MAX(0,TODAY()-$U427)))</f>
        <v/>
      </c>
      <c r="Y427" s="39">
        <f>IF($C427="","",IF(IFERROR(INDEX(LISTAS!$I$3:$I$42,MATCH($T427,LISTAS!$H$3:$H$42,0)),"NO")="SÍ",IF(N($X427)&gt;0,"CERRADA FUERA DE SLA","CERRADA EN SLA"),IF($U427="","SIN CLASIFICAR",IF(N($X427)&gt;0,"VENCIDA",IF(TODAY()&gt;=$U427-1,"POR VENCER","EN PLAZO")))))</f>
        <v/>
      </c>
      <c r="Z427" s="41" t="n"/>
      <c r="AA427" s="41" t="n"/>
      <c r="AB427" s="41" t="n"/>
    </row>
    <row r="428">
      <c r="A428" s="39">
        <f>IF($C428="","","NOV-"&amp;TEXT(ROW()-3,"0000"))</f>
        <v/>
      </c>
      <c r="B428" s="40" t="n"/>
      <c r="C428" s="41" t="n"/>
      <c r="D428" s="42">
        <f>IF($C428="","",IFERROR(INDEX(DESPACHOS!$D$3:$D$3002,MATCH($C428,DESPACHOS!$B$3:$B$3002,0)),"SIN DESPACHO"))</f>
        <v/>
      </c>
      <c r="E428" s="42">
        <f>IF($C428="","",IFERROR(INDEX(DESPACHOS!$K$3:$K$3002,MATCH($C428,DESPACHOS!$B$3:$B$3002,0)),""))</f>
        <v/>
      </c>
      <c r="F428" s="42">
        <f>IF($C428="","",IFERROR(INDEX(DESPACHOS!$I$3:$I$3002,MATCH($C428,DESPACHOS!$B$3:$B$3002,0)),""))</f>
        <v/>
      </c>
      <c r="G428" s="42">
        <f>IF($C428="","",IFERROR(INDEX(DESPACHOS!$F$3:$F$3002,MATCH($C428,DESPACHOS!$B$3:$B$3002,0)),""))</f>
        <v/>
      </c>
      <c r="H428" s="42">
        <f>IF($C428="","",IFERROR(INDEX(DESPACHOS!$G$3:$G$3002,MATCH($C428,DESPACHOS!$B$3:$B$3002,0)),""))</f>
        <v/>
      </c>
      <c r="I428" s="39">
        <f>IF($C428="","",IFERROR(INDEX(DESPACHOS!$H$3:$H$3002,MATCH($C428,DESPACHOS!$B$3:$B$3002,0)),""))</f>
        <v/>
      </c>
      <c r="J428" s="43">
        <f>IF($C428="","",IFERROR(INDEX(DESPACHOS!$J$3:$J$3002,MATCH($C428,DESPACHOS!$B$3:$B$3002,0)),""))</f>
        <v/>
      </c>
      <c r="K428" s="39">
        <f>IF($C428="","",IF(COUNTIFS(DESPACHOS!$B$3:$B$3002,$C428)=0,"NO EXISTE",IF(COUNTIFS(DESPACHOS!$B$3:$B$3002,$C428)&gt;1,"DUPLICADO","OK")))</f>
        <v/>
      </c>
      <c r="L428" s="41" t="n"/>
      <c r="M428" s="41" t="n"/>
      <c r="N428" s="42">
        <f>IF($M428="","",IFERROR(INDEX(LISTAS!$F$3:$F$42,MATCH($M428,LISTAS!$E$3:$E$42,0)),"Por definir"))</f>
        <v/>
      </c>
      <c r="O428" s="41" t="n"/>
      <c r="P428" s="39">
        <f>IF($L428="","",IFERROR(INDEX(LISTAS!$B$3:$B$42,MATCH($L428,LISTAS!$A$3:$A$42,0)),"Media"))</f>
        <v/>
      </c>
      <c r="Q428" s="44" t="n"/>
      <c r="R428" s="45" t="n"/>
      <c r="S428" s="20">
        <f>IFERROR(IF(OR($R428="",$C428=""),"",$R428/INDEX(DESPACHOS!$M$3:$M$3002,MATCH($C428,DESPACHOS!$B$3:$B$3002,0))),"")</f>
        <v/>
      </c>
      <c r="T428" s="41" t="n"/>
      <c r="U428" s="43">
        <f>IF(OR($B428="",$L428=""),"",WORKDAY($B428,IFERROR(INDEX(LISTAS!$C$3:$C$42,MATCH($L428,LISTAS!$A$3:$A$42,0)),3)))</f>
        <v/>
      </c>
      <c r="V428" s="40" t="n"/>
      <c r="W428" s="19">
        <f>IF($B428="","",IF($V428&lt;&gt;"",$V428-$B428,TODAY()-$B428))</f>
        <v/>
      </c>
      <c r="X428" s="19">
        <f>IF(OR($B428="",$U428=""),"",IF($V428&lt;&gt;"",MAX(0,$V428-$U428),MAX(0,TODAY()-$U428)))</f>
        <v/>
      </c>
      <c r="Y428" s="39">
        <f>IF($C428="","",IF(IFERROR(INDEX(LISTAS!$I$3:$I$42,MATCH($T428,LISTAS!$H$3:$H$42,0)),"NO")="SÍ",IF(N($X428)&gt;0,"CERRADA FUERA DE SLA","CERRADA EN SLA"),IF($U428="","SIN CLASIFICAR",IF(N($X428)&gt;0,"VENCIDA",IF(TODAY()&gt;=$U428-1,"POR VENCER","EN PLAZO")))))</f>
        <v/>
      </c>
      <c r="Z428" s="41" t="n"/>
      <c r="AA428" s="41" t="n"/>
      <c r="AB428" s="41" t="n"/>
    </row>
    <row r="429">
      <c r="A429" s="39">
        <f>IF($C429="","","NOV-"&amp;TEXT(ROW()-3,"0000"))</f>
        <v/>
      </c>
      <c r="B429" s="40" t="n"/>
      <c r="C429" s="41" t="n"/>
      <c r="D429" s="42">
        <f>IF($C429="","",IFERROR(INDEX(DESPACHOS!$D$3:$D$3002,MATCH($C429,DESPACHOS!$B$3:$B$3002,0)),"SIN DESPACHO"))</f>
        <v/>
      </c>
      <c r="E429" s="42">
        <f>IF($C429="","",IFERROR(INDEX(DESPACHOS!$K$3:$K$3002,MATCH($C429,DESPACHOS!$B$3:$B$3002,0)),""))</f>
        <v/>
      </c>
      <c r="F429" s="42">
        <f>IF($C429="","",IFERROR(INDEX(DESPACHOS!$I$3:$I$3002,MATCH($C429,DESPACHOS!$B$3:$B$3002,0)),""))</f>
        <v/>
      </c>
      <c r="G429" s="42">
        <f>IF($C429="","",IFERROR(INDEX(DESPACHOS!$F$3:$F$3002,MATCH($C429,DESPACHOS!$B$3:$B$3002,0)),""))</f>
        <v/>
      </c>
      <c r="H429" s="42">
        <f>IF($C429="","",IFERROR(INDEX(DESPACHOS!$G$3:$G$3002,MATCH($C429,DESPACHOS!$B$3:$B$3002,0)),""))</f>
        <v/>
      </c>
      <c r="I429" s="39">
        <f>IF($C429="","",IFERROR(INDEX(DESPACHOS!$H$3:$H$3002,MATCH($C429,DESPACHOS!$B$3:$B$3002,0)),""))</f>
        <v/>
      </c>
      <c r="J429" s="43">
        <f>IF($C429="","",IFERROR(INDEX(DESPACHOS!$J$3:$J$3002,MATCH($C429,DESPACHOS!$B$3:$B$3002,0)),""))</f>
        <v/>
      </c>
      <c r="K429" s="39">
        <f>IF($C429="","",IF(COUNTIFS(DESPACHOS!$B$3:$B$3002,$C429)=0,"NO EXISTE",IF(COUNTIFS(DESPACHOS!$B$3:$B$3002,$C429)&gt;1,"DUPLICADO","OK")))</f>
        <v/>
      </c>
      <c r="L429" s="41" t="n"/>
      <c r="M429" s="41" t="n"/>
      <c r="N429" s="42">
        <f>IF($M429="","",IFERROR(INDEX(LISTAS!$F$3:$F$42,MATCH($M429,LISTAS!$E$3:$E$42,0)),"Por definir"))</f>
        <v/>
      </c>
      <c r="O429" s="41" t="n"/>
      <c r="P429" s="39">
        <f>IF($L429="","",IFERROR(INDEX(LISTAS!$B$3:$B$42,MATCH($L429,LISTAS!$A$3:$A$42,0)),"Media"))</f>
        <v/>
      </c>
      <c r="Q429" s="44" t="n"/>
      <c r="R429" s="45" t="n"/>
      <c r="S429" s="20">
        <f>IFERROR(IF(OR($R429="",$C429=""),"",$R429/INDEX(DESPACHOS!$M$3:$M$3002,MATCH($C429,DESPACHOS!$B$3:$B$3002,0))),"")</f>
        <v/>
      </c>
      <c r="T429" s="41" t="n"/>
      <c r="U429" s="43">
        <f>IF(OR($B429="",$L429=""),"",WORKDAY($B429,IFERROR(INDEX(LISTAS!$C$3:$C$42,MATCH($L429,LISTAS!$A$3:$A$42,0)),3)))</f>
        <v/>
      </c>
      <c r="V429" s="40" t="n"/>
      <c r="W429" s="19">
        <f>IF($B429="","",IF($V429&lt;&gt;"",$V429-$B429,TODAY()-$B429))</f>
        <v/>
      </c>
      <c r="X429" s="19">
        <f>IF(OR($B429="",$U429=""),"",IF($V429&lt;&gt;"",MAX(0,$V429-$U429),MAX(0,TODAY()-$U429)))</f>
        <v/>
      </c>
      <c r="Y429" s="39">
        <f>IF($C429="","",IF(IFERROR(INDEX(LISTAS!$I$3:$I$42,MATCH($T429,LISTAS!$H$3:$H$42,0)),"NO")="SÍ",IF(N($X429)&gt;0,"CERRADA FUERA DE SLA","CERRADA EN SLA"),IF($U429="","SIN CLASIFICAR",IF(N($X429)&gt;0,"VENCIDA",IF(TODAY()&gt;=$U429-1,"POR VENCER","EN PLAZO")))))</f>
        <v/>
      </c>
      <c r="Z429" s="41" t="n"/>
      <c r="AA429" s="41" t="n"/>
      <c r="AB429" s="41" t="n"/>
    </row>
    <row r="430">
      <c r="A430" s="39">
        <f>IF($C430="","","NOV-"&amp;TEXT(ROW()-3,"0000"))</f>
        <v/>
      </c>
      <c r="B430" s="40" t="n"/>
      <c r="C430" s="41" t="n"/>
      <c r="D430" s="42">
        <f>IF($C430="","",IFERROR(INDEX(DESPACHOS!$D$3:$D$3002,MATCH($C430,DESPACHOS!$B$3:$B$3002,0)),"SIN DESPACHO"))</f>
        <v/>
      </c>
      <c r="E430" s="42">
        <f>IF($C430="","",IFERROR(INDEX(DESPACHOS!$K$3:$K$3002,MATCH($C430,DESPACHOS!$B$3:$B$3002,0)),""))</f>
        <v/>
      </c>
      <c r="F430" s="42">
        <f>IF($C430="","",IFERROR(INDEX(DESPACHOS!$I$3:$I$3002,MATCH($C430,DESPACHOS!$B$3:$B$3002,0)),""))</f>
        <v/>
      </c>
      <c r="G430" s="42">
        <f>IF($C430="","",IFERROR(INDEX(DESPACHOS!$F$3:$F$3002,MATCH($C430,DESPACHOS!$B$3:$B$3002,0)),""))</f>
        <v/>
      </c>
      <c r="H430" s="42">
        <f>IF($C430="","",IFERROR(INDEX(DESPACHOS!$G$3:$G$3002,MATCH($C430,DESPACHOS!$B$3:$B$3002,0)),""))</f>
        <v/>
      </c>
      <c r="I430" s="39">
        <f>IF($C430="","",IFERROR(INDEX(DESPACHOS!$H$3:$H$3002,MATCH($C430,DESPACHOS!$B$3:$B$3002,0)),""))</f>
        <v/>
      </c>
      <c r="J430" s="43">
        <f>IF($C430="","",IFERROR(INDEX(DESPACHOS!$J$3:$J$3002,MATCH($C430,DESPACHOS!$B$3:$B$3002,0)),""))</f>
        <v/>
      </c>
      <c r="K430" s="39">
        <f>IF($C430="","",IF(COUNTIFS(DESPACHOS!$B$3:$B$3002,$C430)=0,"NO EXISTE",IF(COUNTIFS(DESPACHOS!$B$3:$B$3002,$C430)&gt;1,"DUPLICADO","OK")))</f>
        <v/>
      </c>
      <c r="L430" s="41" t="n"/>
      <c r="M430" s="41" t="n"/>
      <c r="N430" s="42">
        <f>IF($M430="","",IFERROR(INDEX(LISTAS!$F$3:$F$42,MATCH($M430,LISTAS!$E$3:$E$42,0)),"Por definir"))</f>
        <v/>
      </c>
      <c r="O430" s="41" t="n"/>
      <c r="P430" s="39">
        <f>IF($L430="","",IFERROR(INDEX(LISTAS!$B$3:$B$42,MATCH($L430,LISTAS!$A$3:$A$42,0)),"Media"))</f>
        <v/>
      </c>
      <c r="Q430" s="44" t="n"/>
      <c r="R430" s="45" t="n"/>
      <c r="S430" s="20">
        <f>IFERROR(IF(OR($R430="",$C430=""),"",$R430/INDEX(DESPACHOS!$M$3:$M$3002,MATCH($C430,DESPACHOS!$B$3:$B$3002,0))),"")</f>
        <v/>
      </c>
      <c r="T430" s="41" t="n"/>
      <c r="U430" s="43">
        <f>IF(OR($B430="",$L430=""),"",WORKDAY($B430,IFERROR(INDEX(LISTAS!$C$3:$C$42,MATCH($L430,LISTAS!$A$3:$A$42,0)),3)))</f>
        <v/>
      </c>
      <c r="V430" s="40" t="n"/>
      <c r="W430" s="19">
        <f>IF($B430="","",IF($V430&lt;&gt;"",$V430-$B430,TODAY()-$B430))</f>
        <v/>
      </c>
      <c r="X430" s="19">
        <f>IF(OR($B430="",$U430=""),"",IF($V430&lt;&gt;"",MAX(0,$V430-$U430),MAX(0,TODAY()-$U430)))</f>
        <v/>
      </c>
      <c r="Y430" s="39">
        <f>IF($C430="","",IF(IFERROR(INDEX(LISTAS!$I$3:$I$42,MATCH($T430,LISTAS!$H$3:$H$42,0)),"NO")="SÍ",IF(N($X430)&gt;0,"CERRADA FUERA DE SLA","CERRADA EN SLA"),IF($U430="","SIN CLASIFICAR",IF(N($X430)&gt;0,"VENCIDA",IF(TODAY()&gt;=$U430-1,"POR VENCER","EN PLAZO")))))</f>
        <v/>
      </c>
      <c r="Z430" s="41" t="n"/>
      <c r="AA430" s="41" t="n"/>
      <c r="AB430" s="41" t="n"/>
    </row>
    <row r="431">
      <c r="A431" s="39">
        <f>IF($C431="","","NOV-"&amp;TEXT(ROW()-3,"0000"))</f>
        <v/>
      </c>
      <c r="B431" s="40" t="n"/>
      <c r="C431" s="41" t="n"/>
      <c r="D431" s="42">
        <f>IF($C431="","",IFERROR(INDEX(DESPACHOS!$D$3:$D$3002,MATCH($C431,DESPACHOS!$B$3:$B$3002,0)),"SIN DESPACHO"))</f>
        <v/>
      </c>
      <c r="E431" s="42">
        <f>IF($C431="","",IFERROR(INDEX(DESPACHOS!$K$3:$K$3002,MATCH($C431,DESPACHOS!$B$3:$B$3002,0)),""))</f>
        <v/>
      </c>
      <c r="F431" s="42">
        <f>IF($C431="","",IFERROR(INDEX(DESPACHOS!$I$3:$I$3002,MATCH($C431,DESPACHOS!$B$3:$B$3002,0)),""))</f>
        <v/>
      </c>
      <c r="G431" s="42">
        <f>IF($C431="","",IFERROR(INDEX(DESPACHOS!$F$3:$F$3002,MATCH($C431,DESPACHOS!$B$3:$B$3002,0)),""))</f>
        <v/>
      </c>
      <c r="H431" s="42">
        <f>IF($C431="","",IFERROR(INDEX(DESPACHOS!$G$3:$G$3002,MATCH($C431,DESPACHOS!$B$3:$B$3002,0)),""))</f>
        <v/>
      </c>
      <c r="I431" s="39">
        <f>IF($C431="","",IFERROR(INDEX(DESPACHOS!$H$3:$H$3002,MATCH($C431,DESPACHOS!$B$3:$B$3002,0)),""))</f>
        <v/>
      </c>
      <c r="J431" s="43">
        <f>IF($C431="","",IFERROR(INDEX(DESPACHOS!$J$3:$J$3002,MATCH($C431,DESPACHOS!$B$3:$B$3002,0)),""))</f>
        <v/>
      </c>
      <c r="K431" s="39">
        <f>IF($C431="","",IF(COUNTIFS(DESPACHOS!$B$3:$B$3002,$C431)=0,"NO EXISTE",IF(COUNTIFS(DESPACHOS!$B$3:$B$3002,$C431)&gt;1,"DUPLICADO","OK")))</f>
        <v/>
      </c>
      <c r="L431" s="41" t="n"/>
      <c r="M431" s="41" t="n"/>
      <c r="N431" s="42">
        <f>IF($M431="","",IFERROR(INDEX(LISTAS!$F$3:$F$42,MATCH($M431,LISTAS!$E$3:$E$42,0)),"Por definir"))</f>
        <v/>
      </c>
      <c r="O431" s="41" t="n"/>
      <c r="P431" s="39">
        <f>IF($L431="","",IFERROR(INDEX(LISTAS!$B$3:$B$42,MATCH($L431,LISTAS!$A$3:$A$42,0)),"Media"))</f>
        <v/>
      </c>
      <c r="Q431" s="44" t="n"/>
      <c r="R431" s="45" t="n"/>
      <c r="S431" s="20">
        <f>IFERROR(IF(OR($R431="",$C431=""),"",$R431/INDEX(DESPACHOS!$M$3:$M$3002,MATCH($C431,DESPACHOS!$B$3:$B$3002,0))),"")</f>
        <v/>
      </c>
      <c r="T431" s="41" t="n"/>
      <c r="U431" s="43">
        <f>IF(OR($B431="",$L431=""),"",WORKDAY($B431,IFERROR(INDEX(LISTAS!$C$3:$C$42,MATCH($L431,LISTAS!$A$3:$A$42,0)),3)))</f>
        <v/>
      </c>
      <c r="V431" s="40" t="n"/>
      <c r="W431" s="19">
        <f>IF($B431="","",IF($V431&lt;&gt;"",$V431-$B431,TODAY()-$B431))</f>
        <v/>
      </c>
      <c r="X431" s="19">
        <f>IF(OR($B431="",$U431=""),"",IF($V431&lt;&gt;"",MAX(0,$V431-$U431),MAX(0,TODAY()-$U431)))</f>
        <v/>
      </c>
      <c r="Y431" s="39">
        <f>IF($C431="","",IF(IFERROR(INDEX(LISTAS!$I$3:$I$42,MATCH($T431,LISTAS!$H$3:$H$42,0)),"NO")="SÍ",IF(N($X431)&gt;0,"CERRADA FUERA DE SLA","CERRADA EN SLA"),IF($U431="","SIN CLASIFICAR",IF(N($X431)&gt;0,"VENCIDA",IF(TODAY()&gt;=$U431-1,"POR VENCER","EN PLAZO")))))</f>
        <v/>
      </c>
      <c r="Z431" s="41" t="n"/>
      <c r="AA431" s="41" t="n"/>
      <c r="AB431" s="41" t="n"/>
    </row>
    <row r="432">
      <c r="A432" s="39">
        <f>IF($C432="","","NOV-"&amp;TEXT(ROW()-3,"0000"))</f>
        <v/>
      </c>
      <c r="B432" s="40" t="n"/>
      <c r="C432" s="41" t="n"/>
      <c r="D432" s="42">
        <f>IF($C432="","",IFERROR(INDEX(DESPACHOS!$D$3:$D$3002,MATCH($C432,DESPACHOS!$B$3:$B$3002,0)),"SIN DESPACHO"))</f>
        <v/>
      </c>
      <c r="E432" s="42">
        <f>IF($C432="","",IFERROR(INDEX(DESPACHOS!$K$3:$K$3002,MATCH($C432,DESPACHOS!$B$3:$B$3002,0)),""))</f>
        <v/>
      </c>
      <c r="F432" s="42">
        <f>IF($C432="","",IFERROR(INDEX(DESPACHOS!$I$3:$I$3002,MATCH($C432,DESPACHOS!$B$3:$B$3002,0)),""))</f>
        <v/>
      </c>
      <c r="G432" s="42">
        <f>IF($C432="","",IFERROR(INDEX(DESPACHOS!$F$3:$F$3002,MATCH($C432,DESPACHOS!$B$3:$B$3002,0)),""))</f>
        <v/>
      </c>
      <c r="H432" s="42">
        <f>IF($C432="","",IFERROR(INDEX(DESPACHOS!$G$3:$G$3002,MATCH($C432,DESPACHOS!$B$3:$B$3002,0)),""))</f>
        <v/>
      </c>
      <c r="I432" s="39">
        <f>IF($C432="","",IFERROR(INDEX(DESPACHOS!$H$3:$H$3002,MATCH($C432,DESPACHOS!$B$3:$B$3002,0)),""))</f>
        <v/>
      </c>
      <c r="J432" s="43">
        <f>IF($C432="","",IFERROR(INDEX(DESPACHOS!$J$3:$J$3002,MATCH($C432,DESPACHOS!$B$3:$B$3002,0)),""))</f>
        <v/>
      </c>
      <c r="K432" s="39">
        <f>IF($C432="","",IF(COUNTIFS(DESPACHOS!$B$3:$B$3002,$C432)=0,"NO EXISTE",IF(COUNTIFS(DESPACHOS!$B$3:$B$3002,$C432)&gt;1,"DUPLICADO","OK")))</f>
        <v/>
      </c>
      <c r="L432" s="41" t="n"/>
      <c r="M432" s="41" t="n"/>
      <c r="N432" s="42">
        <f>IF($M432="","",IFERROR(INDEX(LISTAS!$F$3:$F$42,MATCH($M432,LISTAS!$E$3:$E$42,0)),"Por definir"))</f>
        <v/>
      </c>
      <c r="O432" s="41" t="n"/>
      <c r="P432" s="39">
        <f>IF($L432="","",IFERROR(INDEX(LISTAS!$B$3:$B$42,MATCH($L432,LISTAS!$A$3:$A$42,0)),"Media"))</f>
        <v/>
      </c>
      <c r="Q432" s="44" t="n"/>
      <c r="R432" s="45" t="n"/>
      <c r="S432" s="20">
        <f>IFERROR(IF(OR($R432="",$C432=""),"",$R432/INDEX(DESPACHOS!$M$3:$M$3002,MATCH($C432,DESPACHOS!$B$3:$B$3002,0))),"")</f>
        <v/>
      </c>
      <c r="T432" s="41" t="n"/>
      <c r="U432" s="43">
        <f>IF(OR($B432="",$L432=""),"",WORKDAY($B432,IFERROR(INDEX(LISTAS!$C$3:$C$42,MATCH($L432,LISTAS!$A$3:$A$42,0)),3)))</f>
        <v/>
      </c>
      <c r="V432" s="40" t="n"/>
      <c r="W432" s="19">
        <f>IF($B432="","",IF($V432&lt;&gt;"",$V432-$B432,TODAY()-$B432))</f>
        <v/>
      </c>
      <c r="X432" s="19">
        <f>IF(OR($B432="",$U432=""),"",IF($V432&lt;&gt;"",MAX(0,$V432-$U432),MAX(0,TODAY()-$U432)))</f>
        <v/>
      </c>
      <c r="Y432" s="39">
        <f>IF($C432="","",IF(IFERROR(INDEX(LISTAS!$I$3:$I$42,MATCH($T432,LISTAS!$H$3:$H$42,0)),"NO")="SÍ",IF(N($X432)&gt;0,"CERRADA FUERA DE SLA","CERRADA EN SLA"),IF($U432="","SIN CLASIFICAR",IF(N($X432)&gt;0,"VENCIDA",IF(TODAY()&gt;=$U432-1,"POR VENCER","EN PLAZO")))))</f>
        <v/>
      </c>
      <c r="Z432" s="41" t="n"/>
      <c r="AA432" s="41" t="n"/>
      <c r="AB432" s="41" t="n"/>
    </row>
    <row r="433">
      <c r="A433" s="39">
        <f>IF($C433="","","NOV-"&amp;TEXT(ROW()-3,"0000"))</f>
        <v/>
      </c>
      <c r="B433" s="40" t="n"/>
      <c r="C433" s="41" t="n"/>
      <c r="D433" s="42">
        <f>IF($C433="","",IFERROR(INDEX(DESPACHOS!$D$3:$D$3002,MATCH($C433,DESPACHOS!$B$3:$B$3002,0)),"SIN DESPACHO"))</f>
        <v/>
      </c>
      <c r="E433" s="42">
        <f>IF($C433="","",IFERROR(INDEX(DESPACHOS!$K$3:$K$3002,MATCH($C433,DESPACHOS!$B$3:$B$3002,0)),""))</f>
        <v/>
      </c>
      <c r="F433" s="42">
        <f>IF($C433="","",IFERROR(INDEX(DESPACHOS!$I$3:$I$3002,MATCH($C433,DESPACHOS!$B$3:$B$3002,0)),""))</f>
        <v/>
      </c>
      <c r="G433" s="42">
        <f>IF($C433="","",IFERROR(INDEX(DESPACHOS!$F$3:$F$3002,MATCH($C433,DESPACHOS!$B$3:$B$3002,0)),""))</f>
        <v/>
      </c>
      <c r="H433" s="42">
        <f>IF($C433="","",IFERROR(INDEX(DESPACHOS!$G$3:$G$3002,MATCH($C433,DESPACHOS!$B$3:$B$3002,0)),""))</f>
        <v/>
      </c>
      <c r="I433" s="39">
        <f>IF($C433="","",IFERROR(INDEX(DESPACHOS!$H$3:$H$3002,MATCH($C433,DESPACHOS!$B$3:$B$3002,0)),""))</f>
        <v/>
      </c>
      <c r="J433" s="43">
        <f>IF($C433="","",IFERROR(INDEX(DESPACHOS!$J$3:$J$3002,MATCH($C433,DESPACHOS!$B$3:$B$3002,0)),""))</f>
        <v/>
      </c>
      <c r="K433" s="39">
        <f>IF($C433="","",IF(COUNTIFS(DESPACHOS!$B$3:$B$3002,$C433)=0,"NO EXISTE",IF(COUNTIFS(DESPACHOS!$B$3:$B$3002,$C433)&gt;1,"DUPLICADO","OK")))</f>
        <v/>
      </c>
      <c r="L433" s="41" t="n"/>
      <c r="M433" s="41" t="n"/>
      <c r="N433" s="42">
        <f>IF($M433="","",IFERROR(INDEX(LISTAS!$F$3:$F$42,MATCH($M433,LISTAS!$E$3:$E$42,0)),"Por definir"))</f>
        <v/>
      </c>
      <c r="O433" s="41" t="n"/>
      <c r="P433" s="39">
        <f>IF($L433="","",IFERROR(INDEX(LISTAS!$B$3:$B$42,MATCH($L433,LISTAS!$A$3:$A$42,0)),"Media"))</f>
        <v/>
      </c>
      <c r="Q433" s="44" t="n"/>
      <c r="R433" s="45" t="n"/>
      <c r="S433" s="20">
        <f>IFERROR(IF(OR($R433="",$C433=""),"",$R433/INDEX(DESPACHOS!$M$3:$M$3002,MATCH($C433,DESPACHOS!$B$3:$B$3002,0))),"")</f>
        <v/>
      </c>
      <c r="T433" s="41" t="n"/>
      <c r="U433" s="43">
        <f>IF(OR($B433="",$L433=""),"",WORKDAY($B433,IFERROR(INDEX(LISTAS!$C$3:$C$42,MATCH($L433,LISTAS!$A$3:$A$42,0)),3)))</f>
        <v/>
      </c>
      <c r="V433" s="40" t="n"/>
      <c r="W433" s="19">
        <f>IF($B433="","",IF($V433&lt;&gt;"",$V433-$B433,TODAY()-$B433))</f>
        <v/>
      </c>
      <c r="X433" s="19">
        <f>IF(OR($B433="",$U433=""),"",IF($V433&lt;&gt;"",MAX(0,$V433-$U433),MAX(0,TODAY()-$U433)))</f>
        <v/>
      </c>
      <c r="Y433" s="39">
        <f>IF($C433="","",IF(IFERROR(INDEX(LISTAS!$I$3:$I$42,MATCH($T433,LISTAS!$H$3:$H$42,0)),"NO")="SÍ",IF(N($X433)&gt;0,"CERRADA FUERA DE SLA","CERRADA EN SLA"),IF($U433="","SIN CLASIFICAR",IF(N($X433)&gt;0,"VENCIDA",IF(TODAY()&gt;=$U433-1,"POR VENCER","EN PLAZO")))))</f>
        <v/>
      </c>
      <c r="Z433" s="41" t="n"/>
      <c r="AA433" s="41" t="n"/>
      <c r="AB433" s="41" t="n"/>
    </row>
    <row r="434">
      <c r="A434" s="39">
        <f>IF($C434="","","NOV-"&amp;TEXT(ROW()-3,"0000"))</f>
        <v/>
      </c>
      <c r="B434" s="40" t="n"/>
      <c r="C434" s="41" t="n"/>
      <c r="D434" s="42">
        <f>IF($C434="","",IFERROR(INDEX(DESPACHOS!$D$3:$D$3002,MATCH($C434,DESPACHOS!$B$3:$B$3002,0)),"SIN DESPACHO"))</f>
        <v/>
      </c>
      <c r="E434" s="42">
        <f>IF($C434="","",IFERROR(INDEX(DESPACHOS!$K$3:$K$3002,MATCH($C434,DESPACHOS!$B$3:$B$3002,0)),""))</f>
        <v/>
      </c>
      <c r="F434" s="42">
        <f>IF($C434="","",IFERROR(INDEX(DESPACHOS!$I$3:$I$3002,MATCH($C434,DESPACHOS!$B$3:$B$3002,0)),""))</f>
        <v/>
      </c>
      <c r="G434" s="42">
        <f>IF($C434="","",IFERROR(INDEX(DESPACHOS!$F$3:$F$3002,MATCH($C434,DESPACHOS!$B$3:$B$3002,0)),""))</f>
        <v/>
      </c>
      <c r="H434" s="42">
        <f>IF($C434="","",IFERROR(INDEX(DESPACHOS!$G$3:$G$3002,MATCH($C434,DESPACHOS!$B$3:$B$3002,0)),""))</f>
        <v/>
      </c>
      <c r="I434" s="39">
        <f>IF($C434="","",IFERROR(INDEX(DESPACHOS!$H$3:$H$3002,MATCH($C434,DESPACHOS!$B$3:$B$3002,0)),""))</f>
        <v/>
      </c>
      <c r="J434" s="43">
        <f>IF($C434="","",IFERROR(INDEX(DESPACHOS!$J$3:$J$3002,MATCH($C434,DESPACHOS!$B$3:$B$3002,0)),""))</f>
        <v/>
      </c>
      <c r="K434" s="39">
        <f>IF($C434="","",IF(COUNTIFS(DESPACHOS!$B$3:$B$3002,$C434)=0,"NO EXISTE",IF(COUNTIFS(DESPACHOS!$B$3:$B$3002,$C434)&gt;1,"DUPLICADO","OK")))</f>
        <v/>
      </c>
      <c r="L434" s="41" t="n"/>
      <c r="M434" s="41" t="n"/>
      <c r="N434" s="42">
        <f>IF($M434="","",IFERROR(INDEX(LISTAS!$F$3:$F$42,MATCH($M434,LISTAS!$E$3:$E$42,0)),"Por definir"))</f>
        <v/>
      </c>
      <c r="O434" s="41" t="n"/>
      <c r="P434" s="39">
        <f>IF($L434="","",IFERROR(INDEX(LISTAS!$B$3:$B$42,MATCH($L434,LISTAS!$A$3:$A$42,0)),"Media"))</f>
        <v/>
      </c>
      <c r="Q434" s="44" t="n"/>
      <c r="R434" s="45" t="n"/>
      <c r="S434" s="20">
        <f>IFERROR(IF(OR($R434="",$C434=""),"",$R434/INDEX(DESPACHOS!$M$3:$M$3002,MATCH($C434,DESPACHOS!$B$3:$B$3002,0))),"")</f>
        <v/>
      </c>
      <c r="T434" s="41" t="n"/>
      <c r="U434" s="43">
        <f>IF(OR($B434="",$L434=""),"",WORKDAY($B434,IFERROR(INDEX(LISTAS!$C$3:$C$42,MATCH($L434,LISTAS!$A$3:$A$42,0)),3)))</f>
        <v/>
      </c>
      <c r="V434" s="40" t="n"/>
      <c r="W434" s="19">
        <f>IF($B434="","",IF($V434&lt;&gt;"",$V434-$B434,TODAY()-$B434))</f>
        <v/>
      </c>
      <c r="X434" s="19">
        <f>IF(OR($B434="",$U434=""),"",IF($V434&lt;&gt;"",MAX(0,$V434-$U434),MAX(0,TODAY()-$U434)))</f>
        <v/>
      </c>
      <c r="Y434" s="39">
        <f>IF($C434="","",IF(IFERROR(INDEX(LISTAS!$I$3:$I$42,MATCH($T434,LISTAS!$H$3:$H$42,0)),"NO")="SÍ",IF(N($X434)&gt;0,"CERRADA FUERA DE SLA","CERRADA EN SLA"),IF($U434="","SIN CLASIFICAR",IF(N($X434)&gt;0,"VENCIDA",IF(TODAY()&gt;=$U434-1,"POR VENCER","EN PLAZO")))))</f>
        <v/>
      </c>
      <c r="Z434" s="41" t="n"/>
      <c r="AA434" s="41" t="n"/>
      <c r="AB434" s="41" t="n"/>
    </row>
    <row r="435">
      <c r="A435" s="39">
        <f>IF($C435="","","NOV-"&amp;TEXT(ROW()-3,"0000"))</f>
        <v/>
      </c>
      <c r="B435" s="40" t="n"/>
      <c r="C435" s="41" t="n"/>
      <c r="D435" s="42">
        <f>IF($C435="","",IFERROR(INDEX(DESPACHOS!$D$3:$D$3002,MATCH($C435,DESPACHOS!$B$3:$B$3002,0)),"SIN DESPACHO"))</f>
        <v/>
      </c>
      <c r="E435" s="42">
        <f>IF($C435="","",IFERROR(INDEX(DESPACHOS!$K$3:$K$3002,MATCH($C435,DESPACHOS!$B$3:$B$3002,0)),""))</f>
        <v/>
      </c>
      <c r="F435" s="42">
        <f>IF($C435="","",IFERROR(INDEX(DESPACHOS!$I$3:$I$3002,MATCH($C435,DESPACHOS!$B$3:$B$3002,0)),""))</f>
        <v/>
      </c>
      <c r="G435" s="42">
        <f>IF($C435="","",IFERROR(INDEX(DESPACHOS!$F$3:$F$3002,MATCH($C435,DESPACHOS!$B$3:$B$3002,0)),""))</f>
        <v/>
      </c>
      <c r="H435" s="42">
        <f>IF($C435="","",IFERROR(INDEX(DESPACHOS!$G$3:$G$3002,MATCH($C435,DESPACHOS!$B$3:$B$3002,0)),""))</f>
        <v/>
      </c>
      <c r="I435" s="39">
        <f>IF($C435="","",IFERROR(INDEX(DESPACHOS!$H$3:$H$3002,MATCH($C435,DESPACHOS!$B$3:$B$3002,0)),""))</f>
        <v/>
      </c>
      <c r="J435" s="43">
        <f>IF($C435="","",IFERROR(INDEX(DESPACHOS!$J$3:$J$3002,MATCH($C435,DESPACHOS!$B$3:$B$3002,0)),""))</f>
        <v/>
      </c>
      <c r="K435" s="39">
        <f>IF($C435="","",IF(COUNTIFS(DESPACHOS!$B$3:$B$3002,$C435)=0,"NO EXISTE",IF(COUNTIFS(DESPACHOS!$B$3:$B$3002,$C435)&gt;1,"DUPLICADO","OK")))</f>
        <v/>
      </c>
      <c r="L435" s="41" t="n"/>
      <c r="M435" s="41" t="n"/>
      <c r="N435" s="42">
        <f>IF($M435="","",IFERROR(INDEX(LISTAS!$F$3:$F$42,MATCH($M435,LISTAS!$E$3:$E$42,0)),"Por definir"))</f>
        <v/>
      </c>
      <c r="O435" s="41" t="n"/>
      <c r="P435" s="39">
        <f>IF($L435="","",IFERROR(INDEX(LISTAS!$B$3:$B$42,MATCH($L435,LISTAS!$A$3:$A$42,0)),"Media"))</f>
        <v/>
      </c>
      <c r="Q435" s="44" t="n"/>
      <c r="R435" s="45" t="n"/>
      <c r="S435" s="20">
        <f>IFERROR(IF(OR($R435="",$C435=""),"",$R435/INDEX(DESPACHOS!$M$3:$M$3002,MATCH($C435,DESPACHOS!$B$3:$B$3002,0))),"")</f>
        <v/>
      </c>
      <c r="T435" s="41" t="n"/>
      <c r="U435" s="43">
        <f>IF(OR($B435="",$L435=""),"",WORKDAY($B435,IFERROR(INDEX(LISTAS!$C$3:$C$42,MATCH($L435,LISTAS!$A$3:$A$42,0)),3)))</f>
        <v/>
      </c>
      <c r="V435" s="40" t="n"/>
      <c r="W435" s="19">
        <f>IF($B435="","",IF($V435&lt;&gt;"",$V435-$B435,TODAY()-$B435))</f>
        <v/>
      </c>
      <c r="X435" s="19">
        <f>IF(OR($B435="",$U435=""),"",IF($V435&lt;&gt;"",MAX(0,$V435-$U435),MAX(0,TODAY()-$U435)))</f>
        <v/>
      </c>
      <c r="Y435" s="39">
        <f>IF($C435="","",IF(IFERROR(INDEX(LISTAS!$I$3:$I$42,MATCH($T435,LISTAS!$H$3:$H$42,0)),"NO")="SÍ",IF(N($X435)&gt;0,"CERRADA FUERA DE SLA","CERRADA EN SLA"),IF($U435="","SIN CLASIFICAR",IF(N($X435)&gt;0,"VENCIDA",IF(TODAY()&gt;=$U435-1,"POR VENCER","EN PLAZO")))))</f>
        <v/>
      </c>
      <c r="Z435" s="41" t="n"/>
      <c r="AA435" s="41" t="n"/>
      <c r="AB435" s="41" t="n"/>
    </row>
    <row r="436">
      <c r="A436" s="39">
        <f>IF($C436="","","NOV-"&amp;TEXT(ROW()-3,"0000"))</f>
        <v/>
      </c>
      <c r="B436" s="40" t="n"/>
      <c r="C436" s="41" t="n"/>
      <c r="D436" s="42">
        <f>IF($C436="","",IFERROR(INDEX(DESPACHOS!$D$3:$D$3002,MATCH($C436,DESPACHOS!$B$3:$B$3002,0)),"SIN DESPACHO"))</f>
        <v/>
      </c>
      <c r="E436" s="42">
        <f>IF($C436="","",IFERROR(INDEX(DESPACHOS!$K$3:$K$3002,MATCH($C436,DESPACHOS!$B$3:$B$3002,0)),""))</f>
        <v/>
      </c>
      <c r="F436" s="42">
        <f>IF($C436="","",IFERROR(INDEX(DESPACHOS!$I$3:$I$3002,MATCH($C436,DESPACHOS!$B$3:$B$3002,0)),""))</f>
        <v/>
      </c>
      <c r="G436" s="42">
        <f>IF($C436="","",IFERROR(INDEX(DESPACHOS!$F$3:$F$3002,MATCH($C436,DESPACHOS!$B$3:$B$3002,0)),""))</f>
        <v/>
      </c>
      <c r="H436" s="42">
        <f>IF($C436="","",IFERROR(INDEX(DESPACHOS!$G$3:$G$3002,MATCH($C436,DESPACHOS!$B$3:$B$3002,0)),""))</f>
        <v/>
      </c>
      <c r="I436" s="39">
        <f>IF($C436="","",IFERROR(INDEX(DESPACHOS!$H$3:$H$3002,MATCH($C436,DESPACHOS!$B$3:$B$3002,0)),""))</f>
        <v/>
      </c>
      <c r="J436" s="43">
        <f>IF($C436="","",IFERROR(INDEX(DESPACHOS!$J$3:$J$3002,MATCH($C436,DESPACHOS!$B$3:$B$3002,0)),""))</f>
        <v/>
      </c>
      <c r="K436" s="39">
        <f>IF($C436="","",IF(COUNTIFS(DESPACHOS!$B$3:$B$3002,$C436)=0,"NO EXISTE",IF(COUNTIFS(DESPACHOS!$B$3:$B$3002,$C436)&gt;1,"DUPLICADO","OK")))</f>
        <v/>
      </c>
      <c r="L436" s="41" t="n"/>
      <c r="M436" s="41" t="n"/>
      <c r="N436" s="42">
        <f>IF($M436="","",IFERROR(INDEX(LISTAS!$F$3:$F$42,MATCH($M436,LISTAS!$E$3:$E$42,0)),"Por definir"))</f>
        <v/>
      </c>
      <c r="O436" s="41" t="n"/>
      <c r="P436" s="39">
        <f>IF($L436="","",IFERROR(INDEX(LISTAS!$B$3:$B$42,MATCH($L436,LISTAS!$A$3:$A$42,0)),"Media"))</f>
        <v/>
      </c>
      <c r="Q436" s="44" t="n"/>
      <c r="R436" s="45" t="n"/>
      <c r="S436" s="20">
        <f>IFERROR(IF(OR($R436="",$C436=""),"",$R436/INDEX(DESPACHOS!$M$3:$M$3002,MATCH($C436,DESPACHOS!$B$3:$B$3002,0))),"")</f>
        <v/>
      </c>
      <c r="T436" s="41" t="n"/>
      <c r="U436" s="43">
        <f>IF(OR($B436="",$L436=""),"",WORKDAY($B436,IFERROR(INDEX(LISTAS!$C$3:$C$42,MATCH($L436,LISTAS!$A$3:$A$42,0)),3)))</f>
        <v/>
      </c>
      <c r="V436" s="40" t="n"/>
      <c r="W436" s="19">
        <f>IF($B436="","",IF($V436&lt;&gt;"",$V436-$B436,TODAY()-$B436))</f>
        <v/>
      </c>
      <c r="X436" s="19">
        <f>IF(OR($B436="",$U436=""),"",IF($V436&lt;&gt;"",MAX(0,$V436-$U436),MAX(0,TODAY()-$U436)))</f>
        <v/>
      </c>
      <c r="Y436" s="39">
        <f>IF($C436="","",IF(IFERROR(INDEX(LISTAS!$I$3:$I$42,MATCH($T436,LISTAS!$H$3:$H$42,0)),"NO")="SÍ",IF(N($X436)&gt;0,"CERRADA FUERA DE SLA","CERRADA EN SLA"),IF($U436="","SIN CLASIFICAR",IF(N($X436)&gt;0,"VENCIDA",IF(TODAY()&gt;=$U436-1,"POR VENCER","EN PLAZO")))))</f>
        <v/>
      </c>
      <c r="Z436" s="41" t="n"/>
      <c r="AA436" s="41" t="n"/>
      <c r="AB436" s="41" t="n"/>
    </row>
    <row r="437">
      <c r="A437" s="39">
        <f>IF($C437="","","NOV-"&amp;TEXT(ROW()-3,"0000"))</f>
        <v/>
      </c>
      <c r="B437" s="40" t="n"/>
      <c r="C437" s="41" t="n"/>
      <c r="D437" s="42">
        <f>IF($C437="","",IFERROR(INDEX(DESPACHOS!$D$3:$D$3002,MATCH($C437,DESPACHOS!$B$3:$B$3002,0)),"SIN DESPACHO"))</f>
        <v/>
      </c>
      <c r="E437" s="42">
        <f>IF($C437="","",IFERROR(INDEX(DESPACHOS!$K$3:$K$3002,MATCH($C437,DESPACHOS!$B$3:$B$3002,0)),""))</f>
        <v/>
      </c>
      <c r="F437" s="42">
        <f>IF($C437="","",IFERROR(INDEX(DESPACHOS!$I$3:$I$3002,MATCH($C437,DESPACHOS!$B$3:$B$3002,0)),""))</f>
        <v/>
      </c>
      <c r="G437" s="42">
        <f>IF($C437="","",IFERROR(INDEX(DESPACHOS!$F$3:$F$3002,MATCH($C437,DESPACHOS!$B$3:$B$3002,0)),""))</f>
        <v/>
      </c>
      <c r="H437" s="42">
        <f>IF($C437="","",IFERROR(INDEX(DESPACHOS!$G$3:$G$3002,MATCH($C437,DESPACHOS!$B$3:$B$3002,0)),""))</f>
        <v/>
      </c>
      <c r="I437" s="39">
        <f>IF($C437="","",IFERROR(INDEX(DESPACHOS!$H$3:$H$3002,MATCH($C437,DESPACHOS!$B$3:$B$3002,0)),""))</f>
        <v/>
      </c>
      <c r="J437" s="43">
        <f>IF($C437="","",IFERROR(INDEX(DESPACHOS!$J$3:$J$3002,MATCH($C437,DESPACHOS!$B$3:$B$3002,0)),""))</f>
        <v/>
      </c>
      <c r="K437" s="39">
        <f>IF($C437="","",IF(COUNTIFS(DESPACHOS!$B$3:$B$3002,$C437)=0,"NO EXISTE",IF(COUNTIFS(DESPACHOS!$B$3:$B$3002,$C437)&gt;1,"DUPLICADO","OK")))</f>
        <v/>
      </c>
      <c r="L437" s="41" t="n"/>
      <c r="M437" s="41" t="n"/>
      <c r="N437" s="42">
        <f>IF($M437="","",IFERROR(INDEX(LISTAS!$F$3:$F$42,MATCH($M437,LISTAS!$E$3:$E$42,0)),"Por definir"))</f>
        <v/>
      </c>
      <c r="O437" s="41" t="n"/>
      <c r="P437" s="39">
        <f>IF($L437="","",IFERROR(INDEX(LISTAS!$B$3:$B$42,MATCH($L437,LISTAS!$A$3:$A$42,0)),"Media"))</f>
        <v/>
      </c>
      <c r="Q437" s="44" t="n"/>
      <c r="R437" s="45" t="n"/>
      <c r="S437" s="20">
        <f>IFERROR(IF(OR($R437="",$C437=""),"",$R437/INDEX(DESPACHOS!$M$3:$M$3002,MATCH($C437,DESPACHOS!$B$3:$B$3002,0))),"")</f>
        <v/>
      </c>
      <c r="T437" s="41" t="n"/>
      <c r="U437" s="43">
        <f>IF(OR($B437="",$L437=""),"",WORKDAY($B437,IFERROR(INDEX(LISTAS!$C$3:$C$42,MATCH($L437,LISTAS!$A$3:$A$42,0)),3)))</f>
        <v/>
      </c>
      <c r="V437" s="40" t="n"/>
      <c r="W437" s="19">
        <f>IF($B437="","",IF($V437&lt;&gt;"",$V437-$B437,TODAY()-$B437))</f>
        <v/>
      </c>
      <c r="X437" s="19">
        <f>IF(OR($B437="",$U437=""),"",IF($V437&lt;&gt;"",MAX(0,$V437-$U437),MAX(0,TODAY()-$U437)))</f>
        <v/>
      </c>
      <c r="Y437" s="39">
        <f>IF($C437="","",IF(IFERROR(INDEX(LISTAS!$I$3:$I$42,MATCH($T437,LISTAS!$H$3:$H$42,0)),"NO")="SÍ",IF(N($X437)&gt;0,"CERRADA FUERA DE SLA","CERRADA EN SLA"),IF($U437="","SIN CLASIFICAR",IF(N($X437)&gt;0,"VENCIDA",IF(TODAY()&gt;=$U437-1,"POR VENCER","EN PLAZO")))))</f>
        <v/>
      </c>
      <c r="Z437" s="41" t="n"/>
      <c r="AA437" s="41" t="n"/>
      <c r="AB437" s="41" t="n"/>
    </row>
    <row r="438">
      <c r="A438" s="39">
        <f>IF($C438="","","NOV-"&amp;TEXT(ROW()-3,"0000"))</f>
        <v/>
      </c>
      <c r="B438" s="40" t="n"/>
      <c r="C438" s="41" t="n"/>
      <c r="D438" s="42">
        <f>IF($C438="","",IFERROR(INDEX(DESPACHOS!$D$3:$D$3002,MATCH($C438,DESPACHOS!$B$3:$B$3002,0)),"SIN DESPACHO"))</f>
        <v/>
      </c>
      <c r="E438" s="42">
        <f>IF($C438="","",IFERROR(INDEX(DESPACHOS!$K$3:$K$3002,MATCH($C438,DESPACHOS!$B$3:$B$3002,0)),""))</f>
        <v/>
      </c>
      <c r="F438" s="42">
        <f>IF($C438="","",IFERROR(INDEX(DESPACHOS!$I$3:$I$3002,MATCH($C438,DESPACHOS!$B$3:$B$3002,0)),""))</f>
        <v/>
      </c>
      <c r="G438" s="42">
        <f>IF($C438="","",IFERROR(INDEX(DESPACHOS!$F$3:$F$3002,MATCH($C438,DESPACHOS!$B$3:$B$3002,0)),""))</f>
        <v/>
      </c>
      <c r="H438" s="42">
        <f>IF($C438="","",IFERROR(INDEX(DESPACHOS!$G$3:$G$3002,MATCH($C438,DESPACHOS!$B$3:$B$3002,0)),""))</f>
        <v/>
      </c>
      <c r="I438" s="39">
        <f>IF($C438="","",IFERROR(INDEX(DESPACHOS!$H$3:$H$3002,MATCH($C438,DESPACHOS!$B$3:$B$3002,0)),""))</f>
        <v/>
      </c>
      <c r="J438" s="43">
        <f>IF($C438="","",IFERROR(INDEX(DESPACHOS!$J$3:$J$3002,MATCH($C438,DESPACHOS!$B$3:$B$3002,0)),""))</f>
        <v/>
      </c>
      <c r="K438" s="39">
        <f>IF($C438="","",IF(COUNTIFS(DESPACHOS!$B$3:$B$3002,$C438)=0,"NO EXISTE",IF(COUNTIFS(DESPACHOS!$B$3:$B$3002,$C438)&gt;1,"DUPLICADO","OK")))</f>
        <v/>
      </c>
      <c r="L438" s="41" t="n"/>
      <c r="M438" s="41" t="n"/>
      <c r="N438" s="42">
        <f>IF($M438="","",IFERROR(INDEX(LISTAS!$F$3:$F$42,MATCH($M438,LISTAS!$E$3:$E$42,0)),"Por definir"))</f>
        <v/>
      </c>
      <c r="O438" s="41" t="n"/>
      <c r="P438" s="39">
        <f>IF($L438="","",IFERROR(INDEX(LISTAS!$B$3:$B$42,MATCH($L438,LISTAS!$A$3:$A$42,0)),"Media"))</f>
        <v/>
      </c>
      <c r="Q438" s="44" t="n"/>
      <c r="R438" s="45" t="n"/>
      <c r="S438" s="20">
        <f>IFERROR(IF(OR($R438="",$C438=""),"",$R438/INDEX(DESPACHOS!$M$3:$M$3002,MATCH($C438,DESPACHOS!$B$3:$B$3002,0))),"")</f>
        <v/>
      </c>
      <c r="T438" s="41" t="n"/>
      <c r="U438" s="43">
        <f>IF(OR($B438="",$L438=""),"",WORKDAY($B438,IFERROR(INDEX(LISTAS!$C$3:$C$42,MATCH($L438,LISTAS!$A$3:$A$42,0)),3)))</f>
        <v/>
      </c>
      <c r="V438" s="40" t="n"/>
      <c r="W438" s="19">
        <f>IF($B438="","",IF($V438&lt;&gt;"",$V438-$B438,TODAY()-$B438))</f>
        <v/>
      </c>
      <c r="X438" s="19">
        <f>IF(OR($B438="",$U438=""),"",IF($V438&lt;&gt;"",MAX(0,$V438-$U438),MAX(0,TODAY()-$U438)))</f>
        <v/>
      </c>
      <c r="Y438" s="39">
        <f>IF($C438="","",IF(IFERROR(INDEX(LISTAS!$I$3:$I$42,MATCH($T438,LISTAS!$H$3:$H$42,0)),"NO")="SÍ",IF(N($X438)&gt;0,"CERRADA FUERA DE SLA","CERRADA EN SLA"),IF($U438="","SIN CLASIFICAR",IF(N($X438)&gt;0,"VENCIDA",IF(TODAY()&gt;=$U438-1,"POR VENCER","EN PLAZO")))))</f>
        <v/>
      </c>
      <c r="Z438" s="41" t="n"/>
      <c r="AA438" s="41" t="n"/>
      <c r="AB438" s="41" t="n"/>
    </row>
    <row r="439">
      <c r="A439" s="39">
        <f>IF($C439="","","NOV-"&amp;TEXT(ROW()-3,"0000"))</f>
        <v/>
      </c>
      <c r="B439" s="40" t="n"/>
      <c r="C439" s="41" t="n"/>
      <c r="D439" s="42">
        <f>IF($C439="","",IFERROR(INDEX(DESPACHOS!$D$3:$D$3002,MATCH($C439,DESPACHOS!$B$3:$B$3002,0)),"SIN DESPACHO"))</f>
        <v/>
      </c>
      <c r="E439" s="42">
        <f>IF($C439="","",IFERROR(INDEX(DESPACHOS!$K$3:$K$3002,MATCH($C439,DESPACHOS!$B$3:$B$3002,0)),""))</f>
        <v/>
      </c>
      <c r="F439" s="42">
        <f>IF($C439="","",IFERROR(INDEX(DESPACHOS!$I$3:$I$3002,MATCH($C439,DESPACHOS!$B$3:$B$3002,0)),""))</f>
        <v/>
      </c>
      <c r="G439" s="42">
        <f>IF($C439="","",IFERROR(INDEX(DESPACHOS!$F$3:$F$3002,MATCH($C439,DESPACHOS!$B$3:$B$3002,0)),""))</f>
        <v/>
      </c>
      <c r="H439" s="42">
        <f>IF($C439="","",IFERROR(INDEX(DESPACHOS!$G$3:$G$3002,MATCH($C439,DESPACHOS!$B$3:$B$3002,0)),""))</f>
        <v/>
      </c>
      <c r="I439" s="39">
        <f>IF($C439="","",IFERROR(INDEX(DESPACHOS!$H$3:$H$3002,MATCH($C439,DESPACHOS!$B$3:$B$3002,0)),""))</f>
        <v/>
      </c>
      <c r="J439" s="43">
        <f>IF($C439="","",IFERROR(INDEX(DESPACHOS!$J$3:$J$3002,MATCH($C439,DESPACHOS!$B$3:$B$3002,0)),""))</f>
        <v/>
      </c>
      <c r="K439" s="39">
        <f>IF($C439="","",IF(COUNTIFS(DESPACHOS!$B$3:$B$3002,$C439)=0,"NO EXISTE",IF(COUNTIFS(DESPACHOS!$B$3:$B$3002,$C439)&gt;1,"DUPLICADO","OK")))</f>
        <v/>
      </c>
      <c r="L439" s="41" t="n"/>
      <c r="M439" s="41" t="n"/>
      <c r="N439" s="42">
        <f>IF($M439="","",IFERROR(INDEX(LISTAS!$F$3:$F$42,MATCH($M439,LISTAS!$E$3:$E$42,0)),"Por definir"))</f>
        <v/>
      </c>
      <c r="O439" s="41" t="n"/>
      <c r="P439" s="39">
        <f>IF($L439="","",IFERROR(INDEX(LISTAS!$B$3:$B$42,MATCH($L439,LISTAS!$A$3:$A$42,0)),"Media"))</f>
        <v/>
      </c>
      <c r="Q439" s="44" t="n"/>
      <c r="R439" s="45" t="n"/>
      <c r="S439" s="20">
        <f>IFERROR(IF(OR($R439="",$C439=""),"",$R439/INDEX(DESPACHOS!$M$3:$M$3002,MATCH($C439,DESPACHOS!$B$3:$B$3002,0))),"")</f>
        <v/>
      </c>
      <c r="T439" s="41" t="n"/>
      <c r="U439" s="43">
        <f>IF(OR($B439="",$L439=""),"",WORKDAY($B439,IFERROR(INDEX(LISTAS!$C$3:$C$42,MATCH($L439,LISTAS!$A$3:$A$42,0)),3)))</f>
        <v/>
      </c>
      <c r="V439" s="40" t="n"/>
      <c r="W439" s="19">
        <f>IF($B439="","",IF($V439&lt;&gt;"",$V439-$B439,TODAY()-$B439))</f>
        <v/>
      </c>
      <c r="X439" s="19">
        <f>IF(OR($B439="",$U439=""),"",IF($V439&lt;&gt;"",MAX(0,$V439-$U439),MAX(0,TODAY()-$U439)))</f>
        <v/>
      </c>
      <c r="Y439" s="39">
        <f>IF($C439="","",IF(IFERROR(INDEX(LISTAS!$I$3:$I$42,MATCH($T439,LISTAS!$H$3:$H$42,0)),"NO")="SÍ",IF(N($X439)&gt;0,"CERRADA FUERA DE SLA","CERRADA EN SLA"),IF($U439="","SIN CLASIFICAR",IF(N($X439)&gt;0,"VENCIDA",IF(TODAY()&gt;=$U439-1,"POR VENCER","EN PLAZO")))))</f>
        <v/>
      </c>
      <c r="Z439" s="41" t="n"/>
      <c r="AA439" s="41" t="n"/>
      <c r="AB439" s="41" t="n"/>
    </row>
    <row r="440">
      <c r="A440" s="39">
        <f>IF($C440="","","NOV-"&amp;TEXT(ROW()-3,"0000"))</f>
        <v/>
      </c>
      <c r="B440" s="40" t="n"/>
      <c r="C440" s="41" t="n"/>
      <c r="D440" s="42">
        <f>IF($C440="","",IFERROR(INDEX(DESPACHOS!$D$3:$D$3002,MATCH($C440,DESPACHOS!$B$3:$B$3002,0)),"SIN DESPACHO"))</f>
        <v/>
      </c>
      <c r="E440" s="42">
        <f>IF($C440="","",IFERROR(INDEX(DESPACHOS!$K$3:$K$3002,MATCH($C440,DESPACHOS!$B$3:$B$3002,0)),""))</f>
        <v/>
      </c>
      <c r="F440" s="42">
        <f>IF($C440="","",IFERROR(INDEX(DESPACHOS!$I$3:$I$3002,MATCH($C440,DESPACHOS!$B$3:$B$3002,0)),""))</f>
        <v/>
      </c>
      <c r="G440" s="42">
        <f>IF($C440="","",IFERROR(INDEX(DESPACHOS!$F$3:$F$3002,MATCH($C440,DESPACHOS!$B$3:$B$3002,0)),""))</f>
        <v/>
      </c>
      <c r="H440" s="42">
        <f>IF($C440="","",IFERROR(INDEX(DESPACHOS!$G$3:$G$3002,MATCH($C440,DESPACHOS!$B$3:$B$3002,0)),""))</f>
        <v/>
      </c>
      <c r="I440" s="39">
        <f>IF($C440="","",IFERROR(INDEX(DESPACHOS!$H$3:$H$3002,MATCH($C440,DESPACHOS!$B$3:$B$3002,0)),""))</f>
        <v/>
      </c>
      <c r="J440" s="43">
        <f>IF($C440="","",IFERROR(INDEX(DESPACHOS!$J$3:$J$3002,MATCH($C440,DESPACHOS!$B$3:$B$3002,0)),""))</f>
        <v/>
      </c>
      <c r="K440" s="39">
        <f>IF($C440="","",IF(COUNTIFS(DESPACHOS!$B$3:$B$3002,$C440)=0,"NO EXISTE",IF(COUNTIFS(DESPACHOS!$B$3:$B$3002,$C440)&gt;1,"DUPLICADO","OK")))</f>
        <v/>
      </c>
      <c r="L440" s="41" t="n"/>
      <c r="M440" s="41" t="n"/>
      <c r="N440" s="42">
        <f>IF($M440="","",IFERROR(INDEX(LISTAS!$F$3:$F$42,MATCH($M440,LISTAS!$E$3:$E$42,0)),"Por definir"))</f>
        <v/>
      </c>
      <c r="O440" s="41" t="n"/>
      <c r="P440" s="39">
        <f>IF($L440="","",IFERROR(INDEX(LISTAS!$B$3:$B$42,MATCH($L440,LISTAS!$A$3:$A$42,0)),"Media"))</f>
        <v/>
      </c>
      <c r="Q440" s="44" t="n"/>
      <c r="R440" s="45" t="n"/>
      <c r="S440" s="20">
        <f>IFERROR(IF(OR($R440="",$C440=""),"",$R440/INDEX(DESPACHOS!$M$3:$M$3002,MATCH($C440,DESPACHOS!$B$3:$B$3002,0))),"")</f>
        <v/>
      </c>
      <c r="T440" s="41" t="n"/>
      <c r="U440" s="43">
        <f>IF(OR($B440="",$L440=""),"",WORKDAY($B440,IFERROR(INDEX(LISTAS!$C$3:$C$42,MATCH($L440,LISTAS!$A$3:$A$42,0)),3)))</f>
        <v/>
      </c>
      <c r="V440" s="40" t="n"/>
      <c r="W440" s="19">
        <f>IF($B440="","",IF($V440&lt;&gt;"",$V440-$B440,TODAY()-$B440))</f>
        <v/>
      </c>
      <c r="X440" s="19">
        <f>IF(OR($B440="",$U440=""),"",IF($V440&lt;&gt;"",MAX(0,$V440-$U440),MAX(0,TODAY()-$U440)))</f>
        <v/>
      </c>
      <c r="Y440" s="39">
        <f>IF($C440="","",IF(IFERROR(INDEX(LISTAS!$I$3:$I$42,MATCH($T440,LISTAS!$H$3:$H$42,0)),"NO")="SÍ",IF(N($X440)&gt;0,"CERRADA FUERA DE SLA","CERRADA EN SLA"),IF($U440="","SIN CLASIFICAR",IF(N($X440)&gt;0,"VENCIDA",IF(TODAY()&gt;=$U440-1,"POR VENCER","EN PLAZO")))))</f>
        <v/>
      </c>
      <c r="Z440" s="41" t="n"/>
      <c r="AA440" s="41" t="n"/>
      <c r="AB440" s="41" t="n"/>
    </row>
    <row r="441">
      <c r="A441" s="39">
        <f>IF($C441="","","NOV-"&amp;TEXT(ROW()-3,"0000"))</f>
        <v/>
      </c>
      <c r="B441" s="40" t="n"/>
      <c r="C441" s="41" t="n"/>
      <c r="D441" s="42">
        <f>IF($C441="","",IFERROR(INDEX(DESPACHOS!$D$3:$D$3002,MATCH($C441,DESPACHOS!$B$3:$B$3002,0)),"SIN DESPACHO"))</f>
        <v/>
      </c>
      <c r="E441" s="42">
        <f>IF($C441="","",IFERROR(INDEX(DESPACHOS!$K$3:$K$3002,MATCH($C441,DESPACHOS!$B$3:$B$3002,0)),""))</f>
        <v/>
      </c>
      <c r="F441" s="42">
        <f>IF($C441="","",IFERROR(INDEX(DESPACHOS!$I$3:$I$3002,MATCH($C441,DESPACHOS!$B$3:$B$3002,0)),""))</f>
        <v/>
      </c>
      <c r="G441" s="42">
        <f>IF($C441="","",IFERROR(INDEX(DESPACHOS!$F$3:$F$3002,MATCH($C441,DESPACHOS!$B$3:$B$3002,0)),""))</f>
        <v/>
      </c>
      <c r="H441" s="42">
        <f>IF($C441="","",IFERROR(INDEX(DESPACHOS!$G$3:$G$3002,MATCH($C441,DESPACHOS!$B$3:$B$3002,0)),""))</f>
        <v/>
      </c>
      <c r="I441" s="39">
        <f>IF($C441="","",IFERROR(INDEX(DESPACHOS!$H$3:$H$3002,MATCH($C441,DESPACHOS!$B$3:$B$3002,0)),""))</f>
        <v/>
      </c>
      <c r="J441" s="43">
        <f>IF($C441="","",IFERROR(INDEX(DESPACHOS!$J$3:$J$3002,MATCH($C441,DESPACHOS!$B$3:$B$3002,0)),""))</f>
        <v/>
      </c>
      <c r="K441" s="39">
        <f>IF($C441="","",IF(COUNTIFS(DESPACHOS!$B$3:$B$3002,$C441)=0,"NO EXISTE",IF(COUNTIFS(DESPACHOS!$B$3:$B$3002,$C441)&gt;1,"DUPLICADO","OK")))</f>
        <v/>
      </c>
      <c r="L441" s="41" t="n"/>
      <c r="M441" s="41" t="n"/>
      <c r="N441" s="42">
        <f>IF($M441="","",IFERROR(INDEX(LISTAS!$F$3:$F$42,MATCH($M441,LISTAS!$E$3:$E$42,0)),"Por definir"))</f>
        <v/>
      </c>
      <c r="O441" s="41" t="n"/>
      <c r="P441" s="39">
        <f>IF($L441="","",IFERROR(INDEX(LISTAS!$B$3:$B$42,MATCH($L441,LISTAS!$A$3:$A$42,0)),"Media"))</f>
        <v/>
      </c>
      <c r="Q441" s="44" t="n"/>
      <c r="R441" s="45" t="n"/>
      <c r="S441" s="20">
        <f>IFERROR(IF(OR($R441="",$C441=""),"",$R441/INDEX(DESPACHOS!$M$3:$M$3002,MATCH($C441,DESPACHOS!$B$3:$B$3002,0))),"")</f>
        <v/>
      </c>
      <c r="T441" s="41" t="n"/>
      <c r="U441" s="43">
        <f>IF(OR($B441="",$L441=""),"",WORKDAY($B441,IFERROR(INDEX(LISTAS!$C$3:$C$42,MATCH($L441,LISTAS!$A$3:$A$42,0)),3)))</f>
        <v/>
      </c>
      <c r="V441" s="40" t="n"/>
      <c r="W441" s="19">
        <f>IF($B441="","",IF($V441&lt;&gt;"",$V441-$B441,TODAY()-$B441))</f>
        <v/>
      </c>
      <c r="X441" s="19">
        <f>IF(OR($B441="",$U441=""),"",IF($V441&lt;&gt;"",MAX(0,$V441-$U441),MAX(0,TODAY()-$U441)))</f>
        <v/>
      </c>
      <c r="Y441" s="39">
        <f>IF($C441="","",IF(IFERROR(INDEX(LISTAS!$I$3:$I$42,MATCH($T441,LISTAS!$H$3:$H$42,0)),"NO")="SÍ",IF(N($X441)&gt;0,"CERRADA FUERA DE SLA","CERRADA EN SLA"),IF($U441="","SIN CLASIFICAR",IF(N($X441)&gt;0,"VENCIDA",IF(TODAY()&gt;=$U441-1,"POR VENCER","EN PLAZO")))))</f>
        <v/>
      </c>
      <c r="Z441" s="41" t="n"/>
      <c r="AA441" s="41" t="n"/>
      <c r="AB441" s="41" t="n"/>
    </row>
    <row r="442">
      <c r="A442" s="39">
        <f>IF($C442="","","NOV-"&amp;TEXT(ROW()-3,"0000"))</f>
        <v/>
      </c>
      <c r="B442" s="40" t="n"/>
      <c r="C442" s="41" t="n"/>
      <c r="D442" s="42">
        <f>IF($C442="","",IFERROR(INDEX(DESPACHOS!$D$3:$D$3002,MATCH($C442,DESPACHOS!$B$3:$B$3002,0)),"SIN DESPACHO"))</f>
        <v/>
      </c>
      <c r="E442" s="42">
        <f>IF($C442="","",IFERROR(INDEX(DESPACHOS!$K$3:$K$3002,MATCH($C442,DESPACHOS!$B$3:$B$3002,0)),""))</f>
        <v/>
      </c>
      <c r="F442" s="42">
        <f>IF($C442="","",IFERROR(INDEX(DESPACHOS!$I$3:$I$3002,MATCH($C442,DESPACHOS!$B$3:$B$3002,0)),""))</f>
        <v/>
      </c>
      <c r="G442" s="42">
        <f>IF($C442="","",IFERROR(INDEX(DESPACHOS!$F$3:$F$3002,MATCH($C442,DESPACHOS!$B$3:$B$3002,0)),""))</f>
        <v/>
      </c>
      <c r="H442" s="42">
        <f>IF($C442="","",IFERROR(INDEX(DESPACHOS!$G$3:$G$3002,MATCH($C442,DESPACHOS!$B$3:$B$3002,0)),""))</f>
        <v/>
      </c>
      <c r="I442" s="39">
        <f>IF($C442="","",IFERROR(INDEX(DESPACHOS!$H$3:$H$3002,MATCH($C442,DESPACHOS!$B$3:$B$3002,0)),""))</f>
        <v/>
      </c>
      <c r="J442" s="43">
        <f>IF($C442="","",IFERROR(INDEX(DESPACHOS!$J$3:$J$3002,MATCH($C442,DESPACHOS!$B$3:$B$3002,0)),""))</f>
        <v/>
      </c>
      <c r="K442" s="39">
        <f>IF($C442="","",IF(COUNTIFS(DESPACHOS!$B$3:$B$3002,$C442)=0,"NO EXISTE",IF(COUNTIFS(DESPACHOS!$B$3:$B$3002,$C442)&gt;1,"DUPLICADO","OK")))</f>
        <v/>
      </c>
      <c r="L442" s="41" t="n"/>
      <c r="M442" s="41" t="n"/>
      <c r="N442" s="42">
        <f>IF($M442="","",IFERROR(INDEX(LISTAS!$F$3:$F$42,MATCH($M442,LISTAS!$E$3:$E$42,0)),"Por definir"))</f>
        <v/>
      </c>
      <c r="O442" s="41" t="n"/>
      <c r="P442" s="39">
        <f>IF($L442="","",IFERROR(INDEX(LISTAS!$B$3:$B$42,MATCH($L442,LISTAS!$A$3:$A$42,0)),"Media"))</f>
        <v/>
      </c>
      <c r="Q442" s="44" t="n"/>
      <c r="R442" s="45" t="n"/>
      <c r="S442" s="20">
        <f>IFERROR(IF(OR($R442="",$C442=""),"",$R442/INDEX(DESPACHOS!$M$3:$M$3002,MATCH($C442,DESPACHOS!$B$3:$B$3002,0))),"")</f>
        <v/>
      </c>
      <c r="T442" s="41" t="n"/>
      <c r="U442" s="43">
        <f>IF(OR($B442="",$L442=""),"",WORKDAY($B442,IFERROR(INDEX(LISTAS!$C$3:$C$42,MATCH($L442,LISTAS!$A$3:$A$42,0)),3)))</f>
        <v/>
      </c>
      <c r="V442" s="40" t="n"/>
      <c r="W442" s="19">
        <f>IF($B442="","",IF($V442&lt;&gt;"",$V442-$B442,TODAY()-$B442))</f>
        <v/>
      </c>
      <c r="X442" s="19">
        <f>IF(OR($B442="",$U442=""),"",IF($V442&lt;&gt;"",MAX(0,$V442-$U442),MAX(0,TODAY()-$U442)))</f>
        <v/>
      </c>
      <c r="Y442" s="39">
        <f>IF($C442="","",IF(IFERROR(INDEX(LISTAS!$I$3:$I$42,MATCH($T442,LISTAS!$H$3:$H$42,0)),"NO")="SÍ",IF(N($X442)&gt;0,"CERRADA FUERA DE SLA","CERRADA EN SLA"),IF($U442="","SIN CLASIFICAR",IF(N($X442)&gt;0,"VENCIDA",IF(TODAY()&gt;=$U442-1,"POR VENCER","EN PLAZO")))))</f>
        <v/>
      </c>
      <c r="Z442" s="41" t="n"/>
      <c r="AA442" s="41" t="n"/>
      <c r="AB442" s="41" t="n"/>
    </row>
    <row r="443">
      <c r="A443" s="39">
        <f>IF($C443="","","NOV-"&amp;TEXT(ROW()-3,"0000"))</f>
        <v/>
      </c>
      <c r="B443" s="40" t="n"/>
      <c r="C443" s="41" t="n"/>
      <c r="D443" s="42">
        <f>IF($C443="","",IFERROR(INDEX(DESPACHOS!$D$3:$D$3002,MATCH($C443,DESPACHOS!$B$3:$B$3002,0)),"SIN DESPACHO"))</f>
        <v/>
      </c>
      <c r="E443" s="42">
        <f>IF($C443="","",IFERROR(INDEX(DESPACHOS!$K$3:$K$3002,MATCH($C443,DESPACHOS!$B$3:$B$3002,0)),""))</f>
        <v/>
      </c>
      <c r="F443" s="42">
        <f>IF($C443="","",IFERROR(INDEX(DESPACHOS!$I$3:$I$3002,MATCH($C443,DESPACHOS!$B$3:$B$3002,0)),""))</f>
        <v/>
      </c>
      <c r="G443" s="42">
        <f>IF($C443="","",IFERROR(INDEX(DESPACHOS!$F$3:$F$3002,MATCH($C443,DESPACHOS!$B$3:$B$3002,0)),""))</f>
        <v/>
      </c>
      <c r="H443" s="42">
        <f>IF($C443="","",IFERROR(INDEX(DESPACHOS!$G$3:$G$3002,MATCH($C443,DESPACHOS!$B$3:$B$3002,0)),""))</f>
        <v/>
      </c>
      <c r="I443" s="39">
        <f>IF($C443="","",IFERROR(INDEX(DESPACHOS!$H$3:$H$3002,MATCH($C443,DESPACHOS!$B$3:$B$3002,0)),""))</f>
        <v/>
      </c>
      <c r="J443" s="43">
        <f>IF($C443="","",IFERROR(INDEX(DESPACHOS!$J$3:$J$3002,MATCH($C443,DESPACHOS!$B$3:$B$3002,0)),""))</f>
        <v/>
      </c>
      <c r="K443" s="39">
        <f>IF($C443="","",IF(COUNTIFS(DESPACHOS!$B$3:$B$3002,$C443)=0,"NO EXISTE",IF(COUNTIFS(DESPACHOS!$B$3:$B$3002,$C443)&gt;1,"DUPLICADO","OK")))</f>
        <v/>
      </c>
      <c r="L443" s="41" t="n"/>
      <c r="M443" s="41" t="n"/>
      <c r="N443" s="42">
        <f>IF($M443="","",IFERROR(INDEX(LISTAS!$F$3:$F$42,MATCH($M443,LISTAS!$E$3:$E$42,0)),"Por definir"))</f>
        <v/>
      </c>
      <c r="O443" s="41" t="n"/>
      <c r="P443" s="39">
        <f>IF($L443="","",IFERROR(INDEX(LISTAS!$B$3:$B$42,MATCH($L443,LISTAS!$A$3:$A$42,0)),"Media"))</f>
        <v/>
      </c>
      <c r="Q443" s="44" t="n"/>
      <c r="R443" s="45" t="n"/>
      <c r="S443" s="20">
        <f>IFERROR(IF(OR($R443="",$C443=""),"",$R443/INDEX(DESPACHOS!$M$3:$M$3002,MATCH($C443,DESPACHOS!$B$3:$B$3002,0))),"")</f>
        <v/>
      </c>
      <c r="T443" s="41" t="n"/>
      <c r="U443" s="43">
        <f>IF(OR($B443="",$L443=""),"",WORKDAY($B443,IFERROR(INDEX(LISTAS!$C$3:$C$42,MATCH($L443,LISTAS!$A$3:$A$42,0)),3)))</f>
        <v/>
      </c>
      <c r="V443" s="40" t="n"/>
      <c r="W443" s="19">
        <f>IF($B443="","",IF($V443&lt;&gt;"",$V443-$B443,TODAY()-$B443))</f>
        <v/>
      </c>
      <c r="X443" s="19">
        <f>IF(OR($B443="",$U443=""),"",IF($V443&lt;&gt;"",MAX(0,$V443-$U443),MAX(0,TODAY()-$U443)))</f>
        <v/>
      </c>
      <c r="Y443" s="39">
        <f>IF($C443="","",IF(IFERROR(INDEX(LISTAS!$I$3:$I$42,MATCH($T443,LISTAS!$H$3:$H$42,0)),"NO")="SÍ",IF(N($X443)&gt;0,"CERRADA FUERA DE SLA","CERRADA EN SLA"),IF($U443="","SIN CLASIFICAR",IF(N($X443)&gt;0,"VENCIDA",IF(TODAY()&gt;=$U443-1,"POR VENCER","EN PLAZO")))))</f>
        <v/>
      </c>
      <c r="Z443" s="41" t="n"/>
      <c r="AA443" s="41" t="n"/>
      <c r="AB443" s="41" t="n"/>
    </row>
    <row r="444">
      <c r="A444" s="39">
        <f>IF($C444="","","NOV-"&amp;TEXT(ROW()-3,"0000"))</f>
        <v/>
      </c>
      <c r="B444" s="40" t="n"/>
      <c r="C444" s="41" t="n"/>
      <c r="D444" s="42">
        <f>IF($C444="","",IFERROR(INDEX(DESPACHOS!$D$3:$D$3002,MATCH($C444,DESPACHOS!$B$3:$B$3002,0)),"SIN DESPACHO"))</f>
        <v/>
      </c>
      <c r="E444" s="42">
        <f>IF($C444="","",IFERROR(INDEX(DESPACHOS!$K$3:$K$3002,MATCH($C444,DESPACHOS!$B$3:$B$3002,0)),""))</f>
        <v/>
      </c>
      <c r="F444" s="42">
        <f>IF($C444="","",IFERROR(INDEX(DESPACHOS!$I$3:$I$3002,MATCH($C444,DESPACHOS!$B$3:$B$3002,0)),""))</f>
        <v/>
      </c>
      <c r="G444" s="42">
        <f>IF($C444="","",IFERROR(INDEX(DESPACHOS!$F$3:$F$3002,MATCH($C444,DESPACHOS!$B$3:$B$3002,0)),""))</f>
        <v/>
      </c>
      <c r="H444" s="42">
        <f>IF($C444="","",IFERROR(INDEX(DESPACHOS!$G$3:$G$3002,MATCH($C444,DESPACHOS!$B$3:$B$3002,0)),""))</f>
        <v/>
      </c>
      <c r="I444" s="39">
        <f>IF($C444="","",IFERROR(INDEX(DESPACHOS!$H$3:$H$3002,MATCH($C444,DESPACHOS!$B$3:$B$3002,0)),""))</f>
        <v/>
      </c>
      <c r="J444" s="43">
        <f>IF($C444="","",IFERROR(INDEX(DESPACHOS!$J$3:$J$3002,MATCH($C444,DESPACHOS!$B$3:$B$3002,0)),""))</f>
        <v/>
      </c>
      <c r="K444" s="39">
        <f>IF($C444="","",IF(COUNTIFS(DESPACHOS!$B$3:$B$3002,$C444)=0,"NO EXISTE",IF(COUNTIFS(DESPACHOS!$B$3:$B$3002,$C444)&gt;1,"DUPLICADO","OK")))</f>
        <v/>
      </c>
      <c r="L444" s="41" t="n"/>
      <c r="M444" s="41" t="n"/>
      <c r="N444" s="42">
        <f>IF($M444="","",IFERROR(INDEX(LISTAS!$F$3:$F$42,MATCH($M444,LISTAS!$E$3:$E$42,0)),"Por definir"))</f>
        <v/>
      </c>
      <c r="O444" s="41" t="n"/>
      <c r="P444" s="39">
        <f>IF($L444="","",IFERROR(INDEX(LISTAS!$B$3:$B$42,MATCH($L444,LISTAS!$A$3:$A$42,0)),"Media"))</f>
        <v/>
      </c>
      <c r="Q444" s="44" t="n"/>
      <c r="R444" s="45" t="n"/>
      <c r="S444" s="20">
        <f>IFERROR(IF(OR($R444="",$C444=""),"",$R444/INDEX(DESPACHOS!$M$3:$M$3002,MATCH($C444,DESPACHOS!$B$3:$B$3002,0))),"")</f>
        <v/>
      </c>
      <c r="T444" s="41" t="n"/>
      <c r="U444" s="43">
        <f>IF(OR($B444="",$L444=""),"",WORKDAY($B444,IFERROR(INDEX(LISTAS!$C$3:$C$42,MATCH($L444,LISTAS!$A$3:$A$42,0)),3)))</f>
        <v/>
      </c>
      <c r="V444" s="40" t="n"/>
      <c r="W444" s="19">
        <f>IF($B444="","",IF($V444&lt;&gt;"",$V444-$B444,TODAY()-$B444))</f>
        <v/>
      </c>
      <c r="X444" s="19">
        <f>IF(OR($B444="",$U444=""),"",IF($V444&lt;&gt;"",MAX(0,$V444-$U444),MAX(0,TODAY()-$U444)))</f>
        <v/>
      </c>
      <c r="Y444" s="39">
        <f>IF($C444="","",IF(IFERROR(INDEX(LISTAS!$I$3:$I$42,MATCH($T444,LISTAS!$H$3:$H$42,0)),"NO")="SÍ",IF(N($X444)&gt;0,"CERRADA FUERA DE SLA","CERRADA EN SLA"),IF($U444="","SIN CLASIFICAR",IF(N($X444)&gt;0,"VENCIDA",IF(TODAY()&gt;=$U444-1,"POR VENCER","EN PLAZO")))))</f>
        <v/>
      </c>
      <c r="Z444" s="41" t="n"/>
      <c r="AA444" s="41" t="n"/>
      <c r="AB444" s="41" t="n"/>
    </row>
    <row r="445">
      <c r="A445" s="39">
        <f>IF($C445="","","NOV-"&amp;TEXT(ROW()-3,"0000"))</f>
        <v/>
      </c>
      <c r="B445" s="40" t="n"/>
      <c r="C445" s="41" t="n"/>
      <c r="D445" s="42">
        <f>IF($C445="","",IFERROR(INDEX(DESPACHOS!$D$3:$D$3002,MATCH($C445,DESPACHOS!$B$3:$B$3002,0)),"SIN DESPACHO"))</f>
        <v/>
      </c>
      <c r="E445" s="42">
        <f>IF($C445="","",IFERROR(INDEX(DESPACHOS!$K$3:$K$3002,MATCH($C445,DESPACHOS!$B$3:$B$3002,0)),""))</f>
        <v/>
      </c>
      <c r="F445" s="42">
        <f>IF($C445="","",IFERROR(INDEX(DESPACHOS!$I$3:$I$3002,MATCH($C445,DESPACHOS!$B$3:$B$3002,0)),""))</f>
        <v/>
      </c>
      <c r="G445" s="42">
        <f>IF($C445="","",IFERROR(INDEX(DESPACHOS!$F$3:$F$3002,MATCH($C445,DESPACHOS!$B$3:$B$3002,0)),""))</f>
        <v/>
      </c>
      <c r="H445" s="42">
        <f>IF($C445="","",IFERROR(INDEX(DESPACHOS!$G$3:$G$3002,MATCH($C445,DESPACHOS!$B$3:$B$3002,0)),""))</f>
        <v/>
      </c>
      <c r="I445" s="39">
        <f>IF($C445="","",IFERROR(INDEX(DESPACHOS!$H$3:$H$3002,MATCH($C445,DESPACHOS!$B$3:$B$3002,0)),""))</f>
        <v/>
      </c>
      <c r="J445" s="43">
        <f>IF($C445="","",IFERROR(INDEX(DESPACHOS!$J$3:$J$3002,MATCH($C445,DESPACHOS!$B$3:$B$3002,0)),""))</f>
        <v/>
      </c>
      <c r="K445" s="39">
        <f>IF($C445="","",IF(COUNTIFS(DESPACHOS!$B$3:$B$3002,$C445)=0,"NO EXISTE",IF(COUNTIFS(DESPACHOS!$B$3:$B$3002,$C445)&gt;1,"DUPLICADO","OK")))</f>
        <v/>
      </c>
      <c r="L445" s="41" t="n"/>
      <c r="M445" s="41" t="n"/>
      <c r="N445" s="42">
        <f>IF($M445="","",IFERROR(INDEX(LISTAS!$F$3:$F$42,MATCH($M445,LISTAS!$E$3:$E$42,0)),"Por definir"))</f>
        <v/>
      </c>
      <c r="O445" s="41" t="n"/>
      <c r="P445" s="39">
        <f>IF($L445="","",IFERROR(INDEX(LISTAS!$B$3:$B$42,MATCH($L445,LISTAS!$A$3:$A$42,0)),"Media"))</f>
        <v/>
      </c>
      <c r="Q445" s="44" t="n"/>
      <c r="R445" s="45" t="n"/>
      <c r="S445" s="20">
        <f>IFERROR(IF(OR($R445="",$C445=""),"",$R445/INDEX(DESPACHOS!$M$3:$M$3002,MATCH($C445,DESPACHOS!$B$3:$B$3002,0))),"")</f>
        <v/>
      </c>
      <c r="T445" s="41" t="n"/>
      <c r="U445" s="43">
        <f>IF(OR($B445="",$L445=""),"",WORKDAY($B445,IFERROR(INDEX(LISTAS!$C$3:$C$42,MATCH($L445,LISTAS!$A$3:$A$42,0)),3)))</f>
        <v/>
      </c>
      <c r="V445" s="40" t="n"/>
      <c r="W445" s="19">
        <f>IF($B445="","",IF($V445&lt;&gt;"",$V445-$B445,TODAY()-$B445))</f>
        <v/>
      </c>
      <c r="X445" s="19">
        <f>IF(OR($B445="",$U445=""),"",IF($V445&lt;&gt;"",MAX(0,$V445-$U445),MAX(0,TODAY()-$U445)))</f>
        <v/>
      </c>
      <c r="Y445" s="39">
        <f>IF($C445="","",IF(IFERROR(INDEX(LISTAS!$I$3:$I$42,MATCH($T445,LISTAS!$H$3:$H$42,0)),"NO")="SÍ",IF(N($X445)&gt;0,"CERRADA FUERA DE SLA","CERRADA EN SLA"),IF($U445="","SIN CLASIFICAR",IF(N($X445)&gt;0,"VENCIDA",IF(TODAY()&gt;=$U445-1,"POR VENCER","EN PLAZO")))))</f>
        <v/>
      </c>
      <c r="Z445" s="41" t="n"/>
      <c r="AA445" s="41" t="n"/>
      <c r="AB445" s="41" t="n"/>
    </row>
    <row r="446">
      <c r="A446" s="39">
        <f>IF($C446="","","NOV-"&amp;TEXT(ROW()-3,"0000"))</f>
        <v/>
      </c>
      <c r="B446" s="40" t="n"/>
      <c r="C446" s="41" t="n"/>
      <c r="D446" s="42">
        <f>IF($C446="","",IFERROR(INDEX(DESPACHOS!$D$3:$D$3002,MATCH($C446,DESPACHOS!$B$3:$B$3002,0)),"SIN DESPACHO"))</f>
        <v/>
      </c>
      <c r="E446" s="42">
        <f>IF($C446="","",IFERROR(INDEX(DESPACHOS!$K$3:$K$3002,MATCH($C446,DESPACHOS!$B$3:$B$3002,0)),""))</f>
        <v/>
      </c>
      <c r="F446" s="42">
        <f>IF($C446="","",IFERROR(INDEX(DESPACHOS!$I$3:$I$3002,MATCH($C446,DESPACHOS!$B$3:$B$3002,0)),""))</f>
        <v/>
      </c>
      <c r="G446" s="42">
        <f>IF($C446="","",IFERROR(INDEX(DESPACHOS!$F$3:$F$3002,MATCH($C446,DESPACHOS!$B$3:$B$3002,0)),""))</f>
        <v/>
      </c>
      <c r="H446" s="42">
        <f>IF($C446="","",IFERROR(INDEX(DESPACHOS!$G$3:$G$3002,MATCH($C446,DESPACHOS!$B$3:$B$3002,0)),""))</f>
        <v/>
      </c>
      <c r="I446" s="39">
        <f>IF($C446="","",IFERROR(INDEX(DESPACHOS!$H$3:$H$3002,MATCH($C446,DESPACHOS!$B$3:$B$3002,0)),""))</f>
        <v/>
      </c>
      <c r="J446" s="43">
        <f>IF($C446="","",IFERROR(INDEX(DESPACHOS!$J$3:$J$3002,MATCH($C446,DESPACHOS!$B$3:$B$3002,0)),""))</f>
        <v/>
      </c>
      <c r="K446" s="39">
        <f>IF($C446="","",IF(COUNTIFS(DESPACHOS!$B$3:$B$3002,$C446)=0,"NO EXISTE",IF(COUNTIFS(DESPACHOS!$B$3:$B$3002,$C446)&gt;1,"DUPLICADO","OK")))</f>
        <v/>
      </c>
      <c r="L446" s="41" t="n"/>
      <c r="M446" s="41" t="n"/>
      <c r="N446" s="42">
        <f>IF($M446="","",IFERROR(INDEX(LISTAS!$F$3:$F$42,MATCH($M446,LISTAS!$E$3:$E$42,0)),"Por definir"))</f>
        <v/>
      </c>
      <c r="O446" s="41" t="n"/>
      <c r="P446" s="39">
        <f>IF($L446="","",IFERROR(INDEX(LISTAS!$B$3:$B$42,MATCH($L446,LISTAS!$A$3:$A$42,0)),"Media"))</f>
        <v/>
      </c>
      <c r="Q446" s="44" t="n"/>
      <c r="R446" s="45" t="n"/>
      <c r="S446" s="20">
        <f>IFERROR(IF(OR($R446="",$C446=""),"",$R446/INDEX(DESPACHOS!$M$3:$M$3002,MATCH($C446,DESPACHOS!$B$3:$B$3002,0))),"")</f>
        <v/>
      </c>
      <c r="T446" s="41" t="n"/>
      <c r="U446" s="43">
        <f>IF(OR($B446="",$L446=""),"",WORKDAY($B446,IFERROR(INDEX(LISTAS!$C$3:$C$42,MATCH($L446,LISTAS!$A$3:$A$42,0)),3)))</f>
        <v/>
      </c>
      <c r="V446" s="40" t="n"/>
      <c r="W446" s="19">
        <f>IF($B446="","",IF($V446&lt;&gt;"",$V446-$B446,TODAY()-$B446))</f>
        <v/>
      </c>
      <c r="X446" s="19">
        <f>IF(OR($B446="",$U446=""),"",IF($V446&lt;&gt;"",MAX(0,$V446-$U446),MAX(0,TODAY()-$U446)))</f>
        <v/>
      </c>
      <c r="Y446" s="39">
        <f>IF($C446="","",IF(IFERROR(INDEX(LISTAS!$I$3:$I$42,MATCH($T446,LISTAS!$H$3:$H$42,0)),"NO")="SÍ",IF(N($X446)&gt;0,"CERRADA FUERA DE SLA","CERRADA EN SLA"),IF($U446="","SIN CLASIFICAR",IF(N($X446)&gt;0,"VENCIDA",IF(TODAY()&gt;=$U446-1,"POR VENCER","EN PLAZO")))))</f>
        <v/>
      </c>
      <c r="Z446" s="41" t="n"/>
      <c r="AA446" s="41" t="n"/>
      <c r="AB446" s="41" t="n"/>
    </row>
    <row r="447">
      <c r="A447" s="39">
        <f>IF($C447="","","NOV-"&amp;TEXT(ROW()-3,"0000"))</f>
        <v/>
      </c>
      <c r="B447" s="40" t="n"/>
      <c r="C447" s="41" t="n"/>
      <c r="D447" s="42">
        <f>IF($C447="","",IFERROR(INDEX(DESPACHOS!$D$3:$D$3002,MATCH($C447,DESPACHOS!$B$3:$B$3002,0)),"SIN DESPACHO"))</f>
        <v/>
      </c>
      <c r="E447" s="42">
        <f>IF($C447="","",IFERROR(INDEX(DESPACHOS!$K$3:$K$3002,MATCH($C447,DESPACHOS!$B$3:$B$3002,0)),""))</f>
        <v/>
      </c>
      <c r="F447" s="42">
        <f>IF($C447="","",IFERROR(INDEX(DESPACHOS!$I$3:$I$3002,MATCH($C447,DESPACHOS!$B$3:$B$3002,0)),""))</f>
        <v/>
      </c>
      <c r="G447" s="42">
        <f>IF($C447="","",IFERROR(INDEX(DESPACHOS!$F$3:$F$3002,MATCH($C447,DESPACHOS!$B$3:$B$3002,0)),""))</f>
        <v/>
      </c>
      <c r="H447" s="42">
        <f>IF($C447="","",IFERROR(INDEX(DESPACHOS!$G$3:$G$3002,MATCH($C447,DESPACHOS!$B$3:$B$3002,0)),""))</f>
        <v/>
      </c>
      <c r="I447" s="39">
        <f>IF($C447="","",IFERROR(INDEX(DESPACHOS!$H$3:$H$3002,MATCH($C447,DESPACHOS!$B$3:$B$3002,0)),""))</f>
        <v/>
      </c>
      <c r="J447" s="43">
        <f>IF($C447="","",IFERROR(INDEX(DESPACHOS!$J$3:$J$3002,MATCH($C447,DESPACHOS!$B$3:$B$3002,0)),""))</f>
        <v/>
      </c>
      <c r="K447" s="39">
        <f>IF($C447="","",IF(COUNTIFS(DESPACHOS!$B$3:$B$3002,$C447)=0,"NO EXISTE",IF(COUNTIFS(DESPACHOS!$B$3:$B$3002,$C447)&gt;1,"DUPLICADO","OK")))</f>
        <v/>
      </c>
      <c r="L447" s="41" t="n"/>
      <c r="M447" s="41" t="n"/>
      <c r="N447" s="42">
        <f>IF($M447="","",IFERROR(INDEX(LISTAS!$F$3:$F$42,MATCH($M447,LISTAS!$E$3:$E$42,0)),"Por definir"))</f>
        <v/>
      </c>
      <c r="O447" s="41" t="n"/>
      <c r="P447" s="39">
        <f>IF($L447="","",IFERROR(INDEX(LISTAS!$B$3:$B$42,MATCH($L447,LISTAS!$A$3:$A$42,0)),"Media"))</f>
        <v/>
      </c>
      <c r="Q447" s="44" t="n"/>
      <c r="R447" s="45" t="n"/>
      <c r="S447" s="20">
        <f>IFERROR(IF(OR($R447="",$C447=""),"",$R447/INDEX(DESPACHOS!$M$3:$M$3002,MATCH($C447,DESPACHOS!$B$3:$B$3002,0))),"")</f>
        <v/>
      </c>
      <c r="T447" s="41" t="n"/>
      <c r="U447" s="43">
        <f>IF(OR($B447="",$L447=""),"",WORKDAY($B447,IFERROR(INDEX(LISTAS!$C$3:$C$42,MATCH($L447,LISTAS!$A$3:$A$42,0)),3)))</f>
        <v/>
      </c>
      <c r="V447" s="40" t="n"/>
      <c r="W447" s="19">
        <f>IF($B447="","",IF($V447&lt;&gt;"",$V447-$B447,TODAY()-$B447))</f>
        <v/>
      </c>
      <c r="X447" s="19">
        <f>IF(OR($B447="",$U447=""),"",IF($V447&lt;&gt;"",MAX(0,$V447-$U447),MAX(0,TODAY()-$U447)))</f>
        <v/>
      </c>
      <c r="Y447" s="39">
        <f>IF($C447="","",IF(IFERROR(INDEX(LISTAS!$I$3:$I$42,MATCH($T447,LISTAS!$H$3:$H$42,0)),"NO")="SÍ",IF(N($X447)&gt;0,"CERRADA FUERA DE SLA","CERRADA EN SLA"),IF($U447="","SIN CLASIFICAR",IF(N($X447)&gt;0,"VENCIDA",IF(TODAY()&gt;=$U447-1,"POR VENCER","EN PLAZO")))))</f>
        <v/>
      </c>
      <c r="Z447" s="41" t="n"/>
      <c r="AA447" s="41" t="n"/>
      <c r="AB447" s="41" t="n"/>
    </row>
    <row r="448">
      <c r="A448" s="39">
        <f>IF($C448="","","NOV-"&amp;TEXT(ROW()-3,"0000"))</f>
        <v/>
      </c>
      <c r="B448" s="40" t="n"/>
      <c r="C448" s="41" t="n"/>
      <c r="D448" s="42">
        <f>IF($C448="","",IFERROR(INDEX(DESPACHOS!$D$3:$D$3002,MATCH($C448,DESPACHOS!$B$3:$B$3002,0)),"SIN DESPACHO"))</f>
        <v/>
      </c>
      <c r="E448" s="42">
        <f>IF($C448="","",IFERROR(INDEX(DESPACHOS!$K$3:$K$3002,MATCH($C448,DESPACHOS!$B$3:$B$3002,0)),""))</f>
        <v/>
      </c>
      <c r="F448" s="42">
        <f>IF($C448="","",IFERROR(INDEX(DESPACHOS!$I$3:$I$3002,MATCH($C448,DESPACHOS!$B$3:$B$3002,0)),""))</f>
        <v/>
      </c>
      <c r="G448" s="42">
        <f>IF($C448="","",IFERROR(INDEX(DESPACHOS!$F$3:$F$3002,MATCH($C448,DESPACHOS!$B$3:$B$3002,0)),""))</f>
        <v/>
      </c>
      <c r="H448" s="42">
        <f>IF($C448="","",IFERROR(INDEX(DESPACHOS!$G$3:$G$3002,MATCH($C448,DESPACHOS!$B$3:$B$3002,0)),""))</f>
        <v/>
      </c>
      <c r="I448" s="39">
        <f>IF($C448="","",IFERROR(INDEX(DESPACHOS!$H$3:$H$3002,MATCH($C448,DESPACHOS!$B$3:$B$3002,0)),""))</f>
        <v/>
      </c>
      <c r="J448" s="43">
        <f>IF($C448="","",IFERROR(INDEX(DESPACHOS!$J$3:$J$3002,MATCH($C448,DESPACHOS!$B$3:$B$3002,0)),""))</f>
        <v/>
      </c>
      <c r="K448" s="39">
        <f>IF($C448="","",IF(COUNTIFS(DESPACHOS!$B$3:$B$3002,$C448)=0,"NO EXISTE",IF(COUNTIFS(DESPACHOS!$B$3:$B$3002,$C448)&gt;1,"DUPLICADO","OK")))</f>
        <v/>
      </c>
      <c r="L448" s="41" t="n"/>
      <c r="M448" s="41" t="n"/>
      <c r="N448" s="42">
        <f>IF($M448="","",IFERROR(INDEX(LISTAS!$F$3:$F$42,MATCH($M448,LISTAS!$E$3:$E$42,0)),"Por definir"))</f>
        <v/>
      </c>
      <c r="O448" s="41" t="n"/>
      <c r="P448" s="39">
        <f>IF($L448="","",IFERROR(INDEX(LISTAS!$B$3:$B$42,MATCH($L448,LISTAS!$A$3:$A$42,0)),"Media"))</f>
        <v/>
      </c>
      <c r="Q448" s="44" t="n"/>
      <c r="R448" s="45" t="n"/>
      <c r="S448" s="20">
        <f>IFERROR(IF(OR($R448="",$C448=""),"",$R448/INDEX(DESPACHOS!$M$3:$M$3002,MATCH($C448,DESPACHOS!$B$3:$B$3002,0))),"")</f>
        <v/>
      </c>
      <c r="T448" s="41" t="n"/>
      <c r="U448" s="43">
        <f>IF(OR($B448="",$L448=""),"",WORKDAY($B448,IFERROR(INDEX(LISTAS!$C$3:$C$42,MATCH($L448,LISTAS!$A$3:$A$42,0)),3)))</f>
        <v/>
      </c>
      <c r="V448" s="40" t="n"/>
      <c r="W448" s="19">
        <f>IF($B448="","",IF($V448&lt;&gt;"",$V448-$B448,TODAY()-$B448))</f>
        <v/>
      </c>
      <c r="X448" s="19">
        <f>IF(OR($B448="",$U448=""),"",IF($V448&lt;&gt;"",MAX(0,$V448-$U448),MAX(0,TODAY()-$U448)))</f>
        <v/>
      </c>
      <c r="Y448" s="39">
        <f>IF($C448="","",IF(IFERROR(INDEX(LISTAS!$I$3:$I$42,MATCH($T448,LISTAS!$H$3:$H$42,0)),"NO")="SÍ",IF(N($X448)&gt;0,"CERRADA FUERA DE SLA","CERRADA EN SLA"),IF($U448="","SIN CLASIFICAR",IF(N($X448)&gt;0,"VENCIDA",IF(TODAY()&gt;=$U448-1,"POR VENCER","EN PLAZO")))))</f>
        <v/>
      </c>
      <c r="Z448" s="41" t="n"/>
      <c r="AA448" s="41" t="n"/>
      <c r="AB448" s="41" t="n"/>
    </row>
    <row r="449">
      <c r="A449" s="39">
        <f>IF($C449="","","NOV-"&amp;TEXT(ROW()-3,"0000"))</f>
        <v/>
      </c>
      <c r="B449" s="40" t="n"/>
      <c r="C449" s="41" t="n"/>
      <c r="D449" s="42">
        <f>IF($C449="","",IFERROR(INDEX(DESPACHOS!$D$3:$D$3002,MATCH($C449,DESPACHOS!$B$3:$B$3002,0)),"SIN DESPACHO"))</f>
        <v/>
      </c>
      <c r="E449" s="42">
        <f>IF($C449="","",IFERROR(INDEX(DESPACHOS!$K$3:$K$3002,MATCH($C449,DESPACHOS!$B$3:$B$3002,0)),""))</f>
        <v/>
      </c>
      <c r="F449" s="42">
        <f>IF($C449="","",IFERROR(INDEX(DESPACHOS!$I$3:$I$3002,MATCH($C449,DESPACHOS!$B$3:$B$3002,0)),""))</f>
        <v/>
      </c>
      <c r="G449" s="42">
        <f>IF($C449="","",IFERROR(INDEX(DESPACHOS!$F$3:$F$3002,MATCH($C449,DESPACHOS!$B$3:$B$3002,0)),""))</f>
        <v/>
      </c>
      <c r="H449" s="42">
        <f>IF($C449="","",IFERROR(INDEX(DESPACHOS!$G$3:$G$3002,MATCH($C449,DESPACHOS!$B$3:$B$3002,0)),""))</f>
        <v/>
      </c>
      <c r="I449" s="39">
        <f>IF($C449="","",IFERROR(INDEX(DESPACHOS!$H$3:$H$3002,MATCH($C449,DESPACHOS!$B$3:$B$3002,0)),""))</f>
        <v/>
      </c>
      <c r="J449" s="43">
        <f>IF($C449="","",IFERROR(INDEX(DESPACHOS!$J$3:$J$3002,MATCH($C449,DESPACHOS!$B$3:$B$3002,0)),""))</f>
        <v/>
      </c>
      <c r="K449" s="39">
        <f>IF($C449="","",IF(COUNTIFS(DESPACHOS!$B$3:$B$3002,$C449)=0,"NO EXISTE",IF(COUNTIFS(DESPACHOS!$B$3:$B$3002,$C449)&gt;1,"DUPLICADO","OK")))</f>
        <v/>
      </c>
      <c r="L449" s="41" t="n"/>
      <c r="M449" s="41" t="n"/>
      <c r="N449" s="42">
        <f>IF($M449="","",IFERROR(INDEX(LISTAS!$F$3:$F$42,MATCH($M449,LISTAS!$E$3:$E$42,0)),"Por definir"))</f>
        <v/>
      </c>
      <c r="O449" s="41" t="n"/>
      <c r="P449" s="39">
        <f>IF($L449="","",IFERROR(INDEX(LISTAS!$B$3:$B$42,MATCH($L449,LISTAS!$A$3:$A$42,0)),"Media"))</f>
        <v/>
      </c>
      <c r="Q449" s="44" t="n"/>
      <c r="R449" s="45" t="n"/>
      <c r="S449" s="20">
        <f>IFERROR(IF(OR($R449="",$C449=""),"",$R449/INDEX(DESPACHOS!$M$3:$M$3002,MATCH($C449,DESPACHOS!$B$3:$B$3002,0))),"")</f>
        <v/>
      </c>
      <c r="T449" s="41" t="n"/>
      <c r="U449" s="43">
        <f>IF(OR($B449="",$L449=""),"",WORKDAY($B449,IFERROR(INDEX(LISTAS!$C$3:$C$42,MATCH($L449,LISTAS!$A$3:$A$42,0)),3)))</f>
        <v/>
      </c>
      <c r="V449" s="40" t="n"/>
      <c r="W449" s="19">
        <f>IF($B449="","",IF($V449&lt;&gt;"",$V449-$B449,TODAY()-$B449))</f>
        <v/>
      </c>
      <c r="X449" s="19">
        <f>IF(OR($B449="",$U449=""),"",IF($V449&lt;&gt;"",MAX(0,$V449-$U449),MAX(0,TODAY()-$U449)))</f>
        <v/>
      </c>
      <c r="Y449" s="39">
        <f>IF($C449="","",IF(IFERROR(INDEX(LISTAS!$I$3:$I$42,MATCH($T449,LISTAS!$H$3:$H$42,0)),"NO")="SÍ",IF(N($X449)&gt;0,"CERRADA FUERA DE SLA","CERRADA EN SLA"),IF($U449="","SIN CLASIFICAR",IF(N($X449)&gt;0,"VENCIDA",IF(TODAY()&gt;=$U449-1,"POR VENCER","EN PLAZO")))))</f>
        <v/>
      </c>
      <c r="Z449" s="41" t="n"/>
      <c r="AA449" s="41" t="n"/>
      <c r="AB449" s="41" t="n"/>
    </row>
    <row r="450">
      <c r="A450" s="39">
        <f>IF($C450="","","NOV-"&amp;TEXT(ROW()-3,"0000"))</f>
        <v/>
      </c>
      <c r="B450" s="40" t="n"/>
      <c r="C450" s="41" t="n"/>
      <c r="D450" s="42">
        <f>IF($C450="","",IFERROR(INDEX(DESPACHOS!$D$3:$D$3002,MATCH($C450,DESPACHOS!$B$3:$B$3002,0)),"SIN DESPACHO"))</f>
        <v/>
      </c>
      <c r="E450" s="42">
        <f>IF($C450="","",IFERROR(INDEX(DESPACHOS!$K$3:$K$3002,MATCH($C450,DESPACHOS!$B$3:$B$3002,0)),""))</f>
        <v/>
      </c>
      <c r="F450" s="42">
        <f>IF($C450="","",IFERROR(INDEX(DESPACHOS!$I$3:$I$3002,MATCH($C450,DESPACHOS!$B$3:$B$3002,0)),""))</f>
        <v/>
      </c>
      <c r="G450" s="42">
        <f>IF($C450="","",IFERROR(INDEX(DESPACHOS!$F$3:$F$3002,MATCH($C450,DESPACHOS!$B$3:$B$3002,0)),""))</f>
        <v/>
      </c>
      <c r="H450" s="42">
        <f>IF($C450="","",IFERROR(INDEX(DESPACHOS!$G$3:$G$3002,MATCH($C450,DESPACHOS!$B$3:$B$3002,0)),""))</f>
        <v/>
      </c>
      <c r="I450" s="39">
        <f>IF($C450="","",IFERROR(INDEX(DESPACHOS!$H$3:$H$3002,MATCH($C450,DESPACHOS!$B$3:$B$3002,0)),""))</f>
        <v/>
      </c>
      <c r="J450" s="43">
        <f>IF($C450="","",IFERROR(INDEX(DESPACHOS!$J$3:$J$3002,MATCH($C450,DESPACHOS!$B$3:$B$3002,0)),""))</f>
        <v/>
      </c>
      <c r="K450" s="39">
        <f>IF($C450="","",IF(COUNTIFS(DESPACHOS!$B$3:$B$3002,$C450)=0,"NO EXISTE",IF(COUNTIFS(DESPACHOS!$B$3:$B$3002,$C450)&gt;1,"DUPLICADO","OK")))</f>
        <v/>
      </c>
      <c r="L450" s="41" t="n"/>
      <c r="M450" s="41" t="n"/>
      <c r="N450" s="42">
        <f>IF($M450="","",IFERROR(INDEX(LISTAS!$F$3:$F$42,MATCH($M450,LISTAS!$E$3:$E$42,0)),"Por definir"))</f>
        <v/>
      </c>
      <c r="O450" s="41" t="n"/>
      <c r="P450" s="39">
        <f>IF($L450="","",IFERROR(INDEX(LISTAS!$B$3:$B$42,MATCH($L450,LISTAS!$A$3:$A$42,0)),"Media"))</f>
        <v/>
      </c>
      <c r="Q450" s="44" t="n"/>
      <c r="R450" s="45" t="n"/>
      <c r="S450" s="20">
        <f>IFERROR(IF(OR($R450="",$C450=""),"",$R450/INDEX(DESPACHOS!$M$3:$M$3002,MATCH($C450,DESPACHOS!$B$3:$B$3002,0))),"")</f>
        <v/>
      </c>
      <c r="T450" s="41" t="n"/>
      <c r="U450" s="43">
        <f>IF(OR($B450="",$L450=""),"",WORKDAY($B450,IFERROR(INDEX(LISTAS!$C$3:$C$42,MATCH($L450,LISTAS!$A$3:$A$42,0)),3)))</f>
        <v/>
      </c>
      <c r="V450" s="40" t="n"/>
      <c r="W450" s="19">
        <f>IF($B450="","",IF($V450&lt;&gt;"",$V450-$B450,TODAY()-$B450))</f>
        <v/>
      </c>
      <c r="X450" s="19">
        <f>IF(OR($B450="",$U450=""),"",IF($V450&lt;&gt;"",MAX(0,$V450-$U450),MAX(0,TODAY()-$U450)))</f>
        <v/>
      </c>
      <c r="Y450" s="39">
        <f>IF($C450="","",IF(IFERROR(INDEX(LISTAS!$I$3:$I$42,MATCH($T450,LISTAS!$H$3:$H$42,0)),"NO")="SÍ",IF(N($X450)&gt;0,"CERRADA FUERA DE SLA","CERRADA EN SLA"),IF($U450="","SIN CLASIFICAR",IF(N($X450)&gt;0,"VENCIDA",IF(TODAY()&gt;=$U450-1,"POR VENCER","EN PLAZO")))))</f>
        <v/>
      </c>
      <c r="Z450" s="41" t="n"/>
      <c r="AA450" s="41" t="n"/>
      <c r="AB450" s="41" t="n"/>
    </row>
    <row r="451">
      <c r="A451" s="39">
        <f>IF($C451="","","NOV-"&amp;TEXT(ROW()-3,"0000"))</f>
        <v/>
      </c>
      <c r="B451" s="40" t="n"/>
      <c r="C451" s="41" t="n"/>
      <c r="D451" s="42">
        <f>IF($C451="","",IFERROR(INDEX(DESPACHOS!$D$3:$D$3002,MATCH($C451,DESPACHOS!$B$3:$B$3002,0)),"SIN DESPACHO"))</f>
        <v/>
      </c>
      <c r="E451" s="42">
        <f>IF($C451="","",IFERROR(INDEX(DESPACHOS!$K$3:$K$3002,MATCH($C451,DESPACHOS!$B$3:$B$3002,0)),""))</f>
        <v/>
      </c>
      <c r="F451" s="42">
        <f>IF($C451="","",IFERROR(INDEX(DESPACHOS!$I$3:$I$3002,MATCH($C451,DESPACHOS!$B$3:$B$3002,0)),""))</f>
        <v/>
      </c>
      <c r="G451" s="42">
        <f>IF($C451="","",IFERROR(INDEX(DESPACHOS!$F$3:$F$3002,MATCH($C451,DESPACHOS!$B$3:$B$3002,0)),""))</f>
        <v/>
      </c>
      <c r="H451" s="42">
        <f>IF($C451="","",IFERROR(INDEX(DESPACHOS!$G$3:$G$3002,MATCH($C451,DESPACHOS!$B$3:$B$3002,0)),""))</f>
        <v/>
      </c>
      <c r="I451" s="39">
        <f>IF($C451="","",IFERROR(INDEX(DESPACHOS!$H$3:$H$3002,MATCH($C451,DESPACHOS!$B$3:$B$3002,0)),""))</f>
        <v/>
      </c>
      <c r="J451" s="43">
        <f>IF($C451="","",IFERROR(INDEX(DESPACHOS!$J$3:$J$3002,MATCH($C451,DESPACHOS!$B$3:$B$3002,0)),""))</f>
        <v/>
      </c>
      <c r="K451" s="39">
        <f>IF($C451="","",IF(COUNTIFS(DESPACHOS!$B$3:$B$3002,$C451)=0,"NO EXISTE",IF(COUNTIFS(DESPACHOS!$B$3:$B$3002,$C451)&gt;1,"DUPLICADO","OK")))</f>
        <v/>
      </c>
      <c r="L451" s="41" t="n"/>
      <c r="M451" s="41" t="n"/>
      <c r="N451" s="42">
        <f>IF($M451="","",IFERROR(INDEX(LISTAS!$F$3:$F$42,MATCH($M451,LISTAS!$E$3:$E$42,0)),"Por definir"))</f>
        <v/>
      </c>
      <c r="O451" s="41" t="n"/>
      <c r="P451" s="39">
        <f>IF($L451="","",IFERROR(INDEX(LISTAS!$B$3:$B$42,MATCH($L451,LISTAS!$A$3:$A$42,0)),"Media"))</f>
        <v/>
      </c>
      <c r="Q451" s="44" t="n"/>
      <c r="R451" s="45" t="n"/>
      <c r="S451" s="20">
        <f>IFERROR(IF(OR($R451="",$C451=""),"",$R451/INDEX(DESPACHOS!$M$3:$M$3002,MATCH($C451,DESPACHOS!$B$3:$B$3002,0))),"")</f>
        <v/>
      </c>
      <c r="T451" s="41" t="n"/>
      <c r="U451" s="43">
        <f>IF(OR($B451="",$L451=""),"",WORKDAY($B451,IFERROR(INDEX(LISTAS!$C$3:$C$42,MATCH($L451,LISTAS!$A$3:$A$42,0)),3)))</f>
        <v/>
      </c>
      <c r="V451" s="40" t="n"/>
      <c r="W451" s="19">
        <f>IF($B451="","",IF($V451&lt;&gt;"",$V451-$B451,TODAY()-$B451))</f>
        <v/>
      </c>
      <c r="X451" s="19">
        <f>IF(OR($B451="",$U451=""),"",IF($V451&lt;&gt;"",MAX(0,$V451-$U451),MAX(0,TODAY()-$U451)))</f>
        <v/>
      </c>
      <c r="Y451" s="39">
        <f>IF($C451="","",IF(IFERROR(INDEX(LISTAS!$I$3:$I$42,MATCH($T451,LISTAS!$H$3:$H$42,0)),"NO")="SÍ",IF(N($X451)&gt;0,"CERRADA FUERA DE SLA","CERRADA EN SLA"),IF($U451="","SIN CLASIFICAR",IF(N($X451)&gt;0,"VENCIDA",IF(TODAY()&gt;=$U451-1,"POR VENCER","EN PLAZO")))))</f>
        <v/>
      </c>
      <c r="Z451" s="41" t="n"/>
      <c r="AA451" s="41" t="n"/>
      <c r="AB451" s="41" t="n"/>
    </row>
    <row r="452">
      <c r="A452" s="39">
        <f>IF($C452="","","NOV-"&amp;TEXT(ROW()-3,"0000"))</f>
        <v/>
      </c>
      <c r="B452" s="40" t="n"/>
      <c r="C452" s="41" t="n"/>
      <c r="D452" s="42">
        <f>IF($C452="","",IFERROR(INDEX(DESPACHOS!$D$3:$D$3002,MATCH($C452,DESPACHOS!$B$3:$B$3002,0)),"SIN DESPACHO"))</f>
        <v/>
      </c>
      <c r="E452" s="42">
        <f>IF($C452="","",IFERROR(INDEX(DESPACHOS!$K$3:$K$3002,MATCH($C452,DESPACHOS!$B$3:$B$3002,0)),""))</f>
        <v/>
      </c>
      <c r="F452" s="42">
        <f>IF($C452="","",IFERROR(INDEX(DESPACHOS!$I$3:$I$3002,MATCH($C452,DESPACHOS!$B$3:$B$3002,0)),""))</f>
        <v/>
      </c>
      <c r="G452" s="42">
        <f>IF($C452="","",IFERROR(INDEX(DESPACHOS!$F$3:$F$3002,MATCH($C452,DESPACHOS!$B$3:$B$3002,0)),""))</f>
        <v/>
      </c>
      <c r="H452" s="42">
        <f>IF($C452="","",IFERROR(INDEX(DESPACHOS!$G$3:$G$3002,MATCH($C452,DESPACHOS!$B$3:$B$3002,0)),""))</f>
        <v/>
      </c>
      <c r="I452" s="39">
        <f>IF($C452="","",IFERROR(INDEX(DESPACHOS!$H$3:$H$3002,MATCH($C452,DESPACHOS!$B$3:$B$3002,0)),""))</f>
        <v/>
      </c>
      <c r="J452" s="43">
        <f>IF($C452="","",IFERROR(INDEX(DESPACHOS!$J$3:$J$3002,MATCH($C452,DESPACHOS!$B$3:$B$3002,0)),""))</f>
        <v/>
      </c>
      <c r="K452" s="39">
        <f>IF($C452="","",IF(COUNTIFS(DESPACHOS!$B$3:$B$3002,$C452)=0,"NO EXISTE",IF(COUNTIFS(DESPACHOS!$B$3:$B$3002,$C452)&gt;1,"DUPLICADO","OK")))</f>
        <v/>
      </c>
      <c r="L452" s="41" t="n"/>
      <c r="M452" s="41" t="n"/>
      <c r="N452" s="42">
        <f>IF($M452="","",IFERROR(INDEX(LISTAS!$F$3:$F$42,MATCH($M452,LISTAS!$E$3:$E$42,0)),"Por definir"))</f>
        <v/>
      </c>
      <c r="O452" s="41" t="n"/>
      <c r="P452" s="39">
        <f>IF($L452="","",IFERROR(INDEX(LISTAS!$B$3:$B$42,MATCH($L452,LISTAS!$A$3:$A$42,0)),"Media"))</f>
        <v/>
      </c>
      <c r="Q452" s="44" t="n"/>
      <c r="R452" s="45" t="n"/>
      <c r="S452" s="20">
        <f>IFERROR(IF(OR($R452="",$C452=""),"",$R452/INDEX(DESPACHOS!$M$3:$M$3002,MATCH($C452,DESPACHOS!$B$3:$B$3002,0))),"")</f>
        <v/>
      </c>
      <c r="T452" s="41" t="n"/>
      <c r="U452" s="43">
        <f>IF(OR($B452="",$L452=""),"",WORKDAY($B452,IFERROR(INDEX(LISTAS!$C$3:$C$42,MATCH($L452,LISTAS!$A$3:$A$42,0)),3)))</f>
        <v/>
      </c>
      <c r="V452" s="40" t="n"/>
      <c r="W452" s="19">
        <f>IF($B452="","",IF($V452&lt;&gt;"",$V452-$B452,TODAY()-$B452))</f>
        <v/>
      </c>
      <c r="X452" s="19">
        <f>IF(OR($B452="",$U452=""),"",IF($V452&lt;&gt;"",MAX(0,$V452-$U452),MAX(0,TODAY()-$U452)))</f>
        <v/>
      </c>
      <c r="Y452" s="39">
        <f>IF($C452="","",IF(IFERROR(INDEX(LISTAS!$I$3:$I$42,MATCH($T452,LISTAS!$H$3:$H$42,0)),"NO")="SÍ",IF(N($X452)&gt;0,"CERRADA FUERA DE SLA","CERRADA EN SLA"),IF($U452="","SIN CLASIFICAR",IF(N($X452)&gt;0,"VENCIDA",IF(TODAY()&gt;=$U452-1,"POR VENCER","EN PLAZO")))))</f>
        <v/>
      </c>
      <c r="Z452" s="41" t="n"/>
      <c r="AA452" s="41" t="n"/>
      <c r="AB452" s="41" t="n"/>
    </row>
    <row r="453">
      <c r="A453" s="39">
        <f>IF($C453="","","NOV-"&amp;TEXT(ROW()-3,"0000"))</f>
        <v/>
      </c>
      <c r="B453" s="40" t="n"/>
      <c r="C453" s="41" t="n"/>
      <c r="D453" s="42">
        <f>IF($C453="","",IFERROR(INDEX(DESPACHOS!$D$3:$D$3002,MATCH($C453,DESPACHOS!$B$3:$B$3002,0)),"SIN DESPACHO"))</f>
        <v/>
      </c>
      <c r="E453" s="42">
        <f>IF($C453="","",IFERROR(INDEX(DESPACHOS!$K$3:$K$3002,MATCH($C453,DESPACHOS!$B$3:$B$3002,0)),""))</f>
        <v/>
      </c>
      <c r="F453" s="42">
        <f>IF($C453="","",IFERROR(INDEX(DESPACHOS!$I$3:$I$3002,MATCH($C453,DESPACHOS!$B$3:$B$3002,0)),""))</f>
        <v/>
      </c>
      <c r="G453" s="42">
        <f>IF($C453="","",IFERROR(INDEX(DESPACHOS!$F$3:$F$3002,MATCH($C453,DESPACHOS!$B$3:$B$3002,0)),""))</f>
        <v/>
      </c>
      <c r="H453" s="42">
        <f>IF($C453="","",IFERROR(INDEX(DESPACHOS!$G$3:$G$3002,MATCH($C453,DESPACHOS!$B$3:$B$3002,0)),""))</f>
        <v/>
      </c>
      <c r="I453" s="39">
        <f>IF($C453="","",IFERROR(INDEX(DESPACHOS!$H$3:$H$3002,MATCH($C453,DESPACHOS!$B$3:$B$3002,0)),""))</f>
        <v/>
      </c>
      <c r="J453" s="43">
        <f>IF($C453="","",IFERROR(INDEX(DESPACHOS!$J$3:$J$3002,MATCH($C453,DESPACHOS!$B$3:$B$3002,0)),""))</f>
        <v/>
      </c>
      <c r="K453" s="39">
        <f>IF($C453="","",IF(COUNTIFS(DESPACHOS!$B$3:$B$3002,$C453)=0,"NO EXISTE",IF(COUNTIFS(DESPACHOS!$B$3:$B$3002,$C453)&gt;1,"DUPLICADO","OK")))</f>
        <v/>
      </c>
      <c r="L453" s="41" t="n"/>
      <c r="M453" s="41" t="n"/>
      <c r="N453" s="42">
        <f>IF($M453="","",IFERROR(INDEX(LISTAS!$F$3:$F$42,MATCH($M453,LISTAS!$E$3:$E$42,0)),"Por definir"))</f>
        <v/>
      </c>
      <c r="O453" s="41" t="n"/>
      <c r="P453" s="39">
        <f>IF($L453="","",IFERROR(INDEX(LISTAS!$B$3:$B$42,MATCH($L453,LISTAS!$A$3:$A$42,0)),"Media"))</f>
        <v/>
      </c>
      <c r="Q453" s="44" t="n"/>
      <c r="R453" s="45" t="n"/>
      <c r="S453" s="20">
        <f>IFERROR(IF(OR($R453="",$C453=""),"",$R453/INDEX(DESPACHOS!$M$3:$M$3002,MATCH($C453,DESPACHOS!$B$3:$B$3002,0))),"")</f>
        <v/>
      </c>
      <c r="T453" s="41" t="n"/>
      <c r="U453" s="43">
        <f>IF(OR($B453="",$L453=""),"",WORKDAY($B453,IFERROR(INDEX(LISTAS!$C$3:$C$42,MATCH($L453,LISTAS!$A$3:$A$42,0)),3)))</f>
        <v/>
      </c>
      <c r="V453" s="40" t="n"/>
      <c r="W453" s="19">
        <f>IF($B453="","",IF($V453&lt;&gt;"",$V453-$B453,TODAY()-$B453))</f>
        <v/>
      </c>
      <c r="X453" s="19">
        <f>IF(OR($B453="",$U453=""),"",IF($V453&lt;&gt;"",MAX(0,$V453-$U453),MAX(0,TODAY()-$U453)))</f>
        <v/>
      </c>
      <c r="Y453" s="39">
        <f>IF($C453="","",IF(IFERROR(INDEX(LISTAS!$I$3:$I$42,MATCH($T453,LISTAS!$H$3:$H$42,0)),"NO")="SÍ",IF(N($X453)&gt;0,"CERRADA FUERA DE SLA","CERRADA EN SLA"),IF($U453="","SIN CLASIFICAR",IF(N($X453)&gt;0,"VENCIDA",IF(TODAY()&gt;=$U453-1,"POR VENCER","EN PLAZO")))))</f>
        <v/>
      </c>
      <c r="Z453" s="41" t="n"/>
      <c r="AA453" s="41" t="n"/>
      <c r="AB453" s="41" t="n"/>
    </row>
    <row r="454">
      <c r="A454" s="39">
        <f>IF($C454="","","NOV-"&amp;TEXT(ROW()-3,"0000"))</f>
        <v/>
      </c>
      <c r="B454" s="40" t="n"/>
      <c r="C454" s="41" t="n"/>
      <c r="D454" s="42">
        <f>IF($C454="","",IFERROR(INDEX(DESPACHOS!$D$3:$D$3002,MATCH($C454,DESPACHOS!$B$3:$B$3002,0)),"SIN DESPACHO"))</f>
        <v/>
      </c>
      <c r="E454" s="42">
        <f>IF($C454="","",IFERROR(INDEX(DESPACHOS!$K$3:$K$3002,MATCH($C454,DESPACHOS!$B$3:$B$3002,0)),""))</f>
        <v/>
      </c>
      <c r="F454" s="42">
        <f>IF($C454="","",IFERROR(INDEX(DESPACHOS!$I$3:$I$3002,MATCH($C454,DESPACHOS!$B$3:$B$3002,0)),""))</f>
        <v/>
      </c>
      <c r="G454" s="42">
        <f>IF($C454="","",IFERROR(INDEX(DESPACHOS!$F$3:$F$3002,MATCH($C454,DESPACHOS!$B$3:$B$3002,0)),""))</f>
        <v/>
      </c>
      <c r="H454" s="42">
        <f>IF($C454="","",IFERROR(INDEX(DESPACHOS!$G$3:$G$3002,MATCH($C454,DESPACHOS!$B$3:$B$3002,0)),""))</f>
        <v/>
      </c>
      <c r="I454" s="39">
        <f>IF($C454="","",IFERROR(INDEX(DESPACHOS!$H$3:$H$3002,MATCH($C454,DESPACHOS!$B$3:$B$3002,0)),""))</f>
        <v/>
      </c>
      <c r="J454" s="43">
        <f>IF($C454="","",IFERROR(INDEX(DESPACHOS!$J$3:$J$3002,MATCH($C454,DESPACHOS!$B$3:$B$3002,0)),""))</f>
        <v/>
      </c>
      <c r="K454" s="39">
        <f>IF($C454="","",IF(COUNTIFS(DESPACHOS!$B$3:$B$3002,$C454)=0,"NO EXISTE",IF(COUNTIFS(DESPACHOS!$B$3:$B$3002,$C454)&gt;1,"DUPLICADO","OK")))</f>
        <v/>
      </c>
      <c r="L454" s="41" t="n"/>
      <c r="M454" s="41" t="n"/>
      <c r="N454" s="42">
        <f>IF($M454="","",IFERROR(INDEX(LISTAS!$F$3:$F$42,MATCH($M454,LISTAS!$E$3:$E$42,0)),"Por definir"))</f>
        <v/>
      </c>
      <c r="O454" s="41" t="n"/>
      <c r="P454" s="39">
        <f>IF($L454="","",IFERROR(INDEX(LISTAS!$B$3:$B$42,MATCH($L454,LISTAS!$A$3:$A$42,0)),"Media"))</f>
        <v/>
      </c>
      <c r="Q454" s="44" t="n"/>
      <c r="R454" s="45" t="n"/>
      <c r="S454" s="20">
        <f>IFERROR(IF(OR($R454="",$C454=""),"",$R454/INDEX(DESPACHOS!$M$3:$M$3002,MATCH($C454,DESPACHOS!$B$3:$B$3002,0))),"")</f>
        <v/>
      </c>
      <c r="T454" s="41" t="n"/>
      <c r="U454" s="43">
        <f>IF(OR($B454="",$L454=""),"",WORKDAY($B454,IFERROR(INDEX(LISTAS!$C$3:$C$42,MATCH($L454,LISTAS!$A$3:$A$42,0)),3)))</f>
        <v/>
      </c>
      <c r="V454" s="40" t="n"/>
      <c r="W454" s="19">
        <f>IF($B454="","",IF($V454&lt;&gt;"",$V454-$B454,TODAY()-$B454))</f>
        <v/>
      </c>
      <c r="X454" s="19">
        <f>IF(OR($B454="",$U454=""),"",IF($V454&lt;&gt;"",MAX(0,$V454-$U454),MAX(0,TODAY()-$U454)))</f>
        <v/>
      </c>
      <c r="Y454" s="39">
        <f>IF($C454="","",IF(IFERROR(INDEX(LISTAS!$I$3:$I$42,MATCH($T454,LISTAS!$H$3:$H$42,0)),"NO")="SÍ",IF(N($X454)&gt;0,"CERRADA FUERA DE SLA","CERRADA EN SLA"),IF($U454="","SIN CLASIFICAR",IF(N($X454)&gt;0,"VENCIDA",IF(TODAY()&gt;=$U454-1,"POR VENCER","EN PLAZO")))))</f>
        <v/>
      </c>
      <c r="Z454" s="41" t="n"/>
      <c r="AA454" s="41" t="n"/>
      <c r="AB454" s="41" t="n"/>
    </row>
    <row r="455">
      <c r="A455" s="39">
        <f>IF($C455="","","NOV-"&amp;TEXT(ROW()-3,"0000"))</f>
        <v/>
      </c>
      <c r="B455" s="40" t="n"/>
      <c r="C455" s="41" t="n"/>
      <c r="D455" s="42">
        <f>IF($C455="","",IFERROR(INDEX(DESPACHOS!$D$3:$D$3002,MATCH($C455,DESPACHOS!$B$3:$B$3002,0)),"SIN DESPACHO"))</f>
        <v/>
      </c>
      <c r="E455" s="42">
        <f>IF($C455="","",IFERROR(INDEX(DESPACHOS!$K$3:$K$3002,MATCH($C455,DESPACHOS!$B$3:$B$3002,0)),""))</f>
        <v/>
      </c>
      <c r="F455" s="42">
        <f>IF($C455="","",IFERROR(INDEX(DESPACHOS!$I$3:$I$3002,MATCH($C455,DESPACHOS!$B$3:$B$3002,0)),""))</f>
        <v/>
      </c>
      <c r="G455" s="42">
        <f>IF($C455="","",IFERROR(INDEX(DESPACHOS!$F$3:$F$3002,MATCH($C455,DESPACHOS!$B$3:$B$3002,0)),""))</f>
        <v/>
      </c>
      <c r="H455" s="42">
        <f>IF($C455="","",IFERROR(INDEX(DESPACHOS!$G$3:$G$3002,MATCH($C455,DESPACHOS!$B$3:$B$3002,0)),""))</f>
        <v/>
      </c>
      <c r="I455" s="39">
        <f>IF($C455="","",IFERROR(INDEX(DESPACHOS!$H$3:$H$3002,MATCH($C455,DESPACHOS!$B$3:$B$3002,0)),""))</f>
        <v/>
      </c>
      <c r="J455" s="43">
        <f>IF($C455="","",IFERROR(INDEX(DESPACHOS!$J$3:$J$3002,MATCH($C455,DESPACHOS!$B$3:$B$3002,0)),""))</f>
        <v/>
      </c>
      <c r="K455" s="39">
        <f>IF($C455="","",IF(COUNTIFS(DESPACHOS!$B$3:$B$3002,$C455)=0,"NO EXISTE",IF(COUNTIFS(DESPACHOS!$B$3:$B$3002,$C455)&gt;1,"DUPLICADO","OK")))</f>
        <v/>
      </c>
      <c r="L455" s="41" t="n"/>
      <c r="M455" s="41" t="n"/>
      <c r="N455" s="42">
        <f>IF($M455="","",IFERROR(INDEX(LISTAS!$F$3:$F$42,MATCH($M455,LISTAS!$E$3:$E$42,0)),"Por definir"))</f>
        <v/>
      </c>
      <c r="O455" s="41" t="n"/>
      <c r="P455" s="39">
        <f>IF($L455="","",IFERROR(INDEX(LISTAS!$B$3:$B$42,MATCH($L455,LISTAS!$A$3:$A$42,0)),"Media"))</f>
        <v/>
      </c>
      <c r="Q455" s="44" t="n"/>
      <c r="R455" s="45" t="n"/>
      <c r="S455" s="20">
        <f>IFERROR(IF(OR($R455="",$C455=""),"",$R455/INDEX(DESPACHOS!$M$3:$M$3002,MATCH($C455,DESPACHOS!$B$3:$B$3002,0))),"")</f>
        <v/>
      </c>
      <c r="T455" s="41" t="n"/>
      <c r="U455" s="43">
        <f>IF(OR($B455="",$L455=""),"",WORKDAY($B455,IFERROR(INDEX(LISTAS!$C$3:$C$42,MATCH($L455,LISTAS!$A$3:$A$42,0)),3)))</f>
        <v/>
      </c>
      <c r="V455" s="40" t="n"/>
      <c r="W455" s="19">
        <f>IF($B455="","",IF($V455&lt;&gt;"",$V455-$B455,TODAY()-$B455))</f>
        <v/>
      </c>
      <c r="X455" s="19">
        <f>IF(OR($B455="",$U455=""),"",IF($V455&lt;&gt;"",MAX(0,$V455-$U455),MAX(0,TODAY()-$U455)))</f>
        <v/>
      </c>
      <c r="Y455" s="39">
        <f>IF($C455="","",IF(IFERROR(INDEX(LISTAS!$I$3:$I$42,MATCH($T455,LISTAS!$H$3:$H$42,0)),"NO")="SÍ",IF(N($X455)&gt;0,"CERRADA FUERA DE SLA","CERRADA EN SLA"),IF($U455="","SIN CLASIFICAR",IF(N($X455)&gt;0,"VENCIDA",IF(TODAY()&gt;=$U455-1,"POR VENCER","EN PLAZO")))))</f>
        <v/>
      </c>
      <c r="Z455" s="41" t="n"/>
      <c r="AA455" s="41" t="n"/>
      <c r="AB455" s="41" t="n"/>
    </row>
    <row r="456">
      <c r="A456" s="39">
        <f>IF($C456="","","NOV-"&amp;TEXT(ROW()-3,"0000"))</f>
        <v/>
      </c>
      <c r="B456" s="40" t="n"/>
      <c r="C456" s="41" t="n"/>
      <c r="D456" s="42">
        <f>IF($C456="","",IFERROR(INDEX(DESPACHOS!$D$3:$D$3002,MATCH($C456,DESPACHOS!$B$3:$B$3002,0)),"SIN DESPACHO"))</f>
        <v/>
      </c>
      <c r="E456" s="42">
        <f>IF($C456="","",IFERROR(INDEX(DESPACHOS!$K$3:$K$3002,MATCH($C456,DESPACHOS!$B$3:$B$3002,0)),""))</f>
        <v/>
      </c>
      <c r="F456" s="42">
        <f>IF($C456="","",IFERROR(INDEX(DESPACHOS!$I$3:$I$3002,MATCH($C456,DESPACHOS!$B$3:$B$3002,0)),""))</f>
        <v/>
      </c>
      <c r="G456" s="42">
        <f>IF($C456="","",IFERROR(INDEX(DESPACHOS!$F$3:$F$3002,MATCH($C456,DESPACHOS!$B$3:$B$3002,0)),""))</f>
        <v/>
      </c>
      <c r="H456" s="42">
        <f>IF($C456="","",IFERROR(INDEX(DESPACHOS!$G$3:$G$3002,MATCH($C456,DESPACHOS!$B$3:$B$3002,0)),""))</f>
        <v/>
      </c>
      <c r="I456" s="39">
        <f>IF($C456="","",IFERROR(INDEX(DESPACHOS!$H$3:$H$3002,MATCH($C456,DESPACHOS!$B$3:$B$3002,0)),""))</f>
        <v/>
      </c>
      <c r="J456" s="43">
        <f>IF($C456="","",IFERROR(INDEX(DESPACHOS!$J$3:$J$3002,MATCH($C456,DESPACHOS!$B$3:$B$3002,0)),""))</f>
        <v/>
      </c>
      <c r="K456" s="39">
        <f>IF($C456="","",IF(COUNTIFS(DESPACHOS!$B$3:$B$3002,$C456)=0,"NO EXISTE",IF(COUNTIFS(DESPACHOS!$B$3:$B$3002,$C456)&gt;1,"DUPLICADO","OK")))</f>
        <v/>
      </c>
      <c r="L456" s="41" t="n"/>
      <c r="M456" s="41" t="n"/>
      <c r="N456" s="42">
        <f>IF($M456="","",IFERROR(INDEX(LISTAS!$F$3:$F$42,MATCH($M456,LISTAS!$E$3:$E$42,0)),"Por definir"))</f>
        <v/>
      </c>
      <c r="O456" s="41" t="n"/>
      <c r="P456" s="39">
        <f>IF($L456="","",IFERROR(INDEX(LISTAS!$B$3:$B$42,MATCH($L456,LISTAS!$A$3:$A$42,0)),"Media"))</f>
        <v/>
      </c>
      <c r="Q456" s="44" t="n"/>
      <c r="R456" s="45" t="n"/>
      <c r="S456" s="20">
        <f>IFERROR(IF(OR($R456="",$C456=""),"",$R456/INDEX(DESPACHOS!$M$3:$M$3002,MATCH($C456,DESPACHOS!$B$3:$B$3002,0))),"")</f>
        <v/>
      </c>
      <c r="T456" s="41" t="n"/>
      <c r="U456" s="43">
        <f>IF(OR($B456="",$L456=""),"",WORKDAY($B456,IFERROR(INDEX(LISTAS!$C$3:$C$42,MATCH($L456,LISTAS!$A$3:$A$42,0)),3)))</f>
        <v/>
      </c>
      <c r="V456" s="40" t="n"/>
      <c r="W456" s="19">
        <f>IF($B456="","",IF($V456&lt;&gt;"",$V456-$B456,TODAY()-$B456))</f>
        <v/>
      </c>
      <c r="X456" s="19">
        <f>IF(OR($B456="",$U456=""),"",IF($V456&lt;&gt;"",MAX(0,$V456-$U456),MAX(0,TODAY()-$U456)))</f>
        <v/>
      </c>
      <c r="Y456" s="39">
        <f>IF($C456="","",IF(IFERROR(INDEX(LISTAS!$I$3:$I$42,MATCH($T456,LISTAS!$H$3:$H$42,0)),"NO")="SÍ",IF(N($X456)&gt;0,"CERRADA FUERA DE SLA","CERRADA EN SLA"),IF($U456="","SIN CLASIFICAR",IF(N($X456)&gt;0,"VENCIDA",IF(TODAY()&gt;=$U456-1,"POR VENCER","EN PLAZO")))))</f>
        <v/>
      </c>
      <c r="Z456" s="41" t="n"/>
      <c r="AA456" s="41" t="n"/>
      <c r="AB456" s="41" t="n"/>
    </row>
    <row r="457">
      <c r="A457" s="39">
        <f>IF($C457="","","NOV-"&amp;TEXT(ROW()-3,"0000"))</f>
        <v/>
      </c>
      <c r="B457" s="40" t="n"/>
      <c r="C457" s="41" t="n"/>
      <c r="D457" s="42">
        <f>IF($C457="","",IFERROR(INDEX(DESPACHOS!$D$3:$D$3002,MATCH($C457,DESPACHOS!$B$3:$B$3002,0)),"SIN DESPACHO"))</f>
        <v/>
      </c>
      <c r="E457" s="42">
        <f>IF($C457="","",IFERROR(INDEX(DESPACHOS!$K$3:$K$3002,MATCH($C457,DESPACHOS!$B$3:$B$3002,0)),""))</f>
        <v/>
      </c>
      <c r="F457" s="42">
        <f>IF($C457="","",IFERROR(INDEX(DESPACHOS!$I$3:$I$3002,MATCH($C457,DESPACHOS!$B$3:$B$3002,0)),""))</f>
        <v/>
      </c>
      <c r="G457" s="42">
        <f>IF($C457="","",IFERROR(INDEX(DESPACHOS!$F$3:$F$3002,MATCH($C457,DESPACHOS!$B$3:$B$3002,0)),""))</f>
        <v/>
      </c>
      <c r="H457" s="42">
        <f>IF($C457="","",IFERROR(INDEX(DESPACHOS!$G$3:$G$3002,MATCH($C457,DESPACHOS!$B$3:$B$3002,0)),""))</f>
        <v/>
      </c>
      <c r="I457" s="39">
        <f>IF($C457="","",IFERROR(INDEX(DESPACHOS!$H$3:$H$3002,MATCH($C457,DESPACHOS!$B$3:$B$3002,0)),""))</f>
        <v/>
      </c>
      <c r="J457" s="43">
        <f>IF($C457="","",IFERROR(INDEX(DESPACHOS!$J$3:$J$3002,MATCH($C457,DESPACHOS!$B$3:$B$3002,0)),""))</f>
        <v/>
      </c>
      <c r="K457" s="39">
        <f>IF($C457="","",IF(COUNTIFS(DESPACHOS!$B$3:$B$3002,$C457)=0,"NO EXISTE",IF(COUNTIFS(DESPACHOS!$B$3:$B$3002,$C457)&gt;1,"DUPLICADO","OK")))</f>
        <v/>
      </c>
      <c r="L457" s="41" t="n"/>
      <c r="M457" s="41" t="n"/>
      <c r="N457" s="42">
        <f>IF($M457="","",IFERROR(INDEX(LISTAS!$F$3:$F$42,MATCH($M457,LISTAS!$E$3:$E$42,0)),"Por definir"))</f>
        <v/>
      </c>
      <c r="O457" s="41" t="n"/>
      <c r="P457" s="39">
        <f>IF($L457="","",IFERROR(INDEX(LISTAS!$B$3:$B$42,MATCH($L457,LISTAS!$A$3:$A$42,0)),"Media"))</f>
        <v/>
      </c>
      <c r="Q457" s="44" t="n"/>
      <c r="R457" s="45" t="n"/>
      <c r="S457" s="20">
        <f>IFERROR(IF(OR($R457="",$C457=""),"",$R457/INDEX(DESPACHOS!$M$3:$M$3002,MATCH($C457,DESPACHOS!$B$3:$B$3002,0))),"")</f>
        <v/>
      </c>
      <c r="T457" s="41" t="n"/>
      <c r="U457" s="43">
        <f>IF(OR($B457="",$L457=""),"",WORKDAY($B457,IFERROR(INDEX(LISTAS!$C$3:$C$42,MATCH($L457,LISTAS!$A$3:$A$42,0)),3)))</f>
        <v/>
      </c>
      <c r="V457" s="40" t="n"/>
      <c r="W457" s="19">
        <f>IF($B457="","",IF($V457&lt;&gt;"",$V457-$B457,TODAY()-$B457))</f>
        <v/>
      </c>
      <c r="X457" s="19">
        <f>IF(OR($B457="",$U457=""),"",IF($V457&lt;&gt;"",MAX(0,$V457-$U457),MAX(0,TODAY()-$U457)))</f>
        <v/>
      </c>
      <c r="Y457" s="39">
        <f>IF($C457="","",IF(IFERROR(INDEX(LISTAS!$I$3:$I$42,MATCH($T457,LISTAS!$H$3:$H$42,0)),"NO")="SÍ",IF(N($X457)&gt;0,"CERRADA FUERA DE SLA","CERRADA EN SLA"),IF($U457="","SIN CLASIFICAR",IF(N($X457)&gt;0,"VENCIDA",IF(TODAY()&gt;=$U457-1,"POR VENCER","EN PLAZO")))))</f>
        <v/>
      </c>
      <c r="Z457" s="41" t="n"/>
      <c r="AA457" s="41" t="n"/>
      <c r="AB457" s="41" t="n"/>
    </row>
    <row r="458">
      <c r="A458" s="39">
        <f>IF($C458="","","NOV-"&amp;TEXT(ROW()-3,"0000"))</f>
        <v/>
      </c>
      <c r="B458" s="40" t="n"/>
      <c r="C458" s="41" t="n"/>
      <c r="D458" s="42">
        <f>IF($C458="","",IFERROR(INDEX(DESPACHOS!$D$3:$D$3002,MATCH($C458,DESPACHOS!$B$3:$B$3002,0)),"SIN DESPACHO"))</f>
        <v/>
      </c>
      <c r="E458" s="42">
        <f>IF($C458="","",IFERROR(INDEX(DESPACHOS!$K$3:$K$3002,MATCH($C458,DESPACHOS!$B$3:$B$3002,0)),""))</f>
        <v/>
      </c>
      <c r="F458" s="42">
        <f>IF($C458="","",IFERROR(INDEX(DESPACHOS!$I$3:$I$3002,MATCH($C458,DESPACHOS!$B$3:$B$3002,0)),""))</f>
        <v/>
      </c>
      <c r="G458" s="42">
        <f>IF($C458="","",IFERROR(INDEX(DESPACHOS!$F$3:$F$3002,MATCH($C458,DESPACHOS!$B$3:$B$3002,0)),""))</f>
        <v/>
      </c>
      <c r="H458" s="42">
        <f>IF($C458="","",IFERROR(INDEX(DESPACHOS!$G$3:$G$3002,MATCH($C458,DESPACHOS!$B$3:$B$3002,0)),""))</f>
        <v/>
      </c>
      <c r="I458" s="39">
        <f>IF($C458="","",IFERROR(INDEX(DESPACHOS!$H$3:$H$3002,MATCH($C458,DESPACHOS!$B$3:$B$3002,0)),""))</f>
        <v/>
      </c>
      <c r="J458" s="43">
        <f>IF($C458="","",IFERROR(INDEX(DESPACHOS!$J$3:$J$3002,MATCH($C458,DESPACHOS!$B$3:$B$3002,0)),""))</f>
        <v/>
      </c>
      <c r="K458" s="39">
        <f>IF($C458="","",IF(COUNTIFS(DESPACHOS!$B$3:$B$3002,$C458)=0,"NO EXISTE",IF(COUNTIFS(DESPACHOS!$B$3:$B$3002,$C458)&gt;1,"DUPLICADO","OK")))</f>
        <v/>
      </c>
      <c r="L458" s="41" t="n"/>
      <c r="M458" s="41" t="n"/>
      <c r="N458" s="42">
        <f>IF($M458="","",IFERROR(INDEX(LISTAS!$F$3:$F$42,MATCH($M458,LISTAS!$E$3:$E$42,0)),"Por definir"))</f>
        <v/>
      </c>
      <c r="O458" s="41" t="n"/>
      <c r="P458" s="39">
        <f>IF($L458="","",IFERROR(INDEX(LISTAS!$B$3:$B$42,MATCH($L458,LISTAS!$A$3:$A$42,0)),"Media"))</f>
        <v/>
      </c>
      <c r="Q458" s="44" t="n"/>
      <c r="R458" s="45" t="n"/>
      <c r="S458" s="20">
        <f>IFERROR(IF(OR($R458="",$C458=""),"",$R458/INDEX(DESPACHOS!$M$3:$M$3002,MATCH($C458,DESPACHOS!$B$3:$B$3002,0))),"")</f>
        <v/>
      </c>
      <c r="T458" s="41" t="n"/>
      <c r="U458" s="43">
        <f>IF(OR($B458="",$L458=""),"",WORKDAY($B458,IFERROR(INDEX(LISTAS!$C$3:$C$42,MATCH($L458,LISTAS!$A$3:$A$42,0)),3)))</f>
        <v/>
      </c>
      <c r="V458" s="40" t="n"/>
      <c r="W458" s="19">
        <f>IF($B458="","",IF($V458&lt;&gt;"",$V458-$B458,TODAY()-$B458))</f>
        <v/>
      </c>
      <c r="X458" s="19">
        <f>IF(OR($B458="",$U458=""),"",IF($V458&lt;&gt;"",MAX(0,$V458-$U458),MAX(0,TODAY()-$U458)))</f>
        <v/>
      </c>
      <c r="Y458" s="39">
        <f>IF($C458="","",IF(IFERROR(INDEX(LISTAS!$I$3:$I$42,MATCH($T458,LISTAS!$H$3:$H$42,0)),"NO")="SÍ",IF(N($X458)&gt;0,"CERRADA FUERA DE SLA","CERRADA EN SLA"),IF($U458="","SIN CLASIFICAR",IF(N($X458)&gt;0,"VENCIDA",IF(TODAY()&gt;=$U458-1,"POR VENCER","EN PLAZO")))))</f>
        <v/>
      </c>
      <c r="Z458" s="41" t="n"/>
      <c r="AA458" s="41" t="n"/>
      <c r="AB458" s="41" t="n"/>
    </row>
    <row r="459">
      <c r="A459" s="39">
        <f>IF($C459="","","NOV-"&amp;TEXT(ROW()-3,"0000"))</f>
        <v/>
      </c>
      <c r="B459" s="40" t="n"/>
      <c r="C459" s="41" t="n"/>
      <c r="D459" s="42">
        <f>IF($C459="","",IFERROR(INDEX(DESPACHOS!$D$3:$D$3002,MATCH($C459,DESPACHOS!$B$3:$B$3002,0)),"SIN DESPACHO"))</f>
        <v/>
      </c>
      <c r="E459" s="42">
        <f>IF($C459="","",IFERROR(INDEX(DESPACHOS!$K$3:$K$3002,MATCH($C459,DESPACHOS!$B$3:$B$3002,0)),""))</f>
        <v/>
      </c>
      <c r="F459" s="42">
        <f>IF($C459="","",IFERROR(INDEX(DESPACHOS!$I$3:$I$3002,MATCH($C459,DESPACHOS!$B$3:$B$3002,0)),""))</f>
        <v/>
      </c>
      <c r="G459" s="42">
        <f>IF($C459="","",IFERROR(INDEX(DESPACHOS!$F$3:$F$3002,MATCH($C459,DESPACHOS!$B$3:$B$3002,0)),""))</f>
        <v/>
      </c>
      <c r="H459" s="42">
        <f>IF($C459="","",IFERROR(INDEX(DESPACHOS!$G$3:$G$3002,MATCH($C459,DESPACHOS!$B$3:$B$3002,0)),""))</f>
        <v/>
      </c>
      <c r="I459" s="39">
        <f>IF($C459="","",IFERROR(INDEX(DESPACHOS!$H$3:$H$3002,MATCH($C459,DESPACHOS!$B$3:$B$3002,0)),""))</f>
        <v/>
      </c>
      <c r="J459" s="43">
        <f>IF($C459="","",IFERROR(INDEX(DESPACHOS!$J$3:$J$3002,MATCH($C459,DESPACHOS!$B$3:$B$3002,0)),""))</f>
        <v/>
      </c>
      <c r="K459" s="39">
        <f>IF($C459="","",IF(COUNTIFS(DESPACHOS!$B$3:$B$3002,$C459)=0,"NO EXISTE",IF(COUNTIFS(DESPACHOS!$B$3:$B$3002,$C459)&gt;1,"DUPLICADO","OK")))</f>
        <v/>
      </c>
      <c r="L459" s="41" t="n"/>
      <c r="M459" s="41" t="n"/>
      <c r="N459" s="42">
        <f>IF($M459="","",IFERROR(INDEX(LISTAS!$F$3:$F$42,MATCH($M459,LISTAS!$E$3:$E$42,0)),"Por definir"))</f>
        <v/>
      </c>
      <c r="O459" s="41" t="n"/>
      <c r="P459" s="39">
        <f>IF($L459="","",IFERROR(INDEX(LISTAS!$B$3:$B$42,MATCH($L459,LISTAS!$A$3:$A$42,0)),"Media"))</f>
        <v/>
      </c>
      <c r="Q459" s="44" t="n"/>
      <c r="R459" s="45" t="n"/>
      <c r="S459" s="20">
        <f>IFERROR(IF(OR($R459="",$C459=""),"",$R459/INDEX(DESPACHOS!$M$3:$M$3002,MATCH($C459,DESPACHOS!$B$3:$B$3002,0))),"")</f>
        <v/>
      </c>
      <c r="T459" s="41" t="n"/>
      <c r="U459" s="43">
        <f>IF(OR($B459="",$L459=""),"",WORKDAY($B459,IFERROR(INDEX(LISTAS!$C$3:$C$42,MATCH($L459,LISTAS!$A$3:$A$42,0)),3)))</f>
        <v/>
      </c>
      <c r="V459" s="40" t="n"/>
      <c r="W459" s="19">
        <f>IF($B459="","",IF($V459&lt;&gt;"",$V459-$B459,TODAY()-$B459))</f>
        <v/>
      </c>
      <c r="X459" s="19">
        <f>IF(OR($B459="",$U459=""),"",IF($V459&lt;&gt;"",MAX(0,$V459-$U459),MAX(0,TODAY()-$U459)))</f>
        <v/>
      </c>
      <c r="Y459" s="39">
        <f>IF($C459="","",IF(IFERROR(INDEX(LISTAS!$I$3:$I$42,MATCH($T459,LISTAS!$H$3:$H$42,0)),"NO")="SÍ",IF(N($X459)&gt;0,"CERRADA FUERA DE SLA","CERRADA EN SLA"),IF($U459="","SIN CLASIFICAR",IF(N($X459)&gt;0,"VENCIDA",IF(TODAY()&gt;=$U459-1,"POR VENCER","EN PLAZO")))))</f>
        <v/>
      </c>
      <c r="Z459" s="41" t="n"/>
      <c r="AA459" s="41" t="n"/>
      <c r="AB459" s="41" t="n"/>
    </row>
    <row r="460">
      <c r="A460" s="39">
        <f>IF($C460="","","NOV-"&amp;TEXT(ROW()-3,"0000"))</f>
        <v/>
      </c>
      <c r="B460" s="40" t="n"/>
      <c r="C460" s="41" t="n"/>
      <c r="D460" s="42">
        <f>IF($C460="","",IFERROR(INDEX(DESPACHOS!$D$3:$D$3002,MATCH($C460,DESPACHOS!$B$3:$B$3002,0)),"SIN DESPACHO"))</f>
        <v/>
      </c>
      <c r="E460" s="42">
        <f>IF($C460="","",IFERROR(INDEX(DESPACHOS!$K$3:$K$3002,MATCH($C460,DESPACHOS!$B$3:$B$3002,0)),""))</f>
        <v/>
      </c>
      <c r="F460" s="42">
        <f>IF($C460="","",IFERROR(INDEX(DESPACHOS!$I$3:$I$3002,MATCH($C460,DESPACHOS!$B$3:$B$3002,0)),""))</f>
        <v/>
      </c>
      <c r="G460" s="42">
        <f>IF($C460="","",IFERROR(INDEX(DESPACHOS!$F$3:$F$3002,MATCH($C460,DESPACHOS!$B$3:$B$3002,0)),""))</f>
        <v/>
      </c>
      <c r="H460" s="42">
        <f>IF($C460="","",IFERROR(INDEX(DESPACHOS!$G$3:$G$3002,MATCH($C460,DESPACHOS!$B$3:$B$3002,0)),""))</f>
        <v/>
      </c>
      <c r="I460" s="39">
        <f>IF($C460="","",IFERROR(INDEX(DESPACHOS!$H$3:$H$3002,MATCH($C460,DESPACHOS!$B$3:$B$3002,0)),""))</f>
        <v/>
      </c>
      <c r="J460" s="43">
        <f>IF($C460="","",IFERROR(INDEX(DESPACHOS!$J$3:$J$3002,MATCH($C460,DESPACHOS!$B$3:$B$3002,0)),""))</f>
        <v/>
      </c>
      <c r="K460" s="39">
        <f>IF($C460="","",IF(COUNTIFS(DESPACHOS!$B$3:$B$3002,$C460)=0,"NO EXISTE",IF(COUNTIFS(DESPACHOS!$B$3:$B$3002,$C460)&gt;1,"DUPLICADO","OK")))</f>
        <v/>
      </c>
      <c r="L460" s="41" t="n"/>
      <c r="M460" s="41" t="n"/>
      <c r="N460" s="42">
        <f>IF($M460="","",IFERROR(INDEX(LISTAS!$F$3:$F$42,MATCH($M460,LISTAS!$E$3:$E$42,0)),"Por definir"))</f>
        <v/>
      </c>
      <c r="O460" s="41" t="n"/>
      <c r="P460" s="39">
        <f>IF($L460="","",IFERROR(INDEX(LISTAS!$B$3:$B$42,MATCH($L460,LISTAS!$A$3:$A$42,0)),"Media"))</f>
        <v/>
      </c>
      <c r="Q460" s="44" t="n"/>
      <c r="R460" s="45" t="n"/>
      <c r="S460" s="20">
        <f>IFERROR(IF(OR($R460="",$C460=""),"",$R460/INDEX(DESPACHOS!$M$3:$M$3002,MATCH($C460,DESPACHOS!$B$3:$B$3002,0))),"")</f>
        <v/>
      </c>
      <c r="T460" s="41" t="n"/>
      <c r="U460" s="43">
        <f>IF(OR($B460="",$L460=""),"",WORKDAY($B460,IFERROR(INDEX(LISTAS!$C$3:$C$42,MATCH($L460,LISTAS!$A$3:$A$42,0)),3)))</f>
        <v/>
      </c>
      <c r="V460" s="40" t="n"/>
      <c r="W460" s="19">
        <f>IF($B460="","",IF($V460&lt;&gt;"",$V460-$B460,TODAY()-$B460))</f>
        <v/>
      </c>
      <c r="X460" s="19">
        <f>IF(OR($B460="",$U460=""),"",IF($V460&lt;&gt;"",MAX(0,$V460-$U460),MAX(0,TODAY()-$U460)))</f>
        <v/>
      </c>
      <c r="Y460" s="39">
        <f>IF($C460="","",IF(IFERROR(INDEX(LISTAS!$I$3:$I$42,MATCH($T460,LISTAS!$H$3:$H$42,0)),"NO")="SÍ",IF(N($X460)&gt;0,"CERRADA FUERA DE SLA","CERRADA EN SLA"),IF($U460="","SIN CLASIFICAR",IF(N($X460)&gt;0,"VENCIDA",IF(TODAY()&gt;=$U460-1,"POR VENCER","EN PLAZO")))))</f>
        <v/>
      </c>
      <c r="Z460" s="41" t="n"/>
      <c r="AA460" s="41" t="n"/>
      <c r="AB460" s="41" t="n"/>
    </row>
    <row r="461">
      <c r="A461" s="39">
        <f>IF($C461="","","NOV-"&amp;TEXT(ROW()-3,"0000"))</f>
        <v/>
      </c>
      <c r="B461" s="40" t="n"/>
      <c r="C461" s="41" t="n"/>
      <c r="D461" s="42">
        <f>IF($C461="","",IFERROR(INDEX(DESPACHOS!$D$3:$D$3002,MATCH($C461,DESPACHOS!$B$3:$B$3002,0)),"SIN DESPACHO"))</f>
        <v/>
      </c>
      <c r="E461" s="42">
        <f>IF($C461="","",IFERROR(INDEX(DESPACHOS!$K$3:$K$3002,MATCH($C461,DESPACHOS!$B$3:$B$3002,0)),""))</f>
        <v/>
      </c>
      <c r="F461" s="42">
        <f>IF($C461="","",IFERROR(INDEX(DESPACHOS!$I$3:$I$3002,MATCH($C461,DESPACHOS!$B$3:$B$3002,0)),""))</f>
        <v/>
      </c>
      <c r="G461" s="42">
        <f>IF($C461="","",IFERROR(INDEX(DESPACHOS!$F$3:$F$3002,MATCH($C461,DESPACHOS!$B$3:$B$3002,0)),""))</f>
        <v/>
      </c>
      <c r="H461" s="42">
        <f>IF($C461="","",IFERROR(INDEX(DESPACHOS!$G$3:$G$3002,MATCH($C461,DESPACHOS!$B$3:$B$3002,0)),""))</f>
        <v/>
      </c>
      <c r="I461" s="39">
        <f>IF($C461="","",IFERROR(INDEX(DESPACHOS!$H$3:$H$3002,MATCH($C461,DESPACHOS!$B$3:$B$3002,0)),""))</f>
        <v/>
      </c>
      <c r="J461" s="43">
        <f>IF($C461="","",IFERROR(INDEX(DESPACHOS!$J$3:$J$3002,MATCH($C461,DESPACHOS!$B$3:$B$3002,0)),""))</f>
        <v/>
      </c>
      <c r="K461" s="39">
        <f>IF($C461="","",IF(COUNTIFS(DESPACHOS!$B$3:$B$3002,$C461)=0,"NO EXISTE",IF(COUNTIFS(DESPACHOS!$B$3:$B$3002,$C461)&gt;1,"DUPLICADO","OK")))</f>
        <v/>
      </c>
      <c r="L461" s="41" t="n"/>
      <c r="M461" s="41" t="n"/>
      <c r="N461" s="42">
        <f>IF($M461="","",IFERROR(INDEX(LISTAS!$F$3:$F$42,MATCH($M461,LISTAS!$E$3:$E$42,0)),"Por definir"))</f>
        <v/>
      </c>
      <c r="O461" s="41" t="n"/>
      <c r="P461" s="39">
        <f>IF($L461="","",IFERROR(INDEX(LISTAS!$B$3:$B$42,MATCH($L461,LISTAS!$A$3:$A$42,0)),"Media"))</f>
        <v/>
      </c>
      <c r="Q461" s="44" t="n"/>
      <c r="R461" s="45" t="n"/>
      <c r="S461" s="20">
        <f>IFERROR(IF(OR($R461="",$C461=""),"",$R461/INDEX(DESPACHOS!$M$3:$M$3002,MATCH($C461,DESPACHOS!$B$3:$B$3002,0))),"")</f>
        <v/>
      </c>
      <c r="T461" s="41" t="n"/>
      <c r="U461" s="43">
        <f>IF(OR($B461="",$L461=""),"",WORKDAY($B461,IFERROR(INDEX(LISTAS!$C$3:$C$42,MATCH($L461,LISTAS!$A$3:$A$42,0)),3)))</f>
        <v/>
      </c>
      <c r="V461" s="40" t="n"/>
      <c r="W461" s="19">
        <f>IF($B461="","",IF($V461&lt;&gt;"",$V461-$B461,TODAY()-$B461))</f>
        <v/>
      </c>
      <c r="X461" s="19">
        <f>IF(OR($B461="",$U461=""),"",IF($V461&lt;&gt;"",MAX(0,$V461-$U461),MAX(0,TODAY()-$U461)))</f>
        <v/>
      </c>
      <c r="Y461" s="39">
        <f>IF($C461="","",IF(IFERROR(INDEX(LISTAS!$I$3:$I$42,MATCH($T461,LISTAS!$H$3:$H$42,0)),"NO")="SÍ",IF(N($X461)&gt;0,"CERRADA FUERA DE SLA","CERRADA EN SLA"),IF($U461="","SIN CLASIFICAR",IF(N($X461)&gt;0,"VENCIDA",IF(TODAY()&gt;=$U461-1,"POR VENCER","EN PLAZO")))))</f>
        <v/>
      </c>
      <c r="Z461" s="41" t="n"/>
      <c r="AA461" s="41" t="n"/>
      <c r="AB461" s="41" t="n"/>
    </row>
    <row r="462">
      <c r="A462" s="39">
        <f>IF($C462="","","NOV-"&amp;TEXT(ROW()-3,"0000"))</f>
        <v/>
      </c>
      <c r="B462" s="40" t="n"/>
      <c r="C462" s="41" t="n"/>
      <c r="D462" s="42">
        <f>IF($C462="","",IFERROR(INDEX(DESPACHOS!$D$3:$D$3002,MATCH($C462,DESPACHOS!$B$3:$B$3002,0)),"SIN DESPACHO"))</f>
        <v/>
      </c>
      <c r="E462" s="42">
        <f>IF($C462="","",IFERROR(INDEX(DESPACHOS!$K$3:$K$3002,MATCH($C462,DESPACHOS!$B$3:$B$3002,0)),""))</f>
        <v/>
      </c>
      <c r="F462" s="42">
        <f>IF($C462="","",IFERROR(INDEX(DESPACHOS!$I$3:$I$3002,MATCH($C462,DESPACHOS!$B$3:$B$3002,0)),""))</f>
        <v/>
      </c>
      <c r="G462" s="42">
        <f>IF($C462="","",IFERROR(INDEX(DESPACHOS!$F$3:$F$3002,MATCH($C462,DESPACHOS!$B$3:$B$3002,0)),""))</f>
        <v/>
      </c>
      <c r="H462" s="42">
        <f>IF($C462="","",IFERROR(INDEX(DESPACHOS!$G$3:$G$3002,MATCH($C462,DESPACHOS!$B$3:$B$3002,0)),""))</f>
        <v/>
      </c>
      <c r="I462" s="39">
        <f>IF($C462="","",IFERROR(INDEX(DESPACHOS!$H$3:$H$3002,MATCH($C462,DESPACHOS!$B$3:$B$3002,0)),""))</f>
        <v/>
      </c>
      <c r="J462" s="43">
        <f>IF($C462="","",IFERROR(INDEX(DESPACHOS!$J$3:$J$3002,MATCH($C462,DESPACHOS!$B$3:$B$3002,0)),""))</f>
        <v/>
      </c>
      <c r="K462" s="39">
        <f>IF($C462="","",IF(COUNTIFS(DESPACHOS!$B$3:$B$3002,$C462)=0,"NO EXISTE",IF(COUNTIFS(DESPACHOS!$B$3:$B$3002,$C462)&gt;1,"DUPLICADO","OK")))</f>
        <v/>
      </c>
      <c r="L462" s="41" t="n"/>
      <c r="M462" s="41" t="n"/>
      <c r="N462" s="42">
        <f>IF($M462="","",IFERROR(INDEX(LISTAS!$F$3:$F$42,MATCH($M462,LISTAS!$E$3:$E$42,0)),"Por definir"))</f>
        <v/>
      </c>
      <c r="O462" s="41" t="n"/>
      <c r="P462" s="39">
        <f>IF($L462="","",IFERROR(INDEX(LISTAS!$B$3:$B$42,MATCH($L462,LISTAS!$A$3:$A$42,0)),"Media"))</f>
        <v/>
      </c>
      <c r="Q462" s="44" t="n"/>
      <c r="R462" s="45" t="n"/>
      <c r="S462" s="20">
        <f>IFERROR(IF(OR($R462="",$C462=""),"",$R462/INDEX(DESPACHOS!$M$3:$M$3002,MATCH($C462,DESPACHOS!$B$3:$B$3002,0))),"")</f>
        <v/>
      </c>
      <c r="T462" s="41" t="n"/>
      <c r="U462" s="43">
        <f>IF(OR($B462="",$L462=""),"",WORKDAY($B462,IFERROR(INDEX(LISTAS!$C$3:$C$42,MATCH($L462,LISTAS!$A$3:$A$42,0)),3)))</f>
        <v/>
      </c>
      <c r="V462" s="40" t="n"/>
      <c r="W462" s="19">
        <f>IF($B462="","",IF($V462&lt;&gt;"",$V462-$B462,TODAY()-$B462))</f>
        <v/>
      </c>
      <c r="X462" s="19">
        <f>IF(OR($B462="",$U462=""),"",IF($V462&lt;&gt;"",MAX(0,$V462-$U462),MAX(0,TODAY()-$U462)))</f>
        <v/>
      </c>
      <c r="Y462" s="39">
        <f>IF($C462="","",IF(IFERROR(INDEX(LISTAS!$I$3:$I$42,MATCH($T462,LISTAS!$H$3:$H$42,0)),"NO")="SÍ",IF(N($X462)&gt;0,"CERRADA FUERA DE SLA","CERRADA EN SLA"),IF($U462="","SIN CLASIFICAR",IF(N($X462)&gt;0,"VENCIDA",IF(TODAY()&gt;=$U462-1,"POR VENCER","EN PLAZO")))))</f>
        <v/>
      </c>
      <c r="Z462" s="41" t="n"/>
      <c r="AA462" s="41" t="n"/>
      <c r="AB462" s="41" t="n"/>
    </row>
    <row r="463">
      <c r="A463" s="39">
        <f>IF($C463="","","NOV-"&amp;TEXT(ROW()-3,"0000"))</f>
        <v/>
      </c>
      <c r="B463" s="40" t="n"/>
      <c r="C463" s="41" t="n"/>
      <c r="D463" s="42">
        <f>IF($C463="","",IFERROR(INDEX(DESPACHOS!$D$3:$D$3002,MATCH($C463,DESPACHOS!$B$3:$B$3002,0)),"SIN DESPACHO"))</f>
        <v/>
      </c>
      <c r="E463" s="42">
        <f>IF($C463="","",IFERROR(INDEX(DESPACHOS!$K$3:$K$3002,MATCH($C463,DESPACHOS!$B$3:$B$3002,0)),""))</f>
        <v/>
      </c>
      <c r="F463" s="42">
        <f>IF($C463="","",IFERROR(INDEX(DESPACHOS!$I$3:$I$3002,MATCH($C463,DESPACHOS!$B$3:$B$3002,0)),""))</f>
        <v/>
      </c>
      <c r="G463" s="42">
        <f>IF($C463="","",IFERROR(INDEX(DESPACHOS!$F$3:$F$3002,MATCH($C463,DESPACHOS!$B$3:$B$3002,0)),""))</f>
        <v/>
      </c>
      <c r="H463" s="42">
        <f>IF($C463="","",IFERROR(INDEX(DESPACHOS!$G$3:$G$3002,MATCH($C463,DESPACHOS!$B$3:$B$3002,0)),""))</f>
        <v/>
      </c>
      <c r="I463" s="39">
        <f>IF($C463="","",IFERROR(INDEX(DESPACHOS!$H$3:$H$3002,MATCH($C463,DESPACHOS!$B$3:$B$3002,0)),""))</f>
        <v/>
      </c>
      <c r="J463" s="43">
        <f>IF($C463="","",IFERROR(INDEX(DESPACHOS!$J$3:$J$3002,MATCH($C463,DESPACHOS!$B$3:$B$3002,0)),""))</f>
        <v/>
      </c>
      <c r="K463" s="39">
        <f>IF($C463="","",IF(COUNTIFS(DESPACHOS!$B$3:$B$3002,$C463)=0,"NO EXISTE",IF(COUNTIFS(DESPACHOS!$B$3:$B$3002,$C463)&gt;1,"DUPLICADO","OK")))</f>
        <v/>
      </c>
      <c r="L463" s="41" t="n"/>
      <c r="M463" s="41" t="n"/>
      <c r="N463" s="42">
        <f>IF($M463="","",IFERROR(INDEX(LISTAS!$F$3:$F$42,MATCH($M463,LISTAS!$E$3:$E$42,0)),"Por definir"))</f>
        <v/>
      </c>
      <c r="O463" s="41" t="n"/>
      <c r="P463" s="39">
        <f>IF($L463="","",IFERROR(INDEX(LISTAS!$B$3:$B$42,MATCH($L463,LISTAS!$A$3:$A$42,0)),"Media"))</f>
        <v/>
      </c>
      <c r="Q463" s="44" t="n"/>
      <c r="R463" s="45" t="n"/>
      <c r="S463" s="20">
        <f>IFERROR(IF(OR($R463="",$C463=""),"",$R463/INDEX(DESPACHOS!$M$3:$M$3002,MATCH($C463,DESPACHOS!$B$3:$B$3002,0))),"")</f>
        <v/>
      </c>
      <c r="T463" s="41" t="n"/>
      <c r="U463" s="43">
        <f>IF(OR($B463="",$L463=""),"",WORKDAY($B463,IFERROR(INDEX(LISTAS!$C$3:$C$42,MATCH($L463,LISTAS!$A$3:$A$42,0)),3)))</f>
        <v/>
      </c>
      <c r="V463" s="40" t="n"/>
      <c r="W463" s="19">
        <f>IF($B463="","",IF($V463&lt;&gt;"",$V463-$B463,TODAY()-$B463))</f>
        <v/>
      </c>
      <c r="X463" s="19">
        <f>IF(OR($B463="",$U463=""),"",IF($V463&lt;&gt;"",MAX(0,$V463-$U463),MAX(0,TODAY()-$U463)))</f>
        <v/>
      </c>
      <c r="Y463" s="39">
        <f>IF($C463="","",IF(IFERROR(INDEX(LISTAS!$I$3:$I$42,MATCH($T463,LISTAS!$H$3:$H$42,0)),"NO")="SÍ",IF(N($X463)&gt;0,"CERRADA FUERA DE SLA","CERRADA EN SLA"),IF($U463="","SIN CLASIFICAR",IF(N($X463)&gt;0,"VENCIDA",IF(TODAY()&gt;=$U463-1,"POR VENCER","EN PLAZO")))))</f>
        <v/>
      </c>
      <c r="Z463" s="41" t="n"/>
      <c r="AA463" s="41" t="n"/>
      <c r="AB463" s="41" t="n"/>
    </row>
    <row r="464">
      <c r="A464" s="39">
        <f>IF($C464="","","NOV-"&amp;TEXT(ROW()-3,"0000"))</f>
        <v/>
      </c>
      <c r="B464" s="40" t="n"/>
      <c r="C464" s="41" t="n"/>
      <c r="D464" s="42">
        <f>IF($C464="","",IFERROR(INDEX(DESPACHOS!$D$3:$D$3002,MATCH($C464,DESPACHOS!$B$3:$B$3002,0)),"SIN DESPACHO"))</f>
        <v/>
      </c>
      <c r="E464" s="42">
        <f>IF($C464="","",IFERROR(INDEX(DESPACHOS!$K$3:$K$3002,MATCH($C464,DESPACHOS!$B$3:$B$3002,0)),""))</f>
        <v/>
      </c>
      <c r="F464" s="42">
        <f>IF($C464="","",IFERROR(INDEX(DESPACHOS!$I$3:$I$3002,MATCH($C464,DESPACHOS!$B$3:$B$3002,0)),""))</f>
        <v/>
      </c>
      <c r="G464" s="42">
        <f>IF($C464="","",IFERROR(INDEX(DESPACHOS!$F$3:$F$3002,MATCH($C464,DESPACHOS!$B$3:$B$3002,0)),""))</f>
        <v/>
      </c>
      <c r="H464" s="42">
        <f>IF($C464="","",IFERROR(INDEX(DESPACHOS!$G$3:$G$3002,MATCH($C464,DESPACHOS!$B$3:$B$3002,0)),""))</f>
        <v/>
      </c>
      <c r="I464" s="39">
        <f>IF($C464="","",IFERROR(INDEX(DESPACHOS!$H$3:$H$3002,MATCH($C464,DESPACHOS!$B$3:$B$3002,0)),""))</f>
        <v/>
      </c>
      <c r="J464" s="43">
        <f>IF($C464="","",IFERROR(INDEX(DESPACHOS!$J$3:$J$3002,MATCH($C464,DESPACHOS!$B$3:$B$3002,0)),""))</f>
        <v/>
      </c>
      <c r="K464" s="39">
        <f>IF($C464="","",IF(COUNTIFS(DESPACHOS!$B$3:$B$3002,$C464)=0,"NO EXISTE",IF(COUNTIFS(DESPACHOS!$B$3:$B$3002,$C464)&gt;1,"DUPLICADO","OK")))</f>
        <v/>
      </c>
      <c r="L464" s="41" t="n"/>
      <c r="M464" s="41" t="n"/>
      <c r="N464" s="42">
        <f>IF($M464="","",IFERROR(INDEX(LISTAS!$F$3:$F$42,MATCH($M464,LISTAS!$E$3:$E$42,0)),"Por definir"))</f>
        <v/>
      </c>
      <c r="O464" s="41" t="n"/>
      <c r="P464" s="39">
        <f>IF($L464="","",IFERROR(INDEX(LISTAS!$B$3:$B$42,MATCH($L464,LISTAS!$A$3:$A$42,0)),"Media"))</f>
        <v/>
      </c>
      <c r="Q464" s="44" t="n"/>
      <c r="R464" s="45" t="n"/>
      <c r="S464" s="20">
        <f>IFERROR(IF(OR($R464="",$C464=""),"",$R464/INDEX(DESPACHOS!$M$3:$M$3002,MATCH($C464,DESPACHOS!$B$3:$B$3002,0))),"")</f>
        <v/>
      </c>
      <c r="T464" s="41" t="n"/>
      <c r="U464" s="43">
        <f>IF(OR($B464="",$L464=""),"",WORKDAY($B464,IFERROR(INDEX(LISTAS!$C$3:$C$42,MATCH($L464,LISTAS!$A$3:$A$42,0)),3)))</f>
        <v/>
      </c>
      <c r="V464" s="40" t="n"/>
      <c r="W464" s="19">
        <f>IF($B464="","",IF($V464&lt;&gt;"",$V464-$B464,TODAY()-$B464))</f>
        <v/>
      </c>
      <c r="X464" s="19">
        <f>IF(OR($B464="",$U464=""),"",IF($V464&lt;&gt;"",MAX(0,$V464-$U464),MAX(0,TODAY()-$U464)))</f>
        <v/>
      </c>
      <c r="Y464" s="39">
        <f>IF($C464="","",IF(IFERROR(INDEX(LISTAS!$I$3:$I$42,MATCH($T464,LISTAS!$H$3:$H$42,0)),"NO")="SÍ",IF(N($X464)&gt;0,"CERRADA FUERA DE SLA","CERRADA EN SLA"),IF($U464="","SIN CLASIFICAR",IF(N($X464)&gt;0,"VENCIDA",IF(TODAY()&gt;=$U464-1,"POR VENCER","EN PLAZO")))))</f>
        <v/>
      </c>
      <c r="Z464" s="41" t="n"/>
      <c r="AA464" s="41" t="n"/>
      <c r="AB464" s="41" t="n"/>
    </row>
    <row r="465">
      <c r="A465" s="39">
        <f>IF($C465="","","NOV-"&amp;TEXT(ROW()-3,"0000"))</f>
        <v/>
      </c>
      <c r="B465" s="40" t="n"/>
      <c r="C465" s="41" t="n"/>
      <c r="D465" s="42">
        <f>IF($C465="","",IFERROR(INDEX(DESPACHOS!$D$3:$D$3002,MATCH($C465,DESPACHOS!$B$3:$B$3002,0)),"SIN DESPACHO"))</f>
        <v/>
      </c>
      <c r="E465" s="42">
        <f>IF($C465="","",IFERROR(INDEX(DESPACHOS!$K$3:$K$3002,MATCH($C465,DESPACHOS!$B$3:$B$3002,0)),""))</f>
        <v/>
      </c>
      <c r="F465" s="42">
        <f>IF($C465="","",IFERROR(INDEX(DESPACHOS!$I$3:$I$3002,MATCH($C465,DESPACHOS!$B$3:$B$3002,0)),""))</f>
        <v/>
      </c>
      <c r="G465" s="42">
        <f>IF($C465="","",IFERROR(INDEX(DESPACHOS!$F$3:$F$3002,MATCH($C465,DESPACHOS!$B$3:$B$3002,0)),""))</f>
        <v/>
      </c>
      <c r="H465" s="42">
        <f>IF($C465="","",IFERROR(INDEX(DESPACHOS!$G$3:$G$3002,MATCH($C465,DESPACHOS!$B$3:$B$3002,0)),""))</f>
        <v/>
      </c>
      <c r="I465" s="39">
        <f>IF($C465="","",IFERROR(INDEX(DESPACHOS!$H$3:$H$3002,MATCH($C465,DESPACHOS!$B$3:$B$3002,0)),""))</f>
        <v/>
      </c>
      <c r="J465" s="43">
        <f>IF($C465="","",IFERROR(INDEX(DESPACHOS!$J$3:$J$3002,MATCH($C465,DESPACHOS!$B$3:$B$3002,0)),""))</f>
        <v/>
      </c>
      <c r="K465" s="39">
        <f>IF($C465="","",IF(COUNTIFS(DESPACHOS!$B$3:$B$3002,$C465)=0,"NO EXISTE",IF(COUNTIFS(DESPACHOS!$B$3:$B$3002,$C465)&gt;1,"DUPLICADO","OK")))</f>
        <v/>
      </c>
      <c r="L465" s="41" t="n"/>
      <c r="M465" s="41" t="n"/>
      <c r="N465" s="42">
        <f>IF($M465="","",IFERROR(INDEX(LISTAS!$F$3:$F$42,MATCH($M465,LISTAS!$E$3:$E$42,0)),"Por definir"))</f>
        <v/>
      </c>
      <c r="O465" s="41" t="n"/>
      <c r="P465" s="39">
        <f>IF($L465="","",IFERROR(INDEX(LISTAS!$B$3:$B$42,MATCH($L465,LISTAS!$A$3:$A$42,0)),"Media"))</f>
        <v/>
      </c>
      <c r="Q465" s="44" t="n"/>
      <c r="R465" s="45" t="n"/>
      <c r="S465" s="20">
        <f>IFERROR(IF(OR($R465="",$C465=""),"",$R465/INDEX(DESPACHOS!$M$3:$M$3002,MATCH($C465,DESPACHOS!$B$3:$B$3002,0))),"")</f>
        <v/>
      </c>
      <c r="T465" s="41" t="n"/>
      <c r="U465" s="43">
        <f>IF(OR($B465="",$L465=""),"",WORKDAY($B465,IFERROR(INDEX(LISTAS!$C$3:$C$42,MATCH($L465,LISTAS!$A$3:$A$42,0)),3)))</f>
        <v/>
      </c>
      <c r="V465" s="40" t="n"/>
      <c r="W465" s="19">
        <f>IF($B465="","",IF($V465&lt;&gt;"",$V465-$B465,TODAY()-$B465))</f>
        <v/>
      </c>
      <c r="X465" s="19">
        <f>IF(OR($B465="",$U465=""),"",IF($V465&lt;&gt;"",MAX(0,$V465-$U465),MAX(0,TODAY()-$U465)))</f>
        <v/>
      </c>
      <c r="Y465" s="39">
        <f>IF($C465="","",IF(IFERROR(INDEX(LISTAS!$I$3:$I$42,MATCH($T465,LISTAS!$H$3:$H$42,0)),"NO")="SÍ",IF(N($X465)&gt;0,"CERRADA FUERA DE SLA","CERRADA EN SLA"),IF($U465="","SIN CLASIFICAR",IF(N($X465)&gt;0,"VENCIDA",IF(TODAY()&gt;=$U465-1,"POR VENCER","EN PLAZO")))))</f>
        <v/>
      </c>
      <c r="Z465" s="41" t="n"/>
      <c r="AA465" s="41" t="n"/>
      <c r="AB465" s="41" t="n"/>
    </row>
    <row r="466">
      <c r="A466" s="39">
        <f>IF($C466="","","NOV-"&amp;TEXT(ROW()-3,"0000"))</f>
        <v/>
      </c>
      <c r="B466" s="40" t="n"/>
      <c r="C466" s="41" t="n"/>
      <c r="D466" s="42">
        <f>IF($C466="","",IFERROR(INDEX(DESPACHOS!$D$3:$D$3002,MATCH($C466,DESPACHOS!$B$3:$B$3002,0)),"SIN DESPACHO"))</f>
        <v/>
      </c>
      <c r="E466" s="42">
        <f>IF($C466="","",IFERROR(INDEX(DESPACHOS!$K$3:$K$3002,MATCH($C466,DESPACHOS!$B$3:$B$3002,0)),""))</f>
        <v/>
      </c>
      <c r="F466" s="42">
        <f>IF($C466="","",IFERROR(INDEX(DESPACHOS!$I$3:$I$3002,MATCH($C466,DESPACHOS!$B$3:$B$3002,0)),""))</f>
        <v/>
      </c>
      <c r="G466" s="42">
        <f>IF($C466="","",IFERROR(INDEX(DESPACHOS!$F$3:$F$3002,MATCH($C466,DESPACHOS!$B$3:$B$3002,0)),""))</f>
        <v/>
      </c>
      <c r="H466" s="42">
        <f>IF($C466="","",IFERROR(INDEX(DESPACHOS!$G$3:$G$3002,MATCH($C466,DESPACHOS!$B$3:$B$3002,0)),""))</f>
        <v/>
      </c>
      <c r="I466" s="39">
        <f>IF($C466="","",IFERROR(INDEX(DESPACHOS!$H$3:$H$3002,MATCH($C466,DESPACHOS!$B$3:$B$3002,0)),""))</f>
        <v/>
      </c>
      <c r="J466" s="43">
        <f>IF($C466="","",IFERROR(INDEX(DESPACHOS!$J$3:$J$3002,MATCH($C466,DESPACHOS!$B$3:$B$3002,0)),""))</f>
        <v/>
      </c>
      <c r="K466" s="39">
        <f>IF($C466="","",IF(COUNTIFS(DESPACHOS!$B$3:$B$3002,$C466)=0,"NO EXISTE",IF(COUNTIFS(DESPACHOS!$B$3:$B$3002,$C466)&gt;1,"DUPLICADO","OK")))</f>
        <v/>
      </c>
      <c r="L466" s="41" t="n"/>
      <c r="M466" s="41" t="n"/>
      <c r="N466" s="42">
        <f>IF($M466="","",IFERROR(INDEX(LISTAS!$F$3:$F$42,MATCH($M466,LISTAS!$E$3:$E$42,0)),"Por definir"))</f>
        <v/>
      </c>
      <c r="O466" s="41" t="n"/>
      <c r="P466" s="39">
        <f>IF($L466="","",IFERROR(INDEX(LISTAS!$B$3:$B$42,MATCH($L466,LISTAS!$A$3:$A$42,0)),"Media"))</f>
        <v/>
      </c>
      <c r="Q466" s="44" t="n"/>
      <c r="R466" s="45" t="n"/>
      <c r="S466" s="20">
        <f>IFERROR(IF(OR($R466="",$C466=""),"",$R466/INDEX(DESPACHOS!$M$3:$M$3002,MATCH($C466,DESPACHOS!$B$3:$B$3002,0))),"")</f>
        <v/>
      </c>
      <c r="T466" s="41" t="n"/>
      <c r="U466" s="43">
        <f>IF(OR($B466="",$L466=""),"",WORKDAY($B466,IFERROR(INDEX(LISTAS!$C$3:$C$42,MATCH($L466,LISTAS!$A$3:$A$42,0)),3)))</f>
        <v/>
      </c>
      <c r="V466" s="40" t="n"/>
      <c r="W466" s="19">
        <f>IF($B466="","",IF($V466&lt;&gt;"",$V466-$B466,TODAY()-$B466))</f>
        <v/>
      </c>
      <c r="X466" s="19">
        <f>IF(OR($B466="",$U466=""),"",IF($V466&lt;&gt;"",MAX(0,$V466-$U466),MAX(0,TODAY()-$U466)))</f>
        <v/>
      </c>
      <c r="Y466" s="39">
        <f>IF($C466="","",IF(IFERROR(INDEX(LISTAS!$I$3:$I$42,MATCH($T466,LISTAS!$H$3:$H$42,0)),"NO")="SÍ",IF(N($X466)&gt;0,"CERRADA FUERA DE SLA","CERRADA EN SLA"),IF($U466="","SIN CLASIFICAR",IF(N($X466)&gt;0,"VENCIDA",IF(TODAY()&gt;=$U466-1,"POR VENCER","EN PLAZO")))))</f>
        <v/>
      </c>
      <c r="Z466" s="41" t="n"/>
      <c r="AA466" s="41" t="n"/>
      <c r="AB466" s="41" t="n"/>
    </row>
    <row r="467">
      <c r="A467" s="39">
        <f>IF($C467="","","NOV-"&amp;TEXT(ROW()-3,"0000"))</f>
        <v/>
      </c>
      <c r="B467" s="40" t="n"/>
      <c r="C467" s="41" t="n"/>
      <c r="D467" s="42">
        <f>IF($C467="","",IFERROR(INDEX(DESPACHOS!$D$3:$D$3002,MATCH($C467,DESPACHOS!$B$3:$B$3002,0)),"SIN DESPACHO"))</f>
        <v/>
      </c>
      <c r="E467" s="42">
        <f>IF($C467="","",IFERROR(INDEX(DESPACHOS!$K$3:$K$3002,MATCH($C467,DESPACHOS!$B$3:$B$3002,0)),""))</f>
        <v/>
      </c>
      <c r="F467" s="42">
        <f>IF($C467="","",IFERROR(INDEX(DESPACHOS!$I$3:$I$3002,MATCH($C467,DESPACHOS!$B$3:$B$3002,0)),""))</f>
        <v/>
      </c>
      <c r="G467" s="42">
        <f>IF($C467="","",IFERROR(INDEX(DESPACHOS!$F$3:$F$3002,MATCH($C467,DESPACHOS!$B$3:$B$3002,0)),""))</f>
        <v/>
      </c>
      <c r="H467" s="42">
        <f>IF($C467="","",IFERROR(INDEX(DESPACHOS!$G$3:$G$3002,MATCH($C467,DESPACHOS!$B$3:$B$3002,0)),""))</f>
        <v/>
      </c>
      <c r="I467" s="39">
        <f>IF($C467="","",IFERROR(INDEX(DESPACHOS!$H$3:$H$3002,MATCH($C467,DESPACHOS!$B$3:$B$3002,0)),""))</f>
        <v/>
      </c>
      <c r="J467" s="43">
        <f>IF($C467="","",IFERROR(INDEX(DESPACHOS!$J$3:$J$3002,MATCH($C467,DESPACHOS!$B$3:$B$3002,0)),""))</f>
        <v/>
      </c>
      <c r="K467" s="39">
        <f>IF($C467="","",IF(COUNTIFS(DESPACHOS!$B$3:$B$3002,$C467)=0,"NO EXISTE",IF(COUNTIFS(DESPACHOS!$B$3:$B$3002,$C467)&gt;1,"DUPLICADO","OK")))</f>
        <v/>
      </c>
      <c r="L467" s="41" t="n"/>
      <c r="M467" s="41" t="n"/>
      <c r="N467" s="42">
        <f>IF($M467="","",IFERROR(INDEX(LISTAS!$F$3:$F$42,MATCH($M467,LISTAS!$E$3:$E$42,0)),"Por definir"))</f>
        <v/>
      </c>
      <c r="O467" s="41" t="n"/>
      <c r="P467" s="39">
        <f>IF($L467="","",IFERROR(INDEX(LISTAS!$B$3:$B$42,MATCH($L467,LISTAS!$A$3:$A$42,0)),"Media"))</f>
        <v/>
      </c>
      <c r="Q467" s="44" t="n"/>
      <c r="R467" s="45" t="n"/>
      <c r="S467" s="20">
        <f>IFERROR(IF(OR($R467="",$C467=""),"",$R467/INDEX(DESPACHOS!$M$3:$M$3002,MATCH($C467,DESPACHOS!$B$3:$B$3002,0))),"")</f>
        <v/>
      </c>
      <c r="T467" s="41" t="n"/>
      <c r="U467" s="43">
        <f>IF(OR($B467="",$L467=""),"",WORKDAY($B467,IFERROR(INDEX(LISTAS!$C$3:$C$42,MATCH($L467,LISTAS!$A$3:$A$42,0)),3)))</f>
        <v/>
      </c>
      <c r="V467" s="40" t="n"/>
      <c r="W467" s="19">
        <f>IF($B467="","",IF($V467&lt;&gt;"",$V467-$B467,TODAY()-$B467))</f>
        <v/>
      </c>
      <c r="X467" s="19">
        <f>IF(OR($B467="",$U467=""),"",IF($V467&lt;&gt;"",MAX(0,$V467-$U467),MAX(0,TODAY()-$U467)))</f>
        <v/>
      </c>
      <c r="Y467" s="39">
        <f>IF($C467="","",IF(IFERROR(INDEX(LISTAS!$I$3:$I$42,MATCH($T467,LISTAS!$H$3:$H$42,0)),"NO")="SÍ",IF(N($X467)&gt;0,"CERRADA FUERA DE SLA","CERRADA EN SLA"),IF($U467="","SIN CLASIFICAR",IF(N($X467)&gt;0,"VENCIDA",IF(TODAY()&gt;=$U467-1,"POR VENCER","EN PLAZO")))))</f>
        <v/>
      </c>
      <c r="Z467" s="41" t="n"/>
      <c r="AA467" s="41" t="n"/>
      <c r="AB467" s="41" t="n"/>
    </row>
    <row r="468">
      <c r="A468" s="39">
        <f>IF($C468="","","NOV-"&amp;TEXT(ROW()-3,"0000"))</f>
        <v/>
      </c>
      <c r="B468" s="40" t="n"/>
      <c r="C468" s="41" t="n"/>
      <c r="D468" s="42">
        <f>IF($C468="","",IFERROR(INDEX(DESPACHOS!$D$3:$D$3002,MATCH($C468,DESPACHOS!$B$3:$B$3002,0)),"SIN DESPACHO"))</f>
        <v/>
      </c>
      <c r="E468" s="42">
        <f>IF($C468="","",IFERROR(INDEX(DESPACHOS!$K$3:$K$3002,MATCH($C468,DESPACHOS!$B$3:$B$3002,0)),""))</f>
        <v/>
      </c>
      <c r="F468" s="42">
        <f>IF($C468="","",IFERROR(INDEX(DESPACHOS!$I$3:$I$3002,MATCH($C468,DESPACHOS!$B$3:$B$3002,0)),""))</f>
        <v/>
      </c>
      <c r="G468" s="42">
        <f>IF($C468="","",IFERROR(INDEX(DESPACHOS!$F$3:$F$3002,MATCH($C468,DESPACHOS!$B$3:$B$3002,0)),""))</f>
        <v/>
      </c>
      <c r="H468" s="42">
        <f>IF($C468="","",IFERROR(INDEX(DESPACHOS!$G$3:$G$3002,MATCH($C468,DESPACHOS!$B$3:$B$3002,0)),""))</f>
        <v/>
      </c>
      <c r="I468" s="39">
        <f>IF($C468="","",IFERROR(INDEX(DESPACHOS!$H$3:$H$3002,MATCH($C468,DESPACHOS!$B$3:$B$3002,0)),""))</f>
        <v/>
      </c>
      <c r="J468" s="43">
        <f>IF($C468="","",IFERROR(INDEX(DESPACHOS!$J$3:$J$3002,MATCH($C468,DESPACHOS!$B$3:$B$3002,0)),""))</f>
        <v/>
      </c>
      <c r="K468" s="39">
        <f>IF($C468="","",IF(COUNTIFS(DESPACHOS!$B$3:$B$3002,$C468)=0,"NO EXISTE",IF(COUNTIFS(DESPACHOS!$B$3:$B$3002,$C468)&gt;1,"DUPLICADO","OK")))</f>
        <v/>
      </c>
      <c r="L468" s="41" t="n"/>
      <c r="M468" s="41" t="n"/>
      <c r="N468" s="42">
        <f>IF($M468="","",IFERROR(INDEX(LISTAS!$F$3:$F$42,MATCH($M468,LISTAS!$E$3:$E$42,0)),"Por definir"))</f>
        <v/>
      </c>
      <c r="O468" s="41" t="n"/>
      <c r="P468" s="39">
        <f>IF($L468="","",IFERROR(INDEX(LISTAS!$B$3:$B$42,MATCH($L468,LISTAS!$A$3:$A$42,0)),"Media"))</f>
        <v/>
      </c>
      <c r="Q468" s="44" t="n"/>
      <c r="R468" s="45" t="n"/>
      <c r="S468" s="20">
        <f>IFERROR(IF(OR($R468="",$C468=""),"",$R468/INDEX(DESPACHOS!$M$3:$M$3002,MATCH($C468,DESPACHOS!$B$3:$B$3002,0))),"")</f>
        <v/>
      </c>
      <c r="T468" s="41" t="n"/>
      <c r="U468" s="43">
        <f>IF(OR($B468="",$L468=""),"",WORKDAY($B468,IFERROR(INDEX(LISTAS!$C$3:$C$42,MATCH($L468,LISTAS!$A$3:$A$42,0)),3)))</f>
        <v/>
      </c>
      <c r="V468" s="40" t="n"/>
      <c r="W468" s="19">
        <f>IF($B468="","",IF($V468&lt;&gt;"",$V468-$B468,TODAY()-$B468))</f>
        <v/>
      </c>
      <c r="X468" s="19">
        <f>IF(OR($B468="",$U468=""),"",IF($V468&lt;&gt;"",MAX(0,$V468-$U468),MAX(0,TODAY()-$U468)))</f>
        <v/>
      </c>
      <c r="Y468" s="39">
        <f>IF($C468="","",IF(IFERROR(INDEX(LISTAS!$I$3:$I$42,MATCH($T468,LISTAS!$H$3:$H$42,0)),"NO")="SÍ",IF(N($X468)&gt;0,"CERRADA FUERA DE SLA","CERRADA EN SLA"),IF($U468="","SIN CLASIFICAR",IF(N($X468)&gt;0,"VENCIDA",IF(TODAY()&gt;=$U468-1,"POR VENCER","EN PLAZO")))))</f>
        <v/>
      </c>
      <c r="Z468" s="41" t="n"/>
      <c r="AA468" s="41" t="n"/>
      <c r="AB468" s="41" t="n"/>
    </row>
    <row r="469">
      <c r="A469" s="39">
        <f>IF($C469="","","NOV-"&amp;TEXT(ROW()-3,"0000"))</f>
        <v/>
      </c>
      <c r="B469" s="40" t="n"/>
      <c r="C469" s="41" t="n"/>
      <c r="D469" s="42">
        <f>IF($C469="","",IFERROR(INDEX(DESPACHOS!$D$3:$D$3002,MATCH($C469,DESPACHOS!$B$3:$B$3002,0)),"SIN DESPACHO"))</f>
        <v/>
      </c>
      <c r="E469" s="42">
        <f>IF($C469="","",IFERROR(INDEX(DESPACHOS!$K$3:$K$3002,MATCH($C469,DESPACHOS!$B$3:$B$3002,0)),""))</f>
        <v/>
      </c>
      <c r="F469" s="42">
        <f>IF($C469="","",IFERROR(INDEX(DESPACHOS!$I$3:$I$3002,MATCH($C469,DESPACHOS!$B$3:$B$3002,0)),""))</f>
        <v/>
      </c>
      <c r="G469" s="42">
        <f>IF($C469="","",IFERROR(INDEX(DESPACHOS!$F$3:$F$3002,MATCH($C469,DESPACHOS!$B$3:$B$3002,0)),""))</f>
        <v/>
      </c>
      <c r="H469" s="42">
        <f>IF($C469="","",IFERROR(INDEX(DESPACHOS!$G$3:$G$3002,MATCH($C469,DESPACHOS!$B$3:$B$3002,0)),""))</f>
        <v/>
      </c>
      <c r="I469" s="39">
        <f>IF($C469="","",IFERROR(INDEX(DESPACHOS!$H$3:$H$3002,MATCH($C469,DESPACHOS!$B$3:$B$3002,0)),""))</f>
        <v/>
      </c>
      <c r="J469" s="43">
        <f>IF($C469="","",IFERROR(INDEX(DESPACHOS!$J$3:$J$3002,MATCH($C469,DESPACHOS!$B$3:$B$3002,0)),""))</f>
        <v/>
      </c>
      <c r="K469" s="39">
        <f>IF($C469="","",IF(COUNTIFS(DESPACHOS!$B$3:$B$3002,$C469)=0,"NO EXISTE",IF(COUNTIFS(DESPACHOS!$B$3:$B$3002,$C469)&gt;1,"DUPLICADO","OK")))</f>
        <v/>
      </c>
      <c r="L469" s="41" t="n"/>
      <c r="M469" s="41" t="n"/>
      <c r="N469" s="42">
        <f>IF($M469="","",IFERROR(INDEX(LISTAS!$F$3:$F$42,MATCH($M469,LISTAS!$E$3:$E$42,0)),"Por definir"))</f>
        <v/>
      </c>
      <c r="O469" s="41" t="n"/>
      <c r="P469" s="39">
        <f>IF($L469="","",IFERROR(INDEX(LISTAS!$B$3:$B$42,MATCH($L469,LISTAS!$A$3:$A$42,0)),"Media"))</f>
        <v/>
      </c>
      <c r="Q469" s="44" t="n"/>
      <c r="R469" s="45" t="n"/>
      <c r="S469" s="20">
        <f>IFERROR(IF(OR($R469="",$C469=""),"",$R469/INDEX(DESPACHOS!$M$3:$M$3002,MATCH($C469,DESPACHOS!$B$3:$B$3002,0))),"")</f>
        <v/>
      </c>
      <c r="T469" s="41" t="n"/>
      <c r="U469" s="43">
        <f>IF(OR($B469="",$L469=""),"",WORKDAY($B469,IFERROR(INDEX(LISTAS!$C$3:$C$42,MATCH($L469,LISTAS!$A$3:$A$42,0)),3)))</f>
        <v/>
      </c>
      <c r="V469" s="40" t="n"/>
      <c r="W469" s="19">
        <f>IF($B469="","",IF($V469&lt;&gt;"",$V469-$B469,TODAY()-$B469))</f>
        <v/>
      </c>
      <c r="X469" s="19">
        <f>IF(OR($B469="",$U469=""),"",IF($V469&lt;&gt;"",MAX(0,$V469-$U469),MAX(0,TODAY()-$U469)))</f>
        <v/>
      </c>
      <c r="Y469" s="39">
        <f>IF($C469="","",IF(IFERROR(INDEX(LISTAS!$I$3:$I$42,MATCH($T469,LISTAS!$H$3:$H$42,0)),"NO")="SÍ",IF(N($X469)&gt;0,"CERRADA FUERA DE SLA","CERRADA EN SLA"),IF($U469="","SIN CLASIFICAR",IF(N($X469)&gt;0,"VENCIDA",IF(TODAY()&gt;=$U469-1,"POR VENCER","EN PLAZO")))))</f>
        <v/>
      </c>
      <c r="Z469" s="41" t="n"/>
      <c r="AA469" s="41" t="n"/>
      <c r="AB469" s="41" t="n"/>
    </row>
    <row r="470">
      <c r="A470" s="39">
        <f>IF($C470="","","NOV-"&amp;TEXT(ROW()-3,"0000"))</f>
        <v/>
      </c>
      <c r="B470" s="40" t="n"/>
      <c r="C470" s="41" t="n"/>
      <c r="D470" s="42">
        <f>IF($C470="","",IFERROR(INDEX(DESPACHOS!$D$3:$D$3002,MATCH($C470,DESPACHOS!$B$3:$B$3002,0)),"SIN DESPACHO"))</f>
        <v/>
      </c>
      <c r="E470" s="42">
        <f>IF($C470="","",IFERROR(INDEX(DESPACHOS!$K$3:$K$3002,MATCH($C470,DESPACHOS!$B$3:$B$3002,0)),""))</f>
        <v/>
      </c>
      <c r="F470" s="42">
        <f>IF($C470="","",IFERROR(INDEX(DESPACHOS!$I$3:$I$3002,MATCH($C470,DESPACHOS!$B$3:$B$3002,0)),""))</f>
        <v/>
      </c>
      <c r="G470" s="42">
        <f>IF($C470="","",IFERROR(INDEX(DESPACHOS!$F$3:$F$3002,MATCH($C470,DESPACHOS!$B$3:$B$3002,0)),""))</f>
        <v/>
      </c>
      <c r="H470" s="42">
        <f>IF($C470="","",IFERROR(INDEX(DESPACHOS!$G$3:$G$3002,MATCH($C470,DESPACHOS!$B$3:$B$3002,0)),""))</f>
        <v/>
      </c>
      <c r="I470" s="39">
        <f>IF($C470="","",IFERROR(INDEX(DESPACHOS!$H$3:$H$3002,MATCH($C470,DESPACHOS!$B$3:$B$3002,0)),""))</f>
        <v/>
      </c>
      <c r="J470" s="43">
        <f>IF($C470="","",IFERROR(INDEX(DESPACHOS!$J$3:$J$3002,MATCH($C470,DESPACHOS!$B$3:$B$3002,0)),""))</f>
        <v/>
      </c>
      <c r="K470" s="39">
        <f>IF($C470="","",IF(COUNTIFS(DESPACHOS!$B$3:$B$3002,$C470)=0,"NO EXISTE",IF(COUNTIFS(DESPACHOS!$B$3:$B$3002,$C470)&gt;1,"DUPLICADO","OK")))</f>
        <v/>
      </c>
      <c r="L470" s="41" t="n"/>
      <c r="M470" s="41" t="n"/>
      <c r="N470" s="42">
        <f>IF($M470="","",IFERROR(INDEX(LISTAS!$F$3:$F$42,MATCH($M470,LISTAS!$E$3:$E$42,0)),"Por definir"))</f>
        <v/>
      </c>
      <c r="O470" s="41" t="n"/>
      <c r="P470" s="39">
        <f>IF($L470="","",IFERROR(INDEX(LISTAS!$B$3:$B$42,MATCH($L470,LISTAS!$A$3:$A$42,0)),"Media"))</f>
        <v/>
      </c>
      <c r="Q470" s="44" t="n"/>
      <c r="R470" s="45" t="n"/>
      <c r="S470" s="20">
        <f>IFERROR(IF(OR($R470="",$C470=""),"",$R470/INDEX(DESPACHOS!$M$3:$M$3002,MATCH($C470,DESPACHOS!$B$3:$B$3002,0))),"")</f>
        <v/>
      </c>
      <c r="T470" s="41" t="n"/>
      <c r="U470" s="43">
        <f>IF(OR($B470="",$L470=""),"",WORKDAY($B470,IFERROR(INDEX(LISTAS!$C$3:$C$42,MATCH($L470,LISTAS!$A$3:$A$42,0)),3)))</f>
        <v/>
      </c>
      <c r="V470" s="40" t="n"/>
      <c r="W470" s="19">
        <f>IF($B470="","",IF($V470&lt;&gt;"",$V470-$B470,TODAY()-$B470))</f>
        <v/>
      </c>
      <c r="X470" s="19">
        <f>IF(OR($B470="",$U470=""),"",IF($V470&lt;&gt;"",MAX(0,$V470-$U470),MAX(0,TODAY()-$U470)))</f>
        <v/>
      </c>
      <c r="Y470" s="39">
        <f>IF($C470="","",IF(IFERROR(INDEX(LISTAS!$I$3:$I$42,MATCH($T470,LISTAS!$H$3:$H$42,0)),"NO")="SÍ",IF(N($X470)&gt;0,"CERRADA FUERA DE SLA","CERRADA EN SLA"),IF($U470="","SIN CLASIFICAR",IF(N($X470)&gt;0,"VENCIDA",IF(TODAY()&gt;=$U470-1,"POR VENCER","EN PLAZO")))))</f>
        <v/>
      </c>
      <c r="Z470" s="41" t="n"/>
      <c r="AA470" s="41" t="n"/>
      <c r="AB470" s="41" t="n"/>
    </row>
    <row r="471">
      <c r="A471" s="39">
        <f>IF($C471="","","NOV-"&amp;TEXT(ROW()-3,"0000"))</f>
        <v/>
      </c>
      <c r="B471" s="40" t="n"/>
      <c r="C471" s="41" t="n"/>
      <c r="D471" s="42">
        <f>IF($C471="","",IFERROR(INDEX(DESPACHOS!$D$3:$D$3002,MATCH($C471,DESPACHOS!$B$3:$B$3002,0)),"SIN DESPACHO"))</f>
        <v/>
      </c>
      <c r="E471" s="42">
        <f>IF($C471="","",IFERROR(INDEX(DESPACHOS!$K$3:$K$3002,MATCH($C471,DESPACHOS!$B$3:$B$3002,0)),""))</f>
        <v/>
      </c>
      <c r="F471" s="42">
        <f>IF($C471="","",IFERROR(INDEX(DESPACHOS!$I$3:$I$3002,MATCH($C471,DESPACHOS!$B$3:$B$3002,0)),""))</f>
        <v/>
      </c>
      <c r="G471" s="42">
        <f>IF($C471="","",IFERROR(INDEX(DESPACHOS!$F$3:$F$3002,MATCH($C471,DESPACHOS!$B$3:$B$3002,0)),""))</f>
        <v/>
      </c>
      <c r="H471" s="42">
        <f>IF($C471="","",IFERROR(INDEX(DESPACHOS!$G$3:$G$3002,MATCH($C471,DESPACHOS!$B$3:$B$3002,0)),""))</f>
        <v/>
      </c>
      <c r="I471" s="39">
        <f>IF($C471="","",IFERROR(INDEX(DESPACHOS!$H$3:$H$3002,MATCH($C471,DESPACHOS!$B$3:$B$3002,0)),""))</f>
        <v/>
      </c>
      <c r="J471" s="43">
        <f>IF($C471="","",IFERROR(INDEX(DESPACHOS!$J$3:$J$3002,MATCH($C471,DESPACHOS!$B$3:$B$3002,0)),""))</f>
        <v/>
      </c>
      <c r="K471" s="39">
        <f>IF($C471="","",IF(COUNTIFS(DESPACHOS!$B$3:$B$3002,$C471)=0,"NO EXISTE",IF(COUNTIFS(DESPACHOS!$B$3:$B$3002,$C471)&gt;1,"DUPLICADO","OK")))</f>
        <v/>
      </c>
      <c r="L471" s="41" t="n"/>
      <c r="M471" s="41" t="n"/>
      <c r="N471" s="42">
        <f>IF($M471="","",IFERROR(INDEX(LISTAS!$F$3:$F$42,MATCH($M471,LISTAS!$E$3:$E$42,0)),"Por definir"))</f>
        <v/>
      </c>
      <c r="O471" s="41" t="n"/>
      <c r="P471" s="39">
        <f>IF($L471="","",IFERROR(INDEX(LISTAS!$B$3:$B$42,MATCH($L471,LISTAS!$A$3:$A$42,0)),"Media"))</f>
        <v/>
      </c>
      <c r="Q471" s="44" t="n"/>
      <c r="R471" s="45" t="n"/>
      <c r="S471" s="20">
        <f>IFERROR(IF(OR($R471="",$C471=""),"",$R471/INDEX(DESPACHOS!$M$3:$M$3002,MATCH($C471,DESPACHOS!$B$3:$B$3002,0))),"")</f>
        <v/>
      </c>
      <c r="T471" s="41" t="n"/>
      <c r="U471" s="43">
        <f>IF(OR($B471="",$L471=""),"",WORKDAY($B471,IFERROR(INDEX(LISTAS!$C$3:$C$42,MATCH($L471,LISTAS!$A$3:$A$42,0)),3)))</f>
        <v/>
      </c>
      <c r="V471" s="40" t="n"/>
      <c r="W471" s="19">
        <f>IF($B471="","",IF($V471&lt;&gt;"",$V471-$B471,TODAY()-$B471))</f>
        <v/>
      </c>
      <c r="X471" s="19">
        <f>IF(OR($B471="",$U471=""),"",IF($V471&lt;&gt;"",MAX(0,$V471-$U471),MAX(0,TODAY()-$U471)))</f>
        <v/>
      </c>
      <c r="Y471" s="39">
        <f>IF($C471="","",IF(IFERROR(INDEX(LISTAS!$I$3:$I$42,MATCH($T471,LISTAS!$H$3:$H$42,0)),"NO")="SÍ",IF(N($X471)&gt;0,"CERRADA FUERA DE SLA","CERRADA EN SLA"),IF($U471="","SIN CLASIFICAR",IF(N($X471)&gt;0,"VENCIDA",IF(TODAY()&gt;=$U471-1,"POR VENCER","EN PLAZO")))))</f>
        <v/>
      </c>
      <c r="Z471" s="41" t="n"/>
      <c r="AA471" s="41" t="n"/>
      <c r="AB471" s="41" t="n"/>
    </row>
    <row r="472">
      <c r="A472" s="39">
        <f>IF($C472="","","NOV-"&amp;TEXT(ROW()-3,"0000"))</f>
        <v/>
      </c>
      <c r="B472" s="40" t="n"/>
      <c r="C472" s="41" t="n"/>
      <c r="D472" s="42">
        <f>IF($C472="","",IFERROR(INDEX(DESPACHOS!$D$3:$D$3002,MATCH($C472,DESPACHOS!$B$3:$B$3002,0)),"SIN DESPACHO"))</f>
        <v/>
      </c>
      <c r="E472" s="42">
        <f>IF($C472="","",IFERROR(INDEX(DESPACHOS!$K$3:$K$3002,MATCH($C472,DESPACHOS!$B$3:$B$3002,0)),""))</f>
        <v/>
      </c>
      <c r="F472" s="42">
        <f>IF($C472="","",IFERROR(INDEX(DESPACHOS!$I$3:$I$3002,MATCH($C472,DESPACHOS!$B$3:$B$3002,0)),""))</f>
        <v/>
      </c>
      <c r="G472" s="42">
        <f>IF($C472="","",IFERROR(INDEX(DESPACHOS!$F$3:$F$3002,MATCH($C472,DESPACHOS!$B$3:$B$3002,0)),""))</f>
        <v/>
      </c>
      <c r="H472" s="42">
        <f>IF($C472="","",IFERROR(INDEX(DESPACHOS!$G$3:$G$3002,MATCH($C472,DESPACHOS!$B$3:$B$3002,0)),""))</f>
        <v/>
      </c>
      <c r="I472" s="39">
        <f>IF($C472="","",IFERROR(INDEX(DESPACHOS!$H$3:$H$3002,MATCH($C472,DESPACHOS!$B$3:$B$3002,0)),""))</f>
        <v/>
      </c>
      <c r="J472" s="43">
        <f>IF($C472="","",IFERROR(INDEX(DESPACHOS!$J$3:$J$3002,MATCH($C472,DESPACHOS!$B$3:$B$3002,0)),""))</f>
        <v/>
      </c>
      <c r="K472" s="39">
        <f>IF($C472="","",IF(COUNTIFS(DESPACHOS!$B$3:$B$3002,$C472)=0,"NO EXISTE",IF(COUNTIFS(DESPACHOS!$B$3:$B$3002,$C472)&gt;1,"DUPLICADO","OK")))</f>
        <v/>
      </c>
      <c r="L472" s="41" t="n"/>
      <c r="M472" s="41" t="n"/>
      <c r="N472" s="42">
        <f>IF($M472="","",IFERROR(INDEX(LISTAS!$F$3:$F$42,MATCH($M472,LISTAS!$E$3:$E$42,0)),"Por definir"))</f>
        <v/>
      </c>
      <c r="O472" s="41" t="n"/>
      <c r="P472" s="39">
        <f>IF($L472="","",IFERROR(INDEX(LISTAS!$B$3:$B$42,MATCH($L472,LISTAS!$A$3:$A$42,0)),"Media"))</f>
        <v/>
      </c>
      <c r="Q472" s="44" t="n"/>
      <c r="R472" s="45" t="n"/>
      <c r="S472" s="20">
        <f>IFERROR(IF(OR($R472="",$C472=""),"",$R472/INDEX(DESPACHOS!$M$3:$M$3002,MATCH($C472,DESPACHOS!$B$3:$B$3002,0))),"")</f>
        <v/>
      </c>
      <c r="T472" s="41" t="n"/>
      <c r="U472" s="43">
        <f>IF(OR($B472="",$L472=""),"",WORKDAY($B472,IFERROR(INDEX(LISTAS!$C$3:$C$42,MATCH($L472,LISTAS!$A$3:$A$42,0)),3)))</f>
        <v/>
      </c>
      <c r="V472" s="40" t="n"/>
      <c r="W472" s="19">
        <f>IF($B472="","",IF($V472&lt;&gt;"",$V472-$B472,TODAY()-$B472))</f>
        <v/>
      </c>
      <c r="X472" s="19">
        <f>IF(OR($B472="",$U472=""),"",IF($V472&lt;&gt;"",MAX(0,$V472-$U472),MAX(0,TODAY()-$U472)))</f>
        <v/>
      </c>
      <c r="Y472" s="39">
        <f>IF($C472="","",IF(IFERROR(INDEX(LISTAS!$I$3:$I$42,MATCH($T472,LISTAS!$H$3:$H$42,0)),"NO")="SÍ",IF(N($X472)&gt;0,"CERRADA FUERA DE SLA","CERRADA EN SLA"),IF($U472="","SIN CLASIFICAR",IF(N($X472)&gt;0,"VENCIDA",IF(TODAY()&gt;=$U472-1,"POR VENCER","EN PLAZO")))))</f>
        <v/>
      </c>
      <c r="Z472" s="41" t="n"/>
      <c r="AA472" s="41" t="n"/>
      <c r="AB472" s="41" t="n"/>
    </row>
    <row r="473">
      <c r="A473" s="39">
        <f>IF($C473="","","NOV-"&amp;TEXT(ROW()-3,"0000"))</f>
        <v/>
      </c>
      <c r="B473" s="40" t="n"/>
      <c r="C473" s="41" t="n"/>
      <c r="D473" s="42">
        <f>IF($C473="","",IFERROR(INDEX(DESPACHOS!$D$3:$D$3002,MATCH($C473,DESPACHOS!$B$3:$B$3002,0)),"SIN DESPACHO"))</f>
        <v/>
      </c>
      <c r="E473" s="42">
        <f>IF($C473="","",IFERROR(INDEX(DESPACHOS!$K$3:$K$3002,MATCH($C473,DESPACHOS!$B$3:$B$3002,0)),""))</f>
        <v/>
      </c>
      <c r="F473" s="42">
        <f>IF($C473="","",IFERROR(INDEX(DESPACHOS!$I$3:$I$3002,MATCH($C473,DESPACHOS!$B$3:$B$3002,0)),""))</f>
        <v/>
      </c>
      <c r="G473" s="42">
        <f>IF($C473="","",IFERROR(INDEX(DESPACHOS!$F$3:$F$3002,MATCH($C473,DESPACHOS!$B$3:$B$3002,0)),""))</f>
        <v/>
      </c>
      <c r="H473" s="42">
        <f>IF($C473="","",IFERROR(INDEX(DESPACHOS!$G$3:$G$3002,MATCH($C473,DESPACHOS!$B$3:$B$3002,0)),""))</f>
        <v/>
      </c>
      <c r="I473" s="39">
        <f>IF($C473="","",IFERROR(INDEX(DESPACHOS!$H$3:$H$3002,MATCH($C473,DESPACHOS!$B$3:$B$3002,0)),""))</f>
        <v/>
      </c>
      <c r="J473" s="43">
        <f>IF($C473="","",IFERROR(INDEX(DESPACHOS!$J$3:$J$3002,MATCH($C473,DESPACHOS!$B$3:$B$3002,0)),""))</f>
        <v/>
      </c>
      <c r="K473" s="39">
        <f>IF($C473="","",IF(COUNTIFS(DESPACHOS!$B$3:$B$3002,$C473)=0,"NO EXISTE",IF(COUNTIFS(DESPACHOS!$B$3:$B$3002,$C473)&gt;1,"DUPLICADO","OK")))</f>
        <v/>
      </c>
      <c r="L473" s="41" t="n"/>
      <c r="M473" s="41" t="n"/>
      <c r="N473" s="42">
        <f>IF($M473="","",IFERROR(INDEX(LISTAS!$F$3:$F$42,MATCH($M473,LISTAS!$E$3:$E$42,0)),"Por definir"))</f>
        <v/>
      </c>
      <c r="O473" s="41" t="n"/>
      <c r="P473" s="39">
        <f>IF($L473="","",IFERROR(INDEX(LISTAS!$B$3:$B$42,MATCH($L473,LISTAS!$A$3:$A$42,0)),"Media"))</f>
        <v/>
      </c>
      <c r="Q473" s="44" t="n"/>
      <c r="R473" s="45" t="n"/>
      <c r="S473" s="20">
        <f>IFERROR(IF(OR($R473="",$C473=""),"",$R473/INDEX(DESPACHOS!$M$3:$M$3002,MATCH($C473,DESPACHOS!$B$3:$B$3002,0))),"")</f>
        <v/>
      </c>
      <c r="T473" s="41" t="n"/>
      <c r="U473" s="43">
        <f>IF(OR($B473="",$L473=""),"",WORKDAY($B473,IFERROR(INDEX(LISTAS!$C$3:$C$42,MATCH($L473,LISTAS!$A$3:$A$42,0)),3)))</f>
        <v/>
      </c>
      <c r="V473" s="40" t="n"/>
      <c r="W473" s="19">
        <f>IF($B473="","",IF($V473&lt;&gt;"",$V473-$B473,TODAY()-$B473))</f>
        <v/>
      </c>
      <c r="X473" s="19">
        <f>IF(OR($B473="",$U473=""),"",IF($V473&lt;&gt;"",MAX(0,$V473-$U473),MAX(0,TODAY()-$U473)))</f>
        <v/>
      </c>
      <c r="Y473" s="39">
        <f>IF($C473="","",IF(IFERROR(INDEX(LISTAS!$I$3:$I$42,MATCH($T473,LISTAS!$H$3:$H$42,0)),"NO")="SÍ",IF(N($X473)&gt;0,"CERRADA FUERA DE SLA","CERRADA EN SLA"),IF($U473="","SIN CLASIFICAR",IF(N($X473)&gt;0,"VENCIDA",IF(TODAY()&gt;=$U473-1,"POR VENCER","EN PLAZO")))))</f>
        <v/>
      </c>
      <c r="Z473" s="41" t="n"/>
      <c r="AA473" s="41" t="n"/>
      <c r="AB473" s="41" t="n"/>
    </row>
    <row r="474">
      <c r="A474" s="39">
        <f>IF($C474="","","NOV-"&amp;TEXT(ROW()-3,"0000"))</f>
        <v/>
      </c>
      <c r="B474" s="40" t="n"/>
      <c r="C474" s="41" t="n"/>
      <c r="D474" s="42">
        <f>IF($C474="","",IFERROR(INDEX(DESPACHOS!$D$3:$D$3002,MATCH($C474,DESPACHOS!$B$3:$B$3002,0)),"SIN DESPACHO"))</f>
        <v/>
      </c>
      <c r="E474" s="42">
        <f>IF($C474="","",IFERROR(INDEX(DESPACHOS!$K$3:$K$3002,MATCH($C474,DESPACHOS!$B$3:$B$3002,0)),""))</f>
        <v/>
      </c>
      <c r="F474" s="42">
        <f>IF($C474="","",IFERROR(INDEX(DESPACHOS!$I$3:$I$3002,MATCH($C474,DESPACHOS!$B$3:$B$3002,0)),""))</f>
        <v/>
      </c>
      <c r="G474" s="42">
        <f>IF($C474="","",IFERROR(INDEX(DESPACHOS!$F$3:$F$3002,MATCH($C474,DESPACHOS!$B$3:$B$3002,0)),""))</f>
        <v/>
      </c>
      <c r="H474" s="42">
        <f>IF($C474="","",IFERROR(INDEX(DESPACHOS!$G$3:$G$3002,MATCH($C474,DESPACHOS!$B$3:$B$3002,0)),""))</f>
        <v/>
      </c>
      <c r="I474" s="39">
        <f>IF($C474="","",IFERROR(INDEX(DESPACHOS!$H$3:$H$3002,MATCH($C474,DESPACHOS!$B$3:$B$3002,0)),""))</f>
        <v/>
      </c>
      <c r="J474" s="43">
        <f>IF($C474="","",IFERROR(INDEX(DESPACHOS!$J$3:$J$3002,MATCH($C474,DESPACHOS!$B$3:$B$3002,0)),""))</f>
        <v/>
      </c>
      <c r="K474" s="39">
        <f>IF($C474="","",IF(COUNTIFS(DESPACHOS!$B$3:$B$3002,$C474)=0,"NO EXISTE",IF(COUNTIFS(DESPACHOS!$B$3:$B$3002,$C474)&gt;1,"DUPLICADO","OK")))</f>
        <v/>
      </c>
      <c r="L474" s="41" t="n"/>
      <c r="M474" s="41" t="n"/>
      <c r="N474" s="42">
        <f>IF($M474="","",IFERROR(INDEX(LISTAS!$F$3:$F$42,MATCH($M474,LISTAS!$E$3:$E$42,0)),"Por definir"))</f>
        <v/>
      </c>
      <c r="O474" s="41" t="n"/>
      <c r="P474" s="39">
        <f>IF($L474="","",IFERROR(INDEX(LISTAS!$B$3:$B$42,MATCH($L474,LISTAS!$A$3:$A$42,0)),"Media"))</f>
        <v/>
      </c>
      <c r="Q474" s="44" t="n"/>
      <c r="R474" s="45" t="n"/>
      <c r="S474" s="20">
        <f>IFERROR(IF(OR($R474="",$C474=""),"",$R474/INDEX(DESPACHOS!$M$3:$M$3002,MATCH($C474,DESPACHOS!$B$3:$B$3002,0))),"")</f>
        <v/>
      </c>
      <c r="T474" s="41" t="n"/>
      <c r="U474" s="43">
        <f>IF(OR($B474="",$L474=""),"",WORKDAY($B474,IFERROR(INDEX(LISTAS!$C$3:$C$42,MATCH($L474,LISTAS!$A$3:$A$42,0)),3)))</f>
        <v/>
      </c>
      <c r="V474" s="40" t="n"/>
      <c r="W474" s="19">
        <f>IF($B474="","",IF($V474&lt;&gt;"",$V474-$B474,TODAY()-$B474))</f>
        <v/>
      </c>
      <c r="X474" s="19">
        <f>IF(OR($B474="",$U474=""),"",IF($V474&lt;&gt;"",MAX(0,$V474-$U474),MAX(0,TODAY()-$U474)))</f>
        <v/>
      </c>
      <c r="Y474" s="39">
        <f>IF($C474="","",IF(IFERROR(INDEX(LISTAS!$I$3:$I$42,MATCH($T474,LISTAS!$H$3:$H$42,0)),"NO")="SÍ",IF(N($X474)&gt;0,"CERRADA FUERA DE SLA","CERRADA EN SLA"),IF($U474="","SIN CLASIFICAR",IF(N($X474)&gt;0,"VENCIDA",IF(TODAY()&gt;=$U474-1,"POR VENCER","EN PLAZO")))))</f>
        <v/>
      </c>
      <c r="Z474" s="41" t="n"/>
      <c r="AA474" s="41" t="n"/>
      <c r="AB474" s="41" t="n"/>
    </row>
    <row r="475">
      <c r="A475" s="39">
        <f>IF($C475="","","NOV-"&amp;TEXT(ROW()-3,"0000"))</f>
        <v/>
      </c>
      <c r="B475" s="40" t="n"/>
      <c r="C475" s="41" t="n"/>
      <c r="D475" s="42">
        <f>IF($C475="","",IFERROR(INDEX(DESPACHOS!$D$3:$D$3002,MATCH($C475,DESPACHOS!$B$3:$B$3002,0)),"SIN DESPACHO"))</f>
        <v/>
      </c>
      <c r="E475" s="42">
        <f>IF($C475="","",IFERROR(INDEX(DESPACHOS!$K$3:$K$3002,MATCH($C475,DESPACHOS!$B$3:$B$3002,0)),""))</f>
        <v/>
      </c>
      <c r="F475" s="42">
        <f>IF($C475="","",IFERROR(INDEX(DESPACHOS!$I$3:$I$3002,MATCH($C475,DESPACHOS!$B$3:$B$3002,0)),""))</f>
        <v/>
      </c>
      <c r="G475" s="42">
        <f>IF($C475="","",IFERROR(INDEX(DESPACHOS!$F$3:$F$3002,MATCH($C475,DESPACHOS!$B$3:$B$3002,0)),""))</f>
        <v/>
      </c>
      <c r="H475" s="42">
        <f>IF($C475="","",IFERROR(INDEX(DESPACHOS!$G$3:$G$3002,MATCH($C475,DESPACHOS!$B$3:$B$3002,0)),""))</f>
        <v/>
      </c>
      <c r="I475" s="39">
        <f>IF($C475="","",IFERROR(INDEX(DESPACHOS!$H$3:$H$3002,MATCH($C475,DESPACHOS!$B$3:$B$3002,0)),""))</f>
        <v/>
      </c>
      <c r="J475" s="43">
        <f>IF($C475="","",IFERROR(INDEX(DESPACHOS!$J$3:$J$3002,MATCH($C475,DESPACHOS!$B$3:$B$3002,0)),""))</f>
        <v/>
      </c>
      <c r="K475" s="39">
        <f>IF($C475="","",IF(COUNTIFS(DESPACHOS!$B$3:$B$3002,$C475)=0,"NO EXISTE",IF(COUNTIFS(DESPACHOS!$B$3:$B$3002,$C475)&gt;1,"DUPLICADO","OK")))</f>
        <v/>
      </c>
      <c r="L475" s="41" t="n"/>
      <c r="M475" s="41" t="n"/>
      <c r="N475" s="42">
        <f>IF($M475="","",IFERROR(INDEX(LISTAS!$F$3:$F$42,MATCH($M475,LISTAS!$E$3:$E$42,0)),"Por definir"))</f>
        <v/>
      </c>
      <c r="O475" s="41" t="n"/>
      <c r="P475" s="39">
        <f>IF($L475="","",IFERROR(INDEX(LISTAS!$B$3:$B$42,MATCH($L475,LISTAS!$A$3:$A$42,0)),"Media"))</f>
        <v/>
      </c>
      <c r="Q475" s="44" t="n"/>
      <c r="R475" s="45" t="n"/>
      <c r="S475" s="20">
        <f>IFERROR(IF(OR($R475="",$C475=""),"",$R475/INDEX(DESPACHOS!$M$3:$M$3002,MATCH($C475,DESPACHOS!$B$3:$B$3002,0))),"")</f>
        <v/>
      </c>
      <c r="T475" s="41" t="n"/>
      <c r="U475" s="43">
        <f>IF(OR($B475="",$L475=""),"",WORKDAY($B475,IFERROR(INDEX(LISTAS!$C$3:$C$42,MATCH($L475,LISTAS!$A$3:$A$42,0)),3)))</f>
        <v/>
      </c>
      <c r="V475" s="40" t="n"/>
      <c r="W475" s="19">
        <f>IF($B475="","",IF($V475&lt;&gt;"",$V475-$B475,TODAY()-$B475))</f>
        <v/>
      </c>
      <c r="X475" s="19">
        <f>IF(OR($B475="",$U475=""),"",IF($V475&lt;&gt;"",MAX(0,$V475-$U475),MAX(0,TODAY()-$U475)))</f>
        <v/>
      </c>
      <c r="Y475" s="39">
        <f>IF($C475="","",IF(IFERROR(INDEX(LISTAS!$I$3:$I$42,MATCH($T475,LISTAS!$H$3:$H$42,0)),"NO")="SÍ",IF(N($X475)&gt;0,"CERRADA FUERA DE SLA","CERRADA EN SLA"),IF($U475="","SIN CLASIFICAR",IF(N($X475)&gt;0,"VENCIDA",IF(TODAY()&gt;=$U475-1,"POR VENCER","EN PLAZO")))))</f>
        <v/>
      </c>
      <c r="Z475" s="41" t="n"/>
      <c r="AA475" s="41" t="n"/>
      <c r="AB475" s="41" t="n"/>
    </row>
    <row r="476">
      <c r="A476" s="39">
        <f>IF($C476="","","NOV-"&amp;TEXT(ROW()-3,"0000"))</f>
        <v/>
      </c>
      <c r="B476" s="40" t="n"/>
      <c r="C476" s="41" t="n"/>
      <c r="D476" s="42">
        <f>IF($C476="","",IFERROR(INDEX(DESPACHOS!$D$3:$D$3002,MATCH($C476,DESPACHOS!$B$3:$B$3002,0)),"SIN DESPACHO"))</f>
        <v/>
      </c>
      <c r="E476" s="42">
        <f>IF($C476="","",IFERROR(INDEX(DESPACHOS!$K$3:$K$3002,MATCH($C476,DESPACHOS!$B$3:$B$3002,0)),""))</f>
        <v/>
      </c>
      <c r="F476" s="42">
        <f>IF($C476="","",IFERROR(INDEX(DESPACHOS!$I$3:$I$3002,MATCH($C476,DESPACHOS!$B$3:$B$3002,0)),""))</f>
        <v/>
      </c>
      <c r="G476" s="42">
        <f>IF($C476="","",IFERROR(INDEX(DESPACHOS!$F$3:$F$3002,MATCH($C476,DESPACHOS!$B$3:$B$3002,0)),""))</f>
        <v/>
      </c>
      <c r="H476" s="42">
        <f>IF($C476="","",IFERROR(INDEX(DESPACHOS!$G$3:$G$3002,MATCH($C476,DESPACHOS!$B$3:$B$3002,0)),""))</f>
        <v/>
      </c>
      <c r="I476" s="39">
        <f>IF($C476="","",IFERROR(INDEX(DESPACHOS!$H$3:$H$3002,MATCH($C476,DESPACHOS!$B$3:$B$3002,0)),""))</f>
        <v/>
      </c>
      <c r="J476" s="43">
        <f>IF($C476="","",IFERROR(INDEX(DESPACHOS!$J$3:$J$3002,MATCH($C476,DESPACHOS!$B$3:$B$3002,0)),""))</f>
        <v/>
      </c>
      <c r="K476" s="39">
        <f>IF($C476="","",IF(COUNTIFS(DESPACHOS!$B$3:$B$3002,$C476)=0,"NO EXISTE",IF(COUNTIFS(DESPACHOS!$B$3:$B$3002,$C476)&gt;1,"DUPLICADO","OK")))</f>
        <v/>
      </c>
      <c r="L476" s="41" t="n"/>
      <c r="M476" s="41" t="n"/>
      <c r="N476" s="42">
        <f>IF($M476="","",IFERROR(INDEX(LISTAS!$F$3:$F$42,MATCH($M476,LISTAS!$E$3:$E$42,0)),"Por definir"))</f>
        <v/>
      </c>
      <c r="O476" s="41" t="n"/>
      <c r="P476" s="39">
        <f>IF($L476="","",IFERROR(INDEX(LISTAS!$B$3:$B$42,MATCH($L476,LISTAS!$A$3:$A$42,0)),"Media"))</f>
        <v/>
      </c>
      <c r="Q476" s="44" t="n"/>
      <c r="R476" s="45" t="n"/>
      <c r="S476" s="20">
        <f>IFERROR(IF(OR($R476="",$C476=""),"",$R476/INDEX(DESPACHOS!$M$3:$M$3002,MATCH($C476,DESPACHOS!$B$3:$B$3002,0))),"")</f>
        <v/>
      </c>
      <c r="T476" s="41" t="n"/>
      <c r="U476" s="43">
        <f>IF(OR($B476="",$L476=""),"",WORKDAY($B476,IFERROR(INDEX(LISTAS!$C$3:$C$42,MATCH($L476,LISTAS!$A$3:$A$42,0)),3)))</f>
        <v/>
      </c>
      <c r="V476" s="40" t="n"/>
      <c r="W476" s="19">
        <f>IF($B476="","",IF($V476&lt;&gt;"",$V476-$B476,TODAY()-$B476))</f>
        <v/>
      </c>
      <c r="X476" s="19">
        <f>IF(OR($B476="",$U476=""),"",IF($V476&lt;&gt;"",MAX(0,$V476-$U476),MAX(0,TODAY()-$U476)))</f>
        <v/>
      </c>
      <c r="Y476" s="39">
        <f>IF($C476="","",IF(IFERROR(INDEX(LISTAS!$I$3:$I$42,MATCH($T476,LISTAS!$H$3:$H$42,0)),"NO")="SÍ",IF(N($X476)&gt;0,"CERRADA FUERA DE SLA","CERRADA EN SLA"),IF($U476="","SIN CLASIFICAR",IF(N($X476)&gt;0,"VENCIDA",IF(TODAY()&gt;=$U476-1,"POR VENCER","EN PLAZO")))))</f>
        <v/>
      </c>
      <c r="Z476" s="41" t="n"/>
      <c r="AA476" s="41" t="n"/>
      <c r="AB476" s="41" t="n"/>
    </row>
    <row r="477">
      <c r="A477" s="39">
        <f>IF($C477="","","NOV-"&amp;TEXT(ROW()-3,"0000"))</f>
        <v/>
      </c>
      <c r="B477" s="40" t="n"/>
      <c r="C477" s="41" t="n"/>
      <c r="D477" s="42">
        <f>IF($C477="","",IFERROR(INDEX(DESPACHOS!$D$3:$D$3002,MATCH($C477,DESPACHOS!$B$3:$B$3002,0)),"SIN DESPACHO"))</f>
        <v/>
      </c>
      <c r="E477" s="42">
        <f>IF($C477="","",IFERROR(INDEX(DESPACHOS!$K$3:$K$3002,MATCH($C477,DESPACHOS!$B$3:$B$3002,0)),""))</f>
        <v/>
      </c>
      <c r="F477" s="42">
        <f>IF($C477="","",IFERROR(INDEX(DESPACHOS!$I$3:$I$3002,MATCH($C477,DESPACHOS!$B$3:$B$3002,0)),""))</f>
        <v/>
      </c>
      <c r="G477" s="42">
        <f>IF($C477="","",IFERROR(INDEX(DESPACHOS!$F$3:$F$3002,MATCH($C477,DESPACHOS!$B$3:$B$3002,0)),""))</f>
        <v/>
      </c>
      <c r="H477" s="42">
        <f>IF($C477="","",IFERROR(INDEX(DESPACHOS!$G$3:$G$3002,MATCH($C477,DESPACHOS!$B$3:$B$3002,0)),""))</f>
        <v/>
      </c>
      <c r="I477" s="39">
        <f>IF($C477="","",IFERROR(INDEX(DESPACHOS!$H$3:$H$3002,MATCH($C477,DESPACHOS!$B$3:$B$3002,0)),""))</f>
        <v/>
      </c>
      <c r="J477" s="43">
        <f>IF($C477="","",IFERROR(INDEX(DESPACHOS!$J$3:$J$3002,MATCH($C477,DESPACHOS!$B$3:$B$3002,0)),""))</f>
        <v/>
      </c>
      <c r="K477" s="39">
        <f>IF($C477="","",IF(COUNTIFS(DESPACHOS!$B$3:$B$3002,$C477)=0,"NO EXISTE",IF(COUNTIFS(DESPACHOS!$B$3:$B$3002,$C477)&gt;1,"DUPLICADO","OK")))</f>
        <v/>
      </c>
      <c r="L477" s="41" t="n"/>
      <c r="M477" s="41" t="n"/>
      <c r="N477" s="42">
        <f>IF($M477="","",IFERROR(INDEX(LISTAS!$F$3:$F$42,MATCH($M477,LISTAS!$E$3:$E$42,0)),"Por definir"))</f>
        <v/>
      </c>
      <c r="O477" s="41" t="n"/>
      <c r="P477" s="39">
        <f>IF($L477="","",IFERROR(INDEX(LISTAS!$B$3:$B$42,MATCH($L477,LISTAS!$A$3:$A$42,0)),"Media"))</f>
        <v/>
      </c>
      <c r="Q477" s="44" t="n"/>
      <c r="R477" s="45" t="n"/>
      <c r="S477" s="20">
        <f>IFERROR(IF(OR($R477="",$C477=""),"",$R477/INDEX(DESPACHOS!$M$3:$M$3002,MATCH($C477,DESPACHOS!$B$3:$B$3002,0))),"")</f>
        <v/>
      </c>
      <c r="T477" s="41" t="n"/>
      <c r="U477" s="43">
        <f>IF(OR($B477="",$L477=""),"",WORKDAY($B477,IFERROR(INDEX(LISTAS!$C$3:$C$42,MATCH($L477,LISTAS!$A$3:$A$42,0)),3)))</f>
        <v/>
      </c>
      <c r="V477" s="40" t="n"/>
      <c r="W477" s="19">
        <f>IF($B477="","",IF($V477&lt;&gt;"",$V477-$B477,TODAY()-$B477))</f>
        <v/>
      </c>
      <c r="X477" s="19">
        <f>IF(OR($B477="",$U477=""),"",IF($V477&lt;&gt;"",MAX(0,$V477-$U477),MAX(0,TODAY()-$U477)))</f>
        <v/>
      </c>
      <c r="Y477" s="39">
        <f>IF($C477="","",IF(IFERROR(INDEX(LISTAS!$I$3:$I$42,MATCH($T477,LISTAS!$H$3:$H$42,0)),"NO")="SÍ",IF(N($X477)&gt;0,"CERRADA FUERA DE SLA","CERRADA EN SLA"),IF($U477="","SIN CLASIFICAR",IF(N($X477)&gt;0,"VENCIDA",IF(TODAY()&gt;=$U477-1,"POR VENCER","EN PLAZO")))))</f>
        <v/>
      </c>
      <c r="Z477" s="41" t="n"/>
      <c r="AA477" s="41" t="n"/>
      <c r="AB477" s="41" t="n"/>
    </row>
    <row r="478">
      <c r="A478" s="39">
        <f>IF($C478="","","NOV-"&amp;TEXT(ROW()-3,"0000"))</f>
        <v/>
      </c>
      <c r="B478" s="40" t="n"/>
      <c r="C478" s="41" t="n"/>
      <c r="D478" s="42">
        <f>IF($C478="","",IFERROR(INDEX(DESPACHOS!$D$3:$D$3002,MATCH($C478,DESPACHOS!$B$3:$B$3002,0)),"SIN DESPACHO"))</f>
        <v/>
      </c>
      <c r="E478" s="42">
        <f>IF($C478="","",IFERROR(INDEX(DESPACHOS!$K$3:$K$3002,MATCH($C478,DESPACHOS!$B$3:$B$3002,0)),""))</f>
        <v/>
      </c>
      <c r="F478" s="42">
        <f>IF($C478="","",IFERROR(INDEX(DESPACHOS!$I$3:$I$3002,MATCH($C478,DESPACHOS!$B$3:$B$3002,0)),""))</f>
        <v/>
      </c>
      <c r="G478" s="42">
        <f>IF($C478="","",IFERROR(INDEX(DESPACHOS!$F$3:$F$3002,MATCH($C478,DESPACHOS!$B$3:$B$3002,0)),""))</f>
        <v/>
      </c>
      <c r="H478" s="42">
        <f>IF($C478="","",IFERROR(INDEX(DESPACHOS!$G$3:$G$3002,MATCH($C478,DESPACHOS!$B$3:$B$3002,0)),""))</f>
        <v/>
      </c>
      <c r="I478" s="39">
        <f>IF($C478="","",IFERROR(INDEX(DESPACHOS!$H$3:$H$3002,MATCH($C478,DESPACHOS!$B$3:$B$3002,0)),""))</f>
        <v/>
      </c>
      <c r="J478" s="43">
        <f>IF($C478="","",IFERROR(INDEX(DESPACHOS!$J$3:$J$3002,MATCH($C478,DESPACHOS!$B$3:$B$3002,0)),""))</f>
        <v/>
      </c>
      <c r="K478" s="39">
        <f>IF($C478="","",IF(COUNTIFS(DESPACHOS!$B$3:$B$3002,$C478)=0,"NO EXISTE",IF(COUNTIFS(DESPACHOS!$B$3:$B$3002,$C478)&gt;1,"DUPLICADO","OK")))</f>
        <v/>
      </c>
      <c r="L478" s="41" t="n"/>
      <c r="M478" s="41" t="n"/>
      <c r="N478" s="42">
        <f>IF($M478="","",IFERROR(INDEX(LISTAS!$F$3:$F$42,MATCH($M478,LISTAS!$E$3:$E$42,0)),"Por definir"))</f>
        <v/>
      </c>
      <c r="O478" s="41" t="n"/>
      <c r="P478" s="39">
        <f>IF($L478="","",IFERROR(INDEX(LISTAS!$B$3:$B$42,MATCH($L478,LISTAS!$A$3:$A$42,0)),"Media"))</f>
        <v/>
      </c>
      <c r="Q478" s="44" t="n"/>
      <c r="R478" s="45" t="n"/>
      <c r="S478" s="20">
        <f>IFERROR(IF(OR($R478="",$C478=""),"",$R478/INDEX(DESPACHOS!$M$3:$M$3002,MATCH($C478,DESPACHOS!$B$3:$B$3002,0))),"")</f>
        <v/>
      </c>
      <c r="T478" s="41" t="n"/>
      <c r="U478" s="43">
        <f>IF(OR($B478="",$L478=""),"",WORKDAY($B478,IFERROR(INDEX(LISTAS!$C$3:$C$42,MATCH($L478,LISTAS!$A$3:$A$42,0)),3)))</f>
        <v/>
      </c>
      <c r="V478" s="40" t="n"/>
      <c r="W478" s="19">
        <f>IF($B478="","",IF($V478&lt;&gt;"",$V478-$B478,TODAY()-$B478))</f>
        <v/>
      </c>
      <c r="X478" s="19">
        <f>IF(OR($B478="",$U478=""),"",IF($V478&lt;&gt;"",MAX(0,$V478-$U478),MAX(0,TODAY()-$U478)))</f>
        <v/>
      </c>
      <c r="Y478" s="39">
        <f>IF($C478="","",IF(IFERROR(INDEX(LISTAS!$I$3:$I$42,MATCH($T478,LISTAS!$H$3:$H$42,0)),"NO")="SÍ",IF(N($X478)&gt;0,"CERRADA FUERA DE SLA","CERRADA EN SLA"),IF($U478="","SIN CLASIFICAR",IF(N($X478)&gt;0,"VENCIDA",IF(TODAY()&gt;=$U478-1,"POR VENCER","EN PLAZO")))))</f>
        <v/>
      </c>
      <c r="Z478" s="41" t="n"/>
      <c r="AA478" s="41" t="n"/>
      <c r="AB478" s="41" t="n"/>
    </row>
    <row r="479">
      <c r="A479" s="39">
        <f>IF($C479="","","NOV-"&amp;TEXT(ROW()-3,"0000"))</f>
        <v/>
      </c>
      <c r="B479" s="40" t="n"/>
      <c r="C479" s="41" t="n"/>
      <c r="D479" s="42">
        <f>IF($C479="","",IFERROR(INDEX(DESPACHOS!$D$3:$D$3002,MATCH($C479,DESPACHOS!$B$3:$B$3002,0)),"SIN DESPACHO"))</f>
        <v/>
      </c>
      <c r="E479" s="42">
        <f>IF($C479="","",IFERROR(INDEX(DESPACHOS!$K$3:$K$3002,MATCH($C479,DESPACHOS!$B$3:$B$3002,0)),""))</f>
        <v/>
      </c>
      <c r="F479" s="42">
        <f>IF($C479="","",IFERROR(INDEX(DESPACHOS!$I$3:$I$3002,MATCH($C479,DESPACHOS!$B$3:$B$3002,0)),""))</f>
        <v/>
      </c>
      <c r="G479" s="42">
        <f>IF($C479="","",IFERROR(INDEX(DESPACHOS!$F$3:$F$3002,MATCH($C479,DESPACHOS!$B$3:$B$3002,0)),""))</f>
        <v/>
      </c>
      <c r="H479" s="42">
        <f>IF($C479="","",IFERROR(INDEX(DESPACHOS!$G$3:$G$3002,MATCH($C479,DESPACHOS!$B$3:$B$3002,0)),""))</f>
        <v/>
      </c>
      <c r="I479" s="39">
        <f>IF($C479="","",IFERROR(INDEX(DESPACHOS!$H$3:$H$3002,MATCH($C479,DESPACHOS!$B$3:$B$3002,0)),""))</f>
        <v/>
      </c>
      <c r="J479" s="43">
        <f>IF($C479="","",IFERROR(INDEX(DESPACHOS!$J$3:$J$3002,MATCH($C479,DESPACHOS!$B$3:$B$3002,0)),""))</f>
        <v/>
      </c>
      <c r="K479" s="39">
        <f>IF($C479="","",IF(COUNTIFS(DESPACHOS!$B$3:$B$3002,$C479)=0,"NO EXISTE",IF(COUNTIFS(DESPACHOS!$B$3:$B$3002,$C479)&gt;1,"DUPLICADO","OK")))</f>
        <v/>
      </c>
      <c r="L479" s="41" t="n"/>
      <c r="M479" s="41" t="n"/>
      <c r="N479" s="42">
        <f>IF($M479="","",IFERROR(INDEX(LISTAS!$F$3:$F$42,MATCH($M479,LISTAS!$E$3:$E$42,0)),"Por definir"))</f>
        <v/>
      </c>
      <c r="O479" s="41" t="n"/>
      <c r="P479" s="39">
        <f>IF($L479="","",IFERROR(INDEX(LISTAS!$B$3:$B$42,MATCH($L479,LISTAS!$A$3:$A$42,0)),"Media"))</f>
        <v/>
      </c>
      <c r="Q479" s="44" t="n"/>
      <c r="R479" s="45" t="n"/>
      <c r="S479" s="20">
        <f>IFERROR(IF(OR($R479="",$C479=""),"",$R479/INDEX(DESPACHOS!$M$3:$M$3002,MATCH($C479,DESPACHOS!$B$3:$B$3002,0))),"")</f>
        <v/>
      </c>
      <c r="T479" s="41" t="n"/>
      <c r="U479" s="43">
        <f>IF(OR($B479="",$L479=""),"",WORKDAY($B479,IFERROR(INDEX(LISTAS!$C$3:$C$42,MATCH($L479,LISTAS!$A$3:$A$42,0)),3)))</f>
        <v/>
      </c>
      <c r="V479" s="40" t="n"/>
      <c r="W479" s="19">
        <f>IF($B479="","",IF($V479&lt;&gt;"",$V479-$B479,TODAY()-$B479))</f>
        <v/>
      </c>
      <c r="X479" s="19">
        <f>IF(OR($B479="",$U479=""),"",IF($V479&lt;&gt;"",MAX(0,$V479-$U479),MAX(0,TODAY()-$U479)))</f>
        <v/>
      </c>
      <c r="Y479" s="39">
        <f>IF($C479="","",IF(IFERROR(INDEX(LISTAS!$I$3:$I$42,MATCH($T479,LISTAS!$H$3:$H$42,0)),"NO")="SÍ",IF(N($X479)&gt;0,"CERRADA FUERA DE SLA","CERRADA EN SLA"),IF($U479="","SIN CLASIFICAR",IF(N($X479)&gt;0,"VENCIDA",IF(TODAY()&gt;=$U479-1,"POR VENCER","EN PLAZO")))))</f>
        <v/>
      </c>
      <c r="Z479" s="41" t="n"/>
      <c r="AA479" s="41" t="n"/>
      <c r="AB479" s="41" t="n"/>
    </row>
    <row r="480">
      <c r="A480" s="39">
        <f>IF($C480="","","NOV-"&amp;TEXT(ROW()-3,"0000"))</f>
        <v/>
      </c>
      <c r="B480" s="40" t="n"/>
      <c r="C480" s="41" t="n"/>
      <c r="D480" s="42">
        <f>IF($C480="","",IFERROR(INDEX(DESPACHOS!$D$3:$D$3002,MATCH($C480,DESPACHOS!$B$3:$B$3002,0)),"SIN DESPACHO"))</f>
        <v/>
      </c>
      <c r="E480" s="42">
        <f>IF($C480="","",IFERROR(INDEX(DESPACHOS!$K$3:$K$3002,MATCH($C480,DESPACHOS!$B$3:$B$3002,0)),""))</f>
        <v/>
      </c>
      <c r="F480" s="42">
        <f>IF($C480="","",IFERROR(INDEX(DESPACHOS!$I$3:$I$3002,MATCH($C480,DESPACHOS!$B$3:$B$3002,0)),""))</f>
        <v/>
      </c>
      <c r="G480" s="42">
        <f>IF($C480="","",IFERROR(INDEX(DESPACHOS!$F$3:$F$3002,MATCH($C480,DESPACHOS!$B$3:$B$3002,0)),""))</f>
        <v/>
      </c>
      <c r="H480" s="42">
        <f>IF($C480="","",IFERROR(INDEX(DESPACHOS!$G$3:$G$3002,MATCH($C480,DESPACHOS!$B$3:$B$3002,0)),""))</f>
        <v/>
      </c>
      <c r="I480" s="39">
        <f>IF($C480="","",IFERROR(INDEX(DESPACHOS!$H$3:$H$3002,MATCH($C480,DESPACHOS!$B$3:$B$3002,0)),""))</f>
        <v/>
      </c>
      <c r="J480" s="43">
        <f>IF($C480="","",IFERROR(INDEX(DESPACHOS!$J$3:$J$3002,MATCH($C480,DESPACHOS!$B$3:$B$3002,0)),""))</f>
        <v/>
      </c>
      <c r="K480" s="39">
        <f>IF($C480="","",IF(COUNTIFS(DESPACHOS!$B$3:$B$3002,$C480)=0,"NO EXISTE",IF(COUNTIFS(DESPACHOS!$B$3:$B$3002,$C480)&gt;1,"DUPLICADO","OK")))</f>
        <v/>
      </c>
      <c r="L480" s="41" t="n"/>
      <c r="M480" s="41" t="n"/>
      <c r="N480" s="42">
        <f>IF($M480="","",IFERROR(INDEX(LISTAS!$F$3:$F$42,MATCH($M480,LISTAS!$E$3:$E$42,0)),"Por definir"))</f>
        <v/>
      </c>
      <c r="O480" s="41" t="n"/>
      <c r="P480" s="39">
        <f>IF($L480="","",IFERROR(INDEX(LISTAS!$B$3:$B$42,MATCH($L480,LISTAS!$A$3:$A$42,0)),"Media"))</f>
        <v/>
      </c>
      <c r="Q480" s="44" t="n"/>
      <c r="R480" s="45" t="n"/>
      <c r="S480" s="20">
        <f>IFERROR(IF(OR($R480="",$C480=""),"",$R480/INDEX(DESPACHOS!$M$3:$M$3002,MATCH($C480,DESPACHOS!$B$3:$B$3002,0))),"")</f>
        <v/>
      </c>
      <c r="T480" s="41" t="n"/>
      <c r="U480" s="43">
        <f>IF(OR($B480="",$L480=""),"",WORKDAY($B480,IFERROR(INDEX(LISTAS!$C$3:$C$42,MATCH($L480,LISTAS!$A$3:$A$42,0)),3)))</f>
        <v/>
      </c>
      <c r="V480" s="40" t="n"/>
      <c r="W480" s="19">
        <f>IF($B480="","",IF($V480&lt;&gt;"",$V480-$B480,TODAY()-$B480))</f>
        <v/>
      </c>
      <c r="X480" s="19">
        <f>IF(OR($B480="",$U480=""),"",IF($V480&lt;&gt;"",MAX(0,$V480-$U480),MAX(0,TODAY()-$U480)))</f>
        <v/>
      </c>
      <c r="Y480" s="39">
        <f>IF($C480="","",IF(IFERROR(INDEX(LISTAS!$I$3:$I$42,MATCH($T480,LISTAS!$H$3:$H$42,0)),"NO")="SÍ",IF(N($X480)&gt;0,"CERRADA FUERA DE SLA","CERRADA EN SLA"),IF($U480="","SIN CLASIFICAR",IF(N($X480)&gt;0,"VENCIDA",IF(TODAY()&gt;=$U480-1,"POR VENCER","EN PLAZO")))))</f>
        <v/>
      </c>
      <c r="Z480" s="41" t="n"/>
      <c r="AA480" s="41" t="n"/>
      <c r="AB480" s="41" t="n"/>
    </row>
    <row r="481">
      <c r="A481" s="39">
        <f>IF($C481="","","NOV-"&amp;TEXT(ROW()-3,"0000"))</f>
        <v/>
      </c>
      <c r="B481" s="40" t="n"/>
      <c r="C481" s="41" t="n"/>
      <c r="D481" s="42">
        <f>IF($C481="","",IFERROR(INDEX(DESPACHOS!$D$3:$D$3002,MATCH($C481,DESPACHOS!$B$3:$B$3002,0)),"SIN DESPACHO"))</f>
        <v/>
      </c>
      <c r="E481" s="42">
        <f>IF($C481="","",IFERROR(INDEX(DESPACHOS!$K$3:$K$3002,MATCH($C481,DESPACHOS!$B$3:$B$3002,0)),""))</f>
        <v/>
      </c>
      <c r="F481" s="42">
        <f>IF($C481="","",IFERROR(INDEX(DESPACHOS!$I$3:$I$3002,MATCH($C481,DESPACHOS!$B$3:$B$3002,0)),""))</f>
        <v/>
      </c>
      <c r="G481" s="42">
        <f>IF($C481="","",IFERROR(INDEX(DESPACHOS!$F$3:$F$3002,MATCH($C481,DESPACHOS!$B$3:$B$3002,0)),""))</f>
        <v/>
      </c>
      <c r="H481" s="42">
        <f>IF($C481="","",IFERROR(INDEX(DESPACHOS!$G$3:$G$3002,MATCH($C481,DESPACHOS!$B$3:$B$3002,0)),""))</f>
        <v/>
      </c>
      <c r="I481" s="39">
        <f>IF($C481="","",IFERROR(INDEX(DESPACHOS!$H$3:$H$3002,MATCH($C481,DESPACHOS!$B$3:$B$3002,0)),""))</f>
        <v/>
      </c>
      <c r="J481" s="43">
        <f>IF($C481="","",IFERROR(INDEX(DESPACHOS!$J$3:$J$3002,MATCH($C481,DESPACHOS!$B$3:$B$3002,0)),""))</f>
        <v/>
      </c>
      <c r="K481" s="39">
        <f>IF($C481="","",IF(COUNTIFS(DESPACHOS!$B$3:$B$3002,$C481)=0,"NO EXISTE",IF(COUNTIFS(DESPACHOS!$B$3:$B$3002,$C481)&gt;1,"DUPLICADO","OK")))</f>
        <v/>
      </c>
      <c r="L481" s="41" t="n"/>
      <c r="M481" s="41" t="n"/>
      <c r="N481" s="42">
        <f>IF($M481="","",IFERROR(INDEX(LISTAS!$F$3:$F$42,MATCH($M481,LISTAS!$E$3:$E$42,0)),"Por definir"))</f>
        <v/>
      </c>
      <c r="O481" s="41" t="n"/>
      <c r="P481" s="39">
        <f>IF($L481="","",IFERROR(INDEX(LISTAS!$B$3:$B$42,MATCH($L481,LISTAS!$A$3:$A$42,0)),"Media"))</f>
        <v/>
      </c>
      <c r="Q481" s="44" t="n"/>
      <c r="R481" s="45" t="n"/>
      <c r="S481" s="20">
        <f>IFERROR(IF(OR($R481="",$C481=""),"",$R481/INDEX(DESPACHOS!$M$3:$M$3002,MATCH($C481,DESPACHOS!$B$3:$B$3002,0))),"")</f>
        <v/>
      </c>
      <c r="T481" s="41" t="n"/>
      <c r="U481" s="43">
        <f>IF(OR($B481="",$L481=""),"",WORKDAY($B481,IFERROR(INDEX(LISTAS!$C$3:$C$42,MATCH($L481,LISTAS!$A$3:$A$42,0)),3)))</f>
        <v/>
      </c>
      <c r="V481" s="40" t="n"/>
      <c r="W481" s="19">
        <f>IF($B481="","",IF($V481&lt;&gt;"",$V481-$B481,TODAY()-$B481))</f>
        <v/>
      </c>
      <c r="X481" s="19">
        <f>IF(OR($B481="",$U481=""),"",IF($V481&lt;&gt;"",MAX(0,$V481-$U481),MAX(0,TODAY()-$U481)))</f>
        <v/>
      </c>
      <c r="Y481" s="39">
        <f>IF($C481="","",IF(IFERROR(INDEX(LISTAS!$I$3:$I$42,MATCH($T481,LISTAS!$H$3:$H$42,0)),"NO")="SÍ",IF(N($X481)&gt;0,"CERRADA FUERA DE SLA","CERRADA EN SLA"),IF($U481="","SIN CLASIFICAR",IF(N($X481)&gt;0,"VENCIDA",IF(TODAY()&gt;=$U481-1,"POR VENCER","EN PLAZO")))))</f>
        <v/>
      </c>
      <c r="Z481" s="41" t="n"/>
      <c r="AA481" s="41" t="n"/>
      <c r="AB481" s="41" t="n"/>
    </row>
    <row r="482">
      <c r="A482" s="39">
        <f>IF($C482="","","NOV-"&amp;TEXT(ROW()-3,"0000"))</f>
        <v/>
      </c>
      <c r="B482" s="40" t="n"/>
      <c r="C482" s="41" t="n"/>
      <c r="D482" s="42">
        <f>IF($C482="","",IFERROR(INDEX(DESPACHOS!$D$3:$D$3002,MATCH($C482,DESPACHOS!$B$3:$B$3002,0)),"SIN DESPACHO"))</f>
        <v/>
      </c>
      <c r="E482" s="42">
        <f>IF($C482="","",IFERROR(INDEX(DESPACHOS!$K$3:$K$3002,MATCH($C482,DESPACHOS!$B$3:$B$3002,0)),""))</f>
        <v/>
      </c>
      <c r="F482" s="42">
        <f>IF($C482="","",IFERROR(INDEX(DESPACHOS!$I$3:$I$3002,MATCH($C482,DESPACHOS!$B$3:$B$3002,0)),""))</f>
        <v/>
      </c>
      <c r="G482" s="42">
        <f>IF($C482="","",IFERROR(INDEX(DESPACHOS!$F$3:$F$3002,MATCH($C482,DESPACHOS!$B$3:$B$3002,0)),""))</f>
        <v/>
      </c>
      <c r="H482" s="42">
        <f>IF($C482="","",IFERROR(INDEX(DESPACHOS!$G$3:$G$3002,MATCH($C482,DESPACHOS!$B$3:$B$3002,0)),""))</f>
        <v/>
      </c>
      <c r="I482" s="39">
        <f>IF($C482="","",IFERROR(INDEX(DESPACHOS!$H$3:$H$3002,MATCH($C482,DESPACHOS!$B$3:$B$3002,0)),""))</f>
        <v/>
      </c>
      <c r="J482" s="43">
        <f>IF($C482="","",IFERROR(INDEX(DESPACHOS!$J$3:$J$3002,MATCH($C482,DESPACHOS!$B$3:$B$3002,0)),""))</f>
        <v/>
      </c>
      <c r="K482" s="39">
        <f>IF($C482="","",IF(COUNTIFS(DESPACHOS!$B$3:$B$3002,$C482)=0,"NO EXISTE",IF(COUNTIFS(DESPACHOS!$B$3:$B$3002,$C482)&gt;1,"DUPLICADO","OK")))</f>
        <v/>
      </c>
      <c r="L482" s="41" t="n"/>
      <c r="M482" s="41" t="n"/>
      <c r="N482" s="42">
        <f>IF($M482="","",IFERROR(INDEX(LISTAS!$F$3:$F$42,MATCH($M482,LISTAS!$E$3:$E$42,0)),"Por definir"))</f>
        <v/>
      </c>
      <c r="O482" s="41" t="n"/>
      <c r="P482" s="39">
        <f>IF($L482="","",IFERROR(INDEX(LISTAS!$B$3:$B$42,MATCH($L482,LISTAS!$A$3:$A$42,0)),"Media"))</f>
        <v/>
      </c>
      <c r="Q482" s="44" t="n"/>
      <c r="R482" s="45" t="n"/>
      <c r="S482" s="20">
        <f>IFERROR(IF(OR($R482="",$C482=""),"",$R482/INDEX(DESPACHOS!$M$3:$M$3002,MATCH($C482,DESPACHOS!$B$3:$B$3002,0))),"")</f>
        <v/>
      </c>
      <c r="T482" s="41" t="n"/>
      <c r="U482" s="43">
        <f>IF(OR($B482="",$L482=""),"",WORKDAY($B482,IFERROR(INDEX(LISTAS!$C$3:$C$42,MATCH($L482,LISTAS!$A$3:$A$42,0)),3)))</f>
        <v/>
      </c>
      <c r="V482" s="40" t="n"/>
      <c r="W482" s="19">
        <f>IF($B482="","",IF($V482&lt;&gt;"",$V482-$B482,TODAY()-$B482))</f>
        <v/>
      </c>
      <c r="X482" s="19">
        <f>IF(OR($B482="",$U482=""),"",IF($V482&lt;&gt;"",MAX(0,$V482-$U482),MAX(0,TODAY()-$U482)))</f>
        <v/>
      </c>
      <c r="Y482" s="39">
        <f>IF($C482="","",IF(IFERROR(INDEX(LISTAS!$I$3:$I$42,MATCH($T482,LISTAS!$H$3:$H$42,0)),"NO")="SÍ",IF(N($X482)&gt;0,"CERRADA FUERA DE SLA","CERRADA EN SLA"),IF($U482="","SIN CLASIFICAR",IF(N($X482)&gt;0,"VENCIDA",IF(TODAY()&gt;=$U482-1,"POR VENCER","EN PLAZO")))))</f>
        <v/>
      </c>
      <c r="Z482" s="41" t="n"/>
      <c r="AA482" s="41" t="n"/>
      <c r="AB482" s="41" t="n"/>
    </row>
    <row r="483">
      <c r="A483" s="39">
        <f>IF($C483="","","NOV-"&amp;TEXT(ROW()-3,"0000"))</f>
        <v/>
      </c>
      <c r="B483" s="40" t="n"/>
      <c r="C483" s="41" t="n"/>
      <c r="D483" s="42">
        <f>IF($C483="","",IFERROR(INDEX(DESPACHOS!$D$3:$D$3002,MATCH($C483,DESPACHOS!$B$3:$B$3002,0)),"SIN DESPACHO"))</f>
        <v/>
      </c>
      <c r="E483" s="42">
        <f>IF($C483="","",IFERROR(INDEX(DESPACHOS!$K$3:$K$3002,MATCH($C483,DESPACHOS!$B$3:$B$3002,0)),""))</f>
        <v/>
      </c>
      <c r="F483" s="42">
        <f>IF($C483="","",IFERROR(INDEX(DESPACHOS!$I$3:$I$3002,MATCH($C483,DESPACHOS!$B$3:$B$3002,0)),""))</f>
        <v/>
      </c>
      <c r="G483" s="42">
        <f>IF($C483="","",IFERROR(INDEX(DESPACHOS!$F$3:$F$3002,MATCH($C483,DESPACHOS!$B$3:$B$3002,0)),""))</f>
        <v/>
      </c>
      <c r="H483" s="42">
        <f>IF($C483="","",IFERROR(INDEX(DESPACHOS!$G$3:$G$3002,MATCH($C483,DESPACHOS!$B$3:$B$3002,0)),""))</f>
        <v/>
      </c>
      <c r="I483" s="39">
        <f>IF($C483="","",IFERROR(INDEX(DESPACHOS!$H$3:$H$3002,MATCH($C483,DESPACHOS!$B$3:$B$3002,0)),""))</f>
        <v/>
      </c>
      <c r="J483" s="43">
        <f>IF($C483="","",IFERROR(INDEX(DESPACHOS!$J$3:$J$3002,MATCH($C483,DESPACHOS!$B$3:$B$3002,0)),""))</f>
        <v/>
      </c>
      <c r="K483" s="39">
        <f>IF($C483="","",IF(COUNTIFS(DESPACHOS!$B$3:$B$3002,$C483)=0,"NO EXISTE",IF(COUNTIFS(DESPACHOS!$B$3:$B$3002,$C483)&gt;1,"DUPLICADO","OK")))</f>
        <v/>
      </c>
      <c r="L483" s="41" t="n"/>
      <c r="M483" s="41" t="n"/>
      <c r="N483" s="42">
        <f>IF($M483="","",IFERROR(INDEX(LISTAS!$F$3:$F$42,MATCH($M483,LISTAS!$E$3:$E$42,0)),"Por definir"))</f>
        <v/>
      </c>
      <c r="O483" s="41" t="n"/>
      <c r="P483" s="39">
        <f>IF($L483="","",IFERROR(INDEX(LISTAS!$B$3:$B$42,MATCH($L483,LISTAS!$A$3:$A$42,0)),"Media"))</f>
        <v/>
      </c>
      <c r="Q483" s="44" t="n"/>
      <c r="R483" s="45" t="n"/>
      <c r="S483" s="20">
        <f>IFERROR(IF(OR($R483="",$C483=""),"",$R483/INDEX(DESPACHOS!$M$3:$M$3002,MATCH($C483,DESPACHOS!$B$3:$B$3002,0))),"")</f>
        <v/>
      </c>
      <c r="T483" s="41" t="n"/>
      <c r="U483" s="43">
        <f>IF(OR($B483="",$L483=""),"",WORKDAY($B483,IFERROR(INDEX(LISTAS!$C$3:$C$42,MATCH($L483,LISTAS!$A$3:$A$42,0)),3)))</f>
        <v/>
      </c>
      <c r="V483" s="40" t="n"/>
      <c r="W483" s="19">
        <f>IF($B483="","",IF($V483&lt;&gt;"",$V483-$B483,TODAY()-$B483))</f>
        <v/>
      </c>
      <c r="X483" s="19">
        <f>IF(OR($B483="",$U483=""),"",IF($V483&lt;&gt;"",MAX(0,$V483-$U483),MAX(0,TODAY()-$U483)))</f>
        <v/>
      </c>
      <c r="Y483" s="39">
        <f>IF($C483="","",IF(IFERROR(INDEX(LISTAS!$I$3:$I$42,MATCH($T483,LISTAS!$H$3:$H$42,0)),"NO")="SÍ",IF(N($X483)&gt;0,"CERRADA FUERA DE SLA","CERRADA EN SLA"),IF($U483="","SIN CLASIFICAR",IF(N($X483)&gt;0,"VENCIDA",IF(TODAY()&gt;=$U483-1,"POR VENCER","EN PLAZO")))))</f>
        <v/>
      </c>
      <c r="Z483" s="41" t="n"/>
      <c r="AA483" s="41" t="n"/>
      <c r="AB483" s="41" t="n"/>
    </row>
    <row r="484">
      <c r="A484" s="39">
        <f>IF($C484="","","NOV-"&amp;TEXT(ROW()-3,"0000"))</f>
        <v/>
      </c>
      <c r="B484" s="40" t="n"/>
      <c r="C484" s="41" t="n"/>
      <c r="D484" s="42">
        <f>IF($C484="","",IFERROR(INDEX(DESPACHOS!$D$3:$D$3002,MATCH($C484,DESPACHOS!$B$3:$B$3002,0)),"SIN DESPACHO"))</f>
        <v/>
      </c>
      <c r="E484" s="42">
        <f>IF($C484="","",IFERROR(INDEX(DESPACHOS!$K$3:$K$3002,MATCH($C484,DESPACHOS!$B$3:$B$3002,0)),""))</f>
        <v/>
      </c>
      <c r="F484" s="42">
        <f>IF($C484="","",IFERROR(INDEX(DESPACHOS!$I$3:$I$3002,MATCH($C484,DESPACHOS!$B$3:$B$3002,0)),""))</f>
        <v/>
      </c>
      <c r="G484" s="42">
        <f>IF($C484="","",IFERROR(INDEX(DESPACHOS!$F$3:$F$3002,MATCH($C484,DESPACHOS!$B$3:$B$3002,0)),""))</f>
        <v/>
      </c>
      <c r="H484" s="42">
        <f>IF($C484="","",IFERROR(INDEX(DESPACHOS!$G$3:$G$3002,MATCH($C484,DESPACHOS!$B$3:$B$3002,0)),""))</f>
        <v/>
      </c>
      <c r="I484" s="39">
        <f>IF($C484="","",IFERROR(INDEX(DESPACHOS!$H$3:$H$3002,MATCH($C484,DESPACHOS!$B$3:$B$3002,0)),""))</f>
        <v/>
      </c>
      <c r="J484" s="43">
        <f>IF($C484="","",IFERROR(INDEX(DESPACHOS!$J$3:$J$3002,MATCH($C484,DESPACHOS!$B$3:$B$3002,0)),""))</f>
        <v/>
      </c>
      <c r="K484" s="39">
        <f>IF($C484="","",IF(COUNTIFS(DESPACHOS!$B$3:$B$3002,$C484)=0,"NO EXISTE",IF(COUNTIFS(DESPACHOS!$B$3:$B$3002,$C484)&gt;1,"DUPLICADO","OK")))</f>
        <v/>
      </c>
      <c r="L484" s="41" t="n"/>
      <c r="M484" s="41" t="n"/>
      <c r="N484" s="42">
        <f>IF($M484="","",IFERROR(INDEX(LISTAS!$F$3:$F$42,MATCH($M484,LISTAS!$E$3:$E$42,0)),"Por definir"))</f>
        <v/>
      </c>
      <c r="O484" s="41" t="n"/>
      <c r="P484" s="39">
        <f>IF($L484="","",IFERROR(INDEX(LISTAS!$B$3:$B$42,MATCH($L484,LISTAS!$A$3:$A$42,0)),"Media"))</f>
        <v/>
      </c>
      <c r="Q484" s="44" t="n"/>
      <c r="R484" s="45" t="n"/>
      <c r="S484" s="20">
        <f>IFERROR(IF(OR($R484="",$C484=""),"",$R484/INDEX(DESPACHOS!$M$3:$M$3002,MATCH($C484,DESPACHOS!$B$3:$B$3002,0))),"")</f>
        <v/>
      </c>
      <c r="T484" s="41" t="n"/>
      <c r="U484" s="43">
        <f>IF(OR($B484="",$L484=""),"",WORKDAY($B484,IFERROR(INDEX(LISTAS!$C$3:$C$42,MATCH($L484,LISTAS!$A$3:$A$42,0)),3)))</f>
        <v/>
      </c>
      <c r="V484" s="40" t="n"/>
      <c r="W484" s="19">
        <f>IF($B484="","",IF($V484&lt;&gt;"",$V484-$B484,TODAY()-$B484))</f>
        <v/>
      </c>
      <c r="X484" s="19">
        <f>IF(OR($B484="",$U484=""),"",IF($V484&lt;&gt;"",MAX(0,$V484-$U484),MAX(0,TODAY()-$U484)))</f>
        <v/>
      </c>
      <c r="Y484" s="39">
        <f>IF($C484="","",IF(IFERROR(INDEX(LISTAS!$I$3:$I$42,MATCH($T484,LISTAS!$H$3:$H$42,0)),"NO")="SÍ",IF(N($X484)&gt;0,"CERRADA FUERA DE SLA","CERRADA EN SLA"),IF($U484="","SIN CLASIFICAR",IF(N($X484)&gt;0,"VENCIDA",IF(TODAY()&gt;=$U484-1,"POR VENCER","EN PLAZO")))))</f>
        <v/>
      </c>
      <c r="Z484" s="41" t="n"/>
      <c r="AA484" s="41" t="n"/>
      <c r="AB484" s="41" t="n"/>
    </row>
    <row r="485">
      <c r="A485" s="39">
        <f>IF($C485="","","NOV-"&amp;TEXT(ROW()-3,"0000"))</f>
        <v/>
      </c>
      <c r="B485" s="40" t="n"/>
      <c r="C485" s="41" t="n"/>
      <c r="D485" s="42">
        <f>IF($C485="","",IFERROR(INDEX(DESPACHOS!$D$3:$D$3002,MATCH($C485,DESPACHOS!$B$3:$B$3002,0)),"SIN DESPACHO"))</f>
        <v/>
      </c>
      <c r="E485" s="42">
        <f>IF($C485="","",IFERROR(INDEX(DESPACHOS!$K$3:$K$3002,MATCH($C485,DESPACHOS!$B$3:$B$3002,0)),""))</f>
        <v/>
      </c>
      <c r="F485" s="42">
        <f>IF($C485="","",IFERROR(INDEX(DESPACHOS!$I$3:$I$3002,MATCH($C485,DESPACHOS!$B$3:$B$3002,0)),""))</f>
        <v/>
      </c>
      <c r="G485" s="42">
        <f>IF($C485="","",IFERROR(INDEX(DESPACHOS!$F$3:$F$3002,MATCH($C485,DESPACHOS!$B$3:$B$3002,0)),""))</f>
        <v/>
      </c>
      <c r="H485" s="42">
        <f>IF($C485="","",IFERROR(INDEX(DESPACHOS!$G$3:$G$3002,MATCH($C485,DESPACHOS!$B$3:$B$3002,0)),""))</f>
        <v/>
      </c>
      <c r="I485" s="39">
        <f>IF($C485="","",IFERROR(INDEX(DESPACHOS!$H$3:$H$3002,MATCH($C485,DESPACHOS!$B$3:$B$3002,0)),""))</f>
        <v/>
      </c>
      <c r="J485" s="43">
        <f>IF($C485="","",IFERROR(INDEX(DESPACHOS!$J$3:$J$3002,MATCH($C485,DESPACHOS!$B$3:$B$3002,0)),""))</f>
        <v/>
      </c>
      <c r="K485" s="39">
        <f>IF($C485="","",IF(COUNTIFS(DESPACHOS!$B$3:$B$3002,$C485)=0,"NO EXISTE",IF(COUNTIFS(DESPACHOS!$B$3:$B$3002,$C485)&gt;1,"DUPLICADO","OK")))</f>
        <v/>
      </c>
      <c r="L485" s="41" t="n"/>
      <c r="M485" s="41" t="n"/>
      <c r="N485" s="42">
        <f>IF($M485="","",IFERROR(INDEX(LISTAS!$F$3:$F$42,MATCH($M485,LISTAS!$E$3:$E$42,0)),"Por definir"))</f>
        <v/>
      </c>
      <c r="O485" s="41" t="n"/>
      <c r="P485" s="39">
        <f>IF($L485="","",IFERROR(INDEX(LISTAS!$B$3:$B$42,MATCH($L485,LISTAS!$A$3:$A$42,0)),"Media"))</f>
        <v/>
      </c>
      <c r="Q485" s="44" t="n"/>
      <c r="R485" s="45" t="n"/>
      <c r="S485" s="20">
        <f>IFERROR(IF(OR($R485="",$C485=""),"",$R485/INDEX(DESPACHOS!$M$3:$M$3002,MATCH($C485,DESPACHOS!$B$3:$B$3002,0))),"")</f>
        <v/>
      </c>
      <c r="T485" s="41" t="n"/>
      <c r="U485" s="43">
        <f>IF(OR($B485="",$L485=""),"",WORKDAY($B485,IFERROR(INDEX(LISTAS!$C$3:$C$42,MATCH($L485,LISTAS!$A$3:$A$42,0)),3)))</f>
        <v/>
      </c>
      <c r="V485" s="40" t="n"/>
      <c r="W485" s="19">
        <f>IF($B485="","",IF($V485&lt;&gt;"",$V485-$B485,TODAY()-$B485))</f>
        <v/>
      </c>
      <c r="X485" s="19">
        <f>IF(OR($B485="",$U485=""),"",IF($V485&lt;&gt;"",MAX(0,$V485-$U485),MAX(0,TODAY()-$U485)))</f>
        <v/>
      </c>
      <c r="Y485" s="39">
        <f>IF($C485="","",IF(IFERROR(INDEX(LISTAS!$I$3:$I$42,MATCH($T485,LISTAS!$H$3:$H$42,0)),"NO")="SÍ",IF(N($X485)&gt;0,"CERRADA FUERA DE SLA","CERRADA EN SLA"),IF($U485="","SIN CLASIFICAR",IF(N($X485)&gt;0,"VENCIDA",IF(TODAY()&gt;=$U485-1,"POR VENCER","EN PLAZO")))))</f>
        <v/>
      </c>
      <c r="Z485" s="41" t="n"/>
      <c r="AA485" s="41" t="n"/>
      <c r="AB485" s="41" t="n"/>
    </row>
    <row r="486">
      <c r="A486" s="39">
        <f>IF($C486="","","NOV-"&amp;TEXT(ROW()-3,"0000"))</f>
        <v/>
      </c>
      <c r="B486" s="40" t="n"/>
      <c r="C486" s="41" t="n"/>
      <c r="D486" s="42">
        <f>IF($C486="","",IFERROR(INDEX(DESPACHOS!$D$3:$D$3002,MATCH($C486,DESPACHOS!$B$3:$B$3002,0)),"SIN DESPACHO"))</f>
        <v/>
      </c>
      <c r="E486" s="42">
        <f>IF($C486="","",IFERROR(INDEX(DESPACHOS!$K$3:$K$3002,MATCH($C486,DESPACHOS!$B$3:$B$3002,0)),""))</f>
        <v/>
      </c>
      <c r="F486" s="42">
        <f>IF($C486="","",IFERROR(INDEX(DESPACHOS!$I$3:$I$3002,MATCH($C486,DESPACHOS!$B$3:$B$3002,0)),""))</f>
        <v/>
      </c>
      <c r="G486" s="42">
        <f>IF($C486="","",IFERROR(INDEX(DESPACHOS!$F$3:$F$3002,MATCH($C486,DESPACHOS!$B$3:$B$3002,0)),""))</f>
        <v/>
      </c>
      <c r="H486" s="42">
        <f>IF($C486="","",IFERROR(INDEX(DESPACHOS!$G$3:$G$3002,MATCH($C486,DESPACHOS!$B$3:$B$3002,0)),""))</f>
        <v/>
      </c>
      <c r="I486" s="39">
        <f>IF($C486="","",IFERROR(INDEX(DESPACHOS!$H$3:$H$3002,MATCH($C486,DESPACHOS!$B$3:$B$3002,0)),""))</f>
        <v/>
      </c>
      <c r="J486" s="43">
        <f>IF($C486="","",IFERROR(INDEX(DESPACHOS!$J$3:$J$3002,MATCH($C486,DESPACHOS!$B$3:$B$3002,0)),""))</f>
        <v/>
      </c>
      <c r="K486" s="39">
        <f>IF($C486="","",IF(COUNTIFS(DESPACHOS!$B$3:$B$3002,$C486)=0,"NO EXISTE",IF(COUNTIFS(DESPACHOS!$B$3:$B$3002,$C486)&gt;1,"DUPLICADO","OK")))</f>
        <v/>
      </c>
      <c r="L486" s="41" t="n"/>
      <c r="M486" s="41" t="n"/>
      <c r="N486" s="42">
        <f>IF($M486="","",IFERROR(INDEX(LISTAS!$F$3:$F$42,MATCH($M486,LISTAS!$E$3:$E$42,0)),"Por definir"))</f>
        <v/>
      </c>
      <c r="O486" s="41" t="n"/>
      <c r="P486" s="39">
        <f>IF($L486="","",IFERROR(INDEX(LISTAS!$B$3:$B$42,MATCH($L486,LISTAS!$A$3:$A$42,0)),"Media"))</f>
        <v/>
      </c>
      <c r="Q486" s="44" t="n"/>
      <c r="R486" s="45" t="n"/>
      <c r="S486" s="20">
        <f>IFERROR(IF(OR($R486="",$C486=""),"",$R486/INDEX(DESPACHOS!$M$3:$M$3002,MATCH($C486,DESPACHOS!$B$3:$B$3002,0))),"")</f>
        <v/>
      </c>
      <c r="T486" s="41" t="n"/>
      <c r="U486" s="43">
        <f>IF(OR($B486="",$L486=""),"",WORKDAY($B486,IFERROR(INDEX(LISTAS!$C$3:$C$42,MATCH($L486,LISTAS!$A$3:$A$42,0)),3)))</f>
        <v/>
      </c>
      <c r="V486" s="40" t="n"/>
      <c r="W486" s="19">
        <f>IF($B486="","",IF($V486&lt;&gt;"",$V486-$B486,TODAY()-$B486))</f>
        <v/>
      </c>
      <c r="X486" s="19">
        <f>IF(OR($B486="",$U486=""),"",IF($V486&lt;&gt;"",MAX(0,$V486-$U486),MAX(0,TODAY()-$U486)))</f>
        <v/>
      </c>
      <c r="Y486" s="39">
        <f>IF($C486="","",IF(IFERROR(INDEX(LISTAS!$I$3:$I$42,MATCH($T486,LISTAS!$H$3:$H$42,0)),"NO")="SÍ",IF(N($X486)&gt;0,"CERRADA FUERA DE SLA","CERRADA EN SLA"),IF($U486="","SIN CLASIFICAR",IF(N($X486)&gt;0,"VENCIDA",IF(TODAY()&gt;=$U486-1,"POR VENCER","EN PLAZO")))))</f>
        <v/>
      </c>
      <c r="Z486" s="41" t="n"/>
      <c r="AA486" s="41" t="n"/>
      <c r="AB486" s="41" t="n"/>
    </row>
    <row r="487">
      <c r="A487" s="39">
        <f>IF($C487="","","NOV-"&amp;TEXT(ROW()-3,"0000"))</f>
        <v/>
      </c>
      <c r="B487" s="40" t="n"/>
      <c r="C487" s="41" t="n"/>
      <c r="D487" s="42">
        <f>IF($C487="","",IFERROR(INDEX(DESPACHOS!$D$3:$D$3002,MATCH($C487,DESPACHOS!$B$3:$B$3002,0)),"SIN DESPACHO"))</f>
        <v/>
      </c>
      <c r="E487" s="42">
        <f>IF($C487="","",IFERROR(INDEX(DESPACHOS!$K$3:$K$3002,MATCH($C487,DESPACHOS!$B$3:$B$3002,0)),""))</f>
        <v/>
      </c>
      <c r="F487" s="42">
        <f>IF($C487="","",IFERROR(INDEX(DESPACHOS!$I$3:$I$3002,MATCH($C487,DESPACHOS!$B$3:$B$3002,0)),""))</f>
        <v/>
      </c>
      <c r="G487" s="42">
        <f>IF($C487="","",IFERROR(INDEX(DESPACHOS!$F$3:$F$3002,MATCH($C487,DESPACHOS!$B$3:$B$3002,0)),""))</f>
        <v/>
      </c>
      <c r="H487" s="42">
        <f>IF($C487="","",IFERROR(INDEX(DESPACHOS!$G$3:$G$3002,MATCH($C487,DESPACHOS!$B$3:$B$3002,0)),""))</f>
        <v/>
      </c>
      <c r="I487" s="39">
        <f>IF($C487="","",IFERROR(INDEX(DESPACHOS!$H$3:$H$3002,MATCH($C487,DESPACHOS!$B$3:$B$3002,0)),""))</f>
        <v/>
      </c>
      <c r="J487" s="43">
        <f>IF($C487="","",IFERROR(INDEX(DESPACHOS!$J$3:$J$3002,MATCH($C487,DESPACHOS!$B$3:$B$3002,0)),""))</f>
        <v/>
      </c>
      <c r="K487" s="39">
        <f>IF($C487="","",IF(COUNTIFS(DESPACHOS!$B$3:$B$3002,$C487)=0,"NO EXISTE",IF(COUNTIFS(DESPACHOS!$B$3:$B$3002,$C487)&gt;1,"DUPLICADO","OK")))</f>
        <v/>
      </c>
      <c r="L487" s="41" t="n"/>
      <c r="M487" s="41" t="n"/>
      <c r="N487" s="42">
        <f>IF($M487="","",IFERROR(INDEX(LISTAS!$F$3:$F$42,MATCH($M487,LISTAS!$E$3:$E$42,0)),"Por definir"))</f>
        <v/>
      </c>
      <c r="O487" s="41" t="n"/>
      <c r="P487" s="39">
        <f>IF($L487="","",IFERROR(INDEX(LISTAS!$B$3:$B$42,MATCH($L487,LISTAS!$A$3:$A$42,0)),"Media"))</f>
        <v/>
      </c>
      <c r="Q487" s="44" t="n"/>
      <c r="R487" s="45" t="n"/>
      <c r="S487" s="20">
        <f>IFERROR(IF(OR($R487="",$C487=""),"",$R487/INDEX(DESPACHOS!$M$3:$M$3002,MATCH($C487,DESPACHOS!$B$3:$B$3002,0))),"")</f>
        <v/>
      </c>
      <c r="T487" s="41" t="n"/>
      <c r="U487" s="43">
        <f>IF(OR($B487="",$L487=""),"",WORKDAY($B487,IFERROR(INDEX(LISTAS!$C$3:$C$42,MATCH($L487,LISTAS!$A$3:$A$42,0)),3)))</f>
        <v/>
      </c>
      <c r="V487" s="40" t="n"/>
      <c r="W487" s="19">
        <f>IF($B487="","",IF($V487&lt;&gt;"",$V487-$B487,TODAY()-$B487))</f>
        <v/>
      </c>
      <c r="X487" s="19">
        <f>IF(OR($B487="",$U487=""),"",IF($V487&lt;&gt;"",MAX(0,$V487-$U487),MAX(0,TODAY()-$U487)))</f>
        <v/>
      </c>
      <c r="Y487" s="39">
        <f>IF($C487="","",IF(IFERROR(INDEX(LISTAS!$I$3:$I$42,MATCH($T487,LISTAS!$H$3:$H$42,0)),"NO")="SÍ",IF(N($X487)&gt;0,"CERRADA FUERA DE SLA","CERRADA EN SLA"),IF($U487="","SIN CLASIFICAR",IF(N($X487)&gt;0,"VENCIDA",IF(TODAY()&gt;=$U487-1,"POR VENCER","EN PLAZO")))))</f>
        <v/>
      </c>
      <c r="Z487" s="41" t="n"/>
      <c r="AA487" s="41" t="n"/>
      <c r="AB487" s="41" t="n"/>
    </row>
    <row r="488">
      <c r="A488" s="39">
        <f>IF($C488="","","NOV-"&amp;TEXT(ROW()-3,"0000"))</f>
        <v/>
      </c>
      <c r="B488" s="40" t="n"/>
      <c r="C488" s="41" t="n"/>
      <c r="D488" s="42">
        <f>IF($C488="","",IFERROR(INDEX(DESPACHOS!$D$3:$D$3002,MATCH($C488,DESPACHOS!$B$3:$B$3002,0)),"SIN DESPACHO"))</f>
        <v/>
      </c>
      <c r="E488" s="42">
        <f>IF($C488="","",IFERROR(INDEX(DESPACHOS!$K$3:$K$3002,MATCH($C488,DESPACHOS!$B$3:$B$3002,0)),""))</f>
        <v/>
      </c>
      <c r="F488" s="42">
        <f>IF($C488="","",IFERROR(INDEX(DESPACHOS!$I$3:$I$3002,MATCH($C488,DESPACHOS!$B$3:$B$3002,0)),""))</f>
        <v/>
      </c>
      <c r="G488" s="42">
        <f>IF($C488="","",IFERROR(INDEX(DESPACHOS!$F$3:$F$3002,MATCH($C488,DESPACHOS!$B$3:$B$3002,0)),""))</f>
        <v/>
      </c>
      <c r="H488" s="42">
        <f>IF($C488="","",IFERROR(INDEX(DESPACHOS!$G$3:$G$3002,MATCH($C488,DESPACHOS!$B$3:$B$3002,0)),""))</f>
        <v/>
      </c>
      <c r="I488" s="39">
        <f>IF($C488="","",IFERROR(INDEX(DESPACHOS!$H$3:$H$3002,MATCH($C488,DESPACHOS!$B$3:$B$3002,0)),""))</f>
        <v/>
      </c>
      <c r="J488" s="43">
        <f>IF($C488="","",IFERROR(INDEX(DESPACHOS!$J$3:$J$3002,MATCH($C488,DESPACHOS!$B$3:$B$3002,0)),""))</f>
        <v/>
      </c>
      <c r="K488" s="39">
        <f>IF($C488="","",IF(COUNTIFS(DESPACHOS!$B$3:$B$3002,$C488)=0,"NO EXISTE",IF(COUNTIFS(DESPACHOS!$B$3:$B$3002,$C488)&gt;1,"DUPLICADO","OK")))</f>
        <v/>
      </c>
      <c r="L488" s="41" t="n"/>
      <c r="M488" s="41" t="n"/>
      <c r="N488" s="42">
        <f>IF($M488="","",IFERROR(INDEX(LISTAS!$F$3:$F$42,MATCH($M488,LISTAS!$E$3:$E$42,0)),"Por definir"))</f>
        <v/>
      </c>
      <c r="O488" s="41" t="n"/>
      <c r="P488" s="39">
        <f>IF($L488="","",IFERROR(INDEX(LISTAS!$B$3:$B$42,MATCH($L488,LISTAS!$A$3:$A$42,0)),"Media"))</f>
        <v/>
      </c>
      <c r="Q488" s="44" t="n"/>
      <c r="R488" s="45" t="n"/>
      <c r="S488" s="20">
        <f>IFERROR(IF(OR($R488="",$C488=""),"",$R488/INDEX(DESPACHOS!$M$3:$M$3002,MATCH($C488,DESPACHOS!$B$3:$B$3002,0))),"")</f>
        <v/>
      </c>
      <c r="T488" s="41" t="n"/>
      <c r="U488" s="43">
        <f>IF(OR($B488="",$L488=""),"",WORKDAY($B488,IFERROR(INDEX(LISTAS!$C$3:$C$42,MATCH($L488,LISTAS!$A$3:$A$42,0)),3)))</f>
        <v/>
      </c>
      <c r="V488" s="40" t="n"/>
      <c r="W488" s="19">
        <f>IF($B488="","",IF($V488&lt;&gt;"",$V488-$B488,TODAY()-$B488))</f>
        <v/>
      </c>
      <c r="X488" s="19">
        <f>IF(OR($B488="",$U488=""),"",IF($V488&lt;&gt;"",MAX(0,$V488-$U488),MAX(0,TODAY()-$U488)))</f>
        <v/>
      </c>
      <c r="Y488" s="39">
        <f>IF($C488="","",IF(IFERROR(INDEX(LISTAS!$I$3:$I$42,MATCH($T488,LISTAS!$H$3:$H$42,0)),"NO")="SÍ",IF(N($X488)&gt;0,"CERRADA FUERA DE SLA","CERRADA EN SLA"),IF($U488="","SIN CLASIFICAR",IF(N($X488)&gt;0,"VENCIDA",IF(TODAY()&gt;=$U488-1,"POR VENCER","EN PLAZO")))))</f>
        <v/>
      </c>
      <c r="Z488" s="41" t="n"/>
      <c r="AA488" s="41" t="n"/>
      <c r="AB488" s="41" t="n"/>
    </row>
    <row r="489">
      <c r="A489" s="39">
        <f>IF($C489="","","NOV-"&amp;TEXT(ROW()-3,"0000"))</f>
        <v/>
      </c>
      <c r="B489" s="40" t="n"/>
      <c r="C489" s="41" t="n"/>
      <c r="D489" s="42">
        <f>IF($C489="","",IFERROR(INDEX(DESPACHOS!$D$3:$D$3002,MATCH($C489,DESPACHOS!$B$3:$B$3002,0)),"SIN DESPACHO"))</f>
        <v/>
      </c>
      <c r="E489" s="42">
        <f>IF($C489="","",IFERROR(INDEX(DESPACHOS!$K$3:$K$3002,MATCH($C489,DESPACHOS!$B$3:$B$3002,0)),""))</f>
        <v/>
      </c>
      <c r="F489" s="42">
        <f>IF($C489="","",IFERROR(INDEX(DESPACHOS!$I$3:$I$3002,MATCH($C489,DESPACHOS!$B$3:$B$3002,0)),""))</f>
        <v/>
      </c>
      <c r="G489" s="42">
        <f>IF($C489="","",IFERROR(INDEX(DESPACHOS!$F$3:$F$3002,MATCH($C489,DESPACHOS!$B$3:$B$3002,0)),""))</f>
        <v/>
      </c>
      <c r="H489" s="42">
        <f>IF($C489="","",IFERROR(INDEX(DESPACHOS!$G$3:$G$3002,MATCH($C489,DESPACHOS!$B$3:$B$3002,0)),""))</f>
        <v/>
      </c>
      <c r="I489" s="39">
        <f>IF($C489="","",IFERROR(INDEX(DESPACHOS!$H$3:$H$3002,MATCH($C489,DESPACHOS!$B$3:$B$3002,0)),""))</f>
        <v/>
      </c>
      <c r="J489" s="43">
        <f>IF($C489="","",IFERROR(INDEX(DESPACHOS!$J$3:$J$3002,MATCH($C489,DESPACHOS!$B$3:$B$3002,0)),""))</f>
        <v/>
      </c>
      <c r="K489" s="39">
        <f>IF($C489="","",IF(COUNTIFS(DESPACHOS!$B$3:$B$3002,$C489)=0,"NO EXISTE",IF(COUNTIFS(DESPACHOS!$B$3:$B$3002,$C489)&gt;1,"DUPLICADO","OK")))</f>
        <v/>
      </c>
      <c r="L489" s="41" t="n"/>
      <c r="M489" s="41" t="n"/>
      <c r="N489" s="42">
        <f>IF($M489="","",IFERROR(INDEX(LISTAS!$F$3:$F$42,MATCH($M489,LISTAS!$E$3:$E$42,0)),"Por definir"))</f>
        <v/>
      </c>
      <c r="O489" s="41" t="n"/>
      <c r="P489" s="39">
        <f>IF($L489="","",IFERROR(INDEX(LISTAS!$B$3:$B$42,MATCH($L489,LISTAS!$A$3:$A$42,0)),"Media"))</f>
        <v/>
      </c>
      <c r="Q489" s="44" t="n"/>
      <c r="R489" s="45" t="n"/>
      <c r="S489" s="20">
        <f>IFERROR(IF(OR($R489="",$C489=""),"",$R489/INDEX(DESPACHOS!$M$3:$M$3002,MATCH($C489,DESPACHOS!$B$3:$B$3002,0))),"")</f>
        <v/>
      </c>
      <c r="T489" s="41" t="n"/>
      <c r="U489" s="43">
        <f>IF(OR($B489="",$L489=""),"",WORKDAY($B489,IFERROR(INDEX(LISTAS!$C$3:$C$42,MATCH($L489,LISTAS!$A$3:$A$42,0)),3)))</f>
        <v/>
      </c>
      <c r="V489" s="40" t="n"/>
      <c r="W489" s="19">
        <f>IF($B489="","",IF($V489&lt;&gt;"",$V489-$B489,TODAY()-$B489))</f>
        <v/>
      </c>
      <c r="X489" s="19">
        <f>IF(OR($B489="",$U489=""),"",IF($V489&lt;&gt;"",MAX(0,$V489-$U489),MAX(0,TODAY()-$U489)))</f>
        <v/>
      </c>
      <c r="Y489" s="39">
        <f>IF($C489="","",IF(IFERROR(INDEX(LISTAS!$I$3:$I$42,MATCH($T489,LISTAS!$H$3:$H$42,0)),"NO")="SÍ",IF(N($X489)&gt;0,"CERRADA FUERA DE SLA","CERRADA EN SLA"),IF($U489="","SIN CLASIFICAR",IF(N($X489)&gt;0,"VENCIDA",IF(TODAY()&gt;=$U489-1,"POR VENCER","EN PLAZO")))))</f>
        <v/>
      </c>
      <c r="Z489" s="41" t="n"/>
      <c r="AA489" s="41" t="n"/>
      <c r="AB489" s="41" t="n"/>
    </row>
    <row r="490">
      <c r="A490" s="39">
        <f>IF($C490="","","NOV-"&amp;TEXT(ROW()-3,"0000"))</f>
        <v/>
      </c>
      <c r="B490" s="40" t="n"/>
      <c r="C490" s="41" t="n"/>
      <c r="D490" s="42">
        <f>IF($C490="","",IFERROR(INDEX(DESPACHOS!$D$3:$D$3002,MATCH($C490,DESPACHOS!$B$3:$B$3002,0)),"SIN DESPACHO"))</f>
        <v/>
      </c>
      <c r="E490" s="42">
        <f>IF($C490="","",IFERROR(INDEX(DESPACHOS!$K$3:$K$3002,MATCH($C490,DESPACHOS!$B$3:$B$3002,0)),""))</f>
        <v/>
      </c>
      <c r="F490" s="42">
        <f>IF($C490="","",IFERROR(INDEX(DESPACHOS!$I$3:$I$3002,MATCH($C490,DESPACHOS!$B$3:$B$3002,0)),""))</f>
        <v/>
      </c>
      <c r="G490" s="42">
        <f>IF($C490="","",IFERROR(INDEX(DESPACHOS!$F$3:$F$3002,MATCH($C490,DESPACHOS!$B$3:$B$3002,0)),""))</f>
        <v/>
      </c>
      <c r="H490" s="42">
        <f>IF($C490="","",IFERROR(INDEX(DESPACHOS!$G$3:$G$3002,MATCH($C490,DESPACHOS!$B$3:$B$3002,0)),""))</f>
        <v/>
      </c>
      <c r="I490" s="39">
        <f>IF($C490="","",IFERROR(INDEX(DESPACHOS!$H$3:$H$3002,MATCH($C490,DESPACHOS!$B$3:$B$3002,0)),""))</f>
        <v/>
      </c>
      <c r="J490" s="43">
        <f>IF($C490="","",IFERROR(INDEX(DESPACHOS!$J$3:$J$3002,MATCH($C490,DESPACHOS!$B$3:$B$3002,0)),""))</f>
        <v/>
      </c>
      <c r="K490" s="39">
        <f>IF($C490="","",IF(COUNTIFS(DESPACHOS!$B$3:$B$3002,$C490)=0,"NO EXISTE",IF(COUNTIFS(DESPACHOS!$B$3:$B$3002,$C490)&gt;1,"DUPLICADO","OK")))</f>
        <v/>
      </c>
      <c r="L490" s="41" t="n"/>
      <c r="M490" s="41" t="n"/>
      <c r="N490" s="42">
        <f>IF($M490="","",IFERROR(INDEX(LISTAS!$F$3:$F$42,MATCH($M490,LISTAS!$E$3:$E$42,0)),"Por definir"))</f>
        <v/>
      </c>
      <c r="O490" s="41" t="n"/>
      <c r="P490" s="39">
        <f>IF($L490="","",IFERROR(INDEX(LISTAS!$B$3:$B$42,MATCH($L490,LISTAS!$A$3:$A$42,0)),"Media"))</f>
        <v/>
      </c>
      <c r="Q490" s="44" t="n"/>
      <c r="R490" s="45" t="n"/>
      <c r="S490" s="20">
        <f>IFERROR(IF(OR($R490="",$C490=""),"",$R490/INDEX(DESPACHOS!$M$3:$M$3002,MATCH($C490,DESPACHOS!$B$3:$B$3002,0))),"")</f>
        <v/>
      </c>
      <c r="T490" s="41" t="n"/>
      <c r="U490" s="43">
        <f>IF(OR($B490="",$L490=""),"",WORKDAY($B490,IFERROR(INDEX(LISTAS!$C$3:$C$42,MATCH($L490,LISTAS!$A$3:$A$42,0)),3)))</f>
        <v/>
      </c>
      <c r="V490" s="40" t="n"/>
      <c r="W490" s="19">
        <f>IF($B490="","",IF($V490&lt;&gt;"",$V490-$B490,TODAY()-$B490))</f>
        <v/>
      </c>
      <c r="X490" s="19">
        <f>IF(OR($B490="",$U490=""),"",IF($V490&lt;&gt;"",MAX(0,$V490-$U490),MAX(0,TODAY()-$U490)))</f>
        <v/>
      </c>
      <c r="Y490" s="39">
        <f>IF($C490="","",IF(IFERROR(INDEX(LISTAS!$I$3:$I$42,MATCH($T490,LISTAS!$H$3:$H$42,0)),"NO")="SÍ",IF(N($X490)&gt;0,"CERRADA FUERA DE SLA","CERRADA EN SLA"),IF($U490="","SIN CLASIFICAR",IF(N($X490)&gt;0,"VENCIDA",IF(TODAY()&gt;=$U490-1,"POR VENCER","EN PLAZO")))))</f>
        <v/>
      </c>
      <c r="Z490" s="41" t="n"/>
      <c r="AA490" s="41" t="n"/>
      <c r="AB490" s="41" t="n"/>
    </row>
    <row r="491">
      <c r="A491" s="39">
        <f>IF($C491="","","NOV-"&amp;TEXT(ROW()-3,"0000"))</f>
        <v/>
      </c>
      <c r="B491" s="40" t="n"/>
      <c r="C491" s="41" t="n"/>
      <c r="D491" s="42">
        <f>IF($C491="","",IFERROR(INDEX(DESPACHOS!$D$3:$D$3002,MATCH($C491,DESPACHOS!$B$3:$B$3002,0)),"SIN DESPACHO"))</f>
        <v/>
      </c>
      <c r="E491" s="42">
        <f>IF($C491="","",IFERROR(INDEX(DESPACHOS!$K$3:$K$3002,MATCH($C491,DESPACHOS!$B$3:$B$3002,0)),""))</f>
        <v/>
      </c>
      <c r="F491" s="42">
        <f>IF($C491="","",IFERROR(INDEX(DESPACHOS!$I$3:$I$3002,MATCH($C491,DESPACHOS!$B$3:$B$3002,0)),""))</f>
        <v/>
      </c>
      <c r="G491" s="42">
        <f>IF($C491="","",IFERROR(INDEX(DESPACHOS!$F$3:$F$3002,MATCH($C491,DESPACHOS!$B$3:$B$3002,0)),""))</f>
        <v/>
      </c>
      <c r="H491" s="42">
        <f>IF($C491="","",IFERROR(INDEX(DESPACHOS!$G$3:$G$3002,MATCH($C491,DESPACHOS!$B$3:$B$3002,0)),""))</f>
        <v/>
      </c>
      <c r="I491" s="39">
        <f>IF($C491="","",IFERROR(INDEX(DESPACHOS!$H$3:$H$3002,MATCH($C491,DESPACHOS!$B$3:$B$3002,0)),""))</f>
        <v/>
      </c>
      <c r="J491" s="43">
        <f>IF($C491="","",IFERROR(INDEX(DESPACHOS!$J$3:$J$3002,MATCH($C491,DESPACHOS!$B$3:$B$3002,0)),""))</f>
        <v/>
      </c>
      <c r="K491" s="39">
        <f>IF($C491="","",IF(COUNTIFS(DESPACHOS!$B$3:$B$3002,$C491)=0,"NO EXISTE",IF(COUNTIFS(DESPACHOS!$B$3:$B$3002,$C491)&gt;1,"DUPLICADO","OK")))</f>
        <v/>
      </c>
      <c r="L491" s="41" t="n"/>
      <c r="M491" s="41" t="n"/>
      <c r="N491" s="42">
        <f>IF($M491="","",IFERROR(INDEX(LISTAS!$F$3:$F$42,MATCH($M491,LISTAS!$E$3:$E$42,0)),"Por definir"))</f>
        <v/>
      </c>
      <c r="O491" s="41" t="n"/>
      <c r="P491" s="39">
        <f>IF($L491="","",IFERROR(INDEX(LISTAS!$B$3:$B$42,MATCH($L491,LISTAS!$A$3:$A$42,0)),"Media"))</f>
        <v/>
      </c>
      <c r="Q491" s="44" t="n"/>
      <c r="R491" s="45" t="n"/>
      <c r="S491" s="20">
        <f>IFERROR(IF(OR($R491="",$C491=""),"",$R491/INDEX(DESPACHOS!$M$3:$M$3002,MATCH($C491,DESPACHOS!$B$3:$B$3002,0))),"")</f>
        <v/>
      </c>
      <c r="T491" s="41" t="n"/>
      <c r="U491" s="43">
        <f>IF(OR($B491="",$L491=""),"",WORKDAY($B491,IFERROR(INDEX(LISTAS!$C$3:$C$42,MATCH($L491,LISTAS!$A$3:$A$42,0)),3)))</f>
        <v/>
      </c>
      <c r="V491" s="40" t="n"/>
      <c r="W491" s="19">
        <f>IF($B491="","",IF($V491&lt;&gt;"",$V491-$B491,TODAY()-$B491))</f>
        <v/>
      </c>
      <c r="X491" s="19">
        <f>IF(OR($B491="",$U491=""),"",IF($V491&lt;&gt;"",MAX(0,$V491-$U491),MAX(0,TODAY()-$U491)))</f>
        <v/>
      </c>
      <c r="Y491" s="39">
        <f>IF($C491="","",IF(IFERROR(INDEX(LISTAS!$I$3:$I$42,MATCH($T491,LISTAS!$H$3:$H$42,0)),"NO")="SÍ",IF(N($X491)&gt;0,"CERRADA FUERA DE SLA","CERRADA EN SLA"),IF($U491="","SIN CLASIFICAR",IF(N($X491)&gt;0,"VENCIDA",IF(TODAY()&gt;=$U491-1,"POR VENCER","EN PLAZO")))))</f>
        <v/>
      </c>
      <c r="Z491" s="41" t="n"/>
      <c r="AA491" s="41" t="n"/>
      <c r="AB491" s="41" t="n"/>
    </row>
    <row r="492">
      <c r="A492" s="39">
        <f>IF($C492="","","NOV-"&amp;TEXT(ROW()-3,"0000"))</f>
        <v/>
      </c>
      <c r="B492" s="40" t="n"/>
      <c r="C492" s="41" t="n"/>
      <c r="D492" s="42">
        <f>IF($C492="","",IFERROR(INDEX(DESPACHOS!$D$3:$D$3002,MATCH($C492,DESPACHOS!$B$3:$B$3002,0)),"SIN DESPACHO"))</f>
        <v/>
      </c>
      <c r="E492" s="42">
        <f>IF($C492="","",IFERROR(INDEX(DESPACHOS!$K$3:$K$3002,MATCH($C492,DESPACHOS!$B$3:$B$3002,0)),""))</f>
        <v/>
      </c>
      <c r="F492" s="42">
        <f>IF($C492="","",IFERROR(INDEX(DESPACHOS!$I$3:$I$3002,MATCH($C492,DESPACHOS!$B$3:$B$3002,0)),""))</f>
        <v/>
      </c>
      <c r="G492" s="42">
        <f>IF($C492="","",IFERROR(INDEX(DESPACHOS!$F$3:$F$3002,MATCH($C492,DESPACHOS!$B$3:$B$3002,0)),""))</f>
        <v/>
      </c>
      <c r="H492" s="42">
        <f>IF($C492="","",IFERROR(INDEX(DESPACHOS!$G$3:$G$3002,MATCH($C492,DESPACHOS!$B$3:$B$3002,0)),""))</f>
        <v/>
      </c>
      <c r="I492" s="39">
        <f>IF($C492="","",IFERROR(INDEX(DESPACHOS!$H$3:$H$3002,MATCH($C492,DESPACHOS!$B$3:$B$3002,0)),""))</f>
        <v/>
      </c>
      <c r="J492" s="43">
        <f>IF($C492="","",IFERROR(INDEX(DESPACHOS!$J$3:$J$3002,MATCH($C492,DESPACHOS!$B$3:$B$3002,0)),""))</f>
        <v/>
      </c>
      <c r="K492" s="39">
        <f>IF($C492="","",IF(COUNTIFS(DESPACHOS!$B$3:$B$3002,$C492)=0,"NO EXISTE",IF(COUNTIFS(DESPACHOS!$B$3:$B$3002,$C492)&gt;1,"DUPLICADO","OK")))</f>
        <v/>
      </c>
      <c r="L492" s="41" t="n"/>
      <c r="M492" s="41" t="n"/>
      <c r="N492" s="42">
        <f>IF($M492="","",IFERROR(INDEX(LISTAS!$F$3:$F$42,MATCH($M492,LISTAS!$E$3:$E$42,0)),"Por definir"))</f>
        <v/>
      </c>
      <c r="O492" s="41" t="n"/>
      <c r="P492" s="39">
        <f>IF($L492="","",IFERROR(INDEX(LISTAS!$B$3:$B$42,MATCH($L492,LISTAS!$A$3:$A$42,0)),"Media"))</f>
        <v/>
      </c>
      <c r="Q492" s="44" t="n"/>
      <c r="R492" s="45" t="n"/>
      <c r="S492" s="20">
        <f>IFERROR(IF(OR($R492="",$C492=""),"",$R492/INDEX(DESPACHOS!$M$3:$M$3002,MATCH($C492,DESPACHOS!$B$3:$B$3002,0))),"")</f>
        <v/>
      </c>
      <c r="T492" s="41" t="n"/>
      <c r="U492" s="43">
        <f>IF(OR($B492="",$L492=""),"",WORKDAY($B492,IFERROR(INDEX(LISTAS!$C$3:$C$42,MATCH($L492,LISTAS!$A$3:$A$42,0)),3)))</f>
        <v/>
      </c>
      <c r="V492" s="40" t="n"/>
      <c r="W492" s="19">
        <f>IF($B492="","",IF($V492&lt;&gt;"",$V492-$B492,TODAY()-$B492))</f>
        <v/>
      </c>
      <c r="X492" s="19">
        <f>IF(OR($B492="",$U492=""),"",IF($V492&lt;&gt;"",MAX(0,$V492-$U492),MAX(0,TODAY()-$U492)))</f>
        <v/>
      </c>
      <c r="Y492" s="39">
        <f>IF($C492="","",IF(IFERROR(INDEX(LISTAS!$I$3:$I$42,MATCH($T492,LISTAS!$H$3:$H$42,0)),"NO")="SÍ",IF(N($X492)&gt;0,"CERRADA FUERA DE SLA","CERRADA EN SLA"),IF($U492="","SIN CLASIFICAR",IF(N($X492)&gt;0,"VENCIDA",IF(TODAY()&gt;=$U492-1,"POR VENCER","EN PLAZO")))))</f>
        <v/>
      </c>
      <c r="Z492" s="41" t="n"/>
      <c r="AA492" s="41" t="n"/>
      <c r="AB492" s="41" t="n"/>
    </row>
    <row r="493">
      <c r="A493" s="39">
        <f>IF($C493="","","NOV-"&amp;TEXT(ROW()-3,"0000"))</f>
        <v/>
      </c>
      <c r="B493" s="40" t="n"/>
      <c r="C493" s="41" t="n"/>
      <c r="D493" s="42">
        <f>IF($C493="","",IFERROR(INDEX(DESPACHOS!$D$3:$D$3002,MATCH($C493,DESPACHOS!$B$3:$B$3002,0)),"SIN DESPACHO"))</f>
        <v/>
      </c>
      <c r="E493" s="42">
        <f>IF($C493="","",IFERROR(INDEX(DESPACHOS!$K$3:$K$3002,MATCH($C493,DESPACHOS!$B$3:$B$3002,0)),""))</f>
        <v/>
      </c>
      <c r="F493" s="42">
        <f>IF($C493="","",IFERROR(INDEX(DESPACHOS!$I$3:$I$3002,MATCH($C493,DESPACHOS!$B$3:$B$3002,0)),""))</f>
        <v/>
      </c>
      <c r="G493" s="42">
        <f>IF($C493="","",IFERROR(INDEX(DESPACHOS!$F$3:$F$3002,MATCH($C493,DESPACHOS!$B$3:$B$3002,0)),""))</f>
        <v/>
      </c>
      <c r="H493" s="42">
        <f>IF($C493="","",IFERROR(INDEX(DESPACHOS!$G$3:$G$3002,MATCH($C493,DESPACHOS!$B$3:$B$3002,0)),""))</f>
        <v/>
      </c>
      <c r="I493" s="39">
        <f>IF($C493="","",IFERROR(INDEX(DESPACHOS!$H$3:$H$3002,MATCH($C493,DESPACHOS!$B$3:$B$3002,0)),""))</f>
        <v/>
      </c>
      <c r="J493" s="43">
        <f>IF($C493="","",IFERROR(INDEX(DESPACHOS!$J$3:$J$3002,MATCH($C493,DESPACHOS!$B$3:$B$3002,0)),""))</f>
        <v/>
      </c>
      <c r="K493" s="39">
        <f>IF($C493="","",IF(COUNTIFS(DESPACHOS!$B$3:$B$3002,$C493)=0,"NO EXISTE",IF(COUNTIFS(DESPACHOS!$B$3:$B$3002,$C493)&gt;1,"DUPLICADO","OK")))</f>
        <v/>
      </c>
      <c r="L493" s="41" t="n"/>
      <c r="M493" s="41" t="n"/>
      <c r="N493" s="42">
        <f>IF($M493="","",IFERROR(INDEX(LISTAS!$F$3:$F$42,MATCH($M493,LISTAS!$E$3:$E$42,0)),"Por definir"))</f>
        <v/>
      </c>
      <c r="O493" s="41" t="n"/>
      <c r="P493" s="39">
        <f>IF($L493="","",IFERROR(INDEX(LISTAS!$B$3:$B$42,MATCH($L493,LISTAS!$A$3:$A$42,0)),"Media"))</f>
        <v/>
      </c>
      <c r="Q493" s="44" t="n"/>
      <c r="R493" s="45" t="n"/>
      <c r="S493" s="20">
        <f>IFERROR(IF(OR($R493="",$C493=""),"",$R493/INDEX(DESPACHOS!$M$3:$M$3002,MATCH($C493,DESPACHOS!$B$3:$B$3002,0))),"")</f>
        <v/>
      </c>
      <c r="T493" s="41" t="n"/>
      <c r="U493" s="43">
        <f>IF(OR($B493="",$L493=""),"",WORKDAY($B493,IFERROR(INDEX(LISTAS!$C$3:$C$42,MATCH($L493,LISTAS!$A$3:$A$42,0)),3)))</f>
        <v/>
      </c>
      <c r="V493" s="40" t="n"/>
      <c r="W493" s="19">
        <f>IF($B493="","",IF($V493&lt;&gt;"",$V493-$B493,TODAY()-$B493))</f>
        <v/>
      </c>
      <c r="X493" s="19">
        <f>IF(OR($B493="",$U493=""),"",IF($V493&lt;&gt;"",MAX(0,$V493-$U493),MAX(0,TODAY()-$U493)))</f>
        <v/>
      </c>
      <c r="Y493" s="39">
        <f>IF($C493="","",IF(IFERROR(INDEX(LISTAS!$I$3:$I$42,MATCH($T493,LISTAS!$H$3:$H$42,0)),"NO")="SÍ",IF(N($X493)&gt;0,"CERRADA FUERA DE SLA","CERRADA EN SLA"),IF($U493="","SIN CLASIFICAR",IF(N($X493)&gt;0,"VENCIDA",IF(TODAY()&gt;=$U493-1,"POR VENCER","EN PLAZO")))))</f>
        <v/>
      </c>
      <c r="Z493" s="41" t="n"/>
      <c r="AA493" s="41" t="n"/>
      <c r="AB493" s="41" t="n"/>
    </row>
    <row r="494">
      <c r="A494" s="39">
        <f>IF($C494="","","NOV-"&amp;TEXT(ROW()-3,"0000"))</f>
        <v/>
      </c>
      <c r="B494" s="40" t="n"/>
      <c r="C494" s="41" t="n"/>
      <c r="D494" s="42">
        <f>IF($C494="","",IFERROR(INDEX(DESPACHOS!$D$3:$D$3002,MATCH($C494,DESPACHOS!$B$3:$B$3002,0)),"SIN DESPACHO"))</f>
        <v/>
      </c>
      <c r="E494" s="42">
        <f>IF($C494="","",IFERROR(INDEX(DESPACHOS!$K$3:$K$3002,MATCH($C494,DESPACHOS!$B$3:$B$3002,0)),""))</f>
        <v/>
      </c>
      <c r="F494" s="42">
        <f>IF($C494="","",IFERROR(INDEX(DESPACHOS!$I$3:$I$3002,MATCH($C494,DESPACHOS!$B$3:$B$3002,0)),""))</f>
        <v/>
      </c>
      <c r="G494" s="42">
        <f>IF($C494="","",IFERROR(INDEX(DESPACHOS!$F$3:$F$3002,MATCH($C494,DESPACHOS!$B$3:$B$3002,0)),""))</f>
        <v/>
      </c>
      <c r="H494" s="42">
        <f>IF($C494="","",IFERROR(INDEX(DESPACHOS!$G$3:$G$3002,MATCH($C494,DESPACHOS!$B$3:$B$3002,0)),""))</f>
        <v/>
      </c>
      <c r="I494" s="39">
        <f>IF($C494="","",IFERROR(INDEX(DESPACHOS!$H$3:$H$3002,MATCH($C494,DESPACHOS!$B$3:$B$3002,0)),""))</f>
        <v/>
      </c>
      <c r="J494" s="43">
        <f>IF($C494="","",IFERROR(INDEX(DESPACHOS!$J$3:$J$3002,MATCH($C494,DESPACHOS!$B$3:$B$3002,0)),""))</f>
        <v/>
      </c>
      <c r="K494" s="39">
        <f>IF($C494="","",IF(COUNTIFS(DESPACHOS!$B$3:$B$3002,$C494)=0,"NO EXISTE",IF(COUNTIFS(DESPACHOS!$B$3:$B$3002,$C494)&gt;1,"DUPLICADO","OK")))</f>
        <v/>
      </c>
      <c r="L494" s="41" t="n"/>
      <c r="M494" s="41" t="n"/>
      <c r="N494" s="42">
        <f>IF($M494="","",IFERROR(INDEX(LISTAS!$F$3:$F$42,MATCH($M494,LISTAS!$E$3:$E$42,0)),"Por definir"))</f>
        <v/>
      </c>
      <c r="O494" s="41" t="n"/>
      <c r="P494" s="39">
        <f>IF($L494="","",IFERROR(INDEX(LISTAS!$B$3:$B$42,MATCH($L494,LISTAS!$A$3:$A$42,0)),"Media"))</f>
        <v/>
      </c>
      <c r="Q494" s="44" t="n"/>
      <c r="R494" s="45" t="n"/>
      <c r="S494" s="20">
        <f>IFERROR(IF(OR($R494="",$C494=""),"",$R494/INDEX(DESPACHOS!$M$3:$M$3002,MATCH($C494,DESPACHOS!$B$3:$B$3002,0))),"")</f>
        <v/>
      </c>
      <c r="T494" s="41" t="n"/>
      <c r="U494" s="43">
        <f>IF(OR($B494="",$L494=""),"",WORKDAY($B494,IFERROR(INDEX(LISTAS!$C$3:$C$42,MATCH($L494,LISTAS!$A$3:$A$42,0)),3)))</f>
        <v/>
      </c>
      <c r="V494" s="40" t="n"/>
      <c r="W494" s="19">
        <f>IF($B494="","",IF($V494&lt;&gt;"",$V494-$B494,TODAY()-$B494))</f>
        <v/>
      </c>
      <c r="X494" s="19">
        <f>IF(OR($B494="",$U494=""),"",IF($V494&lt;&gt;"",MAX(0,$V494-$U494),MAX(0,TODAY()-$U494)))</f>
        <v/>
      </c>
      <c r="Y494" s="39">
        <f>IF($C494="","",IF(IFERROR(INDEX(LISTAS!$I$3:$I$42,MATCH($T494,LISTAS!$H$3:$H$42,0)),"NO")="SÍ",IF(N($X494)&gt;0,"CERRADA FUERA DE SLA","CERRADA EN SLA"),IF($U494="","SIN CLASIFICAR",IF(N($X494)&gt;0,"VENCIDA",IF(TODAY()&gt;=$U494-1,"POR VENCER","EN PLAZO")))))</f>
        <v/>
      </c>
      <c r="Z494" s="41" t="n"/>
      <c r="AA494" s="41" t="n"/>
      <c r="AB494" s="41" t="n"/>
    </row>
    <row r="495">
      <c r="A495" s="39">
        <f>IF($C495="","","NOV-"&amp;TEXT(ROW()-3,"0000"))</f>
        <v/>
      </c>
      <c r="B495" s="40" t="n"/>
      <c r="C495" s="41" t="n"/>
      <c r="D495" s="42">
        <f>IF($C495="","",IFERROR(INDEX(DESPACHOS!$D$3:$D$3002,MATCH($C495,DESPACHOS!$B$3:$B$3002,0)),"SIN DESPACHO"))</f>
        <v/>
      </c>
      <c r="E495" s="42">
        <f>IF($C495="","",IFERROR(INDEX(DESPACHOS!$K$3:$K$3002,MATCH($C495,DESPACHOS!$B$3:$B$3002,0)),""))</f>
        <v/>
      </c>
      <c r="F495" s="42">
        <f>IF($C495="","",IFERROR(INDEX(DESPACHOS!$I$3:$I$3002,MATCH($C495,DESPACHOS!$B$3:$B$3002,0)),""))</f>
        <v/>
      </c>
      <c r="G495" s="42">
        <f>IF($C495="","",IFERROR(INDEX(DESPACHOS!$F$3:$F$3002,MATCH($C495,DESPACHOS!$B$3:$B$3002,0)),""))</f>
        <v/>
      </c>
      <c r="H495" s="42">
        <f>IF($C495="","",IFERROR(INDEX(DESPACHOS!$G$3:$G$3002,MATCH($C495,DESPACHOS!$B$3:$B$3002,0)),""))</f>
        <v/>
      </c>
      <c r="I495" s="39">
        <f>IF($C495="","",IFERROR(INDEX(DESPACHOS!$H$3:$H$3002,MATCH($C495,DESPACHOS!$B$3:$B$3002,0)),""))</f>
        <v/>
      </c>
      <c r="J495" s="43">
        <f>IF($C495="","",IFERROR(INDEX(DESPACHOS!$J$3:$J$3002,MATCH($C495,DESPACHOS!$B$3:$B$3002,0)),""))</f>
        <v/>
      </c>
      <c r="K495" s="39">
        <f>IF($C495="","",IF(COUNTIFS(DESPACHOS!$B$3:$B$3002,$C495)=0,"NO EXISTE",IF(COUNTIFS(DESPACHOS!$B$3:$B$3002,$C495)&gt;1,"DUPLICADO","OK")))</f>
        <v/>
      </c>
      <c r="L495" s="41" t="n"/>
      <c r="M495" s="41" t="n"/>
      <c r="N495" s="42">
        <f>IF($M495="","",IFERROR(INDEX(LISTAS!$F$3:$F$42,MATCH($M495,LISTAS!$E$3:$E$42,0)),"Por definir"))</f>
        <v/>
      </c>
      <c r="O495" s="41" t="n"/>
      <c r="P495" s="39">
        <f>IF($L495="","",IFERROR(INDEX(LISTAS!$B$3:$B$42,MATCH($L495,LISTAS!$A$3:$A$42,0)),"Media"))</f>
        <v/>
      </c>
      <c r="Q495" s="44" t="n"/>
      <c r="R495" s="45" t="n"/>
      <c r="S495" s="20">
        <f>IFERROR(IF(OR($R495="",$C495=""),"",$R495/INDEX(DESPACHOS!$M$3:$M$3002,MATCH($C495,DESPACHOS!$B$3:$B$3002,0))),"")</f>
        <v/>
      </c>
      <c r="T495" s="41" t="n"/>
      <c r="U495" s="43">
        <f>IF(OR($B495="",$L495=""),"",WORKDAY($B495,IFERROR(INDEX(LISTAS!$C$3:$C$42,MATCH($L495,LISTAS!$A$3:$A$42,0)),3)))</f>
        <v/>
      </c>
      <c r="V495" s="40" t="n"/>
      <c r="W495" s="19">
        <f>IF($B495="","",IF($V495&lt;&gt;"",$V495-$B495,TODAY()-$B495))</f>
        <v/>
      </c>
      <c r="X495" s="19">
        <f>IF(OR($B495="",$U495=""),"",IF($V495&lt;&gt;"",MAX(0,$V495-$U495),MAX(0,TODAY()-$U495)))</f>
        <v/>
      </c>
      <c r="Y495" s="39">
        <f>IF($C495="","",IF(IFERROR(INDEX(LISTAS!$I$3:$I$42,MATCH($T495,LISTAS!$H$3:$H$42,0)),"NO")="SÍ",IF(N($X495)&gt;0,"CERRADA FUERA DE SLA","CERRADA EN SLA"),IF($U495="","SIN CLASIFICAR",IF(N($X495)&gt;0,"VENCIDA",IF(TODAY()&gt;=$U495-1,"POR VENCER","EN PLAZO")))))</f>
        <v/>
      </c>
      <c r="Z495" s="41" t="n"/>
      <c r="AA495" s="41" t="n"/>
      <c r="AB495" s="41" t="n"/>
    </row>
    <row r="496">
      <c r="A496" s="39">
        <f>IF($C496="","","NOV-"&amp;TEXT(ROW()-3,"0000"))</f>
        <v/>
      </c>
      <c r="B496" s="40" t="n"/>
      <c r="C496" s="41" t="n"/>
      <c r="D496" s="42">
        <f>IF($C496="","",IFERROR(INDEX(DESPACHOS!$D$3:$D$3002,MATCH($C496,DESPACHOS!$B$3:$B$3002,0)),"SIN DESPACHO"))</f>
        <v/>
      </c>
      <c r="E496" s="42">
        <f>IF($C496="","",IFERROR(INDEX(DESPACHOS!$K$3:$K$3002,MATCH($C496,DESPACHOS!$B$3:$B$3002,0)),""))</f>
        <v/>
      </c>
      <c r="F496" s="42">
        <f>IF($C496="","",IFERROR(INDEX(DESPACHOS!$I$3:$I$3002,MATCH($C496,DESPACHOS!$B$3:$B$3002,0)),""))</f>
        <v/>
      </c>
      <c r="G496" s="42">
        <f>IF($C496="","",IFERROR(INDEX(DESPACHOS!$F$3:$F$3002,MATCH($C496,DESPACHOS!$B$3:$B$3002,0)),""))</f>
        <v/>
      </c>
      <c r="H496" s="42">
        <f>IF($C496="","",IFERROR(INDEX(DESPACHOS!$G$3:$G$3002,MATCH($C496,DESPACHOS!$B$3:$B$3002,0)),""))</f>
        <v/>
      </c>
      <c r="I496" s="39">
        <f>IF($C496="","",IFERROR(INDEX(DESPACHOS!$H$3:$H$3002,MATCH($C496,DESPACHOS!$B$3:$B$3002,0)),""))</f>
        <v/>
      </c>
      <c r="J496" s="43">
        <f>IF($C496="","",IFERROR(INDEX(DESPACHOS!$J$3:$J$3002,MATCH($C496,DESPACHOS!$B$3:$B$3002,0)),""))</f>
        <v/>
      </c>
      <c r="K496" s="39">
        <f>IF($C496="","",IF(COUNTIFS(DESPACHOS!$B$3:$B$3002,$C496)=0,"NO EXISTE",IF(COUNTIFS(DESPACHOS!$B$3:$B$3002,$C496)&gt;1,"DUPLICADO","OK")))</f>
        <v/>
      </c>
      <c r="L496" s="41" t="n"/>
      <c r="M496" s="41" t="n"/>
      <c r="N496" s="42">
        <f>IF($M496="","",IFERROR(INDEX(LISTAS!$F$3:$F$42,MATCH($M496,LISTAS!$E$3:$E$42,0)),"Por definir"))</f>
        <v/>
      </c>
      <c r="O496" s="41" t="n"/>
      <c r="P496" s="39">
        <f>IF($L496="","",IFERROR(INDEX(LISTAS!$B$3:$B$42,MATCH($L496,LISTAS!$A$3:$A$42,0)),"Media"))</f>
        <v/>
      </c>
      <c r="Q496" s="44" t="n"/>
      <c r="R496" s="45" t="n"/>
      <c r="S496" s="20">
        <f>IFERROR(IF(OR($R496="",$C496=""),"",$R496/INDEX(DESPACHOS!$M$3:$M$3002,MATCH($C496,DESPACHOS!$B$3:$B$3002,0))),"")</f>
        <v/>
      </c>
      <c r="T496" s="41" t="n"/>
      <c r="U496" s="43">
        <f>IF(OR($B496="",$L496=""),"",WORKDAY($B496,IFERROR(INDEX(LISTAS!$C$3:$C$42,MATCH($L496,LISTAS!$A$3:$A$42,0)),3)))</f>
        <v/>
      </c>
      <c r="V496" s="40" t="n"/>
      <c r="W496" s="19">
        <f>IF($B496="","",IF($V496&lt;&gt;"",$V496-$B496,TODAY()-$B496))</f>
        <v/>
      </c>
      <c r="X496" s="19">
        <f>IF(OR($B496="",$U496=""),"",IF($V496&lt;&gt;"",MAX(0,$V496-$U496),MAX(0,TODAY()-$U496)))</f>
        <v/>
      </c>
      <c r="Y496" s="39">
        <f>IF($C496="","",IF(IFERROR(INDEX(LISTAS!$I$3:$I$42,MATCH($T496,LISTAS!$H$3:$H$42,0)),"NO")="SÍ",IF(N($X496)&gt;0,"CERRADA FUERA DE SLA","CERRADA EN SLA"),IF($U496="","SIN CLASIFICAR",IF(N($X496)&gt;0,"VENCIDA",IF(TODAY()&gt;=$U496-1,"POR VENCER","EN PLAZO")))))</f>
        <v/>
      </c>
      <c r="Z496" s="41" t="n"/>
      <c r="AA496" s="41" t="n"/>
      <c r="AB496" s="41" t="n"/>
    </row>
    <row r="497">
      <c r="A497" s="39">
        <f>IF($C497="","","NOV-"&amp;TEXT(ROW()-3,"0000"))</f>
        <v/>
      </c>
      <c r="B497" s="40" t="n"/>
      <c r="C497" s="41" t="n"/>
      <c r="D497" s="42">
        <f>IF($C497="","",IFERROR(INDEX(DESPACHOS!$D$3:$D$3002,MATCH($C497,DESPACHOS!$B$3:$B$3002,0)),"SIN DESPACHO"))</f>
        <v/>
      </c>
      <c r="E497" s="42">
        <f>IF($C497="","",IFERROR(INDEX(DESPACHOS!$K$3:$K$3002,MATCH($C497,DESPACHOS!$B$3:$B$3002,0)),""))</f>
        <v/>
      </c>
      <c r="F497" s="42">
        <f>IF($C497="","",IFERROR(INDEX(DESPACHOS!$I$3:$I$3002,MATCH($C497,DESPACHOS!$B$3:$B$3002,0)),""))</f>
        <v/>
      </c>
      <c r="G497" s="42">
        <f>IF($C497="","",IFERROR(INDEX(DESPACHOS!$F$3:$F$3002,MATCH($C497,DESPACHOS!$B$3:$B$3002,0)),""))</f>
        <v/>
      </c>
      <c r="H497" s="42">
        <f>IF($C497="","",IFERROR(INDEX(DESPACHOS!$G$3:$G$3002,MATCH($C497,DESPACHOS!$B$3:$B$3002,0)),""))</f>
        <v/>
      </c>
      <c r="I497" s="39">
        <f>IF($C497="","",IFERROR(INDEX(DESPACHOS!$H$3:$H$3002,MATCH($C497,DESPACHOS!$B$3:$B$3002,0)),""))</f>
        <v/>
      </c>
      <c r="J497" s="43">
        <f>IF($C497="","",IFERROR(INDEX(DESPACHOS!$J$3:$J$3002,MATCH($C497,DESPACHOS!$B$3:$B$3002,0)),""))</f>
        <v/>
      </c>
      <c r="K497" s="39">
        <f>IF($C497="","",IF(COUNTIFS(DESPACHOS!$B$3:$B$3002,$C497)=0,"NO EXISTE",IF(COUNTIFS(DESPACHOS!$B$3:$B$3002,$C497)&gt;1,"DUPLICADO","OK")))</f>
        <v/>
      </c>
      <c r="L497" s="41" t="n"/>
      <c r="M497" s="41" t="n"/>
      <c r="N497" s="42">
        <f>IF($M497="","",IFERROR(INDEX(LISTAS!$F$3:$F$42,MATCH($M497,LISTAS!$E$3:$E$42,0)),"Por definir"))</f>
        <v/>
      </c>
      <c r="O497" s="41" t="n"/>
      <c r="P497" s="39">
        <f>IF($L497="","",IFERROR(INDEX(LISTAS!$B$3:$B$42,MATCH($L497,LISTAS!$A$3:$A$42,0)),"Media"))</f>
        <v/>
      </c>
      <c r="Q497" s="44" t="n"/>
      <c r="R497" s="45" t="n"/>
      <c r="S497" s="20">
        <f>IFERROR(IF(OR($R497="",$C497=""),"",$R497/INDEX(DESPACHOS!$M$3:$M$3002,MATCH($C497,DESPACHOS!$B$3:$B$3002,0))),"")</f>
        <v/>
      </c>
      <c r="T497" s="41" t="n"/>
      <c r="U497" s="43">
        <f>IF(OR($B497="",$L497=""),"",WORKDAY($B497,IFERROR(INDEX(LISTAS!$C$3:$C$42,MATCH($L497,LISTAS!$A$3:$A$42,0)),3)))</f>
        <v/>
      </c>
      <c r="V497" s="40" t="n"/>
      <c r="W497" s="19">
        <f>IF($B497="","",IF($V497&lt;&gt;"",$V497-$B497,TODAY()-$B497))</f>
        <v/>
      </c>
      <c r="X497" s="19">
        <f>IF(OR($B497="",$U497=""),"",IF($V497&lt;&gt;"",MAX(0,$V497-$U497),MAX(0,TODAY()-$U497)))</f>
        <v/>
      </c>
      <c r="Y497" s="39">
        <f>IF($C497="","",IF(IFERROR(INDEX(LISTAS!$I$3:$I$42,MATCH($T497,LISTAS!$H$3:$H$42,0)),"NO")="SÍ",IF(N($X497)&gt;0,"CERRADA FUERA DE SLA","CERRADA EN SLA"),IF($U497="","SIN CLASIFICAR",IF(N($X497)&gt;0,"VENCIDA",IF(TODAY()&gt;=$U497-1,"POR VENCER","EN PLAZO")))))</f>
        <v/>
      </c>
      <c r="Z497" s="41" t="n"/>
      <c r="AA497" s="41" t="n"/>
      <c r="AB497" s="41" t="n"/>
    </row>
    <row r="498">
      <c r="A498" s="39">
        <f>IF($C498="","","NOV-"&amp;TEXT(ROW()-3,"0000"))</f>
        <v/>
      </c>
      <c r="B498" s="40" t="n"/>
      <c r="C498" s="41" t="n"/>
      <c r="D498" s="42">
        <f>IF($C498="","",IFERROR(INDEX(DESPACHOS!$D$3:$D$3002,MATCH($C498,DESPACHOS!$B$3:$B$3002,0)),"SIN DESPACHO"))</f>
        <v/>
      </c>
      <c r="E498" s="42">
        <f>IF($C498="","",IFERROR(INDEX(DESPACHOS!$K$3:$K$3002,MATCH($C498,DESPACHOS!$B$3:$B$3002,0)),""))</f>
        <v/>
      </c>
      <c r="F498" s="42">
        <f>IF($C498="","",IFERROR(INDEX(DESPACHOS!$I$3:$I$3002,MATCH($C498,DESPACHOS!$B$3:$B$3002,0)),""))</f>
        <v/>
      </c>
      <c r="G498" s="42">
        <f>IF($C498="","",IFERROR(INDEX(DESPACHOS!$F$3:$F$3002,MATCH($C498,DESPACHOS!$B$3:$B$3002,0)),""))</f>
        <v/>
      </c>
      <c r="H498" s="42">
        <f>IF($C498="","",IFERROR(INDEX(DESPACHOS!$G$3:$G$3002,MATCH($C498,DESPACHOS!$B$3:$B$3002,0)),""))</f>
        <v/>
      </c>
      <c r="I498" s="39">
        <f>IF($C498="","",IFERROR(INDEX(DESPACHOS!$H$3:$H$3002,MATCH($C498,DESPACHOS!$B$3:$B$3002,0)),""))</f>
        <v/>
      </c>
      <c r="J498" s="43">
        <f>IF($C498="","",IFERROR(INDEX(DESPACHOS!$J$3:$J$3002,MATCH($C498,DESPACHOS!$B$3:$B$3002,0)),""))</f>
        <v/>
      </c>
      <c r="K498" s="39">
        <f>IF($C498="","",IF(COUNTIFS(DESPACHOS!$B$3:$B$3002,$C498)=0,"NO EXISTE",IF(COUNTIFS(DESPACHOS!$B$3:$B$3002,$C498)&gt;1,"DUPLICADO","OK")))</f>
        <v/>
      </c>
      <c r="L498" s="41" t="n"/>
      <c r="M498" s="41" t="n"/>
      <c r="N498" s="42">
        <f>IF($M498="","",IFERROR(INDEX(LISTAS!$F$3:$F$42,MATCH($M498,LISTAS!$E$3:$E$42,0)),"Por definir"))</f>
        <v/>
      </c>
      <c r="O498" s="41" t="n"/>
      <c r="P498" s="39">
        <f>IF($L498="","",IFERROR(INDEX(LISTAS!$B$3:$B$42,MATCH($L498,LISTAS!$A$3:$A$42,0)),"Media"))</f>
        <v/>
      </c>
      <c r="Q498" s="44" t="n"/>
      <c r="R498" s="45" t="n"/>
      <c r="S498" s="20">
        <f>IFERROR(IF(OR($R498="",$C498=""),"",$R498/INDEX(DESPACHOS!$M$3:$M$3002,MATCH($C498,DESPACHOS!$B$3:$B$3002,0))),"")</f>
        <v/>
      </c>
      <c r="T498" s="41" t="n"/>
      <c r="U498" s="43">
        <f>IF(OR($B498="",$L498=""),"",WORKDAY($B498,IFERROR(INDEX(LISTAS!$C$3:$C$42,MATCH($L498,LISTAS!$A$3:$A$42,0)),3)))</f>
        <v/>
      </c>
      <c r="V498" s="40" t="n"/>
      <c r="W498" s="19">
        <f>IF($B498="","",IF($V498&lt;&gt;"",$V498-$B498,TODAY()-$B498))</f>
        <v/>
      </c>
      <c r="X498" s="19">
        <f>IF(OR($B498="",$U498=""),"",IF($V498&lt;&gt;"",MAX(0,$V498-$U498),MAX(0,TODAY()-$U498)))</f>
        <v/>
      </c>
      <c r="Y498" s="39">
        <f>IF($C498="","",IF(IFERROR(INDEX(LISTAS!$I$3:$I$42,MATCH($T498,LISTAS!$H$3:$H$42,0)),"NO")="SÍ",IF(N($X498)&gt;0,"CERRADA FUERA DE SLA","CERRADA EN SLA"),IF($U498="","SIN CLASIFICAR",IF(N($X498)&gt;0,"VENCIDA",IF(TODAY()&gt;=$U498-1,"POR VENCER","EN PLAZO")))))</f>
        <v/>
      </c>
      <c r="Z498" s="41" t="n"/>
      <c r="AA498" s="41" t="n"/>
      <c r="AB498" s="41" t="n"/>
    </row>
    <row r="499">
      <c r="A499" s="39">
        <f>IF($C499="","","NOV-"&amp;TEXT(ROW()-3,"0000"))</f>
        <v/>
      </c>
      <c r="B499" s="40" t="n"/>
      <c r="C499" s="41" t="n"/>
      <c r="D499" s="42">
        <f>IF($C499="","",IFERROR(INDEX(DESPACHOS!$D$3:$D$3002,MATCH($C499,DESPACHOS!$B$3:$B$3002,0)),"SIN DESPACHO"))</f>
        <v/>
      </c>
      <c r="E499" s="42">
        <f>IF($C499="","",IFERROR(INDEX(DESPACHOS!$K$3:$K$3002,MATCH($C499,DESPACHOS!$B$3:$B$3002,0)),""))</f>
        <v/>
      </c>
      <c r="F499" s="42">
        <f>IF($C499="","",IFERROR(INDEX(DESPACHOS!$I$3:$I$3002,MATCH($C499,DESPACHOS!$B$3:$B$3002,0)),""))</f>
        <v/>
      </c>
      <c r="G499" s="42">
        <f>IF($C499="","",IFERROR(INDEX(DESPACHOS!$F$3:$F$3002,MATCH($C499,DESPACHOS!$B$3:$B$3002,0)),""))</f>
        <v/>
      </c>
      <c r="H499" s="42">
        <f>IF($C499="","",IFERROR(INDEX(DESPACHOS!$G$3:$G$3002,MATCH($C499,DESPACHOS!$B$3:$B$3002,0)),""))</f>
        <v/>
      </c>
      <c r="I499" s="39">
        <f>IF($C499="","",IFERROR(INDEX(DESPACHOS!$H$3:$H$3002,MATCH($C499,DESPACHOS!$B$3:$B$3002,0)),""))</f>
        <v/>
      </c>
      <c r="J499" s="43">
        <f>IF($C499="","",IFERROR(INDEX(DESPACHOS!$J$3:$J$3002,MATCH($C499,DESPACHOS!$B$3:$B$3002,0)),""))</f>
        <v/>
      </c>
      <c r="K499" s="39">
        <f>IF($C499="","",IF(COUNTIFS(DESPACHOS!$B$3:$B$3002,$C499)=0,"NO EXISTE",IF(COUNTIFS(DESPACHOS!$B$3:$B$3002,$C499)&gt;1,"DUPLICADO","OK")))</f>
        <v/>
      </c>
      <c r="L499" s="41" t="n"/>
      <c r="M499" s="41" t="n"/>
      <c r="N499" s="42">
        <f>IF($M499="","",IFERROR(INDEX(LISTAS!$F$3:$F$42,MATCH($M499,LISTAS!$E$3:$E$42,0)),"Por definir"))</f>
        <v/>
      </c>
      <c r="O499" s="41" t="n"/>
      <c r="P499" s="39">
        <f>IF($L499="","",IFERROR(INDEX(LISTAS!$B$3:$B$42,MATCH($L499,LISTAS!$A$3:$A$42,0)),"Media"))</f>
        <v/>
      </c>
      <c r="Q499" s="44" t="n"/>
      <c r="R499" s="45" t="n"/>
      <c r="S499" s="20">
        <f>IFERROR(IF(OR($R499="",$C499=""),"",$R499/INDEX(DESPACHOS!$M$3:$M$3002,MATCH($C499,DESPACHOS!$B$3:$B$3002,0))),"")</f>
        <v/>
      </c>
      <c r="T499" s="41" t="n"/>
      <c r="U499" s="43">
        <f>IF(OR($B499="",$L499=""),"",WORKDAY($B499,IFERROR(INDEX(LISTAS!$C$3:$C$42,MATCH($L499,LISTAS!$A$3:$A$42,0)),3)))</f>
        <v/>
      </c>
      <c r="V499" s="40" t="n"/>
      <c r="W499" s="19">
        <f>IF($B499="","",IF($V499&lt;&gt;"",$V499-$B499,TODAY()-$B499))</f>
        <v/>
      </c>
      <c r="X499" s="19">
        <f>IF(OR($B499="",$U499=""),"",IF($V499&lt;&gt;"",MAX(0,$V499-$U499),MAX(0,TODAY()-$U499)))</f>
        <v/>
      </c>
      <c r="Y499" s="39">
        <f>IF($C499="","",IF(IFERROR(INDEX(LISTAS!$I$3:$I$42,MATCH($T499,LISTAS!$H$3:$H$42,0)),"NO")="SÍ",IF(N($X499)&gt;0,"CERRADA FUERA DE SLA","CERRADA EN SLA"),IF($U499="","SIN CLASIFICAR",IF(N($X499)&gt;0,"VENCIDA",IF(TODAY()&gt;=$U499-1,"POR VENCER","EN PLAZO")))))</f>
        <v/>
      </c>
      <c r="Z499" s="41" t="n"/>
      <c r="AA499" s="41" t="n"/>
      <c r="AB499" s="41" t="n"/>
    </row>
    <row r="500">
      <c r="A500" s="39">
        <f>IF($C500="","","NOV-"&amp;TEXT(ROW()-3,"0000"))</f>
        <v/>
      </c>
      <c r="B500" s="40" t="n"/>
      <c r="C500" s="41" t="n"/>
      <c r="D500" s="42">
        <f>IF($C500="","",IFERROR(INDEX(DESPACHOS!$D$3:$D$3002,MATCH($C500,DESPACHOS!$B$3:$B$3002,0)),"SIN DESPACHO"))</f>
        <v/>
      </c>
      <c r="E500" s="42">
        <f>IF($C500="","",IFERROR(INDEX(DESPACHOS!$K$3:$K$3002,MATCH($C500,DESPACHOS!$B$3:$B$3002,0)),""))</f>
        <v/>
      </c>
      <c r="F500" s="42">
        <f>IF($C500="","",IFERROR(INDEX(DESPACHOS!$I$3:$I$3002,MATCH($C500,DESPACHOS!$B$3:$B$3002,0)),""))</f>
        <v/>
      </c>
      <c r="G500" s="42">
        <f>IF($C500="","",IFERROR(INDEX(DESPACHOS!$F$3:$F$3002,MATCH($C500,DESPACHOS!$B$3:$B$3002,0)),""))</f>
        <v/>
      </c>
      <c r="H500" s="42">
        <f>IF($C500="","",IFERROR(INDEX(DESPACHOS!$G$3:$G$3002,MATCH($C500,DESPACHOS!$B$3:$B$3002,0)),""))</f>
        <v/>
      </c>
      <c r="I500" s="39">
        <f>IF($C500="","",IFERROR(INDEX(DESPACHOS!$H$3:$H$3002,MATCH($C500,DESPACHOS!$B$3:$B$3002,0)),""))</f>
        <v/>
      </c>
      <c r="J500" s="43">
        <f>IF($C500="","",IFERROR(INDEX(DESPACHOS!$J$3:$J$3002,MATCH($C500,DESPACHOS!$B$3:$B$3002,0)),""))</f>
        <v/>
      </c>
      <c r="K500" s="39">
        <f>IF($C500="","",IF(COUNTIFS(DESPACHOS!$B$3:$B$3002,$C500)=0,"NO EXISTE",IF(COUNTIFS(DESPACHOS!$B$3:$B$3002,$C500)&gt;1,"DUPLICADO","OK")))</f>
        <v/>
      </c>
      <c r="L500" s="41" t="n"/>
      <c r="M500" s="41" t="n"/>
      <c r="N500" s="42">
        <f>IF($M500="","",IFERROR(INDEX(LISTAS!$F$3:$F$42,MATCH($M500,LISTAS!$E$3:$E$42,0)),"Por definir"))</f>
        <v/>
      </c>
      <c r="O500" s="41" t="n"/>
      <c r="P500" s="39">
        <f>IF($L500="","",IFERROR(INDEX(LISTAS!$B$3:$B$42,MATCH($L500,LISTAS!$A$3:$A$42,0)),"Media"))</f>
        <v/>
      </c>
      <c r="Q500" s="44" t="n"/>
      <c r="R500" s="45" t="n"/>
      <c r="S500" s="20">
        <f>IFERROR(IF(OR($R500="",$C500=""),"",$R500/INDEX(DESPACHOS!$M$3:$M$3002,MATCH($C500,DESPACHOS!$B$3:$B$3002,0))),"")</f>
        <v/>
      </c>
      <c r="T500" s="41" t="n"/>
      <c r="U500" s="43">
        <f>IF(OR($B500="",$L500=""),"",WORKDAY($B500,IFERROR(INDEX(LISTAS!$C$3:$C$42,MATCH($L500,LISTAS!$A$3:$A$42,0)),3)))</f>
        <v/>
      </c>
      <c r="V500" s="40" t="n"/>
      <c r="W500" s="19">
        <f>IF($B500="","",IF($V500&lt;&gt;"",$V500-$B500,TODAY()-$B500))</f>
        <v/>
      </c>
      <c r="X500" s="19">
        <f>IF(OR($B500="",$U500=""),"",IF($V500&lt;&gt;"",MAX(0,$V500-$U500),MAX(0,TODAY()-$U500)))</f>
        <v/>
      </c>
      <c r="Y500" s="39">
        <f>IF($C500="","",IF(IFERROR(INDEX(LISTAS!$I$3:$I$42,MATCH($T500,LISTAS!$H$3:$H$42,0)),"NO")="SÍ",IF(N($X500)&gt;0,"CERRADA FUERA DE SLA","CERRADA EN SLA"),IF($U500="","SIN CLASIFICAR",IF(N($X500)&gt;0,"VENCIDA",IF(TODAY()&gt;=$U500-1,"POR VENCER","EN PLAZO")))))</f>
        <v/>
      </c>
      <c r="Z500" s="41" t="n"/>
      <c r="AA500" s="41" t="n"/>
      <c r="AB500" s="41" t="n"/>
    </row>
    <row r="501">
      <c r="A501" s="39">
        <f>IF($C501="","","NOV-"&amp;TEXT(ROW()-3,"0000"))</f>
        <v/>
      </c>
      <c r="B501" s="40" t="n"/>
      <c r="C501" s="41" t="n"/>
      <c r="D501" s="42">
        <f>IF($C501="","",IFERROR(INDEX(DESPACHOS!$D$3:$D$3002,MATCH($C501,DESPACHOS!$B$3:$B$3002,0)),"SIN DESPACHO"))</f>
        <v/>
      </c>
      <c r="E501" s="42">
        <f>IF($C501="","",IFERROR(INDEX(DESPACHOS!$K$3:$K$3002,MATCH($C501,DESPACHOS!$B$3:$B$3002,0)),""))</f>
        <v/>
      </c>
      <c r="F501" s="42">
        <f>IF($C501="","",IFERROR(INDEX(DESPACHOS!$I$3:$I$3002,MATCH($C501,DESPACHOS!$B$3:$B$3002,0)),""))</f>
        <v/>
      </c>
      <c r="G501" s="42">
        <f>IF($C501="","",IFERROR(INDEX(DESPACHOS!$F$3:$F$3002,MATCH($C501,DESPACHOS!$B$3:$B$3002,0)),""))</f>
        <v/>
      </c>
      <c r="H501" s="42">
        <f>IF($C501="","",IFERROR(INDEX(DESPACHOS!$G$3:$G$3002,MATCH($C501,DESPACHOS!$B$3:$B$3002,0)),""))</f>
        <v/>
      </c>
      <c r="I501" s="39">
        <f>IF($C501="","",IFERROR(INDEX(DESPACHOS!$H$3:$H$3002,MATCH($C501,DESPACHOS!$B$3:$B$3002,0)),""))</f>
        <v/>
      </c>
      <c r="J501" s="43">
        <f>IF($C501="","",IFERROR(INDEX(DESPACHOS!$J$3:$J$3002,MATCH($C501,DESPACHOS!$B$3:$B$3002,0)),""))</f>
        <v/>
      </c>
      <c r="K501" s="39">
        <f>IF($C501="","",IF(COUNTIFS(DESPACHOS!$B$3:$B$3002,$C501)=0,"NO EXISTE",IF(COUNTIFS(DESPACHOS!$B$3:$B$3002,$C501)&gt;1,"DUPLICADO","OK")))</f>
        <v/>
      </c>
      <c r="L501" s="41" t="n"/>
      <c r="M501" s="41" t="n"/>
      <c r="N501" s="42">
        <f>IF($M501="","",IFERROR(INDEX(LISTAS!$F$3:$F$42,MATCH($M501,LISTAS!$E$3:$E$42,0)),"Por definir"))</f>
        <v/>
      </c>
      <c r="O501" s="41" t="n"/>
      <c r="P501" s="39">
        <f>IF($L501="","",IFERROR(INDEX(LISTAS!$B$3:$B$42,MATCH($L501,LISTAS!$A$3:$A$42,0)),"Media"))</f>
        <v/>
      </c>
      <c r="Q501" s="44" t="n"/>
      <c r="R501" s="45" t="n"/>
      <c r="S501" s="20">
        <f>IFERROR(IF(OR($R501="",$C501=""),"",$R501/INDEX(DESPACHOS!$M$3:$M$3002,MATCH($C501,DESPACHOS!$B$3:$B$3002,0))),"")</f>
        <v/>
      </c>
      <c r="T501" s="41" t="n"/>
      <c r="U501" s="43">
        <f>IF(OR($B501="",$L501=""),"",WORKDAY($B501,IFERROR(INDEX(LISTAS!$C$3:$C$42,MATCH($L501,LISTAS!$A$3:$A$42,0)),3)))</f>
        <v/>
      </c>
      <c r="V501" s="40" t="n"/>
      <c r="W501" s="19">
        <f>IF($B501="","",IF($V501&lt;&gt;"",$V501-$B501,TODAY()-$B501))</f>
        <v/>
      </c>
      <c r="X501" s="19">
        <f>IF(OR($B501="",$U501=""),"",IF($V501&lt;&gt;"",MAX(0,$V501-$U501),MAX(0,TODAY()-$U501)))</f>
        <v/>
      </c>
      <c r="Y501" s="39">
        <f>IF($C501="","",IF(IFERROR(INDEX(LISTAS!$I$3:$I$42,MATCH($T501,LISTAS!$H$3:$H$42,0)),"NO")="SÍ",IF(N($X501)&gt;0,"CERRADA FUERA DE SLA","CERRADA EN SLA"),IF($U501="","SIN CLASIFICAR",IF(N($X501)&gt;0,"VENCIDA",IF(TODAY()&gt;=$U501-1,"POR VENCER","EN PLAZO")))))</f>
        <v/>
      </c>
      <c r="Z501" s="41" t="n"/>
      <c r="AA501" s="41" t="n"/>
      <c r="AB501" s="41" t="n"/>
    </row>
    <row r="502">
      <c r="A502" s="39">
        <f>IF($C502="","","NOV-"&amp;TEXT(ROW()-3,"0000"))</f>
        <v/>
      </c>
      <c r="B502" s="40" t="n"/>
      <c r="C502" s="41" t="n"/>
      <c r="D502" s="42">
        <f>IF($C502="","",IFERROR(INDEX(DESPACHOS!$D$3:$D$3002,MATCH($C502,DESPACHOS!$B$3:$B$3002,0)),"SIN DESPACHO"))</f>
        <v/>
      </c>
      <c r="E502" s="42">
        <f>IF($C502="","",IFERROR(INDEX(DESPACHOS!$K$3:$K$3002,MATCH($C502,DESPACHOS!$B$3:$B$3002,0)),""))</f>
        <v/>
      </c>
      <c r="F502" s="42">
        <f>IF($C502="","",IFERROR(INDEX(DESPACHOS!$I$3:$I$3002,MATCH($C502,DESPACHOS!$B$3:$B$3002,0)),""))</f>
        <v/>
      </c>
      <c r="G502" s="42">
        <f>IF($C502="","",IFERROR(INDEX(DESPACHOS!$F$3:$F$3002,MATCH($C502,DESPACHOS!$B$3:$B$3002,0)),""))</f>
        <v/>
      </c>
      <c r="H502" s="42">
        <f>IF($C502="","",IFERROR(INDEX(DESPACHOS!$G$3:$G$3002,MATCH($C502,DESPACHOS!$B$3:$B$3002,0)),""))</f>
        <v/>
      </c>
      <c r="I502" s="39">
        <f>IF($C502="","",IFERROR(INDEX(DESPACHOS!$H$3:$H$3002,MATCH($C502,DESPACHOS!$B$3:$B$3002,0)),""))</f>
        <v/>
      </c>
      <c r="J502" s="43">
        <f>IF($C502="","",IFERROR(INDEX(DESPACHOS!$J$3:$J$3002,MATCH($C502,DESPACHOS!$B$3:$B$3002,0)),""))</f>
        <v/>
      </c>
      <c r="K502" s="39">
        <f>IF($C502="","",IF(COUNTIFS(DESPACHOS!$B$3:$B$3002,$C502)=0,"NO EXISTE",IF(COUNTIFS(DESPACHOS!$B$3:$B$3002,$C502)&gt;1,"DUPLICADO","OK")))</f>
        <v/>
      </c>
      <c r="L502" s="41" t="n"/>
      <c r="M502" s="41" t="n"/>
      <c r="N502" s="42">
        <f>IF($M502="","",IFERROR(INDEX(LISTAS!$F$3:$F$42,MATCH($M502,LISTAS!$E$3:$E$42,0)),"Por definir"))</f>
        <v/>
      </c>
      <c r="O502" s="41" t="n"/>
      <c r="P502" s="39">
        <f>IF($L502="","",IFERROR(INDEX(LISTAS!$B$3:$B$42,MATCH($L502,LISTAS!$A$3:$A$42,0)),"Media"))</f>
        <v/>
      </c>
      <c r="Q502" s="44" t="n"/>
      <c r="R502" s="45" t="n"/>
      <c r="S502" s="20">
        <f>IFERROR(IF(OR($R502="",$C502=""),"",$R502/INDEX(DESPACHOS!$M$3:$M$3002,MATCH($C502,DESPACHOS!$B$3:$B$3002,0))),"")</f>
        <v/>
      </c>
      <c r="T502" s="41" t="n"/>
      <c r="U502" s="43">
        <f>IF(OR($B502="",$L502=""),"",WORKDAY($B502,IFERROR(INDEX(LISTAS!$C$3:$C$42,MATCH($L502,LISTAS!$A$3:$A$42,0)),3)))</f>
        <v/>
      </c>
      <c r="V502" s="40" t="n"/>
      <c r="W502" s="19">
        <f>IF($B502="","",IF($V502&lt;&gt;"",$V502-$B502,TODAY()-$B502))</f>
        <v/>
      </c>
      <c r="X502" s="19">
        <f>IF(OR($B502="",$U502=""),"",IF($V502&lt;&gt;"",MAX(0,$V502-$U502),MAX(0,TODAY()-$U502)))</f>
        <v/>
      </c>
      <c r="Y502" s="39">
        <f>IF($C502="","",IF(IFERROR(INDEX(LISTAS!$I$3:$I$42,MATCH($T502,LISTAS!$H$3:$H$42,0)),"NO")="SÍ",IF(N($X502)&gt;0,"CERRADA FUERA DE SLA","CERRADA EN SLA"),IF($U502="","SIN CLASIFICAR",IF(N($X502)&gt;0,"VENCIDA",IF(TODAY()&gt;=$U502-1,"POR VENCER","EN PLAZO")))))</f>
        <v/>
      </c>
      <c r="Z502" s="41" t="n"/>
      <c r="AA502" s="41" t="n"/>
      <c r="AB502" s="41" t="n"/>
    </row>
    <row r="503">
      <c r="A503" s="39">
        <f>IF($C503="","","NOV-"&amp;TEXT(ROW()-3,"0000"))</f>
        <v/>
      </c>
      <c r="B503" s="40" t="n"/>
      <c r="C503" s="41" t="n"/>
      <c r="D503" s="42">
        <f>IF($C503="","",IFERROR(INDEX(DESPACHOS!$D$3:$D$3002,MATCH($C503,DESPACHOS!$B$3:$B$3002,0)),"SIN DESPACHO"))</f>
        <v/>
      </c>
      <c r="E503" s="42">
        <f>IF($C503="","",IFERROR(INDEX(DESPACHOS!$K$3:$K$3002,MATCH($C503,DESPACHOS!$B$3:$B$3002,0)),""))</f>
        <v/>
      </c>
      <c r="F503" s="42">
        <f>IF($C503="","",IFERROR(INDEX(DESPACHOS!$I$3:$I$3002,MATCH($C503,DESPACHOS!$B$3:$B$3002,0)),""))</f>
        <v/>
      </c>
      <c r="G503" s="42">
        <f>IF($C503="","",IFERROR(INDEX(DESPACHOS!$F$3:$F$3002,MATCH($C503,DESPACHOS!$B$3:$B$3002,0)),""))</f>
        <v/>
      </c>
      <c r="H503" s="42">
        <f>IF($C503="","",IFERROR(INDEX(DESPACHOS!$G$3:$G$3002,MATCH($C503,DESPACHOS!$B$3:$B$3002,0)),""))</f>
        <v/>
      </c>
      <c r="I503" s="39">
        <f>IF($C503="","",IFERROR(INDEX(DESPACHOS!$H$3:$H$3002,MATCH($C503,DESPACHOS!$B$3:$B$3002,0)),""))</f>
        <v/>
      </c>
      <c r="J503" s="43">
        <f>IF($C503="","",IFERROR(INDEX(DESPACHOS!$J$3:$J$3002,MATCH($C503,DESPACHOS!$B$3:$B$3002,0)),""))</f>
        <v/>
      </c>
      <c r="K503" s="39">
        <f>IF($C503="","",IF(COUNTIFS(DESPACHOS!$B$3:$B$3002,$C503)=0,"NO EXISTE",IF(COUNTIFS(DESPACHOS!$B$3:$B$3002,$C503)&gt;1,"DUPLICADO","OK")))</f>
        <v/>
      </c>
      <c r="L503" s="41" t="n"/>
      <c r="M503" s="41" t="n"/>
      <c r="N503" s="42">
        <f>IF($M503="","",IFERROR(INDEX(LISTAS!$F$3:$F$42,MATCH($M503,LISTAS!$E$3:$E$42,0)),"Por definir"))</f>
        <v/>
      </c>
      <c r="O503" s="41" t="n"/>
      <c r="P503" s="39">
        <f>IF($L503="","",IFERROR(INDEX(LISTAS!$B$3:$B$42,MATCH($L503,LISTAS!$A$3:$A$42,0)),"Media"))</f>
        <v/>
      </c>
      <c r="Q503" s="44" t="n"/>
      <c r="R503" s="45" t="n"/>
      <c r="S503" s="20">
        <f>IFERROR(IF(OR($R503="",$C503=""),"",$R503/INDEX(DESPACHOS!$M$3:$M$3002,MATCH($C503,DESPACHOS!$B$3:$B$3002,0))),"")</f>
        <v/>
      </c>
      <c r="T503" s="41" t="n"/>
      <c r="U503" s="43">
        <f>IF(OR($B503="",$L503=""),"",WORKDAY($B503,IFERROR(INDEX(LISTAS!$C$3:$C$42,MATCH($L503,LISTAS!$A$3:$A$42,0)),3)))</f>
        <v/>
      </c>
      <c r="V503" s="40" t="n"/>
      <c r="W503" s="19">
        <f>IF($B503="","",IF($V503&lt;&gt;"",$V503-$B503,TODAY()-$B503))</f>
        <v/>
      </c>
      <c r="X503" s="19">
        <f>IF(OR($B503="",$U503=""),"",IF($V503&lt;&gt;"",MAX(0,$V503-$U503),MAX(0,TODAY()-$U503)))</f>
        <v/>
      </c>
      <c r="Y503" s="39">
        <f>IF($C503="","",IF(IFERROR(INDEX(LISTAS!$I$3:$I$42,MATCH($T503,LISTAS!$H$3:$H$42,0)),"NO")="SÍ",IF(N($X503)&gt;0,"CERRADA FUERA DE SLA","CERRADA EN SLA"),IF($U503="","SIN CLASIFICAR",IF(N($X503)&gt;0,"VENCIDA",IF(TODAY()&gt;=$U503-1,"POR VENCER","EN PLAZO")))))</f>
        <v/>
      </c>
      <c r="Z503" s="41" t="n"/>
      <c r="AA503" s="41" t="n"/>
      <c r="AB503" s="41" t="n"/>
    </row>
    <row r="504">
      <c r="A504" s="39">
        <f>IF($C504="","","NOV-"&amp;TEXT(ROW()-3,"0000"))</f>
        <v/>
      </c>
      <c r="B504" s="40" t="n"/>
      <c r="C504" s="41" t="n"/>
      <c r="D504" s="42">
        <f>IF($C504="","",IFERROR(INDEX(DESPACHOS!$D$3:$D$3002,MATCH($C504,DESPACHOS!$B$3:$B$3002,0)),"SIN DESPACHO"))</f>
        <v/>
      </c>
      <c r="E504" s="42">
        <f>IF($C504="","",IFERROR(INDEX(DESPACHOS!$K$3:$K$3002,MATCH($C504,DESPACHOS!$B$3:$B$3002,0)),""))</f>
        <v/>
      </c>
      <c r="F504" s="42">
        <f>IF($C504="","",IFERROR(INDEX(DESPACHOS!$I$3:$I$3002,MATCH($C504,DESPACHOS!$B$3:$B$3002,0)),""))</f>
        <v/>
      </c>
      <c r="G504" s="42">
        <f>IF($C504="","",IFERROR(INDEX(DESPACHOS!$F$3:$F$3002,MATCH($C504,DESPACHOS!$B$3:$B$3002,0)),""))</f>
        <v/>
      </c>
      <c r="H504" s="42">
        <f>IF($C504="","",IFERROR(INDEX(DESPACHOS!$G$3:$G$3002,MATCH($C504,DESPACHOS!$B$3:$B$3002,0)),""))</f>
        <v/>
      </c>
      <c r="I504" s="39">
        <f>IF($C504="","",IFERROR(INDEX(DESPACHOS!$H$3:$H$3002,MATCH($C504,DESPACHOS!$B$3:$B$3002,0)),""))</f>
        <v/>
      </c>
      <c r="J504" s="43">
        <f>IF($C504="","",IFERROR(INDEX(DESPACHOS!$J$3:$J$3002,MATCH($C504,DESPACHOS!$B$3:$B$3002,0)),""))</f>
        <v/>
      </c>
      <c r="K504" s="39">
        <f>IF($C504="","",IF(COUNTIFS(DESPACHOS!$B$3:$B$3002,$C504)=0,"NO EXISTE",IF(COUNTIFS(DESPACHOS!$B$3:$B$3002,$C504)&gt;1,"DUPLICADO","OK")))</f>
        <v/>
      </c>
      <c r="L504" s="41" t="n"/>
      <c r="M504" s="41" t="n"/>
      <c r="N504" s="42">
        <f>IF($M504="","",IFERROR(INDEX(LISTAS!$F$3:$F$42,MATCH($M504,LISTAS!$E$3:$E$42,0)),"Por definir"))</f>
        <v/>
      </c>
      <c r="O504" s="41" t="n"/>
      <c r="P504" s="39">
        <f>IF($L504="","",IFERROR(INDEX(LISTAS!$B$3:$B$42,MATCH($L504,LISTAS!$A$3:$A$42,0)),"Media"))</f>
        <v/>
      </c>
      <c r="Q504" s="44" t="n"/>
      <c r="R504" s="45" t="n"/>
      <c r="S504" s="20">
        <f>IFERROR(IF(OR($R504="",$C504=""),"",$R504/INDEX(DESPACHOS!$M$3:$M$3002,MATCH($C504,DESPACHOS!$B$3:$B$3002,0))),"")</f>
        <v/>
      </c>
      <c r="T504" s="41" t="n"/>
      <c r="U504" s="43">
        <f>IF(OR($B504="",$L504=""),"",WORKDAY($B504,IFERROR(INDEX(LISTAS!$C$3:$C$42,MATCH($L504,LISTAS!$A$3:$A$42,0)),3)))</f>
        <v/>
      </c>
      <c r="V504" s="40" t="n"/>
      <c r="W504" s="19">
        <f>IF($B504="","",IF($V504&lt;&gt;"",$V504-$B504,TODAY()-$B504))</f>
        <v/>
      </c>
      <c r="X504" s="19">
        <f>IF(OR($B504="",$U504=""),"",IF($V504&lt;&gt;"",MAX(0,$V504-$U504),MAX(0,TODAY()-$U504)))</f>
        <v/>
      </c>
      <c r="Y504" s="39">
        <f>IF($C504="","",IF(IFERROR(INDEX(LISTAS!$I$3:$I$42,MATCH($T504,LISTAS!$H$3:$H$42,0)),"NO")="SÍ",IF(N($X504)&gt;0,"CERRADA FUERA DE SLA","CERRADA EN SLA"),IF($U504="","SIN CLASIFICAR",IF(N($X504)&gt;0,"VENCIDA",IF(TODAY()&gt;=$U504-1,"POR VENCER","EN PLAZO")))))</f>
        <v/>
      </c>
      <c r="Z504" s="41" t="n"/>
      <c r="AA504" s="41" t="n"/>
      <c r="AB504" s="41" t="n"/>
    </row>
    <row r="505">
      <c r="A505" s="39">
        <f>IF($C505="","","NOV-"&amp;TEXT(ROW()-3,"0000"))</f>
        <v/>
      </c>
      <c r="B505" s="40" t="n"/>
      <c r="C505" s="41" t="n"/>
      <c r="D505" s="42">
        <f>IF($C505="","",IFERROR(INDEX(DESPACHOS!$D$3:$D$3002,MATCH($C505,DESPACHOS!$B$3:$B$3002,0)),"SIN DESPACHO"))</f>
        <v/>
      </c>
      <c r="E505" s="42">
        <f>IF($C505="","",IFERROR(INDEX(DESPACHOS!$K$3:$K$3002,MATCH($C505,DESPACHOS!$B$3:$B$3002,0)),""))</f>
        <v/>
      </c>
      <c r="F505" s="42">
        <f>IF($C505="","",IFERROR(INDEX(DESPACHOS!$I$3:$I$3002,MATCH($C505,DESPACHOS!$B$3:$B$3002,0)),""))</f>
        <v/>
      </c>
      <c r="G505" s="42">
        <f>IF($C505="","",IFERROR(INDEX(DESPACHOS!$F$3:$F$3002,MATCH($C505,DESPACHOS!$B$3:$B$3002,0)),""))</f>
        <v/>
      </c>
      <c r="H505" s="42">
        <f>IF($C505="","",IFERROR(INDEX(DESPACHOS!$G$3:$G$3002,MATCH($C505,DESPACHOS!$B$3:$B$3002,0)),""))</f>
        <v/>
      </c>
      <c r="I505" s="39">
        <f>IF($C505="","",IFERROR(INDEX(DESPACHOS!$H$3:$H$3002,MATCH($C505,DESPACHOS!$B$3:$B$3002,0)),""))</f>
        <v/>
      </c>
      <c r="J505" s="43">
        <f>IF($C505="","",IFERROR(INDEX(DESPACHOS!$J$3:$J$3002,MATCH($C505,DESPACHOS!$B$3:$B$3002,0)),""))</f>
        <v/>
      </c>
      <c r="K505" s="39">
        <f>IF($C505="","",IF(COUNTIFS(DESPACHOS!$B$3:$B$3002,$C505)=0,"NO EXISTE",IF(COUNTIFS(DESPACHOS!$B$3:$B$3002,$C505)&gt;1,"DUPLICADO","OK")))</f>
        <v/>
      </c>
      <c r="L505" s="41" t="n"/>
      <c r="M505" s="41" t="n"/>
      <c r="N505" s="42">
        <f>IF($M505="","",IFERROR(INDEX(LISTAS!$F$3:$F$42,MATCH($M505,LISTAS!$E$3:$E$42,0)),"Por definir"))</f>
        <v/>
      </c>
      <c r="O505" s="41" t="n"/>
      <c r="P505" s="39">
        <f>IF($L505="","",IFERROR(INDEX(LISTAS!$B$3:$B$42,MATCH($L505,LISTAS!$A$3:$A$42,0)),"Media"))</f>
        <v/>
      </c>
      <c r="Q505" s="44" t="n"/>
      <c r="R505" s="45" t="n"/>
      <c r="S505" s="20">
        <f>IFERROR(IF(OR($R505="",$C505=""),"",$R505/INDEX(DESPACHOS!$M$3:$M$3002,MATCH($C505,DESPACHOS!$B$3:$B$3002,0))),"")</f>
        <v/>
      </c>
      <c r="T505" s="41" t="n"/>
      <c r="U505" s="43">
        <f>IF(OR($B505="",$L505=""),"",WORKDAY($B505,IFERROR(INDEX(LISTAS!$C$3:$C$42,MATCH($L505,LISTAS!$A$3:$A$42,0)),3)))</f>
        <v/>
      </c>
      <c r="V505" s="40" t="n"/>
      <c r="W505" s="19">
        <f>IF($B505="","",IF($V505&lt;&gt;"",$V505-$B505,TODAY()-$B505))</f>
        <v/>
      </c>
      <c r="X505" s="19">
        <f>IF(OR($B505="",$U505=""),"",IF($V505&lt;&gt;"",MAX(0,$V505-$U505),MAX(0,TODAY()-$U505)))</f>
        <v/>
      </c>
      <c r="Y505" s="39">
        <f>IF($C505="","",IF(IFERROR(INDEX(LISTAS!$I$3:$I$42,MATCH($T505,LISTAS!$H$3:$H$42,0)),"NO")="SÍ",IF(N($X505)&gt;0,"CERRADA FUERA DE SLA","CERRADA EN SLA"),IF($U505="","SIN CLASIFICAR",IF(N($X505)&gt;0,"VENCIDA",IF(TODAY()&gt;=$U505-1,"POR VENCER","EN PLAZO")))))</f>
        <v/>
      </c>
      <c r="Z505" s="41" t="n"/>
      <c r="AA505" s="41" t="n"/>
      <c r="AB505" s="41" t="n"/>
    </row>
    <row r="506">
      <c r="A506" s="39">
        <f>IF($C506="","","NOV-"&amp;TEXT(ROW()-3,"0000"))</f>
        <v/>
      </c>
      <c r="B506" s="40" t="n"/>
      <c r="C506" s="41" t="n"/>
      <c r="D506" s="42">
        <f>IF($C506="","",IFERROR(INDEX(DESPACHOS!$D$3:$D$3002,MATCH($C506,DESPACHOS!$B$3:$B$3002,0)),"SIN DESPACHO"))</f>
        <v/>
      </c>
      <c r="E506" s="42">
        <f>IF($C506="","",IFERROR(INDEX(DESPACHOS!$K$3:$K$3002,MATCH($C506,DESPACHOS!$B$3:$B$3002,0)),""))</f>
        <v/>
      </c>
      <c r="F506" s="42">
        <f>IF($C506="","",IFERROR(INDEX(DESPACHOS!$I$3:$I$3002,MATCH($C506,DESPACHOS!$B$3:$B$3002,0)),""))</f>
        <v/>
      </c>
      <c r="G506" s="42">
        <f>IF($C506="","",IFERROR(INDEX(DESPACHOS!$F$3:$F$3002,MATCH($C506,DESPACHOS!$B$3:$B$3002,0)),""))</f>
        <v/>
      </c>
      <c r="H506" s="42">
        <f>IF($C506="","",IFERROR(INDEX(DESPACHOS!$G$3:$G$3002,MATCH($C506,DESPACHOS!$B$3:$B$3002,0)),""))</f>
        <v/>
      </c>
      <c r="I506" s="39">
        <f>IF($C506="","",IFERROR(INDEX(DESPACHOS!$H$3:$H$3002,MATCH($C506,DESPACHOS!$B$3:$B$3002,0)),""))</f>
        <v/>
      </c>
      <c r="J506" s="43">
        <f>IF($C506="","",IFERROR(INDEX(DESPACHOS!$J$3:$J$3002,MATCH($C506,DESPACHOS!$B$3:$B$3002,0)),""))</f>
        <v/>
      </c>
      <c r="K506" s="39">
        <f>IF($C506="","",IF(COUNTIFS(DESPACHOS!$B$3:$B$3002,$C506)=0,"NO EXISTE",IF(COUNTIFS(DESPACHOS!$B$3:$B$3002,$C506)&gt;1,"DUPLICADO","OK")))</f>
        <v/>
      </c>
      <c r="L506" s="41" t="n"/>
      <c r="M506" s="41" t="n"/>
      <c r="N506" s="42">
        <f>IF($M506="","",IFERROR(INDEX(LISTAS!$F$3:$F$42,MATCH($M506,LISTAS!$E$3:$E$42,0)),"Por definir"))</f>
        <v/>
      </c>
      <c r="O506" s="41" t="n"/>
      <c r="P506" s="39">
        <f>IF($L506="","",IFERROR(INDEX(LISTAS!$B$3:$B$42,MATCH($L506,LISTAS!$A$3:$A$42,0)),"Media"))</f>
        <v/>
      </c>
      <c r="Q506" s="44" t="n"/>
      <c r="R506" s="45" t="n"/>
      <c r="S506" s="20">
        <f>IFERROR(IF(OR($R506="",$C506=""),"",$R506/INDEX(DESPACHOS!$M$3:$M$3002,MATCH($C506,DESPACHOS!$B$3:$B$3002,0))),"")</f>
        <v/>
      </c>
      <c r="T506" s="41" t="n"/>
      <c r="U506" s="43">
        <f>IF(OR($B506="",$L506=""),"",WORKDAY($B506,IFERROR(INDEX(LISTAS!$C$3:$C$42,MATCH($L506,LISTAS!$A$3:$A$42,0)),3)))</f>
        <v/>
      </c>
      <c r="V506" s="40" t="n"/>
      <c r="W506" s="19">
        <f>IF($B506="","",IF($V506&lt;&gt;"",$V506-$B506,TODAY()-$B506))</f>
        <v/>
      </c>
      <c r="X506" s="19">
        <f>IF(OR($B506="",$U506=""),"",IF($V506&lt;&gt;"",MAX(0,$V506-$U506),MAX(0,TODAY()-$U506)))</f>
        <v/>
      </c>
      <c r="Y506" s="39">
        <f>IF($C506="","",IF(IFERROR(INDEX(LISTAS!$I$3:$I$42,MATCH($T506,LISTAS!$H$3:$H$42,0)),"NO")="SÍ",IF(N($X506)&gt;0,"CERRADA FUERA DE SLA","CERRADA EN SLA"),IF($U506="","SIN CLASIFICAR",IF(N($X506)&gt;0,"VENCIDA",IF(TODAY()&gt;=$U506-1,"POR VENCER","EN PLAZO")))))</f>
        <v/>
      </c>
      <c r="Z506" s="41" t="n"/>
      <c r="AA506" s="41" t="n"/>
      <c r="AB506" s="41" t="n"/>
    </row>
    <row r="507">
      <c r="A507" s="39">
        <f>IF($C507="","","NOV-"&amp;TEXT(ROW()-3,"0000"))</f>
        <v/>
      </c>
      <c r="B507" s="40" t="n"/>
      <c r="C507" s="41" t="n"/>
      <c r="D507" s="42">
        <f>IF($C507="","",IFERROR(INDEX(DESPACHOS!$D$3:$D$3002,MATCH($C507,DESPACHOS!$B$3:$B$3002,0)),"SIN DESPACHO"))</f>
        <v/>
      </c>
      <c r="E507" s="42">
        <f>IF($C507="","",IFERROR(INDEX(DESPACHOS!$K$3:$K$3002,MATCH($C507,DESPACHOS!$B$3:$B$3002,0)),""))</f>
        <v/>
      </c>
      <c r="F507" s="42">
        <f>IF($C507="","",IFERROR(INDEX(DESPACHOS!$I$3:$I$3002,MATCH($C507,DESPACHOS!$B$3:$B$3002,0)),""))</f>
        <v/>
      </c>
      <c r="G507" s="42">
        <f>IF($C507="","",IFERROR(INDEX(DESPACHOS!$F$3:$F$3002,MATCH($C507,DESPACHOS!$B$3:$B$3002,0)),""))</f>
        <v/>
      </c>
      <c r="H507" s="42">
        <f>IF($C507="","",IFERROR(INDEX(DESPACHOS!$G$3:$G$3002,MATCH($C507,DESPACHOS!$B$3:$B$3002,0)),""))</f>
        <v/>
      </c>
      <c r="I507" s="39">
        <f>IF($C507="","",IFERROR(INDEX(DESPACHOS!$H$3:$H$3002,MATCH($C507,DESPACHOS!$B$3:$B$3002,0)),""))</f>
        <v/>
      </c>
      <c r="J507" s="43">
        <f>IF($C507="","",IFERROR(INDEX(DESPACHOS!$J$3:$J$3002,MATCH($C507,DESPACHOS!$B$3:$B$3002,0)),""))</f>
        <v/>
      </c>
      <c r="K507" s="39">
        <f>IF($C507="","",IF(COUNTIFS(DESPACHOS!$B$3:$B$3002,$C507)=0,"NO EXISTE",IF(COUNTIFS(DESPACHOS!$B$3:$B$3002,$C507)&gt;1,"DUPLICADO","OK")))</f>
        <v/>
      </c>
      <c r="L507" s="41" t="n"/>
      <c r="M507" s="41" t="n"/>
      <c r="N507" s="42">
        <f>IF($M507="","",IFERROR(INDEX(LISTAS!$F$3:$F$42,MATCH($M507,LISTAS!$E$3:$E$42,0)),"Por definir"))</f>
        <v/>
      </c>
      <c r="O507" s="41" t="n"/>
      <c r="P507" s="39">
        <f>IF($L507="","",IFERROR(INDEX(LISTAS!$B$3:$B$42,MATCH($L507,LISTAS!$A$3:$A$42,0)),"Media"))</f>
        <v/>
      </c>
      <c r="Q507" s="44" t="n"/>
      <c r="R507" s="45" t="n"/>
      <c r="S507" s="20">
        <f>IFERROR(IF(OR($R507="",$C507=""),"",$R507/INDEX(DESPACHOS!$M$3:$M$3002,MATCH($C507,DESPACHOS!$B$3:$B$3002,0))),"")</f>
        <v/>
      </c>
      <c r="T507" s="41" t="n"/>
      <c r="U507" s="43">
        <f>IF(OR($B507="",$L507=""),"",WORKDAY($B507,IFERROR(INDEX(LISTAS!$C$3:$C$42,MATCH($L507,LISTAS!$A$3:$A$42,0)),3)))</f>
        <v/>
      </c>
      <c r="V507" s="40" t="n"/>
      <c r="W507" s="19">
        <f>IF($B507="","",IF($V507&lt;&gt;"",$V507-$B507,TODAY()-$B507))</f>
        <v/>
      </c>
      <c r="X507" s="19">
        <f>IF(OR($B507="",$U507=""),"",IF($V507&lt;&gt;"",MAX(0,$V507-$U507),MAX(0,TODAY()-$U507)))</f>
        <v/>
      </c>
      <c r="Y507" s="39">
        <f>IF($C507="","",IF(IFERROR(INDEX(LISTAS!$I$3:$I$42,MATCH($T507,LISTAS!$H$3:$H$42,0)),"NO")="SÍ",IF(N($X507)&gt;0,"CERRADA FUERA DE SLA","CERRADA EN SLA"),IF($U507="","SIN CLASIFICAR",IF(N($X507)&gt;0,"VENCIDA",IF(TODAY()&gt;=$U507-1,"POR VENCER","EN PLAZO")))))</f>
        <v/>
      </c>
      <c r="Z507" s="41" t="n"/>
      <c r="AA507" s="41" t="n"/>
      <c r="AB507" s="41" t="n"/>
    </row>
    <row r="508">
      <c r="A508" s="39">
        <f>IF($C508="","","NOV-"&amp;TEXT(ROW()-3,"0000"))</f>
        <v/>
      </c>
      <c r="B508" s="40" t="n"/>
      <c r="C508" s="41" t="n"/>
      <c r="D508" s="42">
        <f>IF($C508="","",IFERROR(INDEX(DESPACHOS!$D$3:$D$3002,MATCH($C508,DESPACHOS!$B$3:$B$3002,0)),"SIN DESPACHO"))</f>
        <v/>
      </c>
      <c r="E508" s="42">
        <f>IF($C508="","",IFERROR(INDEX(DESPACHOS!$K$3:$K$3002,MATCH($C508,DESPACHOS!$B$3:$B$3002,0)),""))</f>
        <v/>
      </c>
      <c r="F508" s="42">
        <f>IF($C508="","",IFERROR(INDEX(DESPACHOS!$I$3:$I$3002,MATCH($C508,DESPACHOS!$B$3:$B$3002,0)),""))</f>
        <v/>
      </c>
      <c r="G508" s="42">
        <f>IF($C508="","",IFERROR(INDEX(DESPACHOS!$F$3:$F$3002,MATCH($C508,DESPACHOS!$B$3:$B$3002,0)),""))</f>
        <v/>
      </c>
      <c r="H508" s="42">
        <f>IF($C508="","",IFERROR(INDEX(DESPACHOS!$G$3:$G$3002,MATCH($C508,DESPACHOS!$B$3:$B$3002,0)),""))</f>
        <v/>
      </c>
      <c r="I508" s="39">
        <f>IF($C508="","",IFERROR(INDEX(DESPACHOS!$H$3:$H$3002,MATCH($C508,DESPACHOS!$B$3:$B$3002,0)),""))</f>
        <v/>
      </c>
      <c r="J508" s="43">
        <f>IF($C508="","",IFERROR(INDEX(DESPACHOS!$J$3:$J$3002,MATCH($C508,DESPACHOS!$B$3:$B$3002,0)),""))</f>
        <v/>
      </c>
      <c r="K508" s="39">
        <f>IF($C508="","",IF(COUNTIFS(DESPACHOS!$B$3:$B$3002,$C508)=0,"NO EXISTE",IF(COUNTIFS(DESPACHOS!$B$3:$B$3002,$C508)&gt;1,"DUPLICADO","OK")))</f>
        <v/>
      </c>
      <c r="L508" s="41" t="n"/>
      <c r="M508" s="41" t="n"/>
      <c r="N508" s="42">
        <f>IF($M508="","",IFERROR(INDEX(LISTAS!$F$3:$F$42,MATCH($M508,LISTAS!$E$3:$E$42,0)),"Por definir"))</f>
        <v/>
      </c>
      <c r="O508" s="41" t="n"/>
      <c r="P508" s="39">
        <f>IF($L508="","",IFERROR(INDEX(LISTAS!$B$3:$B$42,MATCH($L508,LISTAS!$A$3:$A$42,0)),"Media"))</f>
        <v/>
      </c>
      <c r="Q508" s="44" t="n"/>
      <c r="R508" s="45" t="n"/>
      <c r="S508" s="20">
        <f>IFERROR(IF(OR($R508="",$C508=""),"",$R508/INDEX(DESPACHOS!$M$3:$M$3002,MATCH($C508,DESPACHOS!$B$3:$B$3002,0))),"")</f>
        <v/>
      </c>
      <c r="T508" s="41" t="n"/>
      <c r="U508" s="43">
        <f>IF(OR($B508="",$L508=""),"",WORKDAY($B508,IFERROR(INDEX(LISTAS!$C$3:$C$42,MATCH($L508,LISTAS!$A$3:$A$42,0)),3)))</f>
        <v/>
      </c>
      <c r="V508" s="40" t="n"/>
      <c r="W508" s="19">
        <f>IF($B508="","",IF($V508&lt;&gt;"",$V508-$B508,TODAY()-$B508))</f>
        <v/>
      </c>
      <c r="X508" s="19">
        <f>IF(OR($B508="",$U508=""),"",IF($V508&lt;&gt;"",MAX(0,$V508-$U508),MAX(0,TODAY()-$U508)))</f>
        <v/>
      </c>
      <c r="Y508" s="39">
        <f>IF($C508="","",IF(IFERROR(INDEX(LISTAS!$I$3:$I$42,MATCH($T508,LISTAS!$H$3:$H$42,0)),"NO")="SÍ",IF(N($X508)&gt;0,"CERRADA FUERA DE SLA","CERRADA EN SLA"),IF($U508="","SIN CLASIFICAR",IF(N($X508)&gt;0,"VENCIDA",IF(TODAY()&gt;=$U508-1,"POR VENCER","EN PLAZO")))))</f>
        <v/>
      </c>
      <c r="Z508" s="41" t="n"/>
      <c r="AA508" s="41" t="n"/>
      <c r="AB508" s="41" t="n"/>
    </row>
    <row r="509">
      <c r="A509" s="39">
        <f>IF($C509="","","NOV-"&amp;TEXT(ROW()-3,"0000"))</f>
        <v/>
      </c>
      <c r="B509" s="40" t="n"/>
      <c r="C509" s="41" t="n"/>
      <c r="D509" s="42">
        <f>IF($C509="","",IFERROR(INDEX(DESPACHOS!$D$3:$D$3002,MATCH($C509,DESPACHOS!$B$3:$B$3002,0)),"SIN DESPACHO"))</f>
        <v/>
      </c>
      <c r="E509" s="42">
        <f>IF($C509="","",IFERROR(INDEX(DESPACHOS!$K$3:$K$3002,MATCH($C509,DESPACHOS!$B$3:$B$3002,0)),""))</f>
        <v/>
      </c>
      <c r="F509" s="42">
        <f>IF($C509="","",IFERROR(INDEX(DESPACHOS!$I$3:$I$3002,MATCH($C509,DESPACHOS!$B$3:$B$3002,0)),""))</f>
        <v/>
      </c>
      <c r="G509" s="42">
        <f>IF($C509="","",IFERROR(INDEX(DESPACHOS!$F$3:$F$3002,MATCH($C509,DESPACHOS!$B$3:$B$3002,0)),""))</f>
        <v/>
      </c>
      <c r="H509" s="42">
        <f>IF($C509="","",IFERROR(INDEX(DESPACHOS!$G$3:$G$3002,MATCH($C509,DESPACHOS!$B$3:$B$3002,0)),""))</f>
        <v/>
      </c>
      <c r="I509" s="39">
        <f>IF($C509="","",IFERROR(INDEX(DESPACHOS!$H$3:$H$3002,MATCH($C509,DESPACHOS!$B$3:$B$3002,0)),""))</f>
        <v/>
      </c>
      <c r="J509" s="43">
        <f>IF($C509="","",IFERROR(INDEX(DESPACHOS!$J$3:$J$3002,MATCH($C509,DESPACHOS!$B$3:$B$3002,0)),""))</f>
        <v/>
      </c>
      <c r="K509" s="39">
        <f>IF($C509="","",IF(COUNTIFS(DESPACHOS!$B$3:$B$3002,$C509)=0,"NO EXISTE",IF(COUNTIFS(DESPACHOS!$B$3:$B$3002,$C509)&gt;1,"DUPLICADO","OK")))</f>
        <v/>
      </c>
      <c r="L509" s="41" t="n"/>
      <c r="M509" s="41" t="n"/>
      <c r="N509" s="42">
        <f>IF($M509="","",IFERROR(INDEX(LISTAS!$F$3:$F$42,MATCH($M509,LISTAS!$E$3:$E$42,0)),"Por definir"))</f>
        <v/>
      </c>
      <c r="O509" s="41" t="n"/>
      <c r="P509" s="39">
        <f>IF($L509="","",IFERROR(INDEX(LISTAS!$B$3:$B$42,MATCH($L509,LISTAS!$A$3:$A$42,0)),"Media"))</f>
        <v/>
      </c>
      <c r="Q509" s="44" t="n"/>
      <c r="R509" s="45" t="n"/>
      <c r="S509" s="20">
        <f>IFERROR(IF(OR($R509="",$C509=""),"",$R509/INDEX(DESPACHOS!$M$3:$M$3002,MATCH($C509,DESPACHOS!$B$3:$B$3002,0))),"")</f>
        <v/>
      </c>
      <c r="T509" s="41" t="n"/>
      <c r="U509" s="43">
        <f>IF(OR($B509="",$L509=""),"",WORKDAY($B509,IFERROR(INDEX(LISTAS!$C$3:$C$42,MATCH($L509,LISTAS!$A$3:$A$42,0)),3)))</f>
        <v/>
      </c>
      <c r="V509" s="40" t="n"/>
      <c r="W509" s="19">
        <f>IF($B509="","",IF($V509&lt;&gt;"",$V509-$B509,TODAY()-$B509))</f>
        <v/>
      </c>
      <c r="X509" s="19">
        <f>IF(OR($B509="",$U509=""),"",IF($V509&lt;&gt;"",MAX(0,$V509-$U509),MAX(0,TODAY()-$U509)))</f>
        <v/>
      </c>
      <c r="Y509" s="39">
        <f>IF($C509="","",IF(IFERROR(INDEX(LISTAS!$I$3:$I$42,MATCH($T509,LISTAS!$H$3:$H$42,0)),"NO")="SÍ",IF(N($X509)&gt;0,"CERRADA FUERA DE SLA","CERRADA EN SLA"),IF($U509="","SIN CLASIFICAR",IF(N($X509)&gt;0,"VENCIDA",IF(TODAY()&gt;=$U509-1,"POR VENCER","EN PLAZO")))))</f>
        <v/>
      </c>
      <c r="Z509" s="41" t="n"/>
      <c r="AA509" s="41" t="n"/>
      <c r="AB509" s="41" t="n"/>
    </row>
    <row r="510">
      <c r="A510" s="39">
        <f>IF($C510="","","NOV-"&amp;TEXT(ROW()-3,"0000"))</f>
        <v/>
      </c>
      <c r="B510" s="40" t="n"/>
      <c r="C510" s="41" t="n"/>
      <c r="D510" s="42">
        <f>IF($C510="","",IFERROR(INDEX(DESPACHOS!$D$3:$D$3002,MATCH($C510,DESPACHOS!$B$3:$B$3002,0)),"SIN DESPACHO"))</f>
        <v/>
      </c>
      <c r="E510" s="42">
        <f>IF($C510="","",IFERROR(INDEX(DESPACHOS!$K$3:$K$3002,MATCH($C510,DESPACHOS!$B$3:$B$3002,0)),""))</f>
        <v/>
      </c>
      <c r="F510" s="42">
        <f>IF($C510="","",IFERROR(INDEX(DESPACHOS!$I$3:$I$3002,MATCH($C510,DESPACHOS!$B$3:$B$3002,0)),""))</f>
        <v/>
      </c>
      <c r="G510" s="42">
        <f>IF($C510="","",IFERROR(INDEX(DESPACHOS!$F$3:$F$3002,MATCH($C510,DESPACHOS!$B$3:$B$3002,0)),""))</f>
        <v/>
      </c>
      <c r="H510" s="42">
        <f>IF($C510="","",IFERROR(INDEX(DESPACHOS!$G$3:$G$3002,MATCH($C510,DESPACHOS!$B$3:$B$3002,0)),""))</f>
        <v/>
      </c>
      <c r="I510" s="39">
        <f>IF($C510="","",IFERROR(INDEX(DESPACHOS!$H$3:$H$3002,MATCH($C510,DESPACHOS!$B$3:$B$3002,0)),""))</f>
        <v/>
      </c>
      <c r="J510" s="43">
        <f>IF($C510="","",IFERROR(INDEX(DESPACHOS!$J$3:$J$3002,MATCH($C510,DESPACHOS!$B$3:$B$3002,0)),""))</f>
        <v/>
      </c>
      <c r="K510" s="39">
        <f>IF($C510="","",IF(COUNTIFS(DESPACHOS!$B$3:$B$3002,$C510)=0,"NO EXISTE",IF(COUNTIFS(DESPACHOS!$B$3:$B$3002,$C510)&gt;1,"DUPLICADO","OK")))</f>
        <v/>
      </c>
      <c r="L510" s="41" t="n"/>
      <c r="M510" s="41" t="n"/>
      <c r="N510" s="42">
        <f>IF($M510="","",IFERROR(INDEX(LISTAS!$F$3:$F$42,MATCH($M510,LISTAS!$E$3:$E$42,0)),"Por definir"))</f>
        <v/>
      </c>
      <c r="O510" s="41" t="n"/>
      <c r="P510" s="39">
        <f>IF($L510="","",IFERROR(INDEX(LISTAS!$B$3:$B$42,MATCH($L510,LISTAS!$A$3:$A$42,0)),"Media"))</f>
        <v/>
      </c>
      <c r="Q510" s="44" t="n"/>
      <c r="R510" s="45" t="n"/>
      <c r="S510" s="20">
        <f>IFERROR(IF(OR($R510="",$C510=""),"",$R510/INDEX(DESPACHOS!$M$3:$M$3002,MATCH($C510,DESPACHOS!$B$3:$B$3002,0))),"")</f>
        <v/>
      </c>
      <c r="T510" s="41" t="n"/>
      <c r="U510" s="43">
        <f>IF(OR($B510="",$L510=""),"",WORKDAY($B510,IFERROR(INDEX(LISTAS!$C$3:$C$42,MATCH($L510,LISTAS!$A$3:$A$42,0)),3)))</f>
        <v/>
      </c>
      <c r="V510" s="40" t="n"/>
      <c r="W510" s="19">
        <f>IF($B510="","",IF($V510&lt;&gt;"",$V510-$B510,TODAY()-$B510))</f>
        <v/>
      </c>
      <c r="X510" s="19">
        <f>IF(OR($B510="",$U510=""),"",IF($V510&lt;&gt;"",MAX(0,$V510-$U510),MAX(0,TODAY()-$U510)))</f>
        <v/>
      </c>
      <c r="Y510" s="39">
        <f>IF($C510="","",IF(IFERROR(INDEX(LISTAS!$I$3:$I$42,MATCH($T510,LISTAS!$H$3:$H$42,0)),"NO")="SÍ",IF(N($X510)&gt;0,"CERRADA FUERA DE SLA","CERRADA EN SLA"),IF($U510="","SIN CLASIFICAR",IF(N($X510)&gt;0,"VENCIDA",IF(TODAY()&gt;=$U510-1,"POR VENCER","EN PLAZO")))))</f>
        <v/>
      </c>
      <c r="Z510" s="41" t="n"/>
      <c r="AA510" s="41" t="n"/>
      <c r="AB510" s="41" t="n"/>
    </row>
    <row r="511">
      <c r="A511" s="39">
        <f>IF($C511="","","NOV-"&amp;TEXT(ROW()-3,"0000"))</f>
        <v/>
      </c>
      <c r="B511" s="40" t="n"/>
      <c r="C511" s="41" t="n"/>
      <c r="D511" s="42">
        <f>IF($C511="","",IFERROR(INDEX(DESPACHOS!$D$3:$D$3002,MATCH($C511,DESPACHOS!$B$3:$B$3002,0)),"SIN DESPACHO"))</f>
        <v/>
      </c>
      <c r="E511" s="42">
        <f>IF($C511="","",IFERROR(INDEX(DESPACHOS!$K$3:$K$3002,MATCH($C511,DESPACHOS!$B$3:$B$3002,0)),""))</f>
        <v/>
      </c>
      <c r="F511" s="42">
        <f>IF($C511="","",IFERROR(INDEX(DESPACHOS!$I$3:$I$3002,MATCH($C511,DESPACHOS!$B$3:$B$3002,0)),""))</f>
        <v/>
      </c>
      <c r="G511" s="42">
        <f>IF($C511="","",IFERROR(INDEX(DESPACHOS!$F$3:$F$3002,MATCH($C511,DESPACHOS!$B$3:$B$3002,0)),""))</f>
        <v/>
      </c>
      <c r="H511" s="42">
        <f>IF($C511="","",IFERROR(INDEX(DESPACHOS!$G$3:$G$3002,MATCH($C511,DESPACHOS!$B$3:$B$3002,0)),""))</f>
        <v/>
      </c>
      <c r="I511" s="39">
        <f>IF($C511="","",IFERROR(INDEX(DESPACHOS!$H$3:$H$3002,MATCH($C511,DESPACHOS!$B$3:$B$3002,0)),""))</f>
        <v/>
      </c>
      <c r="J511" s="43">
        <f>IF($C511="","",IFERROR(INDEX(DESPACHOS!$J$3:$J$3002,MATCH($C511,DESPACHOS!$B$3:$B$3002,0)),""))</f>
        <v/>
      </c>
      <c r="K511" s="39">
        <f>IF($C511="","",IF(COUNTIFS(DESPACHOS!$B$3:$B$3002,$C511)=0,"NO EXISTE",IF(COUNTIFS(DESPACHOS!$B$3:$B$3002,$C511)&gt;1,"DUPLICADO","OK")))</f>
        <v/>
      </c>
      <c r="L511" s="41" t="n"/>
      <c r="M511" s="41" t="n"/>
      <c r="N511" s="42">
        <f>IF($M511="","",IFERROR(INDEX(LISTAS!$F$3:$F$42,MATCH($M511,LISTAS!$E$3:$E$42,0)),"Por definir"))</f>
        <v/>
      </c>
      <c r="O511" s="41" t="n"/>
      <c r="P511" s="39">
        <f>IF($L511="","",IFERROR(INDEX(LISTAS!$B$3:$B$42,MATCH($L511,LISTAS!$A$3:$A$42,0)),"Media"))</f>
        <v/>
      </c>
      <c r="Q511" s="44" t="n"/>
      <c r="R511" s="45" t="n"/>
      <c r="S511" s="20">
        <f>IFERROR(IF(OR($R511="",$C511=""),"",$R511/INDEX(DESPACHOS!$M$3:$M$3002,MATCH($C511,DESPACHOS!$B$3:$B$3002,0))),"")</f>
        <v/>
      </c>
      <c r="T511" s="41" t="n"/>
      <c r="U511" s="43">
        <f>IF(OR($B511="",$L511=""),"",WORKDAY($B511,IFERROR(INDEX(LISTAS!$C$3:$C$42,MATCH($L511,LISTAS!$A$3:$A$42,0)),3)))</f>
        <v/>
      </c>
      <c r="V511" s="40" t="n"/>
      <c r="W511" s="19">
        <f>IF($B511="","",IF($V511&lt;&gt;"",$V511-$B511,TODAY()-$B511))</f>
        <v/>
      </c>
      <c r="X511" s="19">
        <f>IF(OR($B511="",$U511=""),"",IF($V511&lt;&gt;"",MAX(0,$V511-$U511),MAX(0,TODAY()-$U511)))</f>
        <v/>
      </c>
      <c r="Y511" s="39">
        <f>IF($C511="","",IF(IFERROR(INDEX(LISTAS!$I$3:$I$42,MATCH($T511,LISTAS!$H$3:$H$42,0)),"NO")="SÍ",IF(N($X511)&gt;0,"CERRADA FUERA DE SLA","CERRADA EN SLA"),IF($U511="","SIN CLASIFICAR",IF(N($X511)&gt;0,"VENCIDA",IF(TODAY()&gt;=$U511-1,"POR VENCER","EN PLAZO")))))</f>
        <v/>
      </c>
      <c r="Z511" s="41" t="n"/>
      <c r="AA511" s="41" t="n"/>
      <c r="AB511" s="41" t="n"/>
    </row>
    <row r="512">
      <c r="A512" s="39">
        <f>IF($C512="","","NOV-"&amp;TEXT(ROW()-3,"0000"))</f>
        <v/>
      </c>
      <c r="B512" s="40" t="n"/>
      <c r="C512" s="41" t="n"/>
      <c r="D512" s="42">
        <f>IF($C512="","",IFERROR(INDEX(DESPACHOS!$D$3:$D$3002,MATCH($C512,DESPACHOS!$B$3:$B$3002,0)),"SIN DESPACHO"))</f>
        <v/>
      </c>
      <c r="E512" s="42">
        <f>IF($C512="","",IFERROR(INDEX(DESPACHOS!$K$3:$K$3002,MATCH($C512,DESPACHOS!$B$3:$B$3002,0)),""))</f>
        <v/>
      </c>
      <c r="F512" s="42">
        <f>IF($C512="","",IFERROR(INDEX(DESPACHOS!$I$3:$I$3002,MATCH($C512,DESPACHOS!$B$3:$B$3002,0)),""))</f>
        <v/>
      </c>
      <c r="G512" s="42">
        <f>IF($C512="","",IFERROR(INDEX(DESPACHOS!$F$3:$F$3002,MATCH($C512,DESPACHOS!$B$3:$B$3002,0)),""))</f>
        <v/>
      </c>
      <c r="H512" s="42">
        <f>IF($C512="","",IFERROR(INDEX(DESPACHOS!$G$3:$G$3002,MATCH($C512,DESPACHOS!$B$3:$B$3002,0)),""))</f>
        <v/>
      </c>
      <c r="I512" s="39">
        <f>IF($C512="","",IFERROR(INDEX(DESPACHOS!$H$3:$H$3002,MATCH($C512,DESPACHOS!$B$3:$B$3002,0)),""))</f>
        <v/>
      </c>
      <c r="J512" s="43">
        <f>IF($C512="","",IFERROR(INDEX(DESPACHOS!$J$3:$J$3002,MATCH($C512,DESPACHOS!$B$3:$B$3002,0)),""))</f>
        <v/>
      </c>
      <c r="K512" s="39">
        <f>IF($C512="","",IF(COUNTIFS(DESPACHOS!$B$3:$B$3002,$C512)=0,"NO EXISTE",IF(COUNTIFS(DESPACHOS!$B$3:$B$3002,$C512)&gt;1,"DUPLICADO","OK")))</f>
        <v/>
      </c>
      <c r="L512" s="41" t="n"/>
      <c r="M512" s="41" t="n"/>
      <c r="N512" s="42">
        <f>IF($M512="","",IFERROR(INDEX(LISTAS!$F$3:$F$42,MATCH($M512,LISTAS!$E$3:$E$42,0)),"Por definir"))</f>
        <v/>
      </c>
      <c r="O512" s="41" t="n"/>
      <c r="P512" s="39">
        <f>IF($L512="","",IFERROR(INDEX(LISTAS!$B$3:$B$42,MATCH($L512,LISTAS!$A$3:$A$42,0)),"Media"))</f>
        <v/>
      </c>
      <c r="Q512" s="44" t="n"/>
      <c r="R512" s="45" t="n"/>
      <c r="S512" s="20">
        <f>IFERROR(IF(OR($R512="",$C512=""),"",$R512/INDEX(DESPACHOS!$M$3:$M$3002,MATCH($C512,DESPACHOS!$B$3:$B$3002,0))),"")</f>
        <v/>
      </c>
      <c r="T512" s="41" t="n"/>
      <c r="U512" s="43">
        <f>IF(OR($B512="",$L512=""),"",WORKDAY($B512,IFERROR(INDEX(LISTAS!$C$3:$C$42,MATCH($L512,LISTAS!$A$3:$A$42,0)),3)))</f>
        <v/>
      </c>
      <c r="V512" s="40" t="n"/>
      <c r="W512" s="19">
        <f>IF($B512="","",IF($V512&lt;&gt;"",$V512-$B512,TODAY()-$B512))</f>
        <v/>
      </c>
      <c r="X512" s="19">
        <f>IF(OR($B512="",$U512=""),"",IF($V512&lt;&gt;"",MAX(0,$V512-$U512),MAX(0,TODAY()-$U512)))</f>
        <v/>
      </c>
      <c r="Y512" s="39">
        <f>IF($C512="","",IF(IFERROR(INDEX(LISTAS!$I$3:$I$42,MATCH($T512,LISTAS!$H$3:$H$42,0)),"NO")="SÍ",IF(N($X512)&gt;0,"CERRADA FUERA DE SLA","CERRADA EN SLA"),IF($U512="","SIN CLASIFICAR",IF(N($X512)&gt;0,"VENCIDA",IF(TODAY()&gt;=$U512-1,"POR VENCER","EN PLAZO")))))</f>
        <v/>
      </c>
      <c r="Z512" s="41" t="n"/>
      <c r="AA512" s="41" t="n"/>
      <c r="AB512" s="41" t="n"/>
    </row>
    <row r="513">
      <c r="A513" s="39">
        <f>IF($C513="","","NOV-"&amp;TEXT(ROW()-3,"0000"))</f>
        <v/>
      </c>
      <c r="B513" s="40" t="n"/>
      <c r="C513" s="41" t="n"/>
      <c r="D513" s="42">
        <f>IF($C513="","",IFERROR(INDEX(DESPACHOS!$D$3:$D$3002,MATCH($C513,DESPACHOS!$B$3:$B$3002,0)),"SIN DESPACHO"))</f>
        <v/>
      </c>
      <c r="E513" s="42">
        <f>IF($C513="","",IFERROR(INDEX(DESPACHOS!$K$3:$K$3002,MATCH($C513,DESPACHOS!$B$3:$B$3002,0)),""))</f>
        <v/>
      </c>
      <c r="F513" s="42">
        <f>IF($C513="","",IFERROR(INDEX(DESPACHOS!$I$3:$I$3002,MATCH($C513,DESPACHOS!$B$3:$B$3002,0)),""))</f>
        <v/>
      </c>
      <c r="G513" s="42">
        <f>IF($C513="","",IFERROR(INDEX(DESPACHOS!$F$3:$F$3002,MATCH($C513,DESPACHOS!$B$3:$B$3002,0)),""))</f>
        <v/>
      </c>
      <c r="H513" s="42">
        <f>IF($C513="","",IFERROR(INDEX(DESPACHOS!$G$3:$G$3002,MATCH($C513,DESPACHOS!$B$3:$B$3002,0)),""))</f>
        <v/>
      </c>
      <c r="I513" s="39">
        <f>IF($C513="","",IFERROR(INDEX(DESPACHOS!$H$3:$H$3002,MATCH($C513,DESPACHOS!$B$3:$B$3002,0)),""))</f>
        <v/>
      </c>
      <c r="J513" s="43">
        <f>IF($C513="","",IFERROR(INDEX(DESPACHOS!$J$3:$J$3002,MATCH($C513,DESPACHOS!$B$3:$B$3002,0)),""))</f>
        <v/>
      </c>
      <c r="K513" s="39">
        <f>IF($C513="","",IF(COUNTIFS(DESPACHOS!$B$3:$B$3002,$C513)=0,"NO EXISTE",IF(COUNTIFS(DESPACHOS!$B$3:$B$3002,$C513)&gt;1,"DUPLICADO","OK")))</f>
        <v/>
      </c>
      <c r="L513" s="41" t="n"/>
      <c r="M513" s="41" t="n"/>
      <c r="N513" s="42">
        <f>IF($M513="","",IFERROR(INDEX(LISTAS!$F$3:$F$42,MATCH($M513,LISTAS!$E$3:$E$42,0)),"Por definir"))</f>
        <v/>
      </c>
      <c r="O513" s="41" t="n"/>
      <c r="P513" s="39">
        <f>IF($L513="","",IFERROR(INDEX(LISTAS!$B$3:$B$42,MATCH($L513,LISTAS!$A$3:$A$42,0)),"Media"))</f>
        <v/>
      </c>
      <c r="Q513" s="44" t="n"/>
      <c r="R513" s="45" t="n"/>
      <c r="S513" s="20">
        <f>IFERROR(IF(OR($R513="",$C513=""),"",$R513/INDEX(DESPACHOS!$M$3:$M$3002,MATCH($C513,DESPACHOS!$B$3:$B$3002,0))),"")</f>
        <v/>
      </c>
      <c r="T513" s="41" t="n"/>
      <c r="U513" s="43">
        <f>IF(OR($B513="",$L513=""),"",WORKDAY($B513,IFERROR(INDEX(LISTAS!$C$3:$C$42,MATCH($L513,LISTAS!$A$3:$A$42,0)),3)))</f>
        <v/>
      </c>
      <c r="V513" s="40" t="n"/>
      <c r="W513" s="19">
        <f>IF($B513="","",IF($V513&lt;&gt;"",$V513-$B513,TODAY()-$B513))</f>
        <v/>
      </c>
      <c r="X513" s="19">
        <f>IF(OR($B513="",$U513=""),"",IF($V513&lt;&gt;"",MAX(0,$V513-$U513),MAX(0,TODAY()-$U513)))</f>
        <v/>
      </c>
      <c r="Y513" s="39">
        <f>IF($C513="","",IF(IFERROR(INDEX(LISTAS!$I$3:$I$42,MATCH($T513,LISTAS!$H$3:$H$42,0)),"NO")="SÍ",IF(N($X513)&gt;0,"CERRADA FUERA DE SLA","CERRADA EN SLA"),IF($U513="","SIN CLASIFICAR",IF(N($X513)&gt;0,"VENCIDA",IF(TODAY()&gt;=$U513-1,"POR VENCER","EN PLAZO")))))</f>
        <v/>
      </c>
      <c r="Z513" s="41" t="n"/>
      <c r="AA513" s="41" t="n"/>
      <c r="AB513" s="41" t="n"/>
    </row>
    <row r="514">
      <c r="A514" s="39">
        <f>IF($C514="","","NOV-"&amp;TEXT(ROW()-3,"0000"))</f>
        <v/>
      </c>
      <c r="B514" s="40" t="n"/>
      <c r="C514" s="41" t="n"/>
      <c r="D514" s="42">
        <f>IF($C514="","",IFERROR(INDEX(DESPACHOS!$D$3:$D$3002,MATCH($C514,DESPACHOS!$B$3:$B$3002,0)),"SIN DESPACHO"))</f>
        <v/>
      </c>
      <c r="E514" s="42">
        <f>IF($C514="","",IFERROR(INDEX(DESPACHOS!$K$3:$K$3002,MATCH($C514,DESPACHOS!$B$3:$B$3002,0)),""))</f>
        <v/>
      </c>
      <c r="F514" s="42">
        <f>IF($C514="","",IFERROR(INDEX(DESPACHOS!$I$3:$I$3002,MATCH($C514,DESPACHOS!$B$3:$B$3002,0)),""))</f>
        <v/>
      </c>
      <c r="G514" s="42">
        <f>IF($C514="","",IFERROR(INDEX(DESPACHOS!$F$3:$F$3002,MATCH($C514,DESPACHOS!$B$3:$B$3002,0)),""))</f>
        <v/>
      </c>
      <c r="H514" s="42">
        <f>IF($C514="","",IFERROR(INDEX(DESPACHOS!$G$3:$G$3002,MATCH($C514,DESPACHOS!$B$3:$B$3002,0)),""))</f>
        <v/>
      </c>
      <c r="I514" s="39">
        <f>IF($C514="","",IFERROR(INDEX(DESPACHOS!$H$3:$H$3002,MATCH($C514,DESPACHOS!$B$3:$B$3002,0)),""))</f>
        <v/>
      </c>
      <c r="J514" s="43">
        <f>IF($C514="","",IFERROR(INDEX(DESPACHOS!$J$3:$J$3002,MATCH($C514,DESPACHOS!$B$3:$B$3002,0)),""))</f>
        <v/>
      </c>
      <c r="K514" s="39">
        <f>IF($C514="","",IF(COUNTIFS(DESPACHOS!$B$3:$B$3002,$C514)=0,"NO EXISTE",IF(COUNTIFS(DESPACHOS!$B$3:$B$3002,$C514)&gt;1,"DUPLICADO","OK")))</f>
        <v/>
      </c>
      <c r="L514" s="41" t="n"/>
      <c r="M514" s="41" t="n"/>
      <c r="N514" s="42">
        <f>IF($M514="","",IFERROR(INDEX(LISTAS!$F$3:$F$42,MATCH($M514,LISTAS!$E$3:$E$42,0)),"Por definir"))</f>
        <v/>
      </c>
      <c r="O514" s="41" t="n"/>
      <c r="P514" s="39">
        <f>IF($L514="","",IFERROR(INDEX(LISTAS!$B$3:$B$42,MATCH($L514,LISTAS!$A$3:$A$42,0)),"Media"))</f>
        <v/>
      </c>
      <c r="Q514" s="44" t="n"/>
      <c r="R514" s="45" t="n"/>
      <c r="S514" s="20">
        <f>IFERROR(IF(OR($R514="",$C514=""),"",$R514/INDEX(DESPACHOS!$M$3:$M$3002,MATCH($C514,DESPACHOS!$B$3:$B$3002,0))),"")</f>
        <v/>
      </c>
      <c r="T514" s="41" t="n"/>
      <c r="U514" s="43">
        <f>IF(OR($B514="",$L514=""),"",WORKDAY($B514,IFERROR(INDEX(LISTAS!$C$3:$C$42,MATCH($L514,LISTAS!$A$3:$A$42,0)),3)))</f>
        <v/>
      </c>
      <c r="V514" s="40" t="n"/>
      <c r="W514" s="19">
        <f>IF($B514="","",IF($V514&lt;&gt;"",$V514-$B514,TODAY()-$B514))</f>
        <v/>
      </c>
      <c r="X514" s="19">
        <f>IF(OR($B514="",$U514=""),"",IF($V514&lt;&gt;"",MAX(0,$V514-$U514),MAX(0,TODAY()-$U514)))</f>
        <v/>
      </c>
      <c r="Y514" s="39">
        <f>IF($C514="","",IF(IFERROR(INDEX(LISTAS!$I$3:$I$42,MATCH($T514,LISTAS!$H$3:$H$42,0)),"NO")="SÍ",IF(N($X514)&gt;0,"CERRADA FUERA DE SLA","CERRADA EN SLA"),IF($U514="","SIN CLASIFICAR",IF(N($X514)&gt;0,"VENCIDA",IF(TODAY()&gt;=$U514-1,"POR VENCER","EN PLAZO")))))</f>
        <v/>
      </c>
      <c r="Z514" s="41" t="n"/>
      <c r="AA514" s="41" t="n"/>
      <c r="AB514" s="41" t="n"/>
    </row>
    <row r="515">
      <c r="A515" s="39">
        <f>IF($C515="","","NOV-"&amp;TEXT(ROW()-3,"0000"))</f>
        <v/>
      </c>
      <c r="B515" s="40" t="n"/>
      <c r="C515" s="41" t="n"/>
      <c r="D515" s="42">
        <f>IF($C515="","",IFERROR(INDEX(DESPACHOS!$D$3:$D$3002,MATCH($C515,DESPACHOS!$B$3:$B$3002,0)),"SIN DESPACHO"))</f>
        <v/>
      </c>
      <c r="E515" s="42">
        <f>IF($C515="","",IFERROR(INDEX(DESPACHOS!$K$3:$K$3002,MATCH($C515,DESPACHOS!$B$3:$B$3002,0)),""))</f>
        <v/>
      </c>
      <c r="F515" s="42">
        <f>IF($C515="","",IFERROR(INDEX(DESPACHOS!$I$3:$I$3002,MATCH($C515,DESPACHOS!$B$3:$B$3002,0)),""))</f>
        <v/>
      </c>
      <c r="G515" s="42">
        <f>IF($C515="","",IFERROR(INDEX(DESPACHOS!$F$3:$F$3002,MATCH($C515,DESPACHOS!$B$3:$B$3002,0)),""))</f>
        <v/>
      </c>
      <c r="H515" s="42">
        <f>IF($C515="","",IFERROR(INDEX(DESPACHOS!$G$3:$G$3002,MATCH($C515,DESPACHOS!$B$3:$B$3002,0)),""))</f>
        <v/>
      </c>
      <c r="I515" s="39">
        <f>IF($C515="","",IFERROR(INDEX(DESPACHOS!$H$3:$H$3002,MATCH($C515,DESPACHOS!$B$3:$B$3002,0)),""))</f>
        <v/>
      </c>
      <c r="J515" s="43">
        <f>IF($C515="","",IFERROR(INDEX(DESPACHOS!$J$3:$J$3002,MATCH($C515,DESPACHOS!$B$3:$B$3002,0)),""))</f>
        <v/>
      </c>
      <c r="K515" s="39">
        <f>IF($C515="","",IF(COUNTIFS(DESPACHOS!$B$3:$B$3002,$C515)=0,"NO EXISTE",IF(COUNTIFS(DESPACHOS!$B$3:$B$3002,$C515)&gt;1,"DUPLICADO","OK")))</f>
        <v/>
      </c>
      <c r="L515" s="41" t="n"/>
      <c r="M515" s="41" t="n"/>
      <c r="N515" s="42">
        <f>IF($M515="","",IFERROR(INDEX(LISTAS!$F$3:$F$42,MATCH($M515,LISTAS!$E$3:$E$42,0)),"Por definir"))</f>
        <v/>
      </c>
      <c r="O515" s="41" t="n"/>
      <c r="P515" s="39">
        <f>IF($L515="","",IFERROR(INDEX(LISTAS!$B$3:$B$42,MATCH($L515,LISTAS!$A$3:$A$42,0)),"Media"))</f>
        <v/>
      </c>
      <c r="Q515" s="44" t="n"/>
      <c r="R515" s="45" t="n"/>
      <c r="S515" s="20">
        <f>IFERROR(IF(OR($R515="",$C515=""),"",$R515/INDEX(DESPACHOS!$M$3:$M$3002,MATCH($C515,DESPACHOS!$B$3:$B$3002,0))),"")</f>
        <v/>
      </c>
      <c r="T515" s="41" t="n"/>
      <c r="U515" s="43">
        <f>IF(OR($B515="",$L515=""),"",WORKDAY($B515,IFERROR(INDEX(LISTAS!$C$3:$C$42,MATCH($L515,LISTAS!$A$3:$A$42,0)),3)))</f>
        <v/>
      </c>
      <c r="V515" s="40" t="n"/>
      <c r="W515" s="19">
        <f>IF($B515="","",IF($V515&lt;&gt;"",$V515-$B515,TODAY()-$B515))</f>
        <v/>
      </c>
      <c r="X515" s="19">
        <f>IF(OR($B515="",$U515=""),"",IF($V515&lt;&gt;"",MAX(0,$V515-$U515),MAX(0,TODAY()-$U515)))</f>
        <v/>
      </c>
      <c r="Y515" s="39">
        <f>IF($C515="","",IF(IFERROR(INDEX(LISTAS!$I$3:$I$42,MATCH($T515,LISTAS!$H$3:$H$42,0)),"NO")="SÍ",IF(N($X515)&gt;0,"CERRADA FUERA DE SLA","CERRADA EN SLA"),IF($U515="","SIN CLASIFICAR",IF(N($X515)&gt;0,"VENCIDA",IF(TODAY()&gt;=$U515-1,"POR VENCER","EN PLAZO")))))</f>
        <v/>
      </c>
      <c r="Z515" s="41" t="n"/>
      <c r="AA515" s="41" t="n"/>
      <c r="AB515" s="41" t="n"/>
    </row>
    <row r="516">
      <c r="A516" s="39">
        <f>IF($C516="","","NOV-"&amp;TEXT(ROW()-3,"0000"))</f>
        <v/>
      </c>
      <c r="B516" s="40" t="n"/>
      <c r="C516" s="41" t="n"/>
      <c r="D516" s="42">
        <f>IF($C516="","",IFERROR(INDEX(DESPACHOS!$D$3:$D$3002,MATCH($C516,DESPACHOS!$B$3:$B$3002,0)),"SIN DESPACHO"))</f>
        <v/>
      </c>
      <c r="E516" s="42">
        <f>IF($C516="","",IFERROR(INDEX(DESPACHOS!$K$3:$K$3002,MATCH($C516,DESPACHOS!$B$3:$B$3002,0)),""))</f>
        <v/>
      </c>
      <c r="F516" s="42">
        <f>IF($C516="","",IFERROR(INDEX(DESPACHOS!$I$3:$I$3002,MATCH($C516,DESPACHOS!$B$3:$B$3002,0)),""))</f>
        <v/>
      </c>
      <c r="G516" s="42">
        <f>IF($C516="","",IFERROR(INDEX(DESPACHOS!$F$3:$F$3002,MATCH($C516,DESPACHOS!$B$3:$B$3002,0)),""))</f>
        <v/>
      </c>
      <c r="H516" s="42">
        <f>IF($C516="","",IFERROR(INDEX(DESPACHOS!$G$3:$G$3002,MATCH($C516,DESPACHOS!$B$3:$B$3002,0)),""))</f>
        <v/>
      </c>
      <c r="I516" s="39">
        <f>IF($C516="","",IFERROR(INDEX(DESPACHOS!$H$3:$H$3002,MATCH($C516,DESPACHOS!$B$3:$B$3002,0)),""))</f>
        <v/>
      </c>
      <c r="J516" s="43">
        <f>IF($C516="","",IFERROR(INDEX(DESPACHOS!$J$3:$J$3002,MATCH($C516,DESPACHOS!$B$3:$B$3002,0)),""))</f>
        <v/>
      </c>
      <c r="K516" s="39">
        <f>IF($C516="","",IF(COUNTIFS(DESPACHOS!$B$3:$B$3002,$C516)=0,"NO EXISTE",IF(COUNTIFS(DESPACHOS!$B$3:$B$3002,$C516)&gt;1,"DUPLICADO","OK")))</f>
        <v/>
      </c>
      <c r="L516" s="41" t="n"/>
      <c r="M516" s="41" t="n"/>
      <c r="N516" s="42">
        <f>IF($M516="","",IFERROR(INDEX(LISTAS!$F$3:$F$42,MATCH($M516,LISTAS!$E$3:$E$42,0)),"Por definir"))</f>
        <v/>
      </c>
      <c r="O516" s="41" t="n"/>
      <c r="P516" s="39">
        <f>IF($L516="","",IFERROR(INDEX(LISTAS!$B$3:$B$42,MATCH($L516,LISTAS!$A$3:$A$42,0)),"Media"))</f>
        <v/>
      </c>
      <c r="Q516" s="44" t="n"/>
      <c r="R516" s="45" t="n"/>
      <c r="S516" s="20">
        <f>IFERROR(IF(OR($R516="",$C516=""),"",$R516/INDEX(DESPACHOS!$M$3:$M$3002,MATCH($C516,DESPACHOS!$B$3:$B$3002,0))),"")</f>
        <v/>
      </c>
      <c r="T516" s="41" t="n"/>
      <c r="U516" s="43">
        <f>IF(OR($B516="",$L516=""),"",WORKDAY($B516,IFERROR(INDEX(LISTAS!$C$3:$C$42,MATCH($L516,LISTAS!$A$3:$A$42,0)),3)))</f>
        <v/>
      </c>
      <c r="V516" s="40" t="n"/>
      <c r="W516" s="19">
        <f>IF($B516="","",IF($V516&lt;&gt;"",$V516-$B516,TODAY()-$B516))</f>
        <v/>
      </c>
      <c r="X516" s="19">
        <f>IF(OR($B516="",$U516=""),"",IF($V516&lt;&gt;"",MAX(0,$V516-$U516),MAX(0,TODAY()-$U516)))</f>
        <v/>
      </c>
      <c r="Y516" s="39">
        <f>IF($C516="","",IF(IFERROR(INDEX(LISTAS!$I$3:$I$42,MATCH($T516,LISTAS!$H$3:$H$42,0)),"NO")="SÍ",IF(N($X516)&gt;0,"CERRADA FUERA DE SLA","CERRADA EN SLA"),IF($U516="","SIN CLASIFICAR",IF(N($X516)&gt;0,"VENCIDA",IF(TODAY()&gt;=$U516-1,"POR VENCER","EN PLAZO")))))</f>
        <v/>
      </c>
      <c r="Z516" s="41" t="n"/>
      <c r="AA516" s="41" t="n"/>
      <c r="AB516" s="41" t="n"/>
    </row>
    <row r="517">
      <c r="A517" s="39">
        <f>IF($C517="","","NOV-"&amp;TEXT(ROW()-3,"0000"))</f>
        <v/>
      </c>
      <c r="B517" s="40" t="n"/>
      <c r="C517" s="41" t="n"/>
      <c r="D517" s="42">
        <f>IF($C517="","",IFERROR(INDEX(DESPACHOS!$D$3:$D$3002,MATCH($C517,DESPACHOS!$B$3:$B$3002,0)),"SIN DESPACHO"))</f>
        <v/>
      </c>
      <c r="E517" s="42">
        <f>IF($C517="","",IFERROR(INDEX(DESPACHOS!$K$3:$K$3002,MATCH($C517,DESPACHOS!$B$3:$B$3002,0)),""))</f>
        <v/>
      </c>
      <c r="F517" s="42">
        <f>IF($C517="","",IFERROR(INDEX(DESPACHOS!$I$3:$I$3002,MATCH($C517,DESPACHOS!$B$3:$B$3002,0)),""))</f>
        <v/>
      </c>
      <c r="G517" s="42">
        <f>IF($C517="","",IFERROR(INDEX(DESPACHOS!$F$3:$F$3002,MATCH($C517,DESPACHOS!$B$3:$B$3002,0)),""))</f>
        <v/>
      </c>
      <c r="H517" s="42">
        <f>IF($C517="","",IFERROR(INDEX(DESPACHOS!$G$3:$G$3002,MATCH($C517,DESPACHOS!$B$3:$B$3002,0)),""))</f>
        <v/>
      </c>
      <c r="I517" s="39">
        <f>IF($C517="","",IFERROR(INDEX(DESPACHOS!$H$3:$H$3002,MATCH($C517,DESPACHOS!$B$3:$B$3002,0)),""))</f>
        <v/>
      </c>
      <c r="J517" s="43">
        <f>IF($C517="","",IFERROR(INDEX(DESPACHOS!$J$3:$J$3002,MATCH($C517,DESPACHOS!$B$3:$B$3002,0)),""))</f>
        <v/>
      </c>
      <c r="K517" s="39">
        <f>IF($C517="","",IF(COUNTIFS(DESPACHOS!$B$3:$B$3002,$C517)=0,"NO EXISTE",IF(COUNTIFS(DESPACHOS!$B$3:$B$3002,$C517)&gt;1,"DUPLICADO","OK")))</f>
        <v/>
      </c>
      <c r="L517" s="41" t="n"/>
      <c r="M517" s="41" t="n"/>
      <c r="N517" s="42">
        <f>IF($M517="","",IFERROR(INDEX(LISTAS!$F$3:$F$42,MATCH($M517,LISTAS!$E$3:$E$42,0)),"Por definir"))</f>
        <v/>
      </c>
      <c r="O517" s="41" t="n"/>
      <c r="P517" s="39">
        <f>IF($L517="","",IFERROR(INDEX(LISTAS!$B$3:$B$42,MATCH($L517,LISTAS!$A$3:$A$42,0)),"Media"))</f>
        <v/>
      </c>
      <c r="Q517" s="44" t="n"/>
      <c r="R517" s="45" t="n"/>
      <c r="S517" s="20">
        <f>IFERROR(IF(OR($R517="",$C517=""),"",$R517/INDEX(DESPACHOS!$M$3:$M$3002,MATCH($C517,DESPACHOS!$B$3:$B$3002,0))),"")</f>
        <v/>
      </c>
      <c r="T517" s="41" t="n"/>
      <c r="U517" s="43">
        <f>IF(OR($B517="",$L517=""),"",WORKDAY($B517,IFERROR(INDEX(LISTAS!$C$3:$C$42,MATCH($L517,LISTAS!$A$3:$A$42,0)),3)))</f>
        <v/>
      </c>
      <c r="V517" s="40" t="n"/>
      <c r="W517" s="19">
        <f>IF($B517="","",IF($V517&lt;&gt;"",$V517-$B517,TODAY()-$B517))</f>
        <v/>
      </c>
      <c r="X517" s="19">
        <f>IF(OR($B517="",$U517=""),"",IF($V517&lt;&gt;"",MAX(0,$V517-$U517),MAX(0,TODAY()-$U517)))</f>
        <v/>
      </c>
      <c r="Y517" s="39">
        <f>IF($C517="","",IF(IFERROR(INDEX(LISTAS!$I$3:$I$42,MATCH($T517,LISTAS!$H$3:$H$42,0)),"NO")="SÍ",IF(N($X517)&gt;0,"CERRADA FUERA DE SLA","CERRADA EN SLA"),IF($U517="","SIN CLASIFICAR",IF(N($X517)&gt;0,"VENCIDA",IF(TODAY()&gt;=$U517-1,"POR VENCER","EN PLAZO")))))</f>
        <v/>
      </c>
      <c r="Z517" s="41" t="n"/>
      <c r="AA517" s="41" t="n"/>
      <c r="AB517" s="41" t="n"/>
    </row>
    <row r="518">
      <c r="A518" s="39">
        <f>IF($C518="","","NOV-"&amp;TEXT(ROW()-3,"0000"))</f>
        <v/>
      </c>
      <c r="B518" s="40" t="n"/>
      <c r="C518" s="41" t="n"/>
      <c r="D518" s="42">
        <f>IF($C518="","",IFERROR(INDEX(DESPACHOS!$D$3:$D$3002,MATCH($C518,DESPACHOS!$B$3:$B$3002,0)),"SIN DESPACHO"))</f>
        <v/>
      </c>
      <c r="E518" s="42">
        <f>IF($C518="","",IFERROR(INDEX(DESPACHOS!$K$3:$K$3002,MATCH($C518,DESPACHOS!$B$3:$B$3002,0)),""))</f>
        <v/>
      </c>
      <c r="F518" s="42">
        <f>IF($C518="","",IFERROR(INDEX(DESPACHOS!$I$3:$I$3002,MATCH($C518,DESPACHOS!$B$3:$B$3002,0)),""))</f>
        <v/>
      </c>
      <c r="G518" s="42">
        <f>IF($C518="","",IFERROR(INDEX(DESPACHOS!$F$3:$F$3002,MATCH($C518,DESPACHOS!$B$3:$B$3002,0)),""))</f>
        <v/>
      </c>
      <c r="H518" s="42">
        <f>IF($C518="","",IFERROR(INDEX(DESPACHOS!$G$3:$G$3002,MATCH($C518,DESPACHOS!$B$3:$B$3002,0)),""))</f>
        <v/>
      </c>
      <c r="I518" s="39">
        <f>IF($C518="","",IFERROR(INDEX(DESPACHOS!$H$3:$H$3002,MATCH($C518,DESPACHOS!$B$3:$B$3002,0)),""))</f>
        <v/>
      </c>
      <c r="J518" s="43">
        <f>IF($C518="","",IFERROR(INDEX(DESPACHOS!$J$3:$J$3002,MATCH($C518,DESPACHOS!$B$3:$B$3002,0)),""))</f>
        <v/>
      </c>
      <c r="K518" s="39">
        <f>IF($C518="","",IF(COUNTIFS(DESPACHOS!$B$3:$B$3002,$C518)=0,"NO EXISTE",IF(COUNTIFS(DESPACHOS!$B$3:$B$3002,$C518)&gt;1,"DUPLICADO","OK")))</f>
        <v/>
      </c>
      <c r="L518" s="41" t="n"/>
      <c r="M518" s="41" t="n"/>
      <c r="N518" s="42">
        <f>IF($M518="","",IFERROR(INDEX(LISTAS!$F$3:$F$42,MATCH($M518,LISTAS!$E$3:$E$42,0)),"Por definir"))</f>
        <v/>
      </c>
      <c r="O518" s="41" t="n"/>
      <c r="P518" s="39">
        <f>IF($L518="","",IFERROR(INDEX(LISTAS!$B$3:$B$42,MATCH($L518,LISTAS!$A$3:$A$42,0)),"Media"))</f>
        <v/>
      </c>
      <c r="Q518" s="44" t="n"/>
      <c r="R518" s="45" t="n"/>
      <c r="S518" s="20">
        <f>IFERROR(IF(OR($R518="",$C518=""),"",$R518/INDEX(DESPACHOS!$M$3:$M$3002,MATCH($C518,DESPACHOS!$B$3:$B$3002,0))),"")</f>
        <v/>
      </c>
      <c r="T518" s="41" t="n"/>
      <c r="U518" s="43">
        <f>IF(OR($B518="",$L518=""),"",WORKDAY($B518,IFERROR(INDEX(LISTAS!$C$3:$C$42,MATCH($L518,LISTAS!$A$3:$A$42,0)),3)))</f>
        <v/>
      </c>
      <c r="V518" s="40" t="n"/>
      <c r="W518" s="19">
        <f>IF($B518="","",IF($V518&lt;&gt;"",$V518-$B518,TODAY()-$B518))</f>
        <v/>
      </c>
      <c r="X518" s="19">
        <f>IF(OR($B518="",$U518=""),"",IF($V518&lt;&gt;"",MAX(0,$V518-$U518),MAX(0,TODAY()-$U518)))</f>
        <v/>
      </c>
      <c r="Y518" s="39">
        <f>IF($C518="","",IF(IFERROR(INDEX(LISTAS!$I$3:$I$42,MATCH($T518,LISTAS!$H$3:$H$42,0)),"NO")="SÍ",IF(N($X518)&gt;0,"CERRADA FUERA DE SLA","CERRADA EN SLA"),IF($U518="","SIN CLASIFICAR",IF(N($X518)&gt;0,"VENCIDA",IF(TODAY()&gt;=$U518-1,"POR VENCER","EN PLAZO")))))</f>
        <v/>
      </c>
      <c r="Z518" s="41" t="n"/>
      <c r="AA518" s="41" t="n"/>
      <c r="AB518" s="41" t="n"/>
    </row>
    <row r="519">
      <c r="A519" s="39">
        <f>IF($C519="","","NOV-"&amp;TEXT(ROW()-3,"0000"))</f>
        <v/>
      </c>
      <c r="B519" s="40" t="n"/>
      <c r="C519" s="41" t="n"/>
      <c r="D519" s="42">
        <f>IF($C519="","",IFERROR(INDEX(DESPACHOS!$D$3:$D$3002,MATCH($C519,DESPACHOS!$B$3:$B$3002,0)),"SIN DESPACHO"))</f>
        <v/>
      </c>
      <c r="E519" s="42">
        <f>IF($C519="","",IFERROR(INDEX(DESPACHOS!$K$3:$K$3002,MATCH($C519,DESPACHOS!$B$3:$B$3002,0)),""))</f>
        <v/>
      </c>
      <c r="F519" s="42">
        <f>IF($C519="","",IFERROR(INDEX(DESPACHOS!$I$3:$I$3002,MATCH($C519,DESPACHOS!$B$3:$B$3002,0)),""))</f>
        <v/>
      </c>
      <c r="G519" s="42">
        <f>IF($C519="","",IFERROR(INDEX(DESPACHOS!$F$3:$F$3002,MATCH($C519,DESPACHOS!$B$3:$B$3002,0)),""))</f>
        <v/>
      </c>
      <c r="H519" s="42">
        <f>IF($C519="","",IFERROR(INDEX(DESPACHOS!$G$3:$G$3002,MATCH($C519,DESPACHOS!$B$3:$B$3002,0)),""))</f>
        <v/>
      </c>
      <c r="I519" s="39">
        <f>IF($C519="","",IFERROR(INDEX(DESPACHOS!$H$3:$H$3002,MATCH($C519,DESPACHOS!$B$3:$B$3002,0)),""))</f>
        <v/>
      </c>
      <c r="J519" s="43">
        <f>IF($C519="","",IFERROR(INDEX(DESPACHOS!$J$3:$J$3002,MATCH($C519,DESPACHOS!$B$3:$B$3002,0)),""))</f>
        <v/>
      </c>
      <c r="K519" s="39">
        <f>IF($C519="","",IF(COUNTIFS(DESPACHOS!$B$3:$B$3002,$C519)=0,"NO EXISTE",IF(COUNTIFS(DESPACHOS!$B$3:$B$3002,$C519)&gt;1,"DUPLICADO","OK")))</f>
        <v/>
      </c>
      <c r="L519" s="41" t="n"/>
      <c r="M519" s="41" t="n"/>
      <c r="N519" s="42">
        <f>IF($M519="","",IFERROR(INDEX(LISTAS!$F$3:$F$42,MATCH($M519,LISTAS!$E$3:$E$42,0)),"Por definir"))</f>
        <v/>
      </c>
      <c r="O519" s="41" t="n"/>
      <c r="P519" s="39">
        <f>IF($L519="","",IFERROR(INDEX(LISTAS!$B$3:$B$42,MATCH($L519,LISTAS!$A$3:$A$42,0)),"Media"))</f>
        <v/>
      </c>
      <c r="Q519" s="44" t="n"/>
      <c r="R519" s="45" t="n"/>
      <c r="S519" s="20">
        <f>IFERROR(IF(OR($R519="",$C519=""),"",$R519/INDEX(DESPACHOS!$M$3:$M$3002,MATCH($C519,DESPACHOS!$B$3:$B$3002,0))),"")</f>
        <v/>
      </c>
      <c r="T519" s="41" t="n"/>
      <c r="U519" s="43">
        <f>IF(OR($B519="",$L519=""),"",WORKDAY($B519,IFERROR(INDEX(LISTAS!$C$3:$C$42,MATCH($L519,LISTAS!$A$3:$A$42,0)),3)))</f>
        <v/>
      </c>
      <c r="V519" s="40" t="n"/>
      <c r="W519" s="19">
        <f>IF($B519="","",IF($V519&lt;&gt;"",$V519-$B519,TODAY()-$B519))</f>
        <v/>
      </c>
      <c r="X519" s="19">
        <f>IF(OR($B519="",$U519=""),"",IF($V519&lt;&gt;"",MAX(0,$V519-$U519),MAX(0,TODAY()-$U519)))</f>
        <v/>
      </c>
      <c r="Y519" s="39">
        <f>IF($C519="","",IF(IFERROR(INDEX(LISTAS!$I$3:$I$42,MATCH($T519,LISTAS!$H$3:$H$42,0)),"NO")="SÍ",IF(N($X519)&gt;0,"CERRADA FUERA DE SLA","CERRADA EN SLA"),IF($U519="","SIN CLASIFICAR",IF(N($X519)&gt;0,"VENCIDA",IF(TODAY()&gt;=$U519-1,"POR VENCER","EN PLAZO")))))</f>
        <v/>
      </c>
      <c r="Z519" s="41" t="n"/>
      <c r="AA519" s="41" t="n"/>
      <c r="AB519" s="41" t="n"/>
    </row>
    <row r="520">
      <c r="A520" s="39">
        <f>IF($C520="","","NOV-"&amp;TEXT(ROW()-3,"0000"))</f>
        <v/>
      </c>
      <c r="B520" s="40" t="n"/>
      <c r="C520" s="41" t="n"/>
      <c r="D520" s="42">
        <f>IF($C520="","",IFERROR(INDEX(DESPACHOS!$D$3:$D$3002,MATCH($C520,DESPACHOS!$B$3:$B$3002,0)),"SIN DESPACHO"))</f>
        <v/>
      </c>
      <c r="E520" s="42">
        <f>IF($C520="","",IFERROR(INDEX(DESPACHOS!$K$3:$K$3002,MATCH($C520,DESPACHOS!$B$3:$B$3002,0)),""))</f>
        <v/>
      </c>
      <c r="F520" s="42">
        <f>IF($C520="","",IFERROR(INDEX(DESPACHOS!$I$3:$I$3002,MATCH($C520,DESPACHOS!$B$3:$B$3002,0)),""))</f>
        <v/>
      </c>
      <c r="G520" s="42">
        <f>IF($C520="","",IFERROR(INDEX(DESPACHOS!$F$3:$F$3002,MATCH($C520,DESPACHOS!$B$3:$B$3002,0)),""))</f>
        <v/>
      </c>
      <c r="H520" s="42">
        <f>IF($C520="","",IFERROR(INDEX(DESPACHOS!$G$3:$G$3002,MATCH($C520,DESPACHOS!$B$3:$B$3002,0)),""))</f>
        <v/>
      </c>
      <c r="I520" s="39">
        <f>IF($C520="","",IFERROR(INDEX(DESPACHOS!$H$3:$H$3002,MATCH($C520,DESPACHOS!$B$3:$B$3002,0)),""))</f>
        <v/>
      </c>
      <c r="J520" s="43">
        <f>IF($C520="","",IFERROR(INDEX(DESPACHOS!$J$3:$J$3002,MATCH($C520,DESPACHOS!$B$3:$B$3002,0)),""))</f>
        <v/>
      </c>
      <c r="K520" s="39">
        <f>IF($C520="","",IF(COUNTIFS(DESPACHOS!$B$3:$B$3002,$C520)=0,"NO EXISTE",IF(COUNTIFS(DESPACHOS!$B$3:$B$3002,$C520)&gt;1,"DUPLICADO","OK")))</f>
        <v/>
      </c>
      <c r="L520" s="41" t="n"/>
      <c r="M520" s="41" t="n"/>
      <c r="N520" s="42">
        <f>IF($M520="","",IFERROR(INDEX(LISTAS!$F$3:$F$42,MATCH($M520,LISTAS!$E$3:$E$42,0)),"Por definir"))</f>
        <v/>
      </c>
      <c r="O520" s="41" t="n"/>
      <c r="P520" s="39">
        <f>IF($L520="","",IFERROR(INDEX(LISTAS!$B$3:$B$42,MATCH($L520,LISTAS!$A$3:$A$42,0)),"Media"))</f>
        <v/>
      </c>
      <c r="Q520" s="44" t="n"/>
      <c r="R520" s="45" t="n"/>
      <c r="S520" s="20">
        <f>IFERROR(IF(OR($R520="",$C520=""),"",$R520/INDEX(DESPACHOS!$M$3:$M$3002,MATCH($C520,DESPACHOS!$B$3:$B$3002,0))),"")</f>
        <v/>
      </c>
      <c r="T520" s="41" t="n"/>
      <c r="U520" s="43">
        <f>IF(OR($B520="",$L520=""),"",WORKDAY($B520,IFERROR(INDEX(LISTAS!$C$3:$C$42,MATCH($L520,LISTAS!$A$3:$A$42,0)),3)))</f>
        <v/>
      </c>
      <c r="V520" s="40" t="n"/>
      <c r="W520" s="19">
        <f>IF($B520="","",IF($V520&lt;&gt;"",$V520-$B520,TODAY()-$B520))</f>
        <v/>
      </c>
      <c r="X520" s="19">
        <f>IF(OR($B520="",$U520=""),"",IF($V520&lt;&gt;"",MAX(0,$V520-$U520),MAX(0,TODAY()-$U520)))</f>
        <v/>
      </c>
      <c r="Y520" s="39">
        <f>IF($C520="","",IF(IFERROR(INDEX(LISTAS!$I$3:$I$42,MATCH($T520,LISTAS!$H$3:$H$42,0)),"NO")="SÍ",IF(N($X520)&gt;0,"CERRADA FUERA DE SLA","CERRADA EN SLA"),IF($U520="","SIN CLASIFICAR",IF(N($X520)&gt;0,"VENCIDA",IF(TODAY()&gt;=$U520-1,"POR VENCER","EN PLAZO")))))</f>
        <v/>
      </c>
      <c r="Z520" s="41" t="n"/>
      <c r="AA520" s="41" t="n"/>
      <c r="AB520" s="41" t="n"/>
    </row>
    <row r="521">
      <c r="A521" s="39">
        <f>IF($C521="","","NOV-"&amp;TEXT(ROW()-3,"0000"))</f>
        <v/>
      </c>
      <c r="B521" s="40" t="n"/>
      <c r="C521" s="41" t="n"/>
      <c r="D521" s="42">
        <f>IF($C521="","",IFERROR(INDEX(DESPACHOS!$D$3:$D$3002,MATCH($C521,DESPACHOS!$B$3:$B$3002,0)),"SIN DESPACHO"))</f>
        <v/>
      </c>
      <c r="E521" s="42">
        <f>IF($C521="","",IFERROR(INDEX(DESPACHOS!$K$3:$K$3002,MATCH($C521,DESPACHOS!$B$3:$B$3002,0)),""))</f>
        <v/>
      </c>
      <c r="F521" s="42">
        <f>IF($C521="","",IFERROR(INDEX(DESPACHOS!$I$3:$I$3002,MATCH($C521,DESPACHOS!$B$3:$B$3002,0)),""))</f>
        <v/>
      </c>
      <c r="G521" s="42">
        <f>IF($C521="","",IFERROR(INDEX(DESPACHOS!$F$3:$F$3002,MATCH($C521,DESPACHOS!$B$3:$B$3002,0)),""))</f>
        <v/>
      </c>
      <c r="H521" s="42">
        <f>IF($C521="","",IFERROR(INDEX(DESPACHOS!$G$3:$G$3002,MATCH($C521,DESPACHOS!$B$3:$B$3002,0)),""))</f>
        <v/>
      </c>
      <c r="I521" s="39">
        <f>IF($C521="","",IFERROR(INDEX(DESPACHOS!$H$3:$H$3002,MATCH($C521,DESPACHOS!$B$3:$B$3002,0)),""))</f>
        <v/>
      </c>
      <c r="J521" s="43">
        <f>IF($C521="","",IFERROR(INDEX(DESPACHOS!$J$3:$J$3002,MATCH($C521,DESPACHOS!$B$3:$B$3002,0)),""))</f>
        <v/>
      </c>
      <c r="K521" s="39">
        <f>IF($C521="","",IF(COUNTIFS(DESPACHOS!$B$3:$B$3002,$C521)=0,"NO EXISTE",IF(COUNTIFS(DESPACHOS!$B$3:$B$3002,$C521)&gt;1,"DUPLICADO","OK")))</f>
        <v/>
      </c>
      <c r="L521" s="41" t="n"/>
      <c r="M521" s="41" t="n"/>
      <c r="N521" s="42">
        <f>IF($M521="","",IFERROR(INDEX(LISTAS!$F$3:$F$42,MATCH($M521,LISTAS!$E$3:$E$42,0)),"Por definir"))</f>
        <v/>
      </c>
      <c r="O521" s="41" t="n"/>
      <c r="P521" s="39">
        <f>IF($L521="","",IFERROR(INDEX(LISTAS!$B$3:$B$42,MATCH($L521,LISTAS!$A$3:$A$42,0)),"Media"))</f>
        <v/>
      </c>
      <c r="Q521" s="44" t="n"/>
      <c r="R521" s="45" t="n"/>
      <c r="S521" s="20">
        <f>IFERROR(IF(OR($R521="",$C521=""),"",$R521/INDEX(DESPACHOS!$M$3:$M$3002,MATCH($C521,DESPACHOS!$B$3:$B$3002,0))),"")</f>
        <v/>
      </c>
      <c r="T521" s="41" t="n"/>
      <c r="U521" s="43">
        <f>IF(OR($B521="",$L521=""),"",WORKDAY($B521,IFERROR(INDEX(LISTAS!$C$3:$C$42,MATCH($L521,LISTAS!$A$3:$A$42,0)),3)))</f>
        <v/>
      </c>
      <c r="V521" s="40" t="n"/>
      <c r="W521" s="19">
        <f>IF($B521="","",IF($V521&lt;&gt;"",$V521-$B521,TODAY()-$B521))</f>
        <v/>
      </c>
      <c r="X521" s="19">
        <f>IF(OR($B521="",$U521=""),"",IF($V521&lt;&gt;"",MAX(0,$V521-$U521),MAX(0,TODAY()-$U521)))</f>
        <v/>
      </c>
      <c r="Y521" s="39">
        <f>IF($C521="","",IF(IFERROR(INDEX(LISTAS!$I$3:$I$42,MATCH($T521,LISTAS!$H$3:$H$42,0)),"NO")="SÍ",IF(N($X521)&gt;0,"CERRADA FUERA DE SLA","CERRADA EN SLA"),IF($U521="","SIN CLASIFICAR",IF(N($X521)&gt;0,"VENCIDA",IF(TODAY()&gt;=$U521-1,"POR VENCER","EN PLAZO")))))</f>
        <v/>
      </c>
      <c r="Z521" s="41" t="n"/>
      <c r="AA521" s="41" t="n"/>
      <c r="AB521" s="41" t="n"/>
    </row>
    <row r="522">
      <c r="A522" s="39">
        <f>IF($C522="","","NOV-"&amp;TEXT(ROW()-3,"0000"))</f>
        <v/>
      </c>
      <c r="B522" s="40" t="n"/>
      <c r="C522" s="41" t="n"/>
      <c r="D522" s="42">
        <f>IF($C522="","",IFERROR(INDEX(DESPACHOS!$D$3:$D$3002,MATCH($C522,DESPACHOS!$B$3:$B$3002,0)),"SIN DESPACHO"))</f>
        <v/>
      </c>
      <c r="E522" s="42">
        <f>IF($C522="","",IFERROR(INDEX(DESPACHOS!$K$3:$K$3002,MATCH($C522,DESPACHOS!$B$3:$B$3002,0)),""))</f>
        <v/>
      </c>
      <c r="F522" s="42">
        <f>IF($C522="","",IFERROR(INDEX(DESPACHOS!$I$3:$I$3002,MATCH($C522,DESPACHOS!$B$3:$B$3002,0)),""))</f>
        <v/>
      </c>
      <c r="G522" s="42">
        <f>IF($C522="","",IFERROR(INDEX(DESPACHOS!$F$3:$F$3002,MATCH($C522,DESPACHOS!$B$3:$B$3002,0)),""))</f>
        <v/>
      </c>
      <c r="H522" s="42">
        <f>IF($C522="","",IFERROR(INDEX(DESPACHOS!$G$3:$G$3002,MATCH($C522,DESPACHOS!$B$3:$B$3002,0)),""))</f>
        <v/>
      </c>
      <c r="I522" s="39">
        <f>IF($C522="","",IFERROR(INDEX(DESPACHOS!$H$3:$H$3002,MATCH($C522,DESPACHOS!$B$3:$B$3002,0)),""))</f>
        <v/>
      </c>
      <c r="J522" s="43">
        <f>IF($C522="","",IFERROR(INDEX(DESPACHOS!$J$3:$J$3002,MATCH($C522,DESPACHOS!$B$3:$B$3002,0)),""))</f>
        <v/>
      </c>
      <c r="K522" s="39">
        <f>IF($C522="","",IF(COUNTIFS(DESPACHOS!$B$3:$B$3002,$C522)=0,"NO EXISTE",IF(COUNTIFS(DESPACHOS!$B$3:$B$3002,$C522)&gt;1,"DUPLICADO","OK")))</f>
        <v/>
      </c>
      <c r="L522" s="41" t="n"/>
      <c r="M522" s="41" t="n"/>
      <c r="N522" s="42">
        <f>IF($M522="","",IFERROR(INDEX(LISTAS!$F$3:$F$42,MATCH($M522,LISTAS!$E$3:$E$42,0)),"Por definir"))</f>
        <v/>
      </c>
      <c r="O522" s="41" t="n"/>
      <c r="P522" s="39">
        <f>IF($L522="","",IFERROR(INDEX(LISTAS!$B$3:$B$42,MATCH($L522,LISTAS!$A$3:$A$42,0)),"Media"))</f>
        <v/>
      </c>
      <c r="Q522" s="44" t="n"/>
      <c r="R522" s="45" t="n"/>
      <c r="S522" s="20">
        <f>IFERROR(IF(OR($R522="",$C522=""),"",$R522/INDEX(DESPACHOS!$M$3:$M$3002,MATCH($C522,DESPACHOS!$B$3:$B$3002,0))),"")</f>
        <v/>
      </c>
      <c r="T522" s="41" t="n"/>
      <c r="U522" s="43">
        <f>IF(OR($B522="",$L522=""),"",WORKDAY($B522,IFERROR(INDEX(LISTAS!$C$3:$C$42,MATCH($L522,LISTAS!$A$3:$A$42,0)),3)))</f>
        <v/>
      </c>
      <c r="V522" s="40" t="n"/>
      <c r="W522" s="19">
        <f>IF($B522="","",IF($V522&lt;&gt;"",$V522-$B522,TODAY()-$B522))</f>
        <v/>
      </c>
      <c r="X522" s="19">
        <f>IF(OR($B522="",$U522=""),"",IF($V522&lt;&gt;"",MAX(0,$V522-$U522),MAX(0,TODAY()-$U522)))</f>
        <v/>
      </c>
      <c r="Y522" s="39">
        <f>IF($C522="","",IF(IFERROR(INDEX(LISTAS!$I$3:$I$42,MATCH($T522,LISTAS!$H$3:$H$42,0)),"NO")="SÍ",IF(N($X522)&gt;0,"CERRADA FUERA DE SLA","CERRADA EN SLA"),IF($U522="","SIN CLASIFICAR",IF(N($X522)&gt;0,"VENCIDA",IF(TODAY()&gt;=$U522-1,"POR VENCER","EN PLAZO")))))</f>
        <v/>
      </c>
      <c r="Z522" s="41" t="n"/>
      <c r="AA522" s="41" t="n"/>
      <c r="AB522" s="41" t="n"/>
    </row>
    <row r="523">
      <c r="A523" s="39">
        <f>IF($C523="","","NOV-"&amp;TEXT(ROW()-3,"0000"))</f>
        <v/>
      </c>
      <c r="B523" s="40" t="n"/>
      <c r="C523" s="41" t="n"/>
      <c r="D523" s="42">
        <f>IF($C523="","",IFERROR(INDEX(DESPACHOS!$D$3:$D$3002,MATCH($C523,DESPACHOS!$B$3:$B$3002,0)),"SIN DESPACHO"))</f>
        <v/>
      </c>
      <c r="E523" s="42">
        <f>IF($C523="","",IFERROR(INDEX(DESPACHOS!$K$3:$K$3002,MATCH($C523,DESPACHOS!$B$3:$B$3002,0)),""))</f>
        <v/>
      </c>
      <c r="F523" s="42">
        <f>IF($C523="","",IFERROR(INDEX(DESPACHOS!$I$3:$I$3002,MATCH($C523,DESPACHOS!$B$3:$B$3002,0)),""))</f>
        <v/>
      </c>
      <c r="G523" s="42">
        <f>IF($C523="","",IFERROR(INDEX(DESPACHOS!$F$3:$F$3002,MATCH($C523,DESPACHOS!$B$3:$B$3002,0)),""))</f>
        <v/>
      </c>
      <c r="H523" s="42">
        <f>IF($C523="","",IFERROR(INDEX(DESPACHOS!$G$3:$G$3002,MATCH($C523,DESPACHOS!$B$3:$B$3002,0)),""))</f>
        <v/>
      </c>
      <c r="I523" s="39">
        <f>IF($C523="","",IFERROR(INDEX(DESPACHOS!$H$3:$H$3002,MATCH($C523,DESPACHOS!$B$3:$B$3002,0)),""))</f>
        <v/>
      </c>
      <c r="J523" s="43">
        <f>IF($C523="","",IFERROR(INDEX(DESPACHOS!$J$3:$J$3002,MATCH($C523,DESPACHOS!$B$3:$B$3002,0)),""))</f>
        <v/>
      </c>
      <c r="K523" s="39">
        <f>IF($C523="","",IF(COUNTIFS(DESPACHOS!$B$3:$B$3002,$C523)=0,"NO EXISTE",IF(COUNTIFS(DESPACHOS!$B$3:$B$3002,$C523)&gt;1,"DUPLICADO","OK")))</f>
        <v/>
      </c>
      <c r="L523" s="41" t="n"/>
      <c r="M523" s="41" t="n"/>
      <c r="N523" s="42">
        <f>IF($M523="","",IFERROR(INDEX(LISTAS!$F$3:$F$42,MATCH($M523,LISTAS!$E$3:$E$42,0)),"Por definir"))</f>
        <v/>
      </c>
      <c r="O523" s="41" t="n"/>
      <c r="P523" s="39">
        <f>IF($L523="","",IFERROR(INDEX(LISTAS!$B$3:$B$42,MATCH($L523,LISTAS!$A$3:$A$42,0)),"Media"))</f>
        <v/>
      </c>
      <c r="Q523" s="44" t="n"/>
      <c r="R523" s="45" t="n"/>
      <c r="S523" s="20">
        <f>IFERROR(IF(OR($R523="",$C523=""),"",$R523/INDEX(DESPACHOS!$M$3:$M$3002,MATCH($C523,DESPACHOS!$B$3:$B$3002,0))),"")</f>
        <v/>
      </c>
      <c r="T523" s="41" t="n"/>
      <c r="U523" s="43">
        <f>IF(OR($B523="",$L523=""),"",WORKDAY($B523,IFERROR(INDEX(LISTAS!$C$3:$C$42,MATCH($L523,LISTAS!$A$3:$A$42,0)),3)))</f>
        <v/>
      </c>
      <c r="V523" s="40" t="n"/>
      <c r="W523" s="19">
        <f>IF($B523="","",IF($V523&lt;&gt;"",$V523-$B523,TODAY()-$B523))</f>
        <v/>
      </c>
      <c r="X523" s="19">
        <f>IF(OR($B523="",$U523=""),"",IF($V523&lt;&gt;"",MAX(0,$V523-$U523),MAX(0,TODAY()-$U523)))</f>
        <v/>
      </c>
      <c r="Y523" s="39">
        <f>IF($C523="","",IF(IFERROR(INDEX(LISTAS!$I$3:$I$42,MATCH($T523,LISTAS!$H$3:$H$42,0)),"NO")="SÍ",IF(N($X523)&gt;0,"CERRADA FUERA DE SLA","CERRADA EN SLA"),IF($U523="","SIN CLASIFICAR",IF(N($X523)&gt;0,"VENCIDA",IF(TODAY()&gt;=$U523-1,"POR VENCER","EN PLAZO")))))</f>
        <v/>
      </c>
      <c r="Z523" s="41" t="n"/>
      <c r="AA523" s="41" t="n"/>
      <c r="AB523" s="41" t="n"/>
    </row>
    <row r="524">
      <c r="A524" s="39">
        <f>IF($C524="","","NOV-"&amp;TEXT(ROW()-3,"0000"))</f>
        <v/>
      </c>
      <c r="B524" s="40" t="n"/>
      <c r="C524" s="41" t="n"/>
      <c r="D524" s="42">
        <f>IF($C524="","",IFERROR(INDEX(DESPACHOS!$D$3:$D$3002,MATCH($C524,DESPACHOS!$B$3:$B$3002,0)),"SIN DESPACHO"))</f>
        <v/>
      </c>
      <c r="E524" s="42">
        <f>IF($C524="","",IFERROR(INDEX(DESPACHOS!$K$3:$K$3002,MATCH($C524,DESPACHOS!$B$3:$B$3002,0)),""))</f>
        <v/>
      </c>
      <c r="F524" s="42">
        <f>IF($C524="","",IFERROR(INDEX(DESPACHOS!$I$3:$I$3002,MATCH($C524,DESPACHOS!$B$3:$B$3002,0)),""))</f>
        <v/>
      </c>
      <c r="G524" s="42">
        <f>IF($C524="","",IFERROR(INDEX(DESPACHOS!$F$3:$F$3002,MATCH($C524,DESPACHOS!$B$3:$B$3002,0)),""))</f>
        <v/>
      </c>
      <c r="H524" s="42">
        <f>IF($C524="","",IFERROR(INDEX(DESPACHOS!$G$3:$G$3002,MATCH($C524,DESPACHOS!$B$3:$B$3002,0)),""))</f>
        <v/>
      </c>
      <c r="I524" s="39">
        <f>IF($C524="","",IFERROR(INDEX(DESPACHOS!$H$3:$H$3002,MATCH($C524,DESPACHOS!$B$3:$B$3002,0)),""))</f>
        <v/>
      </c>
      <c r="J524" s="43">
        <f>IF($C524="","",IFERROR(INDEX(DESPACHOS!$J$3:$J$3002,MATCH($C524,DESPACHOS!$B$3:$B$3002,0)),""))</f>
        <v/>
      </c>
      <c r="K524" s="39">
        <f>IF($C524="","",IF(COUNTIFS(DESPACHOS!$B$3:$B$3002,$C524)=0,"NO EXISTE",IF(COUNTIFS(DESPACHOS!$B$3:$B$3002,$C524)&gt;1,"DUPLICADO","OK")))</f>
        <v/>
      </c>
      <c r="L524" s="41" t="n"/>
      <c r="M524" s="41" t="n"/>
      <c r="N524" s="42">
        <f>IF($M524="","",IFERROR(INDEX(LISTAS!$F$3:$F$42,MATCH($M524,LISTAS!$E$3:$E$42,0)),"Por definir"))</f>
        <v/>
      </c>
      <c r="O524" s="41" t="n"/>
      <c r="P524" s="39">
        <f>IF($L524="","",IFERROR(INDEX(LISTAS!$B$3:$B$42,MATCH($L524,LISTAS!$A$3:$A$42,0)),"Media"))</f>
        <v/>
      </c>
      <c r="Q524" s="44" t="n"/>
      <c r="R524" s="45" t="n"/>
      <c r="S524" s="20">
        <f>IFERROR(IF(OR($R524="",$C524=""),"",$R524/INDEX(DESPACHOS!$M$3:$M$3002,MATCH($C524,DESPACHOS!$B$3:$B$3002,0))),"")</f>
        <v/>
      </c>
      <c r="T524" s="41" t="n"/>
      <c r="U524" s="43">
        <f>IF(OR($B524="",$L524=""),"",WORKDAY($B524,IFERROR(INDEX(LISTAS!$C$3:$C$42,MATCH($L524,LISTAS!$A$3:$A$42,0)),3)))</f>
        <v/>
      </c>
      <c r="V524" s="40" t="n"/>
      <c r="W524" s="19">
        <f>IF($B524="","",IF($V524&lt;&gt;"",$V524-$B524,TODAY()-$B524))</f>
        <v/>
      </c>
      <c r="X524" s="19">
        <f>IF(OR($B524="",$U524=""),"",IF($V524&lt;&gt;"",MAX(0,$V524-$U524),MAX(0,TODAY()-$U524)))</f>
        <v/>
      </c>
      <c r="Y524" s="39">
        <f>IF($C524="","",IF(IFERROR(INDEX(LISTAS!$I$3:$I$42,MATCH($T524,LISTAS!$H$3:$H$42,0)),"NO")="SÍ",IF(N($X524)&gt;0,"CERRADA FUERA DE SLA","CERRADA EN SLA"),IF($U524="","SIN CLASIFICAR",IF(N($X524)&gt;0,"VENCIDA",IF(TODAY()&gt;=$U524-1,"POR VENCER","EN PLAZO")))))</f>
        <v/>
      </c>
      <c r="Z524" s="41" t="n"/>
      <c r="AA524" s="41" t="n"/>
      <c r="AB524" s="41" t="n"/>
    </row>
    <row r="525">
      <c r="A525" s="39">
        <f>IF($C525="","","NOV-"&amp;TEXT(ROW()-3,"0000"))</f>
        <v/>
      </c>
      <c r="B525" s="40" t="n"/>
      <c r="C525" s="41" t="n"/>
      <c r="D525" s="42">
        <f>IF($C525="","",IFERROR(INDEX(DESPACHOS!$D$3:$D$3002,MATCH($C525,DESPACHOS!$B$3:$B$3002,0)),"SIN DESPACHO"))</f>
        <v/>
      </c>
      <c r="E525" s="42">
        <f>IF($C525="","",IFERROR(INDEX(DESPACHOS!$K$3:$K$3002,MATCH($C525,DESPACHOS!$B$3:$B$3002,0)),""))</f>
        <v/>
      </c>
      <c r="F525" s="42">
        <f>IF($C525="","",IFERROR(INDEX(DESPACHOS!$I$3:$I$3002,MATCH($C525,DESPACHOS!$B$3:$B$3002,0)),""))</f>
        <v/>
      </c>
      <c r="G525" s="42">
        <f>IF($C525="","",IFERROR(INDEX(DESPACHOS!$F$3:$F$3002,MATCH($C525,DESPACHOS!$B$3:$B$3002,0)),""))</f>
        <v/>
      </c>
      <c r="H525" s="42">
        <f>IF($C525="","",IFERROR(INDEX(DESPACHOS!$G$3:$G$3002,MATCH($C525,DESPACHOS!$B$3:$B$3002,0)),""))</f>
        <v/>
      </c>
      <c r="I525" s="39">
        <f>IF($C525="","",IFERROR(INDEX(DESPACHOS!$H$3:$H$3002,MATCH($C525,DESPACHOS!$B$3:$B$3002,0)),""))</f>
        <v/>
      </c>
      <c r="J525" s="43">
        <f>IF($C525="","",IFERROR(INDEX(DESPACHOS!$J$3:$J$3002,MATCH($C525,DESPACHOS!$B$3:$B$3002,0)),""))</f>
        <v/>
      </c>
      <c r="K525" s="39">
        <f>IF($C525="","",IF(COUNTIFS(DESPACHOS!$B$3:$B$3002,$C525)=0,"NO EXISTE",IF(COUNTIFS(DESPACHOS!$B$3:$B$3002,$C525)&gt;1,"DUPLICADO","OK")))</f>
        <v/>
      </c>
      <c r="L525" s="41" t="n"/>
      <c r="M525" s="41" t="n"/>
      <c r="N525" s="42">
        <f>IF($M525="","",IFERROR(INDEX(LISTAS!$F$3:$F$42,MATCH($M525,LISTAS!$E$3:$E$42,0)),"Por definir"))</f>
        <v/>
      </c>
      <c r="O525" s="41" t="n"/>
      <c r="P525" s="39">
        <f>IF($L525="","",IFERROR(INDEX(LISTAS!$B$3:$B$42,MATCH($L525,LISTAS!$A$3:$A$42,0)),"Media"))</f>
        <v/>
      </c>
      <c r="Q525" s="44" t="n"/>
      <c r="R525" s="45" t="n"/>
      <c r="S525" s="20">
        <f>IFERROR(IF(OR($R525="",$C525=""),"",$R525/INDEX(DESPACHOS!$M$3:$M$3002,MATCH($C525,DESPACHOS!$B$3:$B$3002,0))),"")</f>
        <v/>
      </c>
      <c r="T525" s="41" t="n"/>
      <c r="U525" s="43">
        <f>IF(OR($B525="",$L525=""),"",WORKDAY($B525,IFERROR(INDEX(LISTAS!$C$3:$C$42,MATCH($L525,LISTAS!$A$3:$A$42,0)),3)))</f>
        <v/>
      </c>
      <c r="V525" s="40" t="n"/>
      <c r="W525" s="19">
        <f>IF($B525="","",IF($V525&lt;&gt;"",$V525-$B525,TODAY()-$B525))</f>
        <v/>
      </c>
      <c r="X525" s="19">
        <f>IF(OR($B525="",$U525=""),"",IF($V525&lt;&gt;"",MAX(0,$V525-$U525),MAX(0,TODAY()-$U525)))</f>
        <v/>
      </c>
      <c r="Y525" s="39">
        <f>IF($C525="","",IF(IFERROR(INDEX(LISTAS!$I$3:$I$42,MATCH($T525,LISTAS!$H$3:$H$42,0)),"NO")="SÍ",IF(N($X525)&gt;0,"CERRADA FUERA DE SLA","CERRADA EN SLA"),IF($U525="","SIN CLASIFICAR",IF(N($X525)&gt;0,"VENCIDA",IF(TODAY()&gt;=$U525-1,"POR VENCER","EN PLAZO")))))</f>
        <v/>
      </c>
      <c r="Z525" s="41" t="n"/>
      <c r="AA525" s="41" t="n"/>
      <c r="AB525" s="41" t="n"/>
    </row>
    <row r="526">
      <c r="A526" s="39">
        <f>IF($C526="","","NOV-"&amp;TEXT(ROW()-3,"0000"))</f>
        <v/>
      </c>
      <c r="B526" s="40" t="n"/>
      <c r="C526" s="41" t="n"/>
      <c r="D526" s="42">
        <f>IF($C526="","",IFERROR(INDEX(DESPACHOS!$D$3:$D$3002,MATCH($C526,DESPACHOS!$B$3:$B$3002,0)),"SIN DESPACHO"))</f>
        <v/>
      </c>
      <c r="E526" s="42">
        <f>IF($C526="","",IFERROR(INDEX(DESPACHOS!$K$3:$K$3002,MATCH($C526,DESPACHOS!$B$3:$B$3002,0)),""))</f>
        <v/>
      </c>
      <c r="F526" s="42">
        <f>IF($C526="","",IFERROR(INDEX(DESPACHOS!$I$3:$I$3002,MATCH($C526,DESPACHOS!$B$3:$B$3002,0)),""))</f>
        <v/>
      </c>
      <c r="G526" s="42">
        <f>IF($C526="","",IFERROR(INDEX(DESPACHOS!$F$3:$F$3002,MATCH($C526,DESPACHOS!$B$3:$B$3002,0)),""))</f>
        <v/>
      </c>
      <c r="H526" s="42">
        <f>IF($C526="","",IFERROR(INDEX(DESPACHOS!$G$3:$G$3002,MATCH($C526,DESPACHOS!$B$3:$B$3002,0)),""))</f>
        <v/>
      </c>
      <c r="I526" s="39">
        <f>IF($C526="","",IFERROR(INDEX(DESPACHOS!$H$3:$H$3002,MATCH($C526,DESPACHOS!$B$3:$B$3002,0)),""))</f>
        <v/>
      </c>
      <c r="J526" s="43">
        <f>IF($C526="","",IFERROR(INDEX(DESPACHOS!$J$3:$J$3002,MATCH($C526,DESPACHOS!$B$3:$B$3002,0)),""))</f>
        <v/>
      </c>
      <c r="K526" s="39">
        <f>IF($C526="","",IF(COUNTIFS(DESPACHOS!$B$3:$B$3002,$C526)=0,"NO EXISTE",IF(COUNTIFS(DESPACHOS!$B$3:$B$3002,$C526)&gt;1,"DUPLICADO","OK")))</f>
        <v/>
      </c>
      <c r="L526" s="41" t="n"/>
      <c r="M526" s="41" t="n"/>
      <c r="N526" s="42">
        <f>IF($M526="","",IFERROR(INDEX(LISTAS!$F$3:$F$42,MATCH($M526,LISTAS!$E$3:$E$42,0)),"Por definir"))</f>
        <v/>
      </c>
      <c r="O526" s="41" t="n"/>
      <c r="P526" s="39">
        <f>IF($L526="","",IFERROR(INDEX(LISTAS!$B$3:$B$42,MATCH($L526,LISTAS!$A$3:$A$42,0)),"Media"))</f>
        <v/>
      </c>
      <c r="Q526" s="44" t="n"/>
      <c r="R526" s="45" t="n"/>
      <c r="S526" s="20">
        <f>IFERROR(IF(OR($R526="",$C526=""),"",$R526/INDEX(DESPACHOS!$M$3:$M$3002,MATCH($C526,DESPACHOS!$B$3:$B$3002,0))),"")</f>
        <v/>
      </c>
      <c r="T526" s="41" t="n"/>
      <c r="U526" s="43">
        <f>IF(OR($B526="",$L526=""),"",WORKDAY($B526,IFERROR(INDEX(LISTAS!$C$3:$C$42,MATCH($L526,LISTAS!$A$3:$A$42,0)),3)))</f>
        <v/>
      </c>
      <c r="V526" s="40" t="n"/>
      <c r="W526" s="19">
        <f>IF($B526="","",IF($V526&lt;&gt;"",$V526-$B526,TODAY()-$B526))</f>
        <v/>
      </c>
      <c r="X526" s="19">
        <f>IF(OR($B526="",$U526=""),"",IF($V526&lt;&gt;"",MAX(0,$V526-$U526),MAX(0,TODAY()-$U526)))</f>
        <v/>
      </c>
      <c r="Y526" s="39">
        <f>IF($C526="","",IF(IFERROR(INDEX(LISTAS!$I$3:$I$42,MATCH($T526,LISTAS!$H$3:$H$42,0)),"NO")="SÍ",IF(N($X526)&gt;0,"CERRADA FUERA DE SLA","CERRADA EN SLA"),IF($U526="","SIN CLASIFICAR",IF(N($X526)&gt;0,"VENCIDA",IF(TODAY()&gt;=$U526-1,"POR VENCER","EN PLAZO")))))</f>
        <v/>
      </c>
      <c r="Z526" s="41" t="n"/>
      <c r="AA526" s="41" t="n"/>
      <c r="AB526" s="41" t="n"/>
    </row>
    <row r="527">
      <c r="A527" s="39">
        <f>IF($C527="","","NOV-"&amp;TEXT(ROW()-3,"0000"))</f>
        <v/>
      </c>
      <c r="B527" s="40" t="n"/>
      <c r="C527" s="41" t="n"/>
      <c r="D527" s="42">
        <f>IF($C527="","",IFERROR(INDEX(DESPACHOS!$D$3:$D$3002,MATCH($C527,DESPACHOS!$B$3:$B$3002,0)),"SIN DESPACHO"))</f>
        <v/>
      </c>
      <c r="E527" s="42">
        <f>IF($C527="","",IFERROR(INDEX(DESPACHOS!$K$3:$K$3002,MATCH($C527,DESPACHOS!$B$3:$B$3002,0)),""))</f>
        <v/>
      </c>
      <c r="F527" s="42">
        <f>IF($C527="","",IFERROR(INDEX(DESPACHOS!$I$3:$I$3002,MATCH($C527,DESPACHOS!$B$3:$B$3002,0)),""))</f>
        <v/>
      </c>
      <c r="G527" s="42">
        <f>IF($C527="","",IFERROR(INDEX(DESPACHOS!$F$3:$F$3002,MATCH($C527,DESPACHOS!$B$3:$B$3002,0)),""))</f>
        <v/>
      </c>
      <c r="H527" s="42">
        <f>IF($C527="","",IFERROR(INDEX(DESPACHOS!$G$3:$G$3002,MATCH($C527,DESPACHOS!$B$3:$B$3002,0)),""))</f>
        <v/>
      </c>
      <c r="I527" s="39">
        <f>IF($C527="","",IFERROR(INDEX(DESPACHOS!$H$3:$H$3002,MATCH($C527,DESPACHOS!$B$3:$B$3002,0)),""))</f>
        <v/>
      </c>
      <c r="J527" s="43">
        <f>IF($C527="","",IFERROR(INDEX(DESPACHOS!$J$3:$J$3002,MATCH($C527,DESPACHOS!$B$3:$B$3002,0)),""))</f>
        <v/>
      </c>
      <c r="K527" s="39">
        <f>IF($C527="","",IF(COUNTIFS(DESPACHOS!$B$3:$B$3002,$C527)=0,"NO EXISTE",IF(COUNTIFS(DESPACHOS!$B$3:$B$3002,$C527)&gt;1,"DUPLICADO","OK")))</f>
        <v/>
      </c>
      <c r="L527" s="41" t="n"/>
      <c r="M527" s="41" t="n"/>
      <c r="N527" s="42">
        <f>IF($M527="","",IFERROR(INDEX(LISTAS!$F$3:$F$42,MATCH($M527,LISTAS!$E$3:$E$42,0)),"Por definir"))</f>
        <v/>
      </c>
      <c r="O527" s="41" t="n"/>
      <c r="P527" s="39">
        <f>IF($L527="","",IFERROR(INDEX(LISTAS!$B$3:$B$42,MATCH($L527,LISTAS!$A$3:$A$42,0)),"Media"))</f>
        <v/>
      </c>
      <c r="Q527" s="44" t="n"/>
      <c r="R527" s="45" t="n"/>
      <c r="S527" s="20">
        <f>IFERROR(IF(OR($R527="",$C527=""),"",$R527/INDEX(DESPACHOS!$M$3:$M$3002,MATCH($C527,DESPACHOS!$B$3:$B$3002,0))),"")</f>
        <v/>
      </c>
      <c r="T527" s="41" t="n"/>
      <c r="U527" s="43">
        <f>IF(OR($B527="",$L527=""),"",WORKDAY($B527,IFERROR(INDEX(LISTAS!$C$3:$C$42,MATCH($L527,LISTAS!$A$3:$A$42,0)),3)))</f>
        <v/>
      </c>
      <c r="V527" s="40" t="n"/>
      <c r="W527" s="19">
        <f>IF($B527="","",IF($V527&lt;&gt;"",$V527-$B527,TODAY()-$B527))</f>
        <v/>
      </c>
      <c r="X527" s="19">
        <f>IF(OR($B527="",$U527=""),"",IF($V527&lt;&gt;"",MAX(0,$V527-$U527),MAX(0,TODAY()-$U527)))</f>
        <v/>
      </c>
      <c r="Y527" s="39">
        <f>IF($C527="","",IF(IFERROR(INDEX(LISTAS!$I$3:$I$42,MATCH($T527,LISTAS!$H$3:$H$42,0)),"NO")="SÍ",IF(N($X527)&gt;0,"CERRADA FUERA DE SLA","CERRADA EN SLA"),IF($U527="","SIN CLASIFICAR",IF(N($X527)&gt;0,"VENCIDA",IF(TODAY()&gt;=$U527-1,"POR VENCER","EN PLAZO")))))</f>
        <v/>
      </c>
      <c r="Z527" s="41" t="n"/>
      <c r="AA527" s="41" t="n"/>
      <c r="AB527" s="41" t="n"/>
    </row>
    <row r="528">
      <c r="A528" s="39">
        <f>IF($C528="","","NOV-"&amp;TEXT(ROW()-3,"0000"))</f>
        <v/>
      </c>
      <c r="B528" s="40" t="n"/>
      <c r="C528" s="41" t="n"/>
      <c r="D528" s="42">
        <f>IF($C528="","",IFERROR(INDEX(DESPACHOS!$D$3:$D$3002,MATCH($C528,DESPACHOS!$B$3:$B$3002,0)),"SIN DESPACHO"))</f>
        <v/>
      </c>
      <c r="E528" s="42">
        <f>IF($C528="","",IFERROR(INDEX(DESPACHOS!$K$3:$K$3002,MATCH($C528,DESPACHOS!$B$3:$B$3002,0)),""))</f>
        <v/>
      </c>
      <c r="F528" s="42">
        <f>IF($C528="","",IFERROR(INDEX(DESPACHOS!$I$3:$I$3002,MATCH($C528,DESPACHOS!$B$3:$B$3002,0)),""))</f>
        <v/>
      </c>
      <c r="G528" s="42">
        <f>IF($C528="","",IFERROR(INDEX(DESPACHOS!$F$3:$F$3002,MATCH($C528,DESPACHOS!$B$3:$B$3002,0)),""))</f>
        <v/>
      </c>
      <c r="H528" s="42">
        <f>IF($C528="","",IFERROR(INDEX(DESPACHOS!$G$3:$G$3002,MATCH($C528,DESPACHOS!$B$3:$B$3002,0)),""))</f>
        <v/>
      </c>
      <c r="I528" s="39">
        <f>IF($C528="","",IFERROR(INDEX(DESPACHOS!$H$3:$H$3002,MATCH($C528,DESPACHOS!$B$3:$B$3002,0)),""))</f>
        <v/>
      </c>
      <c r="J528" s="43">
        <f>IF($C528="","",IFERROR(INDEX(DESPACHOS!$J$3:$J$3002,MATCH($C528,DESPACHOS!$B$3:$B$3002,0)),""))</f>
        <v/>
      </c>
      <c r="K528" s="39">
        <f>IF($C528="","",IF(COUNTIFS(DESPACHOS!$B$3:$B$3002,$C528)=0,"NO EXISTE",IF(COUNTIFS(DESPACHOS!$B$3:$B$3002,$C528)&gt;1,"DUPLICADO","OK")))</f>
        <v/>
      </c>
      <c r="L528" s="41" t="n"/>
      <c r="M528" s="41" t="n"/>
      <c r="N528" s="42">
        <f>IF($M528="","",IFERROR(INDEX(LISTAS!$F$3:$F$42,MATCH($M528,LISTAS!$E$3:$E$42,0)),"Por definir"))</f>
        <v/>
      </c>
      <c r="O528" s="41" t="n"/>
      <c r="P528" s="39">
        <f>IF($L528="","",IFERROR(INDEX(LISTAS!$B$3:$B$42,MATCH($L528,LISTAS!$A$3:$A$42,0)),"Media"))</f>
        <v/>
      </c>
      <c r="Q528" s="44" t="n"/>
      <c r="R528" s="45" t="n"/>
      <c r="S528" s="20">
        <f>IFERROR(IF(OR($R528="",$C528=""),"",$R528/INDEX(DESPACHOS!$M$3:$M$3002,MATCH($C528,DESPACHOS!$B$3:$B$3002,0))),"")</f>
        <v/>
      </c>
      <c r="T528" s="41" t="n"/>
      <c r="U528" s="43">
        <f>IF(OR($B528="",$L528=""),"",WORKDAY($B528,IFERROR(INDEX(LISTAS!$C$3:$C$42,MATCH($L528,LISTAS!$A$3:$A$42,0)),3)))</f>
        <v/>
      </c>
      <c r="V528" s="40" t="n"/>
      <c r="W528" s="19">
        <f>IF($B528="","",IF($V528&lt;&gt;"",$V528-$B528,TODAY()-$B528))</f>
        <v/>
      </c>
      <c r="X528" s="19">
        <f>IF(OR($B528="",$U528=""),"",IF($V528&lt;&gt;"",MAX(0,$V528-$U528),MAX(0,TODAY()-$U528)))</f>
        <v/>
      </c>
      <c r="Y528" s="39">
        <f>IF($C528="","",IF(IFERROR(INDEX(LISTAS!$I$3:$I$42,MATCH($T528,LISTAS!$H$3:$H$42,0)),"NO")="SÍ",IF(N($X528)&gt;0,"CERRADA FUERA DE SLA","CERRADA EN SLA"),IF($U528="","SIN CLASIFICAR",IF(N($X528)&gt;0,"VENCIDA",IF(TODAY()&gt;=$U528-1,"POR VENCER","EN PLAZO")))))</f>
        <v/>
      </c>
      <c r="Z528" s="41" t="n"/>
      <c r="AA528" s="41" t="n"/>
      <c r="AB528" s="41" t="n"/>
    </row>
    <row r="529">
      <c r="A529" s="39">
        <f>IF($C529="","","NOV-"&amp;TEXT(ROW()-3,"0000"))</f>
        <v/>
      </c>
      <c r="B529" s="40" t="n"/>
      <c r="C529" s="41" t="n"/>
      <c r="D529" s="42">
        <f>IF($C529="","",IFERROR(INDEX(DESPACHOS!$D$3:$D$3002,MATCH($C529,DESPACHOS!$B$3:$B$3002,0)),"SIN DESPACHO"))</f>
        <v/>
      </c>
      <c r="E529" s="42">
        <f>IF($C529="","",IFERROR(INDEX(DESPACHOS!$K$3:$K$3002,MATCH($C529,DESPACHOS!$B$3:$B$3002,0)),""))</f>
        <v/>
      </c>
      <c r="F529" s="42">
        <f>IF($C529="","",IFERROR(INDEX(DESPACHOS!$I$3:$I$3002,MATCH($C529,DESPACHOS!$B$3:$B$3002,0)),""))</f>
        <v/>
      </c>
      <c r="G529" s="42">
        <f>IF($C529="","",IFERROR(INDEX(DESPACHOS!$F$3:$F$3002,MATCH($C529,DESPACHOS!$B$3:$B$3002,0)),""))</f>
        <v/>
      </c>
      <c r="H529" s="42">
        <f>IF($C529="","",IFERROR(INDEX(DESPACHOS!$G$3:$G$3002,MATCH($C529,DESPACHOS!$B$3:$B$3002,0)),""))</f>
        <v/>
      </c>
      <c r="I529" s="39">
        <f>IF($C529="","",IFERROR(INDEX(DESPACHOS!$H$3:$H$3002,MATCH($C529,DESPACHOS!$B$3:$B$3002,0)),""))</f>
        <v/>
      </c>
      <c r="J529" s="43">
        <f>IF($C529="","",IFERROR(INDEX(DESPACHOS!$J$3:$J$3002,MATCH($C529,DESPACHOS!$B$3:$B$3002,0)),""))</f>
        <v/>
      </c>
      <c r="K529" s="39">
        <f>IF($C529="","",IF(COUNTIFS(DESPACHOS!$B$3:$B$3002,$C529)=0,"NO EXISTE",IF(COUNTIFS(DESPACHOS!$B$3:$B$3002,$C529)&gt;1,"DUPLICADO","OK")))</f>
        <v/>
      </c>
      <c r="L529" s="41" t="n"/>
      <c r="M529" s="41" t="n"/>
      <c r="N529" s="42">
        <f>IF($M529="","",IFERROR(INDEX(LISTAS!$F$3:$F$42,MATCH($M529,LISTAS!$E$3:$E$42,0)),"Por definir"))</f>
        <v/>
      </c>
      <c r="O529" s="41" t="n"/>
      <c r="P529" s="39">
        <f>IF($L529="","",IFERROR(INDEX(LISTAS!$B$3:$B$42,MATCH($L529,LISTAS!$A$3:$A$42,0)),"Media"))</f>
        <v/>
      </c>
      <c r="Q529" s="44" t="n"/>
      <c r="R529" s="45" t="n"/>
      <c r="S529" s="20">
        <f>IFERROR(IF(OR($R529="",$C529=""),"",$R529/INDEX(DESPACHOS!$M$3:$M$3002,MATCH($C529,DESPACHOS!$B$3:$B$3002,0))),"")</f>
        <v/>
      </c>
      <c r="T529" s="41" t="n"/>
      <c r="U529" s="43">
        <f>IF(OR($B529="",$L529=""),"",WORKDAY($B529,IFERROR(INDEX(LISTAS!$C$3:$C$42,MATCH($L529,LISTAS!$A$3:$A$42,0)),3)))</f>
        <v/>
      </c>
      <c r="V529" s="40" t="n"/>
      <c r="W529" s="19">
        <f>IF($B529="","",IF($V529&lt;&gt;"",$V529-$B529,TODAY()-$B529))</f>
        <v/>
      </c>
      <c r="X529" s="19">
        <f>IF(OR($B529="",$U529=""),"",IF($V529&lt;&gt;"",MAX(0,$V529-$U529),MAX(0,TODAY()-$U529)))</f>
        <v/>
      </c>
      <c r="Y529" s="39">
        <f>IF($C529="","",IF(IFERROR(INDEX(LISTAS!$I$3:$I$42,MATCH($T529,LISTAS!$H$3:$H$42,0)),"NO")="SÍ",IF(N($X529)&gt;0,"CERRADA FUERA DE SLA","CERRADA EN SLA"),IF($U529="","SIN CLASIFICAR",IF(N($X529)&gt;0,"VENCIDA",IF(TODAY()&gt;=$U529-1,"POR VENCER","EN PLAZO")))))</f>
        <v/>
      </c>
      <c r="Z529" s="41" t="n"/>
      <c r="AA529" s="41" t="n"/>
      <c r="AB529" s="41" t="n"/>
    </row>
    <row r="530">
      <c r="A530" s="39">
        <f>IF($C530="","","NOV-"&amp;TEXT(ROW()-3,"0000"))</f>
        <v/>
      </c>
      <c r="B530" s="40" t="n"/>
      <c r="C530" s="41" t="n"/>
      <c r="D530" s="42">
        <f>IF($C530="","",IFERROR(INDEX(DESPACHOS!$D$3:$D$3002,MATCH($C530,DESPACHOS!$B$3:$B$3002,0)),"SIN DESPACHO"))</f>
        <v/>
      </c>
      <c r="E530" s="42">
        <f>IF($C530="","",IFERROR(INDEX(DESPACHOS!$K$3:$K$3002,MATCH($C530,DESPACHOS!$B$3:$B$3002,0)),""))</f>
        <v/>
      </c>
      <c r="F530" s="42">
        <f>IF($C530="","",IFERROR(INDEX(DESPACHOS!$I$3:$I$3002,MATCH($C530,DESPACHOS!$B$3:$B$3002,0)),""))</f>
        <v/>
      </c>
      <c r="G530" s="42">
        <f>IF($C530="","",IFERROR(INDEX(DESPACHOS!$F$3:$F$3002,MATCH($C530,DESPACHOS!$B$3:$B$3002,0)),""))</f>
        <v/>
      </c>
      <c r="H530" s="42">
        <f>IF($C530="","",IFERROR(INDEX(DESPACHOS!$G$3:$G$3002,MATCH($C530,DESPACHOS!$B$3:$B$3002,0)),""))</f>
        <v/>
      </c>
      <c r="I530" s="39">
        <f>IF($C530="","",IFERROR(INDEX(DESPACHOS!$H$3:$H$3002,MATCH($C530,DESPACHOS!$B$3:$B$3002,0)),""))</f>
        <v/>
      </c>
      <c r="J530" s="43">
        <f>IF($C530="","",IFERROR(INDEX(DESPACHOS!$J$3:$J$3002,MATCH($C530,DESPACHOS!$B$3:$B$3002,0)),""))</f>
        <v/>
      </c>
      <c r="K530" s="39">
        <f>IF($C530="","",IF(COUNTIFS(DESPACHOS!$B$3:$B$3002,$C530)=0,"NO EXISTE",IF(COUNTIFS(DESPACHOS!$B$3:$B$3002,$C530)&gt;1,"DUPLICADO","OK")))</f>
        <v/>
      </c>
      <c r="L530" s="41" t="n"/>
      <c r="M530" s="41" t="n"/>
      <c r="N530" s="42">
        <f>IF($M530="","",IFERROR(INDEX(LISTAS!$F$3:$F$42,MATCH($M530,LISTAS!$E$3:$E$42,0)),"Por definir"))</f>
        <v/>
      </c>
      <c r="O530" s="41" t="n"/>
      <c r="P530" s="39">
        <f>IF($L530="","",IFERROR(INDEX(LISTAS!$B$3:$B$42,MATCH($L530,LISTAS!$A$3:$A$42,0)),"Media"))</f>
        <v/>
      </c>
      <c r="Q530" s="44" t="n"/>
      <c r="R530" s="45" t="n"/>
      <c r="S530" s="20">
        <f>IFERROR(IF(OR($R530="",$C530=""),"",$R530/INDEX(DESPACHOS!$M$3:$M$3002,MATCH($C530,DESPACHOS!$B$3:$B$3002,0))),"")</f>
        <v/>
      </c>
      <c r="T530" s="41" t="n"/>
      <c r="U530" s="43">
        <f>IF(OR($B530="",$L530=""),"",WORKDAY($B530,IFERROR(INDEX(LISTAS!$C$3:$C$42,MATCH($L530,LISTAS!$A$3:$A$42,0)),3)))</f>
        <v/>
      </c>
      <c r="V530" s="40" t="n"/>
      <c r="W530" s="19">
        <f>IF($B530="","",IF($V530&lt;&gt;"",$V530-$B530,TODAY()-$B530))</f>
        <v/>
      </c>
      <c r="X530" s="19">
        <f>IF(OR($B530="",$U530=""),"",IF($V530&lt;&gt;"",MAX(0,$V530-$U530),MAX(0,TODAY()-$U530)))</f>
        <v/>
      </c>
      <c r="Y530" s="39">
        <f>IF($C530="","",IF(IFERROR(INDEX(LISTAS!$I$3:$I$42,MATCH($T530,LISTAS!$H$3:$H$42,0)),"NO")="SÍ",IF(N($X530)&gt;0,"CERRADA FUERA DE SLA","CERRADA EN SLA"),IF($U530="","SIN CLASIFICAR",IF(N($X530)&gt;0,"VENCIDA",IF(TODAY()&gt;=$U530-1,"POR VENCER","EN PLAZO")))))</f>
        <v/>
      </c>
      <c r="Z530" s="41" t="n"/>
      <c r="AA530" s="41" t="n"/>
      <c r="AB530" s="41" t="n"/>
    </row>
    <row r="531">
      <c r="A531" s="39">
        <f>IF($C531="","","NOV-"&amp;TEXT(ROW()-3,"0000"))</f>
        <v/>
      </c>
      <c r="B531" s="40" t="n"/>
      <c r="C531" s="41" t="n"/>
      <c r="D531" s="42">
        <f>IF($C531="","",IFERROR(INDEX(DESPACHOS!$D$3:$D$3002,MATCH($C531,DESPACHOS!$B$3:$B$3002,0)),"SIN DESPACHO"))</f>
        <v/>
      </c>
      <c r="E531" s="42">
        <f>IF($C531="","",IFERROR(INDEX(DESPACHOS!$K$3:$K$3002,MATCH($C531,DESPACHOS!$B$3:$B$3002,0)),""))</f>
        <v/>
      </c>
      <c r="F531" s="42">
        <f>IF($C531="","",IFERROR(INDEX(DESPACHOS!$I$3:$I$3002,MATCH($C531,DESPACHOS!$B$3:$B$3002,0)),""))</f>
        <v/>
      </c>
      <c r="G531" s="42">
        <f>IF($C531="","",IFERROR(INDEX(DESPACHOS!$F$3:$F$3002,MATCH($C531,DESPACHOS!$B$3:$B$3002,0)),""))</f>
        <v/>
      </c>
      <c r="H531" s="42">
        <f>IF($C531="","",IFERROR(INDEX(DESPACHOS!$G$3:$G$3002,MATCH($C531,DESPACHOS!$B$3:$B$3002,0)),""))</f>
        <v/>
      </c>
      <c r="I531" s="39">
        <f>IF($C531="","",IFERROR(INDEX(DESPACHOS!$H$3:$H$3002,MATCH($C531,DESPACHOS!$B$3:$B$3002,0)),""))</f>
        <v/>
      </c>
      <c r="J531" s="43">
        <f>IF($C531="","",IFERROR(INDEX(DESPACHOS!$J$3:$J$3002,MATCH($C531,DESPACHOS!$B$3:$B$3002,0)),""))</f>
        <v/>
      </c>
      <c r="K531" s="39">
        <f>IF($C531="","",IF(COUNTIFS(DESPACHOS!$B$3:$B$3002,$C531)=0,"NO EXISTE",IF(COUNTIFS(DESPACHOS!$B$3:$B$3002,$C531)&gt;1,"DUPLICADO","OK")))</f>
        <v/>
      </c>
      <c r="L531" s="41" t="n"/>
      <c r="M531" s="41" t="n"/>
      <c r="N531" s="42">
        <f>IF($M531="","",IFERROR(INDEX(LISTAS!$F$3:$F$42,MATCH($M531,LISTAS!$E$3:$E$42,0)),"Por definir"))</f>
        <v/>
      </c>
      <c r="O531" s="41" t="n"/>
      <c r="P531" s="39">
        <f>IF($L531="","",IFERROR(INDEX(LISTAS!$B$3:$B$42,MATCH($L531,LISTAS!$A$3:$A$42,0)),"Media"))</f>
        <v/>
      </c>
      <c r="Q531" s="44" t="n"/>
      <c r="R531" s="45" t="n"/>
      <c r="S531" s="20">
        <f>IFERROR(IF(OR($R531="",$C531=""),"",$R531/INDEX(DESPACHOS!$M$3:$M$3002,MATCH($C531,DESPACHOS!$B$3:$B$3002,0))),"")</f>
        <v/>
      </c>
      <c r="T531" s="41" t="n"/>
      <c r="U531" s="43">
        <f>IF(OR($B531="",$L531=""),"",WORKDAY($B531,IFERROR(INDEX(LISTAS!$C$3:$C$42,MATCH($L531,LISTAS!$A$3:$A$42,0)),3)))</f>
        <v/>
      </c>
      <c r="V531" s="40" t="n"/>
      <c r="W531" s="19">
        <f>IF($B531="","",IF($V531&lt;&gt;"",$V531-$B531,TODAY()-$B531))</f>
        <v/>
      </c>
      <c r="X531" s="19">
        <f>IF(OR($B531="",$U531=""),"",IF($V531&lt;&gt;"",MAX(0,$V531-$U531),MAX(0,TODAY()-$U531)))</f>
        <v/>
      </c>
      <c r="Y531" s="39">
        <f>IF($C531="","",IF(IFERROR(INDEX(LISTAS!$I$3:$I$42,MATCH($T531,LISTAS!$H$3:$H$42,0)),"NO")="SÍ",IF(N($X531)&gt;0,"CERRADA FUERA DE SLA","CERRADA EN SLA"),IF($U531="","SIN CLASIFICAR",IF(N($X531)&gt;0,"VENCIDA",IF(TODAY()&gt;=$U531-1,"POR VENCER","EN PLAZO")))))</f>
        <v/>
      </c>
      <c r="Z531" s="41" t="n"/>
      <c r="AA531" s="41" t="n"/>
      <c r="AB531" s="41" t="n"/>
    </row>
    <row r="532">
      <c r="A532" s="39">
        <f>IF($C532="","","NOV-"&amp;TEXT(ROW()-3,"0000"))</f>
        <v/>
      </c>
      <c r="B532" s="40" t="n"/>
      <c r="C532" s="41" t="n"/>
      <c r="D532" s="42">
        <f>IF($C532="","",IFERROR(INDEX(DESPACHOS!$D$3:$D$3002,MATCH($C532,DESPACHOS!$B$3:$B$3002,0)),"SIN DESPACHO"))</f>
        <v/>
      </c>
      <c r="E532" s="42">
        <f>IF($C532="","",IFERROR(INDEX(DESPACHOS!$K$3:$K$3002,MATCH($C532,DESPACHOS!$B$3:$B$3002,0)),""))</f>
        <v/>
      </c>
      <c r="F532" s="42">
        <f>IF($C532="","",IFERROR(INDEX(DESPACHOS!$I$3:$I$3002,MATCH($C532,DESPACHOS!$B$3:$B$3002,0)),""))</f>
        <v/>
      </c>
      <c r="G532" s="42">
        <f>IF($C532="","",IFERROR(INDEX(DESPACHOS!$F$3:$F$3002,MATCH($C532,DESPACHOS!$B$3:$B$3002,0)),""))</f>
        <v/>
      </c>
      <c r="H532" s="42">
        <f>IF($C532="","",IFERROR(INDEX(DESPACHOS!$G$3:$G$3002,MATCH($C532,DESPACHOS!$B$3:$B$3002,0)),""))</f>
        <v/>
      </c>
      <c r="I532" s="39">
        <f>IF($C532="","",IFERROR(INDEX(DESPACHOS!$H$3:$H$3002,MATCH($C532,DESPACHOS!$B$3:$B$3002,0)),""))</f>
        <v/>
      </c>
      <c r="J532" s="43">
        <f>IF($C532="","",IFERROR(INDEX(DESPACHOS!$J$3:$J$3002,MATCH($C532,DESPACHOS!$B$3:$B$3002,0)),""))</f>
        <v/>
      </c>
      <c r="K532" s="39">
        <f>IF($C532="","",IF(COUNTIFS(DESPACHOS!$B$3:$B$3002,$C532)=0,"NO EXISTE",IF(COUNTIFS(DESPACHOS!$B$3:$B$3002,$C532)&gt;1,"DUPLICADO","OK")))</f>
        <v/>
      </c>
      <c r="L532" s="41" t="n"/>
      <c r="M532" s="41" t="n"/>
      <c r="N532" s="42">
        <f>IF($M532="","",IFERROR(INDEX(LISTAS!$F$3:$F$42,MATCH($M532,LISTAS!$E$3:$E$42,0)),"Por definir"))</f>
        <v/>
      </c>
      <c r="O532" s="41" t="n"/>
      <c r="P532" s="39">
        <f>IF($L532="","",IFERROR(INDEX(LISTAS!$B$3:$B$42,MATCH($L532,LISTAS!$A$3:$A$42,0)),"Media"))</f>
        <v/>
      </c>
      <c r="Q532" s="44" t="n"/>
      <c r="R532" s="45" t="n"/>
      <c r="S532" s="20">
        <f>IFERROR(IF(OR($R532="",$C532=""),"",$R532/INDEX(DESPACHOS!$M$3:$M$3002,MATCH($C532,DESPACHOS!$B$3:$B$3002,0))),"")</f>
        <v/>
      </c>
      <c r="T532" s="41" t="n"/>
      <c r="U532" s="43">
        <f>IF(OR($B532="",$L532=""),"",WORKDAY($B532,IFERROR(INDEX(LISTAS!$C$3:$C$42,MATCH($L532,LISTAS!$A$3:$A$42,0)),3)))</f>
        <v/>
      </c>
      <c r="V532" s="40" t="n"/>
      <c r="W532" s="19">
        <f>IF($B532="","",IF($V532&lt;&gt;"",$V532-$B532,TODAY()-$B532))</f>
        <v/>
      </c>
      <c r="X532" s="19">
        <f>IF(OR($B532="",$U532=""),"",IF($V532&lt;&gt;"",MAX(0,$V532-$U532),MAX(0,TODAY()-$U532)))</f>
        <v/>
      </c>
      <c r="Y532" s="39">
        <f>IF($C532="","",IF(IFERROR(INDEX(LISTAS!$I$3:$I$42,MATCH($T532,LISTAS!$H$3:$H$42,0)),"NO")="SÍ",IF(N($X532)&gt;0,"CERRADA FUERA DE SLA","CERRADA EN SLA"),IF($U532="","SIN CLASIFICAR",IF(N($X532)&gt;0,"VENCIDA",IF(TODAY()&gt;=$U532-1,"POR VENCER","EN PLAZO")))))</f>
        <v/>
      </c>
      <c r="Z532" s="41" t="n"/>
      <c r="AA532" s="41" t="n"/>
      <c r="AB532" s="41" t="n"/>
    </row>
    <row r="533">
      <c r="A533" s="39">
        <f>IF($C533="","","NOV-"&amp;TEXT(ROW()-3,"0000"))</f>
        <v/>
      </c>
      <c r="B533" s="40" t="n"/>
      <c r="C533" s="41" t="n"/>
      <c r="D533" s="42">
        <f>IF($C533="","",IFERROR(INDEX(DESPACHOS!$D$3:$D$3002,MATCH($C533,DESPACHOS!$B$3:$B$3002,0)),"SIN DESPACHO"))</f>
        <v/>
      </c>
      <c r="E533" s="42">
        <f>IF($C533="","",IFERROR(INDEX(DESPACHOS!$K$3:$K$3002,MATCH($C533,DESPACHOS!$B$3:$B$3002,0)),""))</f>
        <v/>
      </c>
      <c r="F533" s="42">
        <f>IF($C533="","",IFERROR(INDEX(DESPACHOS!$I$3:$I$3002,MATCH($C533,DESPACHOS!$B$3:$B$3002,0)),""))</f>
        <v/>
      </c>
      <c r="G533" s="42">
        <f>IF($C533="","",IFERROR(INDEX(DESPACHOS!$F$3:$F$3002,MATCH($C533,DESPACHOS!$B$3:$B$3002,0)),""))</f>
        <v/>
      </c>
      <c r="H533" s="42">
        <f>IF($C533="","",IFERROR(INDEX(DESPACHOS!$G$3:$G$3002,MATCH($C533,DESPACHOS!$B$3:$B$3002,0)),""))</f>
        <v/>
      </c>
      <c r="I533" s="39">
        <f>IF($C533="","",IFERROR(INDEX(DESPACHOS!$H$3:$H$3002,MATCH($C533,DESPACHOS!$B$3:$B$3002,0)),""))</f>
        <v/>
      </c>
      <c r="J533" s="43">
        <f>IF($C533="","",IFERROR(INDEX(DESPACHOS!$J$3:$J$3002,MATCH($C533,DESPACHOS!$B$3:$B$3002,0)),""))</f>
        <v/>
      </c>
      <c r="K533" s="39">
        <f>IF($C533="","",IF(COUNTIFS(DESPACHOS!$B$3:$B$3002,$C533)=0,"NO EXISTE",IF(COUNTIFS(DESPACHOS!$B$3:$B$3002,$C533)&gt;1,"DUPLICADO","OK")))</f>
        <v/>
      </c>
      <c r="L533" s="41" t="n"/>
      <c r="M533" s="41" t="n"/>
      <c r="N533" s="42">
        <f>IF($M533="","",IFERROR(INDEX(LISTAS!$F$3:$F$42,MATCH($M533,LISTAS!$E$3:$E$42,0)),"Por definir"))</f>
        <v/>
      </c>
      <c r="O533" s="41" t="n"/>
      <c r="P533" s="39">
        <f>IF($L533="","",IFERROR(INDEX(LISTAS!$B$3:$B$42,MATCH($L533,LISTAS!$A$3:$A$42,0)),"Media"))</f>
        <v/>
      </c>
      <c r="Q533" s="44" t="n"/>
      <c r="R533" s="45" t="n"/>
      <c r="S533" s="20">
        <f>IFERROR(IF(OR($R533="",$C533=""),"",$R533/INDEX(DESPACHOS!$M$3:$M$3002,MATCH($C533,DESPACHOS!$B$3:$B$3002,0))),"")</f>
        <v/>
      </c>
      <c r="T533" s="41" t="n"/>
      <c r="U533" s="43">
        <f>IF(OR($B533="",$L533=""),"",WORKDAY($B533,IFERROR(INDEX(LISTAS!$C$3:$C$42,MATCH($L533,LISTAS!$A$3:$A$42,0)),3)))</f>
        <v/>
      </c>
      <c r="V533" s="40" t="n"/>
      <c r="W533" s="19">
        <f>IF($B533="","",IF($V533&lt;&gt;"",$V533-$B533,TODAY()-$B533))</f>
        <v/>
      </c>
      <c r="X533" s="19">
        <f>IF(OR($B533="",$U533=""),"",IF($V533&lt;&gt;"",MAX(0,$V533-$U533),MAX(0,TODAY()-$U533)))</f>
        <v/>
      </c>
      <c r="Y533" s="39">
        <f>IF($C533="","",IF(IFERROR(INDEX(LISTAS!$I$3:$I$42,MATCH($T533,LISTAS!$H$3:$H$42,0)),"NO")="SÍ",IF(N($X533)&gt;0,"CERRADA FUERA DE SLA","CERRADA EN SLA"),IF($U533="","SIN CLASIFICAR",IF(N($X533)&gt;0,"VENCIDA",IF(TODAY()&gt;=$U533-1,"POR VENCER","EN PLAZO")))))</f>
        <v/>
      </c>
      <c r="Z533" s="41" t="n"/>
      <c r="AA533" s="41" t="n"/>
      <c r="AB533" s="41" t="n"/>
    </row>
    <row r="534">
      <c r="A534" s="39">
        <f>IF($C534="","","NOV-"&amp;TEXT(ROW()-3,"0000"))</f>
        <v/>
      </c>
      <c r="B534" s="40" t="n"/>
      <c r="C534" s="41" t="n"/>
      <c r="D534" s="42">
        <f>IF($C534="","",IFERROR(INDEX(DESPACHOS!$D$3:$D$3002,MATCH($C534,DESPACHOS!$B$3:$B$3002,0)),"SIN DESPACHO"))</f>
        <v/>
      </c>
      <c r="E534" s="42">
        <f>IF($C534="","",IFERROR(INDEX(DESPACHOS!$K$3:$K$3002,MATCH($C534,DESPACHOS!$B$3:$B$3002,0)),""))</f>
        <v/>
      </c>
      <c r="F534" s="42">
        <f>IF($C534="","",IFERROR(INDEX(DESPACHOS!$I$3:$I$3002,MATCH($C534,DESPACHOS!$B$3:$B$3002,0)),""))</f>
        <v/>
      </c>
      <c r="G534" s="42">
        <f>IF($C534="","",IFERROR(INDEX(DESPACHOS!$F$3:$F$3002,MATCH($C534,DESPACHOS!$B$3:$B$3002,0)),""))</f>
        <v/>
      </c>
      <c r="H534" s="42">
        <f>IF($C534="","",IFERROR(INDEX(DESPACHOS!$G$3:$G$3002,MATCH($C534,DESPACHOS!$B$3:$B$3002,0)),""))</f>
        <v/>
      </c>
      <c r="I534" s="39">
        <f>IF($C534="","",IFERROR(INDEX(DESPACHOS!$H$3:$H$3002,MATCH($C534,DESPACHOS!$B$3:$B$3002,0)),""))</f>
        <v/>
      </c>
      <c r="J534" s="43">
        <f>IF($C534="","",IFERROR(INDEX(DESPACHOS!$J$3:$J$3002,MATCH($C534,DESPACHOS!$B$3:$B$3002,0)),""))</f>
        <v/>
      </c>
      <c r="K534" s="39">
        <f>IF($C534="","",IF(COUNTIFS(DESPACHOS!$B$3:$B$3002,$C534)=0,"NO EXISTE",IF(COUNTIFS(DESPACHOS!$B$3:$B$3002,$C534)&gt;1,"DUPLICADO","OK")))</f>
        <v/>
      </c>
      <c r="L534" s="41" t="n"/>
      <c r="M534" s="41" t="n"/>
      <c r="N534" s="42">
        <f>IF($M534="","",IFERROR(INDEX(LISTAS!$F$3:$F$42,MATCH($M534,LISTAS!$E$3:$E$42,0)),"Por definir"))</f>
        <v/>
      </c>
      <c r="O534" s="41" t="n"/>
      <c r="P534" s="39">
        <f>IF($L534="","",IFERROR(INDEX(LISTAS!$B$3:$B$42,MATCH($L534,LISTAS!$A$3:$A$42,0)),"Media"))</f>
        <v/>
      </c>
      <c r="Q534" s="44" t="n"/>
      <c r="R534" s="45" t="n"/>
      <c r="S534" s="20">
        <f>IFERROR(IF(OR($R534="",$C534=""),"",$R534/INDEX(DESPACHOS!$M$3:$M$3002,MATCH($C534,DESPACHOS!$B$3:$B$3002,0))),"")</f>
        <v/>
      </c>
      <c r="T534" s="41" t="n"/>
      <c r="U534" s="43">
        <f>IF(OR($B534="",$L534=""),"",WORKDAY($B534,IFERROR(INDEX(LISTAS!$C$3:$C$42,MATCH($L534,LISTAS!$A$3:$A$42,0)),3)))</f>
        <v/>
      </c>
      <c r="V534" s="40" t="n"/>
      <c r="W534" s="19">
        <f>IF($B534="","",IF($V534&lt;&gt;"",$V534-$B534,TODAY()-$B534))</f>
        <v/>
      </c>
      <c r="X534" s="19">
        <f>IF(OR($B534="",$U534=""),"",IF($V534&lt;&gt;"",MAX(0,$V534-$U534),MAX(0,TODAY()-$U534)))</f>
        <v/>
      </c>
      <c r="Y534" s="39">
        <f>IF($C534="","",IF(IFERROR(INDEX(LISTAS!$I$3:$I$42,MATCH($T534,LISTAS!$H$3:$H$42,0)),"NO")="SÍ",IF(N($X534)&gt;0,"CERRADA FUERA DE SLA","CERRADA EN SLA"),IF($U534="","SIN CLASIFICAR",IF(N($X534)&gt;0,"VENCIDA",IF(TODAY()&gt;=$U534-1,"POR VENCER","EN PLAZO")))))</f>
        <v/>
      </c>
      <c r="Z534" s="41" t="n"/>
      <c r="AA534" s="41" t="n"/>
      <c r="AB534" s="41" t="n"/>
    </row>
    <row r="535">
      <c r="A535" s="39">
        <f>IF($C535="","","NOV-"&amp;TEXT(ROW()-3,"0000"))</f>
        <v/>
      </c>
      <c r="B535" s="40" t="n"/>
      <c r="C535" s="41" t="n"/>
      <c r="D535" s="42">
        <f>IF($C535="","",IFERROR(INDEX(DESPACHOS!$D$3:$D$3002,MATCH($C535,DESPACHOS!$B$3:$B$3002,0)),"SIN DESPACHO"))</f>
        <v/>
      </c>
      <c r="E535" s="42">
        <f>IF($C535="","",IFERROR(INDEX(DESPACHOS!$K$3:$K$3002,MATCH($C535,DESPACHOS!$B$3:$B$3002,0)),""))</f>
        <v/>
      </c>
      <c r="F535" s="42">
        <f>IF($C535="","",IFERROR(INDEX(DESPACHOS!$I$3:$I$3002,MATCH($C535,DESPACHOS!$B$3:$B$3002,0)),""))</f>
        <v/>
      </c>
      <c r="G535" s="42">
        <f>IF($C535="","",IFERROR(INDEX(DESPACHOS!$F$3:$F$3002,MATCH($C535,DESPACHOS!$B$3:$B$3002,0)),""))</f>
        <v/>
      </c>
      <c r="H535" s="42">
        <f>IF($C535="","",IFERROR(INDEX(DESPACHOS!$G$3:$G$3002,MATCH($C535,DESPACHOS!$B$3:$B$3002,0)),""))</f>
        <v/>
      </c>
      <c r="I535" s="39">
        <f>IF($C535="","",IFERROR(INDEX(DESPACHOS!$H$3:$H$3002,MATCH($C535,DESPACHOS!$B$3:$B$3002,0)),""))</f>
        <v/>
      </c>
      <c r="J535" s="43">
        <f>IF($C535="","",IFERROR(INDEX(DESPACHOS!$J$3:$J$3002,MATCH($C535,DESPACHOS!$B$3:$B$3002,0)),""))</f>
        <v/>
      </c>
      <c r="K535" s="39">
        <f>IF($C535="","",IF(COUNTIFS(DESPACHOS!$B$3:$B$3002,$C535)=0,"NO EXISTE",IF(COUNTIFS(DESPACHOS!$B$3:$B$3002,$C535)&gt;1,"DUPLICADO","OK")))</f>
        <v/>
      </c>
      <c r="L535" s="41" t="n"/>
      <c r="M535" s="41" t="n"/>
      <c r="N535" s="42">
        <f>IF($M535="","",IFERROR(INDEX(LISTAS!$F$3:$F$42,MATCH($M535,LISTAS!$E$3:$E$42,0)),"Por definir"))</f>
        <v/>
      </c>
      <c r="O535" s="41" t="n"/>
      <c r="P535" s="39">
        <f>IF($L535="","",IFERROR(INDEX(LISTAS!$B$3:$B$42,MATCH($L535,LISTAS!$A$3:$A$42,0)),"Media"))</f>
        <v/>
      </c>
      <c r="Q535" s="44" t="n"/>
      <c r="R535" s="45" t="n"/>
      <c r="S535" s="20">
        <f>IFERROR(IF(OR($R535="",$C535=""),"",$R535/INDEX(DESPACHOS!$M$3:$M$3002,MATCH($C535,DESPACHOS!$B$3:$B$3002,0))),"")</f>
        <v/>
      </c>
      <c r="T535" s="41" t="n"/>
      <c r="U535" s="43">
        <f>IF(OR($B535="",$L535=""),"",WORKDAY($B535,IFERROR(INDEX(LISTAS!$C$3:$C$42,MATCH($L535,LISTAS!$A$3:$A$42,0)),3)))</f>
        <v/>
      </c>
      <c r="V535" s="40" t="n"/>
      <c r="W535" s="19">
        <f>IF($B535="","",IF($V535&lt;&gt;"",$V535-$B535,TODAY()-$B535))</f>
        <v/>
      </c>
      <c r="X535" s="19">
        <f>IF(OR($B535="",$U535=""),"",IF($V535&lt;&gt;"",MAX(0,$V535-$U535),MAX(0,TODAY()-$U535)))</f>
        <v/>
      </c>
      <c r="Y535" s="39">
        <f>IF($C535="","",IF(IFERROR(INDEX(LISTAS!$I$3:$I$42,MATCH($T535,LISTAS!$H$3:$H$42,0)),"NO")="SÍ",IF(N($X535)&gt;0,"CERRADA FUERA DE SLA","CERRADA EN SLA"),IF($U535="","SIN CLASIFICAR",IF(N($X535)&gt;0,"VENCIDA",IF(TODAY()&gt;=$U535-1,"POR VENCER","EN PLAZO")))))</f>
        <v/>
      </c>
      <c r="Z535" s="41" t="n"/>
      <c r="AA535" s="41" t="n"/>
      <c r="AB535" s="41" t="n"/>
    </row>
    <row r="536">
      <c r="A536" s="39">
        <f>IF($C536="","","NOV-"&amp;TEXT(ROW()-3,"0000"))</f>
        <v/>
      </c>
      <c r="B536" s="40" t="n"/>
      <c r="C536" s="41" t="n"/>
      <c r="D536" s="42">
        <f>IF($C536="","",IFERROR(INDEX(DESPACHOS!$D$3:$D$3002,MATCH($C536,DESPACHOS!$B$3:$B$3002,0)),"SIN DESPACHO"))</f>
        <v/>
      </c>
      <c r="E536" s="42">
        <f>IF($C536="","",IFERROR(INDEX(DESPACHOS!$K$3:$K$3002,MATCH($C536,DESPACHOS!$B$3:$B$3002,0)),""))</f>
        <v/>
      </c>
      <c r="F536" s="42">
        <f>IF($C536="","",IFERROR(INDEX(DESPACHOS!$I$3:$I$3002,MATCH($C536,DESPACHOS!$B$3:$B$3002,0)),""))</f>
        <v/>
      </c>
      <c r="G536" s="42">
        <f>IF($C536="","",IFERROR(INDEX(DESPACHOS!$F$3:$F$3002,MATCH($C536,DESPACHOS!$B$3:$B$3002,0)),""))</f>
        <v/>
      </c>
      <c r="H536" s="42">
        <f>IF($C536="","",IFERROR(INDEX(DESPACHOS!$G$3:$G$3002,MATCH($C536,DESPACHOS!$B$3:$B$3002,0)),""))</f>
        <v/>
      </c>
      <c r="I536" s="39">
        <f>IF($C536="","",IFERROR(INDEX(DESPACHOS!$H$3:$H$3002,MATCH($C536,DESPACHOS!$B$3:$B$3002,0)),""))</f>
        <v/>
      </c>
      <c r="J536" s="43">
        <f>IF($C536="","",IFERROR(INDEX(DESPACHOS!$J$3:$J$3002,MATCH($C536,DESPACHOS!$B$3:$B$3002,0)),""))</f>
        <v/>
      </c>
      <c r="K536" s="39">
        <f>IF($C536="","",IF(COUNTIFS(DESPACHOS!$B$3:$B$3002,$C536)=0,"NO EXISTE",IF(COUNTIFS(DESPACHOS!$B$3:$B$3002,$C536)&gt;1,"DUPLICADO","OK")))</f>
        <v/>
      </c>
      <c r="L536" s="41" t="n"/>
      <c r="M536" s="41" t="n"/>
      <c r="N536" s="42">
        <f>IF($M536="","",IFERROR(INDEX(LISTAS!$F$3:$F$42,MATCH($M536,LISTAS!$E$3:$E$42,0)),"Por definir"))</f>
        <v/>
      </c>
      <c r="O536" s="41" t="n"/>
      <c r="P536" s="39">
        <f>IF($L536="","",IFERROR(INDEX(LISTAS!$B$3:$B$42,MATCH($L536,LISTAS!$A$3:$A$42,0)),"Media"))</f>
        <v/>
      </c>
      <c r="Q536" s="44" t="n"/>
      <c r="R536" s="45" t="n"/>
      <c r="S536" s="20">
        <f>IFERROR(IF(OR($R536="",$C536=""),"",$R536/INDEX(DESPACHOS!$M$3:$M$3002,MATCH($C536,DESPACHOS!$B$3:$B$3002,0))),"")</f>
        <v/>
      </c>
      <c r="T536" s="41" t="n"/>
      <c r="U536" s="43">
        <f>IF(OR($B536="",$L536=""),"",WORKDAY($B536,IFERROR(INDEX(LISTAS!$C$3:$C$42,MATCH($L536,LISTAS!$A$3:$A$42,0)),3)))</f>
        <v/>
      </c>
      <c r="V536" s="40" t="n"/>
      <c r="W536" s="19">
        <f>IF($B536="","",IF($V536&lt;&gt;"",$V536-$B536,TODAY()-$B536))</f>
        <v/>
      </c>
      <c r="X536" s="19">
        <f>IF(OR($B536="",$U536=""),"",IF($V536&lt;&gt;"",MAX(0,$V536-$U536),MAX(0,TODAY()-$U536)))</f>
        <v/>
      </c>
      <c r="Y536" s="39">
        <f>IF($C536="","",IF(IFERROR(INDEX(LISTAS!$I$3:$I$42,MATCH($T536,LISTAS!$H$3:$H$42,0)),"NO")="SÍ",IF(N($X536)&gt;0,"CERRADA FUERA DE SLA","CERRADA EN SLA"),IF($U536="","SIN CLASIFICAR",IF(N($X536)&gt;0,"VENCIDA",IF(TODAY()&gt;=$U536-1,"POR VENCER","EN PLAZO")))))</f>
        <v/>
      </c>
      <c r="Z536" s="41" t="n"/>
      <c r="AA536" s="41" t="n"/>
      <c r="AB536" s="41" t="n"/>
    </row>
    <row r="537">
      <c r="A537" s="39">
        <f>IF($C537="","","NOV-"&amp;TEXT(ROW()-3,"0000"))</f>
        <v/>
      </c>
      <c r="B537" s="40" t="n"/>
      <c r="C537" s="41" t="n"/>
      <c r="D537" s="42">
        <f>IF($C537="","",IFERROR(INDEX(DESPACHOS!$D$3:$D$3002,MATCH($C537,DESPACHOS!$B$3:$B$3002,0)),"SIN DESPACHO"))</f>
        <v/>
      </c>
      <c r="E537" s="42">
        <f>IF($C537="","",IFERROR(INDEX(DESPACHOS!$K$3:$K$3002,MATCH($C537,DESPACHOS!$B$3:$B$3002,0)),""))</f>
        <v/>
      </c>
      <c r="F537" s="42">
        <f>IF($C537="","",IFERROR(INDEX(DESPACHOS!$I$3:$I$3002,MATCH($C537,DESPACHOS!$B$3:$B$3002,0)),""))</f>
        <v/>
      </c>
      <c r="G537" s="42">
        <f>IF($C537="","",IFERROR(INDEX(DESPACHOS!$F$3:$F$3002,MATCH($C537,DESPACHOS!$B$3:$B$3002,0)),""))</f>
        <v/>
      </c>
      <c r="H537" s="42">
        <f>IF($C537="","",IFERROR(INDEX(DESPACHOS!$G$3:$G$3002,MATCH($C537,DESPACHOS!$B$3:$B$3002,0)),""))</f>
        <v/>
      </c>
      <c r="I537" s="39">
        <f>IF($C537="","",IFERROR(INDEX(DESPACHOS!$H$3:$H$3002,MATCH($C537,DESPACHOS!$B$3:$B$3002,0)),""))</f>
        <v/>
      </c>
      <c r="J537" s="43">
        <f>IF($C537="","",IFERROR(INDEX(DESPACHOS!$J$3:$J$3002,MATCH($C537,DESPACHOS!$B$3:$B$3002,0)),""))</f>
        <v/>
      </c>
      <c r="K537" s="39">
        <f>IF($C537="","",IF(COUNTIFS(DESPACHOS!$B$3:$B$3002,$C537)=0,"NO EXISTE",IF(COUNTIFS(DESPACHOS!$B$3:$B$3002,$C537)&gt;1,"DUPLICADO","OK")))</f>
        <v/>
      </c>
      <c r="L537" s="41" t="n"/>
      <c r="M537" s="41" t="n"/>
      <c r="N537" s="42">
        <f>IF($M537="","",IFERROR(INDEX(LISTAS!$F$3:$F$42,MATCH($M537,LISTAS!$E$3:$E$42,0)),"Por definir"))</f>
        <v/>
      </c>
      <c r="O537" s="41" t="n"/>
      <c r="P537" s="39">
        <f>IF($L537="","",IFERROR(INDEX(LISTAS!$B$3:$B$42,MATCH($L537,LISTAS!$A$3:$A$42,0)),"Media"))</f>
        <v/>
      </c>
      <c r="Q537" s="44" t="n"/>
      <c r="R537" s="45" t="n"/>
      <c r="S537" s="20">
        <f>IFERROR(IF(OR($R537="",$C537=""),"",$R537/INDEX(DESPACHOS!$M$3:$M$3002,MATCH($C537,DESPACHOS!$B$3:$B$3002,0))),"")</f>
        <v/>
      </c>
      <c r="T537" s="41" t="n"/>
      <c r="U537" s="43">
        <f>IF(OR($B537="",$L537=""),"",WORKDAY($B537,IFERROR(INDEX(LISTAS!$C$3:$C$42,MATCH($L537,LISTAS!$A$3:$A$42,0)),3)))</f>
        <v/>
      </c>
      <c r="V537" s="40" t="n"/>
      <c r="W537" s="19">
        <f>IF($B537="","",IF($V537&lt;&gt;"",$V537-$B537,TODAY()-$B537))</f>
        <v/>
      </c>
      <c r="X537" s="19">
        <f>IF(OR($B537="",$U537=""),"",IF($V537&lt;&gt;"",MAX(0,$V537-$U537),MAX(0,TODAY()-$U537)))</f>
        <v/>
      </c>
      <c r="Y537" s="39">
        <f>IF($C537="","",IF(IFERROR(INDEX(LISTAS!$I$3:$I$42,MATCH($T537,LISTAS!$H$3:$H$42,0)),"NO")="SÍ",IF(N($X537)&gt;0,"CERRADA FUERA DE SLA","CERRADA EN SLA"),IF($U537="","SIN CLASIFICAR",IF(N($X537)&gt;0,"VENCIDA",IF(TODAY()&gt;=$U537-1,"POR VENCER","EN PLAZO")))))</f>
        <v/>
      </c>
      <c r="Z537" s="41" t="n"/>
      <c r="AA537" s="41" t="n"/>
      <c r="AB537" s="41" t="n"/>
    </row>
    <row r="538">
      <c r="A538" s="39">
        <f>IF($C538="","","NOV-"&amp;TEXT(ROW()-3,"0000"))</f>
        <v/>
      </c>
      <c r="B538" s="40" t="n"/>
      <c r="C538" s="41" t="n"/>
      <c r="D538" s="42">
        <f>IF($C538="","",IFERROR(INDEX(DESPACHOS!$D$3:$D$3002,MATCH($C538,DESPACHOS!$B$3:$B$3002,0)),"SIN DESPACHO"))</f>
        <v/>
      </c>
      <c r="E538" s="42">
        <f>IF($C538="","",IFERROR(INDEX(DESPACHOS!$K$3:$K$3002,MATCH($C538,DESPACHOS!$B$3:$B$3002,0)),""))</f>
        <v/>
      </c>
      <c r="F538" s="42">
        <f>IF($C538="","",IFERROR(INDEX(DESPACHOS!$I$3:$I$3002,MATCH($C538,DESPACHOS!$B$3:$B$3002,0)),""))</f>
        <v/>
      </c>
      <c r="G538" s="42">
        <f>IF($C538="","",IFERROR(INDEX(DESPACHOS!$F$3:$F$3002,MATCH($C538,DESPACHOS!$B$3:$B$3002,0)),""))</f>
        <v/>
      </c>
      <c r="H538" s="42">
        <f>IF($C538="","",IFERROR(INDEX(DESPACHOS!$G$3:$G$3002,MATCH($C538,DESPACHOS!$B$3:$B$3002,0)),""))</f>
        <v/>
      </c>
      <c r="I538" s="39">
        <f>IF($C538="","",IFERROR(INDEX(DESPACHOS!$H$3:$H$3002,MATCH($C538,DESPACHOS!$B$3:$B$3002,0)),""))</f>
        <v/>
      </c>
      <c r="J538" s="43">
        <f>IF($C538="","",IFERROR(INDEX(DESPACHOS!$J$3:$J$3002,MATCH($C538,DESPACHOS!$B$3:$B$3002,0)),""))</f>
        <v/>
      </c>
      <c r="K538" s="39">
        <f>IF($C538="","",IF(COUNTIFS(DESPACHOS!$B$3:$B$3002,$C538)=0,"NO EXISTE",IF(COUNTIFS(DESPACHOS!$B$3:$B$3002,$C538)&gt;1,"DUPLICADO","OK")))</f>
        <v/>
      </c>
      <c r="L538" s="41" t="n"/>
      <c r="M538" s="41" t="n"/>
      <c r="N538" s="42">
        <f>IF($M538="","",IFERROR(INDEX(LISTAS!$F$3:$F$42,MATCH($M538,LISTAS!$E$3:$E$42,0)),"Por definir"))</f>
        <v/>
      </c>
      <c r="O538" s="41" t="n"/>
      <c r="P538" s="39">
        <f>IF($L538="","",IFERROR(INDEX(LISTAS!$B$3:$B$42,MATCH($L538,LISTAS!$A$3:$A$42,0)),"Media"))</f>
        <v/>
      </c>
      <c r="Q538" s="44" t="n"/>
      <c r="R538" s="45" t="n"/>
      <c r="S538" s="20">
        <f>IFERROR(IF(OR($R538="",$C538=""),"",$R538/INDEX(DESPACHOS!$M$3:$M$3002,MATCH($C538,DESPACHOS!$B$3:$B$3002,0))),"")</f>
        <v/>
      </c>
      <c r="T538" s="41" t="n"/>
      <c r="U538" s="43">
        <f>IF(OR($B538="",$L538=""),"",WORKDAY($B538,IFERROR(INDEX(LISTAS!$C$3:$C$42,MATCH($L538,LISTAS!$A$3:$A$42,0)),3)))</f>
        <v/>
      </c>
      <c r="V538" s="40" t="n"/>
      <c r="W538" s="19">
        <f>IF($B538="","",IF($V538&lt;&gt;"",$V538-$B538,TODAY()-$B538))</f>
        <v/>
      </c>
      <c r="X538" s="19">
        <f>IF(OR($B538="",$U538=""),"",IF($V538&lt;&gt;"",MAX(0,$V538-$U538),MAX(0,TODAY()-$U538)))</f>
        <v/>
      </c>
      <c r="Y538" s="39">
        <f>IF($C538="","",IF(IFERROR(INDEX(LISTAS!$I$3:$I$42,MATCH($T538,LISTAS!$H$3:$H$42,0)),"NO")="SÍ",IF(N($X538)&gt;0,"CERRADA FUERA DE SLA","CERRADA EN SLA"),IF($U538="","SIN CLASIFICAR",IF(N($X538)&gt;0,"VENCIDA",IF(TODAY()&gt;=$U538-1,"POR VENCER","EN PLAZO")))))</f>
        <v/>
      </c>
      <c r="Z538" s="41" t="n"/>
      <c r="AA538" s="41" t="n"/>
      <c r="AB538" s="41" t="n"/>
    </row>
    <row r="539">
      <c r="A539" s="39">
        <f>IF($C539="","","NOV-"&amp;TEXT(ROW()-3,"0000"))</f>
        <v/>
      </c>
      <c r="B539" s="40" t="n"/>
      <c r="C539" s="41" t="n"/>
      <c r="D539" s="42">
        <f>IF($C539="","",IFERROR(INDEX(DESPACHOS!$D$3:$D$3002,MATCH($C539,DESPACHOS!$B$3:$B$3002,0)),"SIN DESPACHO"))</f>
        <v/>
      </c>
      <c r="E539" s="42">
        <f>IF($C539="","",IFERROR(INDEX(DESPACHOS!$K$3:$K$3002,MATCH($C539,DESPACHOS!$B$3:$B$3002,0)),""))</f>
        <v/>
      </c>
      <c r="F539" s="42">
        <f>IF($C539="","",IFERROR(INDEX(DESPACHOS!$I$3:$I$3002,MATCH($C539,DESPACHOS!$B$3:$B$3002,0)),""))</f>
        <v/>
      </c>
      <c r="G539" s="42">
        <f>IF($C539="","",IFERROR(INDEX(DESPACHOS!$F$3:$F$3002,MATCH($C539,DESPACHOS!$B$3:$B$3002,0)),""))</f>
        <v/>
      </c>
      <c r="H539" s="42">
        <f>IF($C539="","",IFERROR(INDEX(DESPACHOS!$G$3:$G$3002,MATCH($C539,DESPACHOS!$B$3:$B$3002,0)),""))</f>
        <v/>
      </c>
      <c r="I539" s="39">
        <f>IF($C539="","",IFERROR(INDEX(DESPACHOS!$H$3:$H$3002,MATCH($C539,DESPACHOS!$B$3:$B$3002,0)),""))</f>
        <v/>
      </c>
      <c r="J539" s="43">
        <f>IF($C539="","",IFERROR(INDEX(DESPACHOS!$J$3:$J$3002,MATCH($C539,DESPACHOS!$B$3:$B$3002,0)),""))</f>
        <v/>
      </c>
      <c r="K539" s="39">
        <f>IF($C539="","",IF(COUNTIFS(DESPACHOS!$B$3:$B$3002,$C539)=0,"NO EXISTE",IF(COUNTIFS(DESPACHOS!$B$3:$B$3002,$C539)&gt;1,"DUPLICADO","OK")))</f>
        <v/>
      </c>
      <c r="L539" s="41" t="n"/>
      <c r="M539" s="41" t="n"/>
      <c r="N539" s="42">
        <f>IF($M539="","",IFERROR(INDEX(LISTAS!$F$3:$F$42,MATCH($M539,LISTAS!$E$3:$E$42,0)),"Por definir"))</f>
        <v/>
      </c>
      <c r="O539" s="41" t="n"/>
      <c r="P539" s="39">
        <f>IF($L539="","",IFERROR(INDEX(LISTAS!$B$3:$B$42,MATCH($L539,LISTAS!$A$3:$A$42,0)),"Media"))</f>
        <v/>
      </c>
      <c r="Q539" s="44" t="n"/>
      <c r="R539" s="45" t="n"/>
      <c r="S539" s="20">
        <f>IFERROR(IF(OR($R539="",$C539=""),"",$R539/INDEX(DESPACHOS!$M$3:$M$3002,MATCH($C539,DESPACHOS!$B$3:$B$3002,0))),"")</f>
        <v/>
      </c>
      <c r="T539" s="41" t="n"/>
      <c r="U539" s="43">
        <f>IF(OR($B539="",$L539=""),"",WORKDAY($B539,IFERROR(INDEX(LISTAS!$C$3:$C$42,MATCH($L539,LISTAS!$A$3:$A$42,0)),3)))</f>
        <v/>
      </c>
      <c r="V539" s="40" t="n"/>
      <c r="W539" s="19">
        <f>IF($B539="","",IF($V539&lt;&gt;"",$V539-$B539,TODAY()-$B539))</f>
        <v/>
      </c>
      <c r="X539" s="19">
        <f>IF(OR($B539="",$U539=""),"",IF($V539&lt;&gt;"",MAX(0,$V539-$U539),MAX(0,TODAY()-$U539)))</f>
        <v/>
      </c>
      <c r="Y539" s="39">
        <f>IF($C539="","",IF(IFERROR(INDEX(LISTAS!$I$3:$I$42,MATCH($T539,LISTAS!$H$3:$H$42,0)),"NO")="SÍ",IF(N($X539)&gt;0,"CERRADA FUERA DE SLA","CERRADA EN SLA"),IF($U539="","SIN CLASIFICAR",IF(N($X539)&gt;0,"VENCIDA",IF(TODAY()&gt;=$U539-1,"POR VENCER","EN PLAZO")))))</f>
        <v/>
      </c>
      <c r="Z539" s="41" t="n"/>
      <c r="AA539" s="41" t="n"/>
      <c r="AB539" s="41" t="n"/>
    </row>
    <row r="540">
      <c r="A540" s="39">
        <f>IF($C540="","","NOV-"&amp;TEXT(ROW()-3,"0000"))</f>
        <v/>
      </c>
      <c r="B540" s="40" t="n"/>
      <c r="C540" s="41" t="n"/>
      <c r="D540" s="42">
        <f>IF($C540="","",IFERROR(INDEX(DESPACHOS!$D$3:$D$3002,MATCH($C540,DESPACHOS!$B$3:$B$3002,0)),"SIN DESPACHO"))</f>
        <v/>
      </c>
      <c r="E540" s="42">
        <f>IF($C540="","",IFERROR(INDEX(DESPACHOS!$K$3:$K$3002,MATCH($C540,DESPACHOS!$B$3:$B$3002,0)),""))</f>
        <v/>
      </c>
      <c r="F540" s="42">
        <f>IF($C540="","",IFERROR(INDEX(DESPACHOS!$I$3:$I$3002,MATCH($C540,DESPACHOS!$B$3:$B$3002,0)),""))</f>
        <v/>
      </c>
      <c r="G540" s="42">
        <f>IF($C540="","",IFERROR(INDEX(DESPACHOS!$F$3:$F$3002,MATCH($C540,DESPACHOS!$B$3:$B$3002,0)),""))</f>
        <v/>
      </c>
      <c r="H540" s="42">
        <f>IF($C540="","",IFERROR(INDEX(DESPACHOS!$G$3:$G$3002,MATCH($C540,DESPACHOS!$B$3:$B$3002,0)),""))</f>
        <v/>
      </c>
      <c r="I540" s="39">
        <f>IF($C540="","",IFERROR(INDEX(DESPACHOS!$H$3:$H$3002,MATCH($C540,DESPACHOS!$B$3:$B$3002,0)),""))</f>
        <v/>
      </c>
      <c r="J540" s="43">
        <f>IF($C540="","",IFERROR(INDEX(DESPACHOS!$J$3:$J$3002,MATCH($C540,DESPACHOS!$B$3:$B$3002,0)),""))</f>
        <v/>
      </c>
      <c r="K540" s="39">
        <f>IF($C540="","",IF(COUNTIFS(DESPACHOS!$B$3:$B$3002,$C540)=0,"NO EXISTE",IF(COUNTIFS(DESPACHOS!$B$3:$B$3002,$C540)&gt;1,"DUPLICADO","OK")))</f>
        <v/>
      </c>
      <c r="L540" s="41" t="n"/>
      <c r="M540" s="41" t="n"/>
      <c r="N540" s="42">
        <f>IF($M540="","",IFERROR(INDEX(LISTAS!$F$3:$F$42,MATCH($M540,LISTAS!$E$3:$E$42,0)),"Por definir"))</f>
        <v/>
      </c>
      <c r="O540" s="41" t="n"/>
      <c r="P540" s="39">
        <f>IF($L540="","",IFERROR(INDEX(LISTAS!$B$3:$B$42,MATCH($L540,LISTAS!$A$3:$A$42,0)),"Media"))</f>
        <v/>
      </c>
      <c r="Q540" s="44" t="n"/>
      <c r="R540" s="45" t="n"/>
      <c r="S540" s="20">
        <f>IFERROR(IF(OR($R540="",$C540=""),"",$R540/INDEX(DESPACHOS!$M$3:$M$3002,MATCH($C540,DESPACHOS!$B$3:$B$3002,0))),"")</f>
        <v/>
      </c>
      <c r="T540" s="41" t="n"/>
      <c r="U540" s="43">
        <f>IF(OR($B540="",$L540=""),"",WORKDAY($B540,IFERROR(INDEX(LISTAS!$C$3:$C$42,MATCH($L540,LISTAS!$A$3:$A$42,0)),3)))</f>
        <v/>
      </c>
      <c r="V540" s="40" t="n"/>
      <c r="W540" s="19">
        <f>IF($B540="","",IF($V540&lt;&gt;"",$V540-$B540,TODAY()-$B540))</f>
        <v/>
      </c>
      <c r="X540" s="19">
        <f>IF(OR($B540="",$U540=""),"",IF($V540&lt;&gt;"",MAX(0,$V540-$U540),MAX(0,TODAY()-$U540)))</f>
        <v/>
      </c>
      <c r="Y540" s="39">
        <f>IF($C540="","",IF(IFERROR(INDEX(LISTAS!$I$3:$I$42,MATCH($T540,LISTAS!$H$3:$H$42,0)),"NO")="SÍ",IF(N($X540)&gt;0,"CERRADA FUERA DE SLA","CERRADA EN SLA"),IF($U540="","SIN CLASIFICAR",IF(N($X540)&gt;0,"VENCIDA",IF(TODAY()&gt;=$U540-1,"POR VENCER","EN PLAZO")))))</f>
        <v/>
      </c>
      <c r="Z540" s="41" t="n"/>
      <c r="AA540" s="41" t="n"/>
      <c r="AB540" s="41" t="n"/>
    </row>
    <row r="541">
      <c r="A541" s="39">
        <f>IF($C541="","","NOV-"&amp;TEXT(ROW()-3,"0000"))</f>
        <v/>
      </c>
      <c r="B541" s="40" t="n"/>
      <c r="C541" s="41" t="n"/>
      <c r="D541" s="42">
        <f>IF($C541="","",IFERROR(INDEX(DESPACHOS!$D$3:$D$3002,MATCH($C541,DESPACHOS!$B$3:$B$3002,0)),"SIN DESPACHO"))</f>
        <v/>
      </c>
      <c r="E541" s="42">
        <f>IF($C541="","",IFERROR(INDEX(DESPACHOS!$K$3:$K$3002,MATCH($C541,DESPACHOS!$B$3:$B$3002,0)),""))</f>
        <v/>
      </c>
      <c r="F541" s="42">
        <f>IF($C541="","",IFERROR(INDEX(DESPACHOS!$I$3:$I$3002,MATCH($C541,DESPACHOS!$B$3:$B$3002,0)),""))</f>
        <v/>
      </c>
      <c r="G541" s="42">
        <f>IF($C541="","",IFERROR(INDEX(DESPACHOS!$F$3:$F$3002,MATCH($C541,DESPACHOS!$B$3:$B$3002,0)),""))</f>
        <v/>
      </c>
      <c r="H541" s="42">
        <f>IF($C541="","",IFERROR(INDEX(DESPACHOS!$G$3:$G$3002,MATCH($C541,DESPACHOS!$B$3:$B$3002,0)),""))</f>
        <v/>
      </c>
      <c r="I541" s="39">
        <f>IF($C541="","",IFERROR(INDEX(DESPACHOS!$H$3:$H$3002,MATCH($C541,DESPACHOS!$B$3:$B$3002,0)),""))</f>
        <v/>
      </c>
      <c r="J541" s="43">
        <f>IF($C541="","",IFERROR(INDEX(DESPACHOS!$J$3:$J$3002,MATCH($C541,DESPACHOS!$B$3:$B$3002,0)),""))</f>
        <v/>
      </c>
      <c r="K541" s="39">
        <f>IF($C541="","",IF(COUNTIFS(DESPACHOS!$B$3:$B$3002,$C541)=0,"NO EXISTE",IF(COUNTIFS(DESPACHOS!$B$3:$B$3002,$C541)&gt;1,"DUPLICADO","OK")))</f>
        <v/>
      </c>
      <c r="L541" s="41" t="n"/>
      <c r="M541" s="41" t="n"/>
      <c r="N541" s="42">
        <f>IF($M541="","",IFERROR(INDEX(LISTAS!$F$3:$F$42,MATCH($M541,LISTAS!$E$3:$E$42,0)),"Por definir"))</f>
        <v/>
      </c>
      <c r="O541" s="41" t="n"/>
      <c r="P541" s="39">
        <f>IF($L541="","",IFERROR(INDEX(LISTAS!$B$3:$B$42,MATCH($L541,LISTAS!$A$3:$A$42,0)),"Media"))</f>
        <v/>
      </c>
      <c r="Q541" s="44" t="n"/>
      <c r="R541" s="45" t="n"/>
      <c r="S541" s="20">
        <f>IFERROR(IF(OR($R541="",$C541=""),"",$R541/INDEX(DESPACHOS!$M$3:$M$3002,MATCH($C541,DESPACHOS!$B$3:$B$3002,0))),"")</f>
        <v/>
      </c>
      <c r="T541" s="41" t="n"/>
      <c r="U541" s="43">
        <f>IF(OR($B541="",$L541=""),"",WORKDAY($B541,IFERROR(INDEX(LISTAS!$C$3:$C$42,MATCH($L541,LISTAS!$A$3:$A$42,0)),3)))</f>
        <v/>
      </c>
      <c r="V541" s="40" t="n"/>
      <c r="W541" s="19">
        <f>IF($B541="","",IF($V541&lt;&gt;"",$V541-$B541,TODAY()-$B541))</f>
        <v/>
      </c>
      <c r="X541" s="19">
        <f>IF(OR($B541="",$U541=""),"",IF($V541&lt;&gt;"",MAX(0,$V541-$U541),MAX(0,TODAY()-$U541)))</f>
        <v/>
      </c>
      <c r="Y541" s="39">
        <f>IF($C541="","",IF(IFERROR(INDEX(LISTAS!$I$3:$I$42,MATCH($T541,LISTAS!$H$3:$H$42,0)),"NO")="SÍ",IF(N($X541)&gt;0,"CERRADA FUERA DE SLA","CERRADA EN SLA"),IF($U541="","SIN CLASIFICAR",IF(N($X541)&gt;0,"VENCIDA",IF(TODAY()&gt;=$U541-1,"POR VENCER","EN PLAZO")))))</f>
        <v/>
      </c>
      <c r="Z541" s="41" t="n"/>
      <c r="AA541" s="41" t="n"/>
      <c r="AB541" s="41" t="n"/>
    </row>
    <row r="542">
      <c r="A542" s="39">
        <f>IF($C542="","","NOV-"&amp;TEXT(ROW()-3,"0000"))</f>
        <v/>
      </c>
      <c r="B542" s="40" t="n"/>
      <c r="C542" s="41" t="n"/>
      <c r="D542" s="42">
        <f>IF($C542="","",IFERROR(INDEX(DESPACHOS!$D$3:$D$3002,MATCH($C542,DESPACHOS!$B$3:$B$3002,0)),"SIN DESPACHO"))</f>
        <v/>
      </c>
      <c r="E542" s="42">
        <f>IF($C542="","",IFERROR(INDEX(DESPACHOS!$K$3:$K$3002,MATCH($C542,DESPACHOS!$B$3:$B$3002,0)),""))</f>
        <v/>
      </c>
      <c r="F542" s="42">
        <f>IF($C542="","",IFERROR(INDEX(DESPACHOS!$I$3:$I$3002,MATCH($C542,DESPACHOS!$B$3:$B$3002,0)),""))</f>
        <v/>
      </c>
      <c r="G542" s="42">
        <f>IF($C542="","",IFERROR(INDEX(DESPACHOS!$F$3:$F$3002,MATCH($C542,DESPACHOS!$B$3:$B$3002,0)),""))</f>
        <v/>
      </c>
      <c r="H542" s="42">
        <f>IF($C542="","",IFERROR(INDEX(DESPACHOS!$G$3:$G$3002,MATCH($C542,DESPACHOS!$B$3:$B$3002,0)),""))</f>
        <v/>
      </c>
      <c r="I542" s="39">
        <f>IF($C542="","",IFERROR(INDEX(DESPACHOS!$H$3:$H$3002,MATCH($C542,DESPACHOS!$B$3:$B$3002,0)),""))</f>
        <v/>
      </c>
      <c r="J542" s="43">
        <f>IF($C542="","",IFERROR(INDEX(DESPACHOS!$J$3:$J$3002,MATCH($C542,DESPACHOS!$B$3:$B$3002,0)),""))</f>
        <v/>
      </c>
      <c r="K542" s="39">
        <f>IF($C542="","",IF(COUNTIFS(DESPACHOS!$B$3:$B$3002,$C542)=0,"NO EXISTE",IF(COUNTIFS(DESPACHOS!$B$3:$B$3002,$C542)&gt;1,"DUPLICADO","OK")))</f>
        <v/>
      </c>
      <c r="L542" s="41" t="n"/>
      <c r="M542" s="41" t="n"/>
      <c r="N542" s="42">
        <f>IF($M542="","",IFERROR(INDEX(LISTAS!$F$3:$F$42,MATCH($M542,LISTAS!$E$3:$E$42,0)),"Por definir"))</f>
        <v/>
      </c>
      <c r="O542" s="41" t="n"/>
      <c r="P542" s="39">
        <f>IF($L542="","",IFERROR(INDEX(LISTAS!$B$3:$B$42,MATCH($L542,LISTAS!$A$3:$A$42,0)),"Media"))</f>
        <v/>
      </c>
      <c r="Q542" s="44" t="n"/>
      <c r="R542" s="45" t="n"/>
      <c r="S542" s="20">
        <f>IFERROR(IF(OR($R542="",$C542=""),"",$R542/INDEX(DESPACHOS!$M$3:$M$3002,MATCH($C542,DESPACHOS!$B$3:$B$3002,0))),"")</f>
        <v/>
      </c>
      <c r="T542" s="41" t="n"/>
      <c r="U542" s="43">
        <f>IF(OR($B542="",$L542=""),"",WORKDAY($B542,IFERROR(INDEX(LISTAS!$C$3:$C$42,MATCH($L542,LISTAS!$A$3:$A$42,0)),3)))</f>
        <v/>
      </c>
      <c r="V542" s="40" t="n"/>
      <c r="W542" s="19">
        <f>IF($B542="","",IF($V542&lt;&gt;"",$V542-$B542,TODAY()-$B542))</f>
        <v/>
      </c>
      <c r="X542" s="19">
        <f>IF(OR($B542="",$U542=""),"",IF($V542&lt;&gt;"",MAX(0,$V542-$U542),MAX(0,TODAY()-$U542)))</f>
        <v/>
      </c>
      <c r="Y542" s="39">
        <f>IF($C542="","",IF(IFERROR(INDEX(LISTAS!$I$3:$I$42,MATCH($T542,LISTAS!$H$3:$H$42,0)),"NO")="SÍ",IF(N($X542)&gt;0,"CERRADA FUERA DE SLA","CERRADA EN SLA"),IF($U542="","SIN CLASIFICAR",IF(N($X542)&gt;0,"VENCIDA",IF(TODAY()&gt;=$U542-1,"POR VENCER","EN PLAZO")))))</f>
        <v/>
      </c>
      <c r="Z542" s="41" t="n"/>
      <c r="AA542" s="41" t="n"/>
      <c r="AB542" s="41" t="n"/>
    </row>
    <row r="543">
      <c r="A543" s="39">
        <f>IF($C543="","","NOV-"&amp;TEXT(ROW()-3,"0000"))</f>
        <v/>
      </c>
      <c r="B543" s="40" t="n"/>
      <c r="C543" s="41" t="n"/>
      <c r="D543" s="42">
        <f>IF($C543="","",IFERROR(INDEX(DESPACHOS!$D$3:$D$3002,MATCH($C543,DESPACHOS!$B$3:$B$3002,0)),"SIN DESPACHO"))</f>
        <v/>
      </c>
      <c r="E543" s="42">
        <f>IF($C543="","",IFERROR(INDEX(DESPACHOS!$K$3:$K$3002,MATCH($C543,DESPACHOS!$B$3:$B$3002,0)),""))</f>
        <v/>
      </c>
      <c r="F543" s="42">
        <f>IF($C543="","",IFERROR(INDEX(DESPACHOS!$I$3:$I$3002,MATCH($C543,DESPACHOS!$B$3:$B$3002,0)),""))</f>
        <v/>
      </c>
      <c r="G543" s="42">
        <f>IF($C543="","",IFERROR(INDEX(DESPACHOS!$F$3:$F$3002,MATCH($C543,DESPACHOS!$B$3:$B$3002,0)),""))</f>
        <v/>
      </c>
      <c r="H543" s="42">
        <f>IF($C543="","",IFERROR(INDEX(DESPACHOS!$G$3:$G$3002,MATCH($C543,DESPACHOS!$B$3:$B$3002,0)),""))</f>
        <v/>
      </c>
      <c r="I543" s="39">
        <f>IF($C543="","",IFERROR(INDEX(DESPACHOS!$H$3:$H$3002,MATCH($C543,DESPACHOS!$B$3:$B$3002,0)),""))</f>
        <v/>
      </c>
      <c r="J543" s="43">
        <f>IF($C543="","",IFERROR(INDEX(DESPACHOS!$J$3:$J$3002,MATCH($C543,DESPACHOS!$B$3:$B$3002,0)),""))</f>
        <v/>
      </c>
      <c r="K543" s="39">
        <f>IF($C543="","",IF(COUNTIFS(DESPACHOS!$B$3:$B$3002,$C543)=0,"NO EXISTE",IF(COUNTIFS(DESPACHOS!$B$3:$B$3002,$C543)&gt;1,"DUPLICADO","OK")))</f>
        <v/>
      </c>
      <c r="L543" s="41" t="n"/>
      <c r="M543" s="41" t="n"/>
      <c r="N543" s="42">
        <f>IF($M543="","",IFERROR(INDEX(LISTAS!$F$3:$F$42,MATCH($M543,LISTAS!$E$3:$E$42,0)),"Por definir"))</f>
        <v/>
      </c>
      <c r="O543" s="41" t="n"/>
      <c r="P543" s="39">
        <f>IF($L543="","",IFERROR(INDEX(LISTAS!$B$3:$B$42,MATCH($L543,LISTAS!$A$3:$A$42,0)),"Media"))</f>
        <v/>
      </c>
      <c r="Q543" s="44" t="n"/>
      <c r="R543" s="45" t="n"/>
      <c r="S543" s="20">
        <f>IFERROR(IF(OR($R543="",$C543=""),"",$R543/INDEX(DESPACHOS!$M$3:$M$3002,MATCH($C543,DESPACHOS!$B$3:$B$3002,0))),"")</f>
        <v/>
      </c>
      <c r="T543" s="41" t="n"/>
      <c r="U543" s="43">
        <f>IF(OR($B543="",$L543=""),"",WORKDAY($B543,IFERROR(INDEX(LISTAS!$C$3:$C$42,MATCH($L543,LISTAS!$A$3:$A$42,0)),3)))</f>
        <v/>
      </c>
      <c r="V543" s="40" t="n"/>
      <c r="W543" s="19">
        <f>IF($B543="","",IF($V543&lt;&gt;"",$V543-$B543,TODAY()-$B543))</f>
        <v/>
      </c>
      <c r="X543" s="19">
        <f>IF(OR($B543="",$U543=""),"",IF($V543&lt;&gt;"",MAX(0,$V543-$U543),MAX(0,TODAY()-$U543)))</f>
        <v/>
      </c>
      <c r="Y543" s="39">
        <f>IF($C543="","",IF(IFERROR(INDEX(LISTAS!$I$3:$I$42,MATCH($T543,LISTAS!$H$3:$H$42,0)),"NO")="SÍ",IF(N($X543)&gt;0,"CERRADA FUERA DE SLA","CERRADA EN SLA"),IF($U543="","SIN CLASIFICAR",IF(N($X543)&gt;0,"VENCIDA",IF(TODAY()&gt;=$U543-1,"POR VENCER","EN PLAZO")))))</f>
        <v/>
      </c>
      <c r="Z543" s="41" t="n"/>
      <c r="AA543" s="41" t="n"/>
      <c r="AB543" s="41" t="n"/>
    </row>
    <row r="544">
      <c r="A544" s="39">
        <f>IF($C544="","","NOV-"&amp;TEXT(ROW()-3,"0000"))</f>
        <v/>
      </c>
      <c r="B544" s="40" t="n"/>
      <c r="C544" s="41" t="n"/>
      <c r="D544" s="42">
        <f>IF($C544="","",IFERROR(INDEX(DESPACHOS!$D$3:$D$3002,MATCH($C544,DESPACHOS!$B$3:$B$3002,0)),"SIN DESPACHO"))</f>
        <v/>
      </c>
      <c r="E544" s="42">
        <f>IF($C544="","",IFERROR(INDEX(DESPACHOS!$K$3:$K$3002,MATCH($C544,DESPACHOS!$B$3:$B$3002,0)),""))</f>
        <v/>
      </c>
      <c r="F544" s="42">
        <f>IF($C544="","",IFERROR(INDEX(DESPACHOS!$I$3:$I$3002,MATCH($C544,DESPACHOS!$B$3:$B$3002,0)),""))</f>
        <v/>
      </c>
      <c r="G544" s="42">
        <f>IF($C544="","",IFERROR(INDEX(DESPACHOS!$F$3:$F$3002,MATCH($C544,DESPACHOS!$B$3:$B$3002,0)),""))</f>
        <v/>
      </c>
      <c r="H544" s="42">
        <f>IF($C544="","",IFERROR(INDEX(DESPACHOS!$G$3:$G$3002,MATCH($C544,DESPACHOS!$B$3:$B$3002,0)),""))</f>
        <v/>
      </c>
      <c r="I544" s="39">
        <f>IF($C544="","",IFERROR(INDEX(DESPACHOS!$H$3:$H$3002,MATCH($C544,DESPACHOS!$B$3:$B$3002,0)),""))</f>
        <v/>
      </c>
      <c r="J544" s="43">
        <f>IF($C544="","",IFERROR(INDEX(DESPACHOS!$J$3:$J$3002,MATCH($C544,DESPACHOS!$B$3:$B$3002,0)),""))</f>
        <v/>
      </c>
      <c r="K544" s="39">
        <f>IF($C544="","",IF(COUNTIFS(DESPACHOS!$B$3:$B$3002,$C544)=0,"NO EXISTE",IF(COUNTIFS(DESPACHOS!$B$3:$B$3002,$C544)&gt;1,"DUPLICADO","OK")))</f>
        <v/>
      </c>
      <c r="L544" s="41" t="n"/>
      <c r="M544" s="41" t="n"/>
      <c r="N544" s="42">
        <f>IF($M544="","",IFERROR(INDEX(LISTAS!$F$3:$F$42,MATCH($M544,LISTAS!$E$3:$E$42,0)),"Por definir"))</f>
        <v/>
      </c>
      <c r="O544" s="41" t="n"/>
      <c r="P544" s="39">
        <f>IF($L544="","",IFERROR(INDEX(LISTAS!$B$3:$B$42,MATCH($L544,LISTAS!$A$3:$A$42,0)),"Media"))</f>
        <v/>
      </c>
      <c r="Q544" s="44" t="n"/>
      <c r="R544" s="45" t="n"/>
      <c r="S544" s="20">
        <f>IFERROR(IF(OR($R544="",$C544=""),"",$R544/INDEX(DESPACHOS!$M$3:$M$3002,MATCH($C544,DESPACHOS!$B$3:$B$3002,0))),"")</f>
        <v/>
      </c>
      <c r="T544" s="41" t="n"/>
      <c r="U544" s="43">
        <f>IF(OR($B544="",$L544=""),"",WORKDAY($B544,IFERROR(INDEX(LISTAS!$C$3:$C$42,MATCH($L544,LISTAS!$A$3:$A$42,0)),3)))</f>
        <v/>
      </c>
      <c r="V544" s="40" t="n"/>
      <c r="W544" s="19">
        <f>IF($B544="","",IF($V544&lt;&gt;"",$V544-$B544,TODAY()-$B544))</f>
        <v/>
      </c>
      <c r="X544" s="19">
        <f>IF(OR($B544="",$U544=""),"",IF($V544&lt;&gt;"",MAX(0,$V544-$U544),MAX(0,TODAY()-$U544)))</f>
        <v/>
      </c>
      <c r="Y544" s="39">
        <f>IF($C544="","",IF(IFERROR(INDEX(LISTAS!$I$3:$I$42,MATCH($T544,LISTAS!$H$3:$H$42,0)),"NO")="SÍ",IF(N($X544)&gt;0,"CERRADA FUERA DE SLA","CERRADA EN SLA"),IF($U544="","SIN CLASIFICAR",IF(N($X544)&gt;0,"VENCIDA",IF(TODAY()&gt;=$U544-1,"POR VENCER","EN PLAZO")))))</f>
        <v/>
      </c>
      <c r="Z544" s="41" t="n"/>
      <c r="AA544" s="41" t="n"/>
      <c r="AB544" s="41" t="n"/>
    </row>
    <row r="545">
      <c r="A545" s="39">
        <f>IF($C545="","","NOV-"&amp;TEXT(ROW()-3,"0000"))</f>
        <v/>
      </c>
      <c r="B545" s="40" t="n"/>
      <c r="C545" s="41" t="n"/>
      <c r="D545" s="42">
        <f>IF($C545="","",IFERROR(INDEX(DESPACHOS!$D$3:$D$3002,MATCH($C545,DESPACHOS!$B$3:$B$3002,0)),"SIN DESPACHO"))</f>
        <v/>
      </c>
      <c r="E545" s="42">
        <f>IF($C545="","",IFERROR(INDEX(DESPACHOS!$K$3:$K$3002,MATCH($C545,DESPACHOS!$B$3:$B$3002,0)),""))</f>
        <v/>
      </c>
      <c r="F545" s="42">
        <f>IF($C545="","",IFERROR(INDEX(DESPACHOS!$I$3:$I$3002,MATCH($C545,DESPACHOS!$B$3:$B$3002,0)),""))</f>
        <v/>
      </c>
      <c r="G545" s="42">
        <f>IF($C545="","",IFERROR(INDEX(DESPACHOS!$F$3:$F$3002,MATCH($C545,DESPACHOS!$B$3:$B$3002,0)),""))</f>
        <v/>
      </c>
      <c r="H545" s="42">
        <f>IF($C545="","",IFERROR(INDEX(DESPACHOS!$G$3:$G$3002,MATCH($C545,DESPACHOS!$B$3:$B$3002,0)),""))</f>
        <v/>
      </c>
      <c r="I545" s="39">
        <f>IF($C545="","",IFERROR(INDEX(DESPACHOS!$H$3:$H$3002,MATCH($C545,DESPACHOS!$B$3:$B$3002,0)),""))</f>
        <v/>
      </c>
      <c r="J545" s="43">
        <f>IF($C545="","",IFERROR(INDEX(DESPACHOS!$J$3:$J$3002,MATCH($C545,DESPACHOS!$B$3:$B$3002,0)),""))</f>
        <v/>
      </c>
      <c r="K545" s="39">
        <f>IF($C545="","",IF(COUNTIFS(DESPACHOS!$B$3:$B$3002,$C545)=0,"NO EXISTE",IF(COUNTIFS(DESPACHOS!$B$3:$B$3002,$C545)&gt;1,"DUPLICADO","OK")))</f>
        <v/>
      </c>
      <c r="L545" s="41" t="n"/>
      <c r="M545" s="41" t="n"/>
      <c r="N545" s="42">
        <f>IF($M545="","",IFERROR(INDEX(LISTAS!$F$3:$F$42,MATCH($M545,LISTAS!$E$3:$E$42,0)),"Por definir"))</f>
        <v/>
      </c>
      <c r="O545" s="41" t="n"/>
      <c r="P545" s="39">
        <f>IF($L545="","",IFERROR(INDEX(LISTAS!$B$3:$B$42,MATCH($L545,LISTAS!$A$3:$A$42,0)),"Media"))</f>
        <v/>
      </c>
      <c r="Q545" s="44" t="n"/>
      <c r="R545" s="45" t="n"/>
      <c r="S545" s="20">
        <f>IFERROR(IF(OR($R545="",$C545=""),"",$R545/INDEX(DESPACHOS!$M$3:$M$3002,MATCH($C545,DESPACHOS!$B$3:$B$3002,0))),"")</f>
        <v/>
      </c>
      <c r="T545" s="41" t="n"/>
      <c r="U545" s="43">
        <f>IF(OR($B545="",$L545=""),"",WORKDAY($B545,IFERROR(INDEX(LISTAS!$C$3:$C$42,MATCH($L545,LISTAS!$A$3:$A$42,0)),3)))</f>
        <v/>
      </c>
      <c r="V545" s="40" t="n"/>
      <c r="W545" s="19">
        <f>IF($B545="","",IF($V545&lt;&gt;"",$V545-$B545,TODAY()-$B545))</f>
        <v/>
      </c>
      <c r="X545" s="19">
        <f>IF(OR($B545="",$U545=""),"",IF($V545&lt;&gt;"",MAX(0,$V545-$U545),MAX(0,TODAY()-$U545)))</f>
        <v/>
      </c>
      <c r="Y545" s="39">
        <f>IF($C545="","",IF(IFERROR(INDEX(LISTAS!$I$3:$I$42,MATCH($T545,LISTAS!$H$3:$H$42,0)),"NO")="SÍ",IF(N($X545)&gt;0,"CERRADA FUERA DE SLA","CERRADA EN SLA"),IF($U545="","SIN CLASIFICAR",IF(N($X545)&gt;0,"VENCIDA",IF(TODAY()&gt;=$U545-1,"POR VENCER","EN PLAZO")))))</f>
        <v/>
      </c>
      <c r="Z545" s="41" t="n"/>
      <c r="AA545" s="41" t="n"/>
      <c r="AB545" s="41" t="n"/>
    </row>
    <row r="546">
      <c r="A546" s="39">
        <f>IF($C546="","","NOV-"&amp;TEXT(ROW()-3,"0000"))</f>
        <v/>
      </c>
      <c r="B546" s="40" t="n"/>
      <c r="C546" s="41" t="n"/>
      <c r="D546" s="42">
        <f>IF($C546="","",IFERROR(INDEX(DESPACHOS!$D$3:$D$3002,MATCH($C546,DESPACHOS!$B$3:$B$3002,0)),"SIN DESPACHO"))</f>
        <v/>
      </c>
      <c r="E546" s="42">
        <f>IF($C546="","",IFERROR(INDEX(DESPACHOS!$K$3:$K$3002,MATCH($C546,DESPACHOS!$B$3:$B$3002,0)),""))</f>
        <v/>
      </c>
      <c r="F546" s="42">
        <f>IF($C546="","",IFERROR(INDEX(DESPACHOS!$I$3:$I$3002,MATCH($C546,DESPACHOS!$B$3:$B$3002,0)),""))</f>
        <v/>
      </c>
      <c r="G546" s="42">
        <f>IF($C546="","",IFERROR(INDEX(DESPACHOS!$F$3:$F$3002,MATCH($C546,DESPACHOS!$B$3:$B$3002,0)),""))</f>
        <v/>
      </c>
      <c r="H546" s="42">
        <f>IF($C546="","",IFERROR(INDEX(DESPACHOS!$G$3:$G$3002,MATCH($C546,DESPACHOS!$B$3:$B$3002,0)),""))</f>
        <v/>
      </c>
      <c r="I546" s="39">
        <f>IF($C546="","",IFERROR(INDEX(DESPACHOS!$H$3:$H$3002,MATCH($C546,DESPACHOS!$B$3:$B$3002,0)),""))</f>
        <v/>
      </c>
      <c r="J546" s="43">
        <f>IF($C546="","",IFERROR(INDEX(DESPACHOS!$J$3:$J$3002,MATCH($C546,DESPACHOS!$B$3:$B$3002,0)),""))</f>
        <v/>
      </c>
      <c r="K546" s="39">
        <f>IF($C546="","",IF(COUNTIFS(DESPACHOS!$B$3:$B$3002,$C546)=0,"NO EXISTE",IF(COUNTIFS(DESPACHOS!$B$3:$B$3002,$C546)&gt;1,"DUPLICADO","OK")))</f>
        <v/>
      </c>
      <c r="L546" s="41" t="n"/>
      <c r="M546" s="41" t="n"/>
      <c r="N546" s="42">
        <f>IF($M546="","",IFERROR(INDEX(LISTAS!$F$3:$F$42,MATCH($M546,LISTAS!$E$3:$E$42,0)),"Por definir"))</f>
        <v/>
      </c>
      <c r="O546" s="41" t="n"/>
      <c r="P546" s="39">
        <f>IF($L546="","",IFERROR(INDEX(LISTAS!$B$3:$B$42,MATCH($L546,LISTAS!$A$3:$A$42,0)),"Media"))</f>
        <v/>
      </c>
      <c r="Q546" s="44" t="n"/>
      <c r="R546" s="45" t="n"/>
      <c r="S546" s="20">
        <f>IFERROR(IF(OR($R546="",$C546=""),"",$R546/INDEX(DESPACHOS!$M$3:$M$3002,MATCH($C546,DESPACHOS!$B$3:$B$3002,0))),"")</f>
        <v/>
      </c>
      <c r="T546" s="41" t="n"/>
      <c r="U546" s="43">
        <f>IF(OR($B546="",$L546=""),"",WORKDAY($B546,IFERROR(INDEX(LISTAS!$C$3:$C$42,MATCH($L546,LISTAS!$A$3:$A$42,0)),3)))</f>
        <v/>
      </c>
      <c r="V546" s="40" t="n"/>
      <c r="W546" s="19">
        <f>IF($B546="","",IF($V546&lt;&gt;"",$V546-$B546,TODAY()-$B546))</f>
        <v/>
      </c>
      <c r="X546" s="19">
        <f>IF(OR($B546="",$U546=""),"",IF($V546&lt;&gt;"",MAX(0,$V546-$U546),MAX(0,TODAY()-$U546)))</f>
        <v/>
      </c>
      <c r="Y546" s="39">
        <f>IF($C546="","",IF(IFERROR(INDEX(LISTAS!$I$3:$I$42,MATCH($T546,LISTAS!$H$3:$H$42,0)),"NO")="SÍ",IF(N($X546)&gt;0,"CERRADA FUERA DE SLA","CERRADA EN SLA"),IF($U546="","SIN CLASIFICAR",IF(N($X546)&gt;0,"VENCIDA",IF(TODAY()&gt;=$U546-1,"POR VENCER","EN PLAZO")))))</f>
        <v/>
      </c>
      <c r="Z546" s="41" t="n"/>
      <c r="AA546" s="41" t="n"/>
      <c r="AB546" s="41" t="n"/>
    </row>
    <row r="547">
      <c r="A547" s="39">
        <f>IF($C547="","","NOV-"&amp;TEXT(ROW()-3,"0000"))</f>
        <v/>
      </c>
      <c r="B547" s="40" t="n"/>
      <c r="C547" s="41" t="n"/>
      <c r="D547" s="42">
        <f>IF($C547="","",IFERROR(INDEX(DESPACHOS!$D$3:$D$3002,MATCH($C547,DESPACHOS!$B$3:$B$3002,0)),"SIN DESPACHO"))</f>
        <v/>
      </c>
      <c r="E547" s="42">
        <f>IF($C547="","",IFERROR(INDEX(DESPACHOS!$K$3:$K$3002,MATCH($C547,DESPACHOS!$B$3:$B$3002,0)),""))</f>
        <v/>
      </c>
      <c r="F547" s="42">
        <f>IF($C547="","",IFERROR(INDEX(DESPACHOS!$I$3:$I$3002,MATCH($C547,DESPACHOS!$B$3:$B$3002,0)),""))</f>
        <v/>
      </c>
      <c r="G547" s="42">
        <f>IF($C547="","",IFERROR(INDEX(DESPACHOS!$F$3:$F$3002,MATCH($C547,DESPACHOS!$B$3:$B$3002,0)),""))</f>
        <v/>
      </c>
      <c r="H547" s="42">
        <f>IF($C547="","",IFERROR(INDEX(DESPACHOS!$G$3:$G$3002,MATCH($C547,DESPACHOS!$B$3:$B$3002,0)),""))</f>
        <v/>
      </c>
      <c r="I547" s="39">
        <f>IF($C547="","",IFERROR(INDEX(DESPACHOS!$H$3:$H$3002,MATCH($C547,DESPACHOS!$B$3:$B$3002,0)),""))</f>
        <v/>
      </c>
      <c r="J547" s="43">
        <f>IF($C547="","",IFERROR(INDEX(DESPACHOS!$J$3:$J$3002,MATCH($C547,DESPACHOS!$B$3:$B$3002,0)),""))</f>
        <v/>
      </c>
      <c r="K547" s="39">
        <f>IF($C547="","",IF(COUNTIFS(DESPACHOS!$B$3:$B$3002,$C547)=0,"NO EXISTE",IF(COUNTIFS(DESPACHOS!$B$3:$B$3002,$C547)&gt;1,"DUPLICADO","OK")))</f>
        <v/>
      </c>
      <c r="L547" s="41" t="n"/>
      <c r="M547" s="41" t="n"/>
      <c r="N547" s="42">
        <f>IF($M547="","",IFERROR(INDEX(LISTAS!$F$3:$F$42,MATCH($M547,LISTAS!$E$3:$E$42,0)),"Por definir"))</f>
        <v/>
      </c>
      <c r="O547" s="41" t="n"/>
      <c r="P547" s="39">
        <f>IF($L547="","",IFERROR(INDEX(LISTAS!$B$3:$B$42,MATCH($L547,LISTAS!$A$3:$A$42,0)),"Media"))</f>
        <v/>
      </c>
      <c r="Q547" s="44" t="n"/>
      <c r="R547" s="45" t="n"/>
      <c r="S547" s="20">
        <f>IFERROR(IF(OR($R547="",$C547=""),"",$R547/INDEX(DESPACHOS!$M$3:$M$3002,MATCH($C547,DESPACHOS!$B$3:$B$3002,0))),"")</f>
        <v/>
      </c>
      <c r="T547" s="41" t="n"/>
      <c r="U547" s="43">
        <f>IF(OR($B547="",$L547=""),"",WORKDAY($B547,IFERROR(INDEX(LISTAS!$C$3:$C$42,MATCH($L547,LISTAS!$A$3:$A$42,0)),3)))</f>
        <v/>
      </c>
      <c r="V547" s="40" t="n"/>
      <c r="W547" s="19">
        <f>IF($B547="","",IF($V547&lt;&gt;"",$V547-$B547,TODAY()-$B547))</f>
        <v/>
      </c>
      <c r="X547" s="19">
        <f>IF(OR($B547="",$U547=""),"",IF($V547&lt;&gt;"",MAX(0,$V547-$U547),MAX(0,TODAY()-$U547)))</f>
        <v/>
      </c>
      <c r="Y547" s="39">
        <f>IF($C547="","",IF(IFERROR(INDEX(LISTAS!$I$3:$I$42,MATCH($T547,LISTAS!$H$3:$H$42,0)),"NO")="SÍ",IF(N($X547)&gt;0,"CERRADA FUERA DE SLA","CERRADA EN SLA"),IF($U547="","SIN CLASIFICAR",IF(N($X547)&gt;0,"VENCIDA",IF(TODAY()&gt;=$U547-1,"POR VENCER","EN PLAZO")))))</f>
        <v/>
      </c>
      <c r="Z547" s="41" t="n"/>
      <c r="AA547" s="41" t="n"/>
      <c r="AB547" s="41" t="n"/>
    </row>
    <row r="548">
      <c r="A548" s="39">
        <f>IF($C548="","","NOV-"&amp;TEXT(ROW()-3,"0000"))</f>
        <v/>
      </c>
      <c r="B548" s="40" t="n"/>
      <c r="C548" s="41" t="n"/>
      <c r="D548" s="42">
        <f>IF($C548="","",IFERROR(INDEX(DESPACHOS!$D$3:$D$3002,MATCH($C548,DESPACHOS!$B$3:$B$3002,0)),"SIN DESPACHO"))</f>
        <v/>
      </c>
      <c r="E548" s="42">
        <f>IF($C548="","",IFERROR(INDEX(DESPACHOS!$K$3:$K$3002,MATCH($C548,DESPACHOS!$B$3:$B$3002,0)),""))</f>
        <v/>
      </c>
      <c r="F548" s="42">
        <f>IF($C548="","",IFERROR(INDEX(DESPACHOS!$I$3:$I$3002,MATCH($C548,DESPACHOS!$B$3:$B$3002,0)),""))</f>
        <v/>
      </c>
      <c r="G548" s="42">
        <f>IF($C548="","",IFERROR(INDEX(DESPACHOS!$F$3:$F$3002,MATCH($C548,DESPACHOS!$B$3:$B$3002,0)),""))</f>
        <v/>
      </c>
      <c r="H548" s="42">
        <f>IF($C548="","",IFERROR(INDEX(DESPACHOS!$G$3:$G$3002,MATCH($C548,DESPACHOS!$B$3:$B$3002,0)),""))</f>
        <v/>
      </c>
      <c r="I548" s="39">
        <f>IF($C548="","",IFERROR(INDEX(DESPACHOS!$H$3:$H$3002,MATCH($C548,DESPACHOS!$B$3:$B$3002,0)),""))</f>
        <v/>
      </c>
      <c r="J548" s="43">
        <f>IF($C548="","",IFERROR(INDEX(DESPACHOS!$J$3:$J$3002,MATCH($C548,DESPACHOS!$B$3:$B$3002,0)),""))</f>
        <v/>
      </c>
      <c r="K548" s="39">
        <f>IF($C548="","",IF(COUNTIFS(DESPACHOS!$B$3:$B$3002,$C548)=0,"NO EXISTE",IF(COUNTIFS(DESPACHOS!$B$3:$B$3002,$C548)&gt;1,"DUPLICADO","OK")))</f>
        <v/>
      </c>
      <c r="L548" s="41" t="n"/>
      <c r="M548" s="41" t="n"/>
      <c r="N548" s="42">
        <f>IF($M548="","",IFERROR(INDEX(LISTAS!$F$3:$F$42,MATCH($M548,LISTAS!$E$3:$E$42,0)),"Por definir"))</f>
        <v/>
      </c>
      <c r="O548" s="41" t="n"/>
      <c r="P548" s="39">
        <f>IF($L548="","",IFERROR(INDEX(LISTAS!$B$3:$B$42,MATCH($L548,LISTAS!$A$3:$A$42,0)),"Media"))</f>
        <v/>
      </c>
      <c r="Q548" s="44" t="n"/>
      <c r="R548" s="45" t="n"/>
      <c r="S548" s="20">
        <f>IFERROR(IF(OR($R548="",$C548=""),"",$R548/INDEX(DESPACHOS!$M$3:$M$3002,MATCH($C548,DESPACHOS!$B$3:$B$3002,0))),"")</f>
        <v/>
      </c>
      <c r="T548" s="41" t="n"/>
      <c r="U548" s="43">
        <f>IF(OR($B548="",$L548=""),"",WORKDAY($B548,IFERROR(INDEX(LISTAS!$C$3:$C$42,MATCH($L548,LISTAS!$A$3:$A$42,0)),3)))</f>
        <v/>
      </c>
      <c r="V548" s="40" t="n"/>
      <c r="W548" s="19">
        <f>IF($B548="","",IF($V548&lt;&gt;"",$V548-$B548,TODAY()-$B548))</f>
        <v/>
      </c>
      <c r="X548" s="19">
        <f>IF(OR($B548="",$U548=""),"",IF($V548&lt;&gt;"",MAX(0,$V548-$U548),MAX(0,TODAY()-$U548)))</f>
        <v/>
      </c>
      <c r="Y548" s="39">
        <f>IF($C548="","",IF(IFERROR(INDEX(LISTAS!$I$3:$I$42,MATCH($T548,LISTAS!$H$3:$H$42,0)),"NO")="SÍ",IF(N($X548)&gt;0,"CERRADA FUERA DE SLA","CERRADA EN SLA"),IF($U548="","SIN CLASIFICAR",IF(N($X548)&gt;0,"VENCIDA",IF(TODAY()&gt;=$U548-1,"POR VENCER","EN PLAZO")))))</f>
        <v/>
      </c>
      <c r="Z548" s="41" t="n"/>
      <c r="AA548" s="41" t="n"/>
      <c r="AB548" s="41" t="n"/>
    </row>
    <row r="549">
      <c r="A549" s="39">
        <f>IF($C549="","","NOV-"&amp;TEXT(ROW()-3,"0000"))</f>
        <v/>
      </c>
      <c r="B549" s="40" t="n"/>
      <c r="C549" s="41" t="n"/>
      <c r="D549" s="42">
        <f>IF($C549="","",IFERROR(INDEX(DESPACHOS!$D$3:$D$3002,MATCH($C549,DESPACHOS!$B$3:$B$3002,0)),"SIN DESPACHO"))</f>
        <v/>
      </c>
      <c r="E549" s="42">
        <f>IF($C549="","",IFERROR(INDEX(DESPACHOS!$K$3:$K$3002,MATCH($C549,DESPACHOS!$B$3:$B$3002,0)),""))</f>
        <v/>
      </c>
      <c r="F549" s="42">
        <f>IF($C549="","",IFERROR(INDEX(DESPACHOS!$I$3:$I$3002,MATCH($C549,DESPACHOS!$B$3:$B$3002,0)),""))</f>
        <v/>
      </c>
      <c r="G549" s="42">
        <f>IF($C549="","",IFERROR(INDEX(DESPACHOS!$F$3:$F$3002,MATCH($C549,DESPACHOS!$B$3:$B$3002,0)),""))</f>
        <v/>
      </c>
      <c r="H549" s="42">
        <f>IF($C549="","",IFERROR(INDEX(DESPACHOS!$G$3:$G$3002,MATCH($C549,DESPACHOS!$B$3:$B$3002,0)),""))</f>
        <v/>
      </c>
      <c r="I549" s="39">
        <f>IF($C549="","",IFERROR(INDEX(DESPACHOS!$H$3:$H$3002,MATCH($C549,DESPACHOS!$B$3:$B$3002,0)),""))</f>
        <v/>
      </c>
      <c r="J549" s="43">
        <f>IF($C549="","",IFERROR(INDEX(DESPACHOS!$J$3:$J$3002,MATCH($C549,DESPACHOS!$B$3:$B$3002,0)),""))</f>
        <v/>
      </c>
      <c r="K549" s="39">
        <f>IF($C549="","",IF(COUNTIFS(DESPACHOS!$B$3:$B$3002,$C549)=0,"NO EXISTE",IF(COUNTIFS(DESPACHOS!$B$3:$B$3002,$C549)&gt;1,"DUPLICADO","OK")))</f>
        <v/>
      </c>
      <c r="L549" s="41" t="n"/>
      <c r="M549" s="41" t="n"/>
      <c r="N549" s="42">
        <f>IF($M549="","",IFERROR(INDEX(LISTAS!$F$3:$F$42,MATCH($M549,LISTAS!$E$3:$E$42,0)),"Por definir"))</f>
        <v/>
      </c>
      <c r="O549" s="41" t="n"/>
      <c r="P549" s="39">
        <f>IF($L549="","",IFERROR(INDEX(LISTAS!$B$3:$B$42,MATCH($L549,LISTAS!$A$3:$A$42,0)),"Media"))</f>
        <v/>
      </c>
      <c r="Q549" s="44" t="n"/>
      <c r="R549" s="45" t="n"/>
      <c r="S549" s="20">
        <f>IFERROR(IF(OR($R549="",$C549=""),"",$R549/INDEX(DESPACHOS!$M$3:$M$3002,MATCH($C549,DESPACHOS!$B$3:$B$3002,0))),"")</f>
        <v/>
      </c>
      <c r="T549" s="41" t="n"/>
      <c r="U549" s="43">
        <f>IF(OR($B549="",$L549=""),"",WORKDAY($B549,IFERROR(INDEX(LISTAS!$C$3:$C$42,MATCH($L549,LISTAS!$A$3:$A$42,0)),3)))</f>
        <v/>
      </c>
      <c r="V549" s="40" t="n"/>
      <c r="W549" s="19">
        <f>IF($B549="","",IF($V549&lt;&gt;"",$V549-$B549,TODAY()-$B549))</f>
        <v/>
      </c>
      <c r="X549" s="19">
        <f>IF(OR($B549="",$U549=""),"",IF($V549&lt;&gt;"",MAX(0,$V549-$U549),MAX(0,TODAY()-$U549)))</f>
        <v/>
      </c>
      <c r="Y549" s="39">
        <f>IF($C549="","",IF(IFERROR(INDEX(LISTAS!$I$3:$I$42,MATCH($T549,LISTAS!$H$3:$H$42,0)),"NO")="SÍ",IF(N($X549)&gt;0,"CERRADA FUERA DE SLA","CERRADA EN SLA"),IF($U549="","SIN CLASIFICAR",IF(N($X549)&gt;0,"VENCIDA",IF(TODAY()&gt;=$U549-1,"POR VENCER","EN PLAZO")))))</f>
        <v/>
      </c>
      <c r="Z549" s="41" t="n"/>
      <c r="AA549" s="41" t="n"/>
      <c r="AB549" s="41" t="n"/>
    </row>
    <row r="550">
      <c r="A550" s="39">
        <f>IF($C550="","","NOV-"&amp;TEXT(ROW()-3,"0000"))</f>
        <v/>
      </c>
      <c r="B550" s="40" t="n"/>
      <c r="C550" s="41" t="n"/>
      <c r="D550" s="42">
        <f>IF($C550="","",IFERROR(INDEX(DESPACHOS!$D$3:$D$3002,MATCH($C550,DESPACHOS!$B$3:$B$3002,0)),"SIN DESPACHO"))</f>
        <v/>
      </c>
      <c r="E550" s="42">
        <f>IF($C550="","",IFERROR(INDEX(DESPACHOS!$K$3:$K$3002,MATCH($C550,DESPACHOS!$B$3:$B$3002,0)),""))</f>
        <v/>
      </c>
      <c r="F550" s="42">
        <f>IF($C550="","",IFERROR(INDEX(DESPACHOS!$I$3:$I$3002,MATCH($C550,DESPACHOS!$B$3:$B$3002,0)),""))</f>
        <v/>
      </c>
      <c r="G550" s="42">
        <f>IF($C550="","",IFERROR(INDEX(DESPACHOS!$F$3:$F$3002,MATCH($C550,DESPACHOS!$B$3:$B$3002,0)),""))</f>
        <v/>
      </c>
      <c r="H550" s="42">
        <f>IF($C550="","",IFERROR(INDEX(DESPACHOS!$G$3:$G$3002,MATCH($C550,DESPACHOS!$B$3:$B$3002,0)),""))</f>
        <v/>
      </c>
      <c r="I550" s="39">
        <f>IF($C550="","",IFERROR(INDEX(DESPACHOS!$H$3:$H$3002,MATCH($C550,DESPACHOS!$B$3:$B$3002,0)),""))</f>
        <v/>
      </c>
      <c r="J550" s="43">
        <f>IF($C550="","",IFERROR(INDEX(DESPACHOS!$J$3:$J$3002,MATCH($C550,DESPACHOS!$B$3:$B$3002,0)),""))</f>
        <v/>
      </c>
      <c r="K550" s="39">
        <f>IF($C550="","",IF(COUNTIFS(DESPACHOS!$B$3:$B$3002,$C550)=0,"NO EXISTE",IF(COUNTIFS(DESPACHOS!$B$3:$B$3002,$C550)&gt;1,"DUPLICADO","OK")))</f>
        <v/>
      </c>
      <c r="L550" s="41" t="n"/>
      <c r="M550" s="41" t="n"/>
      <c r="N550" s="42">
        <f>IF($M550="","",IFERROR(INDEX(LISTAS!$F$3:$F$42,MATCH($M550,LISTAS!$E$3:$E$42,0)),"Por definir"))</f>
        <v/>
      </c>
      <c r="O550" s="41" t="n"/>
      <c r="P550" s="39">
        <f>IF($L550="","",IFERROR(INDEX(LISTAS!$B$3:$B$42,MATCH($L550,LISTAS!$A$3:$A$42,0)),"Media"))</f>
        <v/>
      </c>
      <c r="Q550" s="44" t="n"/>
      <c r="R550" s="45" t="n"/>
      <c r="S550" s="20">
        <f>IFERROR(IF(OR($R550="",$C550=""),"",$R550/INDEX(DESPACHOS!$M$3:$M$3002,MATCH($C550,DESPACHOS!$B$3:$B$3002,0))),"")</f>
        <v/>
      </c>
      <c r="T550" s="41" t="n"/>
      <c r="U550" s="43">
        <f>IF(OR($B550="",$L550=""),"",WORKDAY($B550,IFERROR(INDEX(LISTAS!$C$3:$C$42,MATCH($L550,LISTAS!$A$3:$A$42,0)),3)))</f>
        <v/>
      </c>
      <c r="V550" s="40" t="n"/>
      <c r="W550" s="19">
        <f>IF($B550="","",IF($V550&lt;&gt;"",$V550-$B550,TODAY()-$B550))</f>
        <v/>
      </c>
      <c r="X550" s="19">
        <f>IF(OR($B550="",$U550=""),"",IF($V550&lt;&gt;"",MAX(0,$V550-$U550),MAX(0,TODAY()-$U550)))</f>
        <v/>
      </c>
      <c r="Y550" s="39">
        <f>IF($C550="","",IF(IFERROR(INDEX(LISTAS!$I$3:$I$42,MATCH($T550,LISTAS!$H$3:$H$42,0)),"NO")="SÍ",IF(N($X550)&gt;0,"CERRADA FUERA DE SLA","CERRADA EN SLA"),IF($U550="","SIN CLASIFICAR",IF(N($X550)&gt;0,"VENCIDA",IF(TODAY()&gt;=$U550-1,"POR VENCER","EN PLAZO")))))</f>
        <v/>
      </c>
      <c r="Z550" s="41" t="n"/>
      <c r="AA550" s="41" t="n"/>
      <c r="AB550" s="41" t="n"/>
    </row>
    <row r="551">
      <c r="A551" s="39">
        <f>IF($C551="","","NOV-"&amp;TEXT(ROW()-3,"0000"))</f>
        <v/>
      </c>
      <c r="B551" s="40" t="n"/>
      <c r="C551" s="41" t="n"/>
      <c r="D551" s="42">
        <f>IF($C551="","",IFERROR(INDEX(DESPACHOS!$D$3:$D$3002,MATCH($C551,DESPACHOS!$B$3:$B$3002,0)),"SIN DESPACHO"))</f>
        <v/>
      </c>
      <c r="E551" s="42">
        <f>IF($C551="","",IFERROR(INDEX(DESPACHOS!$K$3:$K$3002,MATCH($C551,DESPACHOS!$B$3:$B$3002,0)),""))</f>
        <v/>
      </c>
      <c r="F551" s="42">
        <f>IF($C551="","",IFERROR(INDEX(DESPACHOS!$I$3:$I$3002,MATCH($C551,DESPACHOS!$B$3:$B$3002,0)),""))</f>
        <v/>
      </c>
      <c r="G551" s="42">
        <f>IF($C551="","",IFERROR(INDEX(DESPACHOS!$F$3:$F$3002,MATCH($C551,DESPACHOS!$B$3:$B$3002,0)),""))</f>
        <v/>
      </c>
      <c r="H551" s="42">
        <f>IF($C551="","",IFERROR(INDEX(DESPACHOS!$G$3:$G$3002,MATCH($C551,DESPACHOS!$B$3:$B$3002,0)),""))</f>
        <v/>
      </c>
      <c r="I551" s="39">
        <f>IF($C551="","",IFERROR(INDEX(DESPACHOS!$H$3:$H$3002,MATCH($C551,DESPACHOS!$B$3:$B$3002,0)),""))</f>
        <v/>
      </c>
      <c r="J551" s="43">
        <f>IF($C551="","",IFERROR(INDEX(DESPACHOS!$J$3:$J$3002,MATCH($C551,DESPACHOS!$B$3:$B$3002,0)),""))</f>
        <v/>
      </c>
      <c r="K551" s="39">
        <f>IF($C551="","",IF(COUNTIFS(DESPACHOS!$B$3:$B$3002,$C551)=0,"NO EXISTE",IF(COUNTIFS(DESPACHOS!$B$3:$B$3002,$C551)&gt;1,"DUPLICADO","OK")))</f>
        <v/>
      </c>
      <c r="L551" s="41" t="n"/>
      <c r="M551" s="41" t="n"/>
      <c r="N551" s="42">
        <f>IF($M551="","",IFERROR(INDEX(LISTAS!$F$3:$F$42,MATCH($M551,LISTAS!$E$3:$E$42,0)),"Por definir"))</f>
        <v/>
      </c>
      <c r="O551" s="41" t="n"/>
      <c r="P551" s="39">
        <f>IF($L551="","",IFERROR(INDEX(LISTAS!$B$3:$B$42,MATCH($L551,LISTAS!$A$3:$A$42,0)),"Media"))</f>
        <v/>
      </c>
      <c r="Q551" s="44" t="n"/>
      <c r="R551" s="45" t="n"/>
      <c r="S551" s="20">
        <f>IFERROR(IF(OR($R551="",$C551=""),"",$R551/INDEX(DESPACHOS!$M$3:$M$3002,MATCH($C551,DESPACHOS!$B$3:$B$3002,0))),"")</f>
        <v/>
      </c>
      <c r="T551" s="41" t="n"/>
      <c r="U551" s="43">
        <f>IF(OR($B551="",$L551=""),"",WORKDAY($B551,IFERROR(INDEX(LISTAS!$C$3:$C$42,MATCH($L551,LISTAS!$A$3:$A$42,0)),3)))</f>
        <v/>
      </c>
      <c r="V551" s="40" t="n"/>
      <c r="W551" s="19">
        <f>IF($B551="","",IF($V551&lt;&gt;"",$V551-$B551,TODAY()-$B551))</f>
        <v/>
      </c>
      <c r="X551" s="19">
        <f>IF(OR($B551="",$U551=""),"",IF($V551&lt;&gt;"",MAX(0,$V551-$U551),MAX(0,TODAY()-$U551)))</f>
        <v/>
      </c>
      <c r="Y551" s="39">
        <f>IF($C551="","",IF(IFERROR(INDEX(LISTAS!$I$3:$I$42,MATCH($T551,LISTAS!$H$3:$H$42,0)),"NO")="SÍ",IF(N($X551)&gt;0,"CERRADA FUERA DE SLA","CERRADA EN SLA"),IF($U551="","SIN CLASIFICAR",IF(N($X551)&gt;0,"VENCIDA",IF(TODAY()&gt;=$U551-1,"POR VENCER","EN PLAZO")))))</f>
        <v/>
      </c>
      <c r="Z551" s="41" t="n"/>
      <c r="AA551" s="41" t="n"/>
      <c r="AB551" s="41" t="n"/>
    </row>
    <row r="552">
      <c r="A552" s="39">
        <f>IF($C552="","","NOV-"&amp;TEXT(ROW()-3,"0000"))</f>
        <v/>
      </c>
      <c r="B552" s="40" t="n"/>
      <c r="C552" s="41" t="n"/>
      <c r="D552" s="42">
        <f>IF($C552="","",IFERROR(INDEX(DESPACHOS!$D$3:$D$3002,MATCH($C552,DESPACHOS!$B$3:$B$3002,0)),"SIN DESPACHO"))</f>
        <v/>
      </c>
      <c r="E552" s="42">
        <f>IF($C552="","",IFERROR(INDEX(DESPACHOS!$K$3:$K$3002,MATCH($C552,DESPACHOS!$B$3:$B$3002,0)),""))</f>
        <v/>
      </c>
      <c r="F552" s="42">
        <f>IF($C552="","",IFERROR(INDEX(DESPACHOS!$I$3:$I$3002,MATCH($C552,DESPACHOS!$B$3:$B$3002,0)),""))</f>
        <v/>
      </c>
      <c r="G552" s="42">
        <f>IF($C552="","",IFERROR(INDEX(DESPACHOS!$F$3:$F$3002,MATCH($C552,DESPACHOS!$B$3:$B$3002,0)),""))</f>
        <v/>
      </c>
      <c r="H552" s="42">
        <f>IF($C552="","",IFERROR(INDEX(DESPACHOS!$G$3:$G$3002,MATCH($C552,DESPACHOS!$B$3:$B$3002,0)),""))</f>
        <v/>
      </c>
      <c r="I552" s="39">
        <f>IF($C552="","",IFERROR(INDEX(DESPACHOS!$H$3:$H$3002,MATCH($C552,DESPACHOS!$B$3:$B$3002,0)),""))</f>
        <v/>
      </c>
      <c r="J552" s="43">
        <f>IF($C552="","",IFERROR(INDEX(DESPACHOS!$J$3:$J$3002,MATCH($C552,DESPACHOS!$B$3:$B$3002,0)),""))</f>
        <v/>
      </c>
      <c r="K552" s="39">
        <f>IF($C552="","",IF(COUNTIFS(DESPACHOS!$B$3:$B$3002,$C552)=0,"NO EXISTE",IF(COUNTIFS(DESPACHOS!$B$3:$B$3002,$C552)&gt;1,"DUPLICADO","OK")))</f>
        <v/>
      </c>
      <c r="L552" s="41" t="n"/>
      <c r="M552" s="41" t="n"/>
      <c r="N552" s="42">
        <f>IF($M552="","",IFERROR(INDEX(LISTAS!$F$3:$F$42,MATCH($M552,LISTAS!$E$3:$E$42,0)),"Por definir"))</f>
        <v/>
      </c>
      <c r="O552" s="41" t="n"/>
      <c r="P552" s="39">
        <f>IF($L552="","",IFERROR(INDEX(LISTAS!$B$3:$B$42,MATCH($L552,LISTAS!$A$3:$A$42,0)),"Media"))</f>
        <v/>
      </c>
      <c r="Q552" s="44" t="n"/>
      <c r="R552" s="45" t="n"/>
      <c r="S552" s="20">
        <f>IFERROR(IF(OR($R552="",$C552=""),"",$R552/INDEX(DESPACHOS!$M$3:$M$3002,MATCH($C552,DESPACHOS!$B$3:$B$3002,0))),"")</f>
        <v/>
      </c>
      <c r="T552" s="41" t="n"/>
      <c r="U552" s="43">
        <f>IF(OR($B552="",$L552=""),"",WORKDAY($B552,IFERROR(INDEX(LISTAS!$C$3:$C$42,MATCH($L552,LISTAS!$A$3:$A$42,0)),3)))</f>
        <v/>
      </c>
      <c r="V552" s="40" t="n"/>
      <c r="W552" s="19">
        <f>IF($B552="","",IF($V552&lt;&gt;"",$V552-$B552,TODAY()-$B552))</f>
        <v/>
      </c>
      <c r="X552" s="19">
        <f>IF(OR($B552="",$U552=""),"",IF($V552&lt;&gt;"",MAX(0,$V552-$U552),MAX(0,TODAY()-$U552)))</f>
        <v/>
      </c>
      <c r="Y552" s="39">
        <f>IF($C552="","",IF(IFERROR(INDEX(LISTAS!$I$3:$I$42,MATCH($T552,LISTAS!$H$3:$H$42,0)),"NO")="SÍ",IF(N($X552)&gt;0,"CERRADA FUERA DE SLA","CERRADA EN SLA"),IF($U552="","SIN CLASIFICAR",IF(N($X552)&gt;0,"VENCIDA",IF(TODAY()&gt;=$U552-1,"POR VENCER","EN PLAZO")))))</f>
        <v/>
      </c>
      <c r="Z552" s="41" t="n"/>
      <c r="AA552" s="41" t="n"/>
      <c r="AB552" s="41" t="n"/>
    </row>
    <row r="553">
      <c r="A553" s="39">
        <f>IF($C553="","","NOV-"&amp;TEXT(ROW()-3,"0000"))</f>
        <v/>
      </c>
      <c r="B553" s="40" t="n"/>
      <c r="C553" s="41" t="n"/>
      <c r="D553" s="42">
        <f>IF($C553="","",IFERROR(INDEX(DESPACHOS!$D$3:$D$3002,MATCH($C553,DESPACHOS!$B$3:$B$3002,0)),"SIN DESPACHO"))</f>
        <v/>
      </c>
      <c r="E553" s="42">
        <f>IF($C553="","",IFERROR(INDEX(DESPACHOS!$K$3:$K$3002,MATCH($C553,DESPACHOS!$B$3:$B$3002,0)),""))</f>
        <v/>
      </c>
      <c r="F553" s="42">
        <f>IF($C553="","",IFERROR(INDEX(DESPACHOS!$I$3:$I$3002,MATCH($C553,DESPACHOS!$B$3:$B$3002,0)),""))</f>
        <v/>
      </c>
      <c r="G553" s="42">
        <f>IF($C553="","",IFERROR(INDEX(DESPACHOS!$F$3:$F$3002,MATCH($C553,DESPACHOS!$B$3:$B$3002,0)),""))</f>
        <v/>
      </c>
      <c r="H553" s="42">
        <f>IF($C553="","",IFERROR(INDEX(DESPACHOS!$G$3:$G$3002,MATCH($C553,DESPACHOS!$B$3:$B$3002,0)),""))</f>
        <v/>
      </c>
      <c r="I553" s="39">
        <f>IF($C553="","",IFERROR(INDEX(DESPACHOS!$H$3:$H$3002,MATCH($C553,DESPACHOS!$B$3:$B$3002,0)),""))</f>
        <v/>
      </c>
      <c r="J553" s="43">
        <f>IF($C553="","",IFERROR(INDEX(DESPACHOS!$J$3:$J$3002,MATCH($C553,DESPACHOS!$B$3:$B$3002,0)),""))</f>
        <v/>
      </c>
      <c r="K553" s="39">
        <f>IF($C553="","",IF(COUNTIFS(DESPACHOS!$B$3:$B$3002,$C553)=0,"NO EXISTE",IF(COUNTIFS(DESPACHOS!$B$3:$B$3002,$C553)&gt;1,"DUPLICADO","OK")))</f>
        <v/>
      </c>
      <c r="L553" s="41" t="n"/>
      <c r="M553" s="41" t="n"/>
      <c r="N553" s="42">
        <f>IF($M553="","",IFERROR(INDEX(LISTAS!$F$3:$F$42,MATCH($M553,LISTAS!$E$3:$E$42,0)),"Por definir"))</f>
        <v/>
      </c>
      <c r="O553" s="41" t="n"/>
      <c r="P553" s="39">
        <f>IF($L553="","",IFERROR(INDEX(LISTAS!$B$3:$B$42,MATCH($L553,LISTAS!$A$3:$A$42,0)),"Media"))</f>
        <v/>
      </c>
      <c r="Q553" s="44" t="n"/>
      <c r="R553" s="45" t="n"/>
      <c r="S553" s="20">
        <f>IFERROR(IF(OR($R553="",$C553=""),"",$R553/INDEX(DESPACHOS!$M$3:$M$3002,MATCH($C553,DESPACHOS!$B$3:$B$3002,0))),"")</f>
        <v/>
      </c>
      <c r="T553" s="41" t="n"/>
      <c r="U553" s="43">
        <f>IF(OR($B553="",$L553=""),"",WORKDAY($B553,IFERROR(INDEX(LISTAS!$C$3:$C$42,MATCH($L553,LISTAS!$A$3:$A$42,0)),3)))</f>
        <v/>
      </c>
      <c r="V553" s="40" t="n"/>
      <c r="W553" s="19">
        <f>IF($B553="","",IF($V553&lt;&gt;"",$V553-$B553,TODAY()-$B553))</f>
        <v/>
      </c>
      <c r="X553" s="19">
        <f>IF(OR($B553="",$U553=""),"",IF($V553&lt;&gt;"",MAX(0,$V553-$U553),MAX(0,TODAY()-$U553)))</f>
        <v/>
      </c>
      <c r="Y553" s="39">
        <f>IF($C553="","",IF(IFERROR(INDEX(LISTAS!$I$3:$I$42,MATCH($T553,LISTAS!$H$3:$H$42,0)),"NO")="SÍ",IF(N($X553)&gt;0,"CERRADA FUERA DE SLA","CERRADA EN SLA"),IF($U553="","SIN CLASIFICAR",IF(N($X553)&gt;0,"VENCIDA",IF(TODAY()&gt;=$U553-1,"POR VENCER","EN PLAZO")))))</f>
        <v/>
      </c>
      <c r="Z553" s="41" t="n"/>
      <c r="AA553" s="41" t="n"/>
      <c r="AB553" s="41" t="n"/>
    </row>
    <row r="554">
      <c r="A554" s="39">
        <f>IF($C554="","","NOV-"&amp;TEXT(ROW()-3,"0000"))</f>
        <v/>
      </c>
      <c r="B554" s="40" t="n"/>
      <c r="C554" s="41" t="n"/>
      <c r="D554" s="42">
        <f>IF($C554="","",IFERROR(INDEX(DESPACHOS!$D$3:$D$3002,MATCH($C554,DESPACHOS!$B$3:$B$3002,0)),"SIN DESPACHO"))</f>
        <v/>
      </c>
      <c r="E554" s="42">
        <f>IF($C554="","",IFERROR(INDEX(DESPACHOS!$K$3:$K$3002,MATCH($C554,DESPACHOS!$B$3:$B$3002,0)),""))</f>
        <v/>
      </c>
      <c r="F554" s="42">
        <f>IF($C554="","",IFERROR(INDEX(DESPACHOS!$I$3:$I$3002,MATCH($C554,DESPACHOS!$B$3:$B$3002,0)),""))</f>
        <v/>
      </c>
      <c r="G554" s="42">
        <f>IF($C554="","",IFERROR(INDEX(DESPACHOS!$F$3:$F$3002,MATCH($C554,DESPACHOS!$B$3:$B$3002,0)),""))</f>
        <v/>
      </c>
      <c r="H554" s="42">
        <f>IF($C554="","",IFERROR(INDEX(DESPACHOS!$G$3:$G$3002,MATCH($C554,DESPACHOS!$B$3:$B$3002,0)),""))</f>
        <v/>
      </c>
      <c r="I554" s="39">
        <f>IF($C554="","",IFERROR(INDEX(DESPACHOS!$H$3:$H$3002,MATCH($C554,DESPACHOS!$B$3:$B$3002,0)),""))</f>
        <v/>
      </c>
      <c r="J554" s="43">
        <f>IF($C554="","",IFERROR(INDEX(DESPACHOS!$J$3:$J$3002,MATCH($C554,DESPACHOS!$B$3:$B$3002,0)),""))</f>
        <v/>
      </c>
      <c r="K554" s="39">
        <f>IF($C554="","",IF(COUNTIFS(DESPACHOS!$B$3:$B$3002,$C554)=0,"NO EXISTE",IF(COUNTIFS(DESPACHOS!$B$3:$B$3002,$C554)&gt;1,"DUPLICADO","OK")))</f>
        <v/>
      </c>
      <c r="L554" s="41" t="n"/>
      <c r="M554" s="41" t="n"/>
      <c r="N554" s="42">
        <f>IF($M554="","",IFERROR(INDEX(LISTAS!$F$3:$F$42,MATCH($M554,LISTAS!$E$3:$E$42,0)),"Por definir"))</f>
        <v/>
      </c>
      <c r="O554" s="41" t="n"/>
      <c r="P554" s="39">
        <f>IF($L554="","",IFERROR(INDEX(LISTAS!$B$3:$B$42,MATCH($L554,LISTAS!$A$3:$A$42,0)),"Media"))</f>
        <v/>
      </c>
      <c r="Q554" s="44" t="n"/>
      <c r="R554" s="45" t="n"/>
      <c r="S554" s="20">
        <f>IFERROR(IF(OR($R554="",$C554=""),"",$R554/INDEX(DESPACHOS!$M$3:$M$3002,MATCH($C554,DESPACHOS!$B$3:$B$3002,0))),"")</f>
        <v/>
      </c>
      <c r="T554" s="41" t="n"/>
      <c r="U554" s="43">
        <f>IF(OR($B554="",$L554=""),"",WORKDAY($B554,IFERROR(INDEX(LISTAS!$C$3:$C$42,MATCH($L554,LISTAS!$A$3:$A$42,0)),3)))</f>
        <v/>
      </c>
      <c r="V554" s="40" t="n"/>
      <c r="W554" s="19">
        <f>IF($B554="","",IF($V554&lt;&gt;"",$V554-$B554,TODAY()-$B554))</f>
        <v/>
      </c>
      <c r="X554" s="19">
        <f>IF(OR($B554="",$U554=""),"",IF($V554&lt;&gt;"",MAX(0,$V554-$U554),MAX(0,TODAY()-$U554)))</f>
        <v/>
      </c>
      <c r="Y554" s="39">
        <f>IF($C554="","",IF(IFERROR(INDEX(LISTAS!$I$3:$I$42,MATCH($T554,LISTAS!$H$3:$H$42,0)),"NO")="SÍ",IF(N($X554)&gt;0,"CERRADA FUERA DE SLA","CERRADA EN SLA"),IF($U554="","SIN CLASIFICAR",IF(N($X554)&gt;0,"VENCIDA",IF(TODAY()&gt;=$U554-1,"POR VENCER","EN PLAZO")))))</f>
        <v/>
      </c>
      <c r="Z554" s="41" t="n"/>
      <c r="AA554" s="41" t="n"/>
      <c r="AB554" s="41" t="n"/>
    </row>
    <row r="555">
      <c r="A555" s="39">
        <f>IF($C555="","","NOV-"&amp;TEXT(ROW()-3,"0000"))</f>
        <v/>
      </c>
      <c r="B555" s="40" t="n"/>
      <c r="C555" s="41" t="n"/>
      <c r="D555" s="42">
        <f>IF($C555="","",IFERROR(INDEX(DESPACHOS!$D$3:$D$3002,MATCH($C555,DESPACHOS!$B$3:$B$3002,0)),"SIN DESPACHO"))</f>
        <v/>
      </c>
      <c r="E555" s="42">
        <f>IF($C555="","",IFERROR(INDEX(DESPACHOS!$K$3:$K$3002,MATCH($C555,DESPACHOS!$B$3:$B$3002,0)),""))</f>
        <v/>
      </c>
      <c r="F555" s="42">
        <f>IF($C555="","",IFERROR(INDEX(DESPACHOS!$I$3:$I$3002,MATCH($C555,DESPACHOS!$B$3:$B$3002,0)),""))</f>
        <v/>
      </c>
      <c r="G555" s="42">
        <f>IF($C555="","",IFERROR(INDEX(DESPACHOS!$F$3:$F$3002,MATCH($C555,DESPACHOS!$B$3:$B$3002,0)),""))</f>
        <v/>
      </c>
      <c r="H555" s="42">
        <f>IF($C555="","",IFERROR(INDEX(DESPACHOS!$G$3:$G$3002,MATCH($C555,DESPACHOS!$B$3:$B$3002,0)),""))</f>
        <v/>
      </c>
      <c r="I555" s="39">
        <f>IF($C555="","",IFERROR(INDEX(DESPACHOS!$H$3:$H$3002,MATCH($C555,DESPACHOS!$B$3:$B$3002,0)),""))</f>
        <v/>
      </c>
      <c r="J555" s="43">
        <f>IF($C555="","",IFERROR(INDEX(DESPACHOS!$J$3:$J$3002,MATCH($C555,DESPACHOS!$B$3:$B$3002,0)),""))</f>
        <v/>
      </c>
      <c r="K555" s="39">
        <f>IF($C555="","",IF(COUNTIFS(DESPACHOS!$B$3:$B$3002,$C555)=0,"NO EXISTE",IF(COUNTIFS(DESPACHOS!$B$3:$B$3002,$C555)&gt;1,"DUPLICADO","OK")))</f>
        <v/>
      </c>
      <c r="L555" s="41" t="n"/>
      <c r="M555" s="41" t="n"/>
      <c r="N555" s="42">
        <f>IF($M555="","",IFERROR(INDEX(LISTAS!$F$3:$F$42,MATCH($M555,LISTAS!$E$3:$E$42,0)),"Por definir"))</f>
        <v/>
      </c>
      <c r="O555" s="41" t="n"/>
      <c r="P555" s="39">
        <f>IF($L555="","",IFERROR(INDEX(LISTAS!$B$3:$B$42,MATCH($L555,LISTAS!$A$3:$A$42,0)),"Media"))</f>
        <v/>
      </c>
      <c r="Q555" s="44" t="n"/>
      <c r="R555" s="45" t="n"/>
      <c r="S555" s="20">
        <f>IFERROR(IF(OR($R555="",$C555=""),"",$R555/INDEX(DESPACHOS!$M$3:$M$3002,MATCH($C555,DESPACHOS!$B$3:$B$3002,0))),"")</f>
        <v/>
      </c>
      <c r="T555" s="41" t="n"/>
      <c r="U555" s="43">
        <f>IF(OR($B555="",$L555=""),"",WORKDAY($B555,IFERROR(INDEX(LISTAS!$C$3:$C$42,MATCH($L555,LISTAS!$A$3:$A$42,0)),3)))</f>
        <v/>
      </c>
      <c r="V555" s="40" t="n"/>
      <c r="W555" s="19">
        <f>IF($B555="","",IF($V555&lt;&gt;"",$V555-$B555,TODAY()-$B555))</f>
        <v/>
      </c>
      <c r="X555" s="19">
        <f>IF(OR($B555="",$U555=""),"",IF($V555&lt;&gt;"",MAX(0,$V555-$U555),MAX(0,TODAY()-$U555)))</f>
        <v/>
      </c>
      <c r="Y555" s="39">
        <f>IF($C555="","",IF(IFERROR(INDEX(LISTAS!$I$3:$I$42,MATCH($T555,LISTAS!$H$3:$H$42,0)),"NO")="SÍ",IF(N($X555)&gt;0,"CERRADA FUERA DE SLA","CERRADA EN SLA"),IF($U555="","SIN CLASIFICAR",IF(N($X555)&gt;0,"VENCIDA",IF(TODAY()&gt;=$U555-1,"POR VENCER","EN PLAZO")))))</f>
        <v/>
      </c>
      <c r="Z555" s="41" t="n"/>
      <c r="AA555" s="41" t="n"/>
      <c r="AB555" s="41" t="n"/>
    </row>
    <row r="556">
      <c r="A556" s="39">
        <f>IF($C556="","","NOV-"&amp;TEXT(ROW()-3,"0000"))</f>
        <v/>
      </c>
      <c r="B556" s="40" t="n"/>
      <c r="C556" s="41" t="n"/>
      <c r="D556" s="42">
        <f>IF($C556="","",IFERROR(INDEX(DESPACHOS!$D$3:$D$3002,MATCH($C556,DESPACHOS!$B$3:$B$3002,0)),"SIN DESPACHO"))</f>
        <v/>
      </c>
      <c r="E556" s="42">
        <f>IF($C556="","",IFERROR(INDEX(DESPACHOS!$K$3:$K$3002,MATCH($C556,DESPACHOS!$B$3:$B$3002,0)),""))</f>
        <v/>
      </c>
      <c r="F556" s="42">
        <f>IF($C556="","",IFERROR(INDEX(DESPACHOS!$I$3:$I$3002,MATCH($C556,DESPACHOS!$B$3:$B$3002,0)),""))</f>
        <v/>
      </c>
      <c r="G556" s="42">
        <f>IF($C556="","",IFERROR(INDEX(DESPACHOS!$F$3:$F$3002,MATCH($C556,DESPACHOS!$B$3:$B$3002,0)),""))</f>
        <v/>
      </c>
      <c r="H556" s="42">
        <f>IF($C556="","",IFERROR(INDEX(DESPACHOS!$G$3:$G$3002,MATCH($C556,DESPACHOS!$B$3:$B$3002,0)),""))</f>
        <v/>
      </c>
      <c r="I556" s="39">
        <f>IF($C556="","",IFERROR(INDEX(DESPACHOS!$H$3:$H$3002,MATCH($C556,DESPACHOS!$B$3:$B$3002,0)),""))</f>
        <v/>
      </c>
      <c r="J556" s="43">
        <f>IF($C556="","",IFERROR(INDEX(DESPACHOS!$J$3:$J$3002,MATCH($C556,DESPACHOS!$B$3:$B$3002,0)),""))</f>
        <v/>
      </c>
      <c r="K556" s="39">
        <f>IF($C556="","",IF(COUNTIFS(DESPACHOS!$B$3:$B$3002,$C556)=0,"NO EXISTE",IF(COUNTIFS(DESPACHOS!$B$3:$B$3002,$C556)&gt;1,"DUPLICADO","OK")))</f>
        <v/>
      </c>
      <c r="L556" s="41" t="n"/>
      <c r="M556" s="41" t="n"/>
      <c r="N556" s="42">
        <f>IF($M556="","",IFERROR(INDEX(LISTAS!$F$3:$F$42,MATCH($M556,LISTAS!$E$3:$E$42,0)),"Por definir"))</f>
        <v/>
      </c>
      <c r="O556" s="41" t="n"/>
      <c r="P556" s="39">
        <f>IF($L556="","",IFERROR(INDEX(LISTAS!$B$3:$B$42,MATCH($L556,LISTAS!$A$3:$A$42,0)),"Media"))</f>
        <v/>
      </c>
      <c r="Q556" s="44" t="n"/>
      <c r="R556" s="45" t="n"/>
      <c r="S556" s="20">
        <f>IFERROR(IF(OR($R556="",$C556=""),"",$R556/INDEX(DESPACHOS!$M$3:$M$3002,MATCH($C556,DESPACHOS!$B$3:$B$3002,0))),"")</f>
        <v/>
      </c>
      <c r="T556" s="41" t="n"/>
      <c r="U556" s="43">
        <f>IF(OR($B556="",$L556=""),"",WORKDAY($B556,IFERROR(INDEX(LISTAS!$C$3:$C$42,MATCH($L556,LISTAS!$A$3:$A$42,0)),3)))</f>
        <v/>
      </c>
      <c r="V556" s="40" t="n"/>
      <c r="W556" s="19">
        <f>IF($B556="","",IF($V556&lt;&gt;"",$V556-$B556,TODAY()-$B556))</f>
        <v/>
      </c>
      <c r="X556" s="19">
        <f>IF(OR($B556="",$U556=""),"",IF($V556&lt;&gt;"",MAX(0,$V556-$U556),MAX(0,TODAY()-$U556)))</f>
        <v/>
      </c>
      <c r="Y556" s="39">
        <f>IF($C556="","",IF(IFERROR(INDEX(LISTAS!$I$3:$I$42,MATCH($T556,LISTAS!$H$3:$H$42,0)),"NO")="SÍ",IF(N($X556)&gt;0,"CERRADA FUERA DE SLA","CERRADA EN SLA"),IF($U556="","SIN CLASIFICAR",IF(N($X556)&gt;0,"VENCIDA",IF(TODAY()&gt;=$U556-1,"POR VENCER","EN PLAZO")))))</f>
        <v/>
      </c>
      <c r="Z556" s="41" t="n"/>
      <c r="AA556" s="41" t="n"/>
      <c r="AB556" s="41" t="n"/>
    </row>
    <row r="557">
      <c r="A557" s="39">
        <f>IF($C557="","","NOV-"&amp;TEXT(ROW()-3,"0000"))</f>
        <v/>
      </c>
      <c r="B557" s="40" t="n"/>
      <c r="C557" s="41" t="n"/>
      <c r="D557" s="42">
        <f>IF($C557="","",IFERROR(INDEX(DESPACHOS!$D$3:$D$3002,MATCH($C557,DESPACHOS!$B$3:$B$3002,0)),"SIN DESPACHO"))</f>
        <v/>
      </c>
      <c r="E557" s="42">
        <f>IF($C557="","",IFERROR(INDEX(DESPACHOS!$K$3:$K$3002,MATCH($C557,DESPACHOS!$B$3:$B$3002,0)),""))</f>
        <v/>
      </c>
      <c r="F557" s="42">
        <f>IF($C557="","",IFERROR(INDEX(DESPACHOS!$I$3:$I$3002,MATCH($C557,DESPACHOS!$B$3:$B$3002,0)),""))</f>
        <v/>
      </c>
      <c r="G557" s="42">
        <f>IF($C557="","",IFERROR(INDEX(DESPACHOS!$F$3:$F$3002,MATCH($C557,DESPACHOS!$B$3:$B$3002,0)),""))</f>
        <v/>
      </c>
      <c r="H557" s="42">
        <f>IF($C557="","",IFERROR(INDEX(DESPACHOS!$G$3:$G$3002,MATCH($C557,DESPACHOS!$B$3:$B$3002,0)),""))</f>
        <v/>
      </c>
      <c r="I557" s="39">
        <f>IF($C557="","",IFERROR(INDEX(DESPACHOS!$H$3:$H$3002,MATCH($C557,DESPACHOS!$B$3:$B$3002,0)),""))</f>
        <v/>
      </c>
      <c r="J557" s="43">
        <f>IF($C557="","",IFERROR(INDEX(DESPACHOS!$J$3:$J$3002,MATCH($C557,DESPACHOS!$B$3:$B$3002,0)),""))</f>
        <v/>
      </c>
      <c r="K557" s="39">
        <f>IF($C557="","",IF(COUNTIFS(DESPACHOS!$B$3:$B$3002,$C557)=0,"NO EXISTE",IF(COUNTIFS(DESPACHOS!$B$3:$B$3002,$C557)&gt;1,"DUPLICADO","OK")))</f>
        <v/>
      </c>
      <c r="L557" s="41" t="n"/>
      <c r="M557" s="41" t="n"/>
      <c r="N557" s="42">
        <f>IF($M557="","",IFERROR(INDEX(LISTAS!$F$3:$F$42,MATCH($M557,LISTAS!$E$3:$E$42,0)),"Por definir"))</f>
        <v/>
      </c>
      <c r="O557" s="41" t="n"/>
      <c r="P557" s="39">
        <f>IF($L557="","",IFERROR(INDEX(LISTAS!$B$3:$B$42,MATCH($L557,LISTAS!$A$3:$A$42,0)),"Media"))</f>
        <v/>
      </c>
      <c r="Q557" s="44" t="n"/>
      <c r="R557" s="45" t="n"/>
      <c r="S557" s="20">
        <f>IFERROR(IF(OR($R557="",$C557=""),"",$R557/INDEX(DESPACHOS!$M$3:$M$3002,MATCH($C557,DESPACHOS!$B$3:$B$3002,0))),"")</f>
        <v/>
      </c>
      <c r="T557" s="41" t="n"/>
      <c r="U557" s="43">
        <f>IF(OR($B557="",$L557=""),"",WORKDAY($B557,IFERROR(INDEX(LISTAS!$C$3:$C$42,MATCH($L557,LISTAS!$A$3:$A$42,0)),3)))</f>
        <v/>
      </c>
      <c r="V557" s="40" t="n"/>
      <c r="W557" s="19">
        <f>IF($B557="","",IF($V557&lt;&gt;"",$V557-$B557,TODAY()-$B557))</f>
        <v/>
      </c>
      <c r="X557" s="19">
        <f>IF(OR($B557="",$U557=""),"",IF($V557&lt;&gt;"",MAX(0,$V557-$U557),MAX(0,TODAY()-$U557)))</f>
        <v/>
      </c>
      <c r="Y557" s="39">
        <f>IF($C557="","",IF(IFERROR(INDEX(LISTAS!$I$3:$I$42,MATCH($T557,LISTAS!$H$3:$H$42,0)),"NO")="SÍ",IF(N($X557)&gt;0,"CERRADA FUERA DE SLA","CERRADA EN SLA"),IF($U557="","SIN CLASIFICAR",IF(N($X557)&gt;0,"VENCIDA",IF(TODAY()&gt;=$U557-1,"POR VENCER","EN PLAZO")))))</f>
        <v/>
      </c>
      <c r="Z557" s="41" t="n"/>
      <c r="AA557" s="41" t="n"/>
      <c r="AB557" s="41" t="n"/>
    </row>
    <row r="558">
      <c r="A558" s="39">
        <f>IF($C558="","","NOV-"&amp;TEXT(ROW()-3,"0000"))</f>
        <v/>
      </c>
      <c r="B558" s="40" t="n"/>
      <c r="C558" s="41" t="n"/>
      <c r="D558" s="42">
        <f>IF($C558="","",IFERROR(INDEX(DESPACHOS!$D$3:$D$3002,MATCH($C558,DESPACHOS!$B$3:$B$3002,0)),"SIN DESPACHO"))</f>
        <v/>
      </c>
      <c r="E558" s="42">
        <f>IF($C558="","",IFERROR(INDEX(DESPACHOS!$K$3:$K$3002,MATCH($C558,DESPACHOS!$B$3:$B$3002,0)),""))</f>
        <v/>
      </c>
      <c r="F558" s="42">
        <f>IF($C558="","",IFERROR(INDEX(DESPACHOS!$I$3:$I$3002,MATCH($C558,DESPACHOS!$B$3:$B$3002,0)),""))</f>
        <v/>
      </c>
      <c r="G558" s="42">
        <f>IF($C558="","",IFERROR(INDEX(DESPACHOS!$F$3:$F$3002,MATCH($C558,DESPACHOS!$B$3:$B$3002,0)),""))</f>
        <v/>
      </c>
      <c r="H558" s="42">
        <f>IF($C558="","",IFERROR(INDEX(DESPACHOS!$G$3:$G$3002,MATCH($C558,DESPACHOS!$B$3:$B$3002,0)),""))</f>
        <v/>
      </c>
      <c r="I558" s="39">
        <f>IF($C558="","",IFERROR(INDEX(DESPACHOS!$H$3:$H$3002,MATCH($C558,DESPACHOS!$B$3:$B$3002,0)),""))</f>
        <v/>
      </c>
      <c r="J558" s="43">
        <f>IF($C558="","",IFERROR(INDEX(DESPACHOS!$J$3:$J$3002,MATCH($C558,DESPACHOS!$B$3:$B$3002,0)),""))</f>
        <v/>
      </c>
      <c r="K558" s="39">
        <f>IF($C558="","",IF(COUNTIFS(DESPACHOS!$B$3:$B$3002,$C558)=0,"NO EXISTE",IF(COUNTIFS(DESPACHOS!$B$3:$B$3002,$C558)&gt;1,"DUPLICADO","OK")))</f>
        <v/>
      </c>
      <c r="L558" s="41" t="n"/>
      <c r="M558" s="41" t="n"/>
      <c r="N558" s="42">
        <f>IF($M558="","",IFERROR(INDEX(LISTAS!$F$3:$F$42,MATCH($M558,LISTAS!$E$3:$E$42,0)),"Por definir"))</f>
        <v/>
      </c>
      <c r="O558" s="41" t="n"/>
      <c r="P558" s="39">
        <f>IF($L558="","",IFERROR(INDEX(LISTAS!$B$3:$B$42,MATCH($L558,LISTAS!$A$3:$A$42,0)),"Media"))</f>
        <v/>
      </c>
      <c r="Q558" s="44" t="n"/>
      <c r="R558" s="45" t="n"/>
      <c r="S558" s="20">
        <f>IFERROR(IF(OR($R558="",$C558=""),"",$R558/INDEX(DESPACHOS!$M$3:$M$3002,MATCH($C558,DESPACHOS!$B$3:$B$3002,0))),"")</f>
        <v/>
      </c>
      <c r="T558" s="41" t="n"/>
      <c r="U558" s="43">
        <f>IF(OR($B558="",$L558=""),"",WORKDAY($B558,IFERROR(INDEX(LISTAS!$C$3:$C$42,MATCH($L558,LISTAS!$A$3:$A$42,0)),3)))</f>
        <v/>
      </c>
      <c r="V558" s="40" t="n"/>
      <c r="W558" s="19">
        <f>IF($B558="","",IF($V558&lt;&gt;"",$V558-$B558,TODAY()-$B558))</f>
        <v/>
      </c>
      <c r="X558" s="19">
        <f>IF(OR($B558="",$U558=""),"",IF($V558&lt;&gt;"",MAX(0,$V558-$U558),MAX(0,TODAY()-$U558)))</f>
        <v/>
      </c>
      <c r="Y558" s="39">
        <f>IF($C558="","",IF(IFERROR(INDEX(LISTAS!$I$3:$I$42,MATCH($T558,LISTAS!$H$3:$H$42,0)),"NO")="SÍ",IF(N($X558)&gt;0,"CERRADA FUERA DE SLA","CERRADA EN SLA"),IF($U558="","SIN CLASIFICAR",IF(N($X558)&gt;0,"VENCIDA",IF(TODAY()&gt;=$U558-1,"POR VENCER","EN PLAZO")))))</f>
        <v/>
      </c>
      <c r="Z558" s="41" t="n"/>
      <c r="AA558" s="41" t="n"/>
      <c r="AB558" s="41" t="n"/>
    </row>
    <row r="559">
      <c r="A559" s="39">
        <f>IF($C559="","","NOV-"&amp;TEXT(ROW()-3,"0000"))</f>
        <v/>
      </c>
      <c r="B559" s="40" t="n"/>
      <c r="C559" s="41" t="n"/>
      <c r="D559" s="42">
        <f>IF($C559="","",IFERROR(INDEX(DESPACHOS!$D$3:$D$3002,MATCH($C559,DESPACHOS!$B$3:$B$3002,0)),"SIN DESPACHO"))</f>
        <v/>
      </c>
      <c r="E559" s="42">
        <f>IF($C559="","",IFERROR(INDEX(DESPACHOS!$K$3:$K$3002,MATCH($C559,DESPACHOS!$B$3:$B$3002,0)),""))</f>
        <v/>
      </c>
      <c r="F559" s="42">
        <f>IF($C559="","",IFERROR(INDEX(DESPACHOS!$I$3:$I$3002,MATCH($C559,DESPACHOS!$B$3:$B$3002,0)),""))</f>
        <v/>
      </c>
      <c r="G559" s="42">
        <f>IF($C559="","",IFERROR(INDEX(DESPACHOS!$F$3:$F$3002,MATCH($C559,DESPACHOS!$B$3:$B$3002,0)),""))</f>
        <v/>
      </c>
      <c r="H559" s="42">
        <f>IF($C559="","",IFERROR(INDEX(DESPACHOS!$G$3:$G$3002,MATCH($C559,DESPACHOS!$B$3:$B$3002,0)),""))</f>
        <v/>
      </c>
      <c r="I559" s="39">
        <f>IF($C559="","",IFERROR(INDEX(DESPACHOS!$H$3:$H$3002,MATCH($C559,DESPACHOS!$B$3:$B$3002,0)),""))</f>
        <v/>
      </c>
      <c r="J559" s="43">
        <f>IF($C559="","",IFERROR(INDEX(DESPACHOS!$J$3:$J$3002,MATCH($C559,DESPACHOS!$B$3:$B$3002,0)),""))</f>
        <v/>
      </c>
      <c r="K559" s="39">
        <f>IF($C559="","",IF(COUNTIFS(DESPACHOS!$B$3:$B$3002,$C559)=0,"NO EXISTE",IF(COUNTIFS(DESPACHOS!$B$3:$B$3002,$C559)&gt;1,"DUPLICADO","OK")))</f>
        <v/>
      </c>
      <c r="L559" s="41" t="n"/>
      <c r="M559" s="41" t="n"/>
      <c r="N559" s="42">
        <f>IF($M559="","",IFERROR(INDEX(LISTAS!$F$3:$F$42,MATCH($M559,LISTAS!$E$3:$E$42,0)),"Por definir"))</f>
        <v/>
      </c>
      <c r="O559" s="41" t="n"/>
      <c r="P559" s="39">
        <f>IF($L559="","",IFERROR(INDEX(LISTAS!$B$3:$B$42,MATCH($L559,LISTAS!$A$3:$A$42,0)),"Media"))</f>
        <v/>
      </c>
      <c r="Q559" s="44" t="n"/>
      <c r="R559" s="45" t="n"/>
      <c r="S559" s="20">
        <f>IFERROR(IF(OR($R559="",$C559=""),"",$R559/INDEX(DESPACHOS!$M$3:$M$3002,MATCH($C559,DESPACHOS!$B$3:$B$3002,0))),"")</f>
        <v/>
      </c>
      <c r="T559" s="41" t="n"/>
      <c r="U559" s="43">
        <f>IF(OR($B559="",$L559=""),"",WORKDAY($B559,IFERROR(INDEX(LISTAS!$C$3:$C$42,MATCH($L559,LISTAS!$A$3:$A$42,0)),3)))</f>
        <v/>
      </c>
      <c r="V559" s="40" t="n"/>
      <c r="W559" s="19">
        <f>IF($B559="","",IF($V559&lt;&gt;"",$V559-$B559,TODAY()-$B559))</f>
        <v/>
      </c>
      <c r="X559" s="19">
        <f>IF(OR($B559="",$U559=""),"",IF($V559&lt;&gt;"",MAX(0,$V559-$U559),MAX(0,TODAY()-$U559)))</f>
        <v/>
      </c>
      <c r="Y559" s="39">
        <f>IF($C559="","",IF(IFERROR(INDEX(LISTAS!$I$3:$I$42,MATCH($T559,LISTAS!$H$3:$H$42,0)),"NO")="SÍ",IF(N($X559)&gt;0,"CERRADA FUERA DE SLA","CERRADA EN SLA"),IF($U559="","SIN CLASIFICAR",IF(N($X559)&gt;0,"VENCIDA",IF(TODAY()&gt;=$U559-1,"POR VENCER","EN PLAZO")))))</f>
        <v/>
      </c>
      <c r="Z559" s="41" t="n"/>
      <c r="AA559" s="41" t="n"/>
      <c r="AB559" s="41" t="n"/>
    </row>
    <row r="560">
      <c r="A560" s="39">
        <f>IF($C560="","","NOV-"&amp;TEXT(ROW()-3,"0000"))</f>
        <v/>
      </c>
      <c r="B560" s="40" t="n"/>
      <c r="C560" s="41" t="n"/>
      <c r="D560" s="42">
        <f>IF($C560="","",IFERROR(INDEX(DESPACHOS!$D$3:$D$3002,MATCH($C560,DESPACHOS!$B$3:$B$3002,0)),"SIN DESPACHO"))</f>
        <v/>
      </c>
      <c r="E560" s="42">
        <f>IF($C560="","",IFERROR(INDEX(DESPACHOS!$K$3:$K$3002,MATCH($C560,DESPACHOS!$B$3:$B$3002,0)),""))</f>
        <v/>
      </c>
      <c r="F560" s="42">
        <f>IF($C560="","",IFERROR(INDEX(DESPACHOS!$I$3:$I$3002,MATCH($C560,DESPACHOS!$B$3:$B$3002,0)),""))</f>
        <v/>
      </c>
      <c r="G560" s="42">
        <f>IF($C560="","",IFERROR(INDEX(DESPACHOS!$F$3:$F$3002,MATCH($C560,DESPACHOS!$B$3:$B$3002,0)),""))</f>
        <v/>
      </c>
      <c r="H560" s="42">
        <f>IF($C560="","",IFERROR(INDEX(DESPACHOS!$G$3:$G$3002,MATCH($C560,DESPACHOS!$B$3:$B$3002,0)),""))</f>
        <v/>
      </c>
      <c r="I560" s="39">
        <f>IF($C560="","",IFERROR(INDEX(DESPACHOS!$H$3:$H$3002,MATCH($C560,DESPACHOS!$B$3:$B$3002,0)),""))</f>
        <v/>
      </c>
      <c r="J560" s="43">
        <f>IF($C560="","",IFERROR(INDEX(DESPACHOS!$J$3:$J$3002,MATCH($C560,DESPACHOS!$B$3:$B$3002,0)),""))</f>
        <v/>
      </c>
      <c r="K560" s="39">
        <f>IF($C560="","",IF(COUNTIFS(DESPACHOS!$B$3:$B$3002,$C560)=0,"NO EXISTE",IF(COUNTIFS(DESPACHOS!$B$3:$B$3002,$C560)&gt;1,"DUPLICADO","OK")))</f>
        <v/>
      </c>
      <c r="L560" s="41" t="n"/>
      <c r="M560" s="41" t="n"/>
      <c r="N560" s="42">
        <f>IF($M560="","",IFERROR(INDEX(LISTAS!$F$3:$F$42,MATCH($M560,LISTAS!$E$3:$E$42,0)),"Por definir"))</f>
        <v/>
      </c>
      <c r="O560" s="41" t="n"/>
      <c r="P560" s="39">
        <f>IF($L560="","",IFERROR(INDEX(LISTAS!$B$3:$B$42,MATCH($L560,LISTAS!$A$3:$A$42,0)),"Media"))</f>
        <v/>
      </c>
      <c r="Q560" s="44" t="n"/>
      <c r="R560" s="45" t="n"/>
      <c r="S560" s="20">
        <f>IFERROR(IF(OR($R560="",$C560=""),"",$R560/INDEX(DESPACHOS!$M$3:$M$3002,MATCH($C560,DESPACHOS!$B$3:$B$3002,0))),"")</f>
        <v/>
      </c>
      <c r="T560" s="41" t="n"/>
      <c r="U560" s="43">
        <f>IF(OR($B560="",$L560=""),"",WORKDAY($B560,IFERROR(INDEX(LISTAS!$C$3:$C$42,MATCH($L560,LISTAS!$A$3:$A$42,0)),3)))</f>
        <v/>
      </c>
      <c r="V560" s="40" t="n"/>
      <c r="W560" s="19">
        <f>IF($B560="","",IF($V560&lt;&gt;"",$V560-$B560,TODAY()-$B560))</f>
        <v/>
      </c>
      <c r="X560" s="19">
        <f>IF(OR($B560="",$U560=""),"",IF($V560&lt;&gt;"",MAX(0,$V560-$U560),MAX(0,TODAY()-$U560)))</f>
        <v/>
      </c>
      <c r="Y560" s="39">
        <f>IF($C560="","",IF(IFERROR(INDEX(LISTAS!$I$3:$I$42,MATCH($T560,LISTAS!$H$3:$H$42,0)),"NO")="SÍ",IF(N($X560)&gt;0,"CERRADA FUERA DE SLA","CERRADA EN SLA"),IF($U560="","SIN CLASIFICAR",IF(N($X560)&gt;0,"VENCIDA",IF(TODAY()&gt;=$U560-1,"POR VENCER","EN PLAZO")))))</f>
        <v/>
      </c>
      <c r="Z560" s="41" t="n"/>
      <c r="AA560" s="41" t="n"/>
      <c r="AB560" s="41" t="n"/>
    </row>
    <row r="561">
      <c r="A561" s="39">
        <f>IF($C561="","","NOV-"&amp;TEXT(ROW()-3,"0000"))</f>
        <v/>
      </c>
      <c r="B561" s="40" t="n"/>
      <c r="C561" s="41" t="n"/>
      <c r="D561" s="42">
        <f>IF($C561="","",IFERROR(INDEX(DESPACHOS!$D$3:$D$3002,MATCH($C561,DESPACHOS!$B$3:$B$3002,0)),"SIN DESPACHO"))</f>
        <v/>
      </c>
      <c r="E561" s="42">
        <f>IF($C561="","",IFERROR(INDEX(DESPACHOS!$K$3:$K$3002,MATCH($C561,DESPACHOS!$B$3:$B$3002,0)),""))</f>
        <v/>
      </c>
      <c r="F561" s="42">
        <f>IF($C561="","",IFERROR(INDEX(DESPACHOS!$I$3:$I$3002,MATCH($C561,DESPACHOS!$B$3:$B$3002,0)),""))</f>
        <v/>
      </c>
      <c r="G561" s="42">
        <f>IF($C561="","",IFERROR(INDEX(DESPACHOS!$F$3:$F$3002,MATCH($C561,DESPACHOS!$B$3:$B$3002,0)),""))</f>
        <v/>
      </c>
      <c r="H561" s="42">
        <f>IF($C561="","",IFERROR(INDEX(DESPACHOS!$G$3:$G$3002,MATCH($C561,DESPACHOS!$B$3:$B$3002,0)),""))</f>
        <v/>
      </c>
      <c r="I561" s="39">
        <f>IF($C561="","",IFERROR(INDEX(DESPACHOS!$H$3:$H$3002,MATCH($C561,DESPACHOS!$B$3:$B$3002,0)),""))</f>
        <v/>
      </c>
      <c r="J561" s="43">
        <f>IF($C561="","",IFERROR(INDEX(DESPACHOS!$J$3:$J$3002,MATCH($C561,DESPACHOS!$B$3:$B$3002,0)),""))</f>
        <v/>
      </c>
      <c r="K561" s="39">
        <f>IF($C561="","",IF(COUNTIFS(DESPACHOS!$B$3:$B$3002,$C561)=0,"NO EXISTE",IF(COUNTIFS(DESPACHOS!$B$3:$B$3002,$C561)&gt;1,"DUPLICADO","OK")))</f>
        <v/>
      </c>
      <c r="L561" s="41" t="n"/>
      <c r="M561" s="41" t="n"/>
      <c r="N561" s="42">
        <f>IF($M561="","",IFERROR(INDEX(LISTAS!$F$3:$F$42,MATCH($M561,LISTAS!$E$3:$E$42,0)),"Por definir"))</f>
        <v/>
      </c>
      <c r="O561" s="41" t="n"/>
      <c r="P561" s="39">
        <f>IF($L561="","",IFERROR(INDEX(LISTAS!$B$3:$B$42,MATCH($L561,LISTAS!$A$3:$A$42,0)),"Media"))</f>
        <v/>
      </c>
      <c r="Q561" s="44" t="n"/>
      <c r="R561" s="45" t="n"/>
      <c r="S561" s="20">
        <f>IFERROR(IF(OR($R561="",$C561=""),"",$R561/INDEX(DESPACHOS!$M$3:$M$3002,MATCH($C561,DESPACHOS!$B$3:$B$3002,0))),"")</f>
        <v/>
      </c>
      <c r="T561" s="41" t="n"/>
      <c r="U561" s="43">
        <f>IF(OR($B561="",$L561=""),"",WORKDAY($B561,IFERROR(INDEX(LISTAS!$C$3:$C$42,MATCH($L561,LISTAS!$A$3:$A$42,0)),3)))</f>
        <v/>
      </c>
      <c r="V561" s="40" t="n"/>
      <c r="W561" s="19">
        <f>IF($B561="","",IF($V561&lt;&gt;"",$V561-$B561,TODAY()-$B561))</f>
        <v/>
      </c>
      <c r="X561" s="19">
        <f>IF(OR($B561="",$U561=""),"",IF($V561&lt;&gt;"",MAX(0,$V561-$U561),MAX(0,TODAY()-$U561)))</f>
        <v/>
      </c>
      <c r="Y561" s="39">
        <f>IF($C561="","",IF(IFERROR(INDEX(LISTAS!$I$3:$I$42,MATCH($T561,LISTAS!$H$3:$H$42,0)),"NO")="SÍ",IF(N($X561)&gt;0,"CERRADA FUERA DE SLA","CERRADA EN SLA"),IF($U561="","SIN CLASIFICAR",IF(N($X561)&gt;0,"VENCIDA",IF(TODAY()&gt;=$U561-1,"POR VENCER","EN PLAZO")))))</f>
        <v/>
      </c>
      <c r="Z561" s="41" t="n"/>
      <c r="AA561" s="41" t="n"/>
      <c r="AB561" s="41" t="n"/>
    </row>
    <row r="562">
      <c r="A562" s="39">
        <f>IF($C562="","","NOV-"&amp;TEXT(ROW()-3,"0000"))</f>
        <v/>
      </c>
      <c r="B562" s="40" t="n"/>
      <c r="C562" s="41" t="n"/>
      <c r="D562" s="42">
        <f>IF($C562="","",IFERROR(INDEX(DESPACHOS!$D$3:$D$3002,MATCH($C562,DESPACHOS!$B$3:$B$3002,0)),"SIN DESPACHO"))</f>
        <v/>
      </c>
      <c r="E562" s="42">
        <f>IF($C562="","",IFERROR(INDEX(DESPACHOS!$K$3:$K$3002,MATCH($C562,DESPACHOS!$B$3:$B$3002,0)),""))</f>
        <v/>
      </c>
      <c r="F562" s="42">
        <f>IF($C562="","",IFERROR(INDEX(DESPACHOS!$I$3:$I$3002,MATCH($C562,DESPACHOS!$B$3:$B$3002,0)),""))</f>
        <v/>
      </c>
      <c r="G562" s="42">
        <f>IF($C562="","",IFERROR(INDEX(DESPACHOS!$F$3:$F$3002,MATCH($C562,DESPACHOS!$B$3:$B$3002,0)),""))</f>
        <v/>
      </c>
      <c r="H562" s="42">
        <f>IF($C562="","",IFERROR(INDEX(DESPACHOS!$G$3:$G$3002,MATCH($C562,DESPACHOS!$B$3:$B$3002,0)),""))</f>
        <v/>
      </c>
      <c r="I562" s="39">
        <f>IF($C562="","",IFERROR(INDEX(DESPACHOS!$H$3:$H$3002,MATCH($C562,DESPACHOS!$B$3:$B$3002,0)),""))</f>
        <v/>
      </c>
      <c r="J562" s="43">
        <f>IF($C562="","",IFERROR(INDEX(DESPACHOS!$J$3:$J$3002,MATCH($C562,DESPACHOS!$B$3:$B$3002,0)),""))</f>
        <v/>
      </c>
      <c r="K562" s="39">
        <f>IF($C562="","",IF(COUNTIFS(DESPACHOS!$B$3:$B$3002,$C562)=0,"NO EXISTE",IF(COUNTIFS(DESPACHOS!$B$3:$B$3002,$C562)&gt;1,"DUPLICADO","OK")))</f>
        <v/>
      </c>
      <c r="L562" s="41" t="n"/>
      <c r="M562" s="41" t="n"/>
      <c r="N562" s="42">
        <f>IF($M562="","",IFERROR(INDEX(LISTAS!$F$3:$F$42,MATCH($M562,LISTAS!$E$3:$E$42,0)),"Por definir"))</f>
        <v/>
      </c>
      <c r="O562" s="41" t="n"/>
      <c r="P562" s="39">
        <f>IF($L562="","",IFERROR(INDEX(LISTAS!$B$3:$B$42,MATCH($L562,LISTAS!$A$3:$A$42,0)),"Media"))</f>
        <v/>
      </c>
      <c r="Q562" s="44" t="n"/>
      <c r="R562" s="45" t="n"/>
      <c r="S562" s="20">
        <f>IFERROR(IF(OR($R562="",$C562=""),"",$R562/INDEX(DESPACHOS!$M$3:$M$3002,MATCH($C562,DESPACHOS!$B$3:$B$3002,0))),"")</f>
        <v/>
      </c>
      <c r="T562" s="41" t="n"/>
      <c r="U562" s="43">
        <f>IF(OR($B562="",$L562=""),"",WORKDAY($B562,IFERROR(INDEX(LISTAS!$C$3:$C$42,MATCH($L562,LISTAS!$A$3:$A$42,0)),3)))</f>
        <v/>
      </c>
      <c r="V562" s="40" t="n"/>
      <c r="W562" s="19">
        <f>IF($B562="","",IF($V562&lt;&gt;"",$V562-$B562,TODAY()-$B562))</f>
        <v/>
      </c>
      <c r="X562" s="19">
        <f>IF(OR($B562="",$U562=""),"",IF($V562&lt;&gt;"",MAX(0,$V562-$U562),MAX(0,TODAY()-$U562)))</f>
        <v/>
      </c>
      <c r="Y562" s="39">
        <f>IF($C562="","",IF(IFERROR(INDEX(LISTAS!$I$3:$I$42,MATCH($T562,LISTAS!$H$3:$H$42,0)),"NO")="SÍ",IF(N($X562)&gt;0,"CERRADA FUERA DE SLA","CERRADA EN SLA"),IF($U562="","SIN CLASIFICAR",IF(N($X562)&gt;0,"VENCIDA",IF(TODAY()&gt;=$U562-1,"POR VENCER","EN PLAZO")))))</f>
        <v/>
      </c>
      <c r="Z562" s="41" t="n"/>
      <c r="AA562" s="41" t="n"/>
      <c r="AB562" s="41" t="n"/>
    </row>
    <row r="563">
      <c r="A563" s="39">
        <f>IF($C563="","","NOV-"&amp;TEXT(ROW()-3,"0000"))</f>
        <v/>
      </c>
      <c r="B563" s="40" t="n"/>
      <c r="C563" s="41" t="n"/>
      <c r="D563" s="42">
        <f>IF($C563="","",IFERROR(INDEX(DESPACHOS!$D$3:$D$3002,MATCH($C563,DESPACHOS!$B$3:$B$3002,0)),"SIN DESPACHO"))</f>
        <v/>
      </c>
      <c r="E563" s="42">
        <f>IF($C563="","",IFERROR(INDEX(DESPACHOS!$K$3:$K$3002,MATCH($C563,DESPACHOS!$B$3:$B$3002,0)),""))</f>
        <v/>
      </c>
      <c r="F563" s="42">
        <f>IF($C563="","",IFERROR(INDEX(DESPACHOS!$I$3:$I$3002,MATCH($C563,DESPACHOS!$B$3:$B$3002,0)),""))</f>
        <v/>
      </c>
      <c r="G563" s="42">
        <f>IF($C563="","",IFERROR(INDEX(DESPACHOS!$F$3:$F$3002,MATCH($C563,DESPACHOS!$B$3:$B$3002,0)),""))</f>
        <v/>
      </c>
      <c r="H563" s="42">
        <f>IF($C563="","",IFERROR(INDEX(DESPACHOS!$G$3:$G$3002,MATCH($C563,DESPACHOS!$B$3:$B$3002,0)),""))</f>
        <v/>
      </c>
      <c r="I563" s="39">
        <f>IF($C563="","",IFERROR(INDEX(DESPACHOS!$H$3:$H$3002,MATCH($C563,DESPACHOS!$B$3:$B$3002,0)),""))</f>
        <v/>
      </c>
      <c r="J563" s="43">
        <f>IF($C563="","",IFERROR(INDEX(DESPACHOS!$J$3:$J$3002,MATCH($C563,DESPACHOS!$B$3:$B$3002,0)),""))</f>
        <v/>
      </c>
      <c r="K563" s="39">
        <f>IF($C563="","",IF(COUNTIFS(DESPACHOS!$B$3:$B$3002,$C563)=0,"NO EXISTE",IF(COUNTIFS(DESPACHOS!$B$3:$B$3002,$C563)&gt;1,"DUPLICADO","OK")))</f>
        <v/>
      </c>
      <c r="L563" s="41" t="n"/>
      <c r="M563" s="41" t="n"/>
      <c r="N563" s="42">
        <f>IF($M563="","",IFERROR(INDEX(LISTAS!$F$3:$F$42,MATCH($M563,LISTAS!$E$3:$E$42,0)),"Por definir"))</f>
        <v/>
      </c>
      <c r="O563" s="41" t="n"/>
      <c r="P563" s="39">
        <f>IF($L563="","",IFERROR(INDEX(LISTAS!$B$3:$B$42,MATCH($L563,LISTAS!$A$3:$A$42,0)),"Media"))</f>
        <v/>
      </c>
      <c r="Q563" s="44" t="n"/>
      <c r="R563" s="45" t="n"/>
      <c r="S563" s="20">
        <f>IFERROR(IF(OR($R563="",$C563=""),"",$R563/INDEX(DESPACHOS!$M$3:$M$3002,MATCH($C563,DESPACHOS!$B$3:$B$3002,0))),"")</f>
        <v/>
      </c>
      <c r="T563" s="41" t="n"/>
      <c r="U563" s="43">
        <f>IF(OR($B563="",$L563=""),"",WORKDAY($B563,IFERROR(INDEX(LISTAS!$C$3:$C$42,MATCH($L563,LISTAS!$A$3:$A$42,0)),3)))</f>
        <v/>
      </c>
      <c r="V563" s="40" t="n"/>
      <c r="W563" s="19">
        <f>IF($B563="","",IF($V563&lt;&gt;"",$V563-$B563,TODAY()-$B563))</f>
        <v/>
      </c>
      <c r="X563" s="19">
        <f>IF(OR($B563="",$U563=""),"",IF($V563&lt;&gt;"",MAX(0,$V563-$U563),MAX(0,TODAY()-$U563)))</f>
        <v/>
      </c>
      <c r="Y563" s="39">
        <f>IF($C563="","",IF(IFERROR(INDEX(LISTAS!$I$3:$I$42,MATCH($T563,LISTAS!$H$3:$H$42,0)),"NO")="SÍ",IF(N($X563)&gt;0,"CERRADA FUERA DE SLA","CERRADA EN SLA"),IF($U563="","SIN CLASIFICAR",IF(N($X563)&gt;0,"VENCIDA",IF(TODAY()&gt;=$U563-1,"POR VENCER","EN PLAZO")))))</f>
        <v/>
      </c>
      <c r="Z563" s="41" t="n"/>
      <c r="AA563" s="41" t="n"/>
      <c r="AB563" s="41" t="n"/>
    </row>
    <row r="564">
      <c r="A564" s="39">
        <f>IF($C564="","","NOV-"&amp;TEXT(ROW()-3,"0000"))</f>
        <v/>
      </c>
      <c r="B564" s="40" t="n"/>
      <c r="C564" s="41" t="n"/>
      <c r="D564" s="42">
        <f>IF($C564="","",IFERROR(INDEX(DESPACHOS!$D$3:$D$3002,MATCH($C564,DESPACHOS!$B$3:$B$3002,0)),"SIN DESPACHO"))</f>
        <v/>
      </c>
      <c r="E564" s="42">
        <f>IF($C564="","",IFERROR(INDEX(DESPACHOS!$K$3:$K$3002,MATCH($C564,DESPACHOS!$B$3:$B$3002,0)),""))</f>
        <v/>
      </c>
      <c r="F564" s="42">
        <f>IF($C564="","",IFERROR(INDEX(DESPACHOS!$I$3:$I$3002,MATCH($C564,DESPACHOS!$B$3:$B$3002,0)),""))</f>
        <v/>
      </c>
      <c r="G564" s="42">
        <f>IF($C564="","",IFERROR(INDEX(DESPACHOS!$F$3:$F$3002,MATCH($C564,DESPACHOS!$B$3:$B$3002,0)),""))</f>
        <v/>
      </c>
      <c r="H564" s="42">
        <f>IF($C564="","",IFERROR(INDEX(DESPACHOS!$G$3:$G$3002,MATCH($C564,DESPACHOS!$B$3:$B$3002,0)),""))</f>
        <v/>
      </c>
      <c r="I564" s="39">
        <f>IF($C564="","",IFERROR(INDEX(DESPACHOS!$H$3:$H$3002,MATCH($C564,DESPACHOS!$B$3:$B$3002,0)),""))</f>
        <v/>
      </c>
      <c r="J564" s="43">
        <f>IF($C564="","",IFERROR(INDEX(DESPACHOS!$J$3:$J$3002,MATCH($C564,DESPACHOS!$B$3:$B$3002,0)),""))</f>
        <v/>
      </c>
      <c r="K564" s="39">
        <f>IF($C564="","",IF(COUNTIFS(DESPACHOS!$B$3:$B$3002,$C564)=0,"NO EXISTE",IF(COUNTIFS(DESPACHOS!$B$3:$B$3002,$C564)&gt;1,"DUPLICADO","OK")))</f>
        <v/>
      </c>
      <c r="L564" s="41" t="n"/>
      <c r="M564" s="41" t="n"/>
      <c r="N564" s="42">
        <f>IF($M564="","",IFERROR(INDEX(LISTAS!$F$3:$F$42,MATCH($M564,LISTAS!$E$3:$E$42,0)),"Por definir"))</f>
        <v/>
      </c>
      <c r="O564" s="41" t="n"/>
      <c r="P564" s="39">
        <f>IF($L564="","",IFERROR(INDEX(LISTAS!$B$3:$B$42,MATCH($L564,LISTAS!$A$3:$A$42,0)),"Media"))</f>
        <v/>
      </c>
      <c r="Q564" s="44" t="n"/>
      <c r="R564" s="45" t="n"/>
      <c r="S564" s="20">
        <f>IFERROR(IF(OR($R564="",$C564=""),"",$R564/INDEX(DESPACHOS!$M$3:$M$3002,MATCH($C564,DESPACHOS!$B$3:$B$3002,0))),"")</f>
        <v/>
      </c>
      <c r="T564" s="41" t="n"/>
      <c r="U564" s="43">
        <f>IF(OR($B564="",$L564=""),"",WORKDAY($B564,IFERROR(INDEX(LISTAS!$C$3:$C$42,MATCH($L564,LISTAS!$A$3:$A$42,0)),3)))</f>
        <v/>
      </c>
      <c r="V564" s="40" t="n"/>
      <c r="W564" s="19">
        <f>IF($B564="","",IF($V564&lt;&gt;"",$V564-$B564,TODAY()-$B564))</f>
        <v/>
      </c>
      <c r="X564" s="19">
        <f>IF(OR($B564="",$U564=""),"",IF($V564&lt;&gt;"",MAX(0,$V564-$U564),MAX(0,TODAY()-$U564)))</f>
        <v/>
      </c>
      <c r="Y564" s="39">
        <f>IF($C564="","",IF(IFERROR(INDEX(LISTAS!$I$3:$I$42,MATCH($T564,LISTAS!$H$3:$H$42,0)),"NO")="SÍ",IF(N($X564)&gt;0,"CERRADA FUERA DE SLA","CERRADA EN SLA"),IF($U564="","SIN CLASIFICAR",IF(N($X564)&gt;0,"VENCIDA",IF(TODAY()&gt;=$U564-1,"POR VENCER","EN PLAZO")))))</f>
        <v/>
      </c>
      <c r="Z564" s="41" t="n"/>
      <c r="AA564" s="41" t="n"/>
      <c r="AB564" s="41" t="n"/>
    </row>
    <row r="565">
      <c r="A565" s="39">
        <f>IF($C565="","","NOV-"&amp;TEXT(ROW()-3,"0000"))</f>
        <v/>
      </c>
      <c r="B565" s="40" t="n"/>
      <c r="C565" s="41" t="n"/>
      <c r="D565" s="42">
        <f>IF($C565="","",IFERROR(INDEX(DESPACHOS!$D$3:$D$3002,MATCH($C565,DESPACHOS!$B$3:$B$3002,0)),"SIN DESPACHO"))</f>
        <v/>
      </c>
      <c r="E565" s="42">
        <f>IF($C565="","",IFERROR(INDEX(DESPACHOS!$K$3:$K$3002,MATCH($C565,DESPACHOS!$B$3:$B$3002,0)),""))</f>
        <v/>
      </c>
      <c r="F565" s="42">
        <f>IF($C565="","",IFERROR(INDEX(DESPACHOS!$I$3:$I$3002,MATCH($C565,DESPACHOS!$B$3:$B$3002,0)),""))</f>
        <v/>
      </c>
      <c r="G565" s="42">
        <f>IF($C565="","",IFERROR(INDEX(DESPACHOS!$F$3:$F$3002,MATCH($C565,DESPACHOS!$B$3:$B$3002,0)),""))</f>
        <v/>
      </c>
      <c r="H565" s="42">
        <f>IF($C565="","",IFERROR(INDEX(DESPACHOS!$G$3:$G$3002,MATCH($C565,DESPACHOS!$B$3:$B$3002,0)),""))</f>
        <v/>
      </c>
      <c r="I565" s="39">
        <f>IF($C565="","",IFERROR(INDEX(DESPACHOS!$H$3:$H$3002,MATCH($C565,DESPACHOS!$B$3:$B$3002,0)),""))</f>
        <v/>
      </c>
      <c r="J565" s="43">
        <f>IF($C565="","",IFERROR(INDEX(DESPACHOS!$J$3:$J$3002,MATCH($C565,DESPACHOS!$B$3:$B$3002,0)),""))</f>
        <v/>
      </c>
      <c r="K565" s="39">
        <f>IF($C565="","",IF(COUNTIFS(DESPACHOS!$B$3:$B$3002,$C565)=0,"NO EXISTE",IF(COUNTIFS(DESPACHOS!$B$3:$B$3002,$C565)&gt;1,"DUPLICADO","OK")))</f>
        <v/>
      </c>
      <c r="L565" s="41" t="n"/>
      <c r="M565" s="41" t="n"/>
      <c r="N565" s="42">
        <f>IF($M565="","",IFERROR(INDEX(LISTAS!$F$3:$F$42,MATCH($M565,LISTAS!$E$3:$E$42,0)),"Por definir"))</f>
        <v/>
      </c>
      <c r="O565" s="41" t="n"/>
      <c r="P565" s="39">
        <f>IF($L565="","",IFERROR(INDEX(LISTAS!$B$3:$B$42,MATCH($L565,LISTAS!$A$3:$A$42,0)),"Media"))</f>
        <v/>
      </c>
      <c r="Q565" s="44" t="n"/>
      <c r="R565" s="45" t="n"/>
      <c r="S565" s="20">
        <f>IFERROR(IF(OR($R565="",$C565=""),"",$R565/INDEX(DESPACHOS!$M$3:$M$3002,MATCH($C565,DESPACHOS!$B$3:$B$3002,0))),"")</f>
        <v/>
      </c>
      <c r="T565" s="41" t="n"/>
      <c r="U565" s="43">
        <f>IF(OR($B565="",$L565=""),"",WORKDAY($B565,IFERROR(INDEX(LISTAS!$C$3:$C$42,MATCH($L565,LISTAS!$A$3:$A$42,0)),3)))</f>
        <v/>
      </c>
      <c r="V565" s="40" t="n"/>
      <c r="W565" s="19">
        <f>IF($B565="","",IF($V565&lt;&gt;"",$V565-$B565,TODAY()-$B565))</f>
        <v/>
      </c>
      <c r="X565" s="19">
        <f>IF(OR($B565="",$U565=""),"",IF($V565&lt;&gt;"",MAX(0,$V565-$U565),MAX(0,TODAY()-$U565)))</f>
        <v/>
      </c>
      <c r="Y565" s="39">
        <f>IF($C565="","",IF(IFERROR(INDEX(LISTAS!$I$3:$I$42,MATCH($T565,LISTAS!$H$3:$H$42,0)),"NO")="SÍ",IF(N($X565)&gt;0,"CERRADA FUERA DE SLA","CERRADA EN SLA"),IF($U565="","SIN CLASIFICAR",IF(N($X565)&gt;0,"VENCIDA",IF(TODAY()&gt;=$U565-1,"POR VENCER","EN PLAZO")))))</f>
        <v/>
      </c>
      <c r="Z565" s="41" t="n"/>
      <c r="AA565" s="41" t="n"/>
      <c r="AB565" s="41" t="n"/>
    </row>
    <row r="566">
      <c r="A566" s="39">
        <f>IF($C566="","","NOV-"&amp;TEXT(ROW()-3,"0000"))</f>
        <v/>
      </c>
      <c r="B566" s="40" t="n"/>
      <c r="C566" s="41" t="n"/>
      <c r="D566" s="42">
        <f>IF($C566="","",IFERROR(INDEX(DESPACHOS!$D$3:$D$3002,MATCH($C566,DESPACHOS!$B$3:$B$3002,0)),"SIN DESPACHO"))</f>
        <v/>
      </c>
      <c r="E566" s="42">
        <f>IF($C566="","",IFERROR(INDEX(DESPACHOS!$K$3:$K$3002,MATCH($C566,DESPACHOS!$B$3:$B$3002,0)),""))</f>
        <v/>
      </c>
      <c r="F566" s="42">
        <f>IF($C566="","",IFERROR(INDEX(DESPACHOS!$I$3:$I$3002,MATCH($C566,DESPACHOS!$B$3:$B$3002,0)),""))</f>
        <v/>
      </c>
      <c r="G566" s="42">
        <f>IF($C566="","",IFERROR(INDEX(DESPACHOS!$F$3:$F$3002,MATCH($C566,DESPACHOS!$B$3:$B$3002,0)),""))</f>
        <v/>
      </c>
      <c r="H566" s="42">
        <f>IF($C566="","",IFERROR(INDEX(DESPACHOS!$G$3:$G$3002,MATCH($C566,DESPACHOS!$B$3:$B$3002,0)),""))</f>
        <v/>
      </c>
      <c r="I566" s="39">
        <f>IF($C566="","",IFERROR(INDEX(DESPACHOS!$H$3:$H$3002,MATCH($C566,DESPACHOS!$B$3:$B$3002,0)),""))</f>
        <v/>
      </c>
      <c r="J566" s="43">
        <f>IF($C566="","",IFERROR(INDEX(DESPACHOS!$J$3:$J$3002,MATCH($C566,DESPACHOS!$B$3:$B$3002,0)),""))</f>
        <v/>
      </c>
      <c r="K566" s="39">
        <f>IF($C566="","",IF(COUNTIFS(DESPACHOS!$B$3:$B$3002,$C566)=0,"NO EXISTE",IF(COUNTIFS(DESPACHOS!$B$3:$B$3002,$C566)&gt;1,"DUPLICADO","OK")))</f>
        <v/>
      </c>
      <c r="L566" s="41" t="n"/>
      <c r="M566" s="41" t="n"/>
      <c r="N566" s="42">
        <f>IF($M566="","",IFERROR(INDEX(LISTAS!$F$3:$F$42,MATCH($M566,LISTAS!$E$3:$E$42,0)),"Por definir"))</f>
        <v/>
      </c>
      <c r="O566" s="41" t="n"/>
      <c r="P566" s="39">
        <f>IF($L566="","",IFERROR(INDEX(LISTAS!$B$3:$B$42,MATCH($L566,LISTAS!$A$3:$A$42,0)),"Media"))</f>
        <v/>
      </c>
      <c r="Q566" s="44" t="n"/>
      <c r="R566" s="45" t="n"/>
      <c r="S566" s="20">
        <f>IFERROR(IF(OR($R566="",$C566=""),"",$R566/INDEX(DESPACHOS!$M$3:$M$3002,MATCH($C566,DESPACHOS!$B$3:$B$3002,0))),"")</f>
        <v/>
      </c>
      <c r="T566" s="41" t="n"/>
      <c r="U566" s="43">
        <f>IF(OR($B566="",$L566=""),"",WORKDAY($B566,IFERROR(INDEX(LISTAS!$C$3:$C$42,MATCH($L566,LISTAS!$A$3:$A$42,0)),3)))</f>
        <v/>
      </c>
      <c r="V566" s="40" t="n"/>
      <c r="W566" s="19">
        <f>IF($B566="","",IF($V566&lt;&gt;"",$V566-$B566,TODAY()-$B566))</f>
        <v/>
      </c>
      <c r="X566" s="19">
        <f>IF(OR($B566="",$U566=""),"",IF($V566&lt;&gt;"",MAX(0,$V566-$U566),MAX(0,TODAY()-$U566)))</f>
        <v/>
      </c>
      <c r="Y566" s="39">
        <f>IF($C566="","",IF(IFERROR(INDEX(LISTAS!$I$3:$I$42,MATCH($T566,LISTAS!$H$3:$H$42,0)),"NO")="SÍ",IF(N($X566)&gt;0,"CERRADA FUERA DE SLA","CERRADA EN SLA"),IF($U566="","SIN CLASIFICAR",IF(N($X566)&gt;0,"VENCIDA",IF(TODAY()&gt;=$U566-1,"POR VENCER","EN PLAZO")))))</f>
        <v/>
      </c>
      <c r="Z566" s="41" t="n"/>
      <c r="AA566" s="41" t="n"/>
      <c r="AB566" s="41" t="n"/>
    </row>
    <row r="567">
      <c r="A567" s="39">
        <f>IF($C567="","","NOV-"&amp;TEXT(ROW()-3,"0000"))</f>
        <v/>
      </c>
      <c r="B567" s="40" t="n"/>
      <c r="C567" s="41" t="n"/>
      <c r="D567" s="42">
        <f>IF($C567="","",IFERROR(INDEX(DESPACHOS!$D$3:$D$3002,MATCH($C567,DESPACHOS!$B$3:$B$3002,0)),"SIN DESPACHO"))</f>
        <v/>
      </c>
      <c r="E567" s="42">
        <f>IF($C567="","",IFERROR(INDEX(DESPACHOS!$K$3:$K$3002,MATCH($C567,DESPACHOS!$B$3:$B$3002,0)),""))</f>
        <v/>
      </c>
      <c r="F567" s="42">
        <f>IF($C567="","",IFERROR(INDEX(DESPACHOS!$I$3:$I$3002,MATCH($C567,DESPACHOS!$B$3:$B$3002,0)),""))</f>
        <v/>
      </c>
      <c r="G567" s="42">
        <f>IF($C567="","",IFERROR(INDEX(DESPACHOS!$F$3:$F$3002,MATCH($C567,DESPACHOS!$B$3:$B$3002,0)),""))</f>
        <v/>
      </c>
      <c r="H567" s="42">
        <f>IF($C567="","",IFERROR(INDEX(DESPACHOS!$G$3:$G$3002,MATCH($C567,DESPACHOS!$B$3:$B$3002,0)),""))</f>
        <v/>
      </c>
      <c r="I567" s="39">
        <f>IF($C567="","",IFERROR(INDEX(DESPACHOS!$H$3:$H$3002,MATCH($C567,DESPACHOS!$B$3:$B$3002,0)),""))</f>
        <v/>
      </c>
      <c r="J567" s="43">
        <f>IF($C567="","",IFERROR(INDEX(DESPACHOS!$J$3:$J$3002,MATCH($C567,DESPACHOS!$B$3:$B$3002,0)),""))</f>
        <v/>
      </c>
      <c r="K567" s="39">
        <f>IF($C567="","",IF(COUNTIFS(DESPACHOS!$B$3:$B$3002,$C567)=0,"NO EXISTE",IF(COUNTIFS(DESPACHOS!$B$3:$B$3002,$C567)&gt;1,"DUPLICADO","OK")))</f>
        <v/>
      </c>
      <c r="L567" s="41" t="n"/>
      <c r="M567" s="41" t="n"/>
      <c r="N567" s="42">
        <f>IF($M567="","",IFERROR(INDEX(LISTAS!$F$3:$F$42,MATCH($M567,LISTAS!$E$3:$E$42,0)),"Por definir"))</f>
        <v/>
      </c>
      <c r="O567" s="41" t="n"/>
      <c r="P567" s="39">
        <f>IF($L567="","",IFERROR(INDEX(LISTAS!$B$3:$B$42,MATCH($L567,LISTAS!$A$3:$A$42,0)),"Media"))</f>
        <v/>
      </c>
      <c r="Q567" s="44" t="n"/>
      <c r="R567" s="45" t="n"/>
      <c r="S567" s="20">
        <f>IFERROR(IF(OR($R567="",$C567=""),"",$R567/INDEX(DESPACHOS!$M$3:$M$3002,MATCH($C567,DESPACHOS!$B$3:$B$3002,0))),"")</f>
        <v/>
      </c>
      <c r="T567" s="41" t="n"/>
      <c r="U567" s="43">
        <f>IF(OR($B567="",$L567=""),"",WORKDAY($B567,IFERROR(INDEX(LISTAS!$C$3:$C$42,MATCH($L567,LISTAS!$A$3:$A$42,0)),3)))</f>
        <v/>
      </c>
      <c r="V567" s="40" t="n"/>
      <c r="W567" s="19">
        <f>IF($B567="","",IF($V567&lt;&gt;"",$V567-$B567,TODAY()-$B567))</f>
        <v/>
      </c>
      <c r="X567" s="19">
        <f>IF(OR($B567="",$U567=""),"",IF($V567&lt;&gt;"",MAX(0,$V567-$U567),MAX(0,TODAY()-$U567)))</f>
        <v/>
      </c>
      <c r="Y567" s="39">
        <f>IF($C567="","",IF(IFERROR(INDEX(LISTAS!$I$3:$I$42,MATCH($T567,LISTAS!$H$3:$H$42,0)),"NO")="SÍ",IF(N($X567)&gt;0,"CERRADA FUERA DE SLA","CERRADA EN SLA"),IF($U567="","SIN CLASIFICAR",IF(N($X567)&gt;0,"VENCIDA",IF(TODAY()&gt;=$U567-1,"POR VENCER","EN PLAZO")))))</f>
        <v/>
      </c>
      <c r="Z567" s="41" t="n"/>
      <c r="AA567" s="41" t="n"/>
      <c r="AB567" s="41" t="n"/>
    </row>
    <row r="568">
      <c r="A568" s="39">
        <f>IF($C568="","","NOV-"&amp;TEXT(ROW()-3,"0000"))</f>
        <v/>
      </c>
      <c r="B568" s="40" t="n"/>
      <c r="C568" s="41" t="n"/>
      <c r="D568" s="42">
        <f>IF($C568="","",IFERROR(INDEX(DESPACHOS!$D$3:$D$3002,MATCH($C568,DESPACHOS!$B$3:$B$3002,0)),"SIN DESPACHO"))</f>
        <v/>
      </c>
      <c r="E568" s="42">
        <f>IF($C568="","",IFERROR(INDEX(DESPACHOS!$K$3:$K$3002,MATCH($C568,DESPACHOS!$B$3:$B$3002,0)),""))</f>
        <v/>
      </c>
      <c r="F568" s="42">
        <f>IF($C568="","",IFERROR(INDEX(DESPACHOS!$I$3:$I$3002,MATCH($C568,DESPACHOS!$B$3:$B$3002,0)),""))</f>
        <v/>
      </c>
      <c r="G568" s="42">
        <f>IF($C568="","",IFERROR(INDEX(DESPACHOS!$F$3:$F$3002,MATCH($C568,DESPACHOS!$B$3:$B$3002,0)),""))</f>
        <v/>
      </c>
      <c r="H568" s="42">
        <f>IF($C568="","",IFERROR(INDEX(DESPACHOS!$G$3:$G$3002,MATCH($C568,DESPACHOS!$B$3:$B$3002,0)),""))</f>
        <v/>
      </c>
      <c r="I568" s="39">
        <f>IF($C568="","",IFERROR(INDEX(DESPACHOS!$H$3:$H$3002,MATCH($C568,DESPACHOS!$B$3:$B$3002,0)),""))</f>
        <v/>
      </c>
      <c r="J568" s="43">
        <f>IF($C568="","",IFERROR(INDEX(DESPACHOS!$J$3:$J$3002,MATCH($C568,DESPACHOS!$B$3:$B$3002,0)),""))</f>
        <v/>
      </c>
      <c r="K568" s="39">
        <f>IF($C568="","",IF(COUNTIFS(DESPACHOS!$B$3:$B$3002,$C568)=0,"NO EXISTE",IF(COUNTIFS(DESPACHOS!$B$3:$B$3002,$C568)&gt;1,"DUPLICADO","OK")))</f>
        <v/>
      </c>
      <c r="L568" s="41" t="n"/>
      <c r="M568" s="41" t="n"/>
      <c r="N568" s="42">
        <f>IF($M568="","",IFERROR(INDEX(LISTAS!$F$3:$F$42,MATCH($M568,LISTAS!$E$3:$E$42,0)),"Por definir"))</f>
        <v/>
      </c>
      <c r="O568" s="41" t="n"/>
      <c r="P568" s="39">
        <f>IF($L568="","",IFERROR(INDEX(LISTAS!$B$3:$B$42,MATCH($L568,LISTAS!$A$3:$A$42,0)),"Media"))</f>
        <v/>
      </c>
      <c r="Q568" s="44" t="n"/>
      <c r="R568" s="45" t="n"/>
      <c r="S568" s="20">
        <f>IFERROR(IF(OR($R568="",$C568=""),"",$R568/INDEX(DESPACHOS!$M$3:$M$3002,MATCH($C568,DESPACHOS!$B$3:$B$3002,0))),"")</f>
        <v/>
      </c>
      <c r="T568" s="41" t="n"/>
      <c r="U568" s="43">
        <f>IF(OR($B568="",$L568=""),"",WORKDAY($B568,IFERROR(INDEX(LISTAS!$C$3:$C$42,MATCH($L568,LISTAS!$A$3:$A$42,0)),3)))</f>
        <v/>
      </c>
      <c r="V568" s="40" t="n"/>
      <c r="W568" s="19">
        <f>IF($B568="","",IF($V568&lt;&gt;"",$V568-$B568,TODAY()-$B568))</f>
        <v/>
      </c>
      <c r="X568" s="19">
        <f>IF(OR($B568="",$U568=""),"",IF($V568&lt;&gt;"",MAX(0,$V568-$U568),MAX(0,TODAY()-$U568)))</f>
        <v/>
      </c>
      <c r="Y568" s="39">
        <f>IF($C568="","",IF(IFERROR(INDEX(LISTAS!$I$3:$I$42,MATCH($T568,LISTAS!$H$3:$H$42,0)),"NO")="SÍ",IF(N($X568)&gt;0,"CERRADA FUERA DE SLA","CERRADA EN SLA"),IF($U568="","SIN CLASIFICAR",IF(N($X568)&gt;0,"VENCIDA",IF(TODAY()&gt;=$U568-1,"POR VENCER","EN PLAZO")))))</f>
        <v/>
      </c>
      <c r="Z568" s="41" t="n"/>
      <c r="AA568" s="41" t="n"/>
      <c r="AB568" s="41" t="n"/>
    </row>
    <row r="569">
      <c r="A569" s="39">
        <f>IF($C569="","","NOV-"&amp;TEXT(ROW()-3,"0000"))</f>
        <v/>
      </c>
      <c r="B569" s="40" t="n"/>
      <c r="C569" s="41" t="n"/>
      <c r="D569" s="42">
        <f>IF($C569="","",IFERROR(INDEX(DESPACHOS!$D$3:$D$3002,MATCH($C569,DESPACHOS!$B$3:$B$3002,0)),"SIN DESPACHO"))</f>
        <v/>
      </c>
      <c r="E569" s="42">
        <f>IF($C569="","",IFERROR(INDEX(DESPACHOS!$K$3:$K$3002,MATCH($C569,DESPACHOS!$B$3:$B$3002,0)),""))</f>
        <v/>
      </c>
      <c r="F569" s="42">
        <f>IF($C569="","",IFERROR(INDEX(DESPACHOS!$I$3:$I$3002,MATCH($C569,DESPACHOS!$B$3:$B$3002,0)),""))</f>
        <v/>
      </c>
      <c r="G569" s="42">
        <f>IF($C569="","",IFERROR(INDEX(DESPACHOS!$F$3:$F$3002,MATCH($C569,DESPACHOS!$B$3:$B$3002,0)),""))</f>
        <v/>
      </c>
      <c r="H569" s="42">
        <f>IF($C569="","",IFERROR(INDEX(DESPACHOS!$G$3:$G$3002,MATCH($C569,DESPACHOS!$B$3:$B$3002,0)),""))</f>
        <v/>
      </c>
      <c r="I569" s="39">
        <f>IF($C569="","",IFERROR(INDEX(DESPACHOS!$H$3:$H$3002,MATCH($C569,DESPACHOS!$B$3:$B$3002,0)),""))</f>
        <v/>
      </c>
      <c r="J569" s="43">
        <f>IF($C569="","",IFERROR(INDEX(DESPACHOS!$J$3:$J$3002,MATCH($C569,DESPACHOS!$B$3:$B$3002,0)),""))</f>
        <v/>
      </c>
      <c r="K569" s="39">
        <f>IF($C569="","",IF(COUNTIFS(DESPACHOS!$B$3:$B$3002,$C569)=0,"NO EXISTE",IF(COUNTIFS(DESPACHOS!$B$3:$B$3002,$C569)&gt;1,"DUPLICADO","OK")))</f>
        <v/>
      </c>
      <c r="L569" s="41" t="n"/>
      <c r="M569" s="41" t="n"/>
      <c r="N569" s="42">
        <f>IF($M569="","",IFERROR(INDEX(LISTAS!$F$3:$F$42,MATCH($M569,LISTAS!$E$3:$E$42,0)),"Por definir"))</f>
        <v/>
      </c>
      <c r="O569" s="41" t="n"/>
      <c r="P569" s="39">
        <f>IF($L569="","",IFERROR(INDEX(LISTAS!$B$3:$B$42,MATCH($L569,LISTAS!$A$3:$A$42,0)),"Media"))</f>
        <v/>
      </c>
      <c r="Q569" s="44" t="n"/>
      <c r="R569" s="45" t="n"/>
      <c r="S569" s="20">
        <f>IFERROR(IF(OR($R569="",$C569=""),"",$R569/INDEX(DESPACHOS!$M$3:$M$3002,MATCH($C569,DESPACHOS!$B$3:$B$3002,0))),"")</f>
        <v/>
      </c>
      <c r="T569" s="41" t="n"/>
      <c r="U569" s="43">
        <f>IF(OR($B569="",$L569=""),"",WORKDAY($B569,IFERROR(INDEX(LISTAS!$C$3:$C$42,MATCH($L569,LISTAS!$A$3:$A$42,0)),3)))</f>
        <v/>
      </c>
      <c r="V569" s="40" t="n"/>
      <c r="W569" s="19">
        <f>IF($B569="","",IF($V569&lt;&gt;"",$V569-$B569,TODAY()-$B569))</f>
        <v/>
      </c>
      <c r="X569" s="19">
        <f>IF(OR($B569="",$U569=""),"",IF($V569&lt;&gt;"",MAX(0,$V569-$U569),MAX(0,TODAY()-$U569)))</f>
        <v/>
      </c>
      <c r="Y569" s="39">
        <f>IF($C569="","",IF(IFERROR(INDEX(LISTAS!$I$3:$I$42,MATCH($T569,LISTAS!$H$3:$H$42,0)),"NO")="SÍ",IF(N($X569)&gt;0,"CERRADA FUERA DE SLA","CERRADA EN SLA"),IF($U569="","SIN CLASIFICAR",IF(N($X569)&gt;0,"VENCIDA",IF(TODAY()&gt;=$U569-1,"POR VENCER","EN PLAZO")))))</f>
        <v/>
      </c>
      <c r="Z569" s="41" t="n"/>
      <c r="AA569" s="41" t="n"/>
      <c r="AB569" s="41" t="n"/>
    </row>
    <row r="570">
      <c r="A570" s="39">
        <f>IF($C570="","","NOV-"&amp;TEXT(ROW()-3,"0000"))</f>
        <v/>
      </c>
      <c r="B570" s="40" t="n"/>
      <c r="C570" s="41" t="n"/>
      <c r="D570" s="42">
        <f>IF($C570="","",IFERROR(INDEX(DESPACHOS!$D$3:$D$3002,MATCH($C570,DESPACHOS!$B$3:$B$3002,0)),"SIN DESPACHO"))</f>
        <v/>
      </c>
      <c r="E570" s="42">
        <f>IF($C570="","",IFERROR(INDEX(DESPACHOS!$K$3:$K$3002,MATCH($C570,DESPACHOS!$B$3:$B$3002,0)),""))</f>
        <v/>
      </c>
      <c r="F570" s="42">
        <f>IF($C570="","",IFERROR(INDEX(DESPACHOS!$I$3:$I$3002,MATCH($C570,DESPACHOS!$B$3:$B$3002,0)),""))</f>
        <v/>
      </c>
      <c r="G570" s="42">
        <f>IF($C570="","",IFERROR(INDEX(DESPACHOS!$F$3:$F$3002,MATCH($C570,DESPACHOS!$B$3:$B$3002,0)),""))</f>
        <v/>
      </c>
      <c r="H570" s="42">
        <f>IF($C570="","",IFERROR(INDEX(DESPACHOS!$G$3:$G$3002,MATCH($C570,DESPACHOS!$B$3:$B$3002,0)),""))</f>
        <v/>
      </c>
      <c r="I570" s="39">
        <f>IF($C570="","",IFERROR(INDEX(DESPACHOS!$H$3:$H$3002,MATCH($C570,DESPACHOS!$B$3:$B$3002,0)),""))</f>
        <v/>
      </c>
      <c r="J570" s="43">
        <f>IF($C570="","",IFERROR(INDEX(DESPACHOS!$J$3:$J$3002,MATCH($C570,DESPACHOS!$B$3:$B$3002,0)),""))</f>
        <v/>
      </c>
      <c r="K570" s="39">
        <f>IF($C570="","",IF(COUNTIFS(DESPACHOS!$B$3:$B$3002,$C570)=0,"NO EXISTE",IF(COUNTIFS(DESPACHOS!$B$3:$B$3002,$C570)&gt;1,"DUPLICADO","OK")))</f>
        <v/>
      </c>
      <c r="L570" s="41" t="n"/>
      <c r="M570" s="41" t="n"/>
      <c r="N570" s="42">
        <f>IF($M570="","",IFERROR(INDEX(LISTAS!$F$3:$F$42,MATCH($M570,LISTAS!$E$3:$E$42,0)),"Por definir"))</f>
        <v/>
      </c>
      <c r="O570" s="41" t="n"/>
      <c r="P570" s="39">
        <f>IF($L570="","",IFERROR(INDEX(LISTAS!$B$3:$B$42,MATCH($L570,LISTAS!$A$3:$A$42,0)),"Media"))</f>
        <v/>
      </c>
      <c r="Q570" s="44" t="n"/>
      <c r="R570" s="45" t="n"/>
      <c r="S570" s="20">
        <f>IFERROR(IF(OR($R570="",$C570=""),"",$R570/INDEX(DESPACHOS!$M$3:$M$3002,MATCH($C570,DESPACHOS!$B$3:$B$3002,0))),"")</f>
        <v/>
      </c>
      <c r="T570" s="41" t="n"/>
      <c r="U570" s="43">
        <f>IF(OR($B570="",$L570=""),"",WORKDAY($B570,IFERROR(INDEX(LISTAS!$C$3:$C$42,MATCH($L570,LISTAS!$A$3:$A$42,0)),3)))</f>
        <v/>
      </c>
      <c r="V570" s="40" t="n"/>
      <c r="W570" s="19">
        <f>IF($B570="","",IF($V570&lt;&gt;"",$V570-$B570,TODAY()-$B570))</f>
        <v/>
      </c>
      <c r="X570" s="19">
        <f>IF(OR($B570="",$U570=""),"",IF($V570&lt;&gt;"",MAX(0,$V570-$U570),MAX(0,TODAY()-$U570)))</f>
        <v/>
      </c>
      <c r="Y570" s="39">
        <f>IF($C570="","",IF(IFERROR(INDEX(LISTAS!$I$3:$I$42,MATCH($T570,LISTAS!$H$3:$H$42,0)),"NO")="SÍ",IF(N($X570)&gt;0,"CERRADA FUERA DE SLA","CERRADA EN SLA"),IF($U570="","SIN CLASIFICAR",IF(N($X570)&gt;0,"VENCIDA",IF(TODAY()&gt;=$U570-1,"POR VENCER","EN PLAZO")))))</f>
        <v/>
      </c>
      <c r="Z570" s="41" t="n"/>
      <c r="AA570" s="41" t="n"/>
      <c r="AB570" s="41" t="n"/>
    </row>
    <row r="571">
      <c r="A571" s="39">
        <f>IF($C571="","","NOV-"&amp;TEXT(ROW()-3,"0000"))</f>
        <v/>
      </c>
      <c r="B571" s="40" t="n"/>
      <c r="C571" s="41" t="n"/>
      <c r="D571" s="42">
        <f>IF($C571="","",IFERROR(INDEX(DESPACHOS!$D$3:$D$3002,MATCH($C571,DESPACHOS!$B$3:$B$3002,0)),"SIN DESPACHO"))</f>
        <v/>
      </c>
      <c r="E571" s="42">
        <f>IF($C571="","",IFERROR(INDEX(DESPACHOS!$K$3:$K$3002,MATCH($C571,DESPACHOS!$B$3:$B$3002,0)),""))</f>
        <v/>
      </c>
      <c r="F571" s="42">
        <f>IF($C571="","",IFERROR(INDEX(DESPACHOS!$I$3:$I$3002,MATCH($C571,DESPACHOS!$B$3:$B$3002,0)),""))</f>
        <v/>
      </c>
      <c r="G571" s="42">
        <f>IF($C571="","",IFERROR(INDEX(DESPACHOS!$F$3:$F$3002,MATCH($C571,DESPACHOS!$B$3:$B$3002,0)),""))</f>
        <v/>
      </c>
      <c r="H571" s="42">
        <f>IF($C571="","",IFERROR(INDEX(DESPACHOS!$G$3:$G$3002,MATCH($C571,DESPACHOS!$B$3:$B$3002,0)),""))</f>
        <v/>
      </c>
      <c r="I571" s="39">
        <f>IF($C571="","",IFERROR(INDEX(DESPACHOS!$H$3:$H$3002,MATCH($C571,DESPACHOS!$B$3:$B$3002,0)),""))</f>
        <v/>
      </c>
      <c r="J571" s="43">
        <f>IF($C571="","",IFERROR(INDEX(DESPACHOS!$J$3:$J$3002,MATCH($C571,DESPACHOS!$B$3:$B$3002,0)),""))</f>
        <v/>
      </c>
      <c r="K571" s="39">
        <f>IF($C571="","",IF(COUNTIFS(DESPACHOS!$B$3:$B$3002,$C571)=0,"NO EXISTE",IF(COUNTIFS(DESPACHOS!$B$3:$B$3002,$C571)&gt;1,"DUPLICADO","OK")))</f>
        <v/>
      </c>
      <c r="L571" s="41" t="n"/>
      <c r="M571" s="41" t="n"/>
      <c r="N571" s="42">
        <f>IF($M571="","",IFERROR(INDEX(LISTAS!$F$3:$F$42,MATCH($M571,LISTAS!$E$3:$E$42,0)),"Por definir"))</f>
        <v/>
      </c>
      <c r="O571" s="41" t="n"/>
      <c r="P571" s="39">
        <f>IF($L571="","",IFERROR(INDEX(LISTAS!$B$3:$B$42,MATCH($L571,LISTAS!$A$3:$A$42,0)),"Media"))</f>
        <v/>
      </c>
      <c r="Q571" s="44" t="n"/>
      <c r="R571" s="45" t="n"/>
      <c r="S571" s="20">
        <f>IFERROR(IF(OR($R571="",$C571=""),"",$R571/INDEX(DESPACHOS!$M$3:$M$3002,MATCH($C571,DESPACHOS!$B$3:$B$3002,0))),"")</f>
        <v/>
      </c>
      <c r="T571" s="41" t="n"/>
      <c r="U571" s="43">
        <f>IF(OR($B571="",$L571=""),"",WORKDAY($B571,IFERROR(INDEX(LISTAS!$C$3:$C$42,MATCH($L571,LISTAS!$A$3:$A$42,0)),3)))</f>
        <v/>
      </c>
      <c r="V571" s="40" t="n"/>
      <c r="W571" s="19">
        <f>IF($B571="","",IF($V571&lt;&gt;"",$V571-$B571,TODAY()-$B571))</f>
        <v/>
      </c>
      <c r="X571" s="19">
        <f>IF(OR($B571="",$U571=""),"",IF($V571&lt;&gt;"",MAX(0,$V571-$U571),MAX(0,TODAY()-$U571)))</f>
        <v/>
      </c>
      <c r="Y571" s="39">
        <f>IF($C571="","",IF(IFERROR(INDEX(LISTAS!$I$3:$I$42,MATCH($T571,LISTAS!$H$3:$H$42,0)),"NO")="SÍ",IF(N($X571)&gt;0,"CERRADA FUERA DE SLA","CERRADA EN SLA"),IF($U571="","SIN CLASIFICAR",IF(N($X571)&gt;0,"VENCIDA",IF(TODAY()&gt;=$U571-1,"POR VENCER","EN PLAZO")))))</f>
        <v/>
      </c>
      <c r="Z571" s="41" t="n"/>
      <c r="AA571" s="41" t="n"/>
      <c r="AB571" s="41" t="n"/>
    </row>
    <row r="572">
      <c r="A572" s="39">
        <f>IF($C572="","","NOV-"&amp;TEXT(ROW()-3,"0000"))</f>
        <v/>
      </c>
      <c r="B572" s="40" t="n"/>
      <c r="C572" s="41" t="n"/>
      <c r="D572" s="42">
        <f>IF($C572="","",IFERROR(INDEX(DESPACHOS!$D$3:$D$3002,MATCH($C572,DESPACHOS!$B$3:$B$3002,0)),"SIN DESPACHO"))</f>
        <v/>
      </c>
      <c r="E572" s="42">
        <f>IF($C572="","",IFERROR(INDEX(DESPACHOS!$K$3:$K$3002,MATCH($C572,DESPACHOS!$B$3:$B$3002,0)),""))</f>
        <v/>
      </c>
      <c r="F572" s="42">
        <f>IF($C572="","",IFERROR(INDEX(DESPACHOS!$I$3:$I$3002,MATCH($C572,DESPACHOS!$B$3:$B$3002,0)),""))</f>
        <v/>
      </c>
      <c r="G572" s="42">
        <f>IF($C572="","",IFERROR(INDEX(DESPACHOS!$F$3:$F$3002,MATCH($C572,DESPACHOS!$B$3:$B$3002,0)),""))</f>
        <v/>
      </c>
      <c r="H572" s="42">
        <f>IF($C572="","",IFERROR(INDEX(DESPACHOS!$G$3:$G$3002,MATCH($C572,DESPACHOS!$B$3:$B$3002,0)),""))</f>
        <v/>
      </c>
      <c r="I572" s="39">
        <f>IF($C572="","",IFERROR(INDEX(DESPACHOS!$H$3:$H$3002,MATCH($C572,DESPACHOS!$B$3:$B$3002,0)),""))</f>
        <v/>
      </c>
      <c r="J572" s="43">
        <f>IF($C572="","",IFERROR(INDEX(DESPACHOS!$J$3:$J$3002,MATCH($C572,DESPACHOS!$B$3:$B$3002,0)),""))</f>
        <v/>
      </c>
      <c r="K572" s="39">
        <f>IF($C572="","",IF(COUNTIFS(DESPACHOS!$B$3:$B$3002,$C572)=0,"NO EXISTE",IF(COUNTIFS(DESPACHOS!$B$3:$B$3002,$C572)&gt;1,"DUPLICADO","OK")))</f>
        <v/>
      </c>
      <c r="L572" s="41" t="n"/>
      <c r="M572" s="41" t="n"/>
      <c r="N572" s="42">
        <f>IF($M572="","",IFERROR(INDEX(LISTAS!$F$3:$F$42,MATCH($M572,LISTAS!$E$3:$E$42,0)),"Por definir"))</f>
        <v/>
      </c>
      <c r="O572" s="41" t="n"/>
      <c r="P572" s="39">
        <f>IF($L572="","",IFERROR(INDEX(LISTAS!$B$3:$B$42,MATCH($L572,LISTAS!$A$3:$A$42,0)),"Media"))</f>
        <v/>
      </c>
      <c r="Q572" s="44" t="n"/>
      <c r="R572" s="45" t="n"/>
      <c r="S572" s="20">
        <f>IFERROR(IF(OR($R572="",$C572=""),"",$R572/INDEX(DESPACHOS!$M$3:$M$3002,MATCH($C572,DESPACHOS!$B$3:$B$3002,0))),"")</f>
        <v/>
      </c>
      <c r="T572" s="41" t="n"/>
      <c r="U572" s="43">
        <f>IF(OR($B572="",$L572=""),"",WORKDAY($B572,IFERROR(INDEX(LISTAS!$C$3:$C$42,MATCH($L572,LISTAS!$A$3:$A$42,0)),3)))</f>
        <v/>
      </c>
      <c r="V572" s="40" t="n"/>
      <c r="W572" s="19">
        <f>IF($B572="","",IF($V572&lt;&gt;"",$V572-$B572,TODAY()-$B572))</f>
        <v/>
      </c>
      <c r="X572" s="19">
        <f>IF(OR($B572="",$U572=""),"",IF($V572&lt;&gt;"",MAX(0,$V572-$U572),MAX(0,TODAY()-$U572)))</f>
        <v/>
      </c>
      <c r="Y572" s="39">
        <f>IF($C572="","",IF(IFERROR(INDEX(LISTAS!$I$3:$I$42,MATCH($T572,LISTAS!$H$3:$H$42,0)),"NO")="SÍ",IF(N($X572)&gt;0,"CERRADA FUERA DE SLA","CERRADA EN SLA"),IF($U572="","SIN CLASIFICAR",IF(N($X572)&gt;0,"VENCIDA",IF(TODAY()&gt;=$U572-1,"POR VENCER","EN PLAZO")))))</f>
        <v/>
      </c>
      <c r="Z572" s="41" t="n"/>
      <c r="AA572" s="41" t="n"/>
      <c r="AB572" s="41" t="n"/>
    </row>
    <row r="573">
      <c r="A573" s="39">
        <f>IF($C573="","","NOV-"&amp;TEXT(ROW()-3,"0000"))</f>
        <v/>
      </c>
      <c r="B573" s="40" t="n"/>
      <c r="C573" s="41" t="n"/>
      <c r="D573" s="42">
        <f>IF($C573="","",IFERROR(INDEX(DESPACHOS!$D$3:$D$3002,MATCH($C573,DESPACHOS!$B$3:$B$3002,0)),"SIN DESPACHO"))</f>
        <v/>
      </c>
      <c r="E573" s="42">
        <f>IF($C573="","",IFERROR(INDEX(DESPACHOS!$K$3:$K$3002,MATCH($C573,DESPACHOS!$B$3:$B$3002,0)),""))</f>
        <v/>
      </c>
      <c r="F573" s="42">
        <f>IF($C573="","",IFERROR(INDEX(DESPACHOS!$I$3:$I$3002,MATCH($C573,DESPACHOS!$B$3:$B$3002,0)),""))</f>
        <v/>
      </c>
      <c r="G573" s="42">
        <f>IF($C573="","",IFERROR(INDEX(DESPACHOS!$F$3:$F$3002,MATCH($C573,DESPACHOS!$B$3:$B$3002,0)),""))</f>
        <v/>
      </c>
      <c r="H573" s="42">
        <f>IF($C573="","",IFERROR(INDEX(DESPACHOS!$G$3:$G$3002,MATCH($C573,DESPACHOS!$B$3:$B$3002,0)),""))</f>
        <v/>
      </c>
      <c r="I573" s="39">
        <f>IF($C573="","",IFERROR(INDEX(DESPACHOS!$H$3:$H$3002,MATCH($C573,DESPACHOS!$B$3:$B$3002,0)),""))</f>
        <v/>
      </c>
      <c r="J573" s="43">
        <f>IF($C573="","",IFERROR(INDEX(DESPACHOS!$J$3:$J$3002,MATCH($C573,DESPACHOS!$B$3:$B$3002,0)),""))</f>
        <v/>
      </c>
      <c r="K573" s="39">
        <f>IF($C573="","",IF(COUNTIFS(DESPACHOS!$B$3:$B$3002,$C573)=0,"NO EXISTE",IF(COUNTIFS(DESPACHOS!$B$3:$B$3002,$C573)&gt;1,"DUPLICADO","OK")))</f>
        <v/>
      </c>
      <c r="L573" s="41" t="n"/>
      <c r="M573" s="41" t="n"/>
      <c r="N573" s="42">
        <f>IF($M573="","",IFERROR(INDEX(LISTAS!$F$3:$F$42,MATCH($M573,LISTAS!$E$3:$E$42,0)),"Por definir"))</f>
        <v/>
      </c>
      <c r="O573" s="41" t="n"/>
      <c r="P573" s="39">
        <f>IF($L573="","",IFERROR(INDEX(LISTAS!$B$3:$B$42,MATCH($L573,LISTAS!$A$3:$A$42,0)),"Media"))</f>
        <v/>
      </c>
      <c r="Q573" s="44" t="n"/>
      <c r="R573" s="45" t="n"/>
      <c r="S573" s="20">
        <f>IFERROR(IF(OR($R573="",$C573=""),"",$R573/INDEX(DESPACHOS!$M$3:$M$3002,MATCH($C573,DESPACHOS!$B$3:$B$3002,0))),"")</f>
        <v/>
      </c>
      <c r="T573" s="41" t="n"/>
      <c r="U573" s="43">
        <f>IF(OR($B573="",$L573=""),"",WORKDAY($B573,IFERROR(INDEX(LISTAS!$C$3:$C$42,MATCH($L573,LISTAS!$A$3:$A$42,0)),3)))</f>
        <v/>
      </c>
      <c r="V573" s="40" t="n"/>
      <c r="W573" s="19">
        <f>IF($B573="","",IF($V573&lt;&gt;"",$V573-$B573,TODAY()-$B573))</f>
        <v/>
      </c>
      <c r="X573" s="19">
        <f>IF(OR($B573="",$U573=""),"",IF($V573&lt;&gt;"",MAX(0,$V573-$U573),MAX(0,TODAY()-$U573)))</f>
        <v/>
      </c>
      <c r="Y573" s="39">
        <f>IF($C573="","",IF(IFERROR(INDEX(LISTAS!$I$3:$I$42,MATCH($T573,LISTAS!$H$3:$H$42,0)),"NO")="SÍ",IF(N($X573)&gt;0,"CERRADA FUERA DE SLA","CERRADA EN SLA"),IF($U573="","SIN CLASIFICAR",IF(N($X573)&gt;0,"VENCIDA",IF(TODAY()&gt;=$U573-1,"POR VENCER","EN PLAZO")))))</f>
        <v/>
      </c>
      <c r="Z573" s="41" t="n"/>
      <c r="AA573" s="41" t="n"/>
      <c r="AB573" s="41" t="n"/>
    </row>
    <row r="574">
      <c r="A574" s="39">
        <f>IF($C574="","","NOV-"&amp;TEXT(ROW()-3,"0000"))</f>
        <v/>
      </c>
      <c r="B574" s="40" t="n"/>
      <c r="C574" s="41" t="n"/>
      <c r="D574" s="42">
        <f>IF($C574="","",IFERROR(INDEX(DESPACHOS!$D$3:$D$3002,MATCH($C574,DESPACHOS!$B$3:$B$3002,0)),"SIN DESPACHO"))</f>
        <v/>
      </c>
      <c r="E574" s="42">
        <f>IF($C574="","",IFERROR(INDEX(DESPACHOS!$K$3:$K$3002,MATCH($C574,DESPACHOS!$B$3:$B$3002,0)),""))</f>
        <v/>
      </c>
      <c r="F574" s="42">
        <f>IF($C574="","",IFERROR(INDEX(DESPACHOS!$I$3:$I$3002,MATCH($C574,DESPACHOS!$B$3:$B$3002,0)),""))</f>
        <v/>
      </c>
      <c r="G574" s="42">
        <f>IF($C574="","",IFERROR(INDEX(DESPACHOS!$F$3:$F$3002,MATCH($C574,DESPACHOS!$B$3:$B$3002,0)),""))</f>
        <v/>
      </c>
      <c r="H574" s="42">
        <f>IF($C574="","",IFERROR(INDEX(DESPACHOS!$G$3:$G$3002,MATCH($C574,DESPACHOS!$B$3:$B$3002,0)),""))</f>
        <v/>
      </c>
      <c r="I574" s="39">
        <f>IF($C574="","",IFERROR(INDEX(DESPACHOS!$H$3:$H$3002,MATCH($C574,DESPACHOS!$B$3:$B$3002,0)),""))</f>
        <v/>
      </c>
      <c r="J574" s="43">
        <f>IF($C574="","",IFERROR(INDEX(DESPACHOS!$J$3:$J$3002,MATCH($C574,DESPACHOS!$B$3:$B$3002,0)),""))</f>
        <v/>
      </c>
      <c r="K574" s="39">
        <f>IF($C574="","",IF(COUNTIFS(DESPACHOS!$B$3:$B$3002,$C574)=0,"NO EXISTE",IF(COUNTIFS(DESPACHOS!$B$3:$B$3002,$C574)&gt;1,"DUPLICADO","OK")))</f>
        <v/>
      </c>
      <c r="L574" s="41" t="n"/>
      <c r="M574" s="41" t="n"/>
      <c r="N574" s="42">
        <f>IF($M574="","",IFERROR(INDEX(LISTAS!$F$3:$F$42,MATCH($M574,LISTAS!$E$3:$E$42,0)),"Por definir"))</f>
        <v/>
      </c>
      <c r="O574" s="41" t="n"/>
      <c r="P574" s="39">
        <f>IF($L574="","",IFERROR(INDEX(LISTAS!$B$3:$B$42,MATCH($L574,LISTAS!$A$3:$A$42,0)),"Media"))</f>
        <v/>
      </c>
      <c r="Q574" s="44" t="n"/>
      <c r="R574" s="45" t="n"/>
      <c r="S574" s="20">
        <f>IFERROR(IF(OR($R574="",$C574=""),"",$R574/INDEX(DESPACHOS!$M$3:$M$3002,MATCH($C574,DESPACHOS!$B$3:$B$3002,0))),"")</f>
        <v/>
      </c>
      <c r="T574" s="41" t="n"/>
      <c r="U574" s="43">
        <f>IF(OR($B574="",$L574=""),"",WORKDAY($B574,IFERROR(INDEX(LISTAS!$C$3:$C$42,MATCH($L574,LISTAS!$A$3:$A$42,0)),3)))</f>
        <v/>
      </c>
      <c r="V574" s="40" t="n"/>
      <c r="W574" s="19">
        <f>IF($B574="","",IF($V574&lt;&gt;"",$V574-$B574,TODAY()-$B574))</f>
        <v/>
      </c>
      <c r="X574" s="19">
        <f>IF(OR($B574="",$U574=""),"",IF($V574&lt;&gt;"",MAX(0,$V574-$U574),MAX(0,TODAY()-$U574)))</f>
        <v/>
      </c>
      <c r="Y574" s="39">
        <f>IF($C574="","",IF(IFERROR(INDEX(LISTAS!$I$3:$I$42,MATCH($T574,LISTAS!$H$3:$H$42,0)),"NO")="SÍ",IF(N($X574)&gt;0,"CERRADA FUERA DE SLA","CERRADA EN SLA"),IF($U574="","SIN CLASIFICAR",IF(N($X574)&gt;0,"VENCIDA",IF(TODAY()&gt;=$U574-1,"POR VENCER","EN PLAZO")))))</f>
        <v/>
      </c>
      <c r="Z574" s="41" t="n"/>
      <c r="AA574" s="41" t="n"/>
      <c r="AB574" s="41" t="n"/>
    </row>
    <row r="575">
      <c r="A575" s="39">
        <f>IF($C575="","","NOV-"&amp;TEXT(ROW()-3,"0000"))</f>
        <v/>
      </c>
      <c r="B575" s="40" t="n"/>
      <c r="C575" s="41" t="n"/>
      <c r="D575" s="42">
        <f>IF($C575="","",IFERROR(INDEX(DESPACHOS!$D$3:$D$3002,MATCH($C575,DESPACHOS!$B$3:$B$3002,0)),"SIN DESPACHO"))</f>
        <v/>
      </c>
      <c r="E575" s="42">
        <f>IF($C575="","",IFERROR(INDEX(DESPACHOS!$K$3:$K$3002,MATCH($C575,DESPACHOS!$B$3:$B$3002,0)),""))</f>
        <v/>
      </c>
      <c r="F575" s="42">
        <f>IF($C575="","",IFERROR(INDEX(DESPACHOS!$I$3:$I$3002,MATCH($C575,DESPACHOS!$B$3:$B$3002,0)),""))</f>
        <v/>
      </c>
      <c r="G575" s="42">
        <f>IF($C575="","",IFERROR(INDEX(DESPACHOS!$F$3:$F$3002,MATCH($C575,DESPACHOS!$B$3:$B$3002,0)),""))</f>
        <v/>
      </c>
      <c r="H575" s="42">
        <f>IF($C575="","",IFERROR(INDEX(DESPACHOS!$G$3:$G$3002,MATCH($C575,DESPACHOS!$B$3:$B$3002,0)),""))</f>
        <v/>
      </c>
      <c r="I575" s="39">
        <f>IF($C575="","",IFERROR(INDEX(DESPACHOS!$H$3:$H$3002,MATCH($C575,DESPACHOS!$B$3:$B$3002,0)),""))</f>
        <v/>
      </c>
      <c r="J575" s="43">
        <f>IF($C575="","",IFERROR(INDEX(DESPACHOS!$J$3:$J$3002,MATCH($C575,DESPACHOS!$B$3:$B$3002,0)),""))</f>
        <v/>
      </c>
      <c r="K575" s="39">
        <f>IF($C575="","",IF(COUNTIFS(DESPACHOS!$B$3:$B$3002,$C575)=0,"NO EXISTE",IF(COUNTIFS(DESPACHOS!$B$3:$B$3002,$C575)&gt;1,"DUPLICADO","OK")))</f>
        <v/>
      </c>
      <c r="L575" s="41" t="n"/>
      <c r="M575" s="41" t="n"/>
      <c r="N575" s="42">
        <f>IF($M575="","",IFERROR(INDEX(LISTAS!$F$3:$F$42,MATCH($M575,LISTAS!$E$3:$E$42,0)),"Por definir"))</f>
        <v/>
      </c>
      <c r="O575" s="41" t="n"/>
      <c r="P575" s="39">
        <f>IF($L575="","",IFERROR(INDEX(LISTAS!$B$3:$B$42,MATCH($L575,LISTAS!$A$3:$A$42,0)),"Media"))</f>
        <v/>
      </c>
      <c r="Q575" s="44" t="n"/>
      <c r="R575" s="45" t="n"/>
      <c r="S575" s="20">
        <f>IFERROR(IF(OR($R575="",$C575=""),"",$R575/INDEX(DESPACHOS!$M$3:$M$3002,MATCH($C575,DESPACHOS!$B$3:$B$3002,0))),"")</f>
        <v/>
      </c>
      <c r="T575" s="41" t="n"/>
      <c r="U575" s="43">
        <f>IF(OR($B575="",$L575=""),"",WORKDAY($B575,IFERROR(INDEX(LISTAS!$C$3:$C$42,MATCH($L575,LISTAS!$A$3:$A$42,0)),3)))</f>
        <v/>
      </c>
      <c r="V575" s="40" t="n"/>
      <c r="W575" s="19">
        <f>IF($B575="","",IF($V575&lt;&gt;"",$V575-$B575,TODAY()-$B575))</f>
        <v/>
      </c>
      <c r="X575" s="19">
        <f>IF(OR($B575="",$U575=""),"",IF($V575&lt;&gt;"",MAX(0,$V575-$U575),MAX(0,TODAY()-$U575)))</f>
        <v/>
      </c>
      <c r="Y575" s="39">
        <f>IF($C575="","",IF(IFERROR(INDEX(LISTAS!$I$3:$I$42,MATCH($T575,LISTAS!$H$3:$H$42,0)),"NO")="SÍ",IF(N($X575)&gt;0,"CERRADA FUERA DE SLA","CERRADA EN SLA"),IF($U575="","SIN CLASIFICAR",IF(N($X575)&gt;0,"VENCIDA",IF(TODAY()&gt;=$U575-1,"POR VENCER","EN PLAZO")))))</f>
        <v/>
      </c>
      <c r="Z575" s="41" t="n"/>
      <c r="AA575" s="41" t="n"/>
      <c r="AB575" s="41" t="n"/>
    </row>
    <row r="576">
      <c r="A576" s="39">
        <f>IF($C576="","","NOV-"&amp;TEXT(ROW()-3,"0000"))</f>
        <v/>
      </c>
      <c r="B576" s="40" t="n"/>
      <c r="C576" s="41" t="n"/>
      <c r="D576" s="42">
        <f>IF($C576="","",IFERROR(INDEX(DESPACHOS!$D$3:$D$3002,MATCH($C576,DESPACHOS!$B$3:$B$3002,0)),"SIN DESPACHO"))</f>
        <v/>
      </c>
      <c r="E576" s="42">
        <f>IF($C576="","",IFERROR(INDEX(DESPACHOS!$K$3:$K$3002,MATCH($C576,DESPACHOS!$B$3:$B$3002,0)),""))</f>
        <v/>
      </c>
      <c r="F576" s="42">
        <f>IF($C576="","",IFERROR(INDEX(DESPACHOS!$I$3:$I$3002,MATCH($C576,DESPACHOS!$B$3:$B$3002,0)),""))</f>
        <v/>
      </c>
      <c r="G576" s="42">
        <f>IF($C576="","",IFERROR(INDEX(DESPACHOS!$F$3:$F$3002,MATCH($C576,DESPACHOS!$B$3:$B$3002,0)),""))</f>
        <v/>
      </c>
      <c r="H576" s="42">
        <f>IF($C576="","",IFERROR(INDEX(DESPACHOS!$G$3:$G$3002,MATCH($C576,DESPACHOS!$B$3:$B$3002,0)),""))</f>
        <v/>
      </c>
      <c r="I576" s="39">
        <f>IF($C576="","",IFERROR(INDEX(DESPACHOS!$H$3:$H$3002,MATCH($C576,DESPACHOS!$B$3:$B$3002,0)),""))</f>
        <v/>
      </c>
      <c r="J576" s="43">
        <f>IF($C576="","",IFERROR(INDEX(DESPACHOS!$J$3:$J$3002,MATCH($C576,DESPACHOS!$B$3:$B$3002,0)),""))</f>
        <v/>
      </c>
      <c r="K576" s="39">
        <f>IF($C576="","",IF(COUNTIFS(DESPACHOS!$B$3:$B$3002,$C576)=0,"NO EXISTE",IF(COUNTIFS(DESPACHOS!$B$3:$B$3002,$C576)&gt;1,"DUPLICADO","OK")))</f>
        <v/>
      </c>
      <c r="L576" s="41" t="n"/>
      <c r="M576" s="41" t="n"/>
      <c r="N576" s="42">
        <f>IF($M576="","",IFERROR(INDEX(LISTAS!$F$3:$F$42,MATCH($M576,LISTAS!$E$3:$E$42,0)),"Por definir"))</f>
        <v/>
      </c>
      <c r="O576" s="41" t="n"/>
      <c r="P576" s="39">
        <f>IF($L576="","",IFERROR(INDEX(LISTAS!$B$3:$B$42,MATCH($L576,LISTAS!$A$3:$A$42,0)),"Media"))</f>
        <v/>
      </c>
      <c r="Q576" s="44" t="n"/>
      <c r="R576" s="45" t="n"/>
      <c r="S576" s="20">
        <f>IFERROR(IF(OR($R576="",$C576=""),"",$R576/INDEX(DESPACHOS!$M$3:$M$3002,MATCH($C576,DESPACHOS!$B$3:$B$3002,0))),"")</f>
        <v/>
      </c>
      <c r="T576" s="41" t="n"/>
      <c r="U576" s="43">
        <f>IF(OR($B576="",$L576=""),"",WORKDAY($B576,IFERROR(INDEX(LISTAS!$C$3:$C$42,MATCH($L576,LISTAS!$A$3:$A$42,0)),3)))</f>
        <v/>
      </c>
      <c r="V576" s="40" t="n"/>
      <c r="W576" s="19">
        <f>IF($B576="","",IF($V576&lt;&gt;"",$V576-$B576,TODAY()-$B576))</f>
        <v/>
      </c>
      <c r="X576" s="19">
        <f>IF(OR($B576="",$U576=""),"",IF($V576&lt;&gt;"",MAX(0,$V576-$U576),MAX(0,TODAY()-$U576)))</f>
        <v/>
      </c>
      <c r="Y576" s="39">
        <f>IF($C576="","",IF(IFERROR(INDEX(LISTAS!$I$3:$I$42,MATCH($T576,LISTAS!$H$3:$H$42,0)),"NO")="SÍ",IF(N($X576)&gt;0,"CERRADA FUERA DE SLA","CERRADA EN SLA"),IF($U576="","SIN CLASIFICAR",IF(N($X576)&gt;0,"VENCIDA",IF(TODAY()&gt;=$U576-1,"POR VENCER","EN PLAZO")))))</f>
        <v/>
      </c>
      <c r="Z576" s="41" t="n"/>
      <c r="AA576" s="41" t="n"/>
      <c r="AB576" s="41" t="n"/>
    </row>
    <row r="577">
      <c r="A577" s="39">
        <f>IF($C577="","","NOV-"&amp;TEXT(ROW()-3,"0000"))</f>
        <v/>
      </c>
      <c r="B577" s="40" t="n"/>
      <c r="C577" s="41" t="n"/>
      <c r="D577" s="42">
        <f>IF($C577="","",IFERROR(INDEX(DESPACHOS!$D$3:$D$3002,MATCH($C577,DESPACHOS!$B$3:$B$3002,0)),"SIN DESPACHO"))</f>
        <v/>
      </c>
      <c r="E577" s="42">
        <f>IF($C577="","",IFERROR(INDEX(DESPACHOS!$K$3:$K$3002,MATCH($C577,DESPACHOS!$B$3:$B$3002,0)),""))</f>
        <v/>
      </c>
      <c r="F577" s="42">
        <f>IF($C577="","",IFERROR(INDEX(DESPACHOS!$I$3:$I$3002,MATCH($C577,DESPACHOS!$B$3:$B$3002,0)),""))</f>
        <v/>
      </c>
      <c r="G577" s="42">
        <f>IF($C577="","",IFERROR(INDEX(DESPACHOS!$F$3:$F$3002,MATCH($C577,DESPACHOS!$B$3:$B$3002,0)),""))</f>
        <v/>
      </c>
      <c r="H577" s="42">
        <f>IF($C577="","",IFERROR(INDEX(DESPACHOS!$G$3:$G$3002,MATCH($C577,DESPACHOS!$B$3:$B$3002,0)),""))</f>
        <v/>
      </c>
      <c r="I577" s="39">
        <f>IF($C577="","",IFERROR(INDEX(DESPACHOS!$H$3:$H$3002,MATCH($C577,DESPACHOS!$B$3:$B$3002,0)),""))</f>
        <v/>
      </c>
      <c r="J577" s="43">
        <f>IF($C577="","",IFERROR(INDEX(DESPACHOS!$J$3:$J$3002,MATCH($C577,DESPACHOS!$B$3:$B$3002,0)),""))</f>
        <v/>
      </c>
      <c r="K577" s="39">
        <f>IF($C577="","",IF(COUNTIFS(DESPACHOS!$B$3:$B$3002,$C577)=0,"NO EXISTE",IF(COUNTIFS(DESPACHOS!$B$3:$B$3002,$C577)&gt;1,"DUPLICADO","OK")))</f>
        <v/>
      </c>
      <c r="L577" s="41" t="n"/>
      <c r="M577" s="41" t="n"/>
      <c r="N577" s="42">
        <f>IF($M577="","",IFERROR(INDEX(LISTAS!$F$3:$F$42,MATCH($M577,LISTAS!$E$3:$E$42,0)),"Por definir"))</f>
        <v/>
      </c>
      <c r="O577" s="41" t="n"/>
      <c r="P577" s="39">
        <f>IF($L577="","",IFERROR(INDEX(LISTAS!$B$3:$B$42,MATCH($L577,LISTAS!$A$3:$A$42,0)),"Media"))</f>
        <v/>
      </c>
      <c r="Q577" s="44" t="n"/>
      <c r="R577" s="45" t="n"/>
      <c r="S577" s="20">
        <f>IFERROR(IF(OR($R577="",$C577=""),"",$R577/INDEX(DESPACHOS!$M$3:$M$3002,MATCH($C577,DESPACHOS!$B$3:$B$3002,0))),"")</f>
        <v/>
      </c>
      <c r="T577" s="41" t="n"/>
      <c r="U577" s="43">
        <f>IF(OR($B577="",$L577=""),"",WORKDAY($B577,IFERROR(INDEX(LISTAS!$C$3:$C$42,MATCH($L577,LISTAS!$A$3:$A$42,0)),3)))</f>
        <v/>
      </c>
      <c r="V577" s="40" t="n"/>
      <c r="W577" s="19">
        <f>IF($B577="","",IF($V577&lt;&gt;"",$V577-$B577,TODAY()-$B577))</f>
        <v/>
      </c>
      <c r="X577" s="19">
        <f>IF(OR($B577="",$U577=""),"",IF($V577&lt;&gt;"",MAX(0,$V577-$U577),MAX(0,TODAY()-$U577)))</f>
        <v/>
      </c>
      <c r="Y577" s="39">
        <f>IF($C577="","",IF(IFERROR(INDEX(LISTAS!$I$3:$I$42,MATCH($T577,LISTAS!$H$3:$H$42,0)),"NO")="SÍ",IF(N($X577)&gt;0,"CERRADA FUERA DE SLA","CERRADA EN SLA"),IF($U577="","SIN CLASIFICAR",IF(N($X577)&gt;0,"VENCIDA",IF(TODAY()&gt;=$U577-1,"POR VENCER","EN PLAZO")))))</f>
        <v/>
      </c>
      <c r="Z577" s="41" t="n"/>
      <c r="AA577" s="41" t="n"/>
      <c r="AB577" s="41" t="n"/>
    </row>
    <row r="578">
      <c r="A578" s="39">
        <f>IF($C578="","","NOV-"&amp;TEXT(ROW()-3,"0000"))</f>
        <v/>
      </c>
      <c r="B578" s="40" t="n"/>
      <c r="C578" s="41" t="n"/>
      <c r="D578" s="42">
        <f>IF($C578="","",IFERROR(INDEX(DESPACHOS!$D$3:$D$3002,MATCH($C578,DESPACHOS!$B$3:$B$3002,0)),"SIN DESPACHO"))</f>
        <v/>
      </c>
      <c r="E578" s="42">
        <f>IF($C578="","",IFERROR(INDEX(DESPACHOS!$K$3:$K$3002,MATCH($C578,DESPACHOS!$B$3:$B$3002,0)),""))</f>
        <v/>
      </c>
      <c r="F578" s="42">
        <f>IF($C578="","",IFERROR(INDEX(DESPACHOS!$I$3:$I$3002,MATCH($C578,DESPACHOS!$B$3:$B$3002,0)),""))</f>
        <v/>
      </c>
      <c r="G578" s="42">
        <f>IF($C578="","",IFERROR(INDEX(DESPACHOS!$F$3:$F$3002,MATCH($C578,DESPACHOS!$B$3:$B$3002,0)),""))</f>
        <v/>
      </c>
      <c r="H578" s="42">
        <f>IF($C578="","",IFERROR(INDEX(DESPACHOS!$G$3:$G$3002,MATCH($C578,DESPACHOS!$B$3:$B$3002,0)),""))</f>
        <v/>
      </c>
      <c r="I578" s="39">
        <f>IF($C578="","",IFERROR(INDEX(DESPACHOS!$H$3:$H$3002,MATCH($C578,DESPACHOS!$B$3:$B$3002,0)),""))</f>
        <v/>
      </c>
      <c r="J578" s="43">
        <f>IF($C578="","",IFERROR(INDEX(DESPACHOS!$J$3:$J$3002,MATCH($C578,DESPACHOS!$B$3:$B$3002,0)),""))</f>
        <v/>
      </c>
      <c r="K578" s="39">
        <f>IF($C578="","",IF(COUNTIFS(DESPACHOS!$B$3:$B$3002,$C578)=0,"NO EXISTE",IF(COUNTIFS(DESPACHOS!$B$3:$B$3002,$C578)&gt;1,"DUPLICADO","OK")))</f>
        <v/>
      </c>
      <c r="L578" s="41" t="n"/>
      <c r="M578" s="41" t="n"/>
      <c r="N578" s="42">
        <f>IF($M578="","",IFERROR(INDEX(LISTAS!$F$3:$F$42,MATCH($M578,LISTAS!$E$3:$E$42,0)),"Por definir"))</f>
        <v/>
      </c>
      <c r="O578" s="41" t="n"/>
      <c r="P578" s="39">
        <f>IF($L578="","",IFERROR(INDEX(LISTAS!$B$3:$B$42,MATCH($L578,LISTAS!$A$3:$A$42,0)),"Media"))</f>
        <v/>
      </c>
      <c r="Q578" s="44" t="n"/>
      <c r="R578" s="45" t="n"/>
      <c r="S578" s="20">
        <f>IFERROR(IF(OR($R578="",$C578=""),"",$R578/INDEX(DESPACHOS!$M$3:$M$3002,MATCH($C578,DESPACHOS!$B$3:$B$3002,0))),"")</f>
        <v/>
      </c>
      <c r="T578" s="41" t="n"/>
      <c r="U578" s="43">
        <f>IF(OR($B578="",$L578=""),"",WORKDAY($B578,IFERROR(INDEX(LISTAS!$C$3:$C$42,MATCH($L578,LISTAS!$A$3:$A$42,0)),3)))</f>
        <v/>
      </c>
      <c r="V578" s="40" t="n"/>
      <c r="W578" s="19">
        <f>IF($B578="","",IF($V578&lt;&gt;"",$V578-$B578,TODAY()-$B578))</f>
        <v/>
      </c>
      <c r="X578" s="19">
        <f>IF(OR($B578="",$U578=""),"",IF($V578&lt;&gt;"",MAX(0,$V578-$U578),MAX(0,TODAY()-$U578)))</f>
        <v/>
      </c>
      <c r="Y578" s="39">
        <f>IF($C578="","",IF(IFERROR(INDEX(LISTAS!$I$3:$I$42,MATCH($T578,LISTAS!$H$3:$H$42,0)),"NO")="SÍ",IF(N($X578)&gt;0,"CERRADA FUERA DE SLA","CERRADA EN SLA"),IF($U578="","SIN CLASIFICAR",IF(N($X578)&gt;0,"VENCIDA",IF(TODAY()&gt;=$U578-1,"POR VENCER","EN PLAZO")))))</f>
        <v/>
      </c>
      <c r="Z578" s="41" t="n"/>
      <c r="AA578" s="41" t="n"/>
      <c r="AB578" s="41" t="n"/>
    </row>
    <row r="579">
      <c r="A579" s="39">
        <f>IF($C579="","","NOV-"&amp;TEXT(ROW()-3,"0000"))</f>
        <v/>
      </c>
      <c r="B579" s="40" t="n"/>
      <c r="C579" s="41" t="n"/>
      <c r="D579" s="42">
        <f>IF($C579="","",IFERROR(INDEX(DESPACHOS!$D$3:$D$3002,MATCH($C579,DESPACHOS!$B$3:$B$3002,0)),"SIN DESPACHO"))</f>
        <v/>
      </c>
      <c r="E579" s="42">
        <f>IF($C579="","",IFERROR(INDEX(DESPACHOS!$K$3:$K$3002,MATCH($C579,DESPACHOS!$B$3:$B$3002,0)),""))</f>
        <v/>
      </c>
      <c r="F579" s="42">
        <f>IF($C579="","",IFERROR(INDEX(DESPACHOS!$I$3:$I$3002,MATCH($C579,DESPACHOS!$B$3:$B$3002,0)),""))</f>
        <v/>
      </c>
      <c r="G579" s="42">
        <f>IF($C579="","",IFERROR(INDEX(DESPACHOS!$F$3:$F$3002,MATCH($C579,DESPACHOS!$B$3:$B$3002,0)),""))</f>
        <v/>
      </c>
      <c r="H579" s="42">
        <f>IF($C579="","",IFERROR(INDEX(DESPACHOS!$G$3:$G$3002,MATCH($C579,DESPACHOS!$B$3:$B$3002,0)),""))</f>
        <v/>
      </c>
      <c r="I579" s="39">
        <f>IF($C579="","",IFERROR(INDEX(DESPACHOS!$H$3:$H$3002,MATCH($C579,DESPACHOS!$B$3:$B$3002,0)),""))</f>
        <v/>
      </c>
      <c r="J579" s="43">
        <f>IF($C579="","",IFERROR(INDEX(DESPACHOS!$J$3:$J$3002,MATCH($C579,DESPACHOS!$B$3:$B$3002,0)),""))</f>
        <v/>
      </c>
      <c r="K579" s="39">
        <f>IF($C579="","",IF(COUNTIFS(DESPACHOS!$B$3:$B$3002,$C579)=0,"NO EXISTE",IF(COUNTIFS(DESPACHOS!$B$3:$B$3002,$C579)&gt;1,"DUPLICADO","OK")))</f>
        <v/>
      </c>
      <c r="L579" s="41" t="n"/>
      <c r="M579" s="41" t="n"/>
      <c r="N579" s="42">
        <f>IF($M579="","",IFERROR(INDEX(LISTAS!$F$3:$F$42,MATCH($M579,LISTAS!$E$3:$E$42,0)),"Por definir"))</f>
        <v/>
      </c>
      <c r="O579" s="41" t="n"/>
      <c r="P579" s="39">
        <f>IF($L579="","",IFERROR(INDEX(LISTAS!$B$3:$B$42,MATCH($L579,LISTAS!$A$3:$A$42,0)),"Media"))</f>
        <v/>
      </c>
      <c r="Q579" s="44" t="n"/>
      <c r="R579" s="45" t="n"/>
      <c r="S579" s="20">
        <f>IFERROR(IF(OR($R579="",$C579=""),"",$R579/INDEX(DESPACHOS!$M$3:$M$3002,MATCH($C579,DESPACHOS!$B$3:$B$3002,0))),"")</f>
        <v/>
      </c>
      <c r="T579" s="41" t="n"/>
      <c r="U579" s="43">
        <f>IF(OR($B579="",$L579=""),"",WORKDAY($B579,IFERROR(INDEX(LISTAS!$C$3:$C$42,MATCH($L579,LISTAS!$A$3:$A$42,0)),3)))</f>
        <v/>
      </c>
      <c r="V579" s="40" t="n"/>
      <c r="W579" s="19">
        <f>IF($B579="","",IF($V579&lt;&gt;"",$V579-$B579,TODAY()-$B579))</f>
        <v/>
      </c>
      <c r="X579" s="19">
        <f>IF(OR($B579="",$U579=""),"",IF($V579&lt;&gt;"",MAX(0,$V579-$U579),MAX(0,TODAY()-$U579)))</f>
        <v/>
      </c>
      <c r="Y579" s="39">
        <f>IF($C579="","",IF(IFERROR(INDEX(LISTAS!$I$3:$I$42,MATCH($T579,LISTAS!$H$3:$H$42,0)),"NO")="SÍ",IF(N($X579)&gt;0,"CERRADA FUERA DE SLA","CERRADA EN SLA"),IF($U579="","SIN CLASIFICAR",IF(N($X579)&gt;0,"VENCIDA",IF(TODAY()&gt;=$U579-1,"POR VENCER","EN PLAZO")))))</f>
        <v/>
      </c>
      <c r="Z579" s="41" t="n"/>
      <c r="AA579" s="41" t="n"/>
      <c r="AB579" s="41" t="n"/>
    </row>
    <row r="580">
      <c r="A580" s="39">
        <f>IF($C580="","","NOV-"&amp;TEXT(ROW()-3,"0000"))</f>
        <v/>
      </c>
      <c r="B580" s="40" t="n"/>
      <c r="C580" s="41" t="n"/>
      <c r="D580" s="42">
        <f>IF($C580="","",IFERROR(INDEX(DESPACHOS!$D$3:$D$3002,MATCH($C580,DESPACHOS!$B$3:$B$3002,0)),"SIN DESPACHO"))</f>
        <v/>
      </c>
      <c r="E580" s="42">
        <f>IF($C580="","",IFERROR(INDEX(DESPACHOS!$K$3:$K$3002,MATCH($C580,DESPACHOS!$B$3:$B$3002,0)),""))</f>
        <v/>
      </c>
      <c r="F580" s="42">
        <f>IF($C580="","",IFERROR(INDEX(DESPACHOS!$I$3:$I$3002,MATCH($C580,DESPACHOS!$B$3:$B$3002,0)),""))</f>
        <v/>
      </c>
      <c r="G580" s="42">
        <f>IF($C580="","",IFERROR(INDEX(DESPACHOS!$F$3:$F$3002,MATCH($C580,DESPACHOS!$B$3:$B$3002,0)),""))</f>
        <v/>
      </c>
      <c r="H580" s="42">
        <f>IF($C580="","",IFERROR(INDEX(DESPACHOS!$G$3:$G$3002,MATCH($C580,DESPACHOS!$B$3:$B$3002,0)),""))</f>
        <v/>
      </c>
      <c r="I580" s="39">
        <f>IF($C580="","",IFERROR(INDEX(DESPACHOS!$H$3:$H$3002,MATCH($C580,DESPACHOS!$B$3:$B$3002,0)),""))</f>
        <v/>
      </c>
      <c r="J580" s="43">
        <f>IF($C580="","",IFERROR(INDEX(DESPACHOS!$J$3:$J$3002,MATCH($C580,DESPACHOS!$B$3:$B$3002,0)),""))</f>
        <v/>
      </c>
      <c r="K580" s="39">
        <f>IF($C580="","",IF(COUNTIFS(DESPACHOS!$B$3:$B$3002,$C580)=0,"NO EXISTE",IF(COUNTIFS(DESPACHOS!$B$3:$B$3002,$C580)&gt;1,"DUPLICADO","OK")))</f>
        <v/>
      </c>
      <c r="L580" s="41" t="n"/>
      <c r="M580" s="41" t="n"/>
      <c r="N580" s="42">
        <f>IF($M580="","",IFERROR(INDEX(LISTAS!$F$3:$F$42,MATCH($M580,LISTAS!$E$3:$E$42,0)),"Por definir"))</f>
        <v/>
      </c>
      <c r="O580" s="41" t="n"/>
      <c r="P580" s="39">
        <f>IF($L580="","",IFERROR(INDEX(LISTAS!$B$3:$B$42,MATCH($L580,LISTAS!$A$3:$A$42,0)),"Media"))</f>
        <v/>
      </c>
      <c r="Q580" s="44" t="n"/>
      <c r="R580" s="45" t="n"/>
      <c r="S580" s="20">
        <f>IFERROR(IF(OR($R580="",$C580=""),"",$R580/INDEX(DESPACHOS!$M$3:$M$3002,MATCH($C580,DESPACHOS!$B$3:$B$3002,0))),"")</f>
        <v/>
      </c>
      <c r="T580" s="41" t="n"/>
      <c r="U580" s="43">
        <f>IF(OR($B580="",$L580=""),"",WORKDAY($B580,IFERROR(INDEX(LISTAS!$C$3:$C$42,MATCH($L580,LISTAS!$A$3:$A$42,0)),3)))</f>
        <v/>
      </c>
      <c r="V580" s="40" t="n"/>
      <c r="W580" s="19">
        <f>IF($B580="","",IF($V580&lt;&gt;"",$V580-$B580,TODAY()-$B580))</f>
        <v/>
      </c>
      <c r="X580" s="19">
        <f>IF(OR($B580="",$U580=""),"",IF($V580&lt;&gt;"",MAX(0,$V580-$U580),MAX(0,TODAY()-$U580)))</f>
        <v/>
      </c>
      <c r="Y580" s="39">
        <f>IF($C580="","",IF(IFERROR(INDEX(LISTAS!$I$3:$I$42,MATCH($T580,LISTAS!$H$3:$H$42,0)),"NO")="SÍ",IF(N($X580)&gt;0,"CERRADA FUERA DE SLA","CERRADA EN SLA"),IF($U580="","SIN CLASIFICAR",IF(N($X580)&gt;0,"VENCIDA",IF(TODAY()&gt;=$U580-1,"POR VENCER","EN PLAZO")))))</f>
        <v/>
      </c>
      <c r="Z580" s="41" t="n"/>
      <c r="AA580" s="41" t="n"/>
      <c r="AB580" s="41" t="n"/>
    </row>
    <row r="581">
      <c r="A581" s="39">
        <f>IF($C581="","","NOV-"&amp;TEXT(ROW()-3,"0000"))</f>
        <v/>
      </c>
      <c r="B581" s="40" t="n"/>
      <c r="C581" s="41" t="n"/>
      <c r="D581" s="42">
        <f>IF($C581="","",IFERROR(INDEX(DESPACHOS!$D$3:$D$3002,MATCH($C581,DESPACHOS!$B$3:$B$3002,0)),"SIN DESPACHO"))</f>
        <v/>
      </c>
      <c r="E581" s="42">
        <f>IF($C581="","",IFERROR(INDEX(DESPACHOS!$K$3:$K$3002,MATCH($C581,DESPACHOS!$B$3:$B$3002,0)),""))</f>
        <v/>
      </c>
      <c r="F581" s="42">
        <f>IF($C581="","",IFERROR(INDEX(DESPACHOS!$I$3:$I$3002,MATCH($C581,DESPACHOS!$B$3:$B$3002,0)),""))</f>
        <v/>
      </c>
      <c r="G581" s="42">
        <f>IF($C581="","",IFERROR(INDEX(DESPACHOS!$F$3:$F$3002,MATCH($C581,DESPACHOS!$B$3:$B$3002,0)),""))</f>
        <v/>
      </c>
      <c r="H581" s="42">
        <f>IF($C581="","",IFERROR(INDEX(DESPACHOS!$G$3:$G$3002,MATCH($C581,DESPACHOS!$B$3:$B$3002,0)),""))</f>
        <v/>
      </c>
      <c r="I581" s="39">
        <f>IF($C581="","",IFERROR(INDEX(DESPACHOS!$H$3:$H$3002,MATCH($C581,DESPACHOS!$B$3:$B$3002,0)),""))</f>
        <v/>
      </c>
      <c r="J581" s="43">
        <f>IF($C581="","",IFERROR(INDEX(DESPACHOS!$J$3:$J$3002,MATCH($C581,DESPACHOS!$B$3:$B$3002,0)),""))</f>
        <v/>
      </c>
      <c r="K581" s="39">
        <f>IF($C581="","",IF(COUNTIFS(DESPACHOS!$B$3:$B$3002,$C581)=0,"NO EXISTE",IF(COUNTIFS(DESPACHOS!$B$3:$B$3002,$C581)&gt;1,"DUPLICADO","OK")))</f>
        <v/>
      </c>
      <c r="L581" s="41" t="n"/>
      <c r="M581" s="41" t="n"/>
      <c r="N581" s="42">
        <f>IF($M581="","",IFERROR(INDEX(LISTAS!$F$3:$F$42,MATCH($M581,LISTAS!$E$3:$E$42,0)),"Por definir"))</f>
        <v/>
      </c>
      <c r="O581" s="41" t="n"/>
      <c r="P581" s="39">
        <f>IF($L581="","",IFERROR(INDEX(LISTAS!$B$3:$B$42,MATCH($L581,LISTAS!$A$3:$A$42,0)),"Media"))</f>
        <v/>
      </c>
      <c r="Q581" s="44" t="n"/>
      <c r="R581" s="45" t="n"/>
      <c r="S581" s="20">
        <f>IFERROR(IF(OR($R581="",$C581=""),"",$R581/INDEX(DESPACHOS!$M$3:$M$3002,MATCH($C581,DESPACHOS!$B$3:$B$3002,0))),"")</f>
        <v/>
      </c>
      <c r="T581" s="41" t="n"/>
      <c r="U581" s="43">
        <f>IF(OR($B581="",$L581=""),"",WORKDAY($B581,IFERROR(INDEX(LISTAS!$C$3:$C$42,MATCH($L581,LISTAS!$A$3:$A$42,0)),3)))</f>
        <v/>
      </c>
      <c r="V581" s="40" t="n"/>
      <c r="W581" s="19">
        <f>IF($B581="","",IF($V581&lt;&gt;"",$V581-$B581,TODAY()-$B581))</f>
        <v/>
      </c>
      <c r="X581" s="19">
        <f>IF(OR($B581="",$U581=""),"",IF($V581&lt;&gt;"",MAX(0,$V581-$U581),MAX(0,TODAY()-$U581)))</f>
        <v/>
      </c>
      <c r="Y581" s="39">
        <f>IF($C581="","",IF(IFERROR(INDEX(LISTAS!$I$3:$I$42,MATCH($T581,LISTAS!$H$3:$H$42,0)),"NO")="SÍ",IF(N($X581)&gt;0,"CERRADA FUERA DE SLA","CERRADA EN SLA"),IF($U581="","SIN CLASIFICAR",IF(N($X581)&gt;0,"VENCIDA",IF(TODAY()&gt;=$U581-1,"POR VENCER","EN PLAZO")))))</f>
        <v/>
      </c>
      <c r="Z581" s="41" t="n"/>
      <c r="AA581" s="41" t="n"/>
      <c r="AB581" s="41" t="n"/>
    </row>
    <row r="582">
      <c r="A582" s="39">
        <f>IF($C582="","","NOV-"&amp;TEXT(ROW()-3,"0000"))</f>
        <v/>
      </c>
      <c r="B582" s="40" t="n"/>
      <c r="C582" s="41" t="n"/>
      <c r="D582" s="42">
        <f>IF($C582="","",IFERROR(INDEX(DESPACHOS!$D$3:$D$3002,MATCH($C582,DESPACHOS!$B$3:$B$3002,0)),"SIN DESPACHO"))</f>
        <v/>
      </c>
      <c r="E582" s="42">
        <f>IF($C582="","",IFERROR(INDEX(DESPACHOS!$K$3:$K$3002,MATCH($C582,DESPACHOS!$B$3:$B$3002,0)),""))</f>
        <v/>
      </c>
      <c r="F582" s="42">
        <f>IF($C582="","",IFERROR(INDEX(DESPACHOS!$I$3:$I$3002,MATCH($C582,DESPACHOS!$B$3:$B$3002,0)),""))</f>
        <v/>
      </c>
      <c r="G582" s="42">
        <f>IF($C582="","",IFERROR(INDEX(DESPACHOS!$F$3:$F$3002,MATCH($C582,DESPACHOS!$B$3:$B$3002,0)),""))</f>
        <v/>
      </c>
      <c r="H582" s="42">
        <f>IF($C582="","",IFERROR(INDEX(DESPACHOS!$G$3:$G$3002,MATCH($C582,DESPACHOS!$B$3:$B$3002,0)),""))</f>
        <v/>
      </c>
      <c r="I582" s="39">
        <f>IF($C582="","",IFERROR(INDEX(DESPACHOS!$H$3:$H$3002,MATCH($C582,DESPACHOS!$B$3:$B$3002,0)),""))</f>
        <v/>
      </c>
      <c r="J582" s="43">
        <f>IF($C582="","",IFERROR(INDEX(DESPACHOS!$J$3:$J$3002,MATCH($C582,DESPACHOS!$B$3:$B$3002,0)),""))</f>
        <v/>
      </c>
      <c r="K582" s="39">
        <f>IF($C582="","",IF(COUNTIFS(DESPACHOS!$B$3:$B$3002,$C582)=0,"NO EXISTE",IF(COUNTIFS(DESPACHOS!$B$3:$B$3002,$C582)&gt;1,"DUPLICADO","OK")))</f>
        <v/>
      </c>
      <c r="L582" s="41" t="n"/>
      <c r="M582" s="41" t="n"/>
      <c r="N582" s="42">
        <f>IF($M582="","",IFERROR(INDEX(LISTAS!$F$3:$F$42,MATCH($M582,LISTAS!$E$3:$E$42,0)),"Por definir"))</f>
        <v/>
      </c>
      <c r="O582" s="41" t="n"/>
      <c r="P582" s="39">
        <f>IF($L582="","",IFERROR(INDEX(LISTAS!$B$3:$B$42,MATCH($L582,LISTAS!$A$3:$A$42,0)),"Media"))</f>
        <v/>
      </c>
      <c r="Q582" s="44" t="n"/>
      <c r="R582" s="45" t="n"/>
      <c r="S582" s="20">
        <f>IFERROR(IF(OR($R582="",$C582=""),"",$R582/INDEX(DESPACHOS!$M$3:$M$3002,MATCH($C582,DESPACHOS!$B$3:$B$3002,0))),"")</f>
        <v/>
      </c>
      <c r="T582" s="41" t="n"/>
      <c r="U582" s="43">
        <f>IF(OR($B582="",$L582=""),"",WORKDAY($B582,IFERROR(INDEX(LISTAS!$C$3:$C$42,MATCH($L582,LISTAS!$A$3:$A$42,0)),3)))</f>
        <v/>
      </c>
      <c r="V582" s="40" t="n"/>
      <c r="W582" s="19">
        <f>IF($B582="","",IF($V582&lt;&gt;"",$V582-$B582,TODAY()-$B582))</f>
        <v/>
      </c>
      <c r="X582" s="19">
        <f>IF(OR($B582="",$U582=""),"",IF($V582&lt;&gt;"",MAX(0,$V582-$U582),MAX(0,TODAY()-$U582)))</f>
        <v/>
      </c>
      <c r="Y582" s="39">
        <f>IF($C582="","",IF(IFERROR(INDEX(LISTAS!$I$3:$I$42,MATCH($T582,LISTAS!$H$3:$H$42,0)),"NO")="SÍ",IF(N($X582)&gt;0,"CERRADA FUERA DE SLA","CERRADA EN SLA"),IF($U582="","SIN CLASIFICAR",IF(N($X582)&gt;0,"VENCIDA",IF(TODAY()&gt;=$U582-1,"POR VENCER","EN PLAZO")))))</f>
        <v/>
      </c>
      <c r="Z582" s="41" t="n"/>
      <c r="AA582" s="41" t="n"/>
      <c r="AB582" s="41" t="n"/>
    </row>
    <row r="583">
      <c r="A583" s="39">
        <f>IF($C583="","","NOV-"&amp;TEXT(ROW()-3,"0000"))</f>
        <v/>
      </c>
      <c r="B583" s="40" t="n"/>
      <c r="C583" s="41" t="n"/>
      <c r="D583" s="42">
        <f>IF($C583="","",IFERROR(INDEX(DESPACHOS!$D$3:$D$3002,MATCH($C583,DESPACHOS!$B$3:$B$3002,0)),"SIN DESPACHO"))</f>
        <v/>
      </c>
      <c r="E583" s="42">
        <f>IF($C583="","",IFERROR(INDEX(DESPACHOS!$K$3:$K$3002,MATCH($C583,DESPACHOS!$B$3:$B$3002,0)),""))</f>
        <v/>
      </c>
      <c r="F583" s="42">
        <f>IF($C583="","",IFERROR(INDEX(DESPACHOS!$I$3:$I$3002,MATCH($C583,DESPACHOS!$B$3:$B$3002,0)),""))</f>
        <v/>
      </c>
      <c r="G583" s="42">
        <f>IF($C583="","",IFERROR(INDEX(DESPACHOS!$F$3:$F$3002,MATCH($C583,DESPACHOS!$B$3:$B$3002,0)),""))</f>
        <v/>
      </c>
      <c r="H583" s="42">
        <f>IF($C583="","",IFERROR(INDEX(DESPACHOS!$G$3:$G$3002,MATCH($C583,DESPACHOS!$B$3:$B$3002,0)),""))</f>
        <v/>
      </c>
      <c r="I583" s="39">
        <f>IF($C583="","",IFERROR(INDEX(DESPACHOS!$H$3:$H$3002,MATCH($C583,DESPACHOS!$B$3:$B$3002,0)),""))</f>
        <v/>
      </c>
      <c r="J583" s="43">
        <f>IF($C583="","",IFERROR(INDEX(DESPACHOS!$J$3:$J$3002,MATCH($C583,DESPACHOS!$B$3:$B$3002,0)),""))</f>
        <v/>
      </c>
      <c r="K583" s="39">
        <f>IF($C583="","",IF(COUNTIFS(DESPACHOS!$B$3:$B$3002,$C583)=0,"NO EXISTE",IF(COUNTIFS(DESPACHOS!$B$3:$B$3002,$C583)&gt;1,"DUPLICADO","OK")))</f>
        <v/>
      </c>
      <c r="L583" s="41" t="n"/>
      <c r="M583" s="41" t="n"/>
      <c r="N583" s="42">
        <f>IF($M583="","",IFERROR(INDEX(LISTAS!$F$3:$F$42,MATCH($M583,LISTAS!$E$3:$E$42,0)),"Por definir"))</f>
        <v/>
      </c>
      <c r="O583" s="41" t="n"/>
      <c r="P583" s="39">
        <f>IF($L583="","",IFERROR(INDEX(LISTAS!$B$3:$B$42,MATCH($L583,LISTAS!$A$3:$A$42,0)),"Media"))</f>
        <v/>
      </c>
      <c r="Q583" s="44" t="n"/>
      <c r="R583" s="45" t="n"/>
      <c r="S583" s="20">
        <f>IFERROR(IF(OR($R583="",$C583=""),"",$R583/INDEX(DESPACHOS!$M$3:$M$3002,MATCH($C583,DESPACHOS!$B$3:$B$3002,0))),"")</f>
        <v/>
      </c>
      <c r="T583" s="41" t="n"/>
      <c r="U583" s="43">
        <f>IF(OR($B583="",$L583=""),"",WORKDAY($B583,IFERROR(INDEX(LISTAS!$C$3:$C$42,MATCH($L583,LISTAS!$A$3:$A$42,0)),3)))</f>
        <v/>
      </c>
      <c r="V583" s="40" t="n"/>
      <c r="W583" s="19">
        <f>IF($B583="","",IF($V583&lt;&gt;"",$V583-$B583,TODAY()-$B583))</f>
        <v/>
      </c>
      <c r="X583" s="19">
        <f>IF(OR($B583="",$U583=""),"",IF($V583&lt;&gt;"",MAX(0,$V583-$U583),MAX(0,TODAY()-$U583)))</f>
        <v/>
      </c>
      <c r="Y583" s="39">
        <f>IF($C583="","",IF(IFERROR(INDEX(LISTAS!$I$3:$I$42,MATCH($T583,LISTAS!$H$3:$H$42,0)),"NO")="SÍ",IF(N($X583)&gt;0,"CERRADA FUERA DE SLA","CERRADA EN SLA"),IF($U583="","SIN CLASIFICAR",IF(N($X583)&gt;0,"VENCIDA",IF(TODAY()&gt;=$U583-1,"POR VENCER","EN PLAZO")))))</f>
        <v/>
      </c>
      <c r="Z583" s="41" t="n"/>
      <c r="AA583" s="41" t="n"/>
      <c r="AB583" s="41" t="n"/>
    </row>
    <row r="584">
      <c r="A584" s="39">
        <f>IF($C584="","","NOV-"&amp;TEXT(ROW()-3,"0000"))</f>
        <v/>
      </c>
      <c r="B584" s="40" t="n"/>
      <c r="C584" s="41" t="n"/>
      <c r="D584" s="42">
        <f>IF($C584="","",IFERROR(INDEX(DESPACHOS!$D$3:$D$3002,MATCH($C584,DESPACHOS!$B$3:$B$3002,0)),"SIN DESPACHO"))</f>
        <v/>
      </c>
      <c r="E584" s="42">
        <f>IF($C584="","",IFERROR(INDEX(DESPACHOS!$K$3:$K$3002,MATCH($C584,DESPACHOS!$B$3:$B$3002,0)),""))</f>
        <v/>
      </c>
      <c r="F584" s="42">
        <f>IF($C584="","",IFERROR(INDEX(DESPACHOS!$I$3:$I$3002,MATCH($C584,DESPACHOS!$B$3:$B$3002,0)),""))</f>
        <v/>
      </c>
      <c r="G584" s="42">
        <f>IF($C584="","",IFERROR(INDEX(DESPACHOS!$F$3:$F$3002,MATCH($C584,DESPACHOS!$B$3:$B$3002,0)),""))</f>
        <v/>
      </c>
      <c r="H584" s="42">
        <f>IF($C584="","",IFERROR(INDEX(DESPACHOS!$G$3:$G$3002,MATCH($C584,DESPACHOS!$B$3:$B$3002,0)),""))</f>
        <v/>
      </c>
      <c r="I584" s="39">
        <f>IF($C584="","",IFERROR(INDEX(DESPACHOS!$H$3:$H$3002,MATCH($C584,DESPACHOS!$B$3:$B$3002,0)),""))</f>
        <v/>
      </c>
      <c r="J584" s="43">
        <f>IF($C584="","",IFERROR(INDEX(DESPACHOS!$J$3:$J$3002,MATCH($C584,DESPACHOS!$B$3:$B$3002,0)),""))</f>
        <v/>
      </c>
      <c r="K584" s="39">
        <f>IF($C584="","",IF(COUNTIFS(DESPACHOS!$B$3:$B$3002,$C584)=0,"NO EXISTE",IF(COUNTIFS(DESPACHOS!$B$3:$B$3002,$C584)&gt;1,"DUPLICADO","OK")))</f>
        <v/>
      </c>
      <c r="L584" s="41" t="n"/>
      <c r="M584" s="41" t="n"/>
      <c r="N584" s="42">
        <f>IF($M584="","",IFERROR(INDEX(LISTAS!$F$3:$F$42,MATCH($M584,LISTAS!$E$3:$E$42,0)),"Por definir"))</f>
        <v/>
      </c>
      <c r="O584" s="41" t="n"/>
      <c r="P584" s="39">
        <f>IF($L584="","",IFERROR(INDEX(LISTAS!$B$3:$B$42,MATCH($L584,LISTAS!$A$3:$A$42,0)),"Media"))</f>
        <v/>
      </c>
      <c r="Q584" s="44" t="n"/>
      <c r="R584" s="45" t="n"/>
      <c r="S584" s="20">
        <f>IFERROR(IF(OR($R584="",$C584=""),"",$R584/INDEX(DESPACHOS!$M$3:$M$3002,MATCH($C584,DESPACHOS!$B$3:$B$3002,0))),"")</f>
        <v/>
      </c>
      <c r="T584" s="41" t="n"/>
      <c r="U584" s="43">
        <f>IF(OR($B584="",$L584=""),"",WORKDAY($B584,IFERROR(INDEX(LISTAS!$C$3:$C$42,MATCH($L584,LISTAS!$A$3:$A$42,0)),3)))</f>
        <v/>
      </c>
      <c r="V584" s="40" t="n"/>
      <c r="W584" s="19">
        <f>IF($B584="","",IF($V584&lt;&gt;"",$V584-$B584,TODAY()-$B584))</f>
        <v/>
      </c>
      <c r="X584" s="19">
        <f>IF(OR($B584="",$U584=""),"",IF($V584&lt;&gt;"",MAX(0,$V584-$U584),MAX(0,TODAY()-$U584)))</f>
        <v/>
      </c>
      <c r="Y584" s="39">
        <f>IF($C584="","",IF(IFERROR(INDEX(LISTAS!$I$3:$I$42,MATCH($T584,LISTAS!$H$3:$H$42,0)),"NO")="SÍ",IF(N($X584)&gt;0,"CERRADA FUERA DE SLA","CERRADA EN SLA"),IF($U584="","SIN CLASIFICAR",IF(N($X584)&gt;0,"VENCIDA",IF(TODAY()&gt;=$U584-1,"POR VENCER","EN PLAZO")))))</f>
        <v/>
      </c>
      <c r="Z584" s="41" t="n"/>
      <c r="AA584" s="41" t="n"/>
      <c r="AB584" s="41" t="n"/>
    </row>
    <row r="585">
      <c r="A585" s="39">
        <f>IF($C585="","","NOV-"&amp;TEXT(ROW()-3,"0000"))</f>
        <v/>
      </c>
      <c r="B585" s="40" t="n"/>
      <c r="C585" s="41" t="n"/>
      <c r="D585" s="42">
        <f>IF($C585="","",IFERROR(INDEX(DESPACHOS!$D$3:$D$3002,MATCH($C585,DESPACHOS!$B$3:$B$3002,0)),"SIN DESPACHO"))</f>
        <v/>
      </c>
      <c r="E585" s="42">
        <f>IF($C585="","",IFERROR(INDEX(DESPACHOS!$K$3:$K$3002,MATCH($C585,DESPACHOS!$B$3:$B$3002,0)),""))</f>
        <v/>
      </c>
      <c r="F585" s="42">
        <f>IF($C585="","",IFERROR(INDEX(DESPACHOS!$I$3:$I$3002,MATCH($C585,DESPACHOS!$B$3:$B$3002,0)),""))</f>
        <v/>
      </c>
      <c r="G585" s="42">
        <f>IF($C585="","",IFERROR(INDEX(DESPACHOS!$F$3:$F$3002,MATCH($C585,DESPACHOS!$B$3:$B$3002,0)),""))</f>
        <v/>
      </c>
      <c r="H585" s="42">
        <f>IF($C585="","",IFERROR(INDEX(DESPACHOS!$G$3:$G$3002,MATCH($C585,DESPACHOS!$B$3:$B$3002,0)),""))</f>
        <v/>
      </c>
      <c r="I585" s="39">
        <f>IF($C585="","",IFERROR(INDEX(DESPACHOS!$H$3:$H$3002,MATCH($C585,DESPACHOS!$B$3:$B$3002,0)),""))</f>
        <v/>
      </c>
      <c r="J585" s="43">
        <f>IF($C585="","",IFERROR(INDEX(DESPACHOS!$J$3:$J$3002,MATCH($C585,DESPACHOS!$B$3:$B$3002,0)),""))</f>
        <v/>
      </c>
      <c r="K585" s="39">
        <f>IF($C585="","",IF(COUNTIFS(DESPACHOS!$B$3:$B$3002,$C585)=0,"NO EXISTE",IF(COUNTIFS(DESPACHOS!$B$3:$B$3002,$C585)&gt;1,"DUPLICADO","OK")))</f>
        <v/>
      </c>
      <c r="L585" s="41" t="n"/>
      <c r="M585" s="41" t="n"/>
      <c r="N585" s="42">
        <f>IF($M585="","",IFERROR(INDEX(LISTAS!$F$3:$F$42,MATCH($M585,LISTAS!$E$3:$E$42,0)),"Por definir"))</f>
        <v/>
      </c>
      <c r="O585" s="41" t="n"/>
      <c r="P585" s="39">
        <f>IF($L585="","",IFERROR(INDEX(LISTAS!$B$3:$B$42,MATCH($L585,LISTAS!$A$3:$A$42,0)),"Media"))</f>
        <v/>
      </c>
      <c r="Q585" s="44" t="n"/>
      <c r="R585" s="45" t="n"/>
      <c r="S585" s="20">
        <f>IFERROR(IF(OR($R585="",$C585=""),"",$R585/INDEX(DESPACHOS!$M$3:$M$3002,MATCH($C585,DESPACHOS!$B$3:$B$3002,0))),"")</f>
        <v/>
      </c>
      <c r="T585" s="41" t="n"/>
      <c r="U585" s="43">
        <f>IF(OR($B585="",$L585=""),"",WORKDAY($B585,IFERROR(INDEX(LISTAS!$C$3:$C$42,MATCH($L585,LISTAS!$A$3:$A$42,0)),3)))</f>
        <v/>
      </c>
      <c r="V585" s="40" t="n"/>
      <c r="W585" s="19">
        <f>IF($B585="","",IF($V585&lt;&gt;"",$V585-$B585,TODAY()-$B585))</f>
        <v/>
      </c>
      <c r="X585" s="19">
        <f>IF(OR($B585="",$U585=""),"",IF($V585&lt;&gt;"",MAX(0,$V585-$U585),MAX(0,TODAY()-$U585)))</f>
        <v/>
      </c>
      <c r="Y585" s="39">
        <f>IF($C585="","",IF(IFERROR(INDEX(LISTAS!$I$3:$I$42,MATCH($T585,LISTAS!$H$3:$H$42,0)),"NO")="SÍ",IF(N($X585)&gt;0,"CERRADA FUERA DE SLA","CERRADA EN SLA"),IF($U585="","SIN CLASIFICAR",IF(N($X585)&gt;0,"VENCIDA",IF(TODAY()&gt;=$U585-1,"POR VENCER","EN PLAZO")))))</f>
        <v/>
      </c>
      <c r="Z585" s="41" t="n"/>
      <c r="AA585" s="41" t="n"/>
      <c r="AB585" s="41" t="n"/>
    </row>
    <row r="586">
      <c r="A586" s="39">
        <f>IF($C586="","","NOV-"&amp;TEXT(ROW()-3,"0000"))</f>
        <v/>
      </c>
      <c r="B586" s="40" t="n"/>
      <c r="C586" s="41" t="n"/>
      <c r="D586" s="42">
        <f>IF($C586="","",IFERROR(INDEX(DESPACHOS!$D$3:$D$3002,MATCH($C586,DESPACHOS!$B$3:$B$3002,0)),"SIN DESPACHO"))</f>
        <v/>
      </c>
      <c r="E586" s="42">
        <f>IF($C586="","",IFERROR(INDEX(DESPACHOS!$K$3:$K$3002,MATCH($C586,DESPACHOS!$B$3:$B$3002,0)),""))</f>
        <v/>
      </c>
      <c r="F586" s="42">
        <f>IF($C586="","",IFERROR(INDEX(DESPACHOS!$I$3:$I$3002,MATCH($C586,DESPACHOS!$B$3:$B$3002,0)),""))</f>
        <v/>
      </c>
      <c r="G586" s="42">
        <f>IF($C586="","",IFERROR(INDEX(DESPACHOS!$F$3:$F$3002,MATCH($C586,DESPACHOS!$B$3:$B$3002,0)),""))</f>
        <v/>
      </c>
      <c r="H586" s="42">
        <f>IF($C586="","",IFERROR(INDEX(DESPACHOS!$G$3:$G$3002,MATCH($C586,DESPACHOS!$B$3:$B$3002,0)),""))</f>
        <v/>
      </c>
      <c r="I586" s="39">
        <f>IF($C586="","",IFERROR(INDEX(DESPACHOS!$H$3:$H$3002,MATCH($C586,DESPACHOS!$B$3:$B$3002,0)),""))</f>
        <v/>
      </c>
      <c r="J586" s="43">
        <f>IF($C586="","",IFERROR(INDEX(DESPACHOS!$J$3:$J$3002,MATCH($C586,DESPACHOS!$B$3:$B$3002,0)),""))</f>
        <v/>
      </c>
      <c r="K586" s="39">
        <f>IF($C586="","",IF(COUNTIFS(DESPACHOS!$B$3:$B$3002,$C586)=0,"NO EXISTE",IF(COUNTIFS(DESPACHOS!$B$3:$B$3002,$C586)&gt;1,"DUPLICADO","OK")))</f>
        <v/>
      </c>
      <c r="L586" s="41" t="n"/>
      <c r="M586" s="41" t="n"/>
      <c r="N586" s="42">
        <f>IF($M586="","",IFERROR(INDEX(LISTAS!$F$3:$F$42,MATCH($M586,LISTAS!$E$3:$E$42,0)),"Por definir"))</f>
        <v/>
      </c>
      <c r="O586" s="41" t="n"/>
      <c r="P586" s="39">
        <f>IF($L586="","",IFERROR(INDEX(LISTAS!$B$3:$B$42,MATCH($L586,LISTAS!$A$3:$A$42,0)),"Media"))</f>
        <v/>
      </c>
      <c r="Q586" s="44" t="n"/>
      <c r="R586" s="45" t="n"/>
      <c r="S586" s="20">
        <f>IFERROR(IF(OR($R586="",$C586=""),"",$R586/INDEX(DESPACHOS!$M$3:$M$3002,MATCH($C586,DESPACHOS!$B$3:$B$3002,0))),"")</f>
        <v/>
      </c>
      <c r="T586" s="41" t="n"/>
      <c r="U586" s="43">
        <f>IF(OR($B586="",$L586=""),"",WORKDAY($B586,IFERROR(INDEX(LISTAS!$C$3:$C$42,MATCH($L586,LISTAS!$A$3:$A$42,0)),3)))</f>
        <v/>
      </c>
      <c r="V586" s="40" t="n"/>
      <c r="W586" s="19">
        <f>IF($B586="","",IF($V586&lt;&gt;"",$V586-$B586,TODAY()-$B586))</f>
        <v/>
      </c>
      <c r="X586" s="19">
        <f>IF(OR($B586="",$U586=""),"",IF($V586&lt;&gt;"",MAX(0,$V586-$U586),MAX(0,TODAY()-$U586)))</f>
        <v/>
      </c>
      <c r="Y586" s="39">
        <f>IF($C586="","",IF(IFERROR(INDEX(LISTAS!$I$3:$I$42,MATCH($T586,LISTAS!$H$3:$H$42,0)),"NO")="SÍ",IF(N($X586)&gt;0,"CERRADA FUERA DE SLA","CERRADA EN SLA"),IF($U586="","SIN CLASIFICAR",IF(N($X586)&gt;0,"VENCIDA",IF(TODAY()&gt;=$U586-1,"POR VENCER","EN PLAZO")))))</f>
        <v/>
      </c>
      <c r="Z586" s="41" t="n"/>
      <c r="AA586" s="41" t="n"/>
      <c r="AB586" s="41" t="n"/>
    </row>
    <row r="587">
      <c r="A587" s="39">
        <f>IF($C587="","","NOV-"&amp;TEXT(ROW()-3,"0000"))</f>
        <v/>
      </c>
      <c r="B587" s="40" t="n"/>
      <c r="C587" s="41" t="n"/>
      <c r="D587" s="42">
        <f>IF($C587="","",IFERROR(INDEX(DESPACHOS!$D$3:$D$3002,MATCH($C587,DESPACHOS!$B$3:$B$3002,0)),"SIN DESPACHO"))</f>
        <v/>
      </c>
      <c r="E587" s="42">
        <f>IF($C587="","",IFERROR(INDEX(DESPACHOS!$K$3:$K$3002,MATCH($C587,DESPACHOS!$B$3:$B$3002,0)),""))</f>
        <v/>
      </c>
      <c r="F587" s="42">
        <f>IF($C587="","",IFERROR(INDEX(DESPACHOS!$I$3:$I$3002,MATCH($C587,DESPACHOS!$B$3:$B$3002,0)),""))</f>
        <v/>
      </c>
      <c r="G587" s="42">
        <f>IF($C587="","",IFERROR(INDEX(DESPACHOS!$F$3:$F$3002,MATCH($C587,DESPACHOS!$B$3:$B$3002,0)),""))</f>
        <v/>
      </c>
      <c r="H587" s="42">
        <f>IF($C587="","",IFERROR(INDEX(DESPACHOS!$G$3:$G$3002,MATCH($C587,DESPACHOS!$B$3:$B$3002,0)),""))</f>
        <v/>
      </c>
      <c r="I587" s="39">
        <f>IF($C587="","",IFERROR(INDEX(DESPACHOS!$H$3:$H$3002,MATCH($C587,DESPACHOS!$B$3:$B$3002,0)),""))</f>
        <v/>
      </c>
      <c r="J587" s="43">
        <f>IF($C587="","",IFERROR(INDEX(DESPACHOS!$J$3:$J$3002,MATCH($C587,DESPACHOS!$B$3:$B$3002,0)),""))</f>
        <v/>
      </c>
      <c r="K587" s="39">
        <f>IF($C587="","",IF(COUNTIFS(DESPACHOS!$B$3:$B$3002,$C587)=0,"NO EXISTE",IF(COUNTIFS(DESPACHOS!$B$3:$B$3002,$C587)&gt;1,"DUPLICADO","OK")))</f>
        <v/>
      </c>
      <c r="L587" s="41" t="n"/>
      <c r="M587" s="41" t="n"/>
      <c r="N587" s="42">
        <f>IF($M587="","",IFERROR(INDEX(LISTAS!$F$3:$F$42,MATCH($M587,LISTAS!$E$3:$E$42,0)),"Por definir"))</f>
        <v/>
      </c>
      <c r="O587" s="41" t="n"/>
      <c r="P587" s="39">
        <f>IF($L587="","",IFERROR(INDEX(LISTAS!$B$3:$B$42,MATCH($L587,LISTAS!$A$3:$A$42,0)),"Media"))</f>
        <v/>
      </c>
      <c r="Q587" s="44" t="n"/>
      <c r="R587" s="45" t="n"/>
      <c r="S587" s="20">
        <f>IFERROR(IF(OR($R587="",$C587=""),"",$R587/INDEX(DESPACHOS!$M$3:$M$3002,MATCH($C587,DESPACHOS!$B$3:$B$3002,0))),"")</f>
        <v/>
      </c>
      <c r="T587" s="41" t="n"/>
      <c r="U587" s="43">
        <f>IF(OR($B587="",$L587=""),"",WORKDAY($B587,IFERROR(INDEX(LISTAS!$C$3:$C$42,MATCH($L587,LISTAS!$A$3:$A$42,0)),3)))</f>
        <v/>
      </c>
      <c r="V587" s="40" t="n"/>
      <c r="W587" s="19">
        <f>IF($B587="","",IF($V587&lt;&gt;"",$V587-$B587,TODAY()-$B587))</f>
        <v/>
      </c>
      <c r="X587" s="19">
        <f>IF(OR($B587="",$U587=""),"",IF($V587&lt;&gt;"",MAX(0,$V587-$U587),MAX(0,TODAY()-$U587)))</f>
        <v/>
      </c>
      <c r="Y587" s="39">
        <f>IF($C587="","",IF(IFERROR(INDEX(LISTAS!$I$3:$I$42,MATCH($T587,LISTAS!$H$3:$H$42,0)),"NO")="SÍ",IF(N($X587)&gt;0,"CERRADA FUERA DE SLA","CERRADA EN SLA"),IF($U587="","SIN CLASIFICAR",IF(N($X587)&gt;0,"VENCIDA",IF(TODAY()&gt;=$U587-1,"POR VENCER","EN PLAZO")))))</f>
        <v/>
      </c>
      <c r="Z587" s="41" t="n"/>
      <c r="AA587" s="41" t="n"/>
      <c r="AB587" s="41" t="n"/>
    </row>
    <row r="588">
      <c r="A588" s="39">
        <f>IF($C588="","","NOV-"&amp;TEXT(ROW()-3,"0000"))</f>
        <v/>
      </c>
      <c r="B588" s="40" t="n"/>
      <c r="C588" s="41" t="n"/>
      <c r="D588" s="42">
        <f>IF($C588="","",IFERROR(INDEX(DESPACHOS!$D$3:$D$3002,MATCH($C588,DESPACHOS!$B$3:$B$3002,0)),"SIN DESPACHO"))</f>
        <v/>
      </c>
      <c r="E588" s="42">
        <f>IF($C588="","",IFERROR(INDEX(DESPACHOS!$K$3:$K$3002,MATCH($C588,DESPACHOS!$B$3:$B$3002,0)),""))</f>
        <v/>
      </c>
      <c r="F588" s="42">
        <f>IF($C588="","",IFERROR(INDEX(DESPACHOS!$I$3:$I$3002,MATCH($C588,DESPACHOS!$B$3:$B$3002,0)),""))</f>
        <v/>
      </c>
      <c r="G588" s="42">
        <f>IF($C588="","",IFERROR(INDEX(DESPACHOS!$F$3:$F$3002,MATCH($C588,DESPACHOS!$B$3:$B$3002,0)),""))</f>
        <v/>
      </c>
      <c r="H588" s="42">
        <f>IF($C588="","",IFERROR(INDEX(DESPACHOS!$G$3:$G$3002,MATCH($C588,DESPACHOS!$B$3:$B$3002,0)),""))</f>
        <v/>
      </c>
      <c r="I588" s="39">
        <f>IF($C588="","",IFERROR(INDEX(DESPACHOS!$H$3:$H$3002,MATCH($C588,DESPACHOS!$B$3:$B$3002,0)),""))</f>
        <v/>
      </c>
      <c r="J588" s="43">
        <f>IF($C588="","",IFERROR(INDEX(DESPACHOS!$J$3:$J$3002,MATCH($C588,DESPACHOS!$B$3:$B$3002,0)),""))</f>
        <v/>
      </c>
      <c r="K588" s="39">
        <f>IF($C588="","",IF(COUNTIFS(DESPACHOS!$B$3:$B$3002,$C588)=0,"NO EXISTE",IF(COUNTIFS(DESPACHOS!$B$3:$B$3002,$C588)&gt;1,"DUPLICADO","OK")))</f>
        <v/>
      </c>
      <c r="L588" s="41" t="n"/>
      <c r="M588" s="41" t="n"/>
      <c r="N588" s="42">
        <f>IF($M588="","",IFERROR(INDEX(LISTAS!$F$3:$F$42,MATCH($M588,LISTAS!$E$3:$E$42,0)),"Por definir"))</f>
        <v/>
      </c>
      <c r="O588" s="41" t="n"/>
      <c r="P588" s="39">
        <f>IF($L588="","",IFERROR(INDEX(LISTAS!$B$3:$B$42,MATCH($L588,LISTAS!$A$3:$A$42,0)),"Media"))</f>
        <v/>
      </c>
      <c r="Q588" s="44" t="n"/>
      <c r="R588" s="45" t="n"/>
      <c r="S588" s="20">
        <f>IFERROR(IF(OR($R588="",$C588=""),"",$R588/INDEX(DESPACHOS!$M$3:$M$3002,MATCH($C588,DESPACHOS!$B$3:$B$3002,0))),"")</f>
        <v/>
      </c>
      <c r="T588" s="41" t="n"/>
      <c r="U588" s="43">
        <f>IF(OR($B588="",$L588=""),"",WORKDAY($B588,IFERROR(INDEX(LISTAS!$C$3:$C$42,MATCH($L588,LISTAS!$A$3:$A$42,0)),3)))</f>
        <v/>
      </c>
      <c r="V588" s="40" t="n"/>
      <c r="W588" s="19">
        <f>IF($B588="","",IF($V588&lt;&gt;"",$V588-$B588,TODAY()-$B588))</f>
        <v/>
      </c>
      <c r="X588" s="19">
        <f>IF(OR($B588="",$U588=""),"",IF($V588&lt;&gt;"",MAX(0,$V588-$U588),MAX(0,TODAY()-$U588)))</f>
        <v/>
      </c>
      <c r="Y588" s="39">
        <f>IF($C588="","",IF(IFERROR(INDEX(LISTAS!$I$3:$I$42,MATCH($T588,LISTAS!$H$3:$H$42,0)),"NO")="SÍ",IF(N($X588)&gt;0,"CERRADA FUERA DE SLA","CERRADA EN SLA"),IF($U588="","SIN CLASIFICAR",IF(N($X588)&gt;0,"VENCIDA",IF(TODAY()&gt;=$U588-1,"POR VENCER","EN PLAZO")))))</f>
        <v/>
      </c>
      <c r="Z588" s="41" t="n"/>
      <c r="AA588" s="41" t="n"/>
      <c r="AB588" s="41" t="n"/>
    </row>
    <row r="589">
      <c r="A589" s="39">
        <f>IF($C589="","","NOV-"&amp;TEXT(ROW()-3,"0000"))</f>
        <v/>
      </c>
      <c r="B589" s="40" t="n"/>
      <c r="C589" s="41" t="n"/>
      <c r="D589" s="42">
        <f>IF($C589="","",IFERROR(INDEX(DESPACHOS!$D$3:$D$3002,MATCH($C589,DESPACHOS!$B$3:$B$3002,0)),"SIN DESPACHO"))</f>
        <v/>
      </c>
      <c r="E589" s="42">
        <f>IF($C589="","",IFERROR(INDEX(DESPACHOS!$K$3:$K$3002,MATCH($C589,DESPACHOS!$B$3:$B$3002,0)),""))</f>
        <v/>
      </c>
      <c r="F589" s="42">
        <f>IF($C589="","",IFERROR(INDEX(DESPACHOS!$I$3:$I$3002,MATCH($C589,DESPACHOS!$B$3:$B$3002,0)),""))</f>
        <v/>
      </c>
      <c r="G589" s="42">
        <f>IF($C589="","",IFERROR(INDEX(DESPACHOS!$F$3:$F$3002,MATCH($C589,DESPACHOS!$B$3:$B$3002,0)),""))</f>
        <v/>
      </c>
      <c r="H589" s="42">
        <f>IF($C589="","",IFERROR(INDEX(DESPACHOS!$G$3:$G$3002,MATCH($C589,DESPACHOS!$B$3:$B$3002,0)),""))</f>
        <v/>
      </c>
      <c r="I589" s="39">
        <f>IF($C589="","",IFERROR(INDEX(DESPACHOS!$H$3:$H$3002,MATCH($C589,DESPACHOS!$B$3:$B$3002,0)),""))</f>
        <v/>
      </c>
      <c r="J589" s="43">
        <f>IF($C589="","",IFERROR(INDEX(DESPACHOS!$J$3:$J$3002,MATCH($C589,DESPACHOS!$B$3:$B$3002,0)),""))</f>
        <v/>
      </c>
      <c r="K589" s="39">
        <f>IF($C589="","",IF(COUNTIFS(DESPACHOS!$B$3:$B$3002,$C589)=0,"NO EXISTE",IF(COUNTIFS(DESPACHOS!$B$3:$B$3002,$C589)&gt;1,"DUPLICADO","OK")))</f>
        <v/>
      </c>
      <c r="L589" s="41" t="n"/>
      <c r="M589" s="41" t="n"/>
      <c r="N589" s="42">
        <f>IF($M589="","",IFERROR(INDEX(LISTAS!$F$3:$F$42,MATCH($M589,LISTAS!$E$3:$E$42,0)),"Por definir"))</f>
        <v/>
      </c>
      <c r="O589" s="41" t="n"/>
      <c r="P589" s="39">
        <f>IF($L589="","",IFERROR(INDEX(LISTAS!$B$3:$B$42,MATCH($L589,LISTAS!$A$3:$A$42,0)),"Media"))</f>
        <v/>
      </c>
      <c r="Q589" s="44" t="n"/>
      <c r="R589" s="45" t="n"/>
      <c r="S589" s="20">
        <f>IFERROR(IF(OR($R589="",$C589=""),"",$R589/INDEX(DESPACHOS!$M$3:$M$3002,MATCH($C589,DESPACHOS!$B$3:$B$3002,0))),"")</f>
        <v/>
      </c>
      <c r="T589" s="41" t="n"/>
      <c r="U589" s="43">
        <f>IF(OR($B589="",$L589=""),"",WORKDAY($B589,IFERROR(INDEX(LISTAS!$C$3:$C$42,MATCH($L589,LISTAS!$A$3:$A$42,0)),3)))</f>
        <v/>
      </c>
      <c r="V589" s="40" t="n"/>
      <c r="W589" s="19">
        <f>IF($B589="","",IF($V589&lt;&gt;"",$V589-$B589,TODAY()-$B589))</f>
        <v/>
      </c>
      <c r="X589" s="19">
        <f>IF(OR($B589="",$U589=""),"",IF($V589&lt;&gt;"",MAX(0,$V589-$U589),MAX(0,TODAY()-$U589)))</f>
        <v/>
      </c>
      <c r="Y589" s="39">
        <f>IF($C589="","",IF(IFERROR(INDEX(LISTAS!$I$3:$I$42,MATCH($T589,LISTAS!$H$3:$H$42,0)),"NO")="SÍ",IF(N($X589)&gt;0,"CERRADA FUERA DE SLA","CERRADA EN SLA"),IF($U589="","SIN CLASIFICAR",IF(N($X589)&gt;0,"VENCIDA",IF(TODAY()&gt;=$U589-1,"POR VENCER","EN PLAZO")))))</f>
        <v/>
      </c>
      <c r="Z589" s="41" t="n"/>
      <c r="AA589" s="41" t="n"/>
      <c r="AB589" s="41" t="n"/>
    </row>
    <row r="590">
      <c r="A590" s="39">
        <f>IF($C590="","","NOV-"&amp;TEXT(ROW()-3,"0000"))</f>
        <v/>
      </c>
      <c r="B590" s="40" t="n"/>
      <c r="C590" s="41" t="n"/>
      <c r="D590" s="42">
        <f>IF($C590="","",IFERROR(INDEX(DESPACHOS!$D$3:$D$3002,MATCH($C590,DESPACHOS!$B$3:$B$3002,0)),"SIN DESPACHO"))</f>
        <v/>
      </c>
      <c r="E590" s="42">
        <f>IF($C590="","",IFERROR(INDEX(DESPACHOS!$K$3:$K$3002,MATCH($C590,DESPACHOS!$B$3:$B$3002,0)),""))</f>
        <v/>
      </c>
      <c r="F590" s="42">
        <f>IF($C590="","",IFERROR(INDEX(DESPACHOS!$I$3:$I$3002,MATCH($C590,DESPACHOS!$B$3:$B$3002,0)),""))</f>
        <v/>
      </c>
      <c r="G590" s="42">
        <f>IF($C590="","",IFERROR(INDEX(DESPACHOS!$F$3:$F$3002,MATCH($C590,DESPACHOS!$B$3:$B$3002,0)),""))</f>
        <v/>
      </c>
      <c r="H590" s="42">
        <f>IF($C590="","",IFERROR(INDEX(DESPACHOS!$G$3:$G$3002,MATCH($C590,DESPACHOS!$B$3:$B$3002,0)),""))</f>
        <v/>
      </c>
      <c r="I590" s="39">
        <f>IF($C590="","",IFERROR(INDEX(DESPACHOS!$H$3:$H$3002,MATCH($C590,DESPACHOS!$B$3:$B$3002,0)),""))</f>
        <v/>
      </c>
      <c r="J590" s="43">
        <f>IF($C590="","",IFERROR(INDEX(DESPACHOS!$J$3:$J$3002,MATCH($C590,DESPACHOS!$B$3:$B$3002,0)),""))</f>
        <v/>
      </c>
      <c r="K590" s="39">
        <f>IF($C590="","",IF(COUNTIFS(DESPACHOS!$B$3:$B$3002,$C590)=0,"NO EXISTE",IF(COUNTIFS(DESPACHOS!$B$3:$B$3002,$C590)&gt;1,"DUPLICADO","OK")))</f>
        <v/>
      </c>
      <c r="L590" s="41" t="n"/>
      <c r="M590" s="41" t="n"/>
      <c r="N590" s="42">
        <f>IF($M590="","",IFERROR(INDEX(LISTAS!$F$3:$F$42,MATCH($M590,LISTAS!$E$3:$E$42,0)),"Por definir"))</f>
        <v/>
      </c>
      <c r="O590" s="41" t="n"/>
      <c r="P590" s="39">
        <f>IF($L590="","",IFERROR(INDEX(LISTAS!$B$3:$B$42,MATCH($L590,LISTAS!$A$3:$A$42,0)),"Media"))</f>
        <v/>
      </c>
      <c r="Q590" s="44" t="n"/>
      <c r="R590" s="45" t="n"/>
      <c r="S590" s="20">
        <f>IFERROR(IF(OR($R590="",$C590=""),"",$R590/INDEX(DESPACHOS!$M$3:$M$3002,MATCH($C590,DESPACHOS!$B$3:$B$3002,0))),"")</f>
        <v/>
      </c>
      <c r="T590" s="41" t="n"/>
      <c r="U590" s="43">
        <f>IF(OR($B590="",$L590=""),"",WORKDAY($B590,IFERROR(INDEX(LISTAS!$C$3:$C$42,MATCH($L590,LISTAS!$A$3:$A$42,0)),3)))</f>
        <v/>
      </c>
      <c r="V590" s="40" t="n"/>
      <c r="W590" s="19">
        <f>IF($B590="","",IF($V590&lt;&gt;"",$V590-$B590,TODAY()-$B590))</f>
        <v/>
      </c>
      <c r="X590" s="19">
        <f>IF(OR($B590="",$U590=""),"",IF($V590&lt;&gt;"",MAX(0,$V590-$U590),MAX(0,TODAY()-$U590)))</f>
        <v/>
      </c>
      <c r="Y590" s="39">
        <f>IF($C590="","",IF(IFERROR(INDEX(LISTAS!$I$3:$I$42,MATCH($T590,LISTAS!$H$3:$H$42,0)),"NO")="SÍ",IF(N($X590)&gt;0,"CERRADA FUERA DE SLA","CERRADA EN SLA"),IF($U590="","SIN CLASIFICAR",IF(N($X590)&gt;0,"VENCIDA",IF(TODAY()&gt;=$U590-1,"POR VENCER","EN PLAZO")))))</f>
        <v/>
      </c>
      <c r="Z590" s="41" t="n"/>
      <c r="AA590" s="41" t="n"/>
      <c r="AB590" s="41" t="n"/>
    </row>
    <row r="591">
      <c r="A591" s="39">
        <f>IF($C591="","","NOV-"&amp;TEXT(ROW()-3,"0000"))</f>
        <v/>
      </c>
      <c r="B591" s="40" t="n"/>
      <c r="C591" s="41" t="n"/>
      <c r="D591" s="42">
        <f>IF($C591="","",IFERROR(INDEX(DESPACHOS!$D$3:$D$3002,MATCH($C591,DESPACHOS!$B$3:$B$3002,0)),"SIN DESPACHO"))</f>
        <v/>
      </c>
      <c r="E591" s="42">
        <f>IF($C591="","",IFERROR(INDEX(DESPACHOS!$K$3:$K$3002,MATCH($C591,DESPACHOS!$B$3:$B$3002,0)),""))</f>
        <v/>
      </c>
      <c r="F591" s="42">
        <f>IF($C591="","",IFERROR(INDEX(DESPACHOS!$I$3:$I$3002,MATCH($C591,DESPACHOS!$B$3:$B$3002,0)),""))</f>
        <v/>
      </c>
      <c r="G591" s="42">
        <f>IF($C591="","",IFERROR(INDEX(DESPACHOS!$F$3:$F$3002,MATCH($C591,DESPACHOS!$B$3:$B$3002,0)),""))</f>
        <v/>
      </c>
      <c r="H591" s="42">
        <f>IF($C591="","",IFERROR(INDEX(DESPACHOS!$G$3:$G$3002,MATCH($C591,DESPACHOS!$B$3:$B$3002,0)),""))</f>
        <v/>
      </c>
      <c r="I591" s="39">
        <f>IF($C591="","",IFERROR(INDEX(DESPACHOS!$H$3:$H$3002,MATCH($C591,DESPACHOS!$B$3:$B$3002,0)),""))</f>
        <v/>
      </c>
      <c r="J591" s="43">
        <f>IF($C591="","",IFERROR(INDEX(DESPACHOS!$J$3:$J$3002,MATCH($C591,DESPACHOS!$B$3:$B$3002,0)),""))</f>
        <v/>
      </c>
      <c r="K591" s="39">
        <f>IF($C591="","",IF(COUNTIFS(DESPACHOS!$B$3:$B$3002,$C591)=0,"NO EXISTE",IF(COUNTIFS(DESPACHOS!$B$3:$B$3002,$C591)&gt;1,"DUPLICADO","OK")))</f>
        <v/>
      </c>
      <c r="L591" s="41" t="n"/>
      <c r="M591" s="41" t="n"/>
      <c r="N591" s="42">
        <f>IF($M591="","",IFERROR(INDEX(LISTAS!$F$3:$F$42,MATCH($M591,LISTAS!$E$3:$E$42,0)),"Por definir"))</f>
        <v/>
      </c>
      <c r="O591" s="41" t="n"/>
      <c r="P591" s="39">
        <f>IF($L591="","",IFERROR(INDEX(LISTAS!$B$3:$B$42,MATCH($L591,LISTAS!$A$3:$A$42,0)),"Media"))</f>
        <v/>
      </c>
      <c r="Q591" s="44" t="n"/>
      <c r="R591" s="45" t="n"/>
      <c r="S591" s="20">
        <f>IFERROR(IF(OR($R591="",$C591=""),"",$R591/INDEX(DESPACHOS!$M$3:$M$3002,MATCH($C591,DESPACHOS!$B$3:$B$3002,0))),"")</f>
        <v/>
      </c>
      <c r="T591" s="41" t="n"/>
      <c r="U591" s="43">
        <f>IF(OR($B591="",$L591=""),"",WORKDAY($B591,IFERROR(INDEX(LISTAS!$C$3:$C$42,MATCH($L591,LISTAS!$A$3:$A$42,0)),3)))</f>
        <v/>
      </c>
      <c r="V591" s="40" t="n"/>
      <c r="W591" s="19">
        <f>IF($B591="","",IF($V591&lt;&gt;"",$V591-$B591,TODAY()-$B591))</f>
        <v/>
      </c>
      <c r="X591" s="19">
        <f>IF(OR($B591="",$U591=""),"",IF($V591&lt;&gt;"",MAX(0,$V591-$U591),MAX(0,TODAY()-$U591)))</f>
        <v/>
      </c>
      <c r="Y591" s="39">
        <f>IF($C591="","",IF(IFERROR(INDEX(LISTAS!$I$3:$I$42,MATCH($T591,LISTAS!$H$3:$H$42,0)),"NO")="SÍ",IF(N($X591)&gt;0,"CERRADA FUERA DE SLA","CERRADA EN SLA"),IF($U591="","SIN CLASIFICAR",IF(N($X591)&gt;0,"VENCIDA",IF(TODAY()&gt;=$U591-1,"POR VENCER","EN PLAZO")))))</f>
        <v/>
      </c>
      <c r="Z591" s="41" t="n"/>
      <c r="AA591" s="41" t="n"/>
      <c r="AB591" s="41" t="n"/>
    </row>
    <row r="592">
      <c r="A592" s="39">
        <f>IF($C592="","","NOV-"&amp;TEXT(ROW()-3,"0000"))</f>
        <v/>
      </c>
      <c r="B592" s="40" t="n"/>
      <c r="C592" s="41" t="n"/>
      <c r="D592" s="42">
        <f>IF($C592="","",IFERROR(INDEX(DESPACHOS!$D$3:$D$3002,MATCH($C592,DESPACHOS!$B$3:$B$3002,0)),"SIN DESPACHO"))</f>
        <v/>
      </c>
      <c r="E592" s="42">
        <f>IF($C592="","",IFERROR(INDEX(DESPACHOS!$K$3:$K$3002,MATCH($C592,DESPACHOS!$B$3:$B$3002,0)),""))</f>
        <v/>
      </c>
      <c r="F592" s="42">
        <f>IF($C592="","",IFERROR(INDEX(DESPACHOS!$I$3:$I$3002,MATCH($C592,DESPACHOS!$B$3:$B$3002,0)),""))</f>
        <v/>
      </c>
      <c r="G592" s="42">
        <f>IF($C592="","",IFERROR(INDEX(DESPACHOS!$F$3:$F$3002,MATCH($C592,DESPACHOS!$B$3:$B$3002,0)),""))</f>
        <v/>
      </c>
      <c r="H592" s="42">
        <f>IF($C592="","",IFERROR(INDEX(DESPACHOS!$G$3:$G$3002,MATCH($C592,DESPACHOS!$B$3:$B$3002,0)),""))</f>
        <v/>
      </c>
      <c r="I592" s="39">
        <f>IF($C592="","",IFERROR(INDEX(DESPACHOS!$H$3:$H$3002,MATCH($C592,DESPACHOS!$B$3:$B$3002,0)),""))</f>
        <v/>
      </c>
      <c r="J592" s="43">
        <f>IF($C592="","",IFERROR(INDEX(DESPACHOS!$J$3:$J$3002,MATCH($C592,DESPACHOS!$B$3:$B$3002,0)),""))</f>
        <v/>
      </c>
      <c r="K592" s="39">
        <f>IF($C592="","",IF(COUNTIFS(DESPACHOS!$B$3:$B$3002,$C592)=0,"NO EXISTE",IF(COUNTIFS(DESPACHOS!$B$3:$B$3002,$C592)&gt;1,"DUPLICADO","OK")))</f>
        <v/>
      </c>
      <c r="L592" s="41" t="n"/>
      <c r="M592" s="41" t="n"/>
      <c r="N592" s="42">
        <f>IF($M592="","",IFERROR(INDEX(LISTAS!$F$3:$F$42,MATCH($M592,LISTAS!$E$3:$E$42,0)),"Por definir"))</f>
        <v/>
      </c>
      <c r="O592" s="41" t="n"/>
      <c r="P592" s="39">
        <f>IF($L592="","",IFERROR(INDEX(LISTAS!$B$3:$B$42,MATCH($L592,LISTAS!$A$3:$A$42,0)),"Media"))</f>
        <v/>
      </c>
      <c r="Q592" s="44" t="n"/>
      <c r="R592" s="45" t="n"/>
      <c r="S592" s="20">
        <f>IFERROR(IF(OR($R592="",$C592=""),"",$R592/INDEX(DESPACHOS!$M$3:$M$3002,MATCH($C592,DESPACHOS!$B$3:$B$3002,0))),"")</f>
        <v/>
      </c>
      <c r="T592" s="41" t="n"/>
      <c r="U592" s="43">
        <f>IF(OR($B592="",$L592=""),"",WORKDAY($B592,IFERROR(INDEX(LISTAS!$C$3:$C$42,MATCH($L592,LISTAS!$A$3:$A$42,0)),3)))</f>
        <v/>
      </c>
      <c r="V592" s="40" t="n"/>
      <c r="W592" s="19">
        <f>IF($B592="","",IF($V592&lt;&gt;"",$V592-$B592,TODAY()-$B592))</f>
        <v/>
      </c>
      <c r="X592" s="19">
        <f>IF(OR($B592="",$U592=""),"",IF($V592&lt;&gt;"",MAX(0,$V592-$U592),MAX(0,TODAY()-$U592)))</f>
        <v/>
      </c>
      <c r="Y592" s="39">
        <f>IF($C592="","",IF(IFERROR(INDEX(LISTAS!$I$3:$I$42,MATCH($T592,LISTAS!$H$3:$H$42,0)),"NO")="SÍ",IF(N($X592)&gt;0,"CERRADA FUERA DE SLA","CERRADA EN SLA"),IF($U592="","SIN CLASIFICAR",IF(N($X592)&gt;0,"VENCIDA",IF(TODAY()&gt;=$U592-1,"POR VENCER","EN PLAZO")))))</f>
        <v/>
      </c>
      <c r="Z592" s="41" t="n"/>
      <c r="AA592" s="41" t="n"/>
      <c r="AB592" s="41" t="n"/>
    </row>
    <row r="593">
      <c r="A593" s="39">
        <f>IF($C593="","","NOV-"&amp;TEXT(ROW()-3,"0000"))</f>
        <v/>
      </c>
      <c r="B593" s="40" t="n"/>
      <c r="C593" s="41" t="n"/>
      <c r="D593" s="42">
        <f>IF($C593="","",IFERROR(INDEX(DESPACHOS!$D$3:$D$3002,MATCH($C593,DESPACHOS!$B$3:$B$3002,0)),"SIN DESPACHO"))</f>
        <v/>
      </c>
      <c r="E593" s="42">
        <f>IF($C593="","",IFERROR(INDEX(DESPACHOS!$K$3:$K$3002,MATCH($C593,DESPACHOS!$B$3:$B$3002,0)),""))</f>
        <v/>
      </c>
      <c r="F593" s="42">
        <f>IF($C593="","",IFERROR(INDEX(DESPACHOS!$I$3:$I$3002,MATCH($C593,DESPACHOS!$B$3:$B$3002,0)),""))</f>
        <v/>
      </c>
      <c r="G593" s="42">
        <f>IF($C593="","",IFERROR(INDEX(DESPACHOS!$F$3:$F$3002,MATCH($C593,DESPACHOS!$B$3:$B$3002,0)),""))</f>
        <v/>
      </c>
      <c r="H593" s="42">
        <f>IF($C593="","",IFERROR(INDEX(DESPACHOS!$G$3:$G$3002,MATCH($C593,DESPACHOS!$B$3:$B$3002,0)),""))</f>
        <v/>
      </c>
      <c r="I593" s="39">
        <f>IF($C593="","",IFERROR(INDEX(DESPACHOS!$H$3:$H$3002,MATCH($C593,DESPACHOS!$B$3:$B$3002,0)),""))</f>
        <v/>
      </c>
      <c r="J593" s="43">
        <f>IF($C593="","",IFERROR(INDEX(DESPACHOS!$J$3:$J$3002,MATCH($C593,DESPACHOS!$B$3:$B$3002,0)),""))</f>
        <v/>
      </c>
      <c r="K593" s="39">
        <f>IF($C593="","",IF(COUNTIFS(DESPACHOS!$B$3:$B$3002,$C593)=0,"NO EXISTE",IF(COUNTIFS(DESPACHOS!$B$3:$B$3002,$C593)&gt;1,"DUPLICADO","OK")))</f>
        <v/>
      </c>
      <c r="L593" s="41" t="n"/>
      <c r="M593" s="41" t="n"/>
      <c r="N593" s="42">
        <f>IF($M593="","",IFERROR(INDEX(LISTAS!$F$3:$F$42,MATCH($M593,LISTAS!$E$3:$E$42,0)),"Por definir"))</f>
        <v/>
      </c>
      <c r="O593" s="41" t="n"/>
      <c r="P593" s="39">
        <f>IF($L593="","",IFERROR(INDEX(LISTAS!$B$3:$B$42,MATCH($L593,LISTAS!$A$3:$A$42,0)),"Media"))</f>
        <v/>
      </c>
      <c r="Q593" s="44" t="n"/>
      <c r="R593" s="45" t="n"/>
      <c r="S593" s="20">
        <f>IFERROR(IF(OR($R593="",$C593=""),"",$R593/INDEX(DESPACHOS!$M$3:$M$3002,MATCH($C593,DESPACHOS!$B$3:$B$3002,0))),"")</f>
        <v/>
      </c>
      <c r="T593" s="41" t="n"/>
      <c r="U593" s="43">
        <f>IF(OR($B593="",$L593=""),"",WORKDAY($B593,IFERROR(INDEX(LISTAS!$C$3:$C$42,MATCH($L593,LISTAS!$A$3:$A$42,0)),3)))</f>
        <v/>
      </c>
      <c r="V593" s="40" t="n"/>
      <c r="W593" s="19">
        <f>IF($B593="","",IF($V593&lt;&gt;"",$V593-$B593,TODAY()-$B593))</f>
        <v/>
      </c>
      <c r="X593" s="19">
        <f>IF(OR($B593="",$U593=""),"",IF($V593&lt;&gt;"",MAX(0,$V593-$U593),MAX(0,TODAY()-$U593)))</f>
        <v/>
      </c>
      <c r="Y593" s="39">
        <f>IF($C593="","",IF(IFERROR(INDEX(LISTAS!$I$3:$I$42,MATCH($T593,LISTAS!$H$3:$H$42,0)),"NO")="SÍ",IF(N($X593)&gt;0,"CERRADA FUERA DE SLA","CERRADA EN SLA"),IF($U593="","SIN CLASIFICAR",IF(N($X593)&gt;0,"VENCIDA",IF(TODAY()&gt;=$U593-1,"POR VENCER","EN PLAZO")))))</f>
        <v/>
      </c>
      <c r="Z593" s="41" t="n"/>
      <c r="AA593" s="41" t="n"/>
      <c r="AB593" s="41" t="n"/>
    </row>
    <row r="594">
      <c r="A594" s="39">
        <f>IF($C594="","","NOV-"&amp;TEXT(ROW()-3,"0000"))</f>
        <v/>
      </c>
      <c r="B594" s="40" t="n"/>
      <c r="C594" s="41" t="n"/>
      <c r="D594" s="42">
        <f>IF($C594="","",IFERROR(INDEX(DESPACHOS!$D$3:$D$3002,MATCH($C594,DESPACHOS!$B$3:$B$3002,0)),"SIN DESPACHO"))</f>
        <v/>
      </c>
      <c r="E594" s="42">
        <f>IF($C594="","",IFERROR(INDEX(DESPACHOS!$K$3:$K$3002,MATCH($C594,DESPACHOS!$B$3:$B$3002,0)),""))</f>
        <v/>
      </c>
      <c r="F594" s="42">
        <f>IF($C594="","",IFERROR(INDEX(DESPACHOS!$I$3:$I$3002,MATCH($C594,DESPACHOS!$B$3:$B$3002,0)),""))</f>
        <v/>
      </c>
      <c r="G594" s="42">
        <f>IF($C594="","",IFERROR(INDEX(DESPACHOS!$F$3:$F$3002,MATCH($C594,DESPACHOS!$B$3:$B$3002,0)),""))</f>
        <v/>
      </c>
      <c r="H594" s="42">
        <f>IF($C594="","",IFERROR(INDEX(DESPACHOS!$G$3:$G$3002,MATCH($C594,DESPACHOS!$B$3:$B$3002,0)),""))</f>
        <v/>
      </c>
      <c r="I594" s="39">
        <f>IF($C594="","",IFERROR(INDEX(DESPACHOS!$H$3:$H$3002,MATCH($C594,DESPACHOS!$B$3:$B$3002,0)),""))</f>
        <v/>
      </c>
      <c r="J594" s="43">
        <f>IF($C594="","",IFERROR(INDEX(DESPACHOS!$J$3:$J$3002,MATCH($C594,DESPACHOS!$B$3:$B$3002,0)),""))</f>
        <v/>
      </c>
      <c r="K594" s="39">
        <f>IF($C594="","",IF(COUNTIFS(DESPACHOS!$B$3:$B$3002,$C594)=0,"NO EXISTE",IF(COUNTIFS(DESPACHOS!$B$3:$B$3002,$C594)&gt;1,"DUPLICADO","OK")))</f>
        <v/>
      </c>
      <c r="L594" s="41" t="n"/>
      <c r="M594" s="41" t="n"/>
      <c r="N594" s="42">
        <f>IF($M594="","",IFERROR(INDEX(LISTAS!$F$3:$F$42,MATCH($M594,LISTAS!$E$3:$E$42,0)),"Por definir"))</f>
        <v/>
      </c>
      <c r="O594" s="41" t="n"/>
      <c r="P594" s="39">
        <f>IF($L594="","",IFERROR(INDEX(LISTAS!$B$3:$B$42,MATCH($L594,LISTAS!$A$3:$A$42,0)),"Media"))</f>
        <v/>
      </c>
      <c r="Q594" s="44" t="n"/>
      <c r="R594" s="45" t="n"/>
      <c r="S594" s="20">
        <f>IFERROR(IF(OR($R594="",$C594=""),"",$R594/INDEX(DESPACHOS!$M$3:$M$3002,MATCH($C594,DESPACHOS!$B$3:$B$3002,0))),"")</f>
        <v/>
      </c>
      <c r="T594" s="41" t="n"/>
      <c r="U594" s="43">
        <f>IF(OR($B594="",$L594=""),"",WORKDAY($B594,IFERROR(INDEX(LISTAS!$C$3:$C$42,MATCH($L594,LISTAS!$A$3:$A$42,0)),3)))</f>
        <v/>
      </c>
      <c r="V594" s="40" t="n"/>
      <c r="W594" s="19">
        <f>IF($B594="","",IF($V594&lt;&gt;"",$V594-$B594,TODAY()-$B594))</f>
        <v/>
      </c>
      <c r="X594" s="19">
        <f>IF(OR($B594="",$U594=""),"",IF($V594&lt;&gt;"",MAX(0,$V594-$U594),MAX(0,TODAY()-$U594)))</f>
        <v/>
      </c>
      <c r="Y594" s="39">
        <f>IF($C594="","",IF(IFERROR(INDEX(LISTAS!$I$3:$I$42,MATCH($T594,LISTAS!$H$3:$H$42,0)),"NO")="SÍ",IF(N($X594)&gt;0,"CERRADA FUERA DE SLA","CERRADA EN SLA"),IF($U594="","SIN CLASIFICAR",IF(N($X594)&gt;0,"VENCIDA",IF(TODAY()&gt;=$U594-1,"POR VENCER","EN PLAZO")))))</f>
        <v/>
      </c>
      <c r="Z594" s="41" t="n"/>
      <c r="AA594" s="41" t="n"/>
      <c r="AB594" s="41" t="n"/>
    </row>
    <row r="595">
      <c r="A595" s="39">
        <f>IF($C595="","","NOV-"&amp;TEXT(ROW()-3,"0000"))</f>
        <v/>
      </c>
      <c r="B595" s="40" t="n"/>
      <c r="C595" s="41" t="n"/>
      <c r="D595" s="42">
        <f>IF($C595="","",IFERROR(INDEX(DESPACHOS!$D$3:$D$3002,MATCH($C595,DESPACHOS!$B$3:$B$3002,0)),"SIN DESPACHO"))</f>
        <v/>
      </c>
      <c r="E595" s="42">
        <f>IF($C595="","",IFERROR(INDEX(DESPACHOS!$K$3:$K$3002,MATCH($C595,DESPACHOS!$B$3:$B$3002,0)),""))</f>
        <v/>
      </c>
      <c r="F595" s="42">
        <f>IF($C595="","",IFERROR(INDEX(DESPACHOS!$I$3:$I$3002,MATCH($C595,DESPACHOS!$B$3:$B$3002,0)),""))</f>
        <v/>
      </c>
      <c r="G595" s="42">
        <f>IF($C595="","",IFERROR(INDEX(DESPACHOS!$F$3:$F$3002,MATCH($C595,DESPACHOS!$B$3:$B$3002,0)),""))</f>
        <v/>
      </c>
      <c r="H595" s="42">
        <f>IF($C595="","",IFERROR(INDEX(DESPACHOS!$G$3:$G$3002,MATCH($C595,DESPACHOS!$B$3:$B$3002,0)),""))</f>
        <v/>
      </c>
      <c r="I595" s="39">
        <f>IF($C595="","",IFERROR(INDEX(DESPACHOS!$H$3:$H$3002,MATCH($C595,DESPACHOS!$B$3:$B$3002,0)),""))</f>
        <v/>
      </c>
      <c r="J595" s="43">
        <f>IF($C595="","",IFERROR(INDEX(DESPACHOS!$J$3:$J$3002,MATCH($C595,DESPACHOS!$B$3:$B$3002,0)),""))</f>
        <v/>
      </c>
      <c r="K595" s="39">
        <f>IF($C595="","",IF(COUNTIFS(DESPACHOS!$B$3:$B$3002,$C595)=0,"NO EXISTE",IF(COUNTIFS(DESPACHOS!$B$3:$B$3002,$C595)&gt;1,"DUPLICADO","OK")))</f>
        <v/>
      </c>
      <c r="L595" s="41" t="n"/>
      <c r="M595" s="41" t="n"/>
      <c r="N595" s="42">
        <f>IF($M595="","",IFERROR(INDEX(LISTAS!$F$3:$F$42,MATCH($M595,LISTAS!$E$3:$E$42,0)),"Por definir"))</f>
        <v/>
      </c>
      <c r="O595" s="41" t="n"/>
      <c r="P595" s="39">
        <f>IF($L595="","",IFERROR(INDEX(LISTAS!$B$3:$B$42,MATCH($L595,LISTAS!$A$3:$A$42,0)),"Media"))</f>
        <v/>
      </c>
      <c r="Q595" s="44" t="n"/>
      <c r="R595" s="45" t="n"/>
      <c r="S595" s="20">
        <f>IFERROR(IF(OR($R595="",$C595=""),"",$R595/INDEX(DESPACHOS!$M$3:$M$3002,MATCH($C595,DESPACHOS!$B$3:$B$3002,0))),"")</f>
        <v/>
      </c>
      <c r="T595" s="41" t="n"/>
      <c r="U595" s="43">
        <f>IF(OR($B595="",$L595=""),"",WORKDAY($B595,IFERROR(INDEX(LISTAS!$C$3:$C$42,MATCH($L595,LISTAS!$A$3:$A$42,0)),3)))</f>
        <v/>
      </c>
      <c r="V595" s="40" t="n"/>
      <c r="W595" s="19">
        <f>IF($B595="","",IF($V595&lt;&gt;"",$V595-$B595,TODAY()-$B595))</f>
        <v/>
      </c>
      <c r="X595" s="19">
        <f>IF(OR($B595="",$U595=""),"",IF($V595&lt;&gt;"",MAX(0,$V595-$U595),MAX(0,TODAY()-$U595)))</f>
        <v/>
      </c>
      <c r="Y595" s="39">
        <f>IF($C595="","",IF(IFERROR(INDEX(LISTAS!$I$3:$I$42,MATCH($T595,LISTAS!$H$3:$H$42,0)),"NO")="SÍ",IF(N($X595)&gt;0,"CERRADA FUERA DE SLA","CERRADA EN SLA"),IF($U595="","SIN CLASIFICAR",IF(N($X595)&gt;0,"VENCIDA",IF(TODAY()&gt;=$U595-1,"POR VENCER","EN PLAZO")))))</f>
        <v/>
      </c>
      <c r="Z595" s="41" t="n"/>
      <c r="AA595" s="41" t="n"/>
      <c r="AB595" s="41" t="n"/>
    </row>
    <row r="596">
      <c r="A596" s="39">
        <f>IF($C596="","","NOV-"&amp;TEXT(ROW()-3,"0000"))</f>
        <v/>
      </c>
      <c r="B596" s="40" t="n"/>
      <c r="C596" s="41" t="n"/>
      <c r="D596" s="42">
        <f>IF($C596="","",IFERROR(INDEX(DESPACHOS!$D$3:$D$3002,MATCH($C596,DESPACHOS!$B$3:$B$3002,0)),"SIN DESPACHO"))</f>
        <v/>
      </c>
      <c r="E596" s="42">
        <f>IF($C596="","",IFERROR(INDEX(DESPACHOS!$K$3:$K$3002,MATCH($C596,DESPACHOS!$B$3:$B$3002,0)),""))</f>
        <v/>
      </c>
      <c r="F596" s="42">
        <f>IF($C596="","",IFERROR(INDEX(DESPACHOS!$I$3:$I$3002,MATCH($C596,DESPACHOS!$B$3:$B$3002,0)),""))</f>
        <v/>
      </c>
      <c r="G596" s="42">
        <f>IF($C596="","",IFERROR(INDEX(DESPACHOS!$F$3:$F$3002,MATCH($C596,DESPACHOS!$B$3:$B$3002,0)),""))</f>
        <v/>
      </c>
      <c r="H596" s="42">
        <f>IF($C596="","",IFERROR(INDEX(DESPACHOS!$G$3:$G$3002,MATCH($C596,DESPACHOS!$B$3:$B$3002,0)),""))</f>
        <v/>
      </c>
      <c r="I596" s="39">
        <f>IF($C596="","",IFERROR(INDEX(DESPACHOS!$H$3:$H$3002,MATCH($C596,DESPACHOS!$B$3:$B$3002,0)),""))</f>
        <v/>
      </c>
      <c r="J596" s="43">
        <f>IF($C596="","",IFERROR(INDEX(DESPACHOS!$J$3:$J$3002,MATCH($C596,DESPACHOS!$B$3:$B$3002,0)),""))</f>
        <v/>
      </c>
      <c r="K596" s="39">
        <f>IF($C596="","",IF(COUNTIFS(DESPACHOS!$B$3:$B$3002,$C596)=0,"NO EXISTE",IF(COUNTIFS(DESPACHOS!$B$3:$B$3002,$C596)&gt;1,"DUPLICADO","OK")))</f>
        <v/>
      </c>
      <c r="L596" s="41" t="n"/>
      <c r="M596" s="41" t="n"/>
      <c r="N596" s="42">
        <f>IF($M596="","",IFERROR(INDEX(LISTAS!$F$3:$F$42,MATCH($M596,LISTAS!$E$3:$E$42,0)),"Por definir"))</f>
        <v/>
      </c>
      <c r="O596" s="41" t="n"/>
      <c r="P596" s="39">
        <f>IF($L596="","",IFERROR(INDEX(LISTAS!$B$3:$B$42,MATCH($L596,LISTAS!$A$3:$A$42,0)),"Media"))</f>
        <v/>
      </c>
      <c r="Q596" s="44" t="n"/>
      <c r="R596" s="45" t="n"/>
      <c r="S596" s="20">
        <f>IFERROR(IF(OR($R596="",$C596=""),"",$R596/INDEX(DESPACHOS!$M$3:$M$3002,MATCH($C596,DESPACHOS!$B$3:$B$3002,0))),"")</f>
        <v/>
      </c>
      <c r="T596" s="41" t="n"/>
      <c r="U596" s="43">
        <f>IF(OR($B596="",$L596=""),"",WORKDAY($B596,IFERROR(INDEX(LISTAS!$C$3:$C$42,MATCH($L596,LISTAS!$A$3:$A$42,0)),3)))</f>
        <v/>
      </c>
      <c r="V596" s="40" t="n"/>
      <c r="W596" s="19">
        <f>IF($B596="","",IF($V596&lt;&gt;"",$V596-$B596,TODAY()-$B596))</f>
        <v/>
      </c>
      <c r="X596" s="19">
        <f>IF(OR($B596="",$U596=""),"",IF($V596&lt;&gt;"",MAX(0,$V596-$U596),MAX(0,TODAY()-$U596)))</f>
        <v/>
      </c>
      <c r="Y596" s="39">
        <f>IF($C596="","",IF(IFERROR(INDEX(LISTAS!$I$3:$I$42,MATCH($T596,LISTAS!$H$3:$H$42,0)),"NO")="SÍ",IF(N($X596)&gt;0,"CERRADA FUERA DE SLA","CERRADA EN SLA"),IF($U596="","SIN CLASIFICAR",IF(N($X596)&gt;0,"VENCIDA",IF(TODAY()&gt;=$U596-1,"POR VENCER","EN PLAZO")))))</f>
        <v/>
      </c>
      <c r="Z596" s="41" t="n"/>
      <c r="AA596" s="41" t="n"/>
      <c r="AB596" s="41" t="n"/>
    </row>
    <row r="597">
      <c r="A597" s="39">
        <f>IF($C597="","","NOV-"&amp;TEXT(ROW()-3,"0000"))</f>
        <v/>
      </c>
      <c r="B597" s="40" t="n"/>
      <c r="C597" s="41" t="n"/>
      <c r="D597" s="42">
        <f>IF($C597="","",IFERROR(INDEX(DESPACHOS!$D$3:$D$3002,MATCH($C597,DESPACHOS!$B$3:$B$3002,0)),"SIN DESPACHO"))</f>
        <v/>
      </c>
      <c r="E597" s="42">
        <f>IF($C597="","",IFERROR(INDEX(DESPACHOS!$K$3:$K$3002,MATCH($C597,DESPACHOS!$B$3:$B$3002,0)),""))</f>
        <v/>
      </c>
      <c r="F597" s="42">
        <f>IF($C597="","",IFERROR(INDEX(DESPACHOS!$I$3:$I$3002,MATCH($C597,DESPACHOS!$B$3:$B$3002,0)),""))</f>
        <v/>
      </c>
      <c r="G597" s="42">
        <f>IF($C597="","",IFERROR(INDEX(DESPACHOS!$F$3:$F$3002,MATCH($C597,DESPACHOS!$B$3:$B$3002,0)),""))</f>
        <v/>
      </c>
      <c r="H597" s="42">
        <f>IF($C597="","",IFERROR(INDEX(DESPACHOS!$G$3:$G$3002,MATCH($C597,DESPACHOS!$B$3:$B$3002,0)),""))</f>
        <v/>
      </c>
      <c r="I597" s="39">
        <f>IF($C597="","",IFERROR(INDEX(DESPACHOS!$H$3:$H$3002,MATCH($C597,DESPACHOS!$B$3:$B$3002,0)),""))</f>
        <v/>
      </c>
      <c r="J597" s="43">
        <f>IF($C597="","",IFERROR(INDEX(DESPACHOS!$J$3:$J$3002,MATCH($C597,DESPACHOS!$B$3:$B$3002,0)),""))</f>
        <v/>
      </c>
      <c r="K597" s="39">
        <f>IF($C597="","",IF(COUNTIFS(DESPACHOS!$B$3:$B$3002,$C597)=0,"NO EXISTE",IF(COUNTIFS(DESPACHOS!$B$3:$B$3002,$C597)&gt;1,"DUPLICADO","OK")))</f>
        <v/>
      </c>
      <c r="L597" s="41" t="n"/>
      <c r="M597" s="41" t="n"/>
      <c r="N597" s="42">
        <f>IF($M597="","",IFERROR(INDEX(LISTAS!$F$3:$F$42,MATCH($M597,LISTAS!$E$3:$E$42,0)),"Por definir"))</f>
        <v/>
      </c>
      <c r="O597" s="41" t="n"/>
      <c r="P597" s="39">
        <f>IF($L597="","",IFERROR(INDEX(LISTAS!$B$3:$B$42,MATCH($L597,LISTAS!$A$3:$A$42,0)),"Media"))</f>
        <v/>
      </c>
      <c r="Q597" s="44" t="n"/>
      <c r="R597" s="45" t="n"/>
      <c r="S597" s="20">
        <f>IFERROR(IF(OR($R597="",$C597=""),"",$R597/INDEX(DESPACHOS!$M$3:$M$3002,MATCH($C597,DESPACHOS!$B$3:$B$3002,0))),"")</f>
        <v/>
      </c>
      <c r="T597" s="41" t="n"/>
      <c r="U597" s="43">
        <f>IF(OR($B597="",$L597=""),"",WORKDAY($B597,IFERROR(INDEX(LISTAS!$C$3:$C$42,MATCH($L597,LISTAS!$A$3:$A$42,0)),3)))</f>
        <v/>
      </c>
      <c r="V597" s="40" t="n"/>
      <c r="W597" s="19">
        <f>IF($B597="","",IF($V597&lt;&gt;"",$V597-$B597,TODAY()-$B597))</f>
        <v/>
      </c>
      <c r="X597" s="19">
        <f>IF(OR($B597="",$U597=""),"",IF($V597&lt;&gt;"",MAX(0,$V597-$U597),MAX(0,TODAY()-$U597)))</f>
        <v/>
      </c>
      <c r="Y597" s="39">
        <f>IF($C597="","",IF(IFERROR(INDEX(LISTAS!$I$3:$I$42,MATCH($T597,LISTAS!$H$3:$H$42,0)),"NO")="SÍ",IF(N($X597)&gt;0,"CERRADA FUERA DE SLA","CERRADA EN SLA"),IF($U597="","SIN CLASIFICAR",IF(N($X597)&gt;0,"VENCIDA",IF(TODAY()&gt;=$U597-1,"POR VENCER","EN PLAZO")))))</f>
        <v/>
      </c>
      <c r="Z597" s="41" t="n"/>
      <c r="AA597" s="41" t="n"/>
      <c r="AB597" s="41" t="n"/>
    </row>
    <row r="598">
      <c r="A598" s="39">
        <f>IF($C598="","","NOV-"&amp;TEXT(ROW()-3,"0000"))</f>
        <v/>
      </c>
      <c r="B598" s="40" t="n"/>
      <c r="C598" s="41" t="n"/>
      <c r="D598" s="42">
        <f>IF($C598="","",IFERROR(INDEX(DESPACHOS!$D$3:$D$3002,MATCH($C598,DESPACHOS!$B$3:$B$3002,0)),"SIN DESPACHO"))</f>
        <v/>
      </c>
      <c r="E598" s="42">
        <f>IF($C598="","",IFERROR(INDEX(DESPACHOS!$K$3:$K$3002,MATCH($C598,DESPACHOS!$B$3:$B$3002,0)),""))</f>
        <v/>
      </c>
      <c r="F598" s="42">
        <f>IF($C598="","",IFERROR(INDEX(DESPACHOS!$I$3:$I$3002,MATCH($C598,DESPACHOS!$B$3:$B$3002,0)),""))</f>
        <v/>
      </c>
      <c r="G598" s="42">
        <f>IF($C598="","",IFERROR(INDEX(DESPACHOS!$F$3:$F$3002,MATCH($C598,DESPACHOS!$B$3:$B$3002,0)),""))</f>
        <v/>
      </c>
      <c r="H598" s="42">
        <f>IF($C598="","",IFERROR(INDEX(DESPACHOS!$G$3:$G$3002,MATCH($C598,DESPACHOS!$B$3:$B$3002,0)),""))</f>
        <v/>
      </c>
      <c r="I598" s="39">
        <f>IF($C598="","",IFERROR(INDEX(DESPACHOS!$H$3:$H$3002,MATCH($C598,DESPACHOS!$B$3:$B$3002,0)),""))</f>
        <v/>
      </c>
      <c r="J598" s="43">
        <f>IF($C598="","",IFERROR(INDEX(DESPACHOS!$J$3:$J$3002,MATCH($C598,DESPACHOS!$B$3:$B$3002,0)),""))</f>
        <v/>
      </c>
      <c r="K598" s="39">
        <f>IF($C598="","",IF(COUNTIFS(DESPACHOS!$B$3:$B$3002,$C598)=0,"NO EXISTE",IF(COUNTIFS(DESPACHOS!$B$3:$B$3002,$C598)&gt;1,"DUPLICADO","OK")))</f>
        <v/>
      </c>
      <c r="L598" s="41" t="n"/>
      <c r="M598" s="41" t="n"/>
      <c r="N598" s="42">
        <f>IF($M598="","",IFERROR(INDEX(LISTAS!$F$3:$F$42,MATCH($M598,LISTAS!$E$3:$E$42,0)),"Por definir"))</f>
        <v/>
      </c>
      <c r="O598" s="41" t="n"/>
      <c r="P598" s="39">
        <f>IF($L598="","",IFERROR(INDEX(LISTAS!$B$3:$B$42,MATCH($L598,LISTAS!$A$3:$A$42,0)),"Media"))</f>
        <v/>
      </c>
      <c r="Q598" s="44" t="n"/>
      <c r="R598" s="45" t="n"/>
      <c r="S598" s="20">
        <f>IFERROR(IF(OR($R598="",$C598=""),"",$R598/INDEX(DESPACHOS!$M$3:$M$3002,MATCH($C598,DESPACHOS!$B$3:$B$3002,0))),"")</f>
        <v/>
      </c>
      <c r="T598" s="41" t="n"/>
      <c r="U598" s="43">
        <f>IF(OR($B598="",$L598=""),"",WORKDAY($B598,IFERROR(INDEX(LISTAS!$C$3:$C$42,MATCH($L598,LISTAS!$A$3:$A$42,0)),3)))</f>
        <v/>
      </c>
      <c r="V598" s="40" t="n"/>
      <c r="W598" s="19">
        <f>IF($B598="","",IF($V598&lt;&gt;"",$V598-$B598,TODAY()-$B598))</f>
        <v/>
      </c>
      <c r="X598" s="19">
        <f>IF(OR($B598="",$U598=""),"",IF($V598&lt;&gt;"",MAX(0,$V598-$U598),MAX(0,TODAY()-$U598)))</f>
        <v/>
      </c>
      <c r="Y598" s="39">
        <f>IF($C598="","",IF(IFERROR(INDEX(LISTAS!$I$3:$I$42,MATCH($T598,LISTAS!$H$3:$H$42,0)),"NO")="SÍ",IF(N($X598)&gt;0,"CERRADA FUERA DE SLA","CERRADA EN SLA"),IF($U598="","SIN CLASIFICAR",IF(N($X598)&gt;0,"VENCIDA",IF(TODAY()&gt;=$U598-1,"POR VENCER","EN PLAZO")))))</f>
        <v/>
      </c>
      <c r="Z598" s="41" t="n"/>
      <c r="AA598" s="41" t="n"/>
      <c r="AB598" s="41" t="n"/>
    </row>
    <row r="599">
      <c r="A599" s="39">
        <f>IF($C599="","","NOV-"&amp;TEXT(ROW()-3,"0000"))</f>
        <v/>
      </c>
      <c r="B599" s="40" t="n"/>
      <c r="C599" s="41" t="n"/>
      <c r="D599" s="42">
        <f>IF($C599="","",IFERROR(INDEX(DESPACHOS!$D$3:$D$3002,MATCH($C599,DESPACHOS!$B$3:$B$3002,0)),"SIN DESPACHO"))</f>
        <v/>
      </c>
      <c r="E599" s="42">
        <f>IF($C599="","",IFERROR(INDEX(DESPACHOS!$K$3:$K$3002,MATCH($C599,DESPACHOS!$B$3:$B$3002,0)),""))</f>
        <v/>
      </c>
      <c r="F599" s="42">
        <f>IF($C599="","",IFERROR(INDEX(DESPACHOS!$I$3:$I$3002,MATCH($C599,DESPACHOS!$B$3:$B$3002,0)),""))</f>
        <v/>
      </c>
      <c r="G599" s="42">
        <f>IF($C599="","",IFERROR(INDEX(DESPACHOS!$F$3:$F$3002,MATCH($C599,DESPACHOS!$B$3:$B$3002,0)),""))</f>
        <v/>
      </c>
      <c r="H599" s="42">
        <f>IF($C599="","",IFERROR(INDEX(DESPACHOS!$G$3:$G$3002,MATCH($C599,DESPACHOS!$B$3:$B$3002,0)),""))</f>
        <v/>
      </c>
      <c r="I599" s="39">
        <f>IF($C599="","",IFERROR(INDEX(DESPACHOS!$H$3:$H$3002,MATCH($C599,DESPACHOS!$B$3:$B$3002,0)),""))</f>
        <v/>
      </c>
      <c r="J599" s="43">
        <f>IF($C599="","",IFERROR(INDEX(DESPACHOS!$J$3:$J$3002,MATCH($C599,DESPACHOS!$B$3:$B$3002,0)),""))</f>
        <v/>
      </c>
      <c r="K599" s="39">
        <f>IF($C599="","",IF(COUNTIFS(DESPACHOS!$B$3:$B$3002,$C599)=0,"NO EXISTE",IF(COUNTIFS(DESPACHOS!$B$3:$B$3002,$C599)&gt;1,"DUPLICADO","OK")))</f>
        <v/>
      </c>
      <c r="L599" s="41" t="n"/>
      <c r="M599" s="41" t="n"/>
      <c r="N599" s="42">
        <f>IF($M599="","",IFERROR(INDEX(LISTAS!$F$3:$F$42,MATCH($M599,LISTAS!$E$3:$E$42,0)),"Por definir"))</f>
        <v/>
      </c>
      <c r="O599" s="41" t="n"/>
      <c r="P599" s="39">
        <f>IF($L599="","",IFERROR(INDEX(LISTAS!$B$3:$B$42,MATCH($L599,LISTAS!$A$3:$A$42,0)),"Media"))</f>
        <v/>
      </c>
      <c r="Q599" s="44" t="n"/>
      <c r="R599" s="45" t="n"/>
      <c r="S599" s="20">
        <f>IFERROR(IF(OR($R599="",$C599=""),"",$R599/INDEX(DESPACHOS!$M$3:$M$3002,MATCH($C599,DESPACHOS!$B$3:$B$3002,0))),"")</f>
        <v/>
      </c>
      <c r="T599" s="41" t="n"/>
      <c r="U599" s="43">
        <f>IF(OR($B599="",$L599=""),"",WORKDAY($B599,IFERROR(INDEX(LISTAS!$C$3:$C$42,MATCH($L599,LISTAS!$A$3:$A$42,0)),3)))</f>
        <v/>
      </c>
      <c r="V599" s="40" t="n"/>
      <c r="W599" s="19">
        <f>IF($B599="","",IF($V599&lt;&gt;"",$V599-$B599,TODAY()-$B599))</f>
        <v/>
      </c>
      <c r="X599" s="19">
        <f>IF(OR($B599="",$U599=""),"",IF($V599&lt;&gt;"",MAX(0,$V599-$U599),MAX(0,TODAY()-$U599)))</f>
        <v/>
      </c>
      <c r="Y599" s="39">
        <f>IF($C599="","",IF(IFERROR(INDEX(LISTAS!$I$3:$I$42,MATCH($T599,LISTAS!$H$3:$H$42,0)),"NO")="SÍ",IF(N($X599)&gt;0,"CERRADA FUERA DE SLA","CERRADA EN SLA"),IF($U599="","SIN CLASIFICAR",IF(N($X599)&gt;0,"VENCIDA",IF(TODAY()&gt;=$U599-1,"POR VENCER","EN PLAZO")))))</f>
        <v/>
      </c>
      <c r="Z599" s="41" t="n"/>
      <c r="AA599" s="41" t="n"/>
      <c r="AB599" s="41" t="n"/>
    </row>
    <row r="600">
      <c r="A600" s="39">
        <f>IF($C600="","","NOV-"&amp;TEXT(ROW()-3,"0000"))</f>
        <v/>
      </c>
      <c r="B600" s="40" t="n"/>
      <c r="C600" s="41" t="n"/>
      <c r="D600" s="42">
        <f>IF($C600="","",IFERROR(INDEX(DESPACHOS!$D$3:$D$3002,MATCH($C600,DESPACHOS!$B$3:$B$3002,0)),"SIN DESPACHO"))</f>
        <v/>
      </c>
      <c r="E600" s="42">
        <f>IF($C600="","",IFERROR(INDEX(DESPACHOS!$K$3:$K$3002,MATCH($C600,DESPACHOS!$B$3:$B$3002,0)),""))</f>
        <v/>
      </c>
      <c r="F600" s="42">
        <f>IF($C600="","",IFERROR(INDEX(DESPACHOS!$I$3:$I$3002,MATCH($C600,DESPACHOS!$B$3:$B$3002,0)),""))</f>
        <v/>
      </c>
      <c r="G600" s="42">
        <f>IF($C600="","",IFERROR(INDEX(DESPACHOS!$F$3:$F$3002,MATCH($C600,DESPACHOS!$B$3:$B$3002,0)),""))</f>
        <v/>
      </c>
      <c r="H600" s="42">
        <f>IF($C600="","",IFERROR(INDEX(DESPACHOS!$G$3:$G$3002,MATCH($C600,DESPACHOS!$B$3:$B$3002,0)),""))</f>
        <v/>
      </c>
      <c r="I600" s="39">
        <f>IF($C600="","",IFERROR(INDEX(DESPACHOS!$H$3:$H$3002,MATCH($C600,DESPACHOS!$B$3:$B$3002,0)),""))</f>
        <v/>
      </c>
      <c r="J600" s="43">
        <f>IF($C600="","",IFERROR(INDEX(DESPACHOS!$J$3:$J$3002,MATCH($C600,DESPACHOS!$B$3:$B$3002,0)),""))</f>
        <v/>
      </c>
      <c r="K600" s="39">
        <f>IF($C600="","",IF(COUNTIFS(DESPACHOS!$B$3:$B$3002,$C600)=0,"NO EXISTE",IF(COUNTIFS(DESPACHOS!$B$3:$B$3002,$C600)&gt;1,"DUPLICADO","OK")))</f>
        <v/>
      </c>
      <c r="L600" s="41" t="n"/>
      <c r="M600" s="41" t="n"/>
      <c r="N600" s="42">
        <f>IF($M600="","",IFERROR(INDEX(LISTAS!$F$3:$F$42,MATCH($M600,LISTAS!$E$3:$E$42,0)),"Por definir"))</f>
        <v/>
      </c>
      <c r="O600" s="41" t="n"/>
      <c r="P600" s="39">
        <f>IF($L600="","",IFERROR(INDEX(LISTAS!$B$3:$B$42,MATCH($L600,LISTAS!$A$3:$A$42,0)),"Media"))</f>
        <v/>
      </c>
      <c r="Q600" s="44" t="n"/>
      <c r="R600" s="45" t="n"/>
      <c r="S600" s="20">
        <f>IFERROR(IF(OR($R600="",$C600=""),"",$R600/INDEX(DESPACHOS!$M$3:$M$3002,MATCH($C600,DESPACHOS!$B$3:$B$3002,0))),"")</f>
        <v/>
      </c>
      <c r="T600" s="41" t="n"/>
      <c r="U600" s="43">
        <f>IF(OR($B600="",$L600=""),"",WORKDAY($B600,IFERROR(INDEX(LISTAS!$C$3:$C$42,MATCH($L600,LISTAS!$A$3:$A$42,0)),3)))</f>
        <v/>
      </c>
      <c r="V600" s="40" t="n"/>
      <c r="W600" s="19">
        <f>IF($B600="","",IF($V600&lt;&gt;"",$V600-$B600,TODAY()-$B600))</f>
        <v/>
      </c>
      <c r="X600" s="19">
        <f>IF(OR($B600="",$U600=""),"",IF($V600&lt;&gt;"",MAX(0,$V600-$U600),MAX(0,TODAY()-$U600)))</f>
        <v/>
      </c>
      <c r="Y600" s="39">
        <f>IF($C600="","",IF(IFERROR(INDEX(LISTAS!$I$3:$I$42,MATCH($T600,LISTAS!$H$3:$H$42,0)),"NO")="SÍ",IF(N($X600)&gt;0,"CERRADA FUERA DE SLA","CERRADA EN SLA"),IF($U600="","SIN CLASIFICAR",IF(N($X600)&gt;0,"VENCIDA",IF(TODAY()&gt;=$U600-1,"POR VENCER","EN PLAZO")))))</f>
        <v/>
      </c>
      <c r="Z600" s="41" t="n"/>
      <c r="AA600" s="41" t="n"/>
      <c r="AB600" s="41" t="n"/>
    </row>
    <row r="601">
      <c r="A601" s="39">
        <f>IF($C601="","","NOV-"&amp;TEXT(ROW()-3,"0000"))</f>
        <v/>
      </c>
      <c r="B601" s="40" t="n"/>
      <c r="C601" s="41" t="n"/>
      <c r="D601" s="42">
        <f>IF($C601="","",IFERROR(INDEX(DESPACHOS!$D$3:$D$3002,MATCH($C601,DESPACHOS!$B$3:$B$3002,0)),"SIN DESPACHO"))</f>
        <v/>
      </c>
      <c r="E601" s="42">
        <f>IF($C601="","",IFERROR(INDEX(DESPACHOS!$K$3:$K$3002,MATCH($C601,DESPACHOS!$B$3:$B$3002,0)),""))</f>
        <v/>
      </c>
      <c r="F601" s="42">
        <f>IF($C601="","",IFERROR(INDEX(DESPACHOS!$I$3:$I$3002,MATCH($C601,DESPACHOS!$B$3:$B$3002,0)),""))</f>
        <v/>
      </c>
      <c r="G601" s="42">
        <f>IF($C601="","",IFERROR(INDEX(DESPACHOS!$F$3:$F$3002,MATCH($C601,DESPACHOS!$B$3:$B$3002,0)),""))</f>
        <v/>
      </c>
      <c r="H601" s="42">
        <f>IF($C601="","",IFERROR(INDEX(DESPACHOS!$G$3:$G$3002,MATCH($C601,DESPACHOS!$B$3:$B$3002,0)),""))</f>
        <v/>
      </c>
      <c r="I601" s="39">
        <f>IF($C601="","",IFERROR(INDEX(DESPACHOS!$H$3:$H$3002,MATCH($C601,DESPACHOS!$B$3:$B$3002,0)),""))</f>
        <v/>
      </c>
      <c r="J601" s="43">
        <f>IF($C601="","",IFERROR(INDEX(DESPACHOS!$J$3:$J$3002,MATCH($C601,DESPACHOS!$B$3:$B$3002,0)),""))</f>
        <v/>
      </c>
      <c r="K601" s="39">
        <f>IF($C601="","",IF(COUNTIFS(DESPACHOS!$B$3:$B$3002,$C601)=0,"NO EXISTE",IF(COUNTIFS(DESPACHOS!$B$3:$B$3002,$C601)&gt;1,"DUPLICADO","OK")))</f>
        <v/>
      </c>
      <c r="L601" s="41" t="n"/>
      <c r="M601" s="41" t="n"/>
      <c r="N601" s="42">
        <f>IF($M601="","",IFERROR(INDEX(LISTAS!$F$3:$F$42,MATCH($M601,LISTAS!$E$3:$E$42,0)),"Por definir"))</f>
        <v/>
      </c>
      <c r="O601" s="41" t="n"/>
      <c r="P601" s="39">
        <f>IF($L601="","",IFERROR(INDEX(LISTAS!$B$3:$B$42,MATCH($L601,LISTAS!$A$3:$A$42,0)),"Media"))</f>
        <v/>
      </c>
      <c r="Q601" s="44" t="n"/>
      <c r="R601" s="45" t="n"/>
      <c r="S601" s="20">
        <f>IFERROR(IF(OR($R601="",$C601=""),"",$R601/INDEX(DESPACHOS!$M$3:$M$3002,MATCH($C601,DESPACHOS!$B$3:$B$3002,0))),"")</f>
        <v/>
      </c>
      <c r="T601" s="41" t="n"/>
      <c r="U601" s="43">
        <f>IF(OR($B601="",$L601=""),"",WORKDAY($B601,IFERROR(INDEX(LISTAS!$C$3:$C$42,MATCH($L601,LISTAS!$A$3:$A$42,0)),3)))</f>
        <v/>
      </c>
      <c r="V601" s="40" t="n"/>
      <c r="W601" s="19">
        <f>IF($B601="","",IF($V601&lt;&gt;"",$V601-$B601,TODAY()-$B601))</f>
        <v/>
      </c>
      <c r="X601" s="19">
        <f>IF(OR($B601="",$U601=""),"",IF($V601&lt;&gt;"",MAX(0,$V601-$U601),MAX(0,TODAY()-$U601)))</f>
        <v/>
      </c>
      <c r="Y601" s="39">
        <f>IF($C601="","",IF(IFERROR(INDEX(LISTAS!$I$3:$I$42,MATCH($T601,LISTAS!$H$3:$H$42,0)),"NO")="SÍ",IF(N($X601)&gt;0,"CERRADA FUERA DE SLA","CERRADA EN SLA"),IF($U601="","SIN CLASIFICAR",IF(N($X601)&gt;0,"VENCIDA",IF(TODAY()&gt;=$U601-1,"POR VENCER","EN PLAZO")))))</f>
        <v/>
      </c>
      <c r="Z601" s="41" t="n"/>
      <c r="AA601" s="41" t="n"/>
      <c r="AB601" s="41" t="n"/>
    </row>
    <row r="602">
      <c r="A602" s="39">
        <f>IF($C602="","","NOV-"&amp;TEXT(ROW()-3,"0000"))</f>
        <v/>
      </c>
      <c r="B602" s="40" t="n"/>
      <c r="C602" s="41" t="n"/>
      <c r="D602" s="42">
        <f>IF($C602="","",IFERROR(INDEX(DESPACHOS!$D$3:$D$3002,MATCH($C602,DESPACHOS!$B$3:$B$3002,0)),"SIN DESPACHO"))</f>
        <v/>
      </c>
      <c r="E602" s="42">
        <f>IF($C602="","",IFERROR(INDEX(DESPACHOS!$K$3:$K$3002,MATCH($C602,DESPACHOS!$B$3:$B$3002,0)),""))</f>
        <v/>
      </c>
      <c r="F602" s="42">
        <f>IF($C602="","",IFERROR(INDEX(DESPACHOS!$I$3:$I$3002,MATCH($C602,DESPACHOS!$B$3:$B$3002,0)),""))</f>
        <v/>
      </c>
      <c r="G602" s="42">
        <f>IF($C602="","",IFERROR(INDEX(DESPACHOS!$F$3:$F$3002,MATCH($C602,DESPACHOS!$B$3:$B$3002,0)),""))</f>
        <v/>
      </c>
      <c r="H602" s="42">
        <f>IF($C602="","",IFERROR(INDEX(DESPACHOS!$G$3:$G$3002,MATCH($C602,DESPACHOS!$B$3:$B$3002,0)),""))</f>
        <v/>
      </c>
      <c r="I602" s="39">
        <f>IF($C602="","",IFERROR(INDEX(DESPACHOS!$H$3:$H$3002,MATCH($C602,DESPACHOS!$B$3:$B$3002,0)),""))</f>
        <v/>
      </c>
      <c r="J602" s="43">
        <f>IF($C602="","",IFERROR(INDEX(DESPACHOS!$J$3:$J$3002,MATCH($C602,DESPACHOS!$B$3:$B$3002,0)),""))</f>
        <v/>
      </c>
      <c r="K602" s="39">
        <f>IF($C602="","",IF(COUNTIFS(DESPACHOS!$B$3:$B$3002,$C602)=0,"NO EXISTE",IF(COUNTIFS(DESPACHOS!$B$3:$B$3002,$C602)&gt;1,"DUPLICADO","OK")))</f>
        <v/>
      </c>
      <c r="L602" s="41" t="n"/>
      <c r="M602" s="41" t="n"/>
      <c r="N602" s="42">
        <f>IF($M602="","",IFERROR(INDEX(LISTAS!$F$3:$F$42,MATCH($M602,LISTAS!$E$3:$E$42,0)),"Por definir"))</f>
        <v/>
      </c>
      <c r="O602" s="41" t="n"/>
      <c r="P602" s="39">
        <f>IF($L602="","",IFERROR(INDEX(LISTAS!$B$3:$B$42,MATCH($L602,LISTAS!$A$3:$A$42,0)),"Media"))</f>
        <v/>
      </c>
      <c r="Q602" s="44" t="n"/>
      <c r="R602" s="45" t="n"/>
      <c r="S602" s="20">
        <f>IFERROR(IF(OR($R602="",$C602=""),"",$R602/INDEX(DESPACHOS!$M$3:$M$3002,MATCH($C602,DESPACHOS!$B$3:$B$3002,0))),"")</f>
        <v/>
      </c>
      <c r="T602" s="41" t="n"/>
      <c r="U602" s="43">
        <f>IF(OR($B602="",$L602=""),"",WORKDAY($B602,IFERROR(INDEX(LISTAS!$C$3:$C$42,MATCH($L602,LISTAS!$A$3:$A$42,0)),3)))</f>
        <v/>
      </c>
      <c r="V602" s="40" t="n"/>
      <c r="W602" s="19">
        <f>IF($B602="","",IF($V602&lt;&gt;"",$V602-$B602,TODAY()-$B602))</f>
        <v/>
      </c>
      <c r="X602" s="19">
        <f>IF(OR($B602="",$U602=""),"",IF($V602&lt;&gt;"",MAX(0,$V602-$U602),MAX(0,TODAY()-$U602)))</f>
        <v/>
      </c>
      <c r="Y602" s="39">
        <f>IF($C602="","",IF(IFERROR(INDEX(LISTAS!$I$3:$I$42,MATCH($T602,LISTAS!$H$3:$H$42,0)),"NO")="SÍ",IF(N($X602)&gt;0,"CERRADA FUERA DE SLA","CERRADA EN SLA"),IF($U602="","SIN CLASIFICAR",IF(N($X602)&gt;0,"VENCIDA",IF(TODAY()&gt;=$U602-1,"POR VENCER","EN PLAZO")))))</f>
        <v/>
      </c>
      <c r="Z602" s="41" t="n"/>
      <c r="AA602" s="41" t="n"/>
      <c r="AB602" s="41" t="n"/>
    </row>
    <row r="603">
      <c r="A603" s="39">
        <f>IF($C603="","","NOV-"&amp;TEXT(ROW()-3,"0000"))</f>
        <v/>
      </c>
      <c r="B603" s="40" t="n"/>
      <c r="C603" s="41" t="n"/>
      <c r="D603" s="42">
        <f>IF($C603="","",IFERROR(INDEX(DESPACHOS!$D$3:$D$3002,MATCH($C603,DESPACHOS!$B$3:$B$3002,0)),"SIN DESPACHO"))</f>
        <v/>
      </c>
      <c r="E603" s="42">
        <f>IF($C603="","",IFERROR(INDEX(DESPACHOS!$K$3:$K$3002,MATCH($C603,DESPACHOS!$B$3:$B$3002,0)),""))</f>
        <v/>
      </c>
      <c r="F603" s="42">
        <f>IF($C603="","",IFERROR(INDEX(DESPACHOS!$I$3:$I$3002,MATCH($C603,DESPACHOS!$B$3:$B$3002,0)),""))</f>
        <v/>
      </c>
      <c r="G603" s="42">
        <f>IF($C603="","",IFERROR(INDEX(DESPACHOS!$F$3:$F$3002,MATCH($C603,DESPACHOS!$B$3:$B$3002,0)),""))</f>
        <v/>
      </c>
      <c r="H603" s="42">
        <f>IF($C603="","",IFERROR(INDEX(DESPACHOS!$G$3:$G$3002,MATCH($C603,DESPACHOS!$B$3:$B$3002,0)),""))</f>
        <v/>
      </c>
      <c r="I603" s="39">
        <f>IF($C603="","",IFERROR(INDEX(DESPACHOS!$H$3:$H$3002,MATCH($C603,DESPACHOS!$B$3:$B$3002,0)),""))</f>
        <v/>
      </c>
      <c r="J603" s="43">
        <f>IF($C603="","",IFERROR(INDEX(DESPACHOS!$J$3:$J$3002,MATCH($C603,DESPACHOS!$B$3:$B$3002,0)),""))</f>
        <v/>
      </c>
      <c r="K603" s="39">
        <f>IF($C603="","",IF(COUNTIFS(DESPACHOS!$B$3:$B$3002,$C603)=0,"NO EXISTE",IF(COUNTIFS(DESPACHOS!$B$3:$B$3002,$C603)&gt;1,"DUPLICADO","OK")))</f>
        <v/>
      </c>
      <c r="L603" s="41" t="n"/>
      <c r="M603" s="41" t="n"/>
      <c r="N603" s="42">
        <f>IF($M603="","",IFERROR(INDEX(LISTAS!$F$3:$F$42,MATCH($M603,LISTAS!$E$3:$E$42,0)),"Por definir"))</f>
        <v/>
      </c>
      <c r="O603" s="41" t="n"/>
      <c r="P603" s="39">
        <f>IF($L603="","",IFERROR(INDEX(LISTAS!$B$3:$B$42,MATCH($L603,LISTAS!$A$3:$A$42,0)),"Media"))</f>
        <v/>
      </c>
      <c r="Q603" s="44" t="n"/>
      <c r="R603" s="45" t="n"/>
      <c r="S603" s="20">
        <f>IFERROR(IF(OR($R603="",$C603=""),"",$R603/INDEX(DESPACHOS!$M$3:$M$3002,MATCH($C603,DESPACHOS!$B$3:$B$3002,0))),"")</f>
        <v/>
      </c>
      <c r="T603" s="41" t="n"/>
      <c r="U603" s="43">
        <f>IF(OR($B603="",$L603=""),"",WORKDAY($B603,IFERROR(INDEX(LISTAS!$C$3:$C$42,MATCH($L603,LISTAS!$A$3:$A$42,0)),3)))</f>
        <v/>
      </c>
      <c r="V603" s="40" t="n"/>
      <c r="W603" s="19">
        <f>IF($B603="","",IF($V603&lt;&gt;"",$V603-$B603,TODAY()-$B603))</f>
        <v/>
      </c>
      <c r="X603" s="19">
        <f>IF(OR($B603="",$U603=""),"",IF($V603&lt;&gt;"",MAX(0,$V603-$U603),MAX(0,TODAY()-$U603)))</f>
        <v/>
      </c>
      <c r="Y603" s="39">
        <f>IF($C603="","",IF(IFERROR(INDEX(LISTAS!$I$3:$I$42,MATCH($T603,LISTAS!$H$3:$H$42,0)),"NO")="SÍ",IF(N($X603)&gt;0,"CERRADA FUERA DE SLA","CERRADA EN SLA"),IF($U603="","SIN CLASIFICAR",IF(N($X603)&gt;0,"VENCIDA",IF(TODAY()&gt;=$U603-1,"POR VENCER","EN PLAZO")))))</f>
        <v/>
      </c>
      <c r="Z603" s="41" t="n"/>
      <c r="AA603" s="41" t="n"/>
      <c r="AB603" s="41" t="n"/>
    </row>
    <row r="604">
      <c r="A604" s="39">
        <f>IF($C604="","","NOV-"&amp;TEXT(ROW()-3,"0000"))</f>
        <v/>
      </c>
      <c r="B604" s="40" t="n"/>
      <c r="C604" s="41" t="n"/>
      <c r="D604" s="42">
        <f>IF($C604="","",IFERROR(INDEX(DESPACHOS!$D$3:$D$3002,MATCH($C604,DESPACHOS!$B$3:$B$3002,0)),"SIN DESPACHO"))</f>
        <v/>
      </c>
      <c r="E604" s="42">
        <f>IF($C604="","",IFERROR(INDEX(DESPACHOS!$K$3:$K$3002,MATCH($C604,DESPACHOS!$B$3:$B$3002,0)),""))</f>
        <v/>
      </c>
      <c r="F604" s="42">
        <f>IF($C604="","",IFERROR(INDEX(DESPACHOS!$I$3:$I$3002,MATCH($C604,DESPACHOS!$B$3:$B$3002,0)),""))</f>
        <v/>
      </c>
      <c r="G604" s="42">
        <f>IF($C604="","",IFERROR(INDEX(DESPACHOS!$F$3:$F$3002,MATCH($C604,DESPACHOS!$B$3:$B$3002,0)),""))</f>
        <v/>
      </c>
      <c r="H604" s="42">
        <f>IF($C604="","",IFERROR(INDEX(DESPACHOS!$G$3:$G$3002,MATCH($C604,DESPACHOS!$B$3:$B$3002,0)),""))</f>
        <v/>
      </c>
      <c r="I604" s="39">
        <f>IF($C604="","",IFERROR(INDEX(DESPACHOS!$H$3:$H$3002,MATCH($C604,DESPACHOS!$B$3:$B$3002,0)),""))</f>
        <v/>
      </c>
      <c r="J604" s="43">
        <f>IF($C604="","",IFERROR(INDEX(DESPACHOS!$J$3:$J$3002,MATCH($C604,DESPACHOS!$B$3:$B$3002,0)),""))</f>
        <v/>
      </c>
      <c r="K604" s="39">
        <f>IF($C604="","",IF(COUNTIFS(DESPACHOS!$B$3:$B$3002,$C604)=0,"NO EXISTE",IF(COUNTIFS(DESPACHOS!$B$3:$B$3002,$C604)&gt;1,"DUPLICADO","OK")))</f>
        <v/>
      </c>
      <c r="L604" s="41" t="n"/>
      <c r="M604" s="41" t="n"/>
      <c r="N604" s="42">
        <f>IF($M604="","",IFERROR(INDEX(LISTAS!$F$3:$F$42,MATCH($M604,LISTAS!$E$3:$E$42,0)),"Por definir"))</f>
        <v/>
      </c>
      <c r="O604" s="41" t="n"/>
      <c r="P604" s="39">
        <f>IF($L604="","",IFERROR(INDEX(LISTAS!$B$3:$B$42,MATCH($L604,LISTAS!$A$3:$A$42,0)),"Media"))</f>
        <v/>
      </c>
      <c r="Q604" s="44" t="n"/>
      <c r="R604" s="45" t="n"/>
      <c r="S604" s="20">
        <f>IFERROR(IF(OR($R604="",$C604=""),"",$R604/INDEX(DESPACHOS!$M$3:$M$3002,MATCH($C604,DESPACHOS!$B$3:$B$3002,0))),"")</f>
        <v/>
      </c>
      <c r="T604" s="41" t="n"/>
      <c r="U604" s="43">
        <f>IF(OR($B604="",$L604=""),"",WORKDAY($B604,IFERROR(INDEX(LISTAS!$C$3:$C$42,MATCH($L604,LISTAS!$A$3:$A$42,0)),3)))</f>
        <v/>
      </c>
      <c r="V604" s="40" t="n"/>
      <c r="W604" s="19">
        <f>IF($B604="","",IF($V604&lt;&gt;"",$V604-$B604,TODAY()-$B604))</f>
        <v/>
      </c>
      <c r="X604" s="19">
        <f>IF(OR($B604="",$U604=""),"",IF($V604&lt;&gt;"",MAX(0,$V604-$U604),MAX(0,TODAY()-$U604)))</f>
        <v/>
      </c>
      <c r="Y604" s="39">
        <f>IF($C604="","",IF(IFERROR(INDEX(LISTAS!$I$3:$I$42,MATCH($T604,LISTAS!$H$3:$H$42,0)),"NO")="SÍ",IF(N($X604)&gt;0,"CERRADA FUERA DE SLA","CERRADA EN SLA"),IF($U604="","SIN CLASIFICAR",IF(N($X604)&gt;0,"VENCIDA",IF(TODAY()&gt;=$U604-1,"POR VENCER","EN PLAZO")))))</f>
        <v/>
      </c>
      <c r="Z604" s="41" t="n"/>
      <c r="AA604" s="41" t="n"/>
      <c r="AB604" s="41" t="n"/>
    </row>
    <row r="605">
      <c r="A605" s="39">
        <f>IF($C605="","","NOV-"&amp;TEXT(ROW()-3,"0000"))</f>
        <v/>
      </c>
      <c r="B605" s="40" t="n"/>
      <c r="C605" s="41" t="n"/>
      <c r="D605" s="42">
        <f>IF($C605="","",IFERROR(INDEX(DESPACHOS!$D$3:$D$3002,MATCH($C605,DESPACHOS!$B$3:$B$3002,0)),"SIN DESPACHO"))</f>
        <v/>
      </c>
      <c r="E605" s="42">
        <f>IF($C605="","",IFERROR(INDEX(DESPACHOS!$K$3:$K$3002,MATCH($C605,DESPACHOS!$B$3:$B$3002,0)),""))</f>
        <v/>
      </c>
      <c r="F605" s="42">
        <f>IF($C605="","",IFERROR(INDEX(DESPACHOS!$I$3:$I$3002,MATCH($C605,DESPACHOS!$B$3:$B$3002,0)),""))</f>
        <v/>
      </c>
      <c r="G605" s="42">
        <f>IF($C605="","",IFERROR(INDEX(DESPACHOS!$F$3:$F$3002,MATCH($C605,DESPACHOS!$B$3:$B$3002,0)),""))</f>
        <v/>
      </c>
      <c r="H605" s="42">
        <f>IF($C605="","",IFERROR(INDEX(DESPACHOS!$G$3:$G$3002,MATCH($C605,DESPACHOS!$B$3:$B$3002,0)),""))</f>
        <v/>
      </c>
      <c r="I605" s="39">
        <f>IF($C605="","",IFERROR(INDEX(DESPACHOS!$H$3:$H$3002,MATCH($C605,DESPACHOS!$B$3:$B$3002,0)),""))</f>
        <v/>
      </c>
      <c r="J605" s="43">
        <f>IF($C605="","",IFERROR(INDEX(DESPACHOS!$J$3:$J$3002,MATCH($C605,DESPACHOS!$B$3:$B$3002,0)),""))</f>
        <v/>
      </c>
      <c r="K605" s="39">
        <f>IF($C605="","",IF(COUNTIFS(DESPACHOS!$B$3:$B$3002,$C605)=0,"NO EXISTE",IF(COUNTIFS(DESPACHOS!$B$3:$B$3002,$C605)&gt;1,"DUPLICADO","OK")))</f>
        <v/>
      </c>
      <c r="L605" s="41" t="n"/>
      <c r="M605" s="41" t="n"/>
      <c r="N605" s="42">
        <f>IF($M605="","",IFERROR(INDEX(LISTAS!$F$3:$F$42,MATCH($M605,LISTAS!$E$3:$E$42,0)),"Por definir"))</f>
        <v/>
      </c>
      <c r="O605" s="41" t="n"/>
      <c r="P605" s="39">
        <f>IF($L605="","",IFERROR(INDEX(LISTAS!$B$3:$B$42,MATCH($L605,LISTAS!$A$3:$A$42,0)),"Media"))</f>
        <v/>
      </c>
      <c r="Q605" s="44" t="n"/>
      <c r="R605" s="45" t="n"/>
      <c r="S605" s="20">
        <f>IFERROR(IF(OR($R605="",$C605=""),"",$R605/INDEX(DESPACHOS!$M$3:$M$3002,MATCH($C605,DESPACHOS!$B$3:$B$3002,0))),"")</f>
        <v/>
      </c>
      <c r="T605" s="41" t="n"/>
      <c r="U605" s="43">
        <f>IF(OR($B605="",$L605=""),"",WORKDAY($B605,IFERROR(INDEX(LISTAS!$C$3:$C$42,MATCH($L605,LISTAS!$A$3:$A$42,0)),3)))</f>
        <v/>
      </c>
      <c r="V605" s="40" t="n"/>
      <c r="W605" s="19">
        <f>IF($B605="","",IF($V605&lt;&gt;"",$V605-$B605,TODAY()-$B605))</f>
        <v/>
      </c>
      <c r="X605" s="19">
        <f>IF(OR($B605="",$U605=""),"",IF($V605&lt;&gt;"",MAX(0,$V605-$U605),MAX(0,TODAY()-$U605)))</f>
        <v/>
      </c>
      <c r="Y605" s="39">
        <f>IF($C605="","",IF(IFERROR(INDEX(LISTAS!$I$3:$I$42,MATCH($T605,LISTAS!$H$3:$H$42,0)),"NO")="SÍ",IF(N($X605)&gt;0,"CERRADA FUERA DE SLA","CERRADA EN SLA"),IF($U605="","SIN CLASIFICAR",IF(N($X605)&gt;0,"VENCIDA",IF(TODAY()&gt;=$U605-1,"POR VENCER","EN PLAZO")))))</f>
        <v/>
      </c>
      <c r="Z605" s="41" t="n"/>
      <c r="AA605" s="41" t="n"/>
      <c r="AB605" s="41" t="n"/>
    </row>
    <row r="606">
      <c r="A606" s="39">
        <f>IF($C606="","","NOV-"&amp;TEXT(ROW()-3,"0000"))</f>
        <v/>
      </c>
      <c r="B606" s="40" t="n"/>
      <c r="C606" s="41" t="n"/>
      <c r="D606" s="42">
        <f>IF($C606="","",IFERROR(INDEX(DESPACHOS!$D$3:$D$3002,MATCH($C606,DESPACHOS!$B$3:$B$3002,0)),"SIN DESPACHO"))</f>
        <v/>
      </c>
      <c r="E606" s="42">
        <f>IF($C606="","",IFERROR(INDEX(DESPACHOS!$K$3:$K$3002,MATCH($C606,DESPACHOS!$B$3:$B$3002,0)),""))</f>
        <v/>
      </c>
      <c r="F606" s="42">
        <f>IF($C606="","",IFERROR(INDEX(DESPACHOS!$I$3:$I$3002,MATCH($C606,DESPACHOS!$B$3:$B$3002,0)),""))</f>
        <v/>
      </c>
      <c r="G606" s="42">
        <f>IF($C606="","",IFERROR(INDEX(DESPACHOS!$F$3:$F$3002,MATCH($C606,DESPACHOS!$B$3:$B$3002,0)),""))</f>
        <v/>
      </c>
      <c r="H606" s="42">
        <f>IF($C606="","",IFERROR(INDEX(DESPACHOS!$G$3:$G$3002,MATCH($C606,DESPACHOS!$B$3:$B$3002,0)),""))</f>
        <v/>
      </c>
      <c r="I606" s="39">
        <f>IF($C606="","",IFERROR(INDEX(DESPACHOS!$H$3:$H$3002,MATCH($C606,DESPACHOS!$B$3:$B$3002,0)),""))</f>
        <v/>
      </c>
      <c r="J606" s="43">
        <f>IF($C606="","",IFERROR(INDEX(DESPACHOS!$J$3:$J$3002,MATCH($C606,DESPACHOS!$B$3:$B$3002,0)),""))</f>
        <v/>
      </c>
      <c r="K606" s="39">
        <f>IF($C606="","",IF(COUNTIFS(DESPACHOS!$B$3:$B$3002,$C606)=0,"NO EXISTE",IF(COUNTIFS(DESPACHOS!$B$3:$B$3002,$C606)&gt;1,"DUPLICADO","OK")))</f>
        <v/>
      </c>
      <c r="L606" s="41" t="n"/>
      <c r="M606" s="41" t="n"/>
      <c r="N606" s="42">
        <f>IF($M606="","",IFERROR(INDEX(LISTAS!$F$3:$F$42,MATCH($M606,LISTAS!$E$3:$E$42,0)),"Por definir"))</f>
        <v/>
      </c>
      <c r="O606" s="41" t="n"/>
      <c r="P606" s="39">
        <f>IF($L606="","",IFERROR(INDEX(LISTAS!$B$3:$B$42,MATCH($L606,LISTAS!$A$3:$A$42,0)),"Media"))</f>
        <v/>
      </c>
      <c r="Q606" s="44" t="n"/>
      <c r="R606" s="45" t="n"/>
      <c r="S606" s="20">
        <f>IFERROR(IF(OR($R606="",$C606=""),"",$R606/INDEX(DESPACHOS!$M$3:$M$3002,MATCH($C606,DESPACHOS!$B$3:$B$3002,0))),"")</f>
        <v/>
      </c>
      <c r="T606" s="41" t="n"/>
      <c r="U606" s="43">
        <f>IF(OR($B606="",$L606=""),"",WORKDAY($B606,IFERROR(INDEX(LISTAS!$C$3:$C$42,MATCH($L606,LISTAS!$A$3:$A$42,0)),3)))</f>
        <v/>
      </c>
      <c r="V606" s="40" t="n"/>
      <c r="W606" s="19">
        <f>IF($B606="","",IF($V606&lt;&gt;"",$V606-$B606,TODAY()-$B606))</f>
        <v/>
      </c>
      <c r="X606" s="19">
        <f>IF(OR($B606="",$U606=""),"",IF($V606&lt;&gt;"",MAX(0,$V606-$U606),MAX(0,TODAY()-$U606)))</f>
        <v/>
      </c>
      <c r="Y606" s="39">
        <f>IF($C606="","",IF(IFERROR(INDEX(LISTAS!$I$3:$I$42,MATCH($T606,LISTAS!$H$3:$H$42,0)),"NO")="SÍ",IF(N($X606)&gt;0,"CERRADA FUERA DE SLA","CERRADA EN SLA"),IF($U606="","SIN CLASIFICAR",IF(N($X606)&gt;0,"VENCIDA",IF(TODAY()&gt;=$U606-1,"POR VENCER","EN PLAZO")))))</f>
        <v/>
      </c>
      <c r="Z606" s="41" t="n"/>
      <c r="AA606" s="41" t="n"/>
      <c r="AB606" s="41" t="n"/>
    </row>
    <row r="607">
      <c r="A607" s="39">
        <f>IF($C607="","","NOV-"&amp;TEXT(ROW()-3,"0000"))</f>
        <v/>
      </c>
      <c r="B607" s="40" t="n"/>
      <c r="C607" s="41" t="n"/>
      <c r="D607" s="42">
        <f>IF($C607="","",IFERROR(INDEX(DESPACHOS!$D$3:$D$3002,MATCH($C607,DESPACHOS!$B$3:$B$3002,0)),"SIN DESPACHO"))</f>
        <v/>
      </c>
      <c r="E607" s="42">
        <f>IF($C607="","",IFERROR(INDEX(DESPACHOS!$K$3:$K$3002,MATCH($C607,DESPACHOS!$B$3:$B$3002,0)),""))</f>
        <v/>
      </c>
      <c r="F607" s="42">
        <f>IF($C607="","",IFERROR(INDEX(DESPACHOS!$I$3:$I$3002,MATCH($C607,DESPACHOS!$B$3:$B$3002,0)),""))</f>
        <v/>
      </c>
      <c r="G607" s="42">
        <f>IF($C607="","",IFERROR(INDEX(DESPACHOS!$F$3:$F$3002,MATCH($C607,DESPACHOS!$B$3:$B$3002,0)),""))</f>
        <v/>
      </c>
      <c r="H607" s="42">
        <f>IF($C607="","",IFERROR(INDEX(DESPACHOS!$G$3:$G$3002,MATCH($C607,DESPACHOS!$B$3:$B$3002,0)),""))</f>
        <v/>
      </c>
      <c r="I607" s="39">
        <f>IF($C607="","",IFERROR(INDEX(DESPACHOS!$H$3:$H$3002,MATCH($C607,DESPACHOS!$B$3:$B$3002,0)),""))</f>
        <v/>
      </c>
      <c r="J607" s="43">
        <f>IF($C607="","",IFERROR(INDEX(DESPACHOS!$J$3:$J$3002,MATCH($C607,DESPACHOS!$B$3:$B$3002,0)),""))</f>
        <v/>
      </c>
      <c r="K607" s="39">
        <f>IF($C607="","",IF(COUNTIFS(DESPACHOS!$B$3:$B$3002,$C607)=0,"NO EXISTE",IF(COUNTIFS(DESPACHOS!$B$3:$B$3002,$C607)&gt;1,"DUPLICADO","OK")))</f>
        <v/>
      </c>
      <c r="L607" s="41" t="n"/>
      <c r="M607" s="41" t="n"/>
      <c r="N607" s="42">
        <f>IF($M607="","",IFERROR(INDEX(LISTAS!$F$3:$F$42,MATCH($M607,LISTAS!$E$3:$E$42,0)),"Por definir"))</f>
        <v/>
      </c>
      <c r="O607" s="41" t="n"/>
      <c r="P607" s="39">
        <f>IF($L607="","",IFERROR(INDEX(LISTAS!$B$3:$B$42,MATCH($L607,LISTAS!$A$3:$A$42,0)),"Media"))</f>
        <v/>
      </c>
      <c r="Q607" s="44" t="n"/>
      <c r="R607" s="45" t="n"/>
      <c r="S607" s="20">
        <f>IFERROR(IF(OR($R607="",$C607=""),"",$R607/INDEX(DESPACHOS!$M$3:$M$3002,MATCH($C607,DESPACHOS!$B$3:$B$3002,0))),"")</f>
        <v/>
      </c>
      <c r="T607" s="41" t="n"/>
      <c r="U607" s="43">
        <f>IF(OR($B607="",$L607=""),"",WORKDAY($B607,IFERROR(INDEX(LISTAS!$C$3:$C$42,MATCH($L607,LISTAS!$A$3:$A$42,0)),3)))</f>
        <v/>
      </c>
      <c r="V607" s="40" t="n"/>
      <c r="W607" s="19">
        <f>IF($B607="","",IF($V607&lt;&gt;"",$V607-$B607,TODAY()-$B607))</f>
        <v/>
      </c>
      <c r="X607" s="19">
        <f>IF(OR($B607="",$U607=""),"",IF($V607&lt;&gt;"",MAX(0,$V607-$U607),MAX(0,TODAY()-$U607)))</f>
        <v/>
      </c>
      <c r="Y607" s="39">
        <f>IF($C607="","",IF(IFERROR(INDEX(LISTAS!$I$3:$I$42,MATCH($T607,LISTAS!$H$3:$H$42,0)),"NO")="SÍ",IF(N($X607)&gt;0,"CERRADA FUERA DE SLA","CERRADA EN SLA"),IF($U607="","SIN CLASIFICAR",IF(N($X607)&gt;0,"VENCIDA",IF(TODAY()&gt;=$U607-1,"POR VENCER","EN PLAZO")))))</f>
        <v/>
      </c>
      <c r="Z607" s="41" t="n"/>
      <c r="AA607" s="41" t="n"/>
      <c r="AB607" s="41" t="n"/>
    </row>
    <row r="608">
      <c r="A608" s="39">
        <f>IF($C608="","","NOV-"&amp;TEXT(ROW()-3,"0000"))</f>
        <v/>
      </c>
      <c r="B608" s="40" t="n"/>
      <c r="C608" s="41" t="n"/>
      <c r="D608" s="42">
        <f>IF($C608="","",IFERROR(INDEX(DESPACHOS!$D$3:$D$3002,MATCH($C608,DESPACHOS!$B$3:$B$3002,0)),"SIN DESPACHO"))</f>
        <v/>
      </c>
      <c r="E608" s="42">
        <f>IF($C608="","",IFERROR(INDEX(DESPACHOS!$K$3:$K$3002,MATCH($C608,DESPACHOS!$B$3:$B$3002,0)),""))</f>
        <v/>
      </c>
      <c r="F608" s="42">
        <f>IF($C608="","",IFERROR(INDEX(DESPACHOS!$I$3:$I$3002,MATCH($C608,DESPACHOS!$B$3:$B$3002,0)),""))</f>
        <v/>
      </c>
      <c r="G608" s="42">
        <f>IF($C608="","",IFERROR(INDEX(DESPACHOS!$F$3:$F$3002,MATCH($C608,DESPACHOS!$B$3:$B$3002,0)),""))</f>
        <v/>
      </c>
      <c r="H608" s="42">
        <f>IF($C608="","",IFERROR(INDEX(DESPACHOS!$G$3:$G$3002,MATCH($C608,DESPACHOS!$B$3:$B$3002,0)),""))</f>
        <v/>
      </c>
      <c r="I608" s="39">
        <f>IF($C608="","",IFERROR(INDEX(DESPACHOS!$H$3:$H$3002,MATCH($C608,DESPACHOS!$B$3:$B$3002,0)),""))</f>
        <v/>
      </c>
      <c r="J608" s="43">
        <f>IF($C608="","",IFERROR(INDEX(DESPACHOS!$J$3:$J$3002,MATCH($C608,DESPACHOS!$B$3:$B$3002,0)),""))</f>
        <v/>
      </c>
      <c r="K608" s="39">
        <f>IF($C608="","",IF(COUNTIFS(DESPACHOS!$B$3:$B$3002,$C608)=0,"NO EXISTE",IF(COUNTIFS(DESPACHOS!$B$3:$B$3002,$C608)&gt;1,"DUPLICADO","OK")))</f>
        <v/>
      </c>
      <c r="L608" s="41" t="n"/>
      <c r="M608" s="41" t="n"/>
      <c r="N608" s="42">
        <f>IF($M608="","",IFERROR(INDEX(LISTAS!$F$3:$F$42,MATCH($M608,LISTAS!$E$3:$E$42,0)),"Por definir"))</f>
        <v/>
      </c>
      <c r="O608" s="41" t="n"/>
      <c r="P608" s="39">
        <f>IF($L608="","",IFERROR(INDEX(LISTAS!$B$3:$B$42,MATCH($L608,LISTAS!$A$3:$A$42,0)),"Media"))</f>
        <v/>
      </c>
      <c r="Q608" s="44" t="n"/>
      <c r="R608" s="45" t="n"/>
      <c r="S608" s="20">
        <f>IFERROR(IF(OR($R608="",$C608=""),"",$R608/INDEX(DESPACHOS!$M$3:$M$3002,MATCH($C608,DESPACHOS!$B$3:$B$3002,0))),"")</f>
        <v/>
      </c>
      <c r="T608" s="41" t="n"/>
      <c r="U608" s="43">
        <f>IF(OR($B608="",$L608=""),"",WORKDAY($B608,IFERROR(INDEX(LISTAS!$C$3:$C$42,MATCH($L608,LISTAS!$A$3:$A$42,0)),3)))</f>
        <v/>
      </c>
      <c r="V608" s="40" t="n"/>
      <c r="W608" s="19">
        <f>IF($B608="","",IF($V608&lt;&gt;"",$V608-$B608,TODAY()-$B608))</f>
        <v/>
      </c>
      <c r="X608" s="19">
        <f>IF(OR($B608="",$U608=""),"",IF($V608&lt;&gt;"",MAX(0,$V608-$U608),MAX(0,TODAY()-$U608)))</f>
        <v/>
      </c>
      <c r="Y608" s="39">
        <f>IF($C608="","",IF(IFERROR(INDEX(LISTAS!$I$3:$I$42,MATCH($T608,LISTAS!$H$3:$H$42,0)),"NO")="SÍ",IF(N($X608)&gt;0,"CERRADA FUERA DE SLA","CERRADA EN SLA"),IF($U608="","SIN CLASIFICAR",IF(N($X608)&gt;0,"VENCIDA",IF(TODAY()&gt;=$U608-1,"POR VENCER","EN PLAZO")))))</f>
        <v/>
      </c>
      <c r="Z608" s="41" t="n"/>
      <c r="AA608" s="41" t="n"/>
      <c r="AB608" s="41" t="n"/>
    </row>
    <row r="609">
      <c r="A609" s="39">
        <f>IF($C609="","","NOV-"&amp;TEXT(ROW()-3,"0000"))</f>
        <v/>
      </c>
      <c r="B609" s="40" t="n"/>
      <c r="C609" s="41" t="n"/>
      <c r="D609" s="42">
        <f>IF($C609="","",IFERROR(INDEX(DESPACHOS!$D$3:$D$3002,MATCH($C609,DESPACHOS!$B$3:$B$3002,0)),"SIN DESPACHO"))</f>
        <v/>
      </c>
      <c r="E609" s="42">
        <f>IF($C609="","",IFERROR(INDEX(DESPACHOS!$K$3:$K$3002,MATCH($C609,DESPACHOS!$B$3:$B$3002,0)),""))</f>
        <v/>
      </c>
      <c r="F609" s="42">
        <f>IF($C609="","",IFERROR(INDEX(DESPACHOS!$I$3:$I$3002,MATCH($C609,DESPACHOS!$B$3:$B$3002,0)),""))</f>
        <v/>
      </c>
      <c r="G609" s="42">
        <f>IF($C609="","",IFERROR(INDEX(DESPACHOS!$F$3:$F$3002,MATCH($C609,DESPACHOS!$B$3:$B$3002,0)),""))</f>
        <v/>
      </c>
      <c r="H609" s="42">
        <f>IF($C609="","",IFERROR(INDEX(DESPACHOS!$G$3:$G$3002,MATCH($C609,DESPACHOS!$B$3:$B$3002,0)),""))</f>
        <v/>
      </c>
      <c r="I609" s="39">
        <f>IF($C609="","",IFERROR(INDEX(DESPACHOS!$H$3:$H$3002,MATCH($C609,DESPACHOS!$B$3:$B$3002,0)),""))</f>
        <v/>
      </c>
      <c r="J609" s="43">
        <f>IF($C609="","",IFERROR(INDEX(DESPACHOS!$J$3:$J$3002,MATCH($C609,DESPACHOS!$B$3:$B$3002,0)),""))</f>
        <v/>
      </c>
      <c r="K609" s="39">
        <f>IF($C609="","",IF(COUNTIFS(DESPACHOS!$B$3:$B$3002,$C609)=0,"NO EXISTE",IF(COUNTIFS(DESPACHOS!$B$3:$B$3002,$C609)&gt;1,"DUPLICADO","OK")))</f>
        <v/>
      </c>
      <c r="L609" s="41" t="n"/>
      <c r="M609" s="41" t="n"/>
      <c r="N609" s="42">
        <f>IF($M609="","",IFERROR(INDEX(LISTAS!$F$3:$F$42,MATCH($M609,LISTAS!$E$3:$E$42,0)),"Por definir"))</f>
        <v/>
      </c>
      <c r="O609" s="41" t="n"/>
      <c r="P609" s="39">
        <f>IF($L609="","",IFERROR(INDEX(LISTAS!$B$3:$B$42,MATCH($L609,LISTAS!$A$3:$A$42,0)),"Media"))</f>
        <v/>
      </c>
      <c r="Q609" s="44" t="n"/>
      <c r="R609" s="45" t="n"/>
      <c r="S609" s="20">
        <f>IFERROR(IF(OR($R609="",$C609=""),"",$R609/INDEX(DESPACHOS!$M$3:$M$3002,MATCH($C609,DESPACHOS!$B$3:$B$3002,0))),"")</f>
        <v/>
      </c>
      <c r="T609" s="41" t="n"/>
      <c r="U609" s="43">
        <f>IF(OR($B609="",$L609=""),"",WORKDAY($B609,IFERROR(INDEX(LISTAS!$C$3:$C$42,MATCH($L609,LISTAS!$A$3:$A$42,0)),3)))</f>
        <v/>
      </c>
      <c r="V609" s="40" t="n"/>
      <c r="W609" s="19">
        <f>IF($B609="","",IF($V609&lt;&gt;"",$V609-$B609,TODAY()-$B609))</f>
        <v/>
      </c>
      <c r="X609" s="19">
        <f>IF(OR($B609="",$U609=""),"",IF($V609&lt;&gt;"",MAX(0,$V609-$U609),MAX(0,TODAY()-$U609)))</f>
        <v/>
      </c>
      <c r="Y609" s="39">
        <f>IF($C609="","",IF(IFERROR(INDEX(LISTAS!$I$3:$I$42,MATCH($T609,LISTAS!$H$3:$H$42,0)),"NO")="SÍ",IF(N($X609)&gt;0,"CERRADA FUERA DE SLA","CERRADA EN SLA"),IF($U609="","SIN CLASIFICAR",IF(N($X609)&gt;0,"VENCIDA",IF(TODAY()&gt;=$U609-1,"POR VENCER","EN PLAZO")))))</f>
        <v/>
      </c>
      <c r="Z609" s="41" t="n"/>
      <c r="AA609" s="41" t="n"/>
      <c r="AB609" s="41" t="n"/>
    </row>
    <row r="610">
      <c r="A610" s="39">
        <f>IF($C610="","","NOV-"&amp;TEXT(ROW()-3,"0000"))</f>
        <v/>
      </c>
      <c r="B610" s="40" t="n"/>
      <c r="C610" s="41" t="n"/>
      <c r="D610" s="42">
        <f>IF($C610="","",IFERROR(INDEX(DESPACHOS!$D$3:$D$3002,MATCH($C610,DESPACHOS!$B$3:$B$3002,0)),"SIN DESPACHO"))</f>
        <v/>
      </c>
      <c r="E610" s="42">
        <f>IF($C610="","",IFERROR(INDEX(DESPACHOS!$K$3:$K$3002,MATCH($C610,DESPACHOS!$B$3:$B$3002,0)),""))</f>
        <v/>
      </c>
      <c r="F610" s="42">
        <f>IF($C610="","",IFERROR(INDEX(DESPACHOS!$I$3:$I$3002,MATCH($C610,DESPACHOS!$B$3:$B$3002,0)),""))</f>
        <v/>
      </c>
      <c r="G610" s="42">
        <f>IF($C610="","",IFERROR(INDEX(DESPACHOS!$F$3:$F$3002,MATCH($C610,DESPACHOS!$B$3:$B$3002,0)),""))</f>
        <v/>
      </c>
      <c r="H610" s="42">
        <f>IF($C610="","",IFERROR(INDEX(DESPACHOS!$G$3:$G$3002,MATCH($C610,DESPACHOS!$B$3:$B$3002,0)),""))</f>
        <v/>
      </c>
      <c r="I610" s="39">
        <f>IF($C610="","",IFERROR(INDEX(DESPACHOS!$H$3:$H$3002,MATCH($C610,DESPACHOS!$B$3:$B$3002,0)),""))</f>
        <v/>
      </c>
      <c r="J610" s="43">
        <f>IF($C610="","",IFERROR(INDEX(DESPACHOS!$J$3:$J$3002,MATCH($C610,DESPACHOS!$B$3:$B$3002,0)),""))</f>
        <v/>
      </c>
      <c r="K610" s="39">
        <f>IF($C610="","",IF(COUNTIFS(DESPACHOS!$B$3:$B$3002,$C610)=0,"NO EXISTE",IF(COUNTIFS(DESPACHOS!$B$3:$B$3002,$C610)&gt;1,"DUPLICADO","OK")))</f>
        <v/>
      </c>
      <c r="L610" s="41" t="n"/>
      <c r="M610" s="41" t="n"/>
      <c r="N610" s="42">
        <f>IF($M610="","",IFERROR(INDEX(LISTAS!$F$3:$F$42,MATCH($M610,LISTAS!$E$3:$E$42,0)),"Por definir"))</f>
        <v/>
      </c>
      <c r="O610" s="41" t="n"/>
      <c r="P610" s="39">
        <f>IF($L610="","",IFERROR(INDEX(LISTAS!$B$3:$B$42,MATCH($L610,LISTAS!$A$3:$A$42,0)),"Media"))</f>
        <v/>
      </c>
      <c r="Q610" s="44" t="n"/>
      <c r="R610" s="45" t="n"/>
      <c r="S610" s="20">
        <f>IFERROR(IF(OR($R610="",$C610=""),"",$R610/INDEX(DESPACHOS!$M$3:$M$3002,MATCH($C610,DESPACHOS!$B$3:$B$3002,0))),"")</f>
        <v/>
      </c>
      <c r="T610" s="41" t="n"/>
      <c r="U610" s="43">
        <f>IF(OR($B610="",$L610=""),"",WORKDAY($B610,IFERROR(INDEX(LISTAS!$C$3:$C$42,MATCH($L610,LISTAS!$A$3:$A$42,0)),3)))</f>
        <v/>
      </c>
      <c r="V610" s="40" t="n"/>
      <c r="W610" s="19">
        <f>IF($B610="","",IF($V610&lt;&gt;"",$V610-$B610,TODAY()-$B610))</f>
        <v/>
      </c>
      <c r="X610" s="19">
        <f>IF(OR($B610="",$U610=""),"",IF($V610&lt;&gt;"",MAX(0,$V610-$U610),MAX(0,TODAY()-$U610)))</f>
        <v/>
      </c>
      <c r="Y610" s="39">
        <f>IF($C610="","",IF(IFERROR(INDEX(LISTAS!$I$3:$I$42,MATCH($T610,LISTAS!$H$3:$H$42,0)),"NO")="SÍ",IF(N($X610)&gt;0,"CERRADA FUERA DE SLA","CERRADA EN SLA"),IF($U610="","SIN CLASIFICAR",IF(N($X610)&gt;0,"VENCIDA",IF(TODAY()&gt;=$U610-1,"POR VENCER","EN PLAZO")))))</f>
        <v/>
      </c>
      <c r="Z610" s="41" t="n"/>
      <c r="AA610" s="41" t="n"/>
      <c r="AB610" s="41" t="n"/>
    </row>
    <row r="611">
      <c r="A611" s="39">
        <f>IF($C611="","","NOV-"&amp;TEXT(ROW()-3,"0000"))</f>
        <v/>
      </c>
      <c r="B611" s="40" t="n"/>
      <c r="C611" s="41" t="n"/>
      <c r="D611" s="42">
        <f>IF($C611="","",IFERROR(INDEX(DESPACHOS!$D$3:$D$3002,MATCH($C611,DESPACHOS!$B$3:$B$3002,0)),"SIN DESPACHO"))</f>
        <v/>
      </c>
      <c r="E611" s="42">
        <f>IF($C611="","",IFERROR(INDEX(DESPACHOS!$K$3:$K$3002,MATCH($C611,DESPACHOS!$B$3:$B$3002,0)),""))</f>
        <v/>
      </c>
      <c r="F611" s="42">
        <f>IF($C611="","",IFERROR(INDEX(DESPACHOS!$I$3:$I$3002,MATCH($C611,DESPACHOS!$B$3:$B$3002,0)),""))</f>
        <v/>
      </c>
      <c r="G611" s="42">
        <f>IF($C611="","",IFERROR(INDEX(DESPACHOS!$F$3:$F$3002,MATCH($C611,DESPACHOS!$B$3:$B$3002,0)),""))</f>
        <v/>
      </c>
      <c r="H611" s="42">
        <f>IF($C611="","",IFERROR(INDEX(DESPACHOS!$G$3:$G$3002,MATCH($C611,DESPACHOS!$B$3:$B$3002,0)),""))</f>
        <v/>
      </c>
      <c r="I611" s="39">
        <f>IF($C611="","",IFERROR(INDEX(DESPACHOS!$H$3:$H$3002,MATCH($C611,DESPACHOS!$B$3:$B$3002,0)),""))</f>
        <v/>
      </c>
      <c r="J611" s="43">
        <f>IF($C611="","",IFERROR(INDEX(DESPACHOS!$J$3:$J$3002,MATCH($C611,DESPACHOS!$B$3:$B$3002,0)),""))</f>
        <v/>
      </c>
      <c r="K611" s="39">
        <f>IF($C611="","",IF(COUNTIFS(DESPACHOS!$B$3:$B$3002,$C611)=0,"NO EXISTE",IF(COUNTIFS(DESPACHOS!$B$3:$B$3002,$C611)&gt;1,"DUPLICADO","OK")))</f>
        <v/>
      </c>
      <c r="L611" s="41" t="n"/>
      <c r="M611" s="41" t="n"/>
      <c r="N611" s="42">
        <f>IF($M611="","",IFERROR(INDEX(LISTAS!$F$3:$F$42,MATCH($M611,LISTAS!$E$3:$E$42,0)),"Por definir"))</f>
        <v/>
      </c>
      <c r="O611" s="41" t="n"/>
      <c r="P611" s="39">
        <f>IF($L611="","",IFERROR(INDEX(LISTAS!$B$3:$B$42,MATCH($L611,LISTAS!$A$3:$A$42,0)),"Media"))</f>
        <v/>
      </c>
      <c r="Q611" s="44" t="n"/>
      <c r="R611" s="45" t="n"/>
      <c r="S611" s="20">
        <f>IFERROR(IF(OR($R611="",$C611=""),"",$R611/INDEX(DESPACHOS!$M$3:$M$3002,MATCH($C611,DESPACHOS!$B$3:$B$3002,0))),"")</f>
        <v/>
      </c>
      <c r="T611" s="41" t="n"/>
      <c r="U611" s="43">
        <f>IF(OR($B611="",$L611=""),"",WORKDAY($B611,IFERROR(INDEX(LISTAS!$C$3:$C$42,MATCH($L611,LISTAS!$A$3:$A$42,0)),3)))</f>
        <v/>
      </c>
      <c r="V611" s="40" t="n"/>
      <c r="W611" s="19">
        <f>IF($B611="","",IF($V611&lt;&gt;"",$V611-$B611,TODAY()-$B611))</f>
        <v/>
      </c>
      <c r="X611" s="19">
        <f>IF(OR($B611="",$U611=""),"",IF($V611&lt;&gt;"",MAX(0,$V611-$U611),MAX(0,TODAY()-$U611)))</f>
        <v/>
      </c>
      <c r="Y611" s="39">
        <f>IF($C611="","",IF(IFERROR(INDEX(LISTAS!$I$3:$I$42,MATCH($T611,LISTAS!$H$3:$H$42,0)),"NO")="SÍ",IF(N($X611)&gt;0,"CERRADA FUERA DE SLA","CERRADA EN SLA"),IF($U611="","SIN CLASIFICAR",IF(N($X611)&gt;0,"VENCIDA",IF(TODAY()&gt;=$U611-1,"POR VENCER","EN PLAZO")))))</f>
        <v/>
      </c>
      <c r="Z611" s="41" t="n"/>
      <c r="AA611" s="41" t="n"/>
      <c r="AB611" s="41" t="n"/>
    </row>
    <row r="612">
      <c r="A612" s="39">
        <f>IF($C612="","","NOV-"&amp;TEXT(ROW()-3,"0000"))</f>
        <v/>
      </c>
      <c r="B612" s="40" t="n"/>
      <c r="C612" s="41" t="n"/>
      <c r="D612" s="42">
        <f>IF($C612="","",IFERROR(INDEX(DESPACHOS!$D$3:$D$3002,MATCH($C612,DESPACHOS!$B$3:$B$3002,0)),"SIN DESPACHO"))</f>
        <v/>
      </c>
      <c r="E612" s="42">
        <f>IF($C612="","",IFERROR(INDEX(DESPACHOS!$K$3:$K$3002,MATCH($C612,DESPACHOS!$B$3:$B$3002,0)),""))</f>
        <v/>
      </c>
      <c r="F612" s="42">
        <f>IF($C612="","",IFERROR(INDEX(DESPACHOS!$I$3:$I$3002,MATCH($C612,DESPACHOS!$B$3:$B$3002,0)),""))</f>
        <v/>
      </c>
      <c r="G612" s="42">
        <f>IF($C612="","",IFERROR(INDEX(DESPACHOS!$F$3:$F$3002,MATCH($C612,DESPACHOS!$B$3:$B$3002,0)),""))</f>
        <v/>
      </c>
      <c r="H612" s="42">
        <f>IF($C612="","",IFERROR(INDEX(DESPACHOS!$G$3:$G$3002,MATCH($C612,DESPACHOS!$B$3:$B$3002,0)),""))</f>
        <v/>
      </c>
      <c r="I612" s="39">
        <f>IF($C612="","",IFERROR(INDEX(DESPACHOS!$H$3:$H$3002,MATCH($C612,DESPACHOS!$B$3:$B$3002,0)),""))</f>
        <v/>
      </c>
      <c r="J612" s="43">
        <f>IF($C612="","",IFERROR(INDEX(DESPACHOS!$J$3:$J$3002,MATCH($C612,DESPACHOS!$B$3:$B$3002,0)),""))</f>
        <v/>
      </c>
      <c r="K612" s="39">
        <f>IF($C612="","",IF(COUNTIFS(DESPACHOS!$B$3:$B$3002,$C612)=0,"NO EXISTE",IF(COUNTIFS(DESPACHOS!$B$3:$B$3002,$C612)&gt;1,"DUPLICADO","OK")))</f>
        <v/>
      </c>
      <c r="L612" s="41" t="n"/>
      <c r="M612" s="41" t="n"/>
      <c r="N612" s="42">
        <f>IF($M612="","",IFERROR(INDEX(LISTAS!$F$3:$F$42,MATCH($M612,LISTAS!$E$3:$E$42,0)),"Por definir"))</f>
        <v/>
      </c>
      <c r="O612" s="41" t="n"/>
      <c r="P612" s="39">
        <f>IF($L612="","",IFERROR(INDEX(LISTAS!$B$3:$B$42,MATCH($L612,LISTAS!$A$3:$A$42,0)),"Media"))</f>
        <v/>
      </c>
      <c r="Q612" s="44" t="n"/>
      <c r="R612" s="45" t="n"/>
      <c r="S612" s="20">
        <f>IFERROR(IF(OR($R612="",$C612=""),"",$R612/INDEX(DESPACHOS!$M$3:$M$3002,MATCH($C612,DESPACHOS!$B$3:$B$3002,0))),"")</f>
        <v/>
      </c>
      <c r="T612" s="41" t="n"/>
      <c r="U612" s="43">
        <f>IF(OR($B612="",$L612=""),"",WORKDAY($B612,IFERROR(INDEX(LISTAS!$C$3:$C$42,MATCH($L612,LISTAS!$A$3:$A$42,0)),3)))</f>
        <v/>
      </c>
      <c r="V612" s="40" t="n"/>
      <c r="W612" s="19">
        <f>IF($B612="","",IF($V612&lt;&gt;"",$V612-$B612,TODAY()-$B612))</f>
        <v/>
      </c>
      <c r="X612" s="19">
        <f>IF(OR($B612="",$U612=""),"",IF($V612&lt;&gt;"",MAX(0,$V612-$U612),MAX(0,TODAY()-$U612)))</f>
        <v/>
      </c>
      <c r="Y612" s="39">
        <f>IF($C612="","",IF(IFERROR(INDEX(LISTAS!$I$3:$I$42,MATCH($T612,LISTAS!$H$3:$H$42,0)),"NO")="SÍ",IF(N($X612)&gt;0,"CERRADA FUERA DE SLA","CERRADA EN SLA"),IF($U612="","SIN CLASIFICAR",IF(N($X612)&gt;0,"VENCIDA",IF(TODAY()&gt;=$U612-1,"POR VENCER","EN PLAZO")))))</f>
        <v/>
      </c>
      <c r="Z612" s="41" t="n"/>
      <c r="AA612" s="41" t="n"/>
      <c r="AB612" s="41" t="n"/>
    </row>
    <row r="613">
      <c r="A613" s="39">
        <f>IF($C613="","","NOV-"&amp;TEXT(ROW()-3,"0000"))</f>
        <v/>
      </c>
      <c r="B613" s="40" t="n"/>
      <c r="C613" s="41" t="n"/>
      <c r="D613" s="42">
        <f>IF($C613="","",IFERROR(INDEX(DESPACHOS!$D$3:$D$3002,MATCH($C613,DESPACHOS!$B$3:$B$3002,0)),"SIN DESPACHO"))</f>
        <v/>
      </c>
      <c r="E613" s="42">
        <f>IF($C613="","",IFERROR(INDEX(DESPACHOS!$K$3:$K$3002,MATCH($C613,DESPACHOS!$B$3:$B$3002,0)),""))</f>
        <v/>
      </c>
      <c r="F613" s="42">
        <f>IF($C613="","",IFERROR(INDEX(DESPACHOS!$I$3:$I$3002,MATCH($C613,DESPACHOS!$B$3:$B$3002,0)),""))</f>
        <v/>
      </c>
      <c r="G613" s="42">
        <f>IF($C613="","",IFERROR(INDEX(DESPACHOS!$F$3:$F$3002,MATCH($C613,DESPACHOS!$B$3:$B$3002,0)),""))</f>
        <v/>
      </c>
      <c r="H613" s="42">
        <f>IF($C613="","",IFERROR(INDEX(DESPACHOS!$G$3:$G$3002,MATCH($C613,DESPACHOS!$B$3:$B$3002,0)),""))</f>
        <v/>
      </c>
      <c r="I613" s="39">
        <f>IF($C613="","",IFERROR(INDEX(DESPACHOS!$H$3:$H$3002,MATCH($C613,DESPACHOS!$B$3:$B$3002,0)),""))</f>
        <v/>
      </c>
      <c r="J613" s="43">
        <f>IF($C613="","",IFERROR(INDEX(DESPACHOS!$J$3:$J$3002,MATCH($C613,DESPACHOS!$B$3:$B$3002,0)),""))</f>
        <v/>
      </c>
      <c r="K613" s="39">
        <f>IF($C613="","",IF(COUNTIFS(DESPACHOS!$B$3:$B$3002,$C613)=0,"NO EXISTE",IF(COUNTIFS(DESPACHOS!$B$3:$B$3002,$C613)&gt;1,"DUPLICADO","OK")))</f>
        <v/>
      </c>
      <c r="L613" s="41" t="n"/>
      <c r="M613" s="41" t="n"/>
      <c r="N613" s="42">
        <f>IF($M613="","",IFERROR(INDEX(LISTAS!$F$3:$F$42,MATCH($M613,LISTAS!$E$3:$E$42,0)),"Por definir"))</f>
        <v/>
      </c>
      <c r="O613" s="41" t="n"/>
      <c r="P613" s="39">
        <f>IF($L613="","",IFERROR(INDEX(LISTAS!$B$3:$B$42,MATCH($L613,LISTAS!$A$3:$A$42,0)),"Media"))</f>
        <v/>
      </c>
      <c r="Q613" s="44" t="n"/>
      <c r="R613" s="45" t="n"/>
      <c r="S613" s="20">
        <f>IFERROR(IF(OR($R613="",$C613=""),"",$R613/INDEX(DESPACHOS!$M$3:$M$3002,MATCH($C613,DESPACHOS!$B$3:$B$3002,0))),"")</f>
        <v/>
      </c>
      <c r="T613" s="41" t="n"/>
      <c r="U613" s="43">
        <f>IF(OR($B613="",$L613=""),"",WORKDAY($B613,IFERROR(INDEX(LISTAS!$C$3:$C$42,MATCH($L613,LISTAS!$A$3:$A$42,0)),3)))</f>
        <v/>
      </c>
      <c r="V613" s="40" t="n"/>
      <c r="W613" s="19">
        <f>IF($B613="","",IF($V613&lt;&gt;"",$V613-$B613,TODAY()-$B613))</f>
        <v/>
      </c>
      <c r="X613" s="19">
        <f>IF(OR($B613="",$U613=""),"",IF($V613&lt;&gt;"",MAX(0,$V613-$U613),MAX(0,TODAY()-$U613)))</f>
        <v/>
      </c>
      <c r="Y613" s="39">
        <f>IF($C613="","",IF(IFERROR(INDEX(LISTAS!$I$3:$I$42,MATCH($T613,LISTAS!$H$3:$H$42,0)),"NO")="SÍ",IF(N($X613)&gt;0,"CERRADA FUERA DE SLA","CERRADA EN SLA"),IF($U613="","SIN CLASIFICAR",IF(N($X613)&gt;0,"VENCIDA",IF(TODAY()&gt;=$U613-1,"POR VENCER","EN PLAZO")))))</f>
        <v/>
      </c>
      <c r="Z613" s="41" t="n"/>
      <c r="AA613" s="41" t="n"/>
      <c r="AB613" s="41" t="n"/>
    </row>
    <row r="614">
      <c r="A614" s="39">
        <f>IF($C614="","","NOV-"&amp;TEXT(ROW()-3,"0000"))</f>
        <v/>
      </c>
      <c r="B614" s="40" t="n"/>
      <c r="C614" s="41" t="n"/>
      <c r="D614" s="42">
        <f>IF($C614="","",IFERROR(INDEX(DESPACHOS!$D$3:$D$3002,MATCH($C614,DESPACHOS!$B$3:$B$3002,0)),"SIN DESPACHO"))</f>
        <v/>
      </c>
      <c r="E614" s="42">
        <f>IF($C614="","",IFERROR(INDEX(DESPACHOS!$K$3:$K$3002,MATCH($C614,DESPACHOS!$B$3:$B$3002,0)),""))</f>
        <v/>
      </c>
      <c r="F614" s="42">
        <f>IF($C614="","",IFERROR(INDEX(DESPACHOS!$I$3:$I$3002,MATCH($C614,DESPACHOS!$B$3:$B$3002,0)),""))</f>
        <v/>
      </c>
      <c r="G614" s="42">
        <f>IF($C614="","",IFERROR(INDEX(DESPACHOS!$F$3:$F$3002,MATCH($C614,DESPACHOS!$B$3:$B$3002,0)),""))</f>
        <v/>
      </c>
      <c r="H614" s="42">
        <f>IF($C614="","",IFERROR(INDEX(DESPACHOS!$G$3:$G$3002,MATCH($C614,DESPACHOS!$B$3:$B$3002,0)),""))</f>
        <v/>
      </c>
      <c r="I614" s="39">
        <f>IF($C614="","",IFERROR(INDEX(DESPACHOS!$H$3:$H$3002,MATCH($C614,DESPACHOS!$B$3:$B$3002,0)),""))</f>
        <v/>
      </c>
      <c r="J614" s="43">
        <f>IF($C614="","",IFERROR(INDEX(DESPACHOS!$J$3:$J$3002,MATCH($C614,DESPACHOS!$B$3:$B$3002,0)),""))</f>
        <v/>
      </c>
      <c r="K614" s="39">
        <f>IF($C614="","",IF(COUNTIFS(DESPACHOS!$B$3:$B$3002,$C614)=0,"NO EXISTE",IF(COUNTIFS(DESPACHOS!$B$3:$B$3002,$C614)&gt;1,"DUPLICADO","OK")))</f>
        <v/>
      </c>
      <c r="L614" s="41" t="n"/>
      <c r="M614" s="41" t="n"/>
      <c r="N614" s="42">
        <f>IF($M614="","",IFERROR(INDEX(LISTAS!$F$3:$F$42,MATCH($M614,LISTAS!$E$3:$E$42,0)),"Por definir"))</f>
        <v/>
      </c>
      <c r="O614" s="41" t="n"/>
      <c r="P614" s="39">
        <f>IF($L614="","",IFERROR(INDEX(LISTAS!$B$3:$B$42,MATCH($L614,LISTAS!$A$3:$A$42,0)),"Media"))</f>
        <v/>
      </c>
      <c r="Q614" s="44" t="n"/>
      <c r="R614" s="45" t="n"/>
      <c r="S614" s="20">
        <f>IFERROR(IF(OR($R614="",$C614=""),"",$R614/INDEX(DESPACHOS!$M$3:$M$3002,MATCH($C614,DESPACHOS!$B$3:$B$3002,0))),"")</f>
        <v/>
      </c>
      <c r="T614" s="41" t="n"/>
      <c r="U614" s="43">
        <f>IF(OR($B614="",$L614=""),"",WORKDAY($B614,IFERROR(INDEX(LISTAS!$C$3:$C$42,MATCH($L614,LISTAS!$A$3:$A$42,0)),3)))</f>
        <v/>
      </c>
      <c r="V614" s="40" t="n"/>
      <c r="W614" s="19">
        <f>IF($B614="","",IF($V614&lt;&gt;"",$V614-$B614,TODAY()-$B614))</f>
        <v/>
      </c>
      <c r="X614" s="19">
        <f>IF(OR($B614="",$U614=""),"",IF($V614&lt;&gt;"",MAX(0,$V614-$U614),MAX(0,TODAY()-$U614)))</f>
        <v/>
      </c>
      <c r="Y614" s="39">
        <f>IF($C614="","",IF(IFERROR(INDEX(LISTAS!$I$3:$I$42,MATCH($T614,LISTAS!$H$3:$H$42,0)),"NO")="SÍ",IF(N($X614)&gt;0,"CERRADA FUERA DE SLA","CERRADA EN SLA"),IF($U614="","SIN CLASIFICAR",IF(N($X614)&gt;0,"VENCIDA",IF(TODAY()&gt;=$U614-1,"POR VENCER","EN PLAZO")))))</f>
        <v/>
      </c>
      <c r="Z614" s="41" t="n"/>
      <c r="AA614" s="41" t="n"/>
      <c r="AB614" s="41" t="n"/>
    </row>
    <row r="615">
      <c r="A615" s="39">
        <f>IF($C615="","","NOV-"&amp;TEXT(ROW()-3,"0000"))</f>
        <v/>
      </c>
      <c r="B615" s="40" t="n"/>
      <c r="C615" s="41" t="n"/>
      <c r="D615" s="42">
        <f>IF($C615="","",IFERROR(INDEX(DESPACHOS!$D$3:$D$3002,MATCH($C615,DESPACHOS!$B$3:$B$3002,0)),"SIN DESPACHO"))</f>
        <v/>
      </c>
      <c r="E615" s="42">
        <f>IF($C615="","",IFERROR(INDEX(DESPACHOS!$K$3:$K$3002,MATCH($C615,DESPACHOS!$B$3:$B$3002,0)),""))</f>
        <v/>
      </c>
      <c r="F615" s="42">
        <f>IF($C615="","",IFERROR(INDEX(DESPACHOS!$I$3:$I$3002,MATCH($C615,DESPACHOS!$B$3:$B$3002,0)),""))</f>
        <v/>
      </c>
      <c r="G615" s="42">
        <f>IF($C615="","",IFERROR(INDEX(DESPACHOS!$F$3:$F$3002,MATCH($C615,DESPACHOS!$B$3:$B$3002,0)),""))</f>
        <v/>
      </c>
      <c r="H615" s="42">
        <f>IF($C615="","",IFERROR(INDEX(DESPACHOS!$G$3:$G$3002,MATCH($C615,DESPACHOS!$B$3:$B$3002,0)),""))</f>
        <v/>
      </c>
      <c r="I615" s="39">
        <f>IF($C615="","",IFERROR(INDEX(DESPACHOS!$H$3:$H$3002,MATCH($C615,DESPACHOS!$B$3:$B$3002,0)),""))</f>
        <v/>
      </c>
      <c r="J615" s="43">
        <f>IF($C615="","",IFERROR(INDEX(DESPACHOS!$J$3:$J$3002,MATCH($C615,DESPACHOS!$B$3:$B$3002,0)),""))</f>
        <v/>
      </c>
      <c r="K615" s="39">
        <f>IF($C615="","",IF(COUNTIFS(DESPACHOS!$B$3:$B$3002,$C615)=0,"NO EXISTE",IF(COUNTIFS(DESPACHOS!$B$3:$B$3002,$C615)&gt;1,"DUPLICADO","OK")))</f>
        <v/>
      </c>
      <c r="L615" s="41" t="n"/>
      <c r="M615" s="41" t="n"/>
      <c r="N615" s="42">
        <f>IF($M615="","",IFERROR(INDEX(LISTAS!$F$3:$F$42,MATCH($M615,LISTAS!$E$3:$E$42,0)),"Por definir"))</f>
        <v/>
      </c>
      <c r="O615" s="41" t="n"/>
      <c r="P615" s="39">
        <f>IF($L615="","",IFERROR(INDEX(LISTAS!$B$3:$B$42,MATCH($L615,LISTAS!$A$3:$A$42,0)),"Media"))</f>
        <v/>
      </c>
      <c r="Q615" s="44" t="n"/>
      <c r="R615" s="45" t="n"/>
      <c r="S615" s="20">
        <f>IFERROR(IF(OR($R615="",$C615=""),"",$R615/INDEX(DESPACHOS!$M$3:$M$3002,MATCH($C615,DESPACHOS!$B$3:$B$3002,0))),"")</f>
        <v/>
      </c>
      <c r="T615" s="41" t="n"/>
      <c r="U615" s="43">
        <f>IF(OR($B615="",$L615=""),"",WORKDAY($B615,IFERROR(INDEX(LISTAS!$C$3:$C$42,MATCH($L615,LISTAS!$A$3:$A$42,0)),3)))</f>
        <v/>
      </c>
      <c r="V615" s="40" t="n"/>
      <c r="W615" s="19">
        <f>IF($B615="","",IF($V615&lt;&gt;"",$V615-$B615,TODAY()-$B615))</f>
        <v/>
      </c>
      <c r="X615" s="19">
        <f>IF(OR($B615="",$U615=""),"",IF($V615&lt;&gt;"",MAX(0,$V615-$U615),MAX(0,TODAY()-$U615)))</f>
        <v/>
      </c>
      <c r="Y615" s="39">
        <f>IF($C615="","",IF(IFERROR(INDEX(LISTAS!$I$3:$I$42,MATCH($T615,LISTAS!$H$3:$H$42,0)),"NO")="SÍ",IF(N($X615)&gt;0,"CERRADA FUERA DE SLA","CERRADA EN SLA"),IF($U615="","SIN CLASIFICAR",IF(N($X615)&gt;0,"VENCIDA",IF(TODAY()&gt;=$U615-1,"POR VENCER","EN PLAZO")))))</f>
        <v/>
      </c>
      <c r="Z615" s="41" t="n"/>
      <c r="AA615" s="41" t="n"/>
      <c r="AB615" s="41" t="n"/>
    </row>
    <row r="616">
      <c r="A616" s="39">
        <f>IF($C616="","","NOV-"&amp;TEXT(ROW()-3,"0000"))</f>
        <v/>
      </c>
      <c r="B616" s="40" t="n"/>
      <c r="C616" s="41" t="n"/>
      <c r="D616" s="42">
        <f>IF($C616="","",IFERROR(INDEX(DESPACHOS!$D$3:$D$3002,MATCH($C616,DESPACHOS!$B$3:$B$3002,0)),"SIN DESPACHO"))</f>
        <v/>
      </c>
      <c r="E616" s="42">
        <f>IF($C616="","",IFERROR(INDEX(DESPACHOS!$K$3:$K$3002,MATCH($C616,DESPACHOS!$B$3:$B$3002,0)),""))</f>
        <v/>
      </c>
      <c r="F616" s="42">
        <f>IF($C616="","",IFERROR(INDEX(DESPACHOS!$I$3:$I$3002,MATCH($C616,DESPACHOS!$B$3:$B$3002,0)),""))</f>
        <v/>
      </c>
      <c r="G616" s="42">
        <f>IF($C616="","",IFERROR(INDEX(DESPACHOS!$F$3:$F$3002,MATCH($C616,DESPACHOS!$B$3:$B$3002,0)),""))</f>
        <v/>
      </c>
      <c r="H616" s="42">
        <f>IF($C616="","",IFERROR(INDEX(DESPACHOS!$G$3:$G$3002,MATCH($C616,DESPACHOS!$B$3:$B$3002,0)),""))</f>
        <v/>
      </c>
      <c r="I616" s="39">
        <f>IF($C616="","",IFERROR(INDEX(DESPACHOS!$H$3:$H$3002,MATCH($C616,DESPACHOS!$B$3:$B$3002,0)),""))</f>
        <v/>
      </c>
      <c r="J616" s="43">
        <f>IF($C616="","",IFERROR(INDEX(DESPACHOS!$J$3:$J$3002,MATCH($C616,DESPACHOS!$B$3:$B$3002,0)),""))</f>
        <v/>
      </c>
      <c r="K616" s="39">
        <f>IF($C616="","",IF(COUNTIFS(DESPACHOS!$B$3:$B$3002,$C616)=0,"NO EXISTE",IF(COUNTIFS(DESPACHOS!$B$3:$B$3002,$C616)&gt;1,"DUPLICADO","OK")))</f>
        <v/>
      </c>
      <c r="L616" s="41" t="n"/>
      <c r="M616" s="41" t="n"/>
      <c r="N616" s="42">
        <f>IF($M616="","",IFERROR(INDEX(LISTAS!$F$3:$F$42,MATCH($M616,LISTAS!$E$3:$E$42,0)),"Por definir"))</f>
        <v/>
      </c>
      <c r="O616" s="41" t="n"/>
      <c r="P616" s="39">
        <f>IF($L616="","",IFERROR(INDEX(LISTAS!$B$3:$B$42,MATCH($L616,LISTAS!$A$3:$A$42,0)),"Media"))</f>
        <v/>
      </c>
      <c r="Q616" s="44" t="n"/>
      <c r="R616" s="45" t="n"/>
      <c r="S616" s="20">
        <f>IFERROR(IF(OR($R616="",$C616=""),"",$R616/INDEX(DESPACHOS!$M$3:$M$3002,MATCH($C616,DESPACHOS!$B$3:$B$3002,0))),"")</f>
        <v/>
      </c>
      <c r="T616" s="41" t="n"/>
      <c r="U616" s="43">
        <f>IF(OR($B616="",$L616=""),"",WORKDAY($B616,IFERROR(INDEX(LISTAS!$C$3:$C$42,MATCH($L616,LISTAS!$A$3:$A$42,0)),3)))</f>
        <v/>
      </c>
      <c r="V616" s="40" t="n"/>
      <c r="W616" s="19">
        <f>IF($B616="","",IF($V616&lt;&gt;"",$V616-$B616,TODAY()-$B616))</f>
        <v/>
      </c>
      <c r="X616" s="19">
        <f>IF(OR($B616="",$U616=""),"",IF($V616&lt;&gt;"",MAX(0,$V616-$U616),MAX(0,TODAY()-$U616)))</f>
        <v/>
      </c>
      <c r="Y616" s="39">
        <f>IF($C616="","",IF(IFERROR(INDEX(LISTAS!$I$3:$I$42,MATCH($T616,LISTAS!$H$3:$H$42,0)),"NO")="SÍ",IF(N($X616)&gt;0,"CERRADA FUERA DE SLA","CERRADA EN SLA"),IF($U616="","SIN CLASIFICAR",IF(N($X616)&gt;0,"VENCIDA",IF(TODAY()&gt;=$U616-1,"POR VENCER","EN PLAZO")))))</f>
        <v/>
      </c>
      <c r="Z616" s="41" t="n"/>
      <c r="AA616" s="41" t="n"/>
      <c r="AB616" s="41" t="n"/>
    </row>
    <row r="617">
      <c r="A617" s="39">
        <f>IF($C617="","","NOV-"&amp;TEXT(ROW()-3,"0000"))</f>
        <v/>
      </c>
      <c r="B617" s="40" t="n"/>
      <c r="C617" s="41" t="n"/>
      <c r="D617" s="42">
        <f>IF($C617="","",IFERROR(INDEX(DESPACHOS!$D$3:$D$3002,MATCH($C617,DESPACHOS!$B$3:$B$3002,0)),"SIN DESPACHO"))</f>
        <v/>
      </c>
      <c r="E617" s="42">
        <f>IF($C617="","",IFERROR(INDEX(DESPACHOS!$K$3:$K$3002,MATCH($C617,DESPACHOS!$B$3:$B$3002,0)),""))</f>
        <v/>
      </c>
      <c r="F617" s="42">
        <f>IF($C617="","",IFERROR(INDEX(DESPACHOS!$I$3:$I$3002,MATCH($C617,DESPACHOS!$B$3:$B$3002,0)),""))</f>
        <v/>
      </c>
      <c r="G617" s="42">
        <f>IF($C617="","",IFERROR(INDEX(DESPACHOS!$F$3:$F$3002,MATCH($C617,DESPACHOS!$B$3:$B$3002,0)),""))</f>
        <v/>
      </c>
      <c r="H617" s="42">
        <f>IF($C617="","",IFERROR(INDEX(DESPACHOS!$G$3:$G$3002,MATCH($C617,DESPACHOS!$B$3:$B$3002,0)),""))</f>
        <v/>
      </c>
      <c r="I617" s="39">
        <f>IF($C617="","",IFERROR(INDEX(DESPACHOS!$H$3:$H$3002,MATCH($C617,DESPACHOS!$B$3:$B$3002,0)),""))</f>
        <v/>
      </c>
      <c r="J617" s="43">
        <f>IF($C617="","",IFERROR(INDEX(DESPACHOS!$J$3:$J$3002,MATCH($C617,DESPACHOS!$B$3:$B$3002,0)),""))</f>
        <v/>
      </c>
      <c r="K617" s="39">
        <f>IF($C617="","",IF(COUNTIFS(DESPACHOS!$B$3:$B$3002,$C617)=0,"NO EXISTE",IF(COUNTIFS(DESPACHOS!$B$3:$B$3002,$C617)&gt;1,"DUPLICADO","OK")))</f>
        <v/>
      </c>
      <c r="L617" s="41" t="n"/>
      <c r="M617" s="41" t="n"/>
      <c r="N617" s="42">
        <f>IF($M617="","",IFERROR(INDEX(LISTAS!$F$3:$F$42,MATCH($M617,LISTAS!$E$3:$E$42,0)),"Por definir"))</f>
        <v/>
      </c>
      <c r="O617" s="41" t="n"/>
      <c r="P617" s="39">
        <f>IF($L617="","",IFERROR(INDEX(LISTAS!$B$3:$B$42,MATCH($L617,LISTAS!$A$3:$A$42,0)),"Media"))</f>
        <v/>
      </c>
      <c r="Q617" s="44" t="n"/>
      <c r="R617" s="45" t="n"/>
      <c r="S617" s="20">
        <f>IFERROR(IF(OR($R617="",$C617=""),"",$R617/INDEX(DESPACHOS!$M$3:$M$3002,MATCH($C617,DESPACHOS!$B$3:$B$3002,0))),"")</f>
        <v/>
      </c>
      <c r="T617" s="41" t="n"/>
      <c r="U617" s="43">
        <f>IF(OR($B617="",$L617=""),"",WORKDAY($B617,IFERROR(INDEX(LISTAS!$C$3:$C$42,MATCH($L617,LISTAS!$A$3:$A$42,0)),3)))</f>
        <v/>
      </c>
      <c r="V617" s="40" t="n"/>
      <c r="W617" s="19">
        <f>IF($B617="","",IF($V617&lt;&gt;"",$V617-$B617,TODAY()-$B617))</f>
        <v/>
      </c>
      <c r="X617" s="19">
        <f>IF(OR($B617="",$U617=""),"",IF($V617&lt;&gt;"",MAX(0,$V617-$U617),MAX(0,TODAY()-$U617)))</f>
        <v/>
      </c>
      <c r="Y617" s="39">
        <f>IF($C617="","",IF(IFERROR(INDEX(LISTAS!$I$3:$I$42,MATCH($T617,LISTAS!$H$3:$H$42,0)),"NO")="SÍ",IF(N($X617)&gt;0,"CERRADA FUERA DE SLA","CERRADA EN SLA"),IF($U617="","SIN CLASIFICAR",IF(N($X617)&gt;0,"VENCIDA",IF(TODAY()&gt;=$U617-1,"POR VENCER","EN PLAZO")))))</f>
        <v/>
      </c>
      <c r="Z617" s="41" t="n"/>
      <c r="AA617" s="41" t="n"/>
      <c r="AB617" s="41" t="n"/>
    </row>
    <row r="618">
      <c r="A618" s="39">
        <f>IF($C618="","","NOV-"&amp;TEXT(ROW()-3,"0000"))</f>
        <v/>
      </c>
      <c r="B618" s="40" t="n"/>
      <c r="C618" s="41" t="n"/>
      <c r="D618" s="42">
        <f>IF($C618="","",IFERROR(INDEX(DESPACHOS!$D$3:$D$3002,MATCH($C618,DESPACHOS!$B$3:$B$3002,0)),"SIN DESPACHO"))</f>
        <v/>
      </c>
      <c r="E618" s="42">
        <f>IF($C618="","",IFERROR(INDEX(DESPACHOS!$K$3:$K$3002,MATCH($C618,DESPACHOS!$B$3:$B$3002,0)),""))</f>
        <v/>
      </c>
      <c r="F618" s="42">
        <f>IF($C618="","",IFERROR(INDEX(DESPACHOS!$I$3:$I$3002,MATCH($C618,DESPACHOS!$B$3:$B$3002,0)),""))</f>
        <v/>
      </c>
      <c r="G618" s="42">
        <f>IF($C618="","",IFERROR(INDEX(DESPACHOS!$F$3:$F$3002,MATCH($C618,DESPACHOS!$B$3:$B$3002,0)),""))</f>
        <v/>
      </c>
      <c r="H618" s="42">
        <f>IF($C618="","",IFERROR(INDEX(DESPACHOS!$G$3:$G$3002,MATCH($C618,DESPACHOS!$B$3:$B$3002,0)),""))</f>
        <v/>
      </c>
      <c r="I618" s="39">
        <f>IF($C618="","",IFERROR(INDEX(DESPACHOS!$H$3:$H$3002,MATCH($C618,DESPACHOS!$B$3:$B$3002,0)),""))</f>
        <v/>
      </c>
      <c r="J618" s="43">
        <f>IF($C618="","",IFERROR(INDEX(DESPACHOS!$J$3:$J$3002,MATCH($C618,DESPACHOS!$B$3:$B$3002,0)),""))</f>
        <v/>
      </c>
      <c r="K618" s="39">
        <f>IF($C618="","",IF(COUNTIFS(DESPACHOS!$B$3:$B$3002,$C618)=0,"NO EXISTE",IF(COUNTIFS(DESPACHOS!$B$3:$B$3002,$C618)&gt;1,"DUPLICADO","OK")))</f>
        <v/>
      </c>
      <c r="L618" s="41" t="n"/>
      <c r="M618" s="41" t="n"/>
      <c r="N618" s="42">
        <f>IF($M618="","",IFERROR(INDEX(LISTAS!$F$3:$F$42,MATCH($M618,LISTAS!$E$3:$E$42,0)),"Por definir"))</f>
        <v/>
      </c>
      <c r="O618" s="41" t="n"/>
      <c r="P618" s="39">
        <f>IF($L618="","",IFERROR(INDEX(LISTAS!$B$3:$B$42,MATCH($L618,LISTAS!$A$3:$A$42,0)),"Media"))</f>
        <v/>
      </c>
      <c r="Q618" s="44" t="n"/>
      <c r="R618" s="45" t="n"/>
      <c r="S618" s="20">
        <f>IFERROR(IF(OR($R618="",$C618=""),"",$R618/INDEX(DESPACHOS!$M$3:$M$3002,MATCH($C618,DESPACHOS!$B$3:$B$3002,0))),"")</f>
        <v/>
      </c>
      <c r="T618" s="41" t="n"/>
      <c r="U618" s="43">
        <f>IF(OR($B618="",$L618=""),"",WORKDAY($B618,IFERROR(INDEX(LISTAS!$C$3:$C$42,MATCH($L618,LISTAS!$A$3:$A$42,0)),3)))</f>
        <v/>
      </c>
      <c r="V618" s="40" t="n"/>
      <c r="W618" s="19">
        <f>IF($B618="","",IF($V618&lt;&gt;"",$V618-$B618,TODAY()-$B618))</f>
        <v/>
      </c>
      <c r="X618" s="19">
        <f>IF(OR($B618="",$U618=""),"",IF($V618&lt;&gt;"",MAX(0,$V618-$U618),MAX(0,TODAY()-$U618)))</f>
        <v/>
      </c>
      <c r="Y618" s="39">
        <f>IF($C618="","",IF(IFERROR(INDEX(LISTAS!$I$3:$I$42,MATCH($T618,LISTAS!$H$3:$H$42,0)),"NO")="SÍ",IF(N($X618)&gt;0,"CERRADA FUERA DE SLA","CERRADA EN SLA"),IF($U618="","SIN CLASIFICAR",IF(N($X618)&gt;0,"VENCIDA",IF(TODAY()&gt;=$U618-1,"POR VENCER","EN PLAZO")))))</f>
        <v/>
      </c>
      <c r="Z618" s="41" t="n"/>
      <c r="AA618" s="41" t="n"/>
      <c r="AB618" s="41" t="n"/>
    </row>
    <row r="619">
      <c r="A619" s="39">
        <f>IF($C619="","","NOV-"&amp;TEXT(ROW()-3,"0000"))</f>
        <v/>
      </c>
      <c r="B619" s="40" t="n"/>
      <c r="C619" s="41" t="n"/>
      <c r="D619" s="42">
        <f>IF($C619="","",IFERROR(INDEX(DESPACHOS!$D$3:$D$3002,MATCH($C619,DESPACHOS!$B$3:$B$3002,0)),"SIN DESPACHO"))</f>
        <v/>
      </c>
      <c r="E619" s="42">
        <f>IF($C619="","",IFERROR(INDEX(DESPACHOS!$K$3:$K$3002,MATCH($C619,DESPACHOS!$B$3:$B$3002,0)),""))</f>
        <v/>
      </c>
      <c r="F619" s="42">
        <f>IF($C619="","",IFERROR(INDEX(DESPACHOS!$I$3:$I$3002,MATCH($C619,DESPACHOS!$B$3:$B$3002,0)),""))</f>
        <v/>
      </c>
      <c r="G619" s="42">
        <f>IF($C619="","",IFERROR(INDEX(DESPACHOS!$F$3:$F$3002,MATCH($C619,DESPACHOS!$B$3:$B$3002,0)),""))</f>
        <v/>
      </c>
      <c r="H619" s="42">
        <f>IF($C619="","",IFERROR(INDEX(DESPACHOS!$G$3:$G$3002,MATCH($C619,DESPACHOS!$B$3:$B$3002,0)),""))</f>
        <v/>
      </c>
      <c r="I619" s="39">
        <f>IF($C619="","",IFERROR(INDEX(DESPACHOS!$H$3:$H$3002,MATCH($C619,DESPACHOS!$B$3:$B$3002,0)),""))</f>
        <v/>
      </c>
      <c r="J619" s="43">
        <f>IF($C619="","",IFERROR(INDEX(DESPACHOS!$J$3:$J$3002,MATCH($C619,DESPACHOS!$B$3:$B$3002,0)),""))</f>
        <v/>
      </c>
      <c r="K619" s="39">
        <f>IF($C619="","",IF(COUNTIFS(DESPACHOS!$B$3:$B$3002,$C619)=0,"NO EXISTE",IF(COUNTIFS(DESPACHOS!$B$3:$B$3002,$C619)&gt;1,"DUPLICADO","OK")))</f>
        <v/>
      </c>
      <c r="L619" s="41" t="n"/>
      <c r="M619" s="41" t="n"/>
      <c r="N619" s="42">
        <f>IF($M619="","",IFERROR(INDEX(LISTAS!$F$3:$F$42,MATCH($M619,LISTAS!$E$3:$E$42,0)),"Por definir"))</f>
        <v/>
      </c>
      <c r="O619" s="41" t="n"/>
      <c r="P619" s="39">
        <f>IF($L619="","",IFERROR(INDEX(LISTAS!$B$3:$B$42,MATCH($L619,LISTAS!$A$3:$A$42,0)),"Media"))</f>
        <v/>
      </c>
      <c r="Q619" s="44" t="n"/>
      <c r="R619" s="45" t="n"/>
      <c r="S619" s="20">
        <f>IFERROR(IF(OR($R619="",$C619=""),"",$R619/INDEX(DESPACHOS!$M$3:$M$3002,MATCH($C619,DESPACHOS!$B$3:$B$3002,0))),"")</f>
        <v/>
      </c>
      <c r="T619" s="41" t="n"/>
      <c r="U619" s="43">
        <f>IF(OR($B619="",$L619=""),"",WORKDAY($B619,IFERROR(INDEX(LISTAS!$C$3:$C$42,MATCH($L619,LISTAS!$A$3:$A$42,0)),3)))</f>
        <v/>
      </c>
      <c r="V619" s="40" t="n"/>
      <c r="W619" s="19">
        <f>IF($B619="","",IF($V619&lt;&gt;"",$V619-$B619,TODAY()-$B619))</f>
        <v/>
      </c>
      <c r="X619" s="19">
        <f>IF(OR($B619="",$U619=""),"",IF($V619&lt;&gt;"",MAX(0,$V619-$U619),MAX(0,TODAY()-$U619)))</f>
        <v/>
      </c>
      <c r="Y619" s="39">
        <f>IF($C619="","",IF(IFERROR(INDEX(LISTAS!$I$3:$I$42,MATCH($T619,LISTAS!$H$3:$H$42,0)),"NO")="SÍ",IF(N($X619)&gt;0,"CERRADA FUERA DE SLA","CERRADA EN SLA"),IF($U619="","SIN CLASIFICAR",IF(N($X619)&gt;0,"VENCIDA",IF(TODAY()&gt;=$U619-1,"POR VENCER","EN PLAZO")))))</f>
        <v/>
      </c>
      <c r="Z619" s="41" t="n"/>
      <c r="AA619" s="41" t="n"/>
      <c r="AB619" s="41" t="n"/>
    </row>
    <row r="620">
      <c r="A620" s="39">
        <f>IF($C620="","","NOV-"&amp;TEXT(ROW()-3,"0000"))</f>
        <v/>
      </c>
      <c r="B620" s="40" t="n"/>
      <c r="C620" s="41" t="n"/>
      <c r="D620" s="42">
        <f>IF($C620="","",IFERROR(INDEX(DESPACHOS!$D$3:$D$3002,MATCH($C620,DESPACHOS!$B$3:$B$3002,0)),"SIN DESPACHO"))</f>
        <v/>
      </c>
      <c r="E620" s="42">
        <f>IF($C620="","",IFERROR(INDEX(DESPACHOS!$K$3:$K$3002,MATCH($C620,DESPACHOS!$B$3:$B$3002,0)),""))</f>
        <v/>
      </c>
      <c r="F620" s="42">
        <f>IF($C620="","",IFERROR(INDEX(DESPACHOS!$I$3:$I$3002,MATCH($C620,DESPACHOS!$B$3:$B$3002,0)),""))</f>
        <v/>
      </c>
      <c r="G620" s="42">
        <f>IF($C620="","",IFERROR(INDEX(DESPACHOS!$F$3:$F$3002,MATCH($C620,DESPACHOS!$B$3:$B$3002,0)),""))</f>
        <v/>
      </c>
      <c r="H620" s="42">
        <f>IF($C620="","",IFERROR(INDEX(DESPACHOS!$G$3:$G$3002,MATCH($C620,DESPACHOS!$B$3:$B$3002,0)),""))</f>
        <v/>
      </c>
      <c r="I620" s="39">
        <f>IF($C620="","",IFERROR(INDEX(DESPACHOS!$H$3:$H$3002,MATCH($C620,DESPACHOS!$B$3:$B$3002,0)),""))</f>
        <v/>
      </c>
      <c r="J620" s="43">
        <f>IF($C620="","",IFERROR(INDEX(DESPACHOS!$J$3:$J$3002,MATCH($C620,DESPACHOS!$B$3:$B$3002,0)),""))</f>
        <v/>
      </c>
      <c r="K620" s="39">
        <f>IF($C620="","",IF(COUNTIFS(DESPACHOS!$B$3:$B$3002,$C620)=0,"NO EXISTE",IF(COUNTIFS(DESPACHOS!$B$3:$B$3002,$C620)&gt;1,"DUPLICADO","OK")))</f>
        <v/>
      </c>
      <c r="L620" s="41" t="n"/>
      <c r="M620" s="41" t="n"/>
      <c r="N620" s="42">
        <f>IF($M620="","",IFERROR(INDEX(LISTAS!$F$3:$F$42,MATCH($M620,LISTAS!$E$3:$E$42,0)),"Por definir"))</f>
        <v/>
      </c>
      <c r="O620" s="41" t="n"/>
      <c r="P620" s="39">
        <f>IF($L620="","",IFERROR(INDEX(LISTAS!$B$3:$B$42,MATCH($L620,LISTAS!$A$3:$A$42,0)),"Media"))</f>
        <v/>
      </c>
      <c r="Q620" s="44" t="n"/>
      <c r="R620" s="45" t="n"/>
      <c r="S620" s="20">
        <f>IFERROR(IF(OR($R620="",$C620=""),"",$R620/INDEX(DESPACHOS!$M$3:$M$3002,MATCH($C620,DESPACHOS!$B$3:$B$3002,0))),"")</f>
        <v/>
      </c>
      <c r="T620" s="41" t="n"/>
      <c r="U620" s="43">
        <f>IF(OR($B620="",$L620=""),"",WORKDAY($B620,IFERROR(INDEX(LISTAS!$C$3:$C$42,MATCH($L620,LISTAS!$A$3:$A$42,0)),3)))</f>
        <v/>
      </c>
      <c r="V620" s="40" t="n"/>
      <c r="W620" s="19">
        <f>IF($B620="","",IF($V620&lt;&gt;"",$V620-$B620,TODAY()-$B620))</f>
        <v/>
      </c>
      <c r="X620" s="19">
        <f>IF(OR($B620="",$U620=""),"",IF($V620&lt;&gt;"",MAX(0,$V620-$U620),MAX(0,TODAY()-$U620)))</f>
        <v/>
      </c>
      <c r="Y620" s="39">
        <f>IF($C620="","",IF(IFERROR(INDEX(LISTAS!$I$3:$I$42,MATCH($T620,LISTAS!$H$3:$H$42,0)),"NO")="SÍ",IF(N($X620)&gt;0,"CERRADA FUERA DE SLA","CERRADA EN SLA"),IF($U620="","SIN CLASIFICAR",IF(N($X620)&gt;0,"VENCIDA",IF(TODAY()&gt;=$U620-1,"POR VENCER","EN PLAZO")))))</f>
        <v/>
      </c>
      <c r="Z620" s="41" t="n"/>
      <c r="AA620" s="41" t="n"/>
      <c r="AB620" s="41" t="n"/>
    </row>
    <row r="621">
      <c r="A621" s="39">
        <f>IF($C621="","","NOV-"&amp;TEXT(ROW()-3,"0000"))</f>
        <v/>
      </c>
      <c r="B621" s="40" t="n"/>
      <c r="C621" s="41" t="n"/>
      <c r="D621" s="42">
        <f>IF($C621="","",IFERROR(INDEX(DESPACHOS!$D$3:$D$3002,MATCH($C621,DESPACHOS!$B$3:$B$3002,0)),"SIN DESPACHO"))</f>
        <v/>
      </c>
      <c r="E621" s="42">
        <f>IF($C621="","",IFERROR(INDEX(DESPACHOS!$K$3:$K$3002,MATCH($C621,DESPACHOS!$B$3:$B$3002,0)),""))</f>
        <v/>
      </c>
      <c r="F621" s="42">
        <f>IF($C621="","",IFERROR(INDEX(DESPACHOS!$I$3:$I$3002,MATCH($C621,DESPACHOS!$B$3:$B$3002,0)),""))</f>
        <v/>
      </c>
      <c r="G621" s="42">
        <f>IF($C621="","",IFERROR(INDEX(DESPACHOS!$F$3:$F$3002,MATCH($C621,DESPACHOS!$B$3:$B$3002,0)),""))</f>
        <v/>
      </c>
      <c r="H621" s="42">
        <f>IF($C621="","",IFERROR(INDEX(DESPACHOS!$G$3:$G$3002,MATCH($C621,DESPACHOS!$B$3:$B$3002,0)),""))</f>
        <v/>
      </c>
      <c r="I621" s="39">
        <f>IF($C621="","",IFERROR(INDEX(DESPACHOS!$H$3:$H$3002,MATCH($C621,DESPACHOS!$B$3:$B$3002,0)),""))</f>
        <v/>
      </c>
      <c r="J621" s="43">
        <f>IF($C621="","",IFERROR(INDEX(DESPACHOS!$J$3:$J$3002,MATCH($C621,DESPACHOS!$B$3:$B$3002,0)),""))</f>
        <v/>
      </c>
      <c r="K621" s="39">
        <f>IF($C621="","",IF(COUNTIFS(DESPACHOS!$B$3:$B$3002,$C621)=0,"NO EXISTE",IF(COUNTIFS(DESPACHOS!$B$3:$B$3002,$C621)&gt;1,"DUPLICADO","OK")))</f>
        <v/>
      </c>
      <c r="L621" s="41" t="n"/>
      <c r="M621" s="41" t="n"/>
      <c r="N621" s="42">
        <f>IF($M621="","",IFERROR(INDEX(LISTAS!$F$3:$F$42,MATCH($M621,LISTAS!$E$3:$E$42,0)),"Por definir"))</f>
        <v/>
      </c>
      <c r="O621" s="41" t="n"/>
      <c r="P621" s="39">
        <f>IF($L621="","",IFERROR(INDEX(LISTAS!$B$3:$B$42,MATCH($L621,LISTAS!$A$3:$A$42,0)),"Media"))</f>
        <v/>
      </c>
      <c r="Q621" s="44" t="n"/>
      <c r="R621" s="45" t="n"/>
      <c r="S621" s="20">
        <f>IFERROR(IF(OR($R621="",$C621=""),"",$R621/INDEX(DESPACHOS!$M$3:$M$3002,MATCH($C621,DESPACHOS!$B$3:$B$3002,0))),"")</f>
        <v/>
      </c>
      <c r="T621" s="41" t="n"/>
      <c r="U621" s="43">
        <f>IF(OR($B621="",$L621=""),"",WORKDAY($B621,IFERROR(INDEX(LISTAS!$C$3:$C$42,MATCH($L621,LISTAS!$A$3:$A$42,0)),3)))</f>
        <v/>
      </c>
      <c r="V621" s="40" t="n"/>
      <c r="W621" s="19">
        <f>IF($B621="","",IF($V621&lt;&gt;"",$V621-$B621,TODAY()-$B621))</f>
        <v/>
      </c>
      <c r="X621" s="19">
        <f>IF(OR($B621="",$U621=""),"",IF($V621&lt;&gt;"",MAX(0,$V621-$U621),MAX(0,TODAY()-$U621)))</f>
        <v/>
      </c>
      <c r="Y621" s="39">
        <f>IF($C621="","",IF(IFERROR(INDEX(LISTAS!$I$3:$I$42,MATCH($T621,LISTAS!$H$3:$H$42,0)),"NO")="SÍ",IF(N($X621)&gt;0,"CERRADA FUERA DE SLA","CERRADA EN SLA"),IF($U621="","SIN CLASIFICAR",IF(N($X621)&gt;0,"VENCIDA",IF(TODAY()&gt;=$U621-1,"POR VENCER","EN PLAZO")))))</f>
        <v/>
      </c>
      <c r="Z621" s="41" t="n"/>
      <c r="AA621" s="41" t="n"/>
      <c r="AB621" s="41" t="n"/>
    </row>
    <row r="622">
      <c r="A622" s="39">
        <f>IF($C622="","","NOV-"&amp;TEXT(ROW()-3,"0000"))</f>
        <v/>
      </c>
      <c r="B622" s="40" t="n"/>
      <c r="C622" s="41" t="n"/>
      <c r="D622" s="42">
        <f>IF($C622="","",IFERROR(INDEX(DESPACHOS!$D$3:$D$3002,MATCH($C622,DESPACHOS!$B$3:$B$3002,0)),"SIN DESPACHO"))</f>
        <v/>
      </c>
      <c r="E622" s="42">
        <f>IF($C622="","",IFERROR(INDEX(DESPACHOS!$K$3:$K$3002,MATCH($C622,DESPACHOS!$B$3:$B$3002,0)),""))</f>
        <v/>
      </c>
      <c r="F622" s="42">
        <f>IF($C622="","",IFERROR(INDEX(DESPACHOS!$I$3:$I$3002,MATCH($C622,DESPACHOS!$B$3:$B$3002,0)),""))</f>
        <v/>
      </c>
      <c r="G622" s="42">
        <f>IF($C622="","",IFERROR(INDEX(DESPACHOS!$F$3:$F$3002,MATCH($C622,DESPACHOS!$B$3:$B$3002,0)),""))</f>
        <v/>
      </c>
      <c r="H622" s="42">
        <f>IF($C622="","",IFERROR(INDEX(DESPACHOS!$G$3:$G$3002,MATCH($C622,DESPACHOS!$B$3:$B$3002,0)),""))</f>
        <v/>
      </c>
      <c r="I622" s="39">
        <f>IF($C622="","",IFERROR(INDEX(DESPACHOS!$H$3:$H$3002,MATCH($C622,DESPACHOS!$B$3:$B$3002,0)),""))</f>
        <v/>
      </c>
      <c r="J622" s="43">
        <f>IF($C622="","",IFERROR(INDEX(DESPACHOS!$J$3:$J$3002,MATCH($C622,DESPACHOS!$B$3:$B$3002,0)),""))</f>
        <v/>
      </c>
      <c r="K622" s="39">
        <f>IF($C622="","",IF(COUNTIFS(DESPACHOS!$B$3:$B$3002,$C622)=0,"NO EXISTE",IF(COUNTIFS(DESPACHOS!$B$3:$B$3002,$C622)&gt;1,"DUPLICADO","OK")))</f>
        <v/>
      </c>
      <c r="L622" s="41" t="n"/>
      <c r="M622" s="41" t="n"/>
      <c r="N622" s="42">
        <f>IF($M622="","",IFERROR(INDEX(LISTAS!$F$3:$F$42,MATCH($M622,LISTAS!$E$3:$E$42,0)),"Por definir"))</f>
        <v/>
      </c>
      <c r="O622" s="41" t="n"/>
      <c r="P622" s="39">
        <f>IF($L622="","",IFERROR(INDEX(LISTAS!$B$3:$B$42,MATCH($L622,LISTAS!$A$3:$A$42,0)),"Media"))</f>
        <v/>
      </c>
      <c r="Q622" s="44" t="n"/>
      <c r="R622" s="45" t="n"/>
      <c r="S622" s="20">
        <f>IFERROR(IF(OR($R622="",$C622=""),"",$R622/INDEX(DESPACHOS!$M$3:$M$3002,MATCH($C622,DESPACHOS!$B$3:$B$3002,0))),"")</f>
        <v/>
      </c>
      <c r="T622" s="41" t="n"/>
      <c r="U622" s="43">
        <f>IF(OR($B622="",$L622=""),"",WORKDAY($B622,IFERROR(INDEX(LISTAS!$C$3:$C$42,MATCH($L622,LISTAS!$A$3:$A$42,0)),3)))</f>
        <v/>
      </c>
      <c r="V622" s="40" t="n"/>
      <c r="W622" s="19">
        <f>IF($B622="","",IF($V622&lt;&gt;"",$V622-$B622,TODAY()-$B622))</f>
        <v/>
      </c>
      <c r="X622" s="19">
        <f>IF(OR($B622="",$U622=""),"",IF($V622&lt;&gt;"",MAX(0,$V622-$U622),MAX(0,TODAY()-$U622)))</f>
        <v/>
      </c>
      <c r="Y622" s="39">
        <f>IF($C622="","",IF(IFERROR(INDEX(LISTAS!$I$3:$I$42,MATCH($T622,LISTAS!$H$3:$H$42,0)),"NO")="SÍ",IF(N($X622)&gt;0,"CERRADA FUERA DE SLA","CERRADA EN SLA"),IF($U622="","SIN CLASIFICAR",IF(N($X622)&gt;0,"VENCIDA",IF(TODAY()&gt;=$U622-1,"POR VENCER","EN PLAZO")))))</f>
        <v/>
      </c>
      <c r="Z622" s="41" t="n"/>
      <c r="AA622" s="41" t="n"/>
      <c r="AB622" s="41" t="n"/>
    </row>
    <row r="623">
      <c r="A623" s="39">
        <f>IF($C623="","","NOV-"&amp;TEXT(ROW()-3,"0000"))</f>
        <v/>
      </c>
      <c r="B623" s="40" t="n"/>
      <c r="C623" s="41" t="n"/>
      <c r="D623" s="42">
        <f>IF($C623="","",IFERROR(INDEX(DESPACHOS!$D$3:$D$3002,MATCH($C623,DESPACHOS!$B$3:$B$3002,0)),"SIN DESPACHO"))</f>
        <v/>
      </c>
      <c r="E623" s="42">
        <f>IF($C623="","",IFERROR(INDEX(DESPACHOS!$K$3:$K$3002,MATCH($C623,DESPACHOS!$B$3:$B$3002,0)),""))</f>
        <v/>
      </c>
      <c r="F623" s="42">
        <f>IF($C623="","",IFERROR(INDEX(DESPACHOS!$I$3:$I$3002,MATCH($C623,DESPACHOS!$B$3:$B$3002,0)),""))</f>
        <v/>
      </c>
      <c r="G623" s="42">
        <f>IF($C623="","",IFERROR(INDEX(DESPACHOS!$F$3:$F$3002,MATCH($C623,DESPACHOS!$B$3:$B$3002,0)),""))</f>
        <v/>
      </c>
      <c r="H623" s="42">
        <f>IF($C623="","",IFERROR(INDEX(DESPACHOS!$G$3:$G$3002,MATCH($C623,DESPACHOS!$B$3:$B$3002,0)),""))</f>
        <v/>
      </c>
      <c r="I623" s="39">
        <f>IF($C623="","",IFERROR(INDEX(DESPACHOS!$H$3:$H$3002,MATCH($C623,DESPACHOS!$B$3:$B$3002,0)),""))</f>
        <v/>
      </c>
      <c r="J623" s="43">
        <f>IF($C623="","",IFERROR(INDEX(DESPACHOS!$J$3:$J$3002,MATCH($C623,DESPACHOS!$B$3:$B$3002,0)),""))</f>
        <v/>
      </c>
      <c r="K623" s="39">
        <f>IF($C623="","",IF(COUNTIFS(DESPACHOS!$B$3:$B$3002,$C623)=0,"NO EXISTE",IF(COUNTIFS(DESPACHOS!$B$3:$B$3002,$C623)&gt;1,"DUPLICADO","OK")))</f>
        <v/>
      </c>
      <c r="L623" s="41" t="n"/>
      <c r="M623" s="41" t="n"/>
      <c r="N623" s="42">
        <f>IF($M623="","",IFERROR(INDEX(LISTAS!$F$3:$F$42,MATCH($M623,LISTAS!$E$3:$E$42,0)),"Por definir"))</f>
        <v/>
      </c>
      <c r="O623" s="41" t="n"/>
      <c r="P623" s="39">
        <f>IF($L623="","",IFERROR(INDEX(LISTAS!$B$3:$B$42,MATCH($L623,LISTAS!$A$3:$A$42,0)),"Media"))</f>
        <v/>
      </c>
      <c r="Q623" s="44" t="n"/>
      <c r="R623" s="45" t="n"/>
      <c r="S623" s="20">
        <f>IFERROR(IF(OR($R623="",$C623=""),"",$R623/INDEX(DESPACHOS!$M$3:$M$3002,MATCH($C623,DESPACHOS!$B$3:$B$3002,0))),"")</f>
        <v/>
      </c>
      <c r="T623" s="41" t="n"/>
      <c r="U623" s="43">
        <f>IF(OR($B623="",$L623=""),"",WORKDAY($B623,IFERROR(INDEX(LISTAS!$C$3:$C$42,MATCH($L623,LISTAS!$A$3:$A$42,0)),3)))</f>
        <v/>
      </c>
      <c r="V623" s="40" t="n"/>
      <c r="W623" s="19">
        <f>IF($B623="","",IF($V623&lt;&gt;"",$V623-$B623,TODAY()-$B623))</f>
        <v/>
      </c>
      <c r="X623" s="19">
        <f>IF(OR($B623="",$U623=""),"",IF($V623&lt;&gt;"",MAX(0,$V623-$U623),MAX(0,TODAY()-$U623)))</f>
        <v/>
      </c>
      <c r="Y623" s="39">
        <f>IF($C623="","",IF(IFERROR(INDEX(LISTAS!$I$3:$I$42,MATCH($T623,LISTAS!$H$3:$H$42,0)),"NO")="SÍ",IF(N($X623)&gt;0,"CERRADA FUERA DE SLA","CERRADA EN SLA"),IF($U623="","SIN CLASIFICAR",IF(N($X623)&gt;0,"VENCIDA",IF(TODAY()&gt;=$U623-1,"POR VENCER","EN PLAZO")))))</f>
        <v/>
      </c>
      <c r="Z623" s="41" t="n"/>
      <c r="AA623" s="41" t="n"/>
      <c r="AB623" s="41" t="n"/>
    </row>
    <row r="624">
      <c r="A624" s="39">
        <f>IF($C624="","","NOV-"&amp;TEXT(ROW()-3,"0000"))</f>
        <v/>
      </c>
      <c r="B624" s="40" t="n"/>
      <c r="C624" s="41" t="n"/>
      <c r="D624" s="42">
        <f>IF($C624="","",IFERROR(INDEX(DESPACHOS!$D$3:$D$3002,MATCH($C624,DESPACHOS!$B$3:$B$3002,0)),"SIN DESPACHO"))</f>
        <v/>
      </c>
      <c r="E624" s="42">
        <f>IF($C624="","",IFERROR(INDEX(DESPACHOS!$K$3:$K$3002,MATCH($C624,DESPACHOS!$B$3:$B$3002,0)),""))</f>
        <v/>
      </c>
      <c r="F624" s="42">
        <f>IF($C624="","",IFERROR(INDEX(DESPACHOS!$I$3:$I$3002,MATCH($C624,DESPACHOS!$B$3:$B$3002,0)),""))</f>
        <v/>
      </c>
      <c r="G624" s="42">
        <f>IF($C624="","",IFERROR(INDEX(DESPACHOS!$F$3:$F$3002,MATCH($C624,DESPACHOS!$B$3:$B$3002,0)),""))</f>
        <v/>
      </c>
      <c r="H624" s="42">
        <f>IF($C624="","",IFERROR(INDEX(DESPACHOS!$G$3:$G$3002,MATCH($C624,DESPACHOS!$B$3:$B$3002,0)),""))</f>
        <v/>
      </c>
      <c r="I624" s="39">
        <f>IF($C624="","",IFERROR(INDEX(DESPACHOS!$H$3:$H$3002,MATCH($C624,DESPACHOS!$B$3:$B$3002,0)),""))</f>
        <v/>
      </c>
      <c r="J624" s="43">
        <f>IF($C624="","",IFERROR(INDEX(DESPACHOS!$J$3:$J$3002,MATCH($C624,DESPACHOS!$B$3:$B$3002,0)),""))</f>
        <v/>
      </c>
      <c r="K624" s="39">
        <f>IF($C624="","",IF(COUNTIFS(DESPACHOS!$B$3:$B$3002,$C624)=0,"NO EXISTE",IF(COUNTIFS(DESPACHOS!$B$3:$B$3002,$C624)&gt;1,"DUPLICADO","OK")))</f>
        <v/>
      </c>
      <c r="L624" s="41" t="n"/>
      <c r="M624" s="41" t="n"/>
      <c r="N624" s="42">
        <f>IF($M624="","",IFERROR(INDEX(LISTAS!$F$3:$F$42,MATCH($M624,LISTAS!$E$3:$E$42,0)),"Por definir"))</f>
        <v/>
      </c>
      <c r="O624" s="41" t="n"/>
      <c r="P624" s="39">
        <f>IF($L624="","",IFERROR(INDEX(LISTAS!$B$3:$B$42,MATCH($L624,LISTAS!$A$3:$A$42,0)),"Media"))</f>
        <v/>
      </c>
      <c r="Q624" s="44" t="n"/>
      <c r="R624" s="45" t="n"/>
      <c r="S624" s="20">
        <f>IFERROR(IF(OR($R624="",$C624=""),"",$R624/INDEX(DESPACHOS!$M$3:$M$3002,MATCH($C624,DESPACHOS!$B$3:$B$3002,0))),"")</f>
        <v/>
      </c>
      <c r="T624" s="41" t="n"/>
      <c r="U624" s="43">
        <f>IF(OR($B624="",$L624=""),"",WORKDAY($B624,IFERROR(INDEX(LISTAS!$C$3:$C$42,MATCH($L624,LISTAS!$A$3:$A$42,0)),3)))</f>
        <v/>
      </c>
      <c r="V624" s="40" t="n"/>
      <c r="W624" s="19">
        <f>IF($B624="","",IF($V624&lt;&gt;"",$V624-$B624,TODAY()-$B624))</f>
        <v/>
      </c>
      <c r="X624" s="19">
        <f>IF(OR($B624="",$U624=""),"",IF($V624&lt;&gt;"",MAX(0,$V624-$U624),MAX(0,TODAY()-$U624)))</f>
        <v/>
      </c>
      <c r="Y624" s="39">
        <f>IF($C624="","",IF(IFERROR(INDEX(LISTAS!$I$3:$I$42,MATCH($T624,LISTAS!$H$3:$H$42,0)),"NO")="SÍ",IF(N($X624)&gt;0,"CERRADA FUERA DE SLA","CERRADA EN SLA"),IF($U624="","SIN CLASIFICAR",IF(N($X624)&gt;0,"VENCIDA",IF(TODAY()&gt;=$U624-1,"POR VENCER","EN PLAZO")))))</f>
        <v/>
      </c>
      <c r="Z624" s="41" t="n"/>
      <c r="AA624" s="41" t="n"/>
      <c r="AB624" s="41" t="n"/>
    </row>
    <row r="625">
      <c r="A625" s="39">
        <f>IF($C625="","","NOV-"&amp;TEXT(ROW()-3,"0000"))</f>
        <v/>
      </c>
      <c r="B625" s="40" t="n"/>
      <c r="C625" s="41" t="n"/>
      <c r="D625" s="42">
        <f>IF($C625="","",IFERROR(INDEX(DESPACHOS!$D$3:$D$3002,MATCH($C625,DESPACHOS!$B$3:$B$3002,0)),"SIN DESPACHO"))</f>
        <v/>
      </c>
      <c r="E625" s="42">
        <f>IF($C625="","",IFERROR(INDEX(DESPACHOS!$K$3:$K$3002,MATCH($C625,DESPACHOS!$B$3:$B$3002,0)),""))</f>
        <v/>
      </c>
      <c r="F625" s="42">
        <f>IF($C625="","",IFERROR(INDEX(DESPACHOS!$I$3:$I$3002,MATCH($C625,DESPACHOS!$B$3:$B$3002,0)),""))</f>
        <v/>
      </c>
      <c r="G625" s="42">
        <f>IF($C625="","",IFERROR(INDEX(DESPACHOS!$F$3:$F$3002,MATCH($C625,DESPACHOS!$B$3:$B$3002,0)),""))</f>
        <v/>
      </c>
      <c r="H625" s="42">
        <f>IF($C625="","",IFERROR(INDEX(DESPACHOS!$G$3:$G$3002,MATCH($C625,DESPACHOS!$B$3:$B$3002,0)),""))</f>
        <v/>
      </c>
      <c r="I625" s="39">
        <f>IF($C625="","",IFERROR(INDEX(DESPACHOS!$H$3:$H$3002,MATCH($C625,DESPACHOS!$B$3:$B$3002,0)),""))</f>
        <v/>
      </c>
      <c r="J625" s="43">
        <f>IF($C625="","",IFERROR(INDEX(DESPACHOS!$J$3:$J$3002,MATCH($C625,DESPACHOS!$B$3:$B$3002,0)),""))</f>
        <v/>
      </c>
      <c r="K625" s="39">
        <f>IF($C625="","",IF(COUNTIFS(DESPACHOS!$B$3:$B$3002,$C625)=0,"NO EXISTE",IF(COUNTIFS(DESPACHOS!$B$3:$B$3002,$C625)&gt;1,"DUPLICADO","OK")))</f>
        <v/>
      </c>
      <c r="L625" s="41" t="n"/>
      <c r="M625" s="41" t="n"/>
      <c r="N625" s="42">
        <f>IF($M625="","",IFERROR(INDEX(LISTAS!$F$3:$F$42,MATCH($M625,LISTAS!$E$3:$E$42,0)),"Por definir"))</f>
        <v/>
      </c>
      <c r="O625" s="41" t="n"/>
      <c r="P625" s="39">
        <f>IF($L625="","",IFERROR(INDEX(LISTAS!$B$3:$B$42,MATCH($L625,LISTAS!$A$3:$A$42,0)),"Media"))</f>
        <v/>
      </c>
      <c r="Q625" s="44" t="n"/>
      <c r="R625" s="45" t="n"/>
      <c r="S625" s="20">
        <f>IFERROR(IF(OR($R625="",$C625=""),"",$R625/INDEX(DESPACHOS!$M$3:$M$3002,MATCH($C625,DESPACHOS!$B$3:$B$3002,0))),"")</f>
        <v/>
      </c>
      <c r="T625" s="41" t="n"/>
      <c r="U625" s="43">
        <f>IF(OR($B625="",$L625=""),"",WORKDAY($B625,IFERROR(INDEX(LISTAS!$C$3:$C$42,MATCH($L625,LISTAS!$A$3:$A$42,0)),3)))</f>
        <v/>
      </c>
      <c r="V625" s="40" t="n"/>
      <c r="W625" s="19">
        <f>IF($B625="","",IF($V625&lt;&gt;"",$V625-$B625,TODAY()-$B625))</f>
        <v/>
      </c>
      <c r="X625" s="19">
        <f>IF(OR($B625="",$U625=""),"",IF($V625&lt;&gt;"",MAX(0,$V625-$U625),MAX(0,TODAY()-$U625)))</f>
        <v/>
      </c>
      <c r="Y625" s="39">
        <f>IF($C625="","",IF(IFERROR(INDEX(LISTAS!$I$3:$I$42,MATCH($T625,LISTAS!$H$3:$H$42,0)),"NO")="SÍ",IF(N($X625)&gt;0,"CERRADA FUERA DE SLA","CERRADA EN SLA"),IF($U625="","SIN CLASIFICAR",IF(N($X625)&gt;0,"VENCIDA",IF(TODAY()&gt;=$U625-1,"POR VENCER","EN PLAZO")))))</f>
        <v/>
      </c>
      <c r="Z625" s="41" t="n"/>
      <c r="AA625" s="41" t="n"/>
      <c r="AB625" s="41" t="n"/>
    </row>
    <row r="626">
      <c r="A626" s="39">
        <f>IF($C626="","","NOV-"&amp;TEXT(ROW()-3,"0000"))</f>
        <v/>
      </c>
      <c r="B626" s="40" t="n"/>
      <c r="C626" s="41" t="n"/>
      <c r="D626" s="42">
        <f>IF($C626="","",IFERROR(INDEX(DESPACHOS!$D$3:$D$3002,MATCH($C626,DESPACHOS!$B$3:$B$3002,0)),"SIN DESPACHO"))</f>
        <v/>
      </c>
      <c r="E626" s="42">
        <f>IF($C626="","",IFERROR(INDEX(DESPACHOS!$K$3:$K$3002,MATCH($C626,DESPACHOS!$B$3:$B$3002,0)),""))</f>
        <v/>
      </c>
      <c r="F626" s="42">
        <f>IF($C626="","",IFERROR(INDEX(DESPACHOS!$I$3:$I$3002,MATCH($C626,DESPACHOS!$B$3:$B$3002,0)),""))</f>
        <v/>
      </c>
      <c r="G626" s="42">
        <f>IF($C626="","",IFERROR(INDEX(DESPACHOS!$F$3:$F$3002,MATCH($C626,DESPACHOS!$B$3:$B$3002,0)),""))</f>
        <v/>
      </c>
      <c r="H626" s="42">
        <f>IF($C626="","",IFERROR(INDEX(DESPACHOS!$G$3:$G$3002,MATCH($C626,DESPACHOS!$B$3:$B$3002,0)),""))</f>
        <v/>
      </c>
      <c r="I626" s="39">
        <f>IF($C626="","",IFERROR(INDEX(DESPACHOS!$H$3:$H$3002,MATCH($C626,DESPACHOS!$B$3:$B$3002,0)),""))</f>
        <v/>
      </c>
      <c r="J626" s="43">
        <f>IF($C626="","",IFERROR(INDEX(DESPACHOS!$J$3:$J$3002,MATCH($C626,DESPACHOS!$B$3:$B$3002,0)),""))</f>
        <v/>
      </c>
      <c r="K626" s="39">
        <f>IF($C626="","",IF(COUNTIFS(DESPACHOS!$B$3:$B$3002,$C626)=0,"NO EXISTE",IF(COUNTIFS(DESPACHOS!$B$3:$B$3002,$C626)&gt;1,"DUPLICADO","OK")))</f>
        <v/>
      </c>
      <c r="L626" s="41" t="n"/>
      <c r="M626" s="41" t="n"/>
      <c r="N626" s="42">
        <f>IF($M626="","",IFERROR(INDEX(LISTAS!$F$3:$F$42,MATCH($M626,LISTAS!$E$3:$E$42,0)),"Por definir"))</f>
        <v/>
      </c>
      <c r="O626" s="41" t="n"/>
      <c r="P626" s="39">
        <f>IF($L626="","",IFERROR(INDEX(LISTAS!$B$3:$B$42,MATCH($L626,LISTAS!$A$3:$A$42,0)),"Media"))</f>
        <v/>
      </c>
      <c r="Q626" s="44" t="n"/>
      <c r="R626" s="45" t="n"/>
      <c r="S626" s="20">
        <f>IFERROR(IF(OR($R626="",$C626=""),"",$R626/INDEX(DESPACHOS!$M$3:$M$3002,MATCH($C626,DESPACHOS!$B$3:$B$3002,0))),"")</f>
        <v/>
      </c>
      <c r="T626" s="41" t="n"/>
      <c r="U626" s="43">
        <f>IF(OR($B626="",$L626=""),"",WORKDAY($B626,IFERROR(INDEX(LISTAS!$C$3:$C$42,MATCH($L626,LISTAS!$A$3:$A$42,0)),3)))</f>
        <v/>
      </c>
      <c r="V626" s="40" t="n"/>
      <c r="W626" s="19">
        <f>IF($B626="","",IF($V626&lt;&gt;"",$V626-$B626,TODAY()-$B626))</f>
        <v/>
      </c>
      <c r="X626" s="19">
        <f>IF(OR($B626="",$U626=""),"",IF($V626&lt;&gt;"",MAX(0,$V626-$U626),MAX(0,TODAY()-$U626)))</f>
        <v/>
      </c>
      <c r="Y626" s="39">
        <f>IF($C626="","",IF(IFERROR(INDEX(LISTAS!$I$3:$I$42,MATCH($T626,LISTAS!$H$3:$H$42,0)),"NO")="SÍ",IF(N($X626)&gt;0,"CERRADA FUERA DE SLA","CERRADA EN SLA"),IF($U626="","SIN CLASIFICAR",IF(N($X626)&gt;0,"VENCIDA",IF(TODAY()&gt;=$U626-1,"POR VENCER","EN PLAZO")))))</f>
        <v/>
      </c>
      <c r="Z626" s="41" t="n"/>
      <c r="AA626" s="41" t="n"/>
      <c r="AB626" s="41" t="n"/>
    </row>
    <row r="627">
      <c r="A627" s="39">
        <f>IF($C627="","","NOV-"&amp;TEXT(ROW()-3,"0000"))</f>
        <v/>
      </c>
      <c r="B627" s="40" t="n"/>
      <c r="C627" s="41" t="n"/>
      <c r="D627" s="42">
        <f>IF($C627="","",IFERROR(INDEX(DESPACHOS!$D$3:$D$3002,MATCH($C627,DESPACHOS!$B$3:$B$3002,0)),"SIN DESPACHO"))</f>
        <v/>
      </c>
      <c r="E627" s="42">
        <f>IF($C627="","",IFERROR(INDEX(DESPACHOS!$K$3:$K$3002,MATCH($C627,DESPACHOS!$B$3:$B$3002,0)),""))</f>
        <v/>
      </c>
      <c r="F627" s="42">
        <f>IF($C627="","",IFERROR(INDEX(DESPACHOS!$I$3:$I$3002,MATCH($C627,DESPACHOS!$B$3:$B$3002,0)),""))</f>
        <v/>
      </c>
      <c r="G627" s="42">
        <f>IF($C627="","",IFERROR(INDEX(DESPACHOS!$F$3:$F$3002,MATCH($C627,DESPACHOS!$B$3:$B$3002,0)),""))</f>
        <v/>
      </c>
      <c r="H627" s="42">
        <f>IF($C627="","",IFERROR(INDEX(DESPACHOS!$G$3:$G$3002,MATCH($C627,DESPACHOS!$B$3:$B$3002,0)),""))</f>
        <v/>
      </c>
      <c r="I627" s="39">
        <f>IF($C627="","",IFERROR(INDEX(DESPACHOS!$H$3:$H$3002,MATCH($C627,DESPACHOS!$B$3:$B$3002,0)),""))</f>
        <v/>
      </c>
      <c r="J627" s="43">
        <f>IF($C627="","",IFERROR(INDEX(DESPACHOS!$J$3:$J$3002,MATCH($C627,DESPACHOS!$B$3:$B$3002,0)),""))</f>
        <v/>
      </c>
      <c r="K627" s="39">
        <f>IF($C627="","",IF(COUNTIFS(DESPACHOS!$B$3:$B$3002,$C627)=0,"NO EXISTE",IF(COUNTIFS(DESPACHOS!$B$3:$B$3002,$C627)&gt;1,"DUPLICADO","OK")))</f>
        <v/>
      </c>
      <c r="L627" s="41" t="n"/>
      <c r="M627" s="41" t="n"/>
      <c r="N627" s="42">
        <f>IF($M627="","",IFERROR(INDEX(LISTAS!$F$3:$F$42,MATCH($M627,LISTAS!$E$3:$E$42,0)),"Por definir"))</f>
        <v/>
      </c>
      <c r="O627" s="41" t="n"/>
      <c r="P627" s="39">
        <f>IF($L627="","",IFERROR(INDEX(LISTAS!$B$3:$B$42,MATCH($L627,LISTAS!$A$3:$A$42,0)),"Media"))</f>
        <v/>
      </c>
      <c r="Q627" s="44" t="n"/>
      <c r="R627" s="45" t="n"/>
      <c r="S627" s="20">
        <f>IFERROR(IF(OR($R627="",$C627=""),"",$R627/INDEX(DESPACHOS!$M$3:$M$3002,MATCH($C627,DESPACHOS!$B$3:$B$3002,0))),"")</f>
        <v/>
      </c>
      <c r="T627" s="41" t="n"/>
      <c r="U627" s="43">
        <f>IF(OR($B627="",$L627=""),"",WORKDAY($B627,IFERROR(INDEX(LISTAS!$C$3:$C$42,MATCH($L627,LISTAS!$A$3:$A$42,0)),3)))</f>
        <v/>
      </c>
      <c r="V627" s="40" t="n"/>
      <c r="W627" s="19">
        <f>IF($B627="","",IF($V627&lt;&gt;"",$V627-$B627,TODAY()-$B627))</f>
        <v/>
      </c>
      <c r="X627" s="19">
        <f>IF(OR($B627="",$U627=""),"",IF($V627&lt;&gt;"",MAX(0,$V627-$U627),MAX(0,TODAY()-$U627)))</f>
        <v/>
      </c>
      <c r="Y627" s="39">
        <f>IF($C627="","",IF(IFERROR(INDEX(LISTAS!$I$3:$I$42,MATCH($T627,LISTAS!$H$3:$H$42,0)),"NO")="SÍ",IF(N($X627)&gt;0,"CERRADA FUERA DE SLA","CERRADA EN SLA"),IF($U627="","SIN CLASIFICAR",IF(N($X627)&gt;0,"VENCIDA",IF(TODAY()&gt;=$U627-1,"POR VENCER","EN PLAZO")))))</f>
        <v/>
      </c>
      <c r="Z627" s="41" t="n"/>
      <c r="AA627" s="41" t="n"/>
      <c r="AB627" s="41" t="n"/>
    </row>
    <row r="628">
      <c r="A628" s="39">
        <f>IF($C628="","","NOV-"&amp;TEXT(ROW()-3,"0000"))</f>
        <v/>
      </c>
      <c r="B628" s="40" t="n"/>
      <c r="C628" s="41" t="n"/>
      <c r="D628" s="42">
        <f>IF($C628="","",IFERROR(INDEX(DESPACHOS!$D$3:$D$3002,MATCH($C628,DESPACHOS!$B$3:$B$3002,0)),"SIN DESPACHO"))</f>
        <v/>
      </c>
      <c r="E628" s="42">
        <f>IF($C628="","",IFERROR(INDEX(DESPACHOS!$K$3:$K$3002,MATCH($C628,DESPACHOS!$B$3:$B$3002,0)),""))</f>
        <v/>
      </c>
      <c r="F628" s="42">
        <f>IF($C628="","",IFERROR(INDEX(DESPACHOS!$I$3:$I$3002,MATCH($C628,DESPACHOS!$B$3:$B$3002,0)),""))</f>
        <v/>
      </c>
      <c r="G628" s="42">
        <f>IF($C628="","",IFERROR(INDEX(DESPACHOS!$F$3:$F$3002,MATCH($C628,DESPACHOS!$B$3:$B$3002,0)),""))</f>
        <v/>
      </c>
      <c r="H628" s="42">
        <f>IF($C628="","",IFERROR(INDEX(DESPACHOS!$G$3:$G$3002,MATCH($C628,DESPACHOS!$B$3:$B$3002,0)),""))</f>
        <v/>
      </c>
      <c r="I628" s="39">
        <f>IF($C628="","",IFERROR(INDEX(DESPACHOS!$H$3:$H$3002,MATCH($C628,DESPACHOS!$B$3:$B$3002,0)),""))</f>
        <v/>
      </c>
      <c r="J628" s="43">
        <f>IF($C628="","",IFERROR(INDEX(DESPACHOS!$J$3:$J$3002,MATCH($C628,DESPACHOS!$B$3:$B$3002,0)),""))</f>
        <v/>
      </c>
      <c r="K628" s="39">
        <f>IF($C628="","",IF(COUNTIFS(DESPACHOS!$B$3:$B$3002,$C628)=0,"NO EXISTE",IF(COUNTIFS(DESPACHOS!$B$3:$B$3002,$C628)&gt;1,"DUPLICADO","OK")))</f>
        <v/>
      </c>
      <c r="L628" s="41" t="n"/>
      <c r="M628" s="41" t="n"/>
      <c r="N628" s="42">
        <f>IF($M628="","",IFERROR(INDEX(LISTAS!$F$3:$F$42,MATCH($M628,LISTAS!$E$3:$E$42,0)),"Por definir"))</f>
        <v/>
      </c>
      <c r="O628" s="41" t="n"/>
      <c r="P628" s="39">
        <f>IF($L628="","",IFERROR(INDEX(LISTAS!$B$3:$B$42,MATCH($L628,LISTAS!$A$3:$A$42,0)),"Media"))</f>
        <v/>
      </c>
      <c r="Q628" s="44" t="n"/>
      <c r="R628" s="45" t="n"/>
      <c r="S628" s="20">
        <f>IFERROR(IF(OR($R628="",$C628=""),"",$R628/INDEX(DESPACHOS!$M$3:$M$3002,MATCH($C628,DESPACHOS!$B$3:$B$3002,0))),"")</f>
        <v/>
      </c>
      <c r="T628" s="41" t="n"/>
      <c r="U628" s="43">
        <f>IF(OR($B628="",$L628=""),"",WORKDAY($B628,IFERROR(INDEX(LISTAS!$C$3:$C$42,MATCH($L628,LISTAS!$A$3:$A$42,0)),3)))</f>
        <v/>
      </c>
      <c r="V628" s="40" t="n"/>
      <c r="W628" s="19">
        <f>IF($B628="","",IF($V628&lt;&gt;"",$V628-$B628,TODAY()-$B628))</f>
        <v/>
      </c>
      <c r="X628" s="19">
        <f>IF(OR($B628="",$U628=""),"",IF($V628&lt;&gt;"",MAX(0,$V628-$U628),MAX(0,TODAY()-$U628)))</f>
        <v/>
      </c>
      <c r="Y628" s="39">
        <f>IF($C628="","",IF(IFERROR(INDEX(LISTAS!$I$3:$I$42,MATCH($T628,LISTAS!$H$3:$H$42,0)),"NO")="SÍ",IF(N($X628)&gt;0,"CERRADA FUERA DE SLA","CERRADA EN SLA"),IF($U628="","SIN CLASIFICAR",IF(N($X628)&gt;0,"VENCIDA",IF(TODAY()&gt;=$U628-1,"POR VENCER","EN PLAZO")))))</f>
        <v/>
      </c>
      <c r="Z628" s="41" t="n"/>
      <c r="AA628" s="41" t="n"/>
      <c r="AB628" s="41" t="n"/>
    </row>
    <row r="629">
      <c r="A629" s="39">
        <f>IF($C629="","","NOV-"&amp;TEXT(ROW()-3,"0000"))</f>
        <v/>
      </c>
      <c r="B629" s="40" t="n"/>
      <c r="C629" s="41" t="n"/>
      <c r="D629" s="42">
        <f>IF($C629="","",IFERROR(INDEX(DESPACHOS!$D$3:$D$3002,MATCH($C629,DESPACHOS!$B$3:$B$3002,0)),"SIN DESPACHO"))</f>
        <v/>
      </c>
      <c r="E629" s="42">
        <f>IF($C629="","",IFERROR(INDEX(DESPACHOS!$K$3:$K$3002,MATCH($C629,DESPACHOS!$B$3:$B$3002,0)),""))</f>
        <v/>
      </c>
      <c r="F629" s="42">
        <f>IF($C629="","",IFERROR(INDEX(DESPACHOS!$I$3:$I$3002,MATCH($C629,DESPACHOS!$B$3:$B$3002,0)),""))</f>
        <v/>
      </c>
      <c r="G629" s="42">
        <f>IF($C629="","",IFERROR(INDEX(DESPACHOS!$F$3:$F$3002,MATCH($C629,DESPACHOS!$B$3:$B$3002,0)),""))</f>
        <v/>
      </c>
      <c r="H629" s="42">
        <f>IF($C629="","",IFERROR(INDEX(DESPACHOS!$G$3:$G$3002,MATCH($C629,DESPACHOS!$B$3:$B$3002,0)),""))</f>
        <v/>
      </c>
      <c r="I629" s="39">
        <f>IF($C629="","",IFERROR(INDEX(DESPACHOS!$H$3:$H$3002,MATCH($C629,DESPACHOS!$B$3:$B$3002,0)),""))</f>
        <v/>
      </c>
      <c r="J629" s="43">
        <f>IF($C629="","",IFERROR(INDEX(DESPACHOS!$J$3:$J$3002,MATCH($C629,DESPACHOS!$B$3:$B$3002,0)),""))</f>
        <v/>
      </c>
      <c r="K629" s="39">
        <f>IF($C629="","",IF(COUNTIFS(DESPACHOS!$B$3:$B$3002,$C629)=0,"NO EXISTE",IF(COUNTIFS(DESPACHOS!$B$3:$B$3002,$C629)&gt;1,"DUPLICADO","OK")))</f>
        <v/>
      </c>
      <c r="L629" s="41" t="n"/>
      <c r="M629" s="41" t="n"/>
      <c r="N629" s="42">
        <f>IF($M629="","",IFERROR(INDEX(LISTAS!$F$3:$F$42,MATCH($M629,LISTAS!$E$3:$E$42,0)),"Por definir"))</f>
        <v/>
      </c>
      <c r="O629" s="41" t="n"/>
      <c r="P629" s="39">
        <f>IF($L629="","",IFERROR(INDEX(LISTAS!$B$3:$B$42,MATCH($L629,LISTAS!$A$3:$A$42,0)),"Media"))</f>
        <v/>
      </c>
      <c r="Q629" s="44" t="n"/>
      <c r="R629" s="45" t="n"/>
      <c r="S629" s="20">
        <f>IFERROR(IF(OR($R629="",$C629=""),"",$R629/INDEX(DESPACHOS!$M$3:$M$3002,MATCH($C629,DESPACHOS!$B$3:$B$3002,0))),"")</f>
        <v/>
      </c>
      <c r="T629" s="41" t="n"/>
      <c r="U629" s="43">
        <f>IF(OR($B629="",$L629=""),"",WORKDAY($B629,IFERROR(INDEX(LISTAS!$C$3:$C$42,MATCH($L629,LISTAS!$A$3:$A$42,0)),3)))</f>
        <v/>
      </c>
      <c r="V629" s="40" t="n"/>
      <c r="W629" s="19">
        <f>IF($B629="","",IF($V629&lt;&gt;"",$V629-$B629,TODAY()-$B629))</f>
        <v/>
      </c>
      <c r="X629" s="19">
        <f>IF(OR($B629="",$U629=""),"",IF($V629&lt;&gt;"",MAX(0,$V629-$U629),MAX(0,TODAY()-$U629)))</f>
        <v/>
      </c>
      <c r="Y629" s="39">
        <f>IF($C629="","",IF(IFERROR(INDEX(LISTAS!$I$3:$I$42,MATCH($T629,LISTAS!$H$3:$H$42,0)),"NO")="SÍ",IF(N($X629)&gt;0,"CERRADA FUERA DE SLA","CERRADA EN SLA"),IF($U629="","SIN CLASIFICAR",IF(N($X629)&gt;0,"VENCIDA",IF(TODAY()&gt;=$U629-1,"POR VENCER","EN PLAZO")))))</f>
        <v/>
      </c>
      <c r="Z629" s="41" t="n"/>
      <c r="AA629" s="41" t="n"/>
      <c r="AB629" s="41" t="n"/>
    </row>
    <row r="630">
      <c r="A630" s="39">
        <f>IF($C630="","","NOV-"&amp;TEXT(ROW()-3,"0000"))</f>
        <v/>
      </c>
      <c r="B630" s="40" t="n"/>
      <c r="C630" s="41" t="n"/>
      <c r="D630" s="42">
        <f>IF($C630="","",IFERROR(INDEX(DESPACHOS!$D$3:$D$3002,MATCH($C630,DESPACHOS!$B$3:$B$3002,0)),"SIN DESPACHO"))</f>
        <v/>
      </c>
      <c r="E630" s="42">
        <f>IF($C630="","",IFERROR(INDEX(DESPACHOS!$K$3:$K$3002,MATCH($C630,DESPACHOS!$B$3:$B$3002,0)),""))</f>
        <v/>
      </c>
      <c r="F630" s="42">
        <f>IF($C630="","",IFERROR(INDEX(DESPACHOS!$I$3:$I$3002,MATCH($C630,DESPACHOS!$B$3:$B$3002,0)),""))</f>
        <v/>
      </c>
      <c r="G630" s="42">
        <f>IF($C630="","",IFERROR(INDEX(DESPACHOS!$F$3:$F$3002,MATCH($C630,DESPACHOS!$B$3:$B$3002,0)),""))</f>
        <v/>
      </c>
      <c r="H630" s="42">
        <f>IF($C630="","",IFERROR(INDEX(DESPACHOS!$G$3:$G$3002,MATCH($C630,DESPACHOS!$B$3:$B$3002,0)),""))</f>
        <v/>
      </c>
      <c r="I630" s="39">
        <f>IF($C630="","",IFERROR(INDEX(DESPACHOS!$H$3:$H$3002,MATCH($C630,DESPACHOS!$B$3:$B$3002,0)),""))</f>
        <v/>
      </c>
      <c r="J630" s="43">
        <f>IF($C630="","",IFERROR(INDEX(DESPACHOS!$J$3:$J$3002,MATCH($C630,DESPACHOS!$B$3:$B$3002,0)),""))</f>
        <v/>
      </c>
      <c r="K630" s="39">
        <f>IF($C630="","",IF(COUNTIFS(DESPACHOS!$B$3:$B$3002,$C630)=0,"NO EXISTE",IF(COUNTIFS(DESPACHOS!$B$3:$B$3002,$C630)&gt;1,"DUPLICADO","OK")))</f>
        <v/>
      </c>
      <c r="L630" s="41" t="n"/>
      <c r="M630" s="41" t="n"/>
      <c r="N630" s="42">
        <f>IF($M630="","",IFERROR(INDEX(LISTAS!$F$3:$F$42,MATCH($M630,LISTAS!$E$3:$E$42,0)),"Por definir"))</f>
        <v/>
      </c>
      <c r="O630" s="41" t="n"/>
      <c r="P630" s="39">
        <f>IF($L630="","",IFERROR(INDEX(LISTAS!$B$3:$B$42,MATCH($L630,LISTAS!$A$3:$A$42,0)),"Media"))</f>
        <v/>
      </c>
      <c r="Q630" s="44" t="n"/>
      <c r="R630" s="45" t="n"/>
      <c r="S630" s="20">
        <f>IFERROR(IF(OR($R630="",$C630=""),"",$R630/INDEX(DESPACHOS!$M$3:$M$3002,MATCH($C630,DESPACHOS!$B$3:$B$3002,0))),"")</f>
        <v/>
      </c>
      <c r="T630" s="41" t="n"/>
      <c r="U630" s="43">
        <f>IF(OR($B630="",$L630=""),"",WORKDAY($B630,IFERROR(INDEX(LISTAS!$C$3:$C$42,MATCH($L630,LISTAS!$A$3:$A$42,0)),3)))</f>
        <v/>
      </c>
      <c r="V630" s="40" t="n"/>
      <c r="W630" s="19">
        <f>IF($B630="","",IF($V630&lt;&gt;"",$V630-$B630,TODAY()-$B630))</f>
        <v/>
      </c>
      <c r="X630" s="19">
        <f>IF(OR($B630="",$U630=""),"",IF($V630&lt;&gt;"",MAX(0,$V630-$U630),MAX(0,TODAY()-$U630)))</f>
        <v/>
      </c>
      <c r="Y630" s="39">
        <f>IF($C630="","",IF(IFERROR(INDEX(LISTAS!$I$3:$I$42,MATCH($T630,LISTAS!$H$3:$H$42,0)),"NO")="SÍ",IF(N($X630)&gt;0,"CERRADA FUERA DE SLA","CERRADA EN SLA"),IF($U630="","SIN CLASIFICAR",IF(N($X630)&gt;0,"VENCIDA",IF(TODAY()&gt;=$U630-1,"POR VENCER","EN PLAZO")))))</f>
        <v/>
      </c>
      <c r="Z630" s="41" t="n"/>
      <c r="AA630" s="41" t="n"/>
      <c r="AB630" s="41" t="n"/>
    </row>
    <row r="631">
      <c r="A631" s="39">
        <f>IF($C631="","","NOV-"&amp;TEXT(ROW()-3,"0000"))</f>
        <v/>
      </c>
      <c r="B631" s="40" t="n"/>
      <c r="C631" s="41" t="n"/>
      <c r="D631" s="42">
        <f>IF($C631="","",IFERROR(INDEX(DESPACHOS!$D$3:$D$3002,MATCH($C631,DESPACHOS!$B$3:$B$3002,0)),"SIN DESPACHO"))</f>
        <v/>
      </c>
      <c r="E631" s="42">
        <f>IF($C631="","",IFERROR(INDEX(DESPACHOS!$K$3:$K$3002,MATCH($C631,DESPACHOS!$B$3:$B$3002,0)),""))</f>
        <v/>
      </c>
      <c r="F631" s="42">
        <f>IF($C631="","",IFERROR(INDEX(DESPACHOS!$I$3:$I$3002,MATCH($C631,DESPACHOS!$B$3:$B$3002,0)),""))</f>
        <v/>
      </c>
      <c r="G631" s="42">
        <f>IF($C631="","",IFERROR(INDEX(DESPACHOS!$F$3:$F$3002,MATCH($C631,DESPACHOS!$B$3:$B$3002,0)),""))</f>
        <v/>
      </c>
      <c r="H631" s="42">
        <f>IF($C631="","",IFERROR(INDEX(DESPACHOS!$G$3:$G$3002,MATCH($C631,DESPACHOS!$B$3:$B$3002,0)),""))</f>
        <v/>
      </c>
      <c r="I631" s="39">
        <f>IF($C631="","",IFERROR(INDEX(DESPACHOS!$H$3:$H$3002,MATCH($C631,DESPACHOS!$B$3:$B$3002,0)),""))</f>
        <v/>
      </c>
      <c r="J631" s="43">
        <f>IF($C631="","",IFERROR(INDEX(DESPACHOS!$J$3:$J$3002,MATCH($C631,DESPACHOS!$B$3:$B$3002,0)),""))</f>
        <v/>
      </c>
      <c r="K631" s="39">
        <f>IF($C631="","",IF(COUNTIFS(DESPACHOS!$B$3:$B$3002,$C631)=0,"NO EXISTE",IF(COUNTIFS(DESPACHOS!$B$3:$B$3002,$C631)&gt;1,"DUPLICADO","OK")))</f>
        <v/>
      </c>
      <c r="L631" s="41" t="n"/>
      <c r="M631" s="41" t="n"/>
      <c r="N631" s="42">
        <f>IF($M631="","",IFERROR(INDEX(LISTAS!$F$3:$F$42,MATCH($M631,LISTAS!$E$3:$E$42,0)),"Por definir"))</f>
        <v/>
      </c>
      <c r="O631" s="41" t="n"/>
      <c r="P631" s="39">
        <f>IF($L631="","",IFERROR(INDEX(LISTAS!$B$3:$B$42,MATCH($L631,LISTAS!$A$3:$A$42,0)),"Media"))</f>
        <v/>
      </c>
      <c r="Q631" s="44" t="n"/>
      <c r="R631" s="45" t="n"/>
      <c r="S631" s="20">
        <f>IFERROR(IF(OR($R631="",$C631=""),"",$R631/INDEX(DESPACHOS!$M$3:$M$3002,MATCH($C631,DESPACHOS!$B$3:$B$3002,0))),"")</f>
        <v/>
      </c>
      <c r="T631" s="41" t="n"/>
      <c r="U631" s="43">
        <f>IF(OR($B631="",$L631=""),"",WORKDAY($B631,IFERROR(INDEX(LISTAS!$C$3:$C$42,MATCH($L631,LISTAS!$A$3:$A$42,0)),3)))</f>
        <v/>
      </c>
      <c r="V631" s="40" t="n"/>
      <c r="W631" s="19">
        <f>IF($B631="","",IF($V631&lt;&gt;"",$V631-$B631,TODAY()-$B631))</f>
        <v/>
      </c>
      <c r="X631" s="19">
        <f>IF(OR($B631="",$U631=""),"",IF($V631&lt;&gt;"",MAX(0,$V631-$U631),MAX(0,TODAY()-$U631)))</f>
        <v/>
      </c>
      <c r="Y631" s="39">
        <f>IF($C631="","",IF(IFERROR(INDEX(LISTAS!$I$3:$I$42,MATCH($T631,LISTAS!$H$3:$H$42,0)),"NO")="SÍ",IF(N($X631)&gt;0,"CERRADA FUERA DE SLA","CERRADA EN SLA"),IF($U631="","SIN CLASIFICAR",IF(N($X631)&gt;0,"VENCIDA",IF(TODAY()&gt;=$U631-1,"POR VENCER","EN PLAZO")))))</f>
        <v/>
      </c>
      <c r="Z631" s="41" t="n"/>
      <c r="AA631" s="41" t="n"/>
      <c r="AB631" s="41" t="n"/>
    </row>
    <row r="632">
      <c r="A632" s="39">
        <f>IF($C632="","","NOV-"&amp;TEXT(ROW()-3,"0000"))</f>
        <v/>
      </c>
      <c r="B632" s="40" t="n"/>
      <c r="C632" s="41" t="n"/>
      <c r="D632" s="42">
        <f>IF($C632="","",IFERROR(INDEX(DESPACHOS!$D$3:$D$3002,MATCH($C632,DESPACHOS!$B$3:$B$3002,0)),"SIN DESPACHO"))</f>
        <v/>
      </c>
      <c r="E632" s="42">
        <f>IF($C632="","",IFERROR(INDEX(DESPACHOS!$K$3:$K$3002,MATCH($C632,DESPACHOS!$B$3:$B$3002,0)),""))</f>
        <v/>
      </c>
      <c r="F632" s="42">
        <f>IF($C632="","",IFERROR(INDEX(DESPACHOS!$I$3:$I$3002,MATCH($C632,DESPACHOS!$B$3:$B$3002,0)),""))</f>
        <v/>
      </c>
      <c r="G632" s="42">
        <f>IF($C632="","",IFERROR(INDEX(DESPACHOS!$F$3:$F$3002,MATCH($C632,DESPACHOS!$B$3:$B$3002,0)),""))</f>
        <v/>
      </c>
      <c r="H632" s="42">
        <f>IF($C632="","",IFERROR(INDEX(DESPACHOS!$G$3:$G$3002,MATCH($C632,DESPACHOS!$B$3:$B$3002,0)),""))</f>
        <v/>
      </c>
      <c r="I632" s="39">
        <f>IF($C632="","",IFERROR(INDEX(DESPACHOS!$H$3:$H$3002,MATCH($C632,DESPACHOS!$B$3:$B$3002,0)),""))</f>
        <v/>
      </c>
      <c r="J632" s="43">
        <f>IF($C632="","",IFERROR(INDEX(DESPACHOS!$J$3:$J$3002,MATCH($C632,DESPACHOS!$B$3:$B$3002,0)),""))</f>
        <v/>
      </c>
      <c r="K632" s="39">
        <f>IF($C632="","",IF(COUNTIFS(DESPACHOS!$B$3:$B$3002,$C632)=0,"NO EXISTE",IF(COUNTIFS(DESPACHOS!$B$3:$B$3002,$C632)&gt;1,"DUPLICADO","OK")))</f>
        <v/>
      </c>
      <c r="L632" s="41" t="n"/>
      <c r="M632" s="41" t="n"/>
      <c r="N632" s="42">
        <f>IF($M632="","",IFERROR(INDEX(LISTAS!$F$3:$F$42,MATCH($M632,LISTAS!$E$3:$E$42,0)),"Por definir"))</f>
        <v/>
      </c>
      <c r="O632" s="41" t="n"/>
      <c r="P632" s="39">
        <f>IF($L632="","",IFERROR(INDEX(LISTAS!$B$3:$B$42,MATCH($L632,LISTAS!$A$3:$A$42,0)),"Media"))</f>
        <v/>
      </c>
      <c r="Q632" s="44" t="n"/>
      <c r="R632" s="45" t="n"/>
      <c r="S632" s="20">
        <f>IFERROR(IF(OR($R632="",$C632=""),"",$R632/INDEX(DESPACHOS!$M$3:$M$3002,MATCH($C632,DESPACHOS!$B$3:$B$3002,0))),"")</f>
        <v/>
      </c>
      <c r="T632" s="41" t="n"/>
      <c r="U632" s="43">
        <f>IF(OR($B632="",$L632=""),"",WORKDAY($B632,IFERROR(INDEX(LISTAS!$C$3:$C$42,MATCH($L632,LISTAS!$A$3:$A$42,0)),3)))</f>
        <v/>
      </c>
      <c r="V632" s="40" t="n"/>
      <c r="W632" s="19">
        <f>IF($B632="","",IF($V632&lt;&gt;"",$V632-$B632,TODAY()-$B632))</f>
        <v/>
      </c>
      <c r="X632" s="19">
        <f>IF(OR($B632="",$U632=""),"",IF($V632&lt;&gt;"",MAX(0,$V632-$U632),MAX(0,TODAY()-$U632)))</f>
        <v/>
      </c>
      <c r="Y632" s="39">
        <f>IF($C632="","",IF(IFERROR(INDEX(LISTAS!$I$3:$I$42,MATCH($T632,LISTAS!$H$3:$H$42,0)),"NO")="SÍ",IF(N($X632)&gt;0,"CERRADA FUERA DE SLA","CERRADA EN SLA"),IF($U632="","SIN CLASIFICAR",IF(N($X632)&gt;0,"VENCIDA",IF(TODAY()&gt;=$U632-1,"POR VENCER","EN PLAZO")))))</f>
        <v/>
      </c>
      <c r="Z632" s="41" t="n"/>
      <c r="AA632" s="41" t="n"/>
      <c r="AB632" s="41" t="n"/>
    </row>
    <row r="633">
      <c r="A633" s="39">
        <f>IF($C633="","","NOV-"&amp;TEXT(ROW()-3,"0000"))</f>
        <v/>
      </c>
      <c r="B633" s="40" t="n"/>
      <c r="C633" s="41" t="n"/>
      <c r="D633" s="42">
        <f>IF($C633="","",IFERROR(INDEX(DESPACHOS!$D$3:$D$3002,MATCH($C633,DESPACHOS!$B$3:$B$3002,0)),"SIN DESPACHO"))</f>
        <v/>
      </c>
      <c r="E633" s="42">
        <f>IF($C633="","",IFERROR(INDEX(DESPACHOS!$K$3:$K$3002,MATCH($C633,DESPACHOS!$B$3:$B$3002,0)),""))</f>
        <v/>
      </c>
      <c r="F633" s="42">
        <f>IF($C633="","",IFERROR(INDEX(DESPACHOS!$I$3:$I$3002,MATCH($C633,DESPACHOS!$B$3:$B$3002,0)),""))</f>
        <v/>
      </c>
      <c r="G633" s="42">
        <f>IF($C633="","",IFERROR(INDEX(DESPACHOS!$F$3:$F$3002,MATCH($C633,DESPACHOS!$B$3:$B$3002,0)),""))</f>
        <v/>
      </c>
      <c r="H633" s="42">
        <f>IF($C633="","",IFERROR(INDEX(DESPACHOS!$G$3:$G$3002,MATCH($C633,DESPACHOS!$B$3:$B$3002,0)),""))</f>
        <v/>
      </c>
      <c r="I633" s="39">
        <f>IF($C633="","",IFERROR(INDEX(DESPACHOS!$H$3:$H$3002,MATCH($C633,DESPACHOS!$B$3:$B$3002,0)),""))</f>
        <v/>
      </c>
      <c r="J633" s="43">
        <f>IF($C633="","",IFERROR(INDEX(DESPACHOS!$J$3:$J$3002,MATCH($C633,DESPACHOS!$B$3:$B$3002,0)),""))</f>
        <v/>
      </c>
      <c r="K633" s="39">
        <f>IF($C633="","",IF(COUNTIFS(DESPACHOS!$B$3:$B$3002,$C633)=0,"NO EXISTE",IF(COUNTIFS(DESPACHOS!$B$3:$B$3002,$C633)&gt;1,"DUPLICADO","OK")))</f>
        <v/>
      </c>
      <c r="L633" s="41" t="n"/>
      <c r="M633" s="41" t="n"/>
      <c r="N633" s="42">
        <f>IF($M633="","",IFERROR(INDEX(LISTAS!$F$3:$F$42,MATCH($M633,LISTAS!$E$3:$E$42,0)),"Por definir"))</f>
        <v/>
      </c>
      <c r="O633" s="41" t="n"/>
      <c r="P633" s="39">
        <f>IF($L633="","",IFERROR(INDEX(LISTAS!$B$3:$B$42,MATCH($L633,LISTAS!$A$3:$A$42,0)),"Media"))</f>
        <v/>
      </c>
      <c r="Q633" s="44" t="n"/>
      <c r="R633" s="45" t="n"/>
      <c r="S633" s="20">
        <f>IFERROR(IF(OR($R633="",$C633=""),"",$R633/INDEX(DESPACHOS!$M$3:$M$3002,MATCH($C633,DESPACHOS!$B$3:$B$3002,0))),"")</f>
        <v/>
      </c>
      <c r="T633" s="41" t="n"/>
      <c r="U633" s="43">
        <f>IF(OR($B633="",$L633=""),"",WORKDAY($B633,IFERROR(INDEX(LISTAS!$C$3:$C$42,MATCH($L633,LISTAS!$A$3:$A$42,0)),3)))</f>
        <v/>
      </c>
      <c r="V633" s="40" t="n"/>
      <c r="W633" s="19">
        <f>IF($B633="","",IF($V633&lt;&gt;"",$V633-$B633,TODAY()-$B633))</f>
        <v/>
      </c>
      <c r="X633" s="19">
        <f>IF(OR($B633="",$U633=""),"",IF($V633&lt;&gt;"",MAX(0,$V633-$U633),MAX(0,TODAY()-$U633)))</f>
        <v/>
      </c>
      <c r="Y633" s="39">
        <f>IF($C633="","",IF(IFERROR(INDEX(LISTAS!$I$3:$I$42,MATCH($T633,LISTAS!$H$3:$H$42,0)),"NO")="SÍ",IF(N($X633)&gt;0,"CERRADA FUERA DE SLA","CERRADA EN SLA"),IF($U633="","SIN CLASIFICAR",IF(N($X633)&gt;0,"VENCIDA",IF(TODAY()&gt;=$U633-1,"POR VENCER","EN PLAZO")))))</f>
        <v/>
      </c>
      <c r="Z633" s="41" t="n"/>
      <c r="AA633" s="41" t="n"/>
      <c r="AB633" s="41" t="n"/>
    </row>
    <row r="634">
      <c r="A634" s="39">
        <f>IF($C634="","","NOV-"&amp;TEXT(ROW()-3,"0000"))</f>
        <v/>
      </c>
      <c r="B634" s="40" t="n"/>
      <c r="C634" s="41" t="n"/>
      <c r="D634" s="42">
        <f>IF($C634="","",IFERROR(INDEX(DESPACHOS!$D$3:$D$3002,MATCH($C634,DESPACHOS!$B$3:$B$3002,0)),"SIN DESPACHO"))</f>
        <v/>
      </c>
      <c r="E634" s="42">
        <f>IF($C634="","",IFERROR(INDEX(DESPACHOS!$K$3:$K$3002,MATCH($C634,DESPACHOS!$B$3:$B$3002,0)),""))</f>
        <v/>
      </c>
      <c r="F634" s="42">
        <f>IF($C634="","",IFERROR(INDEX(DESPACHOS!$I$3:$I$3002,MATCH($C634,DESPACHOS!$B$3:$B$3002,0)),""))</f>
        <v/>
      </c>
      <c r="G634" s="42">
        <f>IF($C634="","",IFERROR(INDEX(DESPACHOS!$F$3:$F$3002,MATCH($C634,DESPACHOS!$B$3:$B$3002,0)),""))</f>
        <v/>
      </c>
      <c r="H634" s="42">
        <f>IF($C634="","",IFERROR(INDEX(DESPACHOS!$G$3:$G$3002,MATCH($C634,DESPACHOS!$B$3:$B$3002,0)),""))</f>
        <v/>
      </c>
      <c r="I634" s="39">
        <f>IF($C634="","",IFERROR(INDEX(DESPACHOS!$H$3:$H$3002,MATCH($C634,DESPACHOS!$B$3:$B$3002,0)),""))</f>
        <v/>
      </c>
      <c r="J634" s="43">
        <f>IF($C634="","",IFERROR(INDEX(DESPACHOS!$J$3:$J$3002,MATCH($C634,DESPACHOS!$B$3:$B$3002,0)),""))</f>
        <v/>
      </c>
      <c r="K634" s="39">
        <f>IF($C634="","",IF(COUNTIFS(DESPACHOS!$B$3:$B$3002,$C634)=0,"NO EXISTE",IF(COUNTIFS(DESPACHOS!$B$3:$B$3002,$C634)&gt;1,"DUPLICADO","OK")))</f>
        <v/>
      </c>
      <c r="L634" s="41" t="n"/>
      <c r="M634" s="41" t="n"/>
      <c r="N634" s="42">
        <f>IF($M634="","",IFERROR(INDEX(LISTAS!$F$3:$F$42,MATCH($M634,LISTAS!$E$3:$E$42,0)),"Por definir"))</f>
        <v/>
      </c>
      <c r="O634" s="41" t="n"/>
      <c r="P634" s="39">
        <f>IF($L634="","",IFERROR(INDEX(LISTAS!$B$3:$B$42,MATCH($L634,LISTAS!$A$3:$A$42,0)),"Media"))</f>
        <v/>
      </c>
      <c r="Q634" s="44" t="n"/>
      <c r="R634" s="45" t="n"/>
      <c r="S634" s="20">
        <f>IFERROR(IF(OR($R634="",$C634=""),"",$R634/INDEX(DESPACHOS!$M$3:$M$3002,MATCH($C634,DESPACHOS!$B$3:$B$3002,0))),"")</f>
        <v/>
      </c>
      <c r="T634" s="41" t="n"/>
      <c r="U634" s="43">
        <f>IF(OR($B634="",$L634=""),"",WORKDAY($B634,IFERROR(INDEX(LISTAS!$C$3:$C$42,MATCH($L634,LISTAS!$A$3:$A$42,0)),3)))</f>
        <v/>
      </c>
      <c r="V634" s="40" t="n"/>
      <c r="W634" s="19">
        <f>IF($B634="","",IF($V634&lt;&gt;"",$V634-$B634,TODAY()-$B634))</f>
        <v/>
      </c>
      <c r="X634" s="19">
        <f>IF(OR($B634="",$U634=""),"",IF($V634&lt;&gt;"",MAX(0,$V634-$U634),MAX(0,TODAY()-$U634)))</f>
        <v/>
      </c>
      <c r="Y634" s="39">
        <f>IF($C634="","",IF(IFERROR(INDEX(LISTAS!$I$3:$I$42,MATCH($T634,LISTAS!$H$3:$H$42,0)),"NO")="SÍ",IF(N($X634)&gt;0,"CERRADA FUERA DE SLA","CERRADA EN SLA"),IF($U634="","SIN CLASIFICAR",IF(N($X634)&gt;0,"VENCIDA",IF(TODAY()&gt;=$U634-1,"POR VENCER","EN PLAZO")))))</f>
        <v/>
      </c>
      <c r="Z634" s="41" t="n"/>
      <c r="AA634" s="41" t="n"/>
      <c r="AB634" s="41" t="n"/>
    </row>
    <row r="635">
      <c r="A635" s="39">
        <f>IF($C635="","","NOV-"&amp;TEXT(ROW()-3,"0000"))</f>
        <v/>
      </c>
      <c r="B635" s="40" t="n"/>
      <c r="C635" s="41" t="n"/>
      <c r="D635" s="42">
        <f>IF($C635="","",IFERROR(INDEX(DESPACHOS!$D$3:$D$3002,MATCH($C635,DESPACHOS!$B$3:$B$3002,0)),"SIN DESPACHO"))</f>
        <v/>
      </c>
      <c r="E635" s="42">
        <f>IF($C635="","",IFERROR(INDEX(DESPACHOS!$K$3:$K$3002,MATCH($C635,DESPACHOS!$B$3:$B$3002,0)),""))</f>
        <v/>
      </c>
      <c r="F635" s="42">
        <f>IF($C635="","",IFERROR(INDEX(DESPACHOS!$I$3:$I$3002,MATCH($C635,DESPACHOS!$B$3:$B$3002,0)),""))</f>
        <v/>
      </c>
      <c r="G635" s="42">
        <f>IF($C635="","",IFERROR(INDEX(DESPACHOS!$F$3:$F$3002,MATCH($C635,DESPACHOS!$B$3:$B$3002,0)),""))</f>
        <v/>
      </c>
      <c r="H635" s="42">
        <f>IF($C635="","",IFERROR(INDEX(DESPACHOS!$G$3:$G$3002,MATCH($C635,DESPACHOS!$B$3:$B$3002,0)),""))</f>
        <v/>
      </c>
      <c r="I635" s="39">
        <f>IF($C635="","",IFERROR(INDEX(DESPACHOS!$H$3:$H$3002,MATCH($C635,DESPACHOS!$B$3:$B$3002,0)),""))</f>
        <v/>
      </c>
      <c r="J635" s="43">
        <f>IF($C635="","",IFERROR(INDEX(DESPACHOS!$J$3:$J$3002,MATCH($C635,DESPACHOS!$B$3:$B$3002,0)),""))</f>
        <v/>
      </c>
      <c r="K635" s="39">
        <f>IF($C635="","",IF(COUNTIFS(DESPACHOS!$B$3:$B$3002,$C635)=0,"NO EXISTE",IF(COUNTIFS(DESPACHOS!$B$3:$B$3002,$C635)&gt;1,"DUPLICADO","OK")))</f>
        <v/>
      </c>
      <c r="L635" s="41" t="n"/>
      <c r="M635" s="41" t="n"/>
      <c r="N635" s="42">
        <f>IF($M635="","",IFERROR(INDEX(LISTAS!$F$3:$F$42,MATCH($M635,LISTAS!$E$3:$E$42,0)),"Por definir"))</f>
        <v/>
      </c>
      <c r="O635" s="41" t="n"/>
      <c r="P635" s="39">
        <f>IF($L635="","",IFERROR(INDEX(LISTAS!$B$3:$B$42,MATCH($L635,LISTAS!$A$3:$A$42,0)),"Media"))</f>
        <v/>
      </c>
      <c r="Q635" s="44" t="n"/>
      <c r="R635" s="45" t="n"/>
      <c r="S635" s="20">
        <f>IFERROR(IF(OR($R635="",$C635=""),"",$R635/INDEX(DESPACHOS!$M$3:$M$3002,MATCH($C635,DESPACHOS!$B$3:$B$3002,0))),"")</f>
        <v/>
      </c>
      <c r="T635" s="41" t="n"/>
      <c r="U635" s="43">
        <f>IF(OR($B635="",$L635=""),"",WORKDAY($B635,IFERROR(INDEX(LISTAS!$C$3:$C$42,MATCH($L635,LISTAS!$A$3:$A$42,0)),3)))</f>
        <v/>
      </c>
      <c r="V635" s="40" t="n"/>
      <c r="W635" s="19">
        <f>IF($B635="","",IF($V635&lt;&gt;"",$V635-$B635,TODAY()-$B635))</f>
        <v/>
      </c>
      <c r="X635" s="19">
        <f>IF(OR($B635="",$U635=""),"",IF($V635&lt;&gt;"",MAX(0,$V635-$U635),MAX(0,TODAY()-$U635)))</f>
        <v/>
      </c>
      <c r="Y635" s="39">
        <f>IF($C635="","",IF(IFERROR(INDEX(LISTAS!$I$3:$I$42,MATCH($T635,LISTAS!$H$3:$H$42,0)),"NO")="SÍ",IF(N($X635)&gt;0,"CERRADA FUERA DE SLA","CERRADA EN SLA"),IF($U635="","SIN CLASIFICAR",IF(N($X635)&gt;0,"VENCIDA",IF(TODAY()&gt;=$U635-1,"POR VENCER","EN PLAZO")))))</f>
        <v/>
      </c>
      <c r="Z635" s="41" t="n"/>
      <c r="AA635" s="41" t="n"/>
      <c r="AB635" s="41" t="n"/>
    </row>
    <row r="636">
      <c r="A636" s="39">
        <f>IF($C636="","","NOV-"&amp;TEXT(ROW()-3,"0000"))</f>
        <v/>
      </c>
      <c r="B636" s="40" t="n"/>
      <c r="C636" s="41" t="n"/>
      <c r="D636" s="42">
        <f>IF($C636="","",IFERROR(INDEX(DESPACHOS!$D$3:$D$3002,MATCH($C636,DESPACHOS!$B$3:$B$3002,0)),"SIN DESPACHO"))</f>
        <v/>
      </c>
      <c r="E636" s="42">
        <f>IF($C636="","",IFERROR(INDEX(DESPACHOS!$K$3:$K$3002,MATCH($C636,DESPACHOS!$B$3:$B$3002,0)),""))</f>
        <v/>
      </c>
      <c r="F636" s="42">
        <f>IF($C636="","",IFERROR(INDEX(DESPACHOS!$I$3:$I$3002,MATCH($C636,DESPACHOS!$B$3:$B$3002,0)),""))</f>
        <v/>
      </c>
      <c r="G636" s="42">
        <f>IF($C636="","",IFERROR(INDEX(DESPACHOS!$F$3:$F$3002,MATCH($C636,DESPACHOS!$B$3:$B$3002,0)),""))</f>
        <v/>
      </c>
      <c r="H636" s="42">
        <f>IF($C636="","",IFERROR(INDEX(DESPACHOS!$G$3:$G$3002,MATCH($C636,DESPACHOS!$B$3:$B$3002,0)),""))</f>
        <v/>
      </c>
      <c r="I636" s="39">
        <f>IF($C636="","",IFERROR(INDEX(DESPACHOS!$H$3:$H$3002,MATCH($C636,DESPACHOS!$B$3:$B$3002,0)),""))</f>
        <v/>
      </c>
      <c r="J636" s="43">
        <f>IF($C636="","",IFERROR(INDEX(DESPACHOS!$J$3:$J$3002,MATCH($C636,DESPACHOS!$B$3:$B$3002,0)),""))</f>
        <v/>
      </c>
      <c r="K636" s="39">
        <f>IF($C636="","",IF(COUNTIFS(DESPACHOS!$B$3:$B$3002,$C636)=0,"NO EXISTE",IF(COUNTIFS(DESPACHOS!$B$3:$B$3002,$C636)&gt;1,"DUPLICADO","OK")))</f>
        <v/>
      </c>
      <c r="L636" s="41" t="n"/>
      <c r="M636" s="41" t="n"/>
      <c r="N636" s="42">
        <f>IF($M636="","",IFERROR(INDEX(LISTAS!$F$3:$F$42,MATCH($M636,LISTAS!$E$3:$E$42,0)),"Por definir"))</f>
        <v/>
      </c>
      <c r="O636" s="41" t="n"/>
      <c r="P636" s="39">
        <f>IF($L636="","",IFERROR(INDEX(LISTAS!$B$3:$B$42,MATCH($L636,LISTAS!$A$3:$A$42,0)),"Media"))</f>
        <v/>
      </c>
      <c r="Q636" s="44" t="n"/>
      <c r="R636" s="45" t="n"/>
      <c r="S636" s="20">
        <f>IFERROR(IF(OR($R636="",$C636=""),"",$R636/INDEX(DESPACHOS!$M$3:$M$3002,MATCH($C636,DESPACHOS!$B$3:$B$3002,0))),"")</f>
        <v/>
      </c>
      <c r="T636" s="41" t="n"/>
      <c r="U636" s="43">
        <f>IF(OR($B636="",$L636=""),"",WORKDAY($B636,IFERROR(INDEX(LISTAS!$C$3:$C$42,MATCH($L636,LISTAS!$A$3:$A$42,0)),3)))</f>
        <v/>
      </c>
      <c r="V636" s="40" t="n"/>
      <c r="W636" s="19">
        <f>IF($B636="","",IF($V636&lt;&gt;"",$V636-$B636,TODAY()-$B636))</f>
        <v/>
      </c>
      <c r="X636" s="19">
        <f>IF(OR($B636="",$U636=""),"",IF($V636&lt;&gt;"",MAX(0,$V636-$U636),MAX(0,TODAY()-$U636)))</f>
        <v/>
      </c>
      <c r="Y636" s="39">
        <f>IF($C636="","",IF(IFERROR(INDEX(LISTAS!$I$3:$I$42,MATCH($T636,LISTAS!$H$3:$H$42,0)),"NO")="SÍ",IF(N($X636)&gt;0,"CERRADA FUERA DE SLA","CERRADA EN SLA"),IF($U636="","SIN CLASIFICAR",IF(N($X636)&gt;0,"VENCIDA",IF(TODAY()&gt;=$U636-1,"POR VENCER","EN PLAZO")))))</f>
        <v/>
      </c>
      <c r="Z636" s="41" t="n"/>
      <c r="AA636" s="41" t="n"/>
      <c r="AB636" s="41" t="n"/>
    </row>
    <row r="637">
      <c r="A637" s="39">
        <f>IF($C637="","","NOV-"&amp;TEXT(ROW()-3,"0000"))</f>
        <v/>
      </c>
      <c r="B637" s="40" t="n"/>
      <c r="C637" s="41" t="n"/>
      <c r="D637" s="42">
        <f>IF($C637="","",IFERROR(INDEX(DESPACHOS!$D$3:$D$3002,MATCH($C637,DESPACHOS!$B$3:$B$3002,0)),"SIN DESPACHO"))</f>
        <v/>
      </c>
      <c r="E637" s="42">
        <f>IF($C637="","",IFERROR(INDEX(DESPACHOS!$K$3:$K$3002,MATCH($C637,DESPACHOS!$B$3:$B$3002,0)),""))</f>
        <v/>
      </c>
      <c r="F637" s="42">
        <f>IF($C637="","",IFERROR(INDEX(DESPACHOS!$I$3:$I$3002,MATCH($C637,DESPACHOS!$B$3:$B$3002,0)),""))</f>
        <v/>
      </c>
      <c r="G637" s="42">
        <f>IF($C637="","",IFERROR(INDEX(DESPACHOS!$F$3:$F$3002,MATCH($C637,DESPACHOS!$B$3:$B$3002,0)),""))</f>
        <v/>
      </c>
      <c r="H637" s="42">
        <f>IF($C637="","",IFERROR(INDEX(DESPACHOS!$G$3:$G$3002,MATCH($C637,DESPACHOS!$B$3:$B$3002,0)),""))</f>
        <v/>
      </c>
      <c r="I637" s="39">
        <f>IF($C637="","",IFERROR(INDEX(DESPACHOS!$H$3:$H$3002,MATCH($C637,DESPACHOS!$B$3:$B$3002,0)),""))</f>
        <v/>
      </c>
      <c r="J637" s="43">
        <f>IF($C637="","",IFERROR(INDEX(DESPACHOS!$J$3:$J$3002,MATCH($C637,DESPACHOS!$B$3:$B$3002,0)),""))</f>
        <v/>
      </c>
      <c r="K637" s="39">
        <f>IF($C637="","",IF(COUNTIFS(DESPACHOS!$B$3:$B$3002,$C637)=0,"NO EXISTE",IF(COUNTIFS(DESPACHOS!$B$3:$B$3002,$C637)&gt;1,"DUPLICADO","OK")))</f>
        <v/>
      </c>
      <c r="L637" s="41" t="n"/>
      <c r="M637" s="41" t="n"/>
      <c r="N637" s="42">
        <f>IF($M637="","",IFERROR(INDEX(LISTAS!$F$3:$F$42,MATCH($M637,LISTAS!$E$3:$E$42,0)),"Por definir"))</f>
        <v/>
      </c>
      <c r="O637" s="41" t="n"/>
      <c r="P637" s="39">
        <f>IF($L637="","",IFERROR(INDEX(LISTAS!$B$3:$B$42,MATCH($L637,LISTAS!$A$3:$A$42,0)),"Media"))</f>
        <v/>
      </c>
      <c r="Q637" s="44" t="n"/>
      <c r="R637" s="45" t="n"/>
      <c r="S637" s="20">
        <f>IFERROR(IF(OR($R637="",$C637=""),"",$R637/INDEX(DESPACHOS!$M$3:$M$3002,MATCH($C637,DESPACHOS!$B$3:$B$3002,0))),"")</f>
        <v/>
      </c>
      <c r="T637" s="41" t="n"/>
      <c r="U637" s="43">
        <f>IF(OR($B637="",$L637=""),"",WORKDAY($B637,IFERROR(INDEX(LISTAS!$C$3:$C$42,MATCH($L637,LISTAS!$A$3:$A$42,0)),3)))</f>
        <v/>
      </c>
      <c r="V637" s="40" t="n"/>
      <c r="W637" s="19">
        <f>IF($B637="","",IF($V637&lt;&gt;"",$V637-$B637,TODAY()-$B637))</f>
        <v/>
      </c>
      <c r="X637" s="19">
        <f>IF(OR($B637="",$U637=""),"",IF($V637&lt;&gt;"",MAX(0,$V637-$U637),MAX(0,TODAY()-$U637)))</f>
        <v/>
      </c>
      <c r="Y637" s="39">
        <f>IF($C637="","",IF(IFERROR(INDEX(LISTAS!$I$3:$I$42,MATCH($T637,LISTAS!$H$3:$H$42,0)),"NO")="SÍ",IF(N($X637)&gt;0,"CERRADA FUERA DE SLA","CERRADA EN SLA"),IF($U637="","SIN CLASIFICAR",IF(N($X637)&gt;0,"VENCIDA",IF(TODAY()&gt;=$U637-1,"POR VENCER","EN PLAZO")))))</f>
        <v/>
      </c>
      <c r="Z637" s="41" t="n"/>
      <c r="AA637" s="41" t="n"/>
      <c r="AB637" s="41" t="n"/>
    </row>
    <row r="638">
      <c r="A638" s="39">
        <f>IF($C638="","","NOV-"&amp;TEXT(ROW()-3,"0000"))</f>
        <v/>
      </c>
      <c r="B638" s="40" t="n"/>
      <c r="C638" s="41" t="n"/>
      <c r="D638" s="42">
        <f>IF($C638="","",IFERROR(INDEX(DESPACHOS!$D$3:$D$3002,MATCH($C638,DESPACHOS!$B$3:$B$3002,0)),"SIN DESPACHO"))</f>
        <v/>
      </c>
      <c r="E638" s="42">
        <f>IF($C638="","",IFERROR(INDEX(DESPACHOS!$K$3:$K$3002,MATCH($C638,DESPACHOS!$B$3:$B$3002,0)),""))</f>
        <v/>
      </c>
      <c r="F638" s="42">
        <f>IF($C638="","",IFERROR(INDEX(DESPACHOS!$I$3:$I$3002,MATCH($C638,DESPACHOS!$B$3:$B$3002,0)),""))</f>
        <v/>
      </c>
      <c r="G638" s="42">
        <f>IF($C638="","",IFERROR(INDEX(DESPACHOS!$F$3:$F$3002,MATCH($C638,DESPACHOS!$B$3:$B$3002,0)),""))</f>
        <v/>
      </c>
      <c r="H638" s="42">
        <f>IF($C638="","",IFERROR(INDEX(DESPACHOS!$G$3:$G$3002,MATCH($C638,DESPACHOS!$B$3:$B$3002,0)),""))</f>
        <v/>
      </c>
      <c r="I638" s="39">
        <f>IF($C638="","",IFERROR(INDEX(DESPACHOS!$H$3:$H$3002,MATCH($C638,DESPACHOS!$B$3:$B$3002,0)),""))</f>
        <v/>
      </c>
      <c r="J638" s="43">
        <f>IF($C638="","",IFERROR(INDEX(DESPACHOS!$J$3:$J$3002,MATCH($C638,DESPACHOS!$B$3:$B$3002,0)),""))</f>
        <v/>
      </c>
      <c r="K638" s="39">
        <f>IF($C638="","",IF(COUNTIFS(DESPACHOS!$B$3:$B$3002,$C638)=0,"NO EXISTE",IF(COUNTIFS(DESPACHOS!$B$3:$B$3002,$C638)&gt;1,"DUPLICADO","OK")))</f>
        <v/>
      </c>
      <c r="L638" s="41" t="n"/>
      <c r="M638" s="41" t="n"/>
      <c r="N638" s="42">
        <f>IF($M638="","",IFERROR(INDEX(LISTAS!$F$3:$F$42,MATCH($M638,LISTAS!$E$3:$E$42,0)),"Por definir"))</f>
        <v/>
      </c>
      <c r="O638" s="41" t="n"/>
      <c r="P638" s="39">
        <f>IF($L638="","",IFERROR(INDEX(LISTAS!$B$3:$B$42,MATCH($L638,LISTAS!$A$3:$A$42,0)),"Media"))</f>
        <v/>
      </c>
      <c r="Q638" s="44" t="n"/>
      <c r="R638" s="45" t="n"/>
      <c r="S638" s="20">
        <f>IFERROR(IF(OR($R638="",$C638=""),"",$R638/INDEX(DESPACHOS!$M$3:$M$3002,MATCH($C638,DESPACHOS!$B$3:$B$3002,0))),"")</f>
        <v/>
      </c>
      <c r="T638" s="41" t="n"/>
      <c r="U638" s="43">
        <f>IF(OR($B638="",$L638=""),"",WORKDAY($B638,IFERROR(INDEX(LISTAS!$C$3:$C$42,MATCH($L638,LISTAS!$A$3:$A$42,0)),3)))</f>
        <v/>
      </c>
      <c r="V638" s="40" t="n"/>
      <c r="W638" s="19">
        <f>IF($B638="","",IF($V638&lt;&gt;"",$V638-$B638,TODAY()-$B638))</f>
        <v/>
      </c>
      <c r="X638" s="19">
        <f>IF(OR($B638="",$U638=""),"",IF($V638&lt;&gt;"",MAX(0,$V638-$U638),MAX(0,TODAY()-$U638)))</f>
        <v/>
      </c>
      <c r="Y638" s="39">
        <f>IF($C638="","",IF(IFERROR(INDEX(LISTAS!$I$3:$I$42,MATCH($T638,LISTAS!$H$3:$H$42,0)),"NO")="SÍ",IF(N($X638)&gt;0,"CERRADA FUERA DE SLA","CERRADA EN SLA"),IF($U638="","SIN CLASIFICAR",IF(N($X638)&gt;0,"VENCIDA",IF(TODAY()&gt;=$U638-1,"POR VENCER","EN PLAZO")))))</f>
        <v/>
      </c>
      <c r="Z638" s="41" t="n"/>
      <c r="AA638" s="41" t="n"/>
      <c r="AB638" s="41" t="n"/>
    </row>
    <row r="639">
      <c r="A639" s="39">
        <f>IF($C639="","","NOV-"&amp;TEXT(ROW()-3,"0000"))</f>
        <v/>
      </c>
      <c r="B639" s="40" t="n"/>
      <c r="C639" s="41" t="n"/>
      <c r="D639" s="42">
        <f>IF($C639="","",IFERROR(INDEX(DESPACHOS!$D$3:$D$3002,MATCH($C639,DESPACHOS!$B$3:$B$3002,0)),"SIN DESPACHO"))</f>
        <v/>
      </c>
      <c r="E639" s="42">
        <f>IF($C639="","",IFERROR(INDEX(DESPACHOS!$K$3:$K$3002,MATCH($C639,DESPACHOS!$B$3:$B$3002,0)),""))</f>
        <v/>
      </c>
      <c r="F639" s="42">
        <f>IF($C639="","",IFERROR(INDEX(DESPACHOS!$I$3:$I$3002,MATCH($C639,DESPACHOS!$B$3:$B$3002,0)),""))</f>
        <v/>
      </c>
      <c r="G639" s="42">
        <f>IF($C639="","",IFERROR(INDEX(DESPACHOS!$F$3:$F$3002,MATCH($C639,DESPACHOS!$B$3:$B$3002,0)),""))</f>
        <v/>
      </c>
      <c r="H639" s="42">
        <f>IF($C639="","",IFERROR(INDEX(DESPACHOS!$G$3:$G$3002,MATCH($C639,DESPACHOS!$B$3:$B$3002,0)),""))</f>
        <v/>
      </c>
      <c r="I639" s="39">
        <f>IF($C639="","",IFERROR(INDEX(DESPACHOS!$H$3:$H$3002,MATCH($C639,DESPACHOS!$B$3:$B$3002,0)),""))</f>
        <v/>
      </c>
      <c r="J639" s="43">
        <f>IF($C639="","",IFERROR(INDEX(DESPACHOS!$J$3:$J$3002,MATCH($C639,DESPACHOS!$B$3:$B$3002,0)),""))</f>
        <v/>
      </c>
      <c r="K639" s="39">
        <f>IF($C639="","",IF(COUNTIFS(DESPACHOS!$B$3:$B$3002,$C639)=0,"NO EXISTE",IF(COUNTIFS(DESPACHOS!$B$3:$B$3002,$C639)&gt;1,"DUPLICADO","OK")))</f>
        <v/>
      </c>
      <c r="L639" s="41" t="n"/>
      <c r="M639" s="41" t="n"/>
      <c r="N639" s="42">
        <f>IF($M639="","",IFERROR(INDEX(LISTAS!$F$3:$F$42,MATCH($M639,LISTAS!$E$3:$E$42,0)),"Por definir"))</f>
        <v/>
      </c>
      <c r="O639" s="41" t="n"/>
      <c r="P639" s="39">
        <f>IF($L639="","",IFERROR(INDEX(LISTAS!$B$3:$B$42,MATCH($L639,LISTAS!$A$3:$A$42,0)),"Media"))</f>
        <v/>
      </c>
      <c r="Q639" s="44" t="n"/>
      <c r="R639" s="45" t="n"/>
      <c r="S639" s="20">
        <f>IFERROR(IF(OR($R639="",$C639=""),"",$R639/INDEX(DESPACHOS!$M$3:$M$3002,MATCH($C639,DESPACHOS!$B$3:$B$3002,0))),"")</f>
        <v/>
      </c>
      <c r="T639" s="41" t="n"/>
      <c r="U639" s="43">
        <f>IF(OR($B639="",$L639=""),"",WORKDAY($B639,IFERROR(INDEX(LISTAS!$C$3:$C$42,MATCH($L639,LISTAS!$A$3:$A$42,0)),3)))</f>
        <v/>
      </c>
      <c r="V639" s="40" t="n"/>
      <c r="W639" s="19">
        <f>IF($B639="","",IF($V639&lt;&gt;"",$V639-$B639,TODAY()-$B639))</f>
        <v/>
      </c>
      <c r="X639" s="19">
        <f>IF(OR($B639="",$U639=""),"",IF($V639&lt;&gt;"",MAX(0,$V639-$U639),MAX(0,TODAY()-$U639)))</f>
        <v/>
      </c>
      <c r="Y639" s="39">
        <f>IF($C639="","",IF(IFERROR(INDEX(LISTAS!$I$3:$I$42,MATCH($T639,LISTAS!$H$3:$H$42,0)),"NO")="SÍ",IF(N($X639)&gt;0,"CERRADA FUERA DE SLA","CERRADA EN SLA"),IF($U639="","SIN CLASIFICAR",IF(N($X639)&gt;0,"VENCIDA",IF(TODAY()&gt;=$U639-1,"POR VENCER","EN PLAZO")))))</f>
        <v/>
      </c>
      <c r="Z639" s="41" t="n"/>
      <c r="AA639" s="41" t="n"/>
      <c r="AB639" s="41" t="n"/>
    </row>
    <row r="640">
      <c r="A640" s="39">
        <f>IF($C640="","","NOV-"&amp;TEXT(ROW()-3,"0000"))</f>
        <v/>
      </c>
      <c r="B640" s="40" t="n"/>
      <c r="C640" s="41" t="n"/>
      <c r="D640" s="42">
        <f>IF($C640="","",IFERROR(INDEX(DESPACHOS!$D$3:$D$3002,MATCH($C640,DESPACHOS!$B$3:$B$3002,0)),"SIN DESPACHO"))</f>
        <v/>
      </c>
      <c r="E640" s="42">
        <f>IF($C640="","",IFERROR(INDEX(DESPACHOS!$K$3:$K$3002,MATCH($C640,DESPACHOS!$B$3:$B$3002,0)),""))</f>
        <v/>
      </c>
      <c r="F640" s="42">
        <f>IF($C640="","",IFERROR(INDEX(DESPACHOS!$I$3:$I$3002,MATCH($C640,DESPACHOS!$B$3:$B$3002,0)),""))</f>
        <v/>
      </c>
      <c r="G640" s="42">
        <f>IF($C640="","",IFERROR(INDEX(DESPACHOS!$F$3:$F$3002,MATCH($C640,DESPACHOS!$B$3:$B$3002,0)),""))</f>
        <v/>
      </c>
      <c r="H640" s="42">
        <f>IF($C640="","",IFERROR(INDEX(DESPACHOS!$G$3:$G$3002,MATCH($C640,DESPACHOS!$B$3:$B$3002,0)),""))</f>
        <v/>
      </c>
      <c r="I640" s="39">
        <f>IF($C640="","",IFERROR(INDEX(DESPACHOS!$H$3:$H$3002,MATCH($C640,DESPACHOS!$B$3:$B$3002,0)),""))</f>
        <v/>
      </c>
      <c r="J640" s="43">
        <f>IF($C640="","",IFERROR(INDEX(DESPACHOS!$J$3:$J$3002,MATCH($C640,DESPACHOS!$B$3:$B$3002,0)),""))</f>
        <v/>
      </c>
      <c r="K640" s="39">
        <f>IF($C640="","",IF(COUNTIFS(DESPACHOS!$B$3:$B$3002,$C640)=0,"NO EXISTE",IF(COUNTIFS(DESPACHOS!$B$3:$B$3002,$C640)&gt;1,"DUPLICADO","OK")))</f>
        <v/>
      </c>
      <c r="L640" s="41" t="n"/>
      <c r="M640" s="41" t="n"/>
      <c r="N640" s="42">
        <f>IF($M640="","",IFERROR(INDEX(LISTAS!$F$3:$F$42,MATCH($M640,LISTAS!$E$3:$E$42,0)),"Por definir"))</f>
        <v/>
      </c>
      <c r="O640" s="41" t="n"/>
      <c r="P640" s="39">
        <f>IF($L640="","",IFERROR(INDEX(LISTAS!$B$3:$B$42,MATCH($L640,LISTAS!$A$3:$A$42,0)),"Media"))</f>
        <v/>
      </c>
      <c r="Q640" s="44" t="n"/>
      <c r="R640" s="45" t="n"/>
      <c r="S640" s="20">
        <f>IFERROR(IF(OR($R640="",$C640=""),"",$R640/INDEX(DESPACHOS!$M$3:$M$3002,MATCH($C640,DESPACHOS!$B$3:$B$3002,0))),"")</f>
        <v/>
      </c>
      <c r="T640" s="41" t="n"/>
      <c r="U640" s="43">
        <f>IF(OR($B640="",$L640=""),"",WORKDAY($B640,IFERROR(INDEX(LISTAS!$C$3:$C$42,MATCH($L640,LISTAS!$A$3:$A$42,0)),3)))</f>
        <v/>
      </c>
      <c r="V640" s="40" t="n"/>
      <c r="W640" s="19">
        <f>IF($B640="","",IF($V640&lt;&gt;"",$V640-$B640,TODAY()-$B640))</f>
        <v/>
      </c>
      <c r="X640" s="19">
        <f>IF(OR($B640="",$U640=""),"",IF($V640&lt;&gt;"",MAX(0,$V640-$U640),MAX(0,TODAY()-$U640)))</f>
        <v/>
      </c>
      <c r="Y640" s="39">
        <f>IF($C640="","",IF(IFERROR(INDEX(LISTAS!$I$3:$I$42,MATCH($T640,LISTAS!$H$3:$H$42,0)),"NO")="SÍ",IF(N($X640)&gt;0,"CERRADA FUERA DE SLA","CERRADA EN SLA"),IF($U640="","SIN CLASIFICAR",IF(N($X640)&gt;0,"VENCIDA",IF(TODAY()&gt;=$U640-1,"POR VENCER","EN PLAZO")))))</f>
        <v/>
      </c>
      <c r="Z640" s="41" t="n"/>
      <c r="AA640" s="41" t="n"/>
      <c r="AB640" s="41" t="n"/>
    </row>
    <row r="641">
      <c r="A641" s="39">
        <f>IF($C641="","","NOV-"&amp;TEXT(ROW()-3,"0000"))</f>
        <v/>
      </c>
      <c r="B641" s="40" t="n"/>
      <c r="C641" s="41" t="n"/>
      <c r="D641" s="42">
        <f>IF($C641="","",IFERROR(INDEX(DESPACHOS!$D$3:$D$3002,MATCH($C641,DESPACHOS!$B$3:$B$3002,0)),"SIN DESPACHO"))</f>
        <v/>
      </c>
      <c r="E641" s="42">
        <f>IF($C641="","",IFERROR(INDEX(DESPACHOS!$K$3:$K$3002,MATCH($C641,DESPACHOS!$B$3:$B$3002,0)),""))</f>
        <v/>
      </c>
      <c r="F641" s="42">
        <f>IF($C641="","",IFERROR(INDEX(DESPACHOS!$I$3:$I$3002,MATCH($C641,DESPACHOS!$B$3:$B$3002,0)),""))</f>
        <v/>
      </c>
      <c r="G641" s="42">
        <f>IF($C641="","",IFERROR(INDEX(DESPACHOS!$F$3:$F$3002,MATCH($C641,DESPACHOS!$B$3:$B$3002,0)),""))</f>
        <v/>
      </c>
      <c r="H641" s="42">
        <f>IF($C641="","",IFERROR(INDEX(DESPACHOS!$G$3:$G$3002,MATCH($C641,DESPACHOS!$B$3:$B$3002,0)),""))</f>
        <v/>
      </c>
      <c r="I641" s="39">
        <f>IF($C641="","",IFERROR(INDEX(DESPACHOS!$H$3:$H$3002,MATCH($C641,DESPACHOS!$B$3:$B$3002,0)),""))</f>
        <v/>
      </c>
      <c r="J641" s="43">
        <f>IF($C641="","",IFERROR(INDEX(DESPACHOS!$J$3:$J$3002,MATCH($C641,DESPACHOS!$B$3:$B$3002,0)),""))</f>
        <v/>
      </c>
      <c r="K641" s="39">
        <f>IF($C641="","",IF(COUNTIFS(DESPACHOS!$B$3:$B$3002,$C641)=0,"NO EXISTE",IF(COUNTIFS(DESPACHOS!$B$3:$B$3002,$C641)&gt;1,"DUPLICADO","OK")))</f>
        <v/>
      </c>
      <c r="L641" s="41" t="n"/>
      <c r="M641" s="41" t="n"/>
      <c r="N641" s="42">
        <f>IF($M641="","",IFERROR(INDEX(LISTAS!$F$3:$F$42,MATCH($M641,LISTAS!$E$3:$E$42,0)),"Por definir"))</f>
        <v/>
      </c>
      <c r="O641" s="41" t="n"/>
      <c r="P641" s="39">
        <f>IF($L641="","",IFERROR(INDEX(LISTAS!$B$3:$B$42,MATCH($L641,LISTAS!$A$3:$A$42,0)),"Media"))</f>
        <v/>
      </c>
      <c r="Q641" s="44" t="n"/>
      <c r="R641" s="45" t="n"/>
      <c r="S641" s="20">
        <f>IFERROR(IF(OR($R641="",$C641=""),"",$R641/INDEX(DESPACHOS!$M$3:$M$3002,MATCH($C641,DESPACHOS!$B$3:$B$3002,0))),"")</f>
        <v/>
      </c>
      <c r="T641" s="41" t="n"/>
      <c r="U641" s="43">
        <f>IF(OR($B641="",$L641=""),"",WORKDAY($B641,IFERROR(INDEX(LISTAS!$C$3:$C$42,MATCH($L641,LISTAS!$A$3:$A$42,0)),3)))</f>
        <v/>
      </c>
      <c r="V641" s="40" t="n"/>
      <c r="W641" s="19">
        <f>IF($B641="","",IF($V641&lt;&gt;"",$V641-$B641,TODAY()-$B641))</f>
        <v/>
      </c>
      <c r="X641" s="19">
        <f>IF(OR($B641="",$U641=""),"",IF($V641&lt;&gt;"",MAX(0,$V641-$U641),MAX(0,TODAY()-$U641)))</f>
        <v/>
      </c>
      <c r="Y641" s="39">
        <f>IF($C641="","",IF(IFERROR(INDEX(LISTAS!$I$3:$I$42,MATCH($T641,LISTAS!$H$3:$H$42,0)),"NO")="SÍ",IF(N($X641)&gt;0,"CERRADA FUERA DE SLA","CERRADA EN SLA"),IF($U641="","SIN CLASIFICAR",IF(N($X641)&gt;0,"VENCIDA",IF(TODAY()&gt;=$U641-1,"POR VENCER","EN PLAZO")))))</f>
        <v/>
      </c>
      <c r="Z641" s="41" t="n"/>
      <c r="AA641" s="41" t="n"/>
      <c r="AB641" s="41" t="n"/>
    </row>
    <row r="642">
      <c r="A642" s="39">
        <f>IF($C642="","","NOV-"&amp;TEXT(ROW()-3,"0000"))</f>
        <v/>
      </c>
      <c r="B642" s="40" t="n"/>
      <c r="C642" s="41" t="n"/>
      <c r="D642" s="42">
        <f>IF($C642="","",IFERROR(INDEX(DESPACHOS!$D$3:$D$3002,MATCH($C642,DESPACHOS!$B$3:$B$3002,0)),"SIN DESPACHO"))</f>
        <v/>
      </c>
      <c r="E642" s="42">
        <f>IF($C642="","",IFERROR(INDEX(DESPACHOS!$K$3:$K$3002,MATCH($C642,DESPACHOS!$B$3:$B$3002,0)),""))</f>
        <v/>
      </c>
      <c r="F642" s="42">
        <f>IF($C642="","",IFERROR(INDEX(DESPACHOS!$I$3:$I$3002,MATCH($C642,DESPACHOS!$B$3:$B$3002,0)),""))</f>
        <v/>
      </c>
      <c r="G642" s="42">
        <f>IF($C642="","",IFERROR(INDEX(DESPACHOS!$F$3:$F$3002,MATCH($C642,DESPACHOS!$B$3:$B$3002,0)),""))</f>
        <v/>
      </c>
      <c r="H642" s="42">
        <f>IF($C642="","",IFERROR(INDEX(DESPACHOS!$G$3:$G$3002,MATCH($C642,DESPACHOS!$B$3:$B$3002,0)),""))</f>
        <v/>
      </c>
      <c r="I642" s="39">
        <f>IF($C642="","",IFERROR(INDEX(DESPACHOS!$H$3:$H$3002,MATCH($C642,DESPACHOS!$B$3:$B$3002,0)),""))</f>
        <v/>
      </c>
      <c r="J642" s="43">
        <f>IF($C642="","",IFERROR(INDEX(DESPACHOS!$J$3:$J$3002,MATCH($C642,DESPACHOS!$B$3:$B$3002,0)),""))</f>
        <v/>
      </c>
      <c r="K642" s="39">
        <f>IF($C642="","",IF(COUNTIFS(DESPACHOS!$B$3:$B$3002,$C642)=0,"NO EXISTE",IF(COUNTIFS(DESPACHOS!$B$3:$B$3002,$C642)&gt;1,"DUPLICADO","OK")))</f>
        <v/>
      </c>
      <c r="L642" s="41" t="n"/>
      <c r="M642" s="41" t="n"/>
      <c r="N642" s="42">
        <f>IF($M642="","",IFERROR(INDEX(LISTAS!$F$3:$F$42,MATCH($M642,LISTAS!$E$3:$E$42,0)),"Por definir"))</f>
        <v/>
      </c>
      <c r="O642" s="41" t="n"/>
      <c r="P642" s="39">
        <f>IF($L642="","",IFERROR(INDEX(LISTAS!$B$3:$B$42,MATCH($L642,LISTAS!$A$3:$A$42,0)),"Media"))</f>
        <v/>
      </c>
      <c r="Q642" s="44" t="n"/>
      <c r="R642" s="45" t="n"/>
      <c r="S642" s="20">
        <f>IFERROR(IF(OR($R642="",$C642=""),"",$R642/INDEX(DESPACHOS!$M$3:$M$3002,MATCH($C642,DESPACHOS!$B$3:$B$3002,0))),"")</f>
        <v/>
      </c>
      <c r="T642" s="41" t="n"/>
      <c r="U642" s="43">
        <f>IF(OR($B642="",$L642=""),"",WORKDAY($B642,IFERROR(INDEX(LISTAS!$C$3:$C$42,MATCH($L642,LISTAS!$A$3:$A$42,0)),3)))</f>
        <v/>
      </c>
      <c r="V642" s="40" t="n"/>
      <c r="W642" s="19">
        <f>IF($B642="","",IF($V642&lt;&gt;"",$V642-$B642,TODAY()-$B642))</f>
        <v/>
      </c>
      <c r="X642" s="19">
        <f>IF(OR($B642="",$U642=""),"",IF($V642&lt;&gt;"",MAX(0,$V642-$U642),MAX(0,TODAY()-$U642)))</f>
        <v/>
      </c>
      <c r="Y642" s="39">
        <f>IF($C642="","",IF(IFERROR(INDEX(LISTAS!$I$3:$I$42,MATCH($T642,LISTAS!$H$3:$H$42,0)),"NO")="SÍ",IF(N($X642)&gt;0,"CERRADA FUERA DE SLA","CERRADA EN SLA"),IF($U642="","SIN CLASIFICAR",IF(N($X642)&gt;0,"VENCIDA",IF(TODAY()&gt;=$U642-1,"POR VENCER","EN PLAZO")))))</f>
        <v/>
      </c>
      <c r="Z642" s="41" t="n"/>
      <c r="AA642" s="41" t="n"/>
      <c r="AB642" s="41" t="n"/>
    </row>
    <row r="643">
      <c r="A643" s="39">
        <f>IF($C643="","","NOV-"&amp;TEXT(ROW()-3,"0000"))</f>
        <v/>
      </c>
      <c r="B643" s="40" t="n"/>
      <c r="C643" s="41" t="n"/>
      <c r="D643" s="42">
        <f>IF($C643="","",IFERROR(INDEX(DESPACHOS!$D$3:$D$3002,MATCH($C643,DESPACHOS!$B$3:$B$3002,0)),"SIN DESPACHO"))</f>
        <v/>
      </c>
      <c r="E643" s="42">
        <f>IF($C643="","",IFERROR(INDEX(DESPACHOS!$K$3:$K$3002,MATCH($C643,DESPACHOS!$B$3:$B$3002,0)),""))</f>
        <v/>
      </c>
      <c r="F643" s="42">
        <f>IF($C643="","",IFERROR(INDEX(DESPACHOS!$I$3:$I$3002,MATCH($C643,DESPACHOS!$B$3:$B$3002,0)),""))</f>
        <v/>
      </c>
      <c r="G643" s="42">
        <f>IF($C643="","",IFERROR(INDEX(DESPACHOS!$F$3:$F$3002,MATCH($C643,DESPACHOS!$B$3:$B$3002,0)),""))</f>
        <v/>
      </c>
      <c r="H643" s="42">
        <f>IF($C643="","",IFERROR(INDEX(DESPACHOS!$G$3:$G$3002,MATCH($C643,DESPACHOS!$B$3:$B$3002,0)),""))</f>
        <v/>
      </c>
      <c r="I643" s="39">
        <f>IF($C643="","",IFERROR(INDEX(DESPACHOS!$H$3:$H$3002,MATCH($C643,DESPACHOS!$B$3:$B$3002,0)),""))</f>
        <v/>
      </c>
      <c r="J643" s="43">
        <f>IF($C643="","",IFERROR(INDEX(DESPACHOS!$J$3:$J$3002,MATCH($C643,DESPACHOS!$B$3:$B$3002,0)),""))</f>
        <v/>
      </c>
      <c r="K643" s="39">
        <f>IF($C643="","",IF(COUNTIFS(DESPACHOS!$B$3:$B$3002,$C643)=0,"NO EXISTE",IF(COUNTIFS(DESPACHOS!$B$3:$B$3002,$C643)&gt;1,"DUPLICADO","OK")))</f>
        <v/>
      </c>
      <c r="L643" s="41" t="n"/>
      <c r="M643" s="41" t="n"/>
      <c r="N643" s="42">
        <f>IF($M643="","",IFERROR(INDEX(LISTAS!$F$3:$F$42,MATCH($M643,LISTAS!$E$3:$E$42,0)),"Por definir"))</f>
        <v/>
      </c>
      <c r="O643" s="41" t="n"/>
      <c r="P643" s="39">
        <f>IF($L643="","",IFERROR(INDEX(LISTAS!$B$3:$B$42,MATCH($L643,LISTAS!$A$3:$A$42,0)),"Media"))</f>
        <v/>
      </c>
      <c r="Q643" s="44" t="n"/>
      <c r="R643" s="45" t="n"/>
      <c r="S643" s="20">
        <f>IFERROR(IF(OR($R643="",$C643=""),"",$R643/INDEX(DESPACHOS!$M$3:$M$3002,MATCH($C643,DESPACHOS!$B$3:$B$3002,0))),"")</f>
        <v/>
      </c>
      <c r="T643" s="41" t="n"/>
      <c r="U643" s="43">
        <f>IF(OR($B643="",$L643=""),"",WORKDAY($B643,IFERROR(INDEX(LISTAS!$C$3:$C$42,MATCH($L643,LISTAS!$A$3:$A$42,0)),3)))</f>
        <v/>
      </c>
      <c r="V643" s="40" t="n"/>
      <c r="W643" s="19">
        <f>IF($B643="","",IF($V643&lt;&gt;"",$V643-$B643,TODAY()-$B643))</f>
        <v/>
      </c>
      <c r="X643" s="19">
        <f>IF(OR($B643="",$U643=""),"",IF($V643&lt;&gt;"",MAX(0,$V643-$U643),MAX(0,TODAY()-$U643)))</f>
        <v/>
      </c>
      <c r="Y643" s="39">
        <f>IF($C643="","",IF(IFERROR(INDEX(LISTAS!$I$3:$I$42,MATCH($T643,LISTAS!$H$3:$H$42,0)),"NO")="SÍ",IF(N($X643)&gt;0,"CERRADA FUERA DE SLA","CERRADA EN SLA"),IF($U643="","SIN CLASIFICAR",IF(N($X643)&gt;0,"VENCIDA",IF(TODAY()&gt;=$U643-1,"POR VENCER","EN PLAZO")))))</f>
        <v/>
      </c>
      <c r="Z643" s="41" t="n"/>
      <c r="AA643" s="41" t="n"/>
      <c r="AB643" s="41" t="n"/>
    </row>
    <row r="644">
      <c r="A644" s="39">
        <f>IF($C644="","","NOV-"&amp;TEXT(ROW()-3,"0000"))</f>
        <v/>
      </c>
      <c r="B644" s="40" t="n"/>
      <c r="C644" s="41" t="n"/>
      <c r="D644" s="42">
        <f>IF($C644="","",IFERROR(INDEX(DESPACHOS!$D$3:$D$3002,MATCH($C644,DESPACHOS!$B$3:$B$3002,0)),"SIN DESPACHO"))</f>
        <v/>
      </c>
      <c r="E644" s="42">
        <f>IF($C644="","",IFERROR(INDEX(DESPACHOS!$K$3:$K$3002,MATCH($C644,DESPACHOS!$B$3:$B$3002,0)),""))</f>
        <v/>
      </c>
      <c r="F644" s="42">
        <f>IF($C644="","",IFERROR(INDEX(DESPACHOS!$I$3:$I$3002,MATCH($C644,DESPACHOS!$B$3:$B$3002,0)),""))</f>
        <v/>
      </c>
      <c r="G644" s="42">
        <f>IF($C644="","",IFERROR(INDEX(DESPACHOS!$F$3:$F$3002,MATCH($C644,DESPACHOS!$B$3:$B$3002,0)),""))</f>
        <v/>
      </c>
      <c r="H644" s="42">
        <f>IF($C644="","",IFERROR(INDEX(DESPACHOS!$G$3:$G$3002,MATCH($C644,DESPACHOS!$B$3:$B$3002,0)),""))</f>
        <v/>
      </c>
      <c r="I644" s="39">
        <f>IF($C644="","",IFERROR(INDEX(DESPACHOS!$H$3:$H$3002,MATCH($C644,DESPACHOS!$B$3:$B$3002,0)),""))</f>
        <v/>
      </c>
      <c r="J644" s="43">
        <f>IF($C644="","",IFERROR(INDEX(DESPACHOS!$J$3:$J$3002,MATCH($C644,DESPACHOS!$B$3:$B$3002,0)),""))</f>
        <v/>
      </c>
      <c r="K644" s="39">
        <f>IF($C644="","",IF(COUNTIFS(DESPACHOS!$B$3:$B$3002,$C644)=0,"NO EXISTE",IF(COUNTIFS(DESPACHOS!$B$3:$B$3002,$C644)&gt;1,"DUPLICADO","OK")))</f>
        <v/>
      </c>
      <c r="L644" s="41" t="n"/>
      <c r="M644" s="41" t="n"/>
      <c r="N644" s="42">
        <f>IF($M644="","",IFERROR(INDEX(LISTAS!$F$3:$F$42,MATCH($M644,LISTAS!$E$3:$E$42,0)),"Por definir"))</f>
        <v/>
      </c>
      <c r="O644" s="41" t="n"/>
      <c r="P644" s="39">
        <f>IF($L644="","",IFERROR(INDEX(LISTAS!$B$3:$B$42,MATCH($L644,LISTAS!$A$3:$A$42,0)),"Media"))</f>
        <v/>
      </c>
      <c r="Q644" s="44" t="n"/>
      <c r="R644" s="45" t="n"/>
      <c r="S644" s="20">
        <f>IFERROR(IF(OR($R644="",$C644=""),"",$R644/INDEX(DESPACHOS!$M$3:$M$3002,MATCH($C644,DESPACHOS!$B$3:$B$3002,0))),"")</f>
        <v/>
      </c>
      <c r="T644" s="41" t="n"/>
      <c r="U644" s="43">
        <f>IF(OR($B644="",$L644=""),"",WORKDAY($B644,IFERROR(INDEX(LISTAS!$C$3:$C$42,MATCH($L644,LISTAS!$A$3:$A$42,0)),3)))</f>
        <v/>
      </c>
      <c r="V644" s="40" t="n"/>
      <c r="W644" s="19">
        <f>IF($B644="","",IF($V644&lt;&gt;"",$V644-$B644,TODAY()-$B644))</f>
        <v/>
      </c>
      <c r="X644" s="19">
        <f>IF(OR($B644="",$U644=""),"",IF($V644&lt;&gt;"",MAX(0,$V644-$U644),MAX(0,TODAY()-$U644)))</f>
        <v/>
      </c>
      <c r="Y644" s="39">
        <f>IF($C644="","",IF(IFERROR(INDEX(LISTAS!$I$3:$I$42,MATCH($T644,LISTAS!$H$3:$H$42,0)),"NO")="SÍ",IF(N($X644)&gt;0,"CERRADA FUERA DE SLA","CERRADA EN SLA"),IF($U644="","SIN CLASIFICAR",IF(N($X644)&gt;0,"VENCIDA",IF(TODAY()&gt;=$U644-1,"POR VENCER","EN PLAZO")))))</f>
        <v/>
      </c>
      <c r="Z644" s="41" t="n"/>
      <c r="AA644" s="41" t="n"/>
      <c r="AB644" s="41" t="n"/>
    </row>
    <row r="645">
      <c r="A645" s="39">
        <f>IF($C645="","","NOV-"&amp;TEXT(ROW()-3,"0000"))</f>
        <v/>
      </c>
      <c r="B645" s="40" t="n"/>
      <c r="C645" s="41" t="n"/>
      <c r="D645" s="42">
        <f>IF($C645="","",IFERROR(INDEX(DESPACHOS!$D$3:$D$3002,MATCH($C645,DESPACHOS!$B$3:$B$3002,0)),"SIN DESPACHO"))</f>
        <v/>
      </c>
      <c r="E645" s="42">
        <f>IF($C645="","",IFERROR(INDEX(DESPACHOS!$K$3:$K$3002,MATCH($C645,DESPACHOS!$B$3:$B$3002,0)),""))</f>
        <v/>
      </c>
      <c r="F645" s="42">
        <f>IF($C645="","",IFERROR(INDEX(DESPACHOS!$I$3:$I$3002,MATCH($C645,DESPACHOS!$B$3:$B$3002,0)),""))</f>
        <v/>
      </c>
      <c r="G645" s="42">
        <f>IF($C645="","",IFERROR(INDEX(DESPACHOS!$F$3:$F$3002,MATCH($C645,DESPACHOS!$B$3:$B$3002,0)),""))</f>
        <v/>
      </c>
      <c r="H645" s="42">
        <f>IF($C645="","",IFERROR(INDEX(DESPACHOS!$G$3:$G$3002,MATCH($C645,DESPACHOS!$B$3:$B$3002,0)),""))</f>
        <v/>
      </c>
      <c r="I645" s="39">
        <f>IF($C645="","",IFERROR(INDEX(DESPACHOS!$H$3:$H$3002,MATCH($C645,DESPACHOS!$B$3:$B$3002,0)),""))</f>
        <v/>
      </c>
      <c r="J645" s="43">
        <f>IF($C645="","",IFERROR(INDEX(DESPACHOS!$J$3:$J$3002,MATCH($C645,DESPACHOS!$B$3:$B$3002,0)),""))</f>
        <v/>
      </c>
      <c r="K645" s="39">
        <f>IF($C645="","",IF(COUNTIFS(DESPACHOS!$B$3:$B$3002,$C645)=0,"NO EXISTE",IF(COUNTIFS(DESPACHOS!$B$3:$B$3002,$C645)&gt;1,"DUPLICADO","OK")))</f>
        <v/>
      </c>
      <c r="L645" s="41" t="n"/>
      <c r="M645" s="41" t="n"/>
      <c r="N645" s="42">
        <f>IF($M645="","",IFERROR(INDEX(LISTAS!$F$3:$F$42,MATCH($M645,LISTAS!$E$3:$E$42,0)),"Por definir"))</f>
        <v/>
      </c>
      <c r="O645" s="41" t="n"/>
      <c r="P645" s="39">
        <f>IF($L645="","",IFERROR(INDEX(LISTAS!$B$3:$B$42,MATCH($L645,LISTAS!$A$3:$A$42,0)),"Media"))</f>
        <v/>
      </c>
      <c r="Q645" s="44" t="n"/>
      <c r="R645" s="45" t="n"/>
      <c r="S645" s="20">
        <f>IFERROR(IF(OR($R645="",$C645=""),"",$R645/INDEX(DESPACHOS!$M$3:$M$3002,MATCH($C645,DESPACHOS!$B$3:$B$3002,0))),"")</f>
        <v/>
      </c>
      <c r="T645" s="41" t="n"/>
      <c r="U645" s="43">
        <f>IF(OR($B645="",$L645=""),"",WORKDAY($B645,IFERROR(INDEX(LISTAS!$C$3:$C$42,MATCH($L645,LISTAS!$A$3:$A$42,0)),3)))</f>
        <v/>
      </c>
      <c r="V645" s="40" t="n"/>
      <c r="W645" s="19">
        <f>IF($B645="","",IF($V645&lt;&gt;"",$V645-$B645,TODAY()-$B645))</f>
        <v/>
      </c>
      <c r="X645" s="19">
        <f>IF(OR($B645="",$U645=""),"",IF($V645&lt;&gt;"",MAX(0,$V645-$U645),MAX(0,TODAY()-$U645)))</f>
        <v/>
      </c>
      <c r="Y645" s="39">
        <f>IF($C645="","",IF(IFERROR(INDEX(LISTAS!$I$3:$I$42,MATCH($T645,LISTAS!$H$3:$H$42,0)),"NO")="SÍ",IF(N($X645)&gt;0,"CERRADA FUERA DE SLA","CERRADA EN SLA"),IF($U645="","SIN CLASIFICAR",IF(N($X645)&gt;0,"VENCIDA",IF(TODAY()&gt;=$U645-1,"POR VENCER","EN PLAZO")))))</f>
        <v/>
      </c>
      <c r="Z645" s="41" t="n"/>
      <c r="AA645" s="41" t="n"/>
      <c r="AB645" s="41" t="n"/>
    </row>
    <row r="646">
      <c r="A646" s="39">
        <f>IF($C646="","","NOV-"&amp;TEXT(ROW()-3,"0000"))</f>
        <v/>
      </c>
      <c r="B646" s="40" t="n"/>
      <c r="C646" s="41" t="n"/>
      <c r="D646" s="42">
        <f>IF($C646="","",IFERROR(INDEX(DESPACHOS!$D$3:$D$3002,MATCH($C646,DESPACHOS!$B$3:$B$3002,0)),"SIN DESPACHO"))</f>
        <v/>
      </c>
      <c r="E646" s="42">
        <f>IF($C646="","",IFERROR(INDEX(DESPACHOS!$K$3:$K$3002,MATCH($C646,DESPACHOS!$B$3:$B$3002,0)),""))</f>
        <v/>
      </c>
      <c r="F646" s="42">
        <f>IF($C646="","",IFERROR(INDEX(DESPACHOS!$I$3:$I$3002,MATCH($C646,DESPACHOS!$B$3:$B$3002,0)),""))</f>
        <v/>
      </c>
      <c r="G646" s="42">
        <f>IF($C646="","",IFERROR(INDEX(DESPACHOS!$F$3:$F$3002,MATCH($C646,DESPACHOS!$B$3:$B$3002,0)),""))</f>
        <v/>
      </c>
      <c r="H646" s="42">
        <f>IF($C646="","",IFERROR(INDEX(DESPACHOS!$G$3:$G$3002,MATCH($C646,DESPACHOS!$B$3:$B$3002,0)),""))</f>
        <v/>
      </c>
      <c r="I646" s="39">
        <f>IF($C646="","",IFERROR(INDEX(DESPACHOS!$H$3:$H$3002,MATCH($C646,DESPACHOS!$B$3:$B$3002,0)),""))</f>
        <v/>
      </c>
      <c r="J646" s="43">
        <f>IF($C646="","",IFERROR(INDEX(DESPACHOS!$J$3:$J$3002,MATCH($C646,DESPACHOS!$B$3:$B$3002,0)),""))</f>
        <v/>
      </c>
      <c r="K646" s="39">
        <f>IF($C646="","",IF(COUNTIFS(DESPACHOS!$B$3:$B$3002,$C646)=0,"NO EXISTE",IF(COUNTIFS(DESPACHOS!$B$3:$B$3002,$C646)&gt;1,"DUPLICADO","OK")))</f>
        <v/>
      </c>
      <c r="L646" s="41" t="n"/>
      <c r="M646" s="41" t="n"/>
      <c r="N646" s="42">
        <f>IF($M646="","",IFERROR(INDEX(LISTAS!$F$3:$F$42,MATCH($M646,LISTAS!$E$3:$E$42,0)),"Por definir"))</f>
        <v/>
      </c>
      <c r="O646" s="41" t="n"/>
      <c r="P646" s="39">
        <f>IF($L646="","",IFERROR(INDEX(LISTAS!$B$3:$B$42,MATCH($L646,LISTAS!$A$3:$A$42,0)),"Media"))</f>
        <v/>
      </c>
      <c r="Q646" s="44" t="n"/>
      <c r="R646" s="45" t="n"/>
      <c r="S646" s="20">
        <f>IFERROR(IF(OR($R646="",$C646=""),"",$R646/INDEX(DESPACHOS!$M$3:$M$3002,MATCH($C646,DESPACHOS!$B$3:$B$3002,0))),"")</f>
        <v/>
      </c>
      <c r="T646" s="41" t="n"/>
      <c r="U646" s="43">
        <f>IF(OR($B646="",$L646=""),"",WORKDAY($B646,IFERROR(INDEX(LISTAS!$C$3:$C$42,MATCH($L646,LISTAS!$A$3:$A$42,0)),3)))</f>
        <v/>
      </c>
      <c r="V646" s="40" t="n"/>
      <c r="W646" s="19">
        <f>IF($B646="","",IF($V646&lt;&gt;"",$V646-$B646,TODAY()-$B646))</f>
        <v/>
      </c>
      <c r="X646" s="19">
        <f>IF(OR($B646="",$U646=""),"",IF($V646&lt;&gt;"",MAX(0,$V646-$U646),MAX(0,TODAY()-$U646)))</f>
        <v/>
      </c>
      <c r="Y646" s="39">
        <f>IF($C646="","",IF(IFERROR(INDEX(LISTAS!$I$3:$I$42,MATCH($T646,LISTAS!$H$3:$H$42,0)),"NO")="SÍ",IF(N($X646)&gt;0,"CERRADA FUERA DE SLA","CERRADA EN SLA"),IF($U646="","SIN CLASIFICAR",IF(N($X646)&gt;0,"VENCIDA",IF(TODAY()&gt;=$U646-1,"POR VENCER","EN PLAZO")))))</f>
        <v/>
      </c>
      <c r="Z646" s="41" t="n"/>
      <c r="AA646" s="41" t="n"/>
      <c r="AB646" s="41" t="n"/>
    </row>
    <row r="647">
      <c r="A647" s="39">
        <f>IF($C647="","","NOV-"&amp;TEXT(ROW()-3,"0000"))</f>
        <v/>
      </c>
      <c r="B647" s="40" t="n"/>
      <c r="C647" s="41" t="n"/>
      <c r="D647" s="42">
        <f>IF($C647="","",IFERROR(INDEX(DESPACHOS!$D$3:$D$3002,MATCH($C647,DESPACHOS!$B$3:$B$3002,0)),"SIN DESPACHO"))</f>
        <v/>
      </c>
      <c r="E647" s="42">
        <f>IF($C647="","",IFERROR(INDEX(DESPACHOS!$K$3:$K$3002,MATCH($C647,DESPACHOS!$B$3:$B$3002,0)),""))</f>
        <v/>
      </c>
      <c r="F647" s="42">
        <f>IF($C647="","",IFERROR(INDEX(DESPACHOS!$I$3:$I$3002,MATCH($C647,DESPACHOS!$B$3:$B$3002,0)),""))</f>
        <v/>
      </c>
      <c r="G647" s="42">
        <f>IF($C647="","",IFERROR(INDEX(DESPACHOS!$F$3:$F$3002,MATCH($C647,DESPACHOS!$B$3:$B$3002,0)),""))</f>
        <v/>
      </c>
      <c r="H647" s="42">
        <f>IF($C647="","",IFERROR(INDEX(DESPACHOS!$G$3:$G$3002,MATCH($C647,DESPACHOS!$B$3:$B$3002,0)),""))</f>
        <v/>
      </c>
      <c r="I647" s="39">
        <f>IF($C647="","",IFERROR(INDEX(DESPACHOS!$H$3:$H$3002,MATCH($C647,DESPACHOS!$B$3:$B$3002,0)),""))</f>
        <v/>
      </c>
      <c r="J647" s="43">
        <f>IF($C647="","",IFERROR(INDEX(DESPACHOS!$J$3:$J$3002,MATCH($C647,DESPACHOS!$B$3:$B$3002,0)),""))</f>
        <v/>
      </c>
      <c r="K647" s="39">
        <f>IF($C647="","",IF(COUNTIFS(DESPACHOS!$B$3:$B$3002,$C647)=0,"NO EXISTE",IF(COUNTIFS(DESPACHOS!$B$3:$B$3002,$C647)&gt;1,"DUPLICADO","OK")))</f>
        <v/>
      </c>
      <c r="L647" s="41" t="n"/>
      <c r="M647" s="41" t="n"/>
      <c r="N647" s="42">
        <f>IF($M647="","",IFERROR(INDEX(LISTAS!$F$3:$F$42,MATCH($M647,LISTAS!$E$3:$E$42,0)),"Por definir"))</f>
        <v/>
      </c>
      <c r="O647" s="41" t="n"/>
      <c r="P647" s="39">
        <f>IF($L647="","",IFERROR(INDEX(LISTAS!$B$3:$B$42,MATCH($L647,LISTAS!$A$3:$A$42,0)),"Media"))</f>
        <v/>
      </c>
      <c r="Q647" s="44" t="n"/>
      <c r="R647" s="45" t="n"/>
      <c r="S647" s="20">
        <f>IFERROR(IF(OR($R647="",$C647=""),"",$R647/INDEX(DESPACHOS!$M$3:$M$3002,MATCH($C647,DESPACHOS!$B$3:$B$3002,0))),"")</f>
        <v/>
      </c>
      <c r="T647" s="41" t="n"/>
      <c r="U647" s="43">
        <f>IF(OR($B647="",$L647=""),"",WORKDAY($B647,IFERROR(INDEX(LISTAS!$C$3:$C$42,MATCH($L647,LISTAS!$A$3:$A$42,0)),3)))</f>
        <v/>
      </c>
      <c r="V647" s="40" t="n"/>
      <c r="W647" s="19">
        <f>IF($B647="","",IF($V647&lt;&gt;"",$V647-$B647,TODAY()-$B647))</f>
        <v/>
      </c>
      <c r="X647" s="19">
        <f>IF(OR($B647="",$U647=""),"",IF($V647&lt;&gt;"",MAX(0,$V647-$U647),MAX(0,TODAY()-$U647)))</f>
        <v/>
      </c>
      <c r="Y647" s="39">
        <f>IF($C647="","",IF(IFERROR(INDEX(LISTAS!$I$3:$I$42,MATCH($T647,LISTAS!$H$3:$H$42,0)),"NO")="SÍ",IF(N($X647)&gt;0,"CERRADA FUERA DE SLA","CERRADA EN SLA"),IF($U647="","SIN CLASIFICAR",IF(N($X647)&gt;0,"VENCIDA",IF(TODAY()&gt;=$U647-1,"POR VENCER","EN PLAZO")))))</f>
        <v/>
      </c>
      <c r="Z647" s="41" t="n"/>
      <c r="AA647" s="41" t="n"/>
      <c r="AB647" s="41" t="n"/>
    </row>
    <row r="648">
      <c r="A648" s="39">
        <f>IF($C648="","","NOV-"&amp;TEXT(ROW()-3,"0000"))</f>
        <v/>
      </c>
      <c r="B648" s="40" t="n"/>
      <c r="C648" s="41" t="n"/>
      <c r="D648" s="42">
        <f>IF($C648="","",IFERROR(INDEX(DESPACHOS!$D$3:$D$3002,MATCH($C648,DESPACHOS!$B$3:$B$3002,0)),"SIN DESPACHO"))</f>
        <v/>
      </c>
      <c r="E648" s="42">
        <f>IF($C648="","",IFERROR(INDEX(DESPACHOS!$K$3:$K$3002,MATCH($C648,DESPACHOS!$B$3:$B$3002,0)),""))</f>
        <v/>
      </c>
      <c r="F648" s="42">
        <f>IF($C648="","",IFERROR(INDEX(DESPACHOS!$I$3:$I$3002,MATCH($C648,DESPACHOS!$B$3:$B$3002,0)),""))</f>
        <v/>
      </c>
      <c r="G648" s="42">
        <f>IF($C648="","",IFERROR(INDEX(DESPACHOS!$F$3:$F$3002,MATCH($C648,DESPACHOS!$B$3:$B$3002,0)),""))</f>
        <v/>
      </c>
      <c r="H648" s="42">
        <f>IF($C648="","",IFERROR(INDEX(DESPACHOS!$G$3:$G$3002,MATCH($C648,DESPACHOS!$B$3:$B$3002,0)),""))</f>
        <v/>
      </c>
      <c r="I648" s="39">
        <f>IF($C648="","",IFERROR(INDEX(DESPACHOS!$H$3:$H$3002,MATCH($C648,DESPACHOS!$B$3:$B$3002,0)),""))</f>
        <v/>
      </c>
      <c r="J648" s="43">
        <f>IF($C648="","",IFERROR(INDEX(DESPACHOS!$J$3:$J$3002,MATCH($C648,DESPACHOS!$B$3:$B$3002,0)),""))</f>
        <v/>
      </c>
      <c r="K648" s="39">
        <f>IF($C648="","",IF(COUNTIFS(DESPACHOS!$B$3:$B$3002,$C648)=0,"NO EXISTE",IF(COUNTIFS(DESPACHOS!$B$3:$B$3002,$C648)&gt;1,"DUPLICADO","OK")))</f>
        <v/>
      </c>
      <c r="L648" s="41" t="n"/>
      <c r="M648" s="41" t="n"/>
      <c r="N648" s="42">
        <f>IF($M648="","",IFERROR(INDEX(LISTAS!$F$3:$F$42,MATCH($M648,LISTAS!$E$3:$E$42,0)),"Por definir"))</f>
        <v/>
      </c>
      <c r="O648" s="41" t="n"/>
      <c r="P648" s="39">
        <f>IF($L648="","",IFERROR(INDEX(LISTAS!$B$3:$B$42,MATCH($L648,LISTAS!$A$3:$A$42,0)),"Media"))</f>
        <v/>
      </c>
      <c r="Q648" s="44" t="n"/>
      <c r="R648" s="45" t="n"/>
      <c r="S648" s="20">
        <f>IFERROR(IF(OR($R648="",$C648=""),"",$R648/INDEX(DESPACHOS!$M$3:$M$3002,MATCH($C648,DESPACHOS!$B$3:$B$3002,0))),"")</f>
        <v/>
      </c>
      <c r="T648" s="41" t="n"/>
      <c r="U648" s="43">
        <f>IF(OR($B648="",$L648=""),"",WORKDAY($B648,IFERROR(INDEX(LISTAS!$C$3:$C$42,MATCH($L648,LISTAS!$A$3:$A$42,0)),3)))</f>
        <v/>
      </c>
      <c r="V648" s="40" t="n"/>
      <c r="W648" s="19">
        <f>IF($B648="","",IF($V648&lt;&gt;"",$V648-$B648,TODAY()-$B648))</f>
        <v/>
      </c>
      <c r="X648" s="19">
        <f>IF(OR($B648="",$U648=""),"",IF($V648&lt;&gt;"",MAX(0,$V648-$U648),MAX(0,TODAY()-$U648)))</f>
        <v/>
      </c>
      <c r="Y648" s="39">
        <f>IF($C648="","",IF(IFERROR(INDEX(LISTAS!$I$3:$I$42,MATCH($T648,LISTAS!$H$3:$H$42,0)),"NO")="SÍ",IF(N($X648)&gt;0,"CERRADA FUERA DE SLA","CERRADA EN SLA"),IF($U648="","SIN CLASIFICAR",IF(N($X648)&gt;0,"VENCIDA",IF(TODAY()&gt;=$U648-1,"POR VENCER","EN PLAZO")))))</f>
        <v/>
      </c>
      <c r="Z648" s="41" t="n"/>
      <c r="AA648" s="41" t="n"/>
      <c r="AB648" s="41" t="n"/>
    </row>
    <row r="649">
      <c r="A649" s="39">
        <f>IF($C649="","","NOV-"&amp;TEXT(ROW()-3,"0000"))</f>
        <v/>
      </c>
      <c r="B649" s="40" t="n"/>
      <c r="C649" s="41" t="n"/>
      <c r="D649" s="42">
        <f>IF($C649="","",IFERROR(INDEX(DESPACHOS!$D$3:$D$3002,MATCH($C649,DESPACHOS!$B$3:$B$3002,0)),"SIN DESPACHO"))</f>
        <v/>
      </c>
      <c r="E649" s="42">
        <f>IF($C649="","",IFERROR(INDEX(DESPACHOS!$K$3:$K$3002,MATCH($C649,DESPACHOS!$B$3:$B$3002,0)),""))</f>
        <v/>
      </c>
      <c r="F649" s="42">
        <f>IF($C649="","",IFERROR(INDEX(DESPACHOS!$I$3:$I$3002,MATCH($C649,DESPACHOS!$B$3:$B$3002,0)),""))</f>
        <v/>
      </c>
      <c r="G649" s="42">
        <f>IF($C649="","",IFERROR(INDEX(DESPACHOS!$F$3:$F$3002,MATCH($C649,DESPACHOS!$B$3:$B$3002,0)),""))</f>
        <v/>
      </c>
      <c r="H649" s="42">
        <f>IF($C649="","",IFERROR(INDEX(DESPACHOS!$G$3:$G$3002,MATCH($C649,DESPACHOS!$B$3:$B$3002,0)),""))</f>
        <v/>
      </c>
      <c r="I649" s="39">
        <f>IF($C649="","",IFERROR(INDEX(DESPACHOS!$H$3:$H$3002,MATCH($C649,DESPACHOS!$B$3:$B$3002,0)),""))</f>
        <v/>
      </c>
      <c r="J649" s="43">
        <f>IF($C649="","",IFERROR(INDEX(DESPACHOS!$J$3:$J$3002,MATCH($C649,DESPACHOS!$B$3:$B$3002,0)),""))</f>
        <v/>
      </c>
      <c r="K649" s="39">
        <f>IF($C649="","",IF(COUNTIFS(DESPACHOS!$B$3:$B$3002,$C649)=0,"NO EXISTE",IF(COUNTIFS(DESPACHOS!$B$3:$B$3002,$C649)&gt;1,"DUPLICADO","OK")))</f>
        <v/>
      </c>
      <c r="L649" s="41" t="n"/>
      <c r="M649" s="41" t="n"/>
      <c r="N649" s="42">
        <f>IF($M649="","",IFERROR(INDEX(LISTAS!$F$3:$F$42,MATCH($M649,LISTAS!$E$3:$E$42,0)),"Por definir"))</f>
        <v/>
      </c>
      <c r="O649" s="41" t="n"/>
      <c r="P649" s="39">
        <f>IF($L649="","",IFERROR(INDEX(LISTAS!$B$3:$B$42,MATCH($L649,LISTAS!$A$3:$A$42,0)),"Media"))</f>
        <v/>
      </c>
      <c r="Q649" s="44" t="n"/>
      <c r="R649" s="45" t="n"/>
      <c r="S649" s="20">
        <f>IFERROR(IF(OR($R649="",$C649=""),"",$R649/INDEX(DESPACHOS!$M$3:$M$3002,MATCH($C649,DESPACHOS!$B$3:$B$3002,0))),"")</f>
        <v/>
      </c>
      <c r="T649" s="41" t="n"/>
      <c r="U649" s="43">
        <f>IF(OR($B649="",$L649=""),"",WORKDAY($B649,IFERROR(INDEX(LISTAS!$C$3:$C$42,MATCH($L649,LISTAS!$A$3:$A$42,0)),3)))</f>
        <v/>
      </c>
      <c r="V649" s="40" t="n"/>
      <c r="W649" s="19">
        <f>IF($B649="","",IF($V649&lt;&gt;"",$V649-$B649,TODAY()-$B649))</f>
        <v/>
      </c>
      <c r="X649" s="19">
        <f>IF(OR($B649="",$U649=""),"",IF($V649&lt;&gt;"",MAX(0,$V649-$U649),MAX(0,TODAY()-$U649)))</f>
        <v/>
      </c>
      <c r="Y649" s="39">
        <f>IF($C649="","",IF(IFERROR(INDEX(LISTAS!$I$3:$I$42,MATCH($T649,LISTAS!$H$3:$H$42,0)),"NO")="SÍ",IF(N($X649)&gt;0,"CERRADA FUERA DE SLA","CERRADA EN SLA"),IF($U649="","SIN CLASIFICAR",IF(N($X649)&gt;0,"VENCIDA",IF(TODAY()&gt;=$U649-1,"POR VENCER","EN PLAZO")))))</f>
        <v/>
      </c>
      <c r="Z649" s="41" t="n"/>
      <c r="AA649" s="41" t="n"/>
      <c r="AB649" s="41" t="n"/>
    </row>
    <row r="650">
      <c r="A650" s="39">
        <f>IF($C650="","","NOV-"&amp;TEXT(ROW()-3,"0000"))</f>
        <v/>
      </c>
      <c r="B650" s="40" t="n"/>
      <c r="C650" s="41" t="n"/>
      <c r="D650" s="42">
        <f>IF($C650="","",IFERROR(INDEX(DESPACHOS!$D$3:$D$3002,MATCH($C650,DESPACHOS!$B$3:$B$3002,0)),"SIN DESPACHO"))</f>
        <v/>
      </c>
      <c r="E650" s="42">
        <f>IF($C650="","",IFERROR(INDEX(DESPACHOS!$K$3:$K$3002,MATCH($C650,DESPACHOS!$B$3:$B$3002,0)),""))</f>
        <v/>
      </c>
      <c r="F650" s="42">
        <f>IF($C650="","",IFERROR(INDEX(DESPACHOS!$I$3:$I$3002,MATCH($C650,DESPACHOS!$B$3:$B$3002,0)),""))</f>
        <v/>
      </c>
      <c r="G650" s="42">
        <f>IF($C650="","",IFERROR(INDEX(DESPACHOS!$F$3:$F$3002,MATCH($C650,DESPACHOS!$B$3:$B$3002,0)),""))</f>
        <v/>
      </c>
      <c r="H650" s="42">
        <f>IF($C650="","",IFERROR(INDEX(DESPACHOS!$G$3:$G$3002,MATCH($C650,DESPACHOS!$B$3:$B$3002,0)),""))</f>
        <v/>
      </c>
      <c r="I650" s="39">
        <f>IF($C650="","",IFERROR(INDEX(DESPACHOS!$H$3:$H$3002,MATCH($C650,DESPACHOS!$B$3:$B$3002,0)),""))</f>
        <v/>
      </c>
      <c r="J650" s="43">
        <f>IF($C650="","",IFERROR(INDEX(DESPACHOS!$J$3:$J$3002,MATCH($C650,DESPACHOS!$B$3:$B$3002,0)),""))</f>
        <v/>
      </c>
      <c r="K650" s="39">
        <f>IF($C650="","",IF(COUNTIFS(DESPACHOS!$B$3:$B$3002,$C650)=0,"NO EXISTE",IF(COUNTIFS(DESPACHOS!$B$3:$B$3002,$C650)&gt;1,"DUPLICADO","OK")))</f>
        <v/>
      </c>
      <c r="L650" s="41" t="n"/>
      <c r="M650" s="41" t="n"/>
      <c r="N650" s="42">
        <f>IF($M650="","",IFERROR(INDEX(LISTAS!$F$3:$F$42,MATCH($M650,LISTAS!$E$3:$E$42,0)),"Por definir"))</f>
        <v/>
      </c>
      <c r="O650" s="41" t="n"/>
      <c r="P650" s="39">
        <f>IF($L650="","",IFERROR(INDEX(LISTAS!$B$3:$B$42,MATCH($L650,LISTAS!$A$3:$A$42,0)),"Media"))</f>
        <v/>
      </c>
      <c r="Q650" s="44" t="n"/>
      <c r="R650" s="45" t="n"/>
      <c r="S650" s="20">
        <f>IFERROR(IF(OR($R650="",$C650=""),"",$R650/INDEX(DESPACHOS!$M$3:$M$3002,MATCH($C650,DESPACHOS!$B$3:$B$3002,0))),"")</f>
        <v/>
      </c>
      <c r="T650" s="41" t="n"/>
      <c r="U650" s="43">
        <f>IF(OR($B650="",$L650=""),"",WORKDAY($B650,IFERROR(INDEX(LISTAS!$C$3:$C$42,MATCH($L650,LISTAS!$A$3:$A$42,0)),3)))</f>
        <v/>
      </c>
      <c r="V650" s="40" t="n"/>
      <c r="W650" s="19">
        <f>IF($B650="","",IF($V650&lt;&gt;"",$V650-$B650,TODAY()-$B650))</f>
        <v/>
      </c>
      <c r="X650" s="19">
        <f>IF(OR($B650="",$U650=""),"",IF($V650&lt;&gt;"",MAX(0,$V650-$U650),MAX(0,TODAY()-$U650)))</f>
        <v/>
      </c>
      <c r="Y650" s="39">
        <f>IF($C650="","",IF(IFERROR(INDEX(LISTAS!$I$3:$I$42,MATCH($T650,LISTAS!$H$3:$H$42,0)),"NO")="SÍ",IF(N($X650)&gt;0,"CERRADA FUERA DE SLA","CERRADA EN SLA"),IF($U650="","SIN CLASIFICAR",IF(N($X650)&gt;0,"VENCIDA",IF(TODAY()&gt;=$U650-1,"POR VENCER","EN PLAZO")))))</f>
        <v/>
      </c>
      <c r="Z650" s="41" t="n"/>
      <c r="AA650" s="41" t="n"/>
      <c r="AB650" s="41" t="n"/>
    </row>
    <row r="651">
      <c r="A651" s="39">
        <f>IF($C651="","","NOV-"&amp;TEXT(ROW()-3,"0000"))</f>
        <v/>
      </c>
      <c r="B651" s="40" t="n"/>
      <c r="C651" s="41" t="n"/>
      <c r="D651" s="42">
        <f>IF($C651="","",IFERROR(INDEX(DESPACHOS!$D$3:$D$3002,MATCH($C651,DESPACHOS!$B$3:$B$3002,0)),"SIN DESPACHO"))</f>
        <v/>
      </c>
      <c r="E651" s="42">
        <f>IF($C651="","",IFERROR(INDEX(DESPACHOS!$K$3:$K$3002,MATCH($C651,DESPACHOS!$B$3:$B$3002,0)),""))</f>
        <v/>
      </c>
      <c r="F651" s="42">
        <f>IF($C651="","",IFERROR(INDEX(DESPACHOS!$I$3:$I$3002,MATCH($C651,DESPACHOS!$B$3:$B$3002,0)),""))</f>
        <v/>
      </c>
      <c r="G651" s="42">
        <f>IF($C651="","",IFERROR(INDEX(DESPACHOS!$F$3:$F$3002,MATCH($C651,DESPACHOS!$B$3:$B$3002,0)),""))</f>
        <v/>
      </c>
      <c r="H651" s="42">
        <f>IF($C651="","",IFERROR(INDEX(DESPACHOS!$G$3:$G$3002,MATCH($C651,DESPACHOS!$B$3:$B$3002,0)),""))</f>
        <v/>
      </c>
      <c r="I651" s="39">
        <f>IF($C651="","",IFERROR(INDEX(DESPACHOS!$H$3:$H$3002,MATCH($C651,DESPACHOS!$B$3:$B$3002,0)),""))</f>
        <v/>
      </c>
      <c r="J651" s="43">
        <f>IF($C651="","",IFERROR(INDEX(DESPACHOS!$J$3:$J$3002,MATCH($C651,DESPACHOS!$B$3:$B$3002,0)),""))</f>
        <v/>
      </c>
      <c r="K651" s="39">
        <f>IF($C651="","",IF(COUNTIFS(DESPACHOS!$B$3:$B$3002,$C651)=0,"NO EXISTE",IF(COUNTIFS(DESPACHOS!$B$3:$B$3002,$C651)&gt;1,"DUPLICADO","OK")))</f>
        <v/>
      </c>
      <c r="L651" s="41" t="n"/>
      <c r="M651" s="41" t="n"/>
      <c r="N651" s="42">
        <f>IF($M651="","",IFERROR(INDEX(LISTAS!$F$3:$F$42,MATCH($M651,LISTAS!$E$3:$E$42,0)),"Por definir"))</f>
        <v/>
      </c>
      <c r="O651" s="41" t="n"/>
      <c r="P651" s="39">
        <f>IF($L651="","",IFERROR(INDEX(LISTAS!$B$3:$B$42,MATCH($L651,LISTAS!$A$3:$A$42,0)),"Media"))</f>
        <v/>
      </c>
      <c r="Q651" s="44" t="n"/>
      <c r="R651" s="45" t="n"/>
      <c r="S651" s="20">
        <f>IFERROR(IF(OR($R651="",$C651=""),"",$R651/INDEX(DESPACHOS!$M$3:$M$3002,MATCH($C651,DESPACHOS!$B$3:$B$3002,0))),"")</f>
        <v/>
      </c>
      <c r="T651" s="41" t="n"/>
      <c r="U651" s="43">
        <f>IF(OR($B651="",$L651=""),"",WORKDAY($B651,IFERROR(INDEX(LISTAS!$C$3:$C$42,MATCH($L651,LISTAS!$A$3:$A$42,0)),3)))</f>
        <v/>
      </c>
      <c r="V651" s="40" t="n"/>
      <c r="W651" s="19">
        <f>IF($B651="","",IF($V651&lt;&gt;"",$V651-$B651,TODAY()-$B651))</f>
        <v/>
      </c>
      <c r="X651" s="19">
        <f>IF(OR($B651="",$U651=""),"",IF($V651&lt;&gt;"",MAX(0,$V651-$U651),MAX(0,TODAY()-$U651)))</f>
        <v/>
      </c>
      <c r="Y651" s="39">
        <f>IF($C651="","",IF(IFERROR(INDEX(LISTAS!$I$3:$I$42,MATCH($T651,LISTAS!$H$3:$H$42,0)),"NO")="SÍ",IF(N($X651)&gt;0,"CERRADA FUERA DE SLA","CERRADA EN SLA"),IF($U651="","SIN CLASIFICAR",IF(N($X651)&gt;0,"VENCIDA",IF(TODAY()&gt;=$U651-1,"POR VENCER","EN PLAZO")))))</f>
        <v/>
      </c>
      <c r="Z651" s="41" t="n"/>
      <c r="AA651" s="41" t="n"/>
      <c r="AB651" s="41" t="n"/>
    </row>
    <row r="652">
      <c r="A652" s="39">
        <f>IF($C652="","","NOV-"&amp;TEXT(ROW()-3,"0000"))</f>
        <v/>
      </c>
      <c r="B652" s="40" t="n"/>
      <c r="C652" s="41" t="n"/>
      <c r="D652" s="42">
        <f>IF($C652="","",IFERROR(INDEX(DESPACHOS!$D$3:$D$3002,MATCH($C652,DESPACHOS!$B$3:$B$3002,0)),"SIN DESPACHO"))</f>
        <v/>
      </c>
      <c r="E652" s="42">
        <f>IF($C652="","",IFERROR(INDEX(DESPACHOS!$K$3:$K$3002,MATCH($C652,DESPACHOS!$B$3:$B$3002,0)),""))</f>
        <v/>
      </c>
      <c r="F652" s="42">
        <f>IF($C652="","",IFERROR(INDEX(DESPACHOS!$I$3:$I$3002,MATCH($C652,DESPACHOS!$B$3:$B$3002,0)),""))</f>
        <v/>
      </c>
      <c r="G652" s="42">
        <f>IF($C652="","",IFERROR(INDEX(DESPACHOS!$F$3:$F$3002,MATCH($C652,DESPACHOS!$B$3:$B$3002,0)),""))</f>
        <v/>
      </c>
      <c r="H652" s="42">
        <f>IF($C652="","",IFERROR(INDEX(DESPACHOS!$G$3:$G$3002,MATCH($C652,DESPACHOS!$B$3:$B$3002,0)),""))</f>
        <v/>
      </c>
      <c r="I652" s="39">
        <f>IF($C652="","",IFERROR(INDEX(DESPACHOS!$H$3:$H$3002,MATCH($C652,DESPACHOS!$B$3:$B$3002,0)),""))</f>
        <v/>
      </c>
      <c r="J652" s="43">
        <f>IF($C652="","",IFERROR(INDEX(DESPACHOS!$J$3:$J$3002,MATCH($C652,DESPACHOS!$B$3:$B$3002,0)),""))</f>
        <v/>
      </c>
      <c r="K652" s="39">
        <f>IF($C652="","",IF(COUNTIFS(DESPACHOS!$B$3:$B$3002,$C652)=0,"NO EXISTE",IF(COUNTIFS(DESPACHOS!$B$3:$B$3002,$C652)&gt;1,"DUPLICADO","OK")))</f>
        <v/>
      </c>
      <c r="L652" s="41" t="n"/>
      <c r="M652" s="41" t="n"/>
      <c r="N652" s="42">
        <f>IF($M652="","",IFERROR(INDEX(LISTAS!$F$3:$F$42,MATCH($M652,LISTAS!$E$3:$E$42,0)),"Por definir"))</f>
        <v/>
      </c>
      <c r="O652" s="41" t="n"/>
      <c r="P652" s="39">
        <f>IF($L652="","",IFERROR(INDEX(LISTAS!$B$3:$B$42,MATCH($L652,LISTAS!$A$3:$A$42,0)),"Media"))</f>
        <v/>
      </c>
      <c r="Q652" s="44" t="n"/>
      <c r="R652" s="45" t="n"/>
      <c r="S652" s="20">
        <f>IFERROR(IF(OR($R652="",$C652=""),"",$R652/INDEX(DESPACHOS!$M$3:$M$3002,MATCH($C652,DESPACHOS!$B$3:$B$3002,0))),"")</f>
        <v/>
      </c>
      <c r="T652" s="41" t="n"/>
      <c r="U652" s="43">
        <f>IF(OR($B652="",$L652=""),"",WORKDAY($B652,IFERROR(INDEX(LISTAS!$C$3:$C$42,MATCH($L652,LISTAS!$A$3:$A$42,0)),3)))</f>
        <v/>
      </c>
      <c r="V652" s="40" t="n"/>
      <c r="W652" s="19">
        <f>IF($B652="","",IF($V652&lt;&gt;"",$V652-$B652,TODAY()-$B652))</f>
        <v/>
      </c>
      <c r="X652" s="19">
        <f>IF(OR($B652="",$U652=""),"",IF($V652&lt;&gt;"",MAX(0,$V652-$U652),MAX(0,TODAY()-$U652)))</f>
        <v/>
      </c>
      <c r="Y652" s="39">
        <f>IF($C652="","",IF(IFERROR(INDEX(LISTAS!$I$3:$I$42,MATCH($T652,LISTAS!$H$3:$H$42,0)),"NO")="SÍ",IF(N($X652)&gt;0,"CERRADA FUERA DE SLA","CERRADA EN SLA"),IF($U652="","SIN CLASIFICAR",IF(N($X652)&gt;0,"VENCIDA",IF(TODAY()&gt;=$U652-1,"POR VENCER","EN PLAZO")))))</f>
        <v/>
      </c>
      <c r="Z652" s="41" t="n"/>
      <c r="AA652" s="41" t="n"/>
      <c r="AB652" s="41" t="n"/>
    </row>
    <row r="653">
      <c r="A653" s="39">
        <f>IF($C653="","","NOV-"&amp;TEXT(ROW()-3,"0000"))</f>
        <v/>
      </c>
      <c r="B653" s="40" t="n"/>
      <c r="C653" s="41" t="n"/>
      <c r="D653" s="42">
        <f>IF($C653="","",IFERROR(INDEX(DESPACHOS!$D$3:$D$3002,MATCH($C653,DESPACHOS!$B$3:$B$3002,0)),"SIN DESPACHO"))</f>
        <v/>
      </c>
      <c r="E653" s="42">
        <f>IF($C653="","",IFERROR(INDEX(DESPACHOS!$K$3:$K$3002,MATCH($C653,DESPACHOS!$B$3:$B$3002,0)),""))</f>
        <v/>
      </c>
      <c r="F653" s="42">
        <f>IF($C653="","",IFERROR(INDEX(DESPACHOS!$I$3:$I$3002,MATCH($C653,DESPACHOS!$B$3:$B$3002,0)),""))</f>
        <v/>
      </c>
      <c r="G653" s="42">
        <f>IF($C653="","",IFERROR(INDEX(DESPACHOS!$F$3:$F$3002,MATCH($C653,DESPACHOS!$B$3:$B$3002,0)),""))</f>
        <v/>
      </c>
      <c r="H653" s="42">
        <f>IF($C653="","",IFERROR(INDEX(DESPACHOS!$G$3:$G$3002,MATCH($C653,DESPACHOS!$B$3:$B$3002,0)),""))</f>
        <v/>
      </c>
      <c r="I653" s="39">
        <f>IF($C653="","",IFERROR(INDEX(DESPACHOS!$H$3:$H$3002,MATCH($C653,DESPACHOS!$B$3:$B$3002,0)),""))</f>
        <v/>
      </c>
      <c r="J653" s="43">
        <f>IF($C653="","",IFERROR(INDEX(DESPACHOS!$J$3:$J$3002,MATCH($C653,DESPACHOS!$B$3:$B$3002,0)),""))</f>
        <v/>
      </c>
      <c r="K653" s="39">
        <f>IF($C653="","",IF(COUNTIFS(DESPACHOS!$B$3:$B$3002,$C653)=0,"NO EXISTE",IF(COUNTIFS(DESPACHOS!$B$3:$B$3002,$C653)&gt;1,"DUPLICADO","OK")))</f>
        <v/>
      </c>
      <c r="L653" s="41" t="n"/>
      <c r="M653" s="41" t="n"/>
      <c r="N653" s="42">
        <f>IF($M653="","",IFERROR(INDEX(LISTAS!$F$3:$F$42,MATCH($M653,LISTAS!$E$3:$E$42,0)),"Por definir"))</f>
        <v/>
      </c>
      <c r="O653" s="41" t="n"/>
      <c r="P653" s="39">
        <f>IF($L653="","",IFERROR(INDEX(LISTAS!$B$3:$B$42,MATCH($L653,LISTAS!$A$3:$A$42,0)),"Media"))</f>
        <v/>
      </c>
      <c r="Q653" s="44" t="n"/>
      <c r="R653" s="45" t="n"/>
      <c r="S653" s="20">
        <f>IFERROR(IF(OR($R653="",$C653=""),"",$R653/INDEX(DESPACHOS!$M$3:$M$3002,MATCH($C653,DESPACHOS!$B$3:$B$3002,0))),"")</f>
        <v/>
      </c>
      <c r="T653" s="41" t="n"/>
      <c r="U653" s="43">
        <f>IF(OR($B653="",$L653=""),"",WORKDAY($B653,IFERROR(INDEX(LISTAS!$C$3:$C$42,MATCH($L653,LISTAS!$A$3:$A$42,0)),3)))</f>
        <v/>
      </c>
      <c r="V653" s="40" t="n"/>
      <c r="W653" s="19">
        <f>IF($B653="","",IF($V653&lt;&gt;"",$V653-$B653,TODAY()-$B653))</f>
        <v/>
      </c>
      <c r="X653" s="19">
        <f>IF(OR($B653="",$U653=""),"",IF($V653&lt;&gt;"",MAX(0,$V653-$U653),MAX(0,TODAY()-$U653)))</f>
        <v/>
      </c>
      <c r="Y653" s="39">
        <f>IF($C653="","",IF(IFERROR(INDEX(LISTAS!$I$3:$I$42,MATCH($T653,LISTAS!$H$3:$H$42,0)),"NO")="SÍ",IF(N($X653)&gt;0,"CERRADA FUERA DE SLA","CERRADA EN SLA"),IF($U653="","SIN CLASIFICAR",IF(N($X653)&gt;0,"VENCIDA",IF(TODAY()&gt;=$U653-1,"POR VENCER","EN PLAZO")))))</f>
        <v/>
      </c>
      <c r="Z653" s="41" t="n"/>
      <c r="AA653" s="41" t="n"/>
      <c r="AB653" s="41" t="n"/>
    </row>
    <row r="654">
      <c r="A654" s="39">
        <f>IF($C654="","","NOV-"&amp;TEXT(ROW()-3,"0000"))</f>
        <v/>
      </c>
      <c r="B654" s="40" t="n"/>
      <c r="C654" s="41" t="n"/>
      <c r="D654" s="42">
        <f>IF($C654="","",IFERROR(INDEX(DESPACHOS!$D$3:$D$3002,MATCH($C654,DESPACHOS!$B$3:$B$3002,0)),"SIN DESPACHO"))</f>
        <v/>
      </c>
      <c r="E654" s="42">
        <f>IF($C654="","",IFERROR(INDEX(DESPACHOS!$K$3:$K$3002,MATCH($C654,DESPACHOS!$B$3:$B$3002,0)),""))</f>
        <v/>
      </c>
      <c r="F654" s="42">
        <f>IF($C654="","",IFERROR(INDEX(DESPACHOS!$I$3:$I$3002,MATCH($C654,DESPACHOS!$B$3:$B$3002,0)),""))</f>
        <v/>
      </c>
      <c r="G654" s="42">
        <f>IF($C654="","",IFERROR(INDEX(DESPACHOS!$F$3:$F$3002,MATCH($C654,DESPACHOS!$B$3:$B$3002,0)),""))</f>
        <v/>
      </c>
      <c r="H654" s="42">
        <f>IF($C654="","",IFERROR(INDEX(DESPACHOS!$G$3:$G$3002,MATCH($C654,DESPACHOS!$B$3:$B$3002,0)),""))</f>
        <v/>
      </c>
      <c r="I654" s="39">
        <f>IF($C654="","",IFERROR(INDEX(DESPACHOS!$H$3:$H$3002,MATCH($C654,DESPACHOS!$B$3:$B$3002,0)),""))</f>
        <v/>
      </c>
      <c r="J654" s="43">
        <f>IF($C654="","",IFERROR(INDEX(DESPACHOS!$J$3:$J$3002,MATCH($C654,DESPACHOS!$B$3:$B$3002,0)),""))</f>
        <v/>
      </c>
      <c r="K654" s="39">
        <f>IF($C654="","",IF(COUNTIFS(DESPACHOS!$B$3:$B$3002,$C654)=0,"NO EXISTE",IF(COUNTIFS(DESPACHOS!$B$3:$B$3002,$C654)&gt;1,"DUPLICADO","OK")))</f>
        <v/>
      </c>
      <c r="L654" s="41" t="n"/>
      <c r="M654" s="41" t="n"/>
      <c r="N654" s="42">
        <f>IF($M654="","",IFERROR(INDEX(LISTAS!$F$3:$F$42,MATCH($M654,LISTAS!$E$3:$E$42,0)),"Por definir"))</f>
        <v/>
      </c>
      <c r="O654" s="41" t="n"/>
      <c r="P654" s="39">
        <f>IF($L654="","",IFERROR(INDEX(LISTAS!$B$3:$B$42,MATCH($L654,LISTAS!$A$3:$A$42,0)),"Media"))</f>
        <v/>
      </c>
      <c r="Q654" s="44" t="n"/>
      <c r="R654" s="45" t="n"/>
      <c r="S654" s="20">
        <f>IFERROR(IF(OR($R654="",$C654=""),"",$R654/INDEX(DESPACHOS!$M$3:$M$3002,MATCH($C654,DESPACHOS!$B$3:$B$3002,0))),"")</f>
        <v/>
      </c>
      <c r="T654" s="41" t="n"/>
      <c r="U654" s="43">
        <f>IF(OR($B654="",$L654=""),"",WORKDAY($B654,IFERROR(INDEX(LISTAS!$C$3:$C$42,MATCH($L654,LISTAS!$A$3:$A$42,0)),3)))</f>
        <v/>
      </c>
      <c r="V654" s="40" t="n"/>
      <c r="W654" s="19">
        <f>IF($B654="","",IF($V654&lt;&gt;"",$V654-$B654,TODAY()-$B654))</f>
        <v/>
      </c>
      <c r="X654" s="19">
        <f>IF(OR($B654="",$U654=""),"",IF($V654&lt;&gt;"",MAX(0,$V654-$U654),MAX(0,TODAY()-$U654)))</f>
        <v/>
      </c>
      <c r="Y654" s="39">
        <f>IF($C654="","",IF(IFERROR(INDEX(LISTAS!$I$3:$I$42,MATCH($T654,LISTAS!$H$3:$H$42,0)),"NO")="SÍ",IF(N($X654)&gt;0,"CERRADA FUERA DE SLA","CERRADA EN SLA"),IF($U654="","SIN CLASIFICAR",IF(N($X654)&gt;0,"VENCIDA",IF(TODAY()&gt;=$U654-1,"POR VENCER","EN PLAZO")))))</f>
        <v/>
      </c>
      <c r="Z654" s="41" t="n"/>
      <c r="AA654" s="41" t="n"/>
      <c r="AB654" s="41" t="n"/>
    </row>
    <row r="655">
      <c r="A655" s="39">
        <f>IF($C655="","","NOV-"&amp;TEXT(ROW()-3,"0000"))</f>
        <v/>
      </c>
      <c r="B655" s="40" t="n"/>
      <c r="C655" s="41" t="n"/>
      <c r="D655" s="42">
        <f>IF($C655="","",IFERROR(INDEX(DESPACHOS!$D$3:$D$3002,MATCH($C655,DESPACHOS!$B$3:$B$3002,0)),"SIN DESPACHO"))</f>
        <v/>
      </c>
      <c r="E655" s="42">
        <f>IF($C655="","",IFERROR(INDEX(DESPACHOS!$K$3:$K$3002,MATCH($C655,DESPACHOS!$B$3:$B$3002,0)),""))</f>
        <v/>
      </c>
      <c r="F655" s="42">
        <f>IF($C655="","",IFERROR(INDEX(DESPACHOS!$I$3:$I$3002,MATCH($C655,DESPACHOS!$B$3:$B$3002,0)),""))</f>
        <v/>
      </c>
      <c r="G655" s="42">
        <f>IF($C655="","",IFERROR(INDEX(DESPACHOS!$F$3:$F$3002,MATCH($C655,DESPACHOS!$B$3:$B$3002,0)),""))</f>
        <v/>
      </c>
      <c r="H655" s="42">
        <f>IF($C655="","",IFERROR(INDEX(DESPACHOS!$G$3:$G$3002,MATCH($C655,DESPACHOS!$B$3:$B$3002,0)),""))</f>
        <v/>
      </c>
      <c r="I655" s="39">
        <f>IF($C655="","",IFERROR(INDEX(DESPACHOS!$H$3:$H$3002,MATCH($C655,DESPACHOS!$B$3:$B$3002,0)),""))</f>
        <v/>
      </c>
      <c r="J655" s="43">
        <f>IF($C655="","",IFERROR(INDEX(DESPACHOS!$J$3:$J$3002,MATCH($C655,DESPACHOS!$B$3:$B$3002,0)),""))</f>
        <v/>
      </c>
      <c r="K655" s="39">
        <f>IF($C655="","",IF(COUNTIFS(DESPACHOS!$B$3:$B$3002,$C655)=0,"NO EXISTE",IF(COUNTIFS(DESPACHOS!$B$3:$B$3002,$C655)&gt;1,"DUPLICADO","OK")))</f>
        <v/>
      </c>
      <c r="L655" s="41" t="n"/>
      <c r="M655" s="41" t="n"/>
      <c r="N655" s="42">
        <f>IF($M655="","",IFERROR(INDEX(LISTAS!$F$3:$F$42,MATCH($M655,LISTAS!$E$3:$E$42,0)),"Por definir"))</f>
        <v/>
      </c>
      <c r="O655" s="41" t="n"/>
      <c r="P655" s="39">
        <f>IF($L655="","",IFERROR(INDEX(LISTAS!$B$3:$B$42,MATCH($L655,LISTAS!$A$3:$A$42,0)),"Media"))</f>
        <v/>
      </c>
      <c r="Q655" s="44" t="n"/>
      <c r="R655" s="45" t="n"/>
      <c r="S655" s="20">
        <f>IFERROR(IF(OR($R655="",$C655=""),"",$R655/INDEX(DESPACHOS!$M$3:$M$3002,MATCH($C655,DESPACHOS!$B$3:$B$3002,0))),"")</f>
        <v/>
      </c>
      <c r="T655" s="41" t="n"/>
      <c r="U655" s="43">
        <f>IF(OR($B655="",$L655=""),"",WORKDAY($B655,IFERROR(INDEX(LISTAS!$C$3:$C$42,MATCH($L655,LISTAS!$A$3:$A$42,0)),3)))</f>
        <v/>
      </c>
      <c r="V655" s="40" t="n"/>
      <c r="W655" s="19">
        <f>IF($B655="","",IF($V655&lt;&gt;"",$V655-$B655,TODAY()-$B655))</f>
        <v/>
      </c>
      <c r="X655" s="19">
        <f>IF(OR($B655="",$U655=""),"",IF($V655&lt;&gt;"",MAX(0,$V655-$U655),MAX(0,TODAY()-$U655)))</f>
        <v/>
      </c>
      <c r="Y655" s="39">
        <f>IF($C655="","",IF(IFERROR(INDEX(LISTAS!$I$3:$I$42,MATCH($T655,LISTAS!$H$3:$H$42,0)),"NO")="SÍ",IF(N($X655)&gt;0,"CERRADA FUERA DE SLA","CERRADA EN SLA"),IF($U655="","SIN CLASIFICAR",IF(N($X655)&gt;0,"VENCIDA",IF(TODAY()&gt;=$U655-1,"POR VENCER","EN PLAZO")))))</f>
        <v/>
      </c>
      <c r="Z655" s="41" t="n"/>
      <c r="AA655" s="41" t="n"/>
      <c r="AB655" s="41" t="n"/>
    </row>
    <row r="656">
      <c r="A656" s="39">
        <f>IF($C656="","","NOV-"&amp;TEXT(ROW()-3,"0000"))</f>
        <v/>
      </c>
      <c r="B656" s="40" t="n"/>
      <c r="C656" s="41" t="n"/>
      <c r="D656" s="42">
        <f>IF($C656="","",IFERROR(INDEX(DESPACHOS!$D$3:$D$3002,MATCH($C656,DESPACHOS!$B$3:$B$3002,0)),"SIN DESPACHO"))</f>
        <v/>
      </c>
      <c r="E656" s="42">
        <f>IF($C656="","",IFERROR(INDEX(DESPACHOS!$K$3:$K$3002,MATCH($C656,DESPACHOS!$B$3:$B$3002,0)),""))</f>
        <v/>
      </c>
      <c r="F656" s="42">
        <f>IF($C656="","",IFERROR(INDEX(DESPACHOS!$I$3:$I$3002,MATCH($C656,DESPACHOS!$B$3:$B$3002,0)),""))</f>
        <v/>
      </c>
      <c r="G656" s="42">
        <f>IF($C656="","",IFERROR(INDEX(DESPACHOS!$F$3:$F$3002,MATCH($C656,DESPACHOS!$B$3:$B$3002,0)),""))</f>
        <v/>
      </c>
      <c r="H656" s="42">
        <f>IF($C656="","",IFERROR(INDEX(DESPACHOS!$G$3:$G$3002,MATCH($C656,DESPACHOS!$B$3:$B$3002,0)),""))</f>
        <v/>
      </c>
      <c r="I656" s="39">
        <f>IF($C656="","",IFERROR(INDEX(DESPACHOS!$H$3:$H$3002,MATCH($C656,DESPACHOS!$B$3:$B$3002,0)),""))</f>
        <v/>
      </c>
      <c r="J656" s="43">
        <f>IF($C656="","",IFERROR(INDEX(DESPACHOS!$J$3:$J$3002,MATCH($C656,DESPACHOS!$B$3:$B$3002,0)),""))</f>
        <v/>
      </c>
      <c r="K656" s="39">
        <f>IF($C656="","",IF(COUNTIFS(DESPACHOS!$B$3:$B$3002,$C656)=0,"NO EXISTE",IF(COUNTIFS(DESPACHOS!$B$3:$B$3002,$C656)&gt;1,"DUPLICADO","OK")))</f>
        <v/>
      </c>
      <c r="L656" s="41" t="n"/>
      <c r="M656" s="41" t="n"/>
      <c r="N656" s="42">
        <f>IF($M656="","",IFERROR(INDEX(LISTAS!$F$3:$F$42,MATCH($M656,LISTAS!$E$3:$E$42,0)),"Por definir"))</f>
        <v/>
      </c>
      <c r="O656" s="41" t="n"/>
      <c r="P656" s="39">
        <f>IF($L656="","",IFERROR(INDEX(LISTAS!$B$3:$B$42,MATCH($L656,LISTAS!$A$3:$A$42,0)),"Media"))</f>
        <v/>
      </c>
      <c r="Q656" s="44" t="n"/>
      <c r="R656" s="45" t="n"/>
      <c r="S656" s="20">
        <f>IFERROR(IF(OR($R656="",$C656=""),"",$R656/INDEX(DESPACHOS!$M$3:$M$3002,MATCH($C656,DESPACHOS!$B$3:$B$3002,0))),"")</f>
        <v/>
      </c>
      <c r="T656" s="41" t="n"/>
      <c r="U656" s="43">
        <f>IF(OR($B656="",$L656=""),"",WORKDAY($B656,IFERROR(INDEX(LISTAS!$C$3:$C$42,MATCH($L656,LISTAS!$A$3:$A$42,0)),3)))</f>
        <v/>
      </c>
      <c r="V656" s="40" t="n"/>
      <c r="W656" s="19">
        <f>IF($B656="","",IF($V656&lt;&gt;"",$V656-$B656,TODAY()-$B656))</f>
        <v/>
      </c>
      <c r="X656" s="19">
        <f>IF(OR($B656="",$U656=""),"",IF($V656&lt;&gt;"",MAX(0,$V656-$U656),MAX(0,TODAY()-$U656)))</f>
        <v/>
      </c>
      <c r="Y656" s="39">
        <f>IF($C656="","",IF(IFERROR(INDEX(LISTAS!$I$3:$I$42,MATCH($T656,LISTAS!$H$3:$H$42,0)),"NO")="SÍ",IF(N($X656)&gt;0,"CERRADA FUERA DE SLA","CERRADA EN SLA"),IF($U656="","SIN CLASIFICAR",IF(N($X656)&gt;0,"VENCIDA",IF(TODAY()&gt;=$U656-1,"POR VENCER","EN PLAZO")))))</f>
        <v/>
      </c>
      <c r="Z656" s="41" t="n"/>
      <c r="AA656" s="41" t="n"/>
      <c r="AB656" s="41" t="n"/>
    </row>
    <row r="657">
      <c r="A657" s="39">
        <f>IF($C657="","","NOV-"&amp;TEXT(ROW()-3,"0000"))</f>
        <v/>
      </c>
      <c r="B657" s="40" t="n"/>
      <c r="C657" s="41" t="n"/>
      <c r="D657" s="42">
        <f>IF($C657="","",IFERROR(INDEX(DESPACHOS!$D$3:$D$3002,MATCH($C657,DESPACHOS!$B$3:$B$3002,0)),"SIN DESPACHO"))</f>
        <v/>
      </c>
      <c r="E657" s="42">
        <f>IF($C657="","",IFERROR(INDEX(DESPACHOS!$K$3:$K$3002,MATCH($C657,DESPACHOS!$B$3:$B$3002,0)),""))</f>
        <v/>
      </c>
      <c r="F657" s="42">
        <f>IF($C657="","",IFERROR(INDEX(DESPACHOS!$I$3:$I$3002,MATCH($C657,DESPACHOS!$B$3:$B$3002,0)),""))</f>
        <v/>
      </c>
      <c r="G657" s="42">
        <f>IF($C657="","",IFERROR(INDEX(DESPACHOS!$F$3:$F$3002,MATCH($C657,DESPACHOS!$B$3:$B$3002,0)),""))</f>
        <v/>
      </c>
      <c r="H657" s="42">
        <f>IF($C657="","",IFERROR(INDEX(DESPACHOS!$G$3:$G$3002,MATCH($C657,DESPACHOS!$B$3:$B$3002,0)),""))</f>
        <v/>
      </c>
      <c r="I657" s="39">
        <f>IF($C657="","",IFERROR(INDEX(DESPACHOS!$H$3:$H$3002,MATCH($C657,DESPACHOS!$B$3:$B$3002,0)),""))</f>
        <v/>
      </c>
      <c r="J657" s="43">
        <f>IF($C657="","",IFERROR(INDEX(DESPACHOS!$J$3:$J$3002,MATCH($C657,DESPACHOS!$B$3:$B$3002,0)),""))</f>
        <v/>
      </c>
      <c r="K657" s="39">
        <f>IF($C657="","",IF(COUNTIFS(DESPACHOS!$B$3:$B$3002,$C657)=0,"NO EXISTE",IF(COUNTIFS(DESPACHOS!$B$3:$B$3002,$C657)&gt;1,"DUPLICADO","OK")))</f>
        <v/>
      </c>
      <c r="L657" s="41" t="n"/>
      <c r="M657" s="41" t="n"/>
      <c r="N657" s="42">
        <f>IF($M657="","",IFERROR(INDEX(LISTAS!$F$3:$F$42,MATCH($M657,LISTAS!$E$3:$E$42,0)),"Por definir"))</f>
        <v/>
      </c>
      <c r="O657" s="41" t="n"/>
      <c r="P657" s="39">
        <f>IF($L657="","",IFERROR(INDEX(LISTAS!$B$3:$B$42,MATCH($L657,LISTAS!$A$3:$A$42,0)),"Media"))</f>
        <v/>
      </c>
      <c r="Q657" s="44" t="n"/>
      <c r="R657" s="45" t="n"/>
      <c r="S657" s="20">
        <f>IFERROR(IF(OR($R657="",$C657=""),"",$R657/INDEX(DESPACHOS!$M$3:$M$3002,MATCH($C657,DESPACHOS!$B$3:$B$3002,0))),"")</f>
        <v/>
      </c>
      <c r="T657" s="41" t="n"/>
      <c r="U657" s="43">
        <f>IF(OR($B657="",$L657=""),"",WORKDAY($B657,IFERROR(INDEX(LISTAS!$C$3:$C$42,MATCH($L657,LISTAS!$A$3:$A$42,0)),3)))</f>
        <v/>
      </c>
      <c r="V657" s="40" t="n"/>
      <c r="W657" s="19">
        <f>IF($B657="","",IF($V657&lt;&gt;"",$V657-$B657,TODAY()-$B657))</f>
        <v/>
      </c>
      <c r="X657" s="19">
        <f>IF(OR($B657="",$U657=""),"",IF($V657&lt;&gt;"",MAX(0,$V657-$U657),MAX(0,TODAY()-$U657)))</f>
        <v/>
      </c>
      <c r="Y657" s="39">
        <f>IF($C657="","",IF(IFERROR(INDEX(LISTAS!$I$3:$I$42,MATCH($T657,LISTAS!$H$3:$H$42,0)),"NO")="SÍ",IF(N($X657)&gt;0,"CERRADA FUERA DE SLA","CERRADA EN SLA"),IF($U657="","SIN CLASIFICAR",IF(N($X657)&gt;0,"VENCIDA",IF(TODAY()&gt;=$U657-1,"POR VENCER","EN PLAZO")))))</f>
        <v/>
      </c>
      <c r="Z657" s="41" t="n"/>
      <c r="AA657" s="41" t="n"/>
      <c r="AB657" s="41" t="n"/>
    </row>
    <row r="658">
      <c r="A658" s="39">
        <f>IF($C658="","","NOV-"&amp;TEXT(ROW()-3,"0000"))</f>
        <v/>
      </c>
      <c r="B658" s="40" t="n"/>
      <c r="C658" s="41" t="n"/>
      <c r="D658" s="42">
        <f>IF($C658="","",IFERROR(INDEX(DESPACHOS!$D$3:$D$3002,MATCH($C658,DESPACHOS!$B$3:$B$3002,0)),"SIN DESPACHO"))</f>
        <v/>
      </c>
      <c r="E658" s="42">
        <f>IF($C658="","",IFERROR(INDEX(DESPACHOS!$K$3:$K$3002,MATCH($C658,DESPACHOS!$B$3:$B$3002,0)),""))</f>
        <v/>
      </c>
      <c r="F658" s="42">
        <f>IF($C658="","",IFERROR(INDEX(DESPACHOS!$I$3:$I$3002,MATCH($C658,DESPACHOS!$B$3:$B$3002,0)),""))</f>
        <v/>
      </c>
      <c r="G658" s="42">
        <f>IF($C658="","",IFERROR(INDEX(DESPACHOS!$F$3:$F$3002,MATCH($C658,DESPACHOS!$B$3:$B$3002,0)),""))</f>
        <v/>
      </c>
      <c r="H658" s="42">
        <f>IF($C658="","",IFERROR(INDEX(DESPACHOS!$G$3:$G$3002,MATCH($C658,DESPACHOS!$B$3:$B$3002,0)),""))</f>
        <v/>
      </c>
      <c r="I658" s="39">
        <f>IF($C658="","",IFERROR(INDEX(DESPACHOS!$H$3:$H$3002,MATCH($C658,DESPACHOS!$B$3:$B$3002,0)),""))</f>
        <v/>
      </c>
      <c r="J658" s="43">
        <f>IF($C658="","",IFERROR(INDEX(DESPACHOS!$J$3:$J$3002,MATCH($C658,DESPACHOS!$B$3:$B$3002,0)),""))</f>
        <v/>
      </c>
      <c r="K658" s="39">
        <f>IF($C658="","",IF(COUNTIFS(DESPACHOS!$B$3:$B$3002,$C658)=0,"NO EXISTE",IF(COUNTIFS(DESPACHOS!$B$3:$B$3002,$C658)&gt;1,"DUPLICADO","OK")))</f>
        <v/>
      </c>
      <c r="L658" s="41" t="n"/>
      <c r="M658" s="41" t="n"/>
      <c r="N658" s="42">
        <f>IF($M658="","",IFERROR(INDEX(LISTAS!$F$3:$F$42,MATCH($M658,LISTAS!$E$3:$E$42,0)),"Por definir"))</f>
        <v/>
      </c>
      <c r="O658" s="41" t="n"/>
      <c r="P658" s="39">
        <f>IF($L658="","",IFERROR(INDEX(LISTAS!$B$3:$B$42,MATCH($L658,LISTAS!$A$3:$A$42,0)),"Media"))</f>
        <v/>
      </c>
      <c r="Q658" s="44" t="n"/>
      <c r="R658" s="45" t="n"/>
      <c r="S658" s="20">
        <f>IFERROR(IF(OR($R658="",$C658=""),"",$R658/INDEX(DESPACHOS!$M$3:$M$3002,MATCH($C658,DESPACHOS!$B$3:$B$3002,0))),"")</f>
        <v/>
      </c>
      <c r="T658" s="41" t="n"/>
      <c r="U658" s="43">
        <f>IF(OR($B658="",$L658=""),"",WORKDAY($B658,IFERROR(INDEX(LISTAS!$C$3:$C$42,MATCH($L658,LISTAS!$A$3:$A$42,0)),3)))</f>
        <v/>
      </c>
      <c r="V658" s="40" t="n"/>
      <c r="W658" s="19">
        <f>IF($B658="","",IF($V658&lt;&gt;"",$V658-$B658,TODAY()-$B658))</f>
        <v/>
      </c>
      <c r="X658" s="19">
        <f>IF(OR($B658="",$U658=""),"",IF($V658&lt;&gt;"",MAX(0,$V658-$U658),MAX(0,TODAY()-$U658)))</f>
        <v/>
      </c>
      <c r="Y658" s="39">
        <f>IF($C658="","",IF(IFERROR(INDEX(LISTAS!$I$3:$I$42,MATCH($T658,LISTAS!$H$3:$H$42,0)),"NO")="SÍ",IF(N($X658)&gt;0,"CERRADA FUERA DE SLA","CERRADA EN SLA"),IF($U658="","SIN CLASIFICAR",IF(N($X658)&gt;0,"VENCIDA",IF(TODAY()&gt;=$U658-1,"POR VENCER","EN PLAZO")))))</f>
        <v/>
      </c>
      <c r="Z658" s="41" t="n"/>
      <c r="AA658" s="41" t="n"/>
      <c r="AB658" s="41" t="n"/>
    </row>
    <row r="659">
      <c r="A659" s="39">
        <f>IF($C659="","","NOV-"&amp;TEXT(ROW()-3,"0000"))</f>
        <v/>
      </c>
      <c r="B659" s="40" t="n"/>
      <c r="C659" s="41" t="n"/>
      <c r="D659" s="42">
        <f>IF($C659="","",IFERROR(INDEX(DESPACHOS!$D$3:$D$3002,MATCH($C659,DESPACHOS!$B$3:$B$3002,0)),"SIN DESPACHO"))</f>
        <v/>
      </c>
      <c r="E659" s="42">
        <f>IF($C659="","",IFERROR(INDEX(DESPACHOS!$K$3:$K$3002,MATCH($C659,DESPACHOS!$B$3:$B$3002,0)),""))</f>
        <v/>
      </c>
      <c r="F659" s="42">
        <f>IF($C659="","",IFERROR(INDEX(DESPACHOS!$I$3:$I$3002,MATCH($C659,DESPACHOS!$B$3:$B$3002,0)),""))</f>
        <v/>
      </c>
      <c r="G659" s="42">
        <f>IF($C659="","",IFERROR(INDEX(DESPACHOS!$F$3:$F$3002,MATCH($C659,DESPACHOS!$B$3:$B$3002,0)),""))</f>
        <v/>
      </c>
      <c r="H659" s="42">
        <f>IF($C659="","",IFERROR(INDEX(DESPACHOS!$G$3:$G$3002,MATCH($C659,DESPACHOS!$B$3:$B$3002,0)),""))</f>
        <v/>
      </c>
      <c r="I659" s="39">
        <f>IF($C659="","",IFERROR(INDEX(DESPACHOS!$H$3:$H$3002,MATCH($C659,DESPACHOS!$B$3:$B$3002,0)),""))</f>
        <v/>
      </c>
      <c r="J659" s="43">
        <f>IF($C659="","",IFERROR(INDEX(DESPACHOS!$J$3:$J$3002,MATCH($C659,DESPACHOS!$B$3:$B$3002,0)),""))</f>
        <v/>
      </c>
      <c r="K659" s="39">
        <f>IF($C659="","",IF(COUNTIFS(DESPACHOS!$B$3:$B$3002,$C659)=0,"NO EXISTE",IF(COUNTIFS(DESPACHOS!$B$3:$B$3002,$C659)&gt;1,"DUPLICADO","OK")))</f>
        <v/>
      </c>
      <c r="L659" s="41" t="n"/>
      <c r="M659" s="41" t="n"/>
      <c r="N659" s="42">
        <f>IF($M659="","",IFERROR(INDEX(LISTAS!$F$3:$F$42,MATCH($M659,LISTAS!$E$3:$E$42,0)),"Por definir"))</f>
        <v/>
      </c>
      <c r="O659" s="41" t="n"/>
      <c r="P659" s="39">
        <f>IF($L659="","",IFERROR(INDEX(LISTAS!$B$3:$B$42,MATCH($L659,LISTAS!$A$3:$A$42,0)),"Media"))</f>
        <v/>
      </c>
      <c r="Q659" s="44" t="n"/>
      <c r="R659" s="45" t="n"/>
      <c r="S659" s="20">
        <f>IFERROR(IF(OR($R659="",$C659=""),"",$R659/INDEX(DESPACHOS!$M$3:$M$3002,MATCH($C659,DESPACHOS!$B$3:$B$3002,0))),"")</f>
        <v/>
      </c>
      <c r="T659" s="41" t="n"/>
      <c r="U659" s="43">
        <f>IF(OR($B659="",$L659=""),"",WORKDAY($B659,IFERROR(INDEX(LISTAS!$C$3:$C$42,MATCH($L659,LISTAS!$A$3:$A$42,0)),3)))</f>
        <v/>
      </c>
      <c r="V659" s="40" t="n"/>
      <c r="W659" s="19">
        <f>IF($B659="","",IF($V659&lt;&gt;"",$V659-$B659,TODAY()-$B659))</f>
        <v/>
      </c>
      <c r="X659" s="19">
        <f>IF(OR($B659="",$U659=""),"",IF($V659&lt;&gt;"",MAX(0,$V659-$U659),MAX(0,TODAY()-$U659)))</f>
        <v/>
      </c>
      <c r="Y659" s="39">
        <f>IF($C659="","",IF(IFERROR(INDEX(LISTAS!$I$3:$I$42,MATCH($T659,LISTAS!$H$3:$H$42,0)),"NO")="SÍ",IF(N($X659)&gt;0,"CERRADA FUERA DE SLA","CERRADA EN SLA"),IF($U659="","SIN CLASIFICAR",IF(N($X659)&gt;0,"VENCIDA",IF(TODAY()&gt;=$U659-1,"POR VENCER","EN PLAZO")))))</f>
        <v/>
      </c>
      <c r="Z659" s="41" t="n"/>
      <c r="AA659" s="41" t="n"/>
      <c r="AB659" s="41" t="n"/>
    </row>
    <row r="660">
      <c r="A660" s="39">
        <f>IF($C660="","","NOV-"&amp;TEXT(ROW()-3,"0000"))</f>
        <v/>
      </c>
      <c r="B660" s="40" t="n"/>
      <c r="C660" s="41" t="n"/>
      <c r="D660" s="42">
        <f>IF($C660="","",IFERROR(INDEX(DESPACHOS!$D$3:$D$3002,MATCH($C660,DESPACHOS!$B$3:$B$3002,0)),"SIN DESPACHO"))</f>
        <v/>
      </c>
      <c r="E660" s="42">
        <f>IF($C660="","",IFERROR(INDEX(DESPACHOS!$K$3:$K$3002,MATCH($C660,DESPACHOS!$B$3:$B$3002,0)),""))</f>
        <v/>
      </c>
      <c r="F660" s="42">
        <f>IF($C660="","",IFERROR(INDEX(DESPACHOS!$I$3:$I$3002,MATCH($C660,DESPACHOS!$B$3:$B$3002,0)),""))</f>
        <v/>
      </c>
      <c r="G660" s="42">
        <f>IF($C660="","",IFERROR(INDEX(DESPACHOS!$F$3:$F$3002,MATCH($C660,DESPACHOS!$B$3:$B$3002,0)),""))</f>
        <v/>
      </c>
      <c r="H660" s="42">
        <f>IF($C660="","",IFERROR(INDEX(DESPACHOS!$G$3:$G$3002,MATCH($C660,DESPACHOS!$B$3:$B$3002,0)),""))</f>
        <v/>
      </c>
      <c r="I660" s="39">
        <f>IF($C660="","",IFERROR(INDEX(DESPACHOS!$H$3:$H$3002,MATCH($C660,DESPACHOS!$B$3:$B$3002,0)),""))</f>
        <v/>
      </c>
      <c r="J660" s="43">
        <f>IF($C660="","",IFERROR(INDEX(DESPACHOS!$J$3:$J$3002,MATCH($C660,DESPACHOS!$B$3:$B$3002,0)),""))</f>
        <v/>
      </c>
      <c r="K660" s="39">
        <f>IF($C660="","",IF(COUNTIFS(DESPACHOS!$B$3:$B$3002,$C660)=0,"NO EXISTE",IF(COUNTIFS(DESPACHOS!$B$3:$B$3002,$C660)&gt;1,"DUPLICADO","OK")))</f>
        <v/>
      </c>
      <c r="L660" s="41" t="n"/>
      <c r="M660" s="41" t="n"/>
      <c r="N660" s="42">
        <f>IF($M660="","",IFERROR(INDEX(LISTAS!$F$3:$F$42,MATCH($M660,LISTAS!$E$3:$E$42,0)),"Por definir"))</f>
        <v/>
      </c>
      <c r="O660" s="41" t="n"/>
      <c r="P660" s="39">
        <f>IF($L660="","",IFERROR(INDEX(LISTAS!$B$3:$B$42,MATCH($L660,LISTAS!$A$3:$A$42,0)),"Media"))</f>
        <v/>
      </c>
      <c r="Q660" s="44" t="n"/>
      <c r="R660" s="45" t="n"/>
      <c r="S660" s="20">
        <f>IFERROR(IF(OR($R660="",$C660=""),"",$R660/INDEX(DESPACHOS!$M$3:$M$3002,MATCH($C660,DESPACHOS!$B$3:$B$3002,0))),"")</f>
        <v/>
      </c>
      <c r="T660" s="41" t="n"/>
      <c r="U660" s="43">
        <f>IF(OR($B660="",$L660=""),"",WORKDAY($B660,IFERROR(INDEX(LISTAS!$C$3:$C$42,MATCH($L660,LISTAS!$A$3:$A$42,0)),3)))</f>
        <v/>
      </c>
      <c r="V660" s="40" t="n"/>
      <c r="W660" s="19">
        <f>IF($B660="","",IF($V660&lt;&gt;"",$V660-$B660,TODAY()-$B660))</f>
        <v/>
      </c>
      <c r="X660" s="19">
        <f>IF(OR($B660="",$U660=""),"",IF($V660&lt;&gt;"",MAX(0,$V660-$U660),MAX(0,TODAY()-$U660)))</f>
        <v/>
      </c>
      <c r="Y660" s="39">
        <f>IF($C660="","",IF(IFERROR(INDEX(LISTAS!$I$3:$I$42,MATCH($T660,LISTAS!$H$3:$H$42,0)),"NO")="SÍ",IF(N($X660)&gt;0,"CERRADA FUERA DE SLA","CERRADA EN SLA"),IF($U660="","SIN CLASIFICAR",IF(N($X660)&gt;0,"VENCIDA",IF(TODAY()&gt;=$U660-1,"POR VENCER","EN PLAZO")))))</f>
        <v/>
      </c>
      <c r="Z660" s="41" t="n"/>
      <c r="AA660" s="41" t="n"/>
      <c r="AB660" s="41" t="n"/>
    </row>
    <row r="661">
      <c r="A661" s="39">
        <f>IF($C661="","","NOV-"&amp;TEXT(ROW()-3,"0000"))</f>
        <v/>
      </c>
      <c r="B661" s="40" t="n"/>
      <c r="C661" s="41" t="n"/>
      <c r="D661" s="42">
        <f>IF($C661="","",IFERROR(INDEX(DESPACHOS!$D$3:$D$3002,MATCH($C661,DESPACHOS!$B$3:$B$3002,0)),"SIN DESPACHO"))</f>
        <v/>
      </c>
      <c r="E661" s="42">
        <f>IF($C661="","",IFERROR(INDEX(DESPACHOS!$K$3:$K$3002,MATCH($C661,DESPACHOS!$B$3:$B$3002,0)),""))</f>
        <v/>
      </c>
      <c r="F661" s="42">
        <f>IF($C661="","",IFERROR(INDEX(DESPACHOS!$I$3:$I$3002,MATCH($C661,DESPACHOS!$B$3:$B$3002,0)),""))</f>
        <v/>
      </c>
      <c r="G661" s="42">
        <f>IF($C661="","",IFERROR(INDEX(DESPACHOS!$F$3:$F$3002,MATCH($C661,DESPACHOS!$B$3:$B$3002,0)),""))</f>
        <v/>
      </c>
      <c r="H661" s="42">
        <f>IF($C661="","",IFERROR(INDEX(DESPACHOS!$G$3:$G$3002,MATCH($C661,DESPACHOS!$B$3:$B$3002,0)),""))</f>
        <v/>
      </c>
      <c r="I661" s="39">
        <f>IF($C661="","",IFERROR(INDEX(DESPACHOS!$H$3:$H$3002,MATCH($C661,DESPACHOS!$B$3:$B$3002,0)),""))</f>
        <v/>
      </c>
      <c r="J661" s="43">
        <f>IF($C661="","",IFERROR(INDEX(DESPACHOS!$J$3:$J$3002,MATCH($C661,DESPACHOS!$B$3:$B$3002,0)),""))</f>
        <v/>
      </c>
      <c r="K661" s="39">
        <f>IF($C661="","",IF(COUNTIFS(DESPACHOS!$B$3:$B$3002,$C661)=0,"NO EXISTE",IF(COUNTIFS(DESPACHOS!$B$3:$B$3002,$C661)&gt;1,"DUPLICADO","OK")))</f>
        <v/>
      </c>
      <c r="L661" s="41" t="n"/>
      <c r="M661" s="41" t="n"/>
      <c r="N661" s="42">
        <f>IF($M661="","",IFERROR(INDEX(LISTAS!$F$3:$F$42,MATCH($M661,LISTAS!$E$3:$E$42,0)),"Por definir"))</f>
        <v/>
      </c>
      <c r="O661" s="41" t="n"/>
      <c r="P661" s="39">
        <f>IF($L661="","",IFERROR(INDEX(LISTAS!$B$3:$B$42,MATCH($L661,LISTAS!$A$3:$A$42,0)),"Media"))</f>
        <v/>
      </c>
      <c r="Q661" s="44" t="n"/>
      <c r="R661" s="45" t="n"/>
      <c r="S661" s="20">
        <f>IFERROR(IF(OR($R661="",$C661=""),"",$R661/INDEX(DESPACHOS!$M$3:$M$3002,MATCH($C661,DESPACHOS!$B$3:$B$3002,0))),"")</f>
        <v/>
      </c>
      <c r="T661" s="41" t="n"/>
      <c r="U661" s="43">
        <f>IF(OR($B661="",$L661=""),"",WORKDAY($B661,IFERROR(INDEX(LISTAS!$C$3:$C$42,MATCH($L661,LISTAS!$A$3:$A$42,0)),3)))</f>
        <v/>
      </c>
      <c r="V661" s="40" t="n"/>
      <c r="W661" s="19">
        <f>IF($B661="","",IF($V661&lt;&gt;"",$V661-$B661,TODAY()-$B661))</f>
        <v/>
      </c>
      <c r="X661" s="19">
        <f>IF(OR($B661="",$U661=""),"",IF($V661&lt;&gt;"",MAX(0,$V661-$U661),MAX(0,TODAY()-$U661)))</f>
        <v/>
      </c>
      <c r="Y661" s="39">
        <f>IF($C661="","",IF(IFERROR(INDEX(LISTAS!$I$3:$I$42,MATCH($T661,LISTAS!$H$3:$H$42,0)),"NO")="SÍ",IF(N($X661)&gt;0,"CERRADA FUERA DE SLA","CERRADA EN SLA"),IF($U661="","SIN CLASIFICAR",IF(N($X661)&gt;0,"VENCIDA",IF(TODAY()&gt;=$U661-1,"POR VENCER","EN PLAZO")))))</f>
        <v/>
      </c>
      <c r="Z661" s="41" t="n"/>
      <c r="AA661" s="41" t="n"/>
      <c r="AB661" s="41" t="n"/>
    </row>
    <row r="662">
      <c r="A662" s="39">
        <f>IF($C662="","","NOV-"&amp;TEXT(ROW()-3,"0000"))</f>
        <v/>
      </c>
      <c r="B662" s="40" t="n"/>
      <c r="C662" s="41" t="n"/>
      <c r="D662" s="42">
        <f>IF($C662="","",IFERROR(INDEX(DESPACHOS!$D$3:$D$3002,MATCH($C662,DESPACHOS!$B$3:$B$3002,0)),"SIN DESPACHO"))</f>
        <v/>
      </c>
      <c r="E662" s="42">
        <f>IF($C662="","",IFERROR(INDEX(DESPACHOS!$K$3:$K$3002,MATCH($C662,DESPACHOS!$B$3:$B$3002,0)),""))</f>
        <v/>
      </c>
      <c r="F662" s="42">
        <f>IF($C662="","",IFERROR(INDEX(DESPACHOS!$I$3:$I$3002,MATCH($C662,DESPACHOS!$B$3:$B$3002,0)),""))</f>
        <v/>
      </c>
      <c r="G662" s="42">
        <f>IF($C662="","",IFERROR(INDEX(DESPACHOS!$F$3:$F$3002,MATCH($C662,DESPACHOS!$B$3:$B$3002,0)),""))</f>
        <v/>
      </c>
      <c r="H662" s="42">
        <f>IF($C662="","",IFERROR(INDEX(DESPACHOS!$G$3:$G$3002,MATCH($C662,DESPACHOS!$B$3:$B$3002,0)),""))</f>
        <v/>
      </c>
      <c r="I662" s="39">
        <f>IF($C662="","",IFERROR(INDEX(DESPACHOS!$H$3:$H$3002,MATCH($C662,DESPACHOS!$B$3:$B$3002,0)),""))</f>
        <v/>
      </c>
      <c r="J662" s="43">
        <f>IF($C662="","",IFERROR(INDEX(DESPACHOS!$J$3:$J$3002,MATCH($C662,DESPACHOS!$B$3:$B$3002,0)),""))</f>
        <v/>
      </c>
      <c r="K662" s="39">
        <f>IF($C662="","",IF(COUNTIFS(DESPACHOS!$B$3:$B$3002,$C662)=0,"NO EXISTE",IF(COUNTIFS(DESPACHOS!$B$3:$B$3002,$C662)&gt;1,"DUPLICADO","OK")))</f>
        <v/>
      </c>
      <c r="L662" s="41" t="n"/>
      <c r="M662" s="41" t="n"/>
      <c r="N662" s="42">
        <f>IF($M662="","",IFERROR(INDEX(LISTAS!$F$3:$F$42,MATCH($M662,LISTAS!$E$3:$E$42,0)),"Por definir"))</f>
        <v/>
      </c>
      <c r="O662" s="41" t="n"/>
      <c r="P662" s="39">
        <f>IF($L662="","",IFERROR(INDEX(LISTAS!$B$3:$B$42,MATCH($L662,LISTAS!$A$3:$A$42,0)),"Media"))</f>
        <v/>
      </c>
      <c r="Q662" s="44" t="n"/>
      <c r="R662" s="45" t="n"/>
      <c r="S662" s="20">
        <f>IFERROR(IF(OR($R662="",$C662=""),"",$R662/INDEX(DESPACHOS!$M$3:$M$3002,MATCH($C662,DESPACHOS!$B$3:$B$3002,0))),"")</f>
        <v/>
      </c>
      <c r="T662" s="41" t="n"/>
      <c r="U662" s="43">
        <f>IF(OR($B662="",$L662=""),"",WORKDAY($B662,IFERROR(INDEX(LISTAS!$C$3:$C$42,MATCH($L662,LISTAS!$A$3:$A$42,0)),3)))</f>
        <v/>
      </c>
      <c r="V662" s="40" t="n"/>
      <c r="W662" s="19">
        <f>IF($B662="","",IF($V662&lt;&gt;"",$V662-$B662,TODAY()-$B662))</f>
        <v/>
      </c>
      <c r="X662" s="19">
        <f>IF(OR($B662="",$U662=""),"",IF($V662&lt;&gt;"",MAX(0,$V662-$U662),MAX(0,TODAY()-$U662)))</f>
        <v/>
      </c>
      <c r="Y662" s="39">
        <f>IF($C662="","",IF(IFERROR(INDEX(LISTAS!$I$3:$I$42,MATCH($T662,LISTAS!$H$3:$H$42,0)),"NO")="SÍ",IF(N($X662)&gt;0,"CERRADA FUERA DE SLA","CERRADA EN SLA"),IF($U662="","SIN CLASIFICAR",IF(N($X662)&gt;0,"VENCIDA",IF(TODAY()&gt;=$U662-1,"POR VENCER","EN PLAZO")))))</f>
        <v/>
      </c>
      <c r="Z662" s="41" t="n"/>
      <c r="AA662" s="41" t="n"/>
      <c r="AB662" s="41" t="n"/>
    </row>
    <row r="663">
      <c r="A663" s="39">
        <f>IF($C663="","","NOV-"&amp;TEXT(ROW()-3,"0000"))</f>
        <v/>
      </c>
      <c r="B663" s="40" t="n"/>
      <c r="C663" s="41" t="n"/>
      <c r="D663" s="42">
        <f>IF($C663="","",IFERROR(INDEX(DESPACHOS!$D$3:$D$3002,MATCH($C663,DESPACHOS!$B$3:$B$3002,0)),"SIN DESPACHO"))</f>
        <v/>
      </c>
      <c r="E663" s="42">
        <f>IF($C663="","",IFERROR(INDEX(DESPACHOS!$K$3:$K$3002,MATCH($C663,DESPACHOS!$B$3:$B$3002,0)),""))</f>
        <v/>
      </c>
      <c r="F663" s="42">
        <f>IF($C663="","",IFERROR(INDEX(DESPACHOS!$I$3:$I$3002,MATCH($C663,DESPACHOS!$B$3:$B$3002,0)),""))</f>
        <v/>
      </c>
      <c r="G663" s="42">
        <f>IF($C663="","",IFERROR(INDEX(DESPACHOS!$F$3:$F$3002,MATCH($C663,DESPACHOS!$B$3:$B$3002,0)),""))</f>
        <v/>
      </c>
      <c r="H663" s="42">
        <f>IF($C663="","",IFERROR(INDEX(DESPACHOS!$G$3:$G$3002,MATCH($C663,DESPACHOS!$B$3:$B$3002,0)),""))</f>
        <v/>
      </c>
      <c r="I663" s="39">
        <f>IF($C663="","",IFERROR(INDEX(DESPACHOS!$H$3:$H$3002,MATCH($C663,DESPACHOS!$B$3:$B$3002,0)),""))</f>
        <v/>
      </c>
      <c r="J663" s="43">
        <f>IF($C663="","",IFERROR(INDEX(DESPACHOS!$J$3:$J$3002,MATCH($C663,DESPACHOS!$B$3:$B$3002,0)),""))</f>
        <v/>
      </c>
      <c r="K663" s="39">
        <f>IF($C663="","",IF(COUNTIFS(DESPACHOS!$B$3:$B$3002,$C663)=0,"NO EXISTE",IF(COUNTIFS(DESPACHOS!$B$3:$B$3002,$C663)&gt;1,"DUPLICADO","OK")))</f>
        <v/>
      </c>
      <c r="L663" s="41" t="n"/>
      <c r="M663" s="41" t="n"/>
      <c r="N663" s="42">
        <f>IF($M663="","",IFERROR(INDEX(LISTAS!$F$3:$F$42,MATCH($M663,LISTAS!$E$3:$E$42,0)),"Por definir"))</f>
        <v/>
      </c>
      <c r="O663" s="41" t="n"/>
      <c r="P663" s="39">
        <f>IF($L663="","",IFERROR(INDEX(LISTAS!$B$3:$B$42,MATCH($L663,LISTAS!$A$3:$A$42,0)),"Media"))</f>
        <v/>
      </c>
      <c r="Q663" s="44" t="n"/>
      <c r="R663" s="45" t="n"/>
      <c r="S663" s="20">
        <f>IFERROR(IF(OR($R663="",$C663=""),"",$R663/INDEX(DESPACHOS!$M$3:$M$3002,MATCH($C663,DESPACHOS!$B$3:$B$3002,0))),"")</f>
        <v/>
      </c>
      <c r="T663" s="41" t="n"/>
      <c r="U663" s="43">
        <f>IF(OR($B663="",$L663=""),"",WORKDAY($B663,IFERROR(INDEX(LISTAS!$C$3:$C$42,MATCH($L663,LISTAS!$A$3:$A$42,0)),3)))</f>
        <v/>
      </c>
      <c r="V663" s="40" t="n"/>
      <c r="W663" s="19">
        <f>IF($B663="","",IF($V663&lt;&gt;"",$V663-$B663,TODAY()-$B663))</f>
        <v/>
      </c>
      <c r="X663" s="19">
        <f>IF(OR($B663="",$U663=""),"",IF($V663&lt;&gt;"",MAX(0,$V663-$U663),MAX(0,TODAY()-$U663)))</f>
        <v/>
      </c>
      <c r="Y663" s="39">
        <f>IF($C663="","",IF(IFERROR(INDEX(LISTAS!$I$3:$I$42,MATCH($T663,LISTAS!$H$3:$H$42,0)),"NO")="SÍ",IF(N($X663)&gt;0,"CERRADA FUERA DE SLA","CERRADA EN SLA"),IF($U663="","SIN CLASIFICAR",IF(N($X663)&gt;0,"VENCIDA",IF(TODAY()&gt;=$U663-1,"POR VENCER","EN PLAZO")))))</f>
        <v/>
      </c>
      <c r="Z663" s="41" t="n"/>
      <c r="AA663" s="41" t="n"/>
      <c r="AB663" s="41" t="n"/>
    </row>
    <row r="664">
      <c r="A664" s="39">
        <f>IF($C664="","","NOV-"&amp;TEXT(ROW()-3,"0000"))</f>
        <v/>
      </c>
      <c r="B664" s="40" t="n"/>
      <c r="C664" s="41" t="n"/>
      <c r="D664" s="42">
        <f>IF($C664="","",IFERROR(INDEX(DESPACHOS!$D$3:$D$3002,MATCH($C664,DESPACHOS!$B$3:$B$3002,0)),"SIN DESPACHO"))</f>
        <v/>
      </c>
      <c r="E664" s="42">
        <f>IF($C664="","",IFERROR(INDEX(DESPACHOS!$K$3:$K$3002,MATCH($C664,DESPACHOS!$B$3:$B$3002,0)),""))</f>
        <v/>
      </c>
      <c r="F664" s="42">
        <f>IF($C664="","",IFERROR(INDEX(DESPACHOS!$I$3:$I$3002,MATCH($C664,DESPACHOS!$B$3:$B$3002,0)),""))</f>
        <v/>
      </c>
      <c r="G664" s="42">
        <f>IF($C664="","",IFERROR(INDEX(DESPACHOS!$F$3:$F$3002,MATCH($C664,DESPACHOS!$B$3:$B$3002,0)),""))</f>
        <v/>
      </c>
      <c r="H664" s="42">
        <f>IF($C664="","",IFERROR(INDEX(DESPACHOS!$G$3:$G$3002,MATCH($C664,DESPACHOS!$B$3:$B$3002,0)),""))</f>
        <v/>
      </c>
      <c r="I664" s="39">
        <f>IF($C664="","",IFERROR(INDEX(DESPACHOS!$H$3:$H$3002,MATCH($C664,DESPACHOS!$B$3:$B$3002,0)),""))</f>
        <v/>
      </c>
      <c r="J664" s="43">
        <f>IF($C664="","",IFERROR(INDEX(DESPACHOS!$J$3:$J$3002,MATCH($C664,DESPACHOS!$B$3:$B$3002,0)),""))</f>
        <v/>
      </c>
      <c r="K664" s="39">
        <f>IF($C664="","",IF(COUNTIFS(DESPACHOS!$B$3:$B$3002,$C664)=0,"NO EXISTE",IF(COUNTIFS(DESPACHOS!$B$3:$B$3002,$C664)&gt;1,"DUPLICADO","OK")))</f>
        <v/>
      </c>
      <c r="L664" s="41" t="n"/>
      <c r="M664" s="41" t="n"/>
      <c r="N664" s="42">
        <f>IF($M664="","",IFERROR(INDEX(LISTAS!$F$3:$F$42,MATCH($M664,LISTAS!$E$3:$E$42,0)),"Por definir"))</f>
        <v/>
      </c>
      <c r="O664" s="41" t="n"/>
      <c r="P664" s="39">
        <f>IF($L664="","",IFERROR(INDEX(LISTAS!$B$3:$B$42,MATCH($L664,LISTAS!$A$3:$A$42,0)),"Media"))</f>
        <v/>
      </c>
      <c r="Q664" s="44" t="n"/>
      <c r="R664" s="45" t="n"/>
      <c r="S664" s="20">
        <f>IFERROR(IF(OR($R664="",$C664=""),"",$R664/INDEX(DESPACHOS!$M$3:$M$3002,MATCH($C664,DESPACHOS!$B$3:$B$3002,0))),"")</f>
        <v/>
      </c>
      <c r="T664" s="41" t="n"/>
      <c r="U664" s="43">
        <f>IF(OR($B664="",$L664=""),"",WORKDAY($B664,IFERROR(INDEX(LISTAS!$C$3:$C$42,MATCH($L664,LISTAS!$A$3:$A$42,0)),3)))</f>
        <v/>
      </c>
      <c r="V664" s="40" t="n"/>
      <c r="W664" s="19">
        <f>IF($B664="","",IF($V664&lt;&gt;"",$V664-$B664,TODAY()-$B664))</f>
        <v/>
      </c>
      <c r="X664" s="19">
        <f>IF(OR($B664="",$U664=""),"",IF($V664&lt;&gt;"",MAX(0,$V664-$U664),MAX(0,TODAY()-$U664)))</f>
        <v/>
      </c>
      <c r="Y664" s="39">
        <f>IF($C664="","",IF(IFERROR(INDEX(LISTAS!$I$3:$I$42,MATCH($T664,LISTAS!$H$3:$H$42,0)),"NO")="SÍ",IF(N($X664)&gt;0,"CERRADA FUERA DE SLA","CERRADA EN SLA"),IF($U664="","SIN CLASIFICAR",IF(N($X664)&gt;0,"VENCIDA",IF(TODAY()&gt;=$U664-1,"POR VENCER","EN PLAZO")))))</f>
        <v/>
      </c>
      <c r="Z664" s="41" t="n"/>
      <c r="AA664" s="41" t="n"/>
      <c r="AB664" s="41" t="n"/>
    </row>
    <row r="665">
      <c r="A665" s="39">
        <f>IF($C665="","","NOV-"&amp;TEXT(ROW()-3,"0000"))</f>
        <v/>
      </c>
      <c r="B665" s="40" t="n"/>
      <c r="C665" s="41" t="n"/>
      <c r="D665" s="42">
        <f>IF($C665="","",IFERROR(INDEX(DESPACHOS!$D$3:$D$3002,MATCH($C665,DESPACHOS!$B$3:$B$3002,0)),"SIN DESPACHO"))</f>
        <v/>
      </c>
      <c r="E665" s="42">
        <f>IF($C665="","",IFERROR(INDEX(DESPACHOS!$K$3:$K$3002,MATCH($C665,DESPACHOS!$B$3:$B$3002,0)),""))</f>
        <v/>
      </c>
      <c r="F665" s="42">
        <f>IF($C665="","",IFERROR(INDEX(DESPACHOS!$I$3:$I$3002,MATCH($C665,DESPACHOS!$B$3:$B$3002,0)),""))</f>
        <v/>
      </c>
      <c r="G665" s="42">
        <f>IF($C665="","",IFERROR(INDEX(DESPACHOS!$F$3:$F$3002,MATCH($C665,DESPACHOS!$B$3:$B$3002,0)),""))</f>
        <v/>
      </c>
      <c r="H665" s="42">
        <f>IF($C665="","",IFERROR(INDEX(DESPACHOS!$G$3:$G$3002,MATCH($C665,DESPACHOS!$B$3:$B$3002,0)),""))</f>
        <v/>
      </c>
      <c r="I665" s="39">
        <f>IF($C665="","",IFERROR(INDEX(DESPACHOS!$H$3:$H$3002,MATCH($C665,DESPACHOS!$B$3:$B$3002,0)),""))</f>
        <v/>
      </c>
      <c r="J665" s="43">
        <f>IF($C665="","",IFERROR(INDEX(DESPACHOS!$J$3:$J$3002,MATCH($C665,DESPACHOS!$B$3:$B$3002,0)),""))</f>
        <v/>
      </c>
      <c r="K665" s="39">
        <f>IF($C665="","",IF(COUNTIFS(DESPACHOS!$B$3:$B$3002,$C665)=0,"NO EXISTE",IF(COUNTIFS(DESPACHOS!$B$3:$B$3002,$C665)&gt;1,"DUPLICADO","OK")))</f>
        <v/>
      </c>
      <c r="L665" s="41" t="n"/>
      <c r="M665" s="41" t="n"/>
      <c r="N665" s="42">
        <f>IF($M665="","",IFERROR(INDEX(LISTAS!$F$3:$F$42,MATCH($M665,LISTAS!$E$3:$E$42,0)),"Por definir"))</f>
        <v/>
      </c>
      <c r="O665" s="41" t="n"/>
      <c r="P665" s="39">
        <f>IF($L665="","",IFERROR(INDEX(LISTAS!$B$3:$B$42,MATCH($L665,LISTAS!$A$3:$A$42,0)),"Media"))</f>
        <v/>
      </c>
      <c r="Q665" s="44" t="n"/>
      <c r="R665" s="45" t="n"/>
      <c r="S665" s="20">
        <f>IFERROR(IF(OR($R665="",$C665=""),"",$R665/INDEX(DESPACHOS!$M$3:$M$3002,MATCH($C665,DESPACHOS!$B$3:$B$3002,0))),"")</f>
        <v/>
      </c>
      <c r="T665" s="41" t="n"/>
      <c r="U665" s="43">
        <f>IF(OR($B665="",$L665=""),"",WORKDAY($B665,IFERROR(INDEX(LISTAS!$C$3:$C$42,MATCH($L665,LISTAS!$A$3:$A$42,0)),3)))</f>
        <v/>
      </c>
      <c r="V665" s="40" t="n"/>
      <c r="W665" s="19">
        <f>IF($B665="","",IF($V665&lt;&gt;"",$V665-$B665,TODAY()-$B665))</f>
        <v/>
      </c>
      <c r="X665" s="19">
        <f>IF(OR($B665="",$U665=""),"",IF($V665&lt;&gt;"",MAX(0,$V665-$U665),MAX(0,TODAY()-$U665)))</f>
        <v/>
      </c>
      <c r="Y665" s="39">
        <f>IF($C665="","",IF(IFERROR(INDEX(LISTAS!$I$3:$I$42,MATCH($T665,LISTAS!$H$3:$H$42,0)),"NO")="SÍ",IF(N($X665)&gt;0,"CERRADA FUERA DE SLA","CERRADA EN SLA"),IF($U665="","SIN CLASIFICAR",IF(N($X665)&gt;0,"VENCIDA",IF(TODAY()&gt;=$U665-1,"POR VENCER","EN PLAZO")))))</f>
        <v/>
      </c>
      <c r="Z665" s="41" t="n"/>
      <c r="AA665" s="41" t="n"/>
      <c r="AB665" s="41" t="n"/>
    </row>
    <row r="666">
      <c r="A666" s="39">
        <f>IF($C666="","","NOV-"&amp;TEXT(ROW()-3,"0000"))</f>
        <v/>
      </c>
      <c r="B666" s="40" t="n"/>
      <c r="C666" s="41" t="n"/>
      <c r="D666" s="42">
        <f>IF($C666="","",IFERROR(INDEX(DESPACHOS!$D$3:$D$3002,MATCH($C666,DESPACHOS!$B$3:$B$3002,0)),"SIN DESPACHO"))</f>
        <v/>
      </c>
      <c r="E666" s="42">
        <f>IF($C666="","",IFERROR(INDEX(DESPACHOS!$K$3:$K$3002,MATCH($C666,DESPACHOS!$B$3:$B$3002,0)),""))</f>
        <v/>
      </c>
      <c r="F666" s="42">
        <f>IF($C666="","",IFERROR(INDEX(DESPACHOS!$I$3:$I$3002,MATCH($C666,DESPACHOS!$B$3:$B$3002,0)),""))</f>
        <v/>
      </c>
      <c r="G666" s="42">
        <f>IF($C666="","",IFERROR(INDEX(DESPACHOS!$F$3:$F$3002,MATCH($C666,DESPACHOS!$B$3:$B$3002,0)),""))</f>
        <v/>
      </c>
      <c r="H666" s="42">
        <f>IF($C666="","",IFERROR(INDEX(DESPACHOS!$G$3:$G$3002,MATCH($C666,DESPACHOS!$B$3:$B$3002,0)),""))</f>
        <v/>
      </c>
      <c r="I666" s="39">
        <f>IF($C666="","",IFERROR(INDEX(DESPACHOS!$H$3:$H$3002,MATCH($C666,DESPACHOS!$B$3:$B$3002,0)),""))</f>
        <v/>
      </c>
      <c r="J666" s="43">
        <f>IF($C666="","",IFERROR(INDEX(DESPACHOS!$J$3:$J$3002,MATCH($C666,DESPACHOS!$B$3:$B$3002,0)),""))</f>
        <v/>
      </c>
      <c r="K666" s="39">
        <f>IF($C666="","",IF(COUNTIFS(DESPACHOS!$B$3:$B$3002,$C666)=0,"NO EXISTE",IF(COUNTIFS(DESPACHOS!$B$3:$B$3002,$C666)&gt;1,"DUPLICADO","OK")))</f>
        <v/>
      </c>
      <c r="L666" s="41" t="n"/>
      <c r="M666" s="41" t="n"/>
      <c r="N666" s="42">
        <f>IF($M666="","",IFERROR(INDEX(LISTAS!$F$3:$F$42,MATCH($M666,LISTAS!$E$3:$E$42,0)),"Por definir"))</f>
        <v/>
      </c>
      <c r="O666" s="41" t="n"/>
      <c r="P666" s="39">
        <f>IF($L666="","",IFERROR(INDEX(LISTAS!$B$3:$B$42,MATCH($L666,LISTAS!$A$3:$A$42,0)),"Media"))</f>
        <v/>
      </c>
      <c r="Q666" s="44" t="n"/>
      <c r="R666" s="45" t="n"/>
      <c r="S666" s="20">
        <f>IFERROR(IF(OR($R666="",$C666=""),"",$R666/INDEX(DESPACHOS!$M$3:$M$3002,MATCH($C666,DESPACHOS!$B$3:$B$3002,0))),"")</f>
        <v/>
      </c>
      <c r="T666" s="41" t="n"/>
      <c r="U666" s="43">
        <f>IF(OR($B666="",$L666=""),"",WORKDAY($B666,IFERROR(INDEX(LISTAS!$C$3:$C$42,MATCH($L666,LISTAS!$A$3:$A$42,0)),3)))</f>
        <v/>
      </c>
      <c r="V666" s="40" t="n"/>
      <c r="W666" s="19">
        <f>IF($B666="","",IF($V666&lt;&gt;"",$V666-$B666,TODAY()-$B666))</f>
        <v/>
      </c>
      <c r="X666" s="19">
        <f>IF(OR($B666="",$U666=""),"",IF($V666&lt;&gt;"",MAX(0,$V666-$U666),MAX(0,TODAY()-$U666)))</f>
        <v/>
      </c>
      <c r="Y666" s="39">
        <f>IF($C666="","",IF(IFERROR(INDEX(LISTAS!$I$3:$I$42,MATCH($T666,LISTAS!$H$3:$H$42,0)),"NO")="SÍ",IF(N($X666)&gt;0,"CERRADA FUERA DE SLA","CERRADA EN SLA"),IF($U666="","SIN CLASIFICAR",IF(N($X666)&gt;0,"VENCIDA",IF(TODAY()&gt;=$U666-1,"POR VENCER","EN PLAZO")))))</f>
        <v/>
      </c>
      <c r="Z666" s="41" t="n"/>
      <c r="AA666" s="41" t="n"/>
      <c r="AB666" s="41" t="n"/>
    </row>
    <row r="667">
      <c r="A667" s="39">
        <f>IF($C667="","","NOV-"&amp;TEXT(ROW()-3,"0000"))</f>
        <v/>
      </c>
      <c r="B667" s="40" t="n"/>
      <c r="C667" s="41" t="n"/>
      <c r="D667" s="42">
        <f>IF($C667="","",IFERROR(INDEX(DESPACHOS!$D$3:$D$3002,MATCH($C667,DESPACHOS!$B$3:$B$3002,0)),"SIN DESPACHO"))</f>
        <v/>
      </c>
      <c r="E667" s="42">
        <f>IF($C667="","",IFERROR(INDEX(DESPACHOS!$K$3:$K$3002,MATCH($C667,DESPACHOS!$B$3:$B$3002,0)),""))</f>
        <v/>
      </c>
      <c r="F667" s="42">
        <f>IF($C667="","",IFERROR(INDEX(DESPACHOS!$I$3:$I$3002,MATCH($C667,DESPACHOS!$B$3:$B$3002,0)),""))</f>
        <v/>
      </c>
      <c r="G667" s="42">
        <f>IF($C667="","",IFERROR(INDEX(DESPACHOS!$F$3:$F$3002,MATCH($C667,DESPACHOS!$B$3:$B$3002,0)),""))</f>
        <v/>
      </c>
      <c r="H667" s="42">
        <f>IF($C667="","",IFERROR(INDEX(DESPACHOS!$G$3:$G$3002,MATCH($C667,DESPACHOS!$B$3:$B$3002,0)),""))</f>
        <v/>
      </c>
      <c r="I667" s="39">
        <f>IF($C667="","",IFERROR(INDEX(DESPACHOS!$H$3:$H$3002,MATCH($C667,DESPACHOS!$B$3:$B$3002,0)),""))</f>
        <v/>
      </c>
      <c r="J667" s="43">
        <f>IF($C667="","",IFERROR(INDEX(DESPACHOS!$J$3:$J$3002,MATCH($C667,DESPACHOS!$B$3:$B$3002,0)),""))</f>
        <v/>
      </c>
      <c r="K667" s="39">
        <f>IF($C667="","",IF(COUNTIFS(DESPACHOS!$B$3:$B$3002,$C667)=0,"NO EXISTE",IF(COUNTIFS(DESPACHOS!$B$3:$B$3002,$C667)&gt;1,"DUPLICADO","OK")))</f>
        <v/>
      </c>
      <c r="L667" s="41" t="n"/>
      <c r="M667" s="41" t="n"/>
      <c r="N667" s="42">
        <f>IF($M667="","",IFERROR(INDEX(LISTAS!$F$3:$F$42,MATCH($M667,LISTAS!$E$3:$E$42,0)),"Por definir"))</f>
        <v/>
      </c>
      <c r="O667" s="41" t="n"/>
      <c r="P667" s="39">
        <f>IF($L667="","",IFERROR(INDEX(LISTAS!$B$3:$B$42,MATCH($L667,LISTAS!$A$3:$A$42,0)),"Media"))</f>
        <v/>
      </c>
      <c r="Q667" s="44" t="n"/>
      <c r="R667" s="45" t="n"/>
      <c r="S667" s="20">
        <f>IFERROR(IF(OR($R667="",$C667=""),"",$R667/INDEX(DESPACHOS!$M$3:$M$3002,MATCH($C667,DESPACHOS!$B$3:$B$3002,0))),"")</f>
        <v/>
      </c>
      <c r="T667" s="41" t="n"/>
      <c r="U667" s="43">
        <f>IF(OR($B667="",$L667=""),"",WORKDAY($B667,IFERROR(INDEX(LISTAS!$C$3:$C$42,MATCH($L667,LISTAS!$A$3:$A$42,0)),3)))</f>
        <v/>
      </c>
      <c r="V667" s="40" t="n"/>
      <c r="W667" s="19">
        <f>IF($B667="","",IF($V667&lt;&gt;"",$V667-$B667,TODAY()-$B667))</f>
        <v/>
      </c>
      <c r="X667" s="19">
        <f>IF(OR($B667="",$U667=""),"",IF($V667&lt;&gt;"",MAX(0,$V667-$U667),MAX(0,TODAY()-$U667)))</f>
        <v/>
      </c>
      <c r="Y667" s="39">
        <f>IF($C667="","",IF(IFERROR(INDEX(LISTAS!$I$3:$I$42,MATCH($T667,LISTAS!$H$3:$H$42,0)),"NO")="SÍ",IF(N($X667)&gt;0,"CERRADA FUERA DE SLA","CERRADA EN SLA"),IF($U667="","SIN CLASIFICAR",IF(N($X667)&gt;0,"VENCIDA",IF(TODAY()&gt;=$U667-1,"POR VENCER","EN PLAZO")))))</f>
        <v/>
      </c>
      <c r="Z667" s="41" t="n"/>
      <c r="AA667" s="41" t="n"/>
      <c r="AB667" s="41" t="n"/>
    </row>
    <row r="668">
      <c r="A668" s="39">
        <f>IF($C668="","","NOV-"&amp;TEXT(ROW()-3,"0000"))</f>
        <v/>
      </c>
      <c r="B668" s="40" t="n"/>
      <c r="C668" s="41" t="n"/>
      <c r="D668" s="42">
        <f>IF($C668="","",IFERROR(INDEX(DESPACHOS!$D$3:$D$3002,MATCH($C668,DESPACHOS!$B$3:$B$3002,0)),"SIN DESPACHO"))</f>
        <v/>
      </c>
      <c r="E668" s="42">
        <f>IF($C668="","",IFERROR(INDEX(DESPACHOS!$K$3:$K$3002,MATCH($C668,DESPACHOS!$B$3:$B$3002,0)),""))</f>
        <v/>
      </c>
      <c r="F668" s="42">
        <f>IF($C668="","",IFERROR(INDEX(DESPACHOS!$I$3:$I$3002,MATCH($C668,DESPACHOS!$B$3:$B$3002,0)),""))</f>
        <v/>
      </c>
      <c r="G668" s="42">
        <f>IF($C668="","",IFERROR(INDEX(DESPACHOS!$F$3:$F$3002,MATCH($C668,DESPACHOS!$B$3:$B$3002,0)),""))</f>
        <v/>
      </c>
      <c r="H668" s="42">
        <f>IF($C668="","",IFERROR(INDEX(DESPACHOS!$G$3:$G$3002,MATCH($C668,DESPACHOS!$B$3:$B$3002,0)),""))</f>
        <v/>
      </c>
      <c r="I668" s="39">
        <f>IF($C668="","",IFERROR(INDEX(DESPACHOS!$H$3:$H$3002,MATCH($C668,DESPACHOS!$B$3:$B$3002,0)),""))</f>
        <v/>
      </c>
      <c r="J668" s="43">
        <f>IF($C668="","",IFERROR(INDEX(DESPACHOS!$J$3:$J$3002,MATCH($C668,DESPACHOS!$B$3:$B$3002,0)),""))</f>
        <v/>
      </c>
      <c r="K668" s="39">
        <f>IF($C668="","",IF(COUNTIFS(DESPACHOS!$B$3:$B$3002,$C668)=0,"NO EXISTE",IF(COUNTIFS(DESPACHOS!$B$3:$B$3002,$C668)&gt;1,"DUPLICADO","OK")))</f>
        <v/>
      </c>
      <c r="L668" s="41" t="n"/>
      <c r="M668" s="41" t="n"/>
      <c r="N668" s="42">
        <f>IF($M668="","",IFERROR(INDEX(LISTAS!$F$3:$F$42,MATCH($M668,LISTAS!$E$3:$E$42,0)),"Por definir"))</f>
        <v/>
      </c>
      <c r="O668" s="41" t="n"/>
      <c r="P668" s="39">
        <f>IF($L668="","",IFERROR(INDEX(LISTAS!$B$3:$B$42,MATCH($L668,LISTAS!$A$3:$A$42,0)),"Media"))</f>
        <v/>
      </c>
      <c r="Q668" s="44" t="n"/>
      <c r="R668" s="45" t="n"/>
      <c r="S668" s="20">
        <f>IFERROR(IF(OR($R668="",$C668=""),"",$R668/INDEX(DESPACHOS!$M$3:$M$3002,MATCH($C668,DESPACHOS!$B$3:$B$3002,0))),"")</f>
        <v/>
      </c>
      <c r="T668" s="41" t="n"/>
      <c r="U668" s="43">
        <f>IF(OR($B668="",$L668=""),"",WORKDAY($B668,IFERROR(INDEX(LISTAS!$C$3:$C$42,MATCH($L668,LISTAS!$A$3:$A$42,0)),3)))</f>
        <v/>
      </c>
      <c r="V668" s="40" t="n"/>
      <c r="W668" s="19">
        <f>IF($B668="","",IF($V668&lt;&gt;"",$V668-$B668,TODAY()-$B668))</f>
        <v/>
      </c>
      <c r="X668" s="19">
        <f>IF(OR($B668="",$U668=""),"",IF($V668&lt;&gt;"",MAX(0,$V668-$U668),MAX(0,TODAY()-$U668)))</f>
        <v/>
      </c>
      <c r="Y668" s="39">
        <f>IF($C668="","",IF(IFERROR(INDEX(LISTAS!$I$3:$I$42,MATCH($T668,LISTAS!$H$3:$H$42,0)),"NO")="SÍ",IF(N($X668)&gt;0,"CERRADA FUERA DE SLA","CERRADA EN SLA"),IF($U668="","SIN CLASIFICAR",IF(N($X668)&gt;0,"VENCIDA",IF(TODAY()&gt;=$U668-1,"POR VENCER","EN PLAZO")))))</f>
        <v/>
      </c>
      <c r="Z668" s="41" t="n"/>
      <c r="AA668" s="41" t="n"/>
      <c r="AB668" s="41" t="n"/>
    </row>
    <row r="669">
      <c r="A669" s="39">
        <f>IF($C669="","","NOV-"&amp;TEXT(ROW()-3,"0000"))</f>
        <v/>
      </c>
      <c r="B669" s="40" t="n"/>
      <c r="C669" s="41" t="n"/>
      <c r="D669" s="42">
        <f>IF($C669="","",IFERROR(INDEX(DESPACHOS!$D$3:$D$3002,MATCH($C669,DESPACHOS!$B$3:$B$3002,0)),"SIN DESPACHO"))</f>
        <v/>
      </c>
      <c r="E669" s="42">
        <f>IF($C669="","",IFERROR(INDEX(DESPACHOS!$K$3:$K$3002,MATCH($C669,DESPACHOS!$B$3:$B$3002,0)),""))</f>
        <v/>
      </c>
      <c r="F669" s="42">
        <f>IF($C669="","",IFERROR(INDEX(DESPACHOS!$I$3:$I$3002,MATCH($C669,DESPACHOS!$B$3:$B$3002,0)),""))</f>
        <v/>
      </c>
      <c r="G669" s="42">
        <f>IF($C669="","",IFERROR(INDEX(DESPACHOS!$F$3:$F$3002,MATCH($C669,DESPACHOS!$B$3:$B$3002,0)),""))</f>
        <v/>
      </c>
      <c r="H669" s="42">
        <f>IF($C669="","",IFERROR(INDEX(DESPACHOS!$G$3:$G$3002,MATCH($C669,DESPACHOS!$B$3:$B$3002,0)),""))</f>
        <v/>
      </c>
      <c r="I669" s="39">
        <f>IF($C669="","",IFERROR(INDEX(DESPACHOS!$H$3:$H$3002,MATCH($C669,DESPACHOS!$B$3:$B$3002,0)),""))</f>
        <v/>
      </c>
      <c r="J669" s="43">
        <f>IF($C669="","",IFERROR(INDEX(DESPACHOS!$J$3:$J$3002,MATCH($C669,DESPACHOS!$B$3:$B$3002,0)),""))</f>
        <v/>
      </c>
      <c r="K669" s="39">
        <f>IF($C669="","",IF(COUNTIFS(DESPACHOS!$B$3:$B$3002,$C669)=0,"NO EXISTE",IF(COUNTIFS(DESPACHOS!$B$3:$B$3002,$C669)&gt;1,"DUPLICADO","OK")))</f>
        <v/>
      </c>
      <c r="L669" s="41" t="n"/>
      <c r="M669" s="41" t="n"/>
      <c r="N669" s="42">
        <f>IF($M669="","",IFERROR(INDEX(LISTAS!$F$3:$F$42,MATCH($M669,LISTAS!$E$3:$E$42,0)),"Por definir"))</f>
        <v/>
      </c>
      <c r="O669" s="41" t="n"/>
      <c r="P669" s="39">
        <f>IF($L669="","",IFERROR(INDEX(LISTAS!$B$3:$B$42,MATCH($L669,LISTAS!$A$3:$A$42,0)),"Media"))</f>
        <v/>
      </c>
      <c r="Q669" s="44" t="n"/>
      <c r="R669" s="45" t="n"/>
      <c r="S669" s="20">
        <f>IFERROR(IF(OR($R669="",$C669=""),"",$R669/INDEX(DESPACHOS!$M$3:$M$3002,MATCH($C669,DESPACHOS!$B$3:$B$3002,0))),"")</f>
        <v/>
      </c>
      <c r="T669" s="41" t="n"/>
      <c r="U669" s="43">
        <f>IF(OR($B669="",$L669=""),"",WORKDAY($B669,IFERROR(INDEX(LISTAS!$C$3:$C$42,MATCH($L669,LISTAS!$A$3:$A$42,0)),3)))</f>
        <v/>
      </c>
      <c r="V669" s="40" t="n"/>
      <c r="W669" s="19">
        <f>IF($B669="","",IF($V669&lt;&gt;"",$V669-$B669,TODAY()-$B669))</f>
        <v/>
      </c>
      <c r="X669" s="19">
        <f>IF(OR($B669="",$U669=""),"",IF($V669&lt;&gt;"",MAX(0,$V669-$U669),MAX(0,TODAY()-$U669)))</f>
        <v/>
      </c>
      <c r="Y669" s="39">
        <f>IF($C669="","",IF(IFERROR(INDEX(LISTAS!$I$3:$I$42,MATCH($T669,LISTAS!$H$3:$H$42,0)),"NO")="SÍ",IF(N($X669)&gt;0,"CERRADA FUERA DE SLA","CERRADA EN SLA"),IF($U669="","SIN CLASIFICAR",IF(N($X669)&gt;0,"VENCIDA",IF(TODAY()&gt;=$U669-1,"POR VENCER","EN PLAZO")))))</f>
        <v/>
      </c>
      <c r="Z669" s="41" t="n"/>
      <c r="AA669" s="41" t="n"/>
      <c r="AB669" s="41" t="n"/>
    </row>
    <row r="670">
      <c r="A670" s="39">
        <f>IF($C670="","","NOV-"&amp;TEXT(ROW()-3,"0000"))</f>
        <v/>
      </c>
      <c r="B670" s="40" t="n"/>
      <c r="C670" s="41" t="n"/>
      <c r="D670" s="42">
        <f>IF($C670="","",IFERROR(INDEX(DESPACHOS!$D$3:$D$3002,MATCH($C670,DESPACHOS!$B$3:$B$3002,0)),"SIN DESPACHO"))</f>
        <v/>
      </c>
      <c r="E670" s="42">
        <f>IF($C670="","",IFERROR(INDEX(DESPACHOS!$K$3:$K$3002,MATCH($C670,DESPACHOS!$B$3:$B$3002,0)),""))</f>
        <v/>
      </c>
      <c r="F670" s="42">
        <f>IF($C670="","",IFERROR(INDEX(DESPACHOS!$I$3:$I$3002,MATCH($C670,DESPACHOS!$B$3:$B$3002,0)),""))</f>
        <v/>
      </c>
      <c r="G670" s="42">
        <f>IF($C670="","",IFERROR(INDEX(DESPACHOS!$F$3:$F$3002,MATCH($C670,DESPACHOS!$B$3:$B$3002,0)),""))</f>
        <v/>
      </c>
      <c r="H670" s="42">
        <f>IF($C670="","",IFERROR(INDEX(DESPACHOS!$G$3:$G$3002,MATCH($C670,DESPACHOS!$B$3:$B$3002,0)),""))</f>
        <v/>
      </c>
      <c r="I670" s="39">
        <f>IF($C670="","",IFERROR(INDEX(DESPACHOS!$H$3:$H$3002,MATCH($C670,DESPACHOS!$B$3:$B$3002,0)),""))</f>
        <v/>
      </c>
      <c r="J670" s="43">
        <f>IF($C670="","",IFERROR(INDEX(DESPACHOS!$J$3:$J$3002,MATCH($C670,DESPACHOS!$B$3:$B$3002,0)),""))</f>
        <v/>
      </c>
      <c r="K670" s="39">
        <f>IF($C670="","",IF(COUNTIFS(DESPACHOS!$B$3:$B$3002,$C670)=0,"NO EXISTE",IF(COUNTIFS(DESPACHOS!$B$3:$B$3002,$C670)&gt;1,"DUPLICADO","OK")))</f>
        <v/>
      </c>
      <c r="L670" s="41" t="n"/>
      <c r="M670" s="41" t="n"/>
      <c r="N670" s="42">
        <f>IF($M670="","",IFERROR(INDEX(LISTAS!$F$3:$F$42,MATCH($M670,LISTAS!$E$3:$E$42,0)),"Por definir"))</f>
        <v/>
      </c>
      <c r="O670" s="41" t="n"/>
      <c r="P670" s="39">
        <f>IF($L670="","",IFERROR(INDEX(LISTAS!$B$3:$B$42,MATCH($L670,LISTAS!$A$3:$A$42,0)),"Media"))</f>
        <v/>
      </c>
      <c r="Q670" s="44" t="n"/>
      <c r="R670" s="45" t="n"/>
      <c r="S670" s="20">
        <f>IFERROR(IF(OR($R670="",$C670=""),"",$R670/INDEX(DESPACHOS!$M$3:$M$3002,MATCH($C670,DESPACHOS!$B$3:$B$3002,0))),"")</f>
        <v/>
      </c>
      <c r="T670" s="41" t="n"/>
      <c r="U670" s="43">
        <f>IF(OR($B670="",$L670=""),"",WORKDAY($B670,IFERROR(INDEX(LISTAS!$C$3:$C$42,MATCH($L670,LISTAS!$A$3:$A$42,0)),3)))</f>
        <v/>
      </c>
      <c r="V670" s="40" t="n"/>
      <c r="W670" s="19">
        <f>IF($B670="","",IF($V670&lt;&gt;"",$V670-$B670,TODAY()-$B670))</f>
        <v/>
      </c>
      <c r="X670" s="19">
        <f>IF(OR($B670="",$U670=""),"",IF($V670&lt;&gt;"",MAX(0,$V670-$U670),MAX(0,TODAY()-$U670)))</f>
        <v/>
      </c>
      <c r="Y670" s="39">
        <f>IF($C670="","",IF(IFERROR(INDEX(LISTAS!$I$3:$I$42,MATCH($T670,LISTAS!$H$3:$H$42,0)),"NO")="SÍ",IF(N($X670)&gt;0,"CERRADA FUERA DE SLA","CERRADA EN SLA"),IF($U670="","SIN CLASIFICAR",IF(N($X670)&gt;0,"VENCIDA",IF(TODAY()&gt;=$U670-1,"POR VENCER","EN PLAZO")))))</f>
        <v/>
      </c>
      <c r="Z670" s="41" t="n"/>
      <c r="AA670" s="41" t="n"/>
      <c r="AB670" s="41" t="n"/>
    </row>
    <row r="671">
      <c r="A671" s="39">
        <f>IF($C671="","","NOV-"&amp;TEXT(ROW()-3,"0000"))</f>
        <v/>
      </c>
      <c r="B671" s="40" t="n"/>
      <c r="C671" s="41" t="n"/>
      <c r="D671" s="42">
        <f>IF($C671="","",IFERROR(INDEX(DESPACHOS!$D$3:$D$3002,MATCH($C671,DESPACHOS!$B$3:$B$3002,0)),"SIN DESPACHO"))</f>
        <v/>
      </c>
      <c r="E671" s="42">
        <f>IF($C671="","",IFERROR(INDEX(DESPACHOS!$K$3:$K$3002,MATCH($C671,DESPACHOS!$B$3:$B$3002,0)),""))</f>
        <v/>
      </c>
      <c r="F671" s="42">
        <f>IF($C671="","",IFERROR(INDEX(DESPACHOS!$I$3:$I$3002,MATCH($C671,DESPACHOS!$B$3:$B$3002,0)),""))</f>
        <v/>
      </c>
      <c r="G671" s="42">
        <f>IF($C671="","",IFERROR(INDEX(DESPACHOS!$F$3:$F$3002,MATCH($C671,DESPACHOS!$B$3:$B$3002,0)),""))</f>
        <v/>
      </c>
      <c r="H671" s="42">
        <f>IF($C671="","",IFERROR(INDEX(DESPACHOS!$G$3:$G$3002,MATCH($C671,DESPACHOS!$B$3:$B$3002,0)),""))</f>
        <v/>
      </c>
      <c r="I671" s="39">
        <f>IF($C671="","",IFERROR(INDEX(DESPACHOS!$H$3:$H$3002,MATCH($C671,DESPACHOS!$B$3:$B$3002,0)),""))</f>
        <v/>
      </c>
      <c r="J671" s="43">
        <f>IF($C671="","",IFERROR(INDEX(DESPACHOS!$J$3:$J$3002,MATCH($C671,DESPACHOS!$B$3:$B$3002,0)),""))</f>
        <v/>
      </c>
      <c r="K671" s="39">
        <f>IF($C671="","",IF(COUNTIFS(DESPACHOS!$B$3:$B$3002,$C671)=0,"NO EXISTE",IF(COUNTIFS(DESPACHOS!$B$3:$B$3002,$C671)&gt;1,"DUPLICADO","OK")))</f>
        <v/>
      </c>
      <c r="L671" s="41" t="n"/>
      <c r="M671" s="41" t="n"/>
      <c r="N671" s="42">
        <f>IF($M671="","",IFERROR(INDEX(LISTAS!$F$3:$F$42,MATCH($M671,LISTAS!$E$3:$E$42,0)),"Por definir"))</f>
        <v/>
      </c>
      <c r="O671" s="41" t="n"/>
      <c r="P671" s="39">
        <f>IF($L671="","",IFERROR(INDEX(LISTAS!$B$3:$B$42,MATCH($L671,LISTAS!$A$3:$A$42,0)),"Media"))</f>
        <v/>
      </c>
      <c r="Q671" s="44" t="n"/>
      <c r="R671" s="45" t="n"/>
      <c r="S671" s="20">
        <f>IFERROR(IF(OR($R671="",$C671=""),"",$R671/INDEX(DESPACHOS!$M$3:$M$3002,MATCH($C671,DESPACHOS!$B$3:$B$3002,0))),"")</f>
        <v/>
      </c>
      <c r="T671" s="41" t="n"/>
      <c r="U671" s="43">
        <f>IF(OR($B671="",$L671=""),"",WORKDAY($B671,IFERROR(INDEX(LISTAS!$C$3:$C$42,MATCH($L671,LISTAS!$A$3:$A$42,0)),3)))</f>
        <v/>
      </c>
      <c r="V671" s="40" t="n"/>
      <c r="W671" s="19">
        <f>IF($B671="","",IF($V671&lt;&gt;"",$V671-$B671,TODAY()-$B671))</f>
        <v/>
      </c>
      <c r="X671" s="19">
        <f>IF(OR($B671="",$U671=""),"",IF($V671&lt;&gt;"",MAX(0,$V671-$U671),MAX(0,TODAY()-$U671)))</f>
        <v/>
      </c>
      <c r="Y671" s="39">
        <f>IF($C671="","",IF(IFERROR(INDEX(LISTAS!$I$3:$I$42,MATCH($T671,LISTAS!$H$3:$H$42,0)),"NO")="SÍ",IF(N($X671)&gt;0,"CERRADA FUERA DE SLA","CERRADA EN SLA"),IF($U671="","SIN CLASIFICAR",IF(N($X671)&gt;0,"VENCIDA",IF(TODAY()&gt;=$U671-1,"POR VENCER","EN PLAZO")))))</f>
        <v/>
      </c>
      <c r="Z671" s="41" t="n"/>
      <c r="AA671" s="41" t="n"/>
      <c r="AB671" s="41" t="n"/>
    </row>
    <row r="672">
      <c r="A672" s="39">
        <f>IF($C672="","","NOV-"&amp;TEXT(ROW()-3,"0000"))</f>
        <v/>
      </c>
      <c r="B672" s="40" t="n"/>
      <c r="C672" s="41" t="n"/>
      <c r="D672" s="42">
        <f>IF($C672="","",IFERROR(INDEX(DESPACHOS!$D$3:$D$3002,MATCH($C672,DESPACHOS!$B$3:$B$3002,0)),"SIN DESPACHO"))</f>
        <v/>
      </c>
      <c r="E672" s="42">
        <f>IF($C672="","",IFERROR(INDEX(DESPACHOS!$K$3:$K$3002,MATCH($C672,DESPACHOS!$B$3:$B$3002,0)),""))</f>
        <v/>
      </c>
      <c r="F672" s="42">
        <f>IF($C672="","",IFERROR(INDEX(DESPACHOS!$I$3:$I$3002,MATCH($C672,DESPACHOS!$B$3:$B$3002,0)),""))</f>
        <v/>
      </c>
      <c r="G672" s="42">
        <f>IF($C672="","",IFERROR(INDEX(DESPACHOS!$F$3:$F$3002,MATCH($C672,DESPACHOS!$B$3:$B$3002,0)),""))</f>
        <v/>
      </c>
      <c r="H672" s="42">
        <f>IF($C672="","",IFERROR(INDEX(DESPACHOS!$G$3:$G$3002,MATCH($C672,DESPACHOS!$B$3:$B$3002,0)),""))</f>
        <v/>
      </c>
      <c r="I672" s="39">
        <f>IF($C672="","",IFERROR(INDEX(DESPACHOS!$H$3:$H$3002,MATCH($C672,DESPACHOS!$B$3:$B$3002,0)),""))</f>
        <v/>
      </c>
      <c r="J672" s="43">
        <f>IF($C672="","",IFERROR(INDEX(DESPACHOS!$J$3:$J$3002,MATCH($C672,DESPACHOS!$B$3:$B$3002,0)),""))</f>
        <v/>
      </c>
      <c r="K672" s="39">
        <f>IF($C672="","",IF(COUNTIFS(DESPACHOS!$B$3:$B$3002,$C672)=0,"NO EXISTE",IF(COUNTIFS(DESPACHOS!$B$3:$B$3002,$C672)&gt;1,"DUPLICADO","OK")))</f>
        <v/>
      </c>
      <c r="L672" s="41" t="n"/>
      <c r="M672" s="41" t="n"/>
      <c r="N672" s="42">
        <f>IF($M672="","",IFERROR(INDEX(LISTAS!$F$3:$F$42,MATCH($M672,LISTAS!$E$3:$E$42,0)),"Por definir"))</f>
        <v/>
      </c>
      <c r="O672" s="41" t="n"/>
      <c r="P672" s="39">
        <f>IF($L672="","",IFERROR(INDEX(LISTAS!$B$3:$B$42,MATCH($L672,LISTAS!$A$3:$A$42,0)),"Media"))</f>
        <v/>
      </c>
      <c r="Q672" s="44" t="n"/>
      <c r="R672" s="45" t="n"/>
      <c r="S672" s="20">
        <f>IFERROR(IF(OR($R672="",$C672=""),"",$R672/INDEX(DESPACHOS!$M$3:$M$3002,MATCH($C672,DESPACHOS!$B$3:$B$3002,0))),"")</f>
        <v/>
      </c>
      <c r="T672" s="41" t="n"/>
      <c r="U672" s="43">
        <f>IF(OR($B672="",$L672=""),"",WORKDAY($B672,IFERROR(INDEX(LISTAS!$C$3:$C$42,MATCH($L672,LISTAS!$A$3:$A$42,0)),3)))</f>
        <v/>
      </c>
      <c r="V672" s="40" t="n"/>
      <c r="W672" s="19">
        <f>IF($B672="","",IF($V672&lt;&gt;"",$V672-$B672,TODAY()-$B672))</f>
        <v/>
      </c>
      <c r="X672" s="19">
        <f>IF(OR($B672="",$U672=""),"",IF($V672&lt;&gt;"",MAX(0,$V672-$U672),MAX(0,TODAY()-$U672)))</f>
        <v/>
      </c>
      <c r="Y672" s="39">
        <f>IF($C672="","",IF(IFERROR(INDEX(LISTAS!$I$3:$I$42,MATCH($T672,LISTAS!$H$3:$H$42,0)),"NO")="SÍ",IF(N($X672)&gt;0,"CERRADA FUERA DE SLA","CERRADA EN SLA"),IF($U672="","SIN CLASIFICAR",IF(N($X672)&gt;0,"VENCIDA",IF(TODAY()&gt;=$U672-1,"POR VENCER","EN PLAZO")))))</f>
        <v/>
      </c>
      <c r="Z672" s="41" t="n"/>
      <c r="AA672" s="41" t="n"/>
      <c r="AB672" s="41" t="n"/>
    </row>
    <row r="673">
      <c r="A673" s="39">
        <f>IF($C673="","","NOV-"&amp;TEXT(ROW()-3,"0000"))</f>
        <v/>
      </c>
      <c r="B673" s="40" t="n"/>
      <c r="C673" s="41" t="n"/>
      <c r="D673" s="42">
        <f>IF($C673="","",IFERROR(INDEX(DESPACHOS!$D$3:$D$3002,MATCH($C673,DESPACHOS!$B$3:$B$3002,0)),"SIN DESPACHO"))</f>
        <v/>
      </c>
      <c r="E673" s="42">
        <f>IF($C673="","",IFERROR(INDEX(DESPACHOS!$K$3:$K$3002,MATCH($C673,DESPACHOS!$B$3:$B$3002,0)),""))</f>
        <v/>
      </c>
      <c r="F673" s="42">
        <f>IF($C673="","",IFERROR(INDEX(DESPACHOS!$I$3:$I$3002,MATCH($C673,DESPACHOS!$B$3:$B$3002,0)),""))</f>
        <v/>
      </c>
      <c r="G673" s="42">
        <f>IF($C673="","",IFERROR(INDEX(DESPACHOS!$F$3:$F$3002,MATCH($C673,DESPACHOS!$B$3:$B$3002,0)),""))</f>
        <v/>
      </c>
      <c r="H673" s="42">
        <f>IF($C673="","",IFERROR(INDEX(DESPACHOS!$G$3:$G$3002,MATCH($C673,DESPACHOS!$B$3:$B$3002,0)),""))</f>
        <v/>
      </c>
      <c r="I673" s="39">
        <f>IF($C673="","",IFERROR(INDEX(DESPACHOS!$H$3:$H$3002,MATCH($C673,DESPACHOS!$B$3:$B$3002,0)),""))</f>
        <v/>
      </c>
      <c r="J673" s="43">
        <f>IF($C673="","",IFERROR(INDEX(DESPACHOS!$J$3:$J$3002,MATCH($C673,DESPACHOS!$B$3:$B$3002,0)),""))</f>
        <v/>
      </c>
      <c r="K673" s="39">
        <f>IF($C673="","",IF(COUNTIFS(DESPACHOS!$B$3:$B$3002,$C673)=0,"NO EXISTE",IF(COUNTIFS(DESPACHOS!$B$3:$B$3002,$C673)&gt;1,"DUPLICADO","OK")))</f>
        <v/>
      </c>
      <c r="L673" s="41" t="n"/>
      <c r="M673" s="41" t="n"/>
      <c r="N673" s="42">
        <f>IF($M673="","",IFERROR(INDEX(LISTAS!$F$3:$F$42,MATCH($M673,LISTAS!$E$3:$E$42,0)),"Por definir"))</f>
        <v/>
      </c>
      <c r="O673" s="41" t="n"/>
      <c r="P673" s="39">
        <f>IF($L673="","",IFERROR(INDEX(LISTAS!$B$3:$B$42,MATCH($L673,LISTAS!$A$3:$A$42,0)),"Media"))</f>
        <v/>
      </c>
      <c r="Q673" s="44" t="n"/>
      <c r="R673" s="45" t="n"/>
      <c r="S673" s="20">
        <f>IFERROR(IF(OR($R673="",$C673=""),"",$R673/INDEX(DESPACHOS!$M$3:$M$3002,MATCH($C673,DESPACHOS!$B$3:$B$3002,0))),"")</f>
        <v/>
      </c>
      <c r="T673" s="41" t="n"/>
      <c r="U673" s="43">
        <f>IF(OR($B673="",$L673=""),"",WORKDAY($B673,IFERROR(INDEX(LISTAS!$C$3:$C$42,MATCH($L673,LISTAS!$A$3:$A$42,0)),3)))</f>
        <v/>
      </c>
      <c r="V673" s="40" t="n"/>
      <c r="W673" s="19">
        <f>IF($B673="","",IF($V673&lt;&gt;"",$V673-$B673,TODAY()-$B673))</f>
        <v/>
      </c>
      <c r="X673" s="19">
        <f>IF(OR($B673="",$U673=""),"",IF($V673&lt;&gt;"",MAX(0,$V673-$U673),MAX(0,TODAY()-$U673)))</f>
        <v/>
      </c>
      <c r="Y673" s="39">
        <f>IF($C673="","",IF(IFERROR(INDEX(LISTAS!$I$3:$I$42,MATCH($T673,LISTAS!$H$3:$H$42,0)),"NO")="SÍ",IF(N($X673)&gt;0,"CERRADA FUERA DE SLA","CERRADA EN SLA"),IF($U673="","SIN CLASIFICAR",IF(N($X673)&gt;0,"VENCIDA",IF(TODAY()&gt;=$U673-1,"POR VENCER","EN PLAZO")))))</f>
        <v/>
      </c>
      <c r="Z673" s="41" t="n"/>
      <c r="AA673" s="41" t="n"/>
      <c r="AB673" s="41" t="n"/>
    </row>
    <row r="674">
      <c r="A674" s="39">
        <f>IF($C674="","","NOV-"&amp;TEXT(ROW()-3,"0000"))</f>
        <v/>
      </c>
      <c r="B674" s="40" t="n"/>
      <c r="C674" s="41" t="n"/>
      <c r="D674" s="42">
        <f>IF($C674="","",IFERROR(INDEX(DESPACHOS!$D$3:$D$3002,MATCH($C674,DESPACHOS!$B$3:$B$3002,0)),"SIN DESPACHO"))</f>
        <v/>
      </c>
      <c r="E674" s="42">
        <f>IF($C674="","",IFERROR(INDEX(DESPACHOS!$K$3:$K$3002,MATCH($C674,DESPACHOS!$B$3:$B$3002,0)),""))</f>
        <v/>
      </c>
      <c r="F674" s="42">
        <f>IF($C674="","",IFERROR(INDEX(DESPACHOS!$I$3:$I$3002,MATCH($C674,DESPACHOS!$B$3:$B$3002,0)),""))</f>
        <v/>
      </c>
      <c r="G674" s="42">
        <f>IF($C674="","",IFERROR(INDEX(DESPACHOS!$F$3:$F$3002,MATCH($C674,DESPACHOS!$B$3:$B$3002,0)),""))</f>
        <v/>
      </c>
      <c r="H674" s="42">
        <f>IF($C674="","",IFERROR(INDEX(DESPACHOS!$G$3:$G$3002,MATCH($C674,DESPACHOS!$B$3:$B$3002,0)),""))</f>
        <v/>
      </c>
      <c r="I674" s="39">
        <f>IF($C674="","",IFERROR(INDEX(DESPACHOS!$H$3:$H$3002,MATCH($C674,DESPACHOS!$B$3:$B$3002,0)),""))</f>
        <v/>
      </c>
      <c r="J674" s="43">
        <f>IF($C674="","",IFERROR(INDEX(DESPACHOS!$J$3:$J$3002,MATCH($C674,DESPACHOS!$B$3:$B$3002,0)),""))</f>
        <v/>
      </c>
      <c r="K674" s="39">
        <f>IF($C674="","",IF(COUNTIFS(DESPACHOS!$B$3:$B$3002,$C674)=0,"NO EXISTE",IF(COUNTIFS(DESPACHOS!$B$3:$B$3002,$C674)&gt;1,"DUPLICADO","OK")))</f>
        <v/>
      </c>
      <c r="L674" s="41" t="n"/>
      <c r="M674" s="41" t="n"/>
      <c r="N674" s="42">
        <f>IF($M674="","",IFERROR(INDEX(LISTAS!$F$3:$F$42,MATCH($M674,LISTAS!$E$3:$E$42,0)),"Por definir"))</f>
        <v/>
      </c>
      <c r="O674" s="41" t="n"/>
      <c r="P674" s="39">
        <f>IF($L674="","",IFERROR(INDEX(LISTAS!$B$3:$B$42,MATCH($L674,LISTAS!$A$3:$A$42,0)),"Media"))</f>
        <v/>
      </c>
      <c r="Q674" s="44" t="n"/>
      <c r="R674" s="45" t="n"/>
      <c r="S674" s="20">
        <f>IFERROR(IF(OR($R674="",$C674=""),"",$R674/INDEX(DESPACHOS!$M$3:$M$3002,MATCH($C674,DESPACHOS!$B$3:$B$3002,0))),"")</f>
        <v/>
      </c>
      <c r="T674" s="41" t="n"/>
      <c r="U674" s="43">
        <f>IF(OR($B674="",$L674=""),"",WORKDAY($B674,IFERROR(INDEX(LISTAS!$C$3:$C$42,MATCH($L674,LISTAS!$A$3:$A$42,0)),3)))</f>
        <v/>
      </c>
      <c r="V674" s="40" t="n"/>
      <c r="W674" s="19">
        <f>IF($B674="","",IF($V674&lt;&gt;"",$V674-$B674,TODAY()-$B674))</f>
        <v/>
      </c>
      <c r="X674" s="19">
        <f>IF(OR($B674="",$U674=""),"",IF($V674&lt;&gt;"",MAX(0,$V674-$U674),MAX(0,TODAY()-$U674)))</f>
        <v/>
      </c>
      <c r="Y674" s="39">
        <f>IF($C674="","",IF(IFERROR(INDEX(LISTAS!$I$3:$I$42,MATCH($T674,LISTAS!$H$3:$H$42,0)),"NO")="SÍ",IF(N($X674)&gt;0,"CERRADA FUERA DE SLA","CERRADA EN SLA"),IF($U674="","SIN CLASIFICAR",IF(N($X674)&gt;0,"VENCIDA",IF(TODAY()&gt;=$U674-1,"POR VENCER","EN PLAZO")))))</f>
        <v/>
      </c>
      <c r="Z674" s="41" t="n"/>
      <c r="AA674" s="41" t="n"/>
      <c r="AB674" s="41" t="n"/>
    </row>
    <row r="675">
      <c r="A675" s="39">
        <f>IF($C675="","","NOV-"&amp;TEXT(ROW()-3,"0000"))</f>
        <v/>
      </c>
      <c r="B675" s="40" t="n"/>
      <c r="C675" s="41" t="n"/>
      <c r="D675" s="42">
        <f>IF($C675="","",IFERROR(INDEX(DESPACHOS!$D$3:$D$3002,MATCH($C675,DESPACHOS!$B$3:$B$3002,0)),"SIN DESPACHO"))</f>
        <v/>
      </c>
      <c r="E675" s="42">
        <f>IF($C675="","",IFERROR(INDEX(DESPACHOS!$K$3:$K$3002,MATCH($C675,DESPACHOS!$B$3:$B$3002,0)),""))</f>
        <v/>
      </c>
      <c r="F675" s="42">
        <f>IF($C675="","",IFERROR(INDEX(DESPACHOS!$I$3:$I$3002,MATCH($C675,DESPACHOS!$B$3:$B$3002,0)),""))</f>
        <v/>
      </c>
      <c r="G675" s="42">
        <f>IF($C675="","",IFERROR(INDEX(DESPACHOS!$F$3:$F$3002,MATCH($C675,DESPACHOS!$B$3:$B$3002,0)),""))</f>
        <v/>
      </c>
      <c r="H675" s="42">
        <f>IF($C675="","",IFERROR(INDEX(DESPACHOS!$G$3:$G$3002,MATCH($C675,DESPACHOS!$B$3:$B$3002,0)),""))</f>
        <v/>
      </c>
      <c r="I675" s="39">
        <f>IF($C675="","",IFERROR(INDEX(DESPACHOS!$H$3:$H$3002,MATCH($C675,DESPACHOS!$B$3:$B$3002,0)),""))</f>
        <v/>
      </c>
      <c r="J675" s="43">
        <f>IF($C675="","",IFERROR(INDEX(DESPACHOS!$J$3:$J$3002,MATCH($C675,DESPACHOS!$B$3:$B$3002,0)),""))</f>
        <v/>
      </c>
      <c r="K675" s="39">
        <f>IF($C675="","",IF(COUNTIFS(DESPACHOS!$B$3:$B$3002,$C675)=0,"NO EXISTE",IF(COUNTIFS(DESPACHOS!$B$3:$B$3002,$C675)&gt;1,"DUPLICADO","OK")))</f>
        <v/>
      </c>
      <c r="L675" s="41" t="n"/>
      <c r="M675" s="41" t="n"/>
      <c r="N675" s="42">
        <f>IF($M675="","",IFERROR(INDEX(LISTAS!$F$3:$F$42,MATCH($M675,LISTAS!$E$3:$E$42,0)),"Por definir"))</f>
        <v/>
      </c>
      <c r="O675" s="41" t="n"/>
      <c r="P675" s="39">
        <f>IF($L675="","",IFERROR(INDEX(LISTAS!$B$3:$B$42,MATCH($L675,LISTAS!$A$3:$A$42,0)),"Media"))</f>
        <v/>
      </c>
      <c r="Q675" s="44" t="n"/>
      <c r="R675" s="45" t="n"/>
      <c r="S675" s="20">
        <f>IFERROR(IF(OR($R675="",$C675=""),"",$R675/INDEX(DESPACHOS!$M$3:$M$3002,MATCH($C675,DESPACHOS!$B$3:$B$3002,0))),"")</f>
        <v/>
      </c>
      <c r="T675" s="41" t="n"/>
      <c r="U675" s="43">
        <f>IF(OR($B675="",$L675=""),"",WORKDAY($B675,IFERROR(INDEX(LISTAS!$C$3:$C$42,MATCH($L675,LISTAS!$A$3:$A$42,0)),3)))</f>
        <v/>
      </c>
      <c r="V675" s="40" t="n"/>
      <c r="W675" s="19">
        <f>IF($B675="","",IF($V675&lt;&gt;"",$V675-$B675,TODAY()-$B675))</f>
        <v/>
      </c>
      <c r="X675" s="19">
        <f>IF(OR($B675="",$U675=""),"",IF($V675&lt;&gt;"",MAX(0,$V675-$U675),MAX(0,TODAY()-$U675)))</f>
        <v/>
      </c>
      <c r="Y675" s="39">
        <f>IF($C675="","",IF(IFERROR(INDEX(LISTAS!$I$3:$I$42,MATCH($T675,LISTAS!$H$3:$H$42,0)),"NO")="SÍ",IF(N($X675)&gt;0,"CERRADA FUERA DE SLA","CERRADA EN SLA"),IF($U675="","SIN CLASIFICAR",IF(N($X675)&gt;0,"VENCIDA",IF(TODAY()&gt;=$U675-1,"POR VENCER","EN PLAZO")))))</f>
        <v/>
      </c>
      <c r="Z675" s="41" t="n"/>
      <c r="AA675" s="41" t="n"/>
      <c r="AB675" s="41" t="n"/>
    </row>
    <row r="676">
      <c r="A676" s="39">
        <f>IF($C676="","","NOV-"&amp;TEXT(ROW()-3,"0000"))</f>
        <v/>
      </c>
      <c r="B676" s="40" t="n"/>
      <c r="C676" s="41" t="n"/>
      <c r="D676" s="42">
        <f>IF($C676="","",IFERROR(INDEX(DESPACHOS!$D$3:$D$3002,MATCH($C676,DESPACHOS!$B$3:$B$3002,0)),"SIN DESPACHO"))</f>
        <v/>
      </c>
      <c r="E676" s="42">
        <f>IF($C676="","",IFERROR(INDEX(DESPACHOS!$K$3:$K$3002,MATCH($C676,DESPACHOS!$B$3:$B$3002,0)),""))</f>
        <v/>
      </c>
      <c r="F676" s="42">
        <f>IF($C676="","",IFERROR(INDEX(DESPACHOS!$I$3:$I$3002,MATCH($C676,DESPACHOS!$B$3:$B$3002,0)),""))</f>
        <v/>
      </c>
      <c r="G676" s="42">
        <f>IF($C676="","",IFERROR(INDEX(DESPACHOS!$F$3:$F$3002,MATCH($C676,DESPACHOS!$B$3:$B$3002,0)),""))</f>
        <v/>
      </c>
      <c r="H676" s="42">
        <f>IF($C676="","",IFERROR(INDEX(DESPACHOS!$G$3:$G$3002,MATCH($C676,DESPACHOS!$B$3:$B$3002,0)),""))</f>
        <v/>
      </c>
      <c r="I676" s="39">
        <f>IF($C676="","",IFERROR(INDEX(DESPACHOS!$H$3:$H$3002,MATCH($C676,DESPACHOS!$B$3:$B$3002,0)),""))</f>
        <v/>
      </c>
      <c r="J676" s="43">
        <f>IF($C676="","",IFERROR(INDEX(DESPACHOS!$J$3:$J$3002,MATCH($C676,DESPACHOS!$B$3:$B$3002,0)),""))</f>
        <v/>
      </c>
      <c r="K676" s="39">
        <f>IF($C676="","",IF(COUNTIFS(DESPACHOS!$B$3:$B$3002,$C676)=0,"NO EXISTE",IF(COUNTIFS(DESPACHOS!$B$3:$B$3002,$C676)&gt;1,"DUPLICADO","OK")))</f>
        <v/>
      </c>
      <c r="L676" s="41" t="n"/>
      <c r="M676" s="41" t="n"/>
      <c r="N676" s="42">
        <f>IF($M676="","",IFERROR(INDEX(LISTAS!$F$3:$F$42,MATCH($M676,LISTAS!$E$3:$E$42,0)),"Por definir"))</f>
        <v/>
      </c>
      <c r="O676" s="41" t="n"/>
      <c r="P676" s="39">
        <f>IF($L676="","",IFERROR(INDEX(LISTAS!$B$3:$B$42,MATCH($L676,LISTAS!$A$3:$A$42,0)),"Media"))</f>
        <v/>
      </c>
      <c r="Q676" s="44" t="n"/>
      <c r="R676" s="45" t="n"/>
      <c r="S676" s="20">
        <f>IFERROR(IF(OR($R676="",$C676=""),"",$R676/INDEX(DESPACHOS!$M$3:$M$3002,MATCH($C676,DESPACHOS!$B$3:$B$3002,0))),"")</f>
        <v/>
      </c>
      <c r="T676" s="41" t="n"/>
      <c r="U676" s="43">
        <f>IF(OR($B676="",$L676=""),"",WORKDAY($B676,IFERROR(INDEX(LISTAS!$C$3:$C$42,MATCH($L676,LISTAS!$A$3:$A$42,0)),3)))</f>
        <v/>
      </c>
      <c r="V676" s="40" t="n"/>
      <c r="W676" s="19">
        <f>IF($B676="","",IF($V676&lt;&gt;"",$V676-$B676,TODAY()-$B676))</f>
        <v/>
      </c>
      <c r="X676" s="19">
        <f>IF(OR($B676="",$U676=""),"",IF($V676&lt;&gt;"",MAX(0,$V676-$U676),MAX(0,TODAY()-$U676)))</f>
        <v/>
      </c>
      <c r="Y676" s="39">
        <f>IF($C676="","",IF(IFERROR(INDEX(LISTAS!$I$3:$I$42,MATCH($T676,LISTAS!$H$3:$H$42,0)),"NO")="SÍ",IF(N($X676)&gt;0,"CERRADA FUERA DE SLA","CERRADA EN SLA"),IF($U676="","SIN CLASIFICAR",IF(N($X676)&gt;0,"VENCIDA",IF(TODAY()&gt;=$U676-1,"POR VENCER","EN PLAZO")))))</f>
        <v/>
      </c>
      <c r="Z676" s="41" t="n"/>
      <c r="AA676" s="41" t="n"/>
      <c r="AB676" s="41" t="n"/>
    </row>
    <row r="677">
      <c r="A677" s="39">
        <f>IF($C677="","","NOV-"&amp;TEXT(ROW()-3,"0000"))</f>
        <v/>
      </c>
      <c r="B677" s="40" t="n"/>
      <c r="C677" s="41" t="n"/>
      <c r="D677" s="42">
        <f>IF($C677="","",IFERROR(INDEX(DESPACHOS!$D$3:$D$3002,MATCH($C677,DESPACHOS!$B$3:$B$3002,0)),"SIN DESPACHO"))</f>
        <v/>
      </c>
      <c r="E677" s="42">
        <f>IF($C677="","",IFERROR(INDEX(DESPACHOS!$K$3:$K$3002,MATCH($C677,DESPACHOS!$B$3:$B$3002,0)),""))</f>
        <v/>
      </c>
      <c r="F677" s="42">
        <f>IF($C677="","",IFERROR(INDEX(DESPACHOS!$I$3:$I$3002,MATCH($C677,DESPACHOS!$B$3:$B$3002,0)),""))</f>
        <v/>
      </c>
      <c r="G677" s="42">
        <f>IF($C677="","",IFERROR(INDEX(DESPACHOS!$F$3:$F$3002,MATCH($C677,DESPACHOS!$B$3:$B$3002,0)),""))</f>
        <v/>
      </c>
      <c r="H677" s="42">
        <f>IF($C677="","",IFERROR(INDEX(DESPACHOS!$G$3:$G$3002,MATCH($C677,DESPACHOS!$B$3:$B$3002,0)),""))</f>
        <v/>
      </c>
      <c r="I677" s="39">
        <f>IF($C677="","",IFERROR(INDEX(DESPACHOS!$H$3:$H$3002,MATCH($C677,DESPACHOS!$B$3:$B$3002,0)),""))</f>
        <v/>
      </c>
      <c r="J677" s="43">
        <f>IF($C677="","",IFERROR(INDEX(DESPACHOS!$J$3:$J$3002,MATCH($C677,DESPACHOS!$B$3:$B$3002,0)),""))</f>
        <v/>
      </c>
      <c r="K677" s="39">
        <f>IF($C677="","",IF(COUNTIFS(DESPACHOS!$B$3:$B$3002,$C677)=0,"NO EXISTE",IF(COUNTIFS(DESPACHOS!$B$3:$B$3002,$C677)&gt;1,"DUPLICADO","OK")))</f>
        <v/>
      </c>
      <c r="L677" s="41" t="n"/>
      <c r="M677" s="41" t="n"/>
      <c r="N677" s="42">
        <f>IF($M677="","",IFERROR(INDEX(LISTAS!$F$3:$F$42,MATCH($M677,LISTAS!$E$3:$E$42,0)),"Por definir"))</f>
        <v/>
      </c>
      <c r="O677" s="41" t="n"/>
      <c r="P677" s="39">
        <f>IF($L677="","",IFERROR(INDEX(LISTAS!$B$3:$B$42,MATCH($L677,LISTAS!$A$3:$A$42,0)),"Media"))</f>
        <v/>
      </c>
      <c r="Q677" s="44" t="n"/>
      <c r="R677" s="45" t="n"/>
      <c r="S677" s="20">
        <f>IFERROR(IF(OR($R677="",$C677=""),"",$R677/INDEX(DESPACHOS!$M$3:$M$3002,MATCH($C677,DESPACHOS!$B$3:$B$3002,0))),"")</f>
        <v/>
      </c>
      <c r="T677" s="41" t="n"/>
      <c r="U677" s="43">
        <f>IF(OR($B677="",$L677=""),"",WORKDAY($B677,IFERROR(INDEX(LISTAS!$C$3:$C$42,MATCH($L677,LISTAS!$A$3:$A$42,0)),3)))</f>
        <v/>
      </c>
      <c r="V677" s="40" t="n"/>
      <c r="W677" s="19">
        <f>IF($B677="","",IF($V677&lt;&gt;"",$V677-$B677,TODAY()-$B677))</f>
        <v/>
      </c>
      <c r="X677" s="19">
        <f>IF(OR($B677="",$U677=""),"",IF($V677&lt;&gt;"",MAX(0,$V677-$U677),MAX(0,TODAY()-$U677)))</f>
        <v/>
      </c>
      <c r="Y677" s="39">
        <f>IF($C677="","",IF(IFERROR(INDEX(LISTAS!$I$3:$I$42,MATCH($T677,LISTAS!$H$3:$H$42,0)),"NO")="SÍ",IF(N($X677)&gt;0,"CERRADA FUERA DE SLA","CERRADA EN SLA"),IF($U677="","SIN CLASIFICAR",IF(N($X677)&gt;0,"VENCIDA",IF(TODAY()&gt;=$U677-1,"POR VENCER","EN PLAZO")))))</f>
        <v/>
      </c>
      <c r="Z677" s="41" t="n"/>
      <c r="AA677" s="41" t="n"/>
      <c r="AB677" s="41" t="n"/>
    </row>
    <row r="678">
      <c r="A678" s="39">
        <f>IF($C678="","","NOV-"&amp;TEXT(ROW()-3,"0000"))</f>
        <v/>
      </c>
      <c r="B678" s="40" t="n"/>
      <c r="C678" s="41" t="n"/>
      <c r="D678" s="42">
        <f>IF($C678="","",IFERROR(INDEX(DESPACHOS!$D$3:$D$3002,MATCH($C678,DESPACHOS!$B$3:$B$3002,0)),"SIN DESPACHO"))</f>
        <v/>
      </c>
      <c r="E678" s="42">
        <f>IF($C678="","",IFERROR(INDEX(DESPACHOS!$K$3:$K$3002,MATCH($C678,DESPACHOS!$B$3:$B$3002,0)),""))</f>
        <v/>
      </c>
      <c r="F678" s="42">
        <f>IF($C678="","",IFERROR(INDEX(DESPACHOS!$I$3:$I$3002,MATCH($C678,DESPACHOS!$B$3:$B$3002,0)),""))</f>
        <v/>
      </c>
      <c r="G678" s="42">
        <f>IF($C678="","",IFERROR(INDEX(DESPACHOS!$F$3:$F$3002,MATCH($C678,DESPACHOS!$B$3:$B$3002,0)),""))</f>
        <v/>
      </c>
      <c r="H678" s="42">
        <f>IF($C678="","",IFERROR(INDEX(DESPACHOS!$G$3:$G$3002,MATCH($C678,DESPACHOS!$B$3:$B$3002,0)),""))</f>
        <v/>
      </c>
      <c r="I678" s="39">
        <f>IF($C678="","",IFERROR(INDEX(DESPACHOS!$H$3:$H$3002,MATCH($C678,DESPACHOS!$B$3:$B$3002,0)),""))</f>
        <v/>
      </c>
      <c r="J678" s="43">
        <f>IF($C678="","",IFERROR(INDEX(DESPACHOS!$J$3:$J$3002,MATCH($C678,DESPACHOS!$B$3:$B$3002,0)),""))</f>
        <v/>
      </c>
      <c r="K678" s="39">
        <f>IF($C678="","",IF(COUNTIFS(DESPACHOS!$B$3:$B$3002,$C678)=0,"NO EXISTE",IF(COUNTIFS(DESPACHOS!$B$3:$B$3002,$C678)&gt;1,"DUPLICADO","OK")))</f>
        <v/>
      </c>
      <c r="L678" s="41" t="n"/>
      <c r="M678" s="41" t="n"/>
      <c r="N678" s="42">
        <f>IF($M678="","",IFERROR(INDEX(LISTAS!$F$3:$F$42,MATCH($M678,LISTAS!$E$3:$E$42,0)),"Por definir"))</f>
        <v/>
      </c>
      <c r="O678" s="41" t="n"/>
      <c r="P678" s="39">
        <f>IF($L678="","",IFERROR(INDEX(LISTAS!$B$3:$B$42,MATCH($L678,LISTAS!$A$3:$A$42,0)),"Media"))</f>
        <v/>
      </c>
      <c r="Q678" s="44" t="n"/>
      <c r="R678" s="45" t="n"/>
      <c r="S678" s="20">
        <f>IFERROR(IF(OR($R678="",$C678=""),"",$R678/INDEX(DESPACHOS!$M$3:$M$3002,MATCH($C678,DESPACHOS!$B$3:$B$3002,0))),"")</f>
        <v/>
      </c>
      <c r="T678" s="41" t="n"/>
      <c r="U678" s="43">
        <f>IF(OR($B678="",$L678=""),"",WORKDAY($B678,IFERROR(INDEX(LISTAS!$C$3:$C$42,MATCH($L678,LISTAS!$A$3:$A$42,0)),3)))</f>
        <v/>
      </c>
      <c r="V678" s="40" t="n"/>
      <c r="W678" s="19">
        <f>IF($B678="","",IF($V678&lt;&gt;"",$V678-$B678,TODAY()-$B678))</f>
        <v/>
      </c>
      <c r="X678" s="19">
        <f>IF(OR($B678="",$U678=""),"",IF($V678&lt;&gt;"",MAX(0,$V678-$U678),MAX(0,TODAY()-$U678)))</f>
        <v/>
      </c>
      <c r="Y678" s="39">
        <f>IF($C678="","",IF(IFERROR(INDEX(LISTAS!$I$3:$I$42,MATCH($T678,LISTAS!$H$3:$H$42,0)),"NO")="SÍ",IF(N($X678)&gt;0,"CERRADA FUERA DE SLA","CERRADA EN SLA"),IF($U678="","SIN CLASIFICAR",IF(N($X678)&gt;0,"VENCIDA",IF(TODAY()&gt;=$U678-1,"POR VENCER","EN PLAZO")))))</f>
        <v/>
      </c>
      <c r="Z678" s="41" t="n"/>
      <c r="AA678" s="41" t="n"/>
      <c r="AB678" s="41" t="n"/>
    </row>
    <row r="679">
      <c r="A679" s="39">
        <f>IF($C679="","","NOV-"&amp;TEXT(ROW()-3,"0000"))</f>
        <v/>
      </c>
      <c r="B679" s="40" t="n"/>
      <c r="C679" s="41" t="n"/>
      <c r="D679" s="42">
        <f>IF($C679="","",IFERROR(INDEX(DESPACHOS!$D$3:$D$3002,MATCH($C679,DESPACHOS!$B$3:$B$3002,0)),"SIN DESPACHO"))</f>
        <v/>
      </c>
      <c r="E679" s="42">
        <f>IF($C679="","",IFERROR(INDEX(DESPACHOS!$K$3:$K$3002,MATCH($C679,DESPACHOS!$B$3:$B$3002,0)),""))</f>
        <v/>
      </c>
      <c r="F679" s="42">
        <f>IF($C679="","",IFERROR(INDEX(DESPACHOS!$I$3:$I$3002,MATCH($C679,DESPACHOS!$B$3:$B$3002,0)),""))</f>
        <v/>
      </c>
      <c r="G679" s="42">
        <f>IF($C679="","",IFERROR(INDEX(DESPACHOS!$F$3:$F$3002,MATCH($C679,DESPACHOS!$B$3:$B$3002,0)),""))</f>
        <v/>
      </c>
      <c r="H679" s="42">
        <f>IF($C679="","",IFERROR(INDEX(DESPACHOS!$G$3:$G$3002,MATCH($C679,DESPACHOS!$B$3:$B$3002,0)),""))</f>
        <v/>
      </c>
      <c r="I679" s="39">
        <f>IF($C679="","",IFERROR(INDEX(DESPACHOS!$H$3:$H$3002,MATCH($C679,DESPACHOS!$B$3:$B$3002,0)),""))</f>
        <v/>
      </c>
      <c r="J679" s="43">
        <f>IF($C679="","",IFERROR(INDEX(DESPACHOS!$J$3:$J$3002,MATCH($C679,DESPACHOS!$B$3:$B$3002,0)),""))</f>
        <v/>
      </c>
      <c r="K679" s="39">
        <f>IF($C679="","",IF(COUNTIFS(DESPACHOS!$B$3:$B$3002,$C679)=0,"NO EXISTE",IF(COUNTIFS(DESPACHOS!$B$3:$B$3002,$C679)&gt;1,"DUPLICADO","OK")))</f>
        <v/>
      </c>
      <c r="L679" s="41" t="n"/>
      <c r="M679" s="41" t="n"/>
      <c r="N679" s="42">
        <f>IF($M679="","",IFERROR(INDEX(LISTAS!$F$3:$F$42,MATCH($M679,LISTAS!$E$3:$E$42,0)),"Por definir"))</f>
        <v/>
      </c>
      <c r="O679" s="41" t="n"/>
      <c r="P679" s="39">
        <f>IF($L679="","",IFERROR(INDEX(LISTAS!$B$3:$B$42,MATCH($L679,LISTAS!$A$3:$A$42,0)),"Media"))</f>
        <v/>
      </c>
      <c r="Q679" s="44" t="n"/>
      <c r="R679" s="45" t="n"/>
      <c r="S679" s="20">
        <f>IFERROR(IF(OR($R679="",$C679=""),"",$R679/INDEX(DESPACHOS!$M$3:$M$3002,MATCH($C679,DESPACHOS!$B$3:$B$3002,0))),"")</f>
        <v/>
      </c>
      <c r="T679" s="41" t="n"/>
      <c r="U679" s="43">
        <f>IF(OR($B679="",$L679=""),"",WORKDAY($B679,IFERROR(INDEX(LISTAS!$C$3:$C$42,MATCH($L679,LISTAS!$A$3:$A$42,0)),3)))</f>
        <v/>
      </c>
      <c r="V679" s="40" t="n"/>
      <c r="W679" s="19">
        <f>IF($B679="","",IF($V679&lt;&gt;"",$V679-$B679,TODAY()-$B679))</f>
        <v/>
      </c>
      <c r="X679" s="19">
        <f>IF(OR($B679="",$U679=""),"",IF($V679&lt;&gt;"",MAX(0,$V679-$U679),MAX(0,TODAY()-$U679)))</f>
        <v/>
      </c>
      <c r="Y679" s="39">
        <f>IF($C679="","",IF(IFERROR(INDEX(LISTAS!$I$3:$I$42,MATCH($T679,LISTAS!$H$3:$H$42,0)),"NO")="SÍ",IF(N($X679)&gt;0,"CERRADA FUERA DE SLA","CERRADA EN SLA"),IF($U679="","SIN CLASIFICAR",IF(N($X679)&gt;0,"VENCIDA",IF(TODAY()&gt;=$U679-1,"POR VENCER","EN PLAZO")))))</f>
        <v/>
      </c>
      <c r="Z679" s="41" t="n"/>
      <c r="AA679" s="41" t="n"/>
      <c r="AB679" s="41" t="n"/>
    </row>
    <row r="680">
      <c r="A680" s="39">
        <f>IF($C680="","","NOV-"&amp;TEXT(ROW()-3,"0000"))</f>
        <v/>
      </c>
      <c r="B680" s="40" t="n"/>
      <c r="C680" s="41" t="n"/>
      <c r="D680" s="42">
        <f>IF($C680="","",IFERROR(INDEX(DESPACHOS!$D$3:$D$3002,MATCH($C680,DESPACHOS!$B$3:$B$3002,0)),"SIN DESPACHO"))</f>
        <v/>
      </c>
      <c r="E680" s="42">
        <f>IF($C680="","",IFERROR(INDEX(DESPACHOS!$K$3:$K$3002,MATCH($C680,DESPACHOS!$B$3:$B$3002,0)),""))</f>
        <v/>
      </c>
      <c r="F680" s="42">
        <f>IF($C680="","",IFERROR(INDEX(DESPACHOS!$I$3:$I$3002,MATCH($C680,DESPACHOS!$B$3:$B$3002,0)),""))</f>
        <v/>
      </c>
      <c r="G680" s="42">
        <f>IF($C680="","",IFERROR(INDEX(DESPACHOS!$F$3:$F$3002,MATCH($C680,DESPACHOS!$B$3:$B$3002,0)),""))</f>
        <v/>
      </c>
      <c r="H680" s="42">
        <f>IF($C680="","",IFERROR(INDEX(DESPACHOS!$G$3:$G$3002,MATCH($C680,DESPACHOS!$B$3:$B$3002,0)),""))</f>
        <v/>
      </c>
      <c r="I680" s="39">
        <f>IF($C680="","",IFERROR(INDEX(DESPACHOS!$H$3:$H$3002,MATCH($C680,DESPACHOS!$B$3:$B$3002,0)),""))</f>
        <v/>
      </c>
      <c r="J680" s="43">
        <f>IF($C680="","",IFERROR(INDEX(DESPACHOS!$J$3:$J$3002,MATCH($C680,DESPACHOS!$B$3:$B$3002,0)),""))</f>
        <v/>
      </c>
      <c r="K680" s="39">
        <f>IF($C680="","",IF(COUNTIFS(DESPACHOS!$B$3:$B$3002,$C680)=0,"NO EXISTE",IF(COUNTIFS(DESPACHOS!$B$3:$B$3002,$C680)&gt;1,"DUPLICADO","OK")))</f>
        <v/>
      </c>
      <c r="L680" s="41" t="n"/>
      <c r="M680" s="41" t="n"/>
      <c r="N680" s="42">
        <f>IF($M680="","",IFERROR(INDEX(LISTAS!$F$3:$F$42,MATCH($M680,LISTAS!$E$3:$E$42,0)),"Por definir"))</f>
        <v/>
      </c>
      <c r="O680" s="41" t="n"/>
      <c r="P680" s="39">
        <f>IF($L680="","",IFERROR(INDEX(LISTAS!$B$3:$B$42,MATCH($L680,LISTAS!$A$3:$A$42,0)),"Media"))</f>
        <v/>
      </c>
      <c r="Q680" s="44" t="n"/>
      <c r="R680" s="45" t="n"/>
      <c r="S680" s="20">
        <f>IFERROR(IF(OR($R680="",$C680=""),"",$R680/INDEX(DESPACHOS!$M$3:$M$3002,MATCH($C680,DESPACHOS!$B$3:$B$3002,0))),"")</f>
        <v/>
      </c>
      <c r="T680" s="41" t="n"/>
      <c r="U680" s="43">
        <f>IF(OR($B680="",$L680=""),"",WORKDAY($B680,IFERROR(INDEX(LISTAS!$C$3:$C$42,MATCH($L680,LISTAS!$A$3:$A$42,0)),3)))</f>
        <v/>
      </c>
      <c r="V680" s="40" t="n"/>
      <c r="W680" s="19">
        <f>IF($B680="","",IF($V680&lt;&gt;"",$V680-$B680,TODAY()-$B680))</f>
        <v/>
      </c>
      <c r="X680" s="19">
        <f>IF(OR($B680="",$U680=""),"",IF($V680&lt;&gt;"",MAX(0,$V680-$U680),MAX(0,TODAY()-$U680)))</f>
        <v/>
      </c>
      <c r="Y680" s="39">
        <f>IF($C680="","",IF(IFERROR(INDEX(LISTAS!$I$3:$I$42,MATCH($T680,LISTAS!$H$3:$H$42,0)),"NO")="SÍ",IF(N($X680)&gt;0,"CERRADA FUERA DE SLA","CERRADA EN SLA"),IF($U680="","SIN CLASIFICAR",IF(N($X680)&gt;0,"VENCIDA",IF(TODAY()&gt;=$U680-1,"POR VENCER","EN PLAZO")))))</f>
        <v/>
      </c>
      <c r="Z680" s="41" t="n"/>
      <c r="AA680" s="41" t="n"/>
      <c r="AB680" s="41" t="n"/>
    </row>
    <row r="681">
      <c r="A681" s="39">
        <f>IF($C681="","","NOV-"&amp;TEXT(ROW()-3,"0000"))</f>
        <v/>
      </c>
      <c r="B681" s="40" t="n"/>
      <c r="C681" s="41" t="n"/>
      <c r="D681" s="42">
        <f>IF($C681="","",IFERROR(INDEX(DESPACHOS!$D$3:$D$3002,MATCH($C681,DESPACHOS!$B$3:$B$3002,0)),"SIN DESPACHO"))</f>
        <v/>
      </c>
      <c r="E681" s="42">
        <f>IF($C681="","",IFERROR(INDEX(DESPACHOS!$K$3:$K$3002,MATCH($C681,DESPACHOS!$B$3:$B$3002,0)),""))</f>
        <v/>
      </c>
      <c r="F681" s="42">
        <f>IF($C681="","",IFERROR(INDEX(DESPACHOS!$I$3:$I$3002,MATCH($C681,DESPACHOS!$B$3:$B$3002,0)),""))</f>
        <v/>
      </c>
      <c r="G681" s="42">
        <f>IF($C681="","",IFERROR(INDEX(DESPACHOS!$F$3:$F$3002,MATCH($C681,DESPACHOS!$B$3:$B$3002,0)),""))</f>
        <v/>
      </c>
      <c r="H681" s="42">
        <f>IF($C681="","",IFERROR(INDEX(DESPACHOS!$G$3:$G$3002,MATCH($C681,DESPACHOS!$B$3:$B$3002,0)),""))</f>
        <v/>
      </c>
      <c r="I681" s="39">
        <f>IF($C681="","",IFERROR(INDEX(DESPACHOS!$H$3:$H$3002,MATCH($C681,DESPACHOS!$B$3:$B$3002,0)),""))</f>
        <v/>
      </c>
      <c r="J681" s="43">
        <f>IF($C681="","",IFERROR(INDEX(DESPACHOS!$J$3:$J$3002,MATCH($C681,DESPACHOS!$B$3:$B$3002,0)),""))</f>
        <v/>
      </c>
      <c r="K681" s="39">
        <f>IF($C681="","",IF(COUNTIFS(DESPACHOS!$B$3:$B$3002,$C681)=0,"NO EXISTE",IF(COUNTIFS(DESPACHOS!$B$3:$B$3002,$C681)&gt;1,"DUPLICADO","OK")))</f>
        <v/>
      </c>
      <c r="L681" s="41" t="n"/>
      <c r="M681" s="41" t="n"/>
      <c r="N681" s="42">
        <f>IF($M681="","",IFERROR(INDEX(LISTAS!$F$3:$F$42,MATCH($M681,LISTAS!$E$3:$E$42,0)),"Por definir"))</f>
        <v/>
      </c>
      <c r="O681" s="41" t="n"/>
      <c r="P681" s="39">
        <f>IF($L681="","",IFERROR(INDEX(LISTAS!$B$3:$B$42,MATCH($L681,LISTAS!$A$3:$A$42,0)),"Media"))</f>
        <v/>
      </c>
      <c r="Q681" s="44" t="n"/>
      <c r="R681" s="45" t="n"/>
      <c r="S681" s="20">
        <f>IFERROR(IF(OR($R681="",$C681=""),"",$R681/INDEX(DESPACHOS!$M$3:$M$3002,MATCH($C681,DESPACHOS!$B$3:$B$3002,0))),"")</f>
        <v/>
      </c>
      <c r="T681" s="41" t="n"/>
      <c r="U681" s="43">
        <f>IF(OR($B681="",$L681=""),"",WORKDAY($B681,IFERROR(INDEX(LISTAS!$C$3:$C$42,MATCH($L681,LISTAS!$A$3:$A$42,0)),3)))</f>
        <v/>
      </c>
      <c r="V681" s="40" t="n"/>
      <c r="W681" s="19">
        <f>IF($B681="","",IF($V681&lt;&gt;"",$V681-$B681,TODAY()-$B681))</f>
        <v/>
      </c>
      <c r="X681" s="19">
        <f>IF(OR($B681="",$U681=""),"",IF($V681&lt;&gt;"",MAX(0,$V681-$U681),MAX(0,TODAY()-$U681)))</f>
        <v/>
      </c>
      <c r="Y681" s="39">
        <f>IF($C681="","",IF(IFERROR(INDEX(LISTAS!$I$3:$I$42,MATCH($T681,LISTAS!$H$3:$H$42,0)),"NO")="SÍ",IF(N($X681)&gt;0,"CERRADA FUERA DE SLA","CERRADA EN SLA"),IF($U681="","SIN CLASIFICAR",IF(N($X681)&gt;0,"VENCIDA",IF(TODAY()&gt;=$U681-1,"POR VENCER","EN PLAZO")))))</f>
        <v/>
      </c>
      <c r="Z681" s="41" t="n"/>
      <c r="AA681" s="41" t="n"/>
      <c r="AB681" s="41" t="n"/>
    </row>
    <row r="682">
      <c r="A682" s="39">
        <f>IF($C682="","","NOV-"&amp;TEXT(ROW()-3,"0000"))</f>
        <v/>
      </c>
      <c r="B682" s="40" t="n"/>
      <c r="C682" s="41" t="n"/>
      <c r="D682" s="42">
        <f>IF($C682="","",IFERROR(INDEX(DESPACHOS!$D$3:$D$3002,MATCH($C682,DESPACHOS!$B$3:$B$3002,0)),"SIN DESPACHO"))</f>
        <v/>
      </c>
      <c r="E682" s="42">
        <f>IF($C682="","",IFERROR(INDEX(DESPACHOS!$K$3:$K$3002,MATCH($C682,DESPACHOS!$B$3:$B$3002,0)),""))</f>
        <v/>
      </c>
      <c r="F682" s="42">
        <f>IF($C682="","",IFERROR(INDEX(DESPACHOS!$I$3:$I$3002,MATCH($C682,DESPACHOS!$B$3:$B$3002,0)),""))</f>
        <v/>
      </c>
      <c r="G682" s="42">
        <f>IF($C682="","",IFERROR(INDEX(DESPACHOS!$F$3:$F$3002,MATCH($C682,DESPACHOS!$B$3:$B$3002,0)),""))</f>
        <v/>
      </c>
      <c r="H682" s="42">
        <f>IF($C682="","",IFERROR(INDEX(DESPACHOS!$G$3:$G$3002,MATCH($C682,DESPACHOS!$B$3:$B$3002,0)),""))</f>
        <v/>
      </c>
      <c r="I682" s="39">
        <f>IF($C682="","",IFERROR(INDEX(DESPACHOS!$H$3:$H$3002,MATCH($C682,DESPACHOS!$B$3:$B$3002,0)),""))</f>
        <v/>
      </c>
      <c r="J682" s="43">
        <f>IF($C682="","",IFERROR(INDEX(DESPACHOS!$J$3:$J$3002,MATCH($C682,DESPACHOS!$B$3:$B$3002,0)),""))</f>
        <v/>
      </c>
      <c r="K682" s="39">
        <f>IF($C682="","",IF(COUNTIFS(DESPACHOS!$B$3:$B$3002,$C682)=0,"NO EXISTE",IF(COUNTIFS(DESPACHOS!$B$3:$B$3002,$C682)&gt;1,"DUPLICADO","OK")))</f>
        <v/>
      </c>
      <c r="L682" s="41" t="n"/>
      <c r="M682" s="41" t="n"/>
      <c r="N682" s="42">
        <f>IF($M682="","",IFERROR(INDEX(LISTAS!$F$3:$F$42,MATCH($M682,LISTAS!$E$3:$E$42,0)),"Por definir"))</f>
        <v/>
      </c>
      <c r="O682" s="41" t="n"/>
      <c r="P682" s="39">
        <f>IF($L682="","",IFERROR(INDEX(LISTAS!$B$3:$B$42,MATCH($L682,LISTAS!$A$3:$A$42,0)),"Media"))</f>
        <v/>
      </c>
      <c r="Q682" s="44" t="n"/>
      <c r="R682" s="45" t="n"/>
      <c r="S682" s="20">
        <f>IFERROR(IF(OR($R682="",$C682=""),"",$R682/INDEX(DESPACHOS!$M$3:$M$3002,MATCH($C682,DESPACHOS!$B$3:$B$3002,0))),"")</f>
        <v/>
      </c>
      <c r="T682" s="41" t="n"/>
      <c r="U682" s="43">
        <f>IF(OR($B682="",$L682=""),"",WORKDAY($B682,IFERROR(INDEX(LISTAS!$C$3:$C$42,MATCH($L682,LISTAS!$A$3:$A$42,0)),3)))</f>
        <v/>
      </c>
      <c r="V682" s="40" t="n"/>
      <c r="W682" s="19">
        <f>IF($B682="","",IF($V682&lt;&gt;"",$V682-$B682,TODAY()-$B682))</f>
        <v/>
      </c>
      <c r="X682" s="19">
        <f>IF(OR($B682="",$U682=""),"",IF($V682&lt;&gt;"",MAX(0,$V682-$U682),MAX(0,TODAY()-$U682)))</f>
        <v/>
      </c>
      <c r="Y682" s="39">
        <f>IF($C682="","",IF(IFERROR(INDEX(LISTAS!$I$3:$I$42,MATCH($T682,LISTAS!$H$3:$H$42,0)),"NO")="SÍ",IF(N($X682)&gt;0,"CERRADA FUERA DE SLA","CERRADA EN SLA"),IF($U682="","SIN CLASIFICAR",IF(N($X682)&gt;0,"VENCIDA",IF(TODAY()&gt;=$U682-1,"POR VENCER","EN PLAZO")))))</f>
        <v/>
      </c>
      <c r="Z682" s="41" t="n"/>
      <c r="AA682" s="41" t="n"/>
      <c r="AB682" s="41" t="n"/>
    </row>
    <row r="683">
      <c r="A683" s="39">
        <f>IF($C683="","","NOV-"&amp;TEXT(ROW()-3,"0000"))</f>
        <v/>
      </c>
      <c r="B683" s="40" t="n"/>
      <c r="C683" s="41" t="n"/>
      <c r="D683" s="42">
        <f>IF($C683="","",IFERROR(INDEX(DESPACHOS!$D$3:$D$3002,MATCH($C683,DESPACHOS!$B$3:$B$3002,0)),"SIN DESPACHO"))</f>
        <v/>
      </c>
      <c r="E683" s="42">
        <f>IF($C683="","",IFERROR(INDEX(DESPACHOS!$K$3:$K$3002,MATCH($C683,DESPACHOS!$B$3:$B$3002,0)),""))</f>
        <v/>
      </c>
      <c r="F683" s="42">
        <f>IF($C683="","",IFERROR(INDEX(DESPACHOS!$I$3:$I$3002,MATCH($C683,DESPACHOS!$B$3:$B$3002,0)),""))</f>
        <v/>
      </c>
      <c r="G683" s="42">
        <f>IF($C683="","",IFERROR(INDEX(DESPACHOS!$F$3:$F$3002,MATCH($C683,DESPACHOS!$B$3:$B$3002,0)),""))</f>
        <v/>
      </c>
      <c r="H683" s="42">
        <f>IF($C683="","",IFERROR(INDEX(DESPACHOS!$G$3:$G$3002,MATCH($C683,DESPACHOS!$B$3:$B$3002,0)),""))</f>
        <v/>
      </c>
      <c r="I683" s="39">
        <f>IF($C683="","",IFERROR(INDEX(DESPACHOS!$H$3:$H$3002,MATCH($C683,DESPACHOS!$B$3:$B$3002,0)),""))</f>
        <v/>
      </c>
      <c r="J683" s="43">
        <f>IF($C683="","",IFERROR(INDEX(DESPACHOS!$J$3:$J$3002,MATCH($C683,DESPACHOS!$B$3:$B$3002,0)),""))</f>
        <v/>
      </c>
      <c r="K683" s="39">
        <f>IF($C683="","",IF(COUNTIFS(DESPACHOS!$B$3:$B$3002,$C683)=0,"NO EXISTE",IF(COUNTIFS(DESPACHOS!$B$3:$B$3002,$C683)&gt;1,"DUPLICADO","OK")))</f>
        <v/>
      </c>
      <c r="L683" s="41" t="n"/>
      <c r="M683" s="41" t="n"/>
      <c r="N683" s="42">
        <f>IF($M683="","",IFERROR(INDEX(LISTAS!$F$3:$F$42,MATCH($M683,LISTAS!$E$3:$E$42,0)),"Por definir"))</f>
        <v/>
      </c>
      <c r="O683" s="41" t="n"/>
      <c r="P683" s="39">
        <f>IF($L683="","",IFERROR(INDEX(LISTAS!$B$3:$B$42,MATCH($L683,LISTAS!$A$3:$A$42,0)),"Media"))</f>
        <v/>
      </c>
      <c r="Q683" s="44" t="n"/>
      <c r="R683" s="45" t="n"/>
      <c r="S683" s="20">
        <f>IFERROR(IF(OR($R683="",$C683=""),"",$R683/INDEX(DESPACHOS!$M$3:$M$3002,MATCH($C683,DESPACHOS!$B$3:$B$3002,0))),"")</f>
        <v/>
      </c>
      <c r="T683" s="41" t="n"/>
      <c r="U683" s="43">
        <f>IF(OR($B683="",$L683=""),"",WORKDAY($B683,IFERROR(INDEX(LISTAS!$C$3:$C$42,MATCH($L683,LISTAS!$A$3:$A$42,0)),3)))</f>
        <v/>
      </c>
      <c r="V683" s="40" t="n"/>
      <c r="W683" s="19">
        <f>IF($B683="","",IF($V683&lt;&gt;"",$V683-$B683,TODAY()-$B683))</f>
        <v/>
      </c>
      <c r="X683" s="19">
        <f>IF(OR($B683="",$U683=""),"",IF($V683&lt;&gt;"",MAX(0,$V683-$U683),MAX(0,TODAY()-$U683)))</f>
        <v/>
      </c>
      <c r="Y683" s="39">
        <f>IF($C683="","",IF(IFERROR(INDEX(LISTAS!$I$3:$I$42,MATCH($T683,LISTAS!$H$3:$H$42,0)),"NO")="SÍ",IF(N($X683)&gt;0,"CERRADA FUERA DE SLA","CERRADA EN SLA"),IF($U683="","SIN CLASIFICAR",IF(N($X683)&gt;0,"VENCIDA",IF(TODAY()&gt;=$U683-1,"POR VENCER","EN PLAZO")))))</f>
        <v/>
      </c>
      <c r="Z683" s="41" t="n"/>
      <c r="AA683" s="41" t="n"/>
      <c r="AB683" s="41" t="n"/>
    </row>
    <row r="684">
      <c r="A684" s="39">
        <f>IF($C684="","","NOV-"&amp;TEXT(ROW()-3,"0000"))</f>
        <v/>
      </c>
      <c r="B684" s="40" t="n"/>
      <c r="C684" s="41" t="n"/>
      <c r="D684" s="42">
        <f>IF($C684="","",IFERROR(INDEX(DESPACHOS!$D$3:$D$3002,MATCH($C684,DESPACHOS!$B$3:$B$3002,0)),"SIN DESPACHO"))</f>
        <v/>
      </c>
      <c r="E684" s="42">
        <f>IF($C684="","",IFERROR(INDEX(DESPACHOS!$K$3:$K$3002,MATCH($C684,DESPACHOS!$B$3:$B$3002,0)),""))</f>
        <v/>
      </c>
      <c r="F684" s="42">
        <f>IF($C684="","",IFERROR(INDEX(DESPACHOS!$I$3:$I$3002,MATCH($C684,DESPACHOS!$B$3:$B$3002,0)),""))</f>
        <v/>
      </c>
      <c r="G684" s="42">
        <f>IF($C684="","",IFERROR(INDEX(DESPACHOS!$F$3:$F$3002,MATCH($C684,DESPACHOS!$B$3:$B$3002,0)),""))</f>
        <v/>
      </c>
      <c r="H684" s="42">
        <f>IF($C684="","",IFERROR(INDEX(DESPACHOS!$G$3:$G$3002,MATCH($C684,DESPACHOS!$B$3:$B$3002,0)),""))</f>
        <v/>
      </c>
      <c r="I684" s="39">
        <f>IF($C684="","",IFERROR(INDEX(DESPACHOS!$H$3:$H$3002,MATCH($C684,DESPACHOS!$B$3:$B$3002,0)),""))</f>
        <v/>
      </c>
      <c r="J684" s="43">
        <f>IF($C684="","",IFERROR(INDEX(DESPACHOS!$J$3:$J$3002,MATCH($C684,DESPACHOS!$B$3:$B$3002,0)),""))</f>
        <v/>
      </c>
      <c r="K684" s="39">
        <f>IF($C684="","",IF(COUNTIFS(DESPACHOS!$B$3:$B$3002,$C684)=0,"NO EXISTE",IF(COUNTIFS(DESPACHOS!$B$3:$B$3002,$C684)&gt;1,"DUPLICADO","OK")))</f>
        <v/>
      </c>
      <c r="L684" s="41" t="n"/>
      <c r="M684" s="41" t="n"/>
      <c r="N684" s="42">
        <f>IF($M684="","",IFERROR(INDEX(LISTAS!$F$3:$F$42,MATCH($M684,LISTAS!$E$3:$E$42,0)),"Por definir"))</f>
        <v/>
      </c>
      <c r="O684" s="41" t="n"/>
      <c r="P684" s="39">
        <f>IF($L684="","",IFERROR(INDEX(LISTAS!$B$3:$B$42,MATCH($L684,LISTAS!$A$3:$A$42,0)),"Media"))</f>
        <v/>
      </c>
      <c r="Q684" s="44" t="n"/>
      <c r="R684" s="45" t="n"/>
      <c r="S684" s="20">
        <f>IFERROR(IF(OR($R684="",$C684=""),"",$R684/INDEX(DESPACHOS!$M$3:$M$3002,MATCH($C684,DESPACHOS!$B$3:$B$3002,0))),"")</f>
        <v/>
      </c>
      <c r="T684" s="41" t="n"/>
      <c r="U684" s="43">
        <f>IF(OR($B684="",$L684=""),"",WORKDAY($B684,IFERROR(INDEX(LISTAS!$C$3:$C$42,MATCH($L684,LISTAS!$A$3:$A$42,0)),3)))</f>
        <v/>
      </c>
      <c r="V684" s="40" t="n"/>
      <c r="W684" s="19">
        <f>IF($B684="","",IF($V684&lt;&gt;"",$V684-$B684,TODAY()-$B684))</f>
        <v/>
      </c>
      <c r="X684" s="19">
        <f>IF(OR($B684="",$U684=""),"",IF($V684&lt;&gt;"",MAX(0,$V684-$U684),MAX(0,TODAY()-$U684)))</f>
        <v/>
      </c>
      <c r="Y684" s="39">
        <f>IF($C684="","",IF(IFERROR(INDEX(LISTAS!$I$3:$I$42,MATCH($T684,LISTAS!$H$3:$H$42,0)),"NO")="SÍ",IF(N($X684)&gt;0,"CERRADA FUERA DE SLA","CERRADA EN SLA"),IF($U684="","SIN CLASIFICAR",IF(N($X684)&gt;0,"VENCIDA",IF(TODAY()&gt;=$U684-1,"POR VENCER","EN PLAZO")))))</f>
        <v/>
      </c>
      <c r="Z684" s="41" t="n"/>
      <c r="AA684" s="41" t="n"/>
      <c r="AB684" s="41" t="n"/>
    </row>
    <row r="685">
      <c r="A685" s="39">
        <f>IF($C685="","","NOV-"&amp;TEXT(ROW()-3,"0000"))</f>
        <v/>
      </c>
      <c r="B685" s="40" t="n"/>
      <c r="C685" s="41" t="n"/>
      <c r="D685" s="42">
        <f>IF($C685="","",IFERROR(INDEX(DESPACHOS!$D$3:$D$3002,MATCH($C685,DESPACHOS!$B$3:$B$3002,0)),"SIN DESPACHO"))</f>
        <v/>
      </c>
      <c r="E685" s="42">
        <f>IF($C685="","",IFERROR(INDEX(DESPACHOS!$K$3:$K$3002,MATCH($C685,DESPACHOS!$B$3:$B$3002,0)),""))</f>
        <v/>
      </c>
      <c r="F685" s="42">
        <f>IF($C685="","",IFERROR(INDEX(DESPACHOS!$I$3:$I$3002,MATCH($C685,DESPACHOS!$B$3:$B$3002,0)),""))</f>
        <v/>
      </c>
      <c r="G685" s="42">
        <f>IF($C685="","",IFERROR(INDEX(DESPACHOS!$F$3:$F$3002,MATCH($C685,DESPACHOS!$B$3:$B$3002,0)),""))</f>
        <v/>
      </c>
      <c r="H685" s="42">
        <f>IF($C685="","",IFERROR(INDEX(DESPACHOS!$G$3:$G$3002,MATCH($C685,DESPACHOS!$B$3:$B$3002,0)),""))</f>
        <v/>
      </c>
      <c r="I685" s="39">
        <f>IF($C685="","",IFERROR(INDEX(DESPACHOS!$H$3:$H$3002,MATCH($C685,DESPACHOS!$B$3:$B$3002,0)),""))</f>
        <v/>
      </c>
      <c r="J685" s="43">
        <f>IF($C685="","",IFERROR(INDEX(DESPACHOS!$J$3:$J$3002,MATCH($C685,DESPACHOS!$B$3:$B$3002,0)),""))</f>
        <v/>
      </c>
      <c r="K685" s="39">
        <f>IF($C685="","",IF(COUNTIFS(DESPACHOS!$B$3:$B$3002,$C685)=0,"NO EXISTE",IF(COUNTIFS(DESPACHOS!$B$3:$B$3002,$C685)&gt;1,"DUPLICADO","OK")))</f>
        <v/>
      </c>
      <c r="L685" s="41" t="n"/>
      <c r="M685" s="41" t="n"/>
      <c r="N685" s="42">
        <f>IF($M685="","",IFERROR(INDEX(LISTAS!$F$3:$F$42,MATCH($M685,LISTAS!$E$3:$E$42,0)),"Por definir"))</f>
        <v/>
      </c>
      <c r="O685" s="41" t="n"/>
      <c r="P685" s="39">
        <f>IF($L685="","",IFERROR(INDEX(LISTAS!$B$3:$B$42,MATCH($L685,LISTAS!$A$3:$A$42,0)),"Media"))</f>
        <v/>
      </c>
      <c r="Q685" s="44" t="n"/>
      <c r="R685" s="45" t="n"/>
      <c r="S685" s="20">
        <f>IFERROR(IF(OR($R685="",$C685=""),"",$R685/INDEX(DESPACHOS!$M$3:$M$3002,MATCH($C685,DESPACHOS!$B$3:$B$3002,0))),"")</f>
        <v/>
      </c>
      <c r="T685" s="41" t="n"/>
      <c r="U685" s="43">
        <f>IF(OR($B685="",$L685=""),"",WORKDAY($B685,IFERROR(INDEX(LISTAS!$C$3:$C$42,MATCH($L685,LISTAS!$A$3:$A$42,0)),3)))</f>
        <v/>
      </c>
      <c r="V685" s="40" t="n"/>
      <c r="W685" s="19">
        <f>IF($B685="","",IF($V685&lt;&gt;"",$V685-$B685,TODAY()-$B685))</f>
        <v/>
      </c>
      <c r="X685" s="19">
        <f>IF(OR($B685="",$U685=""),"",IF($V685&lt;&gt;"",MAX(0,$V685-$U685),MAX(0,TODAY()-$U685)))</f>
        <v/>
      </c>
      <c r="Y685" s="39">
        <f>IF($C685="","",IF(IFERROR(INDEX(LISTAS!$I$3:$I$42,MATCH($T685,LISTAS!$H$3:$H$42,0)),"NO")="SÍ",IF(N($X685)&gt;0,"CERRADA FUERA DE SLA","CERRADA EN SLA"),IF($U685="","SIN CLASIFICAR",IF(N($X685)&gt;0,"VENCIDA",IF(TODAY()&gt;=$U685-1,"POR VENCER","EN PLAZO")))))</f>
        <v/>
      </c>
      <c r="Z685" s="41" t="n"/>
      <c r="AA685" s="41" t="n"/>
      <c r="AB685" s="41" t="n"/>
    </row>
    <row r="686">
      <c r="A686" s="39">
        <f>IF($C686="","","NOV-"&amp;TEXT(ROW()-3,"0000"))</f>
        <v/>
      </c>
      <c r="B686" s="40" t="n"/>
      <c r="C686" s="41" t="n"/>
      <c r="D686" s="42">
        <f>IF($C686="","",IFERROR(INDEX(DESPACHOS!$D$3:$D$3002,MATCH($C686,DESPACHOS!$B$3:$B$3002,0)),"SIN DESPACHO"))</f>
        <v/>
      </c>
      <c r="E686" s="42">
        <f>IF($C686="","",IFERROR(INDEX(DESPACHOS!$K$3:$K$3002,MATCH($C686,DESPACHOS!$B$3:$B$3002,0)),""))</f>
        <v/>
      </c>
      <c r="F686" s="42">
        <f>IF($C686="","",IFERROR(INDEX(DESPACHOS!$I$3:$I$3002,MATCH($C686,DESPACHOS!$B$3:$B$3002,0)),""))</f>
        <v/>
      </c>
      <c r="G686" s="42">
        <f>IF($C686="","",IFERROR(INDEX(DESPACHOS!$F$3:$F$3002,MATCH($C686,DESPACHOS!$B$3:$B$3002,0)),""))</f>
        <v/>
      </c>
      <c r="H686" s="42">
        <f>IF($C686="","",IFERROR(INDEX(DESPACHOS!$G$3:$G$3002,MATCH($C686,DESPACHOS!$B$3:$B$3002,0)),""))</f>
        <v/>
      </c>
      <c r="I686" s="39">
        <f>IF($C686="","",IFERROR(INDEX(DESPACHOS!$H$3:$H$3002,MATCH($C686,DESPACHOS!$B$3:$B$3002,0)),""))</f>
        <v/>
      </c>
      <c r="J686" s="43">
        <f>IF($C686="","",IFERROR(INDEX(DESPACHOS!$J$3:$J$3002,MATCH($C686,DESPACHOS!$B$3:$B$3002,0)),""))</f>
        <v/>
      </c>
      <c r="K686" s="39">
        <f>IF($C686="","",IF(COUNTIFS(DESPACHOS!$B$3:$B$3002,$C686)=0,"NO EXISTE",IF(COUNTIFS(DESPACHOS!$B$3:$B$3002,$C686)&gt;1,"DUPLICADO","OK")))</f>
        <v/>
      </c>
      <c r="L686" s="41" t="n"/>
      <c r="M686" s="41" t="n"/>
      <c r="N686" s="42">
        <f>IF($M686="","",IFERROR(INDEX(LISTAS!$F$3:$F$42,MATCH($M686,LISTAS!$E$3:$E$42,0)),"Por definir"))</f>
        <v/>
      </c>
      <c r="O686" s="41" t="n"/>
      <c r="P686" s="39">
        <f>IF($L686="","",IFERROR(INDEX(LISTAS!$B$3:$B$42,MATCH($L686,LISTAS!$A$3:$A$42,0)),"Media"))</f>
        <v/>
      </c>
      <c r="Q686" s="44" t="n"/>
      <c r="R686" s="45" t="n"/>
      <c r="S686" s="20">
        <f>IFERROR(IF(OR($R686="",$C686=""),"",$R686/INDEX(DESPACHOS!$M$3:$M$3002,MATCH($C686,DESPACHOS!$B$3:$B$3002,0))),"")</f>
        <v/>
      </c>
      <c r="T686" s="41" t="n"/>
      <c r="U686" s="43">
        <f>IF(OR($B686="",$L686=""),"",WORKDAY($B686,IFERROR(INDEX(LISTAS!$C$3:$C$42,MATCH($L686,LISTAS!$A$3:$A$42,0)),3)))</f>
        <v/>
      </c>
      <c r="V686" s="40" t="n"/>
      <c r="W686" s="19">
        <f>IF($B686="","",IF($V686&lt;&gt;"",$V686-$B686,TODAY()-$B686))</f>
        <v/>
      </c>
      <c r="X686" s="19">
        <f>IF(OR($B686="",$U686=""),"",IF($V686&lt;&gt;"",MAX(0,$V686-$U686),MAX(0,TODAY()-$U686)))</f>
        <v/>
      </c>
      <c r="Y686" s="39">
        <f>IF($C686="","",IF(IFERROR(INDEX(LISTAS!$I$3:$I$42,MATCH($T686,LISTAS!$H$3:$H$42,0)),"NO")="SÍ",IF(N($X686)&gt;0,"CERRADA FUERA DE SLA","CERRADA EN SLA"),IF($U686="","SIN CLASIFICAR",IF(N($X686)&gt;0,"VENCIDA",IF(TODAY()&gt;=$U686-1,"POR VENCER","EN PLAZO")))))</f>
        <v/>
      </c>
      <c r="Z686" s="41" t="n"/>
      <c r="AA686" s="41" t="n"/>
      <c r="AB686" s="41" t="n"/>
    </row>
    <row r="687">
      <c r="A687" s="39">
        <f>IF($C687="","","NOV-"&amp;TEXT(ROW()-3,"0000"))</f>
        <v/>
      </c>
      <c r="B687" s="40" t="n"/>
      <c r="C687" s="41" t="n"/>
      <c r="D687" s="42">
        <f>IF($C687="","",IFERROR(INDEX(DESPACHOS!$D$3:$D$3002,MATCH($C687,DESPACHOS!$B$3:$B$3002,0)),"SIN DESPACHO"))</f>
        <v/>
      </c>
      <c r="E687" s="42">
        <f>IF($C687="","",IFERROR(INDEX(DESPACHOS!$K$3:$K$3002,MATCH($C687,DESPACHOS!$B$3:$B$3002,0)),""))</f>
        <v/>
      </c>
      <c r="F687" s="42">
        <f>IF($C687="","",IFERROR(INDEX(DESPACHOS!$I$3:$I$3002,MATCH($C687,DESPACHOS!$B$3:$B$3002,0)),""))</f>
        <v/>
      </c>
      <c r="G687" s="42">
        <f>IF($C687="","",IFERROR(INDEX(DESPACHOS!$F$3:$F$3002,MATCH($C687,DESPACHOS!$B$3:$B$3002,0)),""))</f>
        <v/>
      </c>
      <c r="H687" s="42">
        <f>IF($C687="","",IFERROR(INDEX(DESPACHOS!$G$3:$G$3002,MATCH($C687,DESPACHOS!$B$3:$B$3002,0)),""))</f>
        <v/>
      </c>
      <c r="I687" s="39">
        <f>IF($C687="","",IFERROR(INDEX(DESPACHOS!$H$3:$H$3002,MATCH($C687,DESPACHOS!$B$3:$B$3002,0)),""))</f>
        <v/>
      </c>
      <c r="J687" s="43">
        <f>IF($C687="","",IFERROR(INDEX(DESPACHOS!$J$3:$J$3002,MATCH($C687,DESPACHOS!$B$3:$B$3002,0)),""))</f>
        <v/>
      </c>
      <c r="K687" s="39">
        <f>IF($C687="","",IF(COUNTIFS(DESPACHOS!$B$3:$B$3002,$C687)=0,"NO EXISTE",IF(COUNTIFS(DESPACHOS!$B$3:$B$3002,$C687)&gt;1,"DUPLICADO","OK")))</f>
        <v/>
      </c>
      <c r="L687" s="41" t="n"/>
      <c r="M687" s="41" t="n"/>
      <c r="N687" s="42">
        <f>IF($M687="","",IFERROR(INDEX(LISTAS!$F$3:$F$42,MATCH($M687,LISTAS!$E$3:$E$42,0)),"Por definir"))</f>
        <v/>
      </c>
      <c r="O687" s="41" t="n"/>
      <c r="P687" s="39">
        <f>IF($L687="","",IFERROR(INDEX(LISTAS!$B$3:$B$42,MATCH($L687,LISTAS!$A$3:$A$42,0)),"Media"))</f>
        <v/>
      </c>
      <c r="Q687" s="44" t="n"/>
      <c r="R687" s="45" t="n"/>
      <c r="S687" s="20">
        <f>IFERROR(IF(OR($R687="",$C687=""),"",$R687/INDEX(DESPACHOS!$M$3:$M$3002,MATCH($C687,DESPACHOS!$B$3:$B$3002,0))),"")</f>
        <v/>
      </c>
      <c r="T687" s="41" t="n"/>
      <c r="U687" s="43">
        <f>IF(OR($B687="",$L687=""),"",WORKDAY($B687,IFERROR(INDEX(LISTAS!$C$3:$C$42,MATCH($L687,LISTAS!$A$3:$A$42,0)),3)))</f>
        <v/>
      </c>
      <c r="V687" s="40" t="n"/>
      <c r="W687" s="19">
        <f>IF($B687="","",IF($V687&lt;&gt;"",$V687-$B687,TODAY()-$B687))</f>
        <v/>
      </c>
      <c r="X687" s="19">
        <f>IF(OR($B687="",$U687=""),"",IF($V687&lt;&gt;"",MAX(0,$V687-$U687),MAX(0,TODAY()-$U687)))</f>
        <v/>
      </c>
      <c r="Y687" s="39">
        <f>IF($C687="","",IF(IFERROR(INDEX(LISTAS!$I$3:$I$42,MATCH($T687,LISTAS!$H$3:$H$42,0)),"NO")="SÍ",IF(N($X687)&gt;0,"CERRADA FUERA DE SLA","CERRADA EN SLA"),IF($U687="","SIN CLASIFICAR",IF(N($X687)&gt;0,"VENCIDA",IF(TODAY()&gt;=$U687-1,"POR VENCER","EN PLAZO")))))</f>
        <v/>
      </c>
      <c r="Z687" s="41" t="n"/>
      <c r="AA687" s="41" t="n"/>
      <c r="AB687" s="41" t="n"/>
    </row>
    <row r="688">
      <c r="A688" s="39">
        <f>IF($C688="","","NOV-"&amp;TEXT(ROW()-3,"0000"))</f>
        <v/>
      </c>
      <c r="B688" s="40" t="n"/>
      <c r="C688" s="41" t="n"/>
      <c r="D688" s="42">
        <f>IF($C688="","",IFERROR(INDEX(DESPACHOS!$D$3:$D$3002,MATCH($C688,DESPACHOS!$B$3:$B$3002,0)),"SIN DESPACHO"))</f>
        <v/>
      </c>
      <c r="E688" s="42">
        <f>IF($C688="","",IFERROR(INDEX(DESPACHOS!$K$3:$K$3002,MATCH($C688,DESPACHOS!$B$3:$B$3002,0)),""))</f>
        <v/>
      </c>
      <c r="F688" s="42">
        <f>IF($C688="","",IFERROR(INDEX(DESPACHOS!$I$3:$I$3002,MATCH($C688,DESPACHOS!$B$3:$B$3002,0)),""))</f>
        <v/>
      </c>
      <c r="G688" s="42">
        <f>IF($C688="","",IFERROR(INDEX(DESPACHOS!$F$3:$F$3002,MATCH($C688,DESPACHOS!$B$3:$B$3002,0)),""))</f>
        <v/>
      </c>
      <c r="H688" s="42">
        <f>IF($C688="","",IFERROR(INDEX(DESPACHOS!$G$3:$G$3002,MATCH($C688,DESPACHOS!$B$3:$B$3002,0)),""))</f>
        <v/>
      </c>
      <c r="I688" s="39">
        <f>IF($C688="","",IFERROR(INDEX(DESPACHOS!$H$3:$H$3002,MATCH($C688,DESPACHOS!$B$3:$B$3002,0)),""))</f>
        <v/>
      </c>
      <c r="J688" s="43">
        <f>IF($C688="","",IFERROR(INDEX(DESPACHOS!$J$3:$J$3002,MATCH($C688,DESPACHOS!$B$3:$B$3002,0)),""))</f>
        <v/>
      </c>
      <c r="K688" s="39">
        <f>IF($C688="","",IF(COUNTIFS(DESPACHOS!$B$3:$B$3002,$C688)=0,"NO EXISTE",IF(COUNTIFS(DESPACHOS!$B$3:$B$3002,$C688)&gt;1,"DUPLICADO","OK")))</f>
        <v/>
      </c>
      <c r="L688" s="41" t="n"/>
      <c r="M688" s="41" t="n"/>
      <c r="N688" s="42">
        <f>IF($M688="","",IFERROR(INDEX(LISTAS!$F$3:$F$42,MATCH($M688,LISTAS!$E$3:$E$42,0)),"Por definir"))</f>
        <v/>
      </c>
      <c r="O688" s="41" t="n"/>
      <c r="P688" s="39">
        <f>IF($L688="","",IFERROR(INDEX(LISTAS!$B$3:$B$42,MATCH($L688,LISTAS!$A$3:$A$42,0)),"Media"))</f>
        <v/>
      </c>
      <c r="Q688" s="44" t="n"/>
      <c r="R688" s="45" t="n"/>
      <c r="S688" s="20">
        <f>IFERROR(IF(OR($R688="",$C688=""),"",$R688/INDEX(DESPACHOS!$M$3:$M$3002,MATCH($C688,DESPACHOS!$B$3:$B$3002,0))),"")</f>
        <v/>
      </c>
      <c r="T688" s="41" t="n"/>
      <c r="U688" s="43">
        <f>IF(OR($B688="",$L688=""),"",WORKDAY($B688,IFERROR(INDEX(LISTAS!$C$3:$C$42,MATCH($L688,LISTAS!$A$3:$A$42,0)),3)))</f>
        <v/>
      </c>
      <c r="V688" s="40" t="n"/>
      <c r="W688" s="19">
        <f>IF($B688="","",IF($V688&lt;&gt;"",$V688-$B688,TODAY()-$B688))</f>
        <v/>
      </c>
      <c r="X688" s="19">
        <f>IF(OR($B688="",$U688=""),"",IF($V688&lt;&gt;"",MAX(0,$V688-$U688),MAX(0,TODAY()-$U688)))</f>
        <v/>
      </c>
      <c r="Y688" s="39">
        <f>IF($C688="","",IF(IFERROR(INDEX(LISTAS!$I$3:$I$42,MATCH($T688,LISTAS!$H$3:$H$42,0)),"NO")="SÍ",IF(N($X688)&gt;0,"CERRADA FUERA DE SLA","CERRADA EN SLA"),IF($U688="","SIN CLASIFICAR",IF(N($X688)&gt;0,"VENCIDA",IF(TODAY()&gt;=$U688-1,"POR VENCER","EN PLAZO")))))</f>
        <v/>
      </c>
      <c r="Z688" s="41" t="n"/>
      <c r="AA688" s="41" t="n"/>
      <c r="AB688" s="41" t="n"/>
    </row>
    <row r="689">
      <c r="A689" s="39">
        <f>IF($C689="","","NOV-"&amp;TEXT(ROW()-3,"0000"))</f>
        <v/>
      </c>
      <c r="B689" s="40" t="n"/>
      <c r="C689" s="41" t="n"/>
      <c r="D689" s="42">
        <f>IF($C689="","",IFERROR(INDEX(DESPACHOS!$D$3:$D$3002,MATCH($C689,DESPACHOS!$B$3:$B$3002,0)),"SIN DESPACHO"))</f>
        <v/>
      </c>
      <c r="E689" s="42">
        <f>IF($C689="","",IFERROR(INDEX(DESPACHOS!$K$3:$K$3002,MATCH($C689,DESPACHOS!$B$3:$B$3002,0)),""))</f>
        <v/>
      </c>
      <c r="F689" s="42">
        <f>IF($C689="","",IFERROR(INDEX(DESPACHOS!$I$3:$I$3002,MATCH($C689,DESPACHOS!$B$3:$B$3002,0)),""))</f>
        <v/>
      </c>
      <c r="G689" s="42">
        <f>IF($C689="","",IFERROR(INDEX(DESPACHOS!$F$3:$F$3002,MATCH($C689,DESPACHOS!$B$3:$B$3002,0)),""))</f>
        <v/>
      </c>
      <c r="H689" s="42">
        <f>IF($C689="","",IFERROR(INDEX(DESPACHOS!$G$3:$G$3002,MATCH($C689,DESPACHOS!$B$3:$B$3002,0)),""))</f>
        <v/>
      </c>
      <c r="I689" s="39">
        <f>IF($C689="","",IFERROR(INDEX(DESPACHOS!$H$3:$H$3002,MATCH($C689,DESPACHOS!$B$3:$B$3002,0)),""))</f>
        <v/>
      </c>
      <c r="J689" s="43">
        <f>IF($C689="","",IFERROR(INDEX(DESPACHOS!$J$3:$J$3002,MATCH($C689,DESPACHOS!$B$3:$B$3002,0)),""))</f>
        <v/>
      </c>
      <c r="K689" s="39">
        <f>IF($C689="","",IF(COUNTIFS(DESPACHOS!$B$3:$B$3002,$C689)=0,"NO EXISTE",IF(COUNTIFS(DESPACHOS!$B$3:$B$3002,$C689)&gt;1,"DUPLICADO","OK")))</f>
        <v/>
      </c>
      <c r="L689" s="41" t="n"/>
      <c r="M689" s="41" t="n"/>
      <c r="N689" s="42">
        <f>IF($M689="","",IFERROR(INDEX(LISTAS!$F$3:$F$42,MATCH($M689,LISTAS!$E$3:$E$42,0)),"Por definir"))</f>
        <v/>
      </c>
      <c r="O689" s="41" t="n"/>
      <c r="P689" s="39">
        <f>IF($L689="","",IFERROR(INDEX(LISTAS!$B$3:$B$42,MATCH($L689,LISTAS!$A$3:$A$42,0)),"Media"))</f>
        <v/>
      </c>
      <c r="Q689" s="44" t="n"/>
      <c r="R689" s="45" t="n"/>
      <c r="S689" s="20">
        <f>IFERROR(IF(OR($R689="",$C689=""),"",$R689/INDEX(DESPACHOS!$M$3:$M$3002,MATCH($C689,DESPACHOS!$B$3:$B$3002,0))),"")</f>
        <v/>
      </c>
      <c r="T689" s="41" t="n"/>
      <c r="U689" s="43">
        <f>IF(OR($B689="",$L689=""),"",WORKDAY($B689,IFERROR(INDEX(LISTAS!$C$3:$C$42,MATCH($L689,LISTAS!$A$3:$A$42,0)),3)))</f>
        <v/>
      </c>
      <c r="V689" s="40" t="n"/>
      <c r="W689" s="19">
        <f>IF($B689="","",IF($V689&lt;&gt;"",$V689-$B689,TODAY()-$B689))</f>
        <v/>
      </c>
      <c r="X689" s="19">
        <f>IF(OR($B689="",$U689=""),"",IF($V689&lt;&gt;"",MAX(0,$V689-$U689),MAX(0,TODAY()-$U689)))</f>
        <v/>
      </c>
      <c r="Y689" s="39">
        <f>IF($C689="","",IF(IFERROR(INDEX(LISTAS!$I$3:$I$42,MATCH($T689,LISTAS!$H$3:$H$42,0)),"NO")="SÍ",IF(N($X689)&gt;0,"CERRADA FUERA DE SLA","CERRADA EN SLA"),IF($U689="","SIN CLASIFICAR",IF(N($X689)&gt;0,"VENCIDA",IF(TODAY()&gt;=$U689-1,"POR VENCER","EN PLAZO")))))</f>
        <v/>
      </c>
      <c r="Z689" s="41" t="n"/>
      <c r="AA689" s="41" t="n"/>
      <c r="AB689" s="41" t="n"/>
    </row>
    <row r="690">
      <c r="A690" s="39">
        <f>IF($C690="","","NOV-"&amp;TEXT(ROW()-3,"0000"))</f>
        <v/>
      </c>
      <c r="B690" s="40" t="n"/>
      <c r="C690" s="41" t="n"/>
      <c r="D690" s="42">
        <f>IF($C690="","",IFERROR(INDEX(DESPACHOS!$D$3:$D$3002,MATCH($C690,DESPACHOS!$B$3:$B$3002,0)),"SIN DESPACHO"))</f>
        <v/>
      </c>
      <c r="E690" s="42">
        <f>IF($C690="","",IFERROR(INDEX(DESPACHOS!$K$3:$K$3002,MATCH($C690,DESPACHOS!$B$3:$B$3002,0)),""))</f>
        <v/>
      </c>
      <c r="F690" s="42">
        <f>IF($C690="","",IFERROR(INDEX(DESPACHOS!$I$3:$I$3002,MATCH($C690,DESPACHOS!$B$3:$B$3002,0)),""))</f>
        <v/>
      </c>
      <c r="G690" s="42">
        <f>IF($C690="","",IFERROR(INDEX(DESPACHOS!$F$3:$F$3002,MATCH($C690,DESPACHOS!$B$3:$B$3002,0)),""))</f>
        <v/>
      </c>
      <c r="H690" s="42">
        <f>IF($C690="","",IFERROR(INDEX(DESPACHOS!$G$3:$G$3002,MATCH($C690,DESPACHOS!$B$3:$B$3002,0)),""))</f>
        <v/>
      </c>
      <c r="I690" s="39">
        <f>IF($C690="","",IFERROR(INDEX(DESPACHOS!$H$3:$H$3002,MATCH($C690,DESPACHOS!$B$3:$B$3002,0)),""))</f>
        <v/>
      </c>
      <c r="J690" s="43">
        <f>IF($C690="","",IFERROR(INDEX(DESPACHOS!$J$3:$J$3002,MATCH($C690,DESPACHOS!$B$3:$B$3002,0)),""))</f>
        <v/>
      </c>
      <c r="K690" s="39">
        <f>IF($C690="","",IF(COUNTIFS(DESPACHOS!$B$3:$B$3002,$C690)=0,"NO EXISTE",IF(COUNTIFS(DESPACHOS!$B$3:$B$3002,$C690)&gt;1,"DUPLICADO","OK")))</f>
        <v/>
      </c>
      <c r="L690" s="41" t="n"/>
      <c r="M690" s="41" t="n"/>
      <c r="N690" s="42">
        <f>IF($M690="","",IFERROR(INDEX(LISTAS!$F$3:$F$42,MATCH($M690,LISTAS!$E$3:$E$42,0)),"Por definir"))</f>
        <v/>
      </c>
      <c r="O690" s="41" t="n"/>
      <c r="P690" s="39">
        <f>IF($L690="","",IFERROR(INDEX(LISTAS!$B$3:$B$42,MATCH($L690,LISTAS!$A$3:$A$42,0)),"Media"))</f>
        <v/>
      </c>
      <c r="Q690" s="44" t="n"/>
      <c r="R690" s="45" t="n"/>
      <c r="S690" s="20">
        <f>IFERROR(IF(OR($R690="",$C690=""),"",$R690/INDEX(DESPACHOS!$M$3:$M$3002,MATCH($C690,DESPACHOS!$B$3:$B$3002,0))),"")</f>
        <v/>
      </c>
      <c r="T690" s="41" t="n"/>
      <c r="U690" s="43">
        <f>IF(OR($B690="",$L690=""),"",WORKDAY($B690,IFERROR(INDEX(LISTAS!$C$3:$C$42,MATCH($L690,LISTAS!$A$3:$A$42,0)),3)))</f>
        <v/>
      </c>
      <c r="V690" s="40" t="n"/>
      <c r="W690" s="19">
        <f>IF($B690="","",IF($V690&lt;&gt;"",$V690-$B690,TODAY()-$B690))</f>
        <v/>
      </c>
      <c r="X690" s="19">
        <f>IF(OR($B690="",$U690=""),"",IF($V690&lt;&gt;"",MAX(0,$V690-$U690),MAX(0,TODAY()-$U690)))</f>
        <v/>
      </c>
      <c r="Y690" s="39">
        <f>IF($C690="","",IF(IFERROR(INDEX(LISTAS!$I$3:$I$42,MATCH($T690,LISTAS!$H$3:$H$42,0)),"NO")="SÍ",IF(N($X690)&gt;0,"CERRADA FUERA DE SLA","CERRADA EN SLA"),IF($U690="","SIN CLASIFICAR",IF(N($X690)&gt;0,"VENCIDA",IF(TODAY()&gt;=$U690-1,"POR VENCER","EN PLAZO")))))</f>
        <v/>
      </c>
      <c r="Z690" s="41" t="n"/>
      <c r="AA690" s="41" t="n"/>
      <c r="AB690" s="41" t="n"/>
    </row>
    <row r="691">
      <c r="A691" s="39">
        <f>IF($C691="","","NOV-"&amp;TEXT(ROW()-3,"0000"))</f>
        <v/>
      </c>
      <c r="B691" s="40" t="n"/>
      <c r="C691" s="41" t="n"/>
      <c r="D691" s="42">
        <f>IF($C691="","",IFERROR(INDEX(DESPACHOS!$D$3:$D$3002,MATCH($C691,DESPACHOS!$B$3:$B$3002,0)),"SIN DESPACHO"))</f>
        <v/>
      </c>
      <c r="E691" s="42">
        <f>IF($C691="","",IFERROR(INDEX(DESPACHOS!$K$3:$K$3002,MATCH($C691,DESPACHOS!$B$3:$B$3002,0)),""))</f>
        <v/>
      </c>
      <c r="F691" s="42">
        <f>IF($C691="","",IFERROR(INDEX(DESPACHOS!$I$3:$I$3002,MATCH($C691,DESPACHOS!$B$3:$B$3002,0)),""))</f>
        <v/>
      </c>
      <c r="G691" s="42">
        <f>IF($C691="","",IFERROR(INDEX(DESPACHOS!$F$3:$F$3002,MATCH($C691,DESPACHOS!$B$3:$B$3002,0)),""))</f>
        <v/>
      </c>
      <c r="H691" s="42">
        <f>IF($C691="","",IFERROR(INDEX(DESPACHOS!$G$3:$G$3002,MATCH($C691,DESPACHOS!$B$3:$B$3002,0)),""))</f>
        <v/>
      </c>
      <c r="I691" s="39">
        <f>IF($C691="","",IFERROR(INDEX(DESPACHOS!$H$3:$H$3002,MATCH($C691,DESPACHOS!$B$3:$B$3002,0)),""))</f>
        <v/>
      </c>
      <c r="J691" s="43">
        <f>IF($C691="","",IFERROR(INDEX(DESPACHOS!$J$3:$J$3002,MATCH($C691,DESPACHOS!$B$3:$B$3002,0)),""))</f>
        <v/>
      </c>
      <c r="K691" s="39">
        <f>IF($C691="","",IF(COUNTIFS(DESPACHOS!$B$3:$B$3002,$C691)=0,"NO EXISTE",IF(COUNTIFS(DESPACHOS!$B$3:$B$3002,$C691)&gt;1,"DUPLICADO","OK")))</f>
        <v/>
      </c>
      <c r="L691" s="41" t="n"/>
      <c r="M691" s="41" t="n"/>
      <c r="N691" s="42">
        <f>IF($M691="","",IFERROR(INDEX(LISTAS!$F$3:$F$42,MATCH($M691,LISTAS!$E$3:$E$42,0)),"Por definir"))</f>
        <v/>
      </c>
      <c r="O691" s="41" t="n"/>
      <c r="P691" s="39">
        <f>IF($L691="","",IFERROR(INDEX(LISTAS!$B$3:$B$42,MATCH($L691,LISTAS!$A$3:$A$42,0)),"Media"))</f>
        <v/>
      </c>
      <c r="Q691" s="44" t="n"/>
      <c r="R691" s="45" t="n"/>
      <c r="S691" s="20">
        <f>IFERROR(IF(OR($R691="",$C691=""),"",$R691/INDEX(DESPACHOS!$M$3:$M$3002,MATCH($C691,DESPACHOS!$B$3:$B$3002,0))),"")</f>
        <v/>
      </c>
      <c r="T691" s="41" t="n"/>
      <c r="U691" s="43">
        <f>IF(OR($B691="",$L691=""),"",WORKDAY($B691,IFERROR(INDEX(LISTAS!$C$3:$C$42,MATCH($L691,LISTAS!$A$3:$A$42,0)),3)))</f>
        <v/>
      </c>
      <c r="V691" s="40" t="n"/>
      <c r="W691" s="19">
        <f>IF($B691="","",IF($V691&lt;&gt;"",$V691-$B691,TODAY()-$B691))</f>
        <v/>
      </c>
      <c r="X691" s="19">
        <f>IF(OR($B691="",$U691=""),"",IF($V691&lt;&gt;"",MAX(0,$V691-$U691),MAX(0,TODAY()-$U691)))</f>
        <v/>
      </c>
      <c r="Y691" s="39">
        <f>IF($C691="","",IF(IFERROR(INDEX(LISTAS!$I$3:$I$42,MATCH($T691,LISTAS!$H$3:$H$42,0)),"NO")="SÍ",IF(N($X691)&gt;0,"CERRADA FUERA DE SLA","CERRADA EN SLA"),IF($U691="","SIN CLASIFICAR",IF(N($X691)&gt;0,"VENCIDA",IF(TODAY()&gt;=$U691-1,"POR VENCER","EN PLAZO")))))</f>
        <v/>
      </c>
      <c r="Z691" s="41" t="n"/>
      <c r="AA691" s="41" t="n"/>
      <c r="AB691" s="41" t="n"/>
    </row>
    <row r="692">
      <c r="A692" s="39">
        <f>IF($C692="","","NOV-"&amp;TEXT(ROW()-3,"0000"))</f>
        <v/>
      </c>
      <c r="B692" s="40" t="n"/>
      <c r="C692" s="41" t="n"/>
      <c r="D692" s="42">
        <f>IF($C692="","",IFERROR(INDEX(DESPACHOS!$D$3:$D$3002,MATCH($C692,DESPACHOS!$B$3:$B$3002,0)),"SIN DESPACHO"))</f>
        <v/>
      </c>
      <c r="E692" s="42">
        <f>IF($C692="","",IFERROR(INDEX(DESPACHOS!$K$3:$K$3002,MATCH($C692,DESPACHOS!$B$3:$B$3002,0)),""))</f>
        <v/>
      </c>
      <c r="F692" s="42">
        <f>IF($C692="","",IFERROR(INDEX(DESPACHOS!$I$3:$I$3002,MATCH($C692,DESPACHOS!$B$3:$B$3002,0)),""))</f>
        <v/>
      </c>
      <c r="G692" s="42">
        <f>IF($C692="","",IFERROR(INDEX(DESPACHOS!$F$3:$F$3002,MATCH($C692,DESPACHOS!$B$3:$B$3002,0)),""))</f>
        <v/>
      </c>
      <c r="H692" s="42">
        <f>IF($C692="","",IFERROR(INDEX(DESPACHOS!$G$3:$G$3002,MATCH($C692,DESPACHOS!$B$3:$B$3002,0)),""))</f>
        <v/>
      </c>
      <c r="I692" s="39">
        <f>IF($C692="","",IFERROR(INDEX(DESPACHOS!$H$3:$H$3002,MATCH($C692,DESPACHOS!$B$3:$B$3002,0)),""))</f>
        <v/>
      </c>
      <c r="J692" s="43">
        <f>IF($C692="","",IFERROR(INDEX(DESPACHOS!$J$3:$J$3002,MATCH($C692,DESPACHOS!$B$3:$B$3002,0)),""))</f>
        <v/>
      </c>
      <c r="K692" s="39">
        <f>IF($C692="","",IF(COUNTIFS(DESPACHOS!$B$3:$B$3002,$C692)=0,"NO EXISTE",IF(COUNTIFS(DESPACHOS!$B$3:$B$3002,$C692)&gt;1,"DUPLICADO","OK")))</f>
        <v/>
      </c>
      <c r="L692" s="41" t="n"/>
      <c r="M692" s="41" t="n"/>
      <c r="N692" s="42">
        <f>IF($M692="","",IFERROR(INDEX(LISTAS!$F$3:$F$42,MATCH($M692,LISTAS!$E$3:$E$42,0)),"Por definir"))</f>
        <v/>
      </c>
      <c r="O692" s="41" t="n"/>
      <c r="P692" s="39">
        <f>IF($L692="","",IFERROR(INDEX(LISTAS!$B$3:$B$42,MATCH($L692,LISTAS!$A$3:$A$42,0)),"Media"))</f>
        <v/>
      </c>
      <c r="Q692" s="44" t="n"/>
      <c r="R692" s="45" t="n"/>
      <c r="S692" s="20">
        <f>IFERROR(IF(OR($R692="",$C692=""),"",$R692/INDEX(DESPACHOS!$M$3:$M$3002,MATCH($C692,DESPACHOS!$B$3:$B$3002,0))),"")</f>
        <v/>
      </c>
      <c r="T692" s="41" t="n"/>
      <c r="U692" s="43">
        <f>IF(OR($B692="",$L692=""),"",WORKDAY($B692,IFERROR(INDEX(LISTAS!$C$3:$C$42,MATCH($L692,LISTAS!$A$3:$A$42,0)),3)))</f>
        <v/>
      </c>
      <c r="V692" s="40" t="n"/>
      <c r="W692" s="19">
        <f>IF($B692="","",IF($V692&lt;&gt;"",$V692-$B692,TODAY()-$B692))</f>
        <v/>
      </c>
      <c r="X692" s="19">
        <f>IF(OR($B692="",$U692=""),"",IF($V692&lt;&gt;"",MAX(0,$V692-$U692),MAX(0,TODAY()-$U692)))</f>
        <v/>
      </c>
      <c r="Y692" s="39">
        <f>IF($C692="","",IF(IFERROR(INDEX(LISTAS!$I$3:$I$42,MATCH($T692,LISTAS!$H$3:$H$42,0)),"NO")="SÍ",IF(N($X692)&gt;0,"CERRADA FUERA DE SLA","CERRADA EN SLA"),IF($U692="","SIN CLASIFICAR",IF(N($X692)&gt;0,"VENCIDA",IF(TODAY()&gt;=$U692-1,"POR VENCER","EN PLAZO")))))</f>
        <v/>
      </c>
      <c r="Z692" s="41" t="n"/>
      <c r="AA692" s="41" t="n"/>
      <c r="AB692" s="41" t="n"/>
    </row>
    <row r="693">
      <c r="A693" s="39">
        <f>IF($C693="","","NOV-"&amp;TEXT(ROW()-3,"0000"))</f>
        <v/>
      </c>
      <c r="B693" s="40" t="n"/>
      <c r="C693" s="41" t="n"/>
      <c r="D693" s="42">
        <f>IF($C693="","",IFERROR(INDEX(DESPACHOS!$D$3:$D$3002,MATCH($C693,DESPACHOS!$B$3:$B$3002,0)),"SIN DESPACHO"))</f>
        <v/>
      </c>
      <c r="E693" s="42">
        <f>IF($C693="","",IFERROR(INDEX(DESPACHOS!$K$3:$K$3002,MATCH($C693,DESPACHOS!$B$3:$B$3002,0)),""))</f>
        <v/>
      </c>
      <c r="F693" s="42">
        <f>IF($C693="","",IFERROR(INDEX(DESPACHOS!$I$3:$I$3002,MATCH($C693,DESPACHOS!$B$3:$B$3002,0)),""))</f>
        <v/>
      </c>
      <c r="G693" s="42">
        <f>IF($C693="","",IFERROR(INDEX(DESPACHOS!$F$3:$F$3002,MATCH($C693,DESPACHOS!$B$3:$B$3002,0)),""))</f>
        <v/>
      </c>
      <c r="H693" s="42">
        <f>IF($C693="","",IFERROR(INDEX(DESPACHOS!$G$3:$G$3002,MATCH($C693,DESPACHOS!$B$3:$B$3002,0)),""))</f>
        <v/>
      </c>
      <c r="I693" s="39">
        <f>IF($C693="","",IFERROR(INDEX(DESPACHOS!$H$3:$H$3002,MATCH($C693,DESPACHOS!$B$3:$B$3002,0)),""))</f>
        <v/>
      </c>
      <c r="J693" s="43">
        <f>IF($C693="","",IFERROR(INDEX(DESPACHOS!$J$3:$J$3002,MATCH($C693,DESPACHOS!$B$3:$B$3002,0)),""))</f>
        <v/>
      </c>
      <c r="K693" s="39">
        <f>IF($C693="","",IF(COUNTIFS(DESPACHOS!$B$3:$B$3002,$C693)=0,"NO EXISTE",IF(COUNTIFS(DESPACHOS!$B$3:$B$3002,$C693)&gt;1,"DUPLICADO","OK")))</f>
        <v/>
      </c>
      <c r="L693" s="41" t="n"/>
      <c r="M693" s="41" t="n"/>
      <c r="N693" s="42">
        <f>IF($M693="","",IFERROR(INDEX(LISTAS!$F$3:$F$42,MATCH($M693,LISTAS!$E$3:$E$42,0)),"Por definir"))</f>
        <v/>
      </c>
      <c r="O693" s="41" t="n"/>
      <c r="P693" s="39">
        <f>IF($L693="","",IFERROR(INDEX(LISTAS!$B$3:$B$42,MATCH($L693,LISTAS!$A$3:$A$42,0)),"Media"))</f>
        <v/>
      </c>
      <c r="Q693" s="44" t="n"/>
      <c r="R693" s="45" t="n"/>
      <c r="S693" s="20">
        <f>IFERROR(IF(OR($R693="",$C693=""),"",$R693/INDEX(DESPACHOS!$M$3:$M$3002,MATCH($C693,DESPACHOS!$B$3:$B$3002,0))),"")</f>
        <v/>
      </c>
      <c r="T693" s="41" t="n"/>
      <c r="U693" s="43">
        <f>IF(OR($B693="",$L693=""),"",WORKDAY($B693,IFERROR(INDEX(LISTAS!$C$3:$C$42,MATCH($L693,LISTAS!$A$3:$A$42,0)),3)))</f>
        <v/>
      </c>
      <c r="V693" s="40" t="n"/>
      <c r="W693" s="19">
        <f>IF($B693="","",IF($V693&lt;&gt;"",$V693-$B693,TODAY()-$B693))</f>
        <v/>
      </c>
      <c r="X693" s="19">
        <f>IF(OR($B693="",$U693=""),"",IF($V693&lt;&gt;"",MAX(0,$V693-$U693),MAX(0,TODAY()-$U693)))</f>
        <v/>
      </c>
      <c r="Y693" s="39">
        <f>IF($C693="","",IF(IFERROR(INDEX(LISTAS!$I$3:$I$42,MATCH($T693,LISTAS!$H$3:$H$42,0)),"NO")="SÍ",IF(N($X693)&gt;0,"CERRADA FUERA DE SLA","CERRADA EN SLA"),IF($U693="","SIN CLASIFICAR",IF(N($X693)&gt;0,"VENCIDA",IF(TODAY()&gt;=$U693-1,"POR VENCER","EN PLAZO")))))</f>
        <v/>
      </c>
      <c r="Z693" s="41" t="n"/>
      <c r="AA693" s="41" t="n"/>
      <c r="AB693" s="41" t="n"/>
    </row>
    <row r="694">
      <c r="A694" s="39">
        <f>IF($C694="","","NOV-"&amp;TEXT(ROW()-3,"0000"))</f>
        <v/>
      </c>
      <c r="B694" s="40" t="n"/>
      <c r="C694" s="41" t="n"/>
      <c r="D694" s="42">
        <f>IF($C694="","",IFERROR(INDEX(DESPACHOS!$D$3:$D$3002,MATCH($C694,DESPACHOS!$B$3:$B$3002,0)),"SIN DESPACHO"))</f>
        <v/>
      </c>
      <c r="E694" s="42">
        <f>IF($C694="","",IFERROR(INDEX(DESPACHOS!$K$3:$K$3002,MATCH($C694,DESPACHOS!$B$3:$B$3002,0)),""))</f>
        <v/>
      </c>
      <c r="F694" s="42">
        <f>IF($C694="","",IFERROR(INDEX(DESPACHOS!$I$3:$I$3002,MATCH($C694,DESPACHOS!$B$3:$B$3002,0)),""))</f>
        <v/>
      </c>
      <c r="G694" s="42">
        <f>IF($C694="","",IFERROR(INDEX(DESPACHOS!$F$3:$F$3002,MATCH($C694,DESPACHOS!$B$3:$B$3002,0)),""))</f>
        <v/>
      </c>
      <c r="H694" s="42">
        <f>IF($C694="","",IFERROR(INDEX(DESPACHOS!$G$3:$G$3002,MATCH($C694,DESPACHOS!$B$3:$B$3002,0)),""))</f>
        <v/>
      </c>
      <c r="I694" s="39">
        <f>IF($C694="","",IFERROR(INDEX(DESPACHOS!$H$3:$H$3002,MATCH($C694,DESPACHOS!$B$3:$B$3002,0)),""))</f>
        <v/>
      </c>
      <c r="J694" s="43">
        <f>IF($C694="","",IFERROR(INDEX(DESPACHOS!$J$3:$J$3002,MATCH($C694,DESPACHOS!$B$3:$B$3002,0)),""))</f>
        <v/>
      </c>
      <c r="K694" s="39">
        <f>IF($C694="","",IF(COUNTIFS(DESPACHOS!$B$3:$B$3002,$C694)=0,"NO EXISTE",IF(COUNTIFS(DESPACHOS!$B$3:$B$3002,$C694)&gt;1,"DUPLICADO","OK")))</f>
        <v/>
      </c>
      <c r="L694" s="41" t="n"/>
      <c r="M694" s="41" t="n"/>
      <c r="N694" s="42">
        <f>IF($M694="","",IFERROR(INDEX(LISTAS!$F$3:$F$42,MATCH($M694,LISTAS!$E$3:$E$42,0)),"Por definir"))</f>
        <v/>
      </c>
      <c r="O694" s="41" t="n"/>
      <c r="P694" s="39">
        <f>IF($L694="","",IFERROR(INDEX(LISTAS!$B$3:$B$42,MATCH($L694,LISTAS!$A$3:$A$42,0)),"Media"))</f>
        <v/>
      </c>
      <c r="Q694" s="44" t="n"/>
      <c r="R694" s="45" t="n"/>
      <c r="S694" s="20">
        <f>IFERROR(IF(OR($R694="",$C694=""),"",$R694/INDEX(DESPACHOS!$M$3:$M$3002,MATCH($C694,DESPACHOS!$B$3:$B$3002,0))),"")</f>
        <v/>
      </c>
      <c r="T694" s="41" t="n"/>
      <c r="U694" s="43">
        <f>IF(OR($B694="",$L694=""),"",WORKDAY($B694,IFERROR(INDEX(LISTAS!$C$3:$C$42,MATCH($L694,LISTAS!$A$3:$A$42,0)),3)))</f>
        <v/>
      </c>
      <c r="V694" s="40" t="n"/>
      <c r="W694" s="19">
        <f>IF($B694="","",IF($V694&lt;&gt;"",$V694-$B694,TODAY()-$B694))</f>
        <v/>
      </c>
      <c r="X694" s="19">
        <f>IF(OR($B694="",$U694=""),"",IF($V694&lt;&gt;"",MAX(0,$V694-$U694),MAX(0,TODAY()-$U694)))</f>
        <v/>
      </c>
      <c r="Y694" s="39">
        <f>IF($C694="","",IF(IFERROR(INDEX(LISTAS!$I$3:$I$42,MATCH($T694,LISTAS!$H$3:$H$42,0)),"NO")="SÍ",IF(N($X694)&gt;0,"CERRADA FUERA DE SLA","CERRADA EN SLA"),IF($U694="","SIN CLASIFICAR",IF(N($X694)&gt;0,"VENCIDA",IF(TODAY()&gt;=$U694-1,"POR VENCER","EN PLAZO")))))</f>
        <v/>
      </c>
      <c r="Z694" s="41" t="n"/>
      <c r="AA694" s="41" t="n"/>
      <c r="AB694" s="41" t="n"/>
    </row>
    <row r="695">
      <c r="A695" s="39">
        <f>IF($C695="","","NOV-"&amp;TEXT(ROW()-3,"0000"))</f>
        <v/>
      </c>
      <c r="B695" s="40" t="n"/>
      <c r="C695" s="41" t="n"/>
      <c r="D695" s="42">
        <f>IF($C695="","",IFERROR(INDEX(DESPACHOS!$D$3:$D$3002,MATCH($C695,DESPACHOS!$B$3:$B$3002,0)),"SIN DESPACHO"))</f>
        <v/>
      </c>
      <c r="E695" s="42">
        <f>IF($C695="","",IFERROR(INDEX(DESPACHOS!$K$3:$K$3002,MATCH($C695,DESPACHOS!$B$3:$B$3002,0)),""))</f>
        <v/>
      </c>
      <c r="F695" s="42">
        <f>IF($C695="","",IFERROR(INDEX(DESPACHOS!$I$3:$I$3002,MATCH($C695,DESPACHOS!$B$3:$B$3002,0)),""))</f>
        <v/>
      </c>
      <c r="G695" s="42">
        <f>IF($C695="","",IFERROR(INDEX(DESPACHOS!$F$3:$F$3002,MATCH($C695,DESPACHOS!$B$3:$B$3002,0)),""))</f>
        <v/>
      </c>
      <c r="H695" s="42">
        <f>IF($C695="","",IFERROR(INDEX(DESPACHOS!$G$3:$G$3002,MATCH($C695,DESPACHOS!$B$3:$B$3002,0)),""))</f>
        <v/>
      </c>
      <c r="I695" s="39">
        <f>IF($C695="","",IFERROR(INDEX(DESPACHOS!$H$3:$H$3002,MATCH($C695,DESPACHOS!$B$3:$B$3002,0)),""))</f>
        <v/>
      </c>
      <c r="J695" s="43">
        <f>IF($C695="","",IFERROR(INDEX(DESPACHOS!$J$3:$J$3002,MATCH($C695,DESPACHOS!$B$3:$B$3002,0)),""))</f>
        <v/>
      </c>
      <c r="K695" s="39">
        <f>IF($C695="","",IF(COUNTIFS(DESPACHOS!$B$3:$B$3002,$C695)=0,"NO EXISTE",IF(COUNTIFS(DESPACHOS!$B$3:$B$3002,$C695)&gt;1,"DUPLICADO","OK")))</f>
        <v/>
      </c>
      <c r="L695" s="41" t="n"/>
      <c r="M695" s="41" t="n"/>
      <c r="N695" s="42">
        <f>IF($M695="","",IFERROR(INDEX(LISTAS!$F$3:$F$42,MATCH($M695,LISTAS!$E$3:$E$42,0)),"Por definir"))</f>
        <v/>
      </c>
      <c r="O695" s="41" t="n"/>
      <c r="P695" s="39">
        <f>IF($L695="","",IFERROR(INDEX(LISTAS!$B$3:$B$42,MATCH($L695,LISTAS!$A$3:$A$42,0)),"Media"))</f>
        <v/>
      </c>
      <c r="Q695" s="44" t="n"/>
      <c r="R695" s="45" t="n"/>
      <c r="S695" s="20">
        <f>IFERROR(IF(OR($R695="",$C695=""),"",$R695/INDEX(DESPACHOS!$M$3:$M$3002,MATCH($C695,DESPACHOS!$B$3:$B$3002,0))),"")</f>
        <v/>
      </c>
      <c r="T695" s="41" t="n"/>
      <c r="U695" s="43">
        <f>IF(OR($B695="",$L695=""),"",WORKDAY($B695,IFERROR(INDEX(LISTAS!$C$3:$C$42,MATCH($L695,LISTAS!$A$3:$A$42,0)),3)))</f>
        <v/>
      </c>
      <c r="V695" s="40" t="n"/>
      <c r="W695" s="19">
        <f>IF($B695="","",IF($V695&lt;&gt;"",$V695-$B695,TODAY()-$B695))</f>
        <v/>
      </c>
      <c r="X695" s="19">
        <f>IF(OR($B695="",$U695=""),"",IF($V695&lt;&gt;"",MAX(0,$V695-$U695),MAX(0,TODAY()-$U695)))</f>
        <v/>
      </c>
      <c r="Y695" s="39">
        <f>IF($C695="","",IF(IFERROR(INDEX(LISTAS!$I$3:$I$42,MATCH($T695,LISTAS!$H$3:$H$42,0)),"NO")="SÍ",IF(N($X695)&gt;0,"CERRADA FUERA DE SLA","CERRADA EN SLA"),IF($U695="","SIN CLASIFICAR",IF(N($X695)&gt;0,"VENCIDA",IF(TODAY()&gt;=$U695-1,"POR VENCER","EN PLAZO")))))</f>
        <v/>
      </c>
      <c r="Z695" s="41" t="n"/>
      <c r="AA695" s="41" t="n"/>
      <c r="AB695" s="41" t="n"/>
    </row>
    <row r="696">
      <c r="A696" s="39">
        <f>IF($C696="","","NOV-"&amp;TEXT(ROW()-3,"0000"))</f>
        <v/>
      </c>
      <c r="B696" s="40" t="n"/>
      <c r="C696" s="41" t="n"/>
      <c r="D696" s="42">
        <f>IF($C696="","",IFERROR(INDEX(DESPACHOS!$D$3:$D$3002,MATCH($C696,DESPACHOS!$B$3:$B$3002,0)),"SIN DESPACHO"))</f>
        <v/>
      </c>
      <c r="E696" s="42">
        <f>IF($C696="","",IFERROR(INDEX(DESPACHOS!$K$3:$K$3002,MATCH($C696,DESPACHOS!$B$3:$B$3002,0)),""))</f>
        <v/>
      </c>
      <c r="F696" s="42">
        <f>IF($C696="","",IFERROR(INDEX(DESPACHOS!$I$3:$I$3002,MATCH($C696,DESPACHOS!$B$3:$B$3002,0)),""))</f>
        <v/>
      </c>
      <c r="G696" s="42">
        <f>IF($C696="","",IFERROR(INDEX(DESPACHOS!$F$3:$F$3002,MATCH($C696,DESPACHOS!$B$3:$B$3002,0)),""))</f>
        <v/>
      </c>
      <c r="H696" s="42">
        <f>IF($C696="","",IFERROR(INDEX(DESPACHOS!$G$3:$G$3002,MATCH($C696,DESPACHOS!$B$3:$B$3002,0)),""))</f>
        <v/>
      </c>
      <c r="I696" s="39">
        <f>IF($C696="","",IFERROR(INDEX(DESPACHOS!$H$3:$H$3002,MATCH($C696,DESPACHOS!$B$3:$B$3002,0)),""))</f>
        <v/>
      </c>
      <c r="J696" s="43">
        <f>IF($C696="","",IFERROR(INDEX(DESPACHOS!$J$3:$J$3002,MATCH($C696,DESPACHOS!$B$3:$B$3002,0)),""))</f>
        <v/>
      </c>
      <c r="K696" s="39">
        <f>IF($C696="","",IF(COUNTIFS(DESPACHOS!$B$3:$B$3002,$C696)=0,"NO EXISTE",IF(COUNTIFS(DESPACHOS!$B$3:$B$3002,$C696)&gt;1,"DUPLICADO","OK")))</f>
        <v/>
      </c>
      <c r="L696" s="41" t="n"/>
      <c r="M696" s="41" t="n"/>
      <c r="N696" s="42">
        <f>IF($M696="","",IFERROR(INDEX(LISTAS!$F$3:$F$42,MATCH($M696,LISTAS!$E$3:$E$42,0)),"Por definir"))</f>
        <v/>
      </c>
      <c r="O696" s="41" t="n"/>
      <c r="P696" s="39">
        <f>IF($L696="","",IFERROR(INDEX(LISTAS!$B$3:$B$42,MATCH($L696,LISTAS!$A$3:$A$42,0)),"Media"))</f>
        <v/>
      </c>
      <c r="Q696" s="44" t="n"/>
      <c r="R696" s="45" t="n"/>
      <c r="S696" s="20">
        <f>IFERROR(IF(OR($R696="",$C696=""),"",$R696/INDEX(DESPACHOS!$M$3:$M$3002,MATCH($C696,DESPACHOS!$B$3:$B$3002,0))),"")</f>
        <v/>
      </c>
      <c r="T696" s="41" t="n"/>
      <c r="U696" s="43">
        <f>IF(OR($B696="",$L696=""),"",WORKDAY($B696,IFERROR(INDEX(LISTAS!$C$3:$C$42,MATCH($L696,LISTAS!$A$3:$A$42,0)),3)))</f>
        <v/>
      </c>
      <c r="V696" s="40" t="n"/>
      <c r="W696" s="19">
        <f>IF($B696="","",IF($V696&lt;&gt;"",$V696-$B696,TODAY()-$B696))</f>
        <v/>
      </c>
      <c r="X696" s="19">
        <f>IF(OR($B696="",$U696=""),"",IF($V696&lt;&gt;"",MAX(0,$V696-$U696),MAX(0,TODAY()-$U696)))</f>
        <v/>
      </c>
      <c r="Y696" s="39">
        <f>IF($C696="","",IF(IFERROR(INDEX(LISTAS!$I$3:$I$42,MATCH($T696,LISTAS!$H$3:$H$42,0)),"NO")="SÍ",IF(N($X696)&gt;0,"CERRADA FUERA DE SLA","CERRADA EN SLA"),IF($U696="","SIN CLASIFICAR",IF(N($X696)&gt;0,"VENCIDA",IF(TODAY()&gt;=$U696-1,"POR VENCER","EN PLAZO")))))</f>
        <v/>
      </c>
      <c r="Z696" s="41" t="n"/>
      <c r="AA696" s="41" t="n"/>
      <c r="AB696" s="41" t="n"/>
    </row>
    <row r="697">
      <c r="A697" s="39">
        <f>IF($C697="","","NOV-"&amp;TEXT(ROW()-3,"0000"))</f>
        <v/>
      </c>
      <c r="B697" s="40" t="n"/>
      <c r="C697" s="41" t="n"/>
      <c r="D697" s="42">
        <f>IF($C697="","",IFERROR(INDEX(DESPACHOS!$D$3:$D$3002,MATCH($C697,DESPACHOS!$B$3:$B$3002,0)),"SIN DESPACHO"))</f>
        <v/>
      </c>
      <c r="E697" s="42">
        <f>IF($C697="","",IFERROR(INDEX(DESPACHOS!$K$3:$K$3002,MATCH($C697,DESPACHOS!$B$3:$B$3002,0)),""))</f>
        <v/>
      </c>
      <c r="F697" s="42">
        <f>IF($C697="","",IFERROR(INDEX(DESPACHOS!$I$3:$I$3002,MATCH($C697,DESPACHOS!$B$3:$B$3002,0)),""))</f>
        <v/>
      </c>
      <c r="G697" s="42">
        <f>IF($C697="","",IFERROR(INDEX(DESPACHOS!$F$3:$F$3002,MATCH($C697,DESPACHOS!$B$3:$B$3002,0)),""))</f>
        <v/>
      </c>
      <c r="H697" s="42">
        <f>IF($C697="","",IFERROR(INDEX(DESPACHOS!$G$3:$G$3002,MATCH($C697,DESPACHOS!$B$3:$B$3002,0)),""))</f>
        <v/>
      </c>
      <c r="I697" s="39">
        <f>IF($C697="","",IFERROR(INDEX(DESPACHOS!$H$3:$H$3002,MATCH($C697,DESPACHOS!$B$3:$B$3002,0)),""))</f>
        <v/>
      </c>
      <c r="J697" s="43">
        <f>IF($C697="","",IFERROR(INDEX(DESPACHOS!$J$3:$J$3002,MATCH($C697,DESPACHOS!$B$3:$B$3002,0)),""))</f>
        <v/>
      </c>
      <c r="K697" s="39">
        <f>IF($C697="","",IF(COUNTIFS(DESPACHOS!$B$3:$B$3002,$C697)=0,"NO EXISTE",IF(COUNTIFS(DESPACHOS!$B$3:$B$3002,$C697)&gt;1,"DUPLICADO","OK")))</f>
        <v/>
      </c>
      <c r="L697" s="41" t="n"/>
      <c r="M697" s="41" t="n"/>
      <c r="N697" s="42">
        <f>IF($M697="","",IFERROR(INDEX(LISTAS!$F$3:$F$42,MATCH($M697,LISTAS!$E$3:$E$42,0)),"Por definir"))</f>
        <v/>
      </c>
      <c r="O697" s="41" t="n"/>
      <c r="P697" s="39">
        <f>IF($L697="","",IFERROR(INDEX(LISTAS!$B$3:$B$42,MATCH($L697,LISTAS!$A$3:$A$42,0)),"Media"))</f>
        <v/>
      </c>
      <c r="Q697" s="44" t="n"/>
      <c r="R697" s="45" t="n"/>
      <c r="S697" s="20">
        <f>IFERROR(IF(OR($R697="",$C697=""),"",$R697/INDEX(DESPACHOS!$M$3:$M$3002,MATCH($C697,DESPACHOS!$B$3:$B$3002,0))),"")</f>
        <v/>
      </c>
      <c r="T697" s="41" t="n"/>
      <c r="U697" s="43">
        <f>IF(OR($B697="",$L697=""),"",WORKDAY($B697,IFERROR(INDEX(LISTAS!$C$3:$C$42,MATCH($L697,LISTAS!$A$3:$A$42,0)),3)))</f>
        <v/>
      </c>
      <c r="V697" s="40" t="n"/>
      <c r="W697" s="19">
        <f>IF($B697="","",IF($V697&lt;&gt;"",$V697-$B697,TODAY()-$B697))</f>
        <v/>
      </c>
      <c r="X697" s="19">
        <f>IF(OR($B697="",$U697=""),"",IF($V697&lt;&gt;"",MAX(0,$V697-$U697),MAX(0,TODAY()-$U697)))</f>
        <v/>
      </c>
      <c r="Y697" s="39">
        <f>IF($C697="","",IF(IFERROR(INDEX(LISTAS!$I$3:$I$42,MATCH($T697,LISTAS!$H$3:$H$42,0)),"NO")="SÍ",IF(N($X697)&gt;0,"CERRADA FUERA DE SLA","CERRADA EN SLA"),IF($U697="","SIN CLASIFICAR",IF(N($X697)&gt;0,"VENCIDA",IF(TODAY()&gt;=$U697-1,"POR VENCER","EN PLAZO")))))</f>
        <v/>
      </c>
      <c r="Z697" s="41" t="n"/>
      <c r="AA697" s="41" t="n"/>
      <c r="AB697" s="41" t="n"/>
    </row>
    <row r="698">
      <c r="A698" s="39">
        <f>IF($C698="","","NOV-"&amp;TEXT(ROW()-3,"0000"))</f>
        <v/>
      </c>
      <c r="B698" s="40" t="n"/>
      <c r="C698" s="41" t="n"/>
      <c r="D698" s="42">
        <f>IF($C698="","",IFERROR(INDEX(DESPACHOS!$D$3:$D$3002,MATCH($C698,DESPACHOS!$B$3:$B$3002,0)),"SIN DESPACHO"))</f>
        <v/>
      </c>
      <c r="E698" s="42">
        <f>IF($C698="","",IFERROR(INDEX(DESPACHOS!$K$3:$K$3002,MATCH($C698,DESPACHOS!$B$3:$B$3002,0)),""))</f>
        <v/>
      </c>
      <c r="F698" s="42">
        <f>IF($C698="","",IFERROR(INDEX(DESPACHOS!$I$3:$I$3002,MATCH($C698,DESPACHOS!$B$3:$B$3002,0)),""))</f>
        <v/>
      </c>
      <c r="G698" s="42">
        <f>IF($C698="","",IFERROR(INDEX(DESPACHOS!$F$3:$F$3002,MATCH($C698,DESPACHOS!$B$3:$B$3002,0)),""))</f>
        <v/>
      </c>
      <c r="H698" s="42">
        <f>IF($C698="","",IFERROR(INDEX(DESPACHOS!$G$3:$G$3002,MATCH($C698,DESPACHOS!$B$3:$B$3002,0)),""))</f>
        <v/>
      </c>
      <c r="I698" s="39">
        <f>IF($C698="","",IFERROR(INDEX(DESPACHOS!$H$3:$H$3002,MATCH($C698,DESPACHOS!$B$3:$B$3002,0)),""))</f>
        <v/>
      </c>
      <c r="J698" s="43">
        <f>IF($C698="","",IFERROR(INDEX(DESPACHOS!$J$3:$J$3002,MATCH($C698,DESPACHOS!$B$3:$B$3002,0)),""))</f>
        <v/>
      </c>
      <c r="K698" s="39">
        <f>IF($C698="","",IF(COUNTIFS(DESPACHOS!$B$3:$B$3002,$C698)=0,"NO EXISTE",IF(COUNTIFS(DESPACHOS!$B$3:$B$3002,$C698)&gt;1,"DUPLICADO","OK")))</f>
        <v/>
      </c>
      <c r="L698" s="41" t="n"/>
      <c r="M698" s="41" t="n"/>
      <c r="N698" s="42">
        <f>IF($M698="","",IFERROR(INDEX(LISTAS!$F$3:$F$42,MATCH($M698,LISTAS!$E$3:$E$42,0)),"Por definir"))</f>
        <v/>
      </c>
      <c r="O698" s="41" t="n"/>
      <c r="P698" s="39">
        <f>IF($L698="","",IFERROR(INDEX(LISTAS!$B$3:$B$42,MATCH($L698,LISTAS!$A$3:$A$42,0)),"Media"))</f>
        <v/>
      </c>
      <c r="Q698" s="44" t="n"/>
      <c r="R698" s="45" t="n"/>
      <c r="S698" s="20">
        <f>IFERROR(IF(OR($R698="",$C698=""),"",$R698/INDEX(DESPACHOS!$M$3:$M$3002,MATCH($C698,DESPACHOS!$B$3:$B$3002,0))),"")</f>
        <v/>
      </c>
      <c r="T698" s="41" t="n"/>
      <c r="U698" s="43">
        <f>IF(OR($B698="",$L698=""),"",WORKDAY($B698,IFERROR(INDEX(LISTAS!$C$3:$C$42,MATCH($L698,LISTAS!$A$3:$A$42,0)),3)))</f>
        <v/>
      </c>
      <c r="V698" s="40" t="n"/>
      <c r="W698" s="19">
        <f>IF($B698="","",IF($V698&lt;&gt;"",$V698-$B698,TODAY()-$B698))</f>
        <v/>
      </c>
      <c r="X698" s="19">
        <f>IF(OR($B698="",$U698=""),"",IF($V698&lt;&gt;"",MAX(0,$V698-$U698),MAX(0,TODAY()-$U698)))</f>
        <v/>
      </c>
      <c r="Y698" s="39">
        <f>IF($C698="","",IF(IFERROR(INDEX(LISTAS!$I$3:$I$42,MATCH($T698,LISTAS!$H$3:$H$42,0)),"NO")="SÍ",IF(N($X698)&gt;0,"CERRADA FUERA DE SLA","CERRADA EN SLA"),IF($U698="","SIN CLASIFICAR",IF(N($X698)&gt;0,"VENCIDA",IF(TODAY()&gt;=$U698-1,"POR VENCER","EN PLAZO")))))</f>
        <v/>
      </c>
      <c r="Z698" s="41" t="n"/>
      <c r="AA698" s="41" t="n"/>
      <c r="AB698" s="41" t="n"/>
    </row>
    <row r="699">
      <c r="A699" s="39">
        <f>IF($C699="","","NOV-"&amp;TEXT(ROW()-3,"0000"))</f>
        <v/>
      </c>
      <c r="B699" s="40" t="n"/>
      <c r="C699" s="41" t="n"/>
      <c r="D699" s="42">
        <f>IF($C699="","",IFERROR(INDEX(DESPACHOS!$D$3:$D$3002,MATCH($C699,DESPACHOS!$B$3:$B$3002,0)),"SIN DESPACHO"))</f>
        <v/>
      </c>
      <c r="E699" s="42">
        <f>IF($C699="","",IFERROR(INDEX(DESPACHOS!$K$3:$K$3002,MATCH($C699,DESPACHOS!$B$3:$B$3002,0)),""))</f>
        <v/>
      </c>
      <c r="F699" s="42">
        <f>IF($C699="","",IFERROR(INDEX(DESPACHOS!$I$3:$I$3002,MATCH($C699,DESPACHOS!$B$3:$B$3002,0)),""))</f>
        <v/>
      </c>
      <c r="G699" s="42">
        <f>IF($C699="","",IFERROR(INDEX(DESPACHOS!$F$3:$F$3002,MATCH($C699,DESPACHOS!$B$3:$B$3002,0)),""))</f>
        <v/>
      </c>
      <c r="H699" s="42">
        <f>IF($C699="","",IFERROR(INDEX(DESPACHOS!$G$3:$G$3002,MATCH($C699,DESPACHOS!$B$3:$B$3002,0)),""))</f>
        <v/>
      </c>
      <c r="I699" s="39">
        <f>IF($C699="","",IFERROR(INDEX(DESPACHOS!$H$3:$H$3002,MATCH($C699,DESPACHOS!$B$3:$B$3002,0)),""))</f>
        <v/>
      </c>
      <c r="J699" s="43">
        <f>IF($C699="","",IFERROR(INDEX(DESPACHOS!$J$3:$J$3002,MATCH($C699,DESPACHOS!$B$3:$B$3002,0)),""))</f>
        <v/>
      </c>
      <c r="K699" s="39">
        <f>IF($C699="","",IF(COUNTIFS(DESPACHOS!$B$3:$B$3002,$C699)=0,"NO EXISTE",IF(COUNTIFS(DESPACHOS!$B$3:$B$3002,$C699)&gt;1,"DUPLICADO","OK")))</f>
        <v/>
      </c>
      <c r="L699" s="41" t="n"/>
      <c r="M699" s="41" t="n"/>
      <c r="N699" s="42">
        <f>IF($M699="","",IFERROR(INDEX(LISTAS!$F$3:$F$42,MATCH($M699,LISTAS!$E$3:$E$42,0)),"Por definir"))</f>
        <v/>
      </c>
      <c r="O699" s="41" t="n"/>
      <c r="P699" s="39">
        <f>IF($L699="","",IFERROR(INDEX(LISTAS!$B$3:$B$42,MATCH($L699,LISTAS!$A$3:$A$42,0)),"Media"))</f>
        <v/>
      </c>
      <c r="Q699" s="44" t="n"/>
      <c r="R699" s="45" t="n"/>
      <c r="S699" s="20">
        <f>IFERROR(IF(OR($R699="",$C699=""),"",$R699/INDEX(DESPACHOS!$M$3:$M$3002,MATCH($C699,DESPACHOS!$B$3:$B$3002,0))),"")</f>
        <v/>
      </c>
      <c r="T699" s="41" t="n"/>
      <c r="U699" s="43">
        <f>IF(OR($B699="",$L699=""),"",WORKDAY($B699,IFERROR(INDEX(LISTAS!$C$3:$C$42,MATCH($L699,LISTAS!$A$3:$A$42,0)),3)))</f>
        <v/>
      </c>
      <c r="V699" s="40" t="n"/>
      <c r="W699" s="19">
        <f>IF($B699="","",IF($V699&lt;&gt;"",$V699-$B699,TODAY()-$B699))</f>
        <v/>
      </c>
      <c r="X699" s="19">
        <f>IF(OR($B699="",$U699=""),"",IF($V699&lt;&gt;"",MAX(0,$V699-$U699),MAX(0,TODAY()-$U699)))</f>
        <v/>
      </c>
      <c r="Y699" s="39">
        <f>IF($C699="","",IF(IFERROR(INDEX(LISTAS!$I$3:$I$42,MATCH($T699,LISTAS!$H$3:$H$42,0)),"NO")="SÍ",IF(N($X699)&gt;0,"CERRADA FUERA DE SLA","CERRADA EN SLA"),IF($U699="","SIN CLASIFICAR",IF(N($X699)&gt;0,"VENCIDA",IF(TODAY()&gt;=$U699-1,"POR VENCER","EN PLAZO")))))</f>
        <v/>
      </c>
      <c r="Z699" s="41" t="n"/>
      <c r="AA699" s="41" t="n"/>
      <c r="AB699" s="41" t="n"/>
    </row>
    <row r="700">
      <c r="A700" s="39">
        <f>IF($C700="","","NOV-"&amp;TEXT(ROW()-3,"0000"))</f>
        <v/>
      </c>
      <c r="B700" s="40" t="n"/>
      <c r="C700" s="41" t="n"/>
      <c r="D700" s="42">
        <f>IF($C700="","",IFERROR(INDEX(DESPACHOS!$D$3:$D$3002,MATCH($C700,DESPACHOS!$B$3:$B$3002,0)),"SIN DESPACHO"))</f>
        <v/>
      </c>
      <c r="E700" s="42">
        <f>IF($C700="","",IFERROR(INDEX(DESPACHOS!$K$3:$K$3002,MATCH($C700,DESPACHOS!$B$3:$B$3002,0)),""))</f>
        <v/>
      </c>
      <c r="F700" s="42">
        <f>IF($C700="","",IFERROR(INDEX(DESPACHOS!$I$3:$I$3002,MATCH($C700,DESPACHOS!$B$3:$B$3002,0)),""))</f>
        <v/>
      </c>
      <c r="G700" s="42">
        <f>IF($C700="","",IFERROR(INDEX(DESPACHOS!$F$3:$F$3002,MATCH($C700,DESPACHOS!$B$3:$B$3002,0)),""))</f>
        <v/>
      </c>
      <c r="H700" s="42">
        <f>IF($C700="","",IFERROR(INDEX(DESPACHOS!$G$3:$G$3002,MATCH($C700,DESPACHOS!$B$3:$B$3002,0)),""))</f>
        <v/>
      </c>
      <c r="I700" s="39">
        <f>IF($C700="","",IFERROR(INDEX(DESPACHOS!$H$3:$H$3002,MATCH($C700,DESPACHOS!$B$3:$B$3002,0)),""))</f>
        <v/>
      </c>
      <c r="J700" s="43">
        <f>IF($C700="","",IFERROR(INDEX(DESPACHOS!$J$3:$J$3002,MATCH($C700,DESPACHOS!$B$3:$B$3002,0)),""))</f>
        <v/>
      </c>
      <c r="K700" s="39">
        <f>IF($C700="","",IF(COUNTIFS(DESPACHOS!$B$3:$B$3002,$C700)=0,"NO EXISTE",IF(COUNTIFS(DESPACHOS!$B$3:$B$3002,$C700)&gt;1,"DUPLICADO","OK")))</f>
        <v/>
      </c>
      <c r="L700" s="41" t="n"/>
      <c r="M700" s="41" t="n"/>
      <c r="N700" s="42">
        <f>IF($M700="","",IFERROR(INDEX(LISTAS!$F$3:$F$42,MATCH($M700,LISTAS!$E$3:$E$42,0)),"Por definir"))</f>
        <v/>
      </c>
      <c r="O700" s="41" t="n"/>
      <c r="P700" s="39">
        <f>IF($L700="","",IFERROR(INDEX(LISTAS!$B$3:$B$42,MATCH($L700,LISTAS!$A$3:$A$42,0)),"Media"))</f>
        <v/>
      </c>
      <c r="Q700" s="44" t="n"/>
      <c r="R700" s="45" t="n"/>
      <c r="S700" s="20">
        <f>IFERROR(IF(OR($R700="",$C700=""),"",$R700/INDEX(DESPACHOS!$M$3:$M$3002,MATCH($C700,DESPACHOS!$B$3:$B$3002,0))),"")</f>
        <v/>
      </c>
      <c r="T700" s="41" t="n"/>
      <c r="U700" s="43">
        <f>IF(OR($B700="",$L700=""),"",WORKDAY($B700,IFERROR(INDEX(LISTAS!$C$3:$C$42,MATCH($L700,LISTAS!$A$3:$A$42,0)),3)))</f>
        <v/>
      </c>
      <c r="V700" s="40" t="n"/>
      <c r="W700" s="19">
        <f>IF($B700="","",IF($V700&lt;&gt;"",$V700-$B700,TODAY()-$B700))</f>
        <v/>
      </c>
      <c r="X700" s="19">
        <f>IF(OR($B700="",$U700=""),"",IF($V700&lt;&gt;"",MAX(0,$V700-$U700),MAX(0,TODAY()-$U700)))</f>
        <v/>
      </c>
      <c r="Y700" s="39">
        <f>IF($C700="","",IF(IFERROR(INDEX(LISTAS!$I$3:$I$42,MATCH($T700,LISTAS!$H$3:$H$42,0)),"NO")="SÍ",IF(N($X700)&gt;0,"CERRADA FUERA DE SLA","CERRADA EN SLA"),IF($U700="","SIN CLASIFICAR",IF(N($X700)&gt;0,"VENCIDA",IF(TODAY()&gt;=$U700-1,"POR VENCER","EN PLAZO")))))</f>
        <v/>
      </c>
      <c r="Z700" s="41" t="n"/>
      <c r="AA700" s="41" t="n"/>
      <c r="AB700" s="41" t="n"/>
    </row>
    <row r="701">
      <c r="A701" s="39">
        <f>IF($C701="","","NOV-"&amp;TEXT(ROW()-3,"0000"))</f>
        <v/>
      </c>
      <c r="B701" s="40" t="n"/>
      <c r="C701" s="41" t="n"/>
      <c r="D701" s="42">
        <f>IF($C701="","",IFERROR(INDEX(DESPACHOS!$D$3:$D$3002,MATCH($C701,DESPACHOS!$B$3:$B$3002,0)),"SIN DESPACHO"))</f>
        <v/>
      </c>
      <c r="E701" s="42">
        <f>IF($C701="","",IFERROR(INDEX(DESPACHOS!$K$3:$K$3002,MATCH($C701,DESPACHOS!$B$3:$B$3002,0)),""))</f>
        <v/>
      </c>
      <c r="F701" s="42">
        <f>IF($C701="","",IFERROR(INDEX(DESPACHOS!$I$3:$I$3002,MATCH($C701,DESPACHOS!$B$3:$B$3002,0)),""))</f>
        <v/>
      </c>
      <c r="G701" s="42">
        <f>IF($C701="","",IFERROR(INDEX(DESPACHOS!$F$3:$F$3002,MATCH($C701,DESPACHOS!$B$3:$B$3002,0)),""))</f>
        <v/>
      </c>
      <c r="H701" s="42">
        <f>IF($C701="","",IFERROR(INDEX(DESPACHOS!$G$3:$G$3002,MATCH($C701,DESPACHOS!$B$3:$B$3002,0)),""))</f>
        <v/>
      </c>
      <c r="I701" s="39">
        <f>IF($C701="","",IFERROR(INDEX(DESPACHOS!$H$3:$H$3002,MATCH($C701,DESPACHOS!$B$3:$B$3002,0)),""))</f>
        <v/>
      </c>
      <c r="J701" s="43">
        <f>IF($C701="","",IFERROR(INDEX(DESPACHOS!$J$3:$J$3002,MATCH($C701,DESPACHOS!$B$3:$B$3002,0)),""))</f>
        <v/>
      </c>
      <c r="K701" s="39">
        <f>IF($C701="","",IF(COUNTIFS(DESPACHOS!$B$3:$B$3002,$C701)=0,"NO EXISTE",IF(COUNTIFS(DESPACHOS!$B$3:$B$3002,$C701)&gt;1,"DUPLICADO","OK")))</f>
        <v/>
      </c>
      <c r="L701" s="41" t="n"/>
      <c r="M701" s="41" t="n"/>
      <c r="N701" s="42">
        <f>IF($M701="","",IFERROR(INDEX(LISTAS!$F$3:$F$42,MATCH($M701,LISTAS!$E$3:$E$42,0)),"Por definir"))</f>
        <v/>
      </c>
      <c r="O701" s="41" t="n"/>
      <c r="P701" s="39">
        <f>IF($L701="","",IFERROR(INDEX(LISTAS!$B$3:$B$42,MATCH($L701,LISTAS!$A$3:$A$42,0)),"Media"))</f>
        <v/>
      </c>
      <c r="Q701" s="44" t="n"/>
      <c r="R701" s="45" t="n"/>
      <c r="S701" s="20">
        <f>IFERROR(IF(OR($R701="",$C701=""),"",$R701/INDEX(DESPACHOS!$M$3:$M$3002,MATCH($C701,DESPACHOS!$B$3:$B$3002,0))),"")</f>
        <v/>
      </c>
      <c r="T701" s="41" t="n"/>
      <c r="U701" s="43">
        <f>IF(OR($B701="",$L701=""),"",WORKDAY($B701,IFERROR(INDEX(LISTAS!$C$3:$C$42,MATCH($L701,LISTAS!$A$3:$A$42,0)),3)))</f>
        <v/>
      </c>
      <c r="V701" s="40" t="n"/>
      <c r="W701" s="19">
        <f>IF($B701="","",IF($V701&lt;&gt;"",$V701-$B701,TODAY()-$B701))</f>
        <v/>
      </c>
      <c r="X701" s="19">
        <f>IF(OR($B701="",$U701=""),"",IF($V701&lt;&gt;"",MAX(0,$V701-$U701),MAX(0,TODAY()-$U701)))</f>
        <v/>
      </c>
      <c r="Y701" s="39">
        <f>IF($C701="","",IF(IFERROR(INDEX(LISTAS!$I$3:$I$42,MATCH($T701,LISTAS!$H$3:$H$42,0)),"NO")="SÍ",IF(N($X701)&gt;0,"CERRADA FUERA DE SLA","CERRADA EN SLA"),IF($U701="","SIN CLASIFICAR",IF(N($X701)&gt;0,"VENCIDA",IF(TODAY()&gt;=$U701-1,"POR VENCER","EN PLAZO")))))</f>
        <v/>
      </c>
      <c r="Z701" s="41" t="n"/>
      <c r="AA701" s="41" t="n"/>
      <c r="AB701" s="41" t="n"/>
    </row>
    <row r="702">
      <c r="A702" s="39">
        <f>IF($C702="","","NOV-"&amp;TEXT(ROW()-3,"0000"))</f>
        <v/>
      </c>
      <c r="B702" s="40" t="n"/>
      <c r="C702" s="41" t="n"/>
      <c r="D702" s="42">
        <f>IF($C702="","",IFERROR(INDEX(DESPACHOS!$D$3:$D$3002,MATCH($C702,DESPACHOS!$B$3:$B$3002,0)),"SIN DESPACHO"))</f>
        <v/>
      </c>
      <c r="E702" s="42">
        <f>IF($C702="","",IFERROR(INDEX(DESPACHOS!$K$3:$K$3002,MATCH($C702,DESPACHOS!$B$3:$B$3002,0)),""))</f>
        <v/>
      </c>
      <c r="F702" s="42">
        <f>IF($C702="","",IFERROR(INDEX(DESPACHOS!$I$3:$I$3002,MATCH($C702,DESPACHOS!$B$3:$B$3002,0)),""))</f>
        <v/>
      </c>
      <c r="G702" s="42">
        <f>IF($C702="","",IFERROR(INDEX(DESPACHOS!$F$3:$F$3002,MATCH($C702,DESPACHOS!$B$3:$B$3002,0)),""))</f>
        <v/>
      </c>
      <c r="H702" s="42">
        <f>IF($C702="","",IFERROR(INDEX(DESPACHOS!$G$3:$G$3002,MATCH($C702,DESPACHOS!$B$3:$B$3002,0)),""))</f>
        <v/>
      </c>
      <c r="I702" s="39">
        <f>IF($C702="","",IFERROR(INDEX(DESPACHOS!$H$3:$H$3002,MATCH($C702,DESPACHOS!$B$3:$B$3002,0)),""))</f>
        <v/>
      </c>
      <c r="J702" s="43">
        <f>IF($C702="","",IFERROR(INDEX(DESPACHOS!$J$3:$J$3002,MATCH($C702,DESPACHOS!$B$3:$B$3002,0)),""))</f>
        <v/>
      </c>
      <c r="K702" s="39">
        <f>IF($C702="","",IF(COUNTIFS(DESPACHOS!$B$3:$B$3002,$C702)=0,"NO EXISTE",IF(COUNTIFS(DESPACHOS!$B$3:$B$3002,$C702)&gt;1,"DUPLICADO","OK")))</f>
        <v/>
      </c>
      <c r="L702" s="41" t="n"/>
      <c r="M702" s="41" t="n"/>
      <c r="N702" s="42">
        <f>IF($M702="","",IFERROR(INDEX(LISTAS!$F$3:$F$42,MATCH($M702,LISTAS!$E$3:$E$42,0)),"Por definir"))</f>
        <v/>
      </c>
      <c r="O702" s="41" t="n"/>
      <c r="P702" s="39">
        <f>IF($L702="","",IFERROR(INDEX(LISTAS!$B$3:$B$42,MATCH($L702,LISTAS!$A$3:$A$42,0)),"Media"))</f>
        <v/>
      </c>
      <c r="Q702" s="44" t="n"/>
      <c r="R702" s="45" t="n"/>
      <c r="S702" s="20">
        <f>IFERROR(IF(OR($R702="",$C702=""),"",$R702/INDEX(DESPACHOS!$M$3:$M$3002,MATCH($C702,DESPACHOS!$B$3:$B$3002,0))),"")</f>
        <v/>
      </c>
      <c r="T702" s="41" t="n"/>
      <c r="U702" s="43">
        <f>IF(OR($B702="",$L702=""),"",WORKDAY($B702,IFERROR(INDEX(LISTAS!$C$3:$C$42,MATCH($L702,LISTAS!$A$3:$A$42,0)),3)))</f>
        <v/>
      </c>
      <c r="V702" s="40" t="n"/>
      <c r="W702" s="19">
        <f>IF($B702="","",IF($V702&lt;&gt;"",$V702-$B702,TODAY()-$B702))</f>
        <v/>
      </c>
      <c r="X702" s="19">
        <f>IF(OR($B702="",$U702=""),"",IF($V702&lt;&gt;"",MAX(0,$V702-$U702),MAX(0,TODAY()-$U702)))</f>
        <v/>
      </c>
      <c r="Y702" s="39">
        <f>IF($C702="","",IF(IFERROR(INDEX(LISTAS!$I$3:$I$42,MATCH($T702,LISTAS!$H$3:$H$42,0)),"NO")="SÍ",IF(N($X702)&gt;0,"CERRADA FUERA DE SLA","CERRADA EN SLA"),IF($U702="","SIN CLASIFICAR",IF(N($X702)&gt;0,"VENCIDA",IF(TODAY()&gt;=$U702-1,"POR VENCER","EN PLAZO")))))</f>
        <v/>
      </c>
      <c r="Z702" s="41" t="n"/>
      <c r="AA702" s="41" t="n"/>
      <c r="AB702" s="41" t="n"/>
    </row>
    <row r="703">
      <c r="A703" s="39">
        <f>IF($C703="","","NOV-"&amp;TEXT(ROW()-3,"0000"))</f>
        <v/>
      </c>
      <c r="B703" s="40" t="n"/>
      <c r="C703" s="41" t="n"/>
      <c r="D703" s="42">
        <f>IF($C703="","",IFERROR(INDEX(DESPACHOS!$D$3:$D$3002,MATCH($C703,DESPACHOS!$B$3:$B$3002,0)),"SIN DESPACHO"))</f>
        <v/>
      </c>
      <c r="E703" s="42">
        <f>IF($C703="","",IFERROR(INDEX(DESPACHOS!$K$3:$K$3002,MATCH($C703,DESPACHOS!$B$3:$B$3002,0)),""))</f>
        <v/>
      </c>
      <c r="F703" s="42">
        <f>IF($C703="","",IFERROR(INDEX(DESPACHOS!$I$3:$I$3002,MATCH($C703,DESPACHOS!$B$3:$B$3002,0)),""))</f>
        <v/>
      </c>
      <c r="G703" s="42">
        <f>IF($C703="","",IFERROR(INDEX(DESPACHOS!$F$3:$F$3002,MATCH($C703,DESPACHOS!$B$3:$B$3002,0)),""))</f>
        <v/>
      </c>
      <c r="H703" s="42">
        <f>IF($C703="","",IFERROR(INDEX(DESPACHOS!$G$3:$G$3002,MATCH($C703,DESPACHOS!$B$3:$B$3002,0)),""))</f>
        <v/>
      </c>
      <c r="I703" s="39">
        <f>IF($C703="","",IFERROR(INDEX(DESPACHOS!$H$3:$H$3002,MATCH($C703,DESPACHOS!$B$3:$B$3002,0)),""))</f>
        <v/>
      </c>
      <c r="J703" s="43">
        <f>IF($C703="","",IFERROR(INDEX(DESPACHOS!$J$3:$J$3002,MATCH($C703,DESPACHOS!$B$3:$B$3002,0)),""))</f>
        <v/>
      </c>
      <c r="K703" s="39">
        <f>IF($C703="","",IF(COUNTIFS(DESPACHOS!$B$3:$B$3002,$C703)=0,"NO EXISTE",IF(COUNTIFS(DESPACHOS!$B$3:$B$3002,$C703)&gt;1,"DUPLICADO","OK")))</f>
        <v/>
      </c>
      <c r="L703" s="41" t="n"/>
      <c r="M703" s="41" t="n"/>
      <c r="N703" s="42">
        <f>IF($M703="","",IFERROR(INDEX(LISTAS!$F$3:$F$42,MATCH($M703,LISTAS!$E$3:$E$42,0)),"Por definir"))</f>
        <v/>
      </c>
      <c r="O703" s="41" t="n"/>
      <c r="P703" s="39">
        <f>IF($L703="","",IFERROR(INDEX(LISTAS!$B$3:$B$42,MATCH($L703,LISTAS!$A$3:$A$42,0)),"Media"))</f>
        <v/>
      </c>
      <c r="Q703" s="44" t="n"/>
      <c r="R703" s="45" t="n"/>
      <c r="S703" s="20">
        <f>IFERROR(IF(OR($R703="",$C703=""),"",$R703/INDEX(DESPACHOS!$M$3:$M$3002,MATCH($C703,DESPACHOS!$B$3:$B$3002,0))),"")</f>
        <v/>
      </c>
      <c r="T703" s="41" t="n"/>
      <c r="U703" s="43">
        <f>IF(OR($B703="",$L703=""),"",WORKDAY($B703,IFERROR(INDEX(LISTAS!$C$3:$C$42,MATCH($L703,LISTAS!$A$3:$A$42,0)),3)))</f>
        <v/>
      </c>
      <c r="V703" s="40" t="n"/>
      <c r="W703" s="19">
        <f>IF($B703="","",IF($V703&lt;&gt;"",$V703-$B703,TODAY()-$B703))</f>
        <v/>
      </c>
      <c r="X703" s="19">
        <f>IF(OR($B703="",$U703=""),"",IF($V703&lt;&gt;"",MAX(0,$V703-$U703),MAX(0,TODAY()-$U703)))</f>
        <v/>
      </c>
      <c r="Y703" s="39">
        <f>IF($C703="","",IF(IFERROR(INDEX(LISTAS!$I$3:$I$42,MATCH($T703,LISTAS!$H$3:$H$42,0)),"NO")="SÍ",IF(N($X703)&gt;0,"CERRADA FUERA DE SLA","CERRADA EN SLA"),IF($U703="","SIN CLASIFICAR",IF(N($X703)&gt;0,"VENCIDA",IF(TODAY()&gt;=$U703-1,"POR VENCER","EN PLAZO")))))</f>
        <v/>
      </c>
      <c r="Z703" s="41" t="n"/>
      <c r="AA703" s="41" t="n"/>
      <c r="AB703" s="41" t="n"/>
    </row>
    <row r="704">
      <c r="A704" s="39">
        <f>IF($C704="","","NOV-"&amp;TEXT(ROW()-3,"0000"))</f>
        <v/>
      </c>
      <c r="B704" s="40" t="n"/>
      <c r="C704" s="41" t="n"/>
      <c r="D704" s="42">
        <f>IF($C704="","",IFERROR(INDEX(DESPACHOS!$D$3:$D$3002,MATCH($C704,DESPACHOS!$B$3:$B$3002,0)),"SIN DESPACHO"))</f>
        <v/>
      </c>
      <c r="E704" s="42">
        <f>IF($C704="","",IFERROR(INDEX(DESPACHOS!$K$3:$K$3002,MATCH($C704,DESPACHOS!$B$3:$B$3002,0)),""))</f>
        <v/>
      </c>
      <c r="F704" s="42">
        <f>IF($C704="","",IFERROR(INDEX(DESPACHOS!$I$3:$I$3002,MATCH($C704,DESPACHOS!$B$3:$B$3002,0)),""))</f>
        <v/>
      </c>
      <c r="G704" s="42">
        <f>IF($C704="","",IFERROR(INDEX(DESPACHOS!$F$3:$F$3002,MATCH($C704,DESPACHOS!$B$3:$B$3002,0)),""))</f>
        <v/>
      </c>
      <c r="H704" s="42">
        <f>IF($C704="","",IFERROR(INDEX(DESPACHOS!$G$3:$G$3002,MATCH($C704,DESPACHOS!$B$3:$B$3002,0)),""))</f>
        <v/>
      </c>
      <c r="I704" s="39">
        <f>IF($C704="","",IFERROR(INDEX(DESPACHOS!$H$3:$H$3002,MATCH($C704,DESPACHOS!$B$3:$B$3002,0)),""))</f>
        <v/>
      </c>
      <c r="J704" s="43">
        <f>IF($C704="","",IFERROR(INDEX(DESPACHOS!$J$3:$J$3002,MATCH($C704,DESPACHOS!$B$3:$B$3002,0)),""))</f>
        <v/>
      </c>
      <c r="K704" s="39">
        <f>IF($C704="","",IF(COUNTIFS(DESPACHOS!$B$3:$B$3002,$C704)=0,"NO EXISTE",IF(COUNTIFS(DESPACHOS!$B$3:$B$3002,$C704)&gt;1,"DUPLICADO","OK")))</f>
        <v/>
      </c>
      <c r="L704" s="41" t="n"/>
      <c r="M704" s="41" t="n"/>
      <c r="N704" s="42">
        <f>IF($M704="","",IFERROR(INDEX(LISTAS!$F$3:$F$42,MATCH($M704,LISTAS!$E$3:$E$42,0)),"Por definir"))</f>
        <v/>
      </c>
      <c r="O704" s="41" t="n"/>
      <c r="P704" s="39">
        <f>IF($L704="","",IFERROR(INDEX(LISTAS!$B$3:$B$42,MATCH($L704,LISTAS!$A$3:$A$42,0)),"Media"))</f>
        <v/>
      </c>
      <c r="Q704" s="44" t="n"/>
      <c r="R704" s="45" t="n"/>
      <c r="S704" s="20">
        <f>IFERROR(IF(OR($R704="",$C704=""),"",$R704/INDEX(DESPACHOS!$M$3:$M$3002,MATCH($C704,DESPACHOS!$B$3:$B$3002,0))),"")</f>
        <v/>
      </c>
      <c r="T704" s="41" t="n"/>
      <c r="U704" s="43">
        <f>IF(OR($B704="",$L704=""),"",WORKDAY($B704,IFERROR(INDEX(LISTAS!$C$3:$C$42,MATCH($L704,LISTAS!$A$3:$A$42,0)),3)))</f>
        <v/>
      </c>
      <c r="V704" s="40" t="n"/>
      <c r="W704" s="19">
        <f>IF($B704="","",IF($V704&lt;&gt;"",$V704-$B704,TODAY()-$B704))</f>
        <v/>
      </c>
      <c r="X704" s="19">
        <f>IF(OR($B704="",$U704=""),"",IF($V704&lt;&gt;"",MAX(0,$V704-$U704),MAX(0,TODAY()-$U704)))</f>
        <v/>
      </c>
      <c r="Y704" s="39">
        <f>IF($C704="","",IF(IFERROR(INDEX(LISTAS!$I$3:$I$42,MATCH($T704,LISTAS!$H$3:$H$42,0)),"NO")="SÍ",IF(N($X704)&gt;0,"CERRADA FUERA DE SLA","CERRADA EN SLA"),IF($U704="","SIN CLASIFICAR",IF(N($X704)&gt;0,"VENCIDA",IF(TODAY()&gt;=$U704-1,"POR VENCER","EN PLAZO")))))</f>
        <v/>
      </c>
      <c r="Z704" s="41" t="n"/>
      <c r="AA704" s="41" t="n"/>
      <c r="AB704" s="41" t="n"/>
    </row>
    <row r="705">
      <c r="A705" s="39">
        <f>IF($C705="","","NOV-"&amp;TEXT(ROW()-3,"0000"))</f>
        <v/>
      </c>
      <c r="B705" s="40" t="n"/>
      <c r="C705" s="41" t="n"/>
      <c r="D705" s="42">
        <f>IF($C705="","",IFERROR(INDEX(DESPACHOS!$D$3:$D$3002,MATCH($C705,DESPACHOS!$B$3:$B$3002,0)),"SIN DESPACHO"))</f>
        <v/>
      </c>
      <c r="E705" s="42">
        <f>IF($C705="","",IFERROR(INDEX(DESPACHOS!$K$3:$K$3002,MATCH($C705,DESPACHOS!$B$3:$B$3002,0)),""))</f>
        <v/>
      </c>
      <c r="F705" s="42">
        <f>IF($C705="","",IFERROR(INDEX(DESPACHOS!$I$3:$I$3002,MATCH($C705,DESPACHOS!$B$3:$B$3002,0)),""))</f>
        <v/>
      </c>
      <c r="G705" s="42">
        <f>IF($C705="","",IFERROR(INDEX(DESPACHOS!$F$3:$F$3002,MATCH($C705,DESPACHOS!$B$3:$B$3002,0)),""))</f>
        <v/>
      </c>
      <c r="H705" s="42">
        <f>IF($C705="","",IFERROR(INDEX(DESPACHOS!$G$3:$G$3002,MATCH($C705,DESPACHOS!$B$3:$B$3002,0)),""))</f>
        <v/>
      </c>
      <c r="I705" s="39">
        <f>IF($C705="","",IFERROR(INDEX(DESPACHOS!$H$3:$H$3002,MATCH($C705,DESPACHOS!$B$3:$B$3002,0)),""))</f>
        <v/>
      </c>
      <c r="J705" s="43">
        <f>IF($C705="","",IFERROR(INDEX(DESPACHOS!$J$3:$J$3002,MATCH($C705,DESPACHOS!$B$3:$B$3002,0)),""))</f>
        <v/>
      </c>
      <c r="K705" s="39">
        <f>IF($C705="","",IF(COUNTIFS(DESPACHOS!$B$3:$B$3002,$C705)=0,"NO EXISTE",IF(COUNTIFS(DESPACHOS!$B$3:$B$3002,$C705)&gt;1,"DUPLICADO","OK")))</f>
        <v/>
      </c>
      <c r="L705" s="41" t="n"/>
      <c r="M705" s="41" t="n"/>
      <c r="N705" s="42">
        <f>IF($M705="","",IFERROR(INDEX(LISTAS!$F$3:$F$42,MATCH($M705,LISTAS!$E$3:$E$42,0)),"Por definir"))</f>
        <v/>
      </c>
      <c r="O705" s="41" t="n"/>
      <c r="P705" s="39">
        <f>IF($L705="","",IFERROR(INDEX(LISTAS!$B$3:$B$42,MATCH($L705,LISTAS!$A$3:$A$42,0)),"Media"))</f>
        <v/>
      </c>
      <c r="Q705" s="44" t="n"/>
      <c r="R705" s="45" t="n"/>
      <c r="S705" s="20">
        <f>IFERROR(IF(OR($R705="",$C705=""),"",$R705/INDEX(DESPACHOS!$M$3:$M$3002,MATCH($C705,DESPACHOS!$B$3:$B$3002,0))),"")</f>
        <v/>
      </c>
      <c r="T705" s="41" t="n"/>
      <c r="U705" s="43">
        <f>IF(OR($B705="",$L705=""),"",WORKDAY($B705,IFERROR(INDEX(LISTAS!$C$3:$C$42,MATCH($L705,LISTAS!$A$3:$A$42,0)),3)))</f>
        <v/>
      </c>
      <c r="V705" s="40" t="n"/>
      <c r="W705" s="19">
        <f>IF($B705="","",IF($V705&lt;&gt;"",$V705-$B705,TODAY()-$B705))</f>
        <v/>
      </c>
      <c r="X705" s="19">
        <f>IF(OR($B705="",$U705=""),"",IF($V705&lt;&gt;"",MAX(0,$V705-$U705),MAX(0,TODAY()-$U705)))</f>
        <v/>
      </c>
      <c r="Y705" s="39">
        <f>IF($C705="","",IF(IFERROR(INDEX(LISTAS!$I$3:$I$42,MATCH($T705,LISTAS!$H$3:$H$42,0)),"NO")="SÍ",IF(N($X705)&gt;0,"CERRADA FUERA DE SLA","CERRADA EN SLA"),IF($U705="","SIN CLASIFICAR",IF(N($X705)&gt;0,"VENCIDA",IF(TODAY()&gt;=$U705-1,"POR VENCER","EN PLAZO")))))</f>
        <v/>
      </c>
      <c r="Z705" s="41" t="n"/>
      <c r="AA705" s="41" t="n"/>
      <c r="AB705" s="41" t="n"/>
    </row>
    <row r="706">
      <c r="A706" s="39">
        <f>IF($C706="","","NOV-"&amp;TEXT(ROW()-3,"0000"))</f>
        <v/>
      </c>
      <c r="B706" s="40" t="n"/>
      <c r="C706" s="41" t="n"/>
      <c r="D706" s="42">
        <f>IF($C706="","",IFERROR(INDEX(DESPACHOS!$D$3:$D$3002,MATCH($C706,DESPACHOS!$B$3:$B$3002,0)),"SIN DESPACHO"))</f>
        <v/>
      </c>
      <c r="E706" s="42">
        <f>IF($C706="","",IFERROR(INDEX(DESPACHOS!$K$3:$K$3002,MATCH($C706,DESPACHOS!$B$3:$B$3002,0)),""))</f>
        <v/>
      </c>
      <c r="F706" s="42">
        <f>IF($C706="","",IFERROR(INDEX(DESPACHOS!$I$3:$I$3002,MATCH($C706,DESPACHOS!$B$3:$B$3002,0)),""))</f>
        <v/>
      </c>
      <c r="G706" s="42">
        <f>IF($C706="","",IFERROR(INDEX(DESPACHOS!$F$3:$F$3002,MATCH($C706,DESPACHOS!$B$3:$B$3002,0)),""))</f>
        <v/>
      </c>
      <c r="H706" s="42">
        <f>IF($C706="","",IFERROR(INDEX(DESPACHOS!$G$3:$G$3002,MATCH($C706,DESPACHOS!$B$3:$B$3002,0)),""))</f>
        <v/>
      </c>
      <c r="I706" s="39">
        <f>IF($C706="","",IFERROR(INDEX(DESPACHOS!$H$3:$H$3002,MATCH($C706,DESPACHOS!$B$3:$B$3002,0)),""))</f>
        <v/>
      </c>
      <c r="J706" s="43">
        <f>IF($C706="","",IFERROR(INDEX(DESPACHOS!$J$3:$J$3002,MATCH($C706,DESPACHOS!$B$3:$B$3002,0)),""))</f>
        <v/>
      </c>
      <c r="K706" s="39">
        <f>IF($C706="","",IF(COUNTIFS(DESPACHOS!$B$3:$B$3002,$C706)=0,"NO EXISTE",IF(COUNTIFS(DESPACHOS!$B$3:$B$3002,$C706)&gt;1,"DUPLICADO","OK")))</f>
        <v/>
      </c>
      <c r="L706" s="41" t="n"/>
      <c r="M706" s="41" t="n"/>
      <c r="N706" s="42">
        <f>IF($M706="","",IFERROR(INDEX(LISTAS!$F$3:$F$42,MATCH($M706,LISTAS!$E$3:$E$42,0)),"Por definir"))</f>
        <v/>
      </c>
      <c r="O706" s="41" t="n"/>
      <c r="P706" s="39">
        <f>IF($L706="","",IFERROR(INDEX(LISTAS!$B$3:$B$42,MATCH($L706,LISTAS!$A$3:$A$42,0)),"Media"))</f>
        <v/>
      </c>
      <c r="Q706" s="44" t="n"/>
      <c r="R706" s="45" t="n"/>
      <c r="S706" s="20">
        <f>IFERROR(IF(OR($R706="",$C706=""),"",$R706/INDEX(DESPACHOS!$M$3:$M$3002,MATCH($C706,DESPACHOS!$B$3:$B$3002,0))),"")</f>
        <v/>
      </c>
      <c r="T706" s="41" t="n"/>
      <c r="U706" s="43">
        <f>IF(OR($B706="",$L706=""),"",WORKDAY($B706,IFERROR(INDEX(LISTAS!$C$3:$C$42,MATCH($L706,LISTAS!$A$3:$A$42,0)),3)))</f>
        <v/>
      </c>
      <c r="V706" s="40" t="n"/>
      <c r="W706" s="19">
        <f>IF($B706="","",IF($V706&lt;&gt;"",$V706-$B706,TODAY()-$B706))</f>
        <v/>
      </c>
      <c r="X706" s="19">
        <f>IF(OR($B706="",$U706=""),"",IF($V706&lt;&gt;"",MAX(0,$V706-$U706),MAX(0,TODAY()-$U706)))</f>
        <v/>
      </c>
      <c r="Y706" s="39">
        <f>IF($C706="","",IF(IFERROR(INDEX(LISTAS!$I$3:$I$42,MATCH($T706,LISTAS!$H$3:$H$42,0)),"NO")="SÍ",IF(N($X706)&gt;0,"CERRADA FUERA DE SLA","CERRADA EN SLA"),IF($U706="","SIN CLASIFICAR",IF(N($X706)&gt;0,"VENCIDA",IF(TODAY()&gt;=$U706-1,"POR VENCER","EN PLAZO")))))</f>
        <v/>
      </c>
      <c r="Z706" s="41" t="n"/>
      <c r="AA706" s="41" t="n"/>
      <c r="AB706" s="41" t="n"/>
    </row>
    <row r="707">
      <c r="A707" s="39">
        <f>IF($C707="","","NOV-"&amp;TEXT(ROW()-3,"0000"))</f>
        <v/>
      </c>
      <c r="B707" s="40" t="n"/>
      <c r="C707" s="41" t="n"/>
      <c r="D707" s="42">
        <f>IF($C707="","",IFERROR(INDEX(DESPACHOS!$D$3:$D$3002,MATCH($C707,DESPACHOS!$B$3:$B$3002,0)),"SIN DESPACHO"))</f>
        <v/>
      </c>
      <c r="E707" s="42">
        <f>IF($C707="","",IFERROR(INDEX(DESPACHOS!$K$3:$K$3002,MATCH($C707,DESPACHOS!$B$3:$B$3002,0)),""))</f>
        <v/>
      </c>
      <c r="F707" s="42">
        <f>IF($C707="","",IFERROR(INDEX(DESPACHOS!$I$3:$I$3002,MATCH($C707,DESPACHOS!$B$3:$B$3002,0)),""))</f>
        <v/>
      </c>
      <c r="G707" s="42">
        <f>IF($C707="","",IFERROR(INDEX(DESPACHOS!$F$3:$F$3002,MATCH($C707,DESPACHOS!$B$3:$B$3002,0)),""))</f>
        <v/>
      </c>
      <c r="H707" s="42">
        <f>IF($C707="","",IFERROR(INDEX(DESPACHOS!$G$3:$G$3002,MATCH($C707,DESPACHOS!$B$3:$B$3002,0)),""))</f>
        <v/>
      </c>
      <c r="I707" s="39">
        <f>IF($C707="","",IFERROR(INDEX(DESPACHOS!$H$3:$H$3002,MATCH($C707,DESPACHOS!$B$3:$B$3002,0)),""))</f>
        <v/>
      </c>
      <c r="J707" s="43">
        <f>IF($C707="","",IFERROR(INDEX(DESPACHOS!$J$3:$J$3002,MATCH($C707,DESPACHOS!$B$3:$B$3002,0)),""))</f>
        <v/>
      </c>
      <c r="K707" s="39">
        <f>IF($C707="","",IF(COUNTIFS(DESPACHOS!$B$3:$B$3002,$C707)=0,"NO EXISTE",IF(COUNTIFS(DESPACHOS!$B$3:$B$3002,$C707)&gt;1,"DUPLICADO","OK")))</f>
        <v/>
      </c>
      <c r="L707" s="41" t="n"/>
      <c r="M707" s="41" t="n"/>
      <c r="N707" s="42">
        <f>IF($M707="","",IFERROR(INDEX(LISTAS!$F$3:$F$42,MATCH($M707,LISTAS!$E$3:$E$42,0)),"Por definir"))</f>
        <v/>
      </c>
      <c r="O707" s="41" t="n"/>
      <c r="P707" s="39">
        <f>IF($L707="","",IFERROR(INDEX(LISTAS!$B$3:$B$42,MATCH($L707,LISTAS!$A$3:$A$42,0)),"Media"))</f>
        <v/>
      </c>
      <c r="Q707" s="44" t="n"/>
      <c r="R707" s="45" t="n"/>
      <c r="S707" s="20">
        <f>IFERROR(IF(OR($R707="",$C707=""),"",$R707/INDEX(DESPACHOS!$M$3:$M$3002,MATCH($C707,DESPACHOS!$B$3:$B$3002,0))),"")</f>
        <v/>
      </c>
      <c r="T707" s="41" t="n"/>
      <c r="U707" s="43">
        <f>IF(OR($B707="",$L707=""),"",WORKDAY($B707,IFERROR(INDEX(LISTAS!$C$3:$C$42,MATCH($L707,LISTAS!$A$3:$A$42,0)),3)))</f>
        <v/>
      </c>
      <c r="V707" s="40" t="n"/>
      <c r="W707" s="19">
        <f>IF($B707="","",IF($V707&lt;&gt;"",$V707-$B707,TODAY()-$B707))</f>
        <v/>
      </c>
      <c r="X707" s="19">
        <f>IF(OR($B707="",$U707=""),"",IF($V707&lt;&gt;"",MAX(0,$V707-$U707),MAX(0,TODAY()-$U707)))</f>
        <v/>
      </c>
      <c r="Y707" s="39">
        <f>IF($C707="","",IF(IFERROR(INDEX(LISTAS!$I$3:$I$42,MATCH($T707,LISTAS!$H$3:$H$42,0)),"NO")="SÍ",IF(N($X707)&gt;0,"CERRADA FUERA DE SLA","CERRADA EN SLA"),IF($U707="","SIN CLASIFICAR",IF(N($X707)&gt;0,"VENCIDA",IF(TODAY()&gt;=$U707-1,"POR VENCER","EN PLAZO")))))</f>
        <v/>
      </c>
      <c r="Z707" s="41" t="n"/>
      <c r="AA707" s="41" t="n"/>
      <c r="AB707" s="41" t="n"/>
    </row>
    <row r="708">
      <c r="A708" s="39">
        <f>IF($C708="","","NOV-"&amp;TEXT(ROW()-3,"0000"))</f>
        <v/>
      </c>
      <c r="B708" s="40" t="n"/>
      <c r="C708" s="41" t="n"/>
      <c r="D708" s="42">
        <f>IF($C708="","",IFERROR(INDEX(DESPACHOS!$D$3:$D$3002,MATCH($C708,DESPACHOS!$B$3:$B$3002,0)),"SIN DESPACHO"))</f>
        <v/>
      </c>
      <c r="E708" s="42">
        <f>IF($C708="","",IFERROR(INDEX(DESPACHOS!$K$3:$K$3002,MATCH($C708,DESPACHOS!$B$3:$B$3002,0)),""))</f>
        <v/>
      </c>
      <c r="F708" s="42">
        <f>IF($C708="","",IFERROR(INDEX(DESPACHOS!$I$3:$I$3002,MATCH($C708,DESPACHOS!$B$3:$B$3002,0)),""))</f>
        <v/>
      </c>
      <c r="G708" s="42">
        <f>IF($C708="","",IFERROR(INDEX(DESPACHOS!$F$3:$F$3002,MATCH($C708,DESPACHOS!$B$3:$B$3002,0)),""))</f>
        <v/>
      </c>
      <c r="H708" s="42">
        <f>IF($C708="","",IFERROR(INDEX(DESPACHOS!$G$3:$G$3002,MATCH($C708,DESPACHOS!$B$3:$B$3002,0)),""))</f>
        <v/>
      </c>
      <c r="I708" s="39">
        <f>IF($C708="","",IFERROR(INDEX(DESPACHOS!$H$3:$H$3002,MATCH($C708,DESPACHOS!$B$3:$B$3002,0)),""))</f>
        <v/>
      </c>
      <c r="J708" s="43">
        <f>IF($C708="","",IFERROR(INDEX(DESPACHOS!$J$3:$J$3002,MATCH($C708,DESPACHOS!$B$3:$B$3002,0)),""))</f>
        <v/>
      </c>
      <c r="K708" s="39">
        <f>IF($C708="","",IF(COUNTIFS(DESPACHOS!$B$3:$B$3002,$C708)=0,"NO EXISTE",IF(COUNTIFS(DESPACHOS!$B$3:$B$3002,$C708)&gt;1,"DUPLICADO","OK")))</f>
        <v/>
      </c>
      <c r="L708" s="41" t="n"/>
      <c r="M708" s="41" t="n"/>
      <c r="N708" s="42">
        <f>IF($M708="","",IFERROR(INDEX(LISTAS!$F$3:$F$42,MATCH($M708,LISTAS!$E$3:$E$42,0)),"Por definir"))</f>
        <v/>
      </c>
      <c r="O708" s="41" t="n"/>
      <c r="P708" s="39">
        <f>IF($L708="","",IFERROR(INDEX(LISTAS!$B$3:$B$42,MATCH($L708,LISTAS!$A$3:$A$42,0)),"Media"))</f>
        <v/>
      </c>
      <c r="Q708" s="44" t="n"/>
      <c r="R708" s="45" t="n"/>
      <c r="S708" s="20">
        <f>IFERROR(IF(OR($R708="",$C708=""),"",$R708/INDEX(DESPACHOS!$M$3:$M$3002,MATCH($C708,DESPACHOS!$B$3:$B$3002,0))),"")</f>
        <v/>
      </c>
      <c r="T708" s="41" t="n"/>
      <c r="U708" s="43">
        <f>IF(OR($B708="",$L708=""),"",WORKDAY($B708,IFERROR(INDEX(LISTAS!$C$3:$C$42,MATCH($L708,LISTAS!$A$3:$A$42,0)),3)))</f>
        <v/>
      </c>
      <c r="V708" s="40" t="n"/>
      <c r="W708" s="19">
        <f>IF($B708="","",IF($V708&lt;&gt;"",$V708-$B708,TODAY()-$B708))</f>
        <v/>
      </c>
      <c r="X708" s="19">
        <f>IF(OR($B708="",$U708=""),"",IF($V708&lt;&gt;"",MAX(0,$V708-$U708),MAX(0,TODAY()-$U708)))</f>
        <v/>
      </c>
      <c r="Y708" s="39">
        <f>IF($C708="","",IF(IFERROR(INDEX(LISTAS!$I$3:$I$42,MATCH($T708,LISTAS!$H$3:$H$42,0)),"NO")="SÍ",IF(N($X708)&gt;0,"CERRADA FUERA DE SLA","CERRADA EN SLA"),IF($U708="","SIN CLASIFICAR",IF(N($X708)&gt;0,"VENCIDA",IF(TODAY()&gt;=$U708-1,"POR VENCER","EN PLAZO")))))</f>
        <v/>
      </c>
      <c r="Z708" s="41" t="n"/>
      <c r="AA708" s="41" t="n"/>
      <c r="AB708" s="41" t="n"/>
    </row>
    <row r="709">
      <c r="A709" s="39">
        <f>IF($C709="","","NOV-"&amp;TEXT(ROW()-3,"0000"))</f>
        <v/>
      </c>
      <c r="B709" s="40" t="n"/>
      <c r="C709" s="41" t="n"/>
      <c r="D709" s="42">
        <f>IF($C709="","",IFERROR(INDEX(DESPACHOS!$D$3:$D$3002,MATCH($C709,DESPACHOS!$B$3:$B$3002,0)),"SIN DESPACHO"))</f>
        <v/>
      </c>
      <c r="E709" s="42">
        <f>IF($C709="","",IFERROR(INDEX(DESPACHOS!$K$3:$K$3002,MATCH($C709,DESPACHOS!$B$3:$B$3002,0)),""))</f>
        <v/>
      </c>
      <c r="F709" s="42">
        <f>IF($C709="","",IFERROR(INDEX(DESPACHOS!$I$3:$I$3002,MATCH($C709,DESPACHOS!$B$3:$B$3002,0)),""))</f>
        <v/>
      </c>
      <c r="G709" s="42">
        <f>IF($C709="","",IFERROR(INDEX(DESPACHOS!$F$3:$F$3002,MATCH($C709,DESPACHOS!$B$3:$B$3002,0)),""))</f>
        <v/>
      </c>
      <c r="H709" s="42">
        <f>IF($C709="","",IFERROR(INDEX(DESPACHOS!$G$3:$G$3002,MATCH($C709,DESPACHOS!$B$3:$B$3002,0)),""))</f>
        <v/>
      </c>
      <c r="I709" s="39">
        <f>IF($C709="","",IFERROR(INDEX(DESPACHOS!$H$3:$H$3002,MATCH($C709,DESPACHOS!$B$3:$B$3002,0)),""))</f>
        <v/>
      </c>
      <c r="J709" s="43">
        <f>IF($C709="","",IFERROR(INDEX(DESPACHOS!$J$3:$J$3002,MATCH($C709,DESPACHOS!$B$3:$B$3002,0)),""))</f>
        <v/>
      </c>
      <c r="K709" s="39">
        <f>IF($C709="","",IF(COUNTIFS(DESPACHOS!$B$3:$B$3002,$C709)=0,"NO EXISTE",IF(COUNTIFS(DESPACHOS!$B$3:$B$3002,$C709)&gt;1,"DUPLICADO","OK")))</f>
        <v/>
      </c>
      <c r="L709" s="41" t="n"/>
      <c r="M709" s="41" t="n"/>
      <c r="N709" s="42">
        <f>IF($M709="","",IFERROR(INDEX(LISTAS!$F$3:$F$42,MATCH($M709,LISTAS!$E$3:$E$42,0)),"Por definir"))</f>
        <v/>
      </c>
      <c r="O709" s="41" t="n"/>
      <c r="P709" s="39">
        <f>IF($L709="","",IFERROR(INDEX(LISTAS!$B$3:$B$42,MATCH($L709,LISTAS!$A$3:$A$42,0)),"Media"))</f>
        <v/>
      </c>
      <c r="Q709" s="44" t="n"/>
      <c r="R709" s="45" t="n"/>
      <c r="S709" s="20">
        <f>IFERROR(IF(OR($R709="",$C709=""),"",$R709/INDEX(DESPACHOS!$M$3:$M$3002,MATCH($C709,DESPACHOS!$B$3:$B$3002,0))),"")</f>
        <v/>
      </c>
      <c r="T709" s="41" t="n"/>
      <c r="U709" s="43">
        <f>IF(OR($B709="",$L709=""),"",WORKDAY($B709,IFERROR(INDEX(LISTAS!$C$3:$C$42,MATCH($L709,LISTAS!$A$3:$A$42,0)),3)))</f>
        <v/>
      </c>
      <c r="V709" s="40" t="n"/>
      <c r="W709" s="19">
        <f>IF($B709="","",IF($V709&lt;&gt;"",$V709-$B709,TODAY()-$B709))</f>
        <v/>
      </c>
      <c r="X709" s="19">
        <f>IF(OR($B709="",$U709=""),"",IF($V709&lt;&gt;"",MAX(0,$V709-$U709),MAX(0,TODAY()-$U709)))</f>
        <v/>
      </c>
      <c r="Y709" s="39">
        <f>IF($C709="","",IF(IFERROR(INDEX(LISTAS!$I$3:$I$42,MATCH($T709,LISTAS!$H$3:$H$42,0)),"NO")="SÍ",IF(N($X709)&gt;0,"CERRADA FUERA DE SLA","CERRADA EN SLA"),IF($U709="","SIN CLASIFICAR",IF(N($X709)&gt;0,"VENCIDA",IF(TODAY()&gt;=$U709-1,"POR VENCER","EN PLAZO")))))</f>
        <v/>
      </c>
      <c r="Z709" s="41" t="n"/>
      <c r="AA709" s="41" t="n"/>
      <c r="AB709" s="41" t="n"/>
    </row>
    <row r="710">
      <c r="A710" s="39">
        <f>IF($C710="","","NOV-"&amp;TEXT(ROW()-3,"0000"))</f>
        <v/>
      </c>
      <c r="B710" s="40" t="n"/>
      <c r="C710" s="41" t="n"/>
      <c r="D710" s="42">
        <f>IF($C710="","",IFERROR(INDEX(DESPACHOS!$D$3:$D$3002,MATCH($C710,DESPACHOS!$B$3:$B$3002,0)),"SIN DESPACHO"))</f>
        <v/>
      </c>
      <c r="E710" s="42">
        <f>IF($C710="","",IFERROR(INDEX(DESPACHOS!$K$3:$K$3002,MATCH($C710,DESPACHOS!$B$3:$B$3002,0)),""))</f>
        <v/>
      </c>
      <c r="F710" s="42">
        <f>IF($C710="","",IFERROR(INDEX(DESPACHOS!$I$3:$I$3002,MATCH($C710,DESPACHOS!$B$3:$B$3002,0)),""))</f>
        <v/>
      </c>
      <c r="G710" s="42">
        <f>IF($C710="","",IFERROR(INDEX(DESPACHOS!$F$3:$F$3002,MATCH($C710,DESPACHOS!$B$3:$B$3002,0)),""))</f>
        <v/>
      </c>
      <c r="H710" s="42">
        <f>IF($C710="","",IFERROR(INDEX(DESPACHOS!$G$3:$G$3002,MATCH($C710,DESPACHOS!$B$3:$B$3002,0)),""))</f>
        <v/>
      </c>
      <c r="I710" s="39">
        <f>IF($C710="","",IFERROR(INDEX(DESPACHOS!$H$3:$H$3002,MATCH($C710,DESPACHOS!$B$3:$B$3002,0)),""))</f>
        <v/>
      </c>
      <c r="J710" s="43">
        <f>IF($C710="","",IFERROR(INDEX(DESPACHOS!$J$3:$J$3002,MATCH($C710,DESPACHOS!$B$3:$B$3002,0)),""))</f>
        <v/>
      </c>
      <c r="K710" s="39">
        <f>IF($C710="","",IF(COUNTIFS(DESPACHOS!$B$3:$B$3002,$C710)=0,"NO EXISTE",IF(COUNTIFS(DESPACHOS!$B$3:$B$3002,$C710)&gt;1,"DUPLICADO","OK")))</f>
        <v/>
      </c>
      <c r="L710" s="41" t="n"/>
      <c r="M710" s="41" t="n"/>
      <c r="N710" s="42">
        <f>IF($M710="","",IFERROR(INDEX(LISTAS!$F$3:$F$42,MATCH($M710,LISTAS!$E$3:$E$42,0)),"Por definir"))</f>
        <v/>
      </c>
      <c r="O710" s="41" t="n"/>
      <c r="P710" s="39">
        <f>IF($L710="","",IFERROR(INDEX(LISTAS!$B$3:$B$42,MATCH($L710,LISTAS!$A$3:$A$42,0)),"Media"))</f>
        <v/>
      </c>
      <c r="Q710" s="44" t="n"/>
      <c r="R710" s="45" t="n"/>
      <c r="S710" s="20">
        <f>IFERROR(IF(OR($R710="",$C710=""),"",$R710/INDEX(DESPACHOS!$M$3:$M$3002,MATCH($C710,DESPACHOS!$B$3:$B$3002,0))),"")</f>
        <v/>
      </c>
      <c r="T710" s="41" t="n"/>
      <c r="U710" s="43">
        <f>IF(OR($B710="",$L710=""),"",WORKDAY($B710,IFERROR(INDEX(LISTAS!$C$3:$C$42,MATCH($L710,LISTAS!$A$3:$A$42,0)),3)))</f>
        <v/>
      </c>
      <c r="V710" s="40" t="n"/>
      <c r="W710" s="19">
        <f>IF($B710="","",IF($V710&lt;&gt;"",$V710-$B710,TODAY()-$B710))</f>
        <v/>
      </c>
      <c r="X710" s="19">
        <f>IF(OR($B710="",$U710=""),"",IF($V710&lt;&gt;"",MAX(0,$V710-$U710),MAX(0,TODAY()-$U710)))</f>
        <v/>
      </c>
      <c r="Y710" s="39">
        <f>IF($C710="","",IF(IFERROR(INDEX(LISTAS!$I$3:$I$42,MATCH($T710,LISTAS!$H$3:$H$42,0)),"NO")="SÍ",IF(N($X710)&gt;0,"CERRADA FUERA DE SLA","CERRADA EN SLA"),IF($U710="","SIN CLASIFICAR",IF(N($X710)&gt;0,"VENCIDA",IF(TODAY()&gt;=$U710-1,"POR VENCER","EN PLAZO")))))</f>
        <v/>
      </c>
      <c r="Z710" s="41" t="n"/>
      <c r="AA710" s="41" t="n"/>
      <c r="AB710" s="41" t="n"/>
    </row>
    <row r="711">
      <c r="A711" s="39">
        <f>IF($C711="","","NOV-"&amp;TEXT(ROW()-3,"0000"))</f>
        <v/>
      </c>
      <c r="B711" s="40" t="n"/>
      <c r="C711" s="41" t="n"/>
      <c r="D711" s="42">
        <f>IF($C711="","",IFERROR(INDEX(DESPACHOS!$D$3:$D$3002,MATCH($C711,DESPACHOS!$B$3:$B$3002,0)),"SIN DESPACHO"))</f>
        <v/>
      </c>
      <c r="E711" s="42">
        <f>IF($C711="","",IFERROR(INDEX(DESPACHOS!$K$3:$K$3002,MATCH($C711,DESPACHOS!$B$3:$B$3002,0)),""))</f>
        <v/>
      </c>
      <c r="F711" s="42">
        <f>IF($C711="","",IFERROR(INDEX(DESPACHOS!$I$3:$I$3002,MATCH($C711,DESPACHOS!$B$3:$B$3002,0)),""))</f>
        <v/>
      </c>
      <c r="G711" s="42">
        <f>IF($C711="","",IFERROR(INDEX(DESPACHOS!$F$3:$F$3002,MATCH($C711,DESPACHOS!$B$3:$B$3002,0)),""))</f>
        <v/>
      </c>
      <c r="H711" s="42">
        <f>IF($C711="","",IFERROR(INDEX(DESPACHOS!$G$3:$G$3002,MATCH($C711,DESPACHOS!$B$3:$B$3002,0)),""))</f>
        <v/>
      </c>
      <c r="I711" s="39">
        <f>IF($C711="","",IFERROR(INDEX(DESPACHOS!$H$3:$H$3002,MATCH($C711,DESPACHOS!$B$3:$B$3002,0)),""))</f>
        <v/>
      </c>
      <c r="J711" s="43">
        <f>IF($C711="","",IFERROR(INDEX(DESPACHOS!$J$3:$J$3002,MATCH($C711,DESPACHOS!$B$3:$B$3002,0)),""))</f>
        <v/>
      </c>
      <c r="K711" s="39">
        <f>IF($C711="","",IF(COUNTIFS(DESPACHOS!$B$3:$B$3002,$C711)=0,"NO EXISTE",IF(COUNTIFS(DESPACHOS!$B$3:$B$3002,$C711)&gt;1,"DUPLICADO","OK")))</f>
        <v/>
      </c>
      <c r="L711" s="41" t="n"/>
      <c r="M711" s="41" t="n"/>
      <c r="N711" s="42">
        <f>IF($M711="","",IFERROR(INDEX(LISTAS!$F$3:$F$42,MATCH($M711,LISTAS!$E$3:$E$42,0)),"Por definir"))</f>
        <v/>
      </c>
      <c r="O711" s="41" t="n"/>
      <c r="P711" s="39">
        <f>IF($L711="","",IFERROR(INDEX(LISTAS!$B$3:$B$42,MATCH($L711,LISTAS!$A$3:$A$42,0)),"Media"))</f>
        <v/>
      </c>
      <c r="Q711" s="44" t="n"/>
      <c r="R711" s="45" t="n"/>
      <c r="S711" s="20">
        <f>IFERROR(IF(OR($R711="",$C711=""),"",$R711/INDEX(DESPACHOS!$M$3:$M$3002,MATCH($C711,DESPACHOS!$B$3:$B$3002,0))),"")</f>
        <v/>
      </c>
      <c r="T711" s="41" t="n"/>
      <c r="U711" s="43">
        <f>IF(OR($B711="",$L711=""),"",WORKDAY($B711,IFERROR(INDEX(LISTAS!$C$3:$C$42,MATCH($L711,LISTAS!$A$3:$A$42,0)),3)))</f>
        <v/>
      </c>
      <c r="V711" s="40" t="n"/>
      <c r="W711" s="19">
        <f>IF($B711="","",IF($V711&lt;&gt;"",$V711-$B711,TODAY()-$B711))</f>
        <v/>
      </c>
      <c r="X711" s="19">
        <f>IF(OR($B711="",$U711=""),"",IF($V711&lt;&gt;"",MAX(0,$V711-$U711),MAX(0,TODAY()-$U711)))</f>
        <v/>
      </c>
      <c r="Y711" s="39">
        <f>IF($C711="","",IF(IFERROR(INDEX(LISTAS!$I$3:$I$42,MATCH($T711,LISTAS!$H$3:$H$42,0)),"NO")="SÍ",IF(N($X711)&gt;0,"CERRADA FUERA DE SLA","CERRADA EN SLA"),IF($U711="","SIN CLASIFICAR",IF(N($X711)&gt;0,"VENCIDA",IF(TODAY()&gt;=$U711-1,"POR VENCER","EN PLAZO")))))</f>
        <v/>
      </c>
      <c r="Z711" s="41" t="n"/>
      <c r="AA711" s="41" t="n"/>
      <c r="AB711" s="41" t="n"/>
    </row>
    <row r="712">
      <c r="A712" s="39">
        <f>IF($C712="","","NOV-"&amp;TEXT(ROW()-3,"0000"))</f>
        <v/>
      </c>
      <c r="B712" s="40" t="n"/>
      <c r="C712" s="41" t="n"/>
      <c r="D712" s="42">
        <f>IF($C712="","",IFERROR(INDEX(DESPACHOS!$D$3:$D$3002,MATCH($C712,DESPACHOS!$B$3:$B$3002,0)),"SIN DESPACHO"))</f>
        <v/>
      </c>
      <c r="E712" s="42">
        <f>IF($C712="","",IFERROR(INDEX(DESPACHOS!$K$3:$K$3002,MATCH($C712,DESPACHOS!$B$3:$B$3002,0)),""))</f>
        <v/>
      </c>
      <c r="F712" s="42">
        <f>IF($C712="","",IFERROR(INDEX(DESPACHOS!$I$3:$I$3002,MATCH($C712,DESPACHOS!$B$3:$B$3002,0)),""))</f>
        <v/>
      </c>
      <c r="G712" s="42">
        <f>IF($C712="","",IFERROR(INDEX(DESPACHOS!$F$3:$F$3002,MATCH($C712,DESPACHOS!$B$3:$B$3002,0)),""))</f>
        <v/>
      </c>
      <c r="H712" s="42">
        <f>IF($C712="","",IFERROR(INDEX(DESPACHOS!$G$3:$G$3002,MATCH($C712,DESPACHOS!$B$3:$B$3002,0)),""))</f>
        <v/>
      </c>
      <c r="I712" s="39">
        <f>IF($C712="","",IFERROR(INDEX(DESPACHOS!$H$3:$H$3002,MATCH($C712,DESPACHOS!$B$3:$B$3002,0)),""))</f>
        <v/>
      </c>
      <c r="J712" s="43">
        <f>IF($C712="","",IFERROR(INDEX(DESPACHOS!$J$3:$J$3002,MATCH($C712,DESPACHOS!$B$3:$B$3002,0)),""))</f>
        <v/>
      </c>
      <c r="K712" s="39">
        <f>IF($C712="","",IF(COUNTIFS(DESPACHOS!$B$3:$B$3002,$C712)=0,"NO EXISTE",IF(COUNTIFS(DESPACHOS!$B$3:$B$3002,$C712)&gt;1,"DUPLICADO","OK")))</f>
        <v/>
      </c>
      <c r="L712" s="41" t="n"/>
      <c r="M712" s="41" t="n"/>
      <c r="N712" s="42">
        <f>IF($M712="","",IFERROR(INDEX(LISTAS!$F$3:$F$42,MATCH($M712,LISTAS!$E$3:$E$42,0)),"Por definir"))</f>
        <v/>
      </c>
      <c r="O712" s="41" t="n"/>
      <c r="P712" s="39">
        <f>IF($L712="","",IFERROR(INDEX(LISTAS!$B$3:$B$42,MATCH($L712,LISTAS!$A$3:$A$42,0)),"Media"))</f>
        <v/>
      </c>
      <c r="Q712" s="44" t="n"/>
      <c r="R712" s="45" t="n"/>
      <c r="S712" s="20">
        <f>IFERROR(IF(OR($R712="",$C712=""),"",$R712/INDEX(DESPACHOS!$M$3:$M$3002,MATCH($C712,DESPACHOS!$B$3:$B$3002,0))),"")</f>
        <v/>
      </c>
      <c r="T712" s="41" t="n"/>
      <c r="U712" s="43">
        <f>IF(OR($B712="",$L712=""),"",WORKDAY($B712,IFERROR(INDEX(LISTAS!$C$3:$C$42,MATCH($L712,LISTAS!$A$3:$A$42,0)),3)))</f>
        <v/>
      </c>
      <c r="V712" s="40" t="n"/>
      <c r="W712" s="19">
        <f>IF($B712="","",IF($V712&lt;&gt;"",$V712-$B712,TODAY()-$B712))</f>
        <v/>
      </c>
      <c r="X712" s="19">
        <f>IF(OR($B712="",$U712=""),"",IF($V712&lt;&gt;"",MAX(0,$V712-$U712),MAX(0,TODAY()-$U712)))</f>
        <v/>
      </c>
      <c r="Y712" s="39">
        <f>IF($C712="","",IF(IFERROR(INDEX(LISTAS!$I$3:$I$42,MATCH($T712,LISTAS!$H$3:$H$42,0)),"NO")="SÍ",IF(N($X712)&gt;0,"CERRADA FUERA DE SLA","CERRADA EN SLA"),IF($U712="","SIN CLASIFICAR",IF(N($X712)&gt;0,"VENCIDA",IF(TODAY()&gt;=$U712-1,"POR VENCER","EN PLAZO")))))</f>
        <v/>
      </c>
      <c r="Z712" s="41" t="n"/>
      <c r="AA712" s="41" t="n"/>
      <c r="AB712" s="41" t="n"/>
    </row>
    <row r="713">
      <c r="A713" s="39">
        <f>IF($C713="","","NOV-"&amp;TEXT(ROW()-3,"0000"))</f>
        <v/>
      </c>
      <c r="B713" s="40" t="n"/>
      <c r="C713" s="41" t="n"/>
      <c r="D713" s="42">
        <f>IF($C713="","",IFERROR(INDEX(DESPACHOS!$D$3:$D$3002,MATCH($C713,DESPACHOS!$B$3:$B$3002,0)),"SIN DESPACHO"))</f>
        <v/>
      </c>
      <c r="E713" s="42">
        <f>IF($C713="","",IFERROR(INDEX(DESPACHOS!$K$3:$K$3002,MATCH($C713,DESPACHOS!$B$3:$B$3002,0)),""))</f>
        <v/>
      </c>
      <c r="F713" s="42">
        <f>IF($C713="","",IFERROR(INDEX(DESPACHOS!$I$3:$I$3002,MATCH($C713,DESPACHOS!$B$3:$B$3002,0)),""))</f>
        <v/>
      </c>
      <c r="G713" s="42">
        <f>IF($C713="","",IFERROR(INDEX(DESPACHOS!$F$3:$F$3002,MATCH($C713,DESPACHOS!$B$3:$B$3002,0)),""))</f>
        <v/>
      </c>
      <c r="H713" s="42">
        <f>IF($C713="","",IFERROR(INDEX(DESPACHOS!$G$3:$G$3002,MATCH($C713,DESPACHOS!$B$3:$B$3002,0)),""))</f>
        <v/>
      </c>
      <c r="I713" s="39">
        <f>IF($C713="","",IFERROR(INDEX(DESPACHOS!$H$3:$H$3002,MATCH($C713,DESPACHOS!$B$3:$B$3002,0)),""))</f>
        <v/>
      </c>
      <c r="J713" s="43">
        <f>IF($C713="","",IFERROR(INDEX(DESPACHOS!$J$3:$J$3002,MATCH($C713,DESPACHOS!$B$3:$B$3002,0)),""))</f>
        <v/>
      </c>
      <c r="K713" s="39">
        <f>IF($C713="","",IF(COUNTIFS(DESPACHOS!$B$3:$B$3002,$C713)=0,"NO EXISTE",IF(COUNTIFS(DESPACHOS!$B$3:$B$3002,$C713)&gt;1,"DUPLICADO","OK")))</f>
        <v/>
      </c>
      <c r="L713" s="41" t="n"/>
      <c r="M713" s="41" t="n"/>
      <c r="N713" s="42">
        <f>IF($M713="","",IFERROR(INDEX(LISTAS!$F$3:$F$42,MATCH($M713,LISTAS!$E$3:$E$42,0)),"Por definir"))</f>
        <v/>
      </c>
      <c r="O713" s="41" t="n"/>
      <c r="P713" s="39">
        <f>IF($L713="","",IFERROR(INDEX(LISTAS!$B$3:$B$42,MATCH($L713,LISTAS!$A$3:$A$42,0)),"Media"))</f>
        <v/>
      </c>
      <c r="Q713" s="44" t="n"/>
      <c r="R713" s="45" t="n"/>
      <c r="S713" s="20">
        <f>IFERROR(IF(OR($R713="",$C713=""),"",$R713/INDEX(DESPACHOS!$M$3:$M$3002,MATCH($C713,DESPACHOS!$B$3:$B$3002,0))),"")</f>
        <v/>
      </c>
      <c r="T713" s="41" t="n"/>
      <c r="U713" s="43">
        <f>IF(OR($B713="",$L713=""),"",WORKDAY($B713,IFERROR(INDEX(LISTAS!$C$3:$C$42,MATCH($L713,LISTAS!$A$3:$A$42,0)),3)))</f>
        <v/>
      </c>
      <c r="V713" s="40" t="n"/>
      <c r="W713" s="19">
        <f>IF($B713="","",IF($V713&lt;&gt;"",$V713-$B713,TODAY()-$B713))</f>
        <v/>
      </c>
      <c r="X713" s="19">
        <f>IF(OR($B713="",$U713=""),"",IF($V713&lt;&gt;"",MAX(0,$V713-$U713),MAX(0,TODAY()-$U713)))</f>
        <v/>
      </c>
      <c r="Y713" s="39">
        <f>IF($C713="","",IF(IFERROR(INDEX(LISTAS!$I$3:$I$42,MATCH($T713,LISTAS!$H$3:$H$42,0)),"NO")="SÍ",IF(N($X713)&gt;0,"CERRADA FUERA DE SLA","CERRADA EN SLA"),IF($U713="","SIN CLASIFICAR",IF(N($X713)&gt;0,"VENCIDA",IF(TODAY()&gt;=$U713-1,"POR VENCER","EN PLAZO")))))</f>
        <v/>
      </c>
      <c r="Z713" s="41" t="n"/>
      <c r="AA713" s="41" t="n"/>
      <c r="AB713" s="41" t="n"/>
    </row>
    <row r="714">
      <c r="A714" s="39">
        <f>IF($C714="","","NOV-"&amp;TEXT(ROW()-3,"0000"))</f>
        <v/>
      </c>
      <c r="B714" s="40" t="n"/>
      <c r="C714" s="41" t="n"/>
      <c r="D714" s="42">
        <f>IF($C714="","",IFERROR(INDEX(DESPACHOS!$D$3:$D$3002,MATCH($C714,DESPACHOS!$B$3:$B$3002,0)),"SIN DESPACHO"))</f>
        <v/>
      </c>
      <c r="E714" s="42">
        <f>IF($C714="","",IFERROR(INDEX(DESPACHOS!$K$3:$K$3002,MATCH($C714,DESPACHOS!$B$3:$B$3002,0)),""))</f>
        <v/>
      </c>
      <c r="F714" s="42">
        <f>IF($C714="","",IFERROR(INDEX(DESPACHOS!$I$3:$I$3002,MATCH($C714,DESPACHOS!$B$3:$B$3002,0)),""))</f>
        <v/>
      </c>
      <c r="G714" s="42">
        <f>IF($C714="","",IFERROR(INDEX(DESPACHOS!$F$3:$F$3002,MATCH($C714,DESPACHOS!$B$3:$B$3002,0)),""))</f>
        <v/>
      </c>
      <c r="H714" s="42">
        <f>IF($C714="","",IFERROR(INDEX(DESPACHOS!$G$3:$G$3002,MATCH($C714,DESPACHOS!$B$3:$B$3002,0)),""))</f>
        <v/>
      </c>
      <c r="I714" s="39">
        <f>IF($C714="","",IFERROR(INDEX(DESPACHOS!$H$3:$H$3002,MATCH($C714,DESPACHOS!$B$3:$B$3002,0)),""))</f>
        <v/>
      </c>
      <c r="J714" s="43">
        <f>IF($C714="","",IFERROR(INDEX(DESPACHOS!$J$3:$J$3002,MATCH($C714,DESPACHOS!$B$3:$B$3002,0)),""))</f>
        <v/>
      </c>
      <c r="K714" s="39">
        <f>IF($C714="","",IF(COUNTIFS(DESPACHOS!$B$3:$B$3002,$C714)=0,"NO EXISTE",IF(COUNTIFS(DESPACHOS!$B$3:$B$3002,$C714)&gt;1,"DUPLICADO","OK")))</f>
        <v/>
      </c>
      <c r="L714" s="41" t="n"/>
      <c r="M714" s="41" t="n"/>
      <c r="N714" s="42">
        <f>IF($M714="","",IFERROR(INDEX(LISTAS!$F$3:$F$42,MATCH($M714,LISTAS!$E$3:$E$42,0)),"Por definir"))</f>
        <v/>
      </c>
      <c r="O714" s="41" t="n"/>
      <c r="P714" s="39">
        <f>IF($L714="","",IFERROR(INDEX(LISTAS!$B$3:$B$42,MATCH($L714,LISTAS!$A$3:$A$42,0)),"Media"))</f>
        <v/>
      </c>
      <c r="Q714" s="44" t="n"/>
      <c r="R714" s="45" t="n"/>
      <c r="S714" s="20">
        <f>IFERROR(IF(OR($R714="",$C714=""),"",$R714/INDEX(DESPACHOS!$M$3:$M$3002,MATCH($C714,DESPACHOS!$B$3:$B$3002,0))),"")</f>
        <v/>
      </c>
      <c r="T714" s="41" t="n"/>
      <c r="U714" s="43">
        <f>IF(OR($B714="",$L714=""),"",WORKDAY($B714,IFERROR(INDEX(LISTAS!$C$3:$C$42,MATCH($L714,LISTAS!$A$3:$A$42,0)),3)))</f>
        <v/>
      </c>
      <c r="V714" s="40" t="n"/>
      <c r="W714" s="19">
        <f>IF($B714="","",IF($V714&lt;&gt;"",$V714-$B714,TODAY()-$B714))</f>
        <v/>
      </c>
      <c r="X714" s="19">
        <f>IF(OR($B714="",$U714=""),"",IF($V714&lt;&gt;"",MAX(0,$V714-$U714),MAX(0,TODAY()-$U714)))</f>
        <v/>
      </c>
      <c r="Y714" s="39">
        <f>IF($C714="","",IF(IFERROR(INDEX(LISTAS!$I$3:$I$42,MATCH($T714,LISTAS!$H$3:$H$42,0)),"NO")="SÍ",IF(N($X714)&gt;0,"CERRADA FUERA DE SLA","CERRADA EN SLA"),IF($U714="","SIN CLASIFICAR",IF(N($X714)&gt;0,"VENCIDA",IF(TODAY()&gt;=$U714-1,"POR VENCER","EN PLAZO")))))</f>
        <v/>
      </c>
      <c r="Z714" s="41" t="n"/>
      <c r="AA714" s="41" t="n"/>
      <c r="AB714" s="41" t="n"/>
    </row>
    <row r="715">
      <c r="A715" s="39">
        <f>IF($C715="","","NOV-"&amp;TEXT(ROW()-3,"0000"))</f>
        <v/>
      </c>
      <c r="B715" s="40" t="n"/>
      <c r="C715" s="41" t="n"/>
      <c r="D715" s="42">
        <f>IF($C715="","",IFERROR(INDEX(DESPACHOS!$D$3:$D$3002,MATCH($C715,DESPACHOS!$B$3:$B$3002,0)),"SIN DESPACHO"))</f>
        <v/>
      </c>
      <c r="E715" s="42">
        <f>IF($C715="","",IFERROR(INDEX(DESPACHOS!$K$3:$K$3002,MATCH($C715,DESPACHOS!$B$3:$B$3002,0)),""))</f>
        <v/>
      </c>
      <c r="F715" s="42">
        <f>IF($C715="","",IFERROR(INDEX(DESPACHOS!$I$3:$I$3002,MATCH($C715,DESPACHOS!$B$3:$B$3002,0)),""))</f>
        <v/>
      </c>
      <c r="G715" s="42">
        <f>IF($C715="","",IFERROR(INDEX(DESPACHOS!$F$3:$F$3002,MATCH($C715,DESPACHOS!$B$3:$B$3002,0)),""))</f>
        <v/>
      </c>
      <c r="H715" s="42">
        <f>IF($C715="","",IFERROR(INDEX(DESPACHOS!$G$3:$G$3002,MATCH($C715,DESPACHOS!$B$3:$B$3002,0)),""))</f>
        <v/>
      </c>
      <c r="I715" s="39">
        <f>IF($C715="","",IFERROR(INDEX(DESPACHOS!$H$3:$H$3002,MATCH($C715,DESPACHOS!$B$3:$B$3002,0)),""))</f>
        <v/>
      </c>
      <c r="J715" s="43">
        <f>IF($C715="","",IFERROR(INDEX(DESPACHOS!$J$3:$J$3002,MATCH($C715,DESPACHOS!$B$3:$B$3002,0)),""))</f>
        <v/>
      </c>
      <c r="K715" s="39">
        <f>IF($C715="","",IF(COUNTIFS(DESPACHOS!$B$3:$B$3002,$C715)=0,"NO EXISTE",IF(COUNTIFS(DESPACHOS!$B$3:$B$3002,$C715)&gt;1,"DUPLICADO","OK")))</f>
        <v/>
      </c>
      <c r="L715" s="41" t="n"/>
      <c r="M715" s="41" t="n"/>
      <c r="N715" s="42">
        <f>IF($M715="","",IFERROR(INDEX(LISTAS!$F$3:$F$42,MATCH($M715,LISTAS!$E$3:$E$42,0)),"Por definir"))</f>
        <v/>
      </c>
      <c r="O715" s="41" t="n"/>
      <c r="P715" s="39">
        <f>IF($L715="","",IFERROR(INDEX(LISTAS!$B$3:$B$42,MATCH($L715,LISTAS!$A$3:$A$42,0)),"Media"))</f>
        <v/>
      </c>
      <c r="Q715" s="44" t="n"/>
      <c r="R715" s="45" t="n"/>
      <c r="S715" s="20">
        <f>IFERROR(IF(OR($R715="",$C715=""),"",$R715/INDEX(DESPACHOS!$M$3:$M$3002,MATCH($C715,DESPACHOS!$B$3:$B$3002,0))),"")</f>
        <v/>
      </c>
      <c r="T715" s="41" t="n"/>
      <c r="U715" s="43">
        <f>IF(OR($B715="",$L715=""),"",WORKDAY($B715,IFERROR(INDEX(LISTAS!$C$3:$C$42,MATCH($L715,LISTAS!$A$3:$A$42,0)),3)))</f>
        <v/>
      </c>
      <c r="V715" s="40" t="n"/>
      <c r="W715" s="19">
        <f>IF($B715="","",IF($V715&lt;&gt;"",$V715-$B715,TODAY()-$B715))</f>
        <v/>
      </c>
      <c r="X715" s="19">
        <f>IF(OR($B715="",$U715=""),"",IF($V715&lt;&gt;"",MAX(0,$V715-$U715),MAX(0,TODAY()-$U715)))</f>
        <v/>
      </c>
      <c r="Y715" s="39">
        <f>IF($C715="","",IF(IFERROR(INDEX(LISTAS!$I$3:$I$42,MATCH($T715,LISTAS!$H$3:$H$42,0)),"NO")="SÍ",IF(N($X715)&gt;0,"CERRADA FUERA DE SLA","CERRADA EN SLA"),IF($U715="","SIN CLASIFICAR",IF(N($X715)&gt;0,"VENCIDA",IF(TODAY()&gt;=$U715-1,"POR VENCER","EN PLAZO")))))</f>
        <v/>
      </c>
      <c r="Z715" s="41" t="n"/>
      <c r="AA715" s="41" t="n"/>
      <c r="AB715" s="41" t="n"/>
    </row>
    <row r="716">
      <c r="A716" s="39">
        <f>IF($C716="","","NOV-"&amp;TEXT(ROW()-3,"0000"))</f>
        <v/>
      </c>
      <c r="B716" s="40" t="n"/>
      <c r="C716" s="41" t="n"/>
      <c r="D716" s="42">
        <f>IF($C716="","",IFERROR(INDEX(DESPACHOS!$D$3:$D$3002,MATCH($C716,DESPACHOS!$B$3:$B$3002,0)),"SIN DESPACHO"))</f>
        <v/>
      </c>
      <c r="E716" s="42">
        <f>IF($C716="","",IFERROR(INDEX(DESPACHOS!$K$3:$K$3002,MATCH($C716,DESPACHOS!$B$3:$B$3002,0)),""))</f>
        <v/>
      </c>
      <c r="F716" s="42">
        <f>IF($C716="","",IFERROR(INDEX(DESPACHOS!$I$3:$I$3002,MATCH($C716,DESPACHOS!$B$3:$B$3002,0)),""))</f>
        <v/>
      </c>
      <c r="G716" s="42">
        <f>IF($C716="","",IFERROR(INDEX(DESPACHOS!$F$3:$F$3002,MATCH($C716,DESPACHOS!$B$3:$B$3002,0)),""))</f>
        <v/>
      </c>
      <c r="H716" s="42">
        <f>IF($C716="","",IFERROR(INDEX(DESPACHOS!$G$3:$G$3002,MATCH($C716,DESPACHOS!$B$3:$B$3002,0)),""))</f>
        <v/>
      </c>
      <c r="I716" s="39">
        <f>IF($C716="","",IFERROR(INDEX(DESPACHOS!$H$3:$H$3002,MATCH($C716,DESPACHOS!$B$3:$B$3002,0)),""))</f>
        <v/>
      </c>
      <c r="J716" s="43">
        <f>IF($C716="","",IFERROR(INDEX(DESPACHOS!$J$3:$J$3002,MATCH($C716,DESPACHOS!$B$3:$B$3002,0)),""))</f>
        <v/>
      </c>
      <c r="K716" s="39">
        <f>IF($C716="","",IF(COUNTIFS(DESPACHOS!$B$3:$B$3002,$C716)=0,"NO EXISTE",IF(COUNTIFS(DESPACHOS!$B$3:$B$3002,$C716)&gt;1,"DUPLICADO","OK")))</f>
        <v/>
      </c>
      <c r="L716" s="41" t="n"/>
      <c r="M716" s="41" t="n"/>
      <c r="N716" s="42">
        <f>IF($M716="","",IFERROR(INDEX(LISTAS!$F$3:$F$42,MATCH($M716,LISTAS!$E$3:$E$42,0)),"Por definir"))</f>
        <v/>
      </c>
      <c r="O716" s="41" t="n"/>
      <c r="P716" s="39">
        <f>IF($L716="","",IFERROR(INDEX(LISTAS!$B$3:$B$42,MATCH($L716,LISTAS!$A$3:$A$42,0)),"Media"))</f>
        <v/>
      </c>
      <c r="Q716" s="44" t="n"/>
      <c r="R716" s="45" t="n"/>
      <c r="S716" s="20">
        <f>IFERROR(IF(OR($R716="",$C716=""),"",$R716/INDEX(DESPACHOS!$M$3:$M$3002,MATCH($C716,DESPACHOS!$B$3:$B$3002,0))),"")</f>
        <v/>
      </c>
      <c r="T716" s="41" t="n"/>
      <c r="U716" s="43">
        <f>IF(OR($B716="",$L716=""),"",WORKDAY($B716,IFERROR(INDEX(LISTAS!$C$3:$C$42,MATCH($L716,LISTAS!$A$3:$A$42,0)),3)))</f>
        <v/>
      </c>
      <c r="V716" s="40" t="n"/>
      <c r="W716" s="19">
        <f>IF($B716="","",IF($V716&lt;&gt;"",$V716-$B716,TODAY()-$B716))</f>
        <v/>
      </c>
      <c r="X716" s="19">
        <f>IF(OR($B716="",$U716=""),"",IF($V716&lt;&gt;"",MAX(0,$V716-$U716),MAX(0,TODAY()-$U716)))</f>
        <v/>
      </c>
      <c r="Y716" s="39">
        <f>IF($C716="","",IF(IFERROR(INDEX(LISTAS!$I$3:$I$42,MATCH($T716,LISTAS!$H$3:$H$42,0)),"NO")="SÍ",IF(N($X716)&gt;0,"CERRADA FUERA DE SLA","CERRADA EN SLA"),IF($U716="","SIN CLASIFICAR",IF(N($X716)&gt;0,"VENCIDA",IF(TODAY()&gt;=$U716-1,"POR VENCER","EN PLAZO")))))</f>
        <v/>
      </c>
      <c r="Z716" s="41" t="n"/>
      <c r="AA716" s="41" t="n"/>
      <c r="AB716" s="41" t="n"/>
    </row>
    <row r="717">
      <c r="A717" s="39">
        <f>IF($C717="","","NOV-"&amp;TEXT(ROW()-3,"0000"))</f>
        <v/>
      </c>
      <c r="B717" s="40" t="n"/>
      <c r="C717" s="41" t="n"/>
      <c r="D717" s="42">
        <f>IF($C717="","",IFERROR(INDEX(DESPACHOS!$D$3:$D$3002,MATCH($C717,DESPACHOS!$B$3:$B$3002,0)),"SIN DESPACHO"))</f>
        <v/>
      </c>
      <c r="E717" s="42">
        <f>IF($C717="","",IFERROR(INDEX(DESPACHOS!$K$3:$K$3002,MATCH($C717,DESPACHOS!$B$3:$B$3002,0)),""))</f>
        <v/>
      </c>
      <c r="F717" s="42">
        <f>IF($C717="","",IFERROR(INDEX(DESPACHOS!$I$3:$I$3002,MATCH($C717,DESPACHOS!$B$3:$B$3002,0)),""))</f>
        <v/>
      </c>
      <c r="G717" s="42">
        <f>IF($C717="","",IFERROR(INDEX(DESPACHOS!$F$3:$F$3002,MATCH($C717,DESPACHOS!$B$3:$B$3002,0)),""))</f>
        <v/>
      </c>
      <c r="H717" s="42">
        <f>IF($C717="","",IFERROR(INDEX(DESPACHOS!$G$3:$G$3002,MATCH($C717,DESPACHOS!$B$3:$B$3002,0)),""))</f>
        <v/>
      </c>
      <c r="I717" s="39">
        <f>IF($C717="","",IFERROR(INDEX(DESPACHOS!$H$3:$H$3002,MATCH($C717,DESPACHOS!$B$3:$B$3002,0)),""))</f>
        <v/>
      </c>
      <c r="J717" s="43">
        <f>IF($C717="","",IFERROR(INDEX(DESPACHOS!$J$3:$J$3002,MATCH($C717,DESPACHOS!$B$3:$B$3002,0)),""))</f>
        <v/>
      </c>
      <c r="K717" s="39">
        <f>IF($C717="","",IF(COUNTIFS(DESPACHOS!$B$3:$B$3002,$C717)=0,"NO EXISTE",IF(COUNTIFS(DESPACHOS!$B$3:$B$3002,$C717)&gt;1,"DUPLICADO","OK")))</f>
        <v/>
      </c>
      <c r="L717" s="41" t="n"/>
      <c r="M717" s="41" t="n"/>
      <c r="N717" s="42">
        <f>IF($M717="","",IFERROR(INDEX(LISTAS!$F$3:$F$42,MATCH($M717,LISTAS!$E$3:$E$42,0)),"Por definir"))</f>
        <v/>
      </c>
      <c r="O717" s="41" t="n"/>
      <c r="P717" s="39">
        <f>IF($L717="","",IFERROR(INDEX(LISTAS!$B$3:$B$42,MATCH($L717,LISTAS!$A$3:$A$42,0)),"Media"))</f>
        <v/>
      </c>
      <c r="Q717" s="44" t="n"/>
      <c r="R717" s="45" t="n"/>
      <c r="S717" s="20">
        <f>IFERROR(IF(OR($R717="",$C717=""),"",$R717/INDEX(DESPACHOS!$M$3:$M$3002,MATCH($C717,DESPACHOS!$B$3:$B$3002,0))),"")</f>
        <v/>
      </c>
      <c r="T717" s="41" t="n"/>
      <c r="U717" s="43">
        <f>IF(OR($B717="",$L717=""),"",WORKDAY($B717,IFERROR(INDEX(LISTAS!$C$3:$C$42,MATCH($L717,LISTAS!$A$3:$A$42,0)),3)))</f>
        <v/>
      </c>
      <c r="V717" s="40" t="n"/>
      <c r="W717" s="19">
        <f>IF($B717="","",IF($V717&lt;&gt;"",$V717-$B717,TODAY()-$B717))</f>
        <v/>
      </c>
      <c r="X717" s="19">
        <f>IF(OR($B717="",$U717=""),"",IF($V717&lt;&gt;"",MAX(0,$V717-$U717),MAX(0,TODAY()-$U717)))</f>
        <v/>
      </c>
      <c r="Y717" s="39">
        <f>IF($C717="","",IF(IFERROR(INDEX(LISTAS!$I$3:$I$42,MATCH($T717,LISTAS!$H$3:$H$42,0)),"NO")="SÍ",IF(N($X717)&gt;0,"CERRADA FUERA DE SLA","CERRADA EN SLA"),IF($U717="","SIN CLASIFICAR",IF(N($X717)&gt;0,"VENCIDA",IF(TODAY()&gt;=$U717-1,"POR VENCER","EN PLAZO")))))</f>
        <v/>
      </c>
      <c r="Z717" s="41" t="n"/>
      <c r="AA717" s="41" t="n"/>
      <c r="AB717" s="41" t="n"/>
    </row>
    <row r="718">
      <c r="A718" s="39">
        <f>IF($C718="","","NOV-"&amp;TEXT(ROW()-3,"0000"))</f>
        <v/>
      </c>
      <c r="B718" s="40" t="n"/>
      <c r="C718" s="41" t="n"/>
      <c r="D718" s="42">
        <f>IF($C718="","",IFERROR(INDEX(DESPACHOS!$D$3:$D$3002,MATCH($C718,DESPACHOS!$B$3:$B$3002,0)),"SIN DESPACHO"))</f>
        <v/>
      </c>
      <c r="E718" s="42">
        <f>IF($C718="","",IFERROR(INDEX(DESPACHOS!$K$3:$K$3002,MATCH($C718,DESPACHOS!$B$3:$B$3002,0)),""))</f>
        <v/>
      </c>
      <c r="F718" s="42">
        <f>IF($C718="","",IFERROR(INDEX(DESPACHOS!$I$3:$I$3002,MATCH($C718,DESPACHOS!$B$3:$B$3002,0)),""))</f>
        <v/>
      </c>
      <c r="G718" s="42">
        <f>IF($C718="","",IFERROR(INDEX(DESPACHOS!$F$3:$F$3002,MATCH($C718,DESPACHOS!$B$3:$B$3002,0)),""))</f>
        <v/>
      </c>
      <c r="H718" s="42">
        <f>IF($C718="","",IFERROR(INDEX(DESPACHOS!$G$3:$G$3002,MATCH($C718,DESPACHOS!$B$3:$B$3002,0)),""))</f>
        <v/>
      </c>
      <c r="I718" s="39">
        <f>IF($C718="","",IFERROR(INDEX(DESPACHOS!$H$3:$H$3002,MATCH($C718,DESPACHOS!$B$3:$B$3002,0)),""))</f>
        <v/>
      </c>
      <c r="J718" s="43">
        <f>IF($C718="","",IFERROR(INDEX(DESPACHOS!$J$3:$J$3002,MATCH($C718,DESPACHOS!$B$3:$B$3002,0)),""))</f>
        <v/>
      </c>
      <c r="K718" s="39">
        <f>IF($C718="","",IF(COUNTIFS(DESPACHOS!$B$3:$B$3002,$C718)=0,"NO EXISTE",IF(COUNTIFS(DESPACHOS!$B$3:$B$3002,$C718)&gt;1,"DUPLICADO","OK")))</f>
        <v/>
      </c>
      <c r="L718" s="41" t="n"/>
      <c r="M718" s="41" t="n"/>
      <c r="N718" s="42">
        <f>IF($M718="","",IFERROR(INDEX(LISTAS!$F$3:$F$42,MATCH($M718,LISTAS!$E$3:$E$42,0)),"Por definir"))</f>
        <v/>
      </c>
      <c r="O718" s="41" t="n"/>
      <c r="P718" s="39">
        <f>IF($L718="","",IFERROR(INDEX(LISTAS!$B$3:$B$42,MATCH($L718,LISTAS!$A$3:$A$42,0)),"Media"))</f>
        <v/>
      </c>
      <c r="Q718" s="44" t="n"/>
      <c r="R718" s="45" t="n"/>
      <c r="S718" s="20">
        <f>IFERROR(IF(OR($R718="",$C718=""),"",$R718/INDEX(DESPACHOS!$M$3:$M$3002,MATCH($C718,DESPACHOS!$B$3:$B$3002,0))),"")</f>
        <v/>
      </c>
      <c r="T718" s="41" t="n"/>
      <c r="U718" s="43">
        <f>IF(OR($B718="",$L718=""),"",WORKDAY($B718,IFERROR(INDEX(LISTAS!$C$3:$C$42,MATCH($L718,LISTAS!$A$3:$A$42,0)),3)))</f>
        <v/>
      </c>
      <c r="V718" s="40" t="n"/>
      <c r="W718" s="19">
        <f>IF($B718="","",IF($V718&lt;&gt;"",$V718-$B718,TODAY()-$B718))</f>
        <v/>
      </c>
      <c r="X718" s="19">
        <f>IF(OR($B718="",$U718=""),"",IF($V718&lt;&gt;"",MAX(0,$V718-$U718),MAX(0,TODAY()-$U718)))</f>
        <v/>
      </c>
      <c r="Y718" s="39">
        <f>IF($C718="","",IF(IFERROR(INDEX(LISTAS!$I$3:$I$42,MATCH($T718,LISTAS!$H$3:$H$42,0)),"NO")="SÍ",IF(N($X718)&gt;0,"CERRADA FUERA DE SLA","CERRADA EN SLA"),IF($U718="","SIN CLASIFICAR",IF(N($X718)&gt;0,"VENCIDA",IF(TODAY()&gt;=$U718-1,"POR VENCER","EN PLAZO")))))</f>
        <v/>
      </c>
      <c r="Z718" s="41" t="n"/>
      <c r="AA718" s="41" t="n"/>
      <c r="AB718" s="41" t="n"/>
    </row>
    <row r="719">
      <c r="A719" s="39">
        <f>IF($C719="","","NOV-"&amp;TEXT(ROW()-3,"0000"))</f>
        <v/>
      </c>
      <c r="B719" s="40" t="n"/>
      <c r="C719" s="41" t="n"/>
      <c r="D719" s="42">
        <f>IF($C719="","",IFERROR(INDEX(DESPACHOS!$D$3:$D$3002,MATCH($C719,DESPACHOS!$B$3:$B$3002,0)),"SIN DESPACHO"))</f>
        <v/>
      </c>
      <c r="E719" s="42">
        <f>IF($C719="","",IFERROR(INDEX(DESPACHOS!$K$3:$K$3002,MATCH($C719,DESPACHOS!$B$3:$B$3002,0)),""))</f>
        <v/>
      </c>
      <c r="F719" s="42">
        <f>IF($C719="","",IFERROR(INDEX(DESPACHOS!$I$3:$I$3002,MATCH($C719,DESPACHOS!$B$3:$B$3002,0)),""))</f>
        <v/>
      </c>
      <c r="G719" s="42">
        <f>IF($C719="","",IFERROR(INDEX(DESPACHOS!$F$3:$F$3002,MATCH($C719,DESPACHOS!$B$3:$B$3002,0)),""))</f>
        <v/>
      </c>
      <c r="H719" s="42">
        <f>IF($C719="","",IFERROR(INDEX(DESPACHOS!$G$3:$G$3002,MATCH($C719,DESPACHOS!$B$3:$B$3002,0)),""))</f>
        <v/>
      </c>
      <c r="I719" s="39">
        <f>IF($C719="","",IFERROR(INDEX(DESPACHOS!$H$3:$H$3002,MATCH($C719,DESPACHOS!$B$3:$B$3002,0)),""))</f>
        <v/>
      </c>
      <c r="J719" s="43">
        <f>IF($C719="","",IFERROR(INDEX(DESPACHOS!$J$3:$J$3002,MATCH($C719,DESPACHOS!$B$3:$B$3002,0)),""))</f>
        <v/>
      </c>
      <c r="K719" s="39">
        <f>IF($C719="","",IF(COUNTIFS(DESPACHOS!$B$3:$B$3002,$C719)=0,"NO EXISTE",IF(COUNTIFS(DESPACHOS!$B$3:$B$3002,$C719)&gt;1,"DUPLICADO","OK")))</f>
        <v/>
      </c>
      <c r="L719" s="41" t="n"/>
      <c r="M719" s="41" t="n"/>
      <c r="N719" s="42">
        <f>IF($M719="","",IFERROR(INDEX(LISTAS!$F$3:$F$42,MATCH($M719,LISTAS!$E$3:$E$42,0)),"Por definir"))</f>
        <v/>
      </c>
      <c r="O719" s="41" t="n"/>
      <c r="P719" s="39">
        <f>IF($L719="","",IFERROR(INDEX(LISTAS!$B$3:$B$42,MATCH($L719,LISTAS!$A$3:$A$42,0)),"Media"))</f>
        <v/>
      </c>
      <c r="Q719" s="44" t="n"/>
      <c r="R719" s="45" t="n"/>
      <c r="S719" s="20">
        <f>IFERROR(IF(OR($R719="",$C719=""),"",$R719/INDEX(DESPACHOS!$M$3:$M$3002,MATCH($C719,DESPACHOS!$B$3:$B$3002,0))),"")</f>
        <v/>
      </c>
      <c r="T719" s="41" t="n"/>
      <c r="U719" s="43">
        <f>IF(OR($B719="",$L719=""),"",WORKDAY($B719,IFERROR(INDEX(LISTAS!$C$3:$C$42,MATCH($L719,LISTAS!$A$3:$A$42,0)),3)))</f>
        <v/>
      </c>
      <c r="V719" s="40" t="n"/>
      <c r="W719" s="19">
        <f>IF($B719="","",IF($V719&lt;&gt;"",$V719-$B719,TODAY()-$B719))</f>
        <v/>
      </c>
      <c r="X719" s="19">
        <f>IF(OR($B719="",$U719=""),"",IF($V719&lt;&gt;"",MAX(0,$V719-$U719),MAX(0,TODAY()-$U719)))</f>
        <v/>
      </c>
      <c r="Y719" s="39">
        <f>IF($C719="","",IF(IFERROR(INDEX(LISTAS!$I$3:$I$42,MATCH($T719,LISTAS!$H$3:$H$42,0)),"NO")="SÍ",IF(N($X719)&gt;0,"CERRADA FUERA DE SLA","CERRADA EN SLA"),IF($U719="","SIN CLASIFICAR",IF(N($X719)&gt;0,"VENCIDA",IF(TODAY()&gt;=$U719-1,"POR VENCER","EN PLAZO")))))</f>
        <v/>
      </c>
      <c r="Z719" s="41" t="n"/>
      <c r="AA719" s="41" t="n"/>
      <c r="AB719" s="41" t="n"/>
    </row>
    <row r="720">
      <c r="A720" s="39">
        <f>IF($C720="","","NOV-"&amp;TEXT(ROW()-3,"0000"))</f>
        <v/>
      </c>
      <c r="B720" s="40" t="n"/>
      <c r="C720" s="41" t="n"/>
      <c r="D720" s="42">
        <f>IF($C720="","",IFERROR(INDEX(DESPACHOS!$D$3:$D$3002,MATCH($C720,DESPACHOS!$B$3:$B$3002,0)),"SIN DESPACHO"))</f>
        <v/>
      </c>
      <c r="E720" s="42">
        <f>IF($C720="","",IFERROR(INDEX(DESPACHOS!$K$3:$K$3002,MATCH($C720,DESPACHOS!$B$3:$B$3002,0)),""))</f>
        <v/>
      </c>
      <c r="F720" s="42">
        <f>IF($C720="","",IFERROR(INDEX(DESPACHOS!$I$3:$I$3002,MATCH($C720,DESPACHOS!$B$3:$B$3002,0)),""))</f>
        <v/>
      </c>
      <c r="G720" s="42">
        <f>IF($C720="","",IFERROR(INDEX(DESPACHOS!$F$3:$F$3002,MATCH($C720,DESPACHOS!$B$3:$B$3002,0)),""))</f>
        <v/>
      </c>
      <c r="H720" s="42">
        <f>IF($C720="","",IFERROR(INDEX(DESPACHOS!$G$3:$G$3002,MATCH($C720,DESPACHOS!$B$3:$B$3002,0)),""))</f>
        <v/>
      </c>
      <c r="I720" s="39">
        <f>IF($C720="","",IFERROR(INDEX(DESPACHOS!$H$3:$H$3002,MATCH($C720,DESPACHOS!$B$3:$B$3002,0)),""))</f>
        <v/>
      </c>
      <c r="J720" s="43">
        <f>IF($C720="","",IFERROR(INDEX(DESPACHOS!$J$3:$J$3002,MATCH($C720,DESPACHOS!$B$3:$B$3002,0)),""))</f>
        <v/>
      </c>
      <c r="K720" s="39">
        <f>IF($C720="","",IF(COUNTIFS(DESPACHOS!$B$3:$B$3002,$C720)=0,"NO EXISTE",IF(COUNTIFS(DESPACHOS!$B$3:$B$3002,$C720)&gt;1,"DUPLICADO","OK")))</f>
        <v/>
      </c>
      <c r="L720" s="41" t="n"/>
      <c r="M720" s="41" t="n"/>
      <c r="N720" s="42">
        <f>IF($M720="","",IFERROR(INDEX(LISTAS!$F$3:$F$42,MATCH($M720,LISTAS!$E$3:$E$42,0)),"Por definir"))</f>
        <v/>
      </c>
      <c r="O720" s="41" t="n"/>
      <c r="P720" s="39">
        <f>IF($L720="","",IFERROR(INDEX(LISTAS!$B$3:$B$42,MATCH($L720,LISTAS!$A$3:$A$42,0)),"Media"))</f>
        <v/>
      </c>
      <c r="Q720" s="44" t="n"/>
      <c r="R720" s="45" t="n"/>
      <c r="S720" s="20">
        <f>IFERROR(IF(OR($R720="",$C720=""),"",$R720/INDEX(DESPACHOS!$M$3:$M$3002,MATCH($C720,DESPACHOS!$B$3:$B$3002,0))),"")</f>
        <v/>
      </c>
      <c r="T720" s="41" t="n"/>
      <c r="U720" s="43">
        <f>IF(OR($B720="",$L720=""),"",WORKDAY($B720,IFERROR(INDEX(LISTAS!$C$3:$C$42,MATCH($L720,LISTAS!$A$3:$A$42,0)),3)))</f>
        <v/>
      </c>
      <c r="V720" s="40" t="n"/>
      <c r="W720" s="19">
        <f>IF($B720="","",IF($V720&lt;&gt;"",$V720-$B720,TODAY()-$B720))</f>
        <v/>
      </c>
      <c r="X720" s="19">
        <f>IF(OR($B720="",$U720=""),"",IF($V720&lt;&gt;"",MAX(0,$V720-$U720),MAX(0,TODAY()-$U720)))</f>
        <v/>
      </c>
      <c r="Y720" s="39">
        <f>IF($C720="","",IF(IFERROR(INDEX(LISTAS!$I$3:$I$42,MATCH($T720,LISTAS!$H$3:$H$42,0)),"NO")="SÍ",IF(N($X720)&gt;0,"CERRADA FUERA DE SLA","CERRADA EN SLA"),IF($U720="","SIN CLASIFICAR",IF(N($X720)&gt;0,"VENCIDA",IF(TODAY()&gt;=$U720-1,"POR VENCER","EN PLAZO")))))</f>
        <v/>
      </c>
      <c r="Z720" s="41" t="n"/>
      <c r="AA720" s="41" t="n"/>
      <c r="AB720" s="41" t="n"/>
    </row>
    <row r="721">
      <c r="A721" s="39">
        <f>IF($C721="","","NOV-"&amp;TEXT(ROW()-3,"0000"))</f>
        <v/>
      </c>
      <c r="B721" s="40" t="n"/>
      <c r="C721" s="41" t="n"/>
      <c r="D721" s="42">
        <f>IF($C721="","",IFERROR(INDEX(DESPACHOS!$D$3:$D$3002,MATCH($C721,DESPACHOS!$B$3:$B$3002,0)),"SIN DESPACHO"))</f>
        <v/>
      </c>
      <c r="E721" s="42">
        <f>IF($C721="","",IFERROR(INDEX(DESPACHOS!$K$3:$K$3002,MATCH($C721,DESPACHOS!$B$3:$B$3002,0)),""))</f>
        <v/>
      </c>
      <c r="F721" s="42">
        <f>IF($C721="","",IFERROR(INDEX(DESPACHOS!$I$3:$I$3002,MATCH($C721,DESPACHOS!$B$3:$B$3002,0)),""))</f>
        <v/>
      </c>
      <c r="G721" s="42">
        <f>IF($C721="","",IFERROR(INDEX(DESPACHOS!$F$3:$F$3002,MATCH($C721,DESPACHOS!$B$3:$B$3002,0)),""))</f>
        <v/>
      </c>
      <c r="H721" s="42">
        <f>IF($C721="","",IFERROR(INDEX(DESPACHOS!$G$3:$G$3002,MATCH($C721,DESPACHOS!$B$3:$B$3002,0)),""))</f>
        <v/>
      </c>
      <c r="I721" s="39">
        <f>IF($C721="","",IFERROR(INDEX(DESPACHOS!$H$3:$H$3002,MATCH($C721,DESPACHOS!$B$3:$B$3002,0)),""))</f>
        <v/>
      </c>
      <c r="J721" s="43">
        <f>IF($C721="","",IFERROR(INDEX(DESPACHOS!$J$3:$J$3002,MATCH($C721,DESPACHOS!$B$3:$B$3002,0)),""))</f>
        <v/>
      </c>
      <c r="K721" s="39">
        <f>IF($C721="","",IF(COUNTIFS(DESPACHOS!$B$3:$B$3002,$C721)=0,"NO EXISTE",IF(COUNTIFS(DESPACHOS!$B$3:$B$3002,$C721)&gt;1,"DUPLICADO","OK")))</f>
        <v/>
      </c>
      <c r="L721" s="41" t="n"/>
      <c r="M721" s="41" t="n"/>
      <c r="N721" s="42">
        <f>IF($M721="","",IFERROR(INDEX(LISTAS!$F$3:$F$42,MATCH($M721,LISTAS!$E$3:$E$42,0)),"Por definir"))</f>
        <v/>
      </c>
      <c r="O721" s="41" t="n"/>
      <c r="P721" s="39">
        <f>IF($L721="","",IFERROR(INDEX(LISTAS!$B$3:$B$42,MATCH($L721,LISTAS!$A$3:$A$42,0)),"Media"))</f>
        <v/>
      </c>
      <c r="Q721" s="44" t="n"/>
      <c r="R721" s="45" t="n"/>
      <c r="S721" s="20">
        <f>IFERROR(IF(OR($R721="",$C721=""),"",$R721/INDEX(DESPACHOS!$M$3:$M$3002,MATCH($C721,DESPACHOS!$B$3:$B$3002,0))),"")</f>
        <v/>
      </c>
      <c r="T721" s="41" t="n"/>
      <c r="U721" s="43">
        <f>IF(OR($B721="",$L721=""),"",WORKDAY($B721,IFERROR(INDEX(LISTAS!$C$3:$C$42,MATCH($L721,LISTAS!$A$3:$A$42,0)),3)))</f>
        <v/>
      </c>
      <c r="V721" s="40" t="n"/>
      <c r="W721" s="19">
        <f>IF($B721="","",IF($V721&lt;&gt;"",$V721-$B721,TODAY()-$B721))</f>
        <v/>
      </c>
      <c r="X721" s="19">
        <f>IF(OR($B721="",$U721=""),"",IF($V721&lt;&gt;"",MAX(0,$V721-$U721),MAX(0,TODAY()-$U721)))</f>
        <v/>
      </c>
      <c r="Y721" s="39">
        <f>IF($C721="","",IF(IFERROR(INDEX(LISTAS!$I$3:$I$42,MATCH($T721,LISTAS!$H$3:$H$42,0)),"NO")="SÍ",IF(N($X721)&gt;0,"CERRADA FUERA DE SLA","CERRADA EN SLA"),IF($U721="","SIN CLASIFICAR",IF(N($X721)&gt;0,"VENCIDA",IF(TODAY()&gt;=$U721-1,"POR VENCER","EN PLAZO")))))</f>
        <v/>
      </c>
      <c r="Z721" s="41" t="n"/>
      <c r="AA721" s="41" t="n"/>
      <c r="AB721" s="41" t="n"/>
    </row>
    <row r="722">
      <c r="A722" s="39">
        <f>IF($C722="","","NOV-"&amp;TEXT(ROW()-3,"0000"))</f>
        <v/>
      </c>
      <c r="B722" s="40" t="n"/>
      <c r="C722" s="41" t="n"/>
      <c r="D722" s="42">
        <f>IF($C722="","",IFERROR(INDEX(DESPACHOS!$D$3:$D$3002,MATCH($C722,DESPACHOS!$B$3:$B$3002,0)),"SIN DESPACHO"))</f>
        <v/>
      </c>
      <c r="E722" s="42">
        <f>IF($C722="","",IFERROR(INDEX(DESPACHOS!$K$3:$K$3002,MATCH($C722,DESPACHOS!$B$3:$B$3002,0)),""))</f>
        <v/>
      </c>
      <c r="F722" s="42">
        <f>IF($C722="","",IFERROR(INDEX(DESPACHOS!$I$3:$I$3002,MATCH($C722,DESPACHOS!$B$3:$B$3002,0)),""))</f>
        <v/>
      </c>
      <c r="G722" s="42">
        <f>IF($C722="","",IFERROR(INDEX(DESPACHOS!$F$3:$F$3002,MATCH($C722,DESPACHOS!$B$3:$B$3002,0)),""))</f>
        <v/>
      </c>
      <c r="H722" s="42">
        <f>IF($C722="","",IFERROR(INDEX(DESPACHOS!$G$3:$G$3002,MATCH($C722,DESPACHOS!$B$3:$B$3002,0)),""))</f>
        <v/>
      </c>
      <c r="I722" s="39">
        <f>IF($C722="","",IFERROR(INDEX(DESPACHOS!$H$3:$H$3002,MATCH($C722,DESPACHOS!$B$3:$B$3002,0)),""))</f>
        <v/>
      </c>
      <c r="J722" s="43">
        <f>IF($C722="","",IFERROR(INDEX(DESPACHOS!$J$3:$J$3002,MATCH($C722,DESPACHOS!$B$3:$B$3002,0)),""))</f>
        <v/>
      </c>
      <c r="K722" s="39">
        <f>IF($C722="","",IF(COUNTIFS(DESPACHOS!$B$3:$B$3002,$C722)=0,"NO EXISTE",IF(COUNTIFS(DESPACHOS!$B$3:$B$3002,$C722)&gt;1,"DUPLICADO","OK")))</f>
        <v/>
      </c>
      <c r="L722" s="41" t="n"/>
      <c r="M722" s="41" t="n"/>
      <c r="N722" s="42">
        <f>IF($M722="","",IFERROR(INDEX(LISTAS!$F$3:$F$42,MATCH($M722,LISTAS!$E$3:$E$42,0)),"Por definir"))</f>
        <v/>
      </c>
      <c r="O722" s="41" t="n"/>
      <c r="P722" s="39">
        <f>IF($L722="","",IFERROR(INDEX(LISTAS!$B$3:$B$42,MATCH($L722,LISTAS!$A$3:$A$42,0)),"Media"))</f>
        <v/>
      </c>
      <c r="Q722" s="44" t="n"/>
      <c r="R722" s="45" t="n"/>
      <c r="S722" s="20">
        <f>IFERROR(IF(OR($R722="",$C722=""),"",$R722/INDEX(DESPACHOS!$M$3:$M$3002,MATCH($C722,DESPACHOS!$B$3:$B$3002,0))),"")</f>
        <v/>
      </c>
      <c r="T722" s="41" t="n"/>
      <c r="U722" s="43">
        <f>IF(OR($B722="",$L722=""),"",WORKDAY($B722,IFERROR(INDEX(LISTAS!$C$3:$C$42,MATCH($L722,LISTAS!$A$3:$A$42,0)),3)))</f>
        <v/>
      </c>
      <c r="V722" s="40" t="n"/>
      <c r="W722" s="19">
        <f>IF($B722="","",IF($V722&lt;&gt;"",$V722-$B722,TODAY()-$B722))</f>
        <v/>
      </c>
      <c r="X722" s="19">
        <f>IF(OR($B722="",$U722=""),"",IF($V722&lt;&gt;"",MAX(0,$V722-$U722),MAX(0,TODAY()-$U722)))</f>
        <v/>
      </c>
      <c r="Y722" s="39">
        <f>IF($C722="","",IF(IFERROR(INDEX(LISTAS!$I$3:$I$42,MATCH($T722,LISTAS!$H$3:$H$42,0)),"NO")="SÍ",IF(N($X722)&gt;0,"CERRADA FUERA DE SLA","CERRADA EN SLA"),IF($U722="","SIN CLASIFICAR",IF(N($X722)&gt;0,"VENCIDA",IF(TODAY()&gt;=$U722-1,"POR VENCER","EN PLAZO")))))</f>
        <v/>
      </c>
      <c r="Z722" s="41" t="n"/>
      <c r="AA722" s="41" t="n"/>
      <c r="AB722" s="41" t="n"/>
    </row>
    <row r="723">
      <c r="A723" s="39">
        <f>IF($C723="","","NOV-"&amp;TEXT(ROW()-3,"0000"))</f>
        <v/>
      </c>
      <c r="B723" s="40" t="n"/>
      <c r="C723" s="41" t="n"/>
      <c r="D723" s="42">
        <f>IF($C723="","",IFERROR(INDEX(DESPACHOS!$D$3:$D$3002,MATCH($C723,DESPACHOS!$B$3:$B$3002,0)),"SIN DESPACHO"))</f>
        <v/>
      </c>
      <c r="E723" s="42">
        <f>IF($C723="","",IFERROR(INDEX(DESPACHOS!$K$3:$K$3002,MATCH($C723,DESPACHOS!$B$3:$B$3002,0)),""))</f>
        <v/>
      </c>
      <c r="F723" s="42">
        <f>IF($C723="","",IFERROR(INDEX(DESPACHOS!$I$3:$I$3002,MATCH($C723,DESPACHOS!$B$3:$B$3002,0)),""))</f>
        <v/>
      </c>
      <c r="G723" s="42">
        <f>IF($C723="","",IFERROR(INDEX(DESPACHOS!$F$3:$F$3002,MATCH($C723,DESPACHOS!$B$3:$B$3002,0)),""))</f>
        <v/>
      </c>
      <c r="H723" s="42">
        <f>IF($C723="","",IFERROR(INDEX(DESPACHOS!$G$3:$G$3002,MATCH($C723,DESPACHOS!$B$3:$B$3002,0)),""))</f>
        <v/>
      </c>
      <c r="I723" s="39">
        <f>IF($C723="","",IFERROR(INDEX(DESPACHOS!$H$3:$H$3002,MATCH($C723,DESPACHOS!$B$3:$B$3002,0)),""))</f>
        <v/>
      </c>
      <c r="J723" s="43">
        <f>IF($C723="","",IFERROR(INDEX(DESPACHOS!$J$3:$J$3002,MATCH($C723,DESPACHOS!$B$3:$B$3002,0)),""))</f>
        <v/>
      </c>
      <c r="K723" s="39">
        <f>IF($C723="","",IF(COUNTIFS(DESPACHOS!$B$3:$B$3002,$C723)=0,"NO EXISTE",IF(COUNTIFS(DESPACHOS!$B$3:$B$3002,$C723)&gt;1,"DUPLICADO","OK")))</f>
        <v/>
      </c>
      <c r="L723" s="41" t="n"/>
      <c r="M723" s="41" t="n"/>
      <c r="N723" s="42">
        <f>IF($M723="","",IFERROR(INDEX(LISTAS!$F$3:$F$42,MATCH($M723,LISTAS!$E$3:$E$42,0)),"Por definir"))</f>
        <v/>
      </c>
      <c r="O723" s="41" t="n"/>
      <c r="P723" s="39">
        <f>IF($L723="","",IFERROR(INDEX(LISTAS!$B$3:$B$42,MATCH($L723,LISTAS!$A$3:$A$42,0)),"Media"))</f>
        <v/>
      </c>
      <c r="Q723" s="44" t="n"/>
      <c r="R723" s="45" t="n"/>
      <c r="S723" s="20">
        <f>IFERROR(IF(OR($R723="",$C723=""),"",$R723/INDEX(DESPACHOS!$M$3:$M$3002,MATCH($C723,DESPACHOS!$B$3:$B$3002,0))),"")</f>
        <v/>
      </c>
      <c r="T723" s="41" t="n"/>
      <c r="U723" s="43">
        <f>IF(OR($B723="",$L723=""),"",WORKDAY($B723,IFERROR(INDEX(LISTAS!$C$3:$C$42,MATCH($L723,LISTAS!$A$3:$A$42,0)),3)))</f>
        <v/>
      </c>
      <c r="V723" s="40" t="n"/>
      <c r="W723" s="19">
        <f>IF($B723="","",IF($V723&lt;&gt;"",$V723-$B723,TODAY()-$B723))</f>
        <v/>
      </c>
      <c r="X723" s="19">
        <f>IF(OR($B723="",$U723=""),"",IF($V723&lt;&gt;"",MAX(0,$V723-$U723),MAX(0,TODAY()-$U723)))</f>
        <v/>
      </c>
      <c r="Y723" s="39">
        <f>IF($C723="","",IF(IFERROR(INDEX(LISTAS!$I$3:$I$42,MATCH($T723,LISTAS!$H$3:$H$42,0)),"NO")="SÍ",IF(N($X723)&gt;0,"CERRADA FUERA DE SLA","CERRADA EN SLA"),IF($U723="","SIN CLASIFICAR",IF(N($X723)&gt;0,"VENCIDA",IF(TODAY()&gt;=$U723-1,"POR VENCER","EN PLAZO")))))</f>
        <v/>
      </c>
      <c r="Z723" s="41" t="n"/>
      <c r="AA723" s="41" t="n"/>
      <c r="AB723" s="41" t="n"/>
    </row>
    <row r="724">
      <c r="A724" s="39">
        <f>IF($C724="","","NOV-"&amp;TEXT(ROW()-3,"0000"))</f>
        <v/>
      </c>
      <c r="B724" s="40" t="n"/>
      <c r="C724" s="41" t="n"/>
      <c r="D724" s="42">
        <f>IF($C724="","",IFERROR(INDEX(DESPACHOS!$D$3:$D$3002,MATCH($C724,DESPACHOS!$B$3:$B$3002,0)),"SIN DESPACHO"))</f>
        <v/>
      </c>
      <c r="E724" s="42">
        <f>IF($C724="","",IFERROR(INDEX(DESPACHOS!$K$3:$K$3002,MATCH($C724,DESPACHOS!$B$3:$B$3002,0)),""))</f>
        <v/>
      </c>
      <c r="F724" s="42">
        <f>IF($C724="","",IFERROR(INDEX(DESPACHOS!$I$3:$I$3002,MATCH($C724,DESPACHOS!$B$3:$B$3002,0)),""))</f>
        <v/>
      </c>
      <c r="G724" s="42">
        <f>IF($C724="","",IFERROR(INDEX(DESPACHOS!$F$3:$F$3002,MATCH($C724,DESPACHOS!$B$3:$B$3002,0)),""))</f>
        <v/>
      </c>
      <c r="H724" s="42">
        <f>IF($C724="","",IFERROR(INDEX(DESPACHOS!$G$3:$G$3002,MATCH($C724,DESPACHOS!$B$3:$B$3002,0)),""))</f>
        <v/>
      </c>
      <c r="I724" s="39">
        <f>IF($C724="","",IFERROR(INDEX(DESPACHOS!$H$3:$H$3002,MATCH($C724,DESPACHOS!$B$3:$B$3002,0)),""))</f>
        <v/>
      </c>
      <c r="J724" s="43">
        <f>IF($C724="","",IFERROR(INDEX(DESPACHOS!$J$3:$J$3002,MATCH($C724,DESPACHOS!$B$3:$B$3002,0)),""))</f>
        <v/>
      </c>
      <c r="K724" s="39">
        <f>IF($C724="","",IF(COUNTIFS(DESPACHOS!$B$3:$B$3002,$C724)=0,"NO EXISTE",IF(COUNTIFS(DESPACHOS!$B$3:$B$3002,$C724)&gt;1,"DUPLICADO","OK")))</f>
        <v/>
      </c>
      <c r="L724" s="41" t="n"/>
      <c r="M724" s="41" t="n"/>
      <c r="N724" s="42">
        <f>IF($M724="","",IFERROR(INDEX(LISTAS!$F$3:$F$42,MATCH($M724,LISTAS!$E$3:$E$42,0)),"Por definir"))</f>
        <v/>
      </c>
      <c r="O724" s="41" t="n"/>
      <c r="P724" s="39">
        <f>IF($L724="","",IFERROR(INDEX(LISTAS!$B$3:$B$42,MATCH($L724,LISTAS!$A$3:$A$42,0)),"Media"))</f>
        <v/>
      </c>
      <c r="Q724" s="44" t="n"/>
      <c r="R724" s="45" t="n"/>
      <c r="S724" s="20">
        <f>IFERROR(IF(OR($R724="",$C724=""),"",$R724/INDEX(DESPACHOS!$M$3:$M$3002,MATCH($C724,DESPACHOS!$B$3:$B$3002,0))),"")</f>
        <v/>
      </c>
      <c r="T724" s="41" t="n"/>
      <c r="U724" s="43">
        <f>IF(OR($B724="",$L724=""),"",WORKDAY($B724,IFERROR(INDEX(LISTAS!$C$3:$C$42,MATCH($L724,LISTAS!$A$3:$A$42,0)),3)))</f>
        <v/>
      </c>
      <c r="V724" s="40" t="n"/>
      <c r="W724" s="19">
        <f>IF($B724="","",IF($V724&lt;&gt;"",$V724-$B724,TODAY()-$B724))</f>
        <v/>
      </c>
      <c r="X724" s="19">
        <f>IF(OR($B724="",$U724=""),"",IF($V724&lt;&gt;"",MAX(0,$V724-$U724),MAX(0,TODAY()-$U724)))</f>
        <v/>
      </c>
      <c r="Y724" s="39">
        <f>IF($C724="","",IF(IFERROR(INDEX(LISTAS!$I$3:$I$42,MATCH($T724,LISTAS!$H$3:$H$42,0)),"NO")="SÍ",IF(N($X724)&gt;0,"CERRADA FUERA DE SLA","CERRADA EN SLA"),IF($U724="","SIN CLASIFICAR",IF(N($X724)&gt;0,"VENCIDA",IF(TODAY()&gt;=$U724-1,"POR VENCER","EN PLAZO")))))</f>
        <v/>
      </c>
      <c r="Z724" s="41" t="n"/>
      <c r="AA724" s="41" t="n"/>
      <c r="AB724" s="41" t="n"/>
    </row>
    <row r="725">
      <c r="A725" s="39">
        <f>IF($C725="","","NOV-"&amp;TEXT(ROW()-3,"0000"))</f>
        <v/>
      </c>
      <c r="B725" s="40" t="n"/>
      <c r="C725" s="41" t="n"/>
      <c r="D725" s="42">
        <f>IF($C725="","",IFERROR(INDEX(DESPACHOS!$D$3:$D$3002,MATCH($C725,DESPACHOS!$B$3:$B$3002,0)),"SIN DESPACHO"))</f>
        <v/>
      </c>
      <c r="E725" s="42">
        <f>IF($C725="","",IFERROR(INDEX(DESPACHOS!$K$3:$K$3002,MATCH($C725,DESPACHOS!$B$3:$B$3002,0)),""))</f>
        <v/>
      </c>
      <c r="F725" s="42">
        <f>IF($C725="","",IFERROR(INDEX(DESPACHOS!$I$3:$I$3002,MATCH($C725,DESPACHOS!$B$3:$B$3002,0)),""))</f>
        <v/>
      </c>
      <c r="G725" s="42">
        <f>IF($C725="","",IFERROR(INDEX(DESPACHOS!$F$3:$F$3002,MATCH($C725,DESPACHOS!$B$3:$B$3002,0)),""))</f>
        <v/>
      </c>
      <c r="H725" s="42">
        <f>IF($C725="","",IFERROR(INDEX(DESPACHOS!$G$3:$G$3002,MATCH($C725,DESPACHOS!$B$3:$B$3002,0)),""))</f>
        <v/>
      </c>
      <c r="I725" s="39">
        <f>IF($C725="","",IFERROR(INDEX(DESPACHOS!$H$3:$H$3002,MATCH($C725,DESPACHOS!$B$3:$B$3002,0)),""))</f>
        <v/>
      </c>
      <c r="J725" s="43">
        <f>IF($C725="","",IFERROR(INDEX(DESPACHOS!$J$3:$J$3002,MATCH($C725,DESPACHOS!$B$3:$B$3002,0)),""))</f>
        <v/>
      </c>
      <c r="K725" s="39">
        <f>IF($C725="","",IF(COUNTIFS(DESPACHOS!$B$3:$B$3002,$C725)=0,"NO EXISTE",IF(COUNTIFS(DESPACHOS!$B$3:$B$3002,$C725)&gt;1,"DUPLICADO","OK")))</f>
        <v/>
      </c>
      <c r="L725" s="41" t="n"/>
      <c r="M725" s="41" t="n"/>
      <c r="N725" s="42">
        <f>IF($M725="","",IFERROR(INDEX(LISTAS!$F$3:$F$42,MATCH($M725,LISTAS!$E$3:$E$42,0)),"Por definir"))</f>
        <v/>
      </c>
      <c r="O725" s="41" t="n"/>
      <c r="P725" s="39">
        <f>IF($L725="","",IFERROR(INDEX(LISTAS!$B$3:$B$42,MATCH($L725,LISTAS!$A$3:$A$42,0)),"Media"))</f>
        <v/>
      </c>
      <c r="Q725" s="44" t="n"/>
      <c r="R725" s="45" t="n"/>
      <c r="S725" s="20">
        <f>IFERROR(IF(OR($R725="",$C725=""),"",$R725/INDEX(DESPACHOS!$M$3:$M$3002,MATCH($C725,DESPACHOS!$B$3:$B$3002,0))),"")</f>
        <v/>
      </c>
      <c r="T725" s="41" t="n"/>
      <c r="U725" s="43">
        <f>IF(OR($B725="",$L725=""),"",WORKDAY($B725,IFERROR(INDEX(LISTAS!$C$3:$C$42,MATCH($L725,LISTAS!$A$3:$A$42,0)),3)))</f>
        <v/>
      </c>
      <c r="V725" s="40" t="n"/>
      <c r="W725" s="19">
        <f>IF($B725="","",IF($V725&lt;&gt;"",$V725-$B725,TODAY()-$B725))</f>
        <v/>
      </c>
      <c r="X725" s="19">
        <f>IF(OR($B725="",$U725=""),"",IF($V725&lt;&gt;"",MAX(0,$V725-$U725),MAX(0,TODAY()-$U725)))</f>
        <v/>
      </c>
      <c r="Y725" s="39">
        <f>IF($C725="","",IF(IFERROR(INDEX(LISTAS!$I$3:$I$42,MATCH($T725,LISTAS!$H$3:$H$42,0)),"NO")="SÍ",IF(N($X725)&gt;0,"CERRADA FUERA DE SLA","CERRADA EN SLA"),IF($U725="","SIN CLASIFICAR",IF(N($X725)&gt;0,"VENCIDA",IF(TODAY()&gt;=$U725-1,"POR VENCER","EN PLAZO")))))</f>
        <v/>
      </c>
      <c r="Z725" s="41" t="n"/>
      <c r="AA725" s="41" t="n"/>
      <c r="AB725" s="41" t="n"/>
    </row>
    <row r="726">
      <c r="A726" s="39">
        <f>IF($C726="","","NOV-"&amp;TEXT(ROW()-3,"0000"))</f>
        <v/>
      </c>
      <c r="B726" s="40" t="n"/>
      <c r="C726" s="41" t="n"/>
      <c r="D726" s="42">
        <f>IF($C726="","",IFERROR(INDEX(DESPACHOS!$D$3:$D$3002,MATCH($C726,DESPACHOS!$B$3:$B$3002,0)),"SIN DESPACHO"))</f>
        <v/>
      </c>
      <c r="E726" s="42">
        <f>IF($C726="","",IFERROR(INDEX(DESPACHOS!$K$3:$K$3002,MATCH($C726,DESPACHOS!$B$3:$B$3002,0)),""))</f>
        <v/>
      </c>
      <c r="F726" s="42">
        <f>IF($C726="","",IFERROR(INDEX(DESPACHOS!$I$3:$I$3002,MATCH($C726,DESPACHOS!$B$3:$B$3002,0)),""))</f>
        <v/>
      </c>
      <c r="G726" s="42">
        <f>IF($C726="","",IFERROR(INDEX(DESPACHOS!$F$3:$F$3002,MATCH($C726,DESPACHOS!$B$3:$B$3002,0)),""))</f>
        <v/>
      </c>
      <c r="H726" s="42">
        <f>IF($C726="","",IFERROR(INDEX(DESPACHOS!$G$3:$G$3002,MATCH($C726,DESPACHOS!$B$3:$B$3002,0)),""))</f>
        <v/>
      </c>
      <c r="I726" s="39">
        <f>IF($C726="","",IFERROR(INDEX(DESPACHOS!$H$3:$H$3002,MATCH($C726,DESPACHOS!$B$3:$B$3002,0)),""))</f>
        <v/>
      </c>
      <c r="J726" s="43">
        <f>IF($C726="","",IFERROR(INDEX(DESPACHOS!$J$3:$J$3002,MATCH($C726,DESPACHOS!$B$3:$B$3002,0)),""))</f>
        <v/>
      </c>
      <c r="K726" s="39">
        <f>IF($C726="","",IF(COUNTIFS(DESPACHOS!$B$3:$B$3002,$C726)=0,"NO EXISTE",IF(COUNTIFS(DESPACHOS!$B$3:$B$3002,$C726)&gt;1,"DUPLICADO","OK")))</f>
        <v/>
      </c>
      <c r="L726" s="41" t="n"/>
      <c r="M726" s="41" t="n"/>
      <c r="N726" s="42">
        <f>IF($M726="","",IFERROR(INDEX(LISTAS!$F$3:$F$42,MATCH($M726,LISTAS!$E$3:$E$42,0)),"Por definir"))</f>
        <v/>
      </c>
      <c r="O726" s="41" t="n"/>
      <c r="P726" s="39">
        <f>IF($L726="","",IFERROR(INDEX(LISTAS!$B$3:$B$42,MATCH($L726,LISTAS!$A$3:$A$42,0)),"Media"))</f>
        <v/>
      </c>
      <c r="Q726" s="44" t="n"/>
      <c r="R726" s="45" t="n"/>
      <c r="S726" s="20">
        <f>IFERROR(IF(OR($R726="",$C726=""),"",$R726/INDEX(DESPACHOS!$M$3:$M$3002,MATCH($C726,DESPACHOS!$B$3:$B$3002,0))),"")</f>
        <v/>
      </c>
      <c r="T726" s="41" t="n"/>
      <c r="U726" s="43">
        <f>IF(OR($B726="",$L726=""),"",WORKDAY($B726,IFERROR(INDEX(LISTAS!$C$3:$C$42,MATCH($L726,LISTAS!$A$3:$A$42,0)),3)))</f>
        <v/>
      </c>
      <c r="V726" s="40" t="n"/>
      <c r="W726" s="19">
        <f>IF($B726="","",IF($V726&lt;&gt;"",$V726-$B726,TODAY()-$B726))</f>
        <v/>
      </c>
      <c r="X726" s="19">
        <f>IF(OR($B726="",$U726=""),"",IF($V726&lt;&gt;"",MAX(0,$V726-$U726),MAX(0,TODAY()-$U726)))</f>
        <v/>
      </c>
      <c r="Y726" s="39">
        <f>IF($C726="","",IF(IFERROR(INDEX(LISTAS!$I$3:$I$42,MATCH($T726,LISTAS!$H$3:$H$42,0)),"NO")="SÍ",IF(N($X726)&gt;0,"CERRADA FUERA DE SLA","CERRADA EN SLA"),IF($U726="","SIN CLASIFICAR",IF(N($X726)&gt;0,"VENCIDA",IF(TODAY()&gt;=$U726-1,"POR VENCER","EN PLAZO")))))</f>
        <v/>
      </c>
      <c r="Z726" s="41" t="n"/>
      <c r="AA726" s="41" t="n"/>
      <c r="AB726" s="41" t="n"/>
    </row>
    <row r="727">
      <c r="A727" s="39">
        <f>IF($C727="","","NOV-"&amp;TEXT(ROW()-3,"0000"))</f>
        <v/>
      </c>
      <c r="B727" s="40" t="n"/>
      <c r="C727" s="41" t="n"/>
      <c r="D727" s="42">
        <f>IF($C727="","",IFERROR(INDEX(DESPACHOS!$D$3:$D$3002,MATCH($C727,DESPACHOS!$B$3:$B$3002,0)),"SIN DESPACHO"))</f>
        <v/>
      </c>
      <c r="E727" s="42">
        <f>IF($C727="","",IFERROR(INDEX(DESPACHOS!$K$3:$K$3002,MATCH($C727,DESPACHOS!$B$3:$B$3002,0)),""))</f>
        <v/>
      </c>
      <c r="F727" s="42">
        <f>IF($C727="","",IFERROR(INDEX(DESPACHOS!$I$3:$I$3002,MATCH($C727,DESPACHOS!$B$3:$B$3002,0)),""))</f>
        <v/>
      </c>
      <c r="G727" s="42">
        <f>IF($C727="","",IFERROR(INDEX(DESPACHOS!$F$3:$F$3002,MATCH($C727,DESPACHOS!$B$3:$B$3002,0)),""))</f>
        <v/>
      </c>
      <c r="H727" s="42">
        <f>IF($C727="","",IFERROR(INDEX(DESPACHOS!$G$3:$G$3002,MATCH($C727,DESPACHOS!$B$3:$B$3002,0)),""))</f>
        <v/>
      </c>
      <c r="I727" s="39">
        <f>IF($C727="","",IFERROR(INDEX(DESPACHOS!$H$3:$H$3002,MATCH($C727,DESPACHOS!$B$3:$B$3002,0)),""))</f>
        <v/>
      </c>
      <c r="J727" s="43">
        <f>IF($C727="","",IFERROR(INDEX(DESPACHOS!$J$3:$J$3002,MATCH($C727,DESPACHOS!$B$3:$B$3002,0)),""))</f>
        <v/>
      </c>
      <c r="K727" s="39">
        <f>IF($C727="","",IF(COUNTIFS(DESPACHOS!$B$3:$B$3002,$C727)=0,"NO EXISTE",IF(COUNTIFS(DESPACHOS!$B$3:$B$3002,$C727)&gt;1,"DUPLICADO","OK")))</f>
        <v/>
      </c>
      <c r="L727" s="41" t="n"/>
      <c r="M727" s="41" t="n"/>
      <c r="N727" s="42">
        <f>IF($M727="","",IFERROR(INDEX(LISTAS!$F$3:$F$42,MATCH($M727,LISTAS!$E$3:$E$42,0)),"Por definir"))</f>
        <v/>
      </c>
      <c r="O727" s="41" t="n"/>
      <c r="P727" s="39">
        <f>IF($L727="","",IFERROR(INDEX(LISTAS!$B$3:$B$42,MATCH($L727,LISTAS!$A$3:$A$42,0)),"Media"))</f>
        <v/>
      </c>
      <c r="Q727" s="44" t="n"/>
      <c r="R727" s="45" t="n"/>
      <c r="S727" s="20">
        <f>IFERROR(IF(OR($R727="",$C727=""),"",$R727/INDEX(DESPACHOS!$M$3:$M$3002,MATCH($C727,DESPACHOS!$B$3:$B$3002,0))),"")</f>
        <v/>
      </c>
      <c r="T727" s="41" t="n"/>
      <c r="U727" s="43">
        <f>IF(OR($B727="",$L727=""),"",WORKDAY($B727,IFERROR(INDEX(LISTAS!$C$3:$C$42,MATCH($L727,LISTAS!$A$3:$A$42,0)),3)))</f>
        <v/>
      </c>
      <c r="V727" s="40" t="n"/>
      <c r="W727" s="19">
        <f>IF($B727="","",IF($V727&lt;&gt;"",$V727-$B727,TODAY()-$B727))</f>
        <v/>
      </c>
      <c r="X727" s="19">
        <f>IF(OR($B727="",$U727=""),"",IF($V727&lt;&gt;"",MAX(0,$V727-$U727),MAX(0,TODAY()-$U727)))</f>
        <v/>
      </c>
      <c r="Y727" s="39">
        <f>IF($C727="","",IF(IFERROR(INDEX(LISTAS!$I$3:$I$42,MATCH($T727,LISTAS!$H$3:$H$42,0)),"NO")="SÍ",IF(N($X727)&gt;0,"CERRADA FUERA DE SLA","CERRADA EN SLA"),IF($U727="","SIN CLASIFICAR",IF(N($X727)&gt;0,"VENCIDA",IF(TODAY()&gt;=$U727-1,"POR VENCER","EN PLAZO")))))</f>
        <v/>
      </c>
      <c r="Z727" s="41" t="n"/>
      <c r="AA727" s="41" t="n"/>
      <c r="AB727" s="41" t="n"/>
    </row>
    <row r="728">
      <c r="A728" s="39">
        <f>IF($C728="","","NOV-"&amp;TEXT(ROW()-3,"0000"))</f>
        <v/>
      </c>
      <c r="B728" s="40" t="n"/>
      <c r="C728" s="41" t="n"/>
      <c r="D728" s="42">
        <f>IF($C728="","",IFERROR(INDEX(DESPACHOS!$D$3:$D$3002,MATCH($C728,DESPACHOS!$B$3:$B$3002,0)),"SIN DESPACHO"))</f>
        <v/>
      </c>
      <c r="E728" s="42">
        <f>IF($C728="","",IFERROR(INDEX(DESPACHOS!$K$3:$K$3002,MATCH($C728,DESPACHOS!$B$3:$B$3002,0)),""))</f>
        <v/>
      </c>
      <c r="F728" s="42">
        <f>IF($C728="","",IFERROR(INDEX(DESPACHOS!$I$3:$I$3002,MATCH($C728,DESPACHOS!$B$3:$B$3002,0)),""))</f>
        <v/>
      </c>
      <c r="G728" s="42">
        <f>IF($C728="","",IFERROR(INDEX(DESPACHOS!$F$3:$F$3002,MATCH($C728,DESPACHOS!$B$3:$B$3002,0)),""))</f>
        <v/>
      </c>
      <c r="H728" s="42">
        <f>IF($C728="","",IFERROR(INDEX(DESPACHOS!$G$3:$G$3002,MATCH($C728,DESPACHOS!$B$3:$B$3002,0)),""))</f>
        <v/>
      </c>
      <c r="I728" s="39">
        <f>IF($C728="","",IFERROR(INDEX(DESPACHOS!$H$3:$H$3002,MATCH($C728,DESPACHOS!$B$3:$B$3002,0)),""))</f>
        <v/>
      </c>
      <c r="J728" s="43">
        <f>IF($C728="","",IFERROR(INDEX(DESPACHOS!$J$3:$J$3002,MATCH($C728,DESPACHOS!$B$3:$B$3002,0)),""))</f>
        <v/>
      </c>
      <c r="K728" s="39">
        <f>IF($C728="","",IF(COUNTIFS(DESPACHOS!$B$3:$B$3002,$C728)=0,"NO EXISTE",IF(COUNTIFS(DESPACHOS!$B$3:$B$3002,$C728)&gt;1,"DUPLICADO","OK")))</f>
        <v/>
      </c>
      <c r="L728" s="41" t="n"/>
      <c r="M728" s="41" t="n"/>
      <c r="N728" s="42">
        <f>IF($M728="","",IFERROR(INDEX(LISTAS!$F$3:$F$42,MATCH($M728,LISTAS!$E$3:$E$42,0)),"Por definir"))</f>
        <v/>
      </c>
      <c r="O728" s="41" t="n"/>
      <c r="P728" s="39">
        <f>IF($L728="","",IFERROR(INDEX(LISTAS!$B$3:$B$42,MATCH($L728,LISTAS!$A$3:$A$42,0)),"Media"))</f>
        <v/>
      </c>
      <c r="Q728" s="44" t="n"/>
      <c r="R728" s="45" t="n"/>
      <c r="S728" s="20">
        <f>IFERROR(IF(OR($R728="",$C728=""),"",$R728/INDEX(DESPACHOS!$M$3:$M$3002,MATCH($C728,DESPACHOS!$B$3:$B$3002,0))),"")</f>
        <v/>
      </c>
      <c r="T728" s="41" t="n"/>
      <c r="U728" s="43">
        <f>IF(OR($B728="",$L728=""),"",WORKDAY($B728,IFERROR(INDEX(LISTAS!$C$3:$C$42,MATCH($L728,LISTAS!$A$3:$A$42,0)),3)))</f>
        <v/>
      </c>
      <c r="V728" s="40" t="n"/>
      <c r="W728" s="19">
        <f>IF($B728="","",IF($V728&lt;&gt;"",$V728-$B728,TODAY()-$B728))</f>
        <v/>
      </c>
      <c r="X728" s="19">
        <f>IF(OR($B728="",$U728=""),"",IF($V728&lt;&gt;"",MAX(0,$V728-$U728),MAX(0,TODAY()-$U728)))</f>
        <v/>
      </c>
      <c r="Y728" s="39">
        <f>IF($C728="","",IF(IFERROR(INDEX(LISTAS!$I$3:$I$42,MATCH($T728,LISTAS!$H$3:$H$42,0)),"NO")="SÍ",IF(N($X728)&gt;0,"CERRADA FUERA DE SLA","CERRADA EN SLA"),IF($U728="","SIN CLASIFICAR",IF(N($X728)&gt;0,"VENCIDA",IF(TODAY()&gt;=$U728-1,"POR VENCER","EN PLAZO")))))</f>
        <v/>
      </c>
      <c r="Z728" s="41" t="n"/>
      <c r="AA728" s="41" t="n"/>
      <c r="AB728" s="41" t="n"/>
    </row>
    <row r="729">
      <c r="A729" s="39">
        <f>IF($C729="","","NOV-"&amp;TEXT(ROW()-3,"0000"))</f>
        <v/>
      </c>
      <c r="B729" s="40" t="n"/>
      <c r="C729" s="41" t="n"/>
      <c r="D729" s="42">
        <f>IF($C729="","",IFERROR(INDEX(DESPACHOS!$D$3:$D$3002,MATCH($C729,DESPACHOS!$B$3:$B$3002,0)),"SIN DESPACHO"))</f>
        <v/>
      </c>
      <c r="E729" s="42">
        <f>IF($C729="","",IFERROR(INDEX(DESPACHOS!$K$3:$K$3002,MATCH($C729,DESPACHOS!$B$3:$B$3002,0)),""))</f>
        <v/>
      </c>
      <c r="F729" s="42">
        <f>IF($C729="","",IFERROR(INDEX(DESPACHOS!$I$3:$I$3002,MATCH($C729,DESPACHOS!$B$3:$B$3002,0)),""))</f>
        <v/>
      </c>
      <c r="G729" s="42">
        <f>IF($C729="","",IFERROR(INDEX(DESPACHOS!$F$3:$F$3002,MATCH($C729,DESPACHOS!$B$3:$B$3002,0)),""))</f>
        <v/>
      </c>
      <c r="H729" s="42">
        <f>IF($C729="","",IFERROR(INDEX(DESPACHOS!$G$3:$G$3002,MATCH($C729,DESPACHOS!$B$3:$B$3002,0)),""))</f>
        <v/>
      </c>
      <c r="I729" s="39">
        <f>IF($C729="","",IFERROR(INDEX(DESPACHOS!$H$3:$H$3002,MATCH($C729,DESPACHOS!$B$3:$B$3002,0)),""))</f>
        <v/>
      </c>
      <c r="J729" s="43">
        <f>IF($C729="","",IFERROR(INDEX(DESPACHOS!$J$3:$J$3002,MATCH($C729,DESPACHOS!$B$3:$B$3002,0)),""))</f>
        <v/>
      </c>
      <c r="K729" s="39">
        <f>IF($C729="","",IF(COUNTIFS(DESPACHOS!$B$3:$B$3002,$C729)=0,"NO EXISTE",IF(COUNTIFS(DESPACHOS!$B$3:$B$3002,$C729)&gt;1,"DUPLICADO","OK")))</f>
        <v/>
      </c>
      <c r="L729" s="41" t="n"/>
      <c r="M729" s="41" t="n"/>
      <c r="N729" s="42">
        <f>IF($M729="","",IFERROR(INDEX(LISTAS!$F$3:$F$42,MATCH($M729,LISTAS!$E$3:$E$42,0)),"Por definir"))</f>
        <v/>
      </c>
      <c r="O729" s="41" t="n"/>
      <c r="P729" s="39">
        <f>IF($L729="","",IFERROR(INDEX(LISTAS!$B$3:$B$42,MATCH($L729,LISTAS!$A$3:$A$42,0)),"Media"))</f>
        <v/>
      </c>
      <c r="Q729" s="44" t="n"/>
      <c r="R729" s="45" t="n"/>
      <c r="S729" s="20">
        <f>IFERROR(IF(OR($R729="",$C729=""),"",$R729/INDEX(DESPACHOS!$M$3:$M$3002,MATCH($C729,DESPACHOS!$B$3:$B$3002,0))),"")</f>
        <v/>
      </c>
      <c r="T729" s="41" t="n"/>
      <c r="U729" s="43">
        <f>IF(OR($B729="",$L729=""),"",WORKDAY($B729,IFERROR(INDEX(LISTAS!$C$3:$C$42,MATCH($L729,LISTAS!$A$3:$A$42,0)),3)))</f>
        <v/>
      </c>
      <c r="V729" s="40" t="n"/>
      <c r="W729" s="19">
        <f>IF($B729="","",IF($V729&lt;&gt;"",$V729-$B729,TODAY()-$B729))</f>
        <v/>
      </c>
      <c r="X729" s="19">
        <f>IF(OR($B729="",$U729=""),"",IF($V729&lt;&gt;"",MAX(0,$V729-$U729),MAX(0,TODAY()-$U729)))</f>
        <v/>
      </c>
      <c r="Y729" s="39">
        <f>IF($C729="","",IF(IFERROR(INDEX(LISTAS!$I$3:$I$42,MATCH($T729,LISTAS!$H$3:$H$42,0)),"NO")="SÍ",IF(N($X729)&gt;0,"CERRADA FUERA DE SLA","CERRADA EN SLA"),IF($U729="","SIN CLASIFICAR",IF(N($X729)&gt;0,"VENCIDA",IF(TODAY()&gt;=$U729-1,"POR VENCER","EN PLAZO")))))</f>
        <v/>
      </c>
      <c r="Z729" s="41" t="n"/>
      <c r="AA729" s="41" t="n"/>
      <c r="AB729" s="41" t="n"/>
    </row>
    <row r="730">
      <c r="A730" s="39">
        <f>IF($C730="","","NOV-"&amp;TEXT(ROW()-3,"0000"))</f>
        <v/>
      </c>
      <c r="B730" s="40" t="n"/>
      <c r="C730" s="41" t="n"/>
      <c r="D730" s="42">
        <f>IF($C730="","",IFERROR(INDEX(DESPACHOS!$D$3:$D$3002,MATCH($C730,DESPACHOS!$B$3:$B$3002,0)),"SIN DESPACHO"))</f>
        <v/>
      </c>
      <c r="E730" s="42">
        <f>IF($C730="","",IFERROR(INDEX(DESPACHOS!$K$3:$K$3002,MATCH($C730,DESPACHOS!$B$3:$B$3002,0)),""))</f>
        <v/>
      </c>
      <c r="F730" s="42">
        <f>IF($C730="","",IFERROR(INDEX(DESPACHOS!$I$3:$I$3002,MATCH($C730,DESPACHOS!$B$3:$B$3002,0)),""))</f>
        <v/>
      </c>
      <c r="G730" s="42">
        <f>IF($C730="","",IFERROR(INDEX(DESPACHOS!$F$3:$F$3002,MATCH($C730,DESPACHOS!$B$3:$B$3002,0)),""))</f>
        <v/>
      </c>
      <c r="H730" s="42">
        <f>IF($C730="","",IFERROR(INDEX(DESPACHOS!$G$3:$G$3002,MATCH($C730,DESPACHOS!$B$3:$B$3002,0)),""))</f>
        <v/>
      </c>
      <c r="I730" s="39">
        <f>IF($C730="","",IFERROR(INDEX(DESPACHOS!$H$3:$H$3002,MATCH($C730,DESPACHOS!$B$3:$B$3002,0)),""))</f>
        <v/>
      </c>
      <c r="J730" s="43">
        <f>IF($C730="","",IFERROR(INDEX(DESPACHOS!$J$3:$J$3002,MATCH($C730,DESPACHOS!$B$3:$B$3002,0)),""))</f>
        <v/>
      </c>
      <c r="K730" s="39">
        <f>IF($C730="","",IF(COUNTIFS(DESPACHOS!$B$3:$B$3002,$C730)=0,"NO EXISTE",IF(COUNTIFS(DESPACHOS!$B$3:$B$3002,$C730)&gt;1,"DUPLICADO","OK")))</f>
        <v/>
      </c>
      <c r="L730" s="41" t="n"/>
      <c r="M730" s="41" t="n"/>
      <c r="N730" s="42">
        <f>IF($M730="","",IFERROR(INDEX(LISTAS!$F$3:$F$42,MATCH($M730,LISTAS!$E$3:$E$42,0)),"Por definir"))</f>
        <v/>
      </c>
      <c r="O730" s="41" t="n"/>
      <c r="P730" s="39">
        <f>IF($L730="","",IFERROR(INDEX(LISTAS!$B$3:$B$42,MATCH($L730,LISTAS!$A$3:$A$42,0)),"Media"))</f>
        <v/>
      </c>
      <c r="Q730" s="44" t="n"/>
      <c r="R730" s="45" t="n"/>
      <c r="S730" s="20">
        <f>IFERROR(IF(OR($R730="",$C730=""),"",$R730/INDEX(DESPACHOS!$M$3:$M$3002,MATCH($C730,DESPACHOS!$B$3:$B$3002,0))),"")</f>
        <v/>
      </c>
      <c r="T730" s="41" t="n"/>
      <c r="U730" s="43">
        <f>IF(OR($B730="",$L730=""),"",WORKDAY($B730,IFERROR(INDEX(LISTAS!$C$3:$C$42,MATCH($L730,LISTAS!$A$3:$A$42,0)),3)))</f>
        <v/>
      </c>
      <c r="V730" s="40" t="n"/>
      <c r="W730" s="19">
        <f>IF($B730="","",IF($V730&lt;&gt;"",$V730-$B730,TODAY()-$B730))</f>
        <v/>
      </c>
      <c r="X730" s="19">
        <f>IF(OR($B730="",$U730=""),"",IF($V730&lt;&gt;"",MAX(0,$V730-$U730),MAX(0,TODAY()-$U730)))</f>
        <v/>
      </c>
      <c r="Y730" s="39">
        <f>IF($C730="","",IF(IFERROR(INDEX(LISTAS!$I$3:$I$42,MATCH($T730,LISTAS!$H$3:$H$42,0)),"NO")="SÍ",IF(N($X730)&gt;0,"CERRADA FUERA DE SLA","CERRADA EN SLA"),IF($U730="","SIN CLASIFICAR",IF(N($X730)&gt;0,"VENCIDA",IF(TODAY()&gt;=$U730-1,"POR VENCER","EN PLAZO")))))</f>
        <v/>
      </c>
      <c r="Z730" s="41" t="n"/>
      <c r="AA730" s="41" t="n"/>
      <c r="AB730" s="41" t="n"/>
    </row>
    <row r="731">
      <c r="A731" s="39">
        <f>IF($C731="","","NOV-"&amp;TEXT(ROW()-3,"0000"))</f>
        <v/>
      </c>
      <c r="B731" s="40" t="n"/>
      <c r="C731" s="41" t="n"/>
      <c r="D731" s="42">
        <f>IF($C731="","",IFERROR(INDEX(DESPACHOS!$D$3:$D$3002,MATCH($C731,DESPACHOS!$B$3:$B$3002,0)),"SIN DESPACHO"))</f>
        <v/>
      </c>
      <c r="E731" s="42">
        <f>IF($C731="","",IFERROR(INDEX(DESPACHOS!$K$3:$K$3002,MATCH($C731,DESPACHOS!$B$3:$B$3002,0)),""))</f>
        <v/>
      </c>
      <c r="F731" s="42">
        <f>IF($C731="","",IFERROR(INDEX(DESPACHOS!$I$3:$I$3002,MATCH($C731,DESPACHOS!$B$3:$B$3002,0)),""))</f>
        <v/>
      </c>
      <c r="G731" s="42">
        <f>IF($C731="","",IFERROR(INDEX(DESPACHOS!$F$3:$F$3002,MATCH($C731,DESPACHOS!$B$3:$B$3002,0)),""))</f>
        <v/>
      </c>
      <c r="H731" s="42">
        <f>IF($C731="","",IFERROR(INDEX(DESPACHOS!$G$3:$G$3002,MATCH($C731,DESPACHOS!$B$3:$B$3002,0)),""))</f>
        <v/>
      </c>
      <c r="I731" s="39">
        <f>IF($C731="","",IFERROR(INDEX(DESPACHOS!$H$3:$H$3002,MATCH($C731,DESPACHOS!$B$3:$B$3002,0)),""))</f>
        <v/>
      </c>
      <c r="J731" s="43">
        <f>IF($C731="","",IFERROR(INDEX(DESPACHOS!$J$3:$J$3002,MATCH($C731,DESPACHOS!$B$3:$B$3002,0)),""))</f>
        <v/>
      </c>
      <c r="K731" s="39">
        <f>IF($C731="","",IF(COUNTIFS(DESPACHOS!$B$3:$B$3002,$C731)=0,"NO EXISTE",IF(COUNTIFS(DESPACHOS!$B$3:$B$3002,$C731)&gt;1,"DUPLICADO","OK")))</f>
        <v/>
      </c>
      <c r="L731" s="41" t="n"/>
      <c r="M731" s="41" t="n"/>
      <c r="N731" s="42">
        <f>IF($M731="","",IFERROR(INDEX(LISTAS!$F$3:$F$42,MATCH($M731,LISTAS!$E$3:$E$42,0)),"Por definir"))</f>
        <v/>
      </c>
      <c r="O731" s="41" t="n"/>
      <c r="P731" s="39">
        <f>IF($L731="","",IFERROR(INDEX(LISTAS!$B$3:$B$42,MATCH($L731,LISTAS!$A$3:$A$42,0)),"Media"))</f>
        <v/>
      </c>
      <c r="Q731" s="44" t="n"/>
      <c r="R731" s="45" t="n"/>
      <c r="S731" s="20">
        <f>IFERROR(IF(OR($R731="",$C731=""),"",$R731/INDEX(DESPACHOS!$M$3:$M$3002,MATCH($C731,DESPACHOS!$B$3:$B$3002,0))),"")</f>
        <v/>
      </c>
      <c r="T731" s="41" t="n"/>
      <c r="U731" s="43">
        <f>IF(OR($B731="",$L731=""),"",WORKDAY($B731,IFERROR(INDEX(LISTAS!$C$3:$C$42,MATCH($L731,LISTAS!$A$3:$A$42,0)),3)))</f>
        <v/>
      </c>
      <c r="V731" s="40" t="n"/>
      <c r="W731" s="19">
        <f>IF($B731="","",IF($V731&lt;&gt;"",$V731-$B731,TODAY()-$B731))</f>
        <v/>
      </c>
      <c r="X731" s="19">
        <f>IF(OR($B731="",$U731=""),"",IF($V731&lt;&gt;"",MAX(0,$V731-$U731),MAX(0,TODAY()-$U731)))</f>
        <v/>
      </c>
      <c r="Y731" s="39">
        <f>IF($C731="","",IF(IFERROR(INDEX(LISTAS!$I$3:$I$42,MATCH($T731,LISTAS!$H$3:$H$42,0)),"NO")="SÍ",IF(N($X731)&gt;0,"CERRADA FUERA DE SLA","CERRADA EN SLA"),IF($U731="","SIN CLASIFICAR",IF(N($X731)&gt;0,"VENCIDA",IF(TODAY()&gt;=$U731-1,"POR VENCER","EN PLAZO")))))</f>
        <v/>
      </c>
      <c r="Z731" s="41" t="n"/>
      <c r="AA731" s="41" t="n"/>
      <c r="AB731" s="41" t="n"/>
    </row>
    <row r="732">
      <c r="A732" s="39">
        <f>IF($C732="","","NOV-"&amp;TEXT(ROW()-3,"0000"))</f>
        <v/>
      </c>
      <c r="B732" s="40" t="n"/>
      <c r="C732" s="41" t="n"/>
      <c r="D732" s="42">
        <f>IF($C732="","",IFERROR(INDEX(DESPACHOS!$D$3:$D$3002,MATCH($C732,DESPACHOS!$B$3:$B$3002,0)),"SIN DESPACHO"))</f>
        <v/>
      </c>
      <c r="E732" s="42">
        <f>IF($C732="","",IFERROR(INDEX(DESPACHOS!$K$3:$K$3002,MATCH($C732,DESPACHOS!$B$3:$B$3002,0)),""))</f>
        <v/>
      </c>
      <c r="F732" s="42">
        <f>IF($C732="","",IFERROR(INDEX(DESPACHOS!$I$3:$I$3002,MATCH($C732,DESPACHOS!$B$3:$B$3002,0)),""))</f>
        <v/>
      </c>
      <c r="G732" s="42">
        <f>IF($C732="","",IFERROR(INDEX(DESPACHOS!$F$3:$F$3002,MATCH($C732,DESPACHOS!$B$3:$B$3002,0)),""))</f>
        <v/>
      </c>
      <c r="H732" s="42">
        <f>IF($C732="","",IFERROR(INDEX(DESPACHOS!$G$3:$G$3002,MATCH($C732,DESPACHOS!$B$3:$B$3002,0)),""))</f>
        <v/>
      </c>
      <c r="I732" s="39">
        <f>IF($C732="","",IFERROR(INDEX(DESPACHOS!$H$3:$H$3002,MATCH($C732,DESPACHOS!$B$3:$B$3002,0)),""))</f>
        <v/>
      </c>
      <c r="J732" s="43">
        <f>IF($C732="","",IFERROR(INDEX(DESPACHOS!$J$3:$J$3002,MATCH($C732,DESPACHOS!$B$3:$B$3002,0)),""))</f>
        <v/>
      </c>
      <c r="K732" s="39">
        <f>IF($C732="","",IF(COUNTIFS(DESPACHOS!$B$3:$B$3002,$C732)=0,"NO EXISTE",IF(COUNTIFS(DESPACHOS!$B$3:$B$3002,$C732)&gt;1,"DUPLICADO","OK")))</f>
        <v/>
      </c>
      <c r="L732" s="41" t="n"/>
      <c r="M732" s="41" t="n"/>
      <c r="N732" s="42">
        <f>IF($M732="","",IFERROR(INDEX(LISTAS!$F$3:$F$42,MATCH($M732,LISTAS!$E$3:$E$42,0)),"Por definir"))</f>
        <v/>
      </c>
      <c r="O732" s="41" t="n"/>
      <c r="P732" s="39">
        <f>IF($L732="","",IFERROR(INDEX(LISTAS!$B$3:$B$42,MATCH($L732,LISTAS!$A$3:$A$42,0)),"Media"))</f>
        <v/>
      </c>
      <c r="Q732" s="44" t="n"/>
      <c r="R732" s="45" t="n"/>
      <c r="S732" s="20">
        <f>IFERROR(IF(OR($R732="",$C732=""),"",$R732/INDEX(DESPACHOS!$M$3:$M$3002,MATCH($C732,DESPACHOS!$B$3:$B$3002,0))),"")</f>
        <v/>
      </c>
      <c r="T732" s="41" t="n"/>
      <c r="U732" s="43">
        <f>IF(OR($B732="",$L732=""),"",WORKDAY($B732,IFERROR(INDEX(LISTAS!$C$3:$C$42,MATCH($L732,LISTAS!$A$3:$A$42,0)),3)))</f>
        <v/>
      </c>
      <c r="V732" s="40" t="n"/>
      <c r="W732" s="19">
        <f>IF($B732="","",IF($V732&lt;&gt;"",$V732-$B732,TODAY()-$B732))</f>
        <v/>
      </c>
      <c r="X732" s="19">
        <f>IF(OR($B732="",$U732=""),"",IF($V732&lt;&gt;"",MAX(0,$V732-$U732),MAX(0,TODAY()-$U732)))</f>
        <v/>
      </c>
      <c r="Y732" s="39">
        <f>IF($C732="","",IF(IFERROR(INDEX(LISTAS!$I$3:$I$42,MATCH($T732,LISTAS!$H$3:$H$42,0)),"NO")="SÍ",IF(N($X732)&gt;0,"CERRADA FUERA DE SLA","CERRADA EN SLA"),IF($U732="","SIN CLASIFICAR",IF(N($X732)&gt;0,"VENCIDA",IF(TODAY()&gt;=$U732-1,"POR VENCER","EN PLAZO")))))</f>
        <v/>
      </c>
      <c r="Z732" s="41" t="n"/>
      <c r="AA732" s="41" t="n"/>
      <c r="AB732" s="41" t="n"/>
    </row>
    <row r="733">
      <c r="A733" s="39">
        <f>IF($C733="","","NOV-"&amp;TEXT(ROW()-3,"0000"))</f>
        <v/>
      </c>
      <c r="B733" s="40" t="n"/>
      <c r="C733" s="41" t="n"/>
      <c r="D733" s="42">
        <f>IF($C733="","",IFERROR(INDEX(DESPACHOS!$D$3:$D$3002,MATCH($C733,DESPACHOS!$B$3:$B$3002,0)),"SIN DESPACHO"))</f>
        <v/>
      </c>
      <c r="E733" s="42">
        <f>IF($C733="","",IFERROR(INDEX(DESPACHOS!$K$3:$K$3002,MATCH($C733,DESPACHOS!$B$3:$B$3002,0)),""))</f>
        <v/>
      </c>
      <c r="F733" s="42">
        <f>IF($C733="","",IFERROR(INDEX(DESPACHOS!$I$3:$I$3002,MATCH($C733,DESPACHOS!$B$3:$B$3002,0)),""))</f>
        <v/>
      </c>
      <c r="G733" s="42">
        <f>IF($C733="","",IFERROR(INDEX(DESPACHOS!$F$3:$F$3002,MATCH($C733,DESPACHOS!$B$3:$B$3002,0)),""))</f>
        <v/>
      </c>
      <c r="H733" s="42">
        <f>IF($C733="","",IFERROR(INDEX(DESPACHOS!$G$3:$G$3002,MATCH($C733,DESPACHOS!$B$3:$B$3002,0)),""))</f>
        <v/>
      </c>
      <c r="I733" s="39">
        <f>IF($C733="","",IFERROR(INDEX(DESPACHOS!$H$3:$H$3002,MATCH($C733,DESPACHOS!$B$3:$B$3002,0)),""))</f>
        <v/>
      </c>
      <c r="J733" s="43">
        <f>IF($C733="","",IFERROR(INDEX(DESPACHOS!$J$3:$J$3002,MATCH($C733,DESPACHOS!$B$3:$B$3002,0)),""))</f>
        <v/>
      </c>
      <c r="K733" s="39">
        <f>IF($C733="","",IF(COUNTIFS(DESPACHOS!$B$3:$B$3002,$C733)=0,"NO EXISTE",IF(COUNTIFS(DESPACHOS!$B$3:$B$3002,$C733)&gt;1,"DUPLICADO","OK")))</f>
        <v/>
      </c>
      <c r="L733" s="41" t="n"/>
      <c r="M733" s="41" t="n"/>
      <c r="N733" s="42">
        <f>IF($M733="","",IFERROR(INDEX(LISTAS!$F$3:$F$42,MATCH($M733,LISTAS!$E$3:$E$42,0)),"Por definir"))</f>
        <v/>
      </c>
      <c r="O733" s="41" t="n"/>
      <c r="P733" s="39">
        <f>IF($L733="","",IFERROR(INDEX(LISTAS!$B$3:$B$42,MATCH($L733,LISTAS!$A$3:$A$42,0)),"Media"))</f>
        <v/>
      </c>
      <c r="Q733" s="44" t="n"/>
      <c r="R733" s="45" t="n"/>
      <c r="S733" s="20">
        <f>IFERROR(IF(OR($R733="",$C733=""),"",$R733/INDEX(DESPACHOS!$M$3:$M$3002,MATCH($C733,DESPACHOS!$B$3:$B$3002,0))),"")</f>
        <v/>
      </c>
      <c r="T733" s="41" t="n"/>
      <c r="U733" s="43">
        <f>IF(OR($B733="",$L733=""),"",WORKDAY($B733,IFERROR(INDEX(LISTAS!$C$3:$C$42,MATCH($L733,LISTAS!$A$3:$A$42,0)),3)))</f>
        <v/>
      </c>
      <c r="V733" s="40" t="n"/>
      <c r="W733" s="19">
        <f>IF($B733="","",IF($V733&lt;&gt;"",$V733-$B733,TODAY()-$B733))</f>
        <v/>
      </c>
      <c r="X733" s="19">
        <f>IF(OR($B733="",$U733=""),"",IF($V733&lt;&gt;"",MAX(0,$V733-$U733),MAX(0,TODAY()-$U733)))</f>
        <v/>
      </c>
      <c r="Y733" s="39">
        <f>IF($C733="","",IF(IFERROR(INDEX(LISTAS!$I$3:$I$42,MATCH($T733,LISTAS!$H$3:$H$42,0)),"NO")="SÍ",IF(N($X733)&gt;0,"CERRADA FUERA DE SLA","CERRADA EN SLA"),IF($U733="","SIN CLASIFICAR",IF(N($X733)&gt;0,"VENCIDA",IF(TODAY()&gt;=$U733-1,"POR VENCER","EN PLAZO")))))</f>
        <v/>
      </c>
      <c r="Z733" s="41" t="n"/>
      <c r="AA733" s="41" t="n"/>
      <c r="AB733" s="41" t="n"/>
    </row>
    <row r="734">
      <c r="A734" s="39">
        <f>IF($C734="","","NOV-"&amp;TEXT(ROW()-3,"0000"))</f>
        <v/>
      </c>
      <c r="B734" s="40" t="n"/>
      <c r="C734" s="41" t="n"/>
      <c r="D734" s="42">
        <f>IF($C734="","",IFERROR(INDEX(DESPACHOS!$D$3:$D$3002,MATCH($C734,DESPACHOS!$B$3:$B$3002,0)),"SIN DESPACHO"))</f>
        <v/>
      </c>
      <c r="E734" s="42">
        <f>IF($C734="","",IFERROR(INDEX(DESPACHOS!$K$3:$K$3002,MATCH($C734,DESPACHOS!$B$3:$B$3002,0)),""))</f>
        <v/>
      </c>
      <c r="F734" s="42">
        <f>IF($C734="","",IFERROR(INDEX(DESPACHOS!$I$3:$I$3002,MATCH($C734,DESPACHOS!$B$3:$B$3002,0)),""))</f>
        <v/>
      </c>
      <c r="G734" s="42">
        <f>IF($C734="","",IFERROR(INDEX(DESPACHOS!$F$3:$F$3002,MATCH($C734,DESPACHOS!$B$3:$B$3002,0)),""))</f>
        <v/>
      </c>
      <c r="H734" s="42">
        <f>IF($C734="","",IFERROR(INDEX(DESPACHOS!$G$3:$G$3002,MATCH($C734,DESPACHOS!$B$3:$B$3002,0)),""))</f>
        <v/>
      </c>
      <c r="I734" s="39">
        <f>IF($C734="","",IFERROR(INDEX(DESPACHOS!$H$3:$H$3002,MATCH($C734,DESPACHOS!$B$3:$B$3002,0)),""))</f>
        <v/>
      </c>
      <c r="J734" s="43">
        <f>IF($C734="","",IFERROR(INDEX(DESPACHOS!$J$3:$J$3002,MATCH($C734,DESPACHOS!$B$3:$B$3002,0)),""))</f>
        <v/>
      </c>
      <c r="K734" s="39">
        <f>IF($C734="","",IF(COUNTIFS(DESPACHOS!$B$3:$B$3002,$C734)=0,"NO EXISTE",IF(COUNTIFS(DESPACHOS!$B$3:$B$3002,$C734)&gt;1,"DUPLICADO","OK")))</f>
        <v/>
      </c>
      <c r="L734" s="41" t="n"/>
      <c r="M734" s="41" t="n"/>
      <c r="N734" s="42">
        <f>IF($M734="","",IFERROR(INDEX(LISTAS!$F$3:$F$42,MATCH($M734,LISTAS!$E$3:$E$42,0)),"Por definir"))</f>
        <v/>
      </c>
      <c r="O734" s="41" t="n"/>
      <c r="P734" s="39">
        <f>IF($L734="","",IFERROR(INDEX(LISTAS!$B$3:$B$42,MATCH($L734,LISTAS!$A$3:$A$42,0)),"Media"))</f>
        <v/>
      </c>
      <c r="Q734" s="44" t="n"/>
      <c r="R734" s="45" t="n"/>
      <c r="S734" s="20">
        <f>IFERROR(IF(OR($R734="",$C734=""),"",$R734/INDEX(DESPACHOS!$M$3:$M$3002,MATCH($C734,DESPACHOS!$B$3:$B$3002,0))),"")</f>
        <v/>
      </c>
      <c r="T734" s="41" t="n"/>
      <c r="U734" s="43">
        <f>IF(OR($B734="",$L734=""),"",WORKDAY($B734,IFERROR(INDEX(LISTAS!$C$3:$C$42,MATCH($L734,LISTAS!$A$3:$A$42,0)),3)))</f>
        <v/>
      </c>
      <c r="V734" s="40" t="n"/>
      <c r="W734" s="19">
        <f>IF($B734="","",IF($V734&lt;&gt;"",$V734-$B734,TODAY()-$B734))</f>
        <v/>
      </c>
      <c r="X734" s="19">
        <f>IF(OR($B734="",$U734=""),"",IF($V734&lt;&gt;"",MAX(0,$V734-$U734),MAX(0,TODAY()-$U734)))</f>
        <v/>
      </c>
      <c r="Y734" s="39">
        <f>IF($C734="","",IF(IFERROR(INDEX(LISTAS!$I$3:$I$42,MATCH($T734,LISTAS!$H$3:$H$42,0)),"NO")="SÍ",IF(N($X734)&gt;0,"CERRADA FUERA DE SLA","CERRADA EN SLA"),IF($U734="","SIN CLASIFICAR",IF(N($X734)&gt;0,"VENCIDA",IF(TODAY()&gt;=$U734-1,"POR VENCER","EN PLAZO")))))</f>
        <v/>
      </c>
      <c r="Z734" s="41" t="n"/>
      <c r="AA734" s="41" t="n"/>
      <c r="AB734" s="41" t="n"/>
    </row>
    <row r="735">
      <c r="A735" s="39">
        <f>IF($C735="","","NOV-"&amp;TEXT(ROW()-3,"0000"))</f>
        <v/>
      </c>
      <c r="B735" s="40" t="n"/>
      <c r="C735" s="41" t="n"/>
      <c r="D735" s="42">
        <f>IF($C735="","",IFERROR(INDEX(DESPACHOS!$D$3:$D$3002,MATCH($C735,DESPACHOS!$B$3:$B$3002,0)),"SIN DESPACHO"))</f>
        <v/>
      </c>
      <c r="E735" s="42">
        <f>IF($C735="","",IFERROR(INDEX(DESPACHOS!$K$3:$K$3002,MATCH($C735,DESPACHOS!$B$3:$B$3002,0)),""))</f>
        <v/>
      </c>
      <c r="F735" s="42">
        <f>IF($C735="","",IFERROR(INDEX(DESPACHOS!$I$3:$I$3002,MATCH($C735,DESPACHOS!$B$3:$B$3002,0)),""))</f>
        <v/>
      </c>
      <c r="G735" s="42">
        <f>IF($C735="","",IFERROR(INDEX(DESPACHOS!$F$3:$F$3002,MATCH($C735,DESPACHOS!$B$3:$B$3002,0)),""))</f>
        <v/>
      </c>
      <c r="H735" s="42">
        <f>IF($C735="","",IFERROR(INDEX(DESPACHOS!$G$3:$G$3002,MATCH($C735,DESPACHOS!$B$3:$B$3002,0)),""))</f>
        <v/>
      </c>
      <c r="I735" s="39">
        <f>IF($C735="","",IFERROR(INDEX(DESPACHOS!$H$3:$H$3002,MATCH($C735,DESPACHOS!$B$3:$B$3002,0)),""))</f>
        <v/>
      </c>
      <c r="J735" s="43">
        <f>IF($C735="","",IFERROR(INDEX(DESPACHOS!$J$3:$J$3002,MATCH($C735,DESPACHOS!$B$3:$B$3002,0)),""))</f>
        <v/>
      </c>
      <c r="K735" s="39">
        <f>IF($C735="","",IF(COUNTIFS(DESPACHOS!$B$3:$B$3002,$C735)=0,"NO EXISTE",IF(COUNTIFS(DESPACHOS!$B$3:$B$3002,$C735)&gt;1,"DUPLICADO","OK")))</f>
        <v/>
      </c>
      <c r="L735" s="41" t="n"/>
      <c r="M735" s="41" t="n"/>
      <c r="N735" s="42">
        <f>IF($M735="","",IFERROR(INDEX(LISTAS!$F$3:$F$42,MATCH($M735,LISTAS!$E$3:$E$42,0)),"Por definir"))</f>
        <v/>
      </c>
      <c r="O735" s="41" t="n"/>
      <c r="P735" s="39">
        <f>IF($L735="","",IFERROR(INDEX(LISTAS!$B$3:$B$42,MATCH($L735,LISTAS!$A$3:$A$42,0)),"Media"))</f>
        <v/>
      </c>
      <c r="Q735" s="44" t="n"/>
      <c r="R735" s="45" t="n"/>
      <c r="S735" s="20">
        <f>IFERROR(IF(OR($R735="",$C735=""),"",$R735/INDEX(DESPACHOS!$M$3:$M$3002,MATCH($C735,DESPACHOS!$B$3:$B$3002,0))),"")</f>
        <v/>
      </c>
      <c r="T735" s="41" t="n"/>
      <c r="U735" s="43">
        <f>IF(OR($B735="",$L735=""),"",WORKDAY($B735,IFERROR(INDEX(LISTAS!$C$3:$C$42,MATCH($L735,LISTAS!$A$3:$A$42,0)),3)))</f>
        <v/>
      </c>
      <c r="V735" s="40" t="n"/>
      <c r="W735" s="19">
        <f>IF($B735="","",IF($V735&lt;&gt;"",$V735-$B735,TODAY()-$B735))</f>
        <v/>
      </c>
      <c r="X735" s="19">
        <f>IF(OR($B735="",$U735=""),"",IF($V735&lt;&gt;"",MAX(0,$V735-$U735),MAX(0,TODAY()-$U735)))</f>
        <v/>
      </c>
      <c r="Y735" s="39">
        <f>IF($C735="","",IF(IFERROR(INDEX(LISTAS!$I$3:$I$42,MATCH($T735,LISTAS!$H$3:$H$42,0)),"NO")="SÍ",IF(N($X735)&gt;0,"CERRADA FUERA DE SLA","CERRADA EN SLA"),IF($U735="","SIN CLASIFICAR",IF(N($X735)&gt;0,"VENCIDA",IF(TODAY()&gt;=$U735-1,"POR VENCER","EN PLAZO")))))</f>
        <v/>
      </c>
      <c r="Z735" s="41" t="n"/>
      <c r="AA735" s="41" t="n"/>
      <c r="AB735" s="41" t="n"/>
    </row>
    <row r="736">
      <c r="A736" s="39">
        <f>IF($C736="","","NOV-"&amp;TEXT(ROW()-3,"0000"))</f>
        <v/>
      </c>
      <c r="B736" s="40" t="n"/>
      <c r="C736" s="41" t="n"/>
      <c r="D736" s="42">
        <f>IF($C736="","",IFERROR(INDEX(DESPACHOS!$D$3:$D$3002,MATCH($C736,DESPACHOS!$B$3:$B$3002,0)),"SIN DESPACHO"))</f>
        <v/>
      </c>
      <c r="E736" s="42">
        <f>IF($C736="","",IFERROR(INDEX(DESPACHOS!$K$3:$K$3002,MATCH($C736,DESPACHOS!$B$3:$B$3002,0)),""))</f>
        <v/>
      </c>
      <c r="F736" s="42">
        <f>IF($C736="","",IFERROR(INDEX(DESPACHOS!$I$3:$I$3002,MATCH($C736,DESPACHOS!$B$3:$B$3002,0)),""))</f>
        <v/>
      </c>
      <c r="G736" s="42">
        <f>IF($C736="","",IFERROR(INDEX(DESPACHOS!$F$3:$F$3002,MATCH($C736,DESPACHOS!$B$3:$B$3002,0)),""))</f>
        <v/>
      </c>
      <c r="H736" s="42">
        <f>IF($C736="","",IFERROR(INDEX(DESPACHOS!$G$3:$G$3002,MATCH($C736,DESPACHOS!$B$3:$B$3002,0)),""))</f>
        <v/>
      </c>
      <c r="I736" s="39">
        <f>IF($C736="","",IFERROR(INDEX(DESPACHOS!$H$3:$H$3002,MATCH($C736,DESPACHOS!$B$3:$B$3002,0)),""))</f>
        <v/>
      </c>
      <c r="J736" s="43">
        <f>IF($C736="","",IFERROR(INDEX(DESPACHOS!$J$3:$J$3002,MATCH($C736,DESPACHOS!$B$3:$B$3002,0)),""))</f>
        <v/>
      </c>
      <c r="K736" s="39">
        <f>IF($C736="","",IF(COUNTIFS(DESPACHOS!$B$3:$B$3002,$C736)=0,"NO EXISTE",IF(COUNTIFS(DESPACHOS!$B$3:$B$3002,$C736)&gt;1,"DUPLICADO","OK")))</f>
        <v/>
      </c>
      <c r="L736" s="41" t="n"/>
      <c r="M736" s="41" t="n"/>
      <c r="N736" s="42">
        <f>IF($M736="","",IFERROR(INDEX(LISTAS!$F$3:$F$42,MATCH($M736,LISTAS!$E$3:$E$42,0)),"Por definir"))</f>
        <v/>
      </c>
      <c r="O736" s="41" t="n"/>
      <c r="P736" s="39">
        <f>IF($L736="","",IFERROR(INDEX(LISTAS!$B$3:$B$42,MATCH($L736,LISTAS!$A$3:$A$42,0)),"Media"))</f>
        <v/>
      </c>
      <c r="Q736" s="44" t="n"/>
      <c r="R736" s="45" t="n"/>
      <c r="S736" s="20">
        <f>IFERROR(IF(OR($R736="",$C736=""),"",$R736/INDEX(DESPACHOS!$M$3:$M$3002,MATCH($C736,DESPACHOS!$B$3:$B$3002,0))),"")</f>
        <v/>
      </c>
      <c r="T736" s="41" t="n"/>
      <c r="U736" s="43">
        <f>IF(OR($B736="",$L736=""),"",WORKDAY($B736,IFERROR(INDEX(LISTAS!$C$3:$C$42,MATCH($L736,LISTAS!$A$3:$A$42,0)),3)))</f>
        <v/>
      </c>
      <c r="V736" s="40" t="n"/>
      <c r="W736" s="19">
        <f>IF($B736="","",IF($V736&lt;&gt;"",$V736-$B736,TODAY()-$B736))</f>
        <v/>
      </c>
      <c r="X736" s="19">
        <f>IF(OR($B736="",$U736=""),"",IF($V736&lt;&gt;"",MAX(0,$V736-$U736),MAX(0,TODAY()-$U736)))</f>
        <v/>
      </c>
      <c r="Y736" s="39">
        <f>IF($C736="","",IF(IFERROR(INDEX(LISTAS!$I$3:$I$42,MATCH($T736,LISTAS!$H$3:$H$42,0)),"NO")="SÍ",IF(N($X736)&gt;0,"CERRADA FUERA DE SLA","CERRADA EN SLA"),IF($U736="","SIN CLASIFICAR",IF(N($X736)&gt;0,"VENCIDA",IF(TODAY()&gt;=$U736-1,"POR VENCER","EN PLAZO")))))</f>
        <v/>
      </c>
      <c r="Z736" s="41" t="n"/>
      <c r="AA736" s="41" t="n"/>
      <c r="AB736" s="41" t="n"/>
    </row>
    <row r="737">
      <c r="A737" s="39">
        <f>IF($C737="","","NOV-"&amp;TEXT(ROW()-3,"0000"))</f>
        <v/>
      </c>
      <c r="B737" s="40" t="n"/>
      <c r="C737" s="41" t="n"/>
      <c r="D737" s="42">
        <f>IF($C737="","",IFERROR(INDEX(DESPACHOS!$D$3:$D$3002,MATCH($C737,DESPACHOS!$B$3:$B$3002,0)),"SIN DESPACHO"))</f>
        <v/>
      </c>
      <c r="E737" s="42">
        <f>IF($C737="","",IFERROR(INDEX(DESPACHOS!$K$3:$K$3002,MATCH($C737,DESPACHOS!$B$3:$B$3002,0)),""))</f>
        <v/>
      </c>
      <c r="F737" s="42">
        <f>IF($C737="","",IFERROR(INDEX(DESPACHOS!$I$3:$I$3002,MATCH($C737,DESPACHOS!$B$3:$B$3002,0)),""))</f>
        <v/>
      </c>
      <c r="G737" s="42">
        <f>IF($C737="","",IFERROR(INDEX(DESPACHOS!$F$3:$F$3002,MATCH($C737,DESPACHOS!$B$3:$B$3002,0)),""))</f>
        <v/>
      </c>
      <c r="H737" s="42">
        <f>IF($C737="","",IFERROR(INDEX(DESPACHOS!$G$3:$G$3002,MATCH($C737,DESPACHOS!$B$3:$B$3002,0)),""))</f>
        <v/>
      </c>
      <c r="I737" s="39">
        <f>IF($C737="","",IFERROR(INDEX(DESPACHOS!$H$3:$H$3002,MATCH($C737,DESPACHOS!$B$3:$B$3002,0)),""))</f>
        <v/>
      </c>
      <c r="J737" s="43">
        <f>IF($C737="","",IFERROR(INDEX(DESPACHOS!$J$3:$J$3002,MATCH($C737,DESPACHOS!$B$3:$B$3002,0)),""))</f>
        <v/>
      </c>
      <c r="K737" s="39">
        <f>IF($C737="","",IF(COUNTIFS(DESPACHOS!$B$3:$B$3002,$C737)=0,"NO EXISTE",IF(COUNTIFS(DESPACHOS!$B$3:$B$3002,$C737)&gt;1,"DUPLICADO","OK")))</f>
        <v/>
      </c>
      <c r="L737" s="41" t="n"/>
      <c r="M737" s="41" t="n"/>
      <c r="N737" s="42">
        <f>IF($M737="","",IFERROR(INDEX(LISTAS!$F$3:$F$42,MATCH($M737,LISTAS!$E$3:$E$42,0)),"Por definir"))</f>
        <v/>
      </c>
      <c r="O737" s="41" t="n"/>
      <c r="P737" s="39">
        <f>IF($L737="","",IFERROR(INDEX(LISTAS!$B$3:$B$42,MATCH($L737,LISTAS!$A$3:$A$42,0)),"Media"))</f>
        <v/>
      </c>
      <c r="Q737" s="44" t="n"/>
      <c r="R737" s="45" t="n"/>
      <c r="S737" s="20">
        <f>IFERROR(IF(OR($R737="",$C737=""),"",$R737/INDEX(DESPACHOS!$M$3:$M$3002,MATCH($C737,DESPACHOS!$B$3:$B$3002,0))),"")</f>
        <v/>
      </c>
      <c r="T737" s="41" t="n"/>
      <c r="U737" s="43">
        <f>IF(OR($B737="",$L737=""),"",WORKDAY($B737,IFERROR(INDEX(LISTAS!$C$3:$C$42,MATCH($L737,LISTAS!$A$3:$A$42,0)),3)))</f>
        <v/>
      </c>
      <c r="V737" s="40" t="n"/>
      <c r="W737" s="19">
        <f>IF($B737="","",IF($V737&lt;&gt;"",$V737-$B737,TODAY()-$B737))</f>
        <v/>
      </c>
      <c r="X737" s="19">
        <f>IF(OR($B737="",$U737=""),"",IF($V737&lt;&gt;"",MAX(0,$V737-$U737),MAX(0,TODAY()-$U737)))</f>
        <v/>
      </c>
      <c r="Y737" s="39">
        <f>IF($C737="","",IF(IFERROR(INDEX(LISTAS!$I$3:$I$42,MATCH($T737,LISTAS!$H$3:$H$42,0)),"NO")="SÍ",IF(N($X737)&gt;0,"CERRADA FUERA DE SLA","CERRADA EN SLA"),IF($U737="","SIN CLASIFICAR",IF(N($X737)&gt;0,"VENCIDA",IF(TODAY()&gt;=$U737-1,"POR VENCER","EN PLAZO")))))</f>
        <v/>
      </c>
      <c r="Z737" s="41" t="n"/>
      <c r="AA737" s="41" t="n"/>
      <c r="AB737" s="41" t="n"/>
    </row>
    <row r="738">
      <c r="A738" s="39">
        <f>IF($C738="","","NOV-"&amp;TEXT(ROW()-3,"0000"))</f>
        <v/>
      </c>
      <c r="B738" s="40" t="n"/>
      <c r="C738" s="41" t="n"/>
      <c r="D738" s="42">
        <f>IF($C738="","",IFERROR(INDEX(DESPACHOS!$D$3:$D$3002,MATCH($C738,DESPACHOS!$B$3:$B$3002,0)),"SIN DESPACHO"))</f>
        <v/>
      </c>
      <c r="E738" s="42">
        <f>IF($C738="","",IFERROR(INDEX(DESPACHOS!$K$3:$K$3002,MATCH($C738,DESPACHOS!$B$3:$B$3002,0)),""))</f>
        <v/>
      </c>
      <c r="F738" s="42">
        <f>IF($C738="","",IFERROR(INDEX(DESPACHOS!$I$3:$I$3002,MATCH($C738,DESPACHOS!$B$3:$B$3002,0)),""))</f>
        <v/>
      </c>
      <c r="G738" s="42">
        <f>IF($C738="","",IFERROR(INDEX(DESPACHOS!$F$3:$F$3002,MATCH($C738,DESPACHOS!$B$3:$B$3002,0)),""))</f>
        <v/>
      </c>
      <c r="H738" s="42">
        <f>IF($C738="","",IFERROR(INDEX(DESPACHOS!$G$3:$G$3002,MATCH($C738,DESPACHOS!$B$3:$B$3002,0)),""))</f>
        <v/>
      </c>
      <c r="I738" s="39">
        <f>IF($C738="","",IFERROR(INDEX(DESPACHOS!$H$3:$H$3002,MATCH($C738,DESPACHOS!$B$3:$B$3002,0)),""))</f>
        <v/>
      </c>
      <c r="J738" s="43">
        <f>IF($C738="","",IFERROR(INDEX(DESPACHOS!$J$3:$J$3002,MATCH($C738,DESPACHOS!$B$3:$B$3002,0)),""))</f>
        <v/>
      </c>
      <c r="K738" s="39">
        <f>IF($C738="","",IF(COUNTIFS(DESPACHOS!$B$3:$B$3002,$C738)=0,"NO EXISTE",IF(COUNTIFS(DESPACHOS!$B$3:$B$3002,$C738)&gt;1,"DUPLICADO","OK")))</f>
        <v/>
      </c>
      <c r="L738" s="41" t="n"/>
      <c r="M738" s="41" t="n"/>
      <c r="N738" s="42">
        <f>IF($M738="","",IFERROR(INDEX(LISTAS!$F$3:$F$42,MATCH($M738,LISTAS!$E$3:$E$42,0)),"Por definir"))</f>
        <v/>
      </c>
      <c r="O738" s="41" t="n"/>
      <c r="P738" s="39">
        <f>IF($L738="","",IFERROR(INDEX(LISTAS!$B$3:$B$42,MATCH($L738,LISTAS!$A$3:$A$42,0)),"Media"))</f>
        <v/>
      </c>
      <c r="Q738" s="44" t="n"/>
      <c r="R738" s="45" t="n"/>
      <c r="S738" s="20">
        <f>IFERROR(IF(OR($R738="",$C738=""),"",$R738/INDEX(DESPACHOS!$M$3:$M$3002,MATCH($C738,DESPACHOS!$B$3:$B$3002,0))),"")</f>
        <v/>
      </c>
      <c r="T738" s="41" t="n"/>
      <c r="U738" s="43">
        <f>IF(OR($B738="",$L738=""),"",WORKDAY($B738,IFERROR(INDEX(LISTAS!$C$3:$C$42,MATCH($L738,LISTAS!$A$3:$A$42,0)),3)))</f>
        <v/>
      </c>
      <c r="V738" s="40" t="n"/>
      <c r="W738" s="19">
        <f>IF($B738="","",IF($V738&lt;&gt;"",$V738-$B738,TODAY()-$B738))</f>
        <v/>
      </c>
      <c r="X738" s="19">
        <f>IF(OR($B738="",$U738=""),"",IF($V738&lt;&gt;"",MAX(0,$V738-$U738),MAX(0,TODAY()-$U738)))</f>
        <v/>
      </c>
      <c r="Y738" s="39">
        <f>IF($C738="","",IF(IFERROR(INDEX(LISTAS!$I$3:$I$42,MATCH($T738,LISTAS!$H$3:$H$42,0)),"NO")="SÍ",IF(N($X738)&gt;0,"CERRADA FUERA DE SLA","CERRADA EN SLA"),IF($U738="","SIN CLASIFICAR",IF(N($X738)&gt;0,"VENCIDA",IF(TODAY()&gt;=$U738-1,"POR VENCER","EN PLAZO")))))</f>
        <v/>
      </c>
      <c r="Z738" s="41" t="n"/>
      <c r="AA738" s="41" t="n"/>
      <c r="AB738" s="41" t="n"/>
    </row>
    <row r="739">
      <c r="A739" s="39">
        <f>IF($C739="","","NOV-"&amp;TEXT(ROW()-3,"0000"))</f>
        <v/>
      </c>
      <c r="B739" s="40" t="n"/>
      <c r="C739" s="41" t="n"/>
      <c r="D739" s="42">
        <f>IF($C739="","",IFERROR(INDEX(DESPACHOS!$D$3:$D$3002,MATCH($C739,DESPACHOS!$B$3:$B$3002,0)),"SIN DESPACHO"))</f>
        <v/>
      </c>
      <c r="E739" s="42">
        <f>IF($C739="","",IFERROR(INDEX(DESPACHOS!$K$3:$K$3002,MATCH($C739,DESPACHOS!$B$3:$B$3002,0)),""))</f>
        <v/>
      </c>
      <c r="F739" s="42">
        <f>IF($C739="","",IFERROR(INDEX(DESPACHOS!$I$3:$I$3002,MATCH($C739,DESPACHOS!$B$3:$B$3002,0)),""))</f>
        <v/>
      </c>
      <c r="G739" s="42">
        <f>IF($C739="","",IFERROR(INDEX(DESPACHOS!$F$3:$F$3002,MATCH($C739,DESPACHOS!$B$3:$B$3002,0)),""))</f>
        <v/>
      </c>
      <c r="H739" s="42">
        <f>IF($C739="","",IFERROR(INDEX(DESPACHOS!$G$3:$G$3002,MATCH($C739,DESPACHOS!$B$3:$B$3002,0)),""))</f>
        <v/>
      </c>
      <c r="I739" s="39">
        <f>IF($C739="","",IFERROR(INDEX(DESPACHOS!$H$3:$H$3002,MATCH($C739,DESPACHOS!$B$3:$B$3002,0)),""))</f>
        <v/>
      </c>
      <c r="J739" s="43">
        <f>IF($C739="","",IFERROR(INDEX(DESPACHOS!$J$3:$J$3002,MATCH($C739,DESPACHOS!$B$3:$B$3002,0)),""))</f>
        <v/>
      </c>
      <c r="K739" s="39">
        <f>IF($C739="","",IF(COUNTIFS(DESPACHOS!$B$3:$B$3002,$C739)=0,"NO EXISTE",IF(COUNTIFS(DESPACHOS!$B$3:$B$3002,$C739)&gt;1,"DUPLICADO","OK")))</f>
        <v/>
      </c>
      <c r="L739" s="41" t="n"/>
      <c r="M739" s="41" t="n"/>
      <c r="N739" s="42">
        <f>IF($M739="","",IFERROR(INDEX(LISTAS!$F$3:$F$42,MATCH($M739,LISTAS!$E$3:$E$42,0)),"Por definir"))</f>
        <v/>
      </c>
      <c r="O739" s="41" t="n"/>
      <c r="P739" s="39">
        <f>IF($L739="","",IFERROR(INDEX(LISTAS!$B$3:$B$42,MATCH($L739,LISTAS!$A$3:$A$42,0)),"Media"))</f>
        <v/>
      </c>
      <c r="Q739" s="44" t="n"/>
      <c r="R739" s="45" t="n"/>
      <c r="S739" s="20">
        <f>IFERROR(IF(OR($R739="",$C739=""),"",$R739/INDEX(DESPACHOS!$M$3:$M$3002,MATCH($C739,DESPACHOS!$B$3:$B$3002,0))),"")</f>
        <v/>
      </c>
      <c r="T739" s="41" t="n"/>
      <c r="U739" s="43">
        <f>IF(OR($B739="",$L739=""),"",WORKDAY($B739,IFERROR(INDEX(LISTAS!$C$3:$C$42,MATCH($L739,LISTAS!$A$3:$A$42,0)),3)))</f>
        <v/>
      </c>
      <c r="V739" s="40" t="n"/>
      <c r="W739" s="19">
        <f>IF($B739="","",IF($V739&lt;&gt;"",$V739-$B739,TODAY()-$B739))</f>
        <v/>
      </c>
      <c r="X739" s="19">
        <f>IF(OR($B739="",$U739=""),"",IF($V739&lt;&gt;"",MAX(0,$V739-$U739),MAX(0,TODAY()-$U739)))</f>
        <v/>
      </c>
      <c r="Y739" s="39">
        <f>IF($C739="","",IF(IFERROR(INDEX(LISTAS!$I$3:$I$42,MATCH($T739,LISTAS!$H$3:$H$42,0)),"NO")="SÍ",IF(N($X739)&gt;0,"CERRADA FUERA DE SLA","CERRADA EN SLA"),IF($U739="","SIN CLASIFICAR",IF(N($X739)&gt;0,"VENCIDA",IF(TODAY()&gt;=$U739-1,"POR VENCER","EN PLAZO")))))</f>
        <v/>
      </c>
      <c r="Z739" s="41" t="n"/>
      <c r="AA739" s="41" t="n"/>
      <c r="AB739" s="41" t="n"/>
    </row>
    <row r="740">
      <c r="A740" s="39">
        <f>IF($C740="","","NOV-"&amp;TEXT(ROW()-3,"0000"))</f>
        <v/>
      </c>
      <c r="B740" s="40" t="n"/>
      <c r="C740" s="41" t="n"/>
      <c r="D740" s="42">
        <f>IF($C740="","",IFERROR(INDEX(DESPACHOS!$D$3:$D$3002,MATCH($C740,DESPACHOS!$B$3:$B$3002,0)),"SIN DESPACHO"))</f>
        <v/>
      </c>
      <c r="E740" s="42">
        <f>IF($C740="","",IFERROR(INDEX(DESPACHOS!$K$3:$K$3002,MATCH($C740,DESPACHOS!$B$3:$B$3002,0)),""))</f>
        <v/>
      </c>
      <c r="F740" s="42">
        <f>IF($C740="","",IFERROR(INDEX(DESPACHOS!$I$3:$I$3002,MATCH($C740,DESPACHOS!$B$3:$B$3002,0)),""))</f>
        <v/>
      </c>
      <c r="G740" s="42">
        <f>IF($C740="","",IFERROR(INDEX(DESPACHOS!$F$3:$F$3002,MATCH($C740,DESPACHOS!$B$3:$B$3002,0)),""))</f>
        <v/>
      </c>
      <c r="H740" s="42">
        <f>IF($C740="","",IFERROR(INDEX(DESPACHOS!$G$3:$G$3002,MATCH($C740,DESPACHOS!$B$3:$B$3002,0)),""))</f>
        <v/>
      </c>
      <c r="I740" s="39">
        <f>IF($C740="","",IFERROR(INDEX(DESPACHOS!$H$3:$H$3002,MATCH($C740,DESPACHOS!$B$3:$B$3002,0)),""))</f>
        <v/>
      </c>
      <c r="J740" s="43">
        <f>IF($C740="","",IFERROR(INDEX(DESPACHOS!$J$3:$J$3002,MATCH($C740,DESPACHOS!$B$3:$B$3002,0)),""))</f>
        <v/>
      </c>
      <c r="K740" s="39">
        <f>IF($C740="","",IF(COUNTIFS(DESPACHOS!$B$3:$B$3002,$C740)=0,"NO EXISTE",IF(COUNTIFS(DESPACHOS!$B$3:$B$3002,$C740)&gt;1,"DUPLICADO","OK")))</f>
        <v/>
      </c>
      <c r="L740" s="41" t="n"/>
      <c r="M740" s="41" t="n"/>
      <c r="N740" s="42">
        <f>IF($M740="","",IFERROR(INDEX(LISTAS!$F$3:$F$42,MATCH($M740,LISTAS!$E$3:$E$42,0)),"Por definir"))</f>
        <v/>
      </c>
      <c r="O740" s="41" t="n"/>
      <c r="P740" s="39">
        <f>IF($L740="","",IFERROR(INDEX(LISTAS!$B$3:$B$42,MATCH($L740,LISTAS!$A$3:$A$42,0)),"Media"))</f>
        <v/>
      </c>
      <c r="Q740" s="44" t="n"/>
      <c r="R740" s="45" t="n"/>
      <c r="S740" s="20">
        <f>IFERROR(IF(OR($R740="",$C740=""),"",$R740/INDEX(DESPACHOS!$M$3:$M$3002,MATCH($C740,DESPACHOS!$B$3:$B$3002,0))),"")</f>
        <v/>
      </c>
      <c r="T740" s="41" t="n"/>
      <c r="U740" s="43">
        <f>IF(OR($B740="",$L740=""),"",WORKDAY($B740,IFERROR(INDEX(LISTAS!$C$3:$C$42,MATCH($L740,LISTAS!$A$3:$A$42,0)),3)))</f>
        <v/>
      </c>
      <c r="V740" s="40" t="n"/>
      <c r="W740" s="19">
        <f>IF($B740="","",IF($V740&lt;&gt;"",$V740-$B740,TODAY()-$B740))</f>
        <v/>
      </c>
      <c r="X740" s="19">
        <f>IF(OR($B740="",$U740=""),"",IF($V740&lt;&gt;"",MAX(0,$V740-$U740),MAX(0,TODAY()-$U740)))</f>
        <v/>
      </c>
      <c r="Y740" s="39">
        <f>IF($C740="","",IF(IFERROR(INDEX(LISTAS!$I$3:$I$42,MATCH($T740,LISTAS!$H$3:$H$42,0)),"NO")="SÍ",IF(N($X740)&gt;0,"CERRADA FUERA DE SLA","CERRADA EN SLA"),IF($U740="","SIN CLASIFICAR",IF(N($X740)&gt;0,"VENCIDA",IF(TODAY()&gt;=$U740-1,"POR VENCER","EN PLAZO")))))</f>
        <v/>
      </c>
      <c r="Z740" s="41" t="n"/>
      <c r="AA740" s="41" t="n"/>
      <c r="AB740" s="41" t="n"/>
    </row>
    <row r="741">
      <c r="A741" s="39">
        <f>IF($C741="","","NOV-"&amp;TEXT(ROW()-3,"0000"))</f>
        <v/>
      </c>
      <c r="B741" s="40" t="n"/>
      <c r="C741" s="41" t="n"/>
      <c r="D741" s="42">
        <f>IF($C741="","",IFERROR(INDEX(DESPACHOS!$D$3:$D$3002,MATCH($C741,DESPACHOS!$B$3:$B$3002,0)),"SIN DESPACHO"))</f>
        <v/>
      </c>
      <c r="E741" s="42">
        <f>IF($C741="","",IFERROR(INDEX(DESPACHOS!$K$3:$K$3002,MATCH($C741,DESPACHOS!$B$3:$B$3002,0)),""))</f>
        <v/>
      </c>
      <c r="F741" s="42">
        <f>IF($C741="","",IFERROR(INDEX(DESPACHOS!$I$3:$I$3002,MATCH($C741,DESPACHOS!$B$3:$B$3002,0)),""))</f>
        <v/>
      </c>
      <c r="G741" s="42">
        <f>IF($C741="","",IFERROR(INDEX(DESPACHOS!$F$3:$F$3002,MATCH($C741,DESPACHOS!$B$3:$B$3002,0)),""))</f>
        <v/>
      </c>
      <c r="H741" s="42">
        <f>IF($C741="","",IFERROR(INDEX(DESPACHOS!$G$3:$G$3002,MATCH($C741,DESPACHOS!$B$3:$B$3002,0)),""))</f>
        <v/>
      </c>
      <c r="I741" s="39">
        <f>IF($C741="","",IFERROR(INDEX(DESPACHOS!$H$3:$H$3002,MATCH($C741,DESPACHOS!$B$3:$B$3002,0)),""))</f>
        <v/>
      </c>
      <c r="J741" s="43">
        <f>IF($C741="","",IFERROR(INDEX(DESPACHOS!$J$3:$J$3002,MATCH($C741,DESPACHOS!$B$3:$B$3002,0)),""))</f>
        <v/>
      </c>
      <c r="K741" s="39">
        <f>IF($C741="","",IF(COUNTIFS(DESPACHOS!$B$3:$B$3002,$C741)=0,"NO EXISTE",IF(COUNTIFS(DESPACHOS!$B$3:$B$3002,$C741)&gt;1,"DUPLICADO","OK")))</f>
        <v/>
      </c>
      <c r="L741" s="41" t="n"/>
      <c r="M741" s="41" t="n"/>
      <c r="N741" s="42">
        <f>IF($M741="","",IFERROR(INDEX(LISTAS!$F$3:$F$42,MATCH($M741,LISTAS!$E$3:$E$42,0)),"Por definir"))</f>
        <v/>
      </c>
      <c r="O741" s="41" t="n"/>
      <c r="P741" s="39">
        <f>IF($L741="","",IFERROR(INDEX(LISTAS!$B$3:$B$42,MATCH($L741,LISTAS!$A$3:$A$42,0)),"Media"))</f>
        <v/>
      </c>
      <c r="Q741" s="44" t="n"/>
      <c r="R741" s="45" t="n"/>
      <c r="S741" s="20">
        <f>IFERROR(IF(OR($R741="",$C741=""),"",$R741/INDEX(DESPACHOS!$M$3:$M$3002,MATCH($C741,DESPACHOS!$B$3:$B$3002,0))),"")</f>
        <v/>
      </c>
      <c r="T741" s="41" t="n"/>
      <c r="U741" s="43">
        <f>IF(OR($B741="",$L741=""),"",WORKDAY($B741,IFERROR(INDEX(LISTAS!$C$3:$C$42,MATCH($L741,LISTAS!$A$3:$A$42,0)),3)))</f>
        <v/>
      </c>
      <c r="V741" s="40" t="n"/>
      <c r="W741" s="19">
        <f>IF($B741="","",IF($V741&lt;&gt;"",$V741-$B741,TODAY()-$B741))</f>
        <v/>
      </c>
      <c r="X741" s="19">
        <f>IF(OR($B741="",$U741=""),"",IF($V741&lt;&gt;"",MAX(0,$V741-$U741),MAX(0,TODAY()-$U741)))</f>
        <v/>
      </c>
      <c r="Y741" s="39">
        <f>IF($C741="","",IF(IFERROR(INDEX(LISTAS!$I$3:$I$42,MATCH($T741,LISTAS!$H$3:$H$42,0)),"NO")="SÍ",IF(N($X741)&gt;0,"CERRADA FUERA DE SLA","CERRADA EN SLA"),IF($U741="","SIN CLASIFICAR",IF(N($X741)&gt;0,"VENCIDA",IF(TODAY()&gt;=$U741-1,"POR VENCER","EN PLAZO")))))</f>
        <v/>
      </c>
      <c r="Z741" s="41" t="n"/>
      <c r="AA741" s="41" t="n"/>
      <c r="AB741" s="41" t="n"/>
    </row>
    <row r="742">
      <c r="A742" s="39">
        <f>IF($C742="","","NOV-"&amp;TEXT(ROW()-3,"0000"))</f>
        <v/>
      </c>
      <c r="B742" s="40" t="n"/>
      <c r="C742" s="41" t="n"/>
      <c r="D742" s="42">
        <f>IF($C742="","",IFERROR(INDEX(DESPACHOS!$D$3:$D$3002,MATCH($C742,DESPACHOS!$B$3:$B$3002,0)),"SIN DESPACHO"))</f>
        <v/>
      </c>
      <c r="E742" s="42">
        <f>IF($C742="","",IFERROR(INDEX(DESPACHOS!$K$3:$K$3002,MATCH($C742,DESPACHOS!$B$3:$B$3002,0)),""))</f>
        <v/>
      </c>
      <c r="F742" s="42">
        <f>IF($C742="","",IFERROR(INDEX(DESPACHOS!$I$3:$I$3002,MATCH($C742,DESPACHOS!$B$3:$B$3002,0)),""))</f>
        <v/>
      </c>
      <c r="G742" s="42">
        <f>IF($C742="","",IFERROR(INDEX(DESPACHOS!$F$3:$F$3002,MATCH($C742,DESPACHOS!$B$3:$B$3002,0)),""))</f>
        <v/>
      </c>
      <c r="H742" s="42">
        <f>IF($C742="","",IFERROR(INDEX(DESPACHOS!$G$3:$G$3002,MATCH($C742,DESPACHOS!$B$3:$B$3002,0)),""))</f>
        <v/>
      </c>
      <c r="I742" s="39">
        <f>IF($C742="","",IFERROR(INDEX(DESPACHOS!$H$3:$H$3002,MATCH($C742,DESPACHOS!$B$3:$B$3002,0)),""))</f>
        <v/>
      </c>
      <c r="J742" s="43">
        <f>IF($C742="","",IFERROR(INDEX(DESPACHOS!$J$3:$J$3002,MATCH($C742,DESPACHOS!$B$3:$B$3002,0)),""))</f>
        <v/>
      </c>
      <c r="K742" s="39">
        <f>IF($C742="","",IF(COUNTIFS(DESPACHOS!$B$3:$B$3002,$C742)=0,"NO EXISTE",IF(COUNTIFS(DESPACHOS!$B$3:$B$3002,$C742)&gt;1,"DUPLICADO","OK")))</f>
        <v/>
      </c>
      <c r="L742" s="41" t="n"/>
      <c r="M742" s="41" t="n"/>
      <c r="N742" s="42">
        <f>IF($M742="","",IFERROR(INDEX(LISTAS!$F$3:$F$42,MATCH($M742,LISTAS!$E$3:$E$42,0)),"Por definir"))</f>
        <v/>
      </c>
      <c r="O742" s="41" t="n"/>
      <c r="P742" s="39">
        <f>IF($L742="","",IFERROR(INDEX(LISTAS!$B$3:$B$42,MATCH($L742,LISTAS!$A$3:$A$42,0)),"Media"))</f>
        <v/>
      </c>
      <c r="Q742" s="44" t="n"/>
      <c r="R742" s="45" t="n"/>
      <c r="S742" s="20">
        <f>IFERROR(IF(OR($R742="",$C742=""),"",$R742/INDEX(DESPACHOS!$M$3:$M$3002,MATCH($C742,DESPACHOS!$B$3:$B$3002,0))),"")</f>
        <v/>
      </c>
      <c r="T742" s="41" t="n"/>
      <c r="U742" s="43">
        <f>IF(OR($B742="",$L742=""),"",WORKDAY($B742,IFERROR(INDEX(LISTAS!$C$3:$C$42,MATCH($L742,LISTAS!$A$3:$A$42,0)),3)))</f>
        <v/>
      </c>
      <c r="V742" s="40" t="n"/>
      <c r="W742" s="19">
        <f>IF($B742="","",IF($V742&lt;&gt;"",$V742-$B742,TODAY()-$B742))</f>
        <v/>
      </c>
      <c r="X742" s="19">
        <f>IF(OR($B742="",$U742=""),"",IF($V742&lt;&gt;"",MAX(0,$V742-$U742),MAX(0,TODAY()-$U742)))</f>
        <v/>
      </c>
      <c r="Y742" s="39">
        <f>IF($C742="","",IF(IFERROR(INDEX(LISTAS!$I$3:$I$42,MATCH($T742,LISTAS!$H$3:$H$42,0)),"NO")="SÍ",IF(N($X742)&gt;0,"CERRADA FUERA DE SLA","CERRADA EN SLA"),IF($U742="","SIN CLASIFICAR",IF(N($X742)&gt;0,"VENCIDA",IF(TODAY()&gt;=$U742-1,"POR VENCER","EN PLAZO")))))</f>
        <v/>
      </c>
      <c r="Z742" s="41" t="n"/>
      <c r="AA742" s="41" t="n"/>
      <c r="AB742" s="41" t="n"/>
    </row>
    <row r="743">
      <c r="A743" s="39">
        <f>IF($C743="","","NOV-"&amp;TEXT(ROW()-3,"0000"))</f>
        <v/>
      </c>
      <c r="B743" s="40" t="n"/>
      <c r="C743" s="41" t="n"/>
      <c r="D743" s="42">
        <f>IF($C743="","",IFERROR(INDEX(DESPACHOS!$D$3:$D$3002,MATCH($C743,DESPACHOS!$B$3:$B$3002,0)),"SIN DESPACHO"))</f>
        <v/>
      </c>
      <c r="E743" s="42">
        <f>IF($C743="","",IFERROR(INDEX(DESPACHOS!$K$3:$K$3002,MATCH($C743,DESPACHOS!$B$3:$B$3002,0)),""))</f>
        <v/>
      </c>
      <c r="F743" s="42">
        <f>IF($C743="","",IFERROR(INDEX(DESPACHOS!$I$3:$I$3002,MATCH($C743,DESPACHOS!$B$3:$B$3002,0)),""))</f>
        <v/>
      </c>
      <c r="G743" s="42">
        <f>IF($C743="","",IFERROR(INDEX(DESPACHOS!$F$3:$F$3002,MATCH($C743,DESPACHOS!$B$3:$B$3002,0)),""))</f>
        <v/>
      </c>
      <c r="H743" s="42">
        <f>IF($C743="","",IFERROR(INDEX(DESPACHOS!$G$3:$G$3002,MATCH($C743,DESPACHOS!$B$3:$B$3002,0)),""))</f>
        <v/>
      </c>
      <c r="I743" s="39">
        <f>IF($C743="","",IFERROR(INDEX(DESPACHOS!$H$3:$H$3002,MATCH($C743,DESPACHOS!$B$3:$B$3002,0)),""))</f>
        <v/>
      </c>
      <c r="J743" s="43">
        <f>IF($C743="","",IFERROR(INDEX(DESPACHOS!$J$3:$J$3002,MATCH($C743,DESPACHOS!$B$3:$B$3002,0)),""))</f>
        <v/>
      </c>
      <c r="K743" s="39">
        <f>IF($C743="","",IF(COUNTIFS(DESPACHOS!$B$3:$B$3002,$C743)=0,"NO EXISTE",IF(COUNTIFS(DESPACHOS!$B$3:$B$3002,$C743)&gt;1,"DUPLICADO","OK")))</f>
        <v/>
      </c>
      <c r="L743" s="41" t="n"/>
      <c r="M743" s="41" t="n"/>
      <c r="N743" s="42">
        <f>IF($M743="","",IFERROR(INDEX(LISTAS!$F$3:$F$42,MATCH($M743,LISTAS!$E$3:$E$42,0)),"Por definir"))</f>
        <v/>
      </c>
      <c r="O743" s="41" t="n"/>
      <c r="P743" s="39">
        <f>IF($L743="","",IFERROR(INDEX(LISTAS!$B$3:$B$42,MATCH($L743,LISTAS!$A$3:$A$42,0)),"Media"))</f>
        <v/>
      </c>
      <c r="Q743" s="44" t="n"/>
      <c r="R743" s="45" t="n"/>
      <c r="S743" s="20">
        <f>IFERROR(IF(OR($R743="",$C743=""),"",$R743/INDEX(DESPACHOS!$M$3:$M$3002,MATCH($C743,DESPACHOS!$B$3:$B$3002,0))),"")</f>
        <v/>
      </c>
      <c r="T743" s="41" t="n"/>
      <c r="U743" s="43">
        <f>IF(OR($B743="",$L743=""),"",WORKDAY($B743,IFERROR(INDEX(LISTAS!$C$3:$C$42,MATCH($L743,LISTAS!$A$3:$A$42,0)),3)))</f>
        <v/>
      </c>
      <c r="V743" s="40" t="n"/>
      <c r="W743" s="19">
        <f>IF($B743="","",IF($V743&lt;&gt;"",$V743-$B743,TODAY()-$B743))</f>
        <v/>
      </c>
      <c r="X743" s="19">
        <f>IF(OR($B743="",$U743=""),"",IF($V743&lt;&gt;"",MAX(0,$V743-$U743),MAX(0,TODAY()-$U743)))</f>
        <v/>
      </c>
      <c r="Y743" s="39">
        <f>IF($C743="","",IF(IFERROR(INDEX(LISTAS!$I$3:$I$42,MATCH($T743,LISTAS!$H$3:$H$42,0)),"NO")="SÍ",IF(N($X743)&gt;0,"CERRADA FUERA DE SLA","CERRADA EN SLA"),IF($U743="","SIN CLASIFICAR",IF(N($X743)&gt;0,"VENCIDA",IF(TODAY()&gt;=$U743-1,"POR VENCER","EN PLAZO")))))</f>
        <v/>
      </c>
      <c r="Z743" s="41" t="n"/>
      <c r="AA743" s="41" t="n"/>
      <c r="AB743" s="41" t="n"/>
    </row>
    <row r="744">
      <c r="A744" s="39">
        <f>IF($C744="","","NOV-"&amp;TEXT(ROW()-3,"0000"))</f>
        <v/>
      </c>
      <c r="B744" s="40" t="n"/>
      <c r="C744" s="41" t="n"/>
      <c r="D744" s="42">
        <f>IF($C744="","",IFERROR(INDEX(DESPACHOS!$D$3:$D$3002,MATCH($C744,DESPACHOS!$B$3:$B$3002,0)),"SIN DESPACHO"))</f>
        <v/>
      </c>
      <c r="E744" s="42">
        <f>IF($C744="","",IFERROR(INDEX(DESPACHOS!$K$3:$K$3002,MATCH($C744,DESPACHOS!$B$3:$B$3002,0)),""))</f>
        <v/>
      </c>
      <c r="F744" s="42">
        <f>IF($C744="","",IFERROR(INDEX(DESPACHOS!$I$3:$I$3002,MATCH($C744,DESPACHOS!$B$3:$B$3002,0)),""))</f>
        <v/>
      </c>
      <c r="G744" s="42">
        <f>IF($C744="","",IFERROR(INDEX(DESPACHOS!$F$3:$F$3002,MATCH($C744,DESPACHOS!$B$3:$B$3002,0)),""))</f>
        <v/>
      </c>
      <c r="H744" s="42">
        <f>IF($C744="","",IFERROR(INDEX(DESPACHOS!$G$3:$G$3002,MATCH($C744,DESPACHOS!$B$3:$B$3002,0)),""))</f>
        <v/>
      </c>
      <c r="I744" s="39">
        <f>IF($C744="","",IFERROR(INDEX(DESPACHOS!$H$3:$H$3002,MATCH($C744,DESPACHOS!$B$3:$B$3002,0)),""))</f>
        <v/>
      </c>
      <c r="J744" s="43">
        <f>IF($C744="","",IFERROR(INDEX(DESPACHOS!$J$3:$J$3002,MATCH($C744,DESPACHOS!$B$3:$B$3002,0)),""))</f>
        <v/>
      </c>
      <c r="K744" s="39">
        <f>IF($C744="","",IF(COUNTIFS(DESPACHOS!$B$3:$B$3002,$C744)=0,"NO EXISTE",IF(COUNTIFS(DESPACHOS!$B$3:$B$3002,$C744)&gt;1,"DUPLICADO","OK")))</f>
        <v/>
      </c>
      <c r="L744" s="41" t="n"/>
      <c r="M744" s="41" t="n"/>
      <c r="N744" s="42">
        <f>IF($M744="","",IFERROR(INDEX(LISTAS!$F$3:$F$42,MATCH($M744,LISTAS!$E$3:$E$42,0)),"Por definir"))</f>
        <v/>
      </c>
      <c r="O744" s="41" t="n"/>
      <c r="P744" s="39">
        <f>IF($L744="","",IFERROR(INDEX(LISTAS!$B$3:$B$42,MATCH($L744,LISTAS!$A$3:$A$42,0)),"Media"))</f>
        <v/>
      </c>
      <c r="Q744" s="44" t="n"/>
      <c r="R744" s="45" t="n"/>
      <c r="S744" s="20">
        <f>IFERROR(IF(OR($R744="",$C744=""),"",$R744/INDEX(DESPACHOS!$M$3:$M$3002,MATCH($C744,DESPACHOS!$B$3:$B$3002,0))),"")</f>
        <v/>
      </c>
      <c r="T744" s="41" t="n"/>
      <c r="U744" s="43">
        <f>IF(OR($B744="",$L744=""),"",WORKDAY($B744,IFERROR(INDEX(LISTAS!$C$3:$C$42,MATCH($L744,LISTAS!$A$3:$A$42,0)),3)))</f>
        <v/>
      </c>
      <c r="V744" s="40" t="n"/>
      <c r="W744" s="19">
        <f>IF($B744="","",IF($V744&lt;&gt;"",$V744-$B744,TODAY()-$B744))</f>
        <v/>
      </c>
      <c r="X744" s="19">
        <f>IF(OR($B744="",$U744=""),"",IF($V744&lt;&gt;"",MAX(0,$V744-$U744),MAX(0,TODAY()-$U744)))</f>
        <v/>
      </c>
      <c r="Y744" s="39">
        <f>IF($C744="","",IF(IFERROR(INDEX(LISTAS!$I$3:$I$42,MATCH($T744,LISTAS!$H$3:$H$42,0)),"NO")="SÍ",IF(N($X744)&gt;0,"CERRADA FUERA DE SLA","CERRADA EN SLA"),IF($U744="","SIN CLASIFICAR",IF(N($X744)&gt;0,"VENCIDA",IF(TODAY()&gt;=$U744-1,"POR VENCER","EN PLAZO")))))</f>
        <v/>
      </c>
      <c r="Z744" s="41" t="n"/>
      <c r="AA744" s="41" t="n"/>
      <c r="AB744" s="41" t="n"/>
    </row>
    <row r="745">
      <c r="A745" s="39">
        <f>IF($C745="","","NOV-"&amp;TEXT(ROW()-3,"0000"))</f>
        <v/>
      </c>
      <c r="B745" s="40" t="n"/>
      <c r="C745" s="41" t="n"/>
      <c r="D745" s="42">
        <f>IF($C745="","",IFERROR(INDEX(DESPACHOS!$D$3:$D$3002,MATCH($C745,DESPACHOS!$B$3:$B$3002,0)),"SIN DESPACHO"))</f>
        <v/>
      </c>
      <c r="E745" s="42">
        <f>IF($C745="","",IFERROR(INDEX(DESPACHOS!$K$3:$K$3002,MATCH($C745,DESPACHOS!$B$3:$B$3002,0)),""))</f>
        <v/>
      </c>
      <c r="F745" s="42">
        <f>IF($C745="","",IFERROR(INDEX(DESPACHOS!$I$3:$I$3002,MATCH($C745,DESPACHOS!$B$3:$B$3002,0)),""))</f>
        <v/>
      </c>
      <c r="G745" s="42">
        <f>IF($C745="","",IFERROR(INDEX(DESPACHOS!$F$3:$F$3002,MATCH($C745,DESPACHOS!$B$3:$B$3002,0)),""))</f>
        <v/>
      </c>
      <c r="H745" s="42">
        <f>IF($C745="","",IFERROR(INDEX(DESPACHOS!$G$3:$G$3002,MATCH($C745,DESPACHOS!$B$3:$B$3002,0)),""))</f>
        <v/>
      </c>
      <c r="I745" s="39">
        <f>IF($C745="","",IFERROR(INDEX(DESPACHOS!$H$3:$H$3002,MATCH($C745,DESPACHOS!$B$3:$B$3002,0)),""))</f>
        <v/>
      </c>
      <c r="J745" s="43">
        <f>IF($C745="","",IFERROR(INDEX(DESPACHOS!$J$3:$J$3002,MATCH($C745,DESPACHOS!$B$3:$B$3002,0)),""))</f>
        <v/>
      </c>
      <c r="K745" s="39">
        <f>IF($C745="","",IF(COUNTIFS(DESPACHOS!$B$3:$B$3002,$C745)=0,"NO EXISTE",IF(COUNTIFS(DESPACHOS!$B$3:$B$3002,$C745)&gt;1,"DUPLICADO","OK")))</f>
        <v/>
      </c>
      <c r="L745" s="41" t="n"/>
      <c r="M745" s="41" t="n"/>
      <c r="N745" s="42">
        <f>IF($M745="","",IFERROR(INDEX(LISTAS!$F$3:$F$42,MATCH($M745,LISTAS!$E$3:$E$42,0)),"Por definir"))</f>
        <v/>
      </c>
      <c r="O745" s="41" t="n"/>
      <c r="P745" s="39">
        <f>IF($L745="","",IFERROR(INDEX(LISTAS!$B$3:$B$42,MATCH($L745,LISTAS!$A$3:$A$42,0)),"Media"))</f>
        <v/>
      </c>
      <c r="Q745" s="44" t="n"/>
      <c r="R745" s="45" t="n"/>
      <c r="S745" s="20">
        <f>IFERROR(IF(OR($R745="",$C745=""),"",$R745/INDEX(DESPACHOS!$M$3:$M$3002,MATCH($C745,DESPACHOS!$B$3:$B$3002,0))),"")</f>
        <v/>
      </c>
      <c r="T745" s="41" t="n"/>
      <c r="U745" s="43">
        <f>IF(OR($B745="",$L745=""),"",WORKDAY($B745,IFERROR(INDEX(LISTAS!$C$3:$C$42,MATCH($L745,LISTAS!$A$3:$A$42,0)),3)))</f>
        <v/>
      </c>
      <c r="V745" s="40" t="n"/>
      <c r="W745" s="19">
        <f>IF($B745="","",IF($V745&lt;&gt;"",$V745-$B745,TODAY()-$B745))</f>
        <v/>
      </c>
      <c r="X745" s="19">
        <f>IF(OR($B745="",$U745=""),"",IF($V745&lt;&gt;"",MAX(0,$V745-$U745),MAX(0,TODAY()-$U745)))</f>
        <v/>
      </c>
      <c r="Y745" s="39">
        <f>IF($C745="","",IF(IFERROR(INDEX(LISTAS!$I$3:$I$42,MATCH($T745,LISTAS!$H$3:$H$42,0)),"NO")="SÍ",IF(N($X745)&gt;0,"CERRADA FUERA DE SLA","CERRADA EN SLA"),IF($U745="","SIN CLASIFICAR",IF(N($X745)&gt;0,"VENCIDA",IF(TODAY()&gt;=$U745-1,"POR VENCER","EN PLAZO")))))</f>
        <v/>
      </c>
      <c r="Z745" s="41" t="n"/>
      <c r="AA745" s="41" t="n"/>
      <c r="AB745" s="41" t="n"/>
    </row>
    <row r="746">
      <c r="A746" s="39">
        <f>IF($C746="","","NOV-"&amp;TEXT(ROW()-3,"0000"))</f>
        <v/>
      </c>
      <c r="B746" s="40" t="n"/>
      <c r="C746" s="41" t="n"/>
      <c r="D746" s="42">
        <f>IF($C746="","",IFERROR(INDEX(DESPACHOS!$D$3:$D$3002,MATCH($C746,DESPACHOS!$B$3:$B$3002,0)),"SIN DESPACHO"))</f>
        <v/>
      </c>
      <c r="E746" s="42">
        <f>IF($C746="","",IFERROR(INDEX(DESPACHOS!$K$3:$K$3002,MATCH($C746,DESPACHOS!$B$3:$B$3002,0)),""))</f>
        <v/>
      </c>
      <c r="F746" s="42">
        <f>IF($C746="","",IFERROR(INDEX(DESPACHOS!$I$3:$I$3002,MATCH($C746,DESPACHOS!$B$3:$B$3002,0)),""))</f>
        <v/>
      </c>
      <c r="G746" s="42">
        <f>IF($C746="","",IFERROR(INDEX(DESPACHOS!$F$3:$F$3002,MATCH($C746,DESPACHOS!$B$3:$B$3002,0)),""))</f>
        <v/>
      </c>
      <c r="H746" s="42">
        <f>IF($C746="","",IFERROR(INDEX(DESPACHOS!$G$3:$G$3002,MATCH($C746,DESPACHOS!$B$3:$B$3002,0)),""))</f>
        <v/>
      </c>
      <c r="I746" s="39">
        <f>IF($C746="","",IFERROR(INDEX(DESPACHOS!$H$3:$H$3002,MATCH($C746,DESPACHOS!$B$3:$B$3002,0)),""))</f>
        <v/>
      </c>
      <c r="J746" s="43">
        <f>IF($C746="","",IFERROR(INDEX(DESPACHOS!$J$3:$J$3002,MATCH($C746,DESPACHOS!$B$3:$B$3002,0)),""))</f>
        <v/>
      </c>
      <c r="K746" s="39">
        <f>IF($C746="","",IF(COUNTIFS(DESPACHOS!$B$3:$B$3002,$C746)=0,"NO EXISTE",IF(COUNTIFS(DESPACHOS!$B$3:$B$3002,$C746)&gt;1,"DUPLICADO","OK")))</f>
        <v/>
      </c>
      <c r="L746" s="41" t="n"/>
      <c r="M746" s="41" t="n"/>
      <c r="N746" s="42">
        <f>IF($M746="","",IFERROR(INDEX(LISTAS!$F$3:$F$42,MATCH($M746,LISTAS!$E$3:$E$42,0)),"Por definir"))</f>
        <v/>
      </c>
      <c r="O746" s="41" t="n"/>
      <c r="P746" s="39">
        <f>IF($L746="","",IFERROR(INDEX(LISTAS!$B$3:$B$42,MATCH($L746,LISTAS!$A$3:$A$42,0)),"Media"))</f>
        <v/>
      </c>
      <c r="Q746" s="44" t="n"/>
      <c r="R746" s="45" t="n"/>
      <c r="S746" s="20">
        <f>IFERROR(IF(OR($R746="",$C746=""),"",$R746/INDEX(DESPACHOS!$M$3:$M$3002,MATCH($C746,DESPACHOS!$B$3:$B$3002,0))),"")</f>
        <v/>
      </c>
      <c r="T746" s="41" t="n"/>
      <c r="U746" s="43">
        <f>IF(OR($B746="",$L746=""),"",WORKDAY($B746,IFERROR(INDEX(LISTAS!$C$3:$C$42,MATCH($L746,LISTAS!$A$3:$A$42,0)),3)))</f>
        <v/>
      </c>
      <c r="V746" s="40" t="n"/>
      <c r="W746" s="19">
        <f>IF($B746="","",IF($V746&lt;&gt;"",$V746-$B746,TODAY()-$B746))</f>
        <v/>
      </c>
      <c r="X746" s="19">
        <f>IF(OR($B746="",$U746=""),"",IF($V746&lt;&gt;"",MAX(0,$V746-$U746),MAX(0,TODAY()-$U746)))</f>
        <v/>
      </c>
      <c r="Y746" s="39">
        <f>IF($C746="","",IF(IFERROR(INDEX(LISTAS!$I$3:$I$42,MATCH($T746,LISTAS!$H$3:$H$42,0)),"NO")="SÍ",IF(N($X746)&gt;0,"CERRADA FUERA DE SLA","CERRADA EN SLA"),IF($U746="","SIN CLASIFICAR",IF(N($X746)&gt;0,"VENCIDA",IF(TODAY()&gt;=$U746-1,"POR VENCER","EN PLAZO")))))</f>
        <v/>
      </c>
      <c r="Z746" s="41" t="n"/>
      <c r="AA746" s="41" t="n"/>
      <c r="AB746" s="41" t="n"/>
    </row>
    <row r="747">
      <c r="A747" s="39">
        <f>IF($C747="","","NOV-"&amp;TEXT(ROW()-3,"0000"))</f>
        <v/>
      </c>
      <c r="B747" s="40" t="n"/>
      <c r="C747" s="41" t="n"/>
      <c r="D747" s="42">
        <f>IF($C747="","",IFERROR(INDEX(DESPACHOS!$D$3:$D$3002,MATCH($C747,DESPACHOS!$B$3:$B$3002,0)),"SIN DESPACHO"))</f>
        <v/>
      </c>
      <c r="E747" s="42">
        <f>IF($C747="","",IFERROR(INDEX(DESPACHOS!$K$3:$K$3002,MATCH($C747,DESPACHOS!$B$3:$B$3002,0)),""))</f>
        <v/>
      </c>
      <c r="F747" s="42">
        <f>IF($C747="","",IFERROR(INDEX(DESPACHOS!$I$3:$I$3002,MATCH($C747,DESPACHOS!$B$3:$B$3002,0)),""))</f>
        <v/>
      </c>
      <c r="G747" s="42">
        <f>IF($C747="","",IFERROR(INDEX(DESPACHOS!$F$3:$F$3002,MATCH($C747,DESPACHOS!$B$3:$B$3002,0)),""))</f>
        <v/>
      </c>
      <c r="H747" s="42">
        <f>IF($C747="","",IFERROR(INDEX(DESPACHOS!$G$3:$G$3002,MATCH($C747,DESPACHOS!$B$3:$B$3002,0)),""))</f>
        <v/>
      </c>
      <c r="I747" s="39">
        <f>IF($C747="","",IFERROR(INDEX(DESPACHOS!$H$3:$H$3002,MATCH($C747,DESPACHOS!$B$3:$B$3002,0)),""))</f>
        <v/>
      </c>
      <c r="J747" s="43">
        <f>IF($C747="","",IFERROR(INDEX(DESPACHOS!$J$3:$J$3002,MATCH($C747,DESPACHOS!$B$3:$B$3002,0)),""))</f>
        <v/>
      </c>
      <c r="K747" s="39">
        <f>IF($C747="","",IF(COUNTIFS(DESPACHOS!$B$3:$B$3002,$C747)=0,"NO EXISTE",IF(COUNTIFS(DESPACHOS!$B$3:$B$3002,$C747)&gt;1,"DUPLICADO","OK")))</f>
        <v/>
      </c>
      <c r="L747" s="41" t="n"/>
      <c r="M747" s="41" t="n"/>
      <c r="N747" s="42">
        <f>IF($M747="","",IFERROR(INDEX(LISTAS!$F$3:$F$42,MATCH($M747,LISTAS!$E$3:$E$42,0)),"Por definir"))</f>
        <v/>
      </c>
      <c r="O747" s="41" t="n"/>
      <c r="P747" s="39">
        <f>IF($L747="","",IFERROR(INDEX(LISTAS!$B$3:$B$42,MATCH($L747,LISTAS!$A$3:$A$42,0)),"Media"))</f>
        <v/>
      </c>
      <c r="Q747" s="44" t="n"/>
      <c r="R747" s="45" t="n"/>
      <c r="S747" s="20">
        <f>IFERROR(IF(OR($R747="",$C747=""),"",$R747/INDEX(DESPACHOS!$M$3:$M$3002,MATCH($C747,DESPACHOS!$B$3:$B$3002,0))),"")</f>
        <v/>
      </c>
      <c r="T747" s="41" t="n"/>
      <c r="U747" s="43">
        <f>IF(OR($B747="",$L747=""),"",WORKDAY($B747,IFERROR(INDEX(LISTAS!$C$3:$C$42,MATCH($L747,LISTAS!$A$3:$A$42,0)),3)))</f>
        <v/>
      </c>
      <c r="V747" s="40" t="n"/>
      <c r="W747" s="19">
        <f>IF($B747="","",IF($V747&lt;&gt;"",$V747-$B747,TODAY()-$B747))</f>
        <v/>
      </c>
      <c r="X747" s="19">
        <f>IF(OR($B747="",$U747=""),"",IF($V747&lt;&gt;"",MAX(0,$V747-$U747),MAX(0,TODAY()-$U747)))</f>
        <v/>
      </c>
      <c r="Y747" s="39">
        <f>IF($C747="","",IF(IFERROR(INDEX(LISTAS!$I$3:$I$42,MATCH($T747,LISTAS!$H$3:$H$42,0)),"NO")="SÍ",IF(N($X747)&gt;0,"CERRADA FUERA DE SLA","CERRADA EN SLA"),IF($U747="","SIN CLASIFICAR",IF(N($X747)&gt;0,"VENCIDA",IF(TODAY()&gt;=$U747-1,"POR VENCER","EN PLAZO")))))</f>
        <v/>
      </c>
      <c r="Z747" s="41" t="n"/>
      <c r="AA747" s="41" t="n"/>
      <c r="AB747" s="41" t="n"/>
    </row>
    <row r="748">
      <c r="A748" s="39">
        <f>IF($C748="","","NOV-"&amp;TEXT(ROW()-3,"0000"))</f>
        <v/>
      </c>
      <c r="B748" s="40" t="n"/>
      <c r="C748" s="41" t="n"/>
      <c r="D748" s="42">
        <f>IF($C748="","",IFERROR(INDEX(DESPACHOS!$D$3:$D$3002,MATCH($C748,DESPACHOS!$B$3:$B$3002,0)),"SIN DESPACHO"))</f>
        <v/>
      </c>
      <c r="E748" s="42">
        <f>IF($C748="","",IFERROR(INDEX(DESPACHOS!$K$3:$K$3002,MATCH($C748,DESPACHOS!$B$3:$B$3002,0)),""))</f>
        <v/>
      </c>
      <c r="F748" s="42">
        <f>IF($C748="","",IFERROR(INDEX(DESPACHOS!$I$3:$I$3002,MATCH($C748,DESPACHOS!$B$3:$B$3002,0)),""))</f>
        <v/>
      </c>
      <c r="G748" s="42">
        <f>IF($C748="","",IFERROR(INDEX(DESPACHOS!$F$3:$F$3002,MATCH($C748,DESPACHOS!$B$3:$B$3002,0)),""))</f>
        <v/>
      </c>
      <c r="H748" s="42">
        <f>IF($C748="","",IFERROR(INDEX(DESPACHOS!$G$3:$G$3002,MATCH($C748,DESPACHOS!$B$3:$B$3002,0)),""))</f>
        <v/>
      </c>
      <c r="I748" s="39">
        <f>IF($C748="","",IFERROR(INDEX(DESPACHOS!$H$3:$H$3002,MATCH($C748,DESPACHOS!$B$3:$B$3002,0)),""))</f>
        <v/>
      </c>
      <c r="J748" s="43">
        <f>IF($C748="","",IFERROR(INDEX(DESPACHOS!$J$3:$J$3002,MATCH($C748,DESPACHOS!$B$3:$B$3002,0)),""))</f>
        <v/>
      </c>
      <c r="K748" s="39">
        <f>IF($C748="","",IF(COUNTIFS(DESPACHOS!$B$3:$B$3002,$C748)=0,"NO EXISTE",IF(COUNTIFS(DESPACHOS!$B$3:$B$3002,$C748)&gt;1,"DUPLICADO","OK")))</f>
        <v/>
      </c>
      <c r="L748" s="41" t="n"/>
      <c r="M748" s="41" t="n"/>
      <c r="N748" s="42">
        <f>IF($M748="","",IFERROR(INDEX(LISTAS!$F$3:$F$42,MATCH($M748,LISTAS!$E$3:$E$42,0)),"Por definir"))</f>
        <v/>
      </c>
      <c r="O748" s="41" t="n"/>
      <c r="P748" s="39">
        <f>IF($L748="","",IFERROR(INDEX(LISTAS!$B$3:$B$42,MATCH($L748,LISTAS!$A$3:$A$42,0)),"Media"))</f>
        <v/>
      </c>
      <c r="Q748" s="44" t="n"/>
      <c r="R748" s="45" t="n"/>
      <c r="S748" s="20">
        <f>IFERROR(IF(OR($R748="",$C748=""),"",$R748/INDEX(DESPACHOS!$M$3:$M$3002,MATCH($C748,DESPACHOS!$B$3:$B$3002,0))),"")</f>
        <v/>
      </c>
      <c r="T748" s="41" t="n"/>
      <c r="U748" s="43">
        <f>IF(OR($B748="",$L748=""),"",WORKDAY($B748,IFERROR(INDEX(LISTAS!$C$3:$C$42,MATCH($L748,LISTAS!$A$3:$A$42,0)),3)))</f>
        <v/>
      </c>
      <c r="V748" s="40" t="n"/>
      <c r="W748" s="19">
        <f>IF($B748="","",IF($V748&lt;&gt;"",$V748-$B748,TODAY()-$B748))</f>
        <v/>
      </c>
      <c r="X748" s="19">
        <f>IF(OR($B748="",$U748=""),"",IF($V748&lt;&gt;"",MAX(0,$V748-$U748),MAX(0,TODAY()-$U748)))</f>
        <v/>
      </c>
      <c r="Y748" s="39">
        <f>IF($C748="","",IF(IFERROR(INDEX(LISTAS!$I$3:$I$42,MATCH($T748,LISTAS!$H$3:$H$42,0)),"NO")="SÍ",IF(N($X748)&gt;0,"CERRADA FUERA DE SLA","CERRADA EN SLA"),IF($U748="","SIN CLASIFICAR",IF(N($X748)&gt;0,"VENCIDA",IF(TODAY()&gt;=$U748-1,"POR VENCER","EN PLAZO")))))</f>
        <v/>
      </c>
      <c r="Z748" s="41" t="n"/>
      <c r="AA748" s="41" t="n"/>
      <c r="AB748" s="41" t="n"/>
    </row>
    <row r="749">
      <c r="A749" s="39">
        <f>IF($C749="","","NOV-"&amp;TEXT(ROW()-3,"0000"))</f>
        <v/>
      </c>
      <c r="B749" s="40" t="n"/>
      <c r="C749" s="41" t="n"/>
      <c r="D749" s="42">
        <f>IF($C749="","",IFERROR(INDEX(DESPACHOS!$D$3:$D$3002,MATCH($C749,DESPACHOS!$B$3:$B$3002,0)),"SIN DESPACHO"))</f>
        <v/>
      </c>
      <c r="E749" s="42">
        <f>IF($C749="","",IFERROR(INDEX(DESPACHOS!$K$3:$K$3002,MATCH($C749,DESPACHOS!$B$3:$B$3002,0)),""))</f>
        <v/>
      </c>
      <c r="F749" s="42">
        <f>IF($C749="","",IFERROR(INDEX(DESPACHOS!$I$3:$I$3002,MATCH($C749,DESPACHOS!$B$3:$B$3002,0)),""))</f>
        <v/>
      </c>
      <c r="G749" s="42">
        <f>IF($C749="","",IFERROR(INDEX(DESPACHOS!$F$3:$F$3002,MATCH($C749,DESPACHOS!$B$3:$B$3002,0)),""))</f>
        <v/>
      </c>
      <c r="H749" s="42">
        <f>IF($C749="","",IFERROR(INDEX(DESPACHOS!$G$3:$G$3002,MATCH($C749,DESPACHOS!$B$3:$B$3002,0)),""))</f>
        <v/>
      </c>
      <c r="I749" s="39">
        <f>IF($C749="","",IFERROR(INDEX(DESPACHOS!$H$3:$H$3002,MATCH($C749,DESPACHOS!$B$3:$B$3002,0)),""))</f>
        <v/>
      </c>
      <c r="J749" s="43">
        <f>IF($C749="","",IFERROR(INDEX(DESPACHOS!$J$3:$J$3002,MATCH($C749,DESPACHOS!$B$3:$B$3002,0)),""))</f>
        <v/>
      </c>
      <c r="K749" s="39">
        <f>IF($C749="","",IF(COUNTIFS(DESPACHOS!$B$3:$B$3002,$C749)=0,"NO EXISTE",IF(COUNTIFS(DESPACHOS!$B$3:$B$3002,$C749)&gt;1,"DUPLICADO","OK")))</f>
        <v/>
      </c>
      <c r="L749" s="41" t="n"/>
      <c r="M749" s="41" t="n"/>
      <c r="N749" s="42">
        <f>IF($M749="","",IFERROR(INDEX(LISTAS!$F$3:$F$42,MATCH($M749,LISTAS!$E$3:$E$42,0)),"Por definir"))</f>
        <v/>
      </c>
      <c r="O749" s="41" t="n"/>
      <c r="P749" s="39">
        <f>IF($L749="","",IFERROR(INDEX(LISTAS!$B$3:$B$42,MATCH($L749,LISTAS!$A$3:$A$42,0)),"Media"))</f>
        <v/>
      </c>
      <c r="Q749" s="44" t="n"/>
      <c r="R749" s="45" t="n"/>
      <c r="S749" s="20">
        <f>IFERROR(IF(OR($R749="",$C749=""),"",$R749/INDEX(DESPACHOS!$M$3:$M$3002,MATCH($C749,DESPACHOS!$B$3:$B$3002,0))),"")</f>
        <v/>
      </c>
      <c r="T749" s="41" t="n"/>
      <c r="U749" s="43">
        <f>IF(OR($B749="",$L749=""),"",WORKDAY($B749,IFERROR(INDEX(LISTAS!$C$3:$C$42,MATCH($L749,LISTAS!$A$3:$A$42,0)),3)))</f>
        <v/>
      </c>
      <c r="V749" s="40" t="n"/>
      <c r="W749" s="19">
        <f>IF($B749="","",IF($V749&lt;&gt;"",$V749-$B749,TODAY()-$B749))</f>
        <v/>
      </c>
      <c r="X749" s="19">
        <f>IF(OR($B749="",$U749=""),"",IF($V749&lt;&gt;"",MAX(0,$V749-$U749),MAX(0,TODAY()-$U749)))</f>
        <v/>
      </c>
      <c r="Y749" s="39">
        <f>IF($C749="","",IF(IFERROR(INDEX(LISTAS!$I$3:$I$42,MATCH($T749,LISTAS!$H$3:$H$42,0)),"NO")="SÍ",IF(N($X749)&gt;0,"CERRADA FUERA DE SLA","CERRADA EN SLA"),IF($U749="","SIN CLASIFICAR",IF(N($X749)&gt;0,"VENCIDA",IF(TODAY()&gt;=$U749-1,"POR VENCER","EN PLAZO")))))</f>
        <v/>
      </c>
      <c r="Z749" s="41" t="n"/>
      <c r="AA749" s="41" t="n"/>
      <c r="AB749" s="41" t="n"/>
    </row>
    <row r="750">
      <c r="A750" s="39">
        <f>IF($C750="","","NOV-"&amp;TEXT(ROW()-3,"0000"))</f>
        <v/>
      </c>
      <c r="B750" s="40" t="n"/>
      <c r="C750" s="41" t="n"/>
      <c r="D750" s="42">
        <f>IF($C750="","",IFERROR(INDEX(DESPACHOS!$D$3:$D$3002,MATCH($C750,DESPACHOS!$B$3:$B$3002,0)),"SIN DESPACHO"))</f>
        <v/>
      </c>
      <c r="E750" s="42">
        <f>IF($C750="","",IFERROR(INDEX(DESPACHOS!$K$3:$K$3002,MATCH($C750,DESPACHOS!$B$3:$B$3002,0)),""))</f>
        <v/>
      </c>
      <c r="F750" s="42">
        <f>IF($C750="","",IFERROR(INDEX(DESPACHOS!$I$3:$I$3002,MATCH($C750,DESPACHOS!$B$3:$B$3002,0)),""))</f>
        <v/>
      </c>
      <c r="G750" s="42">
        <f>IF($C750="","",IFERROR(INDEX(DESPACHOS!$F$3:$F$3002,MATCH($C750,DESPACHOS!$B$3:$B$3002,0)),""))</f>
        <v/>
      </c>
      <c r="H750" s="42">
        <f>IF($C750="","",IFERROR(INDEX(DESPACHOS!$G$3:$G$3002,MATCH($C750,DESPACHOS!$B$3:$B$3002,0)),""))</f>
        <v/>
      </c>
      <c r="I750" s="39">
        <f>IF($C750="","",IFERROR(INDEX(DESPACHOS!$H$3:$H$3002,MATCH($C750,DESPACHOS!$B$3:$B$3002,0)),""))</f>
        <v/>
      </c>
      <c r="J750" s="43">
        <f>IF($C750="","",IFERROR(INDEX(DESPACHOS!$J$3:$J$3002,MATCH($C750,DESPACHOS!$B$3:$B$3002,0)),""))</f>
        <v/>
      </c>
      <c r="K750" s="39">
        <f>IF($C750="","",IF(COUNTIFS(DESPACHOS!$B$3:$B$3002,$C750)=0,"NO EXISTE",IF(COUNTIFS(DESPACHOS!$B$3:$B$3002,$C750)&gt;1,"DUPLICADO","OK")))</f>
        <v/>
      </c>
      <c r="L750" s="41" t="n"/>
      <c r="M750" s="41" t="n"/>
      <c r="N750" s="42">
        <f>IF($M750="","",IFERROR(INDEX(LISTAS!$F$3:$F$42,MATCH($M750,LISTAS!$E$3:$E$42,0)),"Por definir"))</f>
        <v/>
      </c>
      <c r="O750" s="41" t="n"/>
      <c r="P750" s="39">
        <f>IF($L750="","",IFERROR(INDEX(LISTAS!$B$3:$B$42,MATCH($L750,LISTAS!$A$3:$A$42,0)),"Media"))</f>
        <v/>
      </c>
      <c r="Q750" s="44" t="n"/>
      <c r="R750" s="45" t="n"/>
      <c r="S750" s="20">
        <f>IFERROR(IF(OR($R750="",$C750=""),"",$R750/INDEX(DESPACHOS!$M$3:$M$3002,MATCH($C750,DESPACHOS!$B$3:$B$3002,0))),"")</f>
        <v/>
      </c>
      <c r="T750" s="41" t="n"/>
      <c r="U750" s="43">
        <f>IF(OR($B750="",$L750=""),"",WORKDAY($B750,IFERROR(INDEX(LISTAS!$C$3:$C$42,MATCH($L750,LISTAS!$A$3:$A$42,0)),3)))</f>
        <v/>
      </c>
      <c r="V750" s="40" t="n"/>
      <c r="W750" s="19">
        <f>IF($B750="","",IF($V750&lt;&gt;"",$V750-$B750,TODAY()-$B750))</f>
        <v/>
      </c>
      <c r="X750" s="19">
        <f>IF(OR($B750="",$U750=""),"",IF($V750&lt;&gt;"",MAX(0,$V750-$U750),MAX(0,TODAY()-$U750)))</f>
        <v/>
      </c>
      <c r="Y750" s="39">
        <f>IF($C750="","",IF(IFERROR(INDEX(LISTAS!$I$3:$I$42,MATCH($T750,LISTAS!$H$3:$H$42,0)),"NO")="SÍ",IF(N($X750)&gt;0,"CERRADA FUERA DE SLA","CERRADA EN SLA"),IF($U750="","SIN CLASIFICAR",IF(N($X750)&gt;0,"VENCIDA",IF(TODAY()&gt;=$U750-1,"POR VENCER","EN PLAZO")))))</f>
        <v/>
      </c>
      <c r="Z750" s="41" t="n"/>
      <c r="AA750" s="41" t="n"/>
      <c r="AB750" s="41" t="n"/>
    </row>
    <row r="751">
      <c r="A751" s="39">
        <f>IF($C751="","","NOV-"&amp;TEXT(ROW()-3,"0000"))</f>
        <v/>
      </c>
      <c r="B751" s="40" t="n"/>
      <c r="C751" s="41" t="n"/>
      <c r="D751" s="42">
        <f>IF($C751="","",IFERROR(INDEX(DESPACHOS!$D$3:$D$3002,MATCH($C751,DESPACHOS!$B$3:$B$3002,0)),"SIN DESPACHO"))</f>
        <v/>
      </c>
      <c r="E751" s="42">
        <f>IF($C751="","",IFERROR(INDEX(DESPACHOS!$K$3:$K$3002,MATCH($C751,DESPACHOS!$B$3:$B$3002,0)),""))</f>
        <v/>
      </c>
      <c r="F751" s="42">
        <f>IF($C751="","",IFERROR(INDEX(DESPACHOS!$I$3:$I$3002,MATCH($C751,DESPACHOS!$B$3:$B$3002,0)),""))</f>
        <v/>
      </c>
      <c r="G751" s="42">
        <f>IF($C751="","",IFERROR(INDEX(DESPACHOS!$F$3:$F$3002,MATCH($C751,DESPACHOS!$B$3:$B$3002,0)),""))</f>
        <v/>
      </c>
      <c r="H751" s="42">
        <f>IF($C751="","",IFERROR(INDEX(DESPACHOS!$G$3:$G$3002,MATCH($C751,DESPACHOS!$B$3:$B$3002,0)),""))</f>
        <v/>
      </c>
      <c r="I751" s="39">
        <f>IF($C751="","",IFERROR(INDEX(DESPACHOS!$H$3:$H$3002,MATCH($C751,DESPACHOS!$B$3:$B$3002,0)),""))</f>
        <v/>
      </c>
      <c r="J751" s="43">
        <f>IF($C751="","",IFERROR(INDEX(DESPACHOS!$J$3:$J$3002,MATCH($C751,DESPACHOS!$B$3:$B$3002,0)),""))</f>
        <v/>
      </c>
      <c r="K751" s="39">
        <f>IF($C751="","",IF(COUNTIFS(DESPACHOS!$B$3:$B$3002,$C751)=0,"NO EXISTE",IF(COUNTIFS(DESPACHOS!$B$3:$B$3002,$C751)&gt;1,"DUPLICADO","OK")))</f>
        <v/>
      </c>
      <c r="L751" s="41" t="n"/>
      <c r="M751" s="41" t="n"/>
      <c r="N751" s="42">
        <f>IF($M751="","",IFERROR(INDEX(LISTAS!$F$3:$F$42,MATCH($M751,LISTAS!$E$3:$E$42,0)),"Por definir"))</f>
        <v/>
      </c>
      <c r="O751" s="41" t="n"/>
      <c r="P751" s="39">
        <f>IF($L751="","",IFERROR(INDEX(LISTAS!$B$3:$B$42,MATCH($L751,LISTAS!$A$3:$A$42,0)),"Media"))</f>
        <v/>
      </c>
      <c r="Q751" s="44" t="n"/>
      <c r="R751" s="45" t="n"/>
      <c r="S751" s="20">
        <f>IFERROR(IF(OR($R751="",$C751=""),"",$R751/INDEX(DESPACHOS!$M$3:$M$3002,MATCH($C751,DESPACHOS!$B$3:$B$3002,0))),"")</f>
        <v/>
      </c>
      <c r="T751" s="41" t="n"/>
      <c r="U751" s="43">
        <f>IF(OR($B751="",$L751=""),"",WORKDAY($B751,IFERROR(INDEX(LISTAS!$C$3:$C$42,MATCH($L751,LISTAS!$A$3:$A$42,0)),3)))</f>
        <v/>
      </c>
      <c r="V751" s="40" t="n"/>
      <c r="W751" s="19">
        <f>IF($B751="","",IF($V751&lt;&gt;"",$V751-$B751,TODAY()-$B751))</f>
        <v/>
      </c>
      <c r="X751" s="19">
        <f>IF(OR($B751="",$U751=""),"",IF($V751&lt;&gt;"",MAX(0,$V751-$U751),MAX(0,TODAY()-$U751)))</f>
        <v/>
      </c>
      <c r="Y751" s="39">
        <f>IF($C751="","",IF(IFERROR(INDEX(LISTAS!$I$3:$I$42,MATCH($T751,LISTAS!$H$3:$H$42,0)),"NO")="SÍ",IF(N($X751)&gt;0,"CERRADA FUERA DE SLA","CERRADA EN SLA"),IF($U751="","SIN CLASIFICAR",IF(N($X751)&gt;0,"VENCIDA",IF(TODAY()&gt;=$U751-1,"POR VENCER","EN PLAZO")))))</f>
        <v/>
      </c>
      <c r="Z751" s="41" t="n"/>
      <c r="AA751" s="41" t="n"/>
      <c r="AB751" s="41" t="n"/>
    </row>
    <row r="752">
      <c r="A752" s="39">
        <f>IF($C752="","","NOV-"&amp;TEXT(ROW()-3,"0000"))</f>
        <v/>
      </c>
      <c r="B752" s="40" t="n"/>
      <c r="C752" s="41" t="n"/>
      <c r="D752" s="42">
        <f>IF($C752="","",IFERROR(INDEX(DESPACHOS!$D$3:$D$3002,MATCH($C752,DESPACHOS!$B$3:$B$3002,0)),"SIN DESPACHO"))</f>
        <v/>
      </c>
      <c r="E752" s="42">
        <f>IF($C752="","",IFERROR(INDEX(DESPACHOS!$K$3:$K$3002,MATCH($C752,DESPACHOS!$B$3:$B$3002,0)),""))</f>
        <v/>
      </c>
      <c r="F752" s="42">
        <f>IF($C752="","",IFERROR(INDEX(DESPACHOS!$I$3:$I$3002,MATCH($C752,DESPACHOS!$B$3:$B$3002,0)),""))</f>
        <v/>
      </c>
      <c r="G752" s="42">
        <f>IF($C752="","",IFERROR(INDEX(DESPACHOS!$F$3:$F$3002,MATCH($C752,DESPACHOS!$B$3:$B$3002,0)),""))</f>
        <v/>
      </c>
      <c r="H752" s="42">
        <f>IF($C752="","",IFERROR(INDEX(DESPACHOS!$G$3:$G$3002,MATCH($C752,DESPACHOS!$B$3:$B$3002,0)),""))</f>
        <v/>
      </c>
      <c r="I752" s="39">
        <f>IF($C752="","",IFERROR(INDEX(DESPACHOS!$H$3:$H$3002,MATCH($C752,DESPACHOS!$B$3:$B$3002,0)),""))</f>
        <v/>
      </c>
      <c r="J752" s="43">
        <f>IF($C752="","",IFERROR(INDEX(DESPACHOS!$J$3:$J$3002,MATCH($C752,DESPACHOS!$B$3:$B$3002,0)),""))</f>
        <v/>
      </c>
      <c r="K752" s="39">
        <f>IF($C752="","",IF(COUNTIFS(DESPACHOS!$B$3:$B$3002,$C752)=0,"NO EXISTE",IF(COUNTIFS(DESPACHOS!$B$3:$B$3002,$C752)&gt;1,"DUPLICADO","OK")))</f>
        <v/>
      </c>
      <c r="L752" s="41" t="n"/>
      <c r="M752" s="41" t="n"/>
      <c r="N752" s="42">
        <f>IF($M752="","",IFERROR(INDEX(LISTAS!$F$3:$F$42,MATCH($M752,LISTAS!$E$3:$E$42,0)),"Por definir"))</f>
        <v/>
      </c>
      <c r="O752" s="41" t="n"/>
      <c r="P752" s="39">
        <f>IF($L752="","",IFERROR(INDEX(LISTAS!$B$3:$B$42,MATCH($L752,LISTAS!$A$3:$A$42,0)),"Media"))</f>
        <v/>
      </c>
      <c r="Q752" s="44" t="n"/>
      <c r="R752" s="45" t="n"/>
      <c r="S752" s="20">
        <f>IFERROR(IF(OR($R752="",$C752=""),"",$R752/INDEX(DESPACHOS!$M$3:$M$3002,MATCH($C752,DESPACHOS!$B$3:$B$3002,0))),"")</f>
        <v/>
      </c>
      <c r="T752" s="41" t="n"/>
      <c r="U752" s="43">
        <f>IF(OR($B752="",$L752=""),"",WORKDAY($B752,IFERROR(INDEX(LISTAS!$C$3:$C$42,MATCH($L752,LISTAS!$A$3:$A$42,0)),3)))</f>
        <v/>
      </c>
      <c r="V752" s="40" t="n"/>
      <c r="W752" s="19">
        <f>IF($B752="","",IF($V752&lt;&gt;"",$V752-$B752,TODAY()-$B752))</f>
        <v/>
      </c>
      <c r="X752" s="19">
        <f>IF(OR($B752="",$U752=""),"",IF($V752&lt;&gt;"",MAX(0,$V752-$U752),MAX(0,TODAY()-$U752)))</f>
        <v/>
      </c>
      <c r="Y752" s="39">
        <f>IF($C752="","",IF(IFERROR(INDEX(LISTAS!$I$3:$I$42,MATCH($T752,LISTAS!$H$3:$H$42,0)),"NO")="SÍ",IF(N($X752)&gt;0,"CERRADA FUERA DE SLA","CERRADA EN SLA"),IF($U752="","SIN CLASIFICAR",IF(N($X752)&gt;0,"VENCIDA",IF(TODAY()&gt;=$U752-1,"POR VENCER","EN PLAZO")))))</f>
        <v/>
      </c>
      <c r="Z752" s="41" t="n"/>
      <c r="AA752" s="41" t="n"/>
      <c r="AB752" s="41" t="n"/>
    </row>
    <row r="753">
      <c r="A753" s="39">
        <f>IF($C753="","","NOV-"&amp;TEXT(ROW()-3,"0000"))</f>
        <v/>
      </c>
      <c r="B753" s="40" t="n"/>
      <c r="C753" s="41" t="n"/>
      <c r="D753" s="42">
        <f>IF($C753="","",IFERROR(INDEX(DESPACHOS!$D$3:$D$3002,MATCH($C753,DESPACHOS!$B$3:$B$3002,0)),"SIN DESPACHO"))</f>
        <v/>
      </c>
      <c r="E753" s="42">
        <f>IF($C753="","",IFERROR(INDEX(DESPACHOS!$K$3:$K$3002,MATCH($C753,DESPACHOS!$B$3:$B$3002,0)),""))</f>
        <v/>
      </c>
      <c r="F753" s="42">
        <f>IF($C753="","",IFERROR(INDEX(DESPACHOS!$I$3:$I$3002,MATCH($C753,DESPACHOS!$B$3:$B$3002,0)),""))</f>
        <v/>
      </c>
      <c r="G753" s="42">
        <f>IF($C753="","",IFERROR(INDEX(DESPACHOS!$F$3:$F$3002,MATCH($C753,DESPACHOS!$B$3:$B$3002,0)),""))</f>
        <v/>
      </c>
      <c r="H753" s="42">
        <f>IF($C753="","",IFERROR(INDEX(DESPACHOS!$G$3:$G$3002,MATCH($C753,DESPACHOS!$B$3:$B$3002,0)),""))</f>
        <v/>
      </c>
      <c r="I753" s="39">
        <f>IF($C753="","",IFERROR(INDEX(DESPACHOS!$H$3:$H$3002,MATCH($C753,DESPACHOS!$B$3:$B$3002,0)),""))</f>
        <v/>
      </c>
      <c r="J753" s="43">
        <f>IF($C753="","",IFERROR(INDEX(DESPACHOS!$J$3:$J$3002,MATCH($C753,DESPACHOS!$B$3:$B$3002,0)),""))</f>
        <v/>
      </c>
      <c r="K753" s="39">
        <f>IF($C753="","",IF(COUNTIFS(DESPACHOS!$B$3:$B$3002,$C753)=0,"NO EXISTE",IF(COUNTIFS(DESPACHOS!$B$3:$B$3002,$C753)&gt;1,"DUPLICADO","OK")))</f>
        <v/>
      </c>
      <c r="L753" s="41" t="n"/>
      <c r="M753" s="41" t="n"/>
      <c r="N753" s="42">
        <f>IF($M753="","",IFERROR(INDEX(LISTAS!$F$3:$F$42,MATCH($M753,LISTAS!$E$3:$E$42,0)),"Por definir"))</f>
        <v/>
      </c>
      <c r="O753" s="41" t="n"/>
      <c r="P753" s="39">
        <f>IF($L753="","",IFERROR(INDEX(LISTAS!$B$3:$B$42,MATCH($L753,LISTAS!$A$3:$A$42,0)),"Media"))</f>
        <v/>
      </c>
      <c r="Q753" s="44" t="n"/>
      <c r="R753" s="45" t="n"/>
      <c r="S753" s="20">
        <f>IFERROR(IF(OR($R753="",$C753=""),"",$R753/INDEX(DESPACHOS!$M$3:$M$3002,MATCH($C753,DESPACHOS!$B$3:$B$3002,0))),"")</f>
        <v/>
      </c>
      <c r="T753" s="41" t="n"/>
      <c r="U753" s="43">
        <f>IF(OR($B753="",$L753=""),"",WORKDAY($B753,IFERROR(INDEX(LISTAS!$C$3:$C$42,MATCH($L753,LISTAS!$A$3:$A$42,0)),3)))</f>
        <v/>
      </c>
      <c r="V753" s="40" t="n"/>
      <c r="W753" s="19">
        <f>IF($B753="","",IF($V753&lt;&gt;"",$V753-$B753,TODAY()-$B753))</f>
        <v/>
      </c>
      <c r="X753" s="19">
        <f>IF(OR($B753="",$U753=""),"",IF($V753&lt;&gt;"",MAX(0,$V753-$U753),MAX(0,TODAY()-$U753)))</f>
        <v/>
      </c>
      <c r="Y753" s="39">
        <f>IF($C753="","",IF(IFERROR(INDEX(LISTAS!$I$3:$I$42,MATCH($T753,LISTAS!$H$3:$H$42,0)),"NO")="SÍ",IF(N($X753)&gt;0,"CERRADA FUERA DE SLA","CERRADA EN SLA"),IF($U753="","SIN CLASIFICAR",IF(N($X753)&gt;0,"VENCIDA",IF(TODAY()&gt;=$U753-1,"POR VENCER","EN PLAZO")))))</f>
        <v/>
      </c>
      <c r="Z753" s="41" t="n"/>
      <c r="AA753" s="41" t="n"/>
      <c r="AB753" s="41" t="n"/>
    </row>
    <row r="754">
      <c r="A754" s="39">
        <f>IF($C754="","","NOV-"&amp;TEXT(ROW()-3,"0000"))</f>
        <v/>
      </c>
      <c r="B754" s="40" t="n"/>
      <c r="C754" s="41" t="n"/>
      <c r="D754" s="42">
        <f>IF($C754="","",IFERROR(INDEX(DESPACHOS!$D$3:$D$3002,MATCH($C754,DESPACHOS!$B$3:$B$3002,0)),"SIN DESPACHO"))</f>
        <v/>
      </c>
      <c r="E754" s="42">
        <f>IF($C754="","",IFERROR(INDEX(DESPACHOS!$K$3:$K$3002,MATCH($C754,DESPACHOS!$B$3:$B$3002,0)),""))</f>
        <v/>
      </c>
      <c r="F754" s="42">
        <f>IF($C754="","",IFERROR(INDEX(DESPACHOS!$I$3:$I$3002,MATCH($C754,DESPACHOS!$B$3:$B$3002,0)),""))</f>
        <v/>
      </c>
      <c r="G754" s="42">
        <f>IF($C754="","",IFERROR(INDEX(DESPACHOS!$F$3:$F$3002,MATCH($C754,DESPACHOS!$B$3:$B$3002,0)),""))</f>
        <v/>
      </c>
      <c r="H754" s="42">
        <f>IF($C754="","",IFERROR(INDEX(DESPACHOS!$G$3:$G$3002,MATCH($C754,DESPACHOS!$B$3:$B$3002,0)),""))</f>
        <v/>
      </c>
      <c r="I754" s="39">
        <f>IF($C754="","",IFERROR(INDEX(DESPACHOS!$H$3:$H$3002,MATCH($C754,DESPACHOS!$B$3:$B$3002,0)),""))</f>
        <v/>
      </c>
      <c r="J754" s="43">
        <f>IF($C754="","",IFERROR(INDEX(DESPACHOS!$J$3:$J$3002,MATCH($C754,DESPACHOS!$B$3:$B$3002,0)),""))</f>
        <v/>
      </c>
      <c r="K754" s="39">
        <f>IF($C754="","",IF(COUNTIFS(DESPACHOS!$B$3:$B$3002,$C754)=0,"NO EXISTE",IF(COUNTIFS(DESPACHOS!$B$3:$B$3002,$C754)&gt;1,"DUPLICADO","OK")))</f>
        <v/>
      </c>
      <c r="L754" s="41" t="n"/>
      <c r="M754" s="41" t="n"/>
      <c r="N754" s="42">
        <f>IF($M754="","",IFERROR(INDEX(LISTAS!$F$3:$F$42,MATCH($M754,LISTAS!$E$3:$E$42,0)),"Por definir"))</f>
        <v/>
      </c>
      <c r="O754" s="41" t="n"/>
      <c r="P754" s="39">
        <f>IF($L754="","",IFERROR(INDEX(LISTAS!$B$3:$B$42,MATCH($L754,LISTAS!$A$3:$A$42,0)),"Media"))</f>
        <v/>
      </c>
      <c r="Q754" s="44" t="n"/>
      <c r="R754" s="45" t="n"/>
      <c r="S754" s="20">
        <f>IFERROR(IF(OR($R754="",$C754=""),"",$R754/INDEX(DESPACHOS!$M$3:$M$3002,MATCH($C754,DESPACHOS!$B$3:$B$3002,0))),"")</f>
        <v/>
      </c>
      <c r="T754" s="41" t="n"/>
      <c r="U754" s="43">
        <f>IF(OR($B754="",$L754=""),"",WORKDAY($B754,IFERROR(INDEX(LISTAS!$C$3:$C$42,MATCH($L754,LISTAS!$A$3:$A$42,0)),3)))</f>
        <v/>
      </c>
      <c r="V754" s="40" t="n"/>
      <c r="W754" s="19">
        <f>IF($B754="","",IF($V754&lt;&gt;"",$V754-$B754,TODAY()-$B754))</f>
        <v/>
      </c>
      <c r="X754" s="19">
        <f>IF(OR($B754="",$U754=""),"",IF($V754&lt;&gt;"",MAX(0,$V754-$U754),MAX(0,TODAY()-$U754)))</f>
        <v/>
      </c>
      <c r="Y754" s="39">
        <f>IF($C754="","",IF(IFERROR(INDEX(LISTAS!$I$3:$I$42,MATCH($T754,LISTAS!$H$3:$H$42,0)),"NO")="SÍ",IF(N($X754)&gt;0,"CERRADA FUERA DE SLA","CERRADA EN SLA"),IF($U754="","SIN CLASIFICAR",IF(N($X754)&gt;0,"VENCIDA",IF(TODAY()&gt;=$U754-1,"POR VENCER","EN PLAZO")))))</f>
        <v/>
      </c>
      <c r="Z754" s="41" t="n"/>
      <c r="AA754" s="41" t="n"/>
      <c r="AB754" s="41" t="n"/>
    </row>
    <row r="755">
      <c r="A755" s="39">
        <f>IF($C755="","","NOV-"&amp;TEXT(ROW()-3,"0000"))</f>
        <v/>
      </c>
      <c r="B755" s="40" t="n"/>
      <c r="C755" s="41" t="n"/>
      <c r="D755" s="42">
        <f>IF($C755="","",IFERROR(INDEX(DESPACHOS!$D$3:$D$3002,MATCH($C755,DESPACHOS!$B$3:$B$3002,0)),"SIN DESPACHO"))</f>
        <v/>
      </c>
      <c r="E755" s="42">
        <f>IF($C755="","",IFERROR(INDEX(DESPACHOS!$K$3:$K$3002,MATCH($C755,DESPACHOS!$B$3:$B$3002,0)),""))</f>
        <v/>
      </c>
      <c r="F755" s="42">
        <f>IF($C755="","",IFERROR(INDEX(DESPACHOS!$I$3:$I$3002,MATCH($C755,DESPACHOS!$B$3:$B$3002,0)),""))</f>
        <v/>
      </c>
      <c r="G755" s="42">
        <f>IF($C755="","",IFERROR(INDEX(DESPACHOS!$F$3:$F$3002,MATCH($C755,DESPACHOS!$B$3:$B$3002,0)),""))</f>
        <v/>
      </c>
      <c r="H755" s="42">
        <f>IF($C755="","",IFERROR(INDEX(DESPACHOS!$G$3:$G$3002,MATCH($C755,DESPACHOS!$B$3:$B$3002,0)),""))</f>
        <v/>
      </c>
      <c r="I755" s="39">
        <f>IF($C755="","",IFERROR(INDEX(DESPACHOS!$H$3:$H$3002,MATCH($C755,DESPACHOS!$B$3:$B$3002,0)),""))</f>
        <v/>
      </c>
      <c r="J755" s="43">
        <f>IF($C755="","",IFERROR(INDEX(DESPACHOS!$J$3:$J$3002,MATCH($C755,DESPACHOS!$B$3:$B$3002,0)),""))</f>
        <v/>
      </c>
      <c r="K755" s="39">
        <f>IF($C755="","",IF(COUNTIFS(DESPACHOS!$B$3:$B$3002,$C755)=0,"NO EXISTE",IF(COUNTIFS(DESPACHOS!$B$3:$B$3002,$C755)&gt;1,"DUPLICADO","OK")))</f>
        <v/>
      </c>
      <c r="L755" s="41" t="n"/>
      <c r="M755" s="41" t="n"/>
      <c r="N755" s="42">
        <f>IF($M755="","",IFERROR(INDEX(LISTAS!$F$3:$F$42,MATCH($M755,LISTAS!$E$3:$E$42,0)),"Por definir"))</f>
        <v/>
      </c>
      <c r="O755" s="41" t="n"/>
      <c r="P755" s="39">
        <f>IF($L755="","",IFERROR(INDEX(LISTAS!$B$3:$B$42,MATCH($L755,LISTAS!$A$3:$A$42,0)),"Media"))</f>
        <v/>
      </c>
      <c r="Q755" s="44" t="n"/>
      <c r="R755" s="45" t="n"/>
      <c r="S755" s="20">
        <f>IFERROR(IF(OR($R755="",$C755=""),"",$R755/INDEX(DESPACHOS!$M$3:$M$3002,MATCH($C755,DESPACHOS!$B$3:$B$3002,0))),"")</f>
        <v/>
      </c>
      <c r="T755" s="41" t="n"/>
      <c r="U755" s="43">
        <f>IF(OR($B755="",$L755=""),"",WORKDAY($B755,IFERROR(INDEX(LISTAS!$C$3:$C$42,MATCH($L755,LISTAS!$A$3:$A$42,0)),3)))</f>
        <v/>
      </c>
      <c r="V755" s="40" t="n"/>
      <c r="W755" s="19">
        <f>IF($B755="","",IF($V755&lt;&gt;"",$V755-$B755,TODAY()-$B755))</f>
        <v/>
      </c>
      <c r="X755" s="19">
        <f>IF(OR($B755="",$U755=""),"",IF($V755&lt;&gt;"",MAX(0,$V755-$U755),MAX(0,TODAY()-$U755)))</f>
        <v/>
      </c>
      <c r="Y755" s="39">
        <f>IF($C755="","",IF(IFERROR(INDEX(LISTAS!$I$3:$I$42,MATCH($T755,LISTAS!$H$3:$H$42,0)),"NO")="SÍ",IF(N($X755)&gt;0,"CERRADA FUERA DE SLA","CERRADA EN SLA"),IF($U755="","SIN CLASIFICAR",IF(N($X755)&gt;0,"VENCIDA",IF(TODAY()&gt;=$U755-1,"POR VENCER","EN PLAZO")))))</f>
        <v/>
      </c>
      <c r="Z755" s="41" t="n"/>
      <c r="AA755" s="41" t="n"/>
      <c r="AB755" s="41" t="n"/>
    </row>
    <row r="756">
      <c r="A756" s="39">
        <f>IF($C756="","","NOV-"&amp;TEXT(ROW()-3,"0000"))</f>
        <v/>
      </c>
      <c r="B756" s="40" t="n"/>
      <c r="C756" s="41" t="n"/>
      <c r="D756" s="42">
        <f>IF($C756="","",IFERROR(INDEX(DESPACHOS!$D$3:$D$3002,MATCH($C756,DESPACHOS!$B$3:$B$3002,0)),"SIN DESPACHO"))</f>
        <v/>
      </c>
      <c r="E756" s="42">
        <f>IF($C756="","",IFERROR(INDEX(DESPACHOS!$K$3:$K$3002,MATCH($C756,DESPACHOS!$B$3:$B$3002,0)),""))</f>
        <v/>
      </c>
      <c r="F756" s="42">
        <f>IF($C756="","",IFERROR(INDEX(DESPACHOS!$I$3:$I$3002,MATCH($C756,DESPACHOS!$B$3:$B$3002,0)),""))</f>
        <v/>
      </c>
      <c r="G756" s="42">
        <f>IF($C756="","",IFERROR(INDEX(DESPACHOS!$F$3:$F$3002,MATCH($C756,DESPACHOS!$B$3:$B$3002,0)),""))</f>
        <v/>
      </c>
      <c r="H756" s="42">
        <f>IF($C756="","",IFERROR(INDEX(DESPACHOS!$G$3:$G$3002,MATCH($C756,DESPACHOS!$B$3:$B$3002,0)),""))</f>
        <v/>
      </c>
      <c r="I756" s="39">
        <f>IF($C756="","",IFERROR(INDEX(DESPACHOS!$H$3:$H$3002,MATCH($C756,DESPACHOS!$B$3:$B$3002,0)),""))</f>
        <v/>
      </c>
      <c r="J756" s="43">
        <f>IF($C756="","",IFERROR(INDEX(DESPACHOS!$J$3:$J$3002,MATCH($C756,DESPACHOS!$B$3:$B$3002,0)),""))</f>
        <v/>
      </c>
      <c r="K756" s="39">
        <f>IF($C756="","",IF(COUNTIFS(DESPACHOS!$B$3:$B$3002,$C756)=0,"NO EXISTE",IF(COUNTIFS(DESPACHOS!$B$3:$B$3002,$C756)&gt;1,"DUPLICADO","OK")))</f>
        <v/>
      </c>
      <c r="L756" s="41" t="n"/>
      <c r="M756" s="41" t="n"/>
      <c r="N756" s="42">
        <f>IF($M756="","",IFERROR(INDEX(LISTAS!$F$3:$F$42,MATCH($M756,LISTAS!$E$3:$E$42,0)),"Por definir"))</f>
        <v/>
      </c>
      <c r="O756" s="41" t="n"/>
      <c r="P756" s="39">
        <f>IF($L756="","",IFERROR(INDEX(LISTAS!$B$3:$B$42,MATCH($L756,LISTAS!$A$3:$A$42,0)),"Media"))</f>
        <v/>
      </c>
      <c r="Q756" s="44" t="n"/>
      <c r="R756" s="45" t="n"/>
      <c r="S756" s="20">
        <f>IFERROR(IF(OR($R756="",$C756=""),"",$R756/INDEX(DESPACHOS!$M$3:$M$3002,MATCH($C756,DESPACHOS!$B$3:$B$3002,0))),"")</f>
        <v/>
      </c>
      <c r="T756" s="41" t="n"/>
      <c r="U756" s="43">
        <f>IF(OR($B756="",$L756=""),"",WORKDAY($B756,IFERROR(INDEX(LISTAS!$C$3:$C$42,MATCH($L756,LISTAS!$A$3:$A$42,0)),3)))</f>
        <v/>
      </c>
      <c r="V756" s="40" t="n"/>
      <c r="W756" s="19">
        <f>IF($B756="","",IF($V756&lt;&gt;"",$V756-$B756,TODAY()-$B756))</f>
        <v/>
      </c>
      <c r="X756" s="19">
        <f>IF(OR($B756="",$U756=""),"",IF($V756&lt;&gt;"",MAX(0,$V756-$U756),MAX(0,TODAY()-$U756)))</f>
        <v/>
      </c>
      <c r="Y756" s="39">
        <f>IF($C756="","",IF(IFERROR(INDEX(LISTAS!$I$3:$I$42,MATCH($T756,LISTAS!$H$3:$H$42,0)),"NO")="SÍ",IF(N($X756)&gt;0,"CERRADA FUERA DE SLA","CERRADA EN SLA"),IF($U756="","SIN CLASIFICAR",IF(N($X756)&gt;0,"VENCIDA",IF(TODAY()&gt;=$U756-1,"POR VENCER","EN PLAZO")))))</f>
        <v/>
      </c>
      <c r="Z756" s="41" t="n"/>
      <c r="AA756" s="41" t="n"/>
      <c r="AB756" s="41" t="n"/>
    </row>
    <row r="757">
      <c r="A757" s="39">
        <f>IF($C757="","","NOV-"&amp;TEXT(ROW()-3,"0000"))</f>
        <v/>
      </c>
      <c r="B757" s="40" t="n"/>
      <c r="C757" s="41" t="n"/>
      <c r="D757" s="42">
        <f>IF($C757="","",IFERROR(INDEX(DESPACHOS!$D$3:$D$3002,MATCH($C757,DESPACHOS!$B$3:$B$3002,0)),"SIN DESPACHO"))</f>
        <v/>
      </c>
      <c r="E757" s="42">
        <f>IF($C757="","",IFERROR(INDEX(DESPACHOS!$K$3:$K$3002,MATCH($C757,DESPACHOS!$B$3:$B$3002,0)),""))</f>
        <v/>
      </c>
      <c r="F757" s="42">
        <f>IF($C757="","",IFERROR(INDEX(DESPACHOS!$I$3:$I$3002,MATCH($C757,DESPACHOS!$B$3:$B$3002,0)),""))</f>
        <v/>
      </c>
      <c r="G757" s="42">
        <f>IF($C757="","",IFERROR(INDEX(DESPACHOS!$F$3:$F$3002,MATCH($C757,DESPACHOS!$B$3:$B$3002,0)),""))</f>
        <v/>
      </c>
      <c r="H757" s="42">
        <f>IF($C757="","",IFERROR(INDEX(DESPACHOS!$G$3:$G$3002,MATCH($C757,DESPACHOS!$B$3:$B$3002,0)),""))</f>
        <v/>
      </c>
      <c r="I757" s="39">
        <f>IF($C757="","",IFERROR(INDEX(DESPACHOS!$H$3:$H$3002,MATCH($C757,DESPACHOS!$B$3:$B$3002,0)),""))</f>
        <v/>
      </c>
      <c r="J757" s="43">
        <f>IF($C757="","",IFERROR(INDEX(DESPACHOS!$J$3:$J$3002,MATCH($C757,DESPACHOS!$B$3:$B$3002,0)),""))</f>
        <v/>
      </c>
      <c r="K757" s="39">
        <f>IF($C757="","",IF(COUNTIFS(DESPACHOS!$B$3:$B$3002,$C757)=0,"NO EXISTE",IF(COUNTIFS(DESPACHOS!$B$3:$B$3002,$C757)&gt;1,"DUPLICADO","OK")))</f>
        <v/>
      </c>
      <c r="L757" s="41" t="n"/>
      <c r="M757" s="41" t="n"/>
      <c r="N757" s="42">
        <f>IF($M757="","",IFERROR(INDEX(LISTAS!$F$3:$F$42,MATCH($M757,LISTAS!$E$3:$E$42,0)),"Por definir"))</f>
        <v/>
      </c>
      <c r="O757" s="41" t="n"/>
      <c r="P757" s="39">
        <f>IF($L757="","",IFERROR(INDEX(LISTAS!$B$3:$B$42,MATCH($L757,LISTAS!$A$3:$A$42,0)),"Media"))</f>
        <v/>
      </c>
      <c r="Q757" s="44" t="n"/>
      <c r="R757" s="45" t="n"/>
      <c r="S757" s="20">
        <f>IFERROR(IF(OR($R757="",$C757=""),"",$R757/INDEX(DESPACHOS!$M$3:$M$3002,MATCH($C757,DESPACHOS!$B$3:$B$3002,0))),"")</f>
        <v/>
      </c>
      <c r="T757" s="41" t="n"/>
      <c r="U757" s="43">
        <f>IF(OR($B757="",$L757=""),"",WORKDAY($B757,IFERROR(INDEX(LISTAS!$C$3:$C$42,MATCH($L757,LISTAS!$A$3:$A$42,0)),3)))</f>
        <v/>
      </c>
      <c r="V757" s="40" t="n"/>
      <c r="W757" s="19">
        <f>IF($B757="","",IF($V757&lt;&gt;"",$V757-$B757,TODAY()-$B757))</f>
        <v/>
      </c>
      <c r="X757" s="19">
        <f>IF(OR($B757="",$U757=""),"",IF($V757&lt;&gt;"",MAX(0,$V757-$U757),MAX(0,TODAY()-$U757)))</f>
        <v/>
      </c>
      <c r="Y757" s="39">
        <f>IF($C757="","",IF(IFERROR(INDEX(LISTAS!$I$3:$I$42,MATCH($T757,LISTAS!$H$3:$H$42,0)),"NO")="SÍ",IF(N($X757)&gt;0,"CERRADA FUERA DE SLA","CERRADA EN SLA"),IF($U757="","SIN CLASIFICAR",IF(N($X757)&gt;0,"VENCIDA",IF(TODAY()&gt;=$U757-1,"POR VENCER","EN PLAZO")))))</f>
        <v/>
      </c>
      <c r="Z757" s="41" t="n"/>
      <c r="AA757" s="41" t="n"/>
      <c r="AB757" s="41" t="n"/>
    </row>
    <row r="758">
      <c r="A758" s="39">
        <f>IF($C758="","","NOV-"&amp;TEXT(ROW()-3,"0000"))</f>
        <v/>
      </c>
      <c r="B758" s="40" t="n"/>
      <c r="C758" s="41" t="n"/>
      <c r="D758" s="42">
        <f>IF($C758="","",IFERROR(INDEX(DESPACHOS!$D$3:$D$3002,MATCH($C758,DESPACHOS!$B$3:$B$3002,0)),"SIN DESPACHO"))</f>
        <v/>
      </c>
      <c r="E758" s="42">
        <f>IF($C758="","",IFERROR(INDEX(DESPACHOS!$K$3:$K$3002,MATCH($C758,DESPACHOS!$B$3:$B$3002,0)),""))</f>
        <v/>
      </c>
      <c r="F758" s="42">
        <f>IF($C758="","",IFERROR(INDEX(DESPACHOS!$I$3:$I$3002,MATCH($C758,DESPACHOS!$B$3:$B$3002,0)),""))</f>
        <v/>
      </c>
      <c r="G758" s="42">
        <f>IF($C758="","",IFERROR(INDEX(DESPACHOS!$F$3:$F$3002,MATCH($C758,DESPACHOS!$B$3:$B$3002,0)),""))</f>
        <v/>
      </c>
      <c r="H758" s="42">
        <f>IF($C758="","",IFERROR(INDEX(DESPACHOS!$G$3:$G$3002,MATCH($C758,DESPACHOS!$B$3:$B$3002,0)),""))</f>
        <v/>
      </c>
      <c r="I758" s="39">
        <f>IF($C758="","",IFERROR(INDEX(DESPACHOS!$H$3:$H$3002,MATCH($C758,DESPACHOS!$B$3:$B$3002,0)),""))</f>
        <v/>
      </c>
      <c r="J758" s="43">
        <f>IF($C758="","",IFERROR(INDEX(DESPACHOS!$J$3:$J$3002,MATCH($C758,DESPACHOS!$B$3:$B$3002,0)),""))</f>
        <v/>
      </c>
      <c r="K758" s="39">
        <f>IF($C758="","",IF(COUNTIFS(DESPACHOS!$B$3:$B$3002,$C758)=0,"NO EXISTE",IF(COUNTIFS(DESPACHOS!$B$3:$B$3002,$C758)&gt;1,"DUPLICADO","OK")))</f>
        <v/>
      </c>
      <c r="L758" s="41" t="n"/>
      <c r="M758" s="41" t="n"/>
      <c r="N758" s="42">
        <f>IF($M758="","",IFERROR(INDEX(LISTAS!$F$3:$F$42,MATCH($M758,LISTAS!$E$3:$E$42,0)),"Por definir"))</f>
        <v/>
      </c>
      <c r="O758" s="41" t="n"/>
      <c r="P758" s="39">
        <f>IF($L758="","",IFERROR(INDEX(LISTAS!$B$3:$B$42,MATCH($L758,LISTAS!$A$3:$A$42,0)),"Media"))</f>
        <v/>
      </c>
      <c r="Q758" s="44" t="n"/>
      <c r="R758" s="45" t="n"/>
      <c r="S758" s="20">
        <f>IFERROR(IF(OR($R758="",$C758=""),"",$R758/INDEX(DESPACHOS!$M$3:$M$3002,MATCH($C758,DESPACHOS!$B$3:$B$3002,0))),"")</f>
        <v/>
      </c>
      <c r="T758" s="41" t="n"/>
      <c r="U758" s="43">
        <f>IF(OR($B758="",$L758=""),"",WORKDAY($B758,IFERROR(INDEX(LISTAS!$C$3:$C$42,MATCH($L758,LISTAS!$A$3:$A$42,0)),3)))</f>
        <v/>
      </c>
      <c r="V758" s="40" t="n"/>
      <c r="W758" s="19">
        <f>IF($B758="","",IF($V758&lt;&gt;"",$V758-$B758,TODAY()-$B758))</f>
        <v/>
      </c>
      <c r="X758" s="19">
        <f>IF(OR($B758="",$U758=""),"",IF($V758&lt;&gt;"",MAX(0,$V758-$U758),MAX(0,TODAY()-$U758)))</f>
        <v/>
      </c>
      <c r="Y758" s="39">
        <f>IF($C758="","",IF(IFERROR(INDEX(LISTAS!$I$3:$I$42,MATCH($T758,LISTAS!$H$3:$H$42,0)),"NO")="SÍ",IF(N($X758)&gt;0,"CERRADA FUERA DE SLA","CERRADA EN SLA"),IF($U758="","SIN CLASIFICAR",IF(N($X758)&gt;0,"VENCIDA",IF(TODAY()&gt;=$U758-1,"POR VENCER","EN PLAZO")))))</f>
        <v/>
      </c>
      <c r="Z758" s="41" t="n"/>
      <c r="AA758" s="41" t="n"/>
      <c r="AB758" s="41" t="n"/>
    </row>
    <row r="759">
      <c r="A759" s="39">
        <f>IF($C759="","","NOV-"&amp;TEXT(ROW()-3,"0000"))</f>
        <v/>
      </c>
      <c r="B759" s="40" t="n"/>
      <c r="C759" s="41" t="n"/>
      <c r="D759" s="42">
        <f>IF($C759="","",IFERROR(INDEX(DESPACHOS!$D$3:$D$3002,MATCH($C759,DESPACHOS!$B$3:$B$3002,0)),"SIN DESPACHO"))</f>
        <v/>
      </c>
      <c r="E759" s="42">
        <f>IF($C759="","",IFERROR(INDEX(DESPACHOS!$K$3:$K$3002,MATCH($C759,DESPACHOS!$B$3:$B$3002,0)),""))</f>
        <v/>
      </c>
      <c r="F759" s="42">
        <f>IF($C759="","",IFERROR(INDEX(DESPACHOS!$I$3:$I$3002,MATCH($C759,DESPACHOS!$B$3:$B$3002,0)),""))</f>
        <v/>
      </c>
      <c r="G759" s="42">
        <f>IF($C759="","",IFERROR(INDEX(DESPACHOS!$F$3:$F$3002,MATCH($C759,DESPACHOS!$B$3:$B$3002,0)),""))</f>
        <v/>
      </c>
      <c r="H759" s="42">
        <f>IF($C759="","",IFERROR(INDEX(DESPACHOS!$G$3:$G$3002,MATCH($C759,DESPACHOS!$B$3:$B$3002,0)),""))</f>
        <v/>
      </c>
      <c r="I759" s="39">
        <f>IF($C759="","",IFERROR(INDEX(DESPACHOS!$H$3:$H$3002,MATCH($C759,DESPACHOS!$B$3:$B$3002,0)),""))</f>
        <v/>
      </c>
      <c r="J759" s="43">
        <f>IF($C759="","",IFERROR(INDEX(DESPACHOS!$J$3:$J$3002,MATCH($C759,DESPACHOS!$B$3:$B$3002,0)),""))</f>
        <v/>
      </c>
      <c r="K759" s="39">
        <f>IF($C759="","",IF(COUNTIFS(DESPACHOS!$B$3:$B$3002,$C759)=0,"NO EXISTE",IF(COUNTIFS(DESPACHOS!$B$3:$B$3002,$C759)&gt;1,"DUPLICADO","OK")))</f>
        <v/>
      </c>
      <c r="L759" s="41" t="n"/>
      <c r="M759" s="41" t="n"/>
      <c r="N759" s="42">
        <f>IF($M759="","",IFERROR(INDEX(LISTAS!$F$3:$F$42,MATCH($M759,LISTAS!$E$3:$E$42,0)),"Por definir"))</f>
        <v/>
      </c>
      <c r="O759" s="41" t="n"/>
      <c r="P759" s="39">
        <f>IF($L759="","",IFERROR(INDEX(LISTAS!$B$3:$B$42,MATCH($L759,LISTAS!$A$3:$A$42,0)),"Media"))</f>
        <v/>
      </c>
      <c r="Q759" s="44" t="n"/>
      <c r="R759" s="45" t="n"/>
      <c r="S759" s="20">
        <f>IFERROR(IF(OR($R759="",$C759=""),"",$R759/INDEX(DESPACHOS!$M$3:$M$3002,MATCH($C759,DESPACHOS!$B$3:$B$3002,0))),"")</f>
        <v/>
      </c>
      <c r="T759" s="41" t="n"/>
      <c r="U759" s="43">
        <f>IF(OR($B759="",$L759=""),"",WORKDAY($B759,IFERROR(INDEX(LISTAS!$C$3:$C$42,MATCH($L759,LISTAS!$A$3:$A$42,0)),3)))</f>
        <v/>
      </c>
      <c r="V759" s="40" t="n"/>
      <c r="W759" s="19">
        <f>IF($B759="","",IF($V759&lt;&gt;"",$V759-$B759,TODAY()-$B759))</f>
        <v/>
      </c>
      <c r="X759" s="19">
        <f>IF(OR($B759="",$U759=""),"",IF($V759&lt;&gt;"",MAX(0,$V759-$U759),MAX(0,TODAY()-$U759)))</f>
        <v/>
      </c>
      <c r="Y759" s="39">
        <f>IF($C759="","",IF(IFERROR(INDEX(LISTAS!$I$3:$I$42,MATCH($T759,LISTAS!$H$3:$H$42,0)),"NO")="SÍ",IF(N($X759)&gt;0,"CERRADA FUERA DE SLA","CERRADA EN SLA"),IF($U759="","SIN CLASIFICAR",IF(N($X759)&gt;0,"VENCIDA",IF(TODAY()&gt;=$U759-1,"POR VENCER","EN PLAZO")))))</f>
        <v/>
      </c>
      <c r="Z759" s="41" t="n"/>
      <c r="AA759" s="41" t="n"/>
      <c r="AB759" s="41" t="n"/>
    </row>
    <row r="760">
      <c r="A760" s="39">
        <f>IF($C760="","","NOV-"&amp;TEXT(ROW()-3,"0000"))</f>
        <v/>
      </c>
      <c r="B760" s="40" t="n"/>
      <c r="C760" s="41" t="n"/>
      <c r="D760" s="42">
        <f>IF($C760="","",IFERROR(INDEX(DESPACHOS!$D$3:$D$3002,MATCH($C760,DESPACHOS!$B$3:$B$3002,0)),"SIN DESPACHO"))</f>
        <v/>
      </c>
      <c r="E760" s="42">
        <f>IF($C760="","",IFERROR(INDEX(DESPACHOS!$K$3:$K$3002,MATCH($C760,DESPACHOS!$B$3:$B$3002,0)),""))</f>
        <v/>
      </c>
      <c r="F760" s="42">
        <f>IF($C760="","",IFERROR(INDEX(DESPACHOS!$I$3:$I$3002,MATCH($C760,DESPACHOS!$B$3:$B$3002,0)),""))</f>
        <v/>
      </c>
      <c r="G760" s="42">
        <f>IF($C760="","",IFERROR(INDEX(DESPACHOS!$F$3:$F$3002,MATCH($C760,DESPACHOS!$B$3:$B$3002,0)),""))</f>
        <v/>
      </c>
      <c r="H760" s="42">
        <f>IF($C760="","",IFERROR(INDEX(DESPACHOS!$G$3:$G$3002,MATCH($C760,DESPACHOS!$B$3:$B$3002,0)),""))</f>
        <v/>
      </c>
      <c r="I760" s="39">
        <f>IF($C760="","",IFERROR(INDEX(DESPACHOS!$H$3:$H$3002,MATCH($C760,DESPACHOS!$B$3:$B$3002,0)),""))</f>
        <v/>
      </c>
      <c r="J760" s="43">
        <f>IF($C760="","",IFERROR(INDEX(DESPACHOS!$J$3:$J$3002,MATCH($C760,DESPACHOS!$B$3:$B$3002,0)),""))</f>
        <v/>
      </c>
      <c r="K760" s="39">
        <f>IF($C760="","",IF(COUNTIFS(DESPACHOS!$B$3:$B$3002,$C760)=0,"NO EXISTE",IF(COUNTIFS(DESPACHOS!$B$3:$B$3002,$C760)&gt;1,"DUPLICADO","OK")))</f>
        <v/>
      </c>
      <c r="L760" s="41" t="n"/>
      <c r="M760" s="41" t="n"/>
      <c r="N760" s="42">
        <f>IF($M760="","",IFERROR(INDEX(LISTAS!$F$3:$F$42,MATCH($M760,LISTAS!$E$3:$E$42,0)),"Por definir"))</f>
        <v/>
      </c>
      <c r="O760" s="41" t="n"/>
      <c r="P760" s="39">
        <f>IF($L760="","",IFERROR(INDEX(LISTAS!$B$3:$B$42,MATCH($L760,LISTAS!$A$3:$A$42,0)),"Media"))</f>
        <v/>
      </c>
      <c r="Q760" s="44" t="n"/>
      <c r="R760" s="45" t="n"/>
      <c r="S760" s="20">
        <f>IFERROR(IF(OR($R760="",$C760=""),"",$R760/INDEX(DESPACHOS!$M$3:$M$3002,MATCH($C760,DESPACHOS!$B$3:$B$3002,0))),"")</f>
        <v/>
      </c>
      <c r="T760" s="41" t="n"/>
      <c r="U760" s="43">
        <f>IF(OR($B760="",$L760=""),"",WORKDAY($B760,IFERROR(INDEX(LISTAS!$C$3:$C$42,MATCH($L760,LISTAS!$A$3:$A$42,0)),3)))</f>
        <v/>
      </c>
      <c r="V760" s="40" t="n"/>
      <c r="W760" s="19">
        <f>IF($B760="","",IF($V760&lt;&gt;"",$V760-$B760,TODAY()-$B760))</f>
        <v/>
      </c>
      <c r="X760" s="19">
        <f>IF(OR($B760="",$U760=""),"",IF($V760&lt;&gt;"",MAX(0,$V760-$U760),MAX(0,TODAY()-$U760)))</f>
        <v/>
      </c>
      <c r="Y760" s="39">
        <f>IF($C760="","",IF(IFERROR(INDEX(LISTAS!$I$3:$I$42,MATCH($T760,LISTAS!$H$3:$H$42,0)),"NO")="SÍ",IF(N($X760)&gt;0,"CERRADA FUERA DE SLA","CERRADA EN SLA"),IF($U760="","SIN CLASIFICAR",IF(N($X760)&gt;0,"VENCIDA",IF(TODAY()&gt;=$U760-1,"POR VENCER","EN PLAZO")))))</f>
        <v/>
      </c>
      <c r="Z760" s="41" t="n"/>
      <c r="AA760" s="41" t="n"/>
      <c r="AB760" s="41" t="n"/>
    </row>
    <row r="761">
      <c r="A761" s="39">
        <f>IF($C761="","","NOV-"&amp;TEXT(ROW()-3,"0000"))</f>
        <v/>
      </c>
      <c r="B761" s="40" t="n"/>
      <c r="C761" s="41" t="n"/>
      <c r="D761" s="42">
        <f>IF($C761="","",IFERROR(INDEX(DESPACHOS!$D$3:$D$3002,MATCH($C761,DESPACHOS!$B$3:$B$3002,0)),"SIN DESPACHO"))</f>
        <v/>
      </c>
      <c r="E761" s="42">
        <f>IF($C761="","",IFERROR(INDEX(DESPACHOS!$K$3:$K$3002,MATCH($C761,DESPACHOS!$B$3:$B$3002,0)),""))</f>
        <v/>
      </c>
      <c r="F761" s="42">
        <f>IF($C761="","",IFERROR(INDEX(DESPACHOS!$I$3:$I$3002,MATCH($C761,DESPACHOS!$B$3:$B$3002,0)),""))</f>
        <v/>
      </c>
      <c r="G761" s="42">
        <f>IF($C761="","",IFERROR(INDEX(DESPACHOS!$F$3:$F$3002,MATCH($C761,DESPACHOS!$B$3:$B$3002,0)),""))</f>
        <v/>
      </c>
      <c r="H761" s="42">
        <f>IF($C761="","",IFERROR(INDEX(DESPACHOS!$G$3:$G$3002,MATCH($C761,DESPACHOS!$B$3:$B$3002,0)),""))</f>
        <v/>
      </c>
      <c r="I761" s="39">
        <f>IF($C761="","",IFERROR(INDEX(DESPACHOS!$H$3:$H$3002,MATCH($C761,DESPACHOS!$B$3:$B$3002,0)),""))</f>
        <v/>
      </c>
      <c r="J761" s="43">
        <f>IF($C761="","",IFERROR(INDEX(DESPACHOS!$J$3:$J$3002,MATCH($C761,DESPACHOS!$B$3:$B$3002,0)),""))</f>
        <v/>
      </c>
      <c r="K761" s="39">
        <f>IF($C761="","",IF(COUNTIFS(DESPACHOS!$B$3:$B$3002,$C761)=0,"NO EXISTE",IF(COUNTIFS(DESPACHOS!$B$3:$B$3002,$C761)&gt;1,"DUPLICADO","OK")))</f>
        <v/>
      </c>
      <c r="L761" s="41" t="n"/>
      <c r="M761" s="41" t="n"/>
      <c r="N761" s="42">
        <f>IF($M761="","",IFERROR(INDEX(LISTAS!$F$3:$F$42,MATCH($M761,LISTAS!$E$3:$E$42,0)),"Por definir"))</f>
        <v/>
      </c>
      <c r="O761" s="41" t="n"/>
      <c r="P761" s="39">
        <f>IF($L761="","",IFERROR(INDEX(LISTAS!$B$3:$B$42,MATCH($L761,LISTAS!$A$3:$A$42,0)),"Media"))</f>
        <v/>
      </c>
      <c r="Q761" s="44" t="n"/>
      <c r="R761" s="45" t="n"/>
      <c r="S761" s="20">
        <f>IFERROR(IF(OR($R761="",$C761=""),"",$R761/INDEX(DESPACHOS!$M$3:$M$3002,MATCH($C761,DESPACHOS!$B$3:$B$3002,0))),"")</f>
        <v/>
      </c>
      <c r="T761" s="41" t="n"/>
      <c r="U761" s="43">
        <f>IF(OR($B761="",$L761=""),"",WORKDAY($B761,IFERROR(INDEX(LISTAS!$C$3:$C$42,MATCH($L761,LISTAS!$A$3:$A$42,0)),3)))</f>
        <v/>
      </c>
      <c r="V761" s="40" t="n"/>
      <c r="W761" s="19">
        <f>IF($B761="","",IF($V761&lt;&gt;"",$V761-$B761,TODAY()-$B761))</f>
        <v/>
      </c>
      <c r="X761" s="19">
        <f>IF(OR($B761="",$U761=""),"",IF($V761&lt;&gt;"",MAX(0,$V761-$U761),MAX(0,TODAY()-$U761)))</f>
        <v/>
      </c>
      <c r="Y761" s="39">
        <f>IF($C761="","",IF(IFERROR(INDEX(LISTAS!$I$3:$I$42,MATCH($T761,LISTAS!$H$3:$H$42,0)),"NO")="SÍ",IF(N($X761)&gt;0,"CERRADA FUERA DE SLA","CERRADA EN SLA"),IF($U761="","SIN CLASIFICAR",IF(N($X761)&gt;0,"VENCIDA",IF(TODAY()&gt;=$U761-1,"POR VENCER","EN PLAZO")))))</f>
        <v/>
      </c>
      <c r="Z761" s="41" t="n"/>
      <c r="AA761" s="41" t="n"/>
      <c r="AB761" s="41" t="n"/>
    </row>
    <row r="762">
      <c r="A762" s="39">
        <f>IF($C762="","","NOV-"&amp;TEXT(ROW()-3,"0000"))</f>
        <v/>
      </c>
      <c r="B762" s="40" t="n"/>
      <c r="C762" s="41" t="n"/>
      <c r="D762" s="42">
        <f>IF($C762="","",IFERROR(INDEX(DESPACHOS!$D$3:$D$3002,MATCH($C762,DESPACHOS!$B$3:$B$3002,0)),"SIN DESPACHO"))</f>
        <v/>
      </c>
      <c r="E762" s="42">
        <f>IF($C762="","",IFERROR(INDEX(DESPACHOS!$K$3:$K$3002,MATCH($C762,DESPACHOS!$B$3:$B$3002,0)),""))</f>
        <v/>
      </c>
      <c r="F762" s="42">
        <f>IF($C762="","",IFERROR(INDEX(DESPACHOS!$I$3:$I$3002,MATCH($C762,DESPACHOS!$B$3:$B$3002,0)),""))</f>
        <v/>
      </c>
      <c r="G762" s="42">
        <f>IF($C762="","",IFERROR(INDEX(DESPACHOS!$F$3:$F$3002,MATCH($C762,DESPACHOS!$B$3:$B$3002,0)),""))</f>
        <v/>
      </c>
      <c r="H762" s="42">
        <f>IF($C762="","",IFERROR(INDEX(DESPACHOS!$G$3:$G$3002,MATCH($C762,DESPACHOS!$B$3:$B$3002,0)),""))</f>
        <v/>
      </c>
      <c r="I762" s="39">
        <f>IF($C762="","",IFERROR(INDEX(DESPACHOS!$H$3:$H$3002,MATCH($C762,DESPACHOS!$B$3:$B$3002,0)),""))</f>
        <v/>
      </c>
      <c r="J762" s="43">
        <f>IF($C762="","",IFERROR(INDEX(DESPACHOS!$J$3:$J$3002,MATCH($C762,DESPACHOS!$B$3:$B$3002,0)),""))</f>
        <v/>
      </c>
      <c r="K762" s="39">
        <f>IF($C762="","",IF(COUNTIFS(DESPACHOS!$B$3:$B$3002,$C762)=0,"NO EXISTE",IF(COUNTIFS(DESPACHOS!$B$3:$B$3002,$C762)&gt;1,"DUPLICADO","OK")))</f>
        <v/>
      </c>
      <c r="L762" s="41" t="n"/>
      <c r="M762" s="41" t="n"/>
      <c r="N762" s="42">
        <f>IF($M762="","",IFERROR(INDEX(LISTAS!$F$3:$F$42,MATCH($M762,LISTAS!$E$3:$E$42,0)),"Por definir"))</f>
        <v/>
      </c>
      <c r="O762" s="41" t="n"/>
      <c r="P762" s="39">
        <f>IF($L762="","",IFERROR(INDEX(LISTAS!$B$3:$B$42,MATCH($L762,LISTAS!$A$3:$A$42,0)),"Media"))</f>
        <v/>
      </c>
      <c r="Q762" s="44" t="n"/>
      <c r="R762" s="45" t="n"/>
      <c r="S762" s="20">
        <f>IFERROR(IF(OR($R762="",$C762=""),"",$R762/INDEX(DESPACHOS!$M$3:$M$3002,MATCH($C762,DESPACHOS!$B$3:$B$3002,0))),"")</f>
        <v/>
      </c>
      <c r="T762" s="41" t="n"/>
      <c r="U762" s="43">
        <f>IF(OR($B762="",$L762=""),"",WORKDAY($B762,IFERROR(INDEX(LISTAS!$C$3:$C$42,MATCH($L762,LISTAS!$A$3:$A$42,0)),3)))</f>
        <v/>
      </c>
      <c r="V762" s="40" t="n"/>
      <c r="W762" s="19">
        <f>IF($B762="","",IF($V762&lt;&gt;"",$V762-$B762,TODAY()-$B762))</f>
        <v/>
      </c>
      <c r="X762" s="19">
        <f>IF(OR($B762="",$U762=""),"",IF($V762&lt;&gt;"",MAX(0,$V762-$U762),MAX(0,TODAY()-$U762)))</f>
        <v/>
      </c>
      <c r="Y762" s="39">
        <f>IF($C762="","",IF(IFERROR(INDEX(LISTAS!$I$3:$I$42,MATCH($T762,LISTAS!$H$3:$H$42,0)),"NO")="SÍ",IF(N($X762)&gt;0,"CERRADA FUERA DE SLA","CERRADA EN SLA"),IF($U762="","SIN CLASIFICAR",IF(N($X762)&gt;0,"VENCIDA",IF(TODAY()&gt;=$U762-1,"POR VENCER","EN PLAZO")))))</f>
        <v/>
      </c>
      <c r="Z762" s="41" t="n"/>
      <c r="AA762" s="41" t="n"/>
      <c r="AB762" s="41" t="n"/>
    </row>
    <row r="763">
      <c r="A763" s="39">
        <f>IF($C763="","","NOV-"&amp;TEXT(ROW()-3,"0000"))</f>
        <v/>
      </c>
      <c r="B763" s="40" t="n"/>
      <c r="C763" s="41" t="n"/>
      <c r="D763" s="42">
        <f>IF($C763="","",IFERROR(INDEX(DESPACHOS!$D$3:$D$3002,MATCH($C763,DESPACHOS!$B$3:$B$3002,0)),"SIN DESPACHO"))</f>
        <v/>
      </c>
      <c r="E763" s="42">
        <f>IF($C763="","",IFERROR(INDEX(DESPACHOS!$K$3:$K$3002,MATCH($C763,DESPACHOS!$B$3:$B$3002,0)),""))</f>
        <v/>
      </c>
      <c r="F763" s="42">
        <f>IF($C763="","",IFERROR(INDEX(DESPACHOS!$I$3:$I$3002,MATCH($C763,DESPACHOS!$B$3:$B$3002,0)),""))</f>
        <v/>
      </c>
      <c r="G763" s="42">
        <f>IF($C763="","",IFERROR(INDEX(DESPACHOS!$F$3:$F$3002,MATCH($C763,DESPACHOS!$B$3:$B$3002,0)),""))</f>
        <v/>
      </c>
      <c r="H763" s="42">
        <f>IF($C763="","",IFERROR(INDEX(DESPACHOS!$G$3:$G$3002,MATCH($C763,DESPACHOS!$B$3:$B$3002,0)),""))</f>
        <v/>
      </c>
      <c r="I763" s="39">
        <f>IF($C763="","",IFERROR(INDEX(DESPACHOS!$H$3:$H$3002,MATCH($C763,DESPACHOS!$B$3:$B$3002,0)),""))</f>
        <v/>
      </c>
      <c r="J763" s="43">
        <f>IF($C763="","",IFERROR(INDEX(DESPACHOS!$J$3:$J$3002,MATCH($C763,DESPACHOS!$B$3:$B$3002,0)),""))</f>
        <v/>
      </c>
      <c r="K763" s="39">
        <f>IF($C763="","",IF(COUNTIFS(DESPACHOS!$B$3:$B$3002,$C763)=0,"NO EXISTE",IF(COUNTIFS(DESPACHOS!$B$3:$B$3002,$C763)&gt;1,"DUPLICADO","OK")))</f>
        <v/>
      </c>
      <c r="L763" s="41" t="n"/>
      <c r="M763" s="41" t="n"/>
      <c r="N763" s="42">
        <f>IF($M763="","",IFERROR(INDEX(LISTAS!$F$3:$F$42,MATCH($M763,LISTAS!$E$3:$E$42,0)),"Por definir"))</f>
        <v/>
      </c>
      <c r="O763" s="41" t="n"/>
      <c r="P763" s="39">
        <f>IF($L763="","",IFERROR(INDEX(LISTAS!$B$3:$B$42,MATCH($L763,LISTAS!$A$3:$A$42,0)),"Media"))</f>
        <v/>
      </c>
      <c r="Q763" s="44" t="n"/>
      <c r="R763" s="45" t="n"/>
      <c r="S763" s="20">
        <f>IFERROR(IF(OR($R763="",$C763=""),"",$R763/INDEX(DESPACHOS!$M$3:$M$3002,MATCH($C763,DESPACHOS!$B$3:$B$3002,0))),"")</f>
        <v/>
      </c>
      <c r="T763" s="41" t="n"/>
      <c r="U763" s="43">
        <f>IF(OR($B763="",$L763=""),"",WORKDAY($B763,IFERROR(INDEX(LISTAS!$C$3:$C$42,MATCH($L763,LISTAS!$A$3:$A$42,0)),3)))</f>
        <v/>
      </c>
      <c r="V763" s="40" t="n"/>
      <c r="W763" s="19">
        <f>IF($B763="","",IF($V763&lt;&gt;"",$V763-$B763,TODAY()-$B763))</f>
        <v/>
      </c>
      <c r="X763" s="19">
        <f>IF(OR($B763="",$U763=""),"",IF($V763&lt;&gt;"",MAX(0,$V763-$U763),MAX(0,TODAY()-$U763)))</f>
        <v/>
      </c>
      <c r="Y763" s="39">
        <f>IF($C763="","",IF(IFERROR(INDEX(LISTAS!$I$3:$I$42,MATCH($T763,LISTAS!$H$3:$H$42,0)),"NO")="SÍ",IF(N($X763)&gt;0,"CERRADA FUERA DE SLA","CERRADA EN SLA"),IF($U763="","SIN CLASIFICAR",IF(N($X763)&gt;0,"VENCIDA",IF(TODAY()&gt;=$U763-1,"POR VENCER","EN PLAZO")))))</f>
        <v/>
      </c>
      <c r="Z763" s="41" t="n"/>
      <c r="AA763" s="41" t="n"/>
      <c r="AB763" s="41" t="n"/>
    </row>
    <row r="764">
      <c r="A764" s="39">
        <f>IF($C764="","","NOV-"&amp;TEXT(ROW()-3,"0000"))</f>
        <v/>
      </c>
      <c r="B764" s="40" t="n"/>
      <c r="C764" s="41" t="n"/>
      <c r="D764" s="42">
        <f>IF($C764="","",IFERROR(INDEX(DESPACHOS!$D$3:$D$3002,MATCH($C764,DESPACHOS!$B$3:$B$3002,0)),"SIN DESPACHO"))</f>
        <v/>
      </c>
      <c r="E764" s="42">
        <f>IF($C764="","",IFERROR(INDEX(DESPACHOS!$K$3:$K$3002,MATCH($C764,DESPACHOS!$B$3:$B$3002,0)),""))</f>
        <v/>
      </c>
      <c r="F764" s="42">
        <f>IF($C764="","",IFERROR(INDEX(DESPACHOS!$I$3:$I$3002,MATCH($C764,DESPACHOS!$B$3:$B$3002,0)),""))</f>
        <v/>
      </c>
      <c r="G764" s="42">
        <f>IF($C764="","",IFERROR(INDEX(DESPACHOS!$F$3:$F$3002,MATCH($C764,DESPACHOS!$B$3:$B$3002,0)),""))</f>
        <v/>
      </c>
      <c r="H764" s="42">
        <f>IF($C764="","",IFERROR(INDEX(DESPACHOS!$G$3:$G$3002,MATCH($C764,DESPACHOS!$B$3:$B$3002,0)),""))</f>
        <v/>
      </c>
      <c r="I764" s="39">
        <f>IF($C764="","",IFERROR(INDEX(DESPACHOS!$H$3:$H$3002,MATCH($C764,DESPACHOS!$B$3:$B$3002,0)),""))</f>
        <v/>
      </c>
      <c r="J764" s="43">
        <f>IF($C764="","",IFERROR(INDEX(DESPACHOS!$J$3:$J$3002,MATCH($C764,DESPACHOS!$B$3:$B$3002,0)),""))</f>
        <v/>
      </c>
      <c r="K764" s="39">
        <f>IF($C764="","",IF(COUNTIFS(DESPACHOS!$B$3:$B$3002,$C764)=0,"NO EXISTE",IF(COUNTIFS(DESPACHOS!$B$3:$B$3002,$C764)&gt;1,"DUPLICADO","OK")))</f>
        <v/>
      </c>
      <c r="L764" s="41" t="n"/>
      <c r="M764" s="41" t="n"/>
      <c r="N764" s="42">
        <f>IF($M764="","",IFERROR(INDEX(LISTAS!$F$3:$F$42,MATCH($M764,LISTAS!$E$3:$E$42,0)),"Por definir"))</f>
        <v/>
      </c>
      <c r="O764" s="41" t="n"/>
      <c r="P764" s="39">
        <f>IF($L764="","",IFERROR(INDEX(LISTAS!$B$3:$B$42,MATCH($L764,LISTAS!$A$3:$A$42,0)),"Media"))</f>
        <v/>
      </c>
      <c r="Q764" s="44" t="n"/>
      <c r="R764" s="45" t="n"/>
      <c r="S764" s="20">
        <f>IFERROR(IF(OR($R764="",$C764=""),"",$R764/INDEX(DESPACHOS!$M$3:$M$3002,MATCH($C764,DESPACHOS!$B$3:$B$3002,0))),"")</f>
        <v/>
      </c>
      <c r="T764" s="41" t="n"/>
      <c r="U764" s="43">
        <f>IF(OR($B764="",$L764=""),"",WORKDAY($B764,IFERROR(INDEX(LISTAS!$C$3:$C$42,MATCH($L764,LISTAS!$A$3:$A$42,0)),3)))</f>
        <v/>
      </c>
      <c r="V764" s="40" t="n"/>
      <c r="W764" s="19">
        <f>IF($B764="","",IF($V764&lt;&gt;"",$V764-$B764,TODAY()-$B764))</f>
        <v/>
      </c>
      <c r="X764" s="19">
        <f>IF(OR($B764="",$U764=""),"",IF($V764&lt;&gt;"",MAX(0,$V764-$U764),MAX(0,TODAY()-$U764)))</f>
        <v/>
      </c>
      <c r="Y764" s="39">
        <f>IF($C764="","",IF(IFERROR(INDEX(LISTAS!$I$3:$I$42,MATCH($T764,LISTAS!$H$3:$H$42,0)),"NO")="SÍ",IF(N($X764)&gt;0,"CERRADA FUERA DE SLA","CERRADA EN SLA"),IF($U764="","SIN CLASIFICAR",IF(N($X764)&gt;0,"VENCIDA",IF(TODAY()&gt;=$U764-1,"POR VENCER","EN PLAZO")))))</f>
        <v/>
      </c>
      <c r="Z764" s="41" t="n"/>
      <c r="AA764" s="41" t="n"/>
      <c r="AB764" s="41" t="n"/>
    </row>
    <row r="765">
      <c r="A765" s="39">
        <f>IF($C765="","","NOV-"&amp;TEXT(ROW()-3,"0000"))</f>
        <v/>
      </c>
      <c r="B765" s="40" t="n"/>
      <c r="C765" s="41" t="n"/>
      <c r="D765" s="42">
        <f>IF($C765="","",IFERROR(INDEX(DESPACHOS!$D$3:$D$3002,MATCH($C765,DESPACHOS!$B$3:$B$3002,0)),"SIN DESPACHO"))</f>
        <v/>
      </c>
      <c r="E765" s="42">
        <f>IF($C765="","",IFERROR(INDEX(DESPACHOS!$K$3:$K$3002,MATCH($C765,DESPACHOS!$B$3:$B$3002,0)),""))</f>
        <v/>
      </c>
      <c r="F765" s="42">
        <f>IF($C765="","",IFERROR(INDEX(DESPACHOS!$I$3:$I$3002,MATCH($C765,DESPACHOS!$B$3:$B$3002,0)),""))</f>
        <v/>
      </c>
      <c r="G765" s="42">
        <f>IF($C765="","",IFERROR(INDEX(DESPACHOS!$F$3:$F$3002,MATCH($C765,DESPACHOS!$B$3:$B$3002,0)),""))</f>
        <v/>
      </c>
      <c r="H765" s="42">
        <f>IF($C765="","",IFERROR(INDEX(DESPACHOS!$G$3:$G$3002,MATCH($C765,DESPACHOS!$B$3:$B$3002,0)),""))</f>
        <v/>
      </c>
      <c r="I765" s="39">
        <f>IF($C765="","",IFERROR(INDEX(DESPACHOS!$H$3:$H$3002,MATCH($C765,DESPACHOS!$B$3:$B$3002,0)),""))</f>
        <v/>
      </c>
      <c r="J765" s="43">
        <f>IF($C765="","",IFERROR(INDEX(DESPACHOS!$J$3:$J$3002,MATCH($C765,DESPACHOS!$B$3:$B$3002,0)),""))</f>
        <v/>
      </c>
      <c r="K765" s="39">
        <f>IF($C765="","",IF(COUNTIFS(DESPACHOS!$B$3:$B$3002,$C765)=0,"NO EXISTE",IF(COUNTIFS(DESPACHOS!$B$3:$B$3002,$C765)&gt;1,"DUPLICADO","OK")))</f>
        <v/>
      </c>
      <c r="L765" s="41" t="n"/>
      <c r="M765" s="41" t="n"/>
      <c r="N765" s="42">
        <f>IF($M765="","",IFERROR(INDEX(LISTAS!$F$3:$F$42,MATCH($M765,LISTAS!$E$3:$E$42,0)),"Por definir"))</f>
        <v/>
      </c>
      <c r="O765" s="41" t="n"/>
      <c r="P765" s="39">
        <f>IF($L765="","",IFERROR(INDEX(LISTAS!$B$3:$B$42,MATCH($L765,LISTAS!$A$3:$A$42,0)),"Media"))</f>
        <v/>
      </c>
      <c r="Q765" s="44" t="n"/>
      <c r="R765" s="45" t="n"/>
      <c r="S765" s="20">
        <f>IFERROR(IF(OR($R765="",$C765=""),"",$R765/INDEX(DESPACHOS!$M$3:$M$3002,MATCH($C765,DESPACHOS!$B$3:$B$3002,0))),"")</f>
        <v/>
      </c>
      <c r="T765" s="41" t="n"/>
      <c r="U765" s="43">
        <f>IF(OR($B765="",$L765=""),"",WORKDAY($B765,IFERROR(INDEX(LISTAS!$C$3:$C$42,MATCH($L765,LISTAS!$A$3:$A$42,0)),3)))</f>
        <v/>
      </c>
      <c r="V765" s="40" t="n"/>
      <c r="W765" s="19">
        <f>IF($B765="","",IF($V765&lt;&gt;"",$V765-$B765,TODAY()-$B765))</f>
        <v/>
      </c>
      <c r="X765" s="19">
        <f>IF(OR($B765="",$U765=""),"",IF($V765&lt;&gt;"",MAX(0,$V765-$U765),MAX(0,TODAY()-$U765)))</f>
        <v/>
      </c>
      <c r="Y765" s="39">
        <f>IF($C765="","",IF(IFERROR(INDEX(LISTAS!$I$3:$I$42,MATCH($T765,LISTAS!$H$3:$H$42,0)),"NO")="SÍ",IF(N($X765)&gt;0,"CERRADA FUERA DE SLA","CERRADA EN SLA"),IF($U765="","SIN CLASIFICAR",IF(N($X765)&gt;0,"VENCIDA",IF(TODAY()&gt;=$U765-1,"POR VENCER","EN PLAZO")))))</f>
        <v/>
      </c>
      <c r="Z765" s="41" t="n"/>
      <c r="AA765" s="41" t="n"/>
      <c r="AB765" s="41" t="n"/>
    </row>
    <row r="766">
      <c r="A766" s="39">
        <f>IF($C766="","","NOV-"&amp;TEXT(ROW()-3,"0000"))</f>
        <v/>
      </c>
      <c r="B766" s="40" t="n"/>
      <c r="C766" s="41" t="n"/>
      <c r="D766" s="42">
        <f>IF($C766="","",IFERROR(INDEX(DESPACHOS!$D$3:$D$3002,MATCH($C766,DESPACHOS!$B$3:$B$3002,0)),"SIN DESPACHO"))</f>
        <v/>
      </c>
      <c r="E766" s="42">
        <f>IF($C766="","",IFERROR(INDEX(DESPACHOS!$K$3:$K$3002,MATCH($C766,DESPACHOS!$B$3:$B$3002,0)),""))</f>
        <v/>
      </c>
      <c r="F766" s="42">
        <f>IF($C766="","",IFERROR(INDEX(DESPACHOS!$I$3:$I$3002,MATCH($C766,DESPACHOS!$B$3:$B$3002,0)),""))</f>
        <v/>
      </c>
      <c r="G766" s="42">
        <f>IF($C766="","",IFERROR(INDEX(DESPACHOS!$F$3:$F$3002,MATCH($C766,DESPACHOS!$B$3:$B$3002,0)),""))</f>
        <v/>
      </c>
      <c r="H766" s="42">
        <f>IF($C766="","",IFERROR(INDEX(DESPACHOS!$G$3:$G$3002,MATCH($C766,DESPACHOS!$B$3:$B$3002,0)),""))</f>
        <v/>
      </c>
      <c r="I766" s="39">
        <f>IF($C766="","",IFERROR(INDEX(DESPACHOS!$H$3:$H$3002,MATCH($C766,DESPACHOS!$B$3:$B$3002,0)),""))</f>
        <v/>
      </c>
      <c r="J766" s="43">
        <f>IF($C766="","",IFERROR(INDEX(DESPACHOS!$J$3:$J$3002,MATCH($C766,DESPACHOS!$B$3:$B$3002,0)),""))</f>
        <v/>
      </c>
      <c r="K766" s="39">
        <f>IF($C766="","",IF(COUNTIFS(DESPACHOS!$B$3:$B$3002,$C766)=0,"NO EXISTE",IF(COUNTIFS(DESPACHOS!$B$3:$B$3002,$C766)&gt;1,"DUPLICADO","OK")))</f>
        <v/>
      </c>
      <c r="L766" s="41" t="n"/>
      <c r="M766" s="41" t="n"/>
      <c r="N766" s="42">
        <f>IF($M766="","",IFERROR(INDEX(LISTAS!$F$3:$F$42,MATCH($M766,LISTAS!$E$3:$E$42,0)),"Por definir"))</f>
        <v/>
      </c>
      <c r="O766" s="41" t="n"/>
      <c r="P766" s="39">
        <f>IF($L766="","",IFERROR(INDEX(LISTAS!$B$3:$B$42,MATCH($L766,LISTAS!$A$3:$A$42,0)),"Media"))</f>
        <v/>
      </c>
      <c r="Q766" s="44" t="n"/>
      <c r="R766" s="45" t="n"/>
      <c r="S766" s="20">
        <f>IFERROR(IF(OR($R766="",$C766=""),"",$R766/INDEX(DESPACHOS!$M$3:$M$3002,MATCH($C766,DESPACHOS!$B$3:$B$3002,0))),"")</f>
        <v/>
      </c>
      <c r="T766" s="41" t="n"/>
      <c r="U766" s="43">
        <f>IF(OR($B766="",$L766=""),"",WORKDAY($B766,IFERROR(INDEX(LISTAS!$C$3:$C$42,MATCH($L766,LISTAS!$A$3:$A$42,0)),3)))</f>
        <v/>
      </c>
      <c r="V766" s="40" t="n"/>
      <c r="W766" s="19">
        <f>IF($B766="","",IF($V766&lt;&gt;"",$V766-$B766,TODAY()-$B766))</f>
        <v/>
      </c>
      <c r="X766" s="19">
        <f>IF(OR($B766="",$U766=""),"",IF($V766&lt;&gt;"",MAX(0,$V766-$U766),MAX(0,TODAY()-$U766)))</f>
        <v/>
      </c>
      <c r="Y766" s="39">
        <f>IF($C766="","",IF(IFERROR(INDEX(LISTAS!$I$3:$I$42,MATCH($T766,LISTAS!$H$3:$H$42,0)),"NO")="SÍ",IF(N($X766)&gt;0,"CERRADA FUERA DE SLA","CERRADA EN SLA"),IF($U766="","SIN CLASIFICAR",IF(N($X766)&gt;0,"VENCIDA",IF(TODAY()&gt;=$U766-1,"POR VENCER","EN PLAZO")))))</f>
        <v/>
      </c>
      <c r="Z766" s="41" t="n"/>
      <c r="AA766" s="41" t="n"/>
      <c r="AB766" s="41" t="n"/>
    </row>
    <row r="767">
      <c r="A767" s="39">
        <f>IF($C767="","","NOV-"&amp;TEXT(ROW()-3,"0000"))</f>
        <v/>
      </c>
      <c r="B767" s="40" t="n"/>
      <c r="C767" s="41" t="n"/>
      <c r="D767" s="42">
        <f>IF($C767="","",IFERROR(INDEX(DESPACHOS!$D$3:$D$3002,MATCH($C767,DESPACHOS!$B$3:$B$3002,0)),"SIN DESPACHO"))</f>
        <v/>
      </c>
      <c r="E767" s="42">
        <f>IF($C767="","",IFERROR(INDEX(DESPACHOS!$K$3:$K$3002,MATCH($C767,DESPACHOS!$B$3:$B$3002,0)),""))</f>
        <v/>
      </c>
      <c r="F767" s="42">
        <f>IF($C767="","",IFERROR(INDEX(DESPACHOS!$I$3:$I$3002,MATCH($C767,DESPACHOS!$B$3:$B$3002,0)),""))</f>
        <v/>
      </c>
      <c r="G767" s="42">
        <f>IF($C767="","",IFERROR(INDEX(DESPACHOS!$F$3:$F$3002,MATCH($C767,DESPACHOS!$B$3:$B$3002,0)),""))</f>
        <v/>
      </c>
      <c r="H767" s="42">
        <f>IF($C767="","",IFERROR(INDEX(DESPACHOS!$G$3:$G$3002,MATCH($C767,DESPACHOS!$B$3:$B$3002,0)),""))</f>
        <v/>
      </c>
      <c r="I767" s="39">
        <f>IF($C767="","",IFERROR(INDEX(DESPACHOS!$H$3:$H$3002,MATCH($C767,DESPACHOS!$B$3:$B$3002,0)),""))</f>
        <v/>
      </c>
      <c r="J767" s="43">
        <f>IF($C767="","",IFERROR(INDEX(DESPACHOS!$J$3:$J$3002,MATCH($C767,DESPACHOS!$B$3:$B$3002,0)),""))</f>
        <v/>
      </c>
      <c r="K767" s="39">
        <f>IF($C767="","",IF(COUNTIFS(DESPACHOS!$B$3:$B$3002,$C767)=0,"NO EXISTE",IF(COUNTIFS(DESPACHOS!$B$3:$B$3002,$C767)&gt;1,"DUPLICADO","OK")))</f>
        <v/>
      </c>
      <c r="L767" s="41" t="n"/>
      <c r="M767" s="41" t="n"/>
      <c r="N767" s="42">
        <f>IF($M767="","",IFERROR(INDEX(LISTAS!$F$3:$F$42,MATCH($M767,LISTAS!$E$3:$E$42,0)),"Por definir"))</f>
        <v/>
      </c>
      <c r="O767" s="41" t="n"/>
      <c r="P767" s="39">
        <f>IF($L767="","",IFERROR(INDEX(LISTAS!$B$3:$B$42,MATCH($L767,LISTAS!$A$3:$A$42,0)),"Media"))</f>
        <v/>
      </c>
      <c r="Q767" s="44" t="n"/>
      <c r="R767" s="45" t="n"/>
      <c r="S767" s="20">
        <f>IFERROR(IF(OR($R767="",$C767=""),"",$R767/INDEX(DESPACHOS!$M$3:$M$3002,MATCH($C767,DESPACHOS!$B$3:$B$3002,0))),"")</f>
        <v/>
      </c>
      <c r="T767" s="41" t="n"/>
      <c r="U767" s="43">
        <f>IF(OR($B767="",$L767=""),"",WORKDAY($B767,IFERROR(INDEX(LISTAS!$C$3:$C$42,MATCH($L767,LISTAS!$A$3:$A$42,0)),3)))</f>
        <v/>
      </c>
      <c r="V767" s="40" t="n"/>
      <c r="W767" s="19">
        <f>IF($B767="","",IF($V767&lt;&gt;"",$V767-$B767,TODAY()-$B767))</f>
        <v/>
      </c>
      <c r="X767" s="19">
        <f>IF(OR($B767="",$U767=""),"",IF($V767&lt;&gt;"",MAX(0,$V767-$U767),MAX(0,TODAY()-$U767)))</f>
        <v/>
      </c>
      <c r="Y767" s="39">
        <f>IF($C767="","",IF(IFERROR(INDEX(LISTAS!$I$3:$I$42,MATCH($T767,LISTAS!$H$3:$H$42,0)),"NO")="SÍ",IF(N($X767)&gt;0,"CERRADA FUERA DE SLA","CERRADA EN SLA"),IF($U767="","SIN CLASIFICAR",IF(N($X767)&gt;0,"VENCIDA",IF(TODAY()&gt;=$U767-1,"POR VENCER","EN PLAZO")))))</f>
        <v/>
      </c>
      <c r="Z767" s="41" t="n"/>
      <c r="AA767" s="41" t="n"/>
      <c r="AB767" s="41" t="n"/>
    </row>
    <row r="768">
      <c r="A768" s="39">
        <f>IF($C768="","","NOV-"&amp;TEXT(ROW()-3,"0000"))</f>
        <v/>
      </c>
      <c r="B768" s="40" t="n"/>
      <c r="C768" s="41" t="n"/>
      <c r="D768" s="42">
        <f>IF($C768="","",IFERROR(INDEX(DESPACHOS!$D$3:$D$3002,MATCH($C768,DESPACHOS!$B$3:$B$3002,0)),"SIN DESPACHO"))</f>
        <v/>
      </c>
      <c r="E768" s="42">
        <f>IF($C768="","",IFERROR(INDEX(DESPACHOS!$K$3:$K$3002,MATCH($C768,DESPACHOS!$B$3:$B$3002,0)),""))</f>
        <v/>
      </c>
      <c r="F768" s="42">
        <f>IF($C768="","",IFERROR(INDEX(DESPACHOS!$I$3:$I$3002,MATCH($C768,DESPACHOS!$B$3:$B$3002,0)),""))</f>
        <v/>
      </c>
      <c r="G768" s="42">
        <f>IF($C768="","",IFERROR(INDEX(DESPACHOS!$F$3:$F$3002,MATCH($C768,DESPACHOS!$B$3:$B$3002,0)),""))</f>
        <v/>
      </c>
      <c r="H768" s="42">
        <f>IF($C768="","",IFERROR(INDEX(DESPACHOS!$G$3:$G$3002,MATCH($C768,DESPACHOS!$B$3:$B$3002,0)),""))</f>
        <v/>
      </c>
      <c r="I768" s="39">
        <f>IF($C768="","",IFERROR(INDEX(DESPACHOS!$H$3:$H$3002,MATCH($C768,DESPACHOS!$B$3:$B$3002,0)),""))</f>
        <v/>
      </c>
      <c r="J768" s="43">
        <f>IF($C768="","",IFERROR(INDEX(DESPACHOS!$J$3:$J$3002,MATCH($C768,DESPACHOS!$B$3:$B$3002,0)),""))</f>
        <v/>
      </c>
      <c r="K768" s="39">
        <f>IF($C768="","",IF(COUNTIFS(DESPACHOS!$B$3:$B$3002,$C768)=0,"NO EXISTE",IF(COUNTIFS(DESPACHOS!$B$3:$B$3002,$C768)&gt;1,"DUPLICADO","OK")))</f>
        <v/>
      </c>
      <c r="L768" s="41" t="n"/>
      <c r="M768" s="41" t="n"/>
      <c r="N768" s="42">
        <f>IF($M768="","",IFERROR(INDEX(LISTAS!$F$3:$F$42,MATCH($M768,LISTAS!$E$3:$E$42,0)),"Por definir"))</f>
        <v/>
      </c>
      <c r="O768" s="41" t="n"/>
      <c r="P768" s="39">
        <f>IF($L768="","",IFERROR(INDEX(LISTAS!$B$3:$B$42,MATCH($L768,LISTAS!$A$3:$A$42,0)),"Media"))</f>
        <v/>
      </c>
      <c r="Q768" s="44" t="n"/>
      <c r="R768" s="45" t="n"/>
      <c r="S768" s="20">
        <f>IFERROR(IF(OR($R768="",$C768=""),"",$R768/INDEX(DESPACHOS!$M$3:$M$3002,MATCH($C768,DESPACHOS!$B$3:$B$3002,0))),"")</f>
        <v/>
      </c>
      <c r="T768" s="41" t="n"/>
      <c r="U768" s="43">
        <f>IF(OR($B768="",$L768=""),"",WORKDAY($B768,IFERROR(INDEX(LISTAS!$C$3:$C$42,MATCH($L768,LISTAS!$A$3:$A$42,0)),3)))</f>
        <v/>
      </c>
      <c r="V768" s="40" t="n"/>
      <c r="W768" s="19">
        <f>IF($B768="","",IF($V768&lt;&gt;"",$V768-$B768,TODAY()-$B768))</f>
        <v/>
      </c>
      <c r="X768" s="19">
        <f>IF(OR($B768="",$U768=""),"",IF($V768&lt;&gt;"",MAX(0,$V768-$U768),MAX(0,TODAY()-$U768)))</f>
        <v/>
      </c>
      <c r="Y768" s="39">
        <f>IF($C768="","",IF(IFERROR(INDEX(LISTAS!$I$3:$I$42,MATCH($T768,LISTAS!$H$3:$H$42,0)),"NO")="SÍ",IF(N($X768)&gt;0,"CERRADA FUERA DE SLA","CERRADA EN SLA"),IF($U768="","SIN CLASIFICAR",IF(N($X768)&gt;0,"VENCIDA",IF(TODAY()&gt;=$U768-1,"POR VENCER","EN PLAZO")))))</f>
        <v/>
      </c>
      <c r="Z768" s="41" t="n"/>
      <c r="AA768" s="41" t="n"/>
      <c r="AB768" s="41" t="n"/>
    </row>
    <row r="769">
      <c r="A769" s="39">
        <f>IF($C769="","","NOV-"&amp;TEXT(ROW()-3,"0000"))</f>
        <v/>
      </c>
      <c r="B769" s="40" t="n"/>
      <c r="C769" s="41" t="n"/>
      <c r="D769" s="42">
        <f>IF($C769="","",IFERROR(INDEX(DESPACHOS!$D$3:$D$3002,MATCH($C769,DESPACHOS!$B$3:$B$3002,0)),"SIN DESPACHO"))</f>
        <v/>
      </c>
      <c r="E769" s="42">
        <f>IF($C769="","",IFERROR(INDEX(DESPACHOS!$K$3:$K$3002,MATCH($C769,DESPACHOS!$B$3:$B$3002,0)),""))</f>
        <v/>
      </c>
      <c r="F769" s="42">
        <f>IF($C769="","",IFERROR(INDEX(DESPACHOS!$I$3:$I$3002,MATCH($C769,DESPACHOS!$B$3:$B$3002,0)),""))</f>
        <v/>
      </c>
      <c r="G769" s="42">
        <f>IF($C769="","",IFERROR(INDEX(DESPACHOS!$F$3:$F$3002,MATCH($C769,DESPACHOS!$B$3:$B$3002,0)),""))</f>
        <v/>
      </c>
      <c r="H769" s="42">
        <f>IF($C769="","",IFERROR(INDEX(DESPACHOS!$G$3:$G$3002,MATCH($C769,DESPACHOS!$B$3:$B$3002,0)),""))</f>
        <v/>
      </c>
      <c r="I769" s="39">
        <f>IF($C769="","",IFERROR(INDEX(DESPACHOS!$H$3:$H$3002,MATCH($C769,DESPACHOS!$B$3:$B$3002,0)),""))</f>
        <v/>
      </c>
      <c r="J769" s="43">
        <f>IF($C769="","",IFERROR(INDEX(DESPACHOS!$J$3:$J$3002,MATCH($C769,DESPACHOS!$B$3:$B$3002,0)),""))</f>
        <v/>
      </c>
      <c r="K769" s="39">
        <f>IF($C769="","",IF(COUNTIFS(DESPACHOS!$B$3:$B$3002,$C769)=0,"NO EXISTE",IF(COUNTIFS(DESPACHOS!$B$3:$B$3002,$C769)&gt;1,"DUPLICADO","OK")))</f>
        <v/>
      </c>
      <c r="L769" s="41" t="n"/>
      <c r="M769" s="41" t="n"/>
      <c r="N769" s="42">
        <f>IF($M769="","",IFERROR(INDEX(LISTAS!$F$3:$F$42,MATCH($M769,LISTAS!$E$3:$E$42,0)),"Por definir"))</f>
        <v/>
      </c>
      <c r="O769" s="41" t="n"/>
      <c r="P769" s="39">
        <f>IF($L769="","",IFERROR(INDEX(LISTAS!$B$3:$B$42,MATCH($L769,LISTAS!$A$3:$A$42,0)),"Media"))</f>
        <v/>
      </c>
      <c r="Q769" s="44" t="n"/>
      <c r="R769" s="45" t="n"/>
      <c r="S769" s="20">
        <f>IFERROR(IF(OR($R769="",$C769=""),"",$R769/INDEX(DESPACHOS!$M$3:$M$3002,MATCH($C769,DESPACHOS!$B$3:$B$3002,0))),"")</f>
        <v/>
      </c>
      <c r="T769" s="41" t="n"/>
      <c r="U769" s="43">
        <f>IF(OR($B769="",$L769=""),"",WORKDAY($B769,IFERROR(INDEX(LISTAS!$C$3:$C$42,MATCH($L769,LISTAS!$A$3:$A$42,0)),3)))</f>
        <v/>
      </c>
      <c r="V769" s="40" t="n"/>
      <c r="W769" s="19">
        <f>IF($B769="","",IF($V769&lt;&gt;"",$V769-$B769,TODAY()-$B769))</f>
        <v/>
      </c>
      <c r="X769" s="19">
        <f>IF(OR($B769="",$U769=""),"",IF($V769&lt;&gt;"",MAX(0,$V769-$U769),MAX(0,TODAY()-$U769)))</f>
        <v/>
      </c>
      <c r="Y769" s="39">
        <f>IF($C769="","",IF(IFERROR(INDEX(LISTAS!$I$3:$I$42,MATCH($T769,LISTAS!$H$3:$H$42,0)),"NO")="SÍ",IF(N($X769)&gt;0,"CERRADA FUERA DE SLA","CERRADA EN SLA"),IF($U769="","SIN CLASIFICAR",IF(N($X769)&gt;0,"VENCIDA",IF(TODAY()&gt;=$U769-1,"POR VENCER","EN PLAZO")))))</f>
        <v/>
      </c>
      <c r="Z769" s="41" t="n"/>
      <c r="AA769" s="41" t="n"/>
      <c r="AB769" s="41" t="n"/>
    </row>
    <row r="770">
      <c r="A770" s="39">
        <f>IF($C770="","","NOV-"&amp;TEXT(ROW()-3,"0000"))</f>
        <v/>
      </c>
      <c r="B770" s="40" t="n"/>
      <c r="C770" s="41" t="n"/>
      <c r="D770" s="42">
        <f>IF($C770="","",IFERROR(INDEX(DESPACHOS!$D$3:$D$3002,MATCH($C770,DESPACHOS!$B$3:$B$3002,0)),"SIN DESPACHO"))</f>
        <v/>
      </c>
      <c r="E770" s="42">
        <f>IF($C770="","",IFERROR(INDEX(DESPACHOS!$K$3:$K$3002,MATCH($C770,DESPACHOS!$B$3:$B$3002,0)),""))</f>
        <v/>
      </c>
      <c r="F770" s="42">
        <f>IF($C770="","",IFERROR(INDEX(DESPACHOS!$I$3:$I$3002,MATCH($C770,DESPACHOS!$B$3:$B$3002,0)),""))</f>
        <v/>
      </c>
      <c r="G770" s="42">
        <f>IF($C770="","",IFERROR(INDEX(DESPACHOS!$F$3:$F$3002,MATCH($C770,DESPACHOS!$B$3:$B$3002,0)),""))</f>
        <v/>
      </c>
      <c r="H770" s="42">
        <f>IF($C770="","",IFERROR(INDEX(DESPACHOS!$G$3:$G$3002,MATCH($C770,DESPACHOS!$B$3:$B$3002,0)),""))</f>
        <v/>
      </c>
      <c r="I770" s="39">
        <f>IF($C770="","",IFERROR(INDEX(DESPACHOS!$H$3:$H$3002,MATCH($C770,DESPACHOS!$B$3:$B$3002,0)),""))</f>
        <v/>
      </c>
      <c r="J770" s="43">
        <f>IF($C770="","",IFERROR(INDEX(DESPACHOS!$J$3:$J$3002,MATCH($C770,DESPACHOS!$B$3:$B$3002,0)),""))</f>
        <v/>
      </c>
      <c r="K770" s="39">
        <f>IF($C770="","",IF(COUNTIFS(DESPACHOS!$B$3:$B$3002,$C770)=0,"NO EXISTE",IF(COUNTIFS(DESPACHOS!$B$3:$B$3002,$C770)&gt;1,"DUPLICADO","OK")))</f>
        <v/>
      </c>
      <c r="L770" s="41" t="n"/>
      <c r="M770" s="41" t="n"/>
      <c r="N770" s="42">
        <f>IF($M770="","",IFERROR(INDEX(LISTAS!$F$3:$F$42,MATCH($M770,LISTAS!$E$3:$E$42,0)),"Por definir"))</f>
        <v/>
      </c>
      <c r="O770" s="41" t="n"/>
      <c r="P770" s="39">
        <f>IF($L770="","",IFERROR(INDEX(LISTAS!$B$3:$B$42,MATCH($L770,LISTAS!$A$3:$A$42,0)),"Media"))</f>
        <v/>
      </c>
      <c r="Q770" s="44" t="n"/>
      <c r="R770" s="45" t="n"/>
      <c r="S770" s="20">
        <f>IFERROR(IF(OR($R770="",$C770=""),"",$R770/INDEX(DESPACHOS!$M$3:$M$3002,MATCH($C770,DESPACHOS!$B$3:$B$3002,0))),"")</f>
        <v/>
      </c>
      <c r="T770" s="41" t="n"/>
      <c r="U770" s="43">
        <f>IF(OR($B770="",$L770=""),"",WORKDAY($B770,IFERROR(INDEX(LISTAS!$C$3:$C$42,MATCH($L770,LISTAS!$A$3:$A$42,0)),3)))</f>
        <v/>
      </c>
      <c r="V770" s="40" t="n"/>
      <c r="W770" s="19">
        <f>IF($B770="","",IF($V770&lt;&gt;"",$V770-$B770,TODAY()-$B770))</f>
        <v/>
      </c>
      <c r="X770" s="19">
        <f>IF(OR($B770="",$U770=""),"",IF($V770&lt;&gt;"",MAX(0,$V770-$U770),MAX(0,TODAY()-$U770)))</f>
        <v/>
      </c>
      <c r="Y770" s="39">
        <f>IF($C770="","",IF(IFERROR(INDEX(LISTAS!$I$3:$I$42,MATCH($T770,LISTAS!$H$3:$H$42,0)),"NO")="SÍ",IF(N($X770)&gt;0,"CERRADA FUERA DE SLA","CERRADA EN SLA"),IF($U770="","SIN CLASIFICAR",IF(N($X770)&gt;0,"VENCIDA",IF(TODAY()&gt;=$U770-1,"POR VENCER","EN PLAZO")))))</f>
        <v/>
      </c>
      <c r="Z770" s="41" t="n"/>
      <c r="AA770" s="41" t="n"/>
      <c r="AB770" s="41" t="n"/>
    </row>
    <row r="771">
      <c r="A771" s="39">
        <f>IF($C771="","","NOV-"&amp;TEXT(ROW()-3,"0000"))</f>
        <v/>
      </c>
      <c r="B771" s="40" t="n"/>
      <c r="C771" s="41" t="n"/>
      <c r="D771" s="42">
        <f>IF($C771="","",IFERROR(INDEX(DESPACHOS!$D$3:$D$3002,MATCH($C771,DESPACHOS!$B$3:$B$3002,0)),"SIN DESPACHO"))</f>
        <v/>
      </c>
      <c r="E771" s="42">
        <f>IF($C771="","",IFERROR(INDEX(DESPACHOS!$K$3:$K$3002,MATCH($C771,DESPACHOS!$B$3:$B$3002,0)),""))</f>
        <v/>
      </c>
      <c r="F771" s="42">
        <f>IF($C771="","",IFERROR(INDEX(DESPACHOS!$I$3:$I$3002,MATCH($C771,DESPACHOS!$B$3:$B$3002,0)),""))</f>
        <v/>
      </c>
      <c r="G771" s="42">
        <f>IF($C771="","",IFERROR(INDEX(DESPACHOS!$F$3:$F$3002,MATCH($C771,DESPACHOS!$B$3:$B$3002,0)),""))</f>
        <v/>
      </c>
      <c r="H771" s="42">
        <f>IF($C771="","",IFERROR(INDEX(DESPACHOS!$G$3:$G$3002,MATCH($C771,DESPACHOS!$B$3:$B$3002,0)),""))</f>
        <v/>
      </c>
      <c r="I771" s="39">
        <f>IF($C771="","",IFERROR(INDEX(DESPACHOS!$H$3:$H$3002,MATCH($C771,DESPACHOS!$B$3:$B$3002,0)),""))</f>
        <v/>
      </c>
      <c r="J771" s="43">
        <f>IF($C771="","",IFERROR(INDEX(DESPACHOS!$J$3:$J$3002,MATCH($C771,DESPACHOS!$B$3:$B$3002,0)),""))</f>
        <v/>
      </c>
      <c r="K771" s="39">
        <f>IF($C771="","",IF(COUNTIFS(DESPACHOS!$B$3:$B$3002,$C771)=0,"NO EXISTE",IF(COUNTIFS(DESPACHOS!$B$3:$B$3002,$C771)&gt;1,"DUPLICADO","OK")))</f>
        <v/>
      </c>
      <c r="L771" s="41" t="n"/>
      <c r="M771" s="41" t="n"/>
      <c r="N771" s="42">
        <f>IF($M771="","",IFERROR(INDEX(LISTAS!$F$3:$F$42,MATCH($M771,LISTAS!$E$3:$E$42,0)),"Por definir"))</f>
        <v/>
      </c>
      <c r="O771" s="41" t="n"/>
      <c r="P771" s="39">
        <f>IF($L771="","",IFERROR(INDEX(LISTAS!$B$3:$B$42,MATCH($L771,LISTAS!$A$3:$A$42,0)),"Media"))</f>
        <v/>
      </c>
      <c r="Q771" s="44" t="n"/>
      <c r="R771" s="45" t="n"/>
      <c r="S771" s="20">
        <f>IFERROR(IF(OR($R771="",$C771=""),"",$R771/INDEX(DESPACHOS!$M$3:$M$3002,MATCH($C771,DESPACHOS!$B$3:$B$3002,0))),"")</f>
        <v/>
      </c>
      <c r="T771" s="41" t="n"/>
      <c r="U771" s="43">
        <f>IF(OR($B771="",$L771=""),"",WORKDAY($B771,IFERROR(INDEX(LISTAS!$C$3:$C$42,MATCH($L771,LISTAS!$A$3:$A$42,0)),3)))</f>
        <v/>
      </c>
      <c r="V771" s="40" t="n"/>
      <c r="W771" s="19">
        <f>IF($B771="","",IF($V771&lt;&gt;"",$V771-$B771,TODAY()-$B771))</f>
        <v/>
      </c>
      <c r="X771" s="19">
        <f>IF(OR($B771="",$U771=""),"",IF($V771&lt;&gt;"",MAX(0,$V771-$U771),MAX(0,TODAY()-$U771)))</f>
        <v/>
      </c>
      <c r="Y771" s="39">
        <f>IF($C771="","",IF(IFERROR(INDEX(LISTAS!$I$3:$I$42,MATCH($T771,LISTAS!$H$3:$H$42,0)),"NO")="SÍ",IF(N($X771)&gt;0,"CERRADA FUERA DE SLA","CERRADA EN SLA"),IF($U771="","SIN CLASIFICAR",IF(N($X771)&gt;0,"VENCIDA",IF(TODAY()&gt;=$U771-1,"POR VENCER","EN PLAZO")))))</f>
        <v/>
      </c>
      <c r="Z771" s="41" t="n"/>
      <c r="AA771" s="41" t="n"/>
      <c r="AB771" s="41" t="n"/>
    </row>
    <row r="772">
      <c r="A772" s="39">
        <f>IF($C772="","","NOV-"&amp;TEXT(ROW()-3,"0000"))</f>
        <v/>
      </c>
      <c r="B772" s="40" t="n"/>
      <c r="C772" s="41" t="n"/>
      <c r="D772" s="42">
        <f>IF($C772="","",IFERROR(INDEX(DESPACHOS!$D$3:$D$3002,MATCH($C772,DESPACHOS!$B$3:$B$3002,0)),"SIN DESPACHO"))</f>
        <v/>
      </c>
      <c r="E772" s="42">
        <f>IF($C772="","",IFERROR(INDEX(DESPACHOS!$K$3:$K$3002,MATCH($C772,DESPACHOS!$B$3:$B$3002,0)),""))</f>
        <v/>
      </c>
      <c r="F772" s="42">
        <f>IF($C772="","",IFERROR(INDEX(DESPACHOS!$I$3:$I$3002,MATCH($C772,DESPACHOS!$B$3:$B$3002,0)),""))</f>
        <v/>
      </c>
      <c r="G772" s="42">
        <f>IF($C772="","",IFERROR(INDEX(DESPACHOS!$F$3:$F$3002,MATCH($C772,DESPACHOS!$B$3:$B$3002,0)),""))</f>
        <v/>
      </c>
      <c r="H772" s="42">
        <f>IF($C772="","",IFERROR(INDEX(DESPACHOS!$G$3:$G$3002,MATCH($C772,DESPACHOS!$B$3:$B$3002,0)),""))</f>
        <v/>
      </c>
      <c r="I772" s="39">
        <f>IF($C772="","",IFERROR(INDEX(DESPACHOS!$H$3:$H$3002,MATCH($C772,DESPACHOS!$B$3:$B$3002,0)),""))</f>
        <v/>
      </c>
      <c r="J772" s="43">
        <f>IF($C772="","",IFERROR(INDEX(DESPACHOS!$J$3:$J$3002,MATCH($C772,DESPACHOS!$B$3:$B$3002,0)),""))</f>
        <v/>
      </c>
      <c r="K772" s="39">
        <f>IF($C772="","",IF(COUNTIFS(DESPACHOS!$B$3:$B$3002,$C772)=0,"NO EXISTE",IF(COUNTIFS(DESPACHOS!$B$3:$B$3002,$C772)&gt;1,"DUPLICADO","OK")))</f>
        <v/>
      </c>
      <c r="L772" s="41" t="n"/>
      <c r="M772" s="41" t="n"/>
      <c r="N772" s="42">
        <f>IF($M772="","",IFERROR(INDEX(LISTAS!$F$3:$F$42,MATCH($M772,LISTAS!$E$3:$E$42,0)),"Por definir"))</f>
        <v/>
      </c>
      <c r="O772" s="41" t="n"/>
      <c r="P772" s="39">
        <f>IF($L772="","",IFERROR(INDEX(LISTAS!$B$3:$B$42,MATCH($L772,LISTAS!$A$3:$A$42,0)),"Media"))</f>
        <v/>
      </c>
      <c r="Q772" s="44" t="n"/>
      <c r="R772" s="45" t="n"/>
      <c r="S772" s="20">
        <f>IFERROR(IF(OR($R772="",$C772=""),"",$R772/INDEX(DESPACHOS!$M$3:$M$3002,MATCH($C772,DESPACHOS!$B$3:$B$3002,0))),"")</f>
        <v/>
      </c>
      <c r="T772" s="41" t="n"/>
      <c r="U772" s="43">
        <f>IF(OR($B772="",$L772=""),"",WORKDAY($B772,IFERROR(INDEX(LISTAS!$C$3:$C$42,MATCH($L772,LISTAS!$A$3:$A$42,0)),3)))</f>
        <v/>
      </c>
      <c r="V772" s="40" t="n"/>
      <c r="W772" s="19">
        <f>IF($B772="","",IF($V772&lt;&gt;"",$V772-$B772,TODAY()-$B772))</f>
        <v/>
      </c>
      <c r="X772" s="19">
        <f>IF(OR($B772="",$U772=""),"",IF($V772&lt;&gt;"",MAX(0,$V772-$U772),MAX(0,TODAY()-$U772)))</f>
        <v/>
      </c>
      <c r="Y772" s="39">
        <f>IF($C772="","",IF(IFERROR(INDEX(LISTAS!$I$3:$I$42,MATCH($T772,LISTAS!$H$3:$H$42,0)),"NO")="SÍ",IF(N($X772)&gt;0,"CERRADA FUERA DE SLA","CERRADA EN SLA"),IF($U772="","SIN CLASIFICAR",IF(N($X772)&gt;0,"VENCIDA",IF(TODAY()&gt;=$U772-1,"POR VENCER","EN PLAZO")))))</f>
        <v/>
      </c>
      <c r="Z772" s="41" t="n"/>
      <c r="AA772" s="41" t="n"/>
      <c r="AB772" s="41" t="n"/>
    </row>
    <row r="773">
      <c r="A773" s="39">
        <f>IF($C773="","","NOV-"&amp;TEXT(ROW()-3,"0000"))</f>
        <v/>
      </c>
      <c r="B773" s="40" t="n"/>
      <c r="C773" s="41" t="n"/>
      <c r="D773" s="42">
        <f>IF($C773="","",IFERROR(INDEX(DESPACHOS!$D$3:$D$3002,MATCH($C773,DESPACHOS!$B$3:$B$3002,0)),"SIN DESPACHO"))</f>
        <v/>
      </c>
      <c r="E773" s="42">
        <f>IF($C773="","",IFERROR(INDEX(DESPACHOS!$K$3:$K$3002,MATCH($C773,DESPACHOS!$B$3:$B$3002,0)),""))</f>
        <v/>
      </c>
      <c r="F773" s="42">
        <f>IF($C773="","",IFERROR(INDEX(DESPACHOS!$I$3:$I$3002,MATCH($C773,DESPACHOS!$B$3:$B$3002,0)),""))</f>
        <v/>
      </c>
      <c r="G773" s="42">
        <f>IF($C773="","",IFERROR(INDEX(DESPACHOS!$F$3:$F$3002,MATCH($C773,DESPACHOS!$B$3:$B$3002,0)),""))</f>
        <v/>
      </c>
      <c r="H773" s="42">
        <f>IF($C773="","",IFERROR(INDEX(DESPACHOS!$G$3:$G$3002,MATCH($C773,DESPACHOS!$B$3:$B$3002,0)),""))</f>
        <v/>
      </c>
      <c r="I773" s="39">
        <f>IF($C773="","",IFERROR(INDEX(DESPACHOS!$H$3:$H$3002,MATCH($C773,DESPACHOS!$B$3:$B$3002,0)),""))</f>
        <v/>
      </c>
      <c r="J773" s="43">
        <f>IF($C773="","",IFERROR(INDEX(DESPACHOS!$J$3:$J$3002,MATCH($C773,DESPACHOS!$B$3:$B$3002,0)),""))</f>
        <v/>
      </c>
      <c r="K773" s="39">
        <f>IF($C773="","",IF(COUNTIFS(DESPACHOS!$B$3:$B$3002,$C773)=0,"NO EXISTE",IF(COUNTIFS(DESPACHOS!$B$3:$B$3002,$C773)&gt;1,"DUPLICADO","OK")))</f>
        <v/>
      </c>
      <c r="L773" s="41" t="n"/>
      <c r="M773" s="41" t="n"/>
      <c r="N773" s="42">
        <f>IF($M773="","",IFERROR(INDEX(LISTAS!$F$3:$F$42,MATCH($M773,LISTAS!$E$3:$E$42,0)),"Por definir"))</f>
        <v/>
      </c>
      <c r="O773" s="41" t="n"/>
      <c r="P773" s="39">
        <f>IF($L773="","",IFERROR(INDEX(LISTAS!$B$3:$B$42,MATCH($L773,LISTAS!$A$3:$A$42,0)),"Media"))</f>
        <v/>
      </c>
      <c r="Q773" s="44" t="n"/>
      <c r="R773" s="45" t="n"/>
      <c r="S773" s="20">
        <f>IFERROR(IF(OR($R773="",$C773=""),"",$R773/INDEX(DESPACHOS!$M$3:$M$3002,MATCH($C773,DESPACHOS!$B$3:$B$3002,0))),"")</f>
        <v/>
      </c>
      <c r="T773" s="41" t="n"/>
      <c r="U773" s="43">
        <f>IF(OR($B773="",$L773=""),"",WORKDAY($B773,IFERROR(INDEX(LISTAS!$C$3:$C$42,MATCH($L773,LISTAS!$A$3:$A$42,0)),3)))</f>
        <v/>
      </c>
      <c r="V773" s="40" t="n"/>
      <c r="W773" s="19">
        <f>IF($B773="","",IF($V773&lt;&gt;"",$V773-$B773,TODAY()-$B773))</f>
        <v/>
      </c>
      <c r="X773" s="19">
        <f>IF(OR($B773="",$U773=""),"",IF($V773&lt;&gt;"",MAX(0,$V773-$U773),MAX(0,TODAY()-$U773)))</f>
        <v/>
      </c>
      <c r="Y773" s="39">
        <f>IF($C773="","",IF(IFERROR(INDEX(LISTAS!$I$3:$I$42,MATCH($T773,LISTAS!$H$3:$H$42,0)),"NO")="SÍ",IF(N($X773)&gt;0,"CERRADA FUERA DE SLA","CERRADA EN SLA"),IF($U773="","SIN CLASIFICAR",IF(N($X773)&gt;0,"VENCIDA",IF(TODAY()&gt;=$U773-1,"POR VENCER","EN PLAZO")))))</f>
        <v/>
      </c>
      <c r="Z773" s="41" t="n"/>
      <c r="AA773" s="41" t="n"/>
      <c r="AB773" s="41" t="n"/>
    </row>
    <row r="774">
      <c r="A774" s="39">
        <f>IF($C774="","","NOV-"&amp;TEXT(ROW()-3,"0000"))</f>
        <v/>
      </c>
      <c r="B774" s="40" t="n"/>
      <c r="C774" s="41" t="n"/>
      <c r="D774" s="42">
        <f>IF($C774="","",IFERROR(INDEX(DESPACHOS!$D$3:$D$3002,MATCH($C774,DESPACHOS!$B$3:$B$3002,0)),"SIN DESPACHO"))</f>
        <v/>
      </c>
      <c r="E774" s="42">
        <f>IF($C774="","",IFERROR(INDEX(DESPACHOS!$K$3:$K$3002,MATCH($C774,DESPACHOS!$B$3:$B$3002,0)),""))</f>
        <v/>
      </c>
      <c r="F774" s="42">
        <f>IF($C774="","",IFERROR(INDEX(DESPACHOS!$I$3:$I$3002,MATCH($C774,DESPACHOS!$B$3:$B$3002,0)),""))</f>
        <v/>
      </c>
      <c r="G774" s="42">
        <f>IF($C774="","",IFERROR(INDEX(DESPACHOS!$F$3:$F$3002,MATCH($C774,DESPACHOS!$B$3:$B$3002,0)),""))</f>
        <v/>
      </c>
      <c r="H774" s="42">
        <f>IF($C774="","",IFERROR(INDEX(DESPACHOS!$G$3:$G$3002,MATCH($C774,DESPACHOS!$B$3:$B$3002,0)),""))</f>
        <v/>
      </c>
      <c r="I774" s="39">
        <f>IF($C774="","",IFERROR(INDEX(DESPACHOS!$H$3:$H$3002,MATCH($C774,DESPACHOS!$B$3:$B$3002,0)),""))</f>
        <v/>
      </c>
      <c r="J774" s="43">
        <f>IF($C774="","",IFERROR(INDEX(DESPACHOS!$J$3:$J$3002,MATCH($C774,DESPACHOS!$B$3:$B$3002,0)),""))</f>
        <v/>
      </c>
      <c r="K774" s="39">
        <f>IF($C774="","",IF(COUNTIFS(DESPACHOS!$B$3:$B$3002,$C774)=0,"NO EXISTE",IF(COUNTIFS(DESPACHOS!$B$3:$B$3002,$C774)&gt;1,"DUPLICADO","OK")))</f>
        <v/>
      </c>
      <c r="L774" s="41" t="n"/>
      <c r="M774" s="41" t="n"/>
      <c r="N774" s="42">
        <f>IF($M774="","",IFERROR(INDEX(LISTAS!$F$3:$F$42,MATCH($M774,LISTAS!$E$3:$E$42,0)),"Por definir"))</f>
        <v/>
      </c>
      <c r="O774" s="41" t="n"/>
      <c r="P774" s="39">
        <f>IF($L774="","",IFERROR(INDEX(LISTAS!$B$3:$B$42,MATCH($L774,LISTAS!$A$3:$A$42,0)),"Media"))</f>
        <v/>
      </c>
      <c r="Q774" s="44" t="n"/>
      <c r="R774" s="45" t="n"/>
      <c r="S774" s="20">
        <f>IFERROR(IF(OR($R774="",$C774=""),"",$R774/INDEX(DESPACHOS!$M$3:$M$3002,MATCH($C774,DESPACHOS!$B$3:$B$3002,0))),"")</f>
        <v/>
      </c>
      <c r="T774" s="41" t="n"/>
      <c r="U774" s="43">
        <f>IF(OR($B774="",$L774=""),"",WORKDAY($B774,IFERROR(INDEX(LISTAS!$C$3:$C$42,MATCH($L774,LISTAS!$A$3:$A$42,0)),3)))</f>
        <v/>
      </c>
      <c r="V774" s="40" t="n"/>
      <c r="W774" s="19">
        <f>IF($B774="","",IF($V774&lt;&gt;"",$V774-$B774,TODAY()-$B774))</f>
        <v/>
      </c>
      <c r="X774" s="19">
        <f>IF(OR($B774="",$U774=""),"",IF($V774&lt;&gt;"",MAX(0,$V774-$U774),MAX(0,TODAY()-$U774)))</f>
        <v/>
      </c>
      <c r="Y774" s="39">
        <f>IF($C774="","",IF(IFERROR(INDEX(LISTAS!$I$3:$I$42,MATCH($T774,LISTAS!$H$3:$H$42,0)),"NO")="SÍ",IF(N($X774)&gt;0,"CERRADA FUERA DE SLA","CERRADA EN SLA"),IF($U774="","SIN CLASIFICAR",IF(N($X774)&gt;0,"VENCIDA",IF(TODAY()&gt;=$U774-1,"POR VENCER","EN PLAZO")))))</f>
        <v/>
      </c>
      <c r="Z774" s="41" t="n"/>
      <c r="AA774" s="41" t="n"/>
      <c r="AB774" s="41" t="n"/>
    </row>
    <row r="775">
      <c r="A775" s="39">
        <f>IF($C775="","","NOV-"&amp;TEXT(ROW()-3,"0000"))</f>
        <v/>
      </c>
      <c r="B775" s="40" t="n"/>
      <c r="C775" s="41" t="n"/>
      <c r="D775" s="42">
        <f>IF($C775="","",IFERROR(INDEX(DESPACHOS!$D$3:$D$3002,MATCH($C775,DESPACHOS!$B$3:$B$3002,0)),"SIN DESPACHO"))</f>
        <v/>
      </c>
      <c r="E775" s="42">
        <f>IF($C775="","",IFERROR(INDEX(DESPACHOS!$K$3:$K$3002,MATCH($C775,DESPACHOS!$B$3:$B$3002,0)),""))</f>
        <v/>
      </c>
      <c r="F775" s="42">
        <f>IF($C775="","",IFERROR(INDEX(DESPACHOS!$I$3:$I$3002,MATCH($C775,DESPACHOS!$B$3:$B$3002,0)),""))</f>
        <v/>
      </c>
      <c r="G775" s="42">
        <f>IF($C775="","",IFERROR(INDEX(DESPACHOS!$F$3:$F$3002,MATCH($C775,DESPACHOS!$B$3:$B$3002,0)),""))</f>
        <v/>
      </c>
      <c r="H775" s="42">
        <f>IF($C775="","",IFERROR(INDEX(DESPACHOS!$G$3:$G$3002,MATCH($C775,DESPACHOS!$B$3:$B$3002,0)),""))</f>
        <v/>
      </c>
      <c r="I775" s="39">
        <f>IF($C775="","",IFERROR(INDEX(DESPACHOS!$H$3:$H$3002,MATCH($C775,DESPACHOS!$B$3:$B$3002,0)),""))</f>
        <v/>
      </c>
      <c r="J775" s="43">
        <f>IF($C775="","",IFERROR(INDEX(DESPACHOS!$J$3:$J$3002,MATCH($C775,DESPACHOS!$B$3:$B$3002,0)),""))</f>
        <v/>
      </c>
      <c r="K775" s="39">
        <f>IF($C775="","",IF(COUNTIFS(DESPACHOS!$B$3:$B$3002,$C775)=0,"NO EXISTE",IF(COUNTIFS(DESPACHOS!$B$3:$B$3002,$C775)&gt;1,"DUPLICADO","OK")))</f>
        <v/>
      </c>
      <c r="L775" s="41" t="n"/>
      <c r="M775" s="41" t="n"/>
      <c r="N775" s="42">
        <f>IF($M775="","",IFERROR(INDEX(LISTAS!$F$3:$F$42,MATCH($M775,LISTAS!$E$3:$E$42,0)),"Por definir"))</f>
        <v/>
      </c>
      <c r="O775" s="41" t="n"/>
      <c r="P775" s="39">
        <f>IF($L775="","",IFERROR(INDEX(LISTAS!$B$3:$B$42,MATCH($L775,LISTAS!$A$3:$A$42,0)),"Media"))</f>
        <v/>
      </c>
      <c r="Q775" s="44" t="n"/>
      <c r="R775" s="45" t="n"/>
      <c r="S775" s="20">
        <f>IFERROR(IF(OR($R775="",$C775=""),"",$R775/INDEX(DESPACHOS!$M$3:$M$3002,MATCH($C775,DESPACHOS!$B$3:$B$3002,0))),"")</f>
        <v/>
      </c>
      <c r="T775" s="41" t="n"/>
      <c r="U775" s="43">
        <f>IF(OR($B775="",$L775=""),"",WORKDAY($B775,IFERROR(INDEX(LISTAS!$C$3:$C$42,MATCH($L775,LISTAS!$A$3:$A$42,0)),3)))</f>
        <v/>
      </c>
      <c r="V775" s="40" t="n"/>
      <c r="W775" s="19">
        <f>IF($B775="","",IF($V775&lt;&gt;"",$V775-$B775,TODAY()-$B775))</f>
        <v/>
      </c>
      <c r="X775" s="19">
        <f>IF(OR($B775="",$U775=""),"",IF($V775&lt;&gt;"",MAX(0,$V775-$U775),MAX(0,TODAY()-$U775)))</f>
        <v/>
      </c>
      <c r="Y775" s="39">
        <f>IF($C775="","",IF(IFERROR(INDEX(LISTAS!$I$3:$I$42,MATCH($T775,LISTAS!$H$3:$H$42,0)),"NO")="SÍ",IF(N($X775)&gt;0,"CERRADA FUERA DE SLA","CERRADA EN SLA"),IF($U775="","SIN CLASIFICAR",IF(N($X775)&gt;0,"VENCIDA",IF(TODAY()&gt;=$U775-1,"POR VENCER","EN PLAZO")))))</f>
        <v/>
      </c>
      <c r="Z775" s="41" t="n"/>
      <c r="AA775" s="41" t="n"/>
      <c r="AB775" s="41" t="n"/>
    </row>
    <row r="776">
      <c r="A776" s="39">
        <f>IF($C776="","","NOV-"&amp;TEXT(ROW()-3,"0000"))</f>
        <v/>
      </c>
      <c r="B776" s="40" t="n"/>
      <c r="C776" s="41" t="n"/>
      <c r="D776" s="42">
        <f>IF($C776="","",IFERROR(INDEX(DESPACHOS!$D$3:$D$3002,MATCH($C776,DESPACHOS!$B$3:$B$3002,0)),"SIN DESPACHO"))</f>
        <v/>
      </c>
      <c r="E776" s="42">
        <f>IF($C776="","",IFERROR(INDEX(DESPACHOS!$K$3:$K$3002,MATCH($C776,DESPACHOS!$B$3:$B$3002,0)),""))</f>
        <v/>
      </c>
      <c r="F776" s="42">
        <f>IF($C776="","",IFERROR(INDEX(DESPACHOS!$I$3:$I$3002,MATCH($C776,DESPACHOS!$B$3:$B$3002,0)),""))</f>
        <v/>
      </c>
      <c r="G776" s="42">
        <f>IF($C776="","",IFERROR(INDEX(DESPACHOS!$F$3:$F$3002,MATCH($C776,DESPACHOS!$B$3:$B$3002,0)),""))</f>
        <v/>
      </c>
      <c r="H776" s="42">
        <f>IF($C776="","",IFERROR(INDEX(DESPACHOS!$G$3:$G$3002,MATCH($C776,DESPACHOS!$B$3:$B$3002,0)),""))</f>
        <v/>
      </c>
      <c r="I776" s="39">
        <f>IF($C776="","",IFERROR(INDEX(DESPACHOS!$H$3:$H$3002,MATCH($C776,DESPACHOS!$B$3:$B$3002,0)),""))</f>
        <v/>
      </c>
      <c r="J776" s="43">
        <f>IF($C776="","",IFERROR(INDEX(DESPACHOS!$J$3:$J$3002,MATCH($C776,DESPACHOS!$B$3:$B$3002,0)),""))</f>
        <v/>
      </c>
      <c r="K776" s="39">
        <f>IF($C776="","",IF(COUNTIFS(DESPACHOS!$B$3:$B$3002,$C776)=0,"NO EXISTE",IF(COUNTIFS(DESPACHOS!$B$3:$B$3002,$C776)&gt;1,"DUPLICADO","OK")))</f>
        <v/>
      </c>
      <c r="L776" s="41" t="n"/>
      <c r="M776" s="41" t="n"/>
      <c r="N776" s="42">
        <f>IF($M776="","",IFERROR(INDEX(LISTAS!$F$3:$F$42,MATCH($M776,LISTAS!$E$3:$E$42,0)),"Por definir"))</f>
        <v/>
      </c>
      <c r="O776" s="41" t="n"/>
      <c r="P776" s="39">
        <f>IF($L776="","",IFERROR(INDEX(LISTAS!$B$3:$B$42,MATCH($L776,LISTAS!$A$3:$A$42,0)),"Media"))</f>
        <v/>
      </c>
      <c r="Q776" s="44" t="n"/>
      <c r="R776" s="45" t="n"/>
      <c r="S776" s="20">
        <f>IFERROR(IF(OR($R776="",$C776=""),"",$R776/INDEX(DESPACHOS!$M$3:$M$3002,MATCH($C776,DESPACHOS!$B$3:$B$3002,0))),"")</f>
        <v/>
      </c>
      <c r="T776" s="41" t="n"/>
      <c r="U776" s="43">
        <f>IF(OR($B776="",$L776=""),"",WORKDAY($B776,IFERROR(INDEX(LISTAS!$C$3:$C$42,MATCH($L776,LISTAS!$A$3:$A$42,0)),3)))</f>
        <v/>
      </c>
      <c r="V776" s="40" t="n"/>
      <c r="W776" s="19">
        <f>IF($B776="","",IF($V776&lt;&gt;"",$V776-$B776,TODAY()-$B776))</f>
        <v/>
      </c>
      <c r="X776" s="19">
        <f>IF(OR($B776="",$U776=""),"",IF($V776&lt;&gt;"",MAX(0,$V776-$U776),MAX(0,TODAY()-$U776)))</f>
        <v/>
      </c>
      <c r="Y776" s="39">
        <f>IF($C776="","",IF(IFERROR(INDEX(LISTAS!$I$3:$I$42,MATCH($T776,LISTAS!$H$3:$H$42,0)),"NO")="SÍ",IF(N($X776)&gt;0,"CERRADA FUERA DE SLA","CERRADA EN SLA"),IF($U776="","SIN CLASIFICAR",IF(N($X776)&gt;0,"VENCIDA",IF(TODAY()&gt;=$U776-1,"POR VENCER","EN PLAZO")))))</f>
        <v/>
      </c>
      <c r="Z776" s="41" t="n"/>
      <c r="AA776" s="41" t="n"/>
      <c r="AB776" s="41" t="n"/>
    </row>
    <row r="777">
      <c r="A777" s="39">
        <f>IF($C777="","","NOV-"&amp;TEXT(ROW()-3,"0000"))</f>
        <v/>
      </c>
      <c r="B777" s="40" t="n"/>
      <c r="C777" s="41" t="n"/>
      <c r="D777" s="42">
        <f>IF($C777="","",IFERROR(INDEX(DESPACHOS!$D$3:$D$3002,MATCH($C777,DESPACHOS!$B$3:$B$3002,0)),"SIN DESPACHO"))</f>
        <v/>
      </c>
      <c r="E777" s="42">
        <f>IF($C777="","",IFERROR(INDEX(DESPACHOS!$K$3:$K$3002,MATCH($C777,DESPACHOS!$B$3:$B$3002,0)),""))</f>
        <v/>
      </c>
      <c r="F777" s="42">
        <f>IF($C777="","",IFERROR(INDEX(DESPACHOS!$I$3:$I$3002,MATCH($C777,DESPACHOS!$B$3:$B$3002,0)),""))</f>
        <v/>
      </c>
      <c r="G777" s="42">
        <f>IF($C777="","",IFERROR(INDEX(DESPACHOS!$F$3:$F$3002,MATCH($C777,DESPACHOS!$B$3:$B$3002,0)),""))</f>
        <v/>
      </c>
      <c r="H777" s="42">
        <f>IF($C777="","",IFERROR(INDEX(DESPACHOS!$G$3:$G$3002,MATCH($C777,DESPACHOS!$B$3:$B$3002,0)),""))</f>
        <v/>
      </c>
      <c r="I777" s="39">
        <f>IF($C777="","",IFERROR(INDEX(DESPACHOS!$H$3:$H$3002,MATCH($C777,DESPACHOS!$B$3:$B$3002,0)),""))</f>
        <v/>
      </c>
      <c r="J777" s="43">
        <f>IF($C777="","",IFERROR(INDEX(DESPACHOS!$J$3:$J$3002,MATCH($C777,DESPACHOS!$B$3:$B$3002,0)),""))</f>
        <v/>
      </c>
      <c r="K777" s="39">
        <f>IF($C777="","",IF(COUNTIFS(DESPACHOS!$B$3:$B$3002,$C777)=0,"NO EXISTE",IF(COUNTIFS(DESPACHOS!$B$3:$B$3002,$C777)&gt;1,"DUPLICADO","OK")))</f>
        <v/>
      </c>
      <c r="L777" s="41" t="n"/>
      <c r="M777" s="41" t="n"/>
      <c r="N777" s="42">
        <f>IF($M777="","",IFERROR(INDEX(LISTAS!$F$3:$F$42,MATCH($M777,LISTAS!$E$3:$E$42,0)),"Por definir"))</f>
        <v/>
      </c>
      <c r="O777" s="41" t="n"/>
      <c r="P777" s="39">
        <f>IF($L777="","",IFERROR(INDEX(LISTAS!$B$3:$B$42,MATCH($L777,LISTAS!$A$3:$A$42,0)),"Media"))</f>
        <v/>
      </c>
      <c r="Q777" s="44" t="n"/>
      <c r="R777" s="45" t="n"/>
      <c r="S777" s="20">
        <f>IFERROR(IF(OR($R777="",$C777=""),"",$R777/INDEX(DESPACHOS!$M$3:$M$3002,MATCH($C777,DESPACHOS!$B$3:$B$3002,0))),"")</f>
        <v/>
      </c>
      <c r="T777" s="41" t="n"/>
      <c r="U777" s="43">
        <f>IF(OR($B777="",$L777=""),"",WORKDAY($B777,IFERROR(INDEX(LISTAS!$C$3:$C$42,MATCH($L777,LISTAS!$A$3:$A$42,0)),3)))</f>
        <v/>
      </c>
      <c r="V777" s="40" t="n"/>
      <c r="W777" s="19">
        <f>IF($B777="","",IF($V777&lt;&gt;"",$V777-$B777,TODAY()-$B777))</f>
        <v/>
      </c>
      <c r="X777" s="19">
        <f>IF(OR($B777="",$U777=""),"",IF($V777&lt;&gt;"",MAX(0,$V777-$U777),MAX(0,TODAY()-$U777)))</f>
        <v/>
      </c>
      <c r="Y777" s="39">
        <f>IF($C777="","",IF(IFERROR(INDEX(LISTAS!$I$3:$I$42,MATCH($T777,LISTAS!$H$3:$H$42,0)),"NO")="SÍ",IF(N($X777)&gt;0,"CERRADA FUERA DE SLA","CERRADA EN SLA"),IF($U777="","SIN CLASIFICAR",IF(N($X777)&gt;0,"VENCIDA",IF(TODAY()&gt;=$U777-1,"POR VENCER","EN PLAZO")))))</f>
        <v/>
      </c>
      <c r="Z777" s="41" t="n"/>
      <c r="AA777" s="41" t="n"/>
      <c r="AB777" s="41" t="n"/>
    </row>
    <row r="778">
      <c r="A778" s="39">
        <f>IF($C778="","","NOV-"&amp;TEXT(ROW()-3,"0000"))</f>
        <v/>
      </c>
      <c r="B778" s="40" t="n"/>
      <c r="C778" s="41" t="n"/>
      <c r="D778" s="42">
        <f>IF($C778="","",IFERROR(INDEX(DESPACHOS!$D$3:$D$3002,MATCH($C778,DESPACHOS!$B$3:$B$3002,0)),"SIN DESPACHO"))</f>
        <v/>
      </c>
      <c r="E778" s="42">
        <f>IF($C778="","",IFERROR(INDEX(DESPACHOS!$K$3:$K$3002,MATCH($C778,DESPACHOS!$B$3:$B$3002,0)),""))</f>
        <v/>
      </c>
      <c r="F778" s="42">
        <f>IF($C778="","",IFERROR(INDEX(DESPACHOS!$I$3:$I$3002,MATCH($C778,DESPACHOS!$B$3:$B$3002,0)),""))</f>
        <v/>
      </c>
      <c r="G778" s="42">
        <f>IF($C778="","",IFERROR(INDEX(DESPACHOS!$F$3:$F$3002,MATCH($C778,DESPACHOS!$B$3:$B$3002,0)),""))</f>
        <v/>
      </c>
      <c r="H778" s="42">
        <f>IF($C778="","",IFERROR(INDEX(DESPACHOS!$G$3:$G$3002,MATCH($C778,DESPACHOS!$B$3:$B$3002,0)),""))</f>
        <v/>
      </c>
      <c r="I778" s="39">
        <f>IF($C778="","",IFERROR(INDEX(DESPACHOS!$H$3:$H$3002,MATCH($C778,DESPACHOS!$B$3:$B$3002,0)),""))</f>
        <v/>
      </c>
      <c r="J778" s="43">
        <f>IF($C778="","",IFERROR(INDEX(DESPACHOS!$J$3:$J$3002,MATCH($C778,DESPACHOS!$B$3:$B$3002,0)),""))</f>
        <v/>
      </c>
      <c r="K778" s="39">
        <f>IF($C778="","",IF(COUNTIFS(DESPACHOS!$B$3:$B$3002,$C778)=0,"NO EXISTE",IF(COUNTIFS(DESPACHOS!$B$3:$B$3002,$C778)&gt;1,"DUPLICADO","OK")))</f>
        <v/>
      </c>
      <c r="L778" s="41" t="n"/>
      <c r="M778" s="41" t="n"/>
      <c r="N778" s="42">
        <f>IF($M778="","",IFERROR(INDEX(LISTAS!$F$3:$F$42,MATCH($M778,LISTAS!$E$3:$E$42,0)),"Por definir"))</f>
        <v/>
      </c>
      <c r="O778" s="41" t="n"/>
      <c r="P778" s="39">
        <f>IF($L778="","",IFERROR(INDEX(LISTAS!$B$3:$B$42,MATCH($L778,LISTAS!$A$3:$A$42,0)),"Media"))</f>
        <v/>
      </c>
      <c r="Q778" s="44" t="n"/>
      <c r="R778" s="45" t="n"/>
      <c r="S778" s="20">
        <f>IFERROR(IF(OR($R778="",$C778=""),"",$R778/INDEX(DESPACHOS!$M$3:$M$3002,MATCH($C778,DESPACHOS!$B$3:$B$3002,0))),"")</f>
        <v/>
      </c>
      <c r="T778" s="41" t="n"/>
      <c r="U778" s="43">
        <f>IF(OR($B778="",$L778=""),"",WORKDAY($B778,IFERROR(INDEX(LISTAS!$C$3:$C$42,MATCH($L778,LISTAS!$A$3:$A$42,0)),3)))</f>
        <v/>
      </c>
      <c r="V778" s="40" t="n"/>
      <c r="W778" s="19">
        <f>IF($B778="","",IF($V778&lt;&gt;"",$V778-$B778,TODAY()-$B778))</f>
        <v/>
      </c>
      <c r="X778" s="19">
        <f>IF(OR($B778="",$U778=""),"",IF($V778&lt;&gt;"",MAX(0,$V778-$U778),MAX(0,TODAY()-$U778)))</f>
        <v/>
      </c>
      <c r="Y778" s="39">
        <f>IF($C778="","",IF(IFERROR(INDEX(LISTAS!$I$3:$I$42,MATCH($T778,LISTAS!$H$3:$H$42,0)),"NO")="SÍ",IF(N($X778)&gt;0,"CERRADA FUERA DE SLA","CERRADA EN SLA"),IF($U778="","SIN CLASIFICAR",IF(N($X778)&gt;0,"VENCIDA",IF(TODAY()&gt;=$U778-1,"POR VENCER","EN PLAZO")))))</f>
        <v/>
      </c>
      <c r="Z778" s="41" t="n"/>
      <c r="AA778" s="41" t="n"/>
      <c r="AB778" s="41" t="n"/>
    </row>
    <row r="779">
      <c r="A779" s="39">
        <f>IF($C779="","","NOV-"&amp;TEXT(ROW()-3,"0000"))</f>
        <v/>
      </c>
      <c r="B779" s="40" t="n"/>
      <c r="C779" s="41" t="n"/>
      <c r="D779" s="42">
        <f>IF($C779="","",IFERROR(INDEX(DESPACHOS!$D$3:$D$3002,MATCH($C779,DESPACHOS!$B$3:$B$3002,0)),"SIN DESPACHO"))</f>
        <v/>
      </c>
      <c r="E779" s="42">
        <f>IF($C779="","",IFERROR(INDEX(DESPACHOS!$K$3:$K$3002,MATCH($C779,DESPACHOS!$B$3:$B$3002,0)),""))</f>
        <v/>
      </c>
      <c r="F779" s="42">
        <f>IF($C779="","",IFERROR(INDEX(DESPACHOS!$I$3:$I$3002,MATCH($C779,DESPACHOS!$B$3:$B$3002,0)),""))</f>
        <v/>
      </c>
      <c r="G779" s="42">
        <f>IF($C779="","",IFERROR(INDEX(DESPACHOS!$F$3:$F$3002,MATCH($C779,DESPACHOS!$B$3:$B$3002,0)),""))</f>
        <v/>
      </c>
      <c r="H779" s="42">
        <f>IF($C779="","",IFERROR(INDEX(DESPACHOS!$G$3:$G$3002,MATCH($C779,DESPACHOS!$B$3:$B$3002,0)),""))</f>
        <v/>
      </c>
      <c r="I779" s="39">
        <f>IF($C779="","",IFERROR(INDEX(DESPACHOS!$H$3:$H$3002,MATCH($C779,DESPACHOS!$B$3:$B$3002,0)),""))</f>
        <v/>
      </c>
      <c r="J779" s="43">
        <f>IF($C779="","",IFERROR(INDEX(DESPACHOS!$J$3:$J$3002,MATCH($C779,DESPACHOS!$B$3:$B$3002,0)),""))</f>
        <v/>
      </c>
      <c r="K779" s="39">
        <f>IF($C779="","",IF(COUNTIFS(DESPACHOS!$B$3:$B$3002,$C779)=0,"NO EXISTE",IF(COUNTIFS(DESPACHOS!$B$3:$B$3002,$C779)&gt;1,"DUPLICADO","OK")))</f>
        <v/>
      </c>
      <c r="L779" s="41" t="n"/>
      <c r="M779" s="41" t="n"/>
      <c r="N779" s="42">
        <f>IF($M779="","",IFERROR(INDEX(LISTAS!$F$3:$F$42,MATCH($M779,LISTAS!$E$3:$E$42,0)),"Por definir"))</f>
        <v/>
      </c>
      <c r="O779" s="41" t="n"/>
      <c r="P779" s="39">
        <f>IF($L779="","",IFERROR(INDEX(LISTAS!$B$3:$B$42,MATCH($L779,LISTAS!$A$3:$A$42,0)),"Media"))</f>
        <v/>
      </c>
      <c r="Q779" s="44" t="n"/>
      <c r="R779" s="45" t="n"/>
      <c r="S779" s="20">
        <f>IFERROR(IF(OR($R779="",$C779=""),"",$R779/INDEX(DESPACHOS!$M$3:$M$3002,MATCH($C779,DESPACHOS!$B$3:$B$3002,0))),"")</f>
        <v/>
      </c>
      <c r="T779" s="41" t="n"/>
      <c r="U779" s="43">
        <f>IF(OR($B779="",$L779=""),"",WORKDAY($B779,IFERROR(INDEX(LISTAS!$C$3:$C$42,MATCH($L779,LISTAS!$A$3:$A$42,0)),3)))</f>
        <v/>
      </c>
      <c r="V779" s="40" t="n"/>
      <c r="W779" s="19">
        <f>IF($B779="","",IF($V779&lt;&gt;"",$V779-$B779,TODAY()-$B779))</f>
        <v/>
      </c>
      <c r="X779" s="19">
        <f>IF(OR($B779="",$U779=""),"",IF($V779&lt;&gt;"",MAX(0,$V779-$U779),MAX(0,TODAY()-$U779)))</f>
        <v/>
      </c>
      <c r="Y779" s="39">
        <f>IF($C779="","",IF(IFERROR(INDEX(LISTAS!$I$3:$I$42,MATCH($T779,LISTAS!$H$3:$H$42,0)),"NO")="SÍ",IF(N($X779)&gt;0,"CERRADA FUERA DE SLA","CERRADA EN SLA"),IF($U779="","SIN CLASIFICAR",IF(N($X779)&gt;0,"VENCIDA",IF(TODAY()&gt;=$U779-1,"POR VENCER","EN PLAZO")))))</f>
        <v/>
      </c>
      <c r="Z779" s="41" t="n"/>
      <c r="AA779" s="41" t="n"/>
      <c r="AB779" s="41" t="n"/>
    </row>
    <row r="780">
      <c r="A780" s="39">
        <f>IF($C780="","","NOV-"&amp;TEXT(ROW()-3,"0000"))</f>
        <v/>
      </c>
      <c r="B780" s="40" t="n"/>
      <c r="C780" s="41" t="n"/>
      <c r="D780" s="42">
        <f>IF($C780="","",IFERROR(INDEX(DESPACHOS!$D$3:$D$3002,MATCH($C780,DESPACHOS!$B$3:$B$3002,0)),"SIN DESPACHO"))</f>
        <v/>
      </c>
      <c r="E780" s="42">
        <f>IF($C780="","",IFERROR(INDEX(DESPACHOS!$K$3:$K$3002,MATCH($C780,DESPACHOS!$B$3:$B$3002,0)),""))</f>
        <v/>
      </c>
      <c r="F780" s="42">
        <f>IF($C780="","",IFERROR(INDEX(DESPACHOS!$I$3:$I$3002,MATCH($C780,DESPACHOS!$B$3:$B$3002,0)),""))</f>
        <v/>
      </c>
      <c r="G780" s="42">
        <f>IF($C780="","",IFERROR(INDEX(DESPACHOS!$F$3:$F$3002,MATCH($C780,DESPACHOS!$B$3:$B$3002,0)),""))</f>
        <v/>
      </c>
      <c r="H780" s="42">
        <f>IF($C780="","",IFERROR(INDEX(DESPACHOS!$G$3:$G$3002,MATCH($C780,DESPACHOS!$B$3:$B$3002,0)),""))</f>
        <v/>
      </c>
      <c r="I780" s="39">
        <f>IF($C780="","",IFERROR(INDEX(DESPACHOS!$H$3:$H$3002,MATCH($C780,DESPACHOS!$B$3:$B$3002,0)),""))</f>
        <v/>
      </c>
      <c r="J780" s="43">
        <f>IF($C780="","",IFERROR(INDEX(DESPACHOS!$J$3:$J$3002,MATCH($C780,DESPACHOS!$B$3:$B$3002,0)),""))</f>
        <v/>
      </c>
      <c r="K780" s="39">
        <f>IF($C780="","",IF(COUNTIFS(DESPACHOS!$B$3:$B$3002,$C780)=0,"NO EXISTE",IF(COUNTIFS(DESPACHOS!$B$3:$B$3002,$C780)&gt;1,"DUPLICADO","OK")))</f>
        <v/>
      </c>
      <c r="L780" s="41" t="n"/>
      <c r="M780" s="41" t="n"/>
      <c r="N780" s="42">
        <f>IF($M780="","",IFERROR(INDEX(LISTAS!$F$3:$F$42,MATCH($M780,LISTAS!$E$3:$E$42,0)),"Por definir"))</f>
        <v/>
      </c>
      <c r="O780" s="41" t="n"/>
      <c r="P780" s="39">
        <f>IF($L780="","",IFERROR(INDEX(LISTAS!$B$3:$B$42,MATCH($L780,LISTAS!$A$3:$A$42,0)),"Media"))</f>
        <v/>
      </c>
      <c r="Q780" s="44" t="n"/>
      <c r="R780" s="45" t="n"/>
      <c r="S780" s="20">
        <f>IFERROR(IF(OR($R780="",$C780=""),"",$R780/INDEX(DESPACHOS!$M$3:$M$3002,MATCH($C780,DESPACHOS!$B$3:$B$3002,0))),"")</f>
        <v/>
      </c>
      <c r="T780" s="41" t="n"/>
      <c r="U780" s="43">
        <f>IF(OR($B780="",$L780=""),"",WORKDAY($B780,IFERROR(INDEX(LISTAS!$C$3:$C$42,MATCH($L780,LISTAS!$A$3:$A$42,0)),3)))</f>
        <v/>
      </c>
      <c r="V780" s="40" t="n"/>
      <c r="W780" s="19">
        <f>IF($B780="","",IF($V780&lt;&gt;"",$V780-$B780,TODAY()-$B780))</f>
        <v/>
      </c>
      <c r="X780" s="19">
        <f>IF(OR($B780="",$U780=""),"",IF($V780&lt;&gt;"",MAX(0,$V780-$U780),MAX(0,TODAY()-$U780)))</f>
        <v/>
      </c>
      <c r="Y780" s="39">
        <f>IF($C780="","",IF(IFERROR(INDEX(LISTAS!$I$3:$I$42,MATCH($T780,LISTAS!$H$3:$H$42,0)),"NO")="SÍ",IF(N($X780)&gt;0,"CERRADA FUERA DE SLA","CERRADA EN SLA"),IF($U780="","SIN CLASIFICAR",IF(N($X780)&gt;0,"VENCIDA",IF(TODAY()&gt;=$U780-1,"POR VENCER","EN PLAZO")))))</f>
        <v/>
      </c>
      <c r="Z780" s="41" t="n"/>
      <c r="AA780" s="41" t="n"/>
      <c r="AB780" s="41" t="n"/>
    </row>
    <row r="781">
      <c r="A781" s="39">
        <f>IF($C781="","","NOV-"&amp;TEXT(ROW()-3,"0000"))</f>
        <v/>
      </c>
      <c r="B781" s="40" t="n"/>
      <c r="C781" s="41" t="n"/>
      <c r="D781" s="42">
        <f>IF($C781="","",IFERROR(INDEX(DESPACHOS!$D$3:$D$3002,MATCH($C781,DESPACHOS!$B$3:$B$3002,0)),"SIN DESPACHO"))</f>
        <v/>
      </c>
      <c r="E781" s="42">
        <f>IF($C781="","",IFERROR(INDEX(DESPACHOS!$K$3:$K$3002,MATCH($C781,DESPACHOS!$B$3:$B$3002,0)),""))</f>
        <v/>
      </c>
      <c r="F781" s="42">
        <f>IF($C781="","",IFERROR(INDEX(DESPACHOS!$I$3:$I$3002,MATCH($C781,DESPACHOS!$B$3:$B$3002,0)),""))</f>
        <v/>
      </c>
      <c r="G781" s="42">
        <f>IF($C781="","",IFERROR(INDEX(DESPACHOS!$F$3:$F$3002,MATCH($C781,DESPACHOS!$B$3:$B$3002,0)),""))</f>
        <v/>
      </c>
      <c r="H781" s="42">
        <f>IF($C781="","",IFERROR(INDEX(DESPACHOS!$G$3:$G$3002,MATCH($C781,DESPACHOS!$B$3:$B$3002,0)),""))</f>
        <v/>
      </c>
      <c r="I781" s="39">
        <f>IF($C781="","",IFERROR(INDEX(DESPACHOS!$H$3:$H$3002,MATCH($C781,DESPACHOS!$B$3:$B$3002,0)),""))</f>
        <v/>
      </c>
      <c r="J781" s="43">
        <f>IF($C781="","",IFERROR(INDEX(DESPACHOS!$J$3:$J$3002,MATCH($C781,DESPACHOS!$B$3:$B$3002,0)),""))</f>
        <v/>
      </c>
      <c r="K781" s="39">
        <f>IF($C781="","",IF(COUNTIFS(DESPACHOS!$B$3:$B$3002,$C781)=0,"NO EXISTE",IF(COUNTIFS(DESPACHOS!$B$3:$B$3002,$C781)&gt;1,"DUPLICADO","OK")))</f>
        <v/>
      </c>
      <c r="L781" s="41" t="n"/>
      <c r="M781" s="41" t="n"/>
      <c r="N781" s="42">
        <f>IF($M781="","",IFERROR(INDEX(LISTAS!$F$3:$F$42,MATCH($M781,LISTAS!$E$3:$E$42,0)),"Por definir"))</f>
        <v/>
      </c>
      <c r="O781" s="41" t="n"/>
      <c r="P781" s="39">
        <f>IF($L781="","",IFERROR(INDEX(LISTAS!$B$3:$B$42,MATCH($L781,LISTAS!$A$3:$A$42,0)),"Media"))</f>
        <v/>
      </c>
      <c r="Q781" s="44" t="n"/>
      <c r="R781" s="45" t="n"/>
      <c r="S781" s="20">
        <f>IFERROR(IF(OR($R781="",$C781=""),"",$R781/INDEX(DESPACHOS!$M$3:$M$3002,MATCH($C781,DESPACHOS!$B$3:$B$3002,0))),"")</f>
        <v/>
      </c>
      <c r="T781" s="41" t="n"/>
      <c r="U781" s="43">
        <f>IF(OR($B781="",$L781=""),"",WORKDAY($B781,IFERROR(INDEX(LISTAS!$C$3:$C$42,MATCH($L781,LISTAS!$A$3:$A$42,0)),3)))</f>
        <v/>
      </c>
      <c r="V781" s="40" t="n"/>
      <c r="W781" s="19">
        <f>IF($B781="","",IF($V781&lt;&gt;"",$V781-$B781,TODAY()-$B781))</f>
        <v/>
      </c>
      <c r="X781" s="19">
        <f>IF(OR($B781="",$U781=""),"",IF($V781&lt;&gt;"",MAX(0,$V781-$U781),MAX(0,TODAY()-$U781)))</f>
        <v/>
      </c>
      <c r="Y781" s="39">
        <f>IF($C781="","",IF(IFERROR(INDEX(LISTAS!$I$3:$I$42,MATCH($T781,LISTAS!$H$3:$H$42,0)),"NO")="SÍ",IF(N($X781)&gt;0,"CERRADA FUERA DE SLA","CERRADA EN SLA"),IF($U781="","SIN CLASIFICAR",IF(N($X781)&gt;0,"VENCIDA",IF(TODAY()&gt;=$U781-1,"POR VENCER","EN PLAZO")))))</f>
        <v/>
      </c>
      <c r="Z781" s="41" t="n"/>
      <c r="AA781" s="41" t="n"/>
      <c r="AB781" s="41" t="n"/>
    </row>
    <row r="782">
      <c r="A782" s="39">
        <f>IF($C782="","","NOV-"&amp;TEXT(ROW()-3,"0000"))</f>
        <v/>
      </c>
      <c r="B782" s="40" t="n"/>
      <c r="C782" s="41" t="n"/>
      <c r="D782" s="42">
        <f>IF($C782="","",IFERROR(INDEX(DESPACHOS!$D$3:$D$3002,MATCH($C782,DESPACHOS!$B$3:$B$3002,0)),"SIN DESPACHO"))</f>
        <v/>
      </c>
      <c r="E782" s="42">
        <f>IF($C782="","",IFERROR(INDEX(DESPACHOS!$K$3:$K$3002,MATCH($C782,DESPACHOS!$B$3:$B$3002,0)),""))</f>
        <v/>
      </c>
      <c r="F782" s="42">
        <f>IF($C782="","",IFERROR(INDEX(DESPACHOS!$I$3:$I$3002,MATCH($C782,DESPACHOS!$B$3:$B$3002,0)),""))</f>
        <v/>
      </c>
      <c r="G782" s="42">
        <f>IF($C782="","",IFERROR(INDEX(DESPACHOS!$F$3:$F$3002,MATCH($C782,DESPACHOS!$B$3:$B$3002,0)),""))</f>
        <v/>
      </c>
      <c r="H782" s="42">
        <f>IF($C782="","",IFERROR(INDEX(DESPACHOS!$G$3:$G$3002,MATCH($C782,DESPACHOS!$B$3:$B$3002,0)),""))</f>
        <v/>
      </c>
      <c r="I782" s="39">
        <f>IF($C782="","",IFERROR(INDEX(DESPACHOS!$H$3:$H$3002,MATCH($C782,DESPACHOS!$B$3:$B$3002,0)),""))</f>
        <v/>
      </c>
      <c r="J782" s="43">
        <f>IF($C782="","",IFERROR(INDEX(DESPACHOS!$J$3:$J$3002,MATCH($C782,DESPACHOS!$B$3:$B$3002,0)),""))</f>
        <v/>
      </c>
      <c r="K782" s="39">
        <f>IF($C782="","",IF(COUNTIFS(DESPACHOS!$B$3:$B$3002,$C782)=0,"NO EXISTE",IF(COUNTIFS(DESPACHOS!$B$3:$B$3002,$C782)&gt;1,"DUPLICADO","OK")))</f>
        <v/>
      </c>
      <c r="L782" s="41" t="n"/>
      <c r="M782" s="41" t="n"/>
      <c r="N782" s="42">
        <f>IF($M782="","",IFERROR(INDEX(LISTAS!$F$3:$F$42,MATCH($M782,LISTAS!$E$3:$E$42,0)),"Por definir"))</f>
        <v/>
      </c>
      <c r="O782" s="41" t="n"/>
      <c r="P782" s="39">
        <f>IF($L782="","",IFERROR(INDEX(LISTAS!$B$3:$B$42,MATCH($L782,LISTAS!$A$3:$A$42,0)),"Media"))</f>
        <v/>
      </c>
      <c r="Q782" s="44" t="n"/>
      <c r="R782" s="45" t="n"/>
      <c r="S782" s="20">
        <f>IFERROR(IF(OR($R782="",$C782=""),"",$R782/INDEX(DESPACHOS!$M$3:$M$3002,MATCH($C782,DESPACHOS!$B$3:$B$3002,0))),"")</f>
        <v/>
      </c>
      <c r="T782" s="41" t="n"/>
      <c r="U782" s="43">
        <f>IF(OR($B782="",$L782=""),"",WORKDAY($B782,IFERROR(INDEX(LISTAS!$C$3:$C$42,MATCH($L782,LISTAS!$A$3:$A$42,0)),3)))</f>
        <v/>
      </c>
      <c r="V782" s="40" t="n"/>
      <c r="W782" s="19">
        <f>IF($B782="","",IF($V782&lt;&gt;"",$V782-$B782,TODAY()-$B782))</f>
        <v/>
      </c>
      <c r="X782" s="19">
        <f>IF(OR($B782="",$U782=""),"",IF($V782&lt;&gt;"",MAX(0,$V782-$U782),MAX(0,TODAY()-$U782)))</f>
        <v/>
      </c>
      <c r="Y782" s="39">
        <f>IF($C782="","",IF(IFERROR(INDEX(LISTAS!$I$3:$I$42,MATCH($T782,LISTAS!$H$3:$H$42,0)),"NO")="SÍ",IF(N($X782)&gt;0,"CERRADA FUERA DE SLA","CERRADA EN SLA"),IF($U782="","SIN CLASIFICAR",IF(N($X782)&gt;0,"VENCIDA",IF(TODAY()&gt;=$U782-1,"POR VENCER","EN PLAZO")))))</f>
        <v/>
      </c>
      <c r="Z782" s="41" t="n"/>
      <c r="AA782" s="41" t="n"/>
      <c r="AB782" s="41" t="n"/>
    </row>
    <row r="783">
      <c r="A783" s="39">
        <f>IF($C783="","","NOV-"&amp;TEXT(ROW()-3,"0000"))</f>
        <v/>
      </c>
      <c r="B783" s="40" t="n"/>
      <c r="C783" s="41" t="n"/>
      <c r="D783" s="42">
        <f>IF($C783="","",IFERROR(INDEX(DESPACHOS!$D$3:$D$3002,MATCH($C783,DESPACHOS!$B$3:$B$3002,0)),"SIN DESPACHO"))</f>
        <v/>
      </c>
      <c r="E783" s="42">
        <f>IF($C783="","",IFERROR(INDEX(DESPACHOS!$K$3:$K$3002,MATCH($C783,DESPACHOS!$B$3:$B$3002,0)),""))</f>
        <v/>
      </c>
      <c r="F783" s="42">
        <f>IF($C783="","",IFERROR(INDEX(DESPACHOS!$I$3:$I$3002,MATCH($C783,DESPACHOS!$B$3:$B$3002,0)),""))</f>
        <v/>
      </c>
      <c r="G783" s="42">
        <f>IF($C783="","",IFERROR(INDEX(DESPACHOS!$F$3:$F$3002,MATCH($C783,DESPACHOS!$B$3:$B$3002,0)),""))</f>
        <v/>
      </c>
      <c r="H783" s="42">
        <f>IF($C783="","",IFERROR(INDEX(DESPACHOS!$G$3:$G$3002,MATCH($C783,DESPACHOS!$B$3:$B$3002,0)),""))</f>
        <v/>
      </c>
      <c r="I783" s="39">
        <f>IF($C783="","",IFERROR(INDEX(DESPACHOS!$H$3:$H$3002,MATCH($C783,DESPACHOS!$B$3:$B$3002,0)),""))</f>
        <v/>
      </c>
      <c r="J783" s="43">
        <f>IF($C783="","",IFERROR(INDEX(DESPACHOS!$J$3:$J$3002,MATCH($C783,DESPACHOS!$B$3:$B$3002,0)),""))</f>
        <v/>
      </c>
      <c r="K783" s="39">
        <f>IF($C783="","",IF(COUNTIFS(DESPACHOS!$B$3:$B$3002,$C783)=0,"NO EXISTE",IF(COUNTIFS(DESPACHOS!$B$3:$B$3002,$C783)&gt;1,"DUPLICADO","OK")))</f>
        <v/>
      </c>
      <c r="L783" s="41" t="n"/>
      <c r="M783" s="41" t="n"/>
      <c r="N783" s="42">
        <f>IF($M783="","",IFERROR(INDEX(LISTAS!$F$3:$F$42,MATCH($M783,LISTAS!$E$3:$E$42,0)),"Por definir"))</f>
        <v/>
      </c>
      <c r="O783" s="41" t="n"/>
      <c r="P783" s="39">
        <f>IF($L783="","",IFERROR(INDEX(LISTAS!$B$3:$B$42,MATCH($L783,LISTAS!$A$3:$A$42,0)),"Media"))</f>
        <v/>
      </c>
      <c r="Q783" s="44" t="n"/>
      <c r="R783" s="45" t="n"/>
      <c r="S783" s="20">
        <f>IFERROR(IF(OR($R783="",$C783=""),"",$R783/INDEX(DESPACHOS!$M$3:$M$3002,MATCH($C783,DESPACHOS!$B$3:$B$3002,0))),"")</f>
        <v/>
      </c>
      <c r="T783" s="41" t="n"/>
      <c r="U783" s="43">
        <f>IF(OR($B783="",$L783=""),"",WORKDAY($B783,IFERROR(INDEX(LISTAS!$C$3:$C$42,MATCH($L783,LISTAS!$A$3:$A$42,0)),3)))</f>
        <v/>
      </c>
      <c r="V783" s="40" t="n"/>
      <c r="W783" s="19">
        <f>IF($B783="","",IF($V783&lt;&gt;"",$V783-$B783,TODAY()-$B783))</f>
        <v/>
      </c>
      <c r="X783" s="19">
        <f>IF(OR($B783="",$U783=""),"",IF($V783&lt;&gt;"",MAX(0,$V783-$U783),MAX(0,TODAY()-$U783)))</f>
        <v/>
      </c>
      <c r="Y783" s="39">
        <f>IF($C783="","",IF(IFERROR(INDEX(LISTAS!$I$3:$I$42,MATCH($T783,LISTAS!$H$3:$H$42,0)),"NO")="SÍ",IF(N($X783)&gt;0,"CERRADA FUERA DE SLA","CERRADA EN SLA"),IF($U783="","SIN CLASIFICAR",IF(N($X783)&gt;0,"VENCIDA",IF(TODAY()&gt;=$U783-1,"POR VENCER","EN PLAZO")))))</f>
        <v/>
      </c>
      <c r="Z783" s="41" t="n"/>
      <c r="AA783" s="41" t="n"/>
      <c r="AB783" s="41" t="n"/>
    </row>
    <row r="784">
      <c r="A784" s="39">
        <f>IF($C784="","","NOV-"&amp;TEXT(ROW()-3,"0000"))</f>
        <v/>
      </c>
      <c r="B784" s="40" t="n"/>
      <c r="C784" s="41" t="n"/>
      <c r="D784" s="42">
        <f>IF($C784="","",IFERROR(INDEX(DESPACHOS!$D$3:$D$3002,MATCH($C784,DESPACHOS!$B$3:$B$3002,0)),"SIN DESPACHO"))</f>
        <v/>
      </c>
      <c r="E784" s="42">
        <f>IF($C784="","",IFERROR(INDEX(DESPACHOS!$K$3:$K$3002,MATCH($C784,DESPACHOS!$B$3:$B$3002,0)),""))</f>
        <v/>
      </c>
      <c r="F784" s="42">
        <f>IF($C784="","",IFERROR(INDEX(DESPACHOS!$I$3:$I$3002,MATCH($C784,DESPACHOS!$B$3:$B$3002,0)),""))</f>
        <v/>
      </c>
      <c r="G784" s="42">
        <f>IF($C784="","",IFERROR(INDEX(DESPACHOS!$F$3:$F$3002,MATCH($C784,DESPACHOS!$B$3:$B$3002,0)),""))</f>
        <v/>
      </c>
      <c r="H784" s="42">
        <f>IF($C784="","",IFERROR(INDEX(DESPACHOS!$G$3:$G$3002,MATCH($C784,DESPACHOS!$B$3:$B$3002,0)),""))</f>
        <v/>
      </c>
      <c r="I784" s="39">
        <f>IF($C784="","",IFERROR(INDEX(DESPACHOS!$H$3:$H$3002,MATCH($C784,DESPACHOS!$B$3:$B$3002,0)),""))</f>
        <v/>
      </c>
      <c r="J784" s="43">
        <f>IF($C784="","",IFERROR(INDEX(DESPACHOS!$J$3:$J$3002,MATCH($C784,DESPACHOS!$B$3:$B$3002,0)),""))</f>
        <v/>
      </c>
      <c r="K784" s="39">
        <f>IF($C784="","",IF(COUNTIFS(DESPACHOS!$B$3:$B$3002,$C784)=0,"NO EXISTE",IF(COUNTIFS(DESPACHOS!$B$3:$B$3002,$C784)&gt;1,"DUPLICADO","OK")))</f>
        <v/>
      </c>
      <c r="L784" s="41" t="n"/>
      <c r="M784" s="41" t="n"/>
      <c r="N784" s="42">
        <f>IF($M784="","",IFERROR(INDEX(LISTAS!$F$3:$F$42,MATCH($M784,LISTAS!$E$3:$E$42,0)),"Por definir"))</f>
        <v/>
      </c>
      <c r="O784" s="41" t="n"/>
      <c r="P784" s="39">
        <f>IF($L784="","",IFERROR(INDEX(LISTAS!$B$3:$B$42,MATCH($L784,LISTAS!$A$3:$A$42,0)),"Media"))</f>
        <v/>
      </c>
      <c r="Q784" s="44" t="n"/>
      <c r="R784" s="45" t="n"/>
      <c r="S784" s="20">
        <f>IFERROR(IF(OR($R784="",$C784=""),"",$R784/INDEX(DESPACHOS!$M$3:$M$3002,MATCH($C784,DESPACHOS!$B$3:$B$3002,0))),"")</f>
        <v/>
      </c>
      <c r="T784" s="41" t="n"/>
      <c r="U784" s="43">
        <f>IF(OR($B784="",$L784=""),"",WORKDAY($B784,IFERROR(INDEX(LISTAS!$C$3:$C$42,MATCH($L784,LISTAS!$A$3:$A$42,0)),3)))</f>
        <v/>
      </c>
      <c r="V784" s="40" t="n"/>
      <c r="W784" s="19">
        <f>IF($B784="","",IF($V784&lt;&gt;"",$V784-$B784,TODAY()-$B784))</f>
        <v/>
      </c>
      <c r="X784" s="19">
        <f>IF(OR($B784="",$U784=""),"",IF($V784&lt;&gt;"",MAX(0,$V784-$U784),MAX(0,TODAY()-$U784)))</f>
        <v/>
      </c>
      <c r="Y784" s="39">
        <f>IF($C784="","",IF(IFERROR(INDEX(LISTAS!$I$3:$I$42,MATCH($T784,LISTAS!$H$3:$H$42,0)),"NO")="SÍ",IF(N($X784)&gt;0,"CERRADA FUERA DE SLA","CERRADA EN SLA"),IF($U784="","SIN CLASIFICAR",IF(N($X784)&gt;0,"VENCIDA",IF(TODAY()&gt;=$U784-1,"POR VENCER","EN PLAZO")))))</f>
        <v/>
      </c>
      <c r="Z784" s="41" t="n"/>
      <c r="AA784" s="41" t="n"/>
      <c r="AB784" s="41" t="n"/>
    </row>
    <row r="785">
      <c r="A785" s="39">
        <f>IF($C785="","","NOV-"&amp;TEXT(ROW()-3,"0000"))</f>
        <v/>
      </c>
      <c r="B785" s="40" t="n"/>
      <c r="C785" s="41" t="n"/>
      <c r="D785" s="42">
        <f>IF($C785="","",IFERROR(INDEX(DESPACHOS!$D$3:$D$3002,MATCH($C785,DESPACHOS!$B$3:$B$3002,0)),"SIN DESPACHO"))</f>
        <v/>
      </c>
      <c r="E785" s="42">
        <f>IF($C785="","",IFERROR(INDEX(DESPACHOS!$K$3:$K$3002,MATCH($C785,DESPACHOS!$B$3:$B$3002,0)),""))</f>
        <v/>
      </c>
      <c r="F785" s="42">
        <f>IF($C785="","",IFERROR(INDEX(DESPACHOS!$I$3:$I$3002,MATCH($C785,DESPACHOS!$B$3:$B$3002,0)),""))</f>
        <v/>
      </c>
      <c r="G785" s="42">
        <f>IF($C785="","",IFERROR(INDEX(DESPACHOS!$F$3:$F$3002,MATCH($C785,DESPACHOS!$B$3:$B$3002,0)),""))</f>
        <v/>
      </c>
      <c r="H785" s="42">
        <f>IF($C785="","",IFERROR(INDEX(DESPACHOS!$G$3:$G$3002,MATCH($C785,DESPACHOS!$B$3:$B$3002,0)),""))</f>
        <v/>
      </c>
      <c r="I785" s="39">
        <f>IF($C785="","",IFERROR(INDEX(DESPACHOS!$H$3:$H$3002,MATCH($C785,DESPACHOS!$B$3:$B$3002,0)),""))</f>
        <v/>
      </c>
      <c r="J785" s="43">
        <f>IF($C785="","",IFERROR(INDEX(DESPACHOS!$J$3:$J$3002,MATCH($C785,DESPACHOS!$B$3:$B$3002,0)),""))</f>
        <v/>
      </c>
      <c r="K785" s="39">
        <f>IF($C785="","",IF(COUNTIFS(DESPACHOS!$B$3:$B$3002,$C785)=0,"NO EXISTE",IF(COUNTIFS(DESPACHOS!$B$3:$B$3002,$C785)&gt;1,"DUPLICADO","OK")))</f>
        <v/>
      </c>
      <c r="L785" s="41" t="n"/>
      <c r="M785" s="41" t="n"/>
      <c r="N785" s="42">
        <f>IF($M785="","",IFERROR(INDEX(LISTAS!$F$3:$F$42,MATCH($M785,LISTAS!$E$3:$E$42,0)),"Por definir"))</f>
        <v/>
      </c>
      <c r="O785" s="41" t="n"/>
      <c r="P785" s="39">
        <f>IF($L785="","",IFERROR(INDEX(LISTAS!$B$3:$B$42,MATCH($L785,LISTAS!$A$3:$A$42,0)),"Media"))</f>
        <v/>
      </c>
      <c r="Q785" s="44" t="n"/>
      <c r="R785" s="45" t="n"/>
      <c r="S785" s="20">
        <f>IFERROR(IF(OR($R785="",$C785=""),"",$R785/INDEX(DESPACHOS!$M$3:$M$3002,MATCH($C785,DESPACHOS!$B$3:$B$3002,0))),"")</f>
        <v/>
      </c>
      <c r="T785" s="41" t="n"/>
      <c r="U785" s="43">
        <f>IF(OR($B785="",$L785=""),"",WORKDAY($B785,IFERROR(INDEX(LISTAS!$C$3:$C$42,MATCH($L785,LISTAS!$A$3:$A$42,0)),3)))</f>
        <v/>
      </c>
      <c r="V785" s="40" t="n"/>
      <c r="W785" s="19">
        <f>IF($B785="","",IF($V785&lt;&gt;"",$V785-$B785,TODAY()-$B785))</f>
        <v/>
      </c>
      <c r="X785" s="19">
        <f>IF(OR($B785="",$U785=""),"",IF($V785&lt;&gt;"",MAX(0,$V785-$U785),MAX(0,TODAY()-$U785)))</f>
        <v/>
      </c>
      <c r="Y785" s="39">
        <f>IF($C785="","",IF(IFERROR(INDEX(LISTAS!$I$3:$I$42,MATCH($T785,LISTAS!$H$3:$H$42,0)),"NO")="SÍ",IF(N($X785)&gt;0,"CERRADA FUERA DE SLA","CERRADA EN SLA"),IF($U785="","SIN CLASIFICAR",IF(N($X785)&gt;0,"VENCIDA",IF(TODAY()&gt;=$U785-1,"POR VENCER","EN PLAZO")))))</f>
        <v/>
      </c>
      <c r="Z785" s="41" t="n"/>
      <c r="AA785" s="41" t="n"/>
      <c r="AB785" s="41" t="n"/>
    </row>
    <row r="786">
      <c r="A786" s="39">
        <f>IF($C786="","","NOV-"&amp;TEXT(ROW()-3,"0000"))</f>
        <v/>
      </c>
      <c r="B786" s="40" t="n"/>
      <c r="C786" s="41" t="n"/>
      <c r="D786" s="42">
        <f>IF($C786="","",IFERROR(INDEX(DESPACHOS!$D$3:$D$3002,MATCH($C786,DESPACHOS!$B$3:$B$3002,0)),"SIN DESPACHO"))</f>
        <v/>
      </c>
      <c r="E786" s="42">
        <f>IF($C786="","",IFERROR(INDEX(DESPACHOS!$K$3:$K$3002,MATCH($C786,DESPACHOS!$B$3:$B$3002,0)),""))</f>
        <v/>
      </c>
      <c r="F786" s="42">
        <f>IF($C786="","",IFERROR(INDEX(DESPACHOS!$I$3:$I$3002,MATCH($C786,DESPACHOS!$B$3:$B$3002,0)),""))</f>
        <v/>
      </c>
      <c r="G786" s="42">
        <f>IF($C786="","",IFERROR(INDEX(DESPACHOS!$F$3:$F$3002,MATCH($C786,DESPACHOS!$B$3:$B$3002,0)),""))</f>
        <v/>
      </c>
      <c r="H786" s="42">
        <f>IF($C786="","",IFERROR(INDEX(DESPACHOS!$G$3:$G$3002,MATCH($C786,DESPACHOS!$B$3:$B$3002,0)),""))</f>
        <v/>
      </c>
      <c r="I786" s="39">
        <f>IF($C786="","",IFERROR(INDEX(DESPACHOS!$H$3:$H$3002,MATCH($C786,DESPACHOS!$B$3:$B$3002,0)),""))</f>
        <v/>
      </c>
      <c r="J786" s="43">
        <f>IF($C786="","",IFERROR(INDEX(DESPACHOS!$J$3:$J$3002,MATCH($C786,DESPACHOS!$B$3:$B$3002,0)),""))</f>
        <v/>
      </c>
      <c r="K786" s="39">
        <f>IF($C786="","",IF(COUNTIFS(DESPACHOS!$B$3:$B$3002,$C786)=0,"NO EXISTE",IF(COUNTIFS(DESPACHOS!$B$3:$B$3002,$C786)&gt;1,"DUPLICADO","OK")))</f>
        <v/>
      </c>
      <c r="L786" s="41" t="n"/>
      <c r="M786" s="41" t="n"/>
      <c r="N786" s="42">
        <f>IF($M786="","",IFERROR(INDEX(LISTAS!$F$3:$F$42,MATCH($M786,LISTAS!$E$3:$E$42,0)),"Por definir"))</f>
        <v/>
      </c>
      <c r="O786" s="41" t="n"/>
      <c r="P786" s="39">
        <f>IF($L786="","",IFERROR(INDEX(LISTAS!$B$3:$B$42,MATCH($L786,LISTAS!$A$3:$A$42,0)),"Media"))</f>
        <v/>
      </c>
      <c r="Q786" s="44" t="n"/>
      <c r="R786" s="45" t="n"/>
      <c r="S786" s="20">
        <f>IFERROR(IF(OR($R786="",$C786=""),"",$R786/INDEX(DESPACHOS!$M$3:$M$3002,MATCH($C786,DESPACHOS!$B$3:$B$3002,0))),"")</f>
        <v/>
      </c>
      <c r="T786" s="41" t="n"/>
      <c r="U786" s="43">
        <f>IF(OR($B786="",$L786=""),"",WORKDAY($B786,IFERROR(INDEX(LISTAS!$C$3:$C$42,MATCH($L786,LISTAS!$A$3:$A$42,0)),3)))</f>
        <v/>
      </c>
      <c r="V786" s="40" t="n"/>
      <c r="W786" s="19">
        <f>IF($B786="","",IF($V786&lt;&gt;"",$V786-$B786,TODAY()-$B786))</f>
        <v/>
      </c>
      <c r="X786" s="19">
        <f>IF(OR($B786="",$U786=""),"",IF($V786&lt;&gt;"",MAX(0,$V786-$U786),MAX(0,TODAY()-$U786)))</f>
        <v/>
      </c>
      <c r="Y786" s="39">
        <f>IF($C786="","",IF(IFERROR(INDEX(LISTAS!$I$3:$I$42,MATCH($T786,LISTAS!$H$3:$H$42,0)),"NO")="SÍ",IF(N($X786)&gt;0,"CERRADA FUERA DE SLA","CERRADA EN SLA"),IF($U786="","SIN CLASIFICAR",IF(N($X786)&gt;0,"VENCIDA",IF(TODAY()&gt;=$U786-1,"POR VENCER","EN PLAZO")))))</f>
        <v/>
      </c>
      <c r="Z786" s="41" t="n"/>
      <c r="AA786" s="41" t="n"/>
      <c r="AB786" s="41" t="n"/>
    </row>
    <row r="787">
      <c r="A787" s="39">
        <f>IF($C787="","","NOV-"&amp;TEXT(ROW()-3,"0000"))</f>
        <v/>
      </c>
      <c r="B787" s="40" t="n"/>
      <c r="C787" s="41" t="n"/>
      <c r="D787" s="42">
        <f>IF($C787="","",IFERROR(INDEX(DESPACHOS!$D$3:$D$3002,MATCH($C787,DESPACHOS!$B$3:$B$3002,0)),"SIN DESPACHO"))</f>
        <v/>
      </c>
      <c r="E787" s="42">
        <f>IF($C787="","",IFERROR(INDEX(DESPACHOS!$K$3:$K$3002,MATCH($C787,DESPACHOS!$B$3:$B$3002,0)),""))</f>
        <v/>
      </c>
      <c r="F787" s="42">
        <f>IF($C787="","",IFERROR(INDEX(DESPACHOS!$I$3:$I$3002,MATCH($C787,DESPACHOS!$B$3:$B$3002,0)),""))</f>
        <v/>
      </c>
      <c r="G787" s="42">
        <f>IF($C787="","",IFERROR(INDEX(DESPACHOS!$F$3:$F$3002,MATCH($C787,DESPACHOS!$B$3:$B$3002,0)),""))</f>
        <v/>
      </c>
      <c r="H787" s="42">
        <f>IF($C787="","",IFERROR(INDEX(DESPACHOS!$G$3:$G$3002,MATCH($C787,DESPACHOS!$B$3:$B$3002,0)),""))</f>
        <v/>
      </c>
      <c r="I787" s="39">
        <f>IF($C787="","",IFERROR(INDEX(DESPACHOS!$H$3:$H$3002,MATCH($C787,DESPACHOS!$B$3:$B$3002,0)),""))</f>
        <v/>
      </c>
      <c r="J787" s="43">
        <f>IF($C787="","",IFERROR(INDEX(DESPACHOS!$J$3:$J$3002,MATCH($C787,DESPACHOS!$B$3:$B$3002,0)),""))</f>
        <v/>
      </c>
      <c r="K787" s="39">
        <f>IF($C787="","",IF(COUNTIFS(DESPACHOS!$B$3:$B$3002,$C787)=0,"NO EXISTE",IF(COUNTIFS(DESPACHOS!$B$3:$B$3002,$C787)&gt;1,"DUPLICADO","OK")))</f>
        <v/>
      </c>
      <c r="L787" s="41" t="n"/>
      <c r="M787" s="41" t="n"/>
      <c r="N787" s="42">
        <f>IF($M787="","",IFERROR(INDEX(LISTAS!$F$3:$F$42,MATCH($M787,LISTAS!$E$3:$E$42,0)),"Por definir"))</f>
        <v/>
      </c>
      <c r="O787" s="41" t="n"/>
      <c r="P787" s="39">
        <f>IF($L787="","",IFERROR(INDEX(LISTAS!$B$3:$B$42,MATCH($L787,LISTAS!$A$3:$A$42,0)),"Media"))</f>
        <v/>
      </c>
      <c r="Q787" s="44" t="n"/>
      <c r="R787" s="45" t="n"/>
      <c r="S787" s="20">
        <f>IFERROR(IF(OR($R787="",$C787=""),"",$R787/INDEX(DESPACHOS!$M$3:$M$3002,MATCH($C787,DESPACHOS!$B$3:$B$3002,0))),"")</f>
        <v/>
      </c>
      <c r="T787" s="41" t="n"/>
      <c r="U787" s="43">
        <f>IF(OR($B787="",$L787=""),"",WORKDAY($B787,IFERROR(INDEX(LISTAS!$C$3:$C$42,MATCH($L787,LISTAS!$A$3:$A$42,0)),3)))</f>
        <v/>
      </c>
      <c r="V787" s="40" t="n"/>
      <c r="W787" s="19">
        <f>IF($B787="","",IF($V787&lt;&gt;"",$V787-$B787,TODAY()-$B787))</f>
        <v/>
      </c>
      <c r="X787" s="19">
        <f>IF(OR($B787="",$U787=""),"",IF($V787&lt;&gt;"",MAX(0,$V787-$U787),MAX(0,TODAY()-$U787)))</f>
        <v/>
      </c>
      <c r="Y787" s="39">
        <f>IF($C787="","",IF(IFERROR(INDEX(LISTAS!$I$3:$I$42,MATCH($T787,LISTAS!$H$3:$H$42,0)),"NO")="SÍ",IF(N($X787)&gt;0,"CERRADA FUERA DE SLA","CERRADA EN SLA"),IF($U787="","SIN CLASIFICAR",IF(N($X787)&gt;0,"VENCIDA",IF(TODAY()&gt;=$U787-1,"POR VENCER","EN PLAZO")))))</f>
        <v/>
      </c>
      <c r="Z787" s="41" t="n"/>
      <c r="AA787" s="41" t="n"/>
      <c r="AB787" s="41" t="n"/>
    </row>
    <row r="788">
      <c r="A788" s="39">
        <f>IF($C788="","","NOV-"&amp;TEXT(ROW()-3,"0000"))</f>
        <v/>
      </c>
      <c r="B788" s="40" t="n"/>
      <c r="C788" s="41" t="n"/>
      <c r="D788" s="42">
        <f>IF($C788="","",IFERROR(INDEX(DESPACHOS!$D$3:$D$3002,MATCH($C788,DESPACHOS!$B$3:$B$3002,0)),"SIN DESPACHO"))</f>
        <v/>
      </c>
      <c r="E788" s="42">
        <f>IF($C788="","",IFERROR(INDEX(DESPACHOS!$K$3:$K$3002,MATCH($C788,DESPACHOS!$B$3:$B$3002,0)),""))</f>
        <v/>
      </c>
      <c r="F788" s="42">
        <f>IF($C788="","",IFERROR(INDEX(DESPACHOS!$I$3:$I$3002,MATCH($C788,DESPACHOS!$B$3:$B$3002,0)),""))</f>
        <v/>
      </c>
      <c r="G788" s="42">
        <f>IF($C788="","",IFERROR(INDEX(DESPACHOS!$F$3:$F$3002,MATCH($C788,DESPACHOS!$B$3:$B$3002,0)),""))</f>
        <v/>
      </c>
      <c r="H788" s="42">
        <f>IF($C788="","",IFERROR(INDEX(DESPACHOS!$G$3:$G$3002,MATCH($C788,DESPACHOS!$B$3:$B$3002,0)),""))</f>
        <v/>
      </c>
      <c r="I788" s="39">
        <f>IF($C788="","",IFERROR(INDEX(DESPACHOS!$H$3:$H$3002,MATCH($C788,DESPACHOS!$B$3:$B$3002,0)),""))</f>
        <v/>
      </c>
      <c r="J788" s="43">
        <f>IF($C788="","",IFERROR(INDEX(DESPACHOS!$J$3:$J$3002,MATCH($C788,DESPACHOS!$B$3:$B$3002,0)),""))</f>
        <v/>
      </c>
      <c r="K788" s="39">
        <f>IF($C788="","",IF(COUNTIFS(DESPACHOS!$B$3:$B$3002,$C788)=0,"NO EXISTE",IF(COUNTIFS(DESPACHOS!$B$3:$B$3002,$C788)&gt;1,"DUPLICADO","OK")))</f>
        <v/>
      </c>
      <c r="L788" s="41" t="n"/>
      <c r="M788" s="41" t="n"/>
      <c r="N788" s="42">
        <f>IF($M788="","",IFERROR(INDEX(LISTAS!$F$3:$F$42,MATCH($M788,LISTAS!$E$3:$E$42,0)),"Por definir"))</f>
        <v/>
      </c>
      <c r="O788" s="41" t="n"/>
      <c r="P788" s="39">
        <f>IF($L788="","",IFERROR(INDEX(LISTAS!$B$3:$B$42,MATCH($L788,LISTAS!$A$3:$A$42,0)),"Media"))</f>
        <v/>
      </c>
      <c r="Q788" s="44" t="n"/>
      <c r="R788" s="45" t="n"/>
      <c r="S788" s="20">
        <f>IFERROR(IF(OR($R788="",$C788=""),"",$R788/INDEX(DESPACHOS!$M$3:$M$3002,MATCH($C788,DESPACHOS!$B$3:$B$3002,0))),"")</f>
        <v/>
      </c>
      <c r="T788" s="41" t="n"/>
      <c r="U788" s="43">
        <f>IF(OR($B788="",$L788=""),"",WORKDAY($B788,IFERROR(INDEX(LISTAS!$C$3:$C$42,MATCH($L788,LISTAS!$A$3:$A$42,0)),3)))</f>
        <v/>
      </c>
      <c r="V788" s="40" t="n"/>
      <c r="W788" s="19">
        <f>IF($B788="","",IF($V788&lt;&gt;"",$V788-$B788,TODAY()-$B788))</f>
        <v/>
      </c>
      <c r="X788" s="19">
        <f>IF(OR($B788="",$U788=""),"",IF($V788&lt;&gt;"",MAX(0,$V788-$U788),MAX(0,TODAY()-$U788)))</f>
        <v/>
      </c>
      <c r="Y788" s="39">
        <f>IF($C788="","",IF(IFERROR(INDEX(LISTAS!$I$3:$I$42,MATCH($T788,LISTAS!$H$3:$H$42,0)),"NO")="SÍ",IF(N($X788)&gt;0,"CERRADA FUERA DE SLA","CERRADA EN SLA"),IF($U788="","SIN CLASIFICAR",IF(N($X788)&gt;0,"VENCIDA",IF(TODAY()&gt;=$U788-1,"POR VENCER","EN PLAZO")))))</f>
        <v/>
      </c>
      <c r="Z788" s="41" t="n"/>
      <c r="AA788" s="41" t="n"/>
      <c r="AB788" s="41" t="n"/>
    </row>
    <row r="789">
      <c r="A789" s="39">
        <f>IF($C789="","","NOV-"&amp;TEXT(ROW()-3,"0000"))</f>
        <v/>
      </c>
      <c r="B789" s="40" t="n"/>
      <c r="C789" s="41" t="n"/>
      <c r="D789" s="42">
        <f>IF($C789="","",IFERROR(INDEX(DESPACHOS!$D$3:$D$3002,MATCH($C789,DESPACHOS!$B$3:$B$3002,0)),"SIN DESPACHO"))</f>
        <v/>
      </c>
      <c r="E789" s="42">
        <f>IF($C789="","",IFERROR(INDEX(DESPACHOS!$K$3:$K$3002,MATCH($C789,DESPACHOS!$B$3:$B$3002,0)),""))</f>
        <v/>
      </c>
      <c r="F789" s="42">
        <f>IF($C789="","",IFERROR(INDEX(DESPACHOS!$I$3:$I$3002,MATCH($C789,DESPACHOS!$B$3:$B$3002,0)),""))</f>
        <v/>
      </c>
      <c r="G789" s="42">
        <f>IF($C789="","",IFERROR(INDEX(DESPACHOS!$F$3:$F$3002,MATCH($C789,DESPACHOS!$B$3:$B$3002,0)),""))</f>
        <v/>
      </c>
      <c r="H789" s="42">
        <f>IF($C789="","",IFERROR(INDEX(DESPACHOS!$G$3:$G$3002,MATCH($C789,DESPACHOS!$B$3:$B$3002,0)),""))</f>
        <v/>
      </c>
      <c r="I789" s="39">
        <f>IF($C789="","",IFERROR(INDEX(DESPACHOS!$H$3:$H$3002,MATCH($C789,DESPACHOS!$B$3:$B$3002,0)),""))</f>
        <v/>
      </c>
      <c r="J789" s="43">
        <f>IF($C789="","",IFERROR(INDEX(DESPACHOS!$J$3:$J$3002,MATCH($C789,DESPACHOS!$B$3:$B$3002,0)),""))</f>
        <v/>
      </c>
      <c r="K789" s="39">
        <f>IF($C789="","",IF(COUNTIFS(DESPACHOS!$B$3:$B$3002,$C789)=0,"NO EXISTE",IF(COUNTIFS(DESPACHOS!$B$3:$B$3002,$C789)&gt;1,"DUPLICADO","OK")))</f>
        <v/>
      </c>
      <c r="L789" s="41" t="n"/>
      <c r="M789" s="41" t="n"/>
      <c r="N789" s="42">
        <f>IF($M789="","",IFERROR(INDEX(LISTAS!$F$3:$F$42,MATCH($M789,LISTAS!$E$3:$E$42,0)),"Por definir"))</f>
        <v/>
      </c>
      <c r="O789" s="41" t="n"/>
      <c r="P789" s="39">
        <f>IF($L789="","",IFERROR(INDEX(LISTAS!$B$3:$B$42,MATCH($L789,LISTAS!$A$3:$A$42,0)),"Media"))</f>
        <v/>
      </c>
      <c r="Q789" s="44" t="n"/>
      <c r="R789" s="45" t="n"/>
      <c r="S789" s="20">
        <f>IFERROR(IF(OR($R789="",$C789=""),"",$R789/INDEX(DESPACHOS!$M$3:$M$3002,MATCH($C789,DESPACHOS!$B$3:$B$3002,0))),"")</f>
        <v/>
      </c>
      <c r="T789" s="41" t="n"/>
      <c r="U789" s="43">
        <f>IF(OR($B789="",$L789=""),"",WORKDAY($B789,IFERROR(INDEX(LISTAS!$C$3:$C$42,MATCH($L789,LISTAS!$A$3:$A$42,0)),3)))</f>
        <v/>
      </c>
      <c r="V789" s="40" t="n"/>
      <c r="W789" s="19">
        <f>IF($B789="","",IF($V789&lt;&gt;"",$V789-$B789,TODAY()-$B789))</f>
        <v/>
      </c>
      <c r="X789" s="19">
        <f>IF(OR($B789="",$U789=""),"",IF($V789&lt;&gt;"",MAX(0,$V789-$U789),MAX(0,TODAY()-$U789)))</f>
        <v/>
      </c>
      <c r="Y789" s="39">
        <f>IF($C789="","",IF(IFERROR(INDEX(LISTAS!$I$3:$I$42,MATCH($T789,LISTAS!$H$3:$H$42,0)),"NO")="SÍ",IF(N($X789)&gt;0,"CERRADA FUERA DE SLA","CERRADA EN SLA"),IF($U789="","SIN CLASIFICAR",IF(N($X789)&gt;0,"VENCIDA",IF(TODAY()&gt;=$U789-1,"POR VENCER","EN PLAZO")))))</f>
        <v/>
      </c>
      <c r="Z789" s="41" t="n"/>
      <c r="AA789" s="41" t="n"/>
      <c r="AB789" s="41" t="n"/>
    </row>
    <row r="790">
      <c r="A790" s="39">
        <f>IF($C790="","","NOV-"&amp;TEXT(ROW()-3,"0000"))</f>
        <v/>
      </c>
      <c r="B790" s="40" t="n"/>
      <c r="C790" s="41" t="n"/>
      <c r="D790" s="42">
        <f>IF($C790="","",IFERROR(INDEX(DESPACHOS!$D$3:$D$3002,MATCH($C790,DESPACHOS!$B$3:$B$3002,0)),"SIN DESPACHO"))</f>
        <v/>
      </c>
      <c r="E790" s="42">
        <f>IF($C790="","",IFERROR(INDEX(DESPACHOS!$K$3:$K$3002,MATCH($C790,DESPACHOS!$B$3:$B$3002,0)),""))</f>
        <v/>
      </c>
      <c r="F790" s="42">
        <f>IF($C790="","",IFERROR(INDEX(DESPACHOS!$I$3:$I$3002,MATCH($C790,DESPACHOS!$B$3:$B$3002,0)),""))</f>
        <v/>
      </c>
      <c r="G790" s="42">
        <f>IF($C790="","",IFERROR(INDEX(DESPACHOS!$F$3:$F$3002,MATCH($C790,DESPACHOS!$B$3:$B$3002,0)),""))</f>
        <v/>
      </c>
      <c r="H790" s="42">
        <f>IF($C790="","",IFERROR(INDEX(DESPACHOS!$G$3:$G$3002,MATCH($C790,DESPACHOS!$B$3:$B$3002,0)),""))</f>
        <v/>
      </c>
      <c r="I790" s="39">
        <f>IF($C790="","",IFERROR(INDEX(DESPACHOS!$H$3:$H$3002,MATCH($C790,DESPACHOS!$B$3:$B$3002,0)),""))</f>
        <v/>
      </c>
      <c r="J790" s="43">
        <f>IF($C790="","",IFERROR(INDEX(DESPACHOS!$J$3:$J$3002,MATCH($C790,DESPACHOS!$B$3:$B$3002,0)),""))</f>
        <v/>
      </c>
      <c r="K790" s="39">
        <f>IF($C790="","",IF(COUNTIFS(DESPACHOS!$B$3:$B$3002,$C790)=0,"NO EXISTE",IF(COUNTIFS(DESPACHOS!$B$3:$B$3002,$C790)&gt;1,"DUPLICADO","OK")))</f>
        <v/>
      </c>
      <c r="L790" s="41" t="n"/>
      <c r="M790" s="41" t="n"/>
      <c r="N790" s="42">
        <f>IF($M790="","",IFERROR(INDEX(LISTAS!$F$3:$F$42,MATCH($M790,LISTAS!$E$3:$E$42,0)),"Por definir"))</f>
        <v/>
      </c>
      <c r="O790" s="41" t="n"/>
      <c r="P790" s="39">
        <f>IF($L790="","",IFERROR(INDEX(LISTAS!$B$3:$B$42,MATCH($L790,LISTAS!$A$3:$A$42,0)),"Media"))</f>
        <v/>
      </c>
      <c r="Q790" s="44" t="n"/>
      <c r="R790" s="45" t="n"/>
      <c r="S790" s="20">
        <f>IFERROR(IF(OR($R790="",$C790=""),"",$R790/INDEX(DESPACHOS!$M$3:$M$3002,MATCH($C790,DESPACHOS!$B$3:$B$3002,0))),"")</f>
        <v/>
      </c>
      <c r="T790" s="41" t="n"/>
      <c r="U790" s="43">
        <f>IF(OR($B790="",$L790=""),"",WORKDAY($B790,IFERROR(INDEX(LISTAS!$C$3:$C$42,MATCH($L790,LISTAS!$A$3:$A$42,0)),3)))</f>
        <v/>
      </c>
      <c r="V790" s="40" t="n"/>
      <c r="W790" s="19">
        <f>IF($B790="","",IF($V790&lt;&gt;"",$V790-$B790,TODAY()-$B790))</f>
        <v/>
      </c>
      <c r="X790" s="19">
        <f>IF(OR($B790="",$U790=""),"",IF($V790&lt;&gt;"",MAX(0,$V790-$U790),MAX(0,TODAY()-$U790)))</f>
        <v/>
      </c>
      <c r="Y790" s="39">
        <f>IF($C790="","",IF(IFERROR(INDEX(LISTAS!$I$3:$I$42,MATCH($T790,LISTAS!$H$3:$H$42,0)),"NO")="SÍ",IF(N($X790)&gt;0,"CERRADA FUERA DE SLA","CERRADA EN SLA"),IF($U790="","SIN CLASIFICAR",IF(N($X790)&gt;0,"VENCIDA",IF(TODAY()&gt;=$U790-1,"POR VENCER","EN PLAZO")))))</f>
        <v/>
      </c>
      <c r="Z790" s="41" t="n"/>
      <c r="AA790" s="41" t="n"/>
      <c r="AB790" s="41" t="n"/>
    </row>
    <row r="791">
      <c r="A791" s="39">
        <f>IF($C791="","","NOV-"&amp;TEXT(ROW()-3,"0000"))</f>
        <v/>
      </c>
      <c r="B791" s="40" t="n"/>
      <c r="C791" s="41" t="n"/>
      <c r="D791" s="42">
        <f>IF($C791="","",IFERROR(INDEX(DESPACHOS!$D$3:$D$3002,MATCH($C791,DESPACHOS!$B$3:$B$3002,0)),"SIN DESPACHO"))</f>
        <v/>
      </c>
      <c r="E791" s="42">
        <f>IF($C791="","",IFERROR(INDEX(DESPACHOS!$K$3:$K$3002,MATCH($C791,DESPACHOS!$B$3:$B$3002,0)),""))</f>
        <v/>
      </c>
      <c r="F791" s="42">
        <f>IF($C791="","",IFERROR(INDEX(DESPACHOS!$I$3:$I$3002,MATCH($C791,DESPACHOS!$B$3:$B$3002,0)),""))</f>
        <v/>
      </c>
      <c r="G791" s="42">
        <f>IF($C791="","",IFERROR(INDEX(DESPACHOS!$F$3:$F$3002,MATCH($C791,DESPACHOS!$B$3:$B$3002,0)),""))</f>
        <v/>
      </c>
      <c r="H791" s="42">
        <f>IF($C791="","",IFERROR(INDEX(DESPACHOS!$G$3:$G$3002,MATCH($C791,DESPACHOS!$B$3:$B$3002,0)),""))</f>
        <v/>
      </c>
      <c r="I791" s="39">
        <f>IF($C791="","",IFERROR(INDEX(DESPACHOS!$H$3:$H$3002,MATCH($C791,DESPACHOS!$B$3:$B$3002,0)),""))</f>
        <v/>
      </c>
      <c r="J791" s="43">
        <f>IF($C791="","",IFERROR(INDEX(DESPACHOS!$J$3:$J$3002,MATCH($C791,DESPACHOS!$B$3:$B$3002,0)),""))</f>
        <v/>
      </c>
      <c r="K791" s="39">
        <f>IF($C791="","",IF(COUNTIFS(DESPACHOS!$B$3:$B$3002,$C791)=0,"NO EXISTE",IF(COUNTIFS(DESPACHOS!$B$3:$B$3002,$C791)&gt;1,"DUPLICADO","OK")))</f>
        <v/>
      </c>
      <c r="L791" s="41" t="n"/>
      <c r="M791" s="41" t="n"/>
      <c r="N791" s="42">
        <f>IF($M791="","",IFERROR(INDEX(LISTAS!$F$3:$F$42,MATCH($M791,LISTAS!$E$3:$E$42,0)),"Por definir"))</f>
        <v/>
      </c>
      <c r="O791" s="41" t="n"/>
      <c r="P791" s="39">
        <f>IF($L791="","",IFERROR(INDEX(LISTAS!$B$3:$B$42,MATCH($L791,LISTAS!$A$3:$A$42,0)),"Media"))</f>
        <v/>
      </c>
      <c r="Q791" s="44" t="n"/>
      <c r="R791" s="45" t="n"/>
      <c r="S791" s="20">
        <f>IFERROR(IF(OR($R791="",$C791=""),"",$R791/INDEX(DESPACHOS!$M$3:$M$3002,MATCH($C791,DESPACHOS!$B$3:$B$3002,0))),"")</f>
        <v/>
      </c>
      <c r="T791" s="41" t="n"/>
      <c r="U791" s="43">
        <f>IF(OR($B791="",$L791=""),"",WORKDAY($B791,IFERROR(INDEX(LISTAS!$C$3:$C$42,MATCH($L791,LISTAS!$A$3:$A$42,0)),3)))</f>
        <v/>
      </c>
      <c r="V791" s="40" t="n"/>
      <c r="W791" s="19">
        <f>IF($B791="","",IF($V791&lt;&gt;"",$V791-$B791,TODAY()-$B791))</f>
        <v/>
      </c>
      <c r="X791" s="19">
        <f>IF(OR($B791="",$U791=""),"",IF($V791&lt;&gt;"",MAX(0,$V791-$U791),MAX(0,TODAY()-$U791)))</f>
        <v/>
      </c>
      <c r="Y791" s="39">
        <f>IF($C791="","",IF(IFERROR(INDEX(LISTAS!$I$3:$I$42,MATCH($T791,LISTAS!$H$3:$H$42,0)),"NO")="SÍ",IF(N($X791)&gt;0,"CERRADA FUERA DE SLA","CERRADA EN SLA"),IF($U791="","SIN CLASIFICAR",IF(N($X791)&gt;0,"VENCIDA",IF(TODAY()&gt;=$U791-1,"POR VENCER","EN PLAZO")))))</f>
        <v/>
      </c>
      <c r="Z791" s="41" t="n"/>
      <c r="AA791" s="41" t="n"/>
      <c r="AB791" s="41" t="n"/>
    </row>
    <row r="792">
      <c r="A792" s="39">
        <f>IF($C792="","","NOV-"&amp;TEXT(ROW()-3,"0000"))</f>
        <v/>
      </c>
      <c r="B792" s="40" t="n"/>
      <c r="C792" s="41" t="n"/>
      <c r="D792" s="42">
        <f>IF($C792="","",IFERROR(INDEX(DESPACHOS!$D$3:$D$3002,MATCH($C792,DESPACHOS!$B$3:$B$3002,0)),"SIN DESPACHO"))</f>
        <v/>
      </c>
      <c r="E792" s="42">
        <f>IF($C792="","",IFERROR(INDEX(DESPACHOS!$K$3:$K$3002,MATCH($C792,DESPACHOS!$B$3:$B$3002,0)),""))</f>
        <v/>
      </c>
      <c r="F792" s="42">
        <f>IF($C792="","",IFERROR(INDEX(DESPACHOS!$I$3:$I$3002,MATCH($C792,DESPACHOS!$B$3:$B$3002,0)),""))</f>
        <v/>
      </c>
      <c r="G792" s="42">
        <f>IF($C792="","",IFERROR(INDEX(DESPACHOS!$F$3:$F$3002,MATCH($C792,DESPACHOS!$B$3:$B$3002,0)),""))</f>
        <v/>
      </c>
      <c r="H792" s="42">
        <f>IF($C792="","",IFERROR(INDEX(DESPACHOS!$G$3:$G$3002,MATCH($C792,DESPACHOS!$B$3:$B$3002,0)),""))</f>
        <v/>
      </c>
      <c r="I792" s="39">
        <f>IF($C792="","",IFERROR(INDEX(DESPACHOS!$H$3:$H$3002,MATCH($C792,DESPACHOS!$B$3:$B$3002,0)),""))</f>
        <v/>
      </c>
      <c r="J792" s="43">
        <f>IF($C792="","",IFERROR(INDEX(DESPACHOS!$J$3:$J$3002,MATCH($C792,DESPACHOS!$B$3:$B$3002,0)),""))</f>
        <v/>
      </c>
      <c r="K792" s="39">
        <f>IF($C792="","",IF(COUNTIFS(DESPACHOS!$B$3:$B$3002,$C792)=0,"NO EXISTE",IF(COUNTIFS(DESPACHOS!$B$3:$B$3002,$C792)&gt;1,"DUPLICADO","OK")))</f>
        <v/>
      </c>
      <c r="L792" s="41" t="n"/>
      <c r="M792" s="41" t="n"/>
      <c r="N792" s="42">
        <f>IF($M792="","",IFERROR(INDEX(LISTAS!$F$3:$F$42,MATCH($M792,LISTAS!$E$3:$E$42,0)),"Por definir"))</f>
        <v/>
      </c>
      <c r="O792" s="41" t="n"/>
      <c r="P792" s="39">
        <f>IF($L792="","",IFERROR(INDEX(LISTAS!$B$3:$B$42,MATCH($L792,LISTAS!$A$3:$A$42,0)),"Media"))</f>
        <v/>
      </c>
      <c r="Q792" s="44" t="n"/>
      <c r="R792" s="45" t="n"/>
      <c r="S792" s="20">
        <f>IFERROR(IF(OR($R792="",$C792=""),"",$R792/INDEX(DESPACHOS!$M$3:$M$3002,MATCH($C792,DESPACHOS!$B$3:$B$3002,0))),"")</f>
        <v/>
      </c>
      <c r="T792" s="41" t="n"/>
      <c r="U792" s="43">
        <f>IF(OR($B792="",$L792=""),"",WORKDAY($B792,IFERROR(INDEX(LISTAS!$C$3:$C$42,MATCH($L792,LISTAS!$A$3:$A$42,0)),3)))</f>
        <v/>
      </c>
      <c r="V792" s="40" t="n"/>
      <c r="W792" s="19">
        <f>IF($B792="","",IF($V792&lt;&gt;"",$V792-$B792,TODAY()-$B792))</f>
        <v/>
      </c>
      <c r="X792" s="19">
        <f>IF(OR($B792="",$U792=""),"",IF($V792&lt;&gt;"",MAX(0,$V792-$U792),MAX(0,TODAY()-$U792)))</f>
        <v/>
      </c>
      <c r="Y792" s="39">
        <f>IF($C792="","",IF(IFERROR(INDEX(LISTAS!$I$3:$I$42,MATCH($T792,LISTAS!$H$3:$H$42,0)),"NO")="SÍ",IF(N($X792)&gt;0,"CERRADA FUERA DE SLA","CERRADA EN SLA"),IF($U792="","SIN CLASIFICAR",IF(N($X792)&gt;0,"VENCIDA",IF(TODAY()&gt;=$U792-1,"POR VENCER","EN PLAZO")))))</f>
        <v/>
      </c>
      <c r="Z792" s="41" t="n"/>
      <c r="AA792" s="41" t="n"/>
      <c r="AB792" s="41" t="n"/>
    </row>
    <row r="793">
      <c r="A793" s="39">
        <f>IF($C793="","","NOV-"&amp;TEXT(ROW()-3,"0000"))</f>
        <v/>
      </c>
      <c r="B793" s="40" t="n"/>
      <c r="C793" s="41" t="n"/>
      <c r="D793" s="42">
        <f>IF($C793="","",IFERROR(INDEX(DESPACHOS!$D$3:$D$3002,MATCH($C793,DESPACHOS!$B$3:$B$3002,0)),"SIN DESPACHO"))</f>
        <v/>
      </c>
      <c r="E793" s="42">
        <f>IF($C793="","",IFERROR(INDEX(DESPACHOS!$K$3:$K$3002,MATCH($C793,DESPACHOS!$B$3:$B$3002,0)),""))</f>
        <v/>
      </c>
      <c r="F793" s="42">
        <f>IF($C793="","",IFERROR(INDEX(DESPACHOS!$I$3:$I$3002,MATCH($C793,DESPACHOS!$B$3:$B$3002,0)),""))</f>
        <v/>
      </c>
      <c r="G793" s="42">
        <f>IF($C793="","",IFERROR(INDEX(DESPACHOS!$F$3:$F$3002,MATCH($C793,DESPACHOS!$B$3:$B$3002,0)),""))</f>
        <v/>
      </c>
      <c r="H793" s="42">
        <f>IF($C793="","",IFERROR(INDEX(DESPACHOS!$G$3:$G$3002,MATCH($C793,DESPACHOS!$B$3:$B$3002,0)),""))</f>
        <v/>
      </c>
      <c r="I793" s="39">
        <f>IF($C793="","",IFERROR(INDEX(DESPACHOS!$H$3:$H$3002,MATCH($C793,DESPACHOS!$B$3:$B$3002,0)),""))</f>
        <v/>
      </c>
      <c r="J793" s="43">
        <f>IF($C793="","",IFERROR(INDEX(DESPACHOS!$J$3:$J$3002,MATCH($C793,DESPACHOS!$B$3:$B$3002,0)),""))</f>
        <v/>
      </c>
      <c r="K793" s="39">
        <f>IF($C793="","",IF(COUNTIFS(DESPACHOS!$B$3:$B$3002,$C793)=0,"NO EXISTE",IF(COUNTIFS(DESPACHOS!$B$3:$B$3002,$C793)&gt;1,"DUPLICADO","OK")))</f>
        <v/>
      </c>
      <c r="L793" s="41" t="n"/>
      <c r="M793" s="41" t="n"/>
      <c r="N793" s="42">
        <f>IF($M793="","",IFERROR(INDEX(LISTAS!$F$3:$F$42,MATCH($M793,LISTAS!$E$3:$E$42,0)),"Por definir"))</f>
        <v/>
      </c>
      <c r="O793" s="41" t="n"/>
      <c r="P793" s="39">
        <f>IF($L793="","",IFERROR(INDEX(LISTAS!$B$3:$B$42,MATCH($L793,LISTAS!$A$3:$A$42,0)),"Media"))</f>
        <v/>
      </c>
      <c r="Q793" s="44" t="n"/>
      <c r="R793" s="45" t="n"/>
      <c r="S793" s="20">
        <f>IFERROR(IF(OR($R793="",$C793=""),"",$R793/INDEX(DESPACHOS!$M$3:$M$3002,MATCH($C793,DESPACHOS!$B$3:$B$3002,0))),"")</f>
        <v/>
      </c>
      <c r="T793" s="41" t="n"/>
      <c r="U793" s="43">
        <f>IF(OR($B793="",$L793=""),"",WORKDAY($B793,IFERROR(INDEX(LISTAS!$C$3:$C$42,MATCH($L793,LISTAS!$A$3:$A$42,0)),3)))</f>
        <v/>
      </c>
      <c r="V793" s="40" t="n"/>
      <c r="W793" s="19">
        <f>IF($B793="","",IF($V793&lt;&gt;"",$V793-$B793,TODAY()-$B793))</f>
        <v/>
      </c>
      <c r="X793" s="19">
        <f>IF(OR($B793="",$U793=""),"",IF($V793&lt;&gt;"",MAX(0,$V793-$U793),MAX(0,TODAY()-$U793)))</f>
        <v/>
      </c>
      <c r="Y793" s="39">
        <f>IF($C793="","",IF(IFERROR(INDEX(LISTAS!$I$3:$I$42,MATCH($T793,LISTAS!$H$3:$H$42,0)),"NO")="SÍ",IF(N($X793)&gt;0,"CERRADA FUERA DE SLA","CERRADA EN SLA"),IF($U793="","SIN CLASIFICAR",IF(N($X793)&gt;0,"VENCIDA",IF(TODAY()&gt;=$U793-1,"POR VENCER","EN PLAZO")))))</f>
        <v/>
      </c>
      <c r="Z793" s="41" t="n"/>
      <c r="AA793" s="41" t="n"/>
      <c r="AB793" s="41" t="n"/>
    </row>
    <row r="794">
      <c r="A794" s="39">
        <f>IF($C794="","","NOV-"&amp;TEXT(ROW()-3,"0000"))</f>
        <v/>
      </c>
      <c r="B794" s="40" t="n"/>
      <c r="C794" s="41" t="n"/>
      <c r="D794" s="42">
        <f>IF($C794="","",IFERROR(INDEX(DESPACHOS!$D$3:$D$3002,MATCH($C794,DESPACHOS!$B$3:$B$3002,0)),"SIN DESPACHO"))</f>
        <v/>
      </c>
      <c r="E794" s="42">
        <f>IF($C794="","",IFERROR(INDEX(DESPACHOS!$K$3:$K$3002,MATCH($C794,DESPACHOS!$B$3:$B$3002,0)),""))</f>
        <v/>
      </c>
      <c r="F794" s="42">
        <f>IF($C794="","",IFERROR(INDEX(DESPACHOS!$I$3:$I$3002,MATCH($C794,DESPACHOS!$B$3:$B$3002,0)),""))</f>
        <v/>
      </c>
      <c r="G794" s="42">
        <f>IF($C794="","",IFERROR(INDEX(DESPACHOS!$F$3:$F$3002,MATCH($C794,DESPACHOS!$B$3:$B$3002,0)),""))</f>
        <v/>
      </c>
      <c r="H794" s="42">
        <f>IF($C794="","",IFERROR(INDEX(DESPACHOS!$G$3:$G$3002,MATCH($C794,DESPACHOS!$B$3:$B$3002,0)),""))</f>
        <v/>
      </c>
      <c r="I794" s="39">
        <f>IF($C794="","",IFERROR(INDEX(DESPACHOS!$H$3:$H$3002,MATCH($C794,DESPACHOS!$B$3:$B$3002,0)),""))</f>
        <v/>
      </c>
      <c r="J794" s="43">
        <f>IF($C794="","",IFERROR(INDEX(DESPACHOS!$J$3:$J$3002,MATCH($C794,DESPACHOS!$B$3:$B$3002,0)),""))</f>
        <v/>
      </c>
      <c r="K794" s="39">
        <f>IF($C794="","",IF(COUNTIFS(DESPACHOS!$B$3:$B$3002,$C794)=0,"NO EXISTE",IF(COUNTIFS(DESPACHOS!$B$3:$B$3002,$C794)&gt;1,"DUPLICADO","OK")))</f>
        <v/>
      </c>
      <c r="L794" s="41" t="n"/>
      <c r="M794" s="41" t="n"/>
      <c r="N794" s="42">
        <f>IF($M794="","",IFERROR(INDEX(LISTAS!$F$3:$F$42,MATCH($M794,LISTAS!$E$3:$E$42,0)),"Por definir"))</f>
        <v/>
      </c>
      <c r="O794" s="41" t="n"/>
      <c r="P794" s="39">
        <f>IF($L794="","",IFERROR(INDEX(LISTAS!$B$3:$B$42,MATCH($L794,LISTAS!$A$3:$A$42,0)),"Media"))</f>
        <v/>
      </c>
      <c r="Q794" s="44" t="n"/>
      <c r="R794" s="45" t="n"/>
      <c r="S794" s="20">
        <f>IFERROR(IF(OR($R794="",$C794=""),"",$R794/INDEX(DESPACHOS!$M$3:$M$3002,MATCH($C794,DESPACHOS!$B$3:$B$3002,0))),"")</f>
        <v/>
      </c>
      <c r="T794" s="41" t="n"/>
      <c r="U794" s="43">
        <f>IF(OR($B794="",$L794=""),"",WORKDAY($B794,IFERROR(INDEX(LISTAS!$C$3:$C$42,MATCH($L794,LISTAS!$A$3:$A$42,0)),3)))</f>
        <v/>
      </c>
      <c r="V794" s="40" t="n"/>
      <c r="W794" s="19">
        <f>IF($B794="","",IF($V794&lt;&gt;"",$V794-$B794,TODAY()-$B794))</f>
        <v/>
      </c>
      <c r="X794" s="19">
        <f>IF(OR($B794="",$U794=""),"",IF($V794&lt;&gt;"",MAX(0,$V794-$U794),MAX(0,TODAY()-$U794)))</f>
        <v/>
      </c>
      <c r="Y794" s="39">
        <f>IF($C794="","",IF(IFERROR(INDEX(LISTAS!$I$3:$I$42,MATCH($T794,LISTAS!$H$3:$H$42,0)),"NO")="SÍ",IF(N($X794)&gt;0,"CERRADA FUERA DE SLA","CERRADA EN SLA"),IF($U794="","SIN CLASIFICAR",IF(N($X794)&gt;0,"VENCIDA",IF(TODAY()&gt;=$U794-1,"POR VENCER","EN PLAZO")))))</f>
        <v/>
      </c>
      <c r="Z794" s="41" t="n"/>
      <c r="AA794" s="41" t="n"/>
      <c r="AB794" s="41" t="n"/>
    </row>
    <row r="795">
      <c r="A795" s="39">
        <f>IF($C795="","","NOV-"&amp;TEXT(ROW()-3,"0000"))</f>
        <v/>
      </c>
      <c r="B795" s="40" t="n"/>
      <c r="C795" s="41" t="n"/>
      <c r="D795" s="42">
        <f>IF($C795="","",IFERROR(INDEX(DESPACHOS!$D$3:$D$3002,MATCH($C795,DESPACHOS!$B$3:$B$3002,0)),"SIN DESPACHO"))</f>
        <v/>
      </c>
      <c r="E795" s="42">
        <f>IF($C795="","",IFERROR(INDEX(DESPACHOS!$K$3:$K$3002,MATCH($C795,DESPACHOS!$B$3:$B$3002,0)),""))</f>
        <v/>
      </c>
      <c r="F795" s="42">
        <f>IF($C795="","",IFERROR(INDEX(DESPACHOS!$I$3:$I$3002,MATCH($C795,DESPACHOS!$B$3:$B$3002,0)),""))</f>
        <v/>
      </c>
      <c r="G795" s="42">
        <f>IF($C795="","",IFERROR(INDEX(DESPACHOS!$F$3:$F$3002,MATCH($C795,DESPACHOS!$B$3:$B$3002,0)),""))</f>
        <v/>
      </c>
      <c r="H795" s="42">
        <f>IF($C795="","",IFERROR(INDEX(DESPACHOS!$G$3:$G$3002,MATCH($C795,DESPACHOS!$B$3:$B$3002,0)),""))</f>
        <v/>
      </c>
      <c r="I795" s="39">
        <f>IF($C795="","",IFERROR(INDEX(DESPACHOS!$H$3:$H$3002,MATCH($C795,DESPACHOS!$B$3:$B$3002,0)),""))</f>
        <v/>
      </c>
      <c r="J795" s="43">
        <f>IF($C795="","",IFERROR(INDEX(DESPACHOS!$J$3:$J$3002,MATCH($C795,DESPACHOS!$B$3:$B$3002,0)),""))</f>
        <v/>
      </c>
      <c r="K795" s="39">
        <f>IF($C795="","",IF(COUNTIFS(DESPACHOS!$B$3:$B$3002,$C795)=0,"NO EXISTE",IF(COUNTIFS(DESPACHOS!$B$3:$B$3002,$C795)&gt;1,"DUPLICADO","OK")))</f>
        <v/>
      </c>
      <c r="L795" s="41" t="n"/>
      <c r="M795" s="41" t="n"/>
      <c r="N795" s="42">
        <f>IF($M795="","",IFERROR(INDEX(LISTAS!$F$3:$F$42,MATCH($M795,LISTAS!$E$3:$E$42,0)),"Por definir"))</f>
        <v/>
      </c>
      <c r="O795" s="41" t="n"/>
      <c r="P795" s="39">
        <f>IF($L795="","",IFERROR(INDEX(LISTAS!$B$3:$B$42,MATCH($L795,LISTAS!$A$3:$A$42,0)),"Media"))</f>
        <v/>
      </c>
      <c r="Q795" s="44" t="n"/>
      <c r="R795" s="45" t="n"/>
      <c r="S795" s="20">
        <f>IFERROR(IF(OR($R795="",$C795=""),"",$R795/INDEX(DESPACHOS!$M$3:$M$3002,MATCH($C795,DESPACHOS!$B$3:$B$3002,0))),"")</f>
        <v/>
      </c>
      <c r="T795" s="41" t="n"/>
      <c r="U795" s="43">
        <f>IF(OR($B795="",$L795=""),"",WORKDAY($B795,IFERROR(INDEX(LISTAS!$C$3:$C$42,MATCH($L795,LISTAS!$A$3:$A$42,0)),3)))</f>
        <v/>
      </c>
      <c r="V795" s="40" t="n"/>
      <c r="W795" s="19">
        <f>IF($B795="","",IF($V795&lt;&gt;"",$V795-$B795,TODAY()-$B795))</f>
        <v/>
      </c>
      <c r="X795" s="19">
        <f>IF(OR($B795="",$U795=""),"",IF($V795&lt;&gt;"",MAX(0,$V795-$U795),MAX(0,TODAY()-$U795)))</f>
        <v/>
      </c>
      <c r="Y795" s="39">
        <f>IF($C795="","",IF(IFERROR(INDEX(LISTAS!$I$3:$I$42,MATCH($T795,LISTAS!$H$3:$H$42,0)),"NO")="SÍ",IF(N($X795)&gt;0,"CERRADA FUERA DE SLA","CERRADA EN SLA"),IF($U795="","SIN CLASIFICAR",IF(N($X795)&gt;0,"VENCIDA",IF(TODAY()&gt;=$U795-1,"POR VENCER","EN PLAZO")))))</f>
        <v/>
      </c>
      <c r="Z795" s="41" t="n"/>
      <c r="AA795" s="41" t="n"/>
      <c r="AB795" s="41" t="n"/>
    </row>
    <row r="796">
      <c r="A796" s="39">
        <f>IF($C796="","","NOV-"&amp;TEXT(ROW()-3,"0000"))</f>
        <v/>
      </c>
      <c r="B796" s="40" t="n"/>
      <c r="C796" s="41" t="n"/>
      <c r="D796" s="42">
        <f>IF($C796="","",IFERROR(INDEX(DESPACHOS!$D$3:$D$3002,MATCH($C796,DESPACHOS!$B$3:$B$3002,0)),"SIN DESPACHO"))</f>
        <v/>
      </c>
      <c r="E796" s="42">
        <f>IF($C796="","",IFERROR(INDEX(DESPACHOS!$K$3:$K$3002,MATCH($C796,DESPACHOS!$B$3:$B$3002,0)),""))</f>
        <v/>
      </c>
      <c r="F796" s="42">
        <f>IF($C796="","",IFERROR(INDEX(DESPACHOS!$I$3:$I$3002,MATCH($C796,DESPACHOS!$B$3:$B$3002,0)),""))</f>
        <v/>
      </c>
      <c r="G796" s="42">
        <f>IF($C796="","",IFERROR(INDEX(DESPACHOS!$F$3:$F$3002,MATCH($C796,DESPACHOS!$B$3:$B$3002,0)),""))</f>
        <v/>
      </c>
      <c r="H796" s="42">
        <f>IF($C796="","",IFERROR(INDEX(DESPACHOS!$G$3:$G$3002,MATCH($C796,DESPACHOS!$B$3:$B$3002,0)),""))</f>
        <v/>
      </c>
      <c r="I796" s="39">
        <f>IF($C796="","",IFERROR(INDEX(DESPACHOS!$H$3:$H$3002,MATCH($C796,DESPACHOS!$B$3:$B$3002,0)),""))</f>
        <v/>
      </c>
      <c r="J796" s="43">
        <f>IF($C796="","",IFERROR(INDEX(DESPACHOS!$J$3:$J$3002,MATCH($C796,DESPACHOS!$B$3:$B$3002,0)),""))</f>
        <v/>
      </c>
      <c r="K796" s="39">
        <f>IF($C796="","",IF(COUNTIFS(DESPACHOS!$B$3:$B$3002,$C796)=0,"NO EXISTE",IF(COUNTIFS(DESPACHOS!$B$3:$B$3002,$C796)&gt;1,"DUPLICADO","OK")))</f>
        <v/>
      </c>
      <c r="L796" s="41" t="n"/>
      <c r="M796" s="41" t="n"/>
      <c r="N796" s="42">
        <f>IF($M796="","",IFERROR(INDEX(LISTAS!$F$3:$F$42,MATCH($M796,LISTAS!$E$3:$E$42,0)),"Por definir"))</f>
        <v/>
      </c>
      <c r="O796" s="41" t="n"/>
      <c r="P796" s="39">
        <f>IF($L796="","",IFERROR(INDEX(LISTAS!$B$3:$B$42,MATCH($L796,LISTAS!$A$3:$A$42,0)),"Media"))</f>
        <v/>
      </c>
      <c r="Q796" s="44" t="n"/>
      <c r="R796" s="45" t="n"/>
      <c r="S796" s="20">
        <f>IFERROR(IF(OR($R796="",$C796=""),"",$R796/INDEX(DESPACHOS!$M$3:$M$3002,MATCH($C796,DESPACHOS!$B$3:$B$3002,0))),"")</f>
        <v/>
      </c>
      <c r="T796" s="41" t="n"/>
      <c r="U796" s="43">
        <f>IF(OR($B796="",$L796=""),"",WORKDAY($B796,IFERROR(INDEX(LISTAS!$C$3:$C$42,MATCH($L796,LISTAS!$A$3:$A$42,0)),3)))</f>
        <v/>
      </c>
      <c r="V796" s="40" t="n"/>
      <c r="W796" s="19">
        <f>IF($B796="","",IF($V796&lt;&gt;"",$V796-$B796,TODAY()-$B796))</f>
        <v/>
      </c>
      <c r="X796" s="19">
        <f>IF(OR($B796="",$U796=""),"",IF($V796&lt;&gt;"",MAX(0,$V796-$U796),MAX(0,TODAY()-$U796)))</f>
        <v/>
      </c>
      <c r="Y796" s="39">
        <f>IF($C796="","",IF(IFERROR(INDEX(LISTAS!$I$3:$I$42,MATCH($T796,LISTAS!$H$3:$H$42,0)),"NO")="SÍ",IF(N($X796)&gt;0,"CERRADA FUERA DE SLA","CERRADA EN SLA"),IF($U796="","SIN CLASIFICAR",IF(N($X796)&gt;0,"VENCIDA",IF(TODAY()&gt;=$U796-1,"POR VENCER","EN PLAZO")))))</f>
        <v/>
      </c>
      <c r="Z796" s="41" t="n"/>
      <c r="AA796" s="41" t="n"/>
      <c r="AB796" s="41" t="n"/>
    </row>
    <row r="797">
      <c r="A797" s="39">
        <f>IF($C797="","","NOV-"&amp;TEXT(ROW()-3,"0000"))</f>
        <v/>
      </c>
      <c r="B797" s="40" t="n"/>
      <c r="C797" s="41" t="n"/>
      <c r="D797" s="42">
        <f>IF($C797="","",IFERROR(INDEX(DESPACHOS!$D$3:$D$3002,MATCH($C797,DESPACHOS!$B$3:$B$3002,0)),"SIN DESPACHO"))</f>
        <v/>
      </c>
      <c r="E797" s="42">
        <f>IF($C797="","",IFERROR(INDEX(DESPACHOS!$K$3:$K$3002,MATCH($C797,DESPACHOS!$B$3:$B$3002,0)),""))</f>
        <v/>
      </c>
      <c r="F797" s="42">
        <f>IF($C797="","",IFERROR(INDEX(DESPACHOS!$I$3:$I$3002,MATCH($C797,DESPACHOS!$B$3:$B$3002,0)),""))</f>
        <v/>
      </c>
      <c r="G797" s="42">
        <f>IF($C797="","",IFERROR(INDEX(DESPACHOS!$F$3:$F$3002,MATCH($C797,DESPACHOS!$B$3:$B$3002,0)),""))</f>
        <v/>
      </c>
      <c r="H797" s="42">
        <f>IF($C797="","",IFERROR(INDEX(DESPACHOS!$G$3:$G$3002,MATCH($C797,DESPACHOS!$B$3:$B$3002,0)),""))</f>
        <v/>
      </c>
      <c r="I797" s="39">
        <f>IF($C797="","",IFERROR(INDEX(DESPACHOS!$H$3:$H$3002,MATCH($C797,DESPACHOS!$B$3:$B$3002,0)),""))</f>
        <v/>
      </c>
      <c r="J797" s="43">
        <f>IF($C797="","",IFERROR(INDEX(DESPACHOS!$J$3:$J$3002,MATCH($C797,DESPACHOS!$B$3:$B$3002,0)),""))</f>
        <v/>
      </c>
      <c r="K797" s="39">
        <f>IF($C797="","",IF(COUNTIFS(DESPACHOS!$B$3:$B$3002,$C797)=0,"NO EXISTE",IF(COUNTIFS(DESPACHOS!$B$3:$B$3002,$C797)&gt;1,"DUPLICADO","OK")))</f>
        <v/>
      </c>
      <c r="L797" s="41" t="n"/>
      <c r="M797" s="41" t="n"/>
      <c r="N797" s="42">
        <f>IF($M797="","",IFERROR(INDEX(LISTAS!$F$3:$F$42,MATCH($M797,LISTAS!$E$3:$E$42,0)),"Por definir"))</f>
        <v/>
      </c>
      <c r="O797" s="41" t="n"/>
      <c r="P797" s="39">
        <f>IF($L797="","",IFERROR(INDEX(LISTAS!$B$3:$B$42,MATCH($L797,LISTAS!$A$3:$A$42,0)),"Media"))</f>
        <v/>
      </c>
      <c r="Q797" s="44" t="n"/>
      <c r="R797" s="45" t="n"/>
      <c r="S797" s="20">
        <f>IFERROR(IF(OR($R797="",$C797=""),"",$R797/INDEX(DESPACHOS!$M$3:$M$3002,MATCH($C797,DESPACHOS!$B$3:$B$3002,0))),"")</f>
        <v/>
      </c>
      <c r="T797" s="41" t="n"/>
      <c r="U797" s="43">
        <f>IF(OR($B797="",$L797=""),"",WORKDAY($B797,IFERROR(INDEX(LISTAS!$C$3:$C$42,MATCH($L797,LISTAS!$A$3:$A$42,0)),3)))</f>
        <v/>
      </c>
      <c r="V797" s="40" t="n"/>
      <c r="W797" s="19">
        <f>IF($B797="","",IF($V797&lt;&gt;"",$V797-$B797,TODAY()-$B797))</f>
        <v/>
      </c>
      <c r="X797" s="19">
        <f>IF(OR($B797="",$U797=""),"",IF($V797&lt;&gt;"",MAX(0,$V797-$U797),MAX(0,TODAY()-$U797)))</f>
        <v/>
      </c>
      <c r="Y797" s="39">
        <f>IF($C797="","",IF(IFERROR(INDEX(LISTAS!$I$3:$I$42,MATCH($T797,LISTAS!$H$3:$H$42,0)),"NO")="SÍ",IF(N($X797)&gt;0,"CERRADA FUERA DE SLA","CERRADA EN SLA"),IF($U797="","SIN CLASIFICAR",IF(N($X797)&gt;0,"VENCIDA",IF(TODAY()&gt;=$U797-1,"POR VENCER","EN PLAZO")))))</f>
        <v/>
      </c>
      <c r="Z797" s="41" t="n"/>
      <c r="AA797" s="41" t="n"/>
      <c r="AB797" s="41" t="n"/>
    </row>
    <row r="798">
      <c r="A798" s="39">
        <f>IF($C798="","","NOV-"&amp;TEXT(ROW()-3,"0000"))</f>
        <v/>
      </c>
      <c r="B798" s="40" t="n"/>
      <c r="C798" s="41" t="n"/>
      <c r="D798" s="42">
        <f>IF($C798="","",IFERROR(INDEX(DESPACHOS!$D$3:$D$3002,MATCH($C798,DESPACHOS!$B$3:$B$3002,0)),"SIN DESPACHO"))</f>
        <v/>
      </c>
      <c r="E798" s="42">
        <f>IF($C798="","",IFERROR(INDEX(DESPACHOS!$K$3:$K$3002,MATCH($C798,DESPACHOS!$B$3:$B$3002,0)),""))</f>
        <v/>
      </c>
      <c r="F798" s="42">
        <f>IF($C798="","",IFERROR(INDEX(DESPACHOS!$I$3:$I$3002,MATCH($C798,DESPACHOS!$B$3:$B$3002,0)),""))</f>
        <v/>
      </c>
      <c r="G798" s="42">
        <f>IF($C798="","",IFERROR(INDEX(DESPACHOS!$F$3:$F$3002,MATCH($C798,DESPACHOS!$B$3:$B$3002,0)),""))</f>
        <v/>
      </c>
      <c r="H798" s="42">
        <f>IF($C798="","",IFERROR(INDEX(DESPACHOS!$G$3:$G$3002,MATCH($C798,DESPACHOS!$B$3:$B$3002,0)),""))</f>
        <v/>
      </c>
      <c r="I798" s="39">
        <f>IF($C798="","",IFERROR(INDEX(DESPACHOS!$H$3:$H$3002,MATCH($C798,DESPACHOS!$B$3:$B$3002,0)),""))</f>
        <v/>
      </c>
      <c r="J798" s="43">
        <f>IF($C798="","",IFERROR(INDEX(DESPACHOS!$J$3:$J$3002,MATCH($C798,DESPACHOS!$B$3:$B$3002,0)),""))</f>
        <v/>
      </c>
      <c r="K798" s="39">
        <f>IF($C798="","",IF(COUNTIFS(DESPACHOS!$B$3:$B$3002,$C798)=0,"NO EXISTE",IF(COUNTIFS(DESPACHOS!$B$3:$B$3002,$C798)&gt;1,"DUPLICADO","OK")))</f>
        <v/>
      </c>
      <c r="L798" s="41" t="n"/>
      <c r="M798" s="41" t="n"/>
      <c r="N798" s="42">
        <f>IF($M798="","",IFERROR(INDEX(LISTAS!$F$3:$F$42,MATCH($M798,LISTAS!$E$3:$E$42,0)),"Por definir"))</f>
        <v/>
      </c>
      <c r="O798" s="41" t="n"/>
      <c r="P798" s="39">
        <f>IF($L798="","",IFERROR(INDEX(LISTAS!$B$3:$B$42,MATCH($L798,LISTAS!$A$3:$A$42,0)),"Media"))</f>
        <v/>
      </c>
      <c r="Q798" s="44" t="n"/>
      <c r="R798" s="45" t="n"/>
      <c r="S798" s="20">
        <f>IFERROR(IF(OR($R798="",$C798=""),"",$R798/INDEX(DESPACHOS!$M$3:$M$3002,MATCH($C798,DESPACHOS!$B$3:$B$3002,0))),"")</f>
        <v/>
      </c>
      <c r="T798" s="41" t="n"/>
      <c r="U798" s="43">
        <f>IF(OR($B798="",$L798=""),"",WORKDAY($B798,IFERROR(INDEX(LISTAS!$C$3:$C$42,MATCH($L798,LISTAS!$A$3:$A$42,0)),3)))</f>
        <v/>
      </c>
      <c r="V798" s="40" t="n"/>
      <c r="W798" s="19">
        <f>IF($B798="","",IF($V798&lt;&gt;"",$V798-$B798,TODAY()-$B798))</f>
        <v/>
      </c>
      <c r="X798" s="19">
        <f>IF(OR($B798="",$U798=""),"",IF($V798&lt;&gt;"",MAX(0,$V798-$U798),MAX(0,TODAY()-$U798)))</f>
        <v/>
      </c>
      <c r="Y798" s="39">
        <f>IF($C798="","",IF(IFERROR(INDEX(LISTAS!$I$3:$I$42,MATCH($T798,LISTAS!$H$3:$H$42,0)),"NO")="SÍ",IF(N($X798)&gt;0,"CERRADA FUERA DE SLA","CERRADA EN SLA"),IF($U798="","SIN CLASIFICAR",IF(N($X798)&gt;0,"VENCIDA",IF(TODAY()&gt;=$U798-1,"POR VENCER","EN PLAZO")))))</f>
        <v/>
      </c>
      <c r="Z798" s="41" t="n"/>
      <c r="AA798" s="41" t="n"/>
      <c r="AB798" s="41" t="n"/>
    </row>
    <row r="799">
      <c r="A799" s="39">
        <f>IF($C799="","","NOV-"&amp;TEXT(ROW()-3,"0000"))</f>
        <v/>
      </c>
      <c r="B799" s="40" t="n"/>
      <c r="C799" s="41" t="n"/>
      <c r="D799" s="42">
        <f>IF($C799="","",IFERROR(INDEX(DESPACHOS!$D$3:$D$3002,MATCH($C799,DESPACHOS!$B$3:$B$3002,0)),"SIN DESPACHO"))</f>
        <v/>
      </c>
      <c r="E799" s="42">
        <f>IF($C799="","",IFERROR(INDEX(DESPACHOS!$K$3:$K$3002,MATCH($C799,DESPACHOS!$B$3:$B$3002,0)),""))</f>
        <v/>
      </c>
      <c r="F799" s="42">
        <f>IF($C799="","",IFERROR(INDEX(DESPACHOS!$I$3:$I$3002,MATCH($C799,DESPACHOS!$B$3:$B$3002,0)),""))</f>
        <v/>
      </c>
      <c r="G799" s="42">
        <f>IF($C799="","",IFERROR(INDEX(DESPACHOS!$F$3:$F$3002,MATCH($C799,DESPACHOS!$B$3:$B$3002,0)),""))</f>
        <v/>
      </c>
      <c r="H799" s="42">
        <f>IF($C799="","",IFERROR(INDEX(DESPACHOS!$G$3:$G$3002,MATCH($C799,DESPACHOS!$B$3:$B$3002,0)),""))</f>
        <v/>
      </c>
      <c r="I799" s="39">
        <f>IF($C799="","",IFERROR(INDEX(DESPACHOS!$H$3:$H$3002,MATCH($C799,DESPACHOS!$B$3:$B$3002,0)),""))</f>
        <v/>
      </c>
      <c r="J799" s="43">
        <f>IF($C799="","",IFERROR(INDEX(DESPACHOS!$J$3:$J$3002,MATCH($C799,DESPACHOS!$B$3:$B$3002,0)),""))</f>
        <v/>
      </c>
      <c r="K799" s="39">
        <f>IF($C799="","",IF(COUNTIFS(DESPACHOS!$B$3:$B$3002,$C799)=0,"NO EXISTE",IF(COUNTIFS(DESPACHOS!$B$3:$B$3002,$C799)&gt;1,"DUPLICADO","OK")))</f>
        <v/>
      </c>
      <c r="L799" s="41" t="n"/>
      <c r="M799" s="41" t="n"/>
      <c r="N799" s="42">
        <f>IF($M799="","",IFERROR(INDEX(LISTAS!$F$3:$F$42,MATCH($M799,LISTAS!$E$3:$E$42,0)),"Por definir"))</f>
        <v/>
      </c>
      <c r="O799" s="41" t="n"/>
      <c r="P799" s="39">
        <f>IF($L799="","",IFERROR(INDEX(LISTAS!$B$3:$B$42,MATCH($L799,LISTAS!$A$3:$A$42,0)),"Media"))</f>
        <v/>
      </c>
      <c r="Q799" s="44" t="n"/>
      <c r="R799" s="45" t="n"/>
      <c r="S799" s="20">
        <f>IFERROR(IF(OR($R799="",$C799=""),"",$R799/INDEX(DESPACHOS!$M$3:$M$3002,MATCH($C799,DESPACHOS!$B$3:$B$3002,0))),"")</f>
        <v/>
      </c>
      <c r="T799" s="41" t="n"/>
      <c r="U799" s="43">
        <f>IF(OR($B799="",$L799=""),"",WORKDAY($B799,IFERROR(INDEX(LISTAS!$C$3:$C$42,MATCH($L799,LISTAS!$A$3:$A$42,0)),3)))</f>
        <v/>
      </c>
      <c r="V799" s="40" t="n"/>
      <c r="W799" s="19">
        <f>IF($B799="","",IF($V799&lt;&gt;"",$V799-$B799,TODAY()-$B799))</f>
        <v/>
      </c>
      <c r="X799" s="19">
        <f>IF(OR($B799="",$U799=""),"",IF($V799&lt;&gt;"",MAX(0,$V799-$U799),MAX(0,TODAY()-$U799)))</f>
        <v/>
      </c>
      <c r="Y799" s="39">
        <f>IF($C799="","",IF(IFERROR(INDEX(LISTAS!$I$3:$I$42,MATCH($T799,LISTAS!$H$3:$H$42,0)),"NO")="SÍ",IF(N($X799)&gt;0,"CERRADA FUERA DE SLA","CERRADA EN SLA"),IF($U799="","SIN CLASIFICAR",IF(N($X799)&gt;0,"VENCIDA",IF(TODAY()&gt;=$U799-1,"POR VENCER","EN PLAZO")))))</f>
        <v/>
      </c>
      <c r="Z799" s="41" t="n"/>
      <c r="AA799" s="41" t="n"/>
      <c r="AB799" s="41" t="n"/>
    </row>
    <row r="800">
      <c r="A800" s="39">
        <f>IF($C800="","","NOV-"&amp;TEXT(ROW()-3,"0000"))</f>
        <v/>
      </c>
      <c r="B800" s="40" t="n"/>
      <c r="C800" s="41" t="n"/>
      <c r="D800" s="42">
        <f>IF($C800="","",IFERROR(INDEX(DESPACHOS!$D$3:$D$3002,MATCH($C800,DESPACHOS!$B$3:$B$3002,0)),"SIN DESPACHO"))</f>
        <v/>
      </c>
      <c r="E800" s="42">
        <f>IF($C800="","",IFERROR(INDEX(DESPACHOS!$K$3:$K$3002,MATCH($C800,DESPACHOS!$B$3:$B$3002,0)),""))</f>
        <v/>
      </c>
      <c r="F800" s="42">
        <f>IF($C800="","",IFERROR(INDEX(DESPACHOS!$I$3:$I$3002,MATCH($C800,DESPACHOS!$B$3:$B$3002,0)),""))</f>
        <v/>
      </c>
      <c r="G800" s="42">
        <f>IF($C800="","",IFERROR(INDEX(DESPACHOS!$F$3:$F$3002,MATCH($C800,DESPACHOS!$B$3:$B$3002,0)),""))</f>
        <v/>
      </c>
      <c r="H800" s="42">
        <f>IF($C800="","",IFERROR(INDEX(DESPACHOS!$G$3:$G$3002,MATCH($C800,DESPACHOS!$B$3:$B$3002,0)),""))</f>
        <v/>
      </c>
      <c r="I800" s="39">
        <f>IF($C800="","",IFERROR(INDEX(DESPACHOS!$H$3:$H$3002,MATCH($C800,DESPACHOS!$B$3:$B$3002,0)),""))</f>
        <v/>
      </c>
      <c r="J800" s="43">
        <f>IF($C800="","",IFERROR(INDEX(DESPACHOS!$J$3:$J$3002,MATCH($C800,DESPACHOS!$B$3:$B$3002,0)),""))</f>
        <v/>
      </c>
      <c r="K800" s="39">
        <f>IF($C800="","",IF(COUNTIFS(DESPACHOS!$B$3:$B$3002,$C800)=0,"NO EXISTE",IF(COUNTIFS(DESPACHOS!$B$3:$B$3002,$C800)&gt;1,"DUPLICADO","OK")))</f>
        <v/>
      </c>
      <c r="L800" s="41" t="n"/>
      <c r="M800" s="41" t="n"/>
      <c r="N800" s="42">
        <f>IF($M800="","",IFERROR(INDEX(LISTAS!$F$3:$F$42,MATCH($M800,LISTAS!$E$3:$E$42,0)),"Por definir"))</f>
        <v/>
      </c>
      <c r="O800" s="41" t="n"/>
      <c r="P800" s="39">
        <f>IF($L800="","",IFERROR(INDEX(LISTAS!$B$3:$B$42,MATCH($L800,LISTAS!$A$3:$A$42,0)),"Media"))</f>
        <v/>
      </c>
      <c r="Q800" s="44" t="n"/>
      <c r="R800" s="45" t="n"/>
      <c r="S800" s="20">
        <f>IFERROR(IF(OR($R800="",$C800=""),"",$R800/INDEX(DESPACHOS!$M$3:$M$3002,MATCH($C800,DESPACHOS!$B$3:$B$3002,0))),"")</f>
        <v/>
      </c>
      <c r="T800" s="41" t="n"/>
      <c r="U800" s="43">
        <f>IF(OR($B800="",$L800=""),"",WORKDAY($B800,IFERROR(INDEX(LISTAS!$C$3:$C$42,MATCH($L800,LISTAS!$A$3:$A$42,0)),3)))</f>
        <v/>
      </c>
      <c r="V800" s="40" t="n"/>
      <c r="W800" s="19">
        <f>IF($B800="","",IF($V800&lt;&gt;"",$V800-$B800,TODAY()-$B800))</f>
        <v/>
      </c>
      <c r="X800" s="19">
        <f>IF(OR($B800="",$U800=""),"",IF($V800&lt;&gt;"",MAX(0,$V800-$U800),MAX(0,TODAY()-$U800)))</f>
        <v/>
      </c>
      <c r="Y800" s="39">
        <f>IF($C800="","",IF(IFERROR(INDEX(LISTAS!$I$3:$I$42,MATCH($T800,LISTAS!$H$3:$H$42,0)),"NO")="SÍ",IF(N($X800)&gt;0,"CERRADA FUERA DE SLA","CERRADA EN SLA"),IF($U800="","SIN CLASIFICAR",IF(N($X800)&gt;0,"VENCIDA",IF(TODAY()&gt;=$U800-1,"POR VENCER","EN PLAZO")))))</f>
        <v/>
      </c>
      <c r="Z800" s="41" t="n"/>
      <c r="AA800" s="41" t="n"/>
      <c r="AB800" s="41" t="n"/>
    </row>
    <row r="801">
      <c r="A801" s="39">
        <f>IF($C801="","","NOV-"&amp;TEXT(ROW()-3,"0000"))</f>
        <v/>
      </c>
      <c r="B801" s="40" t="n"/>
      <c r="C801" s="41" t="n"/>
      <c r="D801" s="42">
        <f>IF($C801="","",IFERROR(INDEX(DESPACHOS!$D$3:$D$3002,MATCH($C801,DESPACHOS!$B$3:$B$3002,0)),"SIN DESPACHO"))</f>
        <v/>
      </c>
      <c r="E801" s="42">
        <f>IF($C801="","",IFERROR(INDEX(DESPACHOS!$K$3:$K$3002,MATCH($C801,DESPACHOS!$B$3:$B$3002,0)),""))</f>
        <v/>
      </c>
      <c r="F801" s="42">
        <f>IF($C801="","",IFERROR(INDEX(DESPACHOS!$I$3:$I$3002,MATCH($C801,DESPACHOS!$B$3:$B$3002,0)),""))</f>
        <v/>
      </c>
      <c r="G801" s="42">
        <f>IF($C801="","",IFERROR(INDEX(DESPACHOS!$F$3:$F$3002,MATCH($C801,DESPACHOS!$B$3:$B$3002,0)),""))</f>
        <v/>
      </c>
      <c r="H801" s="42">
        <f>IF($C801="","",IFERROR(INDEX(DESPACHOS!$G$3:$G$3002,MATCH($C801,DESPACHOS!$B$3:$B$3002,0)),""))</f>
        <v/>
      </c>
      <c r="I801" s="39">
        <f>IF($C801="","",IFERROR(INDEX(DESPACHOS!$H$3:$H$3002,MATCH($C801,DESPACHOS!$B$3:$B$3002,0)),""))</f>
        <v/>
      </c>
      <c r="J801" s="43">
        <f>IF($C801="","",IFERROR(INDEX(DESPACHOS!$J$3:$J$3002,MATCH($C801,DESPACHOS!$B$3:$B$3002,0)),""))</f>
        <v/>
      </c>
      <c r="K801" s="39">
        <f>IF($C801="","",IF(COUNTIFS(DESPACHOS!$B$3:$B$3002,$C801)=0,"NO EXISTE",IF(COUNTIFS(DESPACHOS!$B$3:$B$3002,$C801)&gt;1,"DUPLICADO","OK")))</f>
        <v/>
      </c>
      <c r="L801" s="41" t="n"/>
      <c r="M801" s="41" t="n"/>
      <c r="N801" s="42">
        <f>IF($M801="","",IFERROR(INDEX(LISTAS!$F$3:$F$42,MATCH($M801,LISTAS!$E$3:$E$42,0)),"Por definir"))</f>
        <v/>
      </c>
      <c r="O801" s="41" t="n"/>
      <c r="P801" s="39">
        <f>IF($L801="","",IFERROR(INDEX(LISTAS!$B$3:$B$42,MATCH($L801,LISTAS!$A$3:$A$42,0)),"Media"))</f>
        <v/>
      </c>
      <c r="Q801" s="44" t="n"/>
      <c r="R801" s="45" t="n"/>
      <c r="S801" s="20">
        <f>IFERROR(IF(OR($R801="",$C801=""),"",$R801/INDEX(DESPACHOS!$M$3:$M$3002,MATCH($C801,DESPACHOS!$B$3:$B$3002,0))),"")</f>
        <v/>
      </c>
      <c r="T801" s="41" t="n"/>
      <c r="U801" s="43">
        <f>IF(OR($B801="",$L801=""),"",WORKDAY($B801,IFERROR(INDEX(LISTAS!$C$3:$C$42,MATCH($L801,LISTAS!$A$3:$A$42,0)),3)))</f>
        <v/>
      </c>
      <c r="V801" s="40" t="n"/>
      <c r="W801" s="19">
        <f>IF($B801="","",IF($V801&lt;&gt;"",$V801-$B801,TODAY()-$B801))</f>
        <v/>
      </c>
      <c r="X801" s="19">
        <f>IF(OR($B801="",$U801=""),"",IF($V801&lt;&gt;"",MAX(0,$V801-$U801),MAX(0,TODAY()-$U801)))</f>
        <v/>
      </c>
      <c r="Y801" s="39">
        <f>IF($C801="","",IF(IFERROR(INDEX(LISTAS!$I$3:$I$42,MATCH($T801,LISTAS!$H$3:$H$42,0)),"NO")="SÍ",IF(N($X801)&gt;0,"CERRADA FUERA DE SLA","CERRADA EN SLA"),IF($U801="","SIN CLASIFICAR",IF(N($X801)&gt;0,"VENCIDA",IF(TODAY()&gt;=$U801-1,"POR VENCER","EN PLAZO")))))</f>
        <v/>
      </c>
      <c r="Z801" s="41" t="n"/>
      <c r="AA801" s="41" t="n"/>
      <c r="AB801" s="41" t="n"/>
    </row>
    <row r="802">
      <c r="A802" s="39">
        <f>IF($C802="","","NOV-"&amp;TEXT(ROW()-3,"0000"))</f>
        <v/>
      </c>
      <c r="B802" s="40" t="n"/>
      <c r="C802" s="41" t="n"/>
      <c r="D802" s="42">
        <f>IF($C802="","",IFERROR(INDEX(DESPACHOS!$D$3:$D$3002,MATCH($C802,DESPACHOS!$B$3:$B$3002,0)),"SIN DESPACHO"))</f>
        <v/>
      </c>
      <c r="E802" s="42">
        <f>IF($C802="","",IFERROR(INDEX(DESPACHOS!$K$3:$K$3002,MATCH($C802,DESPACHOS!$B$3:$B$3002,0)),""))</f>
        <v/>
      </c>
      <c r="F802" s="42">
        <f>IF($C802="","",IFERROR(INDEX(DESPACHOS!$I$3:$I$3002,MATCH($C802,DESPACHOS!$B$3:$B$3002,0)),""))</f>
        <v/>
      </c>
      <c r="G802" s="42">
        <f>IF($C802="","",IFERROR(INDEX(DESPACHOS!$F$3:$F$3002,MATCH($C802,DESPACHOS!$B$3:$B$3002,0)),""))</f>
        <v/>
      </c>
      <c r="H802" s="42">
        <f>IF($C802="","",IFERROR(INDEX(DESPACHOS!$G$3:$G$3002,MATCH($C802,DESPACHOS!$B$3:$B$3002,0)),""))</f>
        <v/>
      </c>
      <c r="I802" s="39">
        <f>IF($C802="","",IFERROR(INDEX(DESPACHOS!$H$3:$H$3002,MATCH($C802,DESPACHOS!$B$3:$B$3002,0)),""))</f>
        <v/>
      </c>
      <c r="J802" s="43">
        <f>IF($C802="","",IFERROR(INDEX(DESPACHOS!$J$3:$J$3002,MATCH($C802,DESPACHOS!$B$3:$B$3002,0)),""))</f>
        <v/>
      </c>
      <c r="K802" s="39">
        <f>IF($C802="","",IF(COUNTIFS(DESPACHOS!$B$3:$B$3002,$C802)=0,"NO EXISTE",IF(COUNTIFS(DESPACHOS!$B$3:$B$3002,$C802)&gt;1,"DUPLICADO","OK")))</f>
        <v/>
      </c>
      <c r="L802" s="41" t="n"/>
      <c r="M802" s="41" t="n"/>
      <c r="N802" s="42">
        <f>IF($M802="","",IFERROR(INDEX(LISTAS!$F$3:$F$42,MATCH($M802,LISTAS!$E$3:$E$42,0)),"Por definir"))</f>
        <v/>
      </c>
      <c r="O802" s="41" t="n"/>
      <c r="P802" s="39">
        <f>IF($L802="","",IFERROR(INDEX(LISTAS!$B$3:$B$42,MATCH($L802,LISTAS!$A$3:$A$42,0)),"Media"))</f>
        <v/>
      </c>
      <c r="Q802" s="44" t="n"/>
      <c r="R802" s="45" t="n"/>
      <c r="S802" s="20">
        <f>IFERROR(IF(OR($R802="",$C802=""),"",$R802/INDEX(DESPACHOS!$M$3:$M$3002,MATCH($C802,DESPACHOS!$B$3:$B$3002,0))),"")</f>
        <v/>
      </c>
      <c r="T802" s="41" t="n"/>
      <c r="U802" s="43">
        <f>IF(OR($B802="",$L802=""),"",WORKDAY($B802,IFERROR(INDEX(LISTAS!$C$3:$C$42,MATCH($L802,LISTAS!$A$3:$A$42,0)),3)))</f>
        <v/>
      </c>
      <c r="V802" s="40" t="n"/>
      <c r="W802" s="19">
        <f>IF($B802="","",IF($V802&lt;&gt;"",$V802-$B802,TODAY()-$B802))</f>
        <v/>
      </c>
      <c r="X802" s="19">
        <f>IF(OR($B802="",$U802=""),"",IF($V802&lt;&gt;"",MAX(0,$V802-$U802),MAX(0,TODAY()-$U802)))</f>
        <v/>
      </c>
      <c r="Y802" s="39">
        <f>IF($C802="","",IF(IFERROR(INDEX(LISTAS!$I$3:$I$42,MATCH($T802,LISTAS!$H$3:$H$42,0)),"NO")="SÍ",IF(N($X802)&gt;0,"CERRADA FUERA DE SLA","CERRADA EN SLA"),IF($U802="","SIN CLASIFICAR",IF(N($X802)&gt;0,"VENCIDA",IF(TODAY()&gt;=$U802-1,"POR VENCER","EN PLAZO")))))</f>
        <v/>
      </c>
      <c r="Z802" s="41" t="n"/>
      <c r="AA802" s="41" t="n"/>
      <c r="AB802" s="41" t="n"/>
    </row>
    <row r="803">
      <c r="A803" s="39">
        <f>IF($C803="","","NOV-"&amp;TEXT(ROW()-3,"0000"))</f>
        <v/>
      </c>
      <c r="B803" s="40" t="n"/>
      <c r="C803" s="41" t="n"/>
      <c r="D803" s="42">
        <f>IF($C803="","",IFERROR(INDEX(DESPACHOS!$D$3:$D$3002,MATCH($C803,DESPACHOS!$B$3:$B$3002,0)),"SIN DESPACHO"))</f>
        <v/>
      </c>
      <c r="E803" s="42">
        <f>IF($C803="","",IFERROR(INDEX(DESPACHOS!$K$3:$K$3002,MATCH($C803,DESPACHOS!$B$3:$B$3002,0)),""))</f>
        <v/>
      </c>
      <c r="F803" s="42">
        <f>IF($C803="","",IFERROR(INDEX(DESPACHOS!$I$3:$I$3002,MATCH($C803,DESPACHOS!$B$3:$B$3002,0)),""))</f>
        <v/>
      </c>
      <c r="G803" s="42">
        <f>IF($C803="","",IFERROR(INDEX(DESPACHOS!$F$3:$F$3002,MATCH($C803,DESPACHOS!$B$3:$B$3002,0)),""))</f>
        <v/>
      </c>
      <c r="H803" s="42">
        <f>IF($C803="","",IFERROR(INDEX(DESPACHOS!$G$3:$G$3002,MATCH($C803,DESPACHOS!$B$3:$B$3002,0)),""))</f>
        <v/>
      </c>
      <c r="I803" s="39">
        <f>IF($C803="","",IFERROR(INDEX(DESPACHOS!$H$3:$H$3002,MATCH($C803,DESPACHOS!$B$3:$B$3002,0)),""))</f>
        <v/>
      </c>
      <c r="J803" s="43">
        <f>IF($C803="","",IFERROR(INDEX(DESPACHOS!$J$3:$J$3002,MATCH($C803,DESPACHOS!$B$3:$B$3002,0)),""))</f>
        <v/>
      </c>
      <c r="K803" s="39">
        <f>IF($C803="","",IF(COUNTIFS(DESPACHOS!$B$3:$B$3002,$C803)=0,"NO EXISTE",IF(COUNTIFS(DESPACHOS!$B$3:$B$3002,$C803)&gt;1,"DUPLICADO","OK")))</f>
        <v/>
      </c>
      <c r="L803" s="41" t="n"/>
      <c r="M803" s="41" t="n"/>
      <c r="N803" s="42">
        <f>IF($M803="","",IFERROR(INDEX(LISTAS!$F$3:$F$42,MATCH($M803,LISTAS!$E$3:$E$42,0)),"Por definir"))</f>
        <v/>
      </c>
      <c r="O803" s="41" t="n"/>
      <c r="P803" s="39">
        <f>IF($L803="","",IFERROR(INDEX(LISTAS!$B$3:$B$42,MATCH($L803,LISTAS!$A$3:$A$42,0)),"Media"))</f>
        <v/>
      </c>
      <c r="Q803" s="44" t="n"/>
      <c r="R803" s="45" t="n"/>
      <c r="S803" s="20">
        <f>IFERROR(IF(OR($R803="",$C803=""),"",$R803/INDEX(DESPACHOS!$M$3:$M$3002,MATCH($C803,DESPACHOS!$B$3:$B$3002,0))),"")</f>
        <v/>
      </c>
      <c r="T803" s="41" t="n"/>
      <c r="U803" s="43">
        <f>IF(OR($B803="",$L803=""),"",WORKDAY($B803,IFERROR(INDEX(LISTAS!$C$3:$C$42,MATCH($L803,LISTAS!$A$3:$A$42,0)),3)))</f>
        <v/>
      </c>
      <c r="V803" s="40" t="n"/>
      <c r="W803" s="19">
        <f>IF($B803="","",IF($V803&lt;&gt;"",$V803-$B803,TODAY()-$B803))</f>
        <v/>
      </c>
      <c r="X803" s="19">
        <f>IF(OR($B803="",$U803=""),"",IF($V803&lt;&gt;"",MAX(0,$V803-$U803),MAX(0,TODAY()-$U803)))</f>
        <v/>
      </c>
      <c r="Y803" s="39">
        <f>IF($C803="","",IF(IFERROR(INDEX(LISTAS!$I$3:$I$42,MATCH($T803,LISTAS!$H$3:$H$42,0)),"NO")="SÍ",IF(N($X803)&gt;0,"CERRADA FUERA DE SLA","CERRADA EN SLA"),IF($U803="","SIN CLASIFICAR",IF(N($X803)&gt;0,"VENCIDA",IF(TODAY()&gt;=$U803-1,"POR VENCER","EN PLAZO")))))</f>
        <v/>
      </c>
      <c r="Z803" s="41" t="n"/>
      <c r="AA803" s="41" t="n"/>
      <c r="AB803" s="41" t="n"/>
    </row>
    <row r="804">
      <c r="A804" s="39">
        <f>IF($C804="","","NOV-"&amp;TEXT(ROW()-3,"0000"))</f>
        <v/>
      </c>
      <c r="B804" s="40" t="n"/>
      <c r="C804" s="41" t="n"/>
      <c r="D804" s="42">
        <f>IF($C804="","",IFERROR(INDEX(DESPACHOS!$D$3:$D$3002,MATCH($C804,DESPACHOS!$B$3:$B$3002,0)),"SIN DESPACHO"))</f>
        <v/>
      </c>
      <c r="E804" s="42">
        <f>IF($C804="","",IFERROR(INDEX(DESPACHOS!$K$3:$K$3002,MATCH($C804,DESPACHOS!$B$3:$B$3002,0)),""))</f>
        <v/>
      </c>
      <c r="F804" s="42">
        <f>IF($C804="","",IFERROR(INDEX(DESPACHOS!$I$3:$I$3002,MATCH($C804,DESPACHOS!$B$3:$B$3002,0)),""))</f>
        <v/>
      </c>
      <c r="G804" s="42">
        <f>IF($C804="","",IFERROR(INDEX(DESPACHOS!$F$3:$F$3002,MATCH($C804,DESPACHOS!$B$3:$B$3002,0)),""))</f>
        <v/>
      </c>
      <c r="H804" s="42">
        <f>IF($C804="","",IFERROR(INDEX(DESPACHOS!$G$3:$G$3002,MATCH($C804,DESPACHOS!$B$3:$B$3002,0)),""))</f>
        <v/>
      </c>
      <c r="I804" s="39">
        <f>IF($C804="","",IFERROR(INDEX(DESPACHOS!$H$3:$H$3002,MATCH($C804,DESPACHOS!$B$3:$B$3002,0)),""))</f>
        <v/>
      </c>
      <c r="J804" s="43">
        <f>IF($C804="","",IFERROR(INDEX(DESPACHOS!$J$3:$J$3002,MATCH($C804,DESPACHOS!$B$3:$B$3002,0)),""))</f>
        <v/>
      </c>
      <c r="K804" s="39">
        <f>IF($C804="","",IF(COUNTIFS(DESPACHOS!$B$3:$B$3002,$C804)=0,"NO EXISTE",IF(COUNTIFS(DESPACHOS!$B$3:$B$3002,$C804)&gt;1,"DUPLICADO","OK")))</f>
        <v/>
      </c>
      <c r="L804" s="41" t="n"/>
      <c r="M804" s="41" t="n"/>
      <c r="N804" s="42">
        <f>IF($M804="","",IFERROR(INDEX(LISTAS!$F$3:$F$42,MATCH($M804,LISTAS!$E$3:$E$42,0)),"Por definir"))</f>
        <v/>
      </c>
      <c r="O804" s="41" t="n"/>
      <c r="P804" s="39">
        <f>IF($L804="","",IFERROR(INDEX(LISTAS!$B$3:$B$42,MATCH($L804,LISTAS!$A$3:$A$42,0)),"Media"))</f>
        <v/>
      </c>
      <c r="Q804" s="44" t="n"/>
      <c r="R804" s="45" t="n"/>
      <c r="S804" s="20">
        <f>IFERROR(IF(OR($R804="",$C804=""),"",$R804/INDEX(DESPACHOS!$M$3:$M$3002,MATCH($C804,DESPACHOS!$B$3:$B$3002,0))),"")</f>
        <v/>
      </c>
      <c r="T804" s="41" t="n"/>
      <c r="U804" s="43">
        <f>IF(OR($B804="",$L804=""),"",WORKDAY($B804,IFERROR(INDEX(LISTAS!$C$3:$C$42,MATCH($L804,LISTAS!$A$3:$A$42,0)),3)))</f>
        <v/>
      </c>
      <c r="V804" s="40" t="n"/>
      <c r="W804" s="19">
        <f>IF($B804="","",IF($V804&lt;&gt;"",$V804-$B804,TODAY()-$B804))</f>
        <v/>
      </c>
      <c r="X804" s="19">
        <f>IF(OR($B804="",$U804=""),"",IF($V804&lt;&gt;"",MAX(0,$V804-$U804),MAX(0,TODAY()-$U804)))</f>
        <v/>
      </c>
      <c r="Y804" s="39">
        <f>IF($C804="","",IF(IFERROR(INDEX(LISTAS!$I$3:$I$42,MATCH($T804,LISTAS!$H$3:$H$42,0)),"NO")="SÍ",IF(N($X804)&gt;0,"CERRADA FUERA DE SLA","CERRADA EN SLA"),IF($U804="","SIN CLASIFICAR",IF(N($X804)&gt;0,"VENCIDA",IF(TODAY()&gt;=$U804-1,"POR VENCER","EN PLAZO")))))</f>
        <v/>
      </c>
      <c r="Z804" s="41" t="n"/>
      <c r="AA804" s="41" t="n"/>
      <c r="AB804" s="41" t="n"/>
    </row>
    <row r="805">
      <c r="A805" s="39">
        <f>IF($C805="","","NOV-"&amp;TEXT(ROW()-3,"0000"))</f>
        <v/>
      </c>
      <c r="B805" s="40" t="n"/>
      <c r="C805" s="41" t="n"/>
      <c r="D805" s="42">
        <f>IF($C805="","",IFERROR(INDEX(DESPACHOS!$D$3:$D$3002,MATCH($C805,DESPACHOS!$B$3:$B$3002,0)),"SIN DESPACHO"))</f>
        <v/>
      </c>
      <c r="E805" s="42">
        <f>IF($C805="","",IFERROR(INDEX(DESPACHOS!$K$3:$K$3002,MATCH($C805,DESPACHOS!$B$3:$B$3002,0)),""))</f>
        <v/>
      </c>
      <c r="F805" s="42">
        <f>IF($C805="","",IFERROR(INDEX(DESPACHOS!$I$3:$I$3002,MATCH($C805,DESPACHOS!$B$3:$B$3002,0)),""))</f>
        <v/>
      </c>
      <c r="G805" s="42">
        <f>IF($C805="","",IFERROR(INDEX(DESPACHOS!$F$3:$F$3002,MATCH($C805,DESPACHOS!$B$3:$B$3002,0)),""))</f>
        <v/>
      </c>
      <c r="H805" s="42">
        <f>IF($C805="","",IFERROR(INDEX(DESPACHOS!$G$3:$G$3002,MATCH($C805,DESPACHOS!$B$3:$B$3002,0)),""))</f>
        <v/>
      </c>
      <c r="I805" s="39">
        <f>IF($C805="","",IFERROR(INDEX(DESPACHOS!$H$3:$H$3002,MATCH($C805,DESPACHOS!$B$3:$B$3002,0)),""))</f>
        <v/>
      </c>
      <c r="J805" s="43">
        <f>IF($C805="","",IFERROR(INDEX(DESPACHOS!$J$3:$J$3002,MATCH($C805,DESPACHOS!$B$3:$B$3002,0)),""))</f>
        <v/>
      </c>
      <c r="K805" s="39">
        <f>IF($C805="","",IF(COUNTIFS(DESPACHOS!$B$3:$B$3002,$C805)=0,"NO EXISTE",IF(COUNTIFS(DESPACHOS!$B$3:$B$3002,$C805)&gt;1,"DUPLICADO","OK")))</f>
        <v/>
      </c>
      <c r="L805" s="41" t="n"/>
      <c r="M805" s="41" t="n"/>
      <c r="N805" s="42">
        <f>IF($M805="","",IFERROR(INDEX(LISTAS!$F$3:$F$42,MATCH($M805,LISTAS!$E$3:$E$42,0)),"Por definir"))</f>
        <v/>
      </c>
      <c r="O805" s="41" t="n"/>
      <c r="P805" s="39">
        <f>IF($L805="","",IFERROR(INDEX(LISTAS!$B$3:$B$42,MATCH($L805,LISTAS!$A$3:$A$42,0)),"Media"))</f>
        <v/>
      </c>
      <c r="Q805" s="44" t="n"/>
      <c r="R805" s="45" t="n"/>
      <c r="S805" s="20">
        <f>IFERROR(IF(OR($R805="",$C805=""),"",$R805/INDEX(DESPACHOS!$M$3:$M$3002,MATCH($C805,DESPACHOS!$B$3:$B$3002,0))),"")</f>
        <v/>
      </c>
      <c r="T805" s="41" t="n"/>
      <c r="U805" s="43">
        <f>IF(OR($B805="",$L805=""),"",WORKDAY($B805,IFERROR(INDEX(LISTAS!$C$3:$C$42,MATCH($L805,LISTAS!$A$3:$A$42,0)),3)))</f>
        <v/>
      </c>
      <c r="V805" s="40" t="n"/>
      <c r="W805" s="19">
        <f>IF($B805="","",IF($V805&lt;&gt;"",$V805-$B805,TODAY()-$B805))</f>
        <v/>
      </c>
      <c r="X805" s="19">
        <f>IF(OR($B805="",$U805=""),"",IF($V805&lt;&gt;"",MAX(0,$V805-$U805),MAX(0,TODAY()-$U805)))</f>
        <v/>
      </c>
      <c r="Y805" s="39">
        <f>IF($C805="","",IF(IFERROR(INDEX(LISTAS!$I$3:$I$42,MATCH($T805,LISTAS!$H$3:$H$42,0)),"NO")="SÍ",IF(N($X805)&gt;0,"CERRADA FUERA DE SLA","CERRADA EN SLA"),IF($U805="","SIN CLASIFICAR",IF(N($X805)&gt;0,"VENCIDA",IF(TODAY()&gt;=$U805-1,"POR VENCER","EN PLAZO")))))</f>
        <v/>
      </c>
      <c r="Z805" s="41" t="n"/>
      <c r="AA805" s="41" t="n"/>
      <c r="AB805" s="41" t="n"/>
    </row>
    <row r="806">
      <c r="A806" s="39">
        <f>IF($C806="","","NOV-"&amp;TEXT(ROW()-3,"0000"))</f>
        <v/>
      </c>
      <c r="B806" s="40" t="n"/>
      <c r="C806" s="41" t="n"/>
      <c r="D806" s="42">
        <f>IF($C806="","",IFERROR(INDEX(DESPACHOS!$D$3:$D$3002,MATCH($C806,DESPACHOS!$B$3:$B$3002,0)),"SIN DESPACHO"))</f>
        <v/>
      </c>
      <c r="E806" s="42">
        <f>IF($C806="","",IFERROR(INDEX(DESPACHOS!$K$3:$K$3002,MATCH($C806,DESPACHOS!$B$3:$B$3002,0)),""))</f>
        <v/>
      </c>
      <c r="F806" s="42">
        <f>IF($C806="","",IFERROR(INDEX(DESPACHOS!$I$3:$I$3002,MATCH($C806,DESPACHOS!$B$3:$B$3002,0)),""))</f>
        <v/>
      </c>
      <c r="G806" s="42">
        <f>IF($C806="","",IFERROR(INDEX(DESPACHOS!$F$3:$F$3002,MATCH($C806,DESPACHOS!$B$3:$B$3002,0)),""))</f>
        <v/>
      </c>
      <c r="H806" s="42">
        <f>IF($C806="","",IFERROR(INDEX(DESPACHOS!$G$3:$G$3002,MATCH($C806,DESPACHOS!$B$3:$B$3002,0)),""))</f>
        <v/>
      </c>
      <c r="I806" s="39">
        <f>IF($C806="","",IFERROR(INDEX(DESPACHOS!$H$3:$H$3002,MATCH($C806,DESPACHOS!$B$3:$B$3002,0)),""))</f>
        <v/>
      </c>
      <c r="J806" s="43">
        <f>IF($C806="","",IFERROR(INDEX(DESPACHOS!$J$3:$J$3002,MATCH($C806,DESPACHOS!$B$3:$B$3002,0)),""))</f>
        <v/>
      </c>
      <c r="K806" s="39">
        <f>IF($C806="","",IF(COUNTIFS(DESPACHOS!$B$3:$B$3002,$C806)=0,"NO EXISTE",IF(COUNTIFS(DESPACHOS!$B$3:$B$3002,$C806)&gt;1,"DUPLICADO","OK")))</f>
        <v/>
      </c>
      <c r="L806" s="41" t="n"/>
      <c r="M806" s="41" t="n"/>
      <c r="N806" s="42">
        <f>IF($M806="","",IFERROR(INDEX(LISTAS!$F$3:$F$42,MATCH($M806,LISTAS!$E$3:$E$42,0)),"Por definir"))</f>
        <v/>
      </c>
      <c r="O806" s="41" t="n"/>
      <c r="P806" s="39">
        <f>IF($L806="","",IFERROR(INDEX(LISTAS!$B$3:$B$42,MATCH($L806,LISTAS!$A$3:$A$42,0)),"Media"))</f>
        <v/>
      </c>
      <c r="Q806" s="44" t="n"/>
      <c r="R806" s="45" t="n"/>
      <c r="S806" s="20">
        <f>IFERROR(IF(OR($R806="",$C806=""),"",$R806/INDEX(DESPACHOS!$M$3:$M$3002,MATCH($C806,DESPACHOS!$B$3:$B$3002,0))),"")</f>
        <v/>
      </c>
      <c r="T806" s="41" t="n"/>
      <c r="U806" s="43">
        <f>IF(OR($B806="",$L806=""),"",WORKDAY($B806,IFERROR(INDEX(LISTAS!$C$3:$C$42,MATCH($L806,LISTAS!$A$3:$A$42,0)),3)))</f>
        <v/>
      </c>
      <c r="V806" s="40" t="n"/>
      <c r="W806" s="19">
        <f>IF($B806="","",IF($V806&lt;&gt;"",$V806-$B806,TODAY()-$B806))</f>
        <v/>
      </c>
      <c r="X806" s="19">
        <f>IF(OR($B806="",$U806=""),"",IF($V806&lt;&gt;"",MAX(0,$V806-$U806),MAX(0,TODAY()-$U806)))</f>
        <v/>
      </c>
      <c r="Y806" s="39">
        <f>IF($C806="","",IF(IFERROR(INDEX(LISTAS!$I$3:$I$42,MATCH($T806,LISTAS!$H$3:$H$42,0)),"NO")="SÍ",IF(N($X806)&gt;0,"CERRADA FUERA DE SLA","CERRADA EN SLA"),IF($U806="","SIN CLASIFICAR",IF(N($X806)&gt;0,"VENCIDA",IF(TODAY()&gt;=$U806-1,"POR VENCER","EN PLAZO")))))</f>
        <v/>
      </c>
      <c r="Z806" s="41" t="n"/>
      <c r="AA806" s="41" t="n"/>
      <c r="AB806" s="41" t="n"/>
    </row>
    <row r="807">
      <c r="A807" s="39">
        <f>IF($C807="","","NOV-"&amp;TEXT(ROW()-3,"0000"))</f>
        <v/>
      </c>
      <c r="B807" s="40" t="n"/>
      <c r="C807" s="41" t="n"/>
      <c r="D807" s="42">
        <f>IF($C807="","",IFERROR(INDEX(DESPACHOS!$D$3:$D$3002,MATCH($C807,DESPACHOS!$B$3:$B$3002,0)),"SIN DESPACHO"))</f>
        <v/>
      </c>
      <c r="E807" s="42">
        <f>IF($C807="","",IFERROR(INDEX(DESPACHOS!$K$3:$K$3002,MATCH($C807,DESPACHOS!$B$3:$B$3002,0)),""))</f>
        <v/>
      </c>
      <c r="F807" s="42">
        <f>IF($C807="","",IFERROR(INDEX(DESPACHOS!$I$3:$I$3002,MATCH($C807,DESPACHOS!$B$3:$B$3002,0)),""))</f>
        <v/>
      </c>
      <c r="G807" s="42">
        <f>IF($C807="","",IFERROR(INDEX(DESPACHOS!$F$3:$F$3002,MATCH($C807,DESPACHOS!$B$3:$B$3002,0)),""))</f>
        <v/>
      </c>
      <c r="H807" s="42">
        <f>IF($C807="","",IFERROR(INDEX(DESPACHOS!$G$3:$G$3002,MATCH($C807,DESPACHOS!$B$3:$B$3002,0)),""))</f>
        <v/>
      </c>
      <c r="I807" s="39">
        <f>IF($C807="","",IFERROR(INDEX(DESPACHOS!$H$3:$H$3002,MATCH($C807,DESPACHOS!$B$3:$B$3002,0)),""))</f>
        <v/>
      </c>
      <c r="J807" s="43">
        <f>IF($C807="","",IFERROR(INDEX(DESPACHOS!$J$3:$J$3002,MATCH($C807,DESPACHOS!$B$3:$B$3002,0)),""))</f>
        <v/>
      </c>
      <c r="K807" s="39">
        <f>IF($C807="","",IF(COUNTIFS(DESPACHOS!$B$3:$B$3002,$C807)=0,"NO EXISTE",IF(COUNTIFS(DESPACHOS!$B$3:$B$3002,$C807)&gt;1,"DUPLICADO","OK")))</f>
        <v/>
      </c>
      <c r="L807" s="41" t="n"/>
      <c r="M807" s="41" t="n"/>
      <c r="N807" s="42">
        <f>IF($M807="","",IFERROR(INDEX(LISTAS!$F$3:$F$42,MATCH($M807,LISTAS!$E$3:$E$42,0)),"Por definir"))</f>
        <v/>
      </c>
      <c r="O807" s="41" t="n"/>
      <c r="P807" s="39">
        <f>IF($L807="","",IFERROR(INDEX(LISTAS!$B$3:$B$42,MATCH($L807,LISTAS!$A$3:$A$42,0)),"Media"))</f>
        <v/>
      </c>
      <c r="Q807" s="44" t="n"/>
      <c r="R807" s="45" t="n"/>
      <c r="S807" s="20">
        <f>IFERROR(IF(OR($R807="",$C807=""),"",$R807/INDEX(DESPACHOS!$M$3:$M$3002,MATCH($C807,DESPACHOS!$B$3:$B$3002,0))),"")</f>
        <v/>
      </c>
      <c r="T807" s="41" t="n"/>
      <c r="U807" s="43">
        <f>IF(OR($B807="",$L807=""),"",WORKDAY($B807,IFERROR(INDEX(LISTAS!$C$3:$C$42,MATCH($L807,LISTAS!$A$3:$A$42,0)),3)))</f>
        <v/>
      </c>
      <c r="V807" s="40" t="n"/>
      <c r="W807" s="19">
        <f>IF($B807="","",IF($V807&lt;&gt;"",$V807-$B807,TODAY()-$B807))</f>
        <v/>
      </c>
      <c r="X807" s="19">
        <f>IF(OR($B807="",$U807=""),"",IF($V807&lt;&gt;"",MAX(0,$V807-$U807),MAX(0,TODAY()-$U807)))</f>
        <v/>
      </c>
      <c r="Y807" s="39">
        <f>IF($C807="","",IF(IFERROR(INDEX(LISTAS!$I$3:$I$42,MATCH($T807,LISTAS!$H$3:$H$42,0)),"NO")="SÍ",IF(N($X807)&gt;0,"CERRADA FUERA DE SLA","CERRADA EN SLA"),IF($U807="","SIN CLASIFICAR",IF(N($X807)&gt;0,"VENCIDA",IF(TODAY()&gt;=$U807-1,"POR VENCER","EN PLAZO")))))</f>
        <v/>
      </c>
      <c r="Z807" s="41" t="n"/>
      <c r="AA807" s="41" t="n"/>
      <c r="AB807" s="41" t="n"/>
    </row>
    <row r="808">
      <c r="A808" s="39">
        <f>IF($C808="","","NOV-"&amp;TEXT(ROW()-3,"0000"))</f>
        <v/>
      </c>
      <c r="B808" s="40" t="n"/>
      <c r="C808" s="41" t="n"/>
      <c r="D808" s="42">
        <f>IF($C808="","",IFERROR(INDEX(DESPACHOS!$D$3:$D$3002,MATCH($C808,DESPACHOS!$B$3:$B$3002,0)),"SIN DESPACHO"))</f>
        <v/>
      </c>
      <c r="E808" s="42">
        <f>IF($C808="","",IFERROR(INDEX(DESPACHOS!$K$3:$K$3002,MATCH($C808,DESPACHOS!$B$3:$B$3002,0)),""))</f>
        <v/>
      </c>
      <c r="F808" s="42">
        <f>IF($C808="","",IFERROR(INDEX(DESPACHOS!$I$3:$I$3002,MATCH($C808,DESPACHOS!$B$3:$B$3002,0)),""))</f>
        <v/>
      </c>
      <c r="G808" s="42">
        <f>IF($C808="","",IFERROR(INDEX(DESPACHOS!$F$3:$F$3002,MATCH($C808,DESPACHOS!$B$3:$B$3002,0)),""))</f>
        <v/>
      </c>
      <c r="H808" s="42">
        <f>IF($C808="","",IFERROR(INDEX(DESPACHOS!$G$3:$G$3002,MATCH($C808,DESPACHOS!$B$3:$B$3002,0)),""))</f>
        <v/>
      </c>
      <c r="I808" s="39">
        <f>IF($C808="","",IFERROR(INDEX(DESPACHOS!$H$3:$H$3002,MATCH($C808,DESPACHOS!$B$3:$B$3002,0)),""))</f>
        <v/>
      </c>
      <c r="J808" s="43">
        <f>IF($C808="","",IFERROR(INDEX(DESPACHOS!$J$3:$J$3002,MATCH($C808,DESPACHOS!$B$3:$B$3002,0)),""))</f>
        <v/>
      </c>
      <c r="K808" s="39">
        <f>IF($C808="","",IF(COUNTIFS(DESPACHOS!$B$3:$B$3002,$C808)=0,"NO EXISTE",IF(COUNTIFS(DESPACHOS!$B$3:$B$3002,$C808)&gt;1,"DUPLICADO","OK")))</f>
        <v/>
      </c>
      <c r="L808" s="41" t="n"/>
      <c r="M808" s="41" t="n"/>
      <c r="N808" s="42">
        <f>IF($M808="","",IFERROR(INDEX(LISTAS!$F$3:$F$42,MATCH($M808,LISTAS!$E$3:$E$42,0)),"Por definir"))</f>
        <v/>
      </c>
      <c r="O808" s="41" t="n"/>
      <c r="P808" s="39">
        <f>IF($L808="","",IFERROR(INDEX(LISTAS!$B$3:$B$42,MATCH($L808,LISTAS!$A$3:$A$42,0)),"Media"))</f>
        <v/>
      </c>
      <c r="Q808" s="44" t="n"/>
      <c r="R808" s="45" t="n"/>
      <c r="S808" s="20">
        <f>IFERROR(IF(OR($R808="",$C808=""),"",$R808/INDEX(DESPACHOS!$M$3:$M$3002,MATCH($C808,DESPACHOS!$B$3:$B$3002,0))),"")</f>
        <v/>
      </c>
      <c r="T808" s="41" t="n"/>
      <c r="U808" s="43">
        <f>IF(OR($B808="",$L808=""),"",WORKDAY($B808,IFERROR(INDEX(LISTAS!$C$3:$C$42,MATCH($L808,LISTAS!$A$3:$A$42,0)),3)))</f>
        <v/>
      </c>
      <c r="V808" s="40" t="n"/>
      <c r="W808" s="19">
        <f>IF($B808="","",IF($V808&lt;&gt;"",$V808-$B808,TODAY()-$B808))</f>
        <v/>
      </c>
      <c r="X808" s="19">
        <f>IF(OR($B808="",$U808=""),"",IF($V808&lt;&gt;"",MAX(0,$V808-$U808),MAX(0,TODAY()-$U808)))</f>
        <v/>
      </c>
      <c r="Y808" s="39">
        <f>IF($C808="","",IF(IFERROR(INDEX(LISTAS!$I$3:$I$42,MATCH($T808,LISTAS!$H$3:$H$42,0)),"NO")="SÍ",IF(N($X808)&gt;0,"CERRADA FUERA DE SLA","CERRADA EN SLA"),IF($U808="","SIN CLASIFICAR",IF(N($X808)&gt;0,"VENCIDA",IF(TODAY()&gt;=$U808-1,"POR VENCER","EN PLAZO")))))</f>
        <v/>
      </c>
      <c r="Z808" s="41" t="n"/>
      <c r="AA808" s="41" t="n"/>
      <c r="AB808" s="41" t="n"/>
    </row>
    <row r="809">
      <c r="A809" s="39">
        <f>IF($C809="","","NOV-"&amp;TEXT(ROW()-3,"0000"))</f>
        <v/>
      </c>
      <c r="B809" s="40" t="n"/>
      <c r="C809" s="41" t="n"/>
      <c r="D809" s="42">
        <f>IF($C809="","",IFERROR(INDEX(DESPACHOS!$D$3:$D$3002,MATCH($C809,DESPACHOS!$B$3:$B$3002,0)),"SIN DESPACHO"))</f>
        <v/>
      </c>
      <c r="E809" s="42">
        <f>IF($C809="","",IFERROR(INDEX(DESPACHOS!$K$3:$K$3002,MATCH($C809,DESPACHOS!$B$3:$B$3002,0)),""))</f>
        <v/>
      </c>
      <c r="F809" s="42">
        <f>IF($C809="","",IFERROR(INDEX(DESPACHOS!$I$3:$I$3002,MATCH($C809,DESPACHOS!$B$3:$B$3002,0)),""))</f>
        <v/>
      </c>
      <c r="G809" s="42">
        <f>IF($C809="","",IFERROR(INDEX(DESPACHOS!$F$3:$F$3002,MATCH($C809,DESPACHOS!$B$3:$B$3002,0)),""))</f>
        <v/>
      </c>
      <c r="H809" s="42">
        <f>IF($C809="","",IFERROR(INDEX(DESPACHOS!$G$3:$G$3002,MATCH($C809,DESPACHOS!$B$3:$B$3002,0)),""))</f>
        <v/>
      </c>
      <c r="I809" s="39">
        <f>IF($C809="","",IFERROR(INDEX(DESPACHOS!$H$3:$H$3002,MATCH($C809,DESPACHOS!$B$3:$B$3002,0)),""))</f>
        <v/>
      </c>
      <c r="J809" s="43">
        <f>IF($C809="","",IFERROR(INDEX(DESPACHOS!$J$3:$J$3002,MATCH($C809,DESPACHOS!$B$3:$B$3002,0)),""))</f>
        <v/>
      </c>
      <c r="K809" s="39">
        <f>IF($C809="","",IF(COUNTIFS(DESPACHOS!$B$3:$B$3002,$C809)=0,"NO EXISTE",IF(COUNTIFS(DESPACHOS!$B$3:$B$3002,$C809)&gt;1,"DUPLICADO","OK")))</f>
        <v/>
      </c>
      <c r="L809" s="41" t="n"/>
      <c r="M809" s="41" t="n"/>
      <c r="N809" s="42">
        <f>IF($M809="","",IFERROR(INDEX(LISTAS!$F$3:$F$42,MATCH($M809,LISTAS!$E$3:$E$42,0)),"Por definir"))</f>
        <v/>
      </c>
      <c r="O809" s="41" t="n"/>
      <c r="P809" s="39">
        <f>IF($L809="","",IFERROR(INDEX(LISTAS!$B$3:$B$42,MATCH($L809,LISTAS!$A$3:$A$42,0)),"Media"))</f>
        <v/>
      </c>
      <c r="Q809" s="44" t="n"/>
      <c r="R809" s="45" t="n"/>
      <c r="S809" s="20">
        <f>IFERROR(IF(OR($R809="",$C809=""),"",$R809/INDEX(DESPACHOS!$M$3:$M$3002,MATCH($C809,DESPACHOS!$B$3:$B$3002,0))),"")</f>
        <v/>
      </c>
      <c r="T809" s="41" t="n"/>
      <c r="U809" s="43">
        <f>IF(OR($B809="",$L809=""),"",WORKDAY($B809,IFERROR(INDEX(LISTAS!$C$3:$C$42,MATCH($L809,LISTAS!$A$3:$A$42,0)),3)))</f>
        <v/>
      </c>
      <c r="V809" s="40" t="n"/>
      <c r="W809" s="19">
        <f>IF($B809="","",IF($V809&lt;&gt;"",$V809-$B809,TODAY()-$B809))</f>
        <v/>
      </c>
      <c r="X809" s="19">
        <f>IF(OR($B809="",$U809=""),"",IF($V809&lt;&gt;"",MAX(0,$V809-$U809),MAX(0,TODAY()-$U809)))</f>
        <v/>
      </c>
      <c r="Y809" s="39">
        <f>IF($C809="","",IF(IFERROR(INDEX(LISTAS!$I$3:$I$42,MATCH($T809,LISTAS!$H$3:$H$42,0)),"NO")="SÍ",IF(N($X809)&gt;0,"CERRADA FUERA DE SLA","CERRADA EN SLA"),IF($U809="","SIN CLASIFICAR",IF(N($X809)&gt;0,"VENCIDA",IF(TODAY()&gt;=$U809-1,"POR VENCER","EN PLAZO")))))</f>
        <v/>
      </c>
      <c r="Z809" s="41" t="n"/>
      <c r="AA809" s="41" t="n"/>
      <c r="AB809" s="41" t="n"/>
    </row>
    <row r="810">
      <c r="A810" s="39">
        <f>IF($C810="","","NOV-"&amp;TEXT(ROW()-3,"0000"))</f>
        <v/>
      </c>
      <c r="B810" s="40" t="n"/>
      <c r="C810" s="41" t="n"/>
      <c r="D810" s="42">
        <f>IF($C810="","",IFERROR(INDEX(DESPACHOS!$D$3:$D$3002,MATCH($C810,DESPACHOS!$B$3:$B$3002,0)),"SIN DESPACHO"))</f>
        <v/>
      </c>
      <c r="E810" s="42">
        <f>IF($C810="","",IFERROR(INDEX(DESPACHOS!$K$3:$K$3002,MATCH($C810,DESPACHOS!$B$3:$B$3002,0)),""))</f>
        <v/>
      </c>
      <c r="F810" s="42">
        <f>IF($C810="","",IFERROR(INDEX(DESPACHOS!$I$3:$I$3002,MATCH($C810,DESPACHOS!$B$3:$B$3002,0)),""))</f>
        <v/>
      </c>
      <c r="G810" s="42">
        <f>IF($C810="","",IFERROR(INDEX(DESPACHOS!$F$3:$F$3002,MATCH($C810,DESPACHOS!$B$3:$B$3002,0)),""))</f>
        <v/>
      </c>
      <c r="H810" s="42">
        <f>IF($C810="","",IFERROR(INDEX(DESPACHOS!$G$3:$G$3002,MATCH($C810,DESPACHOS!$B$3:$B$3002,0)),""))</f>
        <v/>
      </c>
      <c r="I810" s="39">
        <f>IF($C810="","",IFERROR(INDEX(DESPACHOS!$H$3:$H$3002,MATCH($C810,DESPACHOS!$B$3:$B$3002,0)),""))</f>
        <v/>
      </c>
      <c r="J810" s="43">
        <f>IF($C810="","",IFERROR(INDEX(DESPACHOS!$J$3:$J$3002,MATCH($C810,DESPACHOS!$B$3:$B$3002,0)),""))</f>
        <v/>
      </c>
      <c r="K810" s="39">
        <f>IF($C810="","",IF(COUNTIFS(DESPACHOS!$B$3:$B$3002,$C810)=0,"NO EXISTE",IF(COUNTIFS(DESPACHOS!$B$3:$B$3002,$C810)&gt;1,"DUPLICADO","OK")))</f>
        <v/>
      </c>
      <c r="L810" s="41" t="n"/>
      <c r="M810" s="41" t="n"/>
      <c r="N810" s="42">
        <f>IF($M810="","",IFERROR(INDEX(LISTAS!$F$3:$F$42,MATCH($M810,LISTAS!$E$3:$E$42,0)),"Por definir"))</f>
        <v/>
      </c>
      <c r="O810" s="41" t="n"/>
      <c r="P810" s="39">
        <f>IF($L810="","",IFERROR(INDEX(LISTAS!$B$3:$B$42,MATCH($L810,LISTAS!$A$3:$A$42,0)),"Media"))</f>
        <v/>
      </c>
      <c r="Q810" s="44" t="n"/>
      <c r="R810" s="45" t="n"/>
      <c r="S810" s="20">
        <f>IFERROR(IF(OR($R810="",$C810=""),"",$R810/INDEX(DESPACHOS!$M$3:$M$3002,MATCH($C810,DESPACHOS!$B$3:$B$3002,0))),"")</f>
        <v/>
      </c>
      <c r="T810" s="41" t="n"/>
      <c r="U810" s="43">
        <f>IF(OR($B810="",$L810=""),"",WORKDAY($B810,IFERROR(INDEX(LISTAS!$C$3:$C$42,MATCH($L810,LISTAS!$A$3:$A$42,0)),3)))</f>
        <v/>
      </c>
      <c r="V810" s="40" t="n"/>
      <c r="W810" s="19">
        <f>IF($B810="","",IF($V810&lt;&gt;"",$V810-$B810,TODAY()-$B810))</f>
        <v/>
      </c>
      <c r="X810" s="19">
        <f>IF(OR($B810="",$U810=""),"",IF($V810&lt;&gt;"",MAX(0,$V810-$U810),MAX(0,TODAY()-$U810)))</f>
        <v/>
      </c>
      <c r="Y810" s="39">
        <f>IF($C810="","",IF(IFERROR(INDEX(LISTAS!$I$3:$I$42,MATCH($T810,LISTAS!$H$3:$H$42,0)),"NO")="SÍ",IF(N($X810)&gt;0,"CERRADA FUERA DE SLA","CERRADA EN SLA"),IF($U810="","SIN CLASIFICAR",IF(N($X810)&gt;0,"VENCIDA",IF(TODAY()&gt;=$U810-1,"POR VENCER","EN PLAZO")))))</f>
        <v/>
      </c>
      <c r="Z810" s="41" t="n"/>
      <c r="AA810" s="41" t="n"/>
      <c r="AB810" s="41" t="n"/>
    </row>
    <row r="811">
      <c r="A811" s="39">
        <f>IF($C811="","","NOV-"&amp;TEXT(ROW()-3,"0000"))</f>
        <v/>
      </c>
      <c r="B811" s="40" t="n"/>
      <c r="C811" s="41" t="n"/>
      <c r="D811" s="42">
        <f>IF($C811="","",IFERROR(INDEX(DESPACHOS!$D$3:$D$3002,MATCH($C811,DESPACHOS!$B$3:$B$3002,0)),"SIN DESPACHO"))</f>
        <v/>
      </c>
      <c r="E811" s="42">
        <f>IF($C811="","",IFERROR(INDEX(DESPACHOS!$K$3:$K$3002,MATCH($C811,DESPACHOS!$B$3:$B$3002,0)),""))</f>
        <v/>
      </c>
      <c r="F811" s="42">
        <f>IF($C811="","",IFERROR(INDEX(DESPACHOS!$I$3:$I$3002,MATCH($C811,DESPACHOS!$B$3:$B$3002,0)),""))</f>
        <v/>
      </c>
      <c r="G811" s="42">
        <f>IF($C811="","",IFERROR(INDEX(DESPACHOS!$F$3:$F$3002,MATCH($C811,DESPACHOS!$B$3:$B$3002,0)),""))</f>
        <v/>
      </c>
      <c r="H811" s="42">
        <f>IF($C811="","",IFERROR(INDEX(DESPACHOS!$G$3:$G$3002,MATCH($C811,DESPACHOS!$B$3:$B$3002,0)),""))</f>
        <v/>
      </c>
      <c r="I811" s="39">
        <f>IF($C811="","",IFERROR(INDEX(DESPACHOS!$H$3:$H$3002,MATCH($C811,DESPACHOS!$B$3:$B$3002,0)),""))</f>
        <v/>
      </c>
      <c r="J811" s="43">
        <f>IF($C811="","",IFERROR(INDEX(DESPACHOS!$J$3:$J$3002,MATCH($C811,DESPACHOS!$B$3:$B$3002,0)),""))</f>
        <v/>
      </c>
      <c r="K811" s="39">
        <f>IF($C811="","",IF(COUNTIFS(DESPACHOS!$B$3:$B$3002,$C811)=0,"NO EXISTE",IF(COUNTIFS(DESPACHOS!$B$3:$B$3002,$C811)&gt;1,"DUPLICADO","OK")))</f>
        <v/>
      </c>
      <c r="L811" s="41" t="n"/>
      <c r="M811" s="41" t="n"/>
      <c r="N811" s="42">
        <f>IF($M811="","",IFERROR(INDEX(LISTAS!$F$3:$F$42,MATCH($M811,LISTAS!$E$3:$E$42,0)),"Por definir"))</f>
        <v/>
      </c>
      <c r="O811" s="41" t="n"/>
      <c r="P811" s="39">
        <f>IF($L811="","",IFERROR(INDEX(LISTAS!$B$3:$B$42,MATCH($L811,LISTAS!$A$3:$A$42,0)),"Media"))</f>
        <v/>
      </c>
      <c r="Q811" s="44" t="n"/>
      <c r="R811" s="45" t="n"/>
      <c r="S811" s="20">
        <f>IFERROR(IF(OR($R811="",$C811=""),"",$R811/INDEX(DESPACHOS!$M$3:$M$3002,MATCH($C811,DESPACHOS!$B$3:$B$3002,0))),"")</f>
        <v/>
      </c>
      <c r="T811" s="41" t="n"/>
      <c r="U811" s="43">
        <f>IF(OR($B811="",$L811=""),"",WORKDAY($B811,IFERROR(INDEX(LISTAS!$C$3:$C$42,MATCH($L811,LISTAS!$A$3:$A$42,0)),3)))</f>
        <v/>
      </c>
      <c r="V811" s="40" t="n"/>
      <c r="W811" s="19">
        <f>IF($B811="","",IF($V811&lt;&gt;"",$V811-$B811,TODAY()-$B811))</f>
        <v/>
      </c>
      <c r="X811" s="19">
        <f>IF(OR($B811="",$U811=""),"",IF($V811&lt;&gt;"",MAX(0,$V811-$U811),MAX(0,TODAY()-$U811)))</f>
        <v/>
      </c>
      <c r="Y811" s="39">
        <f>IF($C811="","",IF(IFERROR(INDEX(LISTAS!$I$3:$I$42,MATCH($T811,LISTAS!$H$3:$H$42,0)),"NO")="SÍ",IF(N($X811)&gt;0,"CERRADA FUERA DE SLA","CERRADA EN SLA"),IF($U811="","SIN CLASIFICAR",IF(N($X811)&gt;0,"VENCIDA",IF(TODAY()&gt;=$U811-1,"POR VENCER","EN PLAZO")))))</f>
        <v/>
      </c>
      <c r="Z811" s="41" t="n"/>
      <c r="AA811" s="41" t="n"/>
      <c r="AB811" s="41" t="n"/>
    </row>
    <row r="812">
      <c r="A812" s="39">
        <f>IF($C812="","","NOV-"&amp;TEXT(ROW()-3,"0000"))</f>
        <v/>
      </c>
      <c r="B812" s="40" t="n"/>
      <c r="C812" s="41" t="n"/>
      <c r="D812" s="42">
        <f>IF($C812="","",IFERROR(INDEX(DESPACHOS!$D$3:$D$3002,MATCH($C812,DESPACHOS!$B$3:$B$3002,0)),"SIN DESPACHO"))</f>
        <v/>
      </c>
      <c r="E812" s="42">
        <f>IF($C812="","",IFERROR(INDEX(DESPACHOS!$K$3:$K$3002,MATCH($C812,DESPACHOS!$B$3:$B$3002,0)),""))</f>
        <v/>
      </c>
      <c r="F812" s="42">
        <f>IF($C812="","",IFERROR(INDEX(DESPACHOS!$I$3:$I$3002,MATCH($C812,DESPACHOS!$B$3:$B$3002,0)),""))</f>
        <v/>
      </c>
      <c r="G812" s="42">
        <f>IF($C812="","",IFERROR(INDEX(DESPACHOS!$F$3:$F$3002,MATCH($C812,DESPACHOS!$B$3:$B$3002,0)),""))</f>
        <v/>
      </c>
      <c r="H812" s="42">
        <f>IF($C812="","",IFERROR(INDEX(DESPACHOS!$G$3:$G$3002,MATCH($C812,DESPACHOS!$B$3:$B$3002,0)),""))</f>
        <v/>
      </c>
      <c r="I812" s="39">
        <f>IF($C812="","",IFERROR(INDEX(DESPACHOS!$H$3:$H$3002,MATCH($C812,DESPACHOS!$B$3:$B$3002,0)),""))</f>
        <v/>
      </c>
      <c r="J812" s="43">
        <f>IF($C812="","",IFERROR(INDEX(DESPACHOS!$J$3:$J$3002,MATCH($C812,DESPACHOS!$B$3:$B$3002,0)),""))</f>
        <v/>
      </c>
      <c r="K812" s="39">
        <f>IF($C812="","",IF(COUNTIFS(DESPACHOS!$B$3:$B$3002,$C812)=0,"NO EXISTE",IF(COUNTIFS(DESPACHOS!$B$3:$B$3002,$C812)&gt;1,"DUPLICADO","OK")))</f>
        <v/>
      </c>
      <c r="L812" s="41" t="n"/>
      <c r="M812" s="41" t="n"/>
      <c r="N812" s="42">
        <f>IF($M812="","",IFERROR(INDEX(LISTAS!$F$3:$F$42,MATCH($M812,LISTAS!$E$3:$E$42,0)),"Por definir"))</f>
        <v/>
      </c>
      <c r="O812" s="41" t="n"/>
      <c r="P812" s="39">
        <f>IF($L812="","",IFERROR(INDEX(LISTAS!$B$3:$B$42,MATCH($L812,LISTAS!$A$3:$A$42,0)),"Media"))</f>
        <v/>
      </c>
      <c r="Q812" s="44" t="n"/>
      <c r="R812" s="45" t="n"/>
      <c r="S812" s="20">
        <f>IFERROR(IF(OR($R812="",$C812=""),"",$R812/INDEX(DESPACHOS!$M$3:$M$3002,MATCH($C812,DESPACHOS!$B$3:$B$3002,0))),"")</f>
        <v/>
      </c>
      <c r="T812" s="41" t="n"/>
      <c r="U812" s="43">
        <f>IF(OR($B812="",$L812=""),"",WORKDAY($B812,IFERROR(INDEX(LISTAS!$C$3:$C$42,MATCH($L812,LISTAS!$A$3:$A$42,0)),3)))</f>
        <v/>
      </c>
      <c r="V812" s="40" t="n"/>
      <c r="W812" s="19">
        <f>IF($B812="","",IF($V812&lt;&gt;"",$V812-$B812,TODAY()-$B812))</f>
        <v/>
      </c>
      <c r="X812" s="19">
        <f>IF(OR($B812="",$U812=""),"",IF($V812&lt;&gt;"",MAX(0,$V812-$U812),MAX(0,TODAY()-$U812)))</f>
        <v/>
      </c>
      <c r="Y812" s="39">
        <f>IF($C812="","",IF(IFERROR(INDEX(LISTAS!$I$3:$I$42,MATCH($T812,LISTAS!$H$3:$H$42,0)),"NO")="SÍ",IF(N($X812)&gt;0,"CERRADA FUERA DE SLA","CERRADA EN SLA"),IF($U812="","SIN CLASIFICAR",IF(N($X812)&gt;0,"VENCIDA",IF(TODAY()&gt;=$U812-1,"POR VENCER","EN PLAZO")))))</f>
        <v/>
      </c>
      <c r="Z812" s="41" t="n"/>
      <c r="AA812" s="41" t="n"/>
      <c r="AB812" s="41" t="n"/>
    </row>
    <row r="813">
      <c r="A813" s="39">
        <f>IF($C813="","","NOV-"&amp;TEXT(ROW()-3,"0000"))</f>
        <v/>
      </c>
      <c r="B813" s="40" t="n"/>
      <c r="C813" s="41" t="n"/>
      <c r="D813" s="42">
        <f>IF($C813="","",IFERROR(INDEX(DESPACHOS!$D$3:$D$3002,MATCH($C813,DESPACHOS!$B$3:$B$3002,0)),"SIN DESPACHO"))</f>
        <v/>
      </c>
      <c r="E813" s="42">
        <f>IF($C813="","",IFERROR(INDEX(DESPACHOS!$K$3:$K$3002,MATCH($C813,DESPACHOS!$B$3:$B$3002,0)),""))</f>
        <v/>
      </c>
      <c r="F813" s="42">
        <f>IF($C813="","",IFERROR(INDEX(DESPACHOS!$I$3:$I$3002,MATCH($C813,DESPACHOS!$B$3:$B$3002,0)),""))</f>
        <v/>
      </c>
      <c r="G813" s="42">
        <f>IF($C813="","",IFERROR(INDEX(DESPACHOS!$F$3:$F$3002,MATCH($C813,DESPACHOS!$B$3:$B$3002,0)),""))</f>
        <v/>
      </c>
      <c r="H813" s="42">
        <f>IF($C813="","",IFERROR(INDEX(DESPACHOS!$G$3:$G$3002,MATCH($C813,DESPACHOS!$B$3:$B$3002,0)),""))</f>
        <v/>
      </c>
      <c r="I813" s="39">
        <f>IF($C813="","",IFERROR(INDEX(DESPACHOS!$H$3:$H$3002,MATCH($C813,DESPACHOS!$B$3:$B$3002,0)),""))</f>
        <v/>
      </c>
      <c r="J813" s="43">
        <f>IF($C813="","",IFERROR(INDEX(DESPACHOS!$J$3:$J$3002,MATCH($C813,DESPACHOS!$B$3:$B$3002,0)),""))</f>
        <v/>
      </c>
      <c r="K813" s="39">
        <f>IF($C813="","",IF(COUNTIFS(DESPACHOS!$B$3:$B$3002,$C813)=0,"NO EXISTE",IF(COUNTIFS(DESPACHOS!$B$3:$B$3002,$C813)&gt;1,"DUPLICADO","OK")))</f>
        <v/>
      </c>
      <c r="L813" s="41" t="n"/>
      <c r="M813" s="41" t="n"/>
      <c r="N813" s="42">
        <f>IF($M813="","",IFERROR(INDEX(LISTAS!$F$3:$F$42,MATCH($M813,LISTAS!$E$3:$E$42,0)),"Por definir"))</f>
        <v/>
      </c>
      <c r="O813" s="41" t="n"/>
      <c r="P813" s="39">
        <f>IF($L813="","",IFERROR(INDEX(LISTAS!$B$3:$B$42,MATCH($L813,LISTAS!$A$3:$A$42,0)),"Media"))</f>
        <v/>
      </c>
      <c r="Q813" s="44" t="n"/>
      <c r="R813" s="45" t="n"/>
      <c r="S813" s="20">
        <f>IFERROR(IF(OR($R813="",$C813=""),"",$R813/INDEX(DESPACHOS!$M$3:$M$3002,MATCH($C813,DESPACHOS!$B$3:$B$3002,0))),"")</f>
        <v/>
      </c>
      <c r="T813" s="41" t="n"/>
      <c r="U813" s="43">
        <f>IF(OR($B813="",$L813=""),"",WORKDAY($B813,IFERROR(INDEX(LISTAS!$C$3:$C$42,MATCH($L813,LISTAS!$A$3:$A$42,0)),3)))</f>
        <v/>
      </c>
      <c r="V813" s="40" t="n"/>
      <c r="W813" s="19">
        <f>IF($B813="","",IF($V813&lt;&gt;"",$V813-$B813,TODAY()-$B813))</f>
        <v/>
      </c>
      <c r="X813" s="19">
        <f>IF(OR($B813="",$U813=""),"",IF($V813&lt;&gt;"",MAX(0,$V813-$U813),MAX(0,TODAY()-$U813)))</f>
        <v/>
      </c>
      <c r="Y813" s="39">
        <f>IF($C813="","",IF(IFERROR(INDEX(LISTAS!$I$3:$I$42,MATCH($T813,LISTAS!$H$3:$H$42,0)),"NO")="SÍ",IF(N($X813)&gt;0,"CERRADA FUERA DE SLA","CERRADA EN SLA"),IF($U813="","SIN CLASIFICAR",IF(N($X813)&gt;0,"VENCIDA",IF(TODAY()&gt;=$U813-1,"POR VENCER","EN PLAZO")))))</f>
        <v/>
      </c>
      <c r="Z813" s="41" t="n"/>
      <c r="AA813" s="41" t="n"/>
      <c r="AB813" s="41" t="n"/>
    </row>
    <row r="814">
      <c r="A814" s="39">
        <f>IF($C814="","","NOV-"&amp;TEXT(ROW()-3,"0000"))</f>
        <v/>
      </c>
      <c r="B814" s="40" t="n"/>
      <c r="C814" s="41" t="n"/>
      <c r="D814" s="42">
        <f>IF($C814="","",IFERROR(INDEX(DESPACHOS!$D$3:$D$3002,MATCH($C814,DESPACHOS!$B$3:$B$3002,0)),"SIN DESPACHO"))</f>
        <v/>
      </c>
      <c r="E814" s="42">
        <f>IF($C814="","",IFERROR(INDEX(DESPACHOS!$K$3:$K$3002,MATCH($C814,DESPACHOS!$B$3:$B$3002,0)),""))</f>
        <v/>
      </c>
      <c r="F814" s="42">
        <f>IF($C814="","",IFERROR(INDEX(DESPACHOS!$I$3:$I$3002,MATCH($C814,DESPACHOS!$B$3:$B$3002,0)),""))</f>
        <v/>
      </c>
      <c r="G814" s="42">
        <f>IF($C814="","",IFERROR(INDEX(DESPACHOS!$F$3:$F$3002,MATCH($C814,DESPACHOS!$B$3:$B$3002,0)),""))</f>
        <v/>
      </c>
      <c r="H814" s="42">
        <f>IF($C814="","",IFERROR(INDEX(DESPACHOS!$G$3:$G$3002,MATCH($C814,DESPACHOS!$B$3:$B$3002,0)),""))</f>
        <v/>
      </c>
      <c r="I814" s="39">
        <f>IF($C814="","",IFERROR(INDEX(DESPACHOS!$H$3:$H$3002,MATCH($C814,DESPACHOS!$B$3:$B$3002,0)),""))</f>
        <v/>
      </c>
      <c r="J814" s="43">
        <f>IF($C814="","",IFERROR(INDEX(DESPACHOS!$J$3:$J$3002,MATCH($C814,DESPACHOS!$B$3:$B$3002,0)),""))</f>
        <v/>
      </c>
      <c r="K814" s="39">
        <f>IF($C814="","",IF(COUNTIFS(DESPACHOS!$B$3:$B$3002,$C814)=0,"NO EXISTE",IF(COUNTIFS(DESPACHOS!$B$3:$B$3002,$C814)&gt;1,"DUPLICADO","OK")))</f>
        <v/>
      </c>
      <c r="L814" s="41" t="n"/>
      <c r="M814" s="41" t="n"/>
      <c r="N814" s="42">
        <f>IF($M814="","",IFERROR(INDEX(LISTAS!$F$3:$F$42,MATCH($M814,LISTAS!$E$3:$E$42,0)),"Por definir"))</f>
        <v/>
      </c>
      <c r="O814" s="41" t="n"/>
      <c r="P814" s="39">
        <f>IF($L814="","",IFERROR(INDEX(LISTAS!$B$3:$B$42,MATCH($L814,LISTAS!$A$3:$A$42,0)),"Media"))</f>
        <v/>
      </c>
      <c r="Q814" s="44" t="n"/>
      <c r="R814" s="45" t="n"/>
      <c r="S814" s="20">
        <f>IFERROR(IF(OR($R814="",$C814=""),"",$R814/INDEX(DESPACHOS!$M$3:$M$3002,MATCH($C814,DESPACHOS!$B$3:$B$3002,0))),"")</f>
        <v/>
      </c>
      <c r="T814" s="41" t="n"/>
      <c r="U814" s="43">
        <f>IF(OR($B814="",$L814=""),"",WORKDAY($B814,IFERROR(INDEX(LISTAS!$C$3:$C$42,MATCH($L814,LISTAS!$A$3:$A$42,0)),3)))</f>
        <v/>
      </c>
      <c r="V814" s="40" t="n"/>
      <c r="W814" s="19">
        <f>IF($B814="","",IF($V814&lt;&gt;"",$V814-$B814,TODAY()-$B814))</f>
        <v/>
      </c>
      <c r="X814" s="19">
        <f>IF(OR($B814="",$U814=""),"",IF($V814&lt;&gt;"",MAX(0,$V814-$U814),MAX(0,TODAY()-$U814)))</f>
        <v/>
      </c>
      <c r="Y814" s="39">
        <f>IF($C814="","",IF(IFERROR(INDEX(LISTAS!$I$3:$I$42,MATCH($T814,LISTAS!$H$3:$H$42,0)),"NO")="SÍ",IF(N($X814)&gt;0,"CERRADA FUERA DE SLA","CERRADA EN SLA"),IF($U814="","SIN CLASIFICAR",IF(N($X814)&gt;0,"VENCIDA",IF(TODAY()&gt;=$U814-1,"POR VENCER","EN PLAZO")))))</f>
        <v/>
      </c>
      <c r="Z814" s="41" t="n"/>
      <c r="AA814" s="41" t="n"/>
      <c r="AB814" s="41" t="n"/>
    </row>
    <row r="815">
      <c r="A815" s="39">
        <f>IF($C815="","","NOV-"&amp;TEXT(ROW()-3,"0000"))</f>
        <v/>
      </c>
      <c r="B815" s="40" t="n"/>
      <c r="C815" s="41" t="n"/>
      <c r="D815" s="42">
        <f>IF($C815="","",IFERROR(INDEX(DESPACHOS!$D$3:$D$3002,MATCH($C815,DESPACHOS!$B$3:$B$3002,0)),"SIN DESPACHO"))</f>
        <v/>
      </c>
      <c r="E815" s="42">
        <f>IF($C815="","",IFERROR(INDEX(DESPACHOS!$K$3:$K$3002,MATCH($C815,DESPACHOS!$B$3:$B$3002,0)),""))</f>
        <v/>
      </c>
      <c r="F815" s="42">
        <f>IF($C815="","",IFERROR(INDEX(DESPACHOS!$I$3:$I$3002,MATCH($C815,DESPACHOS!$B$3:$B$3002,0)),""))</f>
        <v/>
      </c>
      <c r="G815" s="42">
        <f>IF($C815="","",IFERROR(INDEX(DESPACHOS!$F$3:$F$3002,MATCH($C815,DESPACHOS!$B$3:$B$3002,0)),""))</f>
        <v/>
      </c>
      <c r="H815" s="42">
        <f>IF($C815="","",IFERROR(INDEX(DESPACHOS!$G$3:$G$3002,MATCH($C815,DESPACHOS!$B$3:$B$3002,0)),""))</f>
        <v/>
      </c>
      <c r="I815" s="39">
        <f>IF($C815="","",IFERROR(INDEX(DESPACHOS!$H$3:$H$3002,MATCH($C815,DESPACHOS!$B$3:$B$3002,0)),""))</f>
        <v/>
      </c>
      <c r="J815" s="43">
        <f>IF($C815="","",IFERROR(INDEX(DESPACHOS!$J$3:$J$3002,MATCH($C815,DESPACHOS!$B$3:$B$3002,0)),""))</f>
        <v/>
      </c>
      <c r="K815" s="39">
        <f>IF($C815="","",IF(COUNTIFS(DESPACHOS!$B$3:$B$3002,$C815)=0,"NO EXISTE",IF(COUNTIFS(DESPACHOS!$B$3:$B$3002,$C815)&gt;1,"DUPLICADO","OK")))</f>
        <v/>
      </c>
      <c r="L815" s="41" t="n"/>
      <c r="M815" s="41" t="n"/>
      <c r="N815" s="42">
        <f>IF($M815="","",IFERROR(INDEX(LISTAS!$F$3:$F$42,MATCH($M815,LISTAS!$E$3:$E$42,0)),"Por definir"))</f>
        <v/>
      </c>
      <c r="O815" s="41" t="n"/>
      <c r="P815" s="39">
        <f>IF($L815="","",IFERROR(INDEX(LISTAS!$B$3:$B$42,MATCH($L815,LISTAS!$A$3:$A$42,0)),"Media"))</f>
        <v/>
      </c>
      <c r="Q815" s="44" t="n"/>
      <c r="R815" s="45" t="n"/>
      <c r="S815" s="20">
        <f>IFERROR(IF(OR($R815="",$C815=""),"",$R815/INDEX(DESPACHOS!$M$3:$M$3002,MATCH($C815,DESPACHOS!$B$3:$B$3002,0))),"")</f>
        <v/>
      </c>
      <c r="T815" s="41" t="n"/>
      <c r="U815" s="43">
        <f>IF(OR($B815="",$L815=""),"",WORKDAY($B815,IFERROR(INDEX(LISTAS!$C$3:$C$42,MATCH($L815,LISTAS!$A$3:$A$42,0)),3)))</f>
        <v/>
      </c>
      <c r="V815" s="40" t="n"/>
      <c r="W815" s="19">
        <f>IF($B815="","",IF($V815&lt;&gt;"",$V815-$B815,TODAY()-$B815))</f>
        <v/>
      </c>
      <c r="X815" s="19">
        <f>IF(OR($B815="",$U815=""),"",IF($V815&lt;&gt;"",MAX(0,$V815-$U815),MAX(0,TODAY()-$U815)))</f>
        <v/>
      </c>
      <c r="Y815" s="39">
        <f>IF($C815="","",IF(IFERROR(INDEX(LISTAS!$I$3:$I$42,MATCH($T815,LISTAS!$H$3:$H$42,0)),"NO")="SÍ",IF(N($X815)&gt;0,"CERRADA FUERA DE SLA","CERRADA EN SLA"),IF($U815="","SIN CLASIFICAR",IF(N($X815)&gt;0,"VENCIDA",IF(TODAY()&gt;=$U815-1,"POR VENCER","EN PLAZO")))))</f>
        <v/>
      </c>
      <c r="Z815" s="41" t="n"/>
      <c r="AA815" s="41" t="n"/>
      <c r="AB815" s="41" t="n"/>
    </row>
    <row r="816">
      <c r="A816" s="39">
        <f>IF($C816="","","NOV-"&amp;TEXT(ROW()-3,"0000"))</f>
        <v/>
      </c>
      <c r="B816" s="40" t="n"/>
      <c r="C816" s="41" t="n"/>
      <c r="D816" s="42">
        <f>IF($C816="","",IFERROR(INDEX(DESPACHOS!$D$3:$D$3002,MATCH($C816,DESPACHOS!$B$3:$B$3002,0)),"SIN DESPACHO"))</f>
        <v/>
      </c>
      <c r="E816" s="42">
        <f>IF($C816="","",IFERROR(INDEX(DESPACHOS!$K$3:$K$3002,MATCH($C816,DESPACHOS!$B$3:$B$3002,0)),""))</f>
        <v/>
      </c>
      <c r="F816" s="42">
        <f>IF($C816="","",IFERROR(INDEX(DESPACHOS!$I$3:$I$3002,MATCH($C816,DESPACHOS!$B$3:$B$3002,0)),""))</f>
        <v/>
      </c>
      <c r="G816" s="42">
        <f>IF($C816="","",IFERROR(INDEX(DESPACHOS!$F$3:$F$3002,MATCH($C816,DESPACHOS!$B$3:$B$3002,0)),""))</f>
        <v/>
      </c>
      <c r="H816" s="42">
        <f>IF($C816="","",IFERROR(INDEX(DESPACHOS!$G$3:$G$3002,MATCH($C816,DESPACHOS!$B$3:$B$3002,0)),""))</f>
        <v/>
      </c>
      <c r="I816" s="39">
        <f>IF($C816="","",IFERROR(INDEX(DESPACHOS!$H$3:$H$3002,MATCH($C816,DESPACHOS!$B$3:$B$3002,0)),""))</f>
        <v/>
      </c>
      <c r="J816" s="43">
        <f>IF($C816="","",IFERROR(INDEX(DESPACHOS!$J$3:$J$3002,MATCH($C816,DESPACHOS!$B$3:$B$3002,0)),""))</f>
        <v/>
      </c>
      <c r="K816" s="39">
        <f>IF($C816="","",IF(COUNTIFS(DESPACHOS!$B$3:$B$3002,$C816)=0,"NO EXISTE",IF(COUNTIFS(DESPACHOS!$B$3:$B$3002,$C816)&gt;1,"DUPLICADO","OK")))</f>
        <v/>
      </c>
      <c r="L816" s="41" t="n"/>
      <c r="M816" s="41" t="n"/>
      <c r="N816" s="42">
        <f>IF($M816="","",IFERROR(INDEX(LISTAS!$F$3:$F$42,MATCH($M816,LISTAS!$E$3:$E$42,0)),"Por definir"))</f>
        <v/>
      </c>
      <c r="O816" s="41" t="n"/>
      <c r="P816" s="39">
        <f>IF($L816="","",IFERROR(INDEX(LISTAS!$B$3:$B$42,MATCH($L816,LISTAS!$A$3:$A$42,0)),"Media"))</f>
        <v/>
      </c>
      <c r="Q816" s="44" t="n"/>
      <c r="R816" s="45" t="n"/>
      <c r="S816" s="20">
        <f>IFERROR(IF(OR($R816="",$C816=""),"",$R816/INDEX(DESPACHOS!$M$3:$M$3002,MATCH($C816,DESPACHOS!$B$3:$B$3002,0))),"")</f>
        <v/>
      </c>
      <c r="T816" s="41" t="n"/>
      <c r="U816" s="43">
        <f>IF(OR($B816="",$L816=""),"",WORKDAY($B816,IFERROR(INDEX(LISTAS!$C$3:$C$42,MATCH($L816,LISTAS!$A$3:$A$42,0)),3)))</f>
        <v/>
      </c>
      <c r="V816" s="40" t="n"/>
      <c r="W816" s="19">
        <f>IF($B816="","",IF($V816&lt;&gt;"",$V816-$B816,TODAY()-$B816))</f>
        <v/>
      </c>
      <c r="X816" s="19">
        <f>IF(OR($B816="",$U816=""),"",IF($V816&lt;&gt;"",MAX(0,$V816-$U816),MAX(0,TODAY()-$U816)))</f>
        <v/>
      </c>
      <c r="Y816" s="39">
        <f>IF($C816="","",IF(IFERROR(INDEX(LISTAS!$I$3:$I$42,MATCH($T816,LISTAS!$H$3:$H$42,0)),"NO")="SÍ",IF(N($X816)&gt;0,"CERRADA FUERA DE SLA","CERRADA EN SLA"),IF($U816="","SIN CLASIFICAR",IF(N($X816)&gt;0,"VENCIDA",IF(TODAY()&gt;=$U816-1,"POR VENCER","EN PLAZO")))))</f>
        <v/>
      </c>
      <c r="Z816" s="41" t="n"/>
      <c r="AA816" s="41" t="n"/>
      <c r="AB816" s="41" t="n"/>
    </row>
    <row r="817">
      <c r="A817" s="39">
        <f>IF($C817="","","NOV-"&amp;TEXT(ROW()-3,"0000"))</f>
        <v/>
      </c>
      <c r="B817" s="40" t="n"/>
      <c r="C817" s="41" t="n"/>
      <c r="D817" s="42">
        <f>IF($C817="","",IFERROR(INDEX(DESPACHOS!$D$3:$D$3002,MATCH($C817,DESPACHOS!$B$3:$B$3002,0)),"SIN DESPACHO"))</f>
        <v/>
      </c>
      <c r="E817" s="42">
        <f>IF($C817="","",IFERROR(INDEX(DESPACHOS!$K$3:$K$3002,MATCH($C817,DESPACHOS!$B$3:$B$3002,0)),""))</f>
        <v/>
      </c>
      <c r="F817" s="42">
        <f>IF($C817="","",IFERROR(INDEX(DESPACHOS!$I$3:$I$3002,MATCH($C817,DESPACHOS!$B$3:$B$3002,0)),""))</f>
        <v/>
      </c>
      <c r="G817" s="42">
        <f>IF($C817="","",IFERROR(INDEX(DESPACHOS!$F$3:$F$3002,MATCH($C817,DESPACHOS!$B$3:$B$3002,0)),""))</f>
        <v/>
      </c>
      <c r="H817" s="42">
        <f>IF($C817="","",IFERROR(INDEX(DESPACHOS!$G$3:$G$3002,MATCH($C817,DESPACHOS!$B$3:$B$3002,0)),""))</f>
        <v/>
      </c>
      <c r="I817" s="39">
        <f>IF($C817="","",IFERROR(INDEX(DESPACHOS!$H$3:$H$3002,MATCH($C817,DESPACHOS!$B$3:$B$3002,0)),""))</f>
        <v/>
      </c>
      <c r="J817" s="43">
        <f>IF($C817="","",IFERROR(INDEX(DESPACHOS!$J$3:$J$3002,MATCH($C817,DESPACHOS!$B$3:$B$3002,0)),""))</f>
        <v/>
      </c>
      <c r="K817" s="39">
        <f>IF($C817="","",IF(COUNTIFS(DESPACHOS!$B$3:$B$3002,$C817)=0,"NO EXISTE",IF(COUNTIFS(DESPACHOS!$B$3:$B$3002,$C817)&gt;1,"DUPLICADO","OK")))</f>
        <v/>
      </c>
      <c r="L817" s="41" t="n"/>
      <c r="M817" s="41" t="n"/>
      <c r="N817" s="42">
        <f>IF($M817="","",IFERROR(INDEX(LISTAS!$F$3:$F$42,MATCH($M817,LISTAS!$E$3:$E$42,0)),"Por definir"))</f>
        <v/>
      </c>
      <c r="O817" s="41" t="n"/>
      <c r="P817" s="39">
        <f>IF($L817="","",IFERROR(INDEX(LISTAS!$B$3:$B$42,MATCH($L817,LISTAS!$A$3:$A$42,0)),"Media"))</f>
        <v/>
      </c>
      <c r="Q817" s="44" t="n"/>
      <c r="R817" s="45" t="n"/>
      <c r="S817" s="20">
        <f>IFERROR(IF(OR($R817="",$C817=""),"",$R817/INDEX(DESPACHOS!$M$3:$M$3002,MATCH($C817,DESPACHOS!$B$3:$B$3002,0))),"")</f>
        <v/>
      </c>
      <c r="T817" s="41" t="n"/>
      <c r="U817" s="43">
        <f>IF(OR($B817="",$L817=""),"",WORKDAY($B817,IFERROR(INDEX(LISTAS!$C$3:$C$42,MATCH($L817,LISTAS!$A$3:$A$42,0)),3)))</f>
        <v/>
      </c>
      <c r="V817" s="40" t="n"/>
      <c r="W817" s="19">
        <f>IF($B817="","",IF($V817&lt;&gt;"",$V817-$B817,TODAY()-$B817))</f>
        <v/>
      </c>
      <c r="X817" s="19">
        <f>IF(OR($B817="",$U817=""),"",IF($V817&lt;&gt;"",MAX(0,$V817-$U817),MAX(0,TODAY()-$U817)))</f>
        <v/>
      </c>
      <c r="Y817" s="39">
        <f>IF($C817="","",IF(IFERROR(INDEX(LISTAS!$I$3:$I$42,MATCH($T817,LISTAS!$H$3:$H$42,0)),"NO")="SÍ",IF(N($X817)&gt;0,"CERRADA FUERA DE SLA","CERRADA EN SLA"),IF($U817="","SIN CLASIFICAR",IF(N($X817)&gt;0,"VENCIDA",IF(TODAY()&gt;=$U817-1,"POR VENCER","EN PLAZO")))))</f>
        <v/>
      </c>
      <c r="Z817" s="41" t="n"/>
      <c r="AA817" s="41" t="n"/>
      <c r="AB817" s="41" t="n"/>
    </row>
    <row r="818">
      <c r="A818" s="39">
        <f>IF($C818="","","NOV-"&amp;TEXT(ROW()-3,"0000"))</f>
        <v/>
      </c>
      <c r="B818" s="40" t="n"/>
      <c r="C818" s="41" t="n"/>
      <c r="D818" s="42">
        <f>IF($C818="","",IFERROR(INDEX(DESPACHOS!$D$3:$D$3002,MATCH($C818,DESPACHOS!$B$3:$B$3002,0)),"SIN DESPACHO"))</f>
        <v/>
      </c>
      <c r="E818" s="42">
        <f>IF($C818="","",IFERROR(INDEX(DESPACHOS!$K$3:$K$3002,MATCH($C818,DESPACHOS!$B$3:$B$3002,0)),""))</f>
        <v/>
      </c>
      <c r="F818" s="42">
        <f>IF($C818="","",IFERROR(INDEX(DESPACHOS!$I$3:$I$3002,MATCH($C818,DESPACHOS!$B$3:$B$3002,0)),""))</f>
        <v/>
      </c>
      <c r="G818" s="42">
        <f>IF($C818="","",IFERROR(INDEX(DESPACHOS!$F$3:$F$3002,MATCH($C818,DESPACHOS!$B$3:$B$3002,0)),""))</f>
        <v/>
      </c>
      <c r="H818" s="42">
        <f>IF($C818="","",IFERROR(INDEX(DESPACHOS!$G$3:$G$3002,MATCH($C818,DESPACHOS!$B$3:$B$3002,0)),""))</f>
        <v/>
      </c>
      <c r="I818" s="39">
        <f>IF($C818="","",IFERROR(INDEX(DESPACHOS!$H$3:$H$3002,MATCH($C818,DESPACHOS!$B$3:$B$3002,0)),""))</f>
        <v/>
      </c>
      <c r="J818" s="43">
        <f>IF($C818="","",IFERROR(INDEX(DESPACHOS!$J$3:$J$3002,MATCH($C818,DESPACHOS!$B$3:$B$3002,0)),""))</f>
        <v/>
      </c>
      <c r="K818" s="39">
        <f>IF($C818="","",IF(COUNTIFS(DESPACHOS!$B$3:$B$3002,$C818)=0,"NO EXISTE",IF(COUNTIFS(DESPACHOS!$B$3:$B$3002,$C818)&gt;1,"DUPLICADO","OK")))</f>
        <v/>
      </c>
      <c r="L818" s="41" t="n"/>
      <c r="M818" s="41" t="n"/>
      <c r="N818" s="42">
        <f>IF($M818="","",IFERROR(INDEX(LISTAS!$F$3:$F$42,MATCH($M818,LISTAS!$E$3:$E$42,0)),"Por definir"))</f>
        <v/>
      </c>
      <c r="O818" s="41" t="n"/>
      <c r="P818" s="39">
        <f>IF($L818="","",IFERROR(INDEX(LISTAS!$B$3:$B$42,MATCH($L818,LISTAS!$A$3:$A$42,0)),"Media"))</f>
        <v/>
      </c>
      <c r="Q818" s="44" t="n"/>
      <c r="R818" s="45" t="n"/>
      <c r="S818" s="20">
        <f>IFERROR(IF(OR($R818="",$C818=""),"",$R818/INDEX(DESPACHOS!$M$3:$M$3002,MATCH($C818,DESPACHOS!$B$3:$B$3002,0))),"")</f>
        <v/>
      </c>
      <c r="T818" s="41" t="n"/>
      <c r="U818" s="43">
        <f>IF(OR($B818="",$L818=""),"",WORKDAY($B818,IFERROR(INDEX(LISTAS!$C$3:$C$42,MATCH($L818,LISTAS!$A$3:$A$42,0)),3)))</f>
        <v/>
      </c>
      <c r="V818" s="40" t="n"/>
      <c r="W818" s="19">
        <f>IF($B818="","",IF($V818&lt;&gt;"",$V818-$B818,TODAY()-$B818))</f>
        <v/>
      </c>
      <c r="X818" s="19">
        <f>IF(OR($B818="",$U818=""),"",IF($V818&lt;&gt;"",MAX(0,$V818-$U818),MAX(0,TODAY()-$U818)))</f>
        <v/>
      </c>
      <c r="Y818" s="39">
        <f>IF($C818="","",IF(IFERROR(INDEX(LISTAS!$I$3:$I$42,MATCH($T818,LISTAS!$H$3:$H$42,0)),"NO")="SÍ",IF(N($X818)&gt;0,"CERRADA FUERA DE SLA","CERRADA EN SLA"),IF($U818="","SIN CLASIFICAR",IF(N($X818)&gt;0,"VENCIDA",IF(TODAY()&gt;=$U818-1,"POR VENCER","EN PLAZO")))))</f>
        <v/>
      </c>
      <c r="Z818" s="41" t="n"/>
      <c r="AA818" s="41" t="n"/>
      <c r="AB818" s="41" t="n"/>
    </row>
    <row r="819">
      <c r="A819" s="39">
        <f>IF($C819="","","NOV-"&amp;TEXT(ROW()-3,"0000"))</f>
        <v/>
      </c>
      <c r="B819" s="40" t="n"/>
      <c r="C819" s="41" t="n"/>
      <c r="D819" s="42">
        <f>IF($C819="","",IFERROR(INDEX(DESPACHOS!$D$3:$D$3002,MATCH($C819,DESPACHOS!$B$3:$B$3002,0)),"SIN DESPACHO"))</f>
        <v/>
      </c>
      <c r="E819" s="42">
        <f>IF($C819="","",IFERROR(INDEX(DESPACHOS!$K$3:$K$3002,MATCH($C819,DESPACHOS!$B$3:$B$3002,0)),""))</f>
        <v/>
      </c>
      <c r="F819" s="42">
        <f>IF($C819="","",IFERROR(INDEX(DESPACHOS!$I$3:$I$3002,MATCH($C819,DESPACHOS!$B$3:$B$3002,0)),""))</f>
        <v/>
      </c>
      <c r="G819" s="42">
        <f>IF($C819="","",IFERROR(INDEX(DESPACHOS!$F$3:$F$3002,MATCH($C819,DESPACHOS!$B$3:$B$3002,0)),""))</f>
        <v/>
      </c>
      <c r="H819" s="42">
        <f>IF($C819="","",IFERROR(INDEX(DESPACHOS!$G$3:$G$3002,MATCH($C819,DESPACHOS!$B$3:$B$3002,0)),""))</f>
        <v/>
      </c>
      <c r="I819" s="39">
        <f>IF($C819="","",IFERROR(INDEX(DESPACHOS!$H$3:$H$3002,MATCH($C819,DESPACHOS!$B$3:$B$3002,0)),""))</f>
        <v/>
      </c>
      <c r="J819" s="43">
        <f>IF($C819="","",IFERROR(INDEX(DESPACHOS!$J$3:$J$3002,MATCH($C819,DESPACHOS!$B$3:$B$3002,0)),""))</f>
        <v/>
      </c>
      <c r="K819" s="39">
        <f>IF($C819="","",IF(COUNTIFS(DESPACHOS!$B$3:$B$3002,$C819)=0,"NO EXISTE",IF(COUNTIFS(DESPACHOS!$B$3:$B$3002,$C819)&gt;1,"DUPLICADO","OK")))</f>
        <v/>
      </c>
      <c r="L819" s="41" t="n"/>
      <c r="M819" s="41" t="n"/>
      <c r="N819" s="42">
        <f>IF($M819="","",IFERROR(INDEX(LISTAS!$F$3:$F$42,MATCH($M819,LISTAS!$E$3:$E$42,0)),"Por definir"))</f>
        <v/>
      </c>
      <c r="O819" s="41" t="n"/>
      <c r="P819" s="39">
        <f>IF($L819="","",IFERROR(INDEX(LISTAS!$B$3:$B$42,MATCH($L819,LISTAS!$A$3:$A$42,0)),"Media"))</f>
        <v/>
      </c>
      <c r="Q819" s="44" t="n"/>
      <c r="R819" s="45" t="n"/>
      <c r="S819" s="20">
        <f>IFERROR(IF(OR($R819="",$C819=""),"",$R819/INDEX(DESPACHOS!$M$3:$M$3002,MATCH($C819,DESPACHOS!$B$3:$B$3002,0))),"")</f>
        <v/>
      </c>
      <c r="T819" s="41" t="n"/>
      <c r="U819" s="43">
        <f>IF(OR($B819="",$L819=""),"",WORKDAY($B819,IFERROR(INDEX(LISTAS!$C$3:$C$42,MATCH($L819,LISTAS!$A$3:$A$42,0)),3)))</f>
        <v/>
      </c>
      <c r="V819" s="40" t="n"/>
      <c r="W819" s="19">
        <f>IF($B819="","",IF($V819&lt;&gt;"",$V819-$B819,TODAY()-$B819))</f>
        <v/>
      </c>
      <c r="X819" s="19">
        <f>IF(OR($B819="",$U819=""),"",IF($V819&lt;&gt;"",MAX(0,$V819-$U819),MAX(0,TODAY()-$U819)))</f>
        <v/>
      </c>
      <c r="Y819" s="39">
        <f>IF($C819="","",IF(IFERROR(INDEX(LISTAS!$I$3:$I$42,MATCH($T819,LISTAS!$H$3:$H$42,0)),"NO")="SÍ",IF(N($X819)&gt;0,"CERRADA FUERA DE SLA","CERRADA EN SLA"),IF($U819="","SIN CLASIFICAR",IF(N($X819)&gt;0,"VENCIDA",IF(TODAY()&gt;=$U819-1,"POR VENCER","EN PLAZO")))))</f>
        <v/>
      </c>
      <c r="Z819" s="41" t="n"/>
      <c r="AA819" s="41" t="n"/>
      <c r="AB819" s="41" t="n"/>
    </row>
    <row r="820">
      <c r="A820" s="39">
        <f>IF($C820="","","NOV-"&amp;TEXT(ROW()-3,"0000"))</f>
        <v/>
      </c>
      <c r="B820" s="40" t="n"/>
      <c r="C820" s="41" t="n"/>
      <c r="D820" s="42">
        <f>IF($C820="","",IFERROR(INDEX(DESPACHOS!$D$3:$D$3002,MATCH($C820,DESPACHOS!$B$3:$B$3002,0)),"SIN DESPACHO"))</f>
        <v/>
      </c>
      <c r="E820" s="42">
        <f>IF($C820="","",IFERROR(INDEX(DESPACHOS!$K$3:$K$3002,MATCH($C820,DESPACHOS!$B$3:$B$3002,0)),""))</f>
        <v/>
      </c>
      <c r="F820" s="42">
        <f>IF($C820="","",IFERROR(INDEX(DESPACHOS!$I$3:$I$3002,MATCH($C820,DESPACHOS!$B$3:$B$3002,0)),""))</f>
        <v/>
      </c>
      <c r="G820" s="42">
        <f>IF($C820="","",IFERROR(INDEX(DESPACHOS!$F$3:$F$3002,MATCH($C820,DESPACHOS!$B$3:$B$3002,0)),""))</f>
        <v/>
      </c>
      <c r="H820" s="42">
        <f>IF($C820="","",IFERROR(INDEX(DESPACHOS!$G$3:$G$3002,MATCH($C820,DESPACHOS!$B$3:$B$3002,0)),""))</f>
        <v/>
      </c>
      <c r="I820" s="39">
        <f>IF($C820="","",IFERROR(INDEX(DESPACHOS!$H$3:$H$3002,MATCH($C820,DESPACHOS!$B$3:$B$3002,0)),""))</f>
        <v/>
      </c>
      <c r="J820" s="43">
        <f>IF($C820="","",IFERROR(INDEX(DESPACHOS!$J$3:$J$3002,MATCH($C820,DESPACHOS!$B$3:$B$3002,0)),""))</f>
        <v/>
      </c>
      <c r="K820" s="39">
        <f>IF($C820="","",IF(COUNTIFS(DESPACHOS!$B$3:$B$3002,$C820)=0,"NO EXISTE",IF(COUNTIFS(DESPACHOS!$B$3:$B$3002,$C820)&gt;1,"DUPLICADO","OK")))</f>
        <v/>
      </c>
      <c r="L820" s="41" t="n"/>
      <c r="M820" s="41" t="n"/>
      <c r="N820" s="42">
        <f>IF($M820="","",IFERROR(INDEX(LISTAS!$F$3:$F$42,MATCH($M820,LISTAS!$E$3:$E$42,0)),"Por definir"))</f>
        <v/>
      </c>
      <c r="O820" s="41" t="n"/>
      <c r="P820" s="39">
        <f>IF($L820="","",IFERROR(INDEX(LISTAS!$B$3:$B$42,MATCH($L820,LISTAS!$A$3:$A$42,0)),"Media"))</f>
        <v/>
      </c>
      <c r="Q820" s="44" t="n"/>
      <c r="R820" s="45" t="n"/>
      <c r="S820" s="20">
        <f>IFERROR(IF(OR($R820="",$C820=""),"",$R820/INDEX(DESPACHOS!$M$3:$M$3002,MATCH($C820,DESPACHOS!$B$3:$B$3002,0))),"")</f>
        <v/>
      </c>
      <c r="T820" s="41" t="n"/>
      <c r="U820" s="43">
        <f>IF(OR($B820="",$L820=""),"",WORKDAY($B820,IFERROR(INDEX(LISTAS!$C$3:$C$42,MATCH($L820,LISTAS!$A$3:$A$42,0)),3)))</f>
        <v/>
      </c>
      <c r="V820" s="40" t="n"/>
      <c r="W820" s="19">
        <f>IF($B820="","",IF($V820&lt;&gt;"",$V820-$B820,TODAY()-$B820))</f>
        <v/>
      </c>
      <c r="X820" s="19">
        <f>IF(OR($B820="",$U820=""),"",IF($V820&lt;&gt;"",MAX(0,$V820-$U820),MAX(0,TODAY()-$U820)))</f>
        <v/>
      </c>
      <c r="Y820" s="39">
        <f>IF($C820="","",IF(IFERROR(INDEX(LISTAS!$I$3:$I$42,MATCH($T820,LISTAS!$H$3:$H$42,0)),"NO")="SÍ",IF(N($X820)&gt;0,"CERRADA FUERA DE SLA","CERRADA EN SLA"),IF($U820="","SIN CLASIFICAR",IF(N($X820)&gt;0,"VENCIDA",IF(TODAY()&gt;=$U820-1,"POR VENCER","EN PLAZO")))))</f>
        <v/>
      </c>
      <c r="Z820" s="41" t="n"/>
      <c r="AA820" s="41" t="n"/>
      <c r="AB820" s="41" t="n"/>
    </row>
    <row r="821">
      <c r="A821" s="39">
        <f>IF($C821="","","NOV-"&amp;TEXT(ROW()-3,"0000"))</f>
        <v/>
      </c>
      <c r="B821" s="40" t="n"/>
      <c r="C821" s="41" t="n"/>
      <c r="D821" s="42">
        <f>IF($C821="","",IFERROR(INDEX(DESPACHOS!$D$3:$D$3002,MATCH($C821,DESPACHOS!$B$3:$B$3002,0)),"SIN DESPACHO"))</f>
        <v/>
      </c>
      <c r="E821" s="42">
        <f>IF($C821="","",IFERROR(INDEX(DESPACHOS!$K$3:$K$3002,MATCH($C821,DESPACHOS!$B$3:$B$3002,0)),""))</f>
        <v/>
      </c>
      <c r="F821" s="42">
        <f>IF($C821="","",IFERROR(INDEX(DESPACHOS!$I$3:$I$3002,MATCH($C821,DESPACHOS!$B$3:$B$3002,0)),""))</f>
        <v/>
      </c>
      <c r="G821" s="42">
        <f>IF($C821="","",IFERROR(INDEX(DESPACHOS!$F$3:$F$3002,MATCH($C821,DESPACHOS!$B$3:$B$3002,0)),""))</f>
        <v/>
      </c>
      <c r="H821" s="42">
        <f>IF($C821="","",IFERROR(INDEX(DESPACHOS!$G$3:$G$3002,MATCH($C821,DESPACHOS!$B$3:$B$3002,0)),""))</f>
        <v/>
      </c>
      <c r="I821" s="39">
        <f>IF($C821="","",IFERROR(INDEX(DESPACHOS!$H$3:$H$3002,MATCH($C821,DESPACHOS!$B$3:$B$3002,0)),""))</f>
        <v/>
      </c>
      <c r="J821" s="43">
        <f>IF($C821="","",IFERROR(INDEX(DESPACHOS!$J$3:$J$3002,MATCH($C821,DESPACHOS!$B$3:$B$3002,0)),""))</f>
        <v/>
      </c>
      <c r="K821" s="39">
        <f>IF($C821="","",IF(COUNTIFS(DESPACHOS!$B$3:$B$3002,$C821)=0,"NO EXISTE",IF(COUNTIFS(DESPACHOS!$B$3:$B$3002,$C821)&gt;1,"DUPLICADO","OK")))</f>
        <v/>
      </c>
      <c r="L821" s="41" t="n"/>
      <c r="M821" s="41" t="n"/>
      <c r="N821" s="42">
        <f>IF($M821="","",IFERROR(INDEX(LISTAS!$F$3:$F$42,MATCH($M821,LISTAS!$E$3:$E$42,0)),"Por definir"))</f>
        <v/>
      </c>
      <c r="O821" s="41" t="n"/>
      <c r="P821" s="39">
        <f>IF($L821="","",IFERROR(INDEX(LISTAS!$B$3:$B$42,MATCH($L821,LISTAS!$A$3:$A$42,0)),"Media"))</f>
        <v/>
      </c>
      <c r="Q821" s="44" t="n"/>
      <c r="R821" s="45" t="n"/>
      <c r="S821" s="20">
        <f>IFERROR(IF(OR($R821="",$C821=""),"",$R821/INDEX(DESPACHOS!$M$3:$M$3002,MATCH($C821,DESPACHOS!$B$3:$B$3002,0))),"")</f>
        <v/>
      </c>
      <c r="T821" s="41" t="n"/>
      <c r="U821" s="43">
        <f>IF(OR($B821="",$L821=""),"",WORKDAY($B821,IFERROR(INDEX(LISTAS!$C$3:$C$42,MATCH($L821,LISTAS!$A$3:$A$42,0)),3)))</f>
        <v/>
      </c>
      <c r="V821" s="40" t="n"/>
      <c r="W821" s="19">
        <f>IF($B821="","",IF($V821&lt;&gt;"",$V821-$B821,TODAY()-$B821))</f>
        <v/>
      </c>
      <c r="X821" s="19">
        <f>IF(OR($B821="",$U821=""),"",IF($V821&lt;&gt;"",MAX(0,$V821-$U821),MAX(0,TODAY()-$U821)))</f>
        <v/>
      </c>
      <c r="Y821" s="39">
        <f>IF($C821="","",IF(IFERROR(INDEX(LISTAS!$I$3:$I$42,MATCH($T821,LISTAS!$H$3:$H$42,0)),"NO")="SÍ",IF(N($X821)&gt;0,"CERRADA FUERA DE SLA","CERRADA EN SLA"),IF($U821="","SIN CLASIFICAR",IF(N($X821)&gt;0,"VENCIDA",IF(TODAY()&gt;=$U821-1,"POR VENCER","EN PLAZO")))))</f>
        <v/>
      </c>
      <c r="Z821" s="41" t="n"/>
      <c r="AA821" s="41" t="n"/>
      <c r="AB821" s="41" t="n"/>
    </row>
    <row r="822">
      <c r="A822" s="39">
        <f>IF($C822="","","NOV-"&amp;TEXT(ROW()-3,"0000"))</f>
        <v/>
      </c>
      <c r="B822" s="40" t="n"/>
      <c r="C822" s="41" t="n"/>
      <c r="D822" s="42">
        <f>IF($C822="","",IFERROR(INDEX(DESPACHOS!$D$3:$D$3002,MATCH($C822,DESPACHOS!$B$3:$B$3002,0)),"SIN DESPACHO"))</f>
        <v/>
      </c>
      <c r="E822" s="42">
        <f>IF($C822="","",IFERROR(INDEX(DESPACHOS!$K$3:$K$3002,MATCH($C822,DESPACHOS!$B$3:$B$3002,0)),""))</f>
        <v/>
      </c>
      <c r="F822" s="42">
        <f>IF($C822="","",IFERROR(INDEX(DESPACHOS!$I$3:$I$3002,MATCH($C822,DESPACHOS!$B$3:$B$3002,0)),""))</f>
        <v/>
      </c>
      <c r="G822" s="42">
        <f>IF($C822="","",IFERROR(INDEX(DESPACHOS!$F$3:$F$3002,MATCH($C822,DESPACHOS!$B$3:$B$3002,0)),""))</f>
        <v/>
      </c>
      <c r="H822" s="42">
        <f>IF($C822="","",IFERROR(INDEX(DESPACHOS!$G$3:$G$3002,MATCH($C822,DESPACHOS!$B$3:$B$3002,0)),""))</f>
        <v/>
      </c>
      <c r="I822" s="39">
        <f>IF($C822="","",IFERROR(INDEX(DESPACHOS!$H$3:$H$3002,MATCH($C822,DESPACHOS!$B$3:$B$3002,0)),""))</f>
        <v/>
      </c>
      <c r="J822" s="43">
        <f>IF($C822="","",IFERROR(INDEX(DESPACHOS!$J$3:$J$3002,MATCH($C822,DESPACHOS!$B$3:$B$3002,0)),""))</f>
        <v/>
      </c>
      <c r="K822" s="39">
        <f>IF($C822="","",IF(COUNTIFS(DESPACHOS!$B$3:$B$3002,$C822)=0,"NO EXISTE",IF(COUNTIFS(DESPACHOS!$B$3:$B$3002,$C822)&gt;1,"DUPLICADO","OK")))</f>
        <v/>
      </c>
      <c r="L822" s="41" t="n"/>
      <c r="M822" s="41" t="n"/>
      <c r="N822" s="42">
        <f>IF($M822="","",IFERROR(INDEX(LISTAS!$F$3:$F$42,MATCH($M822,LISTAS!$E$3:$E$42,0)),"Por definir"))</f>
        <v/>
      </c>
      <c r="O822" s="41" t="n"/>
      <c r="P822" s="39">
        <f>IF($L822="","",IFERROR(INDEX(LISTAS!$B$3:$B$42,MATCH($L822,LISTAS!$A$3:$A$42,0)),"Media"))</f>
        <v/>
      </c>
      <c r="Q822" s="44" t="n"/>
      <c r="R822" s="45" t="n"/>
      <c r="S822" s="20">
        <f>IFERROR(IF(OR($R822="",$C822=""),"",$R822/INDEX(DESPACHOS!$M$3:$M$3002,MATCH($C822,DESPACHOS!$B$3:$B$3002,0))),"")</f>
        <v/>
      </c>
      <c r="T822" s="41" t="n"/>
      <c r="U822" s="43">
        <f>IF(OR($B822="",$L822=""),"",WORKDAY($B822,IFERROR(INDEX(LISTAS!$C$3:$C$42,MATCH($L822,LISTAS!$A$3:$A$42,0)),3)))</f>
        <v/>
      </c>
      <c r="V822" s="40" t="n"/>
      <c r="W822" s="19">
        <f>IF($B822="","",IF($V822&lt;&gt;"",$V822-$B822,TODAY()-$B822))</f>
        <v/>
      </c>
      <c r="X822" s="19">
        <f>IF(OR($B822="",$U822=""),"",IF($V822&lt;&gt;"",MAX(0,$V822-$U822),MAX(0,TODAY()-$U822)))</f>
        <v/>
      </c>
      <c r="Y822" s="39">
        <f>IF($C822="","",IF(IFERROR(INDEX(LISTAS!$I$3:$I$42,MATCH($T822,LISTAS!$H$3:$H$42,0)),"NO")="SÍ",IF(N($X822)&gt;0,"CERRADA FUERA DE SLA","CERRADA EN SLA"),IF($U822="","SIN CLASIFICAR",IF(N($X822)&gt;0,"VENCIDA",IF(TODAY()&gt;=$U822-1,"POR VENCER","EN PLAZO")))))</f>
        <v/>
      </c>
      <c r="Z822" s="41" t="n"/>
      <c r="AA822" s="41" t="n"/>
      <c r="AB822" s="41" t="n"/>
    </row>
    <row r="823">
      <c r="A823" s="39">
        <f>IF($C823="","","NOV-"&amp;TEXT(ROW()-3,"0000"))</f>
        <v/>
      </c>
      <c r="B823" s="40" t="n"/>
      <c r="C823" s="41" t="n"/>
      <c r="D823" s="42">
        <f>IF($C823="","",IFERROR(INDEX(DESPACHOS!$D$3:$D$3002,MATCH($C823,DESPACHOS!$B$3:$B$3002,0)),"SIN DESPACHO"))</f>
        <v/>
      </c>
      <c r="E823" s="42">
        <f>IF($C823="","",IFERROR(INDEX(DESPACHOS!$K$3:$K$3002,MATCH($C823,DESPACHOS!$B$3:$B$3002,0)),""))</f>
        <v/>
      </c>
      <c r="F823" s="42">
        <f>IF($C823="","",IFERROR(INDEX(DESPACHOS!$I$3:$I$3002,MATCH($C823,DESPACHOS!$B$3:$B$3002,0)),""))</f>
        <v/>
      </c>
      <c r="G823" s="42">
        <f>IF($C823="","",IFERROR(INDEX(DESPACHOS!$F$3:$F$3002,MATCH($C823,DESPACHOS!$B$3:$B$3002,0)),""))</f>
        <v/>
      </c>
      <c r="H823" s="42">
        <f>IF($C823="","",IFERROR(INDEX(DESPACHOS!$G$3:$G$3002,MATCH($C823,DESPACHOS!$B$3:$B$3002,0)),""))</f>
        <v/>
      </c>
      <c r="I823" s="39">
        <f>IF($C823="","",IFERROR(INDEX(DESPACHOS!$H$3:$H$3002,MATCH($C823,DESPACHOS!$B$3:$B$3002,0)),""))</f>
        <v/>
      </c>
      <c r="J823" s="43">
        <f>IF($C823="","",IFERROR(INDEX(DESPACHOS!$J$3:$J$3002,MATCH($C823,DESPACHOS!$B$3:$B$3002,0)),""))</f>
        <v/>
      </c>
      <c r="K823" s="39">
        <f>IF($C823="","",IF(COUNTIFS(DESPACHOS!$B$3:$B$3002,$C823)=0,"NO EXISTE",IF(COUNTIFS(DESPACHOS!$B$3:$B$3002,$C823)&gt;1,"DUPLICADO","OK")))</f>
        <v/>
      </c>
      <c r="L823" s="41" t="n"/>
      <c r="M823" s="41" t="n"/>
      <c r="N823" s="42">
        <f>IF($M823="","",IFERROR(INDEX(LISTAS!$F$3:$F$42,MATCH($M823,LISTAS!$E$3:$E$42,0)),"Por definir"))</f>
        <v/>
      </c>
      <c r="O823" s="41" t="n"/>
      <c r="P823" s="39">
        <f>IF($L823="","",IFERROR(INDEX(LISTAS!$B$3:$B$42,MATCH($L823,LISTAS!$A$3:$A$42,0)),"Media"))</f>
        <v/>
      </c>
      <c r="Q823" s="44" t="n"/>
      <c r="R823" s="45" t="n"/>
      <c r="S823" s="20">
        <f>IFERROR(IF(OR($R823="",$C823=""),"",$R823/INDEX(DESPACHOS!$M$3:$M$3002,MATCH($C823,DESPACHOS!$B$3:$B$3002,0))),"")</f>
        <v/>
      </c>
      <c r="T823" s="41" t="n"/>
      <c r="U823" s="43">
        <f>IF(OR($B823="",$L823=""),"",WORKDAY($B823,IFERROR(INDEX(LISTAS!$C$3:$C$42,MATCH($L823,LISTAS!$A$3:$A$42,0)),3)))</f>
        <v/>
      </c>
      <c r="V823" s="40" t="n"/>
      <c r="W823" s="19">
        <f>IF($B823="","",IF($V823&lt;&gt;"",$V823-$B823,TODAY()-$B823))</f>
        <v/>
      </c>
      <c r="X823" s="19">
        <f>IF(OR($B823="",$U823=""),"",IF($V823&lt;&gt;"",MAX(0,$V823-$U823),MAX(0,TODAY()-$U823)))</f>
        <v/>
      </c>
      <c r="Y823" s="39">
        <f>IF($C823="","",IF(IFERROR(INDEX(LISTAS!$I$3:$I$42,MATCH($T823,LISTAS!$H$3:$H$42,0)),"NO")="SÍ",IF(N($X823)&gt;0,"CERRADA FUERA DE SLA","CERRADA EN SLA"),IF($U823="","SIN CLASIFICAR",IF(N($X823)&gt;0,"VENCIDA",IF(TODAY()&gt;=$U823-1,"POR VENCER","EN PLAZO")))))</f>
        <v/>
      </c>
      <c r="Z823" s="41" t="n"/>
      <c r="AA823" s="41" t="n"/>
      <c r="AB823" s="41" t="n"/>
    </row>
    <row r="824">
      <c r="A824" s="39">
        <f>IF($C824="","","NOV-"&amp;TEXT(ROW()-3,"0000"))</f>
        <v/>
      </c>
      <c r="B824" s="40" t="n"/>
      <c r="C824" s="41" t="n"/>
      <c r="D824" s="42">
        <f>IF($C824="","",IFERROR(INDEX(DESPACHOS!$D$3:$D$3002,MATCH($C824,DESPACHOS!$B$3:$B$3002,0)),"SIN DESPACHO"))</f>
        <v/>
      </c>
      <c r="E824" s="42">
        <f>IF($C824="","",IFERROR(INDEX(DESPACHOS!$K$3:$K$3002,MATCH($C824,DESPACHOS!$B$3:$B$3002,0)),""))</f>
        <v/>
      </c>
      <c r="F824" s="42">
        <f>IF($C824="","",IFERROR(INDEX(DESPACHOS!$I$3:$I$3002,MATCH($C824,DESPACHOS!$B$3:$B$3002,0)),""))</f>
        <v/>
      </c>
      <c r="G824" s="42">
        <f>IF($C824="","",IFERROR(INDEX(DESPACHOS!$F$3:$F$3002,MATCH($C824,DESPACHOS!$B$3:$B$3002,0)),""))</f>
        <v/>
      </c>
      <c r="H824" s="42">
        <f>IF($C824="","",IFERROR(INDEX(DESPACHOS!$G$3:$G$3002,MATCH($C824,DESPACHOS!$B$3:$B$3002,0)),""))</f>
        <v/>
      </c>
      <c r="I824" s="39">
        <f>IF($C824="","",IFERROR(INDEX(DESPACHOS!$H$3:$H$3002,MATCH($C824,DESPACHOS!$B$3:$B$3002,0)),""))</f>
        <v/>
      </c>
      <c r="J824" s="43">
        <f>IF($C824="","",IFERROR(INDEX(DESPACHOS!$J$3:$J$3002,MATCH($C824,DESPACHOS!$B$3:$B$3002,0)),""))</f>
        <v/>
      </c>
      <c r="K824" s="39">
        <f>IF($C824="","",IF(COUNTIFS(DESPACHOS!$B$3:$B$3002,$C824)=0,"NO EXISTE",IF(COUNTIFS(DESPACHOS!$B$3:$B$3002,$C824)&gt;1,"DUPLICADO","OK")))</f>
        <v/>
      </c>
      <c r="L824" s="41" t="n"/>
      <c r="M824" s="41" t="n"/>
      <c r="N824" s="42">
        <f>IF($M824="","",IFERROR(INDEX(LISTAS!$F$3:$F$42,MATCH($M824,LISTAS!$E$3:$E$42,0)),"Por definir"))</f>
        <v/>
      </c>
      <c r="O824" s="41" t="n"/>
      <c r="P824" s="39">
        <f>IF($L824="","",IFERROR(INDEX(LISTAS!$B$3:$B$42,MATCH($L824,LISTAS!$A$3:$A$42,0)),"Media"))</f>
        <v/>
      </c>
      <c r="Q824" s="44" t="n"/>
      <c r="R824" s="45" t="n"/>
      <c r="S824" s="20">
        <f>IFERROR(IF(OR($R824="",$C824=""),"",$R824/INDEX(DESPACHOS!$M$3:$M$3002,MATCH($C824,DESPACHOS!$B$3:$B$3002,0))),"")</f>
        <v/>
      </c>
      <c r="T824" s="41" t="n"/>
      <c r="U824" s="43">
        <f>IF(OR($B824="",$L824=""),"",WORKDAY($B824,IFERROR(INDEX(LISTAS!$C$3:$C$42,MATCH($L824,LISTAS!$A$3:$A$42,0)),3)))</f>
        <v/>
      </c>
      <c r="V824" s="40" t="n"/>
      <c r="W824" s="19">
        <f>IF($B824="","",IF($V824&lt;&gt;"",$V824-$B824,TODAY()-$B824))</f>
        <v/>
      </c>
      <c r="X824" s="19">
        <f>IF(OR($B824="",$U824=""),"",IF($V824&lt;&gt;"",MAX(0,$V824-$U824),MAX(0,TODAY()-$U824)))</f>
        <v/>
      </c>
      <c r="Y824" s="39">
        <f>IF($C824="","",IF(IFERROR(INDEX(LISTAS!$I$3:$I$42,MATCH($T824,LISTAS!$H$3:$H$42,0)),"NO")="SÍ",IF(N($X824)&gt;0,"CERRADA FUERA DE SLA","CERRADA EN SLA"),IF($U824="","SIN CLASIFICAR",IF(N($X824)&gt;0,"VENCIDA",IF(TODAY()&gt;=$U824-1,"POR VENCER","EN PLAZO")))))</f>
        <v/>
      </c>
      <c r="Z824" s="41" t="n"/>
      <c r="AA824" s="41" t="n"/>
      <c r="AB824" s="41" t="n"/>
    </row>
    <row r="825">
      <c r="A825" s="39">
        <f>IF($C825="","","NOV-"&amp;TEXT(ROW()-3,"0000"))</f>
        <v/>
      </c>
      <c r="B825" s="40" t="n"/>
      <c r="C825" s="41" t="n"/>
      <c r="D825" s="42">
        <f>IF($C825="","",IFERROR(INDEX(DESPACHOS!$D$3:$D$3002,MATCH($C825,DESPACHOS!$B$3:$B$3002,0)),"SIN DESPACHO"))</f>
        <v/>
      </c>
      <c r="E825" s="42">
        <f>IF($C825="","",IFERROR(INDEX(DESPACHOS!$K$3:$K$3002,MATCH($C825,DESPACHOS!$B$3:$B$3002,0)),""))</f>
        <v/>
      </c>
      <c r="F825" s="42">
        <f>IF($C825="","",IFERROR(INDEX(DESPACHOS!$I$3:$I$3002,MATCH($C825,DESPACHOS!$B$3:$B$3002,0)),""))</f>
        <v/>
      </c>
      <c r="G825" s="42">
        <f>IF($C825="","",IFERROR(INDEX(DESPACHOS!$F$3:$F$3002,MATCH($C825,DESPACHOS!$B$3:$B$3002,0)),""))</f>
        <v/>
      </c>
      <c r="H825" s="42">
        <f>IF($C825="","",IFERROR(INDEX(DESPACHOS!$G$3:$G$3002,MATCH($C825,DESPACHOS!$B$3:$B$3002,0)),""))</f>
        <v/>
      </c>
      <c r="I825" s="39">
        <f>IF($C825="","",IFERROR(INDEX(DESPACHOS!$H$3:$H$3002,MATCH($C825,DESPACHOS!$B$3:$B$3002,0)),""))</f>
        <v/>
      </c>
      <c r="J825" s="43">
        <f>IF($C825="","",IFERROR(INDEX(DESPACHOS!$J$3:$J$3002,MATCH($C825,DESPACHOS!$B$3:$B$3002,0)),""))</f>
        <v/>
      </c>
      <c r="K825" s="39">
        <f>IF($C825="","",IF(COUNTIFS(DESPACHOS!$B$3:$B$3002,$C825)=0,"NO EXISTE",IF(COUNTIFS(DESPACHOS!$B$3:$B$3002,$C825)&gt;1,"DUPLICADO","OK")))</f>
        <v/>
      </c>
      <c r="L825" s="41" t="n"/>
      <c r="M825" s="41" t="n"/>
      <c r="N825" s="42">
        <f>IF($M825="","",IFERROR(INDEX(LISTAS!$F$3:$F$42,MATCH($M825,LISTAS!$E$3:$E$42,0)),"Por definir"))</f>
        <v/>
      </c>
      <c r="O825" s="41" t="n"/>
      <c r="P825" s="39">
        <f>IF($L825="","",IFERROR(INDEX(LISTAS!$B$3:$B$42,MATCH($L825,LISTAS!$A$3:$A$42,0)),"Media"))</f>
        <v/>
      </c>
      <c r="Q825" s="44" t="n"/>
      <c r="R825" s="45" t="n"/>
      <c r="S825" s="20">
        <f>IFERROR(IF(OR($R825="",$C825=""),"",$R825/INDEX(DESPACHOS!$M$3:$M$3002,MATCH($C825,DESPACHOS!$B$3:$B$3002,0))),"")</f>
        <v/>
      </c>
      <c r="T825" s="41" t="n"/>
      <c r="U825" s="43">
        <f>IF(OR($B825="",$L825=""),"",WORKDAY($B825,IFERROR(INDEX(LISTAS!$C$3:$C$42,MATCH($L825,LISTAS!$A$3:$A$42,0)),3)))</f>
        <v/>
      </c>
      <c r="V825" s="40" t="n"/>
      <c r="W825" s="19">
        <f>IF($B825="","",IF($V825&lt;&gt;"",$V825-$B825,TODAY()-$B825))</f>
        <v/>
      </c>
      <c r="X825" s="19">
        <f>IF(OR($B825="",$U825=""),"",IF($V825&lt;&gt;"",MAX(0,$V825-$U825),MAX(0,TODAY()-$U825)))</f>
        <v/>
      </c>
      <c r="Y825" s="39">
        <f>IF($C825="","",IF(IFERROR(INDEX(LISTAS!$I$3:$I$42,MATCH($T825,LISTAS!$H$3:$H$42,0)),"NO")="SÍ",IF(N($X825)&gt;0,"CERRADA FUERA DE SLA","CERRADA EN SLA"),IF($U825="","SIN CLASIFICAR",IF(N($X825)&gt;0,"VENCIDA",IF(TODAY()&gt;=$U825-1,"POR VENCER","EN PLAZO")))))</f>
        <v/>
      </c>
      <c r="Z825" s="41" t="n"/>
      <c r="AA825" s="41" t="n"/>
      <c r="AB825" s="41" t="n"/>
    </row>
    <row r="826">
      <c r="A826" s="39">
        <f>IF($C826="","","NOV-"&amp;TEXT(ROW()-3,"0000"))</f>
        <v/>
      </c>
      <c r="B826" s="40" t="n"/>
      <c r="C826" s="41" t="n"/>
      <c r="D826" s="42">
        <f>IF($C826="","",IFERROR(INDEX(DESPACHOS!$D$3:$D$3002,MATCH($C826,DESPACHOS!$B$3:$B$3002,0)),"SIN DESPACHO"))</f>
        <v/>
      </c>
      <c r="E826" s="42">
        <f>IF($C826="","",IFERROR(INDEX(DESPACHOS!$K$3:$K$3002,MATCH($C826,DESPACHOS!$B$3:$B$3002,0)),""))</f>
        <v/>
      </c>
      <c r="F826" s="42">
        <f>IF($C826="","",IFERROR(INDEX(DESPACHOS!$I$3:$I$3002,MATCH($C826,DESPACHOS!$B$3:$B$3002,0)),""))</f>
        <v/>
      </c>
      <c r="G826" s="42">
        <f>IF($C826="","",IFERROR(INDEX(DESPACHOS!$F$3:$F$3002,MATCH($C826,DESPACHOS!$B$3:$B$3002,0)),""))</f>
        <v/>
      </c>
      <c r="H826" s="42">
        <f>IF($C826="","",IFERROR(INDEX(DESPACHOS!$G$3:$G$3002,MATCH($C826,DESPACHOS!$B$3:$B$3002,0)),""))</f>
        <v/>
      </c>
      <c r="I826" s="39">
        <f>IF($C826="","",IFERROR(INDEX(DESPACHOS!$H$3:$H$3002,MATCH($C826,DESPACHOS!$B$3:$B$3002,0)),""))</f>
        <v/>
      </c>
      <c r="J826" s="43">
        <f>IF($C826="","",IFERROR(INDEX(DESPACHOS!$J$3:$J$3002,MATCH($C826,DESPACHOS!$B$3:$B$3002,0)),""))</f>
        <v/>
      </c>
      <c r="K826" s="39">
        <f>IF($C826="","",IF(COUNTIFS(DESPACHOS!$B$3:$B$3002,$C826)=0,"NO EXISTE",IF(COUNTIFS(DESPACHOS!$B$3:$B$3002,$C826)&gt;1,"DUPLICADO","OK")))</f>
        <v/>
      </c>
      <c r="L826" s="41" t="n"/>
      <c r="M826" s="41" t="n"/>
      <c r="N826" s="42">
        <f>IF($M826="","",IFERROR(INDEX(LISTAS!$F$3:$F$42,MATCH($M826,LISTAS!$E$3:$E$42,0)),"Por definir"))</f>
        <v/>
      </c>
      <c r="O826" s="41" t="n"/>
      <c r="P826" s="39">
        <f>IF($L826="","",IFERROR(INDEX(LISTAS!$B$3:$B$42,MATCH($L826,LISTAS!$A$3:$A$42,0)),"Media"))</f>
        <v/>
      </c>
      <c r="Q826" s="44" t="n"/>
      <c r="R826" s="45" t="n"/>
      <c r="S826" s="20">
        <f>IFERROR(IF(OR($R826="",$C826=""),"",$R826/INDEX(DESPACHOS!$M$3:$M$3002,MATCH($C826,DESPACHOS!$B$3:$B$3002,0))),"")</f>
        <v/>
      </c>
      <c r="T826" s="41" t="n"/>
      <c r="U826" s="43">
        <f>IF(OR($B826="",$L826=""),"",WORKDAY($B826,IFERROR(INDEX(LISTAS!$C$3:$C$42,MATCH($L826,LISTAS!$A$3:$A$42,0)),3)))</f>
        <v/>
      </c>
      <c r="V826" s="40" t="n"/>
      <c r="W826" s="19">
        <f>IF($B826="","",IF($V826&lt;&gt;"",$V826-$B826,TODAY()-$B826))</f>
        <v/>
      </c>
      <c r="X826" s="19">
        <f>IF(OR($B826="",$U826=""),"",IF($V826&lt;&gt;"",MAX(0,$V826-$U826),MAX(0,TODAY()-$U826)))</f>
        <v/>
      </c>
      <c r="Y826" s="39">
        <f>IF($C826="","",IF(IFERROR(INDEX(LISTAS!$I$3:$I$42,MATCH($T826,LISTAS!$H$3:$H$42,0)),"NO")="SÍ",IF(N($X826)&gt;0,"CERRADA FUERA DE SLA","CERRADA EN SLA"),IF($U826="","SIN CLASIFICAR",IF(N($X826)&gt;0,"VENCIDA",IF(TODAY()&gt;=$U826-1,"POR VENCER","EN PLAZO")))))</f>
        <v/>
      </c>
      <c r="Z826" s="41" t="n"/>
      <c r="AA826" s="41" t="n"/>
      <c r="AB826" s="41" t="n"/>
    </row>
    <row r="827">
      <c r="A827" s="39">
        <f>IF($C827="","","NOV-"&amp;TEXT(ROW()-3,"0000"))</f>
        <v/>
      </c>
      <c r="B827" s="40" t="n"/>
      <c r="C827" s="41" t="n"/>
      <c r="D827" s="42">
        <f>IF($C827="","",IFERROR(INDEX(DESPACHOS!$D$3:$D$3002,MATCH($C827,DESPACHOS!$B$3:$B$3002,0)),"SIN DESPACHO"))</f>
        <v/>
      </c>
      <c r="E827" s="42">
        <f>IF($C827="","",IFERROR(INDEX(DESPACHOS!$K$3:$K$3002,MATCH($C827,DESPACHOS!$B$3:$B$3002,0)),""))</f>
        <v/>
      </c>
      <c r="F827" s="42">
        <f>IF($C827="","",IFERROR(INDEX(DESPACHOS!$I$3:$I$3002,MATCH($C827,DESPACHOS!$B$3:$B$3002,0)),""))</f>
        <v/>
      </c>
      <c r="G827" s="42">
        <f>IF($C827="","",IFERROR(INDEX(DESPACHOS!$F$3:$F$3002,MATCH($C827,DESPACHOS!$B$3:$B$3002,0)),""))</f>
        <v/>
      </c>
      <c r="H827" s="42">
        <f>IF($C827="","",IFERROR(INDEX(DESPACHOS!$G$3:$G$3002,MATCH($C827,DESPACHOS!$B$3:$B$3002,0)),""))</f>
        <v/>
      </c>
      <c r="I827" s="39">
        <f>IF($C827="","",IFERROR(INDEX(DESPACHOS!$H$3:$H$3002,MATCH($C827,DESPACHOS!$B$3:$B$3002,0)),""))</f>
        <v/>
      </c>
      <c r="J827" s="43">
        <f>IF($C827="","",IFERROR(INDEX(DESPACHOS!$J$3:$J$3002,MATCH($C827,DESPACHOS!$B$3:$B$3002,0)),""))</f>
        <v/>
      </c>
      <c r="K827" s="39">
        <f>IF($C827="","",IF(COUNTIFS(DESPACHOS!$B$3:$B$3002,$C827)=0,"NO EXISTE",IF(COUNTIFS(DESPACHOS!$B$3:$B$3002,$C827)&gt;1,"DUPLICADO","OK")))</f>
        <v/>
      </c>
      <c r="L827" s="41" t="n"/>
      <c r="M827" s="41" t="n"/>
      <c r="N827" s="42">
        <f>IF($M827="","",IFERROR(INDEX(LISTAS!$F$3:$F$42,MATCH($M827,LISTAS!$E$3:$E$42,0)),"Por definir"))</f>
        <v/>
      </c>
      <c r="O827" s="41" t="n"/>
      <c r="P827" s="39">
        <f>IF($L827="","",IFERROR(INDEX(LISTAS!$B$3:$B$42,MATCH($L827,LISTAS!$A$3:$A$42,0)),"Media"))</f>
        <v/>
      </c>
      <c r="Q827" s="44" t="n"/>
      <c r="R827" s="45" t="n"/>
      <c r="S827" s="20">
        <f>IFERROR(IF(OR($R827="",$C827=""),"",$R827/INDEX(DESPACHOS!$M$3:$M$3002,MATCH($C827,DESPACHOS!$B$3:$B$3002,0))),"")</f>
        <v/>
      </c>
      <c r="T827" s="41" t="n"/>
      <c r="U827" s="43">
        <f>IF(OR($B827="",$L827=""),"",WORKDAY($B827,IFERROR(INDEX(LISTAS!$C$3:$C$42,MATCH($L827,LISTAS!$A$3:$A$42,0)),3)))</f>
        <v/>
      </c>
      <c r="V827" s="40" t="n"/>
      <c r="W827" s="19">
        <f>IF($B827="","",IF($V827&lt;&gt;"",$V827-$B827,TODAY()-$B827))</f>
        <v/>
      </c>
      <c r="X827" s="19">
        <f>IF(OR($B827="",$U827=""),"",IF($V827&lt;&gt;"",MAX(0,$V827-$U827),MAX(0,TODAY()-$U827)))</f>
        <v/>
      </c>
      <c r="Y827" s="39">
        <f>IF($C827="","",IF(IFERROR(INDEX(LISTAS!$I$3:$I$42,MATCH($T827,LISTAS!$H$3:$H$42,0)),"NO")="SÍ",IF(N($X827)&gt;0,"CERRADA FUERA DE SLA","CERRADA EN SLA"),IF($U827="","SIN CLASIFICAR",IF(N($X827)&gt;0,"VENCIDA",IF(TODAY()&gt;=$U827-1,"POR VENCER","EN PLAZO")))))</f>
        <v/>
      </c>
      <c r="Z827" s="41" t="n"/>
      <c r="AA827" s="41" t="n"/>
      <c r="AB827" s="41" t="n"/>
    </row>
    <row r="828">
      <c r="A828" s="39">
        <f>IF($C828="","","NOV-"&amp;TEXT(ROW()-3,"0000"))</f>
        <v/>
      </c>
      <c r="B828" s="40" t="n"/>
      <c r="C828" s="41" t="n"/>
      <c r="D828" s="42">
        <f>IF($C828="","",IFERROR(INDEX(DESPACHOS!$D$3:$D$3002,MATCH($C828,DESPACHOS!$B$3:$B$3002,0)),"SIN DESPACHO"))</f>
        <v/>
      </c>
      <c r="E828" s="42">
        <f>IF($C828="","",IFERROR(INDEX(DESPACHOS!$K$3:$K$3002,MATCH($C828,DESPACHOS!$B$3:$B$3002,0)),""))</f>
        <v/>
      </c>
      <c r="F828" s="42">
        <f>IF($C828="","",IFERROR(INDEX(DESPACHOS!$I$3:$I$3002,MATCH($C828,DESPACHOS!$B$3:$B$3002,0)),""))</f>
        <v/>
      </c>
      <c r="G828" s="42">
        <f>IF($C828="","",IFERROR(INDEX(DESPACHOS!$F$3:$F$3002,MATCH($C828,DESPACHOS!$B$3:$B$3002,0)),""))</f>
        <v/>
      </c>
      <c r="H828" s="42">
        <f>IF($C828="","",IFERROR(INDEX(DESPACHOS!$G$3:$G$3002,MATCH($C828,DESPACHOS!$B$3:$B$3002,0)),""))</f>
        <v/>
      </c>
      <c r="I828" s="39">
        <f>IF($C828="","",IFERROR(INDEX(DESPACHOS!$H$3:$H$3002,MATCH($C828,DESPACHOS!$B$3:$B$3002,0)),""))</f>
        <v/>
      </c>
      <c r="J828" s="43">
        <f>IF($C828="","",IFERROR(INDEX(DESPACHOS!$J$3:$J$3002,MATCH($C828,DESPACHOS!$B$3:$B$3002,0)),""))</f>
        <v/>
      </c>
      <c r="K828" s="39">
        <f>IF($C828="","",IF(COUNTIFS(DESPACHOS!$B$3:$B$3002,$C828)=0,"NO EXISTE",IF(COUNTIFS(DESPACHOS!$B$3:$B$3002,$C828)&gt;1,"DUPLICADO","OK")))</f>
        <v/>
      </c>
      <c r="L828" s="41" t="n"/>
      <c r="M828" s="41" t="n"/>
      <c r="N828" s="42">
        <f>IF($M828="","",IFERROR(INDEX(LISTAS!$F$3:$F$42,MATCH($M828,LISTAS!$E$3:$E$42,0)),"Por definir"))</f>
        <v/>
      </c>
      <c r="O828" s="41" t="n"/>
      <c r="P828" s="39">
        <f>IF($L828="","",IFERROR(INDEX(LISTAS!$B$3:$B$42,MATCH($L828,LISTAS!$A$3:$A$42,0)),"Media"))</f>
        <v/>
      </c>
      <c r="Q828" s="44" t="n"/>
      <c r="R828" s="45" t="n"/>
      <c r="S828" s="20">
        <f>IFERROR(IF(OR($R828="",$C828=""),"",$R828/INDEX(DESPACHOS!$M$3:$M$3002,MATCH($C828,DESPACHOS!$B$3:$B$3002,0))),"")</f>
        <v/>
      </c>
      <c r="T828" s="41" t="n"/>
      <c r="U828" s="43">
        <f>IF(OR($B828="",$L828=""),"",WORKDAY($B828,IFERROR(INDEX(LISTAS!$C$3:$C$42,MATCH($L828,LISTAS!$A$3:$A$42,0)),3)))</f>
        <v/>
      </c>
      <c r="V828" s="40" t="n"/>
      <c r="W828" s="19">
        <f>IF($B828="","",IF($V828&lt;&gt;"",$V828-$B828,TODAY()-$B828))</f>
        <v/>
      </c>
      <c r="X828" s="19">
        <f>IF(OR($B828="",$U828=""),"",IF($V828&lt;&gt;"",MAX(0,$V828-$U828),MAX(0,TODAY()-$U828)))</f>
        <v/>
      </c>
      <c r="Y828" s="39">
        <f>IF($C828="","",IF(IFERROR(INDEX(LISTAS!$I$3:$I$42,MATCH($T828,LISTAS!$H$3:$H$42,0)),"NO")="SÍ",IF(N($X828)&gt;0,"CERRADA FUERA DE SLA","CERRADA EN SLA"),IF($U828="","SIN CLASIFICAR",IF(N($X828)&gt;0,"VENCIDA",IF(TODAY()&gt;=$U828-1,"POR VENCER","EN PLAZO")))))</f>
        <v/>
      </c>
      <c r="Z828" s="41" t="n"/>
      <c r="AA828" s="41" t="n"/>
      <c r="AB828" s="41" t="n"/>
    </row>
    <row r="829">
      <c r="A829" s="39">
        <f>IF($C829="","","NOV-"&amp;TEXT(ROW()-3,"0000"))</f>
        <v/>
      </c>
      <c r="B829" s="40" t="n"/>
      <c r="C829" s="41" t="n"/>
      <c r="D829" s="42">
        <f>IF($C829="","",IFERROR(INDEX(DESPACHOS!$D$3:$D$3002,MATCH($C829,DESPACHOS!$B$3:$B$3002,0)),"SIN DESPACHO"))</f>
        <v/>
      </c>
      <c r="E829" s="42">
        <f>IF($C829="","",IFERROR(INDEX(DESPACHOS!$K$3:$K$3002,MATCH($C829,DESPACHOS!$B$3:$B$3002,0)),""))</f>
        <v/>
      </c>
      <c r="F829" s="42">
        <f>IF($C829="","",IFERROR(INDEX(DESPACHOS!$I$3:$I$3002,MATCH($C829,DESPACHOS!$B$3:$B$3002,0)),""))</f>
        <v/>
      </c>
      <c r="G829" s="42">
        <f>IF($C829="","",IFERROR(INDEX(DESPACHOS!$F$3:$F$3002,MATCH($C829,DESPACHOS!$B$3:$B$3002,0)),""))</f>
        <v/>
      </c>
      <c r="H829" s="42">
        <f>IF($C829="","",IFERROR(INDEX(DESPACHOS!$G$3:$G$3002,MATCH($C829,DESPACHOS!$B$3:$B$3002,0)),""))</f>
        <v/>
      </c>
      <c r="I829" s="39">
        <f>IF($C829="","",IFERROR(INDEX(DESPACHOS!$H$3:$H$3002,MATCH($C829,DESPACHOS!$B$3:$B$3002,0)),""))</f>
        <v/>
      </c>
      <c r="J829" s="43">
        <f>IF($C829="","",IFERROR(INDEX(DESPACHOS!$J$3:$J$3002,MATCH($C829,DESPACHOS!$B$3:$B$3002,0)),""))</f>
        <v/>
      </c>
      <c r="K829" s="39">
        <f>IF($C829="","",IF(COUNTIFS(DESPACHOS!$B$3:$B$3002,$C829)=0,"NO EXISTE",IF(COUNTIFS(DESPACHOS!$B$3:$B$3002,$C829)&gt;1,"DUPLICADO","OK")))</f>
        <v/>
      </c>
      <c r="L829" s="41" t="n"/>
      <c r="M829" s="41" t="n"/>
      <c r="N829" s="42">
        <f>IF($M829="","",IFERROR(INDEX(LISTAS!$F$3:$F$42,MATCH($M829,LISTAS!$E$3:$E$42,0)),"Por definir"))</f>
        <v/>
      </c>
      <c r="O829" s="41" t="n"/>
      <c r="P829" s="39">
        <f>IF($L829="","",IFERROR(INDEX(LISTAS!$B$3:$B$42,MATCH($L829,LISTAS!$A$3:$A$42,0)),"Media"))</f>
        <v/>
      </c>
      <c r="Q829" s="44" t="n"/>
      <c r="R829" s="45" t="n"/>
      <c r="S829" s="20">
        <f>IFERROR(IF(OR($R829="",$C829=""),"",$R829/INDEX(DESPACHOS!$M$3:$M$3002,MATCH($C829,DESPACHOS!$B$3:$B$3002,0))),"")</f>
        <v/>
      </c>
      <c r="T829" s="41" t="n"/>
      <c r="U829" s="43">
        <f>IF(OR($B829="",$L829=""),"",WORKDAY($B829,IFERROR(INDEX(LISTAS!$C$3:$C$42,MATCH($L829,LISTAS!$A$3:$A$42,0)),3)))</f>
        <v/>
      </c>
      <c r="V829" s="40" t="n"/>
      <c r="W829" s="19">
        <f>IF($B829="","",IF($V829&lt;&gt;"",$V829-$B829,TODAY()-$B829))</f>
        <v/>
      </c>
      <c r="X829" s="19">
        <f>IF(OR($B829="",$U829=""),"",IF($V829&lt;&gt;"",MAX(0,$V829-$U829),MAX(0,TODAY()-$U829)))</f>
        <v/>
      </c>
      <c r="Y829" s="39">
        <f>IF($C829="","",IF(IFERROR(INDEX(LISTAS!$I$3:$I$42,MATCH($T829,LISTAS!$H$3:$H$42,0)),"NO")="SÍ",IF(N($X829)&gt;0,"CERRADA FUERA DE SLA","CERRADA EN SLA"),IF($U829="","SIN CLASIFICAR",IF(N($X829)&gt;0,"VENCIDA",IF(TODAY()&gt;=$U829-1,"POR VENCER","EN PLAZO")))))</f>
        <v/>
      </c>
      <c r="Z829" s="41" t="n"/>
      <c r="AA829" s="41" t="n"/>
      <c r="AB829" s="41" t="n"/>
    </row>
    <row r="830">
      <c r="A830" s="39">
        <f>IF($C830="","","NOV-"&amp;TEXT(ROW()-3,"0000"))</f>
        <v/>
      </c>
      <c r="B830" s="40" t="n"/>
      <c r="C830" s="41" t="n"/>
      <c r="D830" s="42">
        <f>IF($C830="","",IFERROR(INDEX(DESPACHOS!$D$3:$D$3002,MATCH($C830,DESPACHOS!$B$3:$B$3002,0)),"SIN DESPACHO"))</f>
        <v/>
      </c>
      <c r="E830" s="42">
        <f>IF($C830="","",IFERROR(INDEX(DESPACHOS!$K$3:$K$3002,MATCH($C830,DESPACHOS!$B$3:$B$3002,0)),""))</f>
        <v/>
      </c>
      <c r="F830" s="42">
        <f>IF($C830="","",IFERROR(INDEX(DESPACHOS!$I$3:$I$3002,MATCH($C830,DESPACHOS!$B$3:$B$3002,0)),""))</f>
        <v/>
      </c>
      <c r="G830" s="42">
        <f>IF($C830="","",IFERROR(INDEX(DESPACHOS!$F$3:$F$3002,MATCH($C830,DESPACHOS!$B$3:$B$3002,0)),""))</f>
        <v/>
      </c>
      <c r="H830" s="42">
        <f>IF($C830="","",IFERROR(INDEX(DESPACHOS!$G$3:$G$3002,MATCH($C830,DESPACHOS!$B$3:$B$3002,0)),""))</f>
        <v/>
      </c>
      <c r="I830" s="39">
        <f>IF($C830="","",IFERROR(INDEX(DESPACHOS!$H$3:$H$3002,MATCH($C830,DESPACHOS!$B$3:$B$3002,0)),""))</f>
        <v/>
      </c>
      <c r="J830" s="43">
        <f>IF($C830="","",IFERROR(INDEX(DESPACHOS!$J$3:$J$3002,MATCH($C830,DESPACHOS!$B$3:$B$3002,0)),""))</f>
        <v/>
      </c>
      <c r="K830" s="39">
        <f>IF($C830="","",IF(COUNTIFS(DESPACHOS!$B$3:$B$3002,$C830)=0,"NO EXISTE",IF(COUNTIFS(DESPACHOS!$B$3:$B$3002,$C830)&gt;1,"DUPLICADO","OK")))</f>
        <v/>
      </c>
      <c r="L830" s="41" t="n"/>
      <c r="M830" s="41" t="n"/>
      <c r="N830" s="42">
        <f>IF($M830="","",IFERROR(INDEX(LISTAS!$F$3:$F$42,MATCH($M830,LISTAS!$E$3:$E$42,0)),"Por definir"))</f>
        <v/>
      </c>
      <c r="O830" s="41" t="n"/>
      <c r="P830" s="39">
        <f>IF($L830="","",IFERROR(INDEX(LISTAS!$B$3:$B$42,MATCH($L830,LISTAS!$A$3:$A$42,0)),"Media"))</f>
        <v/>
      </c>
      <c r="Q830" s="44" t="n"/>
      <c r="R830" s="45" t="n"/>
      <c r="S830" s="20">
        <f>IFERROR(IF(OR($R830="",$C830=""),"",$R830/INDEX(DESPACHOS!$M$3:$M$3002,MATCH($C830,DESPACHOS!$B$3:$B$3002,0))),"")</f>
        <v/>
      </c>
      <c r="T830" s="41" t="n"/>
      <c r="U830" s="43">
        <f>IF(OR($B830="",$L830=""),"",WORKDAY($B830,IFERROR(INDEX(LISTAS!$C$3:$C$42,MATCH($L830,LISTAS!$A$3:$A$42,0)),3)))</f>
        <v/>
      </c>
      <c r="V830" s="40" t="n"/>
      <c r="W830" s="19">
        <f>IF($B830="","",IF($V830&lt;&gt;"",$V830-$B830,TODAY()-$B830))</f>
        <v/>
      </c>
      <c r="X830" s="19">
        <f>IF(OR($B830="",$U830=""),"",IF($V830&lt;&gt;"",MAX(0,$V830-$U830),MAX(0,TODAY()-$U830)))</f>
        <v/>
      </c>
      <c r="Y830" s="39">
        <f>IF($C830="","",IF(IFERROR(INDEX(LISTAS!$I$3:$I$42,MATCH($T830,LISTAS!$H$3:$H$42,0)),"NO")="SÍ",IF(N($X830)&gt;0,"CERRADA FUERA DE SLA","CERRADA EN SLA"),IF($U830="","SIN CLASIFICAR",IF(N($X830)&gt;0,"VENCIDA",IF(TODAY()&gt;=$U830-1,"POR VENCER","EN PLAZO")))))</f>
        <v/>
      </c>
      <c r="Z830" s="41" t="n"/>
      <c r="AA830" s="41" t="n"/>
      <c r="AB830" s="41" t="n"/>
    </row>
    <row r="831">
      <c r="A831" s="39">
        <f>IF($C831="","","NOV-"&amp;TEXT(ROW()-3,"0000"))</f>
        <v/>
      </c>
      <c r="B831" s="40" t="n"/>
      <c r="C831" s="41" t="n"/>
      <c r="D831" s="42">
        <f>IF($C831="","",IFERROR(INDEX(DESPACHOS!$D$3:$D$3002,MATCH($C831,DESPACHOS!$B$3:$B$3002,0)),"SIN DESPACHO"))</f>
        <v/>
      </c>
      <c r="E831" s="42">
        <f>IF($C831="","",IFERROR(INDEX(DESPACHOS!$K$3:$K$3002,MATCH($C831,DESPACHOS!$B$3:$B$3002,0)),""))</f>
        <v/>
      </c>
      <c r="F831" s="42">
        <f>IF($C831="","",IFERROR(INDEX(DESPACHOS!$I$3:$I$3002,MATCH($C831,DESPACHOS!$B$3:$B$3002,0)),""))</f>
        <v/>
      </c>
      <c r="G831" s="42">
        <f>IF($C831="","",IFERROR(INDEX(DESPACHOS!$F$3:$F$3002,MATCH($C831,DESPACHOS!$B$3:$B$3002,0)),""))</f>
        <v/>
      </c>
      <c r="H831" s="42">
        <f>IF($C831="","",IFERROR(INDEX(DESPACHOS!$G$3:$G$3002,MATCH($C831,DESPACHOS!$B$3:$B$3002,0)),""))</f>
        <v/>
      </c>
      <c r="I831" s="39">
        <f>IF($C831="","",IFERROR(INDEX(DESPACHOS!$H$3:$H$3002,MATCH($C831,DESPACHOS!$B$3:$B$3002,0)),""))</f>
        <v/>
      </c>
      <c r="J831" s="43">
        <f>IF($C831="","",IFERROR(INDEX(DESPACHOS!$J$3:$J$3002,MATCH($C831,DESPACHOS!$B$3:$B$3002,0)),""))</f>
        <v/>
      </c>
      <c r="K831" s="39">
        <f>IF($C831="","",IF(COUNTIFS(DESPACHOS!$B$3:$B$3002,$C831)=0,"NO EXISTE",IF(COUNTIFS(DESPACHOS!$B$3:$B$3002,$C831)&gt;1,"DUPLICADO","OK")))</f>
        <v/>
      </c>
      <c r="L831" s="41" t="n"/>
      <c r="M831" s="41" t="n"/>
      <c r="N831" s="42">
        <f>IF($M831="","",IFERROR(INDEX(LISTAS!$F$3:$F$42,MATCH($M831,LISTAS!$E$3:$E$42,0)),"Por definir"))</f>
        <v/>
      </c>
      <c r="O831" s="41" t="n"/>
      <c r="P831" s="39">
        <f>IF($L831="","",IFERROR(INDEX(LISTAS!$B$3:$B$42,MATCH($L831,LISTAS!$A$3:$A$42,0)),"Media"))</f>
        <v/>
      </c>
      <c r="Q831" s="44" t="n"/>
      <c r="R831" s="45" t="n"/>
      <c r="S831" s="20">
        <f>IFERROR(IF(OR($R831="",$C831=""),"",$R831/INDEX(DESPACHOS!$M$3:$M$3002,MATCH($C831,DESPACHOS!$B$3:$B$3002,0))),"")</f>
        <v/>
      </c>
      <c r="T831" s="41" t="n"/>
      <c r="U831" s="43">
        <f>IF(OR($B831="",$L831=""),"",WORKDAY($B831,IFERROR(INDEX(LISTAS!$C$3:$C$42,MATCH($L831,LISTAS!$A$3:$A$42,0)),3)))</f>
        <v/>
      </c>
      <c r="V831" s="40" t="n"/>
      <c r="W831" s="19">
        <f>IF($B831="","",IF($V831&lt;&gt;"",$V831-$B831,TODAY()-$B831))</f>
        <v/>
      </c>
      <c r="X831" s="19">
        <f>IF(OR($B831="",$U831=""),"",IF($V831&lt;&gt;"",MAX(0,$V831-$U831),MAX(0,TODAY()-$U831)))</f>
        <v/>
      </c>
      <c r="Y831" s="39">
        <f>IF($C831="","",IF(IFERROR(INDEX(LISTAS!$I$3:$I$42,MATCH($T831,LISTAS!$H$3:$H$42,0)),"NO")="SÍ",IF(N($X831)&gt;0,"CERRADA FUERA DE SLA","CERRADA EN SLA"),IF($U831="","SIN CLASIFICAR",IF(N($X831)&gt;0,"VENCIDA",IF(TODAY()&gt;=$U831-1,"POR VENCER","EN PLAZO")))))</f>
        <v/>
      </c>
      <c r="Z831" s="41" t="n"/>
      <c r="AA831" s="41" t="n"/>
      <c r="AB831" s="41" t="n"/>
    </row>
    <row r="832">
      <c r="A832" s="39">
        <f>IF($C832="","","NOV-"&amp;TEXT(ROW()-3,"0000"))</f>
        <v/>
      </c>
      <c r="B832" s="40" t="n"/>
      <c r="C832" s="41" t="n"/>
      <c r="D832" s="42">
        <f>IF($C832="","",IFERROR(INDEX(DESPACHOS!$D$3:$D$3002,MATCH($C832,DESPACHOS!$B$3:$B$3002,0)),"SIN DESPACHO"))</f>
        <v/>
      </c>
      <c r="E832" s="42">
        <f>IF($C832="","",IFERROR(INDEX(DESPACHOS!$K$3:$K$3002,MATCH($C832,DESPACHOS!$B$3:$B$3002,0)),""))</f>
        <v/>
      </c>
      <c r="F832" s="42">
        <f>IF($C832="","",IFERROR(INDEX(DESPACHOS!$I$3:$I$3002,MATCH($C832,DESPACHOS!$B$3:$B$3002,0)),""))</f>
        <v/>
      </c>
      <c r="G832" s="42">
        <f>IF($C832="","",IFERROR(INDEX(DESPACHOS!$F$3:$F$3002,MATCH($C832,DESPACHOS!$B$3:$B$3002,0)),""))</f>
        <v/>
      </c>
      <c r="H832" s="42">
        <f>IF($C832="","",IFERROR(INDEX(DESPACHOS!$G$3:$G$3002,MATCH($C832,DESPACHOS!$B$3:$B$3002,0)),""))</f>
        <v/>
      </c>
      <c r="I832" s="39">
        <f>IF($C832="","",IFERROR(INDEX(DESPACHOS!$H$3:$H$3002,MATCH($C832,DESPACHOS!$B$3:$B$3002,0)),""))</f>
        <v/>
      </c>
      <c r="J832" s="43">
        <f>IF($C832="","",IFERROR(INDEX(DESPACHOS!$J$3:$J$3002,MATCH($C832,DESPACHOS!$B$3:$B$3002,0)),""))</f>
        <v/>
      </c>
      <c r="K832" s="39">
        <f>IF($C832="","",IF(COUNTIFS(DESPACHOS!$B$3:$B$3002,$C832)=0,"NO EXISTE",IF(COUNTIFS(DESPACHOS!$B$3:$B$3002,$C832)&gt;1,"DUPLICADO","OK")))</f>
        <v/>
      </c>
      <c r="L832" s="41" t="n"/>
      <c r="M832" s="41" t="n"/>
      <c r="N832" s="42">
        <f>IF($M832="","",IFERROR(INDEX(LISTAS!$F$3:$F$42,MATCH($M832,LISTAS!$E$3:$E$42,0)),"Por definir"))</f>
        <v/>
      </c>
      <c r="O832" s="41" t="n"/>
      <c r="P832" s="39">
        <f>IF($L832="","",IFERROR(INDEX(LISTAS!$B$3:$B$42,MATCH($L832,LISTAS!$A$3:$A$42,0)),"Media"))</f>
        <v/>
      </c>
      <c r="Q832" s="44" t="n"/>
      <c r="R832" s="45" t="n"/>
      <c r="S832" s="20">
        <f>IFERROR(IF(OR($R832="",$C832=""),"",$R832/INDEX(DESPACHOS!$M$3:$M$3002,MATCH($C832,DESPACHOS!$B$3:$B$3002,0))),"")</f>
        <v/>
      </c>
      <c r="T832" s="41" t="n"/>
      <c r="U832" s="43">
        <f>IF(OR($B832="",$L832=""),"",WORKDAY($B832,IFERROR(INDEX(LISTAS!$C$3:$C$42,MATCH($L832,LISTAS!$A$3:$A$42,0)),3)))</f>
        <v/>
      </c>
      <c r="V832" s="40" t="n"/>
      <c r="W832" s="19">
        <f>IF($B832="","",IF($V832&lt;&gt;"",$V832-$B832,TODAY()-$B832))</f>
        <v/>
      </c>
      <c r="X832" s="19">
        <f>IF(OR($B832="",$U832=""),"",IF($V832&lt;&gt;"",MAX(0,$V832-$U832),MAX(0,TODAY()-$U832)))</f>
        <v/>
      </c>
      <c r="Y832" s="39">
        <f>IF($C832="","",IF(IFERROR(INDEX(LISTAS!$I$3:$I$42,MATCH($T832,LISTAS!$H$3:$H$42,0)),"NO")="SÍ",IF(N($X832)&gt;0,"CERRADA FUERA DE SLA","CERRADA EN SLA"),IF($U832="","SIN CLASIFICAR",IF(N($X832)&gt;0,"VENCIDA",IF(TODAY()&gt;=$U832-1,"POR VENCER","EN PLAZO")))))</f>
        <v/>
      </c>
      <c r="Z832" s="41" t="n"/>
      <c r="AA832" s="41" t="n"/>
      <c r="AB832" s="41" t="n"/>
    </row>
    <row r="833">
      <c r="A833" s="39">
        <f>IF($C833="","","NOV-"&amp;TEXT(ROW()-3,"0000"))</f>
        <v/>
      </c>
      <c r="B833" s="40" t="n"/>
      <c r="C833" s="41" t="n"/>
      <c r="D833" s="42">
        <f>IF($C833="","",IFERROR(INDEX(DESPACHOS!$D$3:$D$3002,MATCH($C833,DESPACHOS!$B$3:$B$3002,0)),"SIN DESPACHO"))</f>
        <v/>
      </c>
      <c r="E833" s="42">
        <f>IF($C833="","",IFERROR(INDEX(DESPACHOS!$K$3:$K$3002,MATCH($C833,DESPACHOS!$B$3:$B$3002,0)),""))</f>
        <v/>
      </c>
      <c r="F833" s="42">
        <f>IF($C833="","",IFERROR(INDEX(DESPACHOS!$I$3:$I$3002,MATCH($C833,DESPACHOS!$B$3:$B$3002,0)),""))</f>
        <v/>
      </c>
      <c r="G833" s="42">
        <f>IF($C833="","",IFERROR(INDEX(DESPACHOS!$F$3:$F$3002,MATCH($C833,DESPACHOS!$B$3:$B$3002,0)),""))</f>
        <v/>
      </c>
      <c r="H833" s="42">
        <f>IF($C833="","",IFERROR(INDEX(DESPACHOS!$G$3:$G$3002,MATCH($C833,DESPACHOS!$B$3:$B$3002,0)),""))</f>
        <v/>
      </c>
      <c r="I833" s="39">
        <f>IF($C833="","",IFERROR(INDEX(DESPACHOS!$H$3:$H$3002,MATCH($C833,DESPACHOS!$B$3:$B$3002,0)),""))</f>
        <v/>
      </c>
      <c r="J833" s="43">
        <f>IF($C833="","",IFERROR(INDEX(DESPACHOS!$J$3:$J$3002,MATCH($C833,DESPACHOS!$B$3:$B$3002,0)),""))</f>
        <v/>
      </c>
      <c r="K833" s="39">
        <f>IF($C833="","",IF(COUNTIFS(DESPACHOS!$B$3:$B$3002,$C833)=0,"NO EXISTE",IF(COUNTIFS(DESPACHOS!$B$3:$B$3002,$C833)&gt;1,"DUPLICADO","OK")))</f>
        <v/>
      </c>
      <c r="L833" s="41" t="n"/>
      <c r="M833" s="41" t="n"/>
      <c r="N833" s="42">
        <f>IF($M833="","",IFERROR(INDEX(LISTAS!$F$3:$F$42,MATCH($M833,LISTAS!$E$3:$E$42,0)),"Por definir"))</f>
        <v/>
      </c>
      <c r="O833" s="41" t="n"/>
      <c r="P833" s="39">
        <f>IF($L833="","",IFERROR(INDEX(LISTAS!$B$3:$B$42,MATCH($L833,LISTAS!$A$3:$A$42,0)),"Media"))</f>
        <v/>
      </c>
      <c r="Q833" s="44" t="n"/>
      <c r="R833" s="45" t="n"/>
      <c r="S833" s="20">
        <f>IFERROR(IF(OR($R833="",$C833=""),"",$R833/INDEX(DESPACHOS!$M$3:$M$3002,MATCH($C833,DESPACHOS!$B$3:$B$3002,0))),"")</f>
        <v/>
      </c>
      <c r="T833" s="41" t="n"/>
      <c r="U833" s="43">
        <f>IF(OR($B833="",$L833=""),"",WORKDAY($B833,IFERROR(INDEX(LISTAS!$C$3:$C$42,MATCH($L833,LISTAS!$A$3:$A$42,0)),3)))</f>
        <v/>
      </c>
      <c r="V833" s="40" t="n"/>
      <c r="W833" s="19">
        <f>IF($B833="","",IF($V833&lt;&gt;"",$V833-$B833,TODAY()-$B833))</f>
        <v/>
      </c>
      <c r="X833" s="19">
        <f>IF(OR($B833="",$U833=""),"",IF($V833&lt;&gt;"",MAX(0,$V833-$U833),MAX(0,TODAY()-$U833)))</f>
        <v/>
      </c>
      <c r="Y833" s="39">
        <f>IF($C833="","",IF(IFERROR(INDEX(LISTAS!$I$3:$I$42,MATCH($T833,LISTAS!$H$3:$H$42,0)),"NO")="SÍ",IF(N($X833)&gt;0,"CERRADA FUERA DE SLA","CERRADA EN SLA"),IF($U833="","SIN CLASIFICAR",IF(N($X833)&gt;0,"VENCIDA",IF(TODAY()&gt;=$U833-1,"POR VENCER","EN PLAZO")))))</f>
        <v/>
      </c>
      <c r="Z833" s="41" t="n"/>
      <c r="AA833" s="41" t="n"/>
      <c r="AB833" s="41" t="n"/>
    </row>
    <row r="834">
      <c r="A834" s="39">
        <f>IF($C834="","","NOV-"&amp;TEXT(ROW()-3,"0000"))</f>
        <v/>
      </c>
      <c r="B834" s="40" t="n"/>
      <c r="C834" s="41" t="n"/>
      <c r="D834" s="42">
        <f>IF($C834="","",IFERROR(INDEX(DESPACHOS!$D$3:$D$3002,MATCH($C834,DESPACHOS!$B$3:$B$3002,0)),"SIN DESPACHO"))</f>
        <v/>
      </c>
      <c r="E834" s="42">
        <f>IF($C834="","",IFERROR(INDEX(DESPACHOS!$K$3:$K$3002,MATCH($C834,DESPACHOS!$B$3:$B$3002,0)),""))</f>
        <v/>
      </c>
      <c r="F834" s="42">
        <f>IF($C834="","",IFERROR(INDEX(DESPACHOS!$I$3:$I$3002,MATCH($C834,DESPACHOS!$B$3:$B$3002,0)),""))</f>
        <v/>
      </c>
      <c r="G834" s="42">
        <f>IF($C834="","",IFERROR(INDEX(DESPACHOS!$F$3:$F$3002,MATCH($C834,DESPACHOS!$B$3:$B$3002,0)),""))</f>
        <v/>
      </c>
      <c r="H834" s="42">
        <f>IF($C834="","",IFERROR(INDEX(DESPACHOS!$G$3:$G$3002,MATCH($C834,DESPACHOS!$B$3:$B$3002,0)),""))</f>
        <v/>
      </c>
      <c r="I834" s="39">
        <f>IF($C834="","",IFERROR(INDEX(DESPACHOS!$H$3:$H$3002,MATCH($C834,DESPACHOS!$B$3:$B$3002,0)),""))</f>
        <v/>
      </c>
      <c r="J834" s="43">
        <f>IF($C834="","",IFERROR(INDEX(DESPACHOS!$J$3:$J$3002,MATCH($C834,DESPACHOS!$B$3:$B$3002,0)),""))</f>
        <v/>
      </c>
      <c r="K834" s="39">
        <f>IF($C834="","",IF(COUNTIFS(DESPACHOS!$B$3:$B$3002,$C834)=0,"NO EXISTE",IF(COUNTIFS(DESPACHOS!$B$3:$B$3002,$C834)&gt;1,"DUPLICADO","OK")))</f>
        <v/>
      </c>
      <c r="L834" s="41" t="n"/>
      <c r="M834" s="41" t="n"/>
      <c r="N834" s="42">
        <f>IF($M834="","",IFERROR(INDEX(LISTAS!$F$3:$F$42,MATCH($M834,LISTAS!$E$3:$E$42,0)),"Por definir"))</f>
        <v/>
      </c>
      <c r="O834" s="41" t="n"/>
      <c r="P834" s="39">
        <f>IF($L834="","",IFERROR(INDEX(LISTAS!$B$3:$B$42,MATCH($L834,LISTAS!$A$3:$A$42,0)),"Media"))</f>
        <v/>
      </c>
      <c r="Q834" s="44" t="n"/>
      <c r="R834" s="45" t="n"/>
      <c r="S834" s="20">
        <f>IFERROR(IF(OR($R834="",$C834=""),"",$R834/INDEX(DESPACHOS!$M$3:$M$3002,MATCH($C834,DESPACHOS!$B$3:$B$3002,0))),"")</f>
        <v/>
      </c>
      <c r="T834" s="41" t="n"/>
      <c r="U834" s="43">
        <f>IF(OR($B834="",$L834=""),"",WORKDAY($B834,IFERROR(INDEX(LISTAS!$C$3:$C$42,MATCH($L834,LISTAS!$A$3:$A$42,0)),3)))</f>
        <v/>
      </c>
      <c r="V834" s="40" t="n"/>
      <c r="W834" s="19">
        <f>IF($B834="","",IF($V834&lt;&gt;"",$V834-$B834,TODAY()-$B834))</f>
        <v/>
      </c>
      <c r="X834" s="19">
        <f>IF(OR($B834="",$U834=""),"",IF($V834&lt;&gt;"",MAX(0,$V834-$U834),MAX(0,TODAY()-$U834)))</f>
        <v/>
      </c>
      <c r="Y834" s="39">
        <f>IF($C834="","",IF(IFERROR(INDEX(LISTAS!$I$3:$I$42,MATCH($T834,LISTAS!$H$3:$H$42,0)),"NO")="SÍ",IF(N($X834)&gt;0,"CERRADA FUERA DE SLA","CERRADA EN SLA"),IF($U834="","SIN CLASIFICAR",IF(N($X834)&gt;0,"VENCIDA",IF(TODAY()&gt;=$U834-1,"POR VENCER","EN PLAZO")))))</f>
        <v/>
      </c>
      <c r="Z834" s="41" t="n"/>
      <c r="AA834" s="41" t="n"/>
      <c r="AB834" s="41" t="n"/>
    </row>
    <row r="835">
      <c r="A835" s="39">
        <f>IF($C835="","","NOV-"&amp;TEXT(ROW()-3,"0000"))</f>
        <v/>
      </c>
      <c r="B835" s="40" t="n"/>
      <c r="C835" s="41" t="n"/>
      <c r="D835" s="42">
        <f>IF($C835="","",IFERROR(INDEX(DESPACHOS!$D$3:$D$3002,MATCH($C835,DESPACHOS!$B$3:$B$3002,0)),"SIN DESPACHO"))</f>
        <v/>
      </c>
      <c r="E835" s="42">
        <f>IF($C835="","",IFERROR(INDEX(DESPACHOS!$K$3:$K$3002,MATCH($C835,DESPACHOS!$B$3:$B$3002,0)),""))</f>
        <v/>
      </c>
      <c r="F835" s="42">
        <f>IF($C835="","",IFERROR(INDEX(DESPACHOS!$I$3:$I$3002,MATCH($C835,DESPACHOS!$B$3:$B$3002,0)),""))</f>
        <v/>
      </c>
      <c r="G835" s="42">
        <f>IF($C835="","",IFERROR(INDEX(DESPACHOS!$F$3:$F$3002,MATCH($C835,DESPACHOS!$B$3:$B$3002,0)),""))</f>
        <v/>
      </c>
      <c r="H835" s="42">
        <f>IF($C835="","",IFERROR(INDEX(DESPACHOS!$G$3:$G$3002,MATCH($C835,DESPACHOS!$B$3:$B$3002,0)),""))</f>
        <v/>
      </c>
      <c r="I835" s="39">
        <f>IF($C835="","",IFERROR(INDEX(DESPACHOS!$H$3:$H$3002,MATCH($C835,DESPACHOS!$B$3:$B$3002,0)),""))</f>
        <v/>
      </c>
      <c r="J835" s="43">
        <f>IF($C835="","",IFERROR(INDEX(DESPACHOS!$J$3:$J$3002,MATCH($C835,DESPACHOS!$B$3:$B$3002,0)),""))</f>
        <v/>
      </c>
      <c r="K835" s="39">
        <f>IF($C835="","",IF(COUNTIFS(DESPACHOS!$B$3:$B$3002,$C835)=0,"NO EXISTE",IF(COUNTIFS(DESPACHOS!$B$3:$B$3002,$C835)&gt;1,"DUPLICADO","OK")))</f>
        <v/>
      </c>
      <c r="L835" s="41" t="n"/>
      <c r="M835" s="41" t="n"/>
      <c r="N835" s="42">
        <f>IF($M835="","",IFERROR(INDEX(LISTAS!$F$3:$F$42,MATCH($M835,LISTAS!$E$3:$E$42,0)),"Por definir"))</f>
        <v/>
      </c>
      <c r="O835" s="41" t="n"/>
      <c r="P835" s="39">
        <f>IF($L835="","",IFERROR(INDEX(LISTAS!$B$3:$B$42,MATCH($L835,LISTAS!$A$3:$A$42,0)),"Media"))</f>
        <v/>
      </c>
      <c r="Q835" s="44" t="n"/>
      <c r="R835" s="45" t="n"/>
      <c r="S835" s="20">
        <f>IFERROR(IF(OR($R835="",$C835=""),"",$R835/INDEX(DESPACHOS!$M$3:$M$3002,MATCH($C835,DESPACHOS!$B$3:$B$3002,0))),"")</f>
        <v/>
      </c>
      <c r="T835" s="41" t="n"/>
      <c r="U835" s="43">
        <f>IF(OR($B835="",$L835=""),"",WORKDAY($B835,IFERROR(INDEX(LISTAS!$C$3:$C$42,MATCH($L835,LISTAS!$A$3:$A$42,0)),3)))</f>
        <v/>
      </c>
      <c r="V835" s="40" t="n"/>
      <c r="W835" s="19">
        <f>IF($B835="","",IF($V835&lt;&gt;"",$V835-$B835,TODAY()-$B835))</f>
        <v/>
      </c>
      <c r="X835" s="19">
        <f>IF(OR($B835="",$U835=""),"",IF($V835&lt;&gt;"",MAX(0,$V835-$U835),MAX(0,TODAY()-$U835)))</f>
        <v/>
      </c>
      <c r="Y835" s="39">
        <f>IF($C835="","",IF(IFERROR(INDEX(LISTAS!$I$3:$I$42,MATCH($T835,LISTAS!$H$3:$H$42,0)),"NO")="SÍ",IF(N($X835)&gt;0,"CERRADA FUERA DE SLA","CERRADA EN SLA"),IF($U835="","SIN CLASIFICAR",IF(N($X835)&gt;0,"VENCIDA",IF(TODAY()&gt;=$U835-1,"POR VENCER","EN PLAZO")))))</f>
        <v/>
      </c>
      <c r="Z835" s="41" t="n"/>
      <c r="AA835" s="41" t="n"/>
      <c r="AB835" s="41" t="n"/>
    </row>
    <row r="836">
      <c r="A836" s="39">
        <f>IF($C836="","","NOV-"&amp;TEXT(ROW()-3,"0000"))</f>
        <v/>
      </c>
      <c r="B836" s="40" t="n"/>
      <c r="C836" s="41" t="n"/>
      <c r="D836" s="42">
        <f>IF($C836="","",IFERROR(INDEX(DESPACHOS!$D$3:$D$3002,MATCH($C836,DESPACHOS!$B$3:$B$3002,0)),"SIN DESPACHO"))</f>
        <v/>
      </c>
      <c r="E836" s="42">
        <f>IF($C836="","",IFERROR(INDEX(DESPACHOS!$K$3:$K$3002,MATCH($C836,DESPACHOS!$B$3:$B$3002,0)),""))</f>
        <v/>
      </c>
      <c r="F836" s="42">
        <f>IF($C836="","",IFERROR(INDEX(DESPACHOS!$I$3:$I$3002,MATCH($C836,DESPACHOS!$B$3:$B$3002,0)),""))</f>
        <v/>
      </c>
      <c r="G836" s="42">
        <f>IF($C836="","",IFERROR(INDEX(DESPACHOS!$F$3:$F$3002,MATCH($C836,DESPACHOS!$B$3:$B$3002,0)),""))</f>
        <v/>
      </c>
      <c r="H836" s="42">
        <f>IF($C836="","",IFERROR(INDEX(DESPACHOS!$G$3:$G$3002,MATCH($C836,DESPACHOS!$B$3:$B$3002,0)),""))</f>
        <v/>
      </c>
      <c r="I836" s="39">
        <f>IF($C836="","",IFERROR(INDEX(DESPACHOS!$H$3:$H$3002,MATCH($C836,DESPACHOS!$B$3:$B$3002,0)),""))</f>
        <v/>
      </c>
      <c r="J836" s="43">
        <f>IF($C836="","",IFERROR(INDEX(DESPACHOS!$J$3:$J$3002,MATCH($C836,DESPACHOS!$B$3:$B$3002,0)),""))</f>
        <v/>
      </c>
      <c r="K836" s="39">
        <f>IF($C836="","",IF(COUNTIFS(DESPACHOS!$B$3:$B$3002,$C836)=0,"NO EXISTE",IF(COUNTIFS(DESPACHOS!$B$3:$B$3002,$C836)&gt;1,"DUPLICADO","OK")))</f>
        <v/>
      </c>
      <c r="L836" s="41" t="n"/>
      <c r="M836" s="41" t="n"/>
      <c r="N836" s="42">
        <f>IF($M836="","",IFERROR(INDEX(LISTAS!$F$3:$F$42,MATCH($M836,LISTAS!$E$3:$E$42,0)),"Por definir"))</f>
        <v/>
      </c>
      <c r="O836" s="41" t="n"/>
      <c r="P836" s="39">
        <f>IF($L836="","",IFERROR(INDEX(LISTAS!$B$3:$B$42,MATCH($L836,LISTAS!$A$3:$A$42,0)),"Media"))</f>
        <v/>
      </c>
      <c r="Q836" s="44" t="n"/>
      <c r="R836" s="45" t="n"/>
      <c r="S836" s="20">
        <f>IFERROR(IF(OR($R836="",$C836=""),"",$R836/INDEX(DESPACHOS!$M$3:$M$3002,MATCH($C836,DESPACHOS!$B$3:$B$3002,0))),"")</f>
        <v/>
      </c>
      <c r="T836" s="41" t="n"/>
      <c r="U836" s="43">
        <f>IF(OR($B836="",$L836=""),"",WORKDAY($B836,IFERROR(INDEX(LISTAS!$C$3:$C$42,MATCH($L836,LISTAS!$A$3:$A$42,0)),3)))</f>
        <v/>
      </c>
      <c r="V836" s="40" t="n"/>
      <c r="W836" s="19">
        <f>IF($B836="","",IF($V836&lt;&gt;"",$V836-$B836,TODAY()-$B836))</f>
        <v/>
      </c>
      <c r="X836" s="19">
        <f>IF(OR($B836="",$U836=""),"",IF($V836&lt;&gt;"",MAX(0,$V836-$U836),MAX(0,TODAY()-$U836)))</f>
        <v/>
      </c>
      <c r="Y836" s="39">
        <f>IF($C836="","",IF(IFERROR(INDEX(LISTAS!$I$3:$I$42,MATCH($T836,LISTAS!$H$3:$H$42,0)),"NO")="SÍ",IF(N($X836)&gt;0,"CERRADA FUERA DE SLA","CERRADA EN SLA"),IF($U836="","SIN CLASIFICAR",IF(N($X836)&gt;0,"VENCIDA",IF(TODAY()&gt;=$U836-1,"POR VENCER","EN PLAZO")))))</f>
        <v/>
      </c>
      <c r="Z836" s="41" t="n"/>
      <c r="AA836" s="41" t="n"/>
      <c r="AB836" s="41" t="n"/>
    </row>
    <row r="837">
      <c r="A837" s="39">
        <f>IF($C837="","","NOV-"&amp;TEXT(ROW()-3,"0000"))</f>
        <v/>
      </c>
      <c r="B837" s="40" t="n"/>
      <c r="C837" s="41" t="n"/>
      <c r="D837" s="42">
        <f>IF($C837="","",IFERROR(INDEX(DESPACHOS!$D$3:$D$3002,MATCH($C837,DESPACHOS!$B$3:$B$3002,0)),"SIN DESPACHO"))</f>
        <v/>
      </c>
      <c r="E837" s="42">
        <f>IF($C837="","",IFERROR(INDEX(DESPACHOS!$K$3:$K$3002,MATCH($C837,DESPACHOS!$B$3:$B$3002,0)),""))</f>
        <v/>
      </c>
      <c r="F837" s="42">
        <f>IF($C837="","",IFERROR(INDEX(DESPACHOS!$I$3:$I$3002,MATCH($C837,DESPACHOS!$B$3:$B$3002,0)),""))</f>
        <v/>
      </c>
      <c r="G837" s="42">
        <f>IF($C837="","",IFERROR(INDEX(DESPACHOS!$F$3:$F$3002,MATCH($C837,DESPACHOS!$B$3:$B$3002,0)),""))</f>
        <v/>
      </c>
      <c r="H837" s="42">
        <f>IF($C837="","",IFERROR(INDEX(DESPACHOS!$G$3:$G$3002,MATCH($C837,DESPACHOS!$B$3:$B$3002,0)),""))</f>
        <v/>
      </c>
      <c r="I837" s="39">
        <f>IF($C837="","",IFERROR(INDEX(DESPACHOS!$H$3:$H$3002,MATCH($C837,DESPACHOS!$B$3:$B$3002,0)),""))</f>
        <v/>
      </c>
      <c r="J837" s="43">
        <f>IF($C837="","",IFERROR(INDEX(DESPACHOS!$J$3:$J$3002,MATCH($C837,DESPACHOS!$B$3:$B$3002,0)),""))</f>
        <v/>
      </c>
      <c r="K837" s="39">
        <f>IF($C837="","",IF(COUNTIFS(DESPACHOS!$B$3:$B$3002,$C837)=0,"NO EXISTE",IF(COUNTIFS(DESPACHOS!$B$3:$B$3002,$C837)&gt;1,"DUPLICADO","OK")))</f>
        <v/>
      </c>
      <c r="L837" s="41" t="n"/>
      <c r="M837" s="41" t="n"/>
      <c r="N837" s="42">
        <f>IF($M837="","",IFERROR(INDEX(LISTAS!$F$3:$F$42,MATCH($M837,LISTAS!$E$3:$E$42,0)),"Por definir"))</f>
        <v/>
      </c>
      <c r="O837" s="41" t="n"/>
      <c r="P837" s="39">
        <f>IF($L837="","",IFERROR(INDEX(LISTAS!$B$3:$B$42,MATCH($L837,LISTAS!$A$3:$A$42,0)),"Media"))</f>
        <v/>
      </c>
      <c r="Q837" s="44" t="n"/>
      <c r="R837" s="45" t="n"/>
      <c r="S837" s="20">
        <f>IFERROR(IF(OR($R837="",$C837=""),"",$R837/INDEX(DESPACHOS!$M$3:$M$3002,MATCH($C837,DESPACHOS!$B$3:$B$3002,0))),"")</f>
        <v/>
      </c>
      <c r="T837" s="41" t="n"/>
      <c r="U837" s="43">
        <f>IF(OR($B837="",$L837=""),"",WORKDAY($B837,IFERROR(INDEX(LISTAS!$C$3:$C$42,MATCH($L837,LISTAS!$A$3:$A$42,0)),3)))</f>
        <v/>
      </c>
      <c r="V837" s="40" t="n"/>
      <c r="W837" s="19">
        <f>IF($B837="","",IF($V837&lt;&gt;"",$V837-$B837,TODAY()-$B837))</f>
        <v/>
      </c>
      <c r="X837" s="19">
        <f>IF(OR($B837="",$U837=""),"",IF($V837&lt;&gt;"",MAX(0,$V837-$U837),MAX(0,TODAY()-$U837)))</f>
        <v/>
      </c>
      <c r="Y837" s="39">
        <f>IF($C837="","",IF(IFERROR(INDEX(LISTAS!$I$3:$I$42,MATCH($T837,LISTAS!$H$3:$H$42,0)),"NO")="SÍ",IF(N($X837)&gt;0,"CERRADA FUERA DE SLA","CERRADA EN SLA"),IF($U837="","SIN CLASIFICAR",IF(N($X837)&gt;0,"VENCIDA",IF(TODAY()&gt;=$U837-1,"POR VENCER","EN PLAZO")))))</f>
        <v/>
      </c>
      <c r="Z837" s="41" t="n"/>
      <c r="AA837" s="41" t="n"/>
      <c r="AB837" s="41" t="n"/>
    </row>
    <row r="838">
      <c r="A838" s="39">
        <f>IF($C838="","","NOV-"&amp;TEXT(ROW()-3,"0000"))</f>
        <v/>
      </c>
      <c r="B838" s="40" t="n"/>
      <c r="C838" s="41" t="n"/>
      <c r="D838" s="42">
        <f>IF($C838="","",IFERROR(INDEX(DESPACHOS!$D$3:$D$3002,MATCH($C838,DESPACHOS!$B$3:$B$3002,0)),"SIN DESPACHO"))</f>
        <v/>
      </c>
      <c r="E838" s="42">
        <f>IF($C838="","",IFERROR(INDEX(DESPACHOS!$K$3:$K$3002,MATCH($C838,DESPACHOS!$B$3:$B$3002,0)),""))</f>
        <v/>
      </c>
      <c r="F838" s="42">
        <f>IF($C838="","",IFERROR(INDEX(DESPACHOS!$I$3:$I$3002,MATCH($C838,DESPACHOS!$B$3:$B$3002,0)),""))</f>
        <v/>
      </c>
      <c r="G838" s="42">
        <f>IF($C838="","",IFERROR(INDEX(DESPACHOS!$F$3:$F$3002,MATCH($C838,DESPACHOS!$B$3:$B$3002,0)),""))</f>
        <v/>
      </c>
      <c r="H838" s="42">
        <f>IF($C838="","",IFERROR(INDEX(DESPACHOS!$G$3:$G$3002,MATCH($C838,DESPACHOS!$B$3:$B$3002,0)),""))</f>
        <v/>
      </c>
      <c r="I838" s="39">
        <f>IF($C838="","",IFERROR(INDEX(DESPACHOS!$H$3:$H$3002,MATCH($C838,DESPACHOS!$B$3:$B$3002,0)),""))</f>
        <v/>
      </c>
      <c r="J838" s="43">
        <f>IF($C838="","",IFERROR(INDEX(DESPACHOS!$J$3:$J$3002,MATCH($C838,DESPACHOS!$B$3:$B$3002,0)),""))</f>
        <v/>
      </c>
      <c r="K838" s="39">
        <f>IF($C838="","",IF(COUNTIFS(DESPACHOS!$B$3:$B$3002,$C838)=0,"NO EXISTE",IF(COUNTIFS(DESPACHOS!$B$3:$B$3002,$C838)&gt;1,"DUPLICADO","OK")))</f>
        <v/>
      </c>
      <c r="L838" s="41" t="n"/>
      <c r="M838" s="41" t="n"/>
      <c r="N838" s="42">
        <f>IF($M838="","",IFERROR(INDEX(LISTAS!$F$3:$F$42,MATCH($M838,LISTAS!$E$3:$E$42,0)),"Por definir"))</f>
        <v/>
      </c>
      <c r="O838" s="41" t="n"/>
      <c r="P838" s="39">
        <f>IF($L838="","",IFERROR(INDEX(LISTAS!$B$3:$B$42,MATCH($L838,LISTAS!$A$3:$A$42,0)),"Media"))</f>
        <v/>
      </c>
      <c r="Q838" s="44" t="n"/>
      <c r="R838" s="45" t="n"/>
      <c r="S838" s="20">
        <f>IFERROR(IF(OR($R838="",$C838=""),"",$R838/INDEX(DESPACHOS!$M$3:$M$3002,MATCH($C838,DESPACHOS!$B$3:$B$3002,0))),"")</f>
        <v/>
      </c>
      <c r="T838" s="41" t="n"/>
      <c r="U838" s="43">
        <f>IF(OR($B838="",$L838=""),"",WORKDAY($B838,IFERROR(INDEX(LISTAS!$C$3:$C$42,MATCH($L838,LISTAS!$A$3:$A$42,0)),3)))</f>
        <v/>
      </c>
      <c r="V838" s="40" t="n"/>
      <c r="W838" s="19">
        <f>IF($B838="","",IF($V838&lt;&gt;"",$V838-$B838,TODAY()-$B838))</f>
        <v/>
      </c>
      <c r="X838" s="19">
        <f>IF(OR($B838="",$U838=""),"",IF($V838&lt;&gt;"",MAX(0,$V838-$U838),MAX(0,TODAY()-$U838)))</f>
        <v/>
      </c>
      <c r="Y838" s="39">
        <f>IF($C838="","",IF(IFERROR(INDEX(LISTAS!$I$3:$I$42,MATCH($T838,LISTAS!$H$3:$H$42,0)),"NO")="SÍ",IF(N($X838)&gt;0,"CERRADA FUERA DE SLA","CERRADA EN SLA"),IF($U838="","SIN CLASIFICAR",IF(N($X838)&gt;0,"VENCIDA",IF(TODAY()&gt;=$U838-1,"POR VENCER","EN PLAZO")))))</f>
        <v/>
      </c>
      <c r="Z838" s="41" t="n"/>
      <c r="AA838" s="41" t="n"/>
      <c r="AB838" s="41" t="n"/>
    </row>
    <row r="839">
      <c r="A839" s="39">
        <f>IF($C839="","","NOV-"&amp;TEXT(ROW()-3,"0000"))</f>
        <v/>
      </c>
      <c r="B839" s="40" t="n"/>
      <c r="C839" s="41" t="n"/>
      <c r="D839" s="42">
        <f>IF($C839="","",IFERROR(INDEX(DESPACHOS!$D$3:$D$3002,MATCH($C839,DESPACHOS!$B$3:$B$3002,0)),"SIN DESPACHO"))</f>
        <v/>
      </c>
      <c r="E839" s="42">
        <f>IF($C839="","",IFERROR(INDEX(DESPACHOS!$K$3:$K$3002,MATCH($C839,DESPACHOS!$B$3:$B$3002,0)),""))</f>
        <v/>
      </c>
      <c r="F839" s="42">
        <f>IF($C839="","",IFERROR(INDEX(DESPACHOS!$I$3:$I$3002,MATCH($C839,DESPACHOS!$B$3:$B$3002,0)),""))</f>
        <v/>
      </c>
      <c r="G839" s="42">
        <f>IF($C839="","",IFERROR(INDEX(DESPACHOS!$F$3:$F$3002,MATCH($C839,DESPACHOS!$B$3:$B$3002,0)),""))</f>
        <v/>
      </c>
      <c r="H839" s="42">
        <f>IF($C839="","",IFERROR(INDEX(DESPACHOS!$G$3:$G$3002,MATCH($C839,DESPACHOS!$B$3:$B$3002,0)),""))</f>
        <v/>
      </c>
      <c r="I839" s="39">
        <f>IF($C839="","",IFERROR(INDEX(DESPACHOS!$H$3:$H$3002,MATCH($C839,DESPACHOS!$B$3:$B$3002,0)),""))</f>
        <v/>
      </c>
      <c r="J839" s="43">
        <f>IF($C839="","",IFERROR(INDEX(DESPACHOS!$J$3:$J$3002,MATCH($C839,DESPACHOS!$B$3:$B$3002,0)),""))</f>
        <v/>
      </c>
      <c r="K839" s="39">
        <f>IF($C839="","",IF(COUNTIFS(DESPACHOS!$B$3:$B$3002,$C839)=0,"NO EXISTE",IF(COUNTIFS(DESPACHOS!$B$3:$B$3002,$C839)&gt;1,"DUPLICADO","OK")))</f>
        <v/>
      </c>
      <c r="L839" s="41" t="n"/>
      <c r="M839" s="41" t="n"/>
      <c r="N839" s="42">
        <f>IF($M839="","",IFERROR(INDEX(LISTAS!$F$3:$F$42,MATCH($M839,LISTAS!$E$3:$E$42,0)),"Por definir"))</f>
        <v/>
      </c>
      <c r="O839" s="41" t="n"/>
      <c r="P839" s="39">
        <f>IF($L839="","",IFERROR(INDEX(LISTAS!$B$3:$B$42,MATCH($L839,LISTAS!$A$3:$A$42,0)),"Media"))</f>
        <v/>
      </c>
      <c r="Q839" s="44" t="n"/>
      <c r="R839" s="45" t="n"/>
      <c r="S839" s="20">
        <f>IFERROR(IF(OR($R839="",$C839=""),"",$R839/INDEX(DESPACHOS!$M$3:$M$3002,MATCH($C839,DESPACHOS!$B$3:$B$3002,0))),"")</f>
        <v/>
      </c>
      <c r="T839" s="41" t="n"/>
      <c r="U839" s="43">
        <f>IF(OR($B839="",$L839=""),"",WORKDAY($B839,IFERROR(INDEX(LISTAS!$C$3:$C$42,MATCH($L839,LISTAS!$A$3:$A$42,0)),3)))</f>
        <v/>
      </c>
      <c r="V839" s="40" t="n"/>
      <c r="W839" s="19">
        <f>IF($B839="","",IF($V839&lt;&gt;"",$V839-$B839,TODAY()-$B839))</f>
        <v/>
      </c>
      <c r="X839" s="19">
        <f>IF(OR($B839="",$U839=""),"",IF($V839&lt;&gt;"",MAX(0,$V839-$U839),MAX(0,TODAY()-$U839)))</f>
        <v/>
      </c>
      <c r="Y839" s="39">
        <f>IF($C839="","",IF(IFERROR(INDEX(LISTAS!$I$3:$I$42,MATCH($T839,LISTAS!$H$3:$H$42,0)),"NO")="SÍ",IF(N($X839)&gt;0,"CERRADA FUERA DE SLA","CERRADA EN SLA"),IF($U839="","SIN CLASIFICAR",IF(N($X839)&gt;0,"VENCIDA",IF(TODAY()&gt;=$U839-1,"POR VENCER","EN PLAZO")))))</f>
        <v/>
      </c>
      <c r="Z839" s="41" t="n"/>
      <c r="AA839" s="41" t="n"/>
      <c r="AB839" s="41" t="n"/>
    </row>
    <row r="840">
      <c r="A840" s="39">
        <f>IF($C840="","","NOV-"&amp;TEXT(ROW()-3,"0000"))</f>
        <v/>
      </c>
      <c r="B840" s="40" t="n"/>
      <c r="C840" s="41" t="n"/>
      <c r="D840" s="42">
        <f>IF($C840="","",IFERROR(INDEX(DESPACHOS!$D$3:$D$3002,MATCH($C840,DESPACHOS!$B$3:$B$3002,0)),"SIN DESPACHO"))</f>
        <v/>
      </c>
      <c r="E840" s="42">
        <f>IF($C840="","",IFERROR(INDEX(DESPACHOS!$K$3:$K$3002,MATCH($C840,DESPACHOS!$B$3:$B$3002,0)),""))</f>
        <v/>
      </c>
      <c r="F840" s="42">
        <f>IF($C840="","",IFERROR(INDEX(DESPACHOS!$I$3:$I$3002,MATCH($C840,DESPACHOS!$B$3:$B$3002,0)),""))</f>
        <v/>
      </c>
      <c r="G840" s="42">
        <f>IF($C840="","",IFERROR(INDEX(DESPACHOS!$F$3:$F$3002,MATCH($C840,DESPACHOS!$B$3:$B$3002,0)),""))</f>
        <v/>
      </c>
      <c r="H840" s="42">
        <f>IF($C840="","",IFERROR(INDEX(DESPACHOS!$G$3:$G$3002,MATCH($C840,DESPACHOS!$B$3:$B$3002,0)),""))</f>
        <v/>
      </c>
      <c r="I840" s="39">
        <f>IF($C840="","",IFERROR(INDEX(DESPACHOS!$H$3:$H$3002,MATCH($C840,DESPACHOS!$B$3:$B$3002,0)),""))</f>
        <v/>
      </c>
      <c r="J840" s="43">
        <f>IF($C840="","",IFERROR(INDEX(DESPACHOS!$J$3:$J$3002,MATCH($C840,DESPACHOS!$B$3:$B$3002,0)),""))</f>
        <v/>
      </c>
      <c r="K840" s="39">
        <f>IF($C840="","",IF(COUNTIFS(DESPACHOS!$B$3:$B$3002,$C840)=0,"NO EXISTE",IF(COUNTIFS(DESPACHOS!$B$3:$B$3002,$C840)&gt;1,"DUPLICADO","OK")))</f>
        <v/>
      </c>
      <c r="L840" s="41" t="n"/>
      <c r="M840" s="41" t="n"/>
      <c r="N840" s="42">
        <f>IF($M840="","",IFERROR(INDEX(LISTAS!$F$3:$F$42,MATCH($M840,LISTAS!$E$3:$E$42,0)),"Por definir"))</f>
        <v/>
      </c>
      <c r="O840" s="41" t="n"/>
      <c r="P840" s="39">
        <f>IF($L840="","",IFERROR(INDEX(LISTAS!$B$3:$B$42,MATCH($L840,LISTAS!$A$3:$A$42,0)),"Media"))</f>
        <v/>
      </c>
      <c r="Q840" s="44" t="n"/>
      <c r="R840" s="45" t="n"/>
      <c r="S840" s="20">
        <f>IFERROR(IF(OR($R840="",$C840=""),"",$R840/INDEX(DESPACHOS!$M$3:$M$3002,MATCH($C840,DESPACHOS!$B$3:$B$3002,0))),"")</f>
        <v/>
      </c>
      <c r="T840" s="41" t="n"/>
      <c r="U840" s="43">
        <f>IF(OR($B840="",$L840=""),"",WORKDAY($B840,IFERROR(INDEX(LISTAS!$C$3:$C$42,MATCH($L840,LISTAS!$A$3:$A$42,0)),3)))</f>
        <v/>
      </c>
      <c r="V840" s="40" t="n"/>
      <c r="W840" s="19">
        <f>IF($B840="","",IF($V840&lt;&gt;"",$V840-$B840,TODAY()-$B840))</f>
        <v/>
      </c>
      <c r="X840" s="19">
        <f>IF(OR($B840="",$U840=""),"",IF($V840&lt;&gt;"",MAX(0,$V840-$U840),MAX(0,TODAY()-$U840)))</f>
        <v/>
      </c>
      <c r="Y840" s="39">
        <f>IF($C840="","",IF(IFERROR(INDEX(LISTAS!$I$3:$I$42,MATCH($T840,LISTAS!$H$3:$H$42,0)),"NO")="SÍ",IF(N($X840)&gt;0,"CERRADA FUERA DE SLA","CERRADA EN SLA"),IF($U840="","SIN CLASIFICAR",IF(N($X840)&gt;0,"VENCIDA",IF(TODAY()&gt;=$U840-1,"POR VENCER","EN PLAZO")))))</f>
        <v/>
      </c>
      <c r="Z840" s="41" t="n"/>
      <c r="AA840" s="41" t="n"/>
      <c r="AB840" s="41" t="n"/>
    </row>
    <row r="841">
      <c r="A841" s="39">
        <f>IF($C841="","","NOV-"&amp;TEXT(ROW()-3,"0000"))</f>
        <v/>
      </c>
      <c r="B841" s="40" t="n"/>
      <c r="C841" s="41" t="n"/>
      <c r="D841" s="42">
        <f>IF($C841="","",IFERROR(INDEX(DESPACHOS!$D$3:$D$3002,MATCH($C841,DESPACHOS!$B$3:$B$3002,0)),"SIN DESPACHO"))</f>
        <v/>
      </c>
      <c r="E841" s="42">
        <f>IF($C841="","",IFERROR(INDEX(DESPACHOS!$K$3:$K$3002,MATCH($C841,DESPACHOS!$B$3:$B$3002,0)),""))</f>
        <v/>
      </c>
      <c r="F841" s="42">
        <f>IF($C841="","",IFERROR(INDEX(DESPACHOS!$I$3:$I$3002,MATCH($C841,DESPACHOS!$B$3:$B$3002,0)),""))</f>
        <v/>
      </c>
      <c r="G841" s="42">
        <f>IF($C841="","",IFERROR(INDEX(DESPACHOS!$F$3:$F$3002,MATCH($C841,DESPACHOS!$B$3:$B$3002,0)),""))</f>
        <v/>
      </c>
      <c r="H841" s="42">
        <f>IF($C841="","",IFERROR(INDEX(DESPACHOS!$G$3:$G$3002,MATCH($C841,DESPACHOS!$B$3:$B$3002,0)),""))</f>
        <v/>
      </c>
      <c r="I841" s="39">
        <f>IF($C841="","",IFERROR(INDEX(DESPACHOS!$H$3:$H$3002,MATCH($C841,DESPACHOS!$B$3:$B$3002,0)),""))</f>
        <v/>
      </c>
      <c r="J841" s="43">
        <f>IF($C841="","",IFERROR(INDEX(DESPACHOS!$J$3:$J$3002,MATCH($C841,DESPACHOS!$B$3:$B$3002,0)),""))</f>
        <v/>
      </c>
      <c r="K841" s="39">
        <f>IF($C841="","",IF(COUNTIFS(DESPACHOS!$B$3:$B$3002,$C841)=0,"NO EXISTE",IF(COUNTIFS(DESPACHOS!$B$3:$B$3002,$C841)&gt;1,"DUPLICADO","OK")))</f>
        <v/>
      </c>
      <c r="L841" s="41" t="n"/>
      <c r="M841" s="41" t="n"/>
      <c r="N841" s="42">
        <f>IF($M841="","",IFERROR(INDEX(LISTAS!$F$3:$F$42,MATCH($M841,LISTAS!$E$3:$E$42,0)),"Por definir"))</f>
        <v/>
      </c>
      <c r="O841" s="41" t="n"/>
      <c r="P841" s="39">
        <f>IF($L841="","",IFERROR(INDEX(LISTAS!$B$3:$B$42,MATCH($L841,LISTAS!$A$3:$A$42,0)),"Media"))</f>
        <v/>
      </c>
      <c r="Q841" s="44" t="n"/>
      <c r="R841" s="45" t="n"/>
      <c r="S841" s="20">
        <f>IFERROR(IF(OR($R841="",$C841=""),"",$R841/INDEX(DESPACHOS!$M$3:$M$3002,MATCH($C841,DESPACHOS!$B$3:$B$3002,0))),"")</f>
        <v/>
      </c>
      <c r="T841" s="41" t="n"/>
      <c r="U841" s="43">
        <f>IF(OR($B841="",$L841=""),"",WORKDAY($B841,IFERROR(INDEX(LISTAS!$C$3:$C$42,MATCH($L841,LISTAS!$A$3:$A$42,0)),3)))</f>
        <v/>
      </c>
      <c r="V841" s="40" t="n"/>
      <c r="W841" s="19">
        <f>IF($B841="","",IF($V841&lt;&gt;"",$V841-$B841,TODAY()-$B841))</f>
        <v/>
      </c>
      <c r="X841" s="19">
        <f>IF(OR($B841="",$U841=""),"",IF($V841&lt;&gt;"",MAX(0,$V841-$U841),MAX(0,TODAY()-$U841)))</f>
        <v/>
      </c>
      <c r="Y841" s="39">
        <f>IF($C841="","",IF(IFERROR(INDEX(LISTAS!$I$3:$I$42,MATCH($T841,LISTAS!$H$3:$H$42,0)),"NO")="SÍ",IF(N($X841)&gt;0,"CERRADA FUERA DE SLA","CERRADA EN SLA"),IF($U841="","SIN CLASIFICAR",IF(N($X841)&gt;0,"VENCIDA",IF(TODAY()&gt;=$U841-1,"POR VENCER","EN PLAZO")))))</f>
        <v/>
      </c>
      <c r="Z841" s="41" t="n"/>
      <c r="AA841" s="41" t="n"/>
      <c r="AB841" s="41" t="n"/>
    </row>
    <row r="842">
      <c r="A842" s="39">
        <f>IF($C842="","","NOV-"&amp;TEXT(ROW()-3,"0000"))</f>
        <v/>
      </c>
      <c r="B842" s="40" t="n"/>
      <c r="C842" s="41" t="n"/>
      <c r="D842" s="42">
        <f>IF($C842="","",IFERROR(INDEX(DESPACHOS!$D$3:$D$3002,MATCH($C842,DESPACHOS!$B$3:$B$3002,0)),"SIN DESPACHO"))</f>
        <v/>
      </c>
      <c r="E842" s="42">
        <f>IF($C842="","",IFERROR(INDEX(DESPACHOS!$K$3:$K$3002,MATCH($C842,DESPACHOS!$B$3:$B$3002,0)),""))</f>
        <v/>
      </c>
      <c r="F842" s="42">
        <f>IF($C842="","",IFERROR(INDEX(DESPACHOS!$I$3:$I$3002,MATCH($C842,DESPACHOS!$B$3:$B$3002,0)),""))</f>
        <v/>
      </c>
      <c r="G842" s="42">
        <f>IF($C842="","",IFERROR(INDEX(DESPACHOS!$F$3:$F$3002,MATCH($C842,DESPACHOS!$B$3:$B$3002,0)),""))</f>
        <v/>
      </c>
      <c r="H842" s="42">
        <f>IF($C842="","",IFERROR(INDEX(DESPACHOS!$G$3:$G$3002,MATCH($C842,DESPACHOS!$B$3:$B$3002,0)),""))</f>
        <v/>
      </c>
      <c r="I842" s="39">
        <f>IF($C842="","",IFERROR(INDEX(DESPACHOS!$H$3:$H$3002,MATCH($C842,DESPACHOS!$B$3:$B$3002,0)),""))</f>
        <v/>
      </c>
      <c r="J842" s="43">
        <f>IF($C842="","",IFERROR(INDEX(DESPACHOS!$J$3:$J$3002,MATCH($C842,DESPACHOS!$B$3:$B$3002,0)),""))</f>
        <v/>
      </c>
      <c r="K842" s="39">
        <f>IF($C842="","",IF(COUNTIFS(DESPACHOS!$B$3:$B$3002,$C842)=0,"NO EXISTE",IF(COUNTIFS(DESPACHOS!$B$3:$B$3002,$C842)&gt;1,"DUPLICADO","OK")))</f>
        <v/>
      </c>
      <c r="L842" s="41" t="n"/>
      <c r="M842" s="41" t="n"/>
      <c r="N842" s="42">
        <f>IF($M842="","",IFERROR(INDEX(LISTAS!$F$3:$F$42,MATCH($M842,LISTAS!$E$3:$E$42,0)),"Por definir"))</f>
        <v/>
      </c>
      <c r="O842" s="41" t="n"/>
      <c r="P842" s="39">
        <f>IF($L842="","",IFERROR(INDEX(LISTAS!$B$3:$B$42,MATCH($L842,LISTAS!$A$3:$A$42,0)),"Media"))</f>
        <v/>
      </c>
      <c r="Q842" s="44" t="n"/>
      <c r="R842" s="45" t="n"/>
      <c r="S842" s="20">
        <f>IFERROR(IF(OR($R842="",$C842=""),"",$R842/INDEX(DESPACHOS!$M$3:$M$3002,MATCH($C842,DESPACHOS!$B$3:$B$3002,0))),"")</f>
        <v/>
      </c>
      <c r="T842" s="41" t="n"/>
      <c r="U842" s="43">
        <f>IF(OR($B842="",$L842=""),"",WORKDAY($B842,IFERROR(INDEX(LISTAS!$C$3:$C$42,MATCH($L842,LISTAS!$A$3:$A$42,0)),3)))</f>
        <v/>
      </c>
      <c r="V842" s="40" t="n"/>
      <c r="W842" s="19">
        <f>IF($B842="","",IF($V842&lt;&gt;"",$V842-$B842,TODAY()-$B842))</f>
        <v/>
      </c>
      <c r="X842" s="19">
        <f>IF(OR($B842="",$U842=""),"",IF($V842&lt;&gt;"",MAX(0,$V842-$U842),MAX(0,TODAY()-$U842)))</f>
        <v/>
      </c>
      <c r="Y842" s="39">
        <f>IF($C842="","",IF(IFERROR(INDEX(LISTAS!$I$3:$I$42,MATCH($T842,LISTAS!$H$3:$H$42,0)),"NO")="SÍ",IF(N($X842)&gt;0,"CERRADA FUERA DE SLA","CERRADA EN SLA"),IF($U842="","SIN CLASIFICAR",IF(N($X842)&gt;0,"VENCIDA",IF(TODAY()&gt;=$U842-1,"POR VENCER","EN PLAZO")))))</f>
        <v/>
      </c>
      <c r="Z842" s="41" t="n"/>
      <c r="AA842" s="41" t="n"/>
      <c r="AB842" s="41" t="n"/>
    </row>
    <row r="843">
      <c r="A843" s="39">
        <f>IF($C843="","","NOV-"&amp;TEXT(ROW()-3,"0000"))</f>
        <v/>
      </c>
      <c r="B843" s="40" t="n"/>
      <c r="C843" s="41" t="n"/>
      <c r="D843" s="42">
        <f>IF($C843="","",IFERROR(INDEX(DESPACHOS!$D$3:$D$3002,MATCH($C843,DESPACHOS!$B$3:$B$3002,0)),"SIN DESPACHO"))</f>
        <v/>
      </c>
      <c r="E843" s="42">
        <f>IF($C843="","",IFERROR(INDEX(DESPACHOS!$K$3:$K$3002,MATCH($C843,DESPACHOS!$B$3:$B$3002,0)),""))</f>
        <v/>
      </c>
      <c r="F843" s="42">
        <f>IF($C843="","",IFERROR(INDEX(DESPACHOS!$I$3:$I$3002,MATCH($C843,DESPACHOS!$B$3:$B$3002,0)),""))</f>
        <v/>
      </c>
      <c r="G843" s="42">
        <f>IF($C843="","",IFERROR(INDEX(DESPACHOS!$F$3:$F$3002,MATCH($C843,DESPACHOS!$B$3:$B$3002,0)),""))</f>
        <v/>
      </c>
      <c r="H843" s="42">
        <f>IF($C843="","",IFERROR(INDEX(DESPACHOS!$G$3:$G$3002,MATCH($C843,DESPACHOS!$B$3:$B$3002,0)),""))</f>
        <v/>
      </c>
      <c r="I843" s="39">
        <f>IF($C843="","",IFERROR(INDEX(DESPACHOS!$H$3:$H$3002,MATCH($C843,DESPACHOS!$B$3:$B$3002,0)),""))</f>
        <v/>
      </c>
      <c r="J843" s="43">
        <f>IF($C843="","",IFERROR(INDEX(DESPACHOS!$J$3:$J$3002,MATCH($C843,DESPACHOS!$B$3:$B$3002,0)),""))</f>
        <v/>
      </c>
      <c r="K843" s="39">
        <f>IF($C843="","",IF(COUNTIFS(DESPACHOS!$B$3:$B$3002,$C843)=0,"NO EXISTE",IF(COUNTIFS(DESPACHOS!$B$3:$B$3002,$C843)&gt;1,"DUPLICADO","OK")))</f>
        <v/>
      </c>
      <c r="L843" s="41" t="n"/>
      <c r="M843" s="41" t="n"/>
      <c r="N843" s="42">
        <f>IF($M843="","",IFERROR(INDEX(LISTAS!$F$3:$F$42,MATCH($M843,LISTAS!$E$3:$E$42,0)),"Por definir"))</f>
        <v/>
      </c>
      <c r="O843" s="41" t="n"/>
      <c r="P843" s="39">
        <f>IF($L843="","",IFERROR(INDEX(LISTAS!$B$3:$B$42,MATCH($L843,LISTAS!$A$3:$A$42,0)),"Media"))</f>
        <v/>
      </c>
      <c r="Q843" s="44" t="n"/>
      <c r="R843" s="45" t="n"/>
      <c r="S843" s="20">
        <f>IFERROR(IF(OR($R843="",$C843=""),"",$R843/INDEX(DESPACHOS!$M$3:$M$3002,MATCH($C843,DESPACHOS!$B$3:$B$3002,0))),"")</f>
        <v/>
      </c>
      <c r="T843" s="41" t="n"/>
      <c r="U843" s="43">
        <f>IF(OR($B843="",$L843=""),"",WORKDAY($B843,IFERROR(INDEX(LISTAS!$C$3:$C$42,MATCH($L843,LISTAS!$A$3:$A$42,0)),3)))</f>
        <v/>
      </c>
      <c r="V843" s="40" t="n"/>
      <c r="W843" s="19">
        <f>IF($B843="","",IF($V843&lt;&gt;"",$V843-$B843,TODAY()-$B843))</f>
        <v/>
      </c>
      <c r="X843" s="19">
        <f>IF(OR($B843="",$U843=""),"",IF($V843&lt;&gt;"",MAX(0,$V843-$U843),MAX(0,TODAY()-$U843)))</f>
        <v/>
      </c>
      <c r="Y843" s="39">
        <f>IF($C843="","",IF(IFERROR(INDEX(LISTAS!$I$3:$I$42,MATCH($T843,LISTAS!$H$3:$H$42,0)),"NO")="SÍ",IF(N($X843)&gt;0,"CERRADA FUERA DE SLA","CERRADA EN SLA"),IF($U843="","SIN CLASIFICAR",IF(N($X843)&gt;0,"VENCIDA",IF(TODAY()&gt;=$U843-1,"POR VENCER","EN PLAZO")))))</f>
        <v/>
      </c>
      <c r="Z843" s="41" t="n"/>
      <c r="AA843" s="41" t="n"/>
      <c r="AB843" s="41" t="n"/>
    </row>
    <row r="844">
      <c r="A844" s="39">
        <f>IF($C844="","","NOV-"&amp;TEXT(ROW()-3,"0000"))</f>
        <v/>
      </c>
      <c r="B844" s="40" t="n"/>
      <c r="C844" s="41" t="n"/>
      <c r="D844" s="42">
        <f>IF($C844="","",IFERROR(INDEX(DESPACHOS!$D$3:$D$3002,MATCH($C844,DESPACHOS!$B$3:$B$3002,0)),"SIN DESPACHO"))</f>
        <v/>
      </c>
      <c r="E844" s="42">
        <f>IF($C844="","",IFERROR(INDEX(DESPACHOS!$K$3:$K$3002,MATCH($C844,DESPACHOS!$B$3:$B$3002,0)),""))</f>
        <v/>
      </c>
      <c r="F844" s="42">
        <f>IF($C844="","",IFERROR(INDEX(DESPACHOS!$I$3:$I$3002,MATCH($C844,DESPACHOS!$B$3:$B$3002,0)),""))</f>
        <v/>
      </c>
      <c r="G844" s="42">
        <f>IF($C844="","",IFERROR(INDEX(DESPACHOS!$F$3:$F$3002,MATCH($C844,DESPACHOS!$B$3:$B$3002,0)),""))</f>
        <v/>
      </c>
      <c r="H844" s="42">
        <f>IF($C844="","",IFERROR(INDEX(DESPACHOS!$G$3:$G$3002,MATCH($C844,DESPACHOS!$B$3:$B$3002,0)),""))</f>
        <v/>
      </c>
      <c r="I844" s="39">
        <f>IF($C844="","",IFERROR(INDEX(DESPACHOS!$H$3:$H$3002,MATCH($C844,DESPACHOS!$B$3:$B$3002,0)),""))</f>
        <v/>
      </c>
      <c r="J844" s="43">
        <f>IF($C844="","",IFERROR(INDEX(DESPACHOS!$J$3:$J$3002,MATCH($C844,DESPACHOS!$B$3:$B$3002,0)),""))</f>
        <v/>
      </c>
      <c r="K844" s="39">
        <f>IF($C844="","",IF(COUNTIFS(DESPACHOS!$B$3:$B$3002,$C844)=0,"NO EXISTE",IF(COUNTIFS(DESPACHOS!$B$3:$B$3002,$C844)&gt;1,"DUPLICADO","OK")))</f>
        <v/>
      </c>
      <c r="L844" s="41" t="n"/>
      <c r="M844" s="41" t="n"/>
      <c r="N844" s="42">
        <f>IF($M844="","",IFERROR(INDEX(LISTAS!$F$3:$F$42,MATCH($M844,LISTAS!$E$3:$E$42,0)),"Por definir"))</f>
        <v/>
      </c>
      <c r="O844" s="41" t="n"/>
      <c r="P844" s="39">
        <f>IF($L844="","",IFERROR(INDEX(LISTAS!$B$3:$B$42,MATCH($L844,LISTAS!$A$3:$A$42,0)),"Media"))</f>
        <v/>
      </c>
      <c r="Q844" s="44" t="n"/>
      <c r="R844" s="45" t="n"/>
      <c r="S844" s="20">
        <f>IFERROR(IF(OR($R844="",$C844=""),"",$R844/INDEX(DESPACHOS!$M$3:$M$3002,MATCH($C844,DESPACHOS!$B$3:$B$3002,0))),"")</f>
        <v/>
      </c>
      <c r="T844" s="41" t="n"/>
      <c r="U844" s="43">
        <f>IF(OR($B844="",$L844=""),"",WORKDAY($B844,IFERROR(INDEX(LISTAS!$C$3:$C$42,MATCH($L844,LISTAS!$A$3:$A$42,0)),3)))</f>
        <v/>
      </c>
      <c r="V844" s="40" t="n"/>
      <c r="W844" s="19">
        <f>IF($B844="","",IF($V844&lt;&gt;"",$V844-$B844,TODAY()-$B844))</f>
        <v/>
      </c>
      <c r="X844" s="19">
        <f>IF(OR($B844="",$U844=""),"",IF($V844&lt;&gt;"",MAX(0,$V844-$U844),MAX(0,TODAY()-$U844)))</f>
        <v/>
      </c>
      <c r="Y844" s="39">
        <f>IF($C844="","",IF(IFERROR(INDEX(LISTAS!$I$3:$I$42,MATCH($T844,LISTAS!$H$3:$H$42,0)),"NO")="SÍ",IF(N($X844)&gt;0,"CERRADA FUERA DE SLA","CERRADA EN SLA"),IF($U844="","SIN CLASIFICAR",IF(N($X844)&gt;0,"VENCIDA",IF(TODAY()&gt;=$U844-1,"POR VENCER","EN PLAZO")))))</f>
        <v/>
      </c>
      <c r="Z844" s="41" t="n"/>
      <c r="AA844" s="41" t="n"/>
      <c r="AB844" s="41" t="n"/>
    </row>
    <row r="845">
      <c r="A845" s="39">
        <f>IF($C845="","","NOV-"&amp;TEXT(ROW()-3,"0000"))</f>
        <v/>
      </c>
      <c r="B845" s="40" t="n"/>
      <c r="C845" s="41" t="n"/>
      <c r="D845" s="42">
        <f>IF($C845="","",IFERROR(INDEX(DESPACHOS!$D$3:$D$3002,MATCH($C845,DESPACHOS!$B$3:$B$3002,0)),"SIN DESPACHO"))</f>
        <v/>
      </c>
      <c r="E845" s="42">
        <f>IF($C845="","",IFERROR(INDEX(DESPACHOS!$K$3:$K$3002,MATCH($C845,DESPACHOS!$B$3:$B$3002,0)),""))</f>
        <v/>
      </c>
      <c r="F845" s="42">
        <f>IF($C845="","",IFERROR(INDEX(DESPACHOS!$I$3:$I$3002,MATCH($C845,DESPACHOS!$B$3:$B$3002,0)),""))</f>
        <v/>
      </c>
      <c r="G845" s="42">
        <f>IF($C845="","",IFERROR(INDEX(DESPACHOS!$F$3:$F$3002,MATCH($C845,DESPACHOS!$B$3:$B$3002,0)),""))</f>
        <v/>
      </c>
      <c r="H845" s="42">
        <f>IF($C845="","",IFERROR(INDEX(DESPACHOS!$G$3:$G$3002,MATCH($C845,DESPACHOS!$B$3:$B$3002,0)),""))</f>
        <v/>
      </c>
      <c r="I845" s="39">
        <f>IF($C845="","",IFERROR(INDEX(DESPACHOS!$H$3:$H$3002,MATCH($C845,DESPACHOS!$B$3:$B$3002,0)),""))</f>
        <v/>
      </c>
      <c r="J845" s="43">
        <f>IF($C845="","",IFERROR(INDEX(DESPACHOS!$J$3:$J$3002,MATCH($C845,DESPACHOS!$B$3:$B$3002,0)),""))</f>
        <v/>
      </c>
      <c r="K845" s="39">
        <f>IF($C845="","",IF(COUNTIFS(DESPACHOS!$B$3:$B$3002,$C845)=0,"NO EXISTE",IF(COUNTIFS(DESPACHOS!$B$3:$B$3002,$C845)&gt;1,"DUPLICADO","OK")))</f>
        <v/>
      </c>
      <c r="L845" s="41" t="n"/>
      <c r="M845" s="41" t="n"/>
      <c r="N845" s="42">
        <f>IF($M845="","",IFERROR(INDEX(LISTAS!$F$3:$F$42,MATCH($M845,LISTAS!$E$3:$E$42,0)),"Por definir"))</f>
        <v/>
      </c>
      <c r="O845" s="41" t="n"/>
      <c r="P845" s="39">
        <f>IF($L845="","",IFERROR(INDEX(LISTAS!$B$3:$B$42,MATCH($L845,LISTAS!$A$3:$A$42,0)),"Media"))</f>
        <v/>
      </c>
      <c r="Q845" s="44" t="n"/>
      <c r="R845" s="45" t="n"/>
      <c r="S845" s="20">
        <f>IFERROR(IF(OR($R845="",$C845=""),"",$R845/INDEX(DESPACHOS!$M$3:$M$3002,MATCH($C845,DESPACHOS!$B$3:$B$3002,0))),"")</f>
        <v/>
      </c>
      <c r="T845" s="41" t="n"/>
      <c r="U845" s="43">
        <f>IF(OR($B845="",$L845=""),"",WORKDAY($B845,IFERROR(INDEX(LISTAS!$C$3:$C$42,MATCH($L845,LISTAS!$A$3:$A$42,0)),3)))</f>
        <v/>
      </c>
      <c r="V845" s="40" t="n"/>
      <c r="W845" s="19">
        <f>IF($B845="","",IF($V845&lt;&gt;"",$V845-$B845,TODAY()-$B845))</f>
        <v/>
      </c>
      <c r="X845" s="19">
        <f>IF(OR($B845="",$U845=""),"",IF($V845&lt;&gt;"",MAX(0,$V845-$U845),MAX(0,TODAY()-$U845)))</f>
        <v/>
      </c>
      <c r="Y845" s="39">
        <f>IF($C845="","",IF(IFERROR(INDEX(LISTAS!$I$3:$I$42,MATCH($T845,LISTAS!$H$3:$H$42,0)),"NO")="SÍ",IF(N($X845)&gt;0,"CERRADA FUERA DE SLA","CERRADA EN SLA"),IF($U845="","SIN CLASIFICAR",IF(N($X845)&gt;0,"VENCIDA",IF(TODAY()&gt;=$U845-1,"POR VENCER","EN PLAZO")))))</f>
        <v/>
      </c>
      <c r="Z845" s="41" t="n"/>
      <c r="AA845" s="41" t="n"/>
      <c r="AB845" s="41" t="n"/>
    </row>
    <row r="846">
      <c r="A846" s="39">
        <f>IF($C846="","","NOV-"&amp;TEXT(ROW()-3,"0000"))</f>
        <v/>
      </c>
      <c r="B846" s="40" t="n"/>
      <c r="C846" s="41" t="n"/>
      <c r="D846" s="42">
        <f>IF($C846="","",IFERROR(INDEX(DESPACHOS!$D$3:$D$3002,MATCH($C846,DESPACHOS!$B$3:$B$3002,0)),"SIN DESPACHO"))</f>
        <v/>
      </c>
      <c r="E846" s="42">
        <f>IF($C846="","",IFERROR(INDEX(DESPACHOS!$K$3:$K$3002,MATCH($C846,DESPACHOS!$B$3:$B$3002,0)),""))</f>
        <v/>
      </c>
      <c r="F846" s="42">
        <f>IF($C846="","",IFERROR(INDEX(DESPACHOS!$I$3:$I$3002,MATCH($C846,DESPACHOS!$B$3:$B$3002,0)),""))</f>
        <v/>
      </c>
      <c r="G846" s="42">
        <f>IF($C846="","",IFERROR(INDEX(DESPACHOS!$F$3:$F$3002,MATCH($C846,DESPACHOS!$B$3:$B$3002,0)),""))</f>
        <v/>
      </c>
      <c r="H846" s="42">
        <f>IF($C846="","",IFERROR(INDEX(DESPACHOS!$G$3:$G$3002,MATCH($C846,DESPACHOS!$B$3:$B$3002,0)),""))</f>
        <v/>
      </c>
      <c r="I846" s="39">
        <f>IF($C846="","",IFERROR(INDEX(DESPACHOS!$H$3:$H$3002,MATCH($C846,DESPACHOS!$B$3:$B$3002,0)),""))</f>
        <v/>
      </c>
      <c r="J846" s="43">
        <f>IF($C846="","",IFERROR(INDEX(DESPACHOS!$J$3:$J$3002,MATCH($C846,DESPACHOS!$B$3:$B$3002,0)),""))</f>
        <v/>
      </c>
      <c r="K846" s="39">
        <f>IF($C846="","",IF(COUNTIFS(DESPACHOS!$B$3:$B$3002,$C846)=0,"NO EXISTE",IF(COUNTIFS(DESPACHOS!$B$3:$B$3002,$C846)&gt;1,"DUPLICADO","OK")))</f>
        <v/>
      </c>
      <c r="L846" s="41" t="n"/>
      <c r="M846" s="41" t="n"/>
      <c r="N846" s="42">
        <f>IF($M846="","",IFERROR(INDEX(LISTAS!$F$3:$F$42,MATCH($M846,LISTAS!$E$3:$E$42,0)),"Por definir"))</f>
        <v/>
      </c>
      <c r="O846" s="41" t="n"/>
      <c r="P846" s="39">
        <f>IF($L846="","",IFERROR(INDEX(LISTAS!$B$3:$B$42,MATCH($L846,LISTAS!$A$3:$A$42,0)),"Media"))</f>
        <v/>
      </c>
      <c r="Q846" s="44" t="n"/>
      <c r="R846" s="45" t="n"/>
      <c r="S846" s="20">
        <f>IFERROR(IF(OR($R846="",$C846=""),"",$R846/INDEX(DESPACHOS!$M$3:$M$3002,MATCH($C846,DESPACHOS!$B$3:$B$3002,0))),"")</f>
        <v/>
      </c>
      <c r="T846" s="41" t="n"/>
      <c r="U846" s="43">
        <f>IF(OR($B846="",$L846=""),"",WORKDAY($B846,IFERROR(INDEX(LISTAS!$C$3:$C$42,MATCH($L846,LISTAS!$A$3:$A$42,0)),3)))</f>
        <v/>
      </c>
      <c r="V846" s="40" t="n"/>
      <c r="W846" s="19">
        <f>IF($B846="","",IF($V846&lt;&gt;"",$V846-$B846,TODAY()-$B846))</f>
        <v/>
      </c>
      <c r="X846" s="19">
        <f>IF(OR($B846="",$U846=""),"",IF($V846&lt;&gt;"",MAX(0,$V846-$U846),MAX(0,TODAY()-$U846)))</f>
        <v/>
      </c>
      <c r="Y846" s="39">
        <f>IF($C846="","",IF(IFERROR(INDEX(LISTAS!$I$3:$I$42,MATCH($T846,LISTAS!$H$3:$H$42,0)),"NO")="SÍ",IF(N($X846)&gt;0,"CERRADA FUERA DE SLA","CERRADA EN SLA"),IF($U846="","SIN CLASIFICAR",IF(N($X846)&gt;0,"VENCIDA",IF(TODAY()&gt;=$U846-1,"POR VENCER","EN PLAZO")))))</f>
        <v/>
      </c>
      <c r="Z846" s="41" t="n"/>
      <c r="AA846" s="41" t="n"/>
      <c r="AB846" s="41" t="n"/>
    </row>
    <row r="847">
      <c r="A847" s="39">
        <f>IF($C847="","","NOV-"&amp;TEXT(ROW()-3,"0000"))</f>
        <v/>
      </c>
      <c r="B847" s="40" t="n"/>
      <c r="C847" s="41" t="n"/>
      <c r="D847" s="42">
        <f>IF($C847="","",IFERROR(INDEX(DESPACHOS!$D$3:$D$3002,MATCH($C847,DESPACHOS!$B$3:$B$3002,0)),"SIN DESPACHO"))</f>
        <v/>
      </c>
      <c r="E847" s="42">
        <f>IF($C847="","",IFERROR(INDEX(DESPACHOS!$K$3:$K$3002,MATCH($C847,DESPACHOS!$B$3:$B$3002,0)),""))</f>
        <v/>
      </c>
      <c r="F847" s="42">
        <f>IF($C847="","",IFERROR(INDEX(DESPACHOS!$I$3:$I$3002,MATCH($C847,DESPACHOS!$B$3:$B$3002,0)),""))</f>
        <v/>
      </c>
      <c r="G847" s="42">
        <f>IF($C847="","",IFERROR(INDEX(DESPACHOS!$F$3:$F$3002,MATCH($C847,DESPACHOS!$B$3:$B$3002,0)),""))</f>
        <v/>
      </c>
      <c r="H847" s="42">
        <f>IF($C847="","",IFERROR(INDEX(DESPACHOS!$G$3:$G$3002,MATCH($C847,DESPACHOS!$B$3:$B$3002,0)),""))</f>
        <v/>
      </c>
      <c r="I847" s="39">
        <f>IF($C847="","",IFERROR(INDEX(DESPACHOS!$H$3:$H$3002,MATCH($C847,DESPACHOS!$B$3:$B$3002,0)),""))</f>
        <v/>
      </c>
      <c r="J847" s="43">
        <f>IF($C847="","",IFERROR(INDEX(DESPACHOS!$J$3:$J$3002,MATCH($C847,DESPACHOS!$B$3:$B$3002,0)),""))</f>
        <v/>
      </c>
      <c r="K847" s="39">
        <f>IF($C847="","",IF(COUNTIFS(DESPACHOS!$B$3:$B$3002,$C847)=0,"NO EXISTE",IF(COUNTIFS(DESPACHOS!$B$3:$B$3002,$C847)&gt;1,"DUPLICADO","OK")))</f>
        <v/>
      </c>
      <c r="L847" s="41" t="n"/>
      <c r="M847" s="41" t="n"/>
      <c r="N847" s="42">
        <f>IF($M847="","",IFERROR(INDEX(LISTAS!$F$3:$F$42,MATCH($M847,LISTAS!$E$3:$E$42,0)),"Por definir"))</f>
        <v/>
      </c>
      <c r="O847" s="41" t="n"/>
      <c r="P847" s="39">
        <f>IF($L847="","",IFERROR(INDEX(LISTAS!$B$3:$B$42,MATCH($L847,LISTAS!$A$3:$A$42,0)),"Media"))</f>
        <v/>
      </c>
      <c r="Q847" s="44" t="n"/>
      <c r="R847" s="45" t="n"/>
      <c r="S847" s="20">
        <f>IFERROR(IF(OR($R847="",$C847=""),"",$R847/INDEX(DESPACHOS!$M$3:$M$3002,MATCH($C847,DESPACHOS!$B$3:$B$3002,0))),"")</f>
        <v/>
      </c>
      <c r="T847" s="41" t="n"/>
      <c r="U847" s="43">
        <f>IF(OR($B847="",$L847=""),"",WORKDAY($B847,IFERROR(INDEX(LISTAS!$C$3:$C$42,MATCH($L847,LISTAS!$A$3:$A$42,0)),3)))</f>
        <v/>
      </c>
      <c r="V847" s="40" t="n"/>
      <c r="W847" s="19">
        <f>IF($B847="","",IF($V847&lt;&gt;"",$V847-$B847,TODAY()-$B847))</f>
        <v/>
      </c>
      <c r="X847" s="19">
        <f>IF(OR($B847="",$U847=""),"",IF($V847&lt;&gt;"",MAX(0,$V847-$U847),MAX(0,TODAY()-$U847)))</f>
        <v/>
      </c>
      <c r="Y847" s="39">
        <f>IF($C847="","",IF(IFERROR(INDEX(LISTAS!$I$3:$I$42,MATCH($T847,LISTAS!$H$3:$H$42,0)),"NO")="SÍ",IF(N($X847)&gt;0,"CERRADA FUERA DE SLA","CERRADA EN SLA"),IF($U847="","SIN CLASIFICAR",IF(N($X847)&gt;0,"VENCIDA",IF(TODAY()&gt;=$U847-1,"POR VENCER","EN PLAZO")))))</f>
        <v/>
      </c>
      <c r="Z847" s="41" t="n"/>
      <c r="AA847" s="41" t="n"/>
      <c r="AB847" s="41" t="n"/>
    </row>
    <row r="848">
      <c r="A848" s="39">
        <f>IF($C848="","","NOV-"&amp;TEXT(ROW()-3,"0000"))</f>
        <v/>
      </c>
      <c r="B848" s="40" t="n"/>
      <c r="C848" s="41" t="n"/>
      <c r="D848" s="42">
        <f>IF($C848="","",IFERROR(INDEX(DESPACHOS!$D$3:$D$3002,MATCH($C848,DESPACHOS!$B$3:$B$3002,0)),"SIN DESPACHO"))</f>
        <v/>
      </c>
      <c r="E848" s="42">
        <f>IF($C848="","",IFERROR(INDEX(DESPACHOS!$K$3:$K$3002,MATCH($C848,DESPACHOS!$B$3:$B$3002,0)),""))</f>
        <v/>
      </c>
      <c r="F848" s="42">
        <f>IF($C848="","",IFERROR(INDEX(DESPACHOS!$I$3:$I$3002,MATCH($C848,DESPACHOS!$B$3:$B$3002,0)),""))</f>
        <v/>
      </c>
      <c r="G848" s="42">
        <f>IF($C848="","",IFERROR(INDEX(DESPACHOS!$F$3:$F$3002,MATCH($C848,DESPACHOS!$B$3:$B$3002,0)),""))</f>
        <v/>
      </c>
      <c r="H848" s="42">
        <f>IF($C848="","",IFERROR(INDEX(DESPACHOS!$G$3:$G$3002,MATCH($C848,DESPACHOS!$B$3:$B$3002,0)),""))</f>
        <v/>
      </c>
      <c r="I848" s="39">
        <f>IF($C848="","",IFERROR(INDEX(DESPACHOS!$H$3:$H$3002,MATCH($C848,DESPACHOS!$B$3:$B$3002,0)),""))</f>
        <v/>
      </c>
      <c r="J848" s="43">
        <f>IF($C848="","",IFERROR(INDEX(DESPACHOS!$J$3:$J$3002,MATCH($C848,DESPACHOS!$B$3:$B$3002,0)),""))</f>
        <v/>
      </c>
      <c r="K848" s="39">
        <f>IF($C848="","",IF(COUNTIFS(DESPACHOS!$B$3:$B$3002,$C848)=0,"NO EXISTE",IF(COUNTIFS(DESPACHOS!$B$3:$B$3002,$C848)&gt;1,"DUPLICADO","OK")))</f>
        <v/>
      </c>
      <c r="L848" s="41" t="n"/>
      <c r="M848" s="41" t="n"/>
      <c r="N848" s="42">
        <f>IF($M848="","",IFERROR(INDEX(LISTAS!$F$3:$F$42,MATCH($M848,LISTAS!$E$3:$E$42,0)),"Por definir"))</f>
        <v/>
      </c>
      <c r="O848" s="41" t="n"/>
      <c r="P848" s="39">
        <f>IF($L848="","",IFERROR(INDEX(LISTAS!$B$3:$B$42,MATCH($L848,LISTAS!$A$3:$A$42,0)),"Media"))</f>
        <v/>
      </c>
      <c r="Q848" s="44" t="n"/>
      <c r="R848" s="45" t="n"/>
      <c r="S848" s="20">
        <f>IFERROR(IF(OR($R848="",$C848=""),"",$R848/INDEX(DESPACHOS!$M$3:$M$3002,MATCH($C848,DESPACHOS!$B$3:$B$3002,0))),"")</f>
        <v/>
      </c>
      <c r="T848" s="41" t="n"/>
      <c r="U848" s="43">
        <f>IF(OR($B848="",$L848=""),"",WORKDAY($B848,IFERROR(INDEX(LISTAS!$C$3:$C$42,MATCH($L848,LISTAS!$A$3:$A$42,0)),3)))</f>
        <v/>
      </c>
      <c r="V848" s="40" t="n"/>
      <c r="W848" s="19">
        <f>IF($B848="","",IF($V848&lt;&gt;"",$V848-$B848,TODAY()-$B848))</f>
        <v/>
      </c>
      <c r="X848" s="19">
        <f>IF(OR($B848="",$U848=""),"",IF($V848&lt;&gt;"",MAX(0,$V848-$U848),MAX(0,TODAY()-$U848)))</f>
        <v/>
      </c>
      <c r="Y848" s="39">
        <f>IF($C848="","",IF(IFERROR(INDEX(LISTAS!$I$3:$I$42,MATCH($T848,LISTAS!$H$3:$H$42,0)),"NO")="SÍ",IF(N($X848)&gt;0,"CERRADA FUERA DE SLA","CERRADA EN SLA"),IF($U848="","SIN CLASIFICAR",IF(N($X848)&gt;0,"VENCIDA",IF(TODAY()&gt;=$U848-1,"POR VENCER","EN PLAZO")))))</f>
        <v/>
      </c>
      <c r="Z848" s="41" t="n"/>
      <c r="AA848" s="41" t="n"/>
      <c r="AB848" s="41" t="n"/>
    </row>
    <row r="849">
      <c r="A849" s="39">
        <f>IF($C849="","","NOV-"&amp;TEXT(ROW()-3,"0000"))</f>
        <v/>
      </c>
      <c r="B849" s="40" t="n"/>
      <c r="C849" s="41" t="n"/>
      <c r="D849" s="42">
        <f>IF($C849="","",IFERROR(INDEX(DESPACHOS!$D$3:$D$3002,MATCH($C849,DESPACHOS!$B$3:$B$3002,0)),"SIN DESPACHO"))</f>
        <v/>
      </c>
      <c r="E849" s="42">
        <f>IF($C849="","",IFERROR(INDEX(DESPACHOS!$K$3:$K$3002,MATCH($C849,DESPACHOS!$B$3:$B$3002,0)),""))</f>
        <v/>
      </c>
      <c r="F849" s="42">
        <f>IF($C849="","",IFERROR(INDEX(DESPACHOS!$I$3:$I$3002,MATCH($C849,DESPACHOS!$B$3:$B$3002,0)),""))</f>
        <v/>
      </c>
      <c r="G849" s="42">
        <f>IF($C849="","",IFERROR(INDEX(DESPACHOS!$F$3:$F$3002,MATCH($C849,DESPACHOS!$B$3:$B$3002,0)),""))</f>
        <v/>
      </c>
      <c r="H849" s="42">
        <f>IF($C849="","",IFERROR(INDEX(DESPACHOS!$G$3:$G$3002,MATCH($C849,DESPACHOS!$B$3:$B$3002,0)),""))</f>
        <v/>
      </c>
      <c r="I849" s="39">
        <f>IF($C849="","",IFERROR(INDEX(DESPACHOS!$H$3:$H$3002,MATCH($C849,DESPACHOS!$B$3:$B$3002,0)),""))</f>
        <v/>
      </c>
      <c r="J849" s="43">
        <f>IF($C849="","",IFERROR(INDEX(DESPACHOS!$J$3:$J$3002,MATCH($C849,DESPACHOS!$B$3:$B$3002,0)),""))</f>
        <v/>
      </c>
      <c r="K849" s="39">
        <f>IF($C849="","",IF(COUNTIFS(DESPACHOS!$B$3:$B$3002,$C849)=0,"NO EXISTE",IF(COUNTIFS(DESPACHOS!$B$3:$B$3002,$C849)&gt;1,"DUPLICADO","OK")))</f>
        <v/>
      </c>
      <c r="L849" s="41" t="n"/>
      <c r="M849" s="41" t="n"/>
      <c r="N849" s="42">
        <f>IF($M849="","",IFERROR(INDEX(LISTAS!$F$3:$F$42,MATCH($M849,LISTAS!$E$3:$E$42,0)),"Por definir"))</f>
        <v/>
      </c>
      <c r="O849" s="41" t="n"/>
      <c r="P849" s="39">
        <f>IF($L849="","",IFERROR(INDEX(LISTAS!$B$3:$B$42,MATCH($L849,LISTAS!$A$3:$A$42,0)),"Media"))</f>
        <v/>
      </c>
      <c r="Q849" s="44" t="n"/>
      <c r="R849" s="45" t="n"/>
      <c r="S849" s="20">
        <f>IFERROR(IF(OR($R849="",$C849=""),"",$R849/INDEX(DESPACHOS!$M$3:$M$3002,MATCH($C849,DESPACHOS!$B$3:$B$3002,0))),"")</f>
        <v/>
      </c>
      <c r="T849" s="41" t="n"/>
      <c r="U849" s="43">
        <f>IF(OR($B849="",$L849=""),"",WORKDAY($B849,IFERROR(INDEX(LISTAS!$C$3:$C$42,MATCH($L849,LISTAS!$A$3:$A$42,0)),3)))</f>
        <v/>
      </c>
      <c r="V849" s="40" t="n"/>
      <c r="W849" s="19">
        <f>IF($B849="","",IF($V849&lt;&gt;"",$V849-$B849,TODAY()-$B849))</f>
        <v/>
      </c>
      <c r="X849" s="19">
        <f>IF(OR($B849="",$U849=""),"",IF($V849&lt;&gt;"",MAX(0,$V849-$U849),MAX(0,TODAY()-$U849)))</f>
        <v/>
      </c>
      <c r="Y849" s="39">
        <f>IF($C849="","",IF(IFERROR(INDEX(LISTAS!$I$3:$I$42,MATCH($T849,LISTAS!$H$3:$H$42,0)),"NO")="SÍ",IF(N($X849)&gt;0,"CERRADA FUERA DE SLA","CERRADA EN SLA"),IF($U849="","SIN CLASIFICAR",IF(N($X849)&gt;0,"VENCIDA",IF(TODAY()&gt;=$U849-1,"POR VENCER","EN PLAZO")))))</f>
        <v/>
      </c>
      <c r="Z849" s="41" t="n"/>
      <c r="AA849" s="41" t="n"/>
      <c r="AB849" s="41" t="n"/>
    </row>
    <row r="850">
      <c r="A850" s="39">
        <f>IF($C850="","","NOV-"&amp;TEXT(ROW()-3,"0000"))</f>
        <v/>
      </c>
      <c r="B850" s="40" t="n"/>
      <c r="C850" s="41" t="n"/>
      <c r="D850" s="42">
        <f>IF($C850="","",IFERROR(INDEX(DESPACHOS!$D$3:$D$3002,MATCH($C850,DESPACHOS!$B$3:$B$3002,0)),"SIN DESPACHO"))</f>
        <v/>
      </c>
      <c r="E850" s="42">
        <f>IF($C850="","",IFERROR(INDEX(DESPACHOS!$K$3:$K$3002,MATCH($C850,DESPACHOS!$B$3:$B$3002,0)),""))</f>
        <v/>
      </c>
      <c r="F850" s="42">
        <f>IF($C850="","",IFERROR(INDEX(DESPACHOS!$I$3:$I$3002,MATCH($C850,DESPACHOS!$B$3:$B$3002,0)),""))</f>
        <v/>
      </c>
      <c r="G850" s="42">
        <f>IF($C850="","",IFERROR(INDEX(DESPACHOS!$F$3:$F$3002,MATCH($C850,DESPACHOS!$B$3:$B$3002,0)),""))</f>
        <v/>
      </c>
      <c r="H850" s="42">
        <f>IF($C850="","",IFERROR(INDEX(DESPACHOS!$G$3:$G$3002,MATCH($C850,DESPACHOS!$B$3:$B$3002,0)),""))</f>
        <v/>
      </c>
      <c r="I850" s="39">
        <f>IF($C850="","",IFERROR(INDEX(DESPACHOS!$H$3:$H$3002,MATCH($C850,DESPACHOS!$B$3:$B$3002,0)),""))</f>
        <v/>
      </c>
      <c r="J850" s="43">
        <f>IF($C850="","",IFERROR(INDEX(DESPACHOS!$J$3:$J$3002,MATCH($C850,DESPACHOS!$B$3:$B$3002,0)),""))</f>
        <v/>
      </c>
      <c r="K850" s="39">
        <f>IF($C850="","",IF(COUNTIFS(DESPACHOS!$B$3:$B$3002,$C850)=0,"NO EXISTE",IF(COUNTIFS(DESPACHOS!$B$3:$B$3002,$C850)&gt;1,"DUPLICADO","OK")))</f>
        <v/>
      </c>
      <c r="L850" s="41" t="n"/>
      <c r="M850" s="41" t="n"/>
      <c r="N850" s="42">
        <f>IF($M850="","",IFERROR(INDEX(LISTAS!$F$3:$F$42,MATCH($M850,LISTAS!$E$3:$E$42,0)),"Por definir"))</f>
        <v/>
      </c>
      <c r="O850" s="41" t="n"/>
      <c r="P850" s="39">
        <f>IF($L850="","",IFERROR(INDEX(LISTAS!$B$3:$B$42,MATCH($L850,LISTAS!$A$3:$A$42,0)),"Media"))</f>
        <v/>
      </c>
      <c r="Q850" s="44" t="n"/>
      <c r="R850" s="45" t="n"/>
      <c r="S850" s="20">
        <f>IFERROR(IF(OR($R850="",$C850=""),"",$R850/INDEX(DESPACHOS!$M$3:$M$3002,MATCH($C850,DESPACHOS!$B$3:$B$3002,0))),"")</f>
        <v/>
      </c>
      <c r="T850" s="41" t="n"/>
      <c r="U850" s="43">
        <f>IF(OR($B850="",$L850=""),"",WORKDAY($B850,IFERROR(INDEX(LISTAS!$C$3:$C$42,MATCH($L850,LISTAS!$A$3:$A$42,0)),3)))</f>
        <v/>
      </c>
      <c r="V850" s="40" t="n"/>
      <c r="W850" s="19">
        <f>IF($B850="","",IF($V850&lt;&gt;"",$V850-$B850,TODAY()-$B850))</f>
        <v/>
      </c>
      <c r="X850" s="19">
        <f>IF(OR($B850="",$U850=""),"",IF($V850&lt;&gt;"",MAX(0,$V850-$U850),MAX(0,TODAY()-$U850)))</f>
        <v/>
      </c>
      <c r="Y850" s="39">
        <f>IF($C850="","",IF(IFERROR(INDEX(LISTAS!$I$3:$I$42,MATCH($T850,LISTAS!$H$3:$H$42,0)),"NO")="SÍ",IF(N($X850)&gt;0,"CERRADA FUERA DE SLA","CERRADA EN SLA"),IF($U850="","SIN CLASIFICAR",IF(N($X850)&gt;0,"VENCIDA",IF(TODAY()&gt;=$U850-1,"POR VENCER","EN PLAZO")))))</f>
        <v/>
      </c>
      <c r="Z850" s="41" t="n"/>
      <c r="AA850" s="41" t="n"/>
      <c r="AB850" s="41" t="n"/>
    </row>
    <row r="851">
      <c r="A851" s="39">
        <f>IF($C851="","","NOV-"&amp;TEXT(ROW()-3,"0000"))</f>
        <v/>
      </c>
      <c r="B851" s="40" t="n"/>
      <c r="C851" s="41" t="n"/>
      <c r="D851" s="42">
        <f>IF($C851="","",IFERROR(INDEX(DESPACHOS!$D$3:$D$3002,MATCH($C851,DESPACHOS!$B$3:$B$3002,0)),"SIN DESPACHO"))</f>
        <v/>
      </c>
      <c r="E851" s="42">
        <f>IF($C851="","",IFERROR(INDEX(DESPACHOS!$K$3:$K$3002,MATCH($C851,DESPACHOS!$B$3:$B$3002,0)),""))</f>
        <v/>
      </c>
      <c r="F851" s="42">
        <f>IF($C851="","",IFERROR(INDEX(DESPACHOS!$I$3:$I$3002,MATCH($C851,DESPACHOS!$B$3:$B$3002,0)),""))</f>
        <v/>
      </c>
      <c r="G851" s="42">
        <f>IF($C851="","",IFERROR(INDEX(DESPACHOS!$F$3:$F$3002,MATCH($C851,DESPACHOS!$B$3:$B$3002,0)),""))</f>
        <v/>
      </c>
      <c r="H851" s="42">
        <f>IF($C851="","",IFERROR(INDEX(DESPACHOS!$G$3:$G$3002,MATCH($C851,DESPACHOS!$B$3:$B$3002,0)),""))</f>
        <v/>
      </c>
      <c r="I851" s="39">
        <f>IF($C851="","",IFERROR(INDEX(DESPACHOS!$H$3:$H$3002,MATCH($C851,DESPACHOS!$B$3:$B$3002,0)),""))</f>
        <v/>
      </c>
      <c r="J851" s="43">
        <f>IF($C851="","",IFERROR(INDEX(DESPACHOS!$J$3:$J$3002,MATCH($C851,DESPACHOS!$B$3:$B$3002,0)),""))</f>
        <v/>
      </c>
      <c r="K851" s="39">
        <f>IF($C851="","",IF(COUNTIFS(DESPACHOS!$B$3:$B$3002,$C851)=0,"NO EXISTE",IF(COUNTIFS(DESPACHOS!$B$3:$B$3002,$C851)&gt;1,"DUPLICADO","OK")))</f>
        <v/>
      </c>
      <c r="L851" s="41" t="n"/>
      <c r="M851" s="41" t="n"/>
      <c r="N851" s="42">
        <f>IF($M851="","",IFERROR(INDEX(LISTAS!$F$3:$F$42,MATCH($M851,LISTAS!$E$3:$E$42,0)),"Por definir"))</f>
        <v/>
      </c>
      <c r="O851" s="41" t="n"/>
      <c r="P851" s="39">
        <f>IF($L851="","",IFERROR(INDEX(LISTAS!$B$3:$B$42,MATCH($L851,LISTAS!$A$3:$A$42,0)),"Media"))</f>
        <v/>
      </c>
      <c r="Q851" s="44" t="n"/>
      <c r="R851" s="45" t="n"/>
      <c r="S851" s="20">
        <f>IFERROR(IF(OR($R851="",$C851=""),"",$R851/INDEX(DESPACHOS!$M$3:$M$3002,MATCH($C851,DESPACHOS!$B$3:$B$3002,0))),"")</f>
        <v/>
      </c>
      <c r="T851" s="41" t="n"/>
      <c r="U851" s="43">
        <f>IF(OR($B851="",$L851=""),"",WORKDAY($B851,IFERROR(INDEX(LISTAS!$C$3:$C$42,MATCH($L851,LISTAS!$A$3:$A$42,0)),3)))</f>
        <v/>
      </c>
      <c r="V851" s="40" t="n"/>
      <c r="W851" s="19">
        <f>IF($B851="","",IF($V851&lt;&gt;"",$V851-$B851,TODAY()-$B851))</f>
        <v/>
      </c>
      <c r="X851" s="19">
        <f>IF(OR($B851="",$U851=""),"",IF($V851&lt;&gt;"",MAX(0,$V851-$U851),MAX(0,TODAY()-$U851)))</f>
        <v/>
      </c>
      <c r="Y851" s="39">
        <f>IF($C851="","",IF(IFERROR(INDEX(LISTAS!$I$3:$I$42,MATCH($T851,LISTAS!$H$3:$H$42,0)),"NO")="SÍ",IF(N($X851)&gt;0,"CERRADA FUERA DE SLA","CERRADA EN SLA"),IF($U851="","SIN CLASIFICAR",IF(N($X851)&gt;0,"VENCIDA",IF(TODAY()&gt;=$U851-1,"POR VENCER","EN PLAZO")))))</f>
        <v/>
      </c>
      <c r="Z851" s="41" t="n"/>
      <c r="AA851" s="41" t="n"/>
      <c r="AB851" s="41" t="n"/>
    </row>
    <row r="852">
      <c r="A852" s="39">
        <f>IF($C852="","","NOV-"&amp;TEXT(ROW()-3,"0000"))</f>
        <v/>
      </c>
      <c r="B852" s="40" t="n"/>
      <c r="C852" s="41" t="n"/>
      <c r="D852" s="42">
        <f>IF($C852="","",IFERROR(INDEX(DESPACHOS!$D$3:$D$3002,MATCH($C852,DESPACHOS!$B$3:$B$3002,0)),"SIN DESPACHO"))</f>
        <v/>
      </c>
      <c r="E852" s="42">
        <f>IF($C852="","",IFERROR(INDEX(DESPACHOS!$K$3:$K$3002,MATCH($C852,DESPACHOS!$B$3:$B$3002,0)),""))</f>
        <v/>
      </c>
      <c r="F852" s="42">
        <f>IF($C852="","",IFERROR(INDEX(DESPACHOS!$I$3:$I$3002,MATCH($C852,DESPACHOS!$B$3:$B$3002,0)),""))</f>
        <v/>
      </c>
      <c r="G852" s="42">
        <f>IF($C852="","",IFERROR(INDEX(DESPACHOS!$F$3:$F$3002,MATCH($C852,DESPACHOS!$B$3:$B$3002,0)),""))</f>
        <v/>
      </c>
      <c r="H852" s="42">
        <f>IF($C852="","",IFERROR(INDEX(DESPACHOS!$G$3:$G$3002,MATCH($C852,DESPACHOS!$B$3:$B$3002,0)),""))</f>
        <v/>
      </c>
      <c r="I852" s="39">
        <f>IF($C852="","",IFERROR(INDEX(DESPACHOS!$H$3:$H$3002,MATCH($C852,DESPACHOS!$B$3:$B$3002,0)),""))</f>
        <v/>
      </c>
      <c r="J852" s="43">
        <f>IF($C852="","",IFERROR(INDEX(DESPACHOS!$J$3:$J$3002,MATCH($C852,DESPACHOS!$B$3:$B$3002,0)),""))</f>
        <v/>
      </c>
      <c r="K852" s="39">
        <f>IF($C852="","",IF(COUNTIFS(DESPACHOS!$B$3:$B$3002,$C852)=0,"NO EXISTE",IF(COUNTIFS(DESPACHOS!$B$3:$B$3002,$C852)&gt;1,"DUPLICADO","OK")))</f>
        <v/>
      </c>
      <c r="L852" s="41" t="n"/>
      <c r="M852" s="41" t="n"/>
      <c r="N852" s="42">
        <f>IF($M852="","",IFERROR(INDEX(LISTAS!$F$3:$F$42,MATCH($M852,LISTAS!$E$3:$E$42,0)),"Por definir"))</f>
        <v/>
      </c>
      <c r="O852" s="41" t="n"/>
      <c r="P852" s="39">
        <f>IF($L852="","",IFERROR(INDEX(LISTAS!$B$3:$B$42,MATCH($L852,LISTAS!$A$3:$A$42,0)),"Media"))</f>
        <v/>
      </c>
      <c r="Q852" s="44" t="n"/>
      <c r="R852" s="45" t="n"/>
      <c r="S852" s="20">
        <f>IFERROR(IF(OR($R852="",$C852=""),"",$R852/INDEX(DESPACHOS!$M$3:$M$3002,MATCH($C852,DESPACHOS!$B$3:$B$3002,0))),"")</f>
        <v/>
      </c>
      <c r="T852" s="41" t="n"/>
      <c r="U852" s="43">
        <f>IF(OR($B852="",$L852=""),"",WORKDAY($B852,IFERROR(INDEX(LISTAS!$C$3:$C$42,MATCH($L852,LISTAS!$A$3:$A$42,0)),3)))</f>
        <v/>
      </c>
      <c r="V852" s="40" t="n"/>
      <c r="W852" s="19">
        <f>IF($B852="","",IF($V852&lt;&gt;"",$V852-$B852,TODAY()-$B852))</f>
        <v/>
      </c>
      <c r="X852" s="19">
        <f>IF(OR($B852="",$U852=""),"",IF($V852&lt;&gt;"",MAX(0,$V852-$U852),MAX(0,TODAY()-$U852)))</f>
        <v/>
      </c>
      <c r="Y852" s="39">
        <f>IF($C852="","",IF(IFERROR(INDEX(LISTAS!$I$3:$I$42,MATCH($T852,LISTAS!$H$3:$H$42,0)),"NO")="SÍ",IF(N($X852)&gt;0,"CERRADA FUERA DE SLA","CERRADA EN SLA"),IF($U852="","SIN CLASIFICAR",IF(N($X852)&gt;0,"VENCIDA",IF(TODAY()&gt;=$U852-1,"POR VENCER","EN PLAZO")))))</f>
        <v/>
      </c>
      <c r="Z852" s="41" t="n"/>
      <c r="AA852" s="41" t="n"/>
      <c r="AB852" s="41" t="n"/>
    </row>
    <row r="853">
      <c r="A853" s="39">
        <f>IF($C853="","","NOV-"&amp;TEXT(ROW()-3,"0000"))</f>
        <v/>
      </c>
      <c r="B853" s="40" t="n"/>
      <c r="C853" s="41" t="n"/>
      <c r="D853" s="42">
        <f>IF($C853="","",IFERROR(INDEX(DESPACHOS!$D$3:$D$3002,MATCH($C853,DESPACHOS!$B$3:$B$3002,0)),"SIN DESPACHO"))</f>
        <v/>
      </c>
      <c r="E853" s="42">
        <f>IF($C853="","",IFERROR(INDEX(DESPACHOS!$K$3:$K$3002,MATCH($C853,DESPACHOS!$B$3:$B$3002,0)),""))</f>
        <v/>
      </c>
      <c r="F853" s="42">
        <f>IF($C853="","",IFERROR(INDEX(DESPACHOS!$I$3:$I$3002,MATCH($C853,DESPACHOS!$B$3:$B$3002,0)),""))</f>
        <v/>
      </c>
      <c r="G853" s="42">
        <f>IF($C853="","",IFERROR(INDEX(DESPACHOS!$F$3:$F$3002,MATCH($C853,DESPACHOS!$B$3:$B$3002,0)),""))</f>
        <v/>
      </c>
      <c r="H853" s="42">
        <f>IF($C853="","",IFERROR(INDEX(DESPACHOS!$G$3:$G$3002,MATCH($C853,DESPACHOS!$B$3:$B$3002,0)),""))</f>
        <v/>
      </c>
      <c r="I853" s="39">
        <f>IF($C853="","",IFERROR(INDEX(DESPACHOS!$H$3:$H$3002,MATCH($C853,DESPACHOS!$B$3:$B$3002,0)),""))</f>
        <v/>
      </c>
      <c r="J853" s="43">
        <f>IF($C853="","",IFERROR(INDEX(DESPACHOS!$J$3:$J$3002,MATCH($C853,DESPACHOS!$B$3:$B$3002,0)),""))</f>
        <v/>
      </c>
      <c r="K853" s="39">
        <f>IF($C853="","",IF(COUNTIFS(DESPACHOS!$B$3:$B$3002,$C853)=0,"NO EXISTE",IF(COUNTIFS(DESPACHOS!$B$3:$B$3002,$C853)&gt;1,"DUPLICADO","OK")))</f>
        <v/>
      </c>
      <c r="L853" s="41" t="n"/>
      <c r="M853" s="41" t="n"/>
      <c r="N853" s="42">
        <f>IF($M853="","",IFERROR(INDEX(LISTAS!$F$3:$F$42,MATCH($M853,LISTAS!$E$3:$E$42,0)),"Por definir"))</f>
        <v/>
      </c>
      <c r="O853" s="41" t="n"/>
      <c r="P853" s="39">
        <f>IF($L853="","",IFERROR(INDEX(LISTAS!$B$3:$B$42,MATCH($L853,LISTAS!$A$3:$A$42,0)),"Media"))</f>
        <v/>
      </c>
      <c r="Q853" s="44" t="n"/>
      <c r="R853" s="45" t="n"/>
      <c r="S853" s="20">
        <f>IFERROR(IF(OR($R853="",$C853=""),"",$R853/INDEX(DESPACHOS!$M$3:$M$3002,MATCH($C853,DESPACHOS!$B$3:$B$3002,0))),"")</f>
        <v/>
      </c>
      <c r="T853" s="41" t="n"/>
      <c r="U853" s="43">
        <f>IF(OR($B853="",$L853=""),"",WORKDAY($B853,IFERROR(INDEX(LISTAS!$C$3:$C$42,MATCH($L853,LISTAS!$A$3:$A$42,0)),3)))</f>
        <v/>
      </c>
      <c r="V853" s="40" t="n"/>
      <c r="W853" s="19">
        <f>IF($B853="","",IF($V853&lt;&gt;"",$V853-$B853,TODAY()-$B853))</f>
        <v/>
      </c>
      <c r="X853" s="19">
        <f>IF(OR($B853="",$U853=""),"",IF($V853&lt;&gt;"",MAX(0,$V853-$U853),MAX(0,TODAY()-$U853)))</f>
        <v/>
      </c>
      <c r="Y853" s="39">
        <f>IF($C853="","",IF(IFERROR(INDEX(LISTAS!$I$3:$I$42,MATCH($T853,LISTAS!$H$3:$H$42,0)),"NO")="SÍ",IF(N($X853)&gt;0,"CERRADA FUERA DE SLA","CERRADA EN SLA"),IF($U853="","SIN CLASIFICAR",IF(N($X853)&gt;0,"VENCIDA",IF(TODAY()&gt;=$U853-1,"POR VENCER","EN PLAZO")))))</f>
        <v/>
      </c>
      <c r="Z853" s="41" t="n"/>
      <c r="AA853" s="41" t="n"/>
      <c r="AB853" s="41" t="n"/>
    </row>
    <row r="854">
      <c r="A854" s="39">
        <f>IF($C854="","","NOV-"&amp;TEXT(ROW()-3,"0000"))</f>
        <v/>
      </c>
      <c r="B854" s="40" t="n"/>
      <c r="C854" s="41" t="n"/>
      <c r="D854" s="42">
        <f>IF($C854="","",IFERROR(INDEX(DESPACHOS!$D$3:$D$3002,MATCH($C854,DESPACHOS!$B$3:$B$3002,0)),"SIN DESPACHO"))</f>
        <v/>
      </c>
      <c r="E854" s="42">
        <f>IF($C854="","",IFERROR(INDEX(DESPACHOS!$K$3:$K$3002,MATCH($C854,DESPACHOS!$B$3:$B$3002,0)),""))</f>
        <v/>
      </c>
      <c r="F854" s="42">
        <f>IF($C854="","",IFERROR(INDEX(DESPACHOS!$I$3:$I$3002,MATCH($C854,DESPACHOS!$B$3:$B$3002,0)),""))</f>
        <v/>
      </c>
      <c r="G854" s="42">
        <f>IF($C854="","",IFERROR(INDEX(DESPACHOS!$F$3:$F$3002,MATCH($C854,DESPACHOS!$B$3:$B$3002,0)),""))</f>
        <v/>
      </c>
      <c r="H854" s="42">
        <f>IF($C854="","",IFERROR(INDEX(DESPACHOS!$G$3:$G$3002,MATCH($C854,DESPACHOS!$B$3:$B$3002,0)),""))</f>
        <v/>
      </c>
      <c r="I854" s="39">
        <f>IF($C854="","",IFERROR(INDEX(DESPACHOS!$H$3:$H$3002,MATCH($C854,DESPACHOS!$B$3:$B$3002,0)),""))</f>
        <v/>
      </c>
      <c r="J854" s="43">
        <f>IF($C854="","",IFERROR(INDEX(DESPACHOS!$J$3:$J$3002,MATCH($C854,DESPACHOS!$B$3:$B$3002,0)),""))</f>
        <v/>
      </c>
      <c r="K854" s="39">
        <f>IF($C854="","",IF(COUNTIFS(DESPACHOS!$B$3:$B$3002,$C854)=0,"NO EXISTE",IF(COUNTIFS(DESPACHOS!$B$3:$B$3002,$C854)&gt;1,"DUPLICADO","OK")))</f>
        <v/>
      </c>
      <c r="L854" s="41" t="n"/>
      <c r="M854" s="41" t="n"/>
      <c r="N854" s="42">
        <f>IF($M854="","",IFERROR(INDEX(LISTAS!$F$3:$F$42,MATCH($M854,LISTAS!$E$3:$E$42,0)),"Por definir"))</f>
        <v/>
      </c>
      <c r="O854" s="41" t="n"/>
      <c r="P854" s="39">
        <f>IF($L854="","",IFERROR(INDEX(LISTAS!$B$3:$B$42,MATCH($L854,LISTAS!$A$3:$A$42,0)),"Media"))</f>
        <v/>
      </c>
      <c r="Q854" s="44" t="n"/>
      <c r="R854" s="45" t="n"/>
      <c r="S854" s="20">
        <f>IFERROR(IF(OR($R854="",$C854=""),"",$R854/INDEX(DESPACHOS!$M$3:$M$3002,MATCH($C854,DESPACHOS!$B$3:$B$3002,0))),"")</f>
        <v/>
      </c>
      <c r="T854" s="41" t="n"/>
      <c r="U854" s="43">
        <f>IF(OR($B854="",$L854=""),"",WORKDAY($B854,IFERROR(INDEX(LISTAS!$C$3:$C$42,MATCH($L854,LISTAS!$A$3:$A$42,0)),3)))</f>
        <v/>
      </c>
      <c r="V854" s="40" t="n"/>
      <c r="W854" s="19">
        <f>IF($B854="","",IF($V854&lt;&gt;"",$V854-$B854,TODAY()-$B854))</f>
        <v/>
      </c>
      <c r="X854" s="19">
        <f>IF(OR($B854="",$U854=""),"",IF($V854&lt;&gt;"",MAX(0,$V854-$U854),MAX(0,TODAY()-$U854)))</f>
        <v/>
      </c>
      <c r="Y854" s="39">
        <f>IF($C854="","",IF(IFERROR(INDEX(LISTAS!$I$3:$I$42,MATCH($T854,LISTAS!$H$3:$H$42,0)),"NO")="SÍ",IF(N($X854)&gt;0,"CERRADA FUERA DE SLA","CERRADA EN SLA"),IF($U854="","SIN CLASIFICAR",IF(N($X854)&gt;0,"VENCIDA",IF(TODAY()&gt;=$U854-1,"POR VENCER","EN PLAZO")))))</f>
        <v/>
      </c>
      <c r="Z854" s="41" t="n"/>
      <c r="AA854" s="41" t="n"/>
      <c r="AB854" s="41" t="n"/>
    </row>
    <row r="855">
      <c r="A855" s="39">
        <f>IF($C855="","","NOV-"&amp;TEXT(ROW()-3,"0000"))</f>
        <v/>
      </c>
      <c r="B855" s="40" t="n"/>
      <c r="C855" s="41" t="n"/>
      <c r="D855" s="42">
        <f>IF($C855="","",IFERROR(INDEX(DESPACHOS!$D$3:$D$3002,MATCH($C855,DESPACHOS!$B$3:$B$3002,0)),"SIN DESPACHO"))</f>
        <v/>
      </c>
      <c r="E855" s="42">
        <f>IF($C855="","",IFERROR(INDEX(DESPACHOS!$K$3:$K$3002,MATCH($C855,DESPACHOS!$B$3:$B$3002,0)),""))</f>
        <v/>
      </c>
      <c r="F855" s="42">
        <f>IF($C855="","",IFERROR(INDEX(DESPACHOS!$I$3:$I$3002,MATCH($C855,DESPACHOS!$B$3:$B$3002,0)),""))</f>
        <v/>
      </c>
      <c r="G855" s="42">
        <f>IF($C855="","",IFERROR(INDEX(DESPACHOS!$F$3:$F$3002,MATCH($C855,DESPACHOS!$B$3:$B$3002,0)),""))</f>
        <v/>
      </c>
      <c r="H855" s="42">
        <f>IF($C855="","",IFERROR(INDEX(DESPACHOS!$G$3:$G$3002,MATCH($C855,DESPACHOS!$B$3:$B$3002,0)),""))</f>
        <v/>
      </c>
      <c r="I855" s="39">
        <f>IF($C855="","",IFERROR(INDEX(DESPACHOS!$H$3:$H$3002,MATCH($C855,DESPACHOS!$B$3:$B$3002,0)),""))</f>
        <v/>
      </c>
      <c r="J855" s="43">
        <f>IF($C855="","",IFERROR(INDEX(DESPACHOS!$J$3:$J$3002,MATCH($C855,DESPACHOS!$B$3:$B$3002,0)),""))</f>
        <v/>
      </c>
      <c r="K855" s="39">
        <f>IF($C855="","",IF(COUNTIFS(DESPACHOS!$B$3:$B$3002,$C855)=0,"NO EXISTE",IF(COUNTIFS(DESPACHOS!$B$3:$B$3002,$C855)&gt;1,"DUPLICADO","OK")))</f>
        <v/>
      </c>
      <c r="L855" s="41" t="n"/>
      <c r="M855" s="41" t="n"/>
      <c r="N855" s="42">
        <f>IF($M855="","",IFERROR(INDEX(LISTAS!$F$3:$F$42,MATCH($M855,LISTAS!$E$3:$E$42,0)),"Por definir"))</f>
        <v/>
      </c>
      <c r="O855" s="41" t="n"/>
      <c r="P855" s="39">
        <f>IF($L855="","",IFERROR(INDEX(LISTAS!$B$3:$B$42,MATCH($L855,LISTAS!$A$3:$A$42,0)),"Media"))</f>
        <v/>
      </c>
      <c r="Q855" s="44" t="n"/>
      <c r="R855" s="45" t="n"/>
      <c r="S855" s="20">
        <f>IFERROR(IF(OR($R855="",$C855=""),"",$R855/INDEX(DESPACHOS!$M$3:$M$3002,MATCH($C855,DESPACHOS!$B$3:$B$3002,0))),"")</f>
        <v/>
      </c>
      <c r="T855" s="41" t="n"/>
      <c r="U855" s="43">
        <f>IF(OR($B855="",$L855=""),"",WORKDAY($B855,IFERROR(INDEX(LISTAS!$C$3:$C$42,MATCH($L855,LISTAS!$A$3:$A$42,0)),3)))</f>
        <v/>
      </c>
      <c r="V855" s="40" t="n"/>
      <c r="W855" s="19">
        <f>IF($B855="","",IF($V855&lt;&gt;"",$V855-$B855,TODAY()-$B855))</f>
        <v/>
      </c>
      <c r="X855" s="19">
        <f>IF(OR($B855="",$U855=""),"",IF($V855&lt;&gt;"",MAX(0,$V855-$U855),MAX(0,TODAY()-$U855)))</f>
        <v/>
      </c>
      <c r="Y855" s="39">
        <f>IF($C855="","",IF(IFERROR(INDEX(LISTAS!$I$3:$I$42,MATCH($T855,LISTAS!$H$3:$H$42,0)),"NO")="SÍ",IF(N($X855)&gt;0,"CERRADA FUERA DE SLA","CERRADA EN SLA"),IF($U855="","SIN CLASIFICAR",IF(N($X855)&gt;0,"VENCIDA",IF(TODAY()&gt;=$U855-1,"POR VENCER","EN PLAZO")))))</f>
        <v/>
      </c>
      <c r="Z855" s="41" t="n"/>
      <c r="AA855" s="41" t="n"/>
      <c r="AB855" s="41" t="n"/>
    </row>
    <row r="856">
      <c r="A856" s="39">
        <f>IF($C856="","","NOV-"&amp;TEXT(ROW()-3,"0000"))</f>
        <v/>
      </c>
      <c r="B856" s="40" t="n"/>
      <c r="C856" s="41" t="n"/>
      <c r="D856" s="42">
        <f>IF($C856="","",IFERROR(INDEX(DESPACHOS!$D$3:$D$3002,MATCH($C856,DESPACHOS!$B$3:$B$3002,0)),"SIN DESPACHO"))</f>
        <v/>
      </c>
      <c r="E856" s="42">
        <f>IF($C856="","",IFERROR(INDEX(DESPACHOS!$K$3:$K$3002,MATCH($C856,DESPACHOS!$B$3:$B$3002,0)),""))</f>
        <v/>
      </c>
      <c r="F856" s="42">
        <f>IF($C856="","",IFERROR(INDEX(DESPACHOS!$I$3:$I$3002,MATCH($C856,DESPACHOS!$B$3:$B$3002,0)),""))</f>
        <v/>
      </c>
      <c r="G856" s="42">
        <f>IF($C856="","",IFERROR(INDEX(DESPACHOS!$F$3:$F$3002,MATCH($C856,DESPACHOS!$B$3:$B$3002,0)),""))</f>
        <v/>
      </c>
      <c r="H856" s="42">
        <f>IF($C856="","",IFERROR(INDEX(DESPACHOS!$G$3:$G$3002,MATCH($C856,DESPACHOS!$B$3:$B$3002,0)),""))</f>
        <v/>
      </c>
      <c r="I856" s="39">
        <f>IF($C856="","",IFERROR(INDEX(DESPACHOS!$H$3:$H$3002,MATCH($C856,DESPACHOS!$B$3:$B$3002,0)),""))</f>
        <v/>
      </c>
      <c r="J856" s="43">
        <f>IF($C856="","",IFERROR(INDEX(DESPACHOS!$J$3:$J$3002,MATCH($C856,DESPACHOS!$B$3:$B$3002,0)),""))</f>
        <v/>
      </c>
      <c r="K856" s="39">
        <f>IF($C856="","",IF(COUNTIFS(DESPACHOS!$B$3:$B$3002,$C856)=0,"NO EXISTE",IF(COUNTIFS(DESPACHOS!$B$3:$B$3002,$C856)&gt;1,"DUPLICADO","OK")))</f>
        <v/>
      </c>
      <c r="L856" s="41" t="n"/>
      <c r="M856" s="41" t="n"/>
      <c r="N856" s="42">
        <f>IF($M856="","",IFERROR(INDEX(LISTAS!$F$3:$F$42,MATCH($M856,LISTAS!$E$3:$E$42,0)),"Por definir"))</f>
        <v/>
      </c>
      <c r="O856" s="41" t="n"/>
      <c r="P856" s="39">
        <f>IF($L856="","",IFERROR(INDEX(LISTAS!$B$3:$B$42,MATCH($L856,LISTAS!$A$3:$A$42,0)),"Media"))</f>
        <v/>
      </c>
      <c r="Q856" s="44" t="n"/>
      <c r="R856" s="45" t="n"/>
      <c r="S856" s="20">
        <f>IFERROR(IF(OR($R856="",$C856=""),"",$R856/INDEX(DESPACHOS!$M$3:$M$3002,MATCH($C856,DESPACHOS!$B$3:$B$3002,0))),"")</f>
        <v/>
      </c>
      <c r="T856" s="41" t="n"/>
      <c r="U856" s="43">
        <f>IF(OR($B856="",$L856=""),"",WORKDAY($B856,IFERROR(INDEX(LISTAS!$C$3:$C$42,MATCH($L856,LISTAS!$A$3:$A$42,0)),3)))</f>
        <v/>
      </c>
      <c r="V856" s="40" t="n"/>
      <c r="W856" s="19">
        <f>IF($B856="","",IF($V856&lt;&gt;"",$V856-$B856,TODAY()-$B856))</f>
        <v/>
      </c>
      <c r="X856" s="19">
        <f>IF(OR($B856="",$U856=""),"",IF($V856&lt;&gt;"",MAX(0,$V856-$U856),MAX(0,TODAY()-$U856)))</f>
        <v/>
      </c>
      <c r="Y856" s="39">
        <f>IF($C856="","",IF(IFERROR(INDEX(LISTAS!$I$3:$I$42,MATCH($T856,LISTAS!$H$3:$H$42,0)),"NO")="SÍ",IF(N($X856)&gt;0,"CERRADA FUERA DE SLA","CERRADA EN SLA"),IF($U856="","SIN CLASIFICAR",IF(N($X856)&gt;0,"VENCIDA",IF(TODAY()&gt;=$U856-1,"POR VENCER","EN PLAZO")))))</f>
        <v/>
      </c>
      <c r="Z856" s="41" t="n"/>
      <c r="AA856" s="41" t="n"/>
      <c r="AB856" s="41" t="n"/>
    </row>
    <row r="857">
      <c r="A857" s="39">
        <f>IF($C857="","","NOV-"&amp;TEXT(ROW()-3,"0000"))</f>
        <v/>
      </c>
      <c r="B857" s="40" t="n"/>
      <c r="C857" s="41" t="n"/>
      <c r="D857" s="42">
        <f>IF($C857="","",IFERROR(INDEX(DESPACHOS!$D$3:$D$3002,MATCH($C857,DESPACHOS!$B$3:$B$3002,0)),"SIN DESPACHO"))</f>
        <v/>
      </c>
      <c r="E857" s="42">
        <f>IF($C857="","",IFERROR(INDEX(DESPACHOS!$K$3:$K$3002,MATCH($C857,DESPACHOS!$B$3:$B$3002,0)),""))</f>
        <v/>
      </c>
      <c r="F857" s="42">
        <f>IF($C857="","",IFERROR(INDEX(DESPACHOS!$I$3:$I$3002,MATCH($C857,DESPACHOS!$B$3:$B$3002,0)),""))</f>
        <v/>
      </c>
      <c r="G857" s="42">
        <f>IF($C857="","",IFERROR(INDEX(DESPACHOS!$F$3:$F$3002,MATCH($C857,DESPACHOS!$B$3:$B$3002,0)),""))</f>
        <v/>
      </c>
      <c r="H857" s="42">
        <f>IF($C857="","",IFERROR(INDEX(DESPACHOS!$G$3:$G$3002,MATCH($C857,DESPACHOS!$B$3:$B$3002,0)),""))</f>
        <v/>
      </c>
      <c r="I857" s="39">
        <f>IF($C857="","",IFERROR(INDEX(DESPACHOS!$H$3:$H$3002,MATCH($C857,DESPACHOS!$B$3:$B$3002,0)),""))</f>
        <v/>
      </c>
      <c r="J857" s="43">
        <f>IF($C857="","",IFERROR(INDEX(DESPACHOS!$J$3:$J$3002,MATCH($C857,DESPACHOS!$B$3:$B$3002,0)),""))</f>
        <v/>
      </c>
      <c r="K857" s="39">
        <f>IF($C857="","",IF(COUNTIFS(DESPACHOS!$B$3:$B$3002,$C857)=0,"NO EXISTE",IF(COUNTIFS(DESPACHOS!$B$3:$B$3002,$C857)&gt;1,"DUPLICADO","OK")))</f>
        <v/>
      </c>
      <c r="L857" s="41" t="n"/>
      <c r="M857" s="41" t="n"/>
      <c r="N857" s="42">
        <f>IF($M857="","",IFERROR(INDEX(LISTAS!$F$3:$F$42,MATCH($M857,LISTAS!$E$3:$E$42,0)),"Por definir"))</f>
        <v/>
      </c>
      <c r="O857" s="41" t="n"/>
      <c r="P857" s="39">
        <f>IF($L857="","",IFERROR(INDEX(LISTAS!$B$3:$B$42,MATCH($L857,LISTAS!$A$3:$A$42,0)),"Media"))</f>
        <v/>
      </c>
      <c r="Q857" s="44" t="n"/>
      <c r="R857" s="45" t="n"/>
      <c r="S857" s="20">
        <f>IFERROR(IF(OR($R857="",$C857=""),"",$R857/INDEX(DESPACHOS!$M$3:$M$3002,MATCH($C857,DESPACHOS!$B$3:$B$3002,0))),"")</f>
        <v/>
      </c>
      <c r="T857" s="41" t="n"/>
      <c r="U857" s="43">
        <f>IF(OR($B857="",$L857=""),"",WORKDAY($B857,IFERROR(INDEX(LISTAS!$C$3:$C$42,MATCH($L857,LISTAS!$A$3:$A$42,0)),3)))</f>
        <v/>
      </c>
      <c r="V857" s="40" t="n"/>
      <c r="W857" s="19">
        <f>IF($B857="","",IF($V857&lt;&gt;"",$V857-$B857,TODAY()-$B857))</f>
        <v/>
      </c>
      <c r="X857" s="19">
        <f>IF(OR($B857="",$U857=""),"",IF($V857&lt;&gt;"",MAX(0,$V857-$U857),MAX(0,TODAY()-$U857)))</f>
        <v/>
      </c>
      <c r="Y857" s="39">
        <f>IF($C857="","",IF(IFERROR(INDEX(LISTAS!$I$3:$I$42,MATCH($T857,LISTAS!$H$3:$H$42,0)),"NO")="SÍ",IF(N($X857)&gt;0,"CERRADA FUERA DE SLA","CERRADA EN SLA"),IF($U857="","SIN CLASIFICAR",IF(N($X857)&gt;0,"VENCIDA",IF(TODAY()&gt;=$U857-1,"POR VENCER","EN PLAZO")))))</f>
        <v/>
      </c>
      <c r="Z857" s="41" t="n"/>
      <c r="AA857" s="41" t="n"/>
      <c r="AB857" s="41" t="n"/>
    </row>
    <row r="858">
      <c r="A858" s="39">
        <f>IF($C858="","","NOV-"&amp;TEXT(ROW()-3,"0000"))</f>
        <v/>
      </c>
      <c r="B858" s="40" t="n"/>
      <c r="C858" s="41" t="n"/>
      <c r="D858" s="42">
        <f>IF($C858="","",IFERROR(INDEX(DESPACHOS!$D$3:$D$3002,MATCH($C858,DESPACHOS!$B$3:$B$3002,0)),"SIN DESPACHO"))</f>
        <v/>
      </c>
      <c r="E858" s="42">
        <f>IF($C858="","",IFERROR(INDEX(DESPACHOS!$K$3:$K$3002,MATCH($C858,DESPACHOS!$B$3:$B$3002,0)),""))</f>
        <v/>
      </c>
      <c r="F858" s="42">
        <f>IF($C858="","",IFERROR(INDEX(DESPACHOS!$I$3:$I$3002,MATCH($C858,DESPACHOS!$B$3:$B$3002,0)),""))</f>
        <v/>
      </c>
      <c r="G858" s="42">
        <f>IF($C858="","",IFERROR(INDEX(DESPACHOS!$F$3:$F$3002,MATCH($C858,DESPACHOS!$B$3:$B$3002,0)),""))</f>
        <v/>
      </c>
      <c r="H858" s="42">
        <f>IF($C858="","",IFERROR(INDEX(DESPACHOS!$G$3:$G$3002,MATCH($C858,DESPACHOS!$B$3:$B$3002,0)),""))</f>
        <v/>
      </c>
      <c r="I858" s="39">
        <f>IF($C858="","",IFERROR(INDEX(DESPACHOS!$H$3:$H$3002,MATCH($C858,DESPACHOS!$B$3:$B$3002,0)),""))</f>
        <v/>
      </c>
      <c r="J858" s="43">
        <f>IF($C858="","",IFERROR(INDEX(DESPACHOS!$J$3:$J$3002,MATCH($C858,DESPACHOS!$B$3:$B$3002,0)),""))</f>
        <v/>
      </c>
      <c r="K858" s="39">
        <f>IF($C858="","",IF(COUNTIFS(DESPACHOS!$B$3:$B$3002,$C858)=0,"NO EXISTE",IF(COUNTIFS(DESPACHOS!$B$3:$B$3002,$C858)&gt;1,"DUPLICADO","OK")))</f>
        <v/>
      </c>
      <c r="L858" s="41" t="n"/>
      <c r="M858" s="41" t="n"/>
      <c r="N858" s="42">
        <f>IF($M858="","",IFERROR(INDEX(LISTAS!$F$3:$F$42,MATCH($M858,LISTAS!$E$3:$E$42,0)),"Por definir"))</f>
        <v/>
      </c>
      <c r="O858" s="41" t="n"/>
      <c r="P858" s="39">
        <f>IF($L858="","",IFERROR(INDEX(LISTAS!$B$3:$B$42,MATCH($L858,LISTAS!$A$3:$A$42,0)),"Media"))</f>
        <v/>
      </c>
      <c r="Q858" s="44" t="n"/>
      <c r="R858" s="45" t="n"/>
      <c r="S858" s="20">
        <f>IFERROR(IF(OR($R858="",$C858=""),"",$R858/INDEX(DESPACHOS!$M$3:$M$3002,MATCH($C858,DESPACHOS!$B$3:$B$3002,0))),"")</f>
        <v/>
      </c>
      <c r="T858" s="41" t="n"/>
      <c r="U858" s="43">
        <f>IF(OR($B858="",$L858=""),"",WORKDAY($B858,IFERROR(INDEX(LISTAS!$C$3:$C$42,MATCH($L858,LISTAS!$A$3:$A$42,0)),3)))</f>
        <v/>
      </c>
      <c r="V858" s="40" t="n"/>
      <c r="W858" s="19">
        <f>IF($B858="","",IF($V858&lt;&gt;"",$V858-$B858,TODAY()-$B858))</f>
        <v/>
      </c>
      <c r="X858" s="19">
        <f>IF(OR($B858="",$U858=""),"",IF($V858&lt;&gt;"",MAX(0,$V858-$U858),MAX(0,TODAY()-$U858)))</f>
        <v/>
      </c>
      <c r="Y858" s="39">
        <f>IF($C858="","",IF(IFERROR(INDEX(LISTAS!$I$3:$I$42,MATCH($T858,LISTAS!$H$3:$H$42,0)),"NO")="SÍ",IF(N($X858)&gt;0,"CERRADA FUERA DE SLA","CERRADA EN SLA"),IF($U858="","SIN CLASIFICAR",IF(N($X858)&gt;0,"VENCIDA",IF(TODAY()&gt;=$U858-1,"POR VENCER","EN PLAZO")))))</f>
        <v/>
      </c>
      <c r="Z858" s="41" t="n"/>
      <c r="AA858" s="41" t="n"/>
      <c r="AB858" s="41" t="n"/>
    </row>
    <row r="859">
      <c r="A859" s="39">
        <f>IF($C859="","","NOV-"&amp;TEXT(ROW()-3,"0000"))</f>
        <v/>
      </c>
      <c r="B859" s="40" t="n"/>
      <c r="C859" s="41" t="n"/>
      <c r="D859" s="42">
        <f>IF($C859="","",IFERROR(INDEX(DESPACHOS!$D$3:$D$3002,MATCH($C859,DESPACHOS!$B$3:$B$3002,0)),"SIN DESPACHO"))</f>
        <v/>
      </c>
      <c r="E859" s="42">
        <f>IF($C859="","",IFERROR(INDEX(DESPACHOS!$K$3:$K$3002,MATCH($C859,DESPACHOS!$B$3:$B$3002,0)),""))</f>
        <v/>
      </c>
      <c r="F859" s="42">
        <f>IF($C859="","",IFERROR(INDEX(DESPACHOS!$I$3:$I$3002,MATCH($C859,DESPACHOS!$B$3:$B$3002,0)),""))</f>
        <v/>
      </c>
      <c r="G859" s="42">
        <f>IF($C859="","",IFERROR(INDEX(DESPACHOS!$F$3:$F$3002,MATCH($C859,DESPACHOS!$B$3:$B$3002,0)),""))</f>
        <v/>
      </c>
      <c r="H859" s="42">
        <f>IF($C859="","",IFERROR(INDEX(DESPACHOS!$G$3:$G$3002,MATCH($C859,DESPACHOS!$B$3:$B$3002,0)),""))</f>
        <v/>
      </c>
      <c r="I859" s="39">
        <f>IF($C859="","",IFERROR(INDEX(DESPACHOS!$H$3:$H$3002,MATCH($C859,DESPACHOS!$B$3:$B$3002,0)),""))</f>
        <v/>
      </c>
      <c r="J859" s="43">
        <f>IF($C859="","",IFERROR(INDEX(DESPACHOS!$J$3:$J$3002,MATCH($C859,DESPACHOS!$B$3:$B$3002,0)),""))</f>
        <v/>
      </c>
      <c r="K859" s="39">
        <f>IF($C859="","",IF(COUNTIFS(DESPACHOS!$B$3:$B$3002,$C859)=0,"NO EXISTE",IF(COUNTIFS(DESPACHOS!$B$3:$B$3002,$C859)&gt;1,"DUPLICADO","OK")))</f>
        <v/>
      </c>
      <c r="L859" s="41" t="n"/>
      <c r="M859" s="41" t="n"/>
      <c r="N859" s="42">
        <f>IF($M859="","",IFERROR(INDEX(LISTAS!$F$3:$F$42,MATCH($M859,LISTAS!$E$3:$E$42,0)),"Por definir"))</f>
        <v/>
      </c>
      <c r="O859" s="41" t="n"/>
      <c r="P859" s="39">
        <f>IF($L859="","",IFERROR(INDEX(LISTAS!$B$3:$B$42,MATCH($L859,LISTAS!$A$3:$A$42,0)),"Media"))</f>
        <v/>
      </c>
      <c r="Q859" s="44" t="n"/>
      <c r="R859" s="45" t="n"/>
      <c r="S859" s="20">
        <f>IFERROR(IF(OR($R859="",$C859=""),"",$R859/INDEX(DESPACHOS!$M$3:$M$3002,MATCH($C859,DESPACHOS!$B$3:$B$3002,0))),"")</f>
        <v/>
      </c>
      <c r="T859" s="41" t="n"/>
      <c r="U859" s="43">
        <f>IF(OR($B859="",$L859=""),"",WORKDAY($B859,IFERROR(INDEX(LISTAS!$C$3:$C$42,MATCH($L859,LISTAS!$A$3:$A$42,0)),3)))</f>
        <v/>
      </c>
      <c r="V859" s="40" t="n"/>
      <c r="W859" s="19">
        <f>IF($B859="","",IF($V859&lt;&gt;"",$V859-$B859,TODAY()-$B859))</f>
        <v/>
      </c>
      <c r="X859" s="19">
        <f>IF(OR($B859="",$U859=""),"",IF($V859&lt;&gt;"",MAX(0,$V859-$U859),MAX(0,TODAY()-$U859)))</f>
        <v/>
      </c>
      <c r="Y859" s="39">
        <f>IF($C859="","",IF(IFERROR(INDEX(LISTAS!$I$3:$I$42,MATCH($T859,LISTAS!$H$3:$H$42,0)),"NO")="SÍ",IF(N($X859)&gt;0,"CERRADA FUERA DE SLA","CERRADA EN SLA"),IF($U859="","SIN CLASIFICAR",IF(N($X859)&gt;0,"VENCIDA",IF(TODAY()&gt;=$U859-1,"POR VENCER","EN PLAZO")))))</f>
        <v/>
      </c>
      <c r="Z859" s="41" t="n"/>
      <c r="AA859" s="41" t="n"/>
      <c r="AB859" s="41" t="n"/>
    </row>
    <row r="860">
      <c r="A860" s="39">
        <f>IF($C860="","","NOV-"&amp;TEXT(ROW()-3,"0000"))</f>
        <v/>
      </c>
      <c r="B860" s="40" t="n"/>
      <c r="C860" s="41" t="n"/>
      <c r="D860" s="42">
        <f>IF($C860="","",IFERROR(INDEX(DESPACHOS!$D$3:$D$3002,MATCH($C860,DESPACHOS!$B$3:$B$3002,0)),"SIN DESPACHO"))</f>
        <v/>
      </c>
      <c r="E860" s="42">
        <f>IF($C860="","",IFERROR(INDEX(DESPACHOS!$K$3:$K$3002,MATCH($C860,DESPACHOS!$B$3:$B$3002,0)),""))</f>
        <v/>
      </c>
      <c r="F860" s="42">
        <f>IF($C860="","",IFERROR(INDEX(DESPACHOS!$I$3:$I$3002,MATCH($C860,DESPACHOS!$B$3:$B$3002,0)),""))</f>
        <v/>
      </c>
      <c r="G860" s="42">
        <f>IF($C860="","",IFERROR(INDEX(DESPACHOS!$F$3:$F$3002,MATCH($C860,DESPACHOS!$B$3:$B$3002,0)),""))</f>
        <v/>
      </c>
      <c r="H860" s="42">
        <f>IF($C860="","",IFERROR(INDEX(DESPACHOS!$G$3:$G$3002,MATCH($C860,DESPACHOS!$B$3:$B$3002,0)),""))</f>
        <v/>
      </c>
      <c r="I860" s="39">
        <f>IF($C860="","",IFERROR(INDEX(DESPACHOS!$H$3:$H$3002,MATCH($C860,DESPACHOS!$B$3:$B$3002,0)),""))</f>
        <v/>
      </c>
      <c r="J860" s="43">
        <f>IF($C860="","",IFERROR(INDEX(DESPACHOS!$J$3:$J$3002,MATCH($C860,DESPACHOS!$B$3:$B$3002,0)),""))</f>
        <v/>
      </c>
      <c r="K860" s="39">
        <f>IF($C860="","",IF(COUNTIFS(DESPACHOS!$B$3:$B$3002,$C860)=0,"NO EXISTE",IF(COUNTIFS(DESPACHOS!$B$3:$B$3002,$C860)&gt;1,"DUPLICADO","OK")))</f>
        <v/>
      </c>
      <c r="L860" s="41" t="n"/>
      <c r="M860" s="41" t="n"/>
      <c r="N860" s="42">
        <f>IF($M860="","",IFERROR(INDEX(LISTAS!$F$3:$F$42,MATCH($M860,LISTAS!$E$3:$E$42,0)),"Por definir"))</f>
        <v/>
      </c>
      <c r="O860" s="41" t="n"/>
      <c r="P860" s="39">
        <f>IF($L860="","",IFERROR(INDEX(LISTAS!$B$3:$B$42,MATCH($L860,LISTAS!$A$3:$A$42,0)),"Media"))</f>
        <v/>
      </c>
      <c r="Q860" s="44" t="n"/>
      <c r="R860" s="45" t="n"/>
      <c r="S860" s="20">
        <f>IFERROR(IF(OR($R860="",$C860=""),"",$R860/INDEX(DESPACHOS!$M$3:$M$3002,MATCH($C860,DESPACHOS!$B$3:$B$3002,0))),"")</f>
        <v/>
      </c>
      <c r="T860" s="41" t="n"/>
      <c r="U860" s="43">
        <f>IF(OR($B860="",$L860=""),"",WORKDAY($B860,IFERROR(INDEX(LISTAS!$C$3:$C$42,MATCH($L860,LISTAS!$A$3:$A$42,0)),3)))</f>
        <v/>
      </c>
      <c r="V860" s="40" t="n"/>
      <c r="W860" s="19">
        <f>IF($B860="","",IF($V860&lt;&gt;"",$V860-$B860,TODAY()-$B860))</f>
        <v/>
      </c>
      <c r="X860" s="19">
        <f>IF(OR($B860="",$U860=""),"",IF($V860&lt;&gt;"",MAX(0,$V860-$U860),MAX(0,TODAY()-$U860)))</f>
        <v/>
      </c>
      <c r="Y860" s="39">
        <f>IF($C860="","",IF(IFERROR(INDEX(LISTAS!$I$3:$I$42,MATCH($T860,LISTAS!$H$3:$H$42,0)),"NO")="SÍ",IF(N($X860)&gt;0,"CERRADA FUERA DE SLA","CERRADA EN SLA"),IF($U860="","SIN CLASIFICAR",IF(N($X860)&gt;0,"VENCIDA",IF(TODAY()&gt;=$U860-1,"POR VENCER","EN PLAZO")))))</f>
        <v/>
      </c>
      <c r="Z860" s="41" t="n"/>
      <c r="AA860" s="41" t="n"/>
      <c r="AB860" s="41" t="n"/>
    </row>
    <row r="861">
      <c r="A861" s="39">
        <f>IF($C861="","","NOV-"&amp;TEXT(ROW()-3,"0000"))</f>
        <v/>
      </c>
      <c r="B861" s="40" t="n"/>
      <c r="C861" s="41" t="n"/>
      <c r="D861" s="42">
        <f>IF($C861="","",IFERROR(INDEX(DESPACHOS!$D$3:$D$3002,MATCH($C861,DESPACHOS!$B$3:$B$3002,0)),"SIN DESPACHO"))</f>
        <v/>
      </c>
      <c r="E861" s="42">
        <f>IF($C861="","",IFERROR(INDEX(DESPACHOS!$K$3:$K$3002,MATCH($C861,DESPACHOS!$B$3:$B$3002,0)),""))</f>
        <v/>
      </c>
      <c r="F861" s="42">
        <f>IF($C861="","",IFERROR(INDEX(DESPACHOS!$I$3:$I$3002,MATCH($C861,DESPACHOS!$B$3:$B$3002,0)),""))</f>
        <v/>
      </c>
      <c r="G861" s="42">
        <f>IF($C861="","",IFERROR(INDEX(DESPACHOS!$F$3:$F$3002,MATCH($C861,DESPACHOS!$B$3:$B$3002,0)),""))</f>
        <v/>
      </c>
      <c r="H861" s="42">
        <f>IF($C861="","",IFERROR(INDEX(DESPACHOS!$G$3:$G$3002,MATCH($C861,DESPACHOS!$B$3:$B$3002,0)),""))</f>
        <v/>
      </c>
      <c r="I861" s="39">
        <f>IF($C861="","",IFERROR(INDEX(DESPACHOS!$H$3:$H$3002,MATCH($C861,DESPACHOS!$B$3:$B$3002,0)),""))</f>
        <v/>
      </c>
      <c r="J861" s="43">
        <f>IF($C861="","",IFERROR(INDEX(DESPACHOS!$J$3:$J$3002,MATCH($C861,DESPACHOS!$B$3:$B$3002,0)),""))</f>
        <v/>
      </c>
      <c r="K861" s="39">
        <f>IF($C861="","",IF(COUNTIFS(DESPACHOS!$B$3:$B$3002,$C861)=0,"NO EXISTE",IF(COUNTIFS(DESPACHOS!$B$3:$B$3002,$C861)&gt;1,"DUPLICADO","OK")))</f>
        <v/>
      </c>
      <c r="L861" s="41" t="n"/>
      <c r="M861" s="41" t="n"/>
      <c r="N861" s="42">
        <f>IF($M861="","",IFERROR(INDEX(LISTAS!$F$3:$F$42,MATCH($M861,LISTAS!$E$3:$E$42,0)),"Por definir"))</f>
        <v/>
      </c>
      <c r="O861" s="41" t="n"/>
      <c r="P861" s="39">
        <f>IF($L861="","",IFERROR(INDEX(LISTAS!$B$3:$B$42,MATCH($L861,LISTAS!$A$3:$A$42,0)),"Media"))</f>
        <v/>
      </c>
      <c r="Q861" s="44" t="n"/>
      <c r="R861" s="45" t="n"/>
      <c r="S861" s="20">
        <f>IFERROR(IF(OR($R861="",$C861=""),"",$R861/INDEX(DESPACHOS!$M$3:$M$3002,MATCH($C861,DESPACHOS!$B$3:$B$3002,0))),"")</f>
        <v/>
      </c>
      <c r="T861" s="41" t="n"/>
      <c r="U861" s="43">
        <f>IF(OR($B861="",$L861=""),"",WORKDAY($B861,IFERROR(INDEX(LISTAS!$C$3:$C$42,MATCH($L861,LISTAS!$A$3:$A$42,0)),3)))</f>
        <v/>
      </c>
      <c r="V861" s="40" t="n"/>
      <c r="W861" s="19">
        <f>IF($B861="","",IF($V861&lt;&gt;"",$V861-$B861,TODAY()-$B861))</f>
        <v/>
      </c>
      <c r="X861" s="19">
        <f>IF(OR($B861="",$U861=""),"",IF($V861&lt;&gt;"",MAX(0,$V861-$U861),MAX(0,TODAY()-$U861)))</f>
        <v/>
      </c>
      <c r="Y861" s="39">
        <f>IF($C861="","",IF(IFERROR(INDEX(LISTAS!$I$3:$I$42,MATCH($T861,LISTAS!$H$3:$H$42,0)),"NO")="SÍ",IF(N($X861)&gt;0,"CERRADA FUERA DE SLA","CERRADA EN SLA"),IF($U861="","SIN CLASIFICAR",IF(N($X861)&gt;0,"VENCIDA",IF(TODAY()&gt;=$U861-1,"POR VENCER","EN PLAZO")))))</f>
        <v/>
      </c>
      <c r="Z861" s="41" t="n"/>
      <c r="AA861" s="41" t="n"/>
      <c r="AB861" s="41" t="n"/>
    </row>
    <row r="862">
      <c r="A862" s="39">
        <f>IF($C862="","","NOV-"&amp;TEXT(ROW()-3,"0000"))</f>
        <v/>
      </c>
      <c r="B862" s="40" t="n"/>
      <c r="C862" s="41" t="n"/>
      <c r="D862" s="42">
        <f>IF($C862="","",IFERROR(INDEX(DESPACHOS!$D$3:$D$3002,MATCH($C862,DESPACHOS!$B$3:$B$3002,0)),"SIN DESPACHO"))</f>
        <v/>
      </c>
      <c r="E862" s="42">
        <f>IF($C862="","",IFERROR(INDEX(DESPACHOS!$K$3:$K$3002,MATCH($C862,DESPACHOS!$B$3:$B$3002,0)),""))</f>
        <v/>
      </c>
      <c r="F862" s="42">
        <f>IF($C862="","",IFERROR(INDEX(DESPACHOS!$I$3:$I$3002,MATCH($C862,DESPACHOS!$B$3:$B$3002,0)),""))</f>
        <v/>
      </c>
      <c r="G862" s="42">
        <f>IF($C862="","",IFERROR(INDEX(DESPACHOS!$F$3:$F$3002,MATCH($C862,DESPACHOS!$B$3:$B$3002,0)),""))</f>
        <v/>
      </c>
      <c r="H862" s="42">
        <f>IF($C862="","",IFERROR(INDEX(DESPACHOS!$G$3:$G$3002,MATCH($C862,DESPACHOS!$B$3:$B$3002,0)),""))</f>
        <v/>
      </c>
      <c r="I862" s="39">
        <f>IF($C862="","",IFERROR(INDEX(DESPACHOS!$H$3:$H$3002,MATCH($C862,DESPACHOS!$B$3:$B$3002,0)),""))</f>
        <v/>
      </c>
      <c r="J862" s="43">
        <f>IF($C862="","",IFERROR(INDEX(DESPACHOS!$J$3:$J$3002,MATCH($C862,DESPACHOS!$B$3:$B$3002,0)),""))</f>
        <v/>
      </c>
      <c r="K862" s="39">
        <f>IF($C862="","",IF(COUNTIFS(DESPACHOS!$B$3:$B$3002,$C862)=0,"NO EXISTE",IF(COUNTIFS(DESPACHOS!$B$3:$B$3002,$C862)&gt;1,"DUPLICADO","OK")))</f>
        <v/>
      </c>
      <c r="L862" s="41" t="n"/>
      <c r="M862" s="41" t="n"/>
      <c r="N862" s="42">
        <f>IF($M862="","",IFERROR(INDEX(LISTAS!$F$3:$F$42,MATCH($M862,LISTAS!$E$3:$E$42,0)),"Por definir"))</f>
        <v/>
      </c>
      <c r="O862" s="41" t="n"/>
      <c r="P862" s="39">
        <f>IF($L862="","",IFERROR(INDEX(LISTAS!$B$3:$B$42,MATCH($L862,LISTAS!$A$3:$A$42,0)),"Media"))</f>
        <v/>
      </c>
      <c r="Q862" s="44" t="n"/>
      <c r="R862" s="45" t="n"/>
      <c r="S862" s="20">
        <f>IFERROR(IF(OR($R862="",$C862=""),"",$R862/INDEX(DESPACHOS!$M$3:$M$3002,MATCH($C862,DESPACHOS!$B$3:$B$3002,0))),"")</f>
        <v/>
      </c>
      <c r="T862" s="41" t="n"/>
      <c r="U862" s="43">
        <f>IF(OR($B862="",$L862=""),"",WORKDAY($B862,IFERROR(INDEX(LISTAS!$C$3:$C$42,MATCH($L862,LISTAS!$A$3:$A$42,0)),3)))</f>
        <v/>
      </c>
      <c r="V862" s="40" t="n"/>
      <c r="W862" s="19">
        <f>IF($B862="","",IF($V862&lt;&gt;"",$V862-$B862,TODAY()-$B862))</f>
        <v/>
      </c>
      <c r="X862" s="19">
        <f>IF(OR($B862="",$U862=""),"",IF($V862&lt;&gt;"",MAX(0,$V862-$U862),MAX(0,TODAY()-$U862)))</f>
        <v/>
      </c>
      <c r="Y862" s="39">
        <f>IF($C862="","",IF(IFERROR(INDEX(LISTAS!$I$3:$I$42,MATCH($T862,LISTAS!$H$3:$H$42,0)),"NO")="SÍ",IF(N($X862)&gt;0,"CERRADA FUERA DE SLA","CERRADA EN SLA"),IF($U862="","SIN CLASIFICAR",IF(N($X862)&gt;0,"VENCIDA",IF(TODAY()&gt;=$U862-1,"POR VENCER","EN PLAZO")))))</f>
        <v/>
      </c>
      <c r="Z862" s="41" t="n"/>
      <c r="AA862" s="41" t="n"/>
      <c r="AB862" s="41" t="n"/>
    </row>
    <row r="863">
      <c r="A863" s="39">
        <f>IF($C863="","","NOV-"&amp;TEXT(ROW()-3,"0000"))</f>
        <v/>
      </c>
      <c r="B863" s="40" t="n"/>
      <c r="C863" s="41" t="n"/>
      <c r="D863" s="42">
        <f>IF($C863="","",IFERROR(INDEX(DESPACHOS!$D$3:$D$3002,MATCH($C863,DESPACHOS!$B$3:$B$3002,0)),"SIN DESPACHO"))</f>
        <v/>
      </c>
      <c r="E863" s="42">
        <f>IF($C863="","",IFERROR(INDEX(DESPACHOS!$K$3:$K$3002,MATCH($C863,DESPACHOS!$B$3:$B$3002,0)),""))</f>
        <v/>
      </c>
      <c r="F863" s="42">
        <f>IF($C863="","",IFERROR(INDEX(DESPACHOS!$I$3:$I$3002,MATCH($C863,DESPACHOS!$B$3:$B$3002,0)),""))</f>
        <v/>
      </c>
      <c r="G863" s="42">
        <f>IF($C863="","",IFERROR(INDEX(DESPACHOS!$F$3:$F$3002,MATCH($C863,DESPACHOS!$B$3:$B$3002,0)),""))</f>
        <v/>
      </c>
      <c r="H863" s="42">
        <f>IF($C863="","",IFERROR(INDEX(DESPACHOS!$G$3:$G$3002,MATCH($C863,DESPACHOS!$B$3:$B$3002,0)),""))</f>
        <v/>
      </c>
      <c r="I863" s="39">
        <f>IF($C863="","",IFERROR(INDEX(DESPACHOS!$H$3:$H$3002,MATCH($C863,DESPACHOS!$B$3:$B$3002,0)),""))</f>
        <v/>
      </c>
      <c r="J863" s="43">
        <f>IF($C863="","",IFERROR(INDEX(DESPACHOS!$J$3:$J$3002,MATCH($C863,DESPACHOS!$B$3:$B$3002,0)),""))</f>
        <v/>
      </c>
      <c r="K863" s="39">
        <f>IF($C863="","",IF(COUNTIFS(DESPACHOS!$B$3:$B$3002,$C863)=0,"NO EXISTE",IF(COUNTIFS(DESPACHOS!$B$3:$B$3002,$C863)&gt;1,"DUPLICADO","OK")))</f>
        <v/>
      </c>
      <c r="L863" s="41" t="n"/>
      <c r="M863" s="41" t="n"/>
      <c r="N863" s="42">
        <f>IF($M863="","",IFERROR(INDEX(LISTAS!$F$3:$F$42,MATCH($M863,LISTAS!$E$3:$E$42,0)),"Por definir"))</f>
        <v/>
      </c>
      <c r="O863" s="41" t="n"/>
      <c r="P863" s="39">
        <f>IF($L863="","",IFERROR(INDEX(LISTAS!$B$3:$B$42,MATCH($L863,LISTAS!$A$3:$A$42,0)),"Media"))</f>
        <v/>
      </c>
      <c r="Q863" s="44" t="n"/>
      <c r="R863" s="45" t="n"/>
      <c r="S863" s="20">
        <f>IFERROR(IF(OR($R863="",$C863=""),"",$R863/INDEX(DESPACHOS!$M$3:$M$3002,MATCH($C863,DESPACHOS!$B$3:$B$3002,0))),"")</f>
        <v/>
      </c>
      <c r="T863" s="41" t="n"/>
      <c r="U863" s="43">
        <f>IF(OR($B863="",$L863=""),"",WORKDAY($B863,IFERROR(INDEX(LISTAS!$C$3:$C$42,MATCH($L863,LISTAS!$A$3:$A$42,0)),3)))</f>
        <v/>
      </c>
      <c r="V863" s="40" t="n"/>
      <c r="W863" s="19">
        <f>IF($B863="","",IF($V863&lt;&gt;"",$V863-$B863,TODAY()-$B863))</f>
        <v/>
      </c>
      <c r="X863" s="19">
        <f>IF(OR($B863="",$U863=""),"",IF($V863&lt;&gt;"",MAX(0,$V863-$U863),MAX(0,TODAY()-$U863)))</f>
        <v/>
      </c>
      <c r="Y863" s="39">
        <f>IF($C863="","",IF(IFERROR(INDEX(LISTAS!$I$3:$I$42,MATCH($T863,LISTAS!$H$3:$H$42,0)),"NO")="SÍ",IF(N($X863)&gt;0,"CERRADA FUERA DE SLA","CERRADA EN SLA"),IF($U863="","SIN CLASIFICAR",IF(N($X863)&gt;0,"VENCIDA",IF(TODAY()&gt;=$U863-1,"POR VENCER","EN PLAZO")))))</f>
        <v/>
      </c>
      <c r="Z863" s="41" t="n"/>
      <c r="AA863" s="41" t="n"/>
      <c r="AB863" s="41" t="n"/>
    </row>
    <row r="864">
      <c r="A864" s="39">
        <f>IF($C864="","","NOV-"&amp;TEXT(ROW()-3,"0000"))</f>
        <v/>
      </c>
      <c r="B864" s="40" t="n"/>
      <c r="C864" s="41" t="n"/>
      <c r="D864" s="42">
        <f>IF($C864="","",IFERROR(INDEX(DESPACHOS!$D$3:$D$3002,MATCH($C864,DESPACHOS!$B$3:$B$3002,0)),"SIN DESPACHO"))</f>
        <v/>
      </c>
      <c r="E864" s="42">
        <f>IF($C864="","",IFERROR(INDEX(DESPACHOS!$K$3:$K$3002,MATCH($C864,DESPACHOS!$B$3:$B$3002,0)),""))</f>
        <v/>
      </c>
      <c r="F864" s="42">
        <f>IF($C864="","",IFERROR(INDEX(DESPACHOS!$I$3:$I$3002,MATCH($C864,DESPACHOS!$B$3:$B$3002,0)),""))</f>
        <v/>
      </c>
      <c r="G864" s="42">
        <f>IF($C864="","",IFERROR(INDEX(DESPACHOS!$F$3:$F$3002,MATCH($C864,DESPACHOS!$B$3:$B$3002,0)),""))</f>
        <v/>
      </c>
      <c r="H864" s="42">
        <f>IF($C864="","",IFERROR(INDEX(DESPACHOS!$G$3:$G$3002,MATCH($C864,DESPACHOS!$B$3:$B$3002,0)),""))</f>
        <v/>
      </c>
      <c r="I864" s="39">
        <f>IF($C864="","",IFERROR(INDEX(DESPACHOS!$H$3:$H$3002,MATCH($C864,DESPACHOS!$B$3:$B$3002,0)),""))</f>
        <v/>
      </c>
      <c r="J864" s="43">
        <f>IF($C864="","",IFERROR(INDEX(DESPACHOS!$J$3:$J$3002,MATCH($C864,DESPACHOS!$B$3:$B$3002,0)),""))</f>
        <v/>
      </c>
      <c r="K864" s="39">
        <f>IF($C864="","",IF(COUNTIFS(DESPACHOS!$B$3:$B$3002,$C864)=0,"NO EXISTE",IF(COUNTIFS(DESPACHOS!$B$3:$B$3002,$C864)&gt;1,"DUPLICADO","OK")))</f>
        <v/>
      </c>
      <c r="L864" s="41" t="n"/>
      <c r="M864" s="41" t="n"/>
      <c r="N864" s="42">
        <f>IF($M864="","",IFERROR(INDEX(LISTAS!$F$3:$F$42,MATCH($M864,LISTAS!$E$3:$E$42,0)),"Por definir"))</f>
        <v/>
      </c>
      <c r="O864" s="41" t="n"/>
      <c r="P864" s="39">
        <f>IF($L864="","",IFERROR(INDEX(LISTAS!$B$3:$B$42,MATCH($L864,LISTAS!$A$3:$A$42,0)),"Media"))</f>
        <v/>
      </c>
      <c r="Q864" s="44" t="n"/>
      <c r="R864" s="45" t="n"/>
      <c r="S864" s="20">
        <f>IFERROR(IF(OR($R864="",$C864=""),"",$R864/INDEX(DESPACHOS!$M$3:$M$3002,MATCH($C864,DESPACHOS!$B$3:$B$3002,0))),"")</f>
        <v/>
      </c>
      <c r="T864" s="41" t="n"/>
      <c r="U864" s="43">
        <f>IF(OR($B864="",$L864=""),"",WORKDAY($B864,IFERROR(INDEX(LISTAS!$C$3:$C$42,MATCH($L864,LISTAS!$A$3:$A$42,0)),3)))</f>
        <v/>
      </c>
      <c r="V864" s="40" t="n"/>
      <c r="W864" s="19">
        <f>IF($B864="","",IF($V864&lt;&gt;"",$V864-$B864,TODAY()-$B864))</f>
        <v/>
      </c>
      <c r="X864" s="19">
        <f>IF(OR($B864="",$U864=""),"",IF($V864&lt;&gt;"",MAX(0,$V864-$U864),MAX(0,TODAY()-$U864)))</f>
        <v/>
      </c>
      <c r="Y864" s="39">
        <f>IF($C864="","",IF(IFERROR(INDEX(LISTAS!$I$3:$I$42,MATCH($T864,LISTAS!$H$3:$H$42,0)),"NO")="SÍ",IF(N($X864)&gt;0,"CERRADA FUERA DE SLA","CERRADA EN SLA"),IF($U864="","SIN CLASIFICAR",IF(N($X864)&gt;0,"VENCIDA",IF(TODAY()&gt;=$U864-1,"POR VENCER","EN PLAZO")))))</f>
        <v/>
      </c>
      <c r="Z864" s="41" t="n"/>
      <c r="AA864" s="41" t="n"/>
      <c r="AB864" s="41" t="n"/>
    </row>
    <row r="865">
      <c r="A865" s="39">
        <f>IF($C865="","","NOV-"&amp;TEXT(ROW()-3,"0000"))</f>
        <v/>
      </c>
      <c r="B865" s="40" t="n"/>
      <c r="C865" s="41" t="n"/>
      <c r="D865" s="42">
        <f>IF($C865="","",IFERROR(INDEX(DESPACHOS!$D$3:$D$3002,MATCH($C865,DESPACHOS!$B$3:$B$3002,0)),"SIN DESPACHO"))</f>
        <v/>
      </c>
      <c r="E865" s="42">
        <f>IF($C865="","",IFERROR(INDEX(DESPACHOS!$K$3:$K$3002,MATCH($C865,DESPACHOS!$B$3:$B$3002,0)),""))</f>
        <v/>
      </c>
      <c r="F865" s="42">
        <f>IF($C865="","",IFERROR(INDEX(DESPACHOS!$I$3:$I$3002,MATCH($C865,DESPACHOS!$B$3:$B$3002,0)),""))</f>
        <v/>
      </c>
      <c r="G865" s="42">
        <f>IF($C865="","",IFERROR(INDEX(DESPACHOS!$F$3:$F$3002,MATCH($C865,DESPACHOS!$B$3:$B$3002,0)),""))</f>
        <v/>
      </c>
      <c r="H865" s="42">
        <f>IF($C865="","",IFERROR(INDEX(DESPACHOS!$G$3:$G$3002,MATCH($C865,DESPACHOS!$B$3:$B$3002,0)),""))</f>
        <v/>
      </c>
      <c r="I865" s="39">
        <f>IF($C865="","",IFERROR(INDEX(DESPACHOS!$H$3:$H$3002,MATCH($C865,DESPACHOS!$B$3:$B$3002,0)),""))</f>
        <v/>
      </c>
      <c r="J865" s="43">
        <f>IF($C865="","",IFERROR(INDEX(DESPACHOS!$J$3:$J$3002,MATCH($C865,DESPACHOS!$B$3:$B$3002,0)),""))</f>
        <v/>
      </c>
      <c r="K865" s="39">
        <f>IF($C865="","",IF(COUNTIFS(DESPACHOS!$B$3:$B$3002,$C865)=0,"NO EXISTE",IF(COUNTIFS(DESPACHOS!$B$3:$B$3002,$C865)&gt;1,"DUPLICADO","OK")))</f>
        <v/>
      </c>
      <c r="L865" s="41" t="n"/>
      <c r="M865" s="41" t="n"/>
      <c r="N865" s="42">
        <f>IF($M865="","",IFERROR(INDEX(LISTAS!$F$3:$F$42,MATCH($M865,LISTAS!$E$3:$E$42,0)),"Por definir"))</f>
        <v/>
      </c>
      <c r="O865" s="41" t="n"/>
      <c r="P865" s="39">
        <f>IF($L865="","",IFERROR(INDEX(LISTAS!$B$3:$B$42,MATCH($L865,LISTAS!$A$3:$A$42,0)),"Media"))</f>
        <v/>
      </c>
      <c r="Q865" s="44" t="n"/>
      <c r="R865" s="45" t="n"/>
      <c r="S865" s="20">
        <f>IFERROR(IF(OR($R865="",$C865=""),"",$R865/INDEX(DESPACHOS!$M$3:$M$3002,MATCH($C865,DESPACHOS!$B$3:$B$3002,0))),"")</f>
        <v/>
      </c>
      <c r="T865" s="41" t="n"/>
      <c r="U865" s="43">
        <f>IF(OR($B865="",$L865=""),"",WORKDAY($B865,IFERROR(INDEX(LISTAS!$C$3:$C$42,MATCH($L865,LISTAS!$A$3:$A$42,0)),3)))</f>
        <v/>
      </c>
      <c r="V865" s="40" t="n"/>
      <c r="W865" s="19">
        <f>IF($B865="","",IF($V865&lt;&gt;"",$V865-$B865,TODAY()-$B865))</f>
        <v/>
      </c>
      <c r="X865" s="19">
        <f>IF(OR($B865="",$U865=""),"",IF($V865&lt;&gt;"",MAX(0,$V865-$U865),MAX(0,TODAY()-$U865)))</f>
        <v/>
      </c>
      <c r="Y865" s="39">
        <f>IF($C865="","",IF(IFERROR(INDEX(LISTAS!$I$3:$I$42,MATCH($T865,LISTAS!$H$3:$H$42,0)),"NO")="SÍ",IF(N($X865)&gt;0,"CERRADA FUERA DE SLA","CERRADA EN SLA"),IF($U865="","SIN CLASIFICAR",IF(N($X865)&gt;0,"VENCIDA",IF(TODAY()&gt;=$U865-1,"POR VENCER","EN PLAZO")))))</f>
        <v/>
      </c>
      <c r="Z865" s="41" t="n"/>
      <c r="AA865" s="41" t="n"/>
      <c r="AB865" s="41" t="n"/>
    </row>
    <row r="866">
      <c r="A866" s="39">
        <f>IF($C866="","","NOV-"&amp;TEXT(ROW()-3,"0000"))</f>
        <v/>
      </c>
      <c r="B866" s="40" t="n"/>
      <c r="C866" s="41" t="n"/>
      <c r="D866" s="42">
        <f>IF($C866="","",IFERROR(INDEX(DESPACHOS!$D$3:$D$3002,MATCH($C866,DESPACHOS!$B$3:$B$3002,0)),"SIN DESPACHO"))</f>
        <v/>
      </c>
      <c r="E866" s="42">
        <f>IF($C866="","",IFERROR(INDEX(DESPACHOS!$K$3:$K$3002,MATCH($C866,DESPACHOS!$B$3:$B$3002,0)),""))</f>
        <v/>
      </c>
      <c r="F866" s="42">
        <f>IF($C866="","",IFERROR(INDEX(DESPACHOS!$I$3:$I$3002,MATCH($C866,DESPACHOS!$B$3:$B$3002,0)),""))</f>
        <v/>
      </c>
      <c r="G866" s="42">
        <f>IF($C866="","",IFERROR(INDEX(DESPACHOS!$F$3:$F$3002,MATCH($C866,DESPACHOS!$B$3:$B$3002,0)),""))</f>
        <v/>
      </c>
      <c r="H866" s="42">
        <f>IF($C866="","",IFERROR(INDEX(DESPACHOS!$G$3:$G$3002,MATCH($C866,DESPACHOS!$B$3:$B$3002,0)),""))</f>
        <v/>
      </c>
      <c r="I866" s="39">
        <f>IF($C866="","",IFERROR(INDEX(DESPACHOS!$H$3:$H$3002,MATCH($C866,DESPACHOS!$B$3:$B$3002,0)),""))</f>
        <v/>
      </c>
      <c r="J866" s="43">
        <f>IF($C866="","",IFERROR(INDEX(DESPACHOS!$J$3:$J$3002,MATCH($C866,DESPACHOS!$B$3:$B$3002,0)),""))</f>
        <v/>
      </c>
      <c r="K866" s="39">
        <f>IF($C866="","",IF(COUNTIFS(DESPACHOS!$B$3:$B$3002,$C866)=0,"NO EXISTE",IF(COUNTIFS(DESPACHOS!$B$3:$B$3002,$C866)&gt;1,"DUPLICADO","OK")))</f>
        <v/>
      </c>
      <c r="L866" s="41" t="n"/>
      <c r="M866" s="41" t="n"/>
      <c r="N866" s="42">
        <f>IF($M866="","",IFERROR(INDEX(LISTAS!$F$3:$F$42,MATCH($M866,LISTAS!$E$3:$E$42,0)),"Por definir"))</f>
        <v/>
      </c>
      <c r="O866" s="41" t="n"/>
      <c r="P866" s="39">
        <f>IF($L866="","",IFERROR(INDEX(LISTAS!$B$3:$B$42,MATCH($L866,LISTAS!$A$3:$A$42,0)),"Media"))</f>
        <v/>
      </c>
      <c r="Q866" s="44" t="n"/>
      <c r="R866" s="45" t="n"/>
      <c r="S866" s="20">
        <f>IFERROR(IF(OR($R866="",$C866=""),"",$R866/INDEX(DESPACHOS!$M$3:$M$3002,MATCH($C866,DESPACHOS!$B$3:$B$3002,0))),"")</f>
        <v/>
      </c>
      <c r="T866" s="41" t="n"/>
      <c r="U866" s="43">
        <f>IF(OR($B866="",$L866=""),"",WORKDAY($B866,IFERROR(INDEX(LISTAS!$C$3:$C$42,MATCH($L866,LISTAS!$A$3:$A$42,0)),3)))</f>
        <v/>
      </c>
      <c r="V866" s="40" t="n"/>
      <c r="W866" s="19">
        <f>IF($B866="","",IF($V866&lt;&gt;"",$V866-$B866,TODAY()-$B866))</f>
        <v/>
      </c>
      <c r="X866" s="19">
        <f>IF(OR($B866="",$U866=""),"",IF($V866&lt;&gt;"",MAX(0,$V866-$U866),MAX(0,TODAY()-$U866)))</f>
        <v/>
      </c>
      <c r="Y866" s="39">
        <f>IF($C866="","",IF(IFERROR(INDEX(LISTAS!$I$3:$I$42,MATCH($T866,LISTAS!$H$3:$H$42,0)),"NO")="SÍ",IF(N($X866)&gt;0,"CERRADA FUERA DE SLA","CERRADA EN SLA"),IF($U866="","SIN CLASIFICAR",IF(N($X866)&gt;0,"VENCIDA",IF(TODAY()&gt;=$U866-1,"POR VENCER","EN PLAZO")))))</f>
        <v/>
      </c>
      <c r="Z866" s="41" t="n"/>
      <c r="AA866" s="41" t="n"/>
      <c r="AB866" s="41" t="n"/>
    </row>
    <row r="867">
      <c r="A867" s="39">
        <f>IF($C867="","","NOV-"&amp;TEXT(ROW()-3,"0000"))</f>
        <v/>
      </c>
      <c r="B867" s="40" t="n"/>
      <c r="C867" s="41" t="n"/>
      <c r="D867" s="42">
        <f>IF($C867="","",IFERROR(INDEX(DESPACHOS!$D$3:$D$3002,MATCH($C867,DESPACHOS!$B$3:$B$3002,0)),"SIN DESPACHO"))</f>
        <v/>
      </c>
      <c r="E867" s="42">
        <f>IF($C867="","",IFERROR(INDEX(DESPACHOS!$K$3:$K$3002,MATCH($C867,DESPACHOS!$B$3:$B$3002,0)),""))</f>
        <v/>
      </c>
      <c r="F867" s="42">
        <f>IF($C867="","",IFERROR(INDEX(DESPACHOS!$I$3:$I$3002,MATCH($C867,DESPACHOS!$B$3:$B$3002,0)),""))</f>
        <v/>
      </c>
      <c r="G867" s="42">
        <f>IF($C867="","",IFERROR(INDEX(DESPACHOS!$F$3:$F$3002,MATCH($C867,DESPACHOS!$B$3:$B$3002,0)),""))</f>
        <v/>
      </c>
      <c r="H867" s="42">
        <f>IF($C867="","",IFERROR(INDEX(DESPACHOS!$G$3:$G$3002,MATCH($C867,DESPACHOS!$B$3:$B$3002,0)),""))</f>
        <v/>
      </c>
      <c r="I867" s="39">
        <f>IF($C867="","",IFERROR(INDEX(DESPACHOS!$H$3:$H$3002,MATCH($C867,DESPACHOS!$B$3:$B$3002,0)),""))</f>
        <v/>
      </c>
      <c r="J867" s="43">
        <f>IF($C867="","",IFERROR(INDEX(DESPACHOS!$J$3:$J$3002,MATCH($C867,DESPACHOS!$B$3:$B$3002,0)),""))</f>
        <v/>
      </c>
      <c r="K867" s="39">
        <f>IF($C867="","",IF(COUNTIFS(DESPACHOS!$B$3:$B$3002,$C867)=0,"NO EXISTE",IF(COUNTIFS(DESPACHOS!$B$3:$B$3002,$C867)&gt;1,"DUPLICADO","OK")))</f>
        <v/>
      </c>
      <c r="L867" s="41" t="n"/>
      <c r="M867" s="41" t="n"/>
      <c r="N867" s="42">
        <f>IF($M867="","",IFERROR(INDEX(LISTAS!$F$3:$F$42,MATCH($M867,LISTAS!$E$3:$E$42,0)),"Por definir"))</f>
        <v/>
      </c>
      <c r="O867" s="41" t="n"/>
      <c r="P867" s="39">
        <f>IF($L867="","",IFERROR(INDEX(LISTAS!$B$3:$B$42,MATCH($L867,LISTAS!$A$3:$A$42,0)),"Media"))</f>
        <v/>
      </c>
      <c r="Q867" s="44" t="n"/>
      <c r="R867" s="45" t="n"/>
      <c r="S867" s="20">
        <f>IFERROR(IF(OR($R867="",$C867=""),"",$R867/INDEX(DESPACHOS!$M$3:$M$3002,MATCH($C867,DESPACHOS!$B$3:$B$3002,0))),"")</f>
        <v/>
      </c>
      <c r="T867" s="41" t="n"/>
      <c r="U867" s="43">
        <f>IF(OR($B867="",$L867=""),"",WORKDAY($B867,IFERROR(INDEX(LISTAS!$C$3:$C$42,MATCH($L867,LISTAS!$A$3:$A$42,0)),3)))</f>
        <v/>
      </c>
      <c r="V867" s="40" t="n"/>
      <c r="W867" s="19">
        <f>IF($B867="","",IF($V867&lt;&gt;"",$V867-$B867,TODAY()-$B867))</f>
        <v/>
      </c>
      <c r="X867" s="19">
        <f>IF(OR($B867="",$U867=""),"",IF($V867&lt;&gt;"",MAX(0,$V867-$U867),MAX(0,TODAY()-$U867)))</f>
        <v/>
      </c>
      <c r="Y867" s="39">
        <f>IF($C867="","",IF(IFERROR(INDEX(LISTAS!$I$3:$I$42,MATCH($T867,LISTAS!$H$3:$H$42,0)),"NO")="SÍ",IF(N($X867)&gt;0,"CERRADA FUERA DE SLA","CERRADA EN SLA"),IF($U867="","SIN CLASIFICAR",IF(N($X867)&gt;0,"VENCIDA",IF(TODAY()&gt;=$U867-1,"POR VENCER","EN PLAZO")))))</f>
        <v/>
      </c>
      <c r="Z867" s="41" t="n"/>
      <c r="AA867" s="41" t="n"/>
      <c r="AB867" s="41" t="n"/>
    </row>
    <row r="868">
      <c r="A868" s="39">
        <f>IF($C868="","","NOV-"&amp;TEXT(ROW()-3,"0000"))</f>
        <v/>
      </c>
      <c r="B868" s="40" t="n"/>
      <c r="C868" s="41" t="n"/>
      <c r="D868" s="42">
        <f>IF($C868="","",IFERROR(INDEX(DESPACHOS!$D$3:$D$3002,MATCH($C868,DESPACHOS!$B$3:$B$3002,0)),"SIN DESPACHO"))</f>
        <v/>
      </c>
      <c r="E868" s="42">
        <f>IF($C868="","",IFERROR(INDEX(DESPACHOS!$K$3:$K$3002,MATCH($C868,DESPACHOS!$B$3:$B$3002,0)),""))</f>
        <v/>
      </c>
      <c r="F868" s="42">
        <f>IF($C868="","",IFERROR(INDEX(DESPACHOS!$I$3:$I$3002,MATCH($C868,DESPACHOS!$B$3:$B$3002,0)),""))</f>
        <v/>
      </c>
      <c r="G868" s="42">
        <f>IF($C868="","",IFERROR(INDEX(DESPACHOS!$F$3:$F$3002,MATCH($C868,DESPACHOS!$B$3:$B$3002,0)),""))</f>
        <v/>
      </c>
      <c r="H868" s="42">
        <f>IF($C868="","",IFERROR(INDEX(DESPACHOS!$G$3:$G$3002,MATCH($C868,DESPACHOS!$B$3:$B$3002,0)),""))</f>
        <v/>
      </c>
      <c r="I868" s="39">
        <f>IF($C868="","",IFERROR(INDEX(DESPACHOS!$H$3:$H$3002,MATCH($C868,DESPACHOS!$B$3:$B$3002,0)),""))</f>
        <v/>
      </c>
      <c r="J868" s="43">
        <f>IF($C868="","",IFERROR(INDEX(DESPACHOS!$J$3:$J$3002,MATCH($C868,DESPACHOS!$B$3:$B$3002,0)),""))</f>
        <v/>
      </c>
      <c r="K868" s="39">
        <f>IF($C868="","",IF(COUNTIFS(DESPACHOS!$B$3:$B$3002,$C868)=0,"NO EXISTE",IF(COUNTIFS(DESPACHOS!$B$3:$B$3002,$C868)&gt;1,"DUPLICADO","OK")))</f>
        <v/>
      </c>
      <c r="L868" s="41" t="n"/>
      <c r="M868" s="41" t="n"/>
      <c r="N868" s="42">
        <f>IF($M868="","",IFERROR(INDEX(LISTAS!$F$3:$F$42,MATCH($M868,LISTAS!$E$3:$E$42,0)),"Por definir"))</f>
        <v/>
      </c>
      <c r="O868" s="41" t="n"/>
      <c r="P868" s="39">
        <f>IF($L868="","",IFERROR(INDEX(LISTAS!$B$3:$B$42,MATCH($L868,LISTAS!$A$3:$A$42,0)),"Media"))</f>
        <v/>
      </c>
      <c r="Q868" s="44" t="n"/>
      <c r="R868" s="45" t="n"/>
      <c r="S868" s="20">
        <f>IFERROR(IF(OR($R868="",$C868=""),"",$R868/INDEX(DESPACHOS!$M$3:$M$3002,MATCH($C868,DESPACHOS!$B$3:$B$3002,0))),"")</f>
        <v/>
      </c>
      <c r="T868" s="41" t="n"/>
      <c r="U868" s="43">
        <f>IF(OR($B868="",$L868=""),"",WORKDAY($B868,IFERROR(INDEX(LISTAS!$C$3:$C$42,MATCH($L868,LISTAS!$A$3:$A$42,0)),3)))</f>
        <v/>
      </c>
      <c r="V868" s="40" t="n"/>
      <c r="W868" s="19">
        <f>IF($B868="","",IF($V868&lt;&gt;"",$V868-$B868,TODAY()-$B868))</f>
        <v/>
      </c>
      <c r="X868" s="19">
        <f>IF(OR($B868="",$U868=""),"",IF($V868&lt;&gt;"",MAX(0,$V868-$U868),MAX(0,TODAY()-$U868)))</f>
        <v/>
      </c>
      <c r="Y868" s="39">
        <f>IF($C868="","",IF(IFERROR(INDEX(LISTAS!$I$3:$I$42,MATCH($T868,LISTAS!$H$3:$H$42,0)),"NO")="SÍ",IF(N($X868)&gt;0,"CERRADA FUERA DE SLA","CERRADA EN SLA"),IF($U868="","SIN CLASIFICAR",IF(N($X868)&gt;0,"VENCIDA",IF(TODAY()&gt;=$U868-1,"POR VENCER","EN PLAZO")))))</f>
        <v/>
      </c>
      <c r="Z868" s="41" t="n"/>
      <c r="AA868" s="41" t="n"/>
      <c r="AB868" s="41" t="n"/>
    </row>
    <row r="869">
      <c r="A869" s="39">
        <f>IF($C869="","","NOV-"&amp;TEXT(ROW()-3,"0000"))</f>
        <v/>
      </c>
      <c r="B869" s="40" t="n"/>
      <c r="C869" s="41" t="n"/>
      <c r="D869" s="42">
        <f>IF($C869="","",IFERROR(INDEX(DESPACHOS!$D$3:$D$3002,MATCH($C869,DESPACHOS!$B$3:$B$3002,0)),"SIN DESPACHO"))</f>
        <v/>
      </c>
      <c r="E869" s="42">
        <f>IF($C869="","",IFERROR(INDEX(DESPACHOS!$K$3:$K$3002,MATCH($C869,DESPACHOS!$B$3:$B$3002,0)),""))</f>
        <v/>
      </c>
      <c r="F869" s="42">
        <f>IF($C869="","",IFERROR(INDEX(DESPACHOS!$I$3:$I$3002,MATCH($C869,DESPACHOS!$B$3:$B$3002,0)),""))</f>
        <v/>
      </c>
      <c r="G869" s="42">
        <f>IF($C869="","",IFERROR(INDEX(DESPACHOS!$F$3:$F$3002,MATCH($C869,DESPACHOS!$B$3:$B$3002,0)),""))</f>
        <v/>
      </c>
      <c r="H869" s="42">
        <f>IF($C869="","",IFERROR(INDEX(DESPACHOS!$G$3:$G$3002,MATCH($C869,DESPACHOS!$B$3:$B$3002,0)),""))</f>
        <v/>
      </c>
      <c r="I869" s="39">
        <f>IF($C869="","",IFERROR(INDEX(DESPACHOS!$H$3:$H$3002,MATCH($C869,DESPACHOS!$B$3:$B$3002,0)),""))</f>
        <v/>
      </c>
      <c r="J869" s="43">
        <f>IF($C869="","",IFERROR(INDEX(DESPACHOS!$J$3:$J$3002,MATCH($C869,DESPACHOS!$B$3:$B$3002,0)),""))</f>
        <v/>
      </c>
      <c r="K869" s="39">
        <f>IF($C869="","",IF(COUNTIFS(DESPACHOS!$B$3:$B$3002,$C869)=0,"NO EXISTE",IF(COUNTIFS(DESPACHOS!$B$3:$B$3002,$C869)&gt;1,"DUPLICADO","OK")))</f>
        <v/>
      </c>
      <c r="L869" s="41" t="n"/>
      <c r="M869" s="41" t="n"/>
      <c r="N869" s="42">
        <f>IF($M869="","",IFERROR(INDEX(LISTAS!$F$3:$F$42,MATCH($M869,LISTAS!$E$3:$E$42,0)),"Por definir"))</f>
        <v/>
      </c>
      <c r="O869" s="41" t="n"/>
      <c r="P869" s="39">
        <f>IF($L869="","",IFERROR(INDEX(LISTAS!$B$3:$B$42,MATCH($L869,LISTAS!$A$3:$A$42,0)),"Media"))</f>
        <v/>
      </c>
      <c r="Q869" s="44" t="n"/>
      <c r="R869" s="45" t="n"/>
      <c r="S869" s="20">
        <f>IFERROR(IF(OR($R869="",$C869=""),"",$R869/INDEX(DESPACHOS!$M$3:$M$3002,MATCH($C869,DESPACHOS!$B$3:$B$3002,0))),"")</f>
        <v/>
      </c>
      <c r="T869" s="41" t="n"/>
      <c r="U869" s="43">
        <f>IF(OR($B869="",$L869=""),"",WORKDAY($B869,IFERROR(INDEX(LISTAS!$C$3:$C$42,MATCH($L869,LISTAS!$A$3:$A$42,0)),3)))</f>
        <v/>
      </c>
      <c r="V869" s="40" t="n"/>
      <c r="W869" s="19">
        <f>IF($B869="","",IF($V869&lt;&gt;"",$V869-$B869,TODAY()-$B869))</f>
        <v/>
      </c>
      <c r="X869" s="19">
        <f>IF(OR($B869="",$U869=""),"",IF($V869&lt;&gt;"",MAX(0,$V869-$U869),MAX(0,TODAY()-$U869)))</f>
        <v/>
      </c>
      <c r="Y869" s="39">
        <f>IF($C869="","",IF(IFERROR(INDEX(LISTAS!$I$3:$I$42,MATCH($T869,LISTAS!$H$3:$H$42,0)),"NO")="SÍ",IF(N($X869)&gt;0,"CERRADA FUERA DE SLA","CERRADA EN SLA"),IF($U869="","SIN CLASIFICAR",IF(N($X869)&gt;0,"VENCIDA",IF(TODAY()&gt;=$U869-1,"POR VENCER","EN PLAZO")))))</f>
        <v/>
      </c>
      <c r="Z869" s="41" t="n"/>
      <c r="AA869" s="41" t="n"/>
      <c r="AB869" s="41" t="n"/>
    </row>
    <row r="870">
      <c r="A870" s="39">
        <f>IF($C870="","","NOV-"&amp;TEXT(ROW()-3,"0000"))</f>
        <v/>
      </c>
      <c r="B870" s="40" t="n"/>
      <c r="C870" s="41" t="n"/>
      <c r="D870" s="42">
        <f>IF($C870="","",IFERROR(INDEX(DESPACHOS!$D$3:$D$3002,MATCH($C870,DESPACHOS!$B$3:$B$3002,0)),"SIN DESPACHO"))</f>
        <v/>
      </c>
      <c r="E870" s="42">
        <f>IF($C870="","",IFERROR(INDEX(DESPACHOS!$K$3:$K$3002,MATCH($C870,DESPACHOS!$B$3:$B$3002,0)),""))</f>
        <v/>
      </c>
      <c r="F870" s="42">
        <f>IF($C870="","",IFERROR(INDEX(DESPACHOS!$I$3:$I$3002,MATCH($C870,DESPACHOS!$B$3:$B$3002,0)),""))</f>
        <v/>
      </c>
      <c r="G870" s="42">
        <f>IF($C870="","",IFERROR(INDEX(DESPACHOS!$F$3:$F$3002,MATCH($C870,DESPACHOS!$B$3:$B$3002,0)),""))</f>
        <v/>
      </c>
      <c r="H870" s="42">
        <f>IF($C870="","",IFERROR(INDEX(DESPACHOS!$G$3:$G$3002,MATCH($C870,DESPACHOS!$B$3:$B$3002,0)),""))</f>
        <v/>
      </c>
      <c r="I870" s="39">
        <f>IF($C870="","",IFERROR(INDEX(DESPACHOS!$H$3:$H$3002,MATCH($C870,DESPACHOS!$B$3:$B$3002,0)),""))</f>
        <v/>
      </c>
      <c r="J870" s="43">
        <f>IF($C870="","",IFERROR(INDEX(DESPACHOS!$J$3:$J$3002,MATCH($C870,DESPACHOS!$B$3:$B$3002,0)),""))</f>
        <v/>
      </c>
      <c r="K870" s="39">
        <f>IF($C870="","",IF(COUNTIFS(DESPACHOS!$B$3:$B$3002,$C870)=0,"NO EXISTE",IF(COUNTIFS(DESPACHOS!$B$3:$B$3002,$C870)&gt;1,"DUPLICADO","OK")))</f>
        <v/>
      </c>
      <c r="L870" s="41" t="n"/>
      <c r="M870" s="41" t="n"/>
      <c r="N870" s="42">
        <f>IF($M870="","",IFERROR(INDEX(LISTAS!$F$3:$F$42,MATCH($M870,LISTAS!$E$3:$E$42,0)),"Por definir"))</f>
        <v/>
      </c>
      <c r="O870" s="41" t="n"/>
      <c r="P870" s="39">
        <f>IF($L870="","",IFERROR(INDEX(LISTAS!$B$3:$B$42,MATCH($L870,LISTAS!$A$3:$A$42,0)),"Media"))</f>
        <v/>
      </c>
      <c r="Q870" s="44" t="n"/>
      <c r="R870" s="45" t="n"/>
      <c r="S870" s="20">
        <f>IFERROR(IF(OR($R870="",$C870=""),"",$R870/INDEX(DESPACHOS!$M$3:$M$3002,MATCH($C870,DESPACHOS!$B$3:$B$3002,0))),"")</f>
        <v/>
      </c>
      <c r="T870" s="41" t="n"/>
      <c r="U870" s="43">
        <f>IF(OR($B870="",$L870=""),"",WORKDAY($B870,IFERROR(INDEX(LISTAS!$C$3:$C$42,MATCH($L870,LISTAS!$A$3:$A$42,0)),3)))</f>
        <v/>
      </c>
      <c r="V870" s="40" t="n"/>
      <c r="W870" s="19">
        <f>IF($B870="","",IF($V870&lt;&gt;"",$V870-$B870,TODAY()-$B870))</f>
        <v/>
      </c>
      <c r="X870" s="19">
        <f>IF(OR($B870="",$U870=""),"",IF($V870&lt;&gt;"",MAX(0,$V870-$U870),MAX(0,TODAY()-$U870)))</f>
        <v/>
      </c>
      <c r="Y870" s="39">
        <f>IF($C870="","",IF(IFERROR(INDEX(LISTAS!$I$3:$I$42,MATCH($T870,LISTAS!$H$3:$H$42,0)),"NO")="SÍ",IF(N($X870)&gt;0,"CERRADA FUERA DE SLA","CERRADA EN SLA"),IF($U870="","SIN CLASIFICAR",IF(N($X870)&gt;0,"VENCIDA",IF(TODAY()&gt;=$U870-1,"POR VENCER","EN PLAZO")))))</f>
        <v/>
      </c>
      <c r="Z870" s="41" t="n"/>
      <c r="AA870" s="41" t="n"/>
      <c r="AB870" s="41" t="n"/>
    </row>
    <row r="871">
      <c r="A871" s="39">
        <f>IF($C871="","","NOV-"&amp;TEXT(ROW()-3,"0000"))</f>
        <v/>
      </c>
      <c r="B871" s="40" t="n"/>
      <c r="C871" s="41" t="n"/>
      <c r="D871" s="42">
        <f>IF($C871="","",IFERROR(INDEX(DESPACHOS!$D$3:$D$3002,MATCH($C871,DESPACHOS!$B$3:$B$3002,0)),"SIN DESPACHO"))</f>
        <v/>
      </c>
      <c r="E871" s="42">
        <f>IF($C871="","",IFERROR(INDEX(DESPACHOS!$K$3:$K$3002,MATCH($C871,DESPACHOS!$B$3:$B$3002,0)),""))</f>
        <v/>
      </c>
      <c r="F871" s="42">
        <f>IF($C871="","",IFERROR(INDEX(DESPACHOS!$I$3:$I$3002,MATCH($C871,DESPACHOS!$B$3:$B$3002,0)),""))</f>
        <v/>
      </c>
      <c r="G871" s="42">
        <f>IF($C871="","",IFERROR(INDEX(DESPACHOS!$F$3:$F$3002,MATCH($C871,DESPACHOS!$B$3:$B$3002,0)),""))</f>
        <v/>
      </c>
      <c r="H871" s="42">
        <f>IF($C871="","",IFERROR(INDEX(DESPACHOS!$G$3:$G$3002,MATCH($C871,DESPACHOS!$B$3:$B$3002,0)),""))</f>
        <v/>
      </c>
      <c r="I871" s="39">
        <f>IF($C871="","",IFERROR(INDEX(DESPACHOS!$H$3:$H$3002,MATCH($C871,DESPACHOS!$B$3:$B$3002,0)),""))</f>
        <v/>
      </c>
      <c r="J871" s="43">
        <f>IF($C871="","",IFERROR(INDEX(DESPACHOS!$J$3:$J$3002,MATCH($C871,DESPACHOS!$B$3:$B$3002,0)),""))</f>
        <v/>
      </c>
      <c r="K871" s="39">
        <f>IF($C871="","",IF(COUNTIFS(DESPACHOS!$B$3:$B$3002,$C871)=0,"NO EXISTE",IF(COUNTIFS(DESPACHOS!$B$3:$B$3002,$C871)&gt;1,"DUPLICADO","OK")))</f>
        <v/>
      </c>
      <c r="L871" s="41" t="n"/>
      <c r="M871" s="41" t="n"/>
      <c r="N871" s="42">
        <f>IF($M871="","",IFERROR(INDEX(LISTAS!$F$3:$F$42,MATCH($M871,LISTAS!$E$3:$E$42,0)),"Por definir"))</f>
        <v/>
      </c>
      <c r="O871" s="41" t="n"/>
      <c r="P871" s="39">
        <f>IF($L871="","",IFERROR(INDEX(LISTAS!$B$3:$B$42,MATCH($L871,LISTAS!$A$3:$A$42,0)),"Media"))</f>
        <v/>
      </c>
      <c r="Q871" s="44" t="n"/>
      <c r="R871" s="45" t="n"/>
      <c r="S871" s="20">
        <f>IFERROR(IF(OR($R871="",$C871=""),"",$R871/INDEX(DESPACHOS!$M$3:$M$3002,MATCH($C871,DESPACHOS!$B$3:$B$3002,0))),"")</f>
        <v/>
      </c>
      <c r="T871" s="41" t="n"/>
      <c r="U871" s="43">
        <f>IF(OR($B871="",$L871=""),"",WORKDAY($B871,IFERROR(INDEX(LISTAS!$C$3:$C$42,MATCH($L871,LISTAS!$A$3:$A$42,0)),3)))</f>
        <v/>
      </c>
      <c r="V871" s="40" t="n"/>
      <c r="W871" s="19">
        <f>IF($B871="","",IF($V871&lt;&gt;"",$V871-$B871,TODAY()-$B871))</f>
        <v/>
      </c>
      <c r="X871" s="19">
        <f>IF(OR($B871="",$U871=""),"",IF($V871&lt;&gt;"",MAX(0,$V871-$U871),MAX(0,TODAY()-$U871)))</f>
        <v/>
      </c>
      <c r="Y871" s="39">
        <f>IF($C871="","",IF(IFERROR(INDEX(LISTAS!$I$3:$I$42,MATCH($T871,LISTAS!$H$3:$H$42,0)),"NO")="SÍ",IF(N($X871)&gt;0,"CERRADA FUERA DE SLA","CERRADA EN SLA"),IF($U871="","SIN CLASIFICAR",IF(N($X871)&gt;0,"VENCIDA",IF(TODAY()&gt;=$U871-1,"POR VENCER","EN PLAZO")))))</f>
        <v/>
      </c>
      <c r="Z871" s="41" t="n"/>
      <c r="AA871" s="41" t="n"/>
      <c r="AB871" s="41" t="n"/>
    </row>
    <row r="872">
      <c r="A872" s="39">
        <f>IF($C872="","","NOV-"&amp;TEXT(ROW()-3,"0000"))</f>
        <v/>
      </c>
      <c r="B872" s="40" t="n"/>
      <c r="C872" s="41" t="n"/>
      <c r="D872" s="42">
        <f>IF($C872="","",IFERROR(INDEX(DESPACHOS!$D$3:$D$3002,MATCH($C872,DESPACHOS!$B$3:$B$3002,0)),"SIN DESPACHO"))</f>
        <v/>
      </c>
      <c r="E872" s="42">
        <f>IF($C872="","",IFERROR(INDEX(DESPACHOS!$K$3:$K$3002,MATCH($C872,DESPACHOS!$B$3:$B$3002,0)),""))</f>
        <v/>
      </c>
      <c r="F872" s="42">
        <f>IF($C872="","",IFERROR(INDEX(DESPACHOS!$I$3:$I$3002,MATCH($C872,DESPACHOS!$B$3:$B$3002,0)),""))</f>
        <v/>
      </c>
      <c r="G872" s="42">
        <f>IF($C872="","",IFERROR(INDEX(DESPACHOS!$F$3:$F$3002,MATCH($C872,DESPACHOS!$B$3:$B$3002,0)),""))</f>
        <v/>
      </c>
      <c r="H872" s="42">
        <f>IF($C872="","",IFERROR(INDEX(DESPACHOS!$G$3:$G$3002,MATCH($C872,DESPACHOS!$B$3:$B$3002,0)),""))</f>
        <v/>
      </c>
      <c r="I872" s="39">
        <f>IF($C872="","",IFERROR(INDEX(DESPACHOS!$H$3:$H$3002,MATCH($C872,DESPACHOS!$B$3:$B$3002,0)),""))</f>
        <v/>
      </c>
      <c r="J872" s="43">
        <f>IF($C872="","",IFERROR(INDEX(DESPACHOS!$J$3:$J$3002,MATCH($C872,DESPACHOS!$B$3:$B$3002,0)),""))</f>
        <v/>
      </c>
      <c r="K872" s="39">
        <f>IF($C872="","",IF(COUNTIFS(DESPACHOS!$B$3:$B$3002,$C872)=0,"NO EXISTE",IF(COUNTIFS(DESPACHOS!$B$3:$B$3002,$C872)&gt;1,"DUPLICADO","OK")))</f>
        <v/>
      </c>
      <c r="L872" s="41" t="n"/>
      <c r="M872" s="41" t="n"/>
      <c r="N872" s="42">
        <f>IF($M872="","",IFERROR(INDEX(LISTAS!$F$3:$F$42,MATCH($M872,LISTAS!$E$3:$E$42,0)),"Por definir"))</f>
        <v/>
      </c>
      <c r="O872" s="41" t="n"/>
      <c r="P872" s="39">
        <f>IF($L872="","",IFERROR(INDEX(LISTAS!$B$3:$B$42,MATCH($L872,LISTAS!$A$3:$A$42,0)),"Media"))</f>
        <v/>
      </c>
      <c r="Q872" s="44" t="n"/>
      <c r="R872" s="45" t="n"/>
      <c r="S872" s="20">
        <f>IFERROR(IF(OR($R872="",$C872=""),"",$R872/INDEX(DESPACHOS!$M$3:$M$3002,MATCH($C872,DESPACHOS!$B$3:$B$3002,0))),"")</f>
        <v/>
      </c>
      <c r="T872" s="41" t="n"/>
      <c r="U872" s="43">
        <f>IF(OR($B872="",$L872=""),"",WORKDAY($B872,IFERROR(INDEX(LISTAS!$C$3:$C$42,MATCH($L872,LISTAS!$A$3:$A$42,0)),3)))</f>
        <v/>
      </c>
      <c r="V872" s="40" t="n"/>
      <c r="W872" s="19">
        <f>IF($B872="","",IF($V872&lt;&gt;"",$V872-$B872,TODAY()-$B872))</f>
        <v/>
      </c>
      <c r="X872" s="19">
        <f>IF(OR($B872="",$U872=""),"",IF($V872&lt;&gt;"",MAX(0,$V872-$U872),MAX(0,TODAY()-$U872)))</f>
        <v/>
      </c>
      <c r="Y872" s="39">
        <f>IF($C872="","",IF(IFERROR(INDEX(LISTAS!$I$3:$I$42,MATCH($T872,LISTAS!$H$3:$H$42,0)),"NO")="SÍ",IF(N($X872)&gt;0,"CERRADA FUERA DE SLA","CERRADA EN SLA"),IF($U872="","SIN CLASIFICAR",IF(N($X872)&gt;0,"VENCIDA",IF(TODAY()&gt;=$U872-1,"POR VENCER","EN PLAZO")))))</f>
        <v/>
      </c>
      <c r="Z872" s="41" t="n"/>
      <c r="AA872" s="41" t="n"/>
      <c r="AB872" s="41" t="n"/>
    </row>
    <row r="873">
      <c r="A873" s="39">
        <f>IF($C873="","","NOV-"&amp;TEXT(ROW()-3,"0000"))</f>
        <v/>
      </c>
      <c r="B873" s="40" t="n"/>
      <c r="C873" s="41" t="n"/>
      <c r="D873" s="42">
        <f>IF($C873="","",IFERROR(INDEX(DESPACHOS!$D$3:$D$3002,MATCH($C873,DESPACHOS!$B$3:$B$3002,0)),"SIN DESPACHO"))</f>
        <v/>
      </c>
      <c r="E873" s="42">
        <f>IF($C873="","",IFERROR(INDEX(DESPACHOS!$K$3:$K$3002,MATCH($C873,DESPACHOS!$B$3:$B$3002,0)),""))</f>
        <v/>
      </c>
      <c r="F873" s="42">
        <f>IF($C873="","",IFERROR(INDEX(DESPACHOS!$I$3:$I$3002,MATCH($C873,DESPACHOS!$B$3:$B$3002,0)),""))</f>
        <v/>
      </c>
      <c r="G873" s="42">
        <f>IF($C873="","",IFERROR(INDEX(DESPACHOS!$F$3:$F$3002,MATCH($C873,DESPACHOS!$B$3:$B$3002,0)),""))</f>
        <v/>
      </c>
      <c r="H873" s="42">
        <f>IF($C873="","",IFERROR(INDEX(DESPACHOS!$G$3:$G$3002,MATCH($C873,DESPACHOS!$B$3:$B$3002,0)),""))</f>
        <v/>
      </c>
      <c r="I873" s="39">
        <f>IF($C873="","",IFERROR(INDEX(DESPACHOS!$H$3:$H$3002,MATCH($C873,DESPACHOS!$B$3:$B$3002,0)),""))</f>
        <v/>
      </c>
      <c r="J873" s="43">
        <f>IF($C873="","",IFERROR(INDEX(DESPACHOS!$J$3:$J$3002,MATCH($C873,DESPACHOS!$B$3:$B$3002,0)),""))</f>
        <v/>
      </c>
      <c r="K873" s="39">
        <f>IF($C873="","",IF(COUNTIFS(DESPACHOS!$B$3:$B$3002,$C873)=0,"NO EXISTE",IF(COUNTIFS(DESPACHOS!$B$3:$B$3002,$C873)&gt;1,"DUPLICADO","OK")))</f>
        <v/>
      </c>
      <c r="L873" s="41" t="n"/>
      <c r="M873" s="41" t="n"/>
      <c r="N873" s="42">
        <f>IF($M873="","",IFERROR(INDEX(LISTAS!$F$3:$F$42,MATCH($M873,LISTAS!$E$3:$E$42,0)),"Por definir"))</f>
        <v/>
      </c>
      <c r="O873" s="41" t="n"/>
      <c r="P873" s="39">
        <f>IF($L873="","",IFERROR(INDEX(LISTAS!$B$3:$B$42,MATCH($L873,LISTAS!$A$3:$A$42,0)),"Media"))</f>
        <v/>
      </c>
      <c r="Q873" s="44" t="n"/>
      <c r="R873" s="45" t="n"/>
      <c r="S873" s="20">
        <f>IFERROR(IF(OR($R873="",$C873=""),"",$R873/INDEX(DESPACHOS!$M$3:$M$3002,MATCH($C873,DESPACHOS!$B$3:$B$3002,0))),"")</f>
        <v/>
      </c>
      <c r="T873" s="41" t="n"/>
      <c r="U873" s="43">
        <f>IF(OR($B873="",$L873=""),"",WORKDAY($B873,IFERROR(INDEX(LISTAS!$C$3:$C$42,MATCH($L873,LISTAS!$A$3:$A$42,0)),3)))</f>
        <v/>
      </c>
      <c r="V873" s="40" t="n"/>
      <c r="W873" s="19">
        <f>IF($B873="","",IF($V873&lt;&gt;"",$V873-$B873,TODAY()-$B873))</f>
        <v/>
      </c>
      <c r="X873" s="19">
        <f>IF(OR($B873="",$U873=""),"",IF($V873&lt;&gt;"",MAX(0,$V873-$U873),MAX(0,TODAY()-$U873)))</f>
        <v/>
      </c>
      <c r="Y873" s="39">
        <f>IF($C873="","",IF(IFERROR(INDEX(LISTAS!$I$3:$I$42,MATCH($T873,LISTAS!$H$3:$H$42,0)),"NO")="SÍ",IF(N($X873)&gt;0,"CERRADA FUERA DE SLA","CERRADA EN SLA"),IF($U873="","SIN CLASIFICAR",IF(N($X873)&gt;0,"VENCIDA",IF(TODAY()&gt;=$U873-1,"POR VENCER","EN PLAZO")))))</f>
        <v/>
      </c>
      <c r="Z873" s="41" t="n"/>
      <c r="AA873" s="41" t="n"/>
      <c r="AB873" s="41" t="n"/>
    </row>
    <row r="874">
      <c r="A874" s="39">
        <f>IF($C874="","","NOV-"&amp;TEXT(ROW()-3,"0000"))</f>
        <v/>
      </c>
      <c r="B874" s="40" t="n"/>
      <c r="C874" s="41" t="n"/>
      <c r="D874" s="42">
        <f>IF($C874="","",IFERROR(INDEX(DESPACHOS!$D$3:$D$3002,MATCH($C874,DESPACHOS!$B$3:$B$3002,0)),"SIN DESPACHO"))</f>
        <v/>
      </c>
      <c r="E874" s="42">
        <f>IF($C874="","",IFERROR(INDEX(DESPACHOS!$K$3:$K$3002,MATCH($C874,DESPACHOS!$B$3:$B$3002,0)),""))</f>
        <v/>
      </c>
      <c r="F874" s="42">
        <f>IF($C874="","",IFERROR(INDEX(DESPACHOS!$I$3:$I$3002,MATCH($C874,DESPACHOS!$B$3:$B$3002,0)),""))</f>
        <v/>
      </c>
      <c r="G874" s="42">
        <f>IF($C874="","",IFERROR(INDEX(DESPACHOS!$F$3:$F$3002,MATCH($C874,DESPACHOS!$B$3:$B$3002,0)),""))</f>
        <v/>
      </c>
      <c r="H874" s="42">
        <f>IF($C874="","",IFERROR(INDEX(DESPACHOS!$G$3:$G$3002,MATCH($C874,DESPACHOS!$B$3:$B$3002,0)),""))</f>
        <v/>
      </c>
      <c r="I874" s="39">
        <f>IF($C874="","",IFERROR(INDEX(DESPACHOS!$H$3:$H$3002,MATCH($C874,DESPACHOS!$B$3:$B$3002,0)),""))</f>
        <v/>
      </c>
      <c r="J874" s="43">
        <f>IF($C874="","",IFERROR(INDEX(DESPACHOS!$J$3:$J$3002,MATCH($C874,DESPACHOS!$B$3:$B$3002,0)),""))</f>
        <v/>
      </c>
      <c r="K874" s="39">
        <f>IF($C874="","",IF(COUNTIFS(DESPACHOS!$B$3:$B$3002,$C874)=0,"NO EXISTE",IF(COUNTIFS(DESPACHOS!$B$3:$B$3002,$C874)&gt;1,"DUPLICADO","OK")))</f>
        <v/>
      </c>
      <c r="L874" s="41" t="n"/>
      <c r="M874" s="41" t="n"/>
      <c r="N874" s="42">
        <f>IF($M874="","",IFERROR(INDEX(LISTAS!$F$3:$F$42,MATCH($M874,LISTAS!$E$3:$E$42,0)),"Por definir"))</f>
        <v/>
      </c>
      <c r="O874" s="41" t="n"/>
      <c r="P874" s="39">
        <f>IF($L874="","",IFERROR(INDEX(LISTAS!$B$3:$B$42,MATCH($L874,LISTAS!$A$3:$A$42,0)),"Media"))</f>
        <v/>
      </c>
      <c r="Q874" s="44" t="n"/>
      <c r="R874" s="45" t="n"/>
      <c r="S874" s="20">
        <f>IFERROR(IF(OR($R874="",$C874=""),"",$R874/INDEX(DESPACHOS!$M$3:$M$3002,MATCH($C874,DESPACHOS!$B$3:$B$3002,0))),"")</f>
        <v/>
      </c>
      <c r="T874" s="41" t="n"/>
      <c r="U874" s="43">
        <f>IF(OR($B874="",$L874=""),"",WORKDAY($B874,IFERROR(INDEX(LISTAS!$C$3:$C$42,MATCH($L874,LISTAS!$A$3:$A$42,0)),3)))</f>
        <v/>
      </c>
      <c r="V874" s="40" t="n"/>
      <c r="W874" s="19">
        <f>IF($B874="","",IF($V874&lt;&gt;"",$V874-$B874,TODAY()-$B874))</f>
        <v/>
      </c>
      <c r="X874" s="19">
        <f>IF(OR($B874="",$U874=""),"",IF($V874&lt;&gt;"",MAX(0,$V874-$U874),MAX(0,TODAY()-$U874)))</f>
        <v/>
      </c>
      <c r="Y874" s="39">
        <f>IF($C874="","",IF(IFERROR(INDEX(LISTAS!$I$3:$I$42,MATCH($T874,LISTAS!$H$3:$H$42,0)),"NO")="SÍ",IF(N($X874)&gt;0,"CERRADA FUERA DE SLA","CERRADA EN SLA"),IF($U874="","SIN CLASIFICAR",IF(N($X874)&gt;0,"VENCIDA",IF(TODAY()&gt;=$U874-1,"POR VENCER","EN PLAZO")))))</f>
        <v/>
      </c>
      <c r="Z874" s="41" t="n"/>
      <c r="AA874" s="41" t="n"/>
      <c r="AB874" s="41" t="n"/>
    </row>
    <row r="875">
      <c r="A875" s="39">
        <f>IF($C875="","","NOV-"&amp;TEXT(ROW()-3,"0000"))</f>
        <v/>
      </c>
      <c r="B875" s="40" t="n"/>
      <c r="C875" s="41" t="n"/>
      <c r="D875" s="42">
        <f>IF($C875="","",IFERROR(INDEX(DESPACHOS!$D$3:$D$3002,MATCH($C875,DESPACHOS!$B$3:$B$3002,0)),"SIN DESPACHO"))</f>
        <v/>
      </c>
      <c r="E875" s="42">
        <f>IF($C875="","",IFERROR(INDEX(DESPACHOS!$K$3:$K$3002,MATCH($C875,DESPACHOS!$B$3:$B$3002,0)),""))</f>
        <v/>
      </c>
      <c r="F875" s="42">
        <f>IF($C875="","",IFERROR(INDEX(DESPACHOS!$I$3:$I$3002,MATCH($C875,DESPACHOS!$B$3:$B$3002,0)),""))</f>
        <v/>
      </c>
      <c r="G875" s="42">
        <f>IF($C875="","",IFERROR(INDEX(DESPACHOS!$F$3:$F$3002,MATCH($C875,DESPACHOS!$B$3:$B$3002,0)),""))</f>
        <v/>
      </c>
      <c r="H875" s="42">
        <f>IF($C875="","",IFERROR(INDEX(DESPACHOS!$G$3:$G$3002,MATCH($C875,DESPACHOS!$B$3:$B$3002,0)),""))</f>
        <v/>
      </c>
      <c r="I875" s="39">
        <f>IF($C875="","",IFERROR(INDEX(DESPACHOS!$H$3:$H$3002,MATCH($C875,DESPACHOS!$B$3:$B$3002,0)),""))</f>
        <v/>
      </c>
      <c r="J875" s="43">
        <f>IF($C875="","",IFERROR(INDEX(DESPACHOS!$J$3:$J$3002,MATCH($C875,DESPACHOS!$B$3:$B$3002,0)),""))</f>
        <v/>
      </c>
      <c r="K875" s="39">
        <f>IF($C875="","",IF(COUNTIFS(DESPACHOS!$B$3:$B$3002,$C875)=0,"NO EXISTE",IF(COUNTIFS(DESPACHOS!$B$3:$B$3002,$C875)&gt;1,"DUPLICADO","OK")))</f>
        <v/>
      </c>
      <c r="L875" s="41" t="n"/>
      <c r="M875" s="41" t="n"/>
      <c r="N875" s="42">
        <f>IF($M875="","",IFERROR(INDEX(LISTAS!$F$3:$F$42,MATCH($M875,LISTAS!$E$3:$E$42,0)),"Por definir"))</f>
        <v/>
      </c>
      <c r="O875" s="41" t="n"/>
      <c r="P875" s="39">
        <f>IF($L875="","",IFERROR(INDEX(LISTAS!$B$3:$B$42,MATCH($L875,LISTAS!$A$3:$A$42,0)),"Media"))</f>
        <v/>
      </c>
      <c r="Q875" s="44" t="n"/>
      <c r="R875" s="45" t="n"/>
      <c r="S875" s="20">
        <f>IFERROR(IF(OR($R875="",$C875=""),"",$R875/INDEX(DESPACHOS!$M$3:$M$3002,MATCH($C875,DESPACHOS!$B$3:$B$3002,0))),"")</f>
        <v/>
      </c>
      <c r="T875" s="41" t="n"/>
      <c r="U875" s="43">
        <f>IF(OR($B875="",$L875=""),"",WORKDAY($B875,IFERROR(INDEX(LISTAS!$C$3:$C$42,MATCH($L875,LISTAS!$A$3:$A$42,0)),3)))</f>
        <v/>
      </c>
      <c r="V875" s="40" t="n"/>
      <c r="W875" s="19">
        <f>IF($B875="","",IF($V875&lt;&gt;"",$V875-$B875,TODAY()-$B875))</f>
        <v/>
      </c>
      <c r="X875" s="19">
        <f>IF(OR($B875="",$U875=""),"",IF($V875&lt;&gt;"",MAX(0,$V875-$U875),MAX(0,TODAY()-$U875)))</f>
        <v/>
      </c>
      <c r="Y875" s="39">
        <f>IF($C875="","",IF(IFERROR(INDEX(LISTAS!$I$3:$I$42,MATCH($T875,LISTAS!$H$3:$H$42,0)),"NO")="SÍ",IF(N($X875)&gt;0,"CERRADA FUERA DE SLA","CERRADA EN SLA"),IF($U875="","SIN CLASIFICAR",IF(N($X875)&gt;0,"VENCIDA",IF(TODAY()&gt;=$U875-1,"POR VENCER","EN PLAZO")))))</f>
        <v/>
      </c>
      <c r="Z875" s="41" t="n"/>
      <c r="AA875" s="41" t="n"/>
      <c r="AB875" s="41" t="n"/>
    </row>
    <row r="876">
      <c r="A876" s="39">
        <f>IF($C876="","","NOV-"&amp;TEXT(ROW()-3,"0000"))</f>
        <v/>
      </c>
      <c r="B876" s="40" t="n"/>
      <c r="C876" s="41" t="n"/>
      <c r="D876" s="42">
        <f>IF($C876="","",IFERROR(INDEX(DESPACHOS!$D$3:$D$3002,MATCH($C876,DESPACHOS!$B$3:$B$3002,0)),"SIN DESPACHO"))</f>
        <v/>
      </c>
      <c r="E876" s="42">
        <f>IF($C876="","",IFERROR(INDEX(DESPACHOS!$K$3:$K$3002,MATCH($C876,DESPACHOS!$B$3:$B$3002,0)),""))</f>
        <v/>
      </c>
      <c r="F876" s="42">
        <f>IF($C876="","",IFERROR(INDEX(DESPACHOS!$I$3:$I$3002,MATCH($C876,DESPACHOS!$B$3:$B$3002,0)),""))</f>
        <v/>
      </c>
      <c r="G876" s="42">
        <f>IF($C876="","",IFERROR(INDEX(DESPACHOS!$F$3:$F$3002,MATCH($C876,DESPACHOS!$B$3:$B$3002,0)),""))</f>
        <v/>
      </c>
      <c r="H876" s="42">
        <f>IF($C876="","",IFERROR(INDEX(DESPACHOS!$G$3:$G$3002,MATCH($C876,DESPACHOS!$B$3:$B$3002,0)),""))</f>
        <v/>
      </c>
      <c r="I876" s="39">
        <f>IF($C876="","",IFERROR(INDEX(DESPACHOS!$H$3:$H$3002,MATCH($C876,DESPACHOS!$B$3:$B$3002,0)),""))</f>
        <v/>
      </c>
      <c r="J876" s="43">
        <f>IF($C876="","",IFERROR(INDEX(DESPACHOS!$J$3:$J$3002,MATCH($C876,DESPACHOS!$B$3:$B$3002,0)),""))</f>
        <v/>
      </c>
      <c r="K876" s="39">
        <f>IF($C876="","",IF(COUNTIFS(DESPACHOS!$B$3:$B$3002,$C876)=0,"NO EXISTE",IF(COUNTIFS(DESPACHOS!$B$3:$B$3002,$C876)&gt;1,"DUPLICADO","OK")))</f>
        <v/>
      </c>
      <c r="L876" s="41" t="n"/>
      <c r="M876" s="41" t="n"/>
      <c r="N876" s="42">
        <f>IF($M876="","",IFERROR(INDEX(LISTAS!$F$3:$F$42,MATCH($M876,LISTAS!$E$3:$E$42,0)),"Por definir"))</f>
        <v/>
      </c>
      <c r="O876" s="41" t="n"/>
      <c r="P876" s="39">
        <f>IF($L876="","",IFERROR(INDEX(LISTAS!$B$3:$B$42,MATCH($L876,LISTAS!$A$3:$A$42,0)),"Media"))</f>
        <v/>
      </c>
      <c r="Q876" s="44" t="n"/>
      <c r="R876" s="45" t="n"/>
      <c r="S876" s="20">
        <f>IFERROR(IF(OR($R876="",$C876=""),"",$R876/INDEX(DESPACHOS!$M$3:$M$3002,MATCH($C876,DESPACHOS!$B$3:$B$3002,0))),"")</f>
        <v/>
      </c>
      <c r="T876" s="41" t="n"/>
      <c r="U876" s="43">
        <f>IF(OR($B876="",$L876=""),"",WORKDAY($B876,IFERROR(INDEX(LISTAS!$C$3:$C$42,MATCH($L876,LISTAS!$A$3:$A$42,0)),3)))</f>
        <v/>
      </c>
      <c r="V876" s="40" t="n"/>
      <c r="W876" s="19">
        <f>IF($B876="","",IF($V876&lt;&gt;"",$V876-$B876,TODAY()-$B876))</f>
        <v/>
      </c>
      <c r="X876" s="19">
        <f>IF(OR($B876="",$U876=""),"",IF($V876&lt;&gt;"",MAX(0,$V876-$U876),MAX(0,TODAY()-$U876)))</f>
        <v/>
      </c>
      <c r="Y876" s="39">
        <f>IF($C876="","",IF(IFERROR(INDEX(LISTAS!$I$3:$I$42,MATCH($T876,LISTAS!$H$3:$H$42,0)),"NO")="SÍ",IF(N($X876)&gt;0,"CERRADA FUERA DE SLA","CERRADA EN SLA"),IF($U876="","SIN CLASIFICAR",IF(N($X876)&gt;0,"VENCIDA",IF(TODAY()&gt;=$U876-1,"POR VENCER","EN PLAZO")))))</f>
        <v/>
      </c>
      <c r="Z876" s="41" t="n"/>
      <c r="AA876" s="41" t="n"/>
      <c r="AB876" s="41" t="n"/>
    </row>
    <row r="877">
      <c r="A877" s="39">
        <f>IF($C877="","","NOV-"&amp;TEXT(ROW()-3,"0000"))</f>
        <v/>
      </c>
      <c r="B877" s="40" t="n"/>
      <c r="C877" s="41" t="n"/>
      <c r="D877" s="42">
        <f>IF($C877="","",IFERROR(INDEX(DESPACHOS!$D$3:$D$3002,MATCH($C877,DESPACHOS!$B$3:$B$3002,0)),"SIN DESPACHO"))</f>
        <v/>
      </c>
      <c r="E877" s="42">
        <f>IF($C877="","",IFERROR(INDEX(DESPACHOS!$K$3:$K$3002,MATCH($C877,DESPACHOS!$B$3:$B$3002,0)),""))</f>
        <v/>
      </c>
      <c r="F877" s="42">
        <f>IF($C877="","",IFERROR(INDEX(DESPACHOS!$I$3:$I$3002,MATCH($C877,DESPACHOS!$B$3:$B$3002,0)),""))</f>
        <v/>
      </c>
      <c r="G877" s="42">
        <f>IF($C877="","",IFERROR(INDEX(DESPACHOS!$F$3:$F$3002,MATCH($C877,DESPACHOS!$B$3:$B$3002,0)),""))</f>
        <v/>
      </c>
      <c r="H877" s="42">
        <f>IF($C877="","",IFERROR(INDEX(DESPACHOS!$G$3:$G$3002,MATCH($C877,DESPACHOS!$B$3:$B$3002,0)),""))</f>
        <v/>
      </c>
      <c r="I877" s="39">
        <f>IF($C877="","",IFERROR(INDEX(DESPACHOS!$H$3:$H$3002,MATCH($C877,DESPACHOS!$B$3:$B$3002,0)),""))</f>
        <v/>
      </c>
      <c r="J877" s="43">
        <f>IF($C877="","",IFERROR(INDEX(DESPACHOS!$J$3:$J$3002,MATCH($C877,DESPACHOS!$B$3:$B$3002,0)),""))</f>
        <v/>
      </c>
      <c r="K877" s="39">
        <f>IF($C877="","",IF(COUNTIFS(DESPACHOS!$B$3:$B$3002,$C877)=0,"NO EXISTE",IF(COUNTIFS(DESPACHOS!$B$3:$B$3002,$C877)&gt;1,"DUPLICADO","OK")))</f>
        <v/>
      </c>
      <c r="L877" s="41" t="n"/>
      <c r="M877" s="41" t="n"/>
      <c r="N877" s="42">
        <f>IF($M877="","",IFERROR(INDEX(LISTAS!$F$3:$F$42,MATCH($M877,LISTAS!$E$3:$E$42,0)),"Por definir"))</f>
        <v/>
      </c>
      <c r="O877" s="41" t="n"/>
      <c r="P877" s="39">
        <f>IF($L877="","",IFERROR(INDEX(LISTAS!$B$3:$B$42,MATCH($L877,LISTAS!$A$3:$A$42,0)),"Media"))</f>
        <v/>
      </c>
      <c r="Q877" s="44" t="n"/>
      <c r="R877" s="45" t="n"/>
      <c r="S877" s="20">
        <f>IFERROR(IF(OR($R877="",$C877=""),"",$R877/INDEX(DESPACHOS!$M$3:$M$3002,MATCH($C877,DESPACHOS!$B$3:$B$3002,0))),"")</f>
        <v/>
      </c>
      <c r="T877" s="41" t="n"/>
      <c r="U877" s="43">
        <f>IF(OR($B877="",$L877=""),"",WORKDAY($B877,IFERROR(INDEX(LISTAS!$C$3:$C$42,MATCH($L877,LISTAS!$A$3:$A$42,0)),3)))</f>
        <v/>
      </c>
      <c r="V877" s="40" t="n"/>
      <c r="W877" s="19">
        <f>IF($B877="","",IF($V877&lt;&gt;"",$V877-$B877,TODAY()-$B877))</f>
        <v/>
      </c>
      <c r="X877" s="19">
        <f>IF(OR($B877="",$U877=""),"",IF($V877&lt;&gt;"",MAX(0,$V877-$U877),MAX(0,TODAY()-$U877)))</f>
        <v/>
      </c>
      <c r="Y877" s="39">
        <f>IF($C877="","",IF(IFERROR(INDEX(LISTAS!$I$3:$I$42,MATCH($T877,LISTAS!$H$3:$H$42,0)),"NO")="SÍ",IF(N($X877)&gt;0,"CERRADA FUERA DE SLA","CERRADA EN SLA"),IF($U877="","SIN CLASIFICAR",IF(N($X877)&gt;0,"VENCIDA",IF(TODAY()&gt;=$U877-1,"POR VENCER","EN PLAZO")))))</f>
        <v/>
      </c>
      <c r="Z877" s="41" t="n"/>
      <c r="AA877" s="41" t="n"/>
      <c r="AB877" s="41" t="n"/>
    </row>
    <row r="878">
      <c r="A878" s="39">
        <f>IF($C878="","","NOV-"&amp;TEXT(ROW()-3,"0000"))</f>
        <v/>
      </c>
      <c r="B878" s="40" t="n"/>
      <c r="C878" s="41" t="n"/>
      <c r="D878" s="42">
        <f>IF($C878="","",IFERROR(INDEX(DESPACHOS!$D$3:$D$3002,MATCH($C878,DESPACHOS!$B$3:$B$3002,0)),"SIN DESPACHO"))</f>
        <v/>
      </c>
      <c r="E878" s="42">
        <f>IF($C878="","",IFERROR(INDEX(DESPACHOS!$K$3:$K$3002,MATCH($C878,DESPACHOS!$B$3:$B$3002,0)),""))</f>
        <v/>
      </c>
      <c r="F878" s="42">
        <f>IF($C878="","",IFERROR(INDEX(DESPACHOS!$I$3:$I$3002,MATCH($C878,DESPACHOS!$B$3:$B$3002,0)),""))</f>
        <v/>
      </c>
      <c r="G878" s="42">
        <f>IF($C878="","",IFERROR(INDEX(DESPACHOS!$F$3:$F$3002,MATCH($C878,DESPACHOS!$B$3:$B$3002,0)),""))</f>
        <v/>
      </c>
      <c r="H878" s="42">
        <f>IF($C878="","",IFERROR(INDEX(DESPACHOS!$G$3:$G$3002,MATCH($C878,DESPACHOS!$B$3:$B$3002,0)),""))</f>
        <v/>
      </c>
      <c r="I878" s="39">
        <f>IF($C878="","",IFERROR(INDEX(DESPACHOS!$H$3:$H$3002,MATCH($C878,DESPACHOS!$B$3:$B$3002,0)),""))</f>
        <v/>
      </c>
      <c r="J878" s="43">
        <f>IF($C878="","",IFERROR(INDEX(DESPACHOS!$J$3:$J$3002,MATCH($C878,DESPACHOS!$B$3:$B$3002,0)),""))</f>
        <v/>
      </c>
      <c r="K878" s="39">
        <f>IF($C878="","",IF(COUNTIFS(DESPACHOS!$B$3:$B$3002,$C878)=0,"NO EXISTE",IF(COUNTIFS(DESPACHOS!$B$3:$B$3002,$C878)&gt;1,"DUPLICADO","OK")))</f>
        <v/>
      </c>
      <c r="L878" s="41" t="n"/>
      <c r="M878" s="41" t="n"/>
      <c r="N878" s="42">
        <f>IF($M878="","",IFERROR(INDEX(LISTAS!$F$3:$F$42,MATCH($M878,LISTAS!$E$3:$E$42,0)),"Por definir"))</f>
        <v/>
      </c>
      <c r="O878" s="41" t="n"/>
      <c r="P878" s="39">
        <f>IF($L878="","",IFERROR(INDEX(LISTAS!$B$3:$B$42,MATCH($L878,LISTAS!$A$3:$A$42,0)),"Media"))</f>
        <v/>
      </c>
      <c r="Q878" s="44" t="n"/>
      <c r="R878" s="45" t="n"/>
      <c r="S878" s="20">
        <f>IFERROR(IF(OR($R878="",$C878=""),"",$R878/INDEX(DESPACHOS!$M$3:$M$3002,MATCH($C878,DESPACHOS!$B$3:$B$3002,0))),"")</f>
        <v/>
      </c>
      <c r="T878" s="41" t="n"/>
      <c r="U878" s="43">
        <f>IF(OR($B878="",$L878=""),"",WORKDAY($B878,IFERROR(INDEX(LISTAS!$C$3:$C$42,MATCH($L878,LISTAS!$A$3:$A$42,0)),3)))</f>
        <v/>
      </c>
      <c r="V878" s="40" t="n"/>
      <c r="W878" s="19">
        <f>IF($B878="","",IF($V878&lt;&gt;"",$V878-$B878,TODAY()-$B878))</f>
        <v/>
      </c>
      <c r="X878" s="19">
        <f>IF(OR($B878="",$U878=""),"",IF($V878&lt;&gt;"",MAX(0,$V878-$U878),MAX(0,TODAY()-$U878)))</f>
        <v/>
      </c>
      <c r="Y878" s="39">
        <f>IF($C878="","",IF(IFERROR(INDEX(LISTAS!$I$3:$I$42,MATCH($T878,LISTAS!$H$3:$H$42,0)),"NO")="SÍ",IF(N($X878)&gt;0,"CERRADA FUERA DE SLA","CERRADA EN SLA"),IF($U878="","SIN CLASIFICAR",IF(N($X878)&gt;0,"VENCIDA",IF(TODAY()&gt;=$U878-1,"POR VENCER","EN PLAZO")))))</f>
        <v/>
      </c>
      <c r="Z878" s="41" t="n"/>
      <c r="AA878" s="41" t="n"/>
      <c r="AB878" s="41" t="n"/>
    </row>
    <row r="879">
      <c r="A879" s="39">
        <f>IF($C879="","","NOV-"&amp;TEXT(ROW()-3,"0000"))</f>
        <v/>
      </c>
      <c r="B879" s="40" t="n"/>
      <c r="C879" s="41" t="n"/>
      <c r="D879" s="42">
        <f>IF($C879="","",IFERROR(INDEX(DESPACHOS!$D$3:$D$3002,MATCH($C879,DESPACHOS!$B$3:$B$3002,0)),"SIN DESPACHO"))</f>
        <v/>
      </c>
      <c r="E879" s="42">
        <f>IF($C879="","",IFERROR(INDEX(DESPACHOS!$K$3:$K$3002,MATCH($C879,DESPACHOS!$B$3:$B$3002,0)),""))</f>
        <v/>
      </c>
      <c r="F879" s="42">
        <f>IF($C879="","",IFERROR(INDEX(DESPACHOS!$I$3:$I$3002,MATCH($C879,DESPACHOS!$B$3:$B$3002,0)),""))</f>
        <v/>
      </c>
      <c r="G879" s="42">
        <f>IF($C879="","",IFERROR(INDEX(DESPACHOS!$F$3:$F$3002,MATCH($C879,DESPACHOS!$B$3:$B$3002,0)),""))</f>
        <v/>
      </c>
      <c r="H879" s="42">
        <f>IF($C879="","",IFERROR(INDEX(DESPACHOS!$G$3:$G$3002,MATCH($C879,DESPACHOS!$B$3:$B$3002,0)),""))</f>
        <v/>
      </c>
      <c r="I879" s="39">
        <f>IF($C879="","",IFERROR(INDEX(DESPACHOS!$H$3:$H$3002,MATCH($C879,DESPACHOS!$B$3:$B$3002,0)),""))</f>
        <v/>
      </c>
      <c r="J879" s="43">
        <f>IF($C879="","",IFERROR(INDEX(DESPACHOS!$J$3:$J$3002,MATCH($C879,DESPACHOS!$B$3:$B$3002,0)),""))</f>
        <v/>
      </c>
      <c r="K879" s="39">
        <f>IF($C879="","",IF(COUNTIFS(DESPACHOS!$B$3:$B$3002,$C879)=0,"NO EXISTE",IF(COUNTIFS(DESPACHOS!$B$3:$B$3002,$C879)&gt;1,"DUPLICADO","OK")))</f>
        <v/>
      </c>
      <c r="L879" s="41" t="n"/>
      <c r="M879" s="41" t="n"/>
      <c r="N879" s="42">
        <f>IF($M879="","",IFERROR(INDEX(LISTAS!$F$3:$F$42,MATCH($M879,LISTAS!$E$3:$E$42,0)),"Por definir"))</f>
        <v/>
      </c>
      <c r="O879" s="41" t="n"/>
      <c r="P879" s="39">
        <f>IF($L879="","",IFERROR(INDEX(LISTAS!$B$3:$B$42,MATCH($L879,LISTAS!$A$3:$A$42,0)),"Media"))</f>
        <v/>
      </c>
      <c r="Q879" s="44" t="n"/>
      <c r="R879" s="45" t="n"/>
      <c r="S879" s="20">
        <f>IFERROR(IF(OR($R879="",$C879=""),"",$R879/INDEX(DESPACHOS!$M$3:$M$3002,MATCH($C879,DESPACHOS!$B$3:$B$3002,0))),"")</f>
        <v/>
      </c>
      <c r="T879" s="41" t="n"/>
      <c r="U879" s="43">
        <f>IF(OR($B879="",$L879=""),"",WORKDAY($B879,IFERROR(INDEX(LISTAS!$C$3:$C$42,MATCH($L879,LISTAS!$A$3:$A$42,0)),3)))</f>
        <v/>
      </c>
      <c r="V879" s="40" t="n"/>
      <c r="W879" s="19">
        <f>IF($B879="","",IF($V879&lt;&gt;"",$V879-$B879,TODAY()-$B879))</f>
        <v/>
      </c>
      <c r="X879" s="19">
        <f>IF(OR($B879="",$U879=""),"",IF($V879&lt;&gt;"",MAX(0,$V879-$U879),MAX(0,TODAY()-$U879)))</f>
        <v/>
      </c>
      <c r="Y879" s="39">
        <f>IF($C879="","",IF(IFERROR(INDEX(LISTAS!$I$3:$I$42,MATCH($T879,LISTAS!$H$3:$H$42,0)),"NO")="SÍ",IF(N($X879)&gt;0,"CERRADA FUERA DE SLA","CERRADA EN SLA"),IF($U879="","SIN CLASIFICAR",IF(N($X879)&gt;0,"VENCIDA",IF(TODAY()&gt;=$U879-1,"POR VENCER","EN PLAZO")))))</f>
        <v/>
      </c>
      <c r="Z879" s="41" t="n"/>
      <c r="AA879" s="41" t="n"/>
      <c r="AB879" s="41" t="n"/>
    </row>
    <row r="880">
      <c r="A880" s="39">
        <f>IF($C880="","","NOV-"&amp;TEXT(ROW()-3,"0000"))</f>
        <v/>
      </c>
      <c r="B880" s="40" t="n"/>
      <c r="C880" s="41" t="n"/>
      <c r="D880" s="42">
        <f>IF($C880="","",IFERROR(INDEX(DESPACHOS!$D$3:$D$3002,MATCH($C880,DESPACHOS!$B$3:$B$3002,0)),"SIN DESPACHO"))</f>
        <v/>
      </c>
      <c r="E880" s="42">
        <f>IF($C880="","",IFERROR(INDEX(DESPACHOS!$K$3:$K$3002,MATCH($C880,DESPACHOS!$B$3:$B$3002,0)),""))</f>
        <v/>
      </c>
      <c r="F880" s="42">
        <f>IF($C880="","",IFERROR(INDEX(DESPACHOS!$I$3:$I$3002,MATCH($C880,DESPACHOS!$B$3:$B$3002,0)),""))</f>
        <v/>
      </c>
      <c r="G880" s="42">
        <f>IF($C880="","",IFERROR(INDEX(DESPACHOS!$F$3:$F$3002,MATCH($C880,DESPACHOS!$B$3:$B$3002,0)),""))</f>
        <v/>
      </c>
      <c r="H880" s="42">
        <f>IF($C880="","",IFERROR(INDEX(DESPACHOS!$G$3:$G$3002,MATCH($C880,DESPACHOS!$B$3:$B$3002,0)),""))</f>
        <v/>
      </c>
      <c r="I880" s="39">
        <f>IF($C880="","",IFERROR(INDEX(DESPACHOS!$H$3:$H$3002,MATCH($C880,DESPACHOS!$B$3:$B$3002,0)),""))</f>
        <v/>
      </c>
      <c r="J880" s="43">
        <f>IF($C880="","",IFERROR(INDEX(DESPACHOS!$J$3:$J$3002,MATCH($C880,DESPACHOS!$B$3:$B$3002,0)),""))</f>
        <v/>
      </c>
      <c r="K880" s="39">
        <f>IF($C880="","",IF(COUNTIFS(DESPACHOS!$B$3:$B$3002,$C880)=0,"NO EXISTE",IF(COUNTIFS(DESPACHOS!$B$3:$B$3002,$C880)&gt;1,"DUPLICADO","OK")))</f>
        <v/>
      </c>
      <c r="L880" s="41" t="n"/>
      <c r="M880" s="41" t="n"/>
      <c r="N880" s="42">
        <f>IF($M880="","",IFERROR(INDEX(LISTAS!$F$3:$F$42,MATCH($M880,LISTAS!$E$3:$E$42,0)),"Por definir"))</f>
        <v/>
      </c>
      <c r="O880" s="41" t="n"/>
      <c r="P880" s="39">
        <f>IF($L880="","",IFERROR(INDEX(LISTAS!$B$3:$B$42,MATCH($L880,LISTAS!$A$3:$A$42,0)),"Media"))</f>
        <v/>
      </c>
      <c r="Q880" s="44" t="n"/>
      <c r="R880" s="45" t="n"/>
      <c r="S880" s="20">
        <f>IFERROR(IF(OR($R880="",$C880=""),"",$R880/INDEX(DESPACHOS!$M$3:$M$3002,MATCH($C880,DESPACHOS!$B$3:$B$3002,0))),"")</f>
        <v/>
      </c>
      <c r="T880" s="41" t="n"/>
      <c r="U880" s="43">
        <f>IF(OR($B880="",$L880=""),"",WORKDAY($B880,IFERROR(INDEX(LISTAS!$C$3:$C$42,MATCH($L880,LISTAS!$A$3:$A$42,0)),3)))</f>
        <v/>
      </c>
      <c r="V880" s="40" t="n"/>
      <c r="W880" s="19">
        <f>IF($B880="","",IF($V880&lt;&gt;"",$V880-$B880,TODAY()-$B880))</f>
        <v/>
      </c>
      <c r="X880" s="19">
        <f>IF(OR($B880="",$U880=""),"",IF($V880&lt;&gt;"",MAX(0,$V880-$U880),MAX(0,TODAY()-$U880)))</f>
        <v/>
      </c>
      <c r="Y880" s="39">
        <f>IF($C880="","",IF(IFERROR(INDEX(LISTAS!$I$3:$I$42,MATCH($T880,LISTAS!$H$3:$H$42,0)),"NO")="SÍ",IF(N($X880)&gt;0,"CERRADA FUERA DE SLA","CERRADA EN SLA"),IF($U880="","SIN CLASIFICAR",IF(N($X880)&gt;0,"VENCIDA",IF(TODAY()&gt;=$U880-1,"POR VENCER","EN PLAZO")))))</f>
        <v/>
      </c>
      <c r="Z880" s="41" t="n"/>
      <c r="AA880" s="41" t="n"/>
      <c r="AB880" s="41" t="n"/>
    </row>
    <row r="881">
      <c r="A881" s="39">
        <f>IF($C881="","","NOV-"&amp;TEXT(ROW()-3,"0000"))</f>
        <v/>
      </c>
      <c r="B881" s="40" t="n"/>
      <c r="C881" s="41" t="n"/>
      <c r="D881" s="42">
        <f>IF($C881="","",IFERROR(INDEX(DESPACHOS!$D$3:$D$3002,MATCH($C881,DESPACHOS!$B$3:$B$3002,0)),"SIN DESPACHO"))</f>
        <v/>
      </c>
      <c r="E881" s="42">
        <f>IF($C881="","",IFERROR(INDEX(DESPACHOS!$K$3:$K$3002,MATCH($C881,DESPACHOS!$B$3:$B$3002,0)),""))</f>
        <v/>
      </c>
      <c r="F881" s="42">
        <f>IF($C881="","",IFERROR(INDEX(DESPACHOS!$I$3:$I$3002,MATCH($C881,DESPACHOS!$B$3:$B$3002,0)),""))</f>
        <v/>
      </c>
      <c r="G881" s="42">
        <f>IF($C881="","",IFERROR(INDEX(DESPACHOS!$F$3:$F$3002,MATCH($C881,DESPACHOS!$B$3:$B$3002,0)),""))</f>
        <v/>
      </c>
      <c r="H881" s="42">
        <f>IF($C881="","",IFERROR(INDEX(DESPACHOS!$G$3:$G$3002,MATCH($C881,DESPACHOS!$B$3:$B$3002,0)),""))</f>
        <v/>
      </c>
      <c r="I881" s="39">
        <f>IF($C881="","",IFERROR(INDEX(DESPACHOS!$H$3:$H$3002,MATCH($C881,DESPACHOS!$B$3:$B$3002,0)),""))</f>
        <v/>
      </c>
      <c r="J881" s="43">
        <f>IF($C881="","",IFERROR(INDEX(DESPACHOS!$J$3:$J$3002,MATCH($C881,DESPACHOS!$B$3:$B$3002,0)),""))</f>
        <v/>
      </c>
      <c r="K881" s="39">
        <f>IF($C881="","",IF(COUNTIFS(DESPACHOS!$B$3:$B$3002,$C881)=0,"NO EXISTE",IF(COUNTIFS(DESPACHOS!$B$3:$B$3002,$C881)&gt;1,"DUPLICADO","OK")))</f>
        <v/>
      </c>
      <c r="L881" s="41" t="n"/>
      <c r="M881" s="41" t="n"/>
      <c r="N881" s="42">
        <f>IF($M881="","",IFERROR(INDEX(LISTAS!$F$3:$F$42,MATCH($M881,LISTAS!$E$3:$E$42,0)),"Por definir"))</f>
        <v/>
      </c>
      <c r="O881" s="41" t="n"/>
      <c r="P881" s="39">
        <f>IF($L881="","",IFERROR(INDEX(LISTAS!$B$3:$B$42,MATCH($L881,LISTAS!$A$3:$A$42,0)),"Media"))</f>
        <v/>
      </c>
      <c r="Q881" s="44" t="n"/>
      <c r="R881" s="45" t="n"/>
      <c r="S881" s="20">
        <f>IFERROR(IF(OR($R881="",$C881=""),"",$R881/INDEX(DESPACHOS!$M$3:$M$3002,MATCH($C881,DESPACHOS!$B$3:$B$3002,0))),"")</f>
        <v/>
      </c>
      <c r="T881" s="41" t="n"/>
      <c r="U881" s="43">
        <f>IF(OR($B881="",$L881=""),"",WORKDAY($B881,IFERROR(INDEX(LISTAS!$C$3:$C$42,MATCH($L881,LISTAS!$A$3:$A$42,0)),3)))</f>
        <v/>
      </c>
      <c r="V881" s="40" t="n"/>
      <c r="W881" s="19">
        <f>IF($B881="","",IF($V881&lt;&gt;"",$V881-$B881,TODAY()-$B881))</f>
        <v/>
      </c>
      <c r="X881" s="19">
        <f>IF(OR($B881="",$U881=""),"",IF($V881&lt;&gt;"",MAX(0,$V881-$U881),MAX(0,TODAY()-$U881)))</f>
        <v/>
      </c>
      <c r="Y881" s="39">
        <f>IF($C881="","",IF(IFERROR(INDEX(LISTAS!$I$3:$I$42,MATCH($T881,LISTAS!$H$3:$H$42,0)),"NO")="SÍ",IF(N($X881)&gt;0,"CERRADA FUERA DE SLA","CERRADA EN SLA"),IF($U881="","SIN CLASIFICAR",IF(N($X881)&gt;0,"VENCIDA",IF(TODAY()&gt;=$U881-1,"POR VENCER","EN PLAZO")))))</f>
        <v/>
      </c>
      <c r="Z881" s="41" t="n"/>
      <c r="AA881" s="41" t="n"/>
      <c r="AB881" s="41" t="n"/>
    </row>
    <row r="882">
      <c r="A882" s="39">
        <f>IF($C882="","","NOV-"&amp;TEXT(ROW()-3,"0000"))</f>
        <v/>
      </c>
      <c r="B882" s="40" t="n"/>
      <c r="C882" s="41" t="n"/>
      <c r="D882" s="42">
        <f>IF($C882="","",IFERROR(INDEX(DESPACHOS!$D$3:$D$3002,MATCH($C882,DESPACHOS!$B$3:$B$3002,0)),"SIN DESPACHO"))</f>
        <v/>
      </c>
      <c r="E882" s="42">
        <f>IF($C882="","",IFERROR(INDEX(DESPACHOS!$K$3:$K$3002,MATCH($C882,DESPACHOS!$B$3:$B$3002,0)),""))</f>
        <v/>
      </c>
      <c r="F882" s="42">
        <f>IF($C882="","",IFERROR(INDEX(DESPACHOS!$I$3:$I$3002,MATCH($C882,DESPACHOS!$B$3:$B$3002,0)),""))</f>
        <v/>
      </c>
      <c r="G882" s="42">
        <f>IF($C882="","",IFERROR(INDEX(DESPACHOS!$F$3:$F$3002,MATCH($C882,DESPACHOS!$B$3:$B$3002,0)),""))</f>
        <v/>
      </c>
      <c r="H882" s="42">
        <f>IF($C882="","",IFERROR(INDEX(DESPACHOS!$G$3:$G$3002,MATCH($C882,DESPACHOS!$B$3:$B$3002,0)),""))</f>
        <v/>
      </c>
      <c r="I882" s="39">
        <f>IF($C882="","",IFERROR(INDEX(DESPACHOS!$H$3:$H$3002,MATCH($C882,DESPACHOS!$B$3:$B$3002,0)),""))</f>
        <v/>
      </c>
      <c r="J882" s="43">
        <f>IF($C882="","",IFERROR(INDEX(DESPACHOS!$J$3:$J$3002,MATCH($C882,DESPACHOS!$B$3:$B$3002,0)),""))</f>
        <v/>
      </c>
      <c r="K882" s="39">
        <f>IF($C882="","",IF(COUNTIFS(DESPACHOS!$B$3:$B$3002,$C882)=0,"NO EXISTE",IF(COUNTIFS(DESPACHOS!$B$3:$B$3002,$C882)&gt;1,"DUPLICADO","OK")))</f>
        <v/>
      </c>
      <c r="L882" s="41" t="n"/>
      <c r="M882" s="41" t="n"/>
      <c r="N882" s="42">
        <f>IF($M882="","",IFERROR(INDEX(LISTAS!$F$3:$F$42,MATCH($M882,LISTAS!$E$3:$E$42,0)),"Por definir"))</f>
        <v/>
      </c>
      <c r="O882" s="41" t="n"/>
      <c r="P882" s="39">
        <f>IF($L882="","",IFERROR(INDEX(LISTAS!$B$3:$B$42,MATCH($L882,LISTAS!$A$3:$A$42,0)),"Media"))</f>
        <v/>
      </c>
      <c r="Q882" s="44" t="n"/>
      <c r="R882" s="45" t="n"/>
      <c r="S882" s="20">
        <f>IFERROR(IF(OR($R882="",$C882=""),"",$R882/INDEX(DESPACHOS!$M$3:$M$3002,MATCH($C882,DESPACHOS!$B$3:$B$3002,0))),"")</f>
        <v/>
      </c>
      <c r="T882" s="41" t="n"/>
      <c r="U882" s="43">
        <f>IF(OR($B882="",$L882=""),"",WORKDAY($B882,IFERROR(INDEX(LISTAS!$C$3:$C$42,MATCH($L882,LISTAS!$A$3:$A$42,0)),3)))</f>
        <v/>
      </c>
      <c r="V882" s="40" t="n"/>
      <c r="W882" s="19">
        <f>IF($B882="","",IF($V882&lt;&gt;"",$V882-$B882,TODAY()-$B882))</f>
        <v/>
      </c>
      <c r="X882" s="19">
        <f>IF(OR($B882="",$U882=""),"",IF($V882&lt;&gt;"",MAX(0,$V882-$U882),MAX(0,TODAY()-$U882)))</f>
        <v/>
      </c>
      <c r="Y882" s="39">
        <f>IF($C882="","",IF(IFERROR(INDEX(LISTAS!$I$3:$I$42,MATCH($T882,LISTAS!$H$3:$H$42,0)),"NO")="SÍ",IF(N($X882)&gt;0,"CERRADA FUERA DE SLA","CERRADA EN SLA"),IF($U882="","SIN CLASIFICAR",IF(N($X882)&gt;0,"VENCIDA",IF(TODAY()&gt;=$U882-1,"POR VENCER","EN PLAZO")))))</f>
        <v/>
      </c>
      <c r="Z882" s="41" t="n"/>
      <c r="AA882" s="41" t="n"/>
      <c r="AB882" s="41" t="n"/>
    </row>
    <row r="883">
      <c r="A883" s="39">
        <f>IF($C883="","","NOV-"&amp;TEXT(ROW()-3,"0000"))</f>
        <v/>
      </c>
      <c r="B883" s="40" t="n"/>
      <c r="C883" s="41" t="n"/>
      <c r="D883" s="42">
        <f>IF($C883="","",IFERROR(INDEX(DESPACHOS!$D$3:$D$3002,MATCH($C883,DESPACHOS!$B$3:$B$3002,0)),"SIN DESPACHO"))</f>
        <v/>
      </c>
      <c r="E883" s="42">
        <f>IF($C883="","",IFERROR(INDEX(DESPACHOS!$K$3:$K$3002,MATCH($C883,DESPACHOS!$B$3:$B$3002,0)),""))</f>
        <v/>
      </c>
      <c r="F883" s="42">
        <f>IF($C883="","",IFERROR(INDEX(DESPACHOS!$I$3:$I$3002,MATCH($C883,DESPACHOS!$B$3:$B$3002,0)),""))</f>
        <v/>
      </c>
      <c r="G883" s="42">
        <f>IF($C883="","",IFERROR(INDEX(DESPACHOS!$F$3:$F$3002,MATCH($C883,DESPACHOS!$B$3:$B$3002,0)),""))</f>
        <v/>
      </c>
      <c r="H883" s="42">
        <f>IF($C883="","",IFERROR(INDEX(DESPACHOS!$G$3:$G$3002,MATCH($C883,DESPACHOS!$B$3:$B$3002,0)),""))</f>
        <v/>
      </c>
      <c r="I883" s="39">
        <f>IF($C883="","",IFERROR(INDEX(DESPACHOS!$H$3:$H$3002,MATCH($C883,DESPACHOS!$B$3:$B$3002,0)),""))</f>
        <v/>
      </c>
      <c r="J883" s="43">
        <f>IF($C883="","",IFERROR(INDEX(DESPACHOS!$J$3:$J$3002,MATCH($C883,DESPACHOS!$B$3:$B$3002,0)),""))</f>
        <v/>
      </c>
      <c r="K883" s="39">
        <f>IF($C883="","",IF(COUNTIFS(DESPACHOS!$B$3:$B$3002,$C883)=0,"NO EXISTE",IF(COUNTIFS(DESPACHOS!$B$3:$B$3002,$C883)&gt;1,"DUPLICADO","OK")))</f>
        <v/>
      </c>
      <c r="L883" s="41" t="n"/>
      <c r="M883" s="41" t="n"/>
      <c r="N883" s="42">
        <f>IF($M883="","",IFERROR(INDEX(LISTAS!$F$3:$F$42,MATCH($M883,LISTAS!$E$3:$E$42,0)),"Por definir"))</f>
        <v/>
      </c>
      <c r="O883" s="41" t="n"/>
      <c r="P883" s="39">
        <f>IF($L883="","",IFERROR(INDEX(LISTAS!$B$3:$B$42,MATCH($L883,LISTAS!$A$3:$A$42,0)),"Media"))</f>
        <v/>
      </c>
      <c r="Q883" s="44" t="n"/>
      <c r="R883" s="45" t="n"/>
      <c r="S883" s="20">
        <f>IFERROR(IF(OR($R883="",$C883=""),"",$R883/INDEX(DESPACHOS!$M$3:$M$3002,MATCH($C883,DESPACHOS!$B$3:$B$3002,0))),"")</f>
        <v/>
      </c>
      <c r="T883" s="41" t="n"/>
      <c r="U883" s="43">
        <f>IF(OR($B883="",$L883=""),"",WORKDAY($B883,IFERROR(INDEX(LISTAS!$C$3:$C$42,MATCH($L883,LISTAS!$A$3:$A$42,0)),3)))</f>
        <v/>
      </c>
      <c r="V883" s="40" t="n"/>
      <c r="W883" s="19">
        <f>IF($B883="","",IF($V883&lt;&gt;"",$V883-$B883,TODAY()-$B883))</f>
        <v/>
      </c>
      <c r="X883" s="19">
        <f>IF(OR($B883="",$U883=""),"",IF($V883&lt;&gt;"",MAX(0,$V883-$U883),MAX(0,TODAY()-$U883)))</f>
        <v/>
      </c>
      <c r="Y883" s="39">
        <f>IF($C883="","",IF(IFERROR(INDEX(LISTAS!$I$3:$I$42,MATCH($T883,LISTAS!$H$3:$H$42,0)),"NO")="SÍ",IF(N($X883)&gt;0,"CERRADA FUERA DE SLA","CERRADA EN SLA"),IF($U883="","SIN CLASIFICAR",IF(N($X883)&gt;0,"VENCIDA",IF(TODAY()&gt;=$U883-1,"POR VENCER","EN PLAZO")))))</f>
        <v/>
      </c>
      <c r="Z883" s="41" t="n"/>
      <c r="AA883" s="41" t="n"/>
      <c r="AB883" s="41" t="n"/>
    </row>
    <row r="884">
      <c r="A884" s="39">
        <f>IF($C884="","","NOV-"&amp;TEXT(ROW()-3,"0000"))</f>
        <v/>
      </c>
      <c r="B884" s="40" t="n"/>
      <c r="C884" s="41" t="n"/>
      <c r="D884" s="42">
        <f>IF($C884="","",IFERROR(INDEX(DESPACHOS!$D$3:$D$3002,MATCH($C884,DESPACHOS!$B$3:$B$3002,0)),"SIN DESPACHO"))</f>
        <v/>
      </c>
      <c r="E884" s="42">
        <f>IF($C884="","",IFERROR(INDEX(DESPACHOS!$K$3:$K$3002,MATCH($C884,DESPACHOS!$B$3:$B$3002,0)),""))</f>
        <v/>
      </c>
      <c r="F884" s="42">
        <f>IF($C884="","",IFERROR(INDEX(DESPACHOS!$I$3:$I$3002,MATCH($C884,DESPACHOS!$B$3:$B$3002,0)),""))</f>
        <v/>
      </c>
      <c r="G884" s="42">
        <f>IF($C884="","",IFERROR(INDEX(DESPACHOS!$F$3:$F$3002,MATCH($C884,DESPACHOS!$B$3:$B$3002,0)),""))</f>
        <v/>
      </c>
      <c r="H884" s="42">
        <f>IF($C884="","",IFERROR(INDEX(DESPACHOS!$G$3:$G$3002,MATCH($C884,DESPACHOS!$B$3:$B$3002,0)),""))</f>
        <v/>
      </c>
      <c r="I884" s="39">
        <f>IF($C884="","",IFERROR(INDEX(DESPACHOS!$H$3:$H$3002,MATCH($C884,DESPACHOS!$B$3:$B$3002,0)),""))</f>
        <v/>
      </c>
      <c r="J884" s="43">
        <f>IF($C884="","",IFERROR(INDEX(DESPACHOS!$J$3:$J$3002,MATCH($C884,DESPACHOS!$B$3:$B$3002,0)),""))</f>
        <v/>
      </c>
      <c r="K884" s="39">
        <f>IF($C884="","",IF(COUNTIFS(DESPACHOS!$B$3:$B$3002,$C884)=0,"NO EXISTE",IF(COUNTIFS(DESPACHOS!$B$3:$B$3002,$C884)&gt;1,"DUPLICADO","OK")))</f>
        <v/>
      </c>
      <c r="L884" s="41" t="n"/>
      <c r="M884" s="41" t="n"/>
      <c r="N884" s="42">
        <f>IF($M884="","",IFERROR(INDEX(LISTAS!$F$3:$F$42,MATCH($M884,LISTAS!$E$3:$E$42,0)),"Por definir"))</f>
        <v/>
      </c>
      <c r="O884" s="41" t="n"/>
      <c r="P884" s="39">
        <f>IF($L884="","",IFERROR(INDEX(LISTAS!$B$3:$B$42,MATCH($L884,LISTAS!$A$3:$A$42,0)),"Media"))</f>
        <v/>
      </c>
      <c r="Q884" s="44" t="n"/>
      <c r="R884" s="45" t="n"/>
      <c r="S884" s="20">
        <f>IFERROR(IF(OR($R884="",$C884=""),"",$R884/INDEX(DESPACHOS!$M$3:$M$3002,MATCH($C884,DESPACHOS!$B$3:$B$3002,0))),"")</f>
        <v/>
      </c>
      <c r="T884" s="41" t="n"/>
      <c r="U884" s="43">
        <f>IF(OR($B884="",$L884=""),"",WORKDAY($B884,IFERROR(INDEX(LISTAS!$C$3:$C$42,MATCH($L884,LISTAS!$A$3:$A$42,0)),3)))</f>
        <v/>
      </c>
      <c r="V884" s="40" t="n"/>
      <c r="W884" s="19">
        <f>IF($B884="","",IF($V884&lt;&gt;"",$V884-$B884,TODAY()-$B884))</f>
        <v/>
      </c>
      <c r="X884" s="19">
        <f>IF(OR($B884="",$U884=""),"",IF($V884&lt;&gt;"",MAX(0,$V884-$U884),MAX(0,TODAY()-$U884)))</f>
        <v/>
      </c>
      <c r="Y884" s="39">
        <f>IF($C884="","",IF(IFERROR(INDEX(LISTAS!$I$3:$I$42,MATCH($T884,LISTAS!$H$3:$H$42,0)),"NO")="SÍ",IF(N($X884)&gt;0,"CERRADA FUERA DE SLA","CERRADA EN SLA"),IF($U884="","SIN CLASIFICAR",IF(N($X884)&gt;0,"VENCIDA",IF(TODAY()&gt;=$U884-1,"POR VENCER","EN PLAZO")))))</f>
        <v/>
      </c>
      <c r="Z884" s="41" t="n"/>
      <c r="AA884" s="41" t="n"/>
      <c r="AB884" s="41" t="n"/>
    </row>
    <row r="885">
      <c r="A885" s="39">
        <f>IF($C885="","","NOV-"&amp;TEXT(ROW()-3,"0000"))</f>
        <v/>
      </c>
      <c r="B885" s="40" t="n"/>
      <c r="C885" s="41" t="n"/>
      <c r="D885" s="42">
        <f>IF($C885="","",IFERROR(INDEX(DESPACHOS!$D$3:$D$3002,MATCH($C885,DESPACHOS!$B$3:$B$3002,0)),"SIN DESPACHO"))</f>
        <v/>
      </c>
      <c r="E885" s="42">
        <f>IF($C885="","",IFERROR(INDEX(DESPACHOS!$K$3:$K$3002,MATCH($C885,DESPACHOS!$B$3:$B$3002,0)),""))</f>
        <v/>
      </c>
      <c r="F885" s="42">
        <f>IF($C885="","",IFERROR(INDEX(DESPACHOS!$I$3:$I$3002,MATCH($C885,DESPACHOS!$B$3:$B$3002,0)),""))</f>
        <v/>
      </c>
      <c r="G885" s="42">
        <f>IF($C885="","",IFERROR(INDEX(DESPACHOS!$F$3:$F$3002,MATCH($C885,DESPACHOS!$B$3:$B$3002,0)),""))</f>
        <v/>
      </c>
      <c r="H885" s="42">
        <f>IF($C885="","",IFERROR(INDEX(DESPACHOS!$G$3:$G$3002,MATCH($C885,DESPACHOS!$B$3:$B$3002,0)),""))</f>
        <v/>
      </c>
      <c r="I885" s="39">
        <f>IF($C885="","",IFERROR(INDEX(DESPACHOS!$H$3:$H$3002,MATCH($C885,DESPACHOS!$B$3:$B$3002,0)),""))</f>
        <v/>
      </c>
      <c r="J885" s="43">
        <f>IF($C885="","",IFERROR(INDEX(DESPACHOS!$J$3:$J$3002,MATCH($C885,DESPACHOS!$B$3:$B$3002,0)),""))</f>
        <v/>
      </c>
      <c r="K885" s="39">
        <f>IF($C885="","",IF(COUNTIFS(DESPACHOS!$B$3:$B$3002,$C885)=0,"NO EXISTE",IF(COUNTIFS(DESPACHOS!$B$3:$B$3002,$C885)&gt;1,"DUPLICADO","OK")))</f>
        <v/>
      </c>
      <c r="L885" s="41" t="n"/>
      <c r="M885" s="41" t="n"/>
      <c r="N885" s="42">
        <f>IF($M885="","",IFERROR(INDEX(LISTAS!$F$3:$F$42,MATCH($M885,LISTAS!$E$3:$E$42,0)),"Por definir"))</f>
        <v/>
      </c>
      <c r="O885" s="41" t="n"/>
      <c r="P885" s="39">
        <f>IF($L885="","",IFERROR(INDEX(LISTAS!$B$3:$B$42,MATCH($L885,LISTAS!$A$3:$A$42,0)),"Media"))</f>
        <v/>
      </c>
      <c r="Q885" s="44" t="n"/>
      <c r="R885" s="45" t="n"/>
      <c r="S885" s="20">
        <f>IFERROR(IF(OR($R885="",$C885=""),"",$R885/INDEX(DESPACHOS!$M$3:$M$3002,MATCH($C885,DESPACHOS!$B$3:$B$3002,0))),"")</f>
        <v/>
      </c>
      <c r="T885" s="41" t="n"/>
      <c r="U885" s="43">
        <f>IF(OR($B885="",$L885=""),"",WORKDAY($B885,IFERROR(INDEX(LISTAS!$C$3:$C$42,MATCH($L885,LISTAS!$A$3:$A$42,0)),3)))</f>
        <v/>
      </c>
      <c r="V885" s="40" t="n"/>
      <c r="W885" s="19">
        <f>IF($B885="","",IF($V885&lt;&gt;"",$V885-$B885,TODAY()-$B885))</f>
        <v/>
      </c>
      <c r="X885" s="19">
        <f>IF(OR($B885="",$U885=""),"",IF($V885&lt;&gt;"",MAX(0,$V885-$U885),MAX(0,TODAY()-$U885)))</f>
        <v/>
      </c>
      <c r="Y885" s="39">
        <f>IF($C885="","",IF(IFERROR(INDEX(LISTAS!$I$3:$I$42,MATCH($T885,LISTAS!$H$3:$H$42,0)),"NO")="SÍ",IF(N($X885)&gt;0,"CERRADA FUERA DE SLA","CERRADA EN SLA"),IF($U885="","SIN CLASIFICAR",IF(N($X885)&gt;0,"VENCIDA",IF(TODAY()&gt;=$U885-1,"POR VENCER","EN PLAZO")))))</f>
        <v/>
      </c>
      <c r="Z885" s="41" t="n"/>
      <c r="AA885" s="41" t="n"/>
      <c r="AB885" s="41" t="n"/>
    </row>
    <row r="886">
      <c r="A886" s="39">
        <f>IF($C886="","","NOV-"&amp;TEXT(ROW()-3,"0000"))</f>
        <v/>
      </c>
      <c r="B886" s="40" t="n"/>
      <c r="C886" s="41" t="n"/>
      <c r="D886" s="42">
        <f>IF($C886="","",IFERROR(INDEX(DESPACHOS!$D$3:$D$3002,MATCH($C886,DESPACHOS!$B$3:$B$3002,0)),"SIN DESPACHO"))</f>
        <v/>
      </c>
      <c r="E886" s="42">
        <f>IF($C886="","",IFERROR(INDEX(DESPACHOS!$K$3:$K$3002,MATCH($C886,DESPACHOS!$B$3:$B$3002,0)),""))</f>
        <v/>
      </c>
      <c r="F886" s="42">
        <f>IF($C886="","",IFERROR(INDEX(DESPACHOS!$I$3:$I$3002,MATCH($C886,DESPACHOS!$B$3:$B$3002,0)),""))</f>
        <v/>
      </c>
      <c r="G886" s="42">
        <f>IF($C886="","",IFERROR(INDEX(DESPACHOS!$F$3:$F$3002,MATCH($C886,DESPACHOS!$B$3:$B$3002,0)),""))</f>
        <v/>
      </c>
      <c r="H886" s="42">
        <f>IF($C886="","",IFERROR(INDEX(DESPACHOS!$G$3:$G$3002,MATCH($C886,DESPACHOS!$B$3:$B$3002,0)),""))</f>
        <v/>
      </c>
      <c r="I886" s="39">
        <f>IF($C886="","",IFERROR(INDEX(DESPACHOS!$H$3:$H$3002,MATCH($C886,DESPACHOS!$B$3:$B$3002,0)),""))</f>
        <v/>
      </c>
      <c r="J886" s="43">
        <f>IF($C886="","",IFERROR(INDEX(DESPACHOS!$J$3:$J$3002,MATCH($C886,DESPACHOS!$B$3:$B$3002,0)),""))</f>
        <v/>
      </c>
      <c r="K886" s="39">
        <f>IF($C886="","",IF(COUNTIFS(DESPACHOS!$B$3:$B$3002,$C886)=0,"NO EXISTE",IF(COUNTIFS(DESPACHOS!$B$3:$B$3002,$C886)&gt;1,"DUPLICADO","OK")))</f>
        <v/>
      </c>
      <c r="L886" s="41" t="n"/>
      <c r="M886" s="41" t="n"/>
      <c r="N886" s="42">
        <f>IF($M886="","",IFERROR(INDEX(LISTAS!$F$3:$F$42,MATCH($M886,LISTAS!$E$3:$E$42,0)),"Por definir"))</f>
        <v/>
      </c>
      <c r="O886" s="41" t="n"/>
      <c r="P886" s="39">
        <f>IF($L886="","",IFERROR(INDEX(LISTAS!$B$3:$B$42,MATCH($L886,LISTAS!$A$3:$A$42,0)),"Media"))</f>
        <v/>
      </c>
      <c r="Q886" s="44" t="n"/>
      <c r="R886" s="45" t="n"/>
      <c r="S886" s="20">
        <f>IFERROR(IF(OR($R886="",$C886=""),"",$R886/INDEX(DESPACHOS!$M$3:$M$3002,MATCH($C886,DESPACHOS!$B$3:$B$3002,0))),"")</f>
        <v/>
      </c>
      <c r="T886" s="41" t="n"/>
      <c r="U886" s="43">
        <f>IF(OR($B886="",$L886=""),"",WORKDAY($B886,IFERROR(INDEX(LISTAS!$C$3:$C$42,MATCH($L886,LISTAS!$A$3:$A$42,0)),3)))</f>
        <v/>
      </c>
      <c r="V886" s="40" t="n"/>
      <c r="W886" s="19">
        <f>IF($B886="","",IF($V886&lt;&gt;"",$V886-$B886,TODAY()-$B886))</f>
        <v/>
      </c>
      <c r="X886" s="19">
        <f>IF(OR($B886="",$U886=""),"",IF($V886&lt;&gt;"",MAX(0,$V886-$U886),MAX(0,TODAY()-$U886)))</f>
        <v/>
      </c>
      <c r="Y886" s="39">
        <f>IF($C886="","",IF(IFERROR(INDEX(LISTAS!$I$3:$I$42,MATCH($T886,LISTAS!$H$3:$H$42,0)),"NO")="SÍ",IF(N($X886)&gt;0,"CERRADA FUERA DE SLA","CERRADA EN SLA"),IF($U886="","SIN CLASIFICAR",IF(N($X886)&gt;0,"VENCIDA",IF(TODAY()&gt;=$U886-1,"POR VENCER","EN PLAZO")))))</f>
        <v/>
      </c>
      <c r="Z886" s="41" t="n"/>
      <c r="AA886" s="41" t="n"/>
      <c r="AB886" s="41" t="n"/>
    </row>
    <row r="887">
      <c r="A887" s="39">
        <f>IF($C887="","","NOV-"&amp;TEXT(ROW()-3,"0000"))</f>
        <v/>
      </c>
      <c r="B887" s="40" t="n"/>
      <c r="C887" s="41" t="n"/>
      <c r="D887" s="42">
        <f>IF($C887="","",IFERROR(INDEX(DESPACHOS!$D$3:$D$3002,MATCH($C887,DESPACHOS!$B$3:$B$3002,0)),"SIN DESPACHO"))</f>
        <v/>
      </c>
      <c r="E887" s="42">
        <f>IF($C887="","",IFERROR(INDEX(DESPACHOS!$K$3:$K$3002,MATCH($C887,DESPACHOS!$B$3:$B$3002,0)),""))</f>
        <v/>
      </c>
      <c r="F887" s="42">
        <f>IF($C887="","",IFERROR(INDEX(DESPACHOS!$I$3:$I$3002,MATCH($C887,DESPACHOS!$B$3:$B$3002,0)),""))</f>
        <v/>
      </c>
      <c r="G887" s="42">
        <f>IF($C887="","",IFERROR(INDEX(DESPACHOS!$F$3:$F$3002,MATCH($C887,DESPACHOS!$B$3:$B$3002,0)),""))</f>
        <v/>
      </c>
      <c r="H887" s="42">
        <f>IF($C887="","",IFERROR(INDEX(DESPACHOS!$G$3:$G$3002,MATCH($C887,DESPACHOS!$B$3:$B$3002,0)),""))</f>
        <v/>
      </c>
      <c r="I887" s="39">
        <f>IF($C887="","",IFERROR(INDEX(DESPACHOS!$H$3:$H$3002,MATCH($C887,DESPACHOS!$B$3:$B$3002,0)),""))</f>
        <v/>
      </c>
      <c r="J887" s="43">
        <f>IF($C887="","",IFERROR(INDEX(DESPACHOS!$J$3:$J$3002,MATCH($C887,DESPACHOS!$B$3:$B$3002,0)),""))</f>
        <v/>
      </c>
      <c r="K887" s="39">
        <f>IF($C887="","",IF(COUNTIFS(DESPACHOS!$B$3:$B$3002,$C887)=0,"NO EXISTE",IF(COUNTIFS(DESPACHOS!$B$3:$B$3002,$C887)&gt;1,"DUPLICADO","OK")))</f>
        <v/>
      </c>
      <c r="L887" s="41" t="n"/>
      <c r="M887" s="41" t="n"/>
      <c r="N887" s="42">
        <f>IF($M887="","",IFERROR(INDEX(LISTAS!$F$3:$F$42,MATCH($M887,LISTAS!$E$3:$E$42,0)),"Por definir"))</f>
        <v/>
      </c>
      <c r="O887" s="41" t="n"/>
      <c r="P887" s="39">
        <f>IF($L887="","",IFERROR(INDEX(LISTAS!$B$3:$B$42,MATCH($L887,LISTAS!$A$3:$A$42,0)),"Media"))</f>
        <v/>
      </c>
      <c r="Q887" s="44" t="n"/>
      <c r="R887" s="45" t="n"/>
      <c r="S887" s="20">
        <f>IFERROR(IF(OR($R887="",$C887=""),"",$R887/INDEX(DESPACHOS!$M$3:$M$3002,MATCH($C887,DESPACHOS!$B$3:$B$3002,0))),"")</f>
        <v/>
      </c>
      <c r="T887" s="41" t="n"/>
      <c r="U887" s="43">
        <f>IF(OR($B887="",$L887=""),"",WORKDAY($B887,IFERROR(INDEX(LISTAS!$C$3:$C$42,MATCH($L887,LISTAS!$A$3:$A$42,0)),3)))</f>
        <v/>
      </c>
      <c r="V887" s="40" t="n"/>
      <c r="W887" s="19">
        <f>IF($B887="","",IF($V887&lt;&gt;"",$V887-$B887,TODAY()-$B887))</f>
        <v/>
      </c>
      <c r="X887" s="19">
        <f>IF(OR($B887="",$U887=""),"",IF($V887&lt;&gt;"",MAX(0,$V887-$U887),MAX(0,TODAY()-$U887)))</f>
        <v/>
      </c>
      <c r="Y887" s="39">
        <f>IF($C887="","",IF(IFERROR(INDEX(LISTAS!$I$3:$I$42,MATCH($T887,LISTAS!$H$3:$H$42,0)),"NO")="SÍ",IF(N($X887)&gt;0,"CERRADA FUERA DE SLA","CERRADA EN SLA"),IF($U887="","SIN CLASIFICAR",IF(N($X887)&gt;0,"VENCIDA",IF(TODAY()&gt;=$U887-1,"POR VENCER","EN PLAZO")))))</f>
        <v/>
      </c>
      <c r="Z887" s="41" t="n"/>
      <c r="AA887" s="41" t="n"/>
      <c r="AB887" s="41" t="n"/>
    </row>
    <row r="888">
      <c r="A888" s="39">
        <f>IF($C888="","","NOV-"&amp;TEXT(ROW()-3,"0000"))</f>
        <v/>
      </c>
      <c r="B888" s="40" t="n"/>
      <c r="C888" s="41" t="n"/>
      <c r="D888" s="42">
        <f>IF($C888="","",IFERROR(INDEX(DESPACHOS!$D$3:$D$3002,MATCH($C888,DESPACHOS!$B$3:$B$3002,0)),"SIN DESPACHO"))</f>
        <v/>
      </c>
      <c r="E888" s="42">
        <f>IF($C888="","",IFERROR(INDEX(DESPACHOS!$K$3:$K$3002,MATCH($C888,DESPACHOS!$B$3:$B$3002,0)),""))</f>
        <v/>
      </c>
      <c r="F888" s="42">
        <f>IF($C888="","",IFERROR(INDEX(DESPACHOS!$I$3:$I$3002,MATCH($C888,DESPACHOS!$B$3:$B$3002,0)),""))</f>
        <v/>
      </c>
      <c r="G888" s="42">
        <f>IF($C888="","",IFERROR(INDEX(DESPACHOS!$F$3:$F$3002,MATCH($C888,DESPACHOS!$B$3:$B$3002,0)),""))</f>
        <v/>
      </c>
      <c r="H888" s="42">
        <f>IF($C888="","",IFERROR(INDEX(DESPACHOS!$G$3:$G$3002,MATCH($C888,DESPACHOS!$B$3:$B$3002,0)),""))</f>
        <v/>
      </c>
      <c r="I888" s="39">
        <f>IF($C888="","",IFERROR(INDEX(DESPACHOS!$H$3:$H$3002,MATCH($C888,DESPACHOS!$B$3:$B$3002,0)),""))</f>
        <v/>
      </c>
      <c r="J888" s="43">
        <f>IF($C888="","",IFERROR(INDEX(DESPACHOS!$J$3:$J$3002,MATCH($C888,DESPACHOS!$B$3:$B$3002,0)),""))</f>
        <v/>
      </c>
      <c r="K888" s="39">
        <f>IF($C888="","",IF(COUNTIFS(DESPACHOS!$B$3:$B$3002,$C888)=0,"NO EXISTE",IF(COUNTIFS(DESPACHOS!$B$3:$B$3002,$C888)&gt;1,"DUPLICADO","OK")))</f>
        <v/>
      </c>
      <c r="L888" s="41" t="n"/>
      <c r="M888" s="41" t="n"/>
      <c r="N888" s="42">
        <f>IF($M888="","",IFERROR(INDEX(LISTAS!$F$3:$F$42,MATCH($M888,LISTAS!$E$3:$E$42,0)),"Por definir"))</f>
        <v/>
      </c>
      <c r="O888" s="41" t="n"/>
      <c r="P888" s="39">
        <f>IF($L888="","",IFERROR(INDEX(LISTAS!$B$3:$B$42,MATCH($L888,LISTAS!$A$3:$A$42,0)),"Media"))</f>
        <v/>
      </c>
      <c r="Q888" s="44" t="n"/>
      <c r="R888" s="45" t="n"/>
      <c r="S888" s="20">
        <f>IFERROR(IF(OR($R888="",$C888=""),"",$R888/INDEX(DESPACHOS!$M$3:$M$3002,MATCH($C888,DESPACHOS!$B$3:$B$3002,0))),"")</f>
        <v/>
      </c>
      <c r="T888" s="41" t="n"/>
      <c r="U888" s="43">
        <f>IF(OR($B888="",$L888=""),"",WORKDAY($B888,IFERROR(INDEX(LISTAS!$C$3:$C$42,MATCH($L888,LISTAS!$A$3:$A$42,0)),3)))</f>
        <v/>
      </c>
      <c r="V888" s="40" t="n"/>
      <c r="W888" s="19">
        <f>IF($B888="","",IF($V888&lt;&gt;"",$V888-$B888,TODAY()-$B888))</f>
        <v/>
      </c>
      <c r="X888" s="19">
        <f>IF(OR($B888="",$U888=""),"",IF($V888&lt;&gt;"",MAX(0,$V888-$U888),MAX(0,TODAY()-$U888)))</f>
        <v/>
      </c>
      <c r="Y888" s="39">
        <f>IF($C888="","",IF(IFERROR(INDEX(LISTAS!$I$3:$I$42,MATCH($T888,LISTAS!$H$3:$H$42,0)),"NO")="SÍ",IF(N($X888)&gt;0,"CERRADA FUERA DE SLA","CERRADA EN SLA"),IF($U888="","SIN CLASIFICAR",IF(N($X888)&gt;0,"VENCIDA",IF(TODAY()&gt;=$U888-1,"POR VENCER","EN PLAZO")))))</f>
        <v/>
      </c>
      <c r="Z888" s="41" t="n"/>
      <c r="AA888" s="41" t="n"/>
      <c r="AB888" s="41" t="n"/>
    </row>
    <row r="889">
      <c r="A889" s="39">
        <f>IF($C889="","","NOV-"&amp;TEXT(ROW()-3,"0000"))</f>
        <v/>
      </c>
      <c r="B889" s="40" t="n"/>
      <c r="C889" s="41" t="n"/>
      <c r="D889" s="42">
        <f>IF($C889="","",IFERROR(INDEX(DESPACHOS!$D$3:$D$3002,MATCH($C889,DESPACHOS!$B$3:$B$3002,0)),"SIN DESPACHO"))</f>
        <v/>
      </c>
      <c r="E889" s="42">
        <f>IF($C889="","",IFERROR(INDEX(DESPACHOS!$K$3:$K$3002,MATCH($C889,DESPACHOS!$B$3:$B$3002,0)),""))</f>
        <v/>
      </c>
      <c r="F889" s="42">
        <f>IF($C889="","",IFERROR(INDEX(DESPACHOS!$I$3:$I$3002,MATCH($C889,DESPACHOS!$B$3:$B$3002,0)),""))</f>
        <v/>
      </c>
      <c r="G889" s="42">
        <f>IF($C889="","",IFERROR(INDEX(DESPACHOS!$F$3:$F$3002,MATCH($C889,DESPACHOS!$B$3:$B$3002,0)),""))</f>
        <v/>
      </c>
      <c r="H889" s="42">
        <f>IF($C889="","",IFERROR(INDEX(DESPACHOS!$G$3:$G$3002,MATCH($C889,DESPACHOS!$B$3:$B$3002,0)),""))</f>
        <v/>
      </c>
      <c r="I889" s="39">
        <f>IF($C889="","",IFERROR(INDEX(DESPACHOS!$H$3:$H$3002,MATCH($C889,DESPACHOS!$B$3:$B$3002,0)),""))</f>
        <v/>
      </c>
      <c r="J889" s="43">
        <f>IF($C889="","",IFERROR(INDEX(DESPACHOS!$J$3:$J$3002,MATCH($C889,DESPACHOS!$B$3:$B$3002,0)),""))</f>
        <v/>
      </c>
      <c r="K889" s="39">
        <f>IF($C889="","",IF(COUNTIFS(DESPACHOS!$B$3:$B$3002,$C889)=0,"NO EXISTE",IF(COUNTIFS(DESPACHOS!$B$3:$B$3002,$C889)&gt;1,"DUPLICADO","OK")))</f>
        <v/>
      </c>
      <c r="L889" s="41" t="n"/>
      <c r="M889" s="41" t="n"/>
      <c r="N889" s="42">
        <f>IF($M889="","",IFERROR(INDEX(LISTAS!$F$3:$F$42,MATCH($M889,LISTAS!$E$3:$E$42,0)),"Por definir"))</f>
        <v/>
      </c>
      <c r="O889" s="41" t="n"/>
      <c r="P889" s="39">
        <f>IF($L889="","",IFERROR(INDEX(LISTAS!$B$3:$B$42,MATCH($L889,LISTAS!$A$3:$A$42,0)),"Media"))</f>
        <v/>
      </c>
      <c r="Q889" s="44" t="n"/>
      <c r="R889" s="45" t="n"/>
      <c r="S889" s="20">
        <f>IFERROR(IF(OR($R889="",$C889=""),"",$R889/INDEX(DESPACHOS!$M$3:$M$3002,MATCH($C889,DESPACHOS!$B$3:$B$3002,0))),"")</f>
        <v/>
      </c>
      <c r="T889" s="41" t="n"/>
      <c r="U889" s="43">
        <f>IF(OR($B889="",$L889=""),"",WORKDAY($B889,IFERROR(INDEX(LISTAS!$C$3:$C$42,MATCH($L889,LISTAS!$A$3:$A$42,0)),3)))</f>
        <v/>
      </c>
      <c r="V889" s="40" t="n"/>
      <c r="W889" s="19">
        <f>IF($B889="","",IF($V889&lt;&gt;"",$V889-$B889,TODAY()-$B889))</f>
        <v/>
      </c>
      <c r="X889" s="19">
        <f>IF(OR($B889="",$U889=""),"",IF($V889&lt;&gt;"",MAX(0,$V889-$U889),MAX(0,TODAY()-$U889)))</f>
        <v/>
      </c>
      <c r="Y889" s="39">
        <f>IF($C889="","",IF(IFERROR(INDEX(LISTAS!$I$3:$I$42,MATCH($T889,LISTAS!$H$3:$H$42,0)),"NO")="SÍ",IF(N($X889)&gt;0,"CERRADA FUERA DE SLA","CERRADA EN SLA"),IF($U889="","SIN CLASIFICAR",IF(N($X889)&gt;0,"VENCIDA",IF(TODAY()&gt;=$U889-1,"POR VENCER","EN PLAZO")))))</f>
        <v/>
      </c>
      <c r="Z889" s="41" t="n"/>
      <c r="AA889" s="41" t="n"/>
      <c r="AB889" s="41" t="n"/>
    </row>
    <row r="890">
      <c r="A890" s="39">
        <f>IF($C890="","","NOV-"&amp;TEXT(ROW()-3,"0000"))</f>
        <v/>
      </c>
      <c r="B890" s="40" t="n"/>
      <c r="C890" s="41" t="n"/>
      <c r="D890" s="42">
        <f>IF($C890="","",IFERROR(INDEX(DESPACHOS!$D$3:$D$3002,MATCH($C890,DESPACHOS!$B$3:$B$3002,0)),"SIN DESPACHO"))</f>
        <v/>
      </c>
      <c r="E890" s="42">
        <f>IF($C890="","",IFERROR(INDEX(DESPACHOS!$K$3:$K$3002,MATCH($C890,DESPACHOS!$B$3:$B$3002,0)),""))</f>
        <v/>
      </c>
      <c r="F890" s="42">
        <f>IF($C890="","",IFERROR(INDEX(DESPACHOS!$I$3:$I$3002,MATCH($C890,DESPACHOS!$B$3:$B$3002,0)),""))</f>
        <v/>
      </c>
      <c r="G890" s="42">
        <f>IF($C890="","",IFERROR(INDEX(DESPACHOS!$F$3:$F$3002,MATCH($C890,DESPACHOS!$B$3:$B$3002,0)),""))</f>
        <v/>
      </c>
      <c r="H890" s="42">
        <f>IF($C890="","",IFERROR(INDEX(DESPACHOS!$G$3:$G$3002,MATCH($C890,DESPACHOS!$B$3:$B$3002,0)),""))</f>
        <v/>
      </c>
      <c r="I890" s="39">
        <f>IF($C890="","",IFERROR(INDEX(DESPACHOS!$H$3:$H$3002,MATCH($C890,DESPACHOS!$B$3:$B$3002,0)),""))</f>
        <v/>
      </c>
      <c r="J890" s="43">
        <f>IF($C890="","",IFERROR(INDEX(DESPACHOS!$J$3:$J$3002,MATCH($C890,DESPACHOS!$B$3:$B$3002,0)),""))</f>
        <v/>
      </c>
      <c r="K890" s="39">
        <f>IF($C890="","",IF(COUNTIFS(DESPACHOS!$B$3:$B$3002,$C890)=0,"NO EXISTE",IF(COUNTIFS(DESPACHOS!$B$3:$B$3002,$C890)&gt;1,"DUPLICADO","OK")))</f>
        <v/>
      </c>
      <c r="L890" s="41" t="n"/>
      <c r="M890" s="41" t="n"/>
      <c r="N890" s="42">
        <f>IF($M890="","",IFERROR(INDEX(LISTAS!$F$3:$F$42,MATCH($M890,LISTAS!$E$3:$E$42,0)),"Por definir"))</f>
        <v/>
      </c>
      <c r="O890" s="41" t="n"/>
      <c r="P890" s="39">
        <f>IF($L890="","",IFERROR(INDEX(LISTAS!$B$3:$B$42,MATCH($L890,LISTAS!$A$3:$A$42,0)),"Media"))</f>
        <v/>
      </c>
      <c r="Q890" s="44" t="n"/>
      <c r="R890" s="45" t="n"/>
      <c r="S890" s="20">
        <f>IFERROR(IF(OR($R890="",$C890=""),"",$R890/INDEX(DESPACHOS!$M$3:$M$3002,MATCH($C890,DESPACHOS!$B$3:$B$3002,0))),"")</f>
        <v/>
      </c>
      <c r="T890" s="41" t="n"/>
      <c r="U890" s="43">
        <f>IF(OR($B890="",$L890=""),"",WORKDAY($B890,IFERROR(INDEX(LISTAS!$C$3:$C$42,MATCH($L890,LISTAS!$A$3:$A$42,0)),3)))</f>
        <v/>
      </c>
      <c r="V890" s="40" t="n"/>
      <c r="W890" s="19">
        <f>IF($B890="","",IF($V890&lt;&gt;"",$V890-$B890,TODAY()-$B890))</f>
        <v/>
      </c>
      <c r="X890" s="19">
        <f>IF(OR($B890="",$U890=""),"",IF($V890&lt;&gt;"",MAX(0,$V890-$U890),MAX(0,TODAY()-$U890)))</f>
        <v/>
      </c>
      <c r="Y890" s="39">
        <f>IF($C890="","",IF(IFERROR(INDEX(LISTAS!$I$3:$I$42,MATCH($T890,LISTAS!$H$3:$H$42,0)),"NO")="SÍ",IF(N($X890)&gt;0,"CERRADA FUERA DE SLA","CERRADA EN SLA"),IF($U890="","SIN CLASIFICAR",IF(N($X890)&gt;0,"VENCIDA",IF(TODAY()&gt;=$U890-1,"POR VENCER","EN PLAZO")))))</f>
        <v/>
      </c>
      <c r="Z890" s="41" t="n"/>
      <c r="AA890" s="41" t="n"/>
      <c r="AB890" s="41" t="n"/>
    </row>
    <row r="891">
      <c r="A891" s="39">
        <f>IF($C891="","","NOV-"&amp;TEXT(ROW()-3,"0000"))</f>
        <v/>
      </c>
      <c r="B891" s="40" t="n"/>
      <c r="C891" s="41" t="n"/>
      <c r="D891" s="42">
        <f>IF($C891="","",IFERROR(INDEX(DESPACHOS!$D$3:$D$3002,MATCH($C891,DESPACHOS!$B$3:$B$3002,0)),"SIN DESPACHO"))</f>
        <v/>
      </c>
      <c r="E891" s="42">
        <f>IF($C891="","",IFERROR(INDEX(DESPACHOS!$K$3:$K$3002,MATCH($C891,DESPACHOS!$B$3:$B$3002,0)),""))</f>
        <v/>
      </c>
      <c r="F891" s="42">
        <f>IF($C891="","",IFERROR(INDEX(DESPACHOS!$I$3:$I$3002,MATCH($C891,DESPACHOS!$B$3:$B$3002,0)),""))</f>
        <v/>
      </c>
      <c r="G891" s="42">
        <f>IF($C891="","",IFERROR(INDEX(DESPACHOS!$F$3:$F$3002,MATCH($C891,DESPACHOS!$B$3:$B$3002,0)),""))</f>
        <v/>
      </c>
      <c r="H891" s="42">
        <f>IF($C891="","",IFERROR(INDEX(DESPACHOS!$G$3:$G$3002,MATCH($C891,DESPACHOS!$B$3:$B$3002,0)),""))</f>
        <v/>
      </c>
      <c r="I891" s="39">
        <f>IF($C891="","",IFERROR(INDEX(DESPACHOS!$H$3:$H$3002,MATCH($C891,DESPACHOS!$B$3:$B$3002,0)),""))</f>
        <v/>
      </c>
      <c r="J891" s="43">
        <f>IF($C891="","",IFERROR(INDEX(DESPACHOS!$J$3:$J$3002,MATCH($C891,DESPACHOS!$B$3:$B$3002,0)),""))</f>
        <v/>
      </c>
      <c r="K891" s="39">
        <f>IF($C891="","",IF(COUNTIFS(DESPACHOS!$B$3:$B$3002,$C891)=0,"NO EXISTE",IF(COUNTIFS(DESPACHOS!$B$3:$B$3002,$C891)&gt;1,"DUPLICADO","OK")))</f>
        <v/>
      </c>
      <c r="L891" s="41" t="n"/>
      <c r="M891" s="41" t="n"/>
      <c r="N891" s="42">
        <f>IF($M891="","",IFERROR(INDEX(LISTAS!$F$3:$F$42,MATCH($M891,LISTAS!$E$3:$E$42,0)),"Por definir"))</f>
        <v/>
      </c>
      <c r="O891" s="41" t="n"/>
      <c r="P891" s="39">
        <f>IF($L891="","",IFERROR(INDEX(LISTAS!$B$3:$B$42,MATCH($L891,LISTAS!$A$3:$A$42,0)),"Media"))</f>
        <v/>
      </c>
      <c r="Q891" s="44" t="n"/>
      <c r="R891" s="45" t="n"/>
      <c r="S891" s="20">
        <f>IFERROR(IF(OR($R891="",$C891=""),"",$R891/INDEX(DESPACHOS!$M$3:$M$3002,MATCH($C891,DESPACHOS!$B$3:$B$3002,0))),"")</f>
        <v/>
      </c>
      <c r="T891" s="41" t="n"/>
      <c r="U891" s="43">
        <f>IF(OR($B891="",$L891=""),"",WORKDAY($B891,IFERROR(INDEX(LISTAS!$C$3:$C$42,MATCH($L891,LISTAS!$A$3:$A$42,0)),3)))</f>
        <v/>
      </c>
      <c r="V891" s="40" t="n"/>
      <c r="W891" s="19">
        <f>IF($B891="","",IF($V891&lt;&gt;"",$V891-$B891,TODAY()-$B891))</f>
        <v/>
      </c>
      <c r="X891" s="19">
        <f>IF(OR($B891="",$U891=""),"",IF($V891&lt;&gt;"",MAX(0,$V891-$U891),MAX(0,TODAY()-$U891)))</f>
        <v/>
      </c>
      <c r="Y891" s="39">
        <f>IF($C891="","",IF(IFERROR(INDEX(LISTAS!$I$3:$I$42,MATCH($T891,LISTAS!$H$3:$H$42,0)),"NO")="SÍ",IF(N($X891)&gt;0,"CERRADA FUERA DE SLA","CERRADA EN SLA"),IF($U891="","SIN CLASIFICAR",IF(N($X891)&gt;0,"VENCIDA",IF(TODAY()&gt;=$U891-1,"POR VENCER","EN PLAZO")))))</f>
        <v/>
      </c>
      <c r="Z891" s="41" t="n"/>
      <c r="AA891" s="41" t="n"/>
      <c r="AB891" s="41" t="n"/>
    </row>
    <row r="892">
      <c r="A892" s="39">
        <f>IF($C892="","","NOV-"&amp;TEXT(ROW()-3,"0000"))</f>
        <v/>
      </c>
      <c r="B892" s="40" t="n"/>
      <c r="C892" s="41" t="n"/>
      <c r="D892" s="42">
        <f>IF($C892="","",IFERROR(INDEX(DESPACHOS!$D$3:$D$3002,MATCH($C892,DESPACHOS!$B$3:$B$3002,0)),"SIN DESPACHO"))</f>
        <v/>
      </c>
      <c r="E892" s="42">
        <f>IF($C892="","",IFERROR(INDEX(DESPACHOS!$K$3:$K$3002,MATCH($C892,DESPACHOS!$B$3:$B$3002,0)),""))</f>
        <v/>
      </c>
      <c r="F892" s="42">
        <f>IF($C892="","",IFERROR(INDEX(DESPACHOS!$I$3:$I$3002,MATCH($C892,DESPACHOS!$B$3:$B$3002,0)),""))</f>
        <v/>
      </c>
      <c r="G892" s="42">
        <f>IF($C892="","",IFERROR(INDEX(DESPACHOS!$F$3:$F$3002,MATCH($C892,DESPACHOS!$B$3:$B$3002,0)),""))</f>
        <v/>
      </c>
      <c r="H892" s="42">
        <f>IF($C892="","",IFERROR(INDEX(DESPACHOS!$G$3:$G$3002,MATCH($C892,DESPACHOS!$B$3:$B$3002,0)),""))</f>
        <v/>
      </c>
      <c r="I892" s="39">
        <f>IF($C892="","",IFERROR(INDEX(DESPACHOS!$H$3:$H$3002,MATCH($C892,DESPACHOS!$B$3:$B$3002,0)),""))</f>
        <v/>
      </c>
      <c r="J892" s="43">
        <f>IF($C892="","",IFERROR(INDEX(DESPACHOS!$J$3:$J$3002,MATCH($C892,DESPACHOS!$B$3:$B$3002,0)),""))</f>
        <v/>
      </c>
      <c r="K892" s="39">
        <f>IF($C892="","",IF(COUNTIFS(DESPACHOS!$B$3:$B$3002,$C892)=0,"NO EXISTE",IF(COUNTIFS(DESPACHOS!$B$3:$B$3002,$C892)&gt;1,"DUPLICADO","OK")))</f>
        <v/>
      </c>
      <c r="L892" s="41" t="n"/>
      <c r="M892" s="41" t="n"/>
      <c r="N892" s="42">
        <f>IF($M892="","",IFERROR(INDEX(LISTAS!$F$3:$F$42,MATCH($M892,LISTAS!$E$3:$E$42,0)),"Por definir"))</f>
        <v/>
      </c>
      <c r="O892" s="41" t="n"/>
      <c r="P892" s="39">
        <f>IF($L892="","",IFERROR(INDEX(LISTAS!$B$3:$B$42,MATCH($L892,LISTAS!$A$3:$A$42,0)),"Media"))</f>
        <v/>
      </c>
      <c r="Q892" s="44" t="n"/>
      <c r="R892" s="45" t="n"/>
      <c r="S892" s="20">
        <f>IFERROR(IF(OR($R892="",$C892=""),"",$R892/INDEX(DESPACHOS!$M$3:$M$3002,MATCH($C892,DESPACHOS!$B$3:$B$3002,0))),"")</f>
        <v/>
      </c>
      <c r="T892" s="41" t="n"/>
      <c r="U892" s="43">
        <f>IF(OR($B892="",$L892=""),"",WORKDAY($B892,IFERROR(INDEX(LISTAS!$C$3:$C$42,MATCH($L892,LISTAS!$A$3:$A$42,0)),3)))</f>
        <v/>
      </c>
      <c r="V892" s="40" t="n"/>
      <c r="W892" s="19">
        <f>IF($B892="","",IF($V892&lt;&gt;"",$V892-$B892,TODAY()-$B892))</f>
        <v/>
      </c>
      <c r="X892" s="19">
        <f>IF(OR($B892="",$U892=""),"",IF($V892&lt;&gt;"",MAX(0,$V892-$U892),MAX(0,TODAY()-$U892)))</f>
        <v/>
      </c>
      <c r="Y892" s="39">
        <f>IF($C892="","",IF(IFERROR(INDEX(LISTAS!$I$3:$I$42,MATCH($T892,LISTAS!$H$3:$H$42,0)),"NO")="SÍ",IF(N($X892)&gt;0,"CERRADA FUERA DE SLA","CERRADA EN SLA"),IF($U892="","SIN CLASIFICAR",IF(N($X892)&gt;0,"VENCIDA",IF(TODAY()&gt;=$U892-1,"POR VENCER","EN PLAZO")))))</f>
        <v/>
      </c>
      <c r="Z892" s="41" t="n"/>
      <c r="AA892" s="41" t="n"/>
      <c r="AB892" s="41" t="n"/>
    </row>
    <row r="893">
      <c r="A893" s="39">
        <f>IF($C893="","","NOV-"&amp;TEXT(ROW()-3,"0000"))</f>
        <v/>
      </c>
      <c r="B893" s="40" t="n"/>
      <c r="C893" s="41" t="n"/>
      <c r="D893" s="42">
        <f>IF($C893="","",IFERROR(INDEX(DESPACHOS!$D$3:$D$3002,MATCH($C893,DESPACHOS!$B$3:$B$3002,0)),"SIN DESPACHO"))</f>
        <v/>
      </c>
      <c r="E893" s="42">
        <f>IF($C893="","",IFERROR(INDEX(DESPACHOS!$K$3:$K$3002,MATCH($C893,DESPACHOS!$B$3:$B$3002,0)),""))</f>
        <v/>
      </c>
      <c r="F893" s="42">
        <f>IF($C893="","",IFERROR(INDEX(DESPACHOS!$I$3:$I$3002,MATCH($C893,DESPACHOS!$B$3:$B$3002,0)),""))</f>
        <v/>
      </c>
      <c r="G893" s="42">
        <f>IF($C893="","",IFERROR(INDEX(DESPACHOS!$F$3:$F$3002,MATCH($C893,DESPACHOS!$B$3:$B$3002,0)),""))</f>
        <v/>
      </c>
      <c r="H893" s="42">
        <f>IF($C893="","",IFERROR(INDEX(DESPACHOS!$G$3:$G$3002,MATCH($C893,DESPACHOS!$B$3:$B$3002,0)),""))</f>
        <v/>
      </c>
      <c r="I893" s="39">
        <f>IF($C893="","",IFERROR(INDEX(DESPACHOS!$H$3:$H$3002,MATCH($C893,DESPACHOS!$B$3:$B$3002,0)),""))</f>
        <v/>
      </c>
      <c r="J893" s="43">
        <f>IF($C893="","",IFERROR(INDEX(DESPACHOS!$J$3:$J$3002,MATCH($C893,DESPACHOS!$B$3:$B$3002,0)),""))</f>
        <v/>
      </c>
      <c r="K893" s="39">
        <f>IF($C893="","",IF(COUNTIFS(DESPACHOS!$B$3:$B$3002,$C893)=0,"NO EXISTE",IF(COUNTIFS(DESPACHOS!$B$3:$B$3002,$C893)&gt;1,"DUPLICADO","OK")))</f>
        <v/>
      </c>
      <c r="L893" s="41" t="n"/>
      <c r="M893" s="41" t="n"/>
      <c r="N893" s="42">
        <f>IF($M893="","",IFERROR(INDEX(LISTAS!$F$3:$F$42,MATCH($M893,LISTAS!$E$3:$E$42,0)),"Por definir"))</f>
        <v/>
      </c>
      <c r="O893" s="41" t="n"/>
      <c r="P893" s="39">
        <f>IF($L893="","",IFERROR(INDEX(LISTAS!$B$3:$B$42,MATCH($L893,LISTAS!$A$3:$A$42,0)),"Media"))</f>
        <v/>
      </c>
      <c r="Q893" s="44" t="n"/>
      <c r="R893" s="45" t="n"/>
      <c r="S893" s="20">
        <f>IFERROR(IF(OR($R893="",$C893=""),"",$R893/INDEX(DESPACHOS!$M$3:$M$3002,MATCH($C893,DESPACHOS!$B$3:$B$3002,0))),"")</f>
        <v/>
      </c>
      <c r="T893" s="41" t="n"/>
      <c r="U893" s="43">
        <f>IF(OR($B893="",$L893=""),"",WORKDAY($B893,IFERROR(INDEX(LISTAS!$C$3:$C$42,MATCH($L893,LISTAS!$A$3:$A$42,0)),3)))</f>
        <v/>
      </c>
      <c r="V893" s="40" t="n"/>
      <c r="W893" s="19">
        <f>IF($B893="","",IF($V893&lt;&gt;"",$V893-$B893,TODAY()-$B893))</f>
        <v/>
      </c>
      <c r="X893" s="19">
        <f>IF(OR($B893="",$U893=""),"",IF($V893&lt;&gt;"",MAX(0,$V893-$U893),MAX(0,TODAY()-$U893)))</f>
        <v/>
      </c>
      <c r="Y893" s="39">
        <f>IF($C893="","",IF(IFERROR(INDEX(LISTAS!$I$3:$I$42,MATCH($T893,LISTAS!$H$3:$H$42,0)),"NO")="SÍ",IF(N($X893)&gt;0,"CERRADA FUERA DE SLA","CERRADA EN SLA"),IF($U893="","SIN CLASIFICAR",IF(N($X893)&gt;0,"VENCIDA",IF(TODAY()&gt;=$U893-1,"POR VENCER","EN PLAZO")))))</f>
        <v/>
      </c>
      <c r="Z893" s="41" t="n"/>
      <c r="AA893" s="41" t="n"/>
      <c r="AB893" s="41" t="n"/>
    </row>
    <row r="894">
      <c r="A894" s="39">
        <f>IF($C894="","","NOV-"&amp;TEXT(ROW()-3,"0000"))</f>
        <v/>
      </c>
      <c r="B894" s="40" t="n"/>
      <c r="C894" s="41" t="n"/>
      <c r="D894" s="42">
        <f>IF($C894="","",IFERROR(INDEX(DESPACHOS!$D$3:$D$3002,MATCH($C894,DESPACHOS!$B$3:$B$3002,0)),"SIN DESPACHO"))</f>
        <v/>
      </c>
      <c r="E894" s="42">
        <f>IF($C894="","",IFERROR(INDEX(DESPACHOS!$K$3:$K$3002,MATCH($C894,DESPACHOS!$B$3:$B$3002,0)),""))</f>
        <v/>
      </c>
      <c r="F894" s="42">
        <f>IF($C894="","",IFERROR(INDEX(DESPACHOS!$I$3:$I$3002,MATCH($C894,DESPACHOS!$B$3:$B$3002,0)),""))</f>
        <v/>
      </c>
      <c r="G894" s="42">
        <f>IF($C894="","",IFERROR(INDEX(DESPACHOS!$F$3:$F$3002,MATCH($C894,DESPACHOS!$B$3:$B$3002,0)),""))</f>
        <v/>
      </c>
      <c r="H894" s="42">
        <f>IF($C894="","",IFERROR(INDEX(DESPACHOS!$G$3:$G$3002,MATCH($C894,DESPACHOS!$B$3:$B$3002,0)),""))</f>
        <v/>
      </c>
      <c r="I894" s="39">
        <f>IF($C894="","",IFERROR(INDEX(DESPACHOS!$H$3:$H$3002,MATCH($C894,DESPACHOS!$B$3:$B$3002,0)),""))</f>
        <v/>
      </c>
      <c r="J894" s="43">
        <f>IF($C894="","",IFERROR(INDEX(DESPACHOS!$J$3:$J$3002,MATCH($C894,DESPACHOS!$B$3:$B$3002,0)),""))</f>
        <v/>
      </c>
      <c r="K894" s="39">
        <f>IF($C894="","",IF(COUNTIFS(DESPACHOS!$B$3:$B$3002,$C894)=0,"NO EXISTE",IF(COUNTIFS(DESPACHOS!$B$3:$B$3002,$C894)&gt;1,"DUPLICADO","OK")))</f>
        <v/>
      </c>
      <c r="L894" s="41" t="n"/>
      <c r="M894" s="41" t="n"/>
      <c r="N894" s="42">
        <f>IF($M894="","",IFERROR(INDEX(LISTAS!$F$3:$F$42,MATCH($M894,LISTAS!$E$3:$E$42,0)),"Por definir"))</f>
        <v/>
      </c>
      <c r="O894" s="41" t="n"/>
      <c r="P894" s="39">
        <f>IF($L894="","",IFERROR(INDEX(LISTAS!$B$3:$B$42,MATCH($L894,LISTAS!$A$3:$A$42,0)),"Media"))</f>
        <v/>
      </c>
      <c r="Q894" s="44" t="n"/>
      <c r="R894" s="45" t="n"/>
      <c r="S894" s="20">
        <f>IFERROR(IF(OR($R894="",$C894=""),"",$R894/INDEX(DESPACHOS!$M$3:$M$3002,MATCH($C894,DESPACHOS!$B$3:$B$3002,0))),"")</f>
        <v/>
      </c>
      <c r="T894" s="41" t="n"/>
      <c r="U894" s="43">
        <f>IF(OR($B894="",$L894=""),"",WORKDAY($B894,IFERROR(INDEX(LISTAS!$C$3:$C$42,MATCH($L894,LISTAS!$A$3:$A$42,0)),3)))</f>
        <v/>
      </c>
      <c r="V894" s="40" t="n"/>
      <c r="W894" s="19">
        <f>IF($B894="","",IF($V894&lt;&gt;"",$V894-$B894,TODAY()-$B894))</f>
        <v/>
      </c>
      <c r="X894" s="19">
        <f>IF(OR($B894="",$U894=""),"",IF($V894&lt;&gt;"",MAX(0,$V894-$U894),MAX(0,TODAY()-$U894)))</f>
        <v/>
      </c>
      <c r="Y894" s="39">
        <f>IF($C894="","",IF(IFERROR(INDEX(LISTAS!$I$3:$I$42,MATCH($T894,LISTAS!$H$3:$H$42,0)),"NO")="SÍ",IF(N($X894)&gt;0,"CERRADA FUERA DE SLA","CERRADA EN SLA"),IF($U894="","SIN CLASIFICAR",IF(N($X894)&gt;0,"VENCIDA",IF(TODAY()&gt;=$U894-1,"POR VENCER","EN PLAZO")))))</f>
        <v/>
      </c>
      <c r="Z894" s="41" t="n"/>
      <c r="AA894" s="41" t="n"/>
      <c r="AB894" s="41" t="n"/>
    </row>
    <row r="895">
      <c r="A895" s="39">
        <f>IF($C895="","","NOV-"&amp;TEXT(ROW()-3,"0000"))</f>
        <v/>
      </c>
      <c r="B895" s="40" t="n"/>
      <c r="C895" s="41" t="n"/>
      <c r="D895" s="42">
        <f>IF($C895="","",IFERROR(INDEX(DESPACHOS!$D$3:$D$3002,MATCH($C895,DESPACHOS!$B$3:$B$3002,0)),"SIN DESPACHO"))</f>
        <v/>
      </c>
      <c r="E895" s="42">
        <f>IF($C895="","",IFERROR(INDEX(DESPACHOS!$K$3:$K$3002,MATCH($C895,DESPACHOS!$B$3:$B$3002,0)),""))</f>
        <v/>
      </c>
      <c r="F895" s="42">
        <f>IF($C895="","",IFERROR(INDEX(DESPACHOS!$I$3:$I$3002,MATCH($C895,DESPACHOS!$B$3:$B$3002,0)),""))</f>
        <v/>
      </c>
      <c r="G895" s="42">
        <f>IF($C895="","",IFERROR(INDEX(DESPACHOS!$F$3:$F$3002,MATCH($C895,DESPACHOS!$B$3:$B$3002,0)),""))</f>
        <v/>
      </c>
      <c r="H895" s="42">
        <f>IF($C895="","",IFERROR(INDEX(DESPACHOS!$G$3:$G$3002,MATCH($C895,DESPACHOS!$B$3:$B$3002,0)),""))</f>
        <v/>
      </c>
      <c r="I895" s="39">
        <f>IF($C895="","",IFERROR(INDEX(DESPACHOS!$H$3:$H$3002,MATCH($C895,DESPACHOS!$B$3:$B$3002,0)),""))</f>
        <v/>
      </c>
      <c r="J895" s="43">
        <f>IF($C895="","",IFERROR(INDEX(DESPACHOS!$J$3:$J$3002,MATCH($C895,DESPACHOS!$B$3:$B$3002,0)),""))</f>
        <v/>
      </c>
      <c r="K895" s="39">
        <f>IF($C895="","",IF(COUNTIFS(DESPACHOS!$B$3:$B$3002,$C895)=0,"NO EXISTE",IF(COUNTIFS(DESPACHOS!$B$3:$B$3002,$C895)&gt;1,"DUPLICADO","OK")))</f>
        <v/>
      </c>
      <c r="L895" s="41" t="n"/>
      <c r="M895" s="41" t="n"/>
      <c r="N895" s="42">
        <f>IF($M895="","",IFERROR(INDEX(LISTAS!$F$3:$F$42,MATCH($M895,LISTAS!$E$3:$E$42,0)),"Por definir"))</f>
        <v/>
      </c>
      <c r="O895" s="41" t="n"/>
      <c r="P895" s="39">
        <f>IF($L895="","",IFERROR(INDEX(LISTAS!$B$3:$B$42,MATCH($L895,LISTAS!$A$3:$A$42,0)),"Media"))</f>
        <v/>
      </c>
      <c r="Q895" s="44" t="n"/>
      <c r="R895" s="45" t="n"/>
      <c r="S895" s="20">
        <f>IFERROR(IF(OR($R895="",$C895=""),"",$R895/INDEX(DESPACHOS!$M$3:$M$3002,MATCH($C895,DESPACHOS!$B$3:$B$3002,0))),"")</f>
        <v/>
      </c>
      <c r="T895" s="41" t="n"/>
      <c r="U895" s="43">
        <f>IF(OR($B895="",$L895=""),"",WORKDAY($B895,IFERROR(INDEX(LISTAS!$C$3:$C$42,MATCH($L895,LISTAS!$A$3:$A$42,0)),3)))</f>
        <v/>
      </c>
      <c r="V895" s="40" t="n"/>
      <c r="W895" s="19">
        <f>IF($B895="","",IF($V895&lt;&gt;"",$V895-$B895,TODAY()-$B895))</f>
        <v/>
      </c>
      <c r="X895" s="19">
        <f>IF(OR($B895="",$U895=""),"",IF($V895&lt;&gt;"",MAX(0,$V895-$U895),MAX(0,TODAY()-$U895)))</f>
        <v/>
      </c>
      <c r="Y895" s="39">
        <f>IF($C895="","",IF(IFERROR(INDEX(LISTAS!$I$3:$I$42,MATCH($T895,LISTAS!$H$3:$H$42,0)),"NO")="SÍ",IF(N($X895)&gt;0,"CERRADA FUERA DE SLA","CERRADA EN SLA"),IF($U895="","SIN CLASIFICAR",IF(N($X895)&gt;0,"VENCIDA",IF(TODAY()&gt;=$U895-1,"POR VENCER","EN PLAZO")))))</f>
        <v/>
      </c>
      <c r="Z895" s="41" t="n"/>
      <c r="AA895" s="41" t="n"/>
      <c r="AB895" s="41" t="n"/>
    </row>
    <row r="896">
      <c r="A896" s="39">
        <f>IF($C896="","","NOV-"&amp;TEXT(ROW()-3,"0000"))</f>
        <v/>
      </c>
      <c r="B896" s="40" t="n"/>
      <c r="C896" s="41" t="n"/>
      <c r="D896" s="42">
        <f>IF($C896="","",IFERROR(INDEX(DESPACHOS!$D$3:$D$3002,MATCH($C896,DESPACHOS!$B$3:$B$3002,0)),"SIN DESPACHO"))</f>
        <v/>
      </c>
      <c r="E896" s="42">
        <f>IF($C896="","",IFERROR(INDEX(DESPACHOS!$K$3:$K$3002,MATCH($C896,DESPACHOS!$B$3:$B$3002,0)),""))</f>
        <v/>
      </c>
      <c r="F896" s="42">
        <f>IF($C896="","",IFERROR(INDEX(DESPACHOS!$I$3:$I$3002,MATCH($C896,DESPACHOS!$B$3:$B$3002,0)),""))</f>
        <v/>
      </c>
      <c r="G896" s="42">
        <f>IF($C896="","",IFERROR(INDEX(DESPACHOS!$F$3:$F$3002,MATCH($C896,DESPACHOS!$B$3:$B$3002,0)),""))</f>
        <v/>
      </c>
      <c r="H896" s="42">
        <f>IF($C896="","",IFERROR(INDEX(DESPACHOS!$G$3:$G$3002,MATCH($C896,DESPACHOS!$B$3:$B$3002,0)),""))</f>
        <v/>
      </c>
      <c r="I896" s="39">
        <f>IF($C896="","",IFERROR(INDEX(DESPACHOS!$H$3:$H$3002,MATCH($C896,DESPACHOS!$B$3:$B$3002,0)),""))</f>
        <v/>
      </c>
      <c r="J896" s="43">
        <f>IF($C896="","",IFERROR(INDEX(DESPACHOS!$J$3:$J$3002,MATCH($C896,DESPACHOS!$B$3:$B$3002,0)),""))</f>
        <v/>
      </c>
      <c r="K896" s="39">
        <f>IF($C896="","",IF(COUNTIFS(DESPACHOS!$B$3:$B$3002,$C896)=0,"NO EXISTE",IF(COUNTIFS(DESPACHOS!$B$3:$B$3002,$C896)&gt;1,"DUPLICADO","OK")))</f>
        <v/>
      </c>
      <c r="L896" s="41" t="n"/>
      <c r="M896" s="41" t="n"/>
      <c r="N896" s="42">
        <f>IF($M896="","",IFERROR(INDEX(LISTAS!$F$3:$F$42,MATCH($M896,LISTAS!$E$3:$E$42,0)),"Por definir"))</f>
        <v/>
      </c>
      <c r="O896" s="41" t="n"/>
      <c r="P896" s="39">
        <f>IF($L896="","",IFERROR(INDEX(LISTAS!$B$3:$B$42,MATCH($L896,LISTAS!$A$3:$A$42,0)),"Media"))</f>
        <v/>
      </c>
      <c r="Q896" s="44" t="n"/>
      <c r="R896" s="45" t="n"/>
      <c r="S896" s="20">
        <f>IFERROR(IF(OR($R896="",$C896=""),"",$R896/INDEX(DESPACHOS!$M$3:$M$3002,MATCH($C896,DESPACHOS!$B$3:$B$3002,0))),"")</f>
        <v/>
      </c>
      <c r="T896" s="41" t="n"/>
      <c r="U896" s="43">
        <f>IF(OR($B896="",$L896=""),"",WORKDAY($B896,IFERROR(INDEX(LISTAS!$C$3:$C$42,MATCH($L896,LISTAS!$A$3:$A$42,0)),3)))</f>
        <v/>
      </c>
      <c r="V896" s="40" t="n"/>
      <c r="W896" s="19">
        <f>IF($B896="","",IF($V896&lt;&gt;"",$V896-$B896,TODAY()-$B896))</f>
        <v/>
      </c>
      <c r="X896" s="19">
        <f>IF(OR($B896="",$U896=""),"",IF($V896&lt;&gt;"",MAX(0,$V896-$U896),MAX(0,TODAY()-$U896)))</f>
        <v/>
      </c>
      <c r="Y896" s="39">
        <f>IF($C896="","",IF(IFERROR(INDEX(LISTAS!$I$3:$I$42,MATCH($T896,LISTAS!$H$3:$H$42,0)),"NO")="SÍ",IF(N($X896)&gt;0,"CERRADA FUERA DE SLA","CERRADA EN SLA"),IF($U896="","SIN CLASIFICAR",IF(N($X896)&gt;0,"VENCIDA",IF(TODAY()&gt;=$U896-1,"POR VENCER","EN PLAZO")))))</f>
        <v/>
      </c>
      <c r="Z896" s="41" t="n"/>
      <c r="AA896" s="41" t="n"/>
      <c r="AB896" s="41" t="n"/>
    </row>
    <row r="897">
      <c r="A897" s="39">
        <f>IF($C897="","","NOV-"&amp;TEXT(ROW()-3,"0000"))</f>
        <v/>
      </c>
      <c r="B897" s="40" t="n"/>
      <c r="C897" s="41" t="n"/>
      <c r="D897" s="42">
        <f>IF($C897="","",IFERROR(INDEX(DESPACHOS!$D$3:$D$3002,MATCH($C897,DESPACHOS!$B$3:$B$3002,0)),"SIN DESPACHO"))</f>
        <v/>
      </c>
      <c r="E897" s="42">
        <f>IF($C897="","",IFERROR(INDEX(DESPACHOS!$K$3:$K$3002,MATCH($C897,DESPACHOS!$B$3:$B$3002,0)),""))</f>
        <v/>
      </c>
      <c r="F897" s="42">
        <f>IF($C897="","",IFERROR(INDEX(DESPACHOS!$I$3:$I$3002,MATCH($C897,DESPACHOS!$B$3:$B$3002,0)),""))</f>
        <v/>
      </c>
      <c r="G897" s="42">
        <f>IF($C897="","",IFERROR(INDEX(DESPACHOS!$F$3:$F$3002,MATCH($C897,DESPACHOS!$B$3:$B$3002,0)),""))</f>
        <v/>
      </c>
      <c r="H897" s="42">
        <f>IF($C897="","",IFERROR(INDEX(DESPACHOS!$G$3:$G$3002,MATCH($C897,DESPACHOS!$B$3:$B$3002,0)),""))</f>
        <v/>
      </c>
      <c r="I897" s="39">
        <f>IF($C897="","",IFERROR(INDEX(DESPACHOS!$H$3:$H$3002,MATCH($C897,DESPACHOS!$B$3:$B$3002,0)),""))</f>
        <v/>
      </c>
      <c r="J897" s="43">
        <f>IF($C897="","",IFERROR(INDEX(DESPACHOS!$J$3:$J$3002,MATCH($C897,DESPACHOS!$B$3:$B$3002,0)),""))</f>
        <v/>
      </c>
      <c r="K897" s="39">
        <f>IF($C897="","",IF(COUNTIFS(DESPACHOS!$B$3:$B$3002,$C897)=0,"NO EXISTE",IF(COUNTIFS(DESPACHOS!$B$3:$B$3002,$C897)&gt;1,"DUPLICADO","OK")))</f>
        <v/>
      </c>
      <c r="L897" s="41" t="n"/>
      <c r="M897" s="41" t="n"/>
      <c r="N897" s="42">
        <f>IF($M897="","",IFERROR(INDEX(LISTAS!$F$3:$F$42,MATCH($M897,LISTAS!$E$3:$E$42,0)),"Por definir"))</f>
        <v/>
      </c>
      <c r="O897" s="41" t="n"/>
      <c r="P897" s="39">
        <f>IF($L897="","",IFERROR(INDEX(LISTAS!$B$3:$B$42,MATCH($L897,LISTAS!$A$3:$A$42,0)),"Media"))</f>
        <v/>
      </c>
      <c r="Q897" s="44" t="n"/>
      <c r="R897" s="45" t="n"/>
      <c r="S897" s="20">
        <f>IFERROR(IF(OR($R897="",$C897=""),"",$R897/INDEX(DESPACHOS!$M$3:$M$3002,MATCH($C897,DESPACHOS!$B$3:$B$3002,0))),"")</f>
        <v/>
      </c>
      <c r="T897" s="41" t="n"/>
      <c r="U897" s="43">
        <f>IF(OR($B897="",$L897=""),"",WORKDAY($B897,IFERROR(INDEX(LISTAS!$C$3:$C$42,MATCH($L897,LISTAS!$A$3:$A$42,0)),3)))</f>
        <v/>
      </c>
      <c r="V897" s="40" t="n"/>
      <c r="W897" s="19">
        <f>IF($B897="","",IF($V897&lt;&gt;"",$V897-$B897,TODAY()-$B897))</f>
        <v/>
      </c>
      <c r="X897" s="19">
        <f>IF(OR($B897="",$U897=""),"",IF($V897&lt;&gt;"",MAX(0,$V897-$U897),MAX(0,TODAY()-$U897)))</f>
        <v/>
      </c>
      <c r="Y897" s="39">
        <f>IF($C897="","",IF(IFERROR(INDEX(LISTAS!$I$3:$I$42,MATCH($T897,LISTAS!$H$3:$H$42,0)),"NO")="SÍ",IF(N($X897)&gt;0,"CERRADA FUERA DE SLA","CERRADA EN SLA"),IF($U897="","SIN CLASIFICAR",IF(N($X897)&gt;0,"VENCIDA",IF(TODAY()&gt;=$U897-1,"POR VENCER","EN PLAZO")))))</f>
        <v/>
      </c>
      <c r="Z897" s="41" t="n"/>
      <c r="AA897" s="41" t="n"/>
      <c r="AB897" s="41" t="n"/>
    </row>
    <row r="898">
      <c r="A898" s="39">
        <f>IF($C898="","","NOV-"&amp;TEXT(ROW()-3,"0000"))</f>
        <v/>
      </c>
      <c r="B898" s="40" t="n"/>
      <c r="C898" s="41" t="n"/>
      <c r="D898" s="42">
        <f>IF($C898="","",IFERROR(INDEX(DESPACHOS!$D$3:$D$3002,MATCH($C898,DESPACHOS!$B$3:$B$3002,0)),"SIN DESPACHO"))</f>
        <v/>
      </c>
      <c r="E898" s="42">
        <f>IF($C898="","",IFERROR(INDEX(DESPACHOS!$K$3:$K$3002,MATCH($C898,DESPACHOS!$B$3:$B$3002,0)),""))</f>
        <v/>
      </c>
      <c r="F898" s="42">
        <f>IF($C898="","",IFERROR(INDEX(DESPACHOS!$I$3:$I$3002,MATCH($C898,DESPACHOS!$B$3:$B$3002,0)),""))</f>
        <v/>
      </c>
      <c r="G898" s="42">
        <f>IF($C898="","",IFERROR(INDEX(DESPACHOS!$F$3:$F$3002,MATCH($C898,DESPACHOS!$B$3:$B$3002,0)),""))</f>
        <v/>
      </c>
      <c r="H898" s="42">
        <f>IF($C898="","",IFERROR(INDEX(DESPACHOS!$G$3:$G$3002,MATCH($C898,DESPACHOS!$B$3:$B$3002,0)),""))</f>
        <v/>
      </c>
      <c r="I898" s="39">
        <f>IF($C898="","",IFERROR(INDEX(DESPACHOS!$H$3:$H$3002,MATCH($C898,DESPACHOS!$B$3:$B$3002,0)),""))</f>
        <v/>
      </c>
      <c r="J898" s="43">
        <f>IF($C898="","",IFERROR(INDEX(DESPACHOS!$J$3:$J$3002,MATCH($C898,DESPACHOS!$B$3:$B$3002,0)),""))</f>
        <v/>
      </c>
      <c r="K898" s="39">
        <f>IF($C898="","",IF(COUNTIFS(DESPACHOS!$B$3:$B$3002,$C898)=0,"NO EXISTE",IF(COUNTIFS(DESPACHOS!$B$3:$B$3002,$C898)&gt;1,"DUPLICADO","OK")))</f>
        <v/>
      </c>
      <c r="L898" s="41" t="n"/>
      <c r="M898" s="41" t="n"/>
      <c r="N898" s="42">
        <f>IF($M898="","",IFERROR(INDEX(LISTAS!$F$3:$F$42,MATCH($M898,LISTAS!$E$3:$E$42,0)),"Por definir"))</f>
        <v/>
      </c>
      <c r="O898" s="41" t="n"/>
      <c r="P898" s="39">
        <f>IF($L898="","",IFERROR(INDEX(LISTAS!$B$3:$B$42,MATCH($L898,LISTAS!$A$3:$A$42,0)),"Media"))</f>
        <v/>
      </c>
      <c r="Q898" s="44" t="n"/>
      <c r="R898" s="45" t="n"/>
      <c r="S898" s="20">
        <f>IFERROR(IF(OR($R898="",$C898=""),"",$R898/INDEX(DESPACHOS!$M$3:$M$3002,MATCH($C898,DESPACHOS!$B$3:$B$3002,0))),"")</f>
        <v/>
      </c>
      <c r="T898" s="41" t="n"/>
      <c r="U898" s="43">
        <f>IF(OR($B898="",$L898=""),"",WORKDAY($B898,IFERROR(INDEX(LISTAS!$C$3:$C$42,MATCH($L898,LISTAS!$A$3:$A$42,0)),3)))</f>
        <v/>
      </c>
      <c r="V898" s="40" t="n"/>
      <c r="W898" s="19">
        <f>IF($B898="","",IF($V898&lt;&gt;"",$V898-$B898,TODAY()-$B898))</f>
        <v/>
      </c>
      <c r="X898" s="19">
        <f>IF(OR($B898="",$U898=""),"",IF($V898&lt;&gt;"",MAX(0,$V898-$U898),MAX(0,TODAY()-$U898)))</f>
        <v/>
      </c>
      <c r="Y898" s="39">
        <f>IF($C898="","",IF(IFERROR(INDEX(LISTAS!$I$3:$I$42,MATCH($T898,LISTAS!$H$3:$H$42,0)),"NO")="SÍ",IF(N($X898)&gt;0,"CERRADA FUERA DE SLA","CERRADA EN SLA"),IF($U898="","SIN CLASIFICAR",IF(N($X898)&gt;0,"VENCIDA",IF(TODAY()&gt;=$U898-1,"POR VENCER","EN PLAZO")))))</f>
        <v/>
      </c>
      <c r="Z898" s="41" t="n"/>
      <c r="AA898" s="41" t="n"/>
      <c r="AB898" s="41" t="n"/>
    </row>
    <row r="899">
      <c r="A899" s="39">
        <f>IF($C899="","","NOV-"&amp;TEXT(ROW()-3,"0000"))</f>
        <v/>
      </c>
      <c r="B899" s="40" t="n"/>
      <c r="C899" s="41" t="n"/>
      <c r="D899" s="42">
        <f>IF($C899="","",IFERROR(INDEX(DESPACHOS!$D$3:$D$3002,MATCH($C899,DESPACHOS!$B$3:$B$3002,0)),"SIN DESPACHO"))</f>
        <v/>
      </c>
      <c r="E899" s="42">
        <f>IF($C899="","",IFERROR(INDEX(DESPACHOS!$K$3:$K$3002,MATCH($C899,DESPACHOS!$B$3:$B$3002,0)),""))</f>
        <v/>
      </c>
      <c r="F899" s="42">
        <f>IF($C899="","",IFERROR(INDEX(DESPACHOS!$I$3:$I$3002,MATCH($C899,DESPACHOS!$B$3:$B$3002,0)),""))</f>
        <v/>
      </c>
      <c r="G899" s="42">
        <f>IF($C899="","",IFERROR(INDEX(DESPACHOS!$F$3:$F$3002,MATCH($C899,DESPACHOS!$B$3:$B$3002,0)),""))</f>
        <v/>
      </c>
      <c r="H899" s="42">
        <f>IF($C899="","",IFERROR(INDEX(DESPACHOS!$G$3:$G$3002,MATCH($C899,DESPACHOS!$B$3:$B$3002,0)),""))</f>
        <v/>
      </c>
      <c r="I899" s="39">
        <f>IF($C899="","",IFERROR(INDEX(DESPACHOS!$H$3:$H$3002,MATCH($C899,DESPACHOS!$B$3:$B$3002,0)),""))</f>
        <v/>
      </c>
      <c r="J899" s="43">
        <f>IF($C899="","",IFERROR(INDEX(DESPACHOS!$J$3:$J$3002,MATCH($C899,DESPACHOS!$B$3:$B$3002,0)),""))</f>
        <v/>
      </c>
      <c r="K899" s="39">
        <f>IF($C899="","",IF(COUNTIFS(DESPACHOS!$B$3:$B$3002,$C899)=0,"NO EXISTE",IF(COUNTIFS(DESPACHOS!$B$3:$B$3002,$C899)&gt;1,"DUPLICADO","OK")))</f>
        <v/>
      </c>
      <c r="L899" s="41" t="n"/>
      <c r="M899" s="41" t="n"/>
      <c r="N899" s="42">
        <f>IF($M899="","",IFERROR(INDEX(LISTAS!$F$3:$F$42,MATCH($M899,LISTAS!$E$3:$E$42,0)),"Por definir"))</f>
        <v/>
      </c>
      <c r="O899" s="41" t="n"/>
      <c r="P899" s="39">
        <f>IF($L899="","",IFERROR(INDEX(LISTAS!$B$3:$B$42,MATCH($L899,LISTAS!$A$3:$A$42,0)),"Media"))</f>
        <v/>
      </c>
      <c r="Q899" s="44" t="n"/>
      <c r="R899" s="45" t="n"/>
      <c r="S899" s="20">
        <f>IFERROR(IF(OR($R899="",$C899=""),"",$R899/INDEX(DESPACHOS!$M$3:$M$3002,MATCH($C899,DESPACHOS!$B$3:$B$3002,0))),"")</f>
        <v/>
      </c>
      <c r="T899" s="41" t="n"/>
      <c r="U899" s="43">
        <f>IF(OR($B899="",$L899=""),"",WORKDAY($B899,IFERROR(INDEX(LISTAS!$C$3:$C$42,MATCH($L899,LISTAS!$A$3:$A$42,0)),3)))</f>
        <v/>
      </c>
      <c r="V899" s="40" t="n"/>
      <c r="W899" s="19">
        <f>IF($B899="","",IF($V899&lt;&gt;"",$V899-$B899,TODAY()-$B899))</f>
        <v/>
      </c>
      <c r="X899" s="19">
        <f>IF(OR($B899="",$U899=""),"",IF($V899&lt;&gt;"",MAX(0,$V899-$U899),MAX(0,TODAY()-$U899)))</f>
        <v/>
      </c>
      <c r="Y899" s="39">
        <f>IF($C899="","",IF(IFERROR(INDEX(LISTAS!$I$3:$I$42,MATCH($T899,LISTAS!$H$3:$H$42,0)),"NO")="SÍ",IF(N($X899)&gt;0,"CERRADA FUERA DE SLA","CERRADA EN SLA"),IF($U899="","SIN CLASIFICAR",IF(N($X899)&gt;0,"VENCIDA",IF(TODAY()&gt;=$U899-1,"POR VENCER","EN PLAZO")))))</f>
        <v/>
      </c>
      <c r="Z899" s="41" t="n"/>
      <c r="AA899" s="41" t="n"/>
      <c r="AB899" s="41" t="n"/>
    </row>
    <row r="900">
      <c r="A900" s="39">
        <f>IF($C900="","","NOV-"&amp;TEXT(ROW()-3,"0000"))</f>
        <v/>
      </c>
      <c r="B900" s="40" t="n"/>
      <c r="C900" s="41" t="n"/>
      <c r="D900" s="42">
        <f>IF($C900="","",IFERROR(INDEX(DESPACHOS!$D$3:$D$3002,MATCH($C900,DESPACHOS!$B$3:$B$3002,0)),"SIN DESPACHO"))</f>
        <v/>
      </c>
      <c r="E900" s="42">
        <f>IF($C900="","",IFERROR(INDEX(DESPACHOS!$K$3:$K$3002,MATCH($C900,DESPACHOS!$B$3:$B$3002,0)),""))</f>
        <v/>
      </c>
      <c r="F900" s="42">
        <f>IF($C900="","",IFERROR(INDEX(DESPACHOS!$I$3:$I$3002,MATCH($C900,DESPACHOS!$B$3:$B$3002,0)),""))</f>
        <v/>
      </c>
      <c r="G900" s="42">
        <f>IF($C900="","",IFERROR(INDEX(DESPACHOS!$F$3:$F$3002,MATCH($C900,DESPACHOS!$B$3:$B$3002,0)),""))</f>
        <v/>
      </c>
      <c r="H900" s="42">
        <f>IF($C900="","",IFERROR(INDEX(DESPACHOS!$G$3:$G$3002,MATCH($C900,DESPACHOS!$B$3:$B$3002,0)),""))</f>
        <v/>
      </c>
      <c r="I900" s="39">
        <f>IF($C900="","",IFERROR(INDEX(DESPACHOS!$H$3:$H$3002,MATCH($C900,DESPACHOS!$B$3:$B$3002,0)),""))</f>
        <v/>
      </c>
      <c r="J900" s="43">
        <f>IF($C900="","",IFERROR(INDEX(DESPACHOS!$J$3:$J$3002,MATCH($C900,DESPACHOS!$B$3:$B$3002,0)),""))</f>
        <v/>
      </c>
      <c r="K900" s="39">
        <f>IF($C900="","",IF(COUNTIFS(DESPACHOS!$B$3:$B$3002,$C900)=0,"NO EXISTE",IF(COUNTIFS(DESPACHOS!$B$3:$B$3002,$C900)&gt;1,"DUPLICADO","OK")))</f>
        <v/>
      </c>
      <c r="L900" s="41" t="n"/>
      <c r="M900" s="41" t="n"/>
      <c r="N900" s="42">
        <f>IF($M900="","",IFERROR(INDEX(LISTAS!$F$3:$F$42,MATCH($M900,LISTAS!$E$3:$E$42,0)),"Por definir"))</f>
        <v/>
      </c>
      <c r="O900" s="41" t="n"/>
      <c r="P900" s="39">
        <f>IF($L900="","",IFERROR(INDEX(LISTAS!$B$3:$B$42,MATCH($L900,LISTAS!$A$3:$A$42,0)),"Media"))</f>
        <v/>
      </c>
      <c r="Q900" s="44" t="n"/>
      <c r="R900" s="45" t="n"/>
      <c r="S900" s="20">
        <f>IFERROR(IF(OR($R900="",$C900=""),"",$R900/INDEX(DESPACHOS!$M$3:$M$3002,MATCH($C900,DESPACHOS!$B$3:$B$3002,0))),"")</f>
        <v/>
      </c>
      <c r="T900" s="41" t="n"/>
      <c r="U900" s="43">
        <f>IF(OR($B900="",$L900=""),"",WORKDAY($B900,IFERROR(INDEX(LISTAS!$C$3:$C$42,MATCH($L900,LISTAS!$A$3:$A$42,0)),3)))</f>
        <v/>
      </c>
      <c r="V900" s="40" t="n"/>
      <c r="W900" s="19">
        <f>IF($B900="","",IF($V900&lt;&gt;"",$V900-$B900,TODAY()-$B900))</f>
        <v/>
      </c>
      <c r="X900" s="19">
        <f>IF(OR($B900="",$U900=""),"",IF($V900&lt;&gt;"",MAX(0,$V900-$U900),MAX(0,TODAY()-$U900)))</f>
        <v/>
      </c>
      <c r="Y900" s="39">
        <f>IF($C900="","",IF(IFERROR(INDEX(LISTAS!$I$3:$I$42,MATCH($T900,LISTAS!$H$3:$H$42,0)),"NO")="SÍ",IF(N($X900)&gt;0,"CERRADA FUERA DE SLA","CERRADA EN SLA"),IF($U900="","SIN CLASIFICAR",IF(N($X900)&gt;0,"VENCIDA",IF(TODAY()&gt;=$U900-1,"POR VENCER","EN PLAZO")))))</f>
        <v/>
      </c>
      <c r="Z900" s="41" t="n"/>
      <c r="AA900" s="41" t="n"/>
      <c r="AB900" s="41" t="n"/>
    </row>
    <row r="901">
      <c r="A901" s="39">
        <f>IF($C901="","","NOV-"&amp;TEXT(ROW()-3,"0000"))</f>
        <v/>
      </c>
      <c r="B901" s="40" t="n"/>
      <c r="C901" s="41" t="n"/>
      <c r="D901" s="42">
        <f>IF($C901="","",IFERROR(INDEX(DESPACHOS!$D$3:$D$3002,MATCH($C901,DESPACHOS!$B$3:$B$3002,0)),"SIN DESPACHO"))</f>
        <v/>
      </c>
      <c r="E901" s="42">
        <f>IF($C901="","",IFERROR(INDEX(DESPACHOS!$K$3:$K$3002,MATCH($C901,DESPACHOS!$B$3:$B$3002,0)),""))</f>
        <v/>
      </c>
      <c r="F901" s="42">
        <f>IF($C901="","",IFERROR(INDEX(DESPACHOS!$I$3:$I$3002,MATCH($C901,DESPACHOS!$B$3:$B$3002,0)),""))</f>
        <v/>
      </c>
      <c r="G901" s="42">
        <f>IF($C901="","",IFERROR(INDEX(DESPACHOS!$F$3:$F$3002,MATCH($C901,DESPACHOS!$B$3:$B$3002,0)),""))</f>
        <v/>
      </c>
      <c r="H901" s="42">
        <f>IF($C901="","",IFERROR(INDEX(DESPACHOS!$G$3:$G$3002,MATCH($C901,DESPACHOS!$B$3:$B$3002,0)),""))</f>
        <v/>
      </c>
      <c r="I901" s="39">
        <f>IF($C901="","",IFERROR(INDEX(DESPACHOS!$H$3:$H$3002,MATCH($C901,DESPACHOS!$B$3:$B$3002,0)),""))</f>
        <v/>
      </c>
      <c r="J901" s="43">
        <f>IF($C901="","",IFERROR(INDEX(DESPACHOS!$J$3:$J$3002,MATCH($C901,DESPACHOS!$B$3:$B$3002,0)),""))</f>
        <v/>
      </c>
      <c r="K901" s="39">
        <f>IF($C901="","",IF(COUNTIFS(DESPACHOS!$B$3:$B$3002,$C901)=0,"NO EXISTE",IF(COUNTIFS(DESPACHOS!$B$3:$B$3002,$C901)&gt;1,"DUPLICADO","OK")))</f>
        <v/>
      </c>
      <c r="L901" s="41" t="n"/>
      <c r="M901" s="41" t="n"/>
      <c r="N901" s="42">
        <f>IF($M901="","",IFERROR(INDEX(LISTAS!$F$3:$F$42,MATCH($M901,LISTAS!$E$3:$E$42,0)),"Por definir"))</f>
        <v/>
      </c>
      <c r="O901" s="41" t="n"/>
      <c r="P901" s="39">
        <f>IF($L901="","",IFERROR(INDEX(LISTAS!$B$3:$B$42,MATCH($L901,LISTAS!$A$3:$A$42,0)),"Media"))</f>
        <v/>
      </c>
      <c r="Q901" s="44" t="n"/>
      <c r="R901" s="45" t="n"/>
      <c r="S901" s="20">
        <f>IFERROR(IF(OR($R901="",$C901=""),"",$R901/INDEX(DESPACHOS!$M$3:$M$3002,MATCH($C901,DESPACHOS!$B$3:$B$3002,0))),"")</f>
        <v/>
      </c>
      <c r="T901" s="41" t="n"/>
      <c r="U901" s="43">
        <f>IF(OR($B901="",$L901=""),"",WORKDAY($B901,IFERROR(INDEX(LISTAS!$C$3:$C$42,MATCH($L901,LISTAS!$A$3:$A$42,0)),3)))</f>
        <v/>
      </c>
      <c r="V901" s="40" t="n"/>
      <c r="W901" s="19">
        <f>IF($B901="","",IF($V901&lt;&gt;"",$V901-$B901,TODAY()-$B901))</f>
        <v/>
      </c>
      <c r="X901" s="19">
        <f>IF(OR($B901="",$U901=""),"",IF($V901&lt;&gt;"",MAX(0,$V901-$U901),MAX(0,TODAY()-$U901)))</f>
        <v/>
      </c>
      <c r="Y901" s="39">
        <f>IF($C901="","",IF(IFERROR(INDEX(LISTAS!$I$3:$I$42,MATCH($T901,LISTAS!$H$3:$H$42,0)),"NO")="SÍ",IF(N($X901)&gt;0,"CERRADA FUERA DE SLA","CERRADA EN SLA"),IF($U901="","SIN CLASIFICAR",IF(N($X901)&gt;0,"VENCIDA",IF(TODAY()&gt;=$U901-1,"POR VENCER","EN PLAZO")))))</f>
        <v/>
      </c>
      <c r="Z901" s="41" t="n"/>
      <c r="AA901" s="41" t="n"/>
      <c r="AB901" s="41" t="n"/>
    </row>
    <row r="902">
      <c r="A902" s="39">
        <f>IF($C902="","","NOV-"&amp;TEXT(ROW()-3,"0000"))</f>
        <v/>
      </c>
      <c r="B902" s="40" t="n"/>
      <c r="C902" s="41" t="n"/>
      <c r="D902" s="42">
        <f>IF($C902="","",IFERROR(INDEX(DESPACHOS!$D$3:$D$3002,MATCH($C902,DESPACHOS!$B$3:$B$3002,0)),"SIN DESPACHO"))</f>
        <v/>
      </c>
      <c r="E902" s="42">
        <f>IF($C902="","",IFERROR(INDEX(DESPACHOS!$K$3:$K$3002,MATCH($C902,DESPACHOS!$B$3:$B$3002,0)),""))</f>
        <v/>
      </c>
      <c r="F902" s="42">
        <f>IF($C902="","",IFERROR(INDEX(DESPACHOS!$I$3:$I$3002,MATCH($C902,DESPACHOS!$B$3:$B$3002,0)),""))</f>
        <v/>
      </c>
      <c r="G902" s="42">
        <f>IF($C902="","",IFERROR(INDEX(DESPACHOS!$F$3:$F$3002,MATCH($C902,DESPACHOS!$B$3:$B$3002,0)),""))</f>
        <v/>
      </c>
      <c r="H902" s="42">
        <f>IF($C902="","",IFERROR(INDEX(DESPACHOS!$G$3:$G$3002,MATCH($C902,DESPACHOS!$B$3:$B$3002,0)),""))</f>
        <v/>
      </c>
      <c r="I902" s="39">
        <f>IF($C902="","",IFERROR(INDEX(DESPACHOS!$H$3:$H$3002,MATCH($C902,DESPACHOS!$B$3:$B$3002,0)),""))</f>
        <v/>
      </c>
      <c r="J902" s="43">
        <f>IF($C902="","",IFERROR(INDEX(DESPACHOS!$J$3:$J$3002,MATCH($C902,DESPACHOS!$B$3:$B$3002,0)),""))</f>
        <v/>
      </c>
      <c r="K902" s="39">
        <f>IF($C902="","",IF(COUNTIFS(DESPACHOS!$B$3:$B$3002,$C902)=0,"NO EXISTE",IF(COUNTIFS(DESPACHOS!$B$3:$B$3002,$C902)&gt;1,"DUPLICADO","OK")))</f>
        <v/>
      </c>
      <c r="L902" s="41" t="n"/>
      <c r="M902" s="41" t="n"/>
      <c r="N902" s="42">
        <f>IF($M902="","",IFERROR(INDEX(LISTAS!$F$3:$F$42,MATCH($M902,LISTAS!$E$3:$E$42,0)),"Por definir"))</f>
        <v/>
      </c>
      <c r="O902" s="41" t="n"/>
      <c r="P902" s="39">
        <f>IF($L902="","",IFERROR(INDEX(LISTAS!$B$3:$B$42,MATCH($L902,LISTAS!$A$3:$A$42,0)),"Media"))</f>
        <v/>
      </c>
      <c r="Q902" s="44" t="n"/>
      <c r="R902" s="45" t="n"/>
      <c r="S902" s="20">
        <f>IFERROR(IF(OR($R902="",$C902=""),"",$R902/INDEX(DESPACHOS!$M$3:$M$3002,MATCH($C902,DESPACHOS!$B$3:$B$3002,0))),"")</f>
        <v/>
      </c>
      <c r="T902" s="41" t="n"/>
      <c r="U902" s="43">
        <f>IF(OR($B902="",$L902=""),"",WORKDAY($B902,IFERROR(INDEX(LISTAS!$C$3:$C$42,MATCH($L902,LISTAS!$A$3:$A$42,0)),3)))</f>
        <v/>
      </c>
      <c r="V902" s="40" t="n"/>
      <c r="W902" s="19">
        <f>IF($B902="","",IF($V902&lt;&gt;"",$V902-$B902,TODAY()-$B902))</f>
        <v/>
      </c>
      <c r="X902" s="19">
        <f>IF(OR($B902="",$U902=""),"",IF($V902&lt;&gt;"",MAX(0,$V902-$U902),MAX(0,TODAY()-$U902)))</f>
        <v/>
      </c>
      <c r="Y902" s="39">
        <f>IF($C902="","",IF(IFERROR(INDEX(LISTAS!$I$3:$I$42,MATCH($T902,LISTAS!$H$3:$H$42,0)),"NO")="SÍ",IF(N($X902)&gt;0,"CERRADA FUERA DE SLA","CERRADA EN SLA"),IF($U902="","SIN CLASIFICAR",IF(N($X902)&gt;0,"VENCIDA",IF(TODAY()&gt;=$U902-1,"POR VENCER","EN PLAZO")))))</f>
        <v/>
      </c>
      <c r="Z902" s="41" t="n"/>
      <c r="AA902" s="41" t="n"/>
      <c r="AB902" s="41" t="n"/>
    </row>
    <row r="903">
      <c r="A903" s="39">
        <f>IF($C903="","","NOV-"&amp;TEXT(ROW()-3,"0000"))</f>
        <v/>
      </c>
      <c r="B903" s="40" t="n"/>
      <c r="C903" s="41" t="n"/>
      <c r="D903" s="42">
        <f>IF($C903="","",IFERROR(INDEX(DESPACHOS!$D$3:$D$3002,MATCH($C903,DESPACHOS!$B$3:$B$3002,0)),"SIN DESPACHO"))</f>
        <v/>
      </c>
      <c r="E903" s="42">
        <f>IF($C903="","",IFERROR(INDEX(DESPACHOS!$K$3:$K$3002,MATCH($C903,DESPACHOS!$B$3:$B$3002,0)),""))</f>
        <v/>
      </c>
      <c r="F903" s="42">
        <f>IF($C903="","",IFERROR(INDEX(DESPACHOS!$I$3:$I$3002,MATCH($C903,DESPACHOS!$B$3:$B$3002,0)),""))</f>
        <v/>
      </c>
      <c r="G903" s="42">
        <f>IF($C903="","",IFERROR(INDEX(DESPACHOS!$F$3:$F$3002,MATCH($C903,DESPACHOS!$B$3:$B$3002,0)),""))</f>
        <v/>
      </c>
      <c r="H903" s="42">
        <f>IF($C903="","",IFERROR(INDEX(DESPACHOS!$G$3:$G$3002,MATCH($C903,DESPACHOS!$B$3:$B$3002,0)),""))</f>
        <v/>
      </c>
      <c r="I903" s="39">
        <f>IF($C903="","",IFERROR(INDEX(DESPACHOS!$H$3:$H$3002,MATCH($C903,DESPACHOS!$B$3:$B$3002,0)),""))</f>
        <v/>
      </c>
      <c r="J903" s="43">
        <f>IF($C903="","",IFERROR(INDEX(DESPACHOS!$J$3:$J$3002,MATCH($C903,DESPACHOS!$B$3:$B$3002,0)),""))</f>
        <v/>
      </c>
      <c r="K903" s="39">
        <f>IF($C903="","",IF(COUNTIFS(DESPACHOS!$B$3:$B$3002,$C903)=0,"NO EXISTE",IF(COUNTIFS(DESPACHOS!$B$3:$B$3002,$C903)&gt;1,"DUPLICADO","OK")))</f>
        <v/>
      </c>
      <c r="L903" s="41" t="n"/>
      <c r="M903" s="41" t="n"/>
      <c r="N903" s="42">
        <f>IF($M903="","",IFERROR(INDEX(LISTAS!$F$3:$F$42,MATCH($M903,LISTAS!$E$3:$E$42,0)),"Por definir"))</f>
        <v/>
      </c>
      <c r="O903" s="41" t="n"/>
      <c r="P903" s="39">
        <f>IF($L903="","",IFERROR(INDEX(LISTAS!$B$3:$B$42,MATCH($L903,LISTAS!$A$3:$A$42,0)),"Media"))</f>
        <v/>
      </c>
      <c r="Q903" s="44" t="n"/>
      <c r="R903" s="45" t="n"/>
      <c r="S903" s="20">
        <f>IFERROR(IF(OR($R903="",$C903=""),"",$R903/INDEX(DESPACHOS!$M$3:$M$3002,MATCH($C903,DESPACHOS!$B$3:$B$3002,0))),"")</f>
        <v/>
      </c>
      <c r="T903" s="41" t="n"/>
      <c r="U903" s="43">
        <f>IF(OR($B903="",$L903=""),"",WORKDAY($B903,IFERROR(INDEX(LISTAS!$C$3:$C$42,MATCH($L903,LISTAS!$A$3:$A$42,0)),3)))</f>
        <v/>
      </c>
      <c r="V903" s="40" t="n"/>
      <c r="W903" s="19">
        <f>IF($B903="","",IF($V903&lt;&gt;"",$V903-$B903,TODAY()-$B903))</f>
        <v/>
      </c>
      <c r="X903" s="19">
        <f>IF(OR($B903="",$U903=""),"",IF($V903&lt;&gt;"",MAX(0,$V903-$U903),MAX(0,TODAY()-$U903)))</f>
        <v/>
      </c>
      <c r="Y903" s="39">
        <f>IF($C903="","",IF(IFERROR(INDEX(LISTAS!$I$3:$I$42,MATCH($T903,LISTAS!$H$3:$H$42,0)),"NO")="SÍ",IF(N($X903)&gt;0,"CERRADA FUERA DE SLA","CERRADA EN SLA"),IF($U903="","SIN CLASIFICAR",IF(N($X903)&gt;0,"VENCIDA",IF(TODAY()&gt;=$U903-1,"POR VENCER","EN PLAZO")))))</f>
        <v/>
      </c>
      <c r="Z903" s="41" t="n"/>
      <c r="AA903" s="41" t="n"/>
      <c r="AB903" s="41" t="n"/>
    </row>
    <row r="904">
      <c r="A904" s="39">
        <f>IF($C904="","","NOV-"&amp;TEXT(ROW()-3,"0000"))</f>
        <v/>
      </c>
      <c r="B904" s="40" t="n"/>
      <c r="C904" s="41" t="n"/>
      <c r="D904" s="42">
        <f>IF($C904="","",IFERROR(INDEX(DESPACHOS!$D$3:$D$3002,MATCH($C904,DESPACHOS!$B$3:$B$3002,0)),"SIN DESPACHO"))</f>
        <v/>
      </c>
      <c r="E904" s="42">
        <f>IF($C904="","",IFERROR(INDEX(DESPACHOS!$K$3:$K$3002,MATCH($C904,DESPACHOS!$B$3:$B$3002,0)),""))</f>
        <v/>
      </c>
      <c r="F904" s="42">
        <f>IF($C904="","",IFERROR(INDEX(DESPACHOS!$I$3:$I$3002,MATCH($C904,DESPACHOS!$B$3:$B$3002,0)),""))</f>
        <v/>
      </c>
      <c r="G904" s="42">
        <f>IF($C904="","",IFERROR(INDEX(DESPACHOS!$F$3:$F$3002,MATCH($C904,DESPACHOS!$B$3:$B$3002,0)),""))</f>
        <v/>
      </c>
      <c r="H904" s="42">
        <f>IF($C904="","",IFERROR(INDEX(DESPACHOS!$G$3:$G$3002,MATCH($C904,DESPACHOS!$B$3:$B$3002,0)),""))</f>
        <v/>
      </c>
      <c r="I904" s="39">
        <f>IF($C904="","",IFERROR(INDEX(DESPACHOS!$H$3:$H$3002,MATCH($C904,DESPACHOS!$B$3:$B$3002,0)),""))</f>
        <v/>
      </c>
      <c r="J904" s="43">
        <f>IF($C904="","",IFERROR(INDEX(DESPACHOS!$J$3:$J$3002,MATCH($C904,DESPACHOS!$B$3:$B$3002,0)),""))</f>
        <v/>
      </c>
      <c r="K904" s="39">
        <f>IF($C904="","",IF(COUNTIFS(DESPACHOS!$B$3:$B$3002,$C904)=0,"NO EXISTE",IF(COUNTIFS(DESPACHOS!$B$3:$B$3002,$C904)&gt;1,"DUPLICADO","OK")))</f>
        <v/>
      </c>
      <c r="L904" s="41" t="n"/>
      <c r="M904" s="41" t="n"/>
      <c r="N904" s="42">
        <f>IF($M904="","",IFERROR(INDEX(LISTAS!$F$3:$F$42,MATCH($M904,LISTAS!$E$3:$E$42,0)),"Por definir"))</f>
        <v/>
      </c>
      <c r="O904" s="41" t="n"/>
      <c r="P904" s="39">
        <f>IF($L904="","",IFERROR(INDEX(LISTAS!$B$3:$B$42,MATCH($L904,LISTAS!$A$3:$A$42,0)),"Media"))</f>
        <v/>
      </c>
      <c r="Q904" s="44" t="n"/>
      <c r="R904" s="45" t="n"/>
      <c r="S904" s="20">
        <f>IFERROR(IF(OR($R904="",$C904=""),"",$R904/INDEX(DESPACHOS!$M$3:$M$3002,MATCH($C904,DESPACHOS!$B$3:$B$3002,0))),"")</f>
        <v/>
      </c>
      <c r="T904" s="41" t="n"/>
      <c r="U904" s="43">
        <f>IF(OR($B904="",$L904=""),"",WORKDAY($B904,IFERROR(INDEX(LISTAS!$C$3:$C$42,MATCH($L904,LISTAS!$A$3:$A$42,0)),3)))</f>
        <v/>
      </c>
      <c r="V904" s="40" t="n"/>
      <c r="W904" s="19">
        <f>IF($B904="","",IF($V904&lt;&gt;"",$V904-$B904,TODAY()-$B904))</f>
        <v/>
      </c>
      <c r="X904" s="19">
        <f>IF(OR($B904="",$U904=""),"",IF($V904&lt;&gt;"",MAX(0,$V904-$U904),MAX(0,TODAY()-$U904)))</f>
        <v/>
      </c>
      <c r="Y904" s="39">
        <f>IF($C904="","",IF(IFERROR(INDEX(LISTAS!$I$3:$I$42,MATCH($T904,LISTAS!$H$3:$H$42,0)),"NO")="SÍ",IF(N($X904)&gt;0,"CERRADA FUERA DE SLA","CERRADA EN SLA"),IF($U904="","SIN CLASIFICAR",IF(N($X904)&gt;0,"VENCIDA",IF(TODAY()&gt;=$U904-1,"POR VENCER","EN PLAZO")))))</f>
        <v/>
      </c>
      <c r="Z904" s="41" t="n"/>
      <c r="AA904" s="41" t="n"/>
      <c r="AB904" s="41" t="n"/>
    </row>
    <row r="905">
      <c r="A905" s="39">
        <f>IF($C905="","","NOV-"&amp;TEXT(ROW()-3,"0000"))</f>
        <v/>
      </c>
      <c r="B905" s="40" t="n"/>
      <c r="C905" s="41" t="n"/>
      <c r="D905" s="42">
        <f>IF($C905="","",IFERROR(INDEX(DESPACHOS!$D$3:$D$3002,MATCH($C905,DESPACHOS!$B$3:$B$3002,0)),"SIN DESPACHO"))</f>
        <v/>
      </c>
      <c r="E905" s="42">
        <f>IF($C905="","",IFERROR(INDEX(DESPACHOS!$K$3:$K$3002,MATCH($C905,DESPACHOS!$B$3:$B$3002,0)),""))</f>
        <v/>
      </c>
      <c r="F905" s="42">
        <f>IF($C905="","",IFERROR(INDEX(DESPACHOS!$I$3:$I$3002,MATCH($C905,DESPACHOS!$B$3:$B$3002,0)),""))</f>
        <v/>
      </c>
      <c r="G905" s="42">
        <f>IF($C905="","",IFERROR(INDEX(DESPACHOS!$F$3:$F$3002,MATCH($C905,DESPACHOS!$B$3:$B$3002,0)),""))</f>
        <v/>
      </c>
      <c r="H905" s="42">
        <f>IF($C905="","",IFERROR(INDEX(DESPACHOS!$G$3:$G$3002,MATCH($C905,DESPACHOS!$B$3:$B$3002,0)),""))</f>
        <v/>
      </c>
      <c r="I905" s="39">
        <f>IF($C905="","",IFERROR(INDEX(DESPACHOS!$H$3:$H$3002,MATCH($C905,DESPACHOS!$B$3:$B$3002,0)),""))</f>
        <v/>
      </c>
      <c r="J905" s="43">
        <f>IF($C905="","",IFERROR(INDEX(DESPACHOS!$J$3:$J$3002,MATCH($C905,DESPACHOS!$B$3:$B$3002,0)),""))</f>
        <v/>
      </c>
      <c r="K905" s="39">
        <f>IF($C905="","",IF(COUNTIFS(DESPACHOS!$B$3:$B$3002,$C905)=0,"NO EXISTE",IF(COUNTIFS(DESPACHOS!$B$3:$B$3002,$C905)&gt;1,"DUPLICADO","OK")))</f>
        <v/>
      </c>
      <c r="L905" s="41" t="n"/>
      <c r="M905" s="41" t="n"/>
      <c r="N905" s="42">
        <f>IF($M905="","",IFERROR(INDEX(LISTAS!$F$3:$F$42,MATCH($M905,LISTAS!$E$3:$E$42,0)),"Por definir"))</f>
        <v/>
      </c>
      <c r="O905" s="41" t="n"/>
      <c r="P905" s="39">
        <f>IF($L905="","",IFERROR(INDEX(LISTAS!$B$3:$B$42,MATCH($L905,LISTAS!$A$3:$A$42,0)),"Media"))</f>
        <v/>
      </c>
      <c r="Q905" s="44" t="n"/>
      <c r="R905" s="45" t="n"/>
      <c r="S905" s="20">
        <f>IFERROR(IF(OR($R905="",$C905=""),"",$R905/INDEX(DESPACHOS!$M$3:$M$3002,MATCH($C905,DESPACHOS!$B$3:$B$3002,0))),"")</f>
        <v/>
      </c>
      <c r="T905" s="41" t="n"/>
      <c r="U905" s="43">
        <f>IF(OR($B905="",$L905=""),"",WORKDAY($B905,IFERROR(INDEX(LISTAS!$C$3:$C$42,MATCH($L905,LISTAS!$A$3:$A$42,0)),3)))</f>
        <v/>
      </c>
      <c r="V905" s="40" t="n"/>
      <c r="W905" s="19">
        <f>IF($B905="","",IF($V905&lt;&gt;"",$V905-$B905,TODAY()-$B905))</f>
        <v/>
      </c>
      <c r="X905" s="19">
        <f>IF(OR($B905="",$U905=""),"",IF($V905&lt;&gt;"",MAX(0,$V905-$U905),MAX(0,TODAY()-$U905)))</f>
        <v/>
      </c>
      <c r="Y905" s="39">
        <f>IF($C905="","",IF(IFERROR(INDEX(LISTAS!$I$3:$I$42,MATCH($T905,LISTAS!$H$3:$H$42,0)),"NO")="SÍ",IF(N($X905)&gt;0,"CERRADA FUERA DE SLA","CERRADA EN SLA"),IF($U905="","SIN CLASIFICAR",IF(N($X905)&gt;0,"VENCIDA",IF(TODAY()&gt;=$U905-1,"POR VENCER","EN PLAZO")))))</f>
        <v/>
      </c>
      <c r="Z905" s="41" t="n"/>
      <c r="AA905" s="41" t="n"/>
      <c r="AB905" s="41" t="n"/>
    </row>
    <row r="906">
      <c r="A906" s="39">
        <f>IF($C906="","","NOV-"&amp;TEXT(ROW()-3,"0000"))</f>
        <v/>
      </c>
      <c r="B906" s="40" t="n"/>
      <c r="C906" s="41" t="n"/>
      <c r="D906" s="42">
        <f>IF($C906="","",IFERROR(INDEX(DESPACHOS!$D$3:$D$3002,MATCH($C906,DESPACHOS!$B$3:$B$3002,0)),"SIN DESPACHO"))</f>
        <v/>
      </c>
      <c r="E906" s="42">
        <f>IF($C906="","",IFERROR(INDEX(DESPACHOS!$K$3:$K$3002,MATCH($C906,DESPACHOS!$B$3:$B$3002,0)),""))</f>
        <v/>
      </c>
      <c r="F906" s="42">
        <f>IF($C906="","",IFERROR(INDEX(DESPACHOS!$I$3:$I$3002,MATCH($C906,DESPACHOS!$B$3:$B$3002,0)),""))</f>
        <v/>
      </c>
      <c r="G906" s="42">
        <f>IF($C906="","",IFERROR(INDEX(DESPACHOS!$F$3:$F$3002,MATCH($C906,DESPACHOS!$B$3:$B$3002,0)),""))</f>
        <v/>
      </c>
      <c r="H906" s="42">
        <f>IF($C906="","",IFERROR(INDEX(DESPACHOS!$G$3:$G$3002,MATCH($C906,DESPACHOS!$B$3:$B$3002,0)),""))</f>
        <v/>
      </c>
      <c r="I906" s="39">
        <f>IF($C906="","",IFERROR(INDEX(DESPACHOS!$H$3:$H$3002,MATCH($C906,DESPACHOS!$B$3:$B$3002,0)),""))</f>
        <v/>
      </c>
      <c r="J906" s="43">
        <f>IF($C906="","",IFERROR(INDEX(DESPACHOS!$J$3:$J$3002,MATCH($C906,DESPACHOS!$B$3:$B$3002,0)),""))</f>
        <v/>
      </c>
      <c r="K906" s="39">
        <f>IF($C906="","",IF(COUNTIFS(DESPACHOS!$B$3:$B$3002,$C906)=0,"NO EXISTE",IF(COUNTIFS(DESPACHOS!$B$3:$B$3002,$C906)&gt;1,"DUPLICADO","OK")))</f>
        <v/>
      </c>
      <c r="L906" s="41" t="n"/>
      <c r="M906" s="41" t="n"/>
      <c r="N906" s="42">
        <f>IF($M906="","",IFERROR(INDEX(LISTAS!$F$3:$F$42,MATCH($M906,LISTAS!$E$3:$E$42,0)),"Por definir"))</f>
        <v/>
      </c>
      <c r="O906" s="41" t="n"/>
      <c r="P906" s="39">
        <f>IF($L906="","",IFERROR(INDEX(LISTAS!$B$3:$B$42,MATCH($L906,LISTAS!$A$3:$A$42,0)),"Media"))</f>
        <v/>
      </c>
      <c r="Q906" s="44" t="n"/>
      <c r="R906" s="45" t="n"/>
      <c r="S906" s="20">
        <f>IFERROR(IF(OR($R906="",$C906=""),"",$R906/INDEX(DESPACHOS!$M$3:$M$3002,MATCH($C906,DESPACHOS!$B$3:$B$3002,0))),"")</f>
        <v/>
      </c>
      <c r="T906" s="41" t="n"/>
      <c r="U906" s="43">
        <f>IF(OR($B906="",$L906=""),"",WORKDAY($B906,IFERROR(INDEX(LISTAS!$C$3:$C$42,MATCH($L906,LISTAS!$A$3:$A$42,0)),3)))</f>
        <v/>
      </c>
      <c r="V906" s="40" t="n"/>
      <c r="W906" s="19">
        <f>IF($B906="","",IF($V906&lt;&gt;"",$V906-$B906,TODAY()-$B906))</f>
        <v/>
      </c>
      <c r="X906" s="19">
        <f>IF(OR($B906="",$U906=""),"",IF($V906&lt;&gt;"",MAX(0,$V906-$U906),MAX(0,TODAY()-$U906)))</f>
        <v/>
      </c>
      <c r="Y906" s="39">
        <f>IF($C906="","",IF(IFERROR(INDEX(LISTAS!$I$3:$I$42,MATCH($T906,LISTAS!$H$3:$H$42,0)),"NO")="SÍ",IF(N($X906)&gt;0,"CERRADA FUERA DE SLA","CERRADA EN SLA"),IF($U906="","SIN CLASIFICAR",IF(N($X906)&gt;0,"VENCIDA",IF(TODAY()&gt;=$U906-1,"POR VENCER","EN PLAZO")))))</f>
        <v/>
      </c>
      <c r="Z906" s="41" t="n"/>
      <c r="AA906" s="41" t="n"/>
      <c r="AB906" s="41" t="n"/>
    </row>
    <row r="907">
      <c r="A907" s="39">
        <f>IF($C907="","","NOV-"&amp;TEXT(ROW()-3,"0000"))</f>
        <v/>
      </c>
      <c r="B907" s="40" t="n"/>
      <c r="C907" s="41" t="n"/>
      <c r="D907" s="42">
        <f>IF($C907="","",IFERROR(INDEX(DESPACHOS!$D$3:$D$3002,MATCH($C907,DESPACHOS!$B$3:$B$3002,0)),"SIN DESPACHO"))</f>
        <v/>
      </c>
      <c r="E907" s="42">
        <f>IF($C907="","",IFERROR(INDEX(DESPACHOS!$K$3:$K$3002,MATCH($C907,DESPACHOS!$B$3:$B$3002,0)),""))</f>
        <v/>
      </c>
      <c r="F907" s="42">
        <f>IF($C907="","",IFERROR(INDEX(DESPACHOS!$I$3:$I$3002,MATCH($C907,DESPACHOS!$B$3:$B$3002,0)),""))</f>
        <v/>
      </c>
      <c r="G907" s="42">
        <f>IF($C907="","",IFERROR(INDEX(DESPACHOS!$F$3:$F$3002,MATCH($C907,DESPACHOS!$B$3:$B$3002,0)),""))</f>
        <v/>
      </c>
      <c r="H907" s="42">
        <f>IF($C907="","",IFERROR(INDEX(DESPACHOS!$G$3:$G$3002,MATCH($C907,DESPACHOS!$B$3:$B$3002,0)),""))</f>
        <v/>
      </c>
      <c r="I907" s="39">
        <f>IF($C907="","",IFERROR(INDEX(DESPACHOS!$H$3:$H$3002,MATCH($C907,DESPACHOS!$B$3:$B$3002,0)),""))</f>
        <v/>
      </c>
      <c r="J907" s="43">
        <f>IF($C907="","",IFERROR(INDEX(DESPACHOS!$J$3:$J$3002,MATCH($C907,DESPACHOS!$B$3:$B$3002,0)),""))</f>
        <v/>
      </c>
      <c r="K907" s="39">
        <f>IF($C907="","",IF(COUNTIFS(DESPACHOS!$B$3:$B$3002,$C907)=0,"NO EXISTE",IF(COUNTIFS(DESPACHOS!$B$3:$B$3002,$C907)&gt;1,"DUPLICADO","OK")))</f>
        <v/>
      </c>
      <c r="L907" s="41" t="n"/>
      <c r="M907" s="41" t="n"/>
      <c r="N907" s="42">
        <f>IF($M907="","",IFERROR(INDEX(LISTAS!$F$3:$F$42,MATCH($M907,LISTAS!$E$3:$E$42,0)),"Por definir"))</f>
        <v/>
      </c>
      <c r="O907" s="41" t="n"/>
      <c r="P907" s="39">
        <f>IF($L907="","",IFERROR(INDEX(LISTAS!$B$3:$B$42,MATCH($L907,LISTAS!$A$3:$A$42,0)),"Media"))</f>
        <v/>
      </c>
      <c r="Q907" s="44" t="n"/>
      <c r="R907" s="45" t="n"/>
      <c r="S907" s="20">
        <f>IFERROR(IF(OR($R907="",$C907=""),"",$R907/INDEX(DESPACHOS!$M$3:$M$3002,MATCH($C907,DESPACHOS!$B$3:$B$3002,0))),"")</f>
        <v/>
      </c>
      <c r="T907" s="41" t="n"/>
      <c r="U907" s="43">
        <f>IF(OR($B907="",$L907=""),"",WORKDAY($B907,IFERROR(INDEX(LISTAS!$C$3:$C$42,MATCH($L907,LISTAS!$A$3:$A$42,0)),3)))</f>
        <v/>
      </c>
      <c r="V907" s="40" t="n"/>
      <c r="W907" s="19">
        <f>IF($B907="","",IF($V907&lt;&gt;"",$V907-$B907,TODAY()-$B907))</f>
        <v/>
      </c>
      <c r="X907" s="19">
        <f>IF(OR($B907="",$U907=""),"",IF($V907&lt;&gt;"",MAX(0,$V907-$U907),MAX(0,TODAY()-$U907)))</f>
        <v/>
      </c>
      <c r="Y907" s="39">
        <f>IF($C907="","",IF(IFERROR(INDEX(LISTAS!$I$3:$I$42,MATCH($T907,LISTAS!$H$3:$H$42,0)),"NO")="SÍ",IF(N($X907)&gt;0,"CERRADA FUERA DE SLA","CERRADA EN SLA"),IF($U907="","SIN CLASIFICAR",IF(N($X907)&gt;0,"VENCIDA",IF(TODAY()&gt;=$U907-1,"POR VENCER","EN PLAZO")))))</f>
        <v/>
      </c>
      <c r="Z907" s="41" t="n"/>
      <c r="AA907" s="41" t="n"/>
      <c r="AB907" s="41" t="n"/>
    </row>
    <row r="908">
      <c r="A908" s="39">
        <f>IF($C908="","","NOV-"&amp;TEXT(ROW()-3,"0000"))</f>
        <v/>
      </c>
      <c r="B908" s="40" t="n"/>
      <c r="C908" s="41" t="n"/>
      <c r="D908" s="42">
        <f>IF($C908="","",IFERROR(INDEX(DESPACHOS!$D$3:$D$3002,MATCH($C908,DESPACHOS!$B$3:$B$3002,0)),"SIN DESPACHO"))</f>
        <v/>
      </c>
      <c r="E908" s="42">
        <f>IF($C908="","",IFERROR(INDEX(DESPACHOS!$K$3:$K$3002,MATCH($C908,DESPACHOS!$B$3:$B$3002,0)),""))</f>
        <v/>
      </c>
      <c r="F908" s="42">
        <f>IF($C908="","",IFERROR(INDEX(DESPACHOS!$I$3:$I$3002,MATCH($C908,DESPACHOS!$B$3:$B$3002,0)),""))</f>
        <v/>
      </c>
      <c r="G908" s="42">
        <f>IF($C908="","",IFERROR(INDEX(DESPACHOS!$F$3:$F$3002,MATCH($C908,DESPACHOS!$B$3:$B$3002,0)),""))</f>
        <v/>
      </c>
      <c r="H908" s="42">
        <f>IF($C908="","",IFERROR(INDEX(DESPACHOS!$G$3:$G$3002,MATCH($C908,DESPACHOS!$B$3:$B$3002,0)),""))</f>
        <v/>
      </c>
      <c r="I908" s="39">
        <f>IF($C908="","",IFERROR(INDEX(DESPACHOS!$H$3:$H$3002,MATCH($C908,DESPACHOS!$B$3:$B$3002,0)),""))</f>
        <v/>
      </c>
      <c r="J908" s="43">
        <f>IF($C908="","",IFERROR(INDEX(DESPACHOS!$J$3:$J$3002,MATCH($C908,DESPACHOS!$B$3:$B$3002,0)),""))</f>
        <v/>
      </c>
      <c r="K908" s="39">
        <f>IF($C908="","",IF(COUNTIFS(DESPACHOS!$B$3:$B$3002,$C908)=0,"NO EXISTE",IF(COUNTIFS(DESPACHOS!$B$3:$B$3002,$C908)&gt;1,"DUPLICADO","OK")))</f>
        <v/>
      </c>
      <c r="L908" s="41" t="n"/>
      <c r="M908" s="41" t="n"/>
      <c r="N908" s="42">
        <f>IF($M908="","",IFERROR(INDEX(LISTAS!$F$3:$F$42,MATCH($M908,LISTAS!$E$3:$E$42,0)),"Por definir"))</f>
        <v/>
      </c>
      <c r="O908" s="41" t="n"/>
      <c r="P908" s="39">
        <f>IF($L908="","",IFERROR(INDEX(LISTAS!$B$3:$B$42,MATCH($L908,LISTAS!$A$3:$A$42,0)),"Media"))</f>
        <v/>
      </c>
      <c r="Q908" s="44" t="n"/>
      <c r="R908" s="45" t="n"/>
      <c r="S908" s="20">
        <f>IFERROR(IF(OR($R908="",$C908=""),"",$R908/INDEX(DESPACHOS!$M$3:$M$3002,MATCH($C908,DESPACHOS!$B$3:$B$3002,0))),"")</f>
        <v/>
      </c>
      <c r="T908" s="41" t="n"/>
      <c r="U908" s="43">
        <f>IF(OR($B908="",$L908=""),"",WORKDAY($B908,IFERROR(INDEX(LISTAS!$C$3:$C$42,MATCH($L908,LISTAS!$A$3:$A$42,0)),3)))</f>
        <v/>
      </c>
      <c r="V908" s="40" t="n"/>
      <c r="W908" s="19">
        <f>IF($B908="","",IF($V908&lt;&gt;"",$V908-$B908,TODAY()-$B908))</f>
        <v/>
      </c>
      <c r="X908" s="19">
        <f>IF(OR($B908="",$U908=""),"",IF($V908&lt;&gt;"",MAX(0,$V908-$U908),MAX(0,TODAY()-$U908)))</f>
        <v/>
      </c>
      <c r="Y908" s="39">
        <f>IF($C908="","",IF(IFERROR(INDEX(LISTAS!$I$3:$I$42,MATCH($T908,LISTAS!$H$3:$H$42,0)),"NO")="SÍ",IF(N($X908)&gt;0,"CERRADA FUERA DE SLA","CERRADA EN SLA"),IF($U908="","SIN CLASIFICAR",IF(N($X908)&gt;0,"VENCIDA",IF(TODAY()&gt;=$U908-1,"POR VENCER","EN PLAZO")))))</f>
        <v/>
      </c>
      <c r="Z908" s="41" t="n"/>
      <c r="AA908" s="41" t="n"/>
      <c r="AB908" s="41" t="n"/>
    </row>
    <row r="909">
      <c r="A909" s="39">
        <f>IF($C909="","","NOV-"&amp;TEXT(ROW()-3,"0000"))</f>
        <v/>
      </c>
      <c r="B909" s="40" t="n"/>
      <c r="C909" s="41" t="n"/>
      <c r="D909" s="42">
        <f>IF($C909="","",IFERROR(INDEX(DESPACHOS!$D$3:$D$3002,MATCH($C909,DESPACHOS!$B$3:$B$3002,0)),"SIN DESPACHO"))</f>
        <v/>
      </c>
      <c r="E909" s="42">
        <f>IF($C909="","",IFERROR(INDEX(DESPACHOS!$K$3:$K$3002,MATCH($C909,DESPACHOS!$B$3:$B$3002,0)),""))</f>
        <v/>
      </c>
      <c r="F909" s="42">
        <f>IF($C909="","",IFERROR(INDEX(DESPACHOS!$I$3:$I$3002,MATCH($C909,DESPACHOS!$B$3:$B$3002,0)),""))</f>
        <v/>
      </c>
      <c r="G909" s="42">
        <f>IF($C909="","",IFERROR(INDEX(DESPACHOS!$F$3:$F$3002,MATCH($C909,DESPACHOS!$B$3:$B$3002,0)),""))</f>
        <v/>
      </c>
      <c r="H909" s="42">
        <f>IF($C909="","",IFERROR(INDEX(DESPACHOS!$G$3:$G$3002,MATCH($C909,DESPACHOS!$B$3:$B$3002,0)),""))</f>
        <v/>
      </c>
      <c r="I909" s="39">
        <f>IF($C909="","",IFERROR(INDEX(DESPACHOS!$H$3:$H$3002,MATCH($C909,DESPACHOS!$B$3:$B$3002,0)),""))</f>
        <v/>
      </c>
      <c r="J909" s="43">
        <f>IF($C909="","",IFERROR(INDEX(DESPACHOS!$J$3:$J$3002,MATCH($C909,DESPACHOS!$B$3:$B$3002,0)),""))</f>
        <v/>
      </c>
      <c r="K909" s="39">
        <f>IF($C909="","",IF(COUNTIFS(DESPACHOS!$B$3:$B$3002,$C909)=0,"NO EXISTE",IF(COUNTIFS(DESPACHOS!$B$3:$B$3002,$C909)&gt;1,"DUPLICADO","OK")))</f>
        <v/>
      </c>
      <c r="L909" s="41" t="n"/>
      <c r="M909" s="41" t="n"/>
      <c r="N909" s="42">
        <f>IF($M909="","",IFERROR(INDEX(LISTAS!$F$3:$F$42,MATCH($M909,LISTAS!$E$3:$E$42,0)),"Por definir"))</f>
        <v/>
      </c>
      <c r="O909" s="41" t="n"/>
      <c r="P909" s="39">
        <f>IF($L909="","",IFERROR(INDEX(LISTAS!$B$3:$B$42,MATCH($L909,LISTAS!$A$3:$A$42,0)),"Media"))</f>
        <v/>
      </c>
      <c r="Q909" s="44" t="n"/>
      <c r="R909" s="45" t="n"/>
      <c r="S909" s="20">
        <f>IFERROR(IF(OR($R909="",$C909=""),"",$R909/INDEX(DESPACHOS!$M$3:$M$3002,MATCH($C909,DESPACHOS!$B$3:$B$3002,0))),"")</f>
        <v/>
      </c>
      <c r="T909" s="41" t="n"/>
      <c r="U909" s="43">
        <f>IF(OR($B909="",$L909=""),"",WORKDAY($B909,IFERROR(INDEX(LISTAS!$C$3:$C$42,MATCH($L909,LISTAS!$A$3:$A$42,0)),3)))</f>
        <v/>
      </c>
      <c r="V909" s="40" t="n"/>
      <c r="W909" s="19">
        <f>IF($B909="","",IF($V909&lt;&gt;"",$V909-$B909,TODAY()-$B909))</f>
        <v/>
      </c>
      <c r="X909" s="19">
        <f>IF(OR($B909="",$U909=""),"",IF($V909&lt;&gt;"",MAX(0,$V909-$U909),MAX(0,TODAY()-$U909)))</f>
        <v/>
      </c>
      <c r="Y909" s="39">
        <f>IF($C909="","",IF(IFERROR(INDEX(LISTAS!$I$3:$I$42,MATCH($T909,LISTAS!$H$3:$H$42,0)),"NO")="SÍ",IF(N($X909)&gt;0,"CERRADA FUERA DE SLA","CERRADA EN SLA"),IF($U909="","SIN CLASIFICAR",IF(N($X909)&gt;0,"VENCIDA",IF(TODAY()&gt;=$U909-1,"POR VENCER","EN PLAZO")))))</f>
        <v/>
      </c>
      <c r="Z909" s="41" t="n"/>
      <c r="AA909" s="41" t="n"/>
      <c r="AB909" s="41" t="n"/>
    </row>
    <row r="910">
      <c r="A910" s="39">
        <f>IF($C910="","","NOV-"&amp;TEXT(ROW()-3,"0000"))</f>
        <v/>
      </c>
      <c r="B910" s="40" t="n"/>
      <c r="C910" s="41" t="n"/>
      <c r="D910" s="42">
        <f>IF($C910="","",IFERROR(INDEX(DESPACHOS!$D$3:$D$3002,MATCH($C910,DESPACHOS!$B$3:$B$3002,0)),"SIN DESPACHO"))</f>
        <v/>
      </c>
      <c r="E910" s="42">
        <f>IF($C910="","",IFERROR(INDEX(DESPACHOS!$K$3:$K$3002,MATCH($C910,DESPACHOS!$B$3:$B$3002,0)),""))</f>
        <v/>
      </c>
      <c r="F910" s="42">
        <f>IF($C910="","",IFERROR(INDEX(DESPACHOS!$I$3:$I$3002,MATCH($C910,DESPACHOS!$B$3:$B$3002,0)),""))</f>
        <v/>
      </c>
      <c r="G910" s="42">
        <f>IF($C910="","",IFERROR(INDEX(DESPACHOS!$F$3:$F$3002,MATCH($C910,DESPACHOS!$B$3:$B$3002,0)),""))</f>
        <v/>
      </c>
      <c r="H910" s="42">
        <f>IF($C910="","",IFERROR(INDEX(DESPACHOS!$G$3:$G$3002,MATCH($C910,DESPACHOS!$B$3:$B$3002,0)),""))</f>
        <v/>
      </c>
      <c r="I910" s="39">
        <f>IF($C910="","",IFERROR(INDEX(DESPACHOS!$H$3:$H$3002,MATCH($C910,DESPACHOS!$B$3:$B$3002,0)),""))</f>
        <v/>
      </c>
      <c r="J910" s="43">
        <f>IF($C910="","",IFERROR(INDEX(DESPACHOS!$J$3:$J$3002,MATCH($C910,DESPACHOS!$B$3:$B$3002,0)),""))</f>
        <v/>
      </c>
      <c r="K910" s="39">
        <f>IF($C910="","",IF(COUNTIFS(DESPACHOS!$B$3:$B$3002,$C910)=0,"NO EXISTE",IF(COUNTIFS(DESPACHOS!$B$3:$B$3002,$C910)&gt;1,"DUPLICADO","OK")))</f>
        <v/>
      </c>
      <c r="L910" s="41" t="n"/>
      <c r="M910" s="41" t="n"/>
      <c r="N910" s="42">
        <f>IF($M910="","",IFERROR(INDEX(LISTAS!$F$3:$F$42,MATCH($M910,LISTAS!$E$3:$E$42,0)),"Por definir"))</f>
        <v/>
      </c>
      <c r="O910" s="41" t="n"/>
      <c r="P910" s="39">
        <f>IF($L910="","",IFERROR(INDEX(LISTAS!$B$3:$B$42,MATCH($L910,LISTAS!$A$3:$A$42,0)),"Media"))</f>
        <v/>
      </c>
      <c r="Q910" s="44" t="n"/>
      <c r="R910" s="45" t="n"/>
      <c r="S910" s="20">
        <f>IFERROR(IF(OR($R910="",$C910=""),"",$R910/INDEX(DESPACHOS!$M$3:$M$3002,MATCH($C910,DESPACHOS!$B$3:$B$3002,0))),"")</f>
        <v/>
      </c>
      <c r="T910" s="41" t="n"/>
      <c r="U910" s="43">
        <f>IF(OR($B910="",$L910=""),"",WORKDAY($B910,IFERROR(INDEX(LISTAS!$C$3:$C$42,MATCH($L910,LISTAS!$A$3:$A$42,0)),3)))</f>
        <v/>
      </c>
      <c r="V910" s="40" t="n"/>
      <c r="W910" s="19">
        <f>IF($B910="","",IF($V910&lt;&gt;"",$V910-$B910,TODAY()-$B910))</f>
        <v/>
      </c>
      <c r="X910" s="19">
        <f>IF(OR($B910="",$U910=""),"",IF($V910&lt;&gt;"",MAX(0,$V910-$U910),MAX(0,TODAY()-$U910)))</f>
        <v/>
      </c>
      <c r="Y910" s="39">
        <f>IF($C910="","",IF(IFERROR(INDEX(LISTAS!$I$3:$I$42,MATCH($T910,LISTAS!$H$3:$H$42,0)),"NO")="SÍ",IF(N($X910)&gt;0,"CERRADA FUERA DE SLA","CERRADA EN SLA"),IF($U910="","SIN CLASIFICAR",IF(N($X910)&gt;0,"VENCIDA",IF(TODAY()&gt;=$U910-1,"POR VENCER","EN PLAZO")))))</f>
        <v/>
      </c>
      <c r="Z910" s="41" t="n"/>
      <c r="AA910" s="41" t="n"/>
      <c r="AB910" s="41" t="n"/>
    </row>
    <row r="911">
      <c r="A911" s="39">
        <f>IF($C911="","","NOV-"&amp;TEXT(ROW()-3,"0000"))</f>
        <v/>
      </c>
      <c r="B911" s="40" t="n"/>
      <c r="C911" s="41" t="n"/>
      <c r="D911" s="42">
        <f>IF($C911="","",IFERROR(INDEX(DESPACHOS!$D$3:$D$3002,MATCH($C911,DESPACHOS!$B$3:$B$3002,0)),"SIN DESPACHO"))</f>
        <v/>
      </c>
      <c r="E911" s="42">
        <f>IF($C911="","",IFERROR(INDEX(DESPACHOS!$K$3:$K$3002,MATCH($C911,DESPACHOS!$B$3:$B$3002,0)),""))</f>
        <v/>
      </c>
      <c r="F911" s="42">
        <f>IF($C911="","",IFERROR(INDEX(DESPACHOS!$I$3:$I$3002,MATCH($C911,DESPACHOS!$B$3:$B$3002,0)),""))</f>
        <v/>
      </c>
      <c r="G911" s="42">
        <f>IF($C911="","",IFERROR(INDEX(DESPACHOS!$F$3:$F$3002,MATCH($C911,DESPACHOS!$B$3:$B$3002,0)),""))</f>
        <v/>
      </c>
      <c r="H911" s="42">
        <f>IF($C911="","",IFERROR(INDEX(DESPACHOS!$G$3:$G$3002,MATCH($C911,DESPACHOS!$B$3:$B$3002,0)),""))</f>
        <v/>
      </c>
      <c r="I911" s="39">
        <f>IF($C911="","",IFERROR(INDEX(DESPACHOS!$H$3:$H$3002,MATCH($C911,DESPACHOS!$B$3:$B$3002,0)),""))</f>
        <v/>
      </c>
      <c r="J911" s="43">
        <f>IF($C911="","",IFERROR(INDEX(DESPACHOS!$J$3:$J$3002,MATCH($C911,DESPACHOS!$B$3:$B$3002,0)),""))</f>
        <v/>
      </c>
      <c r="K911" s="39">
        <f>IF($C911="","",IF(COUNTIFS(DESPACHOS!$B$3:$B$3002,$C911)=0,"NO EXISTE",IF(COUNTIFS(DESPACHOS!$B$3:$B$3002,$C911)&gt;1,"DUPLICADO","OK")))</f>
        <v/>
      </c>
      <c r="L911" s="41" t="n"/>
      <c r="M911" s="41" t="n"/>
      <c r="N911" s="42">
        <f>IF($M911="","",IFERROR(INDEX(LISTAS!$F$3:$F$42,MATCH($M911,LISTAS!$E$3:$E$42,0)),"Por definir"))</f>
        <v/>
      </c>
      <c r="O911" s="41" t="n"/>
      <c r="P911" s="39">
        <f>IF($L911="","",IFERROR(INDEX(LISTAS!$B$3:$B$42,MATCH($L911,LISTAS!$A$3:$A$42,0)),"Media"))</f>
        <v/>
      </c>
      <c r="Q911" s="44" t="n"/>
      <c r="R911" s="45" t="n"/>
      <c r="S911" s="20">
        <f>IFERROR(IF(OR($R911="",$C911=""),"",$R911/INDEX(DESPACHOS!$M$3:$M$3002,MATCH($C911,DESPACHOS!$B$3:$B$3002,0))),"")</f>
        <v/>
      </c>
      <c r="T911" s="41" t="n"/>
      <c r="U911" s="43">
        <f>IF(OR($B911="",$L911=""),"",WORKDAY($B911,IFERROR(INDEX(LISTAS!$C$3:$C$42,MATCH($L911,LISTAS!$A$3:$A$42,0)),3)))</f>
        <v/>
      </c>
      <c r="V911" s="40" t="n"/>
      <c r="W911" s="19">
        <f>IF($B911="","",IF($V911&lt;&gt;"",$V911-$B911,TODAY()-$B911))</f>
        <v/>
      </c>
      <c r="X911" s="19">
        <f>IF(OR($B911="",$U911=""),"",IF($V911&lt;&gt;"",MAX(0,$V911-$U911),MAX(0,TODAY()-$U911)))</f>
        <v/>
      </c>
      <c r="Y911" s="39">
        <f>IF($C911="","",IF(IFERROR(INDEX(LISTAS!$I$3:$I$42,MATCH($T911,LISTAS!$H$3:$H$42,0)),"NO")="SÍ",IF(N($X911)&gt;0,"CERRADA FUERA DE SLA","CERRADA EN SLA"),IF($U911="","SIN CLASIFICAR",IF(N($X911)&gt;0,"VENCIDA",IF(TODAY()&gt;=$U911-1,"POR VENCER","EN PLAZO")))))</f>
        <v/>
      </c>
      <c r="Z911" s="41" t="n"/>
      <c r="AA911" s="41" t="n"/>
      <c r="AB911" s="41" t="n"/>
    </row>
    <row r="912">
      <c r="A912" s="39">
        <f>IF($C912="","","NOV-"&amp;TEXT(ROW()-3,"0000"))</f>
        <v/>
      </c>
      <c r="B912" s="40" t="n"/>
      <c r="C912" s="41" t="n"/>
      <c r="D912" s="42">
        <f>IF($C912="","",IFERROR(INDEX(DESPACHOS!$D$3:$D$3002,MATCH($C912,DESPACHOS!$B$3:$B$3002,0)),"SIN DESPACHO"))</f>
        <v/>
      </c>
      <c r="E912" s="42">
        <f>IF($C912="","",IFERROR(INDEX(DESPACHOS!$K$3:$K$3002,MATCH($C912,DESPACHOS!$B$3:$B$3002,0)),""))</f>
        <v/>
      </c>
      <c r="F912" s="42">
        <f>IF($C912="","",IFERROR(INDEX(DESPACHOS!$I$3:$I$3002,MATCH($C912,DESPACHOS!$B$3:$B$3002,0)),""))</f>
        <v/>
      </c>
      <c r="G912" s="42">
        <f>IF($C912="","",IFERROR(INDEX(DESPACHOS!$F$3:$F$3002,MATCH($C912,DESPACHOS!$B$3:$B$3002,0)),""))</f>
        <v/>
      </c>
      <c r="H912" s="42">
        <f>IF($C912="","",IFERROR(INDEX(DESPACHOS!$G$3:$G$3002,MATCH($C912,DESPACHOS!$B$3:$B$3002,0)),""))</f>
        <v/>
      </c>
      <c r="I912" s="39">
        <f>IF($C912="","",IFERROR(INDEX(DESPACHOS!$H$3:$H$3002,MATCH($C912,DESPACHOS!$B$3:$B$3002,0)),""))</f>
        <v/>
      </c>
      <c r="J912" s="43">
        <f>IF($C912="","",IFERROR(INDEX(DESPACHOS!$J$3:$J$3002,MATCH($C912,DESPACHOS!$B$3:$B$3002,0)),""))</f>
        <v/>
      </c>
      <c r="K912" s="39">
        <f>IF($C912="","",IF(COUNTIFS(DESPACHOS!$B$3:$B$3002,$C912)=0,"NO EXISTE",IF(COUNTIFS(DESPACHOS!$B$3:$B$3002,$C912)&gt;1,"DUPLICADO","OK")))</f>
        <v/>
      </c>
      <c r="L912" s="41" t="n"/>
      <c r="M912" s="41" t="n"/>
      <c r="N912" s="42">
        <f>IF($M912="","",IFERROR(INDEX(LISTAS!$F$3:$F$42,MATCH($M912,LISTAS!$E$3:$E$42,0)),"Por definir"))</f>
        <v/>
      </c>
      <c r="O912" s="41" t="n"/>
      <c r="P912" s="39">
        <f>IF($L912="","",IFERROR(INDEX(LISTAS!$B$3:$B$42,MATCH($L912,LISTAS!$A$3:$A$42,0)),"Media"))</f>
        <v/>
      </c>
      <c r="Q912" s="44" t="n"/>
      <c r="R912" s="45" t="n"/>
      <c r="S912" s="20">
        <f>IFERROR(IF(OR($R912="",$C912=""),"",$R912/INDEX(DESPACHOS!$M$3:$M$3002,MATCH($C912,DESPACHOS!$B$3:$B$3002,0))),"")</f>
        <v/>
      </c>
      <c r="T912" s="41" t="n"/>
      <c r="U912" s="43">
        <f>IF(OR($B912="",$L912=""),"",WORKDAY($B912,IFERROR(INDEX(LISTAS!$C$3:$C$42,MATCH($L912,LISTAS!$A$3:$A$42,0)),3)))</f>
        <v/>
      </c>
      <c r="V912" s="40" t="n"/>
      <c r="W912" s="19">
        <f>IF($B912="","",IF($V912&lt;&gt;"",$V912-$B912,TODAY()-$B912))</f>
        <v/>
      </c>
      <c r="X912" s="19">
        <f>IF(OR($B912="",$U912=""),"",IF($V912&lt;&gt;"",MAX(0,$V912-$U912),MAX(0,TODAY()-$U912)))</f>
        <v/>
      </c>
      <c r="Y912" s="39">
        <f>IF($C912="","",IF(IFERROR(INDEX(LISTAS!$I$3:$I$42,MATCH($T912,LISTAS!$H$3:$H$42,0)),"NO")="SÍ",IF(N($X912)&gt;0,"CERRADA FUERA DE SLA","CERRADA EN SLA"),IF($U912="","SIN CLASIFICAR",IF(N($X912)&gt;0,"VENCIDA",IF(TODAY()&gt;=$U912-1,"POR VENCER","EN PLAZO")))))</f>
        <v/>
      </c>
      <c r="Z912" s="41" t="n"/>
      <c r="AA912" s="41" t="n"/>
      <c r="AB912" s="41" t="n"/>
    </row>
    <row r="913">
      <c r="A913" s="39">
        <f>IF($C913="","","NOV-"&amp;TEXT(ROW()-3,"0000"))</f>
        <v/>
      </c>
      <c r="B913" s="40" t="n"/>
      <c r="C913" s="41" t="n"/>
      <c r="D913" s="42">
        <f>IF($C913="","",IFERROR(INDEX(DESPACHOS!$D$3:$D$3002,MATCH($C913,DESPACHOS!$B$3:$B$3002,0)),"SIN DESPACHO"))</f>
        <v/>
      </c>
      <c r="E913" s="42">
        <f>IF($C913="","",IFERROR(INDEX(DESPACHOS!$K$3:$K$3002,MATCH($C913,DESPACHOS!$B$3:$B$3002,0)),""))</f>
        <v/>
      </c>
      <c r="F913" s="42">
        <f>IF($C913="","",IFERROR(INDEX(DESPACHOS!$I$3:$I$3002,MATCH($C913,DESPACHOS!$B$3:$B$3002,0)),""))</f>
        <v/>
      </c>
      <c r="G913" s="42">
        <f>IF($C913="","",IFERROR(INDEX(DESPACHOS!$F$3:$F$3002,MATCH($C913,DESPACHOS!$B$3:$B$3002,0)),""))</f>
        <v/>
      </c>
      <c r="H913" s="42">
        <f>IF($C913="","",IFERROR(INDEX(DESPACHOS!$G$3:$G$3002,MATCH($C913,DESPACHOS!$B$3:$B$3002,0)),""))</f>
        <v/>
      </c>
      <c r="I913" s="39">
        <f>IF($C913="","",IFERROR(INDEX(DESPACHOS!$H$3:$H$3002,MATCH($C913,DESPACHOS!$B$3:$B$3002,0)),""))</f>
        <v/>
      </c>
      <c r="J913" s="43">
        <f>IF($C913="","",IFERROR(INDEX(DESPACHOS!$J$3:$J$3002,MATCH($C913,DESPACHOS!$B$3:$B$3002,0)),""))</f>
        <v/>
      </c>
      <c r="K913" s="39">
        <f>IF($C913="","",IF(COUNTIFS(DESPACHOS!$B$3:$B$3002,$C913)=0,"NO EXISTE",IF(COUNTIFS(DESPACHOS!$B$3:$B$3002,$C913)&gt;1,"DUPLICADO","OK")))</f>
        <v/>
      </c>
      <c r="L913" s="41" t="n"/>
      <c r="M913" s="41" t="n"/>
      <c r="N913" s="42">
        <f>IF($M913="","",IFERROR(INDEX(LISTAS!$F$3:$F$42,MATCH($M913,LISTAS!$E$3:$E$42,0)),"Por definir"))</f>
        <v/>
      </c>
      <c r="O913" s="41" t="n"/>
      <c r="P913" s="39">
        <f>IF($L913="","",IFERROR(INDEX(LISTAS!$B$3:$B$42,MATCH($L913,LISTAS!$A$3:$A$42,0)),"Media"))</f>
        <v/>
      </c>
      <c r="Q913" s="44" t="n"/>
      <c r="R913" s="45" t="n"/>
      <c r="S913" s="20">
        <f>IFERROR(IF(OR($R913="",$C913=""),"",$R913/INDEX(DESPACHOS!$M$3:$M$3002,MATCH($C913,DESPACHOS!$B$3:$B$3002,0))),"")</f>
        <v/>
      </c>
      <c r="T913" s="41" t="n"/>
      <c r="U913" s="43">
        <f>IF(OR($B913="",$L913=""),"",WORKDAY($B913,IFERROR(INDEX(LISTAS!$C$3:$C$42,MATCH($L913,LISTAS!$A$3:$A$42,0)),3)))</f>
        <v/>
      </c>
      <c r="V913" s="40" t="n"/>
      <c r="W913" s="19">
        <f>IF($B913="","",IF($V913&lt;&gt;"",$V913-$B913,TODAY()-$B913))</f>
        <v/>
      </c>
      <c r="X913" s="19">
        <f>IF(OR($B913="",$U913=""),"",IF($V913&lt;&gt;"",MAX(0,$V913-$U913),MAX(0,TODAY()-$U913)))</f>
        <v/>
      </c>
      <c r="Y913" s="39">
        <f>IF($C913="","",IF(IFERROR(INDEX(LISTAS!$I$3:$I$42,MATCH($T913,LISTAS!$H$3:$H$42,0)),"NO")="SÍ",IF(N($X913)&gt;0,"CERRADA FUERA DE SLA","CERRADA EN SLA"),IF($U913="","SIN CLASIFICAR",IF(N($X913)&gt;0,"VENCIDA",IF(TODAY()&gt;=$U913-1,"POR VENCER","EN PLAZO")))))</f>
        <v/>
      </c>
      <c r="Z913" s="41" t="n"/>
      <c r="AA913" s="41" t="n"/>
      <c r="AB913" s="41" t="n"/>
    </row>
    <row r="914">
      <c r="A914" s="39">
        <f>IF($C914="","","NOV-"&amp;TEXT(ROW()-3,"0000"))</f>
        <v/>
      </c>
      <c r="B914" s="40" t="n"/>
      <c r="C914" s="41" t="n"/>
      <c r="D914" s="42">
        <f>IF($C914="","",IFERROR(INDEX(DESPACHOS!$D$3:$D$3002,MATCH($C914,DESPACHOS!$B$3:$B$3002,0)),"SIN DESPACHO"))</f>
        <v/>
      </c>
      <c r="E914" s="42">
        <f>IF($C914="","",IFERROR(INDEX(DESPACHOS!$K$3:$K$3002,MATCH($C914,DESPACHOS!$B$3:$B$3002,0)),""))</f>
        <v/>
      </c>
      <c r="F914" s="42">
        <f>IF($C914="","",IFERROR(INDEX(DESPACHOS!$I$3:$I$3002,MATCH($C914,DESPACHOS!$B$3:$B$3002,0)),""))</f>
        <v/>
      </c>
      <c r="G914" s="42">
        <f>IF($C914="","",IFERROR(INDEX(DESPACHOS!$F$3:$F$3002,MATCH($C914,DESPACHOS!$B$3:$B$3002,0)),""))</f>
        <v/>
      </c>
      <c r="H914" s="42">
        <f>IF($C914="","",IFERROR(INDEX(DESPACHOS!$G$3:$G$3002,MATCH($C914,DESPACHOS!$B$3:$B$3002,0)),""))</f>
        <v/>
      </c>
      <c r="I914" s="39">
        <f>IF($C914="","",IFERROR(INDEX(DESPACHOS!$H$3:$H$3002,MATCH($C914,DESPACHOS!$B$3:$B$3002,0)),""))</f>
        <v/>
      </c>
      <c r="J914" s="43">
        <f>IF($C914="","",IFERROR(INDEX(DESPACHOS!$J$3:$J$3002,MATCH($C914,DESPACHOS!$B$3:$B$3002,0)),""))</f>
        <v/>
      </c>
      <c r="K914" s="39">
        <f>IF($C914="","",IF(COUNTIFS(DESPACHOS!$B$3:$B$3002,$C914)=0,"NO EXISTE",IF(COUNTIFS(DESPACHOS!$B$3:$B$3002,$C914)&gt;1,"DUPLICADO","OK")))</f>
        <v/>
      </c>
      <c r="L914" s="41" t="n"/>
      <c r="M914" s="41" t="n"/>
      <c r="N914" s="42">
        <f>IF($M914="","",IFERROR(INDEX(LISTAS!$F$3:$F$42,MATCH($M914,LISTAS!$E$3:$E$42,0)),"Por definir"))</f>
        <v/>
      </c>
      <c r="O914" s="41" t="n"/>
      <c r="P914" s="39">
        <f>IF($L914="","",IFERROR(INDEX(LISTAS!$B$3:$B$42,MATCH($L914,LISTAS!$A$3:$A$42,0)),"Media"))</f>
        <v/>
      </c>
      <c r="Q914" s="44" t="n"/>
      <c r="R914" s="45" t="n"/>
      <c r="S914" s="20">
        <f>IFERROR(IF(OR($R914="",$C914=""),"",$R914/INDEX(DESPACHOS!$M$3:$M$3002,MATCH($C914,DESPACHOS!$B$3:$B$3002,0))),"")</f>
        <v/>
      </c>
      <c r="T914" s="41" t="n"/>
      <c r="U914" s="43">
        <f>IF(OR($B914="",$L914=""),"",WORKDAY($B914,IFERROR(INDEX(LISTAS!$C$3:$C$42,MATCH($L914,LISTAS!$A$3:$A$42,0)),3)))</f>
        <v/>
      </c>
      <c r="V914" s="40" t="n"/>
      <c r="W914" s="19">
        <f>IF($B914="","",IF($V914&lt;&gt;"",$V914-$B914,TODAY()-$B914))</f>
        <v/>
      </c>
      <c r="X914" s="19">
        <f>IF(OR($B914="",$U914=""),"",IF($V914&lt;&gt;"",MAX(0,$V914-$U914),MAX(0,TODAY()-$U914)))</f>
        <v/>
      </c>
      <c r="Y914" s="39">
        <f>IF($C914="","",IF(IFERROR(INDEX(LISTAS!$I$3:$I$42,MATCH($T914,LISTAS!$H$3:$H$42,0)),"NO")="SÍ",IF(N($X914)&gt;0,"CERRADA FUERA DE SLA","CERRADA EN SLA"),IF($U914="","SIN CLASIFICAR",IF(N($X914)&gt;0,"VENCIDA",IF(TODAY()&gt;=$U914-1,"POR VENCER","EN PLAZO")))))</f>
        <v/>
      </c>
      <c r="Z914" s="41" t="n"/>
      <c r="AA914" s="41" t="n"/>
      <c r="AB914" s="41" t="n"/>
    </row>
    <row r="915">
      <c r="A915" s="39">
        <f>IF($C915="","","NOV-"&amp;TEXT(ROW()-3,"0000"))</f>
        <v/>
      </c>
      <c r="B915" s="40" t="n"/>
      <c r="C915" s="41" t="n"/>
      <c r="D915" s="42">
        <f>IF($C915="","",IFERROR(INDEX(DESPACHOS!$D$3:$D$3002,MATCH($C915,DESPACHOS!$B$3:$B$3002,0)),"SIN DESPACHO"))</f>
        <v/>
      </c>
      <c r="E915" s="42">
        <f>IF($C915="","",IFERROR(INDEX(DESPACHOS!$K$3:$K$3002,MATCH($C915,DESPACHOS!$B$3:$B$3002,0)),""))</f>
        <v/>
      </c>
      <c r="F915" s="42">
        <f>IF($C915="","",IFERROR(INDEX(DESPACHOS!$I$3:$I$3002,MATCH($C915,DESPACHOS!$B$3:$B$3002,0)),""))</f>
        <v/>
      </c>
      <c r="G915" s="42">
        <f>IF($C915="","",IFERROR(INDEX(DESPACHOS!$F$3:$F$3002,MATCH($C915,DESPACHOS!$B$3:$B$3002,0)),""))</f>
        <v/>
      </c>
      <c r="H915" s="42">
        <f>IF($C915="","",IFERROR(INDEX(DESPACHOS!$G$3:$G$3002,MATCH($C915,DESPACHOS!$B$3:$B$3002,0)),""))</f>
        <v/>
      </c>
      <c r="I915" s="39">
        <f>IF($C915="","",IFERROR(INDEX(DESPACHOS!$H$3:$H$3002,MATCH($C915,DESPACHOS!$B$3:$B$3002,0)),""))</f>
        <v/>
      </c>
      <c r="J915" s="43">
        <f>IF($C915="","",IFERROR(INDEX(DESPACHOS!$J$3:$J$3002,MATCH($C915,DESPACHOS!$B$3:$B$3002,0)),""))</f>
        <v/>
      </c>
      <c r="K915" s="39">
        <f>IF($C915="","",IF(COUNTIFS(DESPACHOS!$B$3:$B$3002,$C915)=0,"NO EXISTE",IF(COUNTIFS(DESPACHOS!$B$3:$B$3002,$C915)&gt;1,"DUPLICADO","OK")))</f>
        <v/>
      </c>
      <c r="L915" s="41" t="n"/>
      <c r="M915" s="41" t="n"/>
      <c r="N915" s="42">
        <f>IF($M915="","",IFERROR(INDEX(LISTAS!$F$3:$F$42,MATCH($M915,LISTAS!$E$3:$E$42,0)),"Por definir"))</f>
        <v/>
      </c>
      <c r="O915" s="41" t="n"/>
      <c r="P915" s="39">
        <f>IF($L915="","",IFERROR(INDEX(LISTAS!$B$3:$B$42,MATCH($L915,LISTAS!$A$3:$A$42,0)),"Media"))</f>
        <v/>
      </c>
      <c r="Q915" s="44" t="n"/>
      <c r="R915" s="45" t="n"/>
      <c r="S915" s="20">
        <f>IFERROR(IF(OR($R915="",$C915=""),"",$R915/INDEX(DESPACHOS!$M$3:$M$3002,MATCH($C915,DESPACHOS!$B$3:$B$3002,0))),"")</f>
        <v/>
      </c>
      <c r="T915" s="41" t="n"/>
      <c r="U915" s="43">
        <f>IF(OR($B915="",$L915=""),"",WORKDAY($B915,IFERROR(INDEX(LISTAS!$C$3:$C$42,MATCH($L915,LISTAS!$A$3:$A$42,0)),3)))</f>
        <v/>
      </c>
      <c r="V915" s="40" t="n"/>
      <c r="W915" s="19">
        <f>IF($B915="","",IF($V915&lt;&gt;"",$V915-$B915,TODAY()-$B915))</f>
        <v/>
      </c>
      <c r="X915" s="19">
        <f>IF(OR($B915="",$U915=""),"",IF($V915&lt;&gt;"",MAX(0,$V915-$U915),MAX(0,TODAY()-$U915)))</f>
        <v/>
      </c>
      <c r="Y915" s="39">
        <f>IF($C915="","",IF(IFERROR(INDEX(LISTAS!$I$3:$I$42,MATCH($T915,LISTAS!$H$3:$H$42,0)),"NO")="SÍ",IF(N($X915)&gt;0,"CERRADA FUERA DE SLA","CERRADA EN SLA"),IF($U915="","SIN CLASIFICAR",IF(N($X915)&gt;0,"VENCIDA",IF(TODAY()&gt;=$U915-1,"POR VENCER","EN PLAZO")))))</f>
        <v/>
      </c>
      <c r="Z915" s="41" t="n"/>
      <c r="AA915" s="41" t="n"/>
      <c r="AB915" s="41" t="n"/>
    </row>
    <row r="916">
      <c r="A916" s="39">
        <f>IF($C916="","","NOV-"&amp;TEXT(ROW()-3,"0000"))</f>
        <v/>
      </c>
      <c r="B916" s="40" t="n"/>
      <c r="C916" s="41" t="n"/>
      <c r="D916" s="42">
        <f>IF($C916="","",IFERROR(INDEX(DESPACHOS!$D$3:$D$3002,MATCH($C916,DESPACHOS!$B$3:$B$3002,0)),"SIN DESPACHO"))</f>
        <v/>
      </c>
      <c r="E916" s="42">
        <f>IF($C916="","",IFERROR(INDEX(DESPACHOS!$K$3:$K$3002,MATCH($C916,DESPACHOS!$B$3:$B$3002,0)),""))</f>
        <v/>
      </c>
      <c r="F916" s="42">
        <f>IF($C916="","",IFERROR(INDEX(DESPACHOS!$I$3:$I$3002,MATCH($C916,DESPACHOS!$B$3:$B$3002,0)),""))</f>
        <v/>
      </c>
      <c r="G916" s="42">
        <f>IF($C916="","",IFERROR(INDEX(DESPACHOS!$F$3:$F$3002,MATCH($C916,DESPACHOS!$B$3:$B$3002,0)),""))</f>
        <v/>
      </c>
      <c r="H916" s="42">
        <f>IF($C916="","",IFERROR(INDEX(DESPACHOS!$G$3:$G$3002,MATCH($C916,DESPACHOS!$B$3:$B$3002,0)),""))</f>
        <v/>
      </c>
      <c r="I916" s="39">
        <f>IF($C916="","",IFERROR(INDEX(DESPACHOS!$H$3:$H$3002,MATCH($C916,DESPACHOS!$B$3:$B$3002,0)),""))</f>
        <v/>
      </c>
      <c r="J916" s="43">
        <f>IF($C916="","",IFERROR(INDEX(DESPACHOS!$J$3:$J$3002,MATCH($C916,DESPACHOS!$B$3:$B$3002,0)),""))</f>
        <v/>
      </c>
      <c r="K916" s="39">
        <f>IF($C916="","",IF(COUNTIFS(DESPACHOS!$B$3:$B$3002,$C916)=0,"NO EXISTE",IF(COUNTIFS(DESPACHOS!$B$3:$B$3002,$C916)&gt;1,"DUPLICADO","OK")))</f>
        <v/>
      </c>
      <c r="L916" s="41" t="n"/>
      <c r="M916" s="41" t="n"/>
      <c r="N916" s="42">
        <f>IF($M916="","",IFERROR(INDEX(LISTAS!$F$3:$F$42,MATCH($M916,LISTAS!$E$3:$E$42,0)),"Por definir"))</f>
        <v/>
      </c>
      <c r="O916" s="41" t="n"/>
      <c r="P916" s="39">
        <f>IF($L916="","",IFERROR(INDEX(LISTAS!$B$3:$B$42,MATCH($L916,LISTAS!$A$3:$A$42,0)),"Media"))</f>
        <v/>
      </c>
      <c r="Q916" s="44" t="n"/>
      <c r="R916" s="45" t="n"/>
      <c r="S916" s="20">
        <f>IFERROR(IF(OR($R916="",$C916=""),"",$R916/INDEX(DESPACHOS!$M$3:$M$3002,MATCH($C916,DESPACHOS!$B$3:$B$3002,0))),"")</f>
        <v/>
      </c>
      <c r="T916" s="41" t="n"/>
      <c r="U916" s="43">
        <f>IF(OR($B916="",$L916=""),"",WORKDAY($B916,IFERROR(INDEX(LISTAS!$C$3:$C$42,MATCH($L916,LISTAS!$A$3:$A$42,0)),3)))</f>
        <v/>
      </c>
      <c r="V916" s="40" t="n"/>
      <c r="W916" s="19">
        <f>IF($B916="","",IF($V916&lt;&gt;"",$V916-$B916,TODAY()-$B916))</f>
        <v/>
      </c>
      <c r="X916" s="19">
        <f>IF(OR($B916="",$U916=""),"",IF($V916&lt;&gt;"",MAX(0,$V916-$U916),MAX(0,TODAY()-$U916)))</f>
        <v/>
      </c>
      <c r="Y916" s="39">
        <f>IF($C916="","",IF(IFERROR(INDEX(LISTAS!$I$3:$I$42,MATCH($T916,LISTAS!$H$3:$H$42,0)),"NO")="SÍ",IF(N($X916)&gt;0,"CERRADA FUERA DE SLA","CERRADA EN SLA"),IF($U916="","SIN CLASIFICAR",IF(N($X916)&gt;0,"VENCIDA",IF(TODAY()&gt;=$U916-1,"POR VENCER","EN PLAZO")))))</f>
        <v/>
      </c>
      <c r="Z916" s="41" t="n"/>
      <c r="AA916" s="41" t="n"/>
      <c r="AB916" s="41" t="n"/>
    </row>
    <row r="917">
      <c r="A917" s="39">
        <f>IF($C917="","","NOV-"&amp;TEXT(ROW()-3,"0000"))</f>
        <v/>
      </c>
      <c r="B917" s="40" t="n"/>
      <c r="C917" s="41" t="n"/>
      <c r="D917" s="42">
        <f>IF($C917="","",IFERROR(INDEX(DESPACHOS!$D$3:$D$3002,MATCH($C917,DESPACHOS!$B$3:$B$3002,0)),"SIN DESPACHO"))</f>
        <v/>
      </c>
      <c r="E917" s="42">
        <f>IF($C917="","",IFERROR(INDEX(DESPACHOS!$K$3:$K$3002,MATCH($C917,DESPACHOS!$B$3:$B$3002,0)),""))</f>
        <v/>
      </c>
      <c r="F917" s="42">
        <f>IF($C917="","",IFERROR(INDEX(DESPACHOS!$I$3:$I$3002,MATCH($C917,DESPACHOS!$B$3:$B$3002,0)),""))</f>
        <v/>
      </c>
      <c r="G917" s="42">
        <f>IF($C917="","",IFERROR(INDEX(DESPACHOS!$F$3:$F$3002,MATCH($C917,DESPACHOS!$B$3:$B$3002,0)),""))</f>
        <v/>
      </c>
      <c r="H917" s="42">
        <f>IF($C917="","",IFERROR(INDEX(DESPACHOS!$G$3:$G$3002,MATCH($C917,DESPACHOS!$B$3:$B$3002,0)),""))</f>
        <v/>
      </c>
      <c r="I917" s="39">
        <f>IF($C917="","",IFERROR(INDEX(DESPACHOS!$H$3:$H$3002,MATCH($C917,DESPACHOS!$B$3:$B$3002,0)),""))</f>
        <v/>
      </c>
      <c r="J917" s="43">
        <f>IF($C917="","",IFERROR(INDEX(DESPACHOS!$J$3:$J$3002,MATCH($C917,DESPACHOS!$B$3:$B$3002,0)),""))</f>
        <v/>
      </c>
      <c r="K917" s="39">
        <f>IF($C917="","",IF(COUNTIFS(DESPACHOS!$B$3:$B$3002,$C917)=0,"NO EXISTE",IF(COUNTIFS(DESPACHOS!$B$3:$B$3002,$C917)&gt;1,"DUPLICADO","OK")))</f>
        <v/>
      </c>
      <c r="L917" s="41" t="n"/>
      <c r="M917" s="41" t="n"/>
      <c r="N917" s="42">
        <f>IF($M917="","",IFERROR(INDEX(LISTAS!$F$3:$F$42,MATCH($M917,LISTAS!$E$3:$E$42,0)),"Por definir"))</f>
        <v/>
      </c>
      <c r="O917" s="41" t="n"/>
      <c r="P917" s="39">
        <f>IF($L917="","",IFERROR(INDEX(LISTAS!$B$3:$B$42,MATCH($L917,LISTAS!$A$3:$A$42,0)),"Media"))</f>
        <v/>
      </c>
      <c r="Q917" s="44" t="n"/>
      <c r="R917" s="45" t="n"/>
      <c r="S917" s="20">
        <f>IFERROR(IF(OR($R917="",$C917=""),"",$R917/INDEX(DESPACHOS!$M$3:$M$3002,MATCH($C917,DESPACHOS!$B$3:$B$3002,0))),"")</f>
        <v/>
      </c>
      <c r="T917" s="41" t="n"/>
      <c r="U917" s="43">
        <f>IF(OR($B917="",$L917=""),"",WORKDAY($B917,IFERROR(INDEX(LISTAS!$C$3:$C$42,MATCH($L917,LISTAS!$A$3:$A$42,0)),3)))</f>
        <v/>
      </c>
      <c r="V917" s="40" t="n"/>
      <c r="W917" s="19">
        <f>IF($B917="","",IF($V917&lt;&gt;"",$V917-$B917,TODAY()-$B917))</f>
        <v/>
      </c>
      <c r="X917" s="19">
        <f>IF(OR($B917="",$U917=""),"",IF($V917&lt;&gt;"",MAX(0,$V917-$U917),MAX(0,TODAY()-$U917)))</f>
        <v/>
      </c>
      <c r="Y917" s="39">
        <f>IF($C917="","",IF(IFERROR(INDEX(LISTAS!$I$3:$I$42,MATCH($T917,LISTAS!$H$3:$H$42,0)),"NO")="SÍ",IF(N($X917)&gt;0,"CERRADA FUERA DE SLA","CERRADA EN SLA"),IF($U917="","SIN CLASIFICAR",IF(N($X917)&gt;0,"VENCIDA",IF(TODAY()&gt;=$U917-1,"POR VENCER","EN PLAZO")))))</f>
        <v/>
      </c>
      <c r="Z917" s="41" t="n"/>
      <c r="AA917" s="41" t="n"/>
      <c r="AB917" s="41" t="n"/>
    </row>
    <row r="918">
      <c r="A918" s="39">
        <f>IF($C918="","","NOV-"&amp;TEXT(ROW()-3,"0000"))</f>
        <v/>
      </c>
      <c r="B918" s="40" t="n"/>
      <c r="C918" s="41" t="n"/>
      <c r="D918" s="42">
        <f>IF($C918="","",IFERROR(INDEX(DESPACHOS!$D$3:$D$3002,MATCH($C918,DESPACHOS!$B$3:$B$3002,0)),"SIN DESPACHO"))</f>
        <v/>
      </c>
      <c r="E918" s="42">
        <f>IF($C918="","",IFERROR(INDEX(DESPACHOS!$K$3:$K$3002,MATCH($C918,DESPACHOS!$B$3:$B$3002,0)),""))</f>
        <v/>
      </c>
      <c r="F918" s="42">
        <f>IF($C918="","",IFERROR(INDEX(DESPACHOS!$I$3:$I$3002,MATCH($C918,DESPACHOS!$B$3:$B$3002,0)),""))</f>
        <v/>
      </c>
      <c r="G918" s="42">
        <f>IF($C918="","",IFERROR(INDEX(DESPACHOS!$F$3:$F$3002,MATCH($C918,DESPACHOS!$B$3:$B$3002,0)),""))</f>
        <v/>
      </c>
      <c r="H918" s="42">
        <f>IF($C918="","",IFERROR(INDEX(DESPACHOS!$G$3:$G$3002,MATCH($C918,DESPACHOS!$B$3:$B$3002,0)),""))</f>
        <v/>
      </c>
      <c r="I918" s="39">
        <f>IF($C918="","",IFERROR(INDEX(DESPACHOS!$H$3:$H$3002,MATCH($C918,DESPACHOS!$B$3:$B$3002,0)),""))</f>
        <v/>
      </c>
      <c r="J918" s="43">
        <f>IF($C918="","",IFERROR(INDEX(DESPACHOS!$J$3:$J$3002,MATCH($C918,DESPACHOS!$B$3:$B$3002,0)),""))</f>
        <v/>
      </c>
      <c r="K918" s="39">
        <f>IF($C918="","",IF(COUNTIFS(DESPACHOS!$B$3:$B$3002,$C918)=0,"NO EXISTE",IF(COUNTIFS(DESPACHOS!$B$3:$B$3002,$C918)&gt;1,"DUPLICADO","OK")))</f>
        <v/>
      </c>
      <c r="L918" s="41" t="n"/>
      <c r="M918" s="41" t="n"/>
      <c r="N918" s="42">
        <f>IF($M918="","",IFERROR(INDEX(LISTAS!$F$3:$F$42,MATCH($M918,LISTAS!$E$3:$E$42,0)),"Por definir"))</f>
        <v/>
      </c>
      <c r="O918" s="41" t="n"/>
      <c r="P918" s="39">
        <f>IF($L918="","",IFERROR(INDEX(LISTAS!$B$3:$B$42,MATCH($L918,LISTAS!$A$3:$A$42,0)),"Media"))</f>
        <v/>
      </c>
      <c r="Q918" s="44" t="n"/>
      <c r="R918" s="45" t="n"/>
      <c r="S918" s="20">
        <f>IFERROR(IF(OR($R918="",$C918=""),"",$R918/INDEX(DESPACHOS!$M$3:$M$3002,MATCH($C918,DESPACHOS!$B$3:$B$3002,0))),"")</f>
        <v/>
      </c>
      <c r="T918" s="41" t="n"/>
      <c r="U918" s="43">
        <f>IF(OR($B918="",$L918=""),"",WORKDAY($B918,IFERROR(INDEX(LISTAS!$C$3:$C$42,MATCH($L918,LISTAS!$A$3:$A$42,0)),3)))</f>
        <v/>
      </c>
      <c r="V918" s="40" t="n"/>
      <c r="W918" s="19">
        <f>IF($B918="","",IF($V918&lt;&gt;"",$V918-$B918,TODAY()-$B918))</f>
        <v/>
      </c>
      <c r="X918" s="19">
        <f>IF(OR($B918="",$U918=""),"",IF($V918&lt;&gt;"",MAX(0,$V918-$U918),MAX(0,TODAY()-$U918)))</f>
        <v/>
      </c>
      <c r="Y918" s="39">
        <f>IF($C918="","",IF(IFERROR(INDEX(LISTAS!$I$3:$I$42,MATCH($T918,LISTAS!$H$3:$H$42,0)),"NO")="SÍ",IF(N($X918)&gt;0,"CERRADA FUERA DE SLA","CERRADA EN SLA"),IF($U918="","SIN CLASIFICAR",IF(N($X918)&gt;0,"VENCIDA",IF(TODAY()&gt;=$U918-1,"POR VENCER","EN PLAZO")))))</f>
        <v/>
      </c>
      <c r="Z918" s="41" t="n"/>
      <c r="AA918" s="41" t="n"/>
      <c r="AB918" s="41" t="n"/>
    </row>
    <row r="919">
      <c r="A919" s="39">
        <f>IF($C919="","","NOV-"&amp;TEXT(ROW()-3,"0000"))</f>
        <v/>
      </c>
      <c r="B919" s="40" t="n"/>
      <c r="C919" s="41" t="n"/>
      <c r="D919" s="42">
        <f>IF($C919="","",IFERROR(INDEX(DESPACHOS!$D$3:$D$3002,MATCH($C919,DESPACHOS!$B$3:$B$3002,0)),"SIN DESPACHO"))</f>
        <v/>
      </c>
      <c r="E919" s="42">
        <f>IF($C919="","",IFERROR(INDEX(DESPACHOS!$K$3:$K$3002,MATCH($C919,DESPACHOS!$B$3:$B$3002,0)),""))</f>
        <v/>
      </c>
      <c r="F919" s="42">
        <f>IF($C919="","",IFERROR(INDEX(DESPACHOS!$I$3:$I$3002,MATCH($C919,DESPACHOS!$B$3:$B$3002,0)),""))</f>
        <v/>
      </c>
      <c r="G919" s="42">
        <f>IF($C919="","",IFERROR(INDEX(DESPACHOS!$F$3:$F$3002,MATCH($C919,DESPACHOS!$B$3:$B$3002,0)),""))</f>
        <v/>
      </c>
      <c r="H919" s="42">
        <f>IF($C919="","",IFERROR(INDEX(DESPACHOS!$G$3:$G$3002,MATCH($C919,DESPACHOS!$B$3:$B$3002,0)),""))</f>
        <v/>
      </c>
      <c r="I919" s="39">
        <f>IF($C919="","",IFERROR(INDEX(DESPACHOS!$H$3:$H$3002,MATCH($C919,DESPACHOS!$B$3:$B$3002,0)),""))</f>
        <v/>
      </c>
      <c r="J919" s="43">
        <f>IF($C919="","",IFERROR(INDEX(DESPACHOS!$J$3:$J$3002,MATCH($C919,DESPACHOS!$B$3:$B$3002,0)),""))</f>
        <v/>
      </c>
      <c r="K919" s="39">
        <f>IF($C919="","",IF(COUNTIFS(DESPACHOS!$B$3:$B$3002,$C919)=0,"NO EXISTE",IF(COUNTIFS(DESPACHOS!$B$3:$B$3002,$C919)&gt;1,"DUPLICADO","OK")))</f>
        <v/>
      </c>
      <c r="L919" s="41" t="n"/>
      <c r="M919" s="41" t="n"/>
      <c r="N919" s="42">
        <f>IF($M919="","",IFERROR(INDEX(LISTAS!$F$3:$F$42,MATCH($M919,LISTAS!$E$3:$E$42,0)),"Por definir"))</f>
        <v/>
      </c>
      <c r="O919" s="41" t="n"/>
      <c r="P919" s="39">
        <f>IF($L919="","",IFERROR(INDEX(LISTAS!$B$3:$B$42,MATCH($L919,LISTAS!$A$3:$A$42,0)),"Media"))</f>
        <v/>
      </c>
      <c r="Q919" s="44" t="n"/>
      <c r="R919" s="45" t="n"/>
      <c r="S919" s="20">
        <f>IFERROR(IF(OR($R919="",$C919=""),"",$R919/INDEX(DESPACHOS!$M$3:$M$3002,MATCH($C919,DESPACHOS!$B$3:$B$3002,0))),"")</f>
        <v/>
      </c>
      <c r="T919" s="41" t="n"/>
      <c r="U919" s="43">
        <f>IF(OR($B919="",$L919=""),"",WORKDAY($B919,IFERROR(INDEX(LISTAS!$C$3:$C$42,MATCH($L919,LISTAS!$A$3:$A$42,0)),3)))</f>
        <v/>
      </c>
      <c r="V919" s="40" t="n"/>
      <c r="W919" s="19">
        <f>IF($B919="","",IF($V919&lt;&gt;"",$V919-$B919,TODAY()-$B919))</f>
        <v/>
      </c>
      <c r="X919" s="19">
        <f>IF(OR($B919="",$U919=""),"",IF($V919&lt;&gt;"",MAX(0,$V919-$U919),MAX(0,TODAY()-$U919)))</f>
        <v/>
      </c>
      <c r="Y919" s="39">
        <f>IF($C919="","",IF(IFERROR(INDEX(LISTAS!$I$3:$I$42,MATCH($T919,LISTAS!$H$3:$H$42,0)),"NO")="SÍ",IF(N($X919)&gt;0,"CERRADA FUERA DE SLA","CERRADA EN SLA"),IF($U919="","SIN CLASIFICAR",IF(N($X919)&gt;0,"VENCIDA",IF(TODAY()&gt;=$U919-1,"POR VENCER","EN PLAZO")))))</f>
        <v/>
      </c>
      <c r="Z919" s="41" t="n"/>
      <c r="AA919" s="41" t="n"/>
      <c r="AB919" s="41" t="n"/>
    </row>
    <row r="920">
      <c r="A920" s="39">
        <f>IF($C920="","","NOV-"&amp;TEXT(ROW()-3,"0000"))</f>
        <v/>
      </c>
      <c r="B920" s="40" t="n"/>
      <c r="C920" s="41" t="n"/>
      <c r="D920" s="42">
        <f>IF($C920="","",IFERROR(INDEX(DESPACHOS!$D$3:$D$3002,MATCH($C920,DESPACHOS!$B$3:$B$3002,0)),"SIN DESPACHO"))</f>
        <v/>
      </c>
      <c r="E920" s="42">
        <f>IF($C920="","",IFERROR(INDEX(DESPACHOS!$K$3:$K$3002,MATCH($C920,DESPACHOS!$B$3:$B$3002,0)),""))</f>
        <v/>
      </c>
      <c r="F920" s="42">
        <f>IF($C920="","",IFERROR(INDEX(DESPACHOS!$I$3:$I$3002,MATCH($C920,DESPACHOS!$B$3:$B$3002,0)),""))</f>
        <v/>
      </c>
      <c r="G920" s="42">
        <f>IF($C920="","",IFERROR(INDEX(DESPACHOS!$F$3:$F$3002,MATCH($C920,DESPACHOS!$B$3:$B$3002,0)),""))</f>
        <v/>
      </c>
      <c r="H920" s="42">
        <f>IF($C920="","",IFERROR(INDEX(DESPACHOS!$G$3:$G$3002,MATCH($C920,DESPACHOS!$B$3:$B$3002,0)),""))</f>
        <v/>
      </c>
      <c r="I920" s="39">
        <f>IF($C920="","",IFERROR(INDEX(DESPACHOS!$H$3:$H$3002,MATCH($C920,DESPACHOS!$B$3:$B$3002,0)),""))</f>
        <v/>
      </c>
      <c r="J920" s="43">
        <f>IF($C920="","",IFERROR(INDEX(DESPACHOS!$J$3:$J$3002,MATCH($C920,DESPACHOS!$B$3:$B$3002,0)),""))</f>
        <v/>
      </c>
      <c r="K920" s="39">
        <f>IF($C920="","",IF(COUNTIFS(DESPACHOS!$B$3:$B$3002,$C920)=0,"NO EXISTE",IF(COUNTIFS(DESPACHOS!$B$3:$B$3002,$C920)&gt;1,"DUPLICADO","OK")))</f>
        <v/>
      </c>
      <c r="L920" s="41" t="n"/>
      <c r="M920" s="41" t="n"/>
      <c r="N920" s="42">
        <f>IF($M920="","",IFERROR(INDEX(LISTAS!$F$3:$F$42,MATCH($M920,LISTAS!$E$3:$E$42,0)),"Por definir"))</f>
        <v/>
      </c>
      <c r="O920" s="41" t="n"/>
      <c r="P920" s="39">
        <f>IF($L920="","",IFERROR(INDEX(LISTAS!$B$3:$B$42,MATCH($L920,LISTAS!$A$3:$A$42,0)),"Media"))</f>
        <v/>
      </c>
      <c r="Q920" s="44" t="n"/>
      <c r="R920" s="45" t="n"/>
      <c r="S920" s="20">
        <f>IFERROR(IF(OR($R920="",$C920=""),"",$R920/INDEX(DESPACHOS!$M$3:$M$3002,MATCH($C920,DESPACHOS!$B$3:$B$3002,0))),"")</f>
        <v/>
      </c>
      <c r="T920" s="41" t="n"/>
      <c r="U920" s="43">
        <f>IF(OR($B920="",$L920=""),"",WORKDAY($B920,IFERROR(INDEX(LISTAS!$C$3:$C$42,MATCH($L920,LISTAS!$A$3:$A$42,0)),3)))</f>
        <v/>
      </c>
      <c r="V920" s="40" t="n"/>
      <c r="W920" s="19">
        <f>IF($B920="","",IF($V920&lt;&gt;"",$V920-$B920,TODAY()-$B920))</f>
        <v/>
      </c>
      <c r="X920" s="19">
        <f>IF(OR($B920="",$U920=""),"",IF($V920&lt;&gt;"",MAX(0,$V920-$U920),MAX(0,TODAY()-$U920)))</f>
        <v/>
      </c>
      <c r="Y920" s="39">
        <f>IF($C920="","",IF(IFERROR(INDEX(LISTAS!$I$3:$I$42,MATCH($T920,LISTAS!$H$3:$H$42,0)),"NO")="SÍ",IF(N($X920)&gt;0,"CERRADA FUERA DE SLA","CERRADA EN SLA"),IF($U920="","SIN CLASIFICAR",IF(N($X920)&gt;0,"VENCIDA",IF(TODAY()&gt;=$U920-1,"POR VENCER","EN PLAZO")))))</f>
        <v/>
      </c>
      <c r="Z920" s="41" t="n"/>
      <c r="AA920" s="41" t="n"/>
      <c r="AB920" s="41" t="n"/>
    </row>
    <row r="921">
      <c r="A921" s="39">
        <f>IF($C921="","","NOV-"&amp;TEXT(ROW()-3,"0000"))</f>
        <v/>
      </c>
      <c r="B921" s="40" t="n"/>
      <c r="C921" s="41" t="n"/>
      <c r="D921" s="42">
        <f>IF($C921="","",IFERROR(INDEX(DESPACHOS!$D$3:$D$3002,MATCH($C921,DESPACHOS!$B$3:$B$3002,0)),"SIN DESPACHO"))</f>
        <v/>
      </c>
      <c r="E921" s="42">
        <f>IF($C921="","",IFERROR(INDEX(DESPACHOS!$K$3:$K$3002,MATCH($C921,DESPACHOS!$B$3:$B$3002,0)),""))</f>
        <v/>
      </c>
      <c r="F921" s="42">
        <f>IF($C921="","",IFERROR(INDEX(DESPACHOS!$I$3:$I$3002,MATCH($C921,DESPACHOS!$B$3:$B$3002,0)),""))</f>
        <v/>
      </c>
      <c r="G921" s="42">
        <f>IF($C921="","",IFERROR(INDEX(DESPACHOS!$F$3:$F$3002,MATCH($C921,DESPACHOS!$B$3:$B$3002,0)),""))</f>
        <v/>
      </c>
      <c r="H921" s="42">
        <f>IF($C921="","",IFERROR(INDEX(DESPACHOS!$G$3:$G$3002,MATCH($C921,DESPACHOS!$B$3:$B$3002,0)),""))</f>
        <v/>
      </c>
      <c r="I921" s="39">
        <f>IF($C921="","",IFERROR(INDEX(DESPACHOS!$H$3:$H$3002,MATCH($C921,DESPACHOS!$B$3:$B$3002,0)),""))</f>
        <v/>
      </c>
      <c r="J921" s="43">
        <f>IF($C921="","",IFERROR(INDEX(DESPACHOS!$J$3:$J$3002,MATCH($C921,DESPACHOS!$B$3:$B$3002,0)),""))</f>
        <v/>
      </c>
      <c r="K921" s="39">
        <f>IF($C921="","",IF(COUNTIFS(DESPACHOS!$B$3:$B$3002,$C921)=0,"NO EXISTE",IF(COUNTIFS(DESPACHOS!$B$3:$B$3002,$C921)&gt;1,"DUPLICADO","OK")))</f>
        <v/>
      </c>
      <c r="L921" s="41" t="n"/>
      <c r="M921" s="41" t="n"/>
      <c r="N921" s="42">
        <f>IF($M921="","",IFERROR(INDEX(LISTAS!$F$3:$F$42,MATCH($M921,LISTAS!$E$3:$E$42,0)),"Por definir"))</f>
        <v/>
      </c>
      <c r="O921" s="41" t="n"/>
      <c r="P921" s="39">
        <f>IF($L921="","",IFERROR(INDEX(LISTAS!$B$3:$B$42,MATCH($L921,LISTAS!$A$3:$A$42,0)),"Media"))</f>
        <v/>
      </c>
      <c r="Q921" s="44" t="n"/>
      <c r="R921" s="45" t="n"/>
      <c r="S921" s="20">
        <f>IFERROR(IF(OR($R921="",$C921=""),"",$R921/INDEX(DESPACHOS!$M$3:$M$3002,MATCH($C921,DESPACHOS!$B$3:$B$3002,0))),"")</f>
        <v/>
      </c>
      <c r="T921" s="41" t="n"/>
      <c r="U921" s="43">
        <f>IF(OR($B921="",$L921=""),"",WORKDAY($B921,IFERROR(INDEX(LISTAS!$C$3:$C$42,MATCH($L921,LISTAS!$A$3:$A$42,0)),3)))</f>
        <v/>
      </c>
      <c r="V921" s="40" t="n"/>
      <c r="W921" s="19">
        <f>IF($B921="","",IF($V921&lt;&gt;"",$V921-$B921,TODAY()-$B921))</f>
        <v/>
      </c>
      <c r="X921" s="19">
        <f>IF(OR($B921="",$U921=""),"",IF($V921&lt;&gt;"",MAX(0,$V921-$U921),MAX(0,TODAY()-$U921)))</f>
        <v/>
      </c>
      <c r="Y921" s="39">
        <f>IF($C921="","",IF(IFERROR(INDEX(LISTAS!$I$3:$I$42,MATCH($T921,LISTAS!$H$3:$H$42,0)),"NO")="SÍ",IF(N($X921)&gt;0,"CERRADA FUERA DE SLA","CERRADA EN SLA"),IF($U921="","SIN CLASIFICAR",IF(N($X921)&gt;0,"VENCIDA",IF(TODAY()&gt;=$U921-1,"POR VENCER","EN PLAZO")))))</f>
        <v/>
      </c>
      <c r="Z921" s="41" t="n"/>
      <c r="AA921" s="41" t="n"/>
      <c r="AB921" s="41" t="n"/>
    </row>
    <row r="922">
      <c r="A922" s="39">
        <f>IF($C922="","","NOV-"&amp;TEXT(ROW()-3,"0000"))</f>
        <v/>
      </c>
      <c r="B922" s="40" t="n"/>
      <c r="C922" s="41" t="n"/>
      <c r="D922" s="42">
        <f>IF($C922="","",IFERROR(INDEX(DESPACHOS!$D$3:$D$3002,MATCH($C922,DESPACHOS!$B$3:$B$3002,0)),"SIN DESPACHO"))</f>
        <v/>
      </c>
      <c r="E922" s="42">
        <f>IF($C922="","",IFERROR(INDEX(DESPACHOS!$K$3:$K$3002,MATCH($C922,DESPACHOS!$B$3:$B$3002,0)),""))</f>
        <v/>
      </c>
      <c r="F922" s="42">
        <f>IF($C922="","",IFERROR(INDEX(DESPACHOS!$I$3:$I$3002,MATCH($C922,DESPACHOS!$B$3:$B$3002,0)),""))</f>
        <v/>
      </c>
      <c r="G922" s="42">
        <f>IF($C922="","",IFERROR(INDEX(DESPACHOS!$F$3:$F$3002,MATCH($C922,DESPACHOS!$B$3:$B$3002,0)),""))</f>
        <v/>
      </c>
      <c r="H922" s="42">
        <f>IF($C922="","",IFERROR(INDEX(DESPACHOS!$G$3:$G$3002,MATCH($C922,DESPACHOS!$B$3:$B$3002,0)),""))</f>
        <v/>
      </c>
      <c r="I922" s="39">
        <f>IF($C922="","",IFERROR(INDEX(DESPACHOS!$H$3:$H$3002,MATCH($C922,DESPACHOS!$B$3:$B$3002,0)),""))</f>
        <v/>
      </c>
      <c r="J922" s="43">
        <f>IF($C922="","",IFERROR(INDEX(DESPACHOS!$J$3:$J$3002,MATCH($C922,DESPACHOS!$B$3:$B$3002,0)),""))</f>
        <v/>
      </c>
      <c r="K922" s="39">
        <f>IF($C922="","",IF(COUNTIFS(DESPACHOS!$B$3:$B$3002,$C922)=0,"NO EXISTE",IF(COUNTIFS(DESPACHOS!$B$3:$B$3002,$C922)&gt;1,"DUPLICADO","OK")))</f>
        <v/>
      </c>
      <c r="L922" s="41" t="n"/>
      <c r="M922" s="41" t="n"/>
      <c r="N922" s="42">
        <f>IF($M922="","",IFERROR(INDEX(LISTAS!$F$3:$F$42,MATCH($M922,LISTAS!$E$3:$E$42,0)),"Por definir"))</f>
        <v/>
      </c>
      <c r="O922" s="41" t="n"/>
      <c r="P922" s="39">
        <f>IF($L922="","",IFERROR(INDEX(LISTAS!$B$3:$B$42,MATCH($L922,LISTAS!$A$3:$A$42,0)),"Media"))</f>
        <v/>
      </c>
      <c r="Q922" s="44" t="n"/>
      <c r="R922" s="45" t="n"/>
      <c r="S922" s="20">
        <f>IFERROR(IF(OR($R922="",$C922=""),"",$R922/INDEX(DESPACHOS!$M$3:$M$3002,MATCH($C922,DESPACHOS!$B$3:$B$3002,0))),"")</f>
        <v/>
      </c>
      <c r="T922" s="41" t="n"/>
      <c r="U922" s="43">
        <f>IF(OR($B922="",$L922=""),"",WORKDAY($B922,IFERROR(INDEX(LISTAS!$C$3:$C$42,MATCH($L922,LISTAS!$A$3:$A$42,0)),3)))</f>
        <v/>
      </c>
      <c r="V922" s="40" t="n"/>
      <c r="W922" s="19">
        <f>IF($B922="","",IF($V922&lt;&gt;"",$V922-$B922,TODAY()-$B922))</f>
        <v/>
      </c>
      <c r="X922" s="19">
        <f>IF(OR($B922="",$U922=""),"",IF($V922&lt;&gt;"",MAX(0,$V922-$U922),MAX(0,TODAY()-$U922)))</f>
        <v/>
      </c>
      <c r="Y922" s="39">
        <f>IF($C922="","",IF(IFERROR(INDEX(LISTAS!$I$3:$I$42,MATCH($T922,LISTAS!$H$3:$H$42,0)),"NO")="SÍ",IF(N($X922)&gt;0,"CERRADA FUERA DE SLA","CERRADA EN SLA"),IF($U922="","SIN CLASIFICAR",IF(N($X922)&gt;0,"VENCIDA",IF(TODAY()&gt;=$U922-1,"POR VENCER","EN PLAZO")))))</f>
        <v/>
      </c>
      <c r="Z922" s="41" t="n"/>
      <c r="AA922" s="41" t="n"/>
      <c r="AB922" s="41" t="n"/>
    </row>
    <row r="923">
      <c r="A923" s="39">
        <f>IF($C923="","","NOV-"&amp;TEXT(ROW()-3,"0000"))</f>
        <v/>
      </c>
      <c r="B923" s="40" t="n"/>
      <c r="C923" s="41" t="n"/>
      <c r="D923" s="42">
        <f>IF($C923="","",IFERROR(INDEX(DESPACHOS!$D$3:$D$3002,MATCH($C923,DESPACHOS!$B$3:$B$3002,0)),"SIN DESPACHO"))</f>
        <v/>
      </c>
      <c r="E923" s="42">
        <f>IF($C923="","",IFERROR(INDEX(DESPACHOS!$K$3:$K$3002,MATCH($C923,DESPACHOS!$B$3:$B$3002,0)),""))</f>
        <v/>
      </c>
      <c r="F923" s="42">
        <f>IF($C923="","",IFERROR(INDEX(DESPACHOS!$I$3:$I$3002,MATCH($C923,DESPACHOS!$B$3:$B$3002,0)),""))</f>
        <v/>
      </c>
      <c r="G923" s="42">
        <f>IF($C923="","",IFERROR(INDEX(DESPACHOS!$F$3:$F$3002,MATCH($C923,DESPACHOS!$B$3:$B$3002,0)),""))</f>
        <v/>
      </c>
      <c r="H923" s="42">
        <f>IF($C923="","",IFERROR(INDEX(DESPACHOS!$G$3:$G$3002,MATCH($C923,DESPACHOS!$B$3:$B$3002,0)),""))</f>
        <v/>
      </c>
      <c r="I923" s="39">
        <f>IF($C923="","",IFERROR(INDEX(DESPACHOS!$H$3:$H$3002,MATCH($C923,DESPACHOS!$B$3:$B$3002,0)),""))</f>
        <v/>
      </c>
      <c r="J923" s="43">
        <f>IF($C923="","",IFERROR(INDEX(DESPACHOS!$J$3:$J$3002,MATCH($C923,DESPACHOS!$B$3:$B$3002,0)),""))</f>
        <v/>
      </c>
      <c r="K923" s="39">
        <f>IF($C923="","",IF(COUNTIFS(DESPACHOS!$B$3:$B$3002,$C923)=0,"NO EXISTE",IF(COUNTIFS(DESPACHOS!$B$3:$B$3002,$C923)&gt;1,"DUPLICADO","OK")))</f>
        <v/>
      </c>
      <c r="L923" s="41" t="n"/>
      <c r="M923" s="41" t="n"/>
      <c r="N923" s="42">
        <f>IF($M923="","",IFERROR(INDEX(LISTAS!$F$3:$F$42,MATCH($M923,LISTAS!$E$3:$E$42,0)),"Por definir"))</f>
        <v/>
      </c>
      <c r="O923" s="41" t="n"/>
      <c r="P923" s="39">
        <f>IF($L923="","",IFERROR(INDEX(LISTAS!$B$3:$B$42,MATCH($L923,LISTAS!$A$3:$A$42,0)),"Media"))</f>
        <v/>
      </c>
      <c r="Q923" s="44" t="n"/>
      <c r="R923" s="45" t="n"/>
      <c r="S923" s="20">
        <f>IFERROR(IF(OR($R923="",$C923=""),"",$R923/INDEX(DESPACHOS!$M$3:$M$3002,MATCH($C923,DESPACHOS!$B$3:$B$3002,0))),"")</f>
        <v/>
      </c>
      <c r="T923" s="41" t="n"/>
      <c r="U923" s="43">
        <f>IF(OR($B923="",$L923=""),"",WORKDAY($B923,IFERROR(INDEX(LISTAS!$C$3:$C$42,MATCH($L923,LISTAS!$A$3:$A$42,0)),3)))</f>
        <v/>
      </c>
      <c r="V923" s="40" t="n"/>
      <c r="W923" s="19">
        <f>IF($B923="","",IF($V923&lt;&gt;"",$V923-$B923,TODAY()-$B923))</f>
        <v/>
      </c>
      <c r="X923" s="19">
        <f>IF(OR($B923="",$U923=""),"",IF($V923&lt;&gt;"",MAX(0,$V923-$U923),MAX(0,TODAY()-$U923)))</f>
        <v/>
      </c>
      <c r="Y923" s="39">
        <f>IF($C923="","",IF(IFERROR(INDEX(LISTAS!$I$3:$I$42,MATCH($T923,LISTAS!$H$3:$H$42,0)),"NO")="SÍ",IF(N($X923)&gt;0,"CERRADA FUERA DE SLA","CERRADA EN SLA"),IF($U923="","SIN CLASIFICAR",IF(N($X923)&gt;0,"VENCIDA",IF(TODAY()&gt;=$U923-1,"POR VENCER","EN PLAZO")))))</f>
        <v/>
      </c>
      <c r="Z923" s="41" t="n"/>
      <c r="AA923" s="41" t="n"/>
      <c r="AB923" s="41" t="n"/>
    </row>
    <row r="924">
      <c r="A924" s="39">
        <f>IF($C924="","","NOV-"&amp;TEXT(ROW()-3,"0000"))</f>
        <v/>
      </c>
      <c r="B924" s="40" t="n"/>
      <c r="C924" s="41" t="n"/>
      <c r="D924" s="42">
        <f>IF($C924="","",IFERROR(INDEX(DESPACHOS!$D$3:$D$3002,MATCH($C924,DESPACHOS!$B$3:$B$3002,0)),"SIN DESPACHO"))</f>
        <v/>
      </c>
      <c r="E924" s="42">
        <f>IF($C924="","",IFERROR(INDEX(DESPACHOS!$K$3:$K$3002,MATCH($C924,DESPACHOS!$B$3:$B$3002,0)),""))</f>
        <v/>
      </c>
      <c r="F924" s="42">
        <f>IF($C924="","",IFERROR(INDEX(DESPACHOS!$I$3:$I$3002,MATCH($C924,DESPACHOS!$B$3:$B$3002,0)),""))</f>
        <v/>
      </c>
      <c r="G924" s="42">
        <f>IF($C924="","",IFERROR(INDEX(DESPACHOS!$F$3:$F$3002,MATCH($C924,DESPACHOS!$B$3:$B$3002,0)),""))</f>
        <v/>
      </c>
      <c r="H924" s="42">
        <f>IF($C924="","",IFERROR(INDEX(DESPACHOS!$G$3:$G$3002,MATCH($C924,DESPACHOS!$B$3:$B$3002,0)),""))</f>
        <v/>
      </c>
      <c r="I924" s="39">
        <f>IF($C924="","",IFERROR(INDEX(DESPACHOS!$H$3:$H$3002,MATCH($C924,DESPACHOS!$B$3:$B$3002,0)),""))</f>
        <v/>
      </c>
      <c r="J924" s="43">
        <f>IF($C924="","",IFERROR(INDEX(DESPACHOS!$J$3:$J$3002,MATCH($C924,DESPACHOS!$B$3:$B$3002,0)),""))</f>
        <v/>
      </c>
      <c r="K924" s="39">
        <f>IF($C924="","",IF(COUNTIFS(DESPACHOS!$B$3:$B$3002,$C924)=0,"NO EXISTE",IF(COUNTIFS(DESPACHOS!$B$3:$B$3002,$C924)&gt;1,"DUPLICADO","OK")))</f>
        <v/>
      </c>
      <c r="L924" s="41" t="n"/>
      <c r="M924" s="41" t="n"/>
      <c r="N924" s="42">
        <f>IF($M924="","",IFERROR(INDEX(LISTAS!$F$3:$F$42,MATCH($M924,LISTAS!$E$3:$E$42,0)),"Por definir"))</f>
        <v/>
      </c>
      <c r="O924" s="41" t="n"/>
      <c r="P924" s="39">
        <f>IF($L924="","",IFERROR(INDEX(LISTAS!$B$3:$B$42,MATCH($L924,LISTAS!$A$3:$A$42,0)),"Media"))</f>
        <v/>
      </c>
      <c r="Q924" s="44" t="n"/>
      <c r="R924" s="45" t="n"/>
      <c r="S924" s="20">
        <f>IFERROR(IF(OR($R924="",$C924=""),"",$R924/INDEX(DESPACHOS!$M$3:$M$3002,MATCH($C924,DESPACHOS!$B$3:$B$3002,0))),"")</f>
        <v/>
      </c>
      <c r="T924" s="41" t="n"/>
      <c r="U924" s="43">
        <f>IF(OR($B924="",$L924=""),"",WORKDAY($B924,IFERROR(INDEX(LISTAS!$C$3:$C$42,MATCH($L924,LISTAS!$A$3:$A$42,0)),3)))</f>
        <v/>
      </c>
      <c r="V924" s="40" t="n"/>
      <c r="W924" s="19">
        <f>IF($B924="","",IF($V924&lt;&gt;"",$V924-$B924,TODAY()-$B924))</f>
        <v/>
      </c>
      <c r="X924" s="19">
        <f>IF(OR($B924="",$U924=""),"",IF($V924&lt;&gt;"",MAX(0,$V924-$U924),MAX(0,TODAY()-$U924)))</f>
        <v/>
      </c>
      <c r="Y924" s="39">
        <f>IF($C924="","",IF(IFERROR(INDEX(LISTAS!$I$3:$I$42,MATCH($T924,LISTAS!$H$3:$H$42,0)),"NO")="SÍ",IF(N($X924)&gt;0,"CERRADA FUERA DE SLA","CERRADA EN SLA"),IF($U924="","SIN CLASIFICAR",IF(N($X924)&gt;0,"VENCIDA",IF(TODAY()&gt;=$U924-1,"POR VENCER","EN PLAZO")))))</f>
        <v/>
      </c>
      <c r="Z924" s="41" t="n"/>
      <c r="AA924" s="41" t="n"/>
      <c r="AB924" s="41" t="n"/>
    </row>
    <row r="925">
      <c r="A925" s="39">
        <f>IF($C925="","","NOV-"&amp;TEXT(ROW()-3,"0000"))</f>
        <v/>
      </c>
      <c r="B925" s="40" t="n"/>
      <c r="C925" s="41" t="n"/>
      <c r="D925" s="42">
        <f>IF($C925="","",IFERROR(INDEX(DESPACHOS!$D$3:$D$3002,MATCH($C925,DESPACHOS!$B$3:$B$3002,0)),"SIN DESPACHO"))</f>
        <v/>
      </c>
      <c r="E925" s="42">
        <f>IF($C925="","",IFERROR(INDEX(DESPACHOS!$K$3:$K$3002,MATCH($C925,DESPACHOS!$B$3:$B$3002,0)),""))</f>
        <v/>
      </c>
      <c r="F925" s="42">
        <f>IF($C925="","",IFERROR(INDEX(DESPACHOS!$I$3:$I$3002,MATCH($C925,DESPACHOS!$B$3:$B$3002,0)),""))</f>
        <v/>
      </c>
      <c r="G925" s="42">
        <f>IF($C925="","",IFERROR(INDEX(DESPACHOS!$F$3:$F$3002,MATCH($C925,DESPACHOS!$B$3:$B$3002,0)),""))</f>
        <v/>
      </c>
      <c r="H925" s="42">
        <f>IF($C925="","",IFERROR(INDEX(DESPACHOS!$G$3:$G$3002,MATCH($C925,DESPACHOS!$B$3:$B$3002,0)),""))</f>
        <v/>
      </c>
      <c r="I925" s="39">
        <f>IF($C925="","",IFERROR(INDEX(DESPACHOS!$H$3:$H$3002,MATCH($C925,DESPACHOS!$B$3:$B$3002,0)),""))</f>
        <v/>
      </c>
      <c r="J925" s="43">
        <f>IF($C925="","",IFERROR(INDEX(DESPACHOS!$J$3:$J$3002,MATCH($C925,DESPACHOS!$B$3:$B$3002,0)),""))</f>
        <v/>
      </c>
      <c r="K925" s="39">
        <f>IF($C925="","",IF(COUNTIFS(DESPACHOS!$B$3:$B$3002,$C925)=0,"NO EXISTE",IF(COUNTIFS(DESPACHOS!$B$3:$B$3002,$C925)&gt;1,"DUPLICADO","OK")))</f>
        <v/>
      </c>
      <c r="L925" s="41" t="n"/>
      <c r="M925" s="41" t="n"/>
      <c r="N925" s="42">
        <f>IF($M925="","",IFERROR(INDEX(LISTAS!$F$3:$F$42,MATCH($M925,LISTAS!$E$3:$E$42,0)),"Por definir"))</f>
        <v/>
      </c>
      <c r="O925" s="41" t="n"/>
      <c r="P925" s="39">
        <f>IF($L925="","",IFERROR(INDEX(LISTAS!$B$3:$B$42,MATCH($L925,LISTAS!$A$3:$A$42,0)),"Media"))</f>
        <v/>
      </c>
      <c r="Q925" s="44" t="n"/>
      <c r="R925" s="45" t="n"/>
      <c r="S925" s="20">
        <f>IFERROR(IF(OR($R925="",$C925=""),"",$R925/INDEX(DESPACHOS!$M$3:$M$3002,MATCH($C925,DESPACHOS!$B$3:$B$3002,0))),"")</f>
        <v/>
      </c>
      <c r="T925" s="41" t="n"/>
      <c r="U925" s="43">
        <f>IF(OR($B925="",$L925=""),"",WORKDAY($B925,IFERROR(INDEX(LISTAS!$C$3:$C$42,MATCH($L925,LISTAS!$A$3:$A$42,0)),3)))</f>
        <v/>
      </c>
      <c r="V925" s="40" t="n"/>
      <c r="W925" s="19">
        <f>IF($B925="","",IF($V925&lt;&gt;"",$V925-$B925,TODAY()-$B925))</f>
        <v/>
      </c>
      <c r="X925" s="19">
        <f>IF(OR($B925="",$U925=""),"",IF($V925&lt;&gt;"",MAX(0,$V925-$U925),MAX(0,TODAY()-$U925)))</f>
        <v/>
      </c>
      <c r="Y925" s="39">
        <f>IF($C925="","",IF(IFERROR(INDEX(LISTAS!$I$3:$I$42,MATCH($T925,LISTAS!$H$3:$H$42,0)),"NO")="SÍ",IF(N($X925)&gt;0,"CERRADA FUERA DE SLA","CERRADA EN SLA"),IF($U925="","SIN CLASIFICAR",IF(N($X925)&gt;0,"VENCIDA",IF(TODAY()&gt;=$U925-1,"POR VENCER","EN PLAZO")))))</f>
        <v/>
      </c>
      <c r="Z925" s="41" t="n"/>
      <c r="AA925" s="41" t="n"/>
      <c r="AB925" s="41" t="n"/>
    </row>
    <row r="926">
      <c r="A926" s="39">
        <f>IF($C926="","","NOV-"&amp;TEXT(ROW()-3,"0000"))</f>
        <v/>
      </c>
      <c r="B926" s="40" t="n"/>
      <c r="C926" s="41" t="n"/>
      <c r="D926" s="42">
        <f>IF($C926="","",IFERROR(INDEX(DESPACHOS!$D$3:$D$3002,MATCH($C926,DESPACHOS!$B$3:$B$3002,0)),"SIN DESPACHO"))</f>
        <v/>
      </c>
      <c r="E926" s="42">
        <f>IF($C926="","",IFERROR(INDEX(DESPACHOS!$K$3:$K$3002,MATCH($C926,DESPACHOS!$B$3:$B$3002,0)),""))</f>
        <v/>
      </c>
      <c r="F926" s="42">
        <f>IF($C926="","",IFERROR(INDEX(DESPACHOS!$I$3:$I$3002,MATCH($C926,DESPACHOS!$B$3:$B$3002,0)),""))</f>
        <v/>
      </c>
      <c r="G926" s="42">
        <f>IF($C926="","",IFERROR(INDEX(DESPACHOS!$F$3:$F$3002,MATCH($C926,DESPACHOS!$B$3:$B$3002,0)),""))</f>
        <v/>
      </c>
      <c r="H926" s="42">
        <f>IF($C926="","",IFERROR(INDEX(DESPACHOS!$G$3:$G$3002,MATCH($C926,DESPACHOS!$B$3:$B$3002,0)),""))</f>
        <v/>
      </c>
      <c r="I926" s="39">
        <f>IF($C926="","",IFERROR(INDEX(DESPACHOS!$H$3:$H$3002,MATCH($C926,DESPACHOS!$B$3:$B$3002,0)),""))</f>
        <v/>
      </c>
      <c r="J926" s="43">
        <f>IF($C926="","",IFERROR(INDEX(DESPACHOS!$J$3:$J$3002,MATCH($C926,DESPACHOS!$B$3:$B$3002,0)),""))</f>
        <v/>
      </c>
      <c r="K926" s="39">
        <f>IF($C926="","",IF(COUNTIFS(DESPACHOS!$B$3:$B$3002,$C926)=0,"NO EXISTE",IF(COUNTIFS(DESPACHOS!$B$3:$B$3002,$C926)&gt;1,"DUPLICADO","OK")))</f>
        <v/>
      </c>
      <c r="L926" s="41" t="n"/>
      <c r="M926" s="41" t="n"/>
      <c r="N926" s="42">
        <f>IF($M926="","",IFERROR(INDEX(LISTAS!$F$3:$F$42,MATCH($M926,LISTAS!$E$3:$E$42,0)),"Por definir"))</f>
        <v/>
      </c>
      <c r="O926" s="41" t="n"/>
      <c r="P926" s="39">
        <f>IF($L926="","",IFERROR(INDEX(LISTAS!$B$3:$B$42,MATCH($L926,LISTAS!$A$3:$A$42,0)),"Media"))</f>
        <v/>
      </c>
      <c r="Q926" s="44" t="n"/>
      <c r="R926" s="45" t="n"/>
      <c r="S926" s="20">
        <f>IFERROR(IF(OR($R926="",$C926=""),"",$R926/INDEX(DESPACHOS!$M$3:$M$3002,MATCH($C926,DESPACHOS!$B$3:$B$3002,0))),"")</f>
        <v/>
      </c>
      <c r="T926" s="41" t="n"/>
      <c r="U926" s="43">
        <f>IF(OR($B926="",$L926=""),"",WORKDAY($B926,IFERROR(INDEX(LISTAS!$C$3:$C$42,MATCH($L926,LISTAS!$A$3:$A$42,0)),3)))</f>
        <v/>
      </c>
      <c r="V926" s="40" t="n"/>
      <c r="W926" s="19">
        <f>IF($B926="","",IF($V926&lt;&gt;"",$V926-$B926,TODAY()-$B926))</f>
        <v/>
      </c>
      <c r="X926" s="19">
        <f>IF(OR($B926="",$U926=""),"",IF($V926&lt;&gt;"",MAX(0,$V926-$U926),MAX(0,TODAY()-$U926)))</f>
        <v/>
      </c>
      <c r="Y926" s="39">
        <f>IF($C926="","",IF(IFERROR(INDEX(LISTAS!$I$3:$I$42,MATCH($T926,LISTAS!$H$3:$H$42,0)),"NO")="SÍ",IF(N($X926)&gt;0,"CERRADA FUERA DE SLA","CERRADA EN SLA"),IF($U926="","SIN CLASIFICAR",IF(N($X926)&gt;0,"VENCIDA",IF(TODAY()&gt;=$U926-1,"POR VENCER","EN PLAZO")))))</f>
        <v/>
      </c>
      <c r="Z926" s="41" t="n"/>
      <c r="AA926" s="41" t="n"/>
      <c r="AB926" s="41" t="n"/>
    </row>
    <row r="927">
      <c r="A927" s="39">
        <f>IF($C927="","","NOV-"&amp;TEXT(ROW()-3,"0000"))</f>
        <v/>
      </c>
      <c r="B927" s="40" t="n"/>
      <c r="C927" s="41" t="n"/>
      <c r="D927" s="42">
        <f>IF($C927="","",IFERROR(INDEX(DESPACHOS!$D$3:$D$3002,MATCH($C927,DESPACHOS!$B$3:$B$3002,0)),"SIN DESPACHO"))</f>
        <v/>
      </c>
      <c r="E927" s="42">
        <f>IF($C927="","",IFERROR(INDEX(DESPACHOS!$K$3:$K$3002,MATCH($C927,DESPACHOS!$B$3:$B$3002,0)),""))</f>
        <v/>
      </c>
      <c r="F927" s="42">
        <f>IF($C927="","",IFERROR(INDEX(DESPACHOS!$I$3:$I$3002,MATCH($C927,DESPACHOS!$B$3:$B$3002,0)),""))</f>
        <v/>
      </c>
      <c r="G927" s="42">
        <f>IF($C927="","",IFERROR(INDEX(DESPACHOS!$F$3:$F$3002,MATCH($C927,DESPACHOS!$B$3:$B$3002,0)),""))</f>
        <v/>
      </c>
      <c r="H927" s="42">
        <f>IF($C927="","",IFERROR(INDEX(DESPACHOS!$G$3:$G$3002,MATCH($C927,DESPACHOS!$B$3:$B$3002,0)),""))</f>
        <v/>
      </c>
      <c r="I927" s="39">
        <f>IF($C927="","",IFERROR(INDEX(DESPACHOS!$H$3:$H$3002,MATCH($C927,DESPACHOS!$B$3:$B$3002,0)),""))</f>
        <v/>
      </c>
      <c r="J927" s="43">
        <f>IF($C927="","",IFERROR(INDEX(DESPACHOS!$J$3:$J$3002,MATCH($C927,DESPACHOS!$B$3:$B$3002,0)),""))</f>
        <v/>
      </c>
      <c r="K927" s="39">
        <f>IF($C927="","",IF(COUNTIFS(DESPACHOS!$B$3:$B$3002,$C927)=0,"NO EXISTE",IF(COUNTIFS(DESPACHOS!$B$3:$B$3002,$C927)&gt;1,"DUPLICADO","OK")))</f>
        <v/>
      </c>
      <c r="L927" s="41" t="n"/>
      <c r="M927" s="41" t="n"/>
      <c r="N927" s="42">
        <f>IF($M927="","",IFERROR(INDEX(LISTAS!$F$3:$F$42,MATCH($M927,LISTAS!$E$3:$E$42,0)),"Por definir"))</f>
        <v/>
      </c>
      <c r="O927" s="41" t="n"/>
      <c r="P927" s="39">
        <f>IF($L927="","",IFERROR(INDEX(LISTAS!$B$3:$B$42,MATCH($L927,LISTAS!$A$3:$A$42,0)),"Media"))</f>
        <v/>
      </c>
      <c r="Q927" s="44" t="n"/>
      <c r="R927" s="45" t="n"/>
      <c r="S927" s="20">
        <f>IFERROR(IF(OR($R927="",$C927=""),"",$R927/INDEX(DESPACHOS!$M$3:$M$3002,MATCH($C927,DESPACHOS!$B$3:$B$3002,0))),"")</f>
        <v/>
      </c>
      <c r="T927" s="41" t="n"/>
      <c r="U927" s="43">
        <f>IF(OR($B927="",$L927=""),"",WORKDAY($B927,IFERROR(INDEX(LISTAS!$C$3:$C$42,MATCH($L927,LISTAS!$A$3:$A$42,0)),3)))</f>
        <v/>
      </c>
      <c r="V927" s="40" t="n"/>
      <c r="W927" s="19">
        <f>IF($B927="","",IF($V927&lt;&gt;"",$V927-$B927,TODAY()-$B927))</f>
        <v/>
      </c>
      <c r="X927" s="19">
        <f>IF(OR($B927="",$U927=""),"",IF($V927&lt;&gt;"",MAX(0,$V927-$U927),MAX(0,TODAY()-$U927)))</f>
        <v/>
      </c>
      <c r="Y927" s="39">
        <f>IF($C927="","",IF(IFERROR(INDEX(LISTAS!$I$3:$I$42,MATCH($T927,LISTAS!$H$3:$H$42,0)),"NO")="SÍ",IF(N($X927)&gt;0,"CERRADA FUERA DE SLA","CERRADA EN SLA"),IF($U927="","SIN CLASIFICAR",IF(N($X927)&gt;0,"VENCIDA",IF(TODAY()&gt;=$U927-1,"POR VENCER","EN PLAZO")))))</f>
        <v/>
      </c>
      <c r="Z927" s="41" t="n"/>
      <c r="AA927" s="41" t="n"/>
      <c r="AB927" s="41" t="n"/>
    </row>
    <row r="928">
      <c r="A928" s="39">
        <f>IF($C928="","","NOV-"&amp;TEXT(ROW()-3,"0000"))</f>
        <v/>
      </c>
      <c r="B928" s="40" t="n"/>
      <c r="C928" s="41" t="n"/>
      <c r="D928" s="42">
        <f>IF($C928="","",IFERROR(INDEX(DESPACHOS!$D$3:$D$3002,MATCH($C928,DESPACHOS!$B$3:$B$3002,0)),"SIN DESPACHO"))</f>
        <v/>
      </c>
      <c r="E928" s="42">
        <f>IF($C928="","",IFERROR(INDEX(DESPACHOS!$K$3:$K$3002,MATCH($C928,DESPACHOS!$B$3:$B$3002,0)),""))</f>
        <v/>
      </c>
      <c r="F928" s="42">
        <f>IF($C928="","",IFERROR(INDEX(DESPACHOS!$I$3:$I$3002,MATCH($C928,DESPACHOS!$B$3:$B$3002,0)),""))</f>
        <v/>
      </c>
      <c r="G928" s="42">
        <f>IF($C928="","",IFERROR(INDEX(DESPACHOS!$F$3:$F$3002,MATCH($C928,DESPACHOS!$B$3:$B$3002,0)),""))</f>
        <v/>
      </c>
      <c r="H928" s="42">
        <f>IF($C928="","",IFERROR(INDEX(DESPACHOS!$G$3:$G$3002,MATCH($C928,DESPACHOS!$B$3:$B$3002,0)),""))</f>
        <v/>
      </c>
      <c r="I928" s="39">
        <f>IF($C928="","",IFERROR(INDEX(DESPACHOS!$H$3:$H$3002,MATCH($C928,DESPACHOS!$B$3:$B$3002,0)),""))</f>
        <v/>
      </c>
      <c r="J928" s="43">
        <f>IF($C928="","",IFERROR(INDEX(DESPACHOS!$J$3:$J$3002,MATCH($C928,DESPACHOS!$B$3:$B$3002,0)),""))</f>
        <v/>
      </c>
      <c r="K928" s="39">
        <f>IF($C928="","",IF(COUNTIFS(DESPACHOS!$B$3:$B$3002,$C928)=0,"NO EXISTE",IF(COUNTIFS(DESPACHOS!$B$3:$B$3002,$C928)&gt;1,"DUPLICADO","OK")))</f>
        <v/>
      </c>
      <c r="L928" s="41" t="n"/>
      <c r="M928" s="41" t="n"/>
      <c r="N928" s="42">
        <f>IF($M928="","",IFERROR(INDEX(LISTAS!$F$3:$F$42,MATCH($M928,LISTAS!$E$3:$E$42,0)),"Por definir"))</f>
        <v/>
      </c>
      <c r="O928" s="41" t="n"/>
      <c r="P928" s="39">
        <f>IF($L928="","",IFERROR(INDEX(LISTAS!$B$3:$B$42,MATCH($L928,LISTAS!$A$3:$A$42,0)),"Media"))</f>
        <v/>
      </c>
      <c r="Q928" s="44" t="n"/>
      <c r="R928" s="45" t="n"/>
      <c r="S928" s="20">
        <f>IFERROR(IF(OR($R928="",$C928=""),"",$R928/INDEX(DESPACHOS!$M$3:$M$3002,MATCH($C928,DESPACHOS!$B$3:$B$3002,0))),"")</f>
        <v/>
      </c>
      <c r="T928" s="41" t="n"/>
      <c r="U928" s="43">
        <f>IF(OR($B928="",$L928=""),"",WORKDAY($B928,IFERROR(INDEX(LISTAS!$C$3:$C$42,MATCH($L928,LISTAS!$A$3:$A$42,0)),3)))</f>
        <v/>
      </c>
      <c r="V928" s="40" t="n"/>
      <c r="W928" s="19">
        <f>IF($B928="","",IF($V928&lt;&gt;"",$V928-$B928,TODAY()-$B928))</f>
        <v/>
      </c>
      <c r="X928" s="19">
        <f>IF(OR($B928="",$U928=""),"",IF($V928&lt;&gt;"",MAX(0,$V928-$U928),MAX(0,TODAY()-$U928)))</f>
        <v/>
      </c>
      <c r="Y928" s="39">
        <f>IF($C928="","",IF(IFERROR(INDEX(LISTAS!$I$3:$I$42,MATCH($T928,LISTAS!$H$3:$H$42,0)),"NO")="SÍ",IF(N($X928)&gt;0,"CERRADA FUERA DE SLA","CERRADA EN SLA"),IF($U928="","SIN CLASIFICAR",IF(N($X928)&gt;0,"VENCIDA",IF(TODAY()&gt;=$U928-1,"POR VENCER","EN PLAZO")))))</f>
        <v/>
      </c>
      <c r="Z928" s="41" t="n"/>
      <c r="AA928" s="41" t="n"/>
      <c r="AB928" s="41" t="n"/>
    </row>
    <row r="929">
      <c r="A929" s="39">
        <f>IF($C929="","","NOV-"&amp;TEXT(ROW()-3,"0000"))</f>
        <v/>
      </c>
      <c r="B929" s="40" t="n"/>
      <c r="C929" s="41" t="n"/>
      <c r="D929" s="42">
        <f>IF($C929="","",IFERROR(INDEX(DESPACHOS!$D$3:$D$3002,MATCH($C929,DESPACHOS!$B$3:$B$3002,0)),"SIN DESPACHO"))</f>
        <v/>
      </c>
      <c r="E929" s="42">
        <f>IF($C929="","",IFERROR(INDEX(DESPACHOS!$K$3:$K$3002,MATCH($C929,DESPACHOS!$B$3:$B$3002,0)),""))</f>
        <v/>
      </c>
      <c r="F929" s="42">
        <f>IF($C929="","",IFERROR(INDEX(DESPACHOS!$I$3:$I$3002,MATCH($C929,DESPACHOS!$B$3:$B$3002,0)),""))</f>
        <v/>
      </c>
      <c r="G929" s="42">
        <f>IF($C929="","",IFERROR(INDEX(DESPACHOS!$F$3:$F$3002,MATCH($C929,DESPACHOS!$B$3:$B$3002,0)),""))</f>
        <v/>
      </c>
      <c r="H929" s="42">
        <f>IF($C929="","",IFERROR(INDEX(DESPACHOS!$G$3:$G$3002,MATCH($C929,DESPACHOS!$B$3:$B$3002,0)),""))</f>
        <v/>
      </c>
      <c r="I929" s="39">
        <f>IF($C929="","",IFERROR(INDEX(DESPACHOS!$H$3:$H$3002,MATCH($C929,DESPACHOS!$B$3:$B$3002,0)),""))</f>
        <v/>
      </c>
      <c r="J929" s="43">
        <f>IF($C929="","",IFERROR(INDEX(DESPACHOS!$J$3:$J$3002,MATCH($C929,DESPACHOS!$B$3:$B$3002,0)),""))</f>
        <v/>
      </c>
      <c r="K929" s="39">
        <f>IF($C929="","",IF(COUNTIFS(DESPACHOS!$B$3:$B$3002,$C929)=0,"NO EXISTE",IF(COUNTIFS(DESPACHOS!$B$3:$B$3002,$C929)&gt;1,"DUPLICADO","OK")))</f>
        <v/>
      </c>
      <c r="L929" s="41" t="n"/>
      <c r="M929" s="41" t="n"/>
      <c r="N929" s="42">
        <f>IF($M929="","",IFERROR(INDEX(LISTAS!$F$3:$F$42,MATCH($M929,LISTAS!$E$3:$E$42,0)),"Por definir"))</f>
        <v/>
      </c>
      <c r="O929" s="41" t="n"/>
      <c r="P929" s="39">
        <f>IF($L929="","",IFERROR(INDEX(LISTAS!$B$3:$B$42,MATCH($L929,LISTAS!$A$3:$A$42,0)),"Media"))</f>
        <v/>
      </c>
      <c r="Q929" s="44" t="n"/>
      <c r="R929" s="45" t="n"/>
      <c r="S929" s="20">
        <f>IFERROR(IF(OR($R929="",$C929=""),"",$R929/INDEX(DESPACHOS!$M$3:$M$3002,MATCH($C929,DESPACHOS!$B$3:$B$3002,0))),"")</f>
        <v/>
      </c>
      <c r="T929" s="41" t="n"/>
      <c r="U929" s="43">
        <f>IF(OR($B929="",$L929=""),"",WORKDAY($B929,IFERROR(INDEX(LISTAS!$C$3:$C$42,MATCH($L929,LISTAS!$A$3:$A$42,0)),3)))</f>
        <v/>
      </c>
      <c r="V929" s="40" t="n"/>
      <c r="W929" s="19">
        <f>IF($B929="","",IF($V929&lt;&gt;"",$V929-$B929,TODAY()-$B929))</f>
        <v/>
      </c>
      <c r="X929" s="19">
        <f>IF(OR($B929="",$U929=""),"",IF($V929&lt;&gt;"",MAX(0,$V929-$U929),MAX(0,TODAY()-$U929)))</f>
        <v/>
      </c>
      <c r="Y929" s="39">
        <f>IF($C929="","",IF(IFERROR(INDEX(LISTAS!$I$3:$I$42,MATCH($T929,LISTAS!$H$3:$H$42,0)),"NO")="SÍ",IF(N($X929)&gt;0,"CERRADA FUERA DE SLA","CERRADA EN SLA"),IF($U929="","SIN CLASIFICAR",IF(N($X929)&gt;0,"VENCIDA",IF(TODAY()&gt;=$U929-1,"POR VENCER","EN PLAZO")))))</f>
        <v/>
      </c>
      <c r="Z929" s="41" t="n"/>
      <c r="AA929" s="41" t="n"/>
      <c r="AB929" s="41" t="n"/>
    </row>
    <row r="930">
      <c r="A930" s="39">
        <f>IF($C930="","","NOV-"&amp;TEXT(ROW()-3,"0000"))</f>
        <v/>
      </c>
      <c r="B930" s="40" t="n"/>
      <c r="C930" s="41" t="n"/>
      <c r="D930" s="42">
        <f>IF($C930="","",IFERROR(INDEX(DESPACHOS!$D$3:$D$3002,MATCH($C930,DESPACHOS!$B$3:$B$3002,0)),"SIN DESPACHO"))</f>
        <v/>
      </c>
      <c r="E930" s="42">
        <f>IF($C930="","",IFERROR(INDEX(DESPACHOS!$K$3:$K$3002,MATCH($C930,DESPACHOS!$B$3:$B$3002,0)),""))</f>
        <v/>
      </c>
      <c r="F930" s="42">
        <f>IF($C930="","",IFERROR(INDEX(DESPACHOS!$I$3:$I$3002,MATCH($C930,DESPACHOS!$B$3:$B$3002,0)),""))</f>
        <v/>
      </c>
      <c r="G930" s="42">
        <f>IF($C930="","",IFERROR(INDEX(DESPACHOS!$F$3:$F$3002,MATCH($C930,DESPACHOS!$B$3:$B$3002,0)),""))</f>
        <v/>
      </c>
      <c r="H930" s="42">
        <f>IF($C930="","",IFERROR(INDEX(DESPACHOS!$G$3:$G$3002,MATCH($C930,DESPACHOS!$B$3:$B$3002,0)),""))</f>
        <v/>
      </c>
      <c r="I930" s="39">
        <f>IF($C930="","",IFERROR(INDEX(DESPACHOS!$H$3:$H$3002,MATCH($C930,DESPACHOS!$B$3:$B$3002,0)),""))</f>
        <v/>
      </c>
      <c r="J930" s="43">
        <f>IF($C930="","",IFERROR(INDEX(DESPACHOS!$J$3:$J$3002,MATCH($C930,DESPACHOS!$B$3:$B$3002,0)),""))</f>
        <v/>
      </c>
      <c r="K930" s="39">
        <f>IF($C930="","",IF(COUNTIFS(DESPACHOS!$B$3:$B$3002,$C930)=0,"NO EXISTE",IF(COUNTIFS(DESPACHOS!$B$3:$B$3002,$C930)&gt;1,"DUPLICADO","OK")))</f>
        <v/>
      </c>
      <c r="L930" s="41" t="n"/>
      <c r="M930" s="41" t="n"/>
      <c r="N930" s="42">
        <f>IF($M930="","",IFERROR(INDEX(LISTAS!$F$3:$F$42,MATCH($M930,LISTAS!$E$3:$E$42,0)),"Por definir"))</f>
        <v/>
      </c>
      <c r="O930" s="41" t="n"/>
      <c r="P930" s="39">
        <f>IF($L930="","",IFERROR(INDEX(LISTAS!$B$3:$B$42,MATCH($L930,LISTAS!$A$3:$A$42,0)),"Media"))</f>
        <v/>
      </c>
      <c r="Q930" s="44" t="n"/>
      <c r="R930" s="45" t="n"/>
      <c r="S930" s="20">
        <f>IFERROR(IF(OR($R930="",$C930=""),"",$R930/INDEX(DESPACHOS!$M$3:$M$3002,MATCH($C930,DESPACHOS!$B$3:$B$3002,0))),"")</f>
        <v/>
      </c>
      <c r="T930" s="41" t="n"/>
      <c r="U930" s="43">
        <f>IF(OR($B930="",$L930=""),"",WORKDAY($B930,IFERROR(INDEX(LISTAS!$C$3:$C$42,MATCH($L930,LISTAS!$A$3:$A$42,0)),3)))</f>
        <v/>
      </c>
      <c r="V930" s="40" t="n"/>
      <c r="W930" s="19">
        <f>IF($B930="","",IF($V930&lt;&gt;"",$V930-$B930,TODAY()-$B930))</f>
        <v/>
      </c>
      <c r="X930" s="19">
        <f>IF(OR($B930="",$U930=""),"",IF($V930&lt;&gt;"",MAX(0,$V930-$U930),MAX(0,TODAY()-$U930)))</f>
        <v/>
      </c>
      <c r="Y930" s="39">
        <f>IF($C930="","",IF(IFERROR(INDEX(LISTAS!$I$3:$I$42,MATCH($T930,LISTAS!$H$3:$H$42,0)),"NO")="SÍ",IF(N($X930)&gt;0,"CERRADA FUERA DE SLA","CERRADA EN SLA"),IF($U930="","SIN CLASIFICAR",IF(N($X930)&gt;0,"VENCIDA",IF(TODAY()&gt;=$U930-1,"POR VENCER","EN PLAZO")))))</f>
        <v/>
      </c>
      <c r="Z930" s="41" t="n"/>
      <c r="AA930" s="41" t="n"/>
      <c r="AB930" s="41" t="n"/>
    </row>
    <row r="931">
      <c r="A931" s="39">
        <f>IF($C931="","","NOV-"&amp;TEXT(ROW()-3,"0000"))</f>
        <v/>
      </c>
      <c r="B931" s="40" t="n"/>
      <c r="C931" s="41" t="n"/>
      <c r="D931" s="42">
        <f>IF($C931="","",IFERROR(INDEX(DESPACHOS!$D$3:$D$3002,MATCH($C931,DESPACHOS!$B$3:$B$3002,0)),"SIN DESPACHO"))</f>
        <v/>
      </c>
      <c r="E931" s="42">
        <f>IF($C931="","",IFERROR(INDEX(DESPACHOS!$K$3:$K$3002,MATCH($C931,DESPACHOS!$B$3:$B$3002,0)),""))</f>
        <v/>
      </c>
      <c r="F931" s="42">
        <f>IF($C931="","",IFERROR(INDEX(DESPACHOS!$I$3:$I$3002,MATCH($C931,DESPACHOS!$B$3:$B$3002,0)),""))</f>
        <v/>
      </c>
      <c r="G931" s="42">
        <f>IF($C931="","",IFERROR(INDEX(DESPACHOS!$F$3:$F$3002,MATCH($C931,DESPACHOS!$B$3:$B$3002,0)),""))</f>
        <v/>
      </c>
      <c r="H931" s="42">
        <f>IF($C931="","",IFERROR(INDEX(DESPACHOS!$G$3:$G$3002,MATCH($C931,DESPACHOS!$B$3:$B$3002,0)),""))</f>
        <v/>
      </c>
      <c r="I931" s="39">
        <f>IF($C931="","",IFERROR(INDEX(DESPACHOS!$H$3:$H$3002,MATCH($C931,DESPACHOS!$B$3:$B$3002,0)),""))</f>
        <v/>
      </c>
      <c r="J931" s="43">
        <f>IF($C931="","",IFERROR(INDEX(DESPACHOS!$J$3:$J$3002,MATCH($C931,DESPACHOS!$B$3:$B$3002,0)),""))</f>
        <v/>
      </c>
      <c r="K931" s="39">
        <f>IF($C931="","",IF(COUNTIFS(DESPACHOS!$B$3:$B$3002,$C931)=0,"NO EXISTE",IF(COUNTIFS(DESPACHOS!$B$3:$B$3002,$C931)&gt;1,"DUPLICADO","OK")))</f>
        <v/>
      </c>
      <c r="L931" s="41" t="n"/>
      <c r="M931" s="41" t="n"/>
      <c r="N931" s="42">
        <f>IF($M931="","",IFERROR(INDEX(LISTAS!$F$3:$F$42,MATCH($M931,LISTAS!$E$3:$E$42,0)),"Por definir"))</f>
        <v/>
      </c>
      <c r="O931" s="41" t="n"/>
      <c r="P931" s="39">
        <f>IF($L931="","",IFERROR(INDEX(LISTAS!$B$3:$B$42,MATCH($L931,LISTAS!$A$3:$A$42,0)),"Media"))</f>
        <v/>
      </c>
      <c r="Q931" s="44" t="n"/>
      <c r="R931" s="45" t="n"/>
      <c r="S931" s="20">
        <f>IFERROR(IF(OR($R931="",$C931=""),"",$R931/INDEX(DESPACHOS!$M$3:$M$3002,MATCH($C931,DESPACHOS!$B$3:$B$3002,0))),"")</f>
        <v/>
      </c>
      <c r="T931" s="41" t="n"/>
      <c r="U931" s="43">
        <f>IF(OR($B931="",$L931=""),"",WORKDAY($B931,IFERROR(INDEX(LISTAS!$C$3:$C$42,MATCH($L931,LISTAS!$A$3:$A$42,0)),3)))</f>
        <v/>
      </c>
      <c r="V931" s="40" t="n"/>
      <c r="W931" s="19">
        <f>IF($B931="","",IF($V931&lt;&gt;"",$V931-$B931,TODAY()-$B931))</f>
        <v/>
      </c>
      <c r="X931" s="19">
        <f>IF(OR($B931="",$U931=""),"",IF($V931&lt;&gt;"",MAX(0,$V931-$U931),MAX(0,TODAY()-$U931)))</f>
        <v/>
      </c>
      <c r="Y931" s="39">
        <f>IF($C931="","",IF(IFERROR(INDEX(LISTAS!$I$3:$I$42,MATCH($T931,LISTAS!$H$3:$H$42,0)),"NO")="SÍ",IF(N($X931)&gt;0,"CERRADA FUERA DE SLA","CERRADA EN SLA"),IF($U931="","SIN CLASIFICAR",IF(N($X931)&gt;0,"VENCIDA",IF(TODAY()&gt;=$U931-1,"POR VENCER","EN PLAZO")))))</f>
        <v/>
      </c>
      <c r="Z931" s="41" t="n"/>
      <c r="AA931" s="41" t="n"/>
      <c r="AB931" s="41" t="n"/>
    </row>
    <row r="932">
      <c r="A932" s="39">
        <f>IF($C932="","","NOV-"&amp;TEXT(ROW()-3,"0000"))</f>
        <v/>
      </c>
      <c r="B932" s="40" t="n"/>
      <c r="C932" s="41" t="n"/>
      <c r="D932" s="42">
        <f>IF($C932="","",IFERROR(INDEX(DESPACHOS!$D$3:$D$3002,MATCH($C932,DESPACHOS!$B$3:$B$3002,0)),"SIN DESPACHO"))</f>
        <v/>
      </c>
      <c r="E932" s="42">
        <f>IF($C932="","",IFERROR(INDEX(DESPACHOS!$K$3:$K$3002,MATCH($C932,DESPACHOS!$B$3:$B$3002,0)),""))</f>
        <v/>
      </c>
      <c r="F932" s="42">
        <f>IF($C932="","",IFERROR(INDEX(DESPACHOS!$I$3:$I$3002,MATCH($C932,DESPACHOS!$B$3:$B$3002,0)),""))</f>
        <v/>
      </c>
      <c r="G932" s="42">
        <f>IF($C932="","",IFERROR(INDEX(DESPACHOS!$F$3:$F$3002,MATCH($C932,DESPACHOS!$B$3:$B$3002,0)),""))</f>
        <v/>
      </c>
      <c r="H932" s="42">
        <f>IF($C932="","",IFERROR(INDEX(DESPACHOS!$G$3:$G$3002,MATCH($C932,DESPACHOS!$B$3:$B$3002,0)),""))</f>
        <v/>
      </c>
      <c r="I932" s="39">
        <f>IF($C932="","",IFERROR(INDEX(DESPACHOS!$H$3:$H$3002,MATCH($C932,DESPACHOS!$B$3:$B$3002,0)),""))</f>
        <v/>
      </c>
      <c r="J932" s="43">
        <f>IF($C932="","",IFERROR(INDEX(DESPACHOS!$J$3:$J$3002,MATCH($C932,DESPACHOS!$B$3:$B$3002,0)),""))</f>
        <v/>
      </c>
      <c r="K932" s="39">
        <f>IF($C932="","",IF(COUNTIFS(DESPACHOS!$B$3:$B$3002,$C932)=0,"NO EXISTE",IF(COUNTIFS(DESPACHOS!$B$3:$B$3002,$C932)&gt;1,"DUPLICADO","OK")))</f>
        <v/>
      </c>
      <c r="L932" s="41" t="n"/>
      <c r="M932" s="41" t="n"/>
      <c r="N932" s="42">
        <f>IF($M932="","",IFERROR(INDEX(LISTAS!$F$3:$F$42,MATCH($M932,LISTAS!$E$3:$E$42,0)),"Por definir"))</f>
        <v/>
      </c>
      <c r="O932" s="41" t="n"/>
      <c r="P932" s="39">
        <f>IF($L932="","",IFERROR(INDEX(LISTAS!$B$3:$B$42,MATCH($L932,LISTAS!$A$3:$A$42,0)),"Media"))</f>
        <v/>
      </c>
      <c r="Q932" s="44" t="n"/>
      <c r="R932" s="45" t="n"/>
      <c r="S932" s="20">
        <f>IFERROR(IF(OR($R932="",$C932=""),"",$R932/INDEX(DESPACHOS!$M$3:$M$3002,MATCH($C932,DESPACHOS!$B$3:$B$3002,0))),"")</f>
        <v/>
      </c>
      <c r="T932" s="41" t="n"/>
      <c r="U932" s="43">
        <f>IF(OR($B932="",$L932=""),"",WORKDAY($B932,IFERROR(INDEX(LISTAS!$C$3:$C$42,MATCH($L932,LISTAS!$A$3:$A$42,0)),3)))</f>
        <v/>
      </c>
      <c r="V932" s="40" t="n"/>
      <c r="W932" s="19">
        <f>IF($B932="","",IF($V932&lt;&gt;"",$V932-$B932,TODAY()-$B932))</f>
        <v/>
      </c>
      <c r="X932" s="19">
        <f>IF(OR($B932="",$U932=""),"",IF($V932&lt;&gt;"",MAX(0,$V932-$U932),MAX(0,TODAY()-$U932)))</f>
        <v/>
      </c>
      <c r="Y932" s="39">
        <f>IF($C932="","",IF(IFERROR(INDEX(LISTAS!$I$3:$I$42,MATCH($T932,LISTAS!$H$3:$H$42,0)),"NO")="SÍ",IF(N($X932)&gt;0,"CERRADA FUERA DE SLA","CERRADA EN SLA"),IF($U932="","SIN CLASIFICAR",IF(N($X932)&gt;0,"VENCIDA",IF(TODAY()&gt;=$U932-1,"POR VENCER","EN PLAZO")))))</f>
        <v/>
      </c>
      <c r="Z932" s="41" t="n"/>
      <c r="AA932" s="41" t="n"/>
      <c r="AB932" s="41" t="n"/>
    </row>
    <row r="933">
      <c r="A933" s="39">
        <f>IF($C933="","","NOV-"&amp;TEXT(ROW()-3,"0000"))</f>
        <v/>
      </c>
      <c r="B933" s="40" t="n"/>
      <c r="C933" s="41" t="n"/>
      <c r="D933" s="42">
        <f>IF($C933="","",IFERROR(INDEX(DESPACHOS!$D$3:$D$3002,MATCH($C933,DESPACHOS!$B$3:$B$3002,0)),"SIN DESPACHO"))</f>
        <v/>
      </c>
      <c r="E933" s="42">
        <f>IF($C933="","",IFERROR(INDEX(DESPACHOS!$K$3:$K$3002,MATCH($C933,DESPACHOS!$B$3:$B$3002,0)),""))</f>
        <v/>
      </c>
      <c r="F933" s="42">
        <f>IF($C933="","",IFERROR(INDEX(DESPACHOS!$I$3:$I$3002,MATCH($C933,DESPACHOS!$B$3:$B$3002,0)),""))</f>
        <v/>
      </c>
      <c r="G933" s="42">
        <f>IF($C933="","",IFERROR(INDEX(DESPACHOS!$F$3:$F$3002,MATCH($C933,DESPACHOS!$B$3:$B$3002,0)),""))</f>
        <v/>
      </c>
      <c r="H933" s="42">
        <f>IF($C933="","",IFERROR(INDEX(DESPACHOS!$G$3:$G$3002,MATCH($C933,DESPACHOS!$B$3:$B$3002,0)),""))</f>
        <v/>
      </c>
      <c r="I933" s="39">
        <f>IF($C933="","",IFERROR(INDEX(DESPACHOS!$H$3:$H$3002,MATCH($C933,DESPACHOS!$B$3:$B$3002,0)),""))</f>
        <v/>
      </c>
      <c r="J933" s="43">
        <f>IF($C933="","",IFERROR(INDEX(DESPACHOS!$J$3:$J$3002,MATCH($C933,DESPACHOS!$B$3:$B$3002,0)),""))</f>
        <v/>
      </c>
      <c r="K933" s="39">
        <f>IF($C933="","",IF(COUNTIFS(DESPACHOS!$B$3:$B$3002,$C933)=0,"NO EXISTE",IF(COUNTIFS(DESPACHOS!$B$3:$B$3002,$C933)&gt;1,"DUPLICADO","OK")))</f>
        <v/>
      </c>
      <c r="L933" s="41" t="n"/>
      <c r="M933" s="41" t="n"/>
      <c r="N933" s="42">
        <f>IF($M933="","",IFERROR(INDEX(LISTAS!$F$3:$F$42,MATCH($M933,LISTAS!$E$3:$E$42,0)),"Por definir"))</f>
        <v/>
      </c>
      <c r="O933" s="41" t="n"/>
      <c r="P933" s="39">
        <f>IF($L933="","",IFERROR(INDEX(LISTAS!$B$3:$B$42,MATCH($L933,LISTAS!$A$3:$A$42,0)),"Media"))</f>
        <v/>
      </c>
      <c r="Q933" s="44" t="n"/>
      <c r="R933" s="45" t="n"/>
      <c r="S933" s="20">
        <f>IFERROR(IF(OR($R933="",$C933=""),"",$R933/INDEX(DESPACHOS!$M$3:$M$3002,MATCH($C933,DESPACHOS!$B$3:$B$3002,0))),"")</f>
        <v/>
      </c>
      <c r="T933" s="41" t="n"/>
      <c r="U933" s="43">
        <f>IF(OR($B933="",$L933=""),"",WORKDAY($B933,IFERROR(INDEX(LISTAS!$C$3:$C$42,MATCH($L933,LISTAS!$A$3:$A$42,0)),3)))</f>
        <v/>
      </c>
      <c r="V933" s="40" t="n"/>
      <c r="W933" s="19">
        <f>IF($B933="","",IF($V933&lt;&gt;"",$V933-$B933,TODAY()-$B933))</f>
        <v/>
      </c>
      <c r="X933" s="19">
        <f>IF(OR($B933="",$U933=""),"",IF($V933&lt;&gt;"",MAX(0,$V933-$U933),MAX(0,TODAY()-$U933)))</f>
        <v/>
      </c>
      <c r="Y933" s="39">
        <f>IF($C933="","",IF(IFERROR(INDEX(LISTAS!$I$3:$I$42,MATCH($T933,LISTAS!$H$3:$H$42,0)),"NO")="SÍ",IF(N($X933)&gt;0,"CERRADA FUERA DE SLA","CERRADA EN SLA"),IF($U933="","SIN CLASIFICAR",IF(N($X933)&gt;0,"VENCIDA",IF(TODAY()&gt;=$U933-1,"POR VENCER","EN PLAZO")))))</f>
        <v/>
      </c>
      <c r="Z933" s="41" t="n"/>
      <c r="AA933" s="41" t="n"/>
      <c r="AB933" s="41" t="n"/>
    </row>
    <row r="934">
      <c r="A934" s="39">
        <f>IF($C934="","","NOV-"&amp;TEXT(ROW()-3,"0000"))</f>
        <v/>
      </c>
      <c r="B934" s="40" t="n"/>
      <c r="C934" s="41" t="n"/>
      <c r="D934" s="42">
        <f>IF($C934="","",IFERROR(INDEX(DESPACHOS!$D$3:$D$3002,MATCH($C934,DESPACHOS!$B$3:$B$3002,0)),"SIN DESPACHO"))</f>
        <v/>
      </c>
      <c r="E934" s="42">
        <f>IF($C934="","",IFERROR(INDEX(DESPACHOS!$K$3:$K$3002,MATCH($C934,DESPACHOS!$B$3:$B$3002,0)),""))</f>
        <v/>
      </c>
      <c r="F934" s="42">
        <f>IF($C934="","",IFERROR(INDEX(DESPACHOS!$I$3:$I$3002,MATCH($C934,DESPACHOS!$B$3:$B$3002,0)),""))</f>
        <v/>
      </c>
      <c r="G934" s="42">
        <f>IF($C934="","",IFERROR(INDEX(DESPACHOS!$F$3:$F$3002,MATCH($C934,DESPACHOS!$B$3:$B$3002,0)),""))</f>
        <v/>
      </c>
      <c r="H934" s="42">
        <f>IF($C934="","",IFERROR(INDEX(DESPACHOS!$G$3:$G$3002,MATCH($C934,DESPACHOS!$B$3:$B$3002,0)),""))</f>
        <v/>
      </c>
      <c r="I934" s="39">
        <f>IF($C934="","",IFERROR(INDEX(DESPACHOS!$H$3:$H$3002,MATCH($C934,DESPACHOS!$B$3:$B$3002,0)),""))</f>
        <v/>
      </c>
      <c r="J934" s="43">
        <f>IF($C934="","",IFERROR(INDEX(DESPACHOS!$J$3:$J$3002,MATCH($C934,DESPACHOS!$B$3:$B$3002,0)),""))</f>
        <v/>
      </c>
      <c r="K934" s="39">
        <f>IF($C934="","",IF(COUNTIFS(DESPACHOS!$B$3:$B$3002,$C934)=0,"NO EXISTE",IF(COUNTIFS(DESPACHOS!$B$3:$B$3002,$C934)&gt;1,"DUPLICADO","OK")))</f>
        <v/>
      </c>
      <c r="L934" s="41" t="n"/>
      <c r="M934" s="41" t="n"/>
      <c r="N934" s="42">
        <f>IF($M934="","",IFERROR(INDEX(LISTAS!$F$3:$F$42,MATCH($M934,LISTAS!$E$3:$E$42,0)),"Por definir"))</f>
        <v/>
      </c>
      <c r="O934" s="41" t="n"/>
      <c r="P934" s="39">
        <f>IF($L934="","",IFERROR(INDEX(LISTAS!$B$3:$B$42,MATCH($L934,LISTAS!$A$3:$A$42,0)),"Media"))</f>
        <v/>
      </c>
      <c r="Q934" s="44" t="n"/>
      <c r="R934" s="45" t="n"/>
      <c r="S934" s="20">
        <f>IFERROR(IF(OR($R934="",$C934=""),"",$R934/INDEX(DESPACHOS!$M$3:$M$3002,MATCH($C934,DESPACHOS!$B$3:$B$3002,0))),"")</f>
        <v/>
      </c>
      <c r="T934" s="41" t="n"/>
      <c r="U934" s="43">
        <f>IF(OR($B934="",$L934=""),"",WORKDAY($B934,IFERROR(INDEX(LISTAS!$C$3:$C$42,MATCH($L934,LISTAS!$A$3:$A$42,0)),3)))</f>
        <v/>
      </c>
      <c r="V934" s="40" t="n"/>
      <c r="W934" s="19">
        <f>IF($B934="","",IF($V934&lt;&gt;"",$V934-$B934,TODAY()-$B934))</f>
        <v/>
      </c>
      <c r="X934" s="19">
        <f>IF(OR($B934="",$U934=""),"",IF($V934&lt;&gt;"",MAX(0,$V934-$U934),MAX(0,TODAY()-$U934)))</f>
        <v/>
      </c>
      <c r="Y934" s="39">
        <f>IF($C934="","",IF(IFERROR(INDEX(LISTAS!$I$3:$I$42,MATCH($T934,LISTAS!$H$3:$H$42,0)),"NO")="SÍ",IF(N($X934)&gt;0,"CERRADA FUERA DE SLA","CERRADA EN SLA"),IF($U934="","SIN CLASIFICAR",IF(N($X934)&gt;0,"VENCIDA",IF(TODAY()&gt;=$U934-1,"POR VENCER","EN PLAZO")))))</f>
        <v/>
      </c>
      <c r="Z934" s="41" t="n"/>
      <c r="AA934" s="41" t="n"/>
      <c r="AB934" s="41" t="n"/>
    </row>
    <row r="935">
      <c r="A935" s="39">
        <f>IF($C935="","","NOV-"&amp;TEXT(ROW()-3,"0000"))</f>
        <v/>
      </c>
      <c r="B935" s="40" t="n"/>
      <c r="C935" s="41" t="n"/>
      <c r="D935" s="42">
        <f>IF($C935="","",IFERROR(INDEX(DESPACHOS!$D$3:$D$3002,MATCH($C935,DESPACHOS!$B$3:$B$3002,0)),"SIN DESPACHO"))</f>
        <v/>
      </c>
      <c r="E935" s="42">
        <f>IF($C935="","",IFERROR(INDEX(DESPACHOS!$K$3:$K$3002,MATCH($C935,DESPACHOS!$B$3:$B$3002,0)),""))</f>
        <v/>
      </c>
      <c r="F935" s="42">
        <f>IF($C935="","",IFERROR(INDEX(DESPACHOS!$I$3:$I$3002,MATCH($C935,DESPACHOS!$B$3:$B$3002,0)),""))</f>
        <v/>
      </c>
      <c r="G935" s="42">
        <f>IF($C935="","",IFERROR(INDEX(DESPACHOS!$F$3:$F$3002,MATCH($C935,DESPACHOS!$B$3:$B$3002,0)),""))</f>
        <v/>
      </c>
      <c r="H935" s="42">
        <f>IF($C935="","",IFERROR(INDEX(DESPACHOS!$G$3:$G$3002,MATCH($C935,DESPACHOS!$B$3:$B$3002,0)),""))</f>
        <v/>
      </c>
      <c r="I935" s="39">
        <f>IF($C935="","",IFERROR(INDEX(DESPACHOS!$H$3:$H$3002,MATCH($C935,DESPACHOS!$B$3:$B$3002,0)),""))</f>
        <v/>
      </c>
      <c r="J935" s="43">
        <f>IF($C935="","",IFERROR(INDEX(DESPACHOS!$J$3:$J$3002,MATCH($C935,DESPACHOS!$B$3:$B$3002,0)),""))</f>
        <v/>
      </c>
      <c r="K935" s="39">
        <f>IF($C935="","",IF(COUNTIFS(DESPACHOS!$B$3:$B$3002,$C935)=0,"NO EXISTE",IF(COUNTIFS(DESPACHOS!$B$3:$B$3002,$C935)&gt;1,"DUPLICADO","OK")))</f>
        <v/>
      </c>
      <c r="L935" s="41" t="n"/>
      <c r="M935" s="41" t="n"/>
      <c r="N935" s="42">
        <f>IF($M935="","",IFERROR(INDEX(LISTAS!$F$3:$F$42,MATCH($M935,LISTAS!$E$3:$E$42,0)),"Por definir"))</f>
        <v/>
      </c>
      <c r="O935" s="41" t="n"/>
      <c r="P935" s="39">
        <f>IF($L935="","",IFERROR(INDEX(LISTAS!$B$3:$B$42,MATCH($L935,LISTAS!$A$3:$A$42,0)),"Media"))</f>
        <v/>
      </c>
      <c r="Q935" s="44" t="n"/>
      <c r="R935" s="45" t="n"/>
      <c r="S935" s="20">
        <f>IFERROR(IF(OR($R935="",$C935=""),"",$R935/INDEX(DESPACHOS!$M$3:$M$3002,MATCH($C935,DESPACHOS!$B$3:$B$3002,0))),"")</f>
        <v/>
      </c>
      <c r="T935" s="41" t="n"/>
      <c r="U935" s="43">
        <f>IF(OR($B935="",$L935=""),"",WORKDAY($B935,IFERROR(INDEX(LISTAS!$C$3:$C$42,MATCH($L935,LISTAS!$A$3:$A$42,0)),3)))</f>
        <v/>
      </c>
      <c r="V935" s="40" t="n"/>
      <c r="W935" s="19">
        <f>IF($B935="","",IF($V935&lt;&gt;"",$V935-$B935,TODAY()-$B935))</f>
        <v/>
      </c>
      <c r="X935" s="19">
        <f>IF(OR($B935="",$U935=""),"",IF($V935&lt;&gt;"",MAX(0,$V935-$U935),MAX(0,TODAY()-$U935)))</f>
        <v/>
      </c>
      <c r="Y935" s="39">
        <f>IF($C935="","",IF(IFERROR(INDEX(LISTAS!$I$3:$I$42,MATCH($T935,LISTAS!$H$3:$H$42,0)),"NO")="SÍ",IF(N($X935)&gt;0,"CERRADA FUERA DE SLA","CERRADA EN SLA"),IF($U935="","SIN CLASIFICAR",IF(N($X935)&gt;0,"VENCIDA",IF(TODAY()&gt;=$U935-1,"POR VENCER","EN PLAZO")))))</f>
        <v/>
      </c>
      <c r="Z935" s="41" t="n"/>
      <c r="AA935" s="41" t="n"/>
      <c r="AB935" s="41" t="n"/>
    </row>
    <row r="936">
      <c r="A936" s="39">
        <f>IF($C936="","","NOV-"&amp;TEXT(ROW()-3,"0000"))</f>
        <v/>
      </c>
      <c r="B936" s="40" t="n"/>
      <c r="C936" s="41" t="n"/>
      <c r="D936" s="42">
        <f>IF($C936="","",IFERROR(INDEX(DESPACHOS!$D$3:$D$3002,MATCH($C936,DESPACHOS!$B$3:$B$3002,0)),"SIN DESPACHO"))</f>
        <v/>
      </c>
      <c r="E936" s="42">
        <f>IF($C936="","",IFERROR(INDEX(DESPACHOS!$K$3:$K$3002,MATCH($C936,DESPACHOS!$B$3:$B$3002,0)),""))</f>
        <v/>
      </c>
      <c r="F936" s="42">
        <f>IF($C936="","",IFERROR(INDEX(DESPACHOS!$I$3:$I$3002,MATCH($C936,DESPACHOS!$B$3:$B$3002,0)),""))</f>
        <v/>
      </c>
      <c r="G936" s="42">
        <f>IF($C936="","",IFERROR(INDEX(DESPACHOS!$F$3:$F$3002,MATCH($C936,DESPACHOS!$B$3:$B$3002,0)),""))</f>
        <v/>
      </c>
      <c r="H936" s="42">
        <f>IF($C936="","",IFERROR(INDEX(DESPACHOS!$G$3:$G$3002,MATCH($C936,DESPACHOS!$B$3:$B$3002,0)),""))</f>
        <v/>
      </c>
      <c r="I936" s="39">
        <f>IF($C936="","",IFERROR(INDEX(DESPACHOS!$H$3:$H$3002,MATCH($C936,DESPACHOS!$B$3:$B$3002,0)),""))</f>
        <v/>
      </c>
      <c r="J936" s="43">
        <f>IF($C936="","",IFERROR(INDEX(DESPACHOS!$J$3:$J$3002,MATCH($C936,DESPACHOS!$B$3:$B$3002,0)),""))</f>
        <v/>
      </c>
      <c r="K936" s="39">
        <f>IF($C936="","",IF(COUNTIFS(DESPACHOS!$B$3:$B$3002,$C936)=0,"NO EXISTE",IF(COUNTIFS(DESPACHOS!$B$3:$B$3002,$C936)&gt;1,"DUPLICADO","OK")))</f>
        <v/>
      </c>
      <c r="L936" s="41" t="n"/>
      <c r="M936" s="41" t="n"/>
      <c r="N936" s="42">
        <f>IF($M936="","",IFERROR(INDEX(LISTAS!$F$3:$F$42,MATCH($M936,LISTAS!$E$3:$E$42,0)),"Por definir"))</f>
        <v/>
      </c>
      <c r="O936" s="41" t="n"/>
      <c r="P936" s="39">
        <f>IF($L936="","",IFERROR(INDEX(LISTAS!$B$3:$B$42,MATCH($L936,LISTAS!$A$3:$A$42,0)),"Media"))</f>
        <v/>
      </c>
      <c r="Q936" s="44" t="n"/>
      <c r="R936" s="45" t="n"/>
      <c r="S936" s="20">
        <f>IFERROR(IF(OR($R936="",$C936=""),"",$R936/INDEX(DESPACHOS!$M$3:$M$3002,MATCH($C936,DESPACHOS!$B$3:$B$3002,0))),"")</f>
        <v/>
      </c>
      <c r="T936" s="41" t="n"/>
      <c r="U936" s="43">
        <f>IF(OR($B936="",$L936=""),"",WORKDAY($B936,IFERROR(INDEX(LISTAS!$C$3:$C$42,MATCH($L936,LISTAS!$A$3:$A$42,0)),3)))</f>
        <v/>
      </c>
      <c r="V936" s="40" t="n"/>
      <c r="W936" s="19">
        <f>IF($B936="","",IF($V936&lt;&gt;"",$V936-$B936,TODAY()-$B936))</f>
        <v/>
      </c>
      <c r="X936" s="19">
        <f>IF(OR($B936="",$U936=""),"",IF($V936&lt;&gt;"",MAX(0,$V936-$U936),MAX(0,TODAY()-$U936)))</f>
        <v/>
      </c>
      <c r="Y936" s="39">
        <f>IF($C936="","",IF(IFERROR(INDEX(LISTAS!$I$3:$I$42,MATCH($T936,LISTAS!$H$3:$H$42,0)),"NO")="SÍ",IF(N($X936)&gt;0,"CERRADA FUERA DE SLA","CERRADA EN SLA"),IF($U936="","SIN CLASIFICAR",IF(N($X936)&gt;0,"VENCIDA",IF(TODAY()&gt;=$U936-1,"POR VENCER","EN PLAZO")))))</f>
        <v/>
      </c>
      <c r="Z936" s="41" t="n"/>
      <c r="AA936" s="41" t="n"/>
      <c r="AB936" s="41" t="n"/>
    </row>
    <row r="937">
      <c r="A937" s="39">
        <f>IF($C937="","","NOV-"&amp;TEXT(ROW()-3,"0000"))</f>
        <v/>
      </c>
      <c r="B937" s="40" t="n"/>
      <c r="C937" s="41" t="n"/>
      <c r="D937" s="42">
        <f>IF($C937="","",IFERROR(INDEX(DESPACHOS!$D$3:$D$3002,MATCH($C937,DESPACHOS!$B$3:$B$3002,0)),"SIN DESPACHO"))</f>
        <v/>
      </c>
      <c r="E937" s="42">
        <f>IF($C937="","",IFERROR(INDEX(DESPACHOS!$K$3:$K$3002,MATCH($C937,DESPACHOS!$B$3:$B$3002,0)),""))</f>
        <v/>
      </c>
      <c r="F937" s="42">
        <f>IF($C937="","",IFERROR(INDEX(DESPACHOS!$I$3:$I$3002,MATCH($C937,DESPACHOS!$B$3:$B$3002,0)),""))</f>
        <v/>
      </c>
      <c r="G937" s="42">
        <f>IF($C937="","",IFERROR(INDEX(DESPACHOS!$F$3:$F$3002,MATCH($C937,DESPACHOS!$B$3:$B$3002,0)),""))</f>
        <v/>
      </c>
      <c r="H937" s="42">
        <f>IF($C937="","",IFERROR(INDEX(DESPACHOS!$G$3:$G$3002,MATCH($C937,DESPACHOS!$B$3:$B$3002,0)),""))</f>
        <v/>
      </c>
      <c r="I937" s="39">
        <f>IF($C937="","",IFERROR(INDEX(DESPACHOS!$H$3:$H$3002,MATCH($C937,DESPACHOS!$B$3:$B$3002,0)),""))</f>
        <v/>
      </c>
      <c r="J937" s="43">
        <f>IF($C937="","",IFERROR(INDEX(DESPACHOS!$J$3:$J$3002,MATCH($C937,DESPACHOS!$B$3:$B$3002,0)),""))</f>
        <v/>
      </c>
      <c r="K937" s="39">
        <f>IF($C937="","",IF(COUNTIFS(DESPACHOS!$B$3:$B$3002,$C937)=0,"NO EXISTE",IF(COUNTIFS(DESPACHOS!$B$3:$B$3002,$C937)&gt;1,"DUPLICADO","OK")))</f>
        <v/>
      </c>
      <c r="L937" s="41" t="n"/>
      <c r="M937" s="41" t="n"/>
      <c r="N937" s="42">
        <f>IF($M937="","",IFERROR(INDEX(LISTAS!$F$3:$F$42,MATCH($M937,LISTAS!$E$3:$E$42,0)),"Por definir"))</f>
        <v/>
      </c>
      <c r="O937" s="41" t="n"/>
      <c r="P937" s="39">
        <f>IF($L937="","",IFERROR(INDEX(LISTAS!$B$3:$B$42,MATCH($L937,LISTAS!$A$3:$A$42,0)),"Media"))</f>
        <v/>
      </c>
      <c r="Q937" s="44" t="n"/>
      <c r="R937" s="45" t="n"/>
      <c r="S937" s="20">
        <f>IFERROR(IF(OR($R937="",$C937=""),"",$R937/INDEX(DESPACHOS!$M$3:$M$3002,MATCH($C937,DESPACHOS!$B$3:$B$3002,0))),"")</f>
        <v/>
      </c>
      <c r="T937" s="41" t="n"/>
      <c r="U937" s="43">
        <f>IF(OR($B937="",$L937=""),"",WORKDAY($B937,IFERROR(INDEX(LISTAS!$C$3:$C$42,MATCH($L937,LISTAS!$A$3:$A$42,0)),3)))</f>
        <v/>
      </c>
      <c r="V937" s="40" t="n"/>
      <c r="W937" s="19">
        <f>IF($B937="","",IF($V937&lt;&gt;"",$V937-$B937,TODAY()-$B937))</f>
        <v/>
      </c>
      <c r="X937" s="19">
        <f>IF(OR($B937="",$U937=""),"",IF($V937&lt;&gt;"",MAX(0,$V937-$U937),MAX(0,TODAY()-$U937)))</f>
        <v/>
      </c>
      <c r="Y937" s="39">
        <f>IF($C937="","",IF(IFERROR(INDEX(LISTAS!$I$3:$I$42,MATCH($T937,LISTAS!$H$3:$H$42,0)),"NO")="SÍ",IF(N($X937)&gt;0,"CERRADA FUERA DE SLA","CERRADA EN SLA"),IF($U937="","SIN CLASIFICAR",IF(N($X937)&gt;0,"VENCIDA",IF(TODAY()&gt;=$U937-1,"POR VENCER","EN PLAZO")))))</f>
        <v/>
      </c>
      <c r="Z937" s="41" t="n"/>
      <c r="AA937" s="41" t="n"/>
      <c r="AB937" s="41" t="n"/>
    </row>
    <row r="938">
      <c r="A938" s="39">
        <f>IF($C938="","","NOV-"&amp;TEXT(ROW()-3,"0000"))</f>
        <v/>
      </c>
      <c r="B938" s="40" t="n"/>
      <c r="C938" s="41" t="n"/>
      <c r="D938" s="42">
        <f>IF($C938="","",IFERROR(INDEX(DESPACHOS!$D$3:$D$3002,MATCH($C938,DESPACHOS!$B$3:$B$3002,0)),"SIN DESPACHO"))</f>
        <v/>
      </c>
      <c r="E938" s="42">
        <f>IF($C938="","",IFERROR(INDEX(DESPACHOS!$K$3:$K$3002,MATCH($C938,DESPACHOS!$B$3:$B$3002,0)),""))</f>
        <v/>
      </c>
      <c r="F938" s="42">
        <f>IF($C938="","",IFERROR(INDEX(DESPACHOS!$I$3:$I$3002,MATCH($C938,DESPACHOS!$B$3:$B$3002,0)),""))</f>
        <v/>
      </c>
      <c r="G938" s="42">
        <f>IF($C938="","",IFERROR(INDEX(DESPACHOS!$F$3:$F$3002,MATCH($C938,DESPACHOS!$B$3:$B$3002,0)),""))</f>
        <v/>
      </c>
      <c r="H938" s="42">
        <f>IF($C938="","",IFERROR(INDEX(DESPACHOS!$G$3:$G$3002,MATCH($C938,DESPACHOS!$B$3:$B$3002,0)),""))</f>
        <v/>
      </c>
      <c r="I938" s="39">
        <f>IF($C938="","",IFERROR(INDEX(DESPACHOS!$H$3:$H$3002,MATCH($C938,DESPACHOS!$B$3:$B$3002,0)),""))</f>
        <v/>
      </c>
      <c r="J938" s="43">
        <f>IF($C938="","",IFERROR(INDEX(DESPACHOS!$J$3:$J$3002,MATCH($C938,DESPACHOS!$B$3:$B$3002,0)),""))</f>
        <v/>
      </c>
      <c r="K938" s="39">
        <f>IF($C938="","",IF(COUNTIFS(DESPACHOS!$B$3:$B$3002,$C938)=0,"NO EXISTE",IF(COUNTIFS(DESPACHOS!$B$3:$B$3002,$C938)&gt;1,"DUPLICADO","OK")))</f>
        <v/>
      </c>
      <c r="L938" s="41" t="n"/>
      <c r="M938" s="41" t="n"/>
      <c r="N938" s="42">
        <f>IF($M938="","",IFERROR(INDEX(LISTAS!$F$3:$F$42,MATCH($M938,LISTAS!$E$3:$E$42,0)),"Por definir"))</f>
        <v/>
      </c>
      <c r="O938" s="41" t="n"/>
      <c r="P938" s="39">
        <f>IF($L938="","",IFERROR(INDEX(LISTAS!$B$3:$B$42,MATCH($L938,LISTAS!$A$3:$A$42,0)),"Media"))</f>
        <v/>
      </c>
      <c r="Q938" s="44" t="n"/>
      <c r="R938" s="45" t="n"/>
      <c r="S938" s="20">
        <f>IFERROR(IF(OR($R938="",$C938=""),"",$R938/INDEX(DESPACHOS!$M$3:$M$3002,MATCH($C938,DESPACHOS!$B$3:$B$3002,0))),"")</f>
        <v/>
      </c>
      <c r="T938" s="41" t="n"/>
      <c r="U938" s="43">
        <f>IF(OR($B938="",$L938=""),"",WORKDAY($B938,IFERROR(INDEX(LISTAS!$C$3:$C$42,MATCH($L938,LISTAS!$A$3:$A$42,0)),3)))</f>
        <v/>
      </c>
      <c r="V938" s="40" t="n"/>
      <c r="W938" s="19">
        <f>IF($B938="","",IF($V938&lt;&gt;"",$V938-$B938,TODAY()-$B938))</f>
        <v/>
      </c>
      <c r="X938" s="19">
        <f>IF(OR($B938="",$U938=""),"",IF($V938&lt;&gt;"",MAX(0,$V938-$U938),MAX(0,TODAY()-$U938)))</f>
        <v/>
      </c>
      <c r="Y938" s="39">
        <f>IF($C938="","",IF(IFERROR(INDEX(LISTAS!$I$3:$I$42,MATCH($T938,LISTAS!$H$3:$H$42,0)),"NO")="SÍ",IF(N($X938)&gt;0,"CERRADA FUERA DE SLA","CERRADA EN SLA"),IF($U938="","SIN CLASIFICAR",IF(N($X938)&gt;0,"VENCIDA",IF(TODAY()&gt;=$U938-1,"POR VENCER","EN PLAZO")))))</f>
        <v/>
      </c>
      <c r="Z938" s="41" t="n"/>
      <c r="AA938" s="41" t="n"/>
      <c r="AB938" s="41" t="n"/>
    </row>
    <row r="939">
      <c r="A939" s="39">
        <f>IF($C939="","","NOV-"&amp;TEXT(ROW()-3,"0000"))</f>
        <v/>
      </c>
      <c r="B939" s="40" t="n"/>
      <c r="C939" s="41" t="n"/>
      <c r="D939" s="42">
        <f>IF($C939="","",IFERROR(INDEX(DESPACHOS!$D$3:$D$3002,MATCH($C939,DESPACHOS!$B$3:$B$3002,0)),"SIN DESPACHO"))</f>
        <v/>
      </c>
      <c r="E939" s="42">
        <f>IF($C939="","",IFERROR(INDEX(DESPACHOS!$K$3:$K$3002,MATCH($C939,DESPACHOS!$B$3:$B$3002,0)),""))</f>
        <v/>
      </c>
      <c r="F939" s="42">
        <f>IF($C939="","",IFERROR(INDEX(DESPACHOS!$I$3:$I$3002,MATCH($C939,DESPACHOS!$B$3:$B$3002,0)),""))</f>
        <v/>
      </c>
      <c r="G939" s="42">
        <f>IF($C939="","",IFERROR(INDEX(DESPACHOS!$F$3:$F$3002,MATCH($C939,DESPACHOS!$B$3:$B$3002,0)),""))</f>
        <v/>
      </c>
      <c r="H939" s="42">
        <f>IF($C939="","",IFERROR(INDEX(DESPACHOS!$G$3:$G$3002,MATCH($C939,DESPACHOS!$B$3:$B$3002,0)),""))</f>
        <v/>
      </c>
      <c r="I939" s="39">
        <f>IF($C939="","",IFERROR(INDEX(DESPACHOS!$H$3:$H$3002,MATCH($C939,DESPACHOS!$B$3:$B$3002,0)),""))</f>
        <v/>
      </c>
      <c r="J939" s="43">
        <f>IF($C939="","",IFERROR(INDEX(DESPACHOS!$J$3:$J$3002,MATCH($C939,DESPACHOS!$B$3:$B$3002,0)),""))</f>
        <v/>
      </c>
      <c r="K939" s="39">
        <f>IF($C939="","",IF(COUNTIFS(DESPACHOS!$B$3:$B$3002,$C939)=0,"NO EXISTE",IF(COUNTIFS(DESPACHOS!$B$3:$B$3002,$C939)&gt;1,"DUPLICADO","OK")))</f>
        <v/>
      </c>
      <c r="L939" s="41" t="n"/>
      <c r="M939" s="41" t="n"/>
      <c r="N939" s="42">
        <f>IF($M939="","",IFERROR(INDEX(LISTAS!$F$3:$F$42,MATCH($M939,LISTAS!$E$3:$E$42,0)),"Por definir"))</f>
        <v/>
      </c>
      <c r="O939" s="41" t="n"/>
      <c r="P939" s="39">
        <f>IF($L939="","",IFERROR(INDEX(LISTAS!$B$3:$B$42,MATCH($L939,LISTAS!$A$3:$A$42,0)),"Media"))</f>
        <v/>
      </c>
      <c r="Q939" s="44" t="n"/>
      <c r="R939" s="45" t="n"/>
      <c r="S939" s="20">
        <f>IFERROR(IF(OR($R939="",$C939=""),"",$R939/INDEX(DESPACHOS!$M$3:$M$3002,MATCH($C939,DESPACHOS!$B$3:$B$3002,0))),"")</f>
        <v/>
      </c>
      <c r="T939" s="41" t="n"/>
      <c r="U939" s="43">
        <f>IF(OR($B939="",$L939=""),"",WORKDAY($B939,IFERROR(INDEX(LISTAS!$C$3:$C$42,MATCH($L939,LISTAS!$A$3:$A$42,0)),3)))</f>
        <v/>
      </c>
      <c r="V939" s="40" t="n"/>
      <c r="W939" s="19">
        <f>IF($B939="","",IF($V939&lt;&gt;"",$V939-$B939,TODAY()-$B939))</f>
        <v/>
      </c>
      <c r="X939" s="19">
        <f>IF(OR($B939="",$U939=""),"",IF($V939&lt;&gt;"",MAX(0,$V939-$U939),MAX(0,TODAY()-$U939)))</f>
        <v/>
      </c>
      <c r="Y939" s="39">
        <f>IF($C939="","",IF(IFERROR(INDEX(LISTAS!$I$3:$I$42,MATCH($T939,LISTAS!$H$3:$H$42,0)),"NO")="SÍ",IF(N($X939)&gt;0,"CERRADA FUERA DE SLA","CERRADA EN SLA"),IF($U939="","SIN CLASIFICAR",IF(N($X939)&gt;0,"VENCIDA",IF(TODAY()&gt;=$U939-1,"POR VENCER","EN PLAZO")))))</f>
        <v/>
      </c>
      <c r="Z939" s="41" t="n"/>
      <c r="AA939" s="41" t="n"/>
      <c r="AB939" s="41" t="n"/>
    </row>
    <row r="940">
      <c r="A940" s="39">
        <f>IF($C940="","","NOV-"&amp;TEXT(ROW()-3,"0000"))</f>
        <v/>
      </c>
      <c r="B940" s="40" t="n"/>
      <c r="C940" s="41" t="n"/>
      <c r="D940" s="42">
        <f>IF($C940="","",IFERROR(INDEX(DESPACHOS!$D$3:$D$3002,MATCH($C940,DESPACHOS!$B$3:$B$3002,0)),"SIN DESPACHO"))</f>
        <v/>
      </c>
      <c r="E940" s="42">
        <f>IF($C940="","",IFERROR(INDEX(DESPACHOS!$K$3:$K$3002,MATCH($C940,DESPACHOS!$B$3:$B$3002,0)),""))</f>
        <v/>
      </c>
      <c r="F940" s="42">
        <f>IF($C940="","",IFERROR(INDEX(DESPACHOS!$I$3:$I$3002,MATCH($C940,DESPACHOS!$B$3:$B$3002,0)),""))</f>
        <v/>
      </c>
      <c r="G940" s="42">
        <f>IF($C940="","",IFERROR(INDEX(DESPACHOS!$F$3:$F$3002,MATCH($C940,DESPACHOS!$B$3:$B$3002,0)),""))</f>
        <v/>
      </c>
      <c r="H940" s="42">
        <f>IF($C940="","",IFERROR(INDEX(DESPACHOS!$G$3:$G$3002,MATCH($C940,DESPACHOS!$B$3:$B$3002,0)),""))</f>
        <v/>
      </c>
      <c r="I940" s="39">
        <f>IF($C940="","",IFERROR(INDEX(DESPACHOS!$H$3:$H$3002,MATCH($C940,DESPACHOS!$B$3:$B$3002,0)),""))</f>
        <v/>
      </c>
      <c r="J940" s="43">
        <f>IF($C940="","",IFERROR(INDEX(DESPACHOS!$J$3:$J$3002,MATCH($C940,DESPACHOS!$B$3:$B$3002,0)),""))</f>
        <v/>
      </c>
      <c r="K940" s="39">
        <f>IF($C940="","",IF(COUNTIFS(DESPACHOS!$B$3:$B$3002,$C940)=0,"NO EXISTE",IF(COUNTIFS(DESPACHOS!$B$3:$B$3002,$C940)&gt;1,"DUPLICADO","OK")))</f>
        <v/>
      </c>
      <c r="L940" s="41" t="n"/>
      <c r="M940" s="41" t="n"/>
      <c r="N940" s="42">
        <f>IF($M940="","",IFERROR(INDEX(LISTAS!$F$3:$F$42,MATCH($M940,LISTAS!$E$3:$E$42,0)),"Por definir"))</f>
        <v/>
      </c>
      <c r="O940" s="41" t="n"/>
      <c r="P940" s="39">
        <f>IF($L940="","",IFERROR(INDEX(LISTAS!$B$3:$B$42,MATCH($L940,LISTAS!$A$3:$A$42,0)),"Media"))</f>
        <v/>
      </c>
      <c r="Q940" s="44" t="n"/>
      <c r="R940" s="45" t="n"/>
      <c r="S940" s="20">
        <f>IFERROR(IF(OR($R940="",$C940=""),"",$R940/INDEX(DESPACHOS!$M$3:$M$3002,MATCH($C940,DESPACHOS!$B$3:$B$3002,0))),"")</f>
        <v/>
      </c>
      <c r="T940" s="41" t="n"/>
      <c r="U940" s="43">
        <f>IF(OR($B940="",$L940=""),"",WORKDAY($B940,IFERROR(INDEX(LISTAS!$C$3:$C$42,MATCH($L940,LISTAS!$A$3:$A$42,0)),3)))</f>
        <v/>
      </c>
      <c r="V940" s="40" t="n"/>
      <c r="W940" s="19">
        <f>IF($B940="","",IF($V940&lt;&gt;"",$V940-$B940,TODAY()-$B940))</f>
        <v/>
      </c>
      <c r="X940" s="19">
        <f>IF(OR($B940="",$U940=""),"",IF($V940&lt;&gt;"",MAX(0,$V940-$U940),MAX(0,TODAY()-$U940)))</f>
        <v/>
      </c>
      <c r="Y940" s="39">
        <f>IF($C940="","",IF(IFERROR(INDEX(LISTAS!$I$3:$I$42,MATCH($T940,LISTAS!$H$3:$H$42,0)),"NO")="SÍ",IF(N($X940)&gt;0,"CERRADA FUERA DE SLA","CERRADA EN SLA"),IF($U940="","SIN CLASIFICAR",IF(N($X940)&gt;0,"VENCIDA",IF(TODAY()&gt;=$U940-1,"POR VENCER","EN PLAZO")))))</f>
        <v/>
      </c>
      <c r="Z940" s="41" t="n"/>
      <c r="AA940" s="41" t="n"/>
      <c r="AB940" s="41" t="n"/>
    </row>
    <row r="941">
      <c r="A941" s="39">
        <f>IF($C941="","","NOV-"&amp;TEXT(ROW()-3,"0000"))</f>
        <v/>
      </c>
      <c r="B941" s="40" t="n"/>
      <c r="C941" s="41" t="n"/>
      <c r="D941" s="42">
        <f>IF($C941="","",IFERROR(INDEX(DESPACHOS!$D$3:$D$3002,MATCH($C941,DESPACHOS!$B$3:$B$3002,0)),"SIN DESPACHO"))</f>
        <v/>
      </c>
      <c r="E941" s="42">
        <f>IF($C941="","",IFERROR(INDEX(DESPACHOS!$K$3:$K$3002,MATCH($C941,DESPACHOS!$B$3:$B$3002,0)),""))</f>
        <v/>
      </c>
      <c r="F941" s="42">
        <f>IF($C941="","",IFERROR(INDEX(DESPACHOS!$I$3:$I$3002,MATCH($C941,DESPACHOS!$B$3:$B$3002,0)),""))</f>
        <v/>
      </c>
      <c r="G941" s="42">
        <f>IF($C941="","",IFERROR(INDEX(DESPACHOS!$F$3:$F$3002,MATCH($C941,DESPACHOS!$B$3:$B$3002,0)),""))</f>
        <v/>
      </c>
      <c r="H941" s="42">
        <f>IF($C941="","",IFERROR(INDEX(DESPACHOS!$G$3:$G$3002,MATCH($C941,DESPACHOS!$B$3:$B$3002,0)),""))</f>
        <v/>
      </c>
      <c r="I941" s="39">
        <f>IF($C941="","",IFERROR(INDEX(DESPACHOS!$H$3:$H$3002,MATCH($C941,DESPACHOS!$B$3:$B$3002,0)),""))</f>
        <v/>
      </c>
      <c r="J941" s="43">
        <f>IF($C941="","",IFERROR(INDEX(DESPACHOS!$J$3:$J$3002,MATCH($C941,DESPACHOS!$B$3:$B$3002,0)),""))</f>
        <v/>
      </c>
      <c r="K941" s="39">
        <f>IF($C941="","",IF(COUNTIFS(DESPACHOS!$B$3:$B$3002,$C941)=0,"NO EXISTE",IF(COUNTIFS(DESPACHOS!$B$3:$B$3002,$C941)&gt;1,"DUPLICADO","OK")))</f>
        <v/>
      </c>
      <c r="L941" s="41" t="n"/>
      <c r="M941" s="41" t="n"/>
      <c r="N941" s="42">
        <f>IF($M941="","",IFERROR(INDEX(LISTAS!$F$3:$F$42,MATCH($M941,LISTAS!$E$3:$E$42,0)),"Por definir"))</f>
        <v/>
      </c>
      <c r="O941" s="41" t="n"/>
      <c r="P941" s="39">
        <f>IF($L941="","",IFERROR(INDEX(LISTAS!$B$3:$B$42,MATCH($L941,LISTAS!$A$3:$A$42,0)),"Media"))</f>
        <v/>
      </c>
      <c r="Q941" s="44" t="n"/>
      <c r="R941" s="45" t="n"/>
      <c r="S941" s="20">
        <f>IFERROR(IF(OR($R941="",$C941=""),"",$R941/INDEX(DESPACHOS!$M$3:$M$3002,MATCH($C941,DESPACHOS!$B$3:$B$3002,0))),"")</f>
        <v/>
      </c>
      <c r="T941" s="41" t="n"/>
      <c r="U941" s="43">
        <f>IF(OR($B941="",$L941=""),"",WORKDAY($B941,IFERROR(INDEX(LISTAS!$C$3:$C$42,MATCH($L941,LISTAS!$A$3:$A$42,0)),3)))</f>
        <v/>
      </c>
      <c r="V941" s="40" t="n"/>
      <c r="W941" s="19">
        <f>IF($B941="","",IF($V941&lt;&gt;"",$V941-$B941,TODAY()-$B941))</f>
        <v/>
      </c>
      <c r="X941" s="19">
        <f>IF(OR($B941="",$U941=""),"",IF($V941&lt;&gt;"",MAX(0,$V941-$U941),MAX(0,TODAY()-$U941)))</f>
        <v/>
      </c>
      <c r="Y941" s="39">
        <f>IF($C941="","",IF(IFERROR(INDEX(LISTAS!$I$3:$I$42,MATCH($T941,LISTAS!$H$3:$H$42,0)),"NO")="SÍ",IF(N($X941)&gt;0,"CERRADA FUERA DE SLA","CERRADA EN SLA"),IF($U941="","SIN CLASIFICAR",IF(N($X941)&gt;0,"VENCIDA",IF(TODAY()&gt;=$U941-1,"POR VENCER","EN PLAZO")))))</f>
        <v/>
      </c>
      <c r="Z941" s="41" t="n"/>
      <c r="AA941" s="41" t="n"/>
      <c r="AB941" s="41" t="n"/>
    </row>
    <row r="942">
      <c r="A942" s="39">
        <f>IF($C942="","","NOV-"&amp;TEXT(ROW()-3,"0000"))</f>
        <v/>
      </c>
      <c r="B942" s="40" t="n"/>
      <c r="C942" s="41" t="n"/>
      <c r="D942" s="42">
        <f>IF($C942="","",IFERROR(INDEX(DESPACHOS!$D$3:$D$3002,MATCH($C942,DESPACHOS!$B$3:$B$3002,0)),"SIN DESPACHO"))</f>
        <v/>
      </c>
      <c r="E942" s="42">
        <f>IF($C942="","",IFERROR(INDEX(DESPACHOS!$K$3:$K$3002,MATCH($C942,DESPACHOS!$B$3:$B$3002,0)),""))</f>
        <v/>
      </c>
      <c r="F942" s="42">
        <f>IF($C942="","",IFERROR(INDEX(DESPACHOS!$I$3:$I$3002,MATCH($C942,DESPACHOS!$B$3:$B$3002,0)),""))</f>
        <v/>
      </c>
      <c r="G942" s="42">
        <f>IF($C942="","",IFERROR(INDEX(DESPACHOS!$F$3:$F$3002,MATCH($C942,DESPACHOS!$B$3:$B$3002,0)),""))</f>
        <v/>
      </c>
      <c r="H942" s="42">
        <f>IF($C942="","",IFERROR(INDEX(DESPACHOS!$G$3:$G$3002,MATCH($C942,DESPACHOS!$B$3:$B$3002,0)),""))</f>
        <v/>
      </c>
      <c r="I942" s="39">
        <f>IF($C942="","",IFERROR(INDEX(DESPACHOS!$H$3:$H$3002,MATCH($C942,DESPACHOS!$B$3:$B$3002,0)),""))</f>
        <v/>
      </c>
      <c r="J942" s="43">
        <f>IF($C942="","",IFERROR(INDEX(DESPACHOS!$J$3:$J$3002,MATCH($C942,DESPACHOS!$B$3:$B$3002,0)),""))</f>
        <v/>
      </c>
      <c r="K942" s="39">
        <f>IF($C942="","",IF(COUNTIFS(DESPACHOS!$B$3:$B$3002,$C942)=0,"NO EXISTE",IF(COUNTIFS(DESPACHOS!$B$3:$B$3002,$C942)&gt;1,"DUPLICADO","OK")))</f>
        <v/>
      </c>
      <c r="L942" s="41" t="n"/>
      <c r="M942" s="41" t="n"/>
      <c r="N942" s="42">
        <f>IF($M942="","",IFERROR(INDEX(LISTAS!$F$3:$F$42,MATCH($M942,LISTAS!$E$3:$E$42,0)),"Por definir"))</f>
        <v/>
      </c>
      <c r="O942" s="41" t="n"/>
      <c r="P942" s="39">
        <f>IF($L942="","",IFERROR(INDEX(LISTAS!$B$3:$B$42,MATCH($L942,LISTAS!$A$3:$A$42,0)),"Media"))</f>
        <v/>
      </c>
      <c r="Q942" s="44" t="n"/>
      <c r="R942" s="45" t="n"/>
      <c r="S942" s="20">
        <f>IFERROR(IF(OR($R942="",$C942=""),"",$R942/INDEX(DESPACHOS!$M$3:$M$3002,MATCH($C942,DESPACHOS!$B$3:$B$3002,0))),"")</f>
        <v/>
      </c>
      <c r="T942" s="41" t="n"/>
      <c r="U942" s="43">
        <f>IF(OR($B942="",$L942=""),"",WORKDAY($B942,IFERROR(INDEX(LISTAS!$C$3:$C$42,MATCH($L942,LISTAS!$A$3:$A$42,0)),3)))</f>
        <v/>
      </c>
      <c r="V942" s="40" t="n"/>
      <c r="W942" s="19">
        <f>IF($B942="","",IF($V942&lt;&gt;"",$V942-$B942,TODAY()-$B942))</f>
        <v/>
      </c>
      <c r="X942" s="19">
        <f>IF(OR($B942="",$U942=""),"",IF($V942&lt;&gt;"",MAX(0,$V942-$U942),MAX(0,TODAY()-$U942)))</f>
        <v/>
      </c>
      <c r="Y942" s="39">
        <f>IF($C942="","",IF(IFERROR(INDEX(LISTAS!$I$3:$I$42,MATCH($T942,LISTAS!$H$3:$H$42,0)),"NO")="SÍ",IF(N($X942)&gt;0,"CERRADA FUERA DE SLA","CERRADA EN SLA"),IF($U942="","SIN CLASIFICAR",IF(N($X942)&gt;0,"VENCIDA",IF(TODAY()&gt;=$U942-1,"POR VENCER","EN PLAZO")))))</f>
        <v/>
      </c>
      <c r="Z942" s="41" t="n"/>
      <c r="AA942" s="41" t="n"/>
      <c r="AB942" s="41" t="n"/>
    </row>
    <row r="943">
      <c r="A943" s="39">
        <f>IF($C943="","","NOV-"&amp;TEXT(ROW()-3,"0000"))</f>
        <v/>
      </c>
      <c r="B943" s="40" t="n"/>
      <c r="C943" s="41" t="n"/>
      <c r="D943" s="42">
        <f>IF($C943="","",IFERROR(INDEX(DESPACHOS!$D$3:$D$3002,MATCH($C943,DESPACHOS!$B$3:$B$3002,0)),"SIN DESPACHO"))</f>
        <v/>
      </c>
      <c r="E943" s="42">
        <f>IF($C943="","",IFERROR(INDEX(DESPACHOS!$K$3:$K$3002,MATCH($C943,DESPACHOS!$B$3:$B$3002,0)),""))</f>
        <v/>
      </c>
      <c r="F943" s="42">
        <f>IF($C943="","",IFERROR(INDEX(DESPACHOS!$I$3:$I$3002,MATCH($C943,DESPACHOS!$B$3:$B$3002,0)),""))</f>
        <v/>
      </c>
      <c r="G943" s="42">
        <f>IF($C943="","",IFERROR(INDEX(DESPACHOS!$F$3:$F$3002,MATCH($C943,DESPACHOS!$B$3:$B$3002,0)),""))</f>
        <v/>
      </c>
      <c r="H943" s="42">
        <f>IF($C943="","",IFERROR(INDEX(DESPACHOS!$G$3:$G$3002,MATCH($C943,DESPACHOS!$B$3:$B$3002,0)),""))</f>
        <v/>
      </c>
      <c r="I943" s="39">
        <f>IF($C943="","",IFERROR(INDEX(DESPACHOS!$H$3:$H$3002,MATCH($C943,DESPACHOS!$B$3:$B$3002,0)),""))</f>
        <v/>
      </c>
      <c r="J943" s="43">
        <f>IF($C943="","",IFERROR(INDEX(DESPACHOS!$J$3:$J$3002,MATCH($C943,DESPACHOS!$B$3:$B$3002,0)),""))</f>
        <v/>
      </c>
      <c r="K943" s="39">
        <f>IF($C943="","",IF(COUNTIFS(DESPACHOS!$B$3:$B$3002,$C943)=0,"NO EXISTE",IF(COUNTIFS(DESPACHOS!$B$3:$B$3002,$C943)&gt;1,"DUPLICADO","OK")))</f>
        <v/>
      </c>
      <c r="L943" s="41" t="n"/>
      <c r="M943" s="41" t="n"/>
      <c r="N943" s="42">
        <f>IF($M943="","",IFERROR(INDEX(LISTAS!$F$3:$F$42,MATCH($M943,LISTAS!$E$3:$E$42,0)),"Por definir"))</f>
        <v/>
      </c>
      <c r="O943" s="41" t="n"/>
      <c r="P943" s="39">
        <f>IF($L943="","",IFERROR(INDEX(LISTAS!$B$3:$B$42,MATCH($L943,LISTAS!$A$3:$A$42,0)),"Media"))</f>
        <v/>
      </c>
      <c r="Q943" s="44" t="n"/>
      <c r="R943" s="45" t="n"/>
      <c r="S943" s="20">
        <f>IFERROR(IF(OR($R943="",$C943=""),"",$R943/INDEX(DESPACHOS!$M$3:$M$3002,MATCH($C943,DESPACHOS!$B$3:$B$3002,0))),"")</f>
        <v/>
      </c>
      <c r="T943" s="41" t="n"/>
      <c r="U943" s="43">
        <f>IF(OR($B943="",$L943=""),"",WORKDAY($B943,IFERROR(INDEX(LISTAS!$C$3:$C$42,MATCH($L943,LISTAS!$A$3:$A$42,0)),3)))</f>
        <v/>
      </c>
      <c r="V943" s="40" t="n"/>
      <c r="W943" s="19">
        <f>IF($B943="","",IF($V943&lt;&gt;"",$V943-$B943,TODAY()-$B943))</f>
        <v/>
      </c>
      <c r="X943" s="19">
        <f>IF(OR($B943="",$U943=""),"",IF($V943&lt;&gt;"",MAX(0,$V943-$U943),MAX(0,TODAY()-$U943)))</f>
        <v/>
      </c>
      <c r="Y943" s="39">
        <f>IF($C943="","",IF(IFERROR(INDEX(LISTAS!$I$3:$I$42,MATCH($T943,LISTAS!$H$3:$H$42,0)),"NO")="SÍ",IF(N($X943)&gt;0,"CERRADA FUERA DE SLA","CERRADA EN SLA"),IF($U943="","SIN CLASIFICAR",IF(N($X943)&gt;0,"VENCIDA",IF(TODAY()&gt;=$U943-1,"POR VENCER","EN PLAZO")))))</f>
        <v/>
      </c>
      <c r="Z943" s="41" t="n"/>
      <c r="AA943" s="41" t="n"/>
      <c r="AB943" s="41" t="n"/>
    </row>
    <row r="944">
      <c r="A944" s="39">
        <f>IF($C944="","","NOV-"&amp;TEXT(ROW()-3,"0000"))</f>
        <v/>
      </c>
      <c r="B944" s="40" t="n"/>
      <c r="C944" s="41" t="n"/>
      <c r="D944" s="42">
        <f>IF($C944="","",IFERROR(INDEX(DESPACHOS!$D$3:$D$3002,MATCH($C944,DESPACHOS!$B$3:$B$3002,0)),"SIN DESPACHO"))</f>
        <v/>
      </c>
      <c r="E944" s="42">
        <f>IF($C944="","",IFERROR(INDEX(DESPACHOS!$K$3:$K$3002,MATCH($C944,DESPACHOS!$B$3:$B$3002,0)),""))</f>
        <v/>
      </c>
      <c r="F944" s="42">
        <f>IF($C944="","",IFERROR(INDEX(DESPACHOS!$I$3:$I$3002,MATCH($C944,DESPACHOS!$B$3:$B$3002,0)),""))</f>
        <v/>
      </c>
      <c r="G944" s="42">
        <f>IF($C944="","",IFERROR(INDEX(DESPACHOS!$F$3:$F$3002,MATCH($C944,DESPACHOS!$B$3:$B$3002,0)),""))</f>
        <v/>
      </c>
      <c r="H944" s="42">
        <f>IF($C944="","",IFERROR(INDEX(DESPACHOS!$G$3:$G$3002,MATCH($C944,DESPACHOS!$B$3:$B$3002,0)),""))</f>
        <v/>
      </c>
      <c r="I944" s="39">
        <f>IF($C944="","",IFERROR(INDEX(DESPACHOS!$H$3:$H$3002,MATCH($C944,DESPACHOS!$B$3:$B$3002,0)),""))</f>
        <v/>
      </c>
      <c r="J944" s="43">
        <f>IF($C944="","",IFERROR(INDEX(DESPACHOS!$J$3:$J$3002,MATCH($C944,DESPACHOS!$B$3:$B$3002,0)),""))</f>
        <v/>
      </c>
      <c r="K944" s="39">
        <f>IF($C944="","",IF(COUNTIFS(DESPACHOS!$B$3:$B$3002,$C944)=0,"NO EXISTE",IF(COUNTIFS(DESPACHOS!$B$3:$B$3002,$C944)&gt;1,"DUPLICADO","OK")))</f>
        <v/>
      </c>
      <c r="L944" s="41" t="n"/>
      <c r="M944" s="41" t="n"/>
      <c r="N944" s="42">
        <f>IF($M944="","",IFERROR(INDEX(LISTAS!$F$3:$F$42,MATCH($M944,LISTAS!$E$3:$E$42,0)),"Por definir"))</f>
        <v/>
      </c>
      <c r="O944" s="41" t="n"/>
      <c r="P944" s="39">
        <f>IF($L944="","",IFERROR(INDEX(LISTAS!$B$3:$B$42,MATCH($L944,LISTAS!$A$3:$A$42,0)),"Media"))</f>
        <v/>
      </c>
      <c r="Q944" s="44" t="n"/>
      <c r="R944" s="45" t="n"/>
      <c r="S944" s="20">
        <f>IFERROR(IF(OR($R944="",$C944=""),"",$R944/INDEX(DESPACHOS!$M$3:$M$3002,MATCH($C944,DESPACHOS!$B$3:$B$3002,0))),"")</f>
        <v/>
      </c>
      <c r="T944" s="41" t="n"/>
      <c r="U944" s="43">
        <f>IF(OR($B944="",$L944=""),"",WORKDAY($B944,IFERROR(INDEX(LISTAS!$C$3:$C$42,MATCH($L944,LISTAS!$A$3:$A$42,0)),3)))</f>
        <v/>
      </c>
      <c r="V944" s="40" t="n"/>
      <c r="W944" s="19">
        <f>IF($B944="","",IF($V944&lt;&gt;"",$V944-$B944,TODAY()-$B944))</f>
        <v/>
      </c>
      <c r="X944" s="19">
        <f>IF(OR($B944="",$U944=""),"",IF($V944&lt;&gt;"",MAX(0,$V944-$U944),MAX(0,TODAY()-$U944)))</f>
        <v/>
      </c>
      <c r="Y944" s="39">
        <f>IF($C944="","",IF(IFERROR(INDEX(LISTAS!$I$3:$I$42,MATCH($T944,LISTAS!$H$3:$H$42,0)),"NO")="SÍ",IF(N($X944)&gt;0,"CERRADA FUERA DE SLA","CERRADA EN SLA"),IF($U944="","SIN CLASIFICAR",IF(N($X944)&gt;0,"VENCIDA",IF(TODAY()&gt;=$U944-1,"POR VENCER","EN PLAZO")))))</f>
        <v/>
      </c>
      <c r="Z944" s="41" t="n"/>
      <c r="AA944" s="41" t="n"/>
      <c r="AB944" s="41" t="n"/>
    </row>
    <row r="945">
      <c r="A945" s="39">
        <f>IF($C945="","","NOV-"&amp;TEXT(ROW()-3,"0000"))</f>
        <v/>
      </c>
      <c r="B945" s="40" t="n"/>
      <c r="C945" s="41" t="n"/>
      <c r="D945" s="42">
        <f>IF($C945="","",IFERROR(INDEX(DESPACHOS!$D$3:$D$3002,MATCH($C945,DESPACHOS!$B$3:$B$3002,0)),"SIN DESPACHO"))</f>
        <v/>
      </c>
      <c r="E945" s="42">
        <f>IF($C945="","",IFERROR(INDEX(DESPACHOS!$K$3:$K$3002,MATCH($C945,DESPACHOS!$B$3:$B$3002,0)),""))</f>
        <v/>
      </c>
      <c r="F945" s="42">
        <f>IF($C945="","",IFERROR(INDEX(DESPACHOS!$I$3:$I$3002,MATCH($C945,DESPACHOS!$B$3:$B$3002,0)),""))</f>
        <v/>
      </c>
      <c r="G945" s="42">
        <f>IF($C945="","",IFERROR(INDEX(DESPACHOS!$F$3:$F$3002,MATCH($C945,DESPACHOS!$B$3:$B$3002,0)),""))</f>
        <v/>
      </c>
      <c r="H945" s="42">
        <f>IF($C945="","",IFERROR(INDEX(DESPACHOS!$G$3:$G$3002,MATCH($C945,DESPACHOS!$B$3:$B$3002,0)),""))</f>
        <v/>
      </c>
      <c r="I945" s="39">
        <f>IF($C945="","",IFERROR(INDEX(DESPACHOS!$H$3:$H$3002,MATCH($C945,DESPACHOS!$B$3:$B$3002,0)),""))</f>
        <v/>
      </c>
      <c r="J945" s="43">
        <f>IF($C945="","",IFERROR(INDEX(DESPACHOS!$J$3:$J$3002,MATCH($C945,DESPACHOS!$B$3:$B$3002,0)),""))</f>
        <v/>
      </c>
      <c r="K945" s="39">
        <f>IF($C945="","",IF(COUNTIFS(DESPACHOS!$B$3:$B$3002,$C945)=0,"NO EXISTE",IF(COUNTIFS(DESPACHOS!$B$3:$B$3002,$C945)&gt;1,"DUPLICADO","OK")))</f>
        <v/>
      </c>
      <c r="L945" s="41" t="n"/>
      <c r="M945" s="41" t="n"/>
      <c r="N945" s="42">
        <f>IF($M945="","",IFERROR(INDEX(LISTAS!$F$3:$F$42,MATCH($M945,LISTAS!$E$3:$E$42,0)),"Por definir"))</f>
        <v/>
      </c>
      <c r="O945" s="41" t="n"/>
      <c r="P945" s="39">
        <f>IF($L945="","",IFERROR(INDEX(LISTAS!$B$3:$B$42,MATCH($L945,LISTAS!$A$3:$A$42,0)),"Media"))</f>
        <v/>
      </c>
      <c r="Q945" s="44" t="n"/>
      <c r="R945" s="45" t="n"/>
      <c r="S945" s="20">
        <f>IFERROR(IF(OR($R945="",$C945=""),"",$R945/INDEX(DESPACHOS!$M$3:$M$3002,MATCH($C945,DESPACHOS!$B$3:$B$3002,0))),"")</f>
        <v/>
      </c>
      <c r="T945" s="41" t="n"/>
      <c r="U945" s="43">
        <f>IF(OR($B945="",$L945=""),"",WORKDAY($B945,IFERROR(INDEX(LISTAS!$C$3:$C$42,MATCH($L945,LISTAS!$A$3:$A$42,0)),3)))</f>
        <v/>
      </c>
      <c r="V945" s="40" t="n"/>
      <c r="W945" s="19">
        <f>IF($B945="","",IF($V945&lt;&gt;"",$V945-$B945,TODAY()-$B945))</f>
        <v/>
      </c>
      <c r="X945" s="19">
        <f>IF(OR($B945="",$U945=""),"",IF($V945&lt;&gt;"",MAX(0,$V945-$U945),MAX(0,TODAY()-$U945)))</f>
        <v/>
      </c>
      <c r="Y945" s="39">
        <f>IF($C945="","",IF(IFERROR(INDEX(LISTAS!$I$3:$I$42,MATCH($T945,LISTAS!$H$3:$H$42,0)),"NO")="SÍ",IF(N($X945)&gt;0,"CERRADA FUERA DE SLA","CERRADA EN SLA"),IF($U945="","SIN CLASIFICAR",IF(N($X945)&gt;0,"VENCIDA",IF(TODAY()&gt;=$U945-1,"POR VENCER","EN PLAZO")))))</f>
        <v/>
      </c>
      <c r="Z945" s="41" t="n"/>
      <c r="AA945" s="41" t="n"/>
      <c r="AB945" s="41" t="n"/>
    </row>
    <row r="946">
      <c r="A946" s="39">
        <f>IF($C946="","","NOV-"&amp;TEXT(ROW()-3,"0000"))</f>
        <v/>
      </c>
      <c r="B946" s="40" t="n"/>
      <c r="C946" s="41" t="n"/>
      <c r="D946" s="42">
        <f>IF($C946="","",IFERROR(INDEX(DESPACHOS!$D$3:$D$3002,MATCH($C946,DESPACHOS!$B$3:$B$3002,0)),"SIN DESPACHO"))</f>
        <v/>
      </c>
      <c r="E946" s="42">
        <f>IF($C946="","",IFERROR(INDEX(DESPACHOS!$K$3:$K$3002,MATCH($C946,DESPACHOS!$B$3:$B$3002,0)),""))</f>
        <v/>
      </c>
      <c r="F946" s="42">
        <f>IF($C946="","",IFERROR(INDEX(DESPACHOS!$I$3:$I$3002,MATCH($C946,DESPACHOS!$B$3:$B$3002,0)),""))</f>
        <v/>
      </c>
      <c r="G946" s="42">
        <f>IF($C946="","",IFERROR(INDEX(DESPACHOS!$F$3:$F$3002,MATCH($C946,DESPACHOS!$B$3:$B$3002,0)),""))</f>
        <v/>
      </c>
      <c r="H946" s="42">
        <f>IF($C946="","",IFERROR(INDEX(DESPACHOS!$G$3:$G$3002,MATCH($C946,DESPACHOS!$B$3:$B$3002,0)),""))</f>
        <v/>
      </c>
      <c r="I946" s="39">
        <f>IF($C946="","",IFERROR(INDEX(DESPACHOS!$H$3:$H$3002,MATCH($C946,DESPACHOS!$B$3:$B$3002,0)),""))</f>
        <v/>
      </c>
      <c r="J946" s="43">
        <f>IF($C946="","",IFERROR(INDEX(DESPACHOS!$J$3:$J$3002,MATCH($C946,DESPACHOS!$B$3:$B$3002,0)),""))</f>
        <v/>
      </c>
      <c r="K946" s="39">
        <f>IF($C946="","",IF(COUNTIFS(DESPACHOS!$B$3:$B$3002,$C946)=0,"NO EXISTE",IF(COUNTIFS(DESPACHOS!$B$3:$B$3002,$C946)&gt;1,"DUPLICADO","OK")))</f>
        <v/>
      </c>
      <c r="L946" s="41" t="n"/>
      <c r="M946" s="41" t="n"/>
      <c r="N946" s="42">
        <f>IF($M946="","",IFERROR(INDEX(LISTAS!$F$3:$F$42,MATCH($M946,LISTAS!$E$3:$E$42,0)),"Por definir"))</f>
        <v/>
      </c>
      <c r="O946" s="41" t="n"/>
      <c r="P946" s="39">
        <f>IF($L946="","",IFERROR(INDEX(LISTAS!$B$3:$B$42,MATCH($L946,LISTAS!$A$3:$A$42,0)),"Media"))</f>
        <v/>
      </c>
      <c r="Q946" s="44" t="n"/>
      <c r="R946" s="45" t="n"/>
      <c r="S946" s="20">
        <f>IFERROR(IF(OR($R946="",$C946=""),"",$R946/INDEX(DESPACHOS!$M$3:$M$3002,MATCH($C946,DESPACHOS!$B$3:$B$3002,0))),"")</f>
        <v/>
      </c>
      <c r="T946" s="41" t="n"/>
      <c r="U946" s="43">
        <f>IF(OR($B946="",$L946=""),"",WORKDAY($B946,IFERROR(INDEX(LISTAS!$C$3:$C$42,MATCH($L946,LISTAS!$A$3:$A$42,0)),3)))</f>
        <v/>
      </c>
      <c r="V946" s="40" t="n"/>
      <c r="W946" s="19">
        <f>IF($B946="","",IF($V946&lt;&gt;"",$V946-$B946,TODAY()-$B946))</f>
        <v/>
      </c>
      <c r="X946" s="19">
        <f>IF(OR($B946="",$U946=""),"",IF($V946&lt;&gt;"",MAX(0,$V946-$U946),MAX(0,TODAY()-$U946)))</f>
        <v/>
      </c>
      <c r="Y946" s="39">
        <f>IF($C946="","",IF(IFERROR(INDEX(LISTAS!$I$3:$I$42,MATCH($T946,LISTAS!$H$3:$H$42,0)),"NO")="SÍ",IF(N($X946)&gt;0,"CERRADA FUERA DE SLA","CERRADA EN SLA"),IF($U946="","SIN CLASIFICAR",IF(N($X946)&gt;0,"VENCIDA",IF(TODAY()&gt;=$U946-1,"POR VENCER","EN PLAZO")))))</f>
        <v/>
      </c>
      <c r="Z946" s="41" t="n"/>
      <c r="AA946" s="41" t="n"/>
      <c r="AB946" s="41" t="n"/>
    </row>
    <row r="947">
      <c r="A947" s="39">
        <f>IF($C947="","","NOV-"&amp;TEXT(ROW()-3,"0000"))</f>
        <v/>
      </c>
      <c r="B947" s="40" t="n"/>
      <c r="C947" s="41" t="n"/>
      <c r="D947" s="42">
        <f>IF($C947="","",IFERROR(INDEX(DESPACHOS!$D$3:$D$3002,MATCH($C947,DESPACHOS!$B$3:$B$3002,0)),"SIN DESPACHO"))</f>
        <v/>
      </c>
      <c r="E947" s="42">
        <f>IF($C947="","",IFERROR(INDEX(DESPACHOS!$K$3:$K$3002,MATCH($C947,DESPACHOS!$B$3:$B$3002,0)),""))</f>
        <v/>
      </c>
      <c r="F947" s="42">
        <f>IF($C947="","",IFERROR(INDEX(DESPACHOS!$I$3:$I$3002,MATCH($C947,DESPACHOS!$B$3:$B$3002,0)),""))</f>
        <v/>
      </c>
      <c r="G947" s="42">
        <f>IF($C947="","",IFERROR(INDEX(DESPACHOS!$F$3:$F$3002,MATCH($C947,DESPACHOS!$B$3:$B$3002,0)),""))</f>
        <v/>
      </c>
      <c r="H947" s="42">
        <f>IF($C947="","",IFERROR(INDEX(DESPACHOS!$G$3:$G$3002,MATCH($C947,DESPACHOS!$B$3:$B$3002,0)),""))</f>
        <v/>
      </c>
      <c r="I947" s="39">
        <f>IF($C947="","",IFERROR(INDEX(DESPACHOS!$H$3:$H$3002,MATCH($C947,DESPACHOS!$B$3:$B$3002,0)),""))</f>
        <v/>
      </c>
      <c r="J947" s="43">
        <f>IF($C947="","",IFERROR(INDEX(DESPACHOS!$J$3:$J$3002,MATCH($C947,DESPACHOS!$B$3:$B$3002,0)),""))</f>
        <v/>
      </c>
      <c r="K947" s="39">
        <f>IF($C947="","",IF(COUNTIFS(DESPACHOS!$B$3:$B$3002,$C947)=0,"NO EXISTE",IF(COUNTIFS(DESPACHOS!$B$3:$B$3002,$C947)&gt;1,"DUPLICADO","OK")))</f>
        <v/>
      </c>
      <c r="L947" s="41" t="n"/>
      <c r="M947" s="41" t="n"/>
      <c r="N947" s="42">
        <f>IF($M947="","",IFERROR(INDEX(LISTAS!$F$3:$F$42,MATCH($M947,LISTAS!$E$3:$E$42,0)),"Por definir"))</f>
        <v/>
      </c>
      <c r="O947" s="41" t="n"/>
      <c r="P947" s="39">
        <f>IF($L947="","",IFERROR(INDEX(LISTAS!$B$3:$B$42,MATCH($L947,LISTAS!$A$3:$A$42,0)),"Media"))</f>
        <v/>
      </c>
      <c r="Q947" s="44" t="n"/>
      <c r="R947" s="45" t="n"/>
      <c r="S947" s="20">
        <f>IFERROR(IF(OR($R947="",$C947=""),"",$R947/INDEX(DESPACHOS!$M$3:$M$3002,MATCH($C947,DESPACHOS!$B$3:$B$3002,0))),"")</f>
        <v/>
      </c>
      <c r="T947" s="41" t="n"/>
      <c r="U947" s="43">
        <f>IF(OR($B947="",$L947=""),"",WORKDAY($B947,IFERROR(INDEX(LISTAS!$C$3:$C$42,MATCH($L947,LISTAS!$A$3:$A$42,0)),3)))</f>
        <v/>
      </c>
      <c r="V947" s="40" t="n"/>
      <c r="W947" s="19">
        <f>IF($B947="","",IF($V947&lt;&gt;"",$V947-$B947,TODAY()-$B947))</f>
        <v/>
      </c>
      <c r="X947" s="19">
        <f>IF(OR($B947="",$U947=""),"",IF($V947&lt;&gt;"",MAX(0,$V947-$U947),MAX(0,TODAY()-$U947)))</f>
        <v/>
      </c>
      <c r="Y947" s="39">
        <f>IF($C947="","",IF(IFERROR(INDEX(LISTAS!$I$3:$I$42,MATCH($T947,LISTAS!$H$3:$H$42,0)),"NO")="SÍ",IF(N($X947)&gt;0,"CERRADA FUERA DE SLA","CERRADA EN SLA"),IF($U947="","SIN CLASIFICAR",IF(N($X947)&gt;0,"VENCIDA",IF(TODAY()&gt;=$U947-1,"POR VENCER","EN PLAZO")))))</f>
        <v/>
      </c>
      <c r="Z947" s="41" t="n"/>
      <c r="AA947" s="41" t="n"/>
      <c r="AB947" s="41" t="n"/>
    </row>
    <row r="948">
      <c r="A948" s="39">
        <f>IF($C948="","","NOV-"&amp;TEXT(ROW()-3,"0000"))</f>
        <v/>
      </c>
      <c r="B948" s="40" t="n"/>
      <c r="C948" s="41" t="n"/>
      <c r="D948" s="42">
        <f>IF($C948="","",IFERROR(INDEX(DESPACHOS!$D$3:$D$3002,MATCH($C948,DESPACHOS!$B$3:$B$3002,0)),"SIN DESPACHO"))</f>
        <v/>
      </c>
      <c r="E948" s="42">
        <f>IF($C948="","",IFERROR(INDEX(DESPACHOS!$K$3:$K$3002,MATCH($C948,DESPACHOS!$B$3:$B$3002,0)),""))</f>
        <v/>
      </c>
      <c r="F948" s="42">
        <f>IF($C948="","",IFERROR(INDEX(DESPACHOS!$I$3:$I$3002,MATCH($C948,DESPACHOS!$B$3:$B$3002,0)),""))</f>
        <v/>
      </c>
      <c r="G948" s="42">
        <f>IF($C948="","",IFERROR(INDEX(DESPACHOS!$F$3:$F$3002,MATCH($C948,DESPACHOS!$B$3:$B$3002,0)),""))</f>
        <v/>
      </c>
      <c r="H948" s="42">
        <f>IF($C948="","",IFERROR(INDEX(DESPACHOS!$G$3:$G$3002,MATCH($C948,DESPACHOS!$B$3:$B$3002,0)),""))</f>
        <v/>
      </c>
      <c r="I948" s="39">
        <f>IF($C948="","",IFERROR(INDEX(DESPACHOS!$H$3:$H$3002,MATCH($C948,DESPACHOS!$B$3:$B$3002,0)),""))</f>
        <v/>
      </c>
      <c r="J948" s="43">
        <f>IF($C948="","",IFERROR(INDEX(DESPACHOS!$J$3:$J$3002,MATCH($C948,DESPACHOS!$B$3:$B$3002,0)),""))</f>
        <v/>
      </c>
      <c r="K948" s="39">
        <f>IF($C948="","",IF(COUNTIFS(DESPACHOS!$B$3:$B$3002,$C948)=0,"NO EXISTE",IF(COUNTIFS(DESPACHOS!$B$3:$B$3002,$C948)&gt;1,"DUPLICADO","OK")))</f>
        <v/>
      </c>
      <c r="L948" s="41" t="n"/>
      <c r="M948" s="41" t="n"/>
      <c r="N948" s="42">
        <f>IF($M948="","",IFERROR(INDEX(LISTAS!$F$3:$F$42,MATCH($M948,LISTAS!$E$3:$E$42,0)),"Por definir"))</f>
        <v/>
      </c>
      <c r="O948" s="41" t="n"/>
      <c r="P948" s="39">
        <f>IF($L948="","",IFERROR(INDEX(LISTAS!$B$3:$B$42,MATCH($L948,LISTAS!$A$3:$A$42,0)),"Media"))</f>
        <v/>
      </c>
      <c r="Q948" s="44" t="n"/>
      <c r="R948" s="45" t="n"/>
      <c r="S948" s="20">
        <f>IFERROR(IF(OR($R948="",$C948=""),"",$R948/INDEX(DESPACHOS!$M$3:$M$3002,MATCH($C948,DESPACHOS!$B$3:$B$3002,0))),"")</f>
        <v/>
      </c>
      <c r="T948" s="41" t="n"/>
      <c r="U948" s="43">
        <f>IF(OR($B948="",$L948=""),"",WORKDAY($B948,IFERROR(INDEX(LISTAS!$C$3:$C$42,MATCH($L948,LISTAS!$A$3:$A$42,0)),3)))</f>
        <v/>
      </c>
      <c r="V948" s="40" t="n"/>
      <c r="W948" s="19">
        <f>IF($B948="","",IF($V948&lt;&gt;"",$V948-$B948,TODAY()-$B948))</f>
        <v/>
      </c>
      <c r="X948" s="19">
        <f>IF(OR($B948="",$U948=""),"",IF($V948&lt;&gt;"",MAX(0,$V948-$U948),MAX(0,TODAY()-$U948)))</f>
        <v/>
      </c>
      <c r="Y948" s="39">
        <f>IF($C948="","",IF(IFERROR(INDEX(LISTAS!$I$3:$I$42,MATCH($T948,LISTAS!$H$3:$H$42,0)),"NO")="SÍ",IF(N($X948)&gt;0,"CERRADA FUERA DE SLA","CERRADA EN SLA"),IF($U948="","SIN CLASIFICAR",IF(N($X948)&gt;0,"VENCIDA",IF(TODAY()&gt;=$U948-1,"POR VENCER","EN PLAZO")))))</f>
        <v/>
      </c>
      <c r="Z948" s="41" t="n"/>
      <c r="AA948" s="41" t="n"/>
      <c r="AB948" s="41" t="n"/>
    </row>
    <row r="949">
      <c r="A949" s="39">
        <f>IF($C949="","","NOV-"&amp;TEXT(ROW()-3,"0000"))</f>
        <v/>
      </c>
      <c r="B949" s="40" t="n"/>
      <c r="C949" s="41" t="n"/>
      <c r="D949" s="42">
        <f>IF($C949="","",IFERROR(INDEX(DESPACHOS!$D$3:$D$3002,MATCH($C949,DESPACHOS!$B$3:$B$3002,0)),"SIN DESPACHO"))</f>
        <v/>
      </c>
      <c r="E949" s="42">
        <f>IF($C949="","",IFERROR(INDEX(DESPACHOS!$K$3:$K$3002,MATCH($C949,DESPACHOS!$B$3:$B$3002,0)),""))</f>
        <v/>
      </c>
      <c r="F949" s="42">
        <f>IF($C949="","",IFERROR(INDEX(DESPACHOS!$I$3:$I$3002,MATCH($C949,DESPACHOS!$B$3:$B$3002,0)),""))</f>
        <v/>
      </c>
      <c r="G949" s="42">
        <f>IF($C949="","",IFERROR(INDEX(DESPACHOS!$F$3:$F$3002,MATCH($C949,DESPACHOS!$B$3:$B$3002,0)),""))</f>
        <v/>
      </c>
      <c r="H949" s="42">
        <f>IF($C949="","",IFERROR(INDEX(DESPACHOS!$G$3:$G$3002,MATCH($C949,DESPACHOS!$B$3:$B$3002,0)),""))</f>
        <v/>
      </c>
      <c r="I949" s="39">
        <f>IF($C949="","",IFERROR(INDEX(DESPACHOS!$H$3:$H$3002,MATCH($C949,DESPACHOS!$B$3:$B$3002,0)),""))</f>
        <v/>
      </c>
      <c r="J949" s="43">
        <f>IF($C949="","",IFERROR(INDEX(DESPACHOS!$J$3:$J$3002,MATCH($C949,DESPACHOS!$B$3:$B$3002,0)),""))</f>
        <v/>
      </c>
      <c r="K949" s="39">
        <f>IF($C949="","",IF(COUNTIFS(DESPACHOS!$B$3:$B$3002,$C949)=0,"NO EXISTE",IF(COUNTIFS(DESPACHOS!$B$3:$B$3002,$C949)&gt;1,"DUPLICADO","OK")))</f>
        <v/>
      </c>
      <c r="L949" s="41" t="n"/>
      <c r="M949" s="41" t="n"/>
      <c r="N949" s="42">
        <f>IF($M949="","",IFERROR(INDEX(LISTAS!$F$3:$F$42,MATCH($M949,LISTAS!$E$3:$E$42,0)),"Por definir"))</f>
        <v/>
      </c>
      <c r="O949" s="41" t="n"/>
      <c r="P949" s="39">
        <f>IF($L949="","",IFERROR(INDEX(LISTAS!$B$3:$B$42,MATCH($L949,LISTAS!$A$3:$A$42,0)),"Media"))</f>
        <v/>
      </c>
      <c r="Q949" s="44" t="n"/>
      <c r="R949" s="45" t="n"/>
      <c r="S949" s="20">
        <f>IFERROR(IF(OR($R949="",$C949=""),"",$R949/INDEX(DESPACHOS!$M$3:$M$3002,MATCH($C949,DESPACHOS!$B$3:$B$3002,0))),"")</f>
        <v/>
      </c>
      <c r="T949" s="41" t="n"/>
      <c r="U949" s="43">
        <f>IF(OR($B949="",$L949=""),"",WORKDAY($B949,IFERROR(INDEX(LISTAS!$C$3:$C$42,MATCH($L949,LISTAS!$A$3:$A$42,0)),3)))</f>
        <v/>
      </c>
      <c r="V949" s="40" t="n"/>
      <c r="W949" s="19">
        <f>IF($B949="","",IF($V949&lt;&gt;"",$V949-$B949,TODAY()-$B949))</f>
        <v/>
      </c>
      <c r="X949" s="19">
        <f>IF(OR($B949="",$U949=""),"",IF($V949&lt;&gt;"",MAX(0,$V949-$U949),MAX(0,TODAY()-$U949)))</f>
        <v/>
      </c>
      <c r="Y949" s="39">
        <f>IF($C949="","",IF(IFERROR(INDEX(LISTAS!$I$3:$I$42,MATCH($T949,LISTAS!$H$3:$H$42,0)),"NO")="SÍ",IF(N($X949)&gt;0,"CERRADA FUERA DE SLA","CERRADA EN SLA"),IF($U949="","SIN CLASIFICAR",IF(N($X949)&gt;0,"VENCIDA",IF(TODAY()&gt;=$U949-1,"POR VENCER","EN PLAZO")))))</f>
        <v/>
      </c>
      <c r="Z949" s="41" t="n"/>
      <c r="AA949" s="41" t="n"/>
      <c r="AB949" s="41" t="n"/>
    </row>
    <row r="950">
      <c r="A950" s="39">
        <f>IF($C950="","","NOV-"&amp;TEXT(ROW()-3,"0000"))</f>
        <v/>
      </c>
      <c r="B950" s="40" t="n"/>
      <c r="C950" s="41" t="n"/>
      <c r="D950" s="42">
        <f>IF($C950="","",IFERROR(INDEX(DESPACHOS!$D$3:$D$3002,MATCH($C950,DESPACHOS!$B$3:$B$3002,0)),"SIN DESPACHO"))</f>
        <v/>
      </c>
      <c r="E950" s="42">
        <f>IF($C950="","",IFERROR(INDEX(DESPACHOS!$K$3:$K$3002,MATCH($C950,DESPACHOS!$B$3:$B$3002,0)),""))</f>
        <v/>
      </c>
      <c r="F950" s="42">
        <f>IF($C950="","",IFERROR(INDEX(DESPACHOS!$I$3:$I$3002,MATCH($C950,DESPACHOS!$B$3:$B$3002,0)),""))</f>
        <v/>
      </c>
      <c r="G950" s="42">
        <f>IF($C950="","",IFERROR(INDEX(DESPACHOS!$F$3:$F$3002,MATCH($C950,DESPACHOS!$B$3:$B$3002,0)),""))</f>
        <v/>
      </c>
      <c r="H950" s="42">
        <f>IF($C950="","",IFERROR(INDEX(DESPACHOS!$G$3:$G$3002,MATCH($C950,DESPACHOS!$B$3:$B$3002,0)),""))</f>
        <v/>
      </c>
      <c r="I950" s="39">
        <f>IF($C950="","",IFERROR(INDEX(DESPACHOS!$H$3:$H$3002,MATCH($C950,DESPACHOS!$B$3:$B$3002,0)),""))</f>
        <v/>
      </c>
      <c r="J950" s="43">
        <f>IF($C950="","",IFERROR(INDEX(DESPACHOS!$J$3:$J$3002,MATCH($C950,DESPACHOS!$B$3:$B$3002,0)),""))</f>
        <v/>
      </c>
      <c r="K950" s="39">
        <f>IF($C950="","",IF(COUNTIFS(DESPACHOS!$B$3:$B$3002,$C950)=0,"NO EXISTE",IF(COUNTIFS(DESPACHOS!$B$3:$B$3002,$C950)&gt;1,"DUPLICADO","OK")))</f>
        <v/>
      </c>
      <c r="L950" s="41" t="n"/>
      <c r="M950" s="41" t="n"/>
      <c r="N950" s="42">
        <f>IF($M950="","",IFERROR(INDEX(LISTAS!$F$3:$F$42,MATCH($M950,LISTAS!$E$3:$E$42,0)),"Por definir"))</f>
        <v/>
      </c>
      <c r="O950" s="41" t="n"/>
      <c r="P950" s="39">
        <f>IF($L950="","",IFERROR(INDEX(LISTAS!$B$3:$B$42,MATCH($L950,LISTAS!$A$3:$A$42,0)),"Media"))</f>
        <v/>
      </c>
      <c r="Q950" s="44" t="n"/>
      <c r="R950" s="45" t="n"/>
      <c r="S950" s="20">
        <f>IFERROR(IF(OR($R950="",$C950=""),"",$R950/INDEX(DESPACHOS!$M$3:$M$3002,MATCH($C950,DESPACHOS!$B$3:$B$3002,0))),"")</f>
        <v/>
      </c>
      <c r="T950" s="41" t="n"/>
      <c r="U950" s="43">
        <f>IF(OR($B950="",$L950=""),"",WORKDAY($B950,IFERROR(INDEX(LISTAS!$C$3:$C$42,MATCH($L950,LISTAS!$A$3:$A$42,0)),3)))</f>
        <v/>
      </c>
      <c r="V950" s="40" t="n"/>
      <c r="W950" s="19">
        <f>IF($B950="","",IF($V950&lt;&gt;"",$V950-$B950,TODAY()-$B950))</f>
        <v/>
      </c>
      <c r="X950" s="19">
        <f>IF(OR($B950="",$U950=""),"",IF($V950&lt;&gt;"",MAX(0,$V950-$U950),MAX(0,TODAY()-$U950)))</f>
        <v/>
      </c>
      <c r="Y950" s="39">
        <f>IF($C950="","",IF(IFERROR(INDEX(LISTAS!$I$3:$I$42,MATCH($T950,LISTAS!$H$3:$H$42,0)),"NO")="SÍ",IF(N($X950)&gt;0,"CERRADA FUERA DE SLA","CERRADA EN SLA"),IF($U950="","SIN CLASIFICAR",IF(N($X950)&gt;0,"VENCIDA",IF(TODAY()&gt;=$U950-1,"POR VENCER","EN PLAZO")))))</f>
        <v/>
      </c>
      <c r="Z950" s="41" t="n"/>
      <c r="AA950" s="41" t="n"/>
      <c r="AB950" s="41" t="n"/>
    </row>
    <row r="951">
      <c r="A951" s="39">
        <f>IF($C951="","","NOV-"&amp;TEXT(ROW()-3,"0000"))</f>
        <v/>
      </c>
      <c r="B951" s="40" t="n"/>
      <c r="C951" s="41" t="n"/>
      <c r="D951" s="42">
        <f>IF($C951="","",IFERROR(INDEX(DESPACHOS!$D$3:$D$3002,MATCH($C951,DESPACHOS!$B$3:$B$3002,0)),"SIN DESPACHO"))</f>
        <v/>
      </c>
      <c r="E951" s="42">
        <f>IF($C951="","",IFERROR(INDEX(DESPACHOS!$K$3:$K$3002,MATCH($C951,DESPACHOS!$B$3:$B$3002,0)),""))</f>
        <v/>
      </c>
      <c r="F951" s="42">
        <f>IF($C951="","",IFERROR(INDEX(DESPACHOS!$I$3:$I$3002,MATCH($C951,DESPACHOS!$B$3:$B$3002,0)),""))</f>
        <v/>
      </c>
      <c r="G951" s="42">
        <f>IF($C951="","",IFERROR(INDEX(DESPACHOS!$F$3:$F$3002,MATCH($C951,DESPACHOS!$B$3:$B$3002,0)),""))</f>
        <v/>
      </c>
      <c r="H951" s="42">
        <f>IF($C951="","",IFERROR(INDEX(DESPACHOS!$G$3:$G$3002,MATCH($C951,DESPACHOS!$B$3:$B$3002,0)),""))</f>
        <v/>
      </c>
      <c r="I951" s="39">
        <f>IF($C951="","",IFERROR(INDEX(DESPACHOS!$H$3:$H$3002,MATCH($C951,DESPACHOS!$B$3:$B$3002,0)),""))</f>
        <v/>
      </c>
      <c r="J951" s="43">
        <f>IF($C951="","",IFERROR(INDEX(DESPACHOS!$J$3:$J$3002,MATCH($C951,DESPACHOS!$B$3:$B$3002,0)),""))</f>
        <v/>
      </c>
      <c r="K951" s="39">
        <f>IF($C951="","",IF(COUNTIFS(DESPACHOS!$B$3:$B$3002,$C951)=0,"NO EXISTE",IF(COUNTIFS(DESPACHOS!$B$3:$B$3002,$C951)&gt;1,"DUPLICADO","OK")))</f>
        <v/>
      </c>
      <c r="L951" s="41" t="n"/>
      <c r="M951" s="41" t="n"/>
      <c r="N951" s="42">
        <f>IF($M951="","",IFERROR(INDEX(LISTAS!$F$3:$F$42,MATCH($M951,LISTAS!$E$3:$E$42,0)),"Por definir"))</f>
        <v/>
      </c>
      <c r="O951" s="41" t="n"/>
      <c r="P951" s="39">
        <f>IF($L951="","",IFERROR(INDEX(LISTAS!$B$3:$B$42,MATCH($L951,LISTAS!$A$3:$A$42,0)),"Media"))</f>
        <v/>
      </c>
      <c r="Q951" s="44" t="n"/>
      <c r="R951" s="45" t="n"/>
      <c r="S951" s="20">
        <f>IFERROR(IF(OR($R951="",$C951=""),"",$R951/INDEX(DESPACHOS!$M$3:$M$3002,MATCH($C951,DESPACHOS!$B$3:$B$3002,0))),"")</f>
        <v/>
      </c>
      <c r="T951" s="41" t="n"/>
      <c r="U951" s="43">
        <f>IF(OR($B951="",$L951=""),"",WORKDAY($B951,IFERROR(INDEX(LISTAS!$C$3:$C$42,MATCH($L951,LISTAS!$A$3:$A$42,0)),3)))</f>
        <v/>
      </c>
      <c r="V951" s="40" t="n"/>
      <c r="W951" s="19">
        <f>IF($B951="","",IF($V951&lt;&gt;"",$V951-$B951,TODAY()-$B951))</f>
        <v/>
      </c>
      <c r="X951" s="19">
        <f>IF(OR($B951="",$U951=""),"",IF($V951&lt;&gt;"",MAX(0,$V951-$U951),MAX(0,TODAY()-$U951)))</f>
        <v/>
      </c>
      <c r="Y951" s="39">
        <f>IF($C951="","",IF(IFERROR(INDEX(LISTAS!$I$3:$I$42,MATCH($T951,LISTAS!$H$3:$H$42,0)),"NO")="SÍ",IF(N($X951)&gt;0,"CERRADA FUERA DE SLA","CERRADA EN SLA"),IF($U951="","SIN CLASIFICAR",IF(N($X951)&gt;0,"VENCIDA",IF(TODAY()&gt;=$U951-1,"POR VENCER","EN PLAZO")))))</f>
        <v/>
      </c>
      <c r="Z951" s="41" t="n"/>
      <c r="AA951" s="41" t="n"/>
      <c r="AB951" s="41" t="n"/>
    </row>
    <row r="952">
      <c r="A952" s="39">
        <f>IF($C952="","","NOV-"&amp;TEXT(ROW()-3,"0000"))</f>
        <v/>
      </c>
      <c r="B952" s="40" t="n"/>
      <c r="C952" s="41" t="n"/>
      <c r="D952" s="42">
        <f>IF($C952="","",IFERROR(INDEX(DESPACHOS!$D$3:$D$3002,MATCH($C952,DESPACHOS!$B$3:$B$3002,0)),"SIN DESPACHO"))</f>
        <v/>
      </c>
      <c r="E952" s="42">
        <f>IF($C952="","",IFERROR(INDEX(DESPACHOS!$K$3:$K$3002,MATCH($C952,DESPACHOS!$B$3:$B$3002,0)),""))</f>
        <v/>
      </c>
      <c r="F952" s="42">
        <f>IF($C952="","",IFERROR(INDEX(DESPACHOS!$I$3:$I$3002,MATCH($C952,DESPACHOS!$B$3:$B$3002,0)),""))</f>
        <v/>
      </c>
      <c r="G952" s="42">
        <f>IF($C952="","",IFERROR(INDEX(DESPACHOS!$F$3:$F$3002,MATCH($C952,DESPACHOS!$B$3:$B$3002,0)),""))</f>
        <v/>
      </c>
      <c r="H952" s="42">
        <f>IF($C952="","",IFERROR(INDEX(DESPACHOS!$G$3:$G$3002,MATCH($C952,DESPACHOS!$B$3:$B$3002,0)),""))</f>
        <v/>
      </c>
      <c r="I952" s="39">
        <f>IF($C952="","",IFERROR(INDEX(DESPACHOS!$H$3:$H$3002,MATCH($C952,DESPACHOS!$B$3:$B$3002,0)),""))</f>
        <v/>
      </c>
      <c r="J952" s="43">
        <f>IF($C952="","",IFERROR(INDEX(DESPACHOS!$J$3:$J$3002,MATCH($C952,DESPACHOS!$B$3:$B$3002,0)),""))</f>
        <v/>
      </c>
      <c r="K952" s="39">
        <f>IF($C952="","",IF(COUNTIFS(DESPACHOS!$B$3:$B$3002,$C952)=0,"NO EXISTE",IF(COUNTIFS(DESPACHOS!$B$3:$B$3002,$C952)&gt;1,"DUPLICADO","OK")))</f>
        <v/>
      </c>
      <c r="L952" s="41" t="n"/>
      <c r="M952" s="41" t="n"/>
      <c r="N952" s="42">
        <f>IF($M952="","",IFERROR(INDEX(LISTAS!$F$3:$F$42,MATCH($M952,LISTAS!$E$3:$E$42,0)),"Por definir"))</f>
        <v/>
      </c>
      <c r="O952" s="41" t="n"/>
      <c r="P952" s="39">
        <f>IF($L952="","",IFERROR(INDEX(LISTAS!$B$3:$B$42,MATCH($L952,LISTAS!$A$3:$A$42,0)),"Media"))</f>
        <v/>
      </c>
      <c r="Q952" s="44" t="n"/>
      <c r="R952" s="45" t="n"/>
      <c r="S952" s="20">
        <f>IFERROR(IF(OR($R952="",$C952=""),"",$R952/INDEX(DESPACHOS!$M$3:$M$3002,MATCH($C952,DESPACHOS!$B$3:$B$3002,0))),"")</f>
        <v/>
      </c>
      <c r="T952" s="41" t="n"/>
      <c r="U952" s="43">
        <f>IF(OR($B952="",$L952=""),"",WORKDAY($B952,IFERROR(INDEX(LISTAS!$C$3:$C$42,MATCH($L952,LISTAS!$A$3:$A$42,0)),3)))</f>
        <v/>
      </c>
      <c r="V952" s="40" t="n"/>
      <c r="W952" s="19">
        <f>IF($B952="","",IF($V952&lt;&gt;"",$V952-$B952,TODAY()-$B952))</f>
        <v/>
      </c>
      <c r="X952" s="19">
        <f>IF(OR($B952="",$U952=""),"",IF($V952&lt;&gt;"",MAX(0,$V952-$U952),MAX(0,TODAY()-$U952)))</f>
        <v/>
      </c>
      <c r="Y952" s="39">
        <f>IF($C952="","",IF(IFERROR(INDEX(LISTAS!$I$3:$I$42,MATCH($T952,LISTAS!$H$3:$H$42,0)),"NO")="SÍ",IF(N($X952)&gt;0,"CERRADA FUERA DE SLA","CERRADA EN SLA"),IF($U952="","SIN CLASIFICAR",IF(N($X952)&gt;0,"VENCIDA",IF(TODAY()&gt;=$U952-1,"POR VENCER","EN PLAZO")))))</f>
        <v/>
      </c>
      <c r="Z952" s="41" t="n"/>
      <c r="AA952" s="41" t="n"/>
      <c r="AB952" s="41" t="n"/>
    </row>
    <row r="953">
      <c r="A953" s="39">
        <f>IF($C953="","","NOV-"&amp;TEXT(ROW()-3,"0000"))</f>
        <v/>
      </c>
      <c r="B953" s="40" t="n"/>
      <c r="C953" s="41" t="n"/>
      <c r="D953" s="42">
        <f>IF($C953="","",IFERROR(INDEX(DESPACHOS!$D$3:$D$3002,MATCH($C953,DESPACHOS!$B$3:$B$3002,0)),"SIN DESPACHO"))</f>
        <v/>
      </c>
      <c r="E953" s="42">
        <f>IF($C953="","",IFERROR(INDEX(DESPACHOS!$K$3:$K$3002,MATCH($C953,DESPACHOS!$B$3:$B$3002,0)),""))</f>
        <v/>
      </c>
      <c r="F953" s="42">
        <f>IF($C953="","",IFERROR(INDEX(DESPACHOS!$I$3:$I$3002,MATCH($C953,DESPACHOS!$B$3:$B$3002,0)),""))</f>
        <v/>
      </c>
      <c r="G953" s="42">
        <f>IF($C953="","",IFERROR(INDEX(DESPACHOS!$F$3:$F$3002,MATCH($C953,DESPACHOS!$B$3:$B$3002,0)),""))</f>
        <v/>
      </c>
      <c r="H953" s="42">
        <f>IF($C953="","",IFERROR(INDEX(DESPACHOS!$G$3:$G$3002,MATCH($C953,DESPACHOS!$B$3:$B$3002,0)),""))</f>
        <v/>
      </c>
      <c r="I953" s="39">
        <f>IF($C953="","",IFERROR(INDEX(DESPACHOS!$H$3:$H$3002,MATCH($C953,DESPACHOS!$B$3:$B$3002,0)),""))</f>
        <v/>
      </c>
      <c r="J953" s="43">
        <f>IF($C953="","",IFERROR(INDEX(DESPACHOS!$J$3:$J$3002,MATCH($C953,DESPACHOS!$B$3:$B$3002,0)),""))</f>
        <v/>
      </c>
      <c r="K953" s="39">
        <f>IF($C953="","",IF(COUNTIFS(DESPACHOS!$B$3:$B$3002,$C953)=0,"NO EXISTE",IF(COUNTIFS(DESPACHOS!$B$3:$B$3002,$C953)&gt;1,"DUPLICADO","OK")))</f>
        <v/>
      </c>
      <c r="L953" s="41" t="n"/>
      <c r="M953" s="41" t="n"/>
      <c r="N953" s="42">
        <f>IF($M953="","",IFERROR(INDEX(LISTAS!$F$3:$F$42,MATCH($M953,LISTAS!$E$3:$E$42,0)),"Por definir"))</f>
        <v/>
      </c>
      <c r="O953" s="41" t="n"/>
      <c r="P953" s="39">
        <f>IF($L953="","",IFERROR(INDEX(LISTAS!$B$3:$B$42,MATCH($L953,LISTAS!$A$3:$A$42,0)),"Media"))</f>
        <v/>
      </c>
      <c r="Q953" s="44" t="n"/>
      <c r="R953" s="45" t="n"/>
      <c r="S953" s="20">
        <f>IFERROR(IF(OR($R953="",$C953=""),"",$R953/INDEX(DESPACHOS!$M$3:$M$3002,MATCH($C953,DESPACHOS!$B$3:$B$3002,0))),"")</f>
        <v/>
      </c>
      <c r="T953" s="41" t="n"/>
      <c r="U953" s="43">
        <f>IF(OR($B953="",$L953=""),"",WORKDAY($B953,IFERROR(INDEX(LISTAS!$C$3:$C$42,MATCH($L953,LISTAS!$A$3:$A$42,0)),3)))</f>
        <v/>
      </c>
      <c r="V953" s="40" t="n"/>
      <c r="W953" s="19">
        <f>IF($B953="","",IF($V953&lt;&gt;"",$V953-$B953,TODAY()-$B953))</f>
        <v/>
      </c>
      <c r="X953" s="19">
        <f>IF(OR($B953="",$U953=""),"",IF($V953&lt;&gt;"",MAX(0,$V953-$U953),MAX(0,TODAY()-$U953)))</f>
        <v/>
      </c>
      <c r="Y953" s="39">
        <f>IF($C953="","",IF(IFERROR(INDEX(LISTAS!$I$3:$I$42,MATCH($T953,LISTAS!$H$3:$H$42,0)),"NO")="SÍ",IF(N($X953)&gt;0,"CERRADA FUERA DE SLA","CERRADA EN SLA"),IF($U953="","SIN CLASIFICAR",IF(N($X953)&gt;0,"VENCIDA",IF(TODAY()&gt;=$U953-1,"POR VENCER","EN PLAZO")))))</f>
        <v/>
      </c>
      <c r="Z953" s="41" t="n"/>
      <c r="AA953" s="41" t="n"/>
      <c r="AB953" s="41" t="n"/>
    </row>
    <row r="954">
      <c r="A954" s="39">
        <f>IF($C954="","","NOV-"&amp;TEXT(ROW()-3,"0000"))</f>
        <v/>
      </c>
      <c r="B954" s="40" t="n"/>
      <c r="C954" s="41" t="n"/>
      <c r="D954" s="42">
        <f>IF($C954="","",IFERROR(INDEX(DESPACHOS!$D$3:$D$3002,MATCH($C954,DESPACHOS!$B$3:$B$3002,0)),"SIN DESPACHO"))</f>
        <v/>
      </c>
      <c r="E954" s="42">
        <f>IF($C954="","",IFERROR(INDEX(DESPACHOS!$K$3:$K$3002,MATCH($C954,DESPACHOS!$B$3:$B$3002,0)),""))</f>
        <v/>
      </c>
      <c r="F954" s="42">
        <f>IF($C954="","",IFERROR(INDEX(DESPACHOS!$I$3:$I$3002,MATCH($C954,DESPACHOS!$B$3:$B$3002,0)),""))</f>
        <v/>
      </c>
      <c r="G954" s="42">
        <f>IF($C954="","",IFERROR(INDEX(DESPACHOS!$F$3:$F$3002,MATCH($C954,DESPACHOS!$B$3:$B$3002,0)),""))</f>
        <v/>
      </c>
      <c r="H954" s="42">
        <f>IF($C954="","",IFERROR(INDEX(DESPACHOS!$G$3:$G$3002,MATCH($C954,DESPACHOS!$B$3:$B$3002,0)),""))</f>
        <v/>
      </c>
      <c r="I954" s="39">
        <f>IF($C954="","",IFERROR(INDEX(DESPACHOS!$H$3:$H$3002,MATCH($C954,DESPACHOS!$B$3:$B$3002,0)),""))</f>
        <v/>
      </c>
      <c r="J954" s="43">
        <f>IF($C954="","",IFERROR(INDEX(DESPACHOS!$J$3:$J$3002,MATCH($C954,DESPACHOS!$B$3:$B$3002,0)),""))</f>
        <v/>
      </c>
      <c r="K954" s="39">
        <f>IF($C954="","",IF(COUNTIFS(DESPACHOS!$B$3:$B$3002,$C954)=0,"NO EXISTE",IF(COUNTIFS(DESPACHOS!$B$3:$B$3002,$C954)&gt;1,"DUPLICADO","OK")))</f>
        <v/>
      </c>
      <c r="L954" s="41" t="n"/>
      <c r="M954" s="41" t="n"/>
      <c r="N954" s="42">
        <f>IF($M954="","",IFERROR(INDEX(LISTAS!$F$3:$F$42,MATCH($M954,LISTAS!$E$3:$E$42,0)),"Por definir"))</f>
        <v/>
      </c>
      <c r="O954" s="41" t="n"/>
      <c r="P954" s="39">
        <f>IF($L954="","",IFERROR(INDEX(LISTAS!$B$3:$B$42,MATCH($L954,LISTAS!$A$3:$A$42,0)),"Media"))</f>
        <v/>
      </c>
      <c r="Q954" s="44" t="n"/>
      <c r="R954" s="45" t="n"/>
      <c r="S954" s="20">
        <f>IFERROR(IF(OR($R954="",$C954=""),"",$R954/INDEX(DESPACHOS!$M$3:$M$3002,MATCH($C954,DESPACHOS!$B$3:$B$3002,0))),"")</f>
        <v/>
      </c>
      <c r="T954" s="41" t="n"/>
      <c r="U954" s="43">
        <f>IF(OR($B954="",$L954=""),"",WORKDAY($B954,IFERROR(INDEX(LISTAS!$C$3:$C$42,MATCH($L954,LISTAS!$A$3:$A$42,0)),3)))</f>
        <v/>
      </c>
      <c r="V954" s="40" t="n"/>
      <c r="W954" s="19">
        <f>IF($B954="","",IF($V954&lt;&gt;"",$V954-$B954,TODAY()-$B954))</f>
        <v/>
      </c>
      <c r="X954" s="19">
        <f>IF(OR($B954="",$U954=""),"",IF($V954&lt;&gt;"",MAX(0,$V954-$U954),MAX(0,TODAY()-$U954)))</f>
        <v/>
      </c>
      <c r="Y954" s="39">
        <f>IF($C954="","",IF(IFERROR(INDEX(LISTAS!$I$3:$I$42,MATCH($T954,LISTAS!$H$3:$H$42,0)),"NO")="SÍ",IF(N($X954)&gt;0,"CERRADA FUERA DE SLA","CERRADA EN SLA"),IF($U954="","SIN CLASIFICAR",IF(N($X954)&gt;0,"VENCIDA",IF(TODAY()&gt;=$U954-1,"POR VENCER","EN PLAZO")))))</f>
        <v/>
      </c>
      <c r="Z954" s="41" t="n"/>
      <c r="AA954" s="41" t="n"/>
      <c r="AB954" s="41" t="n"/>
    </row>
    <row r="955">
      <c r="A955" s="39">
        <f>IF($C955="","","NOV-"&amp;TEXT(ROW()-3,"0000"))</f>
        <v/>
      </c>
      <c r="B955" s="40" t="n"/>
      <c r="C955" s="41" t="n"/>
      <c r="D955" s="42">
        <f>IF($C955="","",IFERROR(INDEX(DESPACHOS!$D$3:$D$3002,MATCH($C955,DESPACHOS!$B$3:$B$3002,0)),"SIN DESPACHO"))</f>
        <v/>
      </c>
      <c r="E955" s="42">
        <f>IF($C955="","",IFERROR(INDEX(DESPACHOS!$K$3:$K$3002,MATCH($C955,DESPACHOS!$B$3:$B$3002,0)),""))</f>
        <v/>
      </c>
      <c r="F955" s="42">
        <f>IF($C955="","",IFERROR(INDEX(DESPACHOS!$I$3:$I$3002,MATCH($C955,DESPACHOS!$B$3:$B$3002,0)),""))</f>
        <v/>
      </c>
      <c r="G955" s="42">
        <f>IF($C955="","",IFERROR(INDEX(DESPACHOS!$F$3:$F$3002,MATCH($C955,DESPACHOS!$B$3:$B$3002,0)),""))</f>
        <v/>
      </c>
      <c r="H955" s="42">
        <f>IF($C955="","",IFERROR(INDEX(DESPACHOS!$G$3:$G$3002,MATCH($C955,DESPACHOS!$B$3:$B$3002,0)),""))</f>
        <v/>
      </c>
      <c r="I955" s="39">
        <f>IF($C955="","",IFERROR(INDEX(DESPACHOS!$H$3:$H$3002,MATCH($C955,DESPACHOS!$B$3:$B$3002,0)),""))</f>
        <v/>
      </c>
      <c r="J955" s="43">
        <f>IF($C955="","",IFERROR(INDEX(DESPACHOS!$J$3:$J$3002,MATCH($C955,DESPACHOS!$B$3:$B$3002,0)),""))</f>
        <v/>
      </c>
      <c r="K955" s="39">
        <f>IF($C955="","",IF(COUNTIFS(DESPACHOS!$B$3:$B$3002,$C955)=0,"NO EXISTE",IF(COUNTIFS(DESPACHOS!$B$3:$B$3002,$C955)&gt;1,"DUPLICADO","OK")))</f>
        <v/>
      </c>
      <c r="L955" s="41" t="n"/>
      <c r="M955" s="41" t="n"/>
      <c r="N955" s="42">
        <f>IF($M955="","",IFERROR(INDEX(LISTAS!$F$3:$F$42,MATCH($M955,LISTAS!$E$3:$E$42,0)),"Por definir"))</f>
        <v/>
      </c>
      <c r="O955" s="41" t="n"/>
      <c r="P955" s="39">
        <f>IF($L955="","",IFERROR(INDEX(LISTAS!$B$3:$B$42,MATCH($L955,LISTAS!$A$3:$A$42,0)),"Media"))</f>
        <v/>
      </c>
      <c r="Q955" s="44" t="n"/>
      <c r="R955" s="45" t="n"/>
      <c r="S955" s="20">
        <f>IFERROR(IF(OR($R955="",$C955=""),"",$R955/INDEX(DESPACHOS!$M$3:$M$3002,MATCH($C955,DESPACHOS!$B$3:$B$3002,0))),"")</f>
        <v/>
      </c>
      <c r="T955" s="41" t="n"/>
      <c r="U955" s="43">
        <f>IF(OR($B955="",$L955=""),"",WORKDAY($B955,IFERROR(INDEX(LISTAS!$C$3:$C$42,MATCH($L955,LISTAS!$A$3:$A$42,0)),3)))</f>
        <v/>
      </c>
      <c r="V955" s="40" t="n"/>
      <c r="W955" s="19">
        <f>IF($B955="","",IF($V955&lt;&gt;"",$V955-$B955,TODAY()-$B955))</f>
        <v/>
      </c>
      <c r="X955" s="19">
        <f>IF(OR($B955="",$U955=""),"",IF($V955&lt;&gt;"",MAX(0,$V955-$U955),MAX(0,TODAY()-$U955)))</f>
        <v/>
      </c>
      <c r="Y955" s="39">
        <f>IF($C955="","",IF(IFERROR(INDEX(LISTAS!$I$3:$I$42,MATCH($T955,LISTAS!$H$3:$H$42,0)),"NO")="SÍ",IF(N($X955)&gt;0,"CERRADA FUERA DE SLA","CERRADA EN SLA"),IF($U955="","SIN CLASIFICAR",IF(N($X955)&gt;0,"VENCIDA",IF(TODAY()&gt;=$U955-1,"POR VENCER","EN PLAZO")))))</f>
        <v/>
      </c>
      <c r="Z955" s="41" t="n"/>
      <c r="AA955" s="41" t="n"/>
      <c r="AB955" s="41" t="n"/>
    </row>
    <row r="956">
      <c r="A956" s="39">
        <f>IF($C956="","","NOV-"&amp;TEXT(ROW()-3,"0000"))</f>
        <v/>
      </c>
      <c r="B956" s="40" t="n"/>
      <c r="C956" s="41" t="n"/>
      <c r="D956" s="42">
        <f>IF($C956="","",IFERROR(INDEX(DESPACHOS!$D$3:$D$3002,MATCH($C956,DESPACHOS!$B$3:$B$3002,0)),"SIN DESPACHO"))</f>
        <v/>
      </c>
      <c r="E956" s="42">
        <f>IF($C956="","",IFERROR(INDEX(DESPACHOS!$K$3:$K$3002,MATCH($C956,DESPACHOS!$B$3:$B$3002,0)),""))</f>
        <v/>
      </c>
      <c r="F956" s="42">
        <f>IF($C956="","",IFERROR(INDEX(DESPACHOS!$I$3:$I$3002,MATCH($C956,DESPACHOS!$B$3:$B$3002,0)),""))</f>
        <v/>
      </c>
      <c r="G956" s="42">
        <f>IF($C956="","",IFERROR(INDEX(DESPACHOS!$F$3:$F$3002,MATCH($C956,DESPACHOS!$B$3:$B$3002,0)),""))</f>
        <v/>
      </c>
      <c r="H956" s="42">
        <f>IF($C956="","",IFERROR(INDEX(DESPACHOS!$G$3:$G$3002,MATCH($C956,DESPACHOS!$B$3:$B$3002,0)),""))</f>
        <v/>
      </c>
      <c r="I956" s="39">
        <f>IF($C956="","",IFERROR(INDEX(DESPACHOS!$H$3:$H$3002,MATCH($C956,DESPACHOS!$B$3:$B$3002,0)),""))</f>
        <v/>
      </c>
      <c r="J956" s="43">
        <f>IF($C956="","",IFERROR(INDEX(DESPACHOS!$J$3:$J$3002,MATCH($C956,DESPACHOS!$B$3:$B$3002,0)),""))</f>
        <v/>
      </c>
      <c r="K956" s="39">
        <f>IF($C956="","",IF(COUNTIFS(DESPACHOS!$B$3:$B$3002,$C956)=0,"NO EXISTE",IF(COUNTIFS(DESPACHOS!$B$3:$B$3002,$C956)&gt;1,"DUPLICADO","OK")))</f>
        <v/>
      </c>
      <c r="L956" s="41" t="n"/>
      <c r="M956" s="41" t="n"/>
      <c r="N956" s="42">
        <f>IF($M956="","",IFERROR(INDEX(LISTAS!$F$3:$F$42,MATCH($M956,LISTAS!$E$3:$E$42,0)),"Por definir"))</f>
        <v/>
      </c>
      <c r="O956" s="41" t="n"/>
      <c r="P956" s="39">
        <f>IF($L956="","",IFERROR(INDEX(LISTAS!$B$3:$B$42,MATCH($L956,LISTAS!$A$3:$A$42,0)),"Media"))</f>
        <v/>
      </c>
      <c r="Q956" s="44" t="n"/>
      <c r="R956" s="45" t="n"/>
      <c r="S956" s="20">
        <f>IFERROR(IF(OR($R956="",$C956=""),"",$R956/INDEX(DESPACHOS!$M$3:$M$3002,MATCH($C956,DESPACHOS!$B$3:$B$3002,0))),"")</f>
        <v/>
      </c>
      <c r="T956" s="41" t="n"/>
      <c r="U956" s="43">
        <f>IF(OR($B956="",$L956=""),"",WORKDAY($B956,IFERROR(INDEX(LISTAS!$C$3:$C$42,MATCH($L956,LISTAS!$A$3:$A$42,0)),3)))</f>
        <v/>
      </c>
      <c r="V956" s="40" t="n"/>
      <c r="W956" s="19">
        <f>IF($B956="","",IF($V956&lt;&gt;"",$V956-$B956,TODAY()-$B956))</f>
        <v/>
      </c>
      <c r="X956" s="19">
        <f>IF(OR($B956="",$U956=""),"",IF($V956&lt;&gt;"",MAX(0,$V956-$U956),MAX(0,TODAY()-$U956)))</f>
        <v/>
      </c>
      <c r="Y956" s="39">
        <f>IF($C956="","",IF(IFERROR(INDEX(LISTAS!$I$3:$I$42,MATCH($T956,LISTAS!$H$3:$H$42,0)),"NO")="SÍ",IF(N($X956)&gt;0,"CERRADA FUERA DE SLA","CERRADA EN SLA"),IF($U956="","SIN CLASIFICAR",IF(N($X956)&gt;0,"VENCIDA",IF(TODAY()&gt;=$U956-1,"POR VENCER","EN PLAZO")))))</f>
        <v/>
      </c>
      <c r="Z956" s="41" t="n"/>
      <c r="AA956" s="41" t="n"/>
      <c r="AB956" s="41" t="n"/>
    </row>
    <row r="957">
      <c r="A957" s="39">
        <f>IF($C957="","","NOV-"&amp;TEXT(ROW()-3,"0000"))</f>
        <v/>
      </c>
      <c r="B957" s="40" t="n"/>
      <c r="C957" s="41" t="n"/>
      <c r="D957" s="42">
        <f>IF($C957="","",IFERROR(INDEX(DESPACHOS!$D$3:$D$3002,MATCH($C957,DESPACHOS!$B$3:$B$3002,0)),"SIN DESPACHO"))</f>
        <v/>
      </c>
      <c r="E957" s="42">
        <f>IF($C957="","",IFERROR(INDEX(DESPACHOS!$K$3:$K$3002,MATCH($C957,DESPACHOS!$B$3:$B$3002,0)),""))</f>
        <v/>
      </c>
      <c r="F957" s="42">
        <f>IF($C957="","",IFERROR(INDEX(DESPACHOS!$I$3:$I$3002,MATCH($C957,DESPACHOS!$B$3:$B$3002,0)),""))</f>
        <v/>
      </c>
      <c r="G957" s="42">
        <f>IF($C957="","",IFERROR(INDEX(DESPACHOS!$F$3:$F$3002,MATCH($C957,DESPACHOS!$B$3:$B$3002,0)),""))</f>
        <v/>
      </c>
      <c r="H957" s="42">
        <f>IF($C957="","",IFERROR(INDEX(DESPACHOS!$G$3:$G$3002,MATCH($C957,DESPACHOS!$B$3:$B$3002,0)),""))</f>
        <v/>
      </c>
      <c r="I957" s="39">
        <f>IF($C957="","",IFERROR(INDEX(DESPACHOS!$H$3:$H$3002,MATCH($C957,DESPACHOS!$B$3:$B$3002,0)),""))</f>
        <v/>
      </c>
      <c r="J957" s="43">
        <f>IF($C957="","",IFERROR(INDEX(DESPACHOS!$J$3:$J$3002,MATCH($C957,DESPACHOS!$B$3:$B$3002,0)),""))</f>
        <v/>
      </c>
      <c r="K957" s="39">
        <f>IF($C957="","",IF(COUNTIFS(DESPACHOS!$B$3:$B$3002,$C957)=0,"NO EXISTE",IF(COUNTIFS(DESPACHOS!$B$3:$B$3002,$C957)&gt;1,"DUPLICADO","OK")))</f>
        <v/>
      </c>
      <c r="L957" s="41" t="n"/>
      <c r="M957" s="41" t="n"/>
      <c r="N957" s="42">
        <f>IF($M957="","",IFERROR(INDEX(LISTAS!$F$3:$F$42,MATCH($M957,LISTAS!$E$3:$E$42,0)),"Por definir"))</f>
        <v/>
      </c>
      <c r="O957" s="41" t="n"/>
      <c r="P957" s="39">
        <f>IF($L957="","",IFERROR(INDEX(LISTAS!$B$3:$B$42,MATCH($L957,LISTAS!$A$3:$A$42,0)),"Media"))</f>
        <v/>
      </c>
      <c r="Q957" s="44" t="n"/>
      <c r="R957" s="45" t="n"/>
      <c r="S957" s="20">
        <f>IFERROR(IF(OR($R957="",$C957=""),"",$R957/INDEX(DESPACHOS!$M$3:$M$3002,MATCH($C957,DESPACHOS!$B$3:$B$3002,0))),"")</f>
        <v/>
      </c>
      <c r="T957" s="41" t="n"/>
      <c r="U957" s="43">
        <f>IF(OR($B957="",$L957=""),"",WORKDAY($B957,IFERROR(INDEX(LISTAS!$C$3:$C$42,MATCH($L957,LISTAS!$A$3:$A$42,0)),3)))</f>
        <v/>
      </c>
      <c r="V957" s="40" t="n"/>
      <c r="W957" s="19">
        <f>IF($B957="","",IF($V957&lt;&gt;"",$V957-$B957,TODAY()-$B957))</f>
        <v/>
      </c>
      <c r="X957" s="19">
        <f>IF(OR($B957="",$U957=""),"",IF($V957&lt;&gt;"",MAX(0,$V957-$U957),MAX(0,TODAY()-$U957)))</f>
        <v/>
      </c>
      <c r="Y957" s="39">
        <f>IF($C957="","",IF(IFERROR(INDEX(LISTAS!$I$3:$I$42,MATCH($T957,LISTAS!$H$3:$H$42,0)),"NO")="SÍ",IF(N($X957)&gt;0,"CERRADA FUERA DE SLA","CERRADA EN SLA"),IF($U957="","SIN CLASIFICAR",IF(N($X957)&gt;0,"VENCIDA",IF(TODAY()&gt;=$U957-1,"POR VENCER","EN PLAZO")))))</f>
        <v/>
      </c>
      <c r="Z957" s="41" t="n"/>
      <c r="AA957" s="41" t="n"/>
      <c r="AB957" s="41" t="n"/>
    </row>
    <row r="958">
      <c r="A958" s="39">
        <f>IF($C958="","","NOV-"&amp;TEXT(ROW()-3,"0000"))</f>
        <v/>
      </c>
      <c r="B958" s="40" t="n"/>
      <c r="C958" s="41" t="n"/>
      <c r="D958" s="42">
        <f>IF($C958="","",IFERROR(INDEX(DESPACHOS!$D$3:$D$3002,MATCH($C958,DESPACHOS!$B$3:$B$3002,0)),"SIN DESPACHO"))</f>
        <v/>
      </c>
      <c r="E958" s="42">
        <f>IF($C958="","",IFERROR(INDEX(DESPACHOS!$K$3:$K$3002,MATCH($C958,DESPACHOS!$B$3:$B$3002,0)),""))</f>
        <v/>
      </c>
      <c r="F958" s="42">
        <f>IF($C958="","",IFERROR(INDEX(DESPACHOS!$I$3:$I$3002,MATCH($C958,DESPACHOS!$B$3:$B$3002,0)),""))</f>
        <v/>
      </c>
      <c r="G958" s="42">
        <f>IF($C958="","",IFERROR(INDEX(DESPACHOS!$F$3:$F$3002,MATCH($C958,DESPACHOS!$B$3:$B$3002,0)),""))</f>
        <v/>
      </c>
      <c r="H958" s="42">
        <f>IF($C958="","",IFERROR(INDEX(DESPACHOS!$G$3:$G$3002,MATCH($C958,DESPACHOS!$B$3:$B$3002,0)),""))</f>
        <v/>
      </c>
      <c r="I958" s="39">
        <f>IF($C958="","",IFERROR(INDEX(DESPACHOS!$H$3:$H$3002,MATCH($C958,DESPACHOS!$B$3:$B$3002,0)),""))</f>
        <v/>
      </c>
      <c r="J958" s="43">
        <f>IF($C958="","",IFERROR(INDEX(DESPACHOS!$J$3:$J$3002,MATCH($C958,DESPACHOS!$B$3:$B$3002,0)),""))</f>
        <v/>
      </c>
      <c r="K958" s="39">
        <f>IF($C958="","",IF(COUNTIFS(DESPACHOS!$B$3:$B$3002,$C958)=0,"NO EXISTE",IF(COUNTIFS(DESPACHOS!$B$3:$B$3002,$C958)&gt;1,"DUPLICADO","OK")))</f>
        <v/>
      </c>
      <c r="L958" s="41" t="n"/>
      <c r="M958" s="41" t="n"/>
      <c r="N958" s="42">
        <f>IF($M958="","",IFERROR(INDEX(LISTAS!$F$3:$F$42,MATCH($M958,LISTAS!$E$3:$E$42,0)),"Por definir"))</f>
        <v/>
      </c>
      <c r="O958" s="41" t="n"/>
      <c r="P958" s="39">
        <f>IF($L958="","",IFERROR(INDEX(LISTAS!$B$3:$B$42,MATCH($L958,LISTAS!$A$3:$A$42,0)),"Media"))</f>
        <v/>
      </c>
      <c r="Q958" s="44" t="n"/>
      <c r="R958" s="45" t="n"/>
      <c r="S958" s="20">
        <f>IFERROR(IF(OR($R958="",$C958=""),"",$R958/INDEX(DESPACHOS!$M$3:$M$3002,MATCH($C958,DESPACHOS!$B$3:$B$3002,0))),"")</f>
        <v/>
      </c>
      <c r="T958" s="41" t="n"/>
      <c r="U958" s="43">
        <f>IF(OR($B958="",$L958=""),"",WORKDAY($B958,IFERROR(INDEX(LISTAS!$C$3:$C$42,MATCH($L958,LISTAS!$A$3:$A$42,0)),3)))</f>
        <v/>
      </c>
      <c r="V958" s="40" t="n"/>
      <c r="W958" s="19">
        <f>IF($B958="","",IF($V958&lt;&gt;"",$V958-$B958,TODAY()-$B958))</f>
        <v/>
      </c>
      <c r="X958" s="19">
        <f>IF(OR($B958="",$U958=""),"",IF($V958&lt;&gt;"",MAX(0,$V958-$U958),MAX(0,TODAY()-$U958)))</f>
        <v/>
      </c>
      <c r="Y958" s="39">
        <f>IF($C958="","",IF(IFERROR(INDEX(LISTAS!$I$3:$I$42,MATCH($T958,LISTAS!$H$3:$H$42,0)),"NO")="SÍ",IF(N($X958)&gt;0,"CERRADA FUERA DE SLA","CERRADA EN SLA"),IF($U958="","SIN CLASIFICAR",IF(N($X958)&gt;0,"VENCIDA",IF(TODAY()&gt;=$U958-1,"POR VENCER","EN PLAZO")))))</f>
        <v/>
      </c>
      <c r="Z958" s="41" t="n"/>
      <c r="AA958" s="41" t="n"/>
      <c r="AB958" s="41" t="n"/>
    </row>
    <row r="959">
      <c r="A959" s="39">
        <f>IF($C959="","","NOV-"&amp;TEXT(ROW()-3,"0000"))</f>
        <v/>
      </c>
      <c r="B959" s="40" t="n"/>
      <c r="C959" s="41" t="n"/>
      <c r="D959" s="42">
        <f>IF($C959="","",IFERROR(INDEX(DESPACHOS!$D$3:$D$3002,MATCH($C959,DESPACHOS!$B$3:$B$3002,0)),"SIN DESPACHO"))</f>
        <v/>
      </c>
      <c r="E959" s="42">
        <f>IF($C959="","",IFERROR(INDEX(DESPACHOS!$K$3:$K$3002,MATCH($C959,DESPACHOS!$B$3:$B$3002,0)),""))</f>
        <v/>
      </c>
      <c r="F959" s="42">
        <f>IF($C959="","",IFERROR(INDEX(DESPACHOS!$I$3:$I$3002,MATCH($C959,DESPACHOS!$B$3:$B$3002,0)),""))</f>
        <v/>
      </c>
      <c r="G959" s="42">
        <f>IF($C959="","",IFERROR(INDEX(DESPACHOS!$F$3:$F$3002,MATCH($C959,DESPACHOS!$B$3:$B$3002,0)),""))</f>
        <v/>
      </c>
      <c r="H959" s="42">
        <f>IF($C959="","",IFERROR(INDEX(DESPACHOS!$G$3:$G$3002,MATCH($C959,DESPACHOS!$B$3:$B$3002,0)),""))</f>
        <v/>
      </c>
      <c r="I959" s="39">
        <f>IF($C959="","",IFERROR(INDEX(DESPACHOS!$H$3:$H$3002,MATCH($C959,DESPACHOS!$B$3:$B$3002,0)),""))</f>
        <v/>
      </c>
      <c r="J959" s="43">
        <f>IF($C959="","",IFERROR(INDEX(DESPACHOS!$J$3:$J$3002,MATCH($C959,DESPACHOS!$B$3:$B$3002,0)),""))</f>
        <v/>
      </c>
      <c r="K959" s="39">
        <f>IF($C959="","",IF(COUNTIFS(DESPACHOS!$B$3:$B$3002,$C959)=0,"NO EXISTE",IF(COUNTIFS(DESPACHOS!$B$3:$B$3002,$C959)&gt;1,"DUPLICADO","OK")))</f>
        <v/>
      </c>
      <c r="L959" s="41" t="n"/>
      <c r="M959" s="41" t="n"/>
      <c r="N959" s="42">
        <f>IF($M959="","",IFERROR(INDEX(LISTAS!$F$3:$F$42,MATCH($M959,LISTAS!$E$3:$E$42,0)),"Por definir"))</f>
        <v/>
      </c>
      <c r="O959" s="41" t="n"/>
      <c r="P959" s="39">
        <f>IF($L959="","",IFERROR(INDEX(LISTAS!$B$3:$B$42,MATCH($L959,LISTAS!$A$3:$A$42,0)),"Media"))</f>
        <v/>
      </c>
      <c r="Q959" s="44" t="n"/>
      <c r="R959" s="45" t="n"/>
      <c r="S959" s="20">
        <f>IFERROR(IF(OR($R959="",$C959=""),"",$R959/INDEX(DESPACHOS!$M$3:$M$3002,MATCH($C959,DESPACHOS!$B$3:$B$3002,0))),"")</f>
        <v/>
      </c>
      <c r="T959" s="41" t="n"/>
      <c r="U959" s="43">
        <f>IF(OR($B959="",$L959=""),"",WORKDAY($B959,IFERROR(INDEX(LISTAS!$C$3:$C$42,MATCH($L959,LISTAS!$A$3:$A$42,0)),3)))</f>
        <v/>
      </c>
      <c r="V959" s="40" t="n"/>
      <c r="W959" s="19">
        <f>IF($B959="","",IF($V959&lt;&gt;"",$V959-$B959,TODAY()-$B959))</f>
        <v/>
      </c>
      <c r="X959" s="19">
        <f>IF(OR($B959="",$U959=""),"",IF($V959&lt;&gt;"",MAX(0,$V959-$U959),MAX(0,TODAY()-$U959)))</f>
        <v/>
      </c>
      <c r="Y959" s="39">
        <f>IF($C959="","",IF(IFERROR(INDEX(LISTAS!$I$3:$I$42,MATCH($T959,LISTAS!$H$3:$H$42,0)),"NO")="SÍ",IF(N($X959)&gt;0,"CERRADA FUERA DE SLA","CERRADA EN SLA"),IF($U959="","SIN CLASIFICAR",IF(N($X959)&gt;0,"VENCIDA",IF(TODAY()&gt;=$U959-1,"POR VENCER","EN PLAZO")))))</f>
        <v/>
      </c>
      <c r="Z959" s="41" t="n"/>
      <c r="AA959" s="41" t="n"/>
      <c r="AB959" s="41" t="n"/>
    </row>
    <row r="960">
      <c r="A960" s="39">
        <f>IF($C960="","","NOV-"&amp;TEXT(ROW()-3,"0000"))</f>
        <v/>
      </c>
      <c r="B960" s="40" t="n"/>
      <c r="C960" s="41" t="n"/>
      <c r="D960" s="42">
        <f>IF($C960="","",IFERROR(INDEX(DESPACHOS!$D$3:$D$3002,MATCH($C960,DESPACHOS!$B$3:$B$3002,0)),"SIN DESPACHO"))</f>
        <v/>
      </c>
      <c r="E960" s="42">
        <f>IF($C960="","",IFERROR(INDEX(DESPACHOS!$K$3:$K$3002,MATCH($C960,DESPACHOS!$B$3:$B$3002,0)),""))</f>
        <v/>
      </c>
      <c r="F960" s="42">
        <f>IF($C960="","",IFERROR(INDEX(DESPACHOS!$I$3:$I$3002,MATCH($C960,DESPACHOS!$B$3:$B$3002,0)),""))</f>
        <v/>
      </c>
      <c r="G960" s="42">
        <f>IF($C960="","",IFERROR(INDEX(DESPACHOS!$F$3:$F$3002,MATCH($C960,DESPACHOS!$B$3:$B$3002,0)),""))</f>
        <v/>
      </c>
      <c r="H960" s="42">
        <f>IF($C960="","",IFERROR(INDEX(DESPACHOS!$G$3:$G$3002,MATCH($C960,DESPACHOS!$B$3:$B$3002,0)),""))</f>
        <v/>
      </c>
      <c r="I960" s="39">
        <f>IF($C960="","",IFERROR(INDEX(DESPACHOS!$H$3:$H$3002,MATCH($C960,DESPACHOS!$B$3:$B$3002,0)),""))</f>
        <v/>
      </c>
      <c r="J960" s="43">
        <f>IF($C960="","",IFERROR(INDEX(DESPACHOS!$J$3:$J$3002,MATCH($C960,DESPACHOS!$B$3:$B$3002,0)),""))</f>
        <v/>
      </c>
      <c r="K960" s="39">
        <f>IF($C960="","",IF(COUNTIFS(DESPACHOS!$B$3:$B$3002,$C960)=0,"NO EXISTE",IF(COUNTIFS(DESPACHOS!$B$3:$B$3002,$C960)&gt;1,"DUPLICADO","OK")))</f>
        <v/>
      </c>
      <c r="L960" s="41" t="n"/>
      <c r="M960" s="41" t="n"/>
      <c r="N960" s="42">
        <f>IF($M960="","",IFERROR(INDEX(LISTAS!$F$3:$F$42,MATCH($M960,LISTAS!$E$3:$E$42,0)),"Por definir"))</f>
        <v/>
      </c>
      <c r="O960" s="41" t="n"/>
      <c r="P960" s="39">
        <f>IF($L960="","",IFERROR(INDEX(LISTAS!$B$3:$B$42,MATCH($L960,LISTAS!$A$3:$A$42,0)),"Media"))</f>
        <v/>
      </c>
      <c r="Q960" s="44" t="n"/>
      <c r="R960" s="45" t="n"/>
      <c r="S960" s="20">
        <f>IFERROR(IF(OR($R960="",$C960=""),"",$R960/INDEX(DESPACHOS!$M$3:$M$3002,MATCH($C960,DESPACHOS!$B$3:$B$3002,0))),"")</f>
        <v/>
      </c>
      <c r="T960" s="41" t="n"/>
      <c r="U960" s="43">
        <f>IF(OR($B960="",$L960=""),"",WORKDAY($B960,IFERROR(INDEX(LISTAS!$C$3:$C$42,MATCH($L960,LISTAS!$A$3:$A$42,0)),3)))</f>
        <v/>
      </c>
      <c r="V960" s="40" t="n"/>
      <c r="W960" s="19">
        <f>IF($B960="","",IF($V960&lt;&gt;"",$V960-$B960,TODAY()-$B960))</f>
        <v/>
      </c>
      <c r="X960" s="19">
        <f>IF(OR($B960="",$U960=""),"",IF($V960&lt;&gt;"",MAX(0,$V960-$U960),MAX(0,TODAY()-$U960)))</f>
        <v/>
      </c>
      <c r="Y960" s="39">
        <f>IF($C960="","",IF(IFERROR(INDEX(LISTAS!$I$3:$I$42,MATCH($T960,LISTAS!$H$3:$H$42,0)),"NO")="SÍ",IF(N($X960)&gt;0,"CERRADA FUERA DE SLA","CERRADA EN SLA"),IF($U960="","SIN CLASIFICAR",IF(N($X960)&gt;0,"VENCIDA",IF(TODAY()&gt;=$U960-1,"POR VENCER","EN PLAZO")))))</f>
        <v/>
      </c>
      <c r="Z960" s="41" t="n"/>
      <c r="AA960" s="41" t="n"/>
      <c r="AB960" s="41" t="n"/>
    </row>
    <row r="961">
      <c r="A961" s="39">
        <f>IF($C961="","","NOV-"&amp;TEXT(ROW()-3,"0000"))</f>
        <v/>
      </c>
      <c r="B961" s="40" t="n"/>
      <c r="C961" s="41" t="n"/>
      <c r="D961" s="42">
        <f>IF($C961="","",IFERROR(INDEX(DESPACHOS!$D$3:$D$3002,MATCH($C961,DESPACHOS!$B$3:$B$3002,0)),"SIN DESPACHO"))</f>
        <v/>
      </c>
      <c r="E961" s="42">
        <f>IF($C961="","",IFERROR(INDEX(DESPACHOS!$K$3:$K$3002,MATCH($C961,DESPACHOS!$B$3:$B$3002,0)),""))</f>
        <v/>
      </c>
      <c r="F961" s="42">
        <f>IF($C961="","",IFERROR(INDEX(DESPACHOS!$I$3:$I$3002,MATCH($C961,DESPACHOS!$B$3:$B$3002,0)),""))</f>
        <v/>
      </c>
      <c r="G961" s="42">
        <f>IF($C961="","",IFERROR(INDEX(DESPACHOS!$F$3:$F$3002,MATCH($C961,DESPACHOS!$B$3:$B$3002,0)),""))</f>
        <v/>
      </c>
      <c r="H961" s="42">
        <f>IF($C961="","",IFERROR(INDEX(DESPACHOS!$G$3:$G$3002,MATCH($C961,DESPACHOS!$B$3:$B$3002,0)),""))</f>
        <v/>
      </c>
      <c r="I961" s="39">
        <f>IF($C961="","",IFERROR(INDEX(DESPACHOS!$H$3:$H$3002,MATCH($C961,DESPACHOS!$B$3:$B$3002,0)),""))</f>
        <v/>
      </c>
      <c r="J961" s="43">
        <f>IF($C961="","",IFERROR(INDEX(DESPACHOS!$J$3:$J$3002,MATCH($C961,DESPACHOS!$B$3:$B$3002,0)),""))</f>
        <v/>
      </c>
      <c r="K961" s="39">
        <f>IF($C961="","",IF(COUNTIFS(DESPACHOS!$B$3:$B$3002,$C961)=0,"NO EXISTE",IF(COUNTIFS(DESPACHOS!$B$3:$B$3002,$C961)&gt;1,"DUPLICADO","OK")))</f>
        <v/>
      </c>
      <c r="L961" s="41" t="n"/>
      <c r="M961" s="41" t="n"/>
      <c r="N961" s="42">
        <f>IF($M961="","",IFERROR(INDEX(LISTAS!$F$3:$F$42,MATCH($M961,LISTAS!$E$3:$E$42,0)),"Por definir"))</f>
        <v/>
      </c>
      <c r="O961" s="41" t="n"/>
      <c r="P961" s="39">
        <f>IF($L961="","",IFERROR(INDEX(LISTAS!$B$3:$B$42,MATCH($L961,LISTAS!$A$3:$A$42,0)),"Media"))</f>
        <v/>
      </c>
      <c r="Q961" s="44" t="n"/>
      <c r="R961" s="45" t="n"/>
      <c r="S961" s="20">
        <f>IFERROR(IF(OR($R961="",$C961=""),"",$R961/INDEX(DESPACHOS!$M$3:$M$3002,MATCH($C961,DESPACHOS!$B$3:$B$3002,0))),"")</f>
        <v/>
      </c>
      <c r="T961" s="41" t="n"/>
      <c r="U961" s="43">
        <f>IF(OR($B961="",$L961=""),"",WORKDAY($B961,IFERROR(INDEX(LISTAS!$C$3:$C$42,MATCH($L961,LISTAS!$A$3:$A$42,0)),3)))</f>
        <v/>
      </c>
      <c r="V961" s="40" t="n"/>
      <c r="W961" s="19">
        <f>IF($B961="","",IF($V961&lt;&gt;"",$V961-$B961,TODAY()-$B961))</f>
        <v/>
      </c>
      <c r="X961" s="19">
        <f>IF(OR($B961="",$U961=""),"",IF($V961&lt;&gt;"",MAX(0,$V961-$U961),MAX(0,TODAY()-$U961)))</f>
        <v/>
      </c>
      <c r="Y961" s="39">
        <f>IF($C961="","",IF(IFERROR(INDEX(LISTAS!$I$3:$I$42,MATCH($T961,LISTAS!$H$3:$H$42,0)),"NO")="SÍ",IF(N($X961)&gt;0,"CERRADA FUERA DE SLA","CERRADA EN SLA"),IF($U961="","SIN CLASIFICAR",IF(N($X961)&gt;0,"VENCIDA",IF(TODAY()&gt;=$U961-1,"POR VENCER","EN PLAZO")))))</f>
        <v/>
      </c>
      <c r="Z961" s="41" t="n"/>
      <c r="AA961" s="41" t="n"/>
      <c r="AB961" s="41" t="n"/>
    </row>
    <row r="962">
      <c r="A962" s="39">
        <f>IF($C962="","","NOV-"&amp;TEXT(ROW()-3,"0000"))</f>
        <v/>
      </c>
      <c r="B962" s="40" t="n"/>
      <c r="C962" s="41" t="n"/>
      <c r="D962" s="42">
        <f>IF($C962="","",IFERROR(INDEX(DESPACHOS!$D$3:$D$3002,MATCH($C962,DESPACHOS!$B$3:$B$3002,0)),"SIN DESPACHO"))</f>
        <v/>
      </c>
      <c r="E962" s="42">
        <f>IF($C962="","",IFERROR(INDEX(DESPACHOS!$K$3:$K$3002,MATCH($C962,DESPACHOS!$B$3:$B$3002,0)),""))</f>
        <v/>
      </c>
      <c r="F962" s="42">
        <f>IF($C962="","",IFERROR(INDEX(DESPACHOS!$I$3:$I$3002,MATCH($C962,DESPACHOS!$B$3:$B$3002,0)),""))</f>
        <v/>
      </c>
      <c r="G962" s="42">
        <f>IF($C962="","",IFERROR(INDEX(DESPACHOS!$F$3:$F$3002,MATCH($C962,DESPACHOS!$B$3:$B$3002,0)),""))</f>
        <v/>
      </c>
      <c r="H962" s="42">
        <f>IF($C962="","",IFERROR(INDEX(DESPACHOS!$G$3:$G$3002,MATCH($C962,DESPACHOS!$B$3:$B$3002,0)),""))</f>
        <v/>
      </c>
      <c r="I962" s="39">
        <f>IF($C962="","",IFERROR(INDEX(DESPACHOS!$H$3:$H$3002,MATCH($C962,DESPACHOS!$B$3:$B$3002,0)),""))</f>
        <v/>
      </c>
      <c r="J962" s="43">
        <f>IF($C962="","",IFERROR(INDEX(DESPACHOS!$J$3:$J$3002,MATCH($C962,DESPACHOS!$B$3:$B$3002,0)),""))</f>
        <v/>
      </c>
      <c r="K962" s="39">
        <f>IF($C962="","",IF(COUNTIFS(DESPACHOS!$B$3:$B$3002,$C962)=0,"NO EXISTE",IF(COUNTIFS(DESPACHOS!$B$3:$B$3002,$C962)&gt;1,"DUPLICADO","OK")))</f>
        <v/>
      </c>
      <c r="L962" s="41" t="n"/>
      <c r="M962" s="41" t="n"/>
      <c r="N962" s="42">
        <f>IF($M962="","",IFERROR(INDEX(LISTAS!$F$3:$F$42,MATCH($M962,LISTAS!$E$3:$E$42,0)),"Por definir"))</f>
        <v/>
      </c>
      <c r="O962" s="41" t="n"/>
      <c r="P962" s="39">
        <f>IF($L962="","",IFERROR(INDEX(LISTAS!$B$3:$B$42,MATCH($L962,LISTAS!$A$3:$A$42,0)),"Media"))</f>
        <v/>
      </c>
      <c r="Q962" s="44" t="n"/>
      <c r="R962" s="45" t="n"/>
      <c r="S962" s="20">
        <f>IFERROR(IF(OR($R962="",$C962=""),"",$R962/INDEX(DESPACHOS!$M$3:$M$3002,MATCH($C962,DESPACHOS!$B$3:$B$3002,0))),"")</f>
        <v/>
      </c>
      <c r="T962" s="41" t="n"/>
      <c r="U962" s="43">
        <f>IF(OR($B962="",$L962=""),"",WORKDAY($B962,IFERROR(INDEX(LISTAS!$C$3:$C$42,MATCH($L962,LISTAS!$A$3:$A$42,0)),3)))</f>
        <v/>
      </c>
      <c r="V962" s="40" t="n"/>
      <c r="W962" s="19">
        <f>IF($B962="","",IF($V962&lt;&gt;"",$V962-$B962,TODAY()-$B962))</f>
        <v/>
      </c>
      <c r="X962" s="19">
        <f>IF(OR($B962="",$U962=""),"",IF($V962&lt;&gt;"",MAX(0,$V962-$U962),MAX(0,TODAY()-$U962)))</f>
        <v/>
      </c>
      <c r="Y962" s="39">
        <f>IF($C962="","",IF(IFERROR(INDEX(LISTAS!$I$3:$I$42,MATCH($T962,LISTAS!$H$3:$H$42,0)),"NO")="SÍ",IF(N($X962)&gt;0,"CERRADA FUERA DE SLA","CERRADA EN SLA"),IF($U962="","SIN CLASIFICAR",IF(N($X962)&gt;0,"VENCIDA",IF(TODAY()&gt;=$U962-1,"POR VENCER","EN PLAZO")))))</f>
        <v/>
      </c>
      <c r="Z962" s="41" t="n"/>
      <c r="AA962" s="41" t="n"/>
      <c r="AB962" s="41" t="n"/>
    </row>
    <row r="963">
      <c r="A963" s="39">
        <f>IF($C963="","","NOV-"&amp;TEXT(ROW()-3,"0000"))</f>
        <v/>
      </c>
      <c r="B963" s="40" t="n"/>
      <c r="C963" s="41" t="n"/>
      <c r="D963" s="42">
        <f>IF($C963="","",IFERROR(INDEX(DESPACHOS!$D$3:$D$3002,MATCH($C963,DESPACHOS!$B$3:$B$3002,0)),"SIN DESPACHO"))</f>
        <v/>
      </c>
      <c r="E963" s="42">
        <f>IF($C963="","",IFERROR(INDEX(DESPACHOS!$K$3:$K$3002,MATCH($C963,DESPACHOS!$B$3:$B$3002,0)),""))</f>
        <v/>
      </c>
      <c r="F963" s="42">
        <f>IF($C963="","",IFERROR(INDEX(DESPACHOS!$I$3:$I$3002,MATCH($C963,DESPACHOS!$B$3:$B$3002,0)),""))</f>
        <v/>
      </c>
      <c r="G963" s="42">
        <f>IF($C963="","",IFERROR(INDEX(DESPACHOS!$F$3:$F$3002,MATCH($C963,DESPACHOS!$B$3:$B$3002,0)),""))</f>
        <v/>
      </c>
      <c r="H963" s="42">
        <f>IF($C963="","",IFERROR(INDEX(DESPACHOS!$G$3:$G$3002,MATCH($C963,DESPACHOS!$B$3:$B$3002,0)),""))</f>
        <v/>
      </c>
      <c r="I963" s="39">
        <f>IF($C963="","",IFERROR(INDEX(DESPACHOS!$H$3:$H$3002,MATCH($C963,DESPACHOS!$B$3:$B$3002,0)),""))</f>
        <v/>
      </c>
      <c r="J963" s="43">
        <f>IF($C963="","",IFERROR(INDEX(DESPACHOS!$J$3:$J$3002,MATCH($C963,DESPACHOS!$B$3:$B$3002,0)),""))</f>
        <v/>
      </c>
      <c r="K963" s="39">
        <f>IF($C963="","",IF(COUNTIFS(DESPACHOS!$B$3:$B$3002,$C963)=0,"NO EXISTE",IF(COUNTIFS(DESPACHOS!$B$3:$B$3002,$C963)&gt;1,"DUPLICADO","OK")))</f>
        <v/>
      </c>
      <c r="L963" s="41" t="n"/>
      <c r="M963" s="41" t="n"/>
      <c r="N963" s="42">
        <f>IF($M963="","",IFERROR(INDEX(LISTAS!$F$3:$F$42,MATCH($M963,LISTAS!$E$3:$E$42,0)),"Por definir"))</f>
        <v/>
      </c>
      <c r="O963" s="41" t="n"/>
      <c r="P963" s="39">
        <f>IF($L963="","",IFERROR(INDEX(LISTAS!$B$3:$B$42,MATCH($L963,LISTAS!$A$3:$A$42,0)),"Media"))</f>
        <v/>
      </c>
      <c r="Q963" s="44" t="n"/>
      <c r="R963" s="45" t="n"/>
      <c r="S963" s="20">
        <f>IFERROR(IF(OR($R963="",$C963=""),"",$R963/INDEX(DESPACHOS!$M$3:$M$3002,MATCH($C963,DESPACHOS!$B$3:$B$3002,0))),"")</f>
        <v/>
      </c>
      <c r="T963" s="41" t="n"/>
      <c r="U963" s="43">
        <f>IF(OR($B963="",$L963=""),"",WORKDAY($B963,IFERROR(INDEX(LISTAS!$C$3:$C$42,MATCH($L963,LISTAS!$A$3:$A$42,0)),3)))</f>
        <v/>
      </c>
      <c r="V963" s="40" t="n"/>
      <c r="W963" s="19">
        <f>IF($B963="","",IF($V963&lt;&gt;"",$V963-$B963,TODAY()-$B963))</f>
        <v/>
      </c>
      <c r="X963" s="19">
        <f>IF(OR($B963="",$U963=""),"",IF($V963&lt;&gt;"",MAX(0,$V963-$U963),MAX(0,TODAY()-$U963)))</f>
        <v/>
      </c>
      <c r="Y963" s="39">
        <f>IF($C963="","",IF(IFERROR(INDEX(LISTAS!$I$3:$I$42,MATCH($T963,LISTAS!$H$3:$H$42,0)),"NO")="SÍ",IF(N($X963)&gt;0,"CERRADA FUERA DE SLA","CERRADA EN SLA"),IF($U963="","SIN CLASIFICAR",IF(N($X963)&gt;0,"VENCIDA",IF(TODAY()&gt;=$U963-1,"POR VENCER","EN PLAZO")))))</f>
        <v/>
      </c>
      <c r="Z963" s="41" t="n"/>
      <c r="AA963" s="41" t="n"/>
      <c r="AB963" s="41" t="n"/>
    </row>
    <row r="964">
      <c r="A964" s="39">
        <f>IF($C964="","","NOV-"&amp;TEXT(ROW()-3,"0000"))</f>
        <v/>
      </c>
      <c r="B964" s="40" t="n"/>
      <c r="C964" s="41" t="n"/>
      <c r="D964" s="42">
        <f>IF($C964="","",IFERROR(INDEX(DESPACHOS!$D$3:$D$3002,MATCH($C964,DESPACHOS!$B$3:$B$3002,0)),"SIN DESPACHO"))</f>
        <v/>
      </c>
      <c r="E964" s="42">
        <f>IF($C964="","",IFERROR(INDEX(DESPACHOS!$K$3:$K$3002,MATCH($C964,DESPACHOS!$B$3:$B$3002,0)),""))</f>
        <v/>
      </c>
      <c r="F964" s="42">
        <f>IF($C964="","",IFERROR(INDEX(DESPACHOS!$I$3:$I$3002,MATCH($C964,DESPACHOS!$B$3:$B$3002,0)),""))</f>
        <v/>
      </c>
      <c r="G964" s="42">
        <f>IF($C964="","",IFERROR(INDEX(DESPACHOS!$F$3:$F$3002,MATCH($C964,DESPACHOS!$B$3:$B$3002,0)),""))</f>
        <v/>
      </c>
      <c r="H964" s="42">
        <f>IF($C964="","",IFERROR(INDEX(DESPACHOS!$G$3:$G$3002,MATCH($C964,DESPACHOS!$B$3:$B$3002,0)),""))</f>
        <v/>
      </c>
      <c r="I964" s="39">
        <f>IF($C964="","",IFERROR(INDEX(DESPACHOS!$H$3:$H$3002,MATCH($C964,DESPACHOS!$B$3:$B$3002,0)),""))</f>
        <v/>
      </c>
      <c r="J964" s="43">
        <f>IF($C964="","",IFERROR(INDEX(DESPACHOS!$J$3:$J$3002,MATCH($C964,DESPACHOS!$B$3:$B$3002,0)),""))</f>
        <v/>
      </c>
      <c r="K964" s="39">
        <f>IF($C964="","",IF(COUNTIFS(DESPACHOS!$B$3:$B$3002,$C964)=0,"NO EXISTE",IF(COUNTIFS(DESPACHOS!$B$3:$B$3002,$C964)&gt;1,"DUPLICADO","OK")))</f>
        <v/>
      </c>
      <c r="L964" s="41" t="n"/>
      <c r="M964" s="41" t="n"/>
      <c r="N964" s="42">
        <f>IF($M964="","",IFERROR(INDEX(LISTAS!$F$3:$F$42,MATCH($M964,LISTAS!$E$3:$E$42,0)),"Por definir"))</f>
        <v/>
      </c>
      <c r="O964" s="41" t="n"/>
      <c r="P964" s="39">
        <f>IF($L964="","",IFERROR(INDEX(LISTAS!$B$3:$B$42,MATCH($L964,LISTAS!$A$3:$A$42,0)),"Media"))</f>
        <v/>
      </c>
      <c r="Q964" s="44" t="n"/>
      <c r="R964" s="45" t="n"/>
      <c r="S964" s="20">
        <f>IFERROR(IF(OR($R964="",$C964=""),"",$R964/INDEX(DESPACHOS!$M$3:$M$3002,MATCH($C964,DESPACHOS!$B$3:$B$3002,0))),"")</f>
        <v/>
      </c>
      <c r="T964" s="41" t="n"/>
      <c r="U964" s="43">
        <f>IF(OR($B964="",$L964=""),"",WORKDAY($B964,IFERROR(INDEX(LISTAS!$C$3:$C$42,MATCH($L964,LISTAS!$A$3:$A$42,0)),3)))</f>
        <v/>
      </c>
      <c r="V964" s="40" t="n"/>
      <c r="W964" s="19">
        <f>IF($B964="","",IF($V964&lt;&gt;"",$V964-$B964,TODAY()-$B964))</f>
        <v/>
      </c>
      <c r="X964" s="19">
        <f>IF(OR($B964="",$U964=""),"",IF($V964&lt;&gt;"",MAX(0,$V964-$U964),MAX(0,TODAY()-$U964)))</f>
        <v/>
      </c>
      <c r="Y964" s="39">
        <f>IF($C964="","",IF(IFERROR(INDEX(LISTAS!$I$3:$I$42,MATCH($T964,LISTAS!$H$3:$H$42,0)),"NO")="SÍ",IF(N($X964)&gt;0,"CERRADA FUERA DE SLA","CERRADA EN SLA"),IF($U964="","SIN CLASIFICAR",IF(N($X964)&gt;0,"VENCIDA",IF(TODAY()&gt;=$U964-1,"POR VENCER","EN PLAZO")))))</f>
        <v/>
      </c>
      <c r="Z964" s="41" t="n"/>
      <c r="AA964" s="41" t="n"/>
      <c r="AB964" s="41" t="n"/>
    </row>
    <row r="965">
      <c r="A965" s="39">
        <f>IF($C965="","","NOV-"&amp;TEXT(ROW()-3,"0000"))</f>
        <v/>
      </c>
      <c r="B965" s="40" t="n"/>
      <c r="C965" s="41" t="n"/>
      <c r="D965" s="42">
        <f>IF($C965="","",IFERROR(INDEX(DESPACHOS!$D$3:$D$3002,MATCH($C965,DESPACHOS!$B$3:$B$3002,0)),"SIN DESPACHO"))</f>
        <v/>
      </c>
      <c r="E965" s="42">
        <f>IF($C965="","",IFERROR(INDEX(DESPACHOS!$K$3:$K$3002,MATCH($C965,DESPACHOS!$B$3:$B$3002,0)),""))</f>
        <v/>
      </c>
      <c r="F965" s="42">
        <f>IF($C965="","",IFERROR(INDEX(DESPACHOS!$I$3:$I$3002,MATCH($C965,DESPACHOS!$B$3:$B$3002,0)),""))</f>
        <v/>
      </c>
      <c r="G965" s="42">
        <f>IF($C965="","",IFERROR(INDEX(DESPACHOS!$F$3:$F$3002,MATCH($C965,DESPACHOS!$B$3:$B$3002,0)),""))</f>
        <v/>
      </c>
      <c r="H965" s="42">
        <f>IF($C965="","",IFERROR(INDEX(DESPACHOS!$G$3:$G$3002,MATCH($C965,DESPACHOS!$B$3:$B$3002,0)),""))</f>
        <v/>
      </c>
      <c r="I965" s="39">
        <f>IF($C965="","",IFERROR(INDEX(DESPACHOS!$H$3:$H$3002,MATCH($C965,DESPACHOS!$B$3:$B$3002,0)),""))</f>
        <v/>
      </c>
      <c r="J965" s="43">
        <f>IF($C965="","",IFERROR(INDEX(DESPACHOS!$J$3:$J$3002,MATCH($C965,DESPACHOS!$B$3:$B$3002,0)),""))</f>
        <v/>
      </c>
      <c r="K965" s="39">
        <f>IF($C965="","",IF(COUNTIFS(DESPACHOS!$B$3:$B$3002,$C965)=0,"NO EXISTE",IF(COUNTIFS(DESPACHOS!$B$3:$B$3002,$C965)&gt;1,"DUPLICADO","OK")))</f>
        <v/>
      </c>
      <c r="L965" s="41" t="n"/>
      <c r="M965" s="41" t="n"/>
      <c r="N965" s="42">
        <f>IF($M965="","",IFERROR(INDEX(LISTAS!$F$3:$F$42,MATCH($M965,LISTAS!$E$3:$E$42,0)),"Por definir"))</f>
        <v/>
      </c>
      <c r="O965" s="41" t="n"/>
      <c r="P965" s="39">
        <f>IF($L965="","",IFERROR(INDEX(LISTAS!$B$3:$B$42,MATCH($L965,LISTAS!$A$3:$A$42,0)),"Media"))</f>
        <v/>
      </c>
      <c r="Q965" s="44" t="n"/>
      <c r="R965" s="45" t="n"/>
      <c r="S965" s="20">
        <f>IFERROR(IF(OR($R965="",$C965=""),"",$R965/INDEX(DESPACHOS!$M$3:$M$3002,MATCH($C965,DESPACHOS!$B$3:$B$3002,0))),"")</f>
        <v/>
      </c>
      <c r="T965" s="41" t="n"/>
      <c r="U965" s="43">
        <f>IF(OR($B965="",$L965=""),"",WORKDAY($B965,IFERROR(INDEX(LISTAS!$C$3:$C$42,MATCH($L965,LISTAS!$A$3:$A$42,0)),3)))</f>
        <v/>
      </c>
      <c r="V965" s="40" t="n"/>
      <c r="W965" s="19">
        <f>IF($B965="","",IF($V965&lt;&gt;"",$V965-$B965,TODAY()-$B965))</f>
        <v/>
      </c>
      <c r="X965" s="19">
        <f>IF(OR($B965="",$U965=""),"",IF($V965&lt;&gt;"",MAX(0,$V965-$U965),MAX(0,TODAY()-$U965)))</f>
        <v/>
      </c>
      <c r="Y965" s="39">
        <f>IF($C965="","",IF(IFERROR(INDEX(LISTAS!$I$3:$I$42,MATCH($T965,LISTAS!$H$3:$H$42,0)),"NO")="SÍ",IF(N($X965)&gt;0,"CERRADA FUERA DE SLA","CERRADA EN SLA"),IF($U965="","SIN CLASIFICAR",IF(N($X965)&gt;0,"VENCIDA",IF(TODAY()&gt;=$U965-1,"POR VENCER","EN PLAZO")))))</f>
        <v/>
      </c>
      <c r="Z965" s="41" t="n"/>
      <c r="AA965" s="41" t="n"/>
      <c r="AB965" s="41" t="n"/>
    </row>
    <row r="966">
      <c r="A966" s="39">
        <f>IF($C966="","","NOV-"&amp;TEXT(ROW()-3,"0000"))</f>
        <v/>
      </c>
      <c r="B966" s="40" t="n"/>
      <c r="C966" s="41" t="n"/>
      <c r="D966" s="42">
        <f>IF($C966="","",IFERROR(INDEX(DESPACHOS!$D$3:$D$3002,MATCH($C966,DESPACHOS!$B$3:$B$3002,0)),"SIN DESPACHO"))</f>
        <v/>
      </c>
      <c r="E966" s="42">
        <f>IF($C966="","",IFERROR(INDEX(DESPACHOS!$K$3:$K$3002,MATCH($C966,DESPACHOS!$B$3:$B$3002,0)),""))</f>
        <v/>
      </c>
      <c r="F966" s="42">
        <f>IF($C966="","",IFERROR(INDEX(DESPACHOS!$I$3:$I$3002,MATCH($C966,DESPACHOS!$B$3:$B$3002,0)),""))</f>
        <v/>
      </c>
      <c r="G966" s="42">
        <f>IF($C966="","",IFERROR(INDEX(DESPACHOS!$F$3:$F$3002,MATCH($C966,DESPACHOS!$B$3:$B$3002,0)),""))</f>
        <v/>
      </c>
      <c r="H966" s="42">
        <f>IF($C966="","",IFERROR(INDEX(DESPACHOS!$G$3:$G$3002,MATCH($C966,DESPACHOS!$B$3:$B$3002,0)),""))</f>
        <v/>
      </c>
      <c r="I966" s="39">
        <f>IF($C966="","",IFERROR(INDEX(DESPACHOS!$H$3:$H$3002,MATCH($C966,DESPACHOS!$B$3:$B$3002,0)),""))</f>
        <v/>
      </c>
      <c r="J966" s="43">
        <f>IF($C966="","",IFERROR(INDEX(DESPACHOS!$J$3:$J$3002,MATCH($C966,DESPACHOS!$B$3:$B$3002,0)),""))</f>
        <v/>
      </c>
      <c r="K966" s="39">
        <f>IF($C966="","",IF(COUNTIFS(DESPACHOS!$B$3:$B$3002,$C966)=0,"NO EXISTE",IF(COUNTIFS(DESPACHOS!$B$3:$B$3002,$C966)&gt;1,"DUPLICADO","OK")))</f>
        <v/>
      </c>
      <c r="L966" s="41" t="n"/>
      <c r="M966" s="41" t="n"/>
      <c r="N966" s="42">
        <f>IF($M966="","",IFERROR(INDEX(LISTAS!$F$3:$F$42,MATCH($M966,LISTAS!$E$3:$E$42,0)),"Por definir"))</f>
        <v/>
      </c>
      <c r="O966" s="41" t="n"/>
      <c r="P966" s="39">
        <f>IF($L966="","",IFERROR(INDEX(LISTAS!$B$3:$B$42,MATCH($L966,LISTAS!$A$3:$A$42,0)),"Media"))</f>
        <v/>
      </c>
      <c r="Q966" s="44" t="n"/>
      <c r="R966" s="45" t="n"/>
      <c r="S966" s="20">
        <f>IFERROR(IF(OR($R966="",$C966=""),"",$R966/INDEX(DESPACHOS!$M$3:$M$3002,MATCH($C966,DESPACHOS!$B$3:$B$3002,0))),"")</f>
        <v/>
      </c>
      <c r="T966" s="41" t="n"/>
      <c r="U966" s="43">
        <f>IF(OR($B966="",$L966=""),"",WORKDAY($B966,IFERROR(INDEX(LISTAS!$C$3:$C$42,MATCH($L966,LISTAS!$A$3:$A$42,0)),3)))</f>
        <v/>
      </c>
      <c r="V966" s="40" t="n"/>
      <c r="W966" s="19">
        <f>IF($B966="","",IF($V966&lt;&gt;"",$V966-$B966,TODAY()-$B966))</f>
        <v/>
      </c>
      <c r="X966" s="19">
        <f>IF(OR($B966="",$U966=""),"",IF($V966&lt;&gt;"",MAX(0,$V966-$U966),MAX(0,TODAY()-$U966)))</f>
        <v/>
      </c>
      <c r="Y966" s="39">
        <f>IF($C966="","",IF(IFERROR(INDEX(LISTAS!$I$3:$I$42,MATCH($T966,LISTAS!$H$3:$H$42,0)),"NO")="SÍ",IF(N($X966)&gt;0,"CERRADA FUERA DE SLA","CERRADA EN SLA"),IF($U966="","SIN CLASIFICAR",IF(N($X966)&gt;0,"VENCIDA",IF(TODAY()&gt;=$U966-1,"POR VENCER","EN PLAZO")))))</f>
        <v/>
      </c>
      <c r="Z966" s="41" t="n"/>
      <c r="AA966" s="41" t="n"/>
      <c r="AB966" s="41" t="n"/>
    </row>
    <row r="967">
      <c r="A967" s="39">
        <f>IF($C967="","","NOV-"&amp;TEXT(ROW()-3,"0000"))</f>
        <v/>
      </c>
      <c r="B967" s="40" t="n"/>
      <c r="C967" s="41" t="n"/>
      <c r="D967" s="42">
        <f>IF($C967="","",IFERROR(INDEX(DESPACHOS!$D$3:$D$3002,MATCH($C967,DESPACHOS!$B$3:$B$3002,0)),"SIN DESPACHO"))</f>
        <v/>
      </c>
      <c r="E967" s="42">
        <f>IF($C967="","",IFERROR(INDEX(DESPACHOS!$K$3:$K$3002,MATCH($C967,DESPACHOS!$B$3:$B$3002,0)),""))</f>
        <v/>
      </c>
      <c r="F967" s="42">
        <f>IF($C967="","",IFERROR(INDEX(DESPACHOS!$I$3:$I$3002,MATCH($C967,DESPACHOS!$B$3:$B$3002,0)),""))</f>
        <v/>
      </c>
      <c r="G967" s="42">
        <f>IF($C967="","",IFERROR(INDEX(DESPACHOS!$F$3:$F$3002,MATCH($C967,DESPACHOS!$B$3:$B$3002,0)),""))</f>
        <v/>
      </c>
      <c r="H967" s="42">
        <f>IF($C967="","",IFERROR(INDEX(DESPACHOS!$G$3:$G$3002,MATCH($C967,DESPACHOS!$B$3:$B$3002,0)),""))</f>
        <v/>
      </c>
      <c r="I967" s="39">
        <f>IF($C967="","",IFERROR(INDEX(DESPACHOS!$H$3:$H$3002,MATCH($C967,DESPACHOS!$B$3:$B$3002,0)),""))</f>
        <v/>
      </c>
      <c r="J967" s="43">
        <f>IF($C967="","",IFERROR(INDEX(DESPACHOS!$J$3:$J$3002,MATCH($C967,DESPACHOS!$B$3:$B$3002,0)),""))</f>
        <v/>
      </c>
      <c r="K967" s="39">
        <f>IF($C967="","",IF(COUNTIFS(DESPACHOS!$B$3:$B$3002,$C967)=0,"NO EXISTE",IF(COUNTIFS(DESPACHOS!$B$3:$B$3002,$C967)&gt;1,"DUPLICADO","OK")))</f>
        <v/>
      </c>
      <c r="L967" s="41" t="n"/>
      <c r="M967" s="41" t="n"/>
      <c r="N967" s="42">
        <f>IF($M967="","",IFERROR(INDEX(LISTAS!$F$3:$F$42,MATCH($M967,LISTAS!$E$3:$E$42,0)),"Por definir"))</f>
        <v/>
      </c>
      <c r="O967" s="41" t="n"/>
      <c r="P967" s="39">
        <f>IF($L967="","",IFERROR(INDEX(LISTAS!$B$3:$B$42,MATCH($L967,LISTAS!$A$3:$A$42,0)),"Media"))</f>
        <v/>
      </c>
      <c r="Q967" s="44" t="n"/>
      <c r="R967" s="45" t="n"/>
      <c r="S967" s="20">
        <f>IFERROR(IF(OR($R967="",$C967=""),"",$R967/INDEX(DESPACHOS!$M$3:$M$3002,MATCH($C967,DESPACHOS!$B$3:$B$3002,0))),"")</f>
        <v/>
      </c>
      <c r="T967" s="41" t="n"/>
      <c r="U967" s="43">
        <f>IF(OR($B967="",$L967=""),"",WORKDAY($B967,IFERROR(INDEX(LISTAS!$C$3:$C$42,MATCH($L967,LISTAS!$A$3:$A$42,0)),3)))</f>
        <v/>
      </c>
      <c r="V967" s="40" t="n"/>
      <c r="W967" s="19">
        <f>IF($B967="","",IF($V967&lt;&gt;"",$V967-$B967,TODAY()-$B967))</f>
        <v/>
      </c>
      <c r="X967" s="19">
        <f>IF(OR($B967="",$U967=""),"",IF($V967&lt;&gt;"",MAX(0,$V967-$U967),MAX(0,TODAY()-$U967)))</f>
        <v/>
      </c>
      <c r="Y967" s="39">
        <f>IF($C967="","",IF(IFERROR(INDEX(LISTAS!$I$3:$I$42,MATCH($T967,LISTAS!$H$3:$H$42,0)),"NO")="SÍ",IF(N($X967)&gt;0,"CERRADA FUERA DE SLA","CERRADA EN SLA"),IF($U967="","SIN CLASIFICAR",IF(N($X967)&gt;0,"VENCIDA",IF(TODAY()&gt;=$U967-1,"POR VENCER","EN PLAZO")))))</f>
        <v/>
      </c>
      <c r="Z967" s="41" t="n"/>
      <c r="AA967" s="41" t="n"/>
      <c r="AB967" s="41" t="n"/>
    </row>
    <row r="968">
      <c r="A968" s="39">
        <f>IF($C968="","","NOV-"&amp;TEXT(ROW()-3,"0000"))</f>
        <v/>
      </c>
      <c r="B968" s="40" t="n"/>
      <c r="C968" s="41" t="n"/>
      <c r="D968" s="42">
        <f>IF($C968="","",IFERROR(INDEX(DESPACHOS!$D$3:$D$3002,MATCH($C968,DESPACHOS!$B$3:$B$3002,0)),"SIN DESPACHO"))</f>
        <v/>
      </c>
      <c r="E968" s="42">
        <f>IF($C968="","",IFERROR(INDEX(DESPACHOS!$K$3:$K$3002,MATCH($C968,DESPACHOS!$B$3:$B$3002,0)),""))</f>
        <v/>
      </c>
      <c r="F968" s="42">
        <f>IF($C968="","",IFERROR(INDEX(DESPACHOS!$I$3:$I$3002,MATCH($C968,DESPACHOS!$B$3:$B$3002,0)),""))</f>
        <v/>
      </c>
      <c r="G968" s="42">
        <f>IF($C968="","",IFERROR(INDEX(DESPACHOS!$F$3:$F$3002,MATCH($C968,DESPACHOS!$B$3:$B$3002,0)),""))</f>
        <v/>
      </c>
      <c r="H968" s="42">
        <f>IF($C968="","",IFERROR(INDEX(DESPACHOS!$G$3:$G$3002,MATCH($C968,DESPACHOS!$B$3:$B$3002,0)),""))</f>
        <v/>
      </c>
      <c r="I968" s="39">
        <f>IF($C968="","",IFERROR(INDEX(DESPACHOS!$H$3:$H$3002,MATCH($C968,DESPACHOS!$B$3:$B$3002,0)),""))</f>
        <v/>
      </c>
      <c r="J968" s="43">
        <f>IF($C968="","",IFERROR(INDEX(DESPACHOS!$J$3:$J$3002,MATCH($C968,DESPACHOS!$B$3:$B$3002,0)),""))</f>
        <v/>
      </c>
      <c r="K968" s="39">
        <f>IF($C968="","",IF(COUNTIFS(DESPACHOS!$B$3:$B$3002,$C968)=0,"NO EXISTE",IF(COUNTIFS(DESPACHOS!$B$3:$B$3002,$C968)&gt;1,"DUPLICADO","OK")))</f>
        <v/>
      </c>
      <c r="L968" s="41" t="n"/>
      <c r="M968" s="41" t="n"/>
      <c r="N968" s="42">
        <f>IF($M968="","",IFERROR(INDEX(LISTAS!$F$3:$F$42,MATCH($M968,LISTAS!$E$3:$E$42,0)),"Por definir"))</f>
        <v/>
      </c>
      <c r="O968" s="41" t="n"/>
      <c r="P968" s="39">
        <f>IF($L968="","",IFERROR(INDEX(LISTAS!$B$3:$B$42,MATCH($L968,LISTAS!$A$3:$A$42,0)),"Media"))</f>
        <v/>
      </c>
      <c r="Q968" s="44" t="n"/>
      <c r="R968" s="45" t="n"/>
      <c r="S968" s="20">
        <f>IFERROR(IF(OR($R968="",$C968=""),"",$R968/INDEX(DESPACHOS!$M$3:$M$3002,MATCH($C968,DESPACHOS!$B$3:$B$3002,0))),"")</f>
        <v/>
      </c>
      <c r="T968" s="41" t="n"/>
      <c r="U968" s="43">
        <f>IF(OR($B968="",$L968=""),"",WORKDAY($B968,IFERROR(INDEX(LISTAS!$C$3:$C$42,MATCH($L968,LISTAS!$A$3:$A$42,0)),3)))</f>
        <v/>
      </c>
      <c r="V968" s="40" t="n"/>
      <c r="W968" s="19">
        <f>IF($B968="","",IF($V968&lt;&gt;"",$V968-$B968,TODAY()-$B968))</f>
        <v/>
      </c>
      <c r="X968" s="19">
        <f>IF(OR($B968="",$U968=""),"",IF($V968&lt;&gt;"",MAX(0,$V968-$U968),MAX(0,TODAY()-$U968)))</f>
        <v/>
      </c>
      <c r="Y968" s="39">
        <f>IF($C968="","",IF(IFERROR(INDEX(LISTAS!$I$3:$I$42,MATCH($T968,LISTAS!$H$3:$H$42,0)),"NO")="SÍ",IF(N($X968)&gt;0,"CERRADA FUERA DE SLA","CERRADA EN SLA"),IF($U968="","SIN CLASIFICAR",IF(N($X968)&gt;0,"VENCIDA",IF(TODAY()&gt;=$U968-1,"POR VENCER","EN PLAZO")))))</f>
        <v/>
      </c>
      <c r="Z968" s="41" t="n"/>
      <c r="AA968" s="41" t="n"/>
      <c r="AB968" s="41" t="n"/>
    </row>
    <row r="969">
      <c r="A969" s="39">
        <f>IF($C969="","","NOV-"&amp;TEXT(ROW()-3,"0000"))</f>
        <v/>
      </c>
      <c r="B969" s="40" t="n"/>
      <c r="C969" s="41" t="n"/>
      <c r="D969" s="42">
        <f>IF($C969="","",IFERROR(INDEX(DESPACHOS!$D$3:$D$3002,MATCH($C969,DESPACHOS!$B$3:$B$3002,0)),"SIN DESPACHO"))</f>
        <v/>
      </c>
      <c r="E969" s="42">
        <f>IF($C969="","",IFERROR(INDEX(DESPACHOS!$K$3:$K$3002,MATCH($C969,DESPACHOS!$B$3:$B$3002,0)),""))</f>
        <v/>
      </c>
      <c r="F969" s="42">
        <f>IF($C969="","",IFERROR(INDEX(DESPACHOS!$I$3:$I$3002,MATCH($C969,DESPACHOS!$B$3:$B$3002,0)),""))</f>
        <v/>
      </c>
      <c r="G969" s="42">
        <f>IF($C969="","",IFERROR(INDEX(DESPACHOS!$F$3:$F$3002,MATCH($C969,DESPACHOS!$B$3:$B$3002,0)),""))</f>
        <v/>
      </c>
      <c r="H969" s="42">
        <f>IF($C969="","",IFERROR(INDEX(DESPACHOS!$G$3:$G$3002,MATCH($C969,DESPACHOS!$B$3:$B$3002,0)),""))</f>
        <v/>
      </c>
      <c r="I969" s="39">
        <f>IF($C969="","",IFERROR(INDEX(DESPACHOS!$H$3:$H$3002,MATCH($C969,DESPACHOS!$B$3:$B$3002,0)),""))</f>
        <v/>
      </c>
      <c r="J969" s="43">
        <f>IF($C969="","",IFERROR(INDEX(DESPACHOS!$J$3:$J$3002,MATCH($C969,DESPACHOS!$B$3:$B$3002,0)),""))</f>
        <v/>
      </c>
      <c r="K969" s="39">
        <f>IF($C969="","",IF(COUNTIFS(DESPACHOS!$B$3:$B$3002,$C969)=0,"NO EXISTE",IF(COUNTIFS(DESPACHOS!$B$3:$B$3002,$C969)&gt;1,"DUPLICADO","OK")))</f>
        <v/>
      </c>
      <c r="L969" s="41" t="n"/>
      <c r="M969" s="41" t="n"/>
      <c r="N969" s="42">
        <f>IF($M969="","",IFERROR(INDEX(LISTAS!$F$3:$F$42,MATCH($M969,LISTAS!$E$3:$E$42,0)),"Por definir"))</f>
        <v/>
      </c>
      <c r="O969" s="41" t="n"/>
      <c r="P969" s="39">
        <f>IF($L969="","",IFERROR(INDEX(LISTAS!$B$3:$B$42,MATCH($L969,LISTAS!$A$3:$A$42,0)),"Media"))</f>
        <v/>
      </c>
      <c r="Q969" s="44" t="n"/>
      <c r="R969" s="45" t="n"/>
      <c r="S969" s="20">
        <f>IFERROR(IF(OR($R969="",$C969=""),"",$R969/INDEX(DESPACHOS!$M$3:$M$3002,MATCH($C969,DESPACHOS!$B$3:$B$3002,0))),"")</f>
        <v/>
      </c>
      <c r="T969" s="41" t="n"/>
      <c r="U969" s="43">
        <f>IF(OR($B969="",$L969=""),"",WORKDAY($B969,IFERROR(INDEX(LISTAS!$C$3:$C$42,MATCH($L969,LISTAS!$A$3:$A$42,0)),3)))</f>
        <v/>
      </c>
      <c r="V969" s="40" t="n"/>
      <c r="W969" s="19">
        <f>IF($B969="","",IF($V969&lt;&gt;"",$V969-$B969,TODAY()-$B969))</f>
        <v/>
      </c>
      <c r="X969" s="19">
        <f>IF(OR($B969="",$U969=""),"",IF($V969&lt;&gt;"",MAX(0,$V969-$U969),MAX(0,TODAY()-$U969)))</f>
        <v/>
      </c>
      <c r="Y969" s="39">
        <f>IF($C969="","",IF(IFERROR(INDEX(LISTAS!$I$3:$I$42,MATCH($T969,LISTAS!$H$3:$H$42,0)),"NO")="SÍ",IF(N($X969)&gt;0,"CERRADA FUERA DE SLA","CERRADA EN SLA"),IF($U969="","SIN CLASIFICAR",IF(N($X969)&gt;0,"VENCIDA",IF(TODAY()&gt;=$U969-1,"POR VENCER","EN PLAZO")))))</f>
        <v/>
      </c>
      <c r="Z969" s="41" t="n"/>
      <c r="AA969" s="41" t="n"/>
      <c r="AB969" s="41" t="n"/>
    </row>
    <row r="970">
      <c r="A970" s="39">
        <f>IF($C970="","","NOV-"&amp;TEXT(ROW()-3,"0000"))</f>
        <v/>
      </c>
      <c r="B970" s="40" t="n"/>
      <c r="C970" s="41" t="n"/>
      <c r="D970" s="42">
        <f>IF($C970="","",IFERROR(INDEX(DESPACHOS!$D$3:$D$3002,MATCH($C970,DESPACHOS!$B$3:$B$3002,0)),"SIN DESPACHO"))</f>
        <v/>
      </c>
      <c r="E970" s="42">
        <f>IF($C970="","",IFERROR(INDEX(DESPACHOS!$K$3:$K$3002,MATCH($C970,DESPACHOS!$B$3:$B$3002,0)),""))</f>
        <v/>
      </c>
      <c r="F970" s="42">
        <f>IF($C970="","",IFERROR(INDEX(DESPACHOS!$I$3:$I$3002,MATCH($C970,DESPACHOS!$B$3:$B$3002,0)),""))</f>
        <v/>
      </c>
      <c r="G970" s="42">
        <f>IF($C970="","",IFERROR(INDEX(DESPACHOS!$F$3:$F$3002,MATCH($C970,DESPACHOS!$B$3:$B$3002,0)),""))</f>
        <v/>
      </c>
      <c r="H970" s="42">
        <f>IF($C970="","",IFERROR(INDEX(DESPACHOS!$G$3:$G$3002,MATCH($C970,DESPACHOS!$B$3:$B$3002,0)),""))</f>
        <v/>
      </c>
      <c r="I970" s="39">
        <f>IF($C970="","",IFERROR(INDEX(DESPACHOS!$H$3:$H$3002,MATCH($C970,DESPACHOS!$B$3:$B$3002,0)),""))</f>
        <v/>
      </c>
      <c r="J970" s="43">
        <f>IF($C970="","",IFERROR(INDEX(DESPACHOS!$J$3:$J$3002,MATCH($C970,DESPACHOS!$B$3:$B$3002,0)),""))</f>
        <v/>
      </c>
      <c r="K970" s="39">
        <f>IF($C970="","",IF(COUNTIFS(DESPACHOS!$B$3:$B$3002,$C970)=0,"NO EXISTE",IF(COUNTIFS(DESPACHOS!$B$3:$B$3002,$C970)&gt;1,"DUPLICADO","OK")))</f>
        <v/>
      </c>
      <c r="L970" s="41" t="n"/>
      <c r="M970" s="41" t="n"/>
      <c r="N970" s="42">
        <f>IF($M970="","",IFERROR(INDEX(LISTAS!$F$3:$F$42,MATCH($M970,LISTAS!$E$3:$E$42,0)),"Por definir"))</f>
        <v/>
      </c>
      <c r="O970" s="41" t="n"/>
      <c r="P970" s="39">
        <f>IF($L970="","",IFERROR(INDEX(LISTAS!$B$3:$B$42,MATCH($L970,LISTAS!$A$3:$A$42,0)),"Media"))</f>
        <v/>
      </c>
      <c r="Q970" s="44" t="n"/>
      <c r="R970" s="45" t="n"/>
      <c r="S970" s="20">
        <f>IFERROR(IF(OR($R970="",$C970=""),"",$R970/INDEX(DESPACHOS!$M$3:$M$3002,MATCH($C970,DESPACHOS!$B$3:$B$3002,0))),"")</f>
        <v/>
      </c>
      <c r="T970" s="41" t="n"/>
      <c r="U970" s="43">
        <f>IF(OR($B970="",$L970=""),"",WORKDAY($B970,IFERROR(INDEX(LISTAS!$C$3:$C$42,MATCH($L970,LISTAS!$A$3:$A$42,0)),3)))</f>
        <v/>
      </c>
      <c r="V970" s="40" t="n"/>
      <c r="W970" s="19">
        <f>IF($B970="","",IF($V970&lt;&gt;"",$V970-$B970,TODAY()-$B970))</f>
        <v/>
      </c>
      <c r="X970" s="19">
        <f>IF(OR($B970="",$U970=""),"",IF($V970&lt;&gt;"",MAX(0,$V970-$U970),MAX(0,TODAY()-$U970)))</f>
        <v/>
      </c>
      <c r="Y970" s="39">
        <f>IF($C970="","",IF(IFERROR(INDEX(LISTAS!$I$3:$I$42,MATCH($T970,LISTAS!$H$3:$H$42,0)),"NO")="SÍ",IF(N($X970)&gt;0,"CERRADA FUERA DE SLA","CERRADA EN SLA"),IF($U970="","SIN CLASIFICAR",IF(N($X970)&gt;0,"VENCIDA",IF(TODAY()&gt;=$U970-1,"POR VENCER","EN PLAZO")))))</f>
        <v/>
      </c>
      <c r="Z970" s="41" t="n"/>
      <c r="AA970" s="41" t="n"/>
      <c r="AB970" s="41" t="n"/>
    </row>
    <row r="971">
      <c r="A971" s="39">
        <f>IF($C971="","","NOV-"&amp;TEXT(ROW()-3,"0000"))</f>
        <v/>
      </c>
      <c r="B971" s="40" t="n"/>
      <c r="C971" s="41" t="n"/>
      <c r="D971" s="42">
        <f>IF($C971="","",IFERROR(INDEX(DESPACHOS!$D$3:$D$3002,MATCH($C971,DESPACHOS!$B$3:$B$3002,0)),"SIN DESPACHO"))</f>
        <v/>
      </c>
      <c r="E971" s="42">
        <f>IF($C971="","",IFERROR(INDEX(DESPACHOS!$K$3:$K$3002,MATCH($C971,DESPACHOS!$B$3:$B$3002,0)),""))</f>
        <v/>
      </c>
      <c r="F971" s="42">
        <f>IF($C971="","",IFERROR(INDEX(DESPACHOS!$I$3:$I$3002,MATCH($C971,DESPACHOS!$B$3:$B$3002,0)),""))</f>
        <v/>
      </c>
      <c r="G971" s="42">
        <f>IF($C971="","",IFERROR(INDEX(DESPACHOS!$F$3:$F$3002,MATCH($C971,DESPACHOS!$B$3:$B$3002,0)),""))</f>
        <v/>
      </c>
      <c r="H971" s="42">
        <f>IF($C971="","",IFERROR(INDEX(DESPACHOS!$G$3:$G$3002,MATCH($C971,DESPACHOS!$B$3:$B$3002,0)),""))</f>
        <v/>
      </c>
      <c r="I971" s="39">
        <f>IF($C971="","",IFERROR(INDEX(DESPACHOS!$H$3:$H$3002,MATCH($C971,DESPACHOS!$B$3:$B$3002,0)),""))</f>
        <v/>
      </c>
      <c r="J971" s="43">
        <f>IF($C971="","",IFERROR(INDEX(DESPACHOS!$J$3:$J$3002,MATCH($C971,DESPACHOS!$B$3:$B$3002,0)),""))</f>
        <v/>
      </c>
      <c r="K971" s="39">
        <f>IF($C971="","",IF(COUNTIFS(DESPACHOS!$B$3:$B$3002,$C971)=0,"NO EXISTE",IF(COUNTIFS(DESPACHOS!$B$3:$B$3002,$C971)&gt;1,"DUPLICADO","OK")))</f>
        <v/>
      </c>
      <c r="L971" s="41" t="n"/>
      <c r="M971" s="41" t="n"/>
      <c r="N971" s="42">
        <f>IF($M971="","",IFERROR(INDEX(LISTAS!$F$3:$F$42,MATCH($M971,LISTAS!$E$3:$E$42,0)),"Por definir"))</f>
        <v/>
      </c>
      <c r="O971" s="41" t="n"/>
      <c r="P971" s="39">
        <f>IF($L971="","",IFERROR(INDEX(LISTAS!$B$3:$B$42,MATCH($L971,LISTAS!$A$3:$A$42,0)),"Media"))</f>
        <v/>
      </c>
      <c r="Q971" s="44" t="n"/>
      <c r="R971" s="45" t="n"/>
      <c r="S971" s="20">
        <f>IFERROR(IF(OR($R971="",$C971=""),"",$R971/INDEX(DESPACHOS!$M$3:$M$3002,MATCH($C971,DESPACHOS!$B$3:$B$3002,0))),"")</f>
        <v/>
      </c>
      <c r="T971" s="41" t="n"/>
      <c r="U971" s="43">
        <f>IF(OR($B971="",$L971=""),"",WORKDAY($B971,IFERROR(INDEX(LISTAS!$C$3:$C$42,MATCH($L971,LISTAS!$A$3:$A$42,0)),3)))</f>
        <v/>
      </c>
      <c r="V971" s="40" t="n"/>
      <c r="W971" s="19">
        <f>IF($B971="","",IF($V971&lt;&gt;"",$V971-$B971,TODAY()-$B971))</f>
        <v/>
      </c>
      <c r="X971" s="19">
        <f>IF(OR($B971="",$U971=""),"",IF($V971&lt;&gt;"",MAX(0,$V971-$U971),MAX(0,TODAY()-$U971)))</f>
        <v/>
      </c>
      <c r="Y971" s="39">
        <f>IF($C971="","",IF(IFERROR(INDEX(LISTAS!$I$3:$I$42,MATCH($T971,LISTAS!$H$3:$H$42,0)),"NO")="SÍ",IF(N($X971)&gt;0,"CERRADA FUERA DE SLA","CERRADA EN SLA"),IF($U971="","SIN CLASIFICAR",IF(N($X971)&gt;0,"VENCIDA",IF(TODAY()&gt;=$U971-1,"POR VENCER","EN PLAZO")))))</f>
        <v/>
      </c>
      <c r="Z971" s="41" t="n"/>
      <c r="AA971" s="41" t="n"/>
      <c r="AB971" s="41" t="n"/>
    </row>
    <row r="972">
      <c r="A972" s="39">
        <f>IF($C972="","","NOV-"&amp;TEXT(ROW()-3,"0000"))</f>
        <v/>
      </c>
      <c r="B972" s="40" t="n"/>
      <c r="C972" s="41" t="n"/>
      <c r="D972" s="42">
        <f>IF($C972="","",IFERROR(INDEX(DESPACHOS!$D$3:$D$3002,MATCH($C972,DESPACHOS!$B$3:$B$3002,0)),"SIN DESPACHO"))</f>
        <v/>
      </c>
      <c r="E972" s="42">
        <f>IF($C972="","",IFERROR(INDEX(DESPACHOS!$K$3:$K$3002,MATCH($C972,DESPACHOS!$B$3:$B$3002,0)),""))</f>
        <v/>
      </c>
      <c r="F972" s="42">
        <f>IF($C972="","",IFERROR(INDEX(DESPACHOS!$I$3:$I$3002,MATCH($C972,DESPACHOS!$B$3:$B$3002,0)),""))</f>
        <v/>
      </c>
      <c r="G972" s="42">
        <f>IF($C972="","",IFERROR(INDEX(DESPACHOS!$F$3:$F$3002,MATCH($C972,DESPACHOS!$B$3:$B$3002,0)),""))</f>
        <v/>
      </c>
      <c r="H972" s="42">
        <f>IF($C972="","",IFERROR(INDEX(DESPACHOS!$G$3:$G$3002,MATCH($C972,DESPACHOS!$B$3:$B$3002,0)),""))</f>
        <v/>
      </c>
      <c r="I972" s="39">
        <f>IF($C972="","",IFERROR(INDEX(DESPACHOS!$H$3:$H$3002,MATCH($C972,DESPACHOS!$B$3:$B$3002,0)),""))</f>
        <v/>
      </c>
      <c r="J972" s="43">
        <f>IF($C972="","",IFERROR(INDEX(DESPACHOS!$J$3:$J$3002,MATCH($C972,DESPACHOS!$B$3:$B$3002,0)),""))</f>
        <v/>
      </c>
      <c r="K972" s="39">
        <f>IF($C972="","",IF(COUNTIFS(DESPACHOS!$B$3:$B$3002,$C972)=0,"NO EXISTE",IF(COUNTIFS(DESPACHOS!$B$3:$B$3002,$C972)&gt;1,"DUPLICADO","OK")))</f>
        <v/>
      </c>
      <c r="L972" s="41" t="n"/>
      <c r="M972" s="41" t="n"/>
      <c r="N972" s="42">
        <f>IF($M972="","",IFERROR(INDEX(LISTAS!$F$3:$F$42,MATCH($M972,LISTAS!$E$3:$E$42,0)),"Por definir"))</f>
        <v/>
      </c>
      <c r="O972" s="41" t="n"/>
      <c r="P972" s="39">
        <f>IF($L972="","",IFERROR(INDEX(LISTAS!$B$3:$B$42,MATCH($L972,LISTAS!$A$3:$A$42,0)),"Media"))</f>
        <v/>
      </c>
      <c r="Q972" s="44" t="n"/>
      <c r="R972" s="45" t="n"/>
      <c r="S972" s="20">
        <f>IFERROR(IF(OR($R972="",$C972=""),"",$R972/INDEX(DESPACHOS!$M$3:$M$3002,MATCH($C972,DESPACHOS!$B$3:$B$3002,0))),"")</f>
        <v/>
      </c>
      <c r="T972" s="41" t="n"/>
      <c r="U972" s="43">
        <f>IF(OR($B972="",$L972=""),"",WORKDAY($B972,IFERROR(INDEX(LISTAS!$C$3:$C$42,MATCH($L972,LISTAS!$A$3:$A$42,0)),3)))</f>
        <v/>
      </c>
      <c r="V972" s="40" t="n"/>
      <c r="W972" s="19">
        <f>IF($B972="","",IF($V972&lt;&gt;"",$V972-$B972,TODAY()-$B972))</f>
        <v/>
      </c>
      <c r="X972" s="19">
        <f>IF(OR($B972="",$U972=""),"",IF($V972&lt;&gt;"",MAX(0,$V972-$U972),MAX(0,TODAY()-$U972)))</f>
        <v/>
      </c>
      <c r="Y972" s="39">
        <f>IF($C972="","",IF(IFERROR(INDEX(LISTAS!$I$3:$I$42,MATCH($T972,LISTAS!$H$3:$H$42,0)),"NO")="SÍ",IF(N($X972)&gt;0,"CERRADA FUERA DE SLA","CERRADA EN SLA"),IF($U972="","SIN CLASIFICAR",IF(N($X972)&gt;0,"VENCIDA",IF(TODAY()&gt;=$U972-1,"POR VENCER","EN PLAZO")))))</f>
        <v/>
      </c>
      <c r="Z972" s="41" t="n"/>
      <c r="AA972" s="41" t="n"/>
      <c r="AB972" s="41" t="n"/>
    </row>
    <row r="973">
      <c r="A973" s="39">
        <f>IF($C973="","","NOV-"&amp;TEXT(ROW()-3,"0000"))</f>
        <v/>
      </c>
      <c r="B973" s="40" t="n"/>
      <c r="C973" s="41" t="n"/>
      <c r="D973" s="42">
        <f>IF($C973="","",IFERROR(INDEX(DESPACHOS!$D$3:$D$3002,MATCH($C973,DESPACHOS!$B$3:$B$3002,0)),"SIN DESPACHO"))</f>
        <v/>
      </c>
      <c r="E973" s="42">
        <f>IF($C973="","",IFERROR(INDEX(DESPACHOS!$K$3:$K$3002,MATCH($C973,DESPACHOS!$B$3:$B$3002,0)),""))</f>
        <v/>
      </c>
      <c r="F973" s="42">
        <f>IF($C973="","",IFERROR(INDEX(DESPACHOS!$I$3:$I$3002,MATCH($C973,DESPACHOS!$B$3:$B$3002,0)),""))</f>
        <v/>
      </c>
      <c r="G973" s="42">
        <f>IF($C973="","",IFERROR(INDEX(DESPACHOS!$F$3:$F$3002,MATCH($C973,DESPACHOS!$B$3:$B$3002,0)),""))</f>
        <v/>
      </c>
      <c r="H973" s="42">
        <f>IF($C973="","",IFERROR(INDEX(DESPACHOS!$G$3:$G$3002,MATCH($C973,DESPACHOS!$B$3:$B$3002,0)),""))</f>
        <v/>
      </c>
      <c r="I973" s="39">
        <f>IF($C973="","",IFERROR(INDEX(DESPACHOS!$H$3:$H$3002,MATCH($C973,DESPACHOS!$B$3:$B$3002,0)),""))</f>
        <v/>
      </c>
      <c r="J973" s="43">
        <f>IF($C973="","",IFERROR(INDEX(DESPACHOS!$J$3:$J$3002,MATCH($C973,DESPACHOS!$B$3:$B$3002,0)),""))</f>
        <v/>
      </c>
      <c r="K973" s="39">
        <f>IF($C973="","",IF(COUNTIFS(DESPACHOS!$B$3:$B$3002,$C973)=0,"NO EXISTE",IF(COUNTIFS(DESPACHOS!$B$3:$B$3002,$C973)&gt;1,"DUPLICADO","OK")))</f>
        <v/>
      </c>
      <c r="L973" s="41" t="n"/>
      <c r="M973" s="41" t="n"/>
      <c r="N973" s="42">
        <f>IF($M973="","",IFERROR(INDEX(LISTAS!$F$3:$F$42,MATCH($M973,LISTAS!$E$3:$E$42,0)),"Por definir"))</f>
        <v/>
      </c>
      <c r="O973" s="41" t="n"/>
      <c r="P973" s="39">
        <f>IF($L973="","",IFERROR(INDEX(LISTAS!$B$3:$B$42,MATCH($L973,LISTAS!$A$3:$A$42,0)),"Media"))</f>
        <v/>
      </c>
      <c r="Q973" s="44" t="n"/>
      <c r="R973" s="45" t="n"/>
      <c r="S973" s="20">
        <f>IFERROR(IF(OR($R973="",$C973=""),"",$R973/INDEX(DESPACHOS!$M$3:$M$3002,MATCH($C973,DESPACHOS!$B$3:$B$3002,0))),"")</f>
        <v/>
      </c>
      <c r="T973" s="41" t="n"/>
      <c r="U973" s="43">
        <f>IF(OR($B973="",$L973=""),"",WORKDAY($B973,IFERROR(INDEX(LISTAS!$C$3:$C$42,MATCH($L973,LISTAS!$A$3:$A$42,0)),3)))</f>
        <v/>
      </c>
      <c r="V973" s="40" t="n"/>
      <c r="W973" s="19">
        <f>IF($B973="","",IF($V973&lt;&gt;"",$V973-$B973,TODAY()-$B973))</f>
        <v/>
      </c>
      <c r="X973" s="19">
        <f>IF(OR($B973="",$U973=""),"",IF($V973&lt;&gt;"",MAX(0,$V973-$U973),MAX(0,TODAY()-$U973)))</f>
        <v/>
      </c>
      <c r="Y973" s="39">
        <f>IF($C973="","",IF(IFERROR(INDEX(LISTAS!$I$3:$I$42,MATCH($T973,LISTAS!$H$3:$H$42,0)),"NO")="SÍ",IF(N($X973)&gt;0,"CERRADA FUERA DE SLA","CERRADA EN SLA"),IF($U973="","SIN CLASIFICAR",IF(N($X973)&gt;0,"VENCIDA",IF(TODAY()&gt;=$U973-1,"POR VENCER","EN PLAZO")))))</f>
        <v/>
      </c>
      <c r="Z973" s="41" t="n"/>
      <c r="AA973" s="41" t="n"/>
      <c r="AB973" s="41" t="n"/>
    </row>
    <row r="974">
      <c r="A974" s="39">
        <f>IF($C974="","","NOV-"&amp;TEXT(ROW()-3,"0000"))</f>
        <v/>
      </c>
      <c r="B974" s="40" t="n"/>
      <c r="C974" s="41" t="n"/>
      <c r="D974" s="42">
        <f>IF($C974="","",IFERROR(INDEX(DESPACHOS!$D$3:$D$3002,MATCH($C974,DESPACHOS!$B$3:$B$3002,0)),"SIN DESPACHO"))</f>
        <v/>
      </c>
      <c r="E974" s="42">
        <f>IF($C974="","",IFERROR(INDEX(DESPACHOS!$K$3:$K$3002,MATCH($C974,DESPACHOS!$B$3:$B$3002,0)),""))</f>
        <v/>
      </c>
      <c r="F974" s="42">
        <f>IF($C974="","",IFERROR(INDEX(DESPACHOS!$I$3:$I$3002,MATCH($C974,DESPACHOS!$B$3:$B$3002,0)),""))</f>
        <v/>
      </c>
      <c r="G974" s="42">
        <f>IF($C974="","",IFERROR(INDEX(DESPACHOS!$F$3:$F$3002,MATCH($C974,DESPACHOS!$B$3:$B$3002,0)),""))</f>
        <v/>
      </c>
      <c r="H974" s="42">
        <f>IF($C974="","",IFERROR(INDEX(DESPACHOS!$G$3:$G$3002,MATCH($C974,DESPACHOS!$B$3:$B$3002,0)),""))</f>
        <v/>
      </c>
      <c r="I974" s="39">
        <f>IF($C974="","",IFERROR(INDEX(DESPACHOS!$H$3:$H$3002,MATCH($C974,DESPACHOS!$B$3:$B$3002,0)),""))</f>
        <v/>
      </c>
      <c r="J974" s="43">
        <f>IF($C974="","",IFERROR(INDEX(DESPACHOS!$J$3:$J$3002,MATCH($C974,DESPACHOS!$B$3:$B$3002,0)),""))</f>
        <v/>
      </c>
      <c r="K974" s="39">
        <f>IF($C974="","",IF(COUNTIFS(DESPACHOS!$B$3:$B$3002,$C974)=0,"NO EXISTE",IF(COUNTIFS(DESPACHOS!$B$3:$B$3002,$C974)&gt;1,"DUPLICADO","OK")))</f>
        <v/>
      </c>
      <c r="L974" s="41" t="n"/>
      <c r="M974" s="41" t="n"/>
      <c r="N974" s="42">
        <f>IF($M974="","",IFERROR(INDEX(LISTAS!$F$3:$F$42,MATCH($M974,LISTAS!$E$3:$E$42,0)),"Por definir"))</f>
        <v/>
      </c>
      <c r="O974" s="41" t="n"/>
      <c r="P974" s="39">
        <f>IF($L974="","",IFERROR(INDEX(LISTAS!$B$3:$B$42,MATCH($L974,LISTAS!$A$3:$A$42,0)),"Media"))</f>
        <v/>
      </c>
      <c r="Q974" s="44" t="n"/>
      <c r="R974" s="45" t="n"/>
      <c r="S974" s="20">
        <f>IFERROR(IF(OR($R974="",$C974=""),"",$R974/INDEX(DESPACHOS!$M$3:$M$3002,MATCH($C974,DESPACHOS!$B$3:$B$3002,0))),"")</f>
        <v/>
      </c>
      <c r="T974" s="41" t="n"/>
      <c r="U974" s="43">
        <f>IF(OR($B974="",$L974=""),"",WORKDAY($B974,IFERROR(INDEX(LISTAS!$C$3:$C$42,MATCH($L974,LISTAS!$A$3:$A$42,0)),3)))</f>
        <v/>
      </c>
      <c r="V974" s="40" t="n"/>
      <c r="W974" s="19">
        <f>IF($B974="","",IF($V974&lt;&gt;"",$V974-$B974,TODAY()-$B974))</f>
        <v/>
      </c>
      <c r="X974" s="19">
        <f>IF(OR($B974="",$U974=""),"",IF($V974&lt;&gt;"",MAX(0,$V974-$U974),MAX(0,TODAY()-$U974)))</f>
        <v/>
      </c>
      <c r="Y974" s="39">
        <f>IF($C974="","",IF(IFERROR(INDEX(LISTAS!$I$3:$I$42,MATCH($T974,LISTAS!$H$3:$H$42,0)),"NO")="SÍ",IF(N($X974)&gt;0,"CERRADA FUERA DE SLA","CERRADA EN SLA"),IF($U974="","SIN CLASIFICAR",IF(N($X974)&gt;0,"VENCIDA",IF(TODAY()&gt;=$U974-1,"POR VENCER","EN PLAZO")))))</f>
        <v/>
      </c>
      <c r="Z974" s="41" t="n"/>
      <c r="AA974" s="41" t="n"/>
      <c r="AB974" s="41" t="n"/>
    </row>
    <row r="975">
      <c r="A975" s="39">
        <f>IF($C975="","","NOV-"&amp;TEXT(ROW()-3,"0000"))</f>
        <v/>
      </c>
      <c r="B975" s="40" t="n"/>
      <c r="C975" s="41" t="n"/>
      <c r="D975" s="42">
        <f>IF($C975="","",IFERROR(INDEX(DESPACHOS!$D$3:$D$3002,MATCH($C975,DESPACHOS!$B$3:$B$3002,0)),"SIN DESPACHO"))</f>
        <v/>
      </c>
      <c r="E975" s="42">
        <f>IF($C975="","",IFERROR(INDEX(DESPACHOS!$K$3:$K$3002,MATCH($C975,DESPACHOS!$B$3:$B$3002,0)),""))</f>
        <v/>
      </c>
      <c r="F975" s="42">
        <f>IF($C975="","",IFERROR(INDEX(DESPACHOS!$I$3:$I$3002,MATCH($C975,DESPACHOS!$B$3:$B$3002,0)),""))</f>
        <v/>
      </c>
      <c r="G975" s="42">
        <f>IF($C975="","",IFERROR(INDEX(DESPACHOS!$F$3:$F$3002,MATCH($C975,DESPACHOS!$B$3:$B$3002,0)),""))</f>
        <v/>
      </c>
      <c r="H975" s="42">
        <f>IF($C975="","",IFERROR(INDEX(DESPACHOS!$G$3:$G$3002,MATCH($C975,DESPACHOS!$B$3:$B$3002,0)),""))</f>
        <v/>
      </c>
      <c r="I975" s="39">
        <f>IF($C975="","",IFERROR(INDEX(DESPACHOS!$H$3:$H$3002,MATCH($C975,DESPACHOS!$B$3:$B$3002,0)),""))</f>
        <v/>
      </c>
      <c r="J975" s="43">
        <f>IF($C975="","",IFERROR(INDEX(DESPACHOS!$J$3:$J$3002,MATCH($C975,DESPACHOS!$B$3:$B$3002,0)),""))</f>
        <v/>
      </c>
      <c r="K975" s="39">
        <f>IF($C975="","",IF(COUNTIFS(DESPACHOS!$B$3:$B$3002,$C975)=0,"NO EXISTE",IF(COUNTIFS(DESPACHOS!$B$3:$B$3002,$C975)&gt;1,"DUPLICADO","OK")))</f>
        <v/>
      </c>
      <c r="L975" s="41" t="n"/>
      <c r="M975" s="41" t="n"/>
      <c r="N975" s="42">
        <f>IF($M975="","",IFERROR(INDEX(LISTAS!$F$3:$F$42,MATCH($M975,LISTAS!$E$3:$E$42,0)),"Por definir"))</f>
        <v/>
      </c>
      <c r="O975" s="41" t="n"/>
      <c r="P975" s="39">
        <f>IF($L975="","",IFERROR(INDEX(LISTAS!$B$3:$B$42,MATCH($L975,LISTAS!$A$3:$A$42,0)),"Media"))</f>
        <v/>
      </c>
      <c r="Q975" s="44" t="n"/>
      <c r="R975" s="45" t="n"/>
      <c r="S975" s="20">
        <f>IFERROR(IF(OR($R975="",$C975=""),"",$R975/INDEX(DESPACHOS!$M$3:$M$3002,MATCH($C975,DESPACHOS!$B$3:$B$3002,0))),"")</f>
        <v/>
      </c>
      <c r="T975" s="41" t="n"/>
      <c r="U975" s="43">
        <f>IF(OR($B975="",$L975=""),"",WORKDAY($B975,IFERROR(INDEX(LISTAS!$C$3:$C$42,MATCH($L975,LISTAS!$A$3:$A$42,0)),3)))</f>
        <v/>
      </c>
      <c r="V975" s="40" t="n"/>
      <c r="W975" s="19">
        <f>IF($B975="","",IF($V975&lt;&gt;"",$V975-$B975,TODAY()-$B975))</f>
        <v/>
      </c>
      <c r="X975" s="19">
        <f>IF(OR($B975="",$U975=""),"",IF($V975&lt;&gt;"",MAX(0,$V975-$U975),MAX(0,TODAY()-$U975)))</f>
        <v/>
      </c>
      <c r="Y975" s="39">
        <f>IF($C975="","",IF(IFERROR(INDEX(LISTAS!$I$3:$I$42,MATCH($T975,LISTAS!$H$3:$H$42,0)),"NO")="SÍ",IF(N($X975)&gt;0,"CERRADA FUERA DE SLA","CERRADA EN SLA"),IF($U975="","SIN CLASIFICAR",IF(N($X975)&gt;0,"VENCIDA",IF(TODAY()&gt;=$U975-1,"POR VENCER","EN PLAZO")))))</f>
        <v/>
      </c>
      <c r="Z975" s="41" t="n"/>
      <c r="AA975" s="41" t="n"/>
      <c r="AB975" s="41" t="n"/>
    </row>
    <row r="976">
      <c r="A976" s="39">
        <f>IF($C976="","","NOV-"&amp;TEXT(ROW()-3,"0000"))</f>
        <v/>
      </c>
      <c r="B976" s="40" t="n"/>
      <c r="C976" s="41" t="n"/>
      <c r="D976" s="42">
        <f>IF($C976="","",IFERROR(INDEX(DESPACHOS!$D$3:$D$3002,MATCH($C976,DESPACHOS!$B$3:$B$3002,0)),"SIN DESPACHO"))</f>
        <v/>
      </c>
      <c r="E976" s="42">
        <f>IF($C976="","",IFERROR(INDEX(DESPACHOS!$K$3:$K$3002,MATCH($C976,DESPACHOS!$B$3:$B$3002,0)),""))</f>
        <v/>
      </c>
      <c r="F976" s="42">
        <f>IF($C976="","",IFERROR(INDEX(DESPACHOS!$I$3:$I$3002,MATCH($C976,DESPACHOS!$B$3:$B$3002,0)),""))</f>
        <v/>
      </c>
      <c r="G976" s="42">
        <f>IF($C976="","",IFERROR(INDEX(DESPACHOS!$F$3:$F$3002,MATCH($C976,DESPACHOS!$B$3:$B$3002,0)),""))</f>
        <v/>
      </c>
      <c r="H976" s="42">
        <f>IF($C976="","",IFERROR(INDEX(DESPACHOS!$G$3:$G$3002,MATCH($C976,DESPACHOS!$B$3:$B$3002,0)),""))</f>
        <v/>
      </c>
      <c r="I976" s="39">
        <f>IF($C976="","",IFERROR(INDEX(DESPACHOS!$H$3:$H$3002,MATCH($C976,DESPACHOS!$B$3:$B$3002,0)),""))</f>
        <v/>
      </c>
      <c r="J976" s="43">
        <f>IF($C976="","",IFERROR(INDEX(DESPACHOS!$J$3:$J$3002,MATCH($C976,DESPACHOS!$B$3:$B$3002,0)),""))</f>
        <v/>
      </c>
      <c r="K976" s="39">
        <f>IF($C976="","",IF(COUNTIFS(DESPACHOS!$B$3:$B$3002,$C976)=0,"NO EXISTE",IF(COUNTIFS(DESPACHOS!$B$3:$B$3002,$C976)&gt;1,"DUPLICADO","OK")))</f>
        <v/>
      </c>
      <c r="L976" s="41" t="n"/>
      <c r="M976" s="41" t="n"/>
      <c r="N976" s="42">
        <f>IF($M976="","",IFERROR(INDEX(LISTAS!$F$3:$F$42,MATCH($M976,LISTAS!$E$3:$E$42,0)),"Por definir"))</f>
        <v/>
      </c>
      <c r="O976" s="41" t="n"/>
      <c r="P976" s="39">
        <f>IF($L976="","",IFERROR(INDEX(LISTAS!$B$3:$B$42,MATCH($L976,LISTAS!$A$3:$A$42,0)),"Media"))</f>
        <v/>
      </c>
      <c r="Q976" s="44" t="n"/>
      <c r="R976" s="45" t="n"/>
      <c r="S976" s="20">
        <f>IFERROR(IF(OR($R976="",$C976=""),"",$R976/INDEX(DESPACHOS!$M$3:$M$3002,MATCH($C976,DESPACHOS!$B$3:$B$3002,0))),"")</f>
        <v/>
      </c>
      <c r="T976" s="41" t="n"/>
      <c r="U976" s="43">
        <f>IF(OR($B976="",$L976=""),"",WORKDAY($B976,IFERROR(INDEX(LISTAS!$C$3:$C$42,MATCH($L976,LISTAS!$A$3:$A$42,0)),3)))</f>
        <v/>
      </c>
      <c r="V976" s="40" t="n"/>
      <c r="W976" s="19">
        <f>IF($B976="","",IF($V976&lt;&gt;"",$V976-$B976,TODAY()-$B976))</f>
        <v/>
      </c>
      <c r="X976" s="19">
        <f>IF(OR($B976="",$U976=""),"",IF($V976&lt;&gt;"",MAX(0,$V976-$U976),MAX(0,TODAY()-$U976)))</f>
        <v/>
      </c>
      <c r="Y976" s="39">
        <f>IF($C976="","",IF(IFERROR(INDEX(LISTAS!$I$3:$I$42,MATCH($T976,LISTAS!$H$3:$H$42,0)),"NO")="SÍ",IF(N($X976)&gt;0,"CERRADA FUERA DE SLA","CERRADA EN SLA"),IF($U976="","SIN CLASIFICAR",IF(N($X976)&gt;0,"VENCIDA",IF(TODAY()&gt;=$U976-1,"POR VENCER","EN PLAZO")))))</f>
        <v/>
      </c>
      <c r="Z976" s="41" t="n"/>
      <c r="AA976" s="41" t="n"/>
      <c r="AB976" s="41" t="n"/>
    </row>
    <row r="977">
      <c r="A977" s="39">
        <f>IF($C977="","","NOV-"&amp;TEXT(ROW()-3,"0000"))</f>
        <v/>
      </c>
      <c r="B977" s="40" t="n"/>
      <c r="C977" s="41" t="n"/>
      <c r="D977" s="42">
        <f>IF($C977="","",IFERROR(INDEX(DESPACHOS!$D$3:$D$3002,MATCH($C977,DESPACHOS!$B$3:$B$3002,0)),"SIN DESPACHO"))</f>
        <v/>
      </c>
      <c r="E977" s="42">
        <f>IF($C977="","",IFERROR(INDEX(DESPACHOS!$K$3:$K$3002,MATCH($C977,DESPACHOS!$B$3:$B$3002,0)),""))</f>
        <v/>
      </c>
      <c r="F977" s="42">
        <f>IF($C977="","",IFERROR(INDEX(DESPACHOS!$I$3:$I$3002,MATCH($C977,DESPACHOS!$B$3:$B$3002,0)),""))</f>
        <v/>
      </c>
      <c r="G977" s="42">
        <f>IF($C977="","",IFERROR(INDEX(DESPACHOS!$F$3:$F$3002,MATCH($C977,DESPACHOS!$B$3:$B$3002,0)),""))</f>
        <v/>
      </c>
      <c r="H977" s="42">
        <f>IF($C977="","",IFERROR(INDEX(DESPACHOS!$G$3:$G$3002,MATCH($C977,DESPACHOS!$B$3:$B$3002,0)),""))</f>
        <v/>
      </c>
      <c r="I977" s="39">
        <f>IF($C977="","",IFERROR(INDEX(DESPACHOS!$H$3:$H$3002,MATCH($C977,DESPACHOS!$B$3:$B$3002,0)),""))</f>
        <v/>
      </c>
      <c r="J977" s="43">
        <f>IF($C977="","",IFERROR(INDEX(DESPACHOS!$J$3:$J$3002,MATCH($C977,DESPACHOS!$B$3:$B$3002,0)),""))</f>
        <v/>
      </c>
      <c r="K977" s="39">
        <f>IF($C977="","",IF(COUNTIFS(DESPACHOS!$B$3:$B$3002,$C977)=0,"NO EXISTE",IF(COUNTIFS(DESPACHOS!$B$3:$B$3002,$C977)&gt;1,"DUPLICADO","OK")))</f>
        <v/>
      </c>
      <c r="L977" s="41" t="n"/>
      <c r="M977" s="41" t="n"/>
      <c r="N977" s="42">
        <f>IF($M977="","",IFERROR(INDEX(LISTAS!$F$3:$F$42,MATCH($M977,LISTAS!$E$3:$E$42,0)),"Por definir"))</f>
        <v/>
      </c>
      <c r="O977" s="41" t="n"/>
      <c r="P977" s="39">
        <f>IF($L977="","",IFERROR(INDEX(LISTAS!$B$3:$B$42,MATCH($L977,LISTAS!$A$3:$A$42,0)),"Media"))</f>
        <v/>
      </c>
      <c r="Q977" s="44" t="n"/>
      <c r="R977" s="45" t="n"/>
      <c r="S977" s="20">
        <f>IFERROR(IF(OR($R977="",$C977=""),"",$R977/INDEX(DESPACHOS!$M$3:$M$3002,MATCH($C977,DESPACHOS!$B$3:$B$3002,0))),"")</f>
        <v/>
      </c>
      <c r="T977" s="41" t="n"/>
      <c r="U977" s="43">
        <f>IF(OR($B977="",$L977=""),"",WORKDAY($B977,IFERROR(INDEX(LISTAS!$C$3:$C$42,MATCH($L977,LISTAS!$A$3:$A$42,0)),3)))</f>
        <v/>
      </c>
      <c r="V977" s="40" t="n"/>
      <c r="W977" s="19">
        <f>IF($B977="","",IF($V977&lt;&gt;"",$V977-$B977,TODAY()-$B977))</f>
        <v/>
      </c>
      <c r="X977" s="19">
        <f>IF(OR($B977="",$U977=""),"",IF($V977&lt;&gt;"",MAX(0,$V977-$U977),MAX(0,TODAY()-$U977)))</f>
        <v/>
      </c>
      <c r="Y977" s="39">
        <f>IF($C977="","",IF(IFERROR(INDEX(LISTAS!$I$3:$I$42,MATCH($T977,LISTAS!$H$3:$H$42,0)),"NO")="SÍ",IF(N($X977)&gt;0,"CERRADA FUERA DE SLA","CERRADA EN SLA"),IF($U977="","SIN CLASIFICAR",IF(N($X977)&gt;0,"VENCIDA",IF(TODAY()&gt;=$U977-1,"POR VENCER","EN PLAZO")))))</f>
        <v/>
      </c>
      <c r="Z977" s="41" t="n"/>
      <c r="AA977" s="41" t="n"/>
      <c r="AB977" s="41" t="n"/>
    </row>
    <row r="978">
      <c r="A978" s="39">
        <f>IF($C978="","","NOV-"&amp;TEXT(ROW()-3,"0000"))</f>
        <v/>
      </c>
      <c r="B978" s="40" t="n"/>
      <c r="C978" s="41" t="n"/>
      <c r="D978" s="42">
        <f>IF($C978="","",IFERROR(INDEX(DESPACHOS!$D$3:$D$3002,MATCH($C978,DESPACHOS!$B$3:$B$3002,0)),"SIN DESPACHO"))</f>
        <v/>
      </c>
      <c r="E978" s="42">
        <f>IF($C978="","",IFERROR(INDEX(DESPACHOS!$K$3:$K$3002,MATCH($C978,DESPACHOS!$B$3:$B$3002,0)),""))</f>
        <v/>
      </c>
      <c r="F978" s="42">
        <f>IF($C978="","",IFERROR(INDEX(DESPACHOS!$I$3:$I$3002,MATCH($C978,DESPACHOS!$B$3:$B$3002,0)),""))</f>
        <v/>
      </c>
      <c r="G978" s="42">
        <f>IF($C978="","",IFERROR(INDEX(DESPACHOS!$F$3:$F$3002,MATCH($C978,DESPACHOS!$B$3:$B$3002,0)),""))</f>
        <v/>
      </c>
      <c r="H978" s="42">
        <f>IF($C978="","",IFERROR(INDEX(DESPACHOS!$G$3:$G$3002,MATCH($C978,DESPACHOS!$B$3:$B$3002,0)),""))</f>
        <v/>
      </c>
      <c r="I978" s="39">
        <f>IF($C978="","",IFERROR(INDEX(DESPACHOS!$H$3:$H$3002,MATCH($C978,DESPACHOS!$B$3:$B$3002,0)),""))</f>
        <v/>
      </c>
      <c r="J978" s="43">
        <f>IF($C978="","",IFERROR(INDEX(DESPACHOS!$J$3:$J$3002,MATCH($C978,DESPACHOS!$B$3:$B$3002,0)),""))</f>
        <v/>
      </c>
      <c r="K978" s="39">
        <f>IF($C978="","",IF(COUNTIFS(DESPACHOS!$B$3:$B$3002,$C978)=0,"NO EXISTE",IF(COUNTIFS(DESPACHOS!$B$3:$B$3002,$C978)&gt;1,"DUPLICADO","OK")))</f>
        <v/>
      </c>
      <c r="L978" s="41" t="n"/>
      <c r="M978" s="41" t="n"/>
      <c r="N978" s="42">
        <f>IF($M978="","",IFERROR(INDEX(LISTAS!$F$3:$F$42,MATCH($M978,LISTAS!$E$3:$E$42,0)),"Por definir"))</f>
        <v/>
      </c>
      <c r="O978" s="41" t="n"/>
      <c r="P978" s="39">
        <f>IF($L978="","",IFERROR(INDEX(LISTAS!$B$3:$B$42,MATCH($L978,LISTAS!$A$3:$A$42,0)),"Media"))</f>
        <v/>
      </c>
      <c r="Q978" s="44" t="n"/>
      <c r="R978" s="45" t="n"/>
      <c r="S978" s="20">
        <f>IFERROR(IF(OR($R978="",$C978=""),"",$R978/INDEX(DESPACHOS!$M$3:$M$3002,MATCH($C978,DESPACHOS!$B$3:$B$3002,0))),"")</f>
        <v/>
      </c>
      <c r="T978" s="41" t="n"/>
      <c r="U978" s="43">
        <f>IF(OR($B978="",$L978=""),"",WORKDAY($B978,IFERROR(INDEX(LISTAS!$C$3:$C$42,MATCH($L978,LISTAS!$A$3:$A$42,0)),3)))</f>
        <v/>
      </c>
      <c r="V978" s="40" t="n"/>
      <c r="W978" s="19">
        <f>IF($B978="","",IF($V978&lt;&gt;"",$V978-$B978,TODAY()-$B978))</f>
        <v/>
      </c>
      <c r="X978" s="19">
        <f>IF(OR($B978="",$U978=""),"",IF($V978&lt;&gt;"",MAX(0,$V978-$U978),MAX(0,TODAY()-$U978)))</f>
        <v/>
      </c>
      <c r="Y978" s="39">
        <f>IF($C978="","",IF(IFERROR(INDEX(LISTAS!$I$3:$I$42,MATCH($T978,LISTAS!$H$3:$H$42,0)),"NO")="SÍ",IF(N($X978)&gt;0,"CERRADA FUERA DE SLA","CERRADA EN SLA"),IF($U978="","SIN CLASIFICAR",IF(N($X978)&gt;0,"VENCIDA",IF(TODAY()&gt;=$U978-1,"POR VENCER","EN PLAZO")))))</f>
        <v/>
      </c>
      <c r="Z978" s="41" t="n"/>
      <c r="AA978" s="41" t="n"/>
      <c r="AB978" s="41" t="n"/>
    </row>
    <row r="979">
      <c r="A979" s="39">
        <f>IF($C979="","","NOV-"&amp;TEXT(ROW()-3,"0000"))</f>
        <v/>
      </c>
      <c r="B979" s="40" t="n"/>
      <c r="C979" s="41" t="n"/>
      <c r="D979" s="42">
        <f>IF($C979="","",IFERROR(INDEX(DESPACHOS!$D$3:$D$3002,MATCH($C979,DESPACHOS!$B$3:$B$3002,0)),"SIN DESPACHO"))</f>
        <v/>
      </c>
      <c r="E979" s="42">
        <f>IF($C979="","",IFERROR(INDEX(DESPACHOS!$K$3:$K$3002,MATCH($C979,DESPACHOS!$B$3:$B$3002,0)),""))</f>
        <v/>
      </c>
      <c r="F979" s="42">
        <f>IF($C979="","",IFERROR(INDEX(DESPACHOS!$I$3:$I$3002,MATCH($C979,DESPACHOS!$B$3:$B$3002,0)),""))</f>
        <v/>
      </c>
      <c r="G979" s="42">
        <f>IF($C979="","",IFERROR(INDEX(DESPACHOS!$F$3:$F$3002,MATCH($C979,DESPACHOS!$B$3:$B$3002,0)),""))</f>
        <v/>
      </c>
      <c r="H979" s="42">
        <f>IF($C979="","",IFERROR(INDEX(DESPACHOS!$G$3:$G$3002,MATCH($C979,DESPACHOS!$B$3:$B$3002,0)),""))</f>
        <v/>
      </c>
      <c r="I979" s="39">
        <f>IF($C979="","",IFERROR(INDEX(DESPACHOS!$H$3:$H$3002,MATCH($C979,DESPACHOS!$B$3:$B$3002,0)),""))</f>
        <v/>
      </c>
      <c r="J979" s="43">
        <f>IF($C979="","",IFERROR(INDEX(DESPACHOS!$J$3:$J$3002,MATCH($C979,DESPACHOS!$B$3:$B$3002,0)),""))</f>
        <v/>
      </c>
      <c r="K979" s="39">
        <f>IF($C979="","",IF(COUNTIFS(DESPACHOS!$B$3:$B$3002,$C979)=0,"NO EXISTE",IF(COUNTIFS(DESPACHOS!$B$3:$B$3002,$C979)&gt;1,"DUPLICADO","OK")))</f>
        <v/>
      </c>
      <c r="L979" s="41" t="n"/>
      <c r="M979" s="41" t="n"/>
      <c r="N979" s="42">
        <f>IF($M979="","",IFERROR(INDEX(LISTAS!$F$3:$F$42,MATCH($M979,LISTAS!$E$3:$E$42,0)),"Por definir"))</f>
        <v/>
      </c>
      <c r="O979" s="41" t="n"/>
      <c r="P979" s="39">
        <f>IF($L979="","",IFERROR(INDEX(LISTAS!$B$3:$B$42,MATCH($L979,LISTAS!$A$3:$A$42,0)),"Media"))</f>
        <v/>
      </c>
      <c r="Q979" s="44" t="n"/>
      <c r="R979" s="45" t="n"/>
      <c r="S979" s="20">
        <f>IFERROR(IF(OR($R979="",$C979=""),"",$R979/INDEX(DESPACHOS!$M$3:$M$3002,MATCH($C979,DESPACHOS!$B$3:$B$3002,0))),"")</f>
        <v/>
      </c>
      <c r="T979" s="41" t="n"/>
      <c r="U979" s="43">
        <f>IF(OR($B979="",$L979=""),"",WORKDAY($B979,IFERROR(INDEX(LISTAS!$C$3:$C$42,MATCH($L979,LISTAS!$A$3:$A$42,0)),3)))</f>
        <v/>
      </c>
      <c r="V979" s="40" t="n"/>
      <c r="W979" s="19">
        <f>IF($B979="","",IF($V979&lt;&gt;"",$V979-$B979,TODAY()-$B979))</f>
        <v/>
      </c>
      <c r="X979" s="19">
        <f>IF(OR($B979="",$U979=""),"",IF($V979&lt;&gt;"",MAX(0,$V979-$U979),MAX(0,TODAY()-$U979)))</f>
        <v/>
      </c>
      <c r="Y979" s="39">
        <f>IF($C979="","",IF(IFERROR(INDEX(LISTAS!$I$3:$I$42,MATCH($T979,LISTAS!$H$3:$H$42,0)),"NO")="SÍ",IF(N($X979)&gt;0,"CERRADA FUERA DE SLA","CERRADA EN SLA"),IF($U979="","SIN CLASIFICAR",IF(N($X979)&gt;0,"VENCIDA",IF(TODAY()&gt;=$U979-1,"POR VENCER","EN PLAZO")))))</f>
        <v/>
      </c>
      <c r="Z979" s="41" t="n"/>
      <c r="AA979" s="41" t="n"/>
      <c r="AB979" s="41" t="n"/>
    </row>
    <row r="980">
      <c r="A980" s="39">
        <f>IF($C980="","","NOV-"&amp;TEXT(ROW()-3,"0000"))</f>
        <v/>
      </c>
      <c r="B980" s="40" t="n"/>
      <c r="C980" s="41" t="n"/>
      <c r="D980" s="42">
        <f>IF($C980="","",IFERROR(INDEX(DESPACHOS!$D$3:$D$3002,MATCH($C980,DESPACHOS!$B$3:$B$3002,0)),"SIN DESPACHO"))</f>
        <v/>
      </c>
      <c r="E980" s="42">
        <f>IF($C980="","",IFERROR(INDEX(DESPACHOS!$K$3:$K$3002,MATCH($C980,DESPACHOS!$B$3:$B$3002,0)),""))</f>
        <v/>
      </c>
      <c r="F980" s="42">
        <f>IF($C980="","",IFERROR(INDEX(DESPACHOS!$I$3:$I$3002,MATCH($C980,DESPACHOS!$B$3:$B$3002,0)),""))</f>
        <v/>
      </c>
      <c r="G980" s="42">
        <f>IF($C980="","",IFERROR(INDEX(DESPACHOS!$F$3:$F$3002,MATCH($C980,DESPACHOS!$B$3:$B$3002,0)),""))</f>
        <v/>
      </c>
      <c r="H980" s="42">
        <f>IF($C980="","",IFERROR(INDEX(DESPACHOS!$G$3:$G$3002,MATCH($C980,DESPACHOS!$B$3:$B$3002,0)),""))</f>
        <v/>
      </c>
      <c r="I980" s="39">
        <f>IF($C980="","",IFERROR(INDEX(DESPACHOS!$H$3:$H$3002,MATCH($C980,DESPACHOS!$B$3:$B$3002,0)),""))</f>
        <v/>
      </c>
      <c r="J980" s="43">
        <f>IF($C980="","",IFERROR(INDEX(DESPACHOS!$J$3:$J$3002,MATCH($C980,DESPACHOS!$B$3:$B$3002,0)),""))</f>
        <v/>
      </c>
      <c r="K980" s="39">
        <f>IF($C980="","",IF(COUNTIFS(DESPACHOS!$B$3:$B$3002,$C980)=0,"NO EXISTE",IF(COUNTIFS(DESPACHOS!$B$3:$B$3002,$C980)&gt;1,"DUPLICADO","OK")))</f>
        <v/>
      </c>
      <c r="L980" s="41" t="n"/>
      <c r="M980" s="41" t="n"/>
      <c r="N980" s="42">
        <f>IF($M980="","",IFERROR(INDEX(LISTAS!$F$3:$F$42,MATCH($M980,LISTAS!$E$3:$E$42,0)),"Por definir"))</f>
        <v/>
      </c>
      <c r="O980" s="41" t="n"/>
      <c r="P980" s="39">
        <f>IF($L980="","",IFERROR(INDEX(LISTAS!$B$3:$B$42,MATCH($L980,LISTAS!$A$3:$A$42,0)),"Media"))</f>
        <v/>
      </c>
      <c r="Q980" s="44" t="n"/>
      <c r="R980" s="45" t="n"/>
      <c r="S980" s="20">
        <f>IFERROR(IF(OR($R980="",$C980=""),"",$R980/INDEX(DESPACHOS!$M$3:$M$3002,MATCH($C980,DESPACHOS!$B$3:$B$3002,0))),"")</f>
        <v/>
      </c>
      <c r="T980" s="41" t="n"/>
      <c r="U980" s="43">
        <f>IF(OR($B980="",$L980=""),"",WORKDAY($B980,IFERROR(INDEX(LISTAS!$C$3:$C$42,MATCH($L980,LISTAS!$A$3:$A$42,0)),3)))</f>
        <v/>
      </c>
      <c r="V980" s="40" t="n"/>
      <c r="W980" s="19">
        <f>IF($B980="","",IF($V980&lt;&gt;"",$V980-$B980,TODAY()-$B980))</f>
        <v/>
      </c>
      <c r="X980" s="19">
        <f>IF(OR($B980="",$U980=""),"",IF($V980&lt;&gt;"",MAX(0,$V980-$U980),MAX(0,TODAY()-$U980)))</f>
        <v/>
      </c>
      <c r="Y980" s="39">
        <f>IF($C980="","",IF(IFERROR(INDEX(LISTAS!$I$3:$I$42,MATCH($T980,LISTAS!$H$3:$H$42,0)),"NO")="SÍ",IF(N($X980)&gt;0,"CERRADA FUERA DE SLA","CERRADA EN SLA"),IF($U980="","SIN CLASIFICAR",IF(N($X980)&gt;0,"VENCIDA",IF(TODAY()&gt;=$U980-1,"POR VENCER","EN PLAZO")))))</f>
        <v/>
      </c>
      <c r="Z980" s="41" t="n"/>
      <c r="AA980" s="41" t="n"/>
      <c r="AB980" s="41" t="n"/>
    </row>
    <row r="981">
      <c r="A981" s="39">
        <f>IF($C981="","","NOV-"&amp;TEXT(ROW()-3,"0000"))</f>
        <v/>
      </c>
      <c r="B981" s="40" t="n"/>
      <c r="C981" s="41" t="n"/>
      <c r="D981" s="42">
        <f>IF($C981="","",IFERROR(INDEX(DESPACHOS!$D$3:$D$3002,MATCH($C981,DESPACHOS!$B$3:$B$3002,0)),"SIN DESPACHO"))</f>
        <v/>
      </c>
      <c r="E981" s="42">
        <f>IF($C981="","",IFERROR(INDEX(DESPACHOS!$K$3:$K$3002,MATCH($C981,DESPACHOS!$B$3:$B$3002,0)),""))</f>
        <v/>
      </c>
      <c r="F981" s="42">
        <f>IF($C981="","",IFERROR(INDEX(DESPACHOS!$I$3:$I$3002,MATCH($C981,DESPACHOS!$B$3:$B$3002,0)),""))</f>
        <v/>
      </c>
      <c r="G981" s="42">
        <f>IF($C981="","",IFERROR(INDEX(DESPACHOS!$F$3:$F$3002,MATCH($C981,DESPACHOS!$B$3:$B$3002,0)),""))</f>
        <v/>
      </c>
      <c r="H981" s="42">
        <f>IF($C981="","",IFERROR(INDEX(DESPACHOS!$G$3:$G$3002,MATCH($C981,DESPACHOS!$B$3:$B$3002,0)),""))</f>
        <v/>
      </c>
      <c r="I981" s="39">
        <f>IF($C981="","",IFERROR(INDEX(DESPACHOS!$H$3:$H$3002,MATCH($C981,DESPACHOS!$B$3:$B$3002,0)),""))</f>
        <v/>
      </c>
      <c r="J981" s="43">
        <f>IF($C981="","",IFERROR(INDEX(DESPACHOS!$J$3:$J$3002,MATCH($C981,DESPACHOS!$B$3:$B$3002,0)),""))</f>
        <v/>
      </c>
      <c r="K981" s="39">
        <f>IF($C981="","",IF(COUNTIFS(DESPACHOS!$B$3:$B$3002,$C981)=0,"NO EXISTE",IF(COUNTIFS(DESPACHOS!$B$3:$B$3002,$C981)&gt;1,"DUPLICADO","OK")))</f>
        <v/>
      </c>
      <c r="L981" s="41" t="n"/>
      <c r="M981" s="41" t="n"/>
      <c r="N981" s="42">
        <f>IF($M981="","",IFERROR(INDEX(LISTAS!$F$3:$F$42,MATCH($M981,LISTAS!$E$3:$E$42,0)),"Por definir"))</f>
        <v/>
      </c>
      <c r="O981" s="41" t="n"/>
      <c r="P981" s="39">
        <f>IF($L981="","",IFERROR(INDEX(LISTAS!$B$3:$B$42,MATCH($L981,LISTAS!$A$3:$A$42,0)),"Media"))</f>
        <v/>
      </c>
      <c r="Q981" s="44" t="n"/>
      <c r="R981" s="45" t="n"/>
      <c r="S981" s="20">
        <f>IFERROR(IF(OR($R981="",$C981=""),"",$R981/INDEX(DESPACHOS!$M$3:$M$3002,MATCH($C981,DESPACHOS!$B$3:$B$3002,0))),"")</f>
        <v/>
      </c>
      <c r="T981" s="41" t="n"/>
      <c r="U981" s="43">
        <f>IF(OR($B981="",$L981=""),"",WORKDAY($B981,IFERROR(INDEX(LISTAS!$C$3:$C$42,MATCH($L981,LISTAS!$A$3:$A$42,0)),3)))</f>
        <v/>
      </c>
      <c r="V981" s="40" t="n"/>
      <c r="W981" s="19">
        <f>IF($B981="","",IF($V981&lt;&gt;"",$V981-$B981,TODAY()-$B981))</f>
        <v/>
      </c>
      <c r="X981" s="19">
        <f>IF(OR($B981="",$U981=""),"",IF($V981&lt;&gt;"",MAX(0,$V981-$U981),MAX(0,TODAY()-$U981)))</f>
        <v/>
      </c>
      <c r="Y981" s="39">
        <f>IF($C981="","",IF(IFERROR(INDEX(LISTAS!$I$3:$I$42,MATCH($T981,LISTAS!$H$3:$H$42,0)),"NO")="SÍ",IF(N($X981)&gt;0,"CERRADA FUERA DE SLA","CERRADA EN SLA"),IF($U981="","SIN CLASIFICAR",IF(N($X981)&gt;0,"VENCIDA",IF(TODAY()&gt;=$U981-1,"POR VENCER","EN PLAZO")))))</f>
        <v/>
      </c>
      <c r="Z981" s="41" t="n"/>
      <c r="AA981" s="41" t="n"/>
      <c r="AB981" s="41" t="n"/>
    </row>
    <row r="982">
      <c r="A982" s="39">
        <f>IF($C982="","","NOV-"&amp;TEXT(ROW()-3,"0000"))</f>
        <v/>
      </c>
      <c r="B982" s="40" t="n"/>
      <c r="C982" s="41" t="n"/>
      <c r="D982" s="42">
        <f>IF($C982="","",IFERROR(INDEX(DESPACHOS!$D$3:$D$3002,MATCH($C982,DESPACHOS!$B$3:$B$3002,0)),"SIN DESPACHO"))</f>
        <v/>
      </c>
      <c r="E982" s="42">
        <f>IF($C982="","",IFERROR(INDEX(DESPACHOS!$K$3:$K$3002,MATCH($C982,DESPACHOS!$B$3:$B$3002,0)),""))</f>
        <v/>
      </c>
      <c r="F982" s="42">
        <f>IF($C982="","",IFERROR(INDEX(DESPACHOS!$I$3:$I$3002,MATCH($C982,DESPACHOS!$B$3:$B$3002,0)),""))</f>
        <v/>
      </c>
      <c r="G982" s="42">
        <f>IF($C982="","",IFERROR(INDEX(DESPACHOS!$F$3:$F$3002,MATCH($C982,DESPACHOS!$B$3:$B$3002,0)),""))</f>
        <v/>
      </c>
      <c r="H982" s="42">
        <f>IF($C982="","",IFERROR(INDEX(DESPACHOS!$G$3:$G$3002,MATCH($C982,DESPACHOS!$B$3:$B$3002,0)),""))</f>
        <v/>
      </c>
      <c r="I982" s="39">
        <f>IF($C982="","",IFERROR(INDEX(DESPACHOS!$H$3:$H$3002,MATCH($C982,DESPACHOS!$B$3:$B$3002,0)),""))</f>
        <v/>
      </c>
      <c r="J982" s="43">
        <f>IF($C982="","",IFERROR(INDEX(DESPACHOS!$J$3:$J$3002,MATCH($C982,DESPACHOS!$B$3:$B$3002,0)),""))</f>
        <v/>
      </c>
      <c r="K982" s="39">
        <f>IF($C982="","",IF(COUNTIFS(DESPACHOS!$B$3:$B$3002,$C982)=0,"NO EXISTE",IF(COUNTIFS(DESPACHOS!$B$3:$B$3002,$C982)&gt;1,"DUPLICADO","OK")))</f>
        <v/>
      </c>
      <c r="L982" s="41" t="n"/>
      <c r="M982" s="41" t="n"/>
      <c r="N982" s="42">
        <f>IF($M982="","",IFERROR(INDEX(LISTAS!$F$3:$F$42,MATCH($M982,LISTAS!$E$3:$E$42,0)),"Por definir"))</f>
        <v/>
      </c>
      <c r="O982" s="41" t="n"/>
      <c r="P982" s="39">
        <f>IF($L982="","",IFERROR(INDEX(LISTAS!$B$3:$B$42,MATCH($L982,LISTAS!$A$3:$A$42,0)),"Media"))</f>
        <v/>
      </c>
      <c r="Q982" s="44" t="n"/>
      <c r="R982" s="45" t="n"/>
      <c r="S982" s="20">
        <f>IFERROR(IF(OR($R982="",$C982=""),"",$R982/INDEX(DESPACHOS!$M$3:$M$3002,MATCH($C982,DESPACHOS!$B$3:$B$3002,0))),"")</f>
        <v/>
      </c>
      <c r="T982" s="41" t="n"/>
      <c r="U982" s="43">
        <f>IF(OR($B982="",$L982=""),"",WORKDAY($B982,IFERROR(INDEX(LISTAS!$C$3:$C$42,MATCH($L982,LISTAS!$A$3:$A$42,0)),3)))</f>
        <v/>
      </c>
      <c r="V982" s="40" t="n"/>
      <c r="W982" s="19">
        <f>IF($B982="","",IF($V982&lt;&gt;"",$V982-$B982,TODAY()-$B982))</f>
        <v/>
      </c>
      <c r="X982" s="19">
        <f>IF(OR($B982="",$U982=""),"",IF($V982&lt;&gt;"",MAX(0,$V982-$U982),MAX(0,TODAY()-$U982)))</f>
        <v/>
      </c>
      <c r="Y982" s="39">
        <f>IF($C982="","",IF(IFERROR(INDEX(LISTAS!$I$3:$I$42,MATCH($T982,LISTAS!$H$3:$H$42,0)),"NO")="SÍ",IF(N($X982)&gt;0,"CERRADA FUERA DE SLA","CERRADA EN SLA"),IF($U982="","SIN CLASIFICAR",IF(N($X982)&gt;0,"VENCIDA",IF(TODAY()&gt;=$U982-1,"POR VENCER","EN PLAZO")))))</f>
        <v/>
      </c>
      <c r="Z982" s="41" t="n"/>
      <c r="AA982" s="41" t="n"/>
      <c r="AB982" s="41" t="n"/>
    </row>
    <row r="983">
      <c r="A983" s="39">
        <f>IF($C983="","","NOV-"&amp;TEXT(ROW()-3,"0000"))</f>
        <v/>
      </c>
      <c r="B983" s="40" t="n"/>
      <c r="C983" s="41" t="n"/>
      <c r="D983" s="42">
        <f>IF($C983="","",IFERROR(INDEX(DESPACHOS!$D$3:$D$3002,MATCH($C983,DESPACHOS!$B$3:$B$3002,0)),"SIN DESPACHO"))</f>
        <v/>
      </c>
      <c r="E983" s="42">
        <f>IF($C983="","",IFERROR(INDEX(DESPACHOS!$K$3:$K$3002,MATCH($C983,DESPACHOS!$B$3:$B$3002,0)),""))</f>
        <v/>
      </c>
      <c r="F983" s="42">
        <f>IF($C983="","",IFERROR(INDEX(DESPACHOS!$I$3:$I$3002,MATCH($C983,DESPACHOS!$B$3:$B$3002,0)),""))</f>
        <v/>
      </c>
      <c r="G983" s="42">
        <f>IF($C983="","",IFERROR(INDEX(DESPACHOS!$F$3:$F$3002,MATCH($C983,DESPACHOS!$B$3:$B$3002,0)),""))</f>
        <v/>
      </c>
      <c r="H983" s="42">
        <f>IF($C983="","",IFERROR(INDEX(DESPACHOS!$G$3:$G$3002,MATCH($C983,DESPACHOS!$B$3:$B$3002,0)),""))</f>
        <v/>
      </c>
      <c r="I983" s="39">
        <f>IF($C983="","",IFERROR(INDEX(DESPACHOS!$H$3:$H$3002,MATCH($C983,DESPACHOS!$B$3:$B$3002,0)),""))</f>
        <v/>
      </c>
      <c r="J983" s="43">
        <f>IF($C983="","",IFERROR(INDEX(DESPACHOS!$J$3:$J$3002,MATCH($C983,DESPACHOS!$B$3:$B$3002,0)),""))</f>
        <v/>
      </c>
      <c r="K983" s="39">
        <f>IF($C983="","",IF(COUNTIFS(DESPACHOS!$B$3:$B$3002,$C983)=0,"NO EXISTE",IF(COUNTIFS(DESPACHOS!$B$3:$B$3002,$C983)&gt;1,"DUPLICADO","OK")))</f>
        <v/>
      </c>
      <c r="L983" s="41" t="n"/>
      <c r="M983" s="41" t="n"/>
      <c r="N983" s="42">
        <f>IF($M983="","",IFERROR(INDEX(LISTAS!$F$3:$F$42,MATCH($M983,LISTAS!$E$3:$E$42,0)),"Por definir"))</f>
        <v/>
      </c>
      <c r="O983" s="41" t="n"/>
      <c r="P983" s="39">
        <f>IF($L983="","",IFERROR(INDEX(LISTAS!$B$3:$B$42,MATCH($L983,LISTAS!$A$3:$A$42,0)),"Media"))</f>
        <v/>
      </c>
      <c r="Q983" s="44" t="n"/>
      <c r="R983" s="45" t="n"/>
      <c r="S983" s="20">
        <f>IFERROR(IF(OR($R983="",$C983=""),"",$R983/INDEX(DESPACHOS!$M$3:$M$3002,MATCH($C983,DESPACHOS!$B$3:$B$3002,0))),"")</f>
        <v/>
      </c>
      <c r="T983" s="41" t="n"/>
      <c r="U983" s="43">
        <f>IF(OR($B983="",$L983=""),"",WORKDAY($B983,IFERROR(INDEX(LISTAS!$C$3:$C$42,MATCH($L983,LISTAS!$A$3:$A$42,0)),3)))</f>
        <v/>
      </c>
      <c r="V983" s="40" t="n"/>
      <c r="W983" s="19">
        <f>IF($B983="","",IF($V983&lt;&gt;"",$V983-$B983,TODAY()-$B983))</f>
        <v/>
      </c>
      <c r="X983" s="19">
        <f>IF(OR($B983="",$U983=""),"",IF($V983&lt;&gt;"",MAX(0,$V983-$U983),MAX(0,TODAY()-$U983)))</f>
        <v/>
      </c>
      <c r="Y983" s="39">
        <f>IF($C983="","",IF(IFERROR(INDEX(LISTAS!$I$3:$I$42,MATCH($T983,LISTAS!$H$3:$H$42,0)),"NO")="SÍ",IF(N($X983)&gt;0,"CERRADA FUERA DE SLA","CERRADA EN SLA"),IF($U983="","SIN CLASIFICAR",IF(N($X983)&gt;0,"VENCIDA",IF(TODAY()&gt;=$U983-1,"POR VENCER","EN PLAZO")))))</f>
        <v/>
      </c>
      <c r="Z983" s="41" t="n"/>
      <c r="AA983" s="41" t="n"/>
      <c r="AB983" s="41" t="n"/>
    </row>
    <row r="984">
      <c r="A984" s="39">
        <f>IF($C984="","","NOV-"&amp;TEXT(ROW()-3,"0000"))</f>
        <v/>
      </c>
      <c r="B984" s="40" t="n"/>
      <c r="C984" s="41" t="n"/>
      <c r="D984" s="42">
        <f>IF($C984="","",IFERROR(INDEX(DESPACHOS!$D$3:$D$3002,MATCH($C984,DESPACHOS!$B$3:$B$3002,0)),"SIN DESPACHO"))</f>
        <v/>
      </c>
      <c r="E984" s="42">
        <f>IF($C984="","",IFERROR(INDEX(DESPACHOS!$K$3:$K$3002,MATCH($C984,DESPACHOS!$B$3:$B$3002,0)),""))</f>
        <v/>
      </c>
      <c r="F984" s="42">
        <f>IF($C984="","",IFERROR(INDEX(DESPACHOS!$I$3:$I$3002,MATCH($C984,DESPACHOS!$B$3:$B$3002,0)),""))</f>
        <v/>
      </c>
      <c r="G984" s="42">
        <f>IF($C984="","",IFERROR(INDEX(DESPACHOS!$F$3:$F$3002,MATCH($C984,DESPACHOS!$B$3:$B$3002,0)),""))</f>
        <v/>
      </c>
      <c r="H984" s="42">
        <f>IF($C984="","",IFERROR(INDEX(DESPACHOS!$G$3:$G$3002,MATCH($C984,DESPACHOS!$B$3:$B$3002,0)),""))</f>
        <v/>
      </c>
      <c r="I984" s="39">
        <f>IF($C984="","",IFERROR(INDEX(DESPACHOS!$H$3:$H$3002,MATCH($C984,DESPACHOS!$B$3:$B$3002,0)),""))</f>
        <v/>
      </c>
      <c r="J984" s="43">
        <f>IF($C984="","",IFERROR(INDEX(DESPACHOS!$J$3:$J$3002,MATCH($C984,DESPACHOS!$B$3:$B$3002,0)),""))</f>
        <v/>
      </c>
      <c r="K984" s="39">
        <f>IF($C984="","",IF(COUNTIFS(DESPACHOS!$B$3:$B$3002,$C984)=0,"NO EXISTE",IF(COUNTIFS(DESPACHOS!$B$3:$B$3002,$C984)&gt;1,"DUPLICADO","OK")))</f>
        <v/>
      </c>
      <c r="L984" s="41" t="n"/>
      <c r="M984" s="41" t="n"/>
      <c r="N984" s="42">
        <f>IF($M984="","",IFERROR(INDEX(LISTAS!$F$3:$F$42,MATCH($M984,LISTAS!$E$3:$E$42,0)),"Por definir"))</f>
        <v/>
      </c>
      <c r="O984" s="41" t="n"/>
      <c r="P984" s="39">
        <f>IF($L984="","",IFERROR(INDEX(LISTAS!$B$3:$B$42,MATCH($L984,LISTAS!$A$3:$A$42,0)),"Media"))</f>
        <v/>
      </c>
      <c r="Q984" s="44" t="n"/>
      <c r="R984" s="45" t="n"/>
      <c r="S984" s="20">
        <f>IFERROR(IF(OR($R984="",$C984=""),"",$R984/INDEX(DESPACHOS!$M$3:$M$3002,MATCH($C984,DESPACHOS!$B$3:$B$3002,0))),"")</f>
        <v/>
      </c>
      <c r="T984" s="41" t="n"/>
      <c r="U984" s="43">
        <f>IF(OR($B984="",$L984=""),"",WORKDAY($B984,IFERROR(INDEX(LISTAS!$C$3:$C$42,MATCH($L984,LISTAS!$A$3:$A$42,0)),3)))</f>
        <v/>
      </c>
      <c r="V984" s="40" t="n"/>
      <c r="W984" s="19">
        <f>IF($B984="","",IF($V984&lt;&gt;"",$V984-$B984,TODAY()-$B984))</f>
        <v/>
      </c>
      <c r="X984" s="19">
        <f>IF(OR($B984="",$U984=""),"",IF($V984&lt;&gt;"",MAX(0,$V984-$U984),MAX(0,TODAY()-$U984)))</f>
        <v/>
      </c>
      <c r="Y984" s="39">
        <f>IF($C984="","",IF(IFERROR(INDEX(LISTAS!$I$3:$I$42,MATCH($T984,LISTAS!$H$3:$H$42,0)),"NO")="SÍ",IF(N($X984)&gt;0,"CERRADA FUERA DE SLA","CERRADA EN SLA"),IF($U984="","SIN CLASIFICAR",IF(N($X984)&gt;0,"VENCIDA",IF(TODAY()&gt;=$U984-1,"POR VENCER","EN PLAZO")))))</f>
        <v/>
      </c>
      <c r="Z984" s="41" t="n"/>
      <c r="AA984" s="41" t="n"/>
      <c r="AB984" s="41" t="n"/>
    </row>
    <row r="985">
      <c r="A985" s="39">
        <f>IF($C985="","","NOV-"&amp;TEXT(ROW()-3,"0000"))</f>
        <v/>
      </c>
      <c r="B985" s="40" t="n"/>
      <c r="C985" s="41" t="n"/>
      <c r="D985" s="42">
        <f>IF($C985="","",IFERROR(INDEX(DESPACHOS!$D$3:$D$3002,MATCH($C985,DESPACHOS!$B$3:$B$3002,0)),"SIN DESPACHO"))</f>
        <v/>
      </c>
      <c r="E985" s="42">
        <f>IF($C985="","",IFERROR(INDEX(DESPACHOS!$K$3:$K$3002,MATCH($C985,DESPACHOS!$B$3:$B$3002,0)),""))</f>
        <v/>
      </c>
      <c r="F985" s="42">
        <f>IF($C985="","",IFERROR(INDEX(DESPACHOS!$I$3:$I$3002,MATCH($C985,DESPACHOS!$B$3:$B$3002,0)),""))</f>
        <v/>
      </c>
      <c r="G985" s="42">
        <f>IF($C985="","",IFERROR(INDEX(DESPACHOS!$F$3:$F$3002,MATCH($C985,DESPACHOS!$B$3:$B$3002,0)),""))</f>
        <v/>
      </c>
      <c r="H985" s="42">
        <f>IF($C985="","",IFERROR(INDEX(DESPACHOS!$G$3:$G$3002,MATCH($C985,DESPACHOS!$B$3:$B$3002,0)),""))</f>
        <v/>
      </c>
      <c r="I985" s="39">
        <f>IF($C985="","",IFERROR(INDEX(DESPACHOS!$H$3:$H$3002,MATCH($C985,DESPACHOS!$B$3:$B$3002,0)),""))</f>
        <v/>
      </c>
      <c r="J985" s="43">
        <f>IF($C985="","",IFERROR(INDEX(DESPACHOS!$J$3:$J$3002,MATCH($C985,DESPACHOS!$B$3:$B$3002,0)),""))</f>
        <v/>
      </c>
      <c r="K985" s="39">
        <f>IF($C985="","",IF(COUNTIFS(DESPACHOS!$B$3:$B$3002,$C985)=0,"NO EXISTE",IF(COUNTIFS(DESPACHOS!$B$3:$B$3002,$C985)&gt;1,"DUPLICADO","OK")))</f>
        <v/>
      </c>
      <c r="L985" s="41" t="n"/>
      <c r="M985" s="41" t="n"/>
      <c r="N985" s="42">
        <f>IF($M985="","",IFERROR(INDEX(LISTAS!$F$3:$F$42,MATCH($M985,LISTAS!$E$3:$E$42,0)),"Por definir"))</f>
        <v/>
      </c>
      <c r="O985" s="41" t="n"/>
      <c r="P985" s="39">
        <f>IF($L985="","",IFERROR(INDEX(LISTAS!$B$3:$B$42,MATCH($L985,LISTAS!$A$3:$A$42,0)),"Media"))</f>
        <v/>
      </c>
      <c r="Q985" s="44" t="n"/>
      <c r="R985" s="45" t="n"/>
      <c r="S985" s="20">
        <f>IFERROR(IF(OR($R985="",$C985=""),"",$R985/INDEX(DESPACHOS!$M$3:$M$3002,MATCH($C985,DESPACHOS!$B$3:$B$3002,0))),"")</f>
        <v/>
      </c>
      <c r="T985" s="41" t="n"/>
      <c r="U985" s="43">
        <f>IF(OR($B985="",$L985=""),"",WORKDAY($B985,IFERROR(INDEX(LISTAS!$C$3:$C$42,MATCH($L985,LISTAS!$A$3:$A$42,0)),3)))</f>
        <v/>
      </c>
      <c r="V985" s="40" t="n"/>
      <c r="W985" s="19">
        <f>IF($B985="","",IF($V985&lt;&gt;"",$V985-$B985,TODAY()-$B985))</f>
        <v/>
      </c>
      <c r="X985" s="19">
        <f>IF(OR($B985="",$U985=""),"",IF($V985&lt;&gt;"",MAX(0,$V985-$U985),MAX(0,TODAY()-$U985)))</f>
        <v/>
      </c>
      <c r="Y985" s="39">
        <f>IF($C985="","",IF(IFERROR(INDEX(LISTAS!$I$3:$I$42,MATCH($T985,LISTAS!$H$3:$H$42,0)),"NO")="SÍ",IF(N($X985)&gt;0,"CERRADA FUERA DE SLA","CERRADA EN SLA"),IF($U985="","SIN CLASIFICAR",IF(N($X985)&gt;0,"VENCIDA",IF(TODAY()&gt;=$U985-1,"POR VENCER","EN PLAZO")))))</f>
        <v/>
      </c>
      <c r="Z985" s="41" t="n"/>
      <c r="AA985" s="41" t="n"/>
      <c r="AB985" s="41" t="n"/>
    </row>
    <row r="986">
      <c r="A986" s="39">
        <f>IF($C986="","","NOV-"&amp;TEXT(ROW()-3,"0000"))</f>
        <v/>
      </c>
      <c r="B986" s="40" t="n"/>
      <c r="C986" s="41" t="n"/>
      <c r="D986" s="42">
        <f>IF($C986="","",IFERROR(INDEX(DESPACHOS!$D$3:$D$3002,MATCH($C986,DESPACHOS!$B$3:$B$3002,0)),"SIN DESPACHO"))</f>
        <v/>
      </c>
      <c r="E986" s="42">
        <f>IF($C986="","",IFERROR(INDEX(DESPACHOS!$K$3:$K$3002,MATCH($C986,DESPACHOS!$B$3:$B$3002,0)),""))</f>
        <v/>
      </c>
      <c r="F986" s="42">
        <f>IF($C986="","",IFERROR(INDEX(DESPACHOS!$I$3:$I$3002,MATCH($C986,DESPACHOS!$B$3:$B$3002,0)),""))</f>
        <v/>
      </c>
      <c r="G986" s="42">
        <f>IF($C986="","",IFERROR(INDEX(DESPACHOS!$F$3:$F$3002,MATCH($C986,DESPACHOS!$B$3:$B$3002,0)),""))</f>
        <v/>
      </c>
      <c r="H986" s="42">
        <f>IF($C986="","",IFERROR(INDEX(DESPACHOS!$G$3:$G$3002,MATCH($C986,DESPACHOS!$B$3:$B$3002,0)),""))</f>
        <v/>
      </c>
      <c r="I986" s="39">
        <f>IF($C986="","",IFERROR(INDEX(DESPACHOS!$H$3:$H$3002,MATCH($C986,DESPACHOS!$B$3:$B$3002,0)),""))</f>
        <v/>
      </c>
      <c r="J986" s="43">
        <f>IF($C986="","",IFERROR(INDEX(DESPACHOS!$J$3:$J$3002,MATCH($C986,DESPACHOS!$B$3:$B$3002,0)),""))</f>
        <v/>
      </c>
      <c r="K986" s="39">
        <f>IF($C986="","",IF(COUNTIFS(DESPACHOS!$B$3:$B$3002,$C986)=0,"NO EXISTE",IF(COUNTIFS(DESPACHOS!$B$3:$B$3002,$C986)&gt;1,"DUPLICADO","OK")))</f>
        <v/>
      </c>
      <c r="L986" s="41" t="n"/>
      <c r="M986" s="41" t="n"/>
      <c r="N986" s="42">
        <f>IF($M986="","",IFERROR(INDEX(LISTAS!$F$3:$F$42,MATCH($M986,LISTAS!$E$3:$E$42,0)),"Por definir"))</f>
        <v/>
      </c>
      <c r="O986" s="41" t="n"/>
      <c r="P986" s="39">
        <f>IF($L986="","",IFERROR(INDEX(LISTAS!$B$3:$B$42,MATCH($L986,LISTAS!$A$3:$A$42,0)),"Media"))</f>
        <v/>
      </c>
      <c r="Q986" s="44" t="n"/>
      <c r="R986" s="45" t="n"/>
      <c r="S986" s="20">
        <f>IFERROR(IF(OR($R986="",$C986=""),"",$R986/INDEX(DESPACHOS!$M$3:$M$3002,MATCH($C986,DESPACHOS!$B$3:$B$3002,0))),"")</f>
        <v/>
      </c>
      <c r="T986" s="41" t="n"/>
      <c r="U986" s="43">
        <f>IF(OR($B986="",$L986=""),"",WORKDAY($B986,IFERROR(INDEX(LISTAS!$C$3:$C$42,MATCH($L986,LISTAS!$A$3:$A$42,0)),3)))</f>
        <v/>
      </c>
      <c r="V986" s="40" t="n"/>
      <c r="W986" s="19">
        <f>IF($B986="","",IF($V986&lt;&gt;"",$V986-$B986,TODAY()-$B986))</f>
        <v/>
      </c>
      <c r="X986" s="19">
        <f>IF(OR($B986="",$U986=""),"",IF($V986&lt;&gt;"",MAX(0,$V986-$U986),MAX(0,TODAY()-$U986)))</f>
        <v/>
      </c>
      <c r="Y986" s="39">
        <f>IF($C986="","",IF(IFERROR(INDEX(LISTAS!$I$3:$I$42,MATCH($T986,LISTAS!$H$3:$H$42,0)),"NO")="SÍ",IF(N($X986)&gt;0,"CERRADA FUERA DE SLA","CERRADA EN SLA"),IF($U986="","SIN CLASIFICAR",IF(N($X986)&gt;0,"VENCIDA",IF(TODAY()&gt;=$U986-1,"POR VENCER","EN PLAZO")))))</f>
        <v/>
      </c>
      <c r="Z986" s="41" t="n"/>
      <c r="AA986" s="41" t="n"/>
      <c r="AB986" s="41" t="n"/>
    </row>
    <row r="987">
      <c r="A987" s="39">
        <f>IF($C987="","","NOV-"&amp;TEXT(ROW()-3,"0000"))</f>
        <v/>
      </c>
      <c r="B987" s="40" t="n"/>
      <c r="C987" s="41" t="n"/>
      <c r="D987" s="42">
        <f>IF($C987="","",IFERROR(INDEX(DESPACHOS!$D$3:$D$3002,MATCH($C987,DESPACHOS!$B$3:$B$3002,0)),"SIN DESPACHO"))</f>
        <v/>
      </c>
      <c r="E987" s="42">
        <f>IF($C987="","",IFERROR(INDEX(DESPACHOS!$K$3:$K$3002,MATCH($C987,DESPACHOS!$B$3:$B$3002,0)),""))</f>
        <v/>
      </c>
      <c r="F987" s="42">
        <f>IF($C987="","",IFERROR(INDEX(DESPACHOS!$I$3:$I$3002,MATCH($C987,DESPACHOS!$B$3:$B$3002,0)),""))</f>
        <v/>
      </c>
      <c r="G987" s="42">
        <f>IF($C987="","",IFERROR(INDEX(DESPACHOS!$F$3:$F$3002,MATCH($C987,DESPACHOS!$B$3:$B$3002,0)),""))</f>
        <v/>
      </c>
      <c r="H987" s="42">
        <f>IF($C987="","",IFERROR(INDEX(DESPACHOS!$G$3:$G$3002,MATCH($C987,DESPACHOS!$B$3:$B$3002,0)),""))</f>
        <v/>
      </c>
      <c r="I987" s="39">
        <f>IF($C987="","",IFERROR(INDEX(DESPACHOS!$H$3:$H$3002,MATCH($C987,DESPACHOS!$B$3:$B$3002,0)),""))</f>
        <v/>
      </c>
      <c r="J987" s="43">
        <f>IF($C987="","",IFERROR(INDEX(DESPACHOS!$J$3:$J$3002,MATCH($C987,DESPACHOS!$B$3:$B$3002,0)),""))</f>
        <v/>
      </c>
      <c r="K987" s="39">
        <f>IF($C987="","",IF(COUNTIFS(DESPACHOS!$B$3:$B$3002,$C987)=0,"NO EXISTE",IF(COUNTIFS(DESPACHOS!$B$3:$B$3002,$C987)&gt;1,"DUPLICADO","OK")))</f>
        <v/>
      </c>
      <c r="L987" s="41" t="n"/>
      <c r="M987" s="41" t="n"/>
      <c r="N987" s="42">
        <f>IF($M987="","",IFERROR(INDEX(LISTAS!$F$3:$F$42,MATCH($M987,LISTAS!$E$3:$E$42,0)),"Por definir"))</f>
        <v/>
      </c>
      <c r="O987" s="41" t="n"/>
      <c r="P987" s="39">
        <f>IF($L987="","",IFERROR(INDEX(LISTAS!$B$3:$B$42,MATCH($L987,LISTAS!$A$3:$A$42,0)),"Media"))</f>
        <v/>
      </c>
      <c r="Q987" s="44" t="n"/>
      <c r="R987" s="45" t="n"/>
      <c r="S987" s="20">
        <f>IFERROR(IF(OR($R987="",$C987=""),"",$R987/INDEX(DESPACHOS!$M$3:$M$3002,MATCH($C987,DESPACHOS!$B$3:$B$3002,0))),"")</f>
        <v/>
      </c>
      <c r="T987" s="41" t="n"/>
      <c r="U987" s="43">
        <f>IF(OR($B987="",$L987=""),"",WORKDAY($B987,IFERROR(INDEX(LISTAS!$C$3:$C$42,MATCH($L987,LISTAS!$A$3:$A$42,0)),3)))</f>
        <v/>
      </c>
      <c r="V987" s="40" t="n"/>
      <c r="W987" s="19">
        <f>IF($B987="","",IF($V987&lt;&gt;"",$V987-$B987,TODAY()-$B987))</f>
        <v/>
      </c>
      <c r="X987" s="19">
        <f>IF(OR($B987="",$U987=""),"",IF($V987&lt;&gt;"",MAX(0,$V987-$U987),MAX(0,TODAY()-$U987)))</f>
        <v/>
      </c>
      <c r="Y987" s="39">
        <f>IF($C987="","",IF(IFERROR(INDEX(LISTAS!$I$3:$I$42,MATCH($T987,LISTAS!$H$3:$H$42,0)),"NO")="SÍ",IF(N($X987)&gt;0,"CERRADA FUERA DE SLA","CERRADA EN SLA"),IF($U987="","SIN CLASIFICAR",IF(N($X987)&gt;0,"VENCIDA",IF(TODAY()&gt;=$U987-1,"POR VENCER","EN PLAZO")))))</f>
        <v/>
      </c>
      <c r="Z987" s="41" t="n"/>
      <c r="AA987" s="41" t="n"/>
      <c r="AB987" s="41" t="n"/>
    </row>
    <row r="988">
      <c r="A988" s="39">
        <f>IF($C988="","","NOV-"&amp;TEXT(ROW()-3,"0000"))</f>
        <v/>
      </c>
      <c r="B988" s="40" t="n"/>
      <c r="C988" s="41" t="n"/>
      <c r="D988" s="42">
        <f>IF($C988="","",IFERROR(INDEX(DESPACHOS!$D$3:$D$3002,MATCH($C988,DESPACHOS!$B$3:$B$3002,0)),"SIN DESPACHO"))</f>
        <v/>
      </c>
      <c r="E988" s="42">
        <f>IF($C988="","",IFERROR(INDEX(DESPACHOS!$K$3:$K$3002,MATCH($C988,DESPACHOS!$B$3:$B$3002,0)),""))</f>
        <v/>
      </c>
      <c r="F988" s="42">
        <f>IF($C988="","",IFERROR(INDEX(DESPACHOS!$I$3:$I$3002,MATCH($C988,DESPACHOS!$B$3:$B$3002,0)),""))</f>
        <v/>
      </c>
      <c r="G988" s="42">
        <f>IF($C988="","",IFERROR(INDEX(DESPACHOS!$F$3:$F$3002,MATCH($C988,DESPACHOS!$B$3:$B$3002,0)),""))</f>
        <v/>
      </c>
      <c r="H988" s="42">
        <f>IF($C988="","",IFERROR(INDEX(DESPACHOS!$G$3:$G$3002,MATCH($C988,DESPACHOS!$B$3:$B$3002,0)),""))</f>
        <v/>
      </c>
      <c r="I988" s="39">
        <f>IF($C988="","",IFERROR(INDEX(DESPACHOS!$H$3:$H$3002,MATCH($C988,DESPACHOS!$B$3:$B$3002,0)),""))</f>
        <v/>
      </c>
      <c r="J988" s="43">
        <f>IF($C988="","",IFERROR(INDEX(DESPACHOS!$J$3:$J$3002,MATCH($C988,DESPACHOS!$B$3:$B$3002,0)),""))</f>
        <v/>
      </c>
      <c r="K988" s="39">
        <f>IF($C988="","",IF(COUNTIFS(DESPACHOS!$B$3:$B$3002,$C988)=0,"NO EXISTE",IF(COUNTIFS(DESPACHOS!$B$3:$B$3002,$C988)&gt;1,"DUPLICADO","OK")))</f>
        <v/>
      </c>
      <c r="L988" s="41" t="n"/>
      <c r="M988" s="41" t="n"/>
      <c r="N988" s="42">
        <f>IF($M988="","",IFERROR(INDEX(LISTAS!$F$3:$F$42,MATCH($M988,LISTAS!$E$3:$E$42,0)),"Por definir"))</f>
        <v/>
      </c>
      <c r="O988" s="41" t="n"/>
      <c r="P988" s="39">
        <f>IF($L988="","",IFERROR(INDEX(LISTAS!$B$3:$B$42,MATCH($L988,LISTAS!$A$3:$A$42,0)),"Media"))</f>
        <v/>
      </c>
      <c r="Q988" s="44" t="n"/>
      <c r="R988" s="45" t="n"/>
      <c r="S988" s="20">
        <f>IFERROR(IF(OR($R988="",$C988=""),"",$R988/INDEX(DESPACHOS!$M$3:$M$3002,MATCH($C988,DESPACHOS!$B$3:$B$3002,0))),"")</f>
        <v/>
      </c>
      <c r="T988" s="41" t="n"/>
      <c r="U988" s="43">
        <f>IF(OR($B988="",$L988=""),"",WORKDAY($B988,IFERROR(INDEX(LISTAS!$C$3:$C$42,MATCH($L988,LISTAS!$A$3:$A$42,0)),3)))</f>
        <v/>
      </c>
      <c r="V988" s="40" t="n"/>
      <c r="W988" s="19">
        <f>IF($B988="","",IF($V988&lt;&gt;"",$V988-$B988,TODAY()-$B988))</f>
        <v/>
      </c>
      <c r="X988" s="19">
        <f>IF(OR($B988="",$U988=""),"",IF($V988&lt;&gt;"",MAX(0,$V988-$U988),MAX(0,TODAY()-$U988)))</f>
        <v/>
      </c>
      <c r="Y988" s="39">
        <f>IF($C988="","",IF(IFERROR(INDEX(LISTAS!$I$3:$I$42,MATCH($T988,LISTAS!$H$3:$H$42,0)),"NO")="SÍ",IF(N($X988)&gt;0,"CERRADA FUERA DE SLA","CERRADA EN SLA"),IF($U988="","SIN CLASIFICAR",IF(N($X988)&gt;0,"VENCIDA",IF(TODAY()&gt;=$U988-1,"POR VENCER","EN PLAZO")))))</f>
        <v/>
      </c>
      <c r="Z988" s="41" t="n"/>
      <c r="AA988" s="41" t="n"/>
      <c r="AB988" s="41" t="n"/>
    </row>
    <row r="989">
      <c r="A989" s="39">
        <f>IF($C989="","","NOV-"&amp;TEXT(ROW()-3,"0000"))</f>
        <v/>
      </c>
      <c r="B989" s="40" t="n"/>
      <c r="C989" s="41" t="n"/>
      <c r="D989" s="42">
        <f>IF($C989="","",IFERROR(INDEX(DESPACHOS!$D$3:$D$3002,MATCH($C989,DESPACHOS!$B$3:$B$3002,0)),"SIN DESPACHO"))</f>
        <v/>
      </c>
      <c r="E989" s="42">
        <f>IF($C989="","",IFERROR(INDEX(DESPACHOS!$K$3:$K$3002,MATCH($C989,DESPACHOS!$B$3:$B$3002,0)),""))</f>
        <v/>
      </c>
      <c r="F989" s="42">
        <f>IF($C989="","",IFERROR(INDEX(DESPACHOS!$I$3:$I$3002,MATCH($C989,DESPACHOS!$B$3:$B$3002,0)),""))</f>
        <v/>
      </c>
      <c r="G989" s="42">
        <f>IF($C989="","",IFERROR(INDEX(DESPACHOS!$F$3:$F$3002,MATCH($C989,DESPACHOS!$B$3:$B$3002,0)),""))</f>
        <v/>
      </c>
      <c r="H989" s="42">
        <f>IF($C989="","",IFERROR(INDEX(DESPACHOS!$G$3:$G$3002,MATCH($C989,DESPACHOS!$B$3:$B$3002,0)),""))</f>
        <v/>
      </c>
      <c r="I989" s="39">
        <f>IF($C989="","",IFERROR(INDEX(DESPACHOS!$H$3:$H$3002,MATCH($C989,DESPACHOS!$B$3:$B$3002,0)),""))</f>
        <v/>
      </c>
      <c r="J989" s="43">
        <f>IF($C989="","",IFERROR(INDEX(DESPACHOS!$J$3:$J$3002,MATCH($C989,DESPACHOS!$B$3:$B$3002,0)),""))</f>
        <v/>
      </c>
      <c r="K989" s="39">
        <f>IF($C989="","",IF(COUNTIFS(DESPACHOS!$B$3:$B$3002,$C989)=0,"NO EXISTE",IF(COUNTIFS(DESPACHOS!$B$3:$B$3002,$C989)&gt;1,"DUPLICADO","OK")))</f>
        <v/>
      </c>
      <c r="L989" s="41" t="n"/>
      <c r="M989" s="41" t="n"/>
      <c r="N989" s="42">
        <f>IF($M989="","",IFERROR(INDEX(LISTAS!$F$3:$F$42,MATCH($M989,LISTAS!$E$3:$E$42,0)),"Por definir"))</f>
        <v/>
      </c>
      <c r="O989" s="41" t="n"/>
      <c r="P989" s="39">
        <f>IF($L989="","",IFERROR(INDEX(LISTAS!$B$3:$B$42,MATCH($L989,LISTAS!$A$3:$A$42,0)),"Media"))</f>
        <v/>
      </c>
      <c r="Q989" s="44" t="n"/>
      <c r="R989" s="45" t="n"/>
      <c r="S989" s="20">
        <f>IFERROR(IF(OR($R989="",$C989=""),"",$R989/INDEX(DESPACHOS!$M$3:$M$3002,MATCH($C989,DESPACHOS!$B$3:$B$3002,0))),"")</f>
        <v/>
      </c>
      <c r="T989" s="41" t="n"/>
      <c r="U989" s="43">
        <f>IF(OR($B989="",$L989=""),"",WORKDAY($B989,IFERROR(INDEX(LISTAS!$C$3:$C$42,MATCH($L989,LISTAS!$A$3:$A$42,0)),3)))</f>
        <v/>
      </c>
      <c r="V989" s="40" t="n"/>
      <c r="W989" s="19">
        <f>IF($B989="","",IF($V989&lt;&gt;"",$V989-$B989,TODAY()-$B989))</f>
        <v/>
      </c>
      <c r="X989" s="19">
        <f>IF(OR($B989="",$U989=""),"",IF($V989&lt;&gt;"",MAX(0,$V989-$U989),MAX(0,TODAY()-$U989)))</f>
        <v/>
      </c>
      <c r="Y989" s="39">
        <f>IF($C989="","",IF(IFERROR(INDEX(LISTAS!$I$3:$I$42,MATCH($T989,LISTAS!$H$3:$H$42,0)),"NO")="SÍ",IF(N($X989)&gt;0,"CERRADA FUERA DE SLA","CERRADA EN SLA"),IF($U989="","SIN CLASIFICAR",IF(N($X989)&gt;0,"VENCIDA",IF(TODAY()&gt;=$U989-1,"POR VENCER","EN PLAZO")))))</f>
        <v/>
      </c>
      <c r="Z989" s="41" t="n"/>
      <c r="AA989" s="41" t="n"/>
      <c r="AB989" s="41" t="n"/>
    </row>
    <row r="990">
      <c r="A990" s="39">
        <f>IF($C990="","","NOV-"&amp;TEXT(ROW()-3,"0000"))</f>
        <v/>
      </c>
      <c r="B990" s="40" t="n"/>
      <c r="C990" s="41" t="n"/>
      <c r="D990" s="42">
        <f>IF($C990="","",IFERROR(INDEX(DESPACHOS!$D$3:$D$3002,MATCH($C990,DESPACHOS!$B$3:$B$3002,0)),"SIN DESPACHO"))</f>
        <v/>
      </c>
      <c r="E990" s="42">
        <f>IF($C990="","",IFERROR(INDEX(DESPACHOS!$K$3:$K$3002,MATCH($C990,DESPACHOS!$B$3:$B$3002,0)),""))</f>
        <v/>
      </c>
      <c r="F990" s="42">
        <f>IF($C990="","",IFERROR(INDEX(DESPACHOS!$I$3:$I$3002,MATCH($C990,DESPACHOS!$B$3:$B$3002,0)),""))</f>
        <v/>
      </c>
      <c r="G990" s="42">
        <f>IF($C990="","",IFERROR(INDEX(DESPACHOS!$F$3:$F$3002,MATCH($C990,DESPACHOS!$B$3:$B$3002,0)),""))</f>
        <v/>
      </c>
      <c r="H990" s="42">
        <f>IF($C990="","",IFERROR(INDEX(DESPACHOS!$G$3:$G$3002,MATCH($C990,DESPACHOS!$B$3:$B$3002,0)),""))</f>
        <v/>
      </c>
      <c r="I990" s="39">
        <f>IF($C990="","",IFERROR(INDEX(DESPACHOS!$H$3:$H$3002,MATCH($C990,DESPACHOS!$B$3:$B$3002,0)),""))</f>
        <v/>
      </c>
      <c r="J990" s="43">
        <f>IF($C990="","",IFERROR(INDEX(DESPACHOS!$J$3:$J$3002,MATCH($C990,DESPACHOS!$B$3:$B$3002,0)),""))</f>
        <v/>
      </c>
      <c r="K990" s="39">
        <f>IF($C990="","",IF(COUNTIFS(DESPACHOS!$B$3:$B$3002,$C990)=0,"NO EXISTE",IF(COUNTIFS(DESPACHOS!$B$3:$B$3002,$C990)&gt;1,"DUPLICADO","OK")))</f>
        <v/>
      </c>
      <c r="L990" s="41" t="n"/>
      <c r="M990" s="41" t="n"/>
      <c r="N990" s="42">
        <f>IF($M990="","",IFERROR(INDEX(LISTAS!$F$3:$F$42,MATCH($M990,LISTAS!$E$3:$E$42,0)),"Por definir"))</f>
        <v/>
      </c>
      <c r="O990" s="41" t="n"/>
      <c r="P990" s="39">
        <f>IF($L990="","",IFERROR(INDEX(LISTAS!$B$3:$B$42,MATCH($L990,LISTAS!$A$3:$A$42,0)),"Media"))</f>
        <v/>
      </c>
      <c r="Q990" s="44" t="n"/>
      <c r="R990" s="45" t="n"/>
      <c r="S990" s="20">
        <f>IFERROR(IF(OR($R990="",$C990=""),"",$R990/INDEX(DESPACHOS!$M$3:$M$3002,MATCH($C990,DESPACHOS!$B$3:$B$3002,0))),"")</f>
        <v/>
      </c>
      <c r="T990" s="41" t="n"/>
      <c r="U990" s="43">
        <f>IF(OR($B990="",$L990=""),"",WORKDAY($B990,IFERROR(INDEX(LISTAS!$C$3:$C$42,MATCH($L990,LISTAS!$A$3:$A$42,0)),3)))</f>
        <v/>
      </c>
      <c r="V990" s="40" t="n"/>
      <c r="W990" s="19">
        <f>IF($B990="","",IF($V990&lt;&gt;"",$V990-$B990,TODAY()-$B990))</f>
        <v/>
      </c>
      <c r="X990" s="19">
        <f>IF(OR($B990="",$U990=""),"",IF($V990&lt;&gt;"",MAX(0,$V990-$U990),MAX(0,TODAY()-$U990)))</f>
        <v/>
      </c>
      <c r="Y990" s="39">
        <f>IF($C990="","",IF(IFERROR(INDEX(LISTAS!$I$3:$I$42,MATCH($T990,LISTAS!$H$3:$H$42,0)),"NO")="SÍ",IF(N($X990)&gt;0,"CERRADA FUERA DE SLA","CERRADA EN SLA"),IF($U990="","SIN CLASIFICAR",IF(N($X990)&gt;0,"VENCIDA",IF(TODAY()&gt;=$U990-1,"POR VENCER","EN PLAZO")))))</f>
        <v/>
      </c>
      <c r="Z990" s="41" t="n"/>
      <c r="AA990" s="41" t="n"/>
      <c r="AB990" s="41" t="n"/>
    </row>
    <row r="991">
      <c r="A991" s="39">
        <f>IF($C991="","","NOV-"&amp;TEXT(ROW()-3,"0000"))</f>
        <v/>
      </c>
      <c r="B991" s="40" t="n"/>
      <c r="C991" s="41" t="n"/>
      <c r="D991" s="42">
        <f>IF($C991="","",IFERROR(INDEX(DESPACHOS!$D$3:$D$3002,MATCH($C991,DESPACHOS!$B$3:$B$3002,0)),"SIN DESPACHO"))</f>
        <v/>
      </c>
      <c r="E991" s="42">
        <f>IF($C991="","",IFERROR(INDEX(DESPACHOS!$K$3:$K$3002,MATCH($C991,DESPACHOS!$B$3:$B$3002,0)),""))</f>
        <v/>
      </c>
      <c r="F991" s="42">
        <f>IF($C991="","",IFERROR(INDEX(DESPACHOS!$I$3:$I$3002,MATCH($C991,DESPACHOS!$B$3:$B$3002,0)),""))</f>
        <v/>
      </c>
      <c r="G991" s="42">
        <f>IF($C991="","",IFERROR(INDEX(DESPACHOS!$F$3:$F$3002,MATCH($C991,DESPACHOS!$B$3:$B$3002,0)),""))</f>
        <v/>
      </c>
      <c r="H991" s="42">
        <f>IF($C991="","",IFERROR(INDEX(DESPACHOS!$G$3:$G$3002,MATCH($C991,DESPACHOS!$B$3:$B$3002,0)),""))</f>
        <v/>
      </c>
      <c r="I991" s="39">
        <f>IF($C991="","",IFERROR(INDEX(DESPACHOS!$H$3:$H$3002,MATCH($C991,DESPACHOS!$B$3:$B$3002,0)),""))</f>
        <v/>
      </c>
      <c r="J991" s="43">
        <f>IF($C991="","",IFERROR(INDEX(DESPACHOS!$J$3:$J$3002,MATCH($C991,DESPACHOS!$B$3:$B$3002,0)),""))</f>
        <v/>
      </c>
      <c r="K991" s="39">
        <f>IF($C991="","",IF(COUNTIFS(DESPACHOS!$B$3:$B$3002,$C991)=0,"NO EXISTE",IF(COUNTIFS(DESPACHOS!$B$3:$B$3002,$C991)&gt;1,"DUPLICADO","OK")))</f>
        <v/>
      </c>
      <c r="L991" s="41" t="n"/>
      <c r="M991" s="41" t="n"/>
      <c r="N991" s="42">
        <f>IF($M991="","",IFERROR(INDEX(LISTAS!$F$3:$F$42,MATCH($M991,LISTAS!$E$3:$E$42,0)),"Por definir"))</f>
        <v/>
      </c>
      <c r="O991" s="41" t="n"/>
      <c r="P991" s="39">
        <f>IF($L991="","",IFERROR(INDEX(LISTAS!$B$3:$B$42,MATCH($L991,LISTAS!$A$3:$A$42,0)),"Media"))</f>
        <v/>
      </c>
      <c r="Q991" s="44" t="n"/>
      <c r="R991" s="45" t="n"/>
      <c r="S991" s="20">
        <f>IFERROR(IF(OR($R991="",$C991=""),"",$R991/INDEX(DESPACHOS!$M$3:$M$3002,MATCH($C991,DESPACHOS!$B$3:$B$3002,0))),"")</f>
        <v/>
      </c>
      <c r="T991" s="41" t="n"/>
      <c r="U991" s="43">
        <f>IF(OR($B991="",$L991=""),"",WORKDAY($B991,IFERROR(INDEX(LISTAS!$C$3:$C$42,MATCH($L991,LISTAS!$A$3:$A$42,0)),3)))</f>
        <v/>
      </c>
      <c r="V991" s="40" t="n"/>
      <c r="W991" s="19">
        <f>IF($B991="","",IF($V991&lt;&gt;"",$V991-$B991,TODAY()-$B991))</f>
        <v/>
      </c>
      <c r="X991" s="19">
        <f>IF(OR($B991="",$U991=""),"",IF($V991&lt;&gt;"",MAX(0,$V991-$U991),MAX(0,TODAY()-$U991)))</f>
        <v/>
      </c>
      <c r="Y991" s="39">
        <f>IF($C991="","",IF(IFERROR(INDEX(LISTAS!$I$3:$I$42,MATCH($T991,LISTAS!$H$3:$H$42,0)),"NO")="SÍ",IF(N($X991)&gt;0,"CERRADA FUERA DE SLA","CERRADA EN SLA"),IF($U991="","SIN CLASIFICAR",IF(N($X991)&gt;0,"VENCIDA",IF(TODAY()&gt;=$U991-1,"POR VENCER","EN PLAZO")))))</f>
        <v/>
      </c>
      <c r="Z991" s="41" t="n"/>
      <c r="AA991" s="41" t="n"/>
      <c r="AB991" s="41" t="n"/>
    </row>
    <row r="992">
      <c r="A992" s="39">
        <f>IF($C992="","","NOV-"&amp;TEXT(ROW()-3,"0000"))</f>
        <v/>
      </c>
      <c r="B992" s="40" t="n"/>
      <c r="C992" s="41" t="n"/>
      <c r="D992" s="42">
        <f>IF($C992="","",IFERROR(INDEX(DESPACHOS!$D$3:$D$3002,MATCH($C992,DESPACHOS!$B$3:$B$3002,0)),"SIN DESPACHO"))</f>
        <v/>
      </c>
      <c r="E992" s="42">
        <f>IF($C992="","",IFERROR(INDEX(DESPACHOS!$K$3:$K$3002,MATCH($C992,DESPACHOS!$B$3:$B$3002,0)),""))</f>
        <v/>
      </c>
      <c r="F992" s="42">
        <f>IF($C992="","",IFERROR(INDEX(DESPACHOS!$I$3:$I$3002,MATCH($C992,DESPACHOS!$B$3:$B$3002,0)),""))</f>
        <v/>
      </c>
      <c r="G992" s="42">
        <f>IF($C992="","",IFERROR(INDEX(DESPACHOS!$F$3:$F$3002,MATCH($C992,DESPACHOS!$B$3:$B$3002,0)),""))</f>
        <v/>
      </c>
      <c r="H992" s="42">
        <f>IF($C992="","",IFERROR(INDEX(DESPACHOS!$G$3:$G$3002,MATCH($C992,DESPACHOS!$B$3:$B$3002,0)),""))</f>
        <v/>
      </c>
      <c r="I992" s="39">
        <f>IF($C992="","",IFERROR(INDEX(DESPACHOS!$H$3:$H$3002,MATCH($C992,DESPACHOS!$B$3:$B$3002,0)),""))</f>
        <v/>
      </c>
      <c r="J992" s="43">
        <f>IF($C992="","",IFERROR(INDEX(DESPACHOS!$J$3:$J$3002,MATCH($C992,DESPACHOS!$B$3:$B$3002,0)),""))</f>
        <v/>
      </c>
      <c r="K992" s="39">
        <f>IF($C992="","",IF(COUNTIFS(DESPACHOS!$B$3:$B$3002,$C992)=0,"NO EXISTE",IF(COUNTIFS(DESPACHOS!$B$3:$B$3002,$C992)&gt;1,"DUPLICADO","OK")))</f>
        <v/>
      </c>
      <c r="L992" s="41" t="n"/>
      <c r="M992" s="41" t="n"/>
      <c r="N992" s="42">
        <f>IF($M992="","",IFERROR(INDEX(LISTAS!$F$3:$F$42,MATCH($M992,LISTAS!$E$3:$E$42,0)),"Por definir"))</f>
        <v/>
      </c>
      <c r="O992" s="41" t="n"/>
      <c r="P992" s="39">
        <f>IF($L992="","",IFERROR(INDEX(LISTAS!$B$3:$B$42,MATCH($L992,LISTAS!$A$3:$A$42,0)),"Media"))</f>
        <v/>
      </c>
      <c r="Q992" s="44" t="n"/>
      <c r="R992" s="45" t="n"/>
      <c r="S992" s="20">
        <f>IFERROR(IF(OR($R992="",$C992=""),"",$R992/INDEX(DESPACHOS!$M$3:$M$3002,MATCH($C992,DESPACHOS!$B$3:$B$3002,0))),"")</f>
        <v/>
      </c>
      <c r="T992" s="41" t="n"/>
      <c r="U992" s="43">
        <f>IF(OR($B992="",$L992=""),"",WORKDAY($B992,IFERROR(INDEX(LISTAS!$C$3:$C$42,MATCH($L992,LISTAS!$A$3:$A$42,0)),3)))</f>
        <v/>
      </c>
      <c r="V992" s="40" t="n"/>
      <c r="W992" s="19">
        <f>IF($B992="","",IF($V992&lt;&gt;"",$V992-$B992,TODAY()-$B992))</f>
        <v/>
      </c>
      <c r="X992" s="19">
        <f>IF(OR($B992="",$U992=""),"",IF($V992&lt;&gt;"",MAX(0,$V992-$U992),MAX(0,TODAY()-$U992)))</f>
        <v/>
      </c>
      <c r="Y992" s="39">
        <f>IF($C992="","",IF(IFERROR(INDEX(LISTAS!$I$3:$I$42,MATCH($T992,LISTAS!$H$3:$H$42,0)),"NO")="SÍ",IF(N($X992)&gt;0,"CERRADA FUERA DE SLA","CERRADA EN SLA"),IF($U992="","SIN CLASIFICAR",IF(N($X992)&gt;0,"VENCIDA",IF(TODAY()&gt;=$U992-1,"POR VENCER","EN PLAZO")))))</f>
        <v/>
      </c>
      <c r="Z992" s="41" t="n"/>
      <c r="AA992" s="41" t="n"/>
      <c r="AB992" s="41" t="n"/>
    </row>
    <row r="993">
      <c r="A993" s="39">
        <f>IF($C993="","","NOV-"&amp;TEXT(ROW()-3,"0000"))</f>
        <v/>
      </c>
      <c r="B993" s="40" t="n"/>
      <c r="C993" s="41" t="n"/>
      <c r="D993" s="42">
        <f>IF($C993="","",IFERROR(INDEX(DESPACHOS!$D$3:$D$3002,MATCH($C993,DESPACHOS!$B$3:$B$3002,0)),"SIN DESPACHO"))</f>
        <v/>
      </c>
      <c r="E993" s="42">
        <f>IF($C993="","",IFERROR(INDEX(DESPACHOS!$K$3:$K$3002,MATCH($C993,DESPACHOS!$B$3:$B$3002,0)),""))</f>
        <v/>
      </c>
      <c r="F993" s="42">
        <f>IF($C993="","",IFERROR(INDEX(DESPACHOS!$I$3:$I$3002,MATCH($C993,DESPACHOS!$B$3:$B$3002,0)),""))</f>
        <v/>
      </c>
      <c r="G993" s="42">
        <f>IF($C993="","",IFERROR(INDEX(DESPACHOS!$F$3:$F$3002,MATCH($C993,DESPACHOS!$B$3:$B$3002,0)),""))</f>
        <v/>
      </c>
      <c r="H993" s="42">
        <f>IF($C993="","",IFERROR(INDEX(DESPACHOS!$G$3:$G$3002,MATCH($C993,DESPACHOS!$B$3:$B$3002,0)),""))</f>
        <v/>
      </c>
      <c r="I993" s="39">
        <f>IF($C993="","",IFERROR(INDEX(DESPACHOS!$H$3:$H$3002,MATCH($C993,DESPACHOS!$B$3:$B$3002,0)),""))</f>
        <v/>
      </c>
      <c r="J993" s="43">
        <f>IF($C993="","",IFERROR(INDEX(DESPACHOS!$J$3:$J$3002,MATCH($C993,DESPACHOS!$B$3:$B$3002,0)),""))</f>
        <v/>
      </c>
      <c r="K993" s="39">
        <f>IF($C993="","",IF(COUNTIFS(DESPACHOS!$B$3:$B$3002,$C993)=0,"NO EXISTE",IF(COUNTIFS(DESPACHOS!$B$3:$B$3002,$C993)&gt;1,"DUPLICADO","OK")))</f>
        <v/>
      </c>
      <c r="L993" s="41" t="n"/>
      <c r="M993" s="41" t="n"/>
      <c r="N993" s="42">
        <f>IF($M993="","",IFERROR(INDEX(LISTAS!$F$3:$F$42,MATCH($M993,LISTAS!$E$3:$E$42,0)),"Por definir"))</f>
        <v/>
      </c>
      <c r="O993" s="41" t="n"/>
      <c r="P993" s="39">
        <f>IF($L993="","",IFERROR(INDEX(LISTAS!$B$3:$B$42,MATCH($L993,LISTAS!$A$3:$A$42,0)),"Media"))</f>
        <v/>
      </c>
      <c r="Q993" s="44" t="n"/>
      <c r="R993" s="45" t="n"/>
      <c r="S993" s="20">
        <f>IFERROR(IF(OR($R993="",$C993=""),"",$R993/INDEX(DESPACHOS!$M$3:$M$3002,MATCH($C993,DESPACHOS!$B$3:$B$3002,0))),"")</f>
        <v/>
      </c>
      <c r="T993" s="41" t="n"/>
      <c r="U993" s="43">
        <f>IF(OR($B993="",$L993=""),"",WORKDAY($B993,IFERROR(INDEX(LISTAS!$C$3:$C$42,MATCH($L993,LISTAS!$A$3:$A$42,0)),3)))</f>
        <v/>
      </c>
      <c r="V993" s="40" t="n"/>
      <c r="W993" s="19">
        <f>IF($B993="","",IF($V993&lt;&gt;"",$V993-$B993,TODAY()-$B993))</f>
        <v/>
      </c>
      <c r="X993" s="19">
        <f>IF(OR($B993="",$U993=""),"",IF($V993&lt;&gt;"",MAX(0,$V993-$U993),MAX(0,TODAY()-$U993)))</f>
        <v/>
      </c>
      <c r="Y993" s="39">
        <f>IF($C993="","",IF(IFERROR(INDEX(LISTAS!$I$3:$I$42,MATCH($T993,LISTAS!$H$3:$H$42,0)),"NO")="SÍ",IF(N($X993)&gt;0,"CERRADA FUERA DE SLA","CERRADA EN SLA"),IF($U993="","SIN CLASIFICAR",IF(N($X993)&gt;0,"VENCIDA",IF(TODAY()&gt;=$U993-1,"POR VENCER","EN PLAZO")))))</f>
        <v/>
      </c>
      <c r="Z993" s="41" t="n"/>
      <c r="AA993" s="41" t="n"/>
      <c r="AB993" s="41" t="n"/>
    </row>
    <row r="994">
      <c r="A994" s="39">
        <f>IF($C994="","","NOV-"&amp;TEXT(ROW()-3,"0000"))</f>
        <v/>
      </c>
      <c r="B994" s="40" t="n"/>
      <c r="C994" s="41" t="n"/>
      <c r="D994" s="42">
        <f>IF($C994="","",IFERROR(INDEX(DESPACHOS!$D$3:$D$3002,MATCH($C994,DESPACHOS!$B$3:$B$3002,0)),"SIN DESPACHO"))</f>
        <v/>
      </c>
      <c r="E994" s="42">
        <f>IF($C994="","",IFERROR(INDEX(DESPACHOS!$K$3:$K$3002,MATCH($C994,DESPACHOS!$B$3:$B$3002,0)),""))</f>
        <v/>
      </c>
      <c r="F994" s="42">
        <f>IF($C994="","",IFERROR(INDEX(DESPACHOS!$I$3:$I$3002,MATCH($C994,DESPACHOS!$B$3:$B$3002,0)),""))</f>
        <v/>
      </c>
      <c r="G994" s="42">
        <f>IF($C994="","",IFERROR(INDEX(DESPACHOS!$F$3:$F$3002,MATCH($C994,DESPACHOS!$B$3:$B$3002,0)),""))</f>
        <v/>
      </c>
      <c r="H994" s="42">
        <f>IF($C994="","",IFERROR(INDEX(DESPACHOS!$G$3:$G$3002,MATCH($C994,DESPACHOS!$B$3:$B$3002,0)),""))</f>
        <v/>
      </c>
      <c r="I994" s="39">
        <f>IF($C994="","",IFERROR(INDEX(DESPACHOS!$H$3:$H$3002,MATCH($C994,DESPACHOS!$B$3:$B$3002,0)),""))</f>
        <v/>
      </c>
      <c r="J994" s="43">
        <f>IF($C994="","",IFERROR(INDEX(DESPACHOS!$J$3:$J$3002,MATCH($C994,DESPACHOS!$B$3:$B$3002,0)),""))</f>
        <v/>
      </c>
      <c r="K994" s="39">
        <f>IF($C994="","",IF(COUNTIFS(DESPACHOS!$B$3:$B$3002,$C994)=0,"NO EXISTE",IF(COUNTIFS(DESPACHOS!$B$3:$B$3002,$C994)&gt;1,"DUPLICADO","OK")))</f>
        <v/>
      </c>
      <c r="L994" s="41" t="n"/>
      <c r="M994" s="41" t="n"/>
      <c r="N994" s="42">
        <f>IF($M994="","",IFERROR(INDEX(LISTAS!$F$3:$F$42,MATCH($M994,LISTAS!$E$3:$E$42,0)),"Por definir"))</f>
        <v/>
      </c>
      <c r="O994" s="41" t="n"/>
      <c r="P994" s="39">
        <f>IF($L994="","",IFERROR(INDEX(LISTAS!$B$3:$B$42,MATCH($L994,LISTAS!$A$3:$A$42,0)),"Media"))</f>
        <v/>
      </c>
      <c r="Q994" s="44" t="n"/>
      <c r="R994" s="45" t="n"/>
      <c r="S994" s="20">
        <f>IFERROR(IF(OR($R994="",$C994=""),"",$R994/INDEX(DESPACHOS!$M$3:$M$3002,MATCH($C994,DESPACHOS!$B$3:$B$3002,0))),"")</f>
        <v/>
      </c>
      <c r="T994" s="41" t="n"/>
      <c r="U994" s="43">
        <f>IF(OR($B994="",$L994=""),"",WORKDAY($B994,IFERROR(INDEX(LISTAS!$C$3:$C$42,MATCH($L994,LISTAS!$A$3:$A$42,0)),3)))</f>
        <v/>
      </c>
      <c r="V994" s="40" t="n"/>
      <c r="W994" s="19">
        <f>IF($B994="","",IF($V994&lt;&gt;"",$V994-$B994,TODAY()-$B994))</f>
        <v/>
      </c>
      <c r="X994" s="19">
        <f>IF(OR($B994="",$U994=""),"",IF($V994&lt;&gt;"",MAX(0,$V994-$U994),MAX(0,TODAY()-$U994)))</f>
        <v/>
      </c>
      <c r="Y994" s="39">
        <f>IF($C994="","",IF(IFERROR(INDEX(LISTAS!$I$3:$I$42,MATCH($T994,LISTAS!$H$3:$H$42,0)),"NO")="SÍ",IF(N($X994)&gt;0,"CERRADA FUERA DE SLA","CERRADA EN SLA"),IF($U994="","SIN CLASIFICAR",IF(N($X994)&gt;0,"VENCIDA",IF(TODAY()&gt;=$U994-1,"POR VENCER","EN PLAZO")))))</f>
        <v/>
      </c>
      <c r="Z994" s="41" t="n"/>
      <c r="AA994" s="41" t="n"/>
      <c r="AB994" s="41" t="n"/>
    </row>
    <row r="995">
      <c r="A995" s="39">
        <f>IF($C995="","","NOV-"&amp;TEXT(ROW()-3,"0000"))</f>
        <v/>
      </c>
      <c r="B995" s="40" t="n"/>
      <c r="C995" s="41" t="n"/>
      <c r="D995" s="42">
        <f>IF($C995="","",IFERROR(INDEX(DESPACHOS!$D$3:$D$3002,MATCH($C995,DESPACHOS!$B$3:$B$3002,0)),"SIN DESPACHO"))</f>
        <v/>
      </c>
      <c r="E995" s="42">
        <f>IF($C995="","",IFERROR(INDEX(DESPACHOS!$K$3:$K$3002,MATCH($C995,DESPACHOS!$B$3:$B$3002,0)),""))</f>
        <v/>
      </c>
      <c r="F995" s="42">
        <f>IF($C995="","",IFERROR(INDEX(DESPACHOS!$I$3:$I$3002,MATCH($C995,DESPACHOS!$B$3:$B$3002,0)),""))</f>
        <v/>
      </c>
      <c r="G995" s="42">
        <f>IF($C995="","",IFERROR(INDEX(DESPACHOS!$F$3:$F$3002,MATCH($C995,DESPACHOS!$B$3:$B$3002,0)),""))</f>
        <v/>
      </c>
      <c r="H995" s="42">
        <f>IF($C995="","",IFERROR(INDEX(DESPACHOS!$G$3:$G$3002,MATCH($C995,DESPACHOS!$B$3:$B$3002,0)),""))</f>
        <v/>
      </c>
      <c r="I995" s="39">
        <f>IF($C995="","",IFERROR(INDEX(DESPACHOS!$H$3:$H$3002,MATCH($C995,DESPACHOS!$B$3:$B$3002,0)),""))</f>
        <v/>
      </c>
      <c r="J995" s="43">
        <f>IF($C995="","",IFERROR(INDEX(DESPACHOS!$J$3:$J$3002,MATCH($C995,DESPACHOS!$B$3:$B$3002,0)),""))</f>
        <v/>
      </c>
      <c r="K995" s="39">
        <f>IF($C995="","",IF(COUNTIFS(DESPACHOS!$B$3:$B$3002,$C995)=0,"NO EXISTE",IF(COUNTIFS(DESPACHOS!$B$3:$B$3002,$C995)&gt;1,"DUPLICADO","OK")))</f>
        <v/>
      </c>
      <c r="L995" s="41" t="n"/>
      <c r="M995" s="41" t="n"/>
      <c r="N995" s="42">
        <f>IF($M995="","",IFERROR(INDEX(LISTAS!$F$3:$F$42,MATCH($M995,LISTAS!$E$3:$E$42,0)),"Por definir"))</f>
        <v/>
      </c>
      <c r="O995" s="41" t="n"/>
      <c r="P995" s="39">
        <f>IF($L995="","",IFERROR(INDEX(LISTAS!$B$3:$B$42,MATCH($L995,LISTAS!$A$3:$A$42,0)),"Media"))</f>
        <v/>
      </c>
      <c r="Q995" s="44" t="n"/>
      <c r="R995" s="45" t="n"/>
      <c r="S995" s="20">
        <f>IFERROR(IF(OR($R995="",$C995=""),"",$R995/INDEX(DESPACHOS!$M$3:$M$3002,MATCH($C995,DESPACHOS!$B$3:$B$3002,0))),"")</f>
        <v/>
      </c>
      <c r="T995" s="41" t="n"/>
      <c r="U995" s="43">
        <f>IF(OR($B995="",$L995=""),"",WORKDAY($B995,IFERROR(INDEX(LISTAS!$C$3:$C$42,MATCH($L995,LISTAS!$A$3:$A$42,0)),3)))</f>
        <v/>
      </c>
      <c r="V995" s="40" t="n"/>
      <c r="W995" s="19">
        <f>IF($B995="","",IF($V995&lt;&gt;"",$V995-$B995,TODAY()-$B995))</f>
        <v/>
      </c>
      <c r="X995" s="19">
        <f>IF(OR($B995="",$U995=""),"",IF($V995&lt;&gt;"",MAX(0,$V995-$U995),MAX(0,TODAY()-$U995)))</f>
        <v/>
      </c>
      <c r="Y995" s="39">
        <f>IF($C995="","",IF(IFERROR(INDEX(LISTAS!$I$3:$I$42,MATCH($T995,LISTAS!$H$3:$H$42,0)),"NO")="SÍ",IF(N($X995)&gt;0,"CERRADA FUERA DE SLA","CERRADA EN SLA"),IF($U995="","SIN CLASIFICAR",IF(N($X995)&gt;0,"VENCIDA",IF(TODAY()&gt;=$U995-1,"POR VENCER","EN PLAZO")))))</f>
        <v/>
      </c>
      <c r="Z995" s="41" t="n"/>
      <c r="AA995" s="41" t="n"/>
      <c r="AB995" s="41" t="n"/>
    </row>
    <row r="996">
      <c r="A996" s="39">
        <f>IF($C996="","","NOV-"&amp;TEXT(ROW()-3,"0000"))</f>
        <v/>
      </c>
      <c r="B996" s="40" t="n"/>
      <c r="C996" s="41" t="n"/>
      <c r="D996" s="42">
        <f>IF($C996="","",IFERROR(INDEX(DESPACHOS!$D$3:$D$3002,MATCH($C996,DESPACHOS!$B$3:$B$3002,0)),"SIN DESPACHO"))</f>
        <v/>
      </c>
      <c r="E996" s="42">
        <f>IF($C996="","",IFERROR(INDEX(DESPACHOS!$K$3:$K$3002,MATCH($C996,DESPACHOS!$B$3:$B$3002,0)),""))</f>
        <v/>
      </c>
      <c r="F996" s="42">
        <f>IF($C996="","",IFERROR(INDEX(DESPACHOS!$I$3:$I$3002,MATCH($C996,DESPACHOS!$B$3:$B$3002,0)),""))</f>
        <v/>
      </c>
      <c r="G996" s="42">
        <f>IF($C996="","",IFERROR(INDEX(DESPACHOS!$F$3:$F$3002,MATCH($C996,DESPACHOS!$B$3:$B$3002,0)),""))</f>
        <v/>
      </c>
      <c r="H996" s="42">
        <f>IF($C996="","",IFERROR(INDEX(DESPACHOS!$G$3:$G$3002,MATCH($C996,DESPACHOS!$B$3:$B$3002,0)),""))</f>
        <v/>
      </c>
      <c r="I996" s="39">
        <f>IF($C996="","",IFERROR(INDEX(DESPACHOS!$H$3:$H$3002,MATCH($C996,DESPACHOS!$B$3:$B$3002,0)),""))</f>
        <v/>
      </c>
      <c r="J996" s="43">
        <f>IF($C996="","",IFERROR(INDEX(DESPACHOS!$J$3:$J$3002,MATCH($C996,DESPACHOS!$B$3:$B$3002,0)),""))</f>
        <v/>
      </c>
      <c r="K996" s="39">
        <f>IF($C996="","",IF(COUNTIFS(DESPACHOS!$B$3:$B$3002,$C996)=0,"NO EXISTE",IF(COUNTIFS(DESPACHOS!$B$3:$B$3002,$C996)&gt;1,"DUPLICADO","OK")))</f>
        <v/>
      </c>
      <c r="L996" s="41" t="n"/>
      <c r="M996" s="41" t="n"/>
      <c r="N996" s="42">
        <f>IF($M996="","",IFERROR(INDEX(LISTAS!$F$3:$F$42,MATCH($M996,LISTAS!$E$3:$E$42,0)),"Por definir"))</f>
        <v/>
      </c>
      <c r="O996" s="41" t="n"/>
      <c r="P996" s="39">
        <f>IF($L996="","",IFERROR(INDEX(LISTAS!$B$3:$B$42,MATCH($L996,LISTAS!$A$3:$A$42,0)),"Media"))</f>
        <v/>
      </c>
      <c r="Q996" s="44" t="n"/>
      <c r="R996" s="45" t="n"/>
      <c r="S996" s="20">
        <f>IFERROR(IF(OR($R996="",$C996=""),"",$R996/INDEX(DESPACHOS!$M$3:$M$3002,MATCH($C996,DESPACHOS!$B$3:$B$3002,0))),"")</f>
        <v/>
      </c>
      <c r="T996" s="41" t="n"/>
      <c r="U996" s="43">
        <f>IF(OR($B996="",$L996=""),"",WORKDAY($B996,IFERROR(INDEX(LISTAS!$C$3:$C$42,MATCH($L996,LISTAS!$A$3:$A$42,0)),3)))</f>
        <v/>
      </c>
      <c r="V996" s="40" t="n"/>
      <c r="W996" s="19">
        <f>IF($B996="","",IF($V996&lt;&gt;"",$V996-$B996,TODAY()-$B996))</f>
        <v/>
      </c>
      <c r="X996" s="19">
        <f>IF(OR($B996="",$U996=""),"",IF($V996&lt;&gt;"",MAX(0,$V996-$U996),MAX(0,TODAY()-$U996)))</f>
        <v/>
      </c>
      <c r="Y996" s="39">
        <f>IF($C996="","",IF(IFERROR(INDEX(LISTAS!$I$3:$I$42,MATCH($T996,LISTAS!$H$3:$H$42,0)),"NO")="SÍ",IF(N($X996)&gt;0,"CERRADA FUERA DE SLA","CERRADA EN SLA"),IF($U996="","SIN CLASIFICAR",IF(N($X996)&gt;0,"VENCIDA",IF(TODAY()&gt;=$U996-1,"POR VENCER","EN PLAZO")))))</f>
        <v/>
      </c>
      <c r="Z996" s="41" t="n"/>
      <c r="AA996" s="41" t="n"/>
      <c r="AB996" s="41" t="n"/>
    </row>
    <row r="997">
      <c r="A997" s="39">
        <f>IF($C997="","","NOV-"&amp;TEXT(ROW()-3,"0000"))</f>
        <v/>
      </c>
      <c r="B997" s="40" t="n"/>
      <c r="C997" s="41" t="n"/>
      <c r="D997" s="42">
        <f>IF($C997="","",IFERROR(INDEX(DESPACHOS!$D$3:$D$3002,MATCH($C997,DESPACHOS!$B$3:$B$3002,0)),"SIN DESPACHO"))</f>
        <v/>
      </c>
      <c r="E997" s="42">
        <f>IF($C997="","",IFERROR(INDEX(DESPACHOS!$K$3:$K$3002,MATCH($C997,DESPACHOS!$B$3:$B$3002,0)),""))</f>
        <v/>
      </c>
      <c r="F997" s="42">
        <f>IF($C997="","",IFERROR(INDEX(DESPACHOS!$I$3:$I$3002,MATCH($C997,DESPACHOS!$B$3:$B$3002,0)),""))</f>
        <v/>
      </c>
      <c r="G997" s="42">
        <f>IF($C997="","",IFERROR(INDEX(DESPACHOS!$F$3:$F$3002,MATCH($C997,DESPACHOS!$B$3:$B$3002,0)),""))</f>
        <v/>
      </c>
      <c r="H997" s="42">
        <f>IF($C997="","",IFERROR(INDEX(DESPACHOS!$G$3:$G$3002,MATCH($C997,DESPACHOS!$B$3:$B$3002,0)),""))</f>
        <v/>
      </c>
      <c r="I997" s="39">
        <f>IF($C997="","",IFERROR(INDEX(DESPACHOS!$H$3:$H$3002,MATCH($C997,DESPACHOS!$B$3:$B$3002,0)),""))</f>
        <v/>
      </c>
      <c r="J997" s="43">
        <f>IF($C997="","",IFERROR(INDEX(DESPACHOS!$J$3:$J$3002,MATCH($C997,DESPACHOS!$B$3:$B$3002,0)),""))</f>
        <v/>
      </c>
      <c r="K997" s="39">
        <f>IF($C997="","",IF(COUNTIFS(DESPACHOS!$B$3:$B$3002,$C997)=0,"NO EXISTE",IF(COUNTIFS(DESPACHOS!$B$3:$B$3002,$C997)&gt;1,"DUPLICADO","OK")))</f>
        <v/>
      </c>
      <c r="L997" s="41" t="n"/>
      <c r="M997" s="41" t="n"/>
      <c r="N997" s="42">
        <f>IF($M997="","",IFERROR(INDEX(LISTAS!$F$3:$F$42,MATCH($M997,LISTAS!$E$3:$E$42,0)),"Por definir"))</f>
        <v/>
      </c>
      <c r="O997" s="41" t="n"/>
      <c r="P997" s="39">
        <f>IF($L997="","",IFERROR(INDEX(LISTAS!$B$3:$B$42,MATCH($L997,LISTAS!$A$3:$A$42,0)),"Media"))</f>
        <v/>
      </c>
      <c r="Q997" s="44" t="n"/>
      <c r="R997" s="45" t="n"/>
      <c r="S997" s="20">
        <f>IFERROR(IF(OR($R997="",$C997=""),"",$R997/INDEX(DESPACHOS!$M$3:$M$3002,MATCH($C997,DESPACHOS!$B$3:$B$3002,0))),"")</f>
        <v/>
      </c>
      <c r="T997" s="41" t="n"/>
      <c r="U997" s="43">
        <f>IF(OR($B997="",$L997=""),"",WORKDAY($B997,IFERROR(INDEX(LISTAS!$C$3:$C$42,MATCH($L997,LISTAS!$A$3:$A$42,0)),3)))</f>
        <v/>
      </c>
      <c r="V997" s="40" t="n"/>
      <c r="W997" s="19">
        <f>IF($B997="","",IF($V997&lt;&gt;"",$V997-$B997,TODAY()-$B997))</f>
        <v/>
      </c>
      <c r="X997" s="19">
        <f>IF(OR($B997="",$U997=""),"",IF($V997&lt;&gt;"",MAX(0,$V997-$U997),MAX(0,TODAY()-$U997)))</f>
        <v/>
      </c>
      <c r="Y997" s="39">
        <f>IF($C997="","",IF(IFERROR(INDEX(LISTAS!$I$3:$I$42,MATCH($T997,LISTAS!$H$3:$H$42,0)),"NO")="SÍ",IF(N($X997)&gt;0,"CERRADA FUERA DE SLA","CERRADA EN SLA"),IF($U997="","SIN CLASIFICAR",IF(N($X997)&gt;0,"VENCIDA",IF(TODAY()&gt;=$U997-1,"POR VENCER","EN PLAZO")))))</f>
        <v/>
      </c>
      <c r="Z997" s="41" t="n"/>
      <c r="AA997" s="41" t="n"/>
      <c r="AB997" s="41" t="n"/>
    </row>
    <row r="998">
      <c r="A998" s="39">
        <f>IF($C998="","","NOV-"&amp;TEXT(ROW()-3,"0000"))</f>
        <v/>
      </c>
      <c r="B998" s="40" t="n"/>
      <c r="C998" s="41" t="n"/>
      <c r="D998" s="42">
        <f>IF($C998="","",IFERROR(INDEX(DESPACHOS!$D$3:$D$3002,MATCH($C998,DESPACHOS!$B$3:$B$3002,0)),"SIN DESPACHO"))</f>
        <v/>
      </c>
      <c r="E998" s="42">
        <f>IF($C998="","",IFERROR(INDEX(DESPACHOS!$K$3:$K$3002,MATCH($C998,DESPACHOS!$B$3:$B$3002,0)),""))</f>
        <v/>
      </c>
      <c r="F998" s="42">
        <f>IF($C998="","",IFERROR(INDEX(DESPACHOS!$I$3:$I$3002,MATCH($C998,DESPACHOS!$B$3:$B$3002,0)),""))</f>
        <v/>
      </c>
      <c r="G998" s="42">
        <f>IF($C998="","",IFERROR(INDEX(DESPACHOS!$F$3:$F$3002,MATCH($C998,DESPACHOS!$B$3:$B$3002,0)),""))</f>
        <v/>
      </c>
      <c r="H998" s="42">
        <f>IF($C998="","",IFERROR(INDEX(DESPACHOS!$G$3:$G$3002,MATCH($C998,DESPACHOS!$B$3:$B$3002,0)),""))</f>
        <v/>
      </c>
      <c r="I998" s="39">
        <f>IF($C998="","",IFERROR(INDEX(DESPACHOS!$H$3:$H$3002,MATCH($C998,DESPACHOS!$B$3:$B$3002,0)),""))</f>
        <v/>
      </c>
      <c r="J998" s="43">
        <f>IF($C998="","",IFERROR(INDEX(DESPACHOS!$J$3:$J$3002,MATCH($C998,DESPACHOS!$B$3:$B$3002,0)),""))</f>
        <v/>
      </c>
      <c r="K998" s="39">
        <f>IF($C998="","",IF(COUNTIFS(DESPACHOS!$B$3:$B$3002,$C998)=0,"NO EXISTE",IF(COUNTIFS(DESPACHOS!$B$3:$B$3002,$C998)&gt;1,"DUPLICADO","OK")))</f>
        <v/>
      </c>
      <c r="L998" s="41" t="n"/>
      <c r="M998" s="41" t="n"/>
      <c r="N998" s="42">
        <f>IF($M998="","",IFERROR(INDEX(LISTAS!$F$3:$F$42,MATCH($M998,LISTAS!$E$3:$E$42,0)),"Por definir"))</f>
        <v/>
      </c>
      <c r="O998" s="41" t="n"/>
      <c r="P998" s="39">
        <f>IF($L998="","",IFERROR(INDEX(LISTAS!$B$3:$B$42,MATCH($L998,LISTAS!$A$3:$A$42,0)),"Media"))</f>
        <v/>
      </c>
      <c r="Q998" s="44" t="n"/>
      <c r="R998" s="45" t="n"/>
      <c r="S998" s="20">
        <f>IFERROR(IF(OR($R998="",$C998=""),"",$R998/INDEX(DESPACHOS!$M$3:$M$3002,MATCH($C998,DESPACHOS!$B$3:$B$3002,0))),"")</f>
        <v/>
      </c>
      <c r="T998" s="41" t="n"/>
      <c r="U998" s="43">
        <f>IF(OR($B998="",$L998=""),"",WORKDAY($B998,IFERROR(INDEX(LISTAS!$C$3:$C$42,MATCH($L998,LISTAS!$A$3:$A$42,0)),3)))</f>
        <v/>
      </c>
      <c r="V998" s="40" t="n"/>
      <c r="W998" s="19">
        <f>IF($B998="","",IF($V998&lt;&gt;"",$V998-$B998,TODAY()-$B998))</f>
        <v/>
      </c>
      <c r="X998" s="19">
        <f>IF(OR($B998="",$U998=""),"",IF($V998&lt;&gt;"",MAX(0,$V998-$U998),MAX(0,TODAY()-$U998)))</f>
        <v/>
      </c>
      <c r="Y998" s="39">
        <f>IF($C998="","",IF(IFERROR(INDEX(LISTAS!$I$3:$I$42,MATCH($T998,LISTAS!$H$3:$H$42,0)),"NO")="SÍ",IF(N($X998)&gt;0,"CERRADA FUERA DE SLA","CERRADA EN SLA"),IF($U998="","SIN CLASIFICAR",IF(N($X998)&gt;0,"VENCIDA",IF(TODAY()&gt;=$U998-1,"POR VENCER","EN PLAZO")))))</f>
        <v/>
      </c>
      <c r="Z998" s="41" t="n"/>
      <c r="AA998" s="41" t="n"/>
      <c r="AB998" s="41" t="n"/>
    </row>
    <row r="999">
      <c r="A999" s="39">
        <f>IF($C999="","","NOV-"&amp;TEXT(ROW()-3,"0000"))</f>
        <v/>
      </c>
      <c r="B999" s="40" t="n"/>
      <c r="C999" s="41" t="n"/>
      <c r="D999" s="42">
        <f>IF($C999="","",IFERROR(INDEX(DESPACHOS!$D$3:$D$3002,MATCH($C999,DESPACHOS!$B$3:$B$3002,0)),"SIN DESPACHO"))</f>
        <v/>
      </c>
      <c r="E999" s="42">
        <f>IF($C999="","",IFERROR(INDEX(DESPACHOS!$K$3:$K$3002,MATCH($C999,DESPACHOS!$B$3:$B$3002,0)),""))</f>
        <v/>
      </c>
      <c r="F999" s="42">
        <f>IF($C999="","",IFERROR(INDEX(DESPACHOS!$I$3:$I$3002,MATCH($C999,DESPACHOS!$B$3:$B$3002,0)),""))</f>
        <v/>
      </c>
      <c r="G999" s="42">
        <f>IF($C999="","",IFERROR(INDEX(DESPACHOS!$F$3:$F$3002,MATCH($C999,DESPACHOS!$B$3:$B$3002,0)),""))</f>
        <v/>
      </c>
      <c r="H999" s="42">
        <f>IF($C999="","",IFERROR(INDEX(DESPACHOS!$G$3:$G$3002,MATCH($C999,DESPACHOS!$B$3:$B$3002,0)),""))</f>
        <v/>
      </c>
      <c r="I999" s="39">
        <f>IF($C999="","",IFERROR(INDEX(DESPACHOS!$H$3:$H$3002,MATCH($C999,DESPACHOS!$B$3:$B$3002,0)),""))</f>
        <v/>
      </c>
      <c r="J999" s="43">
        <f>IF($C999="","",IFERROR(INDEX(DESPACHOS!$J$3:$J$3002,MATCH($C999,DESPACHOS!$B$3:$B$3002,0)),""))</f>
        <v/>
      </c>
      <c r="K999" s="39">
        <f>IF($C999="","",IF(COUNTIFS(DESPACHOS!$B$3:$B$3002,$C999)=0,"NO EXISTE",IF(COUNTIFS(DESPACHOS!$B$3:$B$3002,$C999)&gt;1,"DUPLICADO","OK")))</f>
        <v/>
      </c>
      <c r="L999" s="41" t="n"/>
      <c r="M999" s="41" t="n"/>
      <c r="N999" s="42">
        <f>IF($M999="","",IFERROR(INDEX(LISTAS!$F$3:$F$42,MATCH($M999,LISTAS!$E$3:$E$42,0)),"Por definir"))</f>
        <v/>
      </c>
      <c r="O999" s="41" t="n"/>
      <c r="P999" s="39">
        <f>IF($L999="","",IFERROR(INDEX(LISTAS!$B$3:$B$42,MATCH($L999,LISTAS!$A$3:$A$42,0)),"Media"))</f>
        <v/>
      </c>
      <c r="Q999" s="44" t="n"/>
      <c r="R999" s="45" t="n"/>
      <c r="S999" s="20">
        <f>IFERROR(IF(OR($R999="",$C999=""),"",$R999/INDEX(DESPACHOS!$M$3:$M$3002,MATCH($C999,DESPACHOS!$B$3:$B$3002,0))),"")</f>
        <v/>
      </c>
      <c r="T999" s="41" t="n"/>
      <c r="U999" s="43">
        <f>IF(OR($B999="",$L999=""),"",WORKDAY($B999,IFERROR(INDEX(LISTAS!$C$3:$C$42,MATCH($L999,LISTAS!$A$3:$A$42,0)),3)))</f>
        <v/>
      </c>
      <c r="V999" s="40" t="n"/>
      <c r="W999" s="19">
        <f>IF($B999="","",IF($V999&lt;&gt;"",$V999-$B999,TODAY()-$B999))</f>
        <v/>
      </c>
      <c r="X999" s="19">
        <f>IF(OR($B999="",$U999=""),"",IF($V999&lt;&gt;"",MAX(0,$V999-$U999),MAX(0,TODAY()-$U999)))</f>
        <v/>
      </c>
      <c r="Y999" s="39">
        <f>IF($C999="","",IF(IFERROR(INDEX(LISTAS!$I$3:$I$42,MATCH($T999,LISTAS!$H$3:$H$42,0)),"NO")="SÍ",IF(N($X999)&gt;0,"CERRADA FUERA DE SLA","CERRADA EN SLA"),IF($U999="","SIN CLASIFICAR",IF(N($X999)&gt;0,"VENCIDA",IF(TODAY()&gt;=$U999-1,"POR VENCER","EN PLAZO")))))</f>
        <v/>
      </c>
      <c r="Z999" s="41" t="n"/>
      <c r="AA999" s="41" t="n"/>
      <c r="AB999" s="41" t="n"/>
    </row>
    <row r="1000">
      <c r="A1000" s="39">
        <f>IF($C1000="","","NOV-"&amp;TEXT(ROW()-3,"0000"))</f>
        <v/>
      </c>
      <c r="B1000" s="40" t="n"/>
      <c r="C1000" s="41" t="n"/>
      <c r="D1000" s="42">
        <f>IF($C1000="","",IFERROR(INDEX(DESPACHOS!$D$3:$D$3002,MATCH($C1000,DESPACHOS!$B$3:$B$3002,0)),"SIN DESPACHO"))</f>
        <v/>
      </c>
      <c r="E1000" s="42">
        <f>IF($C1000="","",IFERROR(INDEX(DESPACHOS!$K$3:$K$3002,MATCH($C1000,DESPACHOS!$B$3:$B$3002,0)),""))</f>
        <v/>
      </c>
      <c r="F1000" s="42">
        <f>IF($C1000="","",IFERROR(INDEX(DESPACHOS!$I$3:$I$3002,MATCH($C1000,DESPACHOS!$B$3:$B$3002,0)),""))</f>
        <v/>
      </c>
      <c r="G1000" s="42">
        <f>IF($C1000="","",IFERROR(INDEX(DESPACHOS!$F$3:$F$3002,MATCH($C1000,DESPACHOS!$B$3:$B$3002,0)),""))</f>
        <v/>
      </c>
      <c r="H1000" s="42">
        <f>IF($C1000="","",IFERROR(INDEX(DESPACHOS!$G$3:$G$3002,MATCH($C1000,DESPACHOS!$B$3:$B$3002,0)),""))</f>
        <v/>
      </c>
      <c r="I1000" s="39">
        <f>IF($C1000="","",IFERROR(INDEX(DESPACHOS!$H$3:$H$3002,MATCH($C1000,DESPACHOS!$B$3:$B$3002,0)),""))</f>
        <v/>
      </c>
      <c r="J1000" s="43">
        <f>IF($C1000="","",IFERROR(INDEX(DESPACHOS!$J$3:$J$3002,MATCH($C1000,DESPACHOS!$B$3:$B$3002,0)),""))</f>
        <v/>
      </c>
      <c r="K1000" s="39">
        <f>IF($C1000="","",IF(COUNTIFS(DESPACHOS!$B$3:$B$3002,$C1000)=0,"NO EXISTE",IF(COUNTIFS(DESPACHOS!$B$3:$B$3002,$C1000)&gt;1,"DUPLICADO","OK")))</f>
        <v/>
      </c>
      <c r="L1000" s="41" t="n"/>
      <c r="M1000" s="41" t="n"/>
      <c r="N1000" s="42">
        <f>IF($M1000="","",IFERROR(INDEX(LISTAS!$F$3:$F$42,MATCH($M1000,LISTAS!$E$3:$E$42,0)),"Por definir"))</f>
        <v/>
      </c>
      <c r="O1000" s="41" t="n"/>
      <c r="P1000" s="39">
        <f>IF($L1000="","",IFERROR(INDEX(LISTAS!$B$3:$B$42,MATCH($L1000,LISTAS!$A$3:$A$42,0)),"Media"))</f>
        <v/>
      </c>
      <c r="Q1000" s="44" t="n"/>
      <c r="R1000" s="45" t="n"/>
      <c r="S1000" s="20">
        <f>IFERROR(IF(OR($R1000="",$C1000=""),"",$R1000/INDEX(DESPACHOS!$M$3:$M$3002,MATCH($C1000,DESPACHOS!$B$3:$B$3002,0))),"")</f>
        <v/>
      </c>
      <c r="T1000" s="41" t="n"/>
      <c r="U1000" s="43">
        <f>IF(OR($B1000="",$L1000=""),"",WORKDAY($B1000,IFERROR(INDEX(LISTAS!$C$3:$C$42,MATCH($L1000,LISTAS!$A$3:$A$42,0)),3)))</f>
        <v/>
      </c>
      <c r="V1000" s="40" t="n"/>
      <c r="W1000" s="19">
        <f>IF($B1000="","",IF($V1000&lt;&gt;"",$V1000-$B1000,TODAY()-$B1000))</f>
        <v/>
      </c>
      <c r="X1000" s="19">
        <f>IF(OR($B1000="",$U1000=""),"",IF($V1000&lt;&gt;"",MAX(0,$V1000-$U1000),MAX(0,TODAY()-$U1000)))</f>
        <v/>
      </c>
      <c r="Y1000" s="39">
        <f>IF($C1000="","",IF(IFERROR(INDEX(LISTAS!$I$3:$I$42,MATCH($T1000,LISTAS!$H$3:$H$42,0)),"NO")="SÍ",IF(N($X1000)&gt;0,"CERRADA FUERA DE SLA","CERRADA EN SLA"),IF($U1000="","SIN CLASIFICAR",IF(N($X1000)&gt;0,"VENCIDA",IF(TODAY()&gt;=$U1000-1,"POR VENCER","EN PLAZO")))))</f>
        <v/>
      </c>
      <c r="Z1000" s="41" t="n"/>
      <c r="AA1000" s="41" t="n"/>
      <c r="AB1000" s="41" t="n"/>
    </row>
    <row r="1001">
      <c r="A1001" s="39">
        <f>IF($C1001="","","NOV-"&amp;TEXT(ROW()-3,"0000"))</f>
        <v/>
      </c>
      <c r="B1001" s="40" t="n"/>
      <c r="C1001" s="41" t="n"/>
      <c r="D1001" s="42">
        <f>IF($C1001="","",IFERROR(INDEX(DESPACHOS!$D$3:$D$3002,MATCH($C1001,DESPACHOS!$B$3:$B$3002,0)),"SIN DESPACHO"))</f>
        <v/>
      </c>
      <c r="E1001" s="42">
        <f>IF($C1001="","",IFERROR(INDEX(DESPACHOS!$K$3:$K$3002,MATCH($C1001,DESPACHOS!$B$3:$B$3002,0)),""))</f>
        <v/>
      </c>
      <c r="F1001" s="42">
        <f>IF($C1001="","",IFERROR(INDEX(DESPACHOS!$I$3:$I$3002,MATCH($C1001,DESPACHOS!$B$3:$B$3002,0)),""))</f>
        <v/>
      </c>
      <c r="G1001" s="42">
        <f>IF($C1001="","",IFERROR(INDEX(DESPACHOS!$F$3:$F$3002,MATCH($C1001,DESPACHOS!$B$3:$B$3002,0)),""))</f>
        <v/>
      </c>
      <c r="H1001" s="42">
        <f>IF($C1001="","",IFERROR(INDEX(DESPACHOS!$G$3:$G$3002,MATCH($C1001,DESPACHOS!$B$3:$B$3002,0)),""))</f>
        <v/>
      </c>
      <c r="I1001" s="39">
        <f>IF($C1001="","",IFERROR(INDEX(DESPACHOS!$H$3:$H$3002,MATCH($C1001,DESPACHOS!$B$3:$B$3002,0)),""))</f>
        <v/>
      </c>
      <c r="J1001" s="43">
        <f>IF($C1001="","",IFERROR(INDEX(DESPACHOS!$J$3:$J$3002,MATCH($C1001,DESPACHOS!$B$3:$B$3002,0)),""))</f>
        <v/>
      </c>
      <c r="K1001" s="39">
        <f>IF($C1001="","",IF(COUNTIFS(DESPACHOS!$B$3:$B$3002,$C1001)=0,"NO EXISTE",IF(COUNTIFS(DESPACHOS!$B$3:$B$3002,$C1001)&gt;1,"DUPLICADO","OK")))</f>
        <v/>
      </c>
      <c r="L1001" s="41" t="n"/>
      <c r="M1001" s="41" t="n"/>
      <c r="N1001" s="42">
        <f>IF($M1001="","",IFERROR(INDEX(LISTAS!$F$3:$F$42,MATCH($M1001,LISTAS!$E$3:$E$42,0)),"Por definir"))</f>
        <v/>
      </c>
      <c r="O1001" s="41" t="n"/>
      <c r="P1001" s="39">
        <f>IF($L1001="","",IFERROR(INDEX(LISTAS!$B$3:$B$42,MATCH($L1001,LISTAS!$A$3:$A$42,0)),"Media"))</f>
        <v/>
      </c>
      <c r="Q1001" s="44" t="n"/>
      <c r="R1001" s="45" t="n"/>
      <c r="S1001" s="20">
        <f>IFERROR(IF(OR($R1001="",$C1001=""),"",$R1001/INDEX(DESPACHOS!$M$3:$M$3002,MATCH($C1001,DESPACHOS!$B$3:$B$3002,0))),"")</f>
        <v/>
      </c>
      <c r="T1001" s="41" t="n"/>
      <c r="U1001" s="43">
        <f>IF(OR($B1001="",$L1001=""),"",WORKDAY($B1001,IFERROR(INDEX(LISTAS!$C$3:$C$42,MATCH($L1001,LISTAS!$A$3:$A$42,0)),3)))</f>
        <v/>
      </c>
      <c r="V1001" s="40" t="n"/>
      <c r="W1001" s="19">
        <f>IF($B1001="","",IF($V1001&lt;&gt;"",$V1001-$B1001,TODAY()-$B1001))</f>
        <v/>
      </c>
      <c r="X1001" s="19">
        <f>IF(OR($B1001="",$U1001=""),"",IF($V1001&lt;&gt;"",MAX(0,$V1001-$U1001),MAX(0,TODAY()-$U1001)))</f>
        <v/>
      </c>
      <c r="Y1001" s="39">
        <f>IF($C1001="","",IF(IFERROR(INDEX(LISTAS!$I$3:$I$42,MATCH($T1001,LISTAS!$H$3:$H$42,0)),"NO")="SÍ",IF(N($X1001)&gt;0,"CERRADA FUERA DE SLA","CERRADA EN SLA"),IF($U1001="","SIN CLASIFICAR",IF(N($X1001)&gt;0,"VENCIDA",IF(TODAY()&gt;=$U1001-1,"POR VENCER","EN PLAZO")))))</f>
        <v/>
      </c>
      <c r="Z1001" s="41" t="n"/>
      <c r="AA1001" s="41" t="n"/>
      <c r="AB1001" s="41" t="n"/>
    </row>
    <row r="1002">
      <c r="A1002" s="39">
        <f>IF($C1002="","","NOV-"&amp;TEXT(ROW()-3,"0000"))</f>
        <v/>
      </c>
      <c r="B1002" s="40" t="n"/>
      <c r="C1002" s="41" t="n"/>
      <c r="D1002" s="42">
        <f>IF($C1002="","",IFERROR(INDEX(DESPACHOS!$D$3:$D$3002,MATCH($C1002,DESPACHOS!$B$3:$B$3002,0)),"SIN DESPACHO"))</f>
        <v/>
      </c>
      <c r="E1002" s="42">
        <f>IF($C1002="","",IFERROR(INDEX(DESPACHOS!$K$3:$K$3002,MATCH($C1002,DESPACHOS!$B$3:$B$3002,0)),""))</f>
        <v/>
      </c>
      <c r="F1002" s="42">
        <f>IF($C1002="","",IFERROR(INDEX(DESPACHOS!$I$3:$I$3002,MATCH($C1002,DESPACHOS!$B$3:$B$3002,0)),""))</f>
        <v/>
      </c>
      <c r="G1002" s="42">
        <f>IF($C1002="","",IFERROR(INDEX(DESPACHOS!$F$3:$F$3002,MATCH($C1002,DESPACHOS!$B$3:$B$3002,0)),""))</f>
        <v/>
      </c>
      <c r="H1002" s="42">
        <f>IF($C1002="","",IFERROR(INDEX(DESPACHOS!$G$3:$G$3002,MATCH($C1002,DESPACHOS!$B$3:$B$3002,0)),""))</f>
        <v/>
      </c>
      <c r="I1002" s="39">
        <f>IF($C1002="","",IFERROR(INDEX(DESPACHOS!$H$3:$H$3002,MATCH($C1002,DESPACHOS!$B$3:$B$3002,0)),""))</f>
        <v/>
      </c>
      <c r="J1002" s="43">
        <f>IF($C1002="","",IFERROR(INDEX(DESPACHOS!$J$3:$J$3002,MATCH($C1002,DESPACHOS!$B$3:$B$3002,0)),""))</f>
        <v/>
      </c>
      <c r="K1002" s="39">
        <f>IF($C1002="","",IF(COUNTIFS(DESPACHOS!$B$3:$B$3002,$C1002)=0,"NO EXISTE",IF(COUNTIFS(DESPACHOS!$B$3:$B$3002,$C1002)&gt;1,"DUPLICADO","OK")))</f>
        <v/>
      </c>
      <c r="L1002" s="41" t="n"/>
      <c r="M1002" s="41" t="n"/>
      <c r="N1002" s="42">
        <f>IF($M1002="","",IFERROR(INDEX(LISTAS!$F$3:$F$42,MATCH($M1002,LISTAS!$E$3:$E$42,0)),"Por definir"))</f>
        <v/>
      </c>
      <c r="O1002" s="41" t="n"/>
      <c r="P1002" s="39">
        <f>IF($L1002="","",IFERROR(INDEX(LISTAS!$B$3:$B$42,MATCH($L1002,LISTAS!$A$3:$A$42,0)),"Media"))</f>
        <v/>
      </c>
      <c r="Q1002" s="44" t="n"/>
      <c r="R1002" s="45" t="n"/>
      <c r="S1002" s="20">
        <f>IFERROR(IF(OR($R1002="",$C1002=""),"",$R1002/INDEX(DESPACHOS!$M$3:$M$3002,MATCH($C1002,DESPACHOS!$B$3:$B$3002,0))),"")</f>
        <v/>
      </c>
      <c r="T1002" s="41" t="n"/>
      <c r="U1002" s="43">
        <f>IF(OR($B1002="",$L1002=""),"",WORKDAY($B1002,IFERROR(INDEX(LISTAS!$C$3:$C$42,MATCH($L1002,LISTAS!$A$3:$A$42,0)),3)))</f>
        <v/>
      </c>
      <c r="V1002" s="40" t="n"/>
      <c r="W1002" s="19">
        <f>IF($B1002="","",IF($V1002&lt;&gt;"",$V1002-$B1002,TODAY()-$B1002))</f>
        <v/>
      </c>
      <c r="X1002" s="19">
        <f>IF(OR($B1002="",$U1002=""),"",IF($V1002&lt;&gt;"",MAX(0,$V1002-$U1002),MAX(0,TODAY()-$U1002)))</f>
        <v/>
      </c>
      <c r="Y1002" s="39">
        <f>IF($C1002="","",IF(IFERROR(INDEX(LISTAS!$I$3:$I$42,MATCH($T1002,LISTAS!$H$3:$H$42,0)),"NO")="SÍ",IF(N($X1002)&gt;0,"CERRADA FUERA DE SLA","CERRADA EN SLA"),IF($U1002="","SIN CLASIFICAR",IF(N($X1002)&gt;0,"VENCIDA",IF(TODAY()&gt;=$U1002-1,"POR VENCER","EN PLAZO")))))</f>
        <v/>
      </c>
      <c r="Z1002" s="41" t="n"/>
      <c r="AA1002" s="41" t="n"/>
      <c r="AB1002" s="41" t="n"/>
    </row>
    <row r="1003">
      <c r="A1003" s="39">
        <f>IF($C1003="","","NOV-"&amp;TEXT(ROW()-3,"0000"))</f>
        <v/>
      </c>
      <c r="B1003" s="40" t="n"/>
      <c r="C1003" s="41" t="n"/>
      <c r="D1003" s="42">
        <f>IF($C1003="","",IFERROR(INDEX(DESPACHOS!$D$3:$D$3002,MATCH($C1003,DESPACHOS!$B$3:$B$3002,0)),"SIN DESPACHO"))</f>
        <v/>
      </c>
      <c r="E1003" s="42">
        <f>IF($C1003="","",IFERROR(INDEX(DESPACHOS!$K$3:$K$3002,MATCH($C1003,DESPACHOS!$B$3:$B$3002,0)),""))</f>
        <v/>
      </c>
      <c r="F1003" s="42">
        <f>IF($C1003="","",IFERROR(INDEX(DESPACHOS!$I$3:$I$3002,MATCH($C1003,DESPACHOS!$B$3:$B$3002,0)),""))</f>
        <v/>
      </c>
      <c r="G1003" s="42">
        <f>IF($C1003="","",IFERROR(INDEX(DESPACHOS!$F$3:$F$3002,MATCH($C1003,DESPACHOS!$B$3:$B$3002,0)),""))</f>
        <v/>
      </c>
      <c r="H1003" s="42">
        <f>IF($C1003="","",IFERROR(INDEX(DESPACHOS!$G$3:$G$3002,MATCH($C1003,DESPACHOS!$B$3:$B$3002,0)),""))</f>
        <v/>
      </c>
      <c r="I1003" s="39">
        <f>IF($C1003="","",IFERROR(INDEX(DESPACHOS!$H$3:$H$3002,MATCH($C1003,DESPACHOS!$B$3:$B$3002,0)),""))</f>
        <v/>
      </c>
      <c r="J1003" s="43">
        <f>IF($C1003="","",IFERROR(INDEX(DESPACHOS!$J$3:$J$3002,MATCH($C1003,DESPACHOS!$B$3:$B$3002,0)),""))</f>
        <v/>
      </c>
      <c r="K1003" s="39">
        <f>IF($C1003="","",IF(COUNTIFS(DESPACHOS!$B$3:$B$3002,$C1003)=0,"NO EXISTE",IF(COUNTIFS(DESPACHOS!$B$3:$B$3002,$C1003)&gt;1,"DUPLICADO","OK")))</f>
        <v/>
      </c>
      <c r="L1003" s="41" t="n"/>
      <c r="M1003" s="41" t="n"/>
      <c r="N1003" s="42">
        <f>IF($M1003="","",IFERROR(INDEX(LISTAS!$F$3:$F$42,MATCH($M1003,LISTAS!$E$3:$E$42,0)),"Por definir"))</f>
        <v/>
      </c>
      <c r="O1003" s="41" t="n"/>
      <c r="P1003" s="39">
        <f>IF($L1003="","",IFERROR(INDEX(LISTAS!$B$3:$B$42,MATCH($L1003,LISTAS!$A$3:$A$42,0)),"Media"))</f>
        <v/>
      </c>
      <c r="Q1003" s="44" t="n"/>
      <c r="R1003" s="45" t="n"/>
      <c r="S1003" s="20">
        <f>IFERROR(IF(OR($R1003="",$C1003=""),"",$R1003/INDEX(DESPACHOS!$M$3:$M$3002,MATCH($C1003,DESPACHOS!$B$3:$B$3002,0))),"")</f>
        <v/>
      </c>
      <c r="T1003" s="41" t="n"/>
      <c r="U1003" s="43">
        <f>IF(OR($B1003="",$L1003=""),"",WORKDAY($B1003,IFERROR(INDEX(LISTAS!$C$3:$C$42,MATCH($L1003,LISTAS!$A$3:$A$42,0)),3)))</f>
        <v/>
      </c>
      <c r="V1003" s="40" t="n"/>
      <c r="W1003" s="19">
        <f>IF($B1003="","",IF($V1003&lt;&gt;"",$V1003-$B1003,TODAY()-$B1003))</f>
        <v/>
      </c>
      <c r="X1003" s="19">
        <f>IF(OR($B1003="",$U1003=""),"",IF($V1003&lt;&gt;"",MAX(0,$V1003-$U1003),MAX(0,TODAY()-$U1003)))</f>
        <v/>
      </c>
      <c r="Y1003" s="39">
        <f>IF($C1003="","",IF(IFERROR(INDEX(LISTAS!$I$3:$I$42,MATCH($T1003,LISTAS!$H$3:$H$42,0)),"NO")="SÍ",IF(N($X1003)&gt;0,"CERRADA FUERA DE SLA","CERRADA EN SLA"),IF($U1003="","SIN CLASIFICAR",IF(N($X1003)&gt;0,"VENCIDA",IF(TODAY()&gt;=$U1003-1,"POR VENCER","EN PLAZO")))))</f>
        <v/>
      </c>
      <c r="Z1003" s="41" t="n"/>
      <c r="AA1003" s="41" t="n"/>
      <c r="AB1003" s="41" t="n"/>
    </row>
    <row r="1004">
      <c r="A1004" s="39">
        <f>IF($C1004="","","NOV-"&amp;TEXT(ROW()-3,"0000"))</f>
        <v/>
      </c>
      <c r="B1004" s="40" t="n"/>
      <c r="C1004" s="41" t="n"/>
      <c r="D1004" s="42">
        <f>IF($C1004="","",IFERROR(INDEX(DESPACHOS!$D$3:$D$3002,MATCH($C1004,DESPACHOS!$B$3:$B$3002,0)),"SIN DESPACHO"))</f>
        <v/>
      </c>
      <c r="E1004" s="42">
        <f>IF($C1004="","",IFERROR(INDEX(DESPACHOS!$K$3:$K$3002,MATCH($C1004,DESPACHOS!$B$3:$B$3002,0)),""))</f>
        <v/>
      </c>
      <c r="F1004" s="42">
        <f>IF($C1004="","",IFERROR(INDEX(DESPACHOS!$I$3:$I$3002,MATCH($C1004,DESPACHOS!$B$3:$B$3002,0)),""))</f>
        <v/>
      </c>
      <c r="G1004" s="42">
        <f>IF($C1004="","",IFERROR(INDEX(DESPACHOS!$F$3:$F$3002,MATCH($C1004,DESPACHOS!$B$3:$B$3002,0)),""))</f>
        <v/>
      </c>
      <c r="H1004" s="42">
        <f>IF($C1004="","",IFERROR(INDEX(DESPACHOS!$G$3:$G$3002,MATCH($C1004,DESPACHOS!$B$3:$B$3002,0)),""))</f>
        <v/>
      </c>
      <c r="I1004" s="39">
        <f>IF($C1004="","",IFERROR(INDEX(DESPACHOS!$H$3:$H$3002,MATCH($C1004,DESPACHOS!$B$3:$B$3002,0)),""))</f>
        <v/>
      </c>
      <c r="J1004" s="43">
        <f>IF($C1004="","",IFERROR(INDEX(DESPACHOS!$J$3:$J$3002,MATCH($C1004,DESPACHOS!$B$3:$B$3002,0)),""))</f>
        <v/>
      </c>
      <c r="K1004" s="39">
        <f>IF($C1004="","",IF(COUNTIFS(DESPACHOS!$B$3:$B$3002,$C1004)=0,"NO EXISTE",IF(COUNTIFS(DESPACHOS!$B$3:$B$3002,$C1004)&gt;1,"DUPLICADO","OK")))</f>
        <v/>
      </c>
      <c r="L1004" s="41" t="n"/>
      <c r="M1004" s="41" t="n"/>
      <c r="N1004" s="42">
        <f>IF($M1004="","",IFERROR(INDEX(LISTAS!$F$3:$F$42,MATCH($M1004,LISTAS!$E$3:$E$42,0)),"Por definir"))</f>
        <v/>
      </c>
      <c r="O1004" s="41" t="n"/>
      <c r="P1004" s="39">
        <f>IF($L1004="","",IFERROR(INDEX(LISTAS!$B$3:$B$42,MATCH($L1004,LISTAS!$A$3:$A$42,0)),"Media"))</f>
        <v/>
      </c>
      <c r="Q1004" s="44" t="n"/>
      <c r="R1004" s="45" t="n"/>
      <c r="S1004" s="20">
        <f>IFERROR(IF(OR($R1004="",$C1004=""),"",$R1004/INDEX(DESPACHOS!$M$3:$M$3002,MATCH($C1004,DESPACHOS!$B$3:$B$3002,0))),"")</f>
        <v/>
      </c>
      <c r="T1004" s="41" t="n"/>
      <c r="U1004" s="43">
        <f>IF(OR($B1004="",$L1004=""),"",WORKDAY($B1004,IFERROR(INDEX(LISTAS!$C$3:$C$42,MATCH($L1004,LISTAS!$A$3:$A$42,0)),3)))</f>
        <v/>
      </c>
      <c r="V1004" s="40" t="n"/>
      <c r="W1004" s="19">
        <f>IF($B1004="","",IF($V1004&lt;&gt;"",$V1004-$B1004,TODAY()-$B1004))</f>
        <v/>
      </c>
      <c r="X1004" s="19">
        <f>IF(OR($B1004="",$U1004=""),"",IF($V1004&lt;&gt;"",MAX(0,$V1004-$U1004),MAX(0,TODAY()-$U1004)))</f>
        <v/>
      </c>
      <c r="Y1004" s="39">
        <f>IF($C1004="","",IF(IFERROR(INDEX(LISTAS!$I$3:$I$42,MATCH($T1004,LISTAS!$H$3:$H$42,0)),"NO")="SÍ",IF(N($X1004)&gt;0,"CERRADA FUERA DE SLA","CERRADA EN SLA"),IF($U1004="","SIN CLASIFICAR",IF(N($X1004)&gt;0,"VENCIDA",IF(TODAY()&gt;=$U1004-1,"POR VENCER","EN PLAZO")))))</f>
        <v/>
      </c>
      <c r="Z1004" s="41" t="n"/>
      <c r="AA1004" s="41" t="n"/>
      <c r="AB1004" s="41" t="n"/>
    </row>
    <row r="1005">
      <c r="A1005" s="39">
        <f>IF($C1005="","","NOV-"&amp;TEXT(ROW()-3,"0000"))</f>
        <v/>
      </c>
      <c r="B1005" s="40" t="n"/>
      <c r="C1005" s="41" t="n"/>
      <c r="D1005" s="42">
        <f>IF($C1005="","",IFERROR(INDEX(DESPACHOS!$D$3:$D$3002,MATCH($C1005,DESPACHOS!$B$3:$B$3002,0)),"SIN DESPACHO"))</f>
        <v/>
      </c>
      <c r="E1005" s="42">
        <f>IF($C1005="","",IFERROR(INDEX(DESPACHOS!$K$3:$K$3002,MATCH($C1005,DESPACHOS!$B$3:$B$3002,0)),""))</f>
        <v/>
      </c>
      <c r="F1005" s="42">
        <f>IF($C1005="","",IFERROR(INDEX(DESPACHOS!$I$3:$I$3002,MATCH($C1005,DESPACHOS!$B$3:$B$3002,0)),""))</f>
        <v/>
      </c>
      <c r="G1005" s="42">
        <f>IF($C1005="","",IFERROR(INDEX(DESPACHOS!$F$3:$F$3002,MATCH($C1005,DESPACHOS!$B$3:$B$3002,0)),""))</f>
        <v/>
      </c>
      <c r="H1005" s="42">
        <f>IF($C1005="","",IFERROR(INDEX(DESPACHOS!$G$3:$G$3002,MATCH($C1005,DESPACHOS!$B$3:$B$3002,0)),""))</f>
        <v/>
      </c>
      <c r="I1005" s="39">
        <f>IF($C1005="","",IFERROR(INDEX(DESPACHOS!$H$3:$H$3002,MATCH($C1005,DESPACHOS!$B$3:$B$3002,0)),""))</f>
        <v/>
      </c>
      <c r="J1005" s="43">
        <f>IF($C1005="","",IFERROR(INDEX(DESPACHOS!$J$3:$J$3002,MATCH($C1005,DESPACHOS!$B$3:$B$3002,0)),""))</f>
        <v/>
      </c>
      <c r="K1005" s="39">
        <f>IF($C1005="","",IF(COUNTIFS(DESPACHOS!$B$3:$B$3002,$C1005)=0,"NO EXISTE",IF(COUNTIFS(DESPACHOS!$B$3:$B$3002,$C1005)&gt;1,"DUPLICADO","OK")))</f>
        <v/>
      </c>
      <c r="L1005" s="41" t="n"/>
      <c r="M1005" s="41" t="n"/>
      <c r="N1005" s="42">
        <f>IF($M1005="","",IFERROR(INDEX(LISTAS!$F$3:$F$42,MATCH($M1005,LISTAS!$E$3:$E$42,0)),"Por definir"))</f>
        <v/>
      </c>
      <c r="O1005" s="41" t="n"/>
      <c r="P1005" s="39">
        <f>IF($L1005="","",IFERROR(INDEX(LISTAS!$B$3:$B$42,MATCH($L1005,LISTAS!$A$3:$A$42,0)),"Media"))</f>
        <v/>
      </c>
      <c r="Q1005" s="44" t="n"/>
      <c r="R1005" s="45" t="n"/>
      <c r="S1005" s="20">
        <f>IFERROR(IF(OR($R1005="",$C1005=""),"",$R1005/INDEX(DESPACHOS!$M$3:$M$3002,MATCH($C1005,DESPACHOS!$B$3:$B$3002,0))),"")</f>
        <v/>
      </c>
      <c r="T1005" s="41" t="n"/>
      <c r="U1005" s="43">
        <f>IF(OR($B1005="",$L1005=""),"",WORKDAY($B1005,IFERROR(INDEX(LISTAS!$C$3:$C$42,MATCH($L1005,LISTAS!$A$3:$A$42,0)),3)))</f>
        <v/>
      </c>
      <c r="V1005" s="40" t="n"/>
      <c r="W1005" s="19">
        <f>IF($B1005="","",IF($V1005&lt;&gt;"",$V1005-$B1005,TODAY()-$B1005))</f>
        <v/>
      </c>
      <c r="X1005" s="19">
        <f>IF(OR($B1005="",$U1005=""),"",IF($V1005&lt;&gt;"",MAX(0,$V1005-$U1005),MAX(0,TODAY()-$U1005)))</f>
        <v/>
      </c>
      <c r="Y1005" s="39">
        <f>IF($C1005="","",IF(IFERROR(INDEX(LISTAS!$I$3:$I$42,MATCH($T1005,LISTAS!$H$3:$H$42,0)),"NO")="SÍ",IF(N($X1005)&gt;0,"CERRADA FUERA DE SLA","CERRADA EN SLA"),IF($U1005="","SIN CLASIFICAR",IF(N($X1005)&gt;0,"VENCIDA",IF(TODAY()&gt;=$U1005-1,"POR VENCER","EN PLAZO")))))</f>
        <v/>
      </c>
      <c r="Z1005" s="41" t="n"/>
      <c r="AA1005" s="41" t="n"/>
      <c r="AB1005" s="41" t="n"/>
    </row>
    <row r="1006">
      <c r="A1006" s="39">
        <f>IF($C1006="","","NOV-"&amp;TEXT(ROW()-3,"0000"))</f>
        <v/>
      </c>
      <c r="B1006" s="40" t="n"/>
      <c r="C1006" s="41" t="n"/>
      <c r="D1006" s="42">
        <f>IF($C1006="","",IFERROR(INDEX(DESPACHOS!$D$3:$D$3002,MATCH($C1006,DESPACHOS!$B$3:$B$3002,0)),"SIN DESPACHO"))</f>
        <v/>
      </c>
      <c r="E1006" s="42">
        <f>IF($C1006="","",IFERROR(INDEX(DESPACHOS!$K$3:$K$3002,MATCH($C1006,DESPACHOS!$B$3:$B$3002,0)),""))</f>
        <v/>
      </c>
      <c r="F1006" s="42">
        <f>IF($C1006="","",IFERROR(INDEX(DESPACHOS!$I$3:$I$3002,MATCH($C1006,DESPACHOS!$B$3:$B$3002,0)),""))</f>
        <v/>
      </c>
      <c r="G1006" s="42">
        <f>IF($C1006="","",IFERROR(INDEX(DESPACHOS!$F$3:$F$3002,MATCH($C1006,DESPACHOS!$B$3:$B$3002,0)),""))</f>
        <v/>
      </c>
      <c r="H1006" s="42">
        <f>IF($C1006="","",IFERROR(INDEX(DESPACHOS!$G$3:$G$3002,MATCH($C1006,DESPACHOS!$B$3:$B$3002,0)),""))</f>
        <v/>
      </c>
      <c r="I1006" s="39">
        <f>IF($C1006="","",IFERROR(INDEX(DESPACHOS!$H$3:$H$3002,MATCH($C1006,DESPACHOS!$B$3:$B$3002,0)),""))</f>
        <v/>
      </c>
      <c r="J1006" s="43">
        <f>IF($C1006="","",IFERROR(INDEX(DESPACHOS!$J$3:$J$3002,MATCH($C1006,DESPACHOS!$B$3:$B$3002,0)),""))</f>
        <v/>
      </c>
      <c r="K1006" s="39">
        <f>IF($C1006="","",IF(COUNTIFS(DESPACHOS!$B$3:$B$3002,$C1006)=0,"NO EXISTE",IF(COUNTIFS(DESPACHOS!$B$3:$B$3002,$C1006)&gt;1,"DUPLICADO","OK")))</f>
        <v/>
      </c>
      <c r="L1006" s="41" t="n"/>
      <c r="M1006" s="41" t="n"/>
      <c r="N1006" s="42">
        <f>IF($M1006="","",IFERROR(INDEX(LISTAS!$F$3:$F$42,MATCH($M1006,LISTAS!$E$3:$E$42,0)),"Por definir"))</f>
        <v/>
      </c>
      <c r="O1006" s="41" t="n"/>
      <c r="P1006" s="39">
        <f>IF($L1006="","",IFERROR(INDEX(LISTAS!$B$3:$B$42,MATCH($L1006,LISTAS!$A$3:$A$42,0)),"Media"))</f>
        <v/>
      </c>
      <c r="Q1006" s="44" t="n"/>
      <c r="R1006" s="45" t="n"/>
      <c r="S1006" s="20">
        <f>IFERROR(IF(OR($R1006="",$C1006=""),"",$R1006/INDEX(DESPACHOS!$M$3:$M$3002,MATCH($C1006,DESPACHOS!$B$3:$B$3002,0))),"")</f>
        <v/>
      </c>
      <c r="T1006" s="41" t="n"/>
      <c r="U1006" s="43">
        <f>IF(OR($B1006="",$L1006=""),"",WORKDAY($B1006,IFERROR(INDEX(LISTAS!$C$3:$C$42,MATCH($L1006,LISTAS!$A$3:$A$42,0)),3)))</f>
        <v/>
      </c>
      <c r="V1006" s="40" t="n"/>
      <c r="W1006" s="19">
        <f>IF($B1006="","",IF($V1006&lt;&gt;"",$V1006-$B1006,TODAY()-$B1006))</f>
        <v/>
      </c>
      <c r="X1006" s="19">
        <f>IF(OR($B1006="",$U1006=""),"",IF($V1006&lt;&gt;"",MAX(0,$V1006-$U1006),MAX(0,TODAY()-$U1006)))</f>
        <v/>
      </c>
      <c r="Y1006" s="39">
        <f>IF($C1006="","",IF(IFERROR(INDEX(LISTAS!$I$3:$I$42,MATCH($T1006,LISTAS!$H$3:$H$42,0)),"NO")="SÍ",IF(N($X1006)&gt;0,"CERRADA FUERA DE SLA","CERRADA EN SLA"),IF($U1006="","SIN CLASIFICAR",IF(N($X1006)&gt;0,"VENCIDA",IF(TODAY()&gt;=$U1006-1,"POR VENCER","EN PLAZO")))))</f>
        <v/>
      </c>
      <c r="Z1006" s="41" t="n"/>
      <c r="AA1006" s="41" t="n"/>
      <c r="AB1006" s="41" t="n"/>
    </row>
    <row r="1007">
      <c r="A1007" s="39">
        <f>IF($C1007="","","NOV-"&amp;TEXT(ROW()-3,"0000"))</f>
        <v/>
      </c>
      <c r="B1007" s="40" t="n"/>
      <c r="C1007" s="41" t="n"/>
      <c r="D1007" s="42">
        <f>IF($C1007="","",IFERROR(INDEX(DESPACHOS!$D$3:$D$3002,MATCH($C1007,DESPACHOS!$B$3:$B$3002,0)),"SIN DESPACHO"))</f>
        <v/>
      </c>
      <c r="E1007" s="42">
        <f>IF($C1007="","",IFERROR(INDEX(DESPACHOS!$K$3:$K$3002,MATCH($C1007,DESPACHOS!$B$3:$B$3002,0)),""))</f>
        <v/>
      </c>
      <c r="F1007" s="42">
        <f>IF($C1007="","",IFERROR(INDEX(DESPACHOS!$I$3:$I$3002,MATCH($C1007,DESPACHOS!$B$3:$B$3002,0)),""))</f>
        <v/>
      </c>
      <c r="G1007" s="42">
        <f>IF($C1007="","",IFERROR(INDEX(DESPACHOS!$F$3:$F$3002,MATCH($C1007,DESPACHOS!$B$3:$B$3002,0)),""))</f>
        <v/>
      </c>
      <c r="H1007" s="42">
        <f>IF($C1007="","",IFERROR(INDEX(DESPACHOS!$G$3:$G$3002,MATCH($C1007,DESPACHOS!$B$3:$B$3002,0)),""))</f>
        <v/>
      </c>
      <c r="I1007" s="39">
        <f>IF($C1007="","",IFERROR(INDEX(DESPACHOS!$H$3:$H$3002,MATCH($C1007,DESPACHOS!$B$3:$B$3002,0)),""))</f>
        <v/>
      </c>
      <c r="J1007" s="43">
        <f>IF($C1007="","",IFERROR(INDEX(DESPACHOS!$J$3:$J$3002,MATCH($C1007,DESPACHOS!$B$3:$B$3002,0)),""))</f>
        <v/>
      </c>
      <c r="K1007" s="39">
        <f>IF($C1007="","",IF(COUNTIFS(DESPACHOS!$B$3:$B$3002,$C1007)=0,"NO EXISTE",IF(COUNTIFS(DESPACHOS!$B$3:$B$3002,$C1007)&gt;1,"DUPLICADO","OK")))</f>
        <v/>
      </c>
      <c r="L1007" s="41" t="n"/>
      <c r="M1007" s="41" t="n"/>
      <c r="N1007" s="42">
        <f>IF($M1007="","",IFERROR(INDEX(LISTAS!$F$3:$F$42,MATCH($M1007,LISTAS!$E$3:$E$42,0)),"Por definir"))</f>
        <v/>
      </c>
      <c r="O1007" s="41" t="n"/>
      <c r="P1007" s="39">
        <f>IF($L1007="","",IFERROR(INDEX(LISTAS!$B$3:$B$42,MATCH($L1007,LISTAS!$A$3:$A$42,0)),"Media"))</f>
        <v/>
      </c>
      <c r="Q1007" s="44" t="n"/>
      <c r="R1007" s="45" t="n"/>
      <c r="S1007" s="20">
        <f>IFERROR(IF(OR($R1007="",$C1007=""),"",$R1007/INDEX(DESPACHOS!$M$3:$M$3002,MATCH($C1007,DESPACHOS!$B$3:$B$3002,0))),"")</f>
        <v/>
      </c>
      <c r="T1007" s="41" t="n"/>
      <c r="U1007" s="43">
        <f>IF(OR($B1007="",$L1007=""),"",WORKDAY($B1007,IFERROR(INDEX(LISTAS!$C$3:$C$42,MATCH($L1007,LISTAS!$A$3:$A$42,0)),3)))</f>
        <v/>
      </c>
      <c r="V1007" s="40" t="n"/>
      <c r="W1007" s="19">
        <f>IF($B1007="","",IF($V1007&lt;&gt;"",$V1007-$B1007,TODAY()-$B1007))</f>
        <v/>
      </c>
      <c r="X1007" s="19">
        <f>IF(OR($B1007="",$U1007=""),"",IF($V1007&lt;&gt;"",MAX(0,$V1007-$U1007),MAX(0,TODAY()-$U1007)))</f>
        <v/>
      </c>
      <c r="Y1007" s="39">
        <f>IF($C1007="","",IF(IFERROR(INDEX(LISTAS!$I$3:$I$42,MATCH($T1007,LISTAS!$H$3:$H$42,0)),"NO")="SÍ",IF(N($X1007)&gt;0,"CERRADA FUERA DE SLA","CERRADA EN SLA"),IF($U1007="","SIN CLASIFICAR",IF(N($X1007)&gt;0,"VENCIDA",IF(TODAY()&gt;=$U1007-1,"POR VENCER","EN PLAZO")))))</f>
        <v/>
      </c>
      <c r="Z1007" s="41" t="n"/>
      <c r="AA1007" s="41" t="n"/>
      <c r="AB1007" s="41" t="n"/>
    </row>
    <row r="1008">
      <c r="A1008" s="39">
        <f>IF($C1008="","","NOV-"&amp;TEXT(ROW()-3,"0000"))</f>
        <v/>
      </c>
      <c r="B1008" s="40" t="n"/>
      <c r="C1008" s="41" t="n"/>
      <c r="D1008" s="42">
        <f>IF($C1008="","",IFERROR(INDEX(DESPACHOS!$D$3:$D$3002,MATCH($C1008,DESPACHOS!$B$3:$B$3002,0)),"SIN DESPACHO"))</f>
        <v/>
      </c>
      <c r="E1008" s="42">
        <f>IF($C1008="","",IFERROR(INDEX(DESPACHOS!$K$3:$K$3002,MATCH($C1008,DESPACHOS!$B$3:$B$3002,0)),""))</f>
        <v/>
      </c>
      <c r="F1008" s="42">
        <f>IF($C1008="","",IFERROR(INDEX(DESPACHOS!$I$3:$I$3002,MATCH($C1008,DESPACHOS!$B$3:$B$3002,0)),""))</f>
        <v/>
      </c>
      <c r="G1008" s="42">
        <f>IF($C1008="","",IFERROR(INDEX(DESPACHOS!$F$3:$F$3002,MATCH($C1008,DESPACHOS!$B$3:$B$3002,0)),""))</f>
        <v/>
      </c>
      <c r="H1008" s="42">
        <f>IF($C1008="","",IFERROR(INDEX(DESPACHOS!$G$3:$G$3002,MATCH($C1008,DESPACHOS!$B$3:$B$3002,0)),""))</f>
        <v/>
      </c>
      <c r="I1008" s="39">
        <f>IF($C1008="","",IFERROR(INDEX(DESPACHOS!$H$3:$H$3002,MATCH($C1008,DESPACHOS!$B$3:$B$3002,0)),""))</f>
        <v/>
      </c>
      <c r="J1008" s="43">
        <f>IF($C1008="","",IFERROR(INDEX(DESPACHOS!$J$3:$J$3002,MATCH($C1008,DESPACHOS!$B$3:$B$3002,0)),""))</f>
        <v/>
      </c>
      <c r="K1008" s="39">
        <f>IF($C1008="","",IF(COUNTIFS(DESPACHOS!$B$3:$B$3002,$C1008)=0,"NO EXISTE",IF(COUNTIFS(DESPACHOS!$B$3:$B$3002,$C1008)&gt;1,"DUPLICADO","OK")))</f>
        <v/>
      </c>
      <c r="L1008" s="41" t="n"/>
      <c r="M1008" s="41" t="n"/>
      <c r="N1008" s="42">
        <f>IF($M1008="","",IFERROR(INDEX(LISTAS!$F$3:$F$42,MATCH($M1008,LISTAS!$E$3:$E$42,0)),"Por definir"))</f>
        <v/>
      </c>
      <c r="O1008" s="41" t="n"/>
      <c r="P1008" s="39">
        <f>IF($L1008="","",IFERROR(INDEX(LISTAS!$B$3:$B$42,MATCH($L1008,LISTAS!$A$3:$A$42,0)),"Media"))</f>
        <v/>
      </c>
      <c r="Q1008" s="44" t="n"/>
      <c r="R1008" s="45" t="n"/>
      <c r="S1008" s="20">
        <f>IFERROR(IF(OR($R1008="",$C1008=""),"",$R1008/INDEX(DESPACHOS!$M$3:$M$3002,MATCH($C1008,DESPACHOS!$B$3:$B$3002,0))),"")</f>
        <v/>
      </c>
      <c r="T1008" s="41" t="n"/>
      <c r="U1008" s="43">
        <f>IF(OR($B1008="",$L1008=""),"",WORKDAY($B1008,IFERROR(INDEX(LISTAS!$C$3:$C$42,MATCH($L1008,LISTAS!$A$3:$A$42,0)),3)))</f>
        <v/>
      </c>
      <c r="V1008" s="40" t="n"/>
      <c r="W1008" s="19">
        <f>IF($B1008="","",IF($V1008&lt;&gt;"",$V1008-$B1008,TODAY()-$B1008))</f>
        <v/>
      </c>
      <c r="X1008" s="19">
        <f>IF(OR($B1008="",$U1008=""),"",IF($V1008&lt;&gt;"",MAX(0,$V1008-$U1008),MAX(0,TODAY()-$U1008)))</f>
        <v/>
      </c>
      <c r="Y1008" s="39">
        <f>IF($C1008="","",IF(IFERROR(INDEX(LISTAS!$I$3:$I$42,MATCH($T1008,LISTAS!$H$3:$H$42,0)),"NO")="SÍ",IF(N($X1008)&gt;0,"CERRADA FUERA DE SLA","CERRADA EN SLA"),IF($U1008="","SIN CLASIFICAR",IF(N($X1008)&gt;0,"VENCIDA",IF(TODAY()&gt;=$U1008-1,"POR VENCER","EN PLAZO")))))</f>
        <v/>
      </c>
      <c r="Z1008" s="41" t="n"/>
      <c r="AA1008" s="41" t="n"/>
      <c r="AB1008" s="41" t="n"/>
    </row>
    <row r="1009">
      <c r="A1009" s="39">
        <f>IF($C1009="","","NOV-"&amp;TEXT(ROW()-3,"0000"))</f>
        <v/>
      </c>
      <c r="B1009" s="40" t="n"/>
      <c r="C1009" s="41" t="n"/>
      <c r="D1009" s="42">
        <f>IF($C1009="","",IFERROR(INDEX(DESPACHOS!$D$3:$D$3002,MATCH($C1009,DESPACHOS!$B$3:$B$3002,0)),"SIN DESPACHO"))</f>
        <v/>
      </c>
      <c r="E1009" s="42">
        <f>IF($C1009="","",IFERROR(INDEX(DESPACHOS!$K$3:$K$3002,MATCH($C1009,DESPACHOS!$B$3:$B$3002,0)),""))</f>
        <v/>
      </c>
      <c r="F1009" s="42">
        <f>IF($C1009="","",IFERROR(INDEX(DESPACHOS!$I$3:$I$3002,MATCH($C1009,DESPACHOS!$B$3:$B$3002,0)),""))</f>
        <v/>
      </c>
      <c r="G1009" s="42">
        <f>IF($C1009="","",IFERROR(INDEX(DESPACHOS!$F$3:$F$3002,MATCH($C1009,DESPACHOS!$B$3:$B$3002,0)),""))</f>
        <v/>
      </c>
      <c r="H1009" s="42">
        <f>IF($C1009="","",IFERROR(INDEX(DESPACHOS!$G$3:$G$3002,MATCH($C1009,DESPACHOS!$B$3:$B$3002,0)),""))</f>
        <v/>
      </c>
      <c r="I1009" s="39">
        <f>IF($C1009="","",IFERROR(INDEX(DESPACHOS!$H$3:$H$3002,MATCH($C1009,DESPACHOS!$B$3:$B$3002,0)),""))</f>
        <v/>
      </c>
      <c r="J1009" s="43">
        <f>IF($C1009="","",IFERROR(INDEX(DESPACHOS!$J$3:$J$3002,MATCH($C1009,DESPACHOS!$B$3:$B$3002,0)),""))</f>
        <v/>
      </c>
      <c r="K1009" s="39">
        <f>IF($C1009="","",IF(COUNTIFS(DESPACHOS!$B$3:$B$3002,$C1009)=0,"NO EXISTE",IF(COUNTIFS(DESPACHOS!$B$3:$B$3002,$C1009)&gt;1,"DUPLICADO","OK")))</f>
        <v/>
      </c>
      <c r="L1009" s="41" t="n"/>
      <c r="M1009" s="41" t="n"/>
      <c r="N1009" s="42">
        <f>IF($M1009="","",IFERROR(INDEX(LISTAS!$F$3:$F$42,MATCH($M1009,LISTAS!$E$3:$E$42,0)),"Por definir"))</f>
        <v/>
      </c>
      <c r="O1009" s="41" t="n"/>
      <c r="P1009" s="39">
        <f>IF($L1009="","",IFERROR(INDEX(LISTAS!$B$3:$B$42,MATCH($L1009,LISTAS!$A$3:$A$42,0)),"Media"))</f>
        <v/>
      </c>
      <c r="Q1009" s="44" t="n"/>
      <c r="R1009" s="45" t="n"/>
      <c r="S1009" s="20">
        <f>IFERROR(IF(OR($R1009="",$C1009=""),"",$R1009/INDEX(DESPACHOS!$M$3:$M$3002,MATCH($C1009,DESPACHOS!$B$3:$B$3002,0))),"")</f>
        <v/>
      </c>
      <c r="T1009" s="41" t="n"/>
      <c r="U1009" s="43">
        <f>IF(OR($B1009="",$L1009=""),"",WORKDAY($B1009,IFERROR(INDEX(LISTAS!$C$3:$C$42,MATCH($L1009,LISTAS!$A$3:$A$42,0)),3)))</f>
        <v/>
      </c>
      <c r="V1009" s="40" t="n"/>
      <c r="W1009" s="19">
        <f>IF($B1009="","",IF($V1009&lt;&gt;"",$V1009-$B1009,TODAY()-$B1009))</f>
        <v/>
      </c>
      <c r="X1009" s="19">
        <f>IF(OR($B1009="",$U1009=""),"",IF($V1009&lt;&gt;"",MAX(0,$V1009-$U1009),MAX(0,TODAY()-$U1009)))</f>
        <v/>
      </c>
      <c r="Y1009" s="39">
        <f>IF($C1009="","",IF(IFERROR(INDEX(LISTAS!$I$3:$I$42,MATCH($T1009,LISTAS!$H$3:$H$42,0)),"NO")="SÍ",IF(N($X1009)&gt;0,"CERRADA FUERA DE SLA","CERRADA EN SLA"),IF($U1009="","SIN CLASIFICAR",IF(N($X1009)&gt;0,"VENCIDA",IF(TODAY()&gt;=$U1009-1,"POR VENCER","EN PLAZO")))))</f>
        <v/>
      </c>
      <c r="Z1009" s="41" t="n"/>
      <c r="AA1009" s="41" t="n"/>
      <c r="AB1009" s="41" t="n"/>
    </row>
    <row r="1010">
      <c r="A1010" s="39">
        <f>IF($C1010="","","NOV-"&amp;TEXT(ROW()-3,"0000"))</f>
        <v/>
      </c>
      <c r="B1010" s="40" t="n"/>
      <c r="C1010" s="41" t="n"/>
      <c r="D1010" s="42">
        <f>IF($C1010="","",IFERROR(INDEX(DESPACHOS!$D$3:$D$3002,MATCH($C1010,DESPACHOS!$B$3:$B$3002,0)),"SIN DESPACHO"))</f>
        <v/>
      </c>
      <c r="E1010" s="42">
        <f>IF($C1010="","",IFERROR(INDEX(DESPACHOS!$K$3:$K$3002,MATCH($C1010,DESPACHOS!$B$3:$B$3002,0)),""))</f>
        <v/>
      </c>
      <c r="F1010" s="42">
        <f>IF($C1010="","",IFERROR(INDEX(DESPACHOS!$I$3:$I$3002,MATCH($C1010,DESPACHOS!$B$3:$B$3002,0)),""))</f>
        <v/>
      </c>
      <c r="G1010" s="42">
        <f>IF($C1010="","",IFERROR(INDEX(DESPACHOS!$F$3:$F$3002,MATCH($C1010,DESPACHOS!$B$3:$B$3002,0)),""))</f>
        <v/>
      </c>
      <c r="H1010" s="42">
        <f>IF($C1010="","",IFERROR(INDEX(DESPACHOS!$G$3:$G$3002,MATCH($C1010,DESPACHOS!$B$3:$B$3002,0)),""))</f>
        <v/>
      </c>
      <c r="I1010" s="39">
        <f>IF($C1010="","",IFERROR(INDEX(DESPACHOS!$H$3:$H$3002,MATCH($C1010,DESPACHOS!$B$3:$B$3002,0)),""))</f>
        <v/>
      </c>
      <c r="J1010" s="43">
        <f>IF($C1010="","",IFERROR(INDEX(DESPACHOS!$J$3:$J$3002,MATCH($C1010,DESPACHOS!$B$3:$B$3002,0)),""))</f>
        <v/>
      </c>
      <c r="K1010" s="39">
        <f>IF($C1010="","",IF(COUNTIFS(DESPACHOS!$B$3:$B$3002,$C1010)=0,"NO EXISTE",IF(COUNTIFS(DESPACHOS!$B$3:$B$3002,$C1010)&gt;1,"DUPLICADO","OK")))</f>
        <v/>
      </c>
      <c r="L1010" s="41" t="n"/>
      <c r="M1010" s="41" t="n"/>
      <c r="N1010" s="42">
        <f>IF($M1010="","",IFERROR(INDEX(LISTAS!$F$3:$F$42,MATCH($M1010,LISTAS!$E$3:$E$42,0)),"Por definir"))</f>
        <v/>
      </c>
      <c r="O1010" s="41" t="n"/>
      <c r="P1010" s="39">
        <f>IF($L1010="","",IFERROR(INDEX(LISTAS!$B$3:$B$42,MATCH($L1010,LISTAS!$A$3:$A$42,0)),"Media"))</f>
        <v/>
      </c>
      <c r="Q1010" s="44" t="n"/>
      <c r="R1010" s="45" t="n"/>
      <c r="S1010" s="20">
        <f>IFERROR(IF(OR($R1010="",$C1010=""),"",$R1010/INDEX(DESPACHOS!$M$3:$M$3002,MATCH($C1010,DESPACHOS!$B$3:$B$3002,0))),"")</f>
        <v/>
      </c>
      <c r="T1010" s="41" t="n"/>
      <c r="U1010" s="43">
        <f>IF(OR($B1010="",$L1010=""),"",WORKDAY($B1010,IFERROR(INDEX(LISTAS!$C$3:$C$42,MATCH($L1010,LISTAS!$A$3:$A$42,0)),3)))</f>
        <v/>
      </c>
      <c r="V1010" s="40" t="n"/>
      <c r="W1010" s="19">
        <f>IF($B1010="","",IF($V1010&lt;&gt;"",$V1010-$B1010,TODAY()-$B1010))</f>
        <v/>
      </c>
      <c r="X1010" s="19">
        <f>IF(OR($B1010="",$U1010=""),"",IF($V1010&lt;&gt;"",MAX(0,$V1010-$U1010),MAX(0,TODAY()-$U1010)))</f>
        <v/>
      </c>
      <c r="Y1010" s="39">
        <f>IF($C1010="","",IF(IFERROR(INDEX(LISTAS!$I$3:$I$42,MATCH($T1010,LISTAS!$H$3:$H$42,0)),"NO")="SÍ",IF(N($X1010)&gt;0,"CERRADA FUERA DE SLA","CERRADA EN SLA"),IF($U1010="","SIN CLASIFICAR",IF(N($X1010)&gt;0,"VENCIDA",IF(TODAY()&gt;=$U1010-1,"POR VENCER","EN PLAZO")))))</f>
        <v/>
      </c>
      <c r="Z1010" s="41" t="n"/>
      <c r="AA1010" s="41" t="n"/>
      <c r="AB1010" s="41" t="n"/>
    </row>
    <row r="1011">
      <c r="A1011" s="39">
        <f>IF($C1011="","","NOV-"&amp;TEXT(ROW()-3,"0000"))</f>
        <v/>
      </c>
      <c r="B1011" s="40" t="n"/>
      <c r="C1011" s="41" t="n"/>
      <c r="D1011" s="42">
        <f>IF($C1011="","",IFERROR(INDEX(DESPACHOS!$D$3:$D$3002,MATCH($C1011,DESPACHOS!$B$3:$B$3002,0)),"SIN DESPACHO"))</f>
        <v/>
      </c>
      <c r="E1011" s="42">
        <f>IF($C1011="","",IFERROR(INDEX(DESPACHOS!$K$3:$K$3002,MATCH($C1011,DESPACHOS!$B$3:$B$3002,0)),""))</f>
        <v/>
      </c>
      <c r="F1011" s="42">
        <f>IF($C1011="","",IFERROR(INDEX(DESPACHOS!$I$3:$I$3002,MATCH($C1011,DESPACHOS!$B$3:$B$3002,0)),""))</f>
        <v/>
      </c>
      <c r="G1011" s="42">
        <f>IF($C1011="","",IFERROR(INDEX(DESPACHOS!$F$3:$F$3002,MATCH($C1011,DESPACHOS!$B$3:$B$3002,0)),""))</f>
        <v/>
      </c>
      <c r="H1011" s="42">
        <f>IF($C1011="","",IFERROR(INDEX(DESPACHOS!$G$3:$G$3002,MATCH($C1011,DESPACHOS!$B$3:$B$3002,0)),""))</f>
        <v/>
      </c>
      <c r="I1011" s="39">
        <f>IF($C1011="","",IFERROR(INDEX(DESPACHOS!$H$3:$H$3002,MATCH($C1011,DESPACHOS!$B$3:$B$3002,0)),""))</f>
        <v/>
      </c>
      <c r="J1011" s="43">
        <f>IF($C1011="","",IFERROR(INDEX(DESPACHOS!$J$3:$J$3002,MATCH($C1011,DESPACHOS!$B$3:$B$3002,0)),""))</f>
        <v/>
      </c>
      <c r="K1011" s="39">
        <f>IF($C1011="","",IF(COUNTIFS(DESPACHOS!$B$3:$B$3002,$C1011)=0,"NO EXISTE",IF(COUNTIFS(DESPACHOS!$B$3:$B$3002,$C1011)&gt;1,"DUPLICADO","OK")))</f>
        <v/>
      </c>
      <c r="L1011" s="41" t="n"/>
      <c r="M1011" s="41" t="n"/>
      <c r="N1011" s="42">
        <f>IF($M1011="","",IFERROR(INDEX(LISTAS!$F$3:$F$42,MATCH($M1011,LISTAS!$E$3:$E$42,0)),"Por definir"))</f>
        <v/>
      </c>
      <c r="O1011" s="41" t="n"/>
      <c r="P1011" s="39">
        <f>IF($L1011="","",IFERROR(INDEX(LISTAS!$B$3:$B$42,MATCH($L1011,LISTAS!$A$3:$A$42,0)),"Media"))</f>
        <v/>
      </c>
      <c r="Q1011" s="44" t="n"/>
      <c r="R1011" s="45" t="n"/>
      <c r="S1011" s="20">
        <f>IFERROR(IF(OR($R1011="",$C1011=""),"",$R1011/INDEX(DESPACHOS!$M$3:$M$3002,MATCH($C1011,DESPACHOS!$B$3:$B$3002,0))),"")</f>
        <v/>
      </c>
      <c r="T1011" s="41" t="n"/>
      <c r="U1011" s="43">
        <f>IF(OR($B1011="",$L1011=""),"",WORKDAY($B1011,IFERROR(INDEX(LISTAS!$C$3:$C$42,MATCH($L1011,LISTAS!$A$3:$A$42,0)),3)))</f>
        <v/>
      </c>
      <c r="V1011" s="40" t="n"/>
      <c r="W1011" s="19">
        <f>IF($B1011="","",IF($V1011&lt;&gt;"",$V1011-$B1011,TODAY()-$B1011))</f>
        <v/>
      </c>
      <c r="X1011" s="19">
        <f>IF(OR($B1011="",$U1011=""),"",IF($V1011&lt;&gt;"",MAX(0,$V1011-$U1011),MAX(0,TODAY()-$U1011)))</f>
        <v/>
      </c>
      <c r="Y1011" s="39">
        <f>IF($C1011="","",IF(IFERROR(INDEX(LISTAS!$I$3:$I$42,MATCH($T1011,LISTAS!$H$3:$H$42,0)),"NO")="SÍ",IF(N($X1011)&gt;0,"CERRADA FUERA DE SLA","CERRADA EN SLA"),IF($U1011="","SIN CLASIFICAR",IF(N($X1011)&gt;0,"VENCIDA",IF(TODAY()&gt;=$U1011-1,"POR VENCER","EN PLAZO")))))</f>
        <v/>
      </c>
      <c r="Z1011" s="41" t="n"/>
      <c r="AA1011" s="41" t="n"/>
      <c r="AB1011" s="41" t="n"/>
    </row>
    <row r="1012">
      <c r="A1012" s="39">
        <f>IF($C1012="","","NOV-"&amp;TEXT(ROW()-3,"0000"))</f>
        <v/>
      </c>
      <c r="B1012" s="40" t="n"/>
      <c r="C1012" s="41" t="n"/>
      <c r="D1012" s="42">
        <f>IF($C1012="","",IFERROR(INDEX(DESPACHOS!$D$3:$D$3002,MATCH($C1012,DESPACHOS!$B$3:$B$3002,0)),"SIN DESPACHO"))</f>
        <v/>
      </c>
      <c r="E1012" s="42">
        <f>IF($C1012="","",IFERROR(INDEX(DESPACHOS!$K$3:$K$3002,MATCH($C1012,DESPACHOS!$B$3:$B$3002,0)),""))</f>
        <v/>
      </c>
      <c r="F1012" s="42">
        <f>IF($C1012="","",IFERROR(INDEX(DESPACHOS!$I$3:$I$3002,MATCH($C1012,DESPACHOS!$B$3:$B$3002,0)),""))</f>
        <v/>
      </c>
      <c r="G1012" s="42">
        <f>IF($C1012="","",IFERROR(INDEX(DESPACHOS!$F$3:$F$3002,MATCH($C1012,DESPACHOS!$B$3:$B$3002,0)),""))</f>
        <v/>
      </c>
      <c r="H1012" s="42">
        <f>IF($C1012="","",IFERROR(INDEX(DESPACHOS!$G$3:$G$3002,MATCH($C1012,DESPACHOS!$B$3:$B$3002,0)),""))</f>
        <v/>
      </c>
      <c r="I1012" s="39">
        <f>IF($C1012="","",IFERROR(INDEX(DESPACHOS!$H$3:$H$3002,MATCH($C1012,DESPACHOS!$B$3:$B$3002,0)),""))</f>
        <v/>
      </c>
      <c r="J1012" s="43">
        <f>IF($C1012="","",IFERROR(INDEX(DESPACHOS!$J$3:$J$3002,MATCH($C1012,DESPACHOS!$B$3:$B$3002,0)),""))</f>
        <v/>
      </c>
      <c r="K1012" s="39">
        <f>IF($C1012="","",IF(COUNTIFS(DESPACHOS!$B$3:$B$3002,$C1012)=0,"NO EXISTE",IF(COUNTIFS(DESPACHOS!$B$3:$B$3002,$C1012)&gt;1,"DUPLICADO","OK")))</f>
        <v/>
      </c>
      <c r="L1012" s="41" t="n"/>
      <c r="M1012" s="41" t="n"/>
      <c r="N1012" s="42">
        <f>IF($M1012="","",IFERROR(INDEX(LISTAS!$F$3:$F$42,MATCH($M1012,LISTAS!$E$3:$E$42,0)),"Por definir"))</f>
        <v/>
      </c>
      <c r="O1012" s="41" t="n"/>
      <c r="P1012" s="39">
        <f>IF($L1012="","",IFERROR(INDEX(LISTAS!$B$3:$B$42,MATCH($L1012,LISTAS!$A$3:$A$42,0)),"Media"))</f>
        <v/>
      </c>
      <c r="Q1012" s="44" t="n"/>
      <c r="R1012" s="45" t="n"/>
      <c r="S1012" s="20">
        <f>IFERROR(IF(OR($R1012="",$C1012=""),"",$R1012/INDEX(DESPACHOS!$M$3:$M$3002,MATCH($C1012,DESPACHOS!$B$3:$B$3002,0))),"")</f>
        <v/>
      </c>
      <c r="T1012" s="41" t="n"/>
      <c r="U1012" s="43">
        <f>IF(OR($B1012="",$L1012=""),"",WORKDAY($B1012,IFERROR(INDEX(LISTAS!$C$3:$C$42,MATCH($L1012,LISTAS!$A$3:$A$42,0)),3)))</f>
        <v/>
      </c>
      <c r="V1012" s="40" t="n"/>
      <c r="W1012" s="19">
        <f>IF($B1012="","",IF($V1012&lt;&gt;"",$V1012-$B1012,TODAY()-$B1012))</f>
        <v/>
      </c>
      <c r="X1012" s="19">
        <f>IF(OR($B1012="",$U1012=""),"",IF($V1012&lt;&gt;"",MAX(0,$V1012-$U1012),MAX(0,TODAY()-$U1012)))</f>
        <v/>
      </c>
      <c r="Y1012" s="39">
        <f>IF($C1012="","",IF(IFERROR(INDEX(LISTAS!$I$3:$I$42,MATCH($T1012,LISTAS!$H$3:$H$42,0)),"NO")="SÍ",IF(N($X1012)&gt;0,"CERRADA FUERA DE SLA","CERRADA EN SLA"),IF($U1012="","SIN CLASIFICAR",IF(N($X1012)&gt;0,"VENCIDA",IF(TODAY()&gt;=$U1012-1,"POR VENCER","EN PLAZO")))))</f>
        <v/>
      </c>
      <c r="Z1012" s="41" t="n"/>
      <c r="AA1012" s="41" t="n"/>
      <c r="AB1012" s="41" t="n"/>
    </row>
    <row r="1013">
      <c r="A1013" s="39">
        <f>IF($C1013="","","NOV-"&amp;TEXT(ROW()-3,"0000"))</f>
        <v/>
      </c>
      <c r="B1013" s="40" t="n"/>
      <c r="C1013" s="41" t="n"/>
      <c r="D1013" s="42">
        <f>IF($C1013="","",IFERROR(INDEX(DESPACHOS!$D$3:$D$3002,MATCH($C1013,DESPACHOS!$B$3:$B$3002,0)),"SIN DESPACHO"))</f>
        <v/>
      </c>
      <c r="E1013" s="42">
        <f>IF($C1013="","",IFERROR(INDEX(DESPACHOS!$K$3:$K$3002,MATCH($C1013,DESPACHOS!$B$3:$B$3002,0)),""))</f>
        <v/>
      </c>
      <c r="F1013" s="42">
        <f>IF($C1013="","",IFERROR(INDEX(DESPACHOS!$I$3:$I$3002,MATCH($C1013,DESPACHOS!$B$3:$B$3002,0)),""))</f>
        <v/>
      </c>
      <c r="G1013" s="42">
        <f>IF($C1013="","",IFERROR(INDEX(DESPACHOS!$F$3:$F$3002,MATCH($C1013,DESPACHOS!$B$3:$B$3002,0)),""))</f>
        <v/>
      </c>
      <c r="H1013" s="42">
        <f>IF($C1013="","",IFERROR(INDEX(DESPACHOS!$G$3:$G$3002,MATCH($C1013,DESPACHOS!$B$3:$B$3002,0)),""))</f>
        <v/>
      </c>
      <c r="I1013" s="39">
        <f>IF($C1013="","",IFERROR(INDEX(DESPACHOS!$H$3:$H$3002,MATCH($C1013,DESPACHOS!$B$3:$B$3002,0)),""))</f>
        <v/>
      </c>
      <c r="J1013" s="43">
        <f>IF($C1013="","",IFERROR(INDEX(DESPACHOS!$J$3:$J$3002,MATCH($C1013,DESPACHOS!$B$3:$B$3002,0)),""))</f>
        <v/>
      </c>
      <c r="K1013" s="39">
        <f>IF($C1013="","",IF(COUNTIFS(DESPACHOS!$B$3:$B$3002,$C1013)=0,"NO EXISTE",IF(COUNTIFS(DESPACHOS!$B$3:$B$3002,$C1013)&gt;1,"DUPLICADO","OK")))</f>
        <v/>
      </c>
      <c r="L1013" s="41" t="n"/>
      <c r="M1013" s="41" t="n"/>
      <c r="N1013" s="42">
        <f>IF($M1013="","",IFERROR(INDEX(LISTAS!$F$3:$F$42,MATCH($M1013,LISTAS!$E$3:$E$42,0)),"Por definir"))</f>
        <v/>
      </c>
      <c r="O1013" s="41" t="n"/>
      <c r="P1013" s="39">
        <f>IF($L1013="","",IFERROR(INDEX(LISTAS!$B$3:$B$42,MATCH($L1013,LISTAS!$A$3:$A$42,0)),"Media"))</f>
        <v/>
      </c>
      <c r="Q1013" s="44" t="n"/>
      <c r="R1013" s="45" t="n"/>
      <c r="S1013" s="20">
        <f>IFERROR(IF(OR($R1013="",$C1013=""),"",$R1013/INDEX(DESPACHOS!$M$3:$M$3002,MATCH($C1013,DESPACHOS!$B$3:$B$3002,0))),"")</f>
        <v/>
      </c>
      <c r="T1013" s="41" t="n"/>
      <c r="U1013" s="43">
        <f>IF(OR($B1013="",$L1013=""),"",WORKDAY($B1013,IFERROR(INDEX(LISTAS!$C$3:$C$42,MATCH($L1013,LISTAS!$A$3:$A$42,0)),3)))</f>
        <v/>
      </c>
      <c r="V1013" s="40" t="n"/>
      <c r="W1013" s="19">
        <f>IF($B1013="","",IF($V1013&lt;&gt;"",$V1013-$B1013,TODAY()-$B1013))</f>
        <v/>
      </c>
      <c r="X1013" s="19">
        <f>IF(OR($B1013="",$U1013=""),"",IF($V1013&lt;&gt;"",MAX(0,$V1013-$U1013),MAX(0,TODAY()-$U1013)))</f>
        <v/>
      </c>
      <c r="Y1013" s="39">
        <f>IF($C1013="","",IF(IFERROR(INDEX(LISTAS!$I$3:$I$42,MATCH($T1013,LISTAS!$H$3:$H$42,0)),"NO")="SÍ",IF(N($X1013)&gt;0,"CERRADA FUERA DE SLA","CERRADA EN SLA"),IF($U1013="","SIN CLASIFICAR",IF(N($X1013)&gt;0,"VENCIDA",IF(TODAY()&gt;=$U1013-1,"POR VENCER","EN PLAZO")))))</f>
        <v/>
      </c>
      <c r="Z1013" s="41" t="n"/>
      <c r="AA1013" s="41" t="n"/>
      <c r="AB1013" s="41" t="n"/>
    </row>
    <row r="1014">
      <c r="A1014" s="39">
        <f>IF($C1014="","","NOV-"&amp;TEXT(ROW()-3,"0000"))</f>
        <v/>
      </c>
      <c r="B1014" s="40" t="n"/>
      <c r="C1014" s="41" t="n"/>
      <c r="D1014" s="42">
        <f>IF($C1014="","",IFERROR(INDEX(DESPACHOS!$D$3:$D$3002,MATCH($C1014,DESPACHOS!$B$3:$B$3002,0)),"SIN DESPACHO"))</f>
        <v/>
      </c>
      <c r="E1014" s="42">
        <f>IF($C1014="","",IFERROR(INDEX(DESPACHOS!$K$3:$K$3002,MATCH($C1014,DESPACHOS!$B$3:$B$3002,0)),""))</f>
        <v/>
      </c>
      <c r="F1014" s="42">
        <f>IF($C1014="","",IFERROR(INDEX(DESPACHOS!$I$3:$I$3002,MATCH($C1014,DESPACHOS!$B$3:$B$3002,0)),""))</f>
        <v/>
      </c>
      <c r="G1014" s="42">
        <f>IF($C1014="","",IFERROR(INDEX(DESPACHOS!$F$3:$F$3002,MATCH($C1014,DESPACHOS!$B$3:$B$3002,0)),""))</f>
        <v/>
      </c>
      <c r="H1014" s="42">
        <f>IF($C1014="","",IFERROR(INDEX(DESPACHOS!$G$3:$G$3002,MATCH($C1014,DESPACHOS!$B$3:$B$3002,0)),""))</f>
        <v/>
      </c>
      <c r="I1014" s="39">
        <f>IF($C1014="","",IFERROR(INDEX(DESPACHOS!$H$3:$H$3002,MATCH($C1014,DESPACHOS!$B$3:$B$3002,0)),""))</f>
        <v/>
      </c>
      <c r="J1014" s="43">
        <f>IF($C1014="","",IFERROR(INDEX(DESPACHOS!$J$3:$J$3002,MATCH($C1014,DESPACHOS!$B$3:$B$3002,0)),""))</f>
        <v/>
      </c>
      <c r="K1014" s="39">
        <f>IF($C1014="","",IF(COUNTIFS(DESPACHOS!$B$3:$B$3002,$C1014)=0,"NO EXISTE",IF(COUNTIFS(DESPACHOS!$B$3:$B$3002,$C1014)&gt;1,"DUPLICADO","OK")))</f>
        <v/>
      </c>
      <c r="L1014" s="41" t="n"/>
      <c r="M1014" s="41" t="n"/>
      <c r="N1014" s="42">
        <f>IF($M1014="","",IFERROR(INDEX(LISTAS!$F$3:$F$42,MATCH($M1014,LISTAS!$E$3:$E$42,0)),"Por definir"))</f>
        <v/>
      </c>
      <c r="O1014" s="41" t="n"/>
      <c r="P1014" s="39">
        <f>IF($L1014="","",IFERROR(INDEX(LISTAS!$B$3:$B$42,MATCH($L1014,LISTAS!$A$3:$A$42,0)),"Media"))</f>
        <v/>
      </c>
      <c r="Q1014" s="44" t="n"/>
      <c r="R1014" s="45" t="n"/>
      <c r="S1014" s="20">
        <f>IFERROR(IF(OR($R1014="",$C1014=""),"",$R1014/INDEX(DESPACHOS!$M$3:$M$3002,MATCH($C1014,DESPACHOS!$B$3:$B$3002,0))),"")</f>
        <v/>
      </c>
      <c r="T1014" s="41" t="n"/>
      <c r="U1014" s="43">
        <f>IF(OR($B1014="",$L1014=""),"",WORKDAY($B1014,IFERROR(INDEX(LISTAS!$C$3:$C$42,MATCH($L1014,LISTAS!$A$3:$A$42,0)),3)))</f>
        <v/>
      </c>
      <c r="V1014" s="40" t="n"/>
      <c r="W1014" s="19">
        <f>IF($B1014="","",IF($V1014&lt;&gt;"",$V1014-$B1014,TODAY()-$B1014))</f>
        <v/>
      </c>
      <c r="X1014" s="19">
        <f>IF(OR($B1014="",$U1014=""),"",IF($V1014&lt;&gt;"",MAX(0,$V1014-$U1014),MAX(0,TODAY()-$U1014)))</f>
        <v/>
      </c>
      <c r="Y1014" s="39">
        <f>IF($C1014="","",IF(IFERROR(INDEX(LISTAS!$I$3:$I$42,MATCH($T1014,LISTAS!$H$3:$H$42,0)),"NO")="SÍ",IF(N($X1014)&gt;0,"CERRADA FUERA DE SLA","CERRADA EN SLA"),IF($U1014="","SIN CLASIFICAR",IF(N($X1014)&gt;0,"VENCIDA",IF(TODAY()&gt;=$U1014-1,"POR VENCER","EN PLAZO")))))</f>
        <v/>
      </c>
      <c r="Z1014" s="41" t="n"/>
      <c r="AA1014" s="41" t="n"/>
      <c r="AB1014" s="41" t="n"/>
    </row>
    <row r="1015">
      <c r="A1015" s="39">
        <f>IF($C1015="","","NOV-"&amp;TEXT(ROW()-3,"0000"))</f>
        <v/>
      </c>
      <c r="B1015" s="40" t="n"/>
      <c r="C1015" s="41" t="n"/>
      <c r="D1015" s="42">
        <f>IF($C1015="","",IFERROR(INDEX(DESPACHOS!$D$3:$D$3002,MATCH($C1015,DESPACHOS!$B$3:$B$3002,0)),"SIN DESPACHO"))</f>
        <v/>
      </c>
      <c r="E1015" s="42">
        <f>IF($C1015="","",IFERROR(INDEX(DESPACHOS!$K$3:$K$3002,MATCH($C1015,DESPACHOS!$B$3:$B$3002,0)),""))</f>
        <v/>
      </c>
      <c r="F1015" s="42">
        <f>IF($C1015="","",IFERROR(INDEX(DESPACHOS!$I$3:$I$3002,MATCH($C1015,DESPACHOS!$B$3:$B$3002,0)),""))</f>
        <v/>
      </c>
      <c r="G1015" s="42">
        <f>IF($C1015="","",IFERROR(INDEX(DESPACHOS!$F$3:$F$3002,MATCH($C1015,DESPACHOS!$B$3:$B$3002,0)),""))</f>
        <v/>
      </c>
      <c r="H1015" s="42">
        <f>IF($C1015="","",IFERROR(INDEX(DESPACHOS!$G$3:$G$3002,MATCH($C1015,DESPACHOS!$B$3:$B$3002,0)),""))</f>
        <v/>
      </c>
      <c r="I1015" s="39">
        <f>IF($C1015="","",IFERROR(INDEX(DESPACHOS!$H$3:$H$3002,MATCH($C1015,DESPACHOS!$B$3:$B$3002,0)),""))</f>
        <v/>
      </c>
      <c r="J1015" s="43">
        <f>IF($C1015="","",IFERROR(INDEX(DESPACHOS!$J$3:$J$3002,MATCH($C1015,DESPACHOS!$B$3:$B$3002,0)),""))</f>
        <v/>
      </c>
      <c r="K1015" s="39">
        <f>IF($C1015="","",IF(COUNTIFS(DESPACHOS!$B$3:$B$3002,$C1015)=0,"NO EXISTE",IF(COUNTIFS(DESPACHOS!$B$3:$B$3002,$C1015)&gt;1,"DUPLICADO","OK")))</f>
        <v/>
      </c>
      <c r="L1015" s="41" t="n"/>
      <c r="M1015" s="41" t="n"/>
      <c r="N1015" s="42">
        <f>IF($M1015="","",IFERROR(INDEX(LISTAS!$F$3:$F$42,MATCH($M1015,LISTAS!$E$3:$E$42,0)),"Por definir"))</f>
        <v/>
      </c>
      <c r="O1015" s="41" t="n"/>
      <c r="P1015" s="39">
        <f>IF($L1015="","",IFERROR(INDEX(LISTAS!$B$3:$B$42,MATCH($L1015,LISTAS!$A$3:$A$42,0)),"Media"))</f>
        <v/>
      </c>
      <c r="Q1015" s="44" t="n"/>
      <c r="R1015" s="45" t="n"/>
      <c r="S1015" s="20">
        <f>IFERROR(IF(OR($R1015="",$C1015=""),"",$R1015/INDEX(DESPACHOS!$M$3:$M$3002,MATCH($C1015,DESPACHOS!$B$3:$B$3002,0))),"")</f>
        <v/>
      </c>
      <c r="T1015" s="41" t="n"/>
      <c r="U1015" s="43">
        <f>IF(OR($B1015="",$L1015=""),"",WORKDAY($B1015,IFERROR(INDEX(LISTAS!$C$3:$C$42,MATCH($L1015,LISTAS!$A$3:$A$42,0)),3)))</f>
        <v/>
      </c>
      <c r="V1015" s="40" t="n"/>
      <c r="W1015" s="19">
        <f>IF($B1015="","",IF($V1015&lt;&gt;"",$V1015-$B1015,TODAY()-$B1015))</f>
        <v/>
      </c>
      <c r="X1015" s="19">
        <f>IF(OR($B1015="",$U1015=""),"",IF($V1015&lt;&gt;"",MAX(0,$V1015-$U1015),MAX(0,TODAY()-$U1015)))</f>
        <v/>
      </c>
      <c r="Y1015" s="39">
        <f>IF($C1015="","",IF(IFERROR(INDEX(LISTAS!$I$3:$I$42,MATCH($T1015,LISTAS!$H$3:$H$42,0)),"NO")="SÍ",IF(N($X1015)&gt;0,"CERRADA FUERA DE SLA","CERRADA EN SLA"),IF($U1015="","SIN CLASIFICAR",IF(N($X1015)&gt;0,"VENCIDA",IF(TODAY()&gt;=$U1015-1,"POR VENCER","EN PLAZO")))))</f>
        <v/>
      </c>
      <c r="Z1015" s="41" t="n"/>
      <c r="AA1015" s="41" t="n"/>
      <c r="AB1015" s="41" t="n"/>
    </row>
    <row r="1016">
      <c r="A1016" s="39">
        <f>IF($C1016="","","NOV-"&amp;TEXT(ROW()-3,"0000"))</f>
        <v/>
      </c>
      <c r="B1016" s="40" t="n"/>
      <c r="C1016" s="41" t="n"/>
      <c r="D1016" s="42">
        <f>IF($C1016="","",IFERROR(INDEX(DESPACHOS!$D$3:$D$3002,MATCH($C1016,DESPACHOS!$B$3:$B$3002,0)),"SIN DESPACHO"))</f>
        <v/>
      </c>
      <c r="E1016" s="42">
        <f>IF($C1016="","",IFERROR(INDEX(DESPACHOS!$K$3:$K$3002,MATCH($C1016,DESPACHOS!$B$3:$B$3002,0)),""))</f>
        <v/>
      </c>
      <c r="F1016" s="42">
        <f>IF($C1016="","",IFERROR(INDEX(DESPACHOS!$I$3:$I$3002,MATCH($C1016,DESPACHOS!$B$3:$B$3002,0)),""))</f>
        <v/>
      </c>
      <c r="G1016" s="42">
        <f>IF($C1016="","",IFERROR(INDEX(DESPACHOS!$F$3:$F$3002,MATCH($C1016,DESPACHOS!$B$3:$B$3002,0)),""))</f>
        <v/>
      </c>
      <c r="H1016" s="42">
        <f>IF($C1016="","",IFERROR(INDEX(DESPACHOS!$G$3:$G$3002,MATCH($C1016,DESPACHOS!$B$3:$B$3002,0)),""))</f>
        <v/>
      </c>
      <c r="I1016" s="39">
        <f>IF($C1016="","",IFERROR(INDEX(DESPACHOS!$H$3:$H$3002,MATCH($C1016,DESPACHOS!$B$3:$B$3002,0)),""))</f>
        <v/>
      </c>
      <c r="J1016" s="43">
        <f>IF($C1016="","",IFERROR(INDEX(DESPACHOS!$J$3:$J$3002,MATCH($C1016,DESPACHOS!$B$3:$B$3002,0)),""))</f>
        <v/>
      </c>
      <c r="K1016" s="39">
        <f>IF($C1016="","",IF(COUNTIFS(DESPACHOS!$B$3:$B$3002,$C1016)=0,"NO EXISTE",IF(COUNTIFS(DESPACHOS!$B$3:$B$3002,$C1016)&gt;1,"DUPLICADO","OK")))</f>
        <v/>
      </c>
      <c r="L1016" s="41" t="n"/>
      <c r="M1016" s="41" t="n"/>
      <c r="N1016" s="42">
        <f>IF($M1016="","",IFERROR(INDEX(LISTAS!$F$3:$F$42,MATCH($M1016,LISTAS!$E$3:$E$42,0)),"Por definir"))</f>
        <v/>
      </c>
      <c r="O1016" s="41" t="n"/>
      <c r="P1016" s="39">
        <f>IF($L1016="","",IFERROR(INDEX(LISTAS!$B$3:$B$42,MATCH($L1016,LISTAS!$A$3:$A$42,0)),"Media"))</f>
        <v/>
      </c>
      <c r="Q1016" s="44" t="n"/>
      <c r="R1016" s="45" t="n"/>
      <c r="S1016" s="20">
        <f>IFERROR(IF(OR($R1016="",$C1016=""),"",$R1016/INDEX(DESPACHOS!$M$3:$M$3002,MATCH($C1016,DESPACHOS!$B$3:$B$3002,0))),"")</f>
        <v/>
      </c>
      <c r="T1016" s="41" t="n"/>
      <c r="U1016" s="43">
        <f>IF(OR($B1016="",$L1016=""),"",WORKDAY($B1016,IFERROR(INDEX(LISTAS!$C$3:$C$42,MATCH($L1016,LISTAS!$A$3:$A$42,0)),3)))</f>
        <v/>
      </c>
      <c r="V1016" s="40" t="n"/>
      <c r="W1016" s="19">
        <f>IF($B1016="","",IF($V1016&lt;&gt;"",$V1016-$B1016,TODAY()-$B1016))</f>
        <v/>
      </c>
      <c r="X1016" s="19">
        <f>IF(OR($B1016="",$U1016=""),"",IF($V1016&lt;&gt;"",MAX(0,$V1016-$U1016),MAX(0,TODAY()-$U1016)))</f>
        <v/>
      </c>
      <c r="Y1016" s="39">
        <f>IF($C1016="","",IF(IFERROR(INDEX(LISTAS!$I$3:$I$42,MATCH($T1016,LISTAS!$H$3:$H$42,0)),"NO")="SÍ",IF(N($X1016)&gt;0,"CERRADA FUERA DE SLA","CERRADA EN SLA"),IF($U1016="","SIN CLASIFICAR",IF(N($X1016)&gt;0,"VENCIDA",IF(TODAY()&gt;=$U1016-1,"POR VENCER","EN PLAZO")))))</f>
        <v/>
      </c>
      <c r="Z1016" s="41" t="n"/>
      <c r="AA1016" s="41" t="n"/>
      <c r="AB1016" s="41" t="n"/>
    </row>
    <row r="1017">
      <c r="A1017" s="39">
        <f>IF($C1017="","","NOV-"&amp;TEXT(ROW()-3,"0000"))</f>
        <v/>
      </c>
      <c r="B1017" s="40" t="n"/>
      <c r="C1017" s="41" t="n"/>
      <c r="D1017" s="42">
        <f>IF($C1017="","",IFERROR(INDEX(DESPACHOS!$D$3:$D$3002,MATCH($C1017,DESPACHOS!$B$3:$B$3002,0)),"SIN DESPACHO"))</f>
        <v/>
      </c>
      <c r="E1017" s="42">
        <f>IF($C1017="","",IFERROR(INDEX(DESPACHOS!$K$3:$K$3002,MATCH($C1017,DESPACHOS!$B$3:$B$3002,0)),""))</f>
        <v/>
      </c>
      <c r="F1017" s="42">
        <f>IF($C1017="","",IFERROR(INDEX(DESPACHOS!$I$3:$I$3002,MATCH($C1017,DESPACHOS!$B$3:$B$3002,0)),""))</f>
        <v/>
      </c>
      <c r="G1017" s="42">
        <f>IF($C1017="","",IFERROR(INDEX(DESPACHOS!$F$3:$F$3002,MATCH($C1017,DESPACHOS!$B$3:$B$3002,0)),""))</f>
        <v/>
      </c>
      <c r="H1017" s="42">
        <f>IF($C1017="","",IFERROR(INDEX(DESPACHOS!$G$3:$G$3002,MATCH($C1017,DESPACHOS!$B$3:$B$3002,0)),""))</f>
        <v/>
      </c>
      <c r="I1017" s="39">
        <f>IF($C1017="","",IFERROR(INDEX(DESPACHOS!$H$3:$H$3002,MATCH($C1017,DESPACHOS!$B$3:$B$3002,0)),""))</f>
        <v/>
      </c>
      <c r="J1017" s="43">
        <f>IF($C1017="","",IFERROR(INDEX(DESPACHOS!$J$3:$J$3002,MATCH($C1017,DESPACHOS!$B$3:$B$3002,0)),""))</f>
        <v/>
      </c>
      <c r="K1017" s="39">
        <f>IF($C1017="","",IF(COUNTIFS(DESPACHOS!$B$3:$B$3002,$C1017)=0,"NO EXISTE",IF(COUNTIFS(DESPACHOS!$B$3:$B$3002,$C1017)&gt;1,"DUPLICADO","OK")))</f>
        <v/>
      </c>
      <c r="L1017" s="41" t="n"/>
      <c r="M1017" s="41" t="n"/>
      <c r="N1017" s="42">
        <f>IF($M1017="","",IFERROR(INDEX(LISTAS!$F$3:$F$42,MATCH($M1017,LISTAS!$E$3:$E$42,0)),"Por definir"))</f>
        <v/>
      </c>
      <c r="O1017" s="41" t="n"/>
      <c r="P1017" s="39">
        <f>IF($L1017="","",IFERROR(INDEX(LISTAS!$B$3:$B$42,MATCH($L1017,LISTAS!$A$3:$A$42,0)),"Media"))</f>
        <v/>
      </c>
      <c r="Q1017" s="44" t="n"/>
      <c r="R1017" s="45" t="n"/>
      <c r="S1017" s="20">
        <f>IFERROR(IF(OR($R1017="",$C1017=""),"",$R1017/INDEX(DESPACHOS!$M$3:$M$3002,MATCH($C1017,DESPACHOS!$B$3:$B$3002,0))),"")</f>
        <v/>
      </c>
      <c r="T1017" s="41" t="n"/>
      <c r="U1017" s="43">
        <f>IF(OR($B1017="",$L1017=""),"",WORKDAY($B1017,IFERROR(INDEX(LISTAS!$C$3:$C$42,MATCH($L1017,LISTAS!$A$3:$A$42,0)),3)))</f>
        <v/>
      </c>
      <c r="V1017" s="40" t="n"/>
      <c r="W1017" s="19">
        <f>IF($B1017="","",IF($V1017&lt;&gt;"",$V1017-$B1017,TODAY()-$B1017))</f>
        <v/>
      </c>
      <c r="X1017" s="19">
        <f>IF(OR($B1017="",$U1017=""),"",IF($V1017&lt;&gt;"",MAX(0,$V1017-$U1017),MAX(0,TODAY()-$U1017)))</f>
        <v/>
      </c>
      <c r="Y1017" s="39">
        <f>IF($C1017="","",IF(IFERROR(INDEX(LISTAS!$I$3:$I$42,MATCH($T1017,LISTAS!$H$3:$H$42,0)),"NO")="SÍ",IF(N($X1017)&gt;0,"CERRADA FUERA DE SLA","CERRADA EN SLA"),IF($U1017="","SIN CLASIFICAR",IF(N($X1017)&gt;0,"VENCIDA",IF(TODAY()&gt;=$U1017-1,"POR VENCER","EN PLAZO")))))</f>
        <v/>
      </c>
      <c r="Z1017" s="41" t="n"/>
      <c r="AA1017" s="41" t="n"/>
      <c r="AB1017" s="41" t="n"/>
    </row>
    <row r="1018">
      <c r="A1018" s="39">
        <f>IF($C1018="","","NOV-"&amp;TEXT(ROW()-3,"0000"))</f>
        <v/>
      </c>
      <c r="B1018" s="40" t="n"/>
      <c r="C1018" s="41" t="n"/>
      <c r="D1018" s="42">
        <f>IF($C1018="","",IFERROR(INDEX(DESPACHOS!$D$3:$D$3002,MATCH($C1018,DESPACHOS!$B$3:$B$3002,0)),"SIN DESPACHO"))</f>
        <v/>
      </c>
      <c r="E1018" s="42">
        <f>IF($C1018="","",IFERROR(INDEX(DESPACHOS!$K$3:$K$3002,MATCH($C1018,DESPACHOS!$B$3:$B$3002,0)),""))</f>
        <v/>
      </c>
      <c r="F1018" s="42">
        <f>IF($C1018="","",IFERROR(INDEX(DESPACHOS!$I$3:$I$3002,MATCH($C1018,DESPACHOS!$B$3:$B$3002,0)),""))</f>
        <v/>
      </c>
      <c r="G1018" s="42">
        <f>IF($C1018="","",IFERROR(INDEX(DESPACHOS!$F$3:$F$3002,MATCH($C1018,DESPACHOS!$B$3:$B$3002,0)),""))</f>
        <v/>
      </c>
      <c r="H1018" s="42">
        <f>IF($C1018="","",IFERROR(INDEX(DESPACHOS!$G$3:$G$3002,MATCH($C1018,DESPACHOS!$B$3:$B$3002,0)),""))</f>
        <v/>
      </c>
      <c r="I1018" s="39">
        <f>IF($C1018="","",IFERROR(INDEX(DESPACHOS!$H$3:$H$3002,MATCH($C1018,DESPACHOS!$B$3:$B$3002,0)),""))</f>
        <v/>
      </c>
      <c r="J1018" s="43">
        <f>IF($C1018="","",IFERROR(INDEX(DESPACHOS!$J$3:$J$3002,MATCH($C1018,DESPACHOS!$B$3:$B$3002,0)),""))</f>
        <v/>
      </c>
      <c r="K1018" s="39">
        <f>IF($C1018="","",IF(COUNTIFS(DESPACHOS!$B$3:$B$3002,$C1018)=0,"NO EXISTE",IF(COUNTIFS(DESPACHOS!$B$3:$B$3002,$C1018)&gt;1,"DUPLICADO","OK")))</f>
        <v/>
      </c>
      <c r="L1018" s="41" t="n"/>
      <c r="M1018" s="41" t="n"/>
      <c r="N1018" s="42">
        <f>IF($M1018="","",IFERROR(INDEX(LISTAS!$F$3:$F$42,MATCH($M1018,LISTAS!$E$3:$E$42,0)),"Por definir"))</f>
        <v/>
      </c>
      <c r="O1018" s="41" t="n"/>
      <c r="P1018" s="39">
        <f>IF($L1018="","",IFERROR(INDEX(LISTAS!$B$3:$B$42,MATCH($L1018,LISTAS!$A$3:$A$42,0)),"Media"))</f>
        <v/>
      </c>
      <c r="Q1018" s="44" t="n"/>
      <c r="R1018" s="45" t="n"/>
      <c r="S1018" s="20">
        <f>IFERROR(IF(OR($R1018="",$C1018=""),"",$R1018/INDEX(DESPACHOS!$M$3:$M$3002,MATCH($C1018,DESPACHOS!$B$3:$B$3002,0))),"")</f>
        <v/>
      </c>
      <c r="T1018" s="41" t="n"/>
      <c r="U1018" s="43">
        <f>IF(OR($B1018="",$L1018=""),"",WORKDAY($B1018,IFERROR(INDEX(LISTAS!$C$3:$C$42,MATCH($L1018,LISTAS!$A$3:$A$42,0)),3)))</f>
        <v/>
      </c>
      <c r="V1018" s="40" t="n"/>
      <c r="W1018" s="19">
        <f>IF($B1018="","",IF($V1018&lt;&gt;"",$V1018-$B1018,TODAY()-$B1018))</f>
        <v/>
      </c>
      <c r="X1018" s="19">
        <f>IF(OR($B1018="",$U1018=""),"",IF($V1018&lt;&gt;"",MAX(0,$V1018-$U1018),MAX(0,TODAY()-$U1018)))</f>
        <v/>
      </c>
      <c r="Y1018" s="39">
        <f>IF($C1018="","",IF(IFERROR(INDEX(LISTAS!$I$3:$I$42,MATCH($T1018,LISTAS!$H$3:$H$42,0)),"NO")="SÍ",IF(N($X1018)&gt;0,"CERRADA FUERA DE SLA","CERRADA EN SLA"),IF($U1018="","SIN CLASIFICAR",IF(N($X1018)&gt;0,"VENCIDA",IF(TODAY()&gt;=$U1018-1,"POR VENCER","EN PLAZO")))))</f>
        <v/>
      </c>
      <c r="Z1018" s="41" t="n"/>
      <c r="AA1018" s="41" t="n"/>
      <c r="AB1018" s="41" t="n"/>
    </row>
    <row r="1019">
      <c r="A1019" s="39">
        <f>IF($C1019="","","NOV-"&amp;TEXT(ROW()-3,"0000"))</f>
        <v/>
      </c>
      <c r="B1019" s="40" t="n"/>
      <c r="C1019" s="41" t="n"/>
      <c r="D1019" s="42">
        <f>IF($C1019="","",IFERROR(INDEX(DESPACHOS!$D$3:$D$3002,MATCH($C1019,DESPACHOS!$B$3:$B$3002,0)),"SIN DESPACHO"))</f>
        <v/>
      </c>
      <c r="E1019" s="42">
        <f>IF($C1019="","",IFERROR(INDEX(DESPACHOS!$K$3:$K$3002,MATCH($C1019,DESPACHOS!$B$3:$B$3002,0)),""))</f>
        <v/>
      </c>
      <c r="F1019" s="42">
        <f>IF($C1019="","",IFERROR(INDEX(DESPACHOS!$I$3:$I$3002,MATCH($C1019,DESPACHOS!$B$3:$B$3002,0)),""))</f>
        <v/>
      </c>
      <c r="G1019" s="42">
        <f>IF($C1019="","",IFERROR(INDEX(DESPACHOS!$F$3:$F$3002,MATCH($C1019,DESPACHOS!$B$3:$B$3002,0)),""))</f>
        <v/>
      </c>
      <c r="H1019" s="42">
        <f>IF($C1019="","",IFERROR(INDEX(DESPACHOS!$G$3:$G$3002,MATCH($C1019,DESPACHOS!$B$3:$B$3002,0)),""))</f>
        <v/>
      </c>
      <c r="I1019" s="39">
        <f>IF($C1019="","",IFERROR(INDEX(DESPACHOS!$H$3:$H$3002,MATCH($C1019,DESPACHOS!$B$3:$B$3002,0)),""))</f>
        <v/>
      </c>
      <c r="J1019" s="43">
        <f>IF($C1019="","",IFERROR(INDEX(DESPACHOS!$J$3:$J$3002,MATCH($C1019,DESPACHOS!$B$3:$B$3002,0)),""))</f>
        <v/>
      </c>
      <c r="K1019" s="39">
        <f>IF($C1019="","",IF(COUNTIFS(DESPACHOS!$B$3:$B$3002,$C1019)=0,"NO EXISTE",IF(COUNTIFS(DESPACHOS!$B$3:$B$3002,$C1019)&gt;1,"DUPLICADO","OK")))</f>
        <v/>
      </c>
      <c r="L1019" s="41" t="n"/>
      <c r="M1019" s="41" t="n"/>
      <c r="N1019" s="42">
        <f>IF($M1019="","",IFERROR(INDEX(LISTAS!$F$3:$F$42,MATCH($M1019,LISTAS!$E$3:$E$42,0)),"Por definir"))</f>
        <v/>
      </c>
      <c r="O1019" s="41" t="n"/>
      <c r="P1019" s="39">
        <f>IF($L1019="","",IFERROR(INDEX(LISTAS!$B$3:$B$42,MATCH($L1019,LISTAS!$A$3:$A$42,0)),"Media"))</f>
        <v/>
      </c>
      <c r="Q1019" s="44" t="n"/>
      <c r="R1019" s="45" t="n"/>
      <c r="S1019" s="20">
        <f>IFERROR(IF(OR($R1019="",$C1019=""),"",$R1019/INDEX(DESPACHOS!$M$3:$M$3002,MATCH($C1019,DESPACHOS!$B$3:$B$3002,0))),"")</f>
        <v/>
      </c>
      <c r="T1019" s="41" t="n"/>
      <c r="U1019" s="43">
        <f>IF(OR($B1019="",$L1019=""),"",WORKDAY($B1019,IFERROR(INDEX(LISTAS!$C$3:$C$42,MATCH($L1019,LISTAS!$A$3:$A$42,0)),3)))</f>
        <v/>
      </c>
      <c r="V1019" s="40" t="n"/>
      <c r="W1019" s="19">
        <f>IF($B1019="","",IF($V1019&lt;&gt;"",$V1019-$B1019,TODAY()-$B1019))</f>
        <v/>
      </c>
      <c r="X1019" s="19">
        <f>IF(OR($B1019="",$U1019=""),"",IF($V1019&lt;&gt;"",MAX(0,$V1019-$U1019),MAX(0,TODAY()-$U1019)))</f>
        <v/>
      </c>
      <c r="Y1019" s="39">
        <f>IF($C1019="","",IF(IFERROR(INDEX(LISTAS!$I$3:$I$42,MATCH($T1019,LISTAS!$H$3:$H$42,0)),"NO")="SÍ",IF(N($X1019)&gt;0,"CERRADA FUERA DE SLA","CERRADA EN SLA"),IF($U1019="","SIN CLASIFICAR",IF(N($X1019)&gt;0,"VENCIDA",IF(TODAY()&gt;=$U1019-1,"POR VENCER","EN PLAZO")))))</f>
        <v/>
      </c>
      <c r="Z1019" s="41" t="n"/>
      <c r="AA1019" s="41" t="n"/>
      <c r="AB1019" s="41" t="n"/>
    </row>
    <row r="1020">
      <c r="A1020" s="39">
        <f>IF($C1020="","","NOV-"&amp;TEXT(ROW()-3,"0000"))</f>
        <v/>
      </c>
      <c r="B1020" s="40" t="n"/>
      <c r="C1020" s="41" t="n"/>
      <c r="D1020" s="42">
        <f>IF($C1020="","",IFERROR(INDEX(DESPACHOS!$D$3:$D$3002,MATCH($C1020,DESPACHOS!$B$3:$B$3002,0)),"SIN DESPACHO"))</f>
        <v/>
      </c>
      <c r="E1020" s="42">
        <f>IF($C1020="","",IFERROR(INDEX(DESPACHOS!$K$3:$K$3002,MATCH($C1020,DESPACHOS!$B$3:$B$3002,0)),""))</f>
        <v/>
      </c>
      <c r="F1020" s="42">
        <f>IF($C1020="","",IFERROR(INDEX(DESPACHOS!$I$3:$I$3002,MATCH($C1020,DESPACHOS!$B$3:$B$3002,0)),""))</f>
        <v/>
      </c>
      <c r="G1020" s="42">
        <f>IF($C1020="","",IFERROR(INDEX(DESPACHOS!$F$3:$F$3002,MATCH($C1020,DESPACHOS!$B$3:$B$3002,0)),""))</f>
        <v/>
      </c>
      <c r="H1020" s="42">
        <f>IF($C1020="","",IFERROR(INDEX(DESPACHOS!$G$3:$G$3002,MATCH($C1020,DESPACHOS!$B$3:$B$3002,0)),""))</f>
        <v/>
      </c>
      <c r="I1020" s="39">
        <f>IF($C1020="","",IFERROR(INDEX(DESPACHOS!$H$3:$H$3002,MATCH($C1020,DESPACHOS!$B$3:$B$3002,0)),""))</f>
        <v/>
      </c>
      <c r="J1020" s="43">
        <f>IF($C1020="","",IFERROR(INDEX(DESPACHOS!$J$3:$J$3002,MATCH($C1020,DESPACHOS!$B$3:$B$3002,0)),""))</f>
        <v/>
      </c>
      <c r="K1020" s="39">
        <f>IF($C1020="","",IF(COUNTIFS(DESPACHOS!$B$3:$B$3002,$C1020)=0,"NO EXISTE",IF(COUNTIFS(DESPACHOS!$B$3:$B$3002,$C1020)&gt;1,"DUPLICADO","OK")))</f>
        <v/>
      </c>
      <c r="L1020" s="41" t="n"/>
      <c r="M1020" s="41" t="n"/>
      <c r="N1020" s="42">
        <f>IF($M1020="","",IFERROR(INDEX(LISTAS!$F$3:$F$42,MATCH($M1020,LISTAS!$E$3:$E$42,0)),"Por definir"))</f>
        <v/>
      </c>
      <c r="O1020" s="41" t="n"/>
      <c r="P1020" s="39">
        <f>IF($L1020="","",IFERROR(INDEX(LISTAS!$B$3:$B$42,MATCH($L1020,LISTAS!$A$3:$A$42,0)),"Media"))</f>
        <v/>
      </c>
      <c r="Q1020" s="44" t="n"/>
      <c r="R1020" s="45" t="n"/>
      <c r="S1020" s="20">
        <f>IFERROR(IF(OR($R1020="",$C1020=""),"",$R1020/INDEX(DESPACHOS!$M$3:$M$3002,MATCH($C1020,DESPACHOS!$B$3:$B$3002,0))),"")</f>
        <v/>
      </c>
      <c r="T1020" s="41" t="n"/>
      <c r="U1020" s="43">
        <f>IF(OR($B1020="",$L1020=""),"",WORKDAY($B1020,IFERROR(INDEX(LISTAS!$C$3:$C$42,MATCH($L1020,LISTAS!$A$3:$A$42,0)),3)))</f>
        <v/>
      </c>
      <c r="V1020" s="40" t="n"/>
      <c r="W1020" s="19">
        <f>IF($B1020="","",IF($V1020&lt;&gt;"",$V1020-$B1020,TODAY()-$B1020))</f>
        <v/>
      </c>
      <c r="X1020" s="19">
        <f>IF(OR($B1020="",$U1020=""),"",IF($V1020&lt;&gt;"",MAX(0,$V1020-$U1020),MAX(0,TODAY()-$U1020)))</f>
        <v/>
      </c>
      <c r="Y1020" s="39">
        <f>IF($C1020="","",IF(IFERROR(INDEX(LISTAS!$I$3:$I$42,MATCH($T1020,LISTAS!$H$3:$H$42,0)),"NO")="SÍ",IF(N($X1020)&gt;0,"CERRADA FUERA DE SLA","CERRADA EN SLA"),IF($U1020="","SIN CLASIFICAR",IF(N($X1020)&gt;0,"VENCIDA",IF(TODAY()&gt;=$U1020-1,"POR VENCER","EN PLAZO")))))</f>
        <v/>
      </c>
      <c r="Z1020" s="41" t="n"/>
      <c r="AA1020" s="41" t="n"/>
      <c r="AB1020" s="41" t="n"/>
    </row>
    <row r="1021">
      <c r="A1021" s="39">
        <f>IF($C1021="","","NOV-"&amp;TEXT(ROW()-3,"0000"))</f>
        <v/>
      </c>
      <c r="B1021" s="40" t="n"/>
      <c r="C1021" s="41" t="n"/>
      <c r="D1021" s="42">
        <f>IF($C1021="","",IFERROR(INDEX(DESPACHOS!$D$3:$D$3002,MATCH($C1021,DESPACHOS!$B$3:$B$3002,0)),"SIN DESPACHO"))</f>
        <v/>
      </c>
      <c r="E1021" s="42">
        <f>IF($C1021="","",IFERROR(INDEX(DESPACHOS!$K$3:$K$3002,MATCH($C1021,DESPACHOS!$B$3:$B$3002,0)),""))</f>
        <v/>
      </c>
      <c r="F1021" s="42">
        <f>IF($C1021="","",IFERROR(INDEX(DESPACHOS!$I$3:$I$3002,MATCH($C1021,DESPACHOS!$B$3:$B$3002,0)),""))</f>
        <v/>
      </c>
      <c r="G1021" s="42">
        <f>IF($C1021="","",IFERROR(INDEX(DESPACHOS!$F$3:$F$3002,MATCH($C1021,DESPACHOS!$B$3:$B$3002,0)),""))</f>
        <v/>
      </c>
      <c r="H1021" s="42">
        <f>IF($C1021="","",IFERROR(INDEX(DESPACHOS!$G$3:$G$3002,MATCH($C1021,DESPACHOS!$B$3:$B$3002,0)),""))</f>
        <v/>
      </c>
      <c r="I1021" s="39">
        <f>IF($C1021="","",IFERROR(INDEX(DESPACHOS!$H$3:$H$3002,MATCH($C1021,DESPACHOS!$B$3:$B$3002,0)),""))</f>
        <v/>
      </c>
      <c r="J1021" s="43">
        <f>IF($C1021="","",IFERROR(INDEX(DESPACHOS!$J$3:$J$3002,MATCH($C1021,DESPACHOS!$B$3:$B$3002,0)),""))</f>
        <v/>
      </c>
      <c r="K1021" s="39">
        <f>IF($C1021="","",IF(COUNTIFS(DESPACHOS!$B$3:$B$3002,$C1021)=0,"NO EXISTE",IF(COUNTIFS(DESPACHOS!$B$3:$B$3002,$C1021)&gt;1,"DUPLICADO","OK")))</f>
        <v/>
      </c>
      <c r="L1021" s="41" t="n"/>
      <c r="M1021" s="41" t="n"/>
      <c r="N1021" s="42">
        <f>IF($M1021="","",IFERROR(INDEX(LISTAS!$F$3:$F$42,MATCH($M1021,LISTAS!$E$3:$E$42,0)),"Por definir"))</f>
        <v/>
      </c>
      <c r="O1021" s="41" t="n"/>
      <c r="P1021" s="39">
        <f>IF($L1021="","",IFERROR(INDEX(LISTAS!$B$3:$B$42,MATCH($L1021,LISTAS!$A$3:$A$42,0)),"Media"))</f>
        <v/>
      </c>
      <c r="Q1021" s="44" t="n"/>
      <c r="R1021" s="45" t="n"/>
      <c r="S1021" s="20">
        <f>IFERROR(IF(OR($R1021="",$C1021=""),"",$R1021/INDEX(DESPACHOS!$M$3:$M$3002,MATCH($C1021,DESPACHOS!$B$3:$B$3002,0))),"")</f>
        <v/>
      </c>
      <c r="T1021" s="41" t="n"/>
      <c r="U1021" s="43">
        <f>IF(OR($B1021="",$L1021=""),"",WORKDAY($B1021,IFERROR(INDEX(LISTAS!$C$3:$C$42,MATCH($L1021,LISTAS!$A$3:$A$42,0)),3)))</f>
        <v/>
      </c>
      <c r="V1021" s="40" t="n"/>
      <c r="W1021" s="19">
        <f>IF($B1021="","",IF($V1021&lt;&gt;"",$V1021-$B1021,TODAY()-$B1021))</f>
        <v/>
      </c>
      <c r="X1021" s="19">
        <f>IF(OR($B1021="",$U1021=""),"",IF($V1021&lt;&gt;"",MAX(0,$V1021-$U1021),MAX(0,TODAY()-$U1021)))</f>
        <v/>
      </c>
      <c r="Y1021" s="39">
        <f>IF($C1021="","",IF(IFERROR(INDEX(LISTAS!$I$3:$I$42,MATCH($T1021,LISTAS!$H$3:$H$42,0)),"NO")="SÍ",IF(N($X1021)&gt;0,"CERRADA FUERA DE SLA","CERRADA EN SLA"),IF($U1021="","SIN CLASIFICAR",IF(N($X1021)&gt;0,"VENCIDA",IF(TODAY()&gt;=$U1021-1,"POR VENCER","EN PLAZO")))))</f>
        <v/>
      </c>
      <c r="Z1021" s="41" t="n"/>
      <c r="AA1021" s="41" t="n"/>
      <c r="AB1021" s="41" t="n"/>
    </row>
    <row r="1022">
      <c r="A1022" s="39">
        <f>IF($C1022="","","NOV-"&amp;TEXT(ROW()-3,"0000"))</f>
        <v/>
      </c>
      <c r="B1022" s="40" t="n"/>
      <c r="C1022" s="41" t="n"/>
      <c r="D1022" s="42">
        <f>IF($C1022="","",IFERROR(INDEX(DESPACHOS!$D$3:$D$3002,MATCH($C1022,DESPACHOS!$B$3:$B$3002,0)),"SIN DESPACHO"))</f>
        <v/>
      </c>
      <c r="E1022" s="42">
        <f>IF($C1022="","",IFERROR(INDEX(DESPACHOS!$K$3:$K$3002,MATCH($C1022,DESPACHOS!$B$3:$B$3002,0)),""))</f>
        <v/>
      </c>
      <c r="F1022" s="42">
        <f>IF($C1022="","",IFERROR(INDEX(DESPACHOS!$I$3:$I$3002,MATCH($C1022,DESPACHOS!$B$3:$B$3002,0)),""))</f>
        <v/>
      </c>
      <c r="G1022" s="42">
        <f>IF($C1022="","",IFERROR(INDEX(DESPACHOS!$F$3:$F$3002,MATCH($C1022,DESPACHOS!$B$3:$B$3002,0)),""))</f>
        <v/>
      </c>
      <c r="H1022" s="42">
        <f>IF($C1022="","",IFERROR(INDEX(DESPACHOS!$G$3:$G$3002,MATCH($C1022,DESPACHOS!$B$3:$B$3002,0)),""))</f>
        <v/>
      </c>
      <c r="I1022" s="39">
        <f>IF($C1022="","",IFERROR(INDEX(DESPACHOS!$H$3:$H$3002,MATCH($C1022,DESPACHOS!$B$3:$B$3002,0)),""))</f>
        <v/>
      </c>
      <c r="J1022" s="43">
        <f>IF($C1022="","",IFERROR(INDEX(DESPACHOS!$J$3:$J$3002,MATCH($C1022,DESPACHOS!$B$3:$B$3002,0)),""))</f>
        <v/>
      </c>
      <c r="K1022" s="39">
        <f>IF($C1022="","",IF(COUNTIFS(DESPACHOS!$B$3:$B$3002,$C1022)=0,"NO EXISTE",IF(COUNTIFS(DESPACHOS!$B$3:$B$3002,$C1022)&gt;1,"DUPLICADO","OK")))</f>
        <v/>
      </c>
      <c r="L1022" s="41" t="n"/>
      <c r="M1022" s="41" t="n"/>
      <c r="N1022" s="42">
        <f>IF($M1022="","",IFERROR(INDEX(LISTAS!$F$3:$F$42,MATCH($M1022,LISTAS!$E$3:$E$42,0)),"Por definir"))</f>
        <v/>
      </c>
      <c r="O1022" s="41" t="n"/>
      <c r="P1022" s="39">
        <f>IF($L1022="","",IFERROR(INDEX(LISTAS!$B$3:$B$42,MATCH($L1022,LISTAS!$A$3:$A$42,0)),"Media"))</f>
        <v/>
      </c>
      <c r="Q1022" s="44" t="n"/>
      <c r="R1022" s="45" t="n"/>
      <c r="S1022" s="20">
        <f>IFERROR(IF(OR($R1022="",$C1022=""),"",$R1022/INDEX(DESPACHOS!$M$3:$M$3002,MATCH($C1022,DESPACHOS!$B$3:$B$3002,0))),"")</f>
        <v/>
      </c>
      <c r="T1022" s="41" t="n"/>
      <c r="U1022" s="43">
        <f>IF(OR($B1022="",$L1022=""),"",WORKDAY($B1022,IFERROR(INDEX(LISTAS!$C$3:$C$42,MATCH($L1022,LISTAS!$A$3:$A$42,0)),3)))</f>
        <v/>
      </c>
      <c r="V1022" s="40" t="n"/>
      <c r="W1022" s="19">
        <f>IF($B1022="","",IF($V1022&lt;&gt;"",$V1022-$B1022,TODAY()-$B1022))</f>
        <v/>
      </c>
      <c r="X1022" s="19">
        <f>IF(OR($B1022="",$U1022=""),"",IF($V1022&lt;&gt;"",MAX(0,$V1022-$U1022),MAX(0,TODAY()-$U1022)))</f>
        <v/>
      </c>
      <c r="Y1022" s="39">
        <f>IF($C1022="","",IF(IFERROR(INDEX(LISTAS!$I$3:$I$42,MATCH($T1022,LISTAS!$H$3:$H$42,0)),"NO")="SÍ",IF(N($X1022)&gt;0,"CERRADA FUERA DE SLA","CERRADA EN SLA"),IF($U1022="","SIN CLASIFICAR",IF(N($X1022)&gt;0,"VENCIDA",IF(TODAY()&gt;=$U1022-1,"POR VENCER","EN PLAZO")))))</f>
        <v/>
      </c>
      <c r="Z1022" s="41" t="n"/>
      <c r="AA1022" s="41" t="n"/>
      <c r="AB1022" s="41" t="n"/>
    </row>
    <row r="1023">
      <c r="A1023" s="39">
        <f>IF($C1023="","","NOV-"&amp;TEXT(ROW()-3,"0000"))</f>
        <v/>
      </c>
      <c r="B1023" s="40" t="n"/>
      <c r="C1023" s="41" t="n"/>
      <c r="D1023" s="42">
        <f>IF($C1023="","",IFERROR(INDEX(DESPACHOS!$D$3:$D$3002,MATCH($C1023,DESPACHOS!$B$3:$B$3002,0)),"SIN DESPACHO"))</f>
        <v/>
      </c>
      <c r="E1023" s="42">
        <f>IF($C1023="","",IFERROR(INDEX(DESPACHOS!$K$3:$K$3002,MATCH($C1023,DESPACHOS!$B$3:$B$3002,0)),""))</f>
        <v/>
      </c>
      <c r="F1023" s="42">
        <f>IF($C1023="","",IFERROR(INDEX(DESPACHOS!$I$3:$I$3002,MATCH($C1023,DESPACHOS!$B$3:$B$3002,0)),""))</f>
        <v/>
      </c>
      <c r="G1023" s="42">
        <f>IF($C1023="","",IFERROR(INDEX(DESPACHOS!$F$3:$F$3002,MATCH($C1023,DESPACHOS!$B$3:$B$3002,0)),""))</f>
        <v/>
      </c>
      <c r="H1023" s="42">
        <f>IF($C1023="","",IFERROR(INDEX(DESPACHOS!$G$3:$G$3002,MATCH($C1023,DESPACHOS!$B$3:$B$3002,0)),""))</f>
        <v/>
      </c>
      <c r="I1023" s="39">
        <f>IF($C1023="","",IFERROR(INDEX(DESPACHOS!$H$3:$H$3002,MATCH($C1023,DESPACHOS!$B$3:$B$3002,0)),""))</f>
        <v/>
      </c>
      <c r="J1023" s="43">
        <f>IF($C1023="","",IFERROR(INDEX(DESPACHOS!$J$3:$J$3002,MATCH($C1023,DESPACHOS!$B$3:$B$3002,0)),""))</f>
        <v/>
      </c>
      <c r="K1023" s="39">
        <f>IF($C1023="","",IF(COUNTIFS(DESPACHOS!$B$3:$B$3002,$C1023)=0,"NO EXISTE",IF(COUNTIFS(DESPACHOS!$B$3:$B$3002,$C1023)&gt;1,"DUPLICADO","OK")))</f>
        <v/>
      </c>
      <c r="L1023" s="41" t="n"/>
      <c r="M1023" s="41" t="n"/>
      <c r="N1023" s="42">
        <f>IF($M1023="","",IFERROR(INDEX(LISTAS!$F$3:$F$42,MATCH($M1023,LISTAS!$E$3:$E$42,0)),"Por definir"))</f>
        <v/>
      </c>
      <c r="O1023" s="41" t="n"/>
      <c r="P1023" s="39">
        <f>IF($L1023="","",IFERROR(INDEX(LISTAS!$B$3:$B$42,MATCH($L1023,LISTAS!$A$3:$A$42,0)),"Media"))</f>
        <v/>
      </c>
      <c r="Q1023" s="44" t="n"/>
      <c r="R1023" s="45" t="n"/>
      <c r="S1023" s="20">
        <f>IFERROR(IF(OR($R1023="",$C1023=""),"",$R1023/INDEX(DESPACHOS!$M$3:$M$3002,MATCH($C1023,DESPACHOS!$B$3:$B$3002,0))),"")</f>
        <v/>
      </c>
      <c r="T1023" s="41" t="n"/>
      <c r="U1023" s="43">
        <f>IF(OR($B1023="",$L1023=""),"",WORKDAY($B1023,IFERROR(INDEX(LISTAS!$C$3:$C$42,MATCH($L1023,LISTAS!$A$3:$A$42,0)),3)))</f>
        <v/>
      </c>
      <c r="V1023" s="40" t="n"/>
      <c r="W1023" s="19">
        <f>IF($B1023="","",IF($V1023&lt;&gt;"",$V1023-$B1023,TODAY()-$B1023))</f>
        <v/>
      </c>
      <c r="X1023" s="19">
        <f>IF(OR($B1023="",$U1023=""),"",IF($V1023&lt;&gt;"",MAX(0,$V1023-$U1023),MAX(0,TODAY()-$U1023)))</f>
        <v/>
      </c>
      <c r="Y1023" s="39">
        <f>IF($C1023="","",IF(IFERROR(INDEX(LISTAS!$I$3:$I$42,MATCH($T1023,LISTAS!$H$3:$H$42,0)),"NO")="SÍ",IF(N($X1023)&gt;0,"CERRADA FUERA DE SLA","CERRADA EN SLA"),IF($U1023="","SIN CLASIFICAR",IF(N($X1023)&gt;0,"VENCIDA",IF(TODAY()&gt;=$U1023-1,"POR VENCER","EN PLAZO")))))</f>
        <v/>
      </c>
      <c r="Z1023" s="41" t="n"/>
      <c r="AA1023" s="41" t="n"/>
      <c r="AB1023" s="41" t="n"/>
    </row>
    <row r="1024">
      <c r="A1024" s="39">
        <f>IF($C1024="","","NOV-"&amp;TEXT(ROW()-3,"0000"))</f>
        <v/>
      </c>
      <c r="B1024" s="40" t="n"/>
      <c r="C1024" s="41" t="n"/>
      <c r="D1024" s="42">
        <f>IF($C1024="","",IFERROR(INDEX(DESPACHOS!$D$3:$D$3002,MATCH($C1024,DESPACHOS!$B$3:$B$3002,0)),"SIN DESPACHO"))</f>
        <v/>
      </c>
      <c r="E1024" s="42">
        <f>IF($C1024="","",IFERROR(INDEX(DESPACHOS!$K$3:$K$3002,MATCH($C1024,DESPACHOS!$B$3:$B$3002,0)),""))</f>
        <v/>
      </c>
      <c r="F1024" s="42">
        <f>IF($C1024="","",IFERROR(INDEX(DESPACHOS!$I$3:$I$3002,MATCH($C1024,DESPACHOS!$B$3:$B$3002,0)),""))</f>
        <v/>
      </c>
      <c r="G1024" s="42">
        <f>IF($C1024="","",IFERROR(INDEX(DESPACHOS!$F$3:$F$3002,MATCH($C1024,DESPACHOS!$B$3:$B$3002,0)),""))</f>
        <v/>
      </c>
      <c r="H1024" s="42">
        <f>IF($C1024="","",IFERROR(INDEX(DESPACHOS!$G$3:$G$3002,MATCH($C1024,DESPACHOS!$B$3:$B$3002,0)),""))</f>
        <v/>
      </c>
      <c r="I1024" s="39">
        <f>IF($C1024="","",IFERROR(INDEX(DESPACHOS!$H$3:$H$3002,MATCH($C1024,DESPACHOS!$B$3:$B$3002,0)),""))</f>
        <v/>
      </c>
      <c r="J1024" s="43">
        <f>IF($C1024="","",IFERROR(INDEX(DESPACHOS!$J$3:$J$3002,MATCH($C1024,DESPACHOS!$B$3:$B$3002,0)),""))</f>
        <v/>
      </c>
      <c r="K1024" s="39">
        <f>IF($C1024="","",IF(COUNTIFS(DESPACHOS!$B$3:$B$3002,$C1024)=0,"NO EXISTE",IF(COUNTIFS(DESPACHOS!$B$3:$B$3002,$C1024)&gt;1,"DUPLICADO","OK")))</f>
        <v/>
      </c>
      <c r="L1024" s="41" t="n"/>
      <c r="M1024" s="41" t="n"/>
      <c r="N1024" s="42">
        <f>IF($M1024="","",IFERROR(INDEX(LISTAS!$F$3:$F$42,MATCH($M1024,LISTAS!$E$3:$E$42,0)),"Por definir"))</f>
        <v/>
      </c>
      <c r="O1024" s="41" t="n"/>
      <c r="P1024" s="39">
        <f>IF($L1024="","",IFERROR(INDEX(LISTAS!$B$3:$B$42,MATCH($L1024,LISTAS!$A$3:$A$42,0)),"Media"))</f>
        <v/>
      </c>
      <c r="Q1024" s="44" t="n"/>
      <c r="R1024" s="45" t="n"/>
      <c r="S1024" s="20">
        <f>IFERROR(IF(OR($R1024="",$C1024=""),"",$R1024/INDEX(DESPACHOS!$M$3:$M$3002,MATCH($C1024,DESPACHOS!$B$3:$B$3002,0))),"")</f>
        <v/>
      </c>
      <c r="T1024" s="41" t="n"/>
      <c r="U1024" s="43">
        <f>IF(OR($B1024="",$L1024=""),"",WORKDAY($B1024,IFERROR(INDEX(LISTAS!$C$3:$C$42,MATCH($L1024,LISTAS!$A$3:$A$42,0)),3)))</f>
        <v/>
      </c>
      <c r="V1024" s="40" t="n"/>
      <c r="W1024" s="19">
        <f>IF($B1024="","",IF($V1024&lt;&gt;"",$V1024-$B1024,TODAY()-$B1024))</f>
        <v/>
      </c>
      <c r="X1024" s="19">
        <f>IF(OR($B1024="",$U1024=""),"",IF($V1024&lt;&gt;"",MAX(0,$V1024-$U1024),MAX(0,TODAY()-$U1024)))</f>
        <v/>
      </c>
      <c r="Y1024" s="39">
        <f>IF($C1024="","",IF(IFERROR(INDEX(LISTAS!$I$3:$I$42,MATCH($T1024,LISTAS!$H$3:$H$42,0)),"NO")="SÍ",IF(N($X1024)&gt;0,"CERRADA FUERA DE SLA","CERRADA EN SLA"),IF($U1024="","SIN CLASIFICAR",IF(N($X1024)&gt;0,"VENCIDA",IF(TODAY()&gt;=$U1024-1,"POR VENCER","EN PLAZO")))))</f>
        <v/>
      </c>
      <c r="Z1024" s="41" t="n"/>
      <c r="AA1024" s="41" t="n"/>
      <c r="AB1024" s="41" t="n"/>
    </row>
    <row r="1025">
      <c r="A1025" s="39">
        <f>IF($C1025="","","NOV-"&amp;TEXT(ROW()-3,"0000"))</f>
        <v/>
      </c>
      <c r="B1025" s="40" t="n"/>
      <c r="C1025" s="41" t="n"/>
      <c r="D1025" s="42">
        <f>IF($C1025="","",IFERROR(INDEX(DESPACHOS!$D$3:$D$3002,MATCH($C1025,DESPACHOS!$B$3:$B$3002,0)),"SIN DESPACHO"))</f>
        <v/>
      </c>
      <c r="E1025" s="42">
        <f>IF($C1025="","",IFERROR(INDEX(DESPACHOS!$K$3:$K$3002,MATCH($C1025,DESPACHOS!$B$3:$B$3002,0)),""))</f>
        <v/>
      </c>
      <c r="F1025" s="42">
        <f>IF($C1025="","",IFERROR(INDEX(DESPACHOS!$I$3:$I$3002,MATCH($C1025,DESPACHOS!$B$3:$B$3002,0)),""))</f>
        <v/>
      </c>
      <c r="G1025" s="42">
        <f>IF($C1025="","",IFERROR(INDEX(DESPACHOS!$F$3:$F$3002,MATCH($C1025,DESPACHOS!$B$3:$B$3002,0)),""))</f>
        <v/>
      </c>
      <c r="H1025" s="42">
        <f>IF($C1025="","",IFERROR(INDEX(DESPACHOS!$G$3:$G$3002,MATCH($C1025,DESPACHOS!$B$3:$B$3002,0)),""))</f>
        <v/>
      </c>
      <c r="I1025" s="39">
        <f>IF($C1025="","",IFERROR(INDEX(DESPACHOS!$H$3:$H$3002,MATCH($C1025,DESPACHOS!$B$3:$B$3002,0)),""))</f>
        <v/>
      </c>
      <c r="J1025" s="43">
        <f>IF($C1025="","",IFERROR(INDEX(DESPACHOS!$J$3:$J$3002,MATCH($C1025,DESPACHOS!$B$3:$B$3002,0)),""))</f>
        <v/>
      </c>
      <c r="K1025" s="39">
        <f>IF($C1025="","",IF(COUNTIFS(DESPACHOS!$B$3:$B$3002,$C1025)=0,"NO EXISTE",IF(COUNTIFS(DESPACHOS!$B$3:$B$3002,$C1025)&gt;1,"DUPLICADO","OK")))</f>
        <v/>
      </c>
      <c r="L1025" s="41" t="n"/>
      <c r="M1025" s="41" t="n"/>
      <c r="N1025" s="42">
        <f>IF($M1025="","",IFERROR(INDEX(LISTAS!$F$3:$F$42,MATCH($M1025,LISTAS!$E$3:$E$42,0)),"Por definir"))</f>
        <v/>
      </c>
      <c r="O1025" s="41" t="n"/>
      <c r="P1025" s="39">
        <f>IF($L1025="","",IFERROR(INDEX(LISTAS!$B$3:$B$42,MATCH($L1025,LISTAS!$A$3:$A$42,0)),"Media"))</f>
        <v/>
      </c>
      <c r="Q1025" s="44" t="n"/>
      <c r="R1025" s="45" t="n"/>
      <c r="S1025" s="20">
        <f>IFERROR(IF(OR($R1025="",$C1025=""),"",$R1025/INDEX(DESPACHOS!$M$3:$M$3002,MATCH($C1025,DESPACHOS!$B$3:$B$3002,0))),"")</f>
        <v/>
      </c>
      <c r="T1025" s="41" t="n"/>
      <c r="U1025" s="43">
        <f>IF(OR($B1025="",$L1025=""),"",WORKDAY($B1025,IFERROR(INDEX(LISTAS!$C$3:$C$42,MATCH($L1025,LISTAS!$A$3:$A$42,0)),3)))</f>
        <v/>
      </c>
      <c r="V1025" s="40" t="n"/>
      <c r="W1025" s="19">
        <f>IF($B1025="","",IF($V1025&lt;&gt;"",$V1025-$B1025,TODAY()-$B1025))</f>
        <v/>
      </c>
      <c r="X1025" s="19">
        <f>IF(OR($B1025="",$U1025=""),"",IF($V1025&lt;&gt;"",MAX(0,$V1025-$U1025),MAX(0,TODAY()-$U1025)))</f>
        <v/>
      </c>
      <c r="Y1025" s="39">
        <f>IF($C1025="","",IF(IFERROR(INDEX(LISTAS!$I$3:$I$42,MATCH($T1025,LISTAS!$H$3:$H$42,0)),"NO")="SÍ",IF(N($X1025)&gt;0,"CERRADA FUERA DE SLA","CERRADA EN SLA"),IF($U1025="","SIN CLASIFICAR",IF(N($X1025)&gt;0,"VENCIDA",IF(TODAY()&gt;=$U1025-1,"POR VENCER","EN PLAZO")))))</f>
        <v/>
      </c>
      <c r="Z1025" s="41" t="n"/>
      <c r="AA1025" s="41" t="n"/>
      <c r="AB1025" s="41" t="n"/>
    </row>
    <row r="1026">
      <c r="A1026" s="39">
        <f>IF($C1026="","","NOV-"&amp;TEXT(ROW()-3,"0000"))</f>
        <v/>
      </c>
      <c r="B1026" s="40" t="n"/>
      <c r="C1026" s="41" t="n"/>
      <c r="D1026" s="42">
        <f>IF($C1026="","",IFERROR(INDEX(DESPACHOS!$D$3:$D$3002,MATCH($C1026,DESPACHOS!$B$3:$B$3002,0)),"SIN DESPACHO"))</f>
        <v/>
      </c>
      <c r="E1026" s="42">
        <f>IF($C1026="","",IFERROR(INDEX(DESPACHOS!$K$3:$K$3002,MATCH($C1026,DESPACHOS!$B$3:$B$3002,0)),""))</f>
        <v/>
      </c>
      <c r="F1026" s="42">
        <f>IF($C1026="","",IFERROR(INDEX(DESPACHOS!$I$3:$I$3002,MATCH($C1026,DESPACHOS!$B$3:$B$3002,0)),""))</f>
        <v/>
      </c>
      <c r="G1026" s="42">
        <f>IF($C1026="","",IFERROR(INDEX(DESPACHOS!$F$3:$F$3002,MATCH($C1026,DESPACHOS!$B$3:$B$3002,0)),""))</f>
        <v/>
      </c>
      <c r="H1026" s="42">
        <f>IF($C1026="","",IFERROR(INDEX(DESPACHOS!$G$3:$G$3002,MATCH($C1026,DESPACHOS!$B$3:$B$3002,0)),""))</f>
        <v/>
      </c>
      <c r="I1026" s="39">
        <f>IF($C1026="","",IFERROR(INDEX(DESPACHOS!$H$3:$H$3002,MATCH($C1026,DESPACHOS!$B$3:$B$3002,0)),""))</f>
        <v/>
      </c>
      <c r="J1026" s="43">
        <f>IF($C1026="","",IFERROR(INDEX(DESPACHOS!$J$3:$J$3002,MATCH($C1026,DESPACHOS!$B$3:$B$3002,0)),""))</f>
        <v/>
      </c>
      <c r="K1026" s="39">
        <f>IF($C1026="","",IF(COUNTIFS(DESPACHOS!$B$3:$B$3002,$C1026)=0,"NO EXISTE",IF(COUNTIFS(DESPACHOS!$B$3:$B$3002,$C1026)&gt;1,"DUPLICADO","OK")))</f>
        <v/>
      </c>
      <c r="L1026" s="41" t="n"/>
      <c r="M1026" s="41" t="n"/>
      <c r="N1026" s="42">
        <f>IF($M1026="","",IFERROR(INDEX(LISTAS!$F$3:$F$42,MATCH($M1026,LISTAS!$E$3:$E$42,0)),"Por definir"))</f>
        <v/>
      </c>
      <c r="O1026" s="41" t="n"/>
      <c r="P1026" s="39">
        <f>IF($L1026="","",IFERROR(INDEX(LISTAS!$B$3:$B$42,MATCH($L1026,LISTAS!$A$3:$A$42,0)),"Media"))</f>
        <v/>
      </c>
      <c r="Q1026" s="44" t="n"/>
      <c r="R1026" s="45" t="n"/>
      <c r="S1026" s="20">
        <f>IFERROR(IF(OR($R1026="",$C1026=""),"",$R1026/INDEX(DESPACHOS!$M$3:$M$3002,MATCH($C1026,DESPACHOS!$B$3:$B$3002,0))),"")</f>
        <v/>
      </c>
      <c r="T1026" s="41" t="n"/>
      <c r="U1026" s="43">
        <f>IF(OR($B1026="",$L1026=""),"",WORKDAY($B1026,IFERROR(INDEX(LISTAS!$C$3:$C$42,MATCH($L1026,LISTAS!$A$3:$A$42,0)),3)))</f>
        <v/>
      </c>
      <c r="V1026" s="40" t="n"/>
      <c r="W1026" s="19">
        <f>IF($B1026="","",IF($V1026&lt;&gt;"",$V1026-$B1026,TODAY()-$B1026))</f>
        <v/>
      </c>
      <c r="X1026" s="19">
        <f>IF(OR($B1026="",$U1026=""),"",IF($V1026&lt;&gt;"",MAX(0,$V1026-$U1026),MAX(0,TODAY()-$U1026)))</f>
        <v/>
      </c>
      <c r="Y1026" s="39">
        <f>IF($C1026="","",IF(IFERROR(INDEX(LISTAS!$I$3:$I$42,MATCH($T1026,LISTAS!$H$3:$H$42,0)),"NO")="SÍ",IF(N($X1026)&gt;0,"CERRADA FUERA DE SLA","CERRADA EN SLA"),IF($U1026="","SIN CLASIFICAR",IF(N($X1026)&gt;0,"VENCIDA",IF(TODAY()&gt;=$U1026-1,"POR VENCER","EN PLAZO")))))</f>
        <v/>
      </c>
      <c r="Z1026" s="41" t="n"/>
      <c r="AA1026" s="41" t="n"/>
      <c r="AB1026" s="41" t="n"/>
    </row>
    <row r="1027">
      <c r="A1027" s="39">
        <f>IF($C1027="","","NOV-"&amp;TEXT(ROW()-3,"0000"))</f>
        <v/>
      </c>
      <c r="B1027" s="40" t="n"/>
      <c r="C1027" s="41" t="n"/>
      <c r="D1027" s="42">
        <f>IF($C1027="","",IFERROR(INDEX(DESPACHOS!$D$3:$D$3002,MATCH($C1027,DESPACHOS!$B$3:$B$3002,0)),"SIN DESPACHO"))</f>
        <v/>
      </c>
      <c r="E1027" s="42">
        <f>IF($C1027="","",IFERROR(INDEX(DESPACHOS!$K$3:$K$3002,MATCH($C1027,DESPACHOS!$B$3:$B$3002,0)),""))</f>
        <v/>
      </c>
      <c r="F1027" s="42">
        <f>IF($C1027="","",IFERROR(INDEX(DESPACHOS!$I$3:$I$3002,MATCH($C1027,DESPACHOS!$B$3:$B$3002,0)),""))</f>
        <v/>
      </c>
      <c r="G1027" s="42">
        <f>IF($C1027="","",IFERROR(INDEX(DESPACHOS!$F$3:$F$3002,MATCH($C1027,DESPACHOS!$B$3:$B$3002,0)),""))</f>
        <v/>
      </c>
      <c r="H1027" s="42">
        <f>IF($C1027="","",IFERROR(INDEX(DESPACHOS!$G$3:$G$3002,MATCH($C1027,DESPACHOS!$B$3:$B$3002,0)),""))</f>
        <v/>
      </c>
      <c r="I1027" s="39">
        <f>IF($C1027="","",IFERROR(INDEX(DESPACHOS!$H$3:$H$3002,MATCH($C1027,DESPACHOS!$B$3:$B$3002,0)),""))</f>
        <v/>
      </c>
      <c r="J1027" s="43">
        <f>IF($C1027="","",IFERROR(INDEX(DESPACHOS!$J$3:$J$3002,MATCH($C1027,DESPACHOS!$B$3:$B$3002,0)),""))</f>
        <v/>
      </c>
      <c r="K1027" s="39">
        <f>IF($C1027="","",IF(COUNTIFS(DESPACHOS!$B$3:$B$3002,$C1027)=0,"NO EXISTE",IF(COUNTIFS(DESPACHOS!$B$3:$B$3002,$C1027)&gt;1,"DUPLICADO","OK")))</f>
        <v/>
      </c>
      <c r="L1027" s="41" t="n"/>
      <c r="M1027" s="41" t="n"/>
      <c r="N1027" s="42">
        <f>IF($M1027="","",IFERROR(INDEX(LISTAS!$F$3:$F$42,MATCH($M1027,LISTAS!$E$3:$E$42,0)),"Por definir"))</f>
        <v/>
      </c>
      <c r="O1027" s="41" t="n"/>
      <c r="P1027" s="39">
        <f>IF($L1027="","",IFERROR(INDEX(LISTAS!$B$3:$B$42,MATCH($L1027,LISTAS!$A$3:$A$42,0)),"Media"))</f>
        <v/>
      </c>
      <c r="Q1027" s="44" t="n"/>
      <c r="R1027" s="45" t="n"/>
      <c r="S1027" s="20">
        <f>IFERROR(IF(OR($R1027="",$C1027=""),"",$R1027/INDEX(DESPACHOS!$M$3:$M$3002,MATCH($C1027,DESPACHOS!$B$3:$B$3002,0))),"")</f>
        <v/>
      </c>
      <c r="T1027" s="41" t="n"/>
      <c r="U1027" s="43">
        <f>IF(OR($B1027="",$L1027=""),"",WORKDAY($B1027,IFERROR(INDEX(LISTAS!$C$3:$C$42,MATCH($L1027,LISTAS!$A$3:$A$42,0)),3)))</f>
        <v/>
      </c>
      <c r="V1027" s="40" t="n"/>
      <c r="W1027" s="19">
        <f>IF($B1027="","",IF($V1027&lt;&gt;"",$V1027-$B1027,TODAY()-$B1027))</f>
        <v/>
      </c>
      <c r="X1027" s="19">
        <f>IF(OR($B1027="",$U1027=""),"",IF($V1027&lt;&gt;"",MAX(0,$V1027-$U1027),MAX(0,TODAY()-$U1027)))</f>
        <v/>
      </c>
      <c r="Y1027" s="39">
        <f>IF($C1027="","",IF(IFERROR(INDEX(LISTAS!$I$3:$I$42,MATCH($T1027,LISTAS!$H$3:$H$42,0)),"NO")="SÍ",IF(N($X1027)&gt;0,"CERRADA FUERA DE SLA","CERRADA EN SLA"),IF($U1027="","SIN CLASIFICAR",IF(N($X1027)&gt;0,"VENCIDA",IF(TODAY()&gt;=$U1027-1,"POR VENCER","EN PLAZO")))))</f>
        <v/>
      </c>
      <c r="Z1027" s="41" t="n"/>
      <c r="AA1027" s="41" t="n"/>
      <c r="AB1027" s="41" t="n"/>
    </row>
    <row r="1028">
      <c r="A1028" s="39">
        <f>IF($C1028="","","NOV-"&amp;TEXT(ROW()-3,"0000"))</f>
        <v/>
      </c>
      <c r="B1028" s="40" t="n"/>
      <c r="C1028" s="41" t="n"/>
      <c r="D1028" s="42">
        <f>IF($C1028="","",IFERROR(INDEX(DESPACHOS!$D$3:$D$3002,MATCH($C1028,DESPACHOS!$B$3:$B$3002,0)),"SIN DESPACHO"))</f>
        <v/>
      </c>
      <c r="E1028" s="42">
        <f>IF($C1028="","",IFERROR(INDEX(DESPACHOS!$K$3:$K$3002,MATCH($C1028,DESPACHOS!$B$3:$B$3002,0)),""))</f>
        <v/>
      </c>
      <c r="F1028" s="42">
        <f>IF($C1028="","",IFERROR(INDEX(DESPACHOS!$I$3:$I$3002,MATCH($C1028,DESPACHOS!$B$3:$B$3002,0)),""))</f>
        <v/>
      </c>
      <c r="G1028" s="42">
        <f>IF($C1028="","",IFERROR(INDEX(DESPACHOS!$F$3:$F$3002,MATCH($C1028,DESPACHOS!$B$3:$B$3002,0)),""))</f>
        <v/>
      </c>
      <c r="H1028" s="42">
        <f>IF($C1028="","",IFERROR(INDEX(DESPACHOS!$G$3:$G$3002,MATCH($C1028,DESPACHOS!$B$3:$B$3002,0)),""))</f>
        <v/>
      </c>
      <c r="I1028" s="39">
        <f>IF($C1028="","",IFERROR(INDEX(DESPACHOS!$H$3:$H$3002,MATCH($C1028,DESPACHOS!$B$3:$B$3002,0)),""))</f>
        <v/>
      </c>
      <c r="J1028" s="43">
        <f>IF($C1028="","",IFERROR(INDEX(DESPACHOS!$J$3:$J$3002,MATCH($C1028,DESPACHOS!$B$3:$B$3002,0)),""))</f>
        <v/>
      </c>
      <c r="K1028" s="39">
        <f>IF($C1028="","",IF(COUNTIFS(DESPACHOS!$B$3:$B$3002,$C1028)=0,"NO EXISTE",IF(COUNTIFS(DESPACHOS!$B$3:$B$3002,$C1028)&gt;1,"DUPLICADO","OK")))</f>
        <v/>
      </c>
      <c r="L1028" s="41" t="n"/>
      <c r="M1028" s="41" t="n"/>
      <c r="N1028" s="42">
        <f>IF($M1028="","",IFERROR(INDEX(LISTAS!$F$3:$F$42,MATCH($M1028,LISTAS!$E$3:$E$42,0)),"Por definir"))</f>
        <v/>
      </c>
      <c r="O1028" s="41" t="n"/>
      <c r="P1028" s="39">
        <f>IF($L1028="","",IFERROR(INDEX(LISTAS!$B$3:$B$42,MATCH($L1028,LISTAS!$A$3:$A$42,0)),"Media"))</f>
        <v/>
      </c>
      <c r="Q1028" s="44" t="n"/>
      <c r="R1028" s="45" t="n"/>
      <c r="S1028" s="20">
        <f>IFERROR(IF(OR($R1028="",$C1028=""),"",$R1028/INDEX(DESPACHOS!$M$3:$M$3002,MATCH($C1028,DESPACHOS!$B$3:$B$3002,0))),"")</f>
        <v/>
      </c>
      <c r="T1028" s="41" t="n"/>
      <c r="U1028" s="43">
        <f>IF(OR($B1028="",$L1028=""),"",WORKDAY($B1028,IFERROR(INDEX(LISTAS!$C$3:$C$42,MATCH($L1028,LISTAS!$A$3:$A$42,0)),3)))</f>
        <v/>
      </c>
      <c r="V1028" s="40" t="n"/>
      <c r="W1028" s="19">
        <f>IF($B1028="","",IF($V1028&lt;&gt;"",$V1028-$B1028,TODAY()-$B1028))</f>
        <v/>
      </c>
      <c r="X1028" s="19">
        <f>IF(OR($B1028="",$U1028=""),"",IF($V1028&lt;&gt;"",MAX(0,$V1028-$U1028),MAX(0,TODAY()-$U1028)))</f>
        <v/>
      </c>
      <c r="Y1028" s="39">
        <f>IF($C1028="","",IF(IFERROR(INDEX(LISTAS!$I$3:$I$42,MATCH($T1028,LISTAS!$H$3:$H$42,0)),"NO")="SÍ",IF(N($X1028)&gt;0,"CERRADA FUERA DE SLA","CERRADA EN SLA"),IF($U1028="","SIN CLASIFICAR",IF(N($X1028)&gt;0,"VENCIDA",IF(TODAY()&gt;=$U1028-1,"POR VENCER","EN PLAZO")))))</f>
        <v/>
      </c>
      <c r="Z1028" s="41" t="n"/>
      <c r="AA1028" s="41" t="n"/>
      <c r="AB1028" s="41" t="n"/>
    </row>
    <row r="1029">
      <c r="A1029" s="39">
        <f>IF($C1029="","","NOV-"&amp;TEXT(ROW()-3,"0000"))</f>
        <v/>
      </c>
      <c r="B1029" s="40" t="n"/>
      <c r="C1029" s="41" t="n"/>
      <c r="D1029" s="42">
        <f>IF($C1029="","",IFERROR(INDEX(DESPACHOS!$D$3:$D$3002,MATCH($C1029,DESPACHOS!$B$3:$B$3002,0)),"SIN DESPACHO"))</f>
        <v/>
      </c>
      <c r="E1029" s="42">
        <f>IF($C1029="","",IFERROR(INDEX(DESPACHOS!$K$3:$K$3002,MATCH($C1029,DESPACHOS!$B$3:$B$3002,0)),""))</f>
        <v/>
      </c>
      <c r="F1029" s="42">
        <f>IF($C1029="","",IFERROR(INDEX(DESPACHOS!$I$3:$I$3002,MATCH($C1029,DESPACHOS!$B$3:$B$3002,0)),""))</f>
        <v/>
      </c>
      <c r="G1029" s="42">
        <f>IF($C1029="","",IFERROR(INDEX(DESPACHOS!$F$3:$F$3002,MATCH($C1029,DESPACHOS!$B$3:$B$3002,0)),""))</f>
        <v/>
      </c>
      <c r="H1029" s="42">
        <f>IF($C1029="","",IFERROR(INDEX(DESPACHOS!$G$3:$G$3002,MATCH($C1029,DESPACHOS!$B$3:$B$3002,0)),""))</f>
        <v/>
      </c>
      <c r="I1029" s="39">
        <f>IF($C1029="","",IFERROR(INDEX(DESPACHOS!$H$3:$H$3002,MATCH($C1029,DESPACHOS!$B$3:$B$3002,0)),""))</f>
        <v/>
      </c>
      <c r="J1029" s="43">
        <f>IF($C1029="","",IFERROR(INDEX(DESPACHOS!$J$3:$J$3002,MATCH($C1029,DESPACHOS!$B$3:$B$3002,0)),""))</f>
        <v/>
      </c>
      <c r="K1029" s="39">
        <f>IF($C1029="","",IF(COUNTIFS(DESPACHOS!$B$3:$B$3002,$C1029)=0,"NO EXISTE",IF(COUNTIFS(DESPACHOS!$B$3:$B$3002,$C1029)&gt;1,"DUPLICADO","OK")))</f>
        <v/>
      </c>
      <c r="L1029" s="41" t="n"/>
      <c r="M1029" s="41" t="n"/>
      <c r="N1029" s="42">
        <f>IF($M1029="","",IFERROR(INDEX(LISTAS!$F$3:$F$42,MATCH($M1029,LISTAS!$E$3:$E$42,0)),"Por definir"))</f>
        <v/>
      </c>
      <c r="O1029" s="41" t="n"/>
      <c r="P1029" s="39">
        <f>IF($L1029="","",IFERROR(INDEX(LISTAS!$B$3:$B$42,MATCH($L1029,LISTAS!$A$3:$A$42,0)),"Media"))</f>
        <v/>
      </c>
      <c r="Q1029" s="44" t="n"/>
      <c r="R1029" s="45" t="n"/>
      <c r="S1029" s="20">
        <f>IFERROR(IF(OR($R1029="",$C1029=""),"",$R1029/INDEX(DESPACHOS!$M$3:$M$3002,MATCH($C1029,DESPACHOS!$B$3:$B$3002,0))),"")</f>
        <v/>
      </c>
      <c r="T1029" s="41" t="n"/>
      <c r="U1029" s="43">
        <f>IF(OR($B1029="",$L1029=""),"",WORKDAY($B1029,IFERROR(INDEX(LISTAS!$C$3:$C$42,MATCH($L1029,LISTAS!$A$3:$A$42,0)),3)))</f>
        <v/>
      </c>
      <c r="V1029" s="40" t="n"/>
      <c r="W1029" s="19">
        <f>IF($B1029="","",IF($V1029&lt;&gt;"",$V1029-$B1029,TODAY()-$B1029))</f>
        <v/>
      </c>
      <c r="X1029" s="19">
        <f>IF(OR($B1029="",$U1029=""),"",IF($V1029&lt;&gt;"",MAX(0,$V1029-$U1029),MAX(0,TODAY()-$U1029)))</f>
        <v/>
      </c>
      <c r="Y1029" s="39">
        <f>IF($C1029="","",IF(IFERROR(INDEX(LISTAS!$I$3:$I$42,MATCH($T1029,LISTAS!$H$3:$H$42,0)),"NO")="SÍ",IF(N($X1029)&gt;0,"CERRADA FUERA DE SLA","CERRADA EN SLA"),IF($U1029="","SIN CLASIFICAR",IF(N($X1029)&gt;0,"VENCIDA",IF(TODAY()&gt;=$U1029-1,"POR VENCER","EN PLAZO")))))</f>
        <v/>
      </c>
      <c r="Z1029" s="41" t="n"/>
      <c r="AA1029" s="41" t="n"/>
      <c r="AB1029" s="41" t="n"/>
    </row>
    <row r="1030">
      <c r="A1030" s="39">
        <f>IF($C1030="","","NOV-"&amp;TEXT(ROW()-3,"0000"))</f>
        <v/>
      </c>
      <c r="B1030" s="40" t="n"/>
      <c r="C1030" s="41" t="n"/>
      <c r="D1030" s="42">
        <f>IF($C1030="","",IFERROR(INDEX(DESPACHOS!$D$3:$D$3002,MATCH($C1030,DESPACHOS!$B$3:$B$3002,0)),"SIN DESPACHO"))</f>
        <v/>
      </c>
      <c r="E1030" s="42">
        <f>IF($C1030="","",IFERROR(INDEX(DESPACHOS!$K$3:$K$3002,MATCH($C1030,DESPACHOS!$B$3:$B$3002,0)),""))</f>
        <v/>
      </c>
      <c r="F1030" s="42">
        <f>IF($C1030="","",IFERROR(INDEX(DESPACHOS!$I$3:$I$3002,MATCH($C1030,DESPACHOS!$B$3:$B$3002,0)),""))</f>
        <v/>
      </c>
      <c r="G1030" s="42">
        <f>IF($C1030="","",IFERROR(INDEX(DESPACHOS!$F$3:$F$3002,MATCH($C1030,DESPACHOS!$B$3:$B$3002,0)),""))</f>
        <v/>
      </c>
      <c r="H1030" s="42">
        <f>IF($C1030="","",IFERROR(INDEX(DESPACHOS!$G$3:$G$3002,MATCH($C1030,DESPACHOS!$B$3:$B$3002,0)),""))</f>
        <v/>
      </c>
      <c r="I1030" s="39">
        <f>IF($C1030="","",IFERROR(INDEX(DESPACHOS!$H$3:$H$3002,MATCH($C1030,DESPACHOS!$B$3:$B$3002,0)),""))</f>
        <v/>
      </c>
      <c r="J1030" s="43">
        <f>IF($C1030="","",IFERROR(INDEX(DESPACHOS!$J$3:$J$3002,MATCH($C1030,DESPACHOS!$B$3:$B$3002,0)),""))</f>
        <v/>
      </c>
      <c r="K1030" s="39">
        <f>IF($C1030="","",IF(COUNTIFS(DESPACHOS!$B$3:$B$3002,$C1030)=0,"NO EXISTE",IF(COUNTIFS(DESPACHOS!$B$3:$B$3002,$C1030)&gt;1,"DUPLICADO","OK")))</f>
        <v/>
      </c>
      <c r="L1030" s="41" t="n"/>
      <c r="M1030" s="41" t="n"/>
      <c r="N1030" s="42">
        <f>IF($M1030="","",IFERROR(INDEX(LISTAS!$F$3:$F$42,MATCH($M1030,LISTAS!$E$3:$E$42,0)),"Por definir"))</f>
        <v/>
      </c>
      <c r="O1030" s="41" t="n"/>
      <c r="P1030" s="39">
        <f>IF($L1030="","",IFERROR(INDEX(LISTAS!$B$3:$B$42,MATCH($L1030,LISTAS!$A$3:$A$42,0)),"Media"))</f>
        <v/>
      </c>
      <c r="Q1030" s="44" t="n"/>
      <c r="R1030" s="45" t="n"/>
      <c r="S1030" s="20">
        <f>IFERROR(IF(OR($R1030="",$C1030=""),"",$R1030/INDEX(DESPACHOS!$M$3:$M$3002,MATCH($C1030,DESPACHOS!$B$3:$B$3002,0))),"")</f>
        <v/>
      </c>
      <c r="T1030" s="41" t="n"/>
      <c r="U1030" s="43">
        <f>IF(OR($B1030="",$L1030=""),"",WORKDAY($B1030,IFERROR(INDEX(LISTAS!$C$3:$C$42,MATCH($L1030,LISTAS!$A$3:$A$42,0)),3)))</f>
        <v/>
      </c>
      <c r="V1030" s="40" t="n"/>
      <c r="W1030" s="19">
        <f>IF($B1030="","",IF($V1030&lt;&gt;"",$V1030-$B1030,TODAY()-$B1030))</f>
        <v/>
      </c>
      <c r="X1030" s="19">
        <f>IF(OR($B1030="",$U1030=""),"",IF($V1030&lt;&gt;"",MAX(0,$V1030-$U1030),MAX(0,TODAY()-$U1030)))</f>
        <v/>
      </c>
      <c r="Y1030" s="39">
        <f>IF($C1030="","",IF(IFERROR(INDEX(LISTAS!$I$3:$I$42,MATCH($T1030,LISTAS!$H$3:$H$42,0)),"NO")="SÍ",IF(N($X1030)&gt;0,"CERRADA FUERA DE SLA","CERRADA EN SLA"),IF($U1030="","SIN CLASIFICAR",IF(N($X1030)&gt;0,"VENCIDA",IF(TODAY()&gt;=$U1030-1,"POR VENCER","EN PLAZO")))))</f>
        <v/>
      </c>
      <c r="Z1030" s="41" t="n"/>
      <c r="AA1030" s="41" t="n"/>
      <c r="AB1030" s="41" t="n"/>
    </row>
    <row r="1031">
      <c r="A1031" s="39">
        <f>IF($C1031="","","NOV-"&amp;TEXT(ROW()-3,"0000"))</f>
        <v/>
      </c>
      <c r="B1031" s="40" t="n"/>
      <c r="C1031" s="41" t="n"/>
      <c r="D1031" s="42">
        <f>IF($C1031="","",IFERROR(INDEX(DESPACHOS!$D$3:$D$3002,MATCH($C1031,DESPACHOS!$B$3:$B$3002,0)),"SIN DESPACHO"))</f>
        <v/>
      </c>
      <c r="E1031" s="42">
        <f>IF($C1031="","",IFERROR(INDEX(DESPACHOS!$K$3:$K$3002,MATCH($C1031,DESPACHOS!$B$3:$B$3002,0)),""))</f>
        <v/>
      </c>
      <c r="F1031" s="42">
        <f>IF($C1031="","",IFERROR(INDEX(DESPACHOS!$I$3:$I$3002,MATCH($C1031,DESPACHOS!$B$3:$B$3002,0)),""))</f>
        <v/>
      </c>
      <c r="G1031" s="42">
        <f>IF($C1031="","",IFERROR(INDEX(DESPACHOS!$F$3:$F$3002,MATCH($C1031,DESPACHOS!$B$3:$B$3002,0)),""))</f>
        <v/>
      </c>
      <c r="H1031" s="42">
        <f>IF($C1031="","",IFERROR(INDEX(DESPACHOS!$G$3:$G$3002,MATCH($C1031,DESPACHOS!$B$3:$B$3002,0)),""))</f>
        <v/>
      </c>
      <c r="I1031" s="39">
        <f>IF($C1031="","",IFERROR(INDEX(DESPACHOS!$H$3:$H$3002,MATCH($C1031,DESPACHOS!$B$3:$B$3002,0)),""))</f>
        <v/>
      </c>
      <c r="J1031" s="43">
        <f>IF($C1031="","",IFERROR(INDEX(DESPACHOS!$J$3:$J$3002,MATCH($C1031,DESPACHOS!$B$3:$B$3002,0)),""))</f>
        <v/>
      </c>
      <c r="K1031" s="39">
        <f>IF($C1031="","",IF(COUNTIFS(DESPACHOS!$B$3:$B$3002,$C1031)=0,"NO EXISTE",IF(COUNTIFS(DESPACHOS!$B$3:$B$3002,$C1031)&gt;1,"DUPLICADO","OK")))</f>
        <v/>
      </c>
      <c r="L1031" s="41" t="n"/>
      <c r="M1031" s="41" t="n"/>
      <c r="N1031" s="42">
        <f>IF($M1031="","",IFERROR(INDEX(LISTAS!$F$3:$F$42,MATCH($M1031,LISTAS!$E$3:$E$42,0)),"Por definir"))</f>
        <v/>
      </c>
      <c r="O1031" s="41" t="n"/>
      <c r="P1031" s="39">
        <f>IF($L1031="","",IFERROR(INDEX(LISTAS!$B$3:$B$42,MATCH($L1031,LISTAS!$A$3:$A$42,0)),"Media"))</f>
        <v/>
      </c>
      <c r="Q1031" s="44" t="n"/>
      <c r="R1031" s="45" t="n"/>
      <c r="S1031" s="20">
        <f>IFERROR(IF(OR($R1031="",$C1031=""),"",$R1031/INDEX(DESPACHOS!$M$3:$M$3002,MATCH($C1031,DESPACHOS!$B$3:$B$3002,0))),"")</f>
        <v/>
      </c>
      <c r="T1031" s="41" t="n"/>
      <c r="U1031" s="43">
        <f>IF(OR($B1031="",$L1031=""),"",WORKDAY($B1031,IFERROR(INDEX(LISTAS!$C$3:$C$42,MATCH($L1031,LISTAS!$A$3:$A$42,0)),3)))</f>
        <v/>
      </c>
      <c r="V1031" s="40" t="n"/>
      <c r="W1031" s="19">
        <f>IF($B1031="","",IF($V1031&lt;&gt;"",$V1031-$B1031,TODAY()-$B1031))</f>
        <v/>
      </c>
      <c r="X1031" s="19">
        <f>IF(OR($B1031="",$U1031=""),"",IF($V1031&lt;&gt;"",MAX(0,$V1031-$U1031),MAX(0,TODAY()-$U1031)))</f>
        <v/>
      </c>
      <c r="Y1031" s="39">
        <f>IF($C1031="","",IF(IFERROR(INDEX(LISTAS!$I$3:$I$42,MATCH($T1031,LISTAS!$H$3:$H$42,0)),"NO")="SÍ",IF(N($X1031)&gt;0,"CERRADA FUERA DE SLA","CERRADA EN SLA"),IF($U1031="","SIN CLASIFICAR",IF(N($X1031)&gt;0,"VENCIDA",IF(TODAY()&gt;=$U1031-1,"POR VENCER","EN PLAZO")))))</f>
        <v/>
      </c>
      <c r="Z1031" s="41" t="n"/>
      <c r="AA1031" s="41" t="n"/>
      <c r="AB1031" s="41" t="n"/>
    </row>
    <row r="1032">
      <c r="A1032" s="39">
        <f>IF($C1032="","","NOV-"&amp;TEXT(ROW()-3,"0000"))</f>
        <v/>
      </c>
      <c r="B1032" s="40" t="n"/>
      <c r="C1032" s="41" t="n"/>
      <c r="D1032" s="42">
        <f>IF($C1032="","",IFERROR(INDEX(DESPACHOS!$D$3:$D$3002,MATCH($C1032,DESPACHOS!$B$3:$B$3002,0)),"SIN DESPACHO"))</f>
        <v/>
      </c>
      <c r="E1032" s="42">
        <f>IF($C1032="","",IFERROR(INDEX(DESPACHOS!$K$3:$K$3002,MATCH($C1032,DESPACHOS!$B$3:$B$3002,0)),""))</f>
        <v/>
      </c>
      <c r="F1032" s="42">
        <f>IF($C1032="","",IFERROR(INDEX(DESPACHOS!$I$3:$I$3002,MATCH($C1032,DESPACHOS!$B$3:$B$3002,0)),""))</f>
        <v/>
      </c>
      <c r="G1032" s="42">
        <f>IF($C1032="","",IFERROR(INDEX(DESPACHOS!$F$3:$F$3002,MATCH($C1032,DESPACHOS!$B$3:$B$3002,0)),""))</f>
        <v/>
      </c>
      <c r="H1032" s="42">
        <f>IF($C1032="","",IFERROR(INDEX(DESPACHOS!$G$3:$G$3002,MATCH($C1032,DESPACHOS!$B$3:$B$3002,0)),""))</f>
        <v/>
      </c>
      <c r="I1032" s="39">
        <f>IF($C1032="","",IFERROR(INDEX(DESPACHOS!$H$3:$H$3002,MATCH($C1032,DESPACHOS!$B$3:$B$3002,0)),""))</f>
        <v/>
      </c>
      <c r="J1032" s="43">
        <f>IF($C1032="","",IFERROR(INDEX(DESPACHOS!$J$3:$J$3002,MATCH($C1032,DESPACHOS!$B$3:$B$3002,0)),""))</f>
        <v/>
      </c>
      <c r="K1032" s="39">
        <f>IF($C1032="","",IF(COUNTIFS(DESPACHOS!$B$3:$B$3002,$C1032)=0,"NO EXISTE",IF(COUNTIFS(DESPACHOS!$B$3:$B$3002,$C1032)&gt;1,"DUPLICADO","OK")))</f>
        <v/>
      </c>
      <c r="L1032" s="41" t="n"/>
      <c r="M1032" s="41" t="n"/>
      <c r="N1032" s="42">
        <f>IF($M1032="","",IFERROR(INDEX(LISTAS!$F$3:$F$42,MATCH($M1032,LISTAS!$E$3:$E$42,0)),"Por definir"))</f>
        <v/>
      </c>
      <c r="O1032" s="41" t="n"/>
      <c r="P1032" s="39">
        <f>IF($L1032="","",IFERROR(INDEX(LISTAS!$B$3:$B$42,MATCH($L1032,LISTAS!$A$3:$A$42,0)),"Media"))</f>
        <v/>
      </c>
      <c r="Q1032" s="44" t="n"/>
      <c r="R1032" s="45" t="n"/>
      <c r="S1032" s="20">
        <f>IFERROR(IF(OR($R1032="",$C1032=""),"",$R1032/INDEX(DESPACHOS!$M$3:$M$3002,MATCH($C1032,DESPACHOS!$B$3:$B$3002,0))),"")</f>
        <v/>
      </c>
      <c r="T1032" s="41" t="n"/>
      <c r="U1032" s="43">
        <f>IF(OR($B1032="",$L1032=""),"",WORKDAY($B1032,IFERROR(INDEX(LISTAS!$C$3:$C$42,MATCH($L1032,LISTAS!$A$3:$A$42,0)),3)))</f>
        <v/>
      </c>
      <c r="V1032" s="40" t="n"/>
      <c r="W1032" s="19">
        <f>IF($B1032="","",IF($V1032&lt;&gt;"",$V1032-$B1032,TODAY()-$B1032))</f>
        <v/>
      </c>
      <c r="X1032" s="19">
        <f>IF(OR($B1032="",$U1032=""),"",IF($V1032&lt;&gt;"",MAX(0,$V1032-$U1032),MAX(0,TODAY()-$U1032)))</f>
        <v/>
      </c>
      <c r="Y1032" s="39">
        <f>IF($C1032="","",IF(IFERROR(INDEX(LISTAS!$I$3:$I$42,MATCH($T1032,LISTAS!$H$3:$H$42,0)),"NO")="SÍ",IF(N($X1032)&gt;0,"CERRADA FUERA DE SLA","CERRADA EN SLA"),IF($U1032="","SIN CLASIFICAR",IF(N($X1032)&gt;0,"VENCIDA",IF(TODAY()&gt;=$U1032-1,"POR VENCER","EN PLAZO")))))</f>
        <v/>
      </c>
      <c r="Z1032" s="41" t="n"/>
      <c r="AA1032" s="41" t="n"/>
      <c r="AB1032" s="41" t="n"/>
    </row>
    <row r="1033">
      <c r="A1033" s="39">
        <f>IF($C1033="","","NOV-"&amp;TEXT(ROW()-3,"0000"))</f>
        <v/>
      </c>
      <c r="B1033" s="40" t="n"/>
      <c r="C1033" s="41" t="n"/>
      <c r="D1033" s="42">
        <f>IF($C1033="","",IFERROR(INDEX(DESPACHOS!$D$3:$D$3002,MATCH($C1033,DESPACHOS!$B$3:$B$3002,0)),"SIN DESPACHO"))</f>
        <v/>
      </c>
      <c r="E1033" s="42">
        <f>IF($C1033="","",IFERROR(INDEX(DESPACHOS!$K$3:$K$3002,MATCH($C1033,DESPACHOS!$B$3:$B$3002,0)),""))</f>
        <v/>
      </c>
      <c r="F1033" s="42">
        <f>IF($C1033="","",IFERROR(INDEX(DESPACHOS!$I$3:$I$3002,MATCH($C1033,DESPACHOS!$B$3:$B$3002,0)),""))</f>
        <v/>
      </c>
      <c r="G1033" s="42">
        <f>IF($C1033="","",IFERROR(INDEX(DESPACHOS!$F$3:$F$3002,MATCH($C1033,DESPACHOS!$B$3:$B$3002,0)),""))</f>
        <v/>
      </c>
      <c r="H1033" s="42">
        <f>IF($C1033="","",IFERROR(INDEX(DESPACHOS!$G$3:$G$3002,MATCH($C1033,DESPACHOS!$B$3:$B$3002,0)),""))</f>
        <v/>
      </c>
      <c r="I1033" s="39">
        <f>IF($C1033="","",IFERROR(INDEX(DESPACHOS!$H$3:$H$3002,MATCH($C1033,DESPACHOS!$B$3:$B$3002,0)),""))</f>
        <v/>
      </c>
      <c r="J1033" s="43">
        <f>IF($C1033="","",IFERROR(INDEX(DESPACHOS!$J$3:$J$3002,MATCH($C1033,DESPACHOS!$B$3:$B$3002,0)),""))</f>
        <v/>
      </c>
      <c r="K1033" s="39">
        <f>IF($C1033="","",IF(COUNTIFS(DESPACHOS!$B$3:$B$3002,$C1033)=0,"NO EXISTE",IF(COUNTIFS(DESPACHOS!$B$3:$B$3002,$C1033)&gt;1,"DUPLICADO","OK")))</f>
        <v/>
      </c>
      <c r="L1033" s="41" t="n"/>
      <c r="M1033" s="41" t="n"/>
      <c r="N1033" s="42">
        <f>IF($M1033="","",IFERROR(INDEX(LISTAS!$F$3:$F$42,MATCH($M1033,LISTAS!$E$3:$E$42,0)),"Por definir"))</f>
        <v/>
      </c>
      <c r="O1033" s="41" t="n"/>
      <c r="P1033" s="39">
        <f>IF($L1033="","",IFERROR(INDEX(LISTAS!$B$3:$B$42,MATCH($L1033,LISTAS!$A$3:$A$42,0)),"Media"))</f>
        <v/>
      </c>
      <c r="Q1033" s="44" t="n"/>
      <c r="R1033" s="45" t="n"/>
      <c r="S1033" s="20">
        <f>IFERROR(IF(OR($R1033="",$C1033=""),"",$R1033/INDEX(DESPACHOS!$M$3:$M$3002,MATCH($C1033,DESPACHOS!$B$3:$B$3002,0))),"")</f>
        <v/>
      </c>
      <c r="T1033" s="41" t="n"/>
      <c r="U1033" s="43">
        <f>IF(OR($B1033="",$L1033=""),"",WORKDAY($B1033,IFERROR(INDEX(LISTAS!$C$3:$C$42,MATCH($L1033,LISTAS!$A$3:$A$42,0)),3)))</f>
        <v/>
      </c>
      <c r="V1033" s="40" t="n"/>
      <c r="W1033" s="19">
        <f>IF($B1033="","",IF($V1033&lt;&gt;"",$V1033-$B1033,TODAY()-$B1033))</f>
        <v/>
      </c>
      <c r="X1033" s="19">
        <f>IF(OR($B1033="",$U1033=""),"",IF($V1033&lt;&gt;"",MAX(0,$V1033-$U1033),MAX(0,TODAY()-$U1033)))</f>
        <v/>
      </c>
      <c r="Y1033" s="39">
        <f>IF($C1033="","",IF(IFERROR(INDEX(LISTAS!$I$3:$I$42,MATCH($T1033,LISTAS!$H$3:$H$42,0)),"NO")="SÍ",IF(N($X1033)&gt;0,"CERRADA FUERA DE SLA","CERRADA EN SLA"),IF($U1033="","SIN CLASIFICAR",IF(N($X1033)&gt;0,"VENCIDA",IF(TODAY()&gt;=$U1033-1,"POR VENCER","EN PLAZO")))))</f>
        <v/>
      </c>
      <c r="Z1033" s="41" t="n"/>
      <c r="AA1033" s="41" t="n"/>
      <c r="AB1033" s="41" t="n"/>
    </row>
    <row r="1034">
      <c r="A1034" s="39">
        <f>IF($C1034="","","NOV-"&amp;TEXT(ROW()-3,"0000"))</f>
        <v/>
      </c>
      <c r="B1034" s="40" t="n"/>
      <c r="C1034" s="41" t="n"/>
      <c r="D1034" s="42">
        <f>IF($C1034="","",IFERROR(INDEX(DESPACHOS!$D$3:$D$3002,MATCH($C1034,DESPACHOS!$B$3:$B$3002,0)),"SIN DESPACHO"))</f>
        <v/>
      </c>
      <c r="E1034" s="42">
        <f>IF($C1034="","",IFERROR(INDEX(DESPACHOS!$K$3:$K$3002,MATCH($C1034,DESPACHOS!$B$3:$B$3002,0)),""))</f>
        <v/>
      </c>
      <c r="F1034" s="42">
        <f>IF($C1034="","",IFERROR(INDEX(DESPACHOS!$I$3:$I$3002,MATCH($C1034,DESPACHOS!$B$3:$B$3002,0)),""))</f>
        <v/>
      </c>
      <c r="G1034" s="42">
        <f>IF($C1034="","",IFERROR(INDEX(DESPACHOS!$F$3:$F$3002,MATCH($C1034,DESPACHOS!$B$3:$B$3002,0)),""))</f>
        <v/>
      </c>
      <c r="H1034" s="42">
        <f>IF($C1034="","",IFERROR(INDEX(DESPACHOS!$G$3:$G$3002,MATCH($C1034,DESPACHOS!$B$3:$B$3002,0)),""))</f>
        <v/>
      </c>
      <c r="I1034" s="39">
        <f>IF($C1034="","",IFERROR(INDEX(DESPACHOS!$H$3:$H$3002,MATCH($C1034,DESPACHOS!$B$3:$B$3002,0)),""))</f>
        <v/>
      </c>
      <c r="J1034" s="43">
        <f>IF($C1034="","",IFERROR(INDEX(DESPACHOS!$J$3:$J$3002,MATCH($C1034,DESPACHOS!$B$3:$B$3002,0)),""))</f>
        <v/>
      </c>
      <c r="K1034" s="39">
        <f>IF($C1034="","",IF(COUNTIFS(DESPACHOS!$B$3:$B$3002,$C1034)=0,"NO EXISTE",IF(COUNTIFS(DESPACHOS!$B$3:$B$3002,$C1034)&gt;1,"DUPLICADO","OK")))</f>
        <v/>
      </c>
      <c r="L1034" s="41" t="n"/>
      <c r="M1034" s="41" t="n"/>
      <c r="N1034" s="42">
        <f>IF($M1034="","",IFERROR(INDEX(LISTAS!$F$3:$F$42,MATCH($M1034,LISTAS!$E$3:$E$42,0)),"Por definir"))</f>
        <v/>
      </c>
      <c r="O1034" s="41" t="n"/>
      <c r="P1034" s="39">
        <f>IF($L1034="","",IFERROR(INDEX(LISTAS!$B$3:$B$42,MATCH($L1034,LISTAS!$A$3:$A$42,0)),"Media"))</f>
        <v/>
      </c>
      <c r="Q1034" s="44" t="n"/>
      <c r="R1034" s="45" t="n"/>
      <c r="S1034" s="20">
        <f>IFERROR(IF(OR($R1034="",$C1034=""),"",$R1034/INDEX(DESPACHOS!$M$3:$M$3002,MATCH($C1034,DESPACHOS!$B$3:$B$3002,0))),"")</f>
        <v/>
      </c>
      <c r="T1034" s="41" t="n"/>
      <c r="U1034" s="43">
        <f>IF(OR($B1034="",$L1034=""),"",WORKDAY($B1034,IFERROR(INDEX(LISTAS!$C$3:$C$42,MATCH($L1034,LISTAS!$A$3:$A$42,0)),3)))</f>
        <v/>
      </c>
      <c r="V1034" s="40" t="n"/>
      <c r="W1034" s="19">
        <f>IF($B1034="","",IF($V1034&lt;&gt;"",$V1034-$B1034,TODAY()-$B1034))</f>
        <v/>
      </c>
      <c r="X1034" s="19">
        <f>IF(OR($B1034="",$U1034=""),"",IF($V1034&lt;&gt;"",MAX(0,$V1034-$U1034),MAX(0,TODAY()-$U1034)))</f>
        <v/>
      </c>
      <c r="Y1034" s="39">
        <f>IF($C1034="","",IF(IFERROR(INDEX(LISTAS!$I$3:$I$42,MATCH($T1034,LISTAS!$H$3:$H$42,0)),"NO")="SÍ",IF(N($X1034)&gt;0,"CERRADA FUERA DE SLA","CERRADA EN SLA"),IF($U1034="","SIN CLASIFICAR",IF(N($X1034)&gt;0,"VENCIDA",IF(TODAY()&gt;=$U1034-1,"POR VENCER","EN PLAZO")))))</f>
        <v/>
      </c>
      <c r="Z1034" s="41" t="n"/>
      <c r="AA1034" s="41" t="n"/>
      <c r="AB1034" s="41" t="n"/>
    </row>
    <row r="1035">
      <c r="A1035" s="39">
        <f>IF($C1035="","","NOV-"&amp;TEXT(ROW()-3,"0000"))</f>
        <v/>
      </c>
      <c r="B1035" s="40" t="n"/>
      <c r="C1035" s="41" t="n"/>
      <c r="D1035" s="42">
        <f>IF($C1035="","",IFERROR(INDEX(DESPACHOS!$D$3:$D$3002,MATCH($C1035,DESPACHOS!$B$3:$B$3002,0)),"SIN DESPACHO"))</f>
        <v/>
      </c>
      <c r="E1035" s="42">
        <f>IF($C1035="","",IFERROR(INDEX(DESPACHOS!$K$3:$K$3002,MATCH($C1035,DESPACHOS!$B$3:$B$3002,0)),""))</f>
        <v/>
      </c>
      <c r="F1035" s="42">
        <f>IF($C1035="","",IFERROR(INDEX(DESPACHOS!$I$3:$I$3002,MATCH($C1035,DESPACHOS!$B$3:$B$3002,0)),""))</f>
        <v/>
      </c>
      <c r="G1035" s="42">
        <f>IF($C1035="","",IFERROR(INDEX(DESPACHOS!$F$3:$F$3002,MATCH($C1035,DESPACHOS!$B$3:$B$3002,0)),""))</f>
        <v/>
      </c>
      <c r="H1035" s="42">
        <f>IF($C1035="","",IFERROR(INDEX(DESPACHOS!$G$3:$G$3002,MATCH($C1035,DESPACHOS!$B$3:$B$3002,0)),""))</f>
        <v/>
      </c>
      <c r="I1035" s="39">
        <f>IF($C1035="","",IFERROR(INDEX(DESPACHOS!$H$3:$H$3002,MATCH($C1035,DESPACHOS!$B$3:$B$3002,0)),""))</f>
        <v/>
      </c>
      <c r="J1035" s="43">
        <f>IF($C1035="","",IFERROR(INDEX(DESPACHOS!$J$3:$J$3002,MATCH($C1035,DESPACHOS!$B$3:$B$3002,0)),""))</f>
        <v/>
      </c>
      <c r="K1035" s="39">
        <f>IF($C1035="","",IF(COUNTIFS(DESPACHOS!$B$3:$B$3002,$C1035)=0,"NO EXISTE",IF(COUNTIFS(DESPACHOS!$B$3:$B$3002,$C1035)&gt;1,"DUPLICADO","OK")))</f>
        <v/>
      </c>
      <c r="L1035" s="41" t="n"/>
      <c r="M1035" s="41" t="n"/>
      <c r="N1035" s="42">
        <f>IF($M1035="","",IFERROR(INDEX(LISTAS!$F$3:$F$42,MATCH($M1035,LISTAS!$E$3:$E$42,0)),"Por definir"))</f>
        <v/>
      </c>
      <c r="O1035" s="41" t="n"/>
      <c r="P1035" s="39">
        <f>IF($L1035="","",IFERROR(INDEX(LISTAS!$B$3:$B$42,MATCH($L1035,LISTAS!$A$3:$A$42,0)),"Media"))</f>
        <v/>
      </c>
      <c r="Q1035" s="44" t="n"/>
      <c r="R1035" s="45" t="n"/>
      <c r="S1035" s="20">
        <f>IFERROR(IF(OR($R1035="",$C1035=""),"",$R1035/INDEX(DESPACHOS!$M$3:$M$3002,MATCH($C1035,DESPACHOS!$B$3:$B$3002,0))),"")</f>
        <v/>
      </c>
      <c r="T1035" s="41" t="n"/>
      <c r="U1035" s="43">
        <f>IF(OR($B1035="",$L1035=""),"",WORKDAY($B1035,IFERROR(INDEX(LISTAS!$C$3:$C$42,MATCH($L1035,LISTAS!$A$3:$A$42,0)),3)))</f>
        <v/>
      </c>
      <c r="V1035" s="40" t="n"/>
      <c r="W1035" s="19">
        <f>IF($B1035="","",IF($V1035&lt;&gt;"",$V1035-$B1035,TODAY()-$B1035))</f>
        <v/>
      </c>
      <c r="X1035" s="19">
        <f>IF(OR($B1035="",$U1035=""),"",IF($V1035&lt;&gt;"",MAX(0,$V1035-$U1035),MAX(0,TODAY()-$U1035)))</f>
        <v/>
      </c>
      <c r="Y1035" s="39">
        <f>IF($C1035="","",IF(IFERROR(INDEX(LISTAS!$I$3:$I$42,MATCH($T1035,LISTAS!$H$3:$H$42,0)),"NO")="SÍ",IF(N($X1035)&gt;0,"CERRADA FUERA DE SLA","CERRADA EN SLA"),IF($U1035="","SIN CLASIFICAR",IF(N($X1035)&gt;0,"VENCIDA",IF(TODAY()&gt;=$U1035-1,"POR VENCER","EN PLAZO")))))</f>
        <v/>
      </c>
      <c r="Z1035" s="41" t="n"/>
      <c r="AA1035" s="41" t="n"/>
      <c r="AB1035" s="41" t="n"/>
    </row>
    <row r="1036">
      <c r="A1036" s="39">
        <f>IF($C1036="","","NOV-"&amp;TEXT(ROW()-3,"0000"))</f>
        <v/>
      </c>
      <c r="B1036" s="40" t="n"/>
      <c r="C1036" s="41" t="n"/>
      <c r="D1036" s="42">
        <f>IF($C1036="","",IFERROR(INDEX(DESPACHOS!$D$3:$D$3002,MATCH($C1036,DESPACHOS!$B$3:$B$3002,0)),"SIN DESPACHO"))</f>
        <v/>
      </c>
      <c r="E1036" s="42">
        <f>IF($C1036="","",IFERROR(INDEX(DESPACHOS!$K$3:$K$3002,MATCH($C1036,DESPACHOS!$B$3:$B$3002,0)),""))</f>
        <v/>
      </c>
      <c r="F1036" s="42">
        <f>IF($C1036="","",IFERROR(INDEX(DESPACHOS!$I$3:$I$3002,MATCH($C1036,DESPACHOS!$B$3:$B$3002,0)),""))</f>
        <v/>
      </c>
      <c r="G1036" s="42">
        <f>IF($C1036="","",IFERROR(INDEX(DESPACHOS!$F$3:$F$3002,MATCH($C1036,DESPACHOS!$B$3:$B$3002,0)),""))</f>
        <v/>
      </c>
      <c r="H1036" s="42">
        <f>IF($C1036="","",IFERROR(INDEX(DESPACHOS!$G$3:$G$3002,MATCH($C1036,DESPACHOS!$B$3:$B$3002,0)),""))</f>
        <v/>
      </c>
      <c r="I1036" s="39">
        <f>IF($C1036="","",IFERROR(INDEX(DESPACHOS!$H$3:$H$3002,MATCH($C1036,DESPACHOS!$B$3:$B$3002,0)),""))</f>
        <v/>
      </c>
      <c r="J1036" s="43">
        <f>IF($C1036="","",IFERROR(INDEX(DESPACHOS!$J$3:$J$3002,MATCH($C1036,DESPACHOS!$B$3:$B$3002,0)),""))</f>
        <v/>
      </c>
      <c r="K1036" s="39">
        <f>IF($C1036="","",IF(COUNTIFS(DESPACHOS!$B$3:$B$3002,$C1036)=0,"NO EXISTE",IF(COUNTIFS(DESPACHOS!$B$3:$B$3002,$C1036)&gt;1,"DUPLICADO","OK")))</f>
        <v/>
      </c>
      <c r="L1036" s="41" t="n"/>
      <c r="M1036" s="41" t="n"/>
      <c r="N1036" s="42">
        <f>IF($M1036="","",IFERROR(INDEX(LISTAS!$F$3:$F$42,MATCH($M1036,LISTAS!$E$3:$E$42,0)),"Por definir"))</f>
        <v/>
      </c>
      <c r="O1036" s="41" t="n"/>
      <c r="P1036" s="39">
        <f>IF($L1036="","",IFERROR(INDEX(LISTAS!$B$3:$B$42,MATCH($L1036,LISTAS!$A$3:$A$42,0)),"Media"))</f>
        <v/>
      </c>
      <c r="Q1036" s="44" t="n"/>
      <c r="R1036" s="45" t="n"/>
      <c r="S1036" s="20">
        <f>IFERROR(IF(OR($R1036="",$C1036=""),"",$R1036/INDEX(DESPACHOS!$M$3:$M$3002,MATCH($C1036,DESPACHOS!$B$3:$B$3002,0))),"")</f>
        <v/>
      </c>
      <c r="T1036" s="41" t="n"/>
      <c r="U1036" s="43">
        <f>IF(OR($B1036="",$L1036=""),"",WORKDAY($B1036,IFERROR(INDEX(LISTAS!$C$3:$C$42,MATCH($L1036,LISTAS!$A$3:$A$42,0)),3)))</f>
        <v/>
      </c>
      <c r="V1036" s="40" t="n"/>
      <c r="W1036" s="19">
        <f>IF($B1036="","",IF($V1036&lt;&gt;"",$V1036-$B1036,TODAY()-$B1036))</f>
        <v/>
      </c>
      <c r="X1036" s="19">
        <f>IF(OR($B1036="",$U1036=""),"",IF($V1036&lt;&gt;"",MAX(0,$V1036-$U1036),MAX(0,TODAY()-$U1036)))</f>
        <v/>
      </c>
      <c r="Y1036" s="39">
        <f>IF($C1036="","",IF(IFERROR(INDEX(LISTAS!$I$3:$I$42,MATCH($T1036,LISTAS!$H$3:$H$42,0)),"NO")="SÍ",IF(N($X1036)&gt;0,"CERRADA FUERA DE SLA","CERRADA EN SLA"),IF($U1036="","SIN CLASIFICAR",IF(N($X1036)&gt;0,"VENCIDA",IF(TODAY()&gt;=$U1036-1,"POR VENCER","EN PLAZO")))))</f>
        <v/>
      </c>
      <c r="Z1036" s="41" t="n"/>
      <c r="AA1036" s="41" t="n"/>
      <c r="AB1036" s="41" t="n"/>
    </row>
    <row r="1037">
      <c r="A1037" s="39">
        <f>IF($C1037="","","NOV-"&amp;TEXT(ROW()-3,"0000"))</f>
        <v/>
      </c>
      <c r="B1037" s="40" t="n"/>
      <c r="C1037" s="41" t="n"/>
      <c r="D1037" s="42">
        <f>IF($C1037="","",IFERROR(INDEX(DESPACHOS!$D$3:$D$3002,MATCH($C1037,DESPACHOS!$B$3:$B$3002,0)),"SIN DESPACHO"))</f>
        <v/>
      </c>
      <c r="E1037" s="42">
        <f>IF($C1037="","",IFERROR(INDEX(DESPACHOS!$K$3:$K$3002,MATCH($C1037,DESPACHOS!$B$3:$B$3002,0)),""))</f>
        <v/>
      </c>
      <c r="F1037" s="42">
        <f>IF($C1037="","",IFERROR(INDEX(DESPACHOS!$I$3:$I$3002,MATCH($C1037,DESPACHOS!$B$3:$B$3002,0)),""))</f>
        <v/>
      </c>
      <c r="G1037" s="42">
        <f>IF($C1037="","",IFERROR(INDEX(DESPACHOS!$F$3:$F$3002,MATCH($C1037,DESPACHOS!$B$3:$B$3002,0)),""))</f>
        <v/>
      </c>
      <c r="H1037" s="42">
        <f>IF($C1037="","",IFERROR(INDEX(DESPACHOS!$G$3:$G$3002,MATCH($C1037,DESPACHOS!$B$3:$B$3002,0)),""))</f>
        <v/>
      </c>
      <c r="I1037" s="39">
        <f>IF($C1037="","",IFERROR(INDEX(DESPACHOS!$H$3:$H$3002,MATCH($C1037,DESPACHOS!$B$3:$B$3002,0)),""))</f>
        <v/>
      </c>
      <c r="J1037" s="43">
        <f>IF($C1037="","",IFERROR(INDEX(DESPACHOS!$J$3:$J$3002,MATCH($C1037,DESPACHOS!$B$3:$B$3002,0)),""))</f>
        <v/>
      </c>
      <c r="K1037" s="39">
        <f>IF($C1037="","",IF(COUNTIFS(DESPACHOS!$B$3:$B$3002,$C1037)=0,"NO EXISTE",IF(COUNTIFS(DESPACHOS!$B$3:$B$3002,$C1037)&gt;1,"DUPLICADO","OK")))</f>
        <v/>
      </c>
      <c r="L1037" s="41" t="n"/>
      <c r="M1037" s="41" t="n"/>
      <c r="N1037" s="42">
        <f>IF($M1037="","",IFERROR(INDEX(LISTAS!$F$3:$F$42,MATCH($M1037,LISTAS!$E$3:$E$42,0)),"Por definir"))</f>
        <v/>
      </c>
      <c r="O1037" s="41" t="n"/>
      <c r="P1037" s="39">
        <f>IF($L1037="","",IFERROR(INDEX(LISTAS!$B$3:$B$42,MATCH($L1037,LISTAS!$A$3:$A$42,0)),"Media"))</f>
        <v/>
      </c>
      <c r="Q1037" s="44" t="n"/>
      <c r="R1037" s="45" t="n"/>
      <c r="S1037" s="20">
        <f>IFERROR(IF(OR($R1037="",$C1037=""),"",$R1037/INDEX(DESPACHOS!$M$3:$M$3002,MATCH($C1037,DESPACHOS!$B$3:$B$3002,0))),"")</f>
        <v/>
      </c>
      <c r="T1037" s="41" t="n"/>
      <c r="U1037" s="43">
        <f>IF(OR($B1037="",$L1037=""),"",WORKDAY($B1037,IFERROR(INDEX(LISTAS!$C$3:$C$42,MATCH($L1037,LISTAS!$A$3:$A$42,0)),3)))</f>
        <v/>
      </c>
      <c r="V1037" s="40" t="n"/>
      <c r="W1037" s="19">
        <f>IF($B1037="","",IF($V1037&lt;&gt;"",$V1037-$B1037,TODAY()-$B1037))</f>
        <v/>
      </c>
      <c r="X1037" s="19">
        <f>IF(OR($B1037="",$U1037=""),"",IF($V1037&lt;&gt;"",MAX(0,$V1037-$U1037),MAX(0,TODAY()-$U1037)))</f>
        <v/>
      </c>
      <c r="Y1037" s="39">
        <f>IF($C1037="","",IF(IFERROR(INDEX(LISTAS!$I$3:$I$42,MATCH($T1037,LISTAS!$H$3:$H$42,0)),"NO")="SÍ",IF(N($X1037)&gt;0,"CERRADA FUERA DE SLA","CERRADA EN SLA"),IF($U1037="","SIN CLASIFICAR",IF(N($X1037)&gt;0,"VENCIDA",IF(TODAY()&gt;=$U1037-1,"POR VENCER","EN PLAZO")))))</f>
        <v/>
      </c>
      <c r="Z1037" s="41" t="n"/>
      <c r="AA1037" s="41" t="n"/>
      <c r="AB1037" s="41" t="n"/>
    </row>
    <row r="1038">
      <c r="A1038" s="39">
        <f>IF($C1038="","","NOV-"&amp;TEXT(ROW()-3,"0000"))</f>
        <v/>
      </c>
      <c r="B1038" s="40" t="n"/>
      <c r="C1038" s="41" t="n"/>
      <c r="D1038" s="42">
        <f>IF($C1038="","",IFERROR(INDEX(DESPACHOS!$D$3:$D$3002,MATCH($C1038,DESPACHOS!$B$3:$B$3002,0)),"SIN DESPACHO"))</f>
        <v/>
      </c>
      <c r="E1038" s="42">
        <f>IF($C1038="","",IFERROR(INDEX(DESPACHOS!$K$3:$K$3002,MATCH($C1038,DESPACHOS!$B$3:$B$3002,0)),""))</f>
        <v/>
      </c>
      <c r="F1038" s="42">
        <f>IF($C1038="","",IFERROR(INDEX(DESPACHOS!$I$3:$I$3002,MATCH($C1038,DESPACHOS!$B$3:$B$3002,0)),""))</f>
        <v/>
      </c>
      <c r="G1038" s="42">
        <f>IF($C1038="","",IFERROR(INDEX(DESPACHOS!$F$3:$F$3002,MATCH($C1038,DESPACHOS!$B$3:$B$3002,0)),""))</f>
        <v/>
      </c>
      <c r="H1038" s="42">
        <f>IF($C1038="","",IFERROR(INDEX(DESPACHOS!$G$3:$G$3002,MATCH($C1038,DESPACHOS!$B$3:$B$3002,0)),""))</f>
        <v/>
      </c>
      <c r="I1038" s="39">
        <f>IF($C1038="","",IFERROR(INDEX(DESPACHOS!$H$3:$H$3002,MATCH($C1038,DESPACHOS!$B$3:$B$3002,0)),""))</f>
        <v/>
      </c>
      <c r="J1038" s="43">
        <f>IF($C1038="","",IFERROR(INDEX(DESPACHOS!$J$3:$J$3002,MATCH($C1038,DESPACHOS!$B$3:$B$3002,0)),""))</f>
        <v/>
      </c>
      <c r="K1038" s="39">
        <f>IF($C1038="","",IF(COUNTIFS(DESPACHOS!$B$3:$B$3002,$C1038)=0,"NO EXISTE",IF(COUNTIFS(DESPACHOS!$B$3:$B$3002,$C1038)&gt;1,"DUPLICADO","OK")))</f>
        <v/>
      </c>
      <c r="L1038" s="41" t="n"/>
      <c r="M1038" s="41" t="n"/>
      <c r="N1038" s="42">
        <f>IF($M1038="","",IFERROR(INDEX(LISTAS!$F$3:$F$42,MATCH($M1038,LISTAS!$E$3:$E$42,0)),"Por definir"))</f>
        <v/>
      </c>
      <c r="O1038" s="41" t="n"/>
      <c r="P1038" s="39">
        <f>IF($L1038="","",IFERROR(INDEX(LISTAS!$B$3:$B$42,MATCH($L1038,LISTAS!$A$3:$A$42,0)),"Media"))</f>
        <v/>
      </c>
      <c r="Q1038" s="44" t="n"/>
      <c r="R1038" s="45" t="n"/>
      <c r="S1038" s="20">
        <f>IFERROR(IF(OR($R1038="",$C1038=""),"",$R1038/INDEX(DESPACHOS!$M$3:$M$3002,MATCH($C1038,DESPACHOS!$B$3:$B$3002,0))),"")</f>
        <v/>
      </c>
      <c r="T1038" s="41" t="n"/>
      <c r="U1038" s="43">
        <f>IF(OR($B1038="",$L1038=""),"",WORKDAY($B1038,IFERROR(INDEX(LISTAS!$C$3:$C$42,MATCH($L1038,LISTAS!$A$3:$A$42,0)),3)))</f>
        <v/>
      </c>
      <c r="V1038" s="40" t="n"/>
      <c r="W1038" s="19">
        <f>IF($B1038="","",IF($V1038&lt;&gt;"",$V1038-$B1038,TODAY()-$B1038))</f>
        <v/>
      </c>
      <c r="X1038" s="19">
        <f>IF(OR($B1038="",$U1038=""),"",IF($V1038&lt;&gt;"",MAX(0,$V1038-$U1038),MAX(0,TODAY()-$U1038)))</f>
        <v/>
      </c>
      <c r="Y1038" s="39">
        <f>IF($C1038="","",IF(IFERROR(INDEX(LISTAS!$I$3:$I$42,MATCH($T1038,LISTAS!$H$3:$H$42,0)),"NO")="SÍ",IF(N($X1038)&gt;0,"CERRADA FUERA DE SLA","CERRADA EN SLA"),IF($U1038="","SIN CLASIFICAR",IF(N($X1038)&gt;0,"VENCIDA",IF(TODAY()&gt;=$U1038-1,"POR VENCER","EN PLAZO")))))</f>
        <v/>
      </c>
      <c r="Z1038" s="41" t="n"/>
      <c r="AA1038" s="41" t="n"/>
      <c r="AB1038" s="41" t="n"/>
    </row>
    <row r="1039">
      <c r="A1039" s="39">
        <f>IF($C1039="","","NOV-"&amp;TEXT(ROW()-3,"0000"))</f>
        <v/>
      </c>
      <c r="B1039" s="40" t="n"/>
      <c r="C1039" s="41" t="n"/>
      <c r="D1039" s="42">
        <f>IF($C1039="","",IFERROR(INDEX(DESPACHOS!$D$3:$D$3002,MATCH($C1039,DESPACHOS!$B$3:$B$3002,0)),"SIN DESPACHO"))</f>
        <v/>
      </c>
      <c r="E1039" s="42">
        <f>IF($C1039="","",IFERROR(INDEX(DESPACHOS!$K$3:$K$3002,MATCH($C1039,DESPACHOS!$B$3:$B$3002,0)),""))</f>
        <v/>
      </c>
      <c r="F1039" s="42">
        <f>IF($C1039="","",IFERROR(INDEX(DESPACHOS!$I$3:$I$3002,MATCH($C1039,DESPACHOS!$B$3:$B$3002,0)),""))</f>
        <v/>
      </c>
      <c r="G1039" s="42">
        <f>IF($C1039="","",IFERROR(INDEX(DESPACHOS!$F$3:$F$3002,MATCH($C1039,DESPACHOS!$B$3:$B$3002,0)),""))</f>
        <v/>
      </c>
      <c r="H1039" s="42">
        <f>IF($C1039="","",IFERROR(INDEX(DESPACHOS!$G$3:$G$3002,MATCH($C1039,DESPACHOS!$B$3:$B$3002,0)),""))</f>
        <v/>
      </c>
      <c r="I1039" s="39">
        <f>IF($C1039="","",IFERROR(INDEX(DESPACHOS!$H$3:$H$3002,MATCH($C1039,DESPACHOS!$B$3:$B$3002,0)),""))</f>
        <v/>
      </c>
      <c r="J1039" s="43">
        <f>IF($C1039="","",IFERROR(INDEX(DESPACHOS!$J$3:$J$3002,MATCH($C1039,DESPACHOS!$B$3:$B$3002,0)),""))</f>
        <v/>
      </c>
      <c r="K1039" s="39">
        <f>IF($C1039="","",IF(COUNTIFS(DESPACHOS!$B$3:$B$3002,$C1039)=0,"NO EXISTE",IF(COUNTIFS(DESPACHOS!$B$3:$B$3002,$C1039)&gt;1,"DUPLICADO","OK")))</f>
        <v/>
      </c>
      <c r="L1039" s="41" t="n"/>
      <c r="M1039" s="41" t="n"/>
      <c r="N1039" s="42">
        <f>IF($M1039="","",IFERROR(INDEX(LISTAS!$F$3:$F$42,MATCH($M1039,LISTAS!$E$3:$E$42,0)),"Por definir"))</f>
        <v/>
      </c>
      <c r="O1039" s="41" t="n"/>
      <c r="P1039" s="39">
        <f>IF($L1039="","",IFERROR(INDEX(LISTAS!$B$3:$B$42,MATCH($L1039,LISTAS!$A$3:$A$42,0)),"Media"))</f>
        <v/>
      </c>
      <c r="Q1039" s="44" t="n"/>
      <c r="R1039" s="45" t="n"/>
      <c r="S1039" s="20">
        <f>IFERROR(IF(OR($R1039="",$C1039=""),"",$R1039/INDEX(DESPACHOS!$M$3:$M$3002,MATCH($C1039,DESPACHOS!$B$3:$B$3002,0))),"")</f>
        <v/>
      </c>
      <c r="T1039" s="41" t="n"/>
      <c r="U1039" s="43">
        <f>IF(OR($B1039="",$L1039=""),"",WORKDAY($B1039,IFERROR(INDEX(LISTAS!$C$3:$C$42,MATCH($L1039,LISTAS!$A$3:$A$42,0)),3)))</f>
        <v/>
      </c>
      <c r="V1039" s="40" t="n"/>
      <c r="W1039" s="19">
        <f>IF($B1039="","",IF($V1039&lt;&gt;"",$V1039-$B1039,TODAY()-$B1039))</f>
        <v/>
      </c>
      <c r="X1039" s="19">
        <f>IF(OR($B1039="",$U1039=""),"",IF($V1039&lt;&gt;"",MAX(0,$V1039-$U1039),MAX(0,TODAY()-$U1039)))</f>
        <v/>
      </c>
      <c r="Y1039" s="39">
        <f>IF($C1039="","",IF(IFERROR(INDEX(LISTAS!$I$3:$I$42,MATCH($T1039,LISTAS!$H$3:$H$42,0)),"NO")="SÍ",IF(N($X1039)&gt;0,"CERRADA FUERA DE SLA","CERRADA EN SLA"),IF($U1039="","SIN CLASIFICAR",IF(N($X1039)&gt;0,"VENCIDA",IF(TODAY()&gt;=$U1039-1,"POR VENCER","EN PLAZO")))))</f>
        <v/>
      </c>
      <c r="Z1039" s="41" t="n"/>
      <c r="AA1039" s="41" t="n"/>
      <c r="AB1039" s="41" t="n"/>
    </row>
    <row r="1040">
      <c r="A1040" s="39">
        <f>IF($C1040="","","NOV-"&amp;TEXT(ROW()-3,"0000"))</f>
        <v/>
      </c>
      <c r="B1040" s="40" t="n"/>
      <c r="C1040" s="41" t="n"/>
      <c r="D1040" s="42">
        <f>IF($C1040="","",IFERROR(INDEX(DESPACHOS!$D$3:$D$3002,MATCH($C1040,DESPACHOS!$B$3:$B$3002,0)),"SIN DESPACHO"))</f>
        <v/>
      </c>
      <c r="E1040" s="42">
        <f>IF($C1040="","",IFERROR(INDEX(DESPACHOS!$K$3:$K$3002,MATCH($C1040,DESPACHOS!$B$3:$B$3002,0)),""))</f>
        <v/>
      </c>
      <c r="F1040" s="42">
        <f>IF($C1040="","",IFERROR(INDEX(DESPACHOS!$I$3:$I$3002,MATCH($C1040,DESPACHOS!$B$3:$B$3002,0)),""))</f>
        <v/>
      </c>
      <c r="G1040" s="42">
        <f>IF($C1040="","",IFERROR(INDEX(DESPACHOS!$F$3:$F$3002,MATCH($C1040,DESPACHOS!$B$3:$B$3002,0)),""))</f>
        <v/>
      </c>
      <c r="H1040" s="42">
        <f>IF($C1040="","",IFERROR(INDEX(DESPACHOS!$G$3:$G$3002,MATCH($C1040,DESPACHOS!$B$3:$B$3002,0)),""))</f>
        <v/>
      </c>
      <c r="I1040" s="39">
        <f>IF($C1040="","",IFERROR(INDEX(DESPACHOS!$H$3:$H$3002,MATCH($C1040,DESPACHOS!$B$3:$B$3002,0)),""))</f>
        <v/>
      </c>
      <c r="J1040" s="43">
        <f>IF($C1040="","",IFERROR(INDEX(DESPACHOS!$J$3:$J$3002,MATCH($C1040,DESPACHOS!$B$3:$B$3002,0)),""))</f>
        <v/>
      </c>
      <c r="K1040" s="39">
        <f>IF($C1040="","",IF(COUNTIFS(DESPACHOS!$B$3:$B$3002,$C1040)=0,"NO EXISTE",IF(COUNTIFS(DESPACHOS!$B$3:$B$3002,$C1040)&gt;1,"DUPLICADO","OK")))</f>
        <v/>
      </c>
      <c r="L1040" s="41" t="n"/>
      <c r="M1040" s="41" t="n"/>
      <c r="N1040" s="42">
        <f>IF($M1040="","",IFERROR(INDEX(LISTAS!$F$3:$F$42,MATCH($M1040,LISTAS!$E$3:$E$42,0)),"Por definir"))</f>
        <v/>
      </c>
      <c r="O1040" s="41" t="n"/>
      <c r="P1040" s="39">
        <f>IF($L1040="","",IFERROR(INDEX(LISTAS!$B$3:$B$42,MATCH($L1040,LISTAS!$A$3:$A$42,0)),"Media"))</f>
        <v/>
      </c>
      <c r="Q1040" s="44" t="n"/>
      <c r="R1040" s="45" t="n"/>
      <c r="S1040" s="20">
        <f>IFERROR(IF(OR($R1040="",$C1040=""),"",$R1040/INDEX(DESPACHOS!$M$3:$M$3002,MATCH($C1040,DESPACHOS!$B$3:$B$3002,0))),"")</f>
        <v/>
      </c>
      <c r="T1040" s="41" t="n"/>
      <c r="U1040" s="43">
        <f>IF(OR($B1040="",$L1040=""),"",WORKDAY($B1040,IFERROR(INDEX(LISTAS!$C$3:$C$42,MATCH($L1040,LISTAS!$A$3:$A$42,0)),3)))</f>
        <v/>
      </c>
      <c r="V1040" s="40" t="n"/>
      <c r="W1040" s="19">
        <f>IF($B1040="","",IF($V1040&lt;&gt;"",$V1040-$B1040,TODAY()-$B1040))</f>
        <v/>
      </c>
      <c r="X1040" s="19">
        <f>IF(OR($B1040="",$U1040=""),"",IF($V1040&lt;&gt;"",MAX(0,$V1040-$U1040),MAX(0,TODAY()-$U1040)))</f>
        <v/>
      </c>
      <c r="Y1040" s="39">
        <f>IF($C1040="","",IF(IFERROR(INDEX(LISTAS!$I$3:$I$42,MATCH($T1040,LISTAS!$H$3:$H$42,0)),"NO")="SÍ",IF(N($X1040)&gt;0,"CERRADA FUERA DE SLA","CERRADA EN SLA"),IF($U1040="","SIN CLASIFICAR",IF(N($X1040)&gt;0,"VENCIDA",IF(TODAY()&gt;=$U1040-1,"POR VENCER","EN PLAZO")))))</f>
        <v/>
      </c>
      <c r="Z1040" s="41" t="n"/>
      <c r="AA1040" s="41" t="n"/>
      <c r="AB1040" s="41" t="n"/>
    </row>
    <row r="1041">
      <c r="A1041" s="39">
        <f>IF($C1041="","","NOV-"&amp;TEXT(ROW()-3,"0000"))</f>
        <v/>
      </c>
      <c r="B1041" s="40" t="n"/>
      <c r="C1041" s="41" t="n"/>
      <c r="D1041" s="42">
        <f>IF($C1041="","",IFERROR(INDEX(DESPACHOS!$D$3:$D$3002,MATCH($C1041,DESPACHOS!$B$3:$B$3002,0)),"SIN DESPACHO"))</f>
        <v/>
      </c>
      <c r="E1041" s="42">
        <f>IF($C1041="","",IFERROR(INDEX(DESPACHOS!$K$3:$K$3002,MATCH($C1041,DESPACHOS!$B$3:$B$3002,0)),""))</f>
        <v/>
      </c>
      <c r="F1041" s="42">
        <f>IF($C1041="","",IFERROR(INDEX(DESPACHOS!$I$3:$I$3002,MATCH($C1041,DESPACHOS!$B$3:$B$3002,0)),""))</f>
        <v/>
      </c>
      <c r="G1041" s="42">
        <f>IF($C1041="","",IFERROR(INDEX(DESPACHOS!$F$3:$F$3002,MATCH($C1041,DESPACHOS!$B$3:$B$3002,0)),""))</f>
        <v/>
      </c>
      <c r="H1041" s="42">
        <f>IF($C1041="","",IFERROR(INDEX(DESPACHOS!$G$3:$G$3002,MATCH($C1041,DESPACHOS!$B$3:$B$3002,0)),""))</f>
        <v/>
      </c>
      <c r="I1041" s="39">
        <f>IF($C1041="","",IFERROR(INDEX(DESPACHOS!$H$3:$H$3002,MATCH($C1041,DESPACHOS!$B$3:$B$3002,0)),""))</f>
        <v/>
      </c>
      <c r="J1041" s="43">
        <f>IF($C1041="","",IFERROR(INDEX(DESPACHOS!$J$3:$J$3002,MATCH($C1041,DESPACHOS!$B$3:$B$3002,0)),""))</f>
        <v/>
      </c>
      <c r="K1041" s="39">
        <f>IF($C1041="","",IF(COUNTIFS(DESPACHOS!$B$3:$B$3002,$C1041)=0,"NO EXISTE",IF(COUNTIFS(DESPACHOS!$B$3:$B$3002,$C1041)&gt;1,"DUPLICADO","OK")))</f>
        <v/>
      </c>
      <c r="L1041" s="41" t="n"/>
      <c r="M1041" s="41" t="n"/>
      <c r="N1041" s="42">
        <f>IF($M1041="","",IFERROR(INDEX(LISTAS!$F$3:$F$42,MATCH($M1041,LISTAS!$E$3:$E$42,0)),"Por definir"))</f>
        <v/>
      </c>
      <c r="O1041" s="41" t="n"/>
      <c r="P1041" s="39">
        <f>IF($L1041="","",IFERROR(INDEX(LISTAS!$B$3:$B$42,MATCH($L1041,LISTAS!$A$3:$A$42,0)),"Media"))</f>
        <v/>
      </c>
      <c r="Q1041" s="44" t="n"/>
      <c r="R1041" s="45" t="n"/>
      <c r="S1041" s="20">
        <f>IFERROR(IF(OR($R1041="",$C1041=""),"",$R1041/INDEX(DESPACHOS!$M$3:$M$3002,MATCH($C1041,DESPACHOS!$B$3:$B$3002,0))),"")</f>
        <v/>
      </c>
      <c r="T1041" s="41" t="n"/>
      <c r="U1041" s="43">
        <f>IF(OR($B1041="",$L1041=""),"",WORKDAY($B1041,IFERROR(INDEX(LISTAS!$C$3:$C$42,MATCH($L1041,LISTAS!$A$3:$A$42,0)),3)))</f>
        <v/>
      </c>
      <c r="V1041" s="40" t="n"/>
      <c r="W1041" s="19">
        <f>IF($B1041="","",IF($V1041&lt;&gt;"",$V1041-$B1041,TODAY()-$B1041))</f>
        <v/>
      </c>
      <c r="X1041" s="19">
        <f>IF(OR($B1041="",$U1041=""),"",IF($V1041&lt;&gt;"",MAX(0,$V1041-$U1041),MAX(0,TODAY()-$U1041)))</f>
        <v/>
      </c>
      <c r="Y1041" s="39">
        <f>IF($C1041="","",IF(IFERROR(INDEX(LISTAS!$I$3:$I$42,MATCH($T1041,LISTAS!$H$3:$H$42,0)),"NO")="SÍ",IF(N($X1041)&gt;0,"CERRADA FUERA DE SLA","CERRADA EN SLA"),IF($U1041="","SIN CLASIFICAR",IF(N($X1041)&gt;0,"VENCIDA",IF(TODAY()&gt;=$U1041-1,"POR VENCER","EN PLAZO")))))</f>
        <v/>
      </c>
      <c r="Z1041" s="41" t="n"/>
      <c r="AA1041" s="41" t="n"/>
      <c r="AB1041" s="41" t="n"/>
    </row>
    <row r="1042">
      <c r="A1042" s="39">
        <f>IF($C1042="","","NOV-"&amp;TEXT(ROW()-3,"0000"))</f>
        <v/>
      </c>
      <c r="B1042" s="40" t="n"/>
      <c r="C1042" s="41" t="n"/>
      <c r="D1042" s="42">
        <f>IF($C1042="","",IFERROR(INDEX(DESPACHOS!$D$3:$D$3002,MATCH($C1042,DESPACHOS!$B$3:$B$3002,0)),"SIN DESPACHO"))</f>
        <v/>
      </c>
      <c r="E1042" s="42">
        <f>IF($C1042="","",IFERROR(INDEX(DESPACHOS!$K$3:$K$3002,MATCH($C1042,DESPACHOS!$B$3:$B$3002,0)),""))</f>
        <v/>
      </c>
      <c r="F1042" s="42">
        <f>IF($C1042="","",IFERROR(INDEX(DESPACHOS!$I$3:$I$3002,MATCH($C1042,DESPACHOS!$B$3:$B$3002,0)),""))</f>
        <v/>
      </c>
      <c r="G1042" s="42">
        <f>IF($C1042="","",IFERROR(INDEX(DESPACHOS!$F$3:$F$3002,MATCH($C1042,DESPACHOS!$B$3:$B$3002,0)),""))</f>
        <v/>
      </c>
      <c r="H1042" s="42">
        <f>IF($C1042="","",IFERROR(INDEX(DESPACHOS!$G$3:$G$3002,MATCH($C1042,DESPACHOS!$B$3:$B$3002,0)),""))</f>
        <v/>
      </c>
      <c r="I1042" s="39">
        <f>IF($C1042="","",IFERROR(INDEX(DESPACHOS!$H$3:$H$3002,MATCH($C1042,DESPACHOS!$B$3:$B$3002,0)),""))</f>
        <v/>
      </c>
      <c r="J1042" s="43">
        <f>IF($C1042="","",IFERROR(INDEX(DESPACHOS!$J$3:$J$3002,MATCH($C1042,DESPACHOS!$B$3:$B$3002,0)),""))</f>
        <v/>
      </c>
      <c r="K1042" s="39">
        <f>IF($C1042="","",IF(COUNTIFS(DESPACHOS!$B$3:$B$3002,$C1042)=0,"NO EXISTE",IF(COUNTIFS(DESPACHOS!$B$3:$B$3002,$C1042)&gt;1,"DUPLICADO","OK")))</f>
        <v/>
      </c>
      <c r="L1042" s="41" t="n"/>
      <c r="M1042" s="41" t="n"/>
      <c r="N1042" s="42">
        <f>IF($M1042="","",IFERROR(INDEX(LISTAS!$F$3:$F$42,MATCH($M1042,LISTAS!$E$3:$E$42,0)),"Por definir"))</f>
        <v/>
      </c>
      <c r="O1042" s="41" t="n"/>
      <c r="P1042" s="39">
        <f>IF($L1042="","",IFERROR(INDEX(LISTAS!$B$3:$B$42,MATCH($L1042,LISTAS!$A$3:$A$42,0)),"Media"))</f>
        <v/>
      </c>
      <c r="Q1042" s="44" t="n"/>
      <c r="R1042" s="45" t="n"/>
      <c r="S1042" s="20">
        <f>IFERROR(IF(OR($R1042="",$C1042=""),"",$R1042/INDEX(DESPACHOS!$M$3:$M$3002,MATCH($C1042,DESPACHOS!$B$3:$B$3002,0))),"")</f>
        <v/>
      </c>
      <c r="T1042" s="41" t="n"/>
      <c r="U1042" s="43">
        <f>IF(OR($B1042="",$L1042=""),"",WORKDAY($B1042,IFERROR(INDEX(LISTAS!$C$3:$C$42,MATCH($L1042,LISTAS!$A$3:$A$42,0)),3)))</f>
        <v/>
      </c>
      <c r="V1042" s="40" t="n"/>
      <c r="W1042" s="19">
        <f>IF($B1042="","",IF($V1042&lt;&gt;"",$V1042-$B1042,TODAY()-$B1042))</f>
        <v/>
      </c>
      <c r="X1042" s="19">
        <f>IF(OR($B1042="",$U1042=""),"",IF($V1042&lt;&gt;"",MAX(0,$V1042-$U1042),MAX(0,TODAY()-$U1042)))</f>
        <v/>
      </c>
      <c r="Y1042" s="39">
        <f>IF($C1042="","",IF(IFERROR(INDEX(LISTAS!$I$3:$I$42,MATCH($T1042,LISTAS!$H$3:$H$42,0)),"NO")="SÍ",IF(N($X1042)&gt;0,"CERRADA FUERA DE SLA","CERRADA EN SLA"),IF($U1042="","SIN CLASIFICAR",IF(N($X1042)&gt;0,"VENCIDA",IF(TODAY()&gt;=$U1042-1,"POR VENCER","EN PLAZO")))))</f>
        <v/>
      </c>
      <c r="Z1042" s="41" t="n"/>
      <c r="AA1042" s="41" t="n"/>
      <c r="AB1042" s="41" t="n"/>
    </row>
    <row r="1043">
      <c r="A1043" s="39">
        <f>IF($C1043="","","NOV-"&amp;TEXT(ROW()-3,"0000"))</f>
        <v/>
      </c>
      <c r="B1043" s="40" t="n"/>
      <c r="C1043" s="41" t="n"/>
      <c r="D1043" s="42">
        <f>IF($C1043="","",IFERROR(INDEX(DESPACHOS!$D$3:$D$3002,MATCH($C1043,DESPACHOS!$B$3:$B$3002,0)),"SIN DESPACHO"))</f>
        <v/>
      </c>
      <c r="E1043" s="42">
        <f>IF($C1043="","",IFERROR(INDEX(DESPACHOS!$K$3:$K$3002,MATCH($C1043,DESPACHOS!$B$3:$B$3002,0)),""))</f>
        <v/>
      </c>
      <c r="F1043" s="42">
        <f>IF($C1043="","",IFERROR(INDEX(DESPACHOS!$I$3:$I$3002,MATCH($C1043,DESPACHOS!$B$3:$B$3002,0)),""))</f>
        <v/>
      </c>
      <c r="G1043" s="42">
        <f>IF($C1043="","",IFERROR(INDEX(DESPACHOS!$F$3:$F$3002,MATCH($C1043,DESPACHOS!$B$3:$B$3002,0)),""))</f>
        <v/>
      </c>
      <c r="H1043" s="42">
        <f>IF($C1043="","",IFERROR(INDEX(DESPACHOS!$G$3:$G$3002,MATCH($C1043,DESPACHOS!$B$3:$B$3002,0)),""))</f>
        <v/>
      </c>
      <c r="I1043" s="39">
        <f>IF($C1043="","",IFERROR(INDEX(DESPACHOS!$H$3:$H$3002,MATCH($C1043,DESPACHOS!$B$3:$B$3002,0)),""))</f>
        <v/>
      </c>
      <c r="J1043" s="43">
        <f>IF($C1043="","",IFERROR(INDEX(DESPACHOS!$J$3:$J$3002,MATCH($C1043,DESPACHOS!$B$3:$B$3002,0)),""))</f>
        <v/>
      </c>
      <c r="K1043" s="39">
        <f>IF($C1043="","",IF(COUNTIFS(DESPACHOS!$B$3:$B$3002,$C1043)=0,"NO EXISTE",IF(COUNTIFS(DESPACHOS!$B$3:$B$3002,$C1043)&gt;1,"DUPLICADO","OK")))</f>
        <v/>
      </c>
      <c r="L1043" s="41" t="n"/>
      <c r="M1043" s="41" t="n"/>
      <c r="N1043" s="42">
        <f>IF($M1043="","",IFERROR(INDEX(LISTAS!$F$3:$F$42,MATCH($M1043,LISTAS!$E$3:$E$42,0)),"Por definir"))</f>
        <v/>
      </c>
      <c r="O1043" s="41" t="n"/>
      <c r="P1043" s="39">
        <f>IF($L1043="","",IFERROR(INDEX(LISTAS!$B$3:$B$42,MATCH($L1043,LISTAS!$A$3:$A$42,0)),"Media"))</f>
        <v/>
      </c>
      <c r="Q1043" s="44" t="n"/>
      <c r="R1043" s="45" t="n"/>
      <c r="S1043" s="20">
        <f>IFERROR(IF(OR($R1043="",$C1043=""),"",$R1043/INDEX(DESPACHOS!$M$3:$M$3002,MATCH($C1043,DESPACHOS!$B$3:$B$3002,0))),"")</f>
        <v/>
      </c>
      <c r="T1043" s="41" t="n"/>
      <c r="U1043" s="43">
        <f>IF(OR($B1043="",$L1043=""),"",WORKDAY($B1043,IFERROR(INDEX(LISTAS!$C$3:$C$42,MATCH($L1043,LISTAS!$A$3:$A$42,0)),3)))</f>
        <v/>
      </c>
      <c r="V1043" s="40" t="n"/>
      <c r="W1043" s="19">
        <f>IF($B1043="","",IF($V1043&lt;&gt;"",$V1043-$B1043,TODAY()-$B1043))</f>
        <v/>
      </c>
      <c r="X1043" s="19">
        <f>IF(OR($B1043="",$U1043=""),"",IF($V1043&lt;&gt;"",MAX(0,$V1043-$U1043),MAX(0,TODAY()-$U1043)))</f>
        <v/>
      </c>
      <c r="Y1043" s="39">
        <f>IF($C1043="","",IF(IFERROR(INDEX(LISTAS!$I$3:$I$42,MATCH($T1043,LISTAS!$H$3:$H$42,0)),"NO")="SÍ",IF(N($X1043)&gt;0,"CERRADA FUERA DE SLA","CERRADA EN SLA"),IF($U1043="","SIN CLASIFICAR",IF(N($X1043)&gt;0,"VENCIDA",IF(TODAY()&gt;=$U1043-1,"POR VENCER","EN PLAZO")))))</f>
        <v/>
      </c>
      <c r="Z1043" s="41" t="n"/>
      <c r="AA1043" s="41" t="n"/>
      <c r="AB1043" s="41" t="n"/>
    </row>
    <row r="1044">
      <c r="A1044" s="39">
        <f>IF($C1044="","","NOV-"&amp;TEXT(ROW()-3,"0000"))</f>
        <v/>
      </c>
      <c r="B1044" s="40" t="n"/>
      <c r="C1044" s="41" t="n"/>
      <c r="D1044" s="42">
        <f>IF($C1044="","",IFERROR(INDEX(DESPACHOS!$D$3:$D$3002,MATCH($C1044,DESPACHOS!$B$3:$B$3002,0)),"SIN DESPACHO"))</f>
        <v/>
      </c>
      <c r="E1044" s="42">
        <f>IF($C1044="","",IFERROR(INDEX(DESPACHOS!$K$3:$K$3002,MATCH($C1044,DESPACHOS!$B$3:$B$3002,0)),""))</f>
        <v/>
      </c>
      <c r="F1044" s="42">
        <f>IF($C1044="","",IFERROR(INDEX(DESPACHOS!$I$3:$I$3002,MATCH($C1044,DESPACHOS!$B$3:$B$3002,0)),""))</f>
        <v/>
      </c>
      <c r="G1044" s="42">
        <f>IF($C1044="","",IFERROR(INDEX(DESPACHOS!$F$3:$F$3002,MATCH($C1044,DESPACHOS!$B$3:$B$3002,0)),""))</f>
        <v/>
      </c>
      <c r="H1044" s="42">
        <f>IF($C1044="","",IFERROR(INDEX(DESPACHOS!$G$3:$G$3002,MATCH($C1044,DESPACHOS!$B$3:$B$3002,0)),""))</f>
        <v/>
      </c>
      <c r="I1044" s="39">
        <f>IF($C1044="","",IFERROR(INDEX(DESPACHOS!$H$3:$H$3002,MATCH($C1044,DESPACHOS!$B$3:$B$3002,0)),""))</f>
        <v/>
      </c>
      <c r="J1044" s="43">
        <f>IF($C1044="","",IFERROR(INDEX(DESPACHOS!$J$3:$J$3002,MATCH($C1044,DESPACHOS!$B$3:$B$3002,0)),""))</f>
        <v/>
      </c>
      <c r="K1044" s="39">
        <f>IF($C1044="","",IF(COUNTIFS(DESPACHOS!$B$3:$B$3002,$C1044)=0,"NO EXISTE",IF(COUNTIFS(DESPACHOS!$B$3:$B$3002,$C1044)&gt;1,"DUPLICADO","OK")))</f>
        <v/>
      </c>
      <c r="L1044" s="41" t="n"/>
      <c r="M1044" s="41" t="n"/>
      <c r="N1044" s="42">
        <f>IF($M1044="","",IFERROR(INDEX(LISTAS!$F$3:$F$42,MATCH($M1044,LISTAS!$E$3:$E$42,0)),"Por definir"))</f>
        <v/>
      </c>
      <c r="O1044" s="41" t="n"/>
      <c r="P1044" s="39">
        <f>IF($L1044="","",IFERROR(INDEX(LISTAS!$B$3:$B$42,MATCH($L1044,LISTAS!$A$3:$A$42,0)),"Media"))</f>
        <v/>
      </c>
      <c r="Q1044" s="44" t="n"/>
      <c r="R1044" s="45" t="n"/>
      <c r="S1044" s="20">
        <f>IFERROR(IF(OR($R1044="",$C1044=""),"",$R1044/INDEX(DESPACHOS!$M$3:$M$3002,MATCH($C1044,DESPACHOS!$B$3:$B$3002,0))),"")</f>
        <v/>
      </c>
      <c r="T1044" s="41" t="n"/>
      <c r="U1044" s="43">
        <f>IF(OR($B1044="",$L1044=""),"",WORKDAY($B1044,IFERROR(INDEX(LISTAS!$C$3:$C$42,MATCH($L1044,LISTAS!$A$3:$A$42,0)),3)))</f>
        <v/>
      </c>
      <c r="V1044" s="40" t="n"/>
      <c r="W1044" s="19">
        <f>IF($B1044="","",IF($V1044&lt;&gt;"",$V1044-$B1044,TODAY()-$B1044))</f>
        <v/>
      </c>
      <c r="X1044" s="19">
        <f>IF(OR($B1044="",$U1044=""),"",IF($V1044&lt;&gt;"",MAX(0,$V1044-$U1044),MAX(0,TODAY()-$U1044)))</f>
        <v/>
      </c>
      <c r="Y1044" s="39">
        <f>IF($C1044="","",IF(IFERROR(INDEX(LISTAS!$I$3:$I$42,MATCH($T1044,LISTAS!$H$3:$H$42,0)),"NO")="SÍ",IF(N($X1044)&gt;0,"CERRADA FUERA DE SLA","CERRADA EN SLA"),IF($U1044="","SIN CLASIFICAR",IF(N($X1044)&gt;0,"VENCIDA",IF(TODAY()&gt;=$U1044-1,"POR VENCER","EN PLAZO")))))</f>
        <v/>
      </c>
      <c r="Z1044" s="41" t="n"/>
      <c r="AA1044" s="41" t="n"/>
      <c r="AB1044" s="41" t="n"/>
    </row>
    <row r="1045">
      <c r="A1045" s="39">
        <f>IF($C1045="","","NOV-"&amp;TEXT(ROW()-3,"0000"))</f>
        <v/>
      </c>
      <c r="B1045" s="40" t="n"/>
      <c r="C1045" s="41" t="n"/>
      <c r="D1045" s="42">
        <f>IF($C1045="","",IFERROR(INDEX(DESPACHOS!$D$3:$D$3002,MATCH($C1045,DESPACHOS!$B$3:$B$3002,0)),"SIN DESPACHO"))</f>
        <v/>
      </c>
      <c r="E1045" s="42">
        <f>IF($C1045="","",IFERROR(INDEX(DESPACHOS!$K$3:$K$3002,MATCH($C1045,DESPACHOS!$B$3:$B$3002,0)),""))</f>
        <v/>
      </c>
      <c r="F1045" s="42">
        <f>IF($C1045="","",IFERROR(INDEX(DESPACHOS!$I$3:$I$3002,MATCH($C1045,DESPACHOS!$B$3:$B$3002,0)),""))</f>
        <v/>
      </c>
      <c r="G1045" s="42">
        <f>IF($C1045="","",IFERROR(INDEX(DESPACHOS!$F$3:$F$3002,MATCH($C1045,DESPACHOS!$B$3:$B$3002,0)),""))</f>
        <v/>
      </c>
      <c r="H1045" s="42">
        <f>IF($C1045="","",IFERROR(INDEX(DESPACHOS!$G$3:$G$3002,MATCH($C1045,DESPACHOS!$B$3:$B$3002,0)),""))</f>
        <v/>
      </c>
      <c r="I1045" s="39">
        <f>IF($C1045="","",IFERROR(INDEX(DESPACHOS!$H$3:$H$3002,MATCH($C1045,DESPACHOS!$B$3:$B$3002,0)),""))</f>
        <v/>
      </c>
      <c r="J1045" s="43">
        <f>IF($C1045="","",IFERROR(INDEX(DESPACHOS!$J$3:$J$3002,MATCH($C1045,DESPACHOS!$B$3:$B$3002,0)),""))</f>
        <v/>
      </c>
      <c r="K1045" s="39">
        <f>IF($C1045="","",IF(COUNTIFS(DESPACHOS!$B$3:$B$3002,$C1045)=0,"NO EXISTE",IF(COUNTIFS(DESPACHOS!$B$3:$B$3002,$C1045)&gt;1,"DUPLICADO","OK")))</f>
        <v/>
      </c>
      <c r="L1045" s="41" t="n"/>
      <c r="M1045" s="41" t="n"/>
      <c r="N1045" s="42">
        <f>IF($M1045="","",IFERROR(INDEX(LISTAS!$F$3:$F$42,MATCH($M1045,LISTAS!$E$3:$E$42,0)),"Por definir"))</f>
        <v/>
      </c>
      <c r="O1045" s="41" t="n"/>
      <c r="P1045" s="39">
        <f>IF($L1045="","",IFERROR(INDEX(LISTAS!$B$3:$B$42,MATCH($L1045,LISTAS!$A$3:$A$42,0)),"Media"))</f>
        <v/>
      </c>
      <c r="Q1045" s="44" t="n"/>
      <c r="R1045" s="45" t="n"/>
      <c r="S1045" s="20">
        <f>IFERROR(IF(OR($R1045="",$C1045=""),"",$R1045/INDEX(DESPACHOS!$M$3:$M$3002,MATCH($C1045,DESPACHOS!$B$3:$B$3002,0))),"")</f>
        <v/>
      </c>
      <c r="T1045" s="41" t="n"/>
      <c r="U1045" s="43">
        <f>IF(OR($B1045="",$L1045=""),"",WORKDAY($B1045,IFERROR(INDEX(LISTAS!$C$3:$C$42,MATCH($L1045,LISTAS!$A$3:$A$42,0)),3)))</f>
        <v/>
      </c>
      <c r="V1045" s="40" t="n"/>
      <c r="W1045" s="19">
        <f>IF($B1045="","",IF($V1045&lt;&gt;"",$V1045-$B1045,TODAY()-$B1045))</f>
        <v/>
      </c>
      <c r="X1045" s="19">
        <f>IF(OR($B1045="",$U1045=""),"",IF($V1045&lt;&gt;"",MAX(0,$V1045-$U1045),MAX(0,TODAY()-$U1045)))</f>
        <v/>
      </c>
      <c r="Y1045" s="39">
        <f>IF($C1045="","",IF(IFERROR(INDEX(LISTAS!$I$3:$I$42,MATCH($T1045,LISTAS!$H$3:$H$42,0)),"NO")="SÍ",IF(N($X1045)&gt;0,"CERRADA FUERA DE SLA","CERRADA EN SLA"),IF($U1045="","SIN CLASIFICAR",IF(N($X1045)&gt;0,"VENCIDA",IF(TODAY()&gt;=$U1045-1,"POR VENCER","EN PLAZO")))))</f>
        <v/>
      </c>
      <c r="Z1045" s="41" t="n"/>
      <c r="AA1045" s="41" t="n"/>
      <c r="AB1045" s="41" t="n"/>
    </row>
    <row r="1046">
      <c r="A1046" s="39">
        <f>IF($C1046="","","NOV-"&amp;TEXT(ROW()-3,"0000"))</f>
        <v/>
      </c>
      <c r="B1046" s="40" t="n"/>
      <c r="C1046" s="41" t="n"/>
      <c r="D1046" s="42">
        <f>IF($C1046="","",IFERROR(INDEX(DESPACHOS!$D$3:$D$3002,MATCH($C1046,DESPACHOS!$B$3:$B$3002,0)),"SIN DESPACHO"))</f>
        <v/>
      </c>
      <c r="E1046" s="42">
        <f>IF($C1046="","",IFERROR(INDEX(DESPACHOS!$K$3:$K$3002,MATCH($C1046,DESPACHOS!$B$3:$B$3002,0)),""))</f>
        <v/>
      </c>
      <c r="F1046" s="42">
        <f>IF($C1046="","",IFERROR(INDEX(DESPACHOS!$I$3:$I$3002,MATCH($C1046,DESPACHOS!$B$3:$B$3002,0)),""))</f>
        <v/>
      </c>
      <c r="G1046" s="42">
        <f>IF($C1046="","",IFERROR(INDEX(DESPACHOS!$F$3:$F$3002,MATCH($C1046,DESPACHOS!$B$3:$B$3002,0)),""))</f>
        <v/>
      </c>
      <c r="H1046" s="42">
        <f>IF($C1046="","",IFERROR(INDEX(DESPACHOS!$G$3:$G$3002,MATCH($C1046,DESPACHOS!$B$3:$B$3002,0)),""))</f>
        <v/>
      </c>
      <c r="I1046" s="39">
        <f>IF($C1046="","",IFERROR(INDEX(DESPACHOS!$H$3:$H$3002,MATCH($C1046,DESPACHOS!$B$3:$B$3002,0)),""))</f>
        <v/>
      </c>
      <c r="J1046" s="43">
        <f>IF($C1046="","",IFERROR(INDEX(DESPACHOS!$J$3:$J$3002,MATCH($C1046,DESPACHOS!$B$3:$B$3002,0)),""))</f>
        <v/>
      </c>
      <c r="K1046" s="39">
        <f>IF($C1046="","",IF(COUNTIFS(DESPACHOS!$B$3:$B$3002,$C1046)=0,"NO EXISTE",IF(COUNTIFS(DESPACHOS!$B$3:$B$3002,$C1046)&gt;1,"DUPLICADO","OK")))</f>
        <v/>
      </c>
      <c r="L1046" s="41" t="n"/>
      <c r="M1046" s="41" t="n"/>
      <c r="N1046" s="42">
        <f>IF($M1046="","",IFERROR(INDEX(LISTAS!$F$3:$F$42,MATCH($M1046,LISTAS!$E$3:$E$42,0)),"Por definir"))</f>
        <v/>
      </c>
      <c r="O1046" s="41" t="n"/>
      <c r="P1046" s="39">
        <f>IF($L1046="","",IFERROR(INDEX(LISTAS!$B$3:$B$42,MATCH($L1046,LISTAS!$A$3:$A$42,0)),"Media"))</f>
        <v/>
      </c>
      <c r="Q1046" s="44" t="n"/>
      <c r="R1046" s="45" t="n"/>
      <c r="S1046" s="20">
        <f>IFERROR(IF(OR($R1046="",$C1046=""),"",$R1046/INDEX(DESPACHOS!$M$3:$M$3002,MATCH($C1046,DESPACHOS!$B$3:$B$3002,0))),"")</f>
        <v/>
      </c>
      <c r="T1046" s="41" t="n"/>
      <c r="U1046" s="43">
        <f>IF(OR($B1046="",$L1046=""),"",WORKDAY($B1046,IFERROR(INDEX(LISTAS!$C$3:$C$42,MATCH($L1046,LISTAS!$A$3:$A$42,0)),3)))</f>
        <v/>
      </c>
      <c r="V1046" s="40" t="n"/>
      <c r="W1046" s="19">
        <f>IF($B1046="","",IF($V1046&lt;&gt;"",$V1046-$B1046,TODAY()-$B1046))</f>
        <v/>
      </c>
      <c r="X1046" s="19">
        <f>IF(OR($B1046="",$U1046=""),"",IF($V1046&lt;&gt;"",MAX(0,$V1046-$U1046),MAX(0,TODAY()-$U1046)))</f>
        <v/>
      </c>
      <c r="Y1046" s="39">
        <f>IF($C1046="","",IF(IFERROR(INDEX(LISTAS!$I$3:$I$42,MATCH($T1046,LISTAS!$H$3:$H$42,0)),"NO")="SÍ",IF(N($X1046)&gt;0,"CERRADA FUERA DE SLA","CERRADA EN SLA"),IF($U1046="","SIN CLASIFICAR",IF(N($X1046)&gt;0,"VENCIDA",IF(TODAY()&gt;=$U1046-1,"POR VENCER","EN PLAZO")))))</f>
        <v/>
      </c>
      <c r="Z1046" s="41" t="n"/>
      <c r="AA1046" s="41" t="n"/>
      <c r="AB1046" s="41" t="n"/>
    </row>
    <row r="1047">
      <c r="A1047" s="39">
        <f>IF($C1047="","","NOV-"&amp;TEXT(ROW()-3,"0000"))</f>
        <v/>
      </c>
      <c r="B1047" s="40" t="n"/>
      <c r="C1047" s="41" t="n"/>
      <c r="D1047" s="42">
        <f>IF($C1047="","",IFERROR(INDEX(DESPACHOS!$D$3:$D$3002,MATCH($C1047,DESPACHOS!$B$3:$B$3002,0)),"SIN DESPACHO"))</f>
        <v/>
      </c>
      <c r="E1047" s="42">
        <f>IF($C1047="","",IFERROR(INDEX(DESPACHOS!$K$3:$K$3002,MATCH($C1047,DESPACHOS!$B$3:$B$3002,0)),""))</f>
        <v/>
      </c>
      <c r="F1047" s="42">
        <f>IF($C1047="","",IFERROR(INDEX(DESPACHOS!$I$3:$I$3002,MATCH($C1047,DESPACHOS!$B$3:$B$3002,0)),""))</f>
        <v/>
      </c>
      <c r="G1047" s="42">
        <f>IF($C1047="","",IFERROR(INDEX(DESPACHOS!$F$3:$F$3002,MATCH($C1047,DESPACHOS!$B$3:$B$3002,0)),""))</f>
        <v/>
      </c>
      <c r="H1047" s="42">
        <f>IF($C1047="","",IFERROR(INDEX(DESPACHOS!$G$3:$G$3002,MATCH($C1047,DESPACHOS!$B$3:$B$3002,0)),""))</f>
        <v/>
      </c>
      <c r="I1047" s="39">
        <f>IF($C1047="","",IFERROR(INDEX(DESPACHOS!$H$3:$H$3002,MATCH($C1047,DESPACHOS!$B$3:$B$3002,0)),""))</f>
        <v/>
      </c>
      <c r="J1047" s="43">
        <f>IF($C1047="","",IFERROR(INDEX(DESPACHOS!$J$3:$J$3002,MATCH($C1047,DESPACHOS!$B$3:$B$3002,0)),""))</f>
        <v/>
      </c>
      <c r="K1047" s="39">
        <f>IF($C1047="","",IF(COUNTIFS(DESPACHOS!$B$3:$B$3002,$C1047)=0,"NO EXISTE",IF(COUNTIFS(DESPACHOS!$B$3:$B$3002,$C1047)&gt;1,"DUPLICADO","OK")))</f>
        <v/>
      </c>
      <c r="L1047" s="41" t="n"/>
      <c r="M1047" s="41" t="n"/>
      <c r="N1047" s="42">
        <f>IF($M1047="","",IFERROR(INDEX(LISTAS!$F$3:$F$42,MATCH($M1047,LISTAS!$E$3:$E$42,0)),"Por definir"))</f>
        <v/>
      </c>
      <c r="O1047" s="41" t="n"/>
      <c r="P1047" s="39">
        <f>IF($L1047="","",IFERROR(INDEX(LISTAS!$B$3:$B$42,MATCH($L1047,LISTAS!$A$3:$A$42,0)),"Media"))</f>
        <v/>
      </c>
      <c r="Q1047" s="44" t="n"/>
      <c r="R1047" s="45" t="n"/>
      <c r="S1047" s="20">
        <f>IFERROR(IF(OR($R1047="",$C1047=""),"",$R1047/INDEX(DESPACHOS!$M$3:$M$3002,MATCH($C1047,DESPACHOS!$B$3:$B$3002,0))),"")</f>
        <v/>
      </c>
      <c r="T1047" s="41" t="n"/>
      <c r="U1047" s="43">
        <f>IF(OR($B1047="",$L1047=""),"",WORKDAY($B1047,IFERROR(INDEX(LISTAS!$C$3:$C$42,MATCH($L1047,LISTAS!$A$3:$A$42,0)),3)))</f>
        <v/>
      </c>
      <c r="V1047" s="40" t="n"/>
      <c r="W1047" s="19">
        <f>IF($B1047="","",IF($V1047&lt;&gt;"",$V1047-$B1047,TODAY()-$B1047))</f>
        <v/>
      </c>
      <c r="X1047" s="19">
        <f>IF(OR($B1047="",$U1047=""),"",IF($V1047&lt;&gt;"",MAX(0,$V1047-$U1047),MAX(0,TODAY()-$U1047)))</f>
        <v/>
      </c>
      <c r="Y1047" s="39">
        <f>IF($C1047="","",IF(IFERROR(INDEX(LISTAS!$I$3:$I$42,MATCH($T1047,LISTAS!$H$3:$H$42,0)),"NO")="SÍ",IF(N($X1047)&gt;0,"CERRADA FUERA DE SLA","CERRADA EN SLA"),IF($U1047="","SIN CLASIFICAR",IF(N($X1047)&gt;0,"VENCIDA",IF(TODAY()&gt;=$U1047-1,"POR VENCER","EN PLAZO")))))</f>
        <v/>
      </c>
      <c r="Z1047" s="41" t="n"/>
      <c r="AA1047" s="41" t="n"/>
      <c r="AB1047" s="41" t="n"/>
    </row>
    <row r="1048">
      <c r="A1048" s="39">
        <f>IF($C1048="","","NOV-"&amp;TEXT(ROW()-3,"0000"))</f>
        <v/>
      </c>
      <c r="B1048" s="40" t="n"/>
      <c r="C1048" s="41" t="n"/>
      <c r="D1048" s="42">
        <f>IF($C1048="","",IFERROR(INDEX(DESPACHOS!$D$3:$D$3002,MATCH($C1048,DESPACHOS!$B$3:$B$3002,0)),"SIN DESPACHO"))</f>
        <v/>
      </c>
      <c r="E1048" s="42">
        <f>IF($C1048="","",IFERROR(INDEX(DESPACHOS!$K$3:$K$3002,MATCH($C1048,DESPACHOS!$B$3:$B$3002,0)),""))</f>
        <v/>
      </c>
      <c r="F1048" s="42">
        <f>IF($C1048="","",IFERROR(INDEX(DESPACHOS!$I$3:$I$3002,MATCH($C1048,DESPACHOS!$B$3:$B$3002,0)),""))</f>
        <v/>
      </c>
      <c r="G1048" s="42">
        <f>IF($C1048="","",IFERROR(INDEX(DESPACHOS!$F$3:$F$3002,MATCH($C1048,DESPACHOS!$B$3:$B$3002,0)),""))</f>
        <v/>
      </c>
      <c r="H1048" s="42">
        <f>IF($C1048="","",IFERROR(INDEX(DESPACHOS!$G$3:$G$3002,MATCH($C1048,DESPACHOS!$B$3:$B$3002,0)),""))</f>
        <v/>
      </c>
      <c r="I1048" s="39">
        <f>IF($C1048="","",IFERROR(INDEX(DESPACHOS!$H$3:$H$3002,MATCH($C1048,DESPACHOS!$B$3:$B$3002,0)),""))</f>
        <v/>
      </c>
      <c r="J1048" s="43">
        <f>IF($C1048="","",IFERROR(INDEX(DESPACHOS!$J$3:$J$3002,MATCH($C1048,DESPACHOS!$B$3:$B$3002,0)),""))</f>
        <v/>
      </c>
      <c r="K1048" s="39">
        <f>IF($C1048="","",IF(COUNTIFS(DESPACHOS!$B$3:$B$3002,$C1048)=0,"NO EXISTE",IF(COUNTIFS(DESPACHOS!$B$3:$B$3002,$C1048)&gt;1,"DUPLICADO","OK")))</f>
        <v/>
      </c>
      <c r="L1048" s="41" t="n"/>
      <c r="M1048" s="41" t="n"/>
      <c r="N1048" s="42">
        <f>IF($M1048="","",IFERROR(INDEX(LISTAS!$F$3:$F$42,MATCH($M1048,LISTAS!$E$3:$E$42,0)),"Por definir"))</f>
        <v/>
      </c>
      <c r="O1048" s="41" t="n"/>
      <c r="P1048" s="39">
        <f>IF($L1048="","",IFERROR(INDEX(LISTAS!$B$3:$B$42,MATCH($L1048,LISTAS!$A$3:$A$42,0)),"Media"))</f>
        <v/>
      </c>
      <c r="Q1048" s="44" t="n"/>
      <c r="R1048" s="45" t="n"/>
      <c r="S1048" s="20">
        <f>IFERROR(IF(OR($R1048="",$C1048=""),"",$R1048/INDEX(DESPACHOS!$M$3:$M$3002,MATCH($C1048,DESPACHOS!$B$3:$B$3002,0))),"")</f>
        <v/>
      </c>
      <c r="T1048" s="41" t="n"/>
      <c r="U1048" s="43">
        <f>IF(OR($B1048="",$L1048=""),"",WORKDAY($B1048,IFERROR(INDEX(LISTAS!$C$3:$C$42,MATCH($L1048,LISTAS!$A$3:$A$42,0)),3)))</f>
        <v/>
      </c>
      <c r="V1048" s="40" t="n"/>
      <c r="W1048" s="19">
        <f>IF($B1048="","",IF($V1048&lt;&gt;"",$V1048-$B1048,TODAY()-$B1048))</f>
        <v/>
      </c>
      <c r="X1048" s="19">
        <f>IF(OR($B1048="",$U1048=""),"",IF($V1048&lt;&gt;"",MAX(0,$V1048-$U1048),MAX(0,TODAY()-$U1048)))</f>
        <v/>
      </c>
      <c r="Y1048" s="39">
        <f>IF($C1048="","",IF(IFERROR(INDEX(LISTAS!$I$3:$I$42,MATCH($T1048,LISTAS!$H$3:$H$42,0)),"NO")="SÍ",IF(N($X1048)&gt;0,"CERRADA FUERA DE SLA","CERRADA EN SLA"),IF($U1048="","SIN CLASIFICAR",IF(N($X1048)&gt;0,"VENCIDA",IF(TODAY()&gt;=$U1048-1,"POR VENCER","EN PLAZO")))))</f>
        <v/>
      </c>
      <c r="Z1048" s="41" t="n"/>
      <c r="AA1048" s="41" t="n"/>
      <c r="AB1048" s="41" t="n"/>
    </row>
    <row r="1049">
      <c r="A1049" s="39">
        <f>IF($C1049="","","NOV-"&amp;TEXT(ROW()-3,"0000"))</f>
        <v/>
      </c>
      <c r="B1049" s="40" t="n"/>
      <c r="C1049" s="41" t="n"/>
      <c r="D1049" s="42">
        <f>IF($C1049="","",IFERROR(INDEX(DESPACHOS!$D$3:$D$3002,MATCH($C1049,DESPACHOS!$B$3:$B$3002,0)),"SIN DESPACHO"))</f>
        <v/>
      </c>
      <c r="E1049" s="42">
        <f>IF($C1049="","",IFERROR(INDEX(DESPACHOS!$K$3:$K$3002,MATCH($C1049,DESPACHOS!$B$3:$B$3002,0)),""))</f>
        <v/>
      </c>
      <c r="F1049" s="42">
        <f>IF($C1049="","",IFERROR(INDEX(DESPACHOS!$I$3:$I$3002,MATCH($C1049,DESPACHOS!$B$3:$B$3002,0)),""))</f>
        <v/>
      </c>
      <c r="G1049" s="42">
        <f>IF($C1049="","",IFERROR(INDEX(DESPACHOS!$F$3:$F$3002,MATCH($C1049,DESPACHOS!$B$3:$B$3002,0)),""))</f>
        <v/>
      </c>
      <c r="H1049" s="42">
        <f>IF($C1049="","",IFERROR(INDEX(DESPACHOS!$G$3:$G$3002,MATCH($C1049,DESPACHOS!$B$3:$B$3002,0)),""))</f>
        <v/>
      </c>
      <c r="I1049" s="39">
        <f>IF($C1049="","",IFERROR(INDEX(DESPACHOS!$H$3:$H$3002,MATCH($C1049,DESPACHOS!$B$3:$B$3002,0)),""))</f>
        <v/>
      </c>
      <c r="J1049" s="43">
        <f>IF($C1049="","",IFERROR(INDEX(DESPACHOS!$J$3:$J$3002,MATCH($C1049,DESPACHOS!$B$3:$B$3002,0)),""))</f>
        <v/>
      </c>
      <c r="K1049" s="39">
        <f>IF($C1049="","",IF(COUNTIFS(DESPACHOS!$B$3:$B$3002,$C1049)=0,"NO EXISTE",IF(COUNTIFS(DESPACHOS!$B$3:$B$3002,$C1049)&gt;1,"DUPLICADO","OK")))</f>
        <v/>
      </c>
      <c r="L1049" s="41" t="n"/>
      <c r="M1049" s="41" t="n"/>
      <c r="N1049" s="42">
        <f>IF($M1049="","",IFERROR(INDEX(LISTAS!$F$3:$F$42,MATCH($M1049,LISTAS!$E$3:$E$42,0)),"Por definir"))</f>
        <v/>
      </c>
      <c r="O1049" s="41" t="n"/>
      <c r="P1049" s="39">
        <f>IF($L1049="","",IFERROR(INDEX(LISTAS!$B$3:$B$42,MATCH($L1049,LISTAS!$A$3:$A$42,0)),"Media"))</f>
        <v/>
      </c>
      <c r="Q1049" s="44" t="n"/>
      <c r="R1049" s="45" t="n"/>
      <c r="S1049" s="20">
        <f>IFERROR(IF(OR($R1049="",$C1049=""),"",$R1049/INDEX(DESPACHOS!$M$3:$M$3002,MATCH($C1049,DESPACHOS!$B$3:$B$3002,0))),"")</f>
        <v/>
      </c>
      <c r="T1049" s="41" t="n"/>
      <c r="U1049" s="43">
        <f>IF(OR($B1049="",$L1049=""),"",WORKDAY($B1049,IFERROR(INDEX(LISTAS!$C$3:$C$42,MATCH($L1049,LISTAS!$A$3:$A$42,0)),3)))</f>
        <v/>
      </c>
      <c r="V1049" s="40" t="n"/>
      <c r="W1049" s="19">
        <f>IF($B1049="","",IF($V1049&lt;&gt;"",$V1049-$B1049,TODAY()-$B1049))</f>
        <v/>
      </c>
      <c r="X1049" s="19">
        <f>IF(OR($B1049="",$U1049=""),"",IF($V1049&lt;&gt;"",MAX(0,$V1049-$U1049),MAX(0,TODAY()-$U1049)))</f>
        <v/>
      </c>
      <c r="Y1049" s="39">
        <f>IF($C1049="","",IF(IFERROR(INDEX(LISTAS!$I$3:$I$42,MATCH($T1049,LISTAS!$H$3:$H$42,0)),"NO")="SÍ",IF(N($X1049)&gt;0,"CERRADA FUERA DE SLA","CERRADA EN SLA"),IF($U1049="","SIN CLASIFICAR",IF(N($X1049)&gt;0,"VENCIDA",IF(TODAY()&gt;=$U1049-1,"POR VENCER","EN PLAZO")))))</f>
        <v/>
      </c>
      <c r="Z1049" s="41" t="n"/>
      <c r="AA1049" s="41" t="n"/>
      <c r="AB1049" s="41" t="n"/>
    </row>
    <row r="1050">
      <c r="A1050" s="39">
        <f>IF($C1050="","","NOV-"&amp;TEXT(ROW()-3,"0000"))</f>
        <v/>
      </c>
      <c r="B1050" s="40" t="n"/>
      <c r="C1050" s="41" t="n"/>
      <c r="D1050" s="42">
        <f>IF($C1050="","",IFERROR(INDEX(DESPACHOS!$D$3:$D$3002,MATCH($C1050,DESPACHOS!$B$3:$B$3002,0)),"SIN DESPACHO"))</f>
        <v/>
      </c>
      <c r="E1050" s="42">
        <f>IF($C1050="","",IFERROR(INDEX(DESPACHOS!$K$3:$K$3002,MATCH($C1050,DESPACHOS!$B$3:$B$3002,0)),""))</f>
        <v/>
      </c>
      <c r="F1050" s="42">
        <f>IF($C1050="","",IFERROR(INDEX(DESPACHOS!$I$3:$I$3002,MATCH($C1050,DESPACHOS!$B$3:$B$3002,0)),""))</f>
        <v/>
      </c>
      <c r="G1050" s="42">
        <f>IF($C1050="","",IFERROR(INDEX(DESPACHOS!$F$3:$F$3002,MATCH($C1050,DESPACHOS!$B$3:$B$3002,0)),""))</f>
        <v/>
      </c>
      <c r="H1050" s="42">
        <f>IF($C1050="","",IFERROR(INDEX(DESPACHOS!$G$3:$G$3002,MATCH($C1050,DESPACHOS!$B$3:$B$3002,0)),""))</f>
        <v/>
      </c>
      <c r="I1050" s="39">
        <f>IF($C1050="","",IFERROR(INDEX(DESPACHOS!$H$3:$H$3002,MATCH($C1050,DESPACHOS!$B$3:$B$3002,0)),""))</f>
        <v/>
      </c>
      <c r="J1050" s="43">
        <f>IF($C1050="","",IFERROR(INDEX(DESPACHOS!$J$3:$J$3002,MATCH($C1050,DESPACHOS!$B$3:$B$3002,0)),""))</f>
        <v/>
      </c>
      <c r="K1050" s="39">
        <f>IF($C1050="","",IF(COUNTIFS(DESPACHOS!$B$3:$B$3002,$C1050)=0,"NO EXISTE",IF(COUNTIFS(DESPACHOS!$B$3:$B$3002,$C1050)&gt;1,"DUPLICADO","OK")))</f>
        <v/>
      </c>
      <c r="L1050" s="41" t="n"/>
      <c r="M1050" s="41" t="n"/>
      <c r="N1050" s="42">
        <f>IF($M1050="","",IFERROR(INDEX(LISTAS!$F$3:$F$42,MATCH($M1050,LISTAS!$E$3:$E$42,0)),"Por definir"))</f>
        <v/>
      </c>
      <c r="O1050" s="41" t="n"/>
      <c r="P1050" s="39">
        <f>IF($L1050="","",IFERROR(INDEX(LISTAS!$B$3:$B$42,MATCH($L1050,LISTAS!$A$3:$A$42,0)),"Media"))</f>
        <v/>
      </c>
      <c r="Q1050" s="44" t="n"/>
      <c r="R1050" s="45" t="n"/>
      <c r="S1050" s="20">
        <f>IFERROR(IF(OR($R1050="",$C1050=""),"",$R1050/INDEX(DESPACHOS!$M$3:$M$3002,MATCH($C1050,DESPACHOS!$B$3:$B$3002,0))),"")</f>
        <v/>
      </c>
      <c r="T1050" s="41" t="n"/>
      <c r="U1050" s="43">
        <f>IF(OR($B1050="",$L1050=""),"",WORKDAY($B1050,IFERROR(INDEX(LISTAS!$C$3:$C$42,MATCH($L1050,LISTAS!$A$3:$A$42,0)),3)))</f>
        <v/>
      </c>
      <c r="V1050" s="40" t="n"/>
      <c r="W1050" s="19">
        <f>IF($B1050="","",IF($V1050&lt;&gt;"",$V1050-$B1050,TODAY()-$B1050))</f>
        <v/>
      </c>
      <c r="X1050" s="19">
        <f>IF(OR($B1050="",$U1050=""),"",IF($V1050&lt;&gt;"",MAX(0,$V1050-$U1050),MAX(0,TODAY()-$U1050)))</f>
        <v/>
      </c>
      <c r="Y1050" s="39">
        <f>IF($C1050="","",IF(IFERROR(INDEX(LISTAS!$I$3:$I$42,MATCH($T1050,LISTAS!$H$3:$H$42,0)),"NO")="SÍ",IF(N($X1050)&gt;0,"CERRADA FUERA DE SLA","CERRADA EN SLA"),IF($U1050="","SIN CLASIFICAR",IF(N($X1050)&gt;0,"VENCIDA",IF(TODAY()&gt;=$U1050-1,"POR VENCER","EN PLAZO")))))</f>
        <v/>
      </c>
      <c r="Z1050" s="41" t="n"/>
      <c r="AA1050" s="41" t="n"/>
      <c r="AB1050" s="41" t="n"/>
    </row>
    <row r="1051">
      <c r="A1051" s="39">
        <f>IF($C1051="","","NOV-"&amp;TEXT(ROW()-3,"0000"))</f>
        <v/>
      </c>
      <c r="B1051" s="40" t="n"/>
      <c r="C1051" s="41" t="n"/>
      <c r="D1051" s="42">
        <f>IF($C1051="","",IFERROR(INDEX(DESPACHOS!$D$3:$D$3002,MATCH($C1051,DESPACHOS!$B$3:$B$3002,0)),"SIN DESPACHO"))</f>
        <v/>
      </c>
      <c r="E1051" s="42">
        <f>IF($C1051="","",IFERROR(INDEX(DESPACHOS!$K$3:$K$3002,MATCH($C1051,DESPACHOS!$B$3:$B$3002,0)),""))</f>
        <v/>
      </c>
      <c r="F1051" s="42">
        <f>IF($C1051="","",IFERROR(INDEX(DESPACHOS!$I$3:$I$3002,MATCH($C1051,DESPACHOS!$B$3:$B$3002,0)),""))</f>
        <v/>
      </c>
      <c r="G1051" s="42">
        <f>IF($C1051="","",IFERROR(INDEX(DESPACHOS!$F$3:$F$3002,MATCH($C1051,DESPACHOS!$B$3:$B$3002,0)),""))</f>
        <v/>
      </c>
      <c r="H1051" s="42">
        <f>IF($C1051="","",IFERROR(INDEX(DESPACHOS!$G$3:$G$3002,MATCH($C1051,DESPACHOS!$B$3:$B$3002,0)),""))</f>
        <v/>
      </c>
      <c r="I1051" s="39">
        <f>IF($C1051="","",IFERROR(INDEX(DESPACHOS!$H$3:$H$3002,MATCH($C1051,DESPACHOS!$B$3:$B$3002,0)),""))</f>
        <v/>
      </c>
      <c r="J1051" s="43">
        <f>IF($C1051="","",IFERROR(INDEX(DESPACHOS!$J$3:$J$3002,MATCH($C1051,DESPACHOS!$B$3:$B$3002,0)),""))</f>
        <v/>
      </c>
      <c r="K1051" s="39">
        <f>IF($C1051="","",IF(COUNTIFS(DESPACHOS!$B$3:$B$3002,$C1051)=0,"NO EXISTE",IF(COUNTIFS(DESPACHOS!$B$3:$B$3002,$C1051)&gt;1,"DUPLICADO","OK")))</f>
        <v/>
      </c>
      <c r="L1051" s="41" t="n"/>
      <c r="M1051" s="41" t="n"/>
      <c r="N1051" s="42">
        <f>IF($M1051="","",IFERROR(INDEX(LISTAS!$F$3:$F$42,MATCH($M1051,LISTAS!$E$3:$E$42,0)),"Por definir"))</f>
        <v/>
      </c>
      <c r="O1051" s="41" t="n"/>
      <c r="P1051" s="39">
        <f>IF($L1051="","",IFERROR(INDEX(LISTAS!$B$3:$B$42,MATCH($L1051,LISTAS!$A$3:$A$42,0)),"Media"))</f>
        <v/>
      </c>
      <c r="Q1051" s="44" t="n"/>
      <c r="R1051" s="45" t="n"/>
      <c r="S1051" s="20">
        <f>IFERROR(IF(OR($R1051="",$C1051=""),"",$R1051/INDEX(DESPACHOS!$M$3:$M$3002,MATCH($C1051,DESPACHOS!$B$3:$B$3002,0))),"")</f>
        <v/>
      </c>
      <c r="T1051" s="41" t="n"/>
      <c r="U1051" s="43">
        <f>IF(OR($B1051="",$L1051=""),"",WORKDAY($B1051,IFERROR(INDEX(LISTAS!$C$3:$C$42,MATCH($L1051,LISTAS!$A$3:$A$42,0)),3)))</f>
        <v/>
      </c>
      <c r="V1051" s="40" t="n"/>
      <c r="W1051" s="19">
        <f>IF($B1051="","",IF($V1051&lt;&gt;"",$V1051-$B1051,TODAY()-$B1051))</f>
        <v/>
      </c>
      <c r="X1051" s="19">
        <f>IF(OR($B1051="",$U1051=""),"",IF($V1051&lt;&gt;"",MAX(0,$V1051-$U1051),MAX(0,TODAY()-$U1051)))</f>
        <v/>
      </c>
      <c r="Y1051" s="39">
        <f>IF($C1051="","",IF(IFERROR(INDEX(LISTAS!$I$3:$I$42,MATCH($T1051,LISTAS!$H$3:$H$42,0)),"NO")="SÍ",IF(N($X1051)&gt;0,"CERRADA FUERA DE SLA","CERRADA EN SLA"),IF($U1051="","SIN CLASIFICAR",IF(N($X1051)&gt;0,"VENCIDA",IF(TODAY()&gt;=$U1051-1,"POR VENCER","EN PLAZO")))))</f>
        <v/>
      </c>
      <c r="Z1051" s="41" t="n"/>
      <c r="AA1051" s="41" t="n"/>
      <c r="AB1051" s="41" t="n"/>
    </row>
    <row r="1052">
      <c r="A1052" s="39">
        <f>IF($C1052="","","NOV-"&amp;TEXT(ROW()-3,"0000"))</f>
        <v/>
      </c>
      <c r="B1052" s="40" t="n"/>
      <c r="C1052" s="41" t="n"/>
      <c r="D1052" s="42">
        <f>IF($C1052="","",IFERROR(INDEX(DESPACHOS!$D$3:$D$3002,MATCH($C1052,DESPACHOS!$B$3:$B$3002,0)),"SIN DESPACHO"))</f>
        <v/>
      </c>
      <c r="E1052" s="42">
        <f>IF($C1052="","",IFERROR(INDEX(DESPACHOS!$K$3:$K$3002,MATCH($C1052,DESPACHOS!$B$3:$B$3002,0)),""))</f>
        <v/>
      </c>
      <c r="F1052" s="42">
        <f>IF($C1052="","",IFERROR(INDEX(DESPACHOS!$I$3:$I$3002,MATCH($C1052,DESPACHOS!$B$3:$B$3002,0)),""))</f>
        <v/>
      </c>
      <c r="G1052" s="42">
        <f>IF($C1052="","",IFERROR(INDEX(DESPACHOS!$F$3:$F$3002,MATCH($C1052,DESPACHOS!$B$3:$B$3002,0)),""))</f>
        <v/>
      </c>
      <c r="H1052" s="42">
        <f>IF($C1052="","",IFERROR(INDEX(DESPACHOS!$G$3:$G$3002,MATCH($C1052,DESPACHOS!$B$3:$B$3002,0)),""))</f>
        <v/>
      </c>
      <c r="I1052" s="39">
        <f>IF($C1052="","",IFERROR(INDEX(DESPACHOS!$H$3:$H$3002,MATCH($C1052,DESPACHOS!$B$3:$B$3002,0)),""))</f>
        <v/>
      </c>
      <c r="J1052" s="43">
        <f>IF($C1052="","",IFERROR(INDEX(DESPACHOS!$J$3:$J$3002,MATCH($C1052,DESPACHOS!$B$3:$B$3002,0)),""))</f>
        <v/>
      </c>
      <c r="K1052" s="39">
        <f>IF($C1052="","",IF(COUNTIFS(DESPACHOS!$B$3:$B$3002,$C1052)=0,"NO EXISTE",IF(COUNTIFS(DESPACHOS!$B$3:$B$3002,$C1052)&gt;1,"DUPLICADO","OK")))</f>
        <v/>
      </c>
      <c r="L1052" s="41" t="n"/>
      <c r="M1052" s="41" t="n"/>
      <c r="N1052" s="42">
        <f>IF($M1052="","",IFERROR(INDEX(LISTAS!$F$3:$F$42,MATCH($M1052,LISTAS!$E$3:$E$42,0)),"Por definir"))</f>
        <v/>
      </c>
      <c r="O1052" s="41" t="n"/>
      <c r="P1052" s="39">
        <f>IF($L1052="","",IFERROR(INDEX(LISTAS!$B$3:$B$42,MATCH($L1052,LISTAS!$A$3:$A$42,0)),"Media"))</f>
        <v/>
      </c>
      <c r="Q1052" s="44" t="n"/>
      <c r="R1052" s="45" t="n"/>
      <c r="S1052" s="20">
        <f>IFERROR(IF(OR($R1052="",$C1052=""),"",$R1052/INDEX(DESPACHOS!$M$3:$M$3002,MATCH($C1052,DESPACHOS!$B$3:$B$3002,0))),"")</f>
        <v/>
      </c>
      <c r="T1052" s="41" t="n"/>
      <c r="U1052" s="43">
        <f>IF(OR($B1052="",$L1052=""),"",WORKDAY($B1052,IFERROR(INDEX(LISTAS!$C$3:$C$42,MATCH($L1052,LISTAS!$A$3:$A$42,0)),3)))</f>
        <v/>
      </c>
      <c r="V1052" s="40" t="n"/>
      <c r="W1052" s="19">
        <f>IF($B1052="","",IF($V1052&lt;&gt;"",$V1052-$B1052,TODAY()-$B1052))</f>
        <v/>
      </c>
      <c r="X1052" s="19">
        <f>IF(OR($B1052="",$U1052=""),"",IF($V1052&lt;&gt;"",MAX(0,$V1052-$U1052),MAX(0,TODAY()-$U1052)))</f>
        <v/>
      </c>
      <c r="Y1052" s="39">
        <f>IF($C1052="","",IF(IFERROR(INDEX(LISTAS!$I$3:$I$42,MATCH($T1052,LISTAS!$H$3:$H$42,0)),"NO")="SÍ",IF(N($X1052)&gt;0,"CERRADA FUERA DE SLA","CERRADA EN SLA"),IF($U1052="","SIN CLASIFICAR",IF(N($X1052)&gt;0,"VENCIDA",IF(TODAY()&gt;=$U1052-1,"POR VENCER","EN PLAZO")))))</f>
        <v/>
      </c>
      <c r="Z1052" s="41" t="n"/>
      <c r="AA1052" s="41" t="n"/>
      <c r="AB1052" s="41" t="n"/>
    </row>
    <row r="1053">
      <c r="A1053" s="39">
        <f>IF($C1053="","","NOV-"&amp;TEXT(ROW()-3,"0000"))</f>
        <v/>
      </c>
      <c r="B1053" s="40" t="n"/>
      <c r="C1053" s="41" t="n"/>
      <c r="D1053" s="42">
        <f>IF($C1053="","",IFERROR(INDEX(DESPACHOS!$D$3:$D$3002,MATCH($C1053,DESPACHOS!$B$3:$B$3002,0)),"SIN DESPACHO"))</f>
        <v/>
      </c>
      <c r="E1053" s="42">
        <f>IF($C1053="","",IFERROR(INDEX(DESPACHOS!$K$3:$K$3002,MATCH($C1053,DESPACHOS!$B$3:$B$3002,0)),""))</f>
        <v/>
      </c>
      <c r="F1053" s="42">
        <f>IF($C1053="","",IFERROR(INDEX(DESPACHOS!$I$3:$I$3002,MATCH($C1053,DESPACHOS!$B$3:$B$3002,0)),""))</f>
        <v/>
      </c>
      <c r="G1053" s="42">
        <f>IF($C1053="","",IFERROR(INDEX(DESPACHOS!$F$3:$F$3002,MATCH($C1053,DESPACHOS!$B$3:$B$3002,0)),""))</f>
        <v/>
      </c>
      <c r="H1053" s="42">
        <f>IF($C1053="","",IFERROR(INDEX(DESPACHOS!$G$3:$G$3002,MATCH($C1053,DESPACHOS!$B$3:$B$3002,0)),""))</f>
        <v/>
      </c>
      <c r="I1053" s="39">
        <f>IF($C1053="","",IFERROR(INDEX(DESPACHOS!$H$3:$H$3002,MATCH($C1053,DESPACHOS!$B$3:$B$3002,0)),""))</f>
        <v/>
      </c>
      <c r="J1053" s="43">
        <f>IF($C1053="","",IFERROR(INDEX(DESPACHOS!$J$3:$J$3002,MATCH($C1053,DESPACHOS!$B$3:$B$3002,0)),""))</f>
        <v/>
      </c>
      <c r="K1053" s="39">
        <f>IF($C1053="","",IF(COUNTIFS(DESPACHOS!$B$3:$B$3002,$C1053)=0,"NO EXISTE",IF(COUNTIFS(DESPACHOS!$B$3:$B$3002,$C1053)&gt;1,"DUPLICADO","OK")))</f>
        <v/>
      </c>
      <c r="L1053" s="41" t="n"/>
      <c r="M1053" s="41" t="n"/>
      <c r="N1053" s="42">
        <f>IF($M1053="","",IFERROR(INDEX(LISTAS!$F$3:$F$42,MATCH($M1053,LISTAS!$E$3:$E$42,0)),"Por definir"))</f>
        <v/>
      </c>
      <c r="O1053" s="41" t="n"/>
      <c r="P1053" s="39">
        <f>IF($L1053="","",IFERROR(INDEX(LISTAS!$B$3:$B$42,MATCH($L1053,LISTAS!$A$3:$A$42,0)),"Media"))</f>
        <v/>
      </c>
      <c r="Q1053" s="44" t="n"/>
      <c r="R1053" s="45" t="n"/>
      <c r="S1053" s="20">
        <f>IFERROR(IF(OR($R1053="",$C1053=""),"",$R1053/INDEX(DESPACHOS!$M$3:$M$3002,MATCH($C1053,DESPACHOS!$B$3:$B$3002,0))),"")</f>
        <v/>
      </c>
      <c r="T1053" s="41" t="n"/>
      <c r="U1053" s="43">
        <f>IF(OR($B1053="",$L1053=""),"",WORKDAY($B1053,IFERROR(INDEX(LISTAS!$C$3:$C$42,MATCH($L1053,LISTAS!$A$3:$A$42,0)),3)))</f>
        <v/>
      </c>
      <c r="V1053" s="40" t="n"/>
      <c r="W1053" s="19">
        <f>IF($B1053="","",IF($V1053&lt;&gt;"",$V1053-$B1053,TODAY()-$B1053))</f>
        <v/>
      </c>
      <c r="X1053" s="19">
        <f>IF(OR($B1053="",$U1053=""),"",IF($V1053&lt;&gt;"",MAX(0,$V1053-$U1053),MAX(0,TODAY()-$U1053)))</f>
        <v/>
      </c>
      <c r="Y1053" s="39">
        <f>IF($C1053="","",IF(IFERROR(INDEX(LISTAS!$I$3:$I$42,MATCH($T1053,LISTAS!$H$3:$H$42,0)),"NO")="SÍ",IF(N($X1053)&gt;0,"CERRADA FUERA DE SLA","CERRADA EN SLA"),IF($U1053="","SIN CLASIFICAR",IF(N($X1053)&gt;0,"VENCIDA",IF(TODAY()&gt;=$U1053-1,"POR VENCER","EN PLAZO")))))</f>
        <v/>
      </c>
      <c r="Z1053" s="41" t="n"/>
      <c r="AA1053" s="41" t="n"/>
      <c r="AB1053" s="41" t="n"/>
    </row>
    <row r="1054">
      <c r="A1054" s="39">
        <f>IF($C1054="","","NOV-"&amp;TEXT(ROW()-3,"0000"))</f>
        <v/>
      </c>
      <c r="B1054" s="40" t="n"/>
      <c r="C1054" s="41" t="n"/>
      <c r="D1054" s="42">
        <f>IF($C1054="","",IFERROR(INDEX(DESPACHOS!$D$3:$D$3002,MATCH($C1054,DESPACHOS!$B$3:$B$3002,0)),"SIN DESPACHO"))</f>
        <v/>
      </c>
      <c r="E1054" s="42">
        <f>IF($C1054="","",IFERROR(INDEX(DESPACHOS!$K$3:$K$3002,MATCH($C1054,DESPACHOS!$B$3:$B$3002,0)),""))</f>
        <v/>
      </c>
      <c r="F1054" s="42">
        <f>IF($C1054="","",IFERROR(INDEX(DESPACHOS!$I$3:$I$3002,MATCH($C1054,DESPACHOS!$B$3:$B$3002,0)),""))</f>
        <v/>
      </c>
      <c r="G1054" s="42">
        <f>IF($C1054="","",IFERROR(INDEX(DESPACHOS!$F$3:$F$3002,MATCH($C1054,DESPACHOS!$B$3:$B$3002,0)),""))</f>
        <v/>
      </c>
      <c r="H1054" s="42">
        <f>IF($C1054="","",IFERROR(INDEX(DESPACHOS!$G$3:$G$3002,MATCH($C1054,DESPACHOS!$B$3:$B$3002,0)),""))</f>
        <v/>
      </c>
      <c r="I1054" s="39">
        <f>IF($C1054="","",IFERROR(INDEX(DESPACHOS!$H$3:$H$3002,MATCH($C1054,DESPACHOS!$B$3:$B$3002,0)),""))</f>
        <v/>
      </c>
      <c r="J1054" s="43">
        <f>IF($C1054="","",IFERROR(INDEX(DESPACHOS!$J$3:$J$3002,MATCH($C1054,DESPACHOS!$B$3:$B$3002,0)),""))</f>
        <v/>
      </c>
      <c r="K1054" s="39">
        <f>IF($C1054="","",IF(COUNTIFS(DESPACHOS!$B$3:$B$3002,$C1054)=0,"NO EXISTE",IF(COUNTIFS(DESPACHOS!$B$3:$B$3002,$C1054)&gt;1,"DUPLICADO","OK")))</f>
        <v/>
      </c>
      <c r="L1054" s="41" t="n"/>
      <c r="M1054" s="41" t="n"/>
      <c r="N1054" s="42">
        <f>IF($M1054="","",IFERROR(INDEX(LISTAS!$F$3:$F$42,MATCH($M1054,LISTAS!$E$3:$E$42,0)),"Por definir"))</f>
        <v/>
      </c>
      <c r="O1054" s="41" t="n"/>
      <c r="P1054" s="39">
        <f>IF($L1054="","",IFERROR(INDEX(LISTAS!$B$3:$B$42,MATCH($L1054,LISTAS!$A$3:$A$42,0)),"Media"))</f>
        <v/>
      </c>
      <c r="Q1054" s="44" t="n"/>
      <c r="R1054" s="45" t="n"/>
      <c r="S1054" s="20">
        <f>IFERROR(IF(OR($R1054="",$C1054=""),"",$R1054/INDEX(DESPACHOS!$M$3:$M$3002,MATCH($C1054,DESPACHOS!$B$3:$B$3002,0))),"")</f>
        <v/>
      </c>
      <c r="T1054" s="41" t="n"/>
      <c r="U1054" s="43">
        <f>IF(OR($B1054="",$L1054=""),"",WORKDAY($B1054,IFERROR(INDEX(LISTAS!$C$3:$C$42,MATCH($L1054,LISTAS!$A$3:$A$42,0)),3)))</f>
        <v/>
      </c>
      <c r="V1054" s="40" t="n"/>
      <c r="W1054" s="19">
        <f>IF($B1054="","",IF($V1054&lt;&gt;"",$V1054-$B1054,TODAY()-$B1054))</f>
        <v/>
      </c>
      <c r="X1054" s="19">
        <f>IF(OR($B1054="",$U1054=""),"",IF($V1054&lt;&gt;"",MAX(0,$V1054-$U1054),MAX(0,TODAY()-$U1054)))</f>
        <v/>
      </c>
      <c r="Y1054" s="39">
        <f>IF($C1054="","",IF(IFERROR(INDEX(LISTAS!$I$3:$I$42,MATCH($T1054,LISTAS!$H$3:$H$42,0)),"NO")="SÍ",IF(N($X1054)&gt;0,"CERRADA FUERA DE SLA","CERRADA EN SLA"),IF($U1054="","SIN CLASIFICAR",IF(N($X1054)&gt;0,"VENCIDA",IF(TODAY()&gt;=$U1054-1,"POR VENCER","EN PLAZO")))))</f>
        <v/>
      </c>
      <c r="Z1054" s="41" t="n"/>
      <c r="AA1054" s="41" t="n"/>
      <c r="AB1054" s="41" t="n"/>
    </row>
    <row r="1055">
      <c r="A1055" s="39">
        <f>IF($C1055="","","NOV-"&amp;TEXT(ROW()-3,"0000"))</f>
        <v/>
      </c>
      <c r="B1055" s="40" t="n"/>
      <c r="C1055" s="41" t="n"/>
      <c r="D1055" s="42">
        <f>IF($C1055="","",IFERROR(INDEX(DESPACHOS!$D$3:$D$3002,MATCH($C1055,DESPACHOS!$B$3:$B$3002,0)),"SIN DESPACHO"))</f>
        <v/>
      </c>
      <c r="E1055" s="42">
        <f>IF($C1055="","",IFERROR(INDEX(DESPACHOS!$K$3:$K$3002,MATCH($C1055,DESPACHOS!$B$3:$B$3002,0)),""))</f>
        <v/>
      </c>
      <c r="F1055" s="42">
        <f>IF($C1055="","",IFERROR(INDEX(DESPACHOS!$I$3:$I$3002,MATCH($C1055,DESPACHOS!$B$3:$B$3002,0)),""))</f>
        <v/>
      </c>
      <c r="G1055" s="42">
        <f>IF($C1055="","",IFERROR(INDEX(DESPACHOS!$F$3:$F$3002,MATCH($C1055,DESPACHOS!$B$3:$B$3002,0)),""))</f>
        <v/>
      </c>
      <c r="H1055" s="42">
        <f>IF($C1055="","",IFERROR(INDEX(DESPACHOS!$G$3:$G$3002,MATCH($C1055,DESPACHOS!$B$3:$B$3002,0)),""))</f>
        <v/>
      </c>
      <c r="I1055" s="39">
        <f>IF($C1055="","",IFERROR(INDEX(DESPACHOS!$H$3:$H$3002,MATCH($C1055,DESPACHOS!$B$3:$B$3002,0)),""))</f>
        <v/>
      </c>
      <c r="J1055" s="43">
        <f>IF($C1055="","",IFERROR(INDEX(DESPACHOS!$J$3:$J$3002,MATCH($C1055,DESPACHOS!$B$3:$B$3002,0)),""))</f>
        <v/>
      </c>
      <c r="K1055" s="39">
        <f>IF($C1055="","",IF(COUNTIFS(DESPACHOS!$B$3:$B$3002,$C1055)=0,"NO EXISTE",IF(COUNTIFS(DESPACHOS!$B$3:$B$3002,$C1055)&gt;1,"DUPLICADO","OK")))</f>
        <v/>
      </c>
      <c r="L1055" s="41" t="n"/>
      <c r="M1055" s="41" t="n"/>
      <c r="N1055" s="42">
        <f>IF($M1055="","",IFERROR(INDEX(LISTAS!$F$3:$F$42,MATCH($M1055,LISTAS!$E$3:$E$42,0)),"Por definir"))</f>
        <v/>
      </c>
      <c r="O1055" s="41" t="n"/>
      <c r="P1055" s="39">
        <f>IF($L1055="","",IFERROR(INDEX(LISTAS!$B$3:$B$42,MATCH($L1055,LISTAS!$A$3:$A$42,0)),"Media"))</f>
        <v/>
      </c>
      <c r="Q1055" s="44" t="n"/>
      <c r="R1055" s="45" t="n"/>
      <c r="S1055" s="20">
        <f>IFERROR(IF(OR($R1055="",$C1055=""),"",$R1055/INDEX(DESPACHOS!$M$3:$M$3002,MATCH($C1055,DESPACHOS!$B$3:$B$3002,0))),"")</f>
        <v/>
      </c>
      <c r="T1055" s="41" t="n"/>
      <c r="U1055" s="43">
        <f>IF(OR($B1055="",$L1055=""),"",WORKDAY($B1055,IFERROR(INDEX(LISTAS!$C$3:$C$42,MATCH($L1055,LISTAS!$A$3:$A$42,0)),3)))</f>
        <v/>
      </c>
      <c r="V1055" s="40" t="n"/>
      <c r="W1055" s="19">
        <f>IF($B1055="","",IF($V1055&lt;&gt;"",$V1055-$B1055,TODAY()-$B1055))</f>
        <v/>
      </c>
      <c r="X1055" s="19">
        <f>IF(OR($B1055="",$U1055=""),"",IF($V1055&lt;&gt;"",MAX(0,$V1055-$U1055),MAX(0,TODAY()-$U1055)))</f>
        <v/>
      </c>
      <c r="Y1055" s="39">
        <f>IF($C1055="","",IF(IFERROR(INDEX(LISTAS!$I$3:$I$42,MATCH($T1055,LISTAS!$H$3:$H$42,0)),"NO")="SÍ",IF(N($X1055)&gt;0,"CERRADA FUERA DE SLA","CERRADA EN SLA"),IF($U1055="","SIN CLASIFICAR",IF(N($X1055)&gt;0,"VENCIDA",IF(TODAY()&gt;=$U1055-1,"POR VENCER","EN PLAZO")))))</f>
        <v/>
      </c>
      <c r="Z1055" s="41" t="n"/>
      <c r="AA1055" s="41" t="n"/>
      <c r="AB1055" s="41" t="n"/>
    </row>
    <row r="1056">
      <c r="A1056" s="39">
        <f>IF($C1056="","","NOV-"&amp;TEXT(ROW()-3,"0000"))</f>
        <v/>
      </c>
      <c r="B1056" s="40" t="n"/>
      <c r="C1056" s="41" t="n"/>
      <c r="D1056" s="42">
        <f>IF($C1056="","",IFERROR(INDEX(DESPACHOS!$D$3:$D$3002,MATCH($C1056,DESPACHOS!$B$3:$B$3002,0)),"SIN DESPACHO"))</f>
        <v/>
      </c>
      <c r="E1056" s="42">
        <f>IF($C1056="","",IFERROR(INDEX(DESPACHOS!$K$3:$K$3002,MATCH($C1056,DESPACHOS!$B$3:$B$3002,0)),""))</f>
        <v/>
      </c>
      <c r="F1056" s="42">
        <f>IF($C1056="","",IFERROR(INDEX(DESPACHOS!$I$3:$I$3002,MATCH($C1056,DESPACHOS!$B$3:$B$3002,0)),""))</f>
        <v/>
      </c>
      <c r="G1056" s="42">
        <f>IF($C1056="","",IFERROR(INDEX(DESPACHOS!$F$3:$F$3002,MATCH($C1056,DESPACHOS!$B$3:$B$3002,0)),""))</f>
        <v/>
      </c>
      <c r="H1056" s="42">
        <f>IF($C1056="","",IFERROR(INDEX(DESPACHOS!$G$3:$G$3002,MATCH($C1056,DESPACHOS!$B$3:$B$3002,0)),""))</f>
        <v/>
      </c>
      <c r="I1056" s="39">
        <f>IF($C1056="","",IFERROR(INDEX(DESPACHOS!$H$3:$H$3002,MATCH($C1056,DESPACHOS!$B$3:$B$3002,0)),""))</f>
        <v/>
      </c>
      <c r="J1056" s="43">
        <f>IF($C1056="","",IFERROR(INDEX(DESPACHOS!$J$3:$J$3002,MATCH($C1056,DESPACHOS!$B$3:$B$3002,0)),""))</f>
        <v/>
      </c>
      <c r="K1056" s="39">
        <f>IF($C1056="","",IF(COUNTIFS(DESPACHOS!$B$3:$B$3002,$C1056)=0,"NO EXISTE",IF(COUNTIFS(DESPACHOS!$B$3:$B$3002,$C1056)&gt;1,"DUPLICADO","OK")))</f>
        <v/>
      </c>
      <c r="L1056" s="41" t="n"/>
      <c r="M1056" s="41" t="n"/>
      <c r="N1056" s="42">
        <f>IF($M1056="","",IFERROR(INDEX(LISTAS!$F$3:$F$42,MATCH($M1056,LISTAS!$E$3:$E$42,0)),"Por definir"))</f>
        <v/>
      </c>
      <c r="O1056" s="41" t="n"/>
      <c r="P1056" s="39">
        <f>IF($L1056="","",IFERROR(INDEX(LISTAS!$B$3:$B$42,MATCH($L1056,LISTAS!$A$3:$A$42,0)),"Media"))</f>
        <v/>
      </c>
      <c r="Q1056" s="44" t="n"/>
      <c r="R1056" s="45" t="n"/>
      <c r="S1056" s="20">
        <f>IFERROR(IF(OR($R1056="",$C1056=""),"",$R1056/INDEX(DESPACHOS!$M$3:$M$3002,MATCH($C1056,DESPACHOS!$B$3:$B$3002,0))),"")</f>
        <v/>
      </c>
      <c r="T1056" s="41" t="n"/>
      <c r="U1056" s="43">
        <f>IF(OR($B1056="",$L1056=""),"",WORKDAY($B1056,IFERROR(INDEX(LISTAS!$C$3:$C$42,MATCH($L1056,LISTAS!$A$3:$A$42,0)),3)))</f>
        <v/>
      </c>
      <c r="V1056" s="40" t="n"/>
      <c r="W1056" s="19">
        <f>IF($B1056="","",IF($V1056&lt;&gt;"",$V1056-$B1056,TODAY()-$B1056))</f>
        <v/>
      </c>
      <c r="X1056" s="19">
        <f>IF(OR($B1056="",$U1056=""),"",IF($V1056&lt;&gt;"",MAX(0,$V1056-$U1056),MAX(0,TODAY()-$U1056)))</f>
        <v/>
      </c>
      <c r="Y1056" s="39">
        <f>IF($C1056="","",IF(IFERROR(INDEX(LISTAS!$I$3:$I$42,MATCH($T1056,LISTAS!$H$3:$H$42,0)),"NO")="SÍ",IF(N($X1056)&gt;0,"CERRADA FUERA DE SLA","CERRADA EN SLA"),IF($U1056="","SIN CLASIFICAR",IF(N($X1056)&gt;0,"VENCIDA",IF(TODAY()&gt;=$U1056-1,"POR VENCER","EN PLAZO")))))</f>
        <v/>
      </c>
      <c r="Z1056" s="41" t="n"/>
      <c r="AA1056" s="41" t="n"/>
      <c r="AB1056" s="41" t="n"/>
    </row>
    <row r="1057">
      <c r="A1057" s="39">
        <f>IF($C1057="","","NOV-"&amp;TEXT(ROW()-3,"0000"))</f>
        <v/>
      </c>
      <c r="B1057" s="40" t="n"/>
      <c r="C1057" s="41" t="n"/>
      <c r="D1057" s="42">
        <f>IF($C1057="","",IFERROR(INDEX(DESPACHOS!$D$3:$D$3002,MATCH($C1057,DESPACHOS!$B$3:$B$3002,0)),"SIN DESPACHO"))</f>
        <v/>
      </c>
      <c r="E1057" s="42">
        <f>IF($C1057="","",IFERROR(INDEX(DESPACHOS!$K$3:$K$3002,MATCH($C1057,DESPACHOS!$B$3:$B$3002,0)),""))</f>
        <v/>
      </c>
      <c r="F1057" s="42">
        <f>IF($C1057="","",IFERROR(INDEX(DESPACHOS!$I$3:$I$3002,MATCH($C1057,DESPACHOS!$B$3:$B$3002,0)),""))</f>
        <v/>
      </c>
      <c r="G1057" s="42">
        <f>IF($C1057="","",IFERROR(INDEX(DESPACHOS!$F$3:$F$3002,MATCH($C1057,DESPACHOS!$B$3:$B$3002,0)),""))</f>
        <v/>
      </c>
      <c r="H1057" s="42">
        <f>IF($C1057="","",IFERROR(INDEX(DESPACHOS!$G$3:$G$3002,MATCH($C1057,DESPACHOS!$B$3:$B$3002,0)),""))</f>
        <v/>
      </c>
      <c r="I1057" s="39">
        <f>IF($C1057="","",IFERROR(INDEX(DESPACHOS!$H$3:$H$3002,MATCH($C1057,DESPACHOS!$B$3:$B$3002,0)),""))</f>
        <v/>
      </c>
      <c r="J1057" s="43">
        <f>IF($C1057="","",IFERROR(INDEX(DESPACHOS!$J$3:$J$3002,MATCH($C1057,DESPACHOS!$B$3:$B$3002,0)),""))</f>
        <v/>
      </c>
      <c r="K1057" s="39">
        <f>IF($C1057="","",IF(COUNTIFS(DESPACHOS!$B$3:$B$3002,$C1057)=0,"NO EXISTE",IF(COUNTIFS(DESPACHOS!$B$3:$B$3002,$C1057)&gt;1,"DUPLICADO","OK")))</f>
        <v/>
      </c>
      <c r="L1057" s="41" t="n"/>
      <c r="M1057" s="41" t="n"/>
      <c r="N1057" s="42">
        <f>IF($M1057="","",IFERROR(INDEX(LISTAS!$F$3:$F$42,MATCH($M1057,LISTAS!$E$3:$E$42,0)),"Por definir"))</f>
        <v/>
      </c>
      <c r="O1057" s="41" t="n"/>
      <c r="P1057" s="39">
        <f>IF($L1057="","",IFERROR(INDEX(LISTAS!$B$3:$B$42,MATCH($L1057,LISTAS!$A$3:$A$42,0)),"Media"))</f>
        <v/>
      </c>
      <c r="Q1057" s="44" t="n"/>
      <c r="R1057" s="45" t="n"/>
      <c r="S1057" s="20">
        <f>IFERROR(IF(OR($R1057="",$C1057=""),"",$R1057/INDEX(DESPACHOS!$M$3:$M$3002,MATCH($C1057,DESPACHOS!$B$3:$B$3002,0))),"")</f>
        <v/>
      </c>
      <c r="T1057" s="41" t="n"/>
      <c r="U1057" s="43">
        <f>IF(OR($B1057="",$L1057=""),"",WORKDAY($B1057,IFERROR(INDEX(LISTAS!$C$3:$C$42,MATCH($L1057,LISTAS!$A$3:$A$42,0)),3)))</f>
        <v/>
      </c>
      <c r="V1057" s="40" t="n"/>
      <c r="W1057" s="19">
        <f>IF($B1057="","",IF($V1057&lt;&gt;"",$V1057-$B1057,TODAY()-$B1057))</f>
        <v/>
      </c>
      <c r="X1057" s="19">
        <f>IF(OR($B1057="",$U1057=""),"",IF($V1057&lt;&gt;"",MAX(0,$V1057-$U1057),MAX(0,TODAY()-$U1057)))</f>
        <v/>
      </c>
      <c r="Y1057" s="39">
        <f>IF($C1057="","",IF(IFERROR(INDEX(LISTAS!$I$3:$I$42,MATCH($T1057,LISTAS!$H$3:$H$42,0)),"NO")="SÍ",IF(N($X1057)&gt;0,"CERRADA FUERA DE SLA","CERRADA EN SLA"),IF($U1057="","SIN CLASIFICAR",IF(N($X1057)&gt;0,"VENCIDA",IF(TODAY()&gt;=$U1057-1,"POR VENCER","EN PLAZO")))))</f>
        <v/>
      </c>
      <c r="Z1057" s="41" t="n"/>
      <c r="AA1057" s="41" t="n"/>
      <c r="AB1057" s="41" t="n"/>
    </row>
    <row r="1058">
      <c r="A1058" s="39">
        <f>IF($C1058="","","NOV-"&amp;TEXT(ROW()-3,"0000"))</f>
        <v/>
      </c>
      <c r="B1058" s="40" t="n"/>
      <c r="C1058" s="41" t="n"/>
      <c r="D1058" s="42">
        <f>IF($C1058="","",IFERROR(INDEX(DESPACHOS!$D$3:$D$3002,MATCH($C1058,DESPACHOS!$B$3:$B$3002,0)),"SIN DESPACHO"))</f>
        <v/>
      </c>
      <c r="E1058" s="42">
        <f>IF($C1058="","",IFERROR(INDEX(DESPACHOS!$K$3:$K$3002,MATCH($C1058,DESPACHOS!$B$3:$B$3002,0)),""))</f>
        <v/>
      </c>
      <c r="F1058" s="42">
        <f>IF($C1058="","",IFERROR(INDEX(DESPACHOS!$I$3:$I$3002,MATCH($C1058,DESPACHOS!$B$3:$B$3002,0)),""))</f>
        <v/>
      </c>
      <c r="G1058" s="42">
        <f>IF($C1058="","",IFERROR(INDEX(DESPACHOS!$F$3:$F$3002,MATCH($C1058,DESPACHOS!$B$3:$B$3002,0)),""))</f>
        <v/>
      </c>
      <c r="H1058" s="42">
        <f>IF($C1058="","",IFERROR(INDEX(DESPACHOS!$G$3:$G$3002,MATCH($C1058,DESPACHOS!$B$3:$B$3002,0)),""))</f>
        <v/>
      </c>
      <c r="I1058" s="39">
        <f>IF($C1058="","",IFERROR(INDEX(DESPACHOS!$H$3:$H$3002,MATCH($C1058,DESPACHOS!$B$3:$B$3002,0)),""))</f>
        <v/>
      </c>
      <c r="J1058" s="43">
        <f>IF($C1058="","",IFERROR(INDEX(DESPACHOS!$J$3:$J$3002,MATCH($C1058,DESPACHOS!$B$3:$B$3002,0)),""))</f>
        <v/>
      </c>
      <c r="K1058" s="39">
        <f>IF($C1058="","",IF(COUNTIFS(DESPACHOS!$B$3:$B$3002,$C1058)=0,"NO EXISTE",IF(COUNTIFS(DESPACHOS!$B$3:$B$3002,$C1058)&gt;1,"DUPLICADO","OK")))</f>
        <v/>
      </c>
      <c r="L1058" s="41" t="n"/>
      <c r="M1058" s="41" t="n"/>
      <c r="N1058" s="42">
        <f>IF($M1058="","",IFERROR(INDEX(LISTAS!$F$3:$F$42,MATCH($M1058,LISTAS!$E$3:$E$42,0)),"Por definir"))</f>
        <v/>
      </c>
      <c r="O1058" s="41" t="n"/>
      <c r="P1058" s="39">
        <f>IF($L1058="","",IFERROR(INDEX(LISTAS!$B$3:$B$42,MATCH($L1058,LISTAS!$A$3:$A$42,0)),"Media"))</f>
        <v/>
      </c>
      <c r="Q1058" s="44" t="n"/>
      <c r="R1058" s="45" t="n"/>
      <c r="S1058" s="20">
        <f>IFERROR(IF(OR($R1058="",$C1058=""),"",$R1058/INDEX(DESPACHOS!$M$3:$M$3002,MATCH($C1058,DESPACHOS!$B$3:$B$3002,0))),"")</f>
        <v/>
      </c>
      <c r="T1058" s="41" t="n"/>
      <c r="U1058" s="43">
        <f>IF(OR($B1058="",$L1058=""),"",WORKDAY($B1058,IFERROR(INDEX(LISTAS!$C$3:$C$42,MATCH($L1058,LISTAS!$A$3:$A$42,0)),3)))</f>
        <v/>
      </c>
      <c r="V1058" s="40" t="n"/>
      <c r="W1058" s="19">
        <f>IF($B1058="","",IF($V1058&lt;&gt;"",$V1058-$B1058,TODAY()-$B1058))</f>
        <v/>
      </c>
      <c r="X1058" s="19">
        <f>IF(OR($B1058="",$U1058=""),"",IF($V1058&lt;&gt;"",MAX(0,$V1058-$U1058),MAX(0,TODAY()-$U1058)))</f>
        <v/>
      </c>
      <c r="Y1058" s="39">
        <f>IF($C1058="","",IF(IFERROR(INDEX(LISTAS!$I$3:$I$42,MATCH($T1058,LISTAS!$H$3:$H$42,0)),"NO")="SÍ",IF(N($X1058)&gt;0,"CERRADA FUERA DE SLA","CERRADA EN SLA"),IF($U1058="","SIN CLASIFICAR",IF(N($X1058)&gt;0,"VENCIDA",IF(TODAY()&gt;=$U1058-1,"POR VENCER","EN PLAZO")))))</f>
        <v/>
      </c>
      <c r="Z1058" s="41" t="n"/>
      <c r="AA1058" s="41" t="n"/>
      <c r="AB1058" s="41" t="n"/>
    </row>
    <row r="1059">
      <c r="A1059" s="39">
        <f>IF($C1059="","","NOV-"&amp;TEXT(ROW()-3,"0000"))</f>
        <v/>
      </c>
      <c r="B1059" s="40" t="n"/>
      <c r="C1059" s="41" t="n"/>
      <c r="D1059" s="42">
        <f>IF($C1059="","",IFERROR(INDEX(DESPACHOS!$D$3:$D$3002,MATCH($C1059,DESPACHOS!$B$3:$B$3002,0)),"SIN DESPACHO"))</f>
        <v/>
      </c>
      <c r="E1059" s="42">
        <f>IF($C1059="","",IFERROR(INDEX(DESPACHOS!$K$3:$K$3002,MATCH($C1059,DESPACHOS!$B$3:$B$3002,0)),""))</f>
        <v/>
      </c>
      <c r="F1059" s="42">
        <f>IF($C1059="","",IFERROR(INDEX(DESPACHOS!$I$3:$I$3002,MATCH($C1059,DESPACHOS!$B$3:$B$3002,0)),""))</f>
        <v/>
      </c>
      <c r="G1059" s="42">
        <f>IF($C1059="","",IFERROR(INDEX(DESPACHOS!$F$3:$F$3002,MATCH($C1059,DESPACHOS!$B$3:$B$3002,0)),""))</f>
        <v/>
      </c>
      <c r="H1059" s="42">
        <f>IF($C1059="","",IFERROR(INDEX(DESPACHOS!$G$3:$G$3002,MATCH($C1059,DESPACHOS!$B$3:$B$3002,0)),""))</f>
        <v/>
      </c>
      <c r="I1059" s="39">
        <f>IF($C1059="","",IFERROR(INDEX(DESPACHOS!$H$3:$H$3002,MATCH($C1059,DESPACHOS!$B$3:$B$3002,0)),""))</f>
        <v/>
      </c>
      <c r="J1059" s="43">
        <f>IF($C1059="","",IFERROR(INDEX(DESPACHOS!$J$3:$J$3002,MATCH($C1059,DESPACHOS!$B$3:$B$3002,0)),""))</f>
        <v/>
      </c>
      <c r="K1059" s="39">
        <f>IF($C1059="","",IF(COUNTIFS(DESPACHOS!$B$3:$B$3002,$C1059)=0,"NO EXISTE",IF(COUNTIFS(DESPACHOS!$B$3:$B$3002,$C1059)&gt;1,"DUPLICADO","OK")))</f>
        <v/>
      </c>
      <c r="L1059" s="41" t="n"/>
      <c r="M1059" s="41" t="n"/>
      <c r="N1059" s="42">
        <f>IF($M1059="","",IFERROR(INDEX(LISTAS!$F$3:$F$42,MATCH($M1059,LISTAS!$E$3:$E$42,0)),"Por definir"))</f>
        <v/>
      </c>
      <c r="O1059" s="41" t="n"/>
      <c r="P1059" s="39">
        <f>IF($L1059="","",IFERROR(INDEX(LISTAS!$B$3:$B$42,MATCH($L1059,LISTAS!$A$3:$A$42,0)),"Media"))</f>
        <v/>
      </c>
      <c r="Q1059" s="44" t="n"/>
      <c r="R1059" s="45" t="n"/>
      <c r="S1059" s="20">
        <f>IFERROR(IF(OR($R1059="",$C1059=""),"",$R1059/INDEX(DESPACHOS!$M$3:$M$3002,MATCH($C1059,DESPACHOS!$B$3:$B$3002,0))),"")</f>
        <v/>
      </c>
      <c r="T1059" s="41" t="n"/>
      <c r="U1059" s="43">
        <f>IF(OR($B1059="",$L1059=""),"",WORKDAY($B1059,IFERROR(INDEX(LISTAS!$C$3:$C$42,MATCH($L1059,LISTAS!$A$3:$A$42,0)),3)))</f>
        <v/>
      </c>
      <c r="V1059" s="40" t="n"/>
      <c r="W1059" s="19">
        <f>IF($B1059="","",IF($V1059&lt;&gt;"",$V1059-$B1059,TODAY()-$B1059))</f>
        <v/>
      </c>
      <c r="X1059" s="19">
        <f>IF(OR($B1059="",$U1059=""),"",IF($V1059&lt;&gt;"",MAX(0,$V1059-$U1059),MAX(0,TODAY()-$U1059)))</f>
        <v/>
      </c>
      <c r="Y1059" s="39">
        <f>IF($C1059="","",IF(IFERROR(INDEX(LISTAS!$I$3:$I$42,MATCH($T1059,LISTAS!$H$3:$H$42,0)),"NO")="SÍ",IF(N($X1059)&gt;0,"CERRADA FUERA DE SLA","CERRADA EN SLA"),IF($U1059="","SIN CLASIFICAR",IF(N($X1059)&gt;0,"VENCIDA",IF(TODAY()&gt;=$U1059-1,"POR VENCER","EN PLAZO")))))</f>
        <v/>
      </c>
      <c r="Z1059" s="41" t="n"/>
      <c r="AA1059" s="41" t="n"/>
      <c r="AB1059" s="41" t="n"/>
    </row>
    <row r="1060">
      <c r="A1060" s="39">
        <f>IF($C1060="","","NOV-"&amp;TEXT(ROW()-3,"0000"))</f>
        <v/>
      </c>
      <c r="B1060" s="40" t="n"/>
      <c r="C1060" s="41" t="n"/>
      <c r="D1060" s="42">
        <f>IF($C1060="","",IFERROR(INDEX(DESPACHOS!$D$3:$D$3002,MATCH($C1060,DESPACHOS!$B$3:$B$3002,0)),"SIN DESPACHO"))</f>
        <v/>
      </c>
      <c r="E1060" s="42">
        <f>IF($C1060="","",IFERROR(INDEX(DESPACHOS!$K$3:$K$3002,MATCH($C1060,DESPACHOS!$B$3:$B$3002,0)),""))</f>
        <v/>
      </c>
      <c r="F1060" s="42">
        <f>IF($C1060="","",IFERROR(INDEX(DESPACHOS!$I$3:$I$3002,MATCH($C1060,DESPACHOS!$B$3:$B$3002,0)),""))</f>
        <v/>
      </c>
      <c r="G1060" s="42">
        <f>IF($C1060="","",IFERROR(INDEX(DESPACHOS!$F$3:$F$3002,MATCH($C1060,DESPACHOS!$B$3:$B$3002,0)),""))</f>
        <v/>
      </c>
      <c r="H1060" s="42">
        <f>IF($C1060="","",IFERROR(INDEX(DESPACHOS!$G$3:$G$3002,MATCH($C1060,DESPACHOS!$B$3:$B$3002,0)),""))</f>
        <v/>
      </c>
      <c r="I1060" s="39">
        <f>IF($C1060="","",IFERROR(INDEX(DESPACHOS!$H$3:$H$3002,MATCH($C1060,DESPACHOS!$B$3:$B$3002,0)),""))</f>
        <v/>
      </c>
      <c r="J1060" s="43">
        <f>IF($C1060="","",IFERROR(INDEX(DESPACHOS!$J$3:$J$3002,MATCH($C1060,DESPACHOS!$B$3:$B$3002,0)),""))</f>
        <v/>
      </c>
      <c r="K1060" s="39">
        <f>IF($C1060="","",IF(COUNTIFS(DESPACHOS!$B$3:$B$3002,$C1060)=0,"NO EXISTE",IF(COUNTIFS(DESPACHOS!$B$3:$B$3002,$C1060)&gt;1,"DUPLICADO","OK")))</f>
        <v/>
      </c>
      <c r="L1060" s="41" t="n"/>
      <c r="M1060" s="41" t="n"/>
      <c r="N1060" s="42">
        <f>IF($M1060="","",IFERROR(INDEX(LISTAS!$F$3:$F$42,MATCH($M1060,LISTAS!$E$3:$E$42,0)),"Por definir"))</f>
        <v/>
      </c>
      <c r="O1060" s="41" t="n"/>
      <c r="P1060" s="39">
        <f>IF($L1060="","",IFERROR(INDEX(LISTAS!$B$3:$B$42,MATCH($L1060,LISTAS!$A$3:$A$42,0)),"Media"))</f>
        <v/>
      </c>
      <c r="Q1060" s="44" t="n"/>
      <c r="R1060" s="45" t="n"/>
      <c r="S1060" s="20">
        <f>IFERROR(IF(OR($R1060="",$C1060=""),"",$R1060/INDEX(DESPACHOS!$M$3:$M$3002,MATCH($C1060,DESPACHOS!$B$3:$B$3002,0))),"")</f>
        <v/>
      </c>
      <c r="T1060" s="41" t="n"/>
      <c r="U1060" s="43">
        <f>IF(OR($B1060="",$L1060=""),"",WORKDAY($B1060,IFERROR(INDEX(LISTAS!$C$3:$C$42,MATCH($L1060,LISTAS!$A$3:$A$42,0)),3)))</f>
        <v/>
      </c>
      <c r="V1060" s="40" t="n"/>
      <c r="W1060" s="19">
        <f>IF($B1060="","",IF($V1060&lt;&gt;"",$V1060-$B1060,TODAY()-$B1060))</f>
        <v/>
      </c>
      <c r="X1060" s="19">
        <f>IF(OR($B1060="",$U1060=""),"",IF($V1060&lt;&gt;"",MAX(0,$V1060-$U1060),MAX(0,TODAY()-$U1060)))</f>
        <v/>
      </c>
      <c r="Y1060" s="39">
        <f>IF($C1060="","",IF(IFERROR(INDEX(LISTAS!$I$3:$I$42,MATCH($T1060,LISTAS!$H$3:$H$42,0)),"NO")="SÍ",IF(N($X1060)&gt;0,"CERRADA FUERA DE SLA","CERRADA EN SLA"),IF($U1060="","SIN CLASIFICAR",IF(N($X1060)&gt;0,"VENCIDA",IF(TODAY()&gt;=$U1060-1,"POR VENCER","EN PLAZO")))))</f>
        <v/>
      </c>
      <c r="Z1060" s="41" t="n"/>
      <c r="AA1060" s="41" t="n"/>
      <c r="AB1060" s="41" t="n"/>
    </row>
    <row r="1061">
      <c r="A1061" s="39">
        <f>IF($C1061="","","NOV-"&amp;TEXT(ROW()-3,"0000"))</f>
        <v/>
      </c>
      <c r="B1061" s="40" t="n"/>
      <c r="C1061" s="41" t="n"/>
      <c r="D1061" s="42">
        <f>IF($C1061="","",IFERROR(INDEX(DESPACHOS!$D$3:$D$3002,MATCH($C1061,DESPACHOS!$B$3:$B$3002,0)),"SIN DESPACHO"))</f>
        <v/>
      </c>
      <c r="E1061" s="42">
        <f>IF($C1061="","",IFERROR(INDEX(DESPACHOS!$K$3:$K$3002,MATCH($C1061,DESPACHOS!$B$3:$B$3002,0)),""))</f>
        <v/>
      </c>
      <c r="F1061" s="42">
        <f>IF($C1061="","",IFERROR(INDEX(DESPACHOS!$I$3:$I$3002,MATCH($C1061,DESPACHOS!$B$3:$B$3002,0)),""))</f>
        <v/>
      </c>
      <c r="G1061" s="42">
        <f>IF($C1061="","",IFERROR(INDEX(DESPACHOS!$F$3:$F$3002,MATCH($C1061,DESPACHOS!$B$3:$B$3002,0)),""))</f>
        <v/>
      </c>
      <c r="H1061" s="42">
        <f>IF($C1061="","",IFERROR(INDEX(DESPACHOS!$G$3:$G$3002,MATCH($C1061,DESPACHOS!$B$3:$B$3002,0)),""))</f>
        <v/>
      </c>
      <c r="I1061" s="39">
        <f>IF($C1061="","",IFERROR(INDEX(DESPACHOS!$H$3:$H$3002,MATCH($C1061,DESPACHOS!$B$3:$B$3002,0)),""))</f>
        <v/>
      </c>
      <c r="J1061" s="43">
        <f>IF($C1061="","",IFERROR(INDEX(DESPACHOS!$J$3:$J$3002,MATCH($C1061,DESPACHOS!$B$3:$B$3002,0)),""))</f>
        <v/>
      </c>
      <c r="K1061" s="39">
        <f>IF($C1061="","",IF(COUNTIFS(DESPACHOS!$B$3:$B$3002,$C1061)=0,"NO EXISTE",IF(COUNTIFS(DESPACHOS!$B$3:$B$3002,$C1061)&gt;1,"DUPLICADO","OK")))</f>
        <v/>
      </c>
      <c r="L1061" s="41" t="n"/>
      <c r="M1061" s="41" t="n"/>
      <c r="N1061" s="42">
        <f>IF($M1061="","",IFERROR(INDEX(LISTAS!$F$3:$F$42,MATCH($M1061,LISTAS!$E$3:$E$42,0)),"Por definir"))</f>
        <v/>
      </c>
      <c r="O1061" s="41" t="n"/>
      <c r="P1061" s="39">
        <f>IF($L1061="","",IFERROR(INDEX(LISTAS!$B$3:$B$42,MATCH($L1061,LISTAS!$A$3:$A$42,0)),"Media"))</f>
        <v/>
      </c>
      <c r="Q1061" s="44" t="n"/>
      <c r="R1061" s="45" t="n"/>
      <c r="S1061" s="20">
        <f>IFERROR(IF(OR($R1061="",$C1061=""),"",$R1061/INDEX(DESPACHOS!$M$3:$M$3002,MATCH($C1061,DESPACHOS!$B$3:$B$3002,0))),"")</f>
        <v/>
      </c>
      <c r="T1061" s="41" t="n"/>
      <c r="U1061" s="43">
        <f>IF(OR($B1061="",$L1061=""),"",WORKDAY($B1061,IFERROR(INDEX(LISTAS!$C$3:$C$42,MATCH($L1061,LISTAS!$A$3:$A$42,0)),3)))</f>
        <v/>
      </c>
      <c r="V1061" s="40" t="n"/>
      <c r="W1061" s="19">
        <f>IF($B1061="","",IF($V1061&lt;&gt;"",$V1061-$B1061,TODAY()-$B1061))</f>
        <v/>
      </c>
      <c r="X1061" s="19">
        <f>IF(OR($B1061="",$U1061=""),"",IF($V1061&lt;&gt;"",MAX(0,$V1061-$U1061),MAX(0,TODAY()-$U1061)))</f>
        <v/>
      </c>
      <c r="Y1061" s="39">
        <f>IF($C1061="","",IF(IFERROR(INDEX(LISTAS!$I$3:$I$42,MATCH($T1061,LISTAS!$H$3:$H$42,0)),"NO")="SÍ",IF(N($X1061)&gt;0,"CERRADA FUERA DE SLA","CERRADA EN SLA"),IF($U1061="","SIN CLASIFICAR",IF(N($X1061)&gt;0,"VENCIDA",IF(TODAY()&gt;=$U1061-1,"POR VENCER","EN PLAZO")))))</f>
        <v/>
      </c>
      <c r="Z1061" s="41" t="n"/>
      <c r="AA1061" s="41" t="n"/>
      <c r="AB1061" s="41" t="n"/>
    </row>
    <row r="1062">
      <c r="A1062" s="39">
        <f>IF($C1062="","","NOV-"&amp;TEXT(ROW()-3,"0000"))</f>
        <v/>
      </c>
      <c r="B1062" s="40" t="n"/>
      <c r="C1062" s="41" t="n"/>
      <c r="D1062" s="42">
        <f>IF($C1062="","",IFERROR(INDEX(DESPACHOS!$D$3:$D$3002,MATCH($C1062,DESPACHOS!$B$3:$B$3002,0)),"SIN DESPACHO"))</f>
        <v/>
      </c>
      <c r="E1062" s="42">
        <f>IF($C1062="","",IFERROR(INDEX(DESPACHOS!$K$3:$K$3002,MATCH($C1062,DESPACHOS!$B$3:$B$3002,0)),""))</f>
        <v/>
      </c>
      <c r="F1062" s="42">
        <f>IF($C1062="","",IFERROR(INDEX(DESPACHOS!$I$3:$I$3002,MATCH($C1062,DESPACHOS!$B$3:$B$3002,0)),""))</f>
        <v/>
      </c>
      <c r="G1062" s="42">
        <f>IF($C1062="","",IFERROR(INDEX(DESPACHOS!$F$3:$F$3002,MATCH($C1062,DESPACHOS!$B$3:$B$3002,0)),""))</f>
        <v/>
      </c>
      <c r="H1062" s="42">
        <f>IF($C1062="","",IFERROR(INDEX(DESPACHOS!$G$3:$G$3002,MATCH($C1062,DESPACHOS!$B$3:$B$3002,0)),""))</f>
        <v/>
      </c>
      <c r="I1062" s="39">
        <f>IF($C1062="","",IFERROR(INDEX(DESPACHOS!$H$3:$H$3002,MATCH($C1062,DESPACHOS!$B$3:$B$3002,0)),""))</f>
        <v/>
      </c>
      <c r="J1062" s="43">
        <f>IF($C1062="","",IFERROR(INDEX(DESPACHOS!$J$3:$J$3002,MATCH($C1062,DESPACHOS!$B$3:$B$3002,0)),""))</f>
        <v/>
      </c>
      <c r="K1062" s="39">
        <f>IF($C1062="","",IF(COUNTIFS(DESPACHOS!$B$3:$B$3002,$C1062)=0,"NO EXISTE",IF(COUNTIFS(DESPACHOS!$B$3:$B$3002,$C1062)&gt;1,"DUPLICADO","OK")))</f>
        <v/>
      </c>
      <c r="L1062" s="41" t="n"/>
      <c r="M1062" s="41" t="n"/>
      <c r="N1062" s="42">
        <f>IF($M1062="","",IFERROR(INDEX(LISTAS!$F$3:$F$42,MATCH($M1062,LISTAS!$E$3:$E$42,0)),"Por definir"))</f>
        <v/>
      </c>
      <c r="O1062" s="41" t="n"/>
      <c r="P1062" s="39">
        <f>IF($L1062="","",IFERROR(INDEX(LISTAS!$B$3:$B$42,MATCH($L1062,LISTAS!$A$3:$A$42,0)),"Media"))</f>
        <v/>
      </c>
      <c r="Q1062" s="44" t="n"/>
      <c r="R1062" s="45" t="n"/>
      <c r="S1062" s="20">
        <f>IFERROR(IF(OR($R1062="",$C1062=""),"",$R1062/INDEX(DESPACHOS!$M$3:$M$3002,MATCH($C1062,DESPACHOS!$B$3:$B$3002,0))),"")</f>
        <v/>
      </c>
      <c r="T1062" s="41" t="n"/>
      <c r="U1062" s="43">
        <f>IF(OR($B1062="",$L1062=""),"",WORKDAY($B1062,IFERROR(INDEX(LISTAS!$C$3:$C$42,MATCH($L1062,LISTAS!$A$3:$A$42,0)),3)))</f>
        <v/>
      </c>
      <c r="V1062" s="40" t="n"/>
      <c r="W1062" s="19">
        <f>IF($B1062="","",IF($V1062&lt;&gt;"",$V1062-$B1062,TODAY()-$B1062))</f>
        <v/>
      </c>
      <c r="X1062" s="19">
        <f>IF(OR($B1062="",$U1062=""),"",IF($V1062&lt;&gt;"",MAX(0,$V1062-$U1062),MAX(0,TODAY()-$U1062)))</f>
        <v/>
      </c>
      <c r="Y1062" s="39">
        <f>IF($C1062="","",IF(IFERROR(INDEX(LISTAS!$I$3:$I$42,MATCH($T1062,LISTAS!$H$3:$H$42,0)),"NO")="SÍ",IF(N($X1062)&gt;0,"CERRADA FUERA DE SLA","CERRADA EN SLA"),IF($U1062="","SIN CLASIFICAR",IF(N($X1062)&gt;0,"VENCIDA",IF(TODAY()&gt;=$U1062-1,"POR VENCER","EN PLAZO")))))</f>
        <v/>
      </c>
      <c r="Z1062" s="41" t="n"/>
      <c r="AA1062" s="41" t="n"/>
      <c r="AB1062" s="41" t="n"/>
    </row>
    <row r="1063">
      <c r="A1063" s="39">
        <f>IF($C1063="","","NOV-"&amp;TEXT(ROW()-3,"0000"))</f>
        <v/>
      </c>
      <c r="B1063" s="40" t="n"/>
      <c r="C1063" s="41" t="n"/>
      <c r="D1063" s="42">
        <f>IF($C1063="","",IFERROR(INDEX(DESPACHOS!$D$3:$D$3002,MATCH($C1063,DESPACHOS!$B$3:$B$3002,0)),"SIN DESPACHO"))</f>
        <v/>
      </c>
      <c r="E1063" s="42">
        <f>IF($C1063="","",IFERROR(INDEX(DESPACHOS!$K$3:$K$3002,MATCH($C1063,DESPACHOS!$B$3:$B$3002,0)),""))</f>
        <v/>
      </c>
      <c r="F1063" s="42">
        <f>IF($C1063="","",IFERROR(INDEX(DESPACHOS!$I$3:$I$3002,MATCH($C1063,DESPACHOS!$B$3:$B$3002,0)),""))</f>
        <v/>
      </c>
      <c r="G1063" s="42">
        <f>IF($C1063="","",IFERROR(INDEX(DESPACHOS!$F$3:$F$3002,MATCH($C1063,DESPACHOS!$B$3:$B$3002,0)),""))</f>
        <v/>
      </c>
      <c r="H1063" s="42">
        <f>IF($C1063="","",IFERROR(INDEX(DESPACHOS!$G$3:$G$3002,MATCH($C1063,DESPACHOS!$B$3:$B$3002,0)),""))</f>
        <v/>
      </c>
      <c r="I1063" s="39">
        <f>IF($C1063="","",IFERROR(INDEX(DESPACHOS!$H$3:$H$3002,MATCH($C1063,DESPACHOS!$B$3:$B$3002,0)),""))</f>
        <v/>
      </c>
      <c r="J1063" s="43">
        <f>IF($C1063="","",IFERROR(INDEX(DESPACHOS!$J$3:$J$3002,MATCH($C1063,DESPACHOS!$B$3:$B$3002,0)),""))</f>
        <v/>
      </c>
      <c r="K1063" s="39">
        <f>IF($C1063="","",IF(COUNTIFS(DESPACHOS!$B$3:$B$3002,$C1063)=0,"NO EXISTE",IF(COUNTIFS(DESPACHOS!$B$3:$B$3002,$C1063)&gt;1,"DUPLICADO","OK")))</f>
        <v/>
      </c>
      <c r="L1063" s="41" t="n"/>
      <c r="M1063" s="41" t="n"/>
      <c r="N1063" s="42">
        <f>IF($M1063="","",IFERROR(INDEX(LISTAS!$F$3:$F$42,MATCH($M1063,LISTAS!$E$3:$E$42,0)),"Por definir"))</f>
        <v/>
      </c>
      <c r="O1063" s="41" t="n"/>
      <c r="P1063" s="39">
        <f>IF($L1063="","",IFERROR(INDEX(LISTAS!$B$3:$B$42,MATCH($L1063,LISTAS!$A$3:$A$42,0)),"Media"))</f>
        <v/>
      </c>
      <c r="Q1063" s="44" t="n"/>
      <c r="R1063" s="45" t="n"/>
      <c r="S1063" s="20">
        <f>IFERROR(IF(OR($R1063="",$C1063=""),"",$R1063/INDEX(DESPACHOS!$M$3:$M$3002,MATCH($C1063,DESPACHOS!$B$3:$B$3002,0))),"")</f>
        <v/>
      </c>
      <c r="T1063" s="41" t="n"/>
      <c r="U1063" s="43">
        <f>IF(OR($B1063="",$L1063=""),"",WORKDAY($B1063,IFERROR(INDEX(LISTAS!$C$3:$C$42,MATCH($L1063,LISTAS!$A$3:$A$42,0)),3)))</f>
        <v/>
      </c>
      <c r="V1063" s="40" t="n"/>
      <c r="W1063" s="19">
        <f>IF($B1063="","",IF($V1063&lt;&gt;"",$V1063-$B1063,TODAY()-$B1063))</f>
        <v/>
      </c>
      <c r="X1063" s="19">
        <f>IF(OR($B1063="",$U1063=""),"",IF($V1063&lt;&gt;"",MAX(0,$V1063-$U1063),MAX(0,TODAY()-$U1063)))</f>
        <v/>
      </c>
      <c r="Y1063" s="39">
        <f>IF($C1063="","",IF(IFERROR(INDEX(LISTAS!$I$3:$I$42,MATCH($T1063,LISTAS!$H$3:$H$42,0)),"NO")="SÍ",IF(N($X1063)&gt;0,"CERRADA FUERA DE SLA","CERRADA EN SLA"),IF($U1063="","SIN CLASIFICAR",IF(N($X1063)&gt;0,"VENCIDA",IF(TODAY()&gt;=$U1063-1,"POR VENCER","EN PLAZO")))))</f>
        <v/>
      </c>
      <c r="Z1063" s="41" t="n"/>
      <c r="AA1063" s="41" t="n"/>
      <c r="AB1063" s="41" t="n"/>
    </row>
    <row r="1064">
      <c r="A1064" s="39">
        <f>IF($C1064="","","NOV-"&amp;TEXT(ROW()-3,"0000"))</f>
        <v/>
      </c>
      <c r="B1064" s="40" t="n"/>
      <c r="C1064" s="41" t="n"/>
      <c r="D1064" s="42">
        <f>IF($C1064="","",IFERROR(INDEX(DESPACHOS!$D$3:$D$3002,MATCH($C1064,DESPACHOS!$B$3:$B$3002,0)),"SIN DESPACHO"))</f>
        <v/>
      </c>
      <c r="E1064" s="42">
        <f>IF($C1064="","",IFERROR(INDEX(DESPACHOS!$K$3:$K$3002,MATCH($C1064,DESPACHOS!$B$3:$B$3002,0)),""))</f>
        <v/>
      </c>
      <c r="F1064" s="42">
        <f>IF($C1064="","",IFERROR(INDEX(DESPACHOS!$I$3:$I$3002,MATCH($C1064,DESPACHOS!$B$3:$B$3002,0)),""))</f>
        <v/>
      </c>
      <c r="G1064" s="42">
        <f>IF($C1064="","",IFERROR(INDEX(DESPACHOS!$F$3:$F$3002,MATCH($C1064,DESPACHOS!$B$3:$B$3002,0)),""))</f>
        <v/>
      </c>
      <c r="H1064" s="42">
        <f>IF($C1064="","",IFERROR(INDEX(DESPACHOS!$G$3:$G$3002,MATCH($C1064,DESPACHOS!$B$3:$B$3002,0)),""))</f>
        <v/>
      </c>
      <c r="I1064" s="39">
        <f>IF($C1064="","",IFERROR(INDEX(DESPACHOS!$H$3:$H$3002,MATCH($C1064,DESPACHOS!$B$3:$B$3002,0)),""))</f>
        <v/>
      </c>
      <c r="J1064" s="43">
        <f>IF($C1064="","",IFERROR(INDEX(DESPACHOS!$J$3:$J$3002,MATCH($C1064,DESPACHOS!$B$3:$B$3002,0)),""))</f>
        <v/>
      </c>
      <c r="K1064" s="39">
        <f>IF($C1064="","",IF(COUNTIFS(DESPACHOS!$B$3:$B$3002,$C1064)=0,"NO EXISTE",IF(COUNTIFS(DESPACHOS!$B$3:$B$3002,$C1064)&gt;1,"DUPLICADO","OK")))</f>
        <v/>
      </c>
      <c r="L1064" s="41" t="n"/>
      <c r="M1064" s="41" t="n"/>
      <c r="N1064" s="42">
        <f>IF($M1064="","",IFERROR(INDEX(LISTAS!$F$3:$F$42,MATCH($M1064,LISTAS!$E$3:$E$42,0)),"Por definir"))</f>
        <v/>
      </c>
      <c r="O1064" s="41" t="n"/>
      <c r="P1064" s="39">
        <f>IF($L1064="","",IFERROR(INDEX(LISTAS!$B$3:$B$42,MATCH($L1064,LISTAS!$A$3:$A$42,0)),"Media"))</f>
        <v/>
      </c>
      <c r="Q1064" s="44" t="n"/>
      <c r="R1064" s="45" t="n"/>
      <c r="S1064" s="20">
        <f>IFERROR(IF(OR($R1064="",$C1064=""),"",$R1064/INDEX(DESPACHOS!$M$3:$M$3002,MATCH($C1064,DESPACHOS!$B$3:$B$3002,0))),"")</f>
        <v/>
      </c>
      <c r="T1064" s="41" t="n"/>
      <c r="U1064" s="43">
        <f>IF(OR($B1064="",$L1064=""),"",WORKDAY($B1064,IFERROR(INDEX(LISTAS!$C$3:$C$42,MATCH($L1064,LISTAS!$A$3:$A$42,0)),3)))</f>
        <v/>
      </c>
      <c r="V1064" s="40" t="n"/>
      <c r="W1064" s="19">
        <f>IF($B1064="","",IF($V1064&lt;&gt;"",$V1064-$B1064,TODAY()-$B1064))</f>
        <v/>
      </c>
      <c r="X1064" s="19">
        <f>IF(OR($B1064="",$U1064=""),"",IF($V1064&lt;&gt;"",MAX(0,$V1064-$U1064),MAX(0,TODAY()-$U1064)))</f>
        <v/>
      </c>
      <c r="Y1064" s="39">
        <f>IF($C1064="","",IF(IFERROR(INDEX(LISTAS!$I$3:$I$42,MATCH($T1064,LISTAS!$H$3:$H$42,0)),"NO")="SÍ",IF(N($X1064)&gt;0,"CERRADA FUERA DE SLA","CERRADA EN SLA"),IF($U1064="","SIN CLASIFICAR",IF(N($X1064)&gt;0,"VENCIDA",IF(TODAY()&gt;=$U1064-1,"POR VENCER","EN PLAZO")))))</f>
        <v/>
      </c>
      <c r="Z1064" s="41" t="n"/>
      <c r="AA1064" s="41" t="n"/>
      <c r="AB1064" s="41" t="n"/>
    </row>
    <row r="1065">
      <c r="A1065" s="39">
        <f>IF($C1065="","","NOV-"&amp;TEXT(ROW()-3,"0000"))</f>
        <v/>
      </c>
      <c r="B1065" s="40" t="n"/>
      <c r="C1065" s="41" t="n"/>
      <c r="D1065" s="42">
        <f>IF($C1065="","",IFERROR(INDEX(DESPACHOS!$D$3:$D$3002,MATCH($C1065,DESPACHOS!$B$3:$B$3002,0)),"SIN DESPACHO"))</f>
        <v/>
      </c>
      <c r="E1065" s="42">
        <f>IF($C1065="","",IFERROR(INDEX(DESPACHOS!$K$3:$K$3002,MATCH($C1065,DESPACHOS!$B$3:$B$3002,0)),""))</f>
        <v/>
      </c>
      <c r="F1065" s="42">
        <f>IF($C1065="","",IFERROR(INDEX(DESPACHOS!$I$3:$I$3002,MATCH($C1065,DESPACHOS!$B$3:$B$3002,0)),""))</f>
        <v/>
      </c>
      <c r="G1065" s="42">
        <f>IF($C1065="","",IFERROR(INDEX(DESPACHOS!$F$3:$F$3002,MATCH($C1065,DESPACHOS!$B$3:$B$3002,0)),""))</f>
        <v/>
      </c>
      <c r="H1065" s="42">
        <f>IF($C1065="","",IFERROR(INDEX(DESPACHOS!$G$3:$G$3002,MATCH($C1065,DESPACHOS!$B$3:$B$3002,0)),""))</f>
        <v/>
      </c>
      <c r="I1065" s="39">
        <f>IF($C1065="","",IFERROR(INDEX(DESPACHOS!$H$3:$H$3002,MATCH($C1065,DESPACHOS!$B$3:$B$3002,0)),""))</f>
        <v/>
      </c>
      <c r="J1065" s="43">
        <f>IF($C1065="","",IFERROR(INDEX(DESPACHOS!$J$3:$J$3002,MATCH($C1065,DESPACHOS!$B$3:$B$3002,0)),""))</f>
        <v/>
      </c>
      <c r="K1065" s="39">
        <f>IF($C1065="","",IF(COUNTIFS(DESPACHOS!$B$3:$B$3002,$C1065)=0,"NO EXISTE",IF(COUNTIFS(DESPACHOS!$B$3:$B$3002,$C1065)&gt;1,"DUPLICADO","OK")))</f>
        <v/>
      </c>
      <c r="L1065" s="41" t="n"/>
      <c r="M1065" s="41" t="n"/>
      <c r="N1065" s="42">
        <f>IF($M1065="","",IFERROR(INDEX(LISTAS!$F$3:$F$42,MATCH($M1065,LISTAS!$E$3:$E$42,0)),"Por definir"))</f>
        <v/>
      </c>
      <c r="O1065" s="41" t="n"/>
      <c r="P1065" s="39">
        <f>IF($L1065="","",IFERROR(INDEX(LISTAS!$B$3:$B$42,MATCH($L1065,LISTAS!$A$3:$A$42,0)),"Media"))</f>
        <v/>
      </c>
      <c r="Q1065" s="44" t="n"/>
      <c r="R1065" s="45" t="n"/>
      <c r="S1065" s="20">
        <f>IFERROR(IF(OR($R1065="",$C1065=""),"",$R1065/INDEX(DESPACHOS!$M$3:$M$3002,MATCH($C1065,DESPACHOS!$B$3:$B$3002,0))),"")</f>
        <v/>
      </c>
      <c r="T1065" s="41" t="n"/>
      <c r="U1065" s="43">
        <f>IF(OR($B1065="",$L1065=""),"",WORKDAY($B1065,IFERROR(INDEX(LISTAS!$C$3:$C$42,MATCH($L1065,LISTAS!$A$3:$A$42,0)),3)))</f>
        <v/>
      </c>
      <c r="V1065" s="40" t="n"/>
      <c r="W1065" s="19">
        <f>IF($B1065="","",IF($V1065&lt;&gt;"",$V1065-$B1065,TODAY()-$B1065))</f>
        <v/>
      </c>
      <c r="X1065" s="19">
        <f>IF(OR($B1065="",$U1065=""),"",IF($V1065&lt;&gt;"",MAX(0,$V1065-$U1065),MAX(0,TODAY()-$U1065)))</f>
        <v/>
      </c>
      <c r="Y1065" s="39">
        <f>IF($C1065="","",IF(IFERROR(INDEX(LISTAS!$I$3:$I$42,MATCH($T1065,LISTAS!$H$3:$H$42,0)),"NO")="SÍ",IF(N($X1065)&gt;0,"CERRADA FUERA DE SLA","CERRADA EN SLA"),IF($U1065="","SIN CLASIFICAR",IF(N($X1065)&gt;0,"VENCIDA",IF(TODAY()&gt;=$U1065-1,"POR VENCER","EN PLAZO")))))</f>
        <v/>
      </c>
      <c r="Z1065" s="41" t="n"/>
      <c r="AA1065" s="41" t="n"/>
      <c r="AB1065" s="41" t="n"/>
    </row>
    <row r="1066">
      <c r="A1066" s="39">
        <f>IF($C1066="","","NOV-"&amp;TEXT(ROW()-3,"0000"))</f>
        <v/>
      </c>
      <c r="B1066" s="40" t="n"/>
      <c r="C1066" s="41" t="n"/>
      <c r="D1066" s="42">
        <f>IF($C1066="","",IFERROR(INDEX(DESPACHOS!$D$3:$D$3002,MATCH($C1066,DESPACHOS!$B$3:$B$3002,0)),"SIN DESPACHO"))</f>
        <v/>
      </c>
      <c r="E1066" s="42">
        <f>IF($C1066="","",IFERROR(INDEX(DESPACHOS!$K$3:$K$3002,MATCH($C1066,DESPACHOS!$B$3:$B$3002,0)),""))</f>
        <v/>
      </c>
      <c r="F1066" s="42">
        <f>IF($C1066="","",IFERROR(INDEX(DESPACHOS!$I$3:$I$3002,MATCH($C1066,DESPACHOS!$B$3:$B$3002,0)),""))</f>
        <v/>
      </c>
      <c r="G1066" s="42">
        <f>IF($C1066="","",IFERROR(INDEX(DESPACHOS!$F$3:$F$3002,MATCH($C1066,DESPACHOS!$B$3:$B$3002,0)),""))</f>
        <v/>
      </c>
      <c r="H1066" s="42">
        <f>IF($C1066="","",IFERROR(INDEX(DESPACHOS!$G$3:$G$3002,MATCH($C1066,DESPACHOS!$B$3:$B$3002,0)),""))</f>
        <v/>
      </c>
      <c r="I1066" s="39">
        <f>IF($C1066="","",IFERROR(INDEX(DESPACHOS!$H$3:$H$3002,MATCH($C1066,DESPACHOS!$B$3:$B$3002,0)),""))</f>
        <v/>
      </c>
      <c r="J1066" s="43">
        <f>IF($C1066="","",IFERROR(INDEX(DESPACHOS!$J$3:$J$3002,MATCH($C1066,DESPACHOS!$B$3:$B$3002,0)),""))</f>
        <v/>
      </c>
      <c r="K1066" s="39">
        <f>IF($C1066="","",IF(COUNTIFS(DESPACHOS!$B$3:$B$3002,$C1066)=0,"NO EXISTE",IF(COUNTIFS(DESPACHOS!$B$3:$B$3002,$C1066)&gt;1,"DUPLICADO","OK")))</f>
        <v/>
      </c>
      <c r="L1066" s="41" t="n"/>
      <c r="M1066" s="41" t="n"/>
      <c r="N1066" s="42">
        <f>IF($M1066="","",IFERROR(INDEX(LISTAS!$F$3:$F$42,MATCH($M1066,LISTAS!$E$3:$E$42,0)),"Por definir"))</f>
        <v/>
      </c>
      <c r="O1066" s="41" t="n"/>
      <c r="P1066" s="39">
        <f>IF($L1066="","",IFERROR(INDEX(LISTAS!$B$3:$B$42,MATCH($L1066,LISTAS!$A$3:$A$42,0)),"Media"))</f>
        <v/>
      </c>
      <c r="Q1066" s="44" t="n"/>
      <c r="R1066" s="45" t="n"/>
      <c r="S1066" s="20">
        <f>IFERROR(IF(OR($R1066="",$C1066=""),"",$R1066/INDEX(DESPACHOS!$M$3:$M$3002,MATCH($C1066,DESPACHOS!$B$3:$B$3002,0))),"")</f>
        <v/>
      </c>
      <c r="T1066" s="41" t="n"/>
      <c r="U1066" s="43">
        <f>IF(OR($B1066="",$L1066=""),"",WORKDAY($B1066,IFERROR(INDEX(LISTAS!$C$3:$C$42,MATCH($L1066,LISTAS!$A$3:$A$42,0)),3)))</f>
        <v/>
      </c>
      <c r="V1066" s="40" t="n"/>
      <c r="W1066" s="19">
        <f>IF($B1066="","",IF($V1066&lt;&gt;"",$V1066-$B1066,TODAY()-$B1066))</f>
        <v/>
      </c>
      <c r="X1066" s="19">
        <f>IF(OR($B1066="",$U1066=""),"",IF($V1066&lt;&gt;"",MAX(0,$V1066-$U1066),MAX(0,TODAY()-$U1066)))</f>
        <v/>
      </c>
      <c r="Y1066" s="39">
        <f>IF($C1066="","",IF(IFERROR(INDEX(LISTAS!$I$3:$I$42,MATCH($T1066,LISTAS!$H$3:$H$42,0)),"NO")="SÍ",IF(N($X1066)&gt;0,"CERRADA FUERA DE SLA","CERRADA EN SLA"),IF($U1066="","SIN CLASIFICAR",IF(N($X1066)&gt;0,"VENCIDA",IF(TODAY()&gt;=$U1066-1,"POR VENCER","EN PLAZO")))))</f>
        <v/>
      </c>
      <c r="Z1066" s="41" t="n"/>
      <c r="AA1066" s="41" t="n"/>
      <c r="AB1066" s="41" t="n"/>
    </row>
    <row r="1067">
      <c r="A1067" s="39">
        <f>IF($C1067="","","NOV-"&amp;TEXT(ROW()-3,"0000"))</f>
        <v/>
      </c>
      <c r="B1067" s="40" t="n"/>
      <c r="C1067" s="41" t="n"/>
      <c r="D1067" s="42">
        <f>IF($C1067="","",IFERROR(INDEX(DESPACHOS!$D$3:$D$3002,MATCH($C1067,DESPACHOS!$B$3:$B$3002,0)),"SIN DESPACHO"))</f>
        <v/>
      </c>
      <c r="E1067" s="42">
        <f>IF($C1067="","",IFERROR(INDEX(DESPACHOS!$K$3:$K$3002,MATCH($C1067,DESPACHOS!$B$3:$B$3002,0)),""))</f>
        <v/>
      </c>
      <c r="F1067" s="42">
        <f>IF($C1067="","",IFERROR(INDEX(DESPACHOS!$I$3:$I$3002,MATCH($C1067,DESPACHOS!$B$3:$B$3002,0)),""))</f>
        <v/>
      </c>
      <c r="G1067" s="42">
        <f>IF($C1067="","",IFERROR(INDEX(DESPACHOS!$F$3:$F$3002,MATCH($C1067,DESPACHOS!$B$3:$B$3002,0)),""))</f>
        <v/>
      </c>
      <c r="H1067" s="42">
        <f>IF($C1067="","",IFERROR(INDEX(DESPACHOS!$G$3:$G$3002,MATCH($C1067,DESPACHOS!$B$3:$B$3002,0)),""))</f>
        <v/>
      </c>
      <c r="I1067" s="39">
        <f>IF($C1067="","",IFERROR(INDEX(DESPACHOS!$H$3:$H$3002,MATCH($C1067,DESPACHOS!$B$3:$B$3002,0)),""))</f>
        <v/>
      </c>
      <c r="J1067" s="43">
        <f>IF($C1067="","",IFERROR(INDEX(DESPACHOS!$J$3:$J$3002,MATCH($C1067,DESPACHOS!$B$3:$B$3002,0)),""))</f>
        <v/>
      </c>
      <c r="K1067" s="39">
        <f>IF($C1067="","",IF(COUNTIFS(DESPACHOS!$B$3:$B$3002,$C1067)=0,"NO EXISTE",IF(COUNTIFS(DESPACHOS!$B$3:$B$3002,$C1067)&gt;1,"DUPLICADO","OK")))</f>
        <v/>
      </c>
      <c r="L1067" s="41" t="n"/>
      <c r="M1067" s="41" t="n"/>
      <c r="N1067" s="42">
        <f>IF($M1067="","",IFERROR(INDEX(LISTAS!$F$3:$F$42,MATCH($M1067,LISTAS!$E$3:$E$42,0)),"Por definir"))</f>
        <v/>
      </c>
      <c r="O1067" s="41" t="n"/>
      <c r="P1067" s="39">
        <f>IF($L1067="","",IFERROR(INDEX(LISTAS!$B$3:$B$42,MATCH($L1067,LISTAS!$A$3:$A$42,0)),"Media"))</f>
        <v/>
      </c>
      <c r="Q1067" s="44" t="n"/>
      <c r="R1067" s="45" t="n"/>
      <c r="S1067" s="20">
        <f>IFERROR(IF(OR($R1067="",$C1067=""),"",$R1067/INDEX(DESPACHOS!$M$3:$M$3002,MATCH($C1067,DESPACHOS!$B$3:$B$3002,0))),"")</f>
        <v/>
      </c>
      <c r="T1067" s="41" t="n"/>
      <c r="U1067" s="43">
        <f>IF(OR($B1067="",$L1067=""),"",WORKDAY($B1067,IFERROR(INDEX(LISTAS!$C$3:$C$42,MATCH($L1067,LISTAS!$A$3:$A$42,0)),3)))</f>
        <v/>
      </c>
      <c r="V1067" s="40" t="n"/>
      <c r="W1067" s="19">
        <f>IF($B1067="","",IF($V1067&lt;&gt;"",$V1067-$B1067,TODAY()-$B1067))</f>
        <v/>
      </c>
      <c r="X1067" s="19">
        <f>IF(OR($B1067="",$U1067=""),"",IF($V1067&lt;&gt;"",MAX(0,$V1067-$U1067),MAX(0,TODAY()-$U1067)))</f>
        <v/>
      </c>
      <c r="Y1067" s="39">
        <f>IF($C1067="","",IF(IFERROR(INDEX(LISTAS!$I$3:$I$42,MATCH($T1067,LISTAS!$H$3:$H$42,0)),"NO")="SÍ",IF(N($X1067)&gt;0,"CERRADA FUERA DE SLA","CERRADA EN SLA"),IF($U1067="","SIN CLASIFICAR",IF(N($X1067)&gt;0,"VENCIDA",IF(TODAY()&gt;=$U1067-1,"POR VENCER","EN PLAZO")))))</f>
        <v/>
      </c>
      <c r="Z1067" s="41" t="n"/>
      <c r="AA1067" s="41" t="n"/>
      <c r="AB1067" s="41" t="n"/>
    </row>
    <row r="1068">
      <c r="A1068" s="39">
        <f>IF($C1068="","","NOV-"&amp;TEXT(ROW()-3,"0000"))</f>
        <v/>
      </c>
      <c r="B1068" s="40" t="n"/>
      <c r="C1068" s="41" t="n"/>
      <c r="D1068" s="42">
        <f>IF($C1068="","",IFERROR(INDEX(DESPACHOS!$D$3:$D$3002,MATCH($C1068,DESPACHOS!$B$3:$B$3002,0)),"SIN DESPACHO"))</f>
        <v/>
      </c>
      <c r="E1068" s="42">
        <f>IF($C1068="","",IFERROR(INDEX(DESPACHOS!$K$3:$K$3002,MATCH($C1068,DESPACHOS!$B$3:$B$3002,0)),""))</f>
        <v/>
      </c>
      <c r="F1068" s="42">
        <f>IF($C1068="","",IFERROR(INDEX(DESPACHOS!$I$3:$I$3002,MATCH($C1068,DESPACHOS!$B$3:$B$3002,0)),""))</f>
        <v/>
      </c>
      <c r="G1068" s="42">
        <f>IF($C1068="","",IFERROR(INDEX(DESPACHOS!$F$3:$F$3002,MATCH($C1068,DESPACHOS!$B$3:$B$3002,0)),""))</f>
        <v/>
      </c>
      <c r="H1068" s="42">
        <f>IF($C1068="","",IFERROR(INDEX(DESPACHOS!$G$3:$G$3002,MATCH($C1068,DESPACHOS!$B$3:$B$3002,0)),""))</f>
        <v/>
      </c>
      <c r="I1068" s="39">
        <f>IF($C1068="","",IFERROR(INDEX(DESPACHOS!$H$3:$H$3002,MATCH($C1068,DESPACHOS!$B$3:$B$3002,0)),""))</f>
        <v/>
      </c>
      <c r="J1068" s="43">
        <f>IF($C1068="","",IFERROR(INDEX(DESPACHOS!$J$3:$J$3002,MATCH($C1068,DESPACHOS!$B$3:$B$3002,0)),""))</f>
        <v/>
      </c>
      <c r="K1068" s="39">
        <f>IF($C1068="","",IF(COUNTIFS(DESPACHOS!$B$3:$B$3002,$C1068)=0,"NO EXISTE",IF(COUNTIFS(DESPACHOS!$B$3:$B$3002,$C1068)&gt;1,"DUPLICADO","OK")))</f>
        <v/>
      </c>
      <c r="L1068" s="41" t="n"/>
      <c r="M1068" s="41" t="n"/>
      <c r="N1068" s="42">
        <f>IF($M1068="","",IFERROR(INDEX(LISTAS!$F$3:$F$42,MATCH($M1068,LISTAS!$E$3:$E$42,0)),"Por definir"))</f>
        <v/>
      </c>
      <c r="O1068" s="41" t="n"/>
      <c r="P1068" s="39">
        <f>IF($L1068="","",IFERROR(INDEX(LISTAS!$B$3:$B$42,MATCH($L1068,LISTAS!$A$3:$A$42,0)),"Media"))</f>
        <v/>
      </c>
      <c r="Q1068" s="44" t="n"/>
      <c r="R1068" s="45" t="n"/>
      <c r="S1068" s="20">
        <f>IFERROR(IF(OR($R1068="",$C1068=""),"",$R1068/INDEX(DESPACHOS!$M$3:$M$3002,MATCH($C1068,DESPACHOS!$B$3:$B$3002,0))),"")</f>
        <v/>
      </c>
      <c r="T1068" s="41" t="n"/>
      <c r="U1068" s="43">
        <f>IF(OR($B1068="",$L1068=""),"",WORKDAY($B1068,IFERROR(INDEX(LISTAS!$C$3:$C$42,MATCH($L1068,LISTAS!$A$3:$A$42,0)),3)))</f>
        <v/>
      </c>
      <c r="V1068" s="40" t="n"/>
      <c r="W1068" s="19">
        <f>IF($B1068="","",IF($V1068&lt;&gt;"",$V1068-$B1068,TODAY()-$B1068))</f>
        <v/>
      </c>
      <c r="X1068" s="19">
        <f>IF(OR($B1068="",$U1068=""),"",IF($V1068&lt;&gt;"",MAX(0,$V1068-$U1068),MAX(0,TODAY()-$U1068)))</f>
        <v/>
      </c>
      <c r="Y1068" s="39">
        <f>IF($C1068="","",IF(IFERROR(INDEX(LISTAS!$I$3:$I$42,MATCH($T1068,LISTAS!$H$3:$H$42,0)),"NO")="SÍ",IF(N($X1068)&gt;0,"CERRADA FUERA DE SLA","CERRADA EN SLA"),IF($U1068="","SIN CLASIFICAR",IF(N($X1068)&gt;0,"VENCIDA",IF(TODAY()&gt;=$U1068-1,"POR VENCER","EN PLAZO")))))</f>
        <v/>
      </c>
      <c r="Z1068" s="41" t="n"/>
      <c r="AA1068" s="41" t="n"/>
      <c r="AB1068" s="41" t="n"/>
    </row>
    <row r="1069">
      <c r="A1069" s="39">
        <f>IF($C1069="","","NOV-"&amp;TEXT(ROW()-3,"0000"))</f>
        <v/>
      </c>
      <c r="B1069" s="40" t="n"/>
      <c r="C1069" s="41" t="n"/>
      <c r="D1069" s="42">
        <f>IF($C1069="","",IFERROR(INDEX(DESPACHOS!$D$3:$D$3002,MATCH($C1069,DESPACHOS!$B$3:$B$3002,0)),"SIN DESPACHO"))</f>
        <v/>
      </c>
      <c r="E1069" s="42">
        <f>IF($C1069="","",IFERROR(INDEX(DESPACHOS!$K$3:$K$3002,MATCH($C1069,DESPACHOS!$B$3:$B$3002,0)),""))</f>
        <v/>
      </c>
      <c r="F1069" s="42">
        <f>IF($C1069="","",IFERROR(INDEX(DESPACHOS!$I$3:$I$3002,MATCH($C1069,DESPACHOS!$B$3:$B$3002,0)),""))</f>
        <v/>
      </c>
      <c r="G1069" s="42">
        <f>IF($C1069="","",IFERROR(INDEX(DESPACHOS!$F$3:$F$3002,MATCH($C1069,DESPACHOS!$B$3:$B$3002,0)),""))</f>
        <v/>
      </c>
      <c r="H1069" s="42">
        <f>IF($C1069="","",IFERROR(INDEX(DESPACHOS!$G$3:$G$3002,MATCH($C1069,DESPACHOS!$B$3:$B$3002,0)),""))</f>
        <v/>
      </c>
      <c r="I1069" s="39">
        <f>IF($C1069="","",IFERROR(INDEX(DESPACHOS!$H$3:$H$3002,MATCH($C1069,DESPACHOS!$B$3:$B$3002,0)),""))</f>
        <v/>
      </c>
      <c r="J1069" s="43">
        <f>IF($C1069="","",IFERROR(INDEX(DESPACHOS!$J$3:$J$3002,MATCH($C1069,DESPACHOS!$B$3:$B$3002,0)),""))</f>
        <v/>
      </c>
      <c r="K1069" s="39">
        <f>IF($C1069="","",IF(COUNTIFS(DESPACHOS!$B$3:$B$3002,$C1069)=0,"NO EXISTE",IF(COUNTIFS(DESPACHOS!$B$3:$B$3002,$C1069)&gt;1,"DUPLICADO","OK")))</f>
        <v/>
      </c>
      <c r="L1069" s="41" t="n"/>
      <c r="M1069" s="41" t="n"/>
      <c r="N1069" s="42">
        <f>IF($M1069="","",IFERROR(INDEX(LISTAS!$F$3:$F$42,MATCH($M1069,LISTAS!$E$3:$E$42,0)),"Por definir"))</f>
        <v/>
      </c>
      <c r="O1069" s="41" t="n"/>
      <c r="P1069" s="39">
        <f>IF($L1069="","",IFERROR(INDEX(LISTAS!$B$3:$B$42,MATCH($L1069,LISTAS!$A$3:$A$42,0)),"Media"))</f>
        <v/>
      </c>
      <c r="Q1069" s="44" t="n"/>
      <c r="R1069" s="45" t="n"/>
      <c r="S1069" s="20">
        <f>IFERROR(IF(OR($R1069="",$C1069=""),"",$R1069/INDEX(DESPACHOS!$M$3:$M$3002,MATCH($C1069,DESPACHOS!$B$3:$B$3002,0))),"")</f>
        <v/>
      </c>
      <c r="T1069" s="41" t="n"/>
      <c r="U1069" s="43">
        <f>IF(OR($B1069="",$L1069=""),"",WORKDAY($B1069,IFERROR(INDEX(LISTAS!$C$3:$C$42,MATCH($L1069,LISTAS!$A$3:$A$42,0)),3)))</f>
        <v/>
      </c>
      <c r="V1069" s="40" t="n"/>
      <c r="W1069" s="19">
        <f>IF($B1069="","",IF($V1069&lt;&gt;"",$V1069-$B1069,TODAY()-$B1069))</f>
        <v/>
      </c>
      <c r="X1069" s="19">
        <f>IF(OR($B1069="",$U1069=""),"",IF($V1069&lt;&gt;"",MAX(0,$V1069-$U1069),MAX(0,TODAY()-$U1069)))</f>
        <v/>
      </c>
      <c r="Y1069" s="39">
        <f>IF($C1069="","",IF(IFERROR(INDEX(LISTAS!$I$3:$I$42,MATCH($T1069,LISTAS!$H$3:$H$42,0)),"NO")="SÍ",IF(N($X1069)&gt;0,"CERRADA FUERA DE SLA","CERRADA EN SLA"),IF($U1069="","SIN CLASIFICAR",IF(N($X1069)&gt;0,"VENCIDA",IF(TODAY()&gt;=$U1069-1,"POR VENCER","EN PLAZO")))))</f>
        <v/>
      </c>
      <c r="Z1069" s="41" t="n"/>
      <c r="AA1069" s="41" t="n"/>
      <c r="AB1069" s="41" t="n"/>
    </row>
    <row r="1070">
      <c r="A1070" s="39">
        <f>IF($C1070="","","NOV-"&amp;TEXT(ROW()-3,"0000"))</f>
        <v/>
      </c>
      <c r="B1070" s="40" t="n"/>
      <c r="C1070" s="41" t="n"/>
      <c r="D1070" s="42">
        <f>IF($C1070="","",IFERROR(INDEX(DESPACHOS!$D$3:$D$3002,MATCH($C1070,DESPACHOS!$B$3:$B$3002,0)),"SIN DESPACHO"))</f>
        <v/>
      </c>
      <c r="E1070" s="42">
        <f>IF($C1070="","",IFERROR(INDEX(DESPACHOS!$K$3:$K$3002,MATCH($C1070,DESPACHOS!$B$3:$B$3002,0)),""))</f>
        <v/>
      </c>
      <c r="F1070" s="42">
        <f>IF($C1070="","",IFERROR(INDEX(DESPACHOS!$I$3:$I$3002,MATCH($C1070,DESPACHOS!$B$3:$B$3002,0)),""))</f>
        <v/>
      </c>
      <c r="G1070" s="42">
        <f>IF($C1070="","",IFERROR(INDEX(DESPACHOS!$F$3:$F$3002,MATCH($C1070,DESPACHOS!$B$3:$B$3002,0)),""))</f>
        <v/>
      </c>
      <c r="H1070" s="42">
        <f>IF($C1070="","",IFERROR(INDEX(DESPACHOS!$G$3:$G$3002,MATCH($C1070,DESPACHOS!$B$3:$B$3002,0)),""))</f>
        <v/>
      </c>
      <c r="I1070" s="39">
        <f>IF($C1070="","",IFERROR(INDEX(DESPACHOS!$H$3:$H$3002,MATCH($C1070,DESPACHOS!$B$3:$B$3002,0)),""))</f>
        <v/>
      </c>
      <c r="J1070" s="43">
        <f>IF($C1070="","",IFERROR(INDEX(DESPACHOS!$J$3:$J$3002,MATCH($C1070,DESPACHOS!$B$3:$B$3002,0)),""))</f>
        <v/>
      </c>
      <c r="K1070" s="39">
        <f>IF($C1070="","",IF(COUNTIFS(DESPACHOS!$B$3:$B$3002,$C1070)=0,"NO EXISTE",IF(COUNTIFS(DESPACHOS!$B$3:$B$3002,$C1070)&gt;1,"DUPLICADO","OK")))</f>
        <v/>
      </c>
      <c r="L1070" s="41" t="n"/>
      <c r="M1070" s="41" t="n"/>
      <c r="N1070" s="42">
        <f>IF($M1070="","",IFERROR(INDEX(LISTAS!$F$3:$F$42,MATCH($M1070,LISTAS!$E$3:$E$42,0)),"Por definir"))</f>
        <v/>
      </c>
      <c r="O1070" s="41" t="n"/>
      <c r="P1070" s="39">
        <f>IF($L1070="","",IFERROR(INDEX(LISTAS!$B$3:$B$42,MATCH($L1070,LISTAS!$A$3:$A$42,0)),"Media"))</f>
        <v/>
      </c>
      <c r="Q1070" s="44" t="n"/>
      <c r="R1070" s="45" t="n"/>
      <c r="S1070" s="20">
        <f>IFERROR(IF(OR($R1070="",$C1070=""),"",$R1070/INDEX(DESPACHOS!$M$3:$M$3002,MATCH($C1070,DESPACHOS!$B$3:$B$3002,0))),"")</f>
        <v/>
      </c>
      <c r="T1070" s="41" t="n"/>
      <c r="U1070" s="43">
        <f>IF(OR($B1070="",$L1070=""),"",WORKDAY($B1070,IFERROR(INDEX(LISTAS!$C$3:$C$42,MATCH($L1070,LISTAS!$A$3:$A$42,0)),3)))</f>
        <v/>
      </c>
      <c r="V1070" s="40" t="n"/>
      <c r="W1070" s="19">
        <f>IF($B1070="","",IF($V1070&lt;&gt;"",$V1070-$B1070,TODAY()-$B1070))</f>
        <v/>
      </c>
      <c r="X1070" s="19">
        <f>IF(OR($B1070="",$U1070=""),"",IF($V1070&lt;&gt;"",MAX(0,$V1070-$U1070),MAX(0,TODAY()-$U1070)))</f>
        <v/>
      </c>
      <c r="Y1070" s="39">
        <f>IF($C1070="","",IF(IFERROR(INDEX(LISTAS!$I$3:$I$42,MATCH($T1070,LISTAS!$H$3:$H$42,0)),"NO")="SÍ",IF(N($X1070)&gt;0,"CERRADA FUERA DE SLA","CERRADA EN SLA"),IF($U1070="","SIN CLASIFICAR",IF(N($X1070)&gt;0,"VENCIDA",IF(TODAY()&gt;=$U1070-1,"POR VENCER","EN PLAZO")))))</f>
        <v/>
      </c>
      <c r="Z1070" s="41" t="n"/>
      <c r="AA1070" s="41" t="n"/>
      <c r="AB1070" s="41" t="n"/>
    </row>
    <row r="1071">
      <c r="A1071" s="39">
        <f>IF($C1071="","","NOV-"&amp;TEXT(ROW()-3,"0000"))</f>
        <v/>
      </c>
      <c r="B1071" s="40" t="n"/>
      <c r="C1071" s="41" t="n"/>
      <c r="D1071" s="42">
        <f>IF($C1071="","",IFERROR(INDEX(DESPACHOS!$D$3:$D$3002,MATCH($C1071,DESPACHOS!$B$3:$B$3002,0)),"SIN DESPACHO"))</f>
        <v/>
      </c>
      <c r="E1071" s="42">
        <f>IF($C1071="","",IFERROR(INDEX(DESPACHOS!$K$3:$K$3002,MATCH($C1071,DESPACHOS!$B$3:$B$3002,0)),""))</f>
        <v/>
      </c>
      <c r="F1071" s="42">
        <f>IF($C1071="","",IFERROR(INDEX(DESPACHOS!$I$3:$I$3002,MATCH($C1071,DESPACHOS!$B$3:$B$3002,0)),""))</f>
        <v/>
      </c>
      <c r="G1071" s="42">
        <f>IF($C1071="","",IFERROR(INDEX(DESPACHOS!$F$3:$F$3002,MATCH($C1071,DESPACHOS!$B$3:$B$3002,0)),""))</f>
        <v/>
      </c>
      <c r="H1071" s="42">
        <f>IF($C1071="","",IFERROR(INDEX(DESPACHOS!$G$3:$G$3002,MATCH($C1071,DESPACHOS!$B$3:$B$3002,0)),""))</f>
        <v/>
      </c>
      <c r="I1071" s="39">
        <f>IF($C1071="","",IFERROR(INDEX(DESPACHOS!$H$3:$H$3002,MATCH($C1071,DESPACHOS!$B$3:$B$3002,0)),""))</f>
        <v/>
      </c>
      <c r="J1071" s="43">
        <f>IF($C1071="","",IFERROR(INDEX(DESPACHOS!$J$3:$J$3002,MATCH($C1071,DESPACHOS!$B$3:$B$3002,0)),""))</f>
        <v/>
      </c>
      <c r="K1071" s="39">
        <f>IF($C1071="","",IF(COUNTIFS(DESPACHOS!$B$3:$B$3002,$C1071)=0,"NO EXISTE",IF(COUNTIFS(DESPACHOS!$B$3:$B$3002,$C1071)&gt;1,"DUPLICADO","OK")))</f>
        <v/>
      </c>
      <c r="L1071" s="41" t="n"/>
      <c r="M1071" s="41" t="n"/>
      <c r="N1071" s="42">
        <f>IF($M1071="","",IFERROR(INDEX(LISTAS!$F$3:$F$42,MATCH($M1071,LISTAS!$E$3:$E$42,0)),"Por definir"))</f>
        <v/>
      </c>
      <c r="O1071" s="41" t="n"/>
      <c r="P1071" s="39">
        <f>IF($L1071="","",IFERROR(INDEX(LISTAS!$B$3:$B$42,MATCH($L1071,LISTAS!$A$3:$A$42,0)),"Media"))</f>
        <v/>
      </c>
      <c r="Q1071" s="44" t="n"/>
      <c r="R1071" s="45" t="n"/>
      <c r="S1071" s="20">
        <f>IFERROR(IF(OR($R1071="",$C1071=""),"",$R1071/INDEX(DESPACHOS!$M$3:$M$3002,MATCH($C1071,DESPACHOS!$B$3:$B$3002,0))),"")</f>
        <v/>
      </c>
      <c r="T1071" s="41" t="n"/>
      <c r="U1071" s="43">
        <f>IF(OR($B1071="",$L1071=""),"",WORKDAY($B1071,IFERROR(INDEX(LISTAS!$C$3:$C$42,MATCH($L1071,LISTAS!$A$3:$A$42,0)),3)))</f>
        <v/>
      </c>
      <c r="V1071" s="40" t="n"/>
      <c r="W1071" s="19">
        <f>IF($B1071="","",IF($V1071&lt;&gt;"",$V1071-$B1071,TODAY()-$B1071))</f>
        <v/>
      </c>
      <c r="X1071" s="19">
        <f>IF(OR($B1071="",$U1071=""),"",IF($V1071&lt;&gt;"",MAX(0,$V1071-$U1071),MAX(0,TODAY()-$U1071)))</f>
        <v/>
      </c>
      <c r="Y1071" s="39">
        <f>IF($C1071="","",IF(IFERROR(INDEX(LISTAS!$I$3:$I$42,MATCH($T1071,LISTAS!$H$3:$H$42,0)),"NO")="SÍ",IF(N($X1071)&gt;0,"CERRADA FUERA DE SLA","CERRADA EN SLA"),IF($U1071="","SIN CLASIFICAR",IF(N($X1071)&gt;0,"VENCIDA",IF(TODAY()&gt;=$U1071-1,"POR VENCER","EN PLAZO")))))</f>
        <v/>
      </c>
      <c r="Z1071" s="41" t="n"/>
      <c r="AA1071" s="41" t="n"/>
      <c r="AB1071" s="41" t="n"/>
    </row>
    <row r="1072">
      <c r="A1072" s="39">
        <f>IF($C1072="","","NOV-"&amp;TEXT(ROW()-3,"0000"))</f>
        <v/>
      </c>
      <c r="B1072" s="40" t="n"/>
      <c r="C1072" s="41" t="n"/>
      <c r="D1072" s="42">
        <f>IF($C1072="","",IFERROR(INDEX(DESPACHOS!$D$3:$D$3002,MATCH($C1072,DESPACHOS!$B$3:$B$3002,0)),"SIN DESPACHO"))</f>
        <v/>
      </c>
      <c r="E1072" s="42">
        <f>IF($C1072="","",IFERROR(INDEX(DESPACHOS!$K$3:$K$3002,MATCH($C1072,DESPACHOS!$B$3:$B$3002,0)),""))</f>
        <v/>
      </c>
      <c r="F1072" s="42">
        <f>IF($C1072="","",IFERROR(INDEX(DESPACHOS!$I$3:$I$3002,MATCH($C1072,DESPACHOS!$B$3:$B$3002,0)),""))</f>
        <v/>
      </c>
      <c r="G1072" s="42">
        <f>IF($C1072="","",IFERROR(INDEX(DESPACHOS!$F$3:$F$3002,MATCH($C1072,DESPACHOS!$B$3:$B$3002,0)),""))</f>
        <v/>
      </c>
      <c r="H1072" s="42">
        <f>IF($C1072="","",IFERROR(INDEX(DESPACHOS!$G$3:$G$3002,MATCH($C1072,DESPACHOS!$B$3:$B$3002,0)),""))</f>
        <v/>
      </c>
      <c r="I1072" s="39">
        <f>IF($C1072="","",IFERROR(INDEX(DESPACHOS!$H$3:$H$3002,MATCH($C1072,DESPACHOS!$B$3:$B$3002,0)),""))</f>
        <v/>
      </c>
      <c r="J1072" s="43">
        <f>IF($C1072="","",IFERROR(INDEX(DESPACHOS!$J$3:$J$3002,MATCH($C1072,DESPACHOS!$B$3:$B$3002,0)),""))</f>
        <v/>
      </c>
      <c r="K1072" s="39">
        <f>IF($C1072="","",IF(COUNTIFS(DESPACHOS!$B$3:$B$3002,$C1072)=0,"NO EXISTE",IF(COUNTIFS(DESPACHOS!$B$3:$B$3002,$C1072)&gt;1,"DUPLICADO","OK")))</f>
        <v/>
      </c>
      <c r="L1072" s="41" t="n"/>
      <c r="M1072" s="41" t="n"/>
      <c r="N1072" s="42">
        <f>IF($M1072="","",IFERROR(INDEX(LISTAS!$F$3:$F$42,MATCH($M1072,LISTAS!$E$3:$E$42,0)),"Por definir"))</f>
        <v/>
      </c>
      <c r="O1072" s="41" t="n"/>
      <c r="P1072" s="39">
        <f>IF($L1072="","",IFERROR(INDEX(LISTAS!$B$3:$B$42,MATCH($L1072,LISTAS!$A$3:$A$42,0)),"Media"))</f>
        <v/>
      </c>
      <c r="Q1072" s="44" t="n"/>
      <c r="R1072" s="45" t="n"/>
      <c r="S1072" s="20">
        <f>IFERROR(IF(OR($R1072="",$C1072=""),"",$R1072/INDEX(DESPACHOS!$M$3:$M$3002,MATCH($C1072,DESPACHOS!$B$3:$B$3002,0))),"")</f>
        <v/>
      </c>
      <c r="T1072" s="41" t="n"/>
      <c r="U1072" s="43">
        <f>IF(OR($B1072="",$L1072=""),"",WORKDAY($B1072,IFERROR(INDEX(LISTAS!$C$3:$C$42,MATCH($L1072,LISTAS!$A$3:$A$42,0)),3)))</f>
        <v/>
      </c>
      <c r="V1072" s="40" t="n"/>
      <c r="W1072" s="19">
        <f>IF($B1072="","",IF($V1072&lt;&gt;"",$V1072-$B1072,TODAY()-$B1072))</f>
        <v/>
      </c>
      <c r="X1072" s="19">
        <f>IF(OR($B1072="",$U1072=""),"",IF($V1072&lt;&gt;"",MAX(0,$V1072-$U1072),MAX(0,TODAY()-$U1072)))</f>
        <v/>
      </c>
      <c r="Y1072" s="39">
        <f>IF($C1072="","",IF(IFERROR(INDEX(LISTAS!$I$3:$I$42,MATCH($T1072,LISTAS!$H$3:$H$42,0)),"NO")="SÍ",IF(N($X1072)&gt;0,"CERRADA FUERA DE SLA","CERRADA EN SLA"),IF($U1072="","SIN CLASIFICAR",IF(N($X1072)&gt;0,"VENCIDA",IF(TODAY()&gt;=$U1072-1,"POR VENCER","EN PLAZO")))))</f>
        <v/>
      </c>
      <c r="Z1072" s="41" t="n"/>
      <c r="AA1072" s="41" t="n"/>
      <c r="AB1072" s="41" t="n"/>
    </row>
    <row r="1073">
      <c r="A1073" s="39">
        <f>IF($C1073="","","NOV-"&amp;TEXT(ROW()-3,"0000"))</f>
        <v/>
      </c>
      <c r="B1073" s="40" t="n"/>
      <c r="C1073" s="41" t="n"/>
      <c r="D1073" s="42">
        <f>IF($C1073="","",IFERROR(INDEX(DESPACHOS!$D$3:$D$3002,MATCH($C1073,DESPACHOS!$B$3:$B$3002,0)),"SIN DESPACHO"))</f>
        <v/>
      </c>
      <c r="E1073" s="42">
        <f>IF($C1073="","",IFERROR(INDEX(DESPACHOS!$K$3:$K$3002,MATCH($C1073,DESPACHOS!$B$3:$B$3002,0)),""))</f>
        <v/>
      </c>
      <c r="F1073" s="42">
        <f>IF($C1073="","",IFERROR(INDEX(DESPACHOS!$I$3:$I$3002,MATCH($C1073,DESPACHOS!$B$3:$B$3002,0)),""))</f>
        <v/>
      </c>
      <c r="G1073" s="42">
        <f>IF($C1073="","",IFERROR(INDEX(DESPACHOS!$F$3:$F$3002,MATCH($C1073,DESPACHOS!$B$3:$B$3002,0)),""))</f>
        <v/>
      </c>
      <c r="H1073" s="42">
        <f>IF($C1073="","",IFERROR(INDEX(DESPACHOS!$G$3:$G$3002,MATCH($C1073,DESPACHOS!$B$3:$B$3002,0)),""))</f>
        <v/>
      </c>
      <c r="I1073" s="39">
        <f>IF($C1073="","",IFERROR(INDEX(DESPACHOS!$H$3:$H$3002,MATCH($C1073,DESPACHOS!$B$3:$B$3002,0)),""))</f>
        <v/>
      </c>
      <c r="J1073" s="43">
        <f>IF($C1073="","",IFERROR(INDEX(DESPACHOS!$J$3:$J$3002,MATCH($C1073,DESPACHOS!$B$3:$B$3002,0)),""))</f>
        <v/>
      </c>
      <c r="K1073" s="39">
        <f>IF($C1073="","",IF(COUNTIFS(DESPACHOS!$B$3:$B$3002,$C1073)=0,"NO EXISTE",IF(COUNTIFS(DESPACHOS!$B$3:$B$3002,$C1073)&gt;1,"DUPLICADO","OK")))</f>
        <v/>
      </c>
      <c r="L1073" s="41" t="n"/>
      <c r="M1073" s="41" t="n"/>
      <c r="N1073" s="42">
        <f>IF($M1073="","",IFERROR(INDEX(LISTAS!$F$3:$F$42,MATCH($M1073,LISTAS!$E$3:$E$42,0)),"Por definir"))</f>
        <v/>
      </c>
      <c r="O1073" s="41" t="n"/>
      <c r="P1073" s="39">
        <f>IF($L1073="","",IFERROR(INDEX(LISTAS!$B$3:$B$42,MATCH($L1073,LISTAS!$A$3:$A$42,0)),"Media"))</f>
        <v/>
      </c>
      <c r="Q1073" s="44" t="n"/>
      <c r="R1073" s="45" t="n"/>
      <c r="S1073" s="20">
        <f>IFERROR(IF(OR($R1073="",$C1073=""),"",$R1073/INDEX(DESPACHOS!$M$3:$M$3002,MATCH($C1073,DESPACHOS!$B$3:$B$3002,0))),"")</f>
        <v/>
      </c>
      <c r="T1073" s="41" t="n"/>
      <c r="U1073" s="43">
        <f>IF(OR($B1073="",$L1073=""),"",WORKDAY($B1073,IFERROR(INDEX(LISTAS!$C$3:$C$42,MATCH($L1073,LISTAS!$A$3:$A$42,0)),3)))</f>
        <v/>
      </c>
      <c r="V1073" s="40" t="n"/>
      <c r="W1073" s="19">
        <f>IF($B1073="","",IF($V1073&lt;&gt;"",$V1073-$B1073,TODAY()-$B1073))</f>
        <v/>
      </c>
      <c r="X1073" s="19">
        <f>IF(OR($B1073="",$U1073=""),"",IF($V1073&lt;&gt;"",MAX(0,$V1073-$U1073),MAX(0,TODAY()-$U1073)))</f>
        <v/>
      </c>
      <c r="Y1073" s="39">
        <f>IF($C1073="","",IF(IFERROR(INDEX(LISTAS!$I$3:$I$42,MATCH($T1073,LISTAS!$H$3:$H$42,0)),"NO")="SÍ",IF(N($X1073)&gt;0,"CERRADA FUERA DE SLA","CERRADA EN SLA"),IF($U1073="","SIN CLASIFICAR",IF(N($X1073)&gt;0,"VENCIDA",IF(TODAY()&gt;=$U1073-1,"POR VENCER","EN PLAZO")))))</f>
        <v/>
      </c>
      <c r="Z1073" s="41" t="n"/>
      <c r="AA1073" s="41" t="n"/>
      <c r="AB1073" s="41" t="n"/>
    </row>
    <row r="1074">
      <c r="A1074" s="39">
        <f>IF($C1074="","","NOV-"&amp;TEXT(ROW()-3,"0000"))</f>
        <v/>
      </c>
      <c r="B1074" s="40" t="n"/>
      <c r="C1074" s="41" t="n"/>
      <c r="D1074" s="42">
        <f>IF($C1074="","",IFERROR(INDEX(DESPACHOS!$D$3:$D$3002,MATCH($C1074,DESPACHOS!$B$3:$B$3002,0)),"SIN DESPACHO"))</f>
        <v/>
      </c>
      <c r="E1074" s="42">
        <f>IF($C1074="","",IFERROR(INDEX(DESPACHOS!$K$3:$K$3002,MATCH($C1074,DESPACHOS!$B$3:$B$3002,0)),""))</f>
        <v/>
      </c>
      <c r="F1074" s="42">
        <f>IF($C1074="","",IFERROR(INDEX(DESPACHOS!$I$3:$I$3002,MATCH($C1074,DESPACHOS!$B$3:$B$3002,0)),""))</f>
        <v/>
      </c>
      <c r="G1074" s="42">
        <f>IF($C1074="","",IFERROR(INDEX(DESPACHOS!$F$3:$F$3002,MATCH($C1074,DESPACHOS!$B$3:$B$3002,0)),""))</f>
        <v/>
      </c>
      <c r="H1074" s="42">
        <f>IF($C1074="","",IFERROR(INDEX(DESPACHOS!$G$3:$G$3002,MATCH($C1074,DESPACHOS!$B$3:$B$3002,0)),""))</f>
        <v/>
      </c>
      <c r="I1074" s="39">
        <f>IF($C1074="","",IFERROR(INDEX(DESPACHOS!$H$3:$H$3002,MATCH($C1074,DESPACHOS!$B$3:$B$3002,0)),""))</f>
        <v/>
      </c>
      <c r="J1074" s="43">
        <f>IF($C1074="","",IFERROR(INDEX(DESPACHOS!$J$3:$J$3002,MATCH($C1074,DESPACHOS!$B$3:$B$3002,0)),""))</f>
        <v/>
      </c>
      <c r="K1074" s="39">
        <f>IF($C1074="","",IF(COUNTIFS(DESPACHOS!$B$3:$B$3002,$C1074)=0,"NO EXISTE",IF(COUNTIFS(DESPACHOS!$B$3:$B$3002,$C1074)&gt;1,"DUPLICADO","OK")))</f>
        <v/>
      </c>
      <c r="L1074" s="41" t="n"/>
      <c r="M1074" s="41" t="n"/>
      <c r="N1074" s="42">
        <f>IF($M1074="","",IFERROR(INDEX(LISTAS!$F$3:$F$42,MATCH($M1074,LISTAS!$E$3:$E$42,0)),"Por definir"))</f>
        <v/>
      </c>
      <c r="O1074" s="41" t="n"/>
      <c r="P1074" s="39">
        <f>IF($L1074="","",IFERROR(INDEX(LISTAS!$B$3:$B$42,MATCH($L1074,LISTAS!$A$3:$A$42,0)),"Media"))</f>
        <v/>
      </c>
      <c r="Q1074" s="44" t="n"/>
      <c r="R1074" s="45" t="n"/>
      <c r="S1074" s="20">
        <f>IFERROR(IF(OR($R1074="",$C1074=""),"",$R1074/INDEX(DESPACHOS!$M$3:$M$3002,MATCH($C1074,DESPACHOS!$B$3:$B$3002,0))),"")</f>
        <v/>
      </c>
      <c r="T1074" s="41" t="n"/>
      <c r="U1074" s="43">
        <f>IF(OR($B1074="",$L1074=""),"",WORKDAY($B1074,IFERROR(INDEX(LISTAS!$C$3:$C$42,MATCH($L1074,LISTAS!$A$3:$A$42,0)),3)))</f>
        <v/>
      </c>
      <c r="V1074" s="40" t="n"/>
      <c r="W1074" s="19">
        <f>IF($B1074="","",IF($V1074&lt;&gt;"",$V1074-$B1074,TODAY()-$B1074))</f>
        <v/>
      </c>
      <c r="X1074" s="19">
        <f>IF(OR($B1074="",$U1074=""),"",IF($V1074&lt;&gt;"",MAX(0,$V1074-$U1074),MAX(0,TODAY()-$U1074)))</f>
        <v/>
      </c>
      <c r="Y1074" s="39">
        <f>IF($C1074="","",IF(IFERROR(INDEX(LISTAS!$I$3:$I$42,MATCH($T1074,LISTAS!$H$3:$H$42,0)),"NO")="SÍ",IF(N($X1074)&gt;0,"CERRADA FUERA DE SLA","CERRADA EN SLA"),IF($U1074="","SIN CLASIFICAR",IF(N($X1074)&gt;0,"VENCIDA",IF(TODAY()&gt;=$U1074-1,"POR VENCER","EN PLAZO")))))</f>
        <v/>
      </c>
      <c r="Z1074" s="41" t="n"/>
      <c r="AA1074" s="41" t="n"/>
      <c r="AB1074" s="41" t="n"/>
    </row>
    <row r="1075">
      <c r="A1075" s="39">
        <f>IF($C1075="","","NOV-"&amp;TEXT(ROW()-3,"0000"))</f>
        <v/>
      </c>
      <c r="B1075" s="40" t="n"/>
      <c r="C1075" s="41" t="n"/>
      <c r="D1075" s="42">
        <f>IF($C1075="","",IFERROR(INDEX(DESPACHOS!$D$3:$D$3002,MATCH($C1075,DESPACHOS!$B$3:$B$3002,0)),"SIN DESPACHO"))</f>
        <v/>
      </c>
      <c r="E1075" s="42">
        <f>IF($C1075="","",IFERROR(INDEX(DESPACHOS!$K$3:$K$3002,MATCH($C1075,DESPACHOS!$B$3:$B$3002,0)),""))</f>
        <v/>
      </c>
      <c r="F1075" s="42">
        <f>IF($C1075="","",IFERROR(INDEX(DESPACHOS!$I$3:$I$3002,MATCH($C1075,DESPACHOS!$B$3:$B$3002,0)),""))</f>
        <v/>
      </c>
      <c r="G1075" s="42">
        <f>IF($C1075="","",IFERROR(INDEX(DESPACHOS!$F$3:$F$3002,MATCH($C1075,DESPACHOS!$B$3:$B$3002,0)),""))</f>
        <v/>
      </c>
      <c r="H1075" s="42">
        <f>IF($C1075="","",IFERROR(INDEX(DESPACHOS!$G$3:$G$3002,MATCH($C1075,DESPACHOS!$B$3:$B$3002,0)),""))</f>
        <v/>
      </c>
      <c r="I1075" s="39">
        <f>IF($C1075="","",IFERROR(INDEX(DESPACHOS!$H$3:$H$3002,MATCH($C1075,DESPACHOS!$B$3:$B$3002,0)),""))</f>
        <v/>
      </c>
      <c r="J1075" s="43">
        <f>IF($C1075="","",IFERROR(INDEX(DESPACHOS!$J$3:$J$3002,MATCH($C1075,DESPACHOS!$B$3:$B$3002,0)),""))</f>
        <v/>
      </c>
      <c r="K1075" s="39">
        <f>IF($C1075="","",IF(COUNTIFS(DESPACHOS!$B$3:$B$3002,$C1075)=0,"NO EXISTE",IF(COUNTIFS(DESPACHOS!$B$3:$B$3002,$C1075)&gt;1,"DUPLICADO","OK")))</f>
        <v/>
      </c>
      <c r="L1075" s="41" t="n"/>
      <c r="M1075" s="41" t="n"/>
      <c r="N1075" s="42">
        <f>IF($M1075="","",IFERROR(INDEX(LISTAS!$F$3:$F$42,MATCH($M1075,LISTAS!$E$3:$E$42,0)),"Por definir"))</f>
        <v/>
      </c>
      <c r="O1075" s="41" t="n"/>
      <c r="P1075" s="39">
        <f>IF($L1075="","",IFERROR(INDEX(LISTAS!$B$3:$B$42,MATCH($L1075,LISTAS!$A$3:$A$42,0)),"Media"))</f>
        <v/>
      </c>
      <c r="Q1075" s="44" t="n"/>
      <c r="R1075" s="45" t="n"/>
      <c r="S1075" s="20">
        <f>IFERROR(IF(OR($R1075="",$C1075=""),"",$R1075/INDEX(DESPACHOS!$M$3:$M$3002,MATCH($C1075,DESPACHOS!$B$3:$B$3002,0))),"")</f>
        <v/>
      </c>
      <c r="T1075" s="41" t="n"/>
      <c r="U1075" s="43">
        <f>IF(OR($B1075="",$L1075=""),"",WORKDAY($B1075,IFERROR(INDEX(LISTAS!$C$3:$C$42,MATCH($L1075,LISTAS!$A$3:$A$42,0)),3)))</f>
        <v/>
      </c>
      <c r="V1075" s="40" t="n"/>
      <c r="W1075" s="19">
        <f>IF($B1075="","",IF($V1075&lt;&gt;"",$V1075-$B1075,TODAY()-$B1075))</f>
        <v/>
      </c>
      <c r="X1075" s="19">
        <f>IF(OR($B1075="",$U1075=""),"",IF($V1075&lt;&gt;"",MAX(0,$V1075-$U1075),MAX(0,TODAY()-$U1075)))</f>
        <v/>
      </c>
      <c r="Y1075" s="39">
        <f>IF($C1075="","",IF(IFERROR(INDEX(LISTAS!$I$3:$I$42,MATCH($T1075,LISTAS!$H$3:$H$42,0)),"NO")="SÍ",IF(N($X1075)&gt;0,"CERRADA FUERA DE SLA","CERRADA EN SLA"),IF($U1075="","SIN CLASIFICAR",IF(N($X1075)&gt;0,"VENCIDA",IF(TODAY()&gt;=$U1075-1,"POR VENCER","EN PLAZO")))))</f>
        <v/>
      </c>
      <c r="Z1075" s="41" t="n"/>
      <c r="AA1075" s="41" t="n"/>
      <c r="AB1075" s="41" t="n"/>
    </row>
    <row r="1076">
      <c r="A1076" s="39">
        <f>IF($C1076="","","NOV-"&amp;TEXT(ROW()-3,"0000"))</f>
        <v/>
      </c>
      <c r="B1076" s="40" t="n"/>
      <c r="C1076" s="41" t="n"/>
      <c r="D1076" s="42">
        <f>IF($C1076="","",IFERROR(INDEX(DESPACHOS!$D$3:$D$3002,MATCH($C1076,DESPACHOS!$B$3:$B$3002,0)),"SIN DESPACHO"))</f>
        <v/>
      </c>
      <c r="E1076" s="42">
        <f>IF($C1076="","",IFERROR(INDEX(DESPACHOS!$K$3:$K$3002,MATCH($C1076,DESPACHOS!$B$3:$B$3002,0)),""))</f>
        <v/>
      </c>
      <c r="F1076" s="42">
        <f>IF($C1076="","",IFERROR(INDEX(DESPACHOS!$I$3:$I$3002,MATCH($C1076,DESPACHOS!$B$3:$B$3002,0)),""))</f>
        <v/>
      </c>
      <c r="G1076" s="42">
        <f>IF($C1076="","",IFERROR(INDEX(DESPACHOS!$F$3:$F$3002,MATCH($C1076,DESPACHOS!$B$3:$B$3002,0)),""))</f>
        <v/>
      </c>
      <c r="H1076" s="42">
        <f>IF($C1076="","",IFERROR(INDEX(DESPACHOS!$G$3:$G$3002,MATCH($C1076,DESPACHOS!$B$3:$B$3002,0)),""))</f>
        <v/>
      </c>
      <c r="I1076" s="39">
        <f>IF($C1076="","",IFERROR(INDEX(DESPACHOS!$H$3:$H$3002,MATCH($C1076,DESPACHOS!$B$3:$B$3002,0)),""))</f>
        <v/>
      </c>
      <c r="J1076" s="43">
        <f>IF($C1076="","",IFERROR(INDEX(DESPACHOS!$J$3:$J$3002,MATCH($C1076,DESPACHOS!$B$3:$B$3002,0)),""))</f>
        <v/>
      </c>
      <c r="K1076" s="39">
        <f>IF($C1076="","",IF(COUNTIFS(DESPACHOS!$B$3:$B$3002,$C1076)=0,"NO EXISTE",IF(COUNTIFS(DESPACHOS!$B$3:$B$3002,$C1076)&gt;1,"DUPLICADO","OK")))</f>
        <v/>
      </c>
      <c r="L1076" s="41" t="n"/>
      <c r="M1076" s="41" t="n"/>
      <c r="N1076" s="42">
        <f>IF($M1076="","",IFERROR(INDEX(LISTAS!$F$3:$F$42,MATCH($M1076,LISTAS!$E$3:$E$42,0)),"Por definir"))</f>
        <v/>
      </c>
      <c r="O1076" s="41" t="n"/>
      <c r="P1076" s="39">
        <f>IF($L1076="","",IFERROR(INDEX(LISTAS!$B$3:$B$42,MATCH($L1076,LISTAS!$A$3:$A$42,0)),"Media"))</f>
        <v/>
      </c>
      <c r="Q1076" s="44" t="n"/>
      <c r="R1076" s="45" t="n"/>
      <c r="S1076" s="20">
        <f>IFERROR(IF(OR($R1076="",$C1076=""),"",$R1076/INDEX(DESPACHOS!$M$3:$M$3002,MATCH($C1076,DESPACHOS!$B$3:$B$3002,0))),"")</f>
        <v/>
      </c>
      <c r="T1076" s="41" t="n"/>
      <c r="U1076" s="43">
        <f>IF(OR($B1076="",$L1076=""),"",WORKDAY($B1076,IFERROR(INDEX(LISTAS!$C$3:$C$42,MATCH($L1076,LISTAS!$A$3:$A$42,0)),3)))</f>
        <v/>
      </c>
      <c r="V1076" s="40" t="n"/>
      <c r="W1076" s="19">
        <f>IF($B1076="","",IF($V1076&lt;&gt;"",$V1076-$B1076,TODAY()-$B1076))</f>
        <v/>
      </c>
      <c r="X1076" s="19">
        <f>IF(OR($B1076="",$U1076=""),"",IF($V1076&lt;&gt;"",MAX(0,$V1076-$U1076),MAX(0,TODAY()-$U1076)))</f>
        <v/>
      </c>
      <c r="Y1076" s="39">
        <f>IF($C1076="","",IF(IFERROR(INDEX(LISTAS!$I$3:$I$42,MATCH($T1076,LISTAS!$H$3:$H$42,0)),"NO")="SÍ",IF(N($X1076)&gt;0,"CERRADA FUERA DE SLA","CERRADA EN SLA"),IF($U1076="","SIN CLASIFICAR",IF(N($X1076)&gt;0,"VENCIDA",IF(TODAY()&gt;=$U1076-1,"POR VENCER","EN PLAZO")))))</f>
        <v/>
      </c>
      <c r="Z1076" s="41" t="n"/>
      <c r="AA1076" s="41" t="n"/>
      <c r="AB1076" s="41" t="n"/>
    </row>
    <row r="1077">
      <c r="A1077" s="39">
        <f>IF($C1077="","","NOV-"&amp;TEXT(ROW()-3,"0000"))</f>
        <v/>
      </c>
      <c r="B1077" s="40" t="n"/>
      <c r="C1077" s="41" t="n"/>
      <c r="D1077" s="42">
        <f>IF($C1077="","",IFERROR(INDEX(DESPACHOS!$D$3:$D$3002,MATCH($C1077,DESPACHOS!$B$3:$B$3002,0)),"SIN DESPACHO"))</f>
        <v/>
      </c>
      <c r="E1077" s="42">
        <f>IF($C1077="","",IFERROR(INDEX(DESPACHOS!$K$3:$K$3002,MATCH($C1077,DESPACHOS!$B$3:$B$3002,0)),""))</f>
        <v/>
      </c>
      <c r="F1077" s="42">
        <f>IF($C1077="","",IFERROR(INDEX(DESPACHOS!$I$3:$I$3002,MATCH($C1077,DESPACHOS!$B$3:$B$3002,0)),""))</f>
        <v/>
      </c>
      <c r="G1077" s="42">
        <f>IF($C1077="","",IFERROR(INDEX(DESPACHOS!$F$3:$F$3002,MATCH($C1077,DESPACHOS!$B$3:$B$3002,0)),""))</f>
        <v/>
      </c>
      <c r="H1077" s="42">
        <f>IF($C1077="","",IFERROR(INDEX(DESPACHOS!$G$3:$G$3002,MATCH($C1077,DESPACHOS!$B$3:$B$3002,0)),""))</f>
        <v/>
      </c>
      <c r="I1077" s="39">
        <f>IF($C1077="","",IFERROR(INDEX(DESPACHOS!$H$3:$H$3002,MATCH($C1077,DESPACHOS!$B$3:$B$3002,0)),""))</f>
        <v/>
      </c>
      <c r="J1077" s="43">
        <f>IF($C1077="","",IFERROR(INDEX(DESPACHOS!$J$3:$J$3002,MATCH($C1077,DESPACHOS!$B$3:$B$3002,0)),""))</f>
        <v/>
      </c>
      <c r="K1077" s="39">
        <f>IF($C1077="","",IF(COUNTIFS(DESPACHOS!$B$3:$B$3002,$C1077)=0,"NO EXISTE",IF(COUNTIFS(DESPACHOS!$B$3:$B$3002,$C1077)&gt;1,"DUPLICADO","OK")))</f>
        <v/>
      </c>
      <c r="L1077" s="41" t="n"/>
      <c r="M1077" s="41" t="n"/>
      <c r="N1077" s="42">
        <f>IF($M1077="","",IFERROR(INDEX(LISTAS!$F$3:$F$42,MATCH($M1077,LISTAS!$E$3:$E$42,0)),"Por definir"))</f>
        <v/>
      </c>
      <c r="O1077" s="41" t="n"/>
      <c r="P1077" s="39">
        <f>IF($L1077="","",IFERROR(INDEX(LISTAS!$B$3:$B$42,MATCH($L1077,LISTAS!$A$3:$A$42,0)),"Media"))</f>
        <v/>
      </c>
      <c r="Q1077" s="44" t="n"/>
      <c r="R1077" s="45" t="n"/>
      <c r="S1077" s="20">
        <f>IFERROR(IF(OR($R1077="",$C1077=""),"",$R1077/INDEX(DESPACHOS!$M$3:$M$3002,MATCH($C1077,DESPACHOS!$B$3:$B$3002,0))),"")</f>
        <v/>
      </c>
      <c r="T1077" s="41" t="n"/>
      <c r="U1077" s="43">
        <f>IF(OR($B1077="",$L1077=""),"",WORKDAY($B1077,IFERROR(INDEX(LISTAS!$C$3:$C$42,MATCH($L1077,LISTAS!$A$3:$A$42,0)),3)))</f>
        <v/>
      </c>
      <c r="V1077" s="40" t="n"/>
      <c r="W1077" s="19">
        <f>IF($B1077="","",IF($V1077&lt;&gt;"",$V1077-$B1077,TODAY()-$B1077))</f>
        <v/>
      </c>
      <c r="X1077" s="19">
        <f>IF(OR($B1077="",$U1077=""),"",IF($V1077&lt;&gt;"",MAX(0,$V1077-$U1077),MAX(0,TODAY()-$U1077)))</f>
        <v/>
      </c>
      <c r="Y1077" s="39">
        <f>IF($C1077="","",IF(IFERROR(INDEX(LISTAS!$I$3:$I$42,MATCH($T1077,LISTAS!$H$3:$H$42,0)),"NO")="SÍ",IF(N($X1077)&gt;0,"CERRADA FUERA DE SLA","CERRADA EN SLA"),IF($U1077="","SIN CLASIFICAR",IF(N($X1077)&gt;0,"VENCIDA",IF(TODAY()&gt;=$U1077-1,"POR VENCER","EN PLAZO")))))</f>
        <v/>
      </c>
      <c r="Z1077" s="41" t="n"/>
      <c r="AA1077" s="41" t="n"/>
      <c r="AB1077" s="41" t="n"/>
    </row>
    <row r="1078">
      <c r="A1078" s="39">
        <f>IF($C1078="","","NOV-"&amp;TEXT(ROW()-3,"0000"))</f>
        <v/>
      </c>
      <c r="B1078" s="40" t="n"/>
      <c r="C1078" s="41" t="n"/>
      <c r="D1078" s="42">
        <f>IF($C1078="","",IFERROR(INDEX(DESPACHOS!$D$3:$D$3002,MATCH($C1078,DESPACHOS!$B$3:$B$3002,0)),"SIN DESPACHO"))</f>
        <v/>
      </c>
      <c r="E1078" s="42">
        <f>IF($C1078="","",IFERROR(INDEX(DESPACHOS!$K$3:$K$3002,MATCH($C1078,DESPACHOS!$B$3:$B$3002,0)),""))</f>
        <v/>
      </c>
      <c r="F1078" s="42">
        <f>IF($C1078="","",IFERROR(INDEX(DESPACHOS!$I$3:$I$3002,MATCH($C1078,DESPACHOS!$B$3:$B$3002,0)),""))</f>
        <v/>
      </c>
      <c r="G1078" s="42">
        <f>IF($C1078="","",IFERROR(INDEX(DESPACHOS!$F$3:$F$3002,MATCH($C1078,DESPACHOS!$B$3:$B$3002,0)),""))</f>
        <v/>
      </c>
      <c r="H1078" s="42">
        <f>IF($C1078="","",IFERROR(INDEX(DESPACHOS!$G$3:$G$3002,MATCH($C1078,DESPACHOS!$B$3:$B$3002,0)),""))</f>
        <v/>
      </c>
      <c r="I1078" s="39">
        <f>IF($C1078="","",IFERROR(INDEX(DESPACHOS!$H$3:$H$3002,MATCH($C1078,DESPACHOS!$B$3:$B$3002,0)),""))</f>
        <v/>
      </c>
      <c r="J1078" s="43">
        <f>IF($C1078="","",IFERROR(INDEX(DESPACHOS!$J$3:$J$3002,MATCH($C1078,DESPACHOS!$B$3:$B$3002,0)),""))</f>
        <v/>
      </c>
      <c r="K1078" s="39">
        <f>IF($C1078="","",IF(COUNTIFS(DESPACHOS!$B$3:$B$3002,$C1078)=0,"NO EXISTE",IF(COUNTIFS(DESPACHOS!$B$3:$B$3002,$C1078)&gt;1,"DUPLICADO","OK")))</f>
        <v/>
      </c>
      <c r="L1078" s="41" t="n"/>
      <c r="M1078" s="41" t="n"/>
      <c r="N1078" s="42">
        <f>IF($M1078="","",IFERROR(INDEX(LISTAS!$F$3:$F$42,MATCH($M1078,LISTAS!$E$3:$E$42,0)),"Por definir"))</f>
        <v/>
      </c>
      <c r="O1078" s="41" t="n"/>
      <c r="P1078" s="39">
        <f>IF($L1078="","",IFERROR(INDEX(LISTAS!$B$3:$B$42,MATCH($L1078,LISTAS!$A$3:$A$42,0)),"Media"))</f>
        <v/>
      </c>
      <c r="Q1078" s="44" t="n"/>
      <c r="R1078" s="45" t="n"/>
      <c r="S1078" s="20">
        <f>IFERROR(IF(OR($R1078="",$C1078=""),"",$R1078/INDEX(DESPACHOS!$M$3:$M$3002,MATCH($C1078,DESPACHOS!$B$3:$B$3002,0))),"")</f>
        <v/>
      </c>
      <c r="T1078" s="41" t="n"/>
      <c r="U1078" s="43">
        <f>IF(OR($B1078="",$L1078=""),"",WORKDAY($B1078,IFERROR(INDEX(LISTAS!$C$3:$C$42,MATCH($L1078,LISTAS!$A$3:$A$42,0)),3)))</f>
        <v/>
      </c>
      <c r="V1078" s="40" t="n"/>
      <c r="W1078" s="19">
        <f>IF($B1078="","",IF($V1078&lt;&gt;"",$V1078-$B1078,TODAY()-$B1078))</f>
        <v/>
      </c>
      <c r="X1078" s="19">
        <f>IF(OR($B1078="",$U1078=""),"",IF($V1078&lt;&gt;"",MAX(0,$V1078-$U1078),MAX(0,TODAY()-$U1078)))</f>
        <v/>
      </c>
      <c r="Y1078" s="39">
        <f>IF($C1078="","",IF(IFERROR(INDEX(LISTAS!$I$3:$I$42,MATCH($T1078,LISTAS!$H$3:$H$42,0)),"NO")="SÍ",IF(N($X1078)&gt;0,"CERRADA FUERA DE SLA","CERRADA EN SLA"),IF($U1078="","SIN CLASIFICAR",IF(N($X1078)&gt;0,"VENCIDA",IF(TODAY()&gt;=$U1078-1,"POR VENCER","EN PLAZO")))))</f>
        <v/>
      </c>
      <c r="Z1078" s="41" t="n"/>
      <c r="AA1078" s="41" t="n"/>
      <c r="AB1078" s="41" t="n"/>
    </row>
    <row r="1079">
      <c r="A1079" s="39">
        <f>IF($C1079="","","NOV-"&amp;TEXT(ROW()-3,"0000"))</f>
        <v/>
      </c>
      <c r="B1079" s="40" t="n"/>
      <c r="C1079" s="41" t="n"/>
      <c r="D1079" s="42">
        <f>IF($C1079="","",IFERROR(INDEX(DESPACHOS!$D$3:$D$3002,MATCH($C1079,DESPACHOS!$B$3:$B$3002,0)),"SIN DESPACHO"))</f>
        <v/>
      </c>
      <c r="E1079" s="42">
        <f>IF($C1079="","",IFERROR(INDEX(DESPACHOS!$K$3:$K$3002,MATCH($C1079,DESPACHOS!$B$3:$B$3002,0)),""))</f>
        <v/>
      </c>
      <c r="F1079" s="42">
        <f>IF($C1079="","",IFERROR(INDEX(DESPACHOS!$I$3:$I$3002,MATCH($C1079,DESPACHOS!$B$3:$B$3002,0)),""))</f>
        <v/>
      </c>
      <c r="G1079" s="42">
        <f>IF($C1079="","",IFERROR(INDEX(DESPACHOS!$F$3:$F$3002,MATCH($C1079,DESPACHOS!$B$3:$B$3002,0)),""))</f>
        <v/>
      </c>
      <c r="H1079" s="42">
        <f>IF($C1079="","",IFERROR(INDEX(DESPACHOS!$G$3:$G$3002,MATCH($C1079,DESPACHOS!$B$3:$B$3002,0)),""))</f>
        <v/>
      </c>
      <c r="I1079" s="39">
        <f>IF($C1079="","",IFERROR(INDEX(DESPACHOS!$H$3:$H$3002,MATCH($C1079,DESPACHOS!$B$3:$B$3002,0)),""))</f>
        <v/>
      </c>
      <c r="J1079" s="43">
        <f>IF($C1079="","",IFERROR(INDEX(DESPACHOS!$J$3:$J$3002,MATCH($C1079,DESPACHOS!$B$3:$B$3002,0)),""))</f>
        <v/>
      </c>
      <c r="K1079" s="39">
        <f>IF($C1079="","",IF(COUNTIFS(DESPACHOS!$B$3:$B$3002,$C1079)=0,"NO EXISTE",IF(COUNTIFS(DESPACHOS!$B$3:$B$3002,$C1079)&gt;1,"DUPLICADO","OK")))</f>
        <v/>
      </c>
      <c r="L1079" s="41" t="n"/>
      <c r="M1079" s="41" t="n"/>
      <c r="N1079" s="42">
        <f>IF($M1079="","",IFERROR(INDEX(LISTAS!$F$3:$F$42,MATCH($M1079,LISTAS!$E$3:$E$42,0)),"Por definir"))</f>
        <v/>
      </c>
      <c r="O1079" s="41" t="n"/>
      <c r="P1079" s="39">
        <f>IF($L1079="","",IFERROR(INDEX(LISTAS!$B$3:$B$42,MATCH($L1079,LISTAS!$A$3:$A$42,0)),"Media"))</f>
        <v/>
      </c>
      <c r="Q1079" s="44" t="n"/>
      <c r="R1079" s="45" t="n"/>
      <c r="S1079" s="20">
        <f>IFERROR(IF(OR($R1079="",$C1079=""),"",$R1079/INDEX(DESPACHOS!$M$3:$M$3002,MATCH($C1079,DESPACHOS!$B$3:$B$3002,0))),"")</f>
        <v/>
      </c>
      <c r="T1079" s="41" t="n"/>
      <c r="U1079" s="43">
        <f>IF(OR($B1079="",$L1079=""),"",WORKDAY($B1079,IFERROR(INDEX(LISTAS!$C$3:$C$42,MATCH($L1079,LISTAS!$A$3:$A$42,0)),3)))</f>
        <v/>
      </c>
      <c r="V1079" s="40" t="n"/>
      <c r="W1079" s="19">
        <f>IF($B1079="","",IF($V1079&lt;&gt;"",$V1079-$B1079,TODAY()-$B1079))</f>
        <v/>
      </c>
      <c r="X1079" s="19">
        <f>IF(OR($B1079="",$U1079=""),"",IF($V1079&lt;&gt;"",MAX(0,$V1079-$U1079),MAX(0,TODAY()-$U1079)))</f>
        <v/>
      </c>
      <c r="Y1079" s="39">
        <f>IF($C1079="","",IF(IFERROR(INDEX(LISTAS!$I$3:$I$42,MATCH($T1079,LISTAS!$H$3:$H$42,0)),"NO")="SÍ",IF(N($X1079)&gt;0,"CERRADA FUERA DE SLA","CERRADA EN SLA"),IF($U1079="","SIN CLASIFICAR",IF(N($X1079)&gt;0,"VENCIDA",IF(TODAY()&gt;=$U1079-1,"POR VENCER","EN PLAZO")))))</f>
        <v/>
      </c>
      <c r="Z1079" s="41" t="n"/>
      <c r="AA1079" s="41" t="n"/>
      <c r="AB1079" s="41" t="n"/>
    </row>
    <row r="1080">
      <c r="A1080" s="39">
        <f>IF($C1080="","","NOV-"&amp;TEXT(ROW()-3,"0000"))</f>
        <v/>
      </c>
      <c r="B1080" s="40" t="n"/>
      <c r="C1080" s="41" t="n"/>
      <c r="D1080" s="42">
        <f>IF($C1080="","",IFERROR(INDEX(DESPACHOS!$D$3:$D$3002,MATCH($C1080,DESPACHOS!$B$3:$B$3002,0)),"SIN DESPACHO"))</f>
        <v/>
      </c>
      <c r="E1080" s="42">
        <f>IF($C1080="","",IFERROR(INDEX(DESPACHOS!$K$3:$K$3002,MATCH($C1080,DESPACHOS!$B$3:$B$3002,0)),""))</f>
        <v/>
      </c>
      <c r="F1080" s="42">
        <f>IF($C1080="","",IFERROR(INDEX(DESPACHOS!$I$3:$I$3002,MATCH($C1080,DESPACHOS!$B$3:$B$3002,0)),""))</f>
        <v/>
      </c>
      <c r="G1080" s="42">
        <f>IF($C1080="","",IFERROR(INDEX(DESPACHOS!$F$3:$F$3002,MATCH($C1080,DESPACHOS!$B$3:$B$3002,0)),""))</f>
        <v/>
      </c>
      <c r="H1080" s="42">
        <f>IF($C1080="","",IFERROR(INDEX(DESPACHOS!$G$3:$G$3002,MATCH($C1080,DESPACHOS!$B$3:$B$3002,0)),""))</f>
        <v/>
      </c>
      <c r="I1080" s="39">
        <f>IF($C1080="","",IFERROR(INDEX(DESPACHOS!$H$3:$H$3002,MATCH($C1080,DESPACHOS!$B$3:$B$3002,0)),""))</f>
        <v/>
      </c>
      <c r="J1080" s="43">
        <f>IF($C1080="","",IFERROR(INDEX(DESPACHOS!$J$3:$J$3002,MATCH($C1080,DESPACHOS!$B$3:$B$3002,0)),""))</f>
        <v/>
      </c>
      <c r="K1080" s="39">
        <f>IF($C1080="","",IF(COUNTIFS(DESPACHOS!$B$3:$B$3002,$C1080)=0,"NO EXISTE",IF(COUNTIFS(DESPACHOS!$B$3:$B$3002,$C1080)&gt;1,"DUPLICADO","OK")))</f>
        <v/>
      </c>
      <c r="L1080" s="41" t="n"/>
      <c r="M1080" s="41" t="n"/>
      <c r="N1080" s="42">
        <f>IF($M1080="","",IFERROR(INDEX(LISTAS!$F$3:$F$42,MATCH($M1080,LISTAS!$E$3:$E$42,0)),"Por definir"))</f>
        <v/>
      </c>
      <c r="O1080" s="41" t="n"/>
      <c r="P1080" s="39">
        <f>IF($L1080="","",IFERROR(INDEX(LISTAS!$B$3:$B$42,MATCH($L1080,LISTAS!$A$3:$A$42,0)),"Media"))</f>
        <v/>
      </c>
      <c r="Q1080" s="44" t="n"/>
      <c r="R1080" s="45" t="n"/>
      <c r="S1080" s="20">
        <f>IFERROR(IF(OR($R1080="",$C1080=""),"",$R1080/INDEX(DESPACHOS!$M$3:$M$3002,MATCH($C1080,DESPACHOS!$B$3:$B$3002,0))),"")</f>
        <v/>
      </c>
      <c r="T1080" s="41" t="n"/>
      <c r="U1080" s="43">
        <f>IF(OR($B1080="",$L1080=""),"",WORKDAY($B1080,IFERROR(INDEX(LISTAS!$C$3:$C$42,MATCH($L1080,LISTAS!$A$3:$A$42,0)),3)))</f>
        <v/>
      </c>
      <c r="V1080" s="40" t="n"/>
      <c r="W1080" s="19">
        <f>IF($B1080="","",IF($V1080&lt;&gt;"",$V1080-$B1080,TODAY()-$B1080))</f>
        <v/>
      </c>
      <c r="X1080" s="19">
        <f>IF(OR($B1080="",$U1080=""),"",IF($V1080&lt;&gt;"",MAX(0,$V1080-$U1080),MAX(0,TODAY()-$U1080)))</f>
        <v/>
      </c>
      <c r="Y1080" s="39">
        <f>IF($C1080="","",IF(IFERROR(INDEX(LISTAS!$I$3:$I$42,MATCH($T1080,LISTAS!$H$3:$H$42,0)),"NO")="SÍ",IF(N($X1080)&gt;0,"CERRADA FUERA DE SLA","CERRADA EN SLA"),IF($U1080="","SIN CLASIFICAR",IF(N($X1080)&gt;0,"VENCIDA",IF(TODAY()&gt;=$U1080-1,"POR VENCER","EN PLAZO")))))</f>
        <v/>
      </c>
      <c r="Z1080" s="41" t="n"/>
      <c r="AA1080" s="41" t="n"/>
      <c r="AB1080" s="41" t="n"/>
    </row>
    <row r="1081">
      <c r="A1081" s="39">
        <f>IF($C1081="","","NOV-"&amp;TEXT(ROW()-3,"0000"))</f>
        <v/>
      </c>
      <c r="B1081" s="40" t="n"/>
      <c r="C1081" s="41" t="n"/>
      <c r="D1081" s="42">
        <f>IF($C1081="","",IFERROR(INDEX(DESPACHOS!$D$3:$D$3002,MATCH($C1081,DESPACHOS!$B$3:$B$3002,0)),"SIN DESPACHO"))</f>
        <v/>
      </c>
      <c r="E1081" s="42">
        <f>IF($C1081="","",IFERROR(INDEX(DESPACHOS!$K$3:$K$3002,MATCH($C1081,DESPACHOS!$B$3:$B$3002,0)),""))</f>
        <v/>
      </c>
      <c r="F1081" s="42">
        <f>IF($C1081="","",IFERROR(INDEX(DESPACHOS!$I$3:$I$3002,MATCH($C1081,DESPACHOS!$B$3:$B$3002,0)),""))</f>
        <v/>
      </c>
      <c r="G1081" s="42">
        <f>IF($C1081="","",IFERROR(INDEX(DESPACHOS!$F$3:$F$3002,MATCH($C1081,DESPACHOS!$B$3:$B$3002,0)),""))</f>
        <v/>
      </c>
      <c r="H1081" s="42">
        <f>IF($C1081="","",IFERROR(INDEX(DESPACHOS!$G$3:$G$3002,MATCH($C1081,DESPACHOS!$B$3:$B$3002,0)),""))</f>
        <v/>
      </c>
      <c r="I1081" s="39">
        <f>IF($C1081="","",IFERROR(INDEX(DESPACHOS!$H$3:$H$3002,MATCH($C1081,DESPACHOS!$B$3:$B$3002,0)),""))</f>
        <v/>
      </c>
      <c r="J1081" s="43">
        <f>IF($C1081="","",IFERROR(INDEX(DESPACHOS!$J$3:$J$3002,MATCH($C1081,DESPACHOS!$B$3:$B$3002,0)),""))</f>
        <v/>
      </c>
      <c r="K1081" s="39">
        <f>IF($C1081="","",IF(COUNTIFS(DESPACHOS!$B$3:$B$3002,$C1081)=0,"NO EXISTE",IF(COUNTIFS(DESPACHOS!$B$3:$B$3002,$C1081)&gt;1,"DUPLICADO","OK")))</f>
        <v/>
      </c>
      <c r="L1081" s="41" t="n"/>
      <c r="M1081" s="41" t="n"/>
      <c r="N1081" s="42">
        <f>IF($M1081="","",IFERROR(INDEX(LISTAS!$F$3:$F$42,MATCH($M1081,LISTAS!$E$3:$E$42,0)),"Por definir"))</f>
        <v/>
      </c>
      <c r="O1081" s="41" t="n"/>
      <c r="P1081" s="39">
        <f>IF($L1081="","",IFERROR(INDEX(LISTAS!$B$3:$B$42,MATCH($L1081,LISTAS!$A$3:$A$42,0)),"Media"))</f>
        <v/>
      </c>
      <c r="Q1081" s="44" t="n"/>
      <c r="R1081" s="45" t="n"/>
      <c r="S1081" s="20">
        <f>IFERROR(IF(OR($R1081="",$C1081=""),"",$R1081/INDEX(DESPACHOS!$M$3:$M$3002,MATCH($C1081,DESPACHOS!$B$3:$B$3002,0))),"")</f>
        <v/>
      </c>
      <c r="T1081" s="41" t="n"/>
      <c r="U1081" s="43">
        <f>IF(OR($B1081="",$L1081=""),"",WORKDAY($B1081,IFERROR(INDEX(LISTAS!$C$3:$C$42,MATCH($L1081,LISTAS!$A$3:$A$42,0)),3)))</f>
        <v/>
      </c>
      <c r="V1081" s="40" t="n"/>
      <c r="W1081" s="19">
        <f>IF($B1081="","",IF($V1081&lt;&gt;"",$V1081-$B1081,TODAY()-$B1081))</f>
        <v/>
      </c>
      <c r="X1081" s="19">
        <f>IF(OR($B1081="",$U1081=""),"",IF($V1081&lt;&gt;"",MAX(0,$V1081-$U1081),MAX(0,TODAY()-$U1081)))</f>
        <v/>
      </c>
      <c r="Y1081" s="39">
        <f>IF($C1081="","",IF(IFERROR(INDEX(LISTAS!$I$3:$I$42,MATCH($T1081,LISTAS!$H$3:$H$42,0)),"NO")="SÍ",IF(N($X1081)&gt;0,"CERRADA FUERA DE SLA","CERRADA EN SLA"),IF($U1081="","SIN CLASIFICAR",IF(N($X1081)&gt;0,"VENCIDA",IF(TODAY()&gt;=$U1081-1,"POR VENCER","EN PLAZO")))))</f>
        <v/>
      </c>
      <c r="Z1081" s="41" t="n"/>
      <c r="AA1081" s="41" t="n"/>
      <c r="AB1081" s="41" t="n"/>
    </row>
    <row r="1082">
      <c r="A1082" s="39">
        <f>IF($C1082="","","NOV-"&amp;TEXT(ROW()-3,"0000"))</f>
        <v/>
      </c>
      <c r="B1082" s="40" t="n"/>
      <c r="C1082" s="41" t="n"/>
      <c r="D1082" s="42">
        <f>IF($C1082="","",IFERROR(INDEX(DESPACHOS!$D$3:$D$3002,MATCH($C1082,DESPACHOS!$B$3:$B$3002,0)),"SIN DESPACHO"))</f>
        <v/>
      </c>
      <c r="E1082" s="42">
        <f>IF($C1082="","",IFERROR(INDEX(DESPACHOS!$K$3:$K$3002,MATCH($C1082,DESPACHOS!$B$3:$B$3002,0)),""))</f>
        <v/>
      </c>
      <c r="F1082" s="42">
        <f>IF($C1082="","",IFERROR(INDEX(DESPACHOS!$I$3:$I$3002,MATCH($C1082,DESPACHOS!$B$3:$B$3002,0)),""))</f>
        <v/>
      </c>
      <c r="G1082" s="42">
        <f>IF($C1082="","",IFERROR(INDEX(DESPACHOS!$F$3:$F$3002,MATCH($C1082,DESPACHOS!$B$3:$B$3002,0)),""))</f>
        <v/>
      </c>
      <c r="H1082" s="42">
        <f>IF($C1082="","",IFERROR(INDEX(DESPACHOS!$G$3:$G$3002,MATCH($C1082,DESPACHOS!$B$3:$B$3002,0)),""))</f>
        <v/>
      </c>
      <c r="I1082" s="39">
        <f>IF($C1082="","",IFERROR(INDEX(DESPACHOS!$H$3:$H$3002,MATCH($C1082,DESPACHOS!$B$3:$B$3002,0)),""))</f>
        <v/>
      </c>
      <c r="J1082" s="43">
        <f>IF($C1082="","",IFERROR(INDEX(DESPACHOS!$J$3:$J$3002,MATCH($C1082,DESPACHOS!$B$3:$B$3002,0)),""))</f>
        <v/>
      </c>
      <c r="K1082" s="39">
        <f>IF($C1082="","",IF(COUNTIFS(DESPACHOS!$B$3:$B$3002,$C1082)=0,"NO EXISTE",IF(COUNTIFS(DESPACHOS!$B$3:$B$3002,$C1082)&gt;1,"DUPLICADO","OK")))</f>
        <v/>
      </c>
      <c r="L1082" s="41" t="n"/>
      <c r="M1082" s="41" t="n"/>
      <c r="N1082" s="42">
        <f>IF($M1082="","",IFERROR(INDEX(LISTAS!$F$3:$F$42,MATCH($M1082,LISTAS!$E$3:$E$42,0)),"Por definir"))</f>
        <v/>
      </c>
      <c r="O1082" s="41" t="n"/>
      <c r="P1082" s="39">
        <f>IF($L1082="","",IFERROR(INDEX(LISTAS!$B$3:$B$42,MATCH($L1082,LISTAS!$A$3:$A$42,0)),"Media"))</f>
        <v/>
      </c>
      <c r="Q1082" s="44" t="n"/>
      <c r="R1082" s="45" t="n"/>
      <c r="S1082" s="20">
        <f>IFERROR(IF(OR($R1082="",$C1082=""),"",$R1082/INDEX(DESPACHOS!$M$3:$M$3002,MATCH($C1082,DESPACHOS!$B$3:$B$3002,0))),"")</f>
        <v/>
      </c>
      <c r="T1082" s="41" t="n"/>
      <c r="U1082" s="43">
        <f>IF(OR($B1082="",$L1082=""),"",WORKDAY($B1082,IFERROR(INDEX(LISTAS!$C$3:$C$42,MATCH($L1082,LISTAS!$A$3:$A$42,0)),3)))</f>
        <v/>
      </c>
      <c r="V1082" s="40" t="n"/>
      <c r="W1082" s="19">
        <f>IF($B1082="","",IF($V1082&lt;&gt;"",$V1082-$B1082,TODAY()-$B1082))</f>
        <v/>
      </c>
      <c r="X1082" s="19">
        <f>IF(OR($B1082="",$U1082=""),"",IF($V1082&lt;&gt;"",MAX(0,$V1082-$U1082),MAX(0,TODAY()-$U1082)))</f>
        <v/>
      </c>
      <c r="Y1082" s="39">
        <f>IF($C1082="","",IF(IFERROR(INDEX(LISTAS!$I$3:$I$42,MATCH($T1082,LISTAS!$H$3:$H$42,0)),"NO")="SÍ",IF(N($X1082)&gt;0,"CERRADA FUERA DE SLA","CERRADA EN SLA"),IF($U1082="","SIN CLASIFICAR",IF(N($X1082)&gt;0,"VENCIDA",IF(TODAY()&gt;=$U1082-1,"POR VENCER","EN PLAZO")))))</f>
        <v/>
      </c>
      <c r="Z1082" s="41" t="n"/>
      <c r="AA1082" s="41" t="n"/>
      <c r="AB1082" s="41" t="n"/>
    </row>
    <row r="1083">
      <c r="A1083" s="39">
        <f>IF($C1083="","","NOV-"&amp;TEXT(ROW()-3,"0000"))</f>
        <v/>
      </c>
      <c r="B1083" s="40" t="n"/>
      <c r="C1083" s="41" t="n"/>
      <c r="D1083" s="42">
        <f>IF($C1083="","",IFERROR(INDEX(DESPACHOS!$D$3:$D$3002,MATCH($C1083,DESPACHOS!$B$3:$B$3002,0)),"SIN DESPACHO"))</f>
        <v/>
      </c>
      <c r="E1083" s="42">
        <f>IF($C1083="","",IFERROR(INDEX(DESPACHOS!$K$3:$K$3002,MATCH($C1083,DESPACHOS!$B$3:$B$3002,0)),""))</f>
        <v/>
      </c>
      <c r="F1083" s="42">
        <f>IF($C1083="","",IFERROR(INDEX(DESPACHOS!$I$3:$I$3002,MATCH($C1083,DESPACHOS!$B$3:$B$3002,0)),""))</f>
        <v/>
      </c>
      <c r="G1083" s="42">
        <f>IF($C1083="","",IFERROR(INDEX(DESPACHOS!$F$3:$F$3002,MATCH($C1083,DESPACHOS!$B$3:$B$3002,0)),""))</f>
        <v/>
      </c>
      <c r="H1083" s="42">
        <f>IF($C1083="","",IFERROR(INDEX(DESPACHOS!$G$3:$G$3002,MATCH($C1083,DESPACHOS!$B$3:$B$3002,0)),""))</f>
        <v/>
      </c>
      <c r="I1083" s="39">
        <f>IF($C1083="","",IFERROR(INDEX(DESPACHOS!$H$3:$H$3002,MATCH($C1083,DESPACHOS!$B$3:$B$3002,0)),""))</f>
        <v/>
      </c>
      <c r="J1083" s="43">
        <f>IF($C1083="","",IFERROR(INDEX(DESPACHOS!$J$3:$J$3002,MATCH($C1083,DESPACHOS!$B$3:$B$3002,0)),""))</f>
        <v/>
      </c>
      <c r="K1083" s="39">
        <f>IF($C1083="","",IF(COUNTIFS(DESPACHOS!$B$3:$B$3002,$C1083)=0,"NO EXISTE",IF(COUNTIFS(DESPACHOS!$B$3:$B$3002,$C1083)&gt;1,"DUPLICADO","OK")))</f>
        <v/>
      </c>
      <c r="L1083" s="41" t="n"/>
      <c r="M1083" s="41" t="n"/>
      <c r="N1083" s="42">
        <f>IF($M1083="","",IFERROR(INDEX(LISTAS!$F$3:$F$42,MATCH($M1083,LISTAS!$E$3:$E$42,0)),"Por definir"))</f>
        <v/>
      </c>
      <c r="O1083" s="41" t="n"/>
      <c r="P1083" s="39">
        <f>IF($L1083="","",IFERROR(INDEX(LISTAS!$B$3:$B$42,MATCH($L1083,LISTAS!$A$3:$A$42,0)),"Media"))</f>
        <v/>
      </c>
      <c r="Q1083" s="44" t="n"/>
      <c r="R1083" s="45" t="n"/>
      <c r="S1083" s="20">
        <f>IFERROR(IF(OR($R1083="",$C1083=""),"",$R1083/INDEX(DESPACHOS!$M$3:$M$3002,MATCH($C1083,DESPACHOS!$B$3:$B$3002,0))),"")</f>
        <v/>
      </c>
      <c r="T1083" s="41" t="n"/>
      <c r="U1083" s="43">
        <f>IF(OR($B1083="",$L1083=""),"",WORKDAY($B1083,IFERROR(INDEX(LISTAS!$C$3:$C$42,MATCH($L1083,LISTAS!$A$3:$A$42,0)),3)))</f>
        <v/>
      </c>
      <c r="V1083" s="40" t="n"/>
      <c r="W1083" s="19">
        <f>IF($B1083="","",IF($V1083&lt;&gt;"",$V1083-$B1083,TODAY()-$B1083))</f>
        <v/>
      </c>
      <c r="X1083" s="19">
        <f>IF(OR($B1083="",$U1083=""),"",IF($V1083&lt;&gt;"",MAX(0,$V1083-$U1083),MAX(0,TODAY()-$U1083)))</f>
        <v/>
      </c>
      <c r="Y1083" s="39">
        <f>IF($C1083="","",IF(IFERROR(INDEX(LISTAS!$I$3:$I$42,MATCH($T1083,LISTAS!$H$3:$H$42,0)),"NO")="SÍ",IF(N($X1083)&gt;0,"CERRADA FUERA DE SLA","CERRADA EN SLA"),IF($U1083="","SIN CLASIFICAR",IF(N($X1083)&gt;0,"VENCIDA",IF(TODAY()&gt;=$U1083-1,"POR VENCER","EN PLAZO")))))</f>
        <v/>
      </c>
      <c r="Z1083" s="41" t="n"/>
      <c r="AA1083" s="41" t="n"/>
      <c r="AB1083" s="41" t="n"/>
    </row>
    <row r="1084">
      <c r="A1084" s="39">
        <f>IF($C1084="","","NOV-"&amp;TEXT(ROW()-3,"0000"))</f>
        <v/>
      </c>
      <c r="B1084" s="40" t="n"/>
      <c r="C1084" s="41" t="n"/>
      <c r="D1084" s="42">
        <f>IF($C1084="","",IFERROR(INDEX(DESPACHOS!$D$3:$D$3002,MATCH($C1084,DESPACHOS!$B$3:$B$3002,0)),"SIN DESPACHO"))</f>
        <v/>
      </c>
      <c r="E1084" s="42">
        <f>IF($C1084="","",IFERROR(INDEX(DESPACHOS!$K$3:$K$3002,MATCH($C1084,DESPACHOS!$B$3:$B$3002,0)),""))</f>
        <v/>
      </c>
      <c r="F1084" s="42">
        <f>IF($C1084="","",IFERROR(INDEX(DESPACHOS!$I$3:$I$3002,MATCH($C1084,DESPACHOS!$B$3:$B$3002,0)),""))</f>
        <v/>
      </c>
      <c r="G1084" s="42">
        <f>IF($C1084="","",IFERROR(INDEX(DESPACHOS!$F$3:$F$3002,MATCH($C1084,DESPACHOS!$B$3:$B$3002,0)),""))</f>
        <v/>
      </c>
      <c r="H1084" s="42">
        <f>IF($C1084="","",IFERROR(INDEX(DESPACHOS!$G$3:$G$3002,MATCH($C1084,DESPACHOS!$B$3:$B$3002,0)),""))</f>
        <v/>
      </c>
      <c r="I1084" s="39">
        <f>IF($C1084="","",IFERROR(INDEX(DESPACHOS!$H$3:$H$3002,MATCH($C1084,DESPACHOS!$B$3:$B$3002,0)),""))</f>
        <v/>
      </c>
      <c r="J1084" s="43">
        <f>IF($C1084="","",IFERROR(INDEX(DESPACHOS!$J$3:$J$3002,MATCH($C1084,DESPACHOS!$B$3:$B$3002,0)),""))</f>
        <v/>
      </c>
      <c r="K1084" s="39">
        <f>IF($C1084="","",IF(COUNTIFS(DESPACHOS!$B$3:$B$3002,$C1084)=0,"NO EXISTE",IF(COUNTIFS(DESPACHOS!$B$3:$B$3002,$C1084)&gt;1,"DUPLICADO","OK")))</f>
        <v/>
      </c>
      <c r="L1084" s="41" t="n"/>
      <c r="M1084" s="41" t="n"/>
      <c r="N1084" s="42">
        <f>IF($M1084="","",IFERROR(INDEX(LISTAS!$F$3:$F$42,MATCH($M1084,LISTAS!$E$3:$E$42,0)),"Por definir"))</f>
        <v/>
      </c>
      <c r="O1084" s="41" t="n"/>
      <c r="P1084" s="39">
        <f>IF($L1084="","",IFERROR(INDEX(LISTAS!$B$3:$B$42,MATCH($L1084,LISTAS!$A$3:$A$42,0)),"Media"))</f>
        <v/>
      </c>
      <c r="Q1084" s="44" t="n"/>
      <c r="R1084" s="45" t="n"/>
      <c r="S1084" s="20">
        <f>IFERROR(IF(OR($R1084="",$C1084=""),"",$R1084/INDEX(DESPACHOS!$M$3:$M$3002,MATCH($C1084,DESPACHOS!$B$3:$B$3002,0))),"")</f>
        <v/>
      </c>
      <c r="T1084" s="41" t="n"/>
      <c r="U1084" s="43">
        <f>IF(OR($B1084="",$L1084=""),"",WORKDAY($B1084,IFERROR(INDEX(LISTAS!$C$3:$C$42,MATCH($L1084,LISTAS!$A$3:$A$42,0)),3)))</f>
        <v/>
      </c>
      <c r="V1084" s="40" t="n"/>
      <c r="W1084" s="19">
        <f>IF($B1084="","",IF($V1084&lt;&gt;"",$V1084-$B1084,TODAY()-$B1084))</f>
        <v/>
      </c>
      <c r="X1084" s="19">
        <f>IF(OR($B1084="",$U1084=""),"",IF($V1084&lt;&gt;"",MAX(0,$V1084-$U1084),MAX(0,TODAY()-$U1084)))</f>
        <v/>
      </c>
      <c r="Y1084" s="39">
        <f>IF($C1084="","",IF(IFERROR(INDEX(LISTAS!$I$3:$I$42,MATCH($T1084,LISTAS!$H$3:$H$42,0)),"NO")="SÍ",IF(N($X1084)&gt;0,"CERRADA FUERA DE SLA","CERRADA EN SLA"),IF($U1084="","SIN CLASIFICAR",IF(N($X1084)&gt;0,"VENCIDA",IF(TODAY()&gt;=$U1084-1,"POR VENCER","EN PLAZO")))))</f>
        <v/>
      </c>
      <c r="Z1084" s="41" t="n"/>
      <c r="AA1084" s="41" t="n"/>
      <c r="AB1084" s="41" t="n"/>
    </row>
    <row r="1085">
      <c r="A1085" s="39">
        <f>IF($C1085="","","NOV-"&amp;TEXT(ROW()-3,"0000"))</f>
        <v/>
      </c>
      <c r="B1085" s="40" t="n"/>
      <c r="C1085" s="41" t="n"/>
      <c r="D1085" s="42">
        <f>IF($C1085="","",IFERROR(INDEX(DESPACHOS!$D$3:$D$3002,MATCH($C1085,DESPACHOS!$B$3:$B$3002,0)),"SIN DESPACHO"))</f>
        <v/>
      </c>
      <c r="E1085" s="42">
        <f>IF($C1085="","",IFERROR(INDEX(DESPACHOS!$K$3:$K$3002,MATCH($C1085,DESPACHOS!$B$3:$B$3002,0)),""))</f>
        <v/>
      </c>
      <c r="F1085" s="42">
        <f>IF($C1085="","",IFERROR(INDEX(DESPACHOS!$I$3:$I$3002,MATCH($C1085,DESPACHOS!$B$3:$B$3002,0)),""))</f>
        <v/>
      </c>
      <c r="G1085" s="42">
        <f>IF($C1085="","",IFERROR(INDEX(DESPACHOS!$F$3:$F$3002,MATCH($C1085,DESPACHOS!$B$3:$B$3002,0)),""))</f>
        <v/>
      </c>
      <c r="H1085" s="42">
        <f>IF($C1085="","",IFERROR(INDEX(DESPACHOS!$G$3:$G$3002,MATCH($C1085,DESPACHOS!$B$3:$B$3002,0)),""))</f>
        <v/>
      </c>
      <c r="I1085" s="39">
        <f>IF($C1085="","",IFERROR(INDEX(DESPACHOS!$H$3:$H$3002,MATCH($C1085,DESPACHOS!$B$3:$B$3002,0)),""))</f>
        <v/>
      </c>
      <c r="J1085" s="43">
        <f>IF($C1085="","",IFERROR(INDEX(DESPACHOS!$J$3:$J$3002,MATCH($C1085,DESPACHOS!$B$3:$B$3002,0)),""))</f>
        <v/>
      </c>
      <c r="K1085" s="39">
        <f>IF($C1085="","",IF(COUNTIFS(DESPACHOS!$B$3:$B$3002,$C1085)=0,"NO EXISTE",IF(COUNTIFS(DESPACHOS!$B$3:$B$3002,$C1085)&gt;1,"DUPLICADO","OK")))</f>
        <v/>
      </c>
      <c r="L1085" s="41" t="n"/>
      <c r="M1085" s="41" t="n"/>
      <c r="N1085" s="42">
        <f>IF($M1085="","",IFERROR(INDEX(LISTAS!$F$3:$F$42,MATCH($M1085,LISTAS!$E$3:$E$42,0)),"Por definir"))</f>
        <v/>
      </c>
      <c r="O1085" s="41" t="n"/>
      <c r="P1085" s="39">
        <f>IF($L1085="","",IFERROR(INDEX(LISTAS!$B$3:$B$42,MATCH($L1085,LISTAS!$A$3:$A$42,0)),"Media"))</f>
        <v/>
      </c>
      <c r="Q1085" s="44" t="n"/>
      <c r="R1085" s="45" t="n"/>
      <c r="S1085" s="20">
        <f>IFERROR(IF(OR($R1085="",$C1085=""),"",$R1085/INDEX(DESPACHOS!$M$3:$M$3002,MATCH($C1085,DESPACHOS!$B$3:$B$3002,0))),"")</f>
        <v/>
      </c>
      <c r="T1085" s="41" t="n"/>
      <c r="U1085" s="43">
        <f>IF(OR($B1085="",$L1085=""),"",WORKDAY($B1085,IFERROR(INDEX(LISTAS!$C$3:$C$42,MATCH($L1085,LISTAS!$A$3:$A$42,0)),3)))</f>
        <v/>
      </c>
      <c r="V1085" s="40" t="n"/>
      <c r="W1085" s="19">
        <f>IF($B1085="","",IF($V1085&lt;&gt;"",$V1085-$B1085,TODAY()-$B1085))</f>
        <v/>
      </c>
      <c r="X1085" s="19">
        <f>IF(OR($B1085="",$U1085=""),"",IF($V1085&lt;&gt;"",MAX(0,$V1085-$U1085),MAX(0,TODAY()-$U1085)))</f>
        <v/>
      </c>
      <c r="Y1085" s="39">
        <f>IF($C1085="","",IF(IFERROR(INDEX(LISTAS!$I$3:$I$42,MATCH($T1085,LISTAS!$H$3:$H$42,0)),"NO")="SÍ",IF(N($X1085)&gt;0,"CERRADA FUERA DE SLA","CERRADA EN SLA"),IF($U1085="","SIN CLASIFICAR",IF(N($X1085)&gt;0,"VENCIDA",IF(TODAY()&gt;=$U1085-1,"POR VENCER","EN PLAZO")))))</f>
        <v/>
      </c>
      <c r="Z1085" s="41" t="n"/>
      <c r="AA1085" s="41" t="n"/>
      <c r="AB1085" s="41" t="n"/>
    </row>
    <row r="1086">
      <c r="A1086" s="39">
        <f>IF($C1086="","","NOV-"&amp;TEXT(ROW()-3,"0000"))</f>
        <v/>
      </c>
      <c r="B1086" s="40" t="n"/>
      <c r="C1086" s="41" t="n"/>
      <c r="D1086" s="42">
        <f>IF($C1086="","",IFERROR(INDEX(DESPACHOS!$D$3:$D$3002,MATCH($C1086,DESPACHOS!$B$3:$B$3002,0)),"SIN DESPACHO"))</f>
        <v/>
      </c>
      <c r="E1086" s="42">
        <f>IF($C1086="","",IFERROR(INDEX(DESPACHOS!$K$3:$K$3002,MATCH($C1086,DESPACHOS!$B$3:$B$3002,0)),""))</f>
        <v/>
      </c>
      <c r="F1086" s="42">
        <f>IF($C1086="","",IFERROR(INDEX(DESPACHOS!$I$3:$I$3002,MATCH($C1086,DESPACHOS!$B$3:$B$3002,0)),""))</f>
        <v/>
      </c>
      <c r="G1086" s="42">
        <f>IF($C1086="","",IFERROR(INDEX(DESPACHOS!$F$3:$F$3002,MATCH($C1086,DESPACHOS!$B$3:$B$3002,0)),""))</f>
        <v/>
      </c>
      <c r="H1086" s="42">
        <f>IF($C1086="","",IFERROR(INDEX(DESPACHOS!$G$3:$G$3002,MATCH($C1086,DESPACHOS!$B$3:$B$3002,0)),""))</f>
        <v/>
      </c>
      <c r="I1086" s="39">
        <f>IF($C1086="","",IFERROR(INDEX(DESPACHOS!$H$3:$H$3002,MATCH($C1086,DESPACHOS!$B$3:$B$3002,0)),""))</f>
        <v/>
      </c>
      <c r="J1086" s="43">
        <f>IF($C1086="","",IFERROR(INDEX(DESPACHOS!$J$3:$J$3002,MATCH($C1086,DESPACHOS!$B$3:$B$3002,0)),""))</f>
        <v/>
      </c>
      <c r="K1086" s="39">
        <f>IF($C1086="","",IF(COUNTIFS(DESPACHOS!$B$3:$B$3002,$C1086)=0,"NO EXISTE",IF(COUNTIFS(DESPACHOS!$B$3:$B$3002,$C1086)&gt;1,"DUPLICADO","OK")))</f>
        <v/>
      </c>
      <c r="L1086" s="41" t="n"/>
      <c r="M1086" s="41" t="n"/>
      <c r="N1086" s="42">
        <f>IF($M1086="","",IFERROR(INDEX(LISTAS!$F$3:$F$42,MATCH($M1086,LISTAS!$E$3:$E$42,0)),"Por definir"))</f>
        <v/>
      </c>
      <c r="O1086" s="41" t="n"/>
      <c r="P1086" s="39">
        <f>IF($L1086="","",IFERROR(INDEX(LISTAS!$B$3:$B$42,MATCH($L1086,LISTAS!$A$3:$A$42,0)),"Media"))</f>
        <v/>
      </c>
      <c r="Q1086" s="44" t="n"/>
      <c r="R1086" s="45" t="n"/>
      <c r="S1086" s="20">
        <f>IFERROR(IF(OR($R1086="",$C1086=""),"",$R1086/INDEX(DESPACHOS!$M$3:$M$3002,MATCH($C1086,DESPACHOS!$B$3:$B$3002,0))),"")</f>
        <v/>
      </c>
      <c r="T1086" s="41" t="n"/>
      <c r="U1086" s="43">
        <f>IF(OR($B1086="",$L1086=""),"",WORKDAY($B1086,IFERROR(INDEX(LISTAS!$C$3:$C$42,MATCH($L1086,LISTAS!$A$3:$A$42,0)),3)))</f>
        <v/>
      </c>
      <c r="V1086" s="40" t="n"/>
      <c r="W1086" s="19">
        <f>IF($B1086="","",IF($V1086&lt;&gt;"",$V1086-$B1086,TODAY()-$B1086))</f>
        <v/>
      </c>
      <c r="X1086" s="19">
        <f>IF(OR($B1086="",$U1086=""),"",IF($V1086&lt;&gt;"",MAX(0,$V1086-$U1086),MAX(0,TODAY()-$U1086)))</f>
        <v/>
      </c>
      <c r="Y1086" s="39">
        <f>IF($C1086="","",IF(IFERROR(INDEX(LISTAS!$I$3:$I$42,MATCH($T1086,LISTAS!$H$3:$H$42,0)),"NO")="SÍ",IF(N($X1086)&gt;0,"CERRADA FUERA DE SLA","CERRADA EN SLA"),IF($U1086="","SIN CLASIFICAR",IF(N($X1086)&gt;0,"VENCIDA",IF(TODAY()&gt;=$U1086-1,"POR VENCER","EN PLAZO")))))</f>
        <v/>
      </c>
      <c r="Z1086" s="41" t="n"/>
      <c r="AA1086" s="41" t="n"/>
      <c r="AB1086" s="41" t="n"/>
    </row>
    <row r="1087">
      <c r="A1087" s="39">
        <f>IF($C1087="","","NOV-"&amp;TEXT(ROW()-3,"0000"))</f>
        <v/>
      </c>
      <c r="B1087" s="40" t="n"/>
      <c r="C1087" s="41" t="n"/>
      <c r="D1087" s="42">
        <f>IF($C1087="","",IFERROR(INDEX(DESPACHOS!$D$3:$D$3002,MATCH($C1087,DESPACHOS!$B$3:$B$3002,0)),"SIN DESPACHO"))</f>
        <v/>
      </c>
      <c r="E1087" s="42">
        <f>IF($C1087="","",IFERROR(INDEX(DESPACHOS!$K$3:$K$3002,MATCH($C1087,DESPACHOS!$B$3:$B$3002,0)),""))</f>
        <v/>
      </c>
      <c r="F1087" s="42">
        <f>IF($C1087="","",IFERROR(INDEX(DESPACHOS!$I$3:$I$3002,MATCH($C1087,DESPACHOS!$B$3:$B$3002,0)),""))</f>
        <v/>
      </c>
      <c r="G1087" s="42">
        <f>IF($C1087="","",IFERROR(INDEX(DESPACHOS!$F$3:$F$3002,MATCH($C1087,DESPACHOS!$B$3:$B$3002,0)),""))</f>
        <v/>
      </c>
      <c r="H1087" s="42">
        <f>IF($C1087="","",IFERROR(INDEX(DESPACHOS!$G$3:$G$3002,MATCH($C1087,DESPACHOS!$B$3:$B$3002,0)),""))</f>
        <v/>
      </c>
      <c r="I1087" s="39">
        <f>IF($C1087="","",IFERROR(INDEX(DESPACHOS!$H$3:$H$3002,MATCH($C1087,DESPACHOS!$B$3:$B$3002,0)),""))</f>
        <v/>
      </c>
      <c r="J1087" s="43">
        <f>IF($C1087="","",IFERROR(INDEX(DESPACHOS!$J$3:$J$3002,MATCH($C1087,DESPACHOS!$B$3:$B$3002,0)),""))</f>
        <v/>
      </c>
      <c r="K1087" s="39">
        <f>IF($C1087="","",IF(COUNTIFS(DESPACHOS!$B$3:$B$3002,$C1087)=0,"NO EXISTE",IF(COUNTIFS(DESPACHOS!$B$3:$B$3002,$C1087)&gt;1,"DUPLICADO","OK")))</f>
        <v/>
      </c>
      <c r="L1087" s="41" t="n"/>
      <c r="M1087" s="41" t="n"/>
      <c r="N1087" s="42">
        <f>IF($M1087="","",IFERROR(INDEX(LISTAS!$F$3:$F$42,MATCH($M1087,LISTAS!$E$3:$E$42,0)),"Por definir"))</f>
        <v/>
      </c>
      <c r="O1087" s="41" t="n"/>
      <c r="P1087" s="39">
        <f>IF($L1087="","",IFERROR(INDEX(LISTAS!$B$3:$B$42,MATCH($L1087,LISTAS!$A$3:$A$42,0)),"Media"))</f>
        <v/>
      </c>
      <c r="Q1087" s="44" t="n"/>
      <c r="R1087" s="45" t="n"/>
      <c r="S1087" s="20">
        <f>IFERROR(IF(OR($R1087="",$C1087=""),"",$R1087/INDEX(DESPACHOS!$M$3:$M$3002,MATCH($C1087,DESPACHOS!$B$3:$B$3002,0))),"")</f>
        <v/>
      </c>
      <c r="T1087" s="41" t="n"/>
      <c r="U1087" s="43">
        <f>IF(OR($B1087="",$L1087=""),"",WORKDAY($B1087,IFERROR(INDEX(LISTAS!$C$3:$C$42,MATCH($L1087,LISTAS!$A$3:$A$42,0)),3)))</f>
        <v/>
      </c>
      <c r="V1087" s="40" t="n"/>
      <c r="W1087" s="19">
        <f>IF($B1087="","",IF($V1087&lt;&gt;"",$V1087-$B1087,TODAY()-$B1087))</f>
        <v/>
      </c>
      <c r="X1087" s="19">
        <f>IF(OR($B1087="",$U1087=""),"",IF($V1087&lt;&gt;"",MAX(0,$V1087-$U1087),MAX(0,TODAY()-$U1087)))</f>
        <v/>
      </c>
      <c r="Y1087" s="39">
        <f>IF($C1087="","",IF(IFERROR(INDEX(LISTAS!$I$3:$I$42,MATCH($T1087,LISTAS!$H$3:$H$42,0)),"NO")="SÍ",IF(N($X1087)&gt;0,"CERRADA FUERA DE SLA","CERRADA EN SLA"),IF($U1087="","SIN CLASIFICAR",IF(N($X1087)&gt;0,"VENCIDA",IF(TODAY()&gt;=$U1087-1,"POR VENCER","EN PLAZO")))))</f>
        <v/>
      </c>
      <c r="Z1087" s="41" t="n"/>
      <c r="AA1087" s="41" t="n"/>
      <c r="AB1087" s="41" t="n"/>
    </row>
    <row r="1088">
      <c r="A1088" s="39">
        <f>IF($C1088="","","NOV-"&amp;TEXT(ROW()-3,"0000"))</f>
        <v/>
      </c>
      <c r="B1088" s="40" t="n"/>
      <c r="C1088" s="41" t="n"/>
      <c r="D1088" s="42">
        <f>IF($C1088="","",IFERROR(INDEX(DESPACHOS!$D$3:$D$3002,MATCH($C1088,DESPACHOS!$B$3:$B$3002,0)),"SIN DESPACHO"))</f>
        <v/>
      </c>
      <c r="E1088" s="42">
        <f>IF($C1088="","",IFERROR(INDEX(DESPACHOS!$K$3:$K$3002,MATCH($C1088,DESPACHOS!$B$3:$B$3002,0)),""))</f>
        <v/>
      </c>
      <c r="F1088" s="42">
        <f>IF($C1088="","",IFERROR(INDEX(DESPACHOS!$I$3:$I$3002,MATCH($C1088,DESPACHOS!$B$3:$B$3002,0)),""))</f>
        <v/>
      </c>
      <c r="G1088" s="42">
        <f>IF($C1088="","",IFERROR(INDEX(DESPACHOS!$F$3:$F$3002,MATCH($C1088,DESPACHOS!$B$3:$B$3002,0)),""))</f>
        <v/>
      </c>
      <c r="H1088" s="42">
        <f>IF($C1088="","",IFERROR(INDEX(DESPACHOS!$G$3:$G$3002,MATCH($C1088,DESPACHOS!$B$3:$B$3002,0)),""))</f>
        <v/>
      </c>
      <c r="I1088" s="39">
        <f>IF($C1088="","",IFERROR(INDEX(DESPACHOS!$H$3:$H$3002,MATCH($C1088,DESPACHOS!$B$3:$B$3002,0)),""))</f>
        <v/>
      </c>
      <c r="J1088" s="43">
        <f>IF($C1088="","",IFERROR(INDEX(DESPACHOS!$J$3:$J$3002,MATCH($C1088,DESPACHOS!$B$3:$B$3002,0)),""))</f>
        <v/>
      </c>
      <c r="K1088" s="39">
        <f>IF($C1088="","",IF(COUNTIFS(DESPACHOS!$B$3:$B$3002,$C1088)=0,"NO EXISTE",IF(COUNTIFS(DESPACHOS!$B$3:$B$3002,$C1088)&gt;1,"DUPLICADO","OK")))</f>
        <v/>
      </c>
      <c r="L1088" s="41" t="n"/>
      <c r="M1088" s="41" t="n"/>
      <c r="N1088" s="42">
        <f>IF($M1088="","",IFERROR(INDEX(LISTAS!$F$3:$F$42,MATCH($M1088,LISTAS!$E$3:$E$42,0)),"Por definir"))</f>
        <v/>
      </c>
      <c r="O1088" s="41" t="n"/>
      <c r="P1088" s="39">
        <f>IF($L1088="","",IFERROR(INDEX(LISTAS!$B$3:$B$42,MATCH($L1088,LISTAS!$A$3:$A$42,0)),"Media"))</f>
        <v/>
      </c>
      <c r="Q1088" s="44" t="n"/>
      <c r="R1088" s="45" t="n"/>
      <c r="S1088" s="20">
        <f>IFERROR(IF(OR($R1088="",$C1088=""),"",$R1088/INDEX(DESPACHOS!$M$3:$M$3002,MATCH($C1088,DESPACHOS!$B$3:$B$3002,0))),"")</f>
        <v/>
      </c>
      <c r="T1088" s="41" t="n"/>
      <c r="U1088" s="43">
        <f>IF(OR($B1088="",$L1088=""),"",WORKDAY($B1088,IFERROR(INDEX(LISTAS!$C$3:$C$42,MATCH($L1088,LISTAS!$A$3:$A$42,0)),3)))</f>
        <v/>
      </c>
      <c r="V1088" s="40" t="n"/>
      <c r="W1088" s="19">
        <f>IF($B1088="","",IF($V1088&lt;&gt;"",$V1088-$B1088,TODAY()-$B1088))</f>
        <v/>
      </c>
      <c r="X1088" s="19">
        <f>IF(OR($B1088="",$U1088=""),"",IF($V1088&lt;&gt;"",MAX(0,$V1088-$U1088),MAX(0,TODAY()-$U1088)))</f>
        <v/>
      </c>
      <c r="Y1088" s="39">
        <f>IF($C1088="","",IF(IFERROR(INDEX(LISTAS!$I$3:$I$42,MATCH($T1088,LISTAS!$H$3:$H$42,0)),"NO")="SÍ",IF(N($X1088)&gt;0,"CERRADA FUERA DE SLA","CERRADA EN SLA"),IF($U1088="","SIN CLASIFICAR",IF(N($X1088)&gt;0,"VENCIDA",IF(TODAY()&gt;=$U1088-1,"POR VENCER","EN PLAZO")))))</f>
        <v/>
      </c>
      <c r="Z1088" s="41" t="n"/>
      <c r="AA1088" s="41" t="n"/>
      <c r="AB1088" s="41" t="n"/>
    </row>
    <row r="1089">
      <c r="A1089" s="39">
        <f>IF($C1089="","","NOV-"&amp;TEXT(ROW()-3,"0000"))</f>
        <v/>
      </c>
      <c r="B1089" s="40" t="n"/>
      <c r="C1089" s="41" t="n"/>
      <c r="D1089" s="42">
        <f>IF($C1089="","",IFERROR(INDEX(DESPACHOS!$D$3:$D$3002,MATCH($C1089,DESPACHOS!$B$3:$B$3002,0)),"SIN DESPACHO"))</f>
        <v/>
      </c>
      <c r="E1089" s="42">
        <f>IF($C1089="","",IFERROR(INDEX(DESPACHOS!$K$3:$K$3002,MATCH($C1089,DESPACHOS!$B$3:$B$3002,0)),""))</f>
        <v/>
      </c>
      <c r="F1089" s="42">
        <f>IF($C1089="","",IFERROR(INDEX(DESPACHOS!$I$3:$I$3002,MATCH($C1089,DESPACHOS!$B$3:$B$3002,0)),""))</f>
        <v/>
      </c>
      <c r="G1089" s="42">
        <f>IF($C1089="","",IFERROR(INDEX(DESPACHOS!$F$3:$F$3002,MATCH($C1089,DESPACHOS!$B$3:$B$3002,0)),""))</f>
        <v/>
      </c>
      <c r="H1089" s="42">
        <f>IF($C1089="","",IFERROR(INDEX(DESPACHOS!$G$3:$G$3002,MATCH($C1089,DESPACHOS!$B$3:$B$3002,0)),""))</f>
        <v/>
      </c>
      <c r="I1089" s="39">
        <f>IF($C1089="","",IFERROR(INDEX(DESPACHOS!$H$3:$H$3002,MATCH($C1089,DESPACHOS!$B$3:$B$3002,0)),""))</f>
        <v/>
      </c>
      <c r="J1089" s="43">
        <f>IF($C1089="","",IFERROR(INDEX(DESPACHOS!$J$3:$J$3002,MATCH($C1089,DESPACHOS!$B$3:$B$3002,0)),""))</f>
        <v/>
      </c>
      <c r="K1089" s="39">
        <f>IF($C1089="","",IF(COUNTIFS(DESPACHOS!$B$3:$B$3002,$C1089)=0,"NO EXISTE",IF(COUNTIFS(DESPACHOS!$B$3:$B$3002,$C1089)&gt;1,"DUPLICADO","OK")))</f>
        <v/>
      </c>
      <c r="L1089" s="41" t="n"/>
      <c r="M1089" s="41" t="n"/>
      <c r="N1089" s="42">
        <f>IF($M1089="","",IFERROR(INDEX(LISTAS!$F$3:$F$42,MATCH($M1089,LISTAS!$E$3:$E$42,0)),"Por definir"))</f>
        <v/>
      </c>
      <c r="O1089" s="41" t="n"/>
      <c r="P1089" s="39">
        <f>IF($L1089="","",IFERROR(INDEX(LISTAS!$B$3:$B$42,MATCH($L1089,LISTAS!$A$3:$A$42,0)),"Media"))</f>
        <v/>
      </c>
      <c r="Q1089" s="44" t="n"/>
      <c r="R1089" s="45" t="n"/>
      <c r="S1089" s="20">
        <f>IFERROR(IF(OR($R1089="",$C1089=""),"",$R1089/INDEX(DESPACHOS!$M$3:$M$3002,MATCH($C1089,DESPACHOS!$B$3:$B$3002,0))),"")</f>
        <v/>
      </c>
      <c r="T1089" s="41" t="n"/>
      <c r="U1089" s="43">
        <f>IF(OR($B1089="",$L1089=""),"",WORKDAY($B1089,IFERROR(INDEX(LISTAS!$C$3:$C$42,MATCH($L1089,LISTAS!$A$3:$A$42,0)),3)))</f>
        <v/>
      </c>
      <c r="V1089" s="40" t="n"/>
      <c r="W1089" s="19">
        <f>IF($B1089="","",IF($V1089&lt;&gt;"",$V1089-$B1089,TODAY()-$B1089))</f>
        <v/>
      </c>
      <c r="X1089" s="19">
        <f>IF(OR($B1089="",$U1089=""),"",IF($V1089&lt;&gt;"",MAX(0,$V1089-$U1089),MAX(0,TODAY()-$U1089)))</f>
        <v/>
      </c>
      <c r="Y1089" s="39">
        <f>IF($C1089="","",IF(IFERROR(INDEX(LISTAS!$I$3:$I$42,MATCH($T1089,LISTAS!$H$3:$H$42,0)),"NO")="SÍ",IF(N($X1089)&gt;0,"CERRADA FUERA DE SLA","CERRADA EN SLA"),IF($U1089="","SIN CLASIFICAR",IF(N($X1089)&gt;0,"VENCIDA",IF(TODAY()&gt;=$U1089-1,"POR VENCER","EN PLAZO")))))</f>
        <v/>
      </c>
      <c r="Z1089" s="41" t="n"/>
      <c r="AA1089" s="41" t="n"/>
      <c r="AB1089" s="41" t="n"/>
    </row>
    <row r="1090">
      <c r="A1090" s="39">
        <f>IF($C1090="","","NOV-"&amp;TEXT(ROW()-3,"0000"))</f>
        <v/>
      </c>
      <c r="B1090" s="40" t="n"/>
      <c r="C1090" s="41" t="n"/>
      <c r="D1090" s="42">
        <f>IF($C1090="","",IFERROR(INDEX(DESPACHOS!$D$3:$D$3002,MATCH($C1090,DESPACHOS!$B$3:$B$3002,0)),"SIN DESPACHO"))</f>
        <v/>
      </c>
      <c r="E1090" s="42">
        <f>IF($C1090="","",IFERROR(INDEX(DESPACHOS!$K$3:$K$3002,MATCH($C1090,DESPACHOS!$B$3:$B$3002,0)),""))</f>
        <v/>
      </c>
      <c r="F1090" s="42">
        <f>IF($C1090="","",IFERROR(INDEX(DESPACHOS!$I$3:$I$3002,MATCH($C1090,DESPACHOS!$B$3:$B$3002,0)),""))</f>
        <v/>
      </c>
      <c r="G1090" s="42">
        <f>IF($C1090="","",IFERROR(INDEX(DESPACHOS!$F$3:$F$3002,MATCH($C1090,DESPACHOS!$B$3:$B$3002,0)),""))</f>
        <v/>
      </c>
      <c r="H1090" s="42">
        <f>IF($C1090="","",IFERROR(INDEX(DESPACHOS!$G$3:$G$3002,MATCH($C1090,DESPACHOS!$B$3:$B$3002,0)),""))</f>
        <v/>
      </c>
      <c r="I1090" s="39">
        <f>IF($C1090="","",IFERROR(INDEX(DESPACHOS!$H$3:$H$3002,MATCH($C1090,DESPACHOS!$B$3:$B$3002,0)),""))</f>
        <v/>
      </c>
      <c r="J1090" s="43">
        <f>IF($C1090="","",IFERROR(INDEX(DESPACHOS!$J$3:$J$3002,MATCH($C1090,DESPACHOS!$B$3:$B$3002,0)),""))</f>
        <v/>
      </c>
      <c r="K1090" s="39">
        <f>IF($C1090="","",IF(COUNTIFS(DESPACHOS!$B$3:$B$3002,$C1090)=0,"NO EXISTE",IF(COUNTIFS(DESPACHOS!$B$3:$B$3002,$C1090)&gt;1,"DUPLICADO","OK")))</f>
        <v/>
      </c>
      <c r="L1090" s="41" t="n"/>
      <c r="M1090" s="41" t="n"/>
      <c r="N1090" s="42">
        <f>IF($M1090="","",IFERROR(INDEX(LISTAS!$F$3:$F$42,MATCH($M1090,LISTAS!$E$3:$E$42,0)),"Por definir"))</f>
        <v/>
      </c>
      <c r="O1090" s="41" t="n"/>
      <c r="P1090" s="39">
        <f>IF($L1090="","",IFERROR(INDEX(LISTAS!$B$3:$B$42,MATCH($L1090,LISTAS!$A$3:$A$42,0)),"Media"))</f>
        <v/>
      </c>
      <c r="Q1090" s="44" t="n"/>
      <c r="R1090" s="45" t="n"/>
      <c r="S1090" s="20">
        <f>IFERROR(IF(OR($R1090="",$C1090=""),"",$R1090/INDEX(DESPACHOS!$M$3:$M$3002,MATCH($C1090,DESPACHOS!$B$3:$B$3002,0))),"")</f>
        <v/>
      </c>
      <c r="T1090" s="41" t="n"/>
      <c r="U1090" s="43">
        <f>IF(OR($B1090="",$L1090=""),"",WORKDAY($B1090,IFERROR(INDEX(LISTAS!$C$3:$C$42,MATCH($L1090,LISTAS!$A$3:$A$42,0)),3)))</f>
        <v/>
      </c>
      <c r="V1090" s="40" t="n"/>
      <c r="W1090" s="19">
        <f>IF($B1090="","",IF($V1090&lt;&gt;"",$V1090-$B1090,TODAY()-$B1090))</f>
        <v/>
      </c>
      <c r="X1090" s="19">
        <f>IF(OR($B1090="",$U1090=""),"",IF($V1090&lt;&gt;"",MAX(0,$V1090-$U1090),MAX(0,TODAY()-$U1090)))</f>
        <v/>
      </c>
      <c r="Y1090" s="39">
        <f>IF($C1090="","",IF(IFERROR(INDEX(LISTAS!$I$3:$I$42,MATCH($T1090,LISTAS!$H$3:$H$42,0)),"NO")="SÍ",IF(N($X1090)&gt;0,"CERRADA FUERA DE SLA","CERRADA EN SLA"),IF($U1090="","SIN CLASIFICAR",IF(N($X1090)&gt;0,"VENCIDA",IF(TODAY()&gt;=$U1090-1,"POR VENCER","EN PLAZO")))))</f>
        <v/>
      </c>
      <c r="Z1090" s="41" t="n"/>
      <c r="AA1090" s="41" t="n"/>
      <c r="AB1090" s="41" t="n"/>
    </row>
    <row r="1091">
      <c r="A1091" s="39">
        <f>IF($C1091="","","NOV-"&amp;TEXT(ROW()-3,"0000"))</f>
        <v/>
      </c>
      <c r="B1091" s="40" t="n"/>
      <c r="C1091" s="41" t="n"/>
      <c r="D1091" s="42">
        <f>IF($C1091="","",IFERROR(INDEX(DESPACHOS!$D$3:$D$3002,MATCH($C1091,DESPACHOS!$B$3:$B$3002,0)),"SIN DESPACHO"))</f>
        <v/>
      </c>
      <c r="E1091" s="42">
        <f>IF($C1091="","",IFERROR(INDEX(DESPACHOS!$K$3:$K$3002,MATCH($C1091,DESPACHOS!$B$3:$B$3002,0)),""))</f>
        <v/>
      </c>
      <c r="F1091" s="42">
        <f>IF($C1091="","",IFERROR(INDEX(DESPACHOS!$I$3:$I$3002,MATCH($C1091,DESPACHOS!$B$3:$B$3002,0)),""))</f>
        <v/>
      </c>
      <c r="G1091" s="42">
        <f>IF($C1091="","",IFERROR(INDEX(DESPACHOS!$F$3:$F$3002,MATCH($C1091,DESPACHOS!$B$3:$B$3002,0)),""))</f>
        <v/>
      </c>
      <c r="H1091" s="42">
        <f>IF($C1091="","",IFERROR(INDEX(DESPACHOS!$G$3:$G$3002,MATCH($C1091,DESPACHOS!$B$3:$B$3002,0)),""))</f>
        <v/>
      </c>
      <c r="I1091" s="39">
        <f>IF($C1091="","",IFERROR(INDEX(DESPACHOS!$H$3:$H$3002,MATCH($C1091,DESPACHOS!$B$3:$B$3002,0)),""))</f>
        <v/>
      </c>
      <c r="J1091" s="43">
        <f>IF($C1091="","",IFERROR(INDEX(DESPACHOS!$J$3:$J$3002,MATCH($C1091,DESPACHOS!$B$3:$B$3002,0)),""))</f>
        <v/>
      </c>
      <c r="K1091" s="39">
        <f>IF($C1091="","",IF(COUNTIFS(DESPACHOS!$B$3:$B$3002,$C1091)=0,"NO EXISTE",IF(COUNTIFS(DESPACHOS!$B$3:$B$3002,$C1091)&gt;1,"DUPLICADO","OK")))</f>
        <v/>
      </c>
      <c r="L1091" s="41" t="n"/>
      <c r="M1091" s="41" t="n"/>
      <c r="N1091" s="42">
        <f>IF($M1091="","",IFERROR(INDEX(LISTAS!$F$3:$F$42,MATCH($M1091,LISTAS!$E$3:$E$42,0)),"Por definir"))</f>
        <v/>
      </c>
      <c r="O1091" s="41" t="n"/>
      <c r="P1091" s="39">
        <f>IF($L1091="","",IFERROR(INDEX(LISTAS!$B$3:$B$42,MATCH($L1091,LISTAS!$A$3:$A$42,0)),"Media"))</f>
        <v/>
      </c>
      <c r="Q1091" s="44" t="n"/>
      <c r="R1091" s="45" t="n"/>
      <c r="S1091" s="20">
        <f>IFERROR(IF(OR($R1091="",$C1091=""),"",$R1091/INDEX(DESPACHOS!$M$3:$M$3002,MATCH($C1091,DESPACHOS!$B$3:$B$3002,0))),"")</f>
        <v/>
      </c>
      <c r="T1091" s="41" t="n"/>
      <c r="U1091" s="43">
        <f>IF(OR($B1091="",$L1091=""),"",WORKDAY($B1091,IFERROR(INDEX(LISTAS!$C$3:$C$42,MATCH($L1091,LISTAS!$A$3:$A$42,0)),3)))</f>
        <v/>
      </c>
      <c r="V1091" s="40" t="n"/>
      <c r="W1091" s="19">
        <f>IF($B1091="","",IF($V1091&lt;&gt;"",$V1091-$B1091,TODAY()-$B1091))</f>
        <v/>
      </c>
      <c r="X1091" s="19">
        <f>IF(OR($B1091="",$U1091=""),"",IF($V1091&lt;&gt;"",MAX(0,$V1091-$U1091),MAX(0,TODAY()-$U1091)))</f>
        <v/>
      </c>
      <c r="Y1091" s="39">
        <f>IF($C1091="","",IF(IFERROR(INDEX(LISTAS!$I$3:$I$42,MATCH($T1091,LISTAS!$H$3:$H$42,0)),"NO")="SÍ",IF(N($X1091)&gt;0,"CERRADA FUERA DE SLA","CERRADA EN SLA"),IF($U1091="","SIN CLASIFICAR",IF(N($X1091)&gt;0,"VENCIDA",IF(TODAY()&gt;=$U1091-1,"POR VENCER","EN PLAZO")))))</f>
        <v/>
      </c>
      <c r="Z1091" s="41" t="n"/>
      <c r="AA1091" s="41" t="n"/>
      <c r="AB1091" s="41" t="n"/>
    </row>
    <row r="1092">
      <c r="A1092" s="39">
        <f>IF($C1092="","","NOV-"&amp;TEXT(ROW()-3,"0000"))</f>
        <v/>
      </c>
      <c r="B1092" s="40" t="n"/>
      <c r="C1092" s="41" t="n"/>
      <c r="D1092" s="42">
        <f>IF($C1092="","",IFERROR(INDEX(DESPACHOS!$D$3:$D$3002,MATCH($C1092,DESPACHOS!$B$3:$B$3002,0)),"SIN DESPACHO"))</f>
        <v/>
      </c>
      <c r="E1092" s="42">
        <f>IF($C1092="","",IFERROR(INDEX(DESPACHOS!$K$3:$K$3002,MATCH($C1092,DESPACHOS!$B$3:$B$3002,0)),""))</f>
        <v/>
      </c>
      <c r="F1092" s="42">
        <f>IF($C1092="","",IFERROR(INDEX(DESPACHOS!$I$3:$I$3002,MATCH($C1092,DESPACHOS!$B$3:$B$3002,0)),""))</f>
        <v/>
      </c>
      <c r="G1092" s="42">
        <f>IF($C1092="","",IFERROR(INDEX(DESPACHOS!$F$3:$F$3002,MATCH($C1092,DESPACHOS!$B$3:$B$3002,0)),""))</f>
        <v/>
      </c>
      <c r="H1092" s="42">
        <f>IF($C1092="","",IFERROR(INDEX(DESPACHOS!$G$3:$G$3002,MATCH($C1092,DESPACHOS!$B$3:$B$3002,0)),""))</f>
        <v/>
      </c>
      <c r="I1092" s="39">
        <f>IF($C1092="","",IFERROR(INDEX(DESPACHOS!$H$3:$H$3002,MATCH($C1092,DESPACHOS!$B$3:$B$3002,0)),""))</f>
        <v/>
      </c>
      <c r="J1092" s="43">
        <f>IF($C1092="","",IFERROR(INDEX(DESPACHOS!$J$3:$J$3002,MATCH($C1092,DESPACHOS!$B$3:$B$3002,0)),""))</f>
        <v/>
      </c>
      <c r="K1092" s="39">
        <f>IF($C1092="","",IF(COUNTIFS(DESPACHOS!$B$3:$B$3002,$C1092)=0,"NO EXISTE",IF(COUNTIFS(DESPACHOS!$B$3:$B$3002,$C1092)&gt;1,"DUPLICADO","OK")))</f>
        <v/>
      </c>
      <c r="L1092" s="41" t="n"/>
      <c r="M1092" s="41" t="n"/>
      <c r="N1092" s="42">
        <f>IF($M1092="","",IFERROR(INDEX(LISTAS!$F$3:$F$42,MATCH($M1092,LISTAS!$E$3:$E$42,0)),"Por definir"))</f>
        <v/>
      </c>
      <c r="O1092" s="41" t="n"/>
      <c r="P1092" s="39">
        <f>IF($L1092="","",IFERROR(INDEX(LISTAS!$B$3:$B$42,MATCH($L1092,LISTAS!$A$3:$A$42,0)),"Media"))</f>
        <v/>
      </c>
      <c r="Q1092" s="44" t="n"/>
      <c r="R1092" s="45" t="n"/>
      <c r="S1092" s="20">
        <f>IFERROR(IF(OR($R1092="",$C1092=""),"",$R1092/INDEX(DESPACHOS!$M$3:$M$3002,MATCH($C1092,DESPACHOS!$B$3:$B$3002,0))),"")</f>
        <v/>
      </c>
      <c r="T1092" s="41" t="n"/>
      <c r="U1092" s="43">
        <f>IF(OR($B1092="",$L1092=""),"",WORKDAY($B1092,IFERROR(INDEX(LISTAS!$C$3:$C$42,MATCH($L1092,LISTAS!$A$3:$A$42,0)),3)))</f>
        <v/>
      </c>
      <c r="V1092" s="40" t="n"/>
      <c r="W1092" s="19">
        <f>IF($B1092="","",IF($V1092&lt;&gt;"",$V1092-$B1092,TODAY()-$B1092))</f>
        <v/>
      </c>
      <c r="X1092" s="19">
        <f>IF(OR($B1092="",$U1092=""),"",IF($V1092&lt;&gt;"",MAX(0,$V1092-$U1092),MAX(0,TODAY()-$U1092)))</f>
        <v/>
      </c>
      <c r="Y1092" s="39">
        <f>IF($C1092="","",IF(IFERROR(INDEX(LISTAS!$I$3:$I$42,MATCH($T1092,LISTAS!$H$3:$H$42,0)),"NO")="SÍ",IF(N($X1092)&gt;0,"CERRADA FUERA DE SLA","CERRADA EN SLA"),IF($U1092="","SIN CLASIFICAR",IF(N($X1092)&gt;0,"VENCIDA",IF(TODAY()&gt;=$U1092-1,"POR VENCER","EN PLAZO")))))</f>
        <v/>
      </c>
      <c r="Z1092" s="41" t="n"/>
      <c r="AA1092" s="41" t="n"/>
      <c r="AB1092" s="41" t="n"/>
    </row>
    <row r="1093">
      <c r="A1093" s="39">
        <f>IF($C1093="","","NOV-"&amp;TEXT(ROW()-3,"0000"))</f>
        <v/>
      </c>
      <c r="B1093" s="40" t="n"/>
      <c r="C1093" s="41" t="n"/>
      <c r="D1093" s="42">
        <f>IF($C1093="","",IFERROR(INDEX(DESPACHOS!$D$3:$D$3002,MATCH($C1093,DESPACHOS!$B$3:$B$3002,0)),"SIN DESPACHO"))</f>
        <v/>
      </c>
      <c r="E1093" s="42">
        <f>IF($C1093="","",IFERROR(INDEX(DESPACHOS!$K$3:$K$3002,MATCH($C1093,DESPACHOS!$B$3:$B$3002,0)),""))</f>
        <v/>
      </c>
      <c r="F1093" s="42">
        <f>IF($C1093="","",IFERROR(INDEX(DESPACHOS!$I$3:$I$3002,MATCH($C1093,DESPACHOS!$B$3:$B$3002,0)),""))</f>
        <v/>
      </c>
      <c r="G1093" s="42">
        <f>IF($C1093="","",IFERROR(INDEX(DESPACHOS!$F$3:$F$3002,MATCH($C1093,DESPACHOS!$B$3:$B$3002,0)),""))</f>
        <v/>
      </c>
      <c r="H1093" s="42">
        <f>IF($C1093="","",IFERROR(INDEX(DESPACHOS!$G$3:$G$3002,MATCH($C1093,DESPACHOS!$B$3:$B$3002,0)),""))</f>
        <v/>
      </c>
      <c r="I1093" s="39">
        <f>IF($C1093="","",IFERROR(INDEX(DESPACHOS!$H$3:$H$3002,MATCH($C1093,DESPACHOS!$B$3:$B$3002,0)),""))</f>
        <v/>
      </c>
      <c r="J1093" s="43">
        <f>IF($C1093="","",IFERROR(INDEX(DESPACHOS!$J$3:$J$3002,MATCH($C1093,DESPACHOS!$B$3:$B$3002,0)),""))</f>
        <v/>
      </c>
      <c r="K1093" s="39">
        <f>IF($C1093="","",IF(COUNTIFS(DESPACHOS!$B$3:$B$3002,$C1093)=0,"NO EXISTE",IF(COUNTIFS(DESPACHOS!$B$3:$B$3002,$C1093)&gt;1,"DUPLICADO","OK")))</f>
        <v/>
      </c>
      <c r="L1093" s="41" t="n"/>
      <c r="M1093" s="41" t="n"/>
      <c r="N1093" s="42">
        <f>IF($M1093="","",IFERROR(INDEX(LISTAS!$F$3:$F$42,MATCH($M1093,LISTAS!$E$3:$E$42,0)),"Por definir"))</f>
        <v/>
      </c>
      <c r="O1093" s="41" t="n"/>
      <c r="P1093" s="39">
        <f>IF($L1093="","",IFERROR(INDEX(LISTAS!$B$3:$B$42,MATCH($L1093,LISTAS!$A$3:$A$42,0)),"Media"))</f>
        <v/>
      </c>
      <c r="Q1093" s="44" t="n"/>
      <c r="R1093" s="45" t="n"/>
      <c r="S1093" s="20">
        <f>IFERROR(IF(OR($R1093="",$C1093=""),"",$R1093/INDEX(DESPACHOS!$M$3:$M$3002,MATCH($C1093,DESPACHOS!$B$3:$B$3002,0))),"")</f>
        <v/>
      </c>
      <c r="T1093" s="41" t="n"/>
      <c r="U1093" s="43">
        <f>IF(OR($B1093="",$L1093=""),"",WORKDAY($B1093,IFERROR(INDEX(LISTAS!$C$3:$C$42,MATCH($L1093,LISTAS!$A$3:$A$42,0)),3)))</f>
        <v/>
      </c>
      <c r="V1093" s="40" t="n"/>
      <c r="W1093" s="19">
        <f>IF($B1093="","",IF($V1093&lt;&gt;"",$V1093-$B1093,TODAY()-$B1093))</f>
        <v/>
      </c>
      <c r="X1093" s="19">
        <f>IF(OR($B1093="",$U1093=""),"",IF($V1093&lt;&gt;"",MAX(0,$V1093-$U1093),MAX(0,TODAY()-$U1093)))</f>
        <v/>
      </c>
      <c r="Y1093" s="39">
        <f>IF($C1093="","",IF(IFERROR(INDEX(LISTAS!$I$3:$I$42,MATCH($T1093,LISTAS!$H$3:$H$42,0)),"NO")="SÍ",IF(N($X1093)&gt;0,"CERRADA FUERA DE SLA","CERRADA EN SLA"),IF($U1093="","SIN CLASIFICAR",IF(N($X1093)&gt;0,"VENCIDA",IF(TODAY()&gt;=$U1093-1,"POR VENCER","EN PLAZO")))))</f>
        <v/>
      </c>
      <c r="Z1093" s="41" t="n"/>
      <c r="AA1093" s="41" t="n"/>
      <c r="AB1093" s="41" t="n"/>
    </row>
    <row r="1094">
      <c r="A1094" s="39">
        <f>IF($C1094="","","NOV-"&amp;TEXT(ROW()-3,"0000"))</f>
        <v/>
      </c>
      <c r="B1094" s="40" t="n"/>
      <c r="C1094" s="41" t="n"/>
      <c r="D1094" s="42">
        <f>IF($C1094="","",IFERROR(INDEX(DESPACHOS!$D$3:$D$3002,MATCH($C1094,DESPACHOS!$B$3:$B$3002,0)),"SIN DESPACHO"))</f>
        <v/>
      </c>
      <c r="E1094" s="42">
        <f>IF($C1094="","",IFERROR(INDEX(DESPACHOS!$K$3:$K$3002,MATCH($C1094,DESPACHOS!$B$3:$B$3002,0)),""))</f>
        <v/>
      </c>
      <c r="F1094" s="42">
        <f>IF($C1094="","",IFERROR(INDEX(DESPACHOS!$I$3:$I$3002,MATCH($C1094,DESPACHOS!$B$3:$B$3002,0)),""))</f>
        <v/>
      </c>
      <c r="G1094" s="42">
        <f>IF($C1094="","",IFERROR(INDEX(DESPACHOS!$F$3:$F$3002,MATCH($C1094,DESPACHOS!$B$3:$B$3002,0)),""))</f>
        <v/>
      </c>
      <c r="H1094" s="42">
        <f>IF($C1094="","",IFERROR(INDEX(DESPACHOS!$G$3:$G$3002,MATCH($C1094,DESPACHOS!$B$3:$B$3002,0)),""))</f>
        <v/>
      </c>
      <c r="I1094" s="39">
        <f>IF($C1094="","",IFERROR(INDEX(DESPACHOS!$H$3:$H$3002,MATCH($C1094,DESPACHOS!$B$3:$B$3002,0)),""))</f>
        <v/>
      </c>
      <c r="J1094" s="43">
        <f>IF($C1094="","",IFERROR(INDEX(DESPACHOS!$J$3:$J$3002,MATCH($C1094,DESPACHOS!$B$3:$B$3002,0)),""))</f>
        <v/>
      </c>
      <c r="K1094" s="39">
        <f>IF($C1094="","",IF(COUNTIFS(DESPACHOS!$B$3:$B$3002,$C1094)=0,"NO EXISTE",IF(COUNTIFS(DESPACHOS!$B$3:$B$3002,$C1094)&gt;1,"DUPLICADO","OK")))</f>
        <v/>
      </c>
      <c r="L1094" s="41" t="n"/>
      <c r="M1094" s="41" t="n"/>
      <c r="N1094" s="42">
        <f>IF($M1094="","",IFERROR(INDEX(LISTAS!$F$3:$F$42,MATCH($M1094,LISTAS!$E$3:$E$42,0)),"Por definir"))</f>
        <v/>
      </c>
      <c r="O1094" s="41" t="n"/>
      <c r="P1094" s="39">
        <f>IF($L1094="","",IFERROR(INDEX(LISTAS!$B$3:$B$42,MATCH($L1094,LISTAS!$A$3:$A$42,0)),"Media"))</f>
        <v/>
      </c>
      <c r="Q1094" s="44" t="n"/>
      <c r="R1094" s="45" t="n"/>
      <c r="S1094" s="20">
        <f>IFERROR(IF(OR($R1094="",$C1094=""),"",$R1094/INDEX(DESPACHOS!$M$3:$M$3002,MATCH($C1094,DESPACHOS!$B$3:$B$3002,0))),"")</f>
        <v/>
      </c>
      <c r="T1094" s="41" t="n"/>
      <c r="U1094" s="43">
        <f>IF(OR($B1094="",$L1094=""),"",WORKDAY($B1094,IFERROR(INDEX(LISTAS!$C$3:$C$42,MATCH($L1094,LISTAS!$A$3:$A$42,0)),3)))</f>
        <v/>
      </c>
      <c r="V1094" s="40" t="n"/>
      <c r="W1094" s="19">
        <f>IF($B1094="","",IF($V1094&lt;&gt;"",$V1094-$B1094,TODAY()-$B1094))</f>
        <v/>
      </c>
      <c r="X1094" s="19">
        <f>IF(OR($B1094="",$U1094=""),"",IF($V1094&lt;&gt;"",MAX(0,$V1094-$U1094),MAX(0,TODAY()-$U1094)))</f>
        <v/>
      </c>
      <c r="Y1094" s="39">
        <f>IF($C1094="","",IF(IFERROR(INDEX(LISTAS!$I$3:$I$42,MATCH($T1094,LISTAS!$H$3:$H$42,0)),"NO")="SÍ",IF(N($X1094)&gt;0,"CERRADA FUERA DE SLA","CERRADA EN SLA"),IF($U1094="","SIN CLASIFICAR",IF(N($X1094)&gt;0,"VENCIDA",IF(TODAY()&gt;=$U1094-1,"POR VENCER","EN PLAZO")))))</f>
        <v/>
      </c>
      <c r="Z1094" s="41" t="n"/>
      <c r="AA1094" s="41" t="n"/>
      <c r="AB1094" s="41" t="n"/>
    </row>
    <row r="1095">
      <c r="A1095" s="39">
        <f>IF($C1095="","","NOV-"&amp;TEXT(ROW()-3,"0000"))</f>
        <v/>
      </c>
      <c r="B1095" s="40" t="n"/>
      <c r="C1095" s="41" t="n"/>
      <c r="D1095" s="42">
        <f>IF($C1095="","",IFERROR(INDEX(DESPACHOS!$D$3:$D$3002,MATCH($C1095,DESPACHOS!$B$3:$B$3002,0)),"SIN DESPACHO"))</f>
        <v/>
      </c>
      <c r="E1095" s="42">
        <f>IF($C1095="","",IFERROR(INDEX(DESPACHOS!$K$3:$K$3002,MATCH($C1095,DESPACHOS!$B$3:$B$3002,0)),""))</f>
        <v/>
      </c>
      <c r="F1095" s="42">
        <f>IF($C1095="","",IFERROR(INDEX(DESPACHOS!$I$3:$I$3002,MATCH($C1095,DESPACHOS!$B$3:$B$3002,0)),""))</f>
        <v/>
      </c>
      <c r="G1095" s="42">
        <f>IF($C1095="","",IFERROR(INDEX(DESPACHOS!$F$3:$F$3002,MATCH($C1095,DESPACHOS!$B$3:$B$3002,0)),""))</f>
        <v/>
      </c>
      <c r="H1095" s="42">
        <f>IF($C1095="","",IFERROR(INDEX(DESPACHOS!$G$3:$G$3002,MATCH($C1095,DESPACHOS!$B$3:$B$3002,0)),""))</f>
        <v/>
      </c>
      <c r="I1095" s="39">
        <f>IF($C1095="","",IFERROR(INDEX(DESPACHOS!$H$3:$H$3002,MATCH($C1095,DESPACHOS!$B$3:$B$3002,0)),""))</f>
        <v/>
      </c>
      <c r="J1095" s="43">
        <f>IF($C1095="","",IFERROR(INDEX(DESPACHOS!$J$3:$J$3002,MATCH($C1095,DESPACHOS!$B$3:$B$3002,0)),""))</f>
        <v/>
      </c>
      <c r="K1095" s="39">
        <f>IF($C1095="","",IF(COUNTIFS(DESPACHOS!$B$3:$B$3002,$C1095)=0,"NO EXISTE",IF(COUNTIFS(DESPACHOS!$B$3:$B$3002,$C1095)&gt;1,"DUPLICADO","OK")))</f>
        <v/>
      </c>
      <c r="L1095" s="41" t="n"/>
      <c r="M1095" s="41" t="n"/>
      <c r="N1095" s="42">
        <f>IF($M1095="","",IFERROR(INDEX(LISTAS!$F$3:$F$42,MATCH($M1095,LISTAS!$E$3:$E$42,0)),"Por definir"))</f>
        <v/>
      </c>
      <c r="O1095" s="41" t="n"/>
      <c r="P1095" s="39">
        <f>IF($L1095="","",IFERROR(INDEX(LISTAS!$B$3:$B$42,MATCH($L1095,LISTAS!$A$3:$A$42,0)),"Media"))</f>
        <v/>
      </c>
      <c r="Q1095" s="44" t="n"/>
      <c r="R1095" s="45" t="n"/>
      <c r="S1095" s="20">
        <f>IFERROR(IF(OR($R1095="",$C1095=""),"",$R1095/INDEX(DESPACHOS!$M$3:$M$3002,MATCH($C1095,DESPACHOS!$B$3:$B$3002,0))),"")</f>
        <v/>
      </c>
      <c r="T1095" s="41" t="n"/>
      <c r="U1095" s="43">
        <f>IF(OR($B1095="",$L1095=""),"",WORKDAY($B1095,IFERROR(INDEX(LISTAS!$C$3:$C$42,MATCH($L1095,LISTAS!$A$3:$A$42,0)),3)))</f>
        <v/>
      </c>
      <c r="V1095" s="40" t="n"/>
      <c r="W1095" s="19">
        <f>IF($B1095="","",IF($V1095&lt;&gt;"",$V1095-$B1095,TODAY()-$B1095))</f>
        <v/>
      </c>
      <c r="X1095" s="19">
        <f>IF(OR($B1095="",$U1095=""),"",IF($V1095&lt;&gt;"",MAX(0,$V1095-$U1095),MAX(0,TODAY()-$U1095)))</f>
        <v/>
      </c>
      <c r="Y1095" s="39">
        <f>IF($C1095="","",IF(IFERROR(INDEX(LISTAS!$I$3:$I$42,MATCH($T1095,LISTAS!$H$3:$H$42,0)),"NO")="SÍ",IF(N($X1095)&gt;0,"CERRADA FUERA DE SLA","CERRADA EN SLA"),IF($U1095="","SIN CLASIFICAR",IF(N($X1095)&gt;0,"VENCIDA",IF(TODAY()&gt;=$U1095-1,"POR VENCER","EN PLAZO")))))</f>
        <v/>
      </c>
      <c r="Z1095" s="41" t="n"/>
      <c r="AA1095" s="41" t="n"/>
      <c r="AB1095" s="41" t="n"/>
    </row>
    <row r="1096">
      <c r="A1096" s="39">
        <f>IF($C1096="","","NOV-"&amp;TEXT(ROW()-3,"0000"))</f>
        <v/>
      </c>
      <c r="B1096" s="40" t="n"/>
      <c r="C1096" s="41" t="n"/>
      <c r="D1096" s="42">
        <f>IF($C1096="","",IFERROR(INDEX(DESPACHOS!$D$3:$D$3002,MATCH($C1096,DESPACHOS!$B$3:$B$3002,0)),"SIN DESPACHO"))</f>
        <v/>
      </c>
      <c r="E1096" s="42">
        <f>IF($C1096="","",IFERROR(INDEX(DESPACHOS!$K$3:$K$3002,MATCH($C1096,DESPACHOS!$B$3:$B$3002,0)),""))</f>
        <v/>
      </c>
      <c r="F1096" s="42">
        <f>IF($C1096="","",IFERROR(INDEX(DESPACHOS!$I$3:$I$3002,MATCH($C1096,DESPACHOS!$B$3:$B$3002,0)),""))</f>
        <v/>
      </c>
      <c r="G1096" s="42">
        <f>IF($C1096="","",IFERROR(INDEX(DESPACHOS!$F$3:$F$3002,MATCH($C1096,DESPACHOS!$B$3:$B$3002,0)),""))</f>
        <v/>
      </c>
      <c r="H1096" s="42">
        <f>IF($C1096="","",IFERROR(INDEX(DESPACHOS!$G$3:$G$3002,MATCH($C1096,DESPACHOS!$B$3:$B$3002,0)),""))</f>
        <v/>
      </c>
      <c r="I1096" s="39">
        <f>IF($C1096="","",IFERROR(INDEX(DESPACHOS!$H$3:$H$3002,MATCH($C1096,DESPACHOS!$B$3:$B$3002,0)),""))</f>
        <v/>
      </c>
      <c r="J1096" s="43">
        <f>IF($C1096="","",IFERROR(INDEX(DESPACHOS!$J$3:$J$3002,MATCH($C1096,DESPACHOS!$B$3:$B$3002,0)),""))</f>
        <v/>
      </c>
      <c r="K1096" s="39">
        <f>IF($C1096="","",IF(COUNTIFS(DESPACHOS!$B$3:$B$3002,$C1096)=0,"NO EXISTE",IF(COUNTIFS(DESPACHOS!$B$3:$B$3002,$C1096)&gt;1,"DUPLICADO","OK")))</f>
        <v/>
      </c>
      <c r="L1096" s="41" t="n"/>
      <c r="M1096" s="41" t="n"/>
      <c r="N1096" s="42">
        <f>IF($M1096="","",IFERROR(INDEX(LISTAS!$F$3:$F$42,MATCH($M1096,LISTAS!$E$3:$E$42,0)),"Por definir"))</f>
        <v/>
      </c>
      <c r="O1096" s="41" t="n"/>
      <c r="P1096" s="39">
        <f>IF($L1096="","",IFERROR(INDEX(LISTAS!$B$3:$B$42,MATCH($L1096,LISTAS!$A$3:$A$42,0)),"Media"))</f>
        <v/>
      </c>
      <c r="Q1096" s="44" t="n"/>
      <c r="R1096" s="45" t="n"/>
      <c r="S1096" s="20">
        <f>IFERROR(IF(OR($R1096="",$C1096=""),"",$R1096/INDEX(DESPACHOS!$M$3:$M$3002,MATCH($C1096,DESPACHOS!$B$3:$B$3002,0))),"")</f>
        <v/>
      </c>
      <c r="T1096" s="41" t="n"/>
      <c r="U1096" s="43">
        <f>IF(OR($B1096="",$L1096=""),"",WORKDAY($B1096,IFERROR(INDEX(LISTAS!$C$3:$C$42,MATCH($L1096,LISTAS!$A$3:$A$42,0)),3)))</f>
        <v/>
      </c>
      <c r="V1096" s="40" t="n"/>
      <c r="W1096" s="19">
        <f>IF($B1096="","",IF($V1096&lt;&gt;"",$V1096-$B1096,TODAY()-$B1096))</f>
        <v/>
      </c>
      <c r="X1096" s="19">
        <f>IF(OR($B1096="",$U1096=""),"",IF($V1096&lt;&gt;"",MAX(0,$V1096-$U1096),MAX(0,TODAY()-$U1096)))</f>
        <v/>
      </c>
      <c r="Y1096" s="39">
        <f>IF($C1096="","",IF(IFERROR(INDEX(LISTAS!$I$3:$I$42,MATCH($T1096,LISTAS!$H$3:$H$42,0)),"NO")="SÍ",IF(N($X1096)&gt;0,"CERRADA FUERA DE SLA","CERRADA EN SLA"),IF($U1096="","SIN CLASIFICAR",IF(N($X1096)&gt;0,"VENCIDA",IF(TODAY()&gt;=$U1096-1,"POR VENCER","EN PLAZO")))))</f>
        <v/>
      </c>
      <c r="Z1096" s="41" t="n"/>
      <c r="AA1096" s="41" t="n"/>
      <c r="AB1096" s="41" t="n"/>
    </row>
    <row r="1097">
      <c r="A1097" s="39">
        <f>IF($C1097="","","NOV-"&amp;TEXT(ROW()-3,"0000"))</f>
        <v/>
      </c>
      <c r="B1097" s="40" t="n"/>
      <c r="C1097" s="41" t="n"/>
      <c r="D1097" s="42">
        <f>IF($C1097="","",IFERROR(INDEX(DESPACHOS!$D$3:$D$3002,MATCH($C1097,DESPACHOS!$B$3:$B$3002,0)),"SIN DESPACHO"))</f>
        <v/>
      </c>
      <c r="E1097" s="42">
        <f>IF($C1097="","",IFERROR(INDEX(DESPACHOS!$K$3:$K$3002,MATCH($C1097,DESPACHOS!$B$3:$B$3002,0)),""))</f>
        <v/>
      </c>
      <c r="F1097" s="42">
        <f>IF($C1097="","",IFERROR(INDEX(DESPACHOS!$I$3:$I$3002,MATCH($C1097,DESPACHOS!$B$3:$B$3002,0)),""))</f>
        <v/>
      </c>
      <c r="G1097" s="42">
        <f>IF($C1097="","",IFERROR(INDEX(DESPACHOS!$F$3:$F$3002,MATCH($C1097,DESPACHOS!$B$3:$B$3002,0)),""))</f>
        <v/>
      </c>
      <c r="H1097" s="42">
        <f>IF($C1097="","",IFERROR(INDEX(DESPACHOS!$G$3:$G$3002,MATCH($C1097,DESPACHOS!$B$3:$B$3002,0)),""))</f>
        <v/>
      </c>
      <c r="I1097" s="39">
        <f>IF($C1097="","",IFERROR(INDEX(DESPACHOS!$H$3:$H$3002,MATCH($C1097,DESPACHOS!$B$3:$B$3002,0)),""))</f>
        <v/>
      </c>
      <c r="J1097" s="43">
        <f>IF($C1097="","",IFERROR(INDEX(DESPACHOS!$J$3:$J$3002,MATCH($C1097,DESPACHOS!$B$3:$B$3002,0)),""))</f>
        <v/>
      </c>
      <c r="K1097" s="39">
        <f>IF($C1097="","",IF(COUNTIFS(DESPACHOS!$B$3:$B$3002,$C1097)=0,"NO EXISTE",IF(COUNTIFS(DESPACHOS!$B$3:$B$3002,$C1097)&gt;1,"DUPLICADO","OK")))</f>
        <v/>
      </c>
      <c r="L1097" s="41" t="n"/>
      <c r="M1097" s="41" t="n"/>
      <c r="N1097" s="42">
        <f>IF($M1097="","",IFERROR(INDEX(LISTAS!$F$3:$F$42,MATCH($M1097,LISTAS!$E$3:$E$42,0)),"Por definir"))</f>
        <v/>
      </c>
      <c r="O1097" s="41" t="n"/>
      <c r="P1097" s="39">
        <f>IF($L1097="","",IFERROR(INDEX(LISTAS!$B$3:$B$42,MATCH($L1097,LISTAS!$A$3:$A$42,0)),"Media"))</f>
        <v/>
      </c>
      <c r="Q1097" s="44" t="n"/>
      <c r="R1097" s="45" t="n"/>
      <c r="S1097" s="20">
        <f>IFERROR(IF(OR($R1097="",$C1097=""),"",$R1097/INDEX(DESPACHOS!$M$3:$M$3002,MATCH($C1097,DESPACHOS!$B$3:$B$3002,0))),"")</f>
        <v/>
      </c>
      <c r="T1097" s="41" t="n"/>
      <c r="U1097" s="43">
        <f>IF(OR($B1097="",$L1097=""),"",WORKDAY($B1097,IFERROR(INDEX(LISTAS!$C$3:$C$42,MATCH($L1097,LISTAS!$A$3:$A$42,0)),3)))</f>
        <v/>
      </c>
      <c r="V1097" s="40" t="n"/>
      <c r="W1097" s="19">
        <f>IF($B1097="","",IF($V1097&lt;&gt;"",$V1097-$B1097,TODAY()-$B1097))</f>
        <v/>
      </c>
      <c r="X1097" s="19">
        <f>IF(OR($B1097="",$U1097=""),"",IF($V1097&lt;&gt;"",MAX(0,$V1097-$U1097),MAX(0,TODAY()-$U1097)))</f>
        <v/>
      </c>
      <c r="Y1097" s="39">
        <f>IF($C1097="","",IF(IFERROR(INDEX(LISTAS!$I$3:$I$42,MATCH($T1097,LISTAS!$H$3:$H$42,0)),"NO")="SÍ",IF(N($X1097)&gt;0,"CERRADA FUERA DE SLA","CERRADA EN SLA"),IF($U1097="","SIN CLASIFICAR",IF(N($X1097)&gt;0,"VENCIDA",IF(TODAY()&gt;=$U1097-1,"POR VENCER","EN PLAZO")))))</f>
        <v/>
      </c>
      <c r="Z1097" s="41" t="n"/>
      <c r="AA1097" s="41" t="n"/>
      <c r="AB1097" s="41" t="n"/>
    </row>
    <row r="1098">
      <c r="A1098" s="39">
        <f>IF($C1098="","","NOV-"&amp;TEXT(ROW()-3,"0000"))</f>
        <v/>
      </c>
      <c r="B1098" s="40" t="n"/>
      <c r="C1098" s="41" t="n"/>
      <c r="D1098" s="42">
        <f>IF($C1098="","",IFERROR(INDEX(DESPACHOS!$D$3:$D$3002,MATCH($C1098,DESPACHOS!$B$3:$B$3002,0)),"SIN DESPACHO"))</f>
        <v/>
      </c>
      <c r="E1098" s="42">
        <f>IF($C1098="","",IFERROR(INDEX(DESPACHOS!$K$3:$K$3002,MATCH($C1098,DESPACHOS!$B$3:$B$3002,0)),""))</f>
        <v/>
      </c>
      <c r="F1098" s="42">
        <f>IF($C1098="","",IFERROR(INDEX(DESPACHOS!$I$3:$I$3002,MATCH($C1098,DESPACHOS!$B$3:$B$3002,0)),""))</f>
        <v/>
      </c>
      <c r="G1098" s="42">
        <f>IF($C1098="","",IFERROR(INDEX(DESPACHOS!$F$3:$F$3002,MATCH($C1098,DESPACHOS!$B$3:$B$3002,0)),""))</f>
        <v/>
      </c>
      <c r="H1098" s="42">
        <f>IF($C1098="","",IFERROR(INDEX(DESPACHOS!$G$3:$G$3002,MATCH($C1098,DESPACHOS!$B$3:$B$3002,0)),""))</f>
        <v/>
      </c>
      <c r="I1098" s="39">
        <f>IF($C1098="","",IFERROR(INDEX(DESPACHOS!$H$3:$H$3002,MATCH($C1098,DESPACHOS!$B$3:$B$3002,0)),""))</f>
        <v/>
      </c>
      <c r="J1098" s="43">
        <f>IF($C1098="","",IFERROR(INDEX(DESPACHOS!$J$3:$J$3002,MATCH($C1098,DESPACHOS!$B$3:$B$3002,0)),""))</f>
        <v/>
      </c>
      <c r="K1098" s="39">
        <f>IF($C1098="","",IF(COUNTIFS(DESPACHOS!$B$3:$B$3002,$C1098)=0,"NO EXISTE",IF(COUNTIFS(DESPACHOS!$B$3:$B$3002,$C1098)&gt;1,"DUPLICADO","OK")))</f>
        <v/>
      </c>
      <c r="L1098" s="41" t="n"/>
      <c r="M1098" s="41" t="n"/>
      <c r="N1098" s="42">
        <f>IF($M1098="","",IFERROR(INDEX(LISTAS!$F$3:$F$42,MATCH($M1098,LISTAS!$E$3:$E$42,0)),"Por definir"))</f>
        <v/>
      </c>
      <c r="O1098" s="41" t="n"/>
      <c r="P1098" s="39">
        <f>IF($L1098="","",IFERROR(INDEX(LISTAS!$B$3:$B$42,MATCH($L1098,LISTAS!$A$3:$A$42,0)),"Media"))</f>
        <v/>
      </c>
      <c r="Q1098" s="44" t="n"/>
      <c r="R1098" s="45" t="n"/>
      <c r="S1098" s="20">
        <f>IFERROR(IF(OR($R1098="",$C1098=""),"",$R1098/INDEX(DESPACHOS!$M$3:$M$3002,MATCH($C1098,DESPACHOS!$B$3:$B$3002,0))),"")</f>
        <v/>
      </c>
      <c r="T1098" s="41" t="n"/>
      <c r="U1098" s="43">
        <f>IF(OR($B1098="",$L1098=""),"",WORKDAY($B1098,IFERROR(INDEX(LISTAS!$C$3:$C$42,MATCH($L1098,LISTAS!$A$3:$A$42,0)),3)))</f>
        <v/>
      </c>
      <c r="V1098" s="40" t="n"/>
      <c r="W1098" s="19">
        <f>IF($B1098="","",IF($V1098&lt;&gt;"",$V1098-$B1098,TODAY()-$B1098))</f>
        <v/>
      </c>
      <c r="X1098" s="19">
        <f>IF(OR($B1098="",$U1098=""),"",IF($V1098&lt;&gt;"",MAX(0,$V1098-$U1098),MAX(0,TODAY()-$U1098)))</f>
        <v/>
      </c>
      <c r="Y1098" s="39">
        <f>IF($C1098="","",IF(IFERROR(INDEX(LISTAS!$I$3:$I$42,MATCH($T1098,LISTAS!$H$3:$H$42,0)),"NO")="SÍ",IF(N($X1098)&gt;0,"CERRADA FUERA DE SLA","CERRADA EN SLA"),IF($U1098="","SIN CLASIFICAR",IF(N($X1098)&gt;0,"VENCIDA",IF(TODAY()&gt;=$U1098-1,"POR VENCER","EN PLAZO")))))</f>
        <v/>
      </c>
      <c r="Z1098" s="41" t="n"/>
      <c r="AA1098" s="41" t="n"/>
      <c r="AB1098" s="41" t="n"/>
    </row>
    <row r="1099">
      <c r="A1099" s="39">
        <f>IF($C1099="","","NOV-"&amp;TEXT(ROW()-3,"0000"))</f>
        <v/>
      </c>
      <c r="B1099" s="40" t="n"/>
      <c r="C1099" s="41" t="n"/>
      <c r="D1099" s="42">
        <f>IF($C1099="","",IFERROR(INDEX(DESPACHOS!$D$3:$D$3002,MATCH($C1099,DESPACHOS!$B$3:$B$3002,0)),"SIN DESPACHO"))</f>
        <v/>
      </c>
      <c r="E1099" s="42">
        <f>IF($C1099="","",IFERROR(INDEX(DESPACHOS!$K$3:$K$3002,MATCH($C1099,DESPACHOS!$B$3:$B$3002,0)),""))</f>
        <v/>
      </c>
      <c r="F1099" s="42">
        <f>IF($C1099="","",IFERROR(INDEX(DESPACHOS!$I$3:$I$3002,MATCH($C1099,DESPACHOS!$B$3:$B$3002,0)),""))</f>
        <v/>
      </c>
      <c r="G1099" s="42">
        <f>IF($C1099="","",IFERROR(INDEX(DESPACHOS!$F$3:$F$3002,MATCH($C1099,DESPACHOS!$B$3:$B$3002,0)),""))</f>
        <v/>
      </c>
      <c r="H1099" s="42">
        <f>IF($C1099="","",IFERROR(INDEX(DESPACHOS!$G$3:$G$3002,MATCH($C1099,DESPACHOS!$B$3:$B$3002,0)),""))</f>
        <v/>
      </c>
      <c r="I1099" s="39">
        <f>IF($C1099="","",IFERROR(INDEX(DESPACHOS!$H$3:$H$3002,MATCH($C1099,DESPACHOS!$B$3:$B$3002,0)),""))</f>
        <v/>
      </c>
      <c r="J1099" s="43">
        <f>IF($C1099="","",IFERROR(INDEX(DESPACHOS!$J$3:$J$3002,MATCH($C1099,DESPACHOS!$B$3:$B$3002,0)),""))</f>
        <v/>
      </c>
      <c r="K1099" s="39">
        <f>IF($C1099="","",IF(COUNTIFS(DESPACHOS!$B$3:$B$3002,$C1099)=0,"NO EXISTE",IF(COUNTIFS(DESPACHOS!$B$3:$B$3002,$C1099)&gt;1,"DUPLICADO","OK")))</f>
        <v/>
      </c>
      <c r="L1099" s="41" t="n"/>
      <c r="M1099" s="41" t="n"/>
      <c r="N1099" s="42">
        <f>IF($M1099="","",IFERROR(INDEX(LISTAS!$F$3:$F$42,MATCH($M1099,LISTAS!$E$3:$E$42,0)),"Por definir"))</f>
        <v/>
      </c>
      <c r="O1099" s="41" t="n"/>
      <c r="P1099" s="39">
        <f>IF($L1099="","",IFERROR(INDEX(LISTAS!$B$3:$B$42,MATCH($L1099,LISTAS!$A$3:$A$42,0)),"Media"))</f>
        <v/>
      </c>
      <c r="Q1099" s="44" t="n"/>
      <c r="R1099" s="45" t="n"/>
      <c r="S1099" s="20">
        <f>IFERROR(IF(OR($R1099="",$C1099=""),"",$R1099/INDEX(DESPACHOS!$M$3:$M$3002,MATCH($C1099,DESPACHOS!$B$3:$B$3002,0))),"")</f>
        <v/>
      </c>
      <c r="T1099" s="41" t="n"/>
      <c r="U1099" s="43">
        <f>IF(OR($B1099="",$L1099=""),"",WORKDAY($B1099,IFERROR(INDEX(LISTAS!$C$3:$C$42,MATCH($L1099,LISTAS!$A$3:$A$42,0)),3)))</f>
        <v/>
      </c>
      <c r="V1099" s="40" t="n"/>
      <c r="W1099" s="19">
        <f>IF($B1099="","",IF($V1099&lt;&gt;"",$V1099-$B1099,TODAY()-$B1099))</f>
        <v/>
      </c>
      <c r="X1099" s="19">
        <f>IF(OR($B1099="",$U1099=""),"",IF($V1099&lt;&gt;"",MAX(0,$V1099-$U1099),MAX(0,TODAY()-$U1099)))</f>
        <v/>
      </c>
      <c r="Y1099" s="39">
        <f>IF($C1099="","",IF(IFERROR(INDEX(LISTAS!$I$3:$I$42,MATCH($T1099,LISTAS!$H$3:$H$42,0)),"NO")="SÍ",IF(N($X1099)&gt;0,"CERRADA FUERA DE SLA","CERRADA EN SLA"),IF($U1099="","SIN CLASIFICAR",IF(N($X1099)&gt;0,"VENCIDA",IF(TODAY()&gt;=$U1099-1,"POR VENCER","EN PLAZO")))))</f>
        <v/>
      </c>
      <c r="Z1099" s="41" t="n"/>
      <c r="AA1099" s="41" t="n"/>
      <c r="AB1099" s="41" t="n"/>
    </row>
    <row r="1100">
      <c r="A1100" s="39">
        <f>IF($C1100="","","NOV-"&amp;TEXT(ROW()-3,"0000"))</f>
        <v/>
      </c>
      <c r="B1100" s="40" t="n"/>
      <c r="C1100" s="41" t="n"/>
      <c r="D1100" s="42">
        <f>IF($C1100="","",IFERROR(INDEX(DESPACHOS!$D$3:$D$3002,MATCH($C1100,DESPACHOS!$B$3:$B$3002,0)),"SIN DESPACHO"))</f>
        <v/>
      </c>
      <c r="E1100" s="42">
        <f>IF($C1100="","",IFERROR(INDEX(DESPACHOS!$K$3:$K$3002,MATCH($C1100,DESPACHOS!$B$3:$B$3002,0)),""))</f>
        <v/>
      </c>
      <c r="F1100" s="42">
        <f>IF($C1100="","",IFERROR(INDEX(DESPACHOS!$I$3:$I$3002,MATCH($C1100,DESPACHOS!$B$3:$B$3002,0)),""))</f>
        <v/>
      </c>
      <c r="G1100" s="42">
        <f>IF($C1100="","",IFERROR(INDEX(DESPACHOS!$F$3:$F$3002,MATCH($C1100,DESPACHOS!$B$3:$B$3002,0)),""))</f>
        <v/>
      </c>
      <c r="H1100" s="42">
        <f>IF($C1100="","",IFERROR(INDEX(DESPACHOS!$G$3:$G$3002,MATCH($C1100,DESPACHOS!$B$3:$B$3002,0)),""))</f>
        <v/>
      </c>
      <c r="I1100" s="39">
        <f>IF($C1100="","",IFERROR(INDEX(DESPACHOS!$H$3:$H$3002,MATCH($C1100,DESPACHOS!$B$3:$B$3002,0)),""))</f>
        <v/>
      </c>
      <c r="J1100" s="43">
        <f>IF($C1100="","",IFERROR(INDEX(DESPACHOS!$J$3:$J$3002,MATCH($C1100,DESPACHOS!$B$3:$B$3002,0)),""))</f>
        <v/>
      </c>
      <c r="K1100" s="39">
        <f>IF($C1100="","",IF(COUNTIFS(DESPACHOS!$B$3:$B$3002,$C1100)=0,"NO EXISTE",IF(COUNTIFS(DESPACHOS!$B$3:$B$3002,$C1100)&gt;1,"DUPLICADO","OK")))</f>
        <v/>
      </c>
      <c r="L1100" s="41" t="n"/>
      <c r="M1100" s="41" t="n"/>
      <c r="N1100" s="42">
        <f>IF($M1100="","",IFERROR(INDEX(LISTAS!$F$3:$F$42,MATCH($M1100,LISTAS!$E$3:$E$42,0)),"Por definir"))</f>
        <v/>
      </c>
      <c r="O1100" s="41" t="n"/>
      <c r="P1100" s="39">
        <f>IF($L1100="","",IFERROR(INDEX(LISTAS!$B$3:$B$42,MATCH($L1100,LISTAS!$A$3:$A$42,0)),"Media"))</f>
        <v/>
      </c>
      <c r="Q1100" s="44" t="n"/>
      <c r="R1100" s="45" t="n"/>
      <c r="S1100" s="20">
        <f>IFERROR(IF(OR($R1100="",$C1100=""),"",$R1100/INDEX(DESPACHOS!$M$3:$M$3002,MATCH($C1100,DESPACHOS!$B$3:$B$3002,0))),"")</f>
        <v/>
      </c>
      <c r="T1100" s="41" t="n"/>
      <c r="U1100" s="43">
        <f>IF(OR($B1100="",$L1100=""),"",WORKDAY($B1100,IFERROR(INDEX(LISTAS!$C$3:$C$42,MATCH($L1100,LISTAS!$A$3:$A$42,0)),3)))</f>
        <v/>
      </c>
      <c r="V1100" s="40" t="n"/>
      <c r="W1100" s="19">
        <f>IF($B1100="","",IF($V1100&lt;&gt;"",$V1100-$B1100,TODAY()-$B1100))</f>
        <v/>
      </c>
      <c r="X1100" s="19">
        <f>IF(OR($B1100="",$U1100=""),"",IF($V1100&lt;&gt;"",MAX(0,$V1100-$U1100),MAX(0,TODAY()-$U1100)))</f>
        <v/>
      </c>
      <c r="Y1100" s="39">
        <f>IF($C1100="","",IF(IFERROR(INDEX(LISTAS!$I$3:$I$42,MATCH($T1100,LISTAS!$H$3:$H$42,0)),"NO")="SÍ",IF(N($X1100)&gt;0,"CERRADA FUERA DE SLA","CERRADA EN SLA"),IF($U1100="","SIN CLASIFICAR",IF(N($X1100)&gt;0,"VENCIDA",IF(TODAY()&gt;=$U1100-1,"POR VENCER","EN PLAZO")))))</f>
        <v/>
      </c>
      <c r="Z1100" s="41" t="n"/>
      <c r="AA1100" s="41" t="n"/>
      <c r="AB1100" s="41" t="n"/>
    </row>
    <row r="1101">
      <c r="A1101" s="39">
        <f>IF($C1101="","","NOV-"&amp;TEXT(ROW()-3,"0000"))</f>
        <v/>
      </c>
      <c r="B1101" s="40" t="n"/>
      <c r="C1101" s="41" t="n"/>
      <c r="D1101" s="42">
        <f>IF($C1101="","",IFERROR(INDEX(DESPACHOS!$D$3:$D$3002,MATCH($C1101,DESPACHOS!$B$3:$B$3002,0)),"SIN DESPACHO"))</f>
        <v/>
      </c>
      <c r="E1101" s="42">
        <f>IF($C1101="","",IFERROR(INDEX(DESPACHOS!$K$3:$K$3002,MATCH($C1101,DESPACHOS!$B$3:$B$3002,0)),""))</f>
        <v/>
      </c>
      <c r="F1101" s="42">
        <f>IF($C1101="","",IFERROR(INDEX(DESPACHOS!$I$3:$I$3002,MATCH($C1101,DESPACHOS!$B$3:$B$3002,0)),""))</f>
        <v/>
      </c>
      <c r="G1101" s="42">
        <f>IF($C1101="","",IFERROR(INDEX(DESPACHOS!$F$3:$F$3002,MATCH($C1101,DESPACHOS!$B$3:$B$3002,0)),""))</f>
        <v/>
      </c>
      <c r="H1101" s="42">
        <f>IF($C1101="","",IFERROR(INDEX(DESPACHOS!$G$3:$G$3002,MATCH($C1101,DESPACHOS!$B$3:$B$3002,0)),""))</f>
        <v/>
      </c>
      <c r="I1101" s="39">
        <f>IF($C1101="","",IFERROR(INDEX(DESPACHOS!$H$3:$H$3002,MATCH($C1101,DESPACHOS!$B$3:$B$3002,0)),""))</f>
        <v/>
      </c>
      <c r="J1101" s="43">
        <f>IF($C1101="","",IFERROR(INDEX(DESPACHOS!$J$3:$J$3002,MATCH($C1101,DESPACHOS!$B$3:$B$3002,0)),""))</f>
        <v/>
      </c>
      <c r="K1101" s="39">
        <f>IF($C1101="","",IF(COUNTIFS(DESPACHOS!$B$3:$B$3002,$C1101)=0,"NO EXISTE",IF(COUNTIFS(DESPACHOS!$B$3:$B$3002,$C1101)&gt;1,"DUPLICADO","OK")))</f>
        <v/>
      </c>
      <c r="L1101" s="41" t="n"/>
      <c r="M1101" s="41" t="n"/>
      <c r="N1101" s="42">
        <f>IF($M1101="","",IFERROR(INDEX(LISTAS!$F$3:$F$42,MATCH($M1101,LISTAS!$E$3:$E$42,0)),"Por definir"))</f>
        <v/>
      </c>
      <c r="O1101" s="41" t="n"/>
      <c r="P1101" s="39">
        <f>IF($L1101="","",IFERROR(INDEX(LISTAS!$B$3:$B$42,MATCH($L1101,LISTAS!$A$3:$A$42,0)),"Media"))</f>
        <v/>
      </c>
      <c r="Q1101" s="44" t="n"/>
      <c r="R1101" s="45" t="n"/>
      <c r="S1101" s="20">
        <f>IFERROR(IF(OR($R1101="",$C1101=""),"",$R1101/INDEX(DESPACHOS!$M$3:$M$3002,MATCH($C1101,DESPACHOS!$B$3:$B$3002,0))),"")</f>
        <v/>
      </c>
      <c r="T1101" s="41" t="n"/>
      <c r="U1101" s="43">
        <f>IF(OR($B1101="",$L1101=""),"",WORKDAY($B1101,IFERROR(INDEX(LISTAS!$C$3:$C$42,MATCH($L1101,LISTAS!$A$3:$A$42,0)),3)))</f>
        <v/>
      </c>
      <c r="V1101" s="40" t="n"/>
      <c r="W1101" s="19">
        <f>IF($B1101="","",IF($V1101&lt;&gt;"",$V1101-$B1101,TODAY()-$B1101))</f>
        <v/>
      </c>
      <c r="X1101" s="19">
        <f>IF(OR($B1101="",$U1101=""),"",IF($V1101&lt;&gt;"",MAX(0,$V1101-$U1101),MAX(0,TODAY()-$U1101)))</f>
        <v/>
      </c>
      <c r="Y1101" s="39">
        <f>IF($C1101="","",IF(IFERROR(INDEX(LISTAS!$I$3:$I$42,MATCH($T1101,LISTAS!$H$3:$H$42,0)),"NO")="SÍ",IF(N($X1101)&gt;0,"CERRADA FUERA DE SLA","CERRADA EN SLA"),IF($U1101="","SIN CLASIFICAR",IF(N($X1101)&gt;0,"VENCIDA",IF(TODAY()&gt;=$U1101-1,"POR VENCER","EN PLAZO")))))</f>
        <v/>
      </c>
      <c r="Z1101" s="41" t="n"/>
      <c r="AA1101" s="41" t="n"/>
      <c r="AB1101" s="41" t="n"/>
    </row>
    <row r="1102">
      <c r="A1102" s="39">
        <f>IF($C1102="","","NOV-"&amp;TEXT(ROW()-3,"0000"))</f>
        <v/>
      </c>
      <c r="B1102" s="40" t="n"/>
      <c r="C1102" s="41" t="n"/>
      <c r="D1102" s="42">
        <f>IF($C1102="","",IFERROR(INDEX(DESPACHOS!$D$3:$D$3002,MATCH($C1102,DESPACHOS!$B$3:$B$3002,0)),"SIN DESPACHO"))</f>
        <v/>
      </c>
      <c r="E1102" s="42">
        <f>IF($C1102="","",IFERROR(INDEX(DESPACHOS!$K$3:$K$3002,MATCH($C1102,DESPACHOS!$B$3:$B$3002,0)),""))</f>
        <v/>
      </c>
      <c r="F1102" s="42">
        <f>IF($C1102="","",IFERROR(INDEX(DESPACHOS!$I$3:$I$3002,MATCH($C1102,DESPACHOS!$B$3:$B$3002,0)),""))</f>
        <v/>
      </c>
      <c r="G1102" s="42">
        <f>IF($C1102="","",IFERROR(INDEX(DESPACHOS!$F$3:$F$3002,MATCH($C1102,DESPACHOS!$B$3:$B$3002,0)),""))</f>
        <v/>
      </c>
      <c r="H1102" s="42">
        <f>IF($C1102="","",IFERROR(INDEX(DESPACHOS!$G$3:$G$3002,MATCH($C1102,DESPACHOS!$B$3:$B$3002,0)),""))</f>
        <v/>
      </c>
      <c r="I1102" s="39">
        <f>IF($C1102="","",IFERROR(INDEX(DESPACHOS!$H$3:$H$3002,MATCH($C1102,DESPACHOS!$B$3:$B$3002,0)),""))</f>
        <v/>
      </c>
      <c r="J1102" s="43">
        <f>IF($C1102="","",IFERROR(INDEX(DESPACHOS!$J$3:$J$3002,MATCH($C1102,DESPACHOS!$B$3:$B$3002,0)),""))</f>
        <v/>
      </c>
      <c r="K1102" s="39">
        <f>IF($C1102="","",IF(COUNTIFS(DESPACHOS!$B$3:$B$3002,$C1102)=0,"NO EXISTE",IF(COUNTIFS(DESPACHOS!$B$3:$B$3002,$C1102)&gt;1,"DUPLICADO","OK")))</f>
        <v/>
      </c>
      <c r="L1102" s="41" t="n"/>
      <c r="M1102" s="41" t="n"/>
      <c r="N1102" s="42">
        <f>IF($M1102="","",IFERROR(INDEX(LISTAS!$F$3:$F$42,MATCH($M1102,LISTAS!$E$3:$E$42,0)),"Por definir"))</f>
        <v/>
      </c>
      <c r="O1102" s="41" t="n"/>
      <c r="P1102" s="39">
        <f>IF($L1102="","",IFERROR(INDEX(LISTAS!$B$3:$B$42,MATCH($L1102,LISTAS!$A$3:$A$42,0)),"Media"))</f>
        <v/>
      </c>
      <c r="Q1102" s="44" t="n"/>
      <c r="R1102" s="45" t="n"/>
      <c r="S1102" s="20">
        <f>IFERROR(IF(OR($R1102="",$C1102=""),"",$R1102/INDEX(DESPACHOS!$M$3:$M$3002,MATCH($C1102,DESPACHOS!$B$3:$B$3002,0))),"")</f>
        <v/>
      </c>
      <c r="T1102" s="41" t="n"/>
      <c r="U1102" s="43">
        <f>IF(OR($B1102="",$L1102=""),"",WORKDAY($B1102,IFERROR(INDEX(LISTAS!$C$3:$C$42,MATCH($L1102,LISTAS!$A$3:$A$42,0)),3)))</f>
        <v/>
      </c>
      <c r="V1102" s="40" t="n"/>
      <c r="W1102" s="19">
        <f>IF($B1102="","",IF($V1102&lt;&gt;"",$V1102-$B1102,TODAY()-$B1102))</f>
        <v/>
      </c>
      <c r="X1102" s="19">
        <f>IF(OR($B1102="",$U1102=""),"",IF($V1102&lt;&gt;"",MAX(0,$V1102-$U1102),MAX(0,TODAY()-$U1102)))</f>
        <v/>
      </c>
      <c r="Y1102" s="39">
        <f>IF($C1102="","",IF(IFERROR(INDEX(LISTAS!$I$3:$I$42,MATCH($T1102,LISTAS!$H$3:$H$42,0)),"NO")="SÍ",IF(N($X1102)&gt;0,"CERRADA FUERA DE SLA","CERRADA EN SLA"),IF($U1102="","SIN CLASIFICAR",IF(N($X1102)&gt;0,"VENCIDA",IF(TODAY()&gt;=$U1102-1,"POR VENCER","EN PLAZO")))))</f>
        <v/>
      </c>
      <c r="Z1102" s="41" t="n"/>
      <c r="AA1102" s="41" t="n"/>
      <c r="AB1102" s="41" t="n"/>
    </row>
    <row r="1103">
      <c r="A1103" s="39">
        <f>IF($C1103="","","NOV-"&amp;TEXT(ROW()-3,"0000"))</f>
        <v/>
      </c>
      <c r="B1103" s="40" t="n"/>
      <c r="C1103" s="41" t="n"/>
      <c r="D1103" s="42">
        <f>IF($C1103="","",IFERROR(INDEX(DESPACHOS!$D$3:$D$3002,MATCH($C1103,DESPACHOS!$B$3:$B$3002,0)),"SIN DESPACHO"))</f>
        <v/>
      </c>
      <c r="E1103" s="42">
        <f>IF($C1103="","",IFERROR(INDEX(DESPACHOS!$K$3:$K$3002,MATCH($C1103,DESPACHOS!$B$3:$B$3002,0)),""))</f>
        <v/>
      </c>
      <c r="F1103" s="42">
        <f>IF($C1103="","",IFERROR(INDEX(DESPACHOS!$I$3:$I$3002,MATCH($C1103,DESPACHOS!$B$3:$B$3002,0)),""))</f>
        <v/>
      </c>
      <c r="G1103" s="42">
        <f>IF($C1103="","",IFERROR(INDEX(DESPACHOS!$F$3:$F$3002,MATCH($C1103,DESPACHOS!$B$3:$B$3002,0)),""))</f>
        <v/>
      </c>
      <c r="H1103" s="42">
        <f>IF($C1103="","",IFERROR(INDEX(DESPACHOS!$G$3:$G$3002,MATCH($C1103,DESPACHOS!$B$3:$B$3002,0)),""))</f>
        <v/>
      </c>
      <c r="I1103" s="39">
        <f>IF($C1103="","",IFERROR(INDEX(DESPACHOS!$H$3:$H$3002,MATCH($C1103,DESPACHOS!$B$3:$B$3002,0)),""))</f>
        <v/>
      </c>
      <c r="J1103" s="43">
        <f>IF($C1103="","",IFERROR(INDEX(DESPACHOS!$J$3:$J$3002,MATCH($C1103,DESPACHOS!$B$3:$B$3002,0)),""))</f>
        <v/>
      </c>
      <c r="K1103" s="39">
        <f>IF($C1103="","",IF(COUNTIFS(DESPACHOS!$B$3:$B$3002,$C1103)=0,"NO EXISTE",IF(COUNTIFS(DESPACHOS!$B$3:$B$3002,$C1103)&gt;1,"DUPLICADO","OK")))</f>
        <v/>
      </c>
      <c r="L1103" s="41" t="n"/>
      <c r="M1103" s="41" t="n"/>
      <c r="N1103" s="42">
        <f>IF($M1103="","",IFERROR(INDEX(LISTAS!$F$3:$F$42,MATCH($M1103,LISTAS!$E$3:$E$42,0)),"Por definir"))</f>
        <v/>
      </c>
      <c r="O1103" s="41" t="n"/>
      <c r="P1103" s="39">
        <f>IF($L1103="","",IFERROR(INDEX(LISTAS!$B$3:$B$42,MATCH($L1103,LISTAS!$A$3:$A$42,0)),"Media"))</f>
        <v/>
      </c>
      <c r="Q1103" s="44" t="n"/>
      <c r="R1103" s="45" t="n"/>
      <c r="S1103" s="20">
        <f>IFERROR(IF(OR($R1103="",$C1103=""),"",$R1103/INDEX(DESPACHOS!$M$3:$M$3002,MATCH($C1103,DESPACHOS!$B$3:$B$3002,0))),"")</f>
        <v/>
      </c>
      <c r="T1103" s="41" t="n"/>
      <c r="U1103" s="43">
        <f>IF(OR($B1103="",$L1103=""),"",WORKDAY($B1103,IFERROR(INDEX(LISTAS!$C$3:$C$42,MATCH($L1103,LISTAS!$A$3:$A$42,0)),3)))</f>
        <v/>
      </c>
      <c r="V1103" s="40" t="n"/>
      <c r="W1103" s="19">
        <f>IF($B1103="","",IF($V1103&lt;&gt;"",$V1103-$B1103,TODAY()-$B1103))</f>
        <v/>
      </c>
      <c r="X1103" s="19">
        <f>IF(OR($B1103="",$U1103=""),"",IF($V1103&lt;&gt;"",MAX(0,$V1103-$U1103),MAX(0,TODAY()-$U1103)))</f>
        <v/>
      </c>
      <c r="Y1103" s="39">
        <f>IF($C1103="","",IF(IFERROR(INDEX(LISTAS!$I$3:$I$42,MATCH($T1103,LISTAS!$H$3:$H$42,0)),"NO")="SÍ",IF(N($X1103)&gt;0,"CERRADA FUERA DE SLA","CERRADA EN SLA"),IF($U1103="","SIN CLASIFICAR",IF(N($X1103)&gt;0,"VENCIDA",IF(TODAY()&gt;=$U1103-1,"POR VENCER","EN PLAZO")))))</f>
        <v/>
      </c>
      <c r="Z1103" s="41" t="n"/>
      <c r="AA1103" s="41" t="n"/>
      <c r="AB1103" s="41" t="n"/>
    </row>
    <row r="1104">
      <c r="A1104" s="39">
        <f>IF($C1104="","","NOV-"&amp;TEXT(ROW()-3,"0000"))</f>
        <v/>
      </c>
      <c r="B1104" s="40" t="n"/>
      <c r="C1104" s="41" t="n"/>
      <c r="D1104" s="42">
        <f>IF($C1104="","",IFERROR(INDEX(DESPACHOS!$D$3:$D$3002,MATCH($C1104,DESPACHOS!$B$3:$B$3002,0)),"SIN DESPACHO"))</f>
        <v/>
      </c>
      <c r="E1104" s="42">
        <f>IF($C1104="","",IFERROR(INDEX(DESPACHOS!$K$3:$K$3002,MATCH($C1104,DESPACHOS!$B$3:$B$3002,0)),""))</f>
        <v/>
      </c>
      <c r="F1104" s="42">
        <f>IF($C1104="","",IFERROR(INDEX(DESPACHOS!$I$3:$I$3002,MATCH($C1104,DESPACHOS!$B$3:$B$3002,0)),""))</f>
        <v/>
      </c>
      <c r="G1104" s="42">
        <f>IF($C1104="","",IFERROR(INDEX(DESPACHOS!$F$3:$F$3002,MATCH($C1104,DESPACHOS!$B$3:$B$3002,0)),""))</f>
        <v/>
      </c>
      <c r="H1104" s="42">
        <f>IF($C1104="","",IFERROR(INDEX(DESPACHOS!$G$3:$G$3002,MATCH($C1104,DESPACHOS!$B$3:$B$3002,0)),""))</f>
        <v/>
      </c>
      <c r="I1104" s="39">
        <f>IF($C1104="","",IFERROR(INDEX(DESPACHOS!$H$3:$H$3002,MATCH($C1104,DESPACHOS!$B$3:$B$3002,0)),""))</f>
        <v/>
      </c>
      <c r="J1104" s="43">
        <f>IF($C1104="","",IFERROR(INDEX(DESPACHOS!$J$3:$J$3002,MATCH($C1104,DESPACHOS!$B$3:$B$3002,0)),""))</f>
        <v/>
      </c>
      <c r="K1104" s="39">
        <f>IF($C1104="","",IF(COUNTIFS(DESPACHOS!$B$3:$B$3002,$C1104)=0,"NO EXISTE",IF(COUNTIFS(DESPACHOS!$B$3:$B$3002,$C1104)&gt;1,"DUPLICADO","OK")))</f>
        <v/>
      </c>
      <c r="L1104" s="41" t="n"/>
      <c r="M1104" s="41" t="n"/>
      <c r="N1104" s="42">
        <f>IF($M1104="","",IFERROR(INDEX(LISTAS!$F$3:$F$42,MATCH($M1104,LISTAS!$E$3:$E$42,0)),"Por definir"))</f>
        <v/>
      </c>
      <c r="O1104" s="41" t="n"/>
      <c r="P1104" s="39">
        <f>IF($L1104="","",IFERROR(INDEX(LISTAS!$B$3:$B$42,MATCH($L1104,LISTAS!$A$3:$A$42,0)),"Media"))</f>
        <v/>
      </c>
      <c r="Q1104" s="44" t="n"/>
      <c r="R1104" s="45" t="n"/>
      <c r="S1104" s="20">
        <f>IFERROR(IF(OR($R1104="",$C1104=""),"",$R1104/INDEX(DESPACHOS!$M$3:$M$3002,MATCH($C1104,DESPACHOS!$B$3:$B$3002,0))),"")</f>
        <v/>
      </c>
      <c r="T1104" s="41" t="n"/>
      <c r="U1104" s="43">
        <f>IF(OR($B1104="",$L1104=""),"",WORKDAY($B1104,IFERROR(INDEX(LISTAS!$C$3:$C$42,MATCH($L1104,LISTAS!$A$3:$A$42,0)),3)))</f>
        <v/>
      </c>
      <c r="V1104" s="40" t="n"/>
      <c r="W1104" s="19">
        <f>IF($B1104="","",IF($V1104&lt;&gt;"",$V1104-$B1104,TODAY()-$B1104))</f>
        <v/>
      </c>
      <c r="X1104" s="19">
        <f>IF(OR($B1104="",$U1104=""),"",IF($V1104&lt;&gt;"",MAX(0,$V1104-$U1104),MAX(0,TODAY()-$U1104)))</f>
        <v/>
      </c>
      <c r="Y1104" s="39">
        <f>IF($C1104="","",IF(IFERROR(INDEX(LISTAS!$I$3:$I$42,MATCH($T1104,LISTAS!$H$3:$H$42,0)),"NO")="SÍ",IF(N($X1104)&gt;0,"CERRADA FUERA DE SLA","CERRADA EN SLA"),IF($U1104="","SIN CLASIFICAR",IF(N($X1104)&gt;0,"VENCIDA",IF(TODAY()&gt;=$U1104-1,"POR VENCER","EN PLAZO")))))</f>
        <v/>
      </c>
      <c r="Z1104" s="41" t="n"/>
      <c r="AA1104" s="41" t="n"/>
      <c r="AB1104" s="41" t="n"/>
    </row>
    <row r="1105">
      <c r="A1105" s="39">
        <f>IF($C1105="","","NOV-"&amp;TEXT(ROW()-3,"0000"))</f>
        <v/>
      </c>
      <c r="B1105" s="40" t="n"/>
      <c r="C1105" s="41" t="n"/>
      <c r="D1105" s="42">
        <f>IF($C1105="","",IFERROR(INDEX(DESPACHOS!$D$3:$D$3002,MATCH($C1105,DESPACHOS!$B$3:$B$3002,0)),"SIN DESPACHO"))</f>
        <v/>
      </c>
      <c r="E1105" s="42">
        <f>IF($C1105="","",IFERROR(INDEX(DESPACHOS!$K$3:$K$3002,MATCH($C1105,DESPACHOS!$B$3:$B$3002,0)),""))</f>
        <v/>
      </c>
      <c r="F1105" s="42">
        <f>IF($C1105="","",IFERROR(INDEX(DESPACHOS!$I$3:$I$3002,MATCH($C1105,DESPACHOS!$B$3:$B$3002,0)),""))</f>
        <v/>
      </c>
      <c r="G1105" s="42">
        <f>IF($C1105="","",IFERROR(INDEX(DESPACHOS!$F$3:$F$3002,MATCH($C1105,DESPACHOS!$B$3:$B$3002,0)),""))</f>
        <v/>
      </c>
      <c r="H1105" s="42">
        <f>IF($C1105="","",IFERROR(INDEX(DESPACHOS!$G$3:$G$3002,MATCH($C1105,DESPACHOS!$B$3:$B$3002,0)),""))</f>
        <v/>
      </c>
      <c r="I1105" s="39">
        <f>IF($C1105="","",IFERROR(INDEX(DESPACHOS!$H$3:$H$3002,MATCH($C1105,DESPACHOS!$B$3:$B$3002,0)),""))</f>
        <v/>
      </c>
      <c r="J1105" s="43">
        <f>IF($C1105="","",IFERROR(INDEX(DESPACHOS!$J$3:$J$3002,MATCH($C1105,DESPACHOS!$B$3:$B$3002,0)),""))</f>
        <v/>
      </c>
      <c r="K1105" s="39">
        <f>IF($C1105="","",IF(COUNTIFS(DESPACHOS!$B$3:$B$3002,$C1105)=0,"NO EXISTE",IF(COUNTIFS(DESPACHOS!$B$3:$B$3002,$C1105)&gt;1,"DUPLICADO","OK")))</f>
        <v/>
      </c>
      <c r="L1105" s="41" t="n"/>
      <c r="M1105" s="41" t="n"/>
      <c r="N1105" s="42">
        <f>IF($M1105="","",IFERROR(INDEX(LISTAS!$F$3:$F$42,MATCH($M1105,LISTAS!$E$3:$E$42,0)),"Por definir"))</f>
        <v/>
      </c>
      <c r="O1105" s="41" t="n"/>
      <c r="P1105" s="39">
        <f>IF($L1105="","",IFERROR(INDEX(LISTAS!$B$3:$B$42,MATCH($L1105,LISTAS!$A$3:$A$42,0)),"Media"))</f>
        <v/>
      </c>
      <c r="Q1105" s="44" t="n"/>
      <c r="R1105" s="45" t="n"/>
      <c r="S1105" s="20">
        <f>IFERROR(IF(OR($R1105="",$C1105=""),"",$R1105/INDEX(DESPACHOS!$M$3:$M$3002,MATCH($C1105,DESPACHOS!$B$3:$B$3002,0))),"")</f>
        <v/>
      </c>
      <c r="T1105" s="41" t="n"/>
      <c r="U1105" s="43">
        <f>IF(OR($B1105="",$L1105=""),"",WORKDAY($B1105,IFERROR(INDEX(LISTAS!$C$3:$C$42,MATCH($L1105,LISTAS!$A$3:$A$42,0)),3)))</f>
        <v/>
      </c>
      <c r="V1105" s="40" t="n"/>
      <c r="W1105" s="19">
        <f>IF($B1105="","",IF($V1105&lt;&gt;"",$V1105-$B1105,TODAY()-$B1105))</f>
        <v/>
      </c>
      <c r="X1105" s="19">
        <f>IF(OR($B1105="",$U1105=""),"",IF($V1105&lt;&gt;"",MAX(0,$V1105-$U1105),MAX(0,TODAY()-$U1105)))</f>
        <v/>
      </c>
      <c r="Y1105" s="39">
        <f>IF($C1105="","",IF(IFERROR(INDEX(LISTAS!$I$3:$I$42,MATCH($T1105,LISTAS!$H$3:$H$42,0)),"NO")="SÍ",IF(N($X1105)&gt;0,"CERRADA FUERA DE SLA","CERRADA EN SLA"),IF($U1105="","SIN CLASIFICAR",IF(N($X1105)&gt;0,"VENCIDA",IF(TODAY()&gt;=$U1105-1,"POR VENCER","EN PLAZO")))))</f>
        <v/>
      </c>
      <c r="Z1105" s="41" t="n"/>
      <c r="AA1105" s="41" t="n"/>
      <c r="AB1105" s="41" t="n"/>
    </row>
    <row r="1106">
      <c r="A1106" s="39">
        <f>IF($C1106="","","NOV-"&amp;TEXT(ROW()-3,"0000"))</f>
        <v/>
      </c>
      <c r="B1106" s="40" t="n"/>
      <c r="C1106" s="41" t="n"/>
      <c r="D1106" s="42">
        <f>IF($C1106="","",IFERROR(INDEX(DESPACHOS!$D$3:$D$3002,MATCH($C1106,DESPACHOS!$B$3:$B$3002,0)),"SIN DESPACHO"))</f>
        <v/>
      </c>
      <c r="E1106" s="42">
        <f>IF($C1106="","",IFERROR(INDEX(DESPACHOS!$K$3:$K$3002,MATCH($C1106,DESPACHOS!$B$3:$B$3002,0)),""))</f>
        <v/>
      </c>
      <c r="F1106" s="42">
        <f>IF($C1106="","",IFERROR(INDEX(DESPACHOS!$I$3:$I$3002,MATCH($C1106,DESPACHOS!$B$3:$B$3002,0)),""))</f>
        <v/>
      </c>
      <c r="G1106" s="42">
        <f>IF($C1106="","",IFERROR(INDEX(DESPACHOS!$F$3:$F$3002,MATCH($C1106,DESPACHOS!$B$3:$B$3002,0)),""))</f>
        <v/>
      </c>
      <c r="H1106" s="42">
        <f>IF($C1106="","",IFERROR(INDEX(DESPACHOS!$G$3:$G$3002,MATCH($C1106,DESPACHOS!$B$3:$B$3002,0)),""))</f>
        <v/>
      </c>
      <c r="I1106" s="39">
        <f>IF($C1106="","",IFERROR(INDEX(DESPACHOS!$H$3:$H$3002,MATCH($C1106,DESPACHOS!$B$3:$B$3002,0)),""))</f>
        <v/>
      </c>
      <c r="J1106" s="43">
        <f>IF($C1106="","",IFERROR(INDEX(DESPACHOS!$J$3:$J$3002,MATCH($C1106,DESPACHOS!$B$3:$B$3002,0)),""))</f>
        <v/>
      </c>
      <c r="K1106" s="39">
        <f>IF($C1106="","",IF(COUNTIFS(DESPACHOS!$B$3:$B$3002,$C1106)=0,"NO EXISTE",IF(COUNTIFS(DESPACHOS!$B$3:$B$3002,$C1106)&gt;1,"DUPLICADO","OK")))</f>
        <v/>
      </c>
      <c r="L1106" s="41" t="n"/>
      <c r="M1106" s="41" t="n"/>
      <c r="N1106" s="42">
        <f>IF($M1106="","",IFERROR(INDEX(LISTAS!$F$3:$F$42,MATCH($M1106,LISTAS!$E$3:$E$42,0)),"Por definir"))</f>
        <v/>
      </c>
      <c r="O1106" s="41" t="n"/>
      <c r="P1106" s="39">
        <f>IF($L1106="","",IFERROR(INDEX(LISTAS!$B$3:$B$42,MATCH($L1106,LISTAS!$A$3:$A$42,0)),"Media"))</f>
        <v/>
      </c>
      <c r="Q1106" s="44" t="n"/>
      <c r="R1106" s="45" t="n"/>
      <c r="S1106" s="20">
        <f>IFERROR(IF(OR($R1106="",$C1106=""),"",$R1106/INDEX(DESPACHOS!$M$3:$M$3002,MATCH($C1106,DESPACHOS!$B$3:$B$3002,0))),"")</f>
        <v/>
      </c>
      <c r="T1106" s="41" t="n"/>
      <c r="U1106" s="43">
        <f>IF(OR($B1106="",$L1106=""),"",WORKDAY($B1106,IFERROR(INDEX(LISTAS!$C$3:$C$42,MATCH($L1106,LISTAS!$A$3:$A$42,0)),3)))</f>
        <v/>
      </c>
      <c r="V1106" s="40" t="n"/>
      <c r="W1106" s="19">
        <f>IF($B1106="","",IF($V1106&lt;&gt;"",$V1106-$B1106,TODAY()-$B1106))</f>
        <v/>
      </c>
      <c r="X1106" s="19">
        <f>IF(OR($B1106="",$U1106=""),"",IF($V1106&lt;&gt;"",MAX(0,$V1106-$U1106),MAX(0,TODAY()-$U1106)))</f>
        <v/>
      </c>
      <c r="Y1106" s="39">
        <f>IF($C1106="","",IF(IFERROR(INDEX(LISTAS!$I$3:$I$42,MATCH($T1106,LISTAS!$H$3:$H$42,0)),"NO")="SÍ",IF(N($X1106)&gt;0,"CERRADA FUERA DE SLA","CERRADA EN SLA"),IF($U1106="","SIN CLASIFICAR",IF(N($X1106)&gt;0,"VENCIDA",IF(TODAY()&gt;=$U1106-1,"POR VENCER","EN PLAZO")))))</f>
        <v/>
      </c>
      <c r="Z1106" s="41" t="n"/>
      <c r="AA1106" s="41" t="n"/>
      <c r="AB1106" s="41" t="n"/>
    </row>
    <row r="1107">
      <c r="A1107" s="39">
        <f>IF($C1107="","","NOV-"&amp;TEXT(ROW()-3,"0000"))</f>
        <v/>
      </c>
      <c r="B1107" s="40" t="n"/>
      <c r="C1107" s="41" t="n"/>
      <c r="D1107" s="42">
        <f>IF($C1107="","",IFERROR(INDEX(DESPACHOS!$D$3:$D$3002,MATCH($C1107,DESPACHOS!$B$3:$B$3002,0)),"SIN DESPACHO"))</f>
        <v/>
      </c>
      <c r="E1107" s="42">
        <f>IF($C1107="","",IFERROR(INDEX(DESPACHOS!$K$3:$K$3002,MATCH($C1107,DESPACHOS!$B$3:$B$3002,0)),""))</f>
        <v/>
      </c>
      <c r="F1107" s="42">
        <f>IF($C1107="","",IFERROR(INDEX(DESPACHOS!$I$3:$I$3002,MATCH($C1107,DESPACHOS!$B$3:$B$3002,0)),""))</f>
        <v/>
      </c>
      <c r="G1107" s="42">
        <f>IF($C1107="","",IFERROR(INDEX(DESPACHOS!$F$3:$F$3002,MATCH($C1107,DESPACHOS!$B$3:$B$3002,0)),""))</f>
        <v/>
      </c>
      <c r="H1107" s="42">
        <f>IF($C1107="","",IFERROR(INDEX(DESPACHOS!$G$3:$G$3002,MATCH($C1107,DESPACHOS!$B$3:$B$3002,0)),""))</f>
        <v/>
      </c>
      <c r="I1107" s="39">
        <f>IF($C1107="","",IFERROR(INDEX(DESPACHOS!$H$3:$H$3002,MATCH($C1107,DESPACHOS!$B$3:$B$3002,0)),""))</f>
        <v/>
      </c>
      <c r="J1107" s="43">
        <f>IF($C1107="","",IFERROR(INDEX(DESPACHOS!$J$3:$J$3002,MATCH($C1107,DESPACHOS!$B$3:$B$3002,0)),""))</f>
        <v/>
      </c>
      <c r="K1107" s="39">
        <f>IF($C1107="","",IF(COUNTIFS(DESPACHOS!$B$3:$B$3002,$C1107)=0,"NO EXISTE",IF(COUNTIFS(DESPACHOS!$B$3:$B$3002,$C1107)&gt;1,"DUPLICADO","OK")))</f>
        <v/>
      </c>
      <c r="L1107" s="41" t="n"/>
      <c r="M1107" s="41" t="n"/>
      <c r="N1107" s="42">
        <f>IF($M1107="","",IFERROR(INDEX(LISTAS!$F$3:$F$42,MATCH($M1107,LISTAS!$E$3:$E$42,0)),"Por definir"))</f>
        <v/>
      </c>
      <c r="O1107" s="41" t="n"/>
      <c r="P1107" s="39">
        <f>IF($L1107="","",IFERROR(INDEX(LISTAS!$B$3:$B$42,MATCH($L1107,LISTAS!$A$3:$A$42,0)),"Media"))</f>
        <v/>
      </c>
      <c r="Q1107" s="44" t="n"/>
      <c r="R1107" s="45" t="n"/>
      <c r="S1107" s="20">
        <f>IFERROR(IF(OR($R1107="",$C1107=""),"",$R1107/INDEX(DESPACHOS!$M$3:$M$3002,MATCH($C1107,DESPACHOS!$B$3:$B$3002,0))),"")</f>
        <v/>
      </c>
      <c r="T1107" s="41" t="n"/>
      <c r="U1107" s="43">
        <f>IF(OR($B1107="",$L1107=""),"",WORKDAY($B1107,IFERROR(INDEX(LISTAS!$C$3:$C$42,MATCH($L1107,LISTAS!$A$3:$A$42,0)),3)))</f>
        <v/>
      </c>
      <c r="V1107" s="40" t="n"/>
      <c r="W1107" s="19">
        <f>IF($B1107="","",IF($V1107&lt;&gt;"",$V1107-$B1107,TODAY()-$B1107))</f>
        <v/>
      </c>
      <c r="X1107" s="19">
        <f>IF(OR($B1107="",$U1107=""),"",IF($V1107&lt;&gt;"",MAX(0,$V1107-$U1107),MAX(0,TODAY()-$U1107)))</f>
        <v/>
      </c>
      <c r="Y1107" s="39">
        <f>IF($C1107="","",IF(IFERROR(INDEX(LISTAS!$I$3:$I$42,MATCH($T1107,LISTAS!$H$3:$H$42,0)),"NO")="SÍ",IF(N($X1107)&gt;0,"CERRADA FUERA DE SLA","CERRADA EN SLA"),IF($U1107="","SIN CLASIFICAR",IF(N($X1107)&gt;0,"VENCIDA",IF(TODAY()&gt;=$U1107-1,"POR VENCER","EN PLAZO")))))</f>
        <v/>
      </c>
      <c r="Z1107" s="41" t="n"/>
      <c r="AA1107" s="41" t="n"/>
      <c r="AB1107" s="41" t="n"/>
    </row>
    <row r="1108">
      <c r="A1108" s="39">
        <f>IF($C1108="","","NOV-"&amp;TEXT(ROW()-3,"0000"))</f>
        <v/>
      </c>
      <c r="B1108" s="40" t="n"/>
      <c r="C1108" s="41" t="n"/>
      <c r="D1108" s="42">
        <f>IF($C1108="","",IFERROR(INDEX(DESPACHOS!$D$3:$D$3002,MATCH($C1108,DESPACHOS!$B$3:$B$3002,0)),"SIN DESPACHO"))</f>
        <v/>
      </c>
      <c r="E1108" s="42">
        <f>IF($C1108="","",IFERROR(INDEX(DESPACHOS!$K$3:$K$3002,MATCH($C1108,DESPACHOS!$B$3:$B$3002,0)),""))</f>
        <v/>
      </c>
      <c r="F1108" s="42">
        <f>IF($C1108="","",IFERROR(INDEX(DESPACHOS!$I$3:$I$3002,MATCH($C1108,DESPACHOS!$B$3:$B$3002,0)),""))</f>
        <v/>
      </c>
      <c r="G1108" s="42">
        <f>IF($C1108="","",IFERROR(INDEX(DESPACHOS!$F$3:$F$3002,MATCH($C1108,DESPACHOS!$B$3:$B$3002,0)),""))</f>
        <v/>
      </c>
      <c r="H1108" s="42">
        <f>IF($C1108="","",IFERROR(INDEX(DESPACHOS!$G$3:$G$3002,MATCH($C1108,DESPACHOS!$B$3:$B$3002,0)),""))</f>
        <v/>
      </c>
      <c r="I1108" s="39">
        <f>IF($C1108="","",IFERROR(INDEX(DESPACHOS!$H$3:$H$3002,MATCH($C1108,DESPACHOS!$B$3:$B$3002,0)),""))</f>
        <v/>
      </c>
      <c r="J1108" s="43">
        <f>IF($C1108="","",IFERROR(INDEX(DESPACHOS!$J$3:$J$3002,MATCH($C1108,DESPACHOS!$B$3:$B$3002,0)),""))</f>
        <v/>
      </c>
      <c r="K1108" s="39">
        <f>IF($C1108="","",IF(COUNTIFS(DESPACHOS!$B$3:$B$3002,$C1108)=0,"NO EXISTE",IF(COUNTIFS(DESPACHOS!$B$3:$B$3002,$C1108)&gt;1,"DUPLICADO","OK")))</f>
        <v/>
      </c>
      <c r="L1108" s="41" t="n"/>
      <c r="M1108" s="41" t="n"/>
      <c r="N1108" s="42">
        <f>IF($M1108="","",IFERROR(INDEX(LISTAS!$F$3:$F$42,MATCH($M1108,LISTAS!$E$3:$E$42,0)),"Por definir"))</f>
        <v/>
      </c>
      <c r="O1108" s="41" t="n"/>
      <c r="P1108" s="39">
        <f>IF($L1108="","",IFERROR(INDEX(LISTAS!$B$3:$B$42,MATCH($L1108,LISTAS!$A$3:$A$42,0)),"Media"))</f>
        <v/>
      </c>
      <c r="Q1108" s="44" t="n"/>
      <c r="R1108" s="45" t="n"/>
      <c r="S1108" s="20">
        <f>IFERROR(IF(OR($R1108="",$C1108=""),"",$R1108/INDEX(DESPACHOS!$M$3:$M$3002,MATCH($C1108,DESPACHOS!$B$3:$B$3002,0))),"")</f>
        <v/>
      </c>
      <c r="T1108" s="41" t="n"/>
      <c r="U1108" s="43">
        <f>IF(OR($B1108="",$L1108=""),"",WORKDAY($B1108,IFERROR(INDEX(LISTAS!$C$3:$C$42,MATCH($L1108,LISTAS!$A$3:$A$42,0)),3)))</f>
        <v/>
      </c>
      <c r="V1108" s="40" t="n"/>
      <c r="W1108" s="19">
        <f>IF($B1108="","",IF($V1108&lt;&gt;"",$V1108-$B1108,TODAY()-$B1108))</f>
        <v/>
      </c>
      <c r="X1108" s="19">
        <f>IF(OR($B1108="",$U1108=""),"",IF($V1108&lt;&gt;"",MAX(0,$V1108-$U1108),MAX(0,TODAY()-$U1108)))</f>
        <v/>
      </c>
      <c r="Y1108" s="39">
        <f>IF($C1108="","",IF(IFERROR(INDEX(LISTAS!$I$3:$I$42,MATCH($T1108,LISTAS!$H$3:$H$42,0)),"NO")="SÍ",IF(N($X1108)&gt;0,"CERRADA FUERA DE SLA","CERRADA EN SLA"),IF($U1108="","SIN CLASIFICAR",IF(N($X1108)&gt;0,"VENCIDA",IF(TODAY()&gt;=$U1108-1,"POR VENCER","EN PLAZO")))))</f>
        <v/>
      </c>
      <c r="Z1108" s="41" t="n"/>
      <c r="AA1108" s="41" t="n"/>
      <c r="AB1108" s="41" t="n"/>
    </row>
    <row r="1109">
      <c r="A1109" s="39">
        <f>IF($C1109="","","NOV-"&amp;TEXT(ROW()-3,"0000"))</f>
        <v/>
      </c>
      <c r="B1109" s="40" t="n"/>
      <c r="C1109" s="41" t="n"/>
      <c r="D1109" s="42">
        <f>IF($C1109="","",IFERROR(INDEX(DESPACHOS!$D$3:$D$3002,MATCH($C1109,DESPACHOS!$B$3:$B$3002,0)),"SIN DESPACHO"))</f>
        <v/>
      </c>
      <c r="E1109" s="42">
        <f>IF($C1109="","",IFERROR(INDEX(DESPACHOS!$K$3:$K$3002,MATCH($C1109,DESPACHOS!$B$3:$B$3002,0)),""))</f>
        <v/>
      </c>
      <c r="F1109" s="42">
        <f>IF($C1109="","",IFERROR(INDEX(DESPACHOS!$I$3:$I$3002,MATCH($C1109,DESPACHOS!$B$3:$B$3002,0)),""))</f>
        <v/>
      </c>
      <c r="G1109" s="42">
        <f>IF($C1109="","",IFERROR(INDEX(DESPACHOS!$F$3:$F$3002,MATCH($C1109,DESPACHOS!$B$3:$B$3002,0)),""))</f>
        <v/>
      </c>
      <c r="H1109" s="42">
        <f>IF($C1109="","",IFERROR(INDEX(DESPACHOS!$G$3:$G$3002,MATCH($C1109,DESPACHOS!$B$3:$B$3002,0)),""))</f>
        <v/>
      </c>
      <c r="I1109" s="39">
        <f>IF($C1109="","",IFERROR(INDEX(DESPACHOS!$H$3:$H$3002,MATCH($C1109,DESPACHOS!$B$3:$B$3002,0)),""))</f>
        <v/>
      </c>
      <c r="J1109" s="43">
        <f>IF($C1109="","",IFERROR(INDEX(DESPACHOS!$J$3:$J$3002,MATCH($C1109,DESPACHOS!$B$3:$B$3002,0)),""))</f>
        <v/>
      </c>
      <c r="K1109" s="39">
        <f>IF($C1109="","",IF(COUNTIFS(DESPACHOS!$B$3:$B$3002,$C1109)=0,"NO EXISTE",IF(COUNTIFS(DESPACHOS!$B$3:$B$3002,$C1109)&gt;1,"DUPLICADO","OK")))</f>
        <v/>
      </c>
      <c r="L1109" s="41" t="n"/>
      <c r="M1109" s="41" t="n"/>
      <c r="N1109" s="42">
        <f>IF($M1109="","",IFERROR(INDEX(LISTAS!$F$3:$F$42,MATCH($M1109,LISTAS!$E$3:$E$42,0)),"Por definir"))</f>
        <v/>
      </c>
      <c r="O1109" s="41" t="n"/>
      <c r="P1109" s="39">
        <f>IF($L1109="","",IFERROR(INDEX(LISTAS!$B$3:$B$42,MATCH($L1109,LISTAS!$A$3:$A$42,0)),"Media"))</f>
        <v/>
      </c>
      <c r="Q1109" s="44" t="n"/>
      <c r="R1109" s="45" t="n"/>
      <c r="S1109" s="20">
        <f>IFERROR(IF(OR($R1109="",$C1109=""),"",$R1109/INDEX(DESPACHOS!$M$3:$M$3002,MATCH($C1109,DESPACHOS!$B$3:$B$3002,0))),"")</f>
        <v/>
      </c>
      <c r="T1109" s="41" t="n"/>
      <c r="U1109" s="43">
        <f>IF(OR($B1109="",$L1109=""),"",WORKDAY($B1109,IFERROR(INDEX(LISTAS!$C$3:$C$42,MATCH($L1109,LISTAS!$A$3:$A$42,0)),3)))</f>
        <v/>
      </c>
      <c r="V1109" s="40" t="n"/>
      <c r="W1109" s="19">
        <f>IF($B1109="","",IF($V1109&lt;&gt;"",$V1109-$B1109,TODAY()-$B1109))</f>
        <v/>
      </c>
      <c r="X1109" s="19">
        <f>IF(OR($B1109="",$U1109=""),"",IF($V1109&lt;&gt;"",MAX(0,$V1109-$U1109),MAX(0,TODAY()-$U1109)))</f>
        <v/>
      </c>
      <c r="Y1109" s="39">
        <f>IF($C1109="","",IF(IFERROR(INDEX(LISTAS!$I$3:$I$42,MATCH($T1109,LISTAS!$H$3:$H$42,0)),"NO")="SÍ",IF(N($X1109)&gt;0,"CERRADA FUERA DE SLA","CERRADA EN SLA"),IF($U1109="","SIN CLASIFICAR",IF(N($X1109)&gt;0,"VENCIDA",IF(TODAY()&gt;=$U1109-1,"POR VENCER","EN PLAZO")))))</f>
        <v/>
      </c>
      <c r="Z1109" s="41" t="n"/>
      <c r="AA1109" s="41" t="n"/>
      <c r="AB1109" s="41" t="n"/>
    </row>
    <row r="1110">
      <c r="A1110" s="39">
        <f>IF($C1110="","","NOV-"&amp;TEXT(ROW()-3,"0000"))</f>
        <v/>
      </c>
      <c r="B1110" s="40" t="n"/>
      <c r="C1110" s="41" t="n"/>
      <c r="D1110" s="42">
        <f>IF($C1110="","",IFERROR(INDEX(DESPACHOS!$D$3:$D$3002,MATCH($C1110,DESPACHOS!$B$3:$B$3002,0)),"SIN DESPACHO"))</f>
        <v/>
      </c>
      <c r="E1110" s="42">
        <f>IF($C1110="","",IFERROR(INDEX(DESPACHOS!$K$3:$K$3002,MATCH($C1110,DESPACHOS!$B$3:$B$3002,0)),""))</f>
        <v/>
      </c>
      <c r="F1110" s="42">
        <f>IF($C1110="","",IFERROR(INDEX(DESPACHOS!$I$3:$I$3002,MATCH($C1110,DESPACHOS!$B$3:$B$3002,0)),""))</f>
        <v/>
      </c>
      <c r="G1110" s="42">
        <f>IF($C1110="","",IFERROR(INDEX(DESPACHOS!$F$3:$F$3002,MATCH($C1110,DESPACHOS!$B$3:$B$3002,0)),""))</f>
        <v/>
      </c>
      <c r="H1110" s="42">
        <f>IF($C1110="","",IFERROR(INDEX(DESPACHOS!$G$3:$G$3002,MATCH($C1110,DESPACHOS!$B$3:$B$3002,0)),""))</f>
        <v/>
      </c>
      <c r="I1110" s="39">
        <f>IF($C1110="","",IFERROR(INDEX(DESPACHOS!$H$3:$H$3002,MATCH($C1110,DESPACHOS!$B$3:$B$3002,0)),""))</f>
        <v/>
      </c>
      <c r="J1110" s="43">
        <f>IF($C1110="","",IFERROR(INDEX(DESPACHOS!$J$3:$J$3002,MATCH($C1110,DESPACHOS!$B$3:$B$3002,0)),""))</f>
        <v/>
      </c>
      <c r="K1110" s="39">
        <f>IF($C1110="","",IF(COUNTIFS(DESPACHOS!$B$3:$B$3002,$C1110)=0,"NO EXISTE",IF(COUNTIFS(DESPACHOS!$B$3:$B$3002,$C1110)&gt;1,"DUPLICADO","OK")))</f>
        <v/>
      </c>
      <c r="L1110" s="41" t="n"/>
      <c r="M1110" s="41" t="n"/>
      <c r="N1110" s="42">
        <f>IF($M1110="","",IFERROR(INDEX(LISTAS!$F$3:$F$42,MATCH($M1110,LISTAS!$E$3:$E$42,0)),"Por definir"))</f>
        <v/>
      </c>
      <c r="O1110" s="41" t="n"/>
      <c r="P1110" s="39">
        <f>IF($L1110="","",IFERROR(INDEX(LISTAS!$B$3:$B$42,MATCH($L1110,LISTAS!$A$3:$A$42,0)),"Media"))</f>
        <v/>
      </c>
      <c r="Q1110" s="44" t="n"/>
      <c r="R1110" s="45" t="n"/>
      <c r="S1110" s="20">
        <f>IFERROR(IF(OR($R1110="",$C1110=""),"",$R1110/INDEX(DESPACHOS!$M$3:$M$3002,MATCH($C1110,DESPACHOS!$B$3:$B$3002,0))),"")</f>
        <v/>
      </c>
      <c r="T1110" s="41" t="n"/>
      <c r="U1110" s="43">
        <f>IF(OR($B1110="",$L1110=""),"",WORKDAY($B1110,IFERROR(INDEX(LISTAS!$C$3:$C$42,MATCH($L1110,LISTAS!$A$3:$A$42,0)),3)))</f>
        <v/>
      </c>
      <c r="V1110" s="40" t="n"/>
      <c r="W1110" s="19">
        <f>IF($B1110="","",IF($V1110&lt;&gt;"",$V1110-$B1110,TODAY()-$B1110))</f>
        <v/>
      </c>
      <c r="X1110" s="19">
        <f>IF(OR($B1110="",$U1110=""),"",IF($V1110&lt;&gt;"",MAX(0,$V1110-$U1110),MAX(0,TODAY()-$U1110)))</f>
        <v/>
      </c>
      <c r="Y1110" s="39">
        <f>IF($C1110="","",IF(IFERROR(INDEX(LISTAS!$I$3:$I$42,MATCH($T1110,LISTAS!$H$3:$H$42,0)),"NO")="SÍ",IF(N($X1110)&gt;0,"CERRADA FUERA DE SLA","CERRADA EN SLA"),IF($U1110="","SIN CLASIFICAR",IF(N($X1110)&gt;0,"VENCIDA",IF(TODAY()&gt;=$U1110-1,"POR VENCER","EN PLAZO")))))</f>
        <v/>
      </c>
      <c r="Z1110" s="41" t="n"/>
      <c r="AA1110" s="41" t="n"/>
      <c r="AB1110" s="41" t="n"/>
    </row>
    <row r="1111">
      <c r="A1111" s="39">
        <f>IF($C1111="","","NOV-"&amp;TEXT(ROW()-3,"0000"))</f>
        <v/>
      </c>
      <c r="B1111" s="40" t="n"/>
      <c r="C1111" s="41" t="n"/>
      <c r="D1111" s="42">
        <f>IF($C1111="","",IFERROR(INDEX(DESPACHOS!$D$3:$D$3002,MATCH($C1111,DESPACHOS!$B$3:$B$3002,0)),"SIN DESPACHO"))</f>
        <v/>
      </c>
      <c r="E1111" s="42">
        <f>IF($C1111="","",IFERROR(INDEX(DESPACHOS!$K$3:$K$3002,MATCH($C1111,DESPACHOS!$B$3:$B$3002,0)),""))</f>
        <v/>
      </c>
      <c r="F1111" s="42">
        <f>IF($C1111="","",IFERROR(INDEX(DESPACHOS!$I$3:$I$3002,MATCH($C1111,DESPACHOS!$B$3:$B$3002,0)),""))</f>
        <v/>
      </c>
      <c r="G1111" s="42">
        <f>IF($C1111="","",IFERROR(INDEX(DESPACHOS!$F$3:$F$3002,MATCH($C1111,DESPACHOS!$B$3:$B$3002,0)),""))</f>
        <v/>
      </c>
      <c r="H1111" s="42">
        <f>IF($C1111="","",IFERROR(INDEX(DESPACHOS!$G$3:$G$3002,MATCH($C1111,DESPACHOS!$B$3:$B$3002,0)),""))</f>
        <v/>
      </c>
      <c r="I1111" s="39">
        <f>IF($C1111="","",IFERROR(INDEX(DESPACHOS!$H$3:$H$3002,MATCH($C1111,DESPACHOS!$B$3:$B$3002,0)),""))</f>
        <v/>
      </c>
      <c r="J1111" s="43">
        <f>IF($C1111="","",IFERROR(INDEX(DESPACHOS!$J$3:$J$3002,MATCH($C1111,DESPACHOS!$B$3:$B$3002,0)),""))</f>
        <v/>
      </c>
      <c r="K1111" s="39">
        <f>IF($C1111="","",IF(COUNTIFS(DESPACHOS!$B$3:$B$3002,$C1111)=0,"NO EXISTE",IF(COUNTIFS(DESPACHOS!$B$3:$B$3002,$C1111)&gt;1,"DUPLICADO","OK")))</f>
        <v/>
      </c>
      <c r="L1111" s="41" t="n"/>
      <c r="M1111" s="41" t="n"/>
      <c r="N1111" s="42">
        <f>IF($M1111="","",IFERROR(INDEX(LISTAS!$F$3:$F$42,MATCH($M1111,LISTAS!$E$3:$E$42,0)),"Por definir"))</f>
        <v/>
      </c>
      <c r="O1111" s="41" t="n"/>
      <c r="P1111" s="39">
        <f>IF($L1111="","",IFERROR(INDEX(LISTAS!$B$3:$B$42,MATCH($L1111,LISTAS!$A$3:$A$42,0)),"Media"))</f>
        <v/>
      </c>
      <c r="Q1111" s="44" t="n"/>
      <c r="R1111" s="45" t="n"/>
      <c r="S1111" s="20">
        <f>IFERROR(IF(OR($R1111="",$C1111=""),"",$R1111/INDEX(DESPACHOS!$M$3:$M$3002,MATCH($C1111,DESPACHOS!$B$3:$B$3002,0))),"")</f>
        <v/>
      </c>
      <c r="T1111" s="41" t="n"/>
      <c r="U1111" s="43">
        <f>IF(OR($B1111="",$L1111=""),"",WORKDAY($B1111,IFERROR(INDEX(LISTAS!$C$3:$C$42,MATCH($L1111,LISTAS!$A$3:$A$42,0)),3)))</f>
        <v/>
      </c>
      <c r="V1111" s="40" t="n"/>
      <c r="W1111" s="19">
        <f>IF($B1111="","",IF($V1111&lt;&gt;"",$V1111-$B1111,TODAY()-$B1111))</f>
        <v/>
      </c>
      <c r="X1111" s="19">
        <f>IF(OR($B1111="",$U1111=""),"",IF($V1111&lt;&gt;"",MAX(0,$V1111-$U1111),MAX(0,TODAY()-$U1111)))</f>
        <v/>
      </c>
      <c r="Y1111" s="39">
        <f>IF($C1111="","",IF(IFERROR(INDEX(LISTAS!$I$3:$I$42,MATCH($T1111,LISTAS!$H$3:$H$42,0)),"NO")="SÍ",IF(N($X1111)&gt;0,"CERRADA FUERA DE SLA","CERRADA EN SLA"),IF($U1111="","SIN CLASIFICAR",IF(N($X1111)&gt;0,"VENCIDA",IF(TODAY()&gt;=$U1111-1,"POR VENCER","EN PLAZO")))))</f>
        <v/>
      </c>
      <c r="Z1111" s="41" t="n"/>
      <c r="AA1111" s="41" t="n"/>
      <c r="AB1111" s="41" t="n"/>
    </row>
    <row r="1112">
      <c r="A1112" s="39">
        <f>IF($C1112="","","NOV-"&amp;TEXT(ROW()-3,"0000"))</f>
        <v/>
      </c>
      <c r="B1112" s="40" t="n"/>
      <c r="C1112" s="41" t="n"/>
      <c r="D1112" s="42">
        <f>IF($C1112="","",IFERROR(INDEX(DESPACHOS!$D$3:$D$3002,MATCH($C1112,DESPACHOS!$B$3:$B$3002,0)),"SIN DESPACHO"))</f>
        <v/>
      </c>
      <c r="E1112" s="42">
        <f>IF($C1112="","",IFERROR(INDEX(DESPACHOS!$K$3:$K$3002,MATCH($C1112,DESPACHOS!$B$3:$B$3002,0)),""))</f>
        <v/>
      </c>
      <c r="F1112" s="42">
        <f>IF($C1112="","",IFERROR(INDEX(DESPACHOS!$I$3:$I$3002,MATCH($C1112,DESPACHOS!$B$3:$B$3002,0)),""))</f>
        <v/>
      </c>
      <c r="G1112" s="42">
        <f>IF($C1112="","",IFERROR(INDEX(DESPACHOS!$F$3:$F$3002,MATCH($C1112,DESPACHOS!$B$3:$B$3002,0)),""))</f>
        <v/>
      </c>
      <c r="H1112" s="42">
        <f>IF($C1112="","",IFERROR(INDEX(DESPACHOS!$G$3:$G$3002,MATCH($C1112,DESPACHOS!$B$3:$B$3002,0)),""))</f>
        <v/>
      </c>
      <c r="I1112" s="39">
        <f>IF($C1112="","",IFERROR(INDEX(DESPACHOS!$H$3:$H$3002,MATCH($C1112,DESPACHOS!$B$3:$B$3002,0)),""))</f>
        <v/>
      </c>
      <c r="J1112" s="43">
        <f>IF($C1112="","",IFERROR(INDEX(DESPACHOS!$J$3:$J$3002,MATCH($C1112,DESPACHOS!$B$3:$B$3002,0)),""))</f>
        <v/>
      </c>
      <c r="K1112" s="39">
        <f>IF($C1112="","",IF(COUNTIFS(DESPACHOS!$B$3:$B$3002,$C1112)=0,"NO EXISTE",IF(COUNTIFS(DESPACHOS!$B$3:$B$3002,$C1112)&gt;1,"DUPLICADO","OK")))</f>
        <v/>
      </c>
      <c r="L1112" s="41" t="n"/>
      <c r="M1112" s="41" t="n"/>
      <c r="N1112" s="42">
        <f>IF($M1112="","",IFERROR(INDEX(LISTAS!$F$3:$F$42,MATCH($M1112,LISTAS!$E$3:$E$42,0)),"Por definir"))</f>
        <v/>
      </c>
      <c r="O1112" s="41" t="n"/>
      <c r="P1112" s="39">
        <f>IF($L1112="","",IFERROR(INDEX(LISTAS!$B$3:$B$42,MATCH($L1112,LISTAS!$A$3:$A$42,0)),"Media"))</f>
        <v/>
      </c>
      <c r="Q1112" s="44" t="n"/>
      <c r="R1112" s="45" t="n"/>
      <c r="S1112" s="20">
        <f>IFERROR(IF(OR($R1112="",$C1112=""),"",$R1112/INDEX(DESPACHOS!$M$3:$M$3002,MATCH($C1112,DESPACHOS!$B$3:$B$3002,0))),"")</f>
        <v/>
      </c>
      <c r="T1112" s="41" t="n"/>
      <c r="U1112" s="43">
        <f>IF(OR($B1112="",$L1112=""),"",WORKDAY($B1112,IFERROR(INDEX(LISTAS!$C$3:$C$42,MATCH($L1112,LISTAS!$A$3:$A$42,0)),3)))</f>
        <v/>
      </c>
      <c r="V1112" s="40" t="n"/>
      <c r="W1112" s="19">
        <f>IF($B1112="","",IF($V1112&lt;&gt;"",$V1112-$B1112,TODAY()-$B1112))</f>
        <v/>
      </c>
      <c r="X1112" s="19">
        <f>IF(OR($B1112="",$U1112=""),"",IF($V1112&lt;&gt;"",MAX(0,$V1112-$U1112),MAX(0,TODAY()-$U1112)))</f>
        <v/>
      </c>
      <c r="Y1112" s="39">
        <f>IF($C1112="","",IF(IFERROR(INDEX(LISTAS!$I$3:$I$42,MATCH($T1112,LISTAS!$H$3:$H$42,0)),"NO")="SÍ",IF(N($X1112)&gt;0,"CERRADA FUERA DE SLA","CERRADA EN SLA"),IF($U1112="","SIN CLASIFICAR",IF(N($X1112)&gt;0,"VENCIDA",IF(TODAY()&gt;=$U1112-1,"POR VENCER","EN PLAZO")))))</f>
        <v/>
      </c>
      <c r="Z1112" s="41" t="n"/>
      <c r="AA1112" s="41" t="n"/>
      <c r="AB1112" s="41" t="n"/>
    </row>
    <row r="1113">
      <c r="A1113" s="39">
        <f>IF($C1113="","","NOV-"&amp;TEXT(ROW()-3,"0000"))</f>
        <v/>
      </c>
      <c r="B1113" s="40" t="n"/>
      <c r="C1113" s="41" t="n"/>
      <c r="D1113" s="42">
        <f>IF($C1113="","",IFERROR(INDEX(DESPACHOS!$D$3:$D$3002,MATCH($C1113,DESPACHOS!$B$3:$B$3002,0)),"SIN DESPACHO"))</f>
        <v/>
      </c>
      <c r="E1113" s="42">
        <f>IF($C1113="","",IFERROR(INDEX(DESPACHOS!$K$3:$K$3002,MATCH($C1113,DESPACHOS!$B$3:$B$3002,0)),""))</f>
        <v/>
      </c>
      <c r="F1113" s="42">
        <f>IF($C1113="","",IFERROR(INDEX(DESPACHOS!$I$3:$I$3002,MATCH($C1113,DESPACHOS!$B$3:$B$3002,0)),""))</f>
        <v/>
      </c>
      <c r="G1113" s="42">
        <f>IF($C1113="","",IFERROR(INDEX(DESPACHOS!$F$3:$F$3002,MATCH($C1113,DESPACHOS!$B$3:$B$3002,0)),""))</f>
        <v/>
      </c>
      <c r="H1113" s="42">
        <f>IF($C1113="","",IFERROR(INDEX(DESPACHOS!$G$3:$G$3002,MATCH($C1113,DESPACHOS!$B$3:$B$3002,0)),""))</f>
        <v/>
      </c>
      <c r="I1113" s="39">
        <f>IF($C1113="","",IFERROR(INDEX(DESPACHOS!$H$3:$H$3002,MATCH($C1113,DESPACHOS!$B$3:$B$3002,0)),""))</f>
        <v/>
      </c>
      <c r="J1113" s="43">
        <f>IF($C1113="","",IFERROR(INDEX(DESPACHOS!$J$3:$J$3002,MATCH($C1113,DESPACHOS!$B$3:$B$3002,0)),""))</f>
        <v/>
      </c>
      <c r="K1113" s="39">
        <f>IF($C1113="","",IF(COUNTIFS(DESPACHOS!$B$3:$B$3002,$C1113)=0,"NO EXISTE",IF(COUNTIFS(DESPACHOS!$B$3:$B$3002,$C1113)&gt;1,"DUPLICADO","OK")))</f>
        <v/>
      </c>
      <c r="L1113" s="41" t="n"/>
      <c r="M1113" s="41" t="n"/>
      <c r="N1113" s="42">
        <f>IF($M1113="","",IFERROR(INDEX(LISTAS!$F$3:$F$42,MATCH($M1113,LISTAS!$E$3:$E$42,0)),"Por definir"))</f>
        <v/>
      </c>
      <c r="O1113" s="41" t="n"/>
      <c r="P1113" s="39">
        <f>IF($L1113="","",IFERROR(INDEX(LISTAS!$B$3:$B$42,MATCH($L1113,LISTAS!$A$3:$A$42,0)),"Media"))</f>
        <v/>
      </c>
      <c r="Q1113" s="44" t="n"/>
      <c r="R1113" s="45" t="n"/>
      <c r="S1113" s="20">
        <f>IFERROR(IF(OR($R1113="",$C1113=""),"",$R1113/INDEX(DESPACHOS!$M$3:$M$3002,MATCH($C1113,DESPACHOS!$B$3:$B$3002,0))),"")</f>
        <v/>
      </c>
      <c r="T1113" s="41" t="n"/>
      <c r="U1113" s="43">
        <f>IF(OR($B1113="",$L1113=""),"",WORKDAY($B1113,IFERROR(INDEX(LISTAS!$C$3:$C$42,MATCH($L1113,LISTAS!$A$3:$A$42,0)),3)))</f>
        <v/>
      </c>
      <c r="V1113" s="40" t="n"/>
      <c r="W1113" s="19">
        <f>IF($B1113="","",IF($V1113&lt;&gt;"",$V1113-$B1113,TODAY()-$B1113))</f>
        <v/>
      </c>
      <c r="X1113" s="19">
        <f>IF(OR($B1113="",$U1113=""),"",IF($V1113&lt;&gt;"",MAX(0,$V1113-$U1113),MAX(0,TODAY()-$U1113)))</f>
        <v/>
      </c>
      <c r="Y1113" s="39">
        <f>IF($C1113="","",IF(IFERROR(INDEX(LISTAS!$I$3:$I$42,MATCH($T1113,LISTAS!$H$3:$H$42,0)),"NO")="SÍ",IF(N($X1113)&gt;0,"CERRADA FUERA DE SLA","CERRADA EN SLA"),IF($U1113="","SIN CLASIFICAR",IF(N($X1113)&gt;0,"VENCIDA",IF(TODAY()&gt;=$U1113-1,"POR VENCER","EN PLAZO")))))</f>
        <v/>
      </c>
      <c r="Z1113" s="41" t="n"/>
      <c r="AA1113" s="41" t="n"/>
      <c r="AB1113" s="41" t="n"/>
    </row>
    <row r="1114">
      <c r="A1114" s="39">
        <f>IF($C1114="","","NOV-"&amp;TEXT(ROW()-3,"0000"))</f>
        <v/>
      </c>
      <c r="B1114" s="40" t="n"/>
      <c r="C1114" s="41" t="n"/>
      <c r="D1114" s="42">
        <f>IF($C1114="","",IFERROR(INDEX(DESPACHOS!$D$3:$D$3002,MATCH($C1114,DESPACHOS!$B$3:$B$3002,0)),"SIN DESPACHO"))</f>
        <v/>
      </c>
      <c r="E1114" s="42">
        <f>IF($C1114="","",IFERROR(INDEX(DESPACHOS!$K$3:$K$3002,MATCH($C1114,DESPACHOS!$B$3:$B$3002,0)),""))</f>
        <v/>
      </c>
      <c r="F1114" s="42">
        <f>IF($C1114="","",IFERROR(INDEX(DESPACHOS!$I$3:$I$3002,MATCH($C1114,DESPACHOS!$B$3:$B$3002,0)),""))</f>
        <v/>
      </c>
      <c r="G1114" s="42">
        <f>IF($C1114="","",IFERROR(INDEX(DESPACHOS!$F$3:$F$3002,MATCH($C1114,DESPACHOS!$B$3:$B$3002,0)),""))</f>
        <v/>
      </c>
      <c r="H1114" s="42">
        <f>IF($C1114="","",IFERROR(INDEX(DESPACHOS!$G$3:$G$3002,MATCH($C1114,DESPACHOS!$B$3:$B$3002,0)),""))</f>
        <v/>
      </c>
      <c r="I1114" s="39">
        <f>IF($C1114="","",IFERROR(INDEX(DESPACHOS!$H$3:$H$3002,MATCH($C1114,DESPACHOS!$B$3:$B$3002,0)),""))</f>
        <v/>
      </c>
      <c r="J1114" s="43">
        <f>IF($C1114="","",IFERROR(INDEX(DESPACHOS!$J$3:$J$3002,MATCH($C1114,DESPACHOS!$B$3:$B$3002,0)),""))</f>
        <v/>
      </c>
      <c r="K1114" s="39">
        <f>IF($C1114="","",IF(COUNTIFS(DESPACHOS!$B$3:$B$3002,$C1114)=0,"NO EXISTE",IF(COUNTIFS(DESPACHOS!$B$3:$B$3002,$C1114)&gt;1,"DUPLICADO","OK")))</f>
        <v/>
      </c>
      <c r="L1114" s="41" t="n"/>
      <c r="M1114" s="41" t="n"/>
      <c r="N1114" s="42">
        <f>IF($M1114="","",IFERROR(INDEX(LISTAS!$F$3:$F$42,MATCH($M1114,LISTAS!$E$3:$E$42,0)),"Por definir"))</f>
        <v/>
      </c>
      <c r="O1114" s="41" t="n"/>
      <c r="P1114" s="39">
        <f>IF($L1114="","",IFERROR(INDEX(LISTAS!$B$3:$B$42,MATCH($L1114,LISTAS!$A$3:$A$42,0)),"Media"))</f>
        <v/>
      </c>
      <c r="Q1114" s="44" t="n"/>
      <c r="R1114" s="45" t="n"/>
      <c r="S1114" s="20">
        <f>IFERROR(IF(OR($R1114="",$C1114=""),"",$R1114/INDEX(DESPACHOS!$M$3:$M$3002,MATCH($C1114,DESPACHOS!$B$3:$B$3002,0))),"")</f>
        <v/>
      </c>
      <c r="T1114" s="41" t="n"/>
      <c r="U1114" s="43">
        <f>IF(OR($B1114="",$L1114=""),"",WORKDAY($B1114,IFERROR(INDEX(LISTAS!$C$3:$C$42,MATCH($L1114,LISTAS!$A$3:$A$42,0)),3)))</f>
        <v/>
      </c>
      <c r="V1114" s="40" t="n"/>
      <c r="W1114" s="19">
        <f>IF($B1114="","",IF($V1114&lt;&gt;"",$V1114-$B1114,TODAY()-$B1114))</f>
        <v/>
      </c>
      <c r="X1114" s="19">
        <f>IF(OR($B1114="",$U1114=""),"",IF($V1114&lt;&gt;"",MAX(0,$V1114-$U1114),MAX(0,TODAY()-$U1114)))</f>
        <v/>
      </c>
      <c r="Y1114" s="39">
        <f>IF($C1114="","",IF(IFERROR(INDEX(LISTAS!$I$3:$I$42,MATCH($T1114,LISTAS!$H$3:$H$42,0)),"NO")="SÍ",IF(N($X1114)&gt;0,"CERRADA FUERA DE SLA","CERRADA EN SLA"),IF($U1114="","SIN CLASIFICAR",IF(N($X1114)&gt;0,"VENCIDA",IF(TODAY()&gt;=$U1114-1,"POR VENCER","EN PLAZO")))))</f>
        <v/>
      </c>
      <c r="Z1114" s="41" t="n"/>
      <c r="AA1114" s="41" t="n"/>
      <c r="AB1114" s="41" t="n"/>
    </row>
    <row r="1115">
      <c r="A1115" s="39">
        <f>IF($C1115="","","NOV-"&amp;TEXT(ROW()-3,"0000"))</f>
        <v/>
      </c>
      <c r="B1115" s="40" t="n"/>
      <c r="C1115" s="41" t="n"/>
      <c r="D1115" s="42">
        <f>IF($C1115="","",IFERROR(INDEX(DESPACHOS!$D$3:$D$3002,MATCH($C1115,DESPACHOS!$B$3:$B$3002,0)),"SIN DESPACHO"))</f>
        <v/>
      </c>
      <c r="E1115" s="42">
        <f>IF($C1115="","",IFERROR(INDEX(DESPACHOS!$K$3:$K$3002,MATCH($C1115,DESPACHOS!$B$3:$B$3002,0)),""))</f>
        <v/>
      </c>
      <c r="F1115" s="42">
        <f>IF($C1115="","",IFERROR(INDEX(DESPACHOS!$I$3:$I$3002,MATCH($C1115,DESPACHOS!$B$3:$B$3002,0)),""))</f>
        <v/>
      </c>
      <c r="G1115" s="42">
        <f>IF($C1115="","",IFERROR(INDEX(DESPACHOS!$F$3:$F$3002,MATCH($C1115,DESPACHOS!$B$3:$B$3002,0)),""))</f>
        <v/>
      </c>
      <c r="H1115" s="42">
        <f>IF($C1115="","",IFERROR(INDEX(DESPACHOS!$G$3:$G$3002,MATCH($C1115,DESPACHOS!$B$3:$B$3002,0)),""))</f>
        <v/>
      </c>
      <c r="I1115" s="39">
        <f>IF($C1115="","",IFERROR(INDEX(DESPACHOS!$H$3:$H$3002,MATCH($C1115,DESPACHOS!$B$3:$B$3002,0)),""))</f>
        <v/>
      </c>
      <c r="J1115" s="43">
        <f>IF($C1115="","",IFERROR(INDEX(DESPACHOS!$J$3:$J$3002,MATCH($C1115,DESPACHOS!$B$3:$B$3002,0)),""))</f>
        <v/>
      </c>
      <c r="K1115" s="39">
        <f>IF($C1115="","",IF(COUNTIFS(DESPACHOS!$B$3:$B$3002,$C1115)=0,"NO EXISTE",IF(COUNTIFS(DESPACHOS!$B$3:$B$3002,$C1115)&gt;1,"DUPLICADO","OK")))</f>
        <v/>
      </c>
      <c r="L1115" s="41" t="n"/>
      <c r="M1115" s="41" t="n"/>
      <c r="N1115" s="42">
        <f>IF($M1115="","",IFERROR(INDEX(LISTAS!$F$3:$F$42,MATCH($M1115,LISTAS!$E$3:$E$42,0)),"Por definir"))</f>
        <v/>
      </c>
      <c r="O1115" s="41" t="n"/>
      <c r="P1115" s="39">
        <f>IF($L1115="","",IFERROR(INDEX(LISTAS!$B$3:$B$42,MATCH($L1115,LISTAS!$A$3:$A$42,0)),"Media"))</f>
        <v/>
      </c>
      <c r="Q1115" s="44" t="n"/>
      <c r="R1115" s="45" t="n"/>
      <c r="S1115" s="20">
        <f>IFERROR(IF(OR($R1115="",$C1115=""),"",$R1115/INDEX(DESPACHOS!$M$3:$M$3002,MATCH($C1115,DESPACHOS!$B$3:$B$3002,0))),"")</f>
        <v/>
      </c>
      <c r="T1115" s="41" t="n"/>
      <c r="U1115" s="43">
        <f>IF(OR($B1115="",$L1115=""),"",WORKDAY($B1115,IFERROR(INDEX(LISTAS!$C$3:$C$42,MATCH($L1115,LISTAS!$A$3:$A$42,0)),3)))</f>
        <v/>
      </c>
      <c r="V1115" s="40" t="n"/>
      <c r="W1115" s="19">
        <f>IF($B1115="","",IF($V1115&lt;&gt;"",$V1115-$B1115,TODAY()-$B1115))</f>
        <v/>
      </c>
      <c r="X1115" s="19">
        <f>IF(OR($B1115="",$U1115=""),"",IF($V1115&lt;&gt;"",MAX(0,$V1115-$U1115),MAX(0,TODAY()-$U1115)))</f>
        <v/>
      </c>
      <c r="Y1115" s="39">
        <f>IF($C1115="","",IF(IFERROR(INDEX(LISTAS!$I$3:$I$42,MATCH($T1115,LISTAS!$H$3:$H$42,0)),"NO")="SÍ",IF(N($X1115)&gt;0,"CERRADA FUERA DE SLA","CERRADA EN SLA"),IF($U1115="","SIN CLASIFICAR",IF(N($X1115)&gt;0,"VENCIDA",IF(TODAY()&gt;=$U1115-1,"POR VENCER","EN PLAZO")))))</f>
        <v/>
      </c>
      <c r="Z1115" s="41" t="n"/>
      <c r="AA1115" s="41" t="n"/>
      <c r="AB1115" s="41" t="n"/>
    </row>
    <row r="1116">
      <c r="A1116" s="39">
        <f>IF($C1116="","","NOV-"&amp;TEXT(ROW()-3,"0000"))</f>
        <v/>
      </c>
      <c r="B1116" s="40" t="n"/>
      <c r="C1116" s="41" t="n"/>
      <c r="D1116" s="42">
        <f>IF($C1116="","",IFERROR(INDEX(DESPACHOS!$D$3:$D$3002,MATCH($C1116,DESPACHOS!$B$3:$B$3002,0)),"SIN DESPACHO"))</f>
        <v/>
      </c>
      <c r="E1116" s="42">
        <f>IF($C1116="","",IFERROR(INDEX(DESPACHOS!$K$3:$K$3002,MATCH($C1116,DESPACHOS!$B$3:$B$3002,0)),""))</f>
        <v/>
      </c>
      <c r="F1116" s="42">
        <f>IF($C1116="","",IFERROR(INDEX(DESPACHOS!$I$3:$I$3002,MATCH($C1116,DESPACHOS!$B$3:$B$3002,0)),""))</f>
        <v/>
      </c>
      <c r="G1116" s="42">
        <f>IF($C1116="","",IFERROR(INDEX(DESPACHOS!$F$3:$F$3002,MATCH($C1116,DESPACHOS!$B$3:$B$3002,0)),""))</f>
        <v/>
      </c>
      <c r="H1116" s="42">
        <f>IF($C1116="","",IFERROR(INDEX(DESPACHOS!$G$3:$G$3002,MATCH($C1116,DESPACHOS!$B$3:$B$3002,0)),""))</f>
        <v/>
      </c>
      <c r="I1116" s="39">
        <f>IF($C1116="","",IFERROR(INDEX(DESPACHOS!$H$3:$H$3002,MATCH($C1116,DESPACHOS!$B$3:$B$3002,0)),""))</f>
        <v/>
      </c>
      <c r="J1116" s="43">
        <f>IF($C1116="","",IFERROR(INDEX(DESPACHOS!$J$3:$J$3002,MATCH($C1116,DESPACHOS!$B$3:$B$3002,0)),""))</f>
        <v/>
      </c>
      <c r="K1116" s="39">
        <f>IF($C1116="","",IF(COUNTIFS(DESPACHOS!$B$3:$B$3002,$C1116)=0,"NO EXISTE",IF(COUNTIFS(DESPACHOS!$B$3:$B$3002,$C1116)&gt;1,"DUPLICADO","OK")))</f>
        <v/>
      </c>
      <c r="L1116" s="41" t="n"/>
      <c r="M1116" s="41" t="n"/>
      <c r="N1116" s="42">
        <f>IF($M1116="","",IFERROR(INDEX(LISTAS!$F$3:$F$42,MATCH($M1116,LISTAS!$E$3:$E$42,0)),"Por definir"))</f>
        <v/>
      </c>
      <c r="O1116" s="41" t="n"/>
      <c r="P1116" s="39">
        <f>IF($L1116="","",IFERROR(INDEX(LISTAS!$B$3:$B$42,MATCH($L1116,LISTAS!$A$3:$A$42,0)),"Media"))</f>
        <v/>
      </c>
      <c r="Q1116" s="44" t="n"/>
      <c r="R1116" s="45" t="n"/>
      <c r="S1116" s="20">
        <f>IFERROR(IF(OR($R1116="",$C1116=""),"",$R1116/INDEX(DESPACHOS!$M$3:$M$3002,MATCH($C1116,DESPACHOS!$B$3:$B$3002,0))),"")</f>
        <v/>
      </c>
      <c r="T1116" s="41" t="n"/>
      <c r="U1116" s="43">
        <f>IF(OR($B1116="",$L1116=""),"",WORKDAY($B1116,IFERROR(INDEX(LISTAS!$C$3:$C$42,MATCH($L1116,LISTAS!$A$3:$A$42,0)),3)))</f>
        <v/>
      </c>
      <c r="V1116" s="40" t="n"/>
      <c r="W1116" s="19">
        <f>IF($B1116="","",IF($V1116&lt;&gt;"",$V1116-$B1116,TODAY()-$B1116))</f>
        <v/>
      </c>
      <c r="X1116" s="19">
        <f>IF(OR($B1116="",$U1116=""),"",IF($V1116&lt;&gt;"",MAX(0,$V1116-$U1116),MAX(0,TODAY()-$U1116)))</f>
        <v/>
      </c>
      <c r="Y1116" s="39">
        <f>IF($C1116="","",IF(IFERROR(INDEX(LISTAS!$I$3:$I$42,MATCH($T1116,LISTAS!$H$3:$H$42,0)),"NO")="SÍ",IF(N($X1116)&gt;0,"CERRADA FUERA DE SLA","CERRADA EN SLA"),IF($U1116="","SIN CLASIFICAR",IF(N($X1116)&gt;0,"VENCIDA",IF(TODAY()&gt;=$U1116-1,"POR VENCER","EN PLAZO")))))</f>
        <v/>
      </c>
      <c r="Z1116" s="41" t="n"/>
      <c r="AA1116" s="41" t="n"/>
      <c r="AB1116" s="41" t="n"/>
    </row>
    <row r="1117">
      <c r="A1117" s="39">
        <f>IF($C1117="","","NOV-"&amp;TEXT(ROW()-3,"0000"))</f>
        <v/>
      </c>
      <c r="B1117" s="40" t="n"/>
      <c r="C1117" s="41" t="n"/>
      <c r="D1117" s="42">
        <f>IF($C1117="","",IFERROR(INDEX(DESPACHOS!$D$3:$D$3002,MATCH($C1117,DESPACHOS!$B$3:$B$3002,0)),"SIN DESPACHO"))</f>
        <v/>
      </c>
      <c r="E1117" s="42">
        <f>IF($C1117="","",IFERROR(INDEX(DESPACHOS!$K$3:$K$3002,MATCH($C1117,DESPACHOS!$B$3:$B$3002,0)),""))</f>
        <v/>
      </c>
      <c r="F1117" s="42">
        <f>IF($C1117="","",IFERROR(INDEX(DESPACHOS!$I$3:$I$3002,MATCH($C1117,DESPACHOS!$B$3:$B$3002,0)),""))</f>
        <v/>
      </c>
      <c r="G1117" s="42">
        <f>IF($C1117="","",IFERROR(INDEX(DESPACHOS!$F$3:$F$3002,MATCH($C1117,DESPACHOS!$B$3:$B$3002,0)),""))</f>
        <v/>
      </c>
      <c r="H1117" s="42">
        <f>IF($C1117="","",IFERROR(INDEX(DESPACHOS!$G$3:$G$3002,MATCH($C1117,DESPACHOS!$B$3:$B$3002,0)),""))</f>
        <v/>
      </c>
      <c r="I1117" s="39">
        <f>IF($C1117="","",IFERROR(INDEX(DESPACHOS!$H$3:$H$3002,MATCH($C1117,DESPACHOS!$B$3:$B$3002,0)),""))</f>
        <v/>
      </c>
      <c r="J1117" s="43">
        <f>IF($C1117="","",IFERROR(INDEX(DESPACHOS!$J$3:$J$3002,MATCH($C1117,DESPACHOS!$B$3:$B$3002,0)),""))</f>
        <v/>
      </c>
      <c r="K1117" s="39">
        <f>IF($C1117="","",IF(COUNTIFS(DESPACHOS!$B$3:$B$3002,$C1117)=0,"NO EXISTE",IF(COUNTIFS(DESPACHOS!$B$3:$B$3002,$C1117)&gt;1,"DUPLICADO","OK")))</f>
        <v/>
      </c>
      <c r="L1117" s="41" t="n"/>
      <c r="M1117" s="41" t="n"/>
      <c r="N1117" s="42">
        <f>IF($M1117="","",IFERROR(INDEX(LISTAS!$F$3:$F$42,MATCH($M1117,LISTAS!$E$3:$E$42,0)),"Por definir"))</f>
        <v/>
      </c>
      <c r="O1117" s="41" t="n"/>
      <c r="P1117" s="39">
        <f>IF($L1117="","",IFERROR(INDEX(LISTAS!$B$3:$B$42,MATCH($L1117,LISTAS!$A$3:$A$42,0)),"Media"))</f>
        <v/>
      </c>
      <c r="Q1117" s="44" t="n"/>
      <c r="R1117" s="45" t="n"/>
      <c r="S1117" s="20">
        <f>IFERROR(IF(OR($R1117="",$C1117=""),"",$R1117/INDEX(DESPACHOS!$M$3:$M$3002,MATCH($C1117,DESPACHOS!$B$3:$B$3002,0))),"")</f>
        <v/>
      </c>
      <c r="T1117" s="41" t="n"/>
      <c r="U1117" s="43">
        <f>IF(OR($B1117="",$L1117=""),"",WORKDAY($B1117,IFERROR(INDEX(LISTAS!$C$3:$C$42,MATCH($L1117,LISTAS!$A$3:$A$42,0)),3)))</f>
        <v/>
      </c>
      <c r="V1117" s="40" t="n"/>
      <c r="W1117" s="19">
        <f>IF($B1117="","",IF($V1117&lt;&gt;"",$V1117-$B1117,TODAY()-$B1117))</f>
        <v/>
      </c>
      <c r="X1117" s="19">
        <f>IF(OR($B1117="",$U1117=""),"",IF($V1117&lt;&gt;"",MAX(0,$V1117-$U1117),MAX(0,TODAY()-$U1117)))</f>
        <v/>
      </c>
      <c r="Y1117" s="39">
        <f>IF($C1117="","",IF(IFERROR(INDEX(LISTAS!$I$3:$I$42,MATCH($T1117,LISTAS!$H$3:$H$42,0)),"NO")="SÍ",IF(N($X1117)&gt;0,"CERRADA FUERA DE SLA","CERRADA EN SLA"),IF($U1117="","SIN CLASIFICAR",IF(N($X1117)&gt;0,"VENCIDA",IF(TODAY()&gt;=$U1117-1,"POR VENCER","EN PLAZO")))))</f>
        <v/>
      </c>
      <c r="Z1117" s="41" t="n"/>
      <c r="AA1117" s="41" t="n"/>
      <c r="AB1117" s="41" t="n"/>
    </row>
    <row r="1118">
      <c r="A1118" s="39">
        <f>IF($C1118="","","NOV-"&amp;TEXT(ROW()-3,"0000"))</f>
        <v/>
      </c>
      <c r="B1118" s="40" t="n"/>
      <c r="C1118" s="41" t="n"/>
      <c r="D1118" s="42">
        <f>IF($C1118="","",IFERROR(INDEX(DESPACHOS!$D$3:$D$3002,MATCH($C1118,DESPACHOS!$B$3:$B$3002,0)),"SIN DESPACHO"))</f>
        <v/>
      </c>
      <c r="E1118" s="42">
        <f>IF($C1118="","",IFERROR(INDEX(DESPACHOS!$K$3:$K$3002,MATCH($C1118,DESPACHOS!$B$3:$B$3002,0)),""))</f>
        <v/>
      </c>
      <c r="F1118" s="42">
        <f>IF($C1118="","",IFERROR(INDEX(DESPACHOS!$I$3:$I$3002,MATCH($C1118,DESPACHOS!$B$3:$B$3002,0)),""))</f>
        <v/>
      </c>
      <c r="G1118" s="42">
        <f>IF($C1118="","",IFERROR(INDEX(DESPACHOS!$F$3:$F$3002,MATCH($C1118,DESPACHOS!$B$3:$B$3002,0)),""))</f>
        <v/>
      </c>
      <c r="H1118" s="42">
        <f>IF($C1118="","",IFERROR(INDEX(DESPACHOS!$G$3:$G$3002,MATCH($C1118,DESPACHOS!$B$3:$B$3002,0)),""))</f>
        <v/>
      </c>
      <c r="I1118" s="39">
        <f>IF($C1118="","",IFERROR(INDEX(DESPACHOS!$H$3:$H$3002,MATCH($C1118,DESPACHOS!$B$3:$B$3002,0)),""))</f>
        <v/>
      </c>
      <c r="J1118" s="43">
        <f>IF($C1118="","",IFERROR(INDEX(DESPACHOS!$J$3:$J$3002,MATCH($C1118,DESPACHOS!$B$3:$B$3002,0)),""))</f>
        <v/>
      </c>
      <c r="K1118" s="39">
        <f>IF($C1118="","",IF(COUNTIFS(DESPACHOS!$B$3:$B$3002,$C1118)=0,"NO EXISTE",IF(COUNTIFS(DESPACHOS!$B$3:$B$3002,$C1118)&gt;1,"DUPLICADO","OK")))</f>
        <v/>
      </c>
      <c r="L1118" s="41" t="n"/>
      <c r="M1118" s="41" t="n"/>
      <c r="N1118" s="42">
        <f>IF($M1118="","",IFERROR(INDEX(LISTAS!$F$3:$F$42,MATCH($M1118,LISTAS!$E$3:$E$42,0)),"Por definir"))</f>
        <v/>
      </c>
      <c r="O1118" s="41" t="n"/>
      <c r="P1118" s="39">
        <f>IF($L1118="","",IFERROR(INDEX(LISTAS!$B$3:$B$42,MATCH($L1118,LISTAS!$A$3:$A$42,0)),"Media"))</f>
        <v/>
      </c>
      <c r="Q1118" s="44" t="n"/>
      <c r="R1118" s="45" t="n"/>
      <c r="S1118" s="20">
        <f>IFERROR(IF(OR($R1118="",$C1118=""),"",$R1118/INDEX(DESPACHOS!$M$3:$M$3002,MATCH($C1118,DESPACHOS!$B$3:$B$3002,0))),"")</f>
        <v/>
      </c>
      <c r="T1118" s="41" t="n"/>
      <c r="U1118" s="43">
        <f>IF(OR($B1118="",$L1118=""),"",WORKDAY($B1118,IFERROR(INDEX(LISTAS!$C$3:$C$42,MATCH($L1118,LISTAS!$A$3:$A$42,0)),3)))</f>
        <v/>
      </c>
      <c r="V1118" s="40" t="n"/>
      <c r="W1118" s="19">
        <f>IF($B1118="","",IF($V1118&lt;&gt;"",$V1118-$B1118,TODAY()-$B1118))</f>
        <v/>
      </c>
      <c r="X1118" s="19">
        <f>IF(OR($B1118="",$U1118=""),"",IF($V1118&lt;&gt;"",MAX(0,$V1118-$U1118),MAX(0,TODAY()-$U1118)))</f>
        <v/>
      </c>
      <c r="Y1118" s="39">
        <f>IF($C1118="","",IF(IFERROR(INDEX(LISTAS!$I$3:$I$42,MATCH($T1118,LISTAS!$H$3:$H$42,0)),"NO")="SÍ",IF(N($X1118)&gt;0,"CERRADA FUERA DE SLA","CERRADA EN SLA"),IF($U1118="","SIN CLASIFICAR",IF(N($X1118)&gt;0,"VENCIDA",IF(TODAY()&gt;=$U1118-1,"POR VENCER","EN PLAZO")))))</f>
        <v/>
      </c>
      <c r="Z1118" s="41" t="n"/>
      <c r="AA1118" s="41" t="n"/>
      <c r="AB1118" s="41" t="n"/>
    </row>
    <row r="1119">
      <c r="A1119" s="39">
        <f>IF($C1119="","","NOV-"&amp;TEXT(ROW()-3,"0000"))</f>
        <v/>
      </c>
      <c r="B1119" s="40" t="n"/>
      <c r="C1119" s="41" t="n"/>
      <c r="D1119" s="42">
        <f>IF($C1119="","",IFERROR(INDEX(DESPACHOS!$D$3:$D$3002,MATCH($C1119,DESPACHOS!$B$3:$B$3002,0)),"SIN DESPACHO"))</f>
        <v/>
      </c>
      <c r="E1119" s="42">
        <f>IF($C1119="","",IFERROR(INDEX(DESPACHOS!$K$3:$K$3002,MATCH($C1119,DESPACHOS!$B$3:$B$3002,0)),""))</f>
        <v/>
      </c>
      <c r="F1119" s="42">
        <f>IF($C1119="","",IFERROR(INDEX(DESPACHOS!$I$3:$I$3002,MATCH($C1119,DESPACHOS!$B$3:$B$3002,0)),""))</f>
        <v/>
      </c>
      <c r="G1119" s="42">
        <f>IF($C1119="","",IFERROR(INDEX(DESPACHOS!$F$3:$F$3002,MATCH($C1119,DESPACHOS!$B$3:$B$3002,0)),""))</f>
        <v/>
      </c>
      <c r="H1119" s="42">
        <f>IF($C1119="","",IFERROR(INDEX(DESPACHOS!$G$3:$G$3002,MATCH($C1119,DESPACHOS!$B$3:$B$3002,0)),""))</f>
        <v/>
      </c>
      <c r="I1119" s="39">
        <f>IF($C1119="","",IFERROR(INDEX(DESPACHOS!$H$3:$H$3002,MATCH($C1119,DESPACHOS!$B$3:$B$3002,0)),""))</f>
        <v/>
      </c>
      <c r="J1119" s="43">
        <f>IF($C1119="","",IFERROR(INDEX(DESPACHOS!$J$3:$J$3002,MATCH($C1119,DESPACHOS!$B$3:$B$3002,0)),""))</f>
        <v/>
      </c>
      <c r="K1119" s="39">
        <f>IF($C1119="","",IF(COUNTIFS(DESPACHOS!$B$3:$B$3002,$C1119)=0,"NO EXISTE",IF(COUNTIFS(DESPACHOS!$B$3:$B$3002,$C1119)&gt;1,"DUPLICADO","OK")))</f>
        <v/>
      </c>
      <c r="L1119" s="41" t="n"/>
      <c r="M1119" s="41" t="n"/>
      <c r="N1119" s="42">
        <f>IF($M1119="","",IFERROR(INDEX(LISTAS!$F$3:$F$42,MATCH($M1119,LISTAS!$E$3:$E$42,0)),"Por definir"))</f>
        <v/>
      </c>
      <c r="O1119" s="41" t="n"/>
      <c r="P1119" s="39">
        <f>IF($L1119="","",IFERROR(INDEX(LISTAS!$B$3:$B$42,MATCH($L1119,LISTAS!$A$3:$A$42,0)),"Media"))</f>
        <v/>
      </c>
      <c r="Q1119" s="44" t="n"/>
      <c r="R1119" s="45" t="n"/>
      <c r="S1119" s="20">
        <f>IFERROR(IF(OR($R1119="",$C1119=""),"",$R1119/INDEX(DESPACHOS!$M$3:$M$3002,MATCH($C1119,DESPACHOS!$B$3:$B$3002,0))),"")</f>
        <v/>
      </c>
      <c r="T1119" s="41" t="n"/>
      <c r="U1119" s="43">
        <f>IF(OR($B1119="",$L1119=""),"",WORKDAY($B1119,IFERROR(INDEX(LISTAS!$C$3:$C$42,MATCH($L1119,LISTAS!$A$3:$A$42,0)),3)))</f>
        <v/>
      </c>
      <c r="V1119" s="40" t="n"/>
      <c r="W1119" s="19">
        <f>IF($B1119="","",IF($V1119&lt;&gt;"",$V1119-$B1119,TODAY()-$B1119))</f>
        <v/>
      </c>
      <c r="X1119" s="19">
        <f>IF(OR($B1119="",$U1119=""),"",IF($V1119&lt;&gt;"",MAX(0,$V1119-$U1119),MAX(0,TODAY()-$U1119)))</f>
        <v/>
      </c>
      <c r="Y1119" s="39">
        <f>IF($C1119="","",IF(IFERROR(INDEX(LISTAS!$I$3:$I$42,MATCH($T1119,LISTAS!$H$3:$H$42,0)),"NO")="SÍ",IF(N($X1119)&gt;0,"CERRADA FUERA DE SLA","CERRADA EN SLA"),IF($U1119="","SIN CLASIFICAR",IF(N($X1119)&gt;0,"VENCIDA",IF(TODAY()&gt;=$U1119-1,"POR VENCER","EN PLAZO")))))</f>
        <v/>
      </c>
      <c r="Z1119" s="41" t="n"/>
      <c r="AA1119" s="41" t="n"/>
      <c r="AB1119" s="41" t="n"/>
    </row>
    <row r="1120">
      <c r="A1120" s="39">
        <f>IF($C1120="","","NOV-"&amp;TEXT(ROW()-3,"0000"))</f>
        <v/>
      </c>
      <c r="B1120" s="40" t="n"/>
      <c r="C1120" s="41" t="n"/>
      <c r="D1120" s="42">
        <f>IF($C1120="","",IFERROR(INDEX(DESPACHOS!$D$3:$D$3002,MATCH($C1120,DESPACHOS!$B$3:$B$3002,0)),"SIN DESPACHO"))</f>
        <v/>
      </c>
      <c r="E1120" s="42">
        <f>IF($C1120="","",IFERROR(INDEX(DESPACHOS!$K$3:$K$3002,MATCH($C1120,DESPACHOS!$B$3:$B$3002,0)),""))</f>
        <v/>
      </c>
      <c r="F1120" s="42">
        <f>IF($C1120="","",IFERROR(INDEX(DESPACHOS!$I$3:$I$3002,MATCH($C1120,DESPACHOS!$B$3:$B$3002,0)),""))</f>
        <v/>
      </c>
      <c r="G1120" s="42">
        <f>IF($C1120="","",IFERROR(INDEX(DESPACHOS!$F$3:$F$3002,MATCH($C1120,DESPACHOS!$B$3:$B$3002,0)),""))</f>
        <v/>
      </c>
      <c r="H1120" s="42">
        <f>IF($C1120="","",IFERROR(INDEX(DESPACHOS!$G$3:$G$3002,MATCH($C1120,DESPACHOS!$B$3:$B$3002,0)),""))</f>
        <v/>
      </c>
      <c r="I1120" s="39">
        <f>IF($C1120="","",IFERROR(INDEX(DESPACHOS!$H$3:$H$3002,MATCH($C1120,DESPACHOS!$B$3:$B$3002,0)),""))</f>
        <v/>
      </c>
      <c r="J1120" s="43">
        <f>IF($C1120="","",IFERROR(INDEX(DESPACHOS!$J$3:$J$3002,MATCH($C1120,DESPACHOS!$B$3:$B$3002,0)),""))</f>
        <v/>
      </c>
      <c r="K1120" s="39">
        <f>IF($C1120="","",IF(COUNTIFS(DESPACHOS!$B$3:$B$3002,$C1120)=0,"NO EXISTE",IF(COUNTIFS(DESPACHOS!$B$3:$B$3002,$C1120)&gt;1,"DUPLICADO","OK")))</f>
        <v/>
      </c>
      <c r="L1120" s="41" t="n"/>
      <c r="M1120" s="41" t="n"/>
      <c r="N1120" s="42">
        <f>IF($M1120="","",IFERROR(INDEX(LISTAS!$F$3:$F$42,MATCH($M1120,LISTAS!$E$3:$E$42,0)),"Por definir"))</f>
        <v/>
      </c>
      <c r="O1120" s="41" t="n"/>
      <c r="P1120" s="39">
        <f>IF($L1120="","",IFERROR(INDEX(LISTAS!$B$3:$B$42,MATCH($L1120,LISTAS!$A$3:$A$42,0)),"Media"))</f>
        <v/>
      </c>
      <c r="Q1120" s="44" t="n"/>
      <c r="R1120" s="45" t="n"/>
      <c r="S1120" s="20">
        <f>IFERROR(IF(OR($R1120="",$C1120=""),"",$R1120/INDEX(DESPACHOS!$M$3:$M$3002,MATCH($C1120,DESPACHOS!$B$3:$B$3002,0))),"")</f>
        <v/>
      </c>
      <c r="T1120" s="41" t="n"/>
      <c r="U1120" s="43">
        <f>IF(OR($B1120="",$L1120=""),"",WORKDAY($B1120,IFERROR(INDEX(LISTAS!$C$3:$C$42,MATCH($L1120,LISTAS!$A$3:$A$42,0)),3)))</f>
        <v/>
      </c>
      <c r="V1120" s="40" t="n"/>
      <c r="W1120" s="19">
        <f>IF($B1120="","",IF($V1120&lt;&gt;"",$V1120-$B1120,TODAY()-$B1120))</f>
        <v/>
      </c>
      <c r="X1120" s="19">
        <f>IF(OR($B1120="",$U1120=""),"",IF($V1120&lt;&gt;"",MAX(0,$V1120-$U1120),MAX(0,TODAY()-$U1120)))</f>
        <v/>
      </c>
      <c r="Y1120" s="39">
        <f>IF($C1120="","",IF(IFERROR(INDEX(LISTAS!$I$3:$I$42,MATCH($T1120,LISTAS!$H$3:$H$42,0)),"NO")="SÍ",IF(N($X1120)&gt;0,"CERRADA FUERA DE SLA","CERRADA EN SLA"),IF($U1120="","SIN CLASIFICAR",IF(N($X1120)&gt;0,"VENCIDA",IF(TODAY()&gt;=$U1120-1,"POR VENCER","EN PLAZO")))))</f>
        <v/>
      </c>
      <c r="Z1120" s="41" t="n"/>
      <c r="AA1120" s="41" t="n"/>
      <c r="AB1120" s="41" t="n"/>
    </row>
    <row r="1121">
      <c r="A1121" s="39">
        <f>IF($C1121="","","NOV-"&amp;TEXT(ROW()-3,"0000"))</f>
        <v/>
      </c>
      <c r="B1121" s="40" t="n"/>
      <c r="C1121" s="41" t="n"/>
      <c r="D1121" s="42">
        <f>IF($C1121="","",IFERROR(INDEX(DESPACHOS!$D$3:$D$3002,MATCH($C1121,DESPACHOS!$B$3:$B$3002,0)),"SIN DESPACHO"))</f>
        <v/>
      </c>
      <c r="E1121" s="42">
        <f>IF($C1121="","",IFERROR(INDEX(DESPACHOS!$K$3:$K$3002,MATCH($C1121,DESPACHOS!$B$3:$B$3002,0)),""))</f>
        <v/>
      </c>
      <c r="F1121" s="42">
        <f>IF($C1121="","",IFERROR(INDEX(DESPACHOS!$I$3:$I$3002,MATCH($C1121,DESPACHOS!$B$3:$B$3002,0)),""))</f>
        <v/>
      </c>
      <c r="G1121" s="42">
        <f>IF($C1121="","",IFERROR(INDEX(DESPACHOS!$F$3:$F$3002,MATCH($C1121,DESPACHOS!$B$3:$B$3002,0)),""))</f>
        <v/>
      </c>
      <c r="H1121" s="42">
        <f>IF($C1121="","",IFERROR(INDEX(DESPACHOS!$G$3:$G$3002,MATCH($C1121,DESPACHOS!$B$3:$B$3002,0)),""))</f>
        <v/>
      </c>
      <c r="I1121" s="39">
        <f>IF($C1121="","",IFERROR(INDEX(DESPACHOS!$H$3:$H$3002,MATCH($C1121,DESPACHOS!$B$3:$B$3002,0)),""))</f>
        <v/>
      </c>
      <c r="J1121" s="43">
        <f>IF($C1121="","",IFERROR(INDEX(DESPACHOS!$J$3:$J$3002,MATCH($C1121,DESPACHOS!$B$3:$B$3002,0)),""))</f>
        <v/>
      </c>
      <c r="K1121" s="39">
        <f>IF($C1121="","",IF(COUNTIFS(DESPACHOS!$B$3:$B$3002,$C1121)=0,"NO EXISTE",IF(COUNTIFS(DESPACHOS!$B$3:$B$3002,$C1121)&gt;1,"DUPLICADO","OK")))</f>
        <v/>
      </c>
      <c r="L1121" s="41" t="n"/>
      <c r="M1121" s="41" t="n"/>
      <c r="N1121" s="42">
        <f>IF($M1121="","",IFERROR(INDEX(LISTAS!$F$3:$F$42,MATCH($M1121,LISTAS!$E$3:$E$42,0)),"Por definir"))</f>
        <v/>
      </c>
      <c r="O1121" s="41" t="n"/>
      <c r="P1121" s="39">
        <f>IF($L1121="","",IFERROR(INDEX(LISTAS!$B$3:$B$42,MATCH($L1121,LISTAS!$A$3:$A$42,0)),"Media"))</f>
        <v/>
      </c>
      <c r="Q1121" s="44" t="n"/>
      <c r="R1121" s="45" t="n"/>
      <c r="S1121" s="20">
        <f>IFERROR(IF(OR($R1121="",$C1121=""),"",$R1121/INDEX(DESPACHOS!$M$3:$M$3002,MATCH($C1121,DESPACHOS!$B$3:$B$3002,0))),"")</f>
        <v/>
      </c>
      <c r="T1121" s="41" t="n"/>
      <c r="U1121" s="43">
        <f>IF(OR($B1121="",$L1121=""),"",WORKDAY($B1121,IFERROR(INDEX(LISTAS!$C$3:$C$42,MATCH($L1121,LISTAS!$A$3:$A$42,0)),3)))</f>
        <v/>
      </c>
      <c r="V1121" s="40" t="n"/>
      <c r="W1121" s="19">
        <f>IF($B1121="","",IF($V1121&lt;&gt;"",$V1121-$B1121,TODAY()-$B1121))</f>
        <v/>
      </c>
      <c r="X1121" s="19">
        <f>IF(OR($B1121="",$U1121=""),"",IF($V1121&lt;&gt;"",MAX(0,$V1121-$U1121),MAX(0,TODAY()-$U1121)))</f>
        <v/>
      </c>
      <c r="Y1121" s="39">
        <f>IF($C1121="","",IF(IFERROR(INDEX(LISTAS!$I$3:$I$42,MATCH($T1121,LISTAS!$H$3:$H$42,0)),"NO")="SÍ",IF(N($X1121)&gt;0,"CERRADA FUERA DE SLA","CERRADA EN SLA"),IF($U1121="","SIN CLASIFICAR",IF(N($X1121)&gt;0,"VENCIDA",IF(TODAY()&gt;=$U1121-1,"POR VENCER","EN PLAZO")))))</f>
        <v/>
      </c>
      <c r="Z1121" s="41" t="n"/>
      <c r="AA1121" s="41" t="n"/>
      <c r="AB1121" s="41" t="n"/>
    </row>
    <row r="1122">
      <c r="A1122" s="39">
        <f>IF($C1122="","","NOV-"&amp;TEXT(ROW()-3,"0000"))</f>
        <v/>
      </c>
      <c r="B1122" s="40" t="n"/>
      <c r="C1122" s="41" t="n"/>
      <c r="D1122" s="42">
        <f>IF($C1122="","",IFERROR(INDEX(DESPACHOS!$D$3:$D$3002,MATCH($C1122,DESPACHOS!$B$3:$B$3002,0)),"SIN DESPACHO"))</f>
        <v/>
      </c>
      <c r="E1122" s="42">
        <f>IF($C1122="","",IFERROR(INDEX(DESPACHOS!$K$3:$K$3002,MATCH($C1122,DESPACHOS!$B$3:$B$3002,0)),""))</f>
        <v/>
      </c>
      <c r="F1122" s="42">
        <f>IF($C1122="","",IFERROR(INDEX(DESPACHOS!$I$3:$I$3002,MATCH($C1122,DESPACHOS!$B$3:$B$3002,0)),""))</f>
        <v/>
      </c>
      <c r="G1122" s="42">
        <f>IF($C1122="","",IFERROR(INDEX(DESPACHOS!$F$3:$F$3002,MATCH($C1122,DESPACHOS!$B$3:$B$3002,0)),""))</f>
        <v/>
      </c>
      <c r="H1122" s="42">
        <f>IF($C1122="","",IFERROR(INDEX(DESPACHOS!$G$3:$G$3002,MATCH($C1122,DESPACHOS!$B$3:$B$3002,0)),""))</f>
        <v/>
      </c>
      <c r="I1122" s="39">
        <f>IF($C1122="","",IFERROR(INDEX(DESPACHOS!$H$3:$H$3002,MATCH($C1122,DESPACHOS!$B$3:$B$3002,0)),""))</f>
        <v/>
      </c>
      <c r="J1122" s="43">
        <f>IF($C1122="","",IFERROR(INDEX(DESPACHOS!$J$3:$J$3002,MATCH($C1122,DESPACHOS!$B$3:$B$3002,0)),""))</f>
        <v/>
      </c>
      <c r="K1122" s="39">
        <f>IF($C1122="","",IF(COUNTIFS(DESPACHOS!$B$3:$B$3002,$C1122)=0,"NO EXISTE",IF(COUNTIFS(DESPACHOS!$B$3:$B$3002,$C1122)&gt;1,"DUPLICADO","OK")))</f>
        <v/>
      </c>
      <c r="L1122" s="41" t="n"/>
      <c r="M1122" s="41" t="n"/>
      <c r="N1122" s="42">
        <f>IF($M1122="","",IFERROR(INDEX(LISTAS!$F$3:$F$42,MATCH($M1122,LISTAS!$E$3:$E$42,0)),"Por definir"))</f>
        <v/>
      </c>
      <c r="O1122" s="41" t="n"/>
      <c r="P1122" s="39">
        <f>IF($L1122="","",IFERROR(INDEX(LISTAS!$B$3:$B$42,MATCH($L1122,LISTAS!$A$3:$A$42,0)),"Media"))</f>
        <v/>
      </c>
      <c r="Q1122" s="44" t="n"/>
      <c r="R1122" s="45" t="n"/>
      <c r="S1122" s="20">
        <f>IFERROR(IF(OR($R1122="",$C1122=""),"",$R1122/INDEX(DESPACHOS!$M$3:$M$3002,MATCH($C1122,DESPACHOS!$B$3:$B$3002,0))),"")</f>
        <v/>
      </c>
      <c r="T1122" s="41" t="n"/>
      <c r="U1122" s="43">
        <f>IF(OR($B1122="",$L1122=""),"",WORKDAY($B1122,IFERROR(INDEX(LISTAS!$C$3:$C$42,MATCH($L1122,LISTAS!$A$3:$A$42,0)),3)))</f>
        <v/>
      </c>
      <c r="V1122" s="40" t="n"/>
      <c r="W1122" s="19">
        <f>IF($B1122="","",IF($V1122&lt;&gt;"",$V1122-$B1122,TODAY()-$B1122))</f>
        <v/>
      </c>
      <c r="X1122" s="19">
        <f>IF(OR($B1122="",$U1122=""),"",IF($V1122&lt;&gt;"",MAX(0,$V1122-$U1122),MAX(0,TODAY()-$U1122)))</f>
        <v/>
      </c>
      <c r="Y1122" s="39">
        <f>IF($C1122="","",IF(IFERROR(INDEX(LISTAS!$I$3:$I$42,MATCH($T1122,LISTAS!$H$3:$H$42,0)),"NO")="SÍ",IF(N($X1122)&gt;0,"CERRADA FUERA DE SLA","CERRADA EN SLA"),IF($U1122="","SIN CLASIFICAR",IF(N($X1122)&gt;0,"VENCIDA",IF(TODAY()&gt;=$U1122-1,"POR VENCER","EN PLAZO")))))</f>
        <v/>
      </c>
      <c r="Z1122" s="41" t="n"/>
      <c r="AA1122" s="41" t="n"/>
      <c r="AB1122" s="41" t="n"/>
    </row>
    <row r="1123">
      <c r="A1123" s="39">
        <f>IF($C1123="","","NOV-"&amp;TEXT(ROW()-3,"0000"))</f>
        <v/>
      </c>
      <c r="B1123" s="40" t="n"/>
      <c r="C1123" s="41" t="n"/>
      <c r="D1123" s="42">
        <f>IF($C1123="","",IFERROR(INDEX(DESPACHOS!$D$3:$D$3002,MATCH($C1123,DESPACHOS!$B$3:$B$3002,0)),"SIN DESPACHO"))</f>
        <v/>
      </c>
      <c r="E1123" s="42">
        <f>IF($C1123="","",IFERROR(INDEX(DESPACHOS!$K$3:$K$3002,MATCH($C1123,DESPACHOS!$B$3:$B$3002,0)),""))</f>
        <v/>
      </c>
      <c r="F1123" s="42">
        <f>IF($C1123="","",IFERROR(INDEX(DESPACHOS!$I$3:$I$3002,MATCH($C1123,DESPACHOS!$B$3:$B$3002,0)),""))</f>
        <v/>
      </c>
      <c r="G1123" s="42">
        <f>IF($C1123="","",IFERROR(INDEX(DESPACHOS!$F$3:$F$3002,MATCH($C1123,DESPACHOS!$B$3:$B$3002,0)),""))</f>
        <v/>
      </c>
      <c r="H1123" s="42">
        <f>IF($C1123="","",IFERROR(INDEX(DESPACHOS!$G$3:$G$3002,MATCH($C1123,DESPACHOS!$B$3:$B$3002,0)),""))</f>
        <v/>
      </c>
      <c r="I1123" s="39">
        <f>IF($C1123="","",IFERROR(INDEX(DESPACHOS!$H$3:$H$3002,MATCH($C1123,DESPACHOS!$B$3:$B$3002,0)),""))</f>
        <v/>
      </c>
      <c r="J1123" s="43">
        <f>IF($C1123="","",IFERROR(INDEX(DESPACHOS!$J$3:$J$3002,MATCH($C1123,DESPACHOS!$B$3:$B$3002,0)),""))</f>
        <v/>
      </c>
      <c r="K1123" s="39">
        <f>IF($C1123="","",IF(COUNTIFS(DESPACHOS!$B$3:$B$3002,$C1123)=0,"NO EXISTE",IF(COUNTIFS(DESPACHOS!$B$3:$B$3002,$C1123)&gt;1,"DUPLICADO","OK")))</f>
        <v/>
      </c>
      <c r="L1123" s="41" t="n"/>
      <c r="M1123" s="41" t="n"/>
      <c r="N1123" s="42">
        <f>IF($M1123="","",IFERROR(INDEX(LISTAS!$F$3:$F$42,MATCH($M1123,LISTAS!$E$3:$E$42,0)),"Por definir"))</f>
        <v/>
      </c>
      <c r="O1123" s="41" t="n"/>
      <c r="P1123" s="39">
        <f>IF($L1123="","",IFERROR(INDEX(LISTAS!$B$3:$B$42,MATCH($L1123,LISTAS!$A$3:$A$42,0)),"Media"))</f>
        <v/>
      </c>
      <c r="Q1123" s="44" t="n"/>
      <c r="R1123" s="45" t="n"/>
      <c r="S1123" s="20">
        <f>IFERROR(IF(OR($R1123="",$C1123=""),"",$R1123/INDEX(DESPACHOS!$M$3:$M$3002,MATCH($C1123,DESPACHOS!$B$3:$B$3002,0))),"")</f>
        <v/>
      </c>
      <c r="T1123" s="41" t="n"/>
      <c r="U1123" s="43">
        <f>IF(OR($B1123="",$L1123=""),"",WORKDAY($B1123,IFERROR(INDEX(LISTAS!$C$3:$C$42,MATCH($L1123,LISTAS!$A$3:$A$42,0)),3)))</f>
        <v/>
      </c>
      <c r="V1123" s="40" t="n"/>
      <c r="W1123" s="19">
        <f>IF($B1123="","",IF($V1123&lt;&gt;"",$V1123-$B1123,TODAY()-$B1123))</f>
        <v/>
      </c>
      <c r="X1123" s="19">
        <f>IF(OR($B1123="",$U1123=""),"",IF($V1123&lt;&gt;"",MAX(0,$V1123-$U1123),MAX(0,TODAY()-$U1123)))</f>
        <v/>
      </c>
      <c r="Y1123" s="39">
        <f>IF($C1123="","",IF(IFERROR(INDEX(LISTAS!$I$3:$I$42,MATCH($T1123,LISTAS!$H$3:$H$42,0)),"NO")="SÍ",IF(N($X1123)&gt;0,"CERRADA FUERA DE SLA","CERRADA EN SLA"),IF($U1123="","SIN CLASIFICAR",IF(N($X1123)&gt;0,"VENCIDA",IF(TODAY()&gt;=$U1123-1,"POR VENCER","EN PLAZO")))))</f>
        <v/>
      </c>
      <c r="Z1123" s="41" t="n"/>
      <c r="AA1123" s="41" t="n"/>
      <c r="AB1123" s="41" t="n"/>
    </row>
    <row r="1124">
      <c r="A1124" s="39">
        <f>IF($C1124="","","NOV-"&amp;TEXT(ROW()-3,"0000"))</f>
        <v/>
      </c>
      <c r="B1124" s="40" t="n"/>
      <c r="C1124" s="41" t="n"/>
      <c r="D1124" s="42">
        <f>IF($C1124="","",IFERROR(INDEX(DESPACHOS!$D$3:$D$3002,MATCH($C1124,DESPACHOS!$B$3:$B$3002,0)),"SIN DESPACHO"))</f>
        <v/>
      </c>
      <c r="E1124" s="42">
        <f>IF($C1124="","",IFERROR(INDEX(DESPACHOS!$K$3:$K$3002,MATCH($C1124,DESPACHOS!$B$3:$B$3002,0)),""))</f>
        <v/>
      </c>
      <c r="F1124" s="42">
        <f>IF($C1124="","",IFERROR(INDEX(DESPACHOS!$I$3:$I$3002,MATCH($C1124,DESPACHOS!$B$3:$B$3002,0)),""))</f>
        <v/>
      </c>
      <c r="G1124" s="42">
        <f>IF($C1124="","",IFERROR(INDEX(DESPACHOS!$F$3:$F$3002,MATCH($C1124,DESPACHOS!$B$3:$B$3002,0)),""))</f>
        <v/>
      </c>
      <c r="H1124" s="42">
        <f>IF($C1124="","",IFERROR(INDEX(DESPACHOS!$G$3:$G$3002,MATCH($C1124,DESPACHOS!$B$3:$B$3002,0)),""))</f>
        <v/>
      </c>
      <c r="I1124" s="39">
        <f>IF($C1124="","",IFERROR(INDEX(DESPACHOS!$H$3:$H$3002,MATCH($C1124,DESPACHOS!$B$3:$B$3002,0)),""))</f>
        <v/>
      </c>
      <c r="J1124" s="43">
        <f>IF($C1124="","",IFERROR(INDEX(DESPACHOS!$J$3:$J$3002,MATCH($C1124,DESPACHOS!$B$3:$B$3002,0)),""))</f>
        <v/>
      </c>
      <c r="K1124" s="39">
        <f>IF($C1124="","",IF(COUNTIFS(DESPACHOS!$B$3:$B$3002,$C1124)=0,"NO EXISTE",IF(COUNTIFS(DESPACHOS!$B$3:$B$3002,$C1124)&gt;1,"DUPLICADO","OK")))</f>
        <v/>
      </c>
      <c r="L1124" s="41" t="n"/>
      <c r="M1124" s="41" t="n"/>
      <c r="N1124" s="42">
        <f>IF($M1124="","",IFERROR(INDEX(LISTAS!$F$3:$F$42,MATCH($M1124,LISTAS!$E$3:$E$42,0)),"Por definir"))</f>
        <v/>
      </c>
      <c r="O1124" s="41" t="n"/>
      <c r="P1124" s="39">
        <f>IF($L1124="","",IFERROR(INDEX(LISTAS!$B$3:$B$42,MATCH($L1124,LISTAS!$A$3:$A$42,0)),"Media"))</f>
        <v/>
      </c>
      <c r="Q1124" s="44" t="n"/>
      <c r="R1124" s="45" t="n"/>
      <c r="S1124" s="20">
        <f>IFERROR(IF(OR($R1124="",$C1124=""),"",$R1124/INDEX(DESPACHOS!$M$3:$M$3002,MATCH($C1124,DESPACHOS!$B$3:$B$3002,0))),"")</f>
        <v/>
      </c>
      <c r="T1124" s="41" t="n"/>
      <c r="U1124" s="43">
        <f>IF(OR($B1124="",$L1124=""),"",WORKDAY($B1124,IFERROR(INDEX(LISTAS!$C$3:$C$42,MATCH($L1124,LISTAS!$A$3:$A$42,0)),3)))</f>
        <v/>
      </c>
      <c r="V1124" s="40" t="n"/>
      <c r="W1124" s="19">
        <f>IF($B1124="","",IF($V1124&lt;&gt;"",$V1124-$B1124,TODAY()-$B1124))</f>
        <v/>
      </c>
      <c r="X1124" s="19">
        <f>IF(OR($B1124="",$U1124=""),"",IF($V1124&lt;&gt;"",MAX(0,$V1124-$U1124),MAX(0,TODAY()-$U1124)))</f>
        <v/>
      </c>
      <c r="Y1124" s="39">
        <f>IF($C1124="","",IF(IFERROR(INDEX(LISTAS!$I$3:$I$42,MATCH($T1124,LISTAS!$H$3:$H$42,0)),"NO")="SÍ",IF(N($X1124)&gt;0,"CERRADA FUERA DE SLA","CERRADA EN SLA"),IF($U1124="","SIN CLASIFICAR",IF(N($X1124)&gt;0,"VENCIDA",IF(TODAY()&gt;=$U1124-1,"POR VENCER","EN PLAZO")))))</f>
        <v/>
      </c>
      <c r="Z1124" s="41" t="n"/>
      <c r="AA1124" s="41" t="n"/>
      <c r="AB1124" s="41" t="n"/>
    </row>
    <row r="1125">
      <c r="A1125" s="39">
        <f>IF($C1125="","","NOV-"&amp;TEXT(ROW()-3,"0000"))</f>
        <v/>
      </c>
      <c r="B1125" s="40" t="n"/>
      <c r="C1125" s="41" t="n"/>
      <c r="D1125" s="42">
        <f>IF($C1125="","",IFERROR(INDEX(DESPACHOS!$D$3:$D$3002,MATCH($C1125,DESPACHOS!$B$3:$B$3002,0)),"SIN DESPACHO"))</f>
        <v/>
      </c>
      <c r="E1125" s="42">
        <f>IF($C1125="","",IFERROR(INDEX(DESPACHOS!$K$3:$K$3002,MATCH($C1125,DESPACHOS!$B$3:$B$3002,0)),""))</f>
        <v/>
      </c>
      <c r="F1125" s="42">
        <f>IF($C1125="","",IFERROR(INDEX(DESPACHOS!$I$3:$I$3002,MATCH($C1125,DESPACHOS!$B$3:$B$3002,0)),""))</f>
        <v/>
      </c>
      <c r="G1125" s="42">
        <f>IF($C1125="","",IFERROR(INDEX(DESPACHOS!$F$3:$F$3002,MATCH($C1125,DESPACHOS!$B$3:$B$3002,0)),""))</f>
        <v/>
      </c>
      <c r="H1125" s="42">
        <f>IF($C1125="","",IFERROR(INDEX(DESPACHOS!$G$3:$G$3002,MATCH($C1125,DESPACHOS!$B$3:$B$3002,0)),""))</f>
        <v/>
      </c>
      <c r="I1125" s="39">
        <f>IF($C1125="","",IFERROR(INDEX(DESPACHOS!$H$3:$H$3002,MATCH($C1125,DESPACHOS!$B$3:$B$3002,0)),""))</f>
        <v/>
      </c>
      <c r="J1125" s="43">
        <f>IF($C1125="","",IFERROR(INDEX(DESPACHOS!$J$3:$J$3002,MATCH($C1125,DESPACHOS!$B$3:$B$3002,0)),""))</f>
        <v/>
      </c>
      <c r="K1125" s="39">
        <f>IF($C1125="","",IF(COUNTIFS(DESPACHOS!$B$3:$B$3002,$C1125)=0,"NO EXISTE",IF(COUNTIFS(DESPACHOS!$B$3:$B$3002,$C1125)&gt;1,"DUPLICADO","OK")))</f>
        <v/>
      </c>
      <c r="L1125" s="41" t="n"/>
      <c r="M1125" s="41" t="n"/>
      <c r="N1125" s="42">
        <f>IF($M1125="","",IFERROR(INDEX(LISTAS!$F$3:$F$42,MATCH($M1125,LISTAS!$E$3:$E$42,0)),"Por definir"))</f>
        <v/>
      </c>
      <c r="O1125" s="41" t="n"/>
      <c r="P1125" s="39">
        <f>IF($L1125="","",IFERROR(INDEX(LISTAS!$B$3:$B$42,MATCH($L1125,LISTAS!$A$3:$A$42,0)),"Media"))</f>
        <v/>
      </c>
      <c r="Q1125" s="44" t="n"/>
      <c r="R1125" s="45" t="n"/>
      <c r="S1125" s="20">
        <f>IFERROR(IF(OR($R1125="",$C1125=""),"",$R1125/INDEX(DESPACHOS!$M$3:$M$3002,MATCH($C1125,DESPACHOS!$B$3:$B$3002,0))),"")</f>
        <v/>
      </c>
      <c r="T1125" s="41" t="n"/>
      <c r="U1125" s="43">
        <f>IF(OR($B1125="",$L1125=""),"",WORKDAY($B1125,IFERROR(INDEX(LISTAS!$C$3:$C$42,MATCH($L1125,LISTAS!$A$3:$A$42,0)),3)))</f>
        <v/>
      </c>
      <c r="V1125" s="40" t="n"/>
      <c r="W1125" s="19">
        <f>IF($B1125="","",IF($V1125&lt;&gt;"",$V1125-$B1125,TODAY()-$B1125))</f>
        <v/>
      </c>
      <c r="X1125" s="19">
        <f>IF(OR($B1125="",$U1125=""),"",IF($V1125&lt;&gt;"",MAX(0,$V1125-$U1125),MAX(0,TODAY()-$U1125)))</f>
        <v/>
      </c>
      <c r="Y1125" s="39">
        <f>IF($C1125="","",IF(IFERROR(INDEX(LISTAS!$I$3:$I$42,MATCH($T1125,LISTAS!$H$3:$H$42,0)),"NO")="SÍ",IF(N($X1125)&gt;0,"CERRADA FUERA DE SLA","CERRADA EN SLA"),IF($U1125="","SIN CLASIFICAR",IF(N($X1125)&gt;0,"VENCIDA",IF(TODAY()&gt;=$U1125-1,"POR VENCER","EN PLAZO")))))</f>
        <v/>
      </c>
      <c r="Z1125" s="41" t="n"/>
      <c r="AA1125" s="41" t="n"/>
      <c r="AB1125" s="41" t="n"/>
    </row>
    <row r="1126">
      <c r="A1126" s="39">
        <f>IF($C1126="","","NOV-"&amp;TEXT(ROW()-3,"0000"))</f>
        <v/>
      </c>
      <c r="B1126" s="40" t="n"/>
      <c r="C1126" s="41" t="n"/>
      <c r="D1126" s="42">
        <f>IF($C1126="","",IFERROR(INDEX(DESPACHOS!$D$3:$D$3002,MATCH($C1126,DESPACHOS!$B$3:$B$3002,0)),"SIN DESPACHO"))</f>
        <v/>
      </c>
      <c r="E1126" s="42">
        <f>IF($C1126="","",IFERROR(INDEX(DESPACHOS!$K$3:$K$3002,MATCH($C1126,DESPACHOS!$B$3:$B$3002,0)),""))</f>
        <v/>
      </c>
      <c r="F1126" s="42">
        <f>IF($C1126="","",IFERROR(INDEX(DESPACHOS!$I$3:$I$3002,MATCH($C1126,DESPACHOS!$B$3:$B$3002,0)),""))</f>
        <v/>
      </c>
      <c r="G1126" s="42">
        <f>IF($C1126="","",IFERROR(INDEX(DESPACHOS!$F$3:$F$3002,MATCH($C1126,DESPACHOS!$B$3:$B$3002,0)),""))</f>
        <v/>
      </c>
      <c r="H1126" s="42">
        <f>IF($C1126="","",IFERROR(INDEX(DESPACHOS!$G$3:$G$3002,MATCH($C1126,DESPACHOS!$B$3:$B$3002,0)),""))</f>
        <v/>
      </c>
      <c r="I1126" s="39">
        <f>IF($C1126="","",IFERROR(INDEX(DESPACHOS!$H$3:$H$3002,MATCH($C1126,DESPACHOS!$B$3:$B$3002,0)),""))</f>
        <v/>
      </c>
      <c r="J1126" s="43">
        <f>IF($C1126="","",IFERROR(INDEX(DESPACHOS!$J$3:$J$3002,MATCH($C1126,DESPACHOS!$B$3:$B$3002,0)),""))</f>
        <v/>
      </c>
      <c r="K1126" s="39">
        <f>IF($C1126="","",IF(COUNTIFS(DESPACHOS!$B$3:$B$3002,$C1126)=0,"NO EXISTE",IF(COUNTIFS(DESPACHOS!$B$3:$B$3002,$C1126)&gt;1,"DUPLICADO","OK")))</f>
        <v/>
      </c>
      <c r="L1126" s="41" t="n"/>
      <c r="M1126" s="41" t="n"/>
      <c r="N1126" s="42">
        <f>IF($M1126="","",IFERROR(INDEX(LISTAS!$F$3:$F$42,MATCH($M1126,LISTAS!$E$3:$E$42,0)),"Por definir"))</f>
        <v/>
      </c>
      <c r="O1126" s="41" t="n"/>
      <c r="P1126" s="39">
        <f>IF($L1126="","",IFERROR(INDEX(LISTAS!$B$3:$B$42,MATCH($L1126,LISTAS!$A$3:$A$42,0)),"Media"))</f>
        <v/>
      </c>
      <c r="Q1126" s="44" t="n"/>
      <c r="R1126" s="45" t="n"/>
      <c r="S1126" s="20">
        <f>IFERROR(IF(OR($R1126="",$C1126=""),"",$R1126/INDEX(DESPACHOS!$M$3:$M$3002,MATCH($C1126,DESPACHOS!$B$3:$B$3002,0))),"")</f>
        <v/>
      </c>
      <c r="T1126" s="41" t="n"/>
      <c r="U1126" s="43">
        <f>IF(OR($B1126="",$L1126=""),"",WORKDAY($B1126,IFERROR(INDEX(LISTAS!$C$3:$C$42,MATCH($L1126,LISTAS!$A$3:$A$42,0)),3)))</f>
        <v/>
      </c>
      <c r="V1126" s="40" t="n"/>
      <c r="W1126" s="19">
        <f>IF($B1126="","",IF($V1126&lt;&gt;"",$V1126-$B1126,TODAY()-$B1126))</f>
        <v/>
      </c>
      <c r="X1126" s="19">
        <f>IF(OR($B1126="",$U1126=""),"",IF($V1126&lt;&gt;"",MAX(0,$V1126-$U1126),MAX(0,TODAY()-$U1126)))</f>
        <v/>
      </c>
      <c r="Y1126" s="39">
        <f>IF($C1126="","",IF(IFERROR(INDEX(LISTAS!$I$3:$I$42,MATCH($T1126,LISTAS!$H$3:$H$42,0)),"NO")="SÍ",IF(N($X1126)&gt;0,"CERRADA FUERA DE SLA","CERRADA EN SLA"),IF($U1126="","SIN CLASIFICAR",IF(N($X1126)&gt;0,"VENCIDA",IF(TODAY()&gt;=$U1126-1,"POR VENCER","EN PLAZO")))))</f>
        <v/>
      </c>
      <c r="Z1126" s="41" t="n"/>
      <c r="AA1126" s="41" t="n"/>
      <c r="AB1126" s="41" t="n"/>
    </row>
    <row r="1127">
      <c r="A1127" s="39">
        <f>IF($C1127="","","NOV-"&amp;TEXT(ROW()-3,"0000"))</f>
        <v/>
      </c>
      <c r="B1127" s="40" t="n"/>
      <c r="C1127" s="41" t="n"/>
      <c r="D1127" s="42">
        <f>IF($C1127="","",IFERROR(INDEX(DESPACHOS!$D$3:$D$3002,MATCH($C1127,DESPACHOS!$B$3:$B$3002,0)),"SIN DESPACHO"))</f>
        <v/>
      </c>
      <c r="E1127" s="42">
        <f>IF($C1127="","",IFERROR(INDEX(DESPACHOS!$K$3:$K$3002,MATCH($C1127,DESPACHOS!$B$3:$B$3002,0)),""))</f>
        <v/>
      </c>
      <c r="F1127" s="42">
        <f>IF($C1127="","",IFERROR(INDEX(DESPACHOS!$I$3:$I$3002,MATCH($C1127,DESPACHOS!$B$3:$B$3002,0)),""))</f>
        <v/>
      </c>
      <c r="G1127" s="42">
        <f>IF($C1127="","",IFERROR(INDEX(DESPACHOS!$F$3:$F$3002,MATCH($C1127,DESPACHOS!$B$3:$B$3002,0)),""))</f>
        <v/>
      </c>
      <c r="H1127" s="42">
        <f>IF($C1127="","",IFERROR(INDEX(DESPACHOS!$G$3:$G$3002,MATCH($C1127,DESPACHOS!$B$3:$B$3002,0)),""))</f>
        <v/>
      </c>
      <c r="I1127" s="39">
        <f>IF($C1127="","",IFERROR(INDEX(DESPACHOS!$H$3:$H$3002,MATCH($C1127,DESPACHOS!$B$3:$B$3002,0)),""))</f>
        <v/>
      </c>
      <c r="J1127" s="43">
        <f>IF($C1127="","",IFERROR(INDEX(DESPACHOS!$J$3:$J$3002,MATCH($C1127,DESPACHOS!$B$3:$B$3002,0)),""))</f>
        <v/>
      </c>
      <c r="K1127" s="39">
        <f>IF($C1127="","",IF(COUNTIFS(DESPACHOS!$B$3:$B$3002,$C1127)=0,"NO EXISTE",IF(COUNTIFS(DESPACHOS!$B$3:$B$3002,$C1127)&gt;1,"DUPLICADO","OK")))</f>
        <v/>
      </c>
      <c r="L1127" s="41" t="n"/>
      <c r="M1127" s="41" t="n"/>
      <c r="N1127" s="42">
        <f>IF($M1127="","",IFERROR(INDEX(LISTAS!$F$3:$F$42,MATCH($M1127,LISTAS!$E$3:$E$42,0)),"Por definir"))</f>
        <v/>
      </c>
      <c r="O1127" s="41" t="n"/>
      <c r="P1127" s="39">
        <f>IF($L1127="","",IFERROR(INDEX(LISTAS!$B$3:$B$42,MATCH($L1127,LISTAS!$A$3:$A$42,0)),"Media"))</f>
        <v/>
      </c>
      <c r="Q1127" s="44" t="n"/>
      <c r="R1127" s="45" t="n"/>
      <c r="S1127" s="20">
        <f>IFERROR(IF(OR($R1127="",$C1127=""),"",$R1127/INDEX(DESPACHOS!$M$3:$M$3002,MATCH($C1127,DESPACHOS!$B$3:$B$3002,0))),"")</f>
        <v/>
      </c>
      <c r="T1127" s="41" t="n"/>
      <c r="U1127" s="43">
        <f>IF(OR($B1127="",$L1127=""),"",WORKDAY($B1127,IFERROR(INDEX(LISTAS!$C$3:$C$42,MATCH($L1127,LISTAS!$A$3:$A$42,0)),3)))</f>
        <v/>
      </c>
      <c r="V1127" s="40" t="n"/>
      <c r="W1127" s="19">
        <f>IF($B1127="","",IF($V1127&lt;&gt;"",$V1127-$B1127,TODAY()-$B1127))</f>
        <v/>
      </c>
      <c r="X1127" s="19">
        <f>IF(OR($B1127="",$U1127=""),"",IF($V1127&lt;&gt;"",MAX(0,$V1127-$U1127),MAX(0,TODAY()-$U1127)))</f>
        <v/>
      </c>
      <c r="Y1127" s="39">
        <f>IF($C1127="","",IF(IFERROR(INDEX(LISTAS!$I$3:$I$42,MATCH($T1127,LISTAS!$H$3:$H$42,0)),"NO")="SÍ",IF(N($X1127)&gt;0,"CERRADA FUERA DE SLA","CERRADA EN SLA"),IF($U1127="","SIN CLASIFICAR",IF(N($X1127)&gt;0,"VENCIDA",IF(TODAY()&gt;=$U1127-1,"POR VENCER","EN PLAZO")))))</f>
        <v/>
      </c>
      <c r="Z1127" s="41" t="n"/>
      <c r="AA1127" s="41" t="n"/>
      <c r="AB1127" s="41" t="n"/>
    </row>
    <row r="1128">
      <c r="A1128" s="39">
        <f>IF($C1128="","","NOV-"&amp;TEXT(ROW()-3,"0000"))</f>
        <v/>
      </c>
      <c r="B1128" s="40" t="n"/>
      <c r="C1128" s="41" t="n"/>
      <c r="D1128" s="42">
        <f>IF($C1128="","",IFERROR(INDEX(DESPACHOS!$D$3:$D$3002,MATCH($C1128,DESPACHOS!$B$3:$B$3002,0)),"SIN DESPACHO"))</f>
        <v/>
      </c>
      <c r="E1128" s="42">
        <f>IF($C1128="","",IFERROR(INDEX(DESPACHOS!$K$3:$K$3002,MATCH($C1128,DESPACHOS!$B$3:$B$3002,0)),""))</f>
        <v/>
      </c>
      <c r="F1128" s="42">
        <f>IF($C1128="","",IFERROR(INDEX(DESPACHOS!$I$3:$I$3002,MATCH($C1128,DESPACHOS!$B$3:$B$3002,0)),""))</f>
        <v/>
      </c>
      <c r="G1128" s="42">
        <f>IF($C1128="","",IFERROR(INDEX(DESPACHOS!$F$3:$F$3002,MATCH($C1128,DESPACHOS!$B$3:$B$3002,0)),""))</f>
        <v/>
      </c>
      <c r="H1128" s="42">
        <f>IF($C1128="","",IFERROR(INDEX(DESPACHOS!$G$3:$G$3002,MATCH($C1128,DESPACHOS!$B$3:$B$3002,0)),""))</f>
        <v/>
      </c>
      <c r="I1128" s="39">
        <f>IF($C1128="","",IFERROR(INDEX(DESPACHOS!$H$3:$H$3002,MATCH($C1128,DESPACHOS!$B$3:$B$3002,0)),""))</f>
        <v/>
      </c>
      <c r="J1128" s="43">
        <f>IF($C1128="","",IFERROR(INDEX(DESPACHOS!$J$3:$J$3002,MATCH($C1128,DESPACHOS!$B$3:$B$3002,0)),""))</f>
        <v/>
      </c>
      <c r="K1128" s="39">
        <f>IF($C1128="","",IF(COUNTIFS(DESPACHOS!$B$3:$B$3002,$C1128)=0,"NO EXISTE",IF(COUNTIFS(DESPACHOS!$B$3:$B$3002,$C1128)&gt;1,"DUPLICADO","OK")))</f>
        <v/>
      </c>
      <c r="L1128" s="41" t="n"/>
      <c r="M1128" s="41" t="n"/>
      <c r="N1128" s="42">
        <f>IF($M1128="","",IFERROR(INDEX(LISTAS!$F$3:$F$42,MATCH($M1128,LISTAS!$E$3:$E$42,0)),"Por definir"))</f>
        <v/>
      </c>
      <c r="O1128" s="41" t="n"/>
      <c r="P1128" s="39">
        <f>IF($L1128="","",IFERROR(INDEX(LISTAS!$B$3:$B$42,MATCH($L1128,LISTAS!$A$3:$A$42,0)),"Media"))</f>
        <v/>
      </c>
      <c r="Q1128" s="44" t="n"/>
      <c r="R1128" s="45" t="n"/>
      <c r="S1128" s="20">
        <f>IFERROR(IF(OR($R1128="",$C1128=""),"",$R1128/INDEX(DESPACHOS!$M$3:$M$3002,MATCH($C1128,DESPACHOS!$B$3:$B$3002,0))),"")</f>
        <v/>
      </c>
      <c r="T1128" s="41" t="n"/>
      <c r="U1128" s="43">
        <f>IF(OR($B1128="",$L1128=""),"",WORKDAY($B1128,IFERROR(INDEX(LISTAS!$C$3:$C$42,MATCH($L1128,LISTAS!$A$3:$A$42,0)),3)))</f>
        <v/>
      </c>
      <c r="V1128" s="40" t="n"/>
      <c r="W1128" s="19">
        <f>IF($B1128="","",IF($V1128&lt;&gt;"",$V1128-$B1128,TODAY()-$B1128))</f>
        <v/>
      </c>
      <c r="X1128" s="19">
        <f>IF(OR($B1128="",$U1128=""),"",IF($V1128&lt;&gt;"",MAX(0,$V1128-$U1128),MAX(0,TODAY()-$U1128)))</f>
        <v/>
      </c>
      <c r="Y1128" s="39">
        <f>IF($C1128="","",IF(IFERROR(INDEX(LISTAS!$I$3:$I$42,MATCH($T1128,LISTAS!$H$3:$H$42,0)),"NO")="SÍ",IF(N($X1128)&gt;0,"CERRADA FUERA DE SLA","CERRADA EN SLA"),IF($U1128="","SIN CLASIFICAR",IF(N($X1128)&gt;0,"VENCIDA",IF(TODAY()&gt;=$U1128-1,"POR VENCER","EN PLAZO")))))</f>
        <v/>
      </c>
      <c r="Z1128" s="41" t="n"/>
      <c r="AA1128" s="41" t="n"/>
      <c r="AB1128" s="41" t="n"/>
    </row>
    <row r="1129">
      <c r="A1129" s="39">
        <f>IF($C1129="","","NOV-"&amp;TEXT(ROW()-3,"0000"))</f>
        <v/>
      </c>
      <c r="B1129" s="40" t="n"/>
      <c r="C1129" s="41" t="n"/>
      <c r="D1129" s="42">
        <f>IF($C1129="","",IFERROR(INDEX(DESPACHOS!$D$3:$D$3002,MATCH($C1129,DESPACHOS!$B$3:$B$3002,0)),"SIN DESPACHO"))</f>
        <v/>
      </c>
      <c r="E1129" s="42">
        <f>IF($C1129="","",IFERROR(INDEX(DESPACHOS!$K$3:$K$3002,MATCH($C1129,DESPACHOS!$B$3:$B$3002,0)),""))</f>
        <v/>
      </c>
      <c r="F1129" s="42">
        <f>IF($C1129="","",IFERROR(INDEX(DESPACHOS!$I$3:$I$3002,MATCH($C1129,DESPACHOS!$B$3:$B$3002,0)),""))</f>
        <v/>
      </c>
      <c r="G1129" s="42">
        <f>IF($C1129="","",IFERROR(INDEX(DESPACHOS!$F$3:$F$3002,MATCH($C1129,DESPACHOS!$B$3:$B$3002,0)),""))</f>
        <v/>
      </c>
      <c r="H1129" s="42">
        <f>IF($C1129="","",IFERROR(INDEX(DESPACHOS!$G$3:$G$3002,MATCH($C1129,DESPACHOS!$B$3:$B$3002,0)),""))</f>
        <v/>
      </c>
      <c r="I1129" s="39">
        <f>IF($C1129="","",IFERROR(INDEX(DESPACHOS!$H$3:$H$3002,MATCH($C1129,DESPACHOS!$B$3:$B$3002,0)),""))</f>
        <v/>
      </c>
      <c r="J1129" s="43">
        <f>IF($C1129="","",IFERROR(INDEX(DESPACHOS!$J$3:$J$3002,MATCH($C1129,DESPACHOS!$B$3:$B$3002,0)),""))</f>
        <v/>
      </c>
      <c r="K1129" s="39">
        <f>IF($C1129="","",IF(COUNTIFS(DESPACHOS!$B$3:$B$3002,$C1129)=0,"NO EXISTE",IF(COUNTIFS(DESPACHOS!$B$3:$B$3002,$C1129)&gt;1,"DUPLICADO","OK")))</f>
        <v/>
      </c>
      <c r="L1129" s="41" t="n"/>
      <c r="M1129" s="41" t="n"/>
      <c r="N1129" s="42">
        <f>IF($M1129="","",IFERROR(INDEX(LISTAS!$F$3:$F$42,MATCH($M1129,LISTAS!$E$3:$E$42,0)),"Por definir"))</f>
        <v/>
      </c>
      <c r="O1129" s="41" t="n"/>
      <c r="P1129" s="39">
        <f>IF($L1129="","",IFERROR(INDEX(LISTAS!$B$3:$B$42,MATCH($L1129,LISTAS!$A$3:$A$42,0)),"Media"))</f>
        <v/>
      </c>
      <c r="Q1129" s="44" t="n"/>
      <c r="R1129" s="45" t="n"/>
      <c r="S1129" s="20">
        <f>IFERROR(IF(OR($R1129="",$C1129=""),"",$R1129/INDEX(DESPACHOS!$M$3:$M$3002,MATCH($C1129,DESPACHOS!$B$3:$B$3002,0))),"")</f>
        <v/>
      </c>
      <c r="T1129" s="41" t="n"/>
      <c r="U1129" s="43">
        <f>IF(OR($B1129="",$L1129=""),"",WORKDAY($B1129,IFERROR(INDEX(LISTAS!$C$3:$C$42,MATCH($L1129,LISTAS!$A$3:$A$42,0)),3)))</f>
        <v/>
      </c>
      <c r="V1129" s="40" t="n"/>
      <c r="W1129" s="19">
        <f>IF($B1129="","",IF($V1129&lt;&gt;"",$V1129-$B1129,TODAY()-$B1129))</f>
        <v/>
      </c>
      <c r="X1129" s="19">
        <f>IF(OR($B1129="",$U1129=""),"",IF($V1129&lt;&gt;"",MAX(0,$V1129-$U1129),MAX(0,TODAY()-$U1129)))</f>
        <v/>
      </c>
      <c r="Y1129" s="39">
        <f>IF($C1129="","",IF(IFERROR(INDEX(LISTAS!$I$3:$I$42,MATCH($T1129,LISTAS!$H$3:$H$42,0)),"NO")="SÍ",IF(N($X1129)&gt;0,"CERRADA FUERA DE SLA","CERRADA EN SLA"),IF($U1129="","SIN CLASIFICAR",IF(N($X1129)&gt;0,"VENCIDA",IF(TODAY()&gt;=$U1129-1,"POR VENCER","EN PLAZO")))))</f>
        <v/>
      </c>
      <c r="Z1129" s="41" t="n"/>
      <c r="AA1129" s="41" t="n"/>
      <c r="AB1129" s="41" t="n"/>
    </row>
    <row r="1130">
      <c r="A1130" s="39">
        <f>IF($C1130="","","NOV-"&amp;TEXT(ROW()-3,"0000"))</f>
        <v/>
      </c>
      <c r="B1130" s="40" t="n"/>
      <c r="C1130" s="41" t="n"/>
      <c r="D1130" s="42">
        <f>IF($C1130="","",IFERROR(INDEX(DESPACHOS!$D$3:$D$3002,MATCH($C1130,DESPACHOS!$B$3:$B$3002,0)),"SIN DESPACHO"))</f>
        <v/>
      </c>
      <c r="E1130" s="42">
        <f>IF($C1130="","",IFERROR(INDEX(DESPACHOS!$K$3:$K$3002,MATCH($C1130,DESPACHOS!$B$3:$B$3002,0)),""))</f>
        <v/>
      </c>
      <c r="F1130" s="42">
        <f>IF($C1130="","",IFERROR(INDEX(DESPACHOS!$I$3:$I$3002,MATCH($C1130,DESPACHOS!$B$3:$B$3002,0)),""))</f>
        <v/>
      </c>
      <c r="G1130" s="42">
        <f>IF($C1130="","",IFERROR(INDEX(DESPACHOS!$F$3:$F$3002,MATCH($C1130,DESPACHOS!$B$3:$B$3002,0)),""))</f>
        <v/>
      </c>
      <c r="H1130" s="42">
        <f>IF($C1130="","",IFERROR(INDEX(DESPACHOS!$G$3:$G$3002,MATCH($C1130,DESPACHOS!$B$3:$B$3002,0)),""))</f>
        <v/>
      </c>
      <c r="I1130" s="39">
        <f>IF($C1130="","",IFERROR(INDEX(DESPACHOS!$H$3:$H$3002,MATCH($C1130,DESPACHOS!$B$3:$B$3002,0)),""))</f>
        <v/>
      </c>
      <c r="J1130" s="43">
        <f>IF($C1130="","",IFERROR(INDEX(DESPACHOS!$J$3:$J$3002,MATCH($C1130,DESPACHOS!$B$3:$B$3002,0)),""))</f>
        <v/>
      </c>
      <c r="K1130" s="39">
        <f>IF($C1130="","",IF(COUNTIFS(DESPACHOS!$B$3:$B$3002,$C1130)=0,"NO EXISTE",IF(COUNTIFS(DESPACHOS!$B$3:$B$3002,$C1130)&gt;1,"DUPLICADO","OK")))</f>
        <v/>
      </c>
      <c r="L1130" s="41" t="n"/>
      <c r="M1130" s="41" t="n"/>
      <c r="N1130" s="42">
        <f>IF($M1130="","",IFERROR(INDEX(LISTAS!$F$3:$F$42,MATCH($M1130,LISTAS!$E$3:$E$42,0)),"Por definir"))</f>
        <v/>
      </c>
      <c r="O1130" s="41" t="n"/>
      <c r="P1130" s="39">
        <f>IF($L1130="","",IFERROR(INDEX(LISTAS!$B$3:$B$42,MATCH($L1130,LISTAS!$A$3:$A$42,0)),"Media"))</f>
        <v/>
      </c>
      <c r="Q1130" s="44" t="n"/>
      <c r="R1130" s="45" t="n"/>
      <c r="S1130" s="20">
        <f>IFERROR(IF(OR($R1130="",$C1130=""),"",$R1130/INDEX(DESPACHOS!$M$3:$M$3002,MATCH($C1130,DESPACHOS!$B$3:$B$3002,0))),"")</f>
        <v/>
      </c>
      <c r="T1130" s="41" t="n"/>
      <c r="U1130" s="43">
        <f>IF(OR($B1130="",$L1130=""),"",WORKDAY($B1130,IFERROR(INDEX(LISTAS!$C$3:$C$42,MATCH($L1130,LISTAS!$A$3:$A$42,0)),3)))</f>
        <v/>
      </c>
      <c r="V1130" s="40" t="n"/>
      <c r="W1130" s="19">
        <f>IF($B1130="","",IF($V1130&lt;&gt;"",$V1130-$B1130,TODAY()-$B1130))</f>
        <v/>
      </c>
      <c r="X1130" s="19">
        <f>IF(OR($B1130="",$U1130=""),"",IF($V1130&lt;&gt;"",MAX(0,$V1130-$U1130),MAX(0,TODAY()-$U1130)))</f>
        <v/>
      </c>
      <c r="Y1130" s="39">
        <f>IF($C1130="","",IF(IFERROR(INDEX(LISTAS!$I$3:$I$42,MATCH($T1130,LISTAS!$H$3:$H$42,0)),"NO")="SÍ",IF(N($X1130)&gt;0,"CERRADA FUERA DE SLA","CERRADA EN SLA"),IF($U1130="","SIN CLASIFICAR",IF(N($X1130)&gt;0,"VENCIDA",IF(TODAY()&gt;=$U1130-1,"POR VENCER","EN PLAZO")))))</f>
        <v/>
      </c>
      <c r="Z1130" s="41" t="n"/>
      <c r="AA1130" s="41" t="n"/>
      <c r="AB1130" s="41" t="n"/>
    </row>
    <row r="1131">
      <c r="A1131" s="39">
        <f>IF($C1131="","","NOV-"&amp;TEXT(ROW()-3,"0000"))</f>
        <v/>
      </c>
      <c r="B1131" s="40" t="n"/>
      <c r="C1131" s="41" t="n"/>
      <c r="D1131" s="42">
        <f>IF($C1131="","",IFERROR(INDEX(DESPACHOS!$D$3:$D$3002,MATCH($C1131,DESPACHOS!$B$3:$B$3002,0)),"SIN DESPACHO"))</f>
        <v/>
      </c>
      <c r="E1131" s="42">
        <f>IF($C1131="","",IFERROR(INDEX(DESPACHOS!$K$3:$K$3002,MATCH($C1131,DESPACHOS!$B$3:$B$3002,0)),""))</f>
        <v/>
      </c>
      <c r="F1131" s="42">
        <f>IF($C1131="","",IFERROR(INDEX(DESPACHOS!$I$3:$I$3002,MATCH($C1131,DESPACHOS!$B$3:$B$3002,0)),""))</f>
        <v/>
      </c>
      <c r="G1131" s="42">
        <f>IF($C1131="","",IFERROR(INDEX(DESPACHOS!$F$3:$F$3002,MATCH($C1131,DESPACHOS!$B$3:$B$3002,0)),""))</f>
        <v/>
      </c>
      <c r="H1131" s="42">
        <f>IF($C1131="","",IFERROR(INDEX(DESPACHOS!$G$3:$G$3002,MATCH($C1131,DESPACHOS!$B$3:$B$3002,0)),""))</f>
        <v/>
      </c>
      <c r="I1131" s="39">
        <f>IF($C1131="","",IFERROR(INDEX(DESPACHOS!$H$3:$H$3002,MATCH($C1131,DESPACHOS!$B$3:$B$3002,0)),""))</f>
        <v/>
      </c>
      <c r="J1131" s="43">
        <f>IF($C1131="","",IFERROR(INDEX(DESPACHOS!$J$3:$J$3002,MATCH($C1131,DESPACHOS!$B$3:$B$3002,0)),""))</f>
        <v/>
      </c>
      <c r="K1131" s="39">
        <f>IF($C1131="","",IF(COUNTIFS(DESPACHOS!$B$3:$B$3002,$C1131)=0,"NO EXISTE",IF(COUNTIFS(DESPACHOS!$B$3:$B$3002,$C1131)&gt;1,"DUPLICADO","OK")))</f>
        <v/>
      </c>
      <c r="L1131" s="41" t="n"/>
      <c r="M1131" s="41" t="n"/>
      <c r="N1131" s="42">
        <f>IF($M1131="","",IFERROR(INDEX(LISTAS!$F$3:$F$42,MATCH($M1131,LISTAS!$E$3:$E$42,0)),"Por definir"))</f>
        <v/>
      </c>
      <c r="O1131" s="41" t="n"/>
      <c r="P1131" s="39">
        <f>IF($L1131="","",IFERROR(INDEX(LISTAS!$B$3:$B$42,MATCH($L1131,LISTAS!$A$3:$A$42,0)),"Media"))</f>
        <v/>
      </c>
      <c r="Q1131" s="44" t="n"/>
      <c r="R1131" s="45" t="n"/>
      <c r="S1131" s="20">
        <f>IFERROR(IF(OR($R1131="",$C1131=""),"",$R1131/INDEX(DESPACHOS!$M$3:$M$3002,MATCH($C1131,DESPACHOS!$B$3:$B$3002,0))),"")</f>
        <v/>
      </c>
      <c r="T1131" s="41" t="n"/>
      <c r="U1131" s="43">
        <f>IF(OR($B1131="",$L1131=""),"",WORKDAY($B1131,IFERROR(INDEX(LISTAS!$C$3:$C$42,MATCH($L1131,LISTAS!$A$3:$A$42,0)),3)))</f>
        <v/>
      </c>
      <c r="V1131" s="40" t="n"/>
      <c r="W1131" s="19">
        <f>IF($B1131="","",IF($V1131&lt;&gt;"",$V1131-$B1131,TODAY()-$B1131))</f>
        <v/>
      </c>
      <c r="X1131" s="19">
        <f>IF(OR($B1131="",$U1131=""),"",IF($V1131&lt;&gt;"",MAX(0,$V1131-$U1131),MAX(0,TODAY()-$U1131)))</f>
        <v/>
      </c>
      <c r="Y1131" s="39">
        <f>IF($C1131="","",IF(IFERROR(INDEX(LISTAS!$I$3:$I$42,MATCH($T1131,LISTAS!$H$3:$H$42,0)),"NO")="SÍ",IF(N($X1131)&gt;0,"CERRADA FUERA DE SLA","CERRADA EN SLA"),IF($U1131="","SIN CLASIFICAR",IF(N($X1131)&gt;0,"VENCIDA",IF(TODAY()&gt;=$U1131-1,"POR VENCER","EN PLAZO")))))</f>
        <v/>
      </c>
      <c r="Z1131" s="41" t="n"/>
      <c r="AA1131" s="41" t="n"/>
      <c r="AB1131" s="41" t="n"/>
    </row>
    <row r="1132">
      <c r="A1132" s="39">
        <f>IF($C1132="","","NOV-"&amp;TEXT(ROW()-3,"0000"))</f>
        <v/>
      </c>
      <c r="B1132" s="40" t="n"/>
      <c r="C1132" s="41" t="n"/>
      <c r="D1132" s="42">
        <f>IF($C1132="","",IFERROR(INDEX(DESPACHOS!$D$3:$D$3002,MATCH($C1132,DESPACHOS!$B$3:$B$3002,0)),"SIN DESPACHO"))</f>
        <v/>
      </c>
      <c r="E1132" s="42">
        <f>IF($C1132="","",IFERROR(INDEX(DESPACHOS!$K$3:$K$3002,MATCH($C1132,DESPACHOS!$B$3:$B$3002,0)),""))</f>
        <v/>
      </c>
      <c r="F1132" s="42">
        <f>IF($C1132="","",IFERROR(INDEX(DESPACHOS!$I$3:$I$3002,MATCH($C1132,DESPACHOS!$B$3:$B$3002,0)),""))</f>
        <v/>
      </c>
      <c r="G1132" s="42">
        <f>IF($C1132="","",IFERROR(INDEX(DESPACHOS!$F$3:$F$3002,MATCH($C1132,DESPACHOS!$B$3:$B$3002,0)),""))</f>
        <v/>
      </c>
      <c r="H1132" s="42">
        <f>IF($C1132="","",IFERROR(INDEX(DESPACHOS!$G$3:$G$3002,MATCH($C1132,DESPACHOS!$B$3:$B$3002,0)),""))</f>
        <v/>
      </c>
      <c r="I1132" s="39">
        <f>IF($C1132="","",IFERROR(INDEX(DESPACHOS!$H$3:$H$3002,MATCH($C1132,DESPACHOS!$B$3:$B$3002,0)),""))</f>
        <v/>
      </c>
      <c r="J1132" s="43">
        <f>IF($C1132="","",IFERROR(INDEX(DESPACHOS!$J$3:$J$3002,MATCH($C1132,DESPACHOS!$B$3:$B$3002,0)),""))</f>
        <v/>
      </c>
      <c r="K1132" s="39">
        <f>IF($C1132="","",IF(COUNTIFS(DESPACHOS!$B$3:$B$3002,$C1132)=0,"NO EXISTE",IF(COUNTIFS(DESPACHOS!$B$3:$B$3002,$C1132)&gt;1,"DUPLICADO","OK")))</f>
        <v/>
      </c>
      <c r="L1132" s="41" t="n"/>
      <c r="M1132" s="41" t="n"/>
      <c r="N1132" s="42">
        <f>IF($M1132="","",IFERROR(INDEX(LISTAS!$F$3:$F$42,MATCH($M1132,LISTAS!$E$3:$E$42,0)),"Por definir"))</f>
        <v/>
      </c>
      <c r="O1132" s="41" t="n"/>
      <c r="P1132" s="39">
        <f>IF($L1132="","",IFERROR(INDEX(LISTAS!$B$3:$B$42,MATCH($L1132,LISTAS!$A$3:$A$42,0)),"Media"))</f>
        <v/>
      </c>
      <c r="Q1132" s="44" t="n"/>
      <c r="R1132" s="45" t="n"/>
      <c r="S1132" s="20">
        <f>IFERROR(IF(OR($R1132="",$C1132=""),"",$R1132/INDEX(DESPACHOS!$M$3:$M$3002,MATCH($C1132,DESPACHOS!$B$3:$B$3002,0))),"")</f>
        <v/>
      </c>
      <c r="T1132" s="41" t="n"/>
      <c r="U1132" s="43">
        <f>IF(OR($B1132="",$L1132=""),"",WORKDAY($B1132,IFERROR(INDEX(LISTAS!$C$3:$C$42,MATCH($L1132,LISTAS!$A$3:$A$42,0)),3)))</f>
        <v/>
      </c>
      <c r="V1132" s="40" t="n"/>
      <c r="W1132" s="19">
        <f>IF($B1132="","",IF($V1132&lt;&gt;"",$V1132-$B1132,TODAY()-$B1132))</f>
        <v/>
      </c>
      <c r="X1132" s="19">
        <f>IF(OR($B1132="",$U1132=""),"",IF($V1132&lt;&gt;"",MAX(0,$V1132-$U1132),MAX(0,TODAY()-$U1132)))</f>
        <v/>
      </c>
      <c r="Y1132" s="39">
        <f>IF($C1132="","",IF(IFERROR(INDEX(LISTAS!$I$3:$I$42,MATCH($T1132,LISTAS!$H$3:$H$42,0)),"NO")="SÍ",IF(N($X1132)&gt;0,"CERRADA FUERA DE SLA","CERRADA EN SLA"),IF($U1132="","SIN CLASIFICAR",IF(N($X1132)&gt;0,"VENCIDA",IF(TODAY()&gt;=$U1132-1,"POR VENCER","EN PLAZO")))))</f>
        <v/>
      </c>
      <c r="Z1132" s="41" t="n"/>
      <c r="AA1132" s="41" t="n"/>
      <c r="AB1132" s="41" t="n"/>
    </row>
    <row r="1133">
      <c r="A1133" s="39">
        <f>IF($C1133="","","NOV-"&amp;TEXT(ROW()-3,"0000"))</f>
        <v/>
      </c>
      <c r="B1133" s="40" t="n"/>
      <c r="C1133" s="41" t="n"/>
      <c r="D1133" s="42">
        <f>IF($C1133="","",IFERROR(INDEX(DESPACHOS!$D$3:$D$3002,MATCH($C1133,DESPACHOS!$B$3:$B$3002,0)),"SIN DESPACHO"))</f>
        <v/>
      </c>
      <c r="E1133" s="42">
        <f>IF($C1133="","",IFERROR(INDEX(DESPACHOS!$K$3:$K$3002,MATCH($C1133,DESPACHOS!$B$3:$B$3002,0)),""))</f>
        <v/>
      </c>
      <c r="F1133" s="42">
        <f>IF($C1133="","",IFERROR(INDEX(DESPACHOS!$I$3:$I$3002,MATCH($C1133,DESPACHOS!$B$3:$B$3002,0)),""))</f>
        <v/>
      </c>
      <c r="G1133" s="42">
        <f>IF($C1133="","",IFERROR(INDEX(DESPACHOS!$F$3:$F$3002,MATCH($C1133,DESPACHOS!$B$3:$B$3002,0)),""))</f>
        <v/>
      </c>
      <c r="H1133" s="42">
        <f>IF($C1133="","",IFERROR(INDEX(DESPACHOS!$G$3:$G$3002,MATCH($C1133,DESPACHOS!$B$3:$B$3002,0)),""))</f>
        <v/>
      </c>
      <c r="I1133" s="39">
        <f>IF($C1133="","",IFERROR(INDEX(DESPACHOS!$H$3:$H$3002,MATCH($C1133,DESPACHOS!$B$3:$B$3002,0)),""))</f>
        <v/>
      </c>
      <c r="J1133" s="43">
        <f>IF($C1133="","",IFERROR(INDEX(DESPACHOS!$J$3:$J$3002,MATCH($C1133,DESPACHOS!$B$3:$B$3002,0)),""))</f>
        <v/>
      </c>
      <c r="K1133" s="39">
        <f>IF($C1133="","",IF(COUNTIFS(DESPACHOS!$B$3:$B$3002,$C1133)=0,"NO EXISTE",IF(COUNTIFS(DESPACHOS!$B$3:$B$3002,$C1133)&gt;1,"DUPLICADO","OK")))</f>
        <v/>
      </c>
      <c r="L1133" s="41" t="n"/>
      <c r="M1133" s="41" t="n"/>
      <c r="N1133" s="42">
        <f>IF($M1133="","",IFERROR(INDEX(LISTAS!$F$3:$F$42,MATCH($M1133,LISTAS!$E$3:$E$42,0)),"Por definir"))</f>
        <v/>
      </c>
      <c r="O1133" s="41" t="n"/>
      <c r="P1133" s="39">
        <f>IF($L1133="","",IFERROR(INDEX(LISTAS!$B$3:$B$42,MATCH($L1133,LISTAS!$A$3:$A$42,0)),"Media"))</f>
        <v/>
      </c>
      <c r="Q1133" s="44" t="n"/>
      <c r="R1133" s="45" t="n"/>
      <c r="S1133" s="20">
        <f>IFERROR(IF(OR($R1133="",$C1133=""),"",$R1133/INDEX(DESPACHOS!$M$3:$M$3002,MATCH($C1133,DESPACHOS!$B$3:$B$3002,0))),"")</f>
        <v/>
      </c>
      <c r="T1133" s="41" t="n"/>
      <c r="U1133" s="43">
        <f>IF(OR($B1133="",$L1133=""),"",WORKDAY($B1133,IFERROR(INDEX(LISTAS!$C$3:$C$42,MATCH($L1133,LISTAS!$A$3:$A$42,0)),3)))</f>
        <v/>
      </c>
      <c r="V1133" s="40" t="n"/>
      <c r="W1133" s="19">
        <f>IF($B1133="","",IF($V1133&lt;&gt;"",$V1133-$B1133,TODAY()-$B1133))</f>
        <v/>
      </c>
      <c r="X1133" s="19">
        <f>IF(OR($B1133="",$U1133=""),"",IF($V1133&lt;&gt;"",MAX(0,$V1133-$U1133),MAX(0,TODAY()-$U1133)))</f>
        <v/>
      </c>
      <c r="Y1133" s="39">
        <f>IF($C1133="","",IF(IFERROR(INDEX(LISTAS!$I$3:$I$42,MATCH($T1133,LISTAS!$H$3:$H$42,0)),"NO")="SÍ",IF(N($X1133)&gt;0,"CERRADA FUERA DE SLA","CERRADA EN SLA"),IF($U1133="","SIN CLASIFICAR",IF(N($X1133)&gt;0,"VENCIDA",IF(TODAY()&gt;=$U1133-1,"POR VENCER","EN PLAZO")))))</f>
        <v/>
      </c>
      <c r="Z1133" s="41" t="n"/>
      <c r="AA1133" s="41" t="n"/>
      <c r="AB1133" s="41" t="n"/>
    </row>
    <row r="1134">
      <c r="A1134" s="39">
        <f>IF($C1134="","","NOV-"&amp;TEXT(ROW()-3,"0000"))</f>
        <v/>
      </c>
      <c r="B1134" s="40" t="n"/>
      <c r="C1134" s="41" t="n"/>
      <c r="D1134" s="42">
        <f>IF($C1134="","",IFERROR(INDEX(DESPACHOS!$D$3:$D$3002,MATCH($C1134,DESPACHOS!$B$3:$B$3002,0)),"SIN DESPACHO"))</f>
        <v/>
      </c>
      <c r="E1134" s="42">
        <f>IF($C1134="","",IFERROR(INDEX(DESPACHOS!$K$3:$K$3002,MATCH($C1134,DESPACHOS!$B$3:$B$3002,0)),""))</f>
        <v/>
      </c>
      <c r="F1134" s="42">
        <f>IF($C1134="","",IFERROR(INDEX(DESPACHOS!$I$3:$I$3002,MATCH($C1134,DESPACHOS!$B$3:$B$3002,0)),""))</f>
        <v/>
      </c>
      <c r="G1134" s="42">
        <f>IF($C1134="","",IFERROR(INDEX(DESPACHOS!$F$3:$F$3002,MATCH($C1134,DESPACHOS!$B$3:$B$3002,0)),""))</f>
        <v/>
      </c>
      <c r="H1134" s="42">
        <f>IF($C1134="","",IFERROR(INDEX(DESPACHOS!$G$3:$G$3002,MATCH($C1134,DESPACHOS!$B$3:$B$3002,0)),""))</f>
        <v/>
      </c>
      <c r="I1134" s="39">
        <f>IF($C1134="","",IFERROR(INDEX(DESPACHOS!$H$3:$H$3002,MATCH($C1134,DESPACHOS!$B$3:$B$3002,0)),""))</f>
        <v/>
      </c>
      <c r="J1134" s="43">
        <f>IF($C1134="","",IFERROR(INDEX(DESPACHOS!$J$3:$J$3002,MATCH($C1134,DESPACHOS!$B$3:$B$3002,0)),""))</f>
        <v/>
      </c>
      <c r="K1134" s="39">
        <f>IF($C1134="","",IF(COUNTIFS(DESPACHOS!$B$3:$B$3002,$C1134)=0,"NO EXISTE",IF(COUNTIFS(DESPACHOS!$B$3:$B$3002,$C1134)&gt;1,"DUPLICADO","OK")))</f>
        <v/>
      </c>
      <c r="L1134" s="41" t="n"/>
      <c r="M1134" s="41" t="n"/>
      <c r="N1134" s="42">
        <f>IF($M1134="","",IFERROR(INDEX(LISTAS!$F$3:$F$42,MATCH($M1134,LISTAS!$E$3:$E$42,0)),"Por definir"))</f>
        <v/>
      </c>
      <c r="O1134" s="41" t="n"/>
      <c r="P1134" s="39">
        <f>IF($L1134="","",IFERROR(INDEX(LISTAS!$B$3:$B$42,MATCH($L1134,LISTAS!$A$3:$A$42,0)),"Media"))</f>
        <v/>
      </c>
      <c r="Q1134" s="44" t="n"/>
      <c r="R1134" s="45" t="n"/>
      <c r="S1134" s="20">
        <f>IFERROR(IF(OR($R1134="",$C1134=""),"",$R1134/INDEX(DESPACHOS!$M$3:$M$3002,MATCH($C1134,DESPACHOS!$B$3:$B$3002,0))),"")</f>
        <v/>
      </c>
      <c r="T1134" s="41" t="n"/>
      <c r="U1134" s="43">
        <f>IF(OR($B1134="",$L1134=""),"",WORKDAY($B1134,IFERROR(INDEX(LISTAS!$C$3:$C$42,MATCH($L1134,LISTAS!$A$3:$A$42,0)),3)))</f>
        <v/>
      </c>
      <c r="V1134" s="40" t="n"/>
      <c r="W1134" s="19">
        <f>IF($B1134="","",IF($V1134&lt;&gt;"",$V1134-$B1134,TODAY()-$B1134))</f>
        <v/>
      </c>
      <c r="X1134" s="19">
        <f>IF(OR($B1134="",$U1134=""),"",IF($V1134&lt;&gt;"",MAX(0,$V1134-$U1134),MAX(0,TODAY()-$U1134)))</f>
        <v/>
      </c>
      <c r="Y1134" s="39">
        <f>IF($C1134="","",IF(IFERROR(INDEX(LISTAS!$I$3:$I$42,MATCH($T1134,LISTAS!$H$3:$H$42,0)),"NO")="SÍ",IF(N($X1134)&gt;0,"CERRADA FUERA DE SLA","CERRADA EN SLA"),IF($U1134="","SIN CLASIFICAR",IF(N($X1134)&gt;0,"VENCIDA",IF(TODAY()&gt;=$U1134-1,"POR VENCER","EN PLAZO")))))</f>
        <v/>
      </c>
      <c r="Z1134" s="41" t="n"/>
      <c r="AA1134" s="41" t="n"/>
      <c r="AB1134" s="41" t="n"/>
    </row>
    <row r="1135">
      <c r="A1135" s="39">
        <f>IF($C1135="","","NOV-"&amp;TEXT(ROW()-3,"0000"))</f>
        <v/>
      </c>
      <c r="B1135" s="40" t="n"/>
      <c r="C1135" s="41" t="n"/>
      <c r="D1135" s="42">
        <f>IF($C1135="","",IFERROR(INDEX(DESPACHOS!$D$3:$D$3002,MATCH($C1135,DESPACHOS!$B$3:$B$3002,0)),"SIN DESPACHO"))</f>
        <v/>
      </c>
      <c r="E1135" s="42">
        <f>IF($C1135="","",IFERROR(INDEX(DESPACHOS!$K$3:$K$3002,MATCH($C1135,DESPACHOS!$B$3:$B$3002,0)),""))</f>
        <v/>
      </c>
      <c r="F1135" s="42">
        <f>IF($C1135="","",IFERROR(INDEX(DESPACHOS!$I$3:$I$3002,MATCH($C1135,DESPACHOS!$B$3:$B$3002,0)),""))</f>
        <v/>
      </c>
      <c r="G1135" s="42">
        <f>IF($C1135="","",IFERROR(INDEX(DESPACHOS!$F$3:$F$3002,MATCH($C1135,DESPACHOS!$B$3:$B$3002,0)),""))</f>
        <v/>
      </c>
      <c r="H1135" s="42">
        <f>IF($C1135="","",IFERROR(INDEX(DESPACHOS!$G$3:$G$3002,MATCH($C1135,DESPACHOS!$B$3:$B$3002,0)),""))</f>
        <v/>
      </c>
      <c r="I1135" s="39">
        <f>IF($C1135="","",IFERROR(INDEX(DESPACHOS!$H$3:$H$3002,MATCH($C1135,DESPACHOS!$B$3:$B$3002,0)),""))</f>
        <v/>
      </c>
      <c r="J1135" s="43">
        <f>IF($C1135="","",IFERROR(INDEX(DESPACHOS!$J$3:$J$3002,MATCH($C1135,DESPACHOS!$B$3:$B$3002,0)),""))</f>
        <v/>
      </c>
      <c r="K1135" s="39">
        <f>IF($C1135="","",IF(COUNTIFS(DESPACHOS!$B$3:$B$3002,$C1135)=0,"NO EXISTE",IF(COUNTIFS(DESPACHOS!$B$3:$B$3002,$C1135)&gt;1,"DUPLICADO","OK")))</f>
        <v/>
      </c>
      <c r="L1135" s="41" t="n"/>
      <c r="M1135" s="41" t="n"/>
      <c r="N1135" s="42">
        <f>IF($M1135="","",IFERROR(INDEX(LISTAS!$F$3:$F$42,MATCH($M1135,LISTAS!$E$3:$E$42,0)),"Por definir"))</f>
        <v/>
      </c>
      <c r="O1135" s="41" t="n"/>
      <c r="P1135" s="39">
        <f>IF($L1135="","",IFERROR(INDEX(LISTAS!$B$3:$B$42,MATCH($L1135,LISTAS!$A$3:$A$42,0)),"Media"))</f>
        <v/>
      </c>
      <c r="Q1135" s="44" t="n"/>
      <c r="R1135" s="45" t="n"/>
      <c r="S1135" s="20">
        <f>IFERROR(IF(OR($R1135="",$C1135=""),"",$R1135/INDEX(DESPACHOS!$M$3:$M$3002,MATCH($C1135,DESPACHOS!$B$3:$B$3002,0))),"")</f>
        <v/>
      </c>
      <c r="T1135" s="41" t="n"/>
      <c r="U1135" s="43">
        <f>IF(OR($B1135="",$L1135=""),"",WORKDAY($B1135,IFERROR(INDEX(LISTAS!$C$3:$C$42,MATCH($L1135,LISTAS!$A$3:$A$42,0)),3)))</f>
        <v/>
      </c>
      <c r="V1135" s="40" t="n"/>
      <c r="W1135" s="19">
        <f>IF($B1135="","",IF($V1135&lt;&gt;"",$V1135-$B1135,TODAY()-$B1135))</f>
        <v/>
      </c>
      <c r="X1135" s="19">
        <f>IF(OR($B1135="",$U1135=""),"",IF($V1135&lt;&gt;"",MAX(0,$V1135-$U1135),MAX(0,TODAY()-$U1135)))</f>
        <v/>
      </c>
      <c r="Y1135" s="39">
        <f>IF($C1135="","",IF(IFERROR(INDEX(LISTAS!$I$3:$I$42,MATCH($T1135,LISTAS!$H$3:$H$42,0)),"NO")="SÍ",IF(N($X1135)&gt;0,"CERRADA FUERA DE SLA","CERRADA EN SLA"),IF($U1135="","SIN CLASIFICAR",IF(N($X1135)&gt;0,"VENCIDA",IF(TODAY()&gt;=$U1135-1,"POR VENCER","EN PLAZO")))))</f>
        <v/>
      </c>
      <c r="Z1135" s="41" t="n"/>
      <c r="AA1135" s="41" t="n"/>
      <c r="AB1135" s="41" t="n"/>
    </row>
    <row r="1136">
      <c r="A1136" s="39">
        <f>IF($C1136="","","NOV-"&amp;TEXT(ROW()-3,"0000"))</f>
        <v/>
      </c>
      <c r="B1136" s="40" t="n"/>
      <c r="C1136" s="41" t="n"/>
      <c r="D1136" s="42">
        <f>IF($C1136="","",IFERROR(INDEX(DESPACHOS!$D$3:$D$3002,MATCH($C1136,DESPACHOS!$B$3:$B$3002,0)),"SIN DESPACHO"))</f>
        <v/>
      </c>
      <c r="E1136" s="42">
        <f>IF($C1136="","",IFERROR(INDEX(DESPACHOS!$K$3:$K$3002,MATCH($C1136,DESPACHOS!$B$3:$B$3002,0)),""))</f>
        <v/>
      </c>
      <c r="F1136" s="42">
        <f>IF($C1136="","",IFERROR(INDEX(DESPACHOS!$I$3:$I$3002,MATCH($C1136,DESPACHOS!$B$3:$B$3002,0)),""))</f>
        <v/>
      </c>
      <c r="G1136" s="42">
        <f>IF($C1136="","",IFERROR(INDEX(DESPACHOS!$F$3:$F$3002,MATCH($C1136,DESPACHOS!$B$3:$B$3002,0)),""))</f>
        <v/>
      </c>
      <c r="H1136" s="42">
        <f>IF($C1136="","",IFERROR(INDEX(DESPACHOS!$G$3:$G$3002,MATCH($C1136,DESPACHOS!$B$3:$B$3002,0)),""))</f>
        <v/>
      </c>
      <c r="I1136" s="39">
        <f>IF($C1136="","",IFERROR(INDEX(DESPACHOS!$H$3:$H$3002,MATCH($C1136,DESPACHOS!$B$3:$B$3002,0)),""))</f>
        <v/>
      </c>
      <c r="J1136" s="43">
        <f>IF($C1136="","",IFERROR(INDEX(DESPACHOS!$J$3:$J$3002,MATCH($C1136,DESPACHOS!$B$3:$B$3002,0)),""))</f>
        <v/>
      </c>
      <c r="K1136" s="39">
        <f>IF($C1136="","",IF(COUNTIFS(DESPACHOS!$B$3:$B$3002,$C1136)=0,"NO EXISTE",IF(COUNTIFS(DESPACHOS!$B$3:$B$3002,$C1136)&gt;1,"DUPLICADO","OK")))</f>
        <v/>
      </c>
      <c r="L1136" s="41" t="n"/>
      <c r="M1136" s="41" t="n"/>
      <c r="N1136" s="42">
        <f>IF($M1136="","",IFERROR(INDEX(LISTAS!$F$3:$F$42,MATCH($M1136,LISTAS!$E$3:$E$42,0)),"Por definir"))</f>
        <v/>
      </c>
      <c r="O1136" s="41" t="n"/>
      <c r="P1136" s="39">
        <f>IF($L1136="","",IFERROR(INDEX(LISTAS!$B$3:$B$42,MATCH($L1136,LISTAS!$A$3:$A$42,0)),"Media"))</f>
        <v/>
      </c>
      <c r="Q1136" s="44" t="n"/>
      <c r="R1136" s="45" t="n"/>
      <c r="S1136" s="20">
        <f>IFERROR(IF(OR($R1136="",$C1136=""),"",$R1136/INDEX(DESPACHOS!$M$3:$M$3002,MATCH($C1136,DESPACHOS!$B$3:$B$3002,0))),"")</f>
        <v/>
      </c>
      <c r="T1136" s="41" t="n"/>
      <c r="U1136" s="43">
        <f>IF(OR($B1136="",$L1136=""),"",WORKDAY($B1136,IFERROR(INDEX(LISTAS!$C$3:$C$42,MATCH($L1136,LISTAS!$A$3:$A$42,0)),3)))</f>
        <v/>
      </c>
      <c r="V1136" s="40" t="n"/>
      <c r="W1136" s="19">
        <f>IF($B1136="","",IF($V1136&lt;&gt;"",$V1136-$B1136,TODAY()-$B1136))</f>
        <v/>
      </c>
      <c r="X1136" s="19">
        <f>IF(OR($B1136="",$U1136=""),"",IF($V1136&lt;&gt;"",MAX(0,$V1136-$U1136),MAX(0,TODAY()-$U1136)))</f>
        <v/>
      </c>
      <c r="Y1136" s="39">
        <f>IF($C1136="","",IF(IFERROR(INDEX(LISTAS!$I$3:$I$42,MATCH($T1136,LISTAS!$H$3:$H$42,0)),"NO")="SÍ",IF(N($X1136)&gt;0,"CERRADA FUERA DE SLA","CERRADA EN SLA"),IF($U1136="","SIN CLASIFICAR",IF(N($X1136)&gt;0,"VENCIDA",IF(TODAY()&gt;=$U1136-1,"POR VENCER","EN PLAZO")))))</f>
        <v/>
      </c>
      <c r="Z1136" s="41" t="n"/>
      <c r="AA1136" s="41" t="n"/>
      <c r="AB1136" s="41" t="n"/>
    </row>
    <row r="1137">
      <c r="A1137" s="39">
        <f>IF($C1137="","","NOV-"&amp;TEXT(ROW()-3,"0000"))</f>
        <v/>
      </c>
      <c r="B1137" s="40" t="n"/>
      <c r="C1137" s="41" t="n"/>
      <c r="D1137" s="42">
        <f>IF($C1137="","",IFERROR(INDEX(DESPACHOS!$D$3:$D$3002,MATCH($C1137,DESPACHOS!$B$3:$B$3002,0)),"SIN DESPACHO"))</f>
        <v/>
      </c>
      <c r="E1137" s="42">
        <f>IF($C1137="","",IFERROR(INDEX(DESPACHOS!$K$3:$K$3002,MATCH($C1137,DESPACHOS!$B$3:$B$3002,0)),""))</f>
        <v/>
      </c>
      <c r="F1137" s="42">
        <f>IF($C1137="","",IFERROR(INDEX(DESPACHOS!$I$3:$I$3002,MATCH($C1137,DESPACHOS!$B$3:$B$3002,0)),""))</f>
        <v/>
      </c>
      <c r="G1137" s="42">
        <f>IF($C1137="","",IFERROR(INDEX(DESPACHOS!$F$3:$F$3002,MATCH($C1137,DESPACHOS!$B$3:$B$3002,0)),""))</f>
        <v/>
      </c>
      <c r="H1137" s="42">
        <f>IF($C1137="","",IFERROR(INDEX(DESPACHOS!$G$3:$G$3002,MATCH($C1137,DESPACHOS!$B$3:$B$3002,0)),""))</f>
        <v/>
      </c>
      <c r="I1137" s="39">
        <f>IF($C1137="","",IFERROR(INDEX(DESPACHOS!$H$3:$H$3002,MATCH($C1137,DESPACHOS!$B$3:$B$3002,0)),""))</f>
        <v/>
      </c>
      <c r="J1137" s="43">
        <f>IF($C1137="","",IFERROR(INDEX(DESPACHOS!$J$3:$J$3002,MATCH($C1137,DESPACHOS!$B$3:$B$3002,0)),""))</f>
        <v/>
      </c>
      <c r="K1137" s="39">
        <f>IF($C1137="","",IF(COUNTIFS(DESPACHOS!$B$3:$B$3002,$C1137)=0,"NO EXISTE",IF(COUNTIFS(DESPACHOS!$B$3:$B$3002,$C1137)&gt;1,"DUPLICADO","OK")))</f>
        <v/>
      </c>
      <c r="L1137" s="41" t="n"/>
      <c r="M1137" s="41" t="n"/>
      <c r="N1137" s="42">
        <f>IF($M1137="","",IFERROR(INDEX(LISTAS!$F$3:$F$42,MATCH($M1137,LISTAS!$E$3:$E$42,0)),"Por definir"))</f>
        <v/>
      </c>
      <c r="O1137" s="41" t="n"/>
      <c r="P1137" s="39">
        <f>IF($L1137="","",IFERROR(INDEX(LISTAS!$B$3:$B$42,MATCH($L1137,LISTAS!$A$3:$A$42,0)),"Media"))</f>
        <v/>
      </c>
      <c r="Q1137" s="44" t="n"/>
      <c r="R1137" s="45" t="n"/>
      <c r="S1137" s="20">
        <f>IFERROR(IF(OR($R1137="",$C1137=""),"",$R1137/INDEX(DESPACHOS!$M$3:$M$3002,MATCH($C1137,DESPACHOS!$B$3:$B$3002,0))),"")</f>
        <v/>
      </c>
      <c r="T1137" s="41" t="n"/>
      <c r="U1137" s="43">
        <f>IF(OR($B1137="",$L1137=""),"",WORKDAY($B1137,IFERROR(INDEX(LISTAS!$C$3:$C$42,MATCH($L1137,LISTAS!$A$3:$A$42,0)),3)))</f>
        <v/>
      </c>
      <c r="V1137" s="40" t="n"/>
      <c r="W1137" s="19">
        <f>IF($B1137="","",IF($V1137&lt;&gt;"",$V1137-$B1137,TODAY()-$B1137))</f>
        <v/>
      </c>
      <c r="X1137" s="19">
        <f>IF(OR($B1137="",$U1137=""),"",IF($V1137&lt;&gt;"",MAX(0,$V1137-$U1137),MAX(0,TODAY()-$U1137)))</f>
        <v/>
      </c>
      <c r="Y1137" s="39">
        <f>IF($C1137="","",IF(IFERROR(INDEX(LISTAS!$I$3:$I$42,MATCH($T1137,LISTAS!$H$3:$H$42,0)),"NO")="SÍ",IF(N($X1137)&gt;0,"CERRADA FUERA DE SLA","CERRADA EN SLA"),IF($U1137="","SIN CLASIFICAR",IF(N($X1137)&gt;0,"VENCIDA",IF(TODAY()&gt;=$U1137-1,"POR VENCER","EN PLAZO")))))</f>
        <v/>
      </c>
      <c r="Z1137" s="41" t="n"/>
      <c r="AA1137" s="41" t="n"/>
      <c r="AB1137" s="41" t="n"/>
    </row>
    <row r="1138">
      <c r="A1138" s="39">
        <f>IF($C1138="","","NOV-"&amp;TEXT(ROW()-3,"0000"))</f>
        <v/>
      </c>
      <c r="B1138" s="40" t="n"/>
      <c r="C1138" s="41" t="n"/>
      <c r="D1138" s="42">
        <f>IF($C1138="","",IFERROR(INDEX(DESPACHOS!$D$3:$D$3002,MATCH($C1138,DESPACHOS!$B$3:$B$3002,0)),"SIN DESPACHO"))</f>
        <v/>
      </c>
      <c r="E1138" s="42">
        <f>IF($C1138="","",IFERROR(INDEX(DESPACHOS!$K$3:$K$3002,MATCH($C1138,DESPACHOS!$B$3:$B$3002,0)),""))</f>
        <v/>
      </c>
      <c r="F1138" s="42">
        <f>IF($C1138="","",IFERROR(INDEX(DESPACHOS!$I$3:$I$3002,MATCH($C1138,DESPACHOS!$B$3:$B$3002,0)),""))</f>
        <v/>
      </c>
      <c r="G1138" s="42">
        <f>IF($C1138="","",IFERROR(INDEX(DESPACHOS!$F$3:$F$3002,MATCH($C1138,DESPACHOS!$B$3:$B$3002,0)),""))</f>
        <v/>
      </c>
      <c r="H1138" s="42">
        <f>IF($C1138="","",IFERROR(INDEX(DESPACHOS!$G$3:$G$3002,MATCH($C1138,DESPACHOS!$B$3:$B$3002,0)),""))</f>
        <v/>
      </c>
      <c r="I1138" s="39">
        <f>IF($C1138="","",IFERROR(INDEX(DESPACHOS!$H$3:$H$3002,MATCH($C1138,DESPACHOS!$B$3:$B$3002,0)),""))</f>
        <v/>
      </c>
      <c r="J1138" s="43">
        <f>IF($C1138="","",IFERROR(INDEX(DESPACHOS!$J$3:$J$3002,MATCH($C1138,DESPACHOS!$B$3:$B$3002,0)),""))</f>
        <v/>
      </c>
      <c r="K1138" s="39">
        <f>IF($C1138="","",IF(COUNTIFS(DESPACHOS!$B$3:$B$3002,$C1138)=0,"NO EXISTE",IF(COUNTIFS(DESPACHOS!$B$3:$B$3002,$C1138)&gt;1,"DUPLICADO","OK")))</f>
        <v/>
      </c>
      <c r="L1138" s="41" t="n"/>
      <c r="M1138" s="41" t="n"/>
      <c r="N1138" s="42">
        <f>IF($M1138="","",IFERROR(INDEX(LISTAS!$F$3:$F$42,MATCH($M1138,LISTAS!$E$3:$E$42,0)),"Por definir"))</f>
        <v/>
      </c>
      <c r="O1138" s="41" t="n"/>
      <c r="P1138" s="39">
        <f>IF($L1138="","",IFERROR(INDEX(LISTAS!$B$3:$B$42,MATCH($L1138,LISTAS!$A$3:$A$42,0)),"Media"))</f>
        <v/>
      </c>
      <c r="Q1138" s="44" t="n"/>
      <c r="R1138" s="45" t="n"/>
      <c r="S1138" s="20">
        <f>IFERROR(IF(OR($R1138="",$C1138=""),"",$R1138/INDEX(DESPACHOS!$M$3:$M$3002,MATCH($C1138,DESPACHOS!$B$3:$B$3002,0))),"")</f>
        <v/>
      </c>
      <c r="T1138" s="41" t="n"/>
      <c r="U1138" s="43">
        <f>IF(OR($B1138="",$L1138=""),"",WORKDAY($B1138,IFERROR(INDEX(LISTAS!$C$3:$C$42,MATCH($L1138,LISTAS!$A$3:$A$42,0)),3)))</f>
        <v/>
      </c>
      <c r="V1138" s="40" t="n"/>
      <c r="W1138" s="19">
        <f>IF($B1138="","",IF($V1138&lt;&gt;"",$V1138-$B1138,TODAY()-$B1138))</f>
        <v/>
      </c>
      <c r="X1138" s="19">
        <f>IF(OR($B1138="",$U1138=""),"",IF($V1138&lt;&gt;"",MAX(0,$V1138-$U1138),MAX(0,TODAY()-$U1138)))</f>
        <v/>
      </c>
      <c r="Y1138" s="39">
        <f>IF($C1138="","",IF(IFERROR(INDEX(LISTAS!$I$3:$I$42,MATCH($T1138,LISTAS!$H$3:$H$42,0)),"NO")="SÍ",IF(N($X1138)&gt;0,"CERRADA FUERA DE SLA","CERRADA EN SLA"),IF($U1138="","SIN CLASIFICAR",IF(N($X1138)&gt;0,"VENCIDA",IF(TODAY()&gt;=$U1138-1,"POR VENCER","EN PLAZO")))))</f>
        <v/>
      </c>
      <c r="Z1138" s="41" t="n"/>
      <c r="AA1138" s="41" t="n"/>
      <c r="AB1138" s="41" t="n"/>
    </row>
    <row r="1139">
      <c r="A1139" s="39">
        <f>IF($C1139="","","NOV-"&amp;TEXT(ROW()-3,"0000"))</f>
        <v/>
      </c>
      <c r="B1139" s="40" t="n"/>
      <c r="C1139" s="41" t="n"/>
      <c r="D1139" s="42">
        <f>IF($C1139="","",IFERROR(INDEX(DESPACHOS!$D$3:$D$3002,MATCH($C1139,DESPACHOS!$B$3:$B$3002,0)),"SIN DESPACHO"))</f>
        <v/>
      </c>
      <c r="E1139" s="42">
        <f>IF($C1139="","",IFERROR(INDEX(DESPACHOS!$K$3:$K$3002,MATCH($C1139,DESPACHOS!$B$3:$B$3002,0)),""))</f>
        <v/>
      </c>
      <c r="F1139" s="42">
        <f>IF($C1139="","",IFERROR(INDEX(DESPACHOS!$I$3:$I$3002,MATCH($C1139,DESPACHOS!$B$3:$B$3002,0)),""))</f>
        <v/>
      </c>
      <c r="G1139" s="42">
        <f>IF($C1139="","",IFERROR(INDEX(DESPACHOS!$F$3:$F$3002,MATCH($C1139,DESPACHOS!$B$3:$B$3002,0)),""))</f>
        <v/>
      </c>
      <c r="H1139" s="42">
        <f>IF($C1139="","",IFERROR(INDEX(DESPACHOS!$G$3:$G$3002,MATCH($C1139,DESPACHOS!$B$3:$B$3002,0)),""))</f>
        <v/>
      </c>
      <c r="I1139" s="39">
        <f>IF($C1139="","",IFERROR(INDEX(DESPACHOS!$H$3:$H$3002,MATCH($C1139,DESPACHOS!$B$3:$B$3002,0)),""))</f>
        <v/>
      </c>
      <c r="J1139" s="43">
        <f>IF($C1139="","",IFERROR(INDEX(DESPACHOS!$J$3:$J$3002,MATCH($C1139,DESPACHOS!$B$3:$B$3002,0)),""))</f>
        <v/>
      </c>
      <c r="K1139" s="39">
        <f>IF($C1139="","",IF(COUNTIFS(DESPACHOS!$B$3:$B$3002,$C1139)=0,"NO EXISTE",IF(COUNTIFS(DESPACHOS!$B$3:$B$3002,$C1139)&gt;1,"DUPLICADO","OK")))</f>
        <v/>
      </c>
      <c r="L1139" s="41" t="n"/>
      <c r="M1139" s="41" t="n"/>
      <c r="N1139" s="42">
        <f>IF($M1139="","",IFERROR(INDEX(LISTAS!$F$3:$F$42,MATCH($M1139,LISTAS!$E$3:$E$42,0)),"Por definir"))</f>
        <v/>
      </c>
      <c r="O1139" s="41" t="n"/>
      <c r="P1139" s="39">
        <f>IF($L1139="","",IFERROR(INDEX(LISTAS!$B$3:$B$42,MATCH($L1139,LISTAS!$A$3:$A$42,0)),"Media"))</f>
        <v/>
      </c>
      <c r="Q1139" s="44" t="n"/>
      <c r="R1139" s="45" t="n"/>
      <c r="S1139" s="20">
        <f>IFERROR(IF(OR($R1139="",$C1139=""),"",$R1139/INDEX(DESPACHOS!$M$3:$M$3002,MATCH($C1139,DESPACHOS!$B$3:$B$3002,0))),"")</f>
        <v/>
      </c>
      <c r="T1139" s="41" t="n"/>
      <c r="U1139" s="43">
        <f>IF(OR($B1139="",$L1139=""),"",WORKDAY($B1139,IFERROR(INDEX(LISTAS!$C$3:$C$42,MATCH($L1139,LISTAS!$A$3:$A$42,0)),3)))</f>
        <v/>
      </c>
      <c r="V1139" s="40" t="n"/>
      <c r="W1139" s="19">
        <f>IF($B1139="","",IF($V1139&lt;&gt;"",$V1139-$B1139,TODAY()-$B1139))</f>
        <v/>
      </c>
      <c r="X1139" s="19">
        <f>IF(OR($B1139="",$U1139=""),"",IF($V1139&lt;&gt;"",MAX(0,$V1139-$U1139),MAX(0,TODAY()-$U1139)))</f>
        <v/>
      </c>
      <c r="Y1139" s="39">
        <f>IF($C1139="","",IF(IFERROR(INDEX(LISTAS!$I$3:$I$42,MATCH($T1139,LISTAS!$H$3:$H$42,0)),"NO")="SÍ",IF(N($X1139)&gt;0,"CERRADA FUERA DE SLA","CERRADA EN SLA"),IF($U1139="","SIN CLASIFICAR",IF(N($X1139)&gt;0,"VENCIDA",IF(TODAY()&gt;=$U1139-1,"POR VENCER","EN PLAZO")))))</f>
        <v/>
      </c>
      <c r="Z1139" s="41" t="n"/>
      <c r="AA1139" s="41" t="n"/>
      <c r="AB1139" s="41" t="n"/>
    </row>
    <row r="1140">
      <c r="A1140" s="39">
        <f>IF($C1140="","","NOV-"&amp;TEXT(ROW()-3,"0000"))</f>
        <v/>
      </c>
      <c r="B1140" s="40" t="n"/>
      <c r="C1140" s="41" t="n"/>
      <c r="D1140" s="42">
        <f>IF($C1140="","",IFERROR(INDEX(DESPACHOS!$D$3:$D$3002,MATCH($C1140,DESPACHOS!$B$3:$B$3002,0)),"SIN DESPACHO"))</f>
        <v/>
      </c>
      <c r="E1140" s="42">
        <f>IF($C1140="","",IFERROR(INDEX(DESPACHOS!$K$3:$K$3002,MATCH($C1140,DESPACHOS!$B$3:$B$3002,0)),""))</f>
        <v/>
      </c>
      <c r="F1140" s="42">
        <f>IF($C1140="","",IFERROR(INDEX(DESPACHOS!$I$3:$I$3002,MATCH($C1140,DESPACHOS!$B$3:$B$3002,0)),""))</f>
        <v/>
      </c>
      <c r="G1140" s="42">
        <f>IF($C1140="","",IFERROR(INDEX(DESPACHOS!$F$3:$F$3002,MATCH($C1140,DESPACHOS!$B$3:$B$3002,0)),""))</f>
        <v/>
      </c>
      <c r="H1140" s="42">
        <f>IF($C1140="","",IFERROR(INDEX(DESPACHOS!$G$3:$G$3002,MATCH($C1140,DESPACHOS!$B$3:$B$3002,0)),""))</f>
        <v/>
      </c>
      <c r="I1140" s="39">
        <f>IF($C1140="","",IFERROR(INDEX(DESPACHOS!$H$3:$H$3002,MATCH($C1140,DESPACHOS!$B$3:$B$3002,0)),""))</f>
        <v/>
      </c>
      <c r="J1140" s="43">
        <f>IF($C1140="","",IFERROR(INDEX(DESPACHOS!$J$3:$J$3002,MATCH($C1140,DESPACHOS!$B$3:$B$3002,0)),""))</f>
        <v/>
      </c>
      <c r="K1140" s="39">
        <f>IF($C1140="","",IF(COUNTIFS(DESPACHOS!$B$3:$B$3002,$C1140)=0,"NO EXISTE",IF(COUNTIFS(DESPACHOS!$B$3:$B$3002,$C1140)&gt;1,"DUPLICADO","OK")))</f>
        <v/>
      </c>
      <c r="L1140" s="41" t="n"/>
      <c r="M1140" s="41" t="n"/>
      <c r="N1140" s="42">
        <f>IF($M1140="","",IFERROR(INDEX(LISTAS!$F$3:$F$42,MATCH($M1140,LISTAS!$E$3:$E$42,0)),"Por definir"))</f>
        <v/>
      </c>
      <c r="O1140" s="41" t="n"/>
      <c r="P1140" s="39">
        <f>IF($L1140="","",IFERROR(INDEX(LISTAS!$B$3:$B$42,MATCH($L1140,LISTAS!$A$3:$A$42,0)),"Media"))</f>
        <v/>
      </c>
      <c r="Q1140" s="44" t="n"/>
      <c r="R1140" s="45" t="n"/>
      <c r="S1140" s="20">
        <f>IFERROR(IF(OR($R1140="",$C1140=""),"",$R1140/INDEX(DESPACHOS!$M$3:$M$3002,MATCH($C1140,DESPACHOS!$B$3:$B$3002,0))),"")</f>
        <v/>
      </c>
      <c r="T1140" s="41" t="n"/>
      <c r="U1140" s="43">
        <f>IF(OR($B1140="",$L1140=""),"",WORKDAY($B1140,IFERROR(INDEX(LISTAS!$C$3:$C$42,MATCH($L1140,LISTAS!$A$3:$A$42,0)),3)))</f>
        <v/>
      </c>
      <c r="V1140" s="40" t="n"/>
      <c r="W1140" s="19">
        <f>IF($B1140="","",IF($V1140&lt;&gt;"",$V1140-$B1140,TODAY()-$B1140))</f>
        <v/>
      </c>
      <c r="X1140" s="19">
        <f>IF(OR($B1140="",$U1140=""),"",IF($V1140&lt;&gt;"",MAX(0,$V1140-$U1140),MAX(0,TODAY()-$U1140)))</f>
        <v/>
      </c>
      <c r="Y1140" s="39">
        <f>IF($C1140="","",IF(IFERROR(INDEX(LISTAS!$I$3:$I$42,MATCH($T1140,LISTAS!$H$3:$H$42,0)),"NO")="SÍ",IF(N($X1140)&gt;0,"CERRADA FUERA DE SLA","CERRADA EN SLA"),IF($U1140="","SIN CLASIFICAR",IF(N($X1140)&gt;0,"VENCIDA",IF(TODAY()&gt;=$U1140-1,"POR VENCER","EN PLAZO")))))</f>
        <v/>
      </c>
      <c r="Z1140" s="41" t="n"/>
      <c r="AA1140" s="41" t="n"/>
      <c r="AB1140" s="41" t="n"/>
    </row>
    <row r="1141">
      <c r="A1141" s="39">
        <f>IF($C1141="","","NOV-"&amp;TEXT(ROW()-3,"0000"))</f>
        <v/>
      </c>
      <c r="B1141" s="40" t="n"/>
      <c r="C1141" s="41" t="n"/>
      <c r="D1141" s="42">
        <f>IF($C1141="","",IFERROR(INDEX(DESPACHOS!$D$3:$D$3002,MATCH($C1141,DESPACHOS!$B$3:$B$3002,0)),"SIN DESPACHO"))</f>
        <v/>
      </c>
      <c r="E1141" s="42">
        <f>IF($C1141="","",IFERROR(INDEX(DESPACHOS!$K$3:$K$3002,MATCH($C1141,DESPACHOS!$B$3:$B$3002,0)),""))</f>
        <v/>
      </c>
      <c r="F1141" s="42">
        <f>IF($C1141="","",IFERROR(INDEX(DESPACHOS!$I$3:$I$3002,MATCH($C1141,DESPACHOS!$B$3:$B$3002,0)),""))</f>
        <v/>
      </c>
      <c r="G1141" s="42">
        <f>IF($C1141="","",IFERROR(INDEX(DESPACHOS!$F$3:$F$3002,MATCH($C1141,DESPACHOS!$B$3:$B$3002,0)),""))</f>
        <v/>
      </c>
      <c r="H1141" s="42">
        <f>IF($C1141="","",IFERROR(INDEX(DESPACHOS!$G$3:$G$3002,MATCH($C1141,DESPACHOS!$B$3:$B$3002,0)),""))</f>
        <v/>
      </c>
      <c r="I1141" s="39">
        <f>IF($C1141="","",IFERROR(INDEX(DESPACHOS!$H$3:$H$3002,MATCH($C1141,DESPACHOS!$B$3:$B$3002,0)),""))</f>
        <v/>
      </c>
      <c r="J1141" s="43">
        <f>IF($C1141="","",IFERROR(INDEX(DESPACHOS!$J$3:$J$3002,MATCH($C1141,DESPACHOS!$B$3:$B$3002,0)),""))</f>
        <v/>
      </c>
      <c r="K1141" s="39">
        <f>IF($C1141="","",IF(COUNTIFS(DESPACHOS!$B$3:$B$3002,$C1141)=0,"NO EXISTE",IF(COUNTIFS(DESPACHOS!$B$3:$B$3002,$C1141)&gt;1,"DUPLICADO","OK")))</f>
        <v/>
      </c>
      <c r="L1141" s="41" t="n"/>
      <c r="M1141" s="41" t="n"/>
      <c r="N1141" s="42">
        <f>IF($M1141="","",IFERROR(INDEX(LISTAS!$F$3:$F$42,MATCH($M1141,LISTAS!$E$3:$E$42,0)),"Por definir"))</f>
        <v/>
      </c>
      <c r="O1141" s="41" t="n"/>
      <c r="P1141" s="39">
        <f>IF($L1141="","",IFERROR(INDEX(LISTAS!$B$3:$B$42,MATCH($L1141,LISTAS!$A$3:$A$42,0)),"Media"))</f>
        <v/>
      </c>
      <c r="Q1141" s="44" t="n"/>
      <c r="R1141" s="45" t="n"/>
      <c r="S1141" s="20">
        <f>IFERROR(IF(OR($R1141="",$C1141=""),"",$R1141/INDEX(DESPACHOS!$M$3:$M$3002,MATCH($C1141,DESPACHOS!$B$3:$B$3002,0))),"")</f>
        <v/>
      </c>
      <c r="T1141" s="41" t="n"/>
      <c r="U1141" s="43">
        <f>IF(OR($B1141="",$L1141=""),"",WORKDAY($B1141,IFERROR(INDEX(LISTAS!$C$3:$C$42,MATCH($L1141,LISTAS!$A$3:$A$42,0)),3)))</f>
        <v/>
      </c>
      <c r="V1141" s="40" t="n"/>
      <c r="W1141" s="19">
        <f>IF($B1141="","",IF($V1141&lt;&gt;"",$V1141-$B1141,TODAY()-$B1141))</f>
        <v/>
      </c>
      <c r="X1141" s="19">
        <f>IF(OR($B1141="",$U1141=""),"",IF($V1141&lt;&gt;"",MAX(0,$V1141-$U1141),MAX(0,TODAY()-$U1141)))</f>
        <v/>
      </c>
      <c r="Y1141" s="39">
        <f>IF($C1141="","",IF(IFERROR(INDEX(LISTAS!$I$3:$I$42,MATCH($T1141,LISTAS!$H$3:$H$42,0)),"NO")="SÍ",IF(N($X1141)&gt;0,"CERRADA FUERA DE SLA","CERRADA EN SLA"),IF($U1141="","SIN CLASIFICAR",IF(N($X1141)&gt;0,"VENCIDA",IF(TODAY()&gt;=$U1141-1,"POR VENCER","EN PLAZO")))))</f>
        <v/>
      </c>
      <c r="Z1141" s="41" t="n"/>
      <c r="AA1141" s="41" t="n"/>
      <c r="AB1141" s="41" t="n"/>
    </row>
    <row r="1142">
      <c r="A1142" s="39">
        <f>IF($C1142="","","NOV-"&amp;TEXT(ROW()-3,"0000"))</f>
        <v/>
      </c>
      <c r="B1142" s="40" t="n"/>
      <c r="C1142" s="41" t="n"/>
      <c r="D1142" s="42">
        <f>IF($C1142="","",IFERROR(INDEX(DESPACHOS!$D$3:$D$3002,MATCH($C1142,DESPACHOS!$B$3:$B$3002,0)),"SIN DESPACHO"))</f>
        <v/>
      </c>
      <c r="E1142" s="42">
        <f>IF($C1142="","",IFERROR(INDEX(DESPACHOS!$K$3:$K$3002,MATCH($C1142,DESPACHOS!$B$3:$B$3002,0)),""))</f>
        <v/>
      </c>
      <c r="F1142" s="42">
        <f>IF($C1142="","",IFERROR(INDEX(DESPACHOS!$I$3:$I$3002,MATCH($C1142,DESPACHOS!$B$3:$B$3002,0)),""))</f>
        <v/>
      </c>
      <c r="G1142" s="42">
        <f>IF($C1142="","",IFERROR(INDEX(DESPACHOS!$F$3:$F$3002,MATCH($C1142,DESPACHOS!$B$3:$B$3002,0)),""))</f>
        <v/>
      </c>
      <c r="H1142" s="42">
        <f>IF($C1142="","",IFERROR(INDEX(DESPACHOS!$G$3:$G$3002,MATCH($C1142,DESPACHOS!$B$3:$B$3002,0)),""))</f>
        <v/>
      </c>
      <c r="I1142" s="39">
        <f>IF($C1142="","",IFERROR(INDEX(DESPACHOS!$H$3:$H$3002,MATCH($C1142,DESPACHOS!$B$3:$B$3002,0)),""))</f>
        <v/>
      </c>
      <c r="J1142" s="43">
        <f>IF($C1142="","",IFERROR(INDEX(DESPACHOS!$J$3:$J$3002,MATCH($C1142,DESPACHOS!$B$3:$B$3002,0)),""))</f>
        <v/>
      </c>
      <c r="K1142" s="39">
        <f>IF($C1142="","",IF(COUNTIFS(DESPACHOS!$B$3:$B$3002,$C1142)=0,"NO EXISTE",IF(COUNTIFS(DESPACHOS!$B$3:$B$3002,$C1142)&gt;1,"DUPLICADO","OK")))</f>
        <v/>
      </c>
      <c r="L1142" s="41" t="n"/>
      <c r="M1142" s="41" t="n"/>
      <c r="N1142" s="42">
        <f>IF($M1142="","",IFERROR(INDEX(LISTAS!$F$3:$F$42,MATCH($M1142,LISTAS!$E$3:$E$42,0)),"Por definir"))</f>
        <v/>
      </c>
      <c r="O1142" s="41" t="n"/>
      <c r="P1142" s="39">
        <f>IF($L1142="","",IFERROR(INDEX(LISTAS!$B$3:$B$42,MATCH($L1142,LISTAS!$A$3:$A$42,0)),"Media"))</f>
        <v/>
      </c>
      <c r="Q1142" s="44" t="n"/>
      <c r="R1142" s="45" t="n"/>
      <c r="S1142" s="20">
        <f>IFERROR(IF(OR($R1142="",$C1142=""),"",$R1142/INDEX(DESPACHOS!$M$3:$M$3002,MATCH($C1142,DESPACHOS!$B$3:$B$3002,0))),"")</f>
        <v/>
      </c>
      <c r="T1142" s="41" t="n"/>
      <c r="U1142" s="43">
        <f>IF(OR($B1142="",$L1142=""),"",WORKDAY($B1142,IFERROR(INDEX(LISTAS!$C$3:$C$42,MATCH($L1142,LISTAS!$A$3:$A$42,0)),3)))</f>
        <v/>
      </c>
      <c r="V1142" s="40" t="n"/>
      <c r="W1142" s="19">
        <f>IF($B1142="","",IF($V1142&lt;&gt;"",$V1142-$B1142,TODAY()-$B1142))</f>
        <v/>
      </c>
      <c r="X1142" s="19">
        <f>IF(OR($B1142="",$U1142=""),"",IF($V1142&lt;&gt;"",MAX(0,$V1142-$U1142),MAX(0,TODAY()-$U1142)))</f>
        <v/>
      </c>
      <c r="Y1142" s="39">
        <f>IF($C1142="","",IF(IFERROR(INDEX(LISTAS!$I$3:$I$42,MATCH($T1142,LISTAS!$H$3:$H$42,0)),"NO")="SÍ",IF(N($X1142)&gt;0,"CERRADA FUERA DE SLA","CERRADA EN SLA"),IF($U1142="","SIN CLASIFICAR",IF(N($X1142)&gt;0,"VENCIDA",IF(TODAY()&gt;=$U1142-1,"POR VENCER","EN PLAZO")))))</f>
        <v/>
      </c>
      <c r="Z1142" s="41" t="n"/>
      <c r="AA1142" s="41" t="n"/>
      <c r="AB1142" s="41" t="n"/>
    </row>
    <row r="1143">
      <c r="A1143" s="39">
        <f>IF($C1143="","","NOV-"&amp;TEXT(ROW()-3,"0000"))</f>
        <v/>
      </c>
      <c r="B1143" s="40" t="n"/>
      <c r="C1143" s="41" t="n"/>
      <c r="D1143" s="42">
        <f>IF($C1143="","",IFERROR(INDEX(DESPACHOS!$D$3:$D$3002,MATCH($C1143,DESPACHOS!$B$3:$B$3002,0)),"SIN DESPACHO"))</f>
        <v/>
      </c>
      <c r="E1143" s="42">
        <f>IF($C1143="","",IFERROR(INDEX(DESPACHOS!$K$3:$K$3002,MATCH($C1143,DESPACHOS!$B$3:$B$3002,0)),""))</f>
        <v/>
      </c>
      <c r="F1143" s="42">
        <f>IF($C1143="","",IFERROR(INDEX(DESPACHOS!$I$3:$I$3002,MATCH($C1143,DESPACHOS!$B$3:$B$3002,0)),""))</f>
        <v/>
      </c>
      <c r="G1143" s="42">
        <f>IF($C1143="","",IFERROR(INDEX(DESPACHOS!$F$3:$F$3002,MATCH($C1143,DESPACHOS!$B$3:$B$3002,0)),""))</f>
        <v/>
      </c>
      <c r="H1143" s="42">
        <f>IF($C1143="","",IFERROR(INDEX(DESPACHOS!$G$3:$G$3002,MATCH($C1143,DESPACHOS!$B$3:$B$3002,0)),""))</f>
        <v/>
      </c>
      <c r="I1143" s="39">
        <f>IF($C1143="","",IFERROR(INDEX(DESPACHOS!$H$3:$H$3002,MATCH($C1143,DESPACHOS!$B$3:$B$3002,0)),""))</f>
        <v/>
      </c>
      <c r="J1143" s="43">
        <f>IF($C1143="","",IFERROR(INDEX(DESPACHOS!$J$3:$J$3002,MATCH($C1143,DESPACHOS!$B$3:$B$3002,0)),""))</f>
        <v/>
      </c>
      <c r="K1143" s="39">
        <f>IF($C1143="","",IF(COUNTIFS(DESPACHOS!$B$3:$B$3002,$C1143)=0,"NO EXISTE",IF(COUNTIFS(DESPACHOS!$B$3:$B$3002,$C1143)&gt;1,"DUPLICADO","OK")))</f>
        <v/>
      </c>
      <c r="L1143" s="41" t="n"/>
      <c r="M1143" s="41" t="n"/>
      <c r="N1143" s="42">
        <f>IF($M1143="","",IFERROR(INDEX(LISTAS!$F$3:$F$42,MATCH($M1143,LISTAS!$E$3:$E$42,0)),"Por definir"))</f>
        <v/>
      </c>
      <c r="O1143" s="41" t="n"/>
      <c r="P1143" s="39">
        <f>IF($L1143="","",IFERROR(INDEX(LISTAS!$B$3:$B$42,MATCH($L1143,LISTAS!$A$3:$A$42,0)),"Media"))</f>
        <v/>
      </c>
      <c r="Q1143" s="44" t="n"/>
      <c r="R1143" s="45" t="n"/>
      <c r="S1143" s="20">
        <f>IFERROR(IF(OR($R1143="",$C1143=""),"",$R1143/INDEX(DESPACHOS!$M$3:$M$3002,MATCH($C1143,DESPACHOS!$B$3:$B$3002,0))),"")</f>
        <v/>
      </c>
      <c r="T1143" s="41" t="n"/>
      <c r="U1143" s="43">
        <f>IF(OR($B1143="",$L1143=""),"",WORKDAY($B1143,IFERROR(INDEX(LISTAS!$C$3:$C$42,MATCH($L1143,LISTAS!$A$3:$A$42,0)),3)))</f>
        <v/>
      </c>
      <c r="V1143" s="40" t="n"/>
      <c r="W1143" s="19">
        <f>IF($B1143="","",IF($V1143&lt;&gt;"",$V1143-$B1143,TODAY()-$B1143))</f>
        <v/>
      </c>
      <c r="X1143" s="19">
        <f>IF(OR($B1143="",$U1143=""),"",IF($V1143&lt;&gt;"",MAX(0,$V1143-$U1143),MAX(0,TODAY()-$U1143)))</f>
        <v/>
      </c>
      <c r="Y1143" s="39">
        <f>IF($C1143="","",IF(IFERROR(INDEX(LISTAS!$I$3:$I$42,MATCH($T1143,LISTAS!$H$3:$H$42,0)),"NO")="SÍ",IF(N($X1143)&gt;0,"CERRADA FUERA DE SLA","CERRADA EN SLA"),IF($U1143="","SIN CLASIFICAR",IF(N($X1143)&gt;0,"VENCIDA",IF(TODAY()&gt;=$U1143-1,"POR VENCER","EN PLAZO")))))</f>
        <v/>
      </c>
      <c r="Z1143" s="41" t="n"/>
      <c r="AA1143" s="41" t="n"/>
      <c r="AB1143" s="41" t="n"/>
    </row>
    <row r="1144">
      <c r="A1144" s="39">
        <f>IF($C1144="","","NOV-"&amp;TEXT(ROW()-3,"0000"))</f>
        <v/>
      </c>
      <c r="B1144" s="40" t="n"/>
      <c r="C1144" s="41" t="n"/>
      <c r="D1144" s="42">
        <f>IF($C1144="","",IFERROR(INDEX(DESPACHOS!$D$3:$D$3002,MATCH($C1144,DESPACHOS!$B$3:$B$3002,0)),"SIN DESPACHO"))</f>
        <v/>
      </c>
      <c r="E1144" s="42">
        <f>IF($C1144="","",IFERROR(INDEX(DESPACHOS!$K$3:$K$3002,MATCH($C1144,DESPACHOS!$B$3:$B$3002,0)),""))</f>
        <v/>
      </c>
      <c r="F1144" s="42">
        <f>IF($C1144="","",IFERROR(INDEX(DESPACHOS!$I$3:$I$3002,MATCH($C1144,DESPACHOS!$B$3:$B$3002,0)),""))</f>
        <v/>
      </c>
      <c r="G1144" s="42">
        <f>IF($C1144="","",IFERROR(INDEX(DESPACHOS!$F$3:$F$3002,MATCH($C1144,DESPACHOS!$B$3:$B$3002,0)),""))</f>
        <v/>
      </c>
      <c r="H1144" s="42">
        <f>IF($C1144="","",IFERROR(INDEX(DESPACHOS!$G$3:$G$3002,MATCH($C1144,DESPACHOS!$B$3:$B$3002,0)),""))</f>
        <v/>
      </c>
      <c r="I1144" s="39">
        <f>IF($C1144="","",IFERROR(INDEX(DESPACHOS!$H$3:$H$3002,MATCH($C1144,DESPACHOS!$B$3:$B$3002,0)),""))</f>
        <v/>
      </c>
      <c r="J1144" s="43">
        <f>IF($C1144="","",IFERROR(INDEX(DESPACHOS!$J$3:$J$3002,MATCH($C1144,DESPACHOS!$B$3:$B$3002,0)),""))</f>
        <v/>
      </c>
      <c r="K1144" s="39">
        <f>IF($C1144="","",IF(COUNTIFS(DESPACHOS!$B$3:$B$3002,$C1144)=0,"NO EXISTE",IF(COUNTIFS(DESPACHOS!$B$3:$B$3002,$C1144)&gt;1,"DUPLICADO","OK")))</f>
        <v/>
      </c>
      <c r="L1144" s="41" t="n"/>
      <c r="M1144" s="41" t="n"/>
      <c r="N1144" s="42">
        <f>IF($M1144="","",IFERROR(INDEX(LISTAS!$F$3:$F$42,MATCH($M1144,LISTAS!$E$3:$E$42,0)),"Por definir"))</f>
        <v/>
      </c>
      <c r="O1144" s="41" t="n"/>
      <c r="P1144" s="39">
        <f>IF($L1144="","",IFERROR(INDEX(LISTAS!$B$3:$B$42,MATCH($L1144,LISTAS!$A$3:$A$42,0)),"Media"))</f>
        <v/>
      </c>
      <c r="Q1144" s="44" t="n"/>
      <c r="R1144" s="45" t="n"/>
      <c r="S1144" s="20">
        <f>IFERROR(IF(OR($R1144="",$C1144=""),"",$R1144/INDEX(DESPACHOS!$M$3:$M$3002,MATCH($C1144,DESPACHOS!$B$3:$B$3002,0))),"")</f>
        <v/>
      </c>
      <c r="T1144" s="41" t="n"/>
      <c r="U1144" s="43">
        <f>IF(OR($B1144="",$L1144=""),"",WORKDAY($B1144,IFERROR(INDEX(LISTAS!$C$3:$C$42,MATCH($L1144,LISTAS!$A$3:$A$42,0)),3)))</f>
        <v/>
      </c>
      <c r="V1144" s="40" t="n"/>
      <c r="W1144" s="19">
        <f>IF($B1144="","",IF($V1144&lt;&gt;"",$V1144-$B1144,TODAY()-$B1144))</f>
        <v/>
      </c>
      <c r="X1144" s="19">
        <f>IF(OR($B1144="",$U1144=""),"",IF($V1144&lt;&gt;"",MAX(0,$V1144-$U1144),MAX(0,TODAY()-$U1144)))</f>
        <v/>
      </c>
      <c r="Y1144" s="39">
        <f>IF($C1144="","",IF(IFERROR(INDEX(LISTAS!$I$3:$I$42,MATCH($T1144,LISTAS!$H$3:$H$42,0)),"NO")="SÍ",IF(N($X1144)&gt;0,"CERRADA FUERA DE SLA","CERRADA EN SLA"),IF($U1144="","SIN CLASIFICAR",IF(N($X1144)&gt;0,"VENCIDA",IF(TODAY()&gt;=$U1144-1,"POR VENCER","EN PLAZO")))))</f>
        <v/>
      </c>
      <c r="Z1144" s="41" t="n"/>
      <c r="AA1144" s="41" t="n"/>
      <c r="AB1144" s="41" t="n"/>
    </row>
    <row r="1145">
      <c r="A1145" s="39">
        <f>IF($C1145="","","NOV-"&amp;TEXT(ROW()-3,"0000"))</f>
        <v/>
      </c>
      <c r="B1145" s="40" t="n"/>
      <c r="C1145" s="41" t="n"/>
      <c r="D1145" s="42">
        <f>IF($C1145="","",IFERROR(INDEX(DESPACHOS!$D$3:$D$3002,MATCH($C1145,DESPACHOS!$B$3:$B$3002,0)),"SIN DESPACHO"))</f>
        <v/>
      </c>
      <c r="E1145" s="42">
        <f>IF($C1145="","",IFERROR(INDEX(DESPACHOS!$K$3:$K$3002,MATCH($C1145,DESPACHOS!$B$3:$B$3002,0)),""))</f>
        <v/>
      </c>
      <c r="F1145" s="42">
        <f>IF($C1145="","",IFERROR(INDEX(DESPACHOS!$I$3:$I$3002,MATCH($C1145,DESPACHOS!$B$3:$B$3002,0)),""))</f>
        <v/>
      </c>
      <c r="G1145" s="42">
        <f>IF($C1145="","",IFERROR(INDEX(DESPACHOS!$F$3:$F$3002,MATCH($C1145,DESPACHOS!$B$3:$B$3002,0)),""))</f>
        <v/>
      </c>
      <c r="H1145" s="42">
        <f>IF($C1145="","",IFERROR(INDEX(DESPACHOS!$G$3:$G$3002,MATCH($C1145,DESPACHOS!$B$3:$B$3002,0)),""))</f>
        <v/>
      </c>
      <c r="I1145" s="39">
        <f>IF($C1145="","",IFERROR(INDEX(DESPACHOS!$H$3:$H$3002,MATCH($C1145,DESPACHOS!$B$3:$B$3002,0)),""))</f>
        <v/>
      </c>
      <c r="J1145" s="43">
        <f>IF($C1145="","",IFERROR(INDEX(DESPACHOS!$J$3:$J$3002,MATCH($C1145,DESPACHOS!$B$3:$B$3002,0)),""))</f>
        <v/>
      </c>
      <c r="K1145" s="39">
        <f>IF($C1145="","",IF(COUNTIFS(DESPACHOS!$B$3:$B$3002,$C1145)=0,"NO EXISTE",IF(COUNTIFS(DESPACHOS!$B$3:$B$3002,$C1145)&gt;1,"DUPLICADO","OK")))</f>
        <v/>
      </c>
      <c r="L1145" s="41" t="n"/>
      <c r="M1145" s="41" t="n"/>
      <c r="N1145" s="42">
        <f>IF($M1145="","",IFERROR(INDEX(LISTAS!$F$3:$F$42,MATCH($M1145,LISTAS!$E$3:$E$42,0)),"Por definir"))</f>
        <v/>
      </c>
      <c r="O1145" s="41" t="n"/>
      <c r="P1145" s="39">
        <f>IF($L1145="","",IFERROR(INDEX(LISTAS!$B$3:$B$42,MATCH($L1145,LISTAS!$A$3:$A$42,0)),"Media"))</f>
        <v/>
      </c>
      <c r="Q1145" s="44" t="n"/>
      <c r="R1145" s="45" t="n"/>
      <c r="S1145" s="20">
        <f>IFERROR(IF(OR($R1145="",$C1145=""),"",$R1145/INDEX(DESPACHOS!$M$3:$M$3002,MATCH($C1145,DESPACHOS!$B$3:$B$3002,0))),"")</f>
        <v/>
      </c>
      <c r="T1145" s="41" t="n"/>
      <c r="U1145" s="43">
        <f>IF(OR($B1145="",$L1145=""),"",WORKDAY($B1145,IFERROR(INDEX(LISTAS!$C$3:$C$42,MATCH($L1145,LISTAS!$A$3:$A$42,0)),3)))</f>
        <v/>
      </c>
      <c r="V1145" s="40" t="n"/>
      <c r="W1145" s="19">
        <f>IF($B1145="","",IF($V1145&lt;&gt;"",$V1145-$B1145,TODAY()-$B1145))</f>
        <v/>
      </c>
      <c r="X1145" s="19">
        <f>IF(OR($B1145="",$U1145=""),"",IF($V1145&lt;&gt;"",MAX(0,$V1145-$U1145),MAX(0,TODAY()-$U1145)))</f>
        <v/>
      </c>
      <c r="Y1145" s="39">
        <f>IF($C1145="","",IF(IFERROR(INDEX(LISTAS!$I$3:$I$42,MATCH($T1145,LISTAS!$H$3:$H$42,0)),"NO")="SÍ",IF(N($X1145)&gt;0,"CERRADA FUERA DE SLA","CERRADA EN SLA"),IF($U1145="","SIN CLASIFICAR",IF(N($X1145)&gt;0,"VENCIDA",IF(TODAY()&gt;=$U1145-1,"POR VENCER","EN PLAZO")))))</f>
        <v/>
      </c>
      <c r="Z1145" s="41" t="n"/>
      <c r="AA1145" s="41" t="n"/>
      <c r="AB1145" s="41" t="n"/>
    </row>
    <row r="1146">
      <c r="A1146" s="39">
        <f>IF($C1146="","","NOV-"&amp;TEXT(ROW()-3,"0000"))</f>
        <v/>
      </c>
      <c r="B1146" s="40" t="n"/>
      <c r="C1146" s="41" t="n"/>
      <c r="D1146" s="42">
        <f>IF($C1146="","",IFERROR(INDEX(DESPACHOS!$D$3:$D$3002,MATCH($C1146,DESPACHOS!$B$3:$B$3002,0)),"SIN DESPACHO"))</f>
        <v/>
      </c>
      <c r="E1146" s="42">
        <f>IF($C1146="","",IFERROR(INDEX(DESPACHOS!$K$3:$K$3002,MATCH($C1146,DESPACHOS!$B$3:$B$3002,0)),""))</f>
        <v/>
      </c>
      <c r="F1146" s="42">
        <f>IF($C1146="","",IFERROR(INDEX(DESPACHOS!$I$3:$I$3002,MATCH($C1146,DESPACHOS!$B$3:$B$3002,0)),""))</f>
        <v/>
      </c>
      <c r="G1146" s="42">
        <f>IF($C1146="","",IFERROR(INDEX(DESPACHOS!$F$3:$F$3002,MATCH($C1146,DESPACHOS!$B$3:$B$3002,0)),""))</f>
        <v/>
      </c>
      <c r="H1146" s="42">
        <f>IF($C1146="","",IFERROR(INDEX(DESPACHOS!$G$3:$G$3002,MATCH($C1146,DESPACHOS!$B$3:$B$3002,0)),""))</f>
        <v/>
      </c>
      <c r="I1146" s="39">
        <f>IF($C1146="","",IFERROR(INDEX(DESPACHOS!$H$3:$H$3002,MATCH($C1146,DESPACHOS!$B$3:$B$3002,0)),""))</f>
        <v/>
      </c>
      <c r="J1146" s="43">
        <f>IF($C1146="","",IFERROR(INDEX(DESPACHOS!$J$3:$J$3002,MATCH($C1146,DESPACHOS!$B$3:$B$3002,0)),""))</f>
        <v/>
      </c>
      <c r="K1146" s="39">
        <f>IF($C1146="","",IF(COUNTIFS(DESPACHOS!$B$3:$B$3002,$C1146)=0,"NO EXISTE",IF(COUNTIFS(DESPACHOS!$B$3:$B$3002,$C1146)&gt;1,"DUPLICADO","OK")))</f>
        <v/>
      </c>
      <c r="L1146" s="41" t="n"/>
      <c r="M1146" s="41" t="n"/>
      <c r="N1146" s="42">
        <f>IF($M1146="","",IFERROR(INDEX(LISTAS!$F$3:$F$42,MATCH($M1146,LISTAS!$E$3:$E$42,0)),"Por definir"))</f>
        <v/>
      </c>
      <c r="O1146" s="41" t="n"/>
      <c r="P1146" s="39">
        <f>IF($L1146="","",IFERROR(INDEX(LISTAS!$B$3:$B$42,MATCH($L1146,LISTAS!$A$3:$A$42,0)),"Media"))</f>
        <v/>
      </c>
      <c r="Q1146" s="44" t="n"/>
      <c r="R1146" s="45" t="n"/>
      <c r="S1146" s="20">
        <f>IFERROR(IF(OR($R1146="",$C1146=""),"",$R1146/INDEX(DESPACHOS!$M$3:$M$3002,MATCH($C1146,DESPACHOS!$B$3:$B$3002,0))),"")</f>
        <v/>
      </c>
      <c r="T1146" s="41" t="n"/>
      <c r="U1146" s="43">
        <f>IF(OR($B1146="",$L1146=""),"",WORKDAY($B1146,IFERROR(INDEX(LISTAS!$C$3:$C$42,MATCH($L1146,LISTAS!$A$3:$A$42,0)),3)))</f>
        <v/>
      </c>
      <c r="V1146" s="40" t="n"/>
      <c r="W1146" s="19">
        <f>IF($B1146="","",IF($V1146&lt;&gt;"",$V1146-$B1146,TODAY()-$B1146))</f>
        <v/>
      </c>
      <c r="X1146" s="19">
        <f>IF(OR($B1146="",$U1146=""),"",IF($V1146&lt;&gt;"",MAX(0,$V1146-$U1146),MAX(0,TODAY()-$U1146)))</f>
        <v/>
      </c>
      <c r="Y1146" s="39">
        <f>IF($C1146="","",IF(IFERROR(INDEX(LISTAS!$I$3:$I$42,MATCH($T1146,LISTAS!$H$3:$H$42,0)),"NO")="SÍ",IF(N($X1146)&gt;0,"CERRADA FUERA DE SLA","CERRADA EN SLA"),IF($U1146="","SIN CLASIFICAR",IF(N($X1146)&gt;0,"VENCIDA",IF(TODAY()&gt;=$U1146-1,"POR VENCER","EN PLAZO")))))</f>
        <v/>
      </c>
      <c r="Z1146" s="41" t="n"/>
      <c r="AA1146" s="41" t="n"/>
      <c r="AB1146" s="41" t="n"/>
    </row>
    <row r="1147">
      <c r="A1147" s="39">
        <f>IF($C1147="","","NOV-"&amp;TEXT(ROW()-3,"0000"))</f>
        <v/>
      </c>
      <c r="B1147" s="40" t="n"/>
      <c r="C1147" s="41" t="n"/>
      <c r="D1147" s="42">
        <f>IF($C1147="","",IFERROR(INDEX(DESPACHOS!$D$3:$D$3002,MATCH($C1147,DESPACHOS!$B$3:$B$3002,0)),"SIN DESPACHO"))</f>
        <v/>
      </c>
      <c r="E1147" s="42">
        <f>IF($C1147="","",IFERROR(INDEX(DESPACHOS!$K$3:$K$3002,MATCH($C1147,DESPACHOS!$B$3:$B$3002,0)),""))</f>
        <v/>
      </c>
      <c r="F1147" s="42">
        <f>IF($C1147="","",IFERROR(INDEX(DESPACHOS!$I$3:$I$3002,MATCH($C1147,DESPACHOS!$B$3:$B$3002,0)),""))</f>
        <v/>
      </c>
      <c r="G1147" s="42">
        <f>IF($C1147="","",IFERROR(INDEX(DESPACHOS!$F$3:$F$3002,MATCH($C1147,DESPACHOS!$B$3:$B$3002,0)),""))</f>
        <v/>
      </c>
      <c r="H1147" s="42">
        <f>IF($C1147="","",IFERROR(INDEX(DESPACHOS!$G$3:$G$3002,MATCH($C1147,DESPACHOS!$B$3:$B$3002,0)),""))</f>
        <v/>
      </c>
      <c r="I1147" s="39">
        <f>IF($C1147="","",IFERROR(INDEX(DESPACHOS!$H$3:$H$3002,MATCH($C1147,DESPACHOS!$B$3:$B$3002,0)),""))</f>
        <v/>
      </c>
      <c r="J1147" s="43">
        <f>IF($C1147="","",IFERROR(INDEX(DESPACHOS!$J$3:$J$3002,MATCH($C1147,DESPACHOS!$B$3:$B$3002,0)),""))</f>
        <v/>
      </c>
      <c r="K1147" s="39">
        <f>IF($C1147="","",IF(COUNTIFS(DESPACHOS!$B$3:$B$3002,$C1147)=0,"NO EXISTE",IF(COUNTIFS(DESPACHOS!$B$3:$B$3002,$C1147)&gt;1,"DUPLICADO","OK")))</f>
        <v/>
      </c>
      <c r="L1147" s="41" t="n"/>
      <c r="M1147" s="41" t="n"/>
      <c r="N1147" s="42">
        <f>IF($M1147="","",IFERROR(INDEX(LISTAS!$F$3:$F$42,MATCH($M1147,LISTAS!$E$3:$E$42,0)),"Por definir"))</f>
        <v/>
      </c>
      <c r="O1147" s="41" t="n"/>
      <c r="P1147" s="39">
        <f>IF($L1147="","",IFERROR(INDEX(LISTAS!$B$3:$B$42,MATCH($L1147,LISTAS!$A$3:$A$42,0)),"Media"))</f>
        <v/>
      </c>
      <c r="Q1147" s="44" t="n"/>
      <c r="R1147" s="45" t="n"/>
      <c r="S1147" s="20">
        <f>IFERROR(IF(OR($R1147="",$C1147=""),"",$R1147/INDEX(DESPACHOS!$M$3:$M$3002,MATCH($C1147,DESPACHOS!$B$3:$B$3002,0))),"")</f>
        <v/>
      </c>
      <c r="T1147" s="41" t="n"/>
      <c r="U1147" s="43">
        <f>IF(OR($B1147="",$L1147=""),"",WORKDAY($B1147,IFERROR(INDEX(LISTAS!$C$3:$C$42,MATCH($L1147,LISTAS!$A$3:$A$42,0)),3)))</f>
        <v/>
      </c>
      <c r="V1147" s="40" t="n"/>
      <c r="W1147" s="19">
        <f>IF($B1147="","",IF($V1147&lt;&gt;"",$V1147-$B1147,TODAY()-$B1147))</f>
        <v/>
      </c>
      <c r="X1147" s="19">
        <f>IF(OR($B1147="",$U1147=""),"",IF($V1147&lt;&gt;"",MAX(0,$V1147-$U1147),MAX(0,TODAY()-$U1147)))</f>
        <v/>
      </c>
      <c r="Y1147" s="39">
        <f>IF($C1147="","",IF(IFERROR(INDEX(LISTAS!$I$3:$I$42,MATCH($T1147,LISTAS!$H$3:$H$42,0)),"NO")="SÍ",IF(N($X1147)&gt;0,"CERRADA FUERA DE SLA","CERRADA EN SLA"),IF($U1147="","SIN CLASIFICAR",IF(N($X1147)&gt;0,"VENCIDA",IF(TODAY()&gt;=$U1147-1,"POR VENCER","EN PLAZO")))))</f>
        <v/>
      </c>
      <c r="Z1147" s="41" t="n"/>
      <c r="AA1147" s="41" t="n"/>
      <c r="AB1147" s="41" t="n"/>
    </row>
    <row r="1148">
      <c r="A1148" s="39">
        <f>IF($C1148="","","NOV-"&amp;TEXT(ROW()-3,"0000"))</f>
        <v/>
      </c>
      <c r="B1148" s="40" t="n"/>
      <c r="C1148" s="41" t="n"/>
      <c r="D1148" s="42">
        <f>IF($C1148="","",IFERROR(INDEX(DESPACHOS!$D$3:$D$3002,MATCH($C1148,DESPACHOS!$B$3:$B$3002,0)),"SIN DESPACHO"))</f>
        <v/>
      </c>
      <c r="E1148" s="42">
        <f>IF($C1148="","",IFERROR(INDEX(DESPACHOS!$K$3:$K$3002,MATCH($C1148,DESPACHOS!$B$3:$B$3002,0)),""))</f>
        <v/>
      </c>
      <c r="F1148" s="42">
        <f>IF($C1148="","",IFERROR(INDEX(DESPACHOS!$I$3:$I$3002,MATCH($C1148,DESPACHOS!$B$3:$B$3002,0)),""))</f>
        <v/>
      </c>
      <c r="G1148" s="42">
        <f>IF($C1148="","",IFERROR(INDEX(DESPACHOS!$F$3:$F$3002,MATCH($C1148,DESPACHOS!$B$3:$B$3002,0)),""))</f>
        <v/>
      </c>
      <c r="H1148" s="42">
        <f>IF($C1148="","",IFERROR(INDEX(DESPACHOS!$G$3:$G$3002,MATCH($C1148,DESPACHOS!$B$3:$B$3002,0)),""))</f>
        <v/>
      </c>
      <c r="I1148" s="39">
        <f>IF($C1148="","",IFERROR(INDEX(DESPACHOS!$H$3:$H$3002,MATCH($C1148,DESPACHOS!$B$3:$B$3002,0)),""))</f>
        <v/>
      </c>
      <c r="J1148" s="43">
        <f>IF($C1148="","",IFERROR(INDEX(DESPACHOS!$J$3:$J$3002,MATCH($C1148,DESPACHOS!$B$3:$B$3002,0)),""))</f>
        <v/>
      </c>
      <c r="K1148" s="39">
        <f>IF($C1148="","",IF(COUNTIFS(DESPACHOS!$B$3:$B$3002,$C1148)=0,"NO EXISTE",IF(COUNTIFS(DESPACHOS!$B$3:$B$3002,$C1148)&gt;1,"DUPLICADO","OK")))</f>
        <v/>
      </c>
      <c r="L1148" s="41" t="n"/>
      <c r="M1148" s="41" t="n"/>
      <c r="N1148" s="42">
        <f>IF($M1148="","",IFERROR(INDEX(LISTAS!$F$3:$F$42,MATCH($M1148,LISTAS!$E$3:$E$42,0)),"Por definir"))</f>
        <v/>
      </c>
      <c r="O1148" s="41" t="n"/>
      <c r="P1148" s="39">
        <f>IF($L1148="","",IFERROR(INDEX(LISTAS!$B$3:$B$42,MATCH($L1148,LISTAS!$A$3:$A$42,0)),"Media"))</f>
        <v/>
      </c>
      <c r="Q1148" s="44" t="n"/>
      <c r="R1148" s="45" t="n"/>
      <c r="S1148" s="20">
        <f>IFERROR(IF(OR($R1148="",$C1148=""),"",$R1148/INDEX(DESPACHOS!$M$3:$M$3002,MATCH($C1148,DESPACHOS!$B$3:$B$3002,0))),"")</f>
        <v/>
      </c>
      <c r="T1148" s="41" t="n"/>
      <c r="U1148" s="43">
        <f>IF(OR($B1148="",$L1148=""),"",WORKDAY($B1148,IFERROR(INDEX(LISTAS!$C$3:$C$42,MATCH($L1148,LISTAS!$A$3:$A$42,0)),3)))</f>
        <v/>
      </c>
      <c r="V1148" s="40" t="n"/>
      <c r="W1148" s="19">
        <f>IF($B1148="","",IF($V1148&lt;&gt;"",$V1148-$B1148,TODAY()-$B1148))</f>
        <v/>
      </c>
      <c r="X1148" s="19">
        <f>IF(OR($B1148="",$U1148=""),"",IF($V1148&lt;&gt;"",MAX(0,$V1148-$U1148),MAX(0,TODAY()-$U1148)))</f>
        <v/>
      </c>
      <c r="Y1148" s="39">
        <f>IF($C1148="","",IF(IFERROR(INDEX(LISTAS!$I$3:$I$42,MATCH($T1148,LISTAS!$H$3:$H$42,0)),"NO")="SÍ",IF(N($X1148)&gt;0,"CERRADA FUERA DE SLA","CERRADA EN SLA"),IF($U1148="","SIN CLASIFICAR",IF(N($X1148)&gt;0,"VENCIDA",IF(TODAY()&gt;=$U1148-1,"POR VENCER","EN PLAZO")))))</f>
        <v/>
      </c>
      <c r="Z1148" s="41" t="n"/>
      <c r="AA1148" s="41" t="n"/>
      <c r="AB1148" s="41" t="n"/>
    </row>
    <row r="1149">
      <c r="A1149" s="39">
        <f>IF($C1149="","","NOV-"&amp;TEXT(ROW()-3,"0000"))</f>
        <v/>
      </c>
      <c r="B1149" s="40" t="n"/>
      <c r="C1149" s="41" t="n"/>
      <c r="D1149" s="42">
        <f>IF($C1149="","",IFERROR(INDEX(DESPACHOS!$D$3:$D$3002,MATCH($C1149,DESPACHOS!$B$3:$B$3002,0)),"SIN DESPACHO"))</f>
        <v/>
      </c>
      <c r="E1149" s="42">
        <f>IF($C1149="","",IFERROR(INDEX(DESPACHOS!$K$3:$K$3002,MATCH($C1149,DESPACHOS!$B$3:$B$3002,0)),""))</f>
        <v/>
      </c>
      <c r="F1149" s="42">
        <f>IF($C1149="","",IFERROR(INDEX(DESPACHOS!$I$3:$I$3002,MATCH($C1149,DESPACHOS!$B$3:$B$3002,0)),""))</f>
        <v/>
      </c>
      <c r="G1149" s="42">
        <f>IF($C1149="","",IFERROR(INDEX(DESPACHOS!$F$3:$F$3002,MATCH($C1149,DESPACHOS!$B$3:$B$3002,0)),""))</f>
        <v/>
      </c>
      <c r="H1149" s="42">
        <f>IF($C1149="","",IFERROR(INDEX(DESPACHOS!$G$3:$G$3002,MATCH($C1149,DESPACHOS!$B$3:$B$3002,0)),""))</f>
        <v/>
      </c>
      <c r="I1149" s="39">
        <f>IF($C1149="","",IFERROR(INDEX(DESPACHOS!$H$3:$H$3002,MATCH($C1149,DESPACHOS!$B$3:$B$3002,0)),""))</f>
        <v/>
      </c>
      <c r="J1149" s="43">
        <f>IF($C1149="","",IFERROR(INDEX(DESPACHOS!$J$3:$J$3002,MATCH($C1149,DESPACHOS!$B$3:$B$3002,0)),""))</f>
        <v/>
      </c>
      <c r="K1149" s="39">
        <f>IF($C1149="","",IF(COUNTIFS(DESPACHOS!$B$3:$B$3002,$C1149)=0,"NO EXISTE",IF(COUNTIFS(DESPACHOS!$B$3:$B$3002,$C1149)&gt;1,"DUPLICADO","OK")))</f>
        <v/>
      </c>
      <c r="L1149" s="41" t="n"/>
      <c r="M1149" s="41" t="n"/>
      <c r="N1149" s="42">
        <f>IF($M1149="","",IFERROR(INDEX(LISTAS!$F$3:$F$42,MATCH($M1149,LISTAS!$E$3:$E$42,0)),"Por definir"))</f>
        <v/>
      </c>
      <c r="O1149" s="41" t="n"/>
      <c r="P1149" s="39">
        <f>IF($L1149="","",IFERROR(INDEX(LISTAS!$B$3:$B$42,MATCH($L1149,LISTAS!$A$3:$A$42,0)),"Media"))</f>
        <v/>
      </c>
      <c r="Q1149" s="44" t="n"/>
      <c r="R1149" s="45" t="n"/>
      <c r="S1149" s="20">
        <f>IFERROR(IF(OR($R1149="",$C1149=""),"",$R1149/INDEX(DESPACHOS!$M$3:$M$3002,MATCH($C1149,DESPACHOS!$B$3:$B$3002,0))),"")</f>
        <v/>
      </c>
      <c r="T1149" s="41" t="n"/>
      <c r="U1149" s="43">
        <f>IF(OR($B1149="",$L1149=""),"",WORKDAY($B1149,IFERROR(INDEX(LISTAS!$C$3:$C$42,MATCH($L1149,LISTAS!$A$3:$A$42,0)),3)))</f>
        <v/>
      </c>
      <c r="V1149" s="40" t="n"/>
      <c r="W1149" s="19">
        <f>IF($B1149="","",IF($V1149&lt;&gt;"",$V1149-$B1149,TODAY()-$B1149))</f>
        <v/>
      </c>
      <c r="X1149" s="19">
        <f>IF(OR($B1149="",$U1149=""),"",IF($V1149&lt;&gt;"",MAX(0,$V1149-$U1149),MAX(0,TODAY()-$U1149)))</f>
        <v/>
      </c>
      <c r="Y1149" s="39">
        <f>IF($C1149="","",IF(IFERROR(INDEX(LISTAS!$I$3:$I$42,MATCH($T1149,LISTAS!$H$3:$H$42,0)),"NO")="SÍ",IF(N($X1149)&gt;0,"CERRADA FUERA DE SLA","CERRADA EN SLA"),IF($U1149="","SIN CLASIFICAR",IF(N($X1149)&gt;0,"VENCIDA",IF(TODAY()&gt;=$U1149-1,"POR VENCER","EN PLAZO")))))</f>
        <v/>
      </c>
      <c r="Z1149" s="41" t="n"/>
      <c r="AA1149" s="41" t="n"/>
      <c r="AB1149" s="41" t="n"/>
    </row>
    <row r="1150">
      <c r="A1150" s="39">
        <f>IF($C1150="","","NOV-"&amp;TEXT(ROW()-3,"0000"))</f>
        <v/>
      </c>
      <c r="B1150" s="40" t="n"/>
      <c r="C1150" s="41" t="n"/>
      <c r="D1150" s="42">
        <f>IF($C1150="","",IFERROR(INDEX(DESPACHOS!$D$3:$D$3002,MATCH($C1150,DESPACHOS!$B$3:$B$3002,0)),"SIN DESPACHO"))</f>
        <v/>
      </c>
      <c r="E1150" s="42">
        <f>IF($C1150="","",IFERROR(INDEX(DESPACHOS!$K$3:$K$3002,MATCH($C1150,DESPACHOS!$B$3:$B$3002,0)),""))</f>
        <v/>
      </c>
      <c r="F1150" s="42">
        <f>IF($C1150="","",IFERROR(INDEX(DESPACHOS!$I$3:$I$3002,MATCH($C1150,DESPACHOS!$B$3:$B$3002,0)),""))</f>
        <v/>
      </c>
      <c r="G1150" s="42">
        <f>IF($C1150="","",IFERROR(INDEX(DESPACHOS!$F$3:$F$3002,MATCH($C1150,DESPACHOS!$B$3:$B$3002,0)),""))</f>
        <v/>
      </c>
      <c r="H1150" s="42">
        <f>IF($C1150="","",IFERROR(INDEX(DESPACHOS!$G$3:$G$3002,MATCH($C1150,DESPACHOS!$B$3:$B$3002,0)),""))</f>
        <v/>
      </c>
      <c r="I1150" s="39">
        <f>IF($C1150="","",IFERROR(INDEX(DESPACHOS!$H$3:$H$3002,MATCH($C1150,DESPACHOS!$B$3:$B$3002,0)),""))</f>
        <v/>
      </c>
      <c r="J1150" s="43">
        <f>IF($C1150="","",IFERROR(INDEX(DESPACHOS!$J$3:$J$3002,MATCH($C1150,DESPACHOS!$B$3:$B$3002,0)),""))</f>
        <v/>
      </c>
      <c r="K1150" s="39">
        <f>IF($C1150="","",IF(COUNTIFS(DESPACHOS!$B$3:$B$3002,$C1150)=0,"NO EXISTE",IF(COUNTIFS(DESPACHOS!$B$3:$B$3002,$C1150)&gt;1,"DUPLICADO","OK")))</f>
        <v/>
      </c>
      <c r="L1150" s="41" t="n"/>
      <c r="M1150" s="41" t="n"/>
      <c r="N1150" s="42">
        <f>IF($M1150="","",IFERROR(INDEX(LISTAS!$F$3:$F$42,MATCH($M1150,LISTAS!$E$3:$E$42,0)),"Por definir"))</f>
        <v/>
      </c>
      <c r="O1150" s="41" t="n"/>
      <c r="P1150" s="39">
        <f>IF($L1150="","",IFERROR(INDEX(LISTAS!$B$3:$B$42,MATCH($L1150,LISTAS!$A$3:$A$42,0)),"Media"))</f>
        <v/>
      </c>
      <c r="Q1150" s="44" t="n"/>
      <c r="R1150" s="45" t="n"/>
      <c r="S1150" s="20">
        <f>IFERROR(IF(OR($R1150="",$C1150=""),"",$R1150/INDEX(DESPACHOS!$M$3:$M$3002,MATCH($C1150,DESPACHOS!$B$3:$B$3002,0))),"")</f>
        <v/>
      </c>
      <c r="T1150" s="41" t="n"/>
      <c r="U1150" s="43">
        <f>IF(OR($B1150="",$L1150=""),"",WORKDAY($B1150,IFERROR(INDEX(LISTAS!$C$3:$C$42,MATCH($L1150,LISTAS!$A$3:$A$42,0)),3)))</f>
        <v/>
      </c>
      <c r="V1150" s="40" t="n"/>
      <c r="W1150" s="19">
        <f>IF($B1150="","",IF($V1150&lt;&gt;"",$V1150-$B1150,TODAY()-$B1150))</f>
        <v/>
      </c>
      <c r="X1150" s="19">
        <f>IF(OR($B1150="",$U1150=""),"",IF($V1150&lt;&gt;"",MAX(0,$V1150-$U1150),MAX(0,TODAY()-$U1150)))</f>
        <v/>
      </c>
      <c r="Y1150" s="39">
        <f>IF($C1150="","",IF(IFERROR(INDEX(LISTAS!$I$3:$I$42,MATCH($T1150,LISTAS!$H$3:$H$42,0)),"NO")="SÍ",IF(N($X1150)&gt;0,"CERRADA FUERA DE SLA","CERRADA EN SLA"),IF($U1150="","SIN CLASIFICAR",IF(N($X1150)&gt;0,"VENCIDA",IF(TODAY()&gt;=$U1150-1,"POR VENCER","EN PLAZO")))))</f>
        <v/>
      </c>
      <c r="Z1150" s="41" t="n"/>
      <c r="AA1150" s="41" t="n"/>
      <c r="AB1150" s="41" t="n"/>
    </row>
    <row r="1151">
      <c r="A1151" s="39">
        <f>IF($C1151="","","NOV-"&amp;TEXT(ROW()-3,"0000"))</f>
        <v/>
      </c>
      <c r="B1151" s="40" t="n"/>
      <c r="C1151" s="41" t="n"/>
      <c r="D1151" s="42">
        <f>IF($C1151="","",IFERROR(INDEX(DESPACHOS!$D$3:$D$3002,MATCH($C1151,DESPACHOS!$B$3:$B$3002,0)),"SIN DESPACHO"))</f>
        <v/>
      </c>
      <c r="E1151" s="42">
        <f>IF($C1151="","",IFERROR(INDEX(DESPACHOS!$K$3:$K$3002,MATCH($C1151,DESPACHOS!$B$3:$B$3002,0)),""))</f>
        <v/>
      </c>
      <c r="F1151" s="42">
        <f>IF($C1151="","",IFERROR(INDEX(DESPACHOS!$I$3:$I$3002,MATCH($C1151,DESPACHOS!$B$3:$B$3002,0)),""))</f>
        <v/>
      </c>
      <c r="G1151" s="42">
        <f>IF($C1151="","",IFERROR(INDEX(DESPACHOS!$F$3:$F$3002,MATCH($C1151,DESPACHOS!$B$3:$B$3002,0)),""))</f>
        <v/>
      </c>
      <c r="H1151" s="42">
        <f>IF($C1151="","",IFERROR(INDEX(DESPACHOS!$G$3:$G$3002,MATCH($C1151,DESPACHOS!$B$3:$B$3002,0)),""))</f>
        <v/>
      </c>
      <c r="I1151" s="39">
        <f>IF($C1151="","",IFERROR(INDEX(DESPACHOS!$H$3:$H$3002,MATCH($C1151,DESPACHOS!$B$3:$B$3002,0)),""))</f>
        <v/>
      </c>
      <c r="J1151" s="43">
        <f>IF($C1151="","",IFERROR(INDEX(DESPACHOS!$J$3:$J$3002,MATCH($C1151,DESPACHOS!$B$3:$B$3002,0)),""))</f>
        <v/>
      </c>
      <c r="K1151" s="39">
        <f>IF($C1151="","",IF(COUNTIFS(DESPACHOS!$B$3:$B$3002,$C1151)=0,"NO EXISTE",IF(COUNTIFS(DESPACHOS!$B$3:$B$3002,$C1151)&gt;1,"DUPLICADO","OK")))</f>
        <v/>
      </c>
      <c r="L1151" s="41" t="n"/>
      <c r="M1151" s="41" t="n"/>
      <c r="N1151" s="42">
        <f>IF($M1151="","",IFERROR(INDEX(LISTAS!$F$3:$F$42,MATCH($M1151,LISTAS!$E$3:$E$42,0)),"Por definir"))</f>
        <v/>
      </c>
      <c r="O1151" s="41" t="n"/>
      <c r="P1151" s="39">
        <f>IF($L1151="","",IFERROR(INDEX(LISTAS!$B$3:$B$42,MATCH($L1151,LISTAS!$A$3:$A$42,0)),"Media"))</f>
        <v/>
      </c>
      <c r="Q1151" s="44" t="n"/>
      <c r="R1151" s="45" t="n"/>
      <c r="S1151" s="20">
        <f>IFERROR(IF(OR($R1151="",$C1151=""),"",$R1151/INDEX(DESPACHOS!$M$3:$M$3002,MATCH($C1151,DESPACHOS!$B$3:$B$3002,0))),"")</f>
        <v/>
      </c>
      <c r="T1151" s="41" t="n"/>
      <c r="U1151" s="43">
        <f>IF(OR($B1151="",$L1151=""),"",WORKDAY($B1151,IFERROR(INDEX(LISTAS!$C$3:$C$42,MATCH($L1151,LISTAS!$A$3:$A$42,0)),3)))</f>
        <v/>
      </c>
      <c r="V1151" s="40" t="n"/>
      <c r="W1151" s="19">
        <f>IF($B1151="","",IF($V1151&lt;&gt;"",$V1151-$B1151,TODAY()-$B1151))</f>
        <v/>
      </c>
      <c r="X1151" s="19">
        <f>IF(OR($B1151="",$U1151=""),"",IF($V1151&lt;&gt;"",MAX(0,$V1151-$U1151),MAX(0,TODAY()-$U1151)))</f>
        <v/>
      </c>
      <c r="Y1151" s="39">
        <f>IF($C1151="","",IF(IFERROR(INDEX(LISTAS!$I$3:$I$42,MATCH($T1151,LISTAS!$H$3:$H$42,0)),"NO")="SÍ",IF(N($X1151)&gt;0,"CERRADA FUERA DE SLA","CERRADA EN SLA"),IF($U1151="","SIN CLASIFICAR",IF(N($X1151)&gt;0,"VENCIDA",IF(TODAY()&gt;=$U1151-1,"POR VENCER","EN PLAZO")))))</f>
        <v/>
      </c>
      <c r="Z1151" s="41" t="n"/>
      <c r="AA1151" s="41" t="n"/>
      <c r="AB1151" s="41" t="n"/>
    </row>
    <row r="1152">
      <c r="A1152" s="39">
        <f>IF($C1152="","","NOV-"&amp;TEXT(ROW()-3,"0000"))</f>
        <v/>
      </c>
      <c r="B1152" s="40" t="n"/>
      <c r="C1152" s="41" t="n"/>
      <c r="D1152" s="42">
        <f>IF($C1152="","",IFERROR(INDEX(DESPACHOS!$D$3:$D$3002,MATCH($C1152,DESPACHOS!$B$3:$B$3002,0)),"SIN DESPACHO"))</f>
        <v/>
      </c>
      <c r="E1152" s="42">
        <f>IF($C1152="","",IFERROR(INDEX(DESPACHOS!$K$3:$K$3002,MATCH($C1152,DESPACHOS!$B$3:$B$3002,0)),""))</f>
        <v/>
      </c>
      <c r="F1152" s="42">
        <f>IF($C1152="","",IFERROR(INDEX(DESPACHOS!$I$3:$I$3002,MATCH($C1152,DESPACHOS!$B$3:$B$3002,0)),""))</f>
        <v/>
      </c>
      <c r="G1152" s="42">
        <f>IF($C1152="","",IFERROR(INDEX(DESPACHOS!$F$3:$F$3002,MATCH($C1152,DESPACHOS!$B$3:$B$3002,0)),""))</f>
        <v/>
      </c>
      <c r="H1152" s="42">
        <f>IF($C1152="","",IFERROR(INDEX(DESPACHOS!$G$3:$G$3002,MATCH($C1152,DESPACHOS!$B$3:$B$3002,0)),""))</f>
        <v/>
      </c>
      <c r="I1152" s="39">
        <f>IF($C1152="","",IFERROR(INDEX(DESPACHOS!$H$3:$H$3002,MATCH($C1152,DESPACHOS!$B$3:$B$3002,0)),""))</f>
        <v/>
      </c>
      <c r="J1152" s="43">
        <f>IF($C1152="","",IFERROR(INDEX(DESPACHOS!$J$3:$J$3002,MATCH($C1152,DESPACHOS!$B$3:$B$3002,0)),""))</f>
        <v/>
      </c>
      <c r="K1152" s="39">
        <f>IF($C1152="","",IF(COUNTIFS(DESPACHOS!$B$3:$B$3002,$C1152)=0,"NO EXISTE",IF(COUNTIFS(DESPACHOS!$B$3:$B$3002,$C1152)&gt;1,"DUPLICADO","OK")))</f>
        <v/>
      </c>
      <c r="L1152" s="41" t="n"/>
      <c r="M1152" s="41" t="n"/>
      <c r="N1152" s="42">
        <f>IF($M1152="","",IFERROR(INDEX(LISTAS!$F$3:$F$42,MATCH($M1152,LISTAS!$E$3:$E$42,0)),"Por definir"))</f>
        <v/>
      </c>
      <c r="O1152" s="41" t="n"/>
      <c r="P1152" s="39">
        <f>IF($L1152="","",IFERROR(INDEX(LISTAS!$B$3:$B$42,MATCH($L1152,LISTAS!$A$3:$A$42,0)),"Media"))</f>
        <v/>
      </c>
      <c r="Q1152" s="44" t="n"/>
      <c r="R1152" s="45" t="n"/>
      <c r="S1152" s="20">
        <f>IFERROR(IF(OR($R1152="",$C1152=""),"",$R1152/INDEX(DESPACHOS!$M$3:$M$3002,MATCH($C1152,DESPACHOS!$B$3:$B$3002,0))),"")</f>
        <v/>
      </c>
      <c r="T1152" s="41" t="n"/>
      <c r="U1152" s="43">
        <f>IF(OR($B1152="",$L1152=""),"",WORKDAY($B1152,IFERROR(INDEX(LISTAS!$C$3:$C$42,MATCH($L1152,LISTAS!$A$3:$A$42,0)),3)))</f>
        <v/>
      </c>
      <c r="V1152" s="40" t="n"/>
      <c r="W1152" s="19">
        <f>IF($B1152="","",IF($V1152&lt;&gt;"",$V1152-$B1152,TODAY()-$B1152))</f>
        <v/>
      </c>
      <c r="X1152" s="19">
        <f>IF(OR($B1152="",$U1152=""),"",IF($V1152&lt;&gt;"",MAX(0,$V1152-$U1152),MAX(0,TODAY()-$U1152)))</f>
        <v/>
      </c>
      <c r="Y1152" s="39">
        <f>IF($C1152="","",IF(IFERROR(INDEX(LISTAS!$I$3:$I$42,MATCH($T1152,LISTAS!$H$3:$H$42,0)),"NO")="SÍ",IF(N($X1152)&gt;0,"CERRADA FUERA DE SLA","CERRADA EN SLA"),IF($U1152="","SIN CLASIFICAR",IF(N($X1152)&gt;0,"VENCIDA",IF(TODAY()&gt;=$U1152-1,"POR VENCER","EN PLAZO")))))</f>
        <v/>
      </c>
      <c r="Z1152" s="41" t="n"/>
      <c r="AA1152" s="41" t="n"/>
      <c r="AB1152" s="41" t="n"/>
    </row>
    <row r="1153">
      <c r="A1153" s="39">
        <f>IF($C1153="","","NOV-"&amp;TEXT(ROW()-3,"0000"))</f>
        <v/>
      </c>
      <c r="B1153" s="40" t="n"/>
      <c r="C1153" s="41" t="n"/>
      <c r="D1153" s="42">
        <f>IF($C1153="","",IFERROR(INDEX(DESPACHOS!$D$3:$D$3002,MATCH($C1153,DESPACHOS!$B$3:$B$3002,0)),"SIN DESPACHO"))</f>
        <v/>
      </c>
      <c r="E1153" s="42">
        <f>IF($C1153="","",IFERROR(INDEX(DESPACHOS!$K$3:$K$3002,MATCH($C1153,DESPACHOS!$B$3:$B$3002,0)),""))</f>
        <v/>
      </c>
      <c r="F1153" s="42">
        <f>IF($C1153="","",IFERROR(INDEX(DESPACHOS!$I$3:$I$3002,MATCH($C1153,DESPACHOS!$B$3:$B$3002,0)),""))</f>
        <v/>
      </c>
      <c r="G1153" s="42">
        <f>IF($C1153="","",IFERROR(INDEX(DESPACHOS!$F$3:$F$3002,MATCH($C1153,DESPACHOS!$B$3:$B$3002,0)),""))</f>
        <v/>
      </c>
      <c r="H1153" s="42">
        <f>IF($C1153="","",IFERROR(INDEX(DESPACHOS!$G$3:$G$3002,MATCH($C1153,DESPACHOS!$B$3:$B$3002,0)),""))</f>
        <v/>
      </c>
      <c r="I1153" s="39">
        <f>IF($C1153="","",IFERROR(INDEX(DESPACHOS!$H$3:$H$3002,MATCH($C1153,DESPACHOS!$B$3:$B$3002,0)),""))</f>
        <v/>
      </c>
      <c r="J1153" s="43">
        <f>IF($C1153="","",IFERROR(INDEX(DESPACHOS!$J$3:$J$3002,MATCH($C1153,DESPACHOS!$B$3:$B$3002,0)),""))</f>
        <v/>
      </c>
      <c r="K1153" s="39">
        <f>IF($C1153="","",IF(COUNTIFS(DESPACHOS!$B$3:$B$3002,$C1153)=0,"NO EXISTE",IF(COUNTIFS(DESPACHOS!$B$3:$B$3002,$C1153)&gt;1,"DUPLICADO","OK")))</f>
        <v/>
      </c>
      <c r="L1153" s="41" t="n"/>
      <c r="M1153" s="41" t="n"/>
      <c r="N1153" s="42">
        <f>IF($M1153="","",IFERROR(INDEX(LISTAS!$F$3:$F$42,MATCH($M1153,LISTAS!$E$3:$E$42,0)),"Por definir"))</f>
        <v/>
      </c>
      <c r="O1153" s="41" t="n"/>
      <c r="P1153" s="39">
        <f>IF($L1153="","",IFERROR(INDEX(LISTAS!$B$3:$B$42,MATCH($L1153,LISTAS!$A$3:$A$42,0)),"Media"))</f>
        <v/>
      </c>
      <c r="Q1153" s="44" t="n"/>
      <c r="R1153" s="45" t="n"/>
      <c r="S1153" s="20">
        <f>IFERROR(IF(OR($R1153="",$C1153=""),"",$R1153/INDEX(DESPACHOS!$M$3:$M$3002,MATCH($C1153,DESPACHOS!$B$3:$B$3002,0))),"")</f>
        <v/>
      </c>
      <c r="T1153" s="41" t="n"/>
      <c r="U1153" s="43">
        <f>IF(OR($B1153="",$L1153=""),"",WORKDAY($B1153,IFERROR(INDEX(LISTAS!$C$3:$C$42,MATCH($L1153,LISTAS!$A$3:$A$42,0)),3)))</f>
        <v/>
      </c>
      <c r="V1153" s="40" t="n"/>
      <c r="W1153" s="19">
        <f>IF($B1153="","",IF($V1153&lt;&gt;"",$V1153-$B1153,TODAY()-$B1153))</f>
        <v/>
      </c>
      <c r="X1153" s="19">
        <f>IF(OR($B1153="",$U1153=""),"",IF($V1153&lt;&gt;"",MAX(0,$V1153-$U1153),MAX(0,TODAY()-$U1153)))</f>
        <v/>
      </c>
      <c r="Y1153" s="39">
        <f>IF($C1153="","",IF(IFERROR(INDEX(LISTAS!$I$3:$I$42,MATCH($T1153,LISTAS!$H$3:$H$42,0)),"NO")="SÍ",IF(N($X1153)&gt;0,"CERRADA FUERA DE SLA","CERRADA EN SLA"),IF($U1153="","SIN CLASIFICAR",IF(N($X1153)&gt;0,"VENCIDA",IF(TODAY()&gt;=$U1153-1,"POR VENCER","EN PLAZO")))))</f>
        <v/>
      </c>
      <c r="Z1153" s="41" t="n"/>
      <c r="AA1153" s="41" t="n"/>
      <c r="AB1153" s="41" t="n"/>
    </row>
    <row r="1154">
      <c r="A1154" s="39">
        <f>IF($C1154="","","NOV-"&amp;TEXT(ROW()-3,"0000"))</f>
        <v/>
      </c>
      <c r="B1154" s="40" t="n"/>
      <c r="C1154" s="41" t="n"/>
      <c r="D1154" s="42">
        <f>IF($C1154="","",IFERROR(INDEX(DESPACHOS!$D$3:$D$3002,MATCH($C1154,DESPACHOS!$B$3:$B$3002,0)),"SIN DESPACHO"))</f>
        <v/>
      </c>
      <c r="E1154" s="42">
        <f>IF($C1154="","",IFERROR(INDEX(DESPACHOS!$K$3:$K$3002,MATCH($C1154,DESPACHOS!$B$3:$B$3002,0)),""))</f>
        <v/>
      </c>
      <c r="F1154" s="42">
        <f>IF($C1154="","",IFERROR(INDEX(DESPACHOS!$I$3:$I$3002,MATCH($C1154,DESPACHOS!$B$3:$B$3002,0)),""))</f>
        <v/>
      </c>
      <c r="G1154" s="42">
        <f>IF($C1154="","",IFERROR(INDEX(DESPACHOS!$F$3:$F$3002,MATCH($C1154,DESPACHOS!$B$3:$B$3002,0)),""))</f>
        <v/>
      </c>
      <c r="H1154" s="42">
        <f>IF($C1154="","",IFERROR(INDEX(DESPACHOS!$G$3:$G$3002,MATCH($C1154,DESPACHOS!$B$3:$B$3002,0)),""))</f>
        <v/>
      </c>
      <c r="I1154" s="39">
        <f>IF($C1154="","",IFERROR(INDEX(DESPACHOS!$H$3:$H$3002,MATCH($C1154,DESPACHOS!$B$3:$B$3002,0)),""))</f>
        <v/>
      </c>
      <c r="J1154" s="43">
        <f>IF($C1154="","",IFERROR(INDEX(DESPACHOS!$J$3:$J$3002,MATCH($C1154,DESPACHOS!$B$3:$B$3002,0)),""))</f>
        <v/>
      </c>
      <c r="K1154" s="39">
        <f>IF($C1154="","",IF(COUNTIFS(DESPACHOS!$B$3:$B$3002,$C1154)=0,"NO EXISTE",IF(COUNTIFS(DESPACHOS!$B$3:$B$3002,$C1154)&gt;1,"DUPLICADO","OK")))</f>
        <v/>
      </c>
      <c r="L1154" s="41" t="n"/>
      <c r="M1154" s="41" t="n"/>
      <c r="N1154" s="42">
        <f>IF($M1154="","",IFERROR(INDEX(LISTAS!$F$3:$F$42,MATCH($M1154,LISTAS!$E$3:$E$42,0)),"Por definir"))</f>
        <v/>
      </c>
      <c r="O1154" s="41" t="n"/>
      <c r="P1154" s="39">
        <f>IF($L1154="","",IFERROR(INDEX(LISTAS!$B$3:$B$42,MATCH($L1154,LISTAS!$A$3:$A$42,0)),"Media"))</f>
        <v/>
      </c>
      <c r="Q1154" s="44" t="n"/>
      <c r="R1154" s="45" t="n"/>
      <c r="S1154" s="20">
        <f>IFERROR(IF(OR($R1154="",$C1154=""),"",$R1154/INDEX(DESPACHOS!$M$3:$M$3002,MATCH($C1154,DESPACHOS!$B$3:$B$3002,0))),"")</f>
        <v/>
      </c>
      <c r="T1154" s="41" t="n"/>
      <c r="U1154" s="43">
        <f>IF(OR($B1154="",$L1154=""),"",WORKDAY($B1154,IFERROR(INDEX(LISTAS!$C$3:$C$42,MATCH($L1154,LISTAS!$A$3:$A$42,0)),3)))</f>
        <v/>
      </c>
      <c r="V1154" s="40" t="n"/>
      <c r="W1154" s="19">
        <f>IF($B1154="","",IF($V1154&lt;&gt;"",$V1154-$B1154,TODAY()-$B1154))</f>
        <v/>
      </c>
      <c r="X1154" s="19">
        <f>IF(OR($B1154="",$U1154=""),"",IF($V1154&lt;&gt;"",MAX(0,$V1154-$U1154),MAX(0,TODAY()-$U1154)))</f>
        <v/>
      </c>
      <c r="Y1154" s="39">
        <f>IF($C1154="","",IF(IFERROR(INDEX(LISTAS!$I$3:$I$42,MATCH($T1154,LISTAS!$H$3:$H$42,0)),"NO")="SÍ",IF(N($X1154)&gt;0,"CERRADA FUERA DE SLA","CERRADA EN SLA"),IF($U1154="","SIN CLASIFICAR",IF(N($X1154)&gt;0,"VENCIDA",IF(TODAY()&gt;=$U1154-1,"POR VENCER","EN PLAZO")))))</f>
        <v/>
      </c>
      <c r="Z1154" s="41" t="n"/>
      <c r="AA1154" s="41" t="n"/>
      <c r="AB1154" s="41" t="n"/>
    </row>
    <row r="1155">
      <c r="A1155" s="39">
        <f>IF($C1155="","","NOV-"&amp;TEXT(ROW()-3,"0000"))</f>
        <v/>
      </c>
      <c r="B1155" s="40" t="n"/>
      <c r="C1155" s="41" t="n"/>
      <c r="D1155" s="42">
        <f>IF($C1155="","",IFERROR(INDEX(DESPACHOS!$D$3:$D$3002,MATCH($C1155,DESPACHOS!$B$3:$B$3002,0)),"SIN DESPACHO"))</f>
        <v/>
      </c>
      <c r="E1155" s="42">
        <f>IF($C1155="","",IFERROR(INDEX(DESPACHOS!$K$3:$K$3002,MATCH($C1155,DESPACHOS!$B$3:$B$3002,0)),""))</f>
        <v/>
      </c>
      <c r="F1155" s="42">
        <f>IF($C1155="","",IFERROR(INDEX(DESPACHOS!$I$3:$I$3002,MATCH($C1155,DESPACHOS!$B$3:$B$3002,0)),""))</f>
        <v/>
      </c>
      <c r="G1155" s="42">
        <f>IF($C1155="","",IFERROR(INDEX(DESPACHOS!$F$3:$F$3002,MATCH($C1155,DESPACHOS!$B$3:$B$3002,0)),""))</f>
        <v/>
      </c>
      <c r="H1155" s="42">
        <f>IF($C1155="","",IFERROR(INDEX(DESPACHOS!$G$3:$G$3002,MATCH($C1155,DESPACHOS!$B$3:$B$3002,0)),""))</f>
        <v/>
      </c>
      <c r="I1155" s="39">
        <f>IF($C1155="","",IFERROR(INDEX(DESPACHOS!$H$3:$H$3002,MATCH($C1155,DESPACHOS!$B$3:$B$3002,0)),""))</f>
        <v/>
      </c>
      <c r="J1155" s="43">
        <f>IF($C1155="","",IFERROR(INDEX(DESPACHOS!$J$3:$J$3002,MATCH($C1155,DESPACHOS!$B$3:$B$3002,0)),""))</f>
        <v/>
      </c>
      <c r="K1155" s="39">
        <f>IF($C1155="","",IF(COUNTIFS(DESPACHOS!$B$3:$B$3002,$C1155)=0,"NO EXISTE",IF(COUNTIFS(DESPACHOS!$B$3:$B$3002,$C1155)&gt;1,"DUPLICADO","OK")))</f>
        <v/>
      </c>
      <c r="L1155" s="41" t="n"/>
      <c r="M1155" s="41" t="n"/>
      <c r="N1155" s="42">
        <f>IF($M1155="","",IFERROR(INDEX(LISTAS!$F$3:$F$42,MATCH($M1155,LISTAS!$E$3:$E$42,0)),"Por definir"))</f>
        <v/>
      </c>
      <c r="O1155" s="41" t="n"/>
      <c r="P1155" s="39">
        <f>IF($L1155="","",IFERROR(INDEX(LISTAS!$B$3:$B$42,MATCH($L1155,LISTAS!$A$3:$A$42,0)),"Media"))</f>
        <v/>
      </c>
      <c r="Q1155" s="44" t="n"/>
      <c r="R1155" s="45" t="n"/>
      <c r="S1155" s="20">
        <f>IFERROR(IF(OR($R1155="",$C1155=""),"",$R1155/INDEX(DESPACHOS!$M$3:$M$3002,MATCH($C1155,DESPACHOS!$B$3:$B$3002,0))),"")</f>
        <v/>
      </c>
      <c r="T1155" s="41" t="n"/>
      <c r="U1155" s="43">
        <f>IF(OR($B1155="",$L1155=""),"",WORKDAY($B1155,IFERROR(INDEX(LISTAS!$C$3:$C$42,MATCH($L1155,LISTAS!$A$3:$A$42,0)),3)))</f>
        <v/>
      </c>
      <c r="V1155" s="40" t="n"/>
      <c r="W1155" s="19">
        <f>IF($B1155="","",IF($V1155&lt;&gt;"",$V1155-$B1155,TODAY()-$B1155))</f>
        <v/>
      </c>
      <c r="X1155" s="19">
        <f>IF(OR($B1155="",$U1155=""),"",IF($V1155&lt;&gt;"",MAX(0,$V1155-$U1155),MAX(0,TODAY()-$U1155)))</f>
        <v/>
      </c>
      <c r="Y1155" s="39">
        <f>IF($C1155="","",IF(IFERROR(INDEX(LISTAS!$I$3:$I$42,MATCH($T1155,LISTAS!$H$3:$H$42,0)),"NO")="SÍ",IF(N($X1155)&gt;0,"CERRADA FUERA DE SLA","CERRADA EN SLA"),IF($U1155="","SIN CLASIFICAR",IF(N($X1155)&gt;0,"VENCIDA",IF(TODAY()&gt;=$U1155-1,"POR VENCER","EN PLAZO")))))</f>
        <v/>
      </c>
      <c r="Z1155" s="41" t="n"/>
      <c r="AA1155" s="41" t="n"/>
      <c r="AB1155" s="41" t="n"/>
    </row>
    <row r="1156">
      <c r="A1156" s="39">
        <f>IF($C1156="","","NOV-"&amp;TEXT(ROW()-3,"0000"))</f>
        <v/>
      </c>
      <c r="B1156" s="40" t="n"/>
      <c r="C1156" s="41" t="n"/>
      <c r="D1156" s="42">
        <f>IF($C1156="","",IFERROR(INDEX(DESPACHOS!$D$3:$D$3002,MATCH($C1156,DESPACHOS!$B$3:$B$3002,0)),"SIN DESPACHO"))</f>
        <v/>
      </c>
      <c r="E1156" s="42">
        <f>IF($C1156="","",IFERROR(INDEX(DESPACHOS!$K$3:$K$3002,MATCH($C1156,DESPACHOS!$B$3:$B$3002,0)),""))</f>
        <v/>
      </c>
      <c r="F1156" s="42">
        <f>IF($C1156="","",IFERROR(INDEX(DESPACHOS!$I$3:$I$3002,MATCH($C1156,DESPACHOS!$B$3:$B$3002,0)),""))</f>
        <v/>
      </c>
      <c r="G1156" s="42">
        <f>IF($C1156="","",IFERROR(INDEX(DESPACHOS!$F$3:$F$3002,MATCH($C1156,DESPACHOS!$B$3:$B$3002,0)),""))</f>
        <v/>
      </c>
      <c r="H1156" s="42">
        <f>IF($C1156="","",IFERROR(INDEX(DESPACHOS!$G$3:$G$3002,MATCH($C1156,DESPACHOS!$B$3:$B$3002,0)),""))</f>
        <v/>
      </c>
      <c r="I1156" s="39">
        <f>IF($C1156="","",IFERROR(INDEX(DESPACHOS!$H$3:$H$3002,MATCH($C1156,DESPACHOS!$B$3:$B$3002,0)),""))</f>
        <v/>
      </c>
      <c r="J1156" s="43">
        <f>IF($C1156="","",IFERROR(INDEX(DESPACHOS!$J$3:$J$3002,MATCH($C1156,DESPACHOS!$B$3:$B$3002,0)),""))</f>
        <v/>
      </c>
      <c r="K1156" s="39">
        <f>IF($C1156="","",IF(COUNTIFS(DESPACHOS!$B$3:$B$3002,$C1156)=0,"NO EXISTE",IF(COUNTIFS(DESPACHOS!$B$3:$B$3002,$C1156)&gt;1,"DUPLICADO","OK")))</f>
        <v/>
      </c>
      <c r="L1156" s="41" t="n"/>
      <c r="M1156" s="41" t="n"/>
      <c r="N1156" s="42">
        <f>IF($M1156="","",IFERROR(INDEX(LISTAS!$F$3:$F$42,MATCH($M1156,LISTAS!$E$3:$E$42,0)),"Por definir"))</f>
        <v/>
      </c>
      <c r="O1156" s="41" t="n"/>
      <c r="P1156" s="39">
        <f>IF($L1156="","",IFERROR(INDEX(LISTAS!$B$3:$B$42,MATCH($L1156,LISTAS!$A$3:$A$42,0)),"Media"))</f>
        <v/>
      </c>
      <c r="Q1156" s="44" t="n"/>
      <c r="R1156" s="45" t="n"/>
      <c r="S1156" s="20">
        <f>IFERROR(IF(OR($R1156="",$C1156=""),"",$R1156/INDEX(DESPACHOS!$M$3:$M$3002,MATCH($C1156,DESPACHOS!$B$3:$B$3002,0))),"")</f>
        <v/>
      </c>
      <c r="T1156" s="41" t="n"/>
      <c r="U1156" s="43">
        <f>IF(OR($B1156="",$L1156=""),"",WORKDAY($B1156,IFERROR(INDEX(LISTAS!$C$3:$C$42,MATCH($L1156,LISTAS!$A$3:$A$42,0)),3)))</f>
        <v/>
      </c>
      <c r="V1156" s="40" t="n"/>
      <c r="W1156" s="19">
        <f>IF($B1156="","",IF($V1156&lt;&gt;"",$V1156-$B1156,TODAY()-$B1156))</f>
        <v/>
      </c>
      <c r="X1156" s="19">
        <f>IF(OR($B1156="",$U1156=""),"",IF($V1156&lt;&gt;"",MAX(0,$V1156-$U1156),MAX(0,TODAY()-$U1156)))</f>
        <v/>
      </c>
      <c r="Y1156" s="39">
        <f>IF($C1156="","",IF(IFERROR(INDEX(LISTAS!$I$3:$I$42,MATCH($T1156,LISTAS!$H$3:$H$42,0)),"NO")="SÍ",IF(N($X1156)&gt;0,"CERRADA FUERA DE SLA","CERRADA EN SLA"),IF($U1156="","SIN CLASIFICAR",IF(N($X1156)&gt;0,"VENCIDA",IF(TODAY()&gt;=$U1156-1,"POR VENCER","EN PLAZO")))))</f>
        <v/>
      </c>
      <c r="Z1156" s="41" t="n"/>
      <c r="AA1156" s="41" t="n"/>
      <c r="AB1156" s="41" t="n"/>
    </row>
    <row r="1157">
      <c r="A1157" s="39">
        <f>IF($C1157="","","NOV-"&amp;TEXT(ROW()-3,"0000"))</f>
        <v/>
      </c>
      <c r="B1157" s="40" t="n"/>
      <c r="C1157" s="41" t="n"/>
      <c r="D1157" s="42">
        <f>IF($C1157="","",IFERROR(INDEX(DESPACHOS!$D$3:$D$3002,MATCH($C1157,DESPACHOS!$B$3:$B$3002,0)),"SIN DESPACHO"))</f>
        <v/>
      </c>
      <c r="E1157" s="42">
        <f>IF($C1157="","",IFERROR(INDEX(DESPACHOS!$K$3:$K$3002,MATCH($C1157,DESPACHOS!$B$3:$B$3002,0)),""))</f>
        <v/>
      </c>
      <c r="F1157" s="42">
        <f>IF($C1157="","",IFERROR(INDEX(DESPACHOS!$I$3:$I$3002,MATCH($C1157,DESPACHOS!$B$3:$B$3002,0)),""))</f>
        <v/>
      </c>
      <c r="G1157" s="42">
        <f>IF($C1157="","",IFERROR(INDEX(DESPACHOS!$F$3:$F$3002,MATCH($C1157,DESPACHOS!$B$3:$B$3002,0)),""))</f>
        <v/>
      </c>
      <c r="H1157" s="42">
        <f>IF($C1157="","",IFERROR(INDEX(DESPACHOS!$G$3:$G$3002,MATCH($C1157,DESPACHOS!$B$3:$B$3002,0)),""))</f>
        <v/>
      </c>
      <c r="I1157" s="39">
        <f>IF($C1157="","",IFERROR(INDEX(DESPACHOS!$H$3:$H$3002,MATCH($C1157,DESPACHOS!$B$3:$B$3002,0)),""))</f>
        <v/>
      </c>
      <c r="J1157" s="43">
        <f>IF($C1157="","",IFERROR(INDEX(DESPACHOS!$J$3:$J$3002,MATCH($C1157,DESPACHOS!$B$3:$B$3002,0)),""))</f>
        <v/>
      </c>
      <c r="K1157" s="39">
        <f>IF($C1157="","",IF(COUNTIFS(DESPACHOS!$B$3:$B$3002,$C1157)=0,"NO EXISTE",IF(COUNTIFS(DESPACHOS!$B$3:$B$3002,$C1157)&gt;1,"DUPLICADO","OK")))</f>
        <v/>
      </c>
      <c r="L1157" s="41" t="n"/>
      <c r="M1157" s="41" t="n"/>
      <c r="N1157" s="42">
        <f>IF($M1157="","",IFERROR(INDEX(LISTAS!$F$3:$F$42,MATCH($M1157,LISTAS!$E$3:$E$42,0)),"Por definir"))</f>
        <v/>
      </c>
      <c r="O1157" s="41" t="n"/>
      <c r="P1157" s="39">
        <f>IF($L1157="","",IFERROR(INDEX(LISTAS!$B$3:$B$42,MATCH($L1157,LISTAS!$A$3:$A$42,0)),"Media"))</f>
        <v/>
      </c>
      <c r="Q1157" s="44" t="n"/>
      <c r="R1157" s="45" t="n"/>
      <c r="S1157" s="20">
        <f>IFERROR(IF(OR($R1157="",$C1157=""),"",$R1157/INDEX(DESPACHOS!$M$3:$M$3002,MATCH($C1157,DESPACHOS!$B$3:$B$3002,0))),"")</f>
        <v/>
      </c>
      <c r="T1157" s="41" t="n"/>
      <c r="U1157" s="43">
        <f>IF(OR($B1157="",$L1157=""),"",WORKDAY($B1157,IFERROR(INDEX(LISTAS!$C$3:$C$42,MATCH($L1157,LISTAS!$A$3:$A$42,0)),3)))</f>
        <v/>
      </c>
      <c r="V1157" s="40" t="n"/>
      <c r="W1157" s="19">
        <f>IF($B1157="","",IF($V1157&lt;&gt;"",$V1157-$B1157,TODAY()-$B1157))</f>
        <v/>
      </c>
      <c r="X1157" s="19">
        <f>IF(OR($B1157="",$U1157=""),"",IF($V1157&lt;&gt;"",MAX(0,$V1157-$U1157),MAX(0,TODAY()-$U1157)))</f>
        <v/>
      </c>
      <c r="Y1157" s="39">
        <f>IF($C1157="","",IF(IFERROR(INDEX(LISTAS!$I$3:$I$42,MATCH($T1157,LISTAS!$H$3:$H$42,0)),"NO")="SÍ",IF(N($X1157)&gt;0,"CERRADA FUERA DE SLA","CERRADA EN SLA"),IF($U1157="","SIN CLASIFICAR",IF(N($X1157)&gt;0,"VENCIDA",IF(TODAY()&gt;=$U1157-1,"POR VENCER","EN PLAZO")))))</f>
        <v/>
      </c>
      <c r="Z1157" s="41" t="n"/>
      <c r="AA1157" s="41" t="n"/>
      <c r="AB1157" s="41" t="n"/>
    </row>
    <row r="1158">
      <c r="A1158" s="39">
        <f>IF($C1158="","","NOV-"&amp;TEXT(ROW()-3,"0000"))</f>
        <v/>
      </c>
      <c r="B1158" s="40" t="n"/>
      <c r="C1158" s="41" t="n"/>
      <c r="D1158" s="42">
        <f>IF($C1158="","",IFERROR(INDEX(DESPACHOS!$D$3:$D$3002,MATCH($C1158,DESPACHOS!$B$3:$B$3002,0)),"SIN DESPACHO"))</f>
        <v/>
      </c>
      <c r="E1158" s="42">
        <f>IF($C1158="","",IFERROR(INDEX(DESPACHOS!$K$3:$K$3002,MATCH($C1158,DESPACHOS!$B$3:$B$3002,0)),""))</f>
        <v/>
      </c>
      <c r="F1158" s="42">
        <f>IF($C1158="","",IFERROR(INDEX(DESPACHOS!$I$3:$I$3002,MATCH($C1158,DESPACHOS!$B$3:$B$3002,0)),""))</f>
        <v/>
      </c>
      <c r="G1158" s="42">
        <f>IF($C1158="","",IFERROR(INDEX(DESPACHOS!$F$3:$F$3002,MATCH($C1158,DESPACHOS!$B$3:$B$3002,0)),""))</f>
        <v/>
      </c>
      <c r="H1158" s="42">
        <f>IF($C1158="","",IFERROR(INDEX(DESPACHOS!$G$3:$G$3002,MATCH($C1158,DESPACHOS!$B$3:$B$3002,0)),""))</f>
        <v/>
      </c>
      <c r="I1158" s="39">
        <f>IF($C1158="","",IFERROR(INDEX(DESPACHOS!$H$3:$H$3002,MATCH($C1158,DESPACHOS!$B$3:$B$3002,0)),""))</f>
        <v/>
      </c>
      <c r="J1158" s="43">
        <f>IF($C1158="","",IFERROR(INDEX(DESPACHOS!$J$3:$J$3002,MATCH($C1158,DESPACHOS!$B$3:$B$3002,0)),""))</f>
        <v/>
      </c>
      <c r="K1158" s="39">
        <f>IF($C1158="","",IF(COUNTIFS(DESPACHOS!$B$3:$B$3002,$C1158)=0,"NO EXISTE",IF(COUNTIFS(DESPACHOS!$B$3:$B$3002,$C1158)&gt;1,"DUPLICADO","OK")))</f>
        <v/>
      </c>
      <c r="L1158" s="41" t="n"/>
      <c r="M1158" s="41" t="n"/>
      <c r="N1158" s="42">
        <f>IF($M1158="","",IFERROR(INDEX(LISTAS!$F$3:$F$42,MATCH($M1158,LISTAS!$E$3:$E$42,0)),"Por definir"))</f>
        <v/>
      </c>
      <c r="O1158" s="41" t="n"/>
      <c r="P1158" s="39">
        <f>IF($L1158="","",IFERROR(INDEX(LISTAS!$B$3:$B$42,MATCH($L1158,LISTAS!$A$3:$A$42,0)),"Media"))</f>
        <v/>
      </c>
      <c r="Q1158" s="44" t="n"/>
      <c r="R1158" s="45" t="n"/>
      <c r="S1158" s="20">
        <f>IFERROR(IF(OR($R1158="",$C1158=""),"",$R1158/INDEX(DESPACHOS!$M$3:$M$3002,MATCH($C1158,DESPACHOS!$B$3:$B$3002,0))),"")</f>
        <v/>
      </c>
      <c r="T1158" s="41" t="n"/>
      <c r="U1158" s="43">
        <f>IF(OR($B1158="",$L1158=""),"",WORKDAY($B1158,IFERROR(INDEX(LISTAS!$C$3:$C$42,MATCH($L1158,LISTAS!$A$3:$A$42,0)),3)))</f>
        <v/>
      </c>
      <c r="V1158" s="40" t="n"/>
      <c r="W1158" s="19">
        <f>IF($B1158="","",IF($V1158&lt;&gt;"",$V1158-$B1158,TODAY()-$B1158))</f>
        <v/>
      </c>
      <c r="X1158" s="19">
        <f>IF(OR($B1158="",$U1158=""),"",IF($V1158&lt;&gt;"",MAX(0,$V1158-$U1158),MAX(0,TODAY()-$U1158)))</f>
        <v/>
      </c>
      <c r="Y1158" s="39">
        <f>IF($C1158="","",IF(IFERROR(INDEX(LISTAS!$I$3:$I$42,MATCH($T1158,LISTAS!$H$3:$H$42,0)),"NO")="SÍ",IF(N($X1158)&gt;0,"CERRADA FUERA DE SLA","CERRADA EN SLA"),IF($U1158="","SIN CLASIFICAR",IF(N($X1158)&gt;0,"VENCIDA",IF(TODAY()&gt;=$U1158-1,"POR VENCER","EN PLAZO")))))</f>
        <v/>
      </c>
      <c r="Z1158" s="41" t="n"/>
      <c r="AA1158" s="41" t="n"/>
      <c r="AB1158" s="41" t="n"/>
    </row>
    <row r="1159">
      <c r="A1159" s="39">
        <f>IF($C1159="","","NOV-"&amp;TEXT(ROW()-3,"0000"))</f>
        <v/>
      </c>
      <c r="B1159" s="40" t="n"/>
      <c r="C1159" s="41" t="n"/>
      <c r="D1159" s="42">
        <f>IF($C1159="","",IFERROR(INDEX(DESPACHOS!$D$3:$D$3002,MATCH($C1159,DESPACHOS!$B$3:$B$3002,0)),"SIN DESPACHO"))</f>
        <v/>
      </c>
      <c r="E1159" s="42">
        <f>IF($C1159="","",IFERROR(INDEX(DESPACHOS!$K$3:$K$3002,MATCH($C1159,DESPACHOS!$B$3:$B$3002,0)),""))</f>
        <v/>
      </c>
      <c r="F1159" s="42">
        <f>IF($C1159="","",IFERROR(INDEX(DESPACHOS!$I$3:$I$3002,MATCH($C1159,DESPACHOS!$B$3:$B$3002,0)),""))</f>
        <v/>
      </c>
      <c r="G1159" s="42">
        <f>IF($C1159="","",IFERROR(INDEX(DESPACHOS!$F$3:$F$3002,MATCH($C1159,DESPACHOS!$B$3:$B$3002,0)),""))</f>
        <v/>
      </c>
      <c r="H1159" s="42">
        <f>IF($C1159="","",IFERROR(INDEX(DESPACHOS!$G$3:$G$3002,MATCH($C1159,DESPACHOS!$B$3:$B$3002,0)),""))</f>
        <v/>
      </c>
      <c r="I1159" s="39">
        <f>IF($C1159="","",IFERROR(INDEX(DESPACHOS!$H$3:$H$3002,MATCH($C1159,DESPACHOS!$B$3:$B$3002,0)),""))</f>
        <v/>
      </c>
      <c r="J1159" s="43">
        <f>IF($C1159="","",IFERROR(INDEX(DESPACHOS!$J$3:$J$3002,MATCH($C1159,DESPACHOS!$B$3:$B$3002,0)),""))</f>
        <v/>
      </c>
      <c r="K1159" s="39">
        <f>IF($C1159="","",IF(COUNTIFS(DESPACHOS!$B$3:$B$3002,$C1159)=0,"NO EXISTE",IF(COUNTIFS(DESPACHOS!$B$3:$B$3002,$C1159)&gt;1,"DUPLICADO","OK")))</f>
        <v/>
      </c>
      <c r="L1159" s="41" t="n"/>
      <c r="M1159" s="41" t="n"/>
      <c r="N1159" s="42">
        <f>IF($M1159="","",IFERROR(INDEX(LISTAS!$F$3:$F$42,MATCH($M1159,LISTAS!$E$3:$E$42,0)),"Por definir"))</f>
        <v/>
      </c>
      <c r="O1159" s="41" t="n"/>
      <c r="P1159" s="39">
        <f>IF($L1159="","",IFERROR(INDEX(LISTAS!$B$3:$B$42,MATCH($L1159,LISTAS!$A$3:$A$42,0)),"Media"))</f>
        <v/>
      </c>
      <c r="Q1159" s="44" t="n"/>
      <c r="R1159" s="45" t="n"/>
      <c r="S1159" s="20">
        <f>IFERROR(IF(OR($R1159="",$C1159=""),"",$R1159/INDEX(DESPACHOS!$M$3:$M$3002,MATCH($C1159,DESPACHOS!$B$3:$B$3002,0))),"")</f>
        <v/>
      </c>
      <c r="T1159" s="41" t="n"/>
      <c r="U1159" s="43">
        <f>IF(OR($B1159="",$L1159=""),"",WORKDAY($B1159,IFERROR(INDEX(LISTAS!$C$3:$C$42,MATCH($L1159,LISTAS!$A$3:$A$42,0)),3)))</f>
        <v/>
      </c>
      <c r="V1159" s="40" t="n"/>
      <c r="W1159" s="19">
        <f>IF($B1159="","",IF($V1159&lt;&gt;"",$V1159-$B1159,TODAY()-$B1159))</f>
        <v/>
      </c>
      <c r="X1159" s="19">
        <f>IF(OR($B1159="",$U1159=""),"",IF($V1159&lt;&gt;"",MAX(0,$V1159-$U1159),MAX(0,TODAY()-$U1159)))</f>
        <v/>
      </c>
      <c r="Y1159" s="39">
        <f>IF($C1159="","",IF(IFERROR(INDEX(LISTAS!$I$3:$I$42,MATCH($T1159,LISTAS!$H$3:$H$42,0)),"NO")="SÍ",IF(N($X1159)&gt;0,"CERRADA FUERA DE SLA","CERRADA EN SLA"),IF($U1159="","SIN CLASIFICAR",IF(N($X1159)&gt;0,"VENCIDA",IF(TODAY()&gt;=$U1159-1,"POR VENCER","EN PLAZO")))))</f>
        <v/>
      </c>
      <c r="Z1159" s="41" t="n"/>
      <c r="AA1159" s="41" t="n"/>
      <c r="AB1159" s="41" t="n"/>
    </row>
    <row r="1160">
      <c r="A1160" s="39">
        <f>IF($C1160="","","NOV-"&amp;TEXT(ROW()-3,"0000"))</f>
        <v/>
      </c>
      <c r="B1160" s="40" t="n"/>
      <c r="C1160" s="41" t="n"/>
      <c r="D1160" s="42">
        <f>IF($C1160="","",IFERROR(INDEX(DESPACHOS!$D$3:$D$3002,MATCH($C1160,DESPACHOS!$B$3:$B$3002,0)),"SIN DESPACHO"))</f>
        <v/>
      </c>
      <c r="E1160" s="42">
        <f>IF($C1160="","",IFERROR(INDEX(DESPACHOS!$K$3:$K$3002,MATCH($C1160,DESPACHOS!$B$3:$B$3002,0)),""))</f>
        <v/>
      </c>
      <c r="F1160" s="42">
        <f>IF($C1160="","",IFERROR(INDEX(DESPACHOS!$I$3:$I$3002,MATCH($C1160,DESPACHOS!$B$3:$B$3002,0)),""))</f>
        <v/>
      </c>
      <c r="G1160" s="42">
        <f>IF($C1160="","",IFERROR(INDEX(DESPACHOS!$F$3:$F$3002,MATCH($C1160,DESPACHOS!$B$3:$B$3002,0)),""))</f>
        <v/>
      </c>
      <c r="H1160" s="42">
        <f>IF($C1160="","",IFERROR(INDEX(DESPACHOS!$G$3:$G$3002,MATCH($C1160,DESPACHOS!$B$3:$B$3002,0)),""))</f>
        <v/>
      </c>
      <c r="I1160" s="39">
        <f>IF($C1160="","",IFERROR(INDEX(DESPACHOS!$H$3:$H$3002,MATCH($C1160,DESPACHOS!$B$3:$B$3002,0)),""))</f>
        <v/>
      </c>
      <c r="J1160" s="43">
        <f>IF($C1160="","",IFERROR(INDEX(DESPACHOS!$J$3:$J$3002,MATCH($C1160,DESPACHOS!$B$3:$B$3002,0)),""))</f>
        <v/>
      </c>
      <c r="K1160" s="39">
        <f>IF($C1160="","",IF(COUNTIFS(DESPACHOS!$B$3:$B$3002,$C1160)=0,"NO EXISTE",IF(COUNTIFS(DESPACHOS!$B$3:$B$3002,$C1160)&gt;1,"DUPLICADO","OK")))</f>
        <v/>
      </c>
      <c r="L1160" s="41" t="n"/>
      <c r="M1160" s="41" t="n"/>
      <c r="N1160" s="42">
        <f>IF($M1160="","",IFERROR(INDEX(LISTAS!$F$3:$F$42,MATCH($M1160,LISTAS!$E$3:$E$42,0)),"Por definir"))</f>
        <v/>
      </c>
      <c r="O1160" s="41" t="n"/>
      <c r="P1160" s="39">
        <f>IF($L1160="","",IFERROR(INDEX(LISTAS!$B$3:$B$42,MATCH($L1160,LISTAS!$A$3:$A$42,0)),"Media"))</f>
        <v/>
      </c>
      <c r="Q1160" s="44" t="n"/>
      <c r="R1160" s="45" t="n"/>
      <c r="S1160" s="20">
        <f>IFERROR(IF(OR($R1160="",$C1160=""),"",$R1160/INDEX(DESPACHOS!$M$3:$M$3002,MATCH($C1160,DESPACHOS!$B$3:$B$3002,0))),"")</f>
        <v/>
      </c>
      <c r="T1160" s="41" t="n"/>
      <c r="U1160" s="43">
        <f>IF(OR($B1160="",$L1160=""),"",WORKDAY($B1160,IFERROR(INDEX(LISTAS!$C$3:$C$42,MATCH($L1160,LISTAS!$A$3:$A$42,0)),3)))</f>
        <v/>
      </c>
      <c r="V1160" s="40" t="n"/>
      <c r="W1160" s="19">
        <f>IF($B1160="","",IF($V1160&lt;&gt;"",$V1160-$B1160,TODAY()-$B1160))</f>
        <v/>
      </c>
      <c r="X1160" s="19">
        <f>IF(OR($B1160="",$U1160=""),"",IF($V1160&lt;&gt;"",MAX(0,$V1160-$U1160),MAX(0,TODAY()-$U1160)))</f>
        <v/>
      </c>
      <c r="Y1160" s="39">
        <f>IF($C1160="","",IF(IFERROR(INDEX(LISTAS!$I$3:$I$42,MATCH($T1160,LISTAS!$H$3:$H$42,0)),"NO")="SÍ",IF(N($X1160)&gt;0,"CERRADA FUERA DE SLA","CERRADA EN SLA"),IF($U1160="","SIN CLASIFICAR",IF(N($X1160)&gt;0,"VENCIDA",IF(TODAY()&gt;=$U1160-1,"POR VENCER","EN PLAZO")))))</f>
        <v/>
      </c>
      <c r="Z1160" s="41" t="n"/>
      <c r="AA1160" s="41" t="n"/>
      <c r="AB1160" s="41" t="n"/>
    </row>
    <row r="1161">
      <c r="A1161" s="39">
        <f>IF($C1161="","","NOV-"&amp;TEXT(ROW()-3,"0000"))</f>
        <v/>
      </c>
      <c r="B1161" s="40" t="n"/>
      <c r="C1161" s="41" t="n"/>
      <c r="D1161" s="42">
        <f>IF($C1161="","",IFERROR(INDEX(DESPACHOS!$D$3:$D$3002,MATCH($C1161,DESPACHOS!$B$3:$B$3002,0)),"SIN DESPACHO"))</f>
        <v/>
      </c>
      <c r="E1161" s="42">
        <f>IF($C1161="","",IFERROR(INDEX(DESPACHOS!$K$3:$K$3002,MATCH($C1161,DESPACHOS!$B$3:$B$3002,0)),""))</f>
        <v/>
      </c>
      <c r="F1161" s="42">
        <f>IF($C1161="","",IFERROR(INDEX(DESPACHOS!$I$3:$I$3002,MATCH($C1161,DESPACHOS!$B$3:$B$3002,0)),""))</f>
        <v/>
      </c>
      <c r="G1161" s="42">
        <f>IF($C1161="","",IFERROR(INDEX(DESPACHOS!$F$3:$F$3002,MATCH($C1161,DESPACHOS!$B$3:$B$3002,0)),""))</f>
        <v/>
      </c>
      <c r="H1161" s="42">
        <f>IF($C1161="","",IFERROR(INDEX(DESPACHOS!$G$3:$G$3002,MATCH($C1161,DESPACHOS!$B$3:$B$3002,0)),""))</f>
        <v/>
      </c>
      <c r="I1161" s="39">
        <f>IF($C1161="","",IFERROR(INDEX(DESPACHOS!$H$3:$H$3002,MATCH($C1161,DESPACHOS!$B$3:$B$3002,0)),""))</f>
        <v/>
      </c>
      <c r="J1161" s="43">
        <f>IF($C1161="","",IFERROR(INDEX(DESPACHOS!$J$3:$J$3002,MATCH($C1161,DESPACHOS!$B$3:$B$3002,0)),""))</f>
        <v/>
      </c>
      <c r="K1161" s="39">
        <f>IF($C1161="","",IF(COUNTIFS(DESPACHOS!$B$3:$B$3002,$C1161)=0,"NO EXISTE",IF(COUNTIFS(DESPACHOS!$B$3:$B$3002,$C1161)&gt;1,"DUPLICADO","OK")))</f>
        <v/>
      </c>
      <c r="L1161" s="41" t="n"/>
      <c r="M1161" s="41" t="n"/>
      <c r="N1161" s="42">
        <f>IF($M1161="","",IFERROR(INDEX(LISTAS!$F$3:$F$42,MATCH($M1161,LISTAS!$E$3:$E$42,0)),"Por definir"))</f>
        <v/>
      </c>
      <c r="O1161" s="41" t="n"/>
      <c r="P1161" s="39">
        <f>IF($L1161="","",IFERROR(INDEX(LISTAS!$B$3:$B$42,MATCH($L1161,LISTAS!$A$3:$A$42,0)),"Media"))</f>
        <v/>
      </c>
      <c r="Q1161" s="44" t="n"/>
      <c r="R1161" s="45" t="n"/>
      <c r="S1161" s="20">
        <f>IFERROR(IF(OR($R1161="",$C1161=""),"",$R1161/INDEX(DESPACHOS!$M$3:$M$3002,MATCH($C1161,DESPACHOS!$B$3:$B$3002,0))),"")</f>
        <v/>
      </c>
      <c r="T1161" s="41" t="n"/>
      <c r="U1161" s="43">
        <f>IF(OR($B1161="",$L1161=""),"",WORKDAY($B1161,IFERROR(INDEX(LISTAS!$C$3:$C$42,MATCH($L1161,LISTAS!$A$3:$A$42,0)),3)))</f>
        <v/>
      </c>
      <c r="V1161" s="40" t="n"/>
      <c r="W1161" s="19">
        <f>IF($B1161="","",IF($V1161&lt;&gt;"",$V1161-$B1161,TODAY()-$B1161))</f>
        <v/>
      </c>
      <c r="X1161" s="19">
        <f>IF(OR($B1161="",$U1161=""),"",IF($V1161&lt;&gt;"",MAX(0,$V1161-$U1161),MAX(0,TODAY()-$U1161)))</f>
        <v/>
      </c>
      <c r="Y1161" s="39">
        <f>IF($C1161="","",IF(IFERROR(INDEX(LISTAS!$I$3:$I$42,MATCH($T1161,LISTAS!$H$3:$H$42,0)),"NO")="SÍ",IF(N($X1161)&gt;0,"CERRADA FUERA DE SLA","CERRADA EN SLA"),IF($U1161="","SIN CLASIFICAR",IF(N($X1161)&gt;0,"VENCIDA",IF(TODAY()&gt;=$U1161-1,"POR VENCER","EN PLAZO")))))</f>
        <v/>
      </c>
      <c r="Z1161" s="41" t="n"/>
      <c r="AA1161" s="41" t="n"/>
      <c r="AB1161" s="41" t="n"/>
    </row>
    <row r="1162">
      <c r="A1162" s="39">
        <f>IF($C1162="","","NOV-"&amp;TEXT(ROW()-3,"0000"))</f>
        <v/>
      </c>
      <c r="B1162" s="40" t="n"/>
      <c r="C1162" s="41" t="n"/>
      <c r="D1162" s="42">
        <f>IF($C1162="","",IFERROR(INDEX(DESPACHOS!$D$3:$D$3002,MATCH($C1162,DESPACHOS!$B$3:$B$3002,0)),"SIN DESPACHO"))</f>
        <v/>
      </c>
      <c r="E1162" s="42">
        <f>IF($C1162="","",IFERROR(INDEX(DESPACHOS!$K$3:$K$3002,MATCH($C1162,DESPACHOS!$B$3:$B$3002,0)),""))</f>
        <v/>
      </c>
      <c r="F1162" s="42">
        <f>IF($C1162="","",IFERROR(INDEX(DESPACHOS!$I$3:$I$3002,MATCH($C1162,DESPACHOS!$B$3:$B$3002,0)),""))</f>
        <v/>
      </c>
      <c r="G1162" s="42">
        <f>IF($C1162="","",IFERROR(INDEX(DESPACHOS!$F$3:$F$3002,MATCH($C1162,DESPACHOS!$B$3:$B$3002,0)),""))</f>
        <v/>
      </c>
      <c r="H1162" s="42">
        <f>IF($C1162="","",IFERROR(INDEX(DESPACHOS!$G$3:$G$3002,MATCH($C1162,DESPACHOS!$B$3:$B$3002,0)),""))</f>
        <v/>
      </c>
      <c r="I1162" s="39">
        <f>IF($C1162="","",IFERROR(INDEX(DESPACHOS!$H$3:$H$3002,MATCH($C1162,DESPACHOS!$B$3:$B$3002,0)),""))</f>
        <v/>
      </c>
      <c r="J1162" s="43">
        <f>IF($C1162="","",IFERROR(INDEX(DESPACHOS!$J$3:$J$3002,MATCH($C1162,DESPACHOS!$B$3:$B$3002,0)),""))</f>
        <v/>
      </c>
      <c r="K1162" s="39">
        <f>IF($C1162="","",IF(COUNTIFS(DESPACHOS!$B$3:$B$3002,$C1162)=0,"NO EXISTE",IF(COUNTIFS(DESPACHOS!$B$3:$B$3002,$C1162)&gt;1,"DUPLICADO","OK")))</f>
        <v/>
      </c>
      <c r="L1162" s="41" t="n"/>
      <c r="M1162" s="41" t="n"/>
      <c r="N1162" s="42">
        <f>IF($M1162="","",IFERROR(INDEX(LISTAS!$F$3:$F$42,MATCH($M1162,LISTAS!$E$3:$E$42,0)),"Por definir"))</f>
        <v/>
      </c>
      <c r="O1162" s="41" t="n"/>
      <c r="P1162" s="39">
        <f>IF($L1162="","",IFERROR(INDEX(LISTAS!$B$3:$B$42,MATCH($L1162,LISTAS!$A$3:$A$42,0)),"Media"))</f>
        <v/>
      </c>
      <c r="Q1162" s="44" t="n"/>
      <c r="R1162" s="45" t="n"/>
      <c r="S1162" s="20">
        <f>IFERROR(IF(OR($R1162="",$C1162=""),"",$R1162/INDEX(DESPACHOS!$M$3:$M$3002,MATCH($C1162,DESPACHOS!$B$3:$B$3002,0))),"")</f>
        <v/>
      </c>
      <c r="T1162" s="41" t="n"/>
      <c r="U1162" s="43">
        <f>IF(OR($B1162="",$L1162=""),"",WORKDAY($B1162,IFERROR(INDEX(LISTAS!$C$3:$C$42,MATCH($L1162,LISTAS!$A$3:$A$42,0)),3)))</f>
        <v/>
      </c>
      <c r="V1162" s="40" t="n"/>
      <c r="W1162" s="19">
        <f>IF($B1162="","",IF($V1162&lt;&gt;"",$V1162-$B1162,TODAY()-$B1162))</f>
        <v/>
      </c>
      <c r="X1162" s="19">
        <f>IF(OR($B1162="",$U1162=""),"",IF($V1162&lt;&gt;"",MAX(0,$V1162-$U1162),MAX(0,TODAY()-$U1162)))</f>
        <v/>
      </c>
      <c r="Y1162" s="39">
        <f>IF($C1162="","",IF(IFERROR(INDEX(LISTAS!$I$3:$I$42,MATCH($T1162,LISTAS!$H$3:$H$42,0)),"NO")="SÍ",IF(N($X1162)&gt;0,"CERRADA FUERA DE SLA","CERRADA EN SLA"),IF($U1162="","SIN CLASIFICAR",IF(N($X1162)&gt;0,"VENCIDA",IF(TODAY()&gt;=$U1162-1,"POR VENCER","EN PLAZO")))))</f>
        <v/>
      </c>
      <c r="Z1162" s="41" t="n"/>
      <c r="AA1162" s="41" t="n"/>
      <c r="AB1162" s="41" t="n"/>
    </row>
    <row r="1163">
      <c r="A1163" s="39">
        <f>IF($C1163="","","NOV-"&amp;TEXT(ROW()-3,"0000"))</f>
        <v/>
      </c>
      <c r="B1163" s="40" t="n"/>
      <c r="C1163" s="41" t="n"/>
      <c r="D1163" s="42">
        <f>IF($C1163="","",IFERROR(INDEX(DESPACHOS!$D$3:$D$3002,MATCH($C1163,DESPACHOS!$B$3:$B$3002,0)),"SIN DESPACHO"))</f>
        <v/>
      </c>
      <c r="E1163" s="42">
        <f>IF($C1163="","",IFERROR(INDEX(DESPACHOS!$K$3:$K$3002,MATCH($C1163,DESPACHOS!$B$3:$B$3002,0)),""))</f>
        <v/>
      </c>
      <c r="F1163" s="42">
        <f>IF($C1163="","",IFERROR(INDEX(DESPACHOS!$I$3:$I$3002,MATCH($C1163,DESPACHOS!$B$3:$B$3002,0)),""))</f>
        <v/>
      </c>
      <c r="G1163" s="42">
        <f>IF($C1163="","",IFERROR(INDEX(DESPACHOS!$F$3:$F$3002,MATCH($C1163,DESPACHOS!$B$3:$B$3002,0)),""))</f>
        <v/>
      </c>
      <c r="H1163" s="42">
        <f>IF($C1163="","",IFERROR(INDEX(DESPACHOS!$G$3:$G$3002,MATCH($C1163,DESPACHOS!$B$3:$B$3002,0)),""))</f>
        <v/>
      </c>
      <c r="I1163" s="39">
        <f>IF($C1163="","",IFERROR(INDEX(DESPACHOS!$H$3:$H$3002,MATCH($C1163,DESPACHOS!$B$3:$B$3002,0)),""))</f>
        <v/>
      </c>
      <c r="J1163" s="43">
        <f>IF($C1163="","",IFERROR(INDEX(DESPACHOS!$J$3:$J$3002,MATCH($C1163,DESPACHOS!$B$3:$B$3002,0)),""))</f>
        <v/>
      </c>
      <c r="K1163" s="39">
        <f>IF($C1163="","",IF(COUNTIFS(DESPACHOS!$B$3:$B$3002,$C1163)=0,"NO EXISTE",IF(COUNTIFS(DESPACHOS!$B$3:$B$3002,$C1163)&gt;1,"DUPLICADO","OK")))</f>
        <v/>
      </c>
      <c r="L1163" s="41" t="n"/>
      <c r="M1163" s="41" t="n"/>
      <c r="N1163" s="42">
        <f>IF($M1163="","",IFERROR(INDEX(LISTAS!$F$3:$F$42,MATCH($M1163,LISTAS!$E$3:$E$42,0)),"Por definir"))</f>
        <v/>
      </c>
      <c r="O1163" s="41" t="n"/>
      <c r="P1163" s="39">
        <f>IF($L1163="","",IFERROR(INDEX(LISTAS!$B$3:$B$42,MATCH($L1163,LISTAS!$A$3:$A$42,0)),"Media"))</f>
        <v/>
      </c>
      <c r="Q1163" s="44" t="n"/>
      <c r="R1163" s="45" t="n"/>
      <c r="S1163" s="20">
        <f>IFERROR(IF(OR($R1163="",$C1163=""),"",$R1163/INDEX(DESPACHOS!$M$3:$M$3002,MATCH($C1163,DESPACHOS!$B$3:$B$3002,0))),"")</f>
        <v/>
      </c>
      <c r="T1163" s="41" t="n"/>
      <c r="U1163" s="43">
        <f>IF(OR($B1163="",$L1163=""),"",WORKDAY($B1163,IFERROR(INDEX(LISTAS!$C$3:$C$42,MATCH($L1163,LISTAS!$A$3:$A$42,0)),3)))</f>
        <v/>
      </c>
      <c r="V1163" s="40" t="n"/>
      <c r="W1163" s="19">
        <f>IF($B1163="","",IF($V1163&lt;&gt;"",$V1163-$B1163,TODAY()-$B1163))</f>
        <v/>
      </c>
      <c r="X1163" s="19">
        <f>IF(OR($B1163="",$U1163=""),"",IF($V1163&lt;&gt;"",MAX(0,$V1163-$U1163),MAX(0,TODAY()-$U1163)))</f>
        <v/>
      </c>
      <c r="Y1163" s="39">
        <f>IF($C1163="","",IF(IFERROR(INDEX(LISTAS!$I$3:$I$42,MATCH($T1163,LISTAS!$H$3:$H$42,0)),"NO")="SÍ",IF(N($X1163)&gt;0,"CERRADA FUERA DE SLA","CERRADA EN SLA"),IF($U1163="","SIN CLASIFICAR",IF(N($X1163)&gt;0,"VENCIDA",IF(TODAY()&gt;=$U1163-1,"POR VENCER","EN PLAZO")))))</f>
        <v/>
      </c>
      <c r="Z1163" s="41" t="n"/>
      <c r="AA1163" s="41" t="n"/>
      <c r="AB1163" s="41" t="n"/>
    </row>
    <row r="1164">
      <c r="A1164" s="39">
        <f>IF($C1164="","","NOV-"&amp;TEXT(ROW()-3,"0000"))</f>
        <v/>
      </c>
      <c r="B1164" s="40" t="n"/>
      <c r="C1164" s="41" t="n"/>
      <c r="D1164" s="42">
        <f>IF($C1164="","",IFERROR(INDEX(DESPACHOS!$D$3:$D$3002,MATCH($C1164,DESPACHOS!$B$3:$B$3002,0)),"SIN DESPACHO"))</f>
        <v/>
      </c>
      <c r="E1164" s="42">
        <f>IF($C1164="","",IFERROR(INDEX(DESPACHOS!$K$3:$K$3002,MATCH($C1164,DESPACHOS!$B$3:$B$3002,0)),""))</f>
        <v/>
      </c>
      <c r="F1164" s="42">
        <f>IF($C1164="","",IFERROR(INDEX(DESPACHOS!$I$3:$I$3002,MATCH($C1164,DESPACHOS!$B$3:$B$3002,0)),""))</f>
        <v/>
      </c>
      <c r="G1164" s="42">
        <f>IF($C1164="","",IFERROR(INDEX(DESPACHOS!$F$3:$F$3002,MATCH($C1164,DESPACHOS!$B$3:$B$3002,0)),""))</f>
        <v/>
      </c>
      <c r="H1164" s="42">
        <f>IF($C1164="","",IFERROR(INDEX(DESPACHOS!$G$3:$G$3002,MATCH($C1164,DESPACHOS!$B$3:$B$3002,0)),""))</f>
        <v/>
      </c>
      <c r="I1164" s="39">
        <f>IF($C1164="","",IFERROR(INDEX(DESPACHOS!$H$3:$H$3002,MATCH($C1164,DESPACHOS!$B$3:$B$3002,0)),""))</f>
        <v/>
      </c>
      <c r="J1164" s="43">
        <f>IF($C1164="","",IFERROR(INDEX(DESPACHOS!$J$3:$J$3002,MATCH($C1164,DESPACHOS!$B$3:$B$3002,0)),""))</f>
        <v/>
      </c>
      <c r="K1164" s="39">
        <f>IF($C1164="","",IF(COUNTIFS(DESPACHOS!$B$3:$B$3002,$C1164)=0,"NO EXISTE",IF(COUNTIFS(DESPACHOS!$B$3:$B$3002,$C1164)&gt;1,"DUPLICADO","OK")))</f>
        <v/>
      </c>
      <c r="L1164" s="41" t="n"/>
      <c r="M1164" s="41" t="n"/>
      <c r="N1164" s="42">
        <f>IF($M1164="","",IFERROR(INDEX(LISTAS!$F$3:$F$42,MATCH($M1164,LISTAS!$E$3:$E$42,0)),"Por definir"))</f>
        <v/>
      </c>
      <c r="O1164" s="41" t="n"/>
      <c r="P1164" s="39">
        <f>IF($L1164="","",IFERROR(INDEX(LISTAS!$B$3:$B$42,MATCH($L1164,LISTAS!$A$3:$A$42,0)),"Media"))</f>
        <v/>
      </c>
      <c r="Q1164" s="44" t="n"/>
      <c r="R1164" s="45" t="n"/>
      <c r="S1164" s="20">
        <f>IFERROR(IF(OR($R1164="",$C1164=""),"",$R1164/INDEX(DESPACHOS!$M$3:$M$3002,MATCH($C1164,DESPACHOS!$B$3:$B$3002,0))),"")</f>
        <v/>
      </c>
      <c r="T1164" s="41" t="n"/>
      <c r="U1164" s="43">
        <f>IF(OR($B1164="",$L1164=""),"",WORKDAY($B1164,IFERROR(INDEX(LISTAS!$C$3:$C$42,MATCH($L1164,LISTAS!$A$3:$A$42,0)),3)))</f>
        <v/>
      </c>
      <c r="V1164" s="40" t="n"/>
      <c r="W1164" s="19">
        <f>IF($B1164="","",IF($V1164&lt;&gt;"",$V1164-$B1164,TODAY()-$B1164))</f>
        <v/>
      </c>
      <c r="X1164" s="19">
        <f>IF(OR($B1164="",$U1164=""),"",IF($V1164&lt;&gt;"",MAX(0,$V1164-$U1164),MAX(0,TODAY()-$U1164)))</f>
        <v/>
      </c>
      <c r="Y1164" s="39">
        <f>IF($C1164="","",IF(IFERROR(INDEX(LISTAS!$I$3:$I$42,MATCH($T1164,LISTAS!$H$3:$H$42,0)),"NO")="SÍ",IF(N($X1164)&gt;0,"CERRADA FUERA DE SLA","CERRADA EN SLA"),IF($U1164="","SIN CLASIFICAR",IF(N($X1164)&gt;0,"VENCIDA",IF(TODAY()&gt;=$U1164-1,"POR VENCER","EN PLAZO")))))</f>
        <v/>
      </c>
      <c r="Z1164" s="41" t="n"/>
      <c r="AA1164" s="41" t="n"/>
      <c r="AB1164" s="41" t="n"/>
    </row>
    <row r="1165">
      <c r="A1165" s="39">
        <f>IF($C1165="","","NOV-"&amp;TEXT(ROW()-3,"0000"))</f>
        <v/>
      </c>
      <c r="B1165" s="40" t="n"/>
      <c r="C1165" s="41" t="n"/>
      <c r="D1165" s="42">
        <f>IF($C1165="","",IFERROR(INDEX(DESPACHOS!$D$3:$D$3002,MATCH($C1165,DESPACHOS!$B$3:$B$3002,0)),"SIN DESPACHO"))</f>
        <v/>
      </c>
      <c r="E1165" s="42">
        <f>IF($C1165="","",IFERROR(INDEX(DESPACHOS!$K$3:$K$3002,MATCH($C1165,DESPACHOS!$B$3:$B$3002,0)),""))</f>
        <v/>
      </c>
      <c r="F1165" s="42">
        <f>IF($C1165="","",IFERROR(INDEX(DESPACHOS!$I$3:$I$3002,MATCH($C1165,DESPACHOS!$B$3:$B$3002,0)),""))</f>
        <v/>
      </c>
      <c r="G1165" s="42">
        <f>IF($C1165="","",IFERROR(INDEX(DESPACHOS!$F$3:$F$3002,MATCH($C1165,DESPACHOS!$B$3:$B$3002,0)),""))</f>
        <v/>
      </c>
      <c r="H1165" s="42">
        <f>IF($C1165="","",IFERROR(INDEX(DESPACHOS!$G$3:$G$3002,MATCH($C1165,DESPACHOS!$B$3:$B$3002,0)),""))</f>
        <v/>
      </c>
      <c r="I1165" s="39">
        <f>IF($C1165="","",IFERROR(INDEX(DESPACHOS!$H$3:$H$3002,MATCH($C1165,DESPACHOS!$B$3:$B$3002,0)),""))</f>
        <v/>
      </c>
      <c r="J1165" s="43">
        <f>IF($C1165="","",IFERROR(INDEX(DESPACHOS!$J$3:$J$3002,MATCH($C1165,DESPACHOS!$B$3:$B$3002,0)),""))</f>
        <v/>
      </c>
      <c r="K1165" s="39">
        <f>IF($C1165="","",IF(COUNTIFS(DESPACHOS!$B$3:$B$3002,$C1165)=0,"NO EXISTE",IF(COUNTIFS(DESPACHOS!$B$3:$B$3002,$C1165)&gt;1,"DUPLICADO","OK")))</f>
        <v/>
      </c>
      <c r="L1165" s="41" t="n"/>
      <c r="M1165" s="41" t="n"/>
      <c r="N1165" s="42">
        <f>IF($M1165="","",IFERROR(INDEX(LISTAS!$F$3:$F$42,MATCH($M1165,LISTAS!$E$3:$E$42,0)),"Por definir"))</f>
        <v/>
      </c>
      <c r="O1165" s="41" t="n"/>
      <c r="P1165" s="39">
        <f>IF($L1165="","",IFERROR(INDEX(LISTAS!$B$3:$B$42,MATCH($L1165,LISTAS!$A$3:$A$42,0)),"Media"))</f>
        <v/>
      </c>
      <c r="Q1165" s="44" t="n"/>
      <c r="R1165" s="45" t="n"/>
      <c r="S1165" s="20">
        <f>IFERROR(IF(OR($R1165="",$C1165=""),"",$R1165/INDEX(DESPACHOS!$M$3:$M$3002,MATCH($C1165,DESPACHOS!$B$3:$B$3002,0))),"")</f>
        <v/>
      </c>
      <c r="T1165" s="41" t="n"/>
      <c r="U1165" s="43">
        <f>IF(OR($B1165="",$L1165=""),"",WORKDAY($B1165,IFERROR(INDEX(LISTAS!$C$3:$C$42,MATCH($L1165,LISTAS!$A$3:$A$42,0)),3)))</f>
        <v/>
      </c>
      <c r="V1165" s="40" t="n"/>
      <c r="W1165" s="19">
        <f>IF($B1165="","",IF($V1165&lt;&gt;"",$V1165-$B1165,TODAY()-$B1165))</f>
        <v/>
      </c>
      <c r="X1165" s="19">
        <f>IF(OR($B1165="",$U1165=""),"",IF($V1165&lt;&gt;"",MAX(0,$V1165-$U1165),MAX(0,TODAY()-$U1165)))</f>
        <v/>
      </c>
      <c r="Y1165" s="39">
        <f>IF($C1165="","",IF(IFERROR(INDEX(LISTAS!$I$3:$I$42,MATCH($T1165,LISTAS!$H$3:$H$42,0)),"NO")="SÍ",IF(N($X1165)&gt;0,"CERRADA FUERA DE SLA","CERRADA EN SLA"),IF($U1165="","SIN CLASIFICAR",IF(N($X1165)&gt;0,"VENCIDA",IF(TODAY()&gt;=$U1165-1,"POR VENCER","EN PLAZO")))))</f>
        <v/>
      </c>
      <c r="Z1165" s="41" t="n"/>
      <c r="AA1165" s="41" t="n"/>
      <c r="AB1165" s="41" t="n"/>
    </row>
    <row r="1166">
      <c r="A1166" s="39">
        <f>IF($C1166="","","NOV-"&amp;TEXT(ROW()-3,"0000"))</f>
        <v/>
      </c>
      <c r="B1166" s="40" t="n"/>
      <c r="C1166" s="41" t="n"/>
      <c r="D1166" s="42">
        <f>IF($C1166="","",IFERROR(INDEX(DESPACHOS!$D$3:$D$3002,MATCH($C1166,DESPACHOS!$B$3:$B$3002,0)),"SIN DESPACHO"))</f>
        <v/>
      </c>
      <c r="E1166" s="42">
        <f>IF($C1166="","",IFERROR(INDEX(DESPACHOS!$K$3:$K$3002,MATCH($C1166,DESPACHOS!$B$3:$B$3002,0)),""))</f>
        <v/>
      </c>
      <c r="F1166" s="42">
        <f>IF($C1166="","",IFERROR(INDEX(DESPACHOS!$I$3:$I$3002,MATCH($C1166,DESPACHOS!$B$3:$B$3002,0)),""))</f>
        <v/>
      </c>
      <c r="G1166" s="42">
        <f>IF($C1166="","",IFERROR(INDEX(DESPACHOS!$F$3:$F$3002,MATCH($C1166,DESPACHOS!$B$3:$B$3002,0)),""))</f>
        <v/>
      </c>
      <c r="H1166" s="42">
        <f>IF($C1166="","",IFERROR(INDEX(DESPACHOS!$G$3:$G$3002,MATCH($C1166,DESPACHOS!$B$3:$B$3002,0)),""))</f>
        <v/>
      </c>
      <c r="I1166" s="39">
        <f>IF($C1166="","",IFERROR(INDEX(DESPACHOS!$H$3:$H$3002,MATCH($C1166,DESPACHOS!$B$3:$B$3002,0)),""))</f>
        <v/>
      </c>
      <c r="J1166" s="43">
        <f>IF($C1166="","",IFERROR(INDEX(DESPACHOS!$J$3:$J$3002,MATCH($C1166,DESPACHOS!$B$3:$B$3002,0)),""))</f>
        <v/>
      </c>
      <c r="K1166" s="39">
        <f>IF($C1166="","",IF(COUNTIFS(DESPACHOS!$B$3:$B$3002,$C1166)=0,"NO EXISTE",IF(COUNTIFS(DESPACHOS!$B$3:$B$3002,$C1166)&gt;1,"DUPLICADO","OK")))</f>
        <v/>
      </c>
      <c r="L1166" s="41" t="n"/>
      <c r="M1166" s="41" t="n"/>
      <c r="N1166" s="42">
        <f>IF($M1166="","",IFERROR(INDEX(LISTAS!$F$3:$F$42,MATCH($M1166,LISTAS!$E$3:$E$42,0)),"Por definir"))</f>
        <v/>
      </c>
      <c r="O1166" s="41" t="n"/>
      <c r="P1166" s="39">
        <f>IF($L1166="","",IFERROR(INDEX(LISTAS!$B$3:$B$42,MATCH($L1166,LISTAS!$A$3:$A$42,0)),"Media"))</f>
        <v/>
      </c>
      <c r="Q1166" s="44" t="n"/>
      <c r="R1166" s="45" t="n"/>
      <c r="S1166" s="20">
        <f>IFERROR(IF(OR($R1166="",$C1166=""),"",$R1166/INDEX(DESPACHOS!$M$3:$M$3002,MATCH($C1166,DESPACHOS!$B$3:$B$3002,0))),"")</f>
        <v/>
      </c>
      <c r="T1166" s="41" t="n"/>
      <c r="U1166" s="43">
        <f>IF(OR($B1166="",$L1166=""),"",WORKDAY($B1166,IFERROR(INDEX(LISTAS!$C$3:$C$42,MATCH($L1166,LISTAS!$A$3:$A$42,0)),3)))</f>
        <v/>
      </c>
      <c r="V1166" s="40" t="n"/>
      <c r="W1166" s="19">
        <f>IF($B1166="","",IF($V1166&lt;&gt;"",$V1166-$B1166,TODAY()-$B1166))</f>
        <v/>
      </c>
      <c r="X1166" s="19">
        <f>IF(OR($B1166="",$U1166=""),"",IF($V1166&lt;&gt;"",MAX(0,$V1166-$U1166),MAX(0,TODAY()-$U1166)))</f>
        <v/>
      </c>
      <c r="Y1166" s="39">
        <f>IF($C1166="","",IF(IFERROR(INDEX(LISTAS!$I$3:$I$42,MATCH($T1166,LISTAS!$H$3:$H$42,0)),"NO")="SÍ",IF(N($X1166)&gt;0,"CERRADA FUERA DE SLA","CERRADA EN SLA"),IF($U1166="","SIN CLASIFICAR",IF(N($X1166)&gt;0,"VENCIDA",IF(TODAY()&gt;=$U1166-1,"POR VENCER","EN PLAZO")))))</f>
        <v/>
      </c>
      <c r="Z1166" s="41" t="n"/>
      <c r="AA1166" s="41" t="n"/>
      <c r="AB1166" s="41" t="n"/>
    </row>
    <row r="1167">
      <c r="A1167" s="39">
        <f>IF($C1167="","","NOV-"&amp;TEXT(ROW()-3,"0000"))</f>
        <v/>
      </c>
      <c r="B1167" s="40" t="n"/>
      <c r="C1167" s="41" t="n"/>
      <c r="D1167" s="42">
        <f>IF($C1167="","",IFERROR(INDEX(DESPACHOS!$D$3:$D$3002,MATCH($C1167,DESPACHOS!$B$3:$B$3002,0)),"SIN DESPACHO"))</f>
        <v/>
      </c>
      <c r="E1167" s="42">
        <f>IF($C1167="","",IFERROR(INDEX(DESPACHOS!$K$3:$K$3002,MATCH($C1167,DESPACHOS!$B$3:$B$3002,0)),""))</f>
        <v/>
      </c>
      <c r="F1167" s="42">
        <f>IF($C1167="","",IFERROR(INDEX(DESPACHOS!$I$3:$I$3002,MATCH($C1167,DESPACHOS!$B$3:$B$3002,0)),""))</f>
        <v/>
      </c>
      <c r="G1167" s="42">
        <f>IF($C1167="","",IFERROR(INDEX(DESPACHOS!$F$3:$F$3002,MATCH($C1167,DESPACHOS!$B$3:$B$3002,0)),""))</f>
        <v/>
      </c>
      <c r="H1167" s="42">
        <f>IF($C1167="","",IFERROR(INDEX(DESPACHOS!$G$3:$G$3002,MATCH($C1167,DESPACHOS!$B$3:$B$3002,0)),""))</f>
        <v/>
      </c>
      <c r="I1167" s="39">
        <f>IF($C1167="","",IFERROR(INDEX(DESPACHOS!$H$3:$H$3002,MATCH($C1167,DESPACHOS!$B$3:$B$3002,0)),""))</f>
        <v/>
      </c>
      <c r="J1167" s="43">
        <f>IF($C1167="","",IFERROR(INDEX(DESPACHOS!$J$3:$J$3002,MATCH($C1167,DESPACHOS!$B$3:$B$3002,0)),""))</f>
        <v/>
      </c>
      <c r="K1167" s="39">
        <f>IF($C1167="","",IF(COUNTIFS(DESPACHOS!$B$3:$B$3002,$C1167)=0,"NO EXISTE",IF(COUNTIFS(DESPACHOS!$B$3:$B$3002,$C1167)&gt;1,"DUPLICADO","OK")))</f>
        <v/>
      </c>
      <c r="L1167" s="41" t="n"/>
      <c r="M1167" s="41" t="n"/>
      <c r="N1167" s="42">
        <f>IF($M1167="","",IFERROR(INDEX(LISTAS!$F$3:$F$42,MATCH($M1167,LISTAS!$E$3:$E$42,0)),"Por definir"))</f>
        <v/>
      </c>
      <c r="O1167" s="41" t="n"/>
      <c r="P1167" s="39">
        <f>IF($L1167="","",IFERROR(INDEX(LISTAS!$B$3:$B$42,MATCH($L1167,LISTAS!$A$3:$A$42,0)),"Media"))</f>
        <v/>
      </c>
      <c r="Q1167" s="44" t="n"/>
      <c r="R1167" s="45" t="n"/>
      <c r="S1167" s="20">
        <f>IFERROR(IF(OR($R1167="",$C1167=""),"",$R1167/INDEX(DESPACHOS!$M$3:$M$3002,MATCH($C1167,DESPACHOS!$B$3:$B$3002,0))),"")</f>
        <v/>
      </c>
      <c r="T1167" s="41" t="n"/>
      <c r="U1167" s="43">
        <f>IF(OR($B1167="",$L1167=""),"",WORKDAY($B1167,IFERROR(INDEX(LISTAS!$C$3:$C$42,MATCH($L1167,LISTAS!$A$3:$A$42,0)),3)))</f>
        <v/>
      </c>
      <c r="V1167" s="40" t="n"/>
      <c r="W1167" s="19">
        <f>IF($B1167="","",IF($V1167&lt;&gt;"",$V1167-$B1167,TODAY()-$B1167))</f>
        <v/>
      </c>
      <c r="X1167" s="19">
        <f>IF(OR($B1167="",$U1167=""),"",IF($V1167&lt;&gt;"",MAX(0,$V1167-$U1167),MAX(0,TODAY()-$U1167)))</f>
        <v/>
      </c>
      <c r="Y1167" s="39">
        <f>IF($C1167="","",IF(IFERROR(INDEX(LISTAS!$I$3:$I$42,MATCH($T1167,LISTAS!$H$3:$H$42,0)),"NO")="SÍ",IF(N($X1167)&gt;0,"CERRADA FUERA DE SLA","CERRADA EN SLA"),IF($U1167="","SIN CLASIFICAR",IF(N($X1167)&gt;0,"VENCIDA",IF(TODAY()&gt;=$U1167-1,"POR VENCER","EN PLAZO")))))</f>
        <v/>
      </c>
      <c r="Z1167" s="41" t="n"/>
      <c r="AA1167" s="41" t="n"/>
      <c r="AB1167" s="41" t="n"/>
    </row>
    <row r="1168">
      <c r="A1168" s="39">
        <f>IF($C1168="","","NOV-"&amp;TEXT(ROW()-3,"0000"))</f>
        <v/>
      </c>
      <c r="B1168" s="40" t="n"/>
      <c r="C1168" s="41" t="n"/>
      <c r="D1168" s="42">
        <f>IF($C1168="","",IFERROR(INDEX(DESPACHOS!$D$3:$D$3002,MATCH($C1168,DESPACHOS!$B$3:$B$3002,0)),"SIN DESPACHO"))</f>
        <v/>
      </c>
      <c r="E1168" s="42">
        <f>IF($C1168="","",IFERROR(INDEX(DESPACHOS!$K$3:$K$3002,MATCH($C1168,DESPACHOS!$B$3:$B$3002,0)),""))</f>
        <v/>
      </c>
      <c r="F1168" s="42">
        <f>IF($C1168="","",IFERROR(INDEX(DESPACHOS!$I$3:$I$3002,MATCH($C1168,DESPACHOS!$B$3:$B$3002,0)),""))</f>
        <v/>
      </c>
      <c r="G1168" s="42">
        <f>IF($C1168="","",IFERROR(INDEX(DESPACHOS!$F$3:$F$3002,MATCH($C1168,DESPACHOS!$B$3:$B$3002,0)),""))</f>
        <v/>
      </c>
      <c r="H1168" s="42">
        <f>IF($C1168="","",IFERROR(INDEX(DESPACHOS!$G$3:$G$3002,MATCH($C1168,DESPACHOS!$B$3:$B$3002,0)),""))</f>
        <v/>
      </c>
      <c r="I1168" s="39">
        <f>IF($C1168="","",IFERROR(INDEX(DESPACHOS!$H$3:$H$3002,MATCH($C1168,DESPACHOS!$B$3:$B$3002,0)),""))</f>
        <v/>
      </c>
      <c r="J1168" s="43">
        <f>IF($C1168="","",IFERROR(INDEX(DESPACHOS!$J$3:$J$3002,MATCH($C1168,DESPACHOS!$B$3:$B$3002,0)),""))</f>
        <v/>
      </c>
      <c r="K1168" s="39">
        <f>IF($C1168="","",IF(COUNTIFS(DESPACHOS!$B$3:$B$3002,$C1168)=0,"NO EXISTE",IF(COUNTIFS(DESPACHOS!$B$3:$B$3002,$C1168)&gt;1,"DUPLICADO","OK")))</f>
        <v/>
      </c>
      <c r="L1168" s="41" t="n"/>
      <c r="M1168" s="41" t="n"/>
      <c r="N1168" s="42">
        <f>IF($M1168="","",IFERROR(INDEX(LISTAS!$F$3:$F$42,MATCH($M1168,LISTAS!$E$3:$E$42,0)),"Por definir"))</f>
        <v/>
      </c>
      <c r="O1168" s="41" t="n"/>
      <c r="P1168" s="39">
        <f>IF($L1168="","",IFERROR(INDEX(LISTAS!$B$3:$B$42,MATCH($L1168,LISTAS!$A$3:$A$42,0)),"Media"))</f>
        <v/>
      </c>
      <c r="Q1168" s="44" t="n"/>
      <c r="R1168" s="45" t="n"/>
      <c r="S1168" s="20">
        <f>IFERROR(IF(OR($R1168="",$C1168=""),"",$R1168/INDEX(DESPACHOS!$M$3:$M$3002,MATCH($C1168,DESPACHOS!$B$3:$B$3002,0))),"")</f>
        <v/>
      </c>
      <c r="T1168" s="41" t="n"/>
      <c r="U1168" s="43">
        <f>IF(OR($B1168="",$L1168=""),"",WORKDAY($B1168,IFERROR(INDEX(LISTAS!$C$3:$C$42,MATCH($L1168,LISTAS!$A$3:$A$42,0)),3)))</f>
        <v/>
      </c>
      <c r="V1168" s="40" t="n"/>
      <c r="W1168" s="19">
        <f>IF($B1168="","",IF($V1168&lt;&gt;"",$V1168-$B1168,TODAY()-$B1168))</f>
        <v/>
      </c>
      <c r="X1168" s="19">
        <f>IF(OR($B1168="",$U1168=""),"",IF($V1168&lt;&gt;"",MAX(0,$V1168-$U1168),MAX(0,TODAY()-$U1168)))</f>
        <v/>
      </c>
      <c r="Y1168" s="39">
        <f>IF($C1168="","",IF(IFERROR(INDEX(LISTAS!$I$3:$I$42,MATCH($T1168,LISTAS!$H$3:$H$42,0)),"NO")="SÍ",IF(N($X1168)&gt;0,"CERRADA FUERA DE SLA","CERRADA EN SLA"),IF($U1168="","SIN CLASIFICAR",IF(N($X1168)&gt;0,"VENCIDA",IF(TODAY()&gt;=$U1168-1,"POR VENCER","EN PLAZO")))))</f>
        <v/>
      </c>
      <c r="Z1168" s="41" t="n"/>
      <c r="AA1168" s="41" t="n"/>
      <c r="AB1168" s="41" t="n"/>
    </row>
    <row r="1169">
      <c r="A1169" s="39">
        <f>IF($C1169="","","NOV-"&amp;TEXT(ROW()-3,"0000"))</f>
        <v/>
      </c>
      <c r="B1169" s="40" t="n"/>
      <c r="C1169" s="41" t="n"/>
      <c r="D1169" s="42">
        <f>IF($C1169="","",IFERROR(INDEX(DESPACHOS!$D$3:$D$3002,MATCH($C1169,DESPACHOS!$B$3:$B$3002,0)),"SIN DESPACHO"))</f>
        <v/>
      </c>
      <c r="E1169" s="42">
        <f>IF($C1169="","",IFERROR(INDEX(DESPACHOS!$K$3:$K$3002,MATCH($C1169,DESPACHOS!$B$3:$B$3002,0)),""))</f>
        <v/>
      </c>
      <c r="F1169" s="42">
        <f>IF($C1169="","",IFERROR(INDEX(DESPACHOS!$I$3:$I$3002,MATCH($C1169,DESPACHOS!$B$3:$B$3002,0)),""))</f>
        <v/>
      </c>
      <c r="G1169" s="42">
        <f>IF($C1169="","",IFERROR(INDEX(DESPACHOS!$F$3:$F$3002,MATCH($C1169,DESPACHOS!$B$3:$B$3002,0)),""))</f>
        <v/>
      </c>
      <c r="H1169" s="42">
        <f>IF($C1169="","",IFERROR(INDEX(DESPACHOS!$G$3:$G$3002,MATCH($C1169,DESPACHOS!$B$3:$B$3002,0)),""))</f>
        <v/>
      </c>
      <c r="I1169" s="39">
        <f>IF($C1169="","",IFERROR(INDEX(DESPACHOS!$H$3:$H$3002,MATCH($C1169,DESPACHOS!$B$3:$B$3002,0)),""))</f>
        <v/>
      </c>
      <c r="J1169" s="43">
        <f>IF($C1169="","",IFERROR(INDEX(DESPACHOS!$J$3:$J$3002,MATCH($C1169,DESPACHOS!$B$3:$B$3002,0)),""))</f>
        <v/>
      </c>
      <c r="K1169" s="39">
        <f>IF($C1169="","",IF(COUNTIFS(DESPACHOS!$B$3:$B$3002,$C1169)=0,"NO EXISTE",IF(COUNTIFS(DESPACHOS!$B$3:$B$3002,$C1169)&gt;1,"DUPLICADO","OK")))</f>
        <v/>
      </c>
      <c r="L1169" s="41" t="n"/>
      <c r="M1169" s="41" t="n"/>
      <c r="N1169" s="42">
        <f>IF($M1169="","",IFERROR(INDEX(LISTAS!$F$3:$F$42,MATCH($M1169,LISTAS!$E$3:$E$42,0)),"Por definir"))</f>
        <v/>
      </c>
      <c r="O1169" s="41" t="n"/>
      <c r="P1169" s="39">
        <f>IF($L1169="","",IFERROR(INDEX(LISTAS!$B$3:$B$42,MATCH($L1169,LISTAS!$A$3:$A$42,0)),"Media"))</f>
        <v/>
      </c>
      <c r="Q1169" s="44" t="n"/>
      <c r="R1169" s="45" t="n"/>
      <c r="S1169" s="20">
        <f>IFERROR(IF(OR($R1169="",$C1169=""),"",$R1169/INDEX(DESPACHOS!$M$3:$M$3002,MATCH($C1169,DESPACHOS!$B$3:$B$3002,0))),"")</f>
        <v/>
      </c>
      <c r="T1169" s="41" t="n"/>
      <c r="U1169" s="43">
        <f>IF(OR($B1169="",$L1169=""),"",WORKDAY($B1169,IFERROR(INDEX(LISTAS!$C$3:$C$42,MATCH($L1169,LISTAS!$A$3:$A$42,0)),3)))</f>
        <v/>
      </c>
      <c r="V1169" s="40" t="n"/>
      <c r="W1169" s="19">
        <f>IF($B1169="","",IF($V1169&lt;&gt;"",$V1169-$B1169,TODAY()-$B1169))</f>
        <v/>
      </c>
      <c r="X1169" s="19">
        <f>IF(OR($B1169="",$U1169=""),"",IF($V1169&lt;&gt;"",MAX(0,$V1169-$U1169),MAX(0,TODAY()-$U1169)))</f>
        <v/>
      </c>
      <c r="Y1169" s="39">
        <f>IF($C1169="","",IF(IFERROR(INDEX(LISTAS!$I$3:$I$42,MATCH($T1169,LISTAS!$H$3:$H$42,0)),"NO")="SÍ",IF(N($X1169)&gt;0,"CERRADA FUERA DE SLA","CERRADA EN SLA"),IF($U1169="","SIN CLASIFICAR",IF(N($X1169)&gt;0,"VENCIDA",IF(TODAY()&gt;=$U1169-1,"POR VENCER","EN PLAZO")))))</f>
        <v/>
      </c>
      <c r="Z1169" s="41" t="n"/>
      <c r="AA1169" s="41" t="n"/>
      <c r="AB1169" s="41" t="n"/>
    </row>
    <row r="1170">
      <c r="A1170" s="39">
        <f>IF($C1170="","","NOV-"&amp;TEXT(ROW()-3,"0000"))</f>
        <v/>
      </c>
      <c r="B1170" s="40" t="n"/>
      <c r="C1170" s="41" t="n"/>
      <c r="D1170" s="42">
        <f>IF($C1170="","",IFERROR(INDEX(DESPACHOS!$D$3:$D$3002,MATCH($C1170,DESPACHOS!$B$3:$B$3002,0)),"SIN DESPACHO"))</f>
        <v/>
      </c>
      <c r="E1170" s="42">
        <f>IF($C1170="","",IFERROR(INDEX(DESPACHOS!$K$3:$K$3002,MATCH($C1170,DESPACHOS!$B$3:$B$3002,0)),""))</f>
        <v/>
      </c>
      <c r="F1170" s="42">
        <f>IF($C1170="","",IFERROR(INDEX(DESPACHOS!$I$3:$I$3002,MATCH($C1170,DESPACHOS!$B$3:$B$3002,0)),""))</f>
        <v/>
      </c>
      <c r="G1170" s="42">
        <f>IF($C1170="","",IFERROR(INDEX(DESPACHOS!$F$3:$F$3002,MATCH($C1170,DESPACHOS!$B$3:$B$3002,0)),""))</f>
        <v/>
      </c>
      <c r="H1170" s="42">
        <f>IF($C1170="","",IFERROR(INDEX(DESPACHOS!$G$3:$G$3002,MATCH($C1170,DESPACHOS!$B$3:$B$3002,0)),""))</f>
        <v/>
      </c>
      <c r="I1170" s="39">
        <f>IF($C1170="","",IFERROR(INDEX(DESPACHOS!$H$3:$H$3002,MATCH($C1170,DESPACHOS!$B$3:$B$3002,0)),""))</f>
        <v/>
      </c>
      <c r="J1170" s="43">
        <f>IF($C1170="","",IFERROR(INDEX(DESPACHOS!$J$3:$J$3002,MATCH($C1170,DESPACHOS!$B$3:$B$3002,0)),""))</f>
        <v/>
      </c>
      <c r="K1170" s="39">
        <f>IF($C1170="","",IF(COUNTIFS(DESPACHOS!$B$3:$B$3002,$C1170)=0,"NO EXISTE",IF(COUNTIFS(DESPACHOS!$B$3:$B$3002,$C1170)&gt;1,"DUPLICADO","OK")))</f>
        <v/>
      </c>
      <c r="L1170" s="41" t="n"/>
      <c r="M1170" s="41" t="n"/>
      <c r="N1170" s="42">
        <f>IF($M1170="","",IFERROR(INDEX(LISTAS!$F$3:$F$42,MATCH($M1170,LISTAS!$E$3:$E$42,0)),"Por definir"))</f>
        <v/>
      </c>
      <c r="O1170" s="41" t="n"/>
      <c r="P1170" s="39">
        <f>IF($L1170="","",IFERROR(INDEX(LISTAS!$B$3:$B$42,MATCH($L1170,LISTAS!$A$3:$A$42,0)),"Media"))</f>
        <v/>
      </c>
      <c r="Q1170" s="44" t="n"/>
      <c r="R1170" s="45" t="n"/>
      <c r="S1170" s="20">
        <f>IFERROR(IF(OR($R1170="",$C1170=""),"",$R1170/INDEX(DESPACHOS!$M$3:$M$3002,MATCH($C1170,DESPACHOS!$B$3:$B$3002,0))),"")</f>
        <v/>
      </c>
      <c r="T1170" s="41" t="n"/>
      <c r="U1170" s="43">
        <f>IF(OR($B1170="",$L1170=""),"",WORKDAY($B1170,IFERROR(INDEX(LISTAS!$C$3:$C$42,MATCH($L1170,LISTAS!$A$3:$A$42,0)),3)))</f>
        <v/>
      </c>
      <c r="V1170" s="40" t="n"/>
      <c r="W1170" s="19">
        <f>IF($B1170="","",IF($V1170&lt;&gt;"",$V1170-$B1170,TODAY()-$B1170))</f>
        <v/>
      </c>
      <c r="X1170" s="19">
        <f>IF(OR($B1170="",$U1170=""),"",IF($V1170&lt;&gt;"",MAX(0,$V1170-$U1170),MAX(0,TODAY()-$U1170)))</f>
        <v/>
      </c>
      <c r="Y1170" s="39">
        <f>IF($C1170="","",IF(IFERROR(INDEX(LISTAS!$I$3:$I$42,MATCH($T1170,LISTAS!$H$3:$H$42,0)),"NO")="SÍ",IF(N($X1170)&gt;0,"CERRADA FUERA DE SLA","CERRADA EN SLA"),IF($U1170="","SIN CLASIFICAR",IF(N($X1170)&gt;0,"VENCIDA",IF(TODAY()&gt;=$U1170-1,"POR VENCER","EN PLAZO")))))</f>
        <v/>
      </c>
      <c r="Z1170" s="41" t="n"/>
      <c r="AA1170" s="41" t="n"/>
      <c r="AB1170" s="41" t="n"/>
    </row>
    <row r="1171">
      <c r="A1171" s="39">
        <f>IF($C1171="","","NOV-"&amp;TEXT(ROW()-3,"0000"))</f>
        <v/>
      </c>
      <c r="B1171" s="40" t="n"/>
      <c r="C1171" s="41" t="n"/>
      <c r="D1171" s="42">
        <f>IF($C1171="","",IFERROR(INDEX(DESPACHOS!$D$3:$D$3002,MATCH($C1171,DESPACHOS!$B$3:$B$3002,0)),"SIN DESPACHO"))</f>
        <v/>
      </c>
      <c r="E1171" s="42">
        <f>IF($C1171="","",IFERROR(INDEX(DESPACHOS!$K$3:$K$3002,MATCH($C1171,DESPACHOS!$B$3:$B$3002,0)),""))</f>
        <v/>
      </c>
      <c r="F1171" s="42">
        <f>IF($C1171="","",IFERROR(INDEX(DESPACHOS!$I$3:$I$3002,MATCH($C1171,DESPACHOS!$B$3:$B$3002,0)),""))</f>
        <v/>
      </c>
      <c r="G1171" s="42">
        <f>IF($C1171="","",IFERROR(INDEX(DESPACHOS!$F$3:$F$3002,MATCH($C1171,DESPACHOS!$B$3:$B$3002,0)),""))</f>
        <v/>
      </c>
      <c r="H1171" s="42">
        <f>IF($C1171="","",IFERROR(INDEX(DESPACHOS!$G$3:$G$3002,MATCH($C1171,DESPACHOS!$B$3:$B$3002,0)),""))</f>
        <v/>
      </c>
      <c r="I1171" s="39">
        <f>IF($C1171="","",IFERROR(INDEX(DESPACHOS!$H$3:$H$3002,MATCH($C1171,DESPACHOS!$B$3:$B$3002,0)),""))</f>
        <v/>
      </c>
      <c r="J1171" s="43">
        <f>IF($C1171="","",IFERROR(INDEX(DESPACHOS!$J$3:$J$3002,MATCH($C1171,DESPACHOS!$B$3:$B$3002,0)),""))</f>
        <v/>
      </c>
      <c r="K1171" s="39">
        <f>IF($C1171="","",IF(COUNTIFS(DESPACHOS!$B$3:$B$3002,$C1171)=0,"NO EXISTE",IF(COUNTIFS(DESPACHOS!$B$3:$B$3002,$C1171)&gt;1,"DUPLICADO","OK")))</f>
        <v/>
      </c>
      <c r="L1171" s="41" t="n"/>
      <c r="M1171" s="41" t="n"/>
      <c r="N1171" s="42">
        <f>IF($M1171="","",IFERROR(INDEX(LISTAS!$F$3:$F$42,MATCH($M1171,LISTAS!$E$3:$E$42,0)),"Por definir"))</f>
        <v/>
      </c>
      <c r="O1171" s="41" t="n"/>
      <c r="P1171" s="39">
        <f>IF($L1171="","",IFERROR(INDEX(LISTAS!$B$3:$B$42,MATCH($L1171,LISTAS!$A$3:$A$42,0)),"Media"))</f>
        <v/>
      </c>
      <c r="Q1171" s="44" t="n"/>
      <c r="R1171" s="45" t="n"/>
      <c r="S1171" s="20">
        <f>IFERROR(IF(OR($R1171="",$C1171=""),"",$R1171/INDEX(DESPACHOS!$M$3:$M$3002,MATCH($C1171,DESPACHOS!$B$3:$B$3002,0))),"")</f>
        <v/>
      </c>
      <c r="T1171" s="41" t="n"/>
      <c r="U1171" s="43">
        <f>IF(OR($B1171="",$L1171=""),"",WORKDAY($B1171,IFERROR(INDEX(LISTAS!$C$3:$C$42,MATCH($L1171,LISTAS!$A$3:$A$42,0)),3)))</f>
        <v/>
      </c>
      <c r="V1171" s="40" t="n"/>
      <c r="W1171" s="19">
        <f>IF($B1171="","",IF($V1171&lt;&gt;"",$V1171-$B1171,TODAY()-$B1171))</f>
        <v/>
      </c>
      <c r="X1171" s="19">
        <f>IF(OR($B1171="",$U1171=""),"",IF($V1171&lt;&gt;"",MAX(0,$V1171-$U1171),MAX(0,TODAY()-$U1171)))</f>
        <v/>
      </c>
      <c r="Y1171" s="39">
        <f>IF($C1171="","",IF(IFERROR(INDEX(LISTAS!$I$3:$I$42,MATCH($T1171,LISTAS!$H$3:$H$42,0)),"NO")="SÍ",IF(N($X1171)&gt;0,"CERRADA FUERA DE SLA","CERRADA EN SLA"),IF($U1171="","SIN CLASIFICAR",IF(N($X1171)&gt;0,"VENCIDA",IF(TODAY()&gt;=$U1171-1,"POR VENCER","EN PLAZO")))))</f>
        <v/>
      </c>
      <c r="Z1171" s="41" t="n"/>
      <c r="AA1171" s="41" t="n"/>
      <c r="AB1171" s="41" t="n"/>
    </row>
    <row r="1172">
      <c r="A1172" s="39">
        <f>IF($C1172="","","NOV-"&amp;TEXT(ROW()-3,"0000"))</f>
        <v/>
      </c>
      <c r="B1172" s="40" t="n"/>
      <c r="C1172" s="41" t="n"/>
      <c r="D1172" s="42">
        <f>IF($C1172="","",IFERROR(INDEX(DESPACHOS!$D$3:$D$3002,MATCH($C1172,DESPACHOS!$B$3:$B$3002,0)),"SIN DESPACHO"))</f>
        <v/>
      </c>
      <c r="E1172" s="42">
        <f>IF($C1172="","",IFERROR(INDEX(DESPACHOS!$K$3:$K$3002,MATCH($C1172,DESPACHOS!$B$3:$B$3002,0)),""))</f>
        <v/>
      </c>
      <c r="F1172" s="42">
        <f>IF($C1172="","",IFERROR(INDEX(DESPACHOS!$I$3:$I$3002,MATCH($C1172,DESPACHOS!$B$3:$B$3002,0)),""))</f>
        <v/>
      </c>
      <c r="G1172" s="42">
        <f>IF($C1172="","",IFERROR(INDEX(DESPACHOS!$F$3:$F$3002,MATCH($C1172,DESPACHOS!$B$3:$B$3002,0)),""))</f>
        <v/>
      </c>
      <c r="H1172" s="42">
        <f>IF($C1172="","",IFERROR(INDEX(DESPACHOS!$G$3:$G$3002,MATCH($C1172,DESPACHOS!$B$3:$B$3002,0)),""))</f>
        <v/>
      </c>
      <c r="I1172" s="39">
        <f>IF($C1172="","",IFERROR(INDEX(DESPACHOS!$H$3:$H$3002,MATCH($C1172,DESPACHOS!$B$3:$B$3002,0)),""))</f>
        <v/>
      </c>
      <c r="J1172" s="43">
        <f>IF($C1172="","",IFERROR(INDEX(DESPACHOS!$J$3:$J$3002,MATCH($C1172,DESPACHOS!$B$3:$B$3002,0)),""))</f>
        <v/>
      </c>
      <c r="K1172" s="39">
        <f>IF($C1172="","",IF(COUNTIFS(DESPACHOS!$B$3:$B$3002,$C1172)=0,"NO EXISTE",IF(COUNTIFS(DESPACHOS!$B$3:$B$3002,$C1172)&gt;1,"DUPLICADO","OK")))</f>
        <v/>
      </c>
      <c r="L1172" s="41" t="n"/>
      <c r="M1172" s="41" t="n"/>
      <c r="N1172" s="42">
        <f>IF($M1172="","",IFERROR(INDEX(LISTAS!$F$3:$F$42,MATCH($M1172,LISTAS!$E$3:$E$42,0)),"Por definir"))</f>
        <v/>
      </c>
      <c r="O1172" s="41" t="n"/>
      <c r="P1172" s="39">
        <f>IF($L1172="","",IFERROR(INDEX(LISTAS!$B$3:$B$42,MATCH($L1172,LISTAS!$A$3:$A$42,0)),"Media"))</f>
        <v/>
      </c>
      <c r="Q1172" s="44" t="n"/>
      <c r="R1172" s="45" t="n"/>
      <c r="S1172" s="20">
        <f>IFERROR(IF(OR($R1172="",$C1172=""),"",$R1172/INDEX(DESPACHOS!$M$3:$M$3002,MATCH($C1172,DESPACHOS!$B$3:$B$3002,0))),"")</f>
        <v/>
      </c>
      <c r="T1172" s="41" t="n"/>
      <c r="U1172" s="43">
        <f>IF(OR($B1172="",$L1172=""),"",WORKDAY($B1172,IFERROR(INDEX(LISTAS!$C$3:$C$42,MATCH($L1172,LISTAS!$A$3:$A$42,0)),3)))</f>
        <v/>
      </c>
      <c r="V1172" s="40" t="n"/>
      <c r="W1172" s="19">
        <f>IF($B1172="","",IF($V1172&lt;&gt;"",$V1172-$B1172,TODAY()-$B1172))</f>
        <v/>
      </c>
      <c r="X1172" s="19">
        <f>IF(OR($B1172="",$U1172=""),"",IF($V1172&lt;&gt;"",MAX(0,$V1172-$U1172),MAX(0,TODAY()-$U1172)))</f>
        <v/>
      </c>
      <c r="Y1172" s="39">
        <f>IF($C1172="","",IF(IFERROR(INDEX(LISTAS!$I$3:$I$42,MATCH($T1172,LISTAS!$H$3:$H$42,0)),"NO")="SÍ",IF(N($X1172)&gt;0,"CERRADA FUERA DE SLA","CERRADA EN SLA"),IF($U1172="","SIN CLASIFICAR",IF(N($X1172)&gt;0,"VENCIDA",IF(TODAY()&gt;=$U1172-1,"POR VENCER","EN PLAZO")))))</f>
        <v/>
      </c>
      <c r="Z1172" s="41" t="n"/>
      <c r="AA1172" s="41" t="n"/>
      <c r="AB1172" s="41" t="n"/>
    </row>
    <row r="1173">
      <c r="A1173" s="39">
        <f>IF($C1173="","","NOV-"&amp;TEXT(ROW()-3,"0000"))</f>
        <v/>
      </c>
      <c r="B1173" s="40" t="n"/>
      <c r="C1173" s="41" t="n"/>
      <c r="D1173" s="42">
        <f>IF($C1173="","",IFERROR(INDEX(DESPACHOS!$D$3:$D$3002,MATCH($C1173,DESPACHOS!$B$3:$B$3002,0)),"SIN DESPACHO"))</f>
        <v/>
      </c>
      <c r="E1173" s="42">
        <f>IF($C1173="","",IFERROR(INDEX(DESPACHOS!$K$3:$K$3002,MATCH($C1173,DESPACHOS!$B$3:$B$3002,0)),""))</f>
        <v/>
      </c>
      <c r="F1173" s="42">
        <f>IF($C1173="","",IFERROR(INDEX(DESPACHOS!$I$3:$I$3002,MATCH($C1173,DESPACHOS!$B$3:$B$3002,0)),""))</f>
        <v/>
      </c>
      <c r="G1173" s="42">
        <f>IF($C1173="","",IFERROR(INDEX(DESPACHOS!$F$3:$F$3002,MATCH($C1173,DESPACHOS!$B$3:$B$3002,0)),""))</f>
        <v/>
      </c>
      <c r="H1173" s="42">
        <f>IF($C1173="","",IFERROR(INDEX(DESPACHOS!$G$3:$G$3002,MATCH($C1173,DESPACHOS!$B$3:$B$3002,0)),""))</f>
        <v/>
      </c>
      <c r="I1173" s="39">
        <f>IF($C1173="","",IFERROR(INDEX(DESPACHOS!$H$3:$H$3002,MATCH($C1173,DESPACHOS!$B$3:$B$3002,0)),""))</f>
        <v/>
      </c>
      <c r="J1173" s="43">
        <f>IF($C1173="","",IFERROR(INDEX(DESPACHOS!$J$3:$J$3002,MATCH($C1173,DESPACHOS!$B$3:$B$3002,0)),""))</f>
        <v/>
      </c>
      <c r="K1173" s="39">
        <f>IF($C1173="","",IF(COUNTIFS(DESPACHOS!$B$3:$B$3002,$C1173)=0,"NO EXISTE",IF(COUNTIFS(DESPACHOS!$B$3:$B$3002,$C1173)&gt;1,"DUPLICADO","OK")))</f>
        <v/>
      </c>
      <c r="L1173" s="41" t="n"/>
      <c r="M1173" s="41" t="n"/>
      <c r="N1173" s="42">
        <f>IF($M1173="","",IFERROR(INDEX(LISTAS!$F$3:$F$42,MATCH($M1173,LISTAS!$E$3:$E$42,0)),"Por definir"))</f>
        <v/>
      </c>
      <c r="O1173" s="41" t="n"/>
      <c r="P1173" s="39">
        <f>IF($L1173="","",IFERROR(INDEX(LISTAS!$B$3:$B$42,MATCH($L1173,LISTAS!$A$3:$A$42,0)),"Media"))</f>
        <v/>
      </c>
      <c r="Q1173" s="44" t="n"/>
      <c r="R1173" s="45" t="n"/>
      <c r="S1173" s="20">
        <f>IFERROR(IF(OR($R1173="",$C1173=""),"",$R1173/INDEX(DESPACHOS!$M$3:$M$3002,MATCH($C1173,DESPACHOS!$B$3:$B$3002,0))),"")</f>
        <v/>
      </c>
      <c r="T1173" s="41" t="n"/>
      <c r="U1173" s="43">
        <f>IF(OR($B1173="",$L1173=""),"",WORKDAY($B1173,IFERROR(INDEX(LISTAS!$C$3:$C$42,MATCH($L1173,LISTAS!$A$3:$A$42,0)),3)))</f>
        <v/>
      </c>
      <c r="V1173" s="40" t="n"/>
      <c r="W1173" s="19">
        <f>IF($B1173="","",IF($V1173&lt;&gt;"",$V1173-$B1173,TODAY()-$B1173))</f>
        <v/>
      </c>
      <c r="X1173" s="19">
        <f>IF(OR($B1173="",$U1173=""),"",IF($V1173&lt;&gt;"",MAX(0,$V1173-$U1173),MAX(0,TODAY()-$U1173)))</f>
        <v/>
      </c>
      <c r="Y1173" s="39">
        <f>IF($C1173="","",IF(IFERROR(INDEX(LISTAS!$I$3:$I$42,MATCH($T1173,LISTAS!$H$3:$H$42,0)),"NO")="SÍ",IF(N($X1173)&gt;0,"CERRADA FUERA DE SLA","CERRADA EN SLA"),IF($U1173="","SIN CLASIFICAR",IF(N($X1173)&gt;0,"VENCIDA",IF(TODAY()&gt;=$U1173-1,"POR VENCER","EN PLAZO")))))</f>
        <v/>
      </c>
      <c r="Z1173" s="41" t="n"/>
      <c r="AA1173" s="41" t="n"/>
      <c r="AB1173" s="41" t="n"/>
    </row>
    <row r="1174">
      <c r="A1174" s="39">
        <f>IF($C1174="","","NOV-"&amp;TEXT(ROW()-3,"0000"))</f>
        <v/>
      </c>
      <c r="B1174" s="40" t="n"/>
      <c r="C1174" s="41" t="n"/>
      <c r="D1174" s="42">
        <f>IF($C1174="","",IFERROR(INDEX(DESPACHOS!$D$3:$D$3002,MATCH($C1174,DESPACHOS!$B$3:$B$3002,0)),"SIN DESPACHO"))</f>
        <v/>
      </c>
      <c r="E1174" s="42">
        <f>IF($C1174="","",IFERROR(INDEX(DESPACHOS!$K$3:$K$3002,MATCH($C1174,DESPACHOS!$B$3:$B$3002,0)),""))</f>
        <v/>
      </c>
      <c r="F1174" s="42">
        <f>IF($C1174="","",IFERROR(INDEX(DESPACHOS!$I$3:$I$3002,MATCH($C1174,DESPACHOS!$B$3:$B$3002,0)),""))</f>
        <v/>
      </c>
      <c r="G1174" s="42">
        <f>IF($C1174="","",IFERROR(INDEX(DESPACHOS!$F$3:$F$3002,MATCH($C1174,DESPACHOS!$B$3:$B$3002,0)),""))</f>
        <v/>
      </c>
      <c r="H1174" s="42">
        <f>IF($C1174="","",IFERROR(INDEX(DESPACHOS!$G$3:$G$3002,MATCH($C1174,DESPACHOS!$B$3:$B$3002,0)),""))</f>
        <v/>
      </c>
      <c r="I1174" s="39">
        <f>IF($C1174="","",IFERROR(INDEX(DESPACHOS!$H$3:$H$3002,MATCH($C1174,DESPACHOS!$B$3:$B$3002,0)),""))</f>
        <v/>
      </c>
      <c r="J1174" s="43">
        <f>IF($C1174="","",IFERROR(INDEX(DESPACHOS!$J$3:$J$3002,MATCH($C1174,DESPACHOS!$B$3:$B$3002,0)),""))</f>
        <v/>
      </c>
      <c r="K1174" s="39">
        <f>IF($C1174="","",IF(COUNTIFS(DESPACHOS!$B$3:$B$3002,$C1174)=0,"NO EXISTE",IF(COUNTIFS(DESPACHOS!$B$3:$B$3002,$C1174)&gt;1,"DUPLICADO","OK")))</f>
        <v/>
      </c>
      <c r="L1174" s="41" t="n"/>
      <c r="M1174" s="41" t="n"/>
      <c r="N1174" s="42">
        <f>IF($M1174="","",IFERROR(INDEX(LISTAS!$F$3:$F$42,MATCH($M1174,LISTAS!$E$3:$E$42,0)),"Por definir"))</f>
        <v/>
      </c>
      <c r="O1174" s="41" t="n"/>
      <c r="P1174" s="39">
        <f>IF($L1174="","",IFERROR(INDEX(LISTAS!$B$3:$B$42,MATCH($L1174,LISTAS!$A$3:$A$42,0)),"Media"))</f>
        <v/>
      </c>
      <c r="Q1174" s="44" t="n"/>
      <c r="R1174" s="45" t="n"/>
      <c r="S1174" s="20">
        <f>IFERROR(IF(OR($R1174="",$C1174=""),"",$R1174/INDEX(DESPACHOS!$M$3:$M$3002,MATCH($C1174,DESPACHOS!$B$3:$B$3002,0))),"")</f>
        <v/>
      </c>
      <c r="T1174" s="41" t="n"/>
      <c r="U1174" s="43">
        <f>IF(OR($B1174="",$L1174=""),"",WORKDAY($B1174,IFERROR(INDEX(LISTAS!$C$3:$C$42,MATCH($L1174,LISTAS!$A$3:$A$42,0)),3)))</f>
        <v/>
      </c>
      <c r="V1174" s="40" t="n"/>
      <c r="W1174" s="19">
        <f>IF($B1174="","",IF($V1174&lt;&gt;"",$V1174-$B1174,TODAY()-$B1174))</f>
        <v/>
      </c>
      <c r="X1174" s="19">
        <f>IF(OR($B1174="",$U1174=""),"",IF($V1174&lt;&gt;"",MAX(0,$V1174-$U1174),MAX(0,TODAY()-$U1174)))</f>
        <v/>
      </c>
      <c r="Y1174" s="39">
        <f>IF($C1174="","",IF(IFERROR(INDEX(LISTAS!$I$3:$I$42,MATCH($T1174,LISTAS!$H$3:$H$42,0)),"NO")="SÍ",IF(N($X1174)&gt;0,"CERRADA FUERA DE SLA","CERRADA EN SLA"),IF($U1174="","SIN CLASIFICAR",IF(N($X1174)&gt;0,"VENCIDA",IF(TODAY()&gt;=$U1174-1,"POR VENCER","EN PLAZO")))))</f>
        <v/>
      </c>
      <c r="Z1174" s="41" t="n"/>
      <c r="AA1174" s="41" t="n"/>
      <c r="AB1174" s="41" t="n"/>
    </row>
    <row r="1175">
      <c r="A1175" s="39">
        <f>IF($C1175="","","NOV-"&amp;TEXT(ROW()-3,"0000"))</f>
        <v/>
      </c>
      <c r="B1175" s="40" t="n"/>
      <c r="C1175" s="41" t="n"/>
      <c r="D1175" s="42">
        <f>IF($C1175="","",IFERROR(INDEX(DESPACHOS!$D$3:$D$3002,MATCH($C1175,DESPACHOS!$B$3:$B$3002,0)),"SIN DESPACHO"))</f>
        <v/>
      </c>
      <c r="E1175" s="42">
        <f>IF($C1175="","",IFERROR(INDEX(DESPACHOS!$K$3:$K$3002,MATCH($C1175,DESPACHOS!$B$3:$B$3002,0)),""))</f>
        <v/>
      </c>
      <c r="F1175" s="42">
        <f>IF($C1175="","",IFERROR(INDEX(DESPACHOS!$I$3:$I$3002,MATCH($C1175,DESPACHOS!$B$3:$B$3002,0)),""))</f>
        <v/>
      </c>
      <c r="G1175" s="42">
        <f>IF($C1175="","",IFERROR(INDEX(DESPACHOS!$F$3:$F$3002,MATCH($C1175,DESPACHOS!$B$3:$B$3002,0)),""))</f>
        <v/>
      </c>
      <c r="H1175" s="42">
        <f>IF($C1175="","",IFERROR(INDEX(DESPACHOS!$G$3:$G$3002,MATCH($C1175,DESPACHOS!$B$3:$B$3002,0)),""))</f>
        <v/>
      </c>
      <c r="I1175" s="39">
        <f>IF($C1175="","",IFERROR(INDEX(DESPACHOS!$H$3:$H$3002,MATCH($C1175,DESPACHOS!$B$3:$B$3002,0)),""))</f>
        <v/>
      </c>
      <c r="J1175" s="43">
        <f>IF($C1175="","",IFERROR(INDEX(DESPACHOS!$J$3:$J$3002,MATCH($C1175,DESPACHOS!$B$3:$B$3002,0)),""))</f>
        <v/>
      </c>
      <c r="K1175" s="39">
        <f>IF($C1175="","",IF(COUNTIFS(DESPACHOS!$B$3:$B$3002,$C1175)=0,"NO EXISTE",IF(COUNTIFS(DESPACHOS!$B$3:$B$3002,$C1175)&gt;1,"DUPLICADO","OK")))</f>
        <v/>
      </c>
      <c r="L1175" s="41" t="n"/>
      <c r="M1175" s="41" t="n"/>
      <c r="N1175" s="42">
        <f>IF($M1175="","",IFERROR(INDEX(LISTAS!$F$3:$F$42,MATCH($M1175,LISTAS!$E$3:$E$42,0)),"Por definir"))</f>
        <v/>
      </c>
      <c r="O1175" s="41" t="n"/>
      <c r="P1175" s="39">
        <f>IF($L1175="","",IFERROR(INDEX(LISTAS!$B$3:$B$42,MATCH($L1175,LISTAS!$A$3:$A$42,0)),"Media"))</f>
        <v/>
      </c>
      <c r="Q1175" s="44" t="n"/>
      <c r="R1175" s="45" t="n"/>
      <c r="S1175" s="20">
        <f>IFERROR(IF(OR($R1175="",$C1175=""),"",$R1175/INDEX(DESPACHOS!$M$3:$M$3002,MATCH($C1175,DESPACHOS!$B$3:$B$3002,0))),"")</f>
        <v/>
      </c>
      <c r="T1175" s="41" t="n"/>
      <c r="U1175" s="43">
        <f>IF(OR($B1175="",$L1175=""),"",WORKDAY($B1175,IFERROR(INDEX(LISTAS!$C$3:$C$42,MATCH($L1175,LISTAS!$A$3:$A$42,0)),3)))</f>
        <v/>
      </c>
      <c r="V1175" s="40" t="n"/>
      <c r="W1175" s="19">
        <f>IF($B1175="","",IF($V1175&lt;&gt;"",$V1175-$B1175,TODAY()-$B1175))</f>
        <v/>
      </c>
      <c r="X1175" s="19">
        <f>IF(OR($B1175="",$U1175=""),"",IF($V1175&lt;&gt;"",MAX(0,$V1175-$U1175),MAX(0,TODAY()-$U1175)))</f>
        <v/>
      </c>
      <c r="Y1175" s="39">
        <f>IF($C1175="","",IF(IFERROR(INDEX(LISTAS!$I$3:$I$42,MATCH($T1175,LISTAS!$H$3:$H$42,0)),"NO")="SÍ",IF(N($X1175)&gt;0,"CERRADA FUERA DE SLA","CERRADA EN SLA"),IF($U1175="","SIN CLASIFICAR",IF(N($X1175)&gt;0,"VENCIDA",IF(TODAY()&gt;=$U1175-1,"POR VENCER","EN PLAZO")))))</f>
        <v/>
      </c>
      <c r="Z1175" s="41" t="n"/>
      <c r="AA1175" s="41" t="n"/>
      <c r="AB1175" s="41" t="n"/>
    </row>
    <row r="1176">
      <c r="A1176" s="39">
        <f>IF($C1176="","","NOV-"&amp;TEXT(ROW()-3,"0000"))</f>
        <v/>
      </c>
      <c r="B1176" s="40" t="n"/>
      <c r="C1176" s="41" t="n"/>
      <c r="D1176" s="42">
        <f>IF($C1176="","",IFERROR(INDEX(DESPACHOS!$D$3:$D$3002,MATCH($C1176,DESPACHOS!$B$3:$B$3002,0)),"SIN DESPACHO"))</f>
        <v/>
      </c>
      <c r="E1176" s="42">
        <f>IF($C1176="","",IFERROR(INDEX(DESPACHOS!$K$3:$K$3002,MATCH($C1176,DESPACHOS!$B$3:$B$3002,0)),""))</f>
        <v/>
      </c>
      <c r="F1176" s="42">
        <f>IF($C1176="","",IFERROR(INDEX(DESPACHOS!$I$3:$I$3002,MATCH($C1176,DESPACHOS!$B$3:$B$3002,0)),""))</f>
        <v/>
      </c>
      <c r="G1176" s="42">
        <f>IF($C1176="","",IFERROR(INDEX(DESPACHOS!$F$3:$F$3002,MATCH($C1176,DESPACHOS!$B$3:$B$3002,0)),""))</f>
        <v/>
      </c>
      <c r="H1176" s="42">
        <f>IF($C1176="","",IFERROR(INDEX(DESPACHOS!$G$3:$G$3002,MATCH($C1176,DESPACHOS!$B$3:$B$3002,0)),""))</f>
        <v/>
      </c>
      <c r="I1176" s="39">
        <f>IF($C1176="","",IFERROR(INDEX(DESPACHOS!$H$3:$H$3002,MATCH($C1176,DESPACHOS!$B$3:$B$3002,0)),""))</f>
        <v/>
      </c>
      <c r="J1176" s="43">
        <f>IF($C1176="","",IFERROR(INDEX(DESPACHOS!$J$3:$J$3002,MATCH($C1176,DESPACHOS!$B$3:$B$3002,0)),""))</f>
        <v/>
      </c>
      <c r="K1176" s="39">
        <f>IF($C1176="","",IF(COUNTIFS(DESPACHOS!$B$3:$B$3002,$C1176)=0,"NO EXISTE",IF(COUNTIFS(DESPACHOS!$B$3:$B$3002,$C1176)&gt;1,"DUPLICADO","OK")))</f>
        <v/>
      </c>
      <c r="L1176" s="41" t="n"/>
      <c r="M1176" s="41" t="n"/>
      <c r="N1176" s="42">
        <f>IF($M1176="","",IFERROR(INDEX(LISTAS!$F$3:$F$42,MATCH($M1176,LISTAS!$E$3:$E$42,0)),"Por definir"))</f>
        <v/>
      </c>
      <c r="O1176" s="41" t="n"/>
      <c r="P1176" s="39">
        <f>IF($L1176="","",IFERROR(INDEX(LISTAS!$B$3:$B$42,MATCH($L1176,LISTAS!$A$3:$A$42,0)),"Media"))</f>
        <v/>
      </c>
      <c r="Q1176" s="44" t="n"/>
      <c r="R1176" s="45" t="n"/>
      <c r="S1176" s="20">
        <f>IFERROR(IF(OR($R1176="",$C1176=""),"",$R1176/INDEX(DESPACHOS!$M$3:$M$3002,MATCH($C1176,DESPACHOS!$B$3:$B$3002,0))),"")</f>
        <v/>
      </c>
      <c r="T1176" s="41" t="n"/>
      <c r="U1176" s="43">
        <f>IF(OR($B1176="",$L1176=""),"",WORKDAY($B1176,IFERROR(INDEX(LISTAS!$C$3:$C$42,MATCH($L1176,LISTAS!$A$3:$A$42,0)),3)))</f>
        <v/>
      </c>
      <c r="V1176" s="40" t="n"/>
      <c r="W1176" s="19">
        <f>IF($B1176="","",IF($V1176&lt;&gt;"",$V1176-$B1176,TODAY()-$B1176))</f>
        <v/>
      </c>
      <c r="X1176" s="19">
        <f>IF(OR($B1176="",$U1176=""),"",IF($V1176&lt;&gt;"",MAX(0,$V1176-$U1176),MAX(0,TODAY()-$U1176)))</f>
        <v/>
      </c>
      <c r="Y1176" s="39">
        <f>IF($C1176="","",IF(IFERROR(INDEX(LISTAS!$I$3:$I$42,MATCH($T1176,LISTAS!$H$3:$H$42,0)),"NO")="SÍ",IF(N($X1176)&gt;0,"CERRADA FUERA DE SLA","CERRADA EN SLA"),IF($U1176="","SIN CLASIFICAR",IF(N($X1176)&gt;0,"VENCIDA",IF(TODAY()&gt;=$U1176-1,"POR VENCER","EN PLAZO")))))</f>
        <v/>
      </c>
      <c r="Z1176" s="41" t="n"/>
      <c r="AA1176" s="41" t="n"/>
      <c r="AB1176" s="41" t="n"/>
    </row>
    <row r="1177">
      <c r="A1177" s="39">
        <f>IF($C1177="","","NOV-"&amp;TEXT(ROW()-3,"0000"))</f>
        <v/>
      </c>
      <c r="B1177" s="40" t="n"/>
      <c r="C1177" s="41" t="n"/>
      <c r="D1177" s="42">
        <f>IF($C1177="","",IFERROR(INDEX(DESPACHOS!$D$3:$D$3002,MATCH($C1177,DESPACHOS!$B$3:$B$3002,0)),"SIN DESPACHO"))</f>
        <v/>
      </c>
      <c r="E1177" s="42">
        <f>IF($C1177="","",IFERROR(INDEX(DESPACHOS!$K$3:$K$3002,MATCH($C1177,DESPACHOS!$B$3:$B$3002,0)),""))</f>
        <v/>
      </c>
      <c r="F1177" s="42">
        <f>IF($C1177="","",IFERROR(INDEX(DESPACHOS!$I$3:$I$3002,MATCH($C1177,DESPACHOS!$B$3:$B$3002,0)),""))</f>
        <v/>
      </c>
      <c r="G1177" s="42">
        <f>IF($C1177="","",IFERROR(INDEX(DESPACHOS!$F$3:$F$3002,MATCH($C1177,DESPACHOS!$B$3:$B$3002,0)),""))</f>
        <v/>
      </c>
      <c r="H1177" s="42">
        <f>IF($C1177="","",IFERROR(INDEX(DESPACHOS!$G$3:$G$3002,MATCH($C1177,DESPACHOS!$B$3:$B$3002,0)),""))</f>
        <v/>
      </c>
      <c r="I1177" s="39">
        <f>IF($C1177="","",IFERROR(INDEX(DESPACHOS!$H$3:$H$3002,MATCH($C1177,DESPACHOS!$B$3:$B$3002,0)),""))</f>
        <v/>
      </c>
      <c r="J1177" s="43">
        <f>IF($C1177="","",IFERROR(INDEX(DESPACHOS!$J$3:$J$3002,MATCH($C1177,DESPACHOS!$B$3:$B$3002,0)),""))</f>
        <v/>
      </c>
      <c r="K1177" s="39">
        <f>IF($C1177="","",IF(COUNTIFS(DESPACHOS!$B$3:$B$3002,$C1177)=0,"NO EXISTE",IF(COUNTIFS(DESPACHOS!$B$3:$B$3002,$C1177)&gt;1,"DUPLICADO","OK")))</f>
        <v/>
      </c>
      <c r="L1177" s="41" t="n"/>
      <c r="M1177" s="41" t="n"/>
      <c r="N1177" s="42">
        <f>IF($M1177="","",IFERROR(INDEX(LISTAS!$F$3:$F$42,MATCH($M1177,LISTAS!$E$3:$E$42,0)),"Por definir"))</f>
        <v/>
      </c>
      <c r="O1177" s="41" t="n"/>
      <c r="P1177" s="39">
        <f>IF($L1177="","",IFERROR(INDEX(LISTAS!$B$3:$B$42,MATCH($L1177,LISTAS!$A$3:$A$42,0)),"Media"))</f>
        <v/>
      </c>
      <c r="Q1177" s="44" t="n"/>
      <c r="R1177" s="45" t="n"/>
      <c r="S1177" s="20">
        <f>IFERROR(IF(OR($R1177="",$C1177=""),"",$R1177/INDEX(DESPACHOS!$M$3:$M$3002,MATCH($C1177,DESPACHOS!$B$3:$B$3002,0))),"")</f>
        <v/>
      </c>
      <c r="T1177" s="41" t="n"/>
      <c r="U1177" s="43">
        <f>IF(OR($B1177="",$L1177=""),"",WORKDAY($B1177,IFERROR(INDEX(LISTAS!$C$3:$C$42,MATCH($L1177,LISTAS!$A$3:$A$42,0)),3)))</f>
        <v/>
      </c>
      <c r="V1177" s="40" t="n"/>
      <c r="W1177" s="19">
        <f>IF($B1177="","",IF($V1177&lt;&gt;"",$V1177-$B1177,TODAY()-$B1177))</f>
        <v/>
      </c>
      <c r="X1177" s="19">
        <f>IF(OR($B1177="",$U1177=""),"",IF($V1177&lt;&gt;"",MAX(0,$V1177-$U1177),MAX(0,TODAY()-$U1177)))</f>
        <v/>
      </c>
      <c r="Y1177" s="39">
        <f>IF($C1177="","",IF(IFERROR(INDEX(LISTAS!$I$3:$I$42,MATCH($T1177,LISTAS!$H$3:$H$42,0)),"NO")="SÍ",IF(N($X1177)&gt;0,"CERRADA FUERA DE SLA","CERRADA EN SLA"),IF($U1177="","SIN CLASIFICAR",IF(N($X1177)&gt;0,"VENCIDA",IF(TODAY()&gt;=$U1177-1,"POR VENCER","EN PLAZO")))))</f>
        <v/>
      </c>
      <c r="Z1177" s="41" t="n"/>
      <c r="AA1177" s="41" t="n"/>
      <c r="AB1177" s="41" t="n"/>
    </row>
    <row r="1178">
      <c r="A1178" s="39">
        <f>IF($C1178="","","NOV-"&amp;TEXT(ROW()-3,"0000"))</f>
        <v/>
      </c>
      <c r="B1178" s="40" t="n"/>
      <c r="C1178" s="41" t="n"/>
      <c r="D1178" s="42">
        <f>IF($C1178="","",IFERROR(INDEX(DESPACHOS!$D$3:$D$3002,MATCH($C1178,DESPACHOS!$B$3:$B$3002,0)),"SIN DESPACHO"))</f>
        <v/>
      </c>
      <c r="E1178" s="42">
        <f>IF($C1178="","",IFERROR(INDEX(DESPACHOS!$K$3:$K$3002,MATCH($C1178,DESPACHOS!$B$3:$B$3002,0)),""))</f>
        <v/>
      </c>
      <c r="F1178" s="42">
        <f>IF($C1178="","",IFERROR(INDEX(DESPACHOS!$I$3:$I$3002,MATCH($C1178,DESPACHOS!$B$3:$B$3002,0)),""))</f>
        <v/>
      </c>
      <c r="G1178" s="42">
        <f>IF($C1178="","",IFERROR(INDEX(DESPACHOS!$F$3:$F$3002,MATCH($C1178,DESPACHOS!$B$3:$B$3002,0)),""))</f>
        <v/>
      </c>
      <c r="H1178" s="42">
        <f>IF($C1178="","",IFERROR(INDEX(DESPACHOS!$G$3:$G$3002,MATCH($C1178,DESPACHOS!$B$3:$B$3002,0)),""))</f>
        <v/>
      </c>
      <c r="I1178" s="39">
        <f>IF($C1178="","",IFERROR(INDEX(DESPACHOS!$H$3:$H$3002,MATCH($C1178,DESPACHOS!$B$3:$B$3002,0)),""))</f>
        <v/>
      </c>
      <c r="J1178" s="43">
        <f>IF($C1178="","",IFERROR(INDEX(DESPACHOS!$J$3:$J$3002,MATCH($C1178,DESPACHOS!$B$3:$B$3002,0)),""))</f>
        <v/>
      </c>
      <c r="K1178" s="39">
        <f>IF($C1178="","",IF(COUNTIFS(DESPACHOS!$B$3:$B$3002,$C1178)=0,"NO EXISTE",IF(COUNTIFS(DESPACHOS!$B$3:$B$3002,$C1178)&gt;1,"DUPLICADO","OK")))</f>
        <v/>
      </c>
      <c r="L1178" s="41" t="n"/>
      <c r="M1178" s="41" t="n"/>
      <c r="N1178" s="42">
        <f>IF($M1178="","",IFERROR(INDEX(LISTAS!$F$3:$F$42,MATCH($M1178,LISTAS!$E$3:$E$42,0)),"Por definir"))</f>
        <v/>
      </c>
      <c r="O1178" s="41" t="n"/>
      <c r="P1178" s="39">
        <f>IF($L1178="","",IFERROR(INDEX(LISTAS!$B$3:$B$42,MATCH($L1178,LISTAS!$A$3:$A$42,0)),"Media"))</f>
        <v/>
      </c>
      <c r="Q1178" s="44" t="n"/>
      <c r="R1178" s="45" t="n"/>
      <c r="S1178" s="20">
        <f>IFERROR(IF(OR($R1178="",$C1178=""),"",$R1178/INDEX(DESPACHOS!$M$3:$M$3002,MATCH($C1178,DESPACHOS!$B$3:$B$3002,0))),"")</f>
        <v/>
      </c>
      <c r="T1178" s="41" t="n"/>
      <c r="U1178" s="43">
        <f>IF(OR($B1178="",$L1178=""),"",WORKDAY($B1178,IFERROR(INDEX(LISTAS!$C$3:$C$42,MATCH($L1178,LISTAS!$A$3:$A$42,0)),3)))</f>
        <v/>
      </c>
      <c r="V1178" s="40" t="n"/>
      <c r="W1178" s="19">
        <f>IF($B1178="","",IF($V1178&lt;&gt;"",$V1178-$B1178,TODAY()-$B1178))</f>
        <v/>
      </c>
      <c r="X1178" s="19">
        <f>IF(OR($B1178="",$U1178=""),"",IF($V1178&lt;&gt;"",MAX(0,$V1178-$U1178),MAX(0,TODAY()-$U1178)))</f>
        <v/>
      </c>
      <c r="Y1178" s="39">
        <f>IF($C1178="","",IF(IFERROR(INDEX(LISTAS!$I$3:$I$42,MATCH($T1178,LISTAS!$H$3:$H$42,0)),"NO")="SÍ",IF(N($X1178)&gt;0,"CERRADA FUERA DE SLA","CERRADA EN SLA"),IF($U1178="","SIN CLASIFICAR",IF(N($X1178)&gt;0,"VENCIDA",IF(TODAY()&gt;=$U1178-1,"POR VENCER","EN PLAZO")))))</f>
        <v/>
      </c>
      <c r="Z1178" s="41" t="n"/>
      <c r="AA1178" s="41" t="n"/>
      <c r="AB1178" s="41" t="n"/>
    </row>
    <row r="1179">
      <c r="A1179" s="39">
        <f>IF($C1179="","","NOV-"&amp;TEXT(ROW()-3,"0000"))</f>
        <v/>
      </c>
      <c r="B1179" s="40" t="n"/>
      <c r="C1179" s="41" t="n"/>
      <c r="D1179" s="42">
        <f>IF($C1179="","",IFERROR(INDEX(DESPACHOS!$D$3:$D$3002,MATCH($C1179,DESPACHOS!$B$3:$B$3002,0)),"SIN DESPACHO"))</f>
        <v/>
      </c>
      <c r="E1179" s="42">
        <f>IF($C1179="","",IFERROR(INDEX(DESPACHOS!$K$3:$K$3002,MATCH($C1179,DESPACHOS!$B$3:$B$3002,0)),""))</f>
        <v/>
      </c>
      <c r="F1179" s="42">
        <f>IF($C1179="","",IFERROR(INDEX(DESPACHOS!$I$3:$I$3002,MATCH($C1179,DESPACHOS!$B$3:$B$3002,0)),""))</f>
        <v/>
      </c>
      <c r="G1179" s="42">
        <f>IF($C1179="","",IFERROR(INDEX(DESPACHOS!$F$3:$F$3002,MATCH($C1179,DESPACHOS!$B$3:$B$3002,0)),""))</f>
        <v/>
      </c>
      <c r="H1179" s="42">
        <f>IF($C1179="","",IFERROR(INDEX(DESPACHOS!$G$3:$G$3002,MATCH($C1179,DESPACHOS!$B$3:$B$3002,0)),""))</f>
        <v/>
      </c>
      <c r="I1179" s="39">
        <f>IF($C1179="","",IFERROR(INDEX(DESPACHOS!$H$3:$H$3002,MATCH($C1179,DESPACHOS!$B$3:$B$3002,0)),""))</f>
        <v/>
      </c>
      <c r="J1179" s="43">
        <f>IF($C1179="","",IFERROR(INDEX(DESPACHOS!$J$3:$J$3002,MATCH($C1179,DESPACHOS!$B$3:$B$3002,0)),""))</f>
        <v/>
      </c>
      <c r="K1179" s="39">
        <f>IF($C1179="","",IF(COUNTIFS(DESPACHOS!$B$3:$B$3002,$C1179)=0,"NO EXISTE",IF(COUNTIFS(DESPACHOS!$B$3:$B$3002,$C1179)&gt;1,"DUPLICADO","OK")))</f>
        <v/>
      </c>
      <c r="L1179" s="41" t="n"/>
      <c r="M1179" s="41" t="n"/>
      <c r="N1179" s="42">
        <f>IF($M1179="","",IFERROR(INDEX(LISTAS!$F$3:$F$42,MATCH($M1179,LISTAS!$E$3:$E$42,0)),"Por definir"))</f>
        <v/>
      </c>
      <c r="O1179" s="41" t="n"/>
      <c r="P1179" s="39">
        <f>IF($L1179="","",IFERROR(INDEX(LISTAS!$B$3:$B$42,MATCH($L1179,LISTAS!$A$3:$A$42,0)),"Media"))</f>
        <v/>
      </c>
      <c r="Q1179" s="44" t="n"/>
      <c r="R1179" s="45" t="n"/>
      <c r="S1179" s="20">
        <f>IFERROR(IF(OR($R1179="",$C1179=""),"",$R1179/INDEX(DESPACHOS!$M$3:$M$3002,MATCH($C1179,DESPACHOS!$B$3:$B$3002,0))),"")</f>
        <v/>
      </c>
      <c r="T1179" s="41" t="n"/>
      <c r="U1179" s="43">
        <f>IF(OR($B1179="",$L1179=""),"",WORKDAY($B1179,IFERROR(INDEX(LISTAS!$C$3:$C$42,MATCH($L1179,LISTAS!$A$3:$A$42,0)),3)))</f>
        <v/>
      </c>
      <c r="V1179" s="40" t="n"/>
      <c r="W1179" s="19">
        <f>IF($B1179="","",IF($V1179&lt;&gt;"",$V1179-$B1179,TODAY()-$B1179))</f>
        <v/>
      </c>
      <c r="X1179" s="19">
        <f>IF(OR($B1179="",$U1179=""),"",IF($V1179&lt;&gt;"",MAX(0,$V1179-$U1179),MAX(0,TODAY()-$U1179)))</f>
        <v/>
      </c>
      <c r="Y1179" s="39">
        <f>IF($C1179="","",IF(IFERROR(INDEX(LISTAS!$I$3:$I$42,MATCH($T1179,LISTAS!$H$3:$H$42,0)),"NO")="SÍ",IF(N($X1179)&gt;0,"CERRADA FUERA DE SLA","CERRADA EN SLA"),IF($U1179="","SIN CLASIFICAR",IF(N($X1179)&gt;0,"VENCIDA",IF(TODAY()&gt;=$U1179-1,"POR VENCER","EN PLAZO")))))</f>
        <v/>
      </c>
      <c r="Z1179" s="41" t="n"/>
      <c r="AA1179" s="41" t="n"/>
      <c r="AB1179" s="41" t="n"/>
    </row>
    <row r="1180">
      <c r="A1180" s="39">
        <f>IF($C1180="","","NOV-"&amp;TEXT(ROW()-3,"0000"))</f>
        <v/>
      </c>
      <c r="B1180" s="40" t="n"/>
      <c r="C1180" s="41" t="n"/>
      <c r="D1180" s="42">
        <f>IF($C1180="","",IFERROR(INDEX(DESPACHOS!$D$3:$D$3002,MATCH($C1180,DESPACHOS!$B$3:$B$3002,0)),"SIN DESPACHO"))</f>
        <v/>
      </c>
      <c r="E1180" s="42">
        <f>IF($C1180="","",IFERROR(INDEX(DESPACHOS!$K$3:$K$3002,MATCH($C1180,DESPACHOS!$B$3:$B$3002,0)),""))</f>
        <v/>
      </c>
      <c r="F1180" s="42">
        <f>IF($C1180="","",IFERROR(INDEX(DESPACHOS!$I$3:$I$3002,MATCH($C1180,DESPACHOS!$B$3:$B$3002,0)),""))</f>
        <v/>
      </c>
      <c r="G1180" s="42">
        <f>IF($C1180="","",IFERROR(INDEX(DESPACHOS!$F$3:$F$3002,MATCH($C1180,DESPACHOS!$B$3:$B$3002,0)),""))</f>
        <v/>
      </c>
      <c r="H1180" s="42">
        <f>IF($C1180="","",IFERROR(INDEX(DESPACHOS!$G$3:$G$3002,MATCH($C1180,DESPACHOS!$B$3:$B$3002,0)),""))</f>
        <v/>
      </c>
      <c r="I1180" s="39">
        <f>IF($C1180="","",IFERROR(INDEX(DESPACHOS!$H$3:$H$3002,MATCH($C1180,DESPACHOS!$B$3:$B$3002,0)),""))</f>
        <v/>
      </c>
      <c r="J1180" s="43">
        <f>IF($C1180="","",IFERROR(INDEX(DESPACHOS!$J$3:$J$3002,MATCH($C1180,DESPACHOS!$B$3:$B$3002,0)),""))</f>
        <v/>
      </c>
      <c r="K1180" s="39">
        <f>IF($C1180="","",IF(COUNTIFS(DESPACHOS!$B$3:$B$3002,$C1180)=0,"NO EXISTE",IF(COUNTIFS(DESPACHOS!$B$3:$B$3002,$C1180)&gt;1,"DUPLICADO","OK")))</f>
        <v/>
      </c>
      <c r="L1180" s="41" t="n"/>
      <c r="M1180" s="41" t="n"/>
      <c r="N1180" s="42">
        <f>IF($M1180="","",IFERROR(INDEX(LISTAS!$F$3:$F$42,MATCH($M1180,LISTAS!$E$3:$E$42,0)),"Por definir"))</f>
        <v/>
      </c>
      <c r="O1180" s="41" t="n"/>
      <c r="P1180" s="39">
        <f>IF($L1180="","",IFERROR(INDEX(LISTAS!$B$3:$B$42,MATCH($L1180,LISTAS!$A$3:$A$42,0)),"Media"))</f>
        <v/>
      </c>
      <c r="Q1180" s="44" t="n"/>
      <c r="R1180" s="45" t="n"/>
      <c r="S1180" s="20">
        <f>IFERROR(IF(OR($R1180="",$C1180=""),"",$R1180/INDEX(DESPACHOS!$M$3:$M$3002,MATCH($C1180,DESPACHOS!$B$3:$B$3002,0))),"")</f>
        <v/>
      </c>
      <c r="T1180" s="41" t="n"/>
      <c r="U1180" s="43">
        <f>IF(OR($B1180="",$L1180=""),"",WORKDAY($B1180,IFERROR(INDEX(LISTAS!$C$3:$C$42,MATCH($L1180,LISTAS!$A$3:$A$42,0)),3)))</f>
        <v/>
      </c>
      <c r="V1180" s="40" t="n"/>
      <c r="W1180" s="19">
        <f>IF($B1180="","",IF($V1180&lt;&gt;"",$V1180-$B1180,TODAY()-$B1180))</f>
        <v/>
      </c>
      <c r="X1180" s="19">
        <f>IF(OR($B1180="",$U1180=""),"",IF($V1180&lt;&gt;"",MAX(0,$V1180-$U1180),MAX(0,TODAY()-$U1180)))</f>
        <v/>
      </c>
      <c r="Y1180" s="39">
        <f>IF($C1180="","",IF(IFERROR(INDEX(LISTAS!$I$3:$I$42,MATCH($T1180,LISTAS!$H$3:$H$42,0)),"NO")="SÍ",IF(N($X1180)&gt;0,"CERRADA FUERA DE SLA","CERRADA EN SLA"),IF($U1180="","SIN CLASIFICAR",IF(N($X1180)&gt;0,"VENCIDA",IF(TODAY()&gt;=$U1180-1,"POR VENCER","EN PLAZO")))))</f>
        <v/>
      </c>
      <c r="Z1180" s="41" t="n"/>
      <c r="AA1180" s="41" t="n"/>
      <c r="AB1180" s="41" t="n"/>
    </row>
    <row r="1181">
      <c r="A1181" s="39">
        <f>IF($C1181="","","NOV-"&amp;TEXT(ROW()-3,"0000"))</f>
        <v/>
      </c>
      <c r="B1181" s="40" t="n"/>
      <c r="C1181" s="41" t="n"/>
      <c r="D1181" s="42">
        <f>IF($C1181="","",IFERROR(INDEX(DESPACHOS!$D$3:$D$3002,MATCH($C1181,DESPACHOS!$B$3:$B$3002,0)),"SIN DESPACHO"))</f>
        <v/>
      </c>
      <c r="E1181" s="42">
        <f>IF($C1181="","",IFERROR(INDEX(DESPACHOS!$K$3:$K$3002,MATCH($C1181,DESPACHOS!$B$3:$B$3002,0)),""))</f>
        <v/>
      </c>
      <c r="F1181" s="42">
        <f>IF($C1181="","",IFERROR(INDEX(DESPACHOS!$I$3:$I$3002,MATCH($C1181,DESPACHOS!$B$3:$B$3002,0)),""))</f>
        <v/>
      </c>
      <c r="G1181" s="42">
        <f>IF($C1181="","",IFERROR(INDEX(DESPACHOS!$F$3:$F$3002,MATCH($C1181,DESPACHOS!$B$3:$B$3002,0)),""))</f>
        <v/>
      </c>
      <c r="H1181" s="42">
        <f>IF($C1181="","",IFERROR(INDEX(DESPACHOS!$G$3:$G$3002,MATCH($C1181,DESPACHOS!$B$3:$B$3002,0)),""))</f>
        <v/>
      </c>
      <c r="I1181" s="39">
        <f>IF($C1181="","",IFERROR(INDEX(DESPACHOS!$H$3:$H$3002,MATCH($C1181,DESPACHOS!$B$3:$B$3002,0)),""))</f>
        <v/>
      </c>
      <c r="J1181" s="43">
        <f>IF($C1181="","",IFERROR(INDEX(DESPACHOS!$J$3:$J$3002,MATCH($C1181,DESPACHOS!$B$3:$B$3002,0)),""))</f>
        <v/>
      </c>
      <c r="K1181" s="39">
        <f>IF($C1181="","",IF(COUNTIFS(DESPACHOS!$B$3:$B$3002,$C1181)=0,"NO EXISTE",IF(COUNTIFS(DESPACHOS!$B$3:$B$3002,$C1181)&gt;1,"DUPLICADO","OK")))</f>
        <v/>
      </c>
      <c r="L1181" s="41" t="n"/>
      <c r="M1181" s="41" t="n"/>
      <c r="N1181" s="42">
        <f>IF($M1181="","",IFERROR(INDEX(LISTAS!$F$3:$F$42,MATCH($M1181,LISTAS!$E$3:$E$42,0)),"Por definir"))</f>
        <v/>
      </c>
      <c r="O1181" s="41" t="n"/>
      <c r="P1181" s="39">
        <f>IF($L1181="","",IFERROR(INDEX(LISTAS!$B$3:$B$42,MATCH($L1181,LISTAS!$A$3:$A$42,0)),"Media"))</f>
        <v/>
      </c>
      <c r="Q1181" s="44" t="n"/>
      <c r="R1181" s="45" t="n"/>
      <c r="S1181" s="20">
        <f>IFERROR(IF(OR($R1181="",$C1181=""),"",$R1181/INDEX(DESPACHOS!$M$3:$M$3002,MATCH($C1181,DESPACHOS!$B$3:$B$3002,0))),"")</f>
        <v/>
      </c>
      <c r="T1181" s="41" t="n"/>
      <c r="U1181" s="43">
        <f>IF(OR($B1181="",$L1181=""),"",WORKDAY($B1181,IFERROR(INDEX(LISTAS!$C$3:$C$42,MATCH($L1181,LISTAS!$A$3:$A$42,0)),3)))</f>
        <v/>
      </c>
      <c r="V1181" s="40" t="n"/>
      <c r="W1181" s="19">
        <f>IF($B1181="","",IF($V1181&lt;&gt;"",$V1181-$B1181,TODAY()-$B1181))</f>
        <v/>
      </c>
      <c r="X1181" s="19">
        <f>IF(OR($B1181="",$U1181=""),"",IF($V1181&lt;&gt;"",MAX(0,$V1181-$U1181),MAX(0,TODAY()-$U1181)))</f>
        <v/>
      </c>
      <c r="Y1181" s="39">
        <f>IF($C1181="","",IF(IFERROR(INDEX(LISTAS!$I$3:$I$42,MATCH($T1181,LISTAS!$H$3:$H$42,0)),"NO")="SÍ",IF(N($X1181)&gt;0,"CERRADA FUERA DE SLA","CERRADA EN SLA"),IF($U1181="","SIN CLASIFICAR",IF(N($X1181)&gt;0,"VENCIDA",IF(TODAY()&gt;=$U1181-1,"POR VENCER","EN PLAZO")))))</f>
        <v/>
      </c>
      <c r="Z1181" s="41" t="n"/>
      <c r="AA1181" s="41" t="n"/>
      <c r="AB1181" s="41" t="n"/>
    </row>
    <row r="1182">
      <c r="A1182" s="39">
        <f>IF($C1182="","","NOV-"&amp;TEXT(ROW()-3,"0000"))</f>
        <v/>
      </c>
      <c r="B1182" s="40" t="n"/>
      <c r="C1182" s="41" t="n"/>
      <c r="D1182" s="42">
        <f>IF($C1182="","",IFERROR(INDEX(DESPACHOS!$D$3:$D$3002,MATCH($C1182,DESPACHOS!$B$3:$B$3002,0)),"SIN DESPACHO"))</f>
        <v/>
      </c>
      <c r="E1182" s="42">
        <f>IF($C1182="","",IFERROR(INDEX(DESPACHOS!$K$3:$K$3002,MATCH($C1182,DESPACHOS!$B$3:$B$3002,0)),""))</f>
        <v/>
      </c>
      <c r="F1182" s="42">
        <f>IF($C1182="","",IFERROR(INDEX(DESPACHOS!$I$3:$I$3002,MATCH($C1182,DESPACHOS!$B$3:$B$3002,0)),""))</f>
        <v/>
      </c>
      <c r="G1182" s="42">
        <f>IF($C1182="","",IFERROR(INDEX(DESPACHOS!$F$3:$F$3002,MATCH($C1182,DESPACHOS!$B$3:$B$3002,0)),""))</f>
        <v/>
      </c>
      <c r="H1182" s="42">
        <f>IF($C1182="","",IFERROR(INDEX(DESPACHOS!$G$3:$G$3002,MATCH($C1182,DESPACHOS!$B$3:$B$3002,0)),""))</f>
        <v/>
      </c>
      <c r="I1182" s="39">
        <f>IF($C1182="","",IFERROR(INDEX(DESPACHOS!$H$3:$H$3002,MATCH($C1182,DESPACHOS!$B$3:$B$3002,0)),""))</f>
        <v/>
      </c>
      <c r="J1182" s="43">
        <f>IF($C1182="","",IFERROR(INDEX(DESPACHOS!$J$3:$J$3002,MATCH($C1182,DESPACHOS!$B$3:$B$3002,0)),""))</f>
        <v/>
      </c>
      <c r="K1182" s="39">
        <f>IF($C1182="","",IF(COUNTIFS(DESPACHOS!$B$3:$B$3002,$C1182)=0,"NO EXISTE",IF(COUNTIFS(DESPACHOS!$B$3:$B$3002,$C1182)&gt;1,"DUPLICADO","OK")))</f>
        <v/>
      </c>
      <c r="L1182" s="41" t="n"/>
      <c r="M1182" s="41" t="n"/>
      <c r="N1182" s="42">
        <f>IF($M1182="","",IFERROR(INDEX(LISTAS!$F$3:$F$42,MATCH($M1182,LISTAS!$E$3:$E$42,0)),"Por definir"))</f>
        <v/>
      </c>
      <c r="O1182" s="41" t="n"/>
      <c r="P1182" s="39">
        <f>IF($L1182="","",IFERROR(INDEX(LISTAS!$B$3:$B$42,MATCH($L1182,LISTAS!$A$3:$A$42,0)),"Media"))</f>
        <v/>
      </c>
      <c r="Q1182" s="44" t="n"/>
      <c r="R1182" s="45" t="n"/>
      <c r="S1182" s="20">
        <f>IFERROR(IF(OR($R1182="",$C1182=""),"",$R1182/INDEX(DESPACHOS!$M$3:$M$3002,MATCH($C1182,DESPACHOS!$B$3:$B$3002,0))),"")</f>
        <v/>
      </c>
      <c r="T1182" s="41" t="n"/>
      <c r="U1182" s="43">
        <f>IF(OR($B1182="",$L1182=""),"",WORKDAY($B1182,IFERROR(INDEX(LISTAS!$C$3:$C$42,MATCH($L1182,LISTAS!$A$3:$A$42,0)),3)))</f>
        <v/>
      </c>
      <c r="V1182" s="40" t="n"/>
      <c r="W1182" s="19">
        <f>IF($B1182="","",IF($V1182&lt;&gt;"",$V1182-$B1182,TODAY()-$B1182))</f>
        <v/>
      </c>
      <c r="X1182" s="19">
        <f>IF(OR($B1182="",$U1182=""),"",IF($V1182&lt;&gt;"",MAX(0,$V1182-$U1182),MAX(0,TODAY()-$U1182)))</f>
        <v/>
      </c>
      <c r="Y1182" s="39">
        <f>IF($C1182="","",IF(IFERROR(INDEX(LISTAS!$I$3:$I$42,MATCH($T1182,LISTAS!$H$3:$H$42,0)),"NO")="SÍ",IF(N($X1182)&gt;0,"CERRADA FUERA DE SLA","CERRADA EN SLA"),IF($U1182="","SIN CLASIFICAR",IF(N($X1182)&gt;0,"VENCIDA",IF(TODAY()&gt;=$U1182-1,"POR VENCER","EN PLAZO")))))</f>
        <v/>
      </c>
      <c r="Z1182" s="41" t="n"/>
      <c r="AA1182" s="41" t="n"/>
      <c r="AB1182" s="41" t="n"/>
    </row>
    <row r="1183">
      <c r="A1183" s="39">
        <f>IF($C1183="","","NOV-"&amp;TEXT(ROW()-3,"0000"))</f>
        <v/>
      </c>
      <c r="B1183" s="40" t="n"/>
      <c r="C1183" s="41" t="n"/>
      <c r="D1183" s="42">
        <f>IF($C1183="","",IFERROR(INDEX(DESPACHOS!$D$3:$D$3002,MATCH($C1183,DESPACHOS!$B$3:$B$3002,0)),"SIN DESPACHO"))</f>
        <v/>
      </c>
      <c r="E1183" s="42">
        <f>IF($C1183="","",IFERROR(INDEX(DESPACHOS!$K$3:$K$3002,MATCH($C1183,DESPACHOS!$B$3:$B$3002,0)),""))</f>
        <v/>
      </c>
      <c r="F1183" s="42">
        <f>IF($C1183="","",IFERROR(INDEX(DESPACHOS!$I$3:$I$3002,MATCH($C1183,DESPACHOS!$B$3:$B$3002,0)),""))</f>
        <v/>
      </c>
      <c r="G1183" s="42">
        <f>IF($C1183="","",IFERROR(INDEX(DESPACHOS!$F$3:$F$3002,MATCH($C1183,DESPACHOS!$B$3:$B$3002,0)),""))</f>
        <v/>
      </c>
      <c r="H1183" s="42">
        <f>IF($C1183="","",IFERROR(INDEX(DESPACHOS!$G$3:$G$3002,MATCH($C1183,DESPACHOS!$B$3:$B$3002,0)),""))</f>
        <v/>
      </c>
      <c r="I1183" s="39">
        <f>IF($C1183="","",IFERROR(INDEX(DESPACHOS!$H$3:$H$3002,MATCH($C1183,DESPACHOS!$B$3:$B$3002,0)),""))</f>
        <v/>
      </c>
      <c r="J1183" s="43">
        <f>IF($C1183="","",IFERROR(INDEX(DESPACHOS!$J$3:$J$3002,MATCH($C1183,DESPACHOS!$B$3:$B$3002,0)),""))</f>
        <v/>
      </c>
      <c r="K1183" s="39">
        <f>IF($C1183="","",IF(COUNTIFS(DESPACHOS!$B$3:$B$3002,$C1183)=0,"NO EXISTE",IF(COUNTIFS(DESPACHOS!$B$3:$B$3002,$C1183)&gt;1,"DUPLICADO","OK")))</f>
        <v/>
      </c>
      <c r="L1183" s="41" t="n"/>
      <c r="M1183" s="41" t="n"/>
      <c r="N1183" s="42">
        <f>IF($M1183="","",IFERROR(INDEX(LISTAS!$F$3:$F$42,MATCH($M1183,LISTAS!$E$3:$E$42,0)),"Por definir"))</f>
        <v/>
      </c>
      <c r="O1183" s="41" t="n"/>
      <c r="P1183" s="39">
        <f>IF($L1183="","",IFERROR(INDEX(LISTAS!$B$3:$B$42,MATCH($L1183,LISTAS!$A$3:$A$42,0)),"Media"))</f>
        <v/>
      </c>
      <c r="Q1183" s="44" t="n"/>
      <c r="R1183" s="45" t="n"/>
      <c r="S1183" s="20">
        <f>IFERROR(IF(OR($R1183="",$C1183=""),"",$R1183/INDEX(DESPACHOS!$M$3:$M$3002,MATCH($C1183,DESPACHOS!$B$3:$B$3002,0))),"")</f>
        <v/>
      </c>
      <c r="T1183" s="41" t="n"/>
      <c r="U1183" s="43">
        <f>IF(OR($B1183="",$L1183=""),"",WORKDAY($B1183,IFERROR(INDEX(LISTAS!$C$3:$C$42,MATCH($L1183,LISTAS!$A$3:$A$42,0)),3)))</f>
        <v/>
      </c>
      <c r="V1183" s="40" t="n"/>
      <c r="W1183" s="19">
        <f>IF($B1183="","",IF($V1183&lt;&gt;"",$V1183-$B1183,TODAY()-$B1183))</f>
        <v/>
      </c>
      <c r="X1183" s="19">
        <f>IF(OR($B1183="",$U1183=""),"",IF($V1183&lt;&gt;"",MAX(0,$V1183-$U1183),MAX(0,TODAY()-$U1183)))</f>
        <v/>
      </c>
      <c r="Y1183" s="39">
        <f>IF($C1183="","",IF(IFERROR(INDEX(LISTAS!$I$3:$I$42,MATCH($T1183,LISTAS!$H$3:$H$42,0)),"NO")="SÍ",IF(N($X1183)&gt;0,"CERRADA FUERA DE SLA","CERRADA EN SLA"),IF($U1183="","SIN CLASIFICAR",IF(N($X1183)&gt;0,"VENCIDA",IF(TODAY()&gt;=$U1183-1,"POR VENCER","EN PLAZO")))))</f>
        <v/>
      </c>
      <c r="Z1183" s="41" t="n"/>
      <c r="AA1183" s="41" t="n"/>
      <c r="AB1183" s="41" t="n"/>
    </row>
    <row r="1184">
      <c r="A1184" s="39">
        <f>IF($C1184="","","NOV-"&amp;TEXT(ROW()-3,"0000"))</f>
        <v/>
      </c>
      <c r="B1184" s="40" t="n"/>
      <c r="C1184" s="41" t="n"/>
      <c r="D1184" s="42">
        <f>IF($C1184="","",IFERROR(INDEX(DESPACHOS!$D$3:$D$3002,MATCH($C1184,DESPACHOS!$B$3:$B$3002,0)),"SIN DESPACHO"))</f>
        <v/>
      </c>
      <c r="E1184" s="42">
        <f>IF($C1184="","",IFERROR(INDEX(DESPACHOS!$K$3:$K$3002,MATCH($C1184,DESPACHOS!$B$3:$B$3002,0)),""))</f>
        <v/>
      </c>
      <c r="F1184" s="42">
        <f>IF($C1184="","",IFERROR(INDEX(DESPACHOS!$I$3:$I$3002,MATCH($C1184,DESPACHOS!$B$3:$B$3002,0)),""))</f>
        <v/>
      </c>
      <c r="G1184" s="42">
        <f>IF($C1184="","",IFERROR(INDEX(DESPACHOS!$F$3:$F$3002,MATCH($C1184,DESPACHOS!$B$3:$B$3002,0)),""))</f>
        <v/>
      </c>
      <c r="H1184" s="42">
        <f>IF($C1184="","",IFERROR(INDEX(DESPACHOS!$G$3:$G$3002,MATCH($C1184,DESPACHOS!$B$3:$B$3002,0)),""))</f>
        <v/>
      </c>
      <c r="I1184" s="39">
        <f>IF($C1184="","",IFERROR(INDEX(DESPACHOS!$H$3:$H$3002,MATCH($C1184,DESPACHOS!$B$3:$B$3002,0)),""))</f>
        <v/>
      </c>
      <c r="J1184" s="43">
        <f>IF($C1184="","",IFERROR(INDEX(DESPACHOS!$J$3:$J$3002,MATCH($C1184,DESPACHOS!$B$3:$B$3002,0)),""))</f>
        <v/>
      </c>
      <c r="K1184" s="39">
        <f>IF($C1184="","",IF(COUNTIFS(DESPACHOS!$B$3:$B$3002,$C1184)=0,"NO EXISTE",IF(COUNTIFS(DESPACHOS!$B$3:$B$3002,$C1184)&gt;1,"DUPLICADO","OK")))</f>
        <v/>
      </c>
      <c r="L1184" s="41" t="n"/>
      <c r="M1184" s="41" t="n"/>
      <c r="N1184" s="42">
        <f>IF($M1184="","",IFERROR(INDEX(LISTAS!$F$3:$F$42,MATCH($M1184,LISTAS!$E$3:$E$42,0)),"Por definir"))</f>
        <v/>
      </c>
      <c r="O1184" s="41" t="n"/>
      <c r="P1184" s="39">
        <f>IF($L1184="","",IFERROR(INDEX(LISTAS!$B$3:$B$42,MATCH($L1184,LISTAS!$A$3:$A$42,0)),"Media"))</f>
        <v/>
      </c>
      <c r="Q1184" s="44" t="n"/>
      <c r="R1184" s="45" t="n"/>
      <c r="S1184" s="20">
        <f>IFERROR(IF(OR($R1184="",$C1184=""),"",$R1184/INDEX(DESPACHOS!$M$3:$M$3002,MATCH($C1184,DESPACHOS!$B$3:$B$3002,0))),"")</f>
        <v/>
      </c>
      <c r="T1184" s="41" t="n"/>
      <c r="U1184" s="43">
        <f>IF(OR($B1184="",$L1184=""),"",WORKDAY($B1184,IFERROR(INDEX(LISTAS!$C$3:$C$42,MATCH($L1184,LISTAS!$A$3:$A$42,0)),3)))</f>
        <v/>
      </c>
      <c r="V1184" s="40" t="n"/>
      <c r="W1184" s="19">
        <f>IF($B1184="","",IF($V1184&lt;&gt;"",$V1184-$B1184,TODAY()-$B1184))</f>
        <v/>
      </c>
      <c r="X1184" s="19">
        <f>IF(OR($B1184="",$U1184=""),"",IF($V1184&lt;&gt;"",MAX(0,$V1184-$U1184),MAX(0,TODAY()-$U1184)))</f>
        <v/>
      </c>
      <c r="Y1184" s="39">
        <f>IF($C1184="","",IF(IFERROR(INDEX(LISTAS!$I$3:$I$42,MATCH($T1184,LISTAS!$H$3:$H$42,0)),"NO")="SÍ",IF(N($X1184)&gt;0,"CERRADA FUERA DE SLA","CERRADA EN SLA"),IF($U1184="","SIN CLASIFICAR",IF(N($X1184)&gt;0,"VENCIDA",IF(TODAY()&gt;=$U1184-1,"POR VENCER","EN PLAZO")))))</f>
        <v/>
      </c>
      <c r="Z1184" s="41" t="n"/>
      <c r="AA1184" s="41" t="n"/>
      <c r="AB1184" s="41" t="n"/>
    </row>
    <row r="1185">
      <c r="A1185" s="39">
        <f>IF($C1185="","","NOV-"&amp;TEXT(ROW()-3,"0000"))</f>
        <v/>
      </c>
      <c r="B1185" s="40" t="n"/>
      <c r="C1185" s="41" t="n"/>
      <c r="D1185" s="42">
        <f>IF($C1185="","",IFERROR(INDEX(DESPACHOS!$D$3:$D$3002,MATCH($C1185,DESPACHOS!$B$3:$B$3002,0)),"SIN DESPACHO"))</f>
        <v/>
      </c>
      <c r="E1185" s="42">
        <f>IF($C1185="","",IFERROR(INDEX(DESPACHOS!$K$3:$K$3002,MATCH($C1185,DESPACHOS!$B$3:$B$3002,0)),""))</f>
        <v/>
      </c>
      <c r="F1185" s="42">
        <f>IF($C1185="","",IFERROR(INDEX(DESPACHOS!$I$3:$I$3002,MATCH($C1185,DESPACHOS!$B$3:$B$3002,0)),""))</f>
        <v/>
      </c>
      <c r="G1185" s="42">
        <f>IF($C1185="","",IFERROR(INDEX(DESPACHOS!$F$3:$F$3002,MATCH($C1185,DESPACHOS!$B$3:$B$3002,0)),""))</f>
        <v/>
      </c>
      <c r="H1185" s="42">
        <f>IF($C1185="","",IFERROR(INDEX(DESPACHOS!$G$3:$G$3002,MATCH($C1185,DESPACHOS!$B$3:$B$3002,0)),""))</f>
        <v/>
      </c>
      <c r="I1185" s="39">
        <f>IF($C1185="","",IFERROR(INDEX(DESPACHOS!$H$3:$H$3002,MATCH($C1185,DESPACHOS!$B$3:$B$3002,0)),""))</f>
        <v/>
      </c>
      <c r="J1185" s="43">
        <f>IF($C1185="","",IFERROR(INDEX(DESPACHOS!$J$3:$J$3002,MATCH($C1185,DESPACHOS!$B$3:$B$3002,0)),""))</f>
        <v/>
      </c>
      <c r="K1185" s="39">
        <f>IF($C1185="","",IF(COUNTIFS(DESPACHOS!$B$3:$B$3002,$C1185)=0,"NO EXISTE",IF(COUNTIFS(DESPACHOS!$B$3:$B$3002,$C1185)&gt;1,"DUPLICADO","OK")))</f>
        <v/>
      </c>
      <c r="L1185" s="41" t="n"/>
      <c r="M1185" s="41" t="n"/>
      <c r="N1185" s="42">
        <f>IF($M1185="","",IFERROR(INDEX(LISTAS!$F$3:$F$42,MATCH($M1185,LISTAS!$E$3:$E$42,0)),"Por definir"))</f>
        <v/>
      </c>
      <c r="O1185" s="41" t="n"/>
      <c r="P1185" s="39">
        <f>IF($L1185="","",IFERROR(INDEX(LISTAS!$B$3:$B$42,MATCH($L1185,LISTAS!$A$3:$A$42,0)),"Media"))</f>
        <v/>
      </c>
      <c r="Q1185" s="44" t="n"/>
      <c r="R1185" s="45" t="n"/>
      <c r="S1185" s="20">
        <f>IFERROR(IF(OR($R1185="",$C1185=""),"",$R1185/INDEX(DESPACHOS!$M$3:$M$3002,MATCH($C1185,DESPACHOS!$B$3:$B$3002,0))),"")</f>
        <v/>
      </c>
      <c r="T1185" s="41" t="n"/>
      <c r="U1185" s="43">
        <f>IF(OR($B1185="",$L1185=""),"",WORKDAY($B1185,IFERROR(INDEX(LISTAS!$C$3:$C$42,MATCH($L1185,LISTAS!$A$3:$A$42,0)),3)))</f>
        <v/>
      </c>
      <c r="V1185" s="40" t="n"/>
      <c r="W1185" s="19">
        <f>IF($B1185="","",IF($V1185&lt;&gt;"",$V1185-$B1185,TODAY()-$B1185))</f>
        <v/>
      </c>
      <c r="X1185" s="19">
        <f>IF(OR($B1185="",$U1185=""),"",IF($V1185&lt;&gt;"",MAX(0,$V1185-$U1185),MAX(0,TODAY()-$U1185)))</f>
        <v/>
      </c>
      <c r="Y1185" s="39">
        <f>IF($C1185="","",IF(IFERROR(INDEX(LISTAS!$I$3:$I$42,MATCH($T1185,LISTAS!$H$3:$H$42,0)),"NO")="SÍ",IF(N($X1185)&gt;0,"CERRADA FUERA DE SLA","CERRADA EN SLA"),IF($U1185="","SIN CLASIFICAR",IF(N($X1185)&gt;0,"VENCIDA",IF(TODAY()&gt;=$U1185-1,"POR VENCER","EN PLAZO")))))</f>
        <v/>
      </c>
      <c r="Z1185" s="41" t="n"/>
      <c r="AA1185" s="41" t="n"/>
      <c r="AB1185" s="41" t="n"/>
    </row>
    <row r="1186">
      <c r="A1186" s="39">
        <f>IF($C1186="","","NOV-"&amp;TEXT(ROW()-3,"0000"))</f>
        <v/>
      </c>
      <c r="B1186" s="40" t="n"/>
      <c r="C1186" s="41" t="n"/>
      <c r="D1186" s="42">
        <f>IF($C1186="","",IFERROR(INDEX(DESPACHOS!$D$3:$D$3002,MATCH($C1186,DESPACHOS!$B$3:$B$3002,0)),"SIN DESPACHO"))</f>
        <v/>
      </c>
      <c r="E1186" s="42">
        <f>IF($C1186="","",IFERROR(INDEX(DESPACHOS!$K$3:$K$3002,MATCH($C1186,DESPACHOS!$B$3:$B$3002,0)),""))</f>
        <v/>
      </c>
      <c r="F1186" s="42">
        <f>IF($C1186="","",IFERROR(INDEX(DESPACHOS!$I$3:$I$3002,MATCH($C1186,DESPACHOS!$B$3:$B$3002,0)),""))</f>
        <v/>
      </c>
      <c r="G1186" s="42">
        <f>IF($C1186="","",IFERROR(INDEX(DESPACHOS!$F$3:$F$3002,MATCH($C1186,DESPACHOS!$B$3:$B$3002,0)),""))</f>
        <v/>
      </c>
      <c r="H1186" s="42">
        <f>IF($C1186="","",IFERROR(INDEX(DESPACHOS!$G$3:$G$3002,MATCH($C1186,DESPACHOS!$B$3:$B$3002,0)),""))</f>
        <v/>
      </c>
      <c r="I1186" s="39">
        <f>IF($C1186="","",IFERROR(INDEX(DESPACHOS!$H$3:$H$3002,MATCH($C1186,DESPACHOS!$B$3:$B$3002,0)),""))</f>
        <v/>
      </c>
      <c r="J1186" s="43">
        <f>IF($C1186="","",IFERROR(INDEX(DESPACHOS!$J$3:$J$3002,MATCH($C1186,DESPACHOS!$B$3:$B$3002,0)),""))</f>
        <v/>
      </c>
      <c r="K1186" s="39">
        <f>IF($C1186="","",IF(COUNTIFS(DESPACHOS!$B$3:$B$3002,$C1186)=0,"NO EXISTE",IF(COUNTIFS(DESPACHOS!$B$3:$B$3002,$C1186)&gt;1,"DUPLICADO","OK")))</f>
        <v/>
      </c>
      <c r="L1186" s="41" t="n"/>
      <c r="M1186" s="41" t="n"/>
      <c r="N1186" s="42">
        <f>IF($M1186="","",IFERROR(INDEX(LISTAS!$F$3:$F$42,MATCH($M1186,LISTAS!$E$3:$E$42,0)),"Por definir"))</f>
        <v/>
      </c>
      <c r="O1186" s="41" t="n"/>
      <c r="P1186" s="39">
        <f>IF($L1186="","",IFERROR(INDEX(LISTAS!$B$3:$B$42,MATCH($L1186,LISTAS!$A$3:$A$42,0)),"Media"))</f>
        <v/>
      </c>
      <c r="Q1186" s="44" t="n"/>
      <c r="R1186" s="45" t="n"/>
      <c r="S1186" s="20">
        <f>IFERROR(IF(OR($R1186="",$C1186=""),"",$R1186/INDEX(DESPACHOS!$M$3:$M$3002,MATCH($C1186,DESPACHOS!$B$3:$B$3002,0))),"")</f>
        <v/>
      </c>
      <c r="T1186" s="41" t="n"/>
      <c r="U1186" s="43">
        <f>IF(OR($B1186="",$L1186=""),"",WORKDAY($B1186,IFERROR(INDEX(LISTAS!$C$3:$C$42,MATCH($L1186,LISTAS!$A$3:$A$42,0)),3)))</f>
        <v/>
      </c>
      <c r="V1186" s="40" t="n"/>
      <c r="W1186" s="19">
        <f>IF($B1186="","",IF($V1186&lt;&gt;"",$V1186-$B1186,TODAY()-$B1186))</f>
        <v/>
      </c>
      <c r="X1186" s="19">
        <f>IF(OR($B1186="",$U1186=""),"",IF($V1186&lt;&gt;"",MAX(0,$V1186-$U1186),MAX(0,TODAY()-$U1186)))</f>
        <v/>
      </c>
      <c r="Y1186" s="39">
        <f>IF($C1186="","",IF(IFERROR(INDEX(LISTAS!$I$3:$I$42,MATCH($T1186,LISTAS!$H$3:$H$42,0)),"NO")="SÍ",IF(N($X1186)&gt;0,"CERRADA FUERA DE SLA","CERRADA EN SLA"),IF($U1186="","SIN CLASIFICAR",IF(N($X1186)&gt;0,"VENCIDA",IF(TODAY()&gt;=$U1186-1,"POR VENCER","EN PLAZO")))))</f>
        <v/>
      </c>
      <c r="Z1186" s="41" t="n"/>
      <c r="AA1186" s="41" t="n"/>
      <c r="AB1186" s="41" t="n"/>
    </row>
    <row r="1187">
      <c r="A1187" s="39">
        <f>IF($C1187="","","NOV-"&amp;TEXT(ROW()-3,"0000"))</f>
        <v/>
      </c>
      <c r="B1187" s="40" t="n"/>
      <c r="C1187" s="41" t="n"/>
      <c r="D1187" s="42">
        <f>IF($C1187="","",IFERROR(INDEX(DESPACHOS!$D$3:$D$3002,MATCH($C1187,DESPACHOS!$B$3:$B$3002,0)),"SIN DESPACHO"))</f>
        <v/>
      </c>
      <c r="E1187" s="42">
        <f>IF($C1187="","",IFERROR(INDEX(DESPACHOS!$K$3:$K$3002,MATCH($C1187,DESPACHOS!$B$3:$B$3002,0)),""))</f>
        <v/>
      </c>
      <c r="F1187" s="42">
        <f>IF($C1187="","",IFERROR(INDEX(DESPACHOS!$I$3:$I$3002,MATCH($C1187,DESPACHOS!$B$3:$B$3002,0)),""))</f>
        <v/>
      </c>
      <c r="G1187" s="42">
        <f>IF($C1187="","",IFERROR(INDEX(DESPACHOS!$F$3:$F$3002,MATCH($C1187,DESPACHOS!$B$3:$B$3002,0)),""))</f>
        <v/>
      </c>
      <c r="H1187" s="42">
        <f>IF($C1187="","",IFERROR(INDEX(DESPACHOS!$G$3:$G$3002,MATCH($C1187,DESPACHOS!$B$3:$B$3002,0)),""))</f>
        <v/>
      </c>
      <c r="I1187" s="39">
        <f>IF($C1187="","",IFERROR(INDEX(DESPACHOS!$H$3:$H$3002,MATCH($C1187,DESPACHOS!$B$3:$B$3002,0)),""))</f>
        <v/>
      </c>
      <c r="J1187" s="43">
        <f>IF($C1187="","",IFERROR(INDEX(DESPACHOS!$J$3:$J$3002,MATCH($C1187,DESPACHOS!$B$3:$B$3002,0)),""))</f>
        <v/>
      </c>
      <c r="K1187" s="39">
        <f>IF($C1187="","",IF(COUNTIFS(DESPACHOS!$B$3:$B$3002,$C1187)=0,"NO EXISTE",IF(COUNTIFS(DESPACHOS!$B$3:$B$3002,$C1187)&gt;1,"DUPLICADO","OK")))</f>
        <v/>
      </c>
      <c r="L1187" s="41" t="n"/>
      <c r="M1187" s="41" t="n"/>
      <c r="N1187" s="42">
        <f>IF($M1187="","",IFERROR(INDEX(LISTAS!$F$3:$F$42,MATCH($M1187,LISTAS!$E$3:$E$42,0)),"Por definir"))</f>
        <v/>
      </c>
      <c r="O1187" s="41" t="n"/>
      <c r="P1187" s="39">
        <f>IF($L1187="","",IFERROR(INDEX(LISTAS!$B$3:$B$42,MATCH($L1187,LISTAS!$A$3:$A$42,0)),"Media"))</f>
        <v/>
      </c>
      <c r="Q1187" s="44" t="n"/>
      <c r="R1187" s="45" t="n"/>
      <c r="S1187" s="20">
        <f>IFERROR(IF(OR($R1187="",$C1187=""),"",$R1187/INDEX(DESPACHOS!$M$3:$M$3002,MATCH($C1187,DESPACHOS!$B$3:$B$3002,0))),"")</f>
        <v/>
      </c>
      <c r="T1187" s="41" t="n"/>
      <c r="U1187" s="43">
        <f>IF(OR($B1187="",$L1187=""),"",WORKDAY($B1187,IFERROR(INDEX(LISTAS!$C$3:$C$42,MATCH($L1187,LISTAS!$A$3:$A$42,0)),3)))</f>
        <v/>
      </c>
      <c r="V1187" s="40" t="n"/>
      <c r="W1187" s="19">
        <f>IF($B1187="","",IF($V1187&lt;&gt;"",$V1187-$B1187,TODAY()-$B1187))</f>
        <v/>
      </c>
      <c r="X1187" s="19">
        <f>IF(OR($B1187="",$U1187=""),"",IF($V1187&lt;&gt;"",MAX(0,$V1187-$U1187),MAX(0,TODAY()-$U1187)))</f>
        <v/>
      </c>
      <c r="Y1187" s="39">
        <f>IF($C1187="","",IF(IFERROR(INDEX(LISTAS!$I$3:$I$42,MATCH($T1187,LISTAS!$H$3:$H$42,0)),"NO")="SÍ",IF(N($X1187)&gt;0,"CERRADA FUERA DE SLA","CERRADA EN SLA"),IF($U1187="","SIN CLASIFICAR",IF(N($X1187)&gt;0,"VENCIDA",IF(TODAY()&gt;=$U1187-1,"POR VENCER","EN PLAZO")))))</f>
        <v/>
      </c>
      <c r="Z1187" s="41" t="n"/>
      <c r="AA1187" s="41" t="n"/>
      <c r="AB1187" s="41" t="n"/>
    </row>
    <row r="1188">
      <c r="A1188" s="39">
        <f>IF($C1188="","","NOV-"&amp;TEXT(ROW()-3,"0000"))</f>
        <v/>
      </c>
      <c r="B1188" s="40" t="n"/>
      <c r="C1188" s="41" t="n"/>
      <c r="D1188" s="42">
        <f>IF($C1188="","",IFERROR(INDEX(DESPACHOS!$D$3:$D$3002,MATCH($C1188,DESPACHOS!$B$3:$B$3002,0)),"SIN DESPACHO"))</f>
        <v/>
      </c>
      <c r="E1188" s="42">
        <f>IF($C1188="","",IFERROR(INDEX(DESPACHOS!$K$3:$K$3002,MATCH($C1188,DESPACHOS!$B$3:$B$3002,0)),""))</f>
        <v/>
      </c>
      <c r="F1188" s="42">
        <f>IF($C1188="","",IFERROR(INDEX(DESPACHOS!$I$3:$I$3002,MATCH($C1188,DESPACHOS!$B$3:$B$3002,0)),""))</f>
        <v/>
      </c>
      <c r="G1188" s="42">
        <f>IF($C1188="","",IFERROR(INDEX(DESPACHOS!$F$3:$F$3002,MATCH($C1188,DESPACHOS!$B$3:$B$3002,0)),""))</f>
        <v/>
      </c>
      <c r="H1188" s="42">
        <f>IF($C1188="","",IFERROR(INDEX(DESPACHOS!$G$3:$G$3002,MATCH($C1188,DESPACHOS!$B$3:$B$3002,0)),""))</f>
        <v/>
      </c>
      <c r="I1188" s="39">
        <f>IF($C1188="","",IFERROR(INDEX(DESPACHOS!$H$3:$H$3002,MATCH($C1188,DESPACHOS!$B$3:$B$3002,0)),""))</f>
        <v/>
      </c>
      <c r="J1188" s="43">
        <f>IF($C1188="","",IFERROR(INDEX(DESPACHOS!$J$3:$J$3002,MATCH($C1188,DESPACHOS!$B$3:$B$3002,0)),""))</f>
        <v/>
      </c>
      <c r="K1188" s="39">
        <f>IF($C1188="","",IF(COUNTIFS(DESPACHOS!$B$3:$B$3002,$C1188)=0,"NO EXISTE",IF(COUNTIFS(DESPACHOS!$B$3:$B$3002,$C1188)&gt;1,"DUPLICADO","OK")))</f>
        <v/>
      </c>
      <c r="L1188" s="41" t="n"/>
      <c r="M1188" s="41" t="n"/>
      <c r="N1188" s="42">
        <f>IF($M1188="","",IFERROR(INDEX(LISTAS!$F$3:$F$42,MATCH($M1188,LISTAS!$E$3:$E$42,0)),"Por definir"))</f>
        <v/>
      </c>
      <c r="O1188" s="41" t="n"/>
      <c r="P1188" s="39">
        <f>IF($L1188="","",IFERROR(INDEX(LISTAS!$B$3:$B$42,MATCH($L1188,LISTAS!$A$3:$A$42,0)),"Media"))</f>
        <v/>
      </c>
      <c r="Q1188" s="44" t="n"/>
      <c r="R1188" s="45" t="n"/>
      <c r="S1188" s="20">
        <f>IFERROR(IF(OR($R1188="",$C1188=""),"",$R1188/INDEX(DESPACHOS!$M$3:$M$3002,MATCH($C1188,DESPACHOS!$B$3:$B$3002,0))),"")</f>
        <v/>
      </c>
      <c r="T1188" s="41" t="n"/>
      <c r="U1188" s="43">
        <f>IF(OR($B1188="",$L1188=""),"",WORKDAY($B1188,IFERROR(INDEX(LISTAS!$C$3:$C$42,MATCH($L1188,LISTAS!$A$3:$A$42,0)),3)))</f>
        <v/>
      </c>
      <c r="V1188" s="40" t="n"/>
      <c r="W1188" s="19">
        <f>IF($B1188="","",IF($V1188&lt;&gt;"",$V1188-$B1188,TODAY()-$B1188))</f>
        <v/>
      </c>
      <c r="X1188" s="19">
        <f>IF(OR($B1188="",$U1188=""),"",IF($V1188&lt;&gt;"",MAX(0,$V1188-$U1188),MAX(0,TODAY()-$U1188)))</f>
        <v/>
      </c>
      <c r="Y1188" s="39">
        <f>IF($C1188="","",IF(IFERROR(INDEX(LISTAS!$I$3:$I$42,MATCH($T1188,LISTAS!$H$3:$H$42,0)),"NO")="SÍ",IF(N($X1188)&gt;0,"CERRADA FUERA DE SLA","CERRADA EN SLA"),IF($U1188="","SIN CLASIFICAR",IF(N($X1188)&gt;0,"VENCIDA",IF(TODAY()&gt;=$U1188-1,"POR VENCER","EN PLAZO")))))</f>
        <v/>
      </c>
      <c r="Z1188" s="41" t="n"/>
      <c r="AA1188" s="41" t="n"/>
      <c r="AB1188" s="41" t="n"/>
    </row>
    <row r="1189">
      <c r="A1189" s="39">
        <f>IF($C1189="","","NOV-"&amp;TEXT(ROW()-3,"0000"))</f>
        <v/>
      </c>
      <c r="B1189" s="40" t="n"/>
      <c r="C1189" s="41" t="n"/>
      <c r="D1189" s="42">
        <f>IF($C1189="","",IFERROR(INDEX(DESPACHOS!$D$3:$D$3002,MATCH($C1189,DESPACHOS!$B$3:$B$3002,0)),"SIN DESPACHO"))</f>
        <v/>
      </c>
      <c r="E1189" s="42">
        <f>IF($C1189="","",IFERROR(INDEX(DESPACHOS!$K$3:$K$3002,MATCH($C1189,DESPACHOS!$B$3:$B$3002,0)),""))</f>
        <v/>
      </c>
      <c r="F1189" s="42">
        <f>IF($C1189="","",IFERROR(INDEX(DESPACHOS!$I$3:$I$3002,MATCH($C1189,DESPACHOS!$B$3:$B$3002,0)),""))</f>
        <v/>
      </c>
      <c r="G1189" s="42">
        <f>IF($C1189="","",IFERROR(INDEX(DESPACHOS!$F$3:$F$3002,MATCH($C1189,DESPACHOS!$B$3:$B$3002,0)),""))</f>
        <v/>
      </c>
      <c r="H1189" s="42">
        <f>IF($C1189="","",IFERROR(INDEX(DESPACHOS!$G$3:$G$3002,MATCH($C1189,DESPACHOS!$B$3:$B$3002,0)),""))</f>
        <v/>
      </c>
      <c r="I1189" s="39">
        <f>IF($C1189="","",IFERROR(INDEX(DESPACHOS!$H$3:$H$3002,MATCH($C1189,DESPACHOS!$B$3:$B$3002,0)),""))</f>
        <v/>
      </c>
      <c r="J1189" s="43">
        <f>IF($C1189="","",IFERROR(INDEX(DESPACHOS!$J$3:$J$3002,MATCH($C1189,DESPACHOS!$B$3:$B$3002,0)),""))</f>
        <v/>
      </c>
      <c r="K1189" s="39">
        <f>IF($C1189="","",IF(COUNTIFS(DESPACHOS!$B$3:$B$3002,$C1189)=0,"NO EXISTE",IF(COUNTIFS(DESPACHOS!$B$3:$B$3002,$C1189)&gt;1,"DUPLICADO","OK")))</f>
        <v/>
      </c>
      <c r="L1189" s="41" t="n"/>
      <c r="M1189" s="41" t="n"/>
      <c r="N1189" s="42">
        <f>IF($M1189="","",IFERROR(INDEX(LISTAS!$F$3:$F$42,MATCH($M1189,LISTAS!$E$3:$E$42,0)),"Por definir"))</f>
        <v/>
      </c>
      <c r="O1189" s="41" t="n"/>
      <c r="P1189" s="39">
        <f>IF($L1189="","",IFERROR(INDEX(LISTAS!$B$3:$B$42,MATCH($L1189,LISTAS!$A$3:$A$42,0)),"Media"))</f>
        <v/>
      </c>
      <c r="Q1189" s="44" t="n"/>
      <c r="R1189" s="45" t="n"/>
      <c r="S1189" s="20">
        <f>IFERROR(IF(OR($R1189="",$C1189=""),"",$R1189/INDEX(DESPACHOS!$M$3:$M$3002,MATCH($C1189,DESPACHOS!$B$3:$B$3002,0))),"")</f>
        <v/>
      </c>
      <c r="T1189" s="41" t="n"/>
      <c r="U1189" s="43">
        <f>IF(OR($B1189="",$L1189=""),"",WORKDAY($B1189,IFERROR(INDEX(LISTAS!$C$3:$C$42,MATCH($L1189,LISTAS!$A$3:$A$42,0)),3)))</f>
        <v/>
      </c>
      <c r="V1189" s="40" t="n"/>
      <c r="W1189" s="19">
        <f>IF($B1189="","",IF($V1189&lt;&gt;"",$V1189-$B1189,TODAY()-$B1189))</f>
        <v/>
      </c>
      <c r="X1189" s="19">
        <f>IF(OR($B1189="",$U1189=""),"",IF($V1189&lt;&gt;"",MAX(0,$V1189-$U1189),MAX(0,TODAY()-$U1189)))</f>
        <v/>
      </c>
      <c r="Y1189" s="39">
        <f>IF($C1189="","",IF(IFERROR(INDEX(LISTAS!$I$3:$I$42,MATCH($T1189,LISTAS!$H$3:$H$42,0)),"NO")="SÍ",IF(N($X1189)&gt;0,"CERRADA FUERA DE SLA","CERRADA EN SLA"),IF($U1189="","SIN CLASIFICAR",IF(N($X1189)&gt;0,"VENCIDA",IF(TODAY()&gt;=$U1189-1,"POR VENCER","EN PLAZO")))))</f>
        <v/>
      </c>
      <c r="Z1189" s="41" t="n"/>
      <c r="AA1189" s="41" t="n"/>
      <c r="AB1189" s="41" t="n"/>
    </row>
    <row r="1190">
      <c r="A1190" s="39">
        <f>IF($C1190="","","NOV-"&amp;TEXT(ROW()-3,"0000"))</f>
        <v/>
      </c>
      <c r="B1190" s="40" t="n"/>
      <c r="C1190" s="41" t="n"/>
      <c r="D1190" s="42">
        <f>IF($C1190="","",IFERROR(INDEX(DESPACHOS!$D$3:$D$3002,MATCH($C1190,DESPACHOS!$B$3:$B$3002,0)),"SIN DESPACHO"))</f>
        <v/>
      </c>
      <c r="E1190" s="42">
        <f>IF($C1190="","",IFERROR(INDEX(DESPACHOS!$K$3:$K$3002,MATCH($C1190,DESPACHOS!$B$3:$B$3002,0)),""))</f>
        <v/>
      </c>
      <c r="F1190" s="42">
        <f>IF($C1190="","",IFERROR(INDEX(DESPACHOS!$I$3:$I$3002,MATCH($C1190,DESPACHOS!$B$3:$B$3002,0)),""))</f>
        <v/>
      </c>
      <c r="G1190" s="42">
        <f>IF($C1190="","",IFERROR(INDEX(DESPACHOS!$F$3:$F$3002,MATCH($C1190,DESPACHOS!$B$3:$B$3002,0)),""))</f>
        <v/>
      </c>
      <c r="H1190" s="42">
        <f>IF($C1190="","",IFERROR(INDEX(DESPACHOS!$G$3:$G$3002,MATCH($C1190,DESPACHOS!$B$3:$B$3002,0)),""))</f>
        <v/>
      </c>
      <c r="I1190" s="39">
        <f>IF($C1190="","",IFERROR(INDEX(DESPACHOS!$H$3:$H$3002,MATCH($C1190,DESPACHOS!$B$3:$B$3002,0)),""))</f>
        <v/>
      </c>
      <c r="J1190" s="43">
        <f>IF($C1190="","",IFERROR(INDEX(DESPACHOS!$J$3:$J$3002,MATCH($C1190,DESPACHOS!$B$3:$B$3002,0)),""))</f>
        <v/>
      </c>
      <c r="K1190" s="39">
        <f>IF($C1190="","",IF(COUNTIFS(DESPACHOS!$B$3:$B$3002,$C1190)=0,"NO EXISTE",IF(COUNTIFS(DESPACHOS!$B$3:$B$3002,$C1190)&gt;1,"DUPLICADO","OK")))</f>
        <v/>
      </c>
      <c r="L1190" s="41" t="n"/>
      <c r="M1190" s="41" t="n"/>
      <c r="N1190" s="42">
        <f>IF($M1190="","",IFERROR(INDEX(LISTAS!$F$3:$F$42,MATCH($M1190,LISTAS!$E$3:$E$42,0)),"Por definir"))</f>
        <v/>
      </c>
      <c r="O1190" s="41" t="n"/>
      <c r="P1190" s="39">
        <f>IF($L1190="","",IFERROR(INDEX(LISTAS!$B$3:$B$42,MATCH($L1190,LISTAS!$A$3:$A$42,0)),"Media"))</f>
        <v/>
      </c>
      <c r="Q1190" s="44" t="n"/>
      <c r="R1190" s="45" t="n"/>
      <c r="S1190" s="20">
        <f>IFERROR(IF(OR($R1190="",$C1190=""),"",$R1190/INDEX(DESPACHOS!$M$3:$M$3002,MATCH($C1190,DESPACHOS!$B$3:$B$3002,0))),"")</f>
        <v/>
      </c>
      <c r="T1190" s="41" t="n"/>
      <c r="U1190" s="43">
        <f>IF(OR($B1190="",$L1190=""),"",WORKDAY($B1190,IFERROR(INDEX(LISTAS!$C$3:$C$42,MATCH($L1190,LISTAS!$A$3:$A$42,0)),3)))</f>
        <v/>
      </c>
      <c r="V1190" s="40" t="n"/>
      <c r="W1190" s="19">
        <f>IF($B1190="","",IF($V1190&lt;&gt;"",$V1190-$B1190,TODAY()-$B1190))</f>
        <v/>
      </c>
      <c r="X1190" s="19">
        <f>IF(OR($B1190="",$U1190=""),"",IF($V1190&lt;&gt;"",MAX(0,$V1190-$U1190),MAX(0,TODAY()-$U1190)))</f>
        <v/>
      </c>
      <c r="Y1190" s="39">
        <f>IF($C1190="","",IF(IFERROR(INDEX(LISTAS!$I$3:$I$42,MATCH($T1190,LISTAS!$H$3:$H$42,0)),"NO")="SÍ",IF(N($X1190)&gt;0,"CERRADA FUERA DE SLA","CERRADA EN SLA"),IF($U1190="","SIN CLASIFICAR",IF(N($X1190)&gt;0,"VENCIDA",IF(TODAY()&gt;=$U1190-1,"POR VENCER","EN PLAZO")))))</f>
        <v/>
      </c>
      <c r="Z1190" s="41" t="n"/>
      <c r="AA1190" s="41" t="n"/>
      <c r="AB1190" s="41" t="n"/>
    </row>
    <row r="1191">
      <c r="A1191" s="39">
        <f>IF($C1191="","","NOV-"&amp;TEXT(ROW()-3,"0000"))</f>
        <v/>
      </c>
      <c r="B1191" s="40" t="n"/>
      <c r="C1191" s="41" t="n"/>
      <c r="D1191" s="42">
        <f>IF($C1191="","",IFERROR(INDEX(DESPACHOS!$D$3:$D$3002,MATCH($C1191,DESPACHOS!$B$3:$B$3002,0)),"SIN DESPACHO"))</f>
        <v/>
      </c>
      <c r="E1191" s="42">
        <f>IF($C1191="","",IFERROR(INDEX(DESPACHOS!$K$3:$K$3002,MATCH($C1191,DESPACHOS!$B$3:$B$3002,0)),""))</f>
        <v/>
      </c>
      <c r="F1191" s="42">
        <f>IF($C1191="","",IFERROR(INDEX(DESPACHOS!$I$3:$I$3002,MATCH($C1191,DESPACHOS!$B$3:$B$3002,0)),""))</f>
        <v/>
      </c>
      <c r="G1191" s="42">
        <f>IF($C1191="","",IFERROR(INDEX(DESPACHOS!$F$3:$F$3002,MATCH($C1191,DESPACHOS!$B$3:$B$3002,0)),""))</f>
        <v/>
      </c>
      <c r="H1191" s="42">
        <f>IF($C1191="","",IFERROR(INDEX(DESPACHOS!$G$3:$G$3002,MATCH($C1191,DESPACHOS!$B$3:$B$3002,0)),""))</f>
        <v/>
      </c>
      <c r="I1191" s="39">
        <f>IF($C1191="","",IFERROR(INDEX(DESPACHOS!$H$3:$H$3002,MATCH($C1191,DESPACHOS!$B$3:$B$3002,0)),""))</f>
        <v/>
      </c>
      <c r="J1191" s="43">
        <f>IF($C1191="","",IFERROR(INDEX(DESPACHOS!$J$3:$J$3002,MATCH($C1191,DESPACHOS!$B$3:$B$3002,0)),""))</f>
        <v/>
      </c>
      <c r="K1191" s="39">
        <f>IF($C1191="","",IF(COUNTIFS(DESPACHOS!$B$3:$B$3002,$C1191)=0,"NO EXISTE",IF(COUNTIFS(DESPACHOS!$B$3:$B$3002,$C1191)&gt;1,"DUPLICADO","OK")))</f>
        <v/>
      </c>
      <c r="L1191" s="41" t="n"/>
      <c r="M1191" s="41" t="n"/>
      <c r="N1191" s="42">
        <f>IF($M1191="","",IFERROR(INDEX(LISTAS!$F$3:$F$42,MATCH($M1191,LISTAS!$E$3:$E$42,0)),"Por definir"))</f>
        <v/>
      </c>
      <c r="O1191" s="41" t="n"/>
      <c r="P1191" s="39">
        <f>IF($L1191="","",IFERROR(INDEX(LISTAS!$B$3:$B$42,MATCH($L1191,LISTAS!$A$3:$A$42,0)),"Media"))</f>
        <v/>
      </c>
      <c r="Q1191" s="44" t="n"/>
      <c r="R1191" s="45" t="n"/>
      <c r="S1191" s="20">
        <f>IFERROR(IF(OR($R1191="",$C1191=""),"",$R1191/INDEX(DESPACHOS!$M$3:$M$3002,MATCH($C1191,DESPACHOS!$B$3:$B$3002,0))),"")</f>
        <v/>
      </c>
      <c r="T1191" s="41" t="n"/>
      <c r="U1191" s="43">
        <f>IF(OR($B1191="",$L1191=""),"",WORKDAY($B1191,IFERROR(INDEX(LISTAS!$C$3:$C$42,MATCH($L1191,LISTAS!$A$3:$A$42,0)),3)))</f>
        <v/>
      </c>
      <c r="V1191" s="40" t="n"/>
      <c r="W1191" s="19">
        <f>IF($B1191="","",IF($V1191&lt;&gt;"",$V1191-$B1191,TODAY()-$B1191))</f>
        <v/>
      </c>
      <c r="X1191" s="19">
        <f>IF(OR($B1191="",$U1191=""),"",IF($V1191&lt;&gt;"",MAX(0,$V1191-$U1191),MAX(0,TODAY()-$U1191)))</f>
        <v/>
      </c>
      <c r="Y1191" s="39">
        <f>IF($C1191="","",IF(IFERROR(INDEX(LISTAS!$I$3:$I$42,MATCH($T1191,LISTAS!$H$3:$H$42,0)),"NO")="SÍ",IF(N($X1191)&gt;0,"CERRADA FUERA DE SLA","CERRADA EN SLA"),IF($U1191="","SIN CLASIFICAR",IF(N($X1191)&gt;0,"VENCIDA",IF(TODAY()&gt;=$U1191-1,"POR VENCER","EN PLAZO")))))</f>
        <v/>
      </c>
      <c r="Z1191" s="41" t="n"/>
      <c r="AA1191" s="41" t="n"/>
      <c r="AB1191" s="41" t="n"/>
    </row>
    <row r="1192">
      <c r="A1192" s="39">
        <f>IF($C1192="","","NOV-"&amp;TEXT(ROW()-3,"0000"))</f>
        <v/>
      </c>
      <c r="B1192" s="40" t="n"/>
      <c r="C1192" s="41" t="n"/>
      <c r="D1192" s="42">
        <f>IF($C1192="","",IFERROR(INDEX(DESPACHOS!$D$3:$D$3002,MATCH($C1192,DESPACHOS!$B$3:$B$3002,0)),"SIN DESPACHO"))</f>
        <v/>
      </c>
      <c r="E1192" s="42">
        <f>IF($C1192="","",IFERROR(INDEX(DESPACHOS!$K$3:$K$3002,MATCH($C1192,DESPACHOS!$B$3:$B$3002,0)),""))</f>
        <v/>
      </c>
      <c r="F1192" s="42">
        <f>IF($C1192="","",IFERROR(INDEX(DESPACHOS!$I$3:$I$3002,MATCH($C1192,DESPACHOS!$B$3:$B$3002,0)),""))</f>
        <v/>
      </c>
      <c r="G1192" s="42">
        <f>IF($C1192="","",IFERROR(INDEX(DESPACHOS!$F$3:$F$3002,MATCH($C1192,DESPACHOS!$B$3:$B$3002,0)),""))</f>
        <v/>
      </c>
      <c r="H1192" s="42">
        <f>IF($C1192="","",IFERROR(INDEX(DESPACHOS!$G$3:$G$3002,MATCH($C1192,DESPACHOS!$B$3:$B$3002,0)),""))</f>
        <v/>
      </c>
      <c r="I1192" s="39">
        <f>IF($C1192="","",IFERROR(INDEX(DESPACHOS!$H$3:$H$3002,MATCH($C1192,DESPACHOS!$B$3:$B$3002,0)),""))</f>
        <v/>
      </c>
      <c r="J1192" s="43">
        <f>IF($C1192="","",IFERROR(INDEX(DESPACHOS!$J$3:$J$3002,MATCH($C1192,DESPACHOS!$B$3:$B$3002,0)),""))</f>
        <v/>
      </c>
      <c r="K1192" s="39">
        <f>IF($C1192="","",IF(COUNTIFS(DESPACHOS!$B$3:$B$3002,$C1192)=0,"NO EXISTE",IF(COUNTIFS(DESPACHOS!$B$3:$B$3002,$C1192)&gt;1,"DUPLICADO","OK")))</f>
        <v/>
      </c>
      <c r="L1192" s="41" t="n"/>
      <c r="M1192" s="41" t="n"/>
      <c r="N1192" s="42">
        <f>IF($M1192="","",IFERROR(INDEX(LISTAS!$F$3:$F$42,MATCH($M1192,LISTAS!$E$3:$E$42,0)),"Por definir"))</f>
        <v/>
      </c>
      <c r="O1192" s="41" t="n"/>
      <c r="P1192" s="39">
        <f>IF($L1192="","",IFERROR(INDEX(LISTAS!$B$3:$B$42,MATCH($L1192,LISTAS!$A$3:$A$42,0)),"Media"))</f>
        <v/>
      </c>
      <c r="Q1192" s="44" t="n"/>
      <c r="R1192" s="45" t="n"/>
      <c r="S1192" s="20">
        <f>IFERROR(IF(OR($R1192="",$C1192=""),"",$R1192/INDEX(DESPACHOS!$M$3:$M$3002,MATCH($C1192,DESPACHOS!$B$3:$B$3002,0))),"")</f>
        <v/>
      </c>
      <c r="T1192" s="41" t="n"/>
      <c r="U1192" s="43">
        <f>IF(OR($B1192="",$L1192=""),"",WORKDAY($B1192,IFERROR(INDEX(LISTAS!$C$3:$C$42,MATCH($L1192,LISTAS!$A$3:$A$42,0)),3)))</f>
        <v/>
      </c>
      <c r="V1192" s="40" t="n"/>
      <c r="W1192" s="19">
        <f>IF($B1192="","",IF($V1192&lt;&gt;"",$V1192-$B1192,TODAY()-$B1192))</f>
        <v/>
      </c>
      <c r="X1192" s="19">
        <f>IF(OR($B1192="",$U1192=""),"",IF($V1192&lt;&gt;"",MAX(0,$V1192-$U1192),MAX(0,TODAY()-$U1192)))</f>
        <v/>
      </c>
      <c r="Y1192" s="39">
        <f>IF($C1192="","",IF(IFERROR(INDEX(LISTAS!$I$3:$I$42,MATCH($T1192,LISTAS!$H$3:$H$42,0)),"NO")="SÍ",IF(N($X1192)&gt;0,"CERRADA FUERA DE SLA","CERRADA EN SLA"),IF($U1192="","SIN CLASIFICAR",IF(N($X1192)&gt;0,"VENCIDA",IF(TODAY()&gt;=$U1192-1,"POR VENCER","EN PLAZO")))))</f>
        <v/>
      </c>
      <c r="Z1192" s="41" t="n"/>
      <c r="AA1192" s="41" t="n"/>
      <c r="AB1192" s="41" t="n"/>
    </row>
    <row r="1193">
      <c r="A1193" s="39">
        <f>IF($C1193="","","NOV-"&amp;TEXT(ROW()-3,"0000"))</f>
        <v/>
      </c>
      <c r="B1193" s="40" t="n"/>
      <c r="C1193" s="41" t="n"/>
      <c r="D1193" s="42">
        <f>IF($C1193="","",IFERROR(INDEX(DESPACHOS!$D$3:$D$3002,MATCH($C1193,DESPACHOS!$B$3:$B$3002,0)),"SIN DESPACHO"))</f>
        <v/>
      </c>
      <c r="E1193" s="42">
        <f>IF($C1193="","",IFERROR(INDEX(DESPACHOS!$K$3:$K$3002,MATCH($C1193,DESPACHOS!$B$3:$B$3002,0)),""))</f>
        <v/>
      </c>
      <c r="F1193" s="42">
        <f>IF($C1193="","",IFERROR(INDEX(DESPACHOS!$I$3:$I$3002,MATCH($C1193,DESPACHOS!$B$3:$B$3002,0)),""))</f>
        <v/>
      </c>
      <c r="G1193" s="42">
        <f>IF($C1193="","",IFERROR(INDEX(DESPACHOS!$F$3:$F$3002,MATCH($C1193,DESPACHOS!$B$3:$B$3002,0)),""))</f>
        <v/>
      </c>
      <c r="H1193" s="42">
        <f>IF($C1193="","",IFERROR(INDEX(DESPACHOS!$G$3:$G$3002,MATCH($C1193,DESPACHOS!$B$3:$B$3002,0)),""))</f>
        <v/>
      </c>
      <c r="I1193" s="39">
        <f>IF($C1193="","",IFERROR(INDEX(DESPACHOS!$H$3:$H$3002,MATCH($C1193,DESPACHOS!$B$3:$B$3002,0)),""))</f>
        <v/>
      </c>
      <c r="J1193" s="43">
        <f>IF($C1193="","",IFERROR(INDEX(DESPACHOS!$J$3:$J$3002,MATCH($C1193,DESPACHOS!$B$3:$B$3002,0)),""))</f>
        <v/>
      </c>
      <c r="K1193" s="39">
        <f>IF($C1193="","",IF(COUNTIFS(DESPACHOS!$B$3:$B$3002,$C1193)=0,"NO EXISTE",IF(COUNTIFS(DESPACHOS!$B$3:$B$3002,$C1193)&gt;1,"DUPLICADO","OK")))</f>
        <v/>
      </c>
      <c r="L1193" s="41" t="n"/>
      <c r="M1193" s="41" t="n"/>
      <c r="N1193" s="42">
        <f>IF($M1193="","",IFERROR(INDEX(LISTAS!$F$3:$F$42,MATCH($M1193,LISTAS!$E$3:$E$42,0)),"Por definir"))</f>
        <v/>
      </c>
      <c r="O1193" s="41" t="n"/>
      <c r="P1193" s="39">
        <f>IF($L1193="","",IFERROR(INDEX(LISTAS!$B$3:$B$42,MATCH($L1193,LISTAS!$A$3:$A$42,0)),"Media"))</f>
        <v/>
      </c>
      <c r="Q1193" s="44" t="n"/>
      <c r="R1193" s="45" t="n"/>
      <c r="S1193" s="20">
        <f>IFERROR(IF(OR($R1193="",$C1193=""),"",$R1193/INDEX(DESPACHOS!$M$3:$M$3002,MATCH($C1193,DESPACHOS!$B$3:$B$3002,0))),"")</f>
        <v/>
      </c>
      <c r="T1193" s="41" t="n"/>
      <c r="U1193" s="43">
        <f>IF(OR($B1193="",$L1193=""),"",WORKDAY($B1193,IFERROR(INDEX(LISTAS!$C$3:$C$42,MATCH($L1193,LISTAS!$A$3:$A$42,0)),3)))</f>
        <v/>
      </c>
      <c r="V1193" s="40" t="n"/>
      <c r="W1193" s="19">
        <f>IF($B1193="","",IF($V1193&lt;&gt;"",$V1193-$B1193,TODAY()-$B1193))</f>
        <v/>
      </c>
      <c r="X1193" s="19">
        <f>IF(OR($B1193="",$U1193=""),"",IF($V1193&lt;&gt;"",MAX(0,$V1193-$U1193),MAX(0,TODAY()-$U1193)))</f>
        <v/>
      </c>
      <c r="Y1193" s="39">
        <f>IF($C1193="","",IF(IFERROR(INDEX(LISTAS!$I$3:$I$42,MATCH($T1193,LISTAS!$H$3:$H$42,0)),"NO")="SÍ",IF(N($X1193)&gt;0,"CERRADA FUERA DE SLA","CERRADA EN SLA"),IF($U1193="","SIN CLASIFICAR",IF(N($X1193)&gt;0,"VENCIDA",IF(TODAY()&gt;=$U1193-1,"POR VENCER","EN PLAZO")))))</f>
        <v/>
      </c>
      <c r="Z1193" s="41" t="n"/>
      <c r="AA1193" s="41" t="n"/>
      <c r="AB1193" s="41" t="n"/>
    </row>
    <row r="1194">
      <c r="A1194" s="39">
        <f>IF($C1194="","","NOV-"&amp;TEXT(ROW()-3,"0000"))</f>
        <v/>
      </c>
      <c r="B1194" s="40" t="n"/>
      <c r="C1194" s="41" t="n"/>
      <c r="D1194" s="42">
        <f>IF($C1194="","",IFERROR(INDEX(DESPACHOS!$D$3:$D$3002,MATCH($C1194,DESPACHOS!$B$3:$B$3002,0)),"SIN DESPACHO"))</f>
        <v/>
      </c>
      <c r="E1194" s="42">
        <f>IF($C1194="","",IFERROR(INDEX(DESPACHOS!$K$3:$K$3002,MATCH($C1194,DESPACHOS!$B$3:$B$3002,0)),""))</f>
        <v/>
      </c>
      <c r="F1194" s="42">
        <f>IF($C1194="","",IFERROR(INDEX(DESPACHOS!$I$3:$I$3002,MATCH($C1194,DESPACHOS!$B$3:$B$3002,0)),""))</f>
        <v/>
      </c>
      <c r="G1194" s="42">
        <f>IF($C1194="","",IFERROR(INDEX(DESPACHOS!$F$3:$F$3002,MATCH($C1194,DESPACHOS!$B$3:$B$3002,0)),""))</f>
        <v/>
      </c>
      <c r="H1194" s="42">
        <f>IF($C1194="","",IFERROR(INDEX(DESPACHOS!$G$3:$G$3002,MATCH($C1194,DESPACHOS!$B$3:$B$3002,0)),""))</f>
        <v/>
      </c>
      <c r="I1194" s="39">
        <f>IF($C1194="","",IFERROR(INDEX(DESPACHOS!$H$3:$H$3002,MATCH($C1194,DESPACHOS!$B$3:$B$3002,0)),""))</f>
        <v/>
      </c>
      <c r="J1194" s="43">
        <f>IF($C1194="","",IFERROR(INDEX(DESPACHOS!$J$3:$J$3002,MATCH($C1194,DESPACHOS!$B$3:$B$3002,0)),""))</f>
        <v/>
      </c>
      <c r="K1194" s="39">
        <f>IF($C1194="","",IF(COUNTIFS(DESPACHOS!$B$3:$B$3002,$C1194)=0,"NO EXISTE",IF(COUNTIFS(DESPACHOS!$B$3:$B$3002,$C1194)&gt;1,"DUPLICADO","OK")))</f>
        <v/>
      </c>
      <c r="L1194" s="41" t="n"/>
      <c r="M1194" s="41" t="n"/>
      <c r="N1194" s="42">
        <f>IF($M1194="","",IFERROR(INDEX(LISTAS!$F$3:$F$42,MATCH($M1194,LISTAS!$E$3:$E$42,0)),"Por definir"))</f>
        <v/>
      </c>
      <c r="O1194" s="41" t="n"/>
      <c r="P1194" s="39">
        <f>IF($L1194="","",IFERROR(INDEX(LISTAS!$B$3:$B$42,MATCH($L1194,LISTAS!$A$3:$A$42,0)),"Media"))</f>
        <v/>
      </c>
      <c r="Q1194" s="44" t="n"/>
      <c r="R1194" s="45" t="n"/>
      <c r="S1194" s="20">
        <f>IFERROR(IF(OR($R1194="",$C1194=""),"",$R1194/INDEX(DESPACHOS!$M$3:$M$3002,MATCH($C1194,DESPACHOS!$B$3:$B$3002,0))),"")</f>
        <v/>
      </c>
      <c r="T1194" s="41" t="n"/>
      <c r="U1194" s="43">
        <f>IF(OR($B1194="",$L1194=""),"",WORKDAY($B1194,IFERROR(INDEX(LISTAS!$C$3:$C$42,MATCH($L1194,LISTAS!$A$3:$A$42,0)),3)))</f>
        <v/>
      </c>
      <c r="V1194" s="40" t="n"/>
      <c r="W1194" s="19">
        <f>IF($B1194="","",IF($V1194&lt;&gt;"",$V1194-$B1194,TODAY()-$B1194))</f>
        <v/>
      </c>
      <c r="X1194" s="19">
        <f>IF(OR($B1194="",$U1194=""),"",IF($V1194&lt;&gt;"",MAX(0,$V1194-$U1194),MAX(0,TODAY()-$U1194)))</f>
        <v/>
      </c>
      <c r="Y1194" s="39">
        <f>IF($C1194="","",IF(IFERROR(INDEX(LISTAS!$I$3:$I$42,MATCH($T1194,LISTAS!$H$3:$H$42,0)),"NO")="SÍ",IF(N($X1194)&gt;0,"CERRADA FUERA DE SLA","CERRADA EN SLA"),IF($U1194="","SIN CLASIFICAR",IF(N($X1194)&gt;0,"VENCIDA",IF(TODAY()&gt;=$U1194-1,"POR VENCER","EN PLAZO")))))</f>
        <v/>
      </c>
      <c r="Z1194" s="41" t="n"/>
      <c r="AA1194" s="41" t="n"/>
      <c r="AB1194" s="41" t="n"/>
    </row>
    <row r="1195">
      <c r="A1195" s="39">
        <f>IF($C1195="","","NOV-"&amp;TEXT(ROW()-3,"0000"))</f>
        <v/>
      </c>
      <c r="B1195" s="40" t="n"/>
      <c r="C1195" s="41" t="n"/>
      <c r="D1195" s="42">
        <f>IF($C1195="","",IFERROR(INDEX(DESPACHOS!$D$3:$D$3002,MATCH($C1195,DESPACHOS!$B$3:$B$3002,0)),"SIN DESPACHO"))</f>
        <v/>
      </c>
      <c r="E1195" s="42">
        <f>IF($C1195="","",IFERROR(INDEX(DESPACHOS!$K$3:$K$3002,MATCH($C1195,DESPACHOS!$B$3:$B$3002,0)),""))</f>
        <v/>
      </c>
      <c r="F1195" s="42">
        <f>IF($C1195="","",IFERROR(INDEX(DESPACHOS!$I$3:$I$3002,MATCH($C1195,DESPACHOS!$B$3:$B$3002,0)),""))</f>
        <v/>
      </c>
      <c r="G1195" s="42">
        <f>IF($C1195="","",IFERROR(INDEX(DESPACHOS!$F$3:$F$3002,MATCH($C1195,DESPACHOS!$B$3:$B$3002,0)),""))</f>
        <v/>
      </c>
      <c r="H1195" s="42">
        <f>IF($C1195="","",IFERROR(INDEX(DESPACHOS!$G$3:$G$3002,MATCH($C1195,DESPACHOS!$B$3:$B$3002,0)),""))</f>
        <v/>
      </c>
      <c r="I1195" s="39">
        <f>IF($C1195="","",IFERROR(INDEX(DESPACHOS!$H$3:$H$3002,MATCH($C1195,DESPACHOS!$B$3:$B$3002,0)),""))</f>
        <v/>
      </c>
      <c r="J1195" s="43">
        <f>IF($C1195="","",IFERROR(INDEX(DESPACHOS!$J$3:$J$3002,MATCH($C1195,DESPACHOS!$B$3:$B$3002,0)),""))</f>
        <v/>
      </c>
      <c r="K1195" s="39">
        <f>IF($C1195="","",IF(COUNTIFS(DESPACHOS!$B$3:$B$3002,$C1195)=0,"NO EXISTE",IF(COUNTIFS(DESPACHOS!$B$3:$B$3002,$C1195)&gt;1,"DUPLICADO","OK")))</f>
        <v/>
      </c>
      <c r="L1195" s="41" t="n"/>
      <c r="M1195" s="41" t="n"/>
      <c r="N1195" s="42">
        <f>IF($M1195="","",IFERROR(INDEX(LISTAS!$F$3:$F$42,MATCH($M1195,LISTAS!$E$3:$E$42,0)),"Por definir"))</f>
        <v/>
      </c>
      <c r="O1195" s="41" t="n"/>
      <c r="P1195" s="39">
        <f>IF($L1195="","",IFERROR(INDEX(LISTAS!$B$3:$B$42,MATCH($L1195,LISTAS!$A$3:$A$42,0)),"Media"))</f>
        <v/>
      </c>
      <c r="Q1195" s="44" t="n"/>
      <c r="R1195" s="45" t="n"/>
      <c r="S1195" s="20">
        <f>IFERROR(IF(OR($R1195="",$C1195=""),"",$R1195/INDEX(DESPACHOS!$M$3:$M$3002,MATCH($C1195,DESPACHOS!$B$3:$B$3002,0))),"")</f>
        <v/>
      </c>
      <c r="T1195" s="41" t="n"/>
      <c r="U1195" s="43">
        <f>IF(OR($B1195="",$L1195=""),"",WORKDAY($B1195,IFERROR(INDEX(LISTAS!$C$3:$C$42,MATCH($L1195,LISTAS!$A$3:$A$42,0)),3)))</f>
        <v/>
      </c>
      <c r="V1195" s="40" t="n"/>
      <c r="W1195" s="19">
        <f>IF($B1195="","",IF($V1195&lt;&gt;"",$V1195-$B1195,TODAY()-$B1195))</f>
        <v/>
      </c>
      <c r="X1195" s="19">
        <f>IF(OR($B1195="",$U1195=""),"",IF($V1195&lt;&gt;"",MAX(0,$V1195-$U1195),MAX(0,TODAY()-$U1195)))</f>
        <v/>
      </c>
      <c r="Y1195" s="39">
        <f>IF($C1195="","",IF(IFERROR(INDEX(LISTAS!$I$3:$I$42,MATCH($T1195,LISTAS!$H$3:$H$42,0)),"NO")="SÍ",IF(N($X1195)&gt;0,"CERRADA FUERA DE SLA","CERRADA EN SLA"),IF($U1195="","SIN CLASIFICAR",IF(N($X1195)&gt;0,"VENCIDA",IF(TODAY()&gt;=$U1195-1,"POR VENCER","EN PLAZO")))))</f>
        <v/>
      </c>
      <c r="Z1195" s="41" t="n"/>
      <c r="AA1195" s="41" t="n"/>
      <c r="AB1195" s="41" t="n"/>
    </row>
    <row r="1196">
      <c r="A1196" s="39">
        <f>IF($C1196="","","NOV-"&amp;TEXT(ROW()-3,"0000"))</f>
        <v/>
      </c>
      <c r="B1196" s="40" t="n"/>
      <c r="C1196" s="41" t="n"/>
      <c r="D1196" s="42">
        <f>IF($C1196="","",IFERROR(INDEX(DESPACHOS!$D$3:$D$3002,MATCH($C1196,DESPACHOS!$B$3:$B$3002,0)),"SIN DESPACHO"))</f>
        <v/>
      </c>
      <c r="E1196" s="42">
        <f>IF($C1196="","",IFERROR(INDEX(DESPACHOS!$K$3:$K$3002,MATCH($C1196,DESPACHOS!$B$3:$B$3002,0)),""))</f>
        <v/>
      </c>
      <c r="F1196" s="42">
        <f>IF($C1196="","",IFERROR(INDEX(DESPACHOS!$I$3:$I$3002,MATCH($C1196,DESPACHOS!$B$3:$B$3002,0)),""))</f>
        <v/>
      </c>
      <c r="G1196" s="42">
        <f>IF($C1196="","",IFERROR(INDEX(DESPACHOS!$F$3:$F$3002,MATCH($C1196,DESPACHOS!$B$3:$B$3002,0)),""))</f>
        <v/>
      </c>
      <c r="H1196" s="42">
        <f>IF($C1196="","",IFERROR(INDEX(DESPACHOS!$G$3:$G$3002,MATCH($C1196,DESPACHOS!$B$3:$B$3002,0)),""))</f>
        <v/>
      </c>
      <c r="I1196" s="39">
        <f>IF($C1196="","",IFERROR(INDEX(DESPACHOS!$H$3:$H$3002,MATCH($C1196,DESPACHOS!$B$3:$B$3002,0)),""))</f>
        <v/>
      </c>
      <c r="J1196" s="43">
        <f>IF($C1196="","",IFERROR(INDEX(DESPACHOS!$J$3:$J$3002,MATCH($C1196,DESPACHOS!$B$3:$B$3002,0)),""))</f>
        <v/>
      </c>
      <c r="K1196" s="39">
        <f>IF($C1196="","",IF(COUNTIFS(DESPACHOS!$B$3:$B$3002,$C1196)=0,"NO EXISTE",IF(COUNTIFS(DESPACHOS!$B$3:$B$3002,$C1196)&gt;1,"DUPLICADO","OK")))</f>
        <v/>
      </c>
      <c r="L1196" s="41" t="n"/>
      <c r="M1196" s="41" t="n"/>
      <c r="N1196" s="42">
        <f>IF($M1196="","",IFERROR(INDEX(LISTAS!$F$3:$F$42,MATCH($M1196,LISTAS!$E$3:$E$42,0)),"Por definir"))</f>
        <v/>
      </c>
      <c r="O1196" s="41" t="n"/>
      <c r="P1196" s="39">
        <f>IF($L1196="","",IFERROR(INDEX(LISTAS!$B$3:$B$42,MATCH($L1196,LISTAS!$A$3:$A$42,0)),"Media"))</f>
        <v/>
      </c>
      <c r="Q1196" s="44" t="n"/>
      <c r="R1196" s="45" t="n"/>
      <c r="S1196" s="20">
        <f>IFERROR(IF(OR($R1196="",$C1196=""),"",$R1196/INDEX(DESPACHOS!$M$3:$M$3002,MATCH($C1196,DESPACHOS!$B$3:$B$3002,0))),"")</f>
        <v/>
      </c>
      <c r="T1196" s="41" t="n"/>
      <c r="U1196" s="43">
        <f>IF(OR($B1196="",$L1196=""),"",WORKDAY($B1196,IFERROR(INDEX(LISTAS!$C$3:$C$42,MATCH($L1196,LISTAS!$A$3:$A$42,0)),3)))</f>
        <v/>
      </c>
      <c r="V1196" s="40" t="n"/>
      <c r="W1196" s="19">
        <f>IF($B1196="","",IF($V1196&lt;&gt;"",$V1196-$B1196,TODAY()-$B1196))</f>
        <v/>
      </c>
      <c r="X1196" s="19">
        <f>IF(OR($B1196="",$U1196=""),"",IF($V1196&lt;&gt;"",MAX(0,$V1196-$U1196),MAX(0,TODAY()-$U1196)))</f>
        <v/>
      </c>
      <c r="Y1196" s="39">
        <f>IF($C1196="","",IF(IFERROR(INDEX(LISTAS!$I$3:$I$42,MATCH($T1196,LISTAS!$H$3:$H$42,0)),"NO")="SÍ",IF(N($X1196)&gt;0,"CERRADA FUERA DE SLA","CERRADA EN SLA"),IF($U1196="","SIN CLASIFICAR",IF(N($X1196)&gt;0,"VENCIDA",IF(TODAY()&gt;=$U1196-1,"POR VENCER","EN PLAZO")))))</f>
        <v/>
      </c>
      <c r="Z1196" s="41" t="n"/>
      <c r="AA1196" s="41" t="n"/>
      <c r="AB1196" s="41" t="n"/>
    </row>
    <row r="1197">
      <c r="A1197" s="39">
        <f>IF($C1197="","","NOV-"&amp;TEXT(ROW()-3,"0000"))</f>
        <v/>
      </c>
      <c r="B1197" s="40" t="n"/>
      <c r="C1197" s="41" t="n"/>
      <c r="D1197" s="42">
        <f>IF($C1197="","",IFERROR(INDEX(DESPACHOS!$D$3:$D$3002,MATCH($C1197,DESPACHOS!$B$3:$B$3002,0)),"SIN DESPACHO"))</f>
        <v/>
      </c>
      <c r="E1197" s="42">
        <f>IF($C1197="","",IFERROR(INDEX(DESPACHOS!$K$3:$K$3002,MATCH($C1197,DESPACHOS!$B$3:$B$3002,0)),""))</f>
        <v/>
      </c>
      <c r="F1197" s="42">
        <f>IF($C1197="","",IFERROR(INDEX(DESPACHOS!$I$3:$I$3002,MATCH($C1197,DESPACHOS!$B$3:$B$3002,0)),""))</f>
        <v/>
      </c>
      <c r="G1197" s="42">
        <f>IF($C1197="","",IFERROR(INDEX(DESPACHOS!$F$3:$F$3002,MATCH($C1197,DESPACHOS!$B$3:$B$3002,0)),""))</f>
        <v/>
      </c>
      <c r="H1197" s="42">
        <f>IF($C1197="","",IFERROR(INDEX(DESPACHOS!$G$3:$G$3002,MATCH($C1197,DESPACHOS!$B$3:$B$3002,0)),""))</f>
        <v/>
      </c>
      <c r="I1197" s="39">
        <f>IF($C1197="","",IFERROR(INDEX(DESPACHOS!$H$3:$H$3002,MATCH($C1197,DESPACHOS!$B$3:$B$3002,0)),""))</f>
        <v/>
      </c>
      <c r="J1197" s="43">
        <f>IF($C1197="","",IFERROR(INDEX(DESPACHOS!$J$3:$J$3002,MATCH($C1197,DESPACHOS!$B$3:$B$3002,0)),""))</f>
        <v/>
      </c>
      <c r="K1197" s="39">
        <f>IF($C1197="","",IF(COUNTIFS(DESPACHOS!$B$3:$B$3002,$C1197)=0,"NO EXISTE",IF(COUNTIFS(DESPACHOS!$B$3:$B$3002,$C1197)&gt;1,"DUPLICADO","OK")))</f>
        <v/>
      </c>
      <c r="L1197" s="41" t="n"/>
      <c r="M1197" s="41" t="n"/>
      <c r="N1197" s="42">
        <f>IF($M1197="","",IFERROR(INDEX(LISTAS!$F$3:$F$42,MATCH($M1197,LISTAS!$E$3:$E$42,0)),"Por definir"))</f>
        <v/>
      </c>
      <c r="O1197" s="41" t="n"/>
      <c r="P1197" s="39">
        <f>IF($L1197="","",IFERROR(INDEX(LISTAS!$B$3:$B$42,MATCH($L1197,LISTAS!$A$3:$A$42,0)),"Media"))</f>
        <v/>
      </c>
      <c r="Q1197" s="44" t="n"/>
      <c r="R1197" s="45" t="n"/>
      <c r="S1197" s="20">
        <f>IFERROR(IF(OR($R1197="",$C1197=""),"",$R1197/INDEX(DESPACHOS!$M$3:$M$3002,MATCH($C1197,DESPACHOS!$B$3:$B$3002,0))),"")</f>
        <v/>
      </c>
      <c r="T1197" s="41" t="n"/>
      <c r="U1197" s="43">
        <f>IF(OR($B1197="",$L1197=""),"",WORKDAY($B1197,IFERROR(INDEX(LISTAS!$C$3:$C$42,MATCH($L1197,LISTAS!$A$3:$A$42,0)),3)))</f>
        <v/>
      </c>
      <c r="V1197" s="40" t="n"/>
      <c r="W1197" s="19">
        <f>IF($B1197="","",IF($V1197&lt;&gt;"",$V1197-$B1197,TODAY()-$B1197))</f>
        <v/>
      </c>
      <c r="X1197" s="19">
        <f>IF(OR($B1197="",$U1197=""),"",IF($V1197&lt;&gt;"",MAX(0,$V1197-$U1197),MAX(0,TODAY()-$U1197)))</f>
        <v/>
      </c>
      <c r="Y1197" s="39">
        <f>IF($C1197="","",IF(IFERROR(INDEX(LISTAS!$I$3:$I$42,MATCH($T1197,LISTAS!$H$3:$H$42,0)),"NO")="SÍ",IF(N($X1197)&gt;0,"CERRADA FUERA DE SLA","CERRADA EN SLA"),IF($U1197="","SIN CLASIFICAR",IF(N($X1197)&gt;0,"VENCIDA",IF(TODAY()&gt;=$U1197-1,"POR VENCER","EN PLAZO")))))</f>
        <v/>
      </c>
      <c r="Z1197" s="41" t="n"/>
      <c r="AA1197" s="41" t="n"/>
      <c r="AB1197" s="41" t="n"/>
    </row>
    <row r="1198">
      <c r="A1198" s="39">
        <f>IF($C1198="","","NOV-"&amp;TEXT(ROW()-3,"0000"))</f>
        <v/>
      </c>
      <c r="B1198" s="40" t="n"/>
      <c r="C1198" s="41" t="n"/>
      <c r="D1198" s="42">
        <f>IF($C1198="","",IFERROR(INDEX(DESPACHOS!$D$3:$D$3002,MATCH($C1198,DESPACHOS!$B$3:$B$3002,0)),"SIN DESPACHO"))</f>
        <v/>
      </c>
      <c r="E1198" s="42">
        <f>IF($C1198="","",IFERROR(INDEX(DESPACHOS!$K$3:$K$3002,MATCH($C1198,DESPACHOS!$B$3:$B$3002,0)),""))</f>
        <v/>
      </c>
      <c r="F1198" s="42">
        <f>IF($C1198="","",IFERROR(INDEX(DESPACHOS!$I$3:$I$3002,MATCH($C1198,DESPACHOS!$B$3:$B$3002,0)),""))</f>
        <v/>
      </c>
      <c r="G1198" s="42">
        <f>IF($C1198="","",IFERROR(INDEX(DESPACHOS!$F$3:$F$3002,MATCH($C1198,DESPACHOS!$B$3:$B$3002,0)),""))</f>
        <v/>
      </c>
      <c r="H1198" s="42">
        <f>IF($C1198="","",IFERROR(INDEX(DESPACHOS!$G$3:$G$3002,MATCH($C1198,DESPACHOS!$B$3:$B$3002,0)),""))</f>
        <v/>
      </c>
      <c r="I1198" s="39">
        <f>IF($C1198="","",IFERROR(INDEX(DESPACHOS!$H$3:$H$3002,MATCH($C1198,DESPACHOS!$B$3:$B$3002,0)),""))</f>
        <v/>
      </c>
      <c r="J1198" s="43">
        <f>IF($C1198="","",IFERROR(INDEX(DESPACHOS!$J$3:$J$3002,MATCH($C1198,DESPACHOS!$B$3:$B$3002,0)),""))</f>
        <v/>
      </c>
      <c r="K1198" s="39">
        <f>IF($C1198="","",IF(COUNTIFS(DESPACHOS!$B$3:$B$3002,$C1198)=0,"NO EXISTE",IF(COUNTIFS(DESPACHOS!$B$3:$B$3002,$C1198)&gt;1,"DUPLICADO","OK")))</f>
        <v/>
      </c>
      <c r="L1198" s="41" t="n"/>
      <c r="M1198" s="41" t="n"/>
      <c r="N1198" s="42">
        <f>IF($M1198="","",IFERROR(INDEX(LISTAS!$F$3:$F$42,MATCH($M1198,LISTAS!$E$3:$E$42,0)),"Por definir"))</f>
        <v/>
      </c>
      <c r="O1198" s="41" t="n"/>
      <c r="P1198" s="39">
        <f>IF($L1198="","",IFERROR(INDEX(LISTAS!$B$3:$B$42,MATCH($L1198,LISTAS!$A$3:$A$42,0)),"Media"))</f>
        <v/>
      </c>
      <c r="Q1198" s="44" t="n"/>
      <c r="R1198" s="45" t="n"/>
      <c r="S1198" s="20">
        <f>IFERROR(IF(OR($R1198="",$C1198=""),"",$R1198/INDEX(DESPACHOS!$M$3:$M$3002,MATCH($C1198,DESPACHOS!$B$3:$B$3002,0))),"")</f>
        <v/>
      </c>
      <c r="T1198" s="41" t="n"/>
      <c r="U1198" s="43">
        <f>IF(OR($B1198="",$L1198=""),"",WORKDAY($B1198,IFERROR(INDEX(LISTAS!$C$3:$C$42,MATCH($L1198,LISTAS!$A$3:$A$42,0)),3)))</f>
        <v/>
      </c>
      <c r="V1198" s="40" t="n"/>
      <c r="W1198" s="19">
        <f>IF($B1198="","",IF($V1198&lt;&gt;"",$V1198-$B1198,TODAY()-$B1198))</f>
        <v/>
      </c>
      <c r="X1198" s="19">
        <f>IF(OR($B1198="",$U1198=""),"",IF($V1198&lt;&gt;"",MAX(0,$V1198-$U1198),MAX(0,TODAY()-$U1198)))</f>
        <v/>
      </c>
      <c r="Y1198" s="39">
        <f>IF($C1198="","",IF(IFERROR(INDEX(LISTAS!$I$3:$I$42,MATCH($T1198,LISTAS!$H$3:$H$42,0)),"NO")="SÍ",IF(N($X1198)&gt;0,"CERRADA FUERA DE SLA","CERRADA EN SLA"),IF($U1198="","SIN CLASIFICAR",IF(N($X1198)&gt;0,"VENCIDA",IF(TODAY()&gt;=$U1198-1,"POR VENCER","EN PLAZO")))))</f>
        <v/>
      </c>
      <c r="Z1198" s="41" t="n"/>
      <c r="AA1198" s="41" t="n"/>
      <c r="AB1198" s="41" t="n"/>
    </row>
    <row r="1199">
      <c r="A1199" s="39">
        <f>IF($C1199="","","NOV-"&amp;TEXT(ROW()-3,"0000"))</f>
        <v/>
      </c>
      <c r="B1199" s="40" t="n"/>
      <c r="C1199" s="41" t="n"/>
      <c r="D1199" s="42">
        <f>IF($C1199="","",IFERROR(INDEX(DESPACHOS!$D$3:$D$3002,MATCH($C1199,DESPACHOS!$B$3:$B$3002,0)),"SIN DESPACHO"))</f>
        <v/>
      </c>
      <c r="E1199" s="42">
        <f>IF($C1199="","",IFERROR(INDEX(DESPACHOS!$K$3:$K$3002,MATCH($C1199,DESPACHOS!$B$3:$B$3002,0)),""))</f>
        <v/>
      </c>
      <c r="F1199" s="42">
        <f>IF($C1199="","",IFERROR(INDEX(DESPACHOS!$I$3:$I$3002,MATCH($C1199,DESPACHOS!$B$3:$B$3002,0)),""))</f>
        <v/>
      </c>
      <c r="G1199" s="42">
        <f>IF($C1199="","",IFERROR(INDEX(DESPACHOS!$F$3:$F$3002,MATCH($C1199,DESPACHOS!$B$3:$B$3002,0)),""))</f>
        <v/>
      </c>
      <c r="H1199" s="42">
        <f>IF($C1199="","",IFERROR(INDEX(DESPACHOS!$G$3:$G$3002,MATCH($C1199,DESPACHOS!$B$3:$B$3002,0)),""))</f>
        <v/>
      </c>
      <c r="I1199" s="39">
        <f>IF($C1199="","",IFERROR(INDEX(DESPACHOS!$H$3:$H$3002,MATCH($C1199,DESPACHOS!$B$3:$B$3002,0)),""))</f>
        <v/>
      </c>
      <c r="J1199" s="43">
        <f>IF($C1199="","",IFERROR(INDEX(DESPACHOS!$J$3:$J$3002,MATCH($C1199,DESPACHOS!$B$3:$B$3002,0)),""))</f>
        <v/>
      </c>
      <c r="K1199" s="39">
        <f>IF($C1199="","",IF(COUNTIFS(DESPACHOS!$B$3:$B$3002,$C1199)=0,"NO EXISTE",IF(COUNTIFS(DESPACHOS!$B$3:$B$3002,$C1199)&gt;1,"DUPLICADO","OK")))</f>
        <v/>
      </c>
      <c r="L1199" s="41" t="n"/>
      <c r="M1199" s="41" t="n"/>
      <c r="N1199" s="42">
        <f>IF($M1199="","",IFERROR(INDEX(LISTAS!$F$3:$F$42,MATCH($M1199,LISTAS!$E$3:$E$42,0)),"Por definir"))</f>
        <v/>
      </c>
      <c r="O1199" s="41" t="n"/>
      <c r="P1199" s="39">
        <f>IF($L1199="","",IFERROR(INDEX(LISTAS!$B$3:$B$42,MATCH($L1199,LISTAS!$A$3:$A$42,0)),"Media"))</f>
        <v/>
      </c>
      <c r="Q1199" s="44" t="n"/>
      <c r="R1199" s="45" t="n"/>
      <c r="S1199" s="20">
        <f>IFERROR(IF(OR($R1199="",$C1199=""),"",$R1199/INDEX(DESPACHOS!$M$3:$M$3002,MATCH($C1199,DESPACHOS!$B$3:$B$3002,0))),"")</f>
        <v/>
      </c>
      <c r="T1199" s="41" t="n"/>
      <c r="U1199" s="43">
        <f>IF(OR($B1199="",$L1199=""),"",WORKDAY($B1199,IFERROR(INDEX(LISTAS!$C$3:$C$42,MATCH($L1199,LISTAS!$A$3:$A$42,0)),3)))</f>
        <v/>
      </c>
      <c r="V1199" s="40" t="n"/>
      <c r="W1199" s="19">
        <f>IF($B1199="","",IF($V1199&lt;&gt;"",$V1199-$B1199,TODAY()-$B1199))</f>
        <v/>
      </c>
      <c r="X1199" s="19">
        <f>IF(OR($B1199="",$U1199=""),"",IF($V1199&lt;&gt;"",MAX(0,$V1199-$U1199),MAX(0,TODAY()-$U1199)))</f>
        <v/>
      </c>
      <c r="Y1199" s="39">
        <f>IF($C1199="","",IF(IFERROR(INDEX(LISTAS!$I$3:$I$42,MATCH($T1199,LISTAS!$H$3:$H$42,0)),"NO")="SÍ",IF(N($X1199)&gt;0,"CERRADA FUERA DE SLA","CERRADA EN SLA"),IF($U1199="","SIN CLASIFICAR",IF(N($X1199)&gt;0,"VENCIDA",IF(TODAY()&gt;=$U1199-1,"POR VENCER","EN PLAZO")))))</f>
        <v/>
      </c>
      <c r="Z1199" s="41" t="n"/>
      <c r="AA1199" s="41" t="n"/>
      <c r="AB1199" s="41" t="n"/>
    </row>
    <row r="1200">
      <c r="A1200" s="39">
        <f>IF($C1200="","","NOV-"&amp;TEXT(ROW()-3,"0000"))</f>
        <v/>
      </c>
      <c r="B1200" s="40" t="n"/>
      <c r="C1200" s="41" t="n"/>
      <c r="D1200" s="42">
        <f>IF($C1200="","",IFERROR(INDEX(DESPACHOS!$D$3:$D$3002,MATCH($C1200,DESPACHOS!$B$3:$B$3002,0)),"SIN DESPACHO"))</f>
        <v/>
      </c>
      <c r="E1200" s="42">
        <f>IF($C1200="","",IFERROR(INDEX(DESPACHOS!$K$3:$K$3002,MATCH($C1200,DESPACHOS!$B$3:$B$3002,0)),""))</f>
        <v/>
      </c>
      <c r="F1200" s="42">
        <f>IF($C1200="","",IFERROR(INDEX(DESPACHOS!$I$3:$I$3002,MATCH($C1200,DESPACHOS!$B$3:$B$3002,0)),""))</f>
        <v/>
      </c>
      <c r="G1200" s="42">
        <f>IF($C1200="","",IFERROR(INDEX(DESPACHOS!$F$3:$F$3002,MATCH($C1200,DESPACHOS!$B$3:$B$3002,0)),""))</f>
        <v/>
      </c>
      <c r="H1200" s="42">
        <f>IF($C1200="","",IFERROR(INDEX(DESPACHOS!$G$3:$G$3002,MATCH($C1200,DESPACHOS!$B$3:$B$3002,0)),""))</f>
        <v/>
      </c>
      <c r="I1200" s="39">
        <f>IF($C1200="","",IFERROR(INDEX(DESPACHOS!$H$3:$H$3002,MATCH($C1200,DESPACHOS!$B$3:$B$3002,0)),""))</f>
        <v/>
      </c>
      <c r="J1200" s="43">
        <f>IF($C1200="","",IFERROR(INDEX(DESPACHOS!$J$3:$J$3002,MATCH($C1200,DESPACHOS!$B$3:$B$3002,0)),""))</f>
        <v/>
      </c>
      <c r="K1200" s="39">
        <f>IF($C1200="","",IF(COUNTIFS(DESPACHOS!$B$3:$B$3002,$C1200)=0,"NO EXISTE",IF(COUNTIFS(DESPACHOS!$B$3:$B$3002,$C1200)&gt;1,"DUPLICADO","OK")))</f>
        <v/>
      </c>
      <c r="L1200" s="41" t="n"/>
      <c r="M1200" s="41" t="n"/>
      <c r="N1200" s="42">
        <f>IF($M1200="","",IFERROR(INDEX(LISTAS!$F$3:$F$42,MATCH($M1200,LISTAS!$E$3:$E$42,0)),"Por definir"))</f>
        <v/>
      </c>
      <c r="O1200" s="41" t="n"/>
      <c r="P1200" s="39">
        <f>IF($L1200="","",IFERROR(INDEX(LISTAS!$B$3:$B$42,MATCH($L1200,LISTAS!$A$3:$A$42,0)),"Media"))</f>
        <v/>
      </c>
      <c r="Q1200" s="44" t="n"/>
      <c r="R1200" s="45" t="n"/>
      <c r="S1200" s="20">
        <f>IFERROR(IF(OR($R1200="",$C1200=""),"",$R1200/INDEX(DESPACHOS!$M$3:$M$3002,MATCH($C1200,DESPACHOS!$B$3:$B$3002,0))),"")</f>
        <v/>
      </c>
      <c r="T1200" s="41" t="n"/>
      <c r="U1200" s="43">
        <f>IF(OR($B1200="",$L1200=""),"",WORKDAY($B1200,IFERROR(INDEX(LISTAS!$C$3:$C$42,MATCH($L1200,LISTAS!$A$3:$A$42,0)),3)))</f>
        <v/>
      </c>
      <c r="V1200" s="40" t="n"/>
      <c r="W1200" s="19">
        <f>IF($B1200="","",IF($V1200&lt;&gt;"",$V1200-$B1200,TODAY()-$B1200))</f>
        <v/>
      </c>
      <c r="X1200" s="19">
        <f>IF(OR($B1200="",$U1200=""),"",IF($V1200&lt;&gt;"",MAX(0,$V1200-$U1200),MAX(0,TODAY()-$U1200)))</f>
        <v/>
      </c>
      <c r="Y1200" s="39">
        <f>IF($C1200="","",IF(IFERROR(INDEX(LISTAS!$I$3:$I$42,MATCH($T1200,LISTAS!$H$3:$H$42,0)),"NO")="SÍ",IF(N($X1200)&gt;0,"CERRADA FUERA DE SLA","CERRADA EN SLA"),IF($U1200="","SIN CLASIFICAR",IF(N($X1200)&gt;0,"VENCIDA",IF(TODAY()&gt;=$U1200-1,"POR VENCER","EN PLAZO")))))</f>
        <v/>
      </c>
      <c r="Z1200" s="41" t="n"/>
      <c r="AA1200" s="41" t="n"/>
      <c r="AB1200" s="41" t="n"/>
    </row>
    <row r="1201">
      <c r="A1201" s="39">
        <f>IF($C1201="","","NOV-"&amp;TEXT(ROW()-3,"0000"))</f>
        <v/>
      </c>
      <c r="B1201" s="40" t="n"/>
      <c r="C1201" s="41" t="n"/>
      <c r="D1201" s="42">
        <f>IF($C1201="","",IFERROR(INDEX(DESPACHOS!$D$3:$D$3002,MATCH($C1201,DESPACHOS!$B$3:$B$3002,0)),"SIN DESPACHO"))</f>
        <v/>
      </c>
      <c r="E1201" s="42">
        <f>IF($C1201="","",IFERROR(INDEX(DESPACHOS!$K$3:$K$3002,MATCH($C1201,DESPACHOS!$B$3:$B$3002,0)),""))</f>
        <v/>
      </c>
      <c r="F1201" s="42">
        <f>IF($C1201="","",IFERROR(INDEX(DESPACHOS!$I$3:$I$3002,MATCH($C1201,DESPACHOS!$B$3:$B$3002,0)),""))</f>
        <v/>
      </c>
      <c r="G1201" s="42">
        <f>IF($C1201="","",IFERROR(INDEX(DESPACHOS!$F$3:$F$3002,MATCH($C1201,DESPACHOS!$B$3:$B$3002,0)),""))</f>
        <v/>
      </c>
      <c r="H1201" s="42">
        <f>IF($C1201="","",IFERROR(INDEX(DESPACHOS!$G$3:$G$3002,MATCH($C1201,DESPACHOS!$B$3:$B$3002,0)),""))</f>
        <v/>
      </c>
      <c r="I1201" s="39">
        <f>IF($C1201="","",IFERROR(INDEX(DESPACHOS!$H$3:$H$3002,MATCH($C1201,DESPACHOS!$B$3:$B$3002,0)),""))</f>
        <v/>
      </c>
      <c r="J1201" s="43">
        <f>IF($C1201="","",IFERROR(INDEX(DESPACHOS!$J$3:$J$3002,MATCH($C1201,DESPACHOS!$B$3:$B$3002,0)),""))</f>
        <v/>
      </c>
      <c r="K1201" s="39">
        <f>IF($C1201="","",IF(COUNTIFS(DESPACHOS!$B$3:$B$3002,$C1201)=0,"NO EXISTE",IF(COUNTIFS(DESPACHOS!$B$3:$B$3002,$C1201)&gt;1,"DUPLICADO","OK")))</f>
        <v/>
      </c>
      <c r="L1201" s="41" t="n"/>
      <c r="M1201" s="41" t="n"/>
      <c r="N1201" s="42">
        <f>IF($M1201="","",IFERROR(INDEX(LISTAS!$F$3:$F$42,MATCH($M1201,LISTAS!$E$3:$E$42,0)),"Por definir"))</f>
        <v/>
      </c>
      <c r="O1201" s="41" t="n"/>
      <c r="P1201" s="39">
        <f>IF($L1201="","",IFERROR(INDEX(LISTAS!$B$3:$B$42,MATCH($L1201,LISTAS!$A$3:$A$42,0)),"Media"))</f>
        <v/>
      </c>
      <c r="Q1201" s="44" t="n"/>
      <c r="R1201" s="45" t="n"/>
      <c r="S1201" s="20">
        <f>IFERROR(IF(OR($R1201="",$C1201=""),"",$R1201/INDEX(DESPACHOS!$M$3:$M$3002,MATCH($C1201,DESPACHOS!$B$3:$B$3002,0))),"")</f>
        <v/>
      </c>
      <c r="T1201" s="41" t="n"/>
      <c r="U1201" s="43">
        <f>IF(OR($B1201="",$L1201=""),"",WORKDAY($B1201,IFERROR(INDEX(LISTAS!$C$3:$C$42,MATCH($L1201,LISTAS!$A$3:$A$42,0)),3)))</f>
        <v/>
      </c>
      <c r="V1201" s="40" t="n"/>
      <c r="W1201" s="19">
        <f>IF($B1201="","",IF($V1201&lt;&gt;"",$V1201-$B1201,TODAY()-$B1201))</f>
        <v/>
      </c>
      <c r="X1201" s="19">
        <f>IF(OR($B1201="",$U1201=""),"",IF($V1201&lt;&gt;"",MAX(0,$V1201-$U1201),MAX(0,TODAY()-$U1201)))</f>
        <v/>
      </c>
      <c r="Y1201" s="39">
        <f>IF($C1201="","",IF(IFERROR(INDEX(LISTAS!$I$3:$I$42,MATCH($T1201,LISTAS!$H$3:$H$42,0)),"NO")="SÍ",IF(N($X1201)&gt;0,"CERRADA FUERA DE SLA","CERRADA EN SLA"),IF($U1201="","SIN CLASIFICAR",IF(N($X1201)&gt;0,"VENCIDA",IF(TODAY()&gt;=$U1201-1,"POR VENCER","EN PLAZO")))))</f>
        <v/>
      </c>
      <c r="Z1201" s="41" t="n"/>
      <c r="AA1201" s="41" t="n"/>
      <c r="AB1201" s="41" t="n"/>
    </row>
    <row r="1202">
      <c r="A1202" s="39">
        <f>IF($C1202="","","NOV-"&amp;TEXT(ROW()-3,"0000"))</f>
        <v/>
      </c>
      <c r="B1202" s="40" t="n"/>
      <c r="C1202" s="41" t="n"/>
      <c r="D1202" s="42">
        <f>IF($C1202="","",IFERROR(INDEX(DESPACHOS!$D$3:$D$3002,MATCH($C1202,DESPACHOS!$B$3:$B$3002,0)),"SIN DESPACHO"))</f>
        <v/>
      </c>
      <c r="E1202" s="42">
        <f>IF($C1202="","",IFERROR(INDEX(DESPACHOS!$K$3:$K$3002,MATCH($C1202,DESPACHOS!$B$3:$B$3002,0)),""))</f>
        <v/>
      </c>
      <c r="F1202" s="42">
        <f>IF($C1202="","",IFERROR(INDEX(DESPACHOS!$I$3:$I$3002,MATCH($C1202,DESPACHOS!$B$3:$B$3002,0)),""))</f>
        <v/>
      </c>
      <c r="G1202" s="42">
        <f>IF($C1202="","",IFERROR(INDEX(DESPACHOS!$F$3:$F$3002,MATCH($C1202,DESPACHOS!$B$3:$B$3002,0)),""))</f>
        <v/>
      </c>
      <c r="H1202" s="42">
        <f>IF($C1202="","",IFERROR(INDEX(DESPACHOS!$G$3:$G$3002,MATCH($C1202,DESPACHOS!$B$3:$B$3002,0)),""))</f>
        <v/>
      </c>
      <c r="I1202" s="39">
        <f>IF($C1202="","",IFERROR(INDEX(DESPACHOS!$H$3:$H$3002,MATCH($C1202,DESPACHOS!$B$3:$B$3002,0)),""))</f>
        <v/>
      </c>
      <c r="J1202" s="43">
        <f>IF($C1202="","",IFERROR(INDEX(DESPACHOS!$J$3:$J$3002,MATCH($C1202,DESPACHOS!$B$3:$B$3002,0)),""))</f>
        <v/>
      </c>
      <c r="K1202" s="39">
        <f>IF($C1202="","",IF(COUNTIFS(DESPACHOS!$B$3:$B$3002,$C1202)=0,"NO EXISTE",IF(COUNTIFS(DESPACHOS!$B$3:$B$3002,$C1202)&gt;1,"DUPLICADO","OK")))</f>
        <v/>
      </c>
      <c r="L1202" s="41" t="n"/>
      <c r="M1202" s="41" t="n"/>
      <c r="N1202" s="42">
        <f>IF($M1202="","",IFERROR(INDEX(LISTAS!$F$3:$F$42,MATCH($M1202,LISTAS!$E$3:$E$42,0)),"Por definir"))</f>
        <v/>
      </c>
      <c r="O1202" s="41" t="n"/>
      <c r="P1202" s="39">
        <f>IF($L1202="","",IFERROR(INDEX(LISTAS!$B$3:$B$42,MATCH($L1202,LISTAS!$A$3:$A$42,0)),"Media"))</f>
        <v/>
      </c>
      <c r="Q1202" s="44" t="n"/>
      <c r="R1202" s="45" t="n"/>
      <c r="S1202" s="20">
        <f>IFERROR(IF(OR($R1202="",$C1202=""),"",$R1202/INDEX(DESPACHOS!$M$3:$M$3002,MATCH($C1202,DESPACHOS!$B$3:$B$3002,0))),"")</f>
        <v/>
      </c>
      <c r="T1202" s="41" t="n"/>
      <c r="U1202" s="43">
        <f>IF(OR($B1202="",$L1202=""),"",WORKDAY($B1202,IFERROR(INDEX(LISTAS!$C$3:$C$42,MATCH($L1202,LISTAS!$A$3:$A$42,0)),3)))</f>
        <v/>
      </c>
      <c r="V1202" s="40" t="n"/>
      <c r="W1202" s="19">
        <f>IF($B1202="","",IF($V1202&lt;&gt;"",$V1202-$B1202,TODAY()-$B1202))</f>
        <v/>
      </c>
      <c r="X1202" s="19">
        <f>IF(OR($B1202="",$U1202=""),"",IF($V1202&lt;&gt;"",MAX(0,$V1202-$U1202),MAX(0,TODAY()-$U1202)))</f>
        <v/>
      </c>
      <c r="Y1202" s="39">
        <f>IF($C1202="","",IF(IFERROR(INDEX(LISTAS!$I$3:$I$42,MATCH($T1202,LISTAS!$H$3:$H$42,0)),"NO")="SÍ",IF(N($X1202)&gt;0,"CERRADA FUERA DE SLA","CERRADA EN SLA"),IF($U1202="","SIN CLASIFICAR",IF(N($X1202)&gt;0,"VENCIDA",IF(TODAY()&gt;=$U1202-1,"POR VENCER","EN PLAZO")))))</f>
        <v/>
      </c>
      <c r="Z1202" s="41" t="n"/>
      <c r="AA1202" s="41" t="n"/>
      <c r="AB1202" s="41" t="n"/>
    </row>
    <row r="1203">
      <c r="A1203" s="39">
        <f>IF($C1203="","","NOV-"&amp;TEXT(ROW()-3,"0000"))</f>
        <v/>
      </c>
      <c r="B1203" s="40" t="n"/>
      <c r="C1203" s="41" t="n"/>
      <c r="D1203" s="42">
        <f>IF($C1203="","",IFERROR(INDEX(DESPACHOS!$D$3:$D$3002,MATCH($C1203,DESPACHOS!$B$3:$B$3002,0)),"SIN DESPACHO"))</f>
        <v/>
      </c>
      <c r="E1203" s="42">
        <f>IF($C1203="","",IFERROR(INDEX(DESPACHOS!$K$3:$K$3002,MATCH($C1203,DESPACHOS!$B$3:$B$3002,0)),""))</f>
        <v/>
      </c>
      <c r="F1203" s="42">
        <f>IF($C1203="","",IFERROR(INDEX(DESPACHOS!$I$3:$I$3002,MATCH($C1203,DESPACHOS!$B$3:$B$3002,0)),""))</f>
        <v/>
      </c>
      <c r="G1203" s="42">
        <f>IF($C1203="","",IFERROR(INDEX(DESPACHOS!$F$3:$F$3002,MATCH($C1203,DESPACHOS!$B$3:$B$3002,0)),""))</f>
        <v/>
      </c>
      <c r="H1203" s="42">
        <f>IF($C1203="","",IFERROR(INDEX(DESPACHOS!$G$3:$G$3002,MATCH($C1203,DESPACHOS!$B$3:$B$3002,0)),""))</f>
        <v/>
      </c>
      <c r="I1203" s="39">
        <f>IF($C1203="","",IFERROR(INDEX(DESPACHOS!$H$3:$H$3002,MATCH($C1203,DESPACHOS!$B$3:$B$3002,0)),""))</f>
        <v/>
      </c>
      <c r="J1203" s="43">
        <f>IF($C1203="","",IFERROR(INDEX(DESPACHOS!$J$3:$J$3002,MATCH($C1203,DESPACHOS!$B$3:$B$3002,0)),""))</f>
        <v/>
      </c>
      <c r="K1203" s="39">
        <f>IF($C1203="","",IF(COUNTIFS(DESPACHOS!$B$3:$B$3002,$C1203)=0,"NO EXISTE",IF(COUNTIFS(DESPACHOS!$B$3:$B$3002,$C1203)&gt;1,"DUPLICADO","OK")))</f>
        <v/>
      </c>
      <c r="L1203" s="41" t="n"/>
      <c r="M1203" s="41" t="n"/>
      <c r="N1203" s="42">
        <f>IF($M1203="","",IFERROR(INDEX(LISTAS!$F$3:$F$42,MATCH($M1203,LISTAS!$E$3:$E$42,0)),"Por definir"))</f>
        <v/>
      </c>
      <c r="O1203" s="41" t="n"/>
      <c r="P1203" s="39">
        <f>IF($L1203="","",IFERROR(INDEX(LISTAS!$B$3:$B$42,MATCH($L1203,LISTAS!$A$3:$A$42,0)),"Media"))</f>
        <v/>
      </c>
      <c r="Q1203" s="44" t="n"/>
      <c r="R1203" s="45" t="n"/>
      <c r="S1203" s="20">
        <f>IFERROR(IF(OR($R1203="",$C1203=""),"",$R1203/INDEX(DESPACHOS!$M$3:$M$3002,MATCH($C1203,DESPACHOS!$B$3:$B$3002,0))),"")</f>
        <v/>
      </c>
      <c r="T1203" s="41" t="n"/>
      <c r="U1203" s="43">
        <f>IF(OR($B1203="",$L1203=""),"",WORKDAY($B1203,IFERROR(INDEX(LISTAS!$C$3:$C$42,MATCH($L1203,LISTAS!$A$3:$A$42,0)),3)))</f>
        <v/>
      </c>
      <c r="V1203" s="40" t="n"/>
      <c r="W1203" s="19">
        <f>IF($B1203="","",IF($V1203&lt;&gt;"",$V1203-$B1203,TODAY()-$B1203))</f>
        <v/>
      </c>
      <c r="X1203" s="19">
        <f>IF(OR($B1203="",$U1203=""),"",IF($V1203&lt;&gt;"",MAX(0,$V1203-$U1203),MAX(0,TODAY()-$U1203)))</f>
        <v/>
      </c>
      <c r="Y1203" s="39">
        <f>IF($C1203="","",IF(IFERROR(INDEX(LISTAS!$I$3:$I$42,MATCH($T1203,LISTAS!$H$3:$H$42,0)),"NO")="SÍ",IF(N($X1203)&gt;0,"CERRADA FUERA DE SLA","CERRADA EN SLA"),IF($U1203="","SIN CLASIFICAR",IF(N($X1203)&gt;0,"VENCIDA",IF(TODAY()&gt;=$U1203-1,"POR VENCER","EN PLAZO")))))</f>
        <v/>
      </c>
      <c r="Z1203" s="41" t="n"/>
      <c r="AA1203" s="41" t="n"/>
      <c r="AB1203" s="41" t="n"/>
    </row>
    <row r="1204">
      <c r="A1204" s="39">
        <f>IF($C1204="","","NOV-"&amp;TEXT(ROW()-3,"0000"))</f>
        <v/>
      </c>
      <c r="B1204" s="40" t="n"/>
      <c r="C1204" s="41" t="n"/>
      <c r="D1204" s="42">
        <f>IF($C1204="","",IFERROR(INDEX(DESPACHOS!$D$3:$D$3002,MATCH($C1204,DESPACHOS!$B$3:$B$3002,0)),"SIN DESPACHO"))</f>
        <v/>
      </c>
      <c r="E1204" s="42">
        <f>IF($C1204="","",IFERROR(INDEX(DESPACHOS!$K$3:$K$3002,MATCH($C1204,DESPACHOS!$B$3:$B$3002,0)),""))</f>
        <v/>
      </c>
      <c r="F1204" s="42">
        <f>IF($C1204="","",IFERROR(INDEX(DESPACHOS!$I$3:$I$3002,MATCH($C1204,DESPACHOS!$B$3:$B$3002,0)),""))</f>
        <v/>
      </c>
      <c r="G1204" s="42">
        <f>IF($C1204="","",IFERROR(INDEX(DESPACHOS!$F$3:$F$3002,MATCH($C1204,DESPACHOS!$B$3:$B$3002,0)),""))</f>
        <v/>
      </c>
      <c r="H1204" s="42">
        <f>IF($C1204="","",IFERROR(INDEX(DESPACHOS!$G$3:$G$3002,MATCH($C1204,DESPACHOS!$B$3:$B$3002,0)),""))</f>
        <v/>
      </c>
      <c r="I1204" s="39">
        <f>IF($C1204="","",IFERROR(INDEX(DESPACHOS!$H$3:$H$3002,MATCH($C1204,DESPACHOS!$B$3:$B$3002,0)),""))</f>
        <v/>
      </c>
      <c r="J1204" s="43">
        <f>IF($C1204="","",IFERROR(INDEX(DESPACHOS!$J$3:$J$3002,MATCH($C1204,DESPACHOS!$B$3:$B$3002,0)),""))</f>
        <v/>
      </c>
      <c r="K1204" s="39">
        <f>IF($C1204="","",IF(COUNTIFS(DESPACHOS!$B$3:$B$3002,$C1204)=0,"NO EXISTE",IF(COUNTIFS(DESPACHOS!$B$3:$B$3002,$C1204)&gt;1,"DUPLICADO","OK")))</f>
        <v/>
      </c>
      <c r="L1204" s="41" t="n"/>
      <c r="M1204" s="41" t="n"/>
      <c r="N1204" s="42">
        <f>IF($M1204="","",IFERROR(INDEX(LISTAS!$F$3:$F$42,MATCH($M1204,LISTAS!$E$3:$E$42,0)),"Por definir"))</f>
        <v/>
      </c>
      <c r="O1204" s="41" t="n"/>
      <c r="P1204" s="39">
        <f>IF($L1204="","",IFERROR(INDEX(LISTAS!$B$3:$B$42,MATCH($L1204,LISTAS!$A$3:$A$42,0)),"Media"))</f>
        <v/>
      </c>
      <c r="Q1204" s="44" t="n"/>
      <c r="R1204" s="45" t="n"/>
      <c r="S1204" s="20">
        <f>IFERROR(IF(OR($R1204="",$C1204=""),"",$R1204/INDEX(DESPACHOS!$M$3:$M$3002,MATCH($C1204,DESPACHOS!$B$3:$B$3002,0))),"")</f>
        <v/>
      </c>
      <c r="T1204" s="41" t="n"/>
      <c r="U1204" s="43">
        <f>IF(OR($B1204="",$L1204=""),"",WORKDAY($B1204,IFERROR(INDEX(LISTAS!$C$3:$C$42,MATCH($L1204,LISTAS!$A$3:$A$42,0)),3)))</f>
        <v/>
      </c>
      <c r="V1204" s="40" t="n"/>
      <c r="W1204" s="19">
        <f>IF($B1204="","",IF($V1204&lt;&gt;"",$V1204-$B1204,TODAY()-$B1204))</f>
        <v/>
      </c>
      <c r="X1204" s="19">
        <f>IF(OR($B1204="",$U1204=""),"",IF($V1204&lt;&gt;"",MAX(0,$V1204-$U1204),MAX(0,TODAY()-$U1204)))</f>
        <v/>
      </c>
      <c r="Y1204" s="39">
        <f>IF($C1204="","",IF(IFERROR(INDEX(LISTAS!$I$3:$I$42,MATCH($T1204,LISTAS!$H$3:$H$42,0)),"NO")="SÍ",IF(N($X1204)&gt;0,"CERRADA FUERA DE SLA","CERRADA EN SLA"),IF($U1204="","SIN CLASIFICAR",IF(N($X1204)&gt;0,"VENCIDA",IF(TODAY()&gt;=$U1204-1,"POR VENCER","EN PLAZO")))))</f>
        <v/>
      </c>
      <c r="Z1204" s="41" t="n"/>
      <c r="AA1204" s="41" t="n"/>
      <c r="AB1204" s="41" t="n"/>
    </row>
    <row r="1205">
      <c r="A1205" s="39">
        <f>IF($C1205="","","NOV-"&amp;TEXT(ROW()-3,"0000"))</f>
        <v/>
      </c>
      <c r="B1205" s="40" t="n"/>
      <c r="C1205" s="41" t="n"/>
      <c r="D1205" s="42">
        <f>IF($C1205="","",IFERROR(INDEX(DESPACHOS!$D$3:$D$3002,MATCH($C1205,DESPACHOS!$B$3:$B$3002,0)),"SIN DESPACHO"))</f>
        <v/>
      </c>
      <c r="E1205" s="42">
        <f>IF($C1205="","",IFERROR(INDEX(DESPACHOS!$K$3:$K$3002,MATCH($C1205,DESPACHOS!$B$3:$B$3002,0)),""))</f>
        <v/>
      </c>
      <c r="F1205" s="42">
        <f>IF($C1205="","",IFERROR(INDEX(DESPACHOS!$I$3:$I$3002,MATCH($C1205,DESPACHOS!$B$3:$B$3002,0)),""))</f>
        <v/>
      </c>
      <c r="G1205" s="42">
        <f>IF($C1205="","",IFERROR(INDEX(DESPACHOS!$F$3:$F$3002,MATCH($C1205,DESPACHOS!$B$3:$B$3002,0)),""))</f>
        <v/>
      </c>
      <c r="H1205" s="42">
        <f>IF($C1205="","",IFERROR(INDEX(DESPACHOS!$G$3:$G$3002,MATCH($C1205,DESPACHOS!$B$3:$B$3002,0)),""))</f>
        <v/>
      </c>
      <c r="I1205" s="39">
        <f>IF($C1205="","",IFERROR(INDEX(DESPACHOS!$H$3:$H$3002,MATCH($C1205,DESPACHOS!$B$3:$B$3002,0)),""))</f>
        <v/>
      </c>
      <c r="J1205" s="43">
        <f>IF($C1205="","",IFERROR(INDEX(DESPACHOS!$J$3:$J$3002,MATCH($C1205,DESPACHOS!$B$3:$B$3002,0)),""))</f>
        <v/>
      </c>
      <c r="K1205" s="39">
        <f>IF($C1205="","",IF(COUNTIFS(DESPACHOS!$B$3:$B$3002,$C1205)=0,"NO EXISTE",IF(COUNTIFS(DESPACHOS!$B$3:$B$3002,$C1205)&gt;1,"DUPLICADO","OK")))</f>
        <v/>
      </c>
      <c r="L1205" s="41" t="n"/>
      <c r="M1205" s="41" t="n"/>
      <c r="N1205" s="42">
        <f>IF($M1205="","",IFERROR(INDEX(LISTAS!$F$3:$F$42,MATCH($M1205,LISTAS!$E$3:$E$42,0)),"Por definir"))</f>
        <v/>
      </c>
      <c r="O1205" s="41" t="n"/>
      <c r="P1205" s="39">
        <f>IF($L1205="","",IFERROR(INDEX(LISTAS!$B$3:$B$42,MATCH($L1205,LISTAS!$A$3:$A$42,0)),"Media"))</f>
        <v/>
      </c>
      <c r="Q1205" s="44" t="n"/>
      <c r="R1205" s="45" t="n"/>
      <c r="S1205" s="20">
        <f>IFERROR(IF(OR($R1205="",$C1205=""),"",$R1205/INDEX(DESPACHOS!$M$3:$M$3002,MATCH($C1205,DESPACHOS!$B$3:$B$3002,0))),"")</f>
        <v/>
      </c>
      <c r="T1205" s="41" t="n"/>
      <c r="U1205" s="43">
        <f>IF(OR($B1205="",$L1205=""),"",WORKDAY($B1205,IFERROR(INDEX(LISTAS!$C$3:$C$42,MATCH($L1205,LISTAS!$A$3:$A$42,0)),3)))</f>
        <v/>
      </c>
      <c r="V1205" s="40" t="n"/>
      <c r="W1205" s="19">
        <f>IF($B1205="","",IF($V1205&lt;&gt;"",$V1205-$B1205,TODAY()-$B1205))</f>
        <v/>
      </c>
      <c r="X1205" s="19">
        <f>IF(OR($B1205="",$U1205=""),"",IF($V1205&lt;&gt;"",MAX(0,$V1205-$U1205),MAX(0,TODAY()-$U1205)))</f>
        <v/>
      </c>
      <c r="Y1205" s="39">
        <f>IF($C1205="","",IF(IFERROR(INDEX(LISTAS!$I$3:$I$42,MATCH($T1205,LISTAS!$H$3:$H$42,0)),"NO")="SÍ",IF(N($X1205)&gt;0,"CERRADA FUERA DE SLA","CERRADA EN SLA"),IF($U1205="","SIN CLASIFICAR",IF(N($X1205)&gt;0,"VENCIDA",IF(TODAY()&gt;=$U1205-1,"POR VENCER","EN PLAZO")))))</f>
        <v/>
      </c>
      <c r="Z1205" s="41" t="n"/>
      <c r="AA1205" s="41" t="n"/>
      <c r="AB1205" s="41" t="n"/>
    </row>
    <row r="1206">
      <c r="A1206" s="39">
        <f>IF($C1206="","","NOV-"&amp;TEXT(ROW()-3,"0000"))</f>
        <v/>
      </c>
      <c r="B1206" s="40" t="n"/>
      <c r="C1206" s="41" t="n"/>
      <c r="D1206" s="42">
        <f>IF($C1206="","",IFERROR(INDEX(DESPACHOS!$D$3:$D$3002,MATCH($C1206,DESPACHOS!$B$3:$B$3002,0)),"SIN DESPACHO"))</f>
        <v/>
      </c>
      <c r="E1206" s="42">
        <f>IF($C1206="","",IFERROR(INDEX(DESPACHOS!$K$3:$K$3002,MATCH($C1206,DESPACHOS!$B$3:$B$3002,0)),""))</f>
        <v/>
      </c>
      <c r="F1206" s="42">
        <f>IF($C1206="","",IFERROR(INDEX(DESPACHOS!$I$3:$I$3002,MATCH($C1206,DESPACHOS!$B$3:$B$3002,0)),""))</f>
        <v/>
      </c>
      <c r="G1206" s="42">
        <f>IF($C1206="","",IFERROR(INDEX(DESPACHOS!$F$3:$F$3002,MATCH($C1206,DESPACHOS!$B$3:$B$3002,0)),""))</f>
        <v/>
      </c>
      <c r="H1206" s="42">
        <f>IF($C1206="","",IFERROR(INDEX(DESPACHOS!$G$3:$G$3002,MATCH($C1206,DESPACHOS!$B$3:$B$3002,0)),""))</f>
        <v/>
      </c>
      <c r="I1206" s="39">
        <f>IF($C1206="","",IFERROR(INDEX(DESPACHOS!$H$3:$H$3002,MATCH($C1206,DESPACHOS!$B$3:$B$3002,0)),""))</f>
        <v/>
      </c>
      <c r="J1206" s="43">
        <f>IF($C1206="","",IFERROR(INDEX(DESPACHOS!$J$3:$J$3002,MATCH($C1206,DESPACHOS!$B$3:$B$3002,0)),""))</f>
        <v/>
      </c>
      <c r="K1206" s="39">
        <f>IF($C1206="","",IF(COUNTIFS(DESPACHOS!$B$3:$B$3002,$C1206)=0,"NO EXISTE",IF(COUNTIFS(DESPACHOS!$B$3:$B$3002,$C1206)&gt;1,"DUPLICADO","OK")))</f>
        <v/>
      </c>
      <c r="L1206" s="41" t="n"/>
      <c r="M1206" s="41" t="n"/>
      <c r="N1206" s="42">
        <f>IF($M1206="","",IFERROR(INDEX(LISTAS!$F$3:$F$42,MATCH($M1206,LISTAS!$E$3:$E$42,0)),"Por definir"))</f>
        <v/>
      </c>
      <c r="O1206" s="41" t="n"/>
      <c r="P1206" s="39">
        <f>IF($L1206="","",IFERROR(INDEX(LISTAS!$B$3:$B$42,MATCH($L1206,LISTAS!$A$3:$A$42,0)),"Media"))</f>
        <v/>
      </c>
      <c r="Q1206" s="44" t="n"/>
      <c r="R1206" s="45" t="n"/>
      <c r="S1206" s="20">
        <f>IFERROR(IF(OR($R1206="",$C1206=""),"",$R1206/INDEX(DESPACHOS!$M$3:$M$3002,MATCH($C1206,DESPACHOS!$B$3:$B$3002,0))),"")</f>
        <v/>
      </c>
      <c r="T1206" s="41" t="n"/>
      <c r="U1206" s="43">
        <f>IF(OR($B1206="",$L1206=""),"",WORKDAY($B1206,IFERROR(INDEX(LISTAS!$C$3:$C$42,MATCH($L1206,LISTAS!$A$3:$A$42,0)),3)))</f>
        <v/>
      </c>
      <c r="V1206" s="40" t="n"/>
      <c r="W1206" s="19">
        <f>IF($B1206="","",IF($V1206&lt;&gt;"",$V1206-$B1206,TODAY()-$B1206))</f>
        <v/>
      </c>
      <c r="X1206" s="19">
        <f>IF(OR($B1206="",$U1206=""),"",IF($V1206&lt;&gt;"",MAX(0,$V1206-$U1206),MAX(0,TODAY()-$U1206)))</f>
        <v/>
      </c>
      <c r="Y1206" s="39">
        <f>IF($C1206="","",IF(IFERROR(INDEX(LISTAS!$I$3:$I$42,MATCH($T1206,LISTAS!$H$3:$H$42,0)),"NO")="SÍ",IF(N($X1206)&gt;0,"CERRADA FUERA DE SLA","CERRADA EN SLA"),IF($U1206="","SIN CLASIFICAR",IF(N($X1206)&gt;0,"VENCIDA",IF(TODAY()&gt;=$U1206-1,"POR VENCER","EN PLAZO")))))</f>
        <v/>
      </c>
      <c r="Z1206" s="41" t="n"/>
      <c r="AA1206" s="41" t="n"/>
      <c r="AB1206" s="41" t="n"/>
    </row>
    <row r="1207">
      <c r="A1207" s="39">
        <f>IF($C1207="","","NOV-"&amp;TEXT(ROW()-3,"0000"))</f>
        <v/>
      </c>
      <c r="B1207" s="40" t="n"/>
      <c r="C1207" s="41" t="n"/>
      <c r="D1207" s="42">
        <f>IF($C1207="","",IFERROR(INDEX(DESPACHOS!$D$3:$D$3002,MATCH($C1207,DESPACHOS!$B$3:$B$3002,0)),"SIN DESPACHO"))</f>
        <v/>
      </c>
      <c r="E1207" s="42">
        <f>IF($C1207="","",IFERROR(INDEX(DESPACHOS!$K$3:$K$3002,MATCH($C1207,DESPACHOS!$B$3:$B$3002,0)),""))</f>
        <v/>
      </c>
      <c r="F1207" s="42">
        <f>IF($C1207="","",IFERROR(INDEX(DESPACHOS!$I$3:$I$3002,MATCH($C1207,DESPACHOS!$B$3:$B$3002,0)),""))</f>
        <v/>
      </c>
      <c r="G1207" s="42">
        <f>IF($C1207="","",IFERROR(INDEX(DESPACHOS!$F$3:$F$3002,MATCH($C1207,DESPACHOS!$B$3:$B$3002,0)),""))</f>
        <v/>
      </c>
      <c r="H1207" s="42">
        <f>IF($C1207="","",IFERROR(INDEX(DESPACHOS!$G$3:$G$3002,MATCH($C1207,DESPACHOS!$B$3:$B$3002,0)),""))</f>
        <v/>
      </c>
      <c r="I1207" s="39">
        <f>IF($C1207="","",IFERROR(INDEX(DESPACHOS!$H$3:$H$3002,MATCH($C1207,DESPACHOS!$B$3:$B$3002,0)),""))</f>
        <v/>
      </c>
      <c r="J1207" s="43">
        <f>IF($C1207="","",IFERROR(INDEX(DESPACHOS!$J$3:$J$3002,MATCH($C1207,DESPACHOS!$B$3:$B$3002,0)),""))</f>
        <v/>
      </c>
      <c r="K1207" s="39">
        <f>IF($C1207="","",IF(COUNTIFS(DESPACHOS!$B$3:$B$3002,$C1207)=0,"NO EXISTE",IF(COUNTIFS(DESPACHOS!$B$3:$B$3002,$C1207)&gt;1,"DUPLICADO","OK")))</f>
        <v/>
      </c>
      <c r="L1207" s="41" t="n"/>
      <c r="M1207" s="41" t="n"/>
      <c r="N1207" s="42">
        <f>IF($M1207="","",IFERROR(INDEX(LISTAS!$F$3:$F$42,MATCH($M1207,LISTAS!$E$3:$E$42,0)),"Por definir"))</f>
        <v/>
      </c>
      <c r="O1207" s="41" t="n"/>
      <c r="P1207" s="39">
        <f>IF($L1207="","",IFERROR(INDEX(LISTAS!$B$3:$B$42,MATCH($L1207,LISTAS!$A$3:$A$42,0)),"Media"))</f>
        <v/>
      </c>
      <c r="Q1207" s="44" t="n"/>
      <c r="R1207" s="45" t="n"/>
      <c r="S1207" s="20">
        <f>IFERROR(IF(OR($R1207="",$C1207=""),"",$R1207/INDEX(DESPACHOS!$M$3:$M$3002,MATCH($C1207,DESPACHOS!$B$3:$B$3002,0))),"")</f>
        <v/>
      </c>
      <c r="T1207" s="41" t="n"/>
      <c r="U1207" s="43">
        <f>IF(OR($B1207="",$L1207=""),"",WORKDAY($B1207,IFERROR(INDEX(LISTAS!$C$3:$C$42,MATCH($L1207,LISTAS!$A$3:$A$42,0)),3)))</f>
        <v/>
      </c>
      <c r="V1207" s="40" t="n"/>
      <c r="W1207" s="19">
        <f>IF($B1207="","",IF($V1207&lt;&gt;"",$V1207-$B1207,TODAY()-$B1207))</f>
        <v/>
      </c>
      <c r="X1207" s="19">
        <f>IF(OR($B1207="",$U1207=""),"",IF($V1207&lt;&gt;"",MAX(0,$V1207-$U1207),MAX(0,TODAY()-$U1207)))</f>
        <v/>
      </c>
      <c r="Y1207" s="39">
        <f>IF($C1207="","",IF(IFERROR(INDEX(LISTAS!$I$3:$I$42,MATCH($T1207,LISTAS!$H$3:$H$42,0)),"NO")="SÍ",IF(N($X1207)&gt;0,"CERRADA FUERA DE SLA","CERRADA EN SLA"),IF($U1207="","SIN CLASIFICAR",IF(N($X1207)&gt;0,"VENCIDA",IF(TODAY()&gt;=$U1207-1,"POR VENCER","EN PLAZO")))))</f>
        <v/>
      </c>
      <c r="Z1207" s="41" t="n"/>
      <c r="AA1207" s="41" t="n"/>
      <c r="AB1207" s="41" t="n"/>
    </row>
    <row r="1208">
      <c r="A1208" s="39">
        <f>IF($C1208="","","NOV-"&amp;TEXT(ROW()-3,"0000"))</f>
        <v/>
      </c>
      <c r="B1208" s="40" t="n"/>
      <c r="C1208" s="41" t="n"/>
      <c r="D1208" s="42">
        <f>IF($C1208="","",IFERROR(INDEX(DESPACHOS!$D$3:$D$3002,MATCH($C1208,DESPACHOS!$B$3:$B$3002,0)),"SIN DESPACHO"))</f>
        <v/>
      </c>
      <c r="E1208" s="42">
        <f>IF($C1208="","",IFERROR(INDEX(DESPACHOS!$K$3:$K$3002,MATCH($C1208,DESPACHOS!$B$3:$B$3002,0)),""))</f>
        <v/>
      </c>
      <c r="F1208" s="42">
        <f>IF($C1208="","",IFERROR(INDEX(DESPACHOS!$I$3:$I$3002,MATCH($C1208,DESPACHOS!$B$3:$B$3002,0)),""))</f>
        <v/>
      </c>
      <c r="G1208" s="42">
        <f>IF($C1208="","",IFERROR(INDEX(DESPACHOS!$F$3:$F$3002,MATCH($C1208,DESPACHOS!$B$3:$B$3002,0)),""))</f>
        <v/>
      </c>
      <c r="H1208" s="42">
        <f>IF($C1208="","",IFERROR(INDEX(DESPACHOS!$G$3:$G$3002,MATCH($C1208,DESPACHOS!$B$3:$B$3002,0)),""))</f>
        <v/>
      </c>
      <c r="I1208" s="39">
        <f>IF($C1208="","",IFERROR(INDEX(DESPACHOS!$H$3:$H$3002,MATCH($C1208,DESPACHOS!$B$3:$B$3002,0)),""))</f>
        <v/>
      </c>
      <c r="J1208" s="43">
        <f>IF($C1208="","",IFERROR(INDEX(DESPACHOS!$J$3:$J$3002,MATCH($C1208,DESPACHOS!$B$3:$B$3002,0)),""))</f>
        <v/>
      </c>
      <c r="K1208" s="39">
        <f>IF($C1208="","",IF(COUNTIFS(DESPACHOS!$B$3:$B$3002,$C1208)=0,"NO EXISTE",IF(COUNTIFS(DESPACHOS!$B$3:$B$3002,$C1208)&gt;1,"DUPLICADO","OK")))</f>
        <v/>
      </c>
      <c r="L1208" s="41" t="n"/>
      <c r="M1208" s="41" t="n"/>
      <c r="N1208" s="42">
        <f>IF($M1208="","",IFERROR(INDEX(LISTAS!$F$3:$F$42,MATCH($M1208,LISTAS!$E$3:$E$42,0)),"Por definir"))</f>
        <v/>
      </c>
      <c r="O1208" s="41" t="n"/>
      <c r="P1208" s="39">
        <f>IF($L1208="","",IFERROR(INDEX(LISTAS!$B$3:$B$42,MATCH($L1208,LISTAS!$A$3:$A$42,0)),"Media"))</f>
        <v/>
      </c>
      <c r="Q1208" s="44" t="n"/>
      <c r="R1208" s="45" t="n"/>
      <c r="S1208" s="20">
        <f>IFERROR(IF(OR($R1208="",$C1208=""),"",$R1208/INDEX(DESPACHOS!$M$3:$M$3002,MATCH($C1208,DESPACHOS!$B$3:$B$3002,0))),"")</f>
        <v/>
      </c>
      <c r="T1208" s="41" t="n"/>
      <c r="U1208" s="43">
        <f>IF(OR($B1208="",$L1208=""),"",WORKDAY($B1208,IFERROR(INDEX(LISTAS!$C$3:$C$42,MATCH($L1208,LISTAS!$A$3:$A$42,0)),3)))</f>
        <v/>
      </c>
      <c r="V1208" s="40" t="n"/>
      <c r="W1208" s="19">
        <f>IF($B1208="","",IF($V1208&lt;&gt;"",$V1208-$B1208,TODAY()-$B1208))</f>
        <v/>
      </c>
      <c r="X1208" s="19">
        <f>IF(OR($B1208="",$U1208=""),"",IF($V1208&lt;&gt;"",MAX(0,$V1208-$U1208),MAX(0,TODAY()-$U1208)))</f>
        <v/>
      </c>
      <c r="Y1208" s="39">
        <f>IF($C1208="","",IF(IFERROR(INDEX(LISTAS!$I$3:$I$42,MATCH($T1208,LISTAS!$H$3:$H$42,0)),"NO")="SÍ",IF(N($X1208)&gt;0,"CERRADA FUERA DE SLA","CERRADA EN SLA"),IF($U1208="","SIN CLASIFICAR",IF(N($X1208)&gt;0,"VENCIDA",IF(TODAY()&gt;=$U1208-1,"POR VENCER","EN PLAZO")))))</f>
        <v/>
      </c>
      <c r="Z1208" s="41" t="n"/>
      <c r="AA1208" s="41" t="n"/>
      <c r="AB1208" s="41" t="n"/>
    </row>
    <row r="1209">
      <c r="A1209" s="39">
        <f>IF($C1209="","","NOV-"&amp;TEXT(ROW()-3,"0000"))</f>
        <v/>
      </c>
      <c r="B1209" s="40" t="n"/>
      <c r="C1209" s="41" t="n"/>
      <c r="D1209" s="42">
        <f>IF($C1209="","",IFERROR(INDEX(DESPACHOS!$D$3:$D$3002,MATCH($C1209,DESPACHOS!$B$3:$B$3002,0)),"SIN DESPACHO"))</f>
        <v/>
      </c>
      <c r="E1209" s="42">
        <f>IF($C1209="","",IFERROR(INDEX(DESPACHOS!$K$3:$K$3002,MATCH($C1209,DESPACHOS!$B$3:$B$3002,0)),""))</f>
        <v/>
      </c>
      <c r="F1209" s="42">
        <f>IF($C1209="","",IFERROR(INDEX(DESPACHOS!$I$3:$I$3002,MATCH($C1209,DESPACHOS!$B$3:$B$3002,0)),""))</f>
        <v/>
      </c>
      <c r="G1209" s="42">
        <f>IF($C1209="","",IFERROR(INDEX(DESPACHOS!$F$3:$F$3002,MATCH($C1209,DESPACHOS!$B$3:$B$3002,0)),""))</f>
        <v/>
      </c>
      <c r="H1209" s="42">
        <f>IF($C1209="","",IFERROR(INDEX(DESPACHOS!$G$3:$G$3002,MATCH($C1209,DESPACHOS!$B$3:$B$3002,0)),""))</f>
        <v/>
      </c>
      <c r="I1209" s="39">
        <f>IF($C1209="","",IFERROR(INDEX(DESPACHOS!$H$3:$H$3002,MATCH($C1209,DESPACHOS!$B$3:$B$3002,0)),""))</f>
        <v/>
      </c>
      <c r="J1209" s="43">
        <f>IF($C1209="","",IFERROR(INDEX(DESPACHOS!$J$3:$J$3002,MATCH($C1209,DESPACHOS!$B$3:$B$3002,0)),""))</f>
        <v/>
      </c>
      <c r="K1209" s="39">
        <f>IF($C1209="","",IF(COUNTIFS(DESPACHOS!$B$3:$B$3002,$C1209)=0,"NO EXISTE",IF(COUNTIFS(DESPACHOS!$B$3:$B$3002,$C1209)&gt;1,"DUPLICADO","OK")))</f>
        <v/>
      </c>
      <c r="L1209" s="41" t="n"/>
      <c r="M1209" s="41" t="n"/>
      <c r="N1209" s="42">
        <f>IF($M1209="","",IFERROR(INDEX(LISTAS!$F$3:$F$42,MATCH($M1209,LISTAS!$E$3:$E$42,0)),"Por definir"))</f>
        <v/>
      </c>
      <c r="O1209" s="41" t="n"/>
      <c r="P1209" s="39">
        <f>IF($L1209="","",IFERROR(INDEX(LISTAS!$B$3:$B$42,MATCH($L1209,LISTAS!$A$3:$A$42,0)),"Media"))</f>
        <v/>
      </c>
      <c r="Q1209" s="44" t="n"/>
      <c r="R1209" s="45" t="n"/>
      <c r="S1209" s="20">
        <f>IFERROR(IF(OR($R1209="",$C1209=""),"",$R1209/INDEX(DESPACHOS!$M$3:$M$3002,MATCH($C1209,DESPACHOS!$B$3:$B$3002,0))),"")</f>
        <v/>
      </c>
      <c r="T1209" s="41" t="n"/>
      <c r="U1209" s="43">
        <f>IF(OR($B1209="",$L1209=""),"",WORKDAY($B1209,IFERROR(INDEX(LISTAS!$C$3:$C$42,MATCH($L1209,LISTAS!$A$3:$A$42,0)),3)))</f>
        <v/>
      </c>
      <c r="V1209" s="40" t="n"/>
      <c r="W1209" s="19">
        <f>IF($B1209="","",IF($V1209&lt;&gt;"",$V1209-$B1209,TODAY()-$B1209))</f>
        <v/>
      </c>
      <c r="X1209" s="19">
        <f>IF(OR($B1209="",$U1209=""),"",IF($V1209&lt;&gt;"",MAX(0,$V1209-$U1209),MAX(0,TODAY()-$U1209)))</f>
        <v/>
      </c>
      <c r="Y1209" s="39">
        <f>IF($C1209="","",IF(IFERROR(INDEX(LISTAS!$I$3:$I$42,MATCH($T1209,LISTAS!$H$3:$H$42,0)),"NO")="SÍ",IF(N($X1209)&gt;0,"CERRADA FUERA DE SLA","CERRADA EN SLA"),IF($U1209="","SIN CLASIFICAR",IF(N($X1209)&gt;0,"VENCIDA",IF(TODAY()&gt;=$U1209-1,"POR VENCER","EN PLAZO")))))</f>
        <v/>
      </c>
      <c r="Z1209" s="41" t="n"/>
      <c r="AA1209" s="41" t="n"/>
      <c r="AB1209" s="41" t="n"/>
    </row>
    <row r="1210">
      <c r="A1210" s="39">
        <f>IF($C1210="","","NOV-"&amp;TEXT(ROW()-3,"0000"))</f>
        <v/>
      </c>
      <c r="B1210" s="40" t="n"/>
      <c r="C1210" s="41" t="n"/>
      <c r="D1210" s="42">
        <f>IF($C1210="","",IFERROR(INDEX(DESPACHOS!$D$3:$D$3002,MATCH($C1210,DESPACHOS!$B$3:$B$3002,0)),"SIN DESPACHO"))</f>
        <v/>
      </c>
      <c r="E1210" s="42">
        <f>IF($C1210="","",IFERROR(INDEX(DESPACHOS!$K$3:$K$3002,MATCH($C1210,DESPACHOS!$B$3:$B$3002,0)),""))</f>
        <v/>
      </c>
      <c r="F1210" s="42">
        <f>IF($C1210="","",IFERROR(INDEX(DESPACHOS!$I$3:$I$3002,MATCH($C1210,DESPACHOS!$B$3:$B$3002,0)),""))</f>
        <v/>
      </c>
      <c r="G1210" s="42">
        <f>IF($C1210="","",IFERROR(INDEX(DESPACHOS!$F$3:$F$3002,MATCH($C1210,DESPACHOS!$B$3:$B$3002,0)),""))</f>
        <v/>
      </c>
      <c r="H1210" s="42">
        <f>IF($C1210="","",IFERROR(INDEX(DESPACHOS!$G$3:$G$3002,MATCH($C1210,DESPACHOS!$B$3:$B$3002,0)),""))</f>
        <v/>
      </c>
      <c r="I1210" s="39">
        <f>IF($C1210="","",IFERROR(INDEX(DESPACHOS!$H$3:$H$3002,MATCH($C1210,DESPACHOS!$B$3:$B$3002,0)),""))</f>
        <v/>
      </c>
      <c r="J1210" s="43">
        <f>IF($C1210="","",IFERROR(INDEX(DESPACHOS!$J$3:$J$3002,MATCH($C1210,DESPACHOS!$B$3:$B$3002,0)),""))</f>
        <v/>
      </c>
      <c r="K1210" s="39">
        <f>IF($C1210="","",IF(COUNTIFS(DESPACHOS!$B$3:$B$3002,$C1210)=0,"NO EXISTE",IF(COUNTIFS(DESPACHOS!$B$3:$B$3002,$C1210)&gt;1,"DUPLICADO","OK")))</f>
        <v/>
      </c>
      <c r="L1210" s="41" t="n"/>
      <c r="M1210" s="41" t="n"/>
      <c r="N1210" s="42">
        <f>IF($M1210="","",IFERROR(INDEX(LISTAS!$F$3:$F$42,MATCH($M1210,LISTAS!$E$3:$E$42,0)),"Por definir"))</f>
        <v/>
      </c>
      <c r="O1210" s="41" t="n"/>
      <c r="P1210" s="39">
        <f>IF($L1210="","",IFERROR(INDEX(LISTAS!$B$3:$B$42,MATCH($L1210,LISTAS!$A$3:$A$42,0)),"Media"))</f>
        <v/>
      </c>
      <c r="Q1210" s="44" t="n"/>
      <c r="R1210" s="45" t="n"/>
      <c r="S1210" s="20">
        <f>IFERROR(IF(OR($R1210="",$C1210=""),"",$R1210/INDEX(DESPACHOS!$M$3:$M$3002,MATCH($C1210,DESPACHOS!$B$3:$B$3002,0))),"")</f>
        <v/>
      </c>
      <c r="T1210" s="41" t="n"/>
      <c r="U1210" s="43">
        <f>IF(OR($B1210="",$L1210=""),"",WORKDAY($B1210,IFERROR(INDEX(LISTAS!$C$3:$C$42,MATCH($L1210,LISTAS!$A$3:$A$42,0)),3)))</f>
        <v/>
      </c>
      <c r="V1210" s="40" t="n"/>
      <c r="W1210" s="19">
        <f>IF($B1210="","",IF($V1210&lt;&gt;"",$V1210-$B1210,TODAY()-$B1210))</f>
        <v/>
      </c>
      <c r="X1210" s="19">
        <f>IF(OR($B1210="",$U1210=""),"",IF($V1210&lt;&gt;"",MAX(0,$V1210-$U1210),MAX(0,TODAY()-$U1210)))</f>
        <v/>
      </c>
      <c r="Y1210" s="39">
        <f>IF($C1210="","",IF(IFERROR(INDEX(LISTAS!$I$3:$I$42,MATCH($T1210,LISTAS!$H$3:$H$42,0)),"NO")="SÍ",IF(N($X1210)&gt;0,"CERRADA FUERA DE SLA","CERRADA EN SLA"),IF($U1210="","SIN CLASIFICAR",IF(N($X1210)&gt;0,"VENCIDA",IF(TODAY()&gt;=$U1210-1,"POR VENCER","EN PLAZO")))))</f>
        <v/>
      </c>
      <c r="Z1210" s="41" t="n"/>
      <c r="AA1210" s="41" t="n"/>
      <c r="AB1210" s="41" t="n"/>
    </row>
    <row r="1211">
      <c r="A1211" s="39">
        <f>IF($C1211="","","NOV-"&amp;TEXT(ROW()-3,"0000"))</f>
        <v/>
      </c>
      <c r="B1211" s="40" t="n"/>
      <c r="C1211" s="41" t="n"/>
      <c r="D1211" s="42">
        <f>IF($C1211="","",IFERROR(INDEX(DESPACHOS!$D$3:$D$3002,MATCH($C1211,DESPACHOS!$B$3:$B$3002,0)),"SIN DESPACHO"))</f>
        <v/>
      </c>
      <c r="E1211" s="42">
        <f>IF($C1211="","",IFERROR(INDEX(DESPACHOS!$K$3:$K$3002,MATCH($C1211,DESPACHOS!$B$3:$B$3002,0)),""))</f>
        <v/>
      </c>
      <c r="F1211" s="42">
        <f>IF($C1211="","",IFERROR(INDEX(DESPACHOS!$I$3:$I$3002,MATCH($C1211,DESPACHOS!$B$3:$B$3002,0)),""))</f>
        <v/>
      </c>
      <c r="G1211" s="42">
        <f>IF($C1211="","",IFERROR(INDEX(DESPACHOS!$F$3:$F$3002,MATCH($C1211,DESPACHOS!$B$3:$B$3002,0)),""))</f>
        <v/>
      </c>
      <c r="H1211" s="42">
        <f>IF($C1211="","",IFERROR(INDEX(DESPACHOS!$G$3:$G$3002,MATCH($C1211,DESPACHOS!$B$3:$B$3002,0)),""))</f>
        <v/>
      </c>
      <c r="I1211" s="39">
        <f>IF($C1211="","",IFERROR(INDEX(DESPACHOS!$H$3:$H$3002,MATCH($C1211,DESPACHOS!$B$3:$B$3002,0)),""))</f>
        <v/>
      </c>
      <c r="J1211" s="43">
        <f>IF($C1211="","",IFERROR(INDEX(DESPACHOS!$J$3:$J$3002,MATCH($C1211,DESPACHOS!$B$3:$B$3002,0)),""))</f>
        <v/>
      </c>
      <c r="K1211" s="39">
        <f>IF($C1211="","",IF(COUNTIFS(DESPACHOS!$B$3:$B$3002,$C1211)=0,"NO EXISTE",IF(COUNTIFS(DESPACHOS!$B$3:$B$3002,$C1211)&gt;1,"DUPLICADO","OK")))</f>
        <v/>
      </c>
      <c r="L1211" s="41" t="n"/>
      <c r="M1211" s="41" t="n"/>
      <c r="N1211" s="42">
        <f>IF($M1211="","",IFERROR(INDEX(LISTAS!$F$3:$F$42,MATCH($M1211,LISTAS!$E$3:$E$42,0)),"Por definir"))</f>
        <v/>
      </c>
      <c r="O1211" s="41" t="n"/>
      <c r="P1211" s="39">
        <f>IF($L1211="","",IFERROR(INDEX(LISTAS!$B$3:$B$42,MATCH($L1211,LISTAS!$A$3:$A$42,0)),"Media"))</f>
        <v/>
      </c>
      <c r="Q1211" s="44" t="n"/>
      <c r="R1211" s="45" t="n"/>
      <c r="S1211" s="20">
        <f>IFERROR(IF(OR($R1211="",$C1211=""),"",$R1211/INDEX(DESPACHOS!$M$3:$M$3002,MATCH($C1211,DESPACHOS!$B$3:$B$3002,0))),"")</f>
        <v/>
      </c>
      <c r="T1211" s="41" t="n"/>
      <c r="U1211" s="43">
        <f>IF(OR($B1211="",$L1211=""),"",WORKDAY($B1211,IFERROR(INDEX(LISTAS!$C$3:$C$42,MATCH($L1211,LISTAS!$A$3:$A$42,0)),3)))</f>
        <v/>
      </c>
      <c r="V1211" s="40" t="n"/>
      <c r="W1211" s="19">
        <f>IF($B1211="","",IF($V1211&lt;&gt;"",$V1211-$B1211,TODAY()-$B1211))</f>
        <v/>
      </c>
      <c r="X1211" s="19">
        <f>IF(OR($B1211="",$U1211=""),"",IF($V1211&lt;&gt;"",MAX(0,$V1211-$U1211),MAX(0,TODAY()-$U1211)))</f>
        <v/>
      </c>
      <c r="Y1211" s="39">
        <f>IF($C1211="","",IF(IFERROR(INDEX(LISTAS!$I$3:$I$42,MATCH($T1211,LISTAS!$H$3:$H$42,0)),"NO")="SÍ",IF(N($X1211)&gt;0,"CERRADA FUERA DE SLA","CERRADA EN SLA"),IF($U1211="","SIN CLASIFICAR",IF(N($X1211)&gt;0,"VENCIDA",IF(TODAY()&gt;=$U1211-1,"POR VENCER","EN PLAZO")))))</f>
        <v/>
      </c>
      <c r="Z1211" s="41" t="n"/>
      <c r="AA1211" s="41" t="n"/>
      <c r="AB1211" s="41" t="n"/>
    </row>
    <row r="1212">
      <c r="A1212" s="39">
        <f>IF($C1212="","","NOV-"&amp;TEXT(ROW()-3,"0000"))</f>
        <v/>
      </c>
      <c r="B1212" s="40" t="n"/>
      <c r="C1212" s="41" t="n"/>
      <c r="D1212" s="42">
        <f>IF($C1212="","",IFERROR(INDEX(DESPACHOS!$D$3:$D$3002,MATCH($C1212,DESPACHOS!$B$3:$B$3002,0)),"SIN DESPACHO"))</f>
        <v/>
      </c>
      <c r="E1212" s="42">
        <f>IF($C1212="","",IFERROR(INDEX(DESPACHOS!$K$3:$K$3002,MATCH($C1212,DESPACHOS!$B$3:$B$3002,0)),""))</f>
        <v/>
      </c>
      <c r="F1212" s="42">
        <f>IF($C1212="","",IFERROR(INDEX(DESPACHOS!$I$3:$I$3002,MATCH($C1212,DESPACHOS!$B$3:$B$3002,0)),""))</f>
        <v/>
      </c>
      <c r="G1212" s="42">
        <f>IF($C1212="","",IFERROR(INDEX(DESPACHOS!$F$3:$F$3002,MATCH($C1212,DESPACHOS!$B$3:$B$3002,0)),""))</f>
        <v/>
      </c>
      <c r="H1212" s="42">
        <f>IF($C1212="","",IFERROR(INDEX(DESPACHOS!$G$3:$G$3002,MATCH($C1212,DESPACHOS!$B$3:$B$3002,0)),""))</f>
        <v/>
      </c>
      <c r="I1212" s="39">
        <f>IF($C1212="","",IFERROR(INDEX(DESPACHOS!$H$3:$H$3002,MATCH($C1212,DESPACHOS!$B$3:$B$3002,0)),""))</f>
        <v/>
      </c>
      <c r="J1212" s="43">
        <f>IF($C1212="","",IFERROR(INDEX(DESPACHOS!$J$3:$J$3002,MATCH($C1212,DESPACHOS!$B$3:$B$3002,0)),""))</f>
        <v/>
      </c>
      <c r="K1212" s="39">
        <f>IF($C1212="","",IF(COUNTIFS(DESPACHOS!$B$3:$B$3002,$C1212)=0,"NO EXISTE",IF(COUNTIFS(DESPACHOS!$B$3:$B$3002,$C1212)&gt;1,"DUPLICADO","OK")))</f>
        <v/>
      </c>
      <c r="L1212" s="41" t="n"/>
      <c r="M1212" s="41" t="n"/>
      <c r="N1212" s="42">
        <f>IF($M1212="","",IFERROR(INDEX(LISTAS!$F$3:$F$42,MATCH($M1212,LISTAS!$E$3:$E$42,0)),"Por definir"))</f>
        <v/>
      </c>
      <c r="O1212" s="41" t="n"/>
      <c r="P1212" s="39">
        <f>IF($L1212="","",IFERROR(INDEX(LISTAS!$B$3:$B$42,MATCH($L1212,LISTAS!$A$3:$A$42,0)),"Media"))</f>
        <v/>
      </c>
      <c r="Q1212" s="44" t="n"/>
      <c r="R1212" s="45" t="n"/>
      <c r="S1212" s="20">
        <f>IFERROR(IF(OR($R1212="",$C1212=""),"",$R1212/INDEX(DESPACHOS!$M$3:$M$3002,MATCH($C1212,DESPACHOS!$B$3:$B$3002,0))),"")</f>
        <v/>
      </c>
      <c r="T1212" s="41" t="n"/>
      <c r="U1212" s="43">
        <f>IF(OR($B1212="",$L1212=""),"",WORKDAY($B1212,IFERROR(INDEX(LISTAS!$C$3:$C$42,MATCH($L1212,LISTAS!$A$3:$A$42,0)),3)))</f>
        <v/>
      </c>
      <c r="V1212" s="40" t="n"/>
      <c r="W1212" s="19">
        <f>IF($B1212="","",IF($V1212&lt;&gt;"",$V1212-$B1212,TODAY()-$B1212))</f>
        <v/>
      </c>
      <c r="X1212" s="19">
        <f>IF(OR($B1212="",$U1212=""),"",IF($V1212&lt;&gt;"",MAX(0,$V1212-$U1212),MAX(0,TODAY()-$U1212)))</f>
        <v/>
      </c>
      <c r="Y1212" s="39">
        <f>IF($C1212="","",IF(IFERROR(INDEX(LISTAS!$I$3:$I$42,MATCH($T1212,LISTAS!$H$3:$H$42,0)),"NO")="SÍ",IF(N($X1212)&gt;0,"CERRADA FUERA DE SLA","CERRADA EN SLA"),IF($U1212="","SIN CLASIFICAR",IF(N($X1212)&gt;0,"VENCIDA",IF(TODAY()&gt;=$U1212-1,"POR VENCER","EN PLAZO")))))</f>
        <v/>
      </c>
      <c r="Z1212" s="41" t="n"/>
      <c r="AA1212" s="41" t="n"/>
      <c r="AB1212" s="41" t="n"/>
    </row>
    <row r="1213">
      <c r="A1213" s="39">
        <f>IF($C1213="","","NOV-"&amp;TEXT(ROW()-3,"0000"))</f>
        <v/>
      </c>
      <c r="B1213" s="40" t="n"/>
      <c r="C1213" s="41" t="n"/>
      <c r="D1213" s="42">
        <f>IF($C1213="","",IFERROR(INDEX(DESPACHOS!$D$3:$D$3002,MATCH($C1213,DESPACHOS!$B$3:$B$3002,0)),"SIN DESPACHO"))</f>
        <v/>
      </c>
      <c r="E1213" s="42">
        <f>IF($C1213="","",IFERROR(INDEX(DESPACHOS!$K$3:$K$3002,MATCH($C1213,DESPACHOS!$B$3:$B$3002,0)),""))</f>
        <v/>
      </c>
      <c r="F1213" s="42">
        <f>IF($C1213="","",IFERROR(INDEX(DESPACHOS!$I$3:$I$3002,MATCH($C1213,DESPACHOS!$B$3:$B$3002,0)),""))</f>
        <v/>
      </c>
      <c r="G1213" s="42">
        <f>IF($C1213="","",IFERROR(INDEX(DESPACHOS!$F$3:$F$3002,MATCH($C1213,DESPACHOS!$B$3:$B$3002,0)),""))</f>
        <v/>
      </c>
      <c r="H1213" s="42">
        <f>IF($C1213="","",IFERROR(INDEX(DESPACHOS!$G$3:$G$3002,MATCH($C1213,DESPACHOS!$B$3:$B$3002,0)),""))</f>
        <v/>
      </c>
      <c r="I1213" s="39">
        <f>IF($C1213="","",IFERROR(INDEX(DESPACHOS!$H$3:$H$3002,MATCH($C1213,DESPACHOS!$B$3:$B$3002,0)),""))</f>
        <v/>
      </c>
      <c r="J1213" s="43">
        <f>IF($C1213="","",IFERROR(INDEX(DESPACHOS!$J$3:$J$3002,MATCH($C1213,DESPACHOS!$B$3:$B$3002,0)),""))</f>
        <v/>
      </c>
      <c r="K1213" s="39">
        <f>IF($C1213="","",IF(COUNTIFS(DESPACHOS!$B$3:$B$3002,$C1213)=0,"NO EXISTE",IF(COUNTIFS(DESPACHOS!$B$3:$B$3002,$C1213)&gt;1,"DUPLICADO","OK")))</f>
        <v/>
      </c>
      <c r="L1213" s="41" t="n"/>
      <c r="M1213" s="41" t="n"/>
      <c r="N1213" s="42">
        <f>IF($M1213="","",IFERROR(INDEX(LISTAS!$F$3:$F$42,MATCH($M1213,LISTAS!$E$3:$E$42,0)),"Por definir"))</f>
        <v/>
      </c>
      <c r="O1213" s="41" t="n"/>
      <c r="P1213" s="39">
        <f>IF($L1213="","",IFERROR(INDEX(LISTAS!$B$3:$B$42,MATCH($L1213,LISTAS!$A$3:$A$42,0)),"Media"))</f>
        <v/>
      </c>
      <c r="Q1213" s="44" t="n"/>
      <c r="R1213" s="45" t="n"/>
      <c r="S1213" s="20">
        <f>IFERROR(IF(OR($R1213="",$C1213=""),"",$R1213/INDEX(DESPACHOS!$M$3:$M$3002,MATCH($C1213,DESPACHOS!$B$3:$B$3002,0))),"")</f>
        <v/>
      </c>
      <c r="T1213" s="41" t="n"/>
      <c r="U1213" s="43">
        <f>IF(OR($B1213="",$L1213=""),"",WORKDAY($B1213,IFERROR(INDEX(LISTAS!$C$3:$C$42,MATCH($L1213,LISTAS!$A$3:$A$42,0)),3)))</f>
        <v/>
      </c>
      <c r="V1213" s="40" t="n"/>
      <c r="W1213" s="19">
        <f>IF($B1213="","",IF($V1213&lt;&gt;"",$V1213-$B1213,TODAY()-$B1213))</f>
        <v/>
      </c>
      <c r="X1213" s="19">
        <f>IF(OR($B1213="",$U1213=""),"",IF($V1213&lt;&gt;"",MAX(0,$V1213-$U1213),MAX(0,TODAY()-$U1213)))</f>
        <v/>
      </c>
      <c r="Y1213" s="39">
        <f>IF($C1213="","",IF(IFERROR(INDEX(LISTAS!$I$3:$I$42,MATCH($T1213,LISTAS!$H$3:$H$42,0)),"NO")="SÍ",IF(N($X1213)&gt;0,"CERRADA FUERA DE SLA","CERRADA EN SLA"),IF($U1213="","SIN CLASIFICAR",IF(N($X1213)&gt;0,"VENCIDA",IF(TODAY()&gt;=$U1213-1,"POR VENCER","EN PLAZO")))))</f>
        <v/>
      </c>
      <c r="Z1213" s="41" t="n"/>
      <c r="AA1213" s="41" t="n"/>
      <c r="AB1213" s="41" t="n"/>
    </row>
    <row r="1214">
      <c r="A1214" s="39">
        <f>IF($C1214="","","NOV-"&amp;TEXT(ROW()-3,"0000"))</f>
        <v/>
      </c>
      <c r="B1214" s="40" t="n"/>
      <c r="C1214" s="41" t="n"/>
      <c r="D1214" s="42">
        <f>IF($C1214="","",IFERROR(INDEX(DESPACHOS!$D$3:$D$3002,MATCH($C1214,DESPACHOS!$B$3:$B$3002,0)),"SIN DESPACHO"))</f>
        <v/>
      </c>
      <c r="E1214" s="42">
        <f>IF($C1214="","",IFERROR(INDEX(DESPACHOS!$K$3:$K$3002,MATCH($C1214,DESPACHOS!$B$3:$B$3002,0)),""))</f>
        <v/>
      </c>
      <c r="F1214" s="42">
        <f>IF($C1214="","",IFERROR(INDEX(DESPACHOS!$I$3:$I$3002,MATCH($C1214,DESPACHOS!$B$3:$B$3002,0)),""))</f>
        <v/>
      </c>
      <c r="G1214" s="42">
        <f>IF($C1214="","",IFERROR(INDEX(DESPACHOS!$F$3:$F$3002,MATCH($C1214,DESPACHOS!$B$3:$B$3002,0)),""))</f>
        <v/>
      </c>
      <c r="H1214" s="42">
        <f>IF($C1214="","",IFERROR(INDEX(DESPACHOS!$G$3:$G$3002,MATCH($C1214,DESPACHOS!$B$3:$B$3002,0)),""))</f>
        <v/>
      </c>
      <c r="I1214" s="39">
        <f>IF($C1214="","",IFERROR(INDEX(DESPACHOS!$H$3:$H$3002,MATCH($C1214,DESPACHOS!$B$3:$B$3002,0)),""))</f>
        <v/>
      </c>
      <c r="J1214" s="43">
        <f>IF($C1214="","",IFERROR(INDEX(DESPACHOS!$J$3:$J$3002,MATCH($C1214,DESPACHOS!$B$3:$B$3002,0)),""))</f>
        <v/>
      </c>
      <c r="K1214" s="39">
        <f>IF($C1214="","",IF(COUNTIFS(DESPACHOS!$B$3:$B$3002,$C1214)=0,"NO EXISTE",IF(COUNTIFS(DESPACHOS!$B$3:$B$3002,$C1214)&gt;1,"DUPLICADO","OK")))</f>
        <v/>
      </c>
      <c r="L1214" s="41" t="n"/>
      <c r="M1214" s="41" t="n"/>
      <c r="N1214" s="42">
        <f>IF($M1214="","",IFERROR(INDEX(LISTAS!$F$3:$F$42,MATCH($M1214,LISTAS!$E$3:$E$42,0)),"Por definir"))</f>
        <v/>
      </c>
      <c r="O1214" s="41" t="n"/>
      <c r="P1214" s="39">
        <f>IF($L1214="","",IFERROR(INDEX(LISTAS!$B$3:$B$42,MATCH($L1214,LISTAS!$A$3:$A$42,0)),"Media"))</f>
        <v/>
      </c>
      <c r="Q1214" s="44" t="n"/>
      <c r="R1214" s="45" t="n"/>
      <c r="S1214" s="20">
        <f>IFERROR(IF(OR($R1214="",$C1214=""),"",$R1214/INDEX(DESPACHOS!$M$3:$M$3002,MATCH($C1214,DESPACHOS!$B$3:$B$3002,0))),"")</f>
        <v/>
      </c>
      <c r="T1214" s="41" t="n"/>
      <c r="U1214" s="43">
        <f>IF(OR($B1214="",$L1214=""),"",WORKDAY($B1214,IFERROR(INDEX(LISTAS!$C$3:$C$42,MATCH($L1214,LISTAS!$A$3:$A$42,0)),3)))</f>
        <v/>
      </c>
      <c r="V1214" s="40" t="n"/>
      <c r="W1214" s="19">
        <f>IF($B1214="","",IF($V1214&lt;&gt;"",$V1214-$B1214,TODAY()-$B1214))</f>
        <v/>
      </c>
      <c r="X1214" s="19">
        <f>IF(OR($B1214="",$U1214=""),"",IF($V1214&lt;&gt;"",MAX(0,$V1214-$U1214),MAX(0,TODAY()-$U1214)))</f>
        <v/>
      </c>
      <c r="Y1214" s="39">
        <f>IF($C1214="","",IF(IFERROR(INDEX(LISTAS!$I$3:$I$42,MATCH($T1214,LISTAS!$H$3:$H$42,0)),"NO")="SÍ",IF(N($X1214)&gt;0,"CERRADA FUERA DE SLA","CERRADA EN SLA"),IF($U1214="","SIN CLASIFICAR",IF(N($X1214)&gt;0,"VENCIDA",IF(TODAY()&gt;=$U1214-1,"POR VENCER","EN PLAZO")))))</f>
        <v/>
      </c>
      <c r="Z1214" s="41" t="n"/>
      <c r="AA1214" s="41" t="n"/>
      <c r="AB1214" s="41" t="n"/>
    </row>
    <row r="1215">
      <c r="A1215" s="39">
        <f>IF($C1215="","","NOV-"&amp;TEXT(ROW()-3,"0000"))</f>
        <v/>
      </c>
      <c r="B1215" s="40" t="n"/>
      <c r="C1215" s="41" t="n"/>
      <c r="D1215" s="42">
        <f>IF($C1215="","",IFERROR(INDEX(DESPACHOS!$D$3:$D$3002,MATCH($C1215,DESPACHOS!$B$3:$B$3002,0)),"SIN DESPACHO"))</f>
        <v/>
      </c>
      <c r="E1215" s="42">
        <f>IF($C1215="","",IFERROR(INDEX(DESPACHOS!$K$3:$K$3002,MATCH($C1215,DESPACHOS!$B$3:$B$3002,0)),""))</f>
        <v/>
      </c>
      <c r="F1215" s="42">
        <f>IF($C1215="","",IFERROR(INDEX(DESPACHOS!$I$3:$I$3002,MATCH($C1215,DESPACHOS!$B$3:$B$3002,0)),""))</f>
        <v/>
      </c>
      <c r="G1215" s="42">
        <f>IF($C1215="","",IFERROR(INDEX(DESPACHOS!$F$3:$F$3002,MATCH($C1215,DESPACHOS!$B$3:$B$3002,0)),""))</f>
        <v/>
      </c>
      <c r="H1215" s="42">
        <f>IF($C1215="","",IFERROR(INDEX(DESPACHOS!$G$3:$G$3002,MATCH($C1215,DESPACHOS!$B$3:$B$3002,0)),""))</f>
        <v/>
      </c>
      <c r="I1215" s="39">
        <f>IF($C1215="","",IFERROR(INDEX(DESPACHOS!$H$3:$H$3002,MATCH($C1215,DESPACHOS!$B$3:$B$3002,0)),""))</f>
        <v/>
      </c>
      <c r="J1215" s="43">
        <f>IF($C1215="","",IFERROR(INDEX(DESPACHOS!$J$3:$J$3002,MATCH($C1215,DESPACHOS!$B$3:$B$3002,0)),""))</f>
        <v/>
      </c>
      <c r="K1215" s="39">
        <f>IF($C1215="","",IF(COUNTIFS(DESPACHOS!$B$3:$B$3002,$C1215)=0,"NO EXISTE",IF(COUNTIFS(DESPACHOS!$B$3:$B$3002,$C1215)&gt;1,"DUPLICADO","OK")))</f>
        <v/>
      </c>
      <c r="L1215" s="41" t="n"/>
      <c r="M1215" s="41" t="n"/>
      <c r="N1215" s="42">
        <f>IF($M1215="","",IFERROR(INDEX(LISTAS!$F$3:$F$42,MATCH($M1215,LISTAS!$E$3:$E$42,0)),"Por definir"))</f>
        <v/>
      </c>
      <c r="O1215" s="41" t="n"/>
      <c r="P1215" s="39">
        <f>IF($L1215="","",IFERROR(INDEX(LISTAS!$B$3:$B$42,MATCH($L1215,LISTAS!$A$3:$A$42,0)),"Media"))</f>
        <v/>
      </c>
      <c r="Q1215" s="44" t="n"/>
      <c r="R1215" s="45" t="n"/>
      <c r="S1215" s="20">
        <f>IFERROR(IF(OR($R1215="",$C1215=""),"",$R1215/INDEX(DESPACHOS!$M$3:$M$3002,MATCH($C1215,DESPACHOS!$B$3:$B$3002,0))),"")</f>
        <v/>
      </c>
      <c r="T1215" s="41" t="n"/>
      <c r="U1215" s="43">
        <f>IF(OR($B1215="",$L1215=""),"",WORKDAY($B1215,IFERROR(INDEX(LISTAS!$C$3:$C$42,MATCH($L1215,LISTAS!$A$3:$A$42,0)),3)))</f>
        <v/>
      </c>
      <c r="V1215" s="40" t="n"/>
      <c r="W1215" s="19">
        <f>IF($B1215="","",IF($V1215&lt;&gt;"",$V1215-$B1215,TODAY()-$B1215))</f>
        <v/>
      </c>
      <c r="X1215" s="19">
        <f>IF(OR($B1215="",$U1215=""),"",IF($V1215&lt;&gt;"",MAX(0,$V1215-$U1215),MAX(0,TODAY()-$U1215)))</f>
        <v/>
      </c>
      <c r="Y1215" s="39">
        <f>IF($C1215="","",IF(IFERROR(INDEX(LISTAS!$I$3:$I$42,MATCH($T1215,LISTAS!$H$3:$H$42,0)),"NO")="SÍ",IF(N($X1215)&gt;0,"CERRADA FUERA DE SLA","CERRADA EN SLA"),IF($U1215="","SIN CLASIFICAR",IF(N($X1215)&gt;0,"VENCIDA",IF(TODAY()&gt;=$U1215-1,"POR VENCER","EN PLAZO")))))</f>
        <v/>
      </c>
      <c r="Z1215" s="41" t="n"/>
      <c r="AA1215" s="41" t="n"/>
      <c r="AB1215" s="41" t="n"/>
    </row>
    <row r="1216">
      <c r="A1216" s="39">
        <f>IF($C1216="","","NOV-"&amp;TEXT(ROW()-3,"0000"))</f>
        <v/>
      </c>
      <c r="B1216" s="40" t="n"/>
      <c r="C1216" s="41" t="n"/>
      <c r="D1216" s="42">
        <f>IF($C1216="","",IFERROR(INDEX(DESPACHOS!$D$3:$D$3002,MATCH($C1216,DESPACHOS!$B$3:$B$3002,0)),"SIN DESPACHO"))</f>
        <v/>
      </c>
      <c r="E1216" s="42">
        <f>IF($C1216="","",IFERROR(INDEX(DESPACHOS!$K$3:$K$3002,MATCH($C1216,DESPACHOS!$B$3:$B$3002,0)),""))</f>
        <v/>
      </c>
      <c r="F1216" s="42">
        <f>IF($C1216="","",IFERROR(INDEX(DESPACHOS!$I$3:$I$3002,MATCH($C1216,DESPACHOS!$B$3:$B$3002,0)),""))</f>
        <v/>
      </c>
      <c r="G1216" s="42">
        <f>IF($C1216="","",IFERROR(INDEX(DESPACHOS!$F$3:$F$3002,MATCH($C1216,DESPACHOS!$B$3:$B$3002,0)),""))</f>
        <v/>
      </c>
      <c r="H1216" s="42">
        <f>IF($C1216="","",IFERROR(INDEX(DESPACHOS!$G$3:$G$3002,MATCH($C1216,DESPACHOS!$B$3:$B$3002,0)),""))</f>
        <v/>
      </c>
      <c r="I1216" s="39">
        <f>IF($C1216="","",IFERROR(INDEX(DESPACHOS!$H$3:$H$3002,MATCH($C1216,DESPACHOS!$B$3:$B$3002,0)),""))</f>
        <v/>
      </c>
      <c r="J1216" s="43">
        <f>IF($C1216="","",IFERROR(INDEX(DESPACHOS!$J$3:$J$3002,MATCH($C1216,DESPACHOS!$B$3:$B$3002,0)),""))</f>
        <v/>
      </c>
      <c r="K1216" s="39">
        <f>IF($C1216="","",IF(COUNTIFS(DESPACHOS!$B$3:$B$3002,$C1216)=0,"NO EXISTE",IF(COUNTIFS(DESPACHOS!$B$3:$B$3002,$C1216)&gt;1,"DUPLICADO","OK")))</f>
        <v/>
      </c>
      <c r="L1216" s="41" t="n"/>
      <c r="M1216" s="41" t="n"/>
      <c r="N1216" s="42">
        <f>IF($M1216="","",IFERROR(INDEX(LISTAS!$F$3:$F$42,MATCH($M1216,LISTAS!$E$3:$E$42,0)),"Por definir"))</f>
        <v/>
      </c>
      <c r="O1216" s="41" t="n"/>
      <c r="P1216" s="39">
        <f>IF($L1216="","",IFERROR(INDEX(LISTAS!$B$3:$B$42,MATCH($L1216,LISTAS!$A$3:$A$42,0)),"Media"))</f>
        <v/>
      </c>
      <c r="Q1216" s="44" t="n"/>
      <c r="R1216" s="45" t="n"/>
      <c r="S1216" s="20">
        <f>IFERROR(IF(OR($R1216="",$C1216=""),"",$R1216/INDEX(DESPACHOS!$M$3:$M$3002,MATCH($C1216,DESPACHOS!$B$3:$B$3002,0))),"")</f>
        <v/>
      </c>
      <c r="T1216" s="41" t="n"/>
      <c r="U1216" s="43">
        <f>IF(OR($B1216="",$L1216=""),"",WORKDAY($B1216,IFERROR(INDEX(LISTAS!$C$3:$C$42,MATCH($L1216,LISTAS!$A$3:$A$42,0)),3)))</f>
        <v/>
      </c>
      <c r="V1216" s="40" t="n"/>
      <c r="W1216" s="19">
        <f>IF($B1216="","",IF($V1216&lt;&gt;"",$V1216-$B1216,TODAY()-$B1216))</f>
        <v/>
      </c>
      <c r="X1216" s="19">
        <f>IF(OR($B1216="",$U1216=""),"",IF($V1216&lt;&gt;"",MAX(0,$V1216-$U1216),MAX(0,TODAY()-$U1216)))</f>
        <v/>
      </c>
      <c r="Y1216" s="39">
        <f>IF($C1216="","",IF(IFERROR(INDEX(LISTAS!$I$3:$I$42,MATCH($T1216,LISTAS!$H$3:$H$42,0)),"NO")="SÍ",IF(N($X1216)&gt;0,"CERRADA FUERA DE SLA","CERRADA EN SLA"),IF($U1216="","SIN CLASIFICAR",IF(N($X1216)&gt;0,"VENCIDA",IF(TODAY()&gt;=$U1216-1,"POR VENCER","EN PLAZO")))))</f>
        <v/>
      </c>
      <c r="Z1216" s="41" t="n"/>
      <c r="AA1216" s="41" t="n"/>
      <c r="AB1216" s="41" t="n"/>
    </row>
    <row r="1217">
      <c r="A1217" s="39">
        <f>IF($C1217="","","NOV-"&amp;TEXT(ROW()-3,"0000"))</f>
        <v/>
      </c>
      <c r="B1217" s="40" t="n"/>
      <c r="C1217" s="41" t="n"/>
      <c r="D1217" s="42">
        <f>IF($C1217="","",IFERROR(INDEX(DESPACHOS!$D$3:$D$3002,MATCH($C1217,DESPACHOS!$B$3:$B$3002,0)),"SIN DESPACHO"))</f>
        <v/>
      </c>
      <c r="E1217" s="42">
        <f>IF($C1217="","",IFERROR(INDEX(DESPACHOS!$K$3:$K$3002,MATCH($C1217,DESPACHOS!$B$3:$B$3002,0)),""))</f>
        <v/>
      </c>
      <c r="F1217" s="42">
        <f>IF($C1217="","",IFERROR(INDEX(DESPACHOS!$I$3:$I$3002,MATCH($C1217,DESPACHOS!$B$3:$B$3002,0)),""))</f>
        <v/>
      </c>
      <c r="G1217" s="42">
        <f>IF($C1217="","",IFERROR(INDEX(DESPACHOS!$F$3:$F$3002,MATCH($C1217,DESPACHOS!$B$3:$B$3002,0)),""))</f>
        <v/>
      </c>
      <c r="H1217" s="42">
        <f>IF($C1217="","",IFERROR(INDEX(DESPACHOS!$G$3:$G$3002,MATCH($C1217,DESPACHOS!$B$3:$B$3002,0)),""))</f>
        <v/>
      </c>
      <c r="I1217" s="39">
        <f>IF($C1217="","",IFERROR(INDEX(DESPACHOS!$H$3:$H$3002,MATCH($C1217,DESPACHOS!$B$3:$B$3002,0)),""))</f>
        <v/>
      </c>
      <c r="J1217" s="43">
        <f>IF($C1217="","",IFERROR(INDEX(DESPACHOS!$J$3:$J$3002,MATCH($C1217,DESPACHOS!$B$3:$B$3002,0)),""))</f>
        <v/>
      </c>
      <c r="K1217" s="39">
        <f>IF($C1217="","",IF(COUNTIFS(DESPACHOS!$B$3:$B$3002,$C1217)=0,"NO EXISTE",IF(COUNTIFS(DESPACHOS!$B$3:$B$3002,$C1217)&gt;1,"DUPLICADO","OK")))</f>
        <v/>
      </c>
      <c r="L1217" s="41" t="n"/>
      <c r="M1217" s="41" t="n"/>
      <c r="N1217" s="42">
        <f>IF($M1217="","",IFERROR(INDEX(LISTAS!$F$3:$F$42,MATCH($M1217,LISTAS!$E$3:$E$42,0)),"Por definir"))</f>
        <v/>
      </c>
      <c r="O1217" s="41" t="n"/>
      <c r="P1217" s="39">
        <f>IF($L1217="","",IFERROR(INDEX(LISTAS!$B$3:$B$42,MATCH($L1217,LISTAS!$A$3:$A$42,0)),"Media"))</f>
        <v/>
      </c>
      <c r="Q1217" s="44" t="n"/>
      <c r="R1217" s="45" t="n"/>
      <c r="S1217" s="20">
        <f>IFERROR(IF(OR($R1217="",$C1217=""),"",$R1217/INDEX(DESPACHOS!$M$3:$M$3002,MATCH($C1217,DESPACHOS!$B$3:$B$3002,0))),"")</f>
        <v/>
      </c>
      <c r="T1217" s="41" t="n"/>
      <c r="U1217" s="43">
        <f>IF(OR($B1217="",$L1217=""),"",WORKDAY($B1217,IFERROR(INDEX(LISTAS!$C$3:$C$42,MATCH($L1217,LISTAS!$A$3:$A$42,0)),3)))</f>
        <v/>
      </c>
      <c r="V1217" s="40" t="n"/>
      <c r="W1217" s="19">
        <f>IF($B1217="","",IF($V1217&lt;&gt;"",$V1217-$B1217,TODAY()-$B1217))</f>
        <v/>
      </c>
      <c r="X1217" s="19">
        <f>IF(OR($B1217="",$U1217=""),"",IF($V1217&lt;&gt;"",MAX(0,$V1217-$U1217),MAX(0,TODAY()-$U1217)))</f>
        <v/>
      </c>
      <c r="Y1217" s="39">
        <f>IF($C1217="","",IF(IFERROR(INDEX(LISTAS!$I$3:$I$42,MATCH($T1217,LISTAS!$H$3:$H$42,0)),"NO")="SÍ",IF(N($X1217)&gt;0,"CERRADA FUERA DE SLA","CERRADA EN SLA"),IF($U1217="","SIN CLASIFICAR",IF(N($X1217)&gt;0,"VENCIDA",IF(TODAY()&gt;=$U1217-1,"POR VENCER","EN PLAZO")))))</f>
        <v/>
      </c>
      <c r="Z1217" s="41" t="n"/>
      <c r="AA1217" s="41" t="n"/>
      <c r="AB1217" s="41" t="n"/>
    </row>
    <row r="1218">
      <c r="A1218" s="39">
        <f>IF($C1218="","","NOV-"&amp;TEXT(ROW()-3,"0000"))</f>
        <v/>
      </c>
      <c r="B1218" s="40" t="n"/>
      <c r="C1218" s="41" t="n"/>
      <c r="D1218" s="42">
        <f>IF($C1218="","",IFERROR(INDEX(DESPACHOS!$D$3:$D$3002,MATCH($C1218,DESPACHOS!$B$3:$B$3002,0)),"SIN DESPACHO"))</f>
        <v/>
      </c>
      <c r="E1218" s="42">
        <f>IF($C1218="","",IFERROR(INDEX(DESPACHOS!$K$3:$K$3002,MATCH($C1218,DESPACHOS!$B$3:$B$3002,0)),""))</f>
        <v/>
      </c>
      <c r="F1218" s="42">
        <f>IF($C1218="","",IFERROR(INDEX(DESPACHOS!$I$3:$I$3002,MATCH($C1218,DESPACHOS!$B$3:$B$3002,0)),""))</f>
        <v/>
      </c>
      <c r="G1218" s="42">
        <f>IF($C1218="","",IFERROR(INDEX(DESPACHOS!$F$3:$F$3002,MATCH($C1218,DESPACHOS!$B$3:$B$3002,0)),""))</f>
        <v/>
      </c>
      <c r="H1218" s="42">
        <f>IF($C1218="","",IFERROR(INDEX(DESPACHOS!$G$3:$G$3002,MATCH($C1218,DESPACHOS!$B$3:$B$3002,0)),""))</f>
        <v/>
      </c>
      <c r="I1218" s="39">
        <f>IF($C1218="","",IFERROR(INDEX(DESPACHOS!$H$3:$H$3002,MATCH($C1218,DESPACHOS!$B$3:$B$3002,0)),""))</f>
        <v/>
      </c>
      <c r="J1218" s="43">
        <f>IF($C1218="","",IFERROR(INDEX(DESPACHOS!$J$3:$J$3002,MATCH($C1218,DESPACHOS!$B$3:$B$3002,0)),""))</f>
        <v/>
      </c>
      <c r="K1218" s="39">
        <f>IF($C1218="","",IF(COUNTIFS(DESPACHOS!$B$3:$B$3002,$C1218)=0,"NO EXISTE",IF(COUNTIFS(DESPACHOS!$B$3:$B$3002,$C1218)&gt;1,"DUPLICADO","OK")))</f>
        <v/>
      </c>
      <c r="L1218" s="41" t="n"/>
      <c r="M1218" s="41" t="n"/>
      <c r="N1218" s="42">
        <f>IF($M1218="","",IFERROR(INDEX(LISTAS!$F$3:$F$42,MATCH($M1218,LISTAS!$E$3:$E$42,0)),"Por definir"))</f>
        <v/>
      </c>
      <c r="O1218" s="41" t="n"/>
      <c r="P1218" s="39">
        <f>IF($L1218="","",IFERROR(INDEX(LISTAS!$B$3:$B$42,MATCH($L1218,LISTAS!$A$3:$A$42,0)),"Media"))</f>
        <v/>
      </c>
      <c r="Q1218" s="44" t="n"/>
      <c r="R1218" s="45" t="n"/>
      <c r="S1218" s="20">
        <f>IFERROR(IF(OR($R1218="",$C1218=""),"",$R1218/INDEX(DESPACHOS!$M$3:$M$3002,MATCH($C1218,DESPACHOS!$B$3:$B$3002,0))),"")</f>
        <v/>
      </c>
      <c r="T1218" s="41" t="n"/>
      <c r="U1218" s="43">
        <f>IF(OR($B1218="",$L1218=""),"",WORKDAY($B1218,IFERROR(INDEX(LISTAS!$C$3:$C$42,MATCH($L1218,LISTAS!$A$3:$A$42,0)),3)))</f>
        <v/>
      </c>
      <c r="V1218" s="40" t="n"/>
      <c r="W1218" s="19">
        <f>IF($B1218="","",IF($V1218&lt;&gt;"",$V1218-$B1218,TODAY()-$B1218))</f>
        <v/>
      </c>
      <c r="X1218" s="19">
        <f>IF(OR($B1218="",$U1218=""),"",IF($V1218&lt;&gt;"",MAX(0,$V1218-$U1218),MAX(0,TODAY()-$U1218)))</f>
        <v/>
      </c>
      <c r="Y1218" s="39">
        <f>IF($C1218="","",IF(IFERROR(INDEX(LISTAS!$I$3:$I$42,MATCH($T1218,LISTAS!$H$3:$H$42,0)),"NO")="SÍ",IF(N($X1218)&gt;0,"CERRADA FUERA DE SLA","CERRADA EN SLA"),IF($U1218="","SIN CLASIFICAR",IF(N($X1218)&gt;0,"VENCIDA",IF(TODAY()&gt;=$U1218-1,"POR VENCER","EN PLAZO")))))</f>
        <v/>
      </c>
      <c r="Z1218" s="41" t="n"/>
      <c r="AA1218" s="41" t="n"/>
      <c r="AB1218" s="41" t="n"/>
    </row>
    <row r="1219">
      <c r="A1219" s="39">
        <f>IF($C1219="","","NOV-"&amp;TEXT(ROW()-3,"0000"))</f>
        <v/>
      </c>
      <c r="B1219" s="40" t="n"/>
      <c r="C1219" s="41" t="n"/>
      <c r="D1219" s="42">
        <f>IF($C1219="","",IFERROR(INDEX(DESPACHOS!$D$3:$D$3002,MATCH($C1219,DESPACHOS!$B$3:$B$3002,0)),"SIN DESPACHO"))</f>
        <v/>
      </c>
      <c r="E1219" s="42">
        <f>IF($C1219="","",IFERROR(INDEX(DESPACHOS!$K$3:$K$3002,MATCH($C1219,DESPACHOS!$B$3:$B$3002,0)),""))</f>
        <v/>
      </c>
      <c r="F1219" s="42">
        <f>IF($C1219="","",IFERROR(INDEX(DESPACHOS!$I$3:$I$3002,MATCH($C1219,DESPACHOS!$B$3:$B$3002,0)),""))</f>
        <v/>
      </c>
      <c r="G1219" s="42">
        <f>IF($C1219="","",IFERROR(INDEX(DESPACHOS!$F$3:$F$3002,MATCH($C1219,DESPACHOS!$B$3:$B$3002,0)),""))</f>
        <v/>
      </c>
      <c r="H1219" s="42">
        <f>IF($C1219="","",IFERROR(INDEX(DESPACHOS!$G$3:$G$3002,MATCH($C1219,DESPACHOS!$B$3:$B$3002,0)),""))</f>
        <v/>
      </c>
      <c r="I1219" s="39">
        <f>IF($C1219="","",IFERROR(INDEX(DESPACHOS!$H$3:$H$3002,MATCH($C1219,DESPACHOS!$B$3:$B$3002,0)),""))</f>
        <v/>
      </c>
      <c r="J1219" s="43">
        <f>IF($C1219="","",IFERROR(INDEX(DESPACHOS!$J$3:$J$3002,MATCH($C1219,DESPACHOS!$B$3:$B$3002,0)),""))</f>
        <v/>
      </c>
      <c r="K1219" s="39">
        <f>IF($C1219="","",IF(COUNTIFS(DESPACHOS!$B$3:$B$3002,$C1219)=0,"NO EXISTE",IF(COUNTIFS(DESPACHOS!$B$3:$B$3002,$C1219)&gt;1,"DUPLICADO","OK")))</f>
        <v/>
      </c>
      <c r="L1219" s="41" t="n"/>
      <c r="M1219" s="41" t="n"/>
      <c r="N1219" s="42">
        <f>IF($M1219="","",IFERROR(INDEX(LISTAS!$F$3:$F$42,MATCH($M1219,LISTAS!$E$3:$E$42,0)),"Por definir"))</f>
        <v/>
      </c>
      <c r="O1219" s="41" t="n"/>
      <c r="P1219" s="39">
        <f>IF($L1219="","",IFERROR(INDEX(LISTAS!$B$3:$B$42,MATCH($L1219,LISTAS!$A$3:$A$42,0)),"Media"))</f>
        <v/>
      </c>
      <c r="Q1219" s="44" t="n"/>
      <c r="R1219" s="45" t="n"/>
      <c r="S1219" s="20">
        <f>IFERROR(IF(OR($R1219="",$C1219=""),"",$R1219/INDEX(DESPACHOS!$M$3:$M$3002,MATCH($C1219,DESPACHOS!$B$3:$B$3002,0))),"")</f>
        <v/>
      </c>
      <c r="T1219" s="41" t="n"/>
      <c r="U1219" s="43">
        <f>IF(OR($B1219="",$L1219=""),"",WORKDAY($B1219,IFERROR(INDEX(LISTAS!$C$3:$C$42,MATCH($L1219,LISTAS!$A$3:$A$42,0)),3)))</f>
        <v/>
      </c>
      <c r="V1219" s="40" t="n"/>
      <c r="W1219" s="19">
        <f>IF($B1219="","",IF($V1219&lt;&gt;"",$V1219-$B1219,TODAY()-$B1219))</f>
        <v/>
      </c>
      <c r="X1219" s="19">
        <f>IF(OR($B1219="",$U1219=""),"",IF($V1219&lt;&gt;"",MAX(0,$V1219-$U1219),MAX(0,TODAY()-$U1219)))</f>
        <v/>
      </c>
      <c r="Y1219" s="39">
        <f>IF($C1219="","",IF(IFERROR(INDEX(LISTAS!$I$3:$I$42,MATCH($T1219,LISTAS!$H$3:$H$42,0)),"NO")="SÍ",IF(N($X1219)&gt;0,"CERRADA FUERA DE SLA","CERRADA EN SLA"),IF($U1219="","SIN CLASIFICAR",IF(N($X1219)&gt;0,"VENCIDA",IF(TODAY()&gt;=$U1219-1,"POR VENCER","EN PLAZO")))))</f>
        <v/>
      </c>
      <c r="Z1219" s="41" t="n"/>
      <c r="AA1219" s="41" t="n"/>
      <c r="AB1219" s="41" t="n"/>
    </row>
    <row r="1220">
      <c r="A1220" s="39">
        <f>IF($C1220="","","NOV-"&amp;TEXT(ROW()-3,"0000"))</f>
        <v/>
      </c>
      <c r="B1220" s="40" t="n"/>
      <c r="C1220" s="41" t="n"/>
      <c r="D1220" s="42">
        <f>IF($C1220="","",IFERROR(INDEX(DESPACHOS!$D$3:$D$3002,MATCH($C1220,DESPACHOS!$B$3:$B$3002,0)),"SIN DESPACHO"))</f>
        <v/>
      </c>
      <c r="E1220" s="42">
        <f>IF($C1220="","",IFERROR(INDEX(DESPACHOS!$K$3:$K$3002,MATCH($C1220,DESPACHOS!$B$3:$B$3002,0)),""))</f>
        <v/>
      </c>
      <c r="F1220" s="42">
        <f>IF($C1220="","",IFERROR(INDEX(DESPACHOS!$I$3:$I$3002,MATCH($C1220,DESPACHOS!$B$3:$B$3002,0)),""))</f>
        <v/>
      </c>
      <c r="G1220" s="42">
        <f>IF($C1220="","",IFERROR(INDEX(DESPACHOS!$F$3:$F$3002,MATCH($C1220,DESPACHOS!$B$3:$B$3002,0)),""))</f>
        <v/>
      </c>
      <c r="H1220" s="42">
        <f>IF($C1220="","",IFERROR(INDEX(DESPACHOS!$G$3:$G$3002,MATCH($C1220,DESPACHOS!$B$3:$B$3002,0)),""))</f>
        <v/>
      </c>
      <c r="I1220" s="39">
        <f>IF($C1220="","",IFERROR(INDEX(DESPACHOS!$H$3:$H$3002,MATCH($C1220,DESPACHOS!$B$3:$B$3002,0)),""))</f>
        <v/>
      </c>
      <c r="J1220" s="43">
        <f>IF($C1220="","",IFERROR(INDEX(DESPACHOS!$J$3:$J$3002,MATCH($C1220,DESPACHOS!$B$3:$B$3002,0)),""))</f>
        <v/>
      </c>
      <c r="K1220" s="39">
        <f>IF($C1220="","",IF(COUNTIFS(DESPACHOS!$B$3:$B$3002,$C1220)=0,"NO EXISTE",IF(COUNTIFS(DESPACHOS!$B$3:$B$3002,$C1220)&gt;1,"DUPLICADO","OK")))</f>
        <v/>
      </c>
      <c r="L1220" s="41" t="n"/>
      <c r="M1220" s="41" t="n"/>
      <c r="N1220" s="42">
        <f>IF($M1220="","",IFERROR(INDEX(LISTAS!$F$3:$F$42,MATCH($M1220,LISTAS!$E$3:$E$42,0)),"Por definir"))</f>
        <v/>
      </c>
      <c r="O1220" s="41" t="n"/>
      <c r="P1220" s="39">
        <f>IF($L1220="","",IFERROR(INDEX(LISTAS!$B$3:$B$42,MATCH($L1220,LISTAS!$A$3:$A$42,0)),"Media"))</f>
        <v/>
      </c>
      <c r="Q1220" s="44" t="n"/>
      <c r="R1220" s="45" t="n"/>
      <c r="S1220" s="20">
        <f>IFERROR(IF(OR($R1220="",$C1220=""),"",$R1220/INDEX(DESPACHOS!$M$3:$M$3002,MATCH($C1220,DESPACHOS!$B$3:$B$3002,0))),"")</f>
        <v/>
      </c>
      <c r="T1220" s="41" t="n"/>
      <c r="U1220" s="43">
        <f>IF(OR($B1220="",$L1220=""),"",WORKDAY($B1220,IFERROR(INDEX(LISTAS!$C$3:$C$42,MATCH($L1220,LISTAS!$A$3:$A$42,0)),3)))</f>
        <v/>
      </c>
      <c r="V1220" s="40" t="n"/>
      <c r="W1220" s="19">
        <f>IF($B1220="","",IF($V1220&lt;&gt;"",$V1220-$B1220,TODAY()-$B1220))</f>
        <v/>
      </c>
      <c r="X1220" s="19">
        <f>IF(OR($B1220="",$U1220=""),"",IF($V1220&lt;&gt;"",MAX(0,$V1220-$U1220),MAX(0,TODAY()-$U1220)))</f>
        <v/>
      </c>
      <c r="Y1220" s="39">
        <f>IF($C1220="","",IF(IFERROR(INDEX(LISTAS!$I$3:$I$42,MATCH($T1220,LISTAS!$H$3:$H$42,0)),"NO")="SÍ",IF(N($X1220)&gt;0,"CERRADA FUERA DE SLA","CERRADA EN SLA"),IF($U1220="","SIN CLASIFICAR",IF(N($X1220)&gt;0,"VENCIDA",IF(TODAY()&gt;=$U1220-1,"POR VENCER","EN PLAZO")))))</f>
        <v/>
      </c>
      <c r="Z1220" s="41" t="n"/>
      <c r="AA1220" s="41" t="n"/>
      <c r="AB1220" s="41" t="n"/>
    </row>
    <row r="1221">
      <c r="A1221" s="39">
        <f>IF($C1221="","","NOV-"&amp;TEXT(ROW()-3,"0000"))</f>
        <v/>
      </c>
      <c r="B1221" s="40" t="n"/>
      <c r="C1221" s="41" t="n"/>
      <c r="D1221" s="42">
        <f>IF($C1221="","",IFERROR(INDEX(DESPACHOS!$D$3:$D$3002,MATCH($C1221,DESPACHOS!$B$3:$B$3002,0)),"SIN DESPACHO"))</f>
        <v/>
      </c>
      <c r="E1221" s="42">
        <f>IF($C1221="","",IFERROR(INDEX(DESPACHOS!$K$3:$K$3002,MATCH($C1221,DESPACHOS!$B$3:$B$3002,0)),""))</f>
        <v/>
      </c>
      <c r="F1221" s="42">
        <f>IF($C1221="","",IFERROR(INDEX(DESPACHOS!$I$3:$I$3002,MATCH($C1221,DESPACHOS!$B$3:$B$3002,0)),""))</f>
        <v/>
      </c>
      <c r="G1221" s="42">
        <f>IF($C1221="","",IFERROR(INDEX(DESPACHOS!$F$3:$F$3002,MATCH($C1221,DESPACHOS!$B$3:$B$3002,0)),""))</f>
        <v/>
      </c>
      <c r="H1221" s="42">
        <f>IF($C1221="","",IFERROR(INDEX(DESPACHOS!$G$3:$G$3002,MATCH($C1221,DESPACHOS!$B$3:$B$3002,0)),""))</f>
        <v/>
      </c>
      <c r="I1221" s="39">
        <f>IF($C1221="","",IFERROR(INDEX(DESPACHOS!$H$3:$H$3002,MATCH($C1221,DESPACHOS!$B$3:$B$3002,0)),""))</f>
        <v/>
      </c>
      <c r="J1221" s="43">
        <f>IF($C1221="","",IFERROR(INDEX(DESPACHOS!$J$3:$J$3002,MATCH($C1221,DESPACHOS!$B$3:$B$3002,0)),""))</f>
        <v/>
      </c>
      <c r="K1221" s="39">
        <f>IF($C1221="","",IF(COUNTIFS(DESPACHOS!$B$3:$B$3002,$C1221)=0,"NO EXISTE",IF(COUNTIFS(DESPACHOS!$B$3:$B$3002,$C1221)&gt;1,"DUPLICADO","OK")))</f>
        <v/>
      </c>
      <c r="L1221" s="41" t="n"/>
      <c r="M1221" s="41" t="n"/>
      <c r="N1221" s="42">
        <f>IF($M1221="","",IFERROR(INDEX(LISTAS!$F$3:$F$42,MATCH($M1221,LISTAS!$E$3:$E$42,0)),"Por definir"))</f>
        <v/>
      </c>
      <c r="O1221" s="41" t="n"/>
      <c r="P1221" s="39">
        <f>IF($L1221="","",IFERROR(INDEX(LISTAS!$B$3:$B$42,MATCH($L1221,LISTAS!$A$3:$A$42,0)),"Media"))</f>
        <v/>
      </c>
      <c r="Q1221" s="44" t="n"/>
      <c r="R1221" s="45" t="n"/>
      <c r="S1221" s="20">
        <f>IFERROR(IF(OR($R1221="",$C1221=""),"",$R1221/INDEX(DESPACHOS!$M$3:$M$3002,MATCH($C1221,DESPACHOS!$B$3:$B$3002,0))),"")</f>
        <v/>
      </c>
      <c r="T1221" s="41" t="n"/>
      <c r="U1221" s="43">
        <f>IF(OR($B1221="",$L1221=""),"",WORKDAY($B1221,IFERROR(INDEX(LISTAS!$C$3:$C$42,MATCH($L1221,LISTAS!$A$3:$A$42,0)),3)))</f>
        <v/>
      </c>
      <c r="V1221" s="40" t="n"/>
      <c r="W1221" s="19">
        <f>IF($B1221="","",IF($V1221&lt;&gt;"",$V1221-$B1221,TODAY()-$B1221))</f>
        <v/>
      </c>
      <c r="X1221" s="19">
        <f>IF(OR($B1221="",$U1221=""),"",IF($V1221&lt;&gt;"",MAX(0,$V1221-$U1221),MAX(0,TODAY()-$U1221)))</f>
        <v/>
      </c>
      <c r="Y1221" s="39">
        <f>IF($C1221="","",IF(IFERROR(INDEX(LISTAS!$I$3:$I$42,MATCH($T1221,LISTAS!$H$3:$H$42,0)),"NO")="SÍ",IF(N($X1221)&gt;0,"CERRADA FUERA DE SLA","CERRADA EN SLA"),IF($U1221="","SIN CLASIFICAR",IF(N($X1221)&gt;0,"VENCIDA",IF(TODAY()&gt;=$U1221-1,"POR VENCER","EN PLAZO")))))</f>
        <v/>
      </c>
      <c r="Z1221" s="41" t="n"/>
      <c r="AA1221" s="41" t="n"/>
      <c r="AB1221" s="41" t="n"/>
    </row>
    <row r="1222">
      <c r="A1222" s="39">
        <f>IF($C1222="","","NOV-"&amp;TEXT(ROW()-3,"0000"))</f>
        <v/>
      </c>
      <c r="B1222" s="40" t="n"/>
      <c r="C1222" s="41" t="n"/>
      <c r="D1222" s="42">
        <f>IF($C1222="","",IFERROR(INDEX(DESPACHOS!$D$3:$D$3002,MATCH($C1222,DESPACHOS!$B$3:$B$3002,0)),"SIN DESPACHO"))</f>
        <v/>
      </c>
      <c r="E1222" s="42">
        <f>IF($C1222="","",IFERROR(INDEX(DESPACHOS!$K$3:$K$3002,MATCH($C1222,DESPACHOS!$B$3:$B$3002,0)),""))</f>
        <v/>
      </c>
      <c r="F1222" s="42">
        <f>IF($C1222="","",IFERROR(INDEX(DESPACHOS!$I$3:$I$3002,MATCH($C1222,DESPACHOS!$B$3:$B$3002,0)),""))</f>
        <v/>
      </c>
      <c r="G1222" s="42">
        <f>IF($C1222="","",IFERROR(INDEX(DESPACHOS!$F$3:$F$3002,MATCH($C1222,DESPACHOS!$B$3:$B$3002,0)),""))</f>
        <v/>
      </c>
      <c r="H1222" s="42">
        <f>IF($C1222="","",IFERROR(INDEX(DESPACHOS!$G$3:$G$3002,MATCH($C1222,DESPACHOS!$B$3:$B$3002,0)),""))</f>
        <v/>
      </c>
      <c r="I1222" s="39">
        <f>IF($C1222="","",IFERROR(INDEX(DESPACHOS!$H$3:$H$3002,MATCH($C1222,DESPACHOS!$B$3:$B$3002,0)),""))</f>
        <v/>
      </c>
      <c r="J1222" s="43">
        <f>IF($C1222="","",IFERROR(INDEX(DESPACHOS!$J$3:$J$3002,MATCH($C1222,DESPACHOS!$B$3:$B$3002,0)),""))</f>
        <v/>
      </c>
      <c r="K1222" s="39">
        <f>IF($C1222="","",IF(COUNTIFS(DESPACHOS!$B$3:$B$3002,$C1222)=0,"NO EXISTE",IF(COUNTIFS(DESPACHOS!$B$3:$B$3002,$C1222)&gt;1,"DUPLICADO","OK")))</f>
        <v/>
      </c>
      <c r="L1222" s="41" t="n"/>
      <c r="M1222" s="41" t="n"/>
      <c r="N1222" s="42">
        <f>IF($M1222="","",IFERROR(INDEX(LISTAS!$F$3:$F$42,MATCH($M1222,LISTAS!$E$3:$E$42,0)),"Por definir"))</f>
        <v/>
      </c>
      <c r="O1222" s="41" t="n"/>
      <c r="P1222" s="39">
        <f>IF($L1222="","",IFERROR(INDEX(LISTAS!$B$3:$B$42,MATCH($L1222,LISTAS!$A$3:$A$42,0)),"Media"))</f>
        <v/>
      </c>
      <c r="Q1222" s="44" t="n"/>
      <c r="R1222" s="45" t="n"/>
      <c r="S1222" s="20">
        <f>IFERROR(IF(OR($R1222="",$C1222=""),"",$R1222/INDEX(DESPACHOS!$M$3:$M$3002,MATCH($C1222,DESPACHOS!$B$3:$B$3002,0))),"")</f>
        <v/>
      </c>
      <c r="T1222" s="41" t="n"/>
      <c r="U1222" s="43">
        <f>IF(OR($B1222="",$L1222=""),"",WORKDAY($B1222,IFERROR(INDEX(LISTAS!$C$3:$C$42,MATCH($L1222,LISTAS!$A$3:$A$42,0)),3)))</f>
        <v/>
      </c>
      <c r="V1222" s="40" t="n"/>
      <c r="W1222" s="19">
        <f>IF($B1222="","",IF($V1222&lt;&gt;"",$V1222-$B1222,TODAY()-$B1222))</f>
        <v/>
      </c>
      <c r="X1222" s="19">
        <f>IF(OR($B1222="",$U1222=""),"",IF($V1222&lt;&gt;"",MAX(0,$V1222-$U1222),MAX(0,TODAY()-$U1222)))</f>
        <v/>
      </c>
      <c r="Y1222" s="39">
        <f>IF($C1222="","",IF(IFERROR(INDEX(LISTAS!$I$3:$I$42,MATCH($T1222,LISTAS!$H$3:$H$42,0)),"NO")="SÍ",IF(N($X1222)&gt;0,"CERRADA FUERA DE SLA","CERRADA EN SLA"),IF($U1222="","SIN CLASIFICAR",IF(N($X1222)&gt;0,"VENCIDA",IF(TODAY()&gt;=$U1222-1,"POR VENCER","EN PLAZO")))))</f>
        <v/>
      </c>
      <c r="Z1222" s="41" t="n"/>
      <c r="AA1222" s="41" t="n"/>
      <c r="AB1222" s="41" t="n"/>
    </row>
    <row r="1223">
      <c r="A1223" s="39">
        <f>IF($C1223="","","NOV-"&amp;TEXT(ROW()-3,"0000"))</f>
        <v/>
      </c>
      <c r="B1223" s="40" t="n"/>
      <c r="C1223" s="41" t="n"/>
      <c r="D1223" s="42">
        <f>IF($C1223="","",IFERROR(INDEX(DESPACHOS!$D$3:$D$3002,MATCH($C1223,DESPACHOS!$B$3:$B$3002,0)),"SIN DESPACHO"))</f>
        <v/>
      </c>
      <c r="E1223" s="42">
        <f>IF($C1223="","",IFERROR(INDEX(DESPACHOS!$K$3:$K$3002,MATCH($C1223,DESPACHOS!$B$3:$B$3002,0)),""))</f>
        <v/>
      </c>
      <c r="F1223" s="42">
        <f>IF($C1223="","",IFERROR(INDEX(DESPACHOS!$I$3:$I$3002,MATCH($C1223,DESPACHOS!$B$3:$B$3002,0)),""))</f>
        <v/>
      </c>
      <c r="G1223" s="42">
        <f>IF($C1223="","",IFERROR(INDEX(DESPACHOS!$F$3:$F$3002,MATCH($C1223,DESPACHOS!$B$3:$B$3002,0)),""))</f>
        <v/>
      </c>
      <c r="H1223" s="42">
        <f>IF($C1223="","",IFERROR(INDEX(DESPACHOS!$G$3:$G$3002,MATCH($C1223,DESPACHOS!$B$3:$B$3002,0)),""))</f>
        <v/>
      </c>
      <c r="I1223" s="39">
        <f>IF($C1223="","",IFERROR(INDEX(DESPACHOS!$H$3:$H$3002,MATCH($C1223,DESPACHOS!$B$3:$B$3002,0)),""))</f>
        <v/>
      </c>
      <c r="J1223" s="43">
        <f>IF($C1223="","",IFERROR(INDEX(DESPACHOS!$J$3:$J$3002,MATCH($C1223,DESPACHOS!$B$3:$B$3002,0)),""))</f>
        <v/>
      </c>
      <c r="K1223" s="39">
        <f>IF($C1223="","",IF(COUNTIFS(DESPACHOS!$B$3:$B$3002,$C1223)=0,"NO EXISTE",IF(COUNTIFS(DESPACHOS!$B$3:$B$3002,$C1223)&gt;1,"DUPLICADO","OK")))</f>
        <v/>
      </c>
      <c r="L1223" s="41" t="n"/>
      <c r="M1223" s="41" t="n"/>
      <c r="N1223" s="42">
        <f>IF($M1223="","",IFERROR(INDEX(LISTAS!$F$3:$F$42,MATCH($M1223,LISTAS!$E$3:$E$42,0)),"Por definir"))</f>
        <v/>
      </c>
      <c r="O1223" s="41" t="n"/>
      <c r="P1223" s="39">
        <f>IF($L1223="","",IFERROR(INDEX(LISTAS!$B$3:$B$42,MATCH($L1223,LISTAS!$A$3:$A$42,0)),"Media"))</f>
        <v/>
      </c>
      <c r="Q1223" s="44" t="n"/>
      <c r="R1223" s="45" t="n"/>
      <c r="S1223" s="20">
        <f>IFERROR(IF(OR($R1223="",$C1223=""),"",$R1223/INDEX(DESPACHOS!$M$3:$M$3002,MATCH($C1223,DESPACHOS!$B$3:$B$3002,0))),"")</f>
        <v/>
      </c>
      <c r="T1223" s="41" t="n"/>
      <c r="U1223" s="43">
        <f>IF(OR($B1223="",$L1223=""),"",WORKDAY($B1223,IFERROR(INDEX(LISTAS!$C$3:$C$42,MATCH($L1223,LISTAS!$A$3:$A$42,0)),3)))</f>
        <v/>
      </c>
      <c r="V1223" s="40" t="n"/>
      <c r="W1223" s="19">
        <f>IF($B1223="","",IF($V1223&lt;&gt;"",$V1223-$B1223,TODAY()-$B1223))</f>
        <v/>
      </c>
      <c r="X1223" s="19">
        <f>IF(OR($B1223="",$U1223=""),"",IF($V1223&lt;&gt;"",MAX(0,$V1223-$U1223),MAX(0,TODAY()-$U1223)))</f>
        <v/>
      </c>
      <c r="Y1223" s="39">
        <f>IF($C1223="","",IF(IFERROR(INDEX(LISTAS!$I$3:$I$42,MATCH($T1223,LISTAS!$H$3:$H$42,0)),"NO")="SÍ",IF(N($X1223)&gt;0,"CERRADA FUERA DE SLA","CERRADA EN SLA"),IF($U1223="","SIN CLASIFICAR",IF(N($X1223)&gt;0,"VENCIDA",IF(TODAY()&gt;=$U1223-1,"POR VENCER","EN PLAZO")))))</f>
        <v/>
      </c>
      <c r="Z1223" s="41" t="n"/>
      <c r="AA1223" s="41" t="n"/>
      <c r="AB1223" s="41" t="n"/>
    </row>
    <row r="1224">
      <c r="A1224" s="39">
        <f>IF($C1224="","","NOV-"&amp;TEXT(ROW()-3,"0000"))</f>
        <v/>
      </c>
      <c r="B1224" s="40" t="n"/>
      <c r="C1224" s="41" t="n"/>
      <c r="D1224" s="42">
        <f>IF($C1224="","",IFERROR(INDEX(DESPACHOS!$D$3:$D$3002,MATCH($C1224,DESPACHOS!$B$3:$B$3002,0)),"SIN DESPACHO"))</f>
        <v/>
      </c>
      <c r="E1224" s="42">
        <f>IF($C1224="","",IFERROR(INDEX(DESPACHOS!$K$3:$K$3002,MATCH($C1224,DESPACHOS!$B$3:$B$3002,0)),""))</f>
        <v/>
      </c>
      <c r="F1224" s="42">
        <f>IF($C1224="","",IFERROR(INDEX(DESPACHOS!$I$3:$I$3002,MATCH($C1224,DESPACHOS!$B$3:$B$3002,0)),""))</f>
        <v/>
      </c>
      <c r="G1224" s="42">
        <f>IF($C1224="","",IFERROR(INDEX(DESPACHOS!$F$3:$F$3002,MATCH($C1224,DESPACHOS!$B$3:$B$3002,0)),""))</f>
        <v/>
      </c>
      <c r="H1224" s="42">
        <f>IF($C1224="","",IFERROR(INDEX(DESPACHOS!$G$3:$G$3002,MATCH($C1224,DESPACHOS!$B$3:$B$3002,0)),""))</f>
        <v/>
      </c>
      <c r="I1224" s="39">
        <f>IF($C1224="","",IFERROR(INDEX(DESPACHOS!$H$3:$H$3002,MATCH($C1224,DESPACHOS!$B$3:$B$3002,0)),""))</f>
        <v/>
      </c>
      <c r="J1224" s="43">
        <f>IF($C1224="","",IFERROR(INDEX(DESPACHOS!$J$3:$J$3002,MATCH($C1224,DESPACHOS!$B$3:$B$3002,0)),""))</f>
        <v/>
      </c>
      <c r="K1224" s="39">
        <f>IF($C1224="","",IF(COUNTIFS(DESPACHOS!$B$3:$B$3002,$C1224)=0,"NO EXISTE",IF(COUNTIFS(DESPACHOS!$B$3:$B$3002,$C1224)&gt;1,"DUPLICADO","OK")))</f>
        <v/>
      </c>
      <c r="L1224" s="41" t="n"/>
      <c r="M1224" s="41" t="n"/>
      <c r="N1224" s="42">
        <f>IF($M1224="","",IFERROR(INDEX(LISTAS!$F$3:$F$42,MATCH($M1224,LISTAS!$E$3:$E$42,0)),"Por definir"))</f>
        <v/>
      </c>
      <c r="O1224" s="41" t="n"/>
      <c r="P1224" s="39">
        <f>IF($L1224="","",IFERROR(INDEX(LISTAS!$B$3:$B$42,MATCH($L1224,LISTAS!$A$3:$A$42,0)),"Media"))</f>
        <v/>
      </c>
      <c r="Q1224" s="44" t="n"/>
      <c r="R1224" s="45" t="n"/>
      <c r="S1224" s="20">
        <f>IFERROR(IF(OR($R1224="",$C1224=""),"",$R1224/INDEX(DESPACHOS!$M$3:$M$3002,MATCH($C1224,DESPACHOS!$B$3:$B$3002,0))),"")</f>
        <v/>
      </c>
      <c r="T1224" s="41" t="n"/>
      <c r="U1224" s="43">
        <f>IF(OR($B1224="",$L1224=""),"",WORKDAY($B1224,IFERROR(INDEX(LISTAS!$C$3:$C$42,MATCH($L1224,LISTAS!$A$3:$A$42,0)),3)))</f>
        <v/>
      </c>
      <c r="V1224" s="40" t="n"/>
      <c r="W1224" s="19">
        <f>IF($B1224="","",IF($V1224&lt;&gt;"",$V1224-$B1224,TODAY()-$B1224))</f>
        <v/>
      </c>
      <c r="X1224" s="19">
        <f>IF(OR($B1224="",$U1224=""),"",IF($V1224&lt;&gt;"",MAX(0,$V1224-$U1224),MAX(0,TODAY()-$U1224)))</f>
        <v/>
      </c>
      <c r="Y1224" s="39">
        <f>IF($C1224="","",IF(IFERROR(INDEX(LISTAS!$I$3:$I$42,MATCH($T1224,LISTAS!$H$3:$H$42,0)),"NO")="SÍ",IF(N($X1224)&gt;0,"CERRADA FUERA DE SLA","CERRADA EN SLA"),IF($U1224="","SIN CLASIFICAR",IF(N($X1224)&gt;0,"VENCIDA",IF(TODAY()&gt;=$U1224-1,"POR VENCER","EN PLAZO")))))</f>
        <v/>
      </c>
      <c r="Z1224" s="41" t="n"/>
      <c r="AA1224" s="41" t="n"/>
      <c r="AB1224" s="41" t="n"/>
    </row>
    <row r="1225">
      <c r="A1225" s="39">
        <f>IF($C1225="","","NOV-"&amp;TEXT(ROW()-3,"0000"))</f>
        <v/>
      </c>
      <c r="B1225" s="40" t="n"/>
      <c r="C1225" s="41" t="n"/>
      <c r="D1225" s="42">
        <f>IF($C1225="","",IFERROR(INDEX(DESPACHOS!$D$3:$D$3002,MATCH($C1225,DESPACHOS!$B$3:$B$3002,0)),"SIN DESPACHO"))</f>
        <v/>
      </c>
      <c r="E1225" s="42">
        <f>IF($C1225="","",IFERROR(INDEX(DESPACHOS!$K$3:$K$3002,MATCH($C1225,DESPACHOS!$B$3:$B$3002,0)),""))</f>
        <v/>
      </c>
      <c r="F1225" s="42">
        <f>IF($C1225="","",IFERROR(INDEX(DESPACHOS!$I$3:$I$3002,MATCH($C1225,DESPACHOS!$B$3:$B$3002,0)),""))</f>
        <v/>
      </c>
      <c r="G1225" s="42">
        <f>IF($C1225="","",IFERROR(INDEX(DESPACHOS!$F$3:$F$3002,MATCH($C1225,DESPACHOS!$B$3:$B$3002,0)),""))</f>
        <v/>
      </c>
      <c r="H1225" s="42">
        <f>IF($C1225="","",IFERROR(INDEX(DESPACHOS!$G$3:$G$3002,MATCH($C1225,DESPACHOS!$B$3:$B$3002,0)),""))</f>
        <v/>
      </c>
      <c r="I1225" s="39">
        <f>IF($C1225="","",IFERROR(INDEX(DESPACHOS!$H$3:$H$3002,MATCH($C1225,DESPACHOS!$B$3:$B$3002,0)),""))</f>
        <v/>
      </c>
      <c r="J1225" s="43">
        <f>IF($C1225="","",IFERROR(INDEX(DESPACHOS!$J$3:$J$3002,MATCH($C1225,DESPACHOS!$B$3:$B$3002,0)),""))</f>
        <v/>
      </c>
      <c r="K1225" s="39">
        <f>IF($C1225="","",IF(COUNTIFS(DESPACHOS!$B$3:$B$3002,$C1225)=0,"NO EXISTE",IF(COUNTIFS(DESPACHOS!$B$3:$B$3002,$C1225)&gt;1,"DUPLICADO","OK")))</f>
        <v/>
      </c>
      <c r="L1225" s="41" t="n"/>
      <c r="M1225" s="41" t="n"/>
      <c r="N1225" s="42">
        <f>IF($M1225="","",IFERROR(INDEX(LISTAS!$F$3:$F$42,MATCH($M1225,LISTAS!$E$3:$E$42,0)),"Por definir"))</f>
        <v/>
      </c>
      <c r="O1225" s="41" t="n"/>
      <c r="P1225" s="39">
        <f>IF($L1225="","",IFERROR(INDEX(LISTAS!$B$3:$B$42,MATCH($L1225,LISTAS!$A$3:$A$42,0)),"Media"))</f>
        <v/>
      </c>
      <c r="Q1225" s="44" t="n"/>
      <c r="R1225" s="45" t="n"/>
      <c r="S1225" s="20">
        <f>IFERROR(IF(OR($R1225="",$C1225=""),"",$R1225/INDEX(DESPACHOS!$M$3:$M$3002,MATCH($C1225,DESPACHOS!$B$3:$B$3002,0))),"")</f>
        <v/>
      </c>
      <c r="T1225" s="41" t="n"/>
      <c r="U1225" s="43">
        <f>IF(OR($B1225="",$L1225=""),"",WORKDAY($B1225,IFERROR(INDEX(LISTAS!$C$3:$C$42,MATCH($L1225,LISTAS!$A$3:$A$42,0)),3)))</f>
        <v/>
      </c>
      <c r="V1225" s="40" t="n"/>
      <c r="W1225" s="19">
        <f>IF($B1225="","",IF($V1225&lt;&gt;"",$V1225-$B1225,TODAY()-$B1225))</f>
        <v/>
      </c>
      <c r="X1225" s="19">
        <f>IF(OR($B1225="",$U1225=""),"",IF($V1225&lt;&gt;"",MAX(0,$V1225-$U1225),MAX(0,TODAY()-$U1225)))</f>
        <v/>
      </c>
      <c r="Y1225" s="39">
        <f>IF($C1225="","",IF(IFERROR(INDEX(LISTAS!$I$3:$I$42,MATCH($T1225,LISTAS!$H$3:$H$42,0)),"NO")="SÍ",IF(N($X1225)&gt;0,"CERRADA FUERA DE SLA","CERRADA EN SLA"),IF($U1225="","SIN CLASIFICAR",IF(N($X1225)&gt;0,"VENCIDA",IF(TODAY()&gt;=$U1225-1,"POR VENCER","EN PLAZO")))))</f>
        <v/>
      </c>
      <c r="Z1225" s="41" t="n"/>
      <c r="AA1225" s="41" t="n"/>
      <c r="AB1225" s="41" t="n"/>
    </row>
    <row r="1226">
      <c r="A1226" s="39">
        <f>IF($C1226="","","NOV-"&amp;TEXT(ROW()-3,"0000"))</f>
        <v/>
      </c>
      <c r="B1226" s="40" t="n"/>
      <c r="C1226" s="41" t="n"/>
      <c r="D1226" s="42">
        <f>IF($C1226="","",IFERROR(INDEX(DESPACHOS!$D$3:$D$3002,MATCH($C1226,DESPACHOS!$B$3:$B$3002,0)),"SIN DESPACHO"))</f>
        <v/>
      </c>
      <c r="E1226" s="42">
        <f>IF($C1226="","",IFERROR(INDEX(DESPACHOS!$K$3:$K$3002,MATCH($C1226,DESPACHOS!$B$3:$B$3002,0)),""))</f>
        <v/>
      </c>
      <c r="F1226" s="42">
        <f>IF($C1226="","",IFERROR(INDEX(DESPACHOS!$I$3:$I$3002,MATCH($C1226,DESPACHOS!$B$3:$B$3002,0)),""))</f>
        <v/>
      </c>
      <c r="G1226" s="42">
        <f>IF($C1226="","",IFERROR(INDEX(DESPACHOS!$F$3:$F$3002,MATCH($C1226,DESPACHOS!$B$3:$B$3002,0)),""))</f>
        <v/>
      </c>
      <c r="H1226" s="42">
        <f>IF($C1226="","",IFERROR(INDEX(DESPACHOS!$G$3:$G$3002,MATCH($C1226,DESPACHOS!$B$3:$B$3002,0)),""))</f>
        <v/>
      </c>
      <c r="I1226" s="39">
        <f>IF($C1226="","",IFERROR(INDEX(DESPACHOS!$H$3:$H$3002,MATCH($C1226,DESPACHOS!$B$3:$B$3002,0)),""))</f>
        <v/>
      </c>
      <c r="J1226" s="43">
        <f>IF($C1226="","",IFERROR(INDEX(DESPACHOS!$J$3:$J$3002,MATCH($C1226,DESPACHOS!$B$3:$B$3002,0)),""))</f>
        <v/>
      </c>
      <c r="K1226" s="39">
        <f>IF($C1226="","",IF(COUNTIFS(DESPACHOS!$B$3:$B$3002,$C1226)=0,"NO EXISTE",IF(COUNTIFS(DESPACHOS!$B$3:$B$3002,$C1226)&gt;1,"DUPLICADO","OK")))</f>
        <v/>
      </c>
      <c r="L1226" s="41" t="n"/>
      <c r="M1226" s="41" t="n"/>
      <c r="N1226" s="42">
        <f>IF($M1226="","",IFERROR(INDEX(LISTAS!$F$3:$F$42,MATCH($M1226,LISTAS!$E$3:$E$42,0)),"Por definir"))</f>
        <v/>
      </c>
      <c r="O1226" s="41" t="n"/>
      <c r="P1226" s="39">
        <f>IF($L1226="","",IFERROR(INDEX(LISTAS!$B$3:$B$42,MATCH($L1226,LISTAS!$A$3:$A$42,0)),"Media"))</f>
        <v/>
      </c>
      <c r="Q1226" s="44" t="n"/>
      <c r="R1226" s="45" t="n"/>
      <c r="S1226" s="20">
        <f>IFERROR(IF(OR($R1226="",$C1226=""),"",$R1226/INDEX(DESPACHOS!$M$3:$M$3002,MATCH($C1226,DESPACHOS!$B$3:$B$3002,0))),"")</f>
        <v/>
      </c>
      <c r="T1226" s="41" t="n"/>
      <c r="U1226" s="43">
        <f>IF(OR($B1226="",$L1226=""),"",WORKDAY($B1226,IFERROR(INDEX(LISTAS!$C$3:$C$42,MATCH($L1226,LISTAS!$A$3:$A$42,0)),3)))</f>
        <v/>
      </c>
      <c r="V1226" s="40" t="n"/>
      <c r="W1226" s="19">
        <f>IF($B1226="","",IF($V1226&lt;&gt;"",$V1226-$B1226,TODAY()-$B1226))</f>
        <v/>
      </c>
      <c r="X1226" s="19">
        <f>IF(OR($B1226="",$U1226=""),"",IF($V1226&lt;&gt;"",MAX(0,$V1226-$U1226),MAX(0,TODAY()-$U1226)))</f>
        <v/>
      </c>
      <c r="Y1226" s="39">
        <f>IF($C1226="","",IF(IFERROR(INDEX(LISTAS!$I$3:$I$42,MATCH($T1226,LISTAS!$H$3:$H$42,0)),"NO")="SÍ",IF(N($X1226)&gt;0,"CERRADA FUERA DE SLA","CERRADA EN SLA"),IF($U1226="","SIN CLASIFICAR",IF(N($X1226)&gt;0,"VENCIDA",IF(TODAY()&gt;=$U1226-1,"POR VENCER","EN PLAZO")))))</f>
        <v/>
      </c>
      <c r="Z1226" s="41" t="n"/>
      <c r="AA1226" s="41" t="n"/>
      <c r="AB1226" s="41" t="n"/>
    </row>
    <row r="1227">
      <c r="A1227" s="39">
        <f>IF($C1227="","","NOV-"&amp;TEXT(ROW()-3,"0000"))</f>
        <v/>
      </c>
      <c r="B1227" s="40" t="n"/>
      <c r="C1227" s="41" t="n"/>
      <c r="D1227" s="42">
        <f>IF($C1227="","",IFERROR(INDEX(DESPACHOS!$D$3:$D$3002,MATCH($C1227,DESPACHOS!$B$3:$B$3002,0)),"SIN DESPACHO"))</f>
        <v/>
      </c>
      <c r="E1227" s="42">
        <f>IF($C1227="","",IFERROR(INDEX(DESPACHOS!$K$3:$K$3002,MATCH($C1227,DESPACHOS!$B$3:$B$3002,0)),""))</f>
        <v/>
      </c>
      <c r="F1227" s="42">
        <f>IF($C1227="","",IFERROR(INDEX(DESPACHOS!$I$3:$I$3002,MATCH($C1227,DESPACHOS!$B$3:$B$3002,0)),""))</f>
        <v/>
      </c>
      <c r="G1227" s="42">
        <f>IF($C1227="","",IFERROR(INDEX(DESPACHOS!$F$3:$F$3002,MATCH($C1227,DESPACHOS!$B$3:$B$3002,0)),""))</f>
        <v/>
      </c>
      <c r="H1227" s="42">
        <f>IF($C1227="","",IFERROR(INDEX(DESPACHOS!$G$3:$G$3002,MATCH($C1227,DESPACHOS!$B$3:$B$3002,0)),""))</f>
        <v/>
      </c>
      <c r="I1227" s="39">
        <f>IF($C1227="","",IFERROR(INDEX(DESPACHOS!$H$3:$H$3002,MATCH($C1227,DESPACHOS!$B$3:$B$3002,0)),""))</f>
        <v/>
      </c>
      <c r="J1227" s="43">
        <f>IF($C1227="","",IFERROR(INDEX(DESPACHOS!$J$3:$J$3002,MATCH($C1227,DESPACHOS!$B$3:$B$3002,0)),""))</f>
        <v/>
      </c>
      <c r="K1227" s="39">
        <f>IF($C1227="","",IF(COUNTIFS(DESPACHOS!$B$3:$B$3002,$C1227)=0,"NO EXISTE",IF(COUNTIFS(DESPACHOS!$B$3:$B$3002,$C1227)&gt;1,"DUPLICADO","OK")))</f>
        <v/>
      </c>
      <c r="L1227" s="41" t="n"/>
      <c r="M1227" s="41" t="n"/>
      <c r="N1227" s="42">
        <f>IF($M1227="","",IFERROR(INDEX(LISTAS!$F$3:$F$42,MATCH($M1227,LISTAS!$E$3:$E$42,0)),"Por definir"))</f>
        <v/>
      </c>
      <c r="O1227" s="41" t="n"/>
      <c r="P1227" s="39">
        <f>IF($L1227="","",IFERROR(INDEX(LISTAS!$B$3:$B$42,MATCH($L1227,LISTAS!$A$3:$A$42,0)),"Media"))</f>
        <v/>
      </c>
      <c r="Q1227" s="44" t="n"/>
      <c r="R1227" s="45" t="n"/>
      <c r="S1227" s="20">
        <f>IFERROR(IF(OR($R1227="",$C1227=""),"",$R1227/INDEX(DESPACHOS!$M$3:$M$3002,MATCH($C1227,DESPACHOS!$B$3:$B$3002,0))),"")</f>
        <v/>
      </c>
      <c r="T1227" s="41" t="n"/>
      <c r="U1227" s="43">
        <f>IF(OR($B1227="",$L1227=""),"",WORKDAY($B1227,IFERROR(INDEX(LISTAS!$C$3:$C$42,MATCH($L1227,LISTAS!$A$3:$A$42,0)),3)))</f>
        <v/>
      </c>
      <c r="V1227" s="40" t="n"/>
      <c r="W1227" s="19">
        <f>IF($B1227="","",IF($V1227&lt;&gt;"",$V1227-$B1227,TODAY()-$B1227))</f>
        <v/>
      </c>
      <c r="X1227" s="19">
        <f>IF(OR($B1227="",$U1227=""),"",IF($V1227&lt;&gt;"",MAX(0,$V1227-$U1227),MAX(0,TODAY()-$U1227)))</f>
        <v/>
      </c>
      <c r="Y1227" s="39">
        <f>IF($C1227="","",IF(IFERROR(INDEX(LISTAS!$I$3:$I$42,MATCH($T1227,LISTAS!$H$3:$H$42,0)),"NO")="SÍ",IF(N($X1227)&gt;0,"CERRADA FUERA DE SLA","CERRADA EN SLA"),IF($U1227="","SIN CLASIFICAR",IF(N($X1227)&gt;0,"VENCIDA",IF(TODAY()&gt;=$U1227-1,"POR VENCER","EN PLAZO")))))</f>
        <v/>
      </c>
      <c r="Z1227" s="41" t="n"/>
      <c r="AA1227" s="41" t="n"/>
      <c r="AB1227" s="41" t="n"/>
    </row>
    <row r="1228">
      <c r="A1228" s="39">
        <f>IF($C1228="","","NOV-"&amp;TEXT(ROW()-3,"0000"))</f>
        <v/>
      </c>
      <c r="B1228" s="40" t="n"/>
      <c r="C1228" s="41" t="n"/>
      <c r="D1228" s="42">
        <f>IF($C1228="","",IFERROR(INDEX(DESPACHOS!$D$3:$D$3002,MATCH($C1228,DESPACHOS!$B$3:$B$3002,0)),"SIN DESPACHO"))</f>
        <v/>
      </c>
      <c r="E1228" s="42">
        <f>IF($C1228="","",IFERROR(INDEX(DESPACHOS!$K$3:$K$3002,MATCH($C1228,DESPACHOS!$B$3:$B$3002,0)),""))</f>
        <v/>
      </c>
      <c r="F1228" s="42">
        <f>IF($C1228="","",IFERROR(INDEX(DESPACHOS!$I$3:$I$3002,MATCH($C1228,DESPACHOS!$B$3:$B$3002,0)),""))</f>
        <v/>
      </c>
      <c r="G1228" s="42">
        <f>IF($C1228="","",IFERROR(INDEX(DESPACHOS!$F$3:$F$3002,MATCH($C1228,DESPACHOS!$B$3:$B$3002,0)),""))</f>
        <v/>
      </c>
      <c r="H1228" s="42">
        <f>IF($C1228="","",IFERROR(INDEX(DESPACHOS!$G$3:$G$3002,MATCH($C1228,DESPACHOS!$B$3:$B$3002,0)),""))</f>
        <v/>
      </c>
      <c r="I1228" s="39">
        <f>IF($C1228="","",IFERROR(INDEX(DESPACHOS!$H$3:$H$3002,MATCH($C1228,DESPACHOS!$B$3:$B$3002,0)),""))</f>
        <v/>
      </c>
      <c r="J1228" s="43">
        <f>IF($C1228="","",IFERROR(INDEX(DESPACHOS!$J$3:$J$3002,MATCH($C1228,DESPACHOS!$B$3:$B$3002,0)),""))</f>
        <v/>
      </c>
      <c r="K1228" s="39">
        <f>IF($C1228="","",IF(COUNTIFS(DESPACHOS!$B$3:$B$3002,$C1228)=0,"NO EXISTE",IF(COUNTIFS(DESPACHOS!$B$3:$B$3002,$C1228)&gt;1,"DUPLICADO","OK")))</f>
        <v/>
      </c>
      <c r="L1228" s="41" t="n"/>
      <c r="M1228" s="41" t="n"/>
      <c r="N1228" s="42">
        <f>IF($M1228="","",IFERROR(INDEX(LISTAS!$F$3:$F$42,MATCH($M1228,LISTAS!$E$3:$E$42,0)),"Por definir"))</f>
        <v/>
      </c>
      <c r="O1228" s="41" t="n"/>
      <c r="P1228" s="39">
        <f>IF($L1228="","",IFERROR(INDEX(LISTAS!$B$3:$B$42,MATCH($L1228,LISTAS!$A$3:$A$42,0)),"Media"))</f>
        <v/>
      </c>
      <c r="Q1228" s="44" t="n"/>
      <c r="R1228" s="45" t="n"/>
      <c r="S1228" s="20">
        <f>IFERROR(IF(OR($R1228="",$C1228=""),"",$R1228/INDEX(DESPACHOS!$M$3:$M$3002,MATCH($C1228,DESPACHOS!$B$3:$B$3002,0))),"")</f>
        <v/>
      </c>
      <c r="T1228" s="41" t="n"/>
      <c r="U1228" s="43">
        <f>IF(OR($B1228="",$L1228=""),"",WORKDAY($B1228,IFERROR(INDEX(LISTAS!$C$3:$C$42,MATCH($L1228,LISTAS!$A$3:$A$42,0)),3)))</f>
        <v/>
      </c>
      <c r="V1228" s="40" t="n"/>
      <c r="W1228" s="19">
        <f>IF($B1228="","",IF($V1228&lt;&gt;"",$V1228-$B1228,TODAY()-$B1228))</f>
        <v/>
      </c>
      <c r="X1228" s="19">
        <f>IF(OR($B1228="",$U1228=""),"",IF($V1228&lt;&gt;"",MAX(0,$V1228-$U1228),MAX(0,TODAY()-$U1228)))</f>
        <v/>
      </c>
      <c r="Y1228" s="39">
        <f>IF($C1228="","",IF(IFERROR(INDEX(LISTAS!$I$3:$I$42,MATCH($T1228,LISTAS!$H$3:$H$42,0)),"NO")="SÍ",IF(N($X1228)&gt;0,"CERRADA FUERA DE SLA","CERRADA EN SLA"),IF($U1228="","SIN CLASIFICAR",IF(N($X1228)&gt;0,"VENCIDA",IF(TODAY()&gt;=$U1228-1,"POR VENCER","EN PLAZO")))))</f>
        <v/>
      </c>
      <c r="Z1228" s="41" t="n"/>
      <c r="AA1228" s="41" t="n"/>
      <c r="AB1228" s="41" t="n"/>
    </row>
    <row r="1229">
      <c r="A1229" s="39">
        <f>IF($C1229="","","NOV-"&amp;TEXT(ROW()-3,"0000"))</f>
        <v/>
      </c>
      <c r="B1229" s="40" t="n"/>
      <c r="C1229" s="41" t="n"/>
      <c r="D1229" s="42">
        <f>IF($C1229="","",IFERROR(INDEX(DESPACHOS!$D$3:$D$3002,MATCH($C1229,DESPACHOS!$B$3:$B$3002,0)),"SIN DESPACHO"))</f>
        <v/>
      </c>
      <c r="E1229" s="42">
        <f>IF($C1229="","",IFERROR(INDEX(DESPACHOS!$K$3:$K$3002,MATCH($C1229,DESPACHOS!$B$3:$B$3002,0)),""))</f>
        <v/>
      </c>
      <c r="F1229" s="42">
        <f>IF($C1229="","",IFERROR(INDEX(DESPACHOS!$I$3:$I$3002,MATCH($C1229,DESPACHOS!$B$3:$B$3002,0)),""))</f>
        <v/>
      </c>
      <c r="G1229" s="42">
        <f>IF($C1229="","",IFERROR(INDEX(DESPACHOS!$F$3:$F$3002,MATCH($C1229,DESPACHOS!$B$3:$B$3002,0)),""))</f>
        <v/>
      </c>
      <c r="H1229" s="42">
        <f>IF($C1229="","",IFERROR(INDEX(DESPACHOS!$G$3:$G$3002,MATCH($C1229,DESPACHOS!$B$3:$B$3002,0)),""))</f>
        <v/>
      </c>
      <c r="I1229" s="39">
        <f>IF($C1229="","",IFERROR(INDEX(DESPACHOS!$H$3:$H$3002,MATCH($C1229,DESPACHOS!$B$3:$B$3002,0)),""))</f>
        <v/>
      </c>
      <c r="J1229" s="43">
        <f>IF($C1229="","",IFERROR(INDEX(DESPACHOS!$J$3:$J$3002,MATCH($C1229,DESPACHOS!$B$3:$B$3002,0)),""))</f>
        <v/>
      </c>
      <c r="K1229" s="39">
        <f>IF($C1229="","",IF(COUNTIFS(DESPACHOS!$B$3:$B$3002,$C1229)=0,"NO EXISTE",IF(COUNTIFS(DESPACHOS!$B$3:$B$3002,$C1229)&gt;1,"DUPLICADO","OK")))</f>
        <v/>
      </c>
      <c r="L1229" s="41" t="n"/>
      <c r="M1229" s="41" t="n"/>
      <c r="N1229" s="42">
        <f>IF($M1229="","",IFERROR(INDEX(LISTAS!$F$3:$F$42,MATCH($M1229,LISTAS!$E$3:$E$42,0)),"Por definir"))</f>
        <v/>
      </c>
      <c r="O1229" s="41" t="n"/>
      <c r="P1229" s="39">
        <f>IF($L1229="","",IFERROR(INDEX(LISTAS!$B$3:$B$42,MATCH($L1229,LISTAS!$A$3:$A$42,0)),"Media"))</f>
        <v/>
      </c>
      <c r="Q1229" s="44" t="n"/>
      <c r="R1229" s="45" t="n"/>
      <c r="S1229" s="20">
        <f>IFERROR(IF(OR($R1229="",$C1229=""),"",$R1229/INDEX(DESPACHOS!$M$3:$M$3002,MATCH($C1229,DESPACHOS!$B$3:$B$3002,0))),"")</f>
        <v/>
      </c>
      <c r="T1229" s="41" t="n"/>
      <c r="U1229" s="43">
        <f>IF(OR($B1229="",$L1229=""),"",WORKDAY($B1229,IFERROR(INDEX(LISTAS!$C$3:$C$42,MATCH($L1229,LISTAS!$A$3:$A$42,0)),3)))</f>
        <v/>
      </c>
      <c r="V1229" s="40" t="n"/>
      <c r="W1229" s="19">
        <f>IF($B1229="","",IF($V1229&lt;&gt;"",$V1229-$B1229,TODAY()-$B1229))</f>
        <v/>
      </c>
      <c r="X1229" s="19">
        <f>IF(OR($B1229="",$U1229=""),"",IF($V1229&lt;&gt;"",MAX(0,$V1229-$U1229),MAX(0,TODAY()-$U1229)))</f>
        <v/>
      </c>
      <c r="Y1229" s="39">
        <f>IF($C1229="","",IF(IFERROR(INDEX(LISTAS!$I$3:$I$42,MATCH($T1229,LISTAS!$H$3:$H$42,0)),"NO")="SÍ",IF(N($X1229)&gt;0,"CERRADA FUERA DE SLA","CERRADA EN SLA"),IF($U1229="","SIN CLASIFICAR",IF(N($X1229)&gt;0,"VENCIDA",IF(TODAY()&gt;=$U1229-1,"POR VENCER","EN PLAZO")))))</f>
        <v/>
      </c>
      <c r="Z1229" s="41" t="n"/>
      <c r="AA1229" s="41" t="n"/>
      <c r="AB1229" s="41" t="n"/>
    </row>
    <row r="1230">
      <c r="A1230" s="39">
        <f>IF($C1230="","","NOV-"&amp;TEXT(ROW()-3,"0000"))</f>
        <v/>
      </c>
      <c r="B1230" s="40" t="n"/>
      <c r="C1230" s="41" t="n"/>
      <c r="D1230" s="42">
        <f>IF($C1230="","",IFERROR(INDEX(DESPACHOS!$D$3:$D$3002,MATCH($C1230,DESPACHOS!$B$3:$B$3002,0)),"SIN DESPACHO"))</f>
        <v/>
      </c>
      <c r="E1230" s="42">
        <f>IF($C1230="","",IFERROR(INDEX(DESPACHOS!$K$3:$K$3002,MATCH($C1230,DESPACHOS!$B$3:$B$3002,0)),""))</f>
        <v/>
      </c>
      <c r="F1230" s="42">
        <f>IF($C1230="","",IFERROR(INDEX(DESPACHOS!$I$3:$I$3002,MATCH($C1230,DESPACHOS!$B$3:$B$3002,0)),""))</f>
        <v/>
      </c>
      <c r="G1230" s="42">
        <f>IF($C1230="","",IFERROR(INDEX(DESPACHOS!$F$3:$F$3002,MATCH($C1230,DESPACHOS!$B$3:$B$3002,0)),""))</f>
        <v/>
      </c>
      <c r="H1230" s="42">
        <f>IF($C1230="","",IFERROR(INDEX(DESPACHOS!$G$3:$G$3002,MATCH($C1230,DESPACHOS!$B$3:$B$3002,0)),""))</f>
        <v/>
      </c>
      <c r="I1230" s="39">
        <f>IF($C1230="","",IFERROR(INDEX(DESPACHOS!$H$3:$H$3002,MATCH($C1230,DESPACHOS!$B$3:$B$3002,0)),""))</f>
        <v/>
      </c>
      <c r="J1230" s="43">
        <f>IF($C1230="","",IFERROR(INDEX(DESPACHOS!$J$3:$J$3002,MATCH($C1230,DESPACHOS!$B$3:$B$3002,0)),""))</f>
        <v/>
      </c>
      <c r="K1230" s="39">
        <f>IF($C1230="","",IF(COUNTIFS(DESPACHOS!$B$3:$B$3002,$C1230)=0,"NO EXISTE",IF(COUNTIFS(DESPACHOS!$B$3:$B$3002,$C1230)&gt;1,"DUPLICADO","OK")))</f>
        <v/>
      </c>
      <c r="L1230" s="41" t="n"/>
      <c r="M1230" s="41" t="n"/>
      <c r="N1230" s="42">
        <f>IF($M1230="","",IFERROR(INDEX(LISTAS!$F$3:$F$42,MATCH($M1230,LISTAS!$E$3:$E$42,0)),"Por definir"))</f>
        <v/>
      </c>
      <c r="O1230" s="41" t="n"/>
      <c r="P1230" s="39">
        <f>IF($L1230="","",IFERROR(INDEX(LISTAS!$B$3:$B$42,MATCH($L1230,LISTAS!$A$3:$A$42,0)),"Media"))</f>
        <v/>
      </c>
      <c r="Q1230" s="44" t="n"/>
      <c r="R1230" s="45" t="n"/>
      <c r="S1230" s="20">
        <f>IFERROR(IF(OR($R1230="",$C1230=""),"",$R1230/INDEX(DESPACHOS!$M$3:$M$3002,MATCH($C1230,DESPACHOS!$B$3:$B$3002,0))),"")</f>
        <v/>
      </c>
      <c r="T1230" s="41" t="n"/>
      <c r="U1230" s="43">
        <f>IF(OR($B1230="",$L1230=""),"",WORKDAY($B1230,IFERROR(INDEX(LISTAS!$C$3:$C$42,MATCH($L1230,LISTAS!$A$3:$A$42,0)),3)))</f>
        <v/>
      </c>
      <c r="V1230" s="40" t="n"/>
      <c r="W1230" s="19">
        <f>IF($B1230="","",IF($V1230&lt;&gt;"",$V1230-$B1230,TODAY()-$B1230))</f>
        <v/>
      </c>
      <c r="X1230" s="19">
        <f>IF(OR($B1230="",$U1230=""),"",IF($V1230&lt;&gt;"",MAX(0,$V1230-$U1230),MAX(0,TODAY()-$U1230)))</f>
        <v/>
      </c>
      <c r="Y1230" s="39">
        <f>IF($C1230="","",IF(IFERROR(INDEX(LISTAS!$I$3:$I$42,MATCH($T1230,LISTAS!$H$3:$H$42,0)),"NO")="SÍ",IF(N($X1230)&gt;0,"CERRADA FUERA DE SLA","CERRADA EN SLA"),IF($U1230="","SIN CLASIFICAR",IF(N($X1230)&gt;0,"VENCIDA",IF(TODAY()&gt;=$U1230-1,"POR VENCER","EN PLAZO")))))</f>
        <v/>
      </c>
      <c r="Z1230" s="41" t="n"/>
      <c r="AA1230" s="41" t="n"/>
      <c r="AB1230" s="41" t="n"/>
    </row>
    <row r="1231">
      <c r="A1231" s="39">
        <f>IF($C1231="","","NOV-"&amp;TEXT(ROW()-3,"0000"))</f>
        <v/>
      </c>
      <c r="B1231" s="40" t="n"/>
      <c r="C1231" s="41" t="n"/>
      <c r="D1231" s="42">
        <f>IF($C1231="","",IFERROR(INDEX(DESPACHOS!$D$3:$D$3002,MATCH($C1231,DESPACHOS!$B$3:$B$3002,0)),"SIN DESPACHO"))</f>
        <v/>
      </c>
      <c r="E1231" s="42">
        <f>IF($C1231="","",IFERROR(INDEX(DESPACHOS!$K$3:$K$3002,MATCH($C1231,DESPACHOS!$B$3:$B$3002,0)),""))</f>
        <v/>
      </c>
      <c r="F1231" s="42">
        <f>IF($C1231="","",IFERROR(INDEX(DESPACHOS!$I$3:$I$3002,MATCH($C1231,DESPACHOS!$B$3:$B$3002,0)),""))</f>
        <v/>
      </c>
      <c r="G1231" s="42">
        <f>IF($C1231="","",IFERROR(INDEX(DESPACHOS!$F$3:$F$3002,MATCH($C1231,DESPACHOS!$B$3:$B$3002,0)),""))</f>
        <v/>
      </c>
      <c r="H1231" s="42">
        <f>IF($C1231="","",IFERROR(INDEX(DESPACHOS!$G$3:$G$3002,MATCH($C1231,DESPACHOS!$B$3:$B$3002,0)),""))</f>
        <v/>
      </c>
      <c r="I1231" s="39">
        <f>IF($C1231="","",IFERROR(INDEX(DESPACHOS!$H$3:$H$3002,MATCH($C1231,DESPACHOS!$B$3:$B$3002,0)),""))</f>
        <v/>
      </c>
      <c r="J1231" s="43">
        <f>IF($C1231="","",IFERROR(INDEX(DESPACHOS!$J$3:$J$3002,MATCH($C1231,DESPACHOS!$B$3:$B$3002,0)),""))</f>
        <v/>
      </c>
      <c r="K1231" s="39">
        <f>IF($C1231="","",IF(COUNTIFS(DESPACHOS!$B$3:$B$3002,$C1231)=0,"NO EXISTE",IF(COUNTIFS(DESPACHOS!$B$3:$B$3002,$C1231)&gt;1,"DUPLICADO","OK")))</f>
        <v/>
      </c>
      <c r="L1231" s="41" t="n"/>
      <c r="M1231" s="41" t="n"/>
      <c r="N1231" s="42">
        <f>IF($M1231="","",IFERROR(INDEX(LISTAS!$F$3:$F$42,MATCH($M1231,LISTAS!$E$3:$E$42,0)),"Por definir"))</f>
        <v/>
      </c>
      <c r="O1231" s="41" t="n"/>
      <c r="P1231" s="39">
        <f>IF($L1231="","",IFERROR(INDEX(LISTAS!$B$3:$B$42,MATCH($L1231,LISTAS!$A$3:$A$42,0)),"Media"))</f>
        <v/>
      </c>
      <c r="Q1231" s="44" t="n"/>
      <c r="R1231" s="45" t="n"/>
      <c r="S1231" s="20">
        <f>IFERROR(IF(OR($R1231="",$C1231=""),"",$R1231/INDEX(DESPACHOS!$M$3:$M$3002,MATCH($C1231,DESPACHOS!$B$3:$B$3002,0))),"")</f>
        <v/>
      </c>
      <c r="T1231" s="41" t="n"/>
      <c r="U1231" s="43">
        <f>IF(OR($B1231="",$L1231=""),"",WORKDAY($B1231,IFERROR(INDEX(LISTAS!$C$3:$C$42,MATCH($L1231,LISTAS!$A$3:$A$42,0)),3)))</f>
        <v/>
      </c>
      <c r="V1231" s="40" t="n"/>
      <c r="W1231" s="19">
        <f>IF($B1231="","",IF($V1231&lt;&gt;"",$V1231-$B1231,TODAY()-$B1231))</f>
        <v/>
      </c>
      <c r="X1231" s="19">
        <f>IF(OR($B1231="",$U1231=""),"",IF($V1231&lt;&gt;"",MAX(0,$V1231-$U1231),MAX(0,TODAY()-$U1231)))</f>
        <v/>
      </c>
      <c r="Y1231" s="39">
        <f>IF($C1231="","",IF(IFERROR(INDEX(LISTAS!$I$3:$I$42,MATCH($T1231,LISTAS!$H$3:$H$42,0)),"NO")="SÍ",IF(N($X1231)&gt;0,"CERRADA FUERA DE SLA","CERRADA EN SLA"),IF($U1231="","SIN CLASIFICAR",IF(N($X1231)&gt;0,"VENCIDA",IF(TODAY()&gt;=$U1231-1,"POR VENCER","EN PLAZO")))))</f>
        <v/>
      </c>
      <c r="Z1231" s="41" t="n"/>
      <c r="AA1231" s="41" t="n"/>
      <c r="AB1231" s="41" t="n"/>
    </row>
    <row r="1232">
      <c r="A1232" s="39">
        <f>IF($C1232="","","NOV-"&amp;TEXT(ROW()-3,"0000"))</f>
        <v/>
      </c>
      <c r="B1232" s="40" t="n"/>
      <c r="C1232" s="41" t="n"/>
      <c r="D1232" s="42">
        <f>IF($C1232="","",IFERROR(INDEX(DESPACHOS!$D$3:$D$3002,MATCH($C1232,DESPACHOS!$B$3:$B$3002,0)),"SIN DESPACHO"))</f>
        <v/>
      </c>
      <c r="E1232" s="42">
        <f>IF($C1232="","",IFERROR(INDEX(DESPACHOS!$K$3:$K$3002,MATCH($C1232,DESPACHOS!$B$3:$B$3002,0)),""))</f>
        <v/>
      </c>
      <c r="F1232" s="42">
        <f>IF($C1232="","",IFERROR(INDEX(DESPACHOS!$I$3:$I$3002,MATCH($C1232,DESPACHOS!$B$3:$B$3002,0)),""))</f>
        <v/>
      </c>
      <c r="G1232" s="42">
        <f>IF($C1232="","",IFERROR(INDEX(DESPACHOS!$F$3:$F$3002,MATCH($C1232,DESPACHOS!$B$3:$B$3002,0)),""))</f>
        <v/>
      </c>
      <c r="H1232" s="42">
        <f>IF($C1232="","",IFERROR(INDEX(DESPACHOS!$G$3:$G$3002,MATCH($C1232,DESPACHOS!$B$3:$B$3002,0)),""))</f>
        <v/>
      </c>
      <c r="I1232" s="39">
        <f>IF($C1232="","",IFERROR(INDEX(DESPACHOS!$H$3:$H$3002,MATCH($C1232,DESPACHOS!$B$3:$B$3002,0)),""))</f>
        <v/>
      </c>
      <c r="J1232" s="43">
        <f>IF($C1232="","",IFERROR(INDEX(DESPACHOS!$J$3:$J$3002,MATCH($C1232,DESPACHOS!$B$3:$B$3002,0)),""))</f>
        <v/>
      </c>
      <c r="K1232" s="39">
        <f>IF($C1232="","",IF(COUNTIFS(DESPACHOS!$B$3:$B$3002,$C1232)=0,"NO EXISTE",IF(COUNTIFS(DESPACHOS!$B$3:$B$3002,$C1232)&gt;1,"DUPLICADO","OK")))</f>
        <v/>
      </c>
      <c r="L1232" s="41" t="n"/>
      <c r="M1232" s="41" t="n"/>
      <c r="N1232" s="42">
        <f>IF($M1232="","",IFERROR(INDEX(LISTAS!$F$3:$F$42,MATCH($M1232,LISTAS!$E$3:$E$42,0)),"Por definir"))</f>
        <v/>
      </c>
      <c r="O1232" s="41" t="n"/>
      <c r="P1232" s="39">
        <f>IF($L1232="","",IFERROR(INDEX(LISTAS!$B$3:$B$42,MATCH($L1232,LISTAS!$A$3:$A$42,0)),"Media"))</f>
        <v/>
      </c>
      <c r="Q1232" s="44" t="n"/>
      <c r="R1232" s="45" t="n"/>
      <c r="S1232" s="20">
        <f>IFERROR(IF(OR($R1232="",$C1232=""),"",$R1232/INDEX(DESPACHOS!$M$3:$M$3002,MATCH($C1232,DESPACHOS!$B$3:$B$3002,0))),"")</f>
        <v/>
      </c>
      <c r="T1232" s="41" t="n"/>
      <c r="U1232" s="43">
        <f>IF(OR($B1232="",$L1232=""),"",WORKDAY($B1232,IFERROR(INDEX(LISTAS!$C$3:$C$42,MATCH($L1232,LISTAS!$A$3:$A$42,0)),3)))</f>
        <v/>
      </c>
      <c r="V1232" s="40" t="n"/>
      <c r="W1232" s="19">
        <f>IF($B1232="","",IF($V1232&lt;&gt;"",$V1232-$B1232,TODAY()-$B1232))</f>
        <v/>
      </c>
      <c r="X1232" s="19">
        <f>IF(OR($B1232="",$U1232=""),"",IF($V1232&lt;&gt;"",MAX(0,$V1232-$U1232),MAX(0,TODAY()-$U1232)))</f>
        <v/>
      </c>
      <c r="Y1232" s="39">
        <f>IF($C1232="","",IF(IFERROR(INDEX(LISTAS!$I$3:$I$42,MATCH($T1232,LISTAS!$H$3:$H$42,0)),"NO")="SÍ",IF(N($X1232)&gt;0,"CERRADA FUERA DE SLA","CERRADA EN SLA"),IF($U1232="","SIN CLASIFICAR",IF(N($X1232)&gt;0,"VENCIDA",IF(TODAY()&gt;=$U1232-1,"POR VENCER","EN PLAZO")))))</f>
        <v/>
      </c>
      <c r="Z1232" s="41" t="n"/>
      <c r="AA1232" s="41" t="n"/>
      <c r="AB1232" s="41" t="n"/>
    </row>
    <row r="1233">
      <c r="A1233" s="39">
        <f>IF($C1233="","","NOV-"&amp;TEXT(ROW()-3,"0000"))</f>
        <v/>
      </c>
      <c r="B1233" s="40" t="n"/>
      <c r="C1233" s="41" t="n"/>
      <c r="D1233" s="42">
        <f>IF($C1233="","",IFERROR(INDEX(DESPACHOS!$D$3:$D$3002,MATCH($C1233,DESPACHOS!$B$3:$B$3002,0)),"SIN DESPACHO"))</f>
        <v/>
      </c>
      <c r="E1233" s="42">
        <f>IF($C1233="","",IFERROR(INDEX(DESPACHOS!$K$3:$K$3002,MATCH($C1233,DESPACHOS!$B$3:$B$3002,0)),""))</f>
        <v/>
      </c>
      <c r="F1233" s="42">
        <f>IF($C1233="","",IFERROR(INDEX(DESPACHOS!$I$3:$I$3002,MATCH($C1233,DESPACHOS!$B$3:$B$3002,0)),""))</f>
        <v/>
      </c>
      <c r="G1233" s="42">
        <f>IF($C1233="","",IFERROR(INDEX(DESPACHOS!$F$3:$F$3002,MATCH($C1233,DESPACHOS!$B$3:$B$3002,0)),""))</f>
        <v/>
      </c>
      <c r="H1233" s="42">
        <f>IF($C1233="","",IFERROR(INDEX(DESPACHOS!$G$3:$G$3002,MATCH($C1233,DESPACHOS!$B$3:$B$3002,0)),""))</f>
        <v/>
      </c>
      <c r="I1233" s="39">
        <f>IF($C1233="","",IFERROR(INDEX(DESPACHOS!$H$3:$H$3002,MATCH($C1233,DESPACHOS!$B$3:$B$3002,0)),""))</f>
        <v/>
      </c>
      <c r="J1233" s="43">
        <f>IF($C1233="","",IFERROR(INDEX(DESPACHOS!$J$3:$J$3002,MATCH($C1233,DESPACHOS!$B$3:$B$3002,0)),""))</f>
        <v/>
      </c>
      <c r="K1233" s="39">
        <f>IF($C1233="","",IF(COUNTIFS(DESPACHOS!$B$3:$B$3002,$C1233)=0,"NO EXISTE",IF(COUNTIFS(DESPACHOS!$B$3:$B$3002,$C1233)&gt;1,"DUPLICADO","OK")))</f>
        <v/>
      </c>
      <c r="L1233" s="41" t="n"/>
      <c r="M1233" s="41" t="n"/>
      <c r="N1233" s="42">
        <f>IF($M1233="","",IFERROR(INDEX(LISTAS!$F$3:$F$42,MATCH($M1233,LISTAS!$E$3:$E$42,0)),"Por definir"))</f>
        <v/>
      </c>
      <c r="O1233" s="41" t="n"/>
      <c r="P1233" s="39">
        <f>IF($L1233="","",IFERROR(INDEX(LISTAS!$B$3:$B$42,MATCH($L1233,LISTAS!$A$3:$A$42,0)),"Media"))</f>
        <v/>
      </c>
      <c r="Q1233" s="44" t="n"/>
      <c r="R1233" s="45" t="n"/>
      <c r="S1233" s="20">
        <f>IFERROR(IF(OR($R1233="",$C1233=""),"",$R1233/INDEX(DESPACHOS!$M$3:$M$3002,MATCH($C1233,DESPACHOS!$B$3:$B$3002,0))),"")</f>
        <v/>
      </c>
      <c r="T1233" s="41" t="n"/>
      <c r="U1233" s="43">
        <f>IF(OR($B1233="",$L1233=""),"",WORKDAY($B1233,IFERROR(INDEX(LISTAS!$C$3:$C$42,MATCH($L1233,LISTAS!$A$3:$A$42,0)),3)))</f>
        <v/>
      </c>
      <c r="V1233" s="40" t="n"/>
      <c r="W1233" s="19">
        <f>IF($B1233="","",IF($V1233&lt;&gt;"",$V1233-$B1233,TODAY()-$B1233))</f>
        <v/>
      </c>
      <c r="X1233" s="19">
        <f>IF(OR($B1233="",$U1233=""),"",IF($V1233&lt;&gt;"",MAX(0,$V1233-$U1233),MAX(0,TODAY()-$U1233)))</f>
        <v/>
      </c>
      <c r="Y1233" s="39">
        <f>IF($C1233="","",IF(IFERROR(INDEX(LISTAS!$I$3:$I$42,MATCH($T1233,LISTAS!$H$3:$H$42,0)),"NO")="SÍ",IF(N($X1233)&gt;0,"CERRADA FUERA DE SLA","CERRADA EN SLA"),IF($U1233="","SIN CLASIFICAR",IF(N($X1233)&gt;0,"VENCIDA",IF(TODAY()&gt;=$U1233-1,"POR VENCER","EN PLAZO")))))</f>
        <v/>
      </c>
      <c r="Z1233" s="41" t="n"/>
      <c r="AA1233" s="41" t="n"/>
      <c r="AB1233" s="41" t="n"/>
    </row>
    <row r="1234">
      <c r="A1234" s="39">
        <f>IF($C1234="","","NOV-"&amp;TEXT(ROW()-3,"0000"))</f>
        <v/>
      </c>
      <c r="B1234" s="40" t="n"/>
      <c r="C1234" s="41" t="n"/>
      <c r="D1234" s="42">
        <f>IF($C1234="","",IFERROR(INDEX(DESPACHOS!$D$3:$D$3002,MATCH($C1234,DESPACHOS!$B$3:$B$3002,0)),"SIN DESPACHO"))</f>
        <v/>
      </c>
      <c r="E1234" s="42">
        <f>IF($C1234="","",IFERROR(INDEX(DESPACHOS!$K$3:$K$3002,MATCH($C1234,DESPACHOS!$B$3:$B$3002,0)),""))</f>
        <v/>
      </c>
      <c r="F1234" s="42">
        <f>IF($C1234="","",IFERROR(INDEX(DESPACHOS!$I$3:$I$3002,MATCH($C1234,DESPACHOS!$B$3:$B$3002,0)),""))</f>
        <v/>
      </c>
      <c r="G1234" s="42">
        <f>IF($C1234="","",IFERROR(INDEX(DESPACHOS!$F$3:$F$3002,MATCH($C1234,DESPACHOS!$B$3:$B$3002,0)),""))</f>
        <v/>
      </c>
      <c r="H1234" s="42">
        <f>IF($C1234="","",IFERROR(INDEX(DESPACHOS!$G$3:$G$3002,MATCH($C1234,DESPACHOS!$B$3:$B$3002,0)),""))</f>
        <v/>
      </c>
      <c r="I1234" s="39">
        <f>IF($C1234="","",IFERROR(INDEX(DESPACHOS!$H$3:$H$3002,MATCH($C1234,DESPACHOS!$B$3:$B$3002,0)),""))</f>
        <v/>
      </c>
      <c r="J1234" s="43">
        <f>IF($C1234="","",IFERROR(INDEX(DESPACHOS!$J$3:$J$3002,MATCH($C1234,DESPACHOS!$B$3:$B$3002,0)),""))</f>
        <v/>
      </c>
      <c r="K1234" s="39">
        <f>IF($C1234="","",IF(COUNTIFS(DESPACHOS!$B$3:$B$3002,$C1234)=0,"NO EXISTE",IF(COUNTIFS(DESPACHOS!$B$3:$B$3002,$C1234)&gt;1,"DUPLICADO","OK")))</f>
        <v/>
      </c>
      <c r="L1234" s="41" t="n"/>
      <c r="M1234" s="41" t="n"/>
      <c r="N1234" s="42">
        <f>IF($M1234="","",IFERROR(INDEX(LISTAS!$F$3:$F$42,MATCH($M1234,LISTAS!$E$3:$E$42,0)),"Por definir"))</f>
        <v/>
      </c>
      <c r="O1234" s="41" t="n"/>
      <c r="P1234" s="39">
        <f>IF($L1234="","",IFERROR(INDEX(LISTAS!$B$3:$B$42,MATCH($L1234,LISTAS!$A$3:$A$42,0)),"Media"))</f>
        <v/>
      </c>
      <c r="Q1234" s="44" t="n"/>
      <c r="R1234" s="45" t="n"/>
      <c r="S1234" s="20">
        <f>IFERROR(IF(OR($R1234="",$C1234=""),"",$R1234/INDEX(DESPACHOS!$M$3:$M$3002,MATCH($C1234,DESPACHOS!$B$3:$B$3002,0))),"")</f>
        <v/>
      </c>
      <c r="T1234" s="41" t="n"/>
      <c r="U1234" s="43">
        <f>IF(OR($B1234="",$L1234=""),"",WORKDAY($B1234,IFERROR(INDEX(LISTAS!$C$3:$C$42,MATCH($L1234,LISTAS!$A$3:$A$42,0)),3)))</f>
        <v/>
      </c>
      <c r="V1234" s="40" t="n"/>
      <c r="W1234" s="19">
        <f>IF($B1234="","",IF($V1234&lt;&gt;"",$V1234-$B1234,TODAY()-$B1234))</f>
        <v/>
      </c>
      <c r="X1234" s="19">
        <f>IF(OR($B1234="",$U1234=""),"",IF($V1234&lt;&gt;"",MAX(0,$V1234-$U1234),MAX(0,TODAY()-$U1234)))</f>
        <v/>
      </c>
      <c r="Y1234" s="39">
        <f>IF($C1234="","",IF(IFERROR(INDEX(LISTAS!$I$3:$I$42,MATCH($T1234,LISTAS!$H$3:$H$42,0)),"NO")="SÍ",IF(N($X1234)&gt;0,"CERRADA FUERA DE SLA","CERRADA EN SLA"),IF($U1234="","SIN CLASIFICAR",IF(N($X1234)&gt;0,"VENCIDA",IF(TODAY()&gt;=$U1234-1,"POR VENCER","EN PLAZO")))))</f>
        <v/>
      </c>
      <c r="Z1234" s="41" t="n"/>
      <c r="AA1234" s="41" t="n"/>
      <c r="AB1234" s="41" t="n"/>
    </row>
    <row r="1235">
      <c r="A1235" s="39">
        <f>IF($C1235="","","NOV-"&amp;TEXT(ROW()-3,"0000"))</f>
        <v/>
      </c>
      <c r="B1235" s="40" t="n"/>
      <c r="C1235" s="41" t="n"/>
      <c r="D1235" s="42">
        <f>IF($C1235="","",IFERROR(INDEX(DESPACHOS!$D$3:$D$3002,MATCH($C1235,DESPACHOS!$B$3:$B$3002,0)),"SIN DESPACHO"))</f>
        <v/>
      </c>
      <c r="E1235" s="42">
        <f>IF($C1235="","",IFERROR(INDEX(DESPACHOS!$K$3:$K$3002,MATCH($C1235,DESPACHOS!$B$3:$B$3002,0)),""))</f>
        <v/>
      </c>
      <c r="F1235" s="42">
        <f>IF($C1235="","",IFERROR(INDEX(DESPACHOS!$I$3:$I$3002,MATCH($C1235,DESPACHOS!$B$3:$B$3002,0)),""))</f>
        <v/>
      </c>
      <c r="G1235" s="42">
        <f>IF($C1235="","",IFERROR(INDEX(DESPACHOS!$F$3:$F$3002,MATCH($C1235,DESPACHOS!$B$3:$B$3002,0)),""))</f>
        <v/>
      </c>
      <c r="H1235" s="42">
        <f>IF($C1235="","",IFERROR(INDEX(DESPACHOS!$G$3:$G$3002,MATCH($C1235,DESPACHOS!$B$3:$B$3002,0)),""))</f>
        <v/>
      </c>
      <c r="I1235" s="39">
        <f>IF($C1235="","",IFERROR(INDEX(DESPACHOS!$H$3:$H$3002,MATCH($C1235,DESPACHOS!$B$3:$B$3002,0)),""))</f>
        <v/>
      </c>
      <c r="J1235" s="43">
        <f>IF($C1235="","",IFERROR(INDEX(DESPACHOS!$J$3:$J$3002,MATCH($C1235,DESPACHOS!$B$3:$B$3002,0)),""))</f>
        <v/>
      </c>
      <c r="K1235" s="39">
        <f>IF($C1235="","",IF(COUNTIFS(DESPACHOS!$B$3:$B$3002,$C1235)=0,"NO EXISTE",IF(COUNTIFS(DESPACHOS!$B$3:$B$3002,$C1235)&gt;1,"DUPLICADO","OK")))</f>
        <v/>
      </c>
      <c r="L1235" s="41" t="n"/>
      <c r="M1235" s="41" t="n"/>
      <c r="N1235" s="42">
        <f>IF($M1235="","",IFERROR(INDEX(LISTAS!$F$3:$F$42,MATCH($M1235,LISTAS!$E$3:$E$42,0)),"Por definir"))</f>
        <v/>
      </c>
      <c r="O1235" s="41" t="n"/>
      <c r="P1235" s="39">
        <f>IF($L1235="","",IFERROR(INDEX(LISTAS!$B$3:$B$42,MATCH($L1235,LISTAS!$A$3:$A$42,0)),"Media"))</f>
        <v/>
      </c>
      <c r="Q1235" s="44" t="n"/>
      <c r="R1235" s="45" t="n"/>
      <c r="S1235" s="20">
        <f>IFERROR(IF(OR($R1235="",$C1235=""),"",$R1235/INDEX(DESPACHOS!$M$3:$M$3002,MATCH($C1235,DESPACHOS!$B$3:$B$3002,0))),"")</f>
        <v/>
      </c>
      <c r="T1235" s="41" t="n"/>
      <c r="U1235" s="43">
        <f>IF(OR($B1235="",$L1235=""),"",WORKDAY($B1235,IFERROR(INDEX(LISTAS!$C$3:$C$42,MATCH($L1235,LISTAS!$A$3:$A$42,0)),3)))</f>
        <v/>
      </c>
      <c r="V1235" s="40" t="n"/>
      <c r="W1235" s="19">
        <f>IF($B1235="","",IF($V1235&lt;&gt;"",$V1235-$B1235,TODAY()-$B1235))</f>
        <v/>
      </c>
      <c r="X1235" s="19">
        <f>IF(OR($B1235="",$U1235=""),"",IF($V1235&lt;&gt;"",MAX(0,$V1235-$U1235),MAX(0,TODAY()-$U1235)))</f>
        <v/>
      </c>
      <c r="Y1235" s="39">
        <f>IF($C1235="","",IF(IFERROR(INDEX(LISTAS!$I$3:$I$42,MATCH($T1235,LISTAS!$H$3:$H$42,0)),"NO")="SÍ",IF(N($X1235)&gt;0,"CERRADA FUERA DE SLA","CERRADA EN SLA"),IF($U1235="","SIN CLASIFICAR",IF(N($X1235)&gt;0,"VENCIDA",IF(TODAY()&gt;=$U1235-1,"POR VENCER","EN PLAZO")))))</f>
        <v/>
      </c>
      <c r="Z1235" s="41" t="n"/>
      <c r="AA1235" s="41" t="n"/>
      <c r="AB1235" s="41" t="n"/>
    </row>
    <row r="1236">
      <c r="A1236" s="39">
        <f>IF($C1236="","","NOV-"&amp;TEXT(ROW()-3,"0000"))</f>
        <v/>
      </c>
      <c r="B1236" s="40" t="n"/>
      <c r="C1236" s="41" t="n"/>
      <c r="D1236" s="42">
        <f>IF($C1236="","",IFERROR(INDEX(DESPACHOS!$D$3:$D$3002,MATCH($C1236,DESPACHOS!$B$3:$B$3002,0)),"SIN DESPACHO"))</f>
        <v/>
      </c>
      <c r="E1236" s="42">
        <f>IF($C1236="","",IFERROR(INDEX(DESPACHOS!$K$3:$K$3002,MATCH($C1236,DESPACHOS!$B$3:$B$3002,0)),""))</f>
        <v/>
      </c>
      <c r="F1236" s="42">
        <f>IF($C1236="","",IFERROR(INDEX(DESPACHOS!$I$3:$I$3002,MATCH($C1236,DESPACHOS!$B$3:$B$3002,0)),""))</f>
        <v/>
      </c>
      <c r="G1236" s="42">
        <f>IF($C1236="","",IFERROR(INDEX(DESPACHOS!$F$3:$F$3002,MATCH($C1236,DESPACHOS!$B$3:$B$3002,0)),""))</f>
        <v/>
      </c>
      <c r="H1236" s="42">
        <f>IF($C1236="","",IFERROR(INDEX(DESPACHOS!$G$3:$G$3002,MATCH($C1236,DESPACHOS!$B$3:$B$3002,0)),""))</f>
        <v/>
      </c>
      <c r="I1236" s="39">
        <f>IF($C1236="","",IFERROR(INDEX(DESPACHOS!$H$3:$H$3002,MATCH($C1236,DESPACHOS!$B$3:$B$3002,0)),""))</f>
        <v/>
      </c>
      <c r="J1236" s="43">
        <f>IF($C1236="","",IFERROR(INDEX(DESPACHOS!$J$3:$J$3002,MATCH($C1236,DESPACHOS!$B$3:$B$3002,0)),""))</f>
        <v/>
      </c>
      <c r="K1236" s="39">
        <f>IF($C1236="","",IF(COUNTIFS(DESPACHOS!$B$3:$B$3002,$C1236)=0,"NO EXISTE",IF(COUNTIFS(DESPACHOS!$B$3:$B$3002,$C1236)&gt;1,"DUPLICADO","OK")))</f>
        <v/>
      </c>
      <c r="L1236" s="41" t="n"/>
      <c r="M1236" s="41" t="n"/>
      <c r="N1236" s="42">
        <f>IF($M1236="","",IFERROR(INDEX(LISTAS!$F$3:$F$42,MATCH($M1236,LISTAS!$E$3:$E$42,0)),"Por definir"))</f>
        <v/>
      </c>
      <c r="O1236" s="41" t="n"/>
      <c r="P1236" s="39">
        <f>IF($L1236="","",IFERROR(INDEX(LISTAS!$B$3:$B$42,MATCH($L1236,LISTAS!$A$3:$A$42,0)),"Media"))</f>
        <v/>
      </c>
      <c r="Q1236" s="44" t="n"/>
      <c r="R1236" s="45" t="n"/>
      <c r="S1236" s="20">
        <f>IFERROR(IF(OR($R1236="",$C1236=""),"",$R1236/INDEX(DESPACHOS!$M$3:$M$3002,MATCH($C1236,DESPACHOS!$B$3:$B$3002,0))),"")</f>
        <v/>
      </c>
      <c r="T1236" s="41" t="n"/>
      <c r="U1236" s="43">
        <f>IF(OR($B1236="",$L1236=""),"",WORKDAY($B1236,IFERROR(INDEX(LISTAS!$C$3:$C$42,MATCH($L1236,LISTAS!$A$3:$A$42,0)),3)))</f>
        <v/>
      </c>
      <c r="V1236" s="40" t="n"/>
      <c r="W1236" s="19">
        <f>IF($B1236="","",IF($V1236&lt;&gt;"",$V1236-$B1236,TODAY()-$B1236))</f>
        <v/>
      </c>
      <c r="X1236" s="19">
        <f>IF(OR($B1236="",$U1236=""),"",IF($V1236&lt;&gt;"",MAX(0,$V1236-$U1236),MAX(0,TODAY()-$U1236)))</f>
        <v/>
      </c>
      <c r="Y1236" s="39">
        <f>IF($C1236="","",IF(IFERROR(INDEX(LISTAS!$I$3:$I$42,MATCH($T1236,LISTAS!$H$3:$H$42,0)),"NO")="SÍ",IF(N($X1236)&gt;0,"CERRADA FUERA DE SLA","CERRADA EN SLA"),IF($U1236="","SIN CLASIFICAR",IF(N($X1236)&gt;0,"VENCIDA",IF(TODAY()&gt;=$U1236-1,"POR VENCER","EN PLAZO")))))</f>
        <v/>
      </c>
      <c r="Z1236" s="41" t="n"/>
      <c r="AA1236" s="41" t="n"/>
      <c r="AB1236" s="41" t="n"/>
    </row>
    <row r="1237">
      <c r="A1237" s="39">
        <f>IF($C1237="","","NOV-"&amp;TEXT(ROW()-3,"0000"))</f>
        <v/>
      </c>
      <c r="B1237" s="40" t="n"/>
      <c r="C1237" s="41" t="n"/>
      <c r="D1237" s="42">
        <f>IF($C1237="","",IFERROR(INDEX(DESPACHOS!$D$3:$D$3002,MATCH($C1237,DESPACHOS!$B$3:$B$3002,0)),"SIN DESPACHO"))</f>
        <v/>
      </c>
      <c r="E1237" s="42">
        <f>IF($C1237="","",IFERROR(INDEX(DESPACHOS!$K$3:$K$3002,MATCH($C1237,DESPACHOS!$B$3:$B$3002,0)),""))</f>
        <v/>
      </c>
      <c r="F1237" s="42">
        <f>IF($C1237="","",IFERROR(INDEX(DESPACHOS!$I$3:$I$3002,MATCH($C1237,DESPACHOS!$B$3:$B$3002,0)),""))</f>
        <v/>
      </c>
      <c r="G1237" s="42">
        <f>IF($C1237="","",IFERROR(INDEX(DESPACHOS!$F$3:$F$3002,MATCH($C1237,DESPACHOS!$B$3:$B$3002,0)),""))</f>
        <v/>
      </c>
      <c r="H1237" s="42">
        <f>IF($C1237="","",IFERROR(INDEX(DESPACHOS!$G$3:$G$3002,MATCH($C1237,DESPACHOS!$B$3:$B$3002,0)),""))</f>
        <v/>
      </c>
      <c r="I1237" s="39">
        <f>IF($C1237="","",IFERROR(INDEX(DESPACHOS!$H$3:$H$3002,MATCH($C1237,DESPACHOS!$B$3:$B$3002,0)),""))</f>
        <v/>
      </c>
      <c r="J1237" s="43">
        <f>IF($C1237="","",IFERROR(INDEX(DESPACHOS!$J$3:$J$3002,MATCH($C1237,DESPACHOS!$B$3:$B$3002,0)),""))</f>
        <v/>
      </c>
      <c r="K1237" s="39">
        <f>IF($C1237="","",IF(COUNTIFS(DESPACHOS!$B$3:$B$3002,$C1237)=0,"NO EXISTE",IF(COUNTIFS(DESPACHOS!$B$3:$B$3002,$C1237)&gt;1,"DUPLICADO","OK")))</f>
        <v/>
      </c>
      <c r="L1237" s="41" t="n"/>
      <c r="M1237" s="41" t="n"/>
      <c r="N1237" s="42">
        <f>IF($M1237="","",IFERROR(INDEX(LISTAS!$F$3:$F$42,MATCH($M1237,LISTAS!$E$3:$E$42,0)),"Por definir"))</f>
        <v/>
      </c>
      <c r="O1237" s="41" t="n"/>
      <c r="P1237" s="39">
        <f>IF($L1237="","",IFERROR(INDEX(LISTAS!$B$3:$B$42,MATCH($L1237,LISTAS!$A$3:$A$42,0)),"Media"))</f>
        <v/>
      </c>
      <c r="Q1237" s="44" t="n"/>
      <c r="R1237" s="45" t="n"/>
      <c r="S1237" s="20">
        <f>IFERROR(IF(OR($R1237="",$C1237=""),"",$R1237/INDEX(DESPACHOS!$M$3:$M$3002,MATCH($C1237,DESPACHOS!$B$3:$B$3002,0))),"")</f>
        <v/>
      </c>
      <c r="T1237" s="41" t="n"/>
      <c r="U1237" s="43">
        <f>IF(OR($B1237="",$L1237=""),"",WORKDAY($B1237,IFERROR(INDEX(LISTAS!$C$3:$C$42,MATCH($L1237,LISTAS!$A$3:$A$42,0)),3)))</f>
        <v/>
      </c>
      <c r="V1237" s="40" t="n"/>
      <c r="W1237" s="19">
        <f>IF($B1237="","",IF($V1237&lt;&gt;"",$V1237-$B1237,TODAY()-$B1237))</f>
        <v/>
      </c>
      <c r="X1237" s="19">
        <f>IF(OR($B1237="",$U1237=""),"",IF($V1237&lt;&gt;"",MAX(0,$V1237-$U1237),MAX(0,TODAY()-$U1237)))</f>
        <v/>
      </c>
      <c r="Y1237" s="39">
        <f>IF($C1237="","",IF(IFERROR(INDEX(LISTAS!$I$3:$I$42,MATCH($T1237,LISTAS!$H$3:$H$42,0)),"NO")="SÍ",IF(N($X1237)&gt;0,"CERRADA FUERA DE SLA","CERRADA EN SLA"),IF($U1237="","SIN CLASIFICAR",IF(N($X1237)&gt;0,"VENCIDA",IF(TODAY()&gt;=$U1237-1,"POR VENCER","EN PLAZO")))))</f>
        <v/>
      </c>
      <c r="Z1237" s="41" t="n"/>
      <c r="AA1237" s="41" t="n"/>
      <c r="AB1237" s="41" t="n"/>
    </row>
    <row r="1238">
      <c r="A1238" s="39">
        <f>IF($C1238="","","NOV-"&amp;TEXT(ROW()-3,"0000"))</f>
        <v/>
      </c>
      <c r="B1238" s="40" t="n"/>
      <c r="C1238" s="41" t="n"/>
      <c r="D1238" s="42">
        <f>IF($C1238="","",IFERROR(INDEX(DESPACHOS!$D$3:$D$3002,MATCH($C1238,DESPACHOS!$B$3:$B$3002,0)),"SIN DESPACHO"))</f>
        <v/>
      </c>
      <c r="E1238" s="42">
        <f>IF($C1238="","",IFERROR(INDEX(DESPACHOS!$K$3:$K$3002,MATCH($C1238,DESPACHOS!$B$3:$B$3002,0)),""))</f>
        <v/>
      </c>
      <c r="F1238" s="42">
        <f>IF($C1238="","",IFERROR(INDEX(DESPACHOS!$I$3:$I$3002,MATCH($C1238,DESPACHOS!$B$3:$B$3002,0)),""))</f>
        <v/>
      </c>
      <c r="G1238" s="42">
        <f>IF($C1238="","",IFERROR(INDEX(DESPACHOS!$F$3:$F$3002,MATCH($C1238,DESPACHOS!$B$3:$B$3002,0)),""))</f>
        <v/>
      </c>
      <c r="H1238" s="42">
        <f>IF($C1238="","",IFERROR(INDEX(DESPACHOS!$G$3:$G$3002,MATCH($C1238,DESPACHOS!$B$3:$B$3002,0)),""))</f>
        <v/>
      </c>
      <c r="I1238" s="39">
        <f>IF($C1238="","",IFERROR(INDEX(DESPACHOS!$H$3:$H$3002,MATCH($C1238,DESPACHOS!$B$3:$B$3002,0)),""))</f>
        <v/>
      </c>
      <c r="J1238" s="43">
        <f>IF($C1238="","",IFERROR(INDEX(DESPACHOS!$J$3:$J$3002,MATCH($C1238,DESPACHOS!$B$3:$B$3002,0)),""))</f>
        <v/>
      </c>
      <c r="K1238" s="39">
        <f>IF($C1238="","",IF(COUNTIFS(DESPACHOS!$B$3:$B$3002,$C1238)=0,"NO EXISTE",IF(COUNTIFS(DESPACHOS!$B$3:$B$3002,$C1238)&gt;1,"DUPLICADO","OK")))</f>
        <v/>
      </c>
      <c r="L1238" s="41" t="n"/>
      <c r="M1238" s="41" t="n"/>
      <c r="N1238" s="42">
        <f>IF($M1238="","",IFERROR(INDEX(LISTAS!$F$3:$F$42,MATCH($M1238,LISTAS!$E$3:$E$42,0)),"Por definir"))</f>
        <v/>
      </c>
      <c r="O1238" s="41" t="n"/>
      <c r="P1238" s="39">
        <f>IF($L1238="","",IFERROR(INDEX(LISTAS!$B$3:$B$42,MATCH($L1238,LISTAS!$A$3:$A$42,0)),"Media"))</f>
        <v/>
      </c>
      <c r="Q1238" s="44" t="n"/>
      <c r="R1238" s="45" t="n"/>
      <c r="S1238" s="20">
        <f>IFERROR(IF(OR($R1238="",$C1238=""),"",$R1238/INDEX(DESPACHOS!$M$3:$M$3002,MATCH($C1238,DESPACHOS!$B$3:$B$3002,0))),"")</f>
        <v/>
      </c>
      <c r="T1238" s="41" t="n"/>
      <c r="U1238" s="43">
        <f>IF(OR($B1238="",$L1238=""),"",WORKDAY($B1238,IFERROR(INDEX(LISTAS!$C$3:$C$42,MATCH($L1238,LISTAS!$A$3:$A$42,0)),3)))</f>
        <v/>
      </c>
      <c r="V1238" s="40" t="n"/>
      <c r="W1238" s="19">
        <f>IF($B1238="","",IF($V1238&lt;&gt;"",$V1238-$B1238,TODAY()-$B1238))</f>
        <v/>
      </c>
      <c r="X1238" s="19">
        <f>IF(OR($B1238="",$U1238=""),"",IF($V1238&lt;&gt;"",MAX(0,$V1238-$U1238),MAX(0,TODAY()-$U1238)))</f>
        <v/>
      </c>
      <c r="Y1238" s="39">
        <f>IF($C1238="","",IF(IFERROR(INDEX(LISTAS!$I$3:$I$42,MATCH($T1238,LISTAS!$H$3:$H$42,0)),"NO")="SÍ",IF(N($X1238)&gt;0,"CERRADA FUERA DE SLA","CERRADA EN SLA"),IF($U1238="","SIN CLASIFICAR",IF(N($X1238)&gt;0,"VENCIDA",IF(TODAY()&gt;=$U1238-1,"POR VENCER","EN PLAZO")))))</f>
        <v/>
      </c>
      <c r="Z1238" s="41" t="n"/>
      <c r="AA1238" s="41" t="n"/>
      <c r="AB1238" s="41" t="n"/>
    </row>
    <row r="1239">
      <c r="A1239" s="39">
        <f>IF($C1239="","","NOV-"&amp;TEXT(ROW()-3,"0000"))</f>
        <v/>
      </c>
      <c r="B1239" s="40" t="n"/>
      <c r="C1239" s="41" t="n"/>
      <c r="D1239" s="42">
        <f>IF($C1239="","",IFERROR(INDEX(DESPACHOS!$D$3:$D$3002,MATCH($C1239,DESPACHOS!$B$3:$B$3002,0)),"SIN DESPACHO"))</f>
        <v/>
      </c>
      <c r="E1239" s="42">
        <f>IF($C1239="","",IFERROR(INDEX(DESPACHOS!$K$3:$K$3002,MATCH($C1239,DESPACHOS!$B$3:$B$3002,0)),""))</f>
        <v/>
      </c>
      <c r="F1239" s="42">
        <f>IF($C1239="","",IFERROR(INDEX(DESPACHOS!$I$3:$I$3002,MATCH($C1239,DESPACHOS!$B$3:$B$3002,0)),""))</f>
        <v/>
      </c>
      <c r="G1239" s="42">
        <f>IF($C1239="","",IFERROR(INDEX(DESPACHOS!$F$3:$F$3002,MATCH($C1239,DESPACHOS!$B$3:$B$3002,0)),""))</f>
        <v/>
      </c>
      <c r="H1239" s="42">
        <f>IF($C1239="","",IFERROR(INDEX(DESPACHOS!$G$3:$G$3002,MATCH($C1239,DESPACHOS!$B$3:$B$3002,0)),""))</f>
        <v/>
      </c>
      <c r="I1239" s="39">
        <f>IF($C1239="","",IFERROR(INDEX(DESPACHOS!$H$3:$H$3002,MATCH($C1239,DESPACHOS!$B$3:$B$3002,0)),""))</f>
        <v/>
      </c>
      <c r="J1239" s="43">
        <f>IF($C1239="","",IFERROR(INDEX(DESPACHOS!$J$3:$J$3002,MATCH($C1239,DESPACHOS!$B$3:$B$3002,0)),""))</f>
        <v/>
      </c>
      <c r="K1239" s="39">
        <f>IF($C1239="","",IF(COUNTIFS(DESPACHOS!$B$3:$B$3002,$C1239)=0,"NO EXISTE",IF(COUNTIFS(DESPACHOS!$B$3:$B$3002,$C1239)&gt;1,"DUPLICADO","OK")))</f>
        <v/>
      </c>
      <c r="L1239" s="41" t="n"/>
      <c r="M1239" s="41" t="n"/>
      <c r="N1239" s="42">
        <f>IF($M1239="","",IFERROR(INDEX(LISTAS!$F$3:$F$42,MATCH($M1239,LISTAS!$E$3:$E$42,0)),"Por definir"))</f>
        <v/>
      </c>
      <c r="O1239" s="41" t="n"/>
      <c r="P1239" s="39">
        <f>IF($L1239="","",IFERROR(INDEX(LISTAS!$B$3:$B$42,MATCH($L1239,LISTAS!$A$3:$A$42,0)),"Media"))</f>
        <v/>
      </c>
      <c r="Q1239" s="44" t="n"/>
      <c r="R1239" s="45" t="n"/>
      <c r="S1239" s="20">
        <f>IFERROR(IF(OR($R1239="",$C1239=""),"",$R1239/INDEX(DESPACHOS!$M$3:$M$3002,MATCH($C1239,DESPACHOS!$B$3:$B$3002,0))),"")</f>
        <v/>
      </c>
      <c r="T1239" s="41" t="n"/>
      <c r="U1239" s="43">
        <f>IF(OR($B1239="",$L1239=""),"",WORKDAY($B1239,IFERROR(INDEX(LISTAS!$C$3:$C$42,MATCH($L1239,LISTAS!$A$3:$A$42,0)),3)))</f>
        <v/>
      </c>
      <c r="V1239" s="40" t="n"/>
      <c r="W1239" s="19">
        <f>IF($B1239="","",IF($V1239&lt;&gt;"",$V1239-$B1239,TODAY()-$B1239))</f>
        <v/>
      </c>
      <c r="X1239" s="19">
        <f>IF(OR($B1239="",$U1239=""),"",IF($V1239&lt;&gt;"",MAX(0,$V1239-$U1239),MAX(0,TODAY()-$U1239)))</f>
        <v/>
      </c>
      <c r="Y1239" s="39">
        <f>IF($C1239="","",IF(IFERROR(INDEX(LISTAS!$I$3:$I$42,MATCH($T1239,LISTAS!$H$3:$H$42,0)),"NO")="SÍ",IF(N($X1239)&gt;0,"CERRADA FUERA DE SLA","CERRADA EN SLA"),IF($U1239="","SIN CLASIFICAR",IF(N($X1239)&gt;0,"VENCIDA",IF(TODAY()&gt;=$U1239-1,"POR VENCER","EN PLAZO")))))</f>
        <v/>
      </c>
      <c r="Z1239" s="41" t="n"/>
      <c r="AA1239" s="41" t="n"/>
      <c r="AB1239" s="41" t="n"/>
    </row>
    <row r="1240">
      <c r="A1240" s="39">
        <f>IF($C1240="","","NOV-"&amp;TEXT(ROW()-3,"0000"))</f>
        <v/>
      </c>
      <c r="B1240" s="40" t="n"/>
      <c r="C1240" s="41" t="n"/>
      <c r="D1240" s="42">
        <f>IF($C1240="","",IFERROR(INDEX(DESPACHOS!$D$3:$D$3002,MATCH($C1240,DESPACHOS!$B$3:$B$3002,0)),"SIN DESPACHO"))</f>
        <v/>
      </c>
      <c r="E1240" s="42">
        <f>IF($C1240="","",IFERROR(INDEX(DESPACHOS!$K$3:$K$3002,MATCH($C1240,DESPACHOS!$B$3:$B$3002,0)),""))</f>
        <v/>
      </c>
      <c r="F1240" s="42">
        <f>IF($C1240="","",IFERROR(INDEX(DESPACHOS!$I$3:$I$3002,MATCH($C1240,DESPACHOS!$B$3:$B$3002,0)),""))</f>
        <v/>
      </c>
      <c r="G1240" s="42">
        <f>IF($C1240="","",IFERROR(INDEX(DESPACHOS!$F$3:$F$3002,MATCH($C1240,DESPACHOS!$B$3:$B$3002,0)),""))</f>
        <v/>
      </c>
      <c r="H1240" s="42">
        <f>IF($C1240="","",IFERROR(INDEX(DESPACHOS!$G$3:$G$3002,MATCH($C1240,DESPACHOS!$B$3:$B$3002,0)),""))</f>
        <v/>
      </c>
      <c r="I1240" s="39">
        <f>IF($C1240="","",IFERROR(INDEX(DESPACHOS!$H$3:$H$3002,MATCH($C1240,DESPACHOS!$B$3:$B$3002,0)),""))</f>
        <v/>
      </c>
      <c r="J1240" s="43">
        <f>IF($C1240="","",IFERROR(INDEX(DESPACHOS!$J$3:$J$3002,MATCH($C1240,DESPACHOS!$B$3:$B$3002,0)),""))</f>
        <v/>
      </c>
      <c r="K1240" s="39">
        <f>IF($C1240="","",IF(COUNTIFS(DESPACHOS!$B$3:$B$3002,$C1240)=0,"NO EXISTE",IF(COUNTIFS(DESPACHOS!$B$3:$B$3002,$C1240)&gt;1,"DUPLICADO","OK")))</f>
        <v/>
      </c>
      <c r="L1240" s="41" t="n"/>
      <c r="M1240" s="41" t="n"/>
      <c r="N1240" s="42">
        <f>IF($M1240="","",IFERROR(INDEX(LISTAS!$F$3:$F$42,MATCH($M1240,LISTAS!$E$3:$E$42,0)),"Por definir"))</f>
        <v/>
      </c>
      <c r="O1240" s="41" t="n"/>
      <c r="P1240" s="39">
        <f>IF($L1240="","",IFERROR(INDEX(LISTAS!$B$3:$B$42,MATCH($L1240,LISTAS!$A$3:$A$42,0)),"Media"))</f>
        <v/>
      </c>
      <c r="Q1240" s="44" t="n"/>
      <c r="R1240" s="45" t="n"/>
      <c r="S1240" s="20">
        <f>IFERROR(IF(OR($R1240="",$C1240=""),"",$R1240/INDEX(DESPACHOS!$M$3:$M$3002,MATCH($C1240,DESPACHOS!$B$3:$B$3002,0))),"")</f>
        <v/>
      </c>
      <c r="T1240" s="41" t="n"/>
      <c r="U1240" s="43">
        <f>IF(OR($B1240="",$L1240=""),"",WORKDAY($B1240,IFERROR(INDEX(LISTAS!$C$3:$C$42,MATCH($L1240,LISTAS!$A$3:$A$42,0)),3)))</f>
        <v/>
      </c>
      <c r="V1240" s="40" t="n"/>
      <c r="W1240" s="19">
        <f>IF($B1240="","",IF($V1240&lt;&gt;"",$V1240-$B1240,TODAY()-$B1240))</f>
        <v/>
      </c>
      <c r="X1240" s="19">
        <f>IF(OR($B1240="",$U1240=""),"",IF($V1240&lt;&gt;"",MAX(0,$V1240-$U1240),MAX(0,TODAY()-$U1240)))</f>
        <v/>
      </c>
      <c r="Y1240" s="39">
        <f>IF($C1240="","",IF(IFERROR(INDEX(LISTAS!$I$3:$I$42,MATCH($T1240,LISTAS!$H$3:$H$42,0)),"NO")="SÍ",IF(N($X1240)&gt;0,"CERRADA FUERA DE SLA","CERRADA EN SLA"),IF($U1240="","SIN CLASIFICAR",IF(N($X1240)&gt;0,"VENCIDA",IF(TODAY()&gt;=$U1240-1,"POR VENCER","EN PLAZO")))))</f>
        <v/>
      </c>
      <c r="Z1240" s="41" t="n"/>
      <c r="AA1240" s="41" t="n"/>
      <c r="AB1240" s="41" t="n"/>
    </row>
    <row r="1241">
      <c r="A1241" s="39">
        <f>IF($C1241="","","NOV-"&amp;TEXT(ROW()-3,"0000"))</f>
        <v/>
      </c>
      <c r="B1241" s="40" t="n"/>
      <c r="C1241" s="41" t="n"/>
      <c r="D1241" s="42">
        <f>IF($C1241="","",IFERROR(INDEX(DESPACHOS!$D$3:$D$3002,MATCH($C1241,DESPACHOS!$B$3:$B$3002,0)),"SIN DESPACHO"))</f>
        <v/>
      </c>
      <c r="E1241" s="42">
        <f>IF($C1241="","",IFERROR(INDEX(DESPACHOS!$K$3:$K$3002,MATCH($C1241,DESPACHOS!$B$3:$B$3002,0)),""))</f>
        <v/>
      </c>
      <c r="F1241" s="42">
        <f>IF($C1241="","",IFERROR(INDEX(DESPACHOS!$I$3:$I$3002,MATCH($C1241,DESPACHOS!$B$3:$B$3002,0)),""))</f>
        <v/>
      </c>
      <c r="G1241" s="42">
        <f>IF($C1241="","",IFERROR(INDEX(DESPACHOS!$F$3:$F$3002,MATCH($C1241,DESPACHOS!$B$3:$B$3002,0)),""))</f>
        <v/>
      </c>
      <c r="H1241" s="42">
        <f>IF($C1241="","",IFERROR(INDEX(DESPACHOS!$G$3:$G$3002,MATCH($C1241,DESPACHOS!$B$3:$B$3002,0)),""))</f>
        <v/>
      </c>
      <c r="I1241" s="39">
        <f>IF($C1241="","",IFERROR(INDEX(DESPACHOS!$H$3:$H$3002,MATCH($C1241,DESPACHOS!$B$3:$B$3002,0)),""))</f>
        <v/>
      </c>
      <c r="J1241" s="43">
        <f>IF($C1241="","",IFERROR(INDEX(DESPACHOS!$J$3:$J$3002,MATCH($C1241,DESPACHOS!$B$3:$B$3002,0)),""))</f>
        <v/>
      </c>
      <c r="K1241" s="39">
        <f>IF($C1241="","",IF(COUNTIFS(DESPACHOS!$B$3:$B$3002,$C1241)=0,"NO EXISTE",IF(COUNTIFS(DESPACHOS!$B$3:$B$3002,$C1241)&gt;1,"DUPLICADO","OK")))</f>
        <v/>
      </c>
      <c r="L1241" s="41" t="n"/>
      <c r="M1241" s="41" t="n"/>
      <c r="N1241" s="42">
        <f>IF($M1241="","",IFERROR(INDEX(LISTAS!$F$3:$F$42,MATCH($M1241,LISTAS!$E$3:$E$42,0)),"Por definir"))</f>
        <v/>
      </c>
      <c r="O1241" s="41" t="n"/>
      <c r="P1241" s="39">
        <f>IF($L1241="","",IFERROR(INDEX(LISTAS!$B$3:$B$42,MATCH($L1241,LISTAS!$A$3:$A$42,0)),"Media"))</f>
        <v/>
      </c>
      <c r="Q1241" s="44" t="n"/>
      <c r="R1241" s="45" t="n"/>
      <c r="S1241" s="20">
        <f>IFERROR(IF(OR($R1241="",$C1241=""),"",$R1241/INDEX(DESPACHOS!$M$3:$M$3002,MATCH($C1241,DESPACHOS!$B$3:$B$3002,0))),"")</f>
        <v/>
      </c>
      <c r="T1241" s="41" t="n"/>
      <c r="U1241" s="43">
        <f>IF(OR($B1241="",$L1241=""),"",WORKDAY($B1241,IFERROR(INDEX(LISTAS!$C$3:$C$42,MATCH($L1241,LISTAS!$A$3:$A$42,0)),3)))</f>
        <v/>
      </c>
      <c r="V1241" s="40" t="n"/>
      <c r="W1241" s="19">
        <f>IF($B1241="","",IF($V1241&lt;&gt;"",$V1241-$B1241,TODAY()-$B1241))</f>
        <v/>
      </c>
      <c r="X1241" s="19">
        <f>IF(OR($B1241="",$U1241=""),"",IF($V1241&lt;&gt;"",MAX(0,$V1241-$U1241),MAX(0,TODAY()-$U1241)))</f>
        <v/>
      </c>
      <c r="Y1241" s="39">
        <f>IF($C1241="","",IF(IFERROR(INDEX(LISTAS!$I$3:$I$42,MATCH($T1241,LISTAS!$H$3:$H$42,0)),"NO")="SÍ",IF(N($X1241)&gt;0,"CERRADA FUERA DE SLA","CERRADA EN SLA"),IF($U1241="","SIN CLASIFICAR",IF(N($X1241)&gt;0,"VENCIDA",IF(TODAY()&gt;=$U1241-1,"POR VENCER","EN PLAZO")))))</f>
        <v/>
      </c>
      <c r="Z1241" s="41" t="n"/>
      <c r="AA1241" s="41" t="n"/>
      <c r="AB1241" s="41" t="n"/>
    </row>
    <row r="1242">
      <c r="A1242" s="39">
        <f>IF($C1242="","","NOV-"&amp;TEXT(ROW()-3,"0000"))</f>
        <v/>
      </c>
      <c r="B1242" s="40" t="n"/>
      <c r="C1242" s="41" t="n"/>
      <c r="D1242" s="42">
        <f>IF($C1242="","",IFERROR(INDEX(DESPACHOS!$D$3:$D$3002,MATCH($C1242,DESPACHOS!$B$3:$B$3002,0)),"SIN DESPACHO"))</f>
        <v/>
      </c>
      <c r="E1242" s="42">
        <f>IF($C1242="","",IFERROR(INDEX(DESPACHOS!$K$3:$K$3002,MATCH($C1242,DESPACHOS!$B$3:$B$3002,0)),""))</f>
        <v/>
      </c>
      <c r="F1242" s="42">
        <f>IF($C1242="","",IFERROR(INDEX(DESPACHOS!$I$3:$I$3002,MATCH($C1242,DESPACHOS!$B$3:$B$3002,0)),""))</f>
        <v/>
      </c>
      <c r="G1242" s="42">
        <f>IF($C1242="","",IFERROR(INDEX(DESPACHOS!$F$3:$F$3002,MATCH($C1242,DESPACHOS!$B$3:$B$3002,0)),""))</f>
        <v/>
      </c>
      <c r="H1242" s="42">
        <f>IF($C1242="","",IFERROR(INDEX(DESPACHOS!$G$3:$G$3002,MATCH($C1242,DESPACHOS!$B$3:$B$3002,0)),""))</f>
        <v/>
      </c>
      <c r="I1242" s="39">
        <f>IF($C1242="","",IFERROR(INDEX(DESPACHOS!$H$3:$H$3002,MATCH($C1242,DESPACHOS!$B$3:$B$3002,0)),""))</f>
        <v/>
      </c>
      <c r="J1242" s="43">
        <f>IF($C1242="","",IFERROR(INDEX(DESPACHOS!$J$3:$J$3002,MATCH($C1242,DESPACHOS!$B$3:$B$3002,0)),""))</f>
        <v/>
      </c>
      <c r="K1242" s="39">
        <f>IF($C1242="","",IF(COUNTIFS(DESPACHOS!$B$3:$B$3002,$C1242)=0,"NO EXISTE",IF(COUNTIFS(DESPACHOS!$B$3:$B$3002,$C1242)&gt;1,"DUPLICADO","OK")))</f>
        <v/>
      </c>
      <c r="L1242" s="41" t="n"/>
      <c r="M1242" s="41" t="n"/>
      <c r="N1242" s="42">
        <f>IF($M1242="","",IFERROR(INDEX(LISTAS!$F$3:$F$42,MATCH($M1242,LISTAS!$E$3:$E$42,0)),"Por definir"))</f>
        <v/>
      </c>
      <c r="O1242" s="41" t="n"/>
      <c r="P1242" s="39">
        <f>IF($L1242="","",IFERROR(INDEX(LISTAS!$B$3:$B$42,MATCH($L1242,LISTAS!$A$3:$A$42,0)),"Media"))</f>
        <v/>
      </c>
      <c r="Q1242" s="44" t="n"/>
      <c r="R1242" s="45" t="n"/>
      <c r="S1242" s="20">
        <f>IFERROR(IF(OR($R1242="",$C1242=""),"",$R1242/INDEX(DESPACHOS!$M$3:$M$3002,MATCH($C1242,DESPACHOS!$B$3:$B$3002,0))),"")</f>
        <v/>
      </c>
      <c r="T1242" s="41" t="n"/>
      <c r="U1242" s="43">
        <f>IF(OR($B1242="",$L1242=""),"",WORKDAY($B1242,IFERROR(INDEX(LISTAS!$C$3:$C$42,MATCH($L1242,LISTAS!$A$3:$A$42,0)),3)))</f>
        <v/>
      </c>
      <c r="V1242" s="40" t="n"/>
      <c r="W1242" s="19">
        <f>IF($B1242="","",IF($V1242&lt;&gt;"",$V1242-$B1242,TODAY()-$B1242))</f>
        <v/>
      </c>
      <c r="X1242" s="19">
        <f>IF(OR($B1242="",$U1242=""),"",IF($V1242&lt;&gt;"",MAX(0,$V1242-$U1242),MAX(0,TODAY()-$U1242)))</f>
        <v/>
      </c>
      <c r="Y1242" s="39">
        <f>IF($C1242="","",IF(IFERROR(INDEX(LISTAS!$I$3:$I$42,MATCH($T1242,LISTAS!$H$3:$H$42,0)),"NO")="SÍ",IF(N($X1242)&gt;0,"CERRADA FUERA DE SLA","CERRADA EN SLA"),IF($U1242="","SIN CLASIFICAR",IF(N($X1242)&gt;0,"VENCIDA",IF(TODAY()&gt;=$U1242-1,"POR VENCER","EN PLAZO")))))</f>
        <v/>
      </c>
      <c r="Z1242" s="41" t="n"/>
      <c r="AA1242" s="41" t="n"/>
      <c r="AB1242" s="41" t="n"/>
    </row>
    <row r="1243">
      <c r="A1243" s="39">
        <f>IF($C1243="","","NOV-"&amp;TEXT(ROW()-3,"0000"))</f>
        <v/>
      </c>
      <c r="B1243" s="40" t="n"/>
      <c r="C1243" s="41" t="n"/>
      <c r="D1243" s="42">
        <f>IF($C1243="","",IFERROR(INDEX(DESPACHOS!$D$3:$D$3002,MATCH($C1243,DESPACHOS!$B$3:$B$3002,0)),"SIN DESPACHO"))</f>
        <v/>
      </c>
      <c r="E1243" s="42">
        <f>IF($C1243="","",IFERROR(INDEX(DESPACHOS!$K$3:$K$3002,MATCH($C1243,DESPACHOS!$B$3:$B$3002,0)),""))</f>
        <v/>
      </c>
      <c r="F1243" s="42">
        <f>IF($C1243="","",IFERROR(INDEX(DESPACHOS!$I$3:$I$3002,MATCH($C1243,DESPACHOS!$B$3:$B$3002,0)),""))</f>
        <v/>
      </c>
      <c r="G1243" s="42">
        <f>IF($C1243="","",IFERROR(INDEX(DESPACHOS!$F$3:$F$3002,MATCH($C1243,DESPACHOS!$B$3:$B$3002,0)),""))</f>
        <v/>
      </c>
      <c r="H1243" s="42">
        <f>IF($C1243="","",IFERROR(INDEX(DESPACHOS!$G$3:$G$3002,MATCH($C1243,DESPACHOS!$B$3:$B$3002,0)),""))</f>
        <v/>
      </c>
      <c r="I1243" s="39">
        <f>IF($C1243="","",IFERROR(INDEX(DESPACHOS!$H$3:$H$3002,MATCH($C1243,DESPACHOS!$B$3:$B$3002,0)),""))</f>
        <v/>
      </c>
      <c r="J1243" s="43">
        <f>IF($C1243="","",IFERROR(INDEX(DESPACHOS!$J$3:$J$3002,MATCH($C1243,DESPACHOS!$B$3:$B$3002,0)),""))</f>
        <v/>
      </c>
      <c r="K1243" s="39">
        <f>IF($C1243="","",IF(COUNTIFS(DESPACHOS!$B$3:$B$3002,$C1243)=0,"NO EXISTE",IF(COUNTIFS(DESPACHOS!$B$3:$B$3002,$C1243)&gt;1,"DUPLICADO","OK")))</f>
        <v/>
      </c>
      <c r="L1243" s="41" t="n"/>
      <c r="M1243" s="41" t="n"/>
      <c r="N1243" s="42">
        <f>IF($M1243="","",IFERROR(INDEX(LISTAS!$F$3:$F$42,MATCH($M1243,LISTAS!$E$3:$E$42,0)),"Por definir"))</f>
        <v/>
      </c>
      <c r="O1243" s="41" t="n"/>
      <c r="P1243" s="39">
        <f>IF($L1243="","",IFERROR(INDEX(LISTAS!$B$3:$B$42,MATCH($L1243,LISTAS!$A$3:$A$42,0)),"Media"))</f>
        <v/>
      </c>
      <c r="Q1243" s="44" t="n"/>
      <c r="R1243" s="45" t="n"/>
      <c r="S1243" s="20">
        <f>IFERROR(IF(OR($R1243="",$C1243=""),"",$R1243/INDEX(DESPACHOS!$M$3:$M$3002,MATCH($C1243,DESPACHOS!$B$3:$B$3002,0))),"")</f>
        <v/>
      </c>
      <c r="T1243" s="41" t="n"/>
      <c r="U1243" s="43">
        <f>IF(OR($B1243="",$L1243=""),"",WORKDAY($B1243,IFERROR(INDEX(LISTAS!$C$3:$C$42,MATCH($L1243,LISTAS!$A$3:$A$42,0)),3)))</f>
        <v/>
      </c>
      <c r="V1243" s="40" t="n"/>
      <c r="W1243" s="19">
        <f>IF($B1243="","",IF($V1243&lt;&gt;"",$V1243-$B1243,TODAY()-$B1243))</f>
        <v/>
      </c>
      <c r="X1243" s="19">
        <f>IF(OR($B1243="",$U1243=""),"",IF($V1243&lt;&gt;"",MAX(0,$V1243-$U1243),MAX(0,TODAY()-$U1243)))</f>
        <v/>
      </c>
      <c r="Y1243" s="39">
        <f>IF($C1243="","",IF(IFERROR(INDEX(LISTAS!$I$3:$I$42,MATCH($T1243,LISTAS!$H$3:$H$42,0)),"NO")="SÍ",IF(N($X1243)&gt;0,"CERRADA FUERA DE SLA","CERRADA EN SLA"),IF($U1243="","SIN CLASIFICAR",IF(N($X1243)&gt;0,"VENCIDA",IF(TODAY()&gt;=$U1243-1,"POR VENCER","EN PLAZO")))))</f>
        <v/>
      </c>
      <c r="Z1243" s="41" t="n"/>
      <c r="AA1243" s="41" t="n"/>
      <c r="AB1243" s="41" t="n"/>
    </row>
    <row r="1244">
      <c r="A1244" s="39">
        <f>IF($C1244="","","NOV-"&amp;TEXT(ROW()-3,"0000"))</f>
        <v/>
      </c>
      <c r="B1244" s="40" t="n"/>
      <c r="C1244" s="41" t="n"/>
      <c r="D1244" s="42">
        <f>IF($C1244="","",IFERROR(INDEX(DESPACHOS!$D$3:$D$3002,MATCH($C1244,DESPACHOS!$B$3:$B$3002,0)),"SIN DESPACHO"))</f>
        <v/>
      </c>
      <c r="E1244" s="42">
        <f>IF($C1244="","",IFERROR(INDEX(DESPACHOS!$K$3:$K$3002,MATCH($C1244,DESPACHOS!$B$3:$B$3002,0)),""))</f>
        <v/>
      </c>
      <c r="F1244" s="42">
        <f>IF($C1244="","",IFERROR(INDEX(DESPACHOS!$I$3:$I$3002,MATCH($C1244,DESPACHOS!$B$3:$B$3002,0)),""))</f>
        <v/>
      </c>
      <c r="G1244" s="42">
        <f>IF($C1244="","",IFERROR(INDEX(DESPACHOS!$F$3:$F$3002,MATCH($C1244,DESPACHOS!$B$3:$B$3002,0)),""))</f>
        <v/>
      </c>
      <c r="H1244" s="42">
        <f>IF($C1244="","",IFERROR(INDEX(DESPACHOS!$G$3:$G$3002,MATCH($C1244,DESPACHOS!$B$3:$B$3002,0)),""))</f>
        <v/>
      </c>
      <c r="I1244" s="39">
        <f>IF($C1244="","",IFERROR(INDEX(DESPACHOS!$H$3:$H$3002,MATCH($C1244,DESPACHOS!$B$3:$B$3002,0)),""))</f>
        <v/>
      </c>
      <c r="J1244" s="43">
        <f>IF($C1244="","",IFERROR(INDEX(DESPACHOS!$J$3:$J$3002,MATCH($C1244,DESPACHOS!$B$3:$B$3002,0)),""))</f>
        <v/>
      </c>
      <c r="K1244" s="39">
        <f>IF($C1244="","",IF(COUNTIFS(DESPACHOS!$B$3:$B$3002,$C1244)=0,"NO EXISTE",IF(COUNTIFS(DESPACHOS!$B$3:$B$3002,$C1244)&gt;1,"DUPLICADO","OK")))</f>
        <v/>
      </c>
      <c r="L1244" s="41" t="n"/>
      <c r="M1244" s="41" t="n"/>
      <c r="N1244" s="42">
        <f>IF($M1244="","",IFERROR(INDEX(LISTAS!$F$3:$F$42,MATCH($M1244,LISTAS!$E$3:$E$42,0)),"Por definir"))</f>
        <v/>
      </c>
      <c r="O1244" s="41" t="n"/>
      <c r="P1244" s="39">
        <f>IF($L1244="","",IFERROR(INDEX(LISTAS!$B$3:$B$42,MATCH($L1244,LISTAS!$A$3:$A$42,0)),"Media"))</f>
        <v/>
      </c>
      <c r="Q1244" s="44" t="n"/>
      <c r="R1244" s="45" t="n"/>
      <c r="S1244" s="20">
        <f>IFERROR(IF(OR($R1244="",$C1244=""),"",$R1244/INDEX(DESPACHOS!$M$3:$M$3002,MATCH($C1244,DESPACHOS!$B$3:$B$3002,0))),"")</f>
        <v/>
      </c>
      <c r="T1244" s="41" t="n"/>
      <c r="U1244" s="43">
        <f>IF(OR($B1244="",$L1244=""),"",WORKDAY($B1244,IFERROR(INDEX(LISTAS!$C$3:$C$42,MATCH($L1244,LISTAS!$A$3:$A$42,0)),3)))</f>
        <v/>
      </c>
      <c r="V1244" s="40" t="n"/>
      <c r="W1244" s="19">
        <f>IF($B1244="","",IF($V1244&lt;&gt;"",$V1244-$B1244,TODAY()-$B1244))</f>
        <v/>
      </c>
      <c r="X1244" s="19">
        <f>IF(OR($B1244="",$U1244=""),"",IF($V1244&lt;&gt;"",MAX(0,$V1244-$U1244),MAX(0,TODAY()-$U1244)))</f>
        <v/>
      </c>
      <c r="Y1244" s="39">
        <f>IF($C1244="","",IF(IFERROR(INDEX(LISTAS!$I$3:$I$42,MATCH($T1244,LISTAS!$H$3:$H$42,0)),"NO")="SÍ",IF(N($X1244)&gt;0,"CERRADA FUERA DE SLA","CERRADA EN SLA"),IF($U1244="","SIN CLASIFICAR",IF(N($X1244)&gt;0,"VENCIDA",IF(TODAY()&gt;=$U1244-1,"POR VENCER","EN PLAZO")))))</f>
        <v/>
      </c>
      <c r="Z1244" s="41" t="n"/>
      <c r="AA1244" s="41" t="n"/>
      <c r="AB1244" s="41" t="n"/>
    </row>
    <row r="1245">
      <c r="A1245" s="39">
        <f>IF($C1245="","","NOV-"&amp;TEXT(ROW()-3,"0000"))</f>
        <v/>
      </c>
      <c r="B1245" s="40" t="n"/>
      <c r="C1245" s="41" t="n"/>
      <c r="D1245" s="42">
        <f>IF($C1245="","",IFERROR(INDEX(DESPACHOS!$D$3:$D$3002,MATCH($C1245,DESPACHOS!$B$3:$B$3002,0)),"SIN DESPACHO"))</f>
        <v/>
      </c>
      <c r="E1245" s="42">
        <f>IF($C1245="","",IFERROR(INDEX(DESPACHOS!$K$3:$K$3002,MATCH($C1245,DESPACHOS!$B$3:$B$3002,0)),""))</f>
        <v/>
      </c>
      <c r="F1245" s="42">
        <f>IF($C1245="","",IFERROR(INDEX(DESPACHOS!$I$3:$I$3002,MATCH($C1245,DESPACHOS!$B$3:$B$3002,0)),""))</f>
        <v/>
      </c>
      <c r="G1245" s="42">
        <f>IF($C1245="","",IFERROR(INDEX(DESPACHOS!$F$3:$F$3002,MATCH($C1245,DESPACHOS!$B$3:$B$3002,0)),""))</f>
        <v/>
      </c>
      <c r="H1245" s="42">
        <f>IF($C1245="","",IFERROR(INDEX(DESPACHOS!$G$3:$G$3002,MATCH($C1245,DESPACHOS!$B$3:$B$3002,0)),""))</f>
        <v/>
      </c>
      <c r="I1245" s="39">
        <f>IF($C1245="","",IFERROR(INDEX(DESPACHOS!$H$3:$H$3002,MATCH($C1245,DESPACHOS!$B$3:$B$3002,0)),""))</f>
        <v/>
      </c>
      <c r="J1245" s="43">
        <f>IF($C1245="","",IFERROR(INDEX(DESPACHOS!$J$3:$J$3002,MATCH($C1245,DESPACHOS!$B$3:$B$3002,0)),""))</f>
        <v/>
      </c>
      <c r="K1245" s="39">
        <f>IF($C1245="","",IF(COUNTIFS(DESPACHOS!$B$3:$B$3002,$C1245)=0,"NO EXISTE",IF(COUNTIFS(DESPACHOS!$B$3:$B$3002,$C1245)&gt;1,"DUPLICADO","OK")))</f>
        <v/>
      </c>
      <c r="L1245" s="41" t="n"/>
      <c r="M1245" s="41" t="n"/>
      <c r="N1245" s="42">
        <f>IF($M1245="","",IFERROR(INDEX(LISTAS!$F$3:$F$42,MATCH($M1245,LISTAS!$E$3:$E$42,0)),"Por definir"))</f>
        <v/>
      </c>
      <c r="O1245" s="41" t="n"/>
      <c r="P1245" s="39">
        <f>IF($L1245="","",IFERROR(INDEX(LISTAS!$B$3:$B$42,MATCH($L1245,LISTAS!$A$3:$A$42,0)),"Media"))</f>
        <v/>
      </c>
      <c r="Q1245" s="44" t="n"/>
      <c r="R1245" s="45" t="n"/>
      <c r="S1245" s="20">
        <f>IFERROR(IF(OR($R1245="",$C1245=""),"",$R1245/INDEX(DESPACHOS!$M$3:$M$3002,MATCH($C1245,DESPACHOS!$B$3:$B$3002,0))),"")</f>
        <v/>
      </c>
      <c r="T1245" s="41" t="n"/>
      <c r="U1245" s="43">
        <f>IF(OR($B1245="",$L1245=""),"",WORKDAY($B1245,IFERROR(INDEX(LISTAS!$C$3:$C$42,MATCH($L1245,LISTAS!$A$3:$A$42,0)),3)))</f>
        <v/>
      </c>
      <c r="V1245" s="40" t="n"/>
      <c r="W1245" s="19">
        <f>IF($B1245="","",IF($V1245&lt;&gt;"",$V1245-$B1245,TODAY()-$B1245))</f>
        <v/>
      </c>
      <c r="X1245" s="19">
        <f>IF(OR($B1245="",$U1245=""),"",IF($V1245&lt;&gt;"",MAX(0,$V1245-$U1245),MAX(0,TODAY()-$U1245)))</f>
        <v/>
      </c>
      <c r="Y1245" s="39">
        <f>IF($C1245="","",IF(IFERROR(INDEX(LISTAS!$I$3:$I$42,MATCH($T1245,LISTAS!$H$3:$H$42,0)),"NO")="SÍ",IF(N($X1245)&gt;0,"CERRADA FUERA DE SLA","CERRADA EN SLA"),IF($U1245="","SIN CLASIFICAR",IF(N($X1245)&gt;0,"VENCIDA",IF(TODAY()&gt;=$U1245-1,"POR VENCER","EN PLAZO")))))</f>
        <v/>
      </c>
      <c r="Z1245" s="41" t="n"/>
      <c r="AA1245" s="41" t="n"/>
      <c r="AB1245" s="41" t="n"/>
    </row>
    <row r="1246">
      <c r="A1246" s="39">
        <f>IF($C1246="","","NOV-"&amp;TEXT(ROW()-3,"0000"))</f>
        <v/>
      </c>
      <c r="B1246" s="40" t="n"/>
      <c r="C1246" s="41" t="n"/>
      <c r="D1246" s="42">
        <f>IF($C1246="","",IFERROR(INDEX(DESPACHOS!$D$3:$D$3002,MATCH($C1246,DESPACHOS!$B$3:$B$3002,0)),"SIN DESPACHO"))</f>
        <v/>
      </c>
      <c r="E1246" s="42">
        <f>IF($C1246="","",IFERROR(INDEX(DESPACHOS!$K$3:$K$3002,MATCH($C1246,DESPACHOS!$B$3:$B$3002,0)),""))</f>
        <v/>
      </c>
      <c r="F1246" s="42">
        <f>IF($C1246="","",IFERROR(INDEX(DESPACHOS!$I$3:$I$3002,MATCH($C1246,DESPACHOS!$B$3:$B$3002,0)),""))</f>
        <v/>
      </c>
      <c r="G1246" s="42">
        <f>IF($C1246="","",IFERROR(INDEX(DESPACHOS!$F$3:$F$3002,MATCH($C1246,DESPACHOS!$B$3:$B$3002,0)),""))</f>
        <v/>
      </c>
      <c r="H1246" s="42">
        <f>IF($C1246="","",IFERROR(INDEX(DESPACHOS!$G$3:$G$3002,MATCH($C1246,DESPACHOS!$B$3:$B$3002,0)),""))</f>
        <v/>
      </c>
      <c r="I1246" s="39">
        <f>IF($C1246="","",IFERROR(INDEX(DESPACHOS!$H$3:$H$3002,MATCH($C1246,DESPACHOS!$B$3:$B$3002,0)),""))</f>
        <v/>
      </c>
      <c r="J1246" s="43">
        <f>IF($C1246="","",IFERROR(INDEX(DESPACHOS!$J$3:$J$3002,MATCH($C1246,DESPACHOS!$B$3:$B$3002,0)),""))</f>
        <v/>
      </c>
      <c r="K1246" s="39">
        <f>IF($C1246="","",IF(COUNTIFS(DESPACHOS!$B$3:$B$3002,$C1246)=0,"NO EXISTE",IF(COUNTIFS(DESPACHOS!$B$3:$B$3002,$C1246)&gt;1,"DUPLICADO","OK")))</f>
        <v/>
      </c>
      <c r="L1246" s="41" t="n"/>
      <c r="M1246" s="41" t="n"/>
      <c r="N1246" s="42">
        <f>IF($M1246="","",IFERROR(INDEX(LISTAS!$F$3:$F$42,MATCH($M1246,LISTAS!$E$3:$E$42,0)),"Por definir"))</f>
        <v/>
      </c>
      <c r="O1246" s="41" t="n"/>
      <c r="P1246" s="39">
        <f>IF($L1246="","",IFERROR(INDEX(LISTAS!$B$3:$B$42,MATCH($L1246,LISTAS!$A$3:$A$42,0)),"Media"))</f>
        <v/>
      </c>
      <c r="Q1246" s="44" t="n"/>
      <c r="R1246" s="45" t="n"/>
      <c r="S1246" s="20">
        <f>IFERROR(IF(OR($R1246="",$C1246=""),"",$R1246/INDEX(DESPACHOS!$M$3:$M$3002,MATCH($C1246,DESPACHOS!$B$3:$B$3002,0))),"")</f>
        <v/>
      </c>
      <c r="T1246" s="41" t="n"/>
      <c r="U1246" s="43">
        <f>IF(OR($B1246="",$L1246=""),"",WORKDAY($B1246,IFERROR(INDEX(LISTAS!$C$3:$C$42,MATCH($L1246,LISTAS!$A$3:$A$42,0)),3)))</f>
        <v/>
      </c>
      <c r="V1246" s="40" t="n"/>
      <c r="W1246" s="19">
        <f>IF($B1246="","",IF($V1246&lt;&gt;"",$V1246-$B1246,TODAY()-$B1246))</f>
        <v/>
      </c>
      <c r="X1246" s="19">
        <f>IF(OR($B1246="",$U1246=""),"",IF($V1246&lt;&gt;"",MAX(0,$V1246-$U1246),MAX(0,TODAY()-$U1246)))</f>
        <v/>
      </c>
      <c r="Y1246" s="39">
        <f>IF($C1246="","",IF(IFERROR(INDEX(LISTAS!$I$3:$I$42,MATCH($T1246,LISTAS!$H$3:$H$42,0)),"NO")="SÍ",IF(N($X1246)&gt;0,"CERRADA FUERA DE SLA","CERRADA EN SLA"),IF($U1246="","SIN CLASIFICAR",IF(N($X1246)&gt;0,"VENCIDA",IF(TODAY()&gt;=$U1246-1,"POR VENCER","EN PLAZO")))))</f>
        <v/>
      </c>
      <c r="Z1246" s="41" t="n"/>
      <c r="AA1246" s="41" t="n"/>
      <c r="AB1246" s="41" t="n"/>
    </row>
    <row r="1247">
      <c r="A1247" s="39">
        <f>IF($C1247="","","NOV-"&amp;TEXT(ROW()-3,"0000"))</f>
        <v/>
      </c>
      <c r="B1247" s="40" t="n"/>
      <c r="C1247" s="41" t="n"/>
      <c r="D1247" s="42">
        <f>IF($C1247="","",IFERROR(INDEX(DESPACHOS!$D$3:$D$3002,MATCH($C1247,DESPACHOS!$B$3:$B$3002,0)),"SIN DESPACHO"))</f>
        <v/>
      </c>
      <c r="E1247" s="42">
        <f>IF($C1247="","",IFERROR(INDEX(DESPACHOS!$K$3:$K$3002,MATCH($C1247,DESPACHOS!$B$3:$B$3002,0)),""))</f>
        <v/>
      </c>
      <c r="F1247" s="42">
        <f>IF($C1247="","",IFERROR(INDEX(DESPACHOS!$I$3:$I$3002,MATCH($C1247,DESPACHOS!$B$3:$B$3002,0)),""))</f>
        <v/>
      </c>
      <c r="G1247" s="42">
        <f>IF($C1247="","",IFERROR(INDEX(DESPACHOS!$F$3:$F$3002,MATCH($C1247,DESPACHOS!$B$3:$B$3002,0)),""))</f>
        <v/>
      </c>
      <c r="H1247" s="42">
        <f>IF($C1247="","",IFERROR(INDEX(DESPACHOS!$G$3:$G$3002,MATCH($C1247,DESPACHOS!$B$3:$B$3002,0)),""))</f>
        <v/>
      </c>
      <c r="I1247" s="39">
        <f>IF($C1247="","",IFERROR(INDEX(DESPACHOS!$H$3:$H$3002,MATCH($C1247,DESPACHOS!$B$3:$B$3002,0)),""))</f>
        <v/>
      </c>
      <c r="J1247" s="43">
        <f>IF($C1247="","",IFERROR(INDEX(DESPACHOS!$J$3:$J$3002,MATCH($C1247,DESPACHOS!$B$3:$B$3002,0)),""))</f>
        <v/>
      </c>
      <c r="K1247" s="39">
        <f>IF($C1247="","",IF(COUNTIFS(DESPACHOS!$B$3:$B$3002,$C1247)=0,"NO EXISTE",IF(COUNTIFS(DESPACHOS!$B$3:$B$3002,$C1247)&gt;1,"DUPLICADO","OK")))</f>
        <v/>
      </c>
      <c r="L1247" s="41" t="n"/>
      <c r="M1247" s="41" t="n"/>
      <c r="N1247" s="42">
        <f>IF($M1247="","",IFERROR(INDEX(LISTAS!$F$3:$F$42,MATCH($M1247,LISTAS!$E$3:$E$42,0)),"Por definir"))</f>
        <v/>
      </c>
      <c r="O1247" s="41" t="n"/>
      <c r="P1247" s="39">
        <f>IF($L1247="","",IFERROR(INDEX(LISTAS!$B$3:$B$42,MATCH($L1247,LISTAS!$A$3:$A$42,0)),"Media"))</f>
        <v/>
      </c>
      <c r="Q1247" s="44" t="n"/>
      <c r="R1247" s="45" t="n"/>
      <c r="S1247" s="20">
        <f>IFERROR(IF(OR($R1247="",$C1247=""),"",$R1247/INDEX(DESPACHOS!$M$3:$M$3002,MATCH($C1247,DESPACHOS!$B$3:$B$3002,0))),"")</f>
        <v/>
      </c>
      <c r="T1247" s="41" t="n"/>
      <c r="U1247" s="43">
        <f>IF(OR($B1247="",$L1247=""),"",WORKDAY($B1247,IFERROR(INDEX(LISTAS!$C$3:$C$42,MATCH($L1247,LISTAS!$A$3:$A$42,0)),3)))</f>
        <v/>
      </c>
      <c r="V1247" s="40" t="n"/>
      <c r="W1247" s="19">
        <f>IF($B1247="","",IF($V1247&lt;&gt;"",$V1247-$B1247,TODAY()-$B1247))</f>
        <v/>
      </c>
      <c r="X1247" s="19">
        <f>IF(OR($B1247="",$U1247=""),"",IF($V1247&lt;&gt;"",MAX(0,$V1247-$U1247),MAX(0,TODAY()-$U1247)))</f>
        <v/>
      </c>
      <c r="Y1247" s="39">
        <f>IF($C1247="","",IF(IFERROR(INDEX(LISTAS!$I$3:$I$42,MATCH($T1247,LISTAS!$H$3:$H$42,0)),"NO")="SÍ",IF(N($X1247)&gt;0,"CERRADA FUERA DE SLA","CERRADA EN SLA"),IF($U1247="","SIN CLASIFICAR",IF(N($X1247)&gt;0,"VENCIDA",IF(TODAY()&gt;=$U1247-1,"POR VENCER","EN PLAZO")))))</f>
        <v/>
      </c>
      <c r="Z1247" s="41" t="n"/>
      <c r="AA1247" s="41" t="n"/>
      <c r="AB1247" s="41" t="n"/>
    </row>
    <row r="1248">
      <c r="A1248" s="39">
        <f>IF($C1248="","","NOV-"&amp;TEXT(ROW()-3,"0000"))</f>
        <v/>
      </c>
      <c r="B1248" s="40" t="n"/>
      <c r="C1248" s="41" t="n"/>
      <c r="D1248" s="42">
        <f>IF($C1248="","",IFERROR(INDEX(DESPACHOS!$D$3:$D$3002,MATCH($C1248,DESPACHOS!$B$3:$B$3002,0)),"SIN DESPACHO"))</f>
        <v/>
      </c>
      <c r="E1248" s="42">
        <f>IF($C1248="","",IFERROR(INDEX(DESPACHOS!$K$3:$K$3002,MATCH($C1248,DESPACHOS!$B$3:$B$3002,0)),""))</f>
        <v/>
      </c>
      <c r="F1248" s="42">
        <f>IF($C1248="","",IFERROR(INDEX(DESPACHOS!$I$3:$I$3002,MATCH($C1248,DESPACHOS!$B$3:$B$3002,0)),""))</f>
        <v/>
      </c>
      <c r="G1248" s="42">
        <f>IF($C1248="","",IFERROR(INDEX(DESPACHOS!$F$3:$F$3002,MATCH($C1248,DESPACHOS!$B$3:$B$3002,0)),""))</f>
        <v/>
      </c>
      <c r="H1248" s="42">
        <f>IF($C1248="","",IFERROR(INDEX(DESPACHOS!$G$3:$G$3002,MATCH($C1248,DESPACHOS!$B$3:$B$3002,0)),""))</f>
        <v/>
      </c>
      <c r="I1248" s="39">
        <f>IF($C1248="","",IFERROR(INDEX(DESPACHOS!$H$3:$H$3002,MATCH($C1248,DESPACHOS!$B$3:$B$3002,0)),""))</f>
        <v/>
      </c>
      <c r="J1248" s="43">
        <f>IF($C1248="","",IFERROR(INDEX(DESPACHOS!$J$3:$J$3002,MATCH($C1248,DESPACHOS!$B$3:$B$3002,0)),""))</f>
        <v/>
      </c>
      <c r="K1248" s="39">
        <f>IF($C1248="","",IF(COUNTIFS(DESPACHOS!$B$3:$B$3002,$C1248)=0,"NO EXISTE",IF(COUNTIFS(DESPACHOS!$B$3:$B$3002,$C1248)&gt;1,"DUPLICADO","OK")))</f>
        <v/>
      </c>
      <c r="L1248" s="41" t="n"/>
      <c r="M1248" s="41" t="n"/>
      <c r="N1248" s="42">
        <f>IF($M1248="","",IFERROR(INDEX(LISTAS!$F$3:$F$42,MATCH($M1248,LISTAS!$E$3:$E$42,0)),"Por definir"))</f>
        <v/>
      </c>
      <c r="O1248" s="41" t="n"/>
      <c r="P1248" s="39">
        <f>IF($L1248="","",IFERROR(INDEX(LISTAS!$B$3:$B$42,MATCH($L1248,LISTAS!$A$3:$A$42,0)),"Media"))</f>
        <v/>
      </c>
      <c r="Q1248" s="44" t="n"/>
      <c r="R1248" s="45" t="n"/>
      <c r="S1248" s="20">
        <f>IFERROR(IF(OR($R1248="",$C1248=""),"",$R1248/INDEX(DESPACHOS!$M$3:$M$3002,MATCH($C1248,DESPACHOS!$B$3:$B$3002,0))),"")</f>
        <v/>
      </c>
      <c r="T1248" s="41" t="n"/>
      <c r="U1248" s="43">
        <f>IF(OR($B1248="",$L1248=""),"",WORKDAY($B1248,IFERROR(INDEX(LISTAS!$C$3:$C$42,MATCH($L1248,LISTAS!$A$3:$A$42,0)),3)))</f>
        <v/>
      </c>
      <c r="V1248" s="40" t="n"/>
      <c r="W1248" s="19">
        <f>IF($B1248="","",IF($V1248&lt;&gt;"",$V1248-$B1248,TODAY()-$B1248))</f>
        <v/>
      </c>
      <c r="X1248" s="19">
        <f>IF(OR($B1248="",$U1248=""),"",IF($V1248&lt;&gt;"",MAX(0,$V1248-$U1248),MAX(0,TODAY()-$U1248)))</f>
        <v/>
      </c>
      <c r="Y1248" s="39">
        <f>IF($C1248="","",IF(IFERROR(INDEX(LISTAS!$I$3:$I$42,MATCH($T1248,LISTAS!$H$3:$H$42,0)),"NO")="SÍ",IF(N($X1248)&gt;0,"CERRADA FUERA DE SLA","CERRADA EN SLA"),IF($U1248="","SIN CLASIFICAR",IF(N($X1248)&gt;0,"VENCIDA",IF(TODAY()&gt;=$U1248-1,"POR VENCER","EN PLAZO")))))</f>
        <v/>
      </c>
      <c r="Z1248" s="41" t="n"/>
      <c r="AA1248" s="41" t="n"/>
      <c r="AB1248" s="41" t="n"/>
    </row>
    <row r="1249">
      <c r="A1249" s="39">
        <f>IF($C1249="","","NOV-"&amp;TEXT(ROW()-3,"0000"))</f>
        <v/>
      </c>
      <c r="B1249" s="40" t="n"/>
      <c r="C1249" s="41" t="n"/>
      <c r="D1249" s="42">
        <f>IF($C1249="","",IFERROR(INDEX(DESPACHOS!$D$3:$D$3002,MATCH($C1249,DESPACHOS!$B$3:$B$3002,0)),"SIN DESPACHO"))</f>
        <v/>
      </c>
      <c r="E1249" s="42">
        <f>IF($C1249="","",IFERROR(INDEX(DESPACHOS!$K$3:$K$3002,MATCH($C1249,DESPACHOS!$B$3:$B$3002,0)),""))</f>
        <v/>
      </c>
      <c r="F1249" s="42">
        <f>IF($C1249="","",IFERROR(INDEX(DESPACHOS!$I$3:$I$3002,MATCH($C1249,DESPACHOS!$B$3:$B$3002,0)),""))</f>
        <v/>
      </c>
      <c r="G1249" s="42">
        <f>IF($C1249="","",IFERROR(INDEX(DESPACHOS!$F$3:$F$3002,MATCH($C1249,DESPACHOS!$B$3:$B$3002,0)),""))</f>
        <v/>
      </c>
      <c r="H1249" s="42">
        <f>IF($C1249="","",IFERROR(INDEX(DESPACHOS!$G$3:$G$3002,MATCH($C1249,DESPACHOS!$B$3:$B$3002,0)),""))</f>
        <v/>
      </c>
      <c r="I1249" s="39">
        <f>IF($C1249="","",IFERROR(INDEX(DESPACHOS!$H$3:$H$3002,MATCH($C1249,DESPACHOS!$B$3:$B$3002,0)),""))</f>
        <v/>
      </c>
      <c r="J1249" s="43">
        <f>IF($C1249="","",IFERROR(INDEX(DESPACHOS!$J$3:$J$3002,MATCH($C1249,DESPACHOS!$B$3:$B$3002,0)),""))</f>
        <v/>
      </c>
      <c r="K1249" s="39">
        <f>IF($C1249="","",IF(COUNTIFS(DESPACHOS!$B$3:$B$3002,$C1249)=0,"NO EXISTE",IF(COUNTIFS(DESPACHOS!$B$3:$B$3002,$C1249)&gt;1,"DUPLICADO","OK")))</f>
        <v/>
      </c>
      <c r="L1249" s="41" t="n"/>
      <c r="M1249" s="41" t="n"/>
      <c r="N1249" s="42">
        <f>IF($M1249="","",IFERROR(INDEX(LISTAS!$F$3:$F$42,MATCH($M1249,LISTAS!$E$3:$E$42,0)),"Por definir"))</f>
        <v/>
      </c>
      <c r="O1249" s="41" t="n"/>
      <c r="P1249" s="39">
        <f>IF($L1249="","",IFERROR(INDEX(LISTAS!$B$3:$B$42,MATCH($L1249,LISTAS!$A$3:$A$42,0)),"Media"))</f>
        <v/>
      </c>
      <c r="Q1249" s="44" t="n"/>
      <c r="R1249" s="45" t="n"/>
      <c r="S1249" s="20">
        <f>IFERROR(IF(OR($R1249="",$C1249=""),"",$R1249/INDEX(DESPACHOS!$M$3:$M$3002,MATCH($C1249,DESPACHOS!$B$3:$B$3002,0))),"")</f>
        <v/>
      </c>
      <c r="T1249" s="41" t="n"/>
      <c r="U1249" s="43">
        <f>IF(OR($B1249="",$L1249=""),"",WORKDAY($B1249,IFERROR(INDEX(LISTAS!$C$3:$C$42,MATCH($L1249,LISTAS!$A$3:$A$42,0)),3)))</f>
        <v/>
      </c>
      <c r="V1249" s="40" t="n"/>
      <c r="W1249" s="19">
        <f>IF($B1249="","",IF($V1249&lt;&gt;"",$V1249-$B1249,TODAY()-$B1249))</f>
        <v/>
      </c>
      <c r="X1249" s="19">
        <f>IF(OR($B1249="",$U1249=""),"",IF($V1249&lt;&gt;"",MAX(0,$V1249-$U1249),MAX(0,TODAY()-$U1249)))</f>
        <v/>
      </c>
      <c r="Y1249" s="39">
        <f>IF($C1249="","",IF(IFERROR(INDEX(LISTAS!$I$3:$I$42,MATCH($T1249,LISTAS!$H$3:$H$42,0)),"NO")="SÍ",IF(N($X1249)&gt;0,"CERRADA FUERA DE SLA","CERRADA EN SLA"),IF($U1249="","SIN CLASIFICAR",IF(N($X1249)&gt;0,"VENCIDA",IF(TODAY()&gt;=$U1249-1,"POR VENCER","EN PLAZO")))))</f>
        <v/>
      </c>
      <c r="Z1249" s="41" t="n"/>
      <c r="AA1249" s="41" t="n"/>
      <c r="AB1249" s="41" t="n"/>
    </row>
    <row r="1250">
      <c r="A1250" s="39">
        <f>IF($C1250="","","NOV-"&amp;TEXT(ROW()-3,"0000"))</f>
        <v/>
      </c>
      <c r="B1250" s="40" t="n"/>
      <c r="C1250" s="41" t="n"/>
      <c r="D1250" s="42">
        <f>IF($C1250="","",IFERROR(INDEX(DESPACHOS!$D$3:$D$3002,MATCH($C1250,DESPACHOS!$B$3:$B$3002,0)),"SIN DESPACHO"))</f>
        <v/>
      </c>
      <c r="E1250" s="42">
        <f>IF($C1250="","",IFERROR(INDEX(DESPACHOS!$K$3:$K$3002,MATCH($C1250,DESPACHOS!$B$3:$B$3002,0)),""))</f>
        <v/>
      </c>
      <c r="F1250" s="42">
        <f>IF($C1250="","",IFERROR(INDEX(DESPACHOS!$I$3:$I$3002,MATCH($C1250,DESPACHOS!$B$3:$B$3002,0)),""))</f>
        <v/>
      </c>
      <c r="G1250" s="42">
        <f>IF($C1250="","",IFERROR(INDEX(DESPACHOS!$F$3:$F$3002,MATCH($C1250,DESPACHOS!$B$3:$B$3002,0)),""))</f>
        <v/>
      </c>
      <c r="H1250" s="42">
        <f>IF($C1250="","",IFERROR(INDEX(DESPACHOS!$G$3:$G$3002,MATCH($C1250,DESPACHOS!$B$3:$B$3002,0)),""))</f>
        <v/>
      </c>
      <c r="I1250" s="39">
        <f>IF($C1250="","",IFERROR(INDEX(DESPACHOS!$H$3:$H$3002,MATCH($C1250,DESPACHOS!$B$3:$B$3002,0)),""))</f>
        <v/>
      </c>
      <c r="J1250" s="43">
        <f>IF($C1250="","",IFERROR(INDEX(DESPACHOS!$J$3:$J$3002,MATCH($C1250,DESPACHOS!$B$3:$B$3002,0)),""))</f>
        <v/>
      </c>
      <c r="K1250" s="39">
        <f>IF($C1250="","",IF(COUNTIFS(DESPACHOS!$B$3:$B$3002,$C1250)=0,"NO EXISTE",IF(COUNTIFS(DESPACHOS!$B$3:$B$3002,$C1250)&gt;1,"DUPLICADO","OK")))</f>
        <v/>
      </c>
      <c r="L1250" s="41" t="n"/>
      <c r="M1250" s="41" t="n"/>
      <c r="N1250" s="42">
        <f>IF($M1250="","",IFERROR(INDEX(LISTAS!$F$3:$F$42,MATCH($M1250,LISTAS!$E$3:$E$42,0)),"Por definir"))</f>
        <v/>
      </c>
      <c r="O1250" s="41" t="n"/>
      <c r="P1250" s="39">
        <f>IF($L1250="","",IFERROR(INDEX(LISTAS!$B$3:$B$42,MATCH($L1250,LISTAS!$A$3:$A$42,0)),"Media"))</f>
        <v/>
      </c>
      <c r="Q1250" s="44" t="n"/>
      <c r="R1250" s="45" t="n"/>
      <c r="S1250" s="20">
        <f>IFERROR(IF(OR($R1250="",$C1250=""),"",$R1250/INDEX(DESPACHOS!$M$3:$M$3002,MATCH($C1250,DESPACHOS!$B$3:$B$3002,0))),"")</f>
        <v/>
      </c>
      <c r="T1250" s="41" t="n"/>
      <c r="U1250" s="43">
        <f>IF(OR($B1250="",$L1250=""),"",WORKDAY($B1250,IFERROR(INDEX(LISTAS!$C$3:$C$42,MATCH($L1250,LISTAS!$A$3:$A$42,0)),3)))</f>
        <v/>
      </c>
      <c r="V1250" s="40" t="n"/>
      <c r="W1250" s="19">
        <f>IF($B1250="","",IF($V1250&lt;&gt;"",$V1250-$B1250,TODAY()-$B1250))</f>
        <v/>
      </c>
      <c r="X1250" s="19">
        <f>IF(OR($B1250="",$U1250=""),"",IF($V1250&lt;&gt;"",MAX(0,$V1250-$U1250),MAX(0,TODAY()-$U1250)))</f>
        <v/>
      </c>
      <c r="Y1250" s="39">
        <f>IF($C1250="","",IF(IFERROR(INDEX(LISTAS!$I$3:$I$42,MATCH($T1250,LISTAS!$H$3:$H$42,0)),"NO")="SÍ",IF(N($X1250)&gt;0,"CERRADA FUERA DE SLA","CERRADA EN SLA"),IF($U1250="","SIN CLASIFICAR",IF(N($X1250)&gt;0,"VENCIDA",IF(TODAY()&gt;=$U1250-1,"POR VENCER","EN PLAZO")))))</f>
        <v/>
      </c>
      <c r="Z1250" s="41" t="n"/>
      <c r="AA1250" s="41" t="n"/>
      <c r="AB1250" s="41" t="n"/>
    </row>
    <row r="1251">
      <c r="A1251" s="39">
        <f>IF($C1251="","","NOV-"&amp;TEXT(ROW()-3,"0000"))</f>
        <v/>
      </c>
      <c r="B1251" s="40" t="n"/>
      <c r="C1251" s="41" t="n"/>
      <c r="D1251" s="42">
        <f>IF($C1251="","",IFERROR(INDEX(DESPACHOS!$D$3:$D$3002,MATCH($C1251,DESPACHOS!$B$3:$B$3002,0)),"SIN DESPACHO"))</f>
        <v/>
      </c>
      <c r="E1251" s="42">
        <f>IF($C1251="","",IFERROR(INDEX(DESPACHOS!$K$3:$K$3002,MATCH($C1251,DESPACHOS!$B$3:$B$3002,0)),""))</f>
        <v/>
      </c>
      <c r="F1251" s="42">
        <f>IF($C1251="","",IFERROR(INDEX(DESPACHOS!$I$3:$I$3002,MATCH($C1251,DESPACHOS!$B$3:$B$3002,0)),""))</f>
        <v/>
      </c>
      <c r="G1251" s="42">
        <f>IF($C1251="","",IFERROR(INDEX(DESPACHOS!$F$3:$F$3002,MATCH($C1251,DESPACHOS!$B$3:$B$3002,0)),""))</f>
        <v/>
      </c>
      <c r="H1251" s="42">
        <f>IF($C1251="","",IFERROR(INDEX(DESPACHOS!$G$3:$G$3002,MATCH($C1251,DESPACHOS!$B$3:$B$3002,0)),""))</f>
        <v/>
      </c>
      <c r="I1251" s="39">
        <f>IF($C1251="","",IFERROR(INDEX(DESPACHOS!$H$3:$H$3002,MATCH($C1251,DESPACHOS!$B$3:$B$3002,0)),""))</f>
        <v/>
      </c>
      <c r="J1251" s="43">
        <f>IF($C1251="","",IFERROR(INDEX(DESPACHOS!$J$3:$J$3002,MATCH($C1251,DESPACHOS!$B$3:$B$3002,0)),""))</f>
        <v/>
      </c>
      <c r="K1251" s="39">
        <f>IF($C1251="","",IF(COUNTIFS(DESPACHOS!$B$3:$B$3002,$C1251)=0,"NO EXISTE",IF(COUNTIFS(DESPACHOS!$B$3:$B$3002,$C1251)&gt;1,"DUPLICADO","OK")))</f>
        <v/>
      </c>
      <c r="L1251" s="41" t="n"/>
      <c r="M1251" s="41" t="n"/>
      <c r="N1251" s="42">
        <f>IF($M1251="","",IFERROR(INDEX(LISTAS!$F$3:$F$42,MATCH($M1251,LISTAS!$E$3:$E$42,0)),"Por definir"))</f>
        <v/>
      </c>
      <c r="O1251" s="41" t="n"/>
      <c r="P1251" s="39">
        <f>IF($L1251="","",IFERROR(INDEX(LISTAS!$B$3:$B$42,MATCH($L1251,LISTAS!$A$3:$A$42,0)),"Media"))</f>
        <v/>
      </c>
      <c r="Q1251" s="44" t="n"/>
      <c r="R1251" s="45" t="n"/>
      <c r="S1251" s="20">
        <f>IFERROR(IF(OR($R1251="",$C1251=""),"",$R1251/INDEX(DESPACHOS!$M$3:$M$3002,MATCH($C1251,DESPACHOS!$B$3:$B$3002,0))),"")</f>
        <v/>
      </c>
      <c r="T1251" s="41" t="n"/>
      <c r="U1251" s="43">
        <f>IF(OR($B1251="",$L1251=""),"",WORKDAY($B1251,IFERROR(INDEX(LISTAS!$C$3:$C$42,MATCH($L1251,LISTAS!$A$3:$A$42,0)),3)))</f>
        <v/>
      </c>
      <c r="V1251" s="40" t="n"/>
      <c r="W1251" s="19">
        <f>IF($B1251="","",IF($V1251&lt;&gt;"",$V1251-$B1251,TODAY()-$B1251))</f>
        <v/>
      </c>
      <c r="X1251" s="19">
        <f>IF(OR($B1251="",$U1251=""),"",IF($V1251&lt;&gt;"",MAX(0,$V1251-$U1251),MAX(0,TODAY()-$U1251)))</f>
        <v/>
      </c>
      <c r="Y1251" s="39">
        <f>IF($C1251="","",IF(IFERROR(INDEX(LISTAS!$I$3:$I$42,MATCH($T1251,LISTAS!$H$3:$H$42,0)),"NO")="SÍ",IF(N($X1251)&gt;0,"CERRADA FUERA DE SLA","CERRADA EN SLA"),IF($U1251="","SIN CLASIFICAR",IF(N($X1251)&gt;0,"VENCIDA",IF(TODAY()&gt;=$U1251-1,"POR VENCER","EN PLAZO")))))</f>
        <v/>
      </c>
      <c r="Z1251" s="41" t="n"/>
      <c r="AA1251" s="41" t="n"/>
      <c r="AB1251" s="41" t="n"/>
    </row>
    <row r="1252">
      <c r="A1252" s="39">
        <f>IF($C1252="","","NOV-"&amp;TEXT(ROW()-3,"0000"))</f>
        <v/>
      </c>
      <c r="B1252" s="40" t="n"/>
      <c r="C1252" s="41" t="n"/>
      <c r="D1252" s="42">
        <f>IF($C1252="","",IFERROR(INDEX(DESPACHOS!$D$3:$D$3002,MATCH($C1252,DESPACHOS!$B$3:$B$3002,0)),"SIN DESPACHO"))</f>
        <v/>
      </c>
      <c r="E1252" s="42">
        <f>IF($C1252="","",IFERROR(INDEX(DESPACHOS!$K$3:$K$3002,MATCH($C1252,DESPACHOS!$B$3:$B$3002,0)),""))</f>
        <v/>
      </c>
      <c r="F1252" s="42">
        <f>IF($C1252="","",IFERROR(INDEX(DESPACHOS!$I$3:$I$3002,MATCH($C1252,DESPACHOS!$B$3:$B$3002,0)),""))</f>
        <v/>
      </c>
      <c r="G1252" s="42">
        <f>IF($C1252="","",IFERROR(INDEX(DESPACHOS!$F$3:$F$3002,MATCH($C1252,DESPACHOS!$B$3:$B$3002,0)),""))</f>
        <v/>
      </c>
      <c r="H1252" s="42">
        <f>IF($C1252="","",IFERROR(INDEX(DESPACHOS!$G$3:$G$3002,MATCH($C1252,DESPACHOS!$B$3:$B$3002,0)),""))</f>
        <v/>
      </c>
      <c r="I1252" s="39">
        <f>IF($C1252="","",IFERROR(INDEX(DESPACHOS!$H$3:$H$3002,MATCH($C1252,DESPACHOS!$B$3:$B$3002,0)),""))</f>
        <v/>
      </c>
      <c r="J1252" s="43">
        <f>IF($C1252="","",IFERROR(INDEX(DESPACHOS!$J$3:$J$3002,MATCH($C1252,DESPACHOS!$B$3:$B$3002,0)),""))</f>
        <v/>
      </c>
      <c r="K1252" s="39">
        <f>IF($C1252="","",IF(COUNTIFS(DESPACHOS!$B$3:$B$3002,$C1252)=0,"NO EXISTE",IF(COUNTIFS(DESPACHOS!$B$3:$B$3002,$C1252)&gt;1,"DUPLICADO","OK")))</f>
        <v/>
      </c>
      <c r="L1252" s="41" t="n"/>
      <c r="M1252" s="41" t="n"/>
      <c r="N1252" s="42">
        <f>IF($M1252="","",IFERROR(INDEX(LISTAS!$F$3:$F$42,MATCH($M1252,LISTAS!$E$3:$E$42,0)),"Por definir"))</f>
        <v/>
      </c>
      <c r="O1252" s="41" t="n"/>
      <c r="P1252" s="39">
        <f>IF($L1252="","",IFERROR(INDEX(LISTAS!$B$3:$B$42,MATCH($L1252,LISTAS!$A$3:$A$42,0)),"Media"))</f>
        <v/>
      </c>
      <c r="Q1252" s="44" t="n"/>
      <c r="R1252" s="45" t="n"/>
      <c r="S1252" s="20">
        <f>IFERROR(IF(OR($R1252="",$C1252=""),"",$R1252/INDEX(DESPACHOS!$M$3:$M$3002,MATCH($C1252,DESPACHOS!$B$3:$B$3002,0))),"")</f>
        <v/>
      </c>
      <c r="T1252" s="41" t="n"/>
      <c r="U1252" s="43">
        <f>IF(OR($B1252="",$L1252=""),"",WORKDAY($B1252,IFERROR(INDEX(LISTAS!$C$3:$C$42,MATCH($L1252,LISTAS!$A$3:$A$42,0)),3)))</f>
        <v/>
      </c>
      <c r="V1252" s="40" t="n"/>
      <c r="W1252" s="19">
        <f>IF($B1252="","",IF($V1252&lt;&gt;"",$V1252-$B1252,TODAY()-$B1252))</f>
        <v/>
      </c>
      <c r="X1252" s="19">
        <f>IF(OR($B1252="",$U1252=""),"",IF($V1252&lt;&gt;"",MAX(0,$V1252-$U1252),MAX(0,TODAY()-$U1252)))</f>
        <v/>
      </c>
      <c r="Y1252" s="39">
        <f>IF($C1252="","",IF(IFERROR(INDEX(LISTAS!$I$3:$I$42,MATCH($T1252,LISTAS!$H$3:$H$42,0)),"NO")="SÍ",IF(N($X1252)&gt;0,"CERRADA FUERA DE SLA","CERRADA EN SLA"),IF($U1252="","SIN CLASIFICAR",IF(N($X1252)&gt;0,"VENCIDA",IF(TODAY()&gt;=$U1252-1,"POR VENCER","EN PLAZO")))))</f>
        <v/>
      </c>
      <c r="Z1252" s="41" t="n"/>
      <c r="AA1252" s="41" t="n"/>
      <c r="AB1252" s="41" t="n"/>
    </row>
    <row r="1253">
      <c r="A1253" s="39">
        <f>IF($C1253="","","NOV-"&amp;TEXT(ROW()-3,"0000"))</f>
        <v/>
      </c>
      <c r="B1253" s="40" t="n"/>
      <c r="C1253" s="41" t="n"/>
      <c r="D1253" s="42">
        <f>IF($C1253="","",IFERROR(INDEX(DESPACHOS!$D$3:$D$3002,MATCH($C1253,DESPACHOS!$B$3:$B$3002,0)),"SIN DESPACHO"))</f>
        <v/>
      </c>
      <c r="E1253" s="42">
        <f>IF($C1253="","",IFERROR(INDEX(DESPACHOS!$K$3:$K$3002,MATCH($C1253,DESPACHOS!$B$3:$B$3002,0)),""))</f>
        <v/>
      </c>
      <c r="F1253" s="42">
        <f>IF($C1253="","",IFERROR(INDEX(DESPACHOS!$I$3:$I$3002,MATCH($C1253,DESPACHOS!$B$3:$B$3002,0)),""))</f>
        <v/>
      </c>
      <c r="G1253" s="42">
        <f>IF($C1253="","",IFERROR(INDEX(DESPACHOS!$F$3:$F$3002,MATCH($C1253,DESPACHOS!$B$3:$B$3002,0)),""))</f>
        <v/>
      </c>
      <c r="H1253" s="42">
        <f>IF($C1253="","",IFERROR(INDEX(DESPACHOS!$G$3:$G$3002,MATCH($C1253,DESPACHOS!$B$3:$B$3002,0)),""))</f>
        <v/>
      </c>
      <c r="I1253" s="39">
        <f>IF($C1253="","",IFERROR(INDEX(DESPACHOS!$H$3:$H$3002,MATCH($C1253,DESPACHOS!$B$3:$B$3002,0)),""))</f>
        <v/>
      </c>
      <c r="J1253" s="43">
        <f>IF($C1253="","",IFERROR(INDEX(DESPACHOS!$J$3:$J$3002,MATCH($C1253,DESPACHOS!$B$3:$B$3002,0)),""))</f>
        <v/>
      </c>
      <c r="K1253" s="39">
        <f>IF($C1253="","",IF(COUNTIFS(DESPACHOS!$B$3:$B$3002,$C1253)=0,"NO EXISTE",IF(COUNTIFS(DESPACHOS!$B$3:$B$3002,$C1253)&gt;1,"DUPLICADO","OK")))</f>
        <v/>
      </c>
      <c r="L1253" s="41" t="n"/>
      <c r="M1253" s="41" t="n"/>
      <c r="N1253" s="42">
        <f>IF($M1253="","",IFERROR(INDEX(LISTAS!$F$3:$F$42,MATCH($M1253,LISTAS!$E$3:$E$42,0)),"Por definir"))</f>
        <v/>
      </c>
      <c r="O1253" s="41" t="n"/>
      <c r="P1253" s="39">
        <f>IF($L1253="","",IFERROR(INDEX(LISTAS!$B$3:$B$42,MATCH($L1253,LISTAS!$A$3:$A$42,0)),"Media"))</f>
        <v/>
      </c>
      <c r="Q1253" s="44" t="n"/>
      <c r="R1253" s="45" t="n"/>
      <c r="S1253" s="20">
        <f>IFERROR(IF(OR($R1253="",$C1253=""),"",$R1253/INDEX(DESPACHOS!$M$3:$M$3002,MATCH($C1253,DESPACHOS!$B$3:$B$3002,0))),"")</f>
        <v/>
      </c>
      <c r="T1253" s="41" t="n"/>
      <c r="U1253" s="43">
        <f>IF(OR($B1253="",$L1253=""),"",WORKDAY($B1253,IFERROR(INDEX(LISTAS!$C$3:$C$42,MATCH($L1253,LISTAS!$A$3:$A$42,0)),3)))</f>
        <v/>
      </c>
      <c r="V1253" s="40" t="n"/>
      <c r="W1253" s="19">
        <f>IF($B1253="","",IF($V1253&lt;&gt;"",$V1253-$B1253,TODAY()-$B1253))</f>
        <v/>
      </c>
      <c r="X1253" s="19">
        <f>IF(OR($B1253="",$U1253=""),"",IF($V1253&lt;&gt;"",MAX(0,$V1253-$U1253),MAX(0,TODAY()-$U1253)))</f>
        <v/>
      </c>
      <c r="Y1253" s="39">
        <f>IF($C1253="","",IF(IFERROR(INDEX(LISTAS!$I$3:$I$42,MATCH($T1253,LISTAS!$H$3:$H$42,0)),"NO")="SÍ",IF(N($X1253)&gt;0,"CERRADA FUERA DE SLA","CERRADA EN SLA"),IF($U1253="","SIN CLASIFICAR",IF(N($X1253)&gt;0,"VENCIDA",IF(TODAY()&gt;=$U1253-1,"POR VENCER","EN PLAZO")))))</f>
        <v/>
      </c>
      <c r="Z1253" s="41" t="n"/>
      <c r="AA1253" s="41" t="n"/>
      <c r="AB1253" s="41" t="n"/>
    </row>
    <row r="1254">
      <c r="A1254" s="39">
        <f>IF($C1254="","","NOV-"&amp;TEXT(ROW()-3,"0000"))</f>
        <v/>
      </c>
      <c r="B1254" s="40" t="n"/>
      <c r="C1254" s="41" t="n"/>
      <c r="D1254" s="42">
        <f>IF($C1254="","",IFERROR(INDEX(DESPACHOS!$D$3:$D$3002,MATCH($C1254,DESPACHOS!$B$3:$B$3002,0)),"SIN DESPACHO"))</f>
        <v/>
      </c>
      <c r="E1254" s="42">
        <f>IF($C1254="","",IFERROR(INDEX(DESPACHOS!$K$3:$K$3002,MATCH($C1254,DESPACHOS!$B$3:$B$3002,0)),""))</f>
        <v/>
      </c>
      <c r="F1254" s="42">
        <f>IF($C1254="","",IFERROR(INDEX(DESPACHOS!$I$3:$I$3002,MATCH($C1254,DESPACHOS!$B$3:$B$3002,0)),""))</f>
        <v/>
      </c>
      <c r="G1254" s="42">
        <f>IF($C1254="","",IFERROR(INDEX(DESPACHOS!$F$3:$F$3002,MATCH($C1254,DESPACHOS!$B$3:$B$3002,0)),""))</f>
        <v/>
      </c>
      <c r="H1254" s="42">
        <f>IF($C1254="","",IFERROR(INDEX(DESPACHOS!$G$3:$G$3002,MATCH($C1254,DESPACHOS!$B$3:$B$3002,0)),""))</f>
        <v/>
      </c>
      <c r="I1254" s="39">
        <f>IF($C1254="","",IFERROR(INDEX(DESPACHOS!$H$3:$H$3002,MATCH($C1254,DESPACHOS!$B$3:$B$3002,0)),""))</f>
        <v/>
      </c>
      <c r="J1254" s="43">
        <f>IF($C1254="","",IFERROR(INDEX(DESPACHOS!$J$3:$J$3002,MATCH($C1254,DESPACHOS!$B$3:$B$3002,0)),""))</f>
        <v/>
      </c>
      <c r="K1254" s="39">
        <f>IF($C1254="","",IF(COUNTIFS(DESPACHOS!$B$3:$B$3002,$C1254)=0,"NO EXISTE",IF(COUNTIFS(DESPACHOS!$B$3:$B$3002,$C1254)&gt;1,"DUPLICADO","OK")))</f>
        <v/>
      </c>
      <c r="L1254" s="41" t="n"/>
      <c r="M1254" s="41" t="n"/>
      <c r="N1254" s="42">
        <f>IF($M1254="","",IFERROR(INDEX(LISTAS!$F$3:$F$42,MATCH($M1254,LISTAS!$E$3:$E$42,0)),"Por definir"))</f>
        <v/>
      </c>
      <c r="O1254" s="41" t="n"/>
      <c r="P1254" s="39">
        <f>IF($L1254="","",IFERROR(INDEX(LISTAS!$B$3:$B$42,MATCH($L1254,LISTAS!$A$3:$A$42,0)),"Media"))</f>
        <v/>
      </c>
      <c r="Q1254" s="44" t="n"/>
      <c r="R1254" s="45" t="n"/>
      <c r="S1254" s="20">
        <f>IFERROR(IF(OR($R1254="",$C1254=""),"",$R1254/INDEX(DESPACHOS!$M$3:$M$3002,MATCH($C1254,DESPACHOS!$B$3:$B$3002,0))),"")</f>
        <v/>
      </c>
      <c r="T1254" s="41" t="n"/>
      <c r="U1254" s="43">
        <f>IF(OR($B1254="",$L1254=""),"",WORKDAY($B1254,IFERROR(INDEX(LISTAS!$C$3:$C$42,MATCH($L1254,LISTAS!$A$3:$A$42,0)),3)))</f>
        <v/>
      </c>
      <c r="V1254" s="40" t="n"/>
      <c r="W1254" s="19">
        <f>IF($B1254="","",IF($V1254&lt;&gt;"",$V1254-$B1254,TODAY()-$B1254))</f>
        <v/>
      </c>
      <c r="X1254" s="19">
        <f>IF(OR($B1254="",$U1254=""),"",IF($V1254&lt;&gt;"",MAX(0,$V1254-$U1254),MAX(0,TODAY()-$U1254)))</f>
        <v/>
      </c>
      <c r="Y1254" s="39">
        <f>IF($C1254="","",IF(IFERROR(INDEX(LISTAS!$I$3:$I$42,MATCH($T1254,LISTAS!$H$3:$H$42,0)),"NO")="SÍ",IF(N($X1254)&gt;0,"CERRADA FUERA DE SLA","CERRADA EN SLA"),IF($U1254="","SIN CLASIFICAR",IF(N($X1254)&gt;0,"VENCIDA",IF(TODAY()&gt;=$U1254-1,"POR VENCER","EN PLAZO")))))</f>
        <v/>
      </c>
      <c r="Z1254" s="41" t="n"/>
      <c r="AA1254" s="41" t="n"/>
      <c r="AB1254" s="41" t="n"/>
    </row>
    <row r="1255">
      <c r="A1255" s="39">
        <f>IF($C1255="","","NOV-"&amp;TEXT(ROW()-3,"0000"))</f>
        <v/>
      </c>
      <c r="B1255" s="40" t="n"/>
      <c r="C1255" s="41" t="n"/>
      <c r="D1255" s="42">
        <f>IF($C1255="","",IFERROR(INDEX(DESPACHOS!$D$3:$D$3002,MATCH($C1255,DESPACHOS!$B$3:$B$3002,0)),"SIN DESPACHO"))</f>
        <v/>
      </c>
      <c r="E1255" s="42">
        <f>IF($C1255="","",IFERROR(INDEX(DESPACHOS!$K$3:$K$3002,MATCH($C1255,DESPACHOS!$B$3:$B$3002,0)),""))</f>
        <v/>
      </c>
      <c r="F1255" s="42">
        <f>IF($C1255="","",IFERROR(INDEX(DESPACHOS!$I$3:$I$3002,MATCH($C1255,DESPACHOS!$B$3:$B$3002,0)),""))</f>
        <v/>
      </c>
      <c r="G1255" s="42">
        <f>IF($C1255="","",IFERROR(INDEX(DESPACHOS!$F$3:$F$3002,MATCH($C1255,DESPACHOS!$B$3:$B$3002,0)),""))</f>
        <v/>
      </c>
      <c r="H1255" s="42">
        <f>IF($C1255="","",IFERROR(INDEX(DESPACHOS!$G$3:$G$3002,MATCH($C1255,DESPACHOS!$B$3:$B$3002,0)),""))</f>
        <v/>
      </c>
      <c r="I1255" s="39">
        <f>IF($C1255="","",IFERROR(INDEX(DESPACHOS!$H$3:$H$3002,MATCH($C1255,DESPACHOS!$B$3:$B$3002,0)),""))</f>
        <v/>
      </c>
      <c r="J1255" s="43">
        <f>IF($C1255="","",IFERROR(INDEX(DESPACHOS!$J$3:$J$3002,MATCH($C1255,DESPACHOS!$B$3:$B$3002,0)),""))</f>
        <v/>
      </c>
      <c r="K1255" s="39">
        <f>IF($C1255="","",IF(COUNTIFS(DESPACHOS!$B$3:$B$3002,$C1255)=0,"NO EXISTE",IF(COUNTIFS(DESPACHOS!$B$3:$B$3002,$C1255)&gt;1,"DUPLICADO","OK")))</f>
        <v/>
      </c>
      <c r="L1255" s="41" t="n"/>
      <c r="M1255" s="41" t="n"/>
      <c r="N1255" s="42">
        <f>IF($M1255="","",IFERROR(INDEX(LISTAS!$F$3:$F$42,MATCH($M1255,LISTAS!$E$3:$E$42,0)),"Por definir"))</f>
        <v/>
      </c>
      <c r="O1255" s="41" t="n"/>
      <c r="P1255" s="39">
        <f>IF($L1255="","",IFERROR(INDEX(LISTAS!$B$3:$B$42,MATCH($L1255,LISTAS!$A$3:$A$42,0)),"Media"))</f>
        <v/>
      </c>
      <c r="Q1255" s="44" t="n"/>
      <c r="R1255" s="45" t="n"/>
      <c r="S1255" s="20">
        <f>IFERROR(IF(OR($R1255="",$C1255=""),"",$R1255/INDEX(DESPACHOS!$M$3:$M$3002,MATCH($C1255,DESPACHOS!$B$3:$B$3002,0))),"")</f>
        <v/>
      </c>
      <c r="T1255" s="41" t="n"/>
      <c r="U1255" s="43">
        <f>IF(OR($B1255="",$L1255=""),"",WORKDAY($B1255,IFERROR(INDEX(LISTAS!$C$3:$C$42,MATCH($L1255,LISTAS!$A$3:$A$42,0)),3)))</f>
        <v/>
      </c>
      <c r="V1255" s="40" t="n"/>
      <c r="W1255" s="19">
        <f>IF($B1255="","",IF($V1255&lt;&gt;"",$V1255-$B1255,TODAY()-$B1255))</f>
        <v/>
      </c>
      <c r="X1255" s="19">
        <f>IF(OR($B1255="",$U1255=""),"",IF($V1255&lt;&gt;"",MAX(0,$V1255-$U1255),MAX(0,TODAY()-$U1255)))</f>
        <v/>
      </c>
      <c r="Y1255" s="39">
        <f>IF($C1255="","",IF(IFERROR(INDEX(LISTAS!$I$3:$I$42,MATCH($T1255,LISTAS!$H$3:$H$42,0)),"NO")="SÍ",IF(N($X1255)&gt;0,"CERRADA FUERA DE SLA","CERRADA EN SLA"),IF($U1255="","SIN CLASIFICAR",IF(N($X1255)&gt;0,"VENCIDA",IF(TODAY()&gt;=$U1255-1,"POR VENCER","EN PLAZO")))))</f>
        <v/>
      </c>
      <c r="Z1255" s="41" t="n"/>
      <c r="AA1255" s="41" t="n"/>
      <c r="AB1255" s="41" t="n"/>
    </row>
    <row r="1256">
      <c r="A1256" s="39">
        <f>IF($C1256="","","NOV-"&amp;TEXT(ROW()-3,"0000"))</f>
        <v/>
      </c>
      <c r="B1256" s="40" t="n"/>
      <c r="C1256" s="41" t="n"/>
      <c r="D1256" s="42">
        <f>IF($C1256="","",IFERROR(INDEX(DESPACHOS!$D$3:$D$3002,MATCH($C1256,DESPACHOS!$B$3:$B$3002,0)),"SIN DESPACHO"))</f>
        <v/>
      </c>
      <c r="E1256" s="42">
        <f>IF($C1256="","",IFERROR(INDEX(DESPACHOS!$K$3:$K$3002,MATCH($C1256,DESPACHOS!$B$3:$B$3002,0)),""))</f>
        <v/>
      </c>
      <c r="F1256" s="42">
        <f>IF($C1256="","",IFERROR(INDEX(DESPACHOS!$I$3:$I$3002,MATCH($C1256,DESPACHOS!$B$3:$B$3002,0)),""))</f>
        <v/>
      </c>
      <c r="G1256" s="42">
        <f>IF($C1256="","",IFERROR(INDEX(DESPACHOS!$F$3:$F$3002,MATCH($C1256,DESPACHOS!$B$3:$B$3002,0)),""))</f>
        <v/>
      </c>
      <c r="H1256" s="42">
        <f>IF($C1256="","",IFERROR(INDEX(DESPACHOS!$G$3:$G$3002,MATCH($C1256,DESPACHOS!$B$3:$B$3002,0)),""))</f>
        <v/>
      </c>
      <c r="I1256" s="39">
        <f>IF($C1256="","",IFERROR(INDEX(DESPACHOS!$H$3:$H$3002,MATCH($C1256,DESPACHOS!$B$3:$B$3002,0)),""))</f>
        <v/>
      </c>
      <c r="J1256" s="43">
        <f>IF($C1256="","",IFERROR(INDEX(DESPACHOS!$J$3:$J$3002,MATCH($C1256,DESPACHOS!$B$3:$B$3002,0)),""))</f>
        <v/>
      </c>
      <c r="K1256" s="39">
        <f>IF($C1256="","",IF(COUNTIFS(DESPACHOS!$B$3:$B$3002,$C1256)=0,"NO EXISTE",IF(COUNTIFS(DESPACHOS!$B$3:$B$3002,$C1256)&gt;1,"DUPLICADO","OK")))</f>
        <v/>
      </c>
      <c r="L1256" s="41" t="n"/>
      <c r="M1256" s="41" t="n"/>
      <c r="N1256" s="42">
        <f>IF($M1256="","",IFERROR(INDEX(LISTAS!$F$3:$F$42,MATCH($M1256,LISTAS!$E$3:$E$42,0)),"Por definir"))</f>
        <v/>
      </c>
      <c r="O1256" s="41" t="n"/>
      <c r="P1256" s="39">
        <f>IF($L1256="","",IFERROR(INDEX(LISTAS!$B$3:$B$42,MATCH($L1256,LISTAS!$A$3:$A$42,0)),"Media"))</f>
        <v/>
      </c>
      <c r="Q1256" s="44" t="n"/>
      <c r="R1256" s="45" t="n"/>
      <c r="S1256" s="20">
        <f>IFERROR(IF(OR($R1256="",$C1256=""),"",$R1256/INDEX(DESPACHOS!$M$3:$M$3002,MATCH($C1256,DESPACHOS!$B$3:$B$3002,0))),"")</f>
        <v/>
      </c>
      <c r="T1256" s="41" t="n"/>
      <c r="U1256" s="43">
        <f>IF(OR($B1256="",$L1256=""),"",WORKDAY($B1256,IFERROR(INDEX(LISTAS!$C$3:$C$42,MATCH($L1256,LISTAS!$A$3:$A$42,0)),3)))</f>
        <v/>
      </c>
      <c r="V1256" s="40" t="n"/>
      <c r="W1256" s="19">
        <f>IF($B1256="","",IF($V1256&lt;&gt;"",$V1256-$B1256,TODAY()-$B1256))</f>
        <v/>
      </c>
      <c r="X1256" s="19">
        <f>IF(OR($B1256="",$U1256=""),"",IF($V1256&lt;&gt;"",MAX(0,$V1256-$U1256),MAX(0,TODAY()-$U1256)))</f>
        <v/>
      </c>
      <c r="Y1256" s="39">
        <f>IF($C1256="","",IF(IFERROR(INDEX(LISTAS!$I$3:$I$42,MATCH($T1256,LISTAS!$H$3:$H$42,0)),"NO")="SÍ",IF(N($X1256)&gt;0,"CERRADA FUERA DE SLA","CERRADA EN SLA"),IF($U1256="","SIN CLASIFICAR",IF(N($X1256)&gt;0,"VENCIDA",IF(TODAY()&gt;=$U1256-1,"POR VENCER","EN PLAZO")))))</f>
        <v/>
      </c>
      <c r="Z1256" s="41" t="n"/>
      <c r="AA1256" s="41" t="n"/>
      <c r="AB1256" s="41" t="n"/>
    </row>
    <row r="1257">
      <c r="A1257" s="39">
        <f>IF($C1257="","","NOV-"&amp;TEXT(ROW()-3,"0000"))</f>
        <v/>
      </c>
      <c r="B1257" s="40" t="n"/>
      <c r="C1257" s="41" t="n"/>
      <c r="D1257" s="42">
        <f>IF($C1257="","",IFERROR(INDEX(DESPACHOS!$D$3:$D$3002,MATCH($C1257,DESPACHOS!$B$3:$B$3002,0)),"SIN DESPACHO"))</f>
        <v/>
      </c>
      <c r="E1257" s="42">
        <f>IF($C1257="","",IFERROR(INDEX(DESPACHOS!$K$3:$K$3002,MATCH($C1257,DESPACHOS!$B$3:$B$3002,0)),""))</f>
        <v/>
      </c>
      <c r="F1257" s="42">
        <f>IF($C1257="","",IFERROR(INDEX(DESPACHOS!$I$3:$I$3002,MATCH($C1257,DESPACHOS!$B$3:$B$3002,0)),""))</f>
        <v/>
      </c>
      <c r="G1257" s="42">
        <f>IF($C1257="","",IFERROR(INDEX(DESPACHOS!$F$3:$F$3002,MATCH($C1257,DESPACHOS!$B$3:$B$3002,0)),""))</f>
        <v/>
      </c>
      <c r="H1257" s="42">
        <f>IF($C1257="","",IFERROR(INDEX(DESPACHOS!$G$3:$G$3002,MATCH($C1257,DESPACHOS!$B$3:$B$3002,0)),""))</f>
        <v/>
      </c>
      <c r="I1257" s="39">
        <f>IF($C1257="","",IFERROR(INDEX(DESPACHOS!$H$3:$H$3002,MATCH($C1257,DESPACHOS!$B$3:$B$3002,0)),""))</f>
        <v/>
      </c>
      <c r="J1257" s="43">
        <f>IF($C1257="","",IFERROR(INDEX(DESPACHOS!$J$3:$J$3002,MATCH($C1257,DESPACHOS!$B$3:$B$3002,0)),""))</f>
        <v/>
      </c>
      <c r="K1257" s="39">
        <f>IF($C1257="","",IF(COUNTIFS(DESPACHOS!$B$3:$B$3002,$C1257)=0,"NO EXISTE",IF(COUNTIFS(DESPACHOS!$B$3:$B$3002,$C1257)&gt;1,"DUPLICADO","OK")))</f>
        <v/>
      </c>
      <c r="L1257" s="41" t="n"/>
      <c r="M1257" s="41" t="n"/>
      <c r="N1257" s="42">
        <f>IF($M1257="","",IFERROR(INDEX(LISTAS!$F$3:$F$42,MATCH($M1257,LISTAS!$E$3:$E$42,0)),"Por definir"))</f>
        <v/>
      </c>
      <c r="O1257" s="41" t="n"/>
      <c r="P1257" s="39">
        <f>IF($L1257="","",IFERROR(INDEX(LISTAS!$B$3:$B$42,MATCH($L1257,LISTAS!$A$3:$A$42,0)),"Media"))</f>
        <v/>
      </c>
      <c r="Q1257" s="44" t="n"/>
      <c r="R1257" s="45" t="n"/>
      <c r="S1257" s="20">
        <f>IFERROR(IF(OR($R1257="",$C1257=""),"",$R1257/INDEX(DESPACHOS!$M$3:$M$3002,MATCH($C1257,DESPACHOS!$B$3:$B$3002,0))),"")</f>
        <v/>
      </c>
      <c r="T1257" s="41" t="n"/>
      <c r="U1257" s="43">
        <f>IF(OR($B1257="",$L1257=""),"",WORKDAY($B1257,IFERROR(INDEX(LISTAS!$C$3:$C$42,MATCH($L1257,LISTAS!$A$3:$A$42,0)),3)))</f>
        <v/>
      </c>
      <c r="V1257" s="40" t="n"/>
      <c r="W1257" s="19">
        <f>IF($B1257="","",IF($V1257&lt;&gt;"",$V1257-$B1257,TODAY()-$B1257))</f>
        <v/>
      </c>
      <c r="X1257" s="19">
        <f>IF(OR($B1257="",$U1257=""),"",IF($V1257&lt;&gt;"",MAX(0,$V1257-$U1257),MAX(0,TODAY()-$U1257)))</f>
        <v/>
      </c>
      <c r="Y1257" s="39">
        <f>IF($C1257="","",IF(IFERROR(INDEX(LISTAS!$I$3:$I$42,MATCH($T1257,LISTAS!$H$3:$H$42,0)),"NO")="SÍ",IF(N($X1257)&gt;0,"CERRADA FUERA DE SLA","CERRADA EN SLA"),IF($U1257="","SIN CLASIFICAR",IF(N($X1257)&gt;0,"VENCIDA",IF(TODAY()&gt;=$U1257-1,"POR VENCER","EN PLAZO")))))</f>
        <v/>
      </c>
      <c r="Z1257" s="41" t="n"/>
      <c r="AA1257" s="41" t="n"/>
      <c r="AB1257" s="41" t="n"/>
    </row>
    <row r="1258">
      <c r="A1258" s="39">
        <f>IF($C1258="","","NOV-"&amp;TEXT(ROW()-3,"0000"))</f>
        <v/>
      </c>
      <c r="B1258" s="40" t="n"/>
      <c r="C1258" s="41" t="n"/>
      <c r="D1258" s="42">
        <f>IF($C1258="","",IFERROR(INDEX(DESPACHOS!$D$3:$D$3002,MATCH($C1258,DESPACHOS!$B$3:$B$3002,0)),"SIN DESPACHO"))</f>
        <v/>
      </c>
      <c r="E1258" s="42">
        <f>IF($C1258="","",IFERROR(INDEX(DESPACHOS!$K$3:$K$3002,MATCH($C1258,DESPACHOS!$B$3:$B$3002,0)),""))</f>
        <v/>
      </c>
      <c r="F1258" s="42">
        <f>IF($C1258="","",IFERROR(INDEX(DESPACHOS!$I$3:$I$3002,MATCH($C1258,DESPACHOS!$B$3:$B$3002,0)),""))</f>
        <v/>
      </c>
      <c r="G1258" s="42">
        <f>IF($C1258="","",IFERROR(INDEX(DESPACHOS!$F$3:$F$3002,MATCH($C1258,DESPACHOS!$B$3:$B$3002,0)),""))</f>
        <v/>
      </c>
      <c r="H1258" s="42">
        <f>IF($C1258="","",IFERROR(INDEX(DESPACHOS!$G$3:$G$3002,MATCH($C1258,DESPACHOS!$B$3:$B$3002,0)),""))</f>
        <v/>
      </c>
      <c r="I1258" s="39">
        <f>IF($C1258="","",IFERROR(INDEX(DESPACHOS!$H$3:$H$3002,MATCH($C1258,DESPACHOS!$B$3:$B$3002,0)),""))</f>
        <v/>
      </c>
      <c r="J1258" s="43">
        <f>IF($C1258="","",IFERROR(INDEX(DESPACHOS!$J$3:$J$3002,MATCH($C1258,DESPACHOS!$B$3:$B$3002,0)),""))</f>
        <v/>
      </c>
      <c r="K1258" s="39">
        <f>IF($C1258="","",IF(COUNTIFS(DESPACHOS!$B$3:$B$3002,$C1258)=0,"NO EXISTE",IF(COUNTIFS(DESPACHOS!$B$3:$B$3002,$C1258)&gt;1,"DUPLICADO","OK")))</f>
        <v/>
      </c>
      <c r="L1258" s="41" t="n"/>
      <c r="M1258" s="41" t="n"/>
      <c r="N1258" s="42">
        <f>IF($M1258="","",IFERROR(INDEX(LISTAS!$F$3:$F$42,MATCH($M1258,LISTAS!$E$3:$E$42,0)),"Por definir"))</f>
        <v/>
      </c>
      <c r="O1258" s="41" t="n"/>
      <c r="P1258" s="39">
        <f>IF($L1258="","",IFERROR(INDEX(LISTAS!$B$3:$B$42,MATCH($L1258,LISTAS!$A$3:$A$42,0)),"Media"))</f>
        <v/>
      </c>
      <c r="Q1258" s="44" t="n"/>
      <c r="R1258" s="45" t="n"/>
      <c r="S1258" s="20">
        <f>IFERROR(IF(OR($R1258="",$C1258=""),"",$R1258/INDEX(DESPACHOS!$M$3:$M$3002,MATCH($C1258,DESPACHOS!$B$3:$B$3002,0))),"")</f>
        <v/>
      </c>
      <c r="T1258" s="41" t="n"/>
      <c r="U1258" s="43">
        <f>IF(OR($B1258="",$L1258=""),"",WORKDAY($B1258,IFERROR(INDEX(LISTAS!$C$3:$C$42,MATCH($L1258,LISTAS!$A$3:$A$42,0)),3)))</f>
        <v/>
      </c>
      <c r="V1258" s="40" t="n"/>
      <c r="W1258" s="19">
        <f>IF($B1258="","",IF($V1258&lt;&gt;"",$V1258-$B1258,TODAY()-$B1258))</f>
        <v/>
      </c>
      <c r="X1258" s="19">
        <f>IF(OR($B1258="",$U1258=""),"",IF($V1258&lt;&gt;"",MAX(0,$V1258-$U1258),MAX(0,TODAY()-$U1258)))</f>
        <v/>
      </c>
      <c r="Y1258" s="39">
        <f>IF($C1258="","",IF(IFERROR(INDEX(LISTAS!$I$3:$I$42,MATCH($T1258,LISTAS!$H$3:$H$42,0)),"NO")="SÍ",IF(N($X1258)&gt;0,"CERRADA FUERA DE SLA","CERRADA EN SLA"),IF($U1258="","SIN CLASIFICAR",IF(N($X1258)&gt;0,"VENCIDA",IF(TODAY()&gt;=$U1258-1,"POR VENCER","EN PLAZO")))))</f>
        <v/>
      </c>
      <c r="Z1258" s="41" t="n"/>
      <c r="AA1258" s="41" t="n"/>
      <c r="AB1258" s="41" t="n"/>
    </row>
    <row r="1259">
      <c r="A1259" s="39">
        <f>IF($C1259="","","NOV-"&amp;TEXT(ROW()-3,"0000"))</f>
        <v/>
      </c>
      <c r="B1259" s="40" t="n"/>
      <c r="C1259" s="41" t="n"/>
      <c r="D1259" s="42">
        <f>IF($C1259="","",IFERROR(INDEX(DESPACHOS!$D$3:$D$3002,MATCH($C1259,DESPACHOS!$B$3:$B$3002,0)),"SIN DESPACHO"))</f>
        <v/>
      </c>
      <c r="E1259" s="42">
        <f>IF($C1259="","",IFERROR(INDEX(DESPACHOS!$K$3:$K$3002,MATCH($C1259,DESPACHOS!$B$3:$B$3002,0)),""))</f>
        <v/>
      </c>
      <c r="F1259" s="42">
        <f>IF($C1259="","",IFERROR(INDEX(DESPACHOS!$I$3:$I$3002,MATCH($C1259,DESPACHOS!$B$3:$B$3002,0)),""))</f>
        <v/>
      </c>
      <c r="G1259" s="42">
        <f>IF($C1259="","",IFERROR(INDEX(DESPACHOS!$F$3:$F$3002,MATCH($C1259,DESPACHOS!$B$3:$B$3002,0)),""))</f>
        <v/>
      </c>
      <c r="H1259" s="42">
        <f>IF($C1259="","",IFERROR(INDEX(DESPACHOS!$G$3:$G$3002,MATCH($C1259,DESPACHOS!$B$3:$B$3002,0)),""))</f>
        <v/>
      </c>
      <c r="I1259" s="39">
        <f>IF($C1259="","",IFERROR(INDEX(DESPACHOS!$H$3:$H$3002,MATCH($C1259,DESPACHOS!$B$3:$B$3002,0)),""))</f>
        <v/>
      </c>
      <c r="J1259" s="43">
        <f>IF($C1259="","",IFERROR(INDEX(DESPACHOS!$J$3:$J$3002,MATCH($C1259,DESPACHOS!$B$3:$B$3002,0)),""))</f>
        <v/>
      </c>
      <c r="K1259" s="39">
        <f>IF($C1259="","",IF(COUNTIFS(DESPACHOS!$B$3:$B$3002,$C1259)=0,"NO EXISTE",IF(COUNTIFS(DESPACHOS!$B$3:$B$3002,$C1259)&gt;1,"DUPLICADO","OK")))</f>
        <v/>
      </c>
      <c r="L1259" s="41" t="n"/>
      <c r="M1259" s="41" t="n"/>
      <c r="N1259" s="42">
        <f>IF($M1259="","",IFERROR(INDEX(LISTAS!$F$3:$F$42,MATCH($M1259,LISTAS!$E$3:$E$42,0)),"Por definir"))</f>
        <v/>
      </c>
      <c r="O1259" s="41" t="n"/>
      <c r="P1259" s="39">
        <f>IF($L1259="","",IFERROR(INDEX(LISTAS!$B$3:$B$42,MATCH($L1259,LISTAS!$A$3:$A$42,0)),"Media"))</f>
        <v/>
      </c>
      <c r="Q1259" s="44" t="n"/>
      <c r="R1259" s="45" t="n"/>
      <c r="S1259" s="20">
        <f>IFERROR(IF(OR($R1259="",$C1259=""),"",$R1259/INDEX(DESPACHOS!$M$3:$M$3002,MATCH($C1259,DESPACHOS!$B$3:$B$3002,0))),"")</f>
        <v/>
      </c>
      <c r="T1259" s="41" t="n"/>
      <c r="U1259" s="43">
        <f>IF(OR($B1259="",$L1259=""),"",WORKDAY($B1259,IFERROR(INDEX(LISTAS!$C$3:$C$42,MATCH($L1259,LISTAS!$A$3:$A$42,0)),3)))</f>
        <v/>
      </c>
      <c r="V1259" s="40" t="n"/>
      <c r="W1259" s="19">
        <f>IF($B1259="","",IF($V1259&lt;&gt;"",$V1259-$B1259,TODAY()-$B1259))</f>
        <v/>
      </c>
      <c r="X1259" s="19">
        <f>IF(OR($B1259="",$U1259=""),"",IF($V1259&lt;&gt;"",MAX(0,$V1259-$U1259),MAX(0,TODAY()-$U1259)))</f>
        <v/>
      </c>
      <c r="Y1259" s="39">
        <f>IF($C1259="","",IF(IFERROR(INDEX(LISTAS!$I$3:$I$42,MATCH($T1259,LISTAS!$H$3:$H$42,0)),"NO")="SÍ",IF(N($X1259)&gt;0,"CERRADA FUERA DE SLA","CERRADA EN SLA"),IF($U1259="","SIN CLASIFICAR",IF(N($X1259)&gt;0,"VENCIDA",IF(TODAY()&gt;=$U1259-1,"POR VENCER","EN PLAZO")))))</f>
        <v/>
      </c>
      <c r="Z1259" s="41" t="n"/>
      <c r="AA1259" s="41" t="n"/>
      <c r="AB1259" s="41" t="n"/>
    </row>
    <row r="1260">
      <c r="A1260" s="39">
        <f>IF($C1260="","","NOV-"&amp;TEXT(ROW()-3,"0000"))</f>
        <v/>
      </c>
      <c r="B1260" s="40" t="n"/>
      <c r="C1260" s="41" t="n"/>
      <c r="D1260" s="42">
        <f>IF($C1260="","",IFERROR(INDEX(DESPACHOS!$D$3:$D$3002,MATCH($C1260,DESPACHOS!$B$3:$B$3002,0)),"SIN DESPACHO"))</f>
        <v/>
      </c>
      <c r="E1260" s="42">
        <f>IF($C1260="","",IFERROR(INDEX(DESPACHOS!$K$3:$K$3002,MATCH($C1260,DESPACHOS!$B$3:$B$3002,0)),""))</f>
        <v/>
      </c>
      <c r="F1260" s="42">
        <f>IF($C1260="","",IFERROR(INDEX(DESPACHOS!$I$3:$I$3002,MATCH($C1260,DESPACHOS!$B$3:$B$3002,0)),""))</f>
        <v/>
      </c>
      <c r="G1260" s="42">
        <f>IF($C1260="","",IFERROR(INDEX(DESPACHOS!$F$3:$F$3002,MATCH($C1260,DESPACHOS!$B$3:$B$3002,0)),""))</f>
        <v/>
      </c>
      <c r="H1260" s="42">
        <f>IF($C1260="","",IFERROR(INDEX(DESPACHOS!$G$3:$G$3002,MATCH($C1260,DESPACHOS!$B$3:$B$3002,0)),""))</f>
        <v/>
      </c>
      <c r="I1260" s="39">
        <f>IF($C1260="","",IFERROR(INDEX(DESPACHOS!$H$3:$H$3002,MATCH($C1260,DESPACHOS!$B$3:$B$3002,0)),""))</f>
        <v/>
      </c>
      <c r="J1260" s="43">
        <f>IF($C1260="","",IFERROR(INDEX(DESPACHOS!$J$3:$J$3002,MATCH($C1260,DESPACHOS!$B$3:$B$3002,0)),""))</f>
        <v/>
      </c>
      <c r="K1260" s="39">
        <f>IF($C1260="","",IF(COUNTIFS(DESPACHOS!$B$3:$B$3002,$C1260)=0,"NO EXISTE",IF(COUNTIFS(DESPACHOS!$B$3:$B$3002,$C1260)&gt;1,"DUPLICADO","OK")))</f>
        <v/>
      </c>
      <c r="L1260" s="41" t="n"/>
      <c r="M1260" s="41" t="n"/>
      <c r="N1260" s="42">
        <f>IF($M1260="","",IFERROR(INDEX(LISTAS!$F$3:$F$42,MATCH($M1260,LISTAS!$E$3:$E$42,0)),"Por definir"))</f>
        <v/>
      </c>
      <c r="O1260" s="41" t="n"/>
      <c r="P1260" s="39">
        <f>IF($L1260="","",IFERROR(INDEX(LISTAS!$B$3:$B$42,MATCH($L1260,LISTAS!$A$3:$A$42,0)),"Media"))</f>
        <v/>
      </c>
      <c r="Q1260" s="44" t="n"/>
      <c r="R1260" s="45" t="n"/>
      <c r="S1260" s="20">
        <f>IFERROR(IF(OR($R1260="",$C1260=""),"",$R1260/INDEX(DESPACHOS!$M$3:$M$3002,MATCH($C1260,DESPACHOS!$B$3:$B$3002,0))),"")</f>
        <v/>
      </c>
      <c r="T1260" s="41" t="n"/>
      <c r="U1260" s="43">
        <f>IF(OR($B1260="",$L1260=""),"",WORKDAY($B1260,IFERROR(INDEX(LISTAS!$C$3:$C$42,MATCH($L1260,LISTAS!$A$3:$A$42,0)),3)))</f>
        <v/>
      </c>
      <c r="V1260" s="40" t="n"/>
      <c r="W1260" s="19">
        <f>IF($B1260="","",IF($V1260&lt;&gt;"",$V1260-$B1260,TODAY()-$B1260))</f>
        <v/>
      </c>
      <c r="X1260" s="19">
        <f>IF(OR($B1260="",$U1260=""),"",IF($V1260&lt;&gt;"",MAX(0,$V1260-$U1260),MAX(0,TODAY()-$U1260)))</f>
        <v/>
      </c>
      <c r="Y1260" s="39">
        <f>IF($C1260="","",IF(IFERROR(INDEX(LISTAS!$I$3:$I$42,MATCH($T1260,LISTAS!$H$3:$H$42,0)),"NO")="SÍ",IF(N($X1260)&gt;0,"CERRADA FUERA DE SLA","CERRADA EN SLA"),IF($U1260="","SIN CLASIFICAR",IF(N($X1260)&gt;0,"VENCIDA",IF(TODAY()&gt;=$U1260-1,"POR VENCER","EN PLAZO")))))</f>
        <v/>
      </c>
      <c r="Z1260" s="41" t="n"/>
      <c r="AA1260" s="41" t="n"/>
      <c r="AB1260" s="41" t="n"/>
    </row>
    <row r="1261">
      <c r="A1261" s="39">
        <f>IF($C1261="","","NOV-"&amp;TEXT(ROW()-3,"0000"))</f>
        <v/>
      </c>
      <c r="B1261" s="40" t="n"/>
      <c r="C1261" s="41" t="n"/>
      <c r="D1261" s="42">
        <f>IF($C1261="","",IFERROR(INDEX(DESPACHOS!$D$3:$D$3002,MATCH($C1261,DESPACHOS!$B$3:$B$3002,0)),"SIN DESPACHO"))</f>
        <v/>
      </c>
      <c r="E1261" s="42">
        <f>IF($C1261="","",IFERROR(INDEX(DESPACHOS!$K$3:$K$3002,MATCH($C1261,DESPACHOS!$B$3:$B$3002,0)),""))</f>
        <v/>
      </c>
      <c r="F1261" s="42">
        <f>IF($C1261="","",IFERROR(INDEX(DESPACHOS!$I$3:$I$3002,MATCH($C1261,DESPACHOS!$B$3:$B$3002,0)),""))</f>
        <v/>
      </c>
      <c r="G1261" s="42">
        <f>IF($C1261="","",IFERROR(INDEX(DESPACHOS!$F$3:$F$3002,MATCH($C1261,DESPACHOS!$B$3:$B$3002,0)),""))</f>
        <v/>
      </c>
      <c r="H1261" s="42">
        <f>IF($C1261="","",IFERROR(INDEX(DESPACHOS!$G$3:$G$3002,MATCH($C1261,DESPACHOS!$B$3:$B$3002,0)),""))</f>
        <v/>
      </c>
      <c r="I1261" s="39">
        <f>IF($C1261="","",IFERROR(INDEX(DESPACHOS!$H$3:$H$3002,MATCH($C1261,DESPACHOS!$B$3:$B$3002,0)),""))</f>
        <v/>
      </c>
      <c r="J1261" s="43">
        <f>IF($C1261="","",IFERROR(INDEX(DESPACHOS!$J$3:$J$3002,MATCH($C1261,DESPACHOS!$B$3:$B$3002,0)),""))</f>
        <v/>
      </c>
      <c r="K1261" s="39">
        <f>IF($C1261="","",IF(COUNTIFS(DESPACHOS!$B$3:$B$3002,$C1261)=0,"NO EXISTE",IF(COUNTIFS(DESPACHOS!$B$3:$B$3002,$C1261)&gt;1,"DUPLICADO","OK")))</f>
        <v/>
      </c>
      <c r="L1261" s="41" t="n"/>
      <c r="M1261" s="41" t="n"/>
      <c r="N1261" s="42">
        <f>IF($M1261="","",IFERROR(INDEX(LISTAS!$F$3:$F$42,MATCH($M1261,LISTAS!$E$3:$E$42,0)),"Por definir"))</f>
        <v/>
      </c>
      <c r="O1261" s="41" t="n"/>
      <c r="P1261" s="39">
        <f>IF($L1261="","",IFERROR(INDEX(LISTAS!$B$3:$B$42,MATCH($L1261,LISTAS!$A$3:$A$42,0)),"Media"))</f>
        <v/>
      </c>
      <c r="Q1261" s="44" t="n"/>
      <c r="R1261" s="45" t="n"/>
      <c r="S1261" s="20">
        <f>IFERROR(IF(OR($R1261="",$C1261=""),"",$R1261/INDEX(DESPACHOS!$M$3:$M$3002,MATCH($C1261,DESPACHOS!$B$3:$B$3002,0))),"")</f>
        <v/>
      </c>
      <c r="T1261" s="41" t="n"/>
      <c r="U1261" s="43">
        <f>IF(OR($B1261="",$L1261=""),"",WORKDAY($B1261,IFERROR(INDEX(LISTAS!$C$3:$C$42,MATCH($L1261,LISTAS!$A$3:$A$42,0)),3)))</f>
        <v/>
      </c>
      <c r="V1261" s="40" t="n"/>
      <c r="W1261" s="19">
        <f>IF($B1261="","",IF($V1261&lt;&gt;"",$V1261-$B1261,TODAY()-$B1261))</f>
        <v/>
      </c>
      <c r="X1261" s="19">
        <f>IF(OR($B1261="",$U1261=""),"",IF($V1261&lt;&gt;"",MAX(0,$V1261-$U1261),MAX(0,TODAY()-$U1261)))</f>
        <v/>
      </c>
      <c r="Y1261" s="39">
        <f>IF($C1261="","",IF(IFERROR(INDEX(LISTAS!$I$3:$I$42,MATCH($T1261,LISTAS!$H$3:$H$42,0)),"NO")="SÍ",IF(N($X1261)&gt;0,"CERRADA FUERA DE SLA","CERRADA EN SLA"),IF($U1261="","SIN CLASIFICAR",IF(N($X1261)&gt;0,"VENCIDA",IF(TODAY()&gt;=$U1261-1,"POR VENCER","EN PLAZO")))))</f>
        <v/>
      </c>
      <c r="Z1261" s="41" t="n"/>
      <c r="AA1261" s="41" t="n"/>
      <c r="AB1261" s="41" t="n"/>
    </row>
    <row r="1262">
      <c r="A1262" s="39">
        <f>IF($C1262="","","NOV-"&amp;TEXT(ROW()-3,"0000"))</f>
        <v/>
      </c>
      <c r="B1262" s="40" t="n"/>
      <c r="C1262" s="41" t="n"/>
      <c r="D1262" s="42">
        <f>IF($C1262="","",IFERROR(INDEX(DESPACHOS!$D$3:$D$3002,MATCH($C1262,DESPACHOS!$B$3:$B$3002,0)),"SIN DESPACHO"))</f>
        <v/>
      </c>
      <c r="E1262" s="42">
        <f>IF($C1262="","",IFERROR(INDEX(DESPACHOS!$K$3:$K$3002,MATCH($C1262,DESPACHOS!$B$3:$B$3002,0)),""))</f>
        <v/>
      </c>
      <c r="F1262" s="42">
        <f>IF($C1262="","",IFERROR(INDEX(DESPACHOS!$I$3:$I$3002,MATCH($C1262,DESPACHOS!$B$3:$B$3002,0)),""))</f>
        <v/>
      </c>
      <c r="G1262" s="42">
        <f>IF($C1262="","",IFERROR(INDEX(DESPACHOS!$F$3:$F$3002,MATCH($C1262,DESPACHOS!$B$3:$B$3002,0)),""))</f>
        <v/>
      </c>
      <c r="H1262" s="42">
        <f>IF($C1262="","",IFERROR(INDEX(DESPACHOS!$G$3:$G$3002,MATCH($C1262,DESPACHOS!$B$3:$B$3002,0)),""))</f>
        <v/>
      </c>
      <c r="I1262" s="39">
        <f>IF($C1262="","",IFERROR(INDEX(DESPACHOS!$H$3:$H$3002,MATCH($C1262,DESPACHOS!$B$3:$B$3002,0)),""))</f>
        <v/>
      </c>
      <c r="J1262" s="43">
        <f>IF($C1262="","",IFERROR(INDEX(DESPACHOS!$J$3:$J$3002,MATCH($C1262,DESPACHOS!$B$3:$B$3002,0)),""))</f>
        <v/>
      </c>
      <c r="K1262" s="39">
        <f>IF($C1262="","",IF(COUNTIFS(DESPACHOS!$B$3:$B$3002,$C1262)=0,"NO EXISTE",IF(COUNTIFS(DESPACHOS!$B$3:$B$3002,$C1262)&gt;1,"DUPLICADO","OK")))</f>
        <v/>
      </c>
      <c r="L1262" s="41" t="n"/>
      <c r="M1262" s="41" t="n"/>
      <c r="N1262" s="42">
        <f>IF($M1262="","",IFERROR(INDEX(LISTAS!$F$3:$F$42,MATCH($M1262,LISTAS!$E$3:$E$42,0)),"Por definir"))</f>
        <v/>
      </c>
      <c r="O1262" s="41" t="n"/>
      <c r="P1262" s="39">
        <f>IF($L1262="","",IFERROR(INDEX(LISTAS!$B$3:$B$42,MATCH($L1262,LISTAS!$A$3:$A$42,0)),"Media"))</f>
        <v/>
      </c>
      <c r="Q1262" s="44" t="n"/>
      <c r="R1262" s="45" t="n"/>
      <c r="S1262" s="20">
        <f>IFERROR(IF(OR($R1262="",$C1262=""),"",$R1262/INDEX(DESPACHOS!$M$3:$M$3002,MATCH($C1262,DESPACHOS!$B$3:$B$3002,0))),"")</f>
        <v/>
      </c>
      <c r="T1262" s="41" t="n"/>
      <c r="U1262" s="43">
        <f>IF(OR($B1262="",$L1262=""),"",WORKDAY($B1262,IFERROR(INDEX(LISTAS!$C$3:$C$42,MATCH($L1262,LISTAS!$A$3:$A$42,0)),3)))</f>
        <v/>
      </c>
      <c r="V1262" s="40" t="n"/>
      <c r="W1262" s="19">
        <f>IF($B1262="","",IF($V1262&lt;&gt;"",$V1262-$B1262,TODAY()-$B1262))</f>
        <v/>
      </c>
      <c r="X1262" s="19">
        <f>IF(OR($B1262="",$U1262=""),"",IF($V1262&lt;&gt;"",MAX(0,$V1262-$U1262),MAX(0,TODAY()-$U1262)))</f>
        <v/>
      </c>
      <c r="Y1262" s="39">
        <f>IF($C1262="","",IF(IFERROR(INDEX(LISTAS!$I$3:$I$42,MATCH($T1262,LISTAS!$H$3:$H$42,0)),"NO")="SÍ",IF(N($X1262)&gt;0,"CERRADA FUERA DE SLA","CERRADA EN SLA"),IF($U1262="","SIN CLASIFICAR",IF(N($X1262)&gt;0,"VENCIDA",IF(TODAY()&gt;=$U1262-1,"POR VENCER","EN PLAZO")))))</f>
        <v/>
      </c>
      <c r="Z1262" s="41" t="n"/>
      <c r="AA1262" s="41" t="n"/>
      <c r="AB1262" s="41" t="n"/>
    </row>
    <row r="1263">
      <c r="A1263" s="39">
        <f>IF($C1263="","","NOV-"&amp;TEXT(ROW()-3,"0000"))</f>
        <v/>
      </c>
      <c r="B1263" s="40" t="n"/>
      <c r="C1263" s="41" t="n"/>
      <c r="D1263" s="42">
        <f>IF($C1263="","",IFERROR(INDEX(DESPACHOS!$D$3:$D$3002,MATCH($C1263,DESPACHOS!$B$3:$B$3002,0)),"SIN DESPACHO"))</f>
        <v/>
      </c>
      <c r="E1263" s="42">
        <f>IF($C1263="","",IFERROR(INDEX(DESPACHOS!$K$3:$K$3002,MATCH($C1263,DESPACHOS!$B$3:$B$3002,0)),""))</f>
        <v/>
      </c>
      <c r="F1263" s="42">
        <f>IF($C1263="","",IFERROR(INDEX(DESPACHOS!$I$3:$I$3002,MATCH($C1263,DESPACHOS!$B$3:$B$3002,0)),""))</f>
        <v/>
      </c>
      <c r="G1263" s="42">
        <f>IF($C1263="","",IFERROR(INDEX(DESPACHOS!$F$3:$F$3002,MATCH($C1263,DESPACHOS!$B$3:$B$3002,0)),""))</f>
        <v/>
      </c>
      <c r="H1263" s="42">
        <f>IF($C1263="","",IFERROR(INDEX(DESPACHOS!$G$3:$G$3002,MATCH($C1263,DESPACHOS!$B$3:$B$3002,0)),""))</f>
        <v/>
      </c>
      <c r="I1263" s="39">
        <f>IF($C1263="","",IFERROR(INDEX(DESPACHOS!$H$3:$H$3002,MATCH($C1263,DESPACHOS!$B$3:$B$3002,0)),""))</f>
        <v/>
      </c>
      <c r="J1263" s="43">
        <f>IF($C1263="","",IFERROR(INDEX(DESPACHOS!$J$3:$J$3002,MATCH($C1263,DESPACHOS!$B$3:$B$3002,0)),""))</f>
        <v/>
      </c>
      <c r="K1263" s="39">
        <f>IF($C1263="","",IF(COUNTIFS(DESPACHOS!$B$3:$B$3002,$C1263)=0,"NO EXISTE",IF(COUNTIFS(DESPACHOS!$B$3:$B$3002,$C1263)&gt;1,"DUPLICADO","OK")))</f>
        <v/>
      </c>
      <c r="L1263" s="41" t="n"/>
      <c r="M1263" s="41" t="n"/>
      <c r="N1263" s="42">
        <f>IF($M1263="","",IFERROR(INDEX(LISTAS!$F$3:$F$42,MATCH($M1263,LISTAS!$E$3:$E$42,0)),"Por definir"))</f>
        <v/>
      </c>
      <c r="O1263" s="41" t="n"/>
      <c r="P1263" s="39">
        <f>IF($L1263="","",IFERROR(INDEX(LISTAS!$B$3:$B$42,MATCH($L1263,LISTAS!$A$3:$A$42,0)),"Media"))</f>
        <v/>
      </c>
      <c r="Q1263" s="44" t="n"/>
      <c r="R1263" s="45" t="n"/>
      <c r="S1263" s="20">
        <f>IFERROR(IF(OR($R1263="",$C1263=""),"",$R1263/INDEX(DESPACHOS!$M$3:$M$3002,MATCH($C1263,DESPACHOS!$B$3:$B$3002,0))),"")</f>
        <v/>
      </c>
      <c r="T1263" s="41" t="n"/>
      <c r="U1263" s="43">
        <f>IF(OR($B1263="",$L1263=""),"",WORKDAY($B1263,IFERROR(INDEX(LISTAS!$C$3:$C$42,MATCH($L1263,LISTAS!$A$3:$A$42,0)),3)))</f>
        <v/>
      </c>
      <c r="V1263" s="40" t="n"/>
      <c r="W1263" s="19">
        <f>IF($B1263="","",IF($V1263&lt;&gt;"",$V1263-$B1263,TODAY()-$B1263))</f>
        <v/>
      </c>
      <c r="X1263" s="19">
        <f>IF(OR($B1263="",$U1263=""),"",IF($V1263&lt;&gt;"",MAX(0,$V1263-$U1263),MAX(0,TODAY()-$U1263)))</f>
        <v/>
      </c>
      <c r="Y1263" s="39">
        <f>IF($C1263="","",IF(IFERROR(INDEX(LISTAS!$I$3:$I$42,MATCH($T1263,LISTAS!$H$3:$H$42,0)),"NO")="SÍ",IF(N($X1263)&gt;0,"CERRADA FUERA DE SLA","CERRADA EN SLA"),IF($U1263="","SIN CLASIFICAR",IF(N($X1263)&gt;0,"VENCIDA",IF(TODAY()&gt;=$U1263-1,"POR VENCER","EN PLAZO")))))</f>
        <v/>
      </c>
      <c r="Z1263" s="41" t="n"/>
      <c r="AA1263" s="41" t="n"/>
      <c r="AB1263" s="41" t="n"/>
    </row>
    <row r="1264">
      <c r="A1264" s="39">
        <f>IF($C1264="","","NOV-"&amp;TEXT(ROW()-3,"0000"))</f>
        <v/>
      </c>
      <c r="B1264" s="40" t="n"/>
      <c r="C1264" s="41" t="n"/>
      <c r="D1264" s="42">
        <f>IF($C1264="","",IFERROR(INDEX(DESPACHOS!$D$3:$D$3002,MATCH($C1264,DESPACHOS!$B$3:$B$3002,0)),"SIN DESPACHO"))</f>
        <v/>
      </c>
      <c r="E1264" s="42">
        <f>IF($C1264="","",IFERROR(INDEX(DESPACHOS!$K$3:$K$3002,MATCH($C1264,DESPACHOS!$B$3:$B$3002,0)),""))</f>
        <v/>
      </c>
      <c r="F1264" s="42">
        <f>IF($C1264="","",IFERROR(INDEX(DESPACHOS!$I$3:$I$3002,MATCH($C1264,DESPACHOS!$B$3:$B$3002,0)),""))</f>
        <v/>
      </c>
      <c r="G1264" s="42">
        <f>IF($C1264="","",IFERROR(INDEX(DESPACHOS!$F$3:$F$3002,MATCH($C1264,DESPACHOS!$B$3:$B$3002,0)),""))</f>
        <v/>
      </c>
      <c r="H1264" s="42">
        <f>IF($C1264="","",IFERROR(INDEX(DESPACHOS!$G$3:$G$3002,MATCH($C1264,DESPACHOS!$B$3:$B$3002,0)),""))</f>
        <v/>
      </c>
      <c r="I1264" s="39">
        <f>IF($C1264="","",IFERROR(INDEX(DESPACHOS!$H$3:$H$3002,MATCH($C1264,DESPACHOS!$B$3:$B$3002,0)),""))</f>
        <v/>
      </c>
      <c r="J1264" s="43">
        <f>IF($C1264="","",IFERROR(INDEX(DESPACHOS!$J$3:$J$3002,MATCH($C1264,DESPACHOS!$B$3:$B$3002,0)),""))</f>
        <v/>
      </c>
      <c r="K1264" s="39">
        <f>IF($C1264="","",IF(COUNTIFS(DESPACHOS!$B$3:$B$3002,$C1264)=0,"NO EXISTE",IF(COUNTIFS(DESPACHOS!$B$3:$B$3002,$C1264)&gt;1,"DUPLICADO","OK")))</f>
        <v/>
      </c>
      <c r="L1264" s="41" t="n"/>
      <c r="M1264" s="41" t="n"/>
      <c r="N1264" s="42">
        <f>IF($M1264="","",IFERROR(INDEX(LISTAS!$F$3:$F$42,MATCH($M1264,LISTAS!$E$3:$E$42,0)),"Por definir"))</f>
        <v/>
      </c>
      <c r="O1264" s="41" t="n"/>
      <c r="P1264" s="39">
        <f>IF($L1264="","",IFERROR(INDEX(LISTAS!$B$3:$B$42,MATCH($L1264,LISTAS!$A$3:$A$42,0)),"Media"))</f>
        <v/>
      </c>
      <c r="Q1264" s="44" t="n"/>
      <c r="R1264" s="45" t="n"/>
      <c r="S1264" s="20">
        <f>IFERROR(IF(OR($R1264="",$C1264=""),"",$R1264/INDEX(DESPACHOS!$M$3:$M$3002,MATCH($C1264,DESPACHOS!$B$3:$B$3002,0))),"")</f>
        <v/>
      </c>
      <c r="T1264" s="41" t="n"/>
      <c r="U1264" s="43">
        <f>IF(OR($B1264="",$L1264=""),"",WORKDAY($B1264,IFERROR(INDEX(LISTAS!$C$3:$C$42,MATCH($L1264,LISTAS!$A$3:$A$42,0)),3)))</f>
        <v/>
      </c>
      <c r="V1264" s="40" t="n"/>
      <c r="W1264" s="19">
        <f>IF($B1264="","",IF($V1264&lt;&gt;"",$V1264-$B1264,TODAY()-$B1264))</f>
        <v/>
      </c>
      <c r="X1264" s="19">
        <f>IF(OR($B1264="",$U1264=""),"",IF($V1264&lt;&gt;"",MAX(0,$V1264-$U1264),MAX(0,TODAY()-$U1264)))</f>
        <v/>
      </c>
      <c r="Y1264" s="39">
        <f>IF($C1264="","",IF(IFERROR(INDEX(LISTAS!$I$3:$I$42,MATCH($T1264,LISTAS!$H$3:$H$42,0)),"NO")="SÍ",IF(N($X1264)&gt;0,"CERRADA FUERA DE SLA","CERRADA EN SLA"),IF($U1264="","SIN CLASIFICAR",IF(N($X1264)&gt;0,"VENCIDA",IF(TODAY()&gt;=$U1264-1,"POR VENCER","EN PLAZO")))))</f>
        <v/>
      </c>
      <c r="Z1264" s="41" t="n"/>
      <c r="AA1264" s="41" t="n"/>
      <c r="AB1264" s="41" t="n"/>
    </row>
    <row r="1265">
      <c r="A1265" s="39">
        <f>IF($C1265="","","NOV-"&amp;TEXT(ROW()-3,"0000"))</f>
        <v/>
      </c>
      <c r="B1265" s="40" t="n"/>
      <c r="C1265" s="41" t="n"/>
      <c r="D1265" s="42">
        <f>IF($C1265="","",IFERROR(INDEX(DESPACHOS!$D$3:$D$3002,MATCH($C1265,DESPACHOS!$B$3:$B$3002,0)),"SIN DESPACHO"))</f>
        <v/>
      </c>
      <c r="E1265" s="42">
        <f>IF($C1265="","",IFERROR(INDEX(DESPACHOS!$K$3:$K$3002,MATCH($C1265,DESPACHOS!$B$3:$B$3002,0)),""))</f>
        <v/>
      </c>
      <c r="F1265" s="42">
        <f>IF($C1265="","",IFERROR(INDEX(DESPACHOS!$I$3:$I$3002,MATCH($C1265,DESPACHOS!$B$3:$B$3002,0)),""))</f>
        <v/>
      </c>
      <c r="G1265" s="42">
        <f>IF($C1265="","",IFERROR(INDEX(DESPACHOS!$F$3:$F$3002,MATCH($C1265,DESPACHOS!$B$3:$B$3002,0)),""))</f>
        <v/>
      </c>
      <c r="H1265" s="42">
        <f>IF($C1265="","",IFERROR(INDEX(DESPACHOS!$G$3:$G$3002,MATCH($C1265,DESPACHOS!$B$3:$B$3002,0)),""))</f>
        <v/>
      </c>
      <c r="I1265" s="39">
        <f>IF($C1265="","",IFERROR(INDEX(DESPACHOS!$H$3:$H$3002,MATCH($C1265,DESPACHOS!$B$3:$B$3002,0)),""))</f>
        <v/>
      </c>
      <c r="J1265" s="43">
        <f>IF($C1265="","",IFERROR(INDEX(DESPACHOS!$J$3:$J$3002,MATCH($C1265,DESPACHOS!$B$3:$B$3002,0)),""))</f>
        <v/>
      </c>
      <c r="K1265" s="39">
        <f>IF($C1265="","",IF(COUNTIFS(DESPACHOS!$B$3:$B$3002,$C1265)=0,"NO EXISTE",IF(COUNTIFS(DESPACHOS!$B$3:$B$3002,$C1265)&gt;1,"DUPLICADO","OK")))</f>
        <v/>
      </c>
      <c r="L1265" s="41" t="n"/>
      <c r="M1265" s="41" t="n"/>
      <c r="N1265" s="42">
        <f>IF($M1265="","",IFERROR(INDEX(LISTAS!$F$3:$F$42,MATCH($M1265,LISTAS!$E$3:$E$42,0)),"Por definir"))</f>
        <v/>
      </c>
      <c r="O1265" s="41" t="n"/>
      <c r="P1265" s="39">
        <f>IF($L1265="","",IFERROR(INDEX(LISTAS!$B$3:$B$42,MATCH($L1265,LISTAS!$A$3:$A$42,0)),"Media"))</f>
        <v/>
      </c>
      <c r="Q1265" s="44" t="n"/>
      <c r="R1265" s="45" t="n"/>
      <c r="S1265" s="20">
        <f>IFERROR(IF(OR($R1265="",$C1265=""),"",$R1265/INDEX(DESPACHOS!$M$3:$M$3002,MATCH($C1265,DESPACHOS!$B$3:$B$3002,0))),"")</f>
        <v/>
      </c>
      <c r="T1265" s="41" t="n"/>
      <c r="U1265" s="43">
        <f>IF(OR($B1265="",$L1265=""),"",WORKDAY($B1265,IFERROR(INDEX(LISTAS!$C$3:$C$42,MATCH($L1265,LISTAS!$A$3:$A$42,0)),3)))</f>
        <v/>
      </c>
      <c r="V1265" s="40" t="n"/>
      <c r="W1265" s="19">
        <f>IF($B1265="","",IF($V1265&lt;&gt;"",$V1265-$B1265,TODAY()-$B1265))</f>
        <v/>
      </c>
      <c r="X1265" s="19">
        <f>IF(OR($B1265="",$U1265=""),"",IF($V1265&lt;&gt;"",MAX(0,$V1265-$U1265),MAX(0,TODAY()-$U1265)))</f>
        <v/>
      </c>
      <c r="Y1265" s="39">
        <f>IF($C1265="","",IF(IFERROR(INDEX(LISTAS!$I$3:$I$42,MATCH($T1265,LISTAS!$H$3:$H$42,0)),"NO")="SÍ",IF(N($X1265)&gt;0,"CERRADA FUERA DE SLA","CERRADA EN SLA"),IF($U1265="","SIN CLASIFICAR",IF(N($X1265)&gt;0,"VENCIDA",IF(TODAY()&gt;=$U1265-1,"POR VENCER","EN PLAZO")))))</f>
        <v/>
      </c>
      <c r="Z1265" s="41" t="n"/>
      <c r="AA1265" s="41" t="n"/>
      <c r="AB1265" s="41" t="n"/>
    </row>
    <row r="1266">
      <c r="A1266" s="39">
        <f>IF($C1266="","","NOV-"&amp;TEXT(ROW()-3,"0000"))</f>
        <v/>
      </c>
      <c r="B1266" s="40" t="n"/>
      <c r="C1266" s="41" t="n"/>
      <c r="D1266" s="42">
        <f>IF($C1266="","",IFERROR(INDEX(DESPACHOS!$D$3:$D$3002,MATCH($C1266,DESPACHOS!$B$3:$B$3002,0)),"SIN DESPACHO"))</f>
        <v/>
      </c>
      <c r="E1266" s="42">
        <f>IF($C1266="","",IFERROR(INDEX(DESPACHOS!$K$3:$K$3002,MATCH($C1266,DESPACHOS!$B$3:$B$3002,0)),""))</f>
        <v/>
      </c>
      <c r="F1266" s="42">
        <f>IF($C1266="","",IFERROR(INDEX(DESPACHOS!$I$3:$I$3002,MATCH($C1266,DESPACHOS!$B$3:$B$3002,0)),""))</f>
        <v/>
      </c>
      <c r="G1266" s="42">
        <f>IF($C1266="","",IFERROR(INDEX(DESPACHOS!$F$3:$F$3002,MATCH($C1266,DESPACHOS!$B$3:$B$3002,0)),""))</f>
        <v/>
      </c>
      <c r="H1266" s="42">
        <f>IF($C1266="","",IFERROR(INDEX(DESPACHOS!$G$3:$G$3002,MATCH($C1266,DESPACHOS!$B$3:$B$3002,0)),""))</f>
        <v/>
      </c>
      <c r="I1266" s="39">
        <f>IF($C1266="","",IFERROR(INDEX(DESPACHOS!$H$3:$H$3002,MATCH($C1266,DESPACHOS!$B$3:$B$3002,0)),""))</f>
        <v/>
      </c>
      <c r="J1266" s="43">
        <f>IF($C1266="","",IFERROR(INDEX(DESPACHOS!$J$3:$J$3002,MATCH($C1266,DESPACHOS!$B$3:$B$3002,0)),""))</f>
        <v/>
      </c>
      <c r="K1266" s="39">
        <f>IF($C1266="","",IF(COUNTIFS(DESPACHOS!$B$3:$B$3002,$C1266)=0,"NO EXISTE",IF(COUNTIFS(DESPACHOS!$B$3:$B$3002,$C1266)&gt;1,"DUPLICADO","OK")))</f>
        <v/>
      </c>
      <c r="L1266" s="41" t="n"/>
      <c r="M1266" s="41" t="n"/>
      <c r="N1266" s="42">
        <f>IF($M1266="","",IFERROR(INDEX(LISTAS!$F$3:$F$42,MATCH($M1266,LISTAS!$E$3:$E$42,0)),"Por definir"))</f>
        <v/>
      </c>
      <c r="O1266" s="41" t="n"/>
      <c r="P1266" s="39">
        <f>IF($L1266="","",IFERROR(INDEX(LISTAS!$B$3:$B$42,MATCH($L1266,LISTAS!$A$3:$A$42,0)),"Media"))</f>
        <v/>
      </c>
      <c r="Q1266" s="44" t="n"/>
      <c r="R1266" s="45" t="n"/>
      <c r="S1266" s="20">
        <f>IFERROR(IF(OR($R1266="",$C1266=""),"",$R1266/INDEX(DESPACHOS!$M$3:$M$3002,MATCH($C1266,DESPACHOS!$B$3:$B$3002,0))),"")</f>
        <v/>
      </c>
      <c r="T1266" s="41" t="n"/>
      <c r="U1266" s="43">
        <f>IF(OR($B1266="",$L1266=""),"",WORKDAY($B1266,IFERROR(INDEX(LISTAS!$C$3:$C$42,MATCH($L1266,LISTAS!$A$3:$A$42,0)),3)))</f>
        <v/>
      </c>
      <c r="V1266" s="40" t="n"/>
      <c r="W1266" s="19">
        <f>IF($B1266="","",IF($V1266&lt;&gt;"",$V1266-$B1266,TODAY()-$B1266))</f>
        <v/>
      </c>
      <c r="X1266" s="19">
        <f>IF(OR($B1266="",$U1266=""),"",IF($V1266&lt;&gt;"",MAX(0,$V1266-$U1266),MAX(0,TODAY()-$U1266)))</f>
        <v/>
      </c>
      <c r="Y1266" s="39">
        <f>IF($C1266="","",IF(IFERROR(INDEX(LISTAS!$I$3:$I$42,MATCH($T1266,LISTAS!$H$3:$H$42,0)),"NO")="SÍ",IF(N($X1266)&gt;0,"CERRADA FUERA DE SLA","CERRADA EN SLA"),IF($U1266="","SIN CLASIFICAR",IF(N($X1266)&gt;0,"VENCIDA",IF(TODAY()&gt;=$U1266-1,"POR VENCER","EN PLAZO")))))</f>
        <v/>
      </c>
      <c r="Z1266" s="41" t="n"/>
      <c r="AA1266" s="41" t="n"/>
      <c r="AB1266" s="41" t="n"/>
    </row>
    <row r="1267">
      <c r="A1267" s="39">
        <f>IF($C1267="","","NOV-"&amp;TEXT(ROW()-3,"0000"))</f>
        <v/>
      </c>
      <c r="B1267" s="40" t="n"/>
      <c r="C1267" s="41" t="n"/>
      <c r="D1267" s="42">
        <f>IF($C1267="","",IFERROR(INDEX(DESPACHOS!$D$3:$D$3002,MATCH($C1267,DESPACHOS!$B$3:$B$3002,0)),"SIN DESPACHO"))</f>
        <v/>
      </c>
      <c r="E1267" s="42">
        <f>IF($C1267="","",IFERROR(INDEX(DESPACHOS!$K$3:$K$3002,MATCH($C1267,DESPACHOS!$B$3:$B$3002,0)),""))</f>
        <v/>
      </c>
      <c r="F1267" s="42">
        <f>IF($C1267="","",IFERROR(INDEX(DESPACHOS!$I$3:$I$3002,MATCH($C1267,DESPACHOS!$B$3:$B$3002,0)),""))</f>
        <v/>
      </c>
      <c r="G1267" s="42">
        <f>IF($C1267="","",IFERROR(INDEX(DESPACHOS!$F$3:$F$3002,MATCH($C1267,DESPACHOS!$B$3:$B$3002,0)),""))</f>
        <v/>
      </c>
      <c r="H1267" s="42">
        <f>IF($C1267="","",IFERROR(INDEX(DESPACHOS!$G$3:$G$3002,MATCH($C1267,DESPACHOS!$B$3:$B$3002,0)),""))</f>
        <v/>
      </c>
      <c r="I1267" s="39">
        <f>IF($C1267="","",IFERROR(INDEX(DESPACHOS!$H$3:$H$3002,MATCH($C1267,DESPACHOS!$B$3:$B$3002,0)),""))</f>
        <v/>
      </c>
      <c r="J1267" s="43">
        <f>IF($C1267="","",IFERROR(INDEX(DESPACHOS!$J$3:$J$3002,MATCH($C1267,DESPACHOS!$B$3:$B$3002,0)),""))</f>
        <v/>
      </c>
      <c r="K1267" s="39">
        <f>IF($C1267="","",IF(COUNTIFS(DESPACHOS!$B$3:$B$3002,$C1267)=0,"NO EXISTE",IF(COUNTIFS(DESPACHOS!$B$3:$B$3002,$C1267)&gt;1,"DUPLICADO","OK")))</f>
        <v/>
      </c>
      <c r="L1267" s="41" t="n"/>
      <c r="M1267" s="41" t="n"/>
      <c r="N1267" s="42">
        <f>IF($M1267="","",IFERROR(INDEX(LISTAS!$F$3:$F$42,MATCH($M1267,LISTAS!$E$3:$E$42,0)),"Por definir"))</f>
        <v/>
      </c>
      <c r="O1267" s="41" t="n"/>
      <c r="P1267" s="39">
        <f>IF($L1267="","",IFERROR(INDEX(LISTAS!$B$3:$B$42,MATCH($L1267,LISTAS!$A$3:$A$42,0)),"Media"))</f>
        <v/>
      </c>
      <c r="Q1267" s="44" t="n"/>
      <c r="R1267" s="45" t="n"/>
      <c r="S1267" s="20">
        <f>IFERROR(IF(OR($R1267="",$C1267=""),"",$R1267/INDEX(DESPACHOS!$M$3:$M$3002,MATCH($C1267,DESPACHOS!$B$3:$B$3002,0))),"")</f>
        <v/>
      </c>
      <c r="T1267" s="41" t="n"/>
      <c r="U1267" s="43">
        <f>IF(OR($B1267="",$L1267=""),"",WORKDAY($B1267,IFERROR(INDEX(LISTAS!$C$3:$C$42,MATCH($L1267,LISTAS!$A$3:$A$42,0)),3)))</f>
        <v/>
      </c>
      <c r="V1267" s="40" t="n"/>
      <c r="W1267" s="19">
        <f>IF($B1267="","",IF($V1267&lt;&gt;"",$V1267-$B1267,TODAY()-$B1267))</f>
        <v/>
      </c>
      <c r="X1267" s="19">
        <f>IF(OR($B1267="",$U1267=""),"",IF($V1267&lt;&gt;"",MAX(0,$V1267-$U1267),MAX(0,TODAY()-$U1267)))</f>
        <v/>
      </c>
      <c r="Y1267" s="39">
        <f>IF($C1267="","",IF(IFERROR(INDEX(LISTAS!$I$3:$I$42,MATCH($T1267,LISTAS!$H$3:$H$42,0)),"NO")="SÍ",IF(N($X1267)&gt;0,"CERRADA FUERA DE SLA","CERRADA EN SLA"),IF($U1267="","SIN CLASIFICAR",IF(N($X1267)&gt;0,"VENCIDA",IF(TODAY()&gt;=$U1267-1,"POR VENCER","EN PLAZO")))))</f>
        <v/>
      </c>
      <c r="Z1267" s="41" t="n"/>
      <c r="AA1267" s="41" t="n"/>
      <c r="AB1267" s="41" t="n"/>
    </row>
    <row r="1268">
      <c r="A1268" s="39">
        <f>IF($C1268="","","NOV-"&amp;TEXT(ROW()-3,"0000"))</f>
        <v/>
      </c>
      <c r="B1268" s="40" t="n"/>
      <c r="C1268" s="41" t="n"/>
      <c r="D1268" s="42">
        <f>IF($C1268="","",IFERROR(INDEX(DESPACHOS!$D$3:$D$3002,MATCH($C1268,DESPACHOS!$B$3:$B$3002,0)),"SIN DESPACHO"))</f>
        <v/>
      </c>
      <c r="E1268" s="42">
        <f>IF($C1268="","",IFERROR(INDEX(DESPACHOS!$K$3:$K$3002,MATCH($C1268,DESPACHOS!$B$3:$B$3002,0)),""))</f>
        <v/>
      </c>
      <c r="F1268" s="42">
        <f>IF($C1268="","",IFERROR(INDEX(DESPACHOS!$I$3:$I$3002,MATCH($C1268,DESPACHOS!$B$3:$B$3002,0)),""))</f>
        <v/>
      </c>
      <c r="G1268" s="42">
        <f>IF($C1268="","",IFERROR(INDEX(DESPACHOS!$F$3:$F$3002,MATCH($C1268,DESPACHOS!$B$3:$B$3002,0)),""))</f>
        <v/>
      </c>
      <c r="H1268" s="42">
        <f>IF($C1268="","",IFERROR(INDEX(DESPACHOS!$G$3:$G$3002,MATCH($C1268,DESPACHOS!$B$3:$B$3002,0)),""))</f>
        <v/>
      </c>
      <c r="I1268" s="39">
        <f>IF($C1268="","",IFERROR(INDEX(DESPACHOS!$H$3:$H$3002,MATCH($C1268,DESPACHOS!$B$3:$B$3002,0)),""))</f>
        <v/>
      </c>
      <c r="J1268" s="43">
        <f>IF($C1268="","",IFERROR(INDEX(DESPACHOS!$J$3:$J$3002,MATCH($C1268,DESPACHOS!$B$3:$B$3002,0)),""))</f>
        <v/>
      </c>
      <c r="K1268" s="39">
        <f>IF($C1268="","",IF(COUNTIFS(DESPACHOS!$B$3:$B$3002,$C1268)=0,"NO EXISTE",IF(COUNTIFS(DESPACHOS!$B$3:$B$3002,$C1268)&gt;1,"DUPLICADO","OK")))</f>
        <v/>
      </c>
      <c r="L1268" s="41" t="n"/>
      <c r="M1268" s="41" t="n"/>
      <c r="N1268" s="42">
        <f>IF($M1268="","",IFERROR(INDEX(LISTAS!$F$3:$F$42,MATCH($M1268,LISTAS!$E$3:$E$42,0)),"Por definir"))</f>
        <v/>
      </c>
      <c r="O1268" s="41" t="n"/>
      <c r="P1268" s="39">
        <f>IF($L1268="","",IFERROR(INDEX(LISTAS!$B$3:$B$42,MATCH($L1268,LISTAS!$A$3:$A$42,0)),"Media"))</f>
        <v/>
      </c>
      <c r="Q1268" s="44" t="n"/>
      <c r="R1268" s="45" t="n"/>
      <c r="S1268" s="20">
        <f>IFERROR(IF(OR($R1268="",$C1268=""),"",$R1268/INDEX(DESPACHOS!$M$3:$M$3002,MATCH($C1268,DESPACHOS!$B$3:$B$3002,0))),"")</f>
        <v/>
      </c>
      <c r="T1268" s="41" t="n"/>
      <c r="U1268" s="43">
        <f>IF(OR($B1268="",$L1268=""),"",WORKDAY($B1268,IFERROR(INDEX(LISTAS!$C$3:$C$42,MATCH($L1268,LISTAS!$A$3:$A$42,0)),3)))</f>
        <v/>
      </c>
      <c r="V1268" s="40" t="n"/>
      <c r="W1268" s="19">
        <f>IF($B1268="","",IF($V1268&lt;&gt;"",$V1268-$B1268,TODAY()-$B1268))</f>
        <v/>
      </c>
      <c r="X1268" s="19">
        <f>IF(OR($B1268="",$U1268=""),"",IF($V1268&lt;&gt;"",MAX(0,$V1268-$U1268),MAX(0,TODAY()-$U1268)))</f>
        <v/>
      </c>
      <c r="Y1268" s="39">
        <f>IF($C1268="","",IF(IFERROR(INDEX(LISTAS!$I$3:$I$42,MATCH($T1268,LISTAS!$H$3:$H$42,0)),"NO")="SÍ",IF(N($X1268)&gt;0,"CERRADA FUERA DE SLA","CERRADA EN SLA"),IF($U1268="","SIN CLASIFICAR",IF(N($X1268)&gt;0,"VENCIDA",IF(TODAY()&gt;=$U1268-1,"POR VENCER","EN PLAZO")))))</f>
        <v/>
      </c>
      <c r="Z1268" s="41" t="n"/>
      <c r="AA1268" s="41" t="n"/>
      <c r="AB1268" s="41" t="n"/>
    </row>
    <row r="1269">
      <c r="A1269" s="39">
        <f>IF($C1269="","","NOV-"&amp;TEXT(ROW()-3,"0000"))</f>
        <v/>
      </c>
      <c r="B1269" s="40" t="n"/>
      <c r="C1269" s="41" t="n"/>
      <c r="D1269" s="42">
        <f>IF($C1269="","",IFERROR(INDEX(DESPACHOS!$D$3:$D$3002,MATCH($C1269,DESPACHOS!$B$3:$B$3002,0)),"SIN DESPACHO"))</f>
        <v/>
      </c>
      <c r="E1269" s="42">
        <f>IF($C1269="","",IFERROR(INDEX(DESPACHOS!$K$3:$K$3002,MATCH($C1269,DESPACHOS!$B$3:$B$3002,0)),""))</f>
        <v/>
      </c>
      <c r="F1269" s="42">
        <f>IF($C1269="","",IFERROR(INDEX(DESPACHOS!$I$3:$I$3002,MATCH($C1269,DESPACHOS!$B$3:$B$3002,0)),""))</f>
        <v/>
      </c>
      <c r="G1269" s="42">
        <f>IF($C1269="","",IFERROR(INDEX(DESPACHOS!$F$3:$F$3002,MATCH($C1269,DESPACHOS!$B$3:$B$3002,0)),""))</f>
        <v/>
      </c>
      <c r="H1269" s="42">
        <f>IF($C1269="","",IFERROR(INDEX(DESPACHOS!$G$3:$G$3002,MATCH($C1269,DESPACHOS!$B$3:$B$3002,0)),""))</f>
        <v/>
      </c>
      <c r="I1269" s="39">
        <f>IF($C1269="","",IFERROR(INDEX(DESPACHOS!$H$3:$H$3002,MATCH($C1269,DESPACHOS!$B$3:$B$3002,0)),""))</f>
        <v/>
      </c>
      <c r="J1269" s="43">
        <f>IF($C1269="","",IFERROR(INDEX(DESPACHOS!$J$3:$J$3002,MATCH($C1269,DESPACHOS!$B$3:$B$3002,0)),""))</f>
        <v/>
      </c>
      <c r="K1269" s="39">
        <f>IF($C1269="","",IF(COUNTIFS(DESPACHOS!$B$3:$B$3002,$C1269)=0,"NO EXISTE",IF(COUNTIFS(DESPACHOS!$B$3:$B$3002,$C1269)&gt;1,"DUPLICADO","OK")))</f>
        <v/>
      </c>
      <c r="L1269" s="41" t="n"/>
      <c r="M1269" s="41" t="n"/>
      <c r="N1269" s="42">
        <f>IF($M1269="","",IFERROR(INDEX(LISTAS!$F$3:$F$42,MATCH($M1269,LISTAS!$E$3:$E$42,0)),"Por definir"))</f>
        <v/>
      </c>
      <c r="O1269" s="41" t="n"/>
      <c r="P1269" s="39">
        <f>IF($L1269="","",IFERROR(INDEX(LISTAS!$B$3:$B$42,MATCH($L1269,LISTAS!$A$3:$A$42,0)),"Media"))</f>
        <v/>
      </c>
      <c r="Q1269" s="44" t="n"/>
      <c r="R1269" s="45" t="n"/>
      <c r="S1269" s="20">
        <f>IFERROR(IF(OR($R1269="",$C1269=""),"",$R1269/INDEX(DESPACHOS!$M$3:$M$3002,MATCH($C1269,DESPACHOS!$B$3:$B$3002,0))),"")</f>
        <v/>
      </c>
      <c r="T1269" s="41" t="n"/>
      <c r="U1269" s="43">
        <f>IF(OR($B1269="",$L1269=""),"",WORKDAY($B1269,IFERROR(INDEX(LISTAS!$C$3:$C$42,MATCH($L1269,LISTAS!$A$3:$A$42,0)),3)))</f>
        <v/>
      </c>
      <c r="V1269" s="40" t="n"/>
      <c r="W1269" s="19">
        <f>IF($B1269="","",IF($V1269&lt;&gt;"",$V1269-$B1269,TODAY()-$B1269))</f>
        <v/>
      </c>
      <c r="X1269" s="19">
        <f>IF(OR($B1269="",$U1269=""),"",IF($V1269&lt;&gt;"",MAX(0,$V1269-$U1269),MAX(0,TODAY()-$U1269)))</f>
        <v/>
      </c>
      <c r="Y1269" s="39">
        <f>IF($C1269="","",IF(IFERROR(INDEX(LISTAS!$I$3:$I$42,MATCH($T1269,LISTAS!$H$3:$H$42,0)),"NO")="SÍ",IF(N($X1269)&gt;0,"CERRADA FUERA DE SLA","CERRADA EN SLA"),IF($U1269="","SIN CLASIFICAR",IF(N($X1269)&gt;0,"VENCIDA",IF(TODAY()&gt;=$U1269-1,"POR VENCER","EN PLAZO")))))</f>
        <v/>
      </c>
      <c r="Z1269" s="41" t="n"/>
      <c r="AA1269" s="41" t="n"/>
      <c r="AB1269" s="41" t="n"/>
    </row>
    <row r="1270">
      <c r="A1270" s="39">
        <f>IF($C1270="","","NOV-"&amp;TEXT(ROW()-3,"0000"))</f>
        <v/>
      </c>
      <c r="B1270" s="40" t="n"/>
      <c r="C1270" s="41" t="n"/>
      <c r="D1270" s="42">
        <f>IF($C1270="","",IFERROR(INDEX(DESPACHOS!$D$3:$D$3002,MATCH($C1270,DESPACHOS!$B$3:$B$3002,0)),"SIN DESPACHO"))</f>
        <v/>
      </c>
      <c r="E1270" s="42">
        <f>IF($C1270="","",IFERROR(INDEX(DESPACHOS!$K$3:$K$3002,MATCH($C1270,DESPACHOS!$B$3:$B$3002,0)),""))</f>
        <v/>
      </c>
      <c r="F1270" s="42">
        <f>IF($C1270="","",IFERROR(INDEX(DESPACHOS!$I$3:$I$3002,MATCH($C1270,DESPACHOS!$B$3:$B$3002,0)),""))</f>
        <v/>
      </c>
      <c r="G1270" s="42">
        <f>IF($C1270="","",IFERROR(INDEX(DESPACHOS!$F$3:$F$3002,MATCH($C1270,DESPACHOS!$B$3:$B$3002,0)),""))</f>
        <v/>
      </c>
      <c r="H1270" s="42">
        <f>IF($C1270="","",IFERROR(INDEX(DESPACHOS!$G$3:$G$3002,MATCH($C1270,DESPACHOS!$B$3:$B$3002,0)),""))</f>
        <v/>
      </c>
      <c r="I1270" s="39">
        <f>IF($C1270="","",IFERROR(INDEX(DESPACHOS!$H$3:$H$3002,MATCH($C1270,DESPACHOS!$B$3:$B$3002,0)),""))</f>
        <v/>
      </c>
      <c r="J1270" s="43">
        <f>IF($C1270="","",IFERROR(INDEX(DESPACHOS!$J$3:$J$3002,MATCH($C1270,DESPACHOS!$B$3:$B$3002,0)),""))</f>
        <v/>
      </c>
      <c r="K1270" s="39">
        <f>IF($C1270="","",IF(COUNTIFS(DESPACHOS!$B$3:$B$3002,$C1270)=0,"NO EXISTE",IF(COUNTIFS(DESPACHOS!$B$3:$B$3002,$C1270)&gt;1,"DUPLICADO","OK")))</f>
        <v/>
      </c>
      <c r="L1270" s="41" t="n"/>
      <c r="M1270" s="41" t="n"/>
      <c r="N1270" s="42">
        <f>IF($M1270="","",IFERROR(INDEX(LISTAS!$F$3:$F$42,MATCH($M1270,LISTAS!$E$3:$E$42,0)),"Por definir"))</f>
        <v/>
      </c>
      <c r="O1270" s="41" t="n"/>
      <c r="P1270" s="39">
        <f>IF($L1270="","",IFERROR(INDEX(LISTAS!$B$3:$B$42,MATCH($L1270,LISTAS!$A$3:$A$42,0)),"Media"))</f>
        <v/>
      </c>
      <c r="Q1270" s="44" t="n"/>
      <c r="R1270" s="45" t="n"/>
      <c r="S1270" s="20">
        <f>IFERROR(IF(OR($R1270="",$C1270=""),"",$R1270/INDEX(DESPACHOS!$M$3:$M$3002,MATCH($C1270,DESPACHOS!$B$3:$B$3002,0))),"")</f>
        <v/>
      </c>
      <c r="T1270" s="41" t="n"/>
      <c r="U1270" s="43">
        <f>IF(OR($B1270="",$L1270=""),"",WORKDAY($B1270,IFERROR(INDEX(LISTAS!$C$3:$C$42,MATCH($L1270,LISTAS!$A$3:$A$42,0)),3)))</f>
        <v/>
      </c>
      <c r="V1270" s="40" t="n"/>
      <c r="W1270" s="19">
        <f>IF($B1270="","",IF($V1270&lt;&gt;"",$V1270-$B1270,TODAY()-$B1270))</f>
        <v/>
      </c>
      <c r="X1270" s="19">
        <f>IF(OR($B1270="",$U1270=""),"",IF($V1270&lt;&gt;"",MAX(0,$V1270-$U1270),MAX(0,TODAY()-$U1270)))</f>
        <v/>
      </c>
      <c r="Y1270" s="39">
        <f>IF($C1270="","",IF(IFERROR(INDEX(LISTAS!$I$3:$I$42,MATCH($T1270,LISTAS!$H$3:$H$42,0)),"NO")="SÍ",IF(N($X1270)&gt;0,"CERRADA FUERA DE SLA","CERRADA EN SLA"),IF($U1270="","SIN CLASIFICAR",IF(N($X1270)&gt;0,"VENCIDA",IF(TODAY()&gt;=$U1270-1,"POR VENCER","EN PLAZO")))))</f>
        <v/>
      </c>
      <c r="Z1270" s="41" t="n"/>
      <c r="AA1270" s="41" t="n"/>
      <c r="AB1270" s="41" t="n"/>
    </row>
    <row r="1271">
      <c r="A1271" s="39">
        <f>IF($C1271="","","NOV-"&amp;TEXT(ROW()-3,"0000"))</f>
        <v/>
      </c>
      <c r="B1271" s="40" t="n"/>
      <c r="C1271" s="41" t="n"/>
      <c r="D1271" s="42">
        <f>IF($C1271="","",IFERROR(INDEX(DESPACHOS!$D$3:$D$3002,MATCH($C1271,DESPACHOS!$B$3:$B$3002,0)),"SIN DESPACHO"))</f>
        <v/>
      </c>
      <c r="E1271" s="42">
        <f>IF($C1271="","",IFERROR(INDEX(DESPACHOS!$K$3:$K$3002,MATCH($C1271,DESPACHOS!$B$3:$B$3002,0)),""))</f>
        <v/>
      </c>
      <c r="F1271" s="42">
        <f>IF($C1271="","",IFERROR(INDEX(DESPACHOS!$I$3:$I$3002,MATCH($C1271,DESPACHOS!$B$3:$B$3002,0)),""))</f>
        <v/>
      </c>
      <c r="G1271" s="42">
        <f>IF($C1271="","",IFERROR(INDEX(DESPACHOS!$F$3:$F$3002,MATCH($C1271,DESPACHOS!$B$3:$B$3002,0)),""))</f>
        <v/>
      </c>
      <c r="H1271" s="42">
        <f>IF($C1271="","",IFERROR(INDEX(DESPACHOS!$G$3:$G$3002,MATCH($C1271,DESPACHOS!$B$3:$B$3002,0)),""))</f>
        <v/>
      </c>
      <c r="I1271" s="39">
        <f>IF($C1271="","",IFERROR(INDEX(DESPACHOS!$H$3:$H$3002,MATCH($C1271,DESPACHOS!$B$3:$B$3002,0)),""))</f>
        <v/>
      </c>
      <c r="J1271" s="43">
        <f>IF($C1271="","",IFERROR(INDEX(DESPACHOS!$J$3:$J$3002,MATCH($C1271,DESPACHOS!$B$3:$B$3002,0)),""))</f>
        <v/>
      </c>
      <c r="K1271" s="39">
        <f>IF($C1271="","",IF(COUNTIFS(DESPACHOS!$B$3:$B$3002,$C1271)=0,"NO EXISTE",IF(COUNTIFS(DESPACHOS!$B$3:$B$3002,$C1271)&gt;1,"DUPLICADO","OK")))</f>
        <v/>
      </c>
      <c r="L1271" s="41" t="n"/>
      <c r="M1271" s="41" t="n"/>
      <c r="N1271" s="42">
        <f>IF($M1271="","",IFERROR(INDEX(LISTAS!$F$3:$F$42,MATCH($M1271,LISTAS!$E$3:$E$42,0)),"Por definir"))</f>
        <v/>
      </c>
      <c r="O1271" s="41" t="n"/>
      <c r="P1271" s="39">
        <f>IF($L1271="","",IFERROR(INDEX(LISTAS!$B$3:$B$42,MATCH($L1271,LISTAS!$A$3:$A$42,0)),"Media"))</f>
        <v/>
      </c>
      <c r="Q1271" s="44" t="n"/>
      <c r="R1271" s="45" t="n"/>
      <c r="S1271" s="20">
        <f>IFERROR(IF(OR($R1271="",$C1271=""),"",$R1271/INDEX(DESPACHOS!$M$3:$M$3002,MATCH($C1271,DESPACHOS!$B$3:$B$3002,0))),"")</f>
        <v/>
      </c>
      <c r="T1271" s="41" t="n"/>
      <c r="U1271" s="43">
        <f>IF(OR($B1271="",$L1271=""),"",WORKDAY($B1271,IFERROR(INDEX(LISTAS!$C$3:$C$42,MATCH($L1271,LISTAS!$A$3:$A$42,0)),3)))</f>
        <v/>
      </c>
      <c r="V1271" s="40" t="n"/>
      <c r="W1271" s="19">
        <f>IF($B1271="","",IF($V1271&lt;&gt;"",$V1271-$B1271,TODAY()-$B1271))</f>
        <v/>
      </c>
      <c r="X1271" s="19">
        <f>IF(OR($B1271="",$U1271=""),"",IF($V1271&lt;&gt;"",MAX(0,$V1271-$U1271),MAX(0,TODAY()-$U1271)))</f>
        <v/>
      </c>
      <c r="Y1271" s="39">
        <f>IF($C1271="","",IF(IFERROR(INDEX(LISTAS!$I$3:$I$42,MATCH($T1271,LISTAS!$H$3:$H$42,0)),"NO")="SÍ",IF(N($X1271)&gt;0,"CERRADA FUERA DE SLA","CERRADA EN SLA"),IF($U1271="","SIN CLASIFICAR",IF(N($X1271)&gt;0,"VENCIDA",IF(TODAY()&gt;=$U1271-1,"POR VENCER","EN PLAZO")))))</f>
        <v/>
      </c>
      <c r="Z1271" s="41" t="n"/>
      <c r="AA1271" s="41" t="n"/>
      <c r="AB1271" s="41" t="n"/>
    </row>
    <row r="1272">
      <c r="A1272" s="39">
        <f>IF($C1272="","","NOV-"&amp;TEXT(ROW()-3,"0000"))</f>
        <v/>
      </c>
      <c r="B1272" s="40" t="n"/>
      <c r="C1272" s="41" t="n"/>
      <c r="D1272" s="42">
        <f>IF($C1272="","",IFERROR(INDEX(DESPACHOS!$D$3:$D$3002,MATCH($C1272,DESPACHOS!$B$3:$B$3002,0)),"SIN DESPACHO"))</f>
        <v/>
      </c>
      <c r="E1272" s="42">
        <f>IF($C1272="","",IFERROR(INDEX(DESPACHOS!$K$3:$K$3002,MATCH($C1272,DESPACHOS!$B$3:$B$3002,0)),""))</f>
        <v/>
      </c>
      <c r="F1272" s="42">
        <f>IF($C1272="","",IFERROR(INDEX(DESPACHOS!$I$3:$I$3002,MATCH($C1272,DESPACHOS!$B$3:$B$3002,0)),""))</f>
        <v/>
      </c>
      <c r="G1272" s="42">
        <f>IF($C1272="","",IFERROR(INDEX(DESPACHOS!$F$3:$F$3002,MATCH($C1272,DESPACHOS!$B$3:$B$3002,0)),""))</f>
        <v/>
      </c>
      <c r="H1272" s="42">
        <f>IF($C1272="","",IFERROR(INDEX(DESPACHOS!$G$3:$G$3002,MATCH($C1272,DESPACHOS!$B$3:$B$3002,0)),""))</f>
        <v/>
      </c>
      <c r="I1272" s="39">
        <f>IF($C1272="","",IFERROR(INDEX(DESPACHOS!$H$3:$H$3002,MATCH($C1272,DESPACHOS!$B$3:$B$3002,0)),""))</f>
        <v/>
      </c>
      <c r="J1272" s="43">
        <f>IF($C1272="","",IFERROR(INDEX(DESPACHOS!$J$3:$J$3002,MATCH($C1272,DESPACHOS!$B$3:$B$3002,0)),""))</f>
        <v/>
      </c>
      <c r="K1272" s="39">
        <f>IF($C1272="","",IF(COUNTIFS(DESPACHOS!$B$3:$B$3002,$C1272)=0,"NO EXISTE",IF(COUNTIFS(DESPACHOS!$B$3:$B$3002,$C1272)&gt;1,"DUPLICADO","OK")))</f>
        <v/>
      </c>
      <c r="L1272" s="41" t="n"/>
      <c r="M1272" s="41" t="n"/>
      <c r="N1272" s="42">
        <f>IF($M1272="","",IFERROR(INDEX(LISTAS!$F$3:$F$42,MATCH($M1272,LISTAS!$E$3:$E$42,0)),"Por definir"))</f>
        <v/>
      </c>
      <c r="O1272" s="41" t="n"/>
      <c r="P1272" s="39">
        <f>IF($L1272="","",IFERROR(INDEX(LISTAS!$B$3:$B$42,MATCH($L1272,LISTAS!$A$3:$A$42,0)),"Media"))</f>
        <v/>
      </c>
      <c r="Q1272" s="44" t="n"/>
      <c r="R1272" s="45" t="n"/>
      <c r="S1272" s="20">
        <f>IFERROR(IF(OR($R1272="",$C1272=""),"",$R1272/INDEX(DESPACHOS!$M$3:$M$3002,MATCH($C1272,DESPACHOS!$B$3:$B$3002,0))),"")</f>
        <v/>
      </c>
      <c r="T1272" s="41" t="n"/>
      <c r="U1272" s="43">
        <f>IF(OR($B1272="",$L1272=""),"",WORKDAY($B1272,IFERROR(INDEX(LISTAS!$C$3:$C$42,MATCH($L1272,LISTAS!$A$3:$A$42,0)),3)))</f>
        <v/>
      </c>
      <c r="V1272" s="40" t="n"/>
      <c r="W1272" s="19">
        <f>IF($B1272="","",IF($V1272&lt;&gt;"",$V1272-$B1272,TODAY()-$B1272))</f>
        <v/>
      </c>
      <c r="X1272" s="19">
        <f>IF(OR($B1272="",$U1272=""),"",IF($V1272&lt;&gt;"",MAX(0,$V1272-$U1272),MAX(0,TODAY()-$U1272)))</f>
        <v/>
      </c>
      <c r="Y1272" s="39">
        <f>IF($C1272="","",IF(IFERROR(INDEX(LISTAS!$I$3:$I$42,MATCH($T1272,LISTAS!$H$3:$H$42,0)),"NO")="SÍ",IF(N($X1272)&gt;0,"CERRADA FUERA DE SLA","CERRADA EN SLA"),IF($U1272="","SIN CLASIFICAR",IF(N($X1272)&gt;0,"VENCIDA",IF(TODAY()&gt;=$U1272-1,"POR VENCER","EN PLAZO")))))</f>
        <v/>
      </c>
      <c r="Z1272" s="41" t="n"/>
      <c r="AA1272" s="41" t="n"/>
      <c r="AB1272" s="41" t="n"/>
    </row>
    <row r="1273">
      <c r="A1273" s="39">
        <f>IF($C1273="","","NOV-"&amp;TEXT(ROW()-3,"0000"))</f>
        <v/>
      </c>
      <c r="B1273" s="40" t="n"/>
      <c r="C1273" s="41" t="n"/>
      <c r="D1273" s="42">
        <f>IF($C1273="","",IFERROR(INDEX(DESPACHOS!$D$3:$D$3002,MATCH($C1273,DESPACHOS!$B$3:$B$3002,0)),"SIN DESPACHO"))</f>
        <v/>
      </c>
      <c r="E1273" s="42">
        <f>IF($C1273="","",IFERROR(INDEX(DESPACHOS!$K$3:$K$3002,MATCH($C1273,DESPACHOS!$B$3:$B$3002,0)),""))</f>
        <v/>
      </c>
      <c r="F1273" s="42">
        <f>IF($C1273="","",IFERROR(INDEX(DESPACHOS!$I$3:$I$3002,MATCH($C1273,DESPACHOS!$B$3:$B$3002,0)),""))</f>
        <v/>
      </c>
      <c r="G1273" s="42">
        <f>IF($C1273="","",IFERROR(INDEX(DESPACHOS!$F$3:$F$3002,MATCH($C1273,DESPACHOS!$B$3:$B$3002,0)),""))</f>
        <v/>
      </c>
      <c r="H1273" s="42">
        <f>IF($C1273="","",IFERROR(INDEX(DESPACHOS!$G$3:$G$3002,MATCH($C1273,DESPACHOS!$B$3:$B$3002,0)),""))</f>
        <v/>
      </c>
      <c r="I1273" s="39">
        <f>IF($C1273="","",IFERROR(INDEX(DESPACHOS!$H$3:$H$3002,MATCH($C1273,DESPACHOS!$B$3:$B$3002,0)),""))</f>
        <v/>
      </c>
      <c r="J1273" s="43">
        <f>IF($C1273="","",IFERROR(INDEX(DESPACHOS!$J$3:$J$3002,MATCH($C1273,DESPACHOS!$B$3:$B$3002,0)),""))</f>
        <v/>
      </c>
      <c r="K1273" s="39">
        <f>IF($C1273="","",IF(COUNTIFS(DESPACHOS!$B$3:$B$3002,$C1273)=0,"NO EXISTE",IF(COUNTIFS(DESPACHOS!$B$3:$B$3002,$C1273)&gt;1,"DUPLICADO","OK")))</f>
        <v/>
      </c>
      <c r="L1273" s="41" t="n"/>
      <c r="M1273" s="41" t="n"/>
      <c r="N1273" s="42">
        <f>IF($M1273="","",IFERROR(INDEX(LISTAS!$F$3:$F$42,MATCH($M1273,LISTAS!$E$3:$E$42,0)),"Por definir"))</f>
        <v/>
      </c>
      <c r="O1273" s="41" t="n"/>
      <c r="P1273" s="39">
        <f>IF($L1273="","",IFERROR(INDEX(LISTAS!$B$3:$B$42,MATCH($L1273,LISTAS!$A$3:$A$42,0)),"Media"))</f>
        <v/>
      </c>
      <c r="Q1273" s="44" t="n"/>
      <c r="R1273" s="45" t="n"/>
      <c r="S1273" s="20">
        <f>IFERROR(IF(OR($R1273="",$C1273=""),"",$R1273/INDEX(DESPACHOS!$M$3:$M$3002,MATCH($C1273,DESPACHOS!$B$3:$B$3002,0))),"")</f>
        <v/>
      </c>
      <c r="T1273" s="41" t="n"/>
      <c r="U1273" s="43">
        <f>IF(OR($B1273="",$L1273=""),"",WORKDAY($B1273,IFERROR(INDEX(LISTAS!$C$3:$C$42,MATCH($L1273,LISTAS!$A$3:$A$42,0)),3)))</f>
        <v/>
      </c>
      <c r="V1273" s="40" t="n"/>
      <c r="W1273" s="19">
        <f>IF($B1273="","",IF($V1273&lt;&gt;"",$V1273-$B1273,TODAY()-$B1273))</f>
        <v/>
      </c>
      <c r="X1273" s="19">
        <f>IF(OR($B1273="",$U1273=""),"",IF($V1273&lt;&gt;"",MAX(0,$V1273-$U1273),MAX(0,TODAY()-$U1273)))</f>
        <v/>
      </c>
      <c r="Y1273" s="39">
        <f>IF($C1273="","",IF(IFERROR(INDEX(LISTAS!$I$3:$I$42,MATCH($T1273,LISTAS!$H$3:$H$42,0)),"NO")="SÍ",IF(N($X1273)&gt;0,"CERRADA FUERA DE SLA","CERRADA EN SLA"),IF($U1273="","SIN CLASIFICAR",IF(N($X1273)&gt;0,"VENCIDA",IF(TODAY()&gt;=$U1273-1,"POR VENCER","EN PLAZO")))))</f>
        <v/>
      </c>
      <c r="Z1273" s="41" t="n"/>
      <c r="AA1273" s="41" t="n"/>
      <c r="AB1273" s="41" t="n"/>
    </row>
    <row r="1274">
      <c r="A1274" s="39">
        <f>IF($C1274="","","NOV-"&amp;TEXT(ROW()-3,"0000"))</f>
        <v/>
      </c>
      <c r="B1274" s="40" t="n"/>
      <c r="C1274" s="41" t="n"/>
      <c r="D1274" s="42">
        <f>IF($C1274="","",IFERROR(INDEX(DESPACHOS!$D$3:$D$3002,MATCH($C1274,DESPACHOS!$B$3:$B$3002,0)),"SIN DESPACHO"))</f>
        <v/>
      </c>
      <c r="E1274" s="42">
        <f>IF($C1274="","",IFERROR(INDEX(DESPACHOS!$K$3:$K$3002,MATCH($C1274,DESPACHOS!$B$3:$B$3002,0)),""))</f>
        <v/>
      </c>
      <c r="F1274" s="42">
        <f>IF($C1274="","",IFERROR(INDEX(DESPACHOS!$I$3:$I$3002,MATCH($C1274,DESPACHOS!$B$3:$B$3002,0)),""))</f>
        <v/>
      </c>
      <c r="G1274" s="42">
        <f>IF($C1274="","",IFERROR(INDEX(DESPACHOS!$F$3:$F$3002,MATCH($C1274,DESPACHOS!$B$3:$B$3002,0)),""))</f>
        <v/>
      </c>
      <c r="H1274" s="42">
        <f>IF($C1274="","",IFERROR(INDEX(DESPACHOS!$G$3:$G$3002,MATCH($C1274,DESPACHOS!$B$3:$B$3002,0)),""))</f>
        <v/>
      </c>
      <c r="I1274" s="39">
        <f>IF($C1274="","",IFERROR(INDEX(DESPACHOS!$H$3:$H$3002,MATCH($C1274,DESPACHOS!$B$3:$B$3002,0)),""))</f>
        <v/>
      </c>
      <c r="J1274" s="43">
        <f>IF($C1274="","",IFERROR(INDEX(DESPACHOS!$J$3:$J$3002,MATCH($C1274,DESPACHOS!$B$3:$B$3002,0)),""))</f>
        <v/>
      </c>
      <c r="K1274" s="39">
        <f>IF($C1274="","",IF(COUNTIFS(DESPACHOS!$B$3:$B$3002,$C1274)=0,"NO EXISTE",IF(COUNTIFS(DESPACHOS!$B$3:$B$3002,$C1274)&gt;1,"DUPLICADO","OK")))</f>
        <v/>
      </c>
      <c r="L1274" s="41" t="n"/>
      <c r="M1274" s="41" t="n"/>
      <c r="N1274" s="42">
        <f>IF($M1274="","",IFERROR(INDEX(LISTAS!$F$3:$F$42,MATCH($M1274,LISTAS!$E$3:$E$42,0)),"Por definir"))</f>
        <v/>
      </c>
      <c r="O1274" s="41" t="n"/>
      <c r="P1274" s="39">
        <f>IF($L1274="","",IFERROR(INDEX(LISTAS!$B$3:$B$42,MATCH($L1274,LISTAS!$A$3:$A$42,0)),"Media"))</f>
        <v/>
      </c>
      <c r="Q1274" s="44" t="n"/>
      <c r="R1274" s="45" t="n"/>
      <c r="S1274" s="20">
        <f>IFERROR(IF(OR($R1274="",$C1274=""),"",$R1274/INDEX(DESPACHOS!$M$3:$M$3002,MATCH($C1274,DESPACHOS!$B$3:$B$3002,0))),"")</f>
        <v/>
      </c>
      <c r="T1274" s="41" t="n"/>
      <c r="U1274" s="43">
        <f>IF(OR($B1274="",$L1274=""),"",WORKDAY($B1274,IFERROR(INDEX(LISTAS!$C$3:$C$42,MATCH($L1274,LISTAS!$A$3:$A$42,0)),3)))</f>
        <v/>
      </c>
      <c r="V1274" s="40" t="n"/>
      <c r="W1274" s="19">
        <f>IF($B1274="","",IF($V1274&lt;&gt;"",$V1274-$B1274,TODAY()-$B1274))</f>
        <v/>
      </c>
      <c r="X1274" s="19">
        <f>IF(OR($B1274="",$U1274=""),"",IF($V1274&lt;&gt;"",MAX(0,$V1274-$U1274),MAX(0,TODAY()-$U1274)))</f>
        <v/>
      </c>
      <c r="Y1274" s="39">
        <f>IF($C1274="","",IF(IFERROR(INDEX(LISTAS!$I$3:$I$42,MATCH($T1274,LISTAS!$H$3:$H$42,0)),"NO")="SÍ",IF(N($X1274)&gt;0,"CERRADA FUERA DE SLA","CERRADA EN SLA"),IF($U1274="","SIN CLASIFICAR",IF(N($X1274)&gt;0,"VENCIDA",IF(TODAY()&gt;=$U1274-1,"POR VENCER","EN PLAZO")))))</f>
        <v/>
      </c>
      <c r="Z1274" s="41" t="n"/>
      <c r="AA1274" s="41" t="n"/>
      <c r="AB1274" s="41" t="n"/>
    </row>
    <row r="1275">
      <c r="A1275" s="39">
        <f>IF($C1275="","","NOV-"&amp;TEXT(ROW()-3,"0000"))</f>
        <v/>
      </c>
      <c r="B1275" s="40" t="n"/>
      <c r="C1275" s="41" t="n"/>
      <c r="D1275" s="42">
        <f>IF($C1275="","",IFERROR(INDEX(DESPACHOS!$D$3:$D$3002,MATCH($C1275,DESPACHOS!$B$3:$B$3002,0)),"SIN DESPACHO"))</f>
        <v/>
      </c>
      <c r="E1275" s="42">
        <f>IF($C1275="","",IFERROR(INDEX(DESPACHOS!$K$3:$K$3002,MATCH($C1275,DESPACHOS!$B$3:$B$3002,0)),""))</f>
        <v/>
      </c>
      <c r="F1275" s="42">
        <f>IF($C1275="","",IFERROR(INDEX(DESPACHOS!$I$3:$I$3002,MATCH($C1275,DESPACHOS!$B$3:$B$3002,0)),""))</f>
        <v/>
      </c>
      <c r="G1275" s="42">
        <f>IF($C1275="","",IFERROR(INDEX(DESPACHOS!$F$3:$F$3002,MATCH($C1275,DESPACHOS!$B$3:$B$3002,0)),""))</f>
        <v/>
      </c>
      <c r="H1275" s="42">
        <f>IF($C1275="","",IFERROR(INDEX(DESPACHOS!$G$3:$G$3002,MATCH($C1275,DESPACHOS!$B$3:$B$3002,0)),""))</f>
        <v/>
      </c>
      <c r="I1275" s="39">
        <f>IF($C1275="","",IFERROR(INDEX(DESPACHOS!$H$3:$H$3002,MATCH($C1275,DESPACHOS!$B$3:$B$3002,0)),""))</f>
        <v/>
      </c>
      <c r="J1275" s="43">
        <f>IF($C1275="","",IFERROR(INDEX(DESPACHOS!$J$3:$J$3002,MATCH($C1275,DESPACHOS!$B$3:$B$3002,0)),""))</f>
        <v/>
      </c>
      <c r="K1275" s="39">
        <f>IF($C1275="","",IF(COUNTIFS(DESPACHOS!$B$3:$B$3002,$C1275)=0,"NO EXISTE",IF(COUNTIFS(DESPACHOS!$B$3:$B$3002,$C1275)&gt;1,"DUPLICADO","OK")))</f>
        <v/>
      </c>
      <c r="L1275" s="41" t="n"/>
      <c r="M1275" s="41" t="n"/>
      <c r="N1275" s="42">
        <f>IF($M1275="","",IFERROR(INDEX(LISTAS!$F$3:$F$42,MATCH($M1275,LISTAS!$E$3:$E$42,0)),"Por definir"))</f>
        <v/>
      </c>
      <c r="O1275" s="41" t="n"/>
      <c r="P1275" s="39">
        <f>IF($L1275="","",IFERROR(INDEX(LISTAS!$B$3:$B$42,MATCH($L1275,LISTAS!$A$3:$A$42,0)),"Media"))</f>
        <v/>
      </c>
      <c r="Q1275" s="44" t="n"/>
      <c r="R1275" s="45" t="n"/>
      <c r="S1275" s="20">
        <f>IFERROR(IF(OR($R1275="",$C1275=""),"",$R1275/INDEX(DESPACHOS!$M$3:$M$3002,MATCH($C1275,DESPACHOS!$B$3:$B$3002,0))),"")</f>
        <v/>
      </c>
      <c r="T1275" s="41" t="n"/>
      <c r="U1275" s="43">
        <f>IF(OR($B1275="",$L1275=""),"",WORKDAY($B1275,IFERROR(INDEX(LISTAS!$C$3:$C$42,MATCH($L1275,LISTAS!$A$3:$A$42,0)),3)))</f>
        <v/>
      </c>
      <c r="V1275" s="40" t="n"/>
      <c r="W1275" s="19">
        <f>IF($B1275="","",IF($V1275&lt;&gt;"",$V1275-$B1275,TODAY()-$B1275))</f>
        <v/>
      </c>
      <c r="X1275" s="19">
        <f>IF(OR($B1275="",$U1275=""),"",IF($V1275&lt;&gt;"",MAX(0,$V1275-$U1275),MAX(0,TODAY()-$U1275)))</f>
        <v/>
      </c>
      <c r="Y1275" s="39">
        <f>IF($C1275="","",IF(IFERROR(INDEX(LISTAS!$I$3:$I$42,MATCH($T1275,LISTAS!$H$3:$H$42,0)),"NO")="SÍ",IF(N($X1275)&gt;0,"CERRADA FUERA DE SLA","CERRADA EN SLA"),IF($U1275="","SIN CLASIFICAR",IF(N($X1275)&gt;0,"VENCIDA",IF(TODAY()&gt;=$U1275-1,"POR VENCER","EN PLAZO")))))</f>
        <v/>
      </c>
      <c r="Z1275" s="41" t="n"/>
      <c r="AA1275" s="41" t="n"/>
      <c r="AB1275" s="41" t="n"/>
    </row>
    <row r="1276">
      <c r="A1276" s="39">
        <f>IF($C1276="","","NOV-"&amp;TEXT(ROW()-3,"0000"))</f>
        <v/>
      </c>
      <c r="B1276" s="40" t="n"/>
      <c r="C1276" s="41" t="n"/>
      <c r="D1276" s="42">
        <f>IF($C1276="","",IFERROR(INDEX(DESPACHOS!$D$3:$D$3002,MATCH($C1276,DESPACHOS!$B$3:$B$3002,0)),"SIN DESPACHO"))</f>
        <v/>
      </c>
      <c r="E1276" s="42">
        <f>IF($C1276="","",IFERROR(INDEX(DESPACHOS!$K$3:$K$3002,MATCH($C1276,DESPACHOS!$B$3:$B$3002,0)),""))</f>
        <v/>
      </c>
      <c r="F1276" s="42">
        <f>IF($C1276="","",IFERROR(INDEX(DESPACHOS!$I$3:$I$3002,MATCH($C1276,DESPACHOS!$B$3:$B$3002,0)),""))</f>
        <v/>
      </c>
      <c r="G1276" s="42">
        <f>IF($C1276="","",IFERROR(INDEX(DESPACHOS!$F$3:$F$3002,MATCH($C1276,DESPACHOS!$B$3:$B$3002,0)),""))</f>
        <v/>
      </c>
      <c r="H1276" s="42">
        <f>IF($C1276="","",IFERROR(INDEX(DESPACHOS!$G$3:$G$3002,MATCH($C1276,DESPACHOS!$B$3:$B$3002,0)),""))</f>
        <v/>
      </c>
      <c r="I1276" s="39">
        <f>IF($C1276="","",IFERROR(INDEX(DESPACHOS!$H$3:$H$3002,MATCH($C1276,DESPACHOS!$B$3:$B$3002,0)),""))</f>
        <v/>
      </c>
      <c r="J1276" s="43">
        <f>IF($C1276="","",IFERROR(INDEX(DESPACHOS!$J$3:$J$3002,MATCH($C1276,DESPACHOS!$B$3:$B$3002,0)),""))</f>
        <v/>
      </c>
      <c r="K1276" s="39">
        <f>IF($C1276="","",IF(COUNTIFS(DESPACHOS!$B$3:$B$3002,$C1276)=0,"NO EXISTE",IF(COUNTIFS(DESPACHOS!$B$3:$B$3002,$C1276)&gt;1,"DUPLICADO","OK")))</f>
        <v/>
      </c>
      <c r="L1276" s="41" t="n"/>
      <c r="M1276" s="41" t="n"/>
      <c r="N1276" s="42">
        <f>IF($M1276="","",IFERROR(INDEX(LISTAS!$F$3:$F$42,MATCH($M1276,LISTAS!$E$3:$E$42,0)),"Por definir"))</f>
        <v/>
      </c>
      <c r="O1276" s="41" t="n"/>
      <c r="P1276" s="39">
        <f>IF($L1276="","",IFERROR(INDEX(LISTAS!$B$3:$B$42,MATCH($L1276,LISTAS!$A$3:$A$42,0)),"Media"))</f>
        <v/>
      </c>
      <c r="Q1276" s="44" t="n"/>
      <c r="R1276" s="45" t="n"/>
      <c r="S1276" s="20">
        <f>IFERROR(IF(OR($R1276="",$C1276=""),"",$R1276/INDEX(DESPACHOS!$M$3:$M$3002,MATCH($C1276,DESPACHOS!$B$3:$B$3002,0))),"")</f>
        <v/>
      </c>
      <c r="T1276" s="41" t="n"/>
      <c r="U1276" s="43">
        <f>IF(OR($B1276="",$L1276=""),"",WORKDAY($B1276,IFERROR(INDEX(LISTAS!$C$3:$C$42,MATCH($L1276,LISTAS!$A$3:$A$42,0)),3)))</f>
        <v/>
      </c>
      <c r="V1276" s="40" t="n"/>
      <c r="W1276" s="19">
        <f>IF($B1276="","",IF($V1276&lt;&gt;"",$V1276-$B1276,TODAY()-$B1276))</f>
        <v/>
      </c>
      <c r="X1276" s="19">
        <f>IF(OR($B1276="",$U1276=""),"",IF($V1276&lt;&gt;"",MAX(0,$V1276-$U1276),MAX(0,TODAY()-$U1276)))</f>
        <v/>
      </c>
      <c r="Y1276" s="39">
        <f>IF($C1276="","",IF(IFERROR(INDEX(LISTAS!$I$3:$I$42,MATCH($T1276,LISTAS!$H$3:$H$42,0)),"NO")="SÍ",IF(N($X1276)&gt;0,"CERRADA FUERA DE SLA","CERRADA EN SLA"),IF($U1276="","SIN CLASIFICAR",IF(N($X1276)&gt;0,"VENCIDA",IF(TODAY()&gt;=$U1276-1,"POR VENCER","EN PLAZO")))))</f>
        <v/>
      </c>
      <c r="Z1276" s="41" t="n"/>
      <c r="AA1276" s="41" t="n"/>
      <c r="AB1276" s="41" t="n"/>
    </row>
    <row r="1277">
      <c r="A1277" s="39">
        <f>IF($C1277="","","NOV-"&amp;TEXT(ROW()-3,"0000"))</f>
        <v/>
      </c>
      <c r="B1277" s="40" t="n"/>
      <c r="C1277" s="41" t="n"/>
      <c r="D1277" s="42">
        <f>IF($C1277="","",IFERROR(INDEX(DESPACHOS!$D$3:$D$3002,MATCH($C1277,DESPACHOS!$B$3:$B$3002,0)),"SIN DESPACHO"))</f>
        <v/>
      </c>
      <c r="E1277" s="42">
        <f>IF($C1277="","",IFERROR(INDEX(DESPACHOS!$K$3:$K$3002,MATCH($C1277,DESPACHOS!$B$3:$B$3002,0)),""))</f>
        <v/>
      </c>
      <c r="F1277" s="42">
        <f>IF($C1277="","",IFERROR(INDEX(DESPACHOS!$I$3:$I$3002,MATCH($C1277,DESPACHOS!$B$3:$B$3002,0)),""))</f>
        <v/>
      </c>
      <c r="G1277" s="42">
        <f>IF($C1277="","",IFERROR(INDEX(DESPACHOS!$F$3:$F$3002,MATCH($C1277,DESPACHOS!$B$3:$B$3002,0)),""))</f>
        <v/>
      </c>
      <c r="H1277" s="42">
        <f>IF($C1277="","",IFERROR(INDEX(DESPACHOS!$G$3:$G$3002,MATCH($C1277,DESPACHOS!$B$3:$B$3002,0)),""))</f>
        <v/>
      </c>
      <c r="I1277" s="39">
        <f>IF($C1277="","",IFERROR(INDEX(DESPACHOS!$H$3:$H$3002,MATCH($C1277,DESPACHOS!$B$3:$B$3002,0)),""))</f>
        <v/>
      </c>
      <c r="J1277" s="43">
        <f>IF($C1277="","",IFERROR(INDEX(DESPACHOS!$J$3:$J$3002,MATCH($C1277,DESPACHOS!$B$3:$B$3002,0)),""))</f>
        <v/>
      </c>
      <c r="K1277" s="39">
        <f>IF($C1277="","",IF(COUNTIFS(DESPACHOS!$B$3:$B$3002,$C1277)=0,"NO EXISTE",IF(COUNTIFS(DESPACHOS!$B$3:$B$3002,$C1277)&gt;1,"DUPLICADO","OK")))</f>
        <v/>
      </c>
      <c r="L1277" s="41" t="n"/>
      <c r="M1277" s="41" t="n"/>
      <c r="N1277" s="42">
        <f>IF($M1277="","",IFERROR(INDEX(LISTAS!$F$3:$F$42,MATCH($M1277,LISTAS!$E$3:$E$42,0)),"Por definir"))</f>
        <v/>
      </c>
      <c r="O1277" s="41" t="n"/>
      <c r="P1277" s="39">
        <f>IF($L1277="","",IFERROR(INDEX(LISTAS!$B$3:$B$42,MATCH($L1277,LISTAS!$A$3:$A$42,0)),"Media"))</f>
        <v/>
      </c>
      <c r="Q1277" s="44" t="n"/>
      <c r="R1277" s="45" t="n"/>
      <c r="S1277" s="20">
        <f>IFERROR(IF(OR($R1277="",$C1277=""),"",$R1277/INDEX(DESPACHOS!$M$3:$M$3002,MATCH($C1277,DESPACHOS!$B$3:$B$3002,0))),"")</f>
        <v/>
      </c>
      <c r="T1277" s="41" t="n"/>
      <c r="U1277" s="43">
        <f>IF(OR($B1277="",$L1277=""),"",WORKDAY($B1277,IFERROR(INDEX(LISTAS!$C$3:$C$42,MATCH($L1277,LISTAS!$A$3:$A$42,0)),3)))</f>
        <v/>
      </c>
      <c r="V1277" s="40" t="n"/>
      <c r="W1277" s="19">
        <f>IF($B1277="","",IF($V1277&lt;&gt;"",$V1277-$B1277,TODAY()-$B1277))</f>
        <v/>
      </c>
      <c r="X1277" s="19">
        <f>IF(OR($B1277="",$U1277=""),"",IF($V1277&lt;&gt;"",MAX(0,$V1277-$U1277),MAX(0,TODAY()-$U1277)))</f>
        <v/>
      </c>
      <c r="Y1277" s="39">
        <f>IF($C1277="","",IF(IFERROR(INDEX(LISTAS!$I$3:$I$42,MATCH($T1277,LISTAS!$H$3:$H$42,0)),"NO")="SÍ",IF(N($X1277)&gt;0,"CERRADA FUERA DE SLA","CERRADA EN SLA"),IF($U1277="","SIN CLASIFICAR",IF(N($X1277)&gt;0,"VENCIDA",IF(TODAY()&gt;=$U1277-1,"POR VENCER","EN PLAZO")))))</f>
        <v/>
      </c>
      <c r="Z1277" s="41" t="n"/>
      <c r="AA1277" s="41" t="n"/>
      <c r="AB1277" s="41" t="n"/>
    </row>
    <row r="1278">
      <c r="A1278" s="39">
        <f>IF($C1278="","","NOV-"&amp;TEXT(ROW()-3,"0000"))</f>
        <v/>
      </c>
      <c r="B1278" s="40" t="n"/>
      <c r="C1278" s="41" t="n"/>
      <c r="D1278" s="42">
        <f>IF($C1278="","",IFERROR(INDEX(DESPACHOS!$D$3:$D$3002,MATCH($C1278,DESPACHOS!$B$3:$B$3002,0)),"SIN DESPACHO"))</f>
        <v/>
      </c>
      <c r="E1278" s="42">
        <f>IF($C1278="","",IFERROR(INDEX(DESPACHOS!$K$3:$K$3002,MATCH($C1278,DESPACHOS!$B$3:$B$3002,0)),""))</f>
        <v/>
      </c>
      <c r="F1278" s="42">
        <f>IF($C1278="","",IFERROR(INDEX(DESPACHOS!$I$3:$I$3002,MATCH($C1278,DESPACHOS!$B$3:$B$3002,0)),""))</f>
        <v/>
      </c>
      <c r="G1278" s="42">
        <f>IF($C1278="","",IFERROR(INDEX(DESPACHOS!$F$3:$F$3002,MATCH($C1278,DESPACHOS!$B$3:$B$3002,0)),""))</f>
        <v/>
      </c>
      <c r="H1278" s="42">
        <f>IF($C1278="","",IFERROR(INDEX(DESPACHOS!$G$3:$G$3002,MATCH($C1278,DESPACHOS!$B$3:$B$3002,0)),""))</f>
        <v/>
      </c>
      <c r="I1278" s="39">
        <f>IF($C1278="","",IFERROR(INDEX(DESPACHOS!$H$3:$H$3002,MATCH($C1278,DESPACHOS!$B$3:$B$3002,0)),""))</f>
        <v/>
      </c>
      <c r="J1278" s="43">
        <f>IF($C1278="","",IFERROR(INDEX(DESPACHOS!$J$3:$J$3002,MATCH($C1278,DESPACHOS!$B$3:$B$3002,0)),""))</f>
        <v/>
      </c>
      <c r="K1278" s="39">
        <f>IF($C1278="","",IF(COUNTIFS(DESPACHOS!$B$3:$B$3002,$C1278)=0,"NO EXISTE",IF(COUNTIFS(DESPACHOS!$B$3:$B$3002,$C1278)&gt;1,"DUPLICADO","OK")))</f>
        <v/>
      </c>
      <c r="L1278" s="41" t="n"/>
      <c r="M1278" s="41" t="n"/>
      <c r="N1278" s="42">
        <f>IF($M1278="","",IFERROR(INDEX(LISTAS!$F$3:$F$42,MATCH($M1278,LISTAS!$E$3:$E$42,0)),"Por definir"))</f>
        <v/>
      </c>
      <c r="O1278" s="41" t="n"/>
      <c r="P1278" s="39">
        <f>IF($L1278="","",IFERROR(INDEX(LISTAS!$B$3:$B$42,MATCH($L1278,LISTAS!$A$3:$A$42,0)),"Media"))</f>
        <v/>
      </c>
      <c r="Q1278" s="44" t="n"/>
      <c r="R1278" s="45" t="n"/>
      <c r="S1278" s="20">
        <f>IFERROR(IF(OR($R1278="",$C1278=""),"",$R1278/INDEX(DESPACHOS!$M$3:$M$3002,MATCH($C1278,DESPACHOS!$B$3:$B$3002,0))),"")</f>
        <v/>
      </c>
      <c r="T1278" s="41" t="n"/>
      <c r="U1278" s="43">
        <f>IF(OR($B1278="",$L1278=""),"",WORKDAY($B1278,IFERROR(INDEX(LISTAS!$C$3:$C$42,MATCH($L1278,LISTAS!$A$3:$A$42,0)),3)))</f>
        <v/>
      </c>
      <c r="V1278" s="40" t="n"/>
      <c r="W1278" s="19">
        <f>IF($B1278="","",IF($V1278&lt;&gt;"",$V1278-$B1278,TODAY()-$B1278))</f>
        <v/>
      </c>
      <c r="X1278" s="19">
        <f>IF(OR($B1278="",$U1278=""),"",IF($V1278&lt;&gt;"",MAX(0,$V1278-$U1278),MAX(0,TODAY()-$U1278)))</f>
        <v/>
      </c>
      <c r="Y1278" s="39">
        <f>IF($C1278="","",IF(IFERROR(INDEX(LISTAS!$I$3:$I$42,MATCH($T1278,LISTAS!$H$3:$H$42,0)),"NO")="SÍ",IF(N($X1278)&gt;0,"CERRADA FUERA DE SLA","CERRADA EN SLA"),IF($U1278="","SIN CLASIFICAR",IF(N($X1278)&gt;0,"VENCIDA",IF(TODAY()&gt;=$U1278-1,"POR VENCER","EN PLAZO")))))</f>
        <v/>
      </c>
      <c r="Z1278" s="41" t="n"/>
      <c r="AA1278" s="41" t="n"/>
      <c r="AB1278" s="41" t="n"/>
    </row>
    <row r="1279">
      <c r="A1279" s="39">
        <f>IF($C1279="","","NOV-"&amp;TEXT(ROW()-3,"0000"))</f>
        <v/>
      </c>
      <c r="B1279" s="40" t="n"/>
      <c r="C1279" s="41" t="n"/>
      <c r="D1279" s="42">
        <f>IF($C1279="","",IFERROR(INDEX(DESPACHOS!$D$3:$D$3002,MATCH($C1279,DESPACHOS!$B$3:$B$3002,0)),"SIN DESPACHO"))</f>
        <v/>
      </c>
      <c r="E1279" s="42">
        <f>IF($C1279="","",IFERROR(INDEX(DESPACHOS!$K$3:$K$3002,MATCH($C1279,DESPACHOS!$B$3:$B$3002,0)),""))</f>
        <v/>
      </c>
      <c r="F1279" s="42">
        <f>IF($C1279="","",IFERROR(INDEX(DESPACHOS!$I$3:$I$3002,MATCH($C1279,DESPACHOS!$B$3:$B$3002,0)),""))</f>
        <v/>
      </c>
      <c r="G1279" s="42">
        <f>IF($C1279="","",IFERROR(INDEX(DESPACHOS!$F$3:$F$3002,MATCH($C1279,DESPACHOS!$B$3:$B$3002,0)),""))</f>
        <v/>
      </c>
      <c r="H1279" s="42">
        <f>IF($C1279="","",IFERROR(INDEX(DESPACHOS!$G$3:$G$3002,MATCH($C1279,DESPACHOS!$B$3:$B$3002,0)),""))</f>
        <v/>
      </c>
      <c r="I1279" s="39">
        <f>IF($C1279="","",IFERROR(INDEX(DESPACHOS!$H$3:$H$3002,MATCH($C1279,DESPACHOS!$B$3:$B$3002,0)),""))</f>
        <v/>
      </c>
      <c r="J1279" s="43">
        <f>IF($C1279="","",IFERROR(INDEX(DESPACHOS!$J$3:$J$3002,MATCH($C1279,DESPACHOS!$B$3:$B$3002,0)),""))</f>
        <v/>
      </c>
      <c r="K1279" s="39">
        <f>IF($C1279="","",IF(COUNTIFS(DESPACHOS!$B$3:$B$3002,$C1279)=0,"NO EXISTE",IF(COUNTIFS(DESPACHOS!$B$3:$B$3002,$C1279)&gt;1,"DUPLICADO","OK")))</f>
        <v/>
      </c>
      <c r="L1279" s="41" t="n"/>
      <c r="M1279" s="41" t="n"/>
      <c r="N1279" s="42">
        <f>IF($M1279="","",IFERROR(INDEX(LISTAS!$F$3:$F$42,MATCH($M1279,LISTAS!$E$3:$E$42,0)),"Por definir"))</f>
        <v/>
      </c>
      <c r="O1279" s="41" t="n"/>
      <c r="P1279" s="39">
        <f>IF($L1279="","",IFERROR(INDEX(LISTAS!$B$3:$B$42,MATCH($L1279,LISTAS!$A$3:$A$42,0)),"Media"))</f>
        <v/>
      </c>
      <c r="Q1279" s="44" t="n"/>
      <c r="R1279" s="45" t="n"/>
      <c r="S1279" s="20">
        <f>IFERROR(IF(OR($R1279="",$C1279=""),"",$R1279/INDEX(DESPACHOS!$M$3:$M$3002,MATCH($C1279,DESPACHOS!$B$3:$B$3002,0))),"")</f>
        <v/>
      </c>
      <c r="T1279" s="41" t="n"/>
      <c r="U1279" s="43">
        <f>IF(OR($B1279="",$L1279=""),"",WORKDAY($B1279,IFERROR(INDEX(LISTAS!$C$3:$C$42,MATCH($L1279,LISTAS!$A$3:$A$42,0)),3)))</f>
        <v/>
      </c>
      <c r="V1279" s="40" t="n"/>
      <c r="W1279" s="19">
        <f>IF($B1279="","",IF($V1279&lt;&gt;"",$V1279-$B1279,TODAY()-$B1279))</f>
        <v/>
      </c>
      <c r="X1279" s="19">
        <f>IF(OR($B1279="",$U1279=""),"",IF($V1279&lt;&gt;"",MAX(0,$V1279-$U1279),MAX(0,TODAY()-$U1279)))</f>
        <v/>
      </c>
      <c r="Y1279" s="39">
        <f>IF($C1279="","",IF(IFERROR(INDEX(LISTAS!$I$3:$I$42,MATCH($T1279,LISTAS!$H$3:$H$42,0)),"NO")="SÍ",IF(N($X1279)&gt;0,"CERRADA FUERA DE SLA","CERRADA EN SLA"),IF($U1279="","SIN CLASIFICAR",IF(N($X1279)&gt;0,"VENCIDA",IF(TODAY()&gt;=$U1279-1,"POR VENCER","EN PLAZO")))))</f>
        <v/>
      </c>
      <c r="Z1279" s="41" t="n"/>
      <c r="AA1279" s="41" t="n"/>
      <c r="AB1279" s="41" t="n"/>
    </row>
    <row r="1280">
      <c r="A1280" s="39">
        <f>IF($C1280="","","NOV-"&amp;TEXT(ROW()-3,"0000"))</f>
        <v/>
      </c>
      <c r="B1280" s="40" t="n"/>
      <c r="C1280" s="41" t="n"/>
      <c r="D1280" s="42">
        <f>IF($C1280="","",IFERROR(INDEX(DESPACHOS!$D$3:$D$3002,MATCH($C1280,DESPACHOS!$B$3:$B$3002,0)),"SIN DESPACHO"))</f>
        <v/>
      </c>
      <c r="E1280" s="42">
        <f>IF($C1280="","",IFERROR(INDEX(DESPACHOS!$K$3:$K$3002,MATCH($C1280,DESPACHOS!$B$3:$B$3002,0)),""))</f>
        <v/>
      </c>
      <c r="F1280" s="42">
        <f>IF($C1280="","",IFERROR(INDEX(DESPACHOS!$I$3:$I$3002,MATCH($C1280,DESPACHOS!$B$3:$B$3002,0)),""))</f>
        <v/>
      </c>
      <c r="G1280" s="42">
        <f>IF($C1280="","",IFERROR(INDEX(DESPACHOS!$F$3:$F$3002,MATCH($C1280,DESPACHOS!$B$3:$B$3002,0)),""))</f>
        <v/>
      </c>
      <c r="H1280" s="42">
        <f>IF($C1280="","",IFERROR(INDEX(DESPACHOS!$G$3:$G$3002,MATCH($C1280,DESPACHOS!$B$3:$B$3002,0)),""))</f>
        <v/>
      </c>
      <c r="I1280" s="39">
        <f>IF($C1280="","",IFERROR(INDEX(DESPACHOS!$H$3:$H$3002,MATCH($C1280,DESPACHOS!$B$3:$B$3002,0)),""))</f>
        <v/>
      </c>
      <c r="J1280" s="43">
        <f>IF($C1280="","",IFERROR(INDEX(DESPACHOS!$J$3:$J$3002,MATCH($C1280,DESPACHOS!$B$3:$B$3002,0)),""))</f>
        <v/>
      </c>
      <c r="K1280" s="39">
        <f>IF($C1280="","",IF(COUNTIFS(DESPACHOS!$B$3:$B$3002,$C1280)=0,"NO EXISTE",IF(COUNTIFS(DESPACHOS!$B$3:$B$3002,$C1280)&gt;1,"DUPLICADO","OK")))</f>
        <v/>
      </c>
      <c r="L1280" s="41" t="n"/>
      <c r="M1280" s="41" t="n"/>
      <c r="N1280" s="42">
        <f>IF($M1280="","",IFERROR(INDEX(LISTAS!$F$3:$F$42,MATCH($M1280,LISTAS!$E$3:$E$42,0)),"Por definir"))</f>
        <v/>
      </c>
      <c r="O1280" s="41" t="n"/>
      <c r="P1280" s="39">
        <f>IF($L1280="","",IFERROR(INDEX(LISTAS!$B$3:$B$42,MATCH($L1280,LISTAS!$A$3:$A$42,0)),"Media"))</f>
        <v/>
      </c>
      <c r="Q1280" s="44" t="n"/>
      <c r="R1280" s="45" t="n"/>
      <c r="S1280" s="20">
        <f>IFERROR(IF(OR($R1280="",$C1280=""),"",$R1280/INDEX(DESPACHOS!$M$3:$M$3002,MATCH($C1280,DESPACHOS!$B$3:$B$3002,0))),"")</f>
        <v/>
      </c>
      <c r="T1280" s="41" t="n"/>
      <c r="U1280" s="43">
        <f>IF(OR($B1280="",$L1280=""),"",WORKDAY($B1280,IFERROR(INDEX(LISTAS!$C$3:$C$42,MATCH($L1280,LISTAS!$A$3:$A$42,0)),3)))</f>
        <v/>
      </c>
      <c r="V1280" s="40" t="n"/>
      <c r="W1280" s="19">
        <f>IF($B1280="","",IF($V1280&lt;&gt;"",$V1280-$B1280,TODAY()-$B1280))</f>
        <v/>
      </c>
      <c r="X1280" s="19">
        <f>IF(OR($B1280="",$U1280=""),"",IF($V1280&lt;&gt;"",MAX(0,$V1280-$U1280),MAX(0,TODAY()-$U1280)))</f>
        <v/>
      </c>
      <c r="Y1280" s="39">
        <f>IF($C1280="","",IF(IFERROR(INDEX(LISTAS!$I$3:$I$42,MATCH($T1280,LISTAS!$H$3:$H$42,0)),"NO")="SÍ",IF(N($X1280)&gt;0,"CERRADA FUERA DE SLA","CERRADA EN SLA"),IF($U1280="","SIN CLASIFICAR",IF(N($X1280)&gt;0,"VENCIDA",IF(TODAY()&gt;=$U1280-1,"POR VENCER","EN PLAZO")))))</f>
        <v/>
      </c>
      <c r="Z1280" s="41" t="n"/>
      <c r="AA1280" s="41" t="n"/>
      <c r="AB1280" s="41" t="n"/>
    </row>
    <row r="1281">
      <c r="A1281" s="39">
        <f>IF($C1281="","","NOV-"&amp;TEXT(ROW()-3,"0000"))</f>
        <v/>
      </c>
      <c r="B1281" s="40" t="n"/>
      <c r="C1281" s="41" t="n"/>
      <c r="D1281" s="42">
        <f>IF($C1281="","",IFERROR(INDEX(DESPACHOS!$D$3:$D$3002,MATCH($C1281,DESPACHOS!$B$3:$B$3002,0)),"SIN DESPACHO"))</f>
        <v/>
      </c>
      <c r="E1281" s="42">
        <f>IF($C1281="","",IFERROR(INDEX(DESPACHOS!$K$3:$K$3002,MATCH($C1281,DESPACHOS!$B$3:$B$3002,0)),""))</f>
        <v/>
      </c>
      <c r="F1281" s="42">
        <f>IF($C1281="","",IFERROR(INDEX(DESPACHOS!$I$3:$I$3002,MATCH($C1281,DESPACHOS!$B$3:$B$3002,0)),""))</f>
        <v/>
      </c>
      <c r="G1281" s="42">
        <f>IF($C1281="","",IFERROR(INDEX(DESPACHOS!$F$3:$F$3002,MATCH($C1281,DESPACHOS!$B$3:$B$3002,0)),""))</f>
        <v/>
      </c>
      <c r="H1281" s="42">
        <f>IF($C1281="","",IFERROR(INDEX(DESPACHOS!$G$3:$G$3002,MATCH($C1281,DESPACHOS!$B$3:$B$3002,0)),""))</f>
        <v/>
      </c>
      <c r="I1281" s="39">
        <f>IF($C1281="","",IFERROR(INDEX(DESPACHOS!$H$3:$H$3002,MATCH($C1281,DESPACHOS!$B$3:$B$3002,0)),""))</f>
        <v/>
      </c>
      <c r="J1281" s="43">
        <f>IF($C1281="","",IFERROR(INDEX(DESPACHOS!$J$3:$J$3002,MATCH($C1281,DESPACHOS!$B$3:$B$3002,0)),""))</f>
        <v/>
      </c>
      <c r="K1281" s="39">
        <f>IF($C1281="","",IF(COUNTIFS(DESPACHOS!$B$3:$B$3002,$C1281)=0,"NO EXISTE",IF(COUNTIFS(DESPACHOS!$B$3:$B$3002,$C1281)&gt;1,"DUPLICADO","OK")))</f>
        <v/>
      </c>
      <c r="L1281" s="41" t="n"/>
      <c r="M1281" s="41" t="n"/>
      <c r="N1281" s="42">
        <f>IF($M1281="","",IFERROR(INDEX(LISTAS!$F$3:$F$42,MATCH($M1281,LISTAS!$E$3:$E$42,0)),"Por definir"))</f>
        <v/>
      </c>
      <c r="O1281" s="41" t="n"/>
      <c r="P1281" s="39">
        <f>IF($L1281="","",IFERROR(INDEX(LISTAS!$B$3:$B$42,MATCH($L1281,LISTAS!$A$3:$A$42,0)),"Media"))</f>
        <v/>
      </c>
      <c r="Q1281" s="44" t="n"/>
      <c r="R1281" s="45" t="n"/>
      <c r="S1281" s="20">
        <f>IFERROR(IF(OR($R1281="",$C1281=""),"",$R1281/INDEX(DESPACHOS!$M$3:$M$3002,MATCH($C1281,DESPACHOS!$B$3:$B$3002,0))),"")</f>
        <v/>
      </c>
      <c r="T1281" s="41" t="n"/>
      <c r="U1281" s="43">
        <f>IF(OR($B1281="",$L1281=""),"",WORKDAY($B1281,IFERROR(INDEX(LISTAS!$C$3:$C$42,MATCH($L1281,LISTAS!$A$3:$A$42,0)),3)))</f>
        <v/>
      </c>
      <c r="V1281" s="40" t="n"/>
      <c r="W1281" s="19">
        <f>IF($B1281="","",IF($V1281&lt;&gt;"",$V1281-$B1281,TODAY()-$B1281))</f>
        <v/>
      </c>
      <c r="X1281" s="19">
        <f>IF(OR($B1281="",$U1281=""),"",IF($V1281&lt;&gt;"",MAX(0,$V1281-$U1281),MAX(0,TODAY()-$U1281)))</f>
        <v/>
      </c>
      <c r="Y1281" s="39">
        <f>IF($C1281="","",IF(IFERROR(INDEX(LISTAS!$I$3:$I$42,MATCH($T1281,LISTAS!$H$3:$H$42,0)),"NO")="SÍ",IF(N($X1281)&gt;0,"CERRADA FUERA DE SLA","CERRADA EN SLA"),IF($U1281="","SIN CLASIFICAR",IF(N($X1281)&gt;0,"VENCIDA",IF(TODAY()&gt;=$U1281-1,"POR VENCER","EN PLAZO")))))</f>
        <v/>
      </c>
      <c r="Z1281" s="41" t="n"/>
      <c r="AA1281" s="41" t="n"/>
      <c r="AB1281" s="41" t="n"/>
    </row>
    <row r="1282">
      <c r="A1282" s="39">
        <f>IF($C1282="","","NOV-"&amp;TEXT(ROW()-3,"0000"))</f>
        <v/>
      </c>
      <c r="B1282" s="40" t="n"/>
      <c r="C1282" s="41" t="n"/>
      <c r="D1282" s="42">
        <f>IF($C1282="","",IFERROR(INDEX(DESPACHOS!$D$3:$D$3002,MATCH($C1282,DESPACHOS!$B$3:$B$3002,0)),"SIN DESPACHO"))</f>
        <v/>
      </c>
      <c r="E1282" s="42">
        <f>IF($C1282="","",IFERROR(INDEX(DESPACHOS!$K$3:$K$3002,MATCH($C1282,DESPACHOS!$B$3:$B$3002,0)),""))</f>
        <v/>
      </c>
      <c r="F1282" s="42">
        <f>IF($C1282="","",IFERROR(INDEX(DESPACHOS!$I$3:$I$3002,MATCH($C1282,DESPACHOS!$B$3:$B$3002,0)),""))</f>
        <v/>
      </c>
      <c r="G1282" s="42">
        <f>IF($C1282="","",IFERROR(INDEX(DESPACHOS!$F$3:$F$3002,MATCH($C1282,DESPACHOS!$B$3:$B$3002,0)),""))</f>
        <v/>
      </c>
      <c r="H1282" s="42">
        <f>IF($C1282="","",IFERROR(INDEX(DESPACHOS!$G$3:$G$3002,MATCH($C1282,DESPACHOS!$B$3:$B$3002,0)),""))</f>
        <v/>
      </c>
      <c r="I1282" s="39">
        <f>IF($C1282="","",IFERROR(INDEX(DESPACHOS!$H$3:$H$3002,MATCH($C1282,DESPACHOS!$B$3:$B$3002,0)),""))</f>
        <v/>
      </c>
      <c r="J1282" s="43">
        <f>IF($C1282="","",IFERROR(INDEX(DESPACHOS!$J$3:$J$3002,MATCH($C1282,DESPACHOS!$B$3:$B$3002,0)),""))</f>
        <v/>
      </c>
      <c r="K1282" s="39">
        <f>IF($C1282="","",IF(COUNTIFS(DESPACHOS!$B$3:$B$3002,$C1282)=0,"NO EXISTE",IF(COUNTIFS(DESPACHOS!$B$3:$B$3002,$C1282)&gt;1,"DUPLICADO","OK")))</f>
        <v/>
      </c>
      <c r="L1282" s="41" t="n"/>
      <c r="M1282" s="41" t="n"/>
      <c r="N1282" s="42">
        <f>IF($M1282="","",IFERROR(INDEX(LISTAS!$F$3:$F$42,MATCH($M1282,LISTAS!$E$3:$E$42,0)),"Por definir"))</f>
        <v/>
      </c>
      <c r="O1282" s="41" t="n"/>
      <c r="P1282" s="39">
        <f>IF($L1282="","",IFERROR(INDEX(LISTAS!$B$3:$B$42,MATCH($L1282,LISTAS!$A$3:$A$42,0)),"Media"))</f>
        <v/>
      </c>
      <c r="Q1282" s="44" t="n"/>
      <c r="R1282" s="45" t="n"/>
      <c r="S1282" s="20">
        <f>IFERROR(IF(OR($R1282="",$C1282=""),"",$R1282/INDEX(DESPACHOS!$M$3:$M$3002,MATCH($C1282,DESPACHOS!$B$3:$B$3002,0))),"")</f>
        <v/>
      </c>
      <c r="T1282" s="41" t="n"/>
      <c r="U1282" s="43">
        <f>IF(OR($B1282="",$L1282=""),"",WORKDAY($B1282,IFERROR(INDEX(LISTAS!$C$3:$C$42,MATCH($L1282,LISTAS!$A$3:$A$42,0)),3)))</f>
        <v/>
      </c>
      <c r="V1282" s="40" t="n"/>
      <c r="W1282" s="19">
        <f>IF($B1282="","",IF($V1282&lt;&gt;"",$V1282-$B1282,TODAY()-$B1282))</f>
        <v/>
      </c>
      <c r="X1282" s="19">
        <f>IF(OR($B1282="",$U1282=""),"",IF($V1282&lt;&gt;"",MAX(0,$V1282-$U1282),MAX(0,TODAY()-$U1282)))</f>
        <v/>
      </c>
      <c r="Y1282" s="39">
        <f>IF($C1282="","",IF(IFERROR(INDEX(LISTAS!$I$3:$I$42,MATCH($T1282,LISTAS!$H$3:$H$42,0)),"NO")="SÍ",IF(N($X1282)&gt;0,"CERRADA FUERA DE SLA","CERRADA EN SLA"),IF($U1282="","SIN CLASIFICAR",IF(N($X1282)&gt;0,"VENCIDA",IF(TODAY()&gt;=$U1282-1,"POR VENCER","EN PLAZO")))))</f>
        <v/>
      </c>
      <c r="Z1282" s="41" t="n"/>
      <c r="AA1282" s="41" t="n"/>
      <c r="AB1282" s="41" t="n"/>
    </row>
    <row r="1283">
      <c r="A1283" s="39">
        <f>IF($C1283="","","NOV-"&amp;TEXT(ROW()-3,"0000"))</f>
        <v/>
      </c>
      <c r="B1283" s="40" t="n"/>
      <c r="C1283" s="41" t="n"/>
      <c r="D1283" s="42">
        <f>IF($C1283="","",IFERROR(INDEX(DESPACHOS!$D$3:$D$3002,MATCH($C1283,DESPACHOS!$B$3:$B$3002,0)),"SIN DESPACHO"))</f>
        <v/>
      </c>
      <c r="E1283" s="42">
        <f>IF($C1283="","",IFERROR(INDEX(DESPACHOS!$K$3:$K$3002,MATCH($C1283,DESPACHOS!$B$3:$B$3002,0)),""))</f>
        <v/>
      </c>
      <c r="F1283" s="42">
        <f>IF($C1283="","",IFERROR(INDEX(DESPACHOS!$I$3:$I$3002,MATCH($C1283,DESPACHOS!$B$3:$B$3002,0)),""))</f>
        <v/>
      </c>
      <c r="G1283" s="42">
        <f>IF($C1283="","",IFERROR(INDEX(DESPACHOS!$F$3:$F$3002,MATCH($C1283,DESPACHOS!$B$3:$B$3002,0)),""))</f>
        <v/>
      </c>
      <c r="H1283" s="42">
        <f>IF($C1283="","",IFERROR(INDEX(DESPACHOS!$G$3:$G$3002,MATCH($C1283,DESPACHOS!$B$3:$B$3002,0)),""))</f>
        <v/>
      </c>
      <c r="I1283" s="39">
        <f>IF($C1283="","",IFERROR(INDEX(DESPACHOS!$H$3:$H$3002,MATCH($C1283,DESPACHOS!$B$3:$B$3002,0)),""))</f>
        <v/>
      </c>
      <c r="J1283" s="43">
        <f>IF($C1283="","",IFERROR(INDEX(DESPACHOS!$J$3:$J$3002,MATCH($C1283,DESPACHOS!$B$3:$B$3002,0)),""))</f>
        <v/>
      </c>
      <c r="K1283" s="39">
        <f>IF($C1283="","",IF(COUNTIFS(DESPACHOS!$B$3:$B$3002,$C1283)=0,"NO EXISTE",IF(COUNTIFS(DESPACHOS!$B$3:$B$3002,$C1283)&gt;1,"DUPLICADO","OK")))</f>
        <v/>
      </c>
      <c r="L1283" s="41" t="n"/>
      <c r="M1283" s="41" t="n"/>
      <c r="N1283" s="42">
        <f>IF($M1283="","",IFERROR(INDEX(LISTAS!$F$3:$F$42,MATCH($M1283,LISTAS!$E$3:$E$42,0)),"Por definir"))</f>
        <v/>
      </c>
      <c r="O1283" s="41" t="n"/>
      <c r="P1283" s="39">
        <f>IF($L1283="","",IFERROR(INDEX(LISTAS!$B$3:$B$42,MATCH($L1283,LISTAS!$A$3:$A$42,0)),"Media"))</f>
        <v/>
      </c>
      <c r="Q1283" s="44" t="n"/>
      <c r="R1283" s="45" t="n"/>
      <c r="S1283" s="20">
        <f>IFERROR(IF(OR($R1283="",$C1283=""),"",$R1283/INDEX(DESPACHOS!$M$3:$M$3002,MATCH($C1283,DESPACHOS!$B$3:$B$3002,0))),"")</f>
        <v/>
      </c>
      <c r="T1283" s="41" t="n"/>
      <c r="U1283" s="43">
        <f>IF(OR($B1283="",$L1283=""),"",WORKDAY($B1283,IFERROR(INDEX(LISTAS!$C$3:$C$42,MATCH($L1283,LISTAS!$A$3:$A$42,0)),3)))</f>
        <v/>
      </c>
      <c r="V1283" s="40" t="n"/>
      <c r="W1283" s="19">
        <f>IF($B1283="","",IF($V1283&lt;&gt;"",$V1283-$B1283,TODAY()-$B1283))</f>
        <v/>
      </c>
      <c r="X1283" s="19">
        <f>IF(OR($B1283="",$U1283=""),"",IF($V1283&lt;&gt;"",MAX(0,$V1283-$U1283),MAX(0,TODAY()-$U1283)))</f>
        <v/>
      </c>
      <c r="Y1283" s="39">
        <f>IF($C1283="","",IF(IFERROR(INDEX(LISTAS!$I$3:$I$42,MATCH($T1283,LISTAS!$H$3:$H$42,0)),"NO")="SÍ",IF(N($X1283)&gt;0,"CERRADA FUERA DE SLA","CERRADA EN SLA"),IF($U1283="","SIN CLASIFICAR",IF(N($X1283)&gt;0,"VENCIDA",IF(TODAY()&gt;=$U1283-1,"POR VENCER","EN PLAZO")))))</f>
        <v/>
      </c>
      <c r="Z1283" s="41" t="n"/>
      <c r="AA1283" s="41" t="n"/>
      <c r="AB1283" s="41" t="n"/>
    </row>
    <row r="1284">
      <c r="A1284" s="39">
        <f>IF($C1284="","","NOV-"&amp;TEXT(ROW()-3,"0000"))</f>
        <v/>
      </c>
      <c r="B1284" s="40" t="n"/>
      <c r="C1284" s="41" t="n"/>
      <c r="D1284" s="42">
        <f>IF($C1284="","",IFERROR(INDEX(DESPACHOS!$D$3:$D$3002,MATCH($C1284,DESPACHOS!$B$3:$B$3002,0)),"SIN DESPACHO"))</f>
        <v/>
      </c>
      <c r="E1284" s="42">
        <f>IF($C1284="","",IFERROR(INDEX(DESPACHOS!$K$3:$K$3002,MATCH($C1284,DESPACHOS!$B$3:$B$3002,0)),""))</f>
        <v/>
      </c>
      <c r="F1284" s="42">
        <f>IF($C1284="","",IFERROR(INDEX(DESPACHOS!$I$3:$I$3002,MATCH($C1284,DESPACHOS!$B$3:$B$3002,0)),""))</f>
        <v/>
      </c>
      <c r="G1284" s="42">
        <f>IF($C1284="","",IFERROR(INDEX(DESPACHOS!$F$3:$F$3002,MATCH($C1284,DESPACHOS!$B$3:$B$3002,0)),""))</f>
        <v/>
      </c>
      <c r="H1284" s="42">
        <f>IF($C1284="","",IFERROR(INDEX(DESPACHOS!$G$3:$G$3002,MATCH($C1284,DESPACHOS!$B$3:$B$3002,0)),""))</f>
        <v/>
      </c>
      <c r="I1284" s="39">
        <f>IF($C1284="","",IFERROR(INDEX(DESPACHOS!$H$3:$H$3002,MATCH($C1284,DESPACHOS!$B$3:$B$3002,0)),""))</f>
        <v/>
      </c>
      <c r="J1284" s="43">
        <f>IF($C1284="","",IFERROR(INDEX(DESPACHOS!$J$3:$J$3002,MATCH($C1284,DESPACHOS!$B$3:$B$3002,0)),""))</f>
        <v/>
      </c>
      <c r="K1284" s="39">
        <f>IF($C1284="","",IF(COUNTIFS(DESPACHOS!$B$3:$B$3002,$C1284)=0,"NO EXISTE",IF(COUNTIFS(DESPACHOS!$B$3:$B$3002,$C1284)&gt;1,"DUPLICADO","OK")))</f>
        <v/>
      </c>
      <c r="L1284" s="41" t="n"/>
      <c r="M1284" s="41" t="n"/>
      <c r="N1284" s="42">
        <f>IF($M1284="","",IFERROR(INDEX(LISTAS!$F$3:$F$42,MATCH($M1284,LISTAS!$E$3:$E$42,0)),"Por definir"))</f>
        <v/>
      </c>
      <c r="O1284" s="41" t="n"/>
      <c r="P1284" s="39">
        <f>IF($L1284="","",IFERROR(INDEX(LISTAS!$B$3:$B$42,MATCH($L1284,LISTAS!$A$3:$A$42,0)),"Media"))</f>
        <v/>
      </c>
      <c r="Q1284" s="44" t="n"/>
      <c r="R1284" s="45" t="n"/>
      <c r="S1284" s="20">
        <f>IFERROR(IF(OR($R1284="",$C1284=""),"",$R1284/INDEX(DESPACHOS!$M$3:$M$3002,MATCH($C1284,DESPACHOS!$B$3:$B$3002,0))),"")</f>
        <v/>
      </c>
      <c r="T1284" s="41" t="n"/>
      <c r="U1284" s="43">
        <f>IF(OR($B1284="",$L1284=""),"",WORKDAY($B1284,IFERROR(INDEX(LISTAS!$C$3:$C$42,MATCH($L1284,LISTAS!$A$3:$A$42,0)),3)))</f>
        <v/>
      </c>
      <c r="V1284" s="40" t="n"/>
      <c r="W1284" s="19">
        <f>IF($B1284="","",IF($V1284&lt;&gt;"",$V1284-$B1284,TODAY()-$B1284))</f>
        <v/>
      </c>
      <c r="X1284" s="19">
        <f>IF(OR($B1284="",$U1284=""),"",IF($V1284&lt;&gt;"",MAX(0,$V1284-$U1284),MAX(0,TODAY()-$U1284)))</f>
        <v/>
      </c>
      <c r="Y1284" s="39">
        <f>IF($C1284="","",IF(IFERROR(INDEX(LISTAS!$I$3:$I$42,MATCH($T1284,LISTAS!$H$3:$H$42,0)),"NO")="SÍ",IF(N($X1284)&gt;0,"CERRADA FUERA DE SLA","CERRADA EN SLA"),IF($U1284="","SIN CLASIFICAR",IF(N($X1284)&gt;0,"VENCIDA",IF(TODAY()&gt;=$U1284-1,"POR VENCER","EN PLAZO")))))</f>
        <v/>
      </c>
      <c r="Z1284" s="41" t="n"/>
      <c r="AA1284" s="41" t="n"/>
      <c r="AB1284" s="41" t="n"/>
    </row>
    <row r="1285">
      <c r="A1285" s="39">
        <f>IF($C1285="","","NOV-"&amp;TEXT(ROW()-3,"0000"))</f>
        <v/>
      </c>
      <c r="B1285" s="40" t="n"/>
      <c r="C1285" s="41" t="n"/>
      <c r="D1285" s="42">
        <f>IF($C1285="","",IFERROR(INDEX(DESPACHOS!$D$3:$D$3002,MATCH($C1285,DESPACHOS!$B$3:$B$3002,0)),"SIN DESPACHO"))</f>
        <v/>
      </c>
      <c r="E1285" s="42">
        <f>IF($C1285="","",IFERROR(INDEX(DESPACHOS!$K$3:$K$3002,MATCH($C1285,DESPACHOS!$B$3:$B$3002,0)),""))</f>
        <v/>
      </c>
      <c r="F1285" s="42">
        <f>IF($C1285="","",IFERROR(INDEX(DESPACHOS!$I$3:$I$3002,MATCH($C1285,DESPACHOS!$B$3:$B$3002,0)),""))</f>
        <v/>
      </c>
      <c r="G1285" s="42">
        <f>IF($C1285="","",IFERROR(INDEX(DESPACHOS!$F$3:$F$3002,MATCH($C1285,DESPACHOS!$B$3:$B$3002,0)),""))</f>
        <v/>
      </c>
      <c r="H1285" s="42">
        <f>IF($C1285="","",IFERROR(INDEX(DESPACHOS!$G$3:$G$3002,MATCH($C1285,DESPACHOS!$B$3:$B$3002,0)),""))</f>
        <v/>
      </c>
      <c r="I1285" s="39">
        <f>IF($C1285="","",IFERROR(INDEX(DESPACHOS!$H$3:$H$3002,MATCH($C1285,DESPACHOS!$B$3:$B$3002,0)),""))</f>
        <v/>
      </c>
      <c r="J1285" s="43">
        <f>IF($C1285="","",IFERROR(INDEX(DESPACHOS!$J$3:$J$3002,MATCH($C1285,DESPACHOS!$B$3:$B$3002,0)),""))</f>
        <v/>
      </c>
      <c r="K1285" s="39">
        <f>IF($C1285="","",IF(COUNTIFS(DESPACHOS!$B$3:$B$3002,$C1285)=0,"NO EXISTE",IF(COUNTIFS(DESPACHOS!$B$3:$B$3002,$C1285)&gt;1,"DUPLICADO","OK")))</f>
        <v/>
      </c>
      <c r="L1285" s="41" t="n"/>
      <c r="M1285" s="41" t="n"/>
      <c r="N1285" s="42">
        <f>IF($M1285="","",IFERROR(INDEX(LISTAS!$F$3:$F$42,MATCH($M1285,LISTAS!$E$3:$E$42,0)),"Por definir"))</f>
        <v/>
      </c>
      <c r="O1285" s="41" t="n"/>
      <c r="P1285" s="39">
        <f>IF($L1285="","",IFERROR(INDEX(LISTAS!$B$3:$B$42,MATCH($L1285,LISTAS!$A$3:$A$42,0)),"Media"))</f>
        <v/>
      </c>
      <c r="Q1285" s="44" t="n"/>
      <c r="R1285" s="45" t="n"/>
      <c r="S1285" s="20">
        <f>IFERROR(IF(OR($R1285="",$C1285=""),"",$R1285/INDEX(DESPACHOS!$M$3:$M$3002,MATCH($C1285,DESPACHOS!$B$3:$B$3002,0))),"")</f>
        <v/>
      </c>
      <c r="T1285" s="41" t="n"/>
      <c r="U1285" s="43">
        <f>IF(OR($B1285="",$L1285=""),"",WORKDAY($B1285,IFERROR(INDEX(LISTAS!$C$3:$C$42,MATCH($L1285,LISTAS!$A$3:$A$42,0)),3)))</f>
        <v/>
      </c>
      <c r="V1285" s="40" t="n"/>
      <c r="W1285" s="19">
        <f>IF($B1285="","",IF($V1285&lt;&gt;"",$V1285-$B1285,TODAY()-$B1285))</f>
        <v/>
      </c>
      <c r="X1285" s="19">
        <f>IF(OR($B1285="",$U1285=""),"",IF($V1285&lt;&gt;"",MAX(0,$V1285-$U1285),MAX(0,TODAY()-$U1285)))</f>
        <v/>
      </c>
      <c r="Y1285" s="39">
        <f>IF($C1285="","",IF(IFERROR(INDEX(LISTAS!$I$3:$I$42,MATCH($T1285,LISTAS!$H$3:$H$42,0)),"NO")="SÍ",IF(N($X1285)&gt;0,"CERRADA FUERA DE SLA","CERRADA EN SLA"),IF($U1285="","SIN CLASIFICAR",IF(N($X1285)&gt;0,"VENCIDA",IF(TODAY()&gt;=$U1285-1,"POR VENCER","EN PLAZO")))))</f>
        <v/>
      </c>
      <c r="Z1285" s="41" t="n"/>
      <c r="AA1285" s="41" t="n"/>
      <c r="AB1285" s="41" t="n"/>
    </row>
    <row r="1286">
      <c r="A1286" s="39">
        <f>IF($C1286="","","NOV-"&amp;TEXT(ROW()-3,"0000"))</f>
        <v/>
      </c>
      <c r="B1286" s="40" t="n"/>
      <c r="C1286" s="41" t="n"/>
      <c r="D1286" s="42">
        <f>IF($C1286="","",IFERROR(INDEX(DESPACHOS!$D$3:$D$3002,MATCH($C1286,DESPACHOS!$B$3:$B$3002,0)),"SIN DESPACHO"))</f>
        <v/>
      </c>
      <c r="E1286" s="42">
        <f>IF($C1286="","",IFERROR(INDEX(DESPACHOS!$K$3:$K$3002,MATCH($C1286,DESPACHOS!$B$3:$B$3002,0)),""))</f>
        <v/>
      </c>
      <c r="F1286" s="42">
        <f>IF($C1286="","",IFERROR(INDEX(DESPACHOS!$I$3:$I$3002,MATCH($C1286,DESPACHOS!$B$3:$B$3002,0)),""))</f>
        <v/>
      </c>
      <c r="G1286" s="42">
        <f>IF($C1286="","",IFERROR(INDEX(DESPACHOS!$F$3:$F$3002,MATCH($C1286,DESPACHOS!$B$3:$B$3002,0)),""))</f>
        <v/>
      </c>
      <c r="H1286" s="42">
        <f>IF($C1286="","",IFERROR(INDEX(DESPACHOS!$G$3:$G$3002,MATCH($C1286,DESPACHOS!$B$3:$B$3002,0)),""))</f>
        <v/>
      </c>
      <c r="I1286" s="39">
        <f>IF($C1286="","",IFERROR(INDEX(DESPACHOS!$H$3:$H$3002,MATCH($C1286,DESPACHOS!$B$3:$B$3002,0)),""))</f>
        <v/>
      </c>
      <c r="J1286" s="43">
        <f>IF($C1286="","",IFERROR(INDEX(DESPACHOS!$J$3:$J$3002,MATCH($C1286,DESPACHOS!$B$3:$B$3002,0)),""))</f>
        <v/>
      </c>
      <c r="K1286" s="39">
        <f>IF($C1286="","",IF(COUNTIFS(DESPACHOS!$B$3:$B$3002,$C1286)=0,"NO EXISTE",IF(COUNTIFS(DESPACHOS!$B$3:$B$3002,$C1286)&gt;1,"DUPLICADO","OK")))</f>
        <v/>
      </c>
      <c r="L1286" s="41" t="n"/>
      <c r="M1286" s="41" t="n"/>
      <c r="N1286" s="42">
        <f>IF($M1286="","",IFERROR(INDEX(LISTAS!$F$3:$F$42,MATCH($M1286,LISTAS!$E$3:$E$42,0)),"Por definir"))</f>
        <v/>
      </c>
      <c r="O1286" s="41" t="n"/>
      <c r="P1286" s="39">
        <f>IF($L1286="","",IFERROR(INDEX(LISTAS!$B$3:$B$42,MATCH($L1286,LISTAS!$A$3:$A$42,0)),"Media"))</f>
        <v/>
      </c>
      <c r="Q1286" s="44" t="n"/>
      <c r="R1286" s="45" t="n"/>
      <c r="S1286" s="20">
        <f>IFERROR(IF(OR($R1286="",$C1286=""),"",$R1286/INDEX(DESPACHOS!$M$3:$M$3002,MATCH($C1286,DESPACHOS!$B$3:$B$3002,0))),"")</f>
        <v/>
      </c>
      <c r="T1286" s="41" t="n"/>
      <c r="U1286" s="43">
        <f>IF(OR($B1286="",$L1286=""),"",WORKDAY($B1286,IFERROR(INDEX(LISTAS!$C$3:$C$42,MATCH($L1286,LISTAS!$A$3:$A$42,0)),3)))</f>
        <v/>
      </c>
      <c r="V1286" s="40" t="n"/>
      <c r="W1286" s="19">
        <f>IF($B1286="","",IF($V1286&lt;&gt;"",$V1286-$B1286,TODAY()-$B1286))</f>
        <v/>
      </c>
      <c r="X1286" s="19">
        <f>IF(OR($B1286="",$U1286=""),"",IF($V1286&lt;&gt;"",MAX(0,$V1286-$U1286),MAX(0,TODAY()-$U1286)))</f>
        <v/>
      </c>
      <c r="Y1286" s="39">
        <f>IF($C1286="","",IF(IFERROR(INDEX(LISTAS!$I$3:$I$42,MATCH($T1286,LISTAS!$H$3:$H$42,0)),"NO")="SÍ",IF(N($X1286)&gt;0,"CERRADA FUERA DE SLA","CERRADA EN SLA"),IF($U1286="","SIN CLASIFICAR",IF(N($X1286)&gt;0,"VENCIDA",IF(TODAY()&gt;=$U1286-1,"POR VENCER","EN PLAZO")))))</f>
        <v/>
      </c>
      <c r="Z1286" s="41" t="n"/>
      <c r="AA1286" s="41" t="n"/>
      <c r="AB1286" s="41" t="n"/>
    </row>
    <row r="1287">
      <c r="A1287" s="39">
        <f>IF($C1287="","","NOV-"&amp;TEXT(ROW()-3,"0000"))</f>
        <v/>
      </c>
      <c r="B1287" s="40" t="n"/>
      <c r="C1287" s="41" t="n"/>
      <c r="D1287" s="42">
        <f>IF($C1287="","",IFERROR(INDEX(DESPACHOS!$D$3:$D$3002,MATCH($C1287,DESPACHOS!$B$3:$B$3002,0)),"SIN DESPACHO"))</f>
        <v/>
      </c>
      <c r="E1287" s="42">
        <f>IF($C1287="","",IFERROR(INDEX(DESPACHOS!$K$3:$K$3002,MATCH($C1287,DESPACHOS!$B$3:$B$3002,0)),""))</f>
        <v/>
      </c>
      <c r="F1287" s="42">
        <f>IF($C1287="","",IFERROR(INDEX(DESPACHOS!$I$3:$I$3002,MATCH($C1287,DESPACHOS!$B$3:$B$3002,0)),""))</f>
        <v/>
      </c>
      <c r="G1287" s="42">
        <f>IF($C1287="","",IFERROR(INDEX(DESPACHOS!$F$3:$F$3002,MATCH($C1287,DESPACHOS!$B$3:$B$3002,0)),""))</f>
        <v/>
      </c>
      <c r="H1287" s="42">
        <f>IF($C1287="","",IFERROR(INDEX(DESPACHOS!$G$3:$G$3002,MATCH($C1287,DESPACHOS!$B$3:$B$3002,0)),""))</f>
        <v/>
      </c>
      <c r="I1287" s="39">
        <f>IF($C1287="","",IFERROR(INDEX(DESPACHOS!$H$3:$H$3002,MATCH($C1287,DESPACHOS!$B$3:$B$3002,0)),""))</f>
        <v/>
      </c>
      <c r="J1287" s="43">
        <f>IF($C1287="","",IFERROR(INDEX(DESPACHOS!$J$3:$J$3002,MATCH($C1287,DESPACHOS!$B$3:$B$3002,0)),""))</f>
        <v/>
      </c>
      <c r="K1287" s="39">
        <f>IF($C1287="","",IF(COUNTIFS(DESPACHOS!$B$3:$B$3002,$C1287)=0,"NO EXISTE",IF(COUNTIFS(DESPACHOS!$B$3:$B$3002,$C1287)&gt;1,"DUPLICADO","OK")))</f>
        <v/>
      </c>
      <c r="L1287" s="41" t="n"/>
      <c r="M1287" s="41" t="n"/>
      <c r="N1287" s="42">
        <f>IF($M1287="","",IFERROR(INDEX(LISTAS!$F$3:$F$42,MATCH($M1287,LISTAS!$E$3:$E$42,0)),"Por definir"))</f>
        <v/>
      </c>
      <c r="O1287" s="41" t="n"/>
      <c r="P1287" s="39">
        <f>IF($L1287="","",IFERROR(INDEX(LISTAS!$B$3:$B$42,MATCH($L1287,LISTAS!$A$3:$A$42,0)),"Media"))</f>
        <v/>
      </c>
      <c r="Q1287" s="44" t="n"/>
      <c r="R1287" s="45" t="n"/>
      <c r="S1287" s="20">
        <f>IFERROR(IF(OR($R1287="",$C1287=""),"",$R1287/INDEX(DESPACHOS!$M$3:$M$3002,MATCH($C1287,DESPACHOS!$B$3:$B$3002,0))),"")</f>
        <v/>
      </c>
      <c r="T1287" s="41" t="n"/>
      <c r="U1287" s="43">
        <f>IF(OR($B1287="",$L1287=""),"",WORKDAY($B1287,IFERROR(INDEX(LISTAS!$C$3:$C$42,MATCH($L1287,LISTAS!$A$3:$A$42,0)),3)))</f>
        <v/>
      </c>
      <c r="V1287" s="40" t="n"/>
      <c r="W1287" s="19">
        <f>IF($B1287="","",IF($V1287&lt;&gt;"",$V1287-$B1287,TODAY()-$B1287))</f>
        <v/>
      </c>
      <c r="X1287" s="19">
        <f>IF(OR($B1287="",$U1287=""),"",IF($V1287&lt;&gt;"",MAX(0,$V1287-$U1287),MAX(0,TODAY()-$U1287)))</f>
        <v/>
      </c>
      <c r="Y1287" s="39">
        <f>IF($C1287="","",IF(IFERROR(INDEX(LISTAS!$I$3:$I$42,MATCH($T1287,LISTAS!$H$3:$H$42,0)),"NO")="SÍ",IF(N($X1287)&gt;0,"CERRADA FUERA DE SLA","CERRADA EN SLA"),IF($U1287="","SIN CLASIFICAR",IF(N($X1287)&gt;0,"VENCIDA",IF(TODAY()&gt;=$U1287-1,"POR VENCER","EN PLAZO")))))</f>
        <v/>
      </c>
      <c r="Z1287" s="41" t="n"/>
      <c r="AA1287" s="41" t="n"/>
      <c r="AB1287" s="41" t="n"/>
    </row>
    <row r="1288">
      <c r="A1288" s="39">
        <f>IF($C1288="","","NOV-"&amp;TEXT(ROW()-3,"0000"))</f>
        <v/>
      </c>
      <c r="B1288" s="40" t="n"/>
      <c r="C1288" s="41" t="n"/>
      <c r="D1288" s="42">
        <f>IF($C1288="","",IFERROR(INDEX(DESPACHOS!$D$3:$D$3002,MATCH($C1288,DESPACHOS!$B$3:$B$3002,0)),"SIN DESPACHO"))</f>
        <v/>
      </c>
      <c r="E1288" s="42">
        <f>IF($C1288="","",IFERROR(INDEX(DESPACHOS!$K$3:$K$3002,MATCH($C1288,DESPACHOS!$B$3:$B$3002,0)),""))</f>
        <v/>
      </c>
      <c r="F1288" s="42">
        <f>IF($C1288="","",IFERROR(INDEX(DESPACHOS!$I$3:$I$3002,MATCH($C1288,DESPACHOS!$B$3:$B$3002,0)),""))</f>
        <v/>
      </c>
      <c r="G1288" s="42">
        <f>IF($C1288="","",IFERROR(INDEX(DESPACHOS!$F$3:$F$3002,MATCH($C1288,DESPACHOS!$B$3:$B$3002,0)),""))</f>
        <v/>
      </c>
      <c r="H1288" s="42">
        <f>IF($C1288="","",IFERROR(INDEX(DESPACHOS!$G$3:$G$3002,MATCH($C1288,DESPACHOS!$B$3:$B$3002,0)),""))</f>
        <v/>
      </c>
      <c r="I1288" s="39">
        <f>IF($C1288="","",IFERROR(INDEX(DESPACHOS!$H$3:$H$3002,MATCH($C1288,DESPACHOS!$B$3:$B$3002,0)),""))</f>
        <v/>
      </c>
      <c r="J1288" s="43">
        <f>IF($C1288="","",IFERROR(INDEX(DESPACHOS!$J$3:$J$3002,MATCH($C1288,DESPACHOS!$B$3:$B$3002,0)),""))</f>
        <v/>
      </c>
      <c r="K1288" s="39">
        <f>IF($C1288="","",IF(COUNTIFS(DESPACHOS!$B$3:$B$3002,$C1288)=0,"NO EXISTE",IF(COUNTIFS(DESPACHOS!$B$3:$B$3002,$C1288)&gt;1,"DUPLICADO","OK")))</f>
        <v/>
      </c>
      <c r="L1288" s="41" t="n"/>
      <c r="M1288" s="41" t="n"/>
      <c r="N1288" s="42">
        <f>IF($M1288="","",IFERROR(INDEX(LISTAS!$F$3:$F$42,MATCH($M1288,LISTAS!$E$3:$E$42,0)),"Por definir"))</f>
        <v/>
      </c>
      <c r="O1288" s="41" t="n"/>
      <c r="P1288" s="39">
        <f>IF($L1288="","",IFERROR(INDEX(LISTAS!$B$3:$B$42,MATCH($L1288,LISTAS!$A$3:$A$42,0)),"Media"))</f>
        <v/>
      </c>
      <c r="Q1288" s="44" t="n"/>
      <c r="R1288" s="45" t="n"/>
      <c r="S1288" s="20">
        <f>IFERROR(IF(OR($R1288="",$C1288=""),"",$R1288/INDEX(DESPACHOS!$M$3:$M$3002,MATCH($C1288,DESPACHOS!$B$3:$B$3002,0))),"")</f>
        <v/>
      </c>
      <c r="T1288" s="41" t="n"/>
      <c r="U1288" s="43">
        <f>IF(OR($B1288="",$L1288=""),"",WORKDAY($B1288,IFERROR(INDEX(LISTAS!$C$3:$C$42,MATCH($L1288,LISTAS!$A$3:$A$42,0)),3)))</f>
        <v/>
      </c>
      <c r="V1288" s="40" t="n"/>
      <c r="W1288" s="19">
        <f>IF($B1288="","",IF($V1288&lt;&gt;"",$V1288-$B1288,TODAY()-$B1288))</f>
        <v/>
      </c>
      <c r="X1288" s="19">
        <f>IF(OR($B1288="",$U1288=""),"",IF($V1288&lt;&gt;"",MAX(0,$V1288-$U1288),MAX(0,TODAY()-$U1288)))</f>
        <v/>
      </c>
      <c r="Y1288" s="39">
        <f>IF($C1288="","",IF(IFERROR(INDEX(LISTAS!$I$3:$I$42,MATCH($T1288,LISTAS!$H$3:$H$42,0)),"NO")="SÍ",IF(N($X1288)&gt;0,"CERRADA FUERA DE SLA","CERRADA EN SLA"),IF($U1288="","SIN CLASIFICAR",IF(N($X1288)&gt;0,"VENCIDA",IF(TODAY()&gt;=$U1288-1,"POR VENCER","EN PLAZO")))))</f>
        <v/>
      </c>
      <c r="Z1288" s="41" t="n"/>
      <c r="AA1288" s="41" t="n"/>
      <c r="AB1288" s="41" t="n"/>
    </row>
    <row r="1289">
      <c r="A1289" s="39">
        <f>IF($C1289="","","NOV-"&amp;TEXT(ROW()-3,"0000"))</f>
        <v/>
      </c>
      <c r="B1289" s="40" t="n"/>
      <c r="C1289" s="41" t="n"/>
      <c r="D1289" s="42">
        <f>IF($C1289="","",IFERROR(INDEX(DESPACHOS!$D$3:$D$3002,MATCH($C1289,DESPACHOS!$B$3:$B$3002,0)),"SIN DESPACHO"))</f>
        <v/>
      </c>
      <c r="E1289" s="42">
        <f>IF($C1289="","",IFERROR(INDEX(DESPACHOS!$K$3:$K$3002,MATCH($C1289,DESPACHOS!$B$3:$B$3002,0)),""))</f>
        <v/>
      </c>
      <c r="F1289" s="42">
        <f>IF($C1289="","",IFERROR(INDEX(DESPACHOS!$I$3:$I$3002,MATCH($C1289,DESPACHOS!$B$3:$B$3002,0)),""))</f>
        <v/>
      </c>
      <c r="G1289" s="42">
        <f>IF($C1289="","",IFERROR(INDEX(DESPACHOS!$F$3:$F$3002,MATCH($C1289,DESPACHOS!$B$3:$B$3002,0)),""))</f>
        <v/>
      </c>
      <c r="H1289" s="42">
        <f>IF($C1289="","",IFERROR(INDEX(DESPACHOS!$G$3:$G$3002,MATCH($C1289,DESPACHOS!$B$3:$B$3002,0)),""))</f>
        <v/>
      </c>
      <c r="I1289" s="39">
        <f>IF($C1289="","",IFERROR(INDEX(DESPACHOS!$H$3:$H$3002,MATCH($C1289,DESPACHOS!$B$3:$B$3002,0)),""))</f>
        <v/>
      </c>
      <c r="J1289" s="43">
        <f>IF($C1289="","",IFERROR(INDEX(DESPACHOS!$J$3:$J$3002,MATCH($C1289,DESPACHOS!$B$3:$B$3002,0)),""))</f>
        <v/>
      </c>
      <c r="K1289" s="39">
        <f>IF($C1289="","",IF(COUNTIFS(DESPACHOS!$B$3:$B$3002,$C1289)=0,"NO EXISTE",IF(COUNTIFS(DESPACHOS!$B$3:$B$3002,$C1289)&gt;1,"DUPLICADO","OK")))</f>
        <v/>
      </c>
      <c r="L1289" s="41" t="n"/>
      <c r="M1289" s="41" t="n"/>
      <c r="N1289" s="42">
        <f>IF($M1289="","",IFERROR(INDEX(LISTAS!$F$3:$F$42,MATCH($M1289,LISTAS!$E$3:$E$42,0)),"Por definir"))</f>
        <v/>
      </c>
      <c r="O1289" s="41" t="n"/>
      <c r="P1289" s="39">
        <f>IF($L1289="","",IFERROR(INDEX(LISTAS!$B$3:$B$42,MATCH($L1289,LISTAS!$A$3:$A$42,0)),"Media"))</f>
        <v/>
      </c>
      <c r="Q1289" s="44" t="n"/>
      <c r="R1289" s="45" t="n"/>
      <c r="S1289" s="20">
        <f>IFERROR(IF(OR($R1289="",$C1289=""),"",$R1289/INDEX(DESPACHOS!$M$3:$M$3002,MATCH($C1289,DESPACHOS!$B$3:$B$3002,0))),"")</f>
        <v/>
      </c>
      <c r="T1289" s="41" t="n"/>
      <c r="U1289" s="43">
        <f>IF(OR($B1289="",$L1289=""),"",WORKDAY($B1289,IFERROR(INDEX(LISTAS!$C$3:$C$42,MATCH($L1289,LISTAS!$A$3:$A$42,0)),3)))</f>
        <v/>
      </c>
      <c r="V1289" s="40" t="n"/>
      <c r="W1289" s="19">
        <f>IF($B1289="","",IF($V1289&lt;&gt;"",$V1289-$B1289,TODAY()-$B1289))</f>
        <v/>
      </c>
      <c r="X1289" s="19">
        <f>IF(OR($B1289="",$U1289=""),"",IF($V1289&lt;&gt;"",MAX(0,$V1289-$U1289),MAX(0,TODAY()-$U1289)))</f>
        <v/>
      </c>
      <c r="Y1289" s="39">
        <f>IF($C1289="","",IF(IFERROR(INDEX(LISTAS!$I$3:$I$42,MATCH($T1289,LISTAS!$H$3:$H$42,0)),"NO")="SÍ",IF(N($X1289)&gt;0,"CERRADA FUERA DE SLA","CERRADA EN SLA"),IF($U1289="","SIN CLASIFICAR",IF(N($X1289)&gt;0,"VENCIDA",IF(TODAY()&gt;=$U1289-1,"POR VENCER","EN PLAZO")))))</f>
        <v/>
      </c>
      <c r="Z1289" s="41" t="n"/>
      <c r="AA1289" s="41" t="n"/>
      <c r="AB1289" s="41" t="n"/>
    </row>
    <row r="1290">
      <c r="A1290" s="39">
        <f>IF($C1290="","","NOV-"&amp;TEXT(ROW()-3,"0000"))</f>
        <v/>
      </c>
      <c r="B1290" s="40" t="n"/>
      <c r="C1290" s="41" t="n"/>
      <c r="D1290" s="42">
        <f>IF($C1290="","",IFERROR(INDEX(DESPACHOS!$D$3:$D$3002,MATCH($C1290,DESPACHOS!$B$3:$B$3002,0)),"SIN DESPACHO"))</f>
        <v/>
      </c>
      <c r="E1290" s="42">
        <f>IF($C1290="","",IFERROR(INDEX(DESPACHOS!$K$3:$K$3002,MATCH($C1290,DESPACHOS!$B$3:$B$3002,0)),""))</f>
        <v/>
      </c>
      <c r="F1290" s="42">
        <f>IF($C1290="","",IFERROR(INDEX(DESPACHOS!$I$3:$I$3002,MATCH($C1290,DESPACHOS!$B$3:$B$3002,0)),""))</f>
        <v/>
      </c>
      <c r="G1290" s="42">
        <f>IF($C1290="","",IFERROR(INDEX(DESPACHOS!$F$3:$F$3002,MATCH($C1290,DESPACHOS!$B$3:$B$3002,0)),""))</f>
        <v/>
      </c>
      <c r="H1290" s="42">
        <f>IF($C1290="","",IFERROR(INDEX(DESPACHOS!$G$3:$G$3002,MATCH($C1290,DESPACHOS!$B$3:$B$3002,0)),""))</f>
        <v/>
      </c>
      <c r="I1290" s="39">
        <f>IF($C1290="","",IFERROR(INDEX(DESPACHOS!$H$3:$H$3002,MATCH($C1290,DESPACHOS!$B$3:$B$3002,0)),""))</f>
        <v/>
      </c>
      <c r="J1290" s="43">
        <f>IF($C1290="","",IFERROR(INDEX(DESPACHOS!$J$3:$J$3002,MATCH($C1290,DESPACHOS!$B$3:$B$3002,0)),""))</f>
        <v/>
      </c>
      <c r="K1290" s="39">
        <f>IF($C1290="","",IF(COUNTIFS(DESPACHOS!$B$3:$B$3002,$C1290)=0,"NO EXISTE",IF(COUNTIFS(DESPACHOS!$B$3:$B$3002,$C1290)&gt;1,"DUPLICADO","OK")))</f>
        <v/>
      </c>
      <c r="L1290" s="41" t="n"/>
      <c r="M1290" s="41" t="n"/>
      <c r="N1290" s="42">
        <f>IF($M1290="","",IFERROR(INDEX(LISTAS!$F$3:$F$42,MATCH($M1290,LISTAS!$E$3:$E$42,0)),"Por definir"))</f>
        <v/>
      </c>
      <c r="O1290" s="41" t="n"/>
      <c r="P1290" s="39">
        <f>IF($L1290="","",IFERROR(INDEX(LISTAS!$B$3:$B$42,MATCH($L1290,LISTAS!$A$3:$A$42,0)),"Media"))</f>
        <v/>
      </c>
      <c r="Q1290" s="44" t="n"/>
      <c r="R1290" s="45" t="n"/>
      <c r="S1290" s="20">
        <f>IFERROR(IF(OR($R1290="",$C1290=""),"",$R1290/INDEX(DESPACHOS!$M$3:$M$3002,MATCH($C1290,DESPACHOS!$B$3:$B$3002,0))),"")</f>
        <v/>
      </c>
      <c r="T1290" s="41" t="n"/>
      <c r="U1290" s="43">
        <f>IF(OR($B1290="",$L1290=""),"",WORKDAY($B1290,IFERROR(INDEX(LISTAS!$C$3:$C$42,MATCH($L1290,LISTAS!$A$3:$A$42,0)),3)))</f>
        <v/>
      </c>
      <c r="V1290" s="40" t="n"/>
      <c r="W1290" s="19">
        <f>IF($B1290="","",IF($V1290&lt;&gt;"",$V1290-$B1290,TODAY()-$B1290))</f>
        <v/>
      </c>
      <c r="X1290" s="19">
        <f>IF(OR($B1290="",$U1290=""),"",IF($V1290&lt;&gt;"",MAX(0,$V1290-$U1290),MAX(0,TODAY()-$U1290)))</f>
        <v/>
      </c>
      <c r="Y1290" s="39">
        <f>IF($C1290="","",IF(IFERROR(INDEX(LISTAS!$I$3:$I$42,MATCH($T1290,LISTAS!$H$3:$H$42,0)),"NO")="SÍ",IF(N($X1290)&gt;0,"CERRADA FUERA DE SLA","CERRADA EN SLA"),IF($U1290="","SIN CLASIFICAR",IF(N($X1290)&gt;0,"VENCIDA",IF(TODAY()&gt;=$U1290-1,"POR VENCER","EN PLAZO")))))</f>
        <v/>
      </c>
      <c r="Z1290" s="41" t="n"/>
      <c r="AA1290" s="41" t="n"/>
      <c r="AB1290" s="41" t="n"/>
    </row>
    <row r="1291">
      <c r="A1291" s="39">
        <f>IF($C1291="","","NOV-"&amp;TEXT(ROW()-3,"0000"))</f>
        <v/>
      </c>
      <c r="B1291" s="40" t="n"/>
      <c r="C1291" s="41" t="n"/>
      <c r="D1291" s="42">
        <f>IF($C1291="","",IFERROR(INDEX(DESPACHOS!$D$3:$D$3002,MATCH($C1291,DESPACHOS!$B$3:$B$3002,0)),"SIN DESPACHO"))</f>
        <v/>
      </c>
      <c r="E1291" s="42">
        <f>IF($C1291="","",IFERROR(INDEX(DESPACHOS!$K$3:$K$3002,MATCH($C1291,DESPACHOS!$B$3:$B$3002,0)),""))</f>
        <v/>
      </c>
      <c r="F1291" s="42">
        <f>IF($C1291="","",IFERROR(INDEX(DESPACHOS!$I$3:$I$3002,MATCH($C1291,DESPACHOS!$B$3:$B$3002,0)),""))</f>
        <v/>
      </c>
      <c r="G1291" s="42">
        <f>IF($C1291="","",IFERROR(INDEX(DESPACHOS!$F$3:$F$3002,MATCH($C1291,DESPACHOS!$B$3:$B$3002,0)),""))</f>
        <v/>
      </c>
      <c r="H1291" s="42">
        <f>IF($C1291="","",IFERROR(INDEX(DESPACHOS!$G$3:$G$3002,MATCH($C1291,DESPACHOS!$B$3:$B$3002,0)),""))</f>
        <v/>
      </c>
      <c r="I1291" s="39">
        <f>IF($C1291="","",IFERROR(INDEX(DESPACHOS!$H$3:$H$3002,MATCH($C1291,DESPACHOS!$B$3:$B$3002,0)),""))</f>
        <v/>
      </c>
      <c r="J1291" s="43">
        <f>IF($C1291="","",IFERROR(INDEX(DESPACHOS!$J$3:$J$3002,MATCH($C1291,DESPACHOS!$B$3:$B$3002,0)),""))</f>
        <v/>
      </c>
      <c r="K1291" s="39">
        <f>IF($C1291="","",IF(COUNTIFS(DESPACHOS!$B$3:$B$3002,$C1291)=0,"NO EXISTE",IF(COUNTIFS(DESPACHOS!$B$3:$B$3002,$C1291)&gt;1,"DUPLICADO","OK")))</f>
        <v/>
      </c>
      <c r="L1291" s="41" t="n"/>
      <c r="M1291" s="41" t="n"/>
      <c r="N1291" s="42">
        <f>IF($M1291="","",IFERROR(INDEX(LISTAS!$F$3:$F$42,MATCH($M1291,LISTAS!$E$3:$E$42,0)),"Por definir"))</f>
        <v/>
      </c>
      <c r="O1291" s="41" t="n"/>
      <c r="P1291" s="39">
        <f>IF($L1291="","",IFERROR(INDEX(LISTAS!$B$3:$B$42,MATCH($L1291,LISTAS!$A$3:$A$42,0)),"Media"))</f>
        <v/>
      </c>
      <c r="Q1291" s="44" t="n"/>
      <c r="R1291" s="45" t="n"/>
      <c r="S1291" s="20">
        <f>IFERROR(IF(OR($R1291="",$C1291=""),"",$R1291/INDEX(DESPACHOS!$M$3:$M$3002,MATCH($C1291,DESPACHOS!$B$3:$B$3002,0))),"")</f>
        <v/>
      </c>
      <c r="T1291" s="41" t="n"/>
      <c r="U1291" s="43">
        <f>IF(OR($B1291="",$L1291=""),"",WORKDAY($B1291,IFERROR(INDEX(LISTAS!$C$3:$C$42,MATCH($L1291,LISTAS!$A$3:$A$42,0)),3)))</f>
        <v/>
      </c>
      <c r="V1291" s="40" t="n"/>
      <c r="W1291" s="19">
        <f>IF($B1291="","",IF($V1291&lt;&gt;"",$V1291-$B1291,TODAY()-$B1291))</f>
        <v/>
      </c>
      <c r="X1291" s="19">
        <f>IF(OR($B1291="",$U1291=""),"",IF($V1291&lt;&gt;"",MAX(0,$V1291-$U1291),MAX(0,TODAY()-$U1291)))</f>
        <v/>
      </c>
      <c r="Y1291" s="39">
        <f>IF($C1291="","",IF(IFERROR(INDEX(LISTAS!$I$3:$I$42,MATCH($T1291,LISTAS!$H$3:$H$42,0)),"NO")="SÍ",IF(N($X1291)&gt;0,"CERRADA FUERA DE SLA","CERRADA EN SLA"),IF($U1291="","SIN CLASIFICAR",IF(N($X1291)&gt;0,"VENCIDA",IF(TODAY()&gt;=$U1291-1,"POR VENCER","EN PLAZO")))))</f>
        <v/>
      </c>
      <c r="Z1291" s="41" t="n"/>
      <c r="AA1291" s="41" t="n"/>
      <c r="AB1291" s="41" t="n"/>
    </row>
    <row r="1292">
      <c r="A1292" s="39">
        <f>IF($C1292="","","NOV-"&amp;TEXT(ROW()-3,"0000"))</f>
        <v/>
      </c>
      <c r="B1292" s="40" t="n"/>
      <c r="C1292" s="41" t="n"/>
      <c r="D1292" s="42">
        <f>IF($C1292="","",IFERROR(INDEX(DESPACHOS!$D$3:$D$3002,MATCH($C1292,DESPACHOS!$B$3:$B$3002,0)),"SIN DESPACHO"))</f>
        <v/>
      </c>
      <c r="E1292" s="42">
        <f>IF($C1292="","",IFERROR(INDEX(DESPACHOS!$K$3:$K$3002,MATCH($C1292,DESPACHOS!$B$3:$B$3002,0)),""))</f>
        <v/>
      </c>
      <c r="F1292" s="42">
        <f>IF($C1292="","",IFERROR(INDEX(DESPACHOS!$I$3:$I$3002,MATCH($C1292,DESPACHOS!$B$3:$B$3002,0)),""))</f>
        <v/>
      </c>
      <c r="G1292" s="42">
        <f>IF($C1292="","",IFERROR(INDEX(DESPACHOS!$F$3:$F$3002,MATCH($C1292,DESPACHOS!$B$3:$B$3002,0)),""))</f>
        <v/>
      </c>
      <c r="H1292" s="42">
        <f>IF($C1292="","",IFERROR(INDEX(DESPACHOS!$G$3:$G$3002,MATCH($C1292,DESPACHOS!$B$3:$B$3002,0)),""))</f>
        <v/>
      </c>
      <c r="I1292" s="39">
        <f>IF($C1292="","",IFERROR(INDEX(DESPACHOS!$H$3:$H$3002,MATCH($C1292,DESPACHOS!$B$3:$B$3002,0)),""))</f>
        <v/>
      </c>
      <c r="J1292" s="43">
        <f>IF($C1292="","",IFERROR(INDEX(DESPACHOS!$J$3:$J$3002,MATCH($C1292,DESPACHOS!$B$3:$B$3002,0)),""))</f>
        <v/>
      </c>
      <c r="K1292" s="39">
        <f>IF($C1292="","",IF(COUNTIFS(DESPACHOS!$B$3:$B$3002,$C1292)=0,"NO EXISTE",IF(COUNTIFS(DESPACHOS!$B$3:$B$3002,$C1292)&gt;1,"DUPLICADO","OK")))</f>
        <v/>
      </c>
      <c r="L1292" s="41" t="n"/>
      <c r="M1292" s="41" t="n"/>
      <c r="N1292" s="42">
        <f>IF($M1292="","",IFERROR(INDEX(LISTAS!$F$3:$F$42,MATCH($M1292,LISTAS!$E$3:$E$42,0)),"Por definir"))</f>
        <v/>
      </c>
      <c r="O1292" s="41" t="n"/>
      <c r="P1292" s="39">
        <f>IF($L1292="","",IFERROR(INDEX(LISTAS!$B$3:$B$42,MATCH($L1292,LISTAS!$A$3:$A$42,0)),"Media"))</f>
        <v/>
      </c>
      <c r="Q1292" s="44" t="n"/>
      <c r="R1292" s="45" t="n"/>
      <c r="S1292" s="20">
        <f>IFERROR(IF(OR($R1292="",$C1292=""),"",$R1292/INDEX(DESPACHOS!$M$3:$M$3002,MATCH($C1292,DESPACHOS!$B$3:$B$3002,0))),"")</f>
        <v/>
      </c>
      <c r="T1292" s="41" t="n"/>
      <c r="U1292" s="43">
        <f>IF(OR($B1292="",$L1292=""),"",WORKDAY($B1292,IFERROR(INDEX(LISTAS!$C$3:$C$42,MATCH($L1292,LISTAS!$A$3:$A$42,0)),3)))</f>
        <v/>
      </c>
      <c r="V1292" s="40" t="n"/>
      <c r="W1292" s="19">
        <f>IF($B1292="","",IF($V1292&lt;&gt;"",$V1292-$B1292,TODAY()-$B1292))</f>
        <v/>
      </c>
      <c r="X1292" s="19">
        <f>IF(OR($B1292="",$U1292=""),"",IF($V1292&lt;&gt;"",MAX(0,$V1292-$U1292),MAX(0,TODAY()-$U1292)))</f>
        <v/>
      </c>
      <c r="Y1292" s="39">
        <f>IF($C1292="","",IF(IFERROR(INDEX(LISTAS!$I$3:$I$42,MATCH($T1292,LISTAS!$H$3:$H$42,0)),"NO")="SÍ",IF(N($X1292)&gt;0,"CERRADA FUERA DE SLA","CERRADA EN SLA"),IF($U1292="","SIN CLASIFICAR",IF(N($X1292)&gt;0,"VENCIDA",IF(TODAY()&gt;=$U1292-1,"POR VENCER","EN PLAZO")))))</f>
        <v/>
      </c>
      <c r="Z1292" s="41" t="n"/>
      <c r="AA1292" s="41" t="n"/>
      <c r="AB1292" s="41" t="n"/>
    </row>
    <row r="1293">
      <c r="A1293" s="39">
        <f>IF($C1293="","","NOV-"&amp;TEXT(ROW()-3,"0000"))</f>
        <v/>
      </c>
      <c r="B1293" s="40" t="n"/>
      <c r="C1293" s="41" t="n"/>
      <c r="D1293" s="42">
        <f>IF($C1293="","",IFERROR(INDEX(DESPACHOS!$D$3:$D$3002,MATCH($C1293,DESPACHOS!$B$3:$B$3002,0)),"SIN DESPACHO"))</f>
        <v/>
      </c>
      <c r="E1293" s="42">
        <f>IF($C1293="","",IFERROR(INDEX(DESPACHOS!$K$3:$K$3002,MATCH($C1293,DESPACHOS!$B$3:$B$3002,0)),""))</f>
        <v/>
      </c>
      <c r="F1293" s="42">
        <f>IF($C1293="","",IFERROR(INDEX(DESPACHOS!$I$3:$I$3002,MATCH($C1293,DESPACHOS!$B$3:$B$3002,0)),""))</f>
        <v/>
      </c>
      <c r="G1293" s="42">
        <f>IF($C1293="","",IFERROR(INDEX(DESPACHOS!$F$3:$F$3002,MATCH($C1293,DESPACHOS!$B$3:$B$3002,0)),""))</f>
        <v/>
      </c>
      <c r="H1293" s="42">
        <f>IF($C1293="","",IFERROR(INDEX(DESPACHOS!$G$3:$G$3002,MATCH($C1293,DESPACHOS!$B$3:$B$3002,0)),""))</f>
        <v/>
      </c>
      <c r="I1293" s="39">
        <f>IF($C1293="","",IFERROR(INDEX(DESPACHOS!$H$3:$H$3002,MATCH($C1293,DESPACHOS!$B$3:$B$3002,0)),""))</f>
        <v/>
      </c>
      <c r="J1293" s="43">
        <f>IF($C1293="","",IFERROR(INDEX(DESPACHOS!$J$3:$J$3002,MATCH($C1293,DESPACHOS!$B$3:$B$3002,0)),""))</f>
        <v/>
      </c>
      <c r="K1293" s="39">
        <f>IF($C1293="","",IF(COUNTIFS(DESPACHOS!$B$3:$B$3002,$C1293)=0,"NO EXISTE",IF(COUNTIFS(DESPACHOS!$B$3:$B$3002,$C1293)&gt;1,"DUPLICADO","OK")))</f>
        <v/>
      </c>
      <c r="L1293" s="41" t="n"/>
      <c r="M1293" s="41" t="n"/>
      <c r="N1293" s="42">
        <f>IF($M1293="","",IFERROR(INDEX(LISTAS!$F$3:$F$42,MATCH($M1293,LISTAS!$E$3:$E$42,0)),"Por definir"))</f>
        <v/>
      </c>
      <c r="O1293" s="41" t="n"/>
      <c r="P1293" s="39">
        <f>IF($L1293="","",IFERROR(INDEX(LISTAS!$B$3:$B$42,MATCH($L1293,LISTAS!$A$3:$A$42,0)),"Media"))</f>
        <v/>
      </c>
      <c r="Q1293" s="44" t="n"/>
      <c r="R1293" s="45" t="n"/>
      <c r="S1293" s="20">
        <f>IFERROR(IF(OR($R1293="",$C1293=""),"",$R1293/INDEX(DESPACHOS!$M$3:$M$3002,MATCH($C1293,DESPACHOS!$B$3:$B$3002,0))),"")</f>
        <v/>
      </c>
      <c r="T1293" s="41" t="n"/>
      <c r="U1293" s="43">
        <f>IF(OR($B1293="",$L1293=""),"",WORKDAY($B1293,IFERROR(INDEX(LISTAS!$C$3:$C$42,MATCH($L1293,LISTAS!$A$3:$A$42,0)),3)))</f>
        <v/>
      </c>
      <c r="V1293" s="40" t="n"/>
      <c r="W1293" s="19">
        <f>IF($B1293="","",IF($V1293&lt;&gt;"",$V1293-$B1293,TODAY()-$B1293))</f>
        <v/>
      </c>
      <c r="X1293" s="19">
        <f>IF(OR($B1293="",$U1293=""),"",IF($V1293&lt;&gt;"",MAX(0,$V1293-$U1293),MAX(0,TODAY()-$U1293)))</f>
        <v/>
      </c>
      <c r="Y1293" s="39">
        <f>IF($C1293="","",IF(IFERROR(INDEX(LISTAS!$I$3:$I$42,MATCH($T1293,LISTAS!$H$3:$H$42,0)),"NO")="SÍ",IF(N($X1293)&gt;0,"CERRADA FUERA DE SLA","CERRADA EN SLA"),IF($U1293="","SIN CLASIFICAR",IF(N($X1293)&gt;0,"VENCIDA",IF(TODAY()&gt;=$U1293-1,"POR VENCER","EN PLAZO")))))</f>
        <v/>
      </c>
      <c r="Z1293" s="41" t="n"/>
      <c r="AA1293" s="41" t="n"/>
      <c r="AB1293" s="41" t="n"/>
    </row>
    <row r="1294">
      <c r="A1294" s="39">
        <f>IF($C1294="","","NOV-"&amp;TEXT(ROW()-3,"0000"))</f>
        <v/>
      </c>
      <c r="B1294" s="40" t="n"/>
      <c r="C1294" s="41" t="n"/>
      <c r="D1294" s="42">
        <f>IF($C1294="","",IFERROR(INDEX(DESPACHOS!$D$3:$D$3002,MATCH($C1294,DESPACHOS!$B$3:$B$3002,0)),"SIN DESPACHO"))</f>
        <v/>
      </c>
      <c r="E1294" s="42">
        <f>IF($C1294="","",IFERROR(INDEX(DESPACHOS!$K$3:$K$3002,MATCH($C1294,DESPACHOS!$B$3:$B$3002,0)),""))</f>
        <v/>
      </c>
      <c r="F1294" s="42">
        <f>IF($C1294="","",IFERROR(INDEX(DESPACHOS!$I$3:$I$3002,MATCH($C1294,DESPACHOS!$B$3:$B$3002,0)),""))</f>
        <v/>
      </c>
      <c r="G1294" s="42">
        <f>IF($C1294="","",IFERROR(INDEX(DESPACHOS!$F$3:$F$3002,MATCH($C1294,DESPACHOS!$B$3:$B$3002,0)),""))</f>
        <v/>
      </c>
      <c r="H1294" s="42">
        <f>IF($C1294="","",IFERROR(INDEX(DESPACHOS!$G$3:$G$3002,MATCH($C1294,DESPACHOS!$B$3:$B$3002,0)),""))</f>
        <v/>
      </c>
      <c r="I1294" s="39">
        <f>IF($C1294="","",IFERROR(INDEX(DESPACHOS!$H$3:$H$3002,MATCH($C1294,DESPACHOS!$B$3:$B$3002,0)),""))</f>
        <v/>
      </c>
      <c r="J1294" s="43">
        <f>IF($C1294="","",IFERROR(INDEX(DESPACHOS!$J$3:$J$3002,MATCH($C1294,DESPACHOS!$B$3:$B$3002,0)),""))</f>
        <v/>
      </c>
      <c r="K1294" s="39">
        <f>IF($C1294="","",IF(COUNTIFS(DESPACHOS!$B$3:$B$3002,$C1294)=0,"NO EXISTE",IF(COUNTIFS(DESPACHOS!$B$3:$B$3002,$C1294)&gt;1,"DUPLICADO","OK")))</f>
        <v/>
      </c>
      <c r="L1294" s="41" t="n"/>
      <c r="M1294" s="41" t="n"/>
      <c r="N1294" s="42">
        <f>IF($M1294="","",IFERROR(INDEX(LISTAS!$F$3:$F$42,MATCH($M1294,LISTAS!$E$3:$E$42,0)),"Por definir"))</f>
        <v/>
      </c>
      <c r="O1294" s="41" t="n"/>
      <c r="P1294" s="39">
        <f>IF($L1294="","",IFERROR(INDEX(LISTAS!$B$3:$B$42,MATCH($L1294,LISTAS!$A$3:$A$42,0)),"Media"))</f>
        <v/>
      </c>
      <c r="Q1294" s="44" t="n"/>
      <c r="R1294" s="45" t="n"/>
      <c r="S1294" s="20">
        <f>IFERROR(IF(OR($R1294="",$C1294=""),"",$R1294/INDEX(DESPACHOS!$M$3:$M$3002,MATCH($C1294,DESPACHOS!$B$3:$B$3002,0))),"")</f>
        <v/>
      </c>
      <c r="T1294" s="41" t="n"/>
      <c r="U1294" s="43">
        <f>IF(OR($B1294="",$L1294=""),"",WORKDAY($B1294,IFERROR(INDEX(LISTAS!$C$3:$C$42,MATCH($L1294,LISTAS!$A$3:$A$42,0)),3)))</f>
        <v/>
      </c>
      <c r="V1294" s="40" t="n"/>
      <c r="W1294" s="19">
        <f>IF($B1294="","",IF($V1294&lt;&gt;"",$V1294-$B1294,TODAY()-$B1294))</f>
        <v/>
      </c>
      <c r="X1294" s="19">
        <f>IF(OR($B1294="",$U1294=""),"",IF($V1294&lt;&gt;"",MAX(0,$V1294-$U1294),MAX(0,TODAY()-$U1294)))</f>
        <v/>
      </c>
      <c r="Y1294" s="39">
        <f>IF($C1294="","",IF(IFERROR(INDEX(LISTAS!$I$3:$I$42,MATCH($T1294,LISTAS!$H$3:$H$42,0)),"NO")="SÍ",IF(N($X1294)&gt;0,"CERRADA FUERA DE SLA","CERRADA EN SLA"),IF($U1294="","SIN CLASIFICAR",IF(N($X1294)&gt;0,"VENCIDA",IF(TODAY()&gt;=$U1294-1,"POR VENCER","EN PLAZO")))))</f>
        <v/>
      </c>
      <c r="Z1294" s="41" t="n"/>
      <c r="AA1294" s="41" t="n"/>
      <c r="AB1294" s="41" t="n"/>
    </row>
    <row r="1295">
      <c r="A1295" s="39">
        <f>IF($C1295="","","NOV-"&amp;TEXT(ROW()-3,"0000"))</f>
        <v/>
      </c>
      <c r="B1295" s="40" t="n"/>
      <c r="C1295" s="41" t="n"/>
      <c r="D1295" s="42">
        <f>IF($C1295="","",IFERROR(INDEX(DESPACHOS!$D$3:$D$3002,MATCH($C1295,DESPACHOS!$B$3:$B$3002,0)),"SIN DESPACHO"))</f>
        <v/>
      </c>
      <c r="E1295" s="42">
        <f>IF($C1295="","",IFERROR(INDEX(DESPACHOS!$K$3:$K$3002,MATCH($C1295,DESPACHOS!$B$3:$B$3002,0)),""))</f>
        <v/>
      </c>
      <c r="F1295" s="42">
        <f>IF($C1295="","",IFERROR(INDEX(DESPACHOS!$I$3:$I$3002,MATCH($C1295,DESPACHOS!$B$3:$B$3002,0)),""))</f>
        <v/>
      </c>
      <c r="G1295" s="42">
        <f>IF($C1295="","",IFERROR(INDEX(DESPACHOS!$F$3:$F$3002,MATCH($C1295,DESPACHOS!$B$3:$B$3002,0)),""))</f>
        <v/>
      </c>
      <c r="H1295" s="42">
        <f>IF($C1295="","",IFERROR(INDEX(DESPACHOS!$G$3:$G$3002,MATCH($C1295,DESPACHOS!$B$3:$B$3002,0)),""))</f>
        <v/>
      </c>
      <c r="I1295" s="39">
        <f>IF($C1295="","",IFERROR(INDEX(DESPACHOS!$H$3:$H$3002,MATCH($C1295,DESPACHOS!$B$3:$B$3002,0)),""))</f>
        <v/>
      </c>
      <c r="J1295" s="43">
        <f>IF($C1295="","",IFERROR(INDEX(DESPACHOS!$J$3:$J$3002,MATCH($C1295,DESPACHOS!$B$3:$B$3002,0)),""))</f>
        <v/>
      </c>
      <c r="K1295" s="39">
        <f>IF($C1295="","",IF(COUNTIFS(DESPACHOS!$B$3:$B$3002,$C1295)=0,"NO EXISTE",IF(COUNTIFS(DESPACHOS!$B$3:$B$3002,$C1295)&gt;1,"DUPLICADO","OK")))</f>
        <v/>
      </c>
      <c r="L1295" s="41" t="n"/>
      <c r="M1295" s="41" t="n"/>
      <c r="N1295" s="42">
        <f>IF($M1295="","",IFERROR(INDEX(LISTAS!$F$3:$F$42,MATCH($M1295,LISTAS!$E$3:$E$42,0)),"Por definir"))</f>
        <v/>
      </c>
      <c r="O1295" s="41" t="n"/>
      <c r="P1295" s="39">
        <f>IF($L1295="","",IFERROR(INDEX(LISTAS!$B$3:$B$42,MATCH($L1295,LISTAS!$A$3:$A$42,0)),"Media"))</f>
        <v/>
      </c>
      <c r="Q1295" s="44" t="n"/>
      <c r="R1295" s="45" t="n"/>
      <c r="S1295" s="20">
        <f>IFERROR(IF(OR($R1295="",$C1295=""),"",$R1295/INDEX(DESPACHOS!$M$3:$M$3002,MATCH($C1295,DESPACHOS!$B$3:$B$3002,0))),"")</f>
        <v/>
      </c>
      <c r="T1295" s="41" t="n"/>
      <c r="U1295" s="43">
        <f>IF(OR($B1295="",$L1295=""),"",WORKDAY($B1295,IFERROR(INDEX(LISTAS!$C$3:$C$42,MATCH($L1295,LISTAS!$A$3:$A$42,0)),3)))</f>
        <v/>
      </c>
      <c r="V1295" s="40" t="n"/>
      <c r="W1295" s="19">
        <f>IF($B1295="","",IF($V1295&lt;&gt;"",$V1295-$B1295,TODAY()-$B1295))</f>
        <v/>
      </c>
      <c r="X1295" s="19">
        <f>IF(OR($B1295="",$U1295=""),"",IF($V1295&lt;&gt;"",MAX(0,$V1295-$U1295),MAX(0,TODAY()-$U1295)))</f>
        <v/>
      </c>
      <c r="Y1295" s="39">
        <f>IF($C1295="","",IF(IFERROR(INDEX(LISTAS!$I$3:$I$42,MATCH($T1295,LISTAS!$H$3:$H$42,0)),"NO")="SÍ",IF(N($X1295)&gt;0,"CERRADA FUERA DE SLA","CERRADA EN SLA"),IF($U1295="","SIN CLASIFICAR",IF(N($X1295)&gt;0,"VENCIDA",IF(TODAY()&gt;=$U1295-1,"POR VENCER","EN PLAZO")))))</f>
        <v/>
      </c>
      <c r="Z1295" s="41" t="n"/>
      <c r="AA1295" s="41" t="n"/>
      <c r="AB1295" s="41" t="n"/>
    </row>
    <row r="1296">
      <c r="A1296" s="39">
        <f>IF($C1296="","","NOV-"&amp;TEXT(ROW()-3,"0000"))</f>
        <v/>
      </c>
      <c r="B1296" s="40" t="n"/>
      <c r="C1296" s="41" t="n"/>
      <c r="D1296" s="42">
        <f>IF($C1296="","",IFERROR(INDEX(DESPACHOS!$D$3:$D$3002,MATCH($C1296,DESPACHOS!$B$3:$B$3002,0)),"SIN DESPACHO"))</f>
        <v/>
      </c>
      <c r="E1296" s="42">
        <f>IF($C1296="","",IFERROR(INDEX(DESPACHOS!$K$3:$K$3002,MATCH($C1296,DESPACHOS!$B$3:$B$3002,0)),""))</f>
        <v/>
      </c>
      <c r="F1296" s="42">
        <f>IF($C1296="","",IFERROR(INDEX(DESPACHOS!$I$3:$I$3002,MATCH($C1296,DESPACHOS!$B$3:$B$3002,0)),""))</f>
        <v/>
      </c>
      <c r="G1296" s="42">
        <f>IF($C1296="","",IFERROR(INDEX(DESPACHOS!$F$3:$F$3002,MATCH($C1296,DESPACHOS!$B$3:$B$3002,0)),""))</f>
        <v/>
      </c>
      <c r="H1296" s="42">
        <f>IF($C1296="","",IFERROR(INDEX(DESPACHOS!$G$3:$G$3002,MATCH($C1296,DESPACHOS!$B$3:$B$3002,0)),""))</f>
        <v/>
      </c>
      <c r="I1296" s="39">
        <f>IF($C1296="","",IFERROR(INDEX(DESPACHOS!$H$3:$H$3002,MATCH($C1296,DESPACHOS!$B$3:$B$3002,0)),""))</f>
        <v/>
      </c>
      <c r="J1296" s="43">
        <f>IF($C1296="","",IFERROR(INDEX(DESPACHOS!$J$3:$J$3002,MATCH($C1296,DESPACHOS!$B$3:$B$3002,0)),""))</f>
        <v/>
      </c>
      <c r="K1296" s="39">
        <f>IF($C1296="","",IF(COUNTIFS(DESPACHOS!$B$3:$B$3002,$C1296)=0,"NO EXISTE",IF(COUNTIFS(DESPACHOS!$B$3:$B$3002,$C1296)&gt;1,"DUPLICADO","OK")))</f>
        <v/>
      </c>
      <c r="L1296" s="41" t="n"/>
      <c r="M1296" s="41" t="n"/>
      <c r="N1296" s="42">
        <f>IF($M1296="","",IFERROR(INDEX(LISTAS!$F$3:$F$42,MATCH($M1296,LISTAS!$E$3:$E$42,0)),"Por definir"))</f>
        <v/>
      </c>
      <c r="O1296" s="41" t="n"/>
      <c r="P1296" s="39">
        <f>IF($L1296="","",IFERROR(INDEX(LISTAS!$B$3:$B$42,MATCH($L1296,LISTAS!$A$3:$A$42,0)),"Media"))</f>
        <v/>
      </c>
      <c r="Q1296" s="44" t="n"/>
      <c r="R1296" s="45" t="n"/>
      <c r="S1296" s="20">
        <f>IFERROR(IF(OR($R1296="",$C1296=""),"",$R1296/INDEX(DESPACHOS!$M$3:$M$3002,MATCH($C1296,DESPACHOS!$B$3:$B$3002,0))),"")</f>
        <v/>
      </c>
      <c r="T1296" s="41" t="n"/>
      <c r="U1296" s="43">
        <f>IF(OR($B1296="",$L1296=""),"",WORKDAY($B1296,IFERROR(INDEX(LISTAS!$C$3:$C$42,MATCH($L1296,LISTAS!$A$3:$A$42,0)),3)))</f>
        <v/>
      </c>
      <c r="V1296" s="40" t="n"/>
      <c r="W1296" s="19">
        <f>IF($B1296="","",IF($V1296&lt;&gt;"",$V1296-$B1296,TODAY()-$B1296))</f>
        <v/>
      </c>
      <c r="X1296" s="19">
        <f>IF(OR($B1296="",$U1296=""),"",IF($V1296&lt;&gt;"",MAX(0,$V1296-$U1296),MAX(0,TODAY()-$U1296)))</f>
        <v/>
      </c>
      <c r="Y1296" s="39">
        <f>IF($C1296="","",IF(IFERROR(INDEX(LISTAS!$I$3:$I$42,MATCH($T1296,LISTAS!$H$3:$H$42,0)),"NO")="SÍ",IF(N($X1296)&gt;0,"CERRADA FUERA DE SLA","CERRADA EN SLA"),IF($U1296="","SIN CLASIFICAR",IF(N($X1296)&gt;0,"VENCIDA",IF(TODAY()&gt;=$U1296-1,"POR VENCER","EN PLAZO")))))</f>
        <v/>
      </c>
      <c r="Z1296" s="41" t="n"/>
      <c r="AA1296" s="41" t="n"/>
      <c r="AB1296" s="41" t="n"/>
    </row>
    <row r="1297">
      <c r="A1297" s="39">
        <f>IF($C1297="","","NOV-"&amp;TEXT(ROW()-3,"0000"))</f>
        <v/>
      </c>
      <c r="B1297" s="40" t="n"/>
      <c r="C1297" s="41" t="n"/>
      <c r="D1297" s="42">
        <f>IF($C1297="","",IFERROR(INDEX(DESPACHOS!$D$3:$D$3002,MATCH($C1297,DESPACHOS!$B$3:$B$3002,0)),"SIN DESPACHO"))</f>
        <v/>
      </c>
      <c r="E1297" s="42">
        <f>IF($C1297="","",IFERROR(INDEX(DESPACHOS!$K$3:$K$3002,MATCH($C1297,DESPACHOS!$B$3:$B$3002,0)),""))</f>
        <v/>
      </c>
      <c r="F1297" s="42">
        <f>IF($C1297="","",IFERROR(INDEX(DESPACHOS!$I$3:$I$3002,MATCH($C1297,DESPACHOS!$B$3:$B$3002,0)),""))</f>
        <v/>
      </c>
      <c r="G1297" s="42">
        <f>IF($C1297="","",IFERROR(INDEX(DESPACHOS!$F$3:$F$3002,MATCH($C1297,DESPACHOS!$B$3:$B$3002,0)),""))</f>
        <v/>
      </c>
      <c r="H1297" s="42">
        <f>IF($C1297="","",IFERROR(INDEX(DESPACHOS!$G$3:$G$3002,MATCH($C1297,DESPACHOS!$B$3:$B$3002,0)),""))</f>
        <v/>
      </c>
      <c r="I1297" s="39">
        <f>IF($C1297="","",IFERROR(INDEX(DESPACHOS!$H$3:$H$3002,MATCH($C1297,DESPACHOS!$B$3:$B$3002,0)),""))</f>
        <v/>
      </c>
      <c r="J1297" s="43">
        <f>IF($C1297="","",IFERROR(INDEX(DESPACHOS!$J$3:$J$3002,MATCH($C1297,DESPACHOS!$B$3:$B$3002,0)),""))</f>
        <v/>
      </c>
      <c r="K1297" s="39">
        <f>IF($C1297="","",IF(COUNTIFS(DESPACHOS!$B$3:$B$3002,$C1297)=0,"NO EXISTE",IF(COUNTIFS(DESPACHOS!$B$3:$B$3002,$C1297)&gt;1,"DUPLICADO","OK")))</f>
        <v/>
      </c>
      <c r="L1297" s="41" t="n"/>
      <c r="M1297" s="41" t="n"/>
      <c r="N1297" s="42">
        <f>IF($M1297="","",IFERROR(INDEX(LISTAS!$F$3:$F$42,MATCH($M1297,LISTAS!$E$3:$E$42,0)),"Por definir"))</f>
        <v/>
      </c>
      <c r="O1297" s="41" t="n"/>
      <c r="P1297" s="39">
        <f>IF($L1297="","",IFERROR(INDEX(LISTAS!$B$3:$B$42,MATCH($L1297,LISTAS!$A$3:$A$42,0)),"Media"))</f>
        <v/>
      </c>
      <c r="Q1297" s="44" t="n"/>
      <c r="R1297" s="45" t="n"/>
      <c r="S1297" s="20">
        <f>IFERROR(IF(OR($R1297="",$C1297=""),"",$R1297/INDEX(DESPACHOS!$M$3:$M$3002,MATCH($C1297,DESPACHOS!$B$3:$B$3002,0))),"")</f>
        <v/>
      </c>
      <c r="T1297" s="41" t="n"/>
      <c r="U1297" s="43">
        <f>IF(OR($B1297="",$L1297=""),"",WORKDAY($B1297,IFERROR(INDEX(LISTAS!$C$3:$C$42,MATCH($L1297,LISTAS!$A$3:$A$42,0)),3)))</f>
        <v/>
      </c>
      <c r="V1297" s="40" t="n"/>
      <c r="W1297" s="19">
        <f>IF($B1297="","",IF($V1297&lt;&gt;"",$V1297-$B1297,TODAY()-$B1297))</f>
        <v/>
      </c>
      <c r="X1297" s="19">
        <f>IF(OR($B1297="",$U1297=""),"",IF($V1297&lt;&gt;"",MAX(0,$V1297-$U1297),MAX(0,TODAY()-$U1297)))</f>
        <v/>
      </c>
      <c r="Y1297" s="39">
        <f>IF($C1297="","",IF(IFERROR(INDEX(LISTAS!$I$3:$I$42,MATCH($T1297,LISTAS!$H$3:$H$42,0)),"NO")="SÍ",IF(N($X1297)&gt;0,"CERRADA FUERA DE SLA","CERRADA EN SLA"),IF($U1297="","SIN CLASIFICAR",IF(N($X1297)&gt;0,"VENCIDA",IF(TODAY()&gt;=$U1297-1,"POR VENCER","EN PLAZO")))))</f>
        <v/>
      </c>
      <c r="Z1297" s="41" t="n"/>
      <c r="AA1297" s="41" t="n"/>
      <c r="AB1297" s="41" t="n"/>
    </row>
    <row r="1298">
      <c r="A1298" s="39">
        <f>IF($C1298="","","NOV-"&amp;TEXT(ROW()-3,"0000"))</f>
        <v/>
      </c>
      <c r="B1298" s="40" t="n"/>
      <c r="C1298" s="41" t="n"/>
      <c r="D1298" s="42">
        <f>IF($C1298="","",IFERROR(INDEX(DESPACHOS!$D$3:$D$3002,MATCH($C1298,DESPACHOS!$B$3:$B$3002,0)),"SIN DESPACHO"))</f>
        <v/>
      </c>
      <c r="E1298" s="42">
        <f>IF($C1298="","",IFERROR(INDEX(DESPACHOS!$K$3:$K$3002,MATCH($C1298,DESPACHOS!$B$3:$B$3002,0)),""))</f>
        <v/>
      </c>
      <c r="F1298" s="42">
        <f>IF($C1298="","",IFERROR(INDEX(DESPACHOS!$I$3:$I$3002,MATCH($C1298,DESPACHOS!$B$3:$B$3002,0)),""))</f>
        <v/>
      </c>
      <c r="G1298" s="42">
        <f>IF($C1298="","",IFERROR(INDEX(DESPACHOS!$F$3:$F$3002,MATCH($C1298,DESPACHOS!$B$3:$B$3002,0)),""))</f>
        <v/>
      </c>
      <c r="H1298" s="42">
        <f>IF($C1298="","",IFERROR(INDEX(DESPACHOS!$G$3:$G$3002,MATCH($C1298,DESPACHOS!$B$3:$B$3002,0)),""))</f>
        <v/>
      </c>
      <c r="I1298" s="39">
        <f>IF($C1298="","",IFERROR(INDEX(DESPACHOS!$H$3:$H$3002,MATCH($C1298,DESPACHOS!$B$3:$B$3002,0)),""))</f>
        <v/>
      </c>
      <c r="J1298" s="43">
        <f>IF($C1298="","",IFERROR(INDEX(DESPACHOS!$J$3:$J$3002,MATCH($C1298,DESPACHOS!$B$3:$B$3002,0)),""))</f>
        <v/>
      </c>
      <c r="K1298" s="39">
        <f>IF($C1298="","",IF(COUNTIFS(DESPACHOS!$B$3:$B$3002,$C1298)=0,"NO EXISTE",IF(COUNTIFS(DESPACHOS!$B$3:$B$3002,$C1298)&gt;1,"DUPLICADO","OK")))</f>
        <v/>
      </c>
      <c r="L1298" s="41" t="n"/>
      <c r="M1298" s="41" t="n"/>
      <c r="N1298" s="42">
        <f>IF($M1298="","",IFERROR(INDEX(LISTAS!$F$3:$F$42,MATCH($M1298,LISTAS!$E$3:$E$42,0)),"Por definir"))</f>
        <v/>
      </c>
      <c r="O1298" s="41" t="n"/>
      <c r="P1298" s="39">
        <f>IF($L1298="","",IFERROR(INDEX(LISTAS!$B$3:$B$42,MATCH($L1298,LISTAS!$A$3:$A$42,0)),"Media"))</f>
        <v/>
      </c>
      <c r="Q1298" s="44" t="n"/>
      <c r="R1298" s="45" t="n"/>
      <c r="S1298" s="20">
        <f>IFERROR(IF(OR($R1298="",$C1298=""),"",$R1298/INDEX(DESPACHOS!$M$3:$M$3002,MATCH($C1298,DESPACHOS!$B$3:$B$3002,0))),"")</f>
        <v/>
      </c>
      <c r="T1298" s="41" t="n"/>
      <c r="U1298" s="43">
        <f>IF(OR($B1298="",$L1298=""),"",WORKDAY($B1298,IFERROR(INDEX(LISTAS!$C$3:$C$42,MATCH($L1298,LISTAS!$A$3:$A$42,0)),3)))</f>
        <v/>
      </c>
      <c r="V1298" s="40" t="n"/>
      <c r="W1298" s="19">
        <f>IF($B1298="","",IF($V1298&lt;&gt;"",$V1298-$B1298,TODAY()-$B1298))</f>
        <v/>
      </c>
      <c r="X1298" s="19">
        <f>IF(OR($B1298="",$U1298=""),"",IF($V1298&lt;&gt;"",MAX(0,$V1298-$U1298),MAX(0,TODAY()-$U1298)))</f>
        <v/>
      </c>
      <c r="Y1298" s="39">
        <f>IF($C1298="","",IF(IFERROR(INDEX(LISTAS!$I$3:$I$42,MATCH($T1298,LISTAS!$H$3:$H$42,0)),"NO")="SÍ",IF(N($X1298)&gt;0,"CERRADA FUERA DE SLA","CERRADA EN SLA"),IF($U1298="","SIN CLASIFICAR",IF(N($X1298)&gt;0,"VENCIDA",IF(TODAY()&gt;=$U1298-1,"POR VENCER","EN PLAZO")))))</f>
        <v/>
      </c>
      <c r="Z1298" s="41" t="n"/>
      <c r="AA1298" s="41" t="n"/>
      <c r="AB1298" s="41" t="n"/>
    </row>
    <row r="1299">
      <c r="A1299" s="39">
        <f>IF($C1299="","","NOV-"&amp;TEXT(ROW()-3,"0000"))</f>
        <v/>
      </c>
      <c r="B1299" s="40" t="n"/>
      <c r="C1299" s="41" t="n"/>
      <c r="D1299" s="42">
        <f>IF($C1299="","",IFERROR(INDEX(DESPACHOS!$D$3:$D$3002,MATCH($C1299,DESPACHOS!$B$3:$B$3002,0)),"SIN DESPACHO"))</f>
        <v/>
      </c>
      <c r="E1299" s="42">
        <f>IF($C1299="","",IFERROR(INDEX(DESPACHOS!$K$3:$K$3002,MATCH($C1299,DESPACHOS!$B$3:$B$3002,0)),""))</f>
        <v/>
      </c>
      <c r="F1299" s="42">
        <f>IF($C1299="","",IFERROR(INDEX(DESPACHOS!$I$3:$I$3002,MATCH($C1299,DESPACHOS!$B$3:$B$3002,0)),""))</f>
        <v/>
      </c>
      <c r="G1299" s="42">
        <f>IF($C1299="","",IFERROR(INDEX(DESPACHOS!$F$3:$F$3002,MATCH($C1299,DESPACHOS!$B$3:$B$3002,0)),""))</f>
        <v/>
      </c>
      <c r="H1299" s="42">
        <f>IF($C1299="","",IFERROR(INDEX(DESPACHOS!$G$3:$G$3002,MATCH($C1299,DESPACHOS!$B$3:$B$3002,0)),""))</f>
        <v/>
      </c>
      <c r="I1299" s="39">
        <f>IF($C1299="","",IFERROR(INDEX(DESPACHOS!$H$3:$H$3002,MATCH($C1299,DESPACHOS!$B$3:$B$3002,0)),""))</f>
        <v/>
      </c>
      <c r="J1299" s="43">
        <f>IF($C1299="","",IFERROR(INDEX(DESPACHOS!$J$3:$J$3002,MATCH($C1299,DESPACHOS!$B$3:$B$3002,0)),""))</f>
        <v/>
      </c>
      <c r="K1299" s="39">
        <f>IF($C1299="","",IF(COUNTIFS(DESPACHOS!$B$3:$B$3002,$C1299)=0,"NO EXISTE",IF(COUNTIFS(DESPACHOS!$B$3:$B$3002,$C1299)&gt;1,"DUPLICADO","OK")))</f>
        <v/>
      </c>
      <c r="L1299" s="41" t="n"/>
      <c r="M1299" s="41" t="n"/>
      <c r="N1299" s="42">
        <f>IF($M1299="","",IFERROR(INDEX(LISTAS!$F$3:$F$42,MATCH($M1299,LISTAS!$E$3:$E$42,0)),"Por definir"))</f>
        <v/>
      </c>
      <c r="O1299" s="41" t="n"/>
      <c r="P1299" s="39">
        <f>IF($L1299="","",IFERROR(INDEX(LISTAS!$B$3:$B$42,MATCH($L1299,LISTAS!$A$3:$A$42,0)),"Media"))</f>
        <v/>
      </c>
      <c r="Q1299" s="44" t="n"/>
      <c r="R1299" s="45" t="n"/>
      <c r="S1299" s="20">
        <f>IFERROR(IF(OR($R1299="",$C1299=""),"",$R1299/INDEX(DESPACHOS!$M$3:$M$3002,MATCH($C1299,DESPACHOS!$B$3:$B$3002,0))),"")</f>
        <v/>
      </c>
      <c r="T1299" s="41" t="n"/>
      <c r="U1299" s="43">
        <f>IF(OR($B1299="",$L1299=""),"",WORKDAY($B1299,IFERROR(INDEX(LISTAS!$C$3:$C$42,MATCH($L1299,LISTAS!$A$3:$A$42,0)),3)))</f>
        <v/>
      </c>
      <c r="V1299" s="40" t="n"/>
      <c r="W1299" s="19">
        <f>IF($B1299="","",IF($V1299&lt;&gt;"",$V1299-$B1299,TODAY()-$B1299))</f>
        <v/>
      </c>
      <c r="X1299" s="19">
        <f>IF(OR($B1299="",$U1299=""),"",IF($V1299&lt;&gt;"",MAX(0,$V1299-$U1299),MAX(0,TODAY()-$U1299)))</f>
        <v/>
      </c>
      <c r="Y1299" s="39">
        <f>IF($C1299="","",IF(IFERROR(INDEX(LISTAS!$I$3:$I$42,MATCH($T1299,LISTAS!$H$3:$H$42,0)),"NO")="SÍ",IF(N($X1299)&gt;0,"CERRADA FUERA DE SLA","CERRADA EN SLA"),IF($U1299="","SIN CLASIFICAR",IF(N($X1299)&gt;0,"VENCIDA",IF(TODAY()&gt;=$U1299-1,"POR VENCER","EN PLAZO")))))</f>
        <v/>
      </c>
      <c r="Z1299" s="41" t="n"/>
      <c r="AA1299" s="41" t="n"/>
      <c r="AB1299" s="41" t="n"/>
    </row>
    <row r="1300">
      <c r="A1300" s="39">
        <f>IF($C1300="","","NOV-"&amp;TEXT(ROW()-3,"0000"))</f>
        <v/>
      </c>
      <c r="B1300" s="40" t="n"/>
      <c r="C1300" s="41" t="n"/>
      <c r="D1300" s="42">
        <f>IF($C1300="","",IFERROR(INDEX(DESPACHOS!$D$3:$D$3002,MATCH($C1300,DESPACHOS!$B$3:$B$3002,0)),"SIN DESPACHO"))</f>
        <v/>
      </c>
      <c r="E1300" s="42">
        <f>IF($C1300="","",IFERROR(INDEX(DESPACHOS!$K$3:$K$3002,MATCH($C1300,DESPACHOS!$B$3:$B$3002,0)),""))</f>
        <v/>
      </c>
      <c r="F1300" s="42">
        <f>IF($C1300="","",IFERROR(INDEX(DESPACHOS!$I$3:$I$3002,MATCH($C1300,DESPACHOS!$B$3:$B$3002,0)),""))</f>
        <v/>
      </c>
      <c r="G1300" s="42">
        <f>IF($C1300="","",IFERROR(INDEX(DESPACHOS!$F$3:$F$3002,MATCH($C1300,DESPACHOS!$B$3:$B$3002,0)),""))</f>
        <v/>
      </c>
      <c r="H1300" s="42">
        <f>IF($C1300="","",IFERROR(INDEX(DESPACHOS!$G$3:$G$3002,MATCH($C1300,DESPACHOS!$B$3:$B$3002,0)),""))</f>
        <v/>
      </c>
      <c r="I1300" s="39">
        <f>IF($C1300="","",IFERROR(INDEX(DESPACHOS!$H$3:$H$3002,MATCH($C1300,DESPACHOS!$B$3:$B$3002,0)),""))</f>
        <v/>
      </c>
      <c r="J1300" s="43">
        <f>IF($C1300="","",IFERROR(INDEX(DESPACHOS!$J$3:$J$3002,MATCH($C1300,DESPACHOS!$B$3:$B$3002,0)),""))</f>
        <v/>
      </c>
      <c r="K1300" s="39">
        <f>IF($C1300="","",IF(COUNTIFS(DESPACHOS!$B$3:$B$3002,$C1300)=0,"NO EXISTE",IF(COUNTIFS(DESPACHOS!$B$3:$B$3002,$C1300)&gt;1,"DUPLICADO","OK")))</f>
        <v/>
      </c>
      <c r="L1300" s="41" t="n"/>
      <c r="M1300" s="41" t="n"/>
      <c r="N1300" s="42">
        <f>IF($M1300="","",IFERROR(INDEX(LISTAS!$F$3:$F$42,MATCH($M1300,LISTAS!$E$3:$E$42,0)),"Por definir"))</f>
        <v/>
      </c>
      <c r="O1300" s="41" t="n"/>
      <c r="P1300" s="39">
        <f>IF($L1300="","",IFERROR(INDEX(LISTAS!$B$3:$B$42,MATCH($L1300,LISTAS!$A$3:$A$42,0)),"Media"))</f>
        <v/>
      </c>
      <c r="Q1300" s="44" t="n"/>
      <c r="R1300" s="45" t="n"/>
      <c r="S1300" s="20">
        <f>IFERROR(IF(OR($R1300="",$C1300=""),"",$R1300/INDEX(DESPACHOS!$M$3:$M$3002,MATCH($C1300,DESPACHOS!$B$3:$B$3002,0))),"")</f>
        <v/>
      </c>
      <c r="T1300" s="41" t="n"/>
      <c r="U1300" s="43">
        <f>IF(OR($B1300="",$L1300=""),"",WORKDAY($B1300,IFERROR(INDEX(LISTAS!$C$3:$C$42,MATCH($L1300,LISTAS!$A$3:$A$42,0)),3)))</f>
        <v/>
      </c>
      <c r="V1300" s="40" t="n"/>
      <c r="W1300" s="19">
        <f>IF($B1300="","",IF($V1300&lt;&gt;"",$V1300-$B1300,TODAY()-$B1300))</f>
        <v/>
      </c>
      <c r="X1300" s="19">
        <f>IF(OR($B1300="",$U1300=""),"",IF($V1300&lt;&gt;"",MAX(0,$V1300-$U1300),MAX(0,TODAY()-$U1300)))</f>
        <v/>
      </c>
      <c r="Y1300" s="39">
        <f>IF($C1300="","",IF(IFERROR(INDEX(LISTAS!$I$3:$I$42,MATCH($T1300,LISTAS!$H$3:$H$42,0)),"NO")="SÍ",IF(N($X1300)&gt;0,"CERRADA FUERA DE SLA","CERRADA EN SLA"),IF($U1300="","SIN CLASIFICAR",IF(N($X1300)&gt;0,"VENCIDA",IF(TODAY()&gt;=$U1300-1,"POR VENCER","EN PLAZO")))))</f>
        <v/>
      </c>
      <c r="Z1300" s="41" t="n"/>
      <c r="AA1300" s="41" t="n"/>
      <c r="AB1300" s="41" t="n"/>
    </row>
    <row r="1301">
      <c r="A1301" s="39">
        <f>IF($C1301="","","NOV-"&amp;TEXT(ROW()-3,"0000"))</f>
        <v/>
      </c>
      <c r="B1301" s="40" t="n"/>
      <c r="C1301" s="41" t="n"/>
      <c r="D1301" s="42">
        <f>IF($C1301="","",IFERROR(INDEX(DESPACHOS!$D$3:$D$3002,MATCH($C1301,DESPACHOS!$B$3:$B$3002,0)),"SIN DESPACHO"))</f>
        <v/>
      </c>
      <c r="E1301" s="42">
        <f>IF($C1301="","",IFERROR(INDEX(DESPACHOS!$K$3:$K$3002,MATCH($C1301,DESPACHOS!$B$3:$B$3002,0)),""))</f>
        <v/>
      </c>
      <c r="F1301" s="42">
        <f>IF($C1301="","",IFERROR(INDEX(DESPACHOS!$I$3:$I$3002,MATCH($C1301,DESPACHOS!$B$3:$B$3002,0)),""))</f>
        <v/>
      </c>
      <c r="G1301" s="42">
        <f>IF($C1301="","",IFERROR(INDEX(DESPACHOS!$F$3:$F$3002,MATCH($C1301,DESPACHOS!$B$3:$B$3002,0)),""))</f>
        <v/>
      </c>
      <c r="H1301" s="42">
        <f>IF($C1301="","",IFERROR(INDEX(DESPACHOS!$G$3:$G$3002,MATCH($C1301,DESPACHOS!$B$3:$B$3002,0)),""))</f>
        <v/>
      </c>
      <c r="I1301" s="39">
        <f>IF($C1301="","",IFERROR(INDEX(DESPACHOS!$H$3:$H$3002,MATCH($C1301,DESPACHOS!$B$3:$B$3002,0)),""))</f>
        <v/>
      </c>
      <c r="J1301" s="43">
        <f>IF($C1301="","",IFERROR(INDEX(DESPACHOS!$J$3:$J$3002,MATCH($C1301,DESPACHOS!$B$3:$B$3002,0)),""))</f>
        <v/>
      </c>
      <c r="K1301" s="39">
        <f>IF($C1301="","",IF(COUNTIFS(DESPACHOS!$B$3:$B$3002,$C1301)=0,"NO EXISTE",IF(COUNTIFS(DESPACHOS!$B$3:$B$3002,$C1301)&gt;1,"DUPLICADO","OK")))</f>
        <v/>
      </c>
      <c r="L1301" s="41" t="n"/>
      <c r="M1301" s="41" t="n"/>
      <c r="N1301" s="42">
        <f>IF($M1301="","",IFERROR(INDEX(LISTAS!$F$3:$F$42,MATCH($M1301,LISTAS!$E$3:$E$42,0)),"Por definir"))</f>
        <v/>
      </c>
      <c r="O1301" s="41" t="n"/>
      <c r="P1301" s="39">
        <f>IF($L1301="","",IFERROR(INDEX(LISTAS!$B$3:$B$42,MATCH($L1301,LISTAS!$A$3:$A$42,0)),"Media"))</f>
        <v/>
      </c>
      <c r="Q1301" s="44" t="n"/>
      <c r="R1301" s="45" t="n"/>
      <c r="S1301" s="20">
        <f>IFERROR(IF(OR($R1301="",$C1301=""),"",$R1301/INDEX(DESPACHOS!$M$3:$M$3002,MATCH($C1301,DESPACHOS!$B$3:$B$3002,0))),"")</f>
        <v/>
      </c>
      <c r="T1301" s="41" t="n"/>
      <c r="U1301" s="43">
        <f>IF(OR($B1301="",$L1301=""),"",WORKDAY($B1301,IFERROR(INDEX(LISTAS!$C$3:$C$42,MATCH($L1301,LISTAS!$A$3:$A$42,0)),3)))</f>
        <v/>
      </c>
      <c r="V1301" s="40" t="n"/>
      <c r="W1301" s="19">
        <f>IF($B1301="","",IF($V1301&lt;&gt;"",$V1301-$B1301,TODAY()-$B1301))</f>
        <v/>
      </c>
      <c r="X1301" s="19">
        <f>IF(OR($B1301="",$U1301=""),"",IF($V1301&lt;&gt;"",MAX(0,$V1301-$U1301),MAX(0,TODAY()-$U1301)))</f>
        <v/>
      </c>
      <c r="Y1301" s="39">
        <f>IF($C1301="","",IF(IFERROR(INDEX(LISTAS!$I$3:$I$42,MATCH($T1301,LISTAS!$H$3:$H$42,0)),"NO")="SÍ",IF(N($X1301)&gt;0,"CERRADA FUERA DE SLA","CERRADA EN SLA"),IF($U1301="","SIN CLASIFICAR",IF(N($X1301)&gt;0,"VENCIDA",IF(TODAY()&gt;=$U1301-1,"POR VENCER","EN PLAZO")))))</f>
        <v/>
      </c>
      <c r="Z1301" s="41" t="n"/>
      <c r="AA1301" s="41" t="n"/>
      <c r="AB1301" s="41" t="n"/>
    </row>
    <row r="1302">
      <c r="A1302" s="39">
        <f>IF($C1302="","","NOV-"&amp;TEXT(ROW()-3,"0000"))</f>
        <v/>
      </c>
      <c r="B1302" s="40" t="n"/>
      <c r="C1302" s="41" t="n"/>
      <c r="D1302" s="42">
        <f>IF($C1302="","",IFERROR(INDEX(DESPACHOS!$D$3:$D$3002,MATCH($C1302,DESPACHOS!$B$3:$B$3002,0)),"SIN DESPACHO"))</f>
        <v/>
      </c>
      <c r="E1302" s="42">
        <f>IF($C1302="","",IFERROR(INDEX(DESPACHOS!$K$3:$K$3002,MATCH($C1302,DESPACHOS!$B$3:$B$3002,0)),""))</f>
        <v/>
      </c>
      <c r="F1302" s="42">
        <f>IF($C1302="","",IFERROR(INDEX(DESPACHOS!$I$3:$I$3002,MATCH($C1302,DESPACHOS!$B$3:$B$3002,0)),""))</f>
        <v/>
      </c>
      <c r="G1302" s="42">
        <f>IF($C1302="","",IFERROR(INDEX(DESPACHOS!$F$3:$F$3002,MATCH($C1302,DESPACHOS!$B$3:$B$3002,0)),""))</f>
        <v/>
      </c>
      <c r="H1302" s="42">
        <f>IF($C1302="","",IFERROR(INDEX(DESPACHOS!$G$3:$G$3002,MATCH($C1302,DESPACHOS!$B$3:$B$3002,0)),""))</f>
        <v/>
      </c>
      <c r="I1302" s="39">
        <f>IF($C1302="","",IFERROR(INDEX(DESPACHOS!$H$3:$H$3002,MATCH($C1302,DESPACHOS!$B$3:$B$3002,0)),""))</f>
        <v/>
      </c>
      <c r="J1302" s="43">
        <f>IF($C1302="","",IFERROR(INDEX(DESPACHOS!$J$3:$J$3002,MATCH($C1302,DESPACHOS!$B$3:$B$3002,0)),""))</f>
        <v/>
      </c>
      <c r="K1302" s="39">
        <f>IF($C1302="","",IF(COUNTIFS(DESPACHOS!$B$3:$B$3002,$C1302)=0,"NO EXISTE",IF(COUNTIFS(DESPACHOS!$B$3:$B$3002,$C1302)&gt;1,"DUPLICADO","OK")))</f>
        <v/>
      </c>
      <c r="L1302" s="41" t="n"/>
      <c r="M1302" s="41" t="n"/>
      <c r="N1302" s="42">
        <f>IF($M1302="","",IFERROR(INDEX(LISTAS!$F$3:$F$42,MATCH($M1302,LISTAS!$E$3:$E$42,0)),"Por definir"))</f>
        <v/>
      </c>
      <c r="O1302" s="41" t="n"/>
      <c r="P1302" s="39">
        <f>IF($L1302="","",IFERROR(INDEX(LISTAS!$B$3:$B$42,MATCH($L1302,LISTAS!$A$3:$A$42,0)),"Media"))</f>
        <v/>
      </c>
      <c r="Q1302" s="44" t="n"/>
      <c r="R1302" s="45" t="n"/>
      <c r="S1302" s="20">
        <f>IFERROR(IF(OR($R1302="",$C1302=""),"",$R1302/INDEX(DESPACHOS!$M$3:$M$3002,MATCH($C1302,DESPACHOS!$B$3:$B$3002,0))),"")</f>
        <v/>
      </c>
      <c r="T1302" s="41" t="n"/>
      <c r="U1302" s="43">
        <f>IF(OR($B1302="",$L1302=""),"",WORKDAY($B1302,IFERROR(INDEX(LISTAS!$C$3:$C$42,MATCH($L1302,LISTAS!$A$3:$A$42,0)),3)))</f>
        <v/>
      </c>
      <c r="V1302" s="40" t="n"/>
      <c r="W1302" s="19">
        <f>IF($B1302="","",IF($V1302&lt;&gt;"",$V1302-$B1302,TODAY()-$B1302))</f>
        <v/>
      </c>
      <c r="X1302" s="19">
        <f>IF(OR($B1302="",$U1302=""),"",IF($V1302&lt;&gt;"",MAX(0,$V1302-$U1302),MAX(0,TODAY()-$U1302)))</f>
        <v/>
      </c>
      <c r="Y1302" s="39">
        <f>IF($C1302="","",IF(IFERROR(INDEX(LISTAS!$I$3:$I$42,MATCH($T1302,LISTAS!$H$3:$H$42,0)),"NO")="SÍ",IF(N($X1302)&gt;0,"CERRADA FUERA DE SLA","CERRADA EN SLA"),IF($U1302="","SIN CLASIFICAR",IF(N($X1302)&gt;0,"VENCIDA",IF(TODAY()&gt;=$U1302-1,"POR VENCER","EN PLAZO")))))</f>
        <v/>
      </c>
      <c r="Z1302" s="41" t="n"/>
      <c r="AA1302" s="41" t="n"/>
      <c r="AB1302" s="41" t="n"/>
    </row>
    <row r="1303">
      <c r="A1303" s="39">
        <f>IF($C1303="","","NOV-"&amp;TEXT(ROW()-3,"0000"))</f>
        <v/>
      </c>
      <c r="B1303" s="40" t="n"/>
      <c r="C1303" s="41" t="n"/>
      <c r="D1303" s="42">
        <f>IF($C1303="","",IFERROR(INDEX(DESPACHOS!$D$3:$D$3002,MATCH($C1303,DESPACHOS!$B$3:$B$3002,0)),"SIN DESPACHO"))</f>
        <v/>
      </c>
      <c r="E1303" s="42">
        <f>IF($C1303="","",IFERROR(INDEX(DESPACHOS!$K$3:$K$3002,MATCH($C1303,DESPACHOS!$B$3:$B$3002,0)),""))</f>
        <v/>
      </c>
      <c r="F1303" s="42">
        <f>IF($C1303="","",IFERROR(INDEX(DESPACHOS!$I$3:$I$3002,MATCH($C1303,DESPACHOS!$B$3:$B$3002,0)),""))</f>
        <v/>
      </c>
      <c r="G1303" s="42">
        <f>IF($C1303="","",IFERROR(INDEX(DESPACHOS!$F$3:$F$3002,MATCH($C1303,DESPACHOS!$B$3:$B$3002,0)),""))</f>
        <v/>
      </c>
      <c r="H1303" s="42">
        <f>IF($C1303="","",IFERROR(INDEX(DESPACHOS!$G$3:$G$3002,MATCH($C1303,DESPACHOS!$B$3:$B$3002,0)),""))</f>
        <v/>
      </c>
      <c r="I1303" s="39">
        <f>IF($C1303="","",IFERROR(INDEX(DESPACHOS!$H$3:$H$3002,MATCH($C1303,DESPACHOS!$B$3:$B$3002,0)),""))</f>
        <v/>
      </c>
      <c r="J1303" s="43">
        <f>IF($C1303="","",IFERROR(INDEX(DESPACHOS!$J$3:$J$3002,MATCH($C1303,DESPACHOS!$B$3:$B$3002,0)),""))</f>
        <v/>
      </c>
      <c r="K1303" s="39">
        <f>IF($C1303="","",IF(COUNTIFS(DESPACHOS!$B$3:$B$3002,$C1303)=0,"NO EXISTE",IF(COUNTIFS(DESPACHOS!$B$3:$B$3002,$C1303)&gt;1,"DUPLICADO","OK")))</f>
        <v/>
      </c>
      <c r="L1303" s="41" t="n"/>
      <c r="M1303" s="41" t="n"/>
      <c r="N1303" s="42">
        <f>IF($M1303="","",IFERROR(INDEX(LISTAS!$F$3:$F$42,MATCH($M1303,LISTAS!$E$3:$E$42,0)),"Por definir"))</f>
        <v/>
      </c>
      <c r="O1303" s="41" t="n"/>
      <c r="P1303" s="39">
        <f>IF($L1303="","",IFERROR(INDEX(LISTAS!$B$3:$B$42,MATCH($L1303,LISTAS!$A$3:$A$42,0)),"Media"))</f>
        <v/>
      </c>
      <c r="Q1303" s="44" t="n"/>
      <c r="R1303" s="45" t="n"/>
      <c r="S1303" s="20">
        <f>IFERROR(IF(OR($R1303="",$C1303=""),"",$R1303/INDEX(DESPACHOS!$M$3:$M$3002,MATCH($C1303,DESPACHOS!$B$3:$B$3002,0))),"")</f>
        <v/>
      </c>
      <c r="T1303" s="41" t="n"/>
      <c r="U1303" s="43">
        <f>IF(OR($B1303="",$L1303=""),"",WORKDAY($B1303,IFERROR(INDEX(LISTAS!$C$3:$C$42,MATCH($L1303,LISTAS!$A$3:$A$42,0)),3)))</f>
        <v/>
      </c>
      <c r="V1303" s="40" t="n"/>
      <c r="W1303" s="19">
        <f>IF($B1303="","",IF($V1303&lt;&gt;"",$V1303-$B1303,TODAY()-$B1303))</f>
        <v/>
      </c>
      <c r="X1303" s="19">
        <f>IF(OR($B1303="",$U1303=""),"",IF($V1303&lt;&gt;"",MAX(0,$V1303-$U1303),MAX(0,TODAY()-$U1303)))</f>
        <v/>
      </c>
      <c r="Y1303" s="39">
        <f>IF($C1303="","",IF(IFERROR(INDEX(LISTAS!$I$3:$I$42,MATCH($T1303,LISTAS!$H$3:$H$42,0)),"NO")="SÍ",IF(N($X1303)&gt;0,"CERRADA FUERA DE SLA","CERRADA EN SLA"),IF($U1303="","SIN CLASIFICAR",IF(N($X1303)&gt;0,"VENCIDA",IF(TODAY()&gt;=$U1303-1,"POR VENCER","EN PLAZO")))))</f>
        <v/>
      </c>
      <c r="Z1303" s="41" t="n"/>
      <c r="AA1303" s="41" t="n"/>
      <c r="AB1303" s="41" t="n"/>
    </row>
    <row r="1304">
      <c r="A1304" s="39">
        <f>IF($C1304="","","NOV-"&amp;TEXT(ROW()-3,"0000"))</f>
        <v/>
      </c>
      <c r="B1304" s="40" t="n"/>
      <c r="C1304" s="41" t="n"/>
      <c r="D1304" s="42">
        <f>IF($C1304="","",IFERROR(INDEX(DESPACHOS!$D$3:$D$3002,MATCH($C1304,DESPACHOS!$B$3:$B$3002,0)),"SIN DESPACHO"))</f>
        <v/>
      </c>
      <c r="E1304" s="42">
        <f>IF($C1304="","",IFERROR(INDEX(DESPACHOS!$K$3:$K$3002,MATCH($C1304,DESPACHOS!$B$3:$B$3002,0)),""))</f>
        <v/>
      </c>
      <c r="F1304" s="42">
        <f>IF($C1304="","",IFERROR(INDEX(DESPACHOS!$I$3:$I$3002,MATCH($C1304,DESPACHOS!$B$3:$B$3002,0)),""))</f>
        <v/>
      </c>
      <c r="G1304" s="42">
        <f>IF($C1304="","",IFERROR(INDEX(DESPACHOS!$F$3:$F$3002,MATCH($C1304,DESPACHOS!$B$3:$B$3002,0)),""))</f>
        <v/>
      </c>
      <c r="H1304" s="42">
        <f>IF($C1304="","",IFERROR(INDEX(DESPACHOS!$G$3:$G$3002,MATCH($C1304,DESPACHOS!$B$3:$B$3002,0)),""))</f>
        <v/>
      </c>
      <c r="I1304" s="39">
        <f>IF($C1304="","",IFERROR(INDEX(DESPACHOS!$H$3:$H$3002,MATCH($C1304,DESPACHOS!$B$3:$B$3002,0)),""))</f>
        <v/>
      </c>
      <c r="J1304" s="43">
        <f>IF($C1304="","",IFERROR(INDEX(DESPACHOS!$J$3:$J$3002,MATCH($C1304,DESPACHOS!$B$3:$B$3002,0)),""))</f>
        <v/>
      </c>
      <c r="K1304" s="39">
        <f>IF($C1304="","",IF(COUNTIFS(DESPACHOS!$B$3:$B$3002,$C1304)=0,"NO EXISTE",IF(COUNTIFS(DESPACHOS!$B$3:$B$3002,$C1304)&gt;1,"DUPLICADO","OK")))</f>
        <v/>
      </c>
      <c r="L1304" s="41" t="n"/>
      <c r="M1304" s="41" t="n"/>
      <c r="N1304" s="42">
        <f>IF($M1304="","",IFERROR(INDEX(LISTAS!$F$3:$F$42,MATCH($M1304,LISTAS!$E$3:$E$42,0)),"Por definir"))</f>
        <v/>
      </c>
      <c r="O1304" s="41" t="n"/>
      <c r="P1304" s="39">
        <f>IF($L1304="","",IFERROR(INDEX(LISTAS!$B$3:$B$42,MATCH($L1304,LISTAS!$A$3:$A$42,0)),"Media"))</f>
        <v/>
      </c>
      <c r="Q1304" s="44" t="n"/>
      <c r="R1304" s="45" t="n"/>
      <c r="S1304" s="20">
        <f>IFERROR(IF(OR($R1304="",$C1304=""),"",$R1304/INDEX(DESPACHOS!$M$3:$M$3002,MATCH($C1304,DESPACHOS!$B$3:$B$3002,0))),"")</f>
        <v/>
      </c>
      <c r="T1304" s="41" t="n"/>
      <c r="U1304" s="43">
        <f>IF(OR($B1304="",$L1304=""),"",WORKDAY($B1304,IFERROR(INDEX(LISTAS!$C$3:$C$42,MATCH($L1304,LISTAS!$A$3:$A$42,0)),3)))</f>
        <v/>
      </c>
      <c r="V1304" s="40" t="n"/>
      <c r="W1304" s="19">
        <f>IF($B1304="","",IF($V1304&lt;&gt;"",$V1304-$B1304,TODAY()-$B1304))</f>
        <v/>
      </c>
      <c r="X1304" s="19">
        <f>IF(OR($B1304="",$U1304=""),"",IF($V1304&lt;&gt;"",MAX(0,$V1304-$U1304),MAX(0,TODAY()-$U1304)))</f>
        <v/>
      </c>
      <c r="Y1304" s="39">
        <f>IF($C1304="","",IF(IFERROR(INDEX(LISTAS!$I$3:$I$42,MATCH($T1304,LISTAS!$H$3:$H$42,0)),"NO")="SÍ",IF(N($X1304)&gt;0,"CERRADA FUERA DE SLA","CERRADA EN SLA"),IF($U1304="","SIN CLASIFICAR",IF(N($X1304)&gt;0,"VENCIDA",IF(TODAY()&gt;=$U1304-1,"POR VENCER","EN PLAZO")))))</f>
        <v/>
      </c>
      <c r="Z1304" s="41" t="n"/>
      <c r="AA1304" s="41" t="n"/>
      <c r="AB1304" s="41" t="n"/>
    </row>
    <row r="1305">
      <c r="A1305" s="39">
        <f>IF($C1305="","","NOV-"&amp;TEXT(ROW()-3,"0000"))</f>
        <v/>
      </c>
      <c r="B1305" s="40" t="n"/>
      <c r="C1305" s="41" t="n"/>
      <c r="D1305" s="42">
        <f>IF($C1305="","",IFERROR(INDEX(DESPACHOS!$D$3:$D$3002,MATCH($C1305,DESPACHOS!$B$3:$B$3002,0)),"SIN DESPACHO"))</f>
        <v/>
      </c>
      <c r="E1305" s="42">
        <f>IF($C1305="","",IFERROR(INDEX(DESPACHOS!$K$3:$K$3002,MATCH($C1305,DESPACHOS!$B$3:$B$3002,0)),""))</f>
        <v/>
      </c>
      <c r="F1305" s="42">
        <f>IF($C1305="","",IFERROR(INDEX(DESPACHOS!$I$3:$I$3002,MATCH($C1305,DESPACHOS!$B$3:$B$3002,0)),""))</f>
        <v/>
      </c>
      <c r="G1305" s="42">
        <f>IF($C1305="","",IFERROR(INDEX(DESPACHOS!$F$3:$F$3002,MATCH($C1305,DESPACHOS!$B$3:$B$3002,0)),""))</f>
        <v/>
      </c>
      <c r="H1305" s="42">
        <f>IF($C1305="","",IFERROR(INDEX(DESPACHOS!$G$3:$G$3002,MATCH($C1305,DESPACHOS!$B$3:$B$3002,0)),""))</f>
        <v/>
      </c>
      <c r="I1305" s="39">
        <f>IF($C1305="","",IFERROR(INDEX(DESPACHOS!$H$3:$H$3002,MATCH($C1305,DESPACHOS!$B$3:$B$3002,0)),""))</f>
        <v/>
      </c>
      <c r="J1305" s="43">
        <f>IF($C1305="","",IFERROR(INDEX(DESPACHOS!$J$3:$J$3002,MATCH($C1305,DESPACHOS!$B$3:$B$3002,0)),""))</f>
        <v/>
      </c>
      <c r="K1305" s="39">
        <f>IF($C1305="","",IF(COUNTIFS(DESPACHOS!$B$3:$B$3002,$C1305)=0,"NO EXISTE",IF(COUNTIFS(DESPACHOS!$B$3:$B$3002,$C1305)&gt;1,"DUPLICADO","OK")))</f>
        <v/>
      </c>
      <c r="L1305" s="41" t="n"/>
      <c r="M1305" s="41" t="n"/>
      <c r="N1305" s="42">
        <f>IF($M1305="","",IFERROR(INDEX(LISTAS!$F$3:$F$42,MATCH($M1305,LISTAS!$E$3:$E$42,0)),"Por definir"))</f>
        <v/>
      </c>
      <c r="O1305" s="41" t="n"/>
      <c r="P1305" s="39">
        <f>IF($L1305="","",IFERROR(INDEX(LISTAS!$B$3:$B$42,MATCH($L1305,LISTAS!$A$3:$A$42,0)),"Media"))</f>
        <v/>
      </c>
      <c r="Q1305" s="44" t="n"/>
      <c r="R1305" s="45" t="n"/>
      <c r="S1305" s="20">
        <f>IFERROR(IF(OR($R1305="",$C1305=""),"",$R1305/INDEX(DESPACHOS!$M$3:$M$3002,MATCH($C1305,DESPACHOS!$B$3:$B$3002,0))),"")</f>
        <v/>
      </c>
      <c r="T1305" s="41" t="n"/>
      <c r="U1305" s="43">
        <f>IF(OR($B1305="",$L1305=""),"",WORKDAY($B1305,IFERROR(INDEX(LISTAS!$C$3:$C$42,MATCH($L1305,LISTAS!$A$3:$A$42,0)),3)))</f>
        <v/>
      </c>
      <c r="V1305" s="40" t="n"/>
      <c r="W1305" s="19">
        <f>IF($B1305="","",IF($V1305&lt;&gt;"",$V1305-$B1305,TODAY()-$B1305))</f>
        <v/>
      </c>
      <c r="X1305" s="19">
        <f>IF(OR($B1305="",$U1305=""),"",IF($V1305&lt;&gt;"",MAX(0,$V1305-$U1305),MAX(0,TODAY()-$U1305)))</f>
        <v/>
      </c>
      <c r="Y1305" s="39">
        <f>IF($C1305="","",IF(IFERROR(INDEX(LISTAS!$I$3:$I$42,MATCH($T1305,LISTAS!$H$3:$H$42,0)),"NO")="SÍ",IF(N($X1305)&gt;0,"CERRADA FUERA DE SLA","CERRADA EN SLA"),IF($U1305="","SIN CLASIFICAR",IF(N($X1305)&gt;0,"VENCIDA",IF(TODAY()&gt;=$U1305-1,"POR VENCER","EN PLAZO")))))</f>
        <v/>
      </c>
      <c r="Z1305" s="41" t="n"/>
      <c r="AA1305" s="41" t="n"/>
      <c r="AB1305" s="41" t="n"/>
    </row>
    <row r="1306">
      <c r="A1306" s="39">
        <f>IF($C1306="","","NOV-"&amp;TEXT(ROW()-3,"0000"))</f>
        <v/>
      </c>
      <c r="B1306" s="40" t="n"/>
      <c r="C1306" s="41" t="n"/>
      <c r="D1306" s="42">
        <f>IF($C1306="","",IFERROR(INDEX(DESPACHOS!$D$3:$D$3002,MATCH($C1306,DESPACHOS!$B$3:$B$3002,0)),"SIN DESPACHO"))</f>
        <v/>
      </c>
      <c r="E1306" s="42">
        <f>IF($C1306="","",IFERROR(INDEX(DESPACHOS!$K$3:$K$3002,MATCH($C1306,DESPACHOS!$B$3:$B$3002,0)),""))</f>
        <v/>
      </c>
      <c r="F1306" s="42">
        <f>IF($C1306="","",IFERROR(INDEX(DESPACHOS!$I$3:$I$3002,MATCH($C1306,DESPACHOS!$B$3:$B$3002,0)),""))</f>
        <v/>
      </c>
      <c r="G1306" s="42">
        <f>IF($C1306="","",IFERROR(INDEX(DESPACHOS!$F$3:$F$3002,MATCH($C1306,DESPACHOS!$B$3:$B$3002,0)),""))</f>
        <v/>
      </c>
      <c r="H1306" s="42">
        <f>IF($C1306="","",IFERROR(INDEX(DESPACHOS!$G$3:$G$3002,MATCH($C1306,DESPACHOS!$B$3:$B$3002,0)),""))</f>
        <v/>
      </c>
      <c r="I1306" s="39">
        <f>IF($C1306="","",IFERROR(INDEX(DESPACHOS!$H$3:$H$3002,MATCH($C1306,DESPACHOS!$B$3:$B$3002,0)),""))</f>
        <v/>
      </c>
      <c r="J1306" s="43">
        <f>IF($C1306="","",IFERROR(INDEX(DESPACHOS!$J$3:$J$3002,MATCH($C1306,DESPACHOS!$B$3:$B$3002,0)),""))</f>
        <v/>
      </c>
      <c r="K1306" s="39">
        <f>IF($C1306="","",IF(COUNTIFS(DESPACHOS!$B$3:$B$3002,$C1306)=0,"NO EXISTE",IF(COUNTIFS(DESPACHOS!$B$3:$B$3002,$C1306)&gt;1,"DUPLICADO","OK")))</f>
        <v/>
      </c>
      <c r="L1306" s="41" t="n"/>
      <c r="M1306" s="41" t="n"/>
      <c r="N1306" s="42">
        <f>IF($M1306="","",IFERROR(INDEX(LISTAS!$F$3:$F$42,MATCH($M1306,LISTAS!$E$3:$E$42,0)),"Por definir"))</f>
        <v/>
      </c>
      <c r="O1306" s="41" t="n"/>
      <c r="P1306" s="39">
        <f>IF($L1306="","",IFERROR(INDEX(LISTAS!$B$3:$B$42,MATCH($L1306,LISTAS!$A$3:$A$42,0)),"Media"))</f>
        <v/>
      </c>
      <c r="Q1306" s="44" t="n"/>
      <c r="R1306" s="45" t="n"/>
      <c r="S1306" s="20">
        <f>IFERROR(IF(OR($R1306="",$C1306=""),"",$R1306/INDEX(DESPACHOS!$M$3:$M$3002,MATCH($C1306,DESPACHOS!$B$3:$B$3002,0))),"")</f>
        <v/>
      </c>
      <c r="T1306" s="41" t="n"/>
      <c r="U1306" s="43">
        <f>IF(OR($B1306="",$L1306=""),"",WORKDAY($B1306,IFERROR(INDEX(LISTAS!$C$3:$C$42,MATCH($L1306,LISTAS!$A$3:$A$42,0)),3)))</f>
        <v/>
      </c>
      <c r="V1306" s="40" t="n"/>
      <c r="W1306" s="19">
        <f>IF($B1306="","",IF($V1306&lt;&gt;"",$V1306-$B1306,TODAY()-$B1306))</f>
        <v/>
      </c>
      <c r="X1306" s="19">
        <f>IF(OR($B1306="",$U1306=""),"",IF($V1306&lt;&gt;"",MAX(0,$V1306-$U1306),MAX(0,TODAY()-$U1306)))</f>
        <v/>
      </c>
      <c r="Y1306" s="39">
        <f>IF($C1306="","",IF(IFERROR(INDEX(LISTAS!$I$3:$I$42,MATCH($T1306,LISTAS!$H$3:$H$42,0)),"NO")="SÍ",IF(N($X1306)&gt;0,"CERRADA FUERA DE SLA","CERRADA EN SLA"),IF($U1306="","SIN CLASIFICAR",IF(N($X1306)&gt;0,"VENCIDA",IF(TODAY()&gt;=$U1306-1,"POR VENCER","EN PLAZO")))))</f>
        <v/>
      </c>
      <c r="Z1306" s="41" t="n"/>
      <c r="AA1306" s="41" t="n"/>
      <c r="AB1306" s="41" t="n"/>
    </row>
    <row r="1307">
      <c r="A1307" s="39">
        <f>IF($C1307="","","NOV-"&amp;TEXT(ROW()-3,"0000"))</f>
        <v/>
      </c>
      <c r="B1307" s="40" t="n"/>
      <c r="C1307" s="41" t="n"/>
      <c r="D1307" s="42">
        <f>IF($C1307="","",IFERROR(INDEX(DESPACHOS!$D$3:$D$3002,MATCH($C1307,DESPACHOS!$B$3:$B$3002,0)),"SIN DESPACHO"))</f>
        <v/>
      </c>
      <c r="E1307" s="42">
        <f>IF($C1307="","",IFERROR(INDEX(DESPACHOS!$K$3:$K$3002,MATCH($C1307,DESPACHOS!$B$3:$B$3002,0)),""))</f>
        <v/>
      </c>
      <c r="F1307" s="42">
        <f>IF($C1307="","",IFERROR(INDEX(DESPACHOS!$I$3:$I$3002,MATCH($C1307,DESPACHOS!$B$3:$B$3002,0)),""))</f>
        <v/>
      </c>
      <c r="G1307" s="42">
        <f>IF($C1307="","",IFERROR(INDEX(DESPACHOS!$F$3:$F$3002,MATCH($C1307,DESPACHOS!$B$3:$B$3002,0)),""))</f>
        <v/>
      </c>
      <c r="H1307" s="42">
        <f>IF($C1307="","",IFERROR(INDEX(DESPACHOS!$G$3:$G$3002,MATCH($C1307,DESPACHOS!$B$3:$B$3002,0)),""))</f>
        <v/>
      </c>
      <c r="I1307" s="39">
        <f>IF($C1307="","",IFERROR(INDEX(DESPACHOS!$H$3:$H$3002,MATCH($C1307,DESPACHOS!$B$3:$B$3002,0)),""))</f>
        <v/>
      </c>
      <c r="J1307" s="43">
        <f>IF($C1307="","",IFERROR(INDEX(DESPACHOS!$J$3:$J$3002,MATCH($C1307,DESPACHOS!$B$3:$B$3002,0)),""))</f>
        <v/>
      </c>
      <c r="K1307" s="39">
        <f>IF($C1307="","",IF(COUNTIFS(DESPACHOS!$B$3:$B$3002,$C1307)=0,"NO EXISTE",IF(COUNTIFS(DESPACHOS!$B$3:$B$3002,$C1307)&gt;1,"DUPLICADO","OK")))</f>
        <v/>
      </c>
      <c r="L1307" s="41" t="n"/>
      <c r="M1307" s="41" t="n"/>
      <c r="N1307" s="42">
        <f>IF($M1307="","",IFERROR(INDEX(LISTAS!$F$3:$F$42,MATCH($M1307,LISTAS!$E$3:$E$42,0)),"Por definir"))</f>
        <v/>
      </c>
      <c r="O1307" s="41" t="n"/>
      <c r="P1307" s="39">
        <f>IF($L1307="","",IFERROR(INDEX(LISTAS!$B$3:$B$42,MATCH($L1307,LISTAS!$A$3:$A$42,0)),"Media"))</f>
        <v/>
      </c>
      <c r="Q1307" s="44" t="n"/>
      <c r="R1307" s="45" t="n"/>
      <c r="S1307" s="20">
        <f>IFERROR(IF(OR($R1307="",$C1307=""),"",$R1307/INDEX(DESPACHOS!$M$3:$M$3002,MATCH($C1307,DESPACHOS!$B$3:$B$3002,0))),"")</f>
        <v/>
      </c>
      <c r="T1307" s="41" t="n"/>
      <c r="U1307" s="43">
        <f>IF(OR($B1307="",$L1307=""),"",WORKDAY($B1307,IFERROR(INDEX(LISTAS!$C$3:$C$42,MATCH($L1307,LISTAS!$A$3:$A$42,0)),3)))</f>
        <v/>
      </c>
      <c r="V1307" s="40" t="n"/>
      <c r="W1307" s="19">
        <f>IF($B1307="","",IF($V1307&lt;&gt;"",$V1307-$B1307,TODAY()-$B1307))</f>
        <v/>
      </c>
      <c r="X1307" s="19">
        <f>IF(OR($B1307="",$U1307=""),"",IF($V1307&lt;&gt;"",MAX(0,$V1307-$U1307),MAX(0,TODAY()-$U1307)))</f>
        <v/>
      </c>
      <c r="Y1307" s="39">
        <f>IF($C1307="","",IF(IFERROR(INDEX(LISTAS!$I$3:$I$42,MATCH($T1307,LISTAS!$H$3:$H$42,0)),"NO")="SÍ",IF(N($X1307)&gt;0,"CERRADA FUERA DE SLA","CERRADA EN SLA"),IF($U1307="","SIN CLASIFICAR",IF(N($X1307)&gt;0,"VENCIDA",IF(TODAY()&gt;=$U1307-1,"POR VENCER","EN PLAZO")))))</f>
        <v/>
      </c>
      <c r="Z1307" s="41" t="n"/>
      <c r="AA1307" s="41" t="n"/>
      <c r="AB1307" s="41" t="n"/>
    </row>
    <row r="1308">
      <c r="A1308" s="39">
        <f>IF($C1308="","","NOV-"&amp;TEXT(ROW()-3,"0000"))</f>
        <v/>
      </c>
      <c r="B1308" s="40" t="n"/>
      <c r="C1308" s="41" t="n"/>
      <c r="D1308" s="42">
        <f>IF($C1308="","",IFERROR(INDEX(DESPACHOS!$D$3:$D$3002,MATCH($C1308,DESPACHOS!$B$3:$B$3002,0)),"SIN DESPACHO"))</f>
        <v/>
      </c>
      <c r="E1308" s="42">
        <f>IF($C1308="","",IFERROR(INDEX(DESPACHOS!$K$3:$K$3002,MATCH($C1308,DESPACHOS!$B$3:$B$3002,0)),""))</f>
        <v/>
      </c>
      <c r="F1308" s="42">
        <f>IF($C1308="","",IFERROR(INDEX(DESPACHOS!$I$3:$I$3002,MATCH($C1308,DESPACHOS!$B$3:$B$3002,0)),""))</f>
        <v/>
      </c>
      <c r="G1308" s="42">
        <f>IF($C1308="","",IFERROR(INDEX(DESPACHOS!$F$3:$F$3002,MATCH($C1308,DESPACHOS!$B$3:$B$3002,0)),""))</f>
        <v/>
      </c>
      <c r="H1308" s="42">
        <f>IF($C1308="","",IFERROR(INDEX(DESPACHOS!$G$3:$G$3002,MATCH($C1308,DESPACHOS!$B$3:$B$3002,0)),""))</f>
        <v/>
      </c>
      <c r="I1308" s="39">
        <f>IF($C1308="","",IFERROR(INDEX(DESPACHOS!$H$3:$H$3002,MATCH($C1308,DESPACHOS!$B$3:$B$3002,0)),""))</f>
        <v/>
      </c>
      <c r="J1308" s="43">
        <f>IF($C1308="","",IFERROR(INDEX(DESPACHOS!$J$3:$J$3002,MATCH($C1308,DESPACHOS!$B$3:$B$3002,0)),""))</f>
        <v/>
      </c>
      <c r="K1308" s="39">
        <f>IF($C1308="","",IF(COUNTIFS(DESPACHOS!$B$3:$B$3002,$C1308)=0,"NO EXISTE",IF(COUNTIFS(DESPACHOS!$B$3:$B$3002,$C1308)&gt;1,"DUPLICADO","OK")))</f>
        <v/>
      </c>
      <c r="L1308" s="41" t="n"/>
      <c r="M1308" s="41" t="n"/>
      <c r="N1308" s="42">
        <f>IF($M1308="","",IFERROR(INDEX(LISTAS!$F$3:$F$42,MATCH($M1308,LISTAS!$E$3:$E$42,0)),"Por definir"))</f>
        <v/>
      </c>
      <c r="O1308" s="41" t="n"/>
      <c r="P1308" s="39">
        <f>IF($L1308="","",IFERROR(INDEX(LISTAS!$B$3:$B$42,MATCH($L1308,LISTAS!$A$3:$A$42,0)),"Media"))</f>
        <v/>
      </c>
      <c r="Q1308" s="44" t="n"/>
      <c r="R1308" s="45" t="n"/>
      <c r="S1308" s="20">
        <f>IFERROR(IF(OR($R1308="",$C1308=""),"",$R1308/INDEX(DESPACHOS!$M$3:$M$3002,MATCH($C1308,DESPACHOS!$B$3:$B$3002,0))),"")</f>
        <v/>
      </c>
      <c r="T1308" s="41" t="n"/>
      <c r="U1308" s="43">
        <f>IF(OR($B1308="",$L1308=""),"",WORKDAY($B1308,IFERROR(INDEX(LISTAS!$C$3:$C$42,MATCH($L1308,LISTAS!$A$3:$A$42,0)),3)))</f>
        <v/>
      </c>
      <c r="V1308" s="40" t="n"/>
      <c r="W1308" s="19">
        <f>IF($B1308="","",IF($V1308&lt;&gt;"",$V1308-$B1308,TODAY()-$B1308))</f>
        <v/>
      </c>
      <c r="X1308" s="19">
        <f>IF(OR($B1308="",$U1308=""),"",IF($V1308&lt;&gt;"",MAX(0,$V1308-$U1308),MAX(0,TODAY()-$U1308)))</f>
        <v/>
      </c>
      <c r="Y1308" s="39">
        <f>IF($C1308="","",IF(IFERROR(INDEX(LISTAS!$I$3:$I$42,MATCH($T1308,LISTAS!$H$3:$H$42,0)),"NO")="SÍ",IF(N($X1308)&gt;0,"CERRADA FUERA DE SLA","CERRADA EN SLA"),IF($U1308="","SIN CLASIFICAR",IF(N($X1308)&gt;0,"VENCIDA",IF(TODAY()&gt;=$U1308-1,"POR VENCER","EN PLAZO")))))</f>
        <v/>
      </c>
      <c r="Z1308" s="41" t="n"/>
      <c r="AA1308" s="41" t="n"/>
      <c r="AB1308" s="41" t="n"/>
    </row>
    <row r="1309">
      <c r="A1309" s="39">
        <f>IF($C1309="","","NOV-"&amp;TEXT(ROW()-3,"0000"))</f>
        <v/>
      </c>
      <c r="B1309" s="40" t="n"/>
      <c r="C1309" s="41" t="n"/>
      <c r="D1309" s="42">
        <f>IF($C1309="","",IFERROR(INDEX(DESPACHOS!$D$3:$D$3002,MATCH($C1309,DESPACHOS!$B$3:$B$3002,0)),"SIN DESPACHO"))</f>
        <v/>
      </c>
      <c r="E1309" s="42">
        <f>IF($C1309="","",IFERROR(INDEX(DESPACHOS!$K$3:$K$3002,MATCH($C1309,DESPACHOS!$B$3:$B$3002,0)),""))</f>
        <v/>
      </c>
      <c r="F1309" s="42">
        <f>IF($C1309="","",IFERROR(INDEX(DESPACHOS!$I$3:$I$3002,MATCH($C1309,DESPACHOS!$B$3:$B$3002,0)),""))</f>
        <v/>
      </c>
      <c r="G1309" s="42">
        <f>IF($C1309="","",IFERROR(INDEX(DESPACHOS!$F$3:$F$3002,MATCH($C1309,DESPACHOS!$B$3:$B$3002,0)),""))</f>
        <v/>
      </c>
      <c r="H1309" s="42">
        <f>IF($C1309="","",IFERROR(INDEX(DESPACHOS!$G$3:$G$3002,MATCH($C1309,DESPACHOS!$B$3:$B$3002,0)),""))</f>
        <v/>
      </c>
      <c r="I1309" s="39">
        <f>IF($C1309="","",IFERROR(INDEX(DESPACHOS!$H$3:$H$3002,MATCH($C1309,DESPACHOS!$B$3:$B$3002,0)),""))</f>
        <v/>
      </c>
      <c r="J1309" s="43">
        <f>IF($C1309="","",IFERROR(INDEX(DESPACHOS!$J$3:$J$3002,MATCH($C1309,DESPACHOS!$B$3:$B$3002,0)),""))</f>
        <v/>
      </c>
      <c r="K1309" s="39">
        <f>IF($C1309="","",IF(COUNTIFS(DESPACHOS!$B$3:$B$3002,$C1309)=0,"NO EXISTE",IF(COUNTIFS(DESPACHOS!$B$3:$B$3002,$C1309)&gt;1,"DUPLICADO","OK")))</f>
        <v/>
      </c>
      <c r="L1309" s="41" t="n"/>
      <c r="M1309" s="41" t="n"/>
      <c r="N1309" s="42">
        <f>IF($M1309="","",IFERROR(INDEX(LISTAS!$F$3:$F$42,MATCH($M1309,LISTAS!$E$3:$E$42,0)),"Por definir"))</f>
        <v/>
      </c>
      <c r="O1309" s="41" t="n"/>
      <c r="P1309" s="39">
        <f>IF($L1309="","",IFERROR(INDEX(LISTAS!$B$3:$B$42,MATCH($L1309,LISTAS!$A$3:$A$42,0)),"Media"))</f>
        <v/>
      </c>
      <c r="Q1309" s="44" t="n"/>
      <c r="R1309" s="45" t="n"/>
      <c r="S1309" s="20">
        <f>IFERROR(IF(OR($R1309="",$C1309=""),"",$R1309/INDEX(DESPACHOS!$M$3:$M$3002,MATCH($C1309,DESPACHOS!$B$3:$B$3002,0))),"")</f>
        <v/>
      </c>
      <c r="T1309" s="41" t="n"/>
      <c r="U1309" s="43">
        <f>IF(OR($B1309="",$L1309=""),"",WORKDAY($B1309,IFERROR(INDEX(LISTAS!$C$3:$C$42,MATCH($L1309,LISTAS!$A$3:$A$42,0)),3)))</f>
        <v/>
      </c>
      <c r="V1309" s="40" t="n"/>
      <c r="W1309" s="19">
        <f>IF($B1309="","",IF($V1309&lt;&gt;"",$V1309-$B1309,TODAY()-$B1309))</f>
        <v/>
      </c>
      <c r="X1309" s="19">
        <f>IF(OR($B1309="",$U1309=""),"",IF($V1309&lt;&gt;"",MAX(0,$V1309-$U1309),MAX(0,TODAY()-$U1309)))</f>
        <v/>
      </c>
      <c r="Y1309" s="39">
        <f>IF($C1309="","",IF(IFERROR(INDEX(LISTAS!$I$3:$I$42,MATCH($T1309,LISTAS!$H$3:$H$42,0)),"NO")="SÍ",IF(N($X1309)&gt;0,"CERRADA FUERA DE SLA","CERRADA EN SLA"),IF($U1309="","SIN CLASIFICAR",IF(N($X1309)&gt;0,"VENCIDA",IF(TODAY()&gt;=$U1309-1,"POR VENCER","EN PLAZO")))))</f>
        <v/>
      </c>
      <c r="Z1309" s="41" t="n"/>
      <c r="AA1309" s="41" t="n"/>
      <c r="AB1309" s="41" t="n"/>
    </row>
    <row r="1310">
      <c r="A1310" s="39">
        <f>IF($C1310="","","NOV-"&amp;TEXT(ROW()-3,"0000"))</f>
        <v/>
      </c>
      <c r="B1310" s="40" t="n"/>
      <c r="C1310" s="41" t="n"/>
      <c r="D1310" s="42">
        <f>IF($C1310="","",IFERROR(INDEX(DESPACHOS!$D$3:$D$3002,MATCH($C1310,DESPACHOS!$B$3:$B$3002,0)),"SIN DESPACHO"))</f>
        <v/>
      </c>
      <c r="E1310" s="42">
        <f>IF($C1310="","",IFERROR(INDEX(DESPACHOS!$K$3:$K$3002,MATCH($C1310,DESPACHOS!$B$3:$B$3002,0)),""))</f>
        <v/>
      </c>
      <c r="F1310" s="42">
        <f>IF($C1310="","",IFERROR(INDEX(DESPACHOS!$I$3:$I$3002,MATCH($C1310,DESPACHOS!$B$3:$B$3002,0)),""))</f>
        <v/>
      </c>
      <c r="G1310" s="42">
        <f>IF($C1310="","",IFERROR(INDEX(DESPACHOS!$F$3:$F$3002,MATCH($C1310,DESPACHOS!$B$3:$B$3002,0)),""))</f>
        <v/>
      </c>
      <c r="H1310" s="42">
        <f>IF($C1310="","",IFERROR(INDEX(DESPACHOS!$G$3:$G$3002,MATCH($C1310,DESPACHOS!$B$3:$B$3002,0)),""))</f>
        <v/>
      </c>
      <c r="I1310" s="39">
        <f>IF($C1310="","",IFERROR(INDEX(DESPACHOS!$H$3:$H$3002,MATCH($C1310,DESPACHOS!$B$3:$B$3002,0)),""))</f>
        <v/>
      </c>
      <c r="J1310" s="43">
        <f>IF($C1310="","",IFERROR(INDEX(DESPACHOS!$J$3:$J$3002,MATCH($C1310,DESPACHOS!$B$3:$B$3002,0)),""))</f>
        <v/>
      </c>
      <c r="K1310" s="39">
        <f>IF($C1310="","",IF(COUNTIFS(DESPACHOS!$B$3:$B$3002,$C1310)=0,"NO EXISTE",IF(COUNTIFS(DESPACHOS!$B$3:$B$3002,$C1310)&gt;1,"DUPLICADO","OK")))</f>
        <v/>
      </c>
      <c r="L1310" s="41" t="n"/>
      <c r="M1310" s="41" t="n"/>
      <c r="N1310" s="42">
        <f>IF($M1310="","",IFERROR(INDEX(LISTAS!$F$3:$F$42,MATCH($M1310,LISTAS!$E$3:$E$42,0)),"Por definir"))</f>
        <v/>
      </c>
      <c r="O1310" s="41" t="n"/>
      <c r="P1310" s="39">
        <f>IF($L1310="","",IFERROR(INDEX(LISTAS!$B$3:$B$42,MATCH($L1310,LISTAS!$A$3:$A$42,0)),"Media"))</f>
        <v/>
      </c>
      <c r="Q1310" s="44" t="n"/>
      <c r="R1310" s="45" t="n"/>
      <c r="S1310" s="20">
        <f>IFERROR(IF(OR($R1310="",$C1310=""),"",$R1310/INDEX(DESPACHOS!$M$3:$M$3002,MATCH($C1310,DESPACHOS!$B$3:$B$3002,0))),"")</f>
        <v/>
      </c>
      <c r="T1310" s="41" t="n"/>
      <c r="U1310" s="43">
        <f>IF(OR($B1310="",$L1310=""),"",WORKDAY($B1310,IFERROR(INDEX(LISTAS!$C$3:$C$42,MATCH($L1310,LISTAS!$A$3:$A$42,0)),3)))</f>
        <v/>
      </c>
      <c r="V1310" s="40" t="n"/>
      <c r="W1310" s="19">
        <f>IF($B1310="","",IF($V1310&lt;&gt;"",$V1310-$B1310,TODAY()-$B1310))</f>
        <v/>
      </c>
      <c r="X1310" s="19">
        <f>IF(OR($B1310="",$U1310=""),"",IF($V1310&lt;&gt;"",MAX(0,$V1310-$U1310),MAX(0,TODAY()-$U1310)))</f>
        <v/>
      </c>
      <c r="Y1310" s="39">
        <f>IF($C1310="","",IF(IFERROR(INDEX(LISTAS!$I$3:$I$42,MATCH($T1310,LISTAS!$H$3:$H$42,0)),"NO")="SÍ",IF(N($X1310)&gt;0,"CERRADA FUERA DE SLA","CERRADA EN SLA"),IF($U1310="","SIN CLASIFICAR",IF(N($X1310)&gt;0,"VENCIDA",IF(TODAY()&gt;=$U1310-1,"POR VENCER","EN PLAZO")))))</f>
        <v/>
      </c>
      <c r="Z1310" s="41" t="n"/>
      <c r="AA1310" s="41" t="n"/>
      <c r="AB1310" s="41" t="n"/>
    </row>
    <row r="1311">
      <c r="A1311" s="39">
        <f>IF($C1311="","","NOV-"&amp;TEXT(ROW()-3,"0000"))</f>
        <v/>
      </c>
      <c r="B1311" s="40" t="n"/>
      <c r="C1311" s="41" t="n"/>
      <c r="D1311" s="42">
        <f>IF($C1311="","",IFERROR(INDEX(DESPACHOS!$D$3:$D$3002,MATCH($C1311,DESPACHOS!$B$3:$B$3002,0)),"SIN DESPACHO"))</f>
        <v/>
      </c>
      <c r="E1311" s="42">
        <f>IF($C1311="","",IFERROR(INDEX(DESPACHOS!$K$3:$K$3002,MATCH($C1311,DESPACHOS!$B$3:$B$3002,0)),""))</f>
        <v/>
      </c>
      <c r="F1311" s="42">
        <f>IF($C1311="","",IFERROR(INDEX(DESPACHOS!$I$3:$I$3002,MATCH($C1311,DESPACHOS!$B$3:$B$3002,0)),""))</f>
        <v/>
      </c>
      <c r="G1311" s="42">
        <f>IF($C1311="","",IFERROR(INDEX(DESPACHOS!$F$3:$F$3002,MATCH($C1311,DESPACHOS!$B$3:$B$3002,0)),""))</f>
        <v/>
      </c>
      <c r="H1311" s="42">
        <f>IF($C1311="","",IFERROR(INDEX(DESPACHOS!$G$3:$G$3002,MATCH($C1311,DESPACHOS!$B$3:$B$3002,0)),""))</f>
        <v/>
      </c>
      <c r="I1311" s="39">
        <f>IF($C1311="","",IFERROR(INDEX(DESPACHOS!$H$3:$H$3002,MATCH($C1311,DESPACHOS!$B$3:$B$3002,0)),""))</f>
        <v/>
      </c>
      <c r="J1311" s="43">
        <f>IF($C1311="","",IFERROR(INDEX(DESPACHOS!$J$3:$J$3002,MATCH($C1311,DESPACHOS!$B$3:$B$3002,0)),""))</f>
        <v/>
      </c>
      <c r="K1311" s="39">
        <f>IF($C1311="","",IF(COUNTIFS(DESPACHOS!$B$3:$B$3002,$C1311)=0,"NO EXISTE",IF(COUNTIFS(DESPACHOS!$B$3:$B$3002,$C1311)&gt;1,"DUPLICADO","OK")))</f>
        <v/>
      </c>
      <c r="L1311" s="41" t="n"/>
      <c r="M1311" s="41" t="n"/>
      <c r="N1311" s="42">
        <f>IF($M1311="","",IFERROR(INDEX(LISTAS!$F$3:$F$42,MATCH($M1311,LISTAS!$E$3:$E$42,0)),"Por definir"))</f>
        <v/>
      </c>
      <c r="O1311" s="41" t="n"/>
      <c r="P1311" s="39">
        <f>IF($L1311="","",IFERROR(INDEX(LISTAS!$B$3:$B$42,MATCH($L1311,LISTAS!$A$3:$A$42,0)),"Media"))</f>
        <v/>
      </c>
      <c r="Q1311" s="44" t="n"/>
      <c r="R1311" s="45" t="n"/>
      <c r="S1311" s="20">
        <f>IFERROR(IF(OR($R1311="",$C1311=""),"",$R1311/INDEX(DESPACHOS!$M$3:$M$3002,MATCH($C1311,DESPACHOS!$B$3:$B$3002,0))),"")</f>
        <v/>
      </c>
      <c r="T1311" s="41" t="n"/>
      <c r="U1311" s="43">
        <f>IF(OR($B1311="",$L1311=""),"",WORKDAY($B1311,IFERROR(INDEX(LISTAS!$C$3:$C$42,MATCH($L1311,LISTAS!$A$3:$A$42,0)),3)))</f>
        <v/>
      </c>
      <c r="V1311" s="40" t="n"/>
      <c r="W1311" s="19">
        <f>IF($B1311="","",IF($V1311&lt;&gt;"",$V1311-$B1311,TODAY()-$B1311))</f>
        <v/>
      </c>
      <c r="X1311" s="19">
        <f>IF(OR($B1311="",$U1311=""),"",IF($V1311&lt;&gt;"",MAX(0,$V1311-$U1311),MAX(0,TODAY()-$U1311)))</f>
        <v/>
      </c>
      <c r="Y1311" s="39">
        <f>IF($C1311="","",IF(IFERROR(INDEX(LISTAS!$I$3:$I$42,MATCH($T1311,LISTAS!$H$3:$H$42,0)),"NO")="SÍ",IF(N($X1311)&gt;0,"CERRADA FUERA DE SLA","CERRADA EN SLA"),IF($U1311="","SIN CLASIFICAR",IF(N($X1311)&gt;0,"VENCIDA",IF(TODAY()&gt;=$U1311-1,"POR VENCER","EN PLAZO")))))</f>
        <v/>
      </c>
      <c r="Z1311" s="41" t="n"/>
      <c r="AA1311" s="41" t="n"/>
      <c r="AB1311" s="41" t="n"/>
    </row>
    <row r="1312">
      <c r="A1312" s="39">
        <f>IF($C1312="","","NOV-"&amp;TEXT(ROW()-3,"0000"))</f>
        <v/>
      </c>
      <c r="B1312" s="40" t="n"/>
      <c r="C1312" s="41" t="n"/>
      <c r="D1312" s="42">
        <f>IF($C1312="","",IFERROR(INDEX(DESPACHOS!$D$3:$D$3002,MATCH($C1312,DESPACHOS!$B$3:$B$3002,0)),"SIN DESPACHO"))</f>
        <v/>
      </c>
      <c r="E1312" s="42">
        <f>IF($C1312="","",IFERROR(INDEX(DESPACHOS!$K$3:$K$3002,MATCH($C1312,DESPACHOS!$B$3:$B$3002,0)),""))</f>
        <v/>
      </c>
      <c r="F1312" s="42">
        <f>IF($C1312="","",IFERROR(INDEX(DESPACHOS!$I$3:$I$3002,MATCH($C1312,DESPACHOS!$B$3:$B$3002,0)),""))</f>
        <v/>
      </c>
      <c r="G1312" s="42">
        <f>IF($C1312="","",IFERROR(INDEX(DESPACHOS!$F$3:$F$3002,MATCH($C1312,DESPACHOS!$B$3:$B$3002,0)),""))</f>
        <v/>
      </c>
      <c r="H1312" s="42">
        <f>IF($C1312="","",IFERROR(INDEX(DESPACHOS!$G$3:$G$3002,MATCH($C1312,DESPACHOS!$B$3:$B$3002,0)),""))</f>
        <v/>
      </c>
      <c r="I1312" s="39">
        <f>IF($C1312="","",IFERROR(INDEX(DESPACHOS!$H$3:$H$3002,MATCH($C1312,DESPACHOS!$B$3:$B$3002,0)),""))</f>
        <v/>
      </c>
      <c r="J1312" s="43">
        <f>IF($C1312="","",IFERROR(INDEX(DESPACHOS!$J$3:$J$3002,MATCH($C1312,DESPACHOS!$B$3:$B$3002,0)),""))</f>
        <v/>
      </c>
      <c r="K1312" s="39">
        <f>IF($C1312="","",IF(COUNTIFS(DESPACHOS!$B$3:$B$3002,$C1312)=0,"NO EXISTE",IF(COUNTIFS(DESPACHOS!$B$3:$B$3002,$C1312)&gt;1,"DUPLICADO","OK")))</f>
        <v/>
      </c>
      <c r="L1312" s="41" t="n"/>
      <c r="M1312" s="41" t="n"/>
      <c r="N1312" s="42">
        <f>IF($M1312="","",IFERROR(INDEX(LISTAS!$F$3:$F$42,MATCH($M1312,LISTAS!$E$3:$E$42,0)),"Por definir"))</f>
        <v/>
      </c>
      <c r="O1312" s="41" t="n"/>
      <c r="P1312" s="39">
        <f>IF($L1312="","",IFERROR(INDEX(LISTAS!$B$3:$B$42,MATCH($L1312,LISTAS!$A$3:$A$42,0)),"Media"))</f>
        <v/>
      </c>
      <c r="Q1312" s="44" t="n"/>
      <c r="R1312" s="45" t="n"/>
      <c r="S1312" s="20">
        <f>IFERROR(IF(OR($R1312="",$C1312=""),"",$R1312/INDEX(DESPACHOS!$M$3:$M$3002,MATCH($C1312,DESPACHOS!$B$3:$B$3002,0))),"")</f>
        <v/>
      </c>
      <c r="T1312" s="41" t="n"/>
      <c r="U1312" s="43">
        <f>IF(OR($B1312="",$L1312=""),"",WORKDAY($B1312,IFERROR(INDEX(LISTAS!$C$3:$C$42,MATCH($L1312,LISTAS!$A$3:$A$42,0)),3)))</f>
        <v/>
      </c>
      <c r="V1312" s="40" t="n"/>
      <c r="W1312" s="19">
        <f>IF($B1312="","",IF($V1312&lt;&gt;"",$V1312-$B1312,TODAY()-$B1312))</f>
        <v/>
      </c>
      <c r="X1312" s="19">
        <f>IF(OR($B1312="",$U1312=""),"",IF($V1312&lt;&gt;"",MAX(0,$V1312-$U1312),MAX(0,TODAY()-$U1312)))</f>
        <v/>
      </c>
      <c r="Y1312" s="39">
        <f>IF($C1312="","",IF(IFERROR(INDEX(LISTAS!$I$3:$I$42,MATCH($T1312,LISTAS!$H$3:$H$42,0)),"NO")="SÍ",IF(N($X1312)&gt;0,"CERRADA FUERA DE SLA","CERRADA EN SLA"),IF($U1312="","SIN CLASIFICAR",IF(N($X1312)&gt;0,"VENCIDA",IF(TODAY()&gt;=$U1312-1,"POR VENCER","EN PLAZO")))))</f>
        <v/>
      </c>
      <c r="Z1312" s="41" t="n"/>
      <c r="AA1312" s="41" t="n"/>
      <c r="AB1312" s="41" t="n"/>
    </row>
    <row r="1313">
      <c r="A1313" s="39">
        <f>IF($C1313="","","NOV-"&amp;TEXT(ROW()-3,"0000"))</f>
        <v/>
      </c>
      <c r="B1313" s="40" t="n"/>
      <c r="C1313" s="41" t="n"/>
      <c r="D1313" s="42">
        <f>IF($C1313="","",IFERROR(INDEX(DESPACHOS!$D$3:$D$3002,MATCH($C1313,DESPACHOS!$B$3:$B$3002,0)),"SIN DESPACHO"))</f>
        <v/>
      </c>
      <c r="E1313" s="42">
        <f>IF($C1313="","",IFERROR(INDEX(DESPACHOS!$K$3:$K$3002,MATCH($C1313,DESPACHOS!$B$3:$B$3002,0)),""))</f>
        <v/>
      </c>
      <c r="F1313" s="42">
        <f>IF($C1313="","",IFERROR(INDEX(DESPACHOS!$I$3:$I$3002,MATCH($C1313,DESPACHOS!$B$3:$B$3002,0)),""))</f>
        <v/>
      </c>
      <c r="G1313" s="42">
        <f>IF($C1313="","",IFERROR(INDEX(DESPACHOS!$F$3:$F$3002,MATCH($C1313,DESPACHOS!$B$3:$B$3002,0)),""))</f>
        <v/>
      </c>
      <c r="H1313" s="42">
        <f>IF($C1313="","",IFERROR(INDEX(DESPACHOS!$G$3:$G$3002,MATCH($C1313,DESPACHOS!$B$3:$B$3002,0)),""))</f>
        <v/>
      </c>
      <c r="I1313" s="39">
        <f>IF($C1313="","",IFERROR(INDEX(DESPACHOS!$H$3:$H$3002,MATCH($C1313,DESPACHOS!$B$3:$B$3002,0)),""))</f>
        <v/>
      </c>
      <c r="J1313" s="43">
        <f>IF($C1313="","",IFERROR(INDEX(DESPACHOS!$J$3:$J$3002,MATCH($C1313,DESPACHOS!$B$3:$B$3002,0)),""))</f>
        <v/>
      </c>
      <c r="K1313" s="39">
        <f>IF($C1313="","",IF(COUNTIFS(DESPACHOS!$B$3:$B$3002,$C1313)=0,"NO EXISTE",IF(COUNTIFS(DESPACHOS!$B$3:$B$3002,$C1313)&gt;1,"DUPLICADO","OK")))</f>
        <v/>
      </c>
      <c r="L1313" s="41" t="n"/>
      <c r="M1313" s="41" t="n"/>
      <c r="N1313" s="42">
        <f>IF($M1313="","",IFERROR(INDEX(LISTAS!$F$3:$F$42,MATCH($M1313,LISTAS!$E$3:$E$42,0)),"Por definir"))</f>
        <v/>
      </c>
      <c r="O1313" s="41" t="n"/>
      <c r="P1313" s="39">
        <f>IF($L1313="","",IFERROR(INDEX(LISTAS!$B$3:$B$42,MATCH($L1313,LISTAS!$A$3:$A$42,0)),"Media"))</f>
        <v/>
      </c>
      <c r="Q1313" s="44" t="n"/>
      <c r="R1313" s="45" t="n"/>
      <c r="S1313" s="20">
        <f>IFERROR(IF(OR($R1313="",$C1313=""),"",$R1313/INDEX(DESPACHOS!$M$3:$M$3002,MATCH($C1313,DESPACHOS!$B$3:$B$3002,0))),"")</f>
        <v/>
      </c>
      <c r="T1313" s="41" t="n"/>
      <c r="U1313" s="43">
        <f>IF(OR($B1313="",$L1313=""),"",WORKDAY($B1313,IFERROR(INDEX(LISTAS!$C$3:$C$42,MATCH($L1313,LISTAS!$A$3:$A$42,0)),3)))</f>
        <v/>
      </c>
      <c r="V1313" s="40" t="n"/>
      <c r="W1313" s="19">
        <f>IF($B1313="","",IF($V1313&lt;&gt;"",$V1313-$B1313,TODAY()-$B1313))</f>
        <v/>
      </c>
      <c r="X1313" s="19">
        <f>IF(OR($B1313="",$U1313=""),"",IF($V1313&lt;&gt;"",MAX(0,$V1313-$U1313),MAX(0,TODAY()-$U1313)))</f>
        <v/>
      </c>
      <c r="Y1313" s="39">
        <f>IF($C1313="","",IF(IFERROR(INDEX(LISTAS!$I$3:$I$42,MATCH($T1313,LISTAS!$H$3:$H$42,0)),"NO")="SÍ",IF(N($X1313)&gt;0,"CERRADA FUERA DE SLA","CERRADA EN SLA"),IF($U1313="","SIN CLASIFICAR",IF(N($X1313)&gt;0,"VENCIDA",IF(TODAY()&gt;=$U1313-1,"POR VENCER","EN PLAZO")))))</f>
        <v/>
      </c>
      <c r="Z1313" s="41" t="n"/>
      <c r="AA1313" s="41" t="n"/>
      <c r="AB1313" s="41" t="n"/>
    </row>
    <row r="1314">
      <c r="A1314" s="39">
        <f>IF($C1314="","","NOV-"&amp;TEXT(ROW()-3,"0000"))</f>
        <v/>
      </c>
      <c r="B1314" s="40" t="n"/>
      <c r="C1314" s="41" t="n"/>
      <c r="D1314" s="42">
        <f>IF($C1314="","",IFERROR(INDEX(DESPACHOS!$D$3:$D$3002,MATCH($C1314,DESPACHOS!$B$3:$B$3002,0)),"SIN DESPACHO"))</f>
        <v/>
      </c>
      <c r="E1314" s="42">
        <f>IF($C1314="","",IFERROR(INDEX(DESPACHOS!$K$3:$K$3002,MATCH($C1314,DESPACHOS!$B$3:$B$3002,0)),""))</f>
        <v/>
      </c>
      <c r="F1314" s="42">
        <f>IF($C1314="","",IFERROR(INDEX(DESPACHOS!$I$3:$I$3002,MATCH($C1314,DESPACHOS!$B$3:$B$3002,0)),""))</f>
        <v/>
      </c>
      <c r="G1314" s="42">
        <f>IF($C1314="","",IFERROR(INDEX(DESPACHOS!$F$3:$F$3002,MATCH($C1314,DESPACHOS!$B$3:$B$3002,0)),""))</f>
        <v/>
      </c>
      <c r="H1314" s="42">
        <f>IF($C1314="","",IFERROR(INDEX(DESPACHOS!$G$3:$G$3002,MATCH($C1314,DESPACHOS!$B$3:$B$3002,0)),""))</f>
        <v/>
      </c>
      <c r="I1314" s="39">
        <f>IF($C1314="","",IFERROR(INDEX(DESPACHOS!$H$3:$H$3002,MATCH($C1314,DESPACHOS!$B$3:$B$3002,0)),""))</f>
        <v/>
      </c>
      <c r="J1314" s="43">
        <f>IF($C1314="","",IFERROR(INDEX(DESPACHOS!$J$3:$J$3002,MATCH($C1314,DESPACHOS!$B$3:$B$3002,0)),""))</f>
        <v/>
      </c>
      <c r="K1314" s="39">
        <f>IF($C1314="","",IF(COUNTIFS(DESPACHOS!$B$3:$B$3002,$C1314)=0,"NO EXISTE",IF(COUNTIFS(DESPACHOS!$B$3:$B$3002,$C1314)&gt;1,"DUPLICADO","OK")))</f>
        <v/>
      </c>
      <c r="L1314" s="41" t="n"/>
      <c r="M1314" s="41" t="n"/>
      <c r="N1314" s="42">
        <f>IF($M1314="","",IFERROR(INDEX(LISTAS!$F$3:$F$42,MATCH($M1314,LISTAS!$E$3:$E$42,0)),"Por definir"))</f>
        <v/>
      </c>
      <c r="O1314" s="41" t="n"/>
      <c r="P1314" s="39">
        <f>IF($L1314="","",IFERROR(INDEX(LISTAS!$B$3:$B$42,MATCH($L1314,LISTAS!$A$3:$A$42,0)),"Media"))</f>
        <v/>
      </c>
      <c r="Q1314" s="44" t="n"/>
      <c r="R1314" s="45" t="n"/>
      <c r="S1314" s="20">
        <f>IFERROR(IF(OR($R1314="",$C1314=""),"",$R1314/INDEX(DESPACHOS!$M$3:$M$3002,MATCH($C1314,DESPACHOS!$B$3:$B$3002,0))),"")</f>
        <v/>
      </c>
      <c r="T1314" s="41" t="n"/>
      <c r="U1314" s="43">
        <f>IF(OR($B1314="",$L1314=""),"",WORKDAY($B1314,IFERROR(INDEX(LISTAS!$C$3:$C$42,MATCH($L1314,LISTAS!$A$3:$A$42,0)),3)))</f>
        <v/>
      </c>
      <c r="V1314" s="40" t="n"/>
      <c r="W1314" s="19">
        <f>IF($B1314="","",IF($V1314&lt;&gt;"",$V1314-$B1314,TODAY()-$B1314))</f>
        <v/>
      </c>
      <c r="X1314" s="19">
        <f>IF(OR($B1314="",$U1314=""),"",IF($V1314&lt;&gt;"",MAX(0,$V1314-$U1314),MAX(0,TODAY()-$U1314)))</f>
        <v/>
      </c>
      <c r="Y1314" s="39">
        <f>IF($C1314="","",IF(IFERROR(INDEX(LISTAS!$I$3:$I$42,MATCH($T1314,LISTAS!$H$3:$H$42,0)),"NO")="SÍ",IF(N($X1314)&gt;0,"CERRADA FUERA DE SLA","CERRADA EN SLA"),IF($U1314="","SIN CLASIFICAR",IF(N($X1314)&gt;0,"VENCIDA",IF(TODAY()&gt;=$U1314-1,"POR VENCER","EN PLAZO")))))</f>
        <v/>
      </c>
      <c r="Z1314" s="41" t="n"/>
      <c r="AA1314" s="41" t="n"/>
      <c r="AB1314" s="41" t="n"/>
    </row>
    <row r="1315">
      <c r="A1315" s="39">
        <f>IF($C1315="","","NOV-"&amp;TEXT(ROW()-3,"0000"))</f>
        <v/>
      </c>
      <c r="B1315" s="40" t="n"/>
      <c r="C1315" s="41" t="n"/>
      <c r="D1315" s="42">
        <f>IF($C1315="","",IFERROR(INDEX(DESPACHOS!$D$3:$D$3002,MATCH($C1315,DESPACHOS!$B$3:$B$3002,0)),"SIN DESPACHO"))</f>
        <v/>
      </c>
      <c r="E1315" s="42">
        <f>IF($C1315="","",IFERROR(INDEX(DESPACHOS!$K$3:$K$3002,MATCH($C1315,DESPACHOS!$B$3:$B$3002,0)),""))</f>
        <v/>
      </c>
      <c r="F1315" s="42">
        <f>IF($C1315="","",IFERROR(INDEX(DESPACHOS!$I$3:$I$3002,MATCH($C1315,DESPACHOS!$B$3:$B$3002,0)),""))</f>
        <v/>
      </c>
      <c r="G1315" s="42">
        <f>IF($C1315="","",IFERROR(INDEX(DESPACHOS!$F$3:$F$3002,MATCH($C1315,DESPACHOS!$B$3:$B$3002,0)),""))</f>
        <v/>
      </c>
      <c r="H1315" s="42">
        <f>IF($C1315="","",IFERROR(INDEX(DESPACHOS!$G$3:$G$3002,MATCH($C1315,DESPACHOS!$B$3:$B$3002,0)),""))</f>
        <v/>
      </c>
      <c r="I1315" s="39">
        <f>IF($C1315="","",IFERROR(INDEX(DESPACHOS!$H$3:$H$3002,MATCH($C1315,DESPACHOS!$B$3:$B$3002,0)),""))</f>
        <v/>
      </c>
      <c r="J1315" s="43">
        <f>IF($C1315="","",IFERROR(INDEX(DESPACHOS!$J$3:$J$3002,MATCH($C1315,DESPACHOS!$B$3:$B$3002,0)),""))</f>
        <v/>
      </c>
      <c r="K1315" s="39">
        <f>IF($C1315="","",IF(COUNTIFS(DESPACHOS!$B$3:$B$3002,$C1315)=0,"NO EXISTE",IF(COUNTIFS(DESPACHOS!$B$3:$B$3002,$C1315)&gt;1,"DUPLICADO","OK")))</f>
        <v/>
      </c>
      <c r="L1315" s="41" t="n"/>
      <c r="M1315" s="41" t="n"/>
      <c r="N1315" s="42">
        <f>IF($M1315="","",IFERROR(INDEX(LISTAS!$F$3:$F$42,MATCH($M1315,LISTAS!$E$3:$E$42,0)),"Por definir"))</f>
        <v/>
      </c>
      <c r="O1315" s="41" t="n"/>
      <c r="P1315" s="39">
        <f>IF($L1315="","",IFERROR(INDEX(LISTAS!$B$3:$B$42,MATCH($L1315,LISTAS!$A$3:$A$42,0)),"Media"))</f>
        <v/>
      </c>
      <c r="Q1315" s="44" t="n"/>
      <c r="R1315" s="45" t="n"/>
      <c r="S1315" s="20">
        <f>IFERROR(IF(OR($R1315="",$C1315=""),"",$R1315/INDEX(DESPACHOS!$M$3:$M$3002,MATCH($C1315,DESPACHOS!$B$3:$B$3002,0))),"")</f>
        <v/>
      </c>
      <c r="T1315" s="41" t="n"/>
      <c r="U1315" s="43">
        <f>IF(OR($B1315="",$L1315=""),"",WORKDAY($B1315,IFERROR(INDEX(LISTAS!$C$3:$C$42,MATCH($L1315,LISTAS!$A$3:$A$42,0)),3)))</f>
        <v/>
      </c>
      <c r="V1315" s="40" t="n"/>
      <c r="W1315" s="19">
        <f>IF($B1315="","",IF($V1315&lt;&gt;"",$V1315-$B1315,TODAY()-$B1315))</f>
        <v/>
      </c>
      <c r="X1315" s="19">
        <f>IF(OR($B1315="",$U1315=""),"",IF($V1315&lt;&gt;"",MAX(0,$V1315-$U1315),MAX(0,TODAY()-$U1315)))</f>
        <v/>
      </c>
      <c r="Y1315" s="39">
        <f>IF($C1315="","",IF(IFERROR(INDEX(LISTAS!$I$3:$I$42,MATCH($T1315,LISTAS!$H$3:$H$42,0)),"NO")="SÍ",IF(N($X1315)&gt;0,"CERRADA FUERA DE SLA","CERRADA EN SLA"),IF($U1315="","SIN CLASIFICAR",IF(N($X1315)&gt;0,"VENCIDA",IF(TODAY()&gt;=$U1315-1,"POR VENCER","EN PLAZO")))))</f>
        <v/>
      </c>
      <c r="Z1315" s="41" t="n"/>
      <c r="AA1315" s="41" t="n"/>
      <c r="AB1315" s="41" t="n"/>
    </row>
    <row r="1316">
      <c r="A1316" s="39">
        <f>IF($C1316="","","NOV-"&amp;TEXT(ROW()-3,"0000"))</f>
        <v/>
      </c>
      <c r="B1316" s="40" t="n"/>
      <c r="C1316" s="41" t="n"/>
      <c r="D1316" s="42">
        <f>IF($C1316="","",IFERROR(INDEX(DESPACHOS!$D$3:$D$3002,MATCH($C1316,DESPACHOS!$B$3:$B$3002,0)),"SIN DESPACHO"))</f>
        <v/>
      </c>
      <c r="E1316" s="42">
        <f>IF($C1316="","",IFERROR(INDEX(DESPACHOS!$K$3:$K$3002,MATCH($C1316,DESPACHOS!$B$3:$B$3002,0)),""))</f>
        <v/>
      </c>
      <c r="F1316" s="42">
        <f>IF($C1316="","",IFERROR(INDEX(DESPACHOS!$I$3:$I$3002,MATCH($C1316,DESPACHOS!$B$3:$B$3002,0)),""))</f>
        <v/>
      </c>
      <c r="G1316" s="42">
        <f>IF($C1316="","",IFERROR(INDEX(DESPACHOS!$F$3:$F$3002,MATCH($C1316,DESPACHOS!$B$3:$B$3002,0)),""))</f>
        <v/>
      </c>
      <c r="H1316" s="42">
        <f>IF($C1316="","",IFERROR(INDEX(DESPACHOS!$G$3:$G$3002,MATCH($C1316,DESPACHOS!$B$3:$B$3002,0)),""))</f>
        <v/>
      </c>
      <c r="I1316" s="39">
        <f>IF($C1316="","",IFERROR(INDEX(DESPACHOS!$H$3:$H$3002,MATCH($C1316,DESPACHOS!$B$3:$B$3002,0)),""))</f>
        <v/>
      </c>
      <c r="J1316" s="43">
        <f>IF($C1316="","",IFERROR(INDEX(DESPACHOS!$J$3:$J$3002,MATCH($C1316,DESPACHOS!$B$3:$B$3002,0)),""))</f>
        <v/>
      </c>
      <c r="K1316" s="39">
        <f>IF($C1316="","",IF(COUNTIFS(DESPACHOS!$B$3:$B$3002,$C1316)=0,"NO EXISTE",IF(COUNTIFS(DESPACHOS!$B$3:$B$3002,$C1316)&gt;1,"DUPLICADO","OK")))</f>
        <v/>
      </c>
      <c r="L1316" s="41" t="n"/>
      <c r="M1316" s="41" t="n"/>
      <c r="N1316" s="42">
        <f>IF($M1316="","",IFERROR(INDEX(LISTAS!$F$3:$F$42,MATCH($M1316,LISTAS!$E$3:$E$42,0)),"Por definir"))</f>
        <v/>
      </c>
      <c r="O1316" s="41" t="n"/>
      <c r="P1316" s="39">
        <f>IF($L1316="","",IFERROR(INDEX(LISTAS!$B$3:$B$42,MATCH($L1316,LISTAS!$A$3:$A$42,0)),"Media"))</f>
        <v/>
      </c>
      <c r="Q1316" s="44" t="n"/>
      <c r="R1316" s="45" t="n"/>
      <c r="S1316" s="20">
        <f>IFERROR(IF(OR($R1316="",$C1316=""),"",$R1316/INDEX(DESPACHOS!$M$3:$M$3002,MATCH($C1316,DESPACHOS!$B$3:$B$3002,0))),"")</f>
        <v/>
      </c>
      <c r="T1316" s="41" t="n"/>
      <c r="U1316" s="43">
        <f>IF(OR($B1316="",$L1316=""),"",WORKDAY($B1316,IFERROR(INDEX(LISTAS!$C$3:$C$42,MATCH($L1316,LISTAS!$A$3:$A$42,0)),3)))</f>
        <v/>
      </c>
      <c r="V1316" s="40" t="n"/>
      <c r="W1316" s="19">
        <f>IF($B1316="","",IF($V1316&lt;&gt;"",$V1316-$B1316,TODAY()-$B1316))</f>
        <v/>
      </c>
      <c r="X1316" s="19">
        <f>IF(OR($B1316="",$U1316=""),"",IF($V1316&lt;&gt;"",MAX(0,$V1316-$U1316),MAX(0,TODAY()-$U1316)))</f>
        <v/>
      </c>
      <c r="Y1316" s="39">
        <f>IF($C1316="","",IF(IFERROR(INDEX(LISTAS!$I$3:$I$42,MATCH($T1316,LISTAS!$H$3:$H$42,0)),"NO")="SÍ",IF(N($X1316)&gt;0,"CERRADA FUERA DE SLA","CERRADA EN SLA"),IF($U1316="","SIN CLASIFICAR",IF(N($X1316)&gt;0,"VENCIDA",IF(TODAY()&gt;=$U1316-1,"POR VENCER","EN PLAZO")))))</f>
        <v/>
      </c>
      <c r="Z1316" s="41" t="n"/>
      <c r="AA1316" s="41" t="n"/>
      <c r="AB1316" s="41" t="n"/>
    </row>
    <row r="1317">
      <c r="A1317" s="39">
        <f>IF($C1317="","","NOV-"&amp;TEXT(ROW()-3,"0000"))</f>
        <v/>
      </c>
      <c r="B1317" s="40" t="n"/>
      <c r="C1317" s="41" t="n"/>
      <c r="D1317" s="42">
        <f>IF($C1317="","",IFERROR(INDEX(DESPACHOS!$D$3:$D$3002,MATCH($C1317,DESPACHOS!$B$3:$B$3002,0)),"SIN DESPACHO"))</f>
        <v/>
      </c>
      <c r="E1317" s="42">
        <f>IF($C1317="","",IFERROR(INDEX(DESPACHOS!$K$3:$K$3002,MATCH($C1317,DESPACHOS!$B$3:$B$3002,0)),""))</f>
        <v/>
      </c>
      <c r="F1317" s="42">
        <f>IF($C1317="","",IFERROR(INDEX(DESPACHOS!$I$3:$I$3002,MATCH($C1317,DESPACHOS!$B$3:$B$3002,0)),""))</f>
        <v/>
      </c>
      <c r="G1317" s="42">
        <f>IF($C1317="","",IFERROR(INDEX(DESPACHOS!$F$3:$F$3002,MATCH($C1317,DESPACHOS!$B$3:$B$3002,0)),""))</f>
        <v/>
      </c>
      <c r="H1317" s="42">
        <f>IF($C1317="","",IFERROR(INDEX(DESPACHOS!$G$3:$G$3002,MATCH($C1317,DESPACHOS!$B$3:$B$3002,0)),""))</f>
        <v/>
      </c>
      <c r="I1317" s="39">
        <f>IF($C1317="","",IFERROR(INDEX(DESPACHOS!$H$3:$H$3002,MATCH($C1317,DESPACHOS!$B$3:$B$3002,0)),""))</f>
        <v/>
      </c>
      <c r="J1317" s="43">
        <f>IF($C1317="","",IFERROR(INDEX(DESPACHOS!$J$3:$J$3002,MATCH($C1317,DESPACHOS!$B$3:$B$3002,0)),""))</f>
        <v/>
      </c>
      <c r="K1317" s="39">
        <f>IF($C1317="","",IF(COUNTIFS(DESPACHOS!$B$3:$B$3002,$C1317)=0,"NO EXISTE",IF(COUNTIFS(DESPACHOS!$B$3:$B$3002,$C1317)&gt;1,"DUPLICADO","OK")))</f>
        <v/>
      </c>
      <c r="L1317" s="41" t="n"/>
      <c r="M1317" s="41" t="n"/>
      <c r="N1317" s="42">
        <f>IF($M1317="","",IFERROR(INDEX(LISTAS!$F$3:$F$42,MATCH($M1317,LISTAS!$E$3:$E$42,0)),"Por definir"))</f>
        <v/>
      </c>
      <c r="O1317" s="41" t="n"/>
      <c r="P1317" s="39">
        <f>IF($L1317="","",IFERROR(INDEX(LISTAS!$B$3:$B$42,MATCH($L1317,LISTAS!$A$3:$A$42,0)),"Media"))</f>
        <v/>
      </c>
      <c r="Q1317" s="44" t="n"/>
      <c r="R1317" s="45" t="n"/>
      <c r="S1317" s="20">
        <f>IFERROR(IF(OR($R1317="",$C1317=""),"",$R1317/INDEX(DESPACHOS!$M$3:$M$3002,MATCH($C1317,DESPACHOS!$B$3:$B$3002,0))),"")</f>
        <v/>
      </c>
      <c r="T1317" s="41" t="n"/>
      <c r="U1317" s="43">
        <f>IF(OR($B1317="",$L1317=""),"",WORKDAY($B1317,IFERROR(INDEX(LISTAS!$C$3:$C$42,MATCH($L1317,LISTAS!$A$3:$A$42,0)),3)))</f>
        <v/>
      </c>
      <c r="V1317" s="40" t="n"/>
      <c r="W1317" s="19">
        <f>IF($B1317="","",IF($V1317&lt;&gt;"",$V1317-$B1317,TODAY()-$B1317))</f>
        <v/>
      </c>
      <c r="X1317" s="19">
        <f>IF(OR($B1317="",$U1317=""),"",IF($V1317&lt;&gt;"",MAX(0,$V1317-$U1317),MAX(0,TODAY()-$U1317)))</f>
        <v/>
      </c>
      <c r="Y1317" s="39">
        <f>IF($C1317="","",IF(IFERROR(INDEX(LISTAS!$I$3:$I$42,MATCH($T1317,LISTAS!$H$3:$H$42,0)),"NO")="SÍ",IF(N($X1317)&gt;0,"CERRADA FUERA DE SLA","CERRADA EN SLA"),IF($U1317="","SIN CLASIFICAR",IF(N($X1317)&gt;0,"VENCIDA",IF(TODAY()&gt;=$U1317-1,"POR VENCER","EN PLAZO")))))</f>
        <v/>
      </c>
      <c r="Z1317" s="41" t="n"/>
      <c r="AA1317" s="41" t="n"/>
      <c r="AB1317" s="41" t="n"/>
    </row>
    <row r="1318">
      <c r="A1318" s="39">
        <f>IF($C1318="","","NOV-"&amp;TEXT(ROW()-3,"0000"))</f>
        <v/>
      </c>
      <c r="B1318" s="40" t="n"/>
      <c r="C1318" s="41" t="n"/>
      <c r="D1318" s="42">
        <f>IF($C1318="","",IFERROR(INDEX(DESPACHOS!$D$3:$D$3002,MATCH($C1318,DESPACHOS!$B$3:$B$3002,0)),"SIN DESPACHO"))</f>
        <v/>
      </c>
      <c r="E1318" s="42">
        <f>IF($C1318="","",IFERROR(INDEX(DESPACHOS!$K$3:$K$3002,MATCH($C1318,DESPACHOS!$B$3:$B$3002,0)),""))</f>
        <v/>
      </c>
      <c r="F1318" s="42">
        <f>IF($C1318="","",IFERROR(INDEX(DESPACHOS!$I$3:$I$3002,MATCH($C1318,DESPACHOS!$B$3:$B$3002,0)),""))</f>
        <v/>
      </c>
      <c r="G1318" s="42">
        <f>IF($C1318="","",IFERROR(INDEX(DESPACHOS!$F$3:$F$3002,MATCH($C1318,DESPACHOS!$B$3:$B$3002,0)),""))</f>
        <v/>
      </c>
      <c r="H1318" s="42">
        <f>IF($C1318="","",IFERROR(INDEX(DESPACHOS!$G$3:$G$3002,MATCH($C1318,DESPACHOS!$B$3:$B$3002,0)),""))</f>
        <v/>
      </c>
      <c r="I1318" s="39">
        <f>IF($C1318="","",IFERROR(INDEX(DESPACHOS!$H$3:$H$3002,MATCH($C1318,DESPACHOS!$B$3:$B$3002,0)),""))</f>
        <v/>
      </c>
      <c r="J1318" s="43">
        <f>IF($C1318="","",IFERROR(INDEX(DESPACHOS!$J$3:$J$3002,MATCH($C1318,DESPACHOS!$B$3:$B$3002,0)),""))</f>
        <v/>
      </c>
      <c r="K1318" s="39">
        <f>IF($C1318="","",IF(COUNTIFS(DESPACHOS!$B$3:$B$3002,$C1318)=0,"NO EXISTE",IF(COUNTIFS(DESPACHOS!$B$3:$B$3002,$C1318)&gt;1,"DUPLICADO","OK")))</f>
        <v/>
      </c>
      <c r="L1318" s="41" t="n"/>
      <c r="M1318" s="41" t="n"/>
      <c r="N1318" s="42">
        <f>IF($M1318="","",IFERROR(INDEX(LISTAS!$F$3:$F$42,MATCH($M1318,LISTAS!$E$3:$E$42,0)),"Por definir"))</f>
        <v/>
      </c>
      <c r="O1318" s="41" t="n"/>
      <c r="P1318" s="39">
        <f>IF($L1318="","",IFERROR(INDEX(LISTAS!$B$3:$B$42,MATCH($L1318,LISTAS!$A$3:$A$42,0)),"Media"))</f>
        <v/>
      </c>
      <c r="Q1318" s="44" t="n"/>
      <c r="R1318" s="45" t="n"/>
      <c r="S1318" s="20">
        <f>IFERROR(IF(OR($R1318="",$C1318=""),"",$R1318/INDEX(DESPACHOS!$M$3:$M$3002,MATCH($C1318,DESPACHOS!$B$3:$B$3002,0))),"")</f>
        <v/>
      </c>
      <c r="T1318" s="41" t="n"/>
      <c r="U1318" s="43">
        <f>IF(OR($B1318="",$L1318=""),"",WORKDAY($B1318,IFERROR(INDEX(LISTAS!$C$3:$C$42,MATCH($L1318,LISTAS!$A$3:$A$42,0)),3)))</f>
        <v/>
      </c>
      <c r="V1318" s="40" t="n"/>
      <c r="W1318" s="19">
        <f>IF($B1318="","",IF($V1318&lt;&gt;"",$V1318-$B1318,TODAY()-$B1318))</f>
        <v/>
      </c>
      <c r="X1318" s="19">
        <f>IF(OR($B1318="",$U1318=""),"",IF($V1318&lt;&gt;"",MAX(0,$V1318-$U1318),MAX(0,TODAY()-$U1318)))</f>
        <v/>
      </c>
      <c r="Y1318" s="39">
        <f>IF($C1318="","",IF(IFERROR(INDEX(LISTAS!$I$3:$I$42,MATCH($T1318,LISTAS!$H$3:$H$42,0)),"NO")="SÍ",IF(N($X1318)&gt;0,"CERRADA FUERA DE SLA","CERRADA EN SLA"),IF($U1318="","SIN CLASIFICAR",IF(N($X1318)&gt;0,"VENCIDA",IF(TODAY()&gt;=$U1318-1,"POR VENCER","EN PLAZO")))))</f>
        <v/>
      </c>
      <c r="Z1318" s="41" t="n"/>
      <c r="AA1318" s="41" t="n"/>
      <c r="AB1318" s="41" t="n"/>
    </row>
    <row r="1319">
      <c r="A1319" s="39">
        <f>IF($C1319="","","NOV-"&amp;TEXT(ROW()-3,"0000"))</f>
        <v/>
      </c>
      <c r="B1319" s="40" t="n"/>
      <c r="C1319" s="41" t="n"/>
      <c r="D1319" s="42">
        <f>IF($C1319="","",IFERROR(INDEX(DESPACHOS!$D$3:$D$3002,MATCH($C1319,DESPACHOS!$B$3:$B$3002,0)),"SIN DESPACHO"))</f>
        <v/>
      </c>
      <c r="E1319" s="42">
        <f>IF($C1319="","",IFERROR(INDEX(DESPACHOS!$K$3:$K$3002,MATCH($C1319,DESPACHOS!$B$3:$B$3002,0)),""))</f>
        <v/>
      </c>
      <c r="F1319" s="42">
        <f>IF($C1319="","",IFERROR(INDEX(DESPACHOS!$I$3:$I$3002,MATCH($C1319,DESPACHOS!$B$3:$B$3002,0)),""))</f>
        <v/>
      </c>
      <c r="G1319" s="42">
        <f>IF($C1319="","",IFERROR(INDEX(DESPACHOS!$F$3:$F$3002,MATCH($C1319,DESPACHOS!$B$3:$B$3002,0)),""))</f>
        <v/>
      </c>
      <c r="H1319" s="42">
        <f>IF($C1319="","",IFERROR(INDEX(DESPACHOS!$G$3:$G$3002,MATCH($C1319,DESPACHOS!$B$3:$B$3002,0)),""))</f>
        <v/>
      </c>
      <c r="I1319" s="39">
        <f>IF($C1319="","",IFERROR(INDEX(DESPACHOS!$H$3:$H$3002,MATCH($C1319,DESPACHOS!$B$3:$B$3002,0)),""))</f>
        <v/>
      </c>
      <c r="J1319" s="43">
        <f>IF($C1319="","",IFERROR(INDEX(DESPACHOS!$J$3:$J$3002,MATCH($C1319,DESPACHOS!$B$3:$B$3002,0)),""))</f>
        <v/>
      </c>
      <c r="K1319" s="39">
        <f>IF($C1319="","",IF(COUNTIFS(DESPACHOS!$B$3:$B$3002,$C1319)=0,"NO EXISTE",IF(COUNTIFS(DESPACHOS!$B$3:$B$3002,$C1319)&gt;1,"DUPLICADO","OK")))</f>
        <v/>
      </c>
      <c r="L1319" s="41" t="n"/>
      <c r="M1319" s="41" t="n"/>
      <c r="N1319" s="42">
        <f>IF($M1319="","",IFERROR(INDEX(LISTAS!$F$3:$F$42,MATCH($M1319,LISTAS!$E$3:$E$42,0)),"Por definir"))</f>
        <v/>
      </c>
      <c r="O1319" s="41" t="n"/>
      <c r="P1319" s="39">
        <f>IF($L1319="","",IFERROR(INDEX(LISTAS!$B$3:$B$42,MATCH($L1319,LISTAS!$A$3:$A$42,0)),"Media"))</f>
        <v/>
      </c>
      <c r="Q1319" s="44" t="n"/>
      <c r="R1319" s="45" t="n"/>
      <c r="S1319" s="20">
        <f>IFERROR(IF(OR($R1319="",$C1319=""),"",$R1319/INDEX(DESPACHOS!$M$3:$M$3002,MATCH($C1319,DESPACHOS!$B$3:$B$3002,0))),"")</f>
        <v/>
      </c>
      <c r="T1319" s="41" t="n"/>
      <c r="U1319" s="43">
        <f>IF(OR($B1319="",$L1319=""),"",WORKDAY($B1319,IFERROR(INDEX(LISTAS!$C$3:$C$42,MATCH($L1319,LISTAS!$A$3:$A$42,0)),3)))</f>
        <v/>
      </c>
      <c r="V1319" s="40" t="n"/>
      <c r="W1319" s="19">
        <f>IF($B1319="","",IF($V1319&lt;&gt;"",$V1319-$B1319,TODAY()-$B1319))</f>
        <v/>
      </c>
      <c r="X1319" s="19">
        <f>IF(OR($B1319="",$U1319=""),"",IF($V1319&lt;&gt;"",MAX(0,$V1319-$U1319),MAX(0,TODAY()-$U1319)))</f>
        <v/>
      </c>
      <c r="Y1319" s="39">
        <f>IF($C1319="","",IF(IFERROR(INDEX(LISTAS!$I$3:$I$42,MATCH($T1319,LISTAS!$H$3:$H$42,0)),"NO")="SÍ",IF(N($X1319)&gt;0,"CERRADA FUERA DE SLA","CERRADA EN SLA"),IF($U1319="","SIN CLASIFICAR",IF(N($X1319)&gt;0,"VENCIDA",IF(TODAY()&gt;=$U1319-1,"POR VENCER","EN PLAZO")))))</f>
        <v/>
      </c>
      <c r="Z1319" s="41" t="n"/>
      <c r="AA1319" s="41" t="n"/>
      <c r="AB1319" s="41" t="n"/>
    </row>
    <row r="1320">
      <c r="A1320" s="39">
        <f>IF($C1320="","","NOV-"&amp;TEXT(ROW()-3,"0000"))</f>
        <v/>
      </c>
      <c r="B1320" s="40" t="n"/>
      <c r="C1320" s="41" t="n"/>
      <c r="D1320" s="42">
        <f>IF($C1320="","",IFERROR(INDEX(DESPACHOS!$D$3:$D$3002,MATCH($C1320,DESPACHOS!$B$3:$B$3002,0)),"SIN DESPACHO"))</f>
        <v/>
      </c>
      <c r="E1320" s="42">
        <f>IF($C1320="","",IFERROR(INDEX(DESPACHOS!$K$3:$K$3002,MATCH($C1320,DESPACHOS!$B$3:$B$3002,0)),""))</f>
        <v/>
      </c>
      <c r="F1320" s="42">
        <f>IF($C1320="","",IFERROR(INDEX(DESPACHOS!$I$3:$I$3002,MATCH($C1320,DESPACHOS!$B$3:$B$3002,0)),""))</f>
        <v/>
      </c>
      <c r="G1320" s="42">
        <f>IF($C1320="","",IFERROR(INDEX(DESPACHOS!$F$3:$F$3002,MATCH($C1320,DESPACHOS!$B$3:$B$3002,0)),""))</f>
        <v/>
      </c>
      <c r="H1320" s="42">
        <f>IF($C1320="","",IFERROR(INDEX(DESPACHOS!$G$3:$G$3002,MATCH($C1320,DESPACHOS!$B$3:$B$3002,0)),""))</f>
        <v/>
      </c>
      <c r="I1320" s="39">
        <f>IF($C1320="","",IFERROR(INDEX(DESPACHOS!$H$3:$H$3002,MATCH($C1320,DESPACHOS!$B$3:$B$3002,0)),""))</f>
        <v/>
      </c>
      <c r="J1320" s="43">
        <f>IF($C1320="","",IFERROR(INDEX(DESPACHOS!$J$3:$J$3002,MATCH($C1320,DESPACHOS!$B$3:$B$3002,0)),""))</f>
        <v/>
      </c>
      <c r="K1320" s="39">
        <f>IF($C1320="","",IF(COUNTIFS(DESPACHOS!$B$3:$B$3002,$C1320)=0,"NO EXISTE",IF(COUNTIFS(DESPACHOS!$B$3:$B$3002,$C1320)&gt;1,"DUPLICADO","OK")))</f>
        <v/>
      </c>
      <c r="L1320" s="41" t="n"/>
      <c r="M1320" s="41" t="n"/>
      <c r="N1320" s="42">
        <f>IF($M1320="","",IFERROR(INDEX(LISTAS!$F$3:$F$42,MATCH($M1320,LISTAS!$E$3:$E$42,0)),"Por definir"))</f>
        <v/>
      </c>
      <c r="O1320" s="41" t="n"/>
      <c r="P1320" s="39">
        <f>IF($L1320="","",IFERROR(INDEX(LISTAS!$B$3:$B$42,MATCH($L1320,LISTAS!$A$3:$A$42,0)),"Media"))</f>
        <v/>
      </c>
      <c r="Q1320" s="44" t="n"/>
      <c r="R1320" s="45" t="n"/>
      <c r="S1320" s="20">
        <f>IFERROR(IF(OR($R1320="",$C1320=""),"",$R1320/INDEX(DESPACHOS!$M$3:$M$3002,MATCH($C1320,DESPACHOS!$B$3:$B$3002,0))),"")</f>
        <v/>
      </c>
      <c r="T1320" s="41" t="n"/>
      <c r="U1320" s="43">
        <f>IF(OR($B1320="",$L1320=""),"",WORKDAY($B1320,IFERROR(INDEX(LISTAS!$C$3:$C$42,MATCH($L1320,LISTAS!$A$3:$A$42,0)),3)))</f>
        <v/>
      </c>
      <c r="V1320" s="40" t="n"/>
      <c r="W1320" s="19">
        <f>IF($B1320="","",IF($V1320&lt;&gt;"",$V1320-$B1320,TODAY()-$B1320))</f>
        <v/>
      </c>
      <c r="X1320" s="19">
        <f>IF(OR($B1320="",$U1320=""),"",IF($V1320&lt;&gt;"",MAX(0,$V1320-$U1320),MAX(0,TODAY()-$U1320)))</f>
        <v/>
      </c>
      <c r="Y1320" s="39">
        <f>IF($C1320="","",IF(IFERROR(INDEX(LISTAS!$I$3:$I$42,MATCH($T1320,LISTAS!$H$3:$H$42,0)),"NO")="SÍ",IF(N($X1320)&gt;0,"CERRADA FUERA DE SLA","CERRADA EN SLA"),IF($U1320="","SIN CLASIFICAR",IF(N($X1320)&gt;0,"VENCIDA",IF(TODAY()&gt;=$U1320-1,"POR VENCER","EN PLAZO")))))</f>
        <v/>
      </c>
      <c r="Z1320" s="41" t="n"/>
      <c r="AA1320" s="41" t="n"/>
      <c r="AB1320" s="41" t="n"/>
    </row>
    <row r="1321">
      <c r="A1321" s="39">
        <f>IF($C1321="","","NOV-"&amp;TEXT(ROW()-3,"0000"))</f>
        <v/>
      </c>
      <c r="B1321" s="40" t="n"/>
      <c r="C1321" s="41" t="n"/>
      <c r="D1321" s="42">
        <f>IF($C1321="","",IFERROR(INDEX(DESPACHOS!$D$3:$D$3002,MATCH($C1321,DESPACHOS!$B$3:$B$3002,0)),"SIN DESPACHO"))</f>
        <v/>
      </c>
      <c r="E1321" s="42">
        <f>IF($C1321="","",IFERROR(INDEX(DESPACHOS!$K$3:$K$3002,MATCH($C1321,DESPACHOS!$B$3:$B$3002,0)),""))</f>
        <v/>
      </c>
      <c r="F1321" s="42">
        <f>IF($C1321="","",IFERROR(INDEX(DESPACHOS!$I$3:$I$3002,MATCH($C1321,DESPACHOS!$B$3:$B$3002,0)),""))</f>
        <v/>
      </c>
      <c r="G1321" s="42">
        <f>IF($C1321="","",IFERROR(INDEX(DESPACHOS!$F$3:$F$3002,MATCH($C1321,DESPACHOS!$B$3:$B$3002,0)),""))</f>
        <v/>
      </c>
      <c r="H1321" s="42">
        <f>IF($C1321="","",IFERROR(INDEX(DESPACHOS!$G$3:$G$3002,MATCH($C1321,DESPACHOS!$B$3:$B$3002,0)),""))</f>
        <v/>
      </c>
      <c r="I1321" s="39">
        <f>IF($C1321="","",IFERROR(INDEX(DESPACHOS!$H$3:$H$3002,MATCH($C1321,DESPACHOS!$B$3:$B$3002,0)),""))</f>
        <v/>
      </c>
      <c r="J1321" s="43">
        <f>IF($C1321="","",IFERROR(INDEX(DESPACHOS!$J$3:$J$3002,MATCH($C1321,DESPACHOS!$B$3:$B$3002,0)),""))</f>
        <v/>
      </c>
      <c r="K1321" s="39">
        <f>IF($C1321="","",IF(COUNTIFS(DESPACHOS!$B$3:$B$3002,$C1321)=0,"NO EXISTE",IF(COUNTIFS(DESPACHOS!$B$3:$B$3002,$C1321)&gt;1,"DUPLICADO","OK")))</f>
        <v/>
      </c>
      <c r="L1321" s="41" t="n"/>
      <c r="M1321" s="41" t="n"/>
      <c r="N1321" s="42">
        <f>IF($M1321="","",IFERROR(INDEX(LISTAS!$F$3:$F$42,MATCH($M1321,LISTAS!$E$3:$E$42,0)),"Por definir"))</f>
        <v/>
      </c>
      <c r="O1321" s="41" t="n"/>
      <c r="P1321" s="39">
        <f>IF($L1321="","",IFERROR(INDEX(LISTAS!$B$3:$B$42,MATCH($L1321,LISTAS!$A$3:$A$42,0)),"Media"))</f>
        <v/>
      </c>
      <c r="Q1321" s="44" t="n"/>
      <c r="R1321" s="45" t="n"/>
      <c r="S1321" s="20">
        <f>IFERROR(IF(OR($R1321="",$C1321=""),"",$R1321/INDEX(DESPACHOS!$M$3:$M$3002,MATCH($C1321,DESPACHOS!$B$3:$B$3002,0))),"")</f>
        <v/>
      </c>
      <c r="T1321" s="41" t="n"/>
      <c r="U1321" s="43">
        <f>IF(OR($B1321="",$L1321=""),"",WORKDAY($B1321,IFERROR(INDEX(LISTAS!$C$3:$C$42,MATCH($L1321,LISTAS!$A$3:$A$42,0)),3)))</f>
        <v/>
      </c>
      <c r="V1321" s="40" t="n"/>
      <c r="W1321" s="19">
        <f>IF($B1321="","",IF($V1321&lt;&gt;"",$V1321-$B1321,TODAY()-$B1321))</f>
        <v/>
      </c>
      <c r="X1321" s="19">
        <f>IF(OR($B1321="",$U1321=""),"",IF($V1321&lt;&gt;"",MAX(0,$V1321-$U1321),MAX(0,TODAY()-$U1321)))</f>
        <v/>
      </c>
      <c r="Y1321" s="39">
        <f>IF($C1321="","",IF(IFERROR(INDEX(LISTAS!$I$3:$I$42,MATCH($T1321,LISTAS!$H$3:$H$42,0)),"NO")="SÍ",IF(N($X1321)&gt;0,"CERRADA FUERA DE SLA","CERRADA EN SLA"),IF($U1321="","SIN CLASIFICAR",IF(N($X1321)&gt;0,"VENCIDA",IF(TODAY()&gt;=$U1321-1,"POR VENCER","EN PLAZO")))))</f>
        <v/>
      </c>
      <c r="Z1321" s="41" t="n"/>
      <c r="AA1321" s="41" t="n"/>
      <c r="AB1321" s="41" t="n"/>
    </row>
    <row r="1322">
      <c r="A1322" s="39">
        <f>IF($C1322="","","NOV-"&amp;TEXT(ROW()-3,"0000"))</f>
        <v/>
      </c>
      <c r="B1322" s="40" t="n"/>
      <c r="C1322" s="41" t="n"/>
      <c r="D1322" s="42">
        <f>IF($C1322="","",IFERROR(INDEX(DESPACHOS!$D$3:$D$3002,MATCH($C1322,DESPACHOS!$B$3:$B$3002,0)),"SIN DESPACHO"))</f>
        <v/>
      </c>
      <c r="E1322" s="42">
        <f>IF($C1322="","",IFERROR(INDEX(DESPACHOS!$K$3:$K$3002,MATCH($C1322,DESPACHOS!$B$3:$B$3002,0)),""))</f>
        <v/>
      </c>
      <c r="F1322" s="42">
        <f>IF($C1322="","",IFERROR(INDEX(DESPACHOS!$I$3:$I$3002,MATCH($C1322,DESPACHOS!$B$3:$B$3002,0)),""))</f>
        <v/>
      </c>
      <c r="G1322" s="42">
        <f>IF($C1322="","",IFERROR(INDEX(DESPACHOS!$F$3:$F$3002,MATCH($C1322,DESPACHOS!$B$3:$B$3002,0)),""))</f>
        <v/>
      </c>
      <c r="H1322" s="42">
        <f>IF($C1322="","",IFERROR(INDEX(DESPACHOS!$G$3:$G$3002,MATCH($C1322,DESPACHOS!$B$3:$B$3002,0)),""))</f>
        <v/>
      </c>
      <c r="I1322" s="39">
        <f>IF($C1322="","",IFERROR(INDEX(DESPACHOS!$H$3:$H$3002,MATCH($C1322,DESPACHOS!$B$3:$B$3002,0)),""))</f>
        <v/>
      </c>
      <c r="J1322" s="43">
        <f>IF($C1322="","",IFERROR(INDEX(DESPACHOS!$J$3:$J$3002,MATCH($C1322,DESPACHOS!$B$3:$B$3002,0)),""))</f>
        <v/>
      </c>
      <c r="K1322" s="39">
        <f>IF($C1322="","",IF(COUNTIFS(DESPACHOS!$B$3:$B$3002,$C1322)=0,"NO EXISTE",IF(COUNTIFS(DESPACHOS!$B$3:$B$3002,$C1322)&gt;1,"DUPLICADO","OK")))</f>
        <v/>
      </c>
      <c r="L1322" s="41" t="n"/>
      <c r="M1322" s="41" t="n"/>
      <c r="N1322" s="42">
        <f>IF($M1322="","",IFERROR(INDEX(LISTAS!$F$3:$F$42,MATCH($M1322,LISTAS!$E$3:$E$42,0)),"Por definir"))</f>
        <v/>
      </c>
      <c r="O1322" s="41" t="n"/>
      <c r="P1322" s="39">
        <f>IF($L1322="","",IFERROR(INDEX(LISTAS!$B$3:$B$42,MATCH($L1322,LISTAS!$A$3:$A$42,0)),"Media"))</f>
        <v/>
      </c>
      <c r="Q1322" s="44" t="n"/>
      <c r="R1322" s="45" t="n"/>
      <c r="S1322" s="20">
        <f>IFERROR(IF(OR($R1322="",$C1322=""),"",$R1322/INDEX(DESPACHOS!$M$3:$M$3002,MATCH($C1322,DESPACHOS!$B$3:$B$3002,0))),"")</f>
        <v/>
      </c>
      <c r="T1322" s="41" t="n"/>
      <c r="U1322" s="43">
        <f>IF(OR($B1322="",$L1322=""),"",WORKDAY($B1322,IFERROR(INDEX(LISTAS!$C$3:$C$42,MATCH($L1322,LISTAS!$A$3:$A$42,0)),3)))</f>
        <v/>
      </c>
      <c r="V1322" s="40" t="n"/>
      <c r="W1322" s="19">
        <f>IF($B1322="","",IF($V1322&lt;&gt;"",$V1322-$B1322,TODAY()-$B1322))</f>
        <v/>
      </c>
      <c r="X1322" s="19">
        <f>IF(OR($B1322="",$U1322=""),"",IF($V1322&lt;&gt;"",MAX(0,$V1322-$U1322),MAX(0,TODAY()-$U1322)))</f>
        <v/>
      </c>
      <c r="Y1322" s="39">
        <f>IF($C1322="","",IF(IFERROR(INDEX(LISTAS!$I$3:$I$42,MATCH($T1322,LISTAS!$H$3:$H$42,0)),"NO")="SÍ",IF(N($X1322)&gt;0,"CERRADA FUERA DE SLA","CERRADA EN SLA"),IF($U1322="","SIN CLASIFICAR",IF(N($X1322)&gt;0,"VENCIDA",IF(TODAY()&gt;=$U1322-1,"POR VENCER","EN PLAZO")))))</f>
        <v/>
      </c>
      <c r="Z1322" s="41" t="n"/>
      <c r="AA1322" s="41" t="n"/>
      <c r="AB1322" s="41" t="n"/>
    </row>
    <row r="1323">
      <c r="A1323" s="39">
        <f>IF($C1323="","","NOV-"&amp;TEXT(ROW()-3,"0000"))</f>
        <v/>
      </c>
      <c r="B1323" s="40" t="n"/>
      <c r="C1323" s="41" t="n"/>
      <c r="D1323" s="42">
        <f>IF($C1323="","",IFERROR(INDEX(DESPACHOS!$D$3:$D$3002,MATCH($C1323,DESPACHOS!$B$3:$B$3002,0)),"SIN DESPACHO"))</f>
        <v/>
      </c>
      <c r="E1323" s="42">
        <f>IF($C1323="","",IFERROR(INDEX(DESPACHOS!$K$3:$K$3002,MATCH($C1323,DESPACHOS!$B$3:$B$3002,0)),""))</f>
        <v/>
      </c>
      <c r="F1323" s="42">
        <f>IF($C1323="","",IFERROR(INDEX(DESPACHOS!$I$3:$I$3002,MATCH($C1323,DESPACHOS!$B$3:$B$3002,0)),""))</f>
        <v/>
      </c>
      <c r="G1323" s="42">
        <f>IF($C1323="","",IFERROR(INDEX(DESPACHOS!$F$3:$F$3002,MATCH($C1323,DESPACHOS!$B$3:$B$3002,0)),""))</f>
        <v/>
      </c>
      <c r="H1323" s="42">
        <f>IF($C1323="","",IFERROR(INDEX(DESPACHOS!$G$3:$G$3002,MATCH($C1323,DESPACHOS!$B$3:$B$3002,0)),""))</f>
        <v/>
      </c>
      <c r="I1323" s="39">
        <f>IF($C1323="","",IFERROR(INDEX(DESPACHOS!$H$3:$H$3002,MATCH($C1323,DESPACHOS!$B$3:$B$3002,0)),""))</f>
        <v/>
      </c>
      <c r="J1323" s="43">
        <f>IF($C1323="","",IFERROR(INDEX(DESPACHOS!$J$3:$J$3002,MATCH($C1323,DESPACHOS!$B$3:$B$3002,0)),""))</f>
        <v/>
      </c>
      <c r="K1323" s="39">
        <f>IF($C1323="","",IF(COUNTIFS(DESPACHOS!$B$3:$B$3002,$C1323)=0,"NO EXISTE",IF(COUNTIFS(DESPACHOS!$B$3:$B$3002,$C1323)&gt;1,"DUPLICADO","OK")))</f>
        <v/>
      </c>
      <c r="L1323" s="41" t="n"/>
      <c r="M1323" s="41" t="n"/>
      <c r="N1323" s="42">
        <f>IF($M1323="","",IFERROR(INDEX(LISTAS!$F$3:$F$42,MATCH($M1323,LISTAS!$E$3:$E$42,0)),"Por definir"))</f>
        <v/>
      </c>
      <c r="O1323" s="41" t="n"/>
      <c r="P1323" s="39">
        <f>IF($L1323="","",IFERROR(INDEX(LISTAS!$B$3:$B$42,MATCH($L1323,LISTAS!$A$3:$A$42,0)),"Media"))</f>
        <v/>
      </c>
      <c r="Q1323" s="44" t="n"/>
      <c r="R1323" s="45" t="n"/>
      <c r="S1323" s="20">
        <f>IFERROR(IF(OR($R1323="",$C1323=""),"",$R1323/INDEX(DESPACHOS!$M$3:$M$3002,MATCH($C1323,DESPACHOS!$B$3:$B$3002,0))),"")</f>
        <v/>
      </c>
      <c r="T1323" s="41" t="n"/>
      <c r="U1323" s="43">
        <f>IF(OR($B1323="",$L1323=""),"",WORKDAY($B1323,IFERROR(INDEX(LISTAS!$C$3:$C$42,MATCH($L1323,LISTAS!$A$3:$A$42,0)),3)))</f>
        <v/>
      </c>
      <c r="V1323" s="40" t="n"/>
      <c r="W1323" s="19">
        <f>IF($B1323="","",IF($V1323&lt;&gt;"",$V1323-$B1323,TODAY()-$B1323))</f>
        <v/>
      </c>
      <c r="X1323" s="19">
        <f>IF(OR($B1323="",$U1323=""),"",IF($V1323&lt;&gt;"",MAX(0,$V1323-$U1323),MAX(0,TODAY()-$U1323)))</f>
        <v/>
      </c>
      <c r="Y1323" s="39">
        <f>IF($C1323="","",IF(IFERROR(INDEX(LISTAS!$I$3:$I$42,MATCH($T1323,LISTAS!$H$3:$H$42,0)),"NO")="SÍ",IF(N($X1323)&gt;0,"CERRADA FUERA DE SLA","CERRADA EN SLA"),IF($U1323="","SIN CLASIFICAR",IF(N($X1323)&gt;0,"VENCIDA",IF(TODAY()&gt;=$U1323-1,"POR VENCER","EN PLAZO")))))</f>
        <v/>
      </c>
      <c r="Z1323" s="41" t="n"/>
      <c r="AA1323" s="41" t="n"/>
      <c r="AB1323" s="41" t="n"/>
    </row>
    <row r="1324">
      <c r="A1324" s="39">
        <f>IF($C1324="","","NOV-"&amp;TEXT(ROW()-3,"0000"))</f>
        <v/>
      </c>
      <c r="B1324" s="40" t="n"/>
      <c r="C1324" s="41" t="n"/>
      <c r="D1324" s="42">
        <f>IF($C1324="","",IFERROR(INDEX(DESPACHOS!$D$3:$D$3002,MATCH($C1324,DESPACHOS!$B$3:$B$3002,0)),"SIN DESPACHO"))</f>
        <v/>
      </c>
      <c r="E1324" s="42">
        <f>IF($C1324="","",IFERROR(INDEX(DESPACHOS!$K$3:$K$3002,MATCH($C1324,DESPACHOS!$B$3:$B$3002,0)),""))</f>
        <v/>
      </c>
      <c r="F1324" s="42">
        <f>IF($C1324="","",IFERROR(INDEX(DESPACHOS!$I$3:$I$3002,MATCH($C1324,DESPACHOS!$B$3:$B$3002,0)),""))</f>
        <v/>
      </c>
      <c r="G1324" s="42">
        <f>IF($C1324="","",IFERROR(INDEX(DESPACHOS!$F$3:$F$3002,MATCH($C1324,DESPACHOS!$B$3:$B$3002,0)),""))</f>
        <v/>
      </c>
      <c r="H1324" s="42">
        <f>IF($C1324="","",IFERROR(INDEX(DESPACHOS!$G$3:$G$3002,MATCH($C1324,DESPACHOS!$B$3:$B$3002,0)),""))</f>
        <v/>
      </c>
      <c r="I1324" s="39">
        <f>IF($C1324="","",IFERROR(INDEX(DESPACHOS!$H$3:$H$3002,MATCH($C1324,DESPACHOS!$B$3:$B$3002,0)),""))</f>
        <v/>
      </c>
      <c r="J1324" s="43">
        <f>IF($C1324="","",IFERROR(INDEX(DESPACHOS!$J$3:$J$3002,MATCH($C1324,DESPACHOS!$B$3:$B$3002,0)),""))</f>
        <v/>
      </c>
      <c r="K1324" s="39">
        <f>IF($C1324="","",IF(COUNTIFS(DESPACHOS!$B$3:$B$3002,$C1324)=0,"NO EXISTE",IF(COUNTIFS(DESPACHOS!$B$3:$B$3002,$C1324)&gt;1,"DUPLICADO","OK")))</f>
        <v/>
      </c>
      <c r="L1324" s="41" t="n"/>
      <c r="M1324" s="41" t="n"/>
      <c r="N1324" s="42">
        <f>IF($M1324="","",IFERROR(INDEX(LISTAS!$F$3:$F$42,MATCH($M1324,LISTAS!$E$3:$E$42,0)),"Por definir"))</f>
        <v/>
      </c>
      <c r="O1324" s="41" t="n"/>
      <c r="P1324" s="39">
        <f>IF($L1324="","",IFERROR(INDEX(LISTAS!$B$3:$B$42,MATCH($L1324,LISTAS!$A$3:$A$42,0)),"Media"))</f>
        <v/>
      </c>
      <c r="Q1324" s="44" t="n"/>
      <c r="R1324" s="45" t="n"/>
      <c r="S1324" s="20">
        <f>IFERROR(IF(OR($R1324="",$C1324=""),"",$R1324/INDEX(DESPACHOS!$M$3:$M$3002,MATCH($C1324,DESPACHOS!$B$3:$B$3002,0))),"")</f>
        <v/>
      </c>
      <c r="T1324" s="41" t="n"/>
      <c r="U1324" s="43">
        <f>IF(OR($B1324="",$L1324=""),"",WORKDAY($B1324,IFERROR(INDEX(LISTAS!$C$3:$C$42,MATCH($L1324,LISTAS!$A$3:$A$42,0)),3)))</f>
        <v/>
      </c>
      <c r="V1324" s="40" t="n"/>
      <c r="W1324" s="19">
        <f>IF($B1324="","",IF($V1324&lt;&gt;"",$V1324-$B1324,TODAY()-$B1324))</f>
        <v/>
      </c>
      <c r="X1324" s="19">
        <f>IF(OR($B1324="",$U1324=""),"",IF($V1324&lt;&gt;"",MAX(0,$V1324-$U1324),MAX(0,TODAY()-$U1324)))</f>
        <v/>
      </c>
      <c r="Y1324" s="39">
        <f>IF($C1324="","",IF(IFERROR(INDEX(LISTAS!$I$3:$I$42,MATCH($T1324,LISTAS!$H$3:$H$42,0)),"NO")="SÍ",IF(N($X1324)&gt;0,"CERRADA FUERA DE SLA","CERRADA EN SLA"),IF($U1324="","SIN CLASIFICAR",IF(N($X1324)&gt;0,"VENCIDA",IF(TODAY()&gt;=$U1324-1,"POR VENCER","EN PLAZO")))))</f>
        <v/>
      </c>
      <c r="Z1324" s="41" t="n"/>
      <c r="AA1324" s="41" t="n"/>
      <c r="AB1324" s="41" t="n"/>
    </row>
    <row r="1325">
      <c r="A1325" s="39">
        <f>IF($C1325="","","NOV-"&amp;TEXT(ROW()-3,"0000"))</f>
        <v/>
      </c>
      <c r="B1325" s="40" t="n"/>
      <c r="C1325" s="41" t="n"/>
      <c r="D1325" s="42">
        <f>IF($C1325="","",IFERROR(INDEX(DESPACHOS!$D$3:$D$3002,MATCH($C1325,DESPACHOS!$B$3:$B$3002,0)),"SIN DESPACHO"))</f>
        <v/>
      </c>
      <c r="E1325" s="42">
        <f>IF($C1325="","",IFERROR(INDEX(DESPACHOS!$K$3:$K$3002,MATCH($C1325,DESPACHOS!$B$3:$B$3002,0)),""))</f>
        <v/>
      </c>
      <c r="F1325" s="42">
        <f>IF($C1325="","",IFERROR(INDEX(DESPACHOS!$I$3:$I$3002,MATCH($C1325,DESPACHOS!$B$3:$B$3002,0)),""))</f>
        <v/>
      </c>
      <c r="G1325" s="42">
        <f>IF($C1325="","",IFERROR(INDEX(DESPACHOS!$F$3:$F$3002,MATCH($C1325,DESPACHOS!$B$3:$B$3002,0)),""))</f>
        <v/>
      </c>
      <c r="H1325" s="42">
        <f>IF($C1325="","",IFERROR(INDEX(DESPACHOS!$G$3:$G$3002,MATCH($C1325,DESPACHOS!$B$3:$B$3002,0)),""))</f>
        <v/>
      </c>
      <c r="I1325" s="39">
        <f>IF($C1325="","",IFERROR(INDEX(DESPACHOS!$H$3:$H$3002,MATCH($C1325,DESPACHOS!$B$3:$B$3002,0)),""))</f>
        <v/>
      </c>
      <c r="J1325" s="43">
        <f>IF($C1325="","",IFERROR(INDEX(DESPACHOS!$J$3:$J$3002,MATCH($C1325,DESPACHOS!$B$3:$B$3002,0)),""))</f>
        <v/>
      </c>
      <c r="K1325" s="39">
        <f>IF($C1325="","",IF(COUNTIFS(DESPACHOS!$B$3:$B$3002,$C1325)=0,"NO EXISTE",IF(COUNTIFS(DESPACHOS!$B$3:$B$3002,$C1325)&gt;1,"DUPLICADO","OK")))</f>
        <v/>
      </c>
      <c r="L1325" s="41" t="n"/>
      <c r="M1325" s="41" t="n"/>
      <c r="N1325" s="42">
        <f>IF($M1325="","",IFERROR(INDEX(LISTAS!$F$3:$F$42,MATCH($M1325,LISTAS!$E$3:$E$42,0)),"Por definir"))</f>
        <v/>
      </c>
      <c r="O1325" s="41" t="n"/>
      <c r="P1325" s="39">
        <f>IF($L1325="","",IFERROR(INDEX(LISTAS!$B$3:$B$42,MATCH($L1325,LISTAS!$A$3:$A$42,0)),"Media"))</f>
        <v/>
      </c>
      <c r="Q1325" s="44" t="n"/>
      <c r="R1325" s="45" t="n"/>
      <c r="S1325" s="20">
        <f>IFERROR(IF(OR($R1325="",$C1325=""),"",$R1325/INDEX(DESPACHOS!$M$3:$M$3002,MATCH($C1325,DESPACHOS!$B$3:$B$3002,0))),"")</f>
        <v/>
      </c>
      <c r="T1325" s="41" t="n"/>
      <c r="U1325" s="43">
        <f>IF(OR($B1325="",$L1325=""),"",WORKDAY($B1325,IFERROR(INDEX(LISTAS!$C$3:$C$42,MATCH($L1325,LISTAS!$A$3:$A$42,0)),3)))</f>
        <v/>
      </c>
      <c r="V1325" s="40" t="n"/>
      <c r="W1325" s="19">
        <f>IF($B1325="","",IF($V1325&lt;&gt;"",$V1325-$B1325,TODAY()-$B1325))</f>
        <v/>
      </c>
      <c r="X1325" s="19">
        <f>IF(OR($B1325="",$U1325=""),"",IF($V1325&lt;&gt;"",MAX(0,$V1325-$U1325),MAX(0,TODAY()-$U1325)))</f>
        <v/>
      </c>
      <c r="Y1325" s="39">
        <f>IF($C1325="","",IF(IFERROR(INDEX(LISTAS!$I$3:$I$42,MATCH($T1325,LISTAS!$H$3:$H$42,0)),"NO")="SÍ",IF(N($X1325)&gt;0,"CERRADA FUERA DE SLA","CERRADA EN SLA"),IF($U1325="","SIN CLASIFICAR",IF(N($X1325)&gt;0,"VENCIDA",IF(TODAY()&gt;=$U1325-1,"POR VENCER","EN PLAZO")))))</f>
        <v/>
      </c>
      <c r="Z1325" s="41" t="n"/>
      <c r="AA1325" s="41" t="n"/>
      <c r="AB1325" s="41" t="n"/>
    </row>
    <row r="1326">
      <c r="A1326" s="39">
        <f>IF($C1326="","","NOV-"&amp;TEXT(ROW()-3,"0000"))</f>
        <v/>
      </c>
      <c r="B1326" s="40" t="n"/>
      <c r="C1326" s="41" t="n"/>
      <c r="D1326" s="42">
        <f>IF($C1326="","",IFERROR(INDEX(DESPACHOS!$D$3:$D$3002,MATCH($C1326,DESPACHOS!$B$3:$B$3002,0)),"SIN DESPACHO"))</f>
        <v/>
      </c>
      <c r="E1326" s="42">
        <f>IF($C1326="","",IFERROR(INDEX(DESPACHOS!$K$3:$K$3002,MATCH($C1326,DESPACHOS!$B$3:$B$3002,0)),""))</f>
        <v/>
      </c>
      <c r="F1326" s="42">
        <f>IF($C1326="","",IFERROR(INDEX(DESPACHOS!$I$3:$I$3002,MATCH($C1326,DESPACHOS!$B$3:$B$3002,0)),""))</f>
        <v/>
      </c>
      <c r="G1326" s="42">
        <f>IF($C1326="","",IFERROR(INDEX(DESPACHOS!$F$3:$F$3002,MATCH($C1326,DESPACHOS!$B$3:$B$3002,0)),""))</f>
        <v/>
      </c>
      <c r="H1326" s="42">
        <f>IF($C1326="","",IFERROR(INDEX(DESPACHOS!$G$3:$G$3002,MATCH($C1326,DESPACHOS!$B$3:$B$3002,0)),""))</f>
        <v/>
      </c>
      <c r="I1326" s="39">
        <f>IF($C1326="","",IFERROR(INDEX(DESPACHOS!$H$3:$H$3002,MATCH($C1326,DESPACHOS!$B$3:$B$3002,0)),""))</f>
        <v/>
      </c>
      <c r="J1326" s="43">
        <f>IF($C1326="","",IFERROR(INDEX(DESPACHOS!$J$3:$J$3002,MATCH($C1326,DESPACHOS!$B$3:$B$3002,0)),""))</f>
        <v/>
      </c>
      <c r="K1326" s="39">
        <f>IF($C1326="","",IF(COUNTIFS(DESPACHOS!$B$3:$B$3002,$C1326)=0,"NO EXISTE",IF(COUNTIFS(DESPACHOS!$B$3:$B$3002,$C1326)&gt;1,"DUPLICADO","OK")))</f>
        <v/>
      </c>
      <c r="L1326" s="41" t="n"/>
      <c r="M1326" s="41" t="n"/>
      <c r="N1326" s="42">
        <f>IF($M1326="","",IFERROR(INDEX(LISTAS!$F$3:$F$42,MATCH($M1326,LISTAS!$E$3:$E$42,0)),"Por definir"))</f>
        <v/>
      </c>
      <c r="O1326" s="41" t="n"/>
      <c r="P1326" s="39">
        <f>IF($L1326="","",IFERROR(INDEX(LISTAS!$B$3:$B$42,MATCH($L1326,LISTAS!$A$3:$A$42,0)),"Media"))</f>
        <v/>
      </c>
      <c r="Q1326" s="44" t="n"/>
      <c r="R1326" s="45" t="n"/>
      <c r="S1326" s="20">
        <f>IFERROR(IF(OR($R1326="",$C1326=""),"",$R1326/INDEX(DESPACHOS!$M$3:$M$3002,MATCH($C1326,DESPACHOS!$B$3:$B$3002,0))),"")</f>
        <v/>
      </c>
      <c r="T1326" s="41" t="n"/>
      <c r="U1326" s="43">
        <f>IF(OR($B1326="",$L1326=""),"",WORKDAY($B1326,IFERROR(INDEX(LISTAS!$C$3:$C$42,MATCH($L1326,LISTAS!$A$3:$A$42,0)),3)))</f>
        <v/>
      </c>
      <c r="V1326" s="40" t="n"/>
      <c r="W1326" s="19">
        <f>IF($B1326="","",IF($V1326&lt;&gt;"",$V1326-$B1326,TODAY()-$B1326))</f>
        <v/>
      </c>
      <c r="X1326" s="19">
        <f>IF(OR($B1326="",$U1326=""),"",IF($V1326&lt;&gt;"",MAX(0,$V1326-$U1326),MAX(0,TODAY()-$U1326)))</f>
        <v/>
      </c>
      <c r="Y1326" s="39">
        <f>IF($C1326="","",IF(IFERROR(INDEX(LISTAS!$I$3:$I$42,MATCH($T1326,LISTAS!$H$3:$H$42,0)),"NO")="SÍ",IF(N($X1326)&gt;0,"CERRADA FUERA DE SLA","CERRADA EN SLA"),IF($U1326="","SIN CLASIFICAR",IF(N($X1326)&gt;0,"VENCIDA",IF(TODAY()&gt;=$U1326-1,"POR VENCER","EN PLAZO")))))</f>
        <v/>
      </c>
      <c r="Z1326" s="41" t="n"/>
      <c r="AA1326" s="41" t="n"/>
      <c r="AB1326" s="41" t="n"/>
    </row>
    <row r="1327">
      <c r="A1327" s="39">
        <f>IF($C1327="","","NOV-"&amp;TEXT(ROW()-3,"0000"))</f>
        <v/>
      </c>
      <c r="B1327" s="40" t="n"/>
      <c r="C1327" s="41" t="n"/>
      <c r="D1327" s="42">
        <f>IF($C1327="","",IFERROR(INDEX(DESPACHOS!$D$3:$D$3002,MATCH($C1327,DESPACHOS!$B$3:$B$3002,0)),"SIN DESPACHO"))</f>
        <v/>
      </c>
      <c r="E1327" s="42">
        <f>IF($C1327="","",IFERROR(INDEX(DESPACHOS!$K$3:$K$3002,MATCH($C1327,DESPACHOS!$B$3:$B$3002,0)),""))</f>
        <v/>
      </c>
      <c r="F1327" s="42">
        <f>IF($C1327="","",IFERROR(INDEX(DESPACHOS!$I$3:$I$3002,MATCH($C1327,DESPACHOS!$B$3:$B$3002,0)),""))</f>
        <v/>
      </c>
      <c r="G1327" s="42">
        <f>IF($C1327="","",IFERROR(INDEX(DESPACHOS!$F$3:$F$3002,MATCH($C1327,DESPACHOS!$B$3:$B$3002,0)),""))</f>
        <v/>
      </c>
      <c r="H1327" s="42">
        <f>IF($C1327="","",IFERROR(INDEX(DESPACHOS!$G$3:$G$3002,MATCH($C1327,DESPACHOS!$B$3:$B$3002,0)),""))</f>
        <v/>
      </c>
      <c r="I1327" s="39">
        <f>IF($C1327="","",IFERROR(INDEX(DESPACHOS!$H$3:$H$3002,MATCH($C1327,DESPACHOS!$B$3:$B$3002,0)),""))</f>
        <v/>
      </c>
      <c r="J1327" s="43">
        <f>IF($C1327="","",IFERROR(INDEX(DESPACHOS!$J$3:$J$3002,MATCH($C1327,DESPACHOS!$B$3:$B$3002,0)),""))</f>
        <v/>
      </c>
      <c r="K1327" s="39">
        <f>IF($C1327="","",IF(COUNTIFS(DESPACHOS!$B$3:$B$3002,$C1327)=0,"NO EXISTE",IF(COUNTIFS(DESPACHOS!$B$3:$B$3002,$C1327)&gt;1,"DUPLICADO","OK")))</f>
        <v/>
      </c>
      <c r="L1327" s="41" t="n"/>
      <c r="M1327" s="41" t="n"/>
      <c r="N1327" s="42">
        <f>IF($M1327="","",IFERROR(INDEX(LISTAS!$F$3:$F$42,MATCH($M1327,LISTAS!$E$3:$E$42,0)),"Por definir"))</f>
        <v/>
      </c>
      <c r="O1327" s="41" t="n"/>
      <c r="P1327" s="39">
        <f>IF($L1327="","",IFERROR(INDEX(LISTAS!$B$3:$B$42,MATCH($L1327,LISTAS!$A$3:$A$42,0)),"Media"))</f>
        <v/>
      </c>
      <c r="Q1327" s="44" t="n"/>
      <c r="R1327" s="45" t="n"/>
      <c r="S1327" s="20">
        <f>IFERROR(IF(OR($R1327="",$C1327=""),"",$R1327/INDEX(DESPACHOS!$M$3:$M$3002,MATCH($C1327,DESPACHOS!$B$3:$B$3002,0))),"")</f>
        <v/>
      </c>
      <c r="T1327" s="41" t="n"/>
      <c r="U1327" s="43">
        <f>IF(OR($B1327="",$L1327=""),"",WORKDAY($B1327,IFERROR(INDEX(LISTAS!$C$3:$C$42,MATCH($L1327,LISTAS!$A$3:$A$42,0)),3)))</f>
        <v/>
      </c>
      <c r="V1327" s="40" t="n"/>
      <c r="W1327" s="19">
        <f>IF($B1327="","",IF($V1327&lt;&gt;"",$V1327-$B1327,TODAY()-$B1327))</f>
        <v/>
      </c>
      <c r="X1327" s="19">
        <f>IF(OR($B1327="",$U1327=""),"",IF($V1327&lt;&gt;"",MAX(0,$V1327-$U1327),MAX(0,TODAY()-$U1327)))</f>
        <v/>
      </c>
      <c r="Y1327" s="39">
        <f>IF($C1327="","",IF(IFERROR(INDEX(LISTAS!$I$3:$I$42,MATCH($T1327,LISTAS!$H$3:$H$42,0)),"NO")="SÍ",IF(N($X1327)&gt;0,"CERRADA FUERA DE SLA","CERRADA EN SLA"),IF($U1327="","SIN CLASIFICAR",IF(N($X1327)&gt;0,"VENCIDA",IF(TODAY()&gt;=$U1327-1,"POR VENCER","EN PLAZO")))))</f>
        <v/>
      </c>
      <c r="Z1327" s="41" t="n"/>
      <c r="AA1327" s="41" t="n"/>
      <c r="AB1327" s="41" t="n"/>
    </row>
    <row r="1328">
      <c r="A1328" s="39">
        <f>IF($C1328="","","NOV-"&amp;TEXT(ROW()-3,"0000"))</f>
        <v/>
      </c>
      <c r="B1328" s="40" t="n"/>
      <c r="C1328" s="41" t="n"/>
      <c r="D1328" s="42">
        <f>IF($C1328="","",IFERROR(INDEX(DESPACHOS!$D$3:$D$3002,MATCH($C1328,DESPACHOS!$B$3:$B$3002,0)),"SIN DESPACHO"))</f>
        <v/>
      </c>
      <c r="E1328" s="42">
        <f>IF($C1328="","",IFERROR(INDEX(DESPACHOS!$K$3:$K$3002,MATCH($C1328,DESPACHOS!$B$3:$B$3002,0)),""))</f>
        <v/>
      </c>
      <c r="F1328" s="42">
        <f>IF($C1328="","",IFERROR(INDEX(DESPACHOS!$I$3:$I$3002,MATCH($C1328,DESPACHOS!$B$3:$B$3002,0)),""))</f>
        <v/>
      </c>
      <c r="G1328" s="42">
        <f>IF($C1328="","",IFERROR(INDEX(DESPACHOS!$F$3:$F$3002,MATCH($C1328,DESPACHOS!$B$3:$B$3002,0)),""))</f>
        <v/>
      </c>
      <c r="H1328" s="42">
        <f>IF($C1328="","",IFERROR(INDEX(DESPACHOS!$G$3:$G$3002,MATCH($C1328,DESPACHOS!$B$3:$B$3002,0)),""))</f>
        <v/>
      </c>
      <c r="I1328" s="39">
        <f>IF($C1328="","",IFERROR(INDEX(DESPACHOS!$H$3:$H$3002,MATCH($C1328,DESPACHOS!$B$3:$B$3002,0)),""))</f>
        <v/>
      </c>
      <c r="J1328" s="43">
        <f>IF($C1328="","",IFERROR(INDEX(DESPACHOS!$J$3:$J$3002,MATCH($C1328,DESPACHOS!$B$3:$B$3002,0)),""))</f>
        <v/>
      </c>
      <c r="K1328" s="39">
        <f>IF($C1328="","",IF(COUNTIFS(DESPACHOS!$B$3:$B$3002,$C1328)=0,"NO EXISTE",IF(COUNTIFS(DESPACHOS!$B$3:$B$3002,$C1328)&gt;1,"DUPLICADO","OK")))</f>
        <v/>
      </c>
      <c r="L1328" s="41" t="n"/>
      <c r="M1328" s="41" t="n"/>
      <c r="N1328" s="42">
        <f>IF($M1328="","",IFERROR(INDEX(LISTAS!$F$3:$F$42,MATCH($M1328,LISTAS!$E$3:$E$42,0)),"Por definir"))</f>
        <v/>
      </c>
      <c r="O1328" s="41" t="n"/>
      <c r="P1328" s="39">
        <f>IF($L1328="","",IFERROR(INDEX(LISTAS!$B$3:$B$42,MATCH($L1328,LISTAS!$A$3:$A$42,0)),"Media"))</f>
        <v/>
      </c>
      <c r="Q1328" s="44" t="n"/>
      <c r="R1328" s="45" t="n"/>
      <c r="S1328" s="20">
        <f>IFERROR(IF(OR($R1328="",$C1328=""),"",$R1328/INDEX(DESPACHOS!$M$3:$M$3002,MATCH($C1328,DESPACHOS!$B$3:$B$3002,0))),"")</f>
        <v/>
      </c>
      <c r="T1328" s="41" t="n"/>
      <c r="U1328" s="43">
        <f>IF(OR($B1328="",$L1328=""),"",WORKDAY($B1328,IFERROR(INDEX(LISTAS!$C$3:$C$42,MATCH($L1328,LISTAS!$A$3:$A$42,0)),3)))</f>
        <v/>
      </c>
      <c r="V1328" s="40" t="n"/>
      <c r="W1328" s="19">
        <f>IF($B1328="","",IF($V1328&lt;&gt;"",$V1328-$B1328,TODAY()-$B1328))</f>
        <v/>
      </c>
      <c r="X1328" s="19">
        <f>IF(OR($B1328="",$U1328=""),"",IF($V1328&lt;&gt;"",MAX(0,$V1328-$U1328),MAX(0,TODAY()-$U1328)))</f>
        <v/>
      </c>
      <c r="Y1328" s="39">
        <f>IF($C1328="","",IF(IFERROR(INDEX(LISTAS!$I$3:$I$42,MATCH($T1328,LISTAS!$H$3:$H$42,0)),"NO")="SÍ",IF(N($X1328)&gt;0,"CERRADA FUERA DE SLA","CERRADA EN SLA"),IF($U1328="","SIN CLASIFICAR",IF(N($X1328)&gt;0,"VENCIDA",IF(TODAY()&gt;=$U1328-1,"POR VENCER","EN PLAZO")))))</f>
        <v/>
      </c>
      <c r="Z1328" s="41" t="n"/>
      <c r="AA1328" s="41" t="n"/>
      <c r="AB1328" s="41" t="n"/>
    </row>
    <row r="1329">
      <c r="A1329" s="39">
        <f>IF($C1329="","","NOV-"&amp;TEXT(ROW()-3,"0000"))</f>
        <v/>
      </c>
      <c r="B1329" s="40" t="n"/>
      <c r="C1329" s="41" t="n"/>
      <c r="D1329" s="42">
        <f>IF($C1329="","",IFERROR(INDEX(DESPACHOS!$D$3:$D$3002,MATCH($C1329,DESPACHOS!$B$3:$B$3002,0)),"SIN DESPACHO"))</f>
        <v/>
      </c>
      <c r="E1329" s="42">
        <f>IF($C1329="","",IFERROR(INDEX(DESPACHOS!$K$3:$K$3002,MATCH($C1329,DESPACHOS!$B$3:$B$3002,0)),""))</f>
        <v/>
      </c>
      <c r="F1329" s="42">
        <f>IF($C1329="","",IFERROR(INDEX(DESPACHOS!$I$3:$I$3002,MATCH($C1329,DESPACHOS!$B$3:$B$3002,0)),""))</f>
        <v/>
      </c>
      <c r="G1329" s="42">
        <f>IF($C1329="","",IFERROR(INDEX(DESPACHOS!$F$3:$F$3002,MATCH($C1329,DESPACHOS!$B$3:$B$3002,0)),""))</f>
        <v/>
      </c>
      <c r="H1329" s="42">
        <f>IF($C1329="","",IFERROR(INDEX(DESPACHOS!$G$3:$G$3002,MATCH($C1329,DESPACHOS!$B$3:$B$3002,0)),""))</f>
        <v/>
      </c>
      <c r="I1329" s="39">
        <f>IF($C1329="","",IFERROR(INDEX(DESPACHOS!$H$3:$H$3002,MATCH($C1329,DESPACHOS!$B$3:$B$3002,0)),""))</f>
        <v/>
      </c>
      <c r="J1329" s="43">
        <f>IF($C1329="","",IFERROR(INDEX(DESPACHOS!$J$3:$J$3002,MATCH($C1329,DESPACHOS!$B$3:$B$3002,0)),""))</f>
        <v/>
      </c>
      <c r="K1329" s="39">
        <f>IF($C1329="","",IF(COUNTIFS(DESPACHOS!$B$3:$B$3002,$C1329)=0,"NO EXISTE",IF(COUNTIFS(DESPACHOS!$B$3:$B$3002,$C1329)&gt;1,"DUPLICADO","OK")))</f>
        <v/>
      </c>
      <c r="L1329" s="41" t="n"/>
      <c r="M1329" s="41" t="n"/>
      <c r="N1329" s="42">
        <f>IF($M1329="","",IFERROR(INDEX(LISTAS!$F$3:$F$42,MATCH($M1329,LISTAS!$E$3:$E$42,0)),"Por definir"))</f>
        <v/>
      </c>
      <c r="O1329" s="41" t="n"/>
      <c r="P1329" s="39">
        <f>IF($L1329="","",IFERROR(INDEX(LISTAS!$B$3:$B$42,MATCH($L1329,LISTAS!$A$3:$A$42,0)),"Media"))</f>
        <v/>
      </c>
      <c r="Q1329" s="44" t="n"/>
      <c r="R1329" s="45" t="n"/>
      <c r="S1329" s="20">
        <f>IFERROR(IF(OR($R1329="",$C1329=""),"",$R1329/INDEX(DESPACHOS!$M$3:$M$3002,MATCH($C1329,DESPACHOS!$B$3:$B$3002,0))),"")</f>
        <v/>
      </c>
      <c r="T1329" s="41" t="n"/>
      <c r="U1329" s="43">
        <f>IF(OR($B1329="",$L1329=""),"",WORKDAY($B1329,IFERROR(INDEX(LISTAS!$C$3:$C$42,MATCH($L1329,LISTAS!$A$3:$A$42,0)),3)))</f>
        <v/>
      </c>
      <c r="V1329" s="40" t="n"/>
      <c r="W1329" s="19">
        <f>IF($B1329="","",IF($V1329&lt;&gt;"",$V1329-$B1329,TODAY()-$B1329))</f>
        <v/>
      </c>
      <c r="X1329" s="19">
        <f>IF(OR($B1329="",$U1329=""),"",IF($V1329&lt;&gt;"",MAX(0,$V1329-$U1329),MAX(0,TODAY()-$U1329)))</f>
        <v/>
      </c>
      <c r="Y1329" s="39">
        <f>IF($C1329="","",IF(IFERROR(INDEX(LISTAS!$I$3:$I$42,MATCH($T1329,LISTAS!$H$3:$H$42,0)),"NO")="SÍ",IF(N($X1329)&gt;0,"CERRADA FUERA DE SLA","CERRADA EN SLA"),IF($U1329="","SIN CLASIFICAR",IF(N($X1329)&gt;0,"VENCIDA",IF(TODAY()&gt;=$U1329-1,"POR VENCER","EN PLAZO")))))</f>
        <v/>
      </c>
      <c r="Z1329" s="41" t="n"/>
      <c r="AA1329" s="41" t="n"/>
      <c r="AB1329" s="41" t="n"/>
    </row>
    <row r="1330">
      <c r="A1330" s="39">
        <f>IF($C1330="","","NOV-"&amp;TEXT(ROW()-3,"0000"))</f>
        <v/>
      </c>
      <c r="B1330" s="40" t="n"/>
      <c r="C1330" s="41" t="n"/>
      <c r="D1330" s="42">
        <f>IF($C1330="","",IFERROR(INDEX(DESPACHOS!$D$3:$D$3002,MATCH($C1330,DESPACHOS!$B$3:$B$3002,0)),"SIN DESPACHO"))</f>
        <v/>
      </c>
      <c r="E1330" s="42">
        <f>IF($C1330="","",IFERROR(INDEX(DESPACHOS!$K$3:$K$3002,MATCH($C1330,DESPACHOS!$B$3:$B$3002,0)),""))</f>
        <v/>
      </c>
      <c r="F1330" s="42">
        <f>IF($C1330="","",IFERROR(INDEX(DESPACHOS!$I$3:$I$3002,MATCH($C1330,DESPACHOS!$B$3:$B$3002,0)),""))</f>
        <v/>
      </c>
      <c r="G1330" s="42">
        <f>IF($C1330="","",IFERROR(INDEX(DESPACHOS!$F$3:$F$3002,MATCH($C1330,DESPACHOS!$B$3:$B$3002,0)),""))</f>
        <v/>
      </c>
      <c r="H1330" s="42">
        <f>IF($C1330="","",IFERROR(INDEX(DESPACHOS!$G$3:$G$3002,MATCH($C1330,DESPACHOS!$B$3:$B$3002,0)),""))</f>
        <v/>
      </c>
      <c r="I1330" s="39">
        <f>IF($C1330="","",IFERROR(INDEX(DESPACHOS!$H$3:$H$3002,MATCH($C1330,DESPACHOS!$B$3:$B$3002,0)),""))</f>
        <v/>
      </c>
      <c r="J1330" s="43">
        <f>IF($C1330="","",IFERROR(INDEX(DESPACHOS!$J$3:$J$3002,MATCH($C1330,DESPACHOS!$B$3:$B$3002,0)),""))</f>
        <v/>
      </c>
      <c r="K1330" s="39">
        <f>IF($C1330="","",IF(COUNTIFS(DESPACHOS!$B$3:$B$3002,$C1330)=0,"NO EXISTE",IF(COUNTIFS(DESPACHOS!$B$3:$B$3002,$C1330)&gt;1,"DUPLICADO","OK")))</f>
        <v/>
      </c>
      <c r="L1330" s="41" t="n"/>
      <c r="M1330" s="41" t="n"/>
      <c r="N1330" s="42">
        <f>IF($M1330="","",IFERROR(INDEX(LISTAS!$F$3:$F$42,MATCH($M1330,LISTAS!$E$3:$E$42,0)),"Por definir"))</f>
        <v/>
      </c>
      <c r="O1330" s="41" t="n"/>
      <c r="P1330" s="39">
        <f>IF($L1330="","",IFERROR(INDEX(LISTAS!$B$3:$B$42,MATCH($L1330,LISTAS!$A$3:$A$42,0)),"Media"))</f>
        <v/>
      </c>
      <c r="Q1330" s="44" t="n"/>
      <c r="R1330" s="45" t="n"/>
      <c r="S1330" s="20">
        <f>IFERROR(IF(OR($R1330="",$C1330=""),"",$R1330/INDEX(DESPACHOS!$M$3:$M$3002,MATCH($C1330,DESPACHOS!$B$3:$B$3002,0))),"")</f>
        <v/>
      </c>
      <c r="T1330" s="41" t="n"/>
      <c r="U1330" s="43">
        <f>IF(OR($B1330="",$L1330=""),"",WORKDAY($B1330,IFERROR(INDEX(LISTAS!$C$3:$C$42,MATCH($L1330,LISTAS!$A$3:$A$42,0)),3)))</f>
        <v/>
      </c>
      <c r="V1330" s="40" t="n"/>
      <c r="W1330" s="19">
        <f>IF($B1330="","",IF($V1330&lt;&gt;"",$V1330-$B1330,TODAY()-$B1330))</f>
        <v/>
      </c>
      <c r="X1330" s="19">
        <f>IF(OR($B1330="",$U1330=""),"",IF($V1330&lt;&gt;"",MAX(0,$V1330-$U1330),MAX(0,TODAY()-$U1330)))</f>
        <v/>
      </c>
      <c r="Y1330" s="39">
        <f>IF($C1330="","",IF(IFERROR(INDEX(LISTAS!$I$3:$I$42,MATCH($T1330,LISTAS!$H$3:$H$42,0)),"NO")="SÍ",IF(N($X1330)&gt;0,"CERRADA FUERA DE SLA","CERRADA EN SLA"),IF($U1330="","SIN CLASIFICAR",IF(N($X1330)&gt;0,"VENCIDA",IF(TODAY()&gt;=$U1330-1,"POR VENCER","EN PLAZO")))))</f>
        <v/>
      </c>
      <c r="Z1330" s="41" t="n"/>
      <c r="AA1330" s="41" t="n"/>
      <c r="AB1330" s="41" t="n"/>
    </row>
    <row r="1331">
      <c r="A1331" s="39">
        <f>IF($C1331="","","NOV-"&amp;TEXT(ROW()-3,"0000"))</f>
        <v/>
      </c>
      <c r="B1331" s="40" t="n"/>
      <c r="C1331" s="41" t="n"/>
      <c r="D1331" s="42">
        <f>IF($C1331="","",IFERROR(INDEX(DESPACHOS!$D$3:$D$3002,MATCH($C1331,DESPACHOS!$B$3:$B$3002,0)),"SIN DESPACHO"))</f>
        <v/>
      </c>
      <c r="E1331" s="42">
        <f>IF($C1331="","",IFERROR(INDEX(DESPACHOS!$K$3:$K$3002,MATCH($C1331,DESPACHOS!$B$3:$B$3002,0)),""))</f>
        <v/>
      </c>
      <c r="F1331" s="42">
        <f>IF($C1331="","",IFERROR(INDEX(DESPACHOS!$I$3:$I$3002,MATCH($C1331,DESPACHOS!$B$3:$B$3002,0)),""))</f>
        <v/>
      </c>
      <c r="G1331" s="42">
        <f>IF($C1331="","",IFERROR(INDEX(DESPACHOS!$F$3:$F$3002,MATCH($C1331,DESPACHOS!$B$3:$B$3002,0)),""))</f>
        <v/>
      </c>
      <c r="H1331" s="42">
        <f>IF($C1331="","",IFERROR(INDEX(DESPACHOS!$G$3:$G$3002,MATCH($C1331,DESPACHOS!$B$3:$B$3002,0)),""))</f>
        <v/>
      </c>
      <c r="I1331" s="39">
        <f>IF($C1331="","",IFERROR(INDEX(DESPACHOS!$H$3:$H$3002,MATCH($C1331,DESPACHOS!$B$3:$B$3002,0)),""))</f>
        <v/>
      </c>
      <c r="J1331" s="43">
        <f>IF($C1331="","",IFERROR(INDEX(DESPACHOS!$J$3:$J$3002,MATCH($C1331,DESPACHOS!$B$3:$B$3002,0)),""))</f>
        <v/>
      </c>
      <c r="K1331" s="39">
        <f>IF($C1331="","",IF(COUNTIFS(DESPACHOS!$B$3:$B$3002,$C1331)=0,"NO EXISTE",IF(COUNTIFS(DESPACHOS!$B$3:$B$3002,$C1331)&gt;1,"DUPLICADO","OK")))</f>
        <v/>
      </c>
      <c r="L1331" s="41" t="n"/>
      <c r="M1331" s="41" t="n"/>
      <c r="N1331" s="42">
        <f>IF($M1331="","",IFERROR(INDEX(LISTAS!$F$3:$F$42,MATCH($M1331,LISTAS!$E$3:$E$42,0)),"Por definir"))</f>
        <v/>
      </c>
      <c r="O1331" s="41" t="n"/>
      <c r="P1331" s="39">
        <f>IF($L1331="","",IFERROR(INDEX(LISTAS!$B$3:$B$42,MATCH($L1331,LISTAS!$A$3:$A$42,0)),"Media"))</f>
        <v/>
      </c>
      <c r="Q1331" s="44" t="n"/>
      <c r="R1331" s="45" t="n"/>
      <c r="S1331" s="20">
        <f>IFERROR(IF(OR($R1331="",$C1331=""),"",$R1331/INDEX(DESPACHOS!$M$3:$M$3002,MATCH($C1331,DESPACHOS!$B$3:$B$3002,0))),"")</f>
        <v/>
      </c>
      <c r="T1331" s="41" t="n"/>
      <c r="U1331" s="43">
        <f>IF(OR($B1331="",$L1331=""),"",WORKDAY($B1331,IFERROR(INDEX(LISTAS!$C$3:$C$42,MATCH($L1331,LISTAS!$A$3:$A$42,0)),3)))</f>
        <v/>
      </c>
      <c r="V1331" s="40" t="n"/>
      <c r="W1331" s="19">
        <f>IF($B1331="","",IF($V1331&lt;&gt;"",$V1331-$B1331,TODAY()-$B1331))</f>
        <v/>
      </c>
      <c r="X1331" s="19">
        <f>IF(OR($B1331="",$U1331=""),"",IF($V1331&lt;&gt;"",MAX(0,$V1331-$U1331),MAX(0,TODAY()-$U1331)))</f>
        <v/>
      </c>
      <c r="Y1331" s="39">
        <f>IF($C1331="","",IF(IFERROR(INDEX(LISTAS!$I$3:$I$42,MATCH($T1331,LISTAS!$H$3:$H$42,0)),"NO")="SÍ",IF(N($X1331)&gt;0,"CERRADA FUERA DE SLA","CERRADA EN SLA"),IF($U1331="","SIN CLASIFICAR",IF(N($X1331)&gt;0,"VENCIDA",IF(TODAY()&gt;=$U1331-1,"POR VENCER","EN PLAZO")))))</f>
        <v/>
      </c>
      <c r="Z1331" s="41" t="n"/>
      <c r="AA1331" s="41" t="n"/>
      <c r="AB1331" s="41" t="n"/>
    </row>
    <row r="1332">
      <c r="A1332" s="39">
        <f>IF($C1332="","","NOV-"&amp;TEXT(ROW()-3,"0000"))</f>
        <v/>
      </c>
      <c r="B1332" s="40" t="n"/>
      <c r="C1332" s="41" t="n"/>
      <c r="D1332" s="42">
        <f>IF($C1332="","",IFERROR(INDEX(DESPACHOS!$D$3:$D$3002,MATCH($C1332,DESPACHOS!$B$3:$B$3002,0)),"SIN DESPACHO"))</f>
        <v/>
      </c>
      <c r="E1332" s="42">
        <f>IF($C1332="","",IFERROR(INDEX(DESPACHOS!$K$3:$K$3002,MATCH($C1332,DESPACHOS!$B$3:$B$3002,0)),""))</f>
        <v/>
      </c>
      <c r="F1332" s="42">
        <f>IF($C1332="","",IFERROR(INDEX(DESPACHOS!$I$3:$I$3002,MATCH($C1332,DESPACHOS!$B$3:$B$3002,0)),""))</f>
        <v/>
      </c>
      <c r="G1332" s="42">
        <f>IF($C1332="","",IFERROR(INDEX(DESPACHOS!$F$3:$F$3002,MATCH($C1332,DESPACHOS!$B$3:$B$3002,0)),""))</f>
        <v/>
      </c>
      <c r="H1332" s="42">
        <f>IF($C1332="","",IFERROR(INDEX(DESPACHOS!$G$3:$G$3002,MATCH($C1332,DESPACHOS!$B$3:$B$3002,0)),""))</f>
        <v/>
      </c>
      <c r="I1332" s="39">
        <f>IF($C1332="","",IFERROR(INDEX(DESPACHOS!$H$3:$H$3002,MATCH($C1332,DESPACHOS!$B$3:$B$3002,0)),""))</f>
        <v/>
      </c>
      <c r="J1332" s="43">
        <f>IF($C1332="","",IFERROR(INDEX(DESPACHOS!$J$3:$J$3002,MATCH($C1332,DESPACHOS!$B$3:$B$3002,0)),""))</f>
        <v/>
      </c>
      <c r="K1332" s="39">
        <f>IF($C1332="","",IF(COUNTIFS(DESPACHOS!$B$3:$B$3002,$C1332)=0,"NO EXISTE",IF(COUNTIFS(DESPACHOS!$B$3:$B$3002,$C1332)&gt;1,"DUPLICADO","OK")))</f>
        <v/>
      </c>
      <c r="L1332" s="41" t="n"/>
      <c r="M1332" s="41" t="n"/>
      <c r="N1332" s="42">
        <f>IF($M1332="","",IFERROR(INDEX(LISTAS!$F$3:$F$42,MATCH($M1332,LISTAS!$E$3:$E$42,0)),"Por definir"))</f>
        <v/>
      </c>
      <c r="O1332" s="41" t="n"/>
      <c r="P1332" s="39">
        <f>IF($L1332="","",IFERROR(INDEX(LISTAS!$B$3:$B$42,MATCH($L1332,LISTAS!$A$3:$A$42,0)),"Media"))</f>
        <v/>
      </c>
      <c r="Q1332" s="44" t="n"/>
      <c r="R1332" s="45" t="n"/>
      <c r="S1332" s="20">
        <f>IFERROR(IF(OR($R1332="",$C1332=""),"",$R1332/INDEX(DESPACHOS!$M$3:$M$3002,MATCH($C1332,DESPACHOS!$B$3:$B$3002,0))),"")</f>
        <v/>
      </c>
      <c r="T1332" s="41" t="n"/>
      <c r="U1332" s="43">
        <f>IF(OR($B1332="",$L1332=""),"",WORKDAY($B1332,IFERROR(INDEX(LISTAS!$C$3:$C$42,MATCH($L1332,LISTAS!$A$3:$A$42,0)),3)))</f>
        <v/>
      </c>
      <c r="V1332" s="40" t="n"/>
      <c r="W1332" s="19">
        <f>IF($B1332="","",IF($V1332&lt;&gt;"",$V1332-$B1332,TODAY()-$B1332))</f>
        <v/>
      </c>
      <c r="X1332" s="19">
        <f>IF(OR($B1332="",$U1332=""),"",IF($V1332&lt;&gt;"",MAX(0,$V1332-$U1332),MAX(0,TODAY()-$U1332)))</f>
        <v/>
      </c>
      <c r="Y1332" s="39">
        <f>IF($C1332="","",IF(IFERROR(INDEX(LISTAS!$I$3:$I$42,MATCH($T1332,LISTAS!$H$3:$H$42,0)),"NO")="SÍ",IF(N($X1332)&gt;0,"CERRADA FUERA DE SLA","CERRADA EN SLA"),IF($U1332="","SIN CLASIFICAR",IF(N($X1332)&gt;0,"VENCIDA",IF(TODAY()&gt;=$U1332-1,"POR VENCER","EN PLAZO")))))</f>
        <v/>
      </c>
      <c r="Z1332" s="41" t="n"/>
      <c r="AA1332" s="41" t="n"/>
      <c r="AB1332" s="41" t="n"/>
    </row>
    <row r="1333">
      <c r="A1333" s="39">
        <f>IF($C1333="","","NOV-"&amp;TEXT(ROW()-3,"0000"))</f>
        <v/>
      </c>
      <c r="B1333" s="40" t="n"/>
      <c r="C1333" s="41" t="n"/>
      <c r="D1333" s="42">
        <f>IF($C1333="","",IFERROR(INDEX(DESPACHOS!$D$3:$D$3002,MATCH($C1333,DESPACHOS!$B$3:$B$3002,0)),"SIN DESPACHO"))</f>
        <v/>
      </c>
      <c r="E1333" s="42">
        <f>IF($C1333="","",IFERROR(INDEX(DESPACHOS!$K$3:$K$3002,MATCH($C1333,DESPACHOS!$B$3:$B$3002,0)),""))</f>
        <v/>
      </c>
      <c r="F1333" s="42">
        <f>IF($C1333="","",IFERROR(INDEX(DESPACHOS!$I$3:$I$3002,MATCH($C1333,DESPACHOS!$B$3:$B$3002,0)),""))</f>
        <v/>
      </c>
      <c r="G1333" s="42">
        <f>IF($C1333="","",IFERROR(INDEX(DESPACHOS!$F$3:$F$3002,MATCH($C1333,DESPACHOS!$B$3:$B$3002,0)),""))</f>
        <v/>
      </c>
      <c r="H1333" s="42">
        <f>IF($C1333="","",IFERROR(INDEX(DESPACHOS!$G$3:$G$3002,MATCH($C1333,DESPACHOS!$B$3:$B$3002,0)),""))</f>
        <v/>
      </c>
      <c r="I1333" s="39">
        <f>IF($C1333="","",IFERROR(INDEX(DESPACHOS!$H$3:$H$3002,MATCH($C1333,DESPACHOS!$B$3:$B$3002,0)),""))</f>
        <v/>
      </c>
      <c r="J1333" s="43">
        <f>IF($C1333="","",IFERROR(INDEX(DESPACHOS!$J$3:$J$3002,MATCH($C1333,DESPACHOS!$B$3:$B$3002,0)),""))</f>
        <v/>
      </c>
      <c r="K1333" s="39">
        <f>IF($C1333="","",IF(COUNTIFS(DESPACHOS!$B$3:$B$3002,$C1333)=0,"NO EXISTE",IF(COUNTIFS(DESPACHOS!$B$3:$B$3002,$C1333)&gt;1,"DUPLICADO","OK")))</f>
        <v/>
      </c>
      <c r="L1333" s="41" t="n"/>
      <c r="M1333" s="41" t="n"/>
      <c r="N1333" s="42">
        <f>IF($M1333="","",IFERROR(INDEX(LISTAS!$F$3:$F$42,MATCH($M1333,LISTAS!$E$3:$E$42,0)),"Por definir"))</f>
        <v/>
      </c>
      <c r="O1333" s="41" t="n"/>
      <c r="P1333" s="39">
        <f>IF($L1333="","",IFERROR(INDEX(LISTAS!$B$3:$B$42,MATCH($L1333,LISTAS!$A$3:$A$42,0)),"Media"))</f>
        <v/>
      </c>
      <c r="Q1333" s="44" t="n"/>
      <c r="R1333" s="45" t="n"/>
      <c r="S1333" s="20">
        <f>IFERROR(IF(OR($R1333="",$C1333=""),"",$R1333/INDEX(DESPACHOS!$M$3:$M$3002,MATCH($C1333,DESPACHOS!$B$3:$B$3002,0))),"")</f>
        <v/>
      </c>
      <c r="T1333" s="41" t="n"/>
      <c r="U1333" s="43">
        <f>IF(OR($B1333="",$L1333=""),"",WORKDAY($B1333,IFERROR(INDEX(LISTAS!$C$3:$C$42,MATCH($L1333,LISTAS!$A$3:$A$42,0)),3)))</f>
        <v/>
      </c>
      <c r="V1333" s="40" t="n"/>
      <c r="W1333" s="19">
        <f>IF($B1333="","",IF($V1333&lt;&gt;"",$V1333-$B1333,TODAY()-$B1333))</f>
        <v/>
      </c>
      <c r="X1333" s="19">
        <f>IF(OR($B1333="",$U1333=""),"",IF($V1333&lt;&gt;"",MAX(0,$V1333-$U1333),MAX(0,TODAY()-$U1333)))</f>
        <v/>
      </c>
      <c r="Y1333" s="39">
        <f>IF($C1333="","",IF(IFERROR(INDEX(LISTAS!$I$3:$I$42,MATCH($T1333,LISTAS!$H$3:$H$42,0)),"NO")="SÍ",IF(N($X1333)&gt;0,"CERRADA FUERA DE SLA","CERRADA EN SLA"),IF($U1333="","SIN CLASIFICAR",IF(N($X1333)&gt;0,"VENCIDA",IF(TODAY()&gt;=$U1333-1,"POR VENCER","EN PLAZO")))))</f>
        <v/>
      </c>
      <c r="Z1333" s="41" t="n"/>
      <c r="AA1333" s="41" t="n"/>
      <c r="AB1333" s="41" t="n"/>
    </row>
    <row r="1334">
      <c r="A1334" s="39">
        <f>IF($C1334="","","NOV-"&amp;TEXT(ROW()-3,"0000"))</f>
        <v/>
      </c>
      <c r="B1334" s="40" t="n"/>
      <c r="C1334" s="41" t="n"/>
      <c r="D1334" s="42">
        <f>IF($C1334="","",IFERROR(INDEX(DESPACHOS!$D$3:$D$3002,MATCH($C1334,DESPACHOS!$B$3:$B$3002,0)),"SIN DESPACHO"))</f>
        <v/>
      </c>
      <c r="E1334" s="42">
        <f>IF($C1334="","",IFERROR(INDEX(DESPACHOS!$K$3:$K$3002,MATCH($C1334,DESPACHOS!$B$3:$B$3002,0)),""))</f>
        <v/>
      </c>
      <c r="F1334" s="42">
        <f>IF($C1334="","",IFERROR(INDEX(DESPACHOS!$I$3:$I$3002,MATCH($C1334,DESPACHOS!$B$3:$B$3002,0)),""))</f>
        <v/>
      </c>
      <c r="G1334" s="42">
        <f>IF($C1334="","",IFERROR(INDEX(DESPACHOS!$F$3:$F$3002,MATCH($C1334,DESPACHOS!$B$3:$B$3002,0)),""))</f>
        <v/>
      </c>
      <c r="H1334" s="42">
        <f>IF($C1334="","",IFERROR(INDEX(DESPACHOS!$G$3:$G$3002,MATCH($C1334,DESPACHOS!$B$3:$B$3002,0)),""))</f>
        <v/>
      </c>
      <c r="I1334" s="39">
        <f>IF($C1334="","",IFERROR(INDEX(DESPACHOS!$H$3:$H$3002,MATCH($C1334,DESPACHOS!$B$3:$B$3002,0)),""))</f>
        <v/>
      </c>
      <c r="J1334" s="43">
        <f>IF($C1334="","",IFERROR(INDEX(DESPACHOS!$J$3:$J$3002,MATCH($C1334,DESPACHOS!$B$3:$B$3002,0)),""))</f>
        <v/>
      </c>
      <c r="K1334" s="39">
        <f>IF($C1334="","",IF(COUNTIFS(DESPACHOS!$B$3:$B$3002,$C1334)=0,"NO EXISTE",IF(COUNTIFS(DESPACHOS!$B$3:$B$3002,$C1334)&gt;1,"DUPLICADO","OK")))</f>
        <v/>
      </c>
      <c r="L1334" s="41" t="n"/>
      <c r="M1334" s="41" t="n"/>
      <c r="N1334" s="42">
        <f>IF($M1334="","",IFERROR(INDEX(LISTAS!$F$3:$F$42,MATCH($M1334,LISTAS!$E$3:$E$42,0)),"Por definir"))</f>
        <v/>
      </c>
      <c r="O1334" s="41" t="n"/>
      <c r="P1334" s="39">
        <f>IF($L1334="","",IFERROR(INDEX(LISTAS!$B$3:$B$42,MATCH($L1334,LISTAS!$A$3:$A$42,0)),"Media"))</f>
        <v/>
      </c>
      <c r="Q1334" s="44" t="n"/>
      <c r="R1334" s="45" t="n"/>
      <c r="S1334" s="20">
        <f>IFERROR(IF(OR($R1334="",$C1334=""),"",$R1334/INDEX(DESPACHOS!$M$3:$M$3002,MATCH($C1334,DESPACHOS!$B$3:$B$3002,0))),"")</f>
        <v/>
      </c>
      <c r="T1334" s="41" t="n"/>
      <c r="U1334" s="43">
        <f>IF(OR($B1334="",$L1334=""),"",WORKDAY($B1334,IFERROR(INDEX(LISTAS!$C$3:$C$42,MATCH($L1334,LISTAS!$A$3:$A$42,0)),3)))</f>
        <v/>
      </c>
      <c r="V1334" s="40" t="n"/>
      <c r="W1334" s="19">
        <f>IF($B1334="","",IF($V1334&lt;&gt;"",$V1334-$B1334,TODAY()-$B1334))</f>
        <v/>
      </c>
      <c r="X1334" s="19">
        <f>IF(OR($B1334="",$U1334=""),"",IF($V1334&lt;&gt;"",MAX(0,$V1334-$U1334),MAX(0,TODAY()-$U1334)))</f>
        <v/>
      </c>
      <c r="Y1334" s="39">
        <f>IF($C1334="","",IF(IFERROR(INDEX(LISTAS!$I$3:$I$42,MATCH($T1334,LISTAS!$H$3:$H$42,0)),"NO")="SÍ",IF(N($X1334)&gt;0,"CERRADA FUERA DE SLA","CERRADA EN SLA"),IF($U1334="","SIN CLASIFICAR",IF(N($X1334)&gt;0,"VENCIDA",IF(TODAY()&gt;=$U1334-1,"POR VENCER","EN PLAZO")))))</f>
        <v/>
      </c>
      <c r="Z1334" s="41" t="n"/>
      <c r="AA1334" s="41" t="n"/>
      <c r="AB1334" s="41" t="n"/>
    </row>
    <row r="1335">
      <c r="A1335" s="39">
        <f>IF($C1335="","","NOV-"&amp;TEXT(ROW()-3,"0000"))</f>
        <v/>
      </c>
      <c r="B1335" s="40" t="n"/>
      <c r="C1335" s="41" t="n"/>
      <c r="D1335" s="42">
        <f>IF($C1335="","",IFERROR(INDEX(DESPACHOS!$D$3:$D$3002,MATCH($C1335,DESPACHOS!$B$3:$B$3002,0)),"SIN DESPACHO"))</f>
        <v/>
      </c>
      <c r="E1335" s="42">
        <f>IF($C1335="","",IFERROR(INDEX(DESPACHOS!$K$3:$K$3002,MATCH($C1335,DESPACHOS!$B$3:$B$3002,0)),""))</f>
        <v/>
      </c>
      <c r="F1335" s="42">
        <f>IF($C1335="","",IFERROR(INDEX(DESPACHOS!$I$3:$I$3002,MATCH($C1335,DESPACHOS!$B$3:$B$3002,0)),""))</f>
        <v/>
      </c>
      <c r="G1335" s="42">
        <f>IF($C1335="","",IFERROR(INDEX(DESPACHOS!$F$3:$F$3002,MATCH($C1335,DESPACHOS!$B$3:$B$3002,0)),""))</f>
        <v/>
      </c>
      <c r="H1335" s="42">
        <f>IF($C1335="","",IFERROR(INDEX(DESPACHOS!$G$3:$G$3002,MATCH($C1335,DESPACHOS!$B$3:$B$3002,0)),""))</f>
        <v/>
      </c>
      <c r="I1335" s="39">
        <f>IF($C1335="","",IFERROR(INDEX(DESPACHOS!$H$3:$H$3002,MATCH($C1335,DESPACHOS!$B$3:$B$3002,0)),""))</f>
        <v/>
      </c>
      <c r="J1335" s="43">
        <f>IF($C1335="","",IFERROR(INDEX(DESPACHOS!$J$3:$J$3002,MATCH($C1335,DESPACHOS!$B$3:$B$3002,0)),""))</f>
        <v/>
      </c>
      <c r="K1335" s="39">
        <f>IF($C1335="","",IF(COUNTIFS(DESPACHOS!$B$3:$B$3002,$C1335)=0,"NO EXISTE",IF(COUNTIFS(DESPACHOS!$B$3:$B$3002,$C1335)&gt;1,"DUPLICADO","OK")))</f>
        <v/>
      </c>
      <c r="L1335" s="41" t="n"/>
      <c r="M1335" s="41" t="n"/>
      <c r="N1335" s="42">
        <f>IF($M1335="","",IFERROR(INDEX(LISTAS!$F$3:$F$42,MATCH($M1335,LISTAS!$E$3:$E$42,0)),"Por definir"))</f>
        <v/>
      </c>
      <c r="O1335" s="41" t="n"/>
      <c r="P1335" s="39">
        <f>IF($L1335="","",IFERROR(INDEX(LISTAS!$B$3:$B$42,MATCH($L1335,LISTAS!$A$3:$A$42,0)),"Media"))</f>
        <v/>
      </c>
      <c r="Q1335" s="44" t="n"/>
      <c r="R1335" s="45" t="n"/>
      <c r="S1335" s="20">
        <f>IFERROR(IF(OR($R1335="",$C1335=""),"",$R1335/INDEX(DESPACHOS!$M$3:$M$3002,MATCH($C1335,DESPACHOS!$B$3:$B$3002,0))),"")</f>
        <v/>
      </c>
      <c r="T1335" s="41" t="n"/>
      <c r="U1335" s="43">
        <f>IF(OR($B1335="",$L1335=""),"",WORKDAY($B1335,IFERROR(INDEX(LISTAS!$C$3:$C$42,MATCH($L1335,LISTAS!$A$3:$A$42,0)),3)))</f>
        <v/>
      </c>
      <c r="V1335" s="40" t="n"/>
      <c r="W1335" s="19">
        <f>IF($B1335="","",IF($V1335&lt;&gt;"",$V1335-$B1335,TODAY()-$B1335))</f>
        <v/>
      </c>
      <c r="X1335" s="19">
        <f>IF(OR($B1335="",$U1335=""),"",IF($V1335&lt;&gt;"",MAX(0,$V1335-$U1335),MAX(0,TODAY()-$U1335)))</f>
        <v/>
      </c>
      <c r="Y1335" s="39">
        <f>IF($C1335="","",IF(IFERROR(INDEX(LISTAS!$I$3:$I$42,MATCH($T1335,LISTAS!$H$3:$H$42,0)),"NO")="SÍ",IF(N($X1335)&gt;0,"CERRADA FUERA DE SLA","CERRADA EN SLA"),IF($U1335="","SIN CLASIFICAR",IF(N($X1335)&gt;0,"VENCIDA",IF(TODAY()&gt;=$U1335-1,"POR VENCER","EN PLAZO")))))</f>
        <v/>
      </c>
      <c r="Z1335" s="41" t="n"/>
      <c r="AA1335" s="41" t="n"/>
      <c r="AB1335" s="41" t="n"/>
    </row>
    <row r="1336">
      <c r="A1336" s="39">
        <f>IF($C1336="","","NOV-"&amp;TEXT(ROW()-3,"0000"))</f>
        <v/>
      </c>
      <c r="B1336" s="40" t="n"/>
      <c r="C1336" s="41" t="n"/>
      <c r="D1336" s="42">
        <f>IF($C1336="","",IFERROR(INDEX(DESPACHOS!$D$3:$D$3002,MATCH($C1336,DESPACHOS!$B$3:$B$3002,0)),"SIN DESPACHO"))</f>
        <v/>
      </c>
      <c r="E1336" s="42">
        <f>IF($C1336="","",IFERROR(INDEX(DESPACHOS!$K$3:$K$3002,MATCH($C1336,DESPACHOS!$B$3:$B$3002,0)),""))</f>
        <v/>
      </c>
      <c r="F1336" s="42">
        <f>IF($C1336="","",IFERROR(INDEX(DESPACHOS!$I$3:$I$3002,MATCH($C1336,DESPACHOS!$B$3:$B$3002,0)),""))</f>
        <v/>
      </c>
      <c r="G1336" s="42">
        <f>IF($C1336="","",IFERROR(INDEX(DESPACHOS!$F$3:$F$3002,MATCH($C1336,DESPACHOS!$B$3:$B$3002,0)),""))</f>
        <v/>
      </c>
      <c r="H1336" s="42">
        <f>IF($C1336="","",IFERROR(INDEX(DESPACHOS!$G$3:$G$3002,MATCH($C1336,DESPACHOS!$B$3:$B$3002,0)),""))</f>
        <v/>
      </c>
      <c r="I1336" s="39">
        <f>IF($C1336="","",IFERROR(INDEX(DESPACHOS!$H$3:$H$3002,MATCH($C1336,DESPACHOS!$B$3:$B$3002,0)),""))</f>
        <v/>
      </c>
      <c r="J1336" s="43">
        <f>IF($C1336="","",IFERROR(INDEX(DESPACHOS!$J$3:$J$3002,MATCH($C1336,DESPACHOS!$B$3:$B$3002,0)),""))</f>
        <v/>
      </c>
      <c r="K1336" s="39">
        <f>IF($C1336="","",IF(COUNTIFS(DESPACHOS!$B$3:$B$3002,$C1336)=0,"NO EXISTE",IF(COUNTIFS(DESPACHOS!$B$3:$B$3002,$C1336)&gt;1,"DUPLICADO","OK")))</f>
        <v/>
      </c>
      <c r="L1336" s="41" t="n"/>
      <c r="M1336" s="41" t="n"/>
      <c r="N1336" s="42">
        <f>IF($M1336="","",IFERROR(INDEX(LISTAS!$F$3:$F$42,MATCH($M1336,LISTAS!$E$3:$E$42,0)),"Por definir"))</f>
        <v/>
      </c>
      <c r="O1336" s="41" t="n"/>
      <c r="P1336" s="39">
        <f>IF($L1336="","",IFERROR(INDEX(LISTAS!$B$3:$B$42,MATCH($L1336,LISTAS!$A$3:$A$42,0)),"Media"))</f>
        <v/>
      </c>
      <c r="Q1336" s="44" t="n"/>
      <c r="R1336" s="45" t="n"/>
      <c r="S1336" s="20">
        <f>IFERROR(IF(OR($R1336="",$C1336=""),"",$R1336/INDEX(DESPACHOS!$M$3:$M$3002,MATCH($C1336,DESPACHOS!$B$3:$B$3002,0))),"")</f>
        <v/>
      </c>
      <c r="T1336" s="41" t="n"/>
      <c r="U1336" s="43">
        <f>IF(OR($B1336="",$L1336=""),"",WORKDAY($B1336,IFERROR(INDEX(LISTAS!$C$3:$C$42,MATCH($L1336,LISTAS!$A$3:$A$42,0)),3)))</f>
        <v/>
      </c>
      <c r="V1336" s="40" t="n"/>
      <c r="W1336" s="19">
        <f>IF($B1336="","",IF($V1336&lt;&gt;"",$V1336-$B1336,TODAY()-$B1336))</f>
        <v/>
      </c>
      <c r="X1336" s="19">
        <f>IF(OR($B1336="",$U1336=""),"",IF($V1336&lt;&gt;"",MAX(0,$V1336-$U1336),MAX(0,TODAY()-$U1336)))</f>
        <v/>
      </c>
      <c r="Y1336" s="39">
        <f>IF($C1336="","",IF(IFERROR(INDEX(LISTAS!$I$3:$I$42,MATCH($T1336,LISTAS!$H$3:$H$42,0)),"NO")="SÍ",IF(N($X1336)&gt;0,"CERRADA FUERA DE SLA","CERRADA EN SLA"),IF($U1336="","SIN CLASIFICAR",IF(N($X1336)&gt;0,"VENCIDA",IF(TODAY()&gt;=$U1336-1,"POR VENCER","EN PLAZO")))))</f>
        <v/>
      </c>
      <c r="Z1336" s="41" t="n"/>
      <c r="AA1336" s="41" t="n"/>
      <c r="AB1336" s="41" t="n"/>
    </row>
    <row r="1337">
      <c r="A1337" s="39">
        <f>IF($C1337="","","NOV-"&amp;TEXT(ROW()-3,"0000"))</f>
        <v/>
      </c>
      <c r="B1337" s="40" t="n"/>
      <c r="C1337" s="41" t="n"/>
      <c r="D1337" s="42">
        <f>IF($C1337="","",IFERROR(INDEX(DESPACHOS!$D$3:$D$3002,MATCH($C1337,DESPACHOS!$B$3:$B$3002,0)),"SIN DESPACHO"))</f>
        <v/>
      </c>
      <c r="E1337" s="42">
        <f>IF($C1337="","",IFERROR(INDEX(DESPACHOS!$K$3:$K$3002,MATCH($C1337,DESPACHOS!$B$3:$B$3002,0)),""))</f>
        <v/>
      </c>
      <c r="F1337" s="42">
        <f>IF($C1337="","",IFERROR(INDEX(DESPACHOS!$I$3:$I$3002,MATCH($C1337,DESPACHOS!$B$3:$B$3002,0)),""))</f>
        <v/>
      </c>
      <c r="G1337" s="42">
        <f>IF($C1337="","",IFERROR(INDEX(DESPACHOS!$F$3:$F$3002,MATCH($C1337,DESPACHOS!$B$3:$B$3002,0)),""))</f>
        <v/>
      </c>
      <c r="H1337" s="42">
        <f>IF($C1337="","",IFERROR(INDEX(DESPACHOS!$G$3:$G$3002,MATCH($C1337,DESPACHOS!$B$3:$B$3002,0)),""))</f>
        <v/>
      </c>
      <c r="I1337" s="39">
        <f>IF($C1337="","",IFERROR(INDEX(DESPACHOS!$H$3:$H$3002,MATCH($C1337,DESPACHOS!$B$3:$B$3002,0)),""))</f>
        <v/>
      </c>
      <c r="J1337" s="43">
        <f>IF($C1337="","",IFERROR(INDEX(DESPACHOS!$J$3:$J$3002,MATCH($C1337,DESPACHOS!$B$3:$B$3002,0)),""))</f>
        <v/>
      </c>
      <c r="K1337" s="39">
        <f>IF($C1337="","",IF(COUNTIFS(DESPACHOS!$B$3:$B$3002,$C1337)=0,"NO EXISTE",IF(COUNTIFS(DESPACHOS!$B$3:$B$3002,$C1337)&gt;1,"DUPLICADO","OK")))</f>
        <v/>
      </c>
      <c r="L1337" s="41" t="n"/>
      <c r="M1337" s="41" t="n"/>
      <c r="N1337" s="42">
        <f>IF($M1337="","",IFERROR(INDEX(LISTAS!$F$3:$F$42,MATCH($M1337,LISTAS!$E$3:$E$42,0)),"Por definir"))</f>
        <v/>
      </c>
      <c r="O1337" s="41" t="n"/>
      <c r="P1337" s="39">
        <f>IF($L1337="","",IFERROR(INDEX(LISTAS!$B$3:$B$42,MATCH($L1337,LISTAS!$A$3:$A$42,0)),"Media"))</f>
        <v/>
      </c>
      <c r="Q1337" s="44" t="n"/>
      <c r="R1337" s="45" t="n"/>
      <c r="S1337" s="20">
        <f>IFERROR(IF(OR($R1337="",$C1337=""),"",$R1337/INDEX(DESPACHOS!$M$3:$M$3002,MATCH($C1337,DESPACHOS!$B$3:$B$3002,0))),"")</f>
        <v/>
      </c>
      <c r="T1337" s="41" t="n"/>
      <c r="U1337" s="43">
        <f>IF(OR($B1337="",$L1337=""),"",WORKDAY($B1337,IFERROR(INDEX(LISTAS!$C$3:$C$42,MATCH($L1337,LISTAS!$A$3:$A$42,0)),3)))</f>
        <v/>
      </c>
      <c r="V1337" s="40" t="n"/>
      <c r="W1337" s="19">
        <f>IF($B1337="","",IF($V1337&lt;&gt;"",$V1337-$B1337,TODAY()-$B1337))</f>
        <v/>
      </c>
      <c r="X1337" s="19">
        <f>IF(OR($B1337="",$U1337=""),"",IF($V1337&lt;&gt;"",MAX(0,$V1337-$U1337),MAX(0,TODAY()-$U1337)))</f>
        <v/>
      </c>
      <c r="Y1337" s="39">
        <f>IF($C1337="","",IF(IFERROR(INDEX(LISTAS!$I$3:$I$42,MATCH($T1337,LISTAS!$H$3:$H$42,0)),"NO")="SÍ",IF(N($X1337)&gt;0,"CERRADA FUERA DE SLA","CERRADA EN SLA"),IF($U1337="","SIN CLASIFICAR",IF(N($X1337)&gt;0,"VENCIDA",IF(TODAY()&gt;=$U1337-1,"POR VENCER","EN PLAZO")))))</f>
        <v/>
      </c>
      <c r="Z1337" s="41" t="n"/>
      <c r="AA1337" s="41" t="n"/>
      <c r="AB1337" s="41" t="n"/>
    </row>
    <row r="1338">
      <c r="A1338" s="39">
        <f>IF($C1338="","","NOV-"&amp;TEXT(ROW()-3,"0000"))</f>
        <v/>
      </c>
      <c r="B1338" s="40" t="n"/>
      <c r="C1338" s="41" t="n"/>
      <c r="D1338" s="42">
        <f>IF($C1338="","",IFERROR(INDEX(DESPACHOS!$D$3:$D$3002,MATCH($C1338,DESPACHOS!$B$3:$B$3002,0)),"SIN DESPACHO"))</f>
        <v/>
      </c>
      <c r="E1338" s="42">
        <f>IF($C1338="","",IFERROR(INDEX(DESPACHOS!$K$3:$K$3002,MATCH($C1338,DESPACHOS!$B$3:$B$3002,0)),""))</f>
        <v/>
      </c>
      <c r="F1338" s="42">
        <f>IF($C1338="","",IFERROR(INDEX(DESPACHOS!$I$3:$I$3002,MATCH($C1338,DESPACHOS!$B$3:$B$3002,0)),""))</f>
        <v/>
      </c>
      <c r="G1338" s="42">
        <f>IF($C1338="","",IFERROR(INDEX(DESPACHOS!$F$3:$F$3002,MATCH($C1338,DESPACHOS!$B$3:$B$3002,0)),""))</f>
        <v/>
      </c>
      <c r="H1338" s="42">
        <f>IF($C1338="","",IFERROR(INDEX(DESPACHOS!$G$3:$G$3002,MATCH($C1338,DESPACHOS!$B$3:$B$3002,0)),""))</f>
        <v/>
      </c>
      <c r="I1338" s="39">
        <f>IF($C1338="","",IFERROR(INDEX(DESPACHOS!$H$3:$H$3002,MATCH($C1338,DESPACHOS!$B$3:$B$3002,0)),""))</f>
        <v/>
      </c>
      <c r="J1338" s="43">
        <f>IF($C1338="","",IFERROR(INDEX(DESPACHOS!$J$3:$J$3002,MATCH($C1338,DESPACHOS!$B$3:$B$3002,0)),""))</f>
        <v/>
      </c>
      <c r="K1338" s="39">
        <f>IF($C1338="","",IF(COUNTIFS(DESPACHOS!$B$3:$B$3002,$C1338)=0,"NO EXISTE",IF(COUNTIFS(DESPACHOS!$B$3:$B$3002,$C1338)&gt;1,"DUPLICADO","OK")))</f>
        <v/>
      </c>
      <c r="L1338" s="41" t="n"/>
      <c r="M1338" s="41" t="n"/>
      <c r="N1338" s="42">
        <f>IF($M1338="","",IFERROR(INDEX(LISTAS!$F$3:$F$42,MATCH($M1338,LISTAS!$E$3:$E$42,0)),"Por definir"))</f>
        <v/>
      </c>
      <c r="O1338" s="41" t="n"/>
      <c r="P1338" s="39">
        <f>IF($L1338="","",IFERROR(INDEX(LISTAS!$B$3:$B$42,MATCH($L1338,LISTAS!$A$3:$A$42,0)),"Media"))</f>
        <v/>
      </c>
      <c r="Q1338" s="44" t="n"/>
      <c r="R1338" s="45" t="n"/>
      <c r="S1338" s="20">
        <f>IFERROR(IF(OR($R1338="",$C1338=""),"",$R1338/INDEX(DESPACHOS!$M$3:$M$3002,MATCH($C1338,DESPACHOS!$B$3:$B$3002,0))),"")</f>
        <v/>
      </c>
      <c r="T1338" s="41" t="n"/>
      <c r="U1338" s="43">
        <f>IF(OR($B1338="",$L1338=""),"",WORKDAY($B1338,IFERROR(INDEX(LISTAS!$C$3:$C$42,MATCH($L1338,LISTAS!$A$3:$A$42,0)),3)))</f>
        <v/>
      </c>
      <c r="V1338" s="40" t="n"/>
      <c r="W1338" s="19">
        <f>IF($B1338="","",IF($V1338&lt;&gt;"",$V1338-$B1338,TODAY()-$B1338))</f>
        <v/>
      </c>
      <c r="X1338" s="19">
        <f>IF(OR($B1338="",$U1338=""),"",IF($V1338&lt;&gt;"",MAX(0,$V1338-$U1338),MAX(0,TODAY()-$U1338)))</f>
        <v/>
      </c>
      <c r="Y1338" s="39">
        <f>IF($C1338="","",IF(IFERROR(INDEX(LISTAS!$I$3:$I$42,MATCH($T1338,LISTAS!$H$3:$H$42,0)),"NO")="SÍ",IF(N($X1338)&gt;0,"CERRADA FUERA DE SLA","CERRADA EN SLA"),IF($U1338="","SIN CLASIFICAR",IF(N($X1338)&gt;0,"VENCIDA",IF(TODAY()&gt;=$U1338-1,"POR VENCER","EN PLAZO")))))</f>
        <v/>
      </c>
      <c r="Z1338" s="41" t="n"/>
      <c r="AA1338" s="41" t="n"/>
      <c r="AB1338" s="41" t="n"/>
    </row>
    <row r="1339">
      <c r="A1339" s="39">
        <f>IF($C1339="","","NOV-"&amp;TEXT(ROW()-3,"0000"))</f>
        <v/>
      </c>
      <c r="B1339" s="40" t="n"/>
      <c r="C1339" s="41" t="n"/>
      <c r="D1339" s="42">
        <f>IF($C1339="","",IFERROR(INDEX(DESPACHOS!$D$3:$D$3002,MATCH($C1339,DESPACHOS!$B$3:$B$3002,0)),"SIN DESPACHO"))</f>
        <v/>
      </c>
      <c r="E1339" s="42">
        <f>IF($C1339="","",IFERROR(INDEX(DESPACHOS!$K$3:$K$3002,MATCH($C1339,DESPACHOS!$B$3:$B$3002,0)),""))</f>
        <v/>
      </c>
      <c r="F1339" s="42">
        <f>IF($C1339="","",IFERROR(INDEX(DESPACHOS!$I$3:$I$3002,MATCH($C1339,DESPACHOS!$B$3:$B$3002,0)),""))</f>
        <v/>
      </c>
      <c r="G1339" s="42">
        <f>IF($C1339="","",IFERROR(INDEX(DESPACHOS!$F$3:$F$3002,MATCH($C1339,DESPACHOS!$B$3:$B$3002,0)),""))</f>
        <v/>
      </c>
      <c r="H1339" s="42">
        <f>IF($C1339="","",IFERROR(INDEX(DESPACHOS!$G$3:$G$3002,MATCH($C1339,DESPACHOS!$B$3:$B$3002,0)),""))</f>
        <v/>
      </c>
      <c r="I1339" s="39">
        <f>IF($C1339="","",IFERROR(INDEX(DESPACHOS!$H$3:$H$3002,MATCH($C1339,DESPACHOS!$B$3:$B$3002,0)),""))</f>
        <v/>
      </c>
      <c r="J1339" s="43">
        <f>IF($C1339="","",IFERROR(INDEX(DESPACHOS!$J$3:$J$3002,MATCH($C1339,DESPACHOS!$B$3:$B$3002,0)),""))</f>
        <v/>
      </c>
      <c r="K1339" s="39">
        <f>IF($C1339="","",IF(COUNTIFS(DESPACHOS!$B$3:$B$3002,$C1339)=0,"NO EXISTE",IF(COUNTIFS(DESPACHOS!$B$3:$B$3002,$C1339)&gt;1,"DUPLICADO","OK")))</f>
        <v/>
      </c>
      <c r="L1339" s="41" t="n"/>
      <c r="M1339" s="41" t="n"/>
      <c r="N1339" s="42">
        <f>IF($M1339="","",IFERROR(INDEX(LISTAS!$F$3:$F$42,MATCH($M1339,LISTAS!$E$3:$E$42,0)),"Por definir"))</f>
        <v/>
      </c>
      <c r="O1339" s="41" t="n"/>
      <c r="P1339" s="39">
        <f>IF($L1339="","",IFERROR(INDEX(LISTAS!$B$3:$B$42,MATCH($L1339,LISTAS!$A$3:$A$42,0)),"Media"))</f>
        <v/>
      </c>
      <c r="Q1339" s="44" t="n"/>
      <c r="R1339" s="45" t="n"/>
      <c r="S1339" s="20">
        <f>IFERROR(IF(OR($R1339="",$C1339=""),"",$R1339/INDEX(DESPACHOS!$M$3:$M$3002,MATCH($C1339,DESPACHOS!$B$3:$B$3002,0))),"")</f>
        <v/>
      </c>
      <c r="T1339" s="41" t="n"/>
      <c r="U1339" s="43">
        <f>IF(OR($B1339="",$L1339=""),"",WORKDAY($B1339,IFERROR(INDEX(LISTAS!$C$3:$C$42,MATCH($L1339,LISTAS!$A$3:$A$42,0)),3)))</f>
        <v/>
      </c>
      <c r="V1339" s="40" t="n"/>
      <c r="W1339" s="19">
        <f>IF($B1339="","",IF($V1339&lt;&gt;"",$V1339-$B1339,TODAY()-$B1339))</f>
        <v/>
      </c>
      <c r="X1339" s="19">
        <f>IF(OR($B1339="",$U1339=""),"",IF($V1339&lt;&gt;"",MAX(0,$V1339-$U1339),MAX(0,TODAY()-$U1339)))</f>
        <v/>
      </c>
      <c r="Y1339" s="39">
        <f>IF($C1339="","",IF(IFERROR(INDEX(LISTAS!$I$3:$I$42,MATCH($T1339,LISTAS!$H$3:$H$42,0)),"NO")="SÍ",IF(N($X1339)&gt;0,"CERRADA FUERA DE SLA","CERRADA EN SLA"),IF($U1339="","SIN CLASIFICAR",IF(N($X1339)&gt;0,"VENCIDA",IF(TODAY()&gt;=$U1339-1,"POR VENCER","EN PLAZO")))))</f>
        <v/>
      </c>
      <c r="Z1339" s="41" t="n"/>
      <c r="AA1339" s="41" t="n"/>
      <c r="AB1339" s="41" t="n"/>
    </row>
    <row r="1340">
      <c r="A1340" s="39">
        <f>IF($C1340="","","NOV-"&amp;TEXT(ROW()-3,"0000"))</f>
        <v/>
      </c>
      <c r="B1340" s="40" t="n"/>
      <c r="C1340" s="41" t="n"/>
      <c r="D1340" s="42">
        <f>IF($C1340="","",IFERROR(INDEX(DESPACHOS!$D$3:$D$3002,MATCH($C1340,DESPACHOS!$B$3:$B$3002,0)),"SIN DESPACHO"))</f>
        <v/>
      </c>
      <c r="E1340" s="42">
        <f>IF($C1340="","",IFERROR(INDEX(DESPACHOS!$K$3:$K$3002,MATCH($C1340,DESPACHOS!$B$3:$B$3002,0)),""))</f>
        <v/>
      </c>
      <c r="F1340" s="42">
        <f>IF($C1340="","",IFERROR(INDEX(DESPACHOS!$I$3:$I$3002,MATCH($C1340,DESPACHOS!$B$3:$B$3002,0)),""))</f>
        <v/>
      </c>
      <c r="G1340" s="42">
        <f>IF($C1340="","",IFERROR(INDEX(DESPACHOS!$F$3:$F$3002,MATCH($C1340,DESPACHOS!$B$3:$B$3002,0)),""))</f>
        <v/>
      </c>
      <c r="H1340" s="42">
        <f>IF($C1340="","",IFERROR(INDEX(DESPACHOS!$G$3:$G$3002,MATCH($C1340,DESPACHOS!$B$3:$B$3002,0)),""))</f>
        <v/>
      </c>
      <c r="I1340" s="39">
        <f>IF($C1340="","",IFERROR(INDEX(DESPACHOS!$H$3:$H$3002,MATCH($C1340,DESPACHOS!$B$3:$B$3002,0)),""))</f>
        <v/>
      </c>
      <c r="J1340" s="43">
        <f>IF($C1340="","",IFERROR(INDEX(DESPACHOS!$J$3:$J$3002,MATCH($C1340,DESPACHOS!$B$3:$B$3002,0)),""))</f>
        <v/>
      </c>
      <c r="K1340" s="39">
        <f>IF($C1340="","",IF(COUNTIFS(DESPACHOS!$B$3:$B$3002,$C1340)=0,"NO EXISTE",IF(COUNTIFS(DESPACHOS!$B$3:$B$3002,$C1340)&gt;1,"DUPLICADO","OK")))</f>
        <v/>
      </c>
      <c r="L1340" s="41" t="n"/>
      <c r="M1340" s="41" t="n"/>
      <c r="N1340" s="42">
        <f>IF($M1340="","",IFERROR(INDEX(LISTAS!$F$3:$F$42,MATCH($M1340,LISTAS!$E$3:$E$42,0)),"Por definir"))</f>
        <v/>
      </c>
      <c r="O1340" s="41" t="n"/>
      <c r="P1340" s="39">
        <f>IF($L1340="","",IFERROR(INDEX(LISTAS!$B$3:$B$42,MATCH($L1340,LISTAS!$A$3:$A$42,0)),"Media"))</f>
        <v/>
      </c>
      <c r="Q1340" s="44" t="n"/>
      <c r="R1340" s="45" t="n"/>
      <c r="S1340" s="20">
        <f>IFERROR(IF(OR($R1340="",$C1340=""),"",$R1340/INDEX(DESPACHOS!$M$3:$M$3002,MATCH($C1340,DESPACHOS!$B$3:$B$3002,0))),"")</f>
        <v/>
      </c>
      <c r="T1340" s="41" t="n"/>
      <c r="U1340" s="43">
        <f>IF(OR($B1340="",$L1340=""),"",WORKDAY($B1340,IFERROR(INDEX(LISTAS!$C$3:$C$42,MATCH($L1340,LISTAS!$A$3:$A$42,0)),3)))</f>
        <v/>
      </c>
      <c r="V1340" s="40" t="n"/>
      <c r="W1340" s="19">
        <f>IF($B1340="","",IF($V1340&lt;&gt;"",$V1340-$B1340,TODAY()-$B1340))</f>
        <v/>
      </c>
      <c r="X1340" s="19">
        <f>IF(OR($B1340="",$U1340=""),"",IF($V1340&lt;&gt;"",MAX(0,$V1340-$U1340),MAX(0,TODAY()-$U1340)))</f>
        <v/>
      </c>
      <c r="Y1340" s="39">
        <f>IF($C1340="","",IF(IFERROR(INDEX(LISTAS!$I$3:$I$42,MATCH($T1340,LISTAS!$H$3:$H$42,0)),"NO")="SÍ",IF(N($X1340)&gt;0,"CERRADA FUERA DE SLA","CERRADA EN SLA"),IF($U1340="","SIN CLASIFICAR",IF(N($X1340)&gt;0,"VENCIDA",IF(TODAY()&gt;=$U1340-1,"POR VENCER","EN PLAZO")))))</f>
        <v/>
      </c>
      <c r="Z1340" s="41" t="n"/>
      <c r="AA1340" s="41" t="n"/>
      <c r="AB1340" s="41" t="n"/>
    </row>
    <row r="1341">
      <c r="A1341" s="39">
        <f>IF($C1341="","","NOV-"&amp;TEXT(ROW()-3,"0000"))</f>
        <v/>
      </c>
      <c r="B1341" s="40" t="n"/>
      <c r="C1341" s="41" t="n"/>
      <c r="D1341" s="42">
        <f>IF($C1341="","",IFERROR(INDEX(DESPACHOS!$D$3:$D$3002,MATCH($C1341,DESPACHOS!$B$3:$B$3002,0)),"SIN DESPACHO"))</f>
        <v/>
      </c>
      <c r="E1341" s="42">
        <f>IF($C1341="","",IFERROR(INDEX(DESPACHOS!$K$3:$K$3002,MATCH($C1341,DESPACHOS!$B$3:$B$3002,0)),""))</f>
        <v/>
      </c>
      <c r="F1341" s="42">
        <f>IF($C1341="","",IFERROR(INDEX(DESPACHOS!$I$3:$I$3002,MATCH($C1341,DESPACHOS!$B$3:$B$3002,0)),""))</f>
        <v/>
      </c>
      <c r="G1341" s="42">
        <f>IF($C1341="","",IFERROR(INDEX(DESPACHOS!$F$3:$F$3002,MATCH($C1341,DESPACHOS!$B$3:$B$3002,0)),""))</f>
        <v/>
      </c>
      <c r="H1341" s="42">
        <f>IF($C1341="","",IFERROR(INDEX(DESPACHOS!$G$3:$G$3002,MATCH($C1341,DESPACHOS!$B$3:$B$3002,0)),""))</f>
        <v/>
      </c>
      <c r="I1341" s="39">
        <f>IF($C1341="","",IFERROR(INDEX(DESPACHOS!$H$3:$H$3002,MATCH($C1341,DESPACHOS!$B$3:$B$3002,0)),""))</f>
        <v/>
      </c>
      <c r="J1341" s="43">
        <f>IF($C1341="","",IFERROR(INDEX(DESPACHOS!$J$3:$J$3002,MATCH($C1341,DESPACHOS!$B$3:$B$3002,0)),""))</f>
        <v/>
      </c>
      <c r="K1341" s="39">
        <f>IF($C1341="","",IF(COUNTIFS(DESPACHOS!$B$3:$B$3002,$C1341)=0,"NO EXISTE",IF(COUNTIFS(DESPACHOS!$B$3:$B$3002,$C1341)&gt;1,"DUPLICADO","OK")))</f>
        <v/>
      </c>
      <c r="L1341" s="41" t="n"/>
      <c r="M1341" s="41" t="n"/>
      <c r="N1341" s="42">
        <f>IF($M1341="","",IFERROR(INDEX(LISTAS!$F$3:$F$42,MATCH($M1341,LISTAS!$E$3:$E$42,0)),"Por definir"))</f>
        <v/>
      </c>
      <c r="O1341" s="41" t="n"/>
      <c r="P1341" s="39">
        <f>IF($L1341="","",IFERROR(INDEX(LISTAS!$B$3:$B$42,MATCH($L1341,LISTAS!$A$3:$A$42,0)),"Media"))</f>
        <v/>
      </c>
      <c r="Q1341" s="44" t="n"/>
      <c r="R1341" s="45" t="n"/>
      <c r="S1341" s="20">
        <f>IFERROR(IF(OR($R1341="",$C1341=""),"",$R1341/INDEX(DESPACHOS!$M$3:$M$3002,MATCH($C1341,DESPACHOS!$B$3:$B$3002,0))),"")</f>
        <v/>
      </c>
      <c r="T1341" s="41" t="n"/>
      <c r="U1341" s="43">
        <f>IF(OR($B1341="",$L1341=""),"",WORKDAY($B1341,IFERROR(INDEX(LISTAS!$C$3:$C$42,MATCH($L1341,LISTAS!$A$3:$A$42,0)),3)))</f>
        <v/>
      </c>
      <c r="V1341" s="40" t="n"/>
      <c r="W1341" s="19">
        <f>IF($B1341="","",IF($V1341&lt;&gt;"",$V1341-$B1341,TODAY()-$B1341))</f>
        <v/>
      </c>
      <c r="X1341" s="19">
        <f>IF(OR($B1341="",$U1341=""),"",IF($V1341&lt;&gt;"",MAX(0,$V1341-$U1341),MAX(0,TODAY()-$U1341)))</f>
        <v/>
      </c>
      <c r="Y1341" s="39">
        <f>IF($C1341="","",IF(IFERROR(INDEX(LISTAS!$I$3:$I$42,MATCH($T1341,LISTAS!$H$3:$H$42,0)),"NO")="SÍ",IF(N($X1341)&gt;0,"CERRADA FUERA DE SLA","CERRADA EN SLA"),IF($U1341="","SIN CLASIFICAR",IF(N($X1341)&gt;0,"VENCIDA",IF(TODAY()&gt;=$U1341-1,"POR VENCER","EN PLAZO")))))</f>
        <v/>
      </c>
      <c r="Z1341" s="41" t="n"/>
      <c r="AA1341" s="41" t="n"/>
      <c r="AB1341" s="41" t="n"/>
    </row>
    <row r="1342">
      <c r="A1342" s="39">
        <f>IF($C1342="","","NOV-"&amp;TEXT(ROW()-3,"0000"))</f>
        <v/>
      </c>
      <c r="B1342" s="40" t="n"/>
      <c r="C1342" s="41" t="n"/>
      <c r="D1342" s="42">
        <f>IF($C1342="","",IFERROR(INDEX(DESPACHOS!$D$3:$D$3002,MATCH($C1342,DESPACHOS!$B$3:$B$3002,0)),"SIN DESPACHO"))</f>
        <v/>
      </c>
      <c r="E1342" s="42">
        <f>IF($C1342="","",IFERROR(INDEX(DESPACHOS!$K$3:$K$3002,MATCH($C1342,DESPACHOS!$B$3:$B$3002,0)),""))</f>
        <v/>
      </c>
      <c r="F1342" s="42">
        <f>IF($C1342="","",IFERROR(INDEX(DESPACHOS!$I$3:$I$3002,MATCH($C1342,DESPACHOS!$B$3:$B$3002,0)),""))</f>
        <v/>
      </c>
      <c r="G1342" s="42">
        <f>IF($C1342="","",IFERROR(INDEX(DESPACHOS!$F$3:$F$3002,MATCH($C1342,DESPACHOS!$B$3:$B$3002,0)),""))</f>
        <v/>
      </c>
      <c r="H1342" s="42">
        <f>IF($C1342="","",IFERROR(INDEX(DESPACHOS!$G$3:$G$3002,MATCH($C1342,DESPACHOS!$B$3:$B$3002,0)),""))</f>
        <v/>
      </c>
      <c r="I1342" s="39">
        <f>IF($C1342="","",IFERROR(INDEX(DESPACHOS!$H$3:$H$3002,MATCH($C1342,DESPACHOS!$B$3:$B$3002,0)),""))</f>
        <v/>
      </c>
      <c r="J1342" s="43">
        <f>IF($C1342="","",IFERROR(INDEX(DESPACHOS!$J$3:$J$3002,MATCH($C1342,DESPACHOS!$B$3:$B$3002,0)),""))</f>
        <v/>
      </c>
      <c r="K1342" s="39">
        <f>IF($C1342="","",IF(COUNTIFS(DESPACHOS!$B$3:$B$3002,$C1342)=0,"NO EXISTE",IF(COUNTIFS(DESPACHOS!$B$3:$B$3002,$C1342)&gt;1,"DUPLICADO","OK")))</f>
        <v/>
      </c>
      <c r="L1342" s="41" t="n"/>
      <c r="M1342" s="41" t="n"/>
      <c r="N1342" s="42">
        <f>IF($M1342="","",IFERROR(INDEX(LISTAS!$F$3:$F$42,MATCH($M1342,LISTAS!$E$3:$E$42,0)),"Por definir"))</f>
        <v/>
      </c>
      <c r="O1342" s="41" t="n"/>
      <c r="P1342" s="39">
        <f>IF($L1342="","",IFERROR(INDEX(LISTAS!$B$3:$B$42,MATCH($L1342,LISTAS!$A$3:$A$42,0)),"Media"))</f>
        <v/>
      </c>
      <c r="Q1342" s="44" t="n"/>
      <c r="R1342" s="45" t="n"/>
      <c r="S1342" s="20">
        <f>IFERROR(IF(OR($R1342="",$C1342=""),"",$R1342/INDEX(DESPACHOS!$M$3:$M$3002,MATCH($C1342,DESPACHOS!$B$3:$B$3002,0))),"")</f>
        <v/>
      </c>
      <c r="T1342" s="41" t="n"/>
      <c r="U1342" s="43">
        <f>IF(OR($B1342="",$L1342=""),"",WORKDAY($B1342,IFERROR(INDEX(LISTAS!$C$3:$C$42,MATCH($L1342,LISTAS!$A$3:$A$42,0)),3)))</f>
        <v/>
      </c>
      <c r="V1342" s="40" t="n"/>
      <c r="W1342" s="19">
        <f>IF($B1342="","",IF($V1342&lt;&gt;"",$V1342-$B1342,TODAY()-$B1342))</f>
        <v/>
      </c>
      <c r="X1342" s="19">
        <f>IF(OR($B1342="",$U1342=""),"",IF($V1342&lt;&gt;"",MAX(0,$V1342-$U1342),MAX(0,TODAY()-$U1342)))</f>
        <v/>
      </c>
      <c r="Y1342" s="39">
        <f>IF($C1342="","",IF(IFERROR(INDEX(LISTAS!$I$3:$I$42,MATCH($T1342,LISTAS!$H$3:$H$42,0)),"NO")="SÍ",IF(N($X1342)&gt;0,"CERRADA FUERA DE SLA","CERRADA EN SLA"),IF($U1342="","SIN CLASIFICAR",IF(N($X1342)&gt;0,"VENCIDA",IF(TODAY()&gt;=$U1342-1,"POR VENCER","EN PLAZO")))))</f>
        <v/>
      </c>
      <c r="Z1342" s="41" t="n"/>
      <c r="AA1342" s="41" t="n"/>
      <c r="AB1342" s="41" t="n"/>
    </row>
    <row r="1343">
      <c r="A1343" s="39">
        <f>IF($C1343="","","NOV-"&amp;TEXT(ROW()-3,"0000"))</f>
        <v/>
      </c>
      <c r="B1343" s="40" t="n"/>
      <c r="C1343" s="41" t="n"/>
      <c r="D1343" s="42">
        <f>IF($C1343="","",IFERROR(INDEX(DESPACHOS!$D$3:$D$3002,MATCH($C1343,DESPACHOS!$B$3:$B$3002,0)),"SIN DESPACHO"))</f>
        <v/>
      </c>
      <c r="E1343" s="42">
        <f>IF($C1343="","",IFERROR(INDEX(DESPACHOS!$K$3:$K$3002,MATCH($C1343,DESPACHOS!$B$3:$B$3002,0)),""))</f>
        <v/>
      </c>
      <c r="F1343" s="42">
        <f>IF($C1343="","",IFERROR(INDEX(DESPACHOS!$I$3:$I$3002,MATCH($C1343,DESPACHOS!$B$3:$B$3002,0)),""))</f>
        <v/>
      </c>
      <c r="G1343" s="42">
        <f>IF($C1343="","",IFERROR(INDEX(DESPACHOS!$F$3:$F$3002,MATCH($C1343,DESPACHOS!$B$3:$B$3002,0)),""))</f>
        <v/>
      </c>
      <c r="H1343" s="42">
        <f>IF($C1343="","",IFERROR(INDEX(DESPACHOS!$G$3:$G$3002,MATCH($C1343,DESPACHOS!$B$3:$B$3002,0)),""))</f>
        <v/>
      </c>
      <c r="I1343" s="39">
        <f>IF($C1343="","",IFERROR(INDEX(DESPACHOS!$H$3:$H$3002,MATCH($C1343,DESPACHOS!$B$3:$B$3002,0)),""))</f>
        <v/>
      </c>
      <c r="J1343" s="43">
        <f>IF($C1343="","",IFERROR(INDEX(DESPACHOS!$J$3:$J$3002,MATCH($C1343,DESPACHOS!$B$3:$B$3002,0)),""))</f>
        <v/>
      </c>
      <c r="K1343" s="39">
        <f>IF($C1343="","",IF(COUNTIFS(DESPACHOS!$B$3:$B$3002,$C1343)=0,"NO EXISTE",IF(COUNTIFS(DESPACHOS!$B$3:$B$3002,$C1343)&gt;1,"DUPLICADO","OK")))</f>
        <v/>
      </c>
      <c r="L1343" s="41" t="n"/>
      <c r="M1343" s="41" t="n"/>
      <c r="N1343" s="42">
        <f>IF($M1343="","",IFERROR(INDEX(LISTAS!$F$3:$F$42,MATCH($M1343,LISTAS!$E$3:$E$42,0)),"Por definir"))</f>
        <v/>
      </c>
      <c r="O1343" s="41" t="n"/>
      <c r="P1343" s="39">
        <f>IF($L1343="","",IFERROR(INDEX(LISTAS!$B$3:$B$42,MATCH($L1343,LISTAS!$A$3:$A$42,0)),"Media"))</f>
        <v/>
      </c>
      <c r="Q1343" s="44" t="n"/>
      <c r="R1343" s="45" t="n"/>
      <c r="S1343" s="20">
        <f>IFERROR(IF(OR($R1343="",$C1343=""),"",$R1343/INDEX(DESPACHOS!$M$3:$M$3002,MATCH($C1343,DESPACHOS!$B$3:$B$3002,0))),"")</f>
        <v/>
      </c>
      <c r="T1343" s="41" t="n"/>
      <c r="U1343" s="43">
        <f>IF(OR($B1343="",$L1343=""),"",WORKDAY($B1343,IFERROR(INDEX(LISTAS!$C$3:$C$42,MATCH($L1343,LISTAS!$A$3:$A$42,0)),3)))</f>
        <v/>
      </c>
      <c r="V1343" s="40" t="n"/>
      <c r="W1343" s="19">
        <f>IF($B1343="","",IF($V1343&lt;&gt;"",$V1343-$B1343,TODAY()-$B1343))</f>
        <v/>
      </c>
      <c r="X1343" s="19">
        <f>IF(OR($B1343="",$U1343=""),"",IF($V1343&lt;&gt;"",MAX(0,$V1343-$U1343),MAX(0,TODAY()-$U1343)))</f>
        <v/>
      </c>
      <c r="Y1343" s="39">
        <f>IF($C1343="","",IF(IFERROR(INDEX(LISTAS!$I$3:$I$42,MATCH($T1343,LISTAS!$H$3:$H$42,0)),"NO")="SÍ",IF(N($X1343)&gt;0,"CERRADA FUERA DE SLA","CERRADA EN SLA"),IF($U1343="","SIN CLASIFICAR",IF(N($X1343)&gt;0,"VENCIDA",IF(TODAY()&gt;=$U1343-1,"POR VENCER","EN PLAZO")))))</f>
        <v/>
      </c>
      <c r="Z1343" s="41" t="n"/>
      <c r="AA1343" s="41" t="n"/>
      <c r="AB1343" s="41" t="n"/>
    </row>
    <row r="1344">
      <c r="A1344" s="39">
        <f>IF($C1344="","","NOV-"&amp;TEXT(ROW()-3,"0000"))</f>
        <v/>
      </c>
      <c r="B1344" s="40" t="n"/>
      <c r="C1344" s="41" t="n"/>
      <c r="D1344" s="42">
        <f>IF($C1344="","",IFERROR(INDEX(DESPACHOS!$D$3:$D$3002,MATCH($C1344,DESPACHOS!$B$3:$B$3002,0)),"SIN DESPACHO"))</f>
        <v/>
      </c>
      <c r="E1344" s="42">
        <f>IF($C1344="","",IFERROR(INDEX(DESPACHOS!$K$3:$K$3002,MATCH($C1344,DESPACHOS!$B$3:$B$3002,0)),""))</f>
        <v/>
      </c>
      <c r="F1344" s="42">
        <f>IF($C1344="","",IFERROR(INDEX(DESPACHOS!$I$3:$I$3002,MATCH($C1344,DESPACHOS!$B$3:$B$3002,0)),""))</f>
        <v/>
      </c>
      <c r="G1344" s="42">
        <f>IF($C1344="","",IFERROR(INDEX(DESPACHOS!$F$3:$F$3002,MATCH($C1344,DESPACHOS!$B$3:$B$3002,0)),""))</f>
        <v/>
      </c>
      <c r="H1344" s="42">
        <f>IF($C1344="","",IFERROR(INDEX(DESPACHOS!$G$3:$G$3002,MATCH($C1344,DESPACHOS!$B$3:$B$3002,0)),""))</f>
        <v/>
      </c>
      <c r="I1344" s="39">
        <f>IF($C1344="","",IFERROR(INDEX(DESPACHOS!$H$3:$H$3002,MATCH($C1344,DESPACHOS!$B$3:$B$3002,0)),""))</f>
        <v/>
      </c>
      <c r="J1344" s="43">
        <f>IF($C1344="","",IFERROR(INDEX(DESPACHOS!$J$3:$J$3002,MATCH($C1344,DESPACHOS!$B$3:$B$3002,0)),""))</f>
        <v/>
      </c>
      <c r="K1344" s="39">
        <f>IF($C1344="","",IF(COUNTIFS(DESPACHOS!$B$3:$B$3002,$C1344)=0,"NO EXISTE",IF(COUNTIFS(DESPACHOS!$B$3:$B$3002,$C1344)&gt;1,"DUPLICADO","OK")))</f>
        <v/>
      </c>
      <c r="L1344" s="41" t="n"/>
      <c r="M1344" s="41" t="n"/>
      <c r="N1344" s="42">
        <f>IF($M1344="","",IFERROR(INDEX(LISTAS!$F$3:$F$42,MATCH($M1344,LISTAS!$E$3:$E$42,0)),"Por definir"))</f>
        <v/>
      </c>
      <c r="O1344" s="41" t="n"/>
      <c r="P1344" s="39">
        <f>IF($L1344="","",IFERROR(INDEX(LISTAS!$B$3:$B$42,MATCH($L1344,LISTAS!$A$3:$A$42,0)),"Media"))</f>
        <v/>
      </c>
      <c r="Q1344" s="44" t="n"/>
      <c r="R1344" s="45" t="n"/>
      <c r="S1344" s="20">
        <f>IFERROR(IF(OR($R1344="",$C1344=""),"",$R1344/INDEX(DESPACHOS!$M$3:$M$3002,MATCH($C1344,DESPACHOS!$B$3:$B$3002,0))),"")</f>
        <v/>
      </c>
      <c r="T1344" s="41" t="n"/>
      <c r="U1344" s="43">
        <f>IF(OR($B1344="",$L1344=""),"",WORKDAY($B1344,IFERROR(INDEX(LISTAS!$C$3:$C$42,MATCH($L1344,LISTAS!$A$3:$A$42,0)),3)))</f>
        <v/>
      </c>
      <c r="V1344" s="40" t="n"/>
      <c r="W1344" s="19">
        <f>IF($B1344="","",IF($V1344&lt;&gt;"",$V1344-$B1344,TODAY()-$B1344))</f>
        <v/>
      </c>
      <c r="X1344" s="19">
        <f>IF(OR($B1344="",$U1344=""),"",IF($V1344&lt;&gt;"",MAX(0,$V1344-$U1344),MAX(0,TODAY()-$U1344)))</f>
        <v/>
      </c>
      <c r="Y1344" s="39">
        <f>IF($C1344="","",IF(IFERROR(INDEX(LISTAS!$I$3:$I$42,MATCH($T1344,LISTAS!$H$3:$H$42,0)),"NO")="SÍ",IF(N($X1344)&gt;0,"CERRADA FUERA DE SLA","CERRADA EN SLA"),IF($U1344="","SIN CLASIFICAR",IF(N($X1344)&gt;0,"VENCIDA",IF(TODAY()&gt;=$U1344-1,"POR VENCER","EN PLAZO")))))</f>
        <v/>
      </c>
      <c r="Z1344" s="41" t="n"/>
      <c r="AA1344" s="41" t="n"/>
      <c r="AB1344" s="41" t="n"/>
    </row>
    <row r="1345">
      <c r="A1345" s="39">
        <f>IF($C1345="","","NOV-"&amp;TEXT(ROW()-3,"0000"))</f>
        <v/>
      </c>
      <c r="B1345" s="40" t="n"/>
      <c r="C1345" s="41" t="n"/>
      <c r="D1345" s="42">
        <f>IF($C1345="","",IFERROR(INDEX(DESPACHOS!$D$3:$D$3002,MATCH($C1345,DESPACHOS!$B$3:$B$3002,0)),"SIN DESPACHO"))</f>
        <v/>
      </c>
      <c r="E1345" s="42">
        <f>IF($C1345="","",IFERROR(INDEX(DESPACHOS!$K$3:$K$3002,MATCH($C1345,DESPACHOS!$B$3:$B$3002,0)),""))</f>
        <v/>
      </c>
      <c r="F1345" s="42">
        <f>IF($C1345="","",IFERROR(INDEX(DESPACHOS!$I$3:$I$3002,MATCH($C1345,DESPACHOS!$B$3:$B$3002,0)),""))</f>
        <v/>
      </c>
      <c r="G1345" s="42">
        <f>IF($C1345="","",IFERROR(INDEX(DESPACHOS!$F$3:$F$3002,MATCH($C1345,DESPACHOS!$B$3:$B$3002,0)),""))</f>
        <v/>
      </c>
      <c r="H1345" s="42">
        <f>IF($C1345="","",IFERROR(INDEX(DESPACHOS!$G$3:$G$3002,MATCH($C1345,DESPACHOS!$B$3:$B$3002,0)),""))</f>
        <v/>
      </c>
      <c r="I1345" s="39">
        <f>IF($C1345="","",IFERROR(INDEX(DESPACHOS!$H$3:$H$3002,MATCH($C1345,DESPACHOS!$B$3:$B$3002,0)),""))</f>
        <v/>
      </c>
      <c r="J1345" s="43">
        <f>IF($C1345="","",IFERROR(INDEX(DESPACHOS!$J$3:$J$3002,MATCH($C1345,DESPACHOS!$B$3:$B$3002,0)),""))</f>
        <v/>
      </c>
      <c r="K1345" s="39">
        <f>IF($C1345="","",IF(COUNTIFS(DESPACHOS!$B$3:$B$3002,$C1345)=0,"NO EXISTE",IF(COUNTIFS(DESPACHOS!$B$3:$B$3002,$C1345)&gt;1,"DUPLICADO","OK")))</f>
        <v/>
      </c>
      <c r="L1345" s="41" t="n"/>
      <c r="M1345" s="41" t="n"/>
      <c r="N1345" s="42">
        <f>IF($M1345="","",IFERROR(INDEX(LISTAS!$F$3:$F$42,MATCH($M1345,LISTAS!$E$3:$E$42,0)),"Por definir"))</f>
        <v/>
      </c>
      <c r="O1345" s="41" t="n"/>
      <c r="P1345" s="39">
        <f>IF($L1345="","",IFERROR(INDEX(LISTAS!$B$3:$B$42,MATCH($L1345,LISTAS!$A$3:$A$42,0)),"Media"))</f>
        <v/>
      </c>
      <c r="Q1345" s="44" t="n"/>
      <c r="R1345" s="45" t="n"/>
      <c r="S1345" s="20">
        <f>IFERROR(IF(OR($R1345="",$C1345=""),"",$R1345/INDEX(DESPACHOS!$M$3:$M$3002,MATCH($C1345,DESPACHOS!$B$3:$B$3002,0))),"")</f>
        <v/>
      </c>
      <c r="T1345" s="41" t="n"/>
      <c r="U1345" s="43">
        <f>IF(OR($B1345="",$L1345=""),"",WORKDAY($B1345,IFERROR(INDEX(LISTAS!$C$3:$C$42,MATCH($L1345,LISTAS!$A$3:$A$42,0)),3)))</f>
        <v/>
      </c>
      <c r="V1345" s="40" t="n"/>
      <c r="W1345" s="19">
        <f>IF($B1345="","",IF($V1345&lt;&gt;"",$V1345-$B1345,TODAY()-$B1345))</f>
        <v/>
      </c>
      <c r="X1345" s="19">
        <f>IF(OR($B1345="",$U1345=""),"",IF($V1345&lt;&gt;"",MAX(0,$V1345-$U1345),MAX(0,TODAY()-$U1345)))</f>
        <v/>
      </c>
      <c r="Y1345" s="39">
        <f>IF($C1345="","",IF(IFERROR(INDEX(LISTAS!$I$3:$I$42,MATCH($T1345,LISTAS!$H$3:$H$42,0)),"NO")="SÍ",IF(N($X1345)&gt;0,"CERRADA FUERA DE SLA","CERRADA EN SLA"),IF($U1345="","SIN CLASIFICAR",IF(N($X1345)&gt;0,"VENCIDA",IF(TODAY()&gt;=$U1345-1,"POR VENCER","EN PLAZO")))))</f>
        <v/>
      </c>
      <c r="Z1345" s="41" t="n"/>
      <c r="AA1345" s="41" t="n"/>
      <c r="AB1345" s="41" t="n"/>
    </row>
    <row r="1346">
      <c r="A1346" s="39">
        <f>IF($C1346="","","NOV-"&amp;TEXT(ROW()-3,"0000"))</f>
        <v/>
      </c>
      <c r="B1346" s="40" t="n"/>
      <c r="C1346" s="41" t="n"/>
      <c r="D1346" s="42">
        <f>IF($C1346="","",IFERROR(INDEX(DESPACHOS!$D$3:$D$3002,MATCH($C1346,DESPACHOS!$B$3:$B$3002,0)),"SIN DESPACHO"))</f>
        <v/>
      </c>
      <c r="E1346" s="42">
        <f>IF($C1346="","",IFERROR(INDEX(DESPACHOS!$K$3:$K$3002,MATCH($C1346,DESPACHOS!$B$3:$B$3002,0)),""))</f>
        <v/>
      </c>
      <c r="F1346" s="42">
        <f>IF($C1346="","",IFERROR(INDEX(DESPACHOS!$I$3:$I$3002,MATCH($C1346,DESPACHOS!$B$3:$B$3002,0)),""))</f>
        <v/>
      </c>
      <c r="G1346" s="42">
        <f>IF($C1346="","",IFERROR(INDEX(DESPACHOS!$F$3:$F$3002,MATCH($C1346,DESPACHOS!$B$3:$B$3002,0)),""))</f>
        <v/>
      </c>
      <c r="H1346" s="42">
        <f>IF($C1346="","",IFERROR(INDEX(DESPACHOS!$G$3:$G$3002,MATCH($C1346,DESPACHOS!$B$3:$B$3002,0)),""))</f>
        <v/>
      </c>
      <c r="I1346" s="39">
        <f>IF($C1346="","",IFERROR(INDEX(DESPACHOS!$H$3:$H$3002,MATCH($C1346,DESPACHOS!$B$3:$B$3002,0)),""))</f>
        <v/>
      </c>
      <c r="J1346" s="43">
        <f>IF($C1346="","",IFERROR(INDEX(DESPACHOS!$J$3:$J$3002,MATCH($C1346,DESPACHOS!$B$3:$B$3002,0)),""))</f>
        <v/>
      </c>
      <c r="K1346" s="39">
        <f>IF($C1346="","",IF(COUNTIFS(DESPACHOS!$B$3:$B$3002,$C1346)=0,"NO EXISTE",IF(COUNTIFS(DESPACHOS!$B$3:$B$3002,$C1346)&gt;1,"DUPLICADO","OK")))</f>
        <v/>
      </c>
      <c r="L1346" s="41" t="n"/>
      <c r="M1346" s="41" t="n"/>
      <c r="N1346" s="42">
        <f>IF($M1346="","",IFERROR(INDEX(LISTAS!$F$3:$F$42,MATCH($M1346,LISTAS!$E$3:$E$42,0)),"Por definir"))</f>
        <v/>
      </c>
      <c r="O1346" s="41" t="n"/>
      <c r="P1346" s="39">
        <f>IF($L1346="","",IFERROR(INDEX(LISTAS!$B$3:$B$42,MATCH($L1346,LISTAS!$A$3:$A$42,0)),"Media"))</f>
        <v/>
      </c>
      <c r="Q1346" s="44" t="n"/>
      <c r="R1346" s="45" t="n"/>
      <c r="S1346" s="20">
        <f>IFERROR(IF(OR($R1346="",$C1346=""),"",$R1346/INDEX(DESPACHOS!$M$3:$M$3002,MATCH($C1346,DESPACHOS!$B$3:$B$3002,0))),"")</f>
        <v/>
      </c>
      <c r="T1346" s="41" t="n"/>
      <c r="U1346" s="43">
        <f>IF(OR($B1346="",$L1346=""),"",WORKDAY($B1346,IFERROR(INDEX(LISTAS!$C$3:$C$42,MATCH($L1346,LISTAS!$A$3:$A$42,0)),3)))</f>
        <v/>
      </c>
      <c r="V1346" s="40" t="n"/>
      <c r="W1346" s="19">
        <f>IF($B1346="","",IF($V1346&lt;&gt;"",$V1346-$B1346,TODAY()-$B1346))</f>
        <v/>
      </c>
      <c r="X1346" s="19">
        <f>IF(OR($B1346="",$U1346=""),"",IF($V1346&lt;&gt;"",MAX(0,$V1346-$U1346),MAX(0,TODAY()-$U1346)))</f>
        <v/>
      </c>
      <c r="Y1346" s="39">
        <f>IF($C1346="","",IF(IFERROR(INDEX(LISTAS!$I$3:$I$42,MATCH($T1346,LISTAS!$H$3:$H$42,0)),"NO")="SÍ",IF(N($X1346)&gt;0,"CERRADA FUERA DE SLA","CERRADA EN SLA"),IF($U1346="","SIN CLASIFICAR",IF(N($X1346)&gt;0,"VENCIDA",IF(TODAY()&gt;=$U1346-1,"POR VENCER","EN PLAZO")))))</f>
        <v/>
      </c>
      <c r="Z1346" s="41" t="n"/>
      <c r="AA1346" s="41" t="n"/>
      <c r="AB1346" s="41" t="n"/>
    </row>
    <row r="1347">
      <c r="A1347" s="39">
        <f>IF($C1347="","","NOV-"&amp;TEXT(ROW()-3,"0000"))</f>
        <v/>
      </c>
      <c r="B1347" s="40" t="n"/>
      <c r="C1347" s="41" t="n"/>
      <c r="D1347" s="42">
        <f>IF($C1347="","",IFERROR(INDEX(DESPACHOS!$D$3:$D$3002,MATCH($C1347,DESPACHOS!$B$3:$B$3002,0)),"SIN DESPACHO"))</f>
        <v/>
      </c>
      <c r="E1347" s="42">
        <f>IF($C1347="","",IFERROR(INDEX(DESPACHOS!$K$3:$K$3002,MATCH($C1347,DESPACHOS!$B$3:$B$3002,0)),""))</f>
        <v/>
      </c>
      <c r="F1347" s="42">
        <f>IF($C1347="","",IFERROR(INDEX(DESPACHOS!$I$3:$I$3002,MATCH($C1347,DESPACHOS!$B$3:$B$3002,0)),""))</f>
        <v/>
      </c>
      <c r="G1347" s="42">
        <f>IF($C1347="","",IFERROR(INDEX(DESPACHOS!$F$3:$F$3002,MATCH($C1347,DESPACHOS!$B$3:$B$3002,0)),""))</f>
        <v/>
      </c>
      <c r="H1347" s="42">
        <f>IF($C1347="","",IFERROR(INDEX(DESPACHOS!$G$3:$G$3002,MATCH($C1347,DESPACHOS!$B$3:$B$3002,0)),""))</f>
        <v/>
      </c>
      <c r="I1347" s="39">
        <f>IF($C1347="","",IFERROR(INDEX(DESPACHOS!$H$3:$H$3002,MATCH($C1347,DESPACHOS!$B$3:$B$3002,0)),""))</f>
        <v/>
      </c>
      <c r="J1347" s="43">
        <f>IF($C1347="","",IFERROR(INDEX(DESPACHOS!$J$3:$J$3002,MATCH($C1347,DESPACHOS!$B$3:$B$3002,0)),""))</f>
        <v/>
      </c>
      <c r="K1347" s="39">
        <f>IF($C1347="","",IF(COUNTIFS(DESPACHOS!$B$3:$B$3002,$C1347)=0,"NO EXISTE",IF(COUNTIFS(DESPACHOS!$B$3:$B$3002,$C1347)&gt;1,"DUPLICADO","OK")))</f>
        <v/>
      </c>
      <c r="L1347" s="41" t="n"/>
      <c r="M1347" s="41" t="n"/>
      <c r="N1347" s="42">
        <f>IF($M1347="","",IFERROR(INDEX(LISTAS!$F$3:$F$42,MATCH($M1347,LISTAS!$E$3:$E$42,0)),"Por definir"))</f>
        <v/>
      </c>
      <c r="O1347" s="41" t="n"/>
      <c r="P1347" s="39">
        <f>IF($L1347="","",IFERROR(INDEX(LISTAS!$B$3:$B$42,MATCH($L1347,LISTAS!$A$3:$A$42,0)),"Media"))</f>
        <v/>
      </c>
      <c r="Q1347" s="44" t="n"/>
      <c r="R1347" s="45" t="n"/>
      <c r="S1347" s="20">
        <f>IFERROR(IF(OR($R1347="",$C1347=""),"",$R1347/INDEX(DESPACHOS!$M$3:$M$3002,MATCH($C1347,DESPACHOS!$B$3:$B$3002,0))),"")</f>
        <v/>
      </c>
      <c r="T1347" s="41" t="n"/>
      <c r="U1347" s="43">
        <f>IF(OR($B1347="",$L1347=""),"",WORKDAY($B1347,IFERROR(INDEX(LISTAS!$C$3:$C$42,MATCH($L1347,LISTAS!$A$3:$A$42,0)),3)))</f>
        <v/>
      </c>
      <c r="V1347" s="40" t="n"/>
      <c r="W1347" s="19">
        <f>IF($B1347="","",IF($V1347&lt;&gt;"",$V1347-$B1347,TODAY()-$B1347))</f>
        <v/>
      </c>
      <c r="X1347" s="19">
        <f>IF(OR($B1347="",$U1347=""),"",IF($V1347&lt;&gt;"",MAX(0,$V1347-$U1347),MAX(0,TODAY()-$U1347)))</f>
        <v/>
      </c>
      <c r="Y1347" s="39">
        <f>IF($C1347="","",IF(IFERROR(INDEX(LISTAS!$I$3:$I$42,MATCH($T1347,LISTAS!$H$3:$H$42,0)),"NO")="SÍ",IF(N($X1347)&gt;0,"CERRADA FUERA DE SLA","CERRADA EN SLA"),IF($U1347="","SIN CLASIFICAR",IF(N($X1347)&gt;0,"VENCIDA",IF(TODAY()&gt;=$U1347-1,"POR VENCER","EN PLAZO")))))</f>
        <v/>
      </c>
      <c r="Z1347" s="41" t="n"/>
      <c r="AA1347" s="41" t="n"/>
      <c r="AB1347" s="41" t="n"/>
    </row>
    <row r="1348">
      <c r="A1348" s="39">
        <f>IF($C1348="","","NOV-"&amp;TEXT(ROW()-3,"0000"))</f>
        <v/>
      </c>
      <c r="B1348" s="40" t="n"/>
      <c r="C1348" s="41" t="n"/>
      <c r="D1348" s="42">
        <f>IF($C1348="","",IFERROR(INDEX(DESPACHOS!$D$3:$D$3002,MATCH($C1348,DESPACHOS!$B$3:$B$3002,0)),"SIN DESPACHO"))</f>
        <v/>
      </c>
      <c r="E1348" s="42">
        <f>IF($C1348="","",IFERROR(INDEX(DESPACHOS!$K$3:$K$3002,MATCH($C1348,DESPACHOS!$B$3:$B$3002,0)),""))</f>
        <v/>
      </c>
      <c r="F1348" s="42">
        <f>IF($C1348="","",IFERROR(INDEX(DESPACHOS!$I$3:$I$3002,MATCH($C1348,DESPACHOS!$B$3:$B$3002,0)),""))</f>
        <v/>
      </c>
      <c r="G1348" s="42">
        <f>IF($C1348="","",IFERROR(INDEX(DESPACHOS!$F$3:$F$3002,MATCH($C1348,DESPACHOS!$B$3:$B$3002,0)),""))</f>
        <v/>
      </c>
      <c r="H1348" s="42">
        <f>IF($C1348="","",IFERROR(INDEX(DESPACHOS!$G$3:$G$3002,MATCH($C1348,DESPACHOS!$B$3:$B$3002,0)),""))</f>
        <v/>
      </c>
      <c r="I1348" s="39">
        <f>IF($C1348="","",IFERROR(INDEX(DESPACHOS!$H$3:$H$3002,MATCH($C1348,DESPACHOS!$B$3:$B$3002,0)),""))</f>
        <v/>
      </c>
      <c r="J1348" s="43">
        <f>IF($C1348="","",IFERROR(INDEX(DESPACHOS!$J$3:$J$3002,MATCH($C1348,DESPACHOS!$B$3:$B$3002,0)),""))</f>
        <v/>
      </c>
      <c r="K1348" s="39">
        <f>IF($C1348="","",IF(COUNTIFS(DESPACHOS!$B$3:$B$3002,$C1348)=0,"NO EXISTE",IF(COUNTIFS(DESPACHOS!$B$3:$B$3002,$C1348)&gt;1,"DUPLICADO","OK")))</f>
        <v/>
      </c>
      <c r="L1348" s="41" t="n"/>
      <c r="M1348" s="41" t="n"/>
      <c r="N1348" s="42">
        <f>IF($M1348="","",IFERROR(INDEX(LISTAS!$F$3:$F$42,MATCH($M1348,LISTAS!$E$3:$E$42,0)),"Por definir"))</f>
        <v/>
      </c>
      <c r="O1348" s="41" t="n"/>
      <c r="P1348" s="39">
        <f>IF($L1348="","",IFERROR(INDEX(LISTAS!$B$3:$B$42,MATCH($L1348,LISTAS!$A$3:$A$42,0)),"Media"))</f>
        <v/>
      </c>
      <c r="Q1348" s="44" t="n"/>
      <c r="R1348" s="45" t="n"/>
      <c r="S1348" s="20">
        <f>IFERROR(IF(OR($R1348="",$C1348=""),"",$R1348/INDEX(DESPACHOS!$M$3:$M$3002,MATCH($C1348,DESPACHOS!$B$3:$B$3002,0))),"")</f>
        <v/>
      </c>
      <c r="T1348" s="41" t="n"/>
      <c r="U1348" s="43">
        <f>IF(OR($B1348="",$L1348=""),"",WORKDAY($B1348,IFERROR(INDEX(LISTAS!$C$3:$C$42,MATCH($L1348,LISTAS!$A$3:$A$42,0)),3)))</f>
        <v/>
      </c>
      <c r="V1348" s="40" t="n"/>
      <c r="W1348" s="19">
        <f>IF($B1348="","",IF($V1348&lt;&gt;"",$V1348-$B1348,TODAY()-$B1348))</f>
        <v/>
      </c>
      <c r="X1348" s="19">
        <f>IF(OR($B1348="",$U1348=""),"",IF($V1348&lt;&gt;"",MAX(0,$V1348-$U1348),MAX(0,TODAY()-$U1348)))</f>
        <v/>
      </c>
      <c r="Y1348" s="39">
        <f>IF($C1348="","",IF(IFERROR(INDEX(LISTAS!$I$3:$I$42,MATCH($T1348,LISTAS!$H$3:$H$42,0)),"NO")="SÍ",IF(N($X1348)&gt;0,"CERRADA FUERA DE SLA","CERRADA EN SLA"),IF($U1348="","SIN CLASIFICAR",IF(N($X1348)&gt;0,"VENCIDA",IF(TODAY()&gt;=$U1348-1,"POR VENCER","EN PLAZO")))))</f>
        <v/>
      </c>
      <c r="Z1348" s="41" t="n"/>
      <c r="AA1348" s="41" t="n"/>
      <c r="AB1348" s="41" t="n"/>
    </row>
    <row r="1349">
      <c r="A1349" s="39">
        <f>IF($C1349="","","NOV-"&amp;TEXT(ROW()-3,"0000"))</f>
        <v/>
      </c>
      <c r="B1349" s="40" t="n"/>
      <c r="C1349" s="41" t="n"/>
      <c r="D1349" s="42">
        <f>IF($C1349="","",IFERROR(INDEX(DESPACHOS!$D$3:$D$3002,MATCH($C1349,DESPACHOS!$B$3:$B$3002,0)),"SIN DESPACHO"))</f>
        <v/>
      </c>
      <c r="E1349" s="42">
        <f>IF($C1349="","",IFERROR(INDEX(DESPACHOS!$K$3:$K$3002,MATCH($C1349,DESPACHOS!$B$3:$B$3002,0)),""))</f>
        <v/>
      </c>
      <c r="F1349" s="42">
        <f>IF($C1349="","",IFERROR(INDEX(DESPACHOS!$I$3:$I$3002,MATCH($C1349,DESPACHOS!$B$3:$B$3002,0)),""))</f>
        <v/>
      </c>
      <c r="G1349" s="42">
        <f>IF($C1349="","",IFERROR(INDEX(DESPACHOS!$F$3:$F$3002,MATCH($C1349,DESPACHOS!$B$3:$B$3002,0)),""))</f>
        <v/>
      </c>
      <c r="H1349" s="42">
        <f>IF($C1349="","",IFERROR(INDEX(DESPACHOS!$G$3:$G$3002,MATCH($C1349,DESPACHOS!$B$3:$B$3002,0)),""))</f>
        <v/>
      </c>
      <c r="I1349" s="39">
        <f>IF($C1349="","",IFERROR(INDEX(DESPACHOS!$H$3:$H$3002,MATCH($C1349,DESPACHOS!$B$3:$B$3002,0)),""))</f>
        <v/>
      </c>
      <c r="J1349" s="43">
        <f>IF($C1349="","",IFERROR(INDEX(DESPACHOS!$J$3:$J$3002,MATCH($C1349,DESPACHOS!$B$3:$B$3002,0)),""))</f>
        <v/>
      </c>
      <c r="K1349" s="39">
        <f>IF($C1349="","",IF(COUNTIFS(DESPACHOS!$B$3:$B$3002,$C1349)=0,"NO EXISTE",IF(COUNTIFS(DESPACHOS!$B$3:$B$3002,$C1349)&gt;1,"DUPLICADO","OK")))</f>
        <v/>
      </c>
      <c r="L1349" s="41" t="n"/>
      <c r="M1349" s="41" t="n"/>
      <c r="N1349" s="42">
        <f>IF($M1349="","",IFERROR(INDEX(LISTAS!$F$3:$F$42,MATCH($M1349,LISTAS!$E$3:$E$42,0)),"Por definir"))</f>
        <v/>
      </c>
      <c r="O1349" s="41" t="n"/>
      <c r="P1349" s="39">
        <f>IF($L1349="","",IFERROR(INDEX(LISTAS!$B$3:$B$42,MATCH($L1349,LISTAS!$A$3:$A$42,0)),"Media"))</f>
        <v/>
      </c>
      <c r="Q1349" s="44" t="n"/>
      <c r="R1349" s="45" t="n"/>
      <c r="S1349" s="20">
        <f>IFERROR(IF(OR($R1349="",$C1349=""),"",$R1349/INDEX(DESPACHOS!$M$3:$M$3002,MATCH($C1349,DESPACHOS!$B$3:$B$3002,0))),"")</f>
        <v/>
      </c>
      <c r="T1349" s="41" t="n"/>
      <c r="U1349" s="43">
        <f>IF(OR($B1349="",$L1349=""),"",WORKDAY($B1349,IFERROR(INDEX(LISTAS!$C$3:$C$42,MATCH($L1349,LISTAS!$A$3:$A$42,0)),3)))</f>
        <v/>
      </c>
      <c r="V1349" s="40" t="n"/>
      <c r="W1349" s="19">
        <f>IF($B1349="","",IF($V1349&lt;&gt;"",$V1349-$B1349,TODAY()-$B1349))</f>
        <v/>
      </c>
      <c r="X1349" s="19">
        <f>IF(OR($B1349="",$U1349=""),"",IF($V1349&lt;&gt;"",MAX(0,$V1349-$U1349),MAX(0,TODAY()-$U1349)))</f>
        <v/>
      </c>
      <c r="Y1349" s="39">
        <f>IF($C1349="","",IF(IFERROR(INDEX(LISTAS!$I$3:$I$42,MATCH($T1349,LISTAS!$H$3:$H$42,0)),"NO")="SÍ",IF(N($X1349)&gt;0,"CERRADA FUERA DE SLA","CERRADA EN SLA"),IF($U1349="","SIN CLASIFICAR",IF(N($X1349)&gt;0,"VENCIDA",IF(TODAY()&gt;=$U1349-1,"POR VENCER","EN PLAZO")))))</f>
        <v/>
      </c>
      <c r="Z1349" s="41" t="n"/>
      <c r="AA1349" s="41" t="n"/>
      <c r="AB1349" s="41" t="n"/>
    </row>
    <row r="1350">
      <c r="A1350" s="39">
        <f>IF($C1350="","","NOV-"&amp;TEXT(ROW()-3,"0000"))</f>
        <v/>
      </c>
      <c r="B1350" s="40" t="n"/>
      <c r="C1350" s="41" t="n"/>
      <c r="D1350" s="42">
        <f>IF($C1350="","",IFERROR(INDEX(DESPACHOS!$D$3:$D$3002,MATCH($C1350,DESPACHOS!$B$3:$B$3002,0)),"SIN DESPACHO"))</f>
        <v/>
      </c>
      <c r="E1350" s="42">
        <f>IF($C1350="","",IFERROR(INDEX(DESPACHOS!$K$3:$K$3002,MATCH($C1350,DESPACHOS!$B$3:$B$3002,0)),""))</f>
        <v/>
      </c>
      <c r="F1350" s="42">
        <f>IF($C1350="","",IFERROR(INDEX(DESPACHOS!$I$3:$I$3002,MATCH($C1350,DESPACHOS!$B$3:$B$3002,0)),""))</f>
        <v/>
      </c>
      <c r="G1350" s="42">
        <f>IF($C1350="","",IFERROR(INDEX(DESPACHOS!$F$3:$F$3002,MATCH($C1350,DESPACHOS!$B$3:$B$3002,0)),""))</f>
        <v/>
      </c>
      <c r="H1350" s="42">
        <f>IF($C1350="","",IFERROR(INDEX(DESPACHOS!$G$3:$G$3002,MATCH($C1350,DESPACHOS!$B$3:$B$3002,0)),""))</f>
        <v/>
      </c>
      <c r="I1350" s="39">
        <f>IF($C1350="","",IFERROR(INDEX(DESPACHOS!$H$3:$H$3002,MATCH($C1350,DESPACHOS!$B$3:$B$3002,0)),""))</f>
        <v/>
      </c>
      <c r="J1350" s="43">
        <f>IF($C1350="","",IFERROR(INDEX(DESPACHOS!$J$3:$J$3002,MATCH($C1350,DESPACHOS!$B$3:$B$3002,0)),""))</f>
        <v/>
      </c>
      <c r="K1350" s="39">
        <f>IF($C1350="","",IF(COUNTIFS(DESPACHOS!$B$3:$B$3002,$C1350)=0,"NO EXISTE",IF(COUNTIFS(DESPACHOS!$B$3:$B$3002,$C1350)&gt;1,"DUPLICADO","OK")))</f>
        <v/>
      </c>
      <c r="L1350" s="41" t="n"/>
      <c r="M1350" s="41" t="n"/>
      <c r="N1350" s="42">
        <f>IF($M1350="","",IFERROR(INDEX(LISTAS!$F$3:$F$42,MATCH($M1350,LISTAS!$E$3:$E$42,0)),"Por definir"))</f>
        <v/>
      </c>
      <c r="O1350" s="41" t="n"/>
      <c r="P1350" s="39">
        <f>IF($L1350="","",IFERROR(INDEX(LISTAS!$B$3:$B$42,MATCH($L1350,LISTAS!$A$3:$A$42,0)),"Media"))</f>
        <v/>
      </c>
      <c r="Q1350" s="44" t="n"/>
      <c r="R1350" s="45" t="n"/>
      <c r="S1350" s="20">
        <f>IFERROR(IF(OR($R1350="",$C1350=""),"",$R1350/INDEX(DESPACHOS!$M$3:$M$3002,MATCH($C1350,DESPACHOS!$B$3:$B$3002,0))),"")</f>
        <v/>
      </c>
      <c r="T1350" s="41" t="n"/>
      <c r="U1350" s="43">
        <f>IF(OR($B1350="",$L1350=""),"",WORKDAY($B1350,IFERROR(INDEX(LISTAS!$C$3:$C$42,MATCH($L1350,LISTAS!$A$3:$A$42,0)),3)))</f>
        <v/>
      </c>
      <c r="V1350" s="40" t="n"/>
      <c r="W1350" s="19">
        <f>IF($B1350="","",IF($V1350&lt;&gt;"",$V1350-$B1350,TODAY()-$B1350))</f>
        <v/>
      </c>
      <c r="X1350" s="19">
        <f>IF(OR($B1350="",$U1350=""),"",IF($V1350&lt;&gt;"",MAX(0,$V1350-$U1350),MAX(0,TODAY()-$U1350)))</f>
        <v/>
      </c>
      <c r="Y1350" s="39">
        <f>IF($C1350="","",IF(IFERROR(INDEX(LISTAS!$I$3:$I$42,MATCH($T1350,LISTAS!$H$3:$H$42,0)),"NO")="SÍ",IF(N($X1350)&gt;0,"CERRADA FUERA DE SLA","CERRADA EN SLA"),IF($U1350="","SIN CLASIFICAR",IF(N($X1350)&gt;0,"VENCIDA",IF(TODAY()&gt;=$U1350-1,"POR VENCER","EN PLAZO")))))</f>
        <v/>
      </c>
      <c r="Z1350" s="41" t="n"/>
      <c r="AA1350" s="41" t="n"/>
      <c r="AB1350" s="41" t="n"/>
    </row>
    <row r="1351">
      <c r="A1351" s="39">
        <f>IF($C1351="","","NOV-"&amp;TEXT(ROW()-3,"0000"))</f>
        <v/>
      </c>
      <c r="B1351" s="40" t="n"/>
      <c r="C1351" s="41" t="n"/>
      <c r="D1351" s="42">
        <f>IF($C1351="","",IFERROR(INDEX(DESPACHOS!$D$3:$D$3002,MATCH($C1351,DESPACHOS!$B$3:$B$3002,0)),"SIN DESPACHO"))</f>
        <v/>
      </c>
      <c r="E1351" s="42">
        <f>IF($C1351="","",IFERROR(INDEX(DESPACHOS!$K$3:$K$3002,MATCH($C1351,DESPACHOS!$B$3:$B$3002,0)),""))</f>
        <v/>
      </c>
      <c r="F1351" s="42">
        <f>IF($C1351="","",IFERROR(INDEX(DESPACHOS!$I$3:$I$3002,MATCH($C1351,DESPACHOS!$B$3:$B$3002,0)),""))</f>
        <v/>
      </c>
      <c r="G1351" s="42">
        <f>IF($C1351="","",IFERROR(INDEX(DESPACHOS!$F$3:$F$3002,MATCH($C1351,DESPACHOS!$B$3:$B$3002,0)),""))</f>
        <v/>
      </c>
      <c r="H1351" s="42">
        <f>IF($C1351="","",IFERROR(INDEX(DESPACHOS!$G$3:$G$3002,MATCH($C1351,DESPACHOS!$B$3:$B$3002,0)),""))</f>
        <v/>
      </c>
      <c r="I1351" s="39">
        <f>IF($C1351="","",IFERROR(INDEX(DESPACHOS!$H$3:$H$3002,MATCH($C1351,DESPACHOS!$B$3:$B$3002,0)),""))</f>
        <v/>
      </c>
      <c r="J1351" s="43">
        <f>IF($C1351="","",IFERROR(INDEX(DESPACHOS!$J$3:$J$3002,MATCH($C1351,DESPACHOS!$B$3:$B$3002,0)),""))</f>
        <v/>
      </c>
      <c r="K1351" s="39">
        <f>IF($C1351="","",IF(COUNTIFS(DESPACHOS!$B$3:$B$3002,$C1351)=0,"NO EXISTE",IF(COUNTIFS(DESPACHOS!$B$3:$B$3002,$C1351)&gt;1,"DUPLICADO","OK")))</f>
        <v/>
      </c>
      <c r="L1351" s="41" t="n"/>
      <c r="M1351" s="41" t="n"/>
      <c r="N1351" s="42">
        <f>IF($M1351="","",IFERROR(INDEX(LISTAS!$F$3:$F$42,MATCH($M1351,LISTAS!$E$3:$E$42,0)),"Por definir"))</f>
        <v/>
      </c>
      <c r="O1351" s="41" t="n"/>
      <c r="P1351" s="39">
        <f>IF($L1351="","",IFERROR(INDEX(LISTAS!$B$3:$B$42,MATCH($L1351,LISTAS!$A$3:$A$42,0)),"Media"))</f>
        <v/>
      </c>
      <c r="Q1351" s="44" t="n"/>
      <c r="R1351" s="45" t="n"/>
      <c r="S1351" s="20">
        <f>IFERROR(IF(OR($R1351="",$C1351=""),"",$R1351/INDEX(DESPACHOS!$M$3:$M$3002,MATCH($C1351,DESPACHOS!$B$3:$B$3002,0))),"")</f>
        <v/>
      </c>
      <c r="T1351" s="41" t="n"/>
      <c r="U1351" s="43">
        <f>IF(OR($B1351="",$L1351=""),"",WORKDAY($B1351,IFERROR(INDEX(LISTAS!$C$3:$C$42,MATCH($L1351,LISTAS!$A$3:$A$42,0)),3)))</f>
        <v/>
      </c>
      <c r="V1351" s="40" t="n"/>
      <c r="W1351" s="19">
        <f>IF($B1351="","",IF($V1351&lt;&gt;"",$V1351-$B1351,TODAY()-$B1351))</f>
        <v/>
      </c>
      <c r="X1351" s="19">
        <f>IF(OR($B1351="",$U1351=""),"",IF($V1351&lt;&gt;"",MAX(0,$V1351-$U1351),MAX(0,TODAY()-$U1351)))</f>
        <v/>
      </c>
      <c r="Y1351" s="39">
        <f>IF($C1351="","",IF(IFERROR(INDEX(LISTAS!$I$3:$I$42,MATCH($T1351,LISTAS!$H$3:$H$42,0)),"NO")="SÍ",IF(N($X1351)&gt;0,"CERRADA FUERA DE SLA","CERRADA EN SLA"),IF($U1351="","SIN CLASIFICAR",IF(N($X1351)&gt;0,"VENCIDA",IF(TODAY()&gt;=$U1351-1,"POR VENCER","EN PLAZO")))))</f>
        <v/>
      </c>
      <c r="Z1351" s="41" t="n"/>
      <c r="AA1351" s="41" t="n"/>
      <c r="AB1351" s="41" t="n"/>
    </row>
    <row r="1352">
      <c r="A1352" s="39">
        <f>IF($C1352="","","NOV-"&amp;TEXT(ROW()-3,"0000"))</f>
        <v/>
      </c>
      <c r="B1352" s="40" t="n"/>
      <c r="C1352" s="41" t="n"/>
      <c r="D1352" s="42">
        <f>IF($C1352="","",IFERROR(INDEX(DESPACHOS!$D$3:$D$3002,MATCH($C1352,DESPACHOS!$B$3:$B$3002,0)),"SIN DESPACHO"))</f>
        <v/>
      </c>
      <c r="E1352" s="42">
        <f>IF($C1352="","",IFERROR(INDEX(DESPACHOS!$K$3:$K$3002,MATCH($C1352,DESPACHOS!$B$3:$B$3002,0)),""))</f>
        <v/>
      </c>
      <c r="F1352" s="42">
        <f>IF($C1352="","",IFERROR(INDEX(DESPACHOS!$I$3:$I$3002,MATCH($C1352,DESPACHOS!$B$3:$B$3002,0)),""))</f>
        <v/>
      </c>
      <c r="G1352" s="42">
        <f>IF($C1352="","",IFERROR(INDEX(DESPACHOS!$F$3:$F$3002,MATCH($C1352,DESPACHOS!$B$3:$B$3002,0)),""))</f>
        <v/>
      </c>
      <c r="H1352" s="42">
        <f>IF($C1352="","",IFERROR(INDEX(DESPACHOS!$G$3:$G$3002,MATCH($C1352,DESPACHOS!$B$3:$B$3002,0)),""))</f>
        <v/>
      </c>
      <c r="I1352" s="39">
        <f>IF($C1352="","",IFERROR(INDEX(DESPACHOS!$H$3:$H$3002,MATCH($C1352,DESPACHOS!$B$3:$B$3002,0)),""))</f>
        <v/>
      </c>
      <c r="J1352" s="43">
        <f>IF($C1352="","",IFERROR(INDEX(DESPACHOS!$J$3:$J$3002,MATCH($C1352,DESPACHOS!$B$3:$B$3002,0)),""))</f>
        <v/>
      </c>
      <c r="K1352" s="39">
        <f>IF($C1352="","",IF(COUNTIFS(DESPACHOS!$B$3:$B$3002,$C1352)=0,"NO EXISTE",IF(COUNTIFS(DESPACHOS!$B$3:$B$3002,$C1352)&gt;1,"DUPLICADO","OK")))</f>
        <v/>
      </c>
      <c r="L1352" s="41" t="n"/>
      <c r="M1352" s="41" t="n"/>
      <c r="N1352" s="42">
        <f>IF($M1352="","",IFERROR(INDEX(LISTAS!$F$3:$F$42,MATCH($M1352,LISTAS!$E$3:$E$42,0)),"Por definir"))</f>
        <v/>
      </c>
      <c r="O1352" s="41" t="n"/>
      <c r="P1352" s="39">
        <f>IF($L1352="","",IFERROR(INDEX(LISTAS!$B$3:$B$42,MATCH($L1352,LISTAS!$A$3:$A$42,0)),"Media"))</f>
        <v/>
      </c>
      <c r="Q1352" s="44" t="n"/>
      <c r="R1352" s="45" t="n"/>
      <c r="S1352" s="20">
        <f>IFERROR(IF(OR($R1352="",$C1352=""),"",$R1352/INDEX(DESPACHOS!$M$3:$M$3002,MATCH($C1352,DESPACHOS!$B$3:$B$3002,0))),"")</f>
        <v/>
      </c>
      <c r="T1352" s="41" t="n"/>
      <c r="U1352" s="43">
        <f>IF(OR($B1352="",$L1352=""),"",WORKDAY($B1352,IFERROR(INDEX(LISTAS!$C$3:$C$42,MATCH($L1352,LISTAS!$A$3:$A$42,0)),3)))</f>
        <v/>
      </c>
      <c r="V1352" s="40" t="n"/>
      <c r="W1352" s="19">
        <f>IF($B1352="","",IF($V1352&lt;&gt;"",$V1352-$B1352,TODAY()-$B1352))</f>
        <v/>
      </c>
      <c r="X1352" s="19">
        <f>IF(OR($B1352="",$U1352=""),"",IF($V1352&lt;&gt;"",MAX(0,$V1352-$U1352),MAX(0,TODAY()-$U1352)))</f>
        <v/>
      </c>
      <c r="Y1352" s="39">
        <f>IF($C1352="","",IF(IFERROR(INDEX(LISTAS!$I$3:$I$42,MATCH($T1352,LISTAS!$H$3:$H$42,0)),"NO")="SÍ",IF(N($X1352)&gt;0,"CERRADA FUERA DE SLA","CERRADA EN SLA"),IF($U1352="","SIN CLASIFICAR",IF(N($X1352)&gt;0,"VENCIDA",IF(TODAY()&gt;=$U1352-1,"POR VENCER","EN PLAZO")))))</f>
        <v/>
      </c>
      <c r="Z1352" s="41" t="n"/>
      <c r="AA1352" s="41" t="n"/>
      <c r="AB1352" s="41" t="n"/>
    </row>
    <row r="1353">
      <c r="A1353" s="39">
        <f>IF($C1353="","","NOV-"&amp;TEXT(ROW()-3,"0000"))</f>
        <v/>
      </c>
      <c r="B1353" s="40" t="n"/>
      <c r="C1353" s="41" t="n"/>
      <c r="D1353" s="42">
        <f>IF($C1353="","",IFERROR(INDEX(DESPACHOS!$D$3:$D$3002,MATCH($C1353,DESPACHOS!$B$3:$B$3002,0)),"SIN DESPACHO"))</f>
        <v/>
      </c>
      <c r="E1353" s="42">
        <f>IF($C1353="","",IFERROR(INDEX(DESPACHOS!$K$3:$K$3002,MATCH($C1353,DESPACHOS!$B$3:$B$3002,0)),""))</f>
        <v/>
      </c>
      <c r="F1353" s="42">
        <f>IF($C1353="","",IFERROR(INDEX(DESPACHOS!$I$3:$I$3002,MATCH($C1353,DESPACHOS!$B$3:$B$3002,0)),""))</f>
        <v/>
      </c>
      <c r="G1353" s="42">
        <f>IF($C1353="","",IFERROR(INDEX(DESPACHOS!$F$3:$F$3002,MATCH($C1353,DESPACHOS!$B$3:$B$3002,0)),""))</f>
        <v/>
      </c>
      <c r="H1353" s="42">
        <f>IF($C1353="","",IFERROR(INDEX(DESPACHOS!$G$3:$G$3002,MATCH($C1353,DESPACHOS!$B$3:$B$3002,0)),""))</f>
        <v/>
      </c>
      <c r="I1353" s="39">
        <f>IF($C1353="","",IFERROR(INDEX(DESPACHOS!$H$3:$H$3002,MATCH($C1353,DESPACHOS!$B$3:$B$3002,0)),""))</f>
        <v/>
      </c>
      <c r="J1353" s="43">
        <f>IF($C1353="","",IFERROR(INDEX(DESPACHOS!$J$3:$J$3002,MATCH($C1353,DESPACHOS!$B$3:$B$3002,0)),""))</f>
        <v/>
      </c>
      <c r="K1353" s="39">
        <f>IF($C1353="","",IF(COUNTIFS(DESPACHOS!$B$3:$B$3002,$C1353)=0,"NO EXISTE",IF(COUNTIFS(DESPACHOS!$B$3:$B$3002,$C1353)&gt;1,"DUPLICADO","OK")))</f>
        <v/>
      </c>
      <c r="L1353" s="41" t="n"/>
      <c r="M1353" s="41" t="n"/>
      <c r="N1353" s="42">
        <f>IF($M1353="","",IFERROR(INDEX(LISTAS!$F$3:$F$42,MATCH($M1353,LISTAS!$E$3:$E$42,0)),"Por definir"))</f>
        <v/>
      </c>
      <c r="O1353" s="41" t="n"/>
      <c r="P1353" s="39">
        <f>IF($L1353="","",IFERROR(INDEX(LISTAS!$B$3:$B$42,MATCH($L1353,LISTAS!$A$3:$A$42,0)),"Media"))</f>
        <v/>
      </c>
      <c r="Q1353" s="44" t="n"/>
      <c r="R1353" s="45" t="n"/>
      <c r="S1353" s="20">
        <f>IFERROR(IF(OR($R1353="",$C1353=""),"",$R1353/INDEX(DESPACHOS!$M$3:$M$3002,MATCH($C1353,DESPACHOS!$B$3:$B$3002,0))),"")</f>
        <v/>
      </c>
      <c r="T1353" s="41" t="n"/>
      <c r="U1353" s="43">
        <f>IF(OR($B1353="",$L1353=""),"",WORKDAY($B1353,IFERROR(INDEX(LISTAS!$C$3:$C$42,MATCH($L1353,LISTAS!$A$3:$A$42,0)),3)))</f>
        <v/>
      </c>
      <c r="V1353" s="40" t="n"/>
      <c r="W1353" s="19">
        <f>IF($B1353="","",IF($V1353&lt;&gt;"",$V1353-$B1353,TODAY()-$B1353))</f>
        <v/>
      </c>
      <c r="X1353" s="19">
        <f>IF(OR($B1353="",$U1353=""),"",IF($V1353&lt;&gt;"",MAX(0,$V1353-$U1353),MAX(0,TODAY()-$U1353)))</f>
        <v/>
      </c>
      <c r="Y1353" s="39">
        <f>IF($C1353="","",IF(IFERROR(INDEX(LISTAS!$I$3:$I$42,MATCH($T1353,LISTAS!$H$3:$H$42,0)),"NO")="SÍ",IF(N($X1353)&gt;0,"CERRADA FUERA DE SLA","CERRADA EN SLA"),IF($U1353="","SIN CLASIFICAR",IF(N($X1353)&gt;0,"VENCIDA",IF(TODAY()&gt;=$U1353-1,"POR VENCER","EN PLAZO")))))</f>
        <v/>
      </c>
      <c r="Z1353" s="41" t="n"/>
      <c r="AA1353" s="41" t="n"/>
      <c r="AB1353" s="41" t="n"/>
    </row>
    <row r="1354">
      <c r="A1354" s="39">
        <f>IF($C1354="","","NOV-"&amp;TEXT(ROW()-3,"0000"))</f>
        <v/>
      </c>
      <c r="B1354" s="40" t="n"/>
      <c r="C1354" s="41" t="n"/>
      <c r="D1354" s="42">
        <f>IF($C1354="","",IFERROR(INDEX(DESPACHOS!$D$3:$D$3002,MATCH($C1354,DESPACHOS!$B$3:$B$3002,0)),"SIN DESPACHO"))</f>
        <v/>
      </c>
      <c r="E1354" s="42">
        <f>IF($C1354="","",IFERROR(INDEX(DESPACHOS!$K$3:$K$3002,MATCH($C1354,DESPACHOS!$B$3:$B$3002,0)),""))</f>
        <v/>
      </c>
      <c r="F1354" s="42">
        <f>IF($C1354="","",IFERROR(INDEX(DESPACHOS!$I$3:$I$3002,MATCH($C1354,DESPACHOS!$B$3:$B$3002,0)),""))</f>
        <v/>
      </c>
      <c r="G1354" s="42">
        <f>IF($C1354="","",IFERROR(INDEX(DESPACHOS!$F$3:$F$3002,MATCH($C1354,DESPACHOS!$B$3:$B$3002,0)),""))</f>
        <v/>
      </c>
      <c r="H1354" s="42">
        <f>IF($C1354="","",IFERROR(INDEX(DESPACHOS!$G$3:$G$3002,MATCH($C1354,DESPACHOS!$B$3:$B$3002,0)),""))</f>
        <v/>
      </c>
      <c r="I1354" s="39">
        <f>IF($C1354="","",IFERROR(INDEX(DESPACHOS!$H$3:$H$3002,MATCH($C1354,DESPACHOS!$B$3:$B$3002,0)),""))</f>
        <v/>
      </c>
      <c r="J1354" s="43">
        <f>IF($C1354="","",IFERROR(INDEX(DESPACHOS!$J$3:$J$3002,MATCH($C1354,DESPACHOS!$B$3:$B$3002,0)),""))</f>
        <v/>
      </c>
      <c r="K1354" s="39">
        <f>IF($C1354="","",IF(COUNTIFS(DESPACHOS!$B$3:$B$3002,$C1354)=0,"NO EXISTE",IF(COUNTIFS(DESPACHOS!$B$3:$B$3002,$C1354)&gt;1,"DUPLICADO","OK")))</f>
        <v/>
      </c>
      <c r="L1354" s="41" t="n"/>
      <c r="M1354" s="41" t="n"/>
      <c r="N1354" s="42">
        <f>IF($M1354="","",IFERROR(INDEX(LISTAS!$F$3:$F$42,MATCH($M1354,LISTAS!$E$3:$E$42,0)),"Por definir"))</f>
        <v/>
      </c>
      <c r="O1354" s="41" t="n"/>
      <c r="P1354" s="39">
        <f>IF($L1354="","",IFERROR(INDEX(LISTAS!$B$3:$B$42,MATCH($L1354,LISTAS!$A$3:$A$42,0)),"Media"))</f>
        <v/>
      </c>
      <c r="Q1354" s="44" t="n"/>
      <c r="R1354" s="45" t="n"/>
      <c r="S1354" s="20">
        <f>IFERROR(IF(OR($R1354="",$C1354=""),"",$R1354/INDEX(DESPACHOS!$M$3:$M$3002,MATCH($C1354,DESPACHOS!$B$3:$B$3002,0))),"")</f>
        <v/>
      </c>
      <c r="T1354" s="41" t="n"/>
      <c r="U1354" s="43">
        <f>IF(OR($B1354="",$L1354=""),"",WORKDAY($B1354,IFERROR(INDEX(LISTAS!$C$3:$C$42,MATCH($L1354,LISTAS!$A$3:$A$42,0)),3)))</f>
        <v/>
      </c>
      <c r="V1354" s="40" t="n"/>
      <c r="W1354" s="19">
        <f>IF($B1354="","",IF($V1354&lt;&gt;"",$V1354-$B1354,TODAY()-$B1354))</f>
        <v/>
      </c>
      <c r="X1354" s="19">
        <f>IF(OR($B1354="",$U1354=""),"",IF($V1354&lt;&gt;"",MAX(0,$V1354-$U1354),MAX(0,TODAY()-$U1354)))</f>
        <v/>
      </c>
      <c r="Y1354" s="39">
        <f>IF($C1354="","",IF(IFERROR(INDEX(LISTAS!$I$3:$I$42,MATCH($T1354,LISTAS!$H$3:$H$42,0)),"NO")="SÍ",IF(N($X1354)&gt;0,"CERRADA FUERA DE SLA","CERRADA EN SLA"),IF($U1354="","SIN CLASIFICAR",IF(N($X1354)&gt;0,"VENCIDA",IF(TODAY()&gt;=$U1354-1,"POR VENCER","EN PLAZO")))))</f>
        <v/>
      </c>
      <c r="Z1354" s="41" t="n"/>
      <c r="AA1354" s="41" t="n"/>
      <c r="AB1354" s="41" t="n"/>
    </row>
    <row r="1355">
      <c r="A1355" s="39">
        <f>IF($C1355="","","NOV-"&amp;TEXT(ROW()-3,"0000"))</f>
        <v/>
      </c>
      <c r="B1355" s="40" t="n"/>
      <c r="C1355" s="41" t="n"/>
      <c r="D1355" s="42">
        <f>IF($C1355="","",IFERROR(INDEX(DESPACHOS!$D$3:$D$3002,MATCH($C1355,DESPACHOS!$B$3:$B$3002,0)),"SIN DESPACHO"))</f>
        <v/>
      </c>
      <c r="E1355" s="42">
        <f>IF($C1355="","",IFERROR(INDEX(DESPACHOS!$K$3:$K$3002,MATCH($C1355,DESPACHOS!$B$3:$B$3002,0)),""))</f>
        <v/>
      </c>
      <c r="F1355" s="42">
        <f>IF($C1355="","",IFERROR(INDEX(DESPACHOS!$I$3:$I$3002,MATCH($C1355,DESPACHOS!$B$3:$B$3002,0)),""))</f>
        <v/>
      </c>
      <c r="G1355" s="42">
        <f>IF($C1355="","",IFERROR(INDEX(DESPACHOS!$F$3:$F$3002,MATCH($C1355,DESPACHOS!$B$3:$B$3002,0)),""))</f>
        <v/>
      </c>
      <c r="H1355" s="42">
        <f>IF($C1355="","",IFERROR(INDEX(DESPACHOS!$G$3:$G$3002,MATCH($C1355,DESPACHOS!$B$3:$B$3002,0)),""))</f>
        <v/>
      </c>
      <c r="I1355" s="39">
        <f>IF($C1355="","",IFERROR(INDEX(DESPACHOS!$H$3:$H$3002,MATCH($C1355,DESPACHOS!$B$3:$B$3002,0)),""))</f>
        <v/>
      </c>
      <c r="J1355" s="43">
        <f>IF($C1355="","",IFERROR(INDEX(DESPACHOS!$J$3:$J$3002,MATCH($C1355,DESPACHOS!$B$3:$B$3002,0)),""))</f>
        <v/>
      </c>
      <c r="K1355" s="39">
        <f>IF($C1355="","",IF(COUNTIFS(DESPACHOS!$B$3:$B$3002,$C1355)=0,"NO EXISTE",IF(COUNTIFS(DESPACHOS!$B$3:$B$3002,$C1355)&gt;1,"DUPLICADO","OK")))</f>
        <v/>
      </c>
      <c r="L1355" s="41" t="n"/>
      <c r="M1355" s="41" t="n"/>
      <c r="N1355" s="42">
        <f>IF($M1355="","",IFERROR(INDEX(LISTAS!$F$3:$F$42,MATCH($M1355,LISTAS!$E$3:$E$42,0)),"Por definir"))</f>
        <v/>
      </c>
      <c r="O1355" s="41" t="n"/>
      <c r="P1355" s="39">
        <f>IF($L1355="","",IFERROR(INDEX(LISTAS!$B$3:$B$42,MATCH($L1355,LISTAS!$A$3:$A$42,0)),"Media"))</f>
        <v/>
      </c>
      <c r="Q1355" s="44" t="n"/>
      <c r="R1355" s="45" t="n"/>
      <c r="S1355" s="20">
        <f>IFERROR(IF(OR($R1355="",$C1355=""),"",$R1355/INDEX(DESPACHOS!$M$3:$M$3002,MATCH($C1355,DESPACHOS!$B$3:$B$3002,0))),"")</f>
        <v/>
      </c>
      <c r="T1355" s="41" t="n"/>
      <c r="U1355" s="43">
        <f>IF(OR($B1355="",$L1355=""),"",WORKDAY($B1355,IFERROR(INDEX(LISTAS!$C$3:$C$42,MATCH($L1355,LISTAS!$A$3:$A$42,0)),3)))</f>
        <v/>
      </c>
      <c r="V1355" s="40" t="n"/>
      <c r="W1355" s="19">
        <f>IF($B1355="","",IF($V1355&lt;&gt;"",$V1355-$B1355,TODAY()-$B1355))</f>
        <v/>
      </c>
      <c r="X1355" s="19">
        <f>IF(OR($B1355="",$U1355=""),"",IF($V1355&lt;&gt;"",MAX(0,$V1355-$U1355),MAX(0,TODAY()-$U1355)))</f>
        <v/>
      </c>
      <c r="Y1355" s="39">
        <f>IF($C1355="","",IF(IFERROR(INDEX(LISTAS!$I$3:$I$42,MATCH($T1355,LISTAS!$H$3:$H$42,0)),"NO")="SÍ",IF(N($X1355)&gt;0,"CERRADA FUERA DE SLA","CERRADA EN SLA"),IF($U1355="","SIN CLASIFICAR",IF(N($X1355)&gt;0,"VENCIDA",IF(TODAY()&gt;=$U1355-1,"POR VENCER","EN PLAZO")))))</f>
        <v/>
      </c>
      <c r="Z1355" s="41" t="n"/>
      <c r="AA1355" s="41" t="n"/>
      <c r="AB1355" s="41" t="n"/>
    </row>
    <row r="1356">
      <c r="A1356" s="39">
        <f>IF($C1356="","","NOV-"&amp;TEXT(ROW()-3,"0000"))</f>
        <v/>
      </c>
      <c r="B1356" s="40" t="n"/>
      <c r="C1356" s="41" t="n"/>
      <c r="D1356" s="42">
        <f>IF($C1356="","",IFERROR(INDEX(DESPACHOS!$D$3:$D$3002,MATCH($C1356,DESPACHOS!$B$3:$B$3002,0)),"SIN DESPACHO"))</f>
        <v/>
      </c>
      <c r="E1356" s="42">
        <f>IF($C1356="","",IFERROR(INDEX(DESPACHOS!$K$3:$K$3002,MATCH($C1356,DESPACHOS!$B$3:$B$3002,0)),""))</f>
        <v/>
      </c>
      <c r="F1356" s="42">
        <f>IF($C1356="","",IFERROR(INDEX(DESPACHOS!$I$3:$I$3002,MATCH($C1356,DESPACHOS!$B$3:$B$3002,0)),""))</f>
        <v/>
      </c>
      <c r="G1356" s="42">
        <f>IF($C1356="","",IFERROR(INDEX(DESPACHOS!$F$3:$F$3002,MATCH($C1356,DESPACHOS!$B$3:$B$3002,0)),""))</f>
        <v/>
      </c>
      <c r="H1356" s="42">
        <f>IF($C1356="","",IFERROR(INDEX(DESPACHOS!$G$3:$G$3002,MATCH($C1356,DESPACHOS!$B$3:$B$3002,0)),""))</f>
        <v/>
      </c>
      <c r="I1356" s="39">
        <f>IF($C1356="","",IFERROR(INDEX(DESPACHOS!$H$3:$H$3002,MATCH($C1356,DESPACHOS!$B$3:$B$3002,0)),""))</f>
        <v/>
      </c>
      <c r="J1356" s="43">
        <f>IF($C1356="","",IFERROR(INDEX(DESPACHOS!$J$3:$J$3002,MATCH($C1356,DESPACHOS!$B$3:$B$3002,0)),""))</f>
        <v/>
      </c>
      <c r="K1356" s="39">
        <f>IF($C1356="","",IF(COUNTIFS(DESPACHOS!$B$3:$B$3002,$C1356)=0,"NO EXISTE",IF(COUNTIFS(DESPACHOS!$B$3:$B$3002,$C1356)&gt;1,"DUPLICADO","OK")))</f>
        <v/>
      </c>
      <c r="L1356" s="41" t="n"/>
      <c r="M1356" s="41" t="n"/>
      <c r="N1356" s="42">
        <f>IF($M1356="","",IFERROR(INDEX(LISTAS!$F$3:$F$42,MATCH($M1356,LISTAS!$E$3:$E$42,0)),"Por definir"))</f>
        <v/>
      </c>
      <c r="O1356" s="41" t="n"/>
      <c r="P1356" s="39">
        <f>IF($L1356="","",IFERROR(INDEX(LISTAS!$B$3:$B$42,MATCH($L1356,LISTAS!$A$3:$A$42,0)),"Media"))</f>
        <v/>
      </c>
      <c r="Q1356" s="44" t="n"/>
      <c r="R1356" s="45" t="n"/>
      <c r="S1356" s="20">
        <f>IFERROR(IF(OR($R1356="",$C1356=""),"",$R1356/INDEX(DESPACHOS!$M$3:$M$3002,MATCH($C1356,DESPACHOS!$B$3:$B$3002,0))),"")</f>
        <v/>
      </c>
      <c r="T1356" s="41" t="n"/>
      <c r="U1356" s="43">
        <f>IF(OR($B1356="",$L1356=""),"",WORKDAY($B1356,IFERROR(INDEX(LISTAS!$C$3:$C$42,MATCH($L1356,LISTAS!$A$3:$A$42,0)),3)))</f>
        <v/>
      </c>
      <c r="V1356" s="40" t="n"/>
      <c r="W1356" s="19">
        <f>IF($B1356="","",IF($V1356&lt;&gt;"",$V1356-$B1356,TODAY()-$B1356))</f>
        <v/>
      </c>
      <c r="X1356" s="19">
        <f>IF(OR($B1356="",$U1356=""),"",IF($V1356&lt;&gt;"",MAX(0,$V1356-$U1356),MAX(0,TODAY()-$U1356)))</f>
        <v/>
      </c>
      <c r="Y1356" s="39">
        <f>IF($C1356="","",IF(IFERROR(INDEX(LISTAS!$I$3:$I$42,MATCH($T1356,LISTAS!$H$3:$H$42,0)),"NO")="SÍ",IF(N($X1356)&gt;0,"CERRADA FUERA DE SLA","CERRADA EN SLA"),IF($U1356="","SIN CLASIFICAR",IF(N($X1356)&gt;0,"VENCIDA",IF(TODAY()&gt;=$U1356-1,"POR VENCER","EN PLAZO")))))</f>
        <v/>
      </c>
      <c r="Z1356" s="41" t="n"/>
      <c r="AA1356" s="41" t="n"/>
      <c r="AB1356" s="41" t="n"/>
    </row>
    <row r="1357">
      <c r="A1357" s="39">
        <f>IF($C1357="","","NOV-"&amp;TEXT(ROW()-3,"0000"))</f>
        <v/>
      </c>
      <c r="B1357" s="40" t="n"/>
      <c r="C1357" s="41" t="n"/>
      <c r="D1357" s="42">
        <f>IF($C1357="","",IFERROR(INDEX(DESPACHOS!$D$3:$D$3002,MATCH($C1357,DESPACHOS!$B$3:$B$3002,0)),"SIN DESPACHO"))</f>
        <v/>
      </c>
      <c r="E1357" s="42">
        <f>IF($C1357="","",IFERROR(INDEX(DESPACHOS!$K$3:$K$3002,MATCH($C1357,DESPACHOS!$B$3:$B$3002,0)),""))</f>
        <v/>
      </c>
      <c r="F1357" s="42">
        <f>IF($C1357="","",IFERROR(INDEX(DESPACHOS!$I$3:$I$3002,MATCH($C1357,DESPACHOS!$B$3:$B$3002,0)),""))</f>
        <v/>
      </c>
      <c r="G1357" s="42">
        <f>IF($C1357="","",IFERROR(INDEX(DESPACHOS!$F$3:$F$3002,MATCH($C1357,DESPACHOS!$B$3:$B$3002,0)),""))</f>
        <v/>
      </c>
      <c r="H1357" s="42">
        <f>IF($C1357="","",IFERROR(INDEX(DESPACHOS!$G$3:$G$3002,MATCH($C1357,DESPACHOS!$B$3:$B$3002,0)),""))</f>
        <v/>
      </c>
      <c r="I1357" s="39">
        <f>IF($C1357="","",IFERROR(INDEX(DESPACHOS!$H$3:$H$3002,MATCH($C1357,DESPACHOS!$B$3:$B$3002,0)),""))</f>
        <v/>
      </c>
      <c r="J1357" s="43">
        <f>IF($C1357="","",IFERROR(INDEX(DESPACHOS!$J$3:$J$3002,MATCH($C1357,DESPACHOS!$B$3:$B$3002,0)),""))</f>
        <v/>
      </c>
      <c r="K1357" s="39">
        <f>IF($C1357="","",IF(COUNTIFS(DESPACHOS!$B$3:$B$3002,$C1357)=0,"NO EXISTE",IF(COUNTIFS(DESPACHOS!$B$3:$B$3002,$C1357)&gt;1,"DUPLICADO","OK")))</f>
        <v/>
      </c>
      <c r="L1357" s="41" t="n"/>
      <c r="M1357" s="41" t="n"/>
      <c r="N1357" s="42">
        <f>IF($M1357="","",IFERROR(INDEX(LISTAS!$F$3:$F$42,MATCH($M1357,LISTAS!$E$3:$E$42,0)),"Por definir"))</f>
        <v/>
      </c>
      <c r="O1357" s="41" t="n"/>
      <c r="P1357" s="39">
        <f>IF($L1357="","",IFERROR(INDEX(LISTAS!$B$3:$B$42,MATCH($L1357,LISTAS!$A$3:$A$42,0)),"Media"))</f>
        <v/>
      </c>
      <c r="Q1357" s="44" t="n"/>
      <c r="R1357" s="45" t="n"/>
      <c r="S1357" s="20">
        <f>IFERROR(IF(OR($R1357="",$C1357=""),"",$R1357/INDEX(DESPACHOS!$M$3:$M$3002,MATCH($C1357,DESPACHOS!$B$3:$B$3002,0))),"")</f>
        <v/>
      </c>
      <c r="T1357" s="41" t="n"/>
      <c r="U1357" s="43">
        <f>IF(OR($B1357="",$L1357=""),"",WORKDAY($B1357,IFERROR(INDEX(LISTAS!$C$3:$C$42,MATCH($L1357,LISTAS!$A$3:$A$42,0)),3)))</f>
        <v/>
      </c>
      <c r="V1357" s="40" t="n"/>
      <c r="W1357" s="19">
        <f>IF($B1357="","",IF($V1357&lt;&gt;"",$V1357-$B1357,TODAY()-$B1357))</f>
        <v/>
      </c>
      <c r="X1357" s="19">
        <f>IF(OR($B1357="",$U1357=""),"",IF($V1357&lt;&gt;"",MAX(0,$V1357-$U1357),MAX(0,TODAY()-$U1357)))</f>
        <v/>
      </c>
      <c r="Y1357" s="39">
        <f>IF($C1357="","",IF(IFERROR(INDEX(LISTAS!$I$3:$I$42,MATCH($T1357,LISTAS!$H$3:$H$42,0)),"NO")="SÍ",IF(N($X1357)&gt;0,"CERRADA FUERA DE SLA","CERRADA EN SLA"),IF($U1357="","SIN CLASIFICAR",IF(N($X1357)&gt;0,"VENCIDA",IF(TODAY()&gt;=$U1357-1,"POR VENCER","EN PLAZO")))))</f>
        <v/>
      </c>
      <c r="Z1357" s="41" t="n"/>
      <c r="AA1357" s="41" t="n"/>
      <c r="AB1357" s="41" t="n"/>
    </row>
    <row r="1358">
      <c r="A1358" s="39">
        <f>IF($C1358="","","NOV-"&amp;TEXT(ROW()-3,"0000"))</f>
        <v/>
      </c>
      <c r="B1358" s="40" t="n"/>
      <c r="C1358" s="41" t="n"/>
      <c r="D1358" s="42">
        <f>IF($C1358="","",IFERROR(INDEX(DESPACHOS!$D$3:$D$3002,MATCH($C1358,DESPACHOS!$B$3:$B$3002,0)),"SIN DESPACHO"))</f>
        <v/>
      </c>
      <c r="E1358" s="42">
        <f>IF($C1358="","",IFERROR(INDEX(DESPACHOS!$K$3:$K$3002,MATCH($C1358,DESPACHOS!$B$3:$B$3002,0)),""))</f>
        <v/>
      </c>
      <c r="F1358" s="42">
        <f>IF($C1358="","",IFERROR(INDEX(DESPACHOS!$I$3:$I$3002,MATCH($C1358,DESPACHOS!$B$3:$B$3002,0)),""))</f>
        <v/>
      </c>
      <c r="G1358" s="42">
        <f>IF($C1358="","",IFERROR(INDEX(DESPACHOS!$F$3:$F$3002,MATCH($C1358,DESPACHOS!$B$3:$B$3002,0)),""))</f>
        <v/>
      </c>
      <c r="H1358" s="42">
        <f>IF($C1358="","",IFERROR(INDEX(DESPACHOS!$G$3:$G$3002,MATCH($C1358,DESPACHOS!$B$3:$B$3002,0)),""))</f>
        <v/>
      </c>
      <c r="I1358" s="39">
        <f>IF($C1358="","",IFERROR(INDEX(DESPACHOS!$H$3:$H$3002,MATCH($C1358,DESPACHOS!$B$3:$B$3002,0)),""))</f>
        <v/>
      </c>
      <c r="J1358" s="43">
        <f>IF($C1358="","",IFERROR(INDEX(DESPACHOS!$J$3:$J$3002,MATCH($C1358,DESPACHOS!$B$3:$B$3002,0)),""))</f>
        <v/>
      </c>
      <c r="K1358" s="39">
        <f>IF($C1358="","",IF(COUNTIFS(DESPACHOS!$B$3:$B$3002,$C1358)=0,"NO EXISTE",IF(COUNTIFS(DESPACHOS!$B$3:$B$3002,$C1358)&gt;1,"DUPLICADO","OK")))</f>
        <v/>
      </c>
      <c r="L1358" s="41" t="n"/>
      <c r="M1358" s="41" t="n"/>
      <c r="N1358" s="42">
        <f>IF($M1358="","",IFERROR(INDEX(LISTAS!$F$3:$F$42,MATCH($M1358,LISTAS!$E$3:$E$42,0)),"Por definir"))</f>
        <v/>
      </c>
      <c r="O1358" s="41" t="n"/>
      <c r="P1358" s="39">
        <f>IF($L1358="","",IFERROR(INDEX(LISTAS!$B$3:$B$42,MATCH($L1358,LISTAS!$A$3:$A$42,0)),"Media"))</f>
        <v/>
      </c>
      <c r="Q1358" s="44" t="n"/>
      <c r="R1358" s="45" t="n"/>
      <c r="S1358" s="20">
        <f>IFERROR(IF(OR($R1358="",$C1358=""),"",$R1358/INDEX(DESPACHOS!$M$3:$M$3002,MATCH($C1358,DESPACHOS!$B$3:$B$3002,0))),"")</f>
        <v/>
      </c>
      <c r="T1358" s="41" t="n"/>
      <c r="U1358" s="43">
        <f>IF(OR($B1358="",$L1358=""),"",WORKDAY($B1358,IFERROR(INDEX(LISTAS!$C$3:$C$42,MATCH($L1358,LISTAS!$A$3:$A$42,0)),3)))</f>
        <v/>
      </c>
      <c r="V1358" s="40" t="n"/>
      <c r="W1358" s="19">
        <f>IF($B1358="","",IF($V1358&lt;&gt;"",$V1358-$B1358,TODAY()-$B1358))</f>
        <v/>
      </c>
      <c r="X1358" s="19">
        <f>IF(OR($B1358="",$U1358=""),"",IF($V1358&lt;&gt;"",MAX(0,$V1358-$U1358),MAX(0,TODAY()-$U1358)))</f>
        <v/>
      </c>
      <c r="Y1358" s="39">
        <f>IF($C1358="","",IF(IFERROR(INDEX(LISTAS!$I$3:$I$42,MATCH($T1358,LISTAS!$H$3:$H$42,0)),"NO")="SÍ",IF(N($X1358)&gt;0,"CERRADA FUERA DE SLA","CERRADA EN SLA"),IF($U1358="","SIN CLASIFICAR",IF(N($X1358)&gt;0,"VENCIDA",IF(TODAY()&gt;=$U1358-1,"POR VENCER","EN PLAZO")))))</f>
        <v/>
      </c>
      <c r="Z1358" s="41" t="n"/>
      <c r="AA1358" s="41" t="n"/>
      <c r="AB1358" s="41" t="n"/>
    </row>
    <row r="1359">
      <c r="A1359" s="39">
        <f>IF($C1359="","","NOV-"&amp;TEXT(ROW()-3,"0000"))</f>
        <v/>
      </c>
      <c r="B1359" s="40" t="n"/>
      <c r="C1359" s="41" t="n"/>
      <c r="D1359" s="42">
        <f>IF($C1359="","",IFERROR(INDEX(DESPACHOS!$D$3:$D$3002,MATCH($C1359,DESPACHOS!$B$3:$B$3002,0)),"SIN DESPACHO"))</f>
        <v/>
      </c>
      <c r="E1359" s="42">
        <f>IF($C1359="","",IFERROR(INDEX(DESPACHOS!$K$3:$K$3002,MATCH($C1359,DESPACHOS!$B$3:$B$3002,0)),""))</f>
        <v/>
      </c>
      <c r="F1359" s="42">
        <f>IF($C1359="","",IFERROR(INDEX(DESPACHOS!$I$3:$I$3002,MATCH($C1359,DESPACHOS!$B$3:$B$3002,0)),""))</f>
        <v/>
      </c>
      <c r="G1359" s="42">
        <f>IF($C1359="","",IFERROR(INDEX(DESPACHOS!$F$3:$F$3002,MATCH($C1359,DESPACHOS!$B$3:$B$3002,0)),""))</f>
        <v/>
      </c>
      <c r="H1359" s="42">
        <f>IF($C1359="","",IFERROR(INDEX(DESPACHOS!$G$3:$G$3002,MATCH($C1359,DESPACHOS!$B$3:$B$3002,0)),""))</f>
        <v/>
      </c>
      <c r="I1359" s="39">
        <f>IF($C1359="","",IFERROR(INDEX(DESPACHOS!$H$3:$H$3002,MATCH($C1359,DESPACHOS!$B$3:$B$3002,0)),""))</f>
        <v/>
      </c>
      <c r="J1359" s="43">
        <f>IF($C1359="","",IFERROR(INDEX(DESPACHOS!$J$3:$J$3002,MATCH($C1359,DESPACHOS!$B$3:$B$3002,0)),""))</f>
        <v/>
      </c>
      <c r="K1359" s="39">
        <f>IF($C1359="","",IF(COUNTIFS(DESPACHOS!$B$3:$B$3002,$C1359)=0,"NO EXISTE",IF(COUNTIFS(DESPACHOS!$B$3:$B$3002,$C1359)&gt;1,"DUPLICADO","OK")))</f>
        <v/>
      </c>
      <c r="L1359" s="41" t="n"/>
      <c r="M1359" s="41" t="n"/>
      <c r="N1359" s="42">
        <f>IF($M1359="","",IFERROR(INDEX(LISTAS!$F$3:$F$42,MATCH($M1359,LISTAS!$E$3:$E$42,0)),"Por definir"))</f>
        <v/>
      </c>
      <c r="O1359" s="41" t="n"/>
      <c r="P1359" s="39">
        <f>IF($L1359="","",IFERROR(INDEX(LISTAS!$B$3:$B$42,MATCH($L1359,LISTAS!$A$3:$A$42,0)),"Media"))</f>
        <v/>
      </c>
      <c r="Q1359" s="44" t="n"/>
      <c r="R1359" s="45" t="n"/>
      <c r="S1359" s="20">
        <f>IFERROR(IF(OR($R1359="",$C1359=""),"",$R1359/INDEX(DESPACHOS!$M$3:$M$3002,MATCH($C1359,DESPACHOS!$B$3:$B$3002,0))),"")</f>
        <v/>
      </c>
      <c r="T1359" s="41" t="n"/>
      <c r="U1359" s="43">
        <f>IF(OR($B1359="",$L1359=""),"",WORKDAY($B1359,IFERROR(INDEX(LISTAS!$C$3:$C$42,MATCH($L1359,LISTAS!$A$3:$A$42,0)),3)))</f>
        <v/>
      </c>
      <c r="V1359" s="40" t="n"/>
      <c r="W1359" s="19">
        <f>IF($B1359="","",IF($V1359&lt;&gt;"",$V1359-$B1359,TODAY()-$B1359))</f>
        <v/>
      </c>
      <c r="X1359" s="19">
        <f>IF(OR($B1359="",$U1359=""),"",IF($V1359&lt;&gt;"",MAX(0,$V1359-$U1359),MAX(0,TODAY()-$U1359)))</f>
        <v/>
      </c>
      <c r="Y1359" s="39">
        <f>IF($C1359="","",IF(IFERROR(INDEX(LISTAS!$I$3:$I$42,MATCH($T1359,LISTAS!$H$3:$H$42,0)),"NO")="SÍ",IF(N($X1359)&gt;0,"CERRADA FUERA DE SLA","CERRADA EN SLA"),IF($U1359="","SIN CLASIFICAR",IF(N($X1359)&gt;0,"VENCIDA",IF(TODAY()&gt;=$U1359-1,"POR VENCER","EN PLAZO")))))</f>
        <v/>
      </c>
      <c r="Z1359" s="41" t="n"/>
      <c r="AA1359" s="41" t="n"/>
      <c r="AB1359" s="41" t="n"/>
    </row>
    <row r="1360">
      <c r="A1360" s="39">
        <f>IF($C1360="","","NOV-"&amp;TEXT(ROW()-3,"0000"))</f>
        <v/>
      </c>
      <c r="B1360" s="40" t="n"/>
      <c r="C1360" s="41" t="n"/>
      <c r="D1360" s="42">
        <f>IF($C1360="","",IFERROR(INDEX(DESPACHOS!$D$3:$D$3002,MATCH($C1360,DESPACHOS!$B$3:$B$3002,0)),"SIN DESPACHO"))</f>
        <v/>
      </c>
      <c r="E1360" s="42">
        <f>IF($C1360="","",IFERROR(INDEX(DESPACHOS!$K$3:$K$3002,MATCH($C1360,DESPACHOS!$B$3:$B$3002,0)),""))</f>
        <v/>
      </c>
      <c r="F1360" s="42">
        <f>IF($C1360="","",IFERROR(INDEX(DESPACHOS!$I$3:$I$3002,MATCH($C1360,DESPACHOS!$B$3:$B$3002,0)),""))</f>
        <v/>
      </c>
      <c r="G1360" s="42">
        <f>IF($C1360="","",IFERROR(INDEX(DESPACHOS!$F$3:$F$3002,MATCH($C1360,DESPACHOS!$B$3:$B$3002,0)),""))</f>
        <v/>
      </c>
      <c r="H1360" s="42">
        <f>IF($C1360="","",IFERROR(INDEX(DESPACHOS!$G$3:$G$3002,MATCH($C1360,DESPACHOS!$B$3:$B$3002,0)),""))</f>
        <v/>
      </c>
      <c r="I1360" s="39">
        <f>IF($C1360="","",IFERROR(INDEX(DESPACHOS!$H$3:$H$3002,MATCH($C1360,DESPACHOS!$B$3:$B$3002,0)),""))</f>
        <v/>
      </c>
      <c r="J1360" s="43">
        <f>IF($C1360="","",IFERROR(INDEX(DESPACHOS!$J$3:$J$3002,MATCH($C1360,DESPACHOS!$B$3:$B$3002,0)),""))</f>
        <v/>
      </c>
      <c r="K1360" s="39">
        <f>IF($C1360="","",IF(COUNTIFS(DESPACHOS!$B$3:$B$3002,$C1360)=0,"NO EXISTE",IF(COUNTIFS(DESPACHOS!$B$3:$B$3002,$C1360)&gt;1,"DUPLICADO","OK")))</f>
        <v/>
      </c>
      <c r="L1360" s="41" t="n"/>
      <c r="M1360" s="41" t="n"/>
      <c r="N1360" s="42">
        <f>IF($M1360="","",IFERROR(INDEX(LISTAS!$F$3:$F$42,MATCH($M1360,LISTAS!$E$3:$E$42,0)),"Por definir"))</f>
        <v/>
      </c>
      <c r="O1360" s="41" t="n"/>
      <c r="P1360" s="39">
        <f>IF($L1360="","",IFERROR(INDEX(LISTAS!$B$3:$B$42,MATCH($L1360,LISTAS!$A$3:$A$42,0)),"Media"))</f>
        <v/>
      </c>
      <c r="Q1360" s="44" t="n"/>
      <c r="R1360" s="45" t="n"/>
      <c r="S1360" s="20">
        <f>IFERROR(IF(OR($R1360="",$C1360=""),"",$R1360/INDEX(DESPACHOS!$M$3:$M$3002,MATCH($C1360,DESPACHOS!$B$3:$B$3002,0))),"")</f>
        <v/>
      </c>
      <c r="T1360" s="41" t="n"/>
      <c r="U1360" s="43">
        <f>IF(OR($B1360="",$L1360=""),"",WORKDAY($B1360,IFERROR(INDEX(LISTAS!$C$3:$C$42,MATCH($L1360,LISTAS!$A$3:$A$42,0)),3)))</f>
        <v/>
      </c>
      <c r="V1360" s="40" t="n"/>
      <c r="W1360" s="19">
        <f>IF($B1360="","",IF($V1360&lt;&gt;"",$V1360-$B1360,TODAY()-$B1360))</f>
        <v/>
      </c>
      <c r="X1360" s="19">
        <f>IF(OR($B1360="",$U1360=""),"",IF($V1360&lt;&gt;"",MAX(0,$V1360-$U1360),MAX(0,TODAY()-$U1360)))</f>
        <v/>
      </c>
      <c r="Y1360" s="39">
        <f>IF($C1360="","",IF(IFERROR(INDEX(LISTAS!$I$3:$I$42,MATCH($T1360,LISTAS!$H$3:$H$42,0)),"NO")="SÍ",IF(N($X1360)&gt;0,"CERRADA FUERA DE SLA","CERRADA EN SLA"),IF($U1360="","SIN CLASIFICAR",IF(N($X1360)&gt;0,"VENCIDA",IF(TODAY()&gt;=$U1360-1,"POR VENCER","EN PLAZO")))))</f>
        <v/>
      </c>
      <c r="Z1360" s="41" t="n"/>
      <c r="AA1360" s="41" t="n"/>
      <c r="AB1360" s="41" t="n"/>
    </row>
    <row r="1361">
      <c r="A1361" s="39">
        <f>IF($C1361="","","NOV-"&amp;TEXT(ROW()-3,"0000"))</f>
        <v/>
      </c>
      <c r="B1361" s="40" t="n"/>
      <c r="C1361" s="41" t="n"/>
      <c r="D1361" s="42">
        <f>IF($C1361="","",IFERROR(INDEX(DESPACHOS!$D$3:$D$3002,MATCH($C1361,DESPACHOS!$B$3:$B$3002,0)),"SIN DESPACHO"))</f>
        <v/>
      </c>
      <c r="E1361" s="42">
        <f>IF($C1361="","",IFERROR(INDEX(DESPACHOS!$K$3:$K$3002,MATCH($C1361,DESPACHOS!$B$3:$B$3002,0)),""))</f>
        <v/>
      </c>
      <c r="F1361" s="42">
        <f>IF($C1361="","",IFERROR(INDEX(DESPACHOS!$I$3:$I$3002,MATCH($C1361,DESPACHOS!$B$3:$B$3002,0)),""))</f>
        <v/>
      </c>
      <c r="G1361" s="42">
        <f>IF($C1361="","",IFERROR(INDEX(DESPACHOS!$F$3:$F$3002,MATCH($C1361,DESPACHOS!$B$3:$B$3002,0)),""))</f>
        <v/>
      </c>
      <c r="H1361" s="42">
        <f>IF($C1361="","",IFERROR(INDEX(DESPACHOS!$G$3:$G$3002,MATCH($C1361,DESPACHOS!$B$3:$B$3002,0)),""))</f>
        <v/>
      </c>
      <c r="I1361" s="39">
        <f>IF($C1361="","",IFERROR(INDEX(DESPACHOS!$H$3:$H$3002,MATCH($C1361,DESPACHOS!$B$3:$B$3002,0)),""))</f>
        <v/>
      </c>
      <c r="J1361" s="43">
        <f>IF($C1361="","",IFERROR(INDEX(DESPACHOS!$J$3:$J$3002,MATCH($C1361,DESPACHOS!$B$3:$B$3002,0)),""))</f>
        <v/>
      </c>
      <c r="K1361" s="39">
        <f>IF($C1361="","",IF(COUNTIFS(DESPACHOS!$B$3:$B$3002,$C1361)=0,"NO EXISTE",IF(COUNTIFS(DESPACHOS!$B$3:$B$3002,$C1361)&gt;1,"DUPLICADO","OK")))</f>
        <v/>
      </c>
      <c r="L1361" s="41" t="n"/>
      <c r="M1361" s="41" t="n"/>
      <c r="N1361" s="42">
        <f>IF($M1361="","",IFERROR(INDEX(LISTAS!$F$3:$F$42,MATCH($M1361,LISTAS!$E$3:$E$42,0)),"Por definir"))</f>
        <v/>
      </c>
      <c r="O1361" s="41" t="n"/>
      <c r="P1361" s="39">
        <f>IF($L1361="","",IFERROR(INDEX(LISTAS!$B$3:$B$42,MATCH($L1361,LISTAS!$A$3:$A$42,0)),"Media"))</f>
        <v/>
      </c>
      <c r="Q1361" s="44" t="n"/>
      <c r="R1361" s="45" t="n"/>
      <c r="S1361" s="20">
        <f>IFERROR(IF(OR($R1361="",$C1361=""),"",$R1361/INDEX(DESPACHOS!$M$3:$M$3002,MATCH($C1361,DESPACHOS!$B$3:$B$3002,0))),"")</f>
        <v/>
      </c>
      <c r="T1361" s="41" t="n"/>
      <c r="U1361" s="43">
        <f>IF(OR($B1361="",$L1361=""),"",WORKDAY($B1361,IFERROR(INDEX(LISTAS!$C$3:$C$42,MATCH($L1361,LISTAS!$A$3:$A$42,0)),3)))</f>
        <v/>
      </c>
      <c r="V1361" s="40" t="n"/>
      <c r="W1361" s="19">
        <f>IF($B1361="","",IF($V1361&lt;&gt;"",$V1361-$B1361,TODAY()-$B1361))</f>
        <v/>
      </c>
      <c r="X1361" s="19">
        <f>IF(OR($B1361="",$U1361=""),"",IF($V1361&lt;&gt;"",MAX(0,$V1361-$U1361),MAX(0,TODAY()-$U1361)))</f>
        <v/>
      </c>
      <c r="Y1361" s="39">
        <f>IF($C1361="","",IF(IFERROR(INDEX(LISTAS!$I$3:$I$42,MATCH($T1361,LISTAS!$H$3:$H$42,0)),"NO")="SÍ",IF(N($X1361)&gt;0,"CERRADA FUERA DE SLA","CERRADA EN SLA"),IF($U1361="","SIN CLASIFICAR",IF(N($X1361)&gt;0,"VENCIDA",IF(TODAY()&gt;=$U1361-1,"POR VENCER","EN PLAZO")))))</f>
        <v/>
      </c>
      <c r="Z1361" s="41" t="n"/>
      <c r="AA1361" s="41" t="n"/>
      <c r="AB1361" s="41" t="n"/>
    </row>
    <row r="1362">
      <c r="A1362" s="39">
        <f>IF($C1362="","","NOV-"&amp;TEXT(ROW()-3,"0000"))</f>
        <v/>
      </c>
      <c r="B1362" s="40" t="n"/>
      <c r="C1362" s="41" t="n"/>
      <c r="D1362" s="42">
        <f>IF($C1362="","",IFERROR(INDEX(DESPACHOS!$D$3:$D$3002,MATCH($C1362,DESPACHOS!$B$3:$B$3002,0)),"SIN DESPACHO"))</f>
        <v/>
      </c>
      <c r="E1362" s="42">
        <f>IF($C1362="","",IFERROR(INDEX(DESPACHOS!$K$3:$K$3002,MATCH($C1362,DESPACHOS!$B$3:$B$3002,0)),""))</f>
        <v/>
      </c>
      <c r="F1362" s="42">
        <f>IF($C1362="","",IFERROR(INDEX(DESPACHOS!$I$3:$I$3002,MATCH($C1362,DESPACHOS!$B$3:$B$3002,0)),""))</f>
        <v/>
      </c>
      <c r="G1362" s="42">
        <f>IF($C1362="","",IFERROR(INDEX(DESPACHOS!$F$3:$F$3002,MATCH($C1362,DESPACHOS!$B$3:$B$3002,0)),""))</f>
        <v/>
      </c>
      <c r="H1362" s="42">
        <f>IF($C1362="","",IFERROR(INDEX(DESPACHOS!$G$3:$G$3002,MATCH($C1362,DESPACHOS!$B$3:$B$3002,0)),""))</f>
        <v/>
      </c>
      <c r="I1362" s="39">
        <f>IF($C1362="","",IFERROR(INDEX(DESPACHOS!$H$3:$H$3002,MATCH($C1362,DESPACHOS!$B$3:$B$3002,0)),""))</f>
        <v/>
      </c>
      <c r="J1362" s="43">
        <f>IF($C1362="","",IFERROR(INDEX(DESPACHOS!$J$3:$J$3002,MATCH($C1362,DESPACHOS!$B$3:$B$3002,0)),""))</f>
        <v/>
      </c>
      <c r="K1362" s="39">
        <f>IF($C1362="","",IF(COUNTIFS(DESPACHOS!$B$3:$B$3002,$C1362)=0,"NO EXISTE",IF(COUNTIFS(DESPACHOS!$B$3:$B$3002,$C1362)&gt;1,"DUPLICADO","OK")))</f>
        <v/>
      </c>
      <c r="L1362" s="41" t="n"/>
      <c r="M1362" s="41" t="n"/>
      <c r="N1362" s="42">
        <f>IF($M1362="","",IFERROR(INDEX(LISTAS!$F$3:$F$42,MATCH($M1362,LISTAS!$E$3:$E$42,0)),"Por definir"))</f>
        <v/>
      </c>
      <c r="O1362" s="41" t="n"/>
      <c r="P1362" s="39">
        <f>IF($L1362="","",IFERROR(INDEX(LISTAS!$B$3:$B$42,MATCH($L1362,LISTAS!$A$3:$A$42,0)),"Media"))</f>
        <v/>
      </c>
      <c r="Q1362" s="44" t="n"/>
      <c r="R1362" s="45" t="n"/>
      <c r="S1362" s="20">
        <f>IFERROR(IF(OR($R1362="",$C1362=""),"",$R1362/INDEX(DESPACHOS!$M$3:$M$3002,MATCH($C1362,DESPACHOS!$B$3:$B$3002,0))),"")</f>
        <v/>
      </c>
      <c r="T1362" s="41" t="n"/>
      <c r="U1362" s="43">
        <f>IF(OR($B1362="",$L1362=""),"",WORKDAY($B1362,IFERROR(INDEX(LISTAS!$C$3:$C$42,MATCH($L1362,LISTAS!$A$3:$A$42,0)),3)))</f>
        <v/>
      </c>
      <c r="V1362" s="40" t="n"/>
      <c r="W1362" s="19">
        <f>IF($B1362="","",IF($V1362&lt;&gt;"",$V1362-$B1362,TODAY()-$B1362))</f>
        <v/>
      </c>
      <c r="X1362" s="19">
        <f>IF(OR($B1362="",$U1362=""),"",IF($V1362&lt;&gt;"",MAX(0,$V1362-$U1362),MAX(0,TODAY()-$U1362)))</f>
        <v/>
      </c>
      <c r="Y1362" s="39">
        <f>IF($C1362="","",IF(IFERROR(INDEX(LISTAS!$I$3:$I$42,MATCH($T1362,LISTAS!$H$3:$H$42,0)),"NO")="SÍ",IF(N($X1362)&gt;0,"CERRADA FUERA DE SLA","CERRADA EN SLA"),IF($U1362="","SIN CLASIFICAR",IF(N($X1362)&gt;0,"VENCIDA",IF(TODAY()&gt;=$U1362-1,"POR VENCER","EN PLAZO")))))</f>
        <v/>
      </c>
      <c r="Z1362" s="41" t="n"/>
      <c r="AA1362" s="41" t="n"/>
      <c r="AB1362" s="41" t="n"/>
    </row>
    <row r="1363">
      <c r="A1363" s="39">
        <f>IF($C1363="","","NOV-"&amp;TEXT(ROW()-3,"0000"))</f>
        <v/>
      </c>
      <c r="B1363" s="40" t="n"/>
      <c r="C1363" s="41" t="n"/>
      <c r="D1363" s="42">
        <f>IF($C1363="","",IFERROR(INDEX(DESPACHOS!$D$3:$D$3002,MATCH($C1363,DESPACHOS!$B$3:$B$3002,0)),"SIN DESPACHO"))</f>
        <v/>
      </c>
      <c r="E1363" s="42">
        <f>IF($C1363="","",IFERROR(INDEX(DESPACHOS!$K$3:$K$3002,MATCH($C1363,DESPACHOS!$B$3:$B$3002,0)),""))</f>
        <v/>
      </c>
      <c r="F1363" s="42">
        <f>IF($C1363="","",IFERROR(INDEX(DESPACHOS!$I$3:$I$3002,MATCH($C1363,DESPACHOS!$B$3:$B$3002,0)),""))</f>
        <v/>
      </c>
      <c r="G1363" s="42">
        <f>IF($C1363="","",IFERROR(INDEX(DESPACHOS!$F$3:$F$3002,MATCH($C1363,DESPACHOS!$B$3:$B$3002,0)),""))</f>
        <v/>
      </c>
      <c r="H1363" s="42">
        <f>IF($C1363="","",IFERROR(INDEX(DESPACHOS!$G$3:$G$3002,MATCH($C1363,DESPACHOS!$B$3:$B$3002,0)),""))</f>
        <v/>
      </c>
      <c r="I1363" s="39">
        <f>IF($C1363="","",IFERROR(INDEX(DESPACHOS!$H$3:$H$3002,MATCH($C1363,DESPACHOS!$B$3:$B$3002,0)),""))</f>
        <v/>
      </c>
      <c r="J1363" s="43">
        <f>IF($C1363="","",IFERROR(INDEX(DESPACHOS!$J$3:$J$3002,MATCH($C1363,DESPACHOS!$B$3:$B$3002,0)),""))</f>
        <v/>
      </c>
      <c r="K1363" s="39">
        <f>IF($C1363="","",IF(COUNTIFS(DESPACHOS!$B$3:$B$3002,$C1363)=0,"NO EXISTE",IF(COUNTIFS(DESPACHOS!$B$3:$B$3002,$C1363)&gt;1,"DUPLICADO","OK")))</f>
        <v/>
      </c>
      <c r="L1363" s="41" t="n"/>
      <c r="M1363" s="41" t="n"/>
      <c r="N1363" s="42">
        <f>IF($M1363="","",IFERROR(INDEX(LISTAS!$F$3:$F$42,MATCH($M1363,LISTAS!$E$3:$E$42,0)),"Por definir"))</f>
        <v/>
      </c>
      <c r="O1363" s="41" t="n"/>
      <c r="P1363" s="39">
        <f>IF($L1363="","",IFERROR(INDEX(LISTAS!$B$3:$B$42,MATCH($L1363,LISTAS!$A$3:$A$42,0)),"Media"))</f>
        <v/>
      </c>
      <c r="Q1363" s="44" t="n"/>
      <c r="R1363" s="45" t="n"/>
      <c r="S1363" s="20">
        <f>IFERROR(IF(OR($R1363="",$C1363=""),"",$R1363/INDEX(DESPACHOS!$M$3:$M$3002,MATCH($C1363,DESPACHOS!$B$3:$B$3002,0))),"")</f>
        <v/>
      </c>
      <c r="T1363" s="41" t="n"/>
      <c r="U1363" s="43">
        <f>IF(OR($B1363="",$L1363=""),"",WORKDAY($B1363,IFERROR(INDEX(LISTAS!$C$3:$C$42,MATCH($L1363,LISTAS!$A$3:$A$42,0)),3)))</f>
        <v/>
      </c>
      <c r="V1363" s="40" t="n"/>
      <c r="W1363" s="19">
        <f>IF($B1363="","",IF($V1363&lt;&gt;"",$V1363-$B1363,TODAY()-$B1363))</f>
        <v/>
      </c>
      <c r="X1363" s="19">
        <f>IF(OR($B1363="",$U1363=""),"",IF($V1363&lt;&gt;"",MAX(0,$V1363-$U1363),MAX(0,TODAY()-$U1363)))</f>
        <v/>
      </c>
      <c r="Y1363" s="39">
        <f>IF($C1363="","",IF(IFERROR(INDEX(LISTAS!$I$3:$I$42,MATCH($T1363,LISTAS!$H$3:$H$42,0)),"NO")="SÍ",IF(N($X1363)&gt;0,"CERRADA FUERA DE SLA","CERRADA EN SLA"),IF($U1363="","SIN CLASIFICAR",IF(N($X1363)&gt;0,"VENCIDA",IF(TODAY()&gt;=$U1363-1,"POR VENCER","EN PLAZO")))))</f>
        <v/>
      </c>
      <c r="Z1363" s="41" t="n"/>
      <c r="AA1363" s="41" t="n"/>
      <c r="AB1363" s="41" t="n"/>
    </row>
    <row r="1364">
      <c r="A1364" s="39">
        <f>IF($C1364="","","NOV-"&amp;TEXT(ROW()-3,"0000"))</f>
        <v/>
      </c>
      <c r="B1364" s="40" t="n"/>
      <c r="C1364" s="41" t="n"/>
      <c r="D1364" s="42">
        <f>IF($C1364="","",IFERROR(INDEX(DESPACHOS!$D$3:$D$3002,MATCH($C1364,DESPACHOS!$B$3:$B$3002,0)),"SIN DESPACHO"))</f>
        <v/>
      </c>
      <c r="E1364" s="42">
        <f>IF($C1364="","",IFERROR(INDEX(DESPACHOS!$K$3:$K$3002,MATCH($C1364,DESPACHOS!$B$3:$B$3002,0)),""))</f>
        <v/>
      </c>
      <c r="F1364" s="42">
        <f>IF($C1364="","",IFERROR(INDEX(DESPACHOS!$I$3:$I$3002,MATCH($C1364,DESPACHOS!$B$3:$B$3002,0)),""))</f>
        <v/>
      </c>
      <c r="G1364" s="42">
        <f>IF($C1364="","",IFERROR(INDEX(DESPACHOS!$F$3:$F$3002,MATCH($C1364,DESPACHOS!$B$3:$B$3002,0)),""))</f>
        <v/>
      </c>
      <c r="H1364" s="42">
        <f>IF($C1364="","",IFERROR(INDEX(DESPACHOS!$G$3:$G$3002,MATCH($C1364,DESPACHOS!$B$3:$B$3002,0)),""))</f>
        <v/>
      </c>
      <c r="I1364" s="39">
        <f>IF($C1364="","",IFERROR(INDEX(DESPACHOS!$H$3:$H$3002,MATCH($C1364,DESPACHOS!$B$3:$B$3002,0)),""))</f>
        <v/>
      </c>
      <c r="J1364" s="43">
        <f>IF($C1364="","",IFERROR(INDEX(DESPACHOS!$J$3:$J$3002,MATCH($C1364,DESPACHOS!$B$3:$B$3002,0)),""))</f>
        <v/>
      </c>
      <c r="K1364" s="39">
        <f>IF($C1364="","",IF(COUNTIFS(DESPACHOS!$B$3:$B$3002,$C1364)=0,"NO EXISTE",IF(COUNTIFS(DESPACHOS!$B$3:$B$3002,$C1364)&gt;1,"DUPLICADO","OK")))</f>
        <v/>
      </c>
      <c r="L1364" s="41" t="n"/>
      <c r="M1364" s="41" t="n"/>
      <c r="N1364" s="42">
        <f>IF($M1364="","",IFERROR(INDEX(LISTAS!$F$3:$F$42,MATCH($M1364,LISTAS!$E$3:$E$42,0)),"Por definir"))</f>
        <v/>
      </c>
      <c r="O1364" s="41" t="n"/>
      <c r="P1364" s="39">
        <f>IF($L1364="","",IFERROR(INDEX(LISTAS!$B$3:$B$42,MATCH($L1364,LISTAS!$A$3:$A$42,0)),"Media"))</f>
        <v/>
      </c>
      <c r="Q1364" s="44" t="n"/>
      <c r="R1364" s="45" t="n"/>
      <c r="S1364" s="20">
        <f>IFERROR(IF(OR($R1364="",$C1364=""),"",$R1364/INDEX(DESPACHOS!$M$3:$M$3002,MATCH($C1364,DESPACHOS!$B$3:$B$3002,0))),"")</f>
        <v/>
      </c>
      <c r="T1364" s="41" t="n"/>
      <c r="U1364" s="43">
        <f>IF(OR($B1364="",$L1364=""),"",WORKDAY($B1364,IFERROR(INDEX(LISTAS!$C$3:$C$42,MATCH($L1364,LISTAS!$A$3:$A$42,0)),3)))</f>
        <v/>
      </c>
      <c r="V1364" s="40" t="n"/>
      <c r="W1364" s="19">
        <f>IF($B1364="","",IF($V1364&lt;&gt;"",$V1364-$B1364,TODAY()-$B1364))</f>
        <v/>
      </c>
      <c r="X1364" s="19">
        <f>IF(OR($B1364="",$U1364=""),"",IF($V1364&lt;&gt;"",MAX(0,$V1364-$U1364),MAX(0,TODAY()-$U1364)))</f>
        <v/>
      </c>
      <c r="Y1364" s="39">
        <f>IF($C1364="","",IF(IFERROR(INDEX(LISTAS!$I$3:$I$42,MATCH($T1364,LISTAS!$H$3:$H$42,0)),"NO")="SÍ",IF(N($X1364)&gt;0,"CERRADA FUERA DE SLA","CERRADA EN SLA"),IF($U1364="","SIN CLASIFICAR",IF(N($X1364)&gt;0,"VENCIDA",IF(TODAY()&gt;=$U1364-1,"POR VENCER","EN PLAZO")))))</f>
        <v/>
      </c>
      <c r="Z1364" s="41" t="n"/>
      <c r="AA1364" s="41" t="n"/>
      <c r="AB1364" s="41" t="n"/>
    </row>
    <row r="1365">
      <c r="A1365" s="39">
        <f>IF($C1365="","","NOV-"&amp;TEXT(ROW()-3,"0000"))</f>
        <v/>
      </c>
      <c r="B1365" s="40" t="n"/>
      <c r="C1365" s="41" t="n"/>
      <c r="D1365" s="42">
        <f>IF($C1365="","",IFERROR(INDEX(DESPACHOS!$D$3:$D$3002,MATCH($C1365,DESPACHOS!$B$3:$B$3002,0)),"SIN DESPACHO"))</f>
        <v/>
      </c>
      <c r="E1365" s="42">
        <f>IF($C1365="","",IFERROR(INDEX(DESPACHOS!$K$3:$K$3002,MATCH($C1365,DESPACHOS!$B$3:$B$3002,0)),""))</f>
        <v/>
      </c>
      <c r="F1365" s="42">
        <f>IF($C1365="","",IFERROR(INDEX(DESPACHOS!$I$3:$I$3002,MATCH($C1365,DESPACHOS!$B$3:$B$3002,0)),""))</f>
        <v/>
      </c>
      <c r="G1365" s="42">
        <f>IF($C1365="","",IFERROR(INDEX(DESPACHOS!$F$3:$F$3002,MATCH($C1365,DESPACHOS!$B$3:$B$3002,0)),""))</f>
        <v/>
      </c>
      <c r="H1365" s="42">
        <f>IF($C1365="","",IFERROR(INDEX(DESPACHOS!$G$3:$G$3002,MATCH($C1365,DESPACHOS!$B$3:$B$3002,0)),""))</f>
        <v/>
      </c>
      <c r="I1365" s="39">
        <f>IF($C1365="","",IFERROR(INDEX(DESPACHOS!$H$3:$H$3002,MATCH($C1365,DESPACHOS!$B$3:$B$3002,0)),""))</f>
        <v/>
      </c>
      <c r="J1365" s="43">
        <f>IF($C1365="","",IFERROR(INDEX(DESPACHOS!$J$3:$J$3002,MATCH($C1365,DESPACHOS!$B$3:$B$3002,0)),""))</f>
        <v/>
      </c>
      <c r="K1365" s="39">
        <f>IF($C1365="","",IF(COUNTIFS(DESPACHOS!$B$3:$B$3002,$C1365)=0,"NO EXISTE",IF(COUNTIFS(DESPACHOS!$B$3:$B$3002,$C1365)&gt;1,"DUPLICADO","OK")))</f>
        <v/>
      </c>
      <c r="L1365" s="41" t="n"/>
      <c r="M1365" s="41" t="n"/>
      <c r="N1365" s="42">
        <f>IF($M1365="","",IFERROR(INDEX(LISTAS!$F$3:$F$42,MATCH($M1365,LISTAS!$E$3:$E$42,0)),"Por definir"))</f>
        <v/>
      </c>
      <c r="O1365" s="41" t="n"/>
      <c r="P1365" s="39">
        <f>IF($L1365="","",IFERROR(INDEX(LISTAS!$B$3:$B$42,MATCH($L1365,LISTAS!$A$3:$A$42,0)),"Media"))</f>
        <v/>
      </c>
      <c r="Q1365" s="44" t="n"/>
      <c r="R1365" s="45" t="n"/>
      <c r="S1365" s="20">
        <f>IFERROR(IF(OR($R1365="",$C1365=""),"",$R1365/INDEX(DESPACHOS!$M$3:$M$3002,MATCH($C1365,DESPACHOS!$B$3:$B$3002,0))),"")</f>
        <v/>
      </c>
      <c r="T1365" s="41" t="n"/>
      <c r="U1365" s="43">
        <f>IF(OR($B1365="",$L1365=""),"",WORKDAY($B1365,IFERROR(INDEX(LISTAS!$C$3:$C$42,MATCH($L1365,LISTAS!$A$3:$A$42,0)),3)))</f>
        <v/>
      </c>
      <c r="V1365" s="40" t="n"/>
      <c r="W1365" s="19">
        <f>IF($B1365="","",IF($V1365&lt;&gt;"",$V1365-$B1365,TODAY()-$B1365))</f>
        <v/>
      </c>
      <c r="X1365" s="19">
        <f>IF(OR($B1365="",$U1365=""),"",IF($V1365&lt;&gt;"",MAX(0,$V1365-$U1365),MAX(0,TODAY()-$U1365)))</f>
        <v/>
      </c>
      <c r="Y1365" s="39">
        <f>IF($C1365="","",IF(IFERROR(INDEX(LISTAS!$I$3:$I$42,MATCH($T1365,LISTAS!$H$3:$H$42,0)),"NO")="SÍ",IF(N($X1365)&gt;0,"CERRADA FUERA DE SLA","CERRADA EN SLA"),IF($U1365="","SIN CLASIFICAR",IF(N($X1365)&gt;0,"VENCIDA",IF(TODAY()&gt;=$U1365-1,"POR VENCER","EN PLAZO")))))</f>
        <v/>
      </c>
      <c r="Z1365" s="41" t="n"/>
      <c r="AA1365" s="41" t="n"/>
      <c r="AB1365" s="41" t="n"/>
    </row>
    <row r="1366">
      <c r="A1366" s="39">
        <f>IF($C1366="","","NOV-"&amp;TEXT(ROW()-3,"0000"))</f>
        <v/>
      </c>
      <c r="B1366" s="40" t="n"/>
      <c r="C1366" s="41" t="n"/>
      <c r="D1366" s="42">
        <f>IF($C1366="","",IFERROR(INDEX(DESPACHOS!$D$3:$D$3002,MATCH($C1366,DESPACHOS!$B$3:$B$3002,0)),"SIN DESPACHO"))</f>
        <v/>
      </c>
      <c r="E1366" s="42">
        <f>IF($C1366="","",IFERROR(INDEX(DESPACHOS!$K$3:$K$3002,MATCH($C1366,DESPACHOS!$B$3:$B$3002,0)),""))</f>
        <v/>
      </c>
      <c r="F1366" s="42">
        <f>IF($C1366="","",IFERROR(INDEX(DESPACHOS!$I$3:$I$3002,MATCH($C1366,DESPACHOS!$B$3:$B$3002,0)),""))</f>
        <v/>
      </c>
      <c r="G1366" s="42">
        <f>IF($C1366="","",IFERROR(INDEX(DESPACHOS!$F$3:$F$3002,MATCH($C1366,DESPACHOS!$B$3:$B$3002,0)),""))</f>
        <v/>
      </c>
      <c r="H1366" s="42">
        <f>IF($C1366="","",IFERROR(INDEX(DESPACHOS!$G$3:$G$3002,MATCH($C1366,DESPACHOS!$B$3:$B$3002,0)),""))</f>
        <v/>
      </c>
      <c r="I1366" s="39">
        <f>IF($C1366="","",IFERROR(INDEX(DESPACHOS!$H$3:$H$3002,MATCH($C1366,DESPACHOS!$B$3:$B$3002,0)),""))</f>
        <v/>
      </c>
      <c r="J1366" s="43">
        <f>IF($C1366="","",IFERROR(INDEX(DESPACHOS!$J$3:$J$3002,MATCH($C1366,DESPACHOS!$B$3:$B$3002,0)),""))</f>
        <v/>
      </c>
      <c r="K1366" s="39">
        <f>IF($C1366="","",IF(COUNTIFS(DESPACHOS!$B$3:$B$3002,$C1366)=0,"NO EXISTE",IF(COUNTIFS(DESPACHOS!$B$3:$B$3002,$C1366)&gt;1,"DUPLICADO","OK")))</f>
        <v/>
      </c>
      <c r="L1366" s="41" t="n"/>
      <c r="M1366" s="41" t="n"/>
      <c r="N1366" s="42">
        <f>IF($M1366="","",IFERROR(INDEX(LISTAS!$F$3:$F$42,MATCH($M1366,LISTAS!$E$3:$E$42,0)),"Por definir"))</f>
        <v/>
      </c>
      <c r="O1366" s="41" t="n"/>
      <c r="P1366" s="39">
        <f>IF($L1366="","",IFERROR(INDEX(LISTAS!$B$3:$B$42,MATCH($L1366,LISTAS!$A$3:$A$42,0)),"Media"))</f>
        <v/>
      </c>
      <c r="Q1366" s="44" t="n"/>
      <c r="R1366" s="45" t="n"/>
      <c r="S1366" s="20">
        <f>IFERROR(IF(OR($R1366="",$C1366=""),"",$R1366/INDEX(DESPACHOS!$M$3:$M$3002,MATCH($C1366,DESPACHOS!$B$3:$B$3002,0))),"")</f>
        <v/>
      </c>
      <c r="T1366" s="41" t="n"/>
      <c r="U1366" s="43">
        <f>IF(OR($B1366="",$L1366=""),"",WORKDAY($B1366,IFERROR(INDEX(LISTAS!$C$3:$C$42,MATCH($L1366,LISTAS!$A$3:$A$42,0)),3)))</f>
        <v/>
      </c>
      <c r="V1366" s="40" t="n"/>
      <c r="W1366" s="19">
        <f>IF($B1366="","",IF($V1366&lt;&gt;"",$V1366-$B1366,TODAY()-$B1366))</f>
        <v/>
      </c>
      <c r="X1366" s="19">
        <f>IF(OR($B1366="",$U1366=""),"",IF($V1366&lt;&gt;"",MAX(0,$V1366-$U1366),MAX(0,TODAY()-$U1366)))</f>
        <v/>
      </c>
      <c r="Y1366" s="39">
        <f>IF($C1366="","",IF(IFERROR(INDEX(LISTAS!$I$3:$I$42,MATCH($T1366,LISTAS!$H$3:$H$42,0)),"NO")="SÍ",IF(N($X1366)&gt;0,"CERRADA FUERA DE SLA","CERRADA EN SLA"),IF($U1366="","SIN CLASIFICAR",IF(N($X1366)&gt;0,"VENCIDA",IF(TODAY()&gt;=$U1366-1,"POR VENCER","EN PLAZO")))))</f>
        <v/>
      </c>
      <c r="Z1366" s="41" t="n"/>
      <c r="AA1366" s="41" t="n"/>
      <c r="AB1366" s="41" t="n"/>
    </row>
    <row r="1367">
      <c r="A1367" s="39">
        <f>IF($C1367="","","NOV-"&amp;TEXT(ROW()-3,"0000"))</f>
        <v/>
      </c>
      <c r="B1367" s="40" t="n"/>
      <c r="C1367" s="41" t="n"/>
      <c r="D1367" s="42">
        <f>IF($C1367="","",IFERROR(INDEX(DESPACHOS!$D$3:$D$3002,MATCH($C1367,DESPACHOS!$B$3:$B$3002,0)),"SIN DESPACHO"))</f>
        <v/>
      </c>
      <c r="E1367" s="42">
        <f>IF($C1367="","",IFERROR(INDEX(DESPACHOS!$K$3:$K$3002,MATCH($C1367,DESPACHOS!$B$3:$B$3002,0)),""))</f>
        <v/>
      </c>
      <c r="F1367" s="42">
        <f>IF($C1367="","",IFERROR(INDEX(DESPACHOS!$I$3:$I$3002,MATCH($C1367,DESPACHOS!$B$3:$B$3002,0)),""))</f>
        <v/>
      </c>
      <c r="G1367" s="42">
        <f>IF($C1367="","",IFERROR(INDEX(DESPACHOS!$F$3:$F$3002,MATCH($C1367,DESPACHOS!$B$3:$B$3002,0)),""))</f>
        <v/>
      </c>
      <c r="H1367" s="42">
        <f>IF($C1367="","",IFERROR(INDEX(DESPACHOS!$G$3:$G$3002,MATCH($C1367,DESPACHOS!$B$3:$B$3002,0)),""))</f>
        <v/>
      </c>
      <c r="I1367" s="39">
        <f>IF($C1367="","",IFERROR(INDEX(DESPACHOS!$H$3:$H$3002,MATCH($C1367,DESPACHOS!$B$3:$B$3002,0)),""))</f>
        <v/>
      </c>
      <c r="J1367" s="43">
        <f>IF($C1367="","",IFERROR(INDEX(DESPACHOS!$J$3:$J$3002,MATCH($C1367,DESPACHOS!$B$3:$B$3002,0)),""))</f>
        <v/>
      </c>
      <c r="K1367" s="39">
        <f>IF($C1367="","",IF(COUNTIFS(DESPACHOS!$B$3:$B$3002,$C1367)=0,"NO EXISTE",IF(COUNTIFS(DESPACHOS!$B$3:$B$3002,$C1367)&gt;1,"DUPLICADO","OK")))</f>
        <v/>
      </c>
      <c r="L1367" s="41" t="n"/>
      <c r="M1367" s="41" t="n"/>
      <c r="N1367" s="42">
        <f>IF($M1367="","",IFERROR(INDEX(LISTAS!$F$3:$F$42,MATCH($M1367,LISTAS!$E$3:$E$42,0)),"Por definir"))</f>
        <v/>
      </c>
      <c r="O1367" s="41" t="n"/>
      <c r="P1367" s="39">
        <f>IF($L1367="","",IFERROR(INDEX(LISTAS!$B$3:$B$42,MATCH($L1367,LISTAS!$A$3:$A$42,0)),"Media"))</f>
        <v/>
      </c>
      <c r="Q1367" s="44" t="n"/>
      <c r="R1367" s="45" t="n"/>
      <c r="S1367" s="20">
        <f>IFERROR(IF(OR($R1367="",$C1367=""),"",$R1367/INDEX(DESPACHOS!$M$3:$M$3002,MATCH($C1367,DESPACHOS!$B$3:$B$3002,0))),"")</f>
        <v/>
      </c>
      <c r="T1367" s="41" t="n"/>
      <c r="U1367" s="43">
        <f>IF(OR($B1367="",$L1367=""),"",WORKDAY($B1367,IFERROR(INDEX(LISTAS!$C$3:$C$42,MATCH($L1367,LISTAS!$A$3:$A$42,0)),3)))</f>
        <v/>
      </c>
      <c r="V1367" s="40" t="n"/>
      <c r="W1367" s="19">
        <f>IF($B1367="","",IF($V1367&lt;&gt;"",$V1367-$B1367,TODAY()-$B1367))</f>
        <v/>
      </c>
      <c r="X1367" s="19">
        <f>IF(OR($B1367="",$U1367=""),"",IF($V1367&lt;&gt;"",MAX(0,$V1367-$U1367),MAX(0,TODAY()-$U1367)))</f>
        <v/>
      </c>
      <c r="Y1367" s="39">
        <f>IF($C1367="","",IF(IFERROR(INDEX(LISTAS!$I$3:$I$42,MATCH($T1367,LISTAS!$H$3:$H$42,0)),"NO")="SÍ",IF(N($X1367)&gt;0,"CERRADA FUERA DE SLA","CERRADA EN SLA"),IF($U1367="","SIN CLASIFICAR",IF(N($X1367)&gt;0,"VENCIDA",IF(TODAY()&gt;=$U1367-1,"POR VENCER","EN PLAZO")))))</f>
        <v/>
      </c>
      <c r="Z1367" s="41" t="n"/>
      <c r="AA1367" s="41" t="n"/>
      <c r="AB1367" s="41" t="n"/>
    </row>
    <row r="1368">
      <c r="A1368" s="39">
        <f>IF($C1368="","","NOV-"&amp;TEXT(ROW()-3,"0000"))</f>
        <v/>
      </c>
      <c r="B1368" s="40" t="n"/>
      <c r="C1368" s="41" t="n"/>
      <c r="D1368" s="42">
        <f>IF($C1368="","",IFERROR(INDEX(DESPACHOS!$D$3:$D$3002,MATCH($C1368,DESPACHOS!$B$3:$B$3002,0)),"SIN DESPACHO"))</f>
        <v/>
      </c>
      <c r="E1368" s="42">
        <f>IF($C1368="","",IFERROR(INDEX(DESPACHOS!$K$3:$K$3002,MATCH($C1368,DESPACHOS!$B$3:$B$3002,0)),""))</f>
        <v/>
      </c>
      <c r="F1368" s="42">
        <f>IF($C1368="","",IFERROR(INDEX(DESPACHOS!$I$3:$I$3002,MATCH($C1368,DESPACHOS!$B$3:$B$3002,0)),""))</f>
        <v/>
      </c>
      <c r="G1368" s="42">
        <f>IF($C1368="","",IFERROR(INDEX(DESPACHOS!$F$3:$F$3002,MATCH($C1368,DESPACHOS!$B$3:$B$3002,0)),""))</f>
        <v/>
      </c>
      <c r="H1368" s="42">
        <f>IF($C1368="","",IFERROR(INDEX(DESPACHOS!$G$3:$G$3002,MATCH($C1368,DESPACHOS!$B$3:$B$3002,0)),""))</f>
        <v/>
      </c>
      <c r="I1368" s="39">
        <f>IF($C1368="","",IFERROR(INDEX(DESPACHOS!$H$3:$H$3002,MATCH($C1368,DESPACHOS!$B$3:$B$3002,0)),""))</f>
        <v/>
      </c>
      <c r="J1368" s="43">
        <f>IF($C1368="","",IFERROR(INDEX(DESPACHOS!$J$3:$J$3002,MATCH($C1368,DESPACHOS!$B$3:$B$3002,0)),""))</f>
        <v/>
      </c>
      <c r="K1368" s="39">
        <f>IF($C1368="","",IF(COUNTIFS(DESPACHOS!$B$3:$B$3002,$C1368)=0,"NO EXISTE",IF(COUNTIFS(DESPACHOS!$B$3:$B$3002,$C1368)&gt;1,"DUPLICADO","OK")))</f>
        <v/>
      </c>
      <c r="L1368" s="41" t="n"/>
      <c r="M1368" s="41" t="n"/>
      <c r="N1368" s="42">
        <f>IF($M1368="","",IFERROR(INDEX(LISTAS!$F$3:$F$42,MATCH($M1368,LISTAS!$E$3:$E$42,0)),"Por definir"))</f>
        <v/>
      </c>
      <c r="O1368" s="41" t="n"/>
      <c r="P1368" s="39">
        <f>IF($L1368="","",IFERROR(INDEX(LISTAS!$B$3:$B$42,MATCH($L1368,LISTAS!$A$3:$A$42,0)),"Media"))</f>
        <v/>
      </c>
      <c r="Q1368" s="44" t="n"/>
      <c r="R1368" s="45" t="n"/>
      <c r="S1368" s="20">
        <f>IFERROR(IF(OR($R1368="",$C1368=""),"",$R1368/INDEX(DESPACHOS!$M$3:$M$3002,MATCH($C1368,DESPACHOS!$B$3:$B$3002,0))),"")</f>
        <v/>
      </c>
      <c r="T1368" s="41" t="n"/>
      <c r="U1368" s="43">
        <f>IF(OR($B1368="",$L1368=""),"",WORKDAY($B1368,IFERROR(INDEX(LISTAS!$C$3:$C$42,MATCH($L1368,LISTAS!$A$3:$A$42,0)),3)))</f>
        <v/>
      </c>
      <c r="V1368" s="40" t="n"/>
      <c r="W1368" s="19">
        <f>IF($B1368="","",IF($V1368&lt;&gt;"",$V1368-$B1368,TODAY()-$B1368))</f>
        <v/>
      </c>
      <c r="X1368" s="19">
        <f>IF(OR($B1368="",$U1368=""),"",IF($V1368&lt;&gt;"",MAX(0,$V1368-$U1368),MAX(0,TODAY()-$U1368)))</f>
        <v/>
      </c>
      <c r="Y1368" s="39">
        <f>IF($C1368="","",IF(IFERROR(INDEX(LISTAS!$I$3:$I$42,MATCH($T1368,LISTAS!$H$3:$H$42,0)),"NO")="SÍ",IF(N($X1368)&gt;0,"CERRADA FUERA DE SLA","CERRADA EN SLA"),IF($U1368="","SIN CLASIFICAR",IF(N($X1368)&gt;0,"VENCIDA",IF(TODAY()&gt;=$U1368-1,"POR VENCER","EN PLAZO")))))</f>
        <v/>
      </c>
      <c r="Z1368" s="41" t="n"/>
      <c r="AA1368" s="41" t="n"/>
      <c r="AB1368" s="41" t="n"/>
    </row>
    <row r="1369">
      <c r="A1369" s="39">
        <f>IF($C1369="","","NOV-"&amp;TEXT(ROW()-3,"0000"))</f>
        <v/>
      </c>
      <c r="B1369" s="40" t="n"/>
      <c r="C1369" s="41" t="n"/>
      <c r="D1369" s="42">
        <f>IF($C1369="","",IFERROR(INDEX(DESPACHOS!$D$3:$D$3002,MATCH($C1369,DESPACHOS!$B$3:$B$3002,0)),"SIN DESPACHO"))</f>
        <v/>
      </c>
      <c r="E1369" s="42">
        <f>IF($C1369="","",IFERROR(INDEX(DESPACHOS!$K$3:$K$3002,MATCH($C1369,DESPACHOS!$B$3:$B$3002,0)),""))</f>
        <v/>
      </c>
      <c r="F1369" s="42">
        <f>IF($C1369="","",IFERROR(INDEX(DESPACHOS!$I$3:$I$3002,MATCH($C1369,DESPACHOS!$B$3:$B$3002,0)),""))</f>
        <v/>
      </c>
      <c r="G1369" s="42">
        <f>IF($C1369="","",IFERROR(INDEX(DESPACHOS!$F$3:$F$3002,MATCH($C1369,DESPACHOS!$B$3:$B$3002,0)),""))</f>
        <v/>
      </c>
      <c r="H1369" s="42">
        <f>IF($C1369="","",IFERROR(INDEX(DESPACHOS!$G$3:$G$3002,MATCH($C1369,DESPACHOS!$B$3:$B$3002,0)),""))</f>
        <v/>
      </c>
      <c r="I1369" s="39">
        <f>IF($C1369="","",IFERROR(INDEX(DESPACHOS!$H$3:$H$3002,MATCH($C1369,DESPACHOS!$B$3:$B$3002,0)),""))</f>
        <v/>
      </c>
      <c r="J1369" s="43">
        <f>IF($C1369="","",IFERROR(INDEX(DESPACHOS!$J$3:$J$3002,MATCH($C1369,DESPACHOS!$B$3:$B$3002,0)),""))</f>
        <v/>
      </c>
      <c r="K1369" s="39">
        <f>IF($C1369="","",IF(COUNTIFS(DESPACHOS!$B$3:$B$3002,$C1369)=0,"NO EXISTE",IF(COUNTIFS(DESPACHOS!$B$3:$B$3002,$C1369)&gt;1,"DUPLICADO","OK")))</f>
        <v/>
      </c>
      <c r="L1369" s="41" t="n"/>
      <c r="M1369" s="41" t="n"/>
      <c r="N1369" s="42">
        <f>IF($M1369="","",IFERROR(INDEX(LISTAS!$F$3:$F$42,MATCH($M1369,LISTAS!$E$3:$E$42,0)),"Por definir"))</f>
        <v/>
      </c>
      <c r="O1369" s="41" t="n"/>
      <c r="P1369" s="39">
        <f>IF($L1369="","",IFERROR(INDEX(LISTAS!$B$3:$B$42,MATCH($L1369,LISTAS!$A$3:$A$42,0)),"Media"))</f>
        <v/>
      </c>
      <c r="Q1369" s="44" t="n"/>
      <c r="R1369" s="45" t="n"/>
      <c r="S1369" s="20">
        <f>IFERROR(IF(OR($R1369="",$C1369=""),"",$R1369/INDEX(DESPACHOS!$M$3:$M$3002,MATCH($C1369,DESPACHOS!$B$3:$B$3002,0))),"")</f>
        <v/>
      </c>
      <c r="T1369" s="41" t="n"/>
      <c r="U1369" s="43">
        <f>IF(OR($B1369="",$L1369=""),"",WORKDAY($B1369,IFERROR(INDEX(LISTAS!$C$3:$C$42,MATCH($L1369,LISTAS!$A$3:$A$42,0)),3)))</f>
        <v/>
      </c>
      <c r="V1369" s="40" t="n"/>
      <c r="W1369" s="19">
        <f>IF($B1369="","",IF($V1369&lt;&gt;"",$V1369-$B1369,TODAY()-$B1369))</f>
        <v/>
      </c>
      <c r="X1369" s="19">
        <f>IF(OR($B1369="",$U1369=""),"",IF($V1369&lt;&gt;"",MAX(0,$V1369-$U1369),MAX(0,TODAY()-$U1369)))</f>
        <v/>
      </c>
      <c r="Y1369" s="39">
        <f>IF($C1369="","",IF(IFERROR(INDEX(LISTAS!$I$3:$I$42,MATCH($T1369,LISTAS!$H$3:$H$42,0)),"NO")="SÍ",IF(N($X1369)&gt;0,"CERRADA FUERA DE SLA","CERRADA EN SLA"),IF($U1369="","SIN CLASIFICAR",IF(N($X1369)&gt;0,"VENCIDA",IF(TODAY()&gt;=$U1369-1,"POR VENCER","EN PLAZO")))))</f>
        <v/>
      </c>
      <c r="Z1369" s="41" t="n"/>
      <c r="AA1369" s="41" t="n"/>
      <c r="AB1369" s="41" t="n"/>
    </row>
    <row r="1370">
      <c r="A1370" s="39">
        <f>IF($C1370="","","NOV-"&amp;TEXT(ROW()-3,"0000"))</f>
        <v/>
      </c>
      <c r="B1370" s="40" t="n"/>
      <c r="C1370" s="41" t="n"/>
      <c r="D1370" s="42">
        <f>IF($C1370="","",IFERROR(INDEX(DESPACHOS!$D$3:$D$3002,MATCH($C1370,DESPACHOS!$B$3:$B$3002,0)),"SIN DESPACHO"))</f>
        <v/>
      </c>
      <c r="E1370" s="42">
        <f>IF($C1370="","",IFERROR(INDEX(DESPACHOS!$K$3:$K$3002,MATCH($C1370,DESPACHOS!$B$3:$B$3002,0)),""))</f>
        <v/>
      </c>
      <c r="F1370" s="42">
        <f>IF($C1370="","",IFERROR(INDEX(DESPACHOS!$I$3:$I$3002,MATCH($C1370,DESPACHOS!$B$3:$B$3002,0)),""))</f>
        <v/>
      </c>
      <c r="G1370" s="42">
        <f>IF($C1370="","",IFERROR(INDEX(DESPACHOS!$F$3:$F$3002,MATCH($C1370,DESPACHOS!$B$3:$B$3002,0)),""))</f>
        <v/>
      </c>
      <c r="H1370" s="42">
        <f>IF($C1370="","",IFERROR(INDEX(DESPACHOS!$G$3:$G$3002,MATCH($C1370,DESPACHOS!$B$3:$B$3002,0)),""))</f>
        <v/>
      </c>
      <c r="I1370" s="39">
        <f>IF($C1370="","",IFERROR(INDEX(DESPACHOS!$H$3:$H$3002,MATCH($C1370,DESPACHOS!$B$3:$B$3002,0)),""))</f>
        <v/>
      </c>
      <c r="J1370" s="43">
        <f>IF($C1370="","",IFERROR(INDEX(DESPACHOS!$J$3:$J$3002,MATCH($C1370,DESPACHOS!$B$3:$B$3002,0)),""))</f>
        <v/>
      </c>
      <c r="K1370" s="39">
        <f>IF($C1370="","",IF(COUNTIFS(DESPACHOS!$B$3:$B$3002,$C1370)=0,"NO EXISTE",IF(COUNTIFS(DESPACHOS!$B$3:$B$3002,$C1370)&gt;1,"DUPLICADO","OK")))</f>
        <v/>
      </c>
      <c r="L1370" s="41" t="n"/>
      <c r="M1370" s="41" t="n"/>
      <c r="N1370" s="42">
        <f>IF($M1370="","",IFERROR(INDEX(LISTAS!$F$3:$F$42,MATCH($M1370,LISTAS!$E$3:$E$42,0)),"Por definir"))</f>
        <v/>
      </c>
      <c r="O1370" s="41" t="n"/>
      <c r="P1370" s="39">
        <f>IF($L1370="","",IFERROR(INDEX(LISTAS!$B$3:$B$42,MATCH($L1370,LISTAS!$A$3:$A$42,0)),"Media"))</f>
        <v/>
      </c>
      <c r="Q1370" s="44" t="n"/>
      <c r="R1370" s="45" t="n"/>
      <c r="S1370" s="20">
        <f>IFERROR(IF(OR($R1370="",$C1370=""),"",$R1370/INDEX(DESPACHOS!$M$3:$M$3002,MATCH($C1370,DESPACHOS!$B$3:$B$3002,0))),"")</f>
        <v/>
      </c>
      <c r="T1370" s="41" t="n"/>
      <c r="U1370" s="43">
        <f>IF(OR($B1370="",$L1370=""),"",WORKDAY($B1370,IFERROR(INDEX(LISTAS!$C$3:$C$42,MATCH($L1370,LISTAS!$A$3:$A$42,0)),3)))</f>
        <v/>
      </c>
      <c r="V1370" s="40" t="n"/>
      <c r="W1370" s="19">
        <f>IF($B1370="","",IF($V1370&lt;&gt;"",$V1370-$B1370,TODAY()-$B1370))</f>
        <v/>
      </c>
      <c r="X1370" s="19">
        <f>IF(OR($B1370="",$U1370=""),"",IF($V1370&lt;&gt;"",MAX(0,$V1370-$U1370),MAX(0,TODAY()-$U1370)))</f>
        <v/>
      </c>
      <c r="Y1370" s="39">
        <f>IF($C1370="","",IF(IFERROR(INDEX(LISTAS!$I$3:$I$42,MATCH($T1370,LISTAS!$H$3:$H$42,0)),"NO")="SÍ",IF(N($X1370)&gt;0,"CERRADA FUERA DE SLA","CERRADA EN SLA"),IF($U1370="","SIN CLASIFICAR",IF(N($X1370)&gt;0,"VENCIDA",IF(TODAY()&gt;=$U1370-1,"POR VENCER","EN PLAZO")))))</f>
        <v/>
      </c>
      <c r="Z1370" s="41" t="n"/>
      <c r="AA1370" s="41" t="n"/>
      <c r="AB1370" s="41" t="n"/>
    </row>
    <row r="1371">
      <c r="A1371" s="39">
        <f>IF($C1371="","","NOV-"&amp;TEXT(ROW()-3,"0000"))</f>
        <v/>
      </c>
      <c r="B1371" s="40" t="n"/>
      <c r="C1371" s="41" t="n"/>
      <c r="D1371" s="42">
        <f>IF($C1371="","",IFERROR(INDEX(DESPACHOS!$D$3:$D$3002,MATCH($C1371,DESPACHOS!$B$3:$B$3002,0)),"SIN DESPACHO"))</f>
        <v/>
      </c>
      <c r="E1371" s="42">
        <f>IF($C1371="","",IFERROR(INDEX(DESPACHOS!$K$3:$K$3002,MATCH($C1371,DESPACHOS!$B$3:$B$3002,0)),""))</f>
        <v/>
      </c>
      <c r="F1371" s="42">
        <f>IF($C1371="","",IFERROR(INDEX(DESPACHOS!$I$3:$I$3002,MATCH($C1371,DESPACHOS!$B$3:$B$3002,0)),""))</f>
        <v/>
      </c>
      <c r="G1371" s="42">
        <f>IF($C1371="","",IFERROR(INDEX(DESPACHOS!$F$3:$F$3002,MATCH($C1371,DESPACHOS!$B$3:$B$3002,0)),""))</f>
        <v/>
      </c>
      <c r="H1371" s="42">
        <f>IF($C1371="","",IFERROR(INDEX(DESPACHOS!$G$3:$G$3002,MATCH($C1371,DESPACHOS!$B$3:$B$3002,0)),""))</f>
        <v/>
      </c>
      <c r="I1371" s="39">
        <f>IF($C1371="","",IFERROR(INDEX(DESPACHOS!$H$3:$H$3002,MATCH($C1371,DESPACHOS!$B$3:$B$3002,0)),""))</f>
        <v/>
      </c>
      <c r="J1371" s="43">
        <f>IF($C1371="","",IFERROR(INDEX(DESPACHOS!$J$3:$J$3002,MATCH($C1371,DESPACHOS!$B$3:$B$3002,0)),""))</f>
        <v/>
      </c>
      <c r="K1371" s="39">
        <f>IF($C1371="","",IF(COUNTIFS(DESPACHOS!$B$3:$B$3002,$C1371)=0,"NO EXISTE",IF(COUNTIFS(DESPACHOS!$B$3:$B$3002,$C1371)&gt;1,"DUPLICADO","OK")))</f>
        <v/>
      </c>
      <c r="L1371" s="41" t="n"/>
      <c r="M1371" s="41" t="n"/>
      <c r="N1371" s="42">
        <f>IF($M1371="","",IFERROR(INDEX(LISTAS!$F$3:$F$42,MATCH($M1371,LISTAS!$E$3:$E$42,0)),"Por definir"))</f>
        <v/>
      </c>
      <c r="O1371" s="41" t="n"/>
      <c r="P1371" s="39">
        <f>IF($L1371="","",IFERROR(INDEX(LISTAS!$B$3:$B$42,MATCH($L1371,LISTAS!$A$3:$A$42,0)),"Media"))</f>
        <v/>
      </c>
      <c r="Q1371" s="44" t="n"/>
      <c r="R1371" s="45" t="n"/>
      <c r="S1371" s="20">
        <f>IFERROR(IF(OR($R1371="",$C1371=""),"",$R1371/INDEX(DESPACHOS!$M$3:$M$3002,MATCH($C1371,DESPACHOS!$B$3:$B$3002,0))),"")</f>
        <v/>
      </c>
      <c r="T1371" s="41" t="n"/>
      <c r="U1371" s="43">
        <f>IF(OR($B1371="",$L1371=""),"",WORKDAY($B1371,IFERROR(INDEX(LISTAS!$C$3:$C$42,MATCH($L1371,LISTAS!$A$3:$A$42,0)),3)))</f>
        <v/>
      </c>
      <c r="V1371" s="40" t="n"/>
      <c r="W1371" s="19">
        <f>IF($B1371="","",IF($V1371&lt;&gt;"",$V1371-$B1371,TODAY()-$B1371))</f>
        <v/>
      </c>
      <c r="X1371" s="19">
        <f>IF(OR($B1371="",$U1371=""),"",IF($V1371&lt;&gt;"",MAX(0,$V1371-$U1371),MAX(0,TODAY()-$U1371)))</f>
        <v/>
      </c>
      <c r="Y1371" s="39">
        <f>IF($C1371="","",IF(IFERROR(INDEX(LISTAS!$I$3:$I$42,MATCH($T1371,LISTAS!$H$3:$H$42,0)),"NO")="SÍ",IF(N($X1371)&gt;0,"CERRADA FUERA DE SLA","CERRADA EN SLA"),IF($U1371="","SIN CLASIFICAR",IF(N($X1371)&gt;0,"VENCIDA",IF(TODAY()&gt;=$U1371-1,"POR VENCER","EN PLAZO")))))</f>
        <v/>
      </c>
      <c r="Z1371" s="41" t="n"/>
      <c r="AA1371" s="41" t="n"/>
      <c r="AB1371" s="41" t="n"/>
    </row>
    <row r="1372">
      <c r="A1372" s="39">
        <f>IF($C1372="","","NOV-"&amp;TEXT(ROW()-3,"0000"))</f>
        <v/>
      </c>
      <c r="B1372" s="40" t="n"/>
      <c r="C1372" s="41" t="n"/>
      <c r="D1372" s="42">
        <f>IF($C1372="","",IFERROR(INDEX(DESPACHOS!$D$3:$D$3002,MATCH($C1372,DESPACHOS!$B$3:$B$3002,0)),"SIN DESPACHO"))</f>
        <v/>
      </c>
      <c r="E1372" s="42">
        <f>IF($C1372="","",IFERROR(INDEX(DESPACHOS!$K$3:$K$3002,MATCH($C1372,DESPACHOS!$B$3:$B$3002,0)),""))</f>
        <v/>
      </c>
      <c r="F1372" s="42">
        <f>IF($C1372="","",IFERROR(INDEX(DESPACHOS!$I$3:$I$3002,MATCH($C1372,DESPACHOS!$B$3:$B$3002,0)),""))</f>
        <v/>
      </c>
      <c r="G1372" s="42">
        <f>IF($C1372="","",IFERROR(INDEX(DESPACHOS!$F$3:$F$3002,MATCH($C1372,DESPACHOS!$B$3:$B$3002,0)),""))</f>
        <v/>
      </c>
      <c r="H1372" s="42">
        <f>IF($C1372="","",IFERROR(INDEX(DESPACHOS!$G$3:$G$3002,MATCH($C1372,DESPACHOS!$B$3:$B$3002,0)),""))</f>
        <v/>
      </c>
      <c r="I1372" s="39">
        <f>IF($C1372="","",IFERROR(INDEX(DESPACHOS!$H$3:$H$3002,MATCH($C1372,DESPACHOS!$B$3:$B$3002,0)),""))</f>
        <v/>
      </c>
      <c r="J1372" s="43">
        <f>IF($C1372="","",IFERROR(INDEX(DESPACHOS!$J$3:$J$3002,MATCH($C1372,DESPACHOS!$B$3:$B$3002,0)),""))</f>
        <v/>
      </c>
      <c r="K1372" s="39">
        <f>IF($C1372="","",IF(COUNTIFS(DESPACHOS!$B$3:$B$3002,$C1372)=0,"NO EXISTE",IF(COUNTIFS(DESPACHOS!$B$3:$B$3002,$C1372)&gt;1,"DUPLICADO","OK")))</f>
        <v/>
      </c>
      <c r="L1372" s="41" t="n"/>
      <c r="M1372" s="41" t="n"/>
      <c r="N1372" s="42">
        <f>IF($M1372="","",IFERROR(INDEX(LISTAS!$F$3:$F$42,MATCH($M1372,LISTAS!$E$3:$E$42,0)),"Por definir"))</f>
        <v/>
      </c>
      <c r="O1372" s="41" t="n"/>
      <c r="P1372" s="39">
        <f>IF($L1372="","",IFERROR(INDEX(LISTAS!$B$3:$B$42,MATCH($L1372,LISTAS!$A$3:$A$42,0)),"Media"))</f>
        <v/>
      </c>
      <c r="Q1372" s="44" t="n"/>
      <c r="R1372" s="45" t="n"/>
      <c r="S1372" s="20">
        <f>IFERROR(IF(OR($R1372="",$C1372=""),"",$R1372/INDEX(DESPACHOS!$M$3:$M$3002,MATCH($C1372,DESPACHOS!$B$3:$B$3002,0))),"")</f>
        <v/>
      </c>
      <c r="T1372" s="41" t="n"/>
      <c r="U1372" s="43">
        <f>IF(OR($B1372="",$L1372=""),"",WORKDAY($B1372,IFERROR(INDEX(LISTAS!$C$3:$C$42,MATCH($L1372,LISTAS!$A$3:$A$42,0)),3)))</f>
        <v/>
      </c>
      <c r="V1372" s="40" t="n"/>
      <c r="W1372" s="19">
        <f>IF($B1372="","",IF($V1372&lt;&gt;"",$V1372-$B1372,TODAY()-$B1372))</f>
        <v/>
      </c>
      <c r="X1372" s="19">
        <f>IF(OR($B1372="",$U1372=""),"",IF($V1372&lt;&gt;"",MAX(0,$V1372-$U1372),MAX(0,TODAY()-$U1372)))</f>
        <v/>
      </c>
      <c r="Y1372" s="39">
        <f>IF($C1372="","",IF(IFERROR(INDEX(LISTAS!$I$3:$I$42,MATCH($T1372,LISTAS!$H$3:$H$42,0)),"NO")="SÍ",IF(N($X1372)&gt;0,"CERRADA FUERA DE SLA","CERRADA EN SLA"),IF($U1372="","SIN CLASIFICAR",IF(N($X1372)&gt;0,"VENCIDA",IF(TODAY()&gt;=$U1372-1,"POR VENCER","EN PLAZO")))))</f>
        <v/>
      </c>
      <c r="Z1372" s="41" t="n"/>
      <c r="AA1372" s="41" t="n"/>
      <c r="AB1372" s="41" t="n"/>
    </row>
    <row r="1373">
      <c r="A1373" s="39">
        <f>IF($C1373="","","NOV-"&amp;TEXT(ROW()-3,"0000"))</f>
        <v/>
      </c>
      <c r="B1373" s="40" t="n"/>
      <c r="C1373" s="41" t="n"/>
      <c r="D1373" s="42">
        <f>IF($C1373="","",IFERROR(INDEX(DESPACHOS!$D$3:$D$3002,MATCH($C1373,DESPACHOS!$B$3:$B$3002,0)),"SIN DESPACHO"))</f>
        <v/>
      </c>
      <c r="E1373" s="42">
        <f>IF($C1373="","",IFERROR(INDEX(DESPACHOS!$K$3:$K$3002,MATCH($C1373,DESPACHOS!$B$3:$B$3002,0)),""))</f>
        <v/>
      </c>
      <c r="F1373" s="42">
        <f>IF($C1373="","",IFERROR(INDEX(DESPACHOS!$I$3:$I$3002,MATCH($C1373,DESPACHOS!$B$3:$B$3002,0)),""))</f>
        <v/>
      </c>
      <c r="G1373" s="42">
        <f>IF($C1373="","",IFERROR(INDEX(DESPACHOS!$F$3:$F$3002,MATCH($C1373,DESPACHOS!$B$3:$B$3002,0)),""))</f>
        <v/>
      </c>
      <c r="H1373" s="42">
        <f>IF($C1373="","",IFERROR(INDEX(DESPACHOS!$G$3:$G$3002,MATCH($C1373,DESPACHOS!$B$3:$B$3002,0)),""))</f>
        <v/>
      </c>
      <c r="I1373" s="39">
        <f>IF($C1373="","",IFERROR(INDEX(DESPACHOS!$H$3:$H$3002,MATCH($C1373,DESPACHOS!$B$3:$B$3002,0)),""))</f>
        <v/>
      </c>
      <c r="J1373" s="43">
        <f>IF($C1373="","",IFERROR(INDEX(DESPACHOS!$J$3:$J$3002,MATCH($C1373,DESPACHOS!$B$3:$B$3002,0)),""))</f>
        <v/>
      </c>
      <c r="K1373" s="39">
        <f>IF($C1373="","",IF(COUNTIFS(DESPACHOS!$B$3:$B$3002,$C1373)=0,"NO EXISTE",IF(COUNTIFS(DESPACHOS!$B$3:$B$3002,$C1373)&gt;1,"DUPLICADO","OK")))</f>
        <v/>
      </c>
      <c r="L1373" s="41" t="n"/>
      <c r="M1373" s="41" t="n"/>
      <c r="N1373" s="42">
        <f>IF($M1373="","",IFERROR(INDEX(LISTAS!$F$3:$F$42,MATCH($M1373,LISTAS!$E$3:$E$42,0)),"Por definir"))</f>
        <v/>
      </c>
      <c r="O1373" s="41" t="n"/>
      <c r="P1373" s="39">
        <f>IF($L1373="","",IFERROR(INDEX(LISTAS!$B$3:$B$42,MATCH($L1373,LISTAS!$A$3:$A$42,0)),"Media"))</f>
        <v/>
      </c>
      <c r="Q1373" s="44" t="n"/>
      <c r="R1373" s="45" t="n"/>
      <c r="S1373" s="20">
        <f>IFERROR(IF(OR($R1373="",$C1373=""),"",$R1373/INDEX(DESPACHOS!$M$3:$M$3002,MATCH($C1373,DESPACHOS!$B$3:$B$3002,0))),"")</f>
        <v/>
      </c>
      <c r="T1373" s="41" t="n"/>
      <c r="U1373" s="43">
        <f>IF(OR($B1373="",$L1373=""),"",WORKDAY($B1373,IFERROR(INDEX(LISTAS!$C$3:$C$42,MATCH($L1373,LISTAS!$A$3:$A$42,0)),3)))</f>
        <v/>
      </c>
      <c r="V1373" s="40" t="n"/>
      <c r="W1373" s="19">
        <f>IF($B1373="","",IF($V1373&lt;&gt;"",$V1373-$B1373,TODAY()-$B1373))</f>
        <v/>
      </c>
      <c r="X1373" s="19">
        <f>IF(OR($B1373="",$U1373=""),"",IF($V1373&lt;&gt;"",MAX(0,$V1373-$U1373),MAX(0,TODAY()-$U1373)))</f>
        <v/>
      </c>
      <c r="Y1373" s="39">
        <f>IF($C1373="","",IF(IFERROR(INDEX(LISTAS!$I$3:$I$42,MATCH($T1373,LISTAS!$H$3:$H$42,0)),"NO")="SÍ",IF(N($X1373)&gt;0,"CERRADA FUERA DE SLA","CERRADA EN SLA"),IF($U1373="","SIN CLASIFICAR",IF(N($X1373)&gt;0,"VENCIDA",IF(TODAY()&gt;=$U1373-1,"POR VENCER","EN PLAZO")))))</f>
        <v/>
      </c>
      <c r="Z1373" s="41" t="n"/>
      <c r="AA1373" s="41" t="n"/>
      <c r="AB1373" s="41" t="n"/>
    </row>
    <row r="1374">
      <c r="A1374" s="39">
        <f>IF($C1374="","","NOV-"&amp;TEXT(ROW()-3,"0000"))</f>
        <v/>
      </c>
      <c r="B1374" s="40" t="n"/>
      <c r="C1374" s="41" t="n"/>
      <c r="D1374" s="42">
        <f>IF($C1374="","",IFERROR(INDEX(DESPACHOS!$D$3:$D$3002,MATCH($C1374,DESPACHOS!$B$3:$B$3002,0)),"SIN DESPACHO"))</f>
        <v/>
      </c>
      <c r="E1374" s="42">
        <f>IF($C1374="","",IFERROR(INDEX(DESPACHOS!$K$3:$K$3002,MATCH($C1374,DESPACHOS!$B$3:$B$3002,0)),""))</f>
        <v/>
      </c>
      <c r="F1374" s="42">
        <f>IF($C1374="","",IFERROR(INDEX(DESPACHOS!$I$3:$I$3002,MATCH($C1374,DESPACHOS!$B$3:$B$3002,0)),""))</f>
        <v/>
      </c>
      <c r="G1374" s="42">
        <f>IF($C1374="","",IFERROR(INDEX(DESPACHOS!$F$3:$F$3002,MATCH($C1374,DESPACHOS!$B$3:$B$3002,0)),""))</f>
        <v/>
      </c>
      <c r="H1374" s="42">
        <f>IF($C1374="","",IFERROR(INDEX(DESPACHOS!$G$3:$G$3002,MATCH($C1374,DESPACHOS!$B$3:$B$3002,0)),""))</f>
        <v/>
      </c>
      <c r="I1374" s="39">
        <f>IF($C1374="","",IFERROR(INDEX(DESPACHOS!$H$3:$H$3002,MATCH($C1374,DESPACHOS!$B$3:$B$3002,0)),""))</f>
        <v/>
      </c>
      <c r="J1374" s="43">
        <f>IF($C1374="","",IFERROR(INDEX(DESPACHOS!$J$3:$J$3002,MATCH($C1374,DESPACHOS!$B$3:$B$3002,0)),""))</f>
        <v/>
      </c>
      <c r="K1374" s="39">
        <f>IF($C1374="","",IF(COUNTIFS(DESPACHOS!$B$3:$B$3002,$C1374)=0,"NO EXISTE",IF(COUNTIFS(DESPACHOS!$B$3:$B$3002,$C1374)&gt;1,"DUPLICADO","OK")))</f>
        <v/>
      </c>
      <c r="L1374" s="41" t="n"/>
      <c r="M1374" s="41" t="n"/>
      <c r="N1374" s="42">
        <f>IF($M1374="","",IFERROR(INDEX(LISTAS!$F$3:$F$42,MATCH($M1374,LISTAS!$E$3:$E$42,0)),"Por definir"))</f>
        <v/>
      </c>
      <c r="O1374" s="41" t="n"/>
      <c r="P1374" s="39">
        <f>IF($L1374="","",IFERROR(INDEX(LISTAS!$B$3:$B$42,MATCH($L1374,LISTAS!$A$3:$A$42,0)),"Media"))</f>
        <v/>
      </c>
      <c r="Q1374" s="44" t="n"/>
      <c r="R1374" s="45" t="n"/>
      <c r="S1374" s="20">
        <f>IFERROR(IF(OR($R1374="",$C1374=""),"",$R1374/INDEX(DESPACHOS!$M$3:$M$3002,MATCH($C1374,DESPACHOS!$B$3:$B$3002,0))),"")</f>
        <v/>
      </c>
      <c r="T1374" s="41" t="n"/>
      <c r="U1374" s="43">
        <f>IF(OR($B1374="",$L1374=""),"",WORKDAY($B1374,IFERROR(INDEX(LISTAS!$C$3:$C$42,MATCH($L1374,LISTAS!$A$3:$A$42,0)),3)))</f>
        <v/>
      </c>
      <c r="V1374" s="40" t="n"/>
      <c r="W1374" s="19">
        <f>IF($B1374="","",IF($V1374&lt;&gt;"",$V1374-$B1374,TODAY()-$B1374))</f>
        <v/>
      </c>
      <c r="X1374" s="19">
        <f>IF(OR($B1374="",$U1374=""),"",IF($V1374&lt;&gt;"",MAX(0,$V1374-$U1374),MAX(0,TODAY()-$U1374)))</f>
        <v/>
      </c>
      <c r="Y1374" s="39">
        <f>IF($C1374="","",IF(IFERROR(INDEX(LISTAS!$I$3:$I$42,MATCH($T1374,LISTAS!$H$3:$H$42,0)),"NO")="SÍ",IF(N($X1374)&gt;0,"CERRADA FUERA DE SLA","CERRADA EN SLA"),IF($U1374="","SIN CLASIFICAR",IF(N($X1374)&gt;0,"VENCIDA",IF(TODAY()&gt;=$U1374-1,"POR VENCER","EN PLAZO")))))</f>
        <v/>
      </c>
      <c r="Z1374" s="41" t="n"/>
      <c r="AA1374" s="41" t="n"/>
      <c r="AB1374" s="41" t="n"/>
    </row>
    <row r="1375">
      <c r="A1375" s="39">
        <f>IF($C1375="","","NOV-"&amp;TEXT(ROW()-3,"0000"))</f>
        <v/>
      </c>
      <c r="B1375" s="40" t="n"/>
      <c r="C1375" s="41" t="n"/>
      <c r="D1375" s="42">
        <f>IF($C1375="","",IFERROR(INDEX(DESPACHOS!$D$3:$D$3002,MATCH($C1375,DESPACHOS!$B$3:$B$3002,0)),"SIN DESPACHO"))</f>
        <v/>
      </c>
      <c r="E1375" s="42">
        <f>IF($C1375="","",IFERROR(INDEX(DESPACHOS!$K$3:$K$3002,MATCH($C1375,DESPACHOS!$B$3:$B$3002,0)),""))</f>
        <v/>
      </c>
      <c r="F1375" s="42">
        <f>IF($C1375="","",IFERROR(INDEX(DESPACHOS!$I$3:$I$3002,MATCH($C1375,DESPACHOS!$B$3:$B$3002,0)),""))</f>
        <v/>
      </c>
      <c r="G1375" s="42">
        <f>IF($C1375="","",IFERROR(INDEX(DESPACHOS!$F$3:$F$3002,MATCH($C1375,DESPACHOS!$B$3:$B$3002,0)),""))</f>
        <v/>
      </c>
      <c r="H1375" s="42">
        <f>IF($C1375="","",IFERROR(INDEX(DESPACHOS!$G$3:$G$3002,MATCH($C1375,DESPACHOS!$B$3:$B$3002,0)),""))</f>
        <v/>
      </c>
      <c r="I1375" s="39">
        <f>IF($C1375="","",IFERROR(INDEX(DESPACHOS!$H$3:$H$3002,MATCH($C1375,DESPACHOS!$B$3:$B$3002,0)),""))</f>
        <v/>
      </c>
      <c r="J1375" s="43">
        <f>IF($C1375="","",IFERROR(INDEX(DESPACHOS!$J$3:$J$3002,MATCH($C1375,DESPACHOS!$B$3:$B$3002,0)),""))</f>
        <v/>
      </c>
      <c r="K1375" s="39">
        <f>IF($C1375="","",IF(COUNTIFS(DESPACHOS!$B$3:$B$3002,$C1375)=0,"NO EXISTE",IF(COUNTIFS(DESPACHOS!$B$3:$B$3002,$C1375)&gt;1,"DUPLICADO","OK")))</f>
        <v/>
      </c>
      <c r="L1375" s="41" t="n"/>
      <c r="M1375" s="41" t="n"/>
      <c r="N1375" s="42">
        <f>IF($M1375="","",IFERROR(INDEX(LISTAS!$F$3:$F$42,MATCH($M1375,LISTAS!$E$3:$E$42,0)),"Por definir"))</f>
        <v/>
      </c>
      <c r="O1375" s="41" t="n"/>
      <c r="P1375" s="39">
        <f>IF($L1375="","",IFERROR(INDEX(LISTAS!$B$3:$B$42,MATCH($L1375,LISTAS!$A$3:$A$42,0)),"Media"))</f>
        <v/>
      </c>
      <c r="Q1375" s="44" t="n"/>
      <c r="R1375" s="45" t="n"/>
      <c r="S1375" s="20">
        <f>IFERROR(IF(OR($R1375="",$C1375=""),"",$R1375/INDEX(DESPACHOS!$M$3:$M$3002,MATCH($C1375,DESPACHOS!$B$3:$B$3002,0))),"")</f>
        <v/>
      </c>
      <c r="T1375" s="41" t="n"/>
      <c r="U1375" s="43">
        <f>IF(OR($B1375="",$L1375=""),"",WORKDAY($B1375,IFERROR(INDEX(LISTAS!$C$3:$C$42,MATCH($L1375,LISTAS!$A$3:$A$42,0)),3)))</f>
        <v/>
      </c>
      <c r="V1375" s="40" t="n"/>
      <c r="W1375" s="19">
        <f>IF($B1375="","",IF($V1375&lt;&gt;"",$V1375-$B1375,TODAY()-$B1375))</f>
        <v/>
      </c>
      <c r="X1375" s="19">
        <f>IF(OR($B1375="",$U1375=""),"",IF($V1375&lt;&gt;"",MAX(0,$V1375-$U1375),MAX(0,TODAY()-$U1375)))</f>
        <v/>
      </c>
      <c r="Y1375" s="39">
        <f>IF($C1375="","",IF(IFERROR(INDEX(LISTAS!$I$3:$I$42,MATCH($T1375,LISTAS!$H$3:$H$42,0)),"NO")="SÍ",IF(N($X1375)&gt;0,"CERRADA FUERA DE SLA","CERRADA EN SLA"),IF($U1375="","SIN CLASIFICAR",IF(N($X1375)&gt;0,"VENCIDA",IF(TODAY()&gt;=$U1375-1,"POR VENCER","EN PLAZO")))))</f>
        <v/>
      </c>
      <c r="Z1375" s="41" t="n"/>
      <c r="AA1375" s="41" t="n"/>
      <c r="AB1375" s="41" t="n"/>
    </row>
    <row r="1376">
      <c r="A1376" s="39">
        <f>IF($C1376="","","NOV-"&amp;TEXT(ROW()-3,"0000"))</f>
        <v/>
      </c>
      <c r="B1376" s="40" t="n"/>
      <c r="C1376" s="41" t="n"/>
      <c r="D1376" s="42">
        <f>IF($C1376="","",IFERROR(INDEX(DESPACHOS!$D$3:$D$3002,MATCH($C1376,DESPACHOS!$B$3:$B$3002,0)),"SIN DESPACHO"))</f>
        <v/>
      </c>
      <c r="E1376" s="42">
        <f>IF($C1376="","",IFERROR(INDEX(DESPACHOS!$K$3:$K$3002,MATCH($C1376,DESPACHOS!$B$3:$B$3002,0)),""))</f>
        <v/>
      </c>
      <c r="F1376" s="42">
        <f>IF($C1376="","",IFERROR(INDEX(DESPACHOS!$I$3:$I$3002,MATCH($C1376,DESPACHOS!$B$3:$B$3002,0)),""))</f>
        <v/>
      </c>
      <c r="G1376" s="42">
        <f>IF($C1376="","",IFERROR(INDEX(DESPACHOS!$F$3:$F$3002,MATCH($C1376,DESPACHOS!$B$3:$B$3002,0)),""))</f>
        <v/>
      </c>
      <c r="H1376" s="42">
        <f>IF($C1376="","",IFERROR(INDEX(DESPACHOS!$G$3:$G$3002,MATCH($C1376,DESPACHOS!$B$3:$B$3002,0)),""))</f>
        <v/>
      </c>
      <c r="I1376" s="39">
        <f>IF($C1376="","",IFERROR(INDEX(DESPACHOS!$H$3:$H$3002,MATCH($C1376,DESPACHOS!$B$3:$B$3002,0)),""))</f>
        <v/>
      </c>
      <c r="J1376" s="43">
        <f>IF($C1376="","",IFERROR(INDEX(DESPACHOS!$J$3:$J$3002,MATCH($C1376,DESPACHOS!$B$3:$B$3002,0)),""))</f>
        <v/>
      </c>
      <c r="K1376" s="39">
        <f>IF($C1376="","",IF(COUNTIFS(DESPACHOS!$B$3:$B$3002,$C1376)=0,"NO EXISTE",IF(COUNTIFS(DESPACHOS!$B$3:$B$3002,$C1376)&gt;1,"DUPLICADO","OK")))</f>
        <v/>
      </c>
      <c r="L1376" s="41" t="n"/>
      <c r="M1376" s="41" t="n"/>
      <c r="N1376" s="42">
        <f>IF($M1376="","",IFERROR(INDEX(LISTAS!$F$3:$F$42,MATCH($M1376,LISTAS!$E$3:$E$42,0)),"Por definir"))</f>
        <v/>
      </c>
      <c r="O1376" s="41" t="n"/>
      <c r="P1376" s="39">
        <f>IF($L1376="","",IFERROR(INDEX(LISTAS!$B$3:$B$42,MATCH($L1376,LISTAS!$A$3:$A$42,0)),"Media"))</f>
        <v/>
      </c>
      <c r="Q1376" s="44" t="n"/>
      <c r="R1376" s="45" t="n"/>
      <c r="S1376" s="20">
        <f>IFERROR(IF(OR($R1376="",$C1376=""),"",$R1376/INDEX(DESPACHOS!$M$3:$M$3002,MATCH($C1376,DESPACHOS!$B$3:$B$3002,0))),"")</f>
        <v/>
      </c>
      <c r="T1376" s="41" t="n"/>
      <c r="U1376" s="43">
        <f>IF(OR($B1376="",$L1376=""),"",WORKDAY($B1376,IFERROR(INDEX(LISTAS!$C$3:$C$42,MATCH($L1376,LISTAS!$A$3:$A$42,0)),3)))</f>
        <v/>
      </c>
      <c r="V1376" s="40" t="n"/>
      <c r="W1376" s="19">
        <f>IF($B1376="","",IF($V1376&lt;&gt;"",$V1376-$B1376,TODAY()-$B1376))</f>
        <v/>
      </c>
      <c r="X1376" s="19">
        <f>IF(OR($B1376="",$U1376=""),"",IF($V1376&lt;&gt;"",MAX(0,$V1376-$U1376),MAX(0,TODAY()-$U1376)))</f>
        <v/>
      </c>
      <c r="Y1376" s="39">
        <f>IF($C1376="","",IF(IFERROR(INDEX(LISTAS!$I$3:$I$42,MATCH($T1376,LISTAS!$H$3:$H$42,0)),"NO")="SÍ",IF(N($X1376)&gt;0,"CERRADA FUERA DE SLA","CERRADA EN SLA"),IF($U1376="","SIN CLASIFICAR",IF(N($X1376)&gt;0,"VENCIDA",IF(TODAY()&gt;=$U1376-1,"POR VENCER","EN PLAZO")))))</f>
        <v/>
      </c>
      <c r="Z1376" s="41" t="n"/>
      <c r="AA1376" s="41" t="n"/>
      <c r="AB1376" s="41" t="n"/>
    </row>
    <row r="1377">
      <c r="A1377" s="39">
        <f>IF($C1377="","","NOV-"&amp;TEXT(ROW()-3,"0000"))</f>
        <v/>
      </c>
      <c r="B1377" s="40" t="n"/>
      <c r="C1377" s="41" t="n"/>
      <c r="D1377" s="42">
        <f>IF($C1377="","",IFERROR(INDEX(DESPACHOS!$D$3:$D$3002,MATCH($C1377,DESPACHOS!$B$3:$B$3002,0)),"SIN DESPACHO"))</f>
        <v/>
      </c>
      <c r="E1377" s="42">
        <f>IF($C1377="","",IFERROR(INDEX(DESPACHOS!$K$3:$K$3002,MATCH($C1377,DESPACHOS!$B$3:$B$3002,0)),""))</f>
        <v/>
      </c>
      <c r="F1377" s="42">
        <f>IF($C1377="","",IFERROR(INDEX(DESPACHOS!$I$3:$I$3002,MATCH($C1377,DESPACHOS!$B$3:$B$3002,0)),""))</f>
        <v/>
      </c>
      <c r="G1377" s="42">
        <f>IF($C1377="","",IFERROR(INDEX(DESPACHOS!$F$3:$F$3002,MATCH($C1377,DESPACHOS!$B$3:$B$3002,0)),""))</f>
        <v/>
      </c>
      <c r="H1377" s="42">
        <f>IF($C1377="","",IFERROR(INDEX(DESPACHOS!$G$3:$G$3002,MATCH($C1377,DESPACHOS!$B$3:$B$3002,0)),""))</f>
        <v/>
      </c>
      <c r="I1377" s="39">
        <f>IF($C1377="","",IFERROR(INDEX(DESPACHOS!$H$3:$H$3002,MATCH($C1377,DESPACHOS!$B$3:$B$3002,0)),""))</f>
        <v/>
      </c>
      <c r="J1377" s="43">
        <f>IF($C1377="","",IFERROR(INDEX(DESPACHOS!$J$3:$J$3002,MATCH($C1377,DESPACHOS!$B$3:$B$3002,0)),""))</f>
        <v/>
      </c>
      <c r="K1377" s="39">
        <f>IF($C1377="","",IF(COUNTIFS(DESPACHOS!$B$3:$B$3002,$C1377)=0,"NO EXISTE",IF(COUNTIFS(DESPACHOS!$B$3:$B$3002,$C1377)&gt;1,"DUPLICADO","OK")))</f>
        <v/>
      </c>
      <c r="L1377" s="41" t="n"/>
      <c r="M1377" s="41" t="n"/>
      <c r="N1377" s="42">
        <f>IF($M1377="","",IFERROR(INDEX(LISTAS!$F$3:$F$42,MATCH($M1377,LISTAS!$E$3:$E$42,0)),"Por definir"))</f>
        <v/>
      </c>
      <c r="O1377" s="41" t="n"/>
      <c r="P1377" s="39">
        <f>IF($L1377="","",IFERROR(INDEX(LISTAS!$B$3:$B$42,MATCH($L1377,LISTAS!$A$3:$A$42,0)),"Media"))</f>
        <v/>
      </c>
      <c r="Q1377" s="44" t="n"/>
      <c r="R1377" s="45" t="n"/>
      <c r="S1377" s="20">
        <f>IFERROR(IF(OR($R1377="",$C1377=""),"",$R1377/INDEX(DESPACHOS!$M$3:$M$3002,MATCH($C1377,DESPACHOS!$B$3:$B$3002,0))),"")</f>
        <v/>
      </c>
      <c r="T1377" s="41" t="n"/>
      <c r="U1377" s="43">
        <f>IF(OR($B1377="",$L1377=""),"",WORKDAY($B1377,IFERROR(INDEX(LISTAS!$C$3:$C$42,MATCH($L1377,LISTAS!$A$3:$A$42,0)),3)))</f>
        <v/>
      </c>
      <c r="V1377" s="40" t="n"/>
      <c r="W1377" s="19">
        <f>IF($B1377="","",IF($V1377&lt;&gt;"",$V1377-$B1377,TODAY()-$B1377))</f>
        <v/>
      </c>
      <c r="X1377" s="19">
        <f>IF(OR($B1377="",$U1377=""),"",IF($V1377&lt;&gt;"",MAX(0,$V1377-$U1377),MAX(0,TODAY()-$U1377)))</f>
        <v/>
      </c>
      <c r="Y1377" s="39">
        <f>IF($C1377="","",IF(IFERROR(INDEX(LISTAS!$I$3:$I$42,MATCH($T1377,LISTAS!$H$3:$H$42,0)),"NO")="SÍ",IF(N($X1377)&gt;0,"CERRADA FUERA DE SLA","CERRADA EN SLA"),IF($U1377="","SIN CLASIFICAR",IF(N($X1377)&gt;0,"VENCIDA",IF(TODAY()&gt;=$U1377-1,"POR VENCER","EN PLAZO")))))</f>
        <v/>
      </c>
      <c r="Z1377" s="41" t="n"/>
      <c r="AA1377" s="41" t="n"/>
      <c r="AB1377" s="41" t="n"/>
    </row>
    <row r="1378">
      <c r="A1378" s="39">
        <f>IF($C1378="","","NOV-"&amp;TEXT(ROW()-3,"0000"))</f>
        <v/>
      </c>
      <c r="B1378" s="40" t="n"/>
      <c r="C1378" s="41" t="n"/>
      <c r="D1378" s="42">
        <f>IF($C1378="","",IFERROR(INDEX(DESPACHOS!$D$3:$D$3002,MATCH($C1378,DESPACHOS!$B$3:$B$3002,0)),"SIN DESPACHO"))</f>
        <v/>
      </c>
      <c r="E1378" s="42">
        <f>IF($C1378="","",IFERROR(INDEX(DESPACHOS!$K$3:$K$3002,MATCH($C1378,DESPACHOS!$B$3:$B$3002,0)),""))</f>
        <v/>
      </c>
      <c r="F1378" s="42">
        <f>IF($C1378="","",IFERROR(INDEX(DESPACHOS!$I$3:$I$3002,MATCH($C1378,DESPACHOS!$B$3:$B$3002,0)),""))</f>
        <v/>
      </c>
      <c r="G1378" s="42">
        <f>IF($C1378="","",IFERROR(INDEX(DESPACHOS!$F$3:$F$3002,MATCH($C1378,DESPACHOS!$B$3:$B$3002,0)),""))</f>
        <v/>
      </c>
      <c r="H1378" s="42">
        <f>IF($C1378="","",IFERROR(INDEX(DESPACHOS!$G$3:$G$3002,MATCH($C1378,DESPACHOS!$B$3:$B$3002,0)),""))</f>
        <v/>
      </c>
      <c r="I1378" s="39">
        <f>IF($C1378="","",IFERROR(INDEX(DESPACHOS!$H$3:$H$3002,MATCH($C1378,DESPACHOS!$B$3:$B$3002,0)),""))</f>
        <v/>
      </c>
      <c r="J1378" s="43">
        <f>IF($C1378="","",IFERROR(INDEX(DESPACHOS!$J$3:$J$3002,MATCH($C1378,DESPACHOS!$B$3:$B$3002,0)),""))</f>
        <v/>
      </c>
      <c r="K1378" s="39">
        <f>IF($C1378="","",IF(COUNTIFS(DESPACHOS!$B$3:$B$3002,$C1378)=0,"NO EXISTE",IF(COUNTIFS(DESPACHOS!$B$3:$B$3002,$C1378)&gt;1,"DUPLICADO","OK")))</f>
        <v/>
      </c>
      <c r="L1378" s="41" t="n"/>
      <c r="M1378" s="41" t="n"/>
      <c r="N1378" s="42">
        <f>IF($M1378="","",IFERROR(INDEX(LISTAS!$F$3:$F$42,MATCH($M1378,LISTAS!$E$3:$E$42,0)),"Por definir"))</f>
        <v/>
      </c>
      <c r="O1378" s="41" t="n"/>
      <c r="P1378" s="39">
        <f>IF($L1378="","",IFERROR(INDEX(LISTAS!$B$3:$B$42,MATCH($L1378,LISTAS!$A$3:$A$42,0)),"Media"))</f>
        <v/>
      </c>
      <c r="Q1378" s="44" t="n"/>
      <c r="R1378" s="45" t="n"/>
      <c r="S1378" s="20">
        <f>IFERROR(IF(OR($R1378="",$C1378=""),"",$R1378/INDEX(DESPACHOS!$M$3:$M$3002,MATCH($C1378,DESPACHOS!$B$3:$B$3002,0))),"")</f>
        <v/>
      </c>
      <c r="T1378" s="41" t="n"/>
      <c r="U1378" s="43">
        <f>IF(OR($B1378="",$L1378=""),"",WORKDAY($B1378,IFERROR(INDEX(LISTAS!$C$3:$C$42,MATCH($L1378,LISTAS!$A$3:$A$42,0)),3)))</f>
        <v/>
      </c>
      <c r="V1378" s="40" t="n"/>
      <c r="W1378" s="19">
        <f>IF($B1378="","",IF($V1378&lt;&gt;"",$V1378-$B1378,TODAY()-$B1378))</f>
        <v/>
      </c>
      <c r="X1378" s="19">
        <f>IF(OR($B1378="",$U1378=""),"",IF($V1378&lt;&gt;"",MAX(0,$V1378-$U1378),MAX(0,TODAY()-$U1378)))</f>
        <v/>
      </c>
      <c r="Y1378" s="39">
        <f>IF($C1378="","",IF(IFERROR(INDEX(LISTAS!$I$3:$I$42,MATCH($T1378,LISTAS!$H$3:$H$42,0)),"NO")="SÍ",IF(N($X1378)&gt;0,"CERRADA FUERA DE SLA","CERRADA EN SLA"),IF($U1378="","SIN CLASIFICAR",IF(N($X1378)&gt;0,"VENCIDA",IF(TODAY()&gt;=$U1378-1,"POR VENCER","EN PLAZO")))))</f>
        <v/>
      </c>
      <c r="Z1378" s="41" t="n"/>
      <c r="AA1378" s="41" t="n"/>
      <c r="AB1378" s="41" t="n"/>
    </row>
    <row r="1379">
      <c r="A1379" s="39">
        <f>IF($C1379="","","NOV-"&amp;TEXT(ROW()-3,"0000"))</f>
        <v/>
      </c>
      <c r="B1379" s="40" t="n"/>
      <c r="C1379" s="41" t="n"/>
      <c r="D1379" s="42">
        <f>IF($C1379="","",IFERROR(INDEX(DESPACHOS!$D$3:$D$3002,MATCH($C1379,DESPACHOS!$B$3:$B$3002,0)),"SIN DESPACHO"))</f>
        <v/>
      </c>
      <c r="E1379" s="42">
        <f>IF($C1379="","",IFERROR(INDEX(DESPACHOS!$K$3:$K$3002,MATCH($C1379,DESPACHOS!$B$3:$B$3002,0)),""))</f>
        <v/>
      </c>
      <c r="F1379" s="42">
        <f>IF($C1379="","",IFERROR(INDEX(DESPACHOS!$I$3:$I$3002,MATCH($C1379,DESPACHOS!$B$3:$B$3002,0)),""))</f>
        <v/>
      </c>
      <c r="G1379" s="42">
        <f>IF($C1379="","",IFERROR(INDEX(DESPACHOS!$F$3:$F$3002,MATCH($C1379,DESPACHOS!$B$3:$B$3002,0)),""))</f>
        <v/>
      </c>
      <c r="H1379" s="42">
        <f>IF($C1379="","",IFERROR(INDEX(DESPACHOS!$G$3:$G$3002,MATCH($C1379,DESPACHOS!$B$3:$B$3002,0)),""))</f>
        <v/>
      </c>
      <c r="I1379" s="39">
        <f>IF($C1379="","",IFERROR(INDEX(DESPACHOS!$H$3:$H$3002,MATCH($C1379,DESPACHOS!$B$3:$B$3002,0)),""))</f>
        <v/>
      </c>
      <c r="J1379" s="43">
        <f>IF($C1379="","",IFERROR(INDEX(DESPACHOS!$J$3:$J$3002,MATCH($C1379,DESPACHOS!$B$3:$B$3002,0)),""))</f>
        <v/>
      </c>
      <c r="K1379" s="39">
        <f>IF($C1379="","",IF(COUNTIFS(DESPACHOS!$B$3:$B$3002,$C1379)=0,"NO EXISTE",IF(COUNTIFS(DESPACHOS!$B$3:$B$3002,$C1379)&gt;1,"DUPLICADO","OK")))</f>
        <v/>
      </c>
      <c r="L1379" s="41" t="n"/>
      <c r="M1379" s="41" t="n"/>
      <c r="N1379" s="42">
        <f>IF($M1379="","",IFERROR(INDEX(LISTAS!$F$3:$F$42,MATCH($M1379,LISTAS!$E$3:$E$42,0)),"Por definir"))</f>
        <v/>
      </c>
      <c r="O1379" s="41" t="n"/>
      <c r="P1379" s="39">
        <f>IF($L1379="","",IFERROR(INDEX(LISTAS!$B$3:$B$42,MATCH($L1379,LISTAS!$A$3:$A$42,0)),"Media"))</f>
        <v/>
      </c>
      <c r="Q1379" s="44" t="n"/>
      <c r="R1379" s="45" t="n"/>
      <c r="S1379" s="20">
        <f>IFERROR(IF(OR($R1379="",$C1379=""),"",$R1379/INDEX(DESPACHOS!$M$3:$M$3002,MATCH($C1379,DESPACHOS!$B$3:$B$3002,0))),"")</f>
        <v/>
      </c>
      <c r="T1379" s="41" t="n"/>
      <c r="U1379" s="43">
        <f>IF(OR($B1379="",$L1379=""),"",WORKDAY($B1379,IFERROR(INDEX(LISTAS!$C$3:$C$42,MATCH($L1379,LISTAS!$A$3:$A$42,0)),3)))</f>
        <v/>
      </c>
      <c r="V1379" s="40" t="n"/>
      <c r="W1379" s="19">
        <f>IF($B1379="","",IF($V1379&lt;&gt;"",$V1379-$B1379,TODAY()-$B1379))</f>
        <v/>
      </c>
      <c r="X1379" s="19">
        <f>IF(OR($B1379="",$U1379=""),"",IF($V1379&lt;&gt;"",MAX(0,$V1379-$U1379),MAX(0,TODAY()-$U1379)))</f>
        <v/>
      </c>
      <c r="Y1379" s="39">
        <f>IF($C1379="","",IF(IFERROR(INDEX(LISTAS!$I$3:$I$42,MATCH($T1379,LISTAS!$H$3:$H$42,0)),"NO")="SÍ",IF(N($X1379)&gt;0,"CERRADA FUERA DE SLA","CERRADA EN SLA"),IF($U1379="","SIN CLASIFICAR",IF(N($X1379)&gt;0,"VENCIDA",IF(TODAY()&gt;=$U1379-1,"POR VENCER","EN PLAZO")))))</f>
        <v/>
      </c>
      <c r="Z1379" s="41" t="n"/>
      <c r="AA1379" s="41" t="n"/>
      <c r="AB1379" s="41" t="n"/>
    </row>
    <row r="1380">
      <c r="A1380" s="39">
        <f>IF($C1380="","","NOV-"&amp;TEXT(ROW()-3,"0000"))</f>
        <v/>
      </c>
      <c r="B1380" s="40" t="n"/>
      <c r="C1380" s="41" t="n"/>
      <c r="D1380" s="42">
        <f>IF($C1380="","",IFERROR(INDEX(DESPACHOS!$D$3:$D$3002,MATCH($C1380,DESPACHOS!$B$3:$B$3002,0)),"SIN DESPACHO"))</f>
        <v/>
      </c>
      <c r="E1380" s="42">
        <f>IF($C1380="","",IFERROR(INDEX(DESPACHOS!$K$3:$K$3002,MATCH($C1380,DESPACHOS!$B$3:$B$3002,0)),""))</f>
        <v/>
      </c>
      <c r="F1380" s="42">
        <f>IF($C1380="","",IFERROR(INDEX(DESPACHOS!$I$3:$I$3002,MATCH($C1380,DESPACHOS!$B$3:$B$3002,0)),""))</f>
        <v/>
      </c>
      <c r="G1380" s="42">
        <f>IF($C1380="","",IFERROR(INDEX(DESPACHOS!$F$3:$F$3002,MATCH($C1380,DESPACHOS!$B$3:$B$3002,0)),""))</f>
        <v/>
      </c>
      <c r="H1380" s="42">
        <f>IF($C1380="","",IFERROR(INDEX(DESPACHOS!$G$3:$G$3002,MATCH($C1380,DESPACHOS!$B$3:$B$3002,0)),""))</f>
        <v/>
      </c>
      <c r="I1380" s="39">
        <f>IF($C1380="","",IFERROR(INDEX(DESPACHOS!$H$3:$H$3002,MATCH($C1380,DESPACHOS!$B$3:$B$3002,0)),""))</f>
        <v/>
      </c>
      <c r="J1380" s="43">
        <f>IF($C1380="","",IFERROR(INDEX(DESPACHOS!$J$3:$J$3002,MATCH($C1380,DESPACHOS!$B$3:$B$3002,0)),""))</f>
        <v/>
      </c>
      <c r="K1380" s="39">
        <f>IF($C1380="","",IF(COUNTIFS(DESPACHOS!$B$3:$B$3002,$C1380)=0,"NO EXISTE",IF(COUNTIFS(DESPACHOS!$B$3:$B$3002,$C1380)&gt;1,"DUPLICADO","OK")))</f>
        <v/>
      </c>
      <c r="L1380" s="41" t="n"/>
      <c r="M1380" s="41" t="n"/>
      <c r="N1380" s="42">
        <f>IF($M1380="","",IFERROR(INDEX(LISTAS!$F$3:$F$42,MATCH($M1380,LISTAS!$E$3:$E$42,0)),"Por definir"))</f>
        <v/>
      </c>
      <c r="O1380" s="41" t="n"/>
      <c r="P1380" s="39">
        <f>IF($L1380="","",IFERROR(INDEX(LISTAS!$B$3:$B$42,MATCH($L1380,LISTAS!$A$3:$A$42,0)),"Media"))</f>
        <v/>
      </c>
      <c r="Q1380" s="44" t="n"/>
      <c r="R1380" s="45" t="n"/>
      <c r="S1380" s="20">
        <f>IFERROR(IF(OR($R1380="",$C1380=""),"",$R1380/INDEX(DESPACHOS!$M$3:$M$3002,MATCH($C1380,DESPACHOS!$B$3:$B$3002,0))),"")</f>
        <v/>
      </c>
      <c r="T1380" s="41" t="n"/>
      <c r="U1380" s="43">
        <f>IF(OR($B1380="",$L1380=""),"",WORKDAY($B1380,IFERROR(INDEX(LISTAS!$C$3:$C$42,MATCH($L1380,LISTAS!$A$3:$A$42,0)),3)))</f>
        <v/>
      </c>
      <c r="V1380" s="40" t="n"/>
      <c r="W1380" s="19">
        <f>IF($B1380="","",IF($V1380&lt;&gt;"",$V1380-$B1380,TODAY()-$B1380))</f>
        <v/>
      </c>
      <c r="X1380" s="19">
        <f>IF(OR($B1380="",$U1380=""),"",IF($V1380&lt;&gt;"",MAX(0,$V1380-$U1380),MAX(0,TODAY()-$U1380)))</f>
        <v/>
      </c>
      <c r="Y1380" s="39">
        <f>IF($C1380="","",IF(IFERROR(INDEX(LISTAS!$I$3:$I$42,MATCH($T1380,LISTAS!$H$3:$H$42,0)),"NO")="SÍ",IF(N($X1380)&gt;0,"CERRADA FUERA DE SLA","CERRADA EN SLA"),IF($U1380="","SIN CLASIFICAR",IF(N($X1380)&gt;0,"VENCIDA",IF(TODAY()&gt;=$U1380-1,"POR VENCER","EN PLAZO")))))</f>
        <v/>
      </c>
      <c r="Z1380" s="41" t="n"/>
      <c r="AA1380" s="41" t="n"/>
      <c r="AB1380" s="41" t="n"/>
    </row>
    <row r="1381">
      <c r="A1381" s="39">
        <f>IF($C1381="","","NOV-"&amp;TEXT(ROW()-3,"0000"))</f>
        <v/>
      </c>
      <c r="B1381" s="40" t="n"/>
      <c r="C1381" s="41" t="n"/>
      <c r="D1381" s="42">
        <f>IF($C1381="","",IFERROR(INDEX(DESPACHOS!$D$3:$D$3002,MATCH($C1381,DESPACHOS!$B$3:$B$3002,0)),"SIN DESPACHO"))</f>
        <v/>
      </c>
      <c r="E1381" s="42">
        <f>IF($C1381="","",IFERROR(INDEX(DESPACHOS!$K$3:$K$3002,MATCH($C1381,DESPACHOS!$B$3:$B$3002,0)),""))</f>
        <v/>
      </c>
      <c r="F1381" s="42">
        <f>IF($C1381="","",IFERROR(INDEX(DESPACHOS!$I$3:$I$3002,MATCH($C1381,DESPACHOS!$B$3:$B$3002,0)),""))</f>
        <v/>
      </c>
      <c r="G1381" s="42">
        <f>IF($C1381="","",IFERROR(INDEX(DESPACHOS!$F$3:$F$3002,MATCH($C1381,DESPACHOS!$B$3:$B$3002,0)),""))</f>
        <v/>
      </c>
      <c r="H1381" s="42">
        <f>IF($C1381="","",IFERROR(INDEX(DESPACHOS!$G$3:$G$3002,MATCH($C1381,DESPACHOS!$B$3:$B$3002,0)),""))</f>
        <v/>
      </c>
      <c r="I1381" s="39">
        <f>IF($C1381="","",IFERROR(INDEX(DESPACHOS!$H$3:$H$3002,MATCH($C1381,DESPACHOS!$B$3:$B$3002,0)),""))</f>
        <v/>
      </c>
      <c r="J1381" s="43">
        <f>IF($C1381="","",IFERROR(INDEX(DESPACHOS!$J$3:$J$3002,MATCH($C1381,DESPACHOS!$B$3:$B$3002,0)),""))</f>
        <v/>
      </c>
      <c r="K1381" s="39">
        <f>IF($C1381="","",IF(COUNTIFS(DESPACHOS!$B$3:$B$3002,$C1381)=0,"NO EXISTE",IF(COUNTIFS(DESPACHOS!$B$3:$B$3002,$C1381)&gt;1,"DUPLICADO","OK")))</f>
        <v/>
      </c>
      <c r="L1381" s="41" t="n"/>
      <c r="M1381" s="41" t="n"/>
      <c r="N1381" s="42">
        <f>IF($M1381="","",IFERROR(INDEX(LISTAS!$F$3:$F$42,MATCH($M1381,LISTAS!$E$3:$E$42,0)),"Por definir"))</f>
        <v/>
      </c>
      <c r="O1381" s="41" t="n"/>
      <c r="P1381" s="39">
        <f>IF($L1381="","",IFERROR(INDEX(LISTAS!$B$3:$B$42,MATCH($L1381,LISTAS!$A$3:$A$42,0)),"Media"))</f>
        <v/>
      </c>
      <c r="Q1381" s="44" t="n"/>
      <c r="R1381" s="45" t="n"/>
      <c r="S1381" s="20">
        <f>IFERROR(IF(OR($R1381="",$C1381=""),"",$R1381/INDEX(DESPACHOS!$M$3:$M$3002,MATCH($C1381,DESPACHOS!$B$3:$B$3002,0))),"")</f>
        <v/>
      </c>
      <c r="T1381" s="41" t="n"/>
      <c r="U1381" s="43">
        <f>IF(OR($B1381="",$L1381=""),"",WORKDAY($B1381,IFERROR(INDEX(LISTAS!$C$3:$C$42,MATCH($L1381,LISTAS!$A$3:$A$42,0)),3)))</f>
        <v/>
      </c>
      <c r="V1381" s="40" t="n"/>
      <c r="W1381" s="19">
        <f>IF($B1381="","",IF($V1381&lt;&gt;"",$V1381-$B1381,TODAY()-$B1381))</f>
        <v/>
      </c>
      <c r="X1381" s="19">
        <f>IF(OR($B1381="",$U1381=""),"",IF($V1381&lt;&gt;"",MAX(0,$V1381-$U1381),MAX(0,TODAY()-$U1381)))</f>
        <v/>
      </c>
      <c r="Y1381" s="39">
        <f>IF($C1381="","",IF(IFERROR(INDEX(LISTAS!$I$3:$I$42,MATCH($T1381,LISTAS!$H$3:$H$42,0)),"NO")="SÍ",IF(N($X1381)&gt;0,"CERRADA FUERA DE SLA","CERRADA EN SLA"),IF($U1381="","SIN CLASIFICAR",IF(N($X1381)&gt;0,"VENCIDA",IF(TODAY()&gt;=$U1381-1,"POR VENCER","EN PLAZO")))))</f>
        <v/>
      </c>
      <c r="Z1381" s="41" t="n"/>
      <c r="AA1381" s="41" t="n"/>
      <c r="AB1381" s="41" t="n"/>
    </row>
    <row r="1382">
      <c r="A1382" s="39">
        <f>IF($C1382="","","NOV-"&amp;TEXT(ROW()-3,"0000"))</f>
        <v/>
      </c>
      <c r="B1382" s="40" t="n"/>
      <c r="C1382" s="41" t="n"/>
      <c r="D1382" s="42">
        <f>IF($C1382="","",IFERROR(INDEX(DESPACHOS!$D$3:$D$3002,MATCH($C1382,DESPACHOS!$B$3:$B$3002,0)),"SIN DESPACHO"))</f>
        <v/>
      </c>
      <c r="E1382" s="42">
        <f>IF($C1382="","",IFERROR(INDEX(DESPACHOS!$K$3:$K$3002,MATCH($C1382,DESPACHOS!$B$3:$B$3002,0)),""))</f>
        <v/>
      </c>
      <c r="F1382" s="42">
        <f>IF($C1382="","",IFERROR(INDEX(DESPACHOS!$I$3:$I$3002,MATCH($C1382,DESPACHOS!$B$3:$B$3002,0)),""))</f>
        <v/>
      </c>
      <c r="G1382" s="42">
        <f>IF($C1382="","",IFERROR(INDEX(DESPACHOS!$F$3:$F$3002,MATCH($C1382,DESPACHOS!$B$3:$B$3002,0)),""))</f>
        <v/>
      </c>
      <c r="H1382" s="42">
        <f>IF($C1382="","",IFERROR(INDEX(DESPACHOS!$G$3:$G$3002,MATCH($C1382,DESPACHOS!$B$3:$B$3002,0)),""))</f>
        <v/>
      </c>
      <c r="I1382" s="39">
        <f>IF($C1382="","",IFERROR(INDEX(DESPACHOS!$H$3:$H$3002,MATCH($C1382,DESPACHOS!$B$3:$B$3002,0)),""))</f>
        <v/>
      </c>
      <c r="J1382" s="43">
        <f>IF($C1382="","",IFERROR(INDEX(DESPACHOS!$J$3:$J$3002,MATCH($C1382,DESPACHOS!$B$3:$B$3002,0)),""))</f>
        <v/>
      </c>
      <c r="K1382" s="39">
        <f>IF($C1382="","",IF(COUNTIFS(DESPACHOS!$B$3:$B$3002,$C1382)=0,"NO EXISTE",IF(COUNTIFS(DESPACHOS!$B$3:$B$3002,$C1382)&gt;1,"DUPLICADO","OK")))</f>
        <v/>
      </c>
      <c r="L1382" s="41" t="n"/>
      <c r="M1382" s="41" t="n"/>
      <c r="N1382" s="42">
        <f>IF($M1382="","",IFERROR(INDEX(LISTAS!$F$3:$F$42,MATCH($M1382,LISTAS!$E$3:$E$42,0)),"Por definir"))</f>
        <v/>
      </c>
      <c r="O1382" s="41" t="n"/>
      <c r="P1382" s="39">
        <f>IF($L1382="","",IFERROR(INDEX(LISTAS!$B$3:$B$42,MATCH($L1382,LISTAS!$A$3:$A$42,0)),"Media"))</f>
        <v/>
      </c>
      <c r="Q1382" s="44" t="n"/>
      <c r="R1382" s="45" t="n"/>
      <c r="S1382" s="20">
        <f>IFERROR(IF(OR($R1382="",$C1382=""),"",$R1382/INDEX(DESPACHOS!$M$3:$M$3002,MATCH($C1382,DESPACHOS!$B$3:$B$3002,0))),"")</f>
        <v/>
      </c>
      <c r="T1382" s="41" t="n"/>
      <c r="U1382" s="43">
        <f>IF(OR($B1382="",$L1382=""),"",WORKDAY($B1382,IFERROR(INDEX(LISTAS!$C$3:$C$42,MATCH($L1382,LISTAS!$A$3:$A$42,0)),3)))</f>
        <v/>
      </c>
      <c r="V1382" s="40" t="n"/>
      <c r="W1382" s="19">
        <f>IF($B1382="","",IF($V1382&lt;&gt;"",$V1382-$B1382,TODAY()-$B1382))</f>
        <v/>
      </c>
      <c r="X1382" s="19">
        <f>IF(OR($B1382="",$U1382=""),"",IF($V1382&lt;&gt;"",MAX(0,$V1382-$U1382),MAX(0,TODAY()-$U1382)))</f>
        <v/>
      </c>
      <c r="Y1382" s="39">
        <f>IF($C1382="","",IF(IFERROR(INDEX(LISTAS!$I$3:$I$42,MATCH($T1382,LISTAS!$H$3:$H$42,0)),"NO")="SÍ",IF(N($X1382)&gt;0,"CERRADA FUERA DE SLA","CERRADA EN SLA"),IF($U1382="","SIN CLASIFICAR",IF(N($X1382)&gt;0,"VENCIDA",IF(TODAY()&gt;=$U1382-1,"POR VENCER","EN PLAZO")))))</f>
        <v/>
      </c>
      <c r="Z1382" s="41" t="n"/>
      <c r="AA1382" s="41" t="n"/>
      <c r="AB1382" s="41" t="n"/>
    </row>
    <row r="1383">
      <c r="A1383" s="39">
        <f>IF($C1383="","","NOV-"&amp;TEXT(ROW()-3,"0000"))</f>
        <v/>
      </c>
      <c r="B1383" s="40" t="n"/>
      <c r="C1383" s="41" t="n"/>
      <c r="D1383" s="42">
        <f>IF($C1383="","",IFERROR(INDEX(DESPACHOS!$D$3:$D$3002,MATCH($C1383,DESPACHOS!$B$3:$B$3002,0)),"SIN DESPACHO"))</f>
        <v/>
      </c>
      <c r="E1383" s="42">
        <f>IF($C1383="","",IFERROR(INDEX(DESPACHOS!$K$3:$K$3002,MATCH($C1383,DESPACHOS!$B$3:$B$3002,0)),""))</f>
        <v/>
      </c>
      <c r="F1383" s="42">
        <f>IF($C1383="","",IFERROR(INDEX(DESPACHOS!$I$3:$I$3002,MATCH($C1383,DESPACHOS!$B$3:$B$3002,0)),""))</f>
        <v/>
      </c>
      <c r="G1383" s="42">
        <f>IF($C1383="","",IFERROR(INDEX(DESPACHOS!$F$3:$F$3002,MATCH($C1383,DESPACHOS!$B$3:$B$3002,0)),""))</f>
        <v/>
      </c>
      <c r="H1383" s="42">
        <f>IF($C1383="","",IFERROR(INDEX(DESPACHOS!$G$3:$G$3002,MATCH($C1383,DESPACHOS!$B$3:$B$3002,0)),""))</f>
        <v/>
      </c>
      <c r="I1383" s="39">
        <f>IF($C1383="","",IFERROR(INDEX(DESPACHOS!$H$3:$H$3002,MATCH($C1383,DESPACHOS!$B$3:$B$3002,0)),""))</f>
        <v/>
      </c>
      <c r="J1383" s="43">
        <f>IF($C1383="","",IFERROR(INDEX(DESPACHOS!$J$3:$J$3002,MATCH($C1383,DESPACHOS!$B$3:$B$3002,0)),""))</f>
        <v/>
      </c>
      <c r="K1383" s="39">
        <f>IF($C1383="","",IF(COUNTIFS(DESPACHOS!$B$3:$B$3002,$C1383)=0,"NO EXISTE",IF(COUNTIFS(DESPACHOS!$B$3:$B$3002,$C1383)&gt;1,"DUPLICADO","OK")))</f>
        <v/>
      </c>
      <c r="L1383" s="41" t="n"/>
      <c r="M1383" s="41" t="n"/>
      <c r="N1383" s="42">
        <f>IF($M1383="","",IFERROR(INDEX(LISTAS!$F$3:$F$42,MATCH($M1383,LISTAS!$E$3:$E$42,0)),"Por definir"))</f>
        <v/>
      </c>
      <c r="O1383" s="41" t="n"/>
      <c r="P1383" s="39">
        <f>IF($L1383="","",IFERROR(INDEX(LISTAS!$B$3:$B$42,MATCH($L1383,LISTAS!$A$3:$A$42,0)),"Media"))</f>
        <v/>
      </c>
      <c r="Q1383" s="44" t="n"/>
      <c r="R1383" s="45" t="n"/>
      <c r="S1383" s="20">
        <f>IFERROR(IF(OR($R1383="",$C1383=""),"",$R1383/INDEX(DESPACHOS!$M$3:$M$3002,MATCH($C1383,DESPACHOS!$B$3:$B$3002,0))),"")</f>
        <v/>
      </c>
      <c r="T1383" s="41" t="n"/>
      <c r="U1383" s="43">
        <f>IF(OR($B1383="",$L1383=""),"",WORKDAY($B1383,IFERROR(INDEX(LISTAS!$C$3:$C$42,MATCH($L1383,LISTAS!$A$3:$A$42,0)),3)))</f>
        <v/>
      </c>
      <c r="V1383" s="40" t="n"/>
      <c r="W1383" s="19">
        <f>IF($B1383="","",IF($V1383&lt;&gt;"",$V1383-$B1383,TODAY()-$B1383))</f>
        <v/>
      </c>
      <c r="X1383" s="19">
        <f>IF(OR($B1383="",$U1383=""),"",IF($V1383&lt;&gt;"",MAX(0,$V1383-$U1383),MAX(0,TODAY()-$U1383)))</f>
        <v/>
      </c>
      <c r="Y1383" s="39">
        <f>IF($C1383="","",IF(IFERROR(INDEX(LISTAS!$I$3:$I$42,MATCH($T1383,LISTAS!$H$3:$H$42,0)),"NO")="SÍ",IF(N($X1383)&gt;0,"CERRADA FUERA DE SLA","CERRADA EN SLA"),IF($U1383="","SIN CLASIFICAR",IF(N($X1383)&gt;0,"VENCIDA",IF(TODAY()&gt;=$U1383-1,"POR VENCER","EN PLAZO")))))</f>
        <v/>
      </c>
      <c r="Z1383" s="41" t="n"/>
      <c r="AA1383" s="41" t="n"/>
      <c r="AB1383" s="41" t="n"/>
    </row>
    <row r="1384">
      <c r="A1384" s="39">
        <f>IF($C1384="","","NOV-"&amp;TEXT(ROW()-3,"0000"))</f>
        <v/>
      </c>
      <c r="B1384" s="40" t="n"/>
      <c r="C1384" s="41" t="n"/>
      <c r="D1384" s="42">
        <f>IF($C1384="","",IFERROR(INDEX(DESPACHOS!$D$3:$D$3002,MATCH($C1384,DESPACHOS!$B$3:$B$3002,0)),"SIN DESPACHO"))</f>
        <v/>
      </c>
      <c r="E1384" s="42">
        <f>IF($C1384="","",IFERROR(INDEX(DESPACHOS!$K$3:$K$3002,MATCH($C1384,DESPACHOS!$B$3:$B$3002,0)),""))</f>
        <v/>
      </c>
      <c r="F1384" s="42">
        <f>IF($C1384="","",IFERROR(INDEX(DESPACHOS!$I$3:$I$3002,MATCH($C1384,DESPACHOS!$B$3:$B$3002,0)),""))</f>
        <v/>
      </c>
      <c r="G1384" s="42">
        <f>IF($C1384="","",IFERROR(INDEX(DESPACHOS!$F$3:$F$3002,MATCH($C1384,DESPACHOS!$B$3:$B$3002,0)),""))</f>
        <v/>
      </c>
      <c r="H1384" s="42">
        <f>IF($C1384="","",IFERROR(INDEX(DESPACHOS!$G$3:$G$3002,MATCH($C1384,DESPACHOS!$B$3:$B$3002,0)),""))</f>
        <v/>
      </c>
      <c r="I1384" s="39">
        <f>IF($C1384="","",IFERROR(INDEX(DESPACHOS!$H$3:$H$3002,MATCH($C1384,DESPACHOS!$B$3:$B$3002,0)),""))</f>
        <v/>
      </c>
      <c r="J1384" s="43">
        <f>IF($C1384="","",IFERROR(INDEX(DESPACHOS!$J$3:$J$3002,MATCH($C1384,DESPACHOS!$B$3:$B$3002,0)),""))</f>
        <v/>
      </c>
      <c r="K1384" s="39">
        <f>IF($C1384="","",IF(COUNTIFS(DESPACHOS!$B$3:$B$3002,$C1384)=0,"NO EXISTE",IF(COUNTIFS(DESPACHOS!$B$3:$B$3002,$C1384)&gt;1,"DUPLICADO","OK")))</f>
        <v/>
      </c>
      <c r="L1384" s="41" t="n"/>
      <c r="M1384" s="41" t="n"/>
      <c r="N1384" s="42">
        <f>IF($M1384="","",IFERROR(INDEX(LISTAS!$F$3:$F$42,MATCH($M1384,LISTAS!$E$3:$E$42,0)),"Por definir"))</f>
        <v/>
      </c>
      <c r="O1384" s="41" t="n"/>
      <c r="P1384" s="39">
        <f>IF($L1384="","",IFERROR(INDEX(LISTAS!$B$3:$B$42,MATCH($L1384,LISTAS!$A$3:$A$42,0)),"Media"))</f>
        <v/>
      </c>
      <c r="Q1384" s="44" t="n"/>
      <c r="R1384" s="45" t="n"/>
      <c r="S1384" s="20">
        <f>IFERROR(IF(OR($R1384="",$C1384=""),"",$R1384/INDEX(DESPACHOS!$M$3:$M$3002,MATCH($C1384,DESPACHOS!$B$3:$B$3002,0))),"")</f>
        <v/>
      </c>
      <c r="T1384" s="41" t="n"/>
      <c r="U1384" s="43">
        <f>IF(OR($B1384="",$L1384=""),"",WORKDAY($B1384,IFERROR(INDEX(LISTAS!$C$3:$C$42,MATCH($L1384,LISTAS!$A$3:$A$42,0)),3)))</f>
        <v/>
      </c>
      <c r="V1384" s="40" t="n"/>
      <c r="W1384" s="19">
        <f>IF($B1384="","",IF($V1384&lt;&gt;"",$V1384-$B1384,TODAY()-$B1384))</f>
        <v/>
      </c>
      <c r="X1384" s="19">
        <f>IF(OR($B1384="",$U1384=""),"",IF($V1384&lt;&gt;"",MAX(0,$V1384-$U1384),MAX(0,TODAY()-$U1384)))</f>
        <v/>
      </c>
      <c r="Y1384" s="39">
        <f>IF($C1384="","",IF(IFERROR(INDEX(LISTAS!$I$3:$I$42,MATCH($T1384,LISTAS!$H$3:$H$42,0)),"NO")="SÍ",IF(N($X1384)&gt;0,"CERRADA FUERA DE SLA","CERRADA EN SLA"),IF($U1384="","SIN CLASIFICAR",IF(N($X1384)&gt;0,"VENCIDA",IF(TODAY()&gt;=$U1384-1,"POR VENCER","EN PLAZO")))))</f>
        <v/>
      </c>
      <c r="Z1384" s="41" t="n"/>
      <c r="AA1384" s="41" t="n"/>
      <c r="AB1384" s="41" t="n"/>
    </row>
    <row r="1385">
      <c r="A1385" s="39">
        <f>IF($C1385="","","NOV-"&amp;TEXT(ROW()-3,"0000"))</f>
        <v/>
      </c>
      <c r="B1385" s="40" t="n"/>
      <c r="C1385" s="41" t="n"/>
      <c r="D1385" s="42">
        <f>IF($C1385="","",IFERROR(INDEX(DESPACHOS!$D$3:$D$3002,MATCH($C1385,DESPACHOS!$B$3:$B$3002,0)),"SIN DESPACHO"))</f>
        <v/>
      </c>
      <c r="E1385" s="42">
        <f>IF($C1385="","",IFERROR(INDEX(DESPACHOS!$K$3:$K$3002,MATCH($C1385,DESPACHOS!$B$3:$B$3002,0)),""))</f>
        <v/>
      </c>
      <c r="F1385" s="42">
        <f>IF($C1385="","",IFERROR(INDEX(DESPACHOS!$I$3:$I$3002,MATCH($C1385,DESPACHOS!$B$3:$B$3002,0)),""))</f>
        <v/>
      </c>
      <c r="G1385" s="42">
        <f>IF($C1385="","",IFERROR(INDEX(DESPACHOS!$F$3:$F$3002,MATCH($C1385,DESPACHOS!$B$3:$B$3002,0)),""))</f>
        <v/>
      </c>
      <c r="H1385" s="42">
        <f>IF($C1385="","",IFERROR(INDEX(DESPACHOS!$G$3:$G$3002,MATCH($C1385,DESPACHOS!$B$3:$B$3002,0)),""))</f>
        <v/>
      </c>
      <c r="I1385" s="39">
        <f>IF($C1385="","",IFERROR(INDEX(DESPACHOS!$H$3:$H$3002,MATCH($C1385,DESPACHOS!$B$3:$B$3002,0)),""))</f>
        <v/>
      </c>
      <c r="J1385" s="43">
        <f>IF($C1385="","",IFERROR(INDEX(DESPACHOS!$J$3:$J$3002,MATCH($C1385,DESPACHOS!$B$3:$B$3002,0)),""))</f>
        <v/>
      </c>
      <c r="K1385" s="39">
        <f>IF($C1385="","",IF(COUNTIFS(DESPACHOS!$B$3:$B$3002,$C1385)=0,"NO EXISTE",IF(COUNTIFS(DESPACHOS!$B$3:$B$3002,$C1385)&gt;1,"DUPLICADO","OK")))</f>
        <v/>
      </c>
      <c r="L1385" s="41" t="n"/>
      <c r="M1385" s="41" t="n"/>
      <c r="N1385" s="42">
        <f>IF($M1385="","",IFERROR(INDEX(LISTAS!$F$3:$F$42,MATCH($M1385,LISTAS!$E$3:$E$42,0)),"Por definir"))</f>
        <v/>
      </c>
      <c r="O1385" s="41" t="n"/>
      <c r="P1385" s="39">
        <f>IF($L1385="","",IFERROR(INDEX(LISTAS!$B$3:$B$42,MATCH($L1385,LISTAS!$A$3:$A$42,0)),"Media"))</f>
        <v/>
      </c>
      <c r="Q1385" s="44" t="n"/>
      <c r="R1385" s="45" t="n"/>
      <c r="S1385" s="20">
        <f>IFERROR(IF(OR($R1385="",$C1385=""),"",$R1385/INDEX(DESPACHOS!$M$3:$M$3002,MATCH($C1385,DESPACHOS!$B$3:$B$3002,0))),"")</f>
        <v/>
      </c>
      <c r="T1385" s="41" t="n"/>
      <c r="U1385" s="43">
        <f>IF(OR($B1385="",$L1385=""),"",WORKDAY($B1385,IFERROR(INDEX(LISTAS!$C$3:$C$42,MATCH($L1385,LISTAS!$A$3:$A$42,0)),3)))</f>
        <v/>
      </c>
      <c r="V1385" s="40" t="n"/>
      <c r="W1385" s="19">
        <f>IF($B1385="","",IF($V1385&lt;&gt;"",$V1385-$B1385,TODAY()-$B1385))</f>
        <v/>
      </c>
      <c r="X1385" s="19">
        <f>IF(OR($B1385="",$U1385=""),"",IF($V1385&lt;&gt;"",MAX(0,$V1385-$U1385),MAX(0,TODAY()-$U1385)))</f>
        <v/>
      </c>
      <c r="Y1385" s="39">
        <f>IF($C1385="","",IF(IFERROR(INDEX(LISTAS!$I$3:$I$42,MATCH($T1385,LISTAS!$H$3:$H$42,0)),"NO")="SÍ",IF(N($X1385)&gt;0,"CERRADA FUERA DE SLA","CERRADA EN SLA"),IF($U1385="","SIN CLASIFICAR",IF(N($X1385)&gt;0,"VENCIDA",IF(TODAY()&gt;=$U1385-1,"POR VENCER","EN PLAZO")))))</f>
        <v/>
      </c>
      <c r="Z1385" s="41" t="n"/>
      <c r="AA1385" s="41" t="n"/>
      <c r="AB1385" s="41" t="n"/>
    </row>
    <row r="1386">
      <c r="A1386" s="39">
        <f>IF($C1386="","","NOV-"&amp;TEXT(ROW()-3,"0000"))</f>
        <v/>
      </c>
      <c r="B1386" s="40" t="n"/>
      <c r="C1386" s="41" t="n"/>
      <c r="D1386" s="42">
        <f>IF($C1386="","",IFERROR(INDEX(DESPACHOS!$D$3:$D$3002,MATCH($C1386,DESPACHOS!$B$3:$B$3002,0)),"SIN DESPACHO"))</f>
        <v/>
      </c>
      <c r="E1386" s="42">
        <f>IF($C1386="","",IFERROR(INDEX(DESPACHOS!$K$3:$K$3002,MATCH($C1386,DESPACHOS!$B$3:$B$3002,0)),""))</f>
        <v/>
      </c>
      <c r="F1386" s="42">
        <f>IF($C1386="","",IFERROR(INDEX(DESPACHOS!$I$3:$I$3002,MATCH($C1386,DESPACHOS!$B$3:$B$3002,0)),""))</f>
        <v/>
      </c>
      <c r="G1386" s="42">
        <f>IF($C1386="","",IFERROR(INDEX(DESPACHOS!$F$3:$F$3002,MATCH($C1386,DESPACHOS!$B$3:$B$3002,0)),""))</f>
        <v/>
      </c>
      <c r="H1386" s="42">
        <f>IF($C1386="","",IFERROR(INDEX(DESPACHOS!$G$3:$G$3002,MATCH($C1386,DESPACHOS!$B$3:$B$3002,0)),""))</f>
        <v/>
      </c>
      <c r="I1386" s="39">
        <f>IF($C1386="","",IFERROR(INDEX(DESPACHOS!$H$3:$H$3002,MATCH($C1386,DESPACHOS!$B$3:$B$3002,0)),""))</f>
        <v/>
      </c>
      <c r="J1386" s="43">
        <f>IF($C1386="","",IFERROR(INDEX(DESPACHOS!$J$3:$J$3002,MATCH($C1386,DESPACHOS!$B$3:$B$3002,0)),""))</f>
        <v/>
      </c>
      <c r="K1386" s="39">
        <f>IF($C1386="","",IF(COUNTIFS(DESPACHOS!$B$3:$B$3002,$C1386)=0,"NO EXISTE",IF(COUNTIFS(DESPACHOS!$B$3:$B$3002,$C1386)&gt;1,"DUPLICADO","OK")))</f>
        <v/>
      </c>
      <c r="L1386" s="41" t="n"/>
      <c r="M1386" s="41" t="n"/>
      <c r="N1386" s="42">
        <f>IF($M1386="","",IFERROR(INDEX(LISTAS!$F$3:$F$42,MATCH($M1386,LISTAS!$E$3:$E$42,0)),"Por definir"))</f>
        <v/>
      </c>
      <c r="O1386" s="41" t="n"/>
      <c r="P1386" s="39">
        <f>IF($L1386="","",IFERROR(INDEX(LISTAS!$B$3:$B$42,MATCH($L1386,LISTAS!$A$3:$A$42,0)),"Media"))</f>
        <v/>
      </c>
      <c r="Q1386" s="44" t="n"/>
      <c r="R1386" s="45" t="n"/>
      <c r="S1386" s="20">
        <f>IFERROR(IF(OR($R1386="",$C1386=""),"",$R1386/INDEX(DESPACHOS!$M$3:$M$3002,MATCH($C1386,DESPACHOS!$B$3:$B$3002,0))),"")</f>
        <v/>
      </c>
      <c r="T1386" s="41" t="n"/>
      <c r="U1386" s="43">
        <f>IF(OR($B1386="",$L1386=""),"",WORKDAY($B1386,IFERROR(INDEX(LISTAS!$C$3:$C$42,MATCH($L1386,LISTAS!$A$3:$A$42,0)),3)))</f>
        <v/>
      </c>
      <c r="V1386" s="40" t="n"/>
      <c r="W1386" s="19">
        <f>IF($B1386="","",IF($V1386&lt;&gt;"",$V1386-$B1386,TODAY()-$B1386))</f>
        <v/>
      </c>
      <c r="X1386" s="19">
        <f>IF(OR($B1386="",$U1386=""),"",IF($V1386&lt;&gt;"",MAX(0,$V1386-$U1386),MAX(0,TODAY()-$U1386)))</f>
        <v/>
      </c>
      <c r="Y1386" s="39">
        <f>IF($C1386="","",IF(IFERROR(INDEX(LISTAS!$I$3:$I$42,MATCH($T1386,LISTAS!$H$3:$H$42,0)),"NO")="SÍ",IF(N($X1386)&gt;0,"CERRADA FUERA DE SLA","CERRADA EN SLA"),IF($U1386="","SIN CLASIFICAR",IF(N($X1386)&gt;0,"VENCIDA",IF(TODAY()&gt;=$U1386-1,"POR VENCER","EN PLAZO")))))</f>
        <v/>
      </c>
      <c r="Z1386" s="41" t="n"/>
      <c r="AA1386" s="41" t="n"/>
      <c r="AB1386" s="41" t="n"/>
    </row>
    <row r="1387">
      <c r="A1387" s="39">
        <f>IF($C1387="","","NOV-"&amp;TEXT(ROW()-3,"0000"))</f>
        <v/>
      </c>
      <c r="B1387" s="40" t="n"/>
      <c r="C1387" s="41" t="n"/>
      <c r="D1387" s="42">
        <f>IF($C1387="","",IFERROR(INDEX(DESPACHOS!$D$3:$D$3002,MATCH($C1387,DESPACHOS!$B$3:$B$3002,0)),"SIN DESPACHO"))</f>
        <v/>
      </c>
      <c r="E1387" s="42">
        <f>IF($C1387="","",IFERROR(INDEX(DESPACHOS!$K$3:$K$3002,MATCH($C1387,DESPACHOS!$B$3:$B$3002,0)),""))</f>
        <v/>
      </c>
      <c r="F1387" s="42">
        <f>IF($C1387="","",IFERROR(INDEX(DESPACHOS!$I$3:$I$3002,MATCH($C1387,DESPACHOS!$B$3:$B$3002,0)),""))</f>
        <v/>
      </c>
      <c r="G1387" s="42">
        <f>IF($C1387="","",IFERROR(INDEX(DESPACHOS!$F$3:$F$3002,MATCH($C1387,DESPACHOS!$B$3:$B$3002,0)),""))</f>
        <v/>
      </c>
      <c r="H1387" s="42">
        <f>IF($C1387="","",IFERROR(INDEX(DESPACHOS!$G$3:$G$3002,MATCH($C1387,DESPACHOS!$B$3:$B$3002,0)),""))</f>
        <v/>
      </c>
      <c r="I1387" s="39">
        <f>IF($C1387="","",IFERROR(INDEX(DESPACHOS!$H$3:$H$3002,MATCH($C1387,DESPACHOS!$B$3:$B$3002,0)),""))</f>
        <v/>
      </c>
      <c r="J1387" s="43">
        <f>IF($C1387="","",IFERROR(INDEX(DESPACHOS!$J$3:$J$3002,MATCH($C1387,DESPACHOS!$B$3:$B$3002,0)),""))</f>
        <v/>
      </c>
      <c r="K1387" s="39">
        <f>IF($C1387="","",IF(COUNTIFS(DESPACHOS!$B$3:$B$3002,$C1387)=0,"NO EXISTE",IF(COUNTIFS(DESPACHOS!$B$3:$B$3002,$C1387)&gt;1,"DUPLICADO","OK")))</f>
        <v/>
      </c>
      <c r="L1387" s="41" t="n"/>
      <c r="M1387" s="41" t="n"/>
      <c r="N1387" s="42">
        <f>IF($M1387="","",IFERROR(INDEX(LISTAS!$F$3:$F$42,MATCH($M1387,LISTAS!$E$3:$E$42,0)),"Por definir"))</f>
        <v/>
      </c>
      <c r="O1387" s="41" t="n"/>
      <c r="P1387" s="39">
        <f>IF($L1387="","",IFERROR(INDEX(LISTAS!$B$3:$B$42,MATCH($L1387,LISTAS!$A$3:$A$42,0)),"Media"))</f>
        <v/>
      </c>
      <c r="Q1387" s="44" t="n"/>
      <c r="R1387" s="45" t="n"/>
      <c r="S1387" s="20">
        <f>IFERROR(IF(OR($R1387="",$C1387=""),"",$R1387/INDEX(DESPACHOS!$M$3:$M$3002,MATCH($C1387,DESPACHOS!$B$3:$B$3002,0))),"")</f>
        <v/>
      </c>
      <c r="T1387" s="41" t="n"/>
      <c r="U1387" s="43">
        <f>IF(OR($B1387="",$L1387=""),"",WORKDAY($B1387,IFERROR(INDEX(LISTAS!$C$3:$C$42,MATCH($L1387,LISTAS!$A$3:$A$42,0)),3)))</f>
        <v/>
      </c>
      <c r="V1387" s="40" t="n"/>
      <c r="W1387" s="19">
        <f>IF($B1387="","",IF($V1387&lt;&gt;"",$V1387-$B1387,TODAY()-$B1387))</f>
        <v/>
      </c>
      <c r="X1387" s="19">
        <f>IF(OR($B1387="",$U1387=""),"",IF($V1387&lt;&gt;"",MAX(0,$V1387-$U1387),MAX(0,TODAY()-$U1387)))</f>
        <v/>
      </c>
      <c r="Y1387" s="39">
        <f>IF($C1387="","",IF(IFERROR(INDEX(LISTAS!$I$3:$I$42,MATCH($T1387,LISTAS!$H$3:$H$42,0)),"NO")="SÍ",IF(N($X1387)&gt;0,"CERRADA FUERA DE SLA","CERRADA EN SLA"),IF($U1387="","SIN CLASIFICAR",IF(N($X1387)&gt;0,"VENCIDA",IF(TODAY()&gt;=$U1387-1,"POR VENCER","EN PLAZO")))))</f>
        <v/>
      </c>
      <c r="Z1387" s="41" t="n"/>
      <c r="AA1387" s="41" t="n"/>
      <c r="AB1387" s="41" t="n"/>
    </row>
    <row r="1388">
      <c r="A1388" s="39">
        <f>IF($C1388="","","NOV-"&amp;TEXT(ROW()-3,"0000"))</f>
        <v/>
      </c>
      <c r="B1388" s="40" t="n"/>
      <c r="C1388" s="41" t="n"/>
      <c r="D1388" s="42">
        <f>IF($C1388="","",IFERROR(INDEX(DESPACHOS!$D$3:$D$3002,MATCH($C1388,DESPACHOS!$B$3:$B$3002,0)),"SIN DESPACHO"))</f>
        <v/>
      </c>
      <c r="E1388" s="42">
        <f>IF($C1388="","",IFERROR(INDEX(DESPACHOS!$K$3:$K$3002,MATCH($C1388,DESPACHOS!$B$3:$B$3002,0)),""))</f>
        <v/>
      </c>
      <c r="F1388" s="42">
        <f>IF($C1388="","",IFERROR(INDEX(DESPACHOS!$I$3:$I$3002,MATCH($C1388,DESPACHOS!$B$3:$B$3002,0)),""))</f>
        <v/>
      </c>
      <c r="G1388" s="42">
        <f>IF($C1388="","",IFERROR(INDEX(DESPACHOS!$F$3:$F$3002,MATCH($C1388,DESPACHOS!$B$3:$B$3002,0)),""))</f>
        <v/>
      </c>
      <c r="H1388" s="42">
        <f>IF($C1388="","",IFERROR(INDEX(DESPACHOS!$G$3:$G$3002,MATCH($C1388,DESPACHOS!$B$3:$B$3002,0)),""))</f>
        <v/>
      </c>
      <c r="I1388" s="39">
        <f>IF($C1388="","",IFERROR(INDEX(DESPACHOS!$H$3:$H$3002,MATCH($C1388,DESPACHOS!$B$3:$B$3002,0)),""))</f>
        <v/>
      </c>
      <c r="J1388" s="43">
        <f>IF($C1388="","",IFERROR(INDEX(DESPACHOS!$J$3:$J$3002,MATCH($C1388,DESPACHOS!$B$3:$B$3002,0)),""))</f>
        <v/>
      </c>
      <c r="K1388" s="39">
        <f>IF($C1388="","",IF(COUNTIFS(DESPACHOS!$B$3:$B$3002,$C1388)=0,"NO EXISTE",IF(COUNTIFS(DESPACHOS!$B$3:$B$3002,$C1388)&gt;1,"DUPLICADO","OK")))</f>
        <v/>
      </c>
      <c r="L1388" s="41" t="n"/>
      <c r="M1388" s="41" t="n"/>
      <c r="N1388" s="42">
        <f>IF($M1388="","",IFERROR(INDEX(LISTAS!$F$3:$F$42,MATCH($M1388,LISTAS!$E$3:$E$42,0)),"Por definir"))</f>
        <v/>
      </c>
      <c r="O1388" s="41" t="n"/>
      <c r="P1388" s="39">
        <f>IF($L1388="","",IFERROR(INDEX(LISTAS!$B$3:$B$42,MATCH($L1388,LISTAS!$A$3:$A$42,0)),"Media"))</f>
        <v/>
      </c>
      <c r="Q1388" s="44" t="n"/>
      <c r="R1388" s="45" t="n"/>
      <c r="S1388" s="20">
        <f>IFERROR(IF(OR($R1388="",$C1388=""),"",$R1388/INDEX(DESPACHOS!$M$3:$M$3002,MATCH($C1388,DESPACHOS!$B$3:$B$3002,0))),"")</f>
        <v/>
      </c>
      <c r="T1388" s="41" t="n"/>
      <c r="U1388" s="43">
        <f>IF(OR($B1388="",$L1388=""),"",WORKDAY($B1388,IFERROR(INDEX(LISTAS!$C$3:$C$42,MATCH($L1388,LISTAS!$A$3:$A$42,0)),3)))</f>
        <v/>
      </c>
      <c r="V1388" s="40" t="n"/>
      <c r="W1388" s="19">
        <f>IF($B1388="","",IF($V1388&lt;&gt;"",$V1388-$B1388,TODAY()-$B1388))</f>
        <v/>
      </c>
      <c r="X1388" s="19">
        <f>IF(OR($B1388="",$U1388=""),"",IF($V1388&lt;&gt;"",MAX(0,$V1388-$U1388),MAX(0,TODAY()-$U1388)))</f>
        <v/>
      </c>
      <c r="Y1388" s="39">
        <f>IF($C1388="","",IF(IFERROR(INDEX(LISTAS!$I$3:$I$42,MATCH($T1388,LISTAS!$H$3:$H$42,0)),"NO")="SÍ",IF(N($X1388)&gt;0,"CERRADA FUERA DE SLA","CERRADA EN SLA"),IF($U1388="","SIN CLASIFICAR",IF(N($X1388)&gt;0,"VENCIDA",IF(TODAY()&gt;=$U1388-1,"POR VENCER","EN PLAZO")))))</f>
        <v/>
      </c>
      <c r="Z1388" s="41" t="n"/>
      <c r="AA1388" s="41" t="n"/>
      <c r="AB1388" s="41" t="n"/>
    </row>
    <row r="1389">
      <c r="A1389" s="39">
        <f>IF($C1389="","","NOV-"&amp;TEXT(ROW()-3,"0000"))</f>
        <v/>
      </c>
      <c r="B1389" s="40" t="n"/>
      <c r="C1389" s="41" t="n"/>
      <c r="D1389" s="42">
        <f>IF($C1389="","",IFERROR(INDEX(DESPACHOS!$D$3:$D$3002,MATCH($C1389,DESPACHOS!$B$3:$B$3002,0)),"SIN DESPACHO"))</f>
        <v/>
      </c>
      <c r="E1389" s="42">
        <f>IF($C1389="","",IFERROR(INDEX(DESPACHOS!$K$3:$K$3002,MATCH($C1389,DESPACHOS!$B$3:$B$3002,0)),""))</f>
        <v/>
      </c>
      <c r="F1389" s="42">
        <f>IF($C1389="","",IFERROR(INDEX(DESPACHOS!$I$3:$I$3002,MATCH($C1389,DESPACHOS!$B$3:$B$3002,0)),""))</f>
        <v/>
      </c>
      <c r="G1389" s="42">
        <f>IF($C1389="","",IFERROR(INDEX(DESPACHOS!$F$3:$F$3002,MATCH($C1389,DESPACHOS!$B$3:$B$3002,0)),""))</f>
        <v/>
      </c>
      <c r="H1389" s="42">
        <f>IF($C1389="","",IFERROR(INDEX(DESPACHOS!$G$3:$G$3002,MATCH($C1389,DESPACHOS!$B$3:$B$3002,0)),""))</f>
        <v/>
      </c>
      <c r="I1389" s="39">
        <f>IF($C1389="","",IFERROR(INDEX(DESPACHOS!$H$3:$H$3002,MATCH($C1389,DESPACHOS!$B$3:$B$3002,0)),""))</f>
        <v/>
      </c>
      <c r="J1389" s="43">
        <f>IF($C1389="","",IFERROR(INDEX(DESPACHOS!$J$3:$J$3002,MATCH($C1389,DESPACHOS!$B$3:$B$3002,0)),""))</f>
        <v/>
      </c>
      <c r="K1389" s="39">
        <f>IF($C1389="","",IF(COUNTIFS(DESPACHOS!$B$3:$B$3002,$C1389)=0,"NO EXISTE",IF(COUNTIFS(DESPACHOS!$B$3:$B$3002,$C1389)&gt;1,"DUPLICADO","OK")))</f>
        <v/>
      </c>
      <c r="L1389" s="41" t="n"/>
      <c r="M1389" s="41" t="n"/>
      <c r="N1389" s="42">
        <f>IF($M1389="","",IFERROR(INDEX(LISTAS!$F$3:$F$42,MATCH($M1389,LISTAS!$E$3:$E$42,0)),"Por definir"))</f>
        <v/>
      </c>
      <c r="O1389" s="41" t="n"/>
      <c r="P1389" s="39">
        <f>IF($L1389="","",IFERROR(INDEX(LISTAS!$B$3:$B$42,MATCH($L1389,LISTAS!$A$3:$A$42,0)),"Media"))</f>
        <v/>
      </c>
      <c r="Q1389" s="44" t="n"/>
      <c r="R1389" s="45" t="n"/>
      <c r="S1389" s="20">
        <f>IFERROR(IF(OR($R1389="",$C1389=""),"",$R1389/INDEX(DESPACHOS!$M$3:$M$3002,MATCH($C1389,DESPACHOS!$B$3:$B$3002,0))),"")</f>
        <v/>
      </c>
      <c r="T1389" s="41" t="n"/>
      <c r="U1389" s="43">
        <f>IF(OR($B1389="",$L1389=""),"",WORKDAY($B1389,IFERROR(INDEX(LISTAS!$C$3:$C$42,MATCH($L1389,LISTAS!$A$3:$A$42,0)),3)))</f>
        <v/>
      </c>
      <c r="V1389" s="40" t="n"/>
      <c r="W1389" s="19">
        <f>IF($B1389="","",IF($V1389&lt;&gt;"",$V1389-$B1389,TODAY()-$B1389))</f>
        <v/>
      </c>
      <c r="X1389" s="19">
        <f>IF(OR($B1389="",$U1389=""),"",IF($V1389&lt;&gt;"",MAX(0,$V1389-$U1389),MAX(0,TODAY()-$U1389)))</f>
        <v/>
      </c>
      <c r="Y1389" s="39">
        <f>IF($C1389="","",IF(IFERROR(INDEX(LISTAS!$I$3:$I$42,MATCH($T1389,LISTAS!$H$3:$H$42,0)),"NO")="SÍ",IF(N($X1389)&gt;0,"CERRADA FUERA DE SLA","CERRADA EN SLA"),IF($U1389="","SIN CLASIFICAR",IF(N($X1389)&gt;0,"VENCIDA",IF(TODAY()&gt;=$U1389-1,"POR VENCER","EN PLAZO")))))</f>
        <v/>
      </c>
      <c r="Z1389" s="41" t="n"/>
      <c r="AA1389" s="41" t="n"/>
      <c r="AB1389" s="41" t="n"/>
    </row>
    <row r="1390">
      <c r="A1390" s="39">
        <f>IF($C1390="","","NOV-"&amp;TEXT(ROW()-3,"0000"))</f>
        <v/>
      </c>
      <c r="B1390" s="40" t="n"/>
      <c r="C1390" s="41" t="n"/>
      <c r="D1390" s="42">
        <f>IF($C1390="","",IFERROR(INDEX(DESPACHOS!$D$3:$D$3002,MATCH($C1390,DESPACHOS!$B$3:$B$3002,0)),"SIN DESPACHO"))</f>
        <v/>
      </c>
      <c r="E1390" s="42">
        <f>IF($C1390="","",IFERROR(INDEX(DESPACHOS!$K$3:$K$3002,MATCH($C1390,DESPACHOS!$B$3:$B$3002,0)),""))</f>
        <v/>
      </c>
      <c r="F1390" s="42">
        <f>IF($C1390="","",IFERROR(INDEX(DESPACHOS!$I$3:$I$3002,MATCH($C1390,DESPACHOS!$B$3:$B$3002,0)),""))</f>
        <v/>
      </c>
      <c r="G1390" s="42">
        <f>IF($C1390="","",IFERROR(INDEX(DESPACHOS!$F$3:$F$3002,MATCH($C1390,DESPACHOS!$B$3:$B$3002,0)),""))</f>
        <v/>
      </c>
      <c r="H1390" s="42">
        <f>IF($C1390="","",IFERROR(INDEX(DESPACHOS!$G$3:$G$3002,MATCH($C1390,DESPACHOS!$B$3:$B$3002,0)),""))</f>
        <v/>
      </c>
      <c r="I1390" s="39">
        <f>IF($C1390="","",IFERROR(INDEX(DESPACHOS!$H$3:$H$3002,MATCH($C1390,DESPACHOS!$B$3:$B$3002,0)),""))</f>
        <v/>
      </c>
      <c r="J1390" s="43">
        <f>IF($C1390="","",IFERROR(INDEX(DESPACHOS!$J$3:$J$3002,MATCH($C1390,DESPACHOS!$B$3:$B$3002,0)),""))</f>
        <v/>
      </c>
      <c r="K1390" s="39">
        <f>IF($C1390="","",IF(COUNTIFS(DESPACHOS!$B$3:$B$3002,$C1390)=0,"NO EXISTE",IF(COUNTIFS(DESPACHOS!$B$3:$B$3002,$C1390)&gt;1,"DUPLICADO","OK")))</f>
        <v/>
      </c>
      <c r="L1390" s="41" t="n"/>
      <c r="M1390" s="41" t="n"/>
      <c r="N1390" s="42">
        <f>IF($M1390="","",IFERROR(INDEX(LISTAS!$F$3:$F$42,MATCH($M1390,LISTAS!$E$3:$E$42,0)),"Por definir"))</f>
        <v/>
      </c>
      <c r="O1390" s="41" t="n"/>
      <c r="P1390" s="39">
        <f>IF($L1390="","",IFERROR(INDEX(LISTAS!$B$3:$B$42,MATCH($L1390,LISTAS!$A$3:$A$42,0)),"Media"))</f>
        <v/>
      </c>
      <c r="Q1390" s="44" t="n"/>
      <c r="R1390" s="45" t="n"/>
      <c r="S1390" s="20">
        <f>IFERROR(IF(OR($R1390="",$C1390=""),"",$R1390/INDEX(DESPACHOS!$M$3:$M$3002,MATCH($C1390,DESPACHOS!$B$3:$B$3002,0))),"")</f>
        <v/>
      </c>
      <c r="T1390" s="41" t="n"/>
      <c r="U1390" s="43">
        <f>IF(OR($B1390="",$L1390=""),"",WORKDAY($B1390,IFERROR(INDEX(LISTAS!$C$3:$C$42,MATCH($L1390,LISTAS!$A$3:$A$42,0)),3)))</f>
        <v/>
      </c>
      <c r="V1390" s="40" t="n"/>
      <c r="W1390" s="19">
        <f>IF($B1390="","",IF($V1390&lt;&gt;"",$V1390-$B1390,TODAY()-$B1390))</f>
        <v/>
      </c>
      <c r="X1390" s="19">
        <f>IF(OR($B1390="",$U1390=""),"",IF($V1390&lt;&gt;"",MAX(0,$V1390-$U1390),MAX(0,TODAY()-$U1390)))</f>
        <v/>
      </c>
      <c r="Y1390" s="39">
        <f>IF($C1390="","",IF(IFERROR(INDEX(LISTAS!$I$3:$I$42,MATCH($T1390,LISTAS!$H$3:$H$42,0)),"NO")="SÍ",IF(N($X1390)&gt;0,"CERRADA FUERA DE SLA","CERRADA EN SLA"),IF($U1390="","SIN CLASIFICAR",IF(N($X1390)&gt;0,"VENCIDA",IF(TODAY()&gt;=$U1390-1,"POR VENCER","EN PLAZO")))))</f>
        <v/>
      </c>
      <c r="Z1390" s="41" t="n"/>
      <c r="AA1390" s="41" t="n"/>
      <c r="AB1390" s="41" t="n"/>
    </row>
    <row r="1391">
      <c r="A1391" s="39">
        <f>IF($C1391="","","NOV-"&amp;TEXT(ROW()-3,"0000"))</f>
        <v/>
      </c>
      <c r="B1391" s="40" t="n"/>
      <c r="C1391" s="41" t="n"/>
      <c r="D1391" s="42">
        <f>IF($C1391="","",IFERROR(INDEX(DESPACHOS!$D$3:$D$3002,MATCH($C1391,DESPACHOS!$B$3:$B$3002,0)),"SIN DESPACHO"))</f>
        <v/>
      </c>
      <c r="E1391" s="42">
        <f>IF($C1391="","",IFERROR(INDEX(DESPACHOS!$K$3:$K$3002,MATCH($C1391,DESPACHOS!$B$3:$B$3002,0)),""))</f>
        <v/>
      </c>
      <c r="F1391" s="42">
        <f>IF($C1391="","",IFERROR(INDEX(DESPACHOS!$I$3:$I$3002,MATCH($C1391,DESPACHOS!$B$3:$B$3002,0)),""))</f>
        <v/>
      </c>
      <c r="G1391" s="42">
        <f>IF($C1391="","",IFERROR(INDEX(DESPACHOS!$F$3:$F$3002,MATCH($C1391,DESPACHOS!$B$3:$B$3002,0)),""))</f>
        <v/>
      </c>
      <c r="H1391" s="42">
        <f>IF($C1391="","",IFERROR(INDEX(DESPACHOS!$G$3:$G$3002,MATCH($C1391,DESPACHOS!$B$3:$B$3002,0)),""))</f>
        <v/>
      </c>
      <c r="I1391" s="39">
        <f>IF($C1391="","",IFERROR(INDEX(DESPACHOS!$H$3:$H$3002,MATCH($C1391,DESPACHOS!$B$3:$B$3002,0)),""))</f>
        <v/>
      </c>
      <c r="J1391" s="43">
        <f>IF($C1391="","",IFERROR(INDEX(DESPACHOS!$J$3:$J$3002,MATCH($C1391,DESPACHOS!$B$3:$B$3002,0)),""))</f>
        <v/>
      </c>
      <c r="K1391" s="39">
        <f>IF($C1391="","",IF(COUNTIFS(DESPACHOS!$B$3:$B$3002,$C1391)=0,"NO EXISTE",IF(COUNTIFS(DESPACHOS!$B$3:$B$3002,$C1391)&gt;1,"DUPLICADO","OK")))</f>
        <v/>
      </c>
      <c r="L1391" s="41" t="n"/>
      <c r="M1391" s="41" t="n"/>
      <c r="N1391" s="42">
        <f>IF($M1391="","",IFERROR(INDEX(LISTAS!$F$3:$F$42,MATCH($M1391,LISTAS!$E$3:$E$42,0)),"Por definir"))</f>
        <v/>
      </c>
      <c r="O1391" s="41" t="n"/>
      <c r="P1391" s="39">
        <f>IF($L1391="","",IFERROR(INDEX(LISTAS!$B$3:$B$42,MATCH($L1391,LISTAS!$A$3:$A$42,0)),"Media"))</f>
        <v/>
      </c>
      <c r="Q1391" s="44" t="n"/>
      <c r="R1391" s="45" t="n"/>
      <c r="S1391" s="20">
        <f>IFERROR(IF(OR($R1391="",$C1391=""),"",$R1391/INDEX(DESPACHOS!$M$3:$M$3002,MATCH($C1391,DESPACHOS!$B$3:$B$3002,0))),"")</f>
        <v/>
      </c>
      <c r="T1391" s="41" t="n"/>
      <c r="U1391" s="43">
        <f>IF(OR($B1391="",$L1391=""),"",WORKDAY($B1391,IFERROR(INDEX(LISTAS!$C$3:$C$42,MATCH($L1391,LISTAS!$A$3:$A$42,0)),3)))</f>
        <v/>
      </c>
      <c r="V1391" s="40" t="n"/>
      <c r="W1391" s="19">
        <f>IF($B1391="","",IF($V1391&lt;&gt;"",$V1391-$B1391,TODAY()-$B1391))</f>
        <v/>
      </c>
      <c r="X1391" s="19">
        <f>IF(OR($B1391="",$U1391=""),"",IF($V1391&lt;&gt;"",MAX(0,$V1391-$U1391),MAX(0,TODAY()-$U1391)))</f>
        <v/>
      </c>
      <c r="Y1391" s="39">
        <f>IF($C1391="","",IF(IFERROR(INDEX(LISTAS!$I$3:$I$42,MATCH($T1391,LISTAS!$H$3:$H$42,0)),"NO")="SÍ",IF(N($X1391)&gt;0,"CERRADA FUERA DE SLA","CERRADA EN SLA"),IF($U1391="","SIN CLASIFICAR",IF(N($X1391)&gt;0,"VENCIDA",IF(TODAY()&gt;=$U1391-1,"POR VENCER","EN PLAZO")))))</f>
        <v/>
      </c>
      <c r="Z1391" s="41" t="n"/>
      <c r="AA1391" s="41" t="n"/>
      <c r="AB1391" s="41" t="n"/>
    </row>
    <row r="1392">
      <c r="A1392" s="39">
        <f>IF($C1392="","","NOV-"&amp;TEXT(ROW()-3,"0000"))</f>
        <v/>
      </c>
      <c r="B1392" s="40" t="n"/>
      <c r="C1392" s="41" t="n"/>
      <c r="D1392" s="42">
        <f>IF($C1392="","",IFERROR(INDEX(DESPACHOS!$D$3:$D$3002,MATCH($C1392,DESPACHOS!$B$3:$B$3002,0)),"SIN DESPACHO"))</f>
        <v/>
      </c>
      <c r="E1392" s="42">
        <f>IF($C1392="","",IFERROR(INDEX(DESPACHOS!$K$3:$K$3002,MATCH($C1392,DESPACHOS!$B$3:$B$3002,0)),""))</f>
        <v/>
      </c>
      <c r="F1392" s="42">
        <f>IF($C1392="","",IFERROR(INDEX(DESPACHOS!$I$3:$I$3002,MATCH($C1392,DESPACHOS!$B$3:$B$3002,0)),""))</f>
        <v/>
      </c>
      <c r="G1392" s="42">
        <f>IF($C1392="","",IFERROR(INDEX(DESPACHOS!$F$3:$F$3002,MATCH($C1392,DESPACHOS!$B$3:$B$3002,0)),""))</f>
        <v/>
      </c>
      <c r="H1392" s="42">
        <f>IF($C1392="","",IFERROR(INDEX(DESPACHOS!$G$3:$G$3002,MATCH($C1392,DESPACHOS!$B$3:$B$3002,0)),""))</f>
        <v/>
      </c>
      <c r="I1392" s="39">
        <f>IF($C1392="","",IFERROR(INDEX(DESPACHOS!$H$3:$H$3002,MATCH($C1392,DESPACHOS!$B$3:$B$3002,0)),""))</f>
        <v/>
      </c>
      <c r="J1392" s="43">
        <f>IF($C1392="","",IFERROR(INDEX(DESPACHOS!$J$3:$J$3002,MATCH($C1392,DESPACHOS!$B$3:$B$3002,0)),""))</f>
        <v/>
      </c>
      <c r="K1392" s="39">
        <f>IF($C1392="","",IF(COUNTIFS(DESPACHOS!$B$3:$B$3002,$C1392)=0,"NO EXISTE",IF(COUNTIFS(DESPACHOS!$B$3:$B$3002,$C1392)&gt;1,"DUPLICADO","OK")))</f>
        <v/>
      </c>
      <c r="L1392" s="41" t="n"/>
      <c r="M1392" s="41" t="n"/>
      <c r="N1392" s="42">
        <f>IF($M1392="","",IFERROR(INDEX(LISTAS!$F$3:$F$42,MATCH($M1392,LISTAS!$E$3:$E$42,0)),"Por definir"))</f>
        <v/>
      </c>
      <c r="O1392" s="41" t="n"/>
      <c r="P1392" s="39">
        <f>IF($L1392="","",IFERROR(INDEX(LISTAS!$B$3:$B$42,MATCH($L1392,LISTAS!$A$3:$A$42,0)),"Media"))</f>
        <v/>
      </c>
      <c r="Q1392" s="44" t="n"/>
      <c r="R1392" s="45" t="n"/>
      <c r="S1392" s="20">
        <f>IFERROR(IF(OR($R1392="",$C1392=""),"",$R1392/INDEX(DESPACHOS!$M$3:$M$3002,MATCH($C1392,DESPACHOS!$B$3:$B$3002,0))),"")</f>
        <v/>
      </c>
      <c r="T1392" s="41" t="n"/>
      <c r="U1392" s="43">
        <f>IF(OR($B1392="",$L1392=""),"",WORKDAY($B1392,IFERROR(INDEX(LISTAS!$C$3:$C$42,MATCH($L1392,LISTAS!$A$3:$A$42,0)),3)))</f>
        <v/>
      </c>
      <c r="V1392" s="40" t="n"/>
      <c r="W1392" s="19">
        <f>IF($B1392="","",IF($V1392&lt;&gt;"",$V1392-$B1392,TODAY()-$B1392))</f>
        <v/>
      </c>
      <c r="X1392" s="19">
        <f>IF(OR($B1392="",$U1392=""),"",IF($V1392&lt;&gt;"",MAX(0,$V1392-$U1392),MAX(0,TODAY()-$U1392)))</f>
        <v/>
      </c>
      <c r="Y1392" s="39">
        <f>IF($C1392="","",IF(IFERROR(INDEX(LISTAS!$I$3:$I$42,MATCH($T1392,LISTAS!$H$3:$H$42,0)),"NO")="SÍ",IF(N($X1392)&gt;0,"CERRADA FUERA DE SLA","CERRADA EN SLA"),IF($U1392="","SIN CLASIFICAR",IF(N($X1392)&gt;0,"VENCIDA",IF(TODAY()&gt;=$U1392-1,"POR VENCER","EN PLAZO")))))</f>
        <v/>
      </c>
      <c r="Z1392" s="41" t="n"/>
      <c r="AA1392" s="41" t="n"/>
      <c r="AB1392" s="41" t="n"/>
    </row>
    <row r="1393">
      <c r="A1393" s="39">
        <f>IF($C1393="","","NOV-"&amp;TEXT(ROW()-3,"0000"))</f>
        <v/>
      </c>
      <c r="B1393" s="40" t="n"/>
      <c r="C1393" s="41" t="n"/>
      <c r="D1393" s="42">
        <f>IF($C1393="","",IFERROR(INDEX(DESPACHOS!$D$3:$D$3002,MATCH($C1393,DESPACHOS!$B$3:$B$3002,0)),"SIN DESPACHO"))</f>
        <v/>
      </c>
      <c r="E1393" s="42">
        <f>IF($C1393="","",IFERROR(INDEX(DESPACHOS!$K$3:$K$3002,MATCH($C1393,DESPACHOS!$B$3:$B$3002,0)),""))</f>
        <v/>
      </c>
      <c r="F1393" s="42">
        <f>IF($C1393="","",IFERROR(INDEX(DESPACHOS!$I$3:$I$3002,MATCH($C1393,DESPACHOS!$B$3:$B$3002,0)),""))</f>
        <v/>
      </c>
      <c r="G1393" s="42">
        <f>IF($C1393="","",IFERROR(INDEX(DESPACHOS!$F$3:$F$3002,MATCH($C1393,DESPACHOS!$B$3:$B$3002,0)),""))</f>
        <v/>
      </c>
      <c r="H1393" s="42">
        <f>IF($C1393="","",IFERROR(INDEX(DESPACHOS!$G$3:$G$3002,MATCH($C1393,DESPACHOS!$B$3:$B$3002,0)),""))</f>
        <v/>
      </c>
      <c r="I1393" s="39">
        <f>IF($C1393="","",IFERROR(INDEX(DESPACHOS!$H$3:$H$3002,MATCH($C1393,DESPACHOS!$B$3:$B$3002,0)),""))</f>
        <v/>
      </c>
      <c r="J1393" s="43">
        <f>IF($C1393="","",IFERROR(INDEX(DESPACHOS!$J$3:$J$3002,MATCH($C1393,DESPACHOS!$B$3:$B$3002,0)),""))</f>
        <v/>
      </c>
      <c r="K1393" s="39">
        <f>IF($C1393="","",IF(COUNTIFS(DESPACHOS!$B$3:$B$3002,$C1393)=0,"NO EXISTE",IF(COUNTIFS(DESPACHOS!$B$3:$B$3002,$C1393)&gt;1,"DUPLICADO","OK")))</f>
        <v/>
      </c>
      <c r="L1393" s="41" t="n"/>
      <c r="M1393" s="41" t="n"/>
      <c r="N1393" s="42">
        <f>IF($M1393="","",IFERROR(INDEX(LISTAS!$F$3:$F$42,MATCH($M1393,LISTAS!$E$3:$E$42,0)),"Por definir"))</f>
        <v/>
      </c>
      <c r="O1393" s="41" t="n"/>
      <c r="P1393" s="39">
        <f>IF($L1393="","",IFERROR(INDEX(LISTAS!$B$3:$B$42,MATCH($L1393,LISTAS!$A$3:$A$42,0)),"Media"))</f>
        <v/>
      </c>
      <c r="Q1393" s="44" t="n"/>
      <c r="R1393" s="45" t="n"/>
      <c r="S1393" s="20">
        <f>IFERROR(IF(OR($R1393="",$C1393=""),"",$R1393/INDEX(DESPACHOS!$M$3:$M$3002,MATCH($C1393,DESPACHOS!$B$3:$B$3002,0))),"")</f>
        <v/>
      </c>
      <c r="T1393" s="41" t="n"/>
      <c r="U1393" s="43">
        <f>IF(OR($B1393="",$L1393=""),"",WORKDAY($B1393,IFERROR(INDEX(LISTAS!$C$3:$C$42,MATCH($L1393,LISTAS!$A$3:$A$42,0)),3)))</f>
        <v/>
      </c>
      <c r="V1393" s="40" t="n"/>
      <c r="W1393" s="19">
        <f>IF($B1393="","",IF($V1393&lt;&gt;"",$V1393-$B1393,TODAY()-$B1393))</f>
        <v/>
      </c>
      <c r="X1393" s="19">
        <f>IF(OR($B1393="",$U1393=""),"",IF($V1393&lt;&gt;"",MAX(0,$V1393-$U1393),MAX(0,TODAY()-$U1393)))</f>
        <v/>
      </c>
      <c r="Y1393" s="39">
        <f>IF($C1393="","",IF(IFERROR(INDEX(LISTAS!$I$3:$I$42,MATCH($T1393,LISTAS!$H$3:$H$42,0)),"NO")="SÍ",IF(N($X1393)&gt;0,"CERRADA FUERA DE SLA","CERRADA EN SLA"),IF($U1393="","SIN CLASIFICAR",IF(N($X1393)&gt;0,"VENCIDA",IF(TODAY()&gt;=$U1393-1,"POR VENCER","EN PLAZO")))))</f>
        <v/>
      </c>
      <c r="Z1393" s="41" t="n"/>
      <c r="AA1393" s="41" t="n"/>
      <c r="AB1393" s="41" t="n"/>
    </row>
    <row r="1394">
      <c r="A1394" s="39">
        <f>IF($C1394="","","NOV-"&amp;TEXT(ROW()-3,"0000"))</f>
        <v/>
      </c>
      <c r="B1394" s="40" t="n"/>
      <c r="C1394" s="41" t="n"/>
      <c r="D1394" s="42">
        <f>IF($C1394="","",IFERROR(INDEX(DESPACHOS!$D$3:$D$3002,MATCH($C1394,DESPACHOS!$B$3:$B$3002,0)),"SIN DESPACHO"))</f>
        <v/>
      </c>
      <c r="E1394" s="42">
        <f>IF($C1394="","",IFERROR(INDEX(DESPACHOS!$K$3:$K$3002,MATCH($C1394,DESPACHOS!$B$3:$B$3002,0)),""))</f>
        <v/>
      </c>
      <c r="F1394" s="42">
        <f>IF($C1394="","",IFERROR(INDEX(DESPACHOS!$I$3:$I$3002,MATCH($C1394,DESPACHOS!$B$3:$B$3002,0)),""))</f>
        <v/>
      </c>
      <c r="G1394" s="42">
        <f>IF($C1394="","",IFERROR(INDEX(DESPACHOS!$F$3:$F$3002,MATCH($C1394,DESPACHOS!$B$3:$B$3002,0)),""))</f>
        <v/>
      </c>
      <c r="H1394" s="42">
        <f>IF($C1394="","",IFERROR(INDEX(DESPACHOS!$G$3:$G$3002,MATCH($C1394,DESPACHOS!$B$3:$B$3002,0)),""))</f>
        <v/>
      </c>
      <c r="I1394" s="39">
        <f>IF($C1394="","",IFERROR(INDEX(DESPACHOS!$H$3:$H$3002,MATCH($C1394,DESPACHOS!$B$3:$B$3002,0)),""))</f>
        <v/>
      </c>
      <c r="J1394" s="43">
        <f>IF($C1394="","",IFERROR(INDEX(DESPACHOS!$J$3:$J$3002,MATCH($C1394,DESPACHOS!$B$3:$B$3002,0)),""))</f>
        <v/>
      </c>
      <c r="K1394" s="39">
        <f>IF($C1394="","",IF(COUNTIFS(DESPACHOS!$B$3:$B$3002,$C1394)=0,"NO EXISTE",IF(COUNTIFS(DESPACHOS!$B$3:$B$3002,$C1394)&gt;1,"DUPLICADO","OK")))</f>
        <v/>
      </c>
      <c r="L1394" s="41" t="n"/>
      <c r="M1394" s="41" t="n"/>
      <c r="N1394" s="42">
        <f>IF($M1394="","",IFERROR(INDEX(LISTAS!$F$3:$F$42,MATCH($M1394,LISTAS!$E$3:$E$42,0)),"Por definir"))</f>
        <v/>
      </c>
      <c r="O1394" s="41" t="n"/>
      <c r="P1394" s="39">
        <f>IF($L1394="","",IFERROR(INDEX(LISTAS!$B$3:$B$42,MATCH($L1394,LISTAS!$A$3:$A$42,0)),"Media"))</f>
        <v/>
      </c>
      <c r="Q1394" s="44" t="n"/>
      <c r="R1394" s="45" t="n"/>
      <c r="S1394" s="20">
        <f>IFERROR(IF(OR($R1394="",$C1394=""),"",$R1394/INDEX(DESPACHOS!$M$3:$M$3002,MATCH($C1394,DESPACHOS!$B$3:$B$3002,0))),"")</f>
        <v/>
      </c>
      <c r="T1394" s="41" t="n"/>
      <c r="U1394" s="43">
        <f>IF(OR($B1394="",$L1394=""),"",WORKDAY($B1394,IFERROR(INDEX(LISTAS!$C$3:$C$42,MATCH($L1394,LISTAS!$A$3:$A$42,0)),3)))</f>
        <v/>
      </c>
      <c r="V1394" s="40" t="n"/>
      <c r="W1394" s="19">
        <f>IF($B1394="","",IF($V1394&lt;&gt;"",$V1394-$B1394,TODAY()-$B1394))</f>
        <v/>
      </c>
      <c r="X1394" s="19">
        <f>IF(OR($B1394="",$U1394=""),"",IF($V1394&lt;&gt;"",MAX(0,$V1394-$U1394),MAX(0,TODAY()-$U1394)))</f>
        <v/>
      </c>
      <c r="Y1394" s="39">
        <f>IF($C1394="","",IF(IFERROR(INDEX(LISTAS!$I$3:$I$42,MATCH($T1394,LISTAS!$H$3:$H$42,0)),"NO")="SÍ",IF(N($X1394)&gt;0,"CERRADA FUERA DE SLA","CERRADA EN SLA"),IF($U1394="","SIN CLASIFICAR",IF(N($X1394)&gt;0,"VENCIDA",IF(TODAY()&gt;=$U1394-1,"POR VENCER","EN PLAZO")))))</f>
        <v/>
      </c>
      <c r="Z1394" s="41" t="n"/>
      <c r="AA1394" s="41" t="n"/>
      <c r="AB1394" s="41" t="n"/>
    </row>
    <row r="1395">
      <c r="A1395" s="39">
        <f>IF($C1395="","","NOV-"&amp;TEXT(ROW()-3,"0000"))</f>
        <v/>
      </c>
      <c r="B1395" s="40" t="n"/>
      <c r="C1395" s="41" t="n"/>
      <c r="D1395" s="42">
        <f>IF($C1395="","",IFERROR(INDEX(DESPACHOS!$D$3:$D$3002,MATCH($C1395,DESPACHOS!$B$3:$B$3002,0)),"SIN DESPACHO"))</f>
        <v/>
      </c>
      <c r="E1395" s="42">
        <f>IF($C1395="","",IFERROR(INDEX(DESPACHOS!$K$3:$K$3002,MATCH($C1395,DESPACHOS!$B$3:$B$3002,0)),""))</f>
        <v/>
      </c>
      <c r="F1395" s="42">
        <f>IF($C1395="","",IFERROR(INDEX(DESPACHOS!$I$3:$I$3002,MATCH($C1395,DESPACHOS!$B$3:$B$3002,0)),""))</f>
        <v/>
      </c>
      <c r="G1395" s="42">
        <f>IF($C1395="","",IFERROR(INDEX(DESPACHOS!$F$3:$F$3002,MATCH($C1395,DESPACHOS!$B$3:$B$3002,0)),""))</f>
        <v/>
      </c>
      <c r="H1395" s="42">
        <f>IF($C1395="","",IFERROR(INDEX(DESPACHOS!$G$3:$G$3002,MATCH($C1395,DESPACHOS!$B$3:$B$3002,0)),""))</f>
        <v/>
      </c>
      <c r="I1395" s="39">
        <f>IF($C1395="","",IFERROR(INDEX(DESPACHOS!$H$3:$H$3002,MATCH($C1395,DESPACHOS!$B$3:$B$3002,0)),""))</f>
        <v/>
      </c>
      <c r="J1395" s="43">
        <f>IF($C1395="","",IFERROR(INDEX(DESPACHOS!$J$3:$J$3002,MATCH($C1395,DESPACHOS!$B$3:$B$3002,0)),""))</f>
        <v/>
      </c>
      <c r="K1395" s="39">
        <f>IF($C1395="","",IF(COUNTIFS(DESPACHOS!$B$3:$B$3002,$C1395)=0,"NO EXISTE",IF(COUNTIFS(DESPACHOS!$B$3:$B$3002,$C1395)&gt;1,"DUPLICADO","OK")))</f>
        <v/>
      </c>
      <c r="L1395" s="41" t="n"/>
      <c r="M1395" s="41" t="n"/>
      <c r="N1395" s="42">
        <f>IF($M1395="","",IFERROR(INDEX(LISTAS!$F$3:$F$42,MATCH($M1395,LISTAS!$E$3:$E$42,0)),"Por definir"))</f>
        <v/>
      </c>
      <c r="O1395" s="41" t="n"/>
      <c r="P1395" s="39">
        <f>IF($L1395="","",IFERROR(INDEX(LISTAS!$B$3:$B$42,MATCH($L1395,LISTAS!$A$3:$A$42,0)),"Media"))</f>
        <v/>
      </c>
      <c r="Q1395" s="44" t="n"/>
      <c r="R1395" s="45" t="n"/>
      <c r="S1395" s="20">
        <f>IFERROR(IF(OR($R1395="",$C1395=""),"",$R1395/INDEX(DESPACHOS!$M$3:$M$3002,MATCH($C1395,DESPACHOS!$B$3:$B$3002,0))),"")</f>
        <v/>
      </c>
      <c r="T1395" s="41" t="n"/>
      <c r="U1395" s="43">
        <f>IF(OR($B1395="",$L1395=""),"",WORKDAY($B1395,IFERROR(INDEX(LISTAS!$C$3:$C$42,MATCH($L1395,LISTAS!$A$3:$A$42,0)),3)))</f>
        <v/>
      </c>
      <c r="V1395" s="40" t="n"/>
      <c r="W1395" s="19">
        <f>IF($B1395="","",IF($V1395&lt;&gt;"",$V1395-$B1395,TODAY()-$B1395))</f>
        <v/>
      </c>
      <c r="X1395" s="19">
        <f>IF(OR($B1395="",$U1395=""),"",IF($V1395&lt;&gt;"",MAX(0,$V1395-$U1395),MAX(0,TODAY()-$U1395)))</f>
        <v/>
      </c>
      <c r="Y1395" s="39">
        <f>IF($C1395="","",IF(IFERROR(INDEX(LISTAS!$I$3:$I$42,MATCH($T1395,LISTAS!$H$3:$H$42,0)),"NO")="SÍ",IF(N($X1395)&gt;0,"CERRADA FUERA DE SLA","CERRADA EN SLA"),IF($U1395="","SIN CLASIFICAR",IF(N($X1395)&gt;0,"VENCIDA",IF(TODAY()&gt;=$U1395-1,"POR VENCER","EN PLAZO")))))</f>
        <v/>
      </c>
      <c r="Z1395" s="41" t="n"/>
      <c r="AA1395" s="41" t="n"/>
      <c r="AB1395" s="41" t="n"/>
    </row>
    <row r="1396">
      <c r="A1396" s="39">
        <f>IF($C1396="","","NOV-"&amp;TEXT(ROW()-3,"0000"))</f>
        <v/>
      </c>
      <c r="B1396" s="40" t="n"/>
      <c r="C1396" s="41" t="n"/>
      <c r="D1396" s="42">
        <f>IF($C1396="","",IFERROR(INDEX(DESPACHOS!$D$3:$D$3002,MATCH($C1396,DESPACHOS!$B$3:$B$3002,0)),"SIN DESPACHO"))</f>
        <v/>
      </c>
      <c r="E1396" s="42">
        <f>IF($C1396="","",IFERROR(INDEX(DESPACHOS!$K$3:$K$3002,MATCH($C1396,DESPACHOS!$B$3:$B$3002,0)),""))</f>
        <v/>
      </c>
      <c r="F1396" s="42">
        <f>IF($C1396="","",IFERROR(INDEX(DESPACHOS!$I$3:$I$3002,MATCH($C1396,DESPACHOS!$B$3:$B$3002,0)),""))</f>
        <v/>
      </c>
      <c r="G1396" s="42">
        <f>IF($C1396="","",IFERROR(INDEX(DESPACHOS!$F$3:$F$3002,MATCH($C1396,DESPACHOS!$B$3:$B$3002,0)),""))</f>
        <v/>
      </c>
      <c r="H1396" s="42">
        <f>IF($C1396="","",IFERROR(INDEX(DESPACHOS!$G$3:$G$3002,MATCH($C1396,DESPACHOS!$B$3:$B$3002,0)),""))</f>
        <v/>
      </c>
      <c r="I1396" s="39">
        <f>IF($C1396="","",IFERROR(INDEX(DESPACHOS!$H$3:$H$3002,MATCH($C1396,DESPACHOS!$B$3:$B$3002,0)),""))</f>
        <v/>
      </c>
      <c r="J1396" s="43">
        <f>IF($C1396="","",IFERROR(INDEX(DESPACHOS!$J$3:$J$3002,MATCH($C1396,DESPACHOS!$B$3:$B$3002,0)),""))</f>
        <v/>
      </c>
      <c r="K1396" s="39">
        <f>IF($C1396="","",IF(COUNTIFS(DESPACHOS!$B$3:$B$3002,$C1396)=0,"NO EXISTE",IF(COUNTIFS(DESPACHOS!$B$3:$B$3002,$C1396)&gt;1,"DUPLICADO","OK")))</f>
        <v/>
      </c>
      <c r="L1396" s="41" t="n"/>
      <c r="M1396" s="41" t="n"/>
      <c r="N1396" s="42">
        <f>IF($M1396="","",IFERROR(INDEX(LISTAS!$F$3:$F$42,MATCH($M1396,LISTAS!$E$3:$E$42,0)),"Por definir"))</f>
        <v/>
      </c>
      <c r="O1396" s="41" t="n"/>
      <c r="P1396" s="39">
        <f>IF($L1396="","",IFERROR(INDEX(LISTAS!$B$3:$B$42,MATCH($L1396,LISTAS!$A$3:$A$42,0)),"Media"))</f>
        <v/>
      </c>
      <c r="Q1396" s="44" t="n"/>
      <c r="R1396" s="45" t="n"/>
      <c r="S1396" s="20">
        <f>IFERROR(IF(OR($R1396="",$C1396=""),"",$R1396/INDEX(DESPACHOS!$M$3:$M$3002,MATCH($C1396,DESPACHOS!$B$3:$B$3002,0))),"")</f>
        <v/>
      </c>
      <c r="T1396" s="41" t="n"/>
      <c r="U1396" s="43">
        <f>IF(OR($B1396="",$L1396=""),"",WORKDAY($B1396,IFERROR(INDEX(LISTAS!$C$3:$C$42,MATCH($L1396,LISTAS!$A$3:$A$42,0)),3)))</f>
        <v/>
      </c>
      <c r="V1396" s="40" t="n"/>
      <c r="W1396" s="19">
        <f>IF($B1396="","",IF($V1396&lt;&gt;"",$V1396-$B1396,TODAY()-$B1396))</f>
        <v/>
      </c>
      <c r="X1396" s="19">
        <f>IF(OR($B1396="",$U1396=""),"",IF($V1396&lt;&gt;"",MAX(0,$V1396-$U1396),MAX(0,TODAY()-$U1396)))</f>
        <v/>
      </c>
      <c r="Y1396" s="39">
        <f>IF($C1396="","",IF(IFERROR(INDEX(LISTAS!$I$3:$I$42,MATCH($T1396,LISTAS!$H$3:$H$42,0)),"NO")="SÍ",IF(N($X1396)&gt;0,"CERRADA FUERA DE SLA","CERRADA EN SLA"),IF($U1396="","SIN CLASIFICAR",IF(N($X1396)&gt;0,"VENCIDA",IF(TODAY()&gt;=$U1396-1,"POR VENCER","EN PLAZO")))))</f>
        <v/>
      </c>
      <c r="Z1396" s="41" t="n"/>
      <c r="AA1396" s="41" t="n"/>
      <c r="AB1396" s="41" t="n"/>
    </row>
    <row r="1397">
      <c r="A1397" s="39">
        <f>IF($C1397="","","NOV-"&amp;TEXT(ROW()-3,"0000"))</f>
        <v/>
      </c>
      <c r="B1397" s="40" t="n"/>
      <c r="C1397" s="41" t="n"/>
      <c r="D1397" s="42">
        <f>IF($C1397="","",IFERROR(INDEX(DESPACHOS!$D$3:$D$3002,MATCH($C1397,DESPACHOS!$B$3:$B$3002,0)),"SIN DESPACHO"))</f>
        <v/>
      </c>
      <c r="E1397" s="42">
        <f>IF($C1397="","",IFERROR(INDEX(DESPACHOS!$K$3:$K$3002,MATCH($C1397,DESPACHOS!$B$3:$B$3002,0)),""))</f>
        <v/>
      </c>
      <c r="F1397" s="42">
        <f>IF($C1397="","",IFERROR(INDEX(DESPACHOS!$I$3:$I$3002,MATCH($C1397,DESPACHOS!$B$3:$B$3002,0)),""))</f>
        <v/>
      </c>
      <c r="G1397" s="42">
        <f>IF($C1397="","",IFERROR(INDEX(DESPACHOS!$F$3:$F$3002,MATCH($C1397,DESPACHOS!$B$3:$B$3002,0)),""))</f>
        <v/>
      </c>
      <c r="H1397" s="42">
        <f>IF($C1397="","",IFERROR(INDEX(DESPACHOS!$G$3:$G$3002,MATCH($C1397,DESPACHOS!$B$3:$B$3002,0)),""))</f>
        <v/>
      </c>
      <c r="I1397" s="39">
        <f>IF($C1397="","",IFERROR(INDEX(DESPACHOS!$H$3:$H$3002,MATCH($C1397,DESPACHOS!$B$3:$B$3002,0)),""))</f>
        <v/>
      </c>
      <c r="J1397" s="43">
        <f>IF($C1397="","",IFERROR(INDEX(DESPACHOS!$J$3:$J$3002,MATCH($C1397,DESPACHOS!$B$3:$B$3002,0)),""))</f>
        <v/>
      </c>
      <c r="K1397" s="39">
        <f>IF($C1397="","",IF(COUNTIFS(DESPACHOS!$B$3:$B$3002,$C1397)=0,"NO EXISTE",IF(COUNTIFS(DESPACHOS!$B$3:$B$3002,$C1397)&gt;1,"DUPLICADO","OK")))</f>
        <v/>
      </c>
      <c r="L1397" s="41" t="n"/>
      <c r="M1397" s="41" t="n"/>
      <c r="N1397" s="42">
        <f>IF($M1397="","",IFERROR(INDEX(LISTAS!$F$3:$F$42,MATCH($M1397,LISTAS!$E$3:$E$42,0)),"Por definir"))</f>
        <v/>
      </c>
      <c r="O1397" s="41" t="n"/>
      <c r="P1397" s="39">
        <f>IF($L1397="","",IFERROR(INDEX(LISTAS!$B$3:$B$42,MATCH($L1397,LISTAS!$A$3:$A$42,0)),"Media"))</f>
        <v/>
      </c>
      <c r="Q1397" s="44" t="n"/>
      <c r="R1397" s="45" t="n"/>
      <c r="S1397" s="20">
        <f>IFERROR(IF(OR($R1397="",$C1397=""),"",$R1397/INDEX(DESPACHOS!$M$3:$M$3002,MATCH($C1397,DESPACHOS!$B$3:$B$3002,0))),"")</f>
        <v/>
      </c>
      <c r="T1397" s="41" t="n"/>
      <c r="U1397" s="43">
        <f>IF(OR($B1397="",$L1397=""),"",WORKDAY($B1397,IFERROR(INDEX(LISTAS!$C$3:$C$42,MATCH($L1397,LISTAS!$A$3:$A$42,0)),3)))</f>
        <v/>
      </c>
      <c r="V1397" s="40" t="n"/>
      <c r="W1397" s="19">
        <f>IF($B1397="","",IF($V1397&lt;&gt;"",$V1397-$B1397,TODAY()-$B1397))</f>
        <v/>
      </c>
      <c r="X1397" s="19">
        <f>IF(OR($B1397="",$U1397=""),"",IF($V1397&lt;&gt;"",MAX(0,$V1397-$U1397),MAX(0,TODAY()-$U1397)))</f>
        <v/>
      </c>
      <c r="Y1397" s="39">
        <f>IF($C1397="","",IF(IFERROR(INDEX(LISTAS!$I$3:$I$42,MATCH($T1397,LISTAS!$H$3:$H$42,0)),"NO")="SÍ",IF(N($X1397)&gt;0,"CERRADA FUERA DE SLA","CERRADA EN SLA"),IF($U1397="","SIN CLASIFICAR",IF(N($X1397)&gt;0,"VENCIDA",IF(TODAY()&gt;=$U1397-1,"POR VENCER","EN PLAZO")))))</f>
        <v/>
      </c>
      <c r="Z1397" s="41" t="n"/>
      <c r="AA1397" s="41" t="n"/>
      <c r="AB1397" s="41" t="n"/>
    </row>
    <row r="1398">
      <c r="A1398" s="39">
        <f>IF($C1398="","","NOV-"&amp;TEXT(ROW()-3,"0000"))</f>
        <v/>
      </c>
      <c r="B1398" s="40" t="n"/>
      <c r="C1398" s="41" t="n"/>
      <c r="D1398" s="42">
        <f>IF($C1398="","",IFERROR(INDEX(DESPACHOS!$D$3:$D$3002,MATCH($C1398,DESPACHOS!$B$3:$B$3002,0)),"SIN DESPACHO"))</f>
        <v/>
      </c>
      <c r="E1398" s="42">
        <f>IF($C1398="","",IFERROR(INDEX(DESPACHOS!$K$3:$K$3002,MATCH($C1398,DESPACHOS!$B$3:$B$3002,0)),""))</f>
        <v/>
      </c>
      <c r="F1398" s="42">
        <f>IF($C1398="","",IFERROR(INDEX(DESPACHOS!$I$3:$I$3002,MATCH($C1398,DESPACHOS!$B$3:$B$3002,0)),""))</f>
        <v/>
      </c>
      <c r="G1398" s="42">
        <f>IF($C1398="","",IFERROR(INDEX(DESPACHOS!$F$3:$F$3002,MATCH($C1398,DESPACHOS!$B$3:$B$3002,0)),""))</f>
        <v/>
      </c>
      <c r="H1398" s="42">
        <f>IF($C1398="","",IFERROR(INDEX(DESPACHOS!$G$3:$G$3002,MATCH($C1398,DESPACHOS!$B$3:$B$3002,0)),""))</f>
        <v/>
      </c>
      <c r="I1398" s="39">
        <f>IF($C1398="","",IFERROR(INDEX(DESPACHOS!$H$3:$H$3002,MATCH($C1398,DESPACHOS!$B$3:$B$3002,0)),""))</f>
        <v/>
      </c>
      <c r="J1398" s="43">
        <f>IF($C1398="","",IFERROR(INDEX(DESPACHOS!$J$3:$J$3002,MATCH($C1398,DESPACHOS!$B$3:$B$3002,0)),""))</f>
        <v/>
      </c>
      <c r="K1398" s="39">
        <f>IF($C1398="","",IF(COUNTIFS(DESPACHOS!$B$3:$B$3002,$C1398)=0,"NO EXISTE",IF(COUNTIFS(DESPACHOS!$B$3:$B$3002,$C1398)&gt;1,"DUPLICADO","OK")))</f>
        <v/>
      </c>
      <c r="L1398" s="41" t="n"/>
      <c r="M1398" s="41" t="n"/>
      <c r="N1398" s="42">
        <f>IF($M1398="","",IFERROR(INDEX(LISTAS!$F$3:$F$42,MATCH($M1398,LISTAS!$E$3:$E$42,0)),"Por definir"))</f>
        <v/>
      </c>
      <c r="O1398" s="41" t="n"/>
      <c r="P1398" s="39">
        <f>IF($L1398="","",IFERROR(INDEX(LISTAS!$B$3:$B$42,MATCH($L1398,LISTAS!$A$3:$A$42,0)),"Media"))</f>
        <v/>
      </c>
      <c r="Q1398" s="44" t="n"/>
      <c r="R1398" s="45" t="n"/>
      <c r="S1398" s="20">
        <f>IFERROR(IF(OR($R1398="",$C1398=""),"",$R1398/INDEX(DESPACHOS!$M$3:$M$3002,MATCH($C1398,DESPACHOS!$B$3:$B$3002,0))),"")</f>
        <v/>
      </c>
      <c r="T1398" s="41" t="n"/>
      <c r="U1398" s="43">
        <f>IF(OR($B1398="",$L1398=""),"",WORKDAY($B1398,IFERROR(INDEX(LISTAS!$C$3:$C$42,MATCH($L1398,LISTAS!$A$3:$A$42,0)),3)))</f>
        <v/>
      </c>
      <c r="V1398" s="40" t="n"/>
      <c r="W1398" s="19">
        <f>IF($B1398="","",IF($V1398&lt;&gt;"",$V1398-$B1398,TODAY()-$B1398))</f>
        <v/>
      </c>
      <c r="X1398" s="19">
        <f>IF(OR($B1398="",$U1398=""),"",IF($V1398&lt;&gt;"",MAX(0,$V1398-$U1398),MAX(0,TODAY()-$U1398)))</f>
        <v/>
      </c>
      <c r="Y1398" s="39">
        <f>IF($C1398="","",IF(IFERROR(INDEX(LISTAS!$I$3:$I$42,MATCH($T1398,LISTAS!$H$3:$H$42,0)),"NO")="SÍ",IF(N($X1398)&gt;0,"CERRADA FUERA DE SLA","CERRADA EN SLA"),IF($U1398="","SIN CLASIFICAR",IF(N($X1398)&gt;0,"VENCIDA",IF(TODAY()&gt;=$U1398-1,"POR VENCER","EN PLAZO")))))</f>
        <v/>
      </c>
      <c r="Z1398" s="41" t="n"/>
      <c r="AA1398" s="41" t="n"/>
      <c r="AB1398" s="41" t="n"/>
    </row>
    <row r="1399">
      <c r="A1399" s="39">
        <f>IF($C1399="","","NOV-"&amp;TEXT(ROW()-3,"0000"))</f>
        <v/>
      </c>
      <c r="B1399" s="40" t="n"/>
      <c r="C1399" s="41" t="n"/>
      <c r="D1399" s="42">
        <f>IF($C1399="","",IFERROR(INDEX(DESPACHOS!$D$3:$D$3002,MATCH($C1399,DESPACHOS!$B$3:$B$3002,0)),"SIN DESPACHO"))</f>
        <v/>
      </c>
      <c r="E1399" s="42">
        <f>IF($C1399="","",IFERROR(INDEX(DESPACHOS!$K$3:$K$3002,MATCH($C1399,DESPACHOS!$B$3:$B$3002,0)),""))</f>
        <v/>
      </c>
      <c r="F1399" s="42">
        <f>IF($C1399="","",IFERROR(INDEX(DESPACHOS!$I$3:$I$3002,MATCH($C1399,DESPACHOS!$B$3:$B$3002,0)),""))</f>
        <v/>
      </c>
      <c r="G1399" s="42">
        <f>IF($C1399="","",IFERROR(INDEX(DESPACHOS!$F$3:$F$3002,MATCH($C1399,DESPACHOS!$B$3:$B$3002,0)),""))</f>
        <v/>
      </c>
      <c r="H1399" s="42">
        <f>IF($C1399="","",IFERROR(INDEX(DESPACHOS!$G$3:$G$3002,MATCH($C1399,DESPACHOS!$B$3:$B$3002,0)),""))</f>
        <v/>
      </c>
      <c r="I1399" s="39">
        <f>IF($C1399="","",IFERROR(INDEX(DESPACHOS!$H$3:$H$3002,MATCH($C1399,DESPACHOS!$B$3:$B$3002,0)),""))</f>
        <v/>
      </c>
      <c r="J1399" s="43">
        <f>IF($C1399="","",IFERROR(INDEX(DESPACHOS!$J$3:$J$3002,MATCH($C1399,DESPACHOS!$B$3:$B$3002,0)),""))</f>
        <v/>
      </c>
      <c r="K1399" s="39">
        <f>IF($C1399="","",IF(COUNTIFS(DESPACHOS!$B$3:$B$3002,$C1399)=0,"NO EXISTE",IF(COUNTIFS(DESPACHOS!$B$3:$B$3002,$C1399)&gt;1,"DUPLICADO","OK")))</f>
        <v/>
      </c>
      <c r="L1399" s="41" t="n"/>
      <c r="M1399" s="41" t="n"/>
      <c r="N1399" s="42">
        <f>IF($M1399="","",IFERROR(INDEX(LISTAS!$F$3:$F$42,MATCH($M1399,LISTAS!$E$3:$E$42,0)),"Por definir"))</f>
        <v/>
      </c>
      <c r="O1399" s="41" t="n"/>
      <c r="P1399" s="39">
        <f>IF($L1399="","",IFERROR(INDEX(LISTAS!$B$3:$B$42,MATCH($L1399,LISTAS!$A$3:$A$42,0)),"Media"))</f>
        <v/>
      </c>
      <c r="Q1399" s="44" t="n"/>
      <c r="R1399" s="45" t="n"/>
      <c r="S1399" s="20">
        <f>IFERROR(IF(OR($R1399="",$C1399=""),"",$R1399/INDEX(DESPACHOS!$M$3:$M$3002,MATCH($C1399,DESPACHOS!$B$3:$B$3002,0))),"")</f>
        <v/>
      </c>
      <c r="T1399" s="41" t="n"/>
      <c r="U1399" s="43">
        <f>IF(OR($B1399="",$L1399=""),"",WORKDAY($B1399,IFERROR(INDEX(LISTAS!$C$3:$C$42,MATCH($L1399,LISTAS!$A$3:$A$42,0)),3)))</f>
        <v/>
      </c>
      <c r="V1399" s="40" t="n"/>
      <c r="W1399" s="19">
        <f>IF($B1399="","",IF($V1399&lt;&gt;"",$V1399-$B1399,TODAY()-$B1399))</f>
        <v/>
      </c>
      <c r="X1399" s="19">
        <f>IF(OR($B1399="",$U1399=""),"",IF($V1399&lt;&gt;"",MAX(0,$V1399-$U1399),MAX(0,TODAY()-$U1399)))</f>
        <v/>
      </c>
      <c r="Y1399" s="39">
        <f>IF($C1399="","",IF(IFERROR(INDEX(LISTAS!$I$3:$I$42,MATCH($T1399,LISTAS!$H$3:$H$42,0)),"NO")="SÍ",IF(N($X1399)&gt;0,"CERRADA FUERA DE SLA","CERRADA EN SLA"),IF($U1399="","SIN CLASIFICAR",IF(N($X1399)&gt;0,"VENCIDA",IF(TODAY()&gt;=$U1399-1,"POR VENCER","EN PLAZO")))))</f>
        <v/>
      </c>
      <c r="Z1399" s="41" t="n"/>
      <c r="AA1399" s="41" t="n"/>
      <c r="AB1399" s="41" t="n"/>
    </row>
    <row r="1400">
      <c r="A1400" s="39">
        <f>IF($C1400="","","NOV-"&amp;TEXT(ROW()-3,"0000"))</f>
        <v/>
      </c>
      <c r="B1400" s="40" t="n"/>
      <c r="C1400" s="41" t="n"/>
      <c r="D1400" s="42">
        <f>IF($C1400="","",IFERROR(INDEX(DESPACHOS!$D$3:$D$3002,MATCH($C1400,DESPACHOS!$B$3:$B$3002,0)),"SIN DESPACHO"))</f>
        <v/>
      </c>
      <c r="E1400" s="42">
        <f>IF($C1400="","",IFERROR(INDEX(DESPACHOS!$K$3:$K$3002,MATCH($C1400,DESPACHOS!$B$3:$B$3002,0)),""))</f>
        <v/>
      </c>
      <c r="F1400" s="42">
        <f>IF($C1400="","",IFERROR(INDEX(DESPACHOS!$I$3:$I$3002,MATCH($C1400,DESPACHOS!$B$3:$B$3002,0)),""))</f>
        <v/>
      </c>
      <c r="G1400" s="42">
        <f>IF($C1400="","",IFERROR(INDEX(DESPACHOS!$F$3:$F$3002,MATCH($C1400,DESPACHOS!$B$3:$B$3002,0)),""))</f>
        <v/>
      </c>
      <c r="H1400" s="42">
        <f>IF($C1400="","",IFERROR(INDEX(DESPACHOS!$G$3:$G$3002,MATCH($C1400,DESPACHOS!$B$3:$B$3002,0)),""))</f>
        <v/>
      </c>
      <c r="I1400" s="39">
        <f>IF($C1400="","",IFERROR(INDEX(DESPACHOS!$H$3:$H$3002,MATCH($C1400,DESPACHOS!$B$3:$B$3002,0)),""))</f>
        <v/>
      </c>
      <c r="J1400" s="43">
        <f>IF($C1400="","",IFERROR(INDEX(DESPACHOS!$J$3:$J$3002,MATCH($C1400,DESPACHOS!$B$3:$B$3002,0)),""))</f>
        <v/>
      </c>
      <c r="K1400" s="39">
        <f>IF($C1400="","",IF(COUNTIFS(DESPACHOS!$B$3:$B$3002,$C1400)=0,"NO EXISTE",IF(COUNTIFS(DESPACHOS!$B$3:$B$3002,$C1400)&gt;1,"DUPLICADO","OK")))</f>
        <v/>
      </c>
      <c r="L1400" s="41" t="n"/>
      <c r="M1400" s="41" t="n"/>
      <c r="N1400" s="42">
        <f>IF($M1400="","",IFERROR(INDEX(LISTAS!$F$3:$F$42,MATCH($M1400,LISTAS!$E$3:$E$42,0)),"Por definir"))</f>
        <v/>
      </c>
      <c r="O1400" s="41" t="n"/>
      <c r="P1400" s="39">
        <f>IF($L1400="","",IFERROR(INDEX(LISTAS!$B$3:$B$42,MATCH($L1400,LISTAS!$A$3:$A$42,0)),"Media"))</f>
        <v/>
      </c>
      <c r="Q1400" s="44" t="n"/>
      <c r="R1400" s="45" t="n"/>
      <c r="S1400" s="20">
        <f>IFERROR(IF(OR($R1400="",$C1400=""),"",$R1400/INDEX(DESPACHOS!$M$3:$M$3002,MATCH($C1400,DESPACHOS!$B$3:$B$3002,0))),"")</f>
        <v/>
      </c>
      <c r="T1400" s="41" t="n"/>
      <c r="U1400" s="43">
        <f>IF(OR($B1400="",$L1400=""),"",WORKDAY($B1400,IFERROR(INDEX(LISTAS!$C$3:$C$42,MATCH($L1400,LISTAS!$A$3:$A$42,0)),3)))</f>
        <v/>
      </c>
      <c r="V1400" s="40" t="n"/>
      <c r="W1400" s="19">
        <f>IF($B1400="","",IF($V1400&lt;&gt;"",$V1400-$B1400,TODAY()-$B1400))</f>
        <v/>
      </c>
      <c r="X1400" s="19">
        <f>IF(OR($B1400="",$U1400=""),"",IF($V1400&lt;&gt;"",MAX(0,$V1400-$U1400),MAX(0,TODAY()-$U1400)))</f>
        <v/>
      </c>
      <c r="Y1400" s="39">
        <f>IF($C1400="","",IF(IFERROR(INDEX(LISTAS!$I$3:$I$42,MATCH($T1400,LISTAS!$H$3:$H$42,0)),"NO")="SÍ",IF(N($X1400)&gt;0,"CERRADA FUERA DE SLA","CERRADA EN SLA"),IF($U1400="","SIN CLASIFICAR",IF(N($X1400)&gt;0,"VENCIDA",IF(TODAY()&gt;=$U1400-1,"POR VENCER","EN PLAZO")))))</f>
        <v/>
      </c>
      <c r="Z1400" s="41" t="n"/>
      <c r="AA1400" s="41" t="n"/>
      <c r="AB1400" s="41" t="n"/>
    </row>
    <row r="1401">
      <c r="A1401" s="39">
        <f>IF($C1401="","","NOV-"&amp;TEXT(ROW()-3,"0000"))</f>
        <v/>
      </c>
      <c r="B1401" s="40" t="n"/>
      <c r="C1401" s="41" t="n"/>
      <c r="D1401" s="42">
        <f>IF($C1401="","",IFERROR(INDEX(DESPACHOS!$D$3:$D$3002,MATCH($C1401,DESPACHOS!$B$3:$B$3002,0)),"SIN DESPACHO"))</f>
        <v/>
      </c>
      <c r="E1401" s="42">
        <f>IF($C1401="","",IFERROR(INDEX(DESPACHOS!$K$3:$K$3002,MATCH($C1401,DESPACHOS!$B$3:$B$3002,0)),""))</f>
        <v/>
      </c>
      <c r="F1401" s="42">
        <f>IF($C1401="","",IFERROR(INDEX(DESPACHOS!$I$3:$I$3002,MATCH($C1401,DESPACHOS!$B$3:$B$3002,0)),""))</f>
        <v/>
      </c>
      <c r="G1401" s="42">
        <f>IF($C1401="","",IFERROR(INDEX(DESPACHOS!$F$3:$F$3002,MATCH($C1401,DESPACHOS!$B$3:$B$3002,0)),""))</f>
        <v/>
      </c>
      <c r="H1401" s="42">
        <f>IF($C1401="","",IFERROR(INDEX(DESPACHOS!$G$3:$G$3002,MATCH($C1401,DESPACHOS!$B$3:$B$3002,0)),""))</f>
        <v/>
      </c>
      <c r="I1401" s="39">
        <f>IF($C1401="","",IFERROR(INDEX(DESPACHOS!$H$3:$H$3002,MATCH($C1401,DESPACHOS!$B$3:$B$3002,0)),""))</f>
        <v/>
      </c>
      <c r="J1401" s="43">
        <f>IF($C1401="","",IFERROR(INDEX(DESPACHOS!$J$3:$J$3002,MATCH($C1401,DESPACHOS!$B$3:$B$3002,0)),""))</f>
        <v/>
      </c>
      <c r="K1401" s="39">
        <f>IF($C1401="","",IF(COUNTIFS(DESPACHOS!$B$3:$B$3002,$C1401)=0,"NO EXISTE",IF(COUNTIFS(DESPACHOS!$B$3:$B$3002,$C1401)&gt;1,"DUPLICADO","OK")))</f>
        <v/>
      </c>
      <c r="L1401" s="41" t="n"/>
      <c r="M1401" s="41" t="n"/>
      <c r="N1401" s="42">
        <f>IF($M1401="","",IFERROR(INDEX(LISTAS!$F$3:$F$42,MATCH($M1401,LISTAS!$E$3:$E$42,0)),"Por definir"))</f>
        <v/>
      </c>
      <c r="O1401" s="41" t="n"/>
      <c r="P1401" s="39">
        <f>IF($L1401="","",IFERROR(INDEX(LISTAS!$B$3:$B$42,MATCH($L1401,LISTAS!$A$3:$A$42,0)),"Media"))</f>
        <v/>
      </c>
      <c r="Q1401" s="44" t="n"/>
      <c r="R1401" s="45" t="n"/>
      <c r="S1401" s="20">
        <f>IFERROR(IF(OR($R1401="",$C1401=""),"",$R1401/INDEX(DESPACHOS!$M$3:$M$3002,MATCH($C1401,DESPACHOS!$B$3:$B$3002,0))),"")</f>
        <v/>
      </c>
      <c r="T1401" s="41" t="n"/>
      <c r="U1401" s="43">
        <f>IF(OR($B1401="",$L1401=""),"",WORKDAY($B1401,IFERROR(INDEX(LISTAS!$C$3:$C$42,MATCH($L1401,LISTAS!$A$3:$A$42,0)),3)))</f>
        <v/>
      </c>
      <c r="V1401" s="40" t="n"/>
      <c r="W1401" s="19">
        <f>IF($B1401="","",IF($V1401&lt;&gt;"",$V1401-$B1401,TODAY()-$B1401))</f>
        <v/>
      </c>
      <c r="X1401" s="19">
        <f>IF(OR($B1401="",$U1401=""),"",IF($V1401&lt;&gt;"",MAX(0,$V1401-$U1401),MAX(0,TODAY()-$U1401)))</f>
        <v/>
      </c>
      <c r="Y1401" s="39">
        <f>IF($C1401="","",IF(IFERROR(INDEX(LISTAS!$I$3:$I$42,MATCH($T1401,LISTAS!$H$3:$H$42,0)),"NO")="SÍ",IF(N($X1401)&gt;0,"CERRADA FUERA DE SLA","CERRADA EN SLA"),IF($U1401="","SIN CLASIFICAR",IF(N($X1401)&gt;0,"VENCIDA",IF(TODAY()&gt;=$U1401-1,"POR VENCER","EN PLAZO")))))</f>
        <v/>
      </c>
      <c r="Z1401" s="41" t="n"/>
      <c r="AA1401" s="41" t="n"/>
      <c r="AB1401" s="41" t="n"/>
    </row>
    <row r="1402">
      <c r="A1402" s="39">
        <f>IF($C1402="","","NOV-"&amp;TEXT(ROW()-3,"0000"))</f>
        <v/>
      </c>
      <c r="B1402" s="40" t="n"/>
      <c r="C1402" s="41" t="n"/>
      <c r="D1402" s="42">
        <f>IF($C1402="","",IFERROR(INDEX(DESPACHOS!$D$3:$D$3002,MATCH($C1402,DESPACHOS!$B$3:$B$3002,0)),"SIN DESPACHO"))</f>
        <v/>
      </c>
      <c r="E1402" s="42">
        <f>IF($C1402="","",IFERROR(INDEX(DESPACHOS!$K$3:$K$3002,MATCH($C1402,DESPACHOS!$B$3:$B$3002,0)),""))</f>
        <v/>
      </c>
      <c r="F1402" s="42">
        <f>IF($C1402="","",IFERROR(INDEX(DESPACHOS!$I$3:$I$3002,MATCH($C1402,DESPACHOS!$B$3:$B$3002,0)),""))</f>
        <v/>
      </c>
      <c r="G1402" s="42">
        <f>IF($C1402="","",IFERROR(INDEX(DESPACHOS!$F$3:$F$3002,MATCH($C1402,DESPACHOS!$B$3:$B$3002,0)),""))</f>
        <v/>
      </c>
      <c r="H1402" s="42">
        <f>IF($C1402="","",IFERROR(INDEX(DESPACHOS!$G$3:$G$3002,MATCH($C1402,DESPACHOS!$B$3:$B$3002,0)),""))</f>
        <v/>
      </c>
      <c r="I1402" s="39">
        <f>IF($C1402="","",IFERROR(INDEX(DESPACHOS!$H$3:$H$3002,MATCH($C1402,DESPACHOS!$B$3:$B$3002,0)),""))</f>
        <v/>
      </c>
      <c r="J1402" s="43">
        <f>IF($C1402="","",IFERROR(INDEX(DESPACHOS!$J$3:$J$3002,MATCH($C1402,DESPACHOS!$B$3:$B$3002,0)),""))</f>
        <v/>
      </c>
      <c r="K1402" s="39">
        <f>IF($C1402="","",IF(COUNTIFS(DESPACHOS!$B$3:$B$3002,$C1402)=0,"NO EXISTE",IF(COUNTIFS(DESPACHOS!$B$3:$B$3002,$C1402)&gt;1,"DUPLICADO","OK")))</f>
        <v/>
      </c>
      <c r="L1402" s="41" t="n"/>
      <c r="M1402" s="41" t="n"/>
      <c r="N1402" s="42">
        <f>IF($M1402="","",IFERROR(INDEX(LISTAS!$F$3:$F$42,MATCH($M1402,LISTAS!$E$3:$E$42,0)),"Por definir"))</f>
        <v/>
      </c>
      <c r="O1402" s="41" t="n"/>
      <c r="P1402" s="39">
        <f>IF($L1402="","",IFERROR(INDEX(LISTAS!$B$3:$B$42,MATCH($L1402,LISTAS!$A$3:$A$42,0)),"Media"))</f>
        <v/>
      </c>
      <c r="Q1402" s="44" t="n"/>
      <c r="R1402" s="45" t="n"/>
      <c r="S1402" s="20">
        <f>IFERROR(IF(OR($R1402="",$C1402=""),"",$R1402/INDEX(DESPACHOS!$M$3:$M$3002,MATCH($C1402,DESPACHOS!$B$3:$B$3002,0))),"")</f>
        <v/>
      </c>
      <c r="T1402" s="41" t="n"/>
      <c r="U1402" s="43">
        <f>IF(OR($B1402="",$L1402=""),"",WORKDAY($B1402,IFERROR(INDEX(LISTAS!$C$3:$C$42,MATCH($L1402,LISTAS!$A$3:$A$42,0)),3)))</f>
        <v/>
      </c>
      <c r="V1402" s="40" t="n"/>
      <c r="W1402" s="19">
        <f>IF($B1402="","",IF($V1402&lt;&gt;"",$V1402-$B1402,TODAY()-$B1402))</f>
        <v/>
      </c>
      <c r="X1402" s="19">
        <f>IF(OR($B1402="",$U1402=""),"",IF($V1402&lt;&gt;"",MAX(0,$V1402-$U1402),MAX(0,TODAY()-$U1402)))</f>
        <v/>
      </c>
      <c r="Y1402" s="39">
        <f>IF($C1402="","",IF(IFERROR(INDEX(LISTAS!$I$3:$I$42,MATCH($T1402,LISTAS!$H$3:$H$42,0)),"NO")="SÍ",IF(N($X1402)&gt;0,"CERRADA FUERA DE SLA","CERRADA EN SLA"),IF($U1402="","SIN CLASIFICAR",IF(N($X1402)&gt;0,"VENCIDA",IF(TODAY()&gt;=$U1402-1,"POR VENCER","EN PLAZO")))))</f>
        <v/>
      </c>
      <c r="Z1402" s="41" t="n"/>
      <c r="AA1402" s="41" t="n"/>
      <c r="AB1402" s="41" t="n"/>
    </row>
    <row r="1403">
      <c r="A1403" s="39">
        <f>IF($C1403="","","NOV-"&amp;TEXT(ROW()-3,"0000"))</f>
        <v/>
      </c>
      <c r="B1403" s="40" t="n"/>
      <c r="C1403" s="41" t="n"/>
      <c r="D1403" s="42">
        <f>IF($C1403="","",IFERROR(INDEX(DESPACHOS!$D$3:$D$3002,MATCH($C1403,DESPACHOS!$B$3:$B$3002,0)),"SIN DESPACHO"))</f>
        <v/>
      </c>
      <c r="E1403" s="42">
        <f>IF($C1403="","",IFERROR(INDEX(DESPACHOS!$K$3:$K$3002,MATCH($C1403,DESPACHOS!$B$3:$B$3002,0)),""))</f>
        <v/>
      </c>
      <c r="F1403" s="42">
        <f>IF($C1403="","",IFERROR(INDEX(DESPACHOS!$I$3:$I$3002,MATCH($C1403,DESPACHOS!$B$3:$B$3002,0)),""))</f>
        <v/>
      </c>
      <c r="G1403" s="42">
        <f>IF($C1403="","",IFERROR(INDEX(DESPACHOS!$F$3:$F$3002,MATCH($C1403,DESPACHOS!$B$3:$B$3002,0)),""))</f>
        <v/>
      </c>
      <c r="H1403" s="42">
        <f>IF($C1403="","",IFERROR(INDEX(DESPACHOS!$G$3:$G$3002,MATCH($C1403,DESPACHOS!$B$3:$B$3002,0)),""))</f>
        <v/>
      </c>
      <c r="I1403" s="39">
        <f>IF($C1403="","",IFERROR(INDEX(DESPACHOS!$H$3:$H$3002,MATCH($C1403,DESPACHOS!$B$3:$B$3002,0)),""))</f>
        <v/>
      </c>
      <c r="J1403" s="43">
        <f>IF($C1403="","",IFERROR(INDEX(DESPACHOS!$J$3:$J$3002,MATCH($C1403,DESPACHOS!$B$3:$B$3002,0)),""))</f>
        <v/>
      </c>
      <c r="K1403" s="39">
        <f>IF($C1403="","",IF(COUNTIFS(DESPACHOS!$B$3:$B$3002,$C1403)=0,"NO EXISTE",IF(COUNTIFS(DESPACHOS!$B$3:$B$3002,$C1403)&gt;1,"DUPLICADO","OK")))</f>
        <v/>
      </c>
      <c r="L1403" s="41" t="n"/>
      <c r="M1403" s="41" t="n"/>
      <c r="N1403" s="42">
        <f>IF($M1403="","",IFERROR(INDEX(LISTAS!$F$3:$F$42,MATCH($M1403,LISTAS!$E$3:$E$42,0)),"Por definir"))</f>
        <v/>
      </c>
      <c r="O1403" s="41" t="n"/>
      <c r="P1403" s="39">
        <f>IF($L1403="","",IFERROR(INDEX(LISTAS!$B$3:$B$42,MATCH($L1403,LISTAS!$A$3:$A$42,0)),"Media"))</f>
        <v/>
      </c>
      <c r="Q1403" s="44" t="n"/>
      <c r="R1403" s="45" t="n"/>
      <c r="S1403" s="20">
        <f>IFERROR(IF(OR($R1403="",$C1403=""),"",$R1403/INDEX(DESPACHOS!$M$3:$M$3002,MATCH($C1403,DESPACHOS!$B$3:$B$3002,0))),"")</f>
        <v/>
      </c>
      <c r="T1403" s="41" t="n"/>
      <c r="U1403" s="43">
        <f>IF(OR($B1403="",$L1403=""),"",WORKDAY($B1403,IFERROR(INDEX(LISTAS!$C$3:$C$42,MATCH($L1403,LISTAS!$A$3:$A$42,0)),3)))</f>
        <v/>
      </c>
      <c r="V1403" s="40" t="n"/>
      <c r="W1403" s="19">
        <f>IF($B1403="","",IF($V1403&lt;&gt;"",$V1403-$B1403,TODAY()-$B1403))</f>
        <v/>
      </c>
      <c r="X1403" s="19">
        <f>IF(OR($B1403="",$U1403=""),"",IF($V1403&lt;&gt;"",MAX(0,$V1403-$U1403),MAX(0,TODAY()-$U1403)))</f>
        <v/>
      </c>
      <c r="Y1403" s="39">
        <f>IF($C1403="","",IF(IFERROR(INDEX(LISTAS!$I$3:$I$42,MATCH($T1403,LISTAS!$H$3:$H$42,0)),"NO")="SÍ",IF(N($X1403)&gt;0,"CERRADA FUERA DE SLA","CERRADA EN SLA"),IF($U1403="","SIN CLASIFICAR",IF(N($X1403)&gt;0,"VENCIDA",IF(TODAY()&gt;=$U1403-1,"POR VENCER","EN PLAZO")))))</f>
        <v/>
      </c>
      <c r="Z1403" s="41" t="n"/>
      <c r="AA1403" s="41" t="n"/>
      <c r="AB1403" s="41" t="n"/>
    </row>
    <row r="1404">
      <c r="A1404" s="39">
        <f>IF($C1404="","","NOV-"&amp;TEXT(ROW()-3,"0000"))</f>
        <v/>
      </c>
      <c r="B1404" s="40" t="n"/>
      <c r="C1404" s="41" t="n"/>
      <c r="D1404" s="42">
        <f>IF($C1404="","",IFERROR(INDEX(DESPACHOS!$D$3:$D$3002,MATCH($C1404,DESPACHOS!$B$3:$B$3002,0)),"SIN DESPACHO"))</f>
        <v/>
      </c>
      <c r="E1404" s="42">
        <f>IF($C1404="","",IFERROR(INDEX(DESPACHOS!$K$3:$K$3002,MATCH($C1404,DESPACHOS!$B$3:$B$3002,0)),""))</f>
        <v/>
      </c>
      <c r="F1404" s="42">
        <f>IF($C1404="","",IFERROR(INDEX(DESPACHOS!$I$3:$I$3002,MATCH($C1404,DESPACHOS!$B$3:$B$3002,0)),""))</f>
        <v/>
      </c>
      <c r="G1404" s="42">
        <f>IF($C1404="","",IFERROR(INDEX(DESPACHOS!$F$3:$F$3002,MATCH($C1404,DESPACHOS!$B$3:$B$3002,0)),""))</f>
        <v/>
      </c>
      <c r="H1404" s="42">
        <f>IF($C1404="","",IFERROR(INDEX(DESPACHOS!$G$3:$G$3002,MATCH($C1404,DESPACHOS!$B$3:$B$3002,0)),""))</f>
        <v/>
      </c>
      <c r="I1404" s="39">
        <f>IF($C1404="","",IFERROR(INDEX(DESPACHOS!$H$3:$H$3002,MATCH($C1404,DESPACHOS!$B$3:$B$3002,0)),""))</f>
        <v/>
      </c>
      <c r="J1404" s="43">
        <f>IF($C1404="","",IFERROR(INDEX(DESPACHOS!$J$3:$J$3002,MATCH($C1404,DESPACHOS!$B$3:$B$3002,0)),""))</f>
        <v/>
      </c>
      <c r="K1404" s="39">
        <f>IF($C1404="","",IF(COUNTIFS(DESPACHOS!$B$3:$B$3002,$C1404)=0,"NO EXISTE",IF(COUNTIFS(DESPACHOS!$B$3:$B$3002,$C1404)&gt;1,"DUPLICADO","OK")))</f>
        <v/>
      </c>
      <c r="L1404" s="41" t="n"/>
      <c r="M1404" s="41" t="n"/>
      <c r="N1404" s="42">
        <f>IF($M1404="","",IFERROR(INDEX(LISTAS!$F$3:$F$42,MATCH($M1404,LISTAS!$E$3:$E$42,0)),"Por definir"))</f>
        <v/>
      </c>
      <c r="O1404" s="41" t="n"/>
      <c r="P1404" s="39">
        <f>IF($L1404="","",IFERROR(INDEX(LISTAS!$B$3:$B$42,MATCH($L1404,LISTAS!$A$3:$A$42,0)),"Media"))</f>
        <v/>
      </c>
      <c r="Q1404" s="44" t="n"/>
      <c r="R1404" s="45" t="n"/>
      <c r="S1404" s="20">
        <f>IFERROR(IF(OR($R1404="",$C1404=""),"",$R1404/INDEX(DESPACHOS!$M$3:$M$3002,MATCH($C1404,DESPACHOS!$B$3:$B$3002,0))),"")</f>
        <v/>
      </c>
      <c r="T1404" s="41" t="n"/>
      <c r="U1404" s="43">
        <f>IF(OR($B1404="",$L1404=""),"",WORKDAY($B1404,IFERROR(INDEX(LISTAS!$C$3:$C$42,MATCH($L1404,LISTAS!$A$3:$A$42,0)),3)))</f>
        <v/>
      </c>
      <c r="V1404" s="40" t="n"/>
      <c r="W1404" s="19">
        <f>IF($B1404="","",IF($V1404&lt;&gt;"",$V1404-$B1404,TODAY()-$B1404))</f>
        <v/>
      </c>
      <c r="X1404" s="19">
        <f>IF(OR($B1404="",$U1404=""),"",IF($V1404&lt;&gt;"",MAX(0,$V1404-$U1404),MAX(0,TODAY()-$U1404)))</f>
        <v/>
      </c>
      <c r="Y1404" s="39">
        <f>IF($C1404="","",IF(IFERROR(INDEX(LISTAS!$I$3:$I$42,MATCH($T1404,LISTAS!$H$3:$H$42,0)),"NO")="SÍ",IF(N($X1404)&gt;0,"CERRADA FUERA DE SLA","CERRADA EN SLA"),IF($U1404="","SIN CLASIFICAR",IF(N($X1404)&gt;0,"VENCIDA",IF(TODAY()&gt;=$U1404-1,"POR VENCER","EN PLAZO")))))</f>
        <v/>
      </c>
      <c r="Z1404" s="41" t="n"/>
      <c r="AA1404" s="41" t="n"/>
      <c r="AB1404" s="41" t="n"/>
    </row>
    <row r="1405">
      <c r="A1405" s="39">
        <f>IF($C1405="","","NOV-"&amp;TEXT(ROW()-3,"0000"))</f>
        <v/>
      </c>
      <c r="B1405" s="40" t="n"/>
      <c r="C1405" s="41" t="n"/>
      <c r="D1405" s="42">
        <f>IF($C1405="","",IFERROR(INDEX(DESPACHOS!$D$3:$D$3002,MATCH($C1405,DESPACHOS!$B$3:$B$3002,0)),"SIN DESPACHO"))</f>
        <v/>
      </c>
      <c r="E1405" s="42">
        <f>IF($C1405="","",IFERROR(INDEX(DESPACHOS!$K$3:$K$3002,MATCH($C1405,DESPACHOS!$B$3:$B$3002,0)),""))</f>
        <v/>
      </c>
      <c r="F1405" s="42">
        <f>IF($C1405="","",IFERROR(INDEX(DESPACHOS!$I$3:$I$3002,MATCH($C1405,DESPACHOS!$B$3:$B$3002,0)),""))</f>
        <v/>
      </c>
      <c r="G1405" s="42">
        <f>IF($C1405="","",IFERROR(INDEX(DESPACHOS!$F$3:$F$3002,MATCH($C1405,DESPACHOS!$B$3:$B$3002,0)),""))</f>
        <v/>
      </c>
      <c r="H1405" s="42">
        <f>IF($C1405="","",IFERROR(INDEX(DESPACHOS!$G$3:$G$3002,MATCH($C1405,DESPACHOS!$B$3:$B$3002,0)),""))</f>
        <v/>
      </c>
      <c r="I1405" s="39">
        <f>IF($C1405="","",IFERROR(INDEX(DESPACHOS!$H$3:$H$3002,MATCH($C1405,DESPACHOS!$B$3:$B$3002,0)),""))</f>
        <v/>
      </c>
      <c r="J1405" s="43">
        <f>IF($C1405="","",IFERROR(INDEX(DESPACHOS!$J$3:$J$3002,MATCH($C1405,DESPACHOS!$B$3:$B$3002,0)),""))</f>
        <v/>
      </c>
      <c r="K1405" s="39">
        <f>IF($C1405="","",IF(COUNTIFS(DESPACHOS!$B$3:$B$3002,$C1405)=0,"NO EXISTE",IF(COUNTIFS(DESPACHOS!$B$3:$B$3002,$C1405)&gt;1,"DUPLICADO","OK")))</f>
        <v/>
      </c>
      <c r="L1405" s="41" t="n"/>
      <c r="M1405" s="41" t="n"/>
      <c r="N1405" s="42">
        <f>IF($M1405="","",IFERROR(INDEX(LISTAS!$F$3:$F$42,MATCH($M1405,LISTAS!$E$3:$E$42,0)),"Por definir"))</f>
        <v/>
      </c>
      <c r="O1405" s="41" t="n"/>
      <c r="P1405" s="39">
        <f>IF($L1405="","",IFERROR(INDEX(LISTAS!$B$3:$B$42,MATCH($L1405,LISTAS!$A$3:$A$42,0)),"Media"))</f>
        <v/>
      </c>
      <c r="Q1405" s="44" t="n"/>
      <c r="R1405" s="45" t="n"/>
      <c r="S1405" s="20">
        <f>IFERROR(IF(OR($R1405="",$C1405=""),"",$R1405/INDEX(DESPACHOS!$M$3:$M$3002,MATCH($C1405,DESPACHOS!$B$3:$B$3002,0))),"")</f>
        <v/>
      </c>
      <c r="T1405" s="41" t="n"/>
      <c r="U1405" s="43">
        <f>IF(OR($B1405="",$L1405=""),"",WORKDAY($B1405,IFERROR(INDEX(LISTAS!$C$3:$C$42,MATCH($L1405,LISTAS!$A$3:$A$42,0)),3)))</f>
        <v/>
      </c>
      <c r="V1405" s="40" t="n"/>
      <c r="W1405" s="19">
        <f>IF($B1405="","",IF($V1405&lt;&gt;"",$V1405-$B1405,TODAY()-$B1405))</f>
        <v/>
      </c>
      <c r="X1405" s="19">
        <f>IF(OR($B1405="",$U1405=""),"",IF($V1405&lt;&gt;"",MAX(0,$V1405-$U1405),MAX(0,TODAY()-$U1405)))</f>
        <v/>
      </c>
      <c r="Y1405" s="39">
        <f>IF($C1405="","",IF(IFERROR(INDEX(LISTAS!$I$3:$I$42,MATCH($T1405,LISTAS!$H$3:$H$42,0)),"NO")="SÍ",IF(N($X1405)&gt;0,"CERRADA FUERA DE SLA","CERRADA EN SLA"),IF($U1405="","SIN CLASIFICAR",IF(N($X1405)&gt;0,"VENCIDA",IF(TODAY()&gt;=$U1405-1,"POR VENCER","EN PLAZO")))))</f>
        <v/>
      </c>
      <c r="Z1405" s="41" t="n"/>
      <c r="AA1405" s="41" t="n"/>
      <c r="AB1405" s="41" t="n"/>
    </row>
    <row r="1406">
      <c r="A1406" s="39">
        <f>IF($C1406="","","NOV-"&amp;TEXT(ROW()-3,"0000"))</f>
        <v/>
      </c>
      <c r="B1406" s="40" t="n"/>
      <c r="C1406" s="41" t="n"/>
      <c r="D1406" s="42">
        <f>IF($C1406="","",IFERROR(INDEX(DESPACHOS!$D$3:$D$3002,MATCH($C1406,DESPACHOS!$B$3:$B$3002,0)),"SIN DESPACHO"))</f>
        <v/>
      </c>
      <c r="E1406" s="42">
        <f>IF($C1406="","",IFERROR(INDEX(DESPACHOS!$K$3:$K$3002,MATCH($C1406,DESPACHOS!$B$3:$B$3002,0)),""))</f>
        <v/>
      </c>
      <c r="F1406" s="42">
        <f>IF($C1406="","",IFERROR(INDEX(DESPACHOS!$I$3:$I$3002,MATCH($C1406,DESPACHOS!$B$3:$B$3002,0)),""))</f>
        <v/>
      </c>
      <c r="G1406" s="42">
        <f>IF($C1406="","",IFERROR(INDEX(DESPACHOS!$F$3:$F$3002,MATCH($C1406,DESPACHOS!$B$3:$B$3002,0)),""))</f>
        <v/>
      </c>
      <c r="H1406" s="42">
        <f>IF($C1406="","",IFERROR(INDEX(DESPACHOS!$G$3:$G$3002,MATCH($C1406,DESPACHOS!$B$3:$B$3002,0)),""))</f>
        <v/>
      </c>
      <c r="I1406" s="39">
        <f>IF($C1406="","",IFERROR(INDEX(DESPACHOS!$H$3:$H$3002,MATCH($C1406,DESPACHOS!$B$3:$B$3002,0)),""))</f>
        <v/>
      </c>
      <c r="J1406" s="43">
        <f>IF($C1406="","",IFERROR(INDEX(DESPACHOS!$J$3:$J$3002,MATCH($C1406,DESPACHOS!$B$3:$B$3002,0)),""))</f>
        <v/>
      </c>
      <c r="K1406" s="39">
        <f>IF($C1406="","",IF(COUNTIFS(DESPACHOS!$B$3:$B$3002,$C1406)=0,"NO EXISTE",IF(COUNTIFS(DESPACHOS!$B$3:$B$3002,$C1406)&gt;1,"DUPLICADO","OK")))</f>
        <v/>
      </c>
      <c r="L1406" s="41" t="n"/>
      <c r="M1406" s="41" t="n"/>
      <c r="N1406" s="42">
        <f>IF($M1406="","",IFERROR(INDEX(LISTAS!$F$3:$F$42,MATCH($M1406,LISTAS!$E$3:$E$42,0)),"Por definir"))</f>
        <v/>
      </c>
      <c r="O1406" s="41" t="n"/>
      <c r="P1406" s="39">
        <f>IF($L1406="","",IFERROR(INDEX(LISTAS!$B$3:$B$42,MATCH($L1406,LISTAS!$A$3:$A$42,0)),"Media"))</f>
        <v/>
      </c>
      <c r="Q1406" s="44" t="n"/>
      <c r="R1406" s="45" t="n"/>
      <c r="S1406" s="20">
        <f>IFERROR(IF(OR($R1406="",$C1406=""),"",$R1406/INDEX(DESPACHOS!$M$3:$M$3002,MATCH($C1406,DESPACHOS!$B$3:$B$3002,0))),"")</f>
        <v/>
      </c>
      <c r="T1406" s="41" t="n"/>
      <c r="U1406" s="43">
        <f>IF(OR($B1406="",$L1406=""),"",WORKDAY($B1406,IFERROR(INDEX(LISTAS!$C$3:$C$42,MATCH($L1406,LISTAS!$A$3:$A$42,0)),3)))</f>
        <v/>
      </c>
      <c r="V1406" s="40" t="n"/>
      <c r="W1406" s="19">
        <f>IF($B1406="","",IF($V1406&lt;&gt;"",$V1406-$B1406,TODAY()-$B1406))</f>
        <v/>
      </c>
      <c r="X1406" s="19">
        <f>IF(OR($B1406="",$U1406=""),"",IF($V1406&lt;&gt;"",MAX(0,$V1406-$U1406),MAX(0,TODAY()-$U1406)))</f>
        <v/>
      </c>
      <c r="Y1406" s="39">
        <f>IF($C1406="","",IF(IFERROR(INDEX(LISTAS!$I$3:$I$42,MATCH($T1406,LISTAS!$H$3:$H$42,0)),"NO")="SÍ",IF(N($X1406)&gt;0,"CERRADA FUERA DE SLA","CERRADA EN SLA"),IF($U1406="","SIN CLASIFICAR",IF(N($X1406)&gt;0,"VENCIDA",IF(TODAY()&gt;=$U1406-1,"POR VENCER","EN PLAZO")))))</f>
        <v/>
      </c>
      <c r="Z1406" s="41" t="n"/>
      <c r="AA1406" s="41" t="n"/>
      <c r="AB1406" s="41" t="n"/>
    </row>
    <row r="1407">
      <c r="A1407" s="39">
        <f>IF($C1407="","","NOV-"&amp;TEXT(ROW()-3,"0000"))</f>
        <v/>
      </c>
      <c r="B1407" s="40" t="n"/>
      <c r="C1407" s="41" t="n"/>
      <c r="D1407" s="42">
        <f>IF($C1407="","",IFERROR(INDEX(DESPACHOS!$D$3:$D$3002,MATCH($C1407,DESPACHOS!$B$3:$B$3002,0)),"SIN DESPACHO"))</f>
        <v/>
      </c>
      <c r="E1407" s="42">
        <f>IF($C1407="","",IFERROR(INDEX(DESPACHOS!$K$3:$K$3002,MATCH($C1407,DESPACHOS!$B$3:$B$3002,0)),""))</f>
        <v/>
      </c>
      <c r="F1407" s="42">
        <f>IF($C1407="","",IFERROR(INDEX(DESPACHOS!$I$3:$I$3002,MATCH($C1407,DESPACHOS!$B$3:$B$3002,0)),""))</f>
        <v/>
      </c>
      <c r="G1407" s="42">
        <f>IF($C1407="","",IFERROR(INDEX(DESPACHOS!$F$3:$F$3002,MATCH($C1407,DESPACHOS!$B$3:$B$3002,0)),""))</f>
        <v/>
      </c>
      <c r="H1407" s="42">
        <f>IF($C1407="","",IFERROR(INDEX(DESPACHOS!$G$3:$G$3002,MATCH($C1407,DESPACHOS!$B$3:$B$3002,0)),""))</f>
        <v/>
      </c>
      <c r="I1407" s="39">
        <f>IF($C1407="","",IFERROR(INDEX(DESPACHOS!$H$3:$H$3002,MATCH($C1407,DESPACHOS!$B$3:$B$3002,0)),""))</f>
        <v/>
      </c>
      <c r="J1407" s="43">
        <f>IF($C1407="","",IFERROR(INDEX(DESPACHOS!$J$3:$J$3002,MATCH($C1407,DESPACHOS!$B$3:$B$3002,0)),""))</f>
        <v/>
      </c>
      <c r="K1407" s="39">
        <f>IF($C1407="","",IF(COUNTIFS(DESPACHOS!$B$3:$B$3002,$C1407)=0,"NO EXISTE",IF(COUNTIFS(DESPACHOS!$B$3:$B$3002,$C1407)&gt;1,"DUPLICADO","OK")))</f>
        <v/>
      </c>
      <c r="L1407" s="41" t="n"/>
      <c r="M1407" s="41" t="n"/>
      <c r="N1407" s="42">
        <f>IF($M1407="","",IFERROR(INDEX(LISTAS!$F$3:$F$42,MATCH($M1407,LISTAS!$E$3:$E$42,0)),"Por definir"))</f>
        <v/>
      </c>
      <c r="O1407" s="41" t="n"/>
      <c r="P1407" s="39">
        <f>IF($L1407="","",IFERROR(INDEX(LISTAS!$B$3:$B$42,MATCH($L1407,LISTAS!$A$3:$A$42,0)),"Media"))</f>
        <v/>
      </c>
      <c r="Q1407" s="44" t="n"/>
      <c r="R1407" s="45" t="n"/>
      <c r="S1407" s="20">
        <f>IFERROR(IF(OR($R1407="",$C1407=""),"",$R1407/INDEX(DESPACHOS!$M$3:$M$3002,MATCH($C1407,DESPACHOS!$B$3:$B$3002,0))),"")</f>
        <v/>
      </c>
      <c r="T1407" s="41" t="n"/>
      <c r="U1407" s="43">
        <f>IF(OR($B1407="",$L1407=""),"",WORKDAY($B1407,IFERROR(INDEX(LISTAS!$C$3:$C$42,MATCH($L1407,LISTAS!$A$3:$A$42,0)),3)))</f>
        <v/>
      </c>
      <c r="V1407" s="40" t="n"/>
      <c r="W1407" s="19">
        <f>IF($B1407="","",IF($V1407&lt;&gt;"",$V1407-$B1407,TODAY()-$B1407))</f>
        <v/>
      </c>
      <c r="X1407" s="19">
        <f>IF(OR($B1407="",$U1407=""),"",IF($V1407&lt;&gt;"",MAX(0,$V1407-$U1407),MAX(0,TODAY()-$U1407)))</f>
        <v/>
      </c>
      <c r="Y1407" s="39">
        <f>IF($C1407="","",IF(IFERROR(INDEX(LISTAS!$I$3:$I$42,MATCH($T1407,LISTAS!$H$3:$H$42,0)),"NO")="SÍ",IF(N($X1407)&gt;0,"CERRADA FUERA DE SLA","CERRADA EN SLA"),IF($U1407="","SIN CLASIFICAR",IF(N($X1407)&gt;0,"VENCIDA",IF(TODAY()&gt;=$U1407-1,"POR VENCER","EN PLAZO")))))</f>
        <v/>
      </c>
      <c r="Z1407" s="41" t="n"/>
      <c r="AA1407" s="41" t="n"/>
      <c r="AB1407" s="41" t="n"/>
    </row>
    <row r="1408">
      <c r="A1408" s="39">
        <f>IF($C1408="","","NOV-"&amp;TEXT(ROW()-3,"0000"))</f>
        <v/>
      </c>
      <c r="B1408" s="40" t="n"/>
      <c r="C1408" s="41" t="n"/>
      <c r="D1408" s="42">
        <f>IF($C1408="","",IFERROR(INDEX(DESPACHOS!$D$3:$D$3002,MATCH($C1408,DESPACHOS!$B$3:$B$3002,0)),"SIN DESPACHO"))</f>
        <v/>
      </c>
      <c r="E1408" s="42">
        <f>IF($C1408="","",IFERROR(INDEX(DESPACHOS!$K$3:$K$3002,MATCH($C1408,DESPACHOS!$B$3:$B$3002,0)),""))</f>
        <v/>
      </c>
      <c r="F1408" s="42">
        <f>IF($C1408="","",IFERROR(INDEX(DESPACHOS!$I$3:$I$3002,MATCH($C1408,DESPACHOS!$B$3:$B$3002,0)),""))</f>
        <v/>
      </c>
      <c r="G1408" s="42">
        <f>IF($C1408="","",IFERROR(INDEX(DESPACHOS!$F$3:$F$3002,MATCH($C1408,DESPACHOS!$B$3:$B$3002,0)),""))</f>
        <v/>
      </c>
      <c r="H1408" s="42">
        <f>IF($C1408="","",IFERROR(INDEX(DESPACHOS!$G$3:$G$3002,MATCH($C1408,DESPACHOS!$B$3:$B$3002,0)),""))</f>
        <v/>
      </c>
      <c r="I1408" s="39">
        <f>IF($C1408="","",IFERROR(INDEX(DESPACHOS!$H$3:$H$3002,MATCH($C1408,DESPACHOS!$B$3:$B$3002,0)),""))</f>
        <v/>
      </c>
      <c r="J1408" s="43">
        <f>IF($C1408="","",IFERROR(INDEX(DESPACHOS!$J$3:$J$3002,MATCH($C1408,DESPACHOS!$B$3:$B$3002,0)),""))</f>
        <v/>
      </c>
      <c r="K1408" s="39">
        <f>IF($C1408="","",IF(COUNTIFS(DESPACHOS!$B$3:$B$3002,$C1408)=0,"NO EXISTE",IF(COUNTIFS(DESPACHOS!$B$3:$B$3002,$C1408)&gt;1,"DUPLICADO","OK")))</f>
        <v/>
      </c>
      <c r="L1408" s="41" t="n"/>
      <c r="M1408" s="41" t="n"/>
      <c r="N1408" s="42">
        <f>IF($M1408="","",IFERROR(INDEX(LISTAS!$F$3:$F$42,MATCH($M1408,LISTAS!$E$3:$E$42,0)),"Por definir"))</f>
        <v/>
      </c>
      <c r="O1408" s="41" t="n"/>
      <c r="P1408" s="39">
        <f>IF($L1408="","",IFERROR(INDEX(LISTAS!$B$3:$B$42,MATCH($L1408,LISTAS!$A$3:$A$42,0)),"Media"))</f>
        <v/>
      </c>
      <c r="Q1408" s="44" t="n"/>
      <c r="R1408" s="45" t="n"/>
      <c r="S1408" s="20">
        <f>IFERROR(IF(OR($R1408="",$C1408=""),"",$R1408/INDEX(DESPACHOS!$M$3:$M$3002,MATCH($C1408,DESPACHOS!$B$3:$B$3002,0))),"")</f>
        <v/>
      </c>
      <c r="T1408" s="41" t="n"/>
      <c r="U1408" s="43">
        <f>IF(OR($B1408="",$L1408=""),"",WORKDAY($B1408,IFERROR(INDEX(LISTAS!$C$3:$C$42,MATCH($L1408,LISTAS!$A$3:$A$42,0)),3)))</f>
        <v/>
      </c>
      <c r="V1408" s="40" t="n"/>
      <c r="W1408" s="19">
        <f>IF($B1408="","",IF($V1408&lt;&gt;"",$V1408-$B1408,TODAY()-$B1408))</f>
        <v/>
      </c>
      <c r="X1408" s="19">
        <f>IF(OR($B1408="",$U1408=""),"",IF($V1408&lt;&gt;"",MAX(0,$V1408-$U1408),MAX(0,TODAY()-$U1408)))</f>
        <v/>
      </c>
      <c r="Y1408" s="39">
        <f>IF($C1408="","",IF(IFERROR(INDEX(LISTAS!$I$3:$I$42,MATCH($T1408,LISTAS!$H$3:$H$42,0)),"NO")="SÍ",IF(N($X1408)&gt;0,"CERRADA FUERA DE SLA","CERRADA EN SLA"),IF($U1408="","SIN CLASIFICAR",IF(N($X1408)&gt;0,"VENCIDA",IF(TODAY()&gt;=$U1408-1,"POR VENCER","EN PLAZO")))))</f>
        <v/>
      </c>
      <c r="Z1408" s="41" t="n"/>
      <c r="AA1408" s="41" t="n"/>
      <c r="AB1408" s="41" t="n"/>
    </row>
    <row r="1409">
      <c r="A1409" s="39">
        <f>IF($C1409="","","NOV-"&amp;TEXT(ROW()-3,"0000"))</f>
        <v/>
      </c>
      <c r="B1409" s="40" t="n"/>
      <c r="C1409" s="41" t="n"/>
      <c r="D1409" s="42">
        <f>IF($C1409="","",IFERROR(INDEX(DESPACHOS!$D$3:$D$3002,MATCH($C1409,DESPACHOS!$B$3:$B$3002,0)),"SIN DESPACHO"))</f>
        <v/>
      </c>
      <c r="E1409" s="42">
        <f>IF($C1409="","",IFERROR(INDEX(DESPACHOS!$K$3:$K$3002,MATCH($C1409,DESPACHOS!$B$3:$B$3002,0)),""))</f>
        <v/>
      </c>
      <c r="F1409" s="42">
        <f>IF($C1409="","",IFERROR(INDEX(DESPACHOS!$I$3:$I$3002,MATCH($C1409,DESPACHOS!$B$3:$B$3002,0)),""))</f>
        <v/>
      </c>
      <c r="G1409" s="42">
        <f>IF($C1409="","",IFERROR(INDEX(DESPACHOS!$F$3:$F$3002,MATCH($C1409,DESPACHOS!$B$3:$B$3002,0)),""))</f>
        <v/>
      </c>
      <c r="H1409" s="42">
        <f>IF($C1409="","",IFERROR(INDEX(DESPACHOS!$G$3:$G$3002,MATCH($C1409,DESPACHOS!$B$3:$B$3002,0)),""))</f>
        <v/>
      </c>
      <c r="I1409" s="39">
        <f>IF($C1409="","",IFERROR(INDEX(DESPACHOS!$H$3:$H$3002,MATCH($C1409,DESPACHOS!$B$3:$B$3002,0)),""))</f>
        <v/>
      </c>
      <c r="J1409" s="43">
        <f>IF($C1409="","",IFERROR(INDEX(DESPACHOS!$J$3:$J$3002,MATCH($C1409,DESPACHOS!$B$3:$B$3002,0)),""))</f>
        <v/>
      </c>
      <c r="K1409" s="39">
        <f>IF($C1409="","",IF(COUNTIFS(DESPACHOS!$B$3:$B$3002,$C1409)=0,"NO EXISTE",IF(COUNTIFS(DESPACHOS!$B$3:$B$3002,$C1409)&gt;1,"DUPLICADO","OK")))</f>
        <v/>
      </c>
      <c r="L1409" s="41" t="n"/>
      <c r="M1409" s="41" t="n"/>
      <c r="N1409" s="42">
        <f>IF($M1409="","",IFERROR(INDEX(LISTAS!$F$3:$F$42,MATCH($M1409,LISTAS!$E$3:$E$42,0)),"Por definir"))</f>
        <v/>
      </c>
      <c r="O1409" s="41" t="n"/>
      <c r="P1409" s="39">
        <f>IF($L1409="","",IFERROR(INDEX(LISTAS!$B$3:$B$42,MATCH($L1409,LISTAS!$A$3:$A$42,0)),"Media"))</f>
        <v/>
      </c>
      <c r="Q1409" s="44" t="n"/>
      <c r="R1409" s="45" t="n"/>
      <c r="S1409" s="20">
        <f>IFERROR(IF(OR($R1409="",$C1409=""),"",$R1409/INDEX(DESPACHOS!$M$3:$M$3002,MATCH($C1409,DESPACHOS!$B$3:$B$3002,0))),"")</f>
        <v/>
      </c>
      <c r="T1409" s="41" t="n"/>
      <c r="U1409" s="43">
        <f>IF(OR($B1409="",$L1409=""),"",WORKDAY($B1409,IFERROR(INDEX(LISTAS!$C$3:$C$42,MATCH($L1409,LISTAS!$A$3:$A$42,0)),3)))</f>
        <v/>
      </c>
      <c r="V1409" s="40" t="n"/>
      <c r="W1409" s="19">
        <f>IF($B1409="","",IF($V1409&lt;&gt;"",$V1409-$B1409,TODAY()-$B1409))</f>
        <v/>
      </c>
      <c r="X1409" s="19">
        <f>IF(OR($B1409="",$U1409=""),"",IF($V1409&lt;&gt;"",MAX(0,$V1409-$U1409),MAX(0,TODAY()-$U1409)))</f>
        <v/>
      </c>
      <c r="Y1409" s="39">
        <f>IF($C1409="","",IF(IFERROR(INDEX(LISTAS!$I$3:$I$42,MATCH($T1409,LISTAS!$H$3:$H$42,0)),"NO")="SÍ",IF(N($X1409)&gt;0,"CERRADA FUERA DE SLA","CERRADA EN SLA"),IF($U1409="","SIN CLASIFICAR",IF(N($X1409)&gt;0,"VENCIDA",IF(TODAY()&gt;=$U1409-1,"POR VENCER","EN PLAZO")))))</f>
        <v/>
      </c>
      <c r="Z1409" s="41" t="n"/>
      <c r="AA1409" s="41" t="n"/>
      <c r="AB1409" s="41" t="n"/>
    </row>
    <row r="1410">
      <c r="A1410" s="39">
        <f>IF($C1410="","","NOV-"&amp;TEXT(ROW()-3,"0000"))</f>
        <v/>
      </c>
      <c r="B1410" s="40" t="n"/>
      <c r="C1410" s="41" t="n"/>
      <c r="D1410" s="42">
        <f>IF($C1410="","",IFERROR(INDEX(DESPACHOS!$D$3:$D$3002,MATCH($C1410,DESPACHOS!$B$3:$B$3002,0)),"SIN DESPACHO"))</f>
        <v/>
      </c>
      <c r="E1410" s="42">
        <f>IF($C1410="","",IFERROR(INDEX(DESPACHOS!$K$3:$K$3002,MATCH($C1410,DESPACHOS!$B$3:$B$3002,0)),""))</f>
        <v/>
      </c>
      <c r="F1410" s="42">
        <f>IF($C1410="","",IFERROR(INDEX(DESPACHOS!$I$3:$I$3002,MATCH($C1410,DESPACHOS!$B$3:$B$3002,0)),""))</f>
        <v/>
      </c>
      <c r="G1410" s="42">
        <f>IF($C1410="","",IFERROR(INDEX(DESPACHOS!$F$3:$F$3002,MATCH($C1410,DESPACHOS!$B$3:$B$3002,0)),""))</f>
        <v/>
      </c>
      <c r="H1410" s="42">
        <f>IF($C1410="","",IFERROR(INDEX(DESPACHOS!$G$3:$G$3002,MATCH($C1410,DESPACHOS!$B$3:$B$3002,0)),""))</f>
        <v/>
      </c>
      <c r="I1410" s="39">
        <f>IF($C1410="","",IFERROR(INDEX(DESPACHOS!$H$3:$H$3002,MATCH($C1410,DESPACHOS!$B$3:$B$3002,0)),""))</f>
        <v/>
      </c>
      <c r="J1410" s="43">
        <f>IF($C1410="","",IFERROR(INDEX(DESPACHOS!$J$3:$J$3002,MATCH($C1410,DESPACHOS!$B$3:$B$3002,0)),""))</f>
        <v/>
      </c>
      <c r="K1410" s="39">
        <f>IF($C1410="","",IF(COUNTIFS(DESPACHOS!$B$3:$B$3002,$C1410)=0,"NO EXISTE",IF(COUNTIFS(DESPACHOS!$B$3:$B$3002,$C1410)&gt;1,"DUPLICADO","OK")))</f>
        <v/>
      </c>
      <c r="L1410" s="41" t="n"/>
      <c r="M1410" s="41" t="n"/>
      <c r="N1410" s="42">
        <f>IF($M1410="","",IFERROR(INDEX(LISTAS!$F$3:$F$42,MATCH($M1410,LISTAS!$E$3:$E$42,0)),"Por definir"))</f>
        <v/>
      </c>
      <c r="O1410" s="41" t="n"/>
      <c r="P1410" s="39">
        <f>IF($L1410="","",IFERROR(INDEX(LISTAS!$B$3:$B$42,MATCH($L1410,LISTAS!$A$3:$A$42,0)),"Media"))</f>
        <v/>
      </c>
      <c r="Q1410" s="44" t="n"/>
      <c r="R1410" s="45" t="n"/>
      <c r="S1410" s="20">
        <f>IFERROR(IF(OR($R1410="",$C1410=""),"",$R1410/INDEX(DESPACHOS!$M$3:$M$3002,MATCH($C1410,DESPACHOS!$B$3:$B$3002,0))),"")</f>
        <v/>
      </c>
      <c r="T1410" s="41" t="n"/>
      <c r="U1410" s="43">
        <f>IF(OR($B1410="",$L1410=""),"",WORKDAY($B1410,IFERROR(INDEX(LISTAS!$C$3:$C$42,MATCH($L1410,LISTAS!$A$3:$A$42,0)),3)))</f>
        <v/>
      </c>
      <c r="V1410" s="40" t="n"/>
      <c r="W1410" s="19">
        <f>IF($B1410="","",IF($V1410&lt;&gt;"",$V1410-$B1410,TODAY()-$B1410))</f>
        <v/>
      </c>
      <c r="X1410" s="19">
        <f>IF(OR($B1410="",$U1410=""),"",IF($V1410&lt;&gt;"",MAX(0,$V1410-$U1410),MAX(0,TODAY()-$U1410)))</f>
        <v/>
      </c>
      <c r="Y1410" s="39">
        <f>IF($C1410="","",IF(IFERROR(INDEX(LISTAS!$I$3:$I$42,MATCH($T1410,LISTAS!$H$3:$H$42,0)),"NO")="SÍ",IF(N($X1410)&gt;0,"CERRADA FUERA DE SLA","CERRADA EN SLA"),IF($U1410="","SIN CLASIFICAR",IF(N($X1410)&gt;0,"VENCIDA",IF(TODAY()&gt;=$U1410-1,"POR VENCER","EN PLAZO")))))</f>
        <v/>
      </c>
      <c r="Z1410" s="41" t="n"/>
      <c r="AA1410" s="41" t="n"/>
      <c r="AB1410" s="41" t="n"/>
    </row>
    <row r="1411">
      <c r="A1411" s="39">
        <f>IF($C1411="","","NOV-"&amp;TEXT(ROW()-3,"0000"))</f>
        <v/>
      </c>
      <c r="B1411" s="40" t="n"/>
      <c r="C1411" s="41" t="n"/>
      <c r="D1411" s="42">
        <f>IF($C1411="","",IFERROR(INDEX(DESPACHOS!$D$3:$D$3002,MATCH($C1411,DESPACHOS!$B$3:$B$3002,0)),"SIN DESPACHO"))</f>
        <v/>
      </c>
      <c r="E1411" s="42">
        <f>IF($C1411="","",IFERROR(INDEX(DESPACHOS!$K$3:$K$3002,MATCH($C1411,DESPACHOS!$B$3:$B$3002,0)),""))</f>
        <v/>
      </c>
      <c r="F1411" s="42">
        <f>IF($C1411="","",IFERROR(INDEX(DESPACHOS!$I$3:$I$3002,MATCH($C1411,DESPACHOS!$B$3:$B$3002,0)),""))</f>
        <v/>
      </c>
      <c r="G1411" s="42">
        <f>IF($C1411="","",IFERROR(INDEX(DESPACHOS!$F$3:$F$3002,MATCH($C1411,DESPACHOS!$B$3:$B$3002,0)),""))</f>
        <v/>
      </c>
      <c r="H1411" s="42">
        <f>IF($C1411="","",IFERROR(INDEX(DESPACHOS!$G$3:$G$3002,MATCH($C1411,DESPACHOS!$B$3:$B$3002,0)),""))</f>
        <v/>
      </c>
      <c r="I1411" s="39">
        <f>IF($C1411="","",IFERROR(INDEX(DESPACHOS!$H$3:$H$3002,MATCH($C1411,DESPACHOS!$B$3:$B$3002,0)),""))</f>
        <v/>
      </c>
      <c r="J1411" s="43">
        <f>IF($C1411="","",IFERROR(INDEX(DESPACHOS!$J$3:$J$3002,MATCH($C1411,DESPACHOS!$B$3:$B$3002,0)),""))</f>
        <v/>
      </c>
      <c r="K1411" s="39">
        <f>IF($C1411="","",IF(COUNTIFS(DESPACHOS!$B$3:$B$3002,$C1411)=0,"NO EXISTE",IF(COUNTIFS(DESPACHOS!$B$3:$B$3002,$C1411)&gt;1,"DUPLICADO","OK")))</f>
        <v/>
      </c>
      <c r="L1411" s="41" t="n"/>
      <c r="M1411" s="41" t="n"/>
      <c r="N1411" s="42">
        <f>IF($M1411="","",IFERROR(INDEX(LISTAS!$F$3:$F$42,MATCH($M1411,LISTAS!$E$3:$E$42,0)),"Por definir"))</f>
        <v/>
      </c>
      <c r="O1411" s="41" t="n"/>
      <c r="P1411" s="39">
        <f>IF($L1411="","",IFERROR(INDEX(LISTAS!$B$3:$B$42,MATCH($L1411,LISTAS!$A$3:$A$42,0)),"Media"))</f>
        <v/>
      </c>
      <c r="Q1411" s="44" t="n"/>
      <c r="R1411" s="45" t="n"/>
      <c r="S1411" s="20">
        <f>IFERROR(IF(OR($R1411="",$C1411=""),"",$R1411/INDEX(DESPACHOS!$M$3:$M$3002,MATCH($C1411,DESPACHOS!$B$3:$B$3002,0))),"")</f>
        <v/>
      </c>
      <c r="T1411" s="41" t="n"/>
      <c r="U1411" s="43">
        <f>IF(OR($B1411="",$L1411=""),"",WORKDAY($B1411,IFERROR(INDEX(LISTAS!$C$3:$C$42,MATCH($L1411,LISTAS!$A$3:$A$42,0)),3)))</f>
        <v/>
      </c>
      <c r="V1411" s="40" t="n"/>
      <c r="W1411" s="19">
        <f>IF($B1411="","",IF($V1411&lt;&gt;"",$V1411-$B1411,TODAY()-$B1411))</f>
        <v/>
      </c>
      <c r="X1411" s="19">
        <f>IF(OR($B1411="",$U1411=""),"",IF($V1411&lt;&gt;"",MAX(0,$V1411-$U1411),MAX(0,TODAY()-$U1411)))</f>
        <v/>
      </c>
      <c r="Y1411" s="39">
        <f>IF($C1411="","",IF(IFERROR(INDEX(LISTAS!$I$3:$I$42,MATCH($T1411,LISTAS!$H$3:$H$42,0)),"NO")="SÍ",IF(N($X1411)&gt;0,"CERRADA FUERA DE SLA","CERRADA EN SLA"),IF($U1411="","SIN CLASIFICAR",IF(N($X1411)&gt;0,"VENCIDA",IF(TODAY()&gt;=$U1411-1,"POR VENCER","EN PLAZO")))))</f>
        <v/>
      </c>
      <c r="Z1411" s="41" t="n"/>
      <c r="AA1411" s="41" t="n"/>
      <c r="AB1411" s="41" t="n"/>
    </row>
    <row r="1412">
      <c r="A1412" s="39">
        <f>IF($C1412="","","NOV-"&amp;TEXT(ROW()-3,"0000"))</f>
        <v/>
      </c>
      <c r="B1412" s="40" t="n"/>
      <c r="C1412" s="41" t="n"/>
      <c r="D1412" s="42">
        <f>IF($C1412="","",IFERROR(INDEX(DESPACHOS!$D$3:$D$3002,MATCH($C1412,DESPACHOS!$B$3:$B$3002,0)),"SIN DESPACHO"))</f>
        <v/>
      </c>
      <c r="E1412" s="42">
        <f>IF($C1412="","",IFERROR(INDEX(DESPACHOS!$K$3:$K$3002,MATCH($C1412,DESPACHOS!$B$3:$B$3002,0)),""))</f>
        <v/>
      </c>
      <c r="F1412" s="42">
        <f>IF($C1412="","",IFERROR(INDEX(DESPACHOS!$I$3:$I$3002,MATCH($C1412,DESPACHOS!$B$3:$B$3002,0)),""))</f>
        <v/>
      </c>
      <c r="G1412" s="42">
        <f>IF($C1412="","",IFERROR(INDEX(DESPACHOS!$F$3:$F$3002,MATCH($C1412,DESPACHOS!$B$3:$B$3002,0)),""))</f>
        <v/>
      </c>
      <c r="H1412" s="42">
        <f>IF($C1412="","",IFERROR(INDEX(DESPACHOS!$G$3:$G$3002,MATCH($C1412,DESPACHOS!$B$3:$B$3002,0)),""))</f>
        <v/>
      </c>
      <c r="I1412" s="39">
        <f>IF($C1412="","",IFERROR(INDEX(DESPACHOS!$H$3:$H$3002,MATCH($C1412,DESPACHOS!$B$3:$B$3002,0)),""))</f>
        <v/>
      </c>
      <c r="J1412" s="43">
        <f>IF($C1412="","",IFERROR(INDEX(DESPACHOS!$J$3:$J$3002,MATCH($C1412,DESPACHOS!$B$3:$B$3002,0)),""))</f>
        <v/>
      </c>
      <c r="K1412" s="39">
        <f>IF($C1412="","",IF(COUNTIFS(DESPACHOS!$B$3:$B$3002,$C1412)=0,"NO EXISTE",IF(COUNTIFS(DESPACHOS!$B$3:$B$3002,$C1412)&gt;1,"DUPLICADO","OK")))</f>
        <v/>
      </c>
      <c r="L1412" s="41" t="n"/>
      <c r="M1412" s="41" t="n"/>
      <c r="N1412" s="42">
        <f>IF($M1412="","",IFERROR(INDEX(LISTAS!$F$3:$F$42,MATCH($M1412,LISTAS!$E$3:$E$42,0)),"Por definir"))</f>
        <v/>
      </c>
      <c r="O1412" s="41" t="n"/>
      <c r="P1412" s="39">
        <f>IF($L1412="","",IFERROR(INDEX(LISTAS!$B$3:$B$42,MATCH($L1412,LISTAS!$A$3:$A$42,0)),"Media"))</f>
        <v/>
      </c>
      <c r="Q1412" s="44" t="n"/>
      <c r="R1412" s="45" t="n"/>
      <c r="S1412" s="20">
        <f>IFERROR(IF(OR($R1412="",$C1412=""),"",$R1412/INDEX(DESPACHOS!$M$3:$M$3002,MATCH($C1412,DESPACHOS!$B$3:$B$3002,0))),"")</f>
        <v/>
      </c>
      <c r="T1412" s="41" t="n"/>
      <c r="U1412" s="43">
        <f>IF(OR($B1412="",$L1412=""),"",WORKDAY($B1412,IFERROR(INDEX(LISTAS!$C$3:$C$42,MATCH($L1412,LISTAS!$A$3:$A$42,0)),3)))</f>
        <v/>
      </c>
      <c r="V1412" s="40" t="n"/>
      <c r="W1412" s="19">
        <f>IF($B1412="","",IF($V1412&lt;&gt;"",$V1412-$B1412,TODAY()-$B1412))</f>
        <v/>
      </c>
      <c r="X1412" s="19">
        <f>IF(OR($B1412="",$U1412=""),"",IF($V1412&lt;&gt;"",MAX(0,$V1412-$U1412),MAX(0,TODAY()-$U1412)))</f>
        <v/>
      </c>
      <c r="Y1412" s="39">
        <f>IF($C1412="","",IF(IFERROR(INDEX(LISTAS!$I$3:$I$42,MATCH($T1412,LISTAS!$H$3:$H$42,0)),"NO")="SÍ",IF(N($X1412)&gt;0,"CERRADA FUERA DE SLA","CERRADA EN SLA"),IF($U1412="","SIN CLASIFICAR",IF(N($X1412)&gt;0,"VENCIDA",IF(TODAY()&gt;=$U1412-1,"POR VENCER","EN PLAZO")))))</f>
        <v/>
      </c>
      <c r="Z1412" s="41" t="n"/>
      <c r="AA1412" s="41" t="n"/>
      <c r="AB1412" s="41" t="n"/>
    </row>
    <row r="1413">
      <c r="A1413" s="39">
        <f>IF($C1413="","","NOV-"&amp;TEXT(ROW()-3,"0000"))</f>
        <v/>
      </c>
      <c r="B1413" s="40" t="n"/>
      <c r="C1413" s="41" t="n"/>
      <c r="D1413" s="42">
        <f>IF($C1413="","",IFERROR(INDEX(DESPACHOS!$D$3:$D$3002,MATCH($C1413,DESPACHOS!$B$3:$B$3002,0)),"SIN DESPACHO"))</f>
        <v/>
      </c>
      <c r="E1413" s="42">
        <f>IF($C1413="","",IFERROR(INDEX(DESPACHOS!$K$3:$K$3002,MATCH($C1413,DESPACHOS!$B$3:$B$3002,0)),""))</f>
        <v/>
      </c>
      <c r="F1413" s="42">
        <f>IF($C1413="","",IFERROR(INDEX(DESPACHOS!$I$3:$I$3002,MATCH($C1413,DESPACHOS!$B$3:$B$3002,0)),""))</f>
        <v/>
      </c>
      <c r="G1413" s="42">
        <f>IF($C1413="","",IFERROR(INDEX(DESPACHOS!$F$3:$F$3002,MATCH($C1413,DESPACHOS!$B$3:$B$3002,0)),""))</f>
        <v/>
      </c>
      <c r="H1413" s="42">
        <f>IF($C1413="","",IFERROR(INDEX(DESPACHOS!$G$3:$G$3002,MATCH($C1413,DESPACHOS!$B$3:$B$3002,0)),""))</f>
        <v/>
      </c>
      <c r="I1413" s="39">
        <f>IF($C1413="","",IFERROR(INDEX(DESPACHOS!$H$3:$H$3002,MATCH($C1413,DESPACHOS!$B$3:$B$3002,0)),""))</f>
        <v/>
      </c>
      <c r="J1413" s="43">
        <f>IF($C1413="","",IFERROR(INDEX(DESPACHOS!$J$3:$J$3002,MATCH($C1413,DESPACHOS!$B$3:$B$3002,0)),""))</f>
        <v/>
      </c>
      <c r="K1413" s="39">
        <f>IF($C1413="","",IF(COUNTIFS(DESPACHOS!$B$3:$B$3002,$C1413)=0,"NO EXISTE",IF(COUNTIFS(DESPACHOS!$B$3:$B$3002,$C1413)&gt;1,"DUPLICADO","OK")))</f>
        <v/>
      </c>
      <c r="L1413" s="41" t="n"/>
      <c r="M1413" s="41" t="n"/>
      <c r="N1413" s="42">
        <f>IF($M1413="","",IFERROR(INDEX(LISTAS!$F$3:$F$42,MATCH($M1413,LISTAS!$E$3:$E$42,0)),"Por definir"))</f>
        <v/>
      </c>
      <c r="O1413" s="41" t="n"/>
      <c r="P1413" s="39">
        <f>IF($L1413="","",IFERROR(INDEX(LISTAS!$B$3:$B$42,MATCH($L1413,LISTAS!$A$3:$A$42,0)),"Media"))</f>
        <v/>
      </c>
      <c r="Q1413" s="44" t="n"/>
      <c r="R1413" s="45" t="n"/>
      <c r="S1413" s="20">
        <f>IFERROR(IF(OR($R1413="",$C1413=""),"",$R1413/INDEX(DESPACHOS!$M$3:$M$3002,MATCH($C1413,DESPACHOS!$B$3:$B$3002,0))),"")</f>
        <v/>
      </c>
      <c r="T1413" s="41" t="n"/>
      <c r="U1413" s="43">
        <f>IF(OR($B1413="",$L1413=""),"",WORKDAY($B1413,IFERROR(INDEX(LISTAS!$C$3:$C$42,MATCH($L1413,LISTAS!$A$3:$A$42,0)),3)))</f>
        <v/>
      </c>
      <c r="V1413" s="40" t="n"/>
      <c r="W1413" s="19">
        <f>IF($B1413="","",IF($V1413&lt;&gt;"",$V1413-$B1413,TODAY()-$B1413))</f>
        <v/>
      </c>
      <c r="X1413" s="19">
        <f>IF(OR($B1413="",$U1413=""),"",IF($V1413&lt;&gt;"",MAX(0,$V1413-$U1413),MAX(0,TODAY()-$U1413)))</f>
        <v/>
      </c>
      <c r="Y1413" s="39">
        <f>IF($C1413="","",IF(IFERROR(INDEX(LISTAS!$I$3:$I$42,MATCH($T1413,LISTAS!$H$3:$H$42,0)),"NO")="SÍ",IF(N($X1413)&gt;0,"CERRADA FUERA DE SLA","CERRADA EN SLA"),IF($U1413="","SIN CLASIFICAR",IF(N($X1413)&gt;0,"VENCIDA",IF(TODAY()&gt;=$U1413-1,"POR VENCER","EN PLAZO")))))</f>
        <v/>
      </c>
      <c r="Z1413" s="41" t="n"/>
      <c r="AA1413" s="41" t="n"/>
      <c r="AB1413" s="41" t="n"/>
    </row>
    <row r="1414">
      <c r="A1414" s="39">
        <f>IF($C1414="","","NOV-"&amp;TEXT(ROW()-3,"0000"))</f>
        <v/>
      </c>
      <c r="B1414" s="40" t="n"/>
      <c r="C1414" s="41" t="n"/>
      <c r="D1414" s="42">
        <f>IF($C1414="","",IFERROR(INDEX(DESPACHOS!$D$3:$D$3002,MATCH($C1414,DESPACHOS!$B$3:$B$3002,0)),"SIN DESPACHO"))</f>
        <v/>
      </c>
      <c r="E1414" s="42">
        <f>IF($C1414="","",IFERROR(INDEX(DESPACHOS!$K$3:$K$3002,MATCH($C1414,DESPACHOS!$B$3:$B$3002,0)),""))</f>
        <v/>
      </c>
      <c r="F1414" s="42">
        <f>IF($C1414="","",IFERROR(INDEX(DESPACHOS!$I$3:$I$3002,MATCH($C1414,DESPACHOS!$B$3:$B$3002,0)),""))</f>
        <v/>
      </c>
      <c r="G1414" s="42">
        <f>IF($C1414="","",IFERROR(INDEX(DESPACHOS!$F$3:$F$3002,MATCH($C1414,DESPACHOS!$B$3:$B$3002,0)),""))</f>
        <v/>
      </c>
      <c r="H1414" s="42">
        <f>IF($C1414="","",IFERROR(INDEX(DESPACHOS!$G$3:$G$3002,MATCH($C1414,DESPACHOS!$B$3:$B$3002,0)),""))</f>
        <v/>
      </c>
      <c r="I1414" s="39">
        <f>IF($C1414="","",IFERROR(INDEX(DESPACHOS!$H$3:$H$3002,MATCH($C1414,DESPACHOS!$B$3:$B$3002,0)),""))</f>
        <v/>
      </c>
      <c r="J1414" s="43">
        <f>IF($C1414="","",IFERROR(INDEX(DESPACHOS!$J$3:$J$3002,MATCH($C1414,DESPACHOS!$B$3:$B$3002,0)),""))</f>
        <v/>
      </c>
      <c r="K1414" s="39">
        <f>IF($C1414="","",IF(COUNTIFS(DESPACHOS!$B$3:$B$3002,$C1414)=0,"NO EXISTE",IF(COUNTIFS(DESPACHOS!$B$3:$B$3002,$C1414)&gt;1,"DUPLICADO","OK")))</f>
        <v/>
      </c>
      <c r="L1414" s="41" t="n"/>
      <c r="M1414" s="41" t="n"/>
      <c r="N1414" s="42">
        <f>IF($M1414="","",IFERROR(INDEX(LISTAS!$F$3:$F$42,MATCH($M1414,LISTAS!$E$3:$E$42,0)),"Por definir"))</f>
        <v/>
      </c>
      <c r="O1414" s="41" t="n"/>
      <c r="P1414" s="39">
        <f>IF($L1414="","",IFERROR(INDEX(LISTAS!$B$3:$B$42,MATCH($L1414,LISTAS!$A$3:$A$42,0)),"Media"))</f>
        <v/>
      </c>
      <c r="Q1414" s="44" t="n"/>
      <c r="R1414" s="45" t="n"/>
      <c r="S1414" s="20">
        <f>IFERROR(IF(OR($R1414="",$C1414=""),"",$R1414/INDEX(DESPACHOS!$M$3:$M$3002,MATCH($C1414,DESPACHOS!$B$3:$B$3002,0))),"")</f>
        <v/>
      </c>
      <c r="T1414" s="41" t="n"/>
      <c r="U1414" s="43">
        <f>IF(OR($B1414="",$L1414=""),"",WORKDAY($B1414,IFERROR(INDEX(LISTAS!$C$3:$C$42,MATCH($L1414,LISTAS!$A$3:$A$42,0)),3)))</f>
        <v/>
      </c>
      <c r="V1414" s="40" t="n"/>
      <c r="W1414" s="19">
        <f>IF($B1414="","",IF($V1414&lt;&gt;"",$V1414-$B1414,TODAY()-$B1414))</f>
        <v/>
      </c>
      <c r="X1414" s="19">
        <f>IF(OR($B1414="",$U1414=""),"",IF($V1414&lt;&gt;"",MAX(0,$V1414-$U1414),MAX(0,TODAY()-$U1414)))</f>
        <v/>
      </c>
      <c r="Y1414" s="39">
        <f>IF($C1414="","",IF(IFERROR(INDEX(LISTAS!$I$3:$I$42,MATCH($T1414,LISTAS!$H$3:$H$42,0)),"NO")="SÍ",IF(N($X1414)&gt;0,"CERRADA FUERA DE SLA","CERRADA EN SLA"),IF($U1414="","SIN CLASIFICAR",IF(N($X1414)&gt;0,"VENCIDA",IF(TODAY()&gt;=$U1414-1,"POR VENCER","EN PLAZO")))))</f>
        <v/>
      </c>
      <c r="Z1414" s="41" t="n"/>
      <c r="AA1414" s="41" t="n"/>
      <c r="AB1414" s="41" t="n"/>
    </row>
    <row r="1415">
      <c r="A1415" s="39">
        <f>IF($C1415="","","NOV-"&amp;TEXT(ROW()-3,"0000"))</f>
        <v/>
      </c>
      <c r="B1415" s="40" t="n"/>
      <c r="C1415" s="41" t="n"/>
      <c r="D1415" s="42">
        <f>IF($C1415="","",IFERROR(INDEX(DESPACHOS!$D$3:$D$3002,MATCH($C1415,DESPACHOS!$B$3:$B$3002,0)),"SIN DESPACHO"))</f>
        <v/>
      </c>
      <c r="E1415" s="42">
        <f>IF($C1415="","",IFERROR(INDEX(DESPACHOS!$K$3:$K$3002,MATCH($C1415,DESPACHOS!$B$3:$B$3002,0)),""))</f>
        <v/>
      </c>
      <c r="F1415" s="42">
        <f>IF($C1415="","",IFERROR(INDEX(DESPACHOS!$I$3:$I$3002,MATCH($C1415,DESPACHOS!$B$3:$B$3002,0)),""))</f>
        <v/>
      </c>
      <c r="G1415" s="42">
        <f>IF($C1415="","",IFERROR(INDEX(DESPACHOS!$F$3:$F$3002,MATCH($C1415,DESPACHOS!$B$3:$B$3002,0)),""))</f>
        <v/>
      </c>
      <c r="H1415" s="42">
        <f>IF($C1415="","",IFERROR(INDEX(DESPACHOS!$G$3:$G$3002,MATCH($C1415,DESPACHOS!$B$3:$B$3002,0)),""))</f>
        <v/>
      </c>
      <c r="I1415" s="39">
        <f>IF($C1415="","",IFERROR(INDEX(DESPACHOS!$H$3:$H$3002,MATCH($C1415,DESPACHOS!$B$3:$B$3002,0)),""))</f>
        <v/>
      </c>
      <c r="J1415" s="43">
        <f>IF($C1415="","",IFERROR(INDEX(DESPACHOS!$J$3:$J$3002,MATCH($C1415,DESPACHOS!$B$3:$B$3002,0)),""))</f>
        <v/>
      </c>
      <c r="K1415" s="39">
        <f>IF($C1415="","",IF(COUNTIFS(DESPACHOS!$B$3:$B$3002,$C1415)=0,"NO EXISTE",IF(COUNTIFS(DESPACHOS!$B$3:$B$3002,$C1415)&gt;1,"DUPLICADO","OK")))</f>
        <v/>
      </c>
      <c r="L1415" s="41" t="n"/>
      <c r="M1415" s="41" t="n"/>
      <c r="N1415" s="42">
        <f>IF($M1415="","",IFERROR(INDEX(LISTAS!$F$3:$F$42,MATCH($M1415,LISTAS!$E$3:$E$42,0)),"Por definir"))</f>
        <v/>
      </c>
      <c r="O1415" s="41" t="n"/>
      <c r="P1415" s="39">
        <f>IF($L1415="","",IFERROR(INDEX(LISTAS!$B$3:$B$42,MATCH($L1415,LISTAS!$A$3:$A$42,0)),"Media"))</f>
        <v/>
      </c>
      <c r="Q1415" s="44" t="n"/>
      <c r="R1415" s="45" t="n"/>
      <c r="S1415" s="20">
        <f>IFERROR(IF(OR($R1415="",$C1415=""),"",$R1415/INDEX(DESPACHOS!$M$3:$M$3002,MATCH($C1415,DESPACHOS!$B$3:$B$3002,0))),"")</f>
        <v/>
      </c>
      <c r="T1415" s="41" t="n"/>
      <c r="U1415" s="43">
        <f>IF(OR($B1415="",$L1415=""),"",WORKDAY($B1415,IFERROR(INDEX(LISTAS!$C$3:$C$42,MATCH($L1415,LISTAS!$A$3:$A$42,0)),3)))</f>
        <v/>
      </c>
      <c r="V1415" s="40" t="n"/>
      <c r="W1415" s="19">
        <f>IF($B1415="","",IF($V1415&lt;&gt;"",$V1415-$B1415,TODAY()-$B1415))</f>
        <v/>
      </c>
      <c r="X1415" s="19">
        <f>IF(OR($B1415="",$U1415=""),"",IF($V1415&lt;&gt;"",MAX(0,$V1415-$U1415),MAX(0,TODAY()-$U1415)))</f>
        <v/>
      </c>
      <c r="Y1415" s="39">
        <f>IF($C1415="","",IF(IFERROR(INDEX(LISTAS!$I$3:$I$42,MATCH($T1415,LISTAS!$H$3:$H$42,0)),"NO")="SÍ",IF(N($X1415)&gt;0,"CERRADA FUERA DE SLA","CERRADA EN SLA"),IF($U1415="","SIN CLASIFICAR",IF(N($X1415)&gt;0,"VENCIDA",IF(TODAY()&gt;=$U1415-1,"POR VENCER","EN PLAZO")))))</f>
        <v/>
      </c>
      <c r="Z1415" s="41" t="n"/>
      <c r="AA1415" s="41" t="n"/>
      <c r="AB1415" s="41" t="n"/>
    </row>
    <row r="1416">
      <c r="A1416" s="39">
        <f>IF($C1416="","","NOV-"&amp;TEXT(ROW()-3,"0000"))</f>
        <v/>
      </c>
      <c r="B1416" s="40" t="n"/>
      <c r="C1416" s="41" t="n"/>
      <c r="D1416" s="42">
        <f>IF($C1416="","",IFERROR(INDEX(DESPACHOS!$D$3:$D$3002,MATCH($C1416,DESPACHOS!$B$3:$B$3002,0)),"SIN DESPACHO"))</f>
        <v/>
      </c>
      <c r="E1416" s="42">
        <f>IF($C1416="","",IFERROR(INDEX(DESPACHOS!$K$3:$K$3002,MATCH($C1416,DESPACHOS!$B$3:$B$3002,0)),""))</f>
        <v/>
      </c>
      <c r="F1416" s="42">
        <f>IF($C1416="","",IFERROR(INDEX(DESPACHOS!$I$3:$I$3002,MATCH($C1416,DESPACHOS!$B$3:$B$3002,0)),""))</f>
        <v/>
      </c>
      <c r="G1416" s="42">
        <f>IF($C1416="","",IFERROR(INDEX(DESPACHOS!$F$3:$F$3002,MATCH($C1416,DESPACHOS!$B$3:$B$3002,0)),""))</f>
        <v/>
      </c>
      <c r="H1416" s="42">
        <f>IF($C1416="","",IFERROR(INDEX(DESPACHOS!$G$3:$G$3002,MATCH($C1416,DESPACHOS!$B$3:$B$3002,0)),""))</f>
        <v/>
      </c>
      <c r="I1416" s="39">
        <f>IF($C1416="","",IFERROR(INDEX(DESPACHOS!$H$3:$H$3002,MATCH($C1416,DESPACHOS!$B$3:$B$3002,0)),""))</f>
        <v/>
      </c>
      <c r="J1416" s="43">
        <f>IF($C1416="","",IFERROR(INDEX(DESPACHOS!$J$3:$J$3002,MATCH($C1416,DESPACHOS!$B$3:$B$3002,0)),""))</f>
        <v/>
      </c>
      <c r="K1416" s="39">
        <f>IF($C1416="","",IF(COUNTIFS(DESPACHOS!$B$3:$B$3002,$C1416)=0,"NO EXISTE",IF(COUNTIFS(DESPACHOS!$B$3:$B$3002,$C1416)&gt;1,"DUPLICADO","OK")))</f>
        <v/>
      </c>
      <c r="L1416" s="41" t="n"/>
      <c r="M1416" s="41" t="n"/>
      <c r="N1416" s="42">
        <f>IF($M1416="","",IFERROR(INDEX(LISTAS!$F$3:$F$42,MATCH($M1416,LISTAS!$E$3:$E$42,0)),"Por definir"))</f>
        <v/>
      </c>
      <c r="O1416" s="41" t="n"/>
      <c r="P1416" s="39">
        <f>IF($L1416="","",IFERROR(INDEX(LISTAS!$B$3:$B$42,MATCH($L1416,LISTAS!$A$3:$A$42,0)),"Media"))</f>
        <v/>
      </c>
      <c r="Q1416" s="44" t="n"/>
      <c r="R1416" s="45" t="n"/>
      <c r="S1416" s="20">
        <f>IFERROR(IF(OR($R1416="",$C1416=""),"",$R1416/INDEX(DESPACHOS!$M$3:$M$3002,MATCH($C1416,DESPACHOS!$B$3:$B$3002,0))),"")</f>
        <v/>
      </c>
      <c r="T1416" s="41" t="n"/>
      <c r="U1416" s="43">
        <f>IF(OR($B1416="",$L1416=""),"",WORKDAY($B1416,IFERROR(INDEX(LISTAS!$C$3:$C$42,MATCH($L1416,LISTAS!$A$3:$A$42,0)),3)))</f>
        <v/>
      </c>
      <c r="V1416" s="40" t="n"/>
      <c r="W1416" s="19">
        <f>IF($B1416="","",IF($V1416&lt;&gt;"",$V1416-$B1416,TODAY()-$B1416))</f>
        <v/>
      </c>
      <c r="X1416" s="19">
        <f>IF(OR($B1416="",$U1416=""),"",IF($V1416&lt;&gt;"",MAX(0,$V1416-$U1416),MAX(0,TODAY()-$U1416)))</f>
        <v/>
      </c>
      <c r="Y1416" s="39">
        <f>IF($C1416="","",IF(IFERROR(INDEX(LISTAS!$I$3:$I$42,MATCH($T1416,LISTAS!$H$3:$H$42,0)),"NO")="SÍ",IF(N($X1416)&gt;0,"CERRADA FUERA DE SLA","CERRADA EN SLA"),IF($U1416="","SIN CLASIFICAR",IF(N($X1416)&gt;0,"VENCIDA",IF(TODAY()&gt;=$U1416-1,"POR VENCER","EN PLAZO")))))</f>
        <v/>
      </c>
      <c r="Z1416" s="41" t="n"/>
      <c r="AA1416" s="41" t="n"/>
      <c r="AB1416" s="41" t="n"/>
    </row>
    <row r="1417">
      <c r="A1417" s="39">
        <f>IF($C1417="","","NOV-"&amp;TEXT(ROW()-3,"0000"))</f>
        <v/>
      </c>
      <c r="B1417" s="40" t="n"/>
      <c r="C1417" s="41" t="n"/>
      <c r="D1417" s="42">
        <f>IF($C1417="","",IFERROR(INDEX(DESPACHOS!$D$3:$D$3002,MATCH($C1417,DESPACHOS!$B$3:$B$3002,0)),"SIN DESPACHO"))</f>
        <v/>
      </c>
      <c r="E1417" s="42">
        <f>IF($C1417="","",IFERROR(INDEX(DESPACHOS!$K$3:$K$3002,MATCH($C1417,DESPACHOS!$B$3:$B$3002,0)),""))</f>
        <v/>
      </c>
      <c r="F1417" s="42">
        <f>IF($C1417="","",IFERROR(INDEX(DESPACHOS!$I$3:$I$3002,MATCH($C1417,DESPACHOS!$B$3:$B$3002,0)),""))</f>
        <v/>
      </c>
      <c r="G1417" s="42">
        <f>IF($C1417="","",IFERROR(INDEX(DESPACHOS!$F$3:$F$3002,MATCH($C1417,DESPACHOS!$B$3:$B$3002,0)),""))</f>
        <v/>
      </c>
      <c r="H1417" s="42">
        <f>IF($C1417="","",IFERROR(INDEX(DESPACHOS!$G$3:$G$3002,MATCH($C1417,DESPACHOS!$B$3:$B$3002,0)),""))</f>
        <v/>
      </c>
      <c r="I1417" s="39">
        <f>IF($C1417="","",IFERROR(INDEX(DESPACHOS!$H$3:$H$3002,MATCH($C1417,DESPACHOS!$B$3:$B$3002,0)),""))</f>
        <v/>
      </c>
      <c r="J1417" s="43">
        <f>IF($C1417="","",IFERROR(INDEX(DESPACHOS!$J$3:$J$3002,MATCH($C1417,DESPACHOS!$B$3:$B$3002,0)),""))</f>
        <v/>
      </c>
      <c r="K1417" s="39">
        <f>IF($C1417="","",IF(COUNTIFS(DESPACHOS!$B$3:$B$3002,$C1417)=0,"NO EXISTE",IF(COUNTIFS(DESPACHOS!$B$3:$B$3002,$C1417)&gt;1,"DUPLICADO","OK")))</f>
        <v/>
      </c>
      <c r="L1417" s="41" t="n"/>
      <c r="M1417" s="41" t="n"/>
      <c r="N1417" s="42">
        <f>IF($M1417="","",IFERROR(INDEX(LISTAS!$F$3:$F$42,MATCH($M1417,LISTAS!$E$3:$E$42,0)),"Por definir"))</f>
        <v/>
      </c>
      <c r="O1417" s="41" t="n"/>
      <c r="P1417" s="39">
        <f>IF($L1417="","",IFERROR(INDEX(LISTAS!$B$3:$B$42,MATCH($L1417,LISTAS!$A$3:$A$42,0)),"Media"))</f>
        <v/>
      </c>
      <c r="Q1417" s="44" t="n"/>
      <c r="R1417" s="45" t="n"/>
      <c r="S1417" s="20">
        <f>IFERROR(IF(OR($R1417="",$C1417=""),"",$R1417/INDEX(DESPACHOS!$M$3:$M$3002,MATCH($C1417,DESPACHOS!$B$3:$B$3002,0))),"")</f>
        <v/>
      </c>
      <c r="T1417" s="41" t="n"/>
      <c r="U1417" s="43">
        <f>IF(OR($B1417="",$L1417=""),"",WORKDAY($B1417,IFERROR(INDEX(LISTAS!$C$3:$C$42,MATCH($L1417,LISTAS!$A$3:$A$42,0)),3)))</f>
        <v/>
      </c>
      <c r="V1417" s="40" t="n"/>
      <c r="W1417" s="19">
        <f>IF($B1417="","",IF($V1417&lt;&gt;"",$V1417-$B1417,TODAY()-$B1417))</f>
        <v/>
      </c>
      <c r="X1417" s="19">
        <f>IF(OR($B1417="",$U1417=""),"",IF($V1417&lt;&gt;"",MAX(0,$V1417-$U1417),MAX(0,TODAY()-$U1417)))</f>
        <v/>
      </c>
      <c r="Y1417" s="39">
        <f>IF($C1417="","",IF(IFERROR(INDEX(LISTAS!$I$3:$I$42,MATCH($T1417,LISTAS!$H$3:$H$42,0)),"NO")="SÍ",IF(N($X1417)&gt;0,"CERRADA FUERA DE SLA","CERRADA EN SLA"),IF($U1417="","SIN CLASIFICAR",IF(N($X1417)&gt;0,"VENCIDA",IF(TODAY()&gt;=$U1417-1,"POR VENCER","EN PLAZO")))))</f>
        <v/>
      </c>
      <c r="Z1417" s="41" t="n"/>
      <c r="AA1417" s="41" t="n"/>
      <c r="AB1417" s="41" t="n"/>
    </row>
    <row r="1418">
      <c r="A1418" s="39">
        <f>IF($C1418="","","NOV-"&amp;TEXT(ROW()-3,"0000"))</f>
        <v/>
      </c>
      <c r="B1418" s="40" t="n"/>
      <c r="C1418" s="41" t="n"/>
      <c r="D1418" s="42">
        <f>IF($C1418="","",IFERROR(INDEX(DESPACHOS!$D$3:$D$3002,MATCH($C1418,DESPACHOS!$B$3:$B$3002,0)),"SIN DESPACHO"))</f>
        <v/>
      </c>
      <c r="E1418" s="42">
        <f>IF($C1418="","",IFERROR(INDEX(DESPACHOS!$K$3:$K$3002,MATCH($C1418,DESPACHOS!$B$3:$B$3002,0)),""))</f>
        <v/>
      </c>
      <c r="F1418" s="42">
        <f>IF($C1418="","",IFERROR(INDEX(DESPACHOS!$I$3:$I$3002,MATCH($C1418,DESPACHOS!$B$3:$B$3002,0)),""))</f>
        <v/>
      </c>
      <c r="G1418" s="42">
        <f>IF($C1418="","",IFERROR(INDEX(DESPACHOS!$F$3:$F$3002,MATCH($C1418,DESPACHOS!$B$3:$B$3002,0)),""))</f>
        <v/>
      </c>
      <c r="H1418" s="42">
        <f>IF($C1418="","",IFERROR(INDEX(DESPACHOS!$G$3:$G$3002,MATCH($C1418,DESPACHOS!$B$3:$B$3002,0)),""))</f>
        <v/>
      </c>
      <c r="I1418" s="39">
        <f>IF($C1418="","",IFERROR(INDEX(DESPACHOS!$H$3:$H$3002,MATCH($C1418,DESPACHOS!$B$3:$B$3002,0)),""))</f>
        <v/>
      </c>
      <c r="J1418" s="43">
        <f>IF($C1418="","",IFERROR(INDEX(DESPACHOS!$J$3:$J$3002,MATCH($C1418,DESPACHOS!$B$3:$B$3002,0)),""))</f>
        <v/>
      </c>
      <c r="K1418" s="39">
        <f>IF($C1418="","",IF(COUNTIFS(DESPACHOS!$B$3:$B$3002,$C1418)=0,"NO EXISTE",IF(COUNTIFS(DESPACHOS!$B$3:$B$3002,$C1418)&gt;1,"DUPLICADO","OK")))</f>
        <v/>
      </c>
      <c r="L1418" s="41" t="n"/>
      <c r="M1418" s="41" t="n"/>
      <c r="N1418" s="42">
        <f>IF($M1418="","",IFERROR(INDEX(LISTAS!$F$3:$F$42,MATCH($M1418,LISTAS!$E$3:$E$42,0)),"Por definir"))</f>
        <v/>
      </c>
      <c r="O1418" s="41" t="n"/>
      <c r="P1418" s="39">
        <f>IF($L1418="","",IFERROR(INDEX(LISTAS!$B$3:$B$42,MATCH($L1418,LISTAS!$A$3:$A$42,0)),"Media"))</f>
        <v/>
      </c>
      <c r="Q1418" s="44" t="n"/>
      <c r="R1418" s="45" t="n"/>
      <c r="S1418" s="20">
        <f>IFERROR(IF(OR($R1418="",$C1418=""),"",$R1418/INDEX(DESPACHOS!$M$3:$M$3002,MATCH($C1418,DESPACHOS!$B$3:$B$3002,0))),"")</f>
        <v/>
      </c>
      <c r="T1418" s="41" t="n"/>
      <c r="U1418" s="43">
        <f>IF(OR($B1418="",$L1418=""),"",WORKDAY($B1418,IFERROR(INDEX(LISTAS!$C$3:$C$42,MATCH($L1418,LISTAS!$A$3:$A$42,0)),3)))</f>
        <v/>
      </c>
      <c r="V1418" s="40" t="n"/>
      <c r="W1418" s="19">
        <f>IF($B1418="","",IF($V1418&lt;&gt;"",$V1418-$B1418,TODAY()-$B1418))</f>
        <v/>
      </c>
      <c r="X1418" s="19">
        <f>IF(OR($B1418="",$U1418=""),"",IF($V1418&lt;&gt;"",MAX(0,$V1418-$U1418),MAX(0,TODAY()-$U1418)))</f>
        <v/>
      </c>
      <c r="Y1418" s="39">
        <f>IF($C1418="","",IF(IFERROR(INDEX(LISTAS!$I$3:$I$42,MATCH($T1418,LISTAS!$H$3:$H$42,0)),"NO")="SÍ",IF(N($X1418)&gt;0,"CERRADA FUERA DE SLA","CERRADA EN SLA"),IF($U1418="","SIN CLASIFICAR",IF(N($X1418)&gt;0,"VENCIDA",IF(TODAY()&gt;=$U1418-1,"POR VENCER","EN PLAZO")))))</f>
        <v/>
      </c>
      <c r="Z1418" s="41" t="n"/>
      <c r="AA1418" s="41" t="n"/>
      <c r="AB1418" s="41" t="n"/>
    </row>
    <row r="1419">
      <c r="A1419" s="39">
        <f>IF($C1419="","","NOV-"&amp;TEXT(ROW()-3,"0000"))</f>
        <v/>
      </c>
      <c r="B1419" s="40" t="n"/>
      <c r="C1419" s="41" t="n"/>
      <c r="D1419" s="42">
        <f>IF($C1419="","",IFERROR(INDEX(DESPACHOS!$D$3:$D$3002,MATCH($C1419,DESPACHOS!$B$3:$B$3002,0)),"SIN DESPACHO"))</f>
        <v/>
      </c>
      <c r="E1419" s="42">
        <f>IF($C1419="","",IFERROR(INDEX(DESPACHOS!$K$3:$K$3002,MATCH($C1419,DESPACHOS!$B$3:$B$3002,0)),""))</f>
        <v/>
      </c>
      <c r="F1419" s="42">
        <f>IF($C1419="","",IFERROR(INDEX(DESPACHOS!$I$3:$I$3002,MATCH($C1419,DESPACHOS!$B$3:$B$3002,0)),""))</f>
        <v/>
      </c>
      <c r="G1419" s="42">
        <f>IF($C1419="","",IFERROR(INDEX(DESPACHOS!$F$3:$F$3002,MATCH($C1419,DESPACHOS!$B$3:$B$3002,0)),""))</f>
        <v/>
      </c>
      <c r="H1419" s="42">
        <f>IF($C1419="","",IFERROR(INDEX(DESPACHOS!$G$3:$G$3002,MATCH($C1419,DESPACHOS!$B$3:$B$3002,0)),""))</f>
        <v/>
      </c>
      <c r="I1419" s="39">
        <f>IF($C1419="","",IFERROR(INDEX(DESPACHOS!$H$3:$H$3002,MATCH($C1419,DESPACHOS!$B$3:$B$3002,0)),""))</f>
        <v/>
      </c>
      <c r="J1419" s="43">
        <f>IF($C1419="","",IFERROR(INDEX(DESPACHOS!$J$3:$J$3002,MATCH($C1419,DESPACHOS!$B$3:$B$3002,0)),""))</f>
        <v/>
      </c>
      <c r="K1419" s="39">
        <f>IF($C1419="","",IF(COUNTIFS(DESPACHOS!$B$3:$B$3002,$C1419)=0,"NO EXISTE",IF(COUNTIFS(DESPACHOS!$B$3:$B$3002,$C1419)&gt;1,"DUPLICADO","OK")))</f>
        <v/>
      </c>
      <c r="L1419" s="41" t="n"/>
      <c r="M1419" s="41" t="n"/>
      <c r="N1419" s="42">
        <f>IF($M1419="","",IFERROR(INDEX(LISTAS!$F$3:$F$42,MATCH($M1419,LISTAS!$E$3:$E$42,0)),"Por definir"))</f>
        <v/>
      </c>
      <c r="O1419" s="41" t="n"/>
      <c r="P1419" s="39">
        <f>IF($L1419="","",IFERROR(INDEX(LISTAS!$B$3:$B$42,MATCH($L1419,LISTAS!$A$3:$A$42,0)),"Media"))</f>
        <v/>
      </c>
      <c r="Q1419" s="44" t="n"/>
      <c r="R1419" s="45" t="n"/>
      <c r="S1419" s="20">
        <f>IFERROR(IF(OR($R1419="",$C1419=""),"",$R1419/INDEX(DESPACHOS!$M$3:$M$3002,MATCH($C1419,DESPACHOS!$B$3:$B$3002,0))),"")</f>
        <v/>
      </c>
      <c r="T1419" s="41" t="n"/>
      <c r="U1419" s="43">
        <f>IF(OR($B1419="",$L1419=""),"",WORKDAY($B1419,IFERROR(INDEX(LISTAS!$C$3:$C$42,MATCH($L1419,LISTAS!$A$3:$A$42,0)),3)))</f>
        <v/>
      </c>
      <c r="V1419" s="40" t="n"/>
      <c r="W1419" s="19">
        <f>IF($B1419="","",IF($V1419&lt;&gt;"",$V1419-$B1419,TODAY()-$B1419))</f>
        <v/>
      </c>
      <c r="X1419" s="19">
        <f>IF(OR($B1419="",$U1419=""),"",IF($V1419&lt;&gt;"",MAX(0,$V1419-$U1419),MAX(0,TODAY()-$U1419)))</f>
        <v/>
      </c>
      <c r="Y1419" s="39">
        <f>IF($C1419="","",IF(IFERROR(INDEX(LISTAS!$I$3:$I$42,MATCH($T1419,LISTAS!$H$3:$H$42,0)),"NO")="SÍ",IF(N($X1419)&gt;0,"CERRADA FUERA DE SLA","CERRADA EN SLA"),IF($U1419="","SIN CLASIFICAR",IF(N($X1419)&gt;0,"VENCIDA",IF(TODAY()&gt;=$U1419-1,"POR VENCER","EN PLAZO")))))</f>
        <v/>
      </c>
      <c r="Z1419" s="41" t="n"/>
      <c r="AA1419" s="41" t="n"/>
      <c r="AB1419" s="41" t="n"/>
    </row>
    <row r="1420">
      <c r="A1420" s="39">
        <f>IF($C1420="","","NOV-"&amp;TEXT(ROW()-3,"0000"))</f>
        <v/>
      </c>
      <c r="B1420" s="40" t="n"/>
      <c r="C1420" s="41" t="n"/>
      <c r="D1420" s="42">
        <f>IF($C1420="","",IFERROR(INDEX(DESPACHOS!$D$3:$D$3002,MATCH($C1420,DESPACHOS!$B$3:$B$3002,0)),"SIN DESPACHO"))</f>
        <v/>
      </c>
      <c r="E1420" s="42">
        <f>IF($C1420="","",IFERROR(INDEX(DESPACHOS!$K$3:$K$3002,MATCH($C1420,DESPACHOS!$B$3:$B$3002,0)),""))</f>
        <v/>
      </c>
      <c r="F1420" s="42">
        <f>IF($C1420="","",IFERROR(INDEX(DESPACHOS!$I$3:$I$3002,MATCH($C1420,DESPACHOS!$B$3:$B$3002,0)),""))</f>
        <v/>
      </c>
      <c r="G1420" s="42">
        <f>IF($C1420="","",IFERROR(INDEX(DESPACHOS!$F$3:$F$3002,MATCH($C1420,DESPACHOS!$B$3:$B$3002,0)),""))</f>
        <v/>
      </c>
      <c r="H1420" s="42">
        <f>IF($C1420="","",IFERROR(INDEX(DESPACHOS!$G$3:$G$3002,MATCH($C1420,DESPACHOS!$B$3:$B$3002,0)),""))</f>
        <v/>
      </c>
      <c r="I1420" s="39">
        <f>IF($C1420="","",IFERROR(INDEX(DESPACHOS!$H$3:$H$3002,MATCH($C1420,DESPACHOS!$B$3:$B$3002,0)),""))</f>
        <v/>
      </c>
      <c r="J1420" s="43">
        <f>IF($C1420="","",IFERROR(INDEX(DESPACHOS!$J$3:$J$3002,MATCH($C1420,DESPACHOS!$B$3:$B$3002,0)),""))</f>
        <v/>
      </c>
      <c r="K1420" s="39">
        <f>IF($C1420="","",IF(COUNTIFS(DESPACHOS!$B$3:$B$3002,$C1420)=0,"NO EXISTE",IF(COUNTIFS(DESPACHOS!$B$3:$B$3002,$C1420)&gt;1,"DUPLICADO","OK")))</f>
        <v/>
      </c>
      <c r="L1420" s="41" t="n"/>
      <c r="M1420" s="41" t="n"/>
      <c r="N1420" s="42">
        <f>IF($M1420="","",IFERROR(INDEX(LISTAS!$F$3:$F$42,MATCH($M1420,LISTAS!$E$3:$E$42,0)),"Por definir"))</f>
        <v/>
      </c>
      <c r="O1420" s="41" t="n"/>
      <c r="P1420" s="39">
        <f>IF($L1420="","",IFERROR(INDEX(LISTAS!$B$3:$B$42,MATCH($L1420,LISTAS!$A$3:$A$42,0)),"Media"))</f>
        <v/>
      </c>
      <c r="Q1420" s="44" t="n"/>
      <c r="R1420" s="45" t="n"/>
      <c r="S1420" s="20">
        <f>IFERROR(IF(OR($R1420="",$C1420=""),"",$R1420/INDEX(DESPACHOS!$M$3:$M$3002,MATCH($C1420,DESPACHOS!$B$3:$B$3002,0))),"")</f>
        <v/>
      </c>
      <c r="T1420" s="41" t="n"/>
      <c r="U1420" s="43">
        <f>IF(OR($B1420="",$L1420=""),"",WORKDAY($B1420,IFERROR(INDEX(LISTAS!$C$3:$C$42,MATCH($L1420,LISTAS!$A$3:$A$42,0)),3)))</f>
        <v/>
      </c>
      <c r="V1420" s="40" t="n"/>
      <c r="W1420" s="19">
        <f>IF($B1420="","",IF($V1420&lt;&gt;"",$V1420-$B1420,TODAY()-$B1420))</f>
        <v/>
      </c>
      <c r="X1420" s="19">
        <f>IF(OR($B1420="",$U1420=""),"",IF($V1420&lt;&gt;"",MAX(0,$V1420-$U1420),MAX(0,TODAY()-$U1420)))</f>
        <v/>
      </c>
      <c r="Y1420" s="39">
        <f>IF($C1420="","",IF(IFERROR(INDEX(LISTAS!$I$3:$I$42,MATCH($T1420,LISTAS!$H$3:$H$42,0)),"NO")="SÍ",IF(N($X1420)&gt;0,"CERRADA FUERA DE SLA","CERRADA EN SLA"),IF($U1420="","SIN CLASIFICAR",IF(N($X1420)&gt;0,"VENCIDA",IF(TODAY()&gt;=$U1420-1,"POR VENCER","EN PLAZO")))))</f>
        <v/>
      </c>
      <c r="Z1420" s="41" t="n"/>
      <c r="AA1420" s="41" t="n"/>
      <c r="AB1420" s="41" t="n"/>
    </row>
    <row r="1421">
      <c r="A1421" s="39">
        <f>IF($C1421="","","NOV-"&amp;TEXT(ROW()-3,"0000"))</f>
        <v/>
      </c>
      <c r="B1421" s="40" t="n"/>
      <c r="C1421" s="41" t="n"/>
      <c r="D1421" s="42">
        <f>IF($C1421="","",IFERROR(INDEX(DESPACHOS!$D$3:$D$3002,MATCH($C1421,DESPACHOS!$B$3:$B$3002,0)),"SIN DESPACHO"))</f>
        <v/>
      </c>
      <c r="E1421" s="42">
        <f>IF($C1421="","",IFERROR(INDEX(DESPACHOS!$K$3:$K$3002,MATCH($C1421,DESPACHOS!$B$3:$B$3002,0)),""))</f>
        <v/>
      </c>
      <c r="F1421" s="42">
        <f>IF($C1421="","",IFERROR(INDEX(DESPACHOS!$I$3:$I$3002,MATCH($C1421,DESPACHOS!$B$3:$B$3002,0)),""))</f>
        <v/>
      </c>
      <c r="G1421" s="42">
        <f>IF($C1421="","",IFERROR(INDEX(DESPACHOS!$F$3:$F$3002,MATCH($C1421,DESPACHOS!$B$3:$B$3002,0)),""))</f>
        <v/>
      </c>
      <c r="H1421" s="42">
        <f>IF($C1421="","",IFERROR(INDEX(DESPACHOS!$G$3:$G$3002,MATCH($C1421,DESPACHOS!$B$3:$B$3002,0)),""))</f>
        <v/>
      </c>
      <c r="I1421" s="39">
        <f>IF($C1421="","",IFERROR(INDEX(DESPACHOS!$H$3:$H$3002,MATCH($C1421,DESPACHOS!$B$3:$B$3002,0)),""))</f>
        <v/>
      </c>
      <c r="J1421" s="43">
        <f>IF($C1421="","",IFERROR(INDEX(DESPACHOS!$J$3:$J$3002,MATCH($C1421,DESPACHOS!$B$3:$B$3002,0)),""))</f>
        <v/>
      </c>
      <c r="K1421" s="39">
        <f>IF($C1421="","",IF(COUNTIFS(DESPACHOS!$B$3:$B$3002,$C1421)=0,"NO EXISTE",IF(COUNTIFS(DESPACHOS!$B$3:$B$3002,$C1421)&gt;1,"DUPLICADO","OK")))</f>
        <v/>
      </c>
      <c r="L1421" s="41" t="n"/>
      <c r="M1421" s="41" t="n"/>
      <c r="N1421" s="42">
        <f>IF($M1421="","",IFERROR(INDEX(LISTAS!$F$3:$F$42,MATCH($M1421,LISTAS!$E$3:$E$42,0)),"Por definir"))</f>
        <v/>
      </c>
      <c r="O1421" s="41" t="n"/>
      <c r="P1421" s="39">
        <f>IF($L1421="","",IFERROR(INDEX(LISTAS!$B$3:$B$42,MATCH($L1421,LISTAS!$A$3:$A$42,0)),"Media"))</f>
        <v/>
      </c>
      <c r="Q1421" s="44" t="n"/>
      <c r="R1421" s="45" t="n"/>
      <c r="S1421" s="20">
        <f>IFERROR(IF(OR($R1421="",$C1421=""),"",$R1421/INDEX(DESPACHOS!$M$3:$M$3002,MATCH($C1421,DESPACHOS!$B$3:$B$3002,0))),"")</f>
        <v/>
      </c>
      <c r="T1421" s="41" t="n"/>
      <c r="U1421" s="43">
        <f>IF(OR($B1421="",$L1421=""),"",WORKDAY($B1421,IFERROR(INDEX(LISTAS!$C$3:$C$42,MATCH($L1421,LISTAS!$A$3:$A$42,0)),3)))</f>
        <v/>
      </c>
      <c r="V1421" s="40" t="n"/>
      <c r="W1421" s="19">
        <f>IF($B1421="","",IF($V1421&lt;&gt;"",$V1421-$B1421,TODAY()-$B1421))</f>
        <v/>
      </c>
      <c r="X1421" s="19">
        <f>IF(OR($B1421="",$U1421=""),"",IF($V1421&lt;&gt;"",MAX(0,$V1421-$U1421),MAX(0,TODAY()-$U1421)))</f>
        <v/>
      </c>
      <c r="Y1421" s="39">
        <f>IF($C1421="","",IF(IFERROR(INDEX(LISTAS!$I$3:$I$42,MATCH($T1421,LISTAS!$H$3:$H$42,0)),"NO")="SÍ",IF(N($X1421)&gt;0,"CERRADA FUERA DE SLA","CERRADA EN SLA"),IF($U1421="","SIN CLASIFICAR",IF(N($X1421)&gt;0,"VENCIDA",IF(TODAY()&gt;=$U1421-1,"POR VENCER","EN PLAZO")))))</f>
        <v/>
      </c>
      <c r="Z1421" s="41" t="n"/>
      <c r="AA1421" s="41" t="n"/>
      <c r="AB1421" s="41" t="n"/>
    </row>
    <row r="1422">
      <c r="A1422" s="39">
        <f>IF($C1422="","","NOV-"&amp;TEXT(ROW()-3,"0000"))</f>
        <v/>
      </c>
      <c r="B1422" s="40" t="n"/>
      <c r="C1422" s="41" t="n"/>
      <c r="D1422" s="42">
        <f>IF($C1422="","",IFERROR(INDEX(DESPACHOS!$D$3:$D$3002,MATCH($C1422,DESPACHOS!$B$3:$B$3002,0)),"SIN DESPACHO"))</f>
        <v/>
      </c>
      <c r="E1422" s="42">
        <f>IF($C1422="","",IFERROR(INDEX(DESPACHOS!$K$3:$K$3002,MATCH($C1422,DESPACHOS!$B$3:$B$3002,0)),""))</f>
        <v/>
      </c>
      <c r="F1422" s="42">
        <f>IF($C1422="","",IFERROR(INDEX(DESPACHOS!$I$3:$I$3002,MATCH($C1422,DESPACHOS!$B$3:$B$3002,0)),""))</f>
        <v/>
      </c>
      <c r="G1422" s="42">
        <f>IF($C1422="","",IFERROR(INDEX(DESPACHOS!$F$3:$F$3002,MATCH($C1422,DESPACHOS!$B$3:$B$3002,0)),""))</f>
        <v/>
      </c>
      <c r="H1422" s="42">
        <f>IF($C1422="","",IFERROR(INDEX(DESPACHOS!$G$3:$G$3002,MATCH($C1422,DESPACHOS!$B$3:$B$3002,0)),""))</f>
        <v/>
      </c>
      <c r="I1422" s="39">
        <f>IF($C1422="","",IFERROR(INDEX(DESPACHOS!$H$3:$H$3002,MATCH($C1422,DESPACHOS!$B$3:$B$3002,0)),""))</f>
        <v/>
      </c>
      <c r="J1422" s="43">
        <f>IF($C1422="","",IFERROR(INDEX(DESPACHOS!$J$3:$J$3002,MATCH($C1422,DESPACHOS!$B$3:$B$3002,0)),""))</f>
        <v/>
      </c>
      <c r="K1422" s="39">
        <f>IF($C1422="","",IF(COUNTIFS(DESPACHOS!$B$3:$B$3002,$C1422)=0,"NO EXISTE",IF(COUNTIFS(DESPACHOS!$B$3:$B$3002,$C1422)&gt;1,"DUPLICADO","OK")))</f>
        <v/>
      </c>
      <c r="L1422" s="41" t="n"/>
      <c r="M1422" s="41" t="n"/>
      <c r="N1422" s="42">
        <f>IF($M1422="","",IFERROR(INDEX(LISTAS!$F$3:$F$42,MATCH($M1422,LISTAS!$E$3:$E$42,0)),"Por definir"))</f>
        <v/>
      </c>
      <c r="O1422" s="41" t="n"/>
      <c r="P1422" s="39">
        <f>IF($L1422="","",IFERROR(INDEX(LISTAS!$B$3:$B$42,MATCH($L1422,LISTAS!$A$3:$A$42,0)),"Media"))</f>
        <v/>
      </c>
      <c r="Q1422" s="44" t="n"/>
      <c r="R1422" s="45" t="n"/>
      <c r="S1422" s="20">
        <f>IFERROR(IF(OR($R1422="",$C1422=""),"",$R1422/INDEX(DESPACHOS!$M$3:$M$3002,MATCH($C1422,DESPACHOS!$B$3:$B$3002,0))),"")</f>
        <v/>
      </c>
      <c r="T1422" s="41" t="n"/>
      <c r="U1422" s="43">
        <f>IF(OR($B1422="",$L1422=""),"",WORKDAY($B1422,IFERROR(INDEX(LISTAS!$C$3:$C$42,MATCH($L1422,LISTAS!$A$3:$A$42,0)),3)))</f>
        <v/>
      </c>
      <c r="V1422" s="40" t="n"/>
      <c r="W1422" s="19">
        <f>IF($B1422="","",IF($V1422&lt;&gt;"",$V1422-$B1422,TODAY()-$B1422))</f>
        <v/>
      </c>
      <c r="X1422" s="19">
        <f>IF(OR($B1422="",$U1422=""),"",IF($V1422&lt;&gt;"",MAX(0,$V1422-$U1422),MAX(0,TODAY()-$U1422)))</f>
        <v/>
      </c>
      <c r="Y1422" s="39">
        <f>IF($C1422="","",IF(IFERROR(INDEX(LISTAS!$I$3:$I$42,MATCH($T1422,LISTAS!$H$3:$H$42,0)),"NO")="SÍ",IF(N($X1422)&gt;0,"CERRADA FUERA DE SLA","CERRADA EN SLA"),IF($U1422="","SIN CLASIFICAR",IF(N($X1422)&gt;0,"VENCIDA",IF(TODAY()&gt;=$U1422-1,"POR VENCER","EN PLAZO")))))</f>
        <v/>
      </c>
      <c r="Z1422" s="41" t="n"/>
      <c r="AA1422" s="41" t="n"/>
      <c r="AB1422" s="41" t="n"/>
    </row>
    <row r="1423">
      <c r="A1423" s="39">
        <f>IF($C1423="","","NOV-"&amp;TEXT(ROW()-3,"0000"))</f>
        <v/>
      </c>
      <c r="B1423" s="40" t="n"/>
      <c r="C1423" s="41" t="n"/>
      <c r="D1423" s="42">
        <f>IF($C1423="","",IFERROR(INDEX(DESPACHOS!$D$3:$D$3002,MATCH($C1423,DESPACHOS!$B$3:$B$3002,0)),"SIN DESPACHO"))</f>
        <v/>
      </c>
      <c r="E1423" s="42">
        <f>IF($C1423="","",IFERROR(INDEX(DESPACHOS!$K$3:$K$3002,MATCH($C1423,DESPACHOS!$B$3:$B$3002,0)),""))</f>
        <v/>
      </c>
      <c r="F1423" s="42">
        <f>IF($C1423="","",IFERROR(INDEX(DESPACHOS!$I$3:$I$3002,MATCH($C1423,DESPACHOS!$B$3:$B$3002,0)),""))</f>
        <v/>
      </c>
      <c r="G1423" s="42">
        <f>IF($C1423="","",IFERROR(INDEX(DESPACHOS!$F$3:$F$3002,MATCH($C1423,DESPACHOS!$B$3:$B$3002,0)),""))</f>
        <v/>
      </c>
      <c r="H1423" s="42">
        <f>IF($C1423="","",IFERROR(INDEX(DESPACHOS!$G$3:$G$3002,MATCH($C1423,DESPACHOS!$B$3:$B$3002,0)),""))</f>
        <v/>
      </c>
      <c r="I1423" s="39">
        <f>IF($C1423="","",IFERROR(INDEX(DESPACHOS!$H$3:$H$3002,MATCH($C1423,DESPACHOS!$B$3:$B$3002,0)),""))</f>
        <v/>
      </c>
      <c r="J1423" s="43">
        <f>IF($C1423="","",IFERROR(INDEX(DESPACHOS!$J$3:$J$3002,MATCH($C1423,DESPACHOS!$B$3:$B$3002,0)),""))</f>
        <v/>
      </c>
      <c r="K1423" s="39">
        <f>IF($C1423="","",IF(COUNTIFS(DESPACHOS!$B$3:$B$3002,$C1423)=0,"NO EXISTE",IF(COUNTIFS(DESPACHOS!$B$3:$B$3002,$C1423)&gt;1,"DUPLICADO","OK")))</f>
        <v/>
      </c>
      <c r="L1423" s="41" t="n"/>
      <c r="M1423" s="41" t="n"/>
      <c r="N1423" s="42">
        <f>IF($M1423="","",IFERROR(INDEX(LISTAS!$F$3:$F$42,MATCH($M1423,LISTAS!$E$3:$E$42,0)),"Por definir"))</f>
        <v/>
      </c>
      <c r="O1423" s="41" t="n"/>
      <c r="P1423" s="39">
        <f>IF($L1423="","",IFERROR(INDEX(LISTAS!$B$3:$B$42,MATCH($L1423,LISTAS!$A$3:$A$42,0)),"Media"))</f>
        <v/>
      </c>
      <c r="Q1423" s="44" t="n"/>
      <c r="R1423" s="45" t="n"/>
      <c r="S1423" s="20">
        <f>IFERROR(IF(OR($R1423="",$C1423=""),"",$R1423/INDEX(DESPACHOS!$M$3:$M$3002,MATCH($C1423,DESPACHOS!$B$3:$B$3002,0))),"")</f>
        <v/>
      </c>
      <c r="T1423" s="41" t="n"/>
      <c r="U1423" s="43">
        <f>IF(OR($B1423="",$L1423=""),"",WORKDAY($B1423,IFERROR(INDEX(LISTAS!$C$3:$C$42,MATCH($L1423,LISTAS!$A$3:$A$42,0)),3)))</f>
        <v/>
      </c>
      <c r="V1423" s="40" t="n"/>
      <c r="W1423" s="19">
        <f>IF($B1423="","",IF($V1423&lt;&gt;"",$V1423-$B1423,TODAY()-$B1423))</f>
        <v/>
      </c>
      <c r="X1423" s="19">
        <f>IF(OR($B1423="",$U1423=""),"",IF($V1423&lt;&gt;"",MAX(0,$V1423-$U1423),MAX(0,TODAY()-$U1423)))</f>
        <v/>
      </c>
      <c r="Y1423" s="39">
        <f>IF($C1423="","",IF(IFERROR(INDEX(LISTAS!$I$3:$I$42,MATCH($T1423,LISTAS!$H$3:$H$42,0)),"NO")="SÍ",IF(N($X1423)&gt;0,"CERRADA FUERA DE SLA","CERRADA EN SLA"),IF($U1423="","SIN CLASIFICAR",IF(N($X1423)&gt;0,"VENCIDA",IF(TODAY()&gt;=$U1423-1,"POR VENCER","EN PLAZO")))))</f>
        <v/>
      </c>
      <c r="Z1423" s="41" t="n"/>
      <c r="AA1423" s="41" t="n"/>
      <c r="AB1423" s="41" t="n"/>
    </row>
    <row r="1424">
      <c r="A1424" s="39">
        <f>IF($C1424="","","NOV-"&amp;TEXT(ROW()-3,"0000"))</f>
        <v/>
      </c>
      <c r="B1424" s="40" t="n"/>
      <c r="C1424" s="41" t="n"/>
      <c r="D1424" s="42">
        <f>IF($C1424="","",IFERROR(INDEX(DESPACHOS!$D$3:$D$3002,MATCH($C1424,DESPACHOS!$B$3:$B$3002,0)),"SIN DESPACHO"))</f>
        <v/>
      </c>
      <c r="E1424" s="42">
        <f>IF($C1424="","",IFERROR(INDEX(DESPACHOS!$K$3:$K$3002,MATCH($C1424,DESPACHOS!$B$3:$B$3002,0)),""))</f>
        <v/>
      </c>
      <c r="F1424" s="42">
        <f>IF($C1424="","",IFERROR(INDEX(DESPACHOS!$I$3:$I$3002,MATCH($C1424,DESPACHOS!$B$3:$B$3002,0)),""))</f>
        <v/>
      </c>
      <c r="G1424" s="42">
        <f>IF($C1424="","",IFERROR(INDEX(DESPACHOS!$F$3:$F$3002,MATCH($C1424,DESPACHOS!$B$3:$B$3002,0)),""))</f>
        <v/>
      </c>
      <c r="H1424" s="42">
        <f>IF($C1424="","",IFERROR(INDEX(DESPACHOS!$G$3:$G$3002,MATCH($C1424,DESPACHOS!$B$3:$B$3002,0)),""))</f>
        <v/>
      </c>
      <c r="I1424" s="39">
        <f>IF($C1424="","",IFERROR(INDEX(DESPACHOS!$H$3:$H$3002,MATCH($C1424,DESPACHOS!$B$3:$B$3002,0)),""))</f>
        <v/>
      </c>
      <c r="J1424" s="43">
        <f>IF($C1424="","",IFERROR(INDEX(DESPACHOS!$J$3:$J$3002,MATCH($C1424,DESPACHOS!$B$3:$B$3002,0)),""))</f>
        <v/>
      </c>
      <c r="K1424" s="39">
        <f>IF($C1424="","",IF(COUNTIFS(DESPACHOS!$B$3:$B$3002,$C1424)=0,"NO EXISTE",IF(COUNTIFS(DESPACHOS!$B$3:$B$3002,$C1424)&gt;1,"DUPLICADO","OK")))</f>
        <v/>
      </c>
      <c r="L1424" s="41" t="n"/>
      <c r="M1424" s="41" t="n"/>
      <c r="N1424" s="42">
        <f>IF($M1424="","",IFERROR(INDEX(LISTAS!$F$3:$F$42,MATCH($M1424,LISTAS!$E$3:$E$42,0)),"Por definir"))</f>
        <v/>
      </c>
      <c r="O1424" s="41" t="n"/>
      <c r="P1424" s="39">
        <f>IF($L1424="","",IFERROR(INDEX(LISTAS!$B$3:$B$42,MATCH($L1424,LISTAS!$A$3:$A$42,0)),"Media"))</f>
        <v/>
      </c>
      <c r="Q1424" s="44" t="n"/>
      <c r="R1424" s="45" t="n"/>
      <c r="S1424" s="20">
        <f>IFERROR(IF(OR($R1424="",$C1424=""),"",$R1424/INDEX(DESPACHOS!$M$3:$M$3002,MATCH($C1424,DESPACHOS!$B$3:$B$3002,0))),"")</f>
        <v/>
      </c>
      <c r="T1424" s="41" t="n"/>
      <c r="U1424" s="43">
        <f>IF(OR($B1424="",$L1424=""),"",WORKDAY($B1424,IFERROR(INDEX(LISTAS!$C$3:$C$42,MATCH($L1424,LISTAS!$A$3:$A$42,0)),3)))</f>
        <v/>
      </c>
      <c r="V1424" s="40" t="n"/>
      <c r="W1424" s="19">
        <f>IF($B1424="","",IF($V1424&lt;&gt;"",$V1424-$B1424,TODAY()-$B1424))</f>
        <v/>
      </c>
      <c r="X1424" s="19">
        <f>IF(OR($B1424="",$U1424=""),"",IF($V1424&lt;&gt;"",MAX(0,$V1424-$U1424),MAX(0,TODAY()-$U1424)))</f>
        <v/>
      </c>
      <c r="Y1424" s="39">
        <f>IF($C1424="","",IF(IFERROR(INDEX(LISTAS!$I$3:$I$42,MATCH($T1424,LISTAS!$H$3:$H$42,0)),"NO")="SÍ",IF(N($X1424)&gt;0,"CERRADA FUERA DE SLA","CERRADA EN SLA"),IF($U1424="","SIN CLASIFICAR",IF(N($X1424)&gt;0,"VENCIDA",IF(TODAY()&gt;=$U1424-1,"POR VENCER","EN PLAZO")))))</f>
        <v/>
      </c>
      <c r="Z1424" s="41" t="n"/>
      <c r="AA1424" s="41" t="n"/>
      <c r="AB1424" s="41" t="n"/>
    </row>
    <row r="1425">
      <c r="A1425" s="39">
        <f>IF($C1425="","","NOV-"&amp;TEXT(ROW()-3,"0000"))</f>
        <v/>
      </c>
      <c r="B1425" s="40" t="n"/>
      <c r="C1425" s="41" t="n"/>
      <c r="D1425" s="42">
        <f>IF($C1425="","",IFERROR(INDEX(DESPACHOS!$D$3:$D$3002,MATCH($C1425,DESPACHOS!$B$3:$B$3002,0)),"SIN DESPACHO"))</f>
        <v/>
      </c>
      <c r="E1425" s="42">
        <f>IF($C1425="","",IFERROR(INDEX(DESPACHOS!$K$3:$K$3002,MATCH($C1425,DESPACHOS!$B$3:$B$3002,0)),""))</f>
        <v/>
      </c>
      <c r="F1425" s="42">
        <f>IF($C1425="","",IFERROR(INDEX(DESPACHOS!$I$3:$I$3002,MATCH($C1425,DESPACHOS!$B$3:$B$3002,0)),""))</f>
        <v/>
      </c>
      <c r="G1425" s="42">
        <f>IF($C1425="","",IFERROR(INDEX(DESPACHOS!$F$3:$F$3002,MATCH($C1425,DESPACHOS!$B$3:$B$3002,0)),""))</f>
        <v/>
      </c>
      <c r="H1425" s="42">
        <f>IF($C1425="","",IFERROR(INDEX(DESPACHOS!$G$3:$G$3002,MATCH($C1425,DESPACHOS!$B$3:$B$3002,0)),""))</f>
        <v/>
      </c>
      <c r="I1425" s="39">
        <f>IF($C1425="","",IFERROR(INDEX(DESPACHOS!$H$3:$H$3002,MATCH($C1425,DESPACHOS!$B$3:$B$3002,0)),""))</f>
        <v/>
      </c>
      <c r="J1425" s="43">
        <f>IF($C1425="","",IFERROR(INDEX(DESPACHOS!$J$3:$J$3002,MATCH($C1425,DESPACHOS!$B$3:$B$3002,0)),""))</f>
        <v/>
      </c>
      <c r="K1425" s="39">
        <f>IF($C1425="","",IF(COUNTIFS(DESPACHOS!$B$3:$B$3002,$C1425)=0,"NO EXISTE",IF(COUNTIFS(DESPACHOS!$B$3:$B$3002,$C1425)&gt;1,"DUPLICADO","OK")))</f>
        <v/>
      </c>
      <c r="L1425" s="41" t="n"/>
      <c r="M1425" s="41" t="n"/>
      <c r="N1425" s="42">
        <f>IF($M1425="","",IFERROR(INDEX(LISTAS!$F$3:$F$42,MATCH($M1425,LISTAS!$E$3:$E$42,0)),"Por definir"))</f>
        <v/>
      </c>
      <c r="O1425" s="41" t="n"/>
      <c r="P1425" s="39">
        <f>IF($L1425="","",IFERROR(INDEX(LISTAS!$B$3:$B$42,MATCH($L1425,LISTAS!$A$3:$A$42,0)),"Media"))</f>
        <v/>
      </c>
      <c r="Q1425" s="44" t="n"/>
      <c r="R1425" s="45" t="n"/>
      <c r="S1425" s="20">
        <f>IFERROR(IF(OR($R1425="",$C1425=""),"",$R1425/INDEX(DESPACHOS!$M$3:$M$3002,MATCH($C1425,DESPACHOS!$B$3:$B$3002,0))),"")</f>
        <v/>
      </c>
      <c r="T1425" s="41" t="n"/>
      <c r="U1425" s="43">
        <f>IF(OR($B1425="",$L1425=""),"",WORKDAY($B1425,IFERROR(INDEX(LISTAS!$C$3:$C$42,MATCH($L1425,LISTAS!$A$3:$A$42,0)),3)))</f>
        <v/>
      </c>
      <c r="V1425" s="40" t="n"/>
      <c r="W1425" s="19">
        <f>IF($B1425="","",IF($V1425&lt;&gt;"",$V1425-$B1425,TODAY()-$B1425))</f>
        <v/>
      </c>
      <c r="X1425" s="19">
        <f>IF(OR($B1425="",$U1425=""),"",IF($V1425&lt;&gt;"",MAX(0,$V1425-$U1425),MAX(0,TODAY()-$U1425)))</f>
        <v/>
      </c>
      <c r="Y1425" s="39">
        <f>IF($C1425="","",IF(IFERROR(INDEX(LISTAS!$I$3:$I$42,MATCH($T1425,LISTAS!$H$3:$H$42,0)),"NO")="SÍ",IF(N($X1425)&gt;0,"CERRADA FUERA DE SLA","CERRADA EN SLA"),IF($U1425="","SIN CLASIFICAR",IF(N($X1425)&gt;0,"VENCIDA",IF(TODAY()&gt;=$U1425-1,"POR VENCER","EN PLAZO")))))</f>
        <v/>
      </c>
      <c r="Z1425" s="41" t="n"/>
      <c r="AA1425" s="41" t="n"/>
      <c r="AB1425" s="41" t="n"/>
    </row>
    <row r="1426">
      <c r="A1426" s="39">
        <f>IF($C1426="","","NOV-"&amp;TEXT(ROW()-3,"0000"))</f>
        <v/>
      </c>
      <c r="B1426" s="40" t="n"/>
      <c r="C1426" s="41" t="n"/>
      <c r="D1426" s="42">
        <f>IF($C1426="","",IFERROR(INDEX(DESPACHOS!$D$3:$D$3002,MATCH($C1426,DESPACHOS!$B$3:$B$3002,0)),"SIN DESPACHO"))</f>
        <v/>
      </c>
      <c r="E1426" s="42">
        <f>IF($C1426="","",IFERROR(INDEX(DESPACHOS!$K$3:$K$3002,MATCH($C1426,DESPACHOS!$B$3:$B$3002,0)),""))</f>
        <v/>
      </c>
      <c r="F1426" s="42">
        <f>IF($C1426="","",IFERROR(INDEX(DESPACHOS!$I$3:$I$3002,MATCH($C1426,DESPACHOS!$B$3:$B$3002,0)),""))</f>
        <v/>
      </c>
      <c r="G1426" s="42">
        <f>IF($C1426="","",IFERROR(INDEX(DESPACHOS!$F$3:$F$3002,MATCH($C1426,DESPACHOS!$B$3:$B$3002,0)),""))</f>
        <v/>
      </c>
      <c r="H1426" s="42">
        <f>IF($C1426="","",IFERROR(INDEX(DESPACHOS!$G$3:$G$3002,MATCH($C1426,DESPACHOS!$B$3:$B$3002,0)),""))</f>
        <v/>
      </c>
      <c r="I1426" s="39">
        <f>IF($C1426="","",IFERROR(INDEX(DESPACHOS!$H$3:$H$3002,MATCH($C1426,DESPACHOS!$B$3:$B$3002,0)),""))</f>
        <v/>
      </c>
      <c r="J1426" s="43">
        <f>IF($C1426="","",IFERROR(INDEX(DESPACHOS!$J$3:$J$3002,MATCH($C1426,DESPACHOS!$B$3:$B$3002,0)),""))</f>
        <v/>
      </c>
      <c r="K1426" s="39">
        <f>IF($C1426="","",IF(COUNTIFS(DESPACHOS!$B$3:$B$3002,$C1426)=0,"NO EXISTE",IF(COUNTIFS(DESPACHOS!$B$3:$B$3002,$C1426)&gt;1,"DUPLICADO","OK")))</f>
        <v/>
      </c>
      <c r="L1426" s="41" t="n"/>
      <c r="M1426" s="41" t="n"/>
      <c r="N1426" s="42">
        <f>IF($M1426="","",IFERROR(INDEX(LISTAS!$F$3:$F$42,MATCH($M1426,LISTAS!$E$3:$E$42,0)),"Por definir"))</f>
        <v/>
      </c>
      <c r="O1426" s="41" t="n"/>
      <c r="P1426" s="39">
        <f>IF($L1426="","",IFERROR(INDEX(LISTAS!$B$3:$B$42,MATCH($L1426,LISTAS!$A$3:$A$42,0)),"Media"))</f>
        <v/>
      </c>
      <c r="Q1426" s="44" t="n"/>
      <c r="R1426" s="45" t="n"/>
      <c r="S1426" s="20">
        <f>IFERROR(IF(OR($R1426="",$C1426=""),"",$R1426/INDEX(DESPACHOS!$M$3:$M$3002,MATCH($C1426,DESPACHOS!$B$3:$B$3002,0))),"")</f>
        <v/>
      </c>
      <c r="T1426" s="41" t="n"/>
      <c r="U1426" s="43">
        <f>IF(OR($B1426="",$L1426=""),"",WORKDAY($B1426,IFERROR(INDEX(LISTAS!$C$3:$C$42,MATCH($L1426,LISTAS!$A$3:$A$42,0)),3)))</f>
        <v/>
      </c>
      <c r="V1426" s="40" t="n"/>
      <c r="W1426" s="19">
        <f>IF($B1426="","",IF($V1426&lt;&gt;"",$V1426-$B1426,TODAY()-$B1426))</f>
        <v/>
      </c>
      <c r="X1426" s="19">
        <f>IF(OR($B1426="",$U1426=""),"",IF($V1426&lt;&gt;"",MAX(0,$V1426-$U1426),MAX(0,TODAY()-$U1426)))</f>
        <v/>
      </c>
      <c r="Y1426" s="39">
        <f>IF($C1426="","",IF(IFERROR(INDEX(LISTAS!$I$3:$I$42,MATCH($T1426,LISTAS!$H$3:$H$42,0)),"NO")="SÍ",IF(N($X1426)&gt;0,"CERRADA FUERA DE SLA","CERRADA EN SLA"),IF($U1426="","SIN CLASIFICAR",IF(N($X1426)&gt;0,"VENCIDA",IF(TODAY()&gt;=$U1426-1,"POR VENCER","EN PLAZO")))))</f>
        <v/>
      </c>
      <c r="Z1426" s="41" t="n"/>
      <c r="AA1426" s="41" t="n"/>
      <c r="AB1426" s="41" t="n"/>
    </row>
    <row r="1427">
      <c r="A1427" s="39">
        <f>IF($C1427="","","NOV-"&amp;TEXT(ROW()-3,"0000"))</f>
        <v/>
      </c>
      <c r="B1427" s="40" t="n"/>
      <c r="C1427" s="41" t="n"/>
      <c r="D1427" s="42">
        <f>IF($C1427="","",IFERROR(INDEX(DESPACHOS!$D$3:$D$3002,MATCH($C1427,DESPACHOS!$B$3:$B$3002,0)),"SIN DESPACHO"))</f>
        <v/>
      </c>
      <c r="E1427" s="42">
        <f>IF($C1427="","",IFERROR(INDEX(DESPACHOS!$K$3:$K$3002,MATCH($C1427,DESPACHOS!$B$3:$B$3002,0)),""))</f>
        <v/>
      </c>
      <c r="F1427" s="42">
        <f>IF($C1427="","",IFERROR(INDEX(DESPACHOS!$I$3:$I$3002,MATCH($C1427,DESPACHOS!$B$3:$B$3002,0)),""))</f>
        <v/>
      </c>
      <c r="G1427" s="42">
        <f>IF($C1427="","",IFERROR(INDEX(DESPACHOS!$F$3:$F$3002,MATCH($C1427,DESPACHOS!$B$3:$B$3002,0)),""))</f>
        <v/>
      </c>
      <c r="H1427" s="42">
        <f>IF($C1427="","",IFERROR(INDEX(DESPACHOS!$G$3:$G$3002,MATCH($C1427,DESPACHOS!$B$3:$B$3002,0)),""))</f>
        <v/>
      </c>
      <c r="I1427" s="39">
        <f>IF($C1427="","",IFERROR(INDEX(DESPACHOS!$H$3:$H$3002,MATCH($C1427,DESPACHOS!$B$3:$B$3002,0)),""))</f>
        <v/>
      </c>
      <c r="J1427" s="43">
        <f>IF($C1427="","",IFERROR(INDEX(DESPACHOS!$J$3:$J$3002,MATCH($C1427,DESPACHOS!$B$3:$B$3002,0)),""))</f>
        <v/>
      </c>
      <c r="K1427" s="39">
        <f>IF($C1427="","",IF(COUNTIFS(DESPACHOS!$B$3:$B$3002,$C1427)=0,"NO EXISTE",IF(COUNTIFS(DESPACHOS!$B$3:$B$3002,$C1427)&gt;1,"DUPLICADO","OK")))</f>
        <v/>
      </c>
      <c r="L1427" s="41" t="n"/>
      <c r="M1427" s="41" t="n"/>
      <c r="N1427" s="42">
        <f>IF($M1427="","",IFERROR(INDEX(LISTAS!$F$3:$F$42,MATCH($M1427,LISTAS!$E$3:$E$42,0)),"Por definir"))</f>
        <v/>
      </c>
      <c r="O1427" s="41" t="n"/>
      <c r="P1427" s="39">
        <f>IF($L1427="","",IFERROR(INDEX(LISTAS!$B$3:$B$42,MATCH($L1427,LISTAS!$A$3:$A$42,0)),"Media"))</f>
        <v/>
      </c>
      <c r="Q1427" s="44" t="n"/>
      <c r="R1427" s="45" t="n"/>
      <c r="S1427" s="20">
        <f>IFERROR(IF(OR($R1427="",$C1427=""),"",$R1427/INDEX(DESPACHOS!$M$3:$M$3002,MATCH($C1427,DESPACHOS!$B$3:$B$3002,0))),"")</f>
        <v/>
      </c>
      <c r="T1427" s="41" t="n"/>
      <c r="U1427" s="43">
        <f>IF(OR($B1427="",$L1427=""),"",WORKDAY($B1427,IFERROR(INDEX(LISTAS!$C$3:$C$42,MATCH($L1427,LISTAS!$A$3:$A$42,0)),3)))</f>
        <v/>
      </c>
      <c r="V1427" s="40" t="n"/>
      <c r="W1427" s="19">
        <f>IF($B1427="","",IF($V1427&lt;&gt;"",$V1427-$B1427,TODAY()-$B1427))</f>
        <v/>
      </c>
      <c r="X1427" s="19">
        <f>IF(OR($B1427="",$U1427=""),"",IF($V1427&lt;&gt;"",MAX(0,$V1427-$U1427),MAX(0,TODAY()-$U1427)))</f>
        <v/>
      </c>
      <c r="Y1427" s="39">
        <f>IF($C1427="","",IF(IFERROR(INDEX(LISTAS!$I$3:$I$42,MATCH($T1427,LISTAS!$H$3:$H$42,0)),"NO")="SÍ",IF(N($X1427)&gt;0,"CERRADA FUERA DE SLA","CERRADA EN SLA"),IF($U1427="","SIN CLASIFICAR",IF(N($X1427)&gt;0,"VENCIDA",IF(TODAY()&gt;=$U1427-1,"POR VENCER","EN PLAZO")))))</f>
        <v/>
      </c>
      <c r="Z1427" s="41" t="n"/>
      <c r="AA1427" s="41" t="n"/>
      <c r="AB1427" s="41" t="n"/>
    </row>
    <row r="1428">
      <c r="A1428" s="39">
        <f>IF($C1428="","","NOV-"&amp;TEXT(ROW()-3,"0000"))</f>
        <v/>
      </c>
      <c r="B1428" s="40" t="n"/>
      <c r="C1428" s="41" t="n"/>
      <c r="D1428" s="42">
        <f>IF($C1428="","",IFERROR(INDEX(DESPACHOS!$D$3:$D$3002,MATCH($C1428,DESPACHOS!$B$3:$B$3002,0)),"SIN DESPACHO"))</f>
        <v/>
      </c>
      <c r="E1428" s="42">
        <f>IF($C1428="","",IFERROR(INDEX(DESPACHOS!$K$3:$K$3002,MATCH($C1428,DESPACHOS!$B$3:$B$3002,0)),""))</f>
        <v/>
      </c>
      <c r="F1428" s="42">
        <f>IF($C1428="","",IFERROR(INDEX(DESPACHOS!$I$3:$I$3002,MATCH($C1428,DESPACHOS!$B$3:$B$3002,0)),""))</f>
        <v/>
      </c>
      <c r="G1428" s="42">
        <f>IF($C1428="","",IFERROR(INDEX(DESPACHOS!$F$3:$F$3002,MATCH($C1428,DESPACHOS!$B$3:$B$3002,0)),""))</f>
        <v/>
      </c>
      <c r="H1428" s="42">
        <f>IF($C1428="","",IFERROR(INDEX(DESPACHOS!$G$3:$G$3002,MATCH($C1428,DESPACHOS!$B$3:$B$3002,0)),""))</f>
        <v/>
      </c>
      <c r="I1428" s="39">
        <f>IF($C1428="","",IFERROR(INDEX(DESPACHOS!$H$3:$H$3002,MATCH($C1428,DESPACHOS!$B$3:$B$3002,0)),""))</f>
        <v/>
      </c>
      <c r="J1428" s="43">
        <f>IF($C1428="","",IFERROR(INDEX(DESPACHOS!$J$3:$J$3002,MATCH($C1428,DESPACHOS!$B$3:$B$3002,0)),""))</f>
        <v/>
      </c>
      <c r="K1428" s="39">
        <f>IF($C1428="","",IF(COUNTIFS(DESPACHOS!$B$3:$B$3002,$C1428)=0,"NO EXISTE",IF(COUNTIFS(DESPACHOS!$B$3:$B$3002,$C1428)&gt;1,"DUPLICADO","OK")))</f>
        <v/>
      </c>
      <c r="L1428" s="41" t="n"/>
      <c r="M1428" s="41" t="n"/>
      <c r="N1428" s="42">
        <f>IF($M1428="","",IFERROR(INDEX(LISTAS!$F$3:$F$42,MATCH($M1428,LISTAS!$E$3:$E$42,0)),"Por definir"))</f>
        <v/>
      </c>
      <c r="O1428" s="41" t="n"/>
      <c r="P1428" s="39">
        <f>IF($L1428="","",IFERROR(INDEX(LISTAS!$B$3:$B$42,MATCH($L1428,LISTAS!$A$3:$A$42,0)),"Media"))</f>
        <v/>
      </c>
      <c r="Q1428" s="44" t="n"/>
      <c r="R1428" s="45" t="n"/>
      <c r="S1428" s="20">
        <f>IFERROR(IF(OR($R1428="",$C1428=""),"",$R1428/INDEX(DESPACHOS!$M$3:$M$3002,MATCH($C1428,DESPACHOS!$B$3:$B$3002,0))),"")</f>
        <v/>
      </c>
      <c r="T1428" s="41" t="n"/>
      <c r="U1428" s="43">
        <f>IF(OR($B1428="",$L1428=""),"",WORKDAY($B1428,IFERROR(INDEX(LISTAS!$C$3:$C$42,MATCH($L1428,LISTAS!$A$3:$A$42,0)),3)))</f>
        <v/>
      </c>
      <c r="V1428" s="40" t="n"/>
      <c r="W1428" s="19">
        <f>IF($B1428="","",IF($V1428&lt;&gt;"",$V1428-$B1428,TODAY()-$B1428))</f>
        <v/>
      </c>
      <c r="X1428" s="19">
        <f>IF(OR($B1428="",$U1428=""),"",IF($V1428&lt;&gt;"",MAX(0,$V1428-$U1428),MAX(0,TODAY()-$U1428)))</f>
        <v/>
      </c>
      <c r="Y1428" s="39">
        <f>IF($C1428="","",IF(IFERROR(INDEX(LISTAS!$I$3:$I$42,MATCH($T1428,LISTAS!$H$3:$H$42,0)),"NO")="SÍ",IF(N($X1428)&gt;0,"CERRADA FUERA DE SLA","CERRADA EN SLA"),IF($U1428="","SIN CLASIFICAR",IF(N($X1428)&gt;0,"VENCIDA",IF(TODAY()&gt;=$U1428-1,"POR VENCER","EN PLAZO")))))</f>
        <v/>
      </c>
      <c r="Z1428" s="41" t="n"/>
      <c r="AA1428" s="41" t="n"/>
      <c r="AB1428" s="41" t="n"/>
    </row>
    <row r="1429">
      <c r="A1429" s="39">
        <f>IF($C1429="","","NOV-"&amp;TEXT(ROW()-3,"0000"))</f>
        <v/>
      </c>
      <c r="B1429" s="40" t="n"/>
      <c r="C1429" s="41" t="n"/>
      <c r="D1429" s="42">
        <f>IF($C1429="","",IFERROR(INDEX(DESPACHOS!$D$3:$D$3002,MATCH($C1429,DESPACHOS!$B$3:$B$3002,0)),"SIN DESPACHO"))</f>
        <v/>
      </c>
      <c r="E1429" s="42">
        <f>IF($C1429="","",IFERROR(INDEX(DESPACHOS!$K$3:$K$3002,MATCH($C1429,DESPACHOS!$B$3:$B$3002,0)),""))</f>
        <v/>
      </c>
      <c r="F1429" s="42">
        <f>IF($C1429="","",IFERROR(INDEX(DESPACHOS!$I$3:$I$3002,MATCH($C1429,DESPACHOS!$B$3:$B$3002,0)),""))</f>
        <v/>
      </c>
      <c r="G1429" s="42">
        <f>IF($C1429="","",IFERROR(INDEX(DESPACHOS!$F$3:$F$3002,MATCH($C1429,DESPACHOS!$B$3:$B$3002,0)),""))</f>
        <v/>
      </c>
      <c r="H1429" s="42">
        <f>IF($C1429="","",IFERROR(INDEX(DESPACHOS!$G$3:$G$3002,MATCH($C1429,DESPACHOS!$B$3:$B$3002,0)),""))</f>
        <v/>
      </c>
      <c r="I1429" s="39">
        <f>IF($C1429="","",IFERROR(INDEX(DESPACHOS!$H$3:$H$3002,MATCH($C1429,DESPACHOS!$B$3:$B$3002,0)),""))</f>
        <v/>
      </c>
      <c r="J1429" s="43">
        <f>IF($C1429="","",IFERROR(INDEX(DESPACHOS!$J$3:$J$3002,MATCH($C1429,DESPACHOS!$B$3:$B$3002,0)),""))</f>
        <v/>
      </c>
      <c r="K1429" s="39">
        <f>IF($C1429="","",IF(COUNTIFS(DESPACHOS!$B$3:$B$3002,$C1429)=0,"NO EXISTE",IF(COUNTIFS(DESPACHOS!$B$3:$B$3002,$C1429)&gt;1,"DUPLICADO","OK")))</f>
        <v/>
      </c>
      <c r="L1429" s="41" t="n"/>
      <c r="M1429" s="41" t="n"/>
      <c r="N1429" s="42">
        <f>IF($M1429="","",IFERROR(INDEX(LISTAS!$F$3:$F$42,MATCH($M1429,LISTAS!$E$3:$E$42,0)),"Por definir"))</f>
        <v/>
      </c>
      <c r="O1429" s="41" t="n"/>
      <c r="P1429" s="39">
        <f>IF($L1429="","",IFERROR(INDEX(LISTAS!$B$3:$B$42,MATCH($L1429,LISTAS!$A$3:$A$42,0)),"Media"))</f>
        <v/>
      </c>
      <c r="Q1429" s="44" t="n"/>
      <c r="R1429" s="45" t="n"/>
      <c r="S1429" s="20">
        <f>IFERROR(IF(OR($R1429="",$C1429=""),"",$R1429/INDEX(DESPACHOS!$M$3:$M$3002,MATCH($C1429,DESPACHOS!$B$3:$B$3002,0))),"")</f>
        <v/>
      </c>
      <c r="T1429" s="41" t="n"/>
      <c r="U1429" s="43">
        <f>IF(OR($B1429="",$L1429=""),"",WORKDAY($B1429,IFERROR(INDEX(LISTAS!$C$3:$C$42,MATCH($L1429,LISTAS!$A$3:$A$42,0)),3)))</f>
        <v/>
      </c>
      <c r="V1429" s="40" t="n"/>
      <c r="W1429" s="19">
        <f>IF($B1429="","",IF($V1429&lt;&gt;"",$V1429-$B1429,TODAY()-$B1429))</f>
        <v/>
      </c>
      <c r="X1429" s="19">
        <f>IF(OR($B1429="",$U1429=""),"",IF($V1429&lt;&gt;"",MAX(0,$V1429-$U1429),MAX(0,TODAY()-$U1429)))</f>
        <v/>
      </c>
      <c r="Y1429" s="39">
        <f>IF($C1429="","",IF(IFERROR(INDEX(LISTAS!$I$3:$I$42,MATCH($T1429,LISTAS!$H$3:$H$42,0)),"NO")="SÍ",IF(N($X1429)&gt;0,"CERRADA FUERA DE SLA","CERRADA EN SLA"),IF($U1429="","SIN CLASIFICAR",IF(N($X1429)&gt;0,"VENCIDA",IF(TODAY()&gt;=$U1429-1,"POR VENCER","EN PLAZO")))))</f>
        <v/>
      </c>
      <c r="Z1429" s="41" t="n"/>
      <c r="AA1429" s="41" t="n"/>
      <c r="AB1429" s="41" t="n"/>
    </row>
    <row r="1430">
      <c r="A1430" s="39">
        <f>IF($C1430="","","NOV-"&amp;TEXT(ROW()-3,"0000"))</f>
        <v/>
      </c>
      <c r="B1430" s="40" t="n"/>
      <c r="C1430" s="41" t="n"/>
      <c r="D1430" s="42">
        <f>IF($C1430="","",IFERROR(INDEX(DESPACHOS!$D$3:$D$3002,MATCH($C1430,DESPACHOS!$B$3:$B$3002,0)),"SIN DESPACHO"))</f>
        <v/>
      </c>
      <c r="E1430" s="42">
        <f>IF($C1430="","",IFERROR(INDEX(DESPACHOS!$K$3:$K$3002,MATCH($C1430,DESPACHOS!$B$3:$B$3002,0)),""))</f>
        <v/>
      </c>
      <c r="F1430" s="42">
        <f>IF($C1430="","",IFERROR(INDEX(DESPACHOS!$I$3:$I$3002,MATCH($C1430,DESPACHOS!$B$3:$B$3002,0)),""))</f>
        <v/>
      </c>
      <c r="G1430" s="42">
        <f>IF($C1430="","",IFERROR(INDEX(DESPACHOS!$F$3:$F$3002,MATCH($C1430,DESPACHOS!$B$3:$B$3002,0)),""))</f>
        <v/>
      </c>
      <c r="H1430" s="42">
        <f>IF($C1430="","",IFERROR(INDEX(DESPACHOS!$G$3:$G$3002,MATCH($C1430,DESPACHOS!$B$3:$B$3002,0)),""))</f>
        <v/>
      </c>
      <c r="I1430" s="39">
        <f>IF($C1430="","",IFERROR(INDEX(DESPACHOS!$H$3:$H$3002,MATCH($C1430,DESPACHOS!$B$3:$B$3002,0)),""))</f>
        <v/>
      </c>
      <c r="J1430" s="43">
        <f>IF($C1430="","",IFERROR(INDEX(DESPACHOS!$J$3:$J$3002,MATCH($C1430,DESPACHOS!$B$3:$B$3002,0)),""))</f>
        <v/>
      </c>
      <c r="K1430" s="39">
        <f>IF($C1430="","",IF(COUNTIFS(DESPACHOS!$B$3:$B$3002,$C1430)=0,"NO EXISTE",IF(COUNTIFS(DESPACHOS!$B$3:$B$3002,$C1430)&gt;1,"DUPLICADO","OK")))</f>
        <v/>
      </c>
      <c r="L1430" s="41" t="n"/>
      <c r="M1430" s="41" t="n"/>
      <c r="N1430" s="42">
        <f>IF($M1430="","",IFERROR(INDEX(LISTAS!$F$3:$F$42,MATCH($M1430,LISTAS!$E$3:$E$42,0)),"Por definir"))</f>
        <v/>
      </c>
      <c r="O1430" s="41" t="n"/>
      <c r="P1430" s="39">
        <f>IF($L1430="","",IFERROR(INDEX(LISTAS!$B$3:$B$42,MATCH($L1430,LISTAS!$A$3:$A$42,0)),"Media"))</f>
        <v/>
      </c>
      <c r="Q1430" s="44" t="n"/>
      <c r="R1430" s="45" t="n"/>
      <c r="S1430" s="20">
        <f>IFERROR(IF(OR($R1430="",$C1430=""),"",$R1430/INDEX(DESPACHOS!$M$3:$M$3002,MATCH($C1430,DESPACHOS!$B$3:$B$3002,0))),"")</f>
        <v/>
      </c>
      <c r="T1430" s="41" t="n"/>
      <c r="U1430" s="43">
        <f>IF(OR($B1430="",$L1430=""),"",WORKDAY($B1430,IFERROR(INDEX(LISTAS!$C$3:$C$42,MATCH($L1430,LISTAS!$A$3:$A$42,0)),3)))</f>
        <v/>
      </c>
      <c r="V1430" s="40" t="n"/>
      <c r="W1430" s="19">
        <f>IF($B1430="","",IF($V1430&lt;&gt;"",$V1430-$B1430,TODAY()-$B1430))</f>
        <v/>
      </c>
      <c r="X1430" s="19">
        <f>IF(OR($B1430="",$U1430=""),"",IF($V1430&lt;&gt;"",MAX(0,$V1430-$U1430),MAX(0,TODAY()-$U1430)))</f>
        <v/>
      </c>
      <c r="Y1430" s="39">
        <f>IF($C1430="","",IF(IFERROR(INDEX(LISTAS!$I$3:$I$42,MATCH($T1430,LISTAS!$H$3:$H$42,0)),"NO")="SÍ",IF(N($X1430)&gt;0,"CERRADA FUERA DE SLA","CERRADA EN SLA"),IF($U1430="","SIN CLASIFICAR",IF(N($X1430)&gt;0,"VENCIDA",IF(TODAY()&gt;=$U1430-1,"POR VENCER","EN PLAZO")))))</f>
        <v/>
      </c>
      <c r="Z1430" s="41" t="n"/>
      <c r="AA1430" s="41" t="n"/>
      <c r="AB1430" s="41" t="n"/>
    </row>
    <row r="1431">
      <c r="A1431" s="39">
        <f>IF($C1431="","","NOV-"&amp;TEXT(ROW()-3,"0000"))</f>
        <v/>
      </c>
      <c r="B1431" s="40" t="n"/>
      <c r="C1431" s="41" t="n"/>
      <c r="D1431" s="42">
        <f>IF($C1431="","",IFERROR(INDEX(DESPACHOS!$D$3:$D$3002,MATCH($C1431,DESPACHOS!$B$3:$B$3002,0)),"SIN DESPACHO"))</f>
        <v/>
      </c>
      <c r="E1431" s="42">
        <f>IF($C1431="","",IFERROR(INDEX(DESPACHOS!$K$3:$K$3002,MATCH($C1431,DESPACHOS!$B$3:$B$3002,0)),""))</f>
        <v/>
      </c>
      <c r="F1431" s="42">
        <f>IF($C1431="","",IFERROR(INDEX(DESPACHOS!$I$3:$I$3002,MATCH($C1431,DESPACHOS!$B$3:$B$3002,0)),""))</f>
        <v/>
      </c>
      <c r="G1431" s="42">
        <f>IF($C1431="","",IFERROR(INDEX(DESPACHOS!$F$3:$F$3002,MATCH($C1431,DESPACHOS!$B$3:$B$3002,0)),""))</f>
        <v/>
      </c>
      <c r="H1431" s="42">
        <f>IF($C1431="","",IFERROR(INDEX(DESPACHOS!$G$3:$G$3002,MATCH($C1431,DESPACHOS!$B$3:$B$3002,0)),""))</f>
        <v/>
      </c>
      <c r="I1431" s="39">
        <f>IF($C1431="","",IFERROR(INDEX(DESPACHOS!$H$3:$H$3002,MATCH($C1431,DESPACHOS!$B$3:$B$3002,0)),""))</f>
        <v/>
      </c>
      <c r="J1431" s="43">
        <f>IF($C1431="","",IFERROR(INDEX(DESPACHOS!$J$3:$J$3002,MATCH($C1431,DESPACHOS!$B$3:$B$3002,0)),""))</f>
        <v/>
      </c>
      <c r="K1431" s="39">
        <f>IF($C1431="","",IF(COUNTIFS(DESPACHOS!$B$3:$B$3002,$C1431)=0,"NO EXISTE",IF(COUNTIFS(DESPACHOS!$B$3:$B$3002,$C1431)&gt;1,"DUPLICADO","OK")))</f>
        <v/>
      </c>
      <c r="L1431" s="41" t="n"/>
      <c r="M1431" s="41" t="n"/>
      <c r="N1431" s="42">
        <f>IF($M1431="","",IFERROR(INDEX(LISTAS!$F$3:$F$42,MATCH($M1431,LISTAS!$E$3:$E$42,0)),"Por definir"))</f>
        <v/>
      </c>
      <c r="O1431" s="41" t="n"/>
      <c r="P1431" s="39">
        <f>IF($L1431="","",IFERROR(INDEX(LISTAS!$B$3:$B$42,MATCH($L1431,LISTAS!$A$3:$A$42,0)),"Media"))</f>
        <v/>
      </c>
      <c r="Q1431" s="44" t="n"/>
      <c r="R1431" s="45" t="n"/>
      <c r="S1431" s="20">
        <f>IFERROR(IF(OR($R1431="",$C1431=""),"",$R1431/INDEX(DESPACHOS!$M$3:$M$3002,MATCH($C1431,DESPACHOS!$B$3:$B$3002,0))),"")</f>
        <v/>
      </c>
      <c r="T1431" s="41" t="n"/>
      <c r="U1431" s="43">
        <f>IF(OR($B1431="",$L1431=""),"",WORKDAY($B1431,IFERROR(INDEX(LISTAS!$C$3:$C$42,MATCH($L1431,LISTAS!$A$3:$A$42,0)),3)))</f>
        <v/>
      </c>
      <c r="V1431" s="40" t="n"/>
      <c r="W1431" s="19">
        <f>IF($B1431="","",IF($V1431&lt;&gt;"",$V1431-$B1431,TODAY()-$B1431))</f>
        <v/>
      </c>
      <c r="X1431" s="19">
        <f>IF(OR($B1431="",$U1431=""),"",IF($V1431&lt;&gt;"",MAX(0,$V1431-$U1431),MAX(0,TODAY()-$U1431)))</f>
        <v/>
      </c>
      <c r="Y1431" s="39">
        <f>IF($C1431="","",IF(IFERROR(INDEX(LISTAS!$I$3:$I$42,MATCH($T1431,LISTAS!$H$3:$H$42,0)),"NO")="SÍ",IF(N($X1431)&gt;0,"CERRADA FUERA DE SLA","CERRADA EN SLA"),IF($U1431="","SIN CLASIFICAR",IF(N($X1431)&gt;0,"VENCIDA",IF(TODAY()&gt;=$U1431-1,"POR VENCER","EN PLAZO")))))</f>
        <v/>
      </c>
      <c r="Z1431" s="41" t="n"/>
      <c r="AA1431" s="41" t="n"/>
      <c r="AB1431" s="41" t="n"/>
    </row>
    <row r="1432">
      <c r="A1432" s="39">
        <f>IF($C1432="","","NOV-"&amp;TEXT(ROW()-3,"0000"))</f>
        <v/>
      </c>
      <c r="B1432" s="40" t="n"/>
      <c r="C1432" s="41" t="n"/>
      <c r="D1432" s="42">
        <f>IF($C1432="","",IFERROR(INDEX(DESPACHOS!$D$3:$D$3002,MATCH($C1432,DESPACHOS!$B$3:$B$3002,0)),"SIN DESPACHO"))</f>
        <v/>
      </c>
      <c r="E1432" s="42">
        <f>IF($C1432="","",IFERROR(INDEX(DESPACHOS!$K$3:$K$3002,MATCH($C1432,DESPACHOS!$B$3:$B$3002,0)),""))</f>
        <v/>
      </c>
      <c r="F1432" s="42">
        <f>IF($C1432="","",IFERROR(INDEX(DESPACHOS!$I$3:$I$3002,MATCH($C1432,DESPACHOS!$B$3:$B$3002,0)),""))</f>
        <v/>
      </c>
      <c r="G1432" s="42">
        <f>IF($C1432="","",IFERROR(INDEX(DESPACHOS!$F$3:$F$3002,MATCH($C1432,DESPACHOS!$B$3:$B$3002,0)),""))</f>
        <v/>
      </c>
      <c r="H1432" s="42">
        <f>IF($C1432="","",IFERROR(INDEX(DESPACHOS!$G$3:$G$3002,MATCH($C1432,DESPACHOS!$B$3:$B$3002,0)),""))</f>
        <v/>
      </c>
      <c r="I1432" s="39">
        <f>IF($C1432="","",IFERROR(INDEX(DESPACHOS!$H$3:$H$3002,MATCH($C1432,DESPACHOS!$B$3:$B$3002,0)),""))</f>
        <v/>
      </c>
      <c r="J1432" s="43">
        <f>IF($C1432="","",IFERROR(INDEX(DESPACHOS!$J$3:$J$3002,MATCH($C1432,DESPACHOS!$B$3:$B$3002,0)),""))</f>
        <v/>
      </c>
      <c r="K1432" s="39">
        <f>IF($C1432="","",IF(COUNTIFS(DESPACHOS!$B$3:$B$3002,$C1432)=0,"NO EXISTE",IF(COUNTIFS(DESPACHOS!$B$3:$B$3002,$C1432)&gt;1,"DUPLICADO","OK")))</f>
        <v/>
      </c>
      <c r="L1432" s="41" t="n"/>
      <c r="M1432" s="41" t="n"/>
      <c r="N1432" s="42">
        <f>IF($M1432="","",IFERROR(INDEX(LISTAS!$F$3:$F$42,MATCH($M1432,LISTAS!$E$3:$E$42,0)),"Por definir"))</f>
        <v/>
      </c>
      <c r="O1432" s="41" t="n"/>
      <c r="P1432" s="39">
        <f>IF($L1432="","",IFERROR(INDEX(LISTAS!$B$3:$B$42,MATCH($L1432,LISTAS!$A$3:$A$42,0)),"Media"))</f>
        <v/>
      </c>
      <c r="Q1432" s="44" t="n"/>
      <c r="R1432" s="45" t="n"/>
      <c r="S1432" s="20">
        <f>IFERROR(IF(OR($R1432="",$C1432=""),"",$R1432/INDEX(DESPACHOS!$M$3:$M$3002,MATCH($C1432,DESPACHOS!$B$3:$B$3002,0))),"")</f>
        <v/>
      </c>
      <c r="T1432" s="41" t="n"/>
      <c r="U1432" s="43">
        <f>IF(OR($B1432="",$L1432=""),"",WORKDAY($B1432,IFERROR(INDEX(LISTAS!$C$3:$C$42,MATCH($L1432,LISTAS!$A$3:$A$42,0)),3)))</f>
        <v/>
      </c>
      <c r="V1432" s="40" t="n"/>
      <c r="W1432" s="19">
        <f>IF($B1432="","",IF($V1432&lt;&gt;"",$V1432-$B1432,TODAY()-$B1432))</f>
        <v/>
      </c>
      <c r="X1432" s="19">
        <f>IF(OR($B1432="",$U1432=""),"",IF($V1432&lt;&gt;"",MAX(0,$V1432-$U1432),MAX(0,TODAY()-$U1432)))</f>
        <v/>
      </c>
      <c r="Y1432" s="39">
        <f>IF($C1432="","",IF(IFERROR(INDEX(LISTAS!$I$3:$I$42,MATCH($T1432,LISTAS!$H$3:$H$42,0)),"NO")="SÍ",IF(N($X1432)&gt;0,"CERRADA FUERA DE SLA","CERRADA EN SLA"),IF($U1432="","SIN CLASIFICAR",IF(N($X1432)&gt;0,"VENCIDA",IF(TODAY()&gt;=$U1432-1,"POR VENCER","EN PLAZO")))))</f>
        <v/>
      </c>
      <c r="Z1432" s="41" t="n"/>
      <c r="AA1432" s="41" t="n"/>
      <c r="AB1432" s="41" t="n"/>
    </row>
    <row r="1433">
      <c r="A1433" s="39">
        <f>IF($C1433="","","NOV-"&amp;TEXT(ROW()-3,"0000"))</f>
        <v/>
      </c>
      <c r="B1433" s="40" t="n"/>
      <c r="C1433" s="41" t="n"/>
      <c r="D1433" s="42">
        <f>IF($C1433="","",IFERROR(INDEX(DESPACHOS!$D$3:$D$3002,MATCH($C1433,DESPACHOS!$B$3:$B$3002,0)),"SIN DESPACHO"))</f>
        <v/>
      </c>
      <c r="E1433" s="42">
        <f>IF($C1433="","",IFERROR(INDEX(DESPACHOS!$K$3:$K$3002,MATCH($C1433,DESPACHOS!$B$3:$B$3002,0)),""))</f>
        <v/>
      </c>
      <c r="F1433" s="42">
        <f>IF($C1433="","",IFERROR(INDEX(DESPACHOS!$I$3:$I$3002,MATCH($C1433,DESPACHOS!$B$3:$B$3002,0)),""))</f>
        <v/>
      </c>
      <c r="G1433" s="42">
        <f>IF($C1433="","",IFERROR(INDEX(DESPACHOS!$F$3:$F$3002,MATCH($C1433,DESPACHOS!$B$3:$B$3002,0)),""))</f>
        <v/>
      </c>
      <c r="H1433" s="42">
        <f>IF($C1433="","",IFERROR(INDEX(DESPACHOS!$G$3:$G$3002,MATCH($C1433,DESPACHOS!$B$3:$B$3002,0)),""))</f>
        <v/>
      </c>
      <c r="I1433" s="39">
        <f>IF($C1433="","",IFERROR(INDEX(DESPACHOS!$H$3:$H$3002,MATCH($C1433,DESPACHOS!$B$3:$B$3002,0)),""))</f>
        <v/>
      </c>
      <c r="J1433" s="43">
        <f>IF($C1433="","",IFERROR(INDEX(DESPACHOS!$J$3:$J$3002,MATCH($C1433,DESPACHOS!$B$3:$B$3002,0)),""))</f>
        <v/>
      </c>
      <c r="K1433" s="39">
        <f>IF($C1433="","",IF(COUNTIFS(DESPACHOS!$B$3:$B$3002,$C1433)=0,"NO EXISTE",IF(COUNTIFS(DESPACHOS!$B$3:$B$3002,$C1433)&gt;1,"DUPLICADO","OK")))</f>
        <v/>
      </c>
      <c r="L1433" s="41" t="n"/>
      <c r="M1433" s="41" t="n"/>
      <c r="N1433" s="42">
        <f>IF($M1433="","",IFERROR(INDEX(LISTAS!$F$3:$F$42,MATCH($M1433,LISTAS!$E$3:$E$42,0)),"Por definir"))</f>
        <v/>
      </c>
      <c r="O1433" s="41" t="n"/>
      <c r="P1433" s="39">
        <f>IF($L1433="","",IFERROR(INDEX(LISTAS!$B$3:$B$42,MATCH($L1433,LISTAS!$A$3:$A$42,0)),"Media"))</f>
        <v/>
      </c>
      <c r="Q1433" s="44" t="n"/>
      <c r="R1433" s="45" t="n"/>
      <c r="S1433" s="20">
        <f>IFERROR(IF(OR($R1433="",$C1433=""),"",$R1433/INDEX(DESPACHOS!$M$3:$M$3002,MATCH($C1433,DESPACHOS!$B$3:$B$3002,0))),"")</f>
        <v/>
      </c>
      <c r="T1433" s="41" t="n"/>
      <c r="U1433" s="43">
        <f>IF(OR($B1433="",$L1433=""),"",WORKDAY($B1433,IFERROR(INDEX(LISTAS!$C$3:$C$42,MATCH($L1433,LISTAS!$A$3:$A$42,0)),3)))</f>
        <v/>
      </c>
      <c r="V1433" s="40" t="n"/>
      <c r="W1433" s="19">
        <f>IF($B1433="","",IF($V1433&lt;&gt;"",$V1433-$B1433,TODAY()-$B1433))</f>
        <v/>
      </c>
      <c r="X1433" s="19">
        <f>IF(OR($B1433="",$U1433=""),"",IF($V1433&lt;&gt;"",MAX(0,$V1433-$U1433),MAX(0,TODAY()-$U1433)))</f>
        <v/>
      </c>
      <c r="Y1433" s="39">
        <f>IF($C1433="","",IF(IFERROR(INDEX(LISTAS!$I$3:$I$42,MATCH($T1433,LISTAS!$H$3:$H$42,0)),"NO")="SÍ",IF(N($X1433)&gt;0,"CERRADA FUERA DE SLA","CERRADA EN SLA"),IF($U1433="","SIN CLASIFICAR",IF(N($X1433)&gt;0,"VENCIDA",IF(TODAY()&gt;=$U1433-1,"POR VENCER","EN PLAZO")))))</f>
        <v/>
      </c>
      <c r="Z1433" s="41" t="n"/>
      <c r="AA1433" s="41" t="n"/>
      <c r="AB1433" s="41" t="n"/>
    </row>
    <row r="1434">
      <c r="A1434" s="39">
        <f>IF($C1434="","","NOV-"&amp;TEXT(ROW()-3,"0000"))</f>
        <v/>
      </c>
      <c r="B1434" s="40" t="n"/>
      <c r="C1434" s="41" t="n"/>
      <c r="D1434" s="42">
        <f>IF($C1434="","",IFERROR(INDEX(DESPACHOS!$D$3:$D$3002,MATCH($C1434,DESPACHOS!$B$3:$B$3002,0)),"SIN DESPACHO"))</f>
        <v/>
      </c>
      <c r="E1434" s="42">
        <f>IF($C1434="","",IFERROR(INDEX(DESPACHOS!$K$3:$K$3002,MATCH($C1434,DESPACHOS!$B$3:$B$3002,0)),""))</f>
        <v/>
      </c>
      <c r="F1434" s="42">
        <f>IF($C1434="","",IFERROR(INDEX(DESPACHOS!$I$3:$I$3002,MATCH($C1434,DESPACHOS!$B$3:$B$3002,0)),""))</f>
        <v/>
      </c>
      <c r="G1434" s="42">
        <f>IF($C1434="","",IFERROR(INDEX(DESPACHOS!$F$3:$F$3002,MATCH($C1434,DESPACHOS!$B$3:$B$3002,0)),""))</f>
        <v/>
      </c>
      <c r="H1434" s="42">
        <f>IF($C1434="","",IFERROR(INDEX(DESPACHOS!$G$3:$G$3002,MATCH($C1434,DESPACHOS!$B$3:$B$3002,0)),""))</f>
        <v/>
      </c>
      <c r="I1434" s="39">
        <f>IF($C1434="","",IFERROR(INDEX(DESPACHOS!$H$3:$H$3002,MATCH($C1434,DESPACHOS!$B$3:$B$3002,0)),""))</f>
        <v/>
      </c>
      <c r="J1434" s="43">
        <f>IF($C1434="","",IFERROR(INDEX(DESPACHOS!$J$3:$J$3002,MATCH($C1434,DESPACHOS!$B$3:$B$3002,0)),""))</f>
        <v/>
      </c>
      <c r="K1434" s="39">
        <f>IF($C1434="","",IF(COUNTIFS(DESPACHOS!$B$3:$B$3002,$C1434)=0,"NO EXISTE",IF(COUNTIFS(DESPACHOS!$B$3:$B$3002,$C1434)&gt;1,"DUPLICADO","OK")))</f>
        <v/>
      </c>
      <c r="L1434" s="41" t="n"/>
      <c r="M1434" s="41" t="n"/>
      <c r="N1434" s="42">
        <f>IF($M1434="","",IFERROR(INDEX(LISTAS!$F$3:$F$42,MATCH($M1434,LISTAS!$E$3:$E$42,0)),"Por definir"))</f>
        <v/>
      </c>
      <c r="O1434" s="41" t="n"/>
      <c r="P1434" s="39">
        <f>IF($L1434="","",IFERROR(INDEX(LISTAS!$B$3:$B$42,MATCH($L1434,LISTAS!$A$3:$A$42,0)),"Media"))</f>
        <v/>
      </c>
      <c r="Q1434" s="44" t="n"/>
      <c r="R1434" s="45" t="n"/>
      <c r="S1434" s="20">
        <f>IFERROR(IF(OR($R1434="",$C1434=""),"",$R1434/INDEX(DESPACHOS!$M$3:$M$3002,MATCH($C1434,DESPACHOS!$B$3:$B$3002,0))),"")</f>
        <v/>
      </c>
      <c r="T1434" s="41" t="n"/>
      <c r="U1434" s="43">
        <f>IF(OR($B1434="",$L1434=""),"",WORKDAY($B1434,IFERROR(INDEX(LISTAS!$C$3:$C$42,MATCH($L1434,LISTAS!$A$3:$A$42,0)),3)))</f>
        <v/>
      </c>
      <c r="V1434" s="40" t="n"/>
      <c r="W1434" s="19">
        <f>IF($B1434="","",IF($V1434&lt;&gt;"",$V1434-$B1434,TODAY()-$B1434))</f>
        <v/>
      </c>
      <c r="X1434" s="19">
        <f>IF(OR($B1434="",$U1434=""),"",IF($V1434&lt;&gt;"",MAX(0,$V1434-$U1434),MAX(0,TODAY()-$U1434)))</f>
        <v/>
      </c>
      <c r="Y1434" s="39">
        <f>IF($C1434="","",IF(IFERROR(INDEX(LISTAS!$I$3:$I$42,MATCH($T1434,LISTAS!$H$3:$H$42,0)),"NO")="SÍ",IF(N($X1434)&gt;0,"CERRADA FUERA DE SLA","CERRADA EN SLA"),IF($U1434="","SIN CLASIFICAR",IF(N($X1434)&gt;0,"VENCIDA",IF(TODAY()&gt;=$U1434-1,"POR VENCER","EN PLAZO")))))</f>
        <v/>
      </c>
      <c r="Z1434" s="41" t="n"/>
      <c r="AA1434" s="41" t="n"/>
      <c r="AB1434" s="41" t="n"/>
    </row>
    <row r="1435">
      <c r="A1435" s="39">
        <f>IF($C1435="","","NOV-"&amp;TEXT(ROW()-3,"0000"))</f>
        <v/>
      </c>
      <c r="B1435" s="40" t="n"/>
      <c r="C1435" s="41" t="n"/>
      <c r="D1435" s="42">
        <f>IF($C1435="","",IFERROR(INDEX(DESPACHOS!$D$3:$D$3002,MATCH($C1435,DESPACHOS!$B$3:$B$3002,0)),"SIN DESPACHO"))</f>
        <v/>
      </c>
      <c r="E1435" s="42">
        <f>IF($C1435="","",IFERROR(INDEX(DESPACHOS!$K$3:$K$3002,MATCH($C1435,DESPACHOS!$B$3:$B$3002,0)),""))</f>
        <v/>
      </c>
      <c r="F1435" s="42">
        <f>IF($C1435="","",IFERROR(INDEX(DESPACHOS!$I$3:$I$3002,MATCH($C1435,DESPACHOS!$B$3:$B$3002,0)),""))</f>
        <v/>
      </c>
      <c r="G1435" s="42">
        <f>IF($C1435="","",IFERROR(INDEX(DESPACHOS!$F$3:$F$3002,MATCH($C1435,DESPACHOS!$B$3:$B$3002,0)),""))</f>
        <v/>
      </c>
      <c r="H1435" s="42">
        <f>IF($C1435="","",IFERROR(INDEX(DESPACHOS!$G$3:$G$3002,MATCH($C1435,DESPACHOS!$B$3:$B$3002,0)),""))</f>
        <v/>
      </c>
      <c r="I1435" s="39">
        <f>IF($C1435="","",IFERROR(INDEX(DESPACHOS!$H$3:$H$3002,MATCH($C1435,DESPACHOS!$B$3:$B$3002,0)),""))</f>
        <v/>
      </c>
      <c r="J1435" s="43">
        <f>IF($C1435="","",IFERROR(INDEX(DESPACHOS!$J$3:$J$3002,MATCH($C1435,DESPACHOS!$B$3:$B$3002,0)),""))</f>
        <v/>
      </c>
      <c r="K1435" s="39">
        <f>IF($C1435="","",IF(COUNTIFS(DESPACHOS!$B$3:$B$3002,$C1435)=0,"NO EXISTE",IF(COUNTIFS(DESPACHOS!$B$3:$B$3002,$C1435)&gt;1,"DUPLICADO","OK")))</f>
        <v/>
      </c>
      <c r="L1435" s="41" t="n"/>
      <c r="M1435" s="41" t="n"/>
      <c r="N1435" s="42">
        <f>IF($M1435="","",IFERROR(INDEX(LISTAS!$F$3:$F$42,MATCH($M1435,LISTAS!$E$3:$E$42,0)),"Por definir"))</f>
        <v/>
      </c>
      <c r="O1435" s="41" t="n"/>
      <c r="P1435" s="39">
        <f>IF($L1435="","",IFERROR(INDEX(LISTAS!$B$3:$B$42,MATCH($L1435,LISTAS!$A$3:$A$42,0)),"Media"))</f>
        <v/>
      </c>
      <c r="Q1435" s="44" t="n"/>
      <c r="R1435" s="45" t="n"/>
      <c r="S1435" s="20">
        <f>IFERROR(IF(OR($R1435="",$C1435=""),"",$R1435/INDEX(DESPACHOS!$M$3:$M$3002,MATCH($C1435,DESPACHOS!$B$3:$B$3002,0))),"")</f>
        <v/>
      </c>
      <c r="T1435" s="41" t="n"/>
      <c r="U1435" s="43">
        <f>IF(OR($B1435="",$L1435=""),"",WORKDAY($B1435,IFERROR(INDEX(LISTAS!$C$3:$C$42,MATCH($L1435,LISTAS!$A$3:$A$42,0)),3)))</f>
        <v/>
      </c>
      <c r="V1435" s="40" t="n"/>
      <c r="W1435" s="19">
        <f>IF($B1435="","",IF($V1435&lt;&gt;"",$V1435-$B1435,TODAY()-$B1435))</f>
        <v/>
      </c>
      <c r="X1435" s="19">
        <f>IF(OR($B1435="",$U1435=""),"",IF($V1435&lt;&gt;"",MAX(0,$V1435-$U1435),MAX(0,TODAY()-$U1435)))</f>
        <v/>
      </c>
      <c r="Y1435" s="39">
        <f>IF($C1435="","",IF(IFERROR(INDEX(LISTAS!$I$3:$I$42,MATCH($T1435,LISTAS!$H$3:$H$42,0)),"NO")="SÍ",IF(N($X1435)&gt;0,"CERRADA FUERA DE SLA","CERRADA EN SLA"),IF($U1435="","SIN CLASIFICAR",IF(N($X1435)&gt;0,"VENCIDA",IF(TODAY()&gt;=$U1435-1,"POR VENCER","EN PLAZO")))))</f>
        <v/>
      </c>
      <c r="Z1435" s="41" t="n"/>
      <c r="AA1435" s="41" t="n"/>
      <c r="AB1435" s="41" t="n"/>
    </row>
    <row r="1436">
      <c r="A1436" s="39">
        <f>IF($C1436="","","NOV-"&amp;TEXT(ROW()-3,"0000"))</f>
        <v/>
      </c>
      <c r="B1436" s="40" t="n"/>
      <c r="C1436" s="41" t="n"/>
      <c r="D1436" s="42">
        <f>IF($C1436="","",IFERROR(INDEX(DESPACHOS!$D$3:$D$3002,MATCH($C1436,DESPACHOS!$B$3:$B$3002,0)),"SIN DESPACHO"))</f>
        <v/>
      </c>
      <c r="E1436" s="42">
        <f>IF($C1436="","",IFERROR(INDEX(DESPACHOS!$K$3:$K$3002,MATCH($C1436,DESPACHOS!$B$3:$B$3002,0)),""))</f>
        <v/>
      </c>
      <c r="F1436" s="42">
        <f>IF($C1436="","",IFERROR(INDEX(DESPACHOS!$I$3:$I$3002,MATCH($C1436,DESPACHOS!$B$3:$B$3002,0)),""))</f>
        <v/>
      </c>
      <c r="G1436" s="42">
        <f>IF($C1436="","",IFERROR(INDEX(DESPACHOS!$F$3:$F$3002,MATCH($C1436,DESPACHOS!$B$3:$B$3002,0)),""))</f>
        <v/>
      </c>
      <c r="H1436" s="42">
        <f>IF($C1436="","",IFERROR(INDEX(DESPACHOS!$G$3:$G$3002,MATCH($C1436,DESPACHOS!$B$3:$B$3002,0)),""))</f>
        <v/>
      </c>
      <c r="I1436" s="39">
        <f>IF($C1436="","",IFERROR(INDEX(DESPACHOS!$H$3:$H$3002,MATCH($C1436,DESPACHOS!$B$3:$B$3002,0)),""))</f>
        <v/>
      </c>
      <c r="J1436" s="43">
        <f>IF($C1436="","",IFERROR(INDEX(DESPACHOS!$J$3:$J$3002,MATCH($C1436,DESPACHOS!$B$3:$B$3002,0)),""))</f>
        <v/>
      </c>
      <c r="K1436" s="39">
        <f>IF($C1436="","",IF(COUNTIFS(DESPACHOS!$B$3:$B$3002,$C1436)=0,"NO EXISTE",IF(COUNTIFS(DESPACHOS!$B$3:$B$3002,$C1436)&gt;1,"DUPLICADO","OK")))</f>
        <v/>
      </c>
      <c r="L1436" s="41" t="n"/>
      <c r="M1436" s="41" t="n"/>
      <c r="N1436" s="42">
        <f>IF($M1436="","",IFERROR(INDEX(LISTAS!$F$3:$F$42,MATCH($M1436,LISTAS!$E$3:$E$42,0)),"Por definir"))</f>
        <v/>
      </c>
      <c r="O1436" s="41" t="n"/>
      <c r="P1436" s="39">
        <f>IF($L1436="","",IFERROR(INDEX(LISTAS!$B$3:$B$42,MATCH($L1436,LISTAS!$A$3:$A$42,0)),"Media"))</f>
        <v/>
      </c>
      <c r="Q1436" s="44" t="n"/>
      <c r="R1436" s="45" t="n"/>
      <c r="S1436" s="20">
        <f>IFERROR(IF(OR($R1436="",$C1436=""),"",$R1436/INDEX(DESPACHOS!$M$3:$M$3002,MATCH($C1436,DESPACHOS!$B$3:$B$3002,0))),"")</f>
        <v/>
      </c>
      <c r="T1436" s="41" t="n"/>
      <c r="U1436" s="43">
        <f>IF(OR($B1436="",$L1436=""),"",WORKDAY($B1436,IFERROR(INDEX(LISTAS!$C$3:$C$42,MATCH($L1436,LISTAS!$A$3:$A$42,0)),3)))</f>
        <v/>
      </c>
      <c r="V1436" s="40" t="n"/>
      <c r="W1436" s="19">
        <f>IF($B1436="","",IF($V1436&lt;&gt;"",$V1436-$B1436,TODAY()-$B1436))</f>
        <v/>
      </c>
      <c r="X1436" s="19">
        <f>IF(OR($B1436="",$U1436=""),"",IF($V1436&lt;&gt;"",MAX(0,$V1436-$U1436),MAX(0,TODAY()-$U1436)))</f>
        <v/>
      </c>
      <c r="Y1436" s="39">
        <f>IF($C1436="","",IF(IFERROR(INDEX(LISTAS!$I$3:$I$42,MATCH($T1436,LISTAS!$H$3:$H$42,0)),"NO")="SÍ",IF(N($X1436)&gt;0,"CERRADA FUERA DE SLA","CERRADA EN SLA"),IF($U1436="","SIN CLASIFICAR",IF(N($X1436)&gt;0,"VENCIDA",IF(TODAY()&gt;=$U1436-1,"POR VENCER","EN PLAZO")))))</f>
        <v/>
      </c>
      <c r="Z1436" s="41" t="n"/>
      <c r="AA1436" s="41" t="n"/>
      <c r="AB1436" s="41" t="n"/>
    </row>
    <row r="1437">
      <c r="A1437" s="39">
        <f>IF($C1437="","","NOV-"&amp;TEXT(ROW()-3,"0000"))</f>
        <v/>
      </c>
      <c r="B1437" s="40" t="n"/>
      <c r="C1437" s="41" t="n"/>
      <c r="D1437" s="42">
        <f>IF($C1437="","",IFERROR(INDEX(DESPACHOS!$D$3:$D$3002,MATCH($C1437,DESPACHOS!$B$3:$B$3002,0)),"SIN DESPACHO"))</f>
        <v/>
      </c>
      <c r="E1437" s="42">
        <f>IF($C1437="","",IFERROR(INDEX(DESPACHOS!$K$3:$K$3002,MATCH($C1437,DESPACHOS!$B$3:$B$3002,0)),""))</f>
        <v/>
      </c>
      <c r="F1437" s="42">
        <f>IF($C1437="","",IFERROR(INDEX(DESPACHOS!$I$3:$I$3002,MATCH($C1437,DESPACHOS!$B$3:$B$3002,0)),""))</f>
        <v/>
      </c>
      <c r="G1437" s="42">
        <f>IF($C1437="","",IFERROR(INDEX(DESPACHOS!$F$3:$F$3002,MATCH($C1437,DESPACHOS!$B$3:$B$3002,0)),""))</f>
        <v/>
      </c>
      <c r="H1437" s="42">
        <f>IF($C1437="","",IFERROR(INDEX(DESPACHOS!$G$3:$G$3002,MATCH($C1437,DESPACHOS!$B$3:$B$3002,0)),""))</f>
        <v/>
      </c>
      <c r="I1437" s="39">
        <f>IF($C1437="","",IFERROR(INDEX(DESPACHOS!$H$3:$H$3002,MATCH($C1437,DESPACHOS!$B$3:$B$3002,0)),""))</f>
        <v/>
      </c>
      <c r="J1437" s="43">
        <f>IF($C1437="","",IFERROR(INDEX(DESPACHOS!$J$3:$J$3002,MATCH($C1437,DESPACHOS!$B$3:$B$3002,0)),""))</f>
        <v/>
      </c>
      <c r="K1437" s="39">
        <f>IF($C1437="","",IF(COUNTIFS(DESPACHOS!$B$3:$B$3002,$C1437)=0,"NO EXISTE",IF(COUNTIFS(DESPACHOS!$B$3:$B$3002,$C1437)&gt;1,"DUPLICADO","OK")))</f>
        <v/>
      </c>
      <c r="L1437" s="41" t="n"/>
      <c r="M1437" s="41" t="n"/>
      <c r="N1437" s="42">
        <f>IF($M1437="","",IFERROR(INDEX(LISTAS!$F$3:$F$42,MATCH($M1437,LISTAS!$E$3:$E$42,0)),"Por definir"))</f>
        <v/>
      </c>
      <c r="O1437" s="41" t="n"/>
      <c r="P1437" s="39">
        <f>IF($L1437="","",IFERROR(INDEX(LISTAS!$B$3:$B$42,MATCH($L1437,LISTAS!$A$3:$A$42,0)),"Media"))</f>
        <v/>
      </c>
      <c r="Q1437" s="44" t="n"/>
      <c r="R1437" s="45" t="n"/>
      <c r="S1437" s="20">
        <f>IFERROR(IF(OR($R1437="",$C1437=""),"",$R1437/INDEX(DESPACHOS!$M$3:$M$3002,MATCH($C1437,DESPACHOS!$B$3:$B$3002,0))),"")</f>
        <v/>
      </c>
      <c r="T1437" s="41" t="n"/>
      <c r="U1437" s="43">
        <f>IF(OR($B1437="",$L1437=""),"",WORKDAY($B1437,IFERROR(INDEX(LISTAS!$C$3:$C$42,MATCH($L1437,LISTAS!$A$3:$A$42,0)),3)))</f>
        <v/>
      </c>
      <c r="V1437" s="40" t="n"/>
      <c r="W1437" s="19">
        <f>IF($B1437="","",IF($V1437&lt;&gt;"",$V1437-$B1437,TODAY()-$B1437))</f>
        <v/>
      </c>
      <c r="X1437" s="19">
        <f>IF(OR($B1437="",$U1437=""),"",IF($V1437&lt;&gt;"",MAX(0,$V1437-$U1437),MAX(0,TODAY()-$U1437)))</f>
        <v/>
      </c>
      <c r="Y1437" s="39">
        <f>IF($C1437="","",IF(IFERROR(INDEX(LISTAS!$I$3:$I$42,MATCH($T1437,LISTAS!$H$3:$H$42,0)),"NO")="SÍ",IF(N($X1437)&gt;0,"CERRADA FUERA DE SLA","CERRADA EN SLA"),IF($U1437="","SIN CLASIFICAR",IF(N($X1437)&gt;0,"VENCIDA",IF(TODAY()&gt;=$U1437-1,"POR VENCER","EN PLAZO")))))</f>
        <v/>
      </c>
      <c r="Z1437" s="41" t="n"/>
      <c r="AA1437" s="41" t="n"/>
      <c r="AB1437" s="41" t="n"/>
    </row>
    <row r="1438">
      <c r="A1438" s="39">
        <f>IF($C1438="","","NOV-"&amp;TEXT(ROW()-3,"0000"))</f>
        <v/>
      </c>
      <c r="B1438" s="40" t="n"/>
      <c r="C1438" s="41" t="n"/>
      <c r="D1438" s="42">
        <f>IF($C1438="","",IFERROR(INDEX(DESPACHOS!$D$3:$D$3002,MATCH($C1438,DESPACHOS!$B$3:$B$3002,0)),"SIN DESPACHO"))</f>
        <v/>
      </c>
      <c r="E1438" s="42">
        <f>IF($C1438="","",IFERROR(INDEX(DESPACHOS!$K$3:$K$3002,MATCH($C1438,DESPACHOS!$B$3:$B$3002,0)),""))</f>
        <v/>
      </c>
      <c r="F1438" s="42">
        <f>IF($C1438="","",IFERROR(INDEX(DESPACHOS!$I$3:$I$3002,MATCH($C1438,DESPACHOS!$B$3:$B$3002,0)),""))</f>
        <v/>
      </c>
      <c r="G1438" s="42">
        <f>IF($C1438="","",IFERROR(INDEX(DESPACHOS!$F$3:$F$3002,MATCH($C1438,DESPACHOS!$B$3:$B$3002,0)),""))</f>
        <v/>
      </c>
      <c r="H1438" s="42">
        <f>IF($C1438="","",IFERROR(INDEX(DESPACHOS!$G$3:$G$3002,MATCH($C1438,DESPACHOS!$B$3:$B$3002,0)),""))</f>
        <v/>
      </c>
      <c r="I1438" s="39">
        <f>IF($C1438="","",IFERROR(INDEX(DESPACHOS!$H$3:$H$3002,MATCH($C1438,DESPACHOS!$B$3:$B$3002,0)),""))</f>
        <v/>
      </c>
      <c r="J1438" s="43">
        <f>IF($C1438="","",IFERROR(INDEX(DESPACHOS!$J$3:$J$3002,MATCH($C1438,DESPACHOS!$B$3:$B$3002,0)),""))</f>
        <v/>
      </c>
      <c r="K1438" s="39">
        <f>IF($C1438="","",IF(COUNTIFS(DESPACHOS!$B$3:$B$3002,$C1438)=0,"NO EXISTE",IF(COUNTIFS(DESPACHOS!$B$3:$B$3002,$C1438)&gt;1,"DUPLICADO","OK")))</f>
        <v/>
      </c>
      <c r="L1438" s="41" t="n"/>
      <c r="M1438" s="41" t="n"/>
      <c r="N1438" s="42">
        <f>IF($M1438="","",IFERROR(INDEX(LISTAS!$F$3:$F$42,MATCH($M1438,LISTAS!$E$3:$E$42,0)),"Por definir"))</f>
        <v/>
      </c>
      <c r="O1438" s="41" t="n"/>
      <c r="P1438" s="39">
        <f>IF($L1438="","",IFERROR(INDEX(LISTAS!$B$3:$B$42,MATCH($L1438,LISTAS!$A$3:$A$42,0)),"Media"))</f>
        <v/>
      </c>
      <c r="Q1438" s="44" t="n"/>
      <c r="R1438" s="45" t="n"/>
      <c r="S1438" s="20">
        <f>IFERROR(IF(OR($R1438="",$C1438=""),"",$R1438/INDEX(DESPACHOS!$M$3:$M$3002,MATCH($C1438,DESPACHOS!$B$3:$B$3002,0))),"")</f>
        <v/>
      </c>
      <c r="T1438" s="41" t="n"/>
      <c r="U1438" s="43">
        <f>IF(OR($B1438="",$L1438=""),"",WORKDAY($B1438,IFERROR(INDEX(LISTAS!$C$3:$C$42,MATCH($L1438,LISTAS!$A$3:$A$42,0)),3)))</f>
        <v/>
      </c>
      <c r="V1438" s="40" t="n"/>
      <c r="W1438" s="19">
        <f>IF($B1438="","",IF($V1438&lt;&gt;"",$V1438-$B1438,TODAY()-$B1438))</f>
        <v/>
      </c>
      <c r="X1438" s="19">
        <f>IF(OR($B1438="",$U1438=""),"",IF($V1438&lt;&gt;"",MAX(0,$V1438-$U1438),MAX(0,TODAY()-$U1438)))</f>
        <v/>
      </c>
      <c r="Y1438" s="39">
        <f>IF($C1438="","",IF(IFERROR(INDEX(LISTAS!$I$3:$I$42,MATCH($T1438,LISTAS!$H$3:$H$42,0)),"NO")="SÍ",IF(N($X1438)&gt;0,"CERRADA FUERA DE SLA","CERRADA EN SLA"),IF($U1438="","SIN CLASIFICAR",IF(N($X1438)&gt;0,"VENCIDA",IF(TODAY()&gt;=$U1438-1,"POR VENCER","EN PLAZO")))))</f>
        <v/>
      </c>
      <c r="Z1438" s="41" t="n"/>
      <c r="AA1438" s="41" t="n"/>
      <c r="AB1438" s="41" t="n"/>
    </row>
    <row r="1439">
      <c r="A1439" s="39">
        <f>IF($C1439="","","NOV-"&amp;TEXT(ROW()-3,"0000"))</f>
        <v/>
      </c>
      <c r="B1439" s="40" t="n"/>
      <c r="C1439" s="41" t="n"/>
      <c r="D1439" s="42">
        <f>IF($C1439="","",IFERROR(INDEX(DESPACHOS!$D$3:$D$3002,MATCH($C1439,DESPACHOS!$B$3:$B$3002,0)),"SIN DESPACHO"))</f>
        <v/>
      </c>
      <c r="E1439" s="42">
        <f>IF($C1439="","",IFERROR(INDEX(DESPACHOS!$K$3:$K$3002,MATCH($C1439,DESPACHOS!$B$3:$B$3002,0)),""))</f>
        <v/>
      </c>
      <c r="F1439" s="42">
        <f>IF($C1439="","",IFERROR(INDEX(DESPACHOS!$I$3:$I$3002,MATCH($C1439,DESPACHOS!$B$3:$B$3002,0)),""))</f>
        <v/>
      </c>
      <c r="G1439" s="42">
        <f>IF($C1439="","",IFERROR(INDEX(DESPACHOS!$F$3:$F$3002,MATCH($C1439,DESPACHOS!$B$3:$B$3002,0)),""))</f>
        <v/>
      </c>
      <c r="H1439" s="42">
        <f>IF($C1439="","",IFERROR(INDEX(DESPACHOS!$G$3:$G$3002,MATCH($C1439,DESPACHOS!$B$3:$B$3002,0)),""))</f>
        <v/>
      </c>
      <c r="I1439" s="39">
        <f>IF($C1439="","",IFERROR(INDEX(DESPACHOS!$H$3:$H$3002,MATCH($C1439,DESPACHOS!$B$3:$B$3002,0)),""))</f>
        <v/>
      </c>
      <c r="J1439" s="43">
        <f>IF($C1439="","",IFERROR(INDEX(DESPACHOS!$J$3:$J$3002,MATCH($C1439,DESPACHOS!$B$3:$B$3002,0)),""))</f>
        <v/>
      </c>
      <c r="K1439" s="39">
        <f>IF($C1439="","",IF(COUNTIFS(DESPACHOS!$B$3:$B$3002,$C1439)=0,"NO EXISTE",IF(COUNTIFS(DESPACHOS!$B$3:$B$3002,$C1439)&gt;1,"DUPLICADO","OK")))</f>
        <v/>
      </c>
      <c r="L1439" s="41" t="n"/>
      <c r="M1439" s="41" t="n"/>
      <c r="N1439" s="42">
        <f>IF($M1439="","",IFERROR(INDEX(LISTAS!$F$3:$F$42,MATCH($M1439,LISTAS!$E$3:$E$42,0)),"Por definir"))</f>
        <v/>
      </c>
      <c r="O1439" s="41" t="n"/>
      <c r="P1439" s="39">
        <f>IF($L1439="","",IFERROR(INDEX(LISTAS!$B$3:$B$42,MATCH($L1439,LISTAS!$A$3:$A$42,0)),"Media"))</f>
        <v/>
      </c>
      <c r="Q1439" s="44" t="n"/>
      <c r="R1439" s="45" t="n"/>
      <c r="S1439" s="20">
        <f>IFERROR(IF(OR($R1439="",$C1439=""),"",$R1439/INDEX(DESPACHOS!$M$3:$M$3002,MATCH($C1439,DESPACHOS!$B$3:$B$3002,0))),"")</f>
        <v/>
      </c>
      <c r="T1439" s="41" t="n"/>
      <c r="U1439" s="43">
        <f>IF(OR($B1439="",$L1439=""),"",WORKDAY($B1439,IFERROR(INDEX(LISTAS!$C$3:$C$42,MATCH($L1439,LISTAS!$A$3:$A$42,0)),3)))</f>
        <v/>
      </c>
      <c r="V1439" s="40" t="n"/>
      <c r="W1439" s="19">
        <f>IF($B1439="","",IF($V1439&lt;&gt;"",$V1439-$B1439,TODAY()-$B1439))</f>
        <v/>
      </c>
      <c r="X1439" s="19">
        <f>IF(OR($B1439="",$U1439=""),"",IF($V1439&lt;&gt;"",MAX(0,$V1439-$U1439),MAX(0,TODAY()-$U1439)))</f>
        <v/>
      </c>
      <c r="Y1439" s="39">
        <f>IF($C1439="","",IF(IFERROR(INDEX(LISTAS!$I$3:$I$42,MATCH($T1439,LISTAS!$H$3:$H$42,0)),"NO")="SÍ",IF(N($X1439)&gt;0,"CERRADA FUERA DE SLA","CERRADA EN SLA"),IF($U1439="","SIN CLASIFICAR",IF(N($X1439)&gt;0,"VENCIDA",IF(TODAY()&gt;=$U1439-1,"POR VENCER","EN PLAZO")))))</f>
        <v/>
      </c>
      <c r="Z1439" s="41" t="n"/>
      <c r="AA1439" s="41" t="n"/>
      <c r="AB1439" s="41" t="n"/>
    </row>
    <row r="1440">
      <c r="A1440" s="39">
        <f>IF($C1440="","","NOV-"&amp;TEXT(ROW()-3,"0000"))</f>
        <v/>
      </c>
      <c r="B1440" s="40" t="n"/>
      <c r="C1440" s="41" t="n"/>
      <c r="D1440" s="42">
        <f>IF($C1440="","",IFERROR(INDEX(DESPACHOS!$D$3:$D$3002,MATCH($C1440,DESPACHOS!$B$3:$B$3002,0)),"SIN DESPACHO"))</f>
        <v/>
      </c>
      <c r="E1440" s="42">
        <f>IF($C1440="","",IFERROR(INDEX(DESPACHOS!$K$3:$K$3002,MATCH($C1440,DESPACHOS!$B$3:$B$3002,0)),""))</f>
        <v/>
      </c>
      <c r="F1440" s="42">
        <f>IF($C1440="","",IFERROR(INDEX(DESPACHOS!$I$3:$I$3002,MATCH($C1440,DESPACHOS!$B$3:$B$3002,0)),""))</f>
        <v/>
      </c>
      <c r="G1440" s="42">
        <f>IF($C1440="","",IFERROR(INDEX(DESPACHOS!$F$3:$F$3002,MATCH($C1440,DESPACHOS!$B$3:$B$3002,0)),""))</f>
        <v/>
      </c>
      <c r="H1440" s="42">
        <f>IF($C1440="","",IFERROR(INDEX(DESPACHOS!$G$3:$G$3002,MATCH($C1440,DESPACHOS!$B$3:$B$3002,0)),""))</f>
        <v/>
      </c>
      <c r="I1440" s="39">
        <f>IF($C1440="","",IFERROR(INDEX(DESPACHOS!$H$3:$H$3002,MATCH($C1440,DESPACHOS!$B$3:$B$3002,0)),""))</f>
        <v/>
      </c>
      <c r="J1440" s="43">
        <f>IF($C1440="","",IFERROR(INDEX(DESPACHOS!$J$3:$J$3002,MATCH($C1440,DESPACHOS!$B$3:$B$3002,0)),""))</f>
        <v/>
      </c>
      <c r="K1440" s="39">
        <f>IF($C1440="","",IF(COUNTIFS(DESPACHOS!$B$3:$B$3002,$C1440)=0,"NO EXISTE",IF(COUNTIFS(DESPACHOS!$B$3:$B$3002,$C1440)&gt;1,"DUPLICADO","OK")))</f>
        <v/>
      </c>
      <c r="L1440" s="41" t="n"/>
      <c r="M1440" s="41" t="n"/>
      <c r="N1440" s="42">
        <f>IF($M1440="","",IFERROR(INDEX(LISTAS!$F$3:$F$42,MATCH($M1440,LISTAS!$E$3:$E$42,0)),"Por definir"))</f>
        <v/>
      </c>
      <c r="O1440" s="41" t="n"/>
      <c r="P1440" s="39">
        <f>IF($L1440="","",IFERROR(INDEX(LISTAS!$B$3:$B$42,MATCH($L1440,LISTAS!$A$3:$A$42,0)),"Media"))</f>
        <v/>
      </c>
      <c r="Q1440" s="44" t="n"/>
      <c r="R1440" s="45" t="n"/>
      <c r="S1440" s="20">
        <f>IFERROR(IF(OR($R1440="",$C1440=""),"",$R1440/INDEX(DESPACHOS!$M$3:$M$3002,MATCH($C1440,DESPACHOS!$B$3:$B$3002,0))),"")</f>
        <v/>
      </c>
      <c r="T1440" s="41" t="n"/>
      <c r="U1440" s="43">
        <f>IF(OR($B1440="",$L1440=""),"",WORKDAY($B1440,IFERROR(INDEX(LISTAS!$C$3:$C$42,MATCH($L1440,LISTAS!$A$3:$A$42,0)),3)))</f>
        <v/>
      </c>
      <c r="V1440" s="40" t="n"/>
      <c r="W1440" s="19">
        <f>IF($B1440="","",IF($V1440&lt;&gt;"",$V1440-$B1440,TODAY()-$B1440))</f>
        <v/>
      </c>
      <c r="X1440" s="19">
        <f>IF(OR($B1440="",$U1440=""),"",IF($V1440&lt;&gt;"",MAX(0,$V1440-$U1440),MAX(0,TODAY()-$U1440)))</f>
        <v/>
      </c>
      <c r="Y1440" s="39">
        <f>IF($C1440="","",IF(IFERROR(INDEX(LISTAS!$I$3:$I$42,MATCH($T1440,LISTAS!$H$3:$H$42,0)),"NO")="SÍ",IF(N($X1440)&gt;0,"CERRADA FUERA DE SLA","CERRADA EN SLA"),IF($U1440="","SIN CLASIFICAR",IF(N($X1440)&gt;0,"VENCIDA",IF(TODAY()&gt;=$U1440-1,"POR VENCER","EN PLAZO")))))</f>
        <v/>
      </c>
      <c r="Z1440" s="41" t="n"/>
      <c r="AA1440" s="41" t="n"/>
      <c r="AB1440" s="41" t="n"/>
    </row>
    <row r="1441">
      <c r="A1441" s="39">
        <f>IF($C1441="","","NOV-"&amp;TEXT(ROW()-3,"0000"))</f>
        <v/>
      </c>
      <c r="B1441" s="40" t="n"/>
      <c r="C1441" s="41" t="n"/>
      <c r="D1441" s="42">
        <f>IF($C1441="","",IFERROR(INDEX(DESPACHOS!$D$3:$D$3002,MATCH($C1441,DESPACHOS!$B$3:$B$3002,0)),"SIN DESPACHO"))</f>
        <v/>
      </c>
      <c r="E1441" s="42">
        <f>IF($C1441="","",IFERROR(INDEX(DESPACHOS!$K$3:$K$3002,MATCH($C1441,DESPACHOS!$B$3:$B$3002,0)),""))</f>
        <v/>
      </c>
      <c r="F1441" s="42">
        <f>IF($C1441="","",IFERROR(INDEX(DESPACHOS!$I$3:$I$3002,MATCH($C1441,DESPACHOS!$B$3:$B$3002,0)),""))</f>
        <v/>
      </c>
      <c r="G1441" s="42">
        <f>IF($C1441="","",IFERROR(INDEX(DESPACHOS!$F$3:$F$3002,MATCH($C1441,DESPACHOS!$B$3:$B$3002,0)),""))</f>
        <v/>
      </c>
      <c r="H1441" s="42">
        <f>IF($C1441="","",IFERROR(INDEX(DESPACHOS!$G$3:$G$3002,MATCH($C1441,DESPACHOS!$B$3:$B$3002,0)),""))</f>
        <v/>
      </c>
      <c r="I1441" s="39">
        <f>IF($C1441="","",IFERROR(INDEX(DESPACHOS!$H$3:$H$3002,MATCH($C1441,DESPACHOS!$B$3:$B$3002,0)),""))</f>
        <v/>
      </c>
      <c r="J1441" s="43">
        <f>IF($C1441="","",IFERROR(INDEX(DESPACHOS!$J$3:$J$3002,MATCH($C1441,DESPACHOS!$B$3:$B$3002,0)),""))</f>
        <v/>
      </c>
      <c r="K1441" s="39">
        <f>IF($C1441="","",IF(COUNTIFS(DESPACHOS!$B$3:$B$3002,$C1441)=0,"NO EXISTE",IF(COUNTIFS(DESPACHOS!$B$3:$B$3002,$C1441)&gt;1,"DUPLICADO","OK")))</f>
        <v/>
      </c>
      <c r="L1441" s="41" t="n"/>
      <c r="M1441" s="41" t="n"/>
      <c r="N1441" s="42">
        <f>IF($M1441="","",IFERROR(INDEX(LISTAS!$F$3:$F$42,MATCH($M1441,LISTAS!$E$3:$E$42,0)),"Por definir"))</f>
        <v/>
      </c>
      <c r="O1441" s="41" t="n"/>
      <c r="P1441" s="39">
        <f>IF($L1441="","",IFERROR(INDEX(LISTAS!$B$3:$B$42,MATCH($L1441,LISTAS!$A$3:$A$42,0)),"Media"))</f>
        <v/>
      </c>
      <c r="Q1441" s="44" t="n"/>
      <c r="R1441" s="45" t="n"/>
      <c r="S1441" s="20">
        <f>IFERROR(IF(OR($R1441="",$C1441=""),"",$R1441/INDEX(DESPACHOS!$M$3:$M$3002,MATCH($C1441,DESPACHOS!$B$3:$B$3002,0))),"")</f>
        <v/>
      </c>
      <c r="T1441" s="41" t="n"/>
      <c r="U1441" s="43">
        <f>IF(OR($B1441="",$L1441=""),"",WORKDAY($B1441,IFERROR(INDEX(LISTAS!$C$3:$C$42,MATCH($L1441,LISTAS!$A$3:$A$42,0)),3)))</f>
        <v/>
      </c>
      <c r="V1441" s="40" t="n"/>
      <c r="W1441" s="19">
        <f>IF($B1441="","",IF($V1441&lt;&gt;"",$V1441-$B1441,TODAY()-$B1441))</f>
        <v/>
      </c>
      <c r="X1441" s="19">
        <f>IF(OR($B1441="",$U1441=""),"",IF($V1441&lt;&gt;"",MAX(0,$V1441-$U1441),MAX(0,TODAY()-$U1441)))</f>
        <v/>
      </c>
      <c r="Y1441" s="39">
        <f>IF($C1441="","",IF(IFERROR(INDEX(LISTAS!$I$3:$I$42,MATCH($T1441,LISTAS!$H$3:$H$42,0)),"NO")="SÍ",IF(N($X1441)&gt;0,"CERRADA FUERA DE SLA","CERRADA EN SLA"),IF($U1441="","SIN CLASIFICAR",IF(N($X1441)&gt;0,"VENCIDA",IF(TODAY()&gt;=$U1441-1,"POR VENCER","EN PLAZO")))))</f>
        <v/>
      </c>
      <c r="Z1441" s="41" t="n"/>
      <c r="AA1441" s="41" t="n"/>
      <c r="AB1441" s="41" t="n"/>
    </row>
    <row r="1442">
      <c r="A1442" s="39">
        <f>IF($C1442="","","NOV-"&amp;TEXT(ROW()-3,"0000"))</f>
        <v/>
      </c>
      <c r="B1442" s="40" t="n"/>
      <c r="C1442" s="41" t="n"/>
      <c r="D1442" s="42">
        <f>IF($C1442="","",IFERROR(INDEX(DESPACHOS!$D$3:$D$3002,MATCH($C1442,DESPACHOS!$B$3:$B$3002,0)),"SIN DESPACHO"))</f>
        <v/>
      </c>
      <c r="E1442" s="42">
        <f>IF($C1442="","",IFERROR(INDEX(DESPACHOS!$K$3:$K$3002,MATCH($C1442,DESPACHOS!$B$3:$B$3002,0)),""))</f>
        <v/>
      </c>
      <c r="F1442" s="42">
        <f>IF($C1442="","",IFERROR(INDEX(DESPACHOS!$I$3:$I$3002,MATCH($C1442,DESPACHOS!$B$3:$B$3002,0)),""))</f>
        <v/>
      </c>
      <c r="G1442" s="42">
        <f>IF($C1442="","",IFERROR(INDEX(DESPACHOS!$F$3:$F$3002,MATCH($C1442,DESPACHOS!$B$3:$B$3002,0)),""))</f>
        <v/>
      </c>
      <c r="H1442" s="42">
        <f>IF($C1442="","",IFERROR(INDEX(DESPACHOS!$G$3:$G$3002,MATCH($C1442,DESPACHOS!$B$3:$B$3002,0)),""))</f>
        <v/>
      </c>
      <c r="I1442" s="39">
        <f>IF($C1442="","",IFERROR(INDEX(DESPACHOS!$H$3:$H$3002,MATCH($C1442,DESPACHOS!$B$3:$B$3002,0)),""))</f>
        <v/>
      </c>
      <c r="J1442" s="43">
        <f>IF($C1442="","",IFERROR(INDEX(DESPACHOS!$J$3:$J$3002,MATCH($C1442,DESPACHOS!$B$3:$B$3002,0)),""))</f>
        <v/>
      </c>
      <c r="K1442" s="39">
        <f>IF($C1442="","",IF(COUNTIFS(DESPACHOS!$B$3:$B$3002,$C1442)=0,"NO EXISTE",IF(COUNTIFS(DESPACHOS!$B$3:$B$3002,$C1442)&gt;1,"DUPLICADO","OK")))</f>
        <v/>
      </c>
      <c r="L1442" s="41" t="n"/>
      <c r="M1442" s="41" t="n"/>
      <c r="N1442" s="42">
        <f>IF($M1442="","",IFERROR(INDEX(LISTAS!$F$3:$F$42,MATCH($M1442,LISTAS!$E$3:$E$42,0)),"Por definir"))</f>
        <v/>
      </c>
      <c r="O1442" s="41" t="n"/>
      <c r="P1442" s="39">
        <f>IF($L1442="","",IFERROR(INDEX(LISTAS!$B$3:$B$42,MATCH($L1442,LISTAS!$A$3:$A$42,0)),"Media"))</f>
        <v/>
      </c>
      <c r="Q1442" s="44" t="n"/>
      <c r="R1442" s="45" t="n"/>
      <c r="S1442" s="20">
        <f>IFERROR(IF(OR($R1442="",$C1442=""),"",$R1442/INDEX(DESPACHOS!$M$3:$M$3002,MATCH($C1442,DESPACHOS!$B$3:$B$3002,0))),"")</f>
        <v/>
      </c>
      <c r="T1442" s="41" t="n"/>
      <c r="U1442" s="43">
        <f>IF(OR($B1442="",$L1442=""),"",WORKDAY($B1442,IFERROR(INDEX(LISTAS!$C$3:$C$42,MATCH($L1442,LISTAS!$A$3:$A$42,0)),3)))</f>
        <v/>
      </c>
      <c r="V1442" s="40" t="n"/>
      <c r="W1442" s="19">
        <f>IF($B1442="","",IF($V1442&lt;&gt;"",$V1442-$B1442,TODAY()-$B1442))</f>
        <v/>
      </c>
      <c r="X1442" s="19">
        <f>IF(OR($B1442="",$U1442=""),"",IF($V1442&lt;&gt;"",MAX(0,$V1442-$U1442),MAX(0,TODAY()-$U1442)))</f>
        <v/>
      </c>
      <c r="Y1442" s="39">
        <f>IF($C1442="","",IF(IFERROR(INDEX(LISTAS!$I$3:$I$42,MATCH($T1442,LISTAS!$H$3:$H$42,0)),"NO")="SÍ",IF(N($X1442)&gt;0,"CERRADA FUERA DE SLA","CERRADA EN SLA"),IF($U1442="","SIN CLASIFICAR",IF(N($X1442)&gt;0,"VENCIDA",IF(TODAY()&gt;=$U1442-1,"POR VENCER","EN PLAZO")))))</f>
        <v/>
      </c>
      <c r="Z1442" s="41" t="n"/>
      <c r="AA1442" s="41" t="n"/>
      <c r="AB1442" s="41" t="n"/>
    </row>
    <row r="1443">
      <c r="A1443" s="39">
        <f>IF($C1443="","","NOV-"&amp;TEXT(ROW()-3,"0000"))</f>
        <v/>
      </c>
      <c r="B1443" s="40" t="n"/>
      <c r="C1443" s="41" t="n"/>
      <c r="D1443" s="42">
        <f>IF($C1443="","",IFERROR(INDEX(DESPACHOS!$D$3:$D$3002,MATCH($C1443,DESPACHOS!$B$3:$B$3002,0)),"SIN DESPACHO"))</f>
        <v/>
      </c>
      <c r="E1443" s="42">
        <f>IF($C1443="","",IFERROR(INDEX(DESPACHOS!$K$3:$K$3002,MATCH($C1443,DESPACHOS!$B$3:$B$3002,0)),""))</f>
        <v/>
      </c>
      <c r="F1443" s="42">
        <f>IF($C1443="","",IFERROR(INDEX(DESPACHOS!$I$3:$I$3002,MATCH($C1443,DESPACHOS!$B$3:$B$3002,0)),""))</f>
        <v/>
      </c>
      <c r="G1443" s="42">
        <f>IF($C1443="","",IFERROR(INDEX(DESPACHOS!$F$3:$F$3002,MATCH($C1443,DESPACHOS!$B$3:$B$3002,0)),""))</f>
        <v/>
      </c>
      <c r="H1443" s="42">
        <f>IF($C1443="","",IFERROR(INDEX(DESPACHOS!$G$3:$G$3002,MATCH($C1443,DESPACHOS!$B$3:$B$3002,0)),""))</f>
        <v/>
      </c>
      <c r="I1443" s="39">
        <f>IF($C1443="","",IFERROR(INDEX(DESPACHOS!$H$3:$H$3002,MATCH($C1443,DESPACHOS!$B$3:$B$3002,0)),""))</f>
        <v/>
      </c>
      <c r="J1443" s="43">
        <f>IF($C1443="","",IFERROR(INDEX(DESPACHOS!$J$3:$J$3002,MATCH($C1443,DESPACHOS!$B$3:$B$3002,0)),""))</f>
        <v/>
      </c>
      <c r="K1443" s="39">
        <f>IF($C1443="","",IF(COUNTIFS(DESPACHOS!$B$3:$B$3002,$C1443)=0,"NO EXISTE",IF(COUNTIFS(DESPACHOS!$B$3:$B$3002,$C1443)&gt;1,"DUPLICADO","OK")))</f>
        <v/>
      </c>
      <c r="L1443" s="41" t="n"/>
      <c r="M1443" s="41" t="n"/>
      <c r="N1443" s="42">
        <f>IF($M1443="","",IFERROR(INDEX(LISTAS!$F$3:$F$42,MATCH($M1443,LISTAS!$E$3:$E$42,0)),"Por definir"))</f>
        <v/>
      </c>
      <c r="O1443" s="41" t="n"/>
      <c r="P1443" s="39">
        <f>IF($L1443="","",IFERROR(INDEX(LISTAS!$B$3:$B$42,MATCH($L1443,LISTAS!$A$3:$A$42,0)),"Media"))</f>
        <v/>
      </c>
      <c r="Q1443" s="44" t="n"/>
      <c r="R1443" s="45" t="n"/>
      <c r="S1443" s="20">
        <f>IFERROR(IF(OR($R1443="",$C1443=""),"",$R1443/INDEX(DESPACHOS!$M$3:$M$3002,MATCH($C1443,DESPACHOS!$B$3:$B$3002,0))),"")</f>
        <v/>
      </c>
      <c r="T1443" s="41" t="n"/>
      <c r="U1443" s="43">
        <f>IF(OR($B1443="",$L1443=""),"",WORKDAY($B1443,IFERROR(INDEX(LISTAS!$C$3:$C$42,MATCH($L1443,LISTAS!$A$3:$A$42,0)),3)))</f>
        <v/>
      </c>
      <c r="V1443" s="40" t="n"/>
      <c r="W1443" s="19">
        <f>IF($B1443="","",IF($V1443&lt;&gt;"",$V1443-$B1443,TODAY()-$B1443))</f>
        <v/>
      </c>
      <c r="X1443" s="19">
        <f>IF(OR($B1443="",$U1443=""),"",IF($V1443&lt;&gt;"",MAX(0,$V1443-$U1443),MAX(0,TODAY()-$U1443)))</f>
        <v/>
      </c>
      <c r="Y1443" s="39">
        <f>IF($C1443="","",IF(IFERROR(INDEX(LISTAS!$I$3:$I$42,MATCH($T1443,LISTAS!$H$3:$H$42,0)),"NO")="SÍ",IF(N($X1443)&gt;0,"CERRADA FUERA DE SLA","CERRADA EN SLA"),IF($U1443="","SIN CLASIFICAR",IF(N($X1443)&gt;0,"VENCIDA",IF(TODAY()&gt;=$U1443-1,"POR VENCER","EN PLAZO")))))</f>
        <v/>
      </c>
      <c r="Z1443" s="41" t="n"/>
      <c r="AA1443" s="41" t="n"/>
      <c r="AB1443" s="41" t="n"/>
    </row>
    <row r="1444">
      <c r="A1444" s="39">
        <f>IF($C1444="","","NOV-"&amp;TEXT(ROW()-3,"0000"))</f>
        <v/>
      </c>
      <c r="B1444" s="40" t="n"/>
      <c r="C1444" s="41" t="n"/>
      <c r="D1444" s="42">
        <f>IF($C1444="","",IFERROR(INDEX(DESPACHOS!$D$3:$D$3002,MATCH($C1444,DESPACHOS!$B$3:$B$3002,0)),"SIN DESPACHO"))</f>
        <v/>
      </c>
      <c r="E1444" s="42">
        <f>IF($C1444="","",IFERROR(INDEX(DESPACHOS!$K$3:$K$3002,MATCH($C1444,DESPACHOS!$B$3:$B$3002,0)),""))</f>
        <v/>
      </c>
      <c r="F1444" s="42">
        <f>IF($C1444="","",IFERROR(INDEX(DESPACHOS!$I$3:$I$3002,MATCH($C1444,DESPACHOS!$B$3:$B$3002,0)),""))</f>
        <v/>
      </c>
      <c r="G1444" s="42">
        <f>IF($C1444="","",IFERROR(INDEX(DESPACHOS!$F$3:$F$3002,MATCH($C1444,DESPACHOS!$B$3:$B$3002,0)),""))</f>
        <v/>
      </c>
      <c r="H1444" s="42">
        <f>IF($C1444="","",IFERROR(INDEX(DESPACHOS!$G$3:$G$3002,MATCH($C1444,DESPACHOS!$B$3:$B$3002,0)),""))</f>
        <v/>
      </c>
      <c r="I1444" s="39">
        <f>IF($C1444="","",IFERROR(INDEX(DESPACHOS!$H$3:$H$3002,MATCH($C1444,DESPACHOS!$B$3:$B$3002,0)),""))</f>
        <v/>
      </c>
      <c r="J1444" s="43">
        <f>IF($C1444="","",IFERROR(INDEX(DESPACHOS!$J$3:$J$3002,MATCH($C1444,DESPACHOS!$B$3:$B$3002,0)),""))</f>
        <v/>
      </c>
      <c r="K1444" s="39">
        <f>IF($C1444="","",IF(COUNTIFS(DESPACHOS!$B$3:$B$3002,$C1444)=0,"NO EXISTE",IF(COUNTIFS(DESPACHOS!$B$3:$B$3002,$C1444)&gt;1,"DUPLICADO","OK")))</f>
        <v/>
      </c>
      <c r="L1444" s="41" t="n"/>
      <c r="M1444" s="41" t="n"/>
      <c r="N1444" s="42">
        <f>IF($M1444="","",IFERROR(INDEX(LISTAS!$F$3:$F$42,MATCH($M1444,LISTAS!$E$3:$E$42,0)),"Por definir"))</f>
        <v/>
      </c>
      <c r="O1444" s="41" t="n"/>
      <c r="P1444" s="39">
        <f>IF($L1444="","",IFERROR(INDEX(LISTAS!$B$3:$B$42,MATCH($L1444,LISTAS!$A$3:$A$42,0)),"Media"))</f>
        <v/>
      </c>
      <c r="Q1444" s="44" t="n"/>
      <c r="R1444" s="45" t="n"/>
      <c r="S1444" s="20">
        <f>IFERROR(IF(OR($R1444="",$C1444=""),"",$R1444/INDEX(DESPACHOS!$M$3:$M$3002,MATCH($C1444,DESPACHOS!$B$3:$B$3002,0))),"")</f>
        <v/>
      </c>
      <c r="T1444" s="41" t="n"/>
      <c r="U1444" s="43">
        <f>IF(OR($B1444="",$L1444=""),"",WORKDAY($B1444,IFERROR(INDEX(LISTAS!$C$3:$C$42,MATCH($L1444,LISTAS!$A$3:$A$42,0)),3)))</f>
        <v/>
      </c>
      <c r="V1444" s="40" t="n"/>
      <c r="W1444" s="19">
        <f>IF($B1444="","",IF($V1444&lt;&gt;"",$V1444-$B1444,TODAY()-$B1444))</f>
        <v/>
      </c>
      <c r="X1444" s="19">
        <f>IF(OR($B1444="",$U1444=""),"",IF($V1444&lt;&gt;"",MAX(0,$V1444-$U1444),MAX(0,TODAY()-$U1444)))</f>
        <v/>
      </c>
      <c r="Y1444" s="39">
        <f>IF($C1444="","",IF(IFERROR(INDEX(LISTAS!$I$3:$I$42,MATCH($T1444,LISTAS!$H$3:$H$42,0)),"NO")="SÍ",IF(N($X1444)&gt;0,"CERRADA FUERA DE SLA","CERRADA EN SLA"),IF($U1444="","SIN CLASIFICAR",IF(N($X1444)&gt;0,"VENCIDA",IF(TODAY()&gt;=$U1444-1,"POR VENCER","EN PLAZO")))))</f>
        <v/>
      </c>
      <c r="Z1444" s="41" t="n"/>
      <c r="AA1444" s="41" t="n"/>
      <c r="AB1444" s="41" t="n"/>
    </row>
    <row r="1445">
      <c r="A1445" s="39">
        <f>IF($C1445="","","NOV-"&amp;TEXT(ROW()-3,"0000"))</f>
        <v/>
      </c>
      <c r="B1445" s="40" t="n"/>
      <c r="C1445" s="41" t="n"/>
      <c r="D1445" s="42">
        <f>IF($C1445="","",IFERROR(INDEX(DESPACHOS!$D$3:$D$3002,MATCH($C1445,DESPACHOS!$B$3:$B$3002,0)),"SIN DESPACHO"))</f>
        <v/>
      </c>
      <c r="E1445" s="42">
        <f>IF($C1445="","",IFERROR(INDEX(DESPACHOS!$K$3:$K$3002,MATCH($C1445,DESPACHOS!$B$3:$B$3002,0)),""))</f>
        <v/>
      </c>
      <c r="F1445" s="42">
        <f>IF($C1445="","",IFERROR(INDEX(DESPACHOS!$I$3:$I$3002,MATCH($C1445,DESPACHOS!$B$3:$B$3002,0)),""))</f>
        <v/>
      </c>
      <c r="G1445" s="42">
        <f>IF($C1445="","",IFERROR(INDEX(DESPACHOS!$F$3:$F$3002,MATCH($C1445,DESPACHOS!$B$3:$B$3002,0)),""))</f>
        <v/>
      </c>
      <c r="H1445" s="42">
        <f>IF($C1445="","",IFERROR(INDEX(DESPACHOS!$G$3:$G$3002,MATCH($C1445,DESPACHOS!$B$3:$B$3002,0)),""))</f>
        <v/>
      </c>
      <c r="I1445" s="39">
        <f>IF($C1445="","",IFERROR(INDEX(DESPACHOS!$H$3:$H$3002,MATCH($C1445,DESPACHOS!$B$3:$B$3002,0)),""))</f>
        <v/>
      </c>
      <c r="J1445" s="43">
        <f>IF($C1445="","",IFERROR(INDEX(DESPACHOS!$J$3:$J$3002,MATCH($C1445,DESPACHOS!$B$3:$B$3002,0)),""))</f>
        <v/>
      </c>
      <c r="K1445" s="39">
        <f>IF($C1445="","",IF(COUNTIFS(DESPACHOS!$B$3:$B$3002,$C1445)=0,"NO EXISTE",IF(COUNTIFS(DESPACHOS!$B$3:$B$3002,$C1445)&gt;1,"DUPLICADO","OK")))</f>
        <v/>
      </c>
      <c r="L1445" s="41" t="n"/>
      <c r="M1445" s="41" t="n"/>
      <c r="N1445" s="42">
        <f>IF($M1445="","",IFERROR(INDEX(LISTAS!$F$3:$F$42,MATCH($M1445,LISTAS!$E$3:$E$42,0)),"Por definir"))</f>
        <v/>
      </c>
      <c r="O1445" s="41" t="n"/>
      <c r="P1445" s="39">
        <f>IF($L1445="","",IFERROR(INDEX(LISTAS!$B$3:$B$42,MATCH($L1445,LISTAS!$A$3:$A$42,0)),"Media"))</f>
        <v/>
      </c>
      <c r="Q1445" s="44" t="n"/>
      <c r="R1445" s="45" t="n"/>
      <c r="S1445" s="20">
        <f>IFERROR(IF(OR($R1445="",$C1445=""),"",$R1445/INDEX(DESPACHOS!$M$3:$M$3002,MATCH($C1445,DESPACHOS!$B$3:$B$3002,0))),"")</f>
        <v/>
      </c>
      <c r="T1445" s="41" t="n"/>
      <c r="U1445" s="43">
        <f>IF(OR($B1445="",$L1445=""),"",WORKDAY($B1445,IFERROR(INDEX(LISTAS!$C$3:$C$42,MATCH($L1445,LISTAS!$A$3:$A$42,0)),3)))</f>
        <v/>
      </c>
      <c r="V1445" s="40" t="n"/>
      <c r="W1445" s="19">
        <f>IF($B1445="","",IF($V1445&lt;&gt;"",$V1445-$B1445,TODAY()-$B1445))</f>
        <v/>
      </c>
      <c r="X1445" s="19">
        <f>IF(OR($B1445="",$U1445=""),"",IF($V1445&lt;&gt;"",MAX(0,$V1445-$U1445),MAX(0,TODAY()-$U1445)))</f>
        <v/>
      </c>
      <c r="Y1445" s="39">
        <f>IF($C1445="","",IF(IFERROR(INDEX(LISTAS!$I$3:$I$42,MATCH($T1445,LISTAS!$H$3:$H$42,0)),"NO")="SÍ",IF(N($X1445)&gt;0,"CERRADA FUERA DE SLA","CERRADA EN SLA"),IF($U1445="","SIN CLASIFICAR",IF(N($X1445)&gt;0,"VENCIDA",IF(TODAY()&gt;=$U1445-1,"POR VENCER","EN PLAZO")))))</f>
        <v/>
      </c>
      <c r="Z1445" s="41" t="n"/>
      <c r="AA1445" s="41" t="n"/>
      <c r="AB1445" s="41" t="n"/>
    </row>
    <row r="1446">
      <c r="A1446" s="39">
        <f>IF($C1446="","","NOV-"&amp;TEXT(ROW()-3,"0000"))</f>
        <v/>
      </c>
      <c r="B1446" s="40" t="n"/>
      <c r="C1446" s="41" t="n"/>
      <c r="D1446" s="42">
        <f>IF($C1446="","",IFERROR(INDEX(DESPACHOS!$D$3:$D$3002,MATCH($C1446,DESPACHOS!$B$3:$B$3002,0)),"SIN DESPACHO"))</f>
        <v/>
      </c>
      <c r="E1446" s="42">
        <f>IF($C1446="","",IFERROR(INDEX(DESPACHOS!$K$3:$K$3002,MATCH($C1446,DESPACHOS!$B$3:$B$3002,0)),""))</f>
        <v/>
      </c>
      <c r="F1446" s="42">
        <f>IF($C1446="","",IFERROR(INDEX(DESPACHOS!$I$3:$I$3002,MATCH($C1446,DESPACHOS!$B$3:$B$3002,0)),""))</f>
        <v/>
      </c>
      <c r="G1446" s="42">
        <f>IF($C1446="","",IFERROR(INDEX(DESPACHOS!$F$3:$F$3002,MATCH($C1446,DESPACHOS!$B$3:$B$3002,0)),""))</f>
        <v/>
      </c>
      <c r="H1446" s="42">
        <f>IF($C1446="","",IFERROR(INDEX(DESPACHOS!$G$3:$G$3002,MATCH($C1446,DESPACHOS!$B$3:$B$3002,0)),""))</f>
        <v/>
      </c>
      <c r="I1446" s="39">
        <f>IF($C1446="","",IFERROR(INDEX(DESPACHOS!$H$3:$H$3002,MATCH($C1446,DESPACHOS!$B$3:$B$3002,0)),""))</f>
        <v/>
      </c>
      <c r="J1446" s="43">
        <f>IF($C1446="","",IFERROR(INDEX(DESPACHOS!$J$3:$J$3002,MATCH($C1446,DESPACHOS!$B$3:$B$3002,0)),""))</f>
        <v/>
      </c>
      <c r="K1446" s="39">
        <f>IF($C1446="","",IF(COUNTIFS(DESPACHOS!$B$3:$B$3002,$C1446)=0,"NO EXISTE",IF(COUNTIFS(DESPACHOS!$B$3:$B$3002,$C1446)&gt;1,"DUPLICADO","OK")))</f>
        <v/>
      </c>
      <c r="L1446" s="41" t="n"/>
      <c r="M1446" s="41" t="n"/>
      <c r="N1446" s="42">
        <f>IF($M1446="","",IFERROR(INDEX(LISTAS!$F$3:$F$42,MATCH($M1446,LISTAS!$E$3:$E$42,0)),"Por definir"))</f>
        <v/>
      </c>
      <c r="O1446" s="41" t="n"/>
      <c r="P1446" s="39">
        <f>IF($L1446="","",IFERROR(INDEX(LISTAS!$B$3:$B$42,MATCH($L1446,LISTAS!$A$3:$A$42,0)),"Media"))</f>
        <v/>
      </c>
      <c r="Q1446" s="44" t="n"/>
      <c r="R1446" s="45" t="n"/>
      <c r="S1446" s="20">
        <f>IFERROR(IF(OR($R1446="",$C1446=""),"",$R1446/INDEX(DESPACHOS!$M$3:$M$3002,MATCH($C1446,DESPACHOS!$B$3:$B$3002,0))),"")</f>
        <v/>
      </c>
      <c r="T1446" s="41" t="n"/>
      <c r="U1446" s="43">
        <f>IF(OR($B1446="",$L1446=""),"",WORKDAY($B1446,IFERROR(INDEX(LISTAS!$C$3:$C$42,MATCH($L1446,LISTAS!$A$3:$A$42,0)),3)))</f>
        <v/>
      </c>
      <c r="V1446" s="40" t="n"/>
      <c r="W1446" s="19">
        <f>IF($B1446="","",IF($V1446&lt;&gt;"",$V1446-$B1446,TODAY()-$B1446))</f>
        <v/>
      </c>
      <c r="X1446" s="19">
        <f>IF(OR($B1446="",$U1446=""),"",IF($V1446&lt;&gt;"",MAX(0,$V1446-$U1446),MAX(0,TODAY()-$U1446)))</f>
        <v/>
      </c>
      <c r="Y1446" s="39">
        <f>IF($C1446="","",IF(IFERROR(INDEX(LISTAS!$I$3:$I$42,MATCH($T1446,LISTAS!$H$3:$H$42,0)),"NO")="SÍ",IF(N($X1446)&gt;0,"CERRADA FUERA DE SLA","CERRADA EN SLA"),IF($U1446="","SIN CLASIFICAR",IF(N($X1446)&gt;0,"VENCIDA",IF(TODAY()&gt;=$U1446-1,"POR VENCER","EN PLAZO")))))</f>
        <v/>
      </c>
      <c r="Z1446" s="41" t="n"/>
      <c r="AA1446" s="41" t="n"/>
      <c r="AB1446" s="41" t="n"/>
    </row>
    <row r="1447">
      <c r="A1447" s="39">
        <f>IF($C1447="","","NOV-"&amp;TEXT(ROW()-3,"0000"))</f>
        <v/>
      </c>
      <c r="B1447" s="40" t="n"/>
      <c r="C1447" s="41" t="n"/>
      <c r="D1447" s="42">
        <f>IF($C1447="","",IFERROR(INDEX(DESPACHOS!$D$3:$D$3002,MATCH($C1447,DESPACHOS!$B$3:$B$3002,0)),"SIN DESPACHO"))</f>
        <v/>
      </c>
      <c r="E1447" s="42">
        <f>IF($C1447="","",IFERROR(INDEX(DESPACHOS!$K$3:$K$3002,MATCH($C1447,DESPACHOS!$B$3:$B$3002,0)),""))</f>
        <v/>
      </c>
      <c r="F1447" s="42">
        <f>IF($C1447="","",IFERROR(INDEX(DESPACHOS!$I$3:$I$3002,MATCH($C1447,DESPACHOS!$B$3:$B$3002,0)),""))</f>
        <v/>
      </c>
      <c r="G1447" s="42">
        <f>IF($C1447="","",IFERROR(INDEX(DESPACHOS!$F$3:$F$3002,MATCH($C1447,DESPACHOS!$B$3:$B$3002,0)),""))</f>
        <v/>
      </c>
      <c r="H1447" s="42">
        <f>IF($C1447="","",IFERROR(INDEX(DESPACHOS!$G$3:$G$3002,MATCH($C1447,DESPACHOS!$B$3:$B$3002,0)),""))</f>
        <v/>
      </c>
      <c r="I1447" s="39">
        <f>IF($C1447="","",IFERROR(INDEX(DESPACHOS!$H$3:$H$3002,MATCH($C1447,DESPACHOS!$B$3:$B$3002,0)),""))</f>
        <v/>
      </c>
      <c r="J1447" s="43">
        <f>IF($C1447="","",IFERROR(INDEX(DESPACHOS!$J$3:$J$3002,MATCH($C1447,DESPACHOS!$B$3:$B$3002,0)),""))</f>
        <v/>
      </c>
      <c r="K1447" s="39">
        <f>IF($C1447="","",IF(COUNTIFS(DESPACHOS!$B$3:$B$3002,$C1447)=0,"NO EXISTE",IF(COUNTIFS(DESPACHOS!$B$3:$B$3002,$C1447)&gt;1,"DUPLICADO","OK")))</f>
        <v/>
      </c>
      <c r="L1447" s="41" t="n"/>
      <c r="M1447" s="41" t="n"/>
      <c r="N1447" s="42">
        <f>IF($M1447="","",IFERROR(INDEX(LISTAS!$F$3:$F$42,MATCH($M1447,LISTAS!$E$3:$E$42,0)),"Por definir"))</f>
        <v/>
      </c>
      <c r="O1447" s="41" t="n"/>
      <c r="P1447" s="39">
        <f>IF($L1447="","",IFERROR(INDEX(LISTAS!$B$3:$B$42,MATCH($L1447,LISTAS!$A$3:$A$42,0)),"Media"))</f>
        <v/>
      </c>
      <c r="Q1447" s="44" t="n"/>
      <c r="R1447" s="45" t="n"/>
      <c r="S1447" s="20">
        <f>IFERROR(IF(OR($R1447="",$C1447=""),"",$R1447/INDEX(DESPACHOS!$M$3:$M$3002,MATCH($C1447,DESPACHOS!$B$3:$B$3002,0))),"")</f>
        <v/>
      </c>
      <c r="T1447" s="41" t="n"/>
      <c r="U1447" s="43">
        <f>IF(OR($B1447="",$L1447=""),"",WORKDAY($B1447,IFERROR(INDEX(LISTAS!$C$3:$C$42,MATCH($L1447,LISTAS!$A$3:$A$42,0)),3)))</f>
        <v/>
      </c>
      <c r="V1447" s="40" t="n"/>
      <c r="W1447" s="19">
        <f>IF($B1447="","",IF($V1447&lt;&gt;"",$V1447-$B1447,TODAY()-$B1447))</f>
        <v/>
      </c>
      <c r="X1447" s="19">
        <f>IF(OR($B1447="",$U1447=""),"",IF($V1447&lt;&gt;"",MAX(0,$V1447-$U1447),MAX(0,TODAY()-$U1447)))</f>
        <v/>
      </c>
      <c r="Y1447" s="39">
        <f>IF($C1447="","",IF(IFERROR(INDEX(LISTAS!$I$3:$I$42,MATCH($T1447,LISTAS!$H$3:$H$42,0)),"NO")="SÍ",IF(N($X1447)&gt;0,"CERRADA FUERA DE SLA","CERRADA EN SLA"),IF($U1447="","SIN CLASIFICAR",IF(N($X1447)&gt;0,"VENCIDA",IF(TODAY()&gt;=$U1447-1,"POR VENCER","EN PLAZO")))))</f>
        <v/>
      </c>
      <c r="Z1447" s="41" t="n"/>
      <c r="AA1447" s="41" t="n"/>
      <c r="AB1447" s="41" t="n"/>
    </row>
    <row r="1448">
      <c r="A1448" s="39">
        <f>IF($C1448="","","NOV-"&amp;TEXT(ROW()-3,"0000"))</f>
        <v/>
      </c>
      <c r="B1448" s="40" t="n"/>
      <c r="C1448" s="41" t="n"/>
      <c r="D1448" s="42">
        <f>IF($C1448="","",IFERROR(INDEX(DESPACHOS!$D$3:$D$3002,MATCH($C1448,DESPACHOS!$B$3:$B$3002,0)),"SIN DESPACHO"))</f>
        <v/>
      </c>
      <c r="E1448" s="42">
        <f>IF($C1448="","",IFERROR(INDEX(DESPACHOS!$K$3:$K$3002,MATCH($C1448,DESPACHOS!$B$3:$B$3002,0)),""))</f>
        <v/>
      </c>
      <c r="F1448" s="42">
        <f>IF($C1448="","",IFERROR(INDEX(DESPACHOS!$I$3:$I$3002,MATCH($C1448,DESPACHOS!$B$3:$B$3002,0)),""))</f>
        <v/>
      </c>
      <c r="G1448" s="42">
        <f>IF($C1448="","",IFERROR(INDEX(DESPACHOS!$F$3:$F$3002,MATCH($C1448,DESPACHOS!$B$3:$B$3002,0)),""))</f>
        <v/>
      </c>
      <c r="H1448" s="42">
        <f>IF($C1448="","",IFERROR(INDEX(DESPACHOS!$G$3:$G$3002,MATCH($C1448,DESPACHOS!$B$3:$B$3002,0)),""))</f>
        <v/>
      </c>
      <c r="I1448" s="39">
        <f>IF($C1448="","",IFERROR(INDEX(DESPACHOS!$H$3:$H$3002,MATCH($C1448,DESPACHOS!$B$3:$B$3002,0)),""))</f>
        <v/>
      </c>
      <c r="J1448" s="43">
        <f>IF($C1448="","",IFERROR(INDEX(DESPACHOS!$J$3:$J$3002,MATCH($C1448,DESPACHOS!$B$3:$B$3002,0)),""))</f>
        <v/>
      </c>
      <c r="K1448" s="39">
        <f>IF($C1448="","",IF(COUNTIFS(DESPACHOS!$B$3:$B$3002,$C1448)=0,"NO EXISTE",IF(COUNTIFS(DESPACHOS!$B$3:$B$3002,$C1448)&gt;1,"DUPLICADO","OK")))</f>
        <v/>
      </c>
      <c r="L1448" s="41" t="n"/>
      <c r="M1448" s="41" t="n"/>
      <c r="N1448" s="42">
        <f>IF($M1448="","",IFERROR(INDEX(LISTAS!$F$3:$F$42,MATCH($M1448,LISTAS!$E$3:$E$42,0)),"Por definir"))</f>
        <v/>
      </c>
      <c r="O1448" s="41" t="n"/>
      <c r="P1448" s="39">
        <f>IF($L1448="","",IFERROR(INDEX(LISTAS!$B$3:$B$42,MATCH($L1448,LISTAS!$A$3:$A$42,0)),"Media"))</f>
        <v/>
      </c>
      <c r="Q1448" s="44" t="n"/>
      <c r="R1448" s="45" t="n"/>
      <c r="S1448" s="20">
        <f>IFERROR(IF(OR($R1448="",$C1448=""),"",$R1448/INDEX(DESPACHOS!$M$3:$M$3002,MATCH($C1448,DESPACHOS!$B$3:$B$3002,0))),"")</f>
        <v/>
      </c>
      <c r="T1448" s="41" t="n"/>
      <c r="U1448" s="43">
        <f>IF(OR($B1448="",$L1448=""),"",WORKDAY($B1448,IFERROR(INDEX(LISTAS!$C$3:$C$42,MATCH($L1448,LISTAS!$A$3:$A$42,0)),3)))</f>
        <v/>
      </c>
      <c r="V1448" s="40" t="n"/>
      <c r="W1448" s="19">
        <f>IF($B1448="","",IF($V1448&lt;&gt;"",$V1448-$B1448,TODAY()-$B1448))</f>
        <v/>
      </c>
      <c r="X1448" s="19">
        <f>IF(OR($B1448="",$U1448=""),"",IF($V1448&lt;&gt;"",MAX(0,$V1448-$U1448),MAX(0,TODAY()-$U1448)))</f>
        <v/>
      </c>
      <c r="Y1448" s="39">
        <f>IF($C1448="","",IF(IFERROR(INDEX(LISTAS!$I$3:$I$42,MATCH($T1448,LISTAS!$H$3:$H$42,0)),"NO")="SÍ",IF(N($X1448)&gt;0,"CERRADA FUERA DE SLA","CERRADA EN SLA"),IF($U1448="","SIN CLASIFICAR",IF(N($X1448)&gt;0,"VENCIDA",IF(TODAY()&gt;=$U1448-1,"POR VENCER","EN PLAZO")))))</f>
        <v/>
      </c>
      <c r="Z1448" s="41" t="n"/>
      <c r="AA1448" s="41" t="n"/>
      <c r="AB1448" s="41" t="n"/>
    </row>
    <row r="1449">
      <c r="A1449" s="39">
        <f>IF($C1449="","","NOV-"&amp;TEXT(ROW()-3,"0000"))</f>
        <v/>
      </c>
      <c r="B1449" s="40" t="n"/>
      <c r="C1449" s="41" t="n"/>
      <c r="D1449" s="42">
        <f>IF($C1449="","",IFERROR(INDEX(DESPACHOS!$D$3:$D$3002,MATCH($C1449,DESPACHOS!$B$3:$B$3002,0)),"SIN DESPACHO"))</f>
        <v/>
      </c>
      <c r="E1449" s="42">
        <f>IF($C1449="","",IFERROR(INDEX(DESPACHOS!$K$3:$K$3002,MATCH($C1449,DESPACHOS!$B$3:$B$3002,0)),""))</f>
        <v/>
      </c>
      <c r="F1449" s="42">
        <f>IF($C1449="","",IFERROR(INDEX(DESPACHOS!$I$3:$I$3002,MATCH($C1449,DESPACHOS!$B$3:$B$3002,0)),""))</f>
        <v/>
      </c>
      <c r="G1449" s="42">
        <f>IF($C1449="","",IFERROR(INDEX(DESPACHOS!$F$3:$F$3002,MATCH($C1449,DESPACHOS!$B$3:$B$3002,0)),""))</f>
        <v/>
      </c>
      <c r="H1449" s="42">
        <f>IF($C1449="","",IFERROR(INDEX(DESPACHOS!$G$3:$G$3002,MATCH($C1449,DESPACHOS!$B$3:$B$3002,0)),""))</f>
        <v/>
      </c>
      <c r="I1449" s="39">
        <f>IF($C1449="","",IFERROR(INDEX(DESPACHOS!$H$3:$H$3002,MATCH($C1449,DESPACHOS!$B$3:$B$3002,0)),""))</f>
        <v/>
      </c>
      <c r="J1449" s="43">
        <f>IF($C1449="","",IFERROR(INDEX(DESPACHOS!$J$3:$J$3002,MATCH($C1449,DESPACHOS!$B$3:$B$3002,0)),""))</f>
        <v/>
      </c>
      <c r="K1449" s="39">
        <f>IF($C1449="","",IF(COUNTIFS(DESPACHOS!$B$3:$B$3002,$C1449)=0,"NO EXISTE",IF(COUNTIFS(DESPACHOS!$B$3:$B$3002,$C1449)&gt;1,"DUPLICADO","OK")))</f>
        <v/>
      </c>
      <c r="L1449" s="41" t="n"/>
      <c r="M1449" s="41" t="n"/>
      <c r="N1449" s="42">
        <f>IF($M1449="","",IFERROR(INDEX(LISTAS!$F$3:$F$42,MATCH($M1449,LISTAS!$E$3:$E$42,0)),"Por definir"))</f>
        <v/>
      </c>
      <c r="O1449" s="41" t="n"/>
      <c r="P1449" s="39">
        <f>IF($L1449="","",IFERROR(INDEX(LISTAS!$B$3:$B$42,MATCH($L1449,LISTAS!$A$3:$A$42,0)),"Media"))</f>
        <v/>
      </c>
      <c r="Q1449" s="44" t="n"/>
      <c r="R1449" s="45" t="n"/>
      <c r="S1449" s="20">
        <f>IFERROR(IF(OR($R1449="",$C1449=""),"",$R1449/INDEX(DESPACHOS!$M$3:$M$3002,MATCH($C1449,DESPACHOS!$B$3:$B$3002,0))),"")</f>
        <v/>
      </c>
      <c r="T1449" s="41" t="n"/>
      <c r="U1449" s="43">
        <f>IF(OR($B1449="",$L1449=""),"",WORKDAY($B1449,IFERROR(INDEX(LISTAS!$C$3:$C$42,MATCH($L1449,LISTAS!$A$3:$A$42,0)),3)))</f>
        <v/>
      </c>
      <c r="V1449" s="40" t="n"/>
      <c r="W1449" s="19">
        <f>IF($B1449="","",IF($V1449&lt;&gt;"",$V1449-$B1449,TODAY()-$B1449))</f>
        <v/>
      </c>
      <c r="X1449" s="19">
        <f>IF(OR($B1449="",$U1449=""),"",IF($V1449&lt;&gt;"",MAX(0,$V1449-$U1449),MAX(0,TODAY()-$U1449)))</f>
        <v/>
      </c>
      <c r="Y1449" s="39">
        <f>IF($C1449="","",IF(IFERROR(INDEX(LISTAS!$I$3:$I$42,MATCH($T1449,LISTAS!$H$3:$H$42,0)),"NO")="SÍ",IF(N($X1449)&gt;0,"CERRADA FUERA DE SLA","CERRADA EN SLA"),IF($U1449="","SIN CLASIFICAR",IF(N($X1449)&gt;0,"VENCIDA",IF(TODAY()&gt;=$U1449-1,"POR VENCER","EN PLAZO")))))</f>
        <v/>
      </c>
      <c r="Z1449" s="41" t="n"/>
      <c r="AA1449" s="41" t="n"/>
      <c r="AB1449" s="41" t="n"/>
    </row>
    <row r="1450">
      <c r="A1450" s="39">
        <f>IF($C1450="","","NOV-"&amp;TEXT(ROW()-3,"0000"))</f>
        <v/>
      </c>
      <c r="B1450" s="40" t="n"/>
      <c r="C1450" s="41" t="n"/>
      <c r="D1450" s="42">
        <f>IF($C1450="","",IFERROR(INDEX(DESPACHOS!$D$3:$D$3002,MATCH($C1450,DESPACHOS!$B$3:$B$3002,0)),"SIN DESPACHO"))</f>
        <v/>
      </c>
      <c r="E1450" s="42">
        <f>IF($C1450="","",IFERROR(INDEX(DESPACHOS!$K$3:$K$3002,MATCH($C1450,DESPACHOS!$B$3:$B$3002,0)),""))</f>
        <v/>
      </c>
      <c r="F1450" s="42">
        <f>IF($C1450="","",IFERROR(INDEX(DESPACHOS!$I$3:$I$3002,MATCH($C1450,DESPACHOS!$B$3:$B$3002,0)),""))</f>
        <v/>
      </c>
      <c r="G1450" s="42">
        <f>IF($C1450="","",IFERROR(INDEX(DESPACHOS!$F$3:$F$3002,MATCH($C1450,DESPACHOS!$B$3:$B$3002,0)),""))</f>
        <v/>
      </c>
      <c r="H1450" s="42">
        <f>IF($C1450="","",IFERROR(INDEX(DESPACHOS!$G$3:$G$3002,MATCH($C1450,DESPACHOS!$B$3:$B$3002,0)),""))</f>
        <v/>
      </c>
      <c r="I1450" s="39">
        <f>IF($C1450="","",IFERROR(INDEX(DESPACHOS!$H$3:$H$3002,MATCH($C1450,DESPACHOS!$B$3:$B$3002,0)),""))</f>
        <v/>
      </c>
      <c r="J1450" s="43">
        <f>IF($C1450="","",IFERROR(INDEX(DESPACHOS!$J$3:$J$3002,MATCH($C1450,DESPACHOS!$B$3:$B$3002,0)),""))</f>
        <v/>
      </c>
      <c r="K1450" s="39">
        <f>IF($C1450="","",IF(COUNTIFS(DESPACHOS!$B$3:$B$3002,$C1450)=0,"NO EXISTE",IF(COUNTIFS(DESPACHOS!$B$3:$B$3002,$C1450)&gt;1,"DUPLICADO","OK")))</f>
        <v/>
      </c>
      <c r="L1450" s="41" t="n"/>
      <c r="M1450" s="41" t="n"/>
      <c r="N1450" s="42">
        <f>IF($M1450="","",IFERROR(INDEX(LISTAS!$F$3:$F$42,MATCH($M1450,LISTAS!$E$3:$E$42,0)),"Por definir"))</f>
        <v/>
      </c>
      <c r="O1450" s="41" t="n"/>
      <c r="P1450" s="39">
        <f>IF($L1450="","",IFERROR(INDEX(LISTAS!$B$3:$B$42,MATCH($L1450,LISTAS!$A$3:$A$42,0)),"Media"))</f>
        <v/>
      </c>
      <c r="Q1450" s="44" t="n"/>
      <c r="R1450" s="45" t="n"/>
      <c r="S1450" s="20">
        <f>IFERROR(IF(OR($R1450="",$C1450=""),"",$R1450/INDEX(DESPACHOS!$M$3:$M$3002,MATCH($C1450,DESPACHOS!$B$3:$B$3002,0))),"")</f>
        <v/>
      </c>
      <c r="T1450" s="41" t="n"/>
      <c r="U1450" s="43">
        <f>IF(OR($B1450="",$L1450=""),"",WORKDAY($B1450,IFERROR(INDEX(LISTAS!$C$3:$C$42,MATCH($L1450,LISTAS!$A$3:$A$42,0)),3)))</f>
        <v/>
      </c>
      <c r="V1450" s="40" t="n"/>
      <c r="W1450" s="19">
        <f>IF($B1450="","",IF($V1450&lt;&gt;"",$V1450-$B1450,TODAY()-$B1450))</f>
        <v/>
      </c>
      <c r="X1450" s="19">
        <f>IF(OR($B1450="",$U1450=""),"",IF($V1450&lt;&gt;"",MAX(0,$V1450-$U1450),MAX(0,TODAY()-$U1450)))</f>
        <v/>
      </c>
      <c r="Y1450" s="39">
        <f>IF($C1450="","",IF(IFERROR(INDEX(LISTAS!$I$3:$I$42,MATCH($T1450,LISTAS!$H$3:$H$42,0)),"NO")="SÍ",IF(N($X1450)&gt;0,"CERRADA FUERA DE SLA","CERRADA EN SLA"),IF($U1450="","SIN CLASIFICAR",IF(N($X1450)&gt;0,"VENCIDA",IF(TODAY()&gt;=$U1450-1,"POR VENCER","EN PLAZO")))))</f>
        <v/>
      </c>
      <c r="Z1450" s="41" t="n"/>
      <c r="AA1450" s="41" t="n"/>
      <c r="AB1450" s="41" t="n"/>
    </row>
    <row r="1451">
      <c r="A1451" s="39">
        <f>IF($C1451="","","NOV-"&amp;TEXT(ROW()-3,"0000"))</f>
        <v/>
      </c>
      <c r="B1451" s="40" t="n"/>
      <c r="C1451" s="41" t="n"/>
      <c r="D1451" s="42">
        <f>IF($C1451="","",IFERROR(INDEX(DESPACHOS!$D$3:$D$3002,MATCH($C1451,DESPACHOS!$B$3:$B$3002,0)),"SIN DESPACHO"))</f>
        <v/>
      </c>
      <c r="E1451" s="42">
        <f>IF($C1451="","",IFERROR(INDEX(DESPACHOS!$K$3:$K$3002,MATCH($C1451,DESPACHOS!$B$3:$B$3002,0)),""))</f>
        <v/>
      </c>
      <c r="F1451" s="42">
        <f>IF($C1451="","",IFERROR(INDEX(DESPACHOS!$I$3:$I$3002,MATCH($C1451,DESPACHOS!$B$3:$B$3002,0)),""))</f>
        <v/>
      </c>
      <c r="G1451" s="42">
        <f>IF($C1451="","",IFERROR(INDEX(DESPACHOS!$F$3:$F$3002,MATCH($C1451,DESPACHOS!$B$3:$B$3002,0)),""))</f>
        <v/>
      </c>
      <c r="H1451" s="42">
        <f>IF($C1451="","",IFERROR(INDEX(DESPACHOS!$G$3:$G$3002,MATCH($C1451,DESPACHOS!$B$3:$B$3002,0)),""))</f>
        <v/>
      </c>
      <c r="I1451" s="39">
        <f>IF($C1451="","",IFERROR(INDEX(DESPACHOS!$H$3:$H$3002,MATCH($C1451,DESPACHOS!$B$3:$B$3002,0)),""))</f>
        <v/>
      </c>
      <c r="J1451" s="43">
        <f>IF($C1451="","",IFERROR(INDEX(DESPACHOS!$J$3:$J$3002,MATCH($C1451,DESPACHOS!$B$3:$B$3002,0)),""))</f>
        <v/>
      </c>
      <c r="K1451" s="39">
        <f>IF($C1451="","",IF(COUNTIFS(DESPACHOS!$B$3:$B$3002,$C1451)=0,"NO EXISTE",IF(COUNTIFS(DESPACHOS!$B$3:$B$3002,$C1451)&gt;1,"DUPLICADO","OK")))</f>
        <v/>
      </c>
      <c r="L1451" s="41" t="n"/>
      <c r="M1451" s="41" t="n"/>
      <c r="N1451" s="42">
        <f>IF($M1451="","",IFERROR(INDEX(LISTAS!$F$3:$F$42,MATCH($M1451,LISTAS!$E$3:$E$42,0)),"Por definir"))</f>
        <v/>
      </c>
      <c r="O1451" s="41" t="n"/>
      <c r="P1451" s="39">
        <f>IF($L1451="","",IFERROR(INDEX(LISTAS!$B$3:$B$42,MATCH($L1451,LISTAS!$A$3:$A$42,0)),"Media"))</f>
        <v/>
      </c>
      <c r="Q1451" s="44" t="n"/>
      <c r="R1451" s="45" t="n"/>
      <c r="S1451" s="20">
        <f>IFERROR(IF(OR($R1451="",$C1451=""),"",$R1451/INDEX(DESPACHOS!$M$3:$M$3002,MATCH($C1451,DESPACHOS!$B$3:$B$3002,0))),"")</f>
        <v/>
      </c>
      <c r="T1451" s="41" t="n"/>
      <c r="U1451" s="43">
        <f>IF(OR($B1451="",$L1451=""),"",WORKDAY($B1451,IFERROR(INDEX(LISTAS!$C$3:$C$42,MATCH($L1451,LISTAS!$A$3:$A$42,0)),3)))</f>
        <v/>
      </c>
      <c r="V1451" s="40" t="n"/>
      <c r="W1451" s="19">
        <f>IF($B1451="","",IF($V1451&lt;&gt;"",$V1451-$B1451,TODAY()-$B1451))</f>
        <v/>
      </c>
      <c r="X1451" s="19">
        <f>IF(OR($B1451="",$U1451=""),"",IF($V1451&lt;&gt;"",MAX(0,$V1451-$U1451),MAX(0,TODAY()-$U1451)))</f>
        <v/>
      </c>
      <c r="Y1451" s="39">
        <f>IF($C1451="","",IF(IFERROR(INDEX(LISTAS!$I$3:$I$42,MATCH($T1451,LISTAS!$H$3:$H$42,0)),"NO")="SÍ",IF(N($X1451)&gt;0,"CERRADA FUERA DE SLA","CERRADA EN SLA"),IF($U1451="","SIN CLASIFICAR",IF(N($X1451)&gt;0,"VENCIDA",IF(TODAY()&gt;=$U1451-1,"POR VENCER","EN PLAZO")))))</f>
        <v/>
      </c>
      <c r="Z1451" s="41" t="n"/>
      <c r="AA1451" s="41" t="n"/>
      <c r="AB1451" s="41" t="n"/>
    </row>
    <row r="1452">
      <c r="A1452" s="39">
        <f>IF($C1452="","","NOV-"&amp;TEXT(ROW()-3,"0000"))</f>
        <v/>
      </c>
      <c r="B1452" s="40" t="n"/>
      <c r="C1452" s="41" t="n"/>
      <c r="D1452" s="42">
        <f>IF($C1452="","",IFERROR(INDEX(DESPACHOS!$D$3:$D$3002,MATCH($C1452,DESPACHOS!$B$3:$B$3002,0)),"SIN DESPACHO"))</f>
        <v/>
      </c>
      <c r="E1452" s="42">
        <f>IF($C1452="","",IFERROR(INDEX(DESPACHOS!$K$3:$K$3002,MATCH($C1452,DESPACHOS!$B$3:$B$3002,0)),""))</f>
        <v/>
      </c>
      <c r="F1452" s="42">
        <f>IF($C1452="","",IFERROR(INDEX(DESPACHOS!$I$3:$I$3002,MATCH($C1452,DESPACHOS!$B$3:$B$3002,0)),""))</f>
        <v/>
      </c>
      <c r="G1452" s="42">
        <f>IF($C1452="","",IFERROR(INDEX(DESPACHOS!$F$3:$F$3002,MATCH($C1452,DESPACHOS!$B$3:$B$3002,0)),""))</f>
        <v/>
      </c>
      <c r="H1452" s="42">
        <f>IF($C1452="","",IFERROR(INDEX(DESPACHOS!$G$3:$G$3002,MATCH($C1452,DESPACHOS!$B$3:$B$3002,0)),""))</f>
        <v/>
      </c>
      <c r="I1452" s="39">
        <f>IF($C1452="","",IFERROR(INDEX(DESPACHOS!$H$3:$H$3002,MATCH($C1452,DESPACHOS!$B$3:$B$3002,0)),""))</f>
        <v/>
      </c>
      <c r="J1452" s="43">
        <f>IF($C1452="","",IFERROR(INDEX(DESPACHOS!$J$3:$J$3002,MATCH($C1452,DESPACHOS!$B$3:$B$3002,0)),""))</f>
        <v/>
      </c>
      <c r="K1452" s="39">
        <f>IF($C1452="","",IF(COUNTIFS(DESPACHOS!$B$3:$B$3002,$C1452)=0,"NO EXISTE",IF(COUNTIFS(DESPACHOS!$B$3:$B$3002,$C1452)&gt;1,"DUPLICADO","OK")))</f>
        <v/>
      </c>
      <c r="L1452" s="41" t="n"/>
      <c r="M1452" s="41" t="n"/>
      <c r="N1452" s="42">
        <f>IF($M1452="","",IFERROR(INDEX(LISTAS!$F$3:$F$42,MATCH($M1452,LISTAS!$E$3:$E$42,0)),"Por definir"))</f>
        <v/>
      </c>
      <c r="O1452" s="41" t="n"/>
      <c r="P1452" s="39">
        <f>IF($L1452="","",IFERROR(INDEX(LISTAS!$B$3:$B$42,MATCH($L1452,LISTAS!$A$3:$A$42,0)),"Media"))</f>
        <v/>
      </c>
      <c r="Q1452" s="44" t="n"/>
      <c r="R1452" s="45" t="n"/>
      <c r="S1452" s="20">
        <f>IFERROR(IF(OR($R1452="",$C1452=""),"",$R1452/INDEX(DESPACHOS!$M$3:$M$3002,MATCH($C1452,DESPACHOS!$B$3:$B$3002,0))),"")</f>
        <v/>
      </c>
      <c r="T1452" s="41" t="n"/>
      <c r="U1452" s="43">
        <f>IF(OR($B1452="",$L1452=""),"",WORKDAY($B1452,IFERROR(INDEX(LISTAS!$C$3:$C$42,MATCH($L1452,LISTAS!$A$3:$A$42,0)),3)))</f>
        <v/>
      </c>
      <c r="V1452" s="40" t="n"/>
      <c r="W1452" s="19">
        <f>IF($B1452="","",IF($V1452&lt;&gt;"",$V1452-$B1452,TODAY()-$B1452))</f>
        <v/>
      </c>
      <c r="X1452" s="19">
        <f>IF(OR($B1452="",$U1452=""),"",IF($V1452&lt;&gt;"",MAX(0,$V1452-$U1452),MAX(0,TODAY()-$U1452)))</f>
        <v/>
      </c>
      <c r="Y1452" s="39">
        <f>IF($C1452="","",IF(IFERROR(INDEX(LISTAS!$I$3:$I$42,MATCH($T1452,LISTAS!$H$3:$H$42,0)),"NO")="SÍ",IF(N($X1452)&gt;0,"CERRADA FUERA DE SLA","CERRADA EN SLA"),IF($U1452="","SIN CLASIFICAR",IF(N($X1452)&gt;0,"VENCIDA",IF(TODAY()&gt;=$U1452-1,"POR VENCER","EN PLAZO")))))</f>
        <v/>
      </c>
      <c r="Z1452" s="41" t="n"/>
      <c r="AA1452" s="41" t="n"/>
      <c r="AB1452" s="41" t="n"/>
    </row>
    <row r="1453">
      <c r="A1453" s="39">
        <f>IF($C1453="","","NOV-"&amp;TEXT(ROW()-3,"0000"))</f>
        <v/>
      </c>
      <c r="B1453" s="40" t="n"/>
      <c r="C1453" s="41" t="n"/>
      <c r="D1453" s="42">
        <f>IF($C1453="","",IFERROR(INDEX(DESPACHOS!$D$3:$D$3002,MATCH($C1453,DESPACHOS!$B$3:$B$3002,0)),"SIN DESPACHO"))</f>
        <v/>
      </c>
      <c r="E1453" s="42">
        <f>IF($C1453="","",IFERROR(INDEX(DESPACHOS!$K$3:$K$3002,MATCH($C1453,DESPACHOS!$B$3:$B$3002,0)),""))</f>
        <v/>
      </c>
      <c r="F1453" s="42">
        <f>IF($C1453="","",IFERROR(INDEX(DESPACHOS!$I$3:$I$3002,MATCH($C1453,DESPACHOS!$B$3:$B$3002,0)),""))</f>
        <v/>
      </c>
      <c r="G1453" s="42">
        <f>IF($C1453="","",IFERROR(INDEX(DESPACHOS!$F$3:$F$3002,MATCH($C1453,DESPACHOS!$B$3:$B$3002,0)),""))</f>
        <v/>
      </c>
      <c r="H1453" s="42">
        <f>IF($C1453="","",IFERROR(INDEX(DESPACHOS!$G$3:$G$3002,MATCH($C1453,DESPACHOS!$B$3:$B$3002,0)),""))</f>
        <v/>
      </c>
      <c r="I1453" s="39">
        <f>IF($C1453="","",IFERROR(INDEX(DESPACHOS!$H$3:$H$3002,MATCH($C1453,DESPACHOS!$B$3:$B$3002,0)),""))</f>
        <v/>
      </c>
      <c r="J1453" s="43">
        <f>IF($C1453="","",IFERROR(INDEX(DESPACHOS!$J$3:$J$3002,MATCH($C1453,DESPACHOS!$B$3:$B$3002,0)),""))</f>
        <v/>
      </c>
      <c r="K1453" s="39">
        <f>IF($C1453="","",IF(COUNTIFS(DESPACHOS!$B$3:$B$3002,$C1453)=0,"NO EXISTE",IF(COUNTIFS(DESPACHOS!$B$3:$B$3002,$C1453)&gt;1,"DUPLICADO","OK")))</f>
        <v/>
      </c>
      <c r="L1453" s="41" t="n"/>
      <c r="M1453" s="41" t="n"/>
      <c r="N1453" s="42">
        <f>IF($M1453="","",IFERROR(INDEX(LISTAS!$F$3:$F$42,MATCH($M1453,LISTAS!$E$3:$E$42,0)),"Por definir"))</f>
        <v/>
      </c>
      <c r="O1453" s="41" t="n"/>
      <c r="P1453" s="39">
        <f>IF($L1453="","",IFERROR(INDEX(LISTAS!$B$3:$B$42,MATCH($L1453,LISTAS!$A$3:$A$42,0)),"Media"))</f>
        <v/>
      </c>
      <c r="Q1453" s="44" t="n"/>
      <c r="R1453" s="45" t="n"/>
      <c r="S1453" s="20">
        <f>IFERROR(IF(OR($R1453="",$C1453=""),"",$R1453/INDEX(DESPACHOS!$M$3:$M$3002,MATCH($C1453,DESPACHOS!$B$3:$B$3002,0))),"")</f>
        <v/>
      </c>
      <c r="T1453" s="41" t="n"/>
      <c r="U1453" s="43">
        <f>IF(OR($B1453="",$L1453=""),"",WORKDAY($B1453,IFERROR(INDEX(LISTAS!$C$3:$C$42,MATCH($L1453,LISTAS!$A$3:$A$42,0)),3)))</f>
        <v/>
      </c>
      <c r="V1453" s="40" t="n"/>
      <c r="W1453" s="19">
        <f>IF($B1453="","",IF($V1453&lt;&gt;"",$V1453-$B1453,TODAY()-$B1453))</f>
        <v/>
      </c>
      <c r="X1453" s="19">
        <f>IF(OR($B1453="",$U1453=""),"",IF($V1453&lt;&gt;"",MAX(0,$V1453-$U1453),MAX(0,TODAY()-$U1453)))</f>
        <v/>
      </c>
      <c r="Y1453" s="39">
        <f>IF($C1453="","",IF(IFERROR(INDEX(LISTAS!$I$3:$I$42,MATCH($T1453,LISTAS!$H$3:$H$42,0)),"NO")="SÍ",IF(N($X1453)&gt;0,"CERRADA FUERA DE SLA","CERRADA EN SLA"),IF($U1453="","SIN CLASIFICAR",IF(N($X1453)&gt;0,"VENCIDA",IF(TODAY()&gt;=$U1453-1,"POR VENCER","EN PLAZO")))))</f>
        <v/>
      </c>
      <c r="Z1453" s="41" t="n"/>
      <c r="AA1453" s="41" t="n"/>
      <c r="AB1453" s="41" t="n"/>
    </row>
    <row r="1454">
      <c r="A1454" s="39">
        <f>IF($C1454="","","NOV-"&amp;TEXT(ROW()-3,"0000"))</f>
        <v/>
      </c>
      <c r="B1454" s="40" t="n"/>
      <c r="C1454" s="41" t="n"/>
      <c r="D1454" s="42">
        <f>IF($C1454="","",IFERROR(INDEX(DESPACHOS!$D$3:$D$3002,MATCH($C1454,DESPACHOS!$B$3:$B$3002,0)),"SIN DESPACHO"))</f>
        <v/>
      </c>
      <c r="E1454" s="42">
        <f>IF($C1454="","",IFERROR(INDEX(DESPACHOS!$K$3:$K$3002,MATCH($C1454,DESPACHOS!$B$3:$B$3002,0)),""))</f>
        <v/>
      </c>
      <c r="F1454" s="42">
        <f>IF($C1454="","",IFERROR(INDEX(DESPACHOS!$I$3:$I$3002,MATCH($C1454,DESPACHOS!$B$3:$B$3002,0)),""))</f>
        <v/>
      </c>
      <c r="G1454" s="42">
        <f>IF($C1454="","",IFERROR(INDEX(DESPACHOS!$F$3:$F$3002,MATCH($C1454,DESPACHOS!$B$3:$B$3002,0)),""))</f>
        <v/>
      </c>
      <c r="H1454" s="42">
        <f>IF($C1454="","",IFERROR(INDEX(DESPACHOS!$G$3:$G$3002,MATCH($C1454,DESPACHOS!$B$3:$B$3002,0)),""))</f>
        <v/>
      </c>
      <c r="I1454" s="39">
        <f>IF($C1454="","",IFERROR(INDEX(DESPACHOS!$H$3:$H$3002,MATCH($C1454,DESPACHOS!$B$3:$B$3002,0)),""))</f>
        <v/>
      </c>
      <c r="J1454" s="43">
        <f>IF($C1454="","",IFERROR(INDEX(DESPACHOS!$J$3:$J$3002,MATCH($C1454,DESPACHOS!$B$3:$B$3002,0)),""))</f>
        <v/>
      </c>
      <c r="K1454" s="39">
        <f>IF($C1454="","",IF(COUNTIFS(DESPACHOS!$B$3:$B$3002,$C1454)=0,"NO EXISTE",IF(COUNTIFS(DESPACHOS!$B$3:$B$3002,$C1454)&gt;1,"DUPLICADO","OK")))</f>
        <v/>
      </c>
      <c r="L1454" s="41" t="n"/>
      <c r="M1454" s="41" t="n"/>
      <c r="N1454" s="42">
        <f>IF($M1454="","",IFERROR(INDEX(LISTAS!$F$3:$F$42,MATCH($M1454,LISTAS!$E$3:$E$42,0)),"Por definir"))</f>
        <v/>
      </c>
      <c r="O1454" s="41" t="n"/>
      <c r="P1454" s="39">
        <f>IF($L1454="","",IFERROR(INDEX(LISTAS!$B$3:$B$42,MATCH($L1454,LISTAS!$A$3:$A$42,0)),"Media"))</f>
        <v/>
      </c>
      <c r="Q1454" s="44" t="n"/>
      <c r="R1454" s="45" t="n"/>
      <c r="S1454" s="20">
        <f>IFERROR(IF(OR($R1454="",$C1454=""),"",$R1454/INDEX(DESPACHOS!$M$3:$M$3002,MATCH($C1454,DESPACHOS!$B$3:$B$3002,0))),"")</f>
        <v/>
      </c>
      <c r="T1454" s="41" t="n"/>
      <c r="U1454" s="43">
        <f>IF(OR($B1454="",$L1454=""),"",WORKDAY($B1454,IFERROR(INDEX(LISTAS!$C$3:$C$42,MATCH($L1454,LISTAS!$A$3:$A$42,0)),3)))</f>
        <v/>
      </c>
      <c r="V1454" s="40" t="n"/>
      <c r="W1454" s="19">
        <f>IF($B1454="","",IF($V1454&lt;&gt;"",$V1454-$B1454,TODAY()-$B1454))</f>
        <v/>
      </c>
      <c r="X1454" s="19">
        <f>IF(OR($B1454="",$U1454=""),"",IF($V1454&lt;&gt;"",MAX(0,$V1454-$U1454),MAX(0,TODAY()-$U1454)))</f>
        <v/>
      </c>
      <c r="Y1454" s="39">
        <f>IF($C1454="","",IF(IFERROR(INDEX(LISTAS!$I$3:$I$42,MATCH($T1454,LISTAS!$H$3:$H$42,0)),"NO")="SÍ",IF(N($X1454)&gt;0,"CERRADA FUERA DE SLA","CERRADA EN SLA"),IF($U1454="","SIN CLASIFICAR",IF(N($X1454)&gt;0,"VENCIDA",IF(TODAY()&gt;=$U1454-1,"POR VENCER","EN PLAZO")))))</f>
        <v/>
      </c>
      <c r="Z1454" s="41" t="n"/>
      <c r="AA1454" s="41" t="n"/>
      <c r="AB1454" s="41" t="n"/>
    </row>
    <row r="1455">
      <c r="A1455" s="39">
        <f>IF($C1455="","","NOV-"&amp;TEXT(ROW()-3,"0000"))</f>
        <v/>
      </c>
      <c r="B1455" s="40" t="n"/>
      <c r="C1455" s="41" t="n"/>
      <c r="D1455" s="42">
        <f>IF($C1455="","",IFERROR(INDEX(DESPACHOS!$D$3:$D$3002,MATCH($C1455,DESPACHOS!$B$3:$B$3002,0)),"SIN DESPACHO"))</f>
        <v/>
      </c>
      <c r="E1455" s="42">
        <f>IF($C1455="","",IFERROR(INDEX(DESPACHOS!$K$3:$K$3002,MATCH($C1455,DESPACHOS!$B$3:$B$3002,0)),""))</f>
        <v/>
      </c>
      <c r="F1455" s="42">
        <f>IF($C1455="","",IFERROR(INDEX(DESPACHOS!$I$3:$I$3002,MATCH($C1455,DESPACHOS!$B$3:$B$3002,0)),""))</f>
        <v/>
      </c>
      <c r="G1455" s="42">
        <f>IF($C1455="","",IFERROR(INDEX(DESPACHOS!$F$3:$F$3002,MATCH($C1455,DESPACHOS!$B$3:$B$3002,0)),""))</f>
        <v/>
      </c>
      <c r="H1455" s="42">
        <f>IF($C1455="","",IFERROR(INDEX(DESPACHOS!$G$3:$G$3002,MATCH($C1455,DESPACHOS!$B$3:$B$3002,0)),""))</f>
        <v/>
      </c>
      <c r="I1455" s="39">
        <f>IF($C1455="","",IFERROR(INDEX(DESPACHOS!$H$3:$H$3002,MATCH($C1455,DESPACHOS!$B$3:$B$3002,0)),""))</f>
        <v/>
      </c>
      <c r="J1455" s="43">
        <f>IF($C1455="","",IFERROR(INDEX(DESPACHOS!$J$3:$J$3002,MATCH($C1455,DESPACHOS!$B$3:$B$3002,0)),""))</f>
        <v/>
      </c>
      <c r="K1455" s="39">
        <f>IF($C1455="","",IF(COUNTIFS(DESPACHOS!$B$3:$B$3002,$C1455)=0,"NO EXISTE",IF(COUNTIFS(DESPACHOS!$B$3:$B$3002,$C1455)&gt;1,"DUPLICADO","OK")))</f>
        <v/>
      </c>
      <c r="L1455" s="41" t="n"/>
      <c r="M1455" s="41" t="n"/>
      <c r="N1455" s="42">
        <f>IF($M1455="","",IFERROR(INDEX(LISTAS!$F$3:$F$42,MATCH($M1455,LISTAS!$E$3:$E$42,0)),"Por definir"))</f>
        <v/>
      </c>
      <c r="O1455" s="41" t="n"/>
      <c r="P1455" s="39">
        <f>IF($L1455="","",IFERROR(INDEX(LISTAS!$B$3:$B$42,MATCH($L1455,LISTAS!$A$3:$A$42,0)),"Media"))</f>
        <v/>
      </c>
      <c r="Q1455" s="44" t="n"/>
      <c r="R1455" s="45" t="n"/>
      <c r="S1455" s="20">
        <f>IFERROR(IF(OR($R1455="",$C1455=""),"",$R1455/INDEX(DESPACHOS!$M$3:$M$3002,MATCH($C1455,DESPACHOS!$B$3:$B$3002,0))),"")</f>
        <v/>
      </c>
      <c r="T1455" s="41" t="n"/>
      <c r="U1455" s="43">
        <f>IF(OR($B1455="",$L1455=""),"",WORKDAY($B1455,IFERROR(INDEX(LISTAS!$C$3:$C$42,MATCH($L1455,LISTAS!$A$3:$A$42,0)),3)))</f>
        <v/>
      </c>
      <c r="V1455" s="40" t="n"/>
      <c r="W1455" s="19">
        <f>IF($B1455="","",IF($V1455&lt;&gt;"",$V1455-$B1455,TODAY()-$B1455))</f>
        <v/>
      </c>
      <c r="X1455" s="19">
        <f>IF(OR($B1455="",$U1455=""),"",IF($V1455&lt;&gt;"",MAX(0,$V1455-$U1455),MAX(0,TODAY()-$U1455)))</f>
        <v/>
      </c>
      <c r="Y1455" s="39">
        <f>IF($C1455="","",IF(IFERROR(INDEX(LISTAS!$I$3:$I$42,MATCH($T1455,LISTAS!$H$3:$H$42,0)),"NO")="SÍ",IF(N($X1455)&gt;0,"CERRADA FUERA DE SLA","CERRADA EN SLA"),IF($U1455="","SIN CLASIFICAR",IF(N($X1455)&gt;0,"VENCIDA",IF(TODAY()&gt;=$U1455-1,"POR VENCER","EN PLAZO")))))</f>
        <v/>
      </c>
      <c r="Z1455" s="41" t="n"/>
      <c r="AA1455" s="41" t="n"/>
      <c r="AB1455" s="41" t="n"/>
    </row>
    <row r="1456">
      <c r="A1456" s="39">
        <f>IF($C1456="","","NOV-"&amp;TEXT(ROW()-3,"0000"))</f>
        <v/>
      </c>
      <c r="B1456" s="40" t="n"/>
      <c r="C1456" s="41" t="n"/>
      <c r="D1456" s="42">
        <f>IF($C1456="","",IFERROR(INDEX(DESPACHOS!$D$3:$D$3002,MATCH($C1456,DESPACHOS!$B$3:$B$3002,0)),"SIN DESPACHO"))</f>
        <v/>
      </c>
      <c r="E1456" s="42">
        <f>IF($C1456="","",IFERROR(INDEX(DESPACHOS!$K$3:$K$3002,MATCH($C1456,DESPACHOS!$B$3:$B$3002,0)),""))</f>
        <v/>
      </c>
      <c r="F1456" s="42">
        <f>IF($C1456="","",IFERROR(INDEX(DESPACHOS!$I$3:$I$3002,MATCH($C1456,DESPACHOS!$B$3:$B$3002,0)),""))</f>
        <v/>
      </c>
      <c r="G1456" s="42">
        <f>IF($C1456="","",IFERROR(INDEX(DESPACHOS!$F$3:$F$3002,MATCH($C1456,DESPACHOS!$B$3:$B$3002,0)),""))</f>
        <v/>
      </c>
      <c r="H1456" s="42">
        <f>IF($C1456="","",IFERROR(INDEX(DESPACHOS!$G$3:$G$3002,MATCH($C1456,DESPACHOS!$B$3:$B$3002,0)),""))</f>
        <v/>
      </c>
      <c r="I1456" s="39">
        <f>IF($C1456="","",IFERROR(INDEX(DESPACHOS!$H$3:$H$3002,MATCH($C1456,DESPACHOS!$B$3:$B$3002,0)),""))</f>
        <v/>
      </c>
      <c r="J1456" s="43">
        <f>IF($C1456="","",IFERROR(INDEX(DESPACHOS!$J$3:$J$3002,MATCH($C1456,DESPACHOS!$B$3:$B$3002,0)),""))</f>
        <v/>
      </c>
      <c r="K1456" s="39">
        <f>IF($C1456="","",IF(COUNTIFS(DESPACHOS!$B$3:$B$3002,$C1456)=0,"NO EXISTE",IF(COUNTIFS(DESPACHOS!$B$3:$B$3002,$C1456)&gt;1,"DUPLICADO","OK")))</f>
        <v/>
      </c>
      <c r="L1456" s="41" t="n"/>
      <c r="M1456" s="41" t="n"/>
      <c r="N1456" s="42">
        <f>IF($M1456="","",IFERROR(INDEX(LISTAS!$F$3:$F$42,MATCH($M1456,LISTAS!$E$3:$E$42,0)),"Por definir"))</f>
        <v/>
      </c>
      <c r="O1456" s="41" t="n"/>
      <c r="P1456" s="39">
        <f>IF($L1456="","",IFERROR(INDEX(LISTAS!$B$3:$B$42,MATCH($L1456,LISTAS!$A$3:$A$42,0)),"Media"))</f>
        <v/>
      </c>
      <c r="Q1456" s="44" t="n"/>
      <c r="R1456" s="45" t="n"/>
      <c r="S1456" s="20">
        <f>IFERROR(IF(OR($R1456="",$C1456=""),"",$R1456/INDEX(DESPACHOS!$M$3:$M$3002,MATCH($C1456,DESPACHOS!$B$3:$B$3002,0))),"")</f>
        <v/>
      </c>
      <c r="T1456" s="41" t="n"/>
      <c r="U1456" s="43">
        <f>IF(OR($B1456="",$L1456=""),"",WORKDAY($B1456,IFERROR(INDEX(LISTAS!$C$3:$C$42,MATCH($L1456,LISTAS!$A$3:$A$42,0)),3)))</f>
        <v/>
      </c>
      <c r="V1456" s="40" t="n"/>
      <c r="W1456" s="19">
        <f>IF($B1456="","",IF($V1456&lt;&gt;"",$V1456-$B1456,TODAY()-$B1456))</f>
        <v/>
      </c>
      <c r="X1456" s="19">
        <f>IF(OR($B1456="",$U1456=""),"",IF($V1456&lt;&gt;"",MAX(0,$V1456-$U1456),MAX(0,TODAY()-$U1456)))</f>
        <v/>
      </c>
      <c r="Y1456" s="39">
        <f>IF($C1456="","",IF(IFERROR(INDEX(LISTAS!$I$3:$I$42,MATCH($T1456,LISTAS!$H$3:$H$42,0)),"NO")="SÍ",IF(N($X1456)&gt;0,"CERRADA FUERA DE SLA","CERRADA EN SLA"),IF($U1456="","SIN CLASIFICAR",IF(N($X1456)&gt;0,"VENCIDA",IF(TODAY()&gt;=$U1456-1,"POR VENCER","EN PLAZO")))))</f>
        <v/>
      </c>
      <c r="Z1456" s="41" t="n"/>
      <c r="AA1456" s="41" t="n"/>
      <c r="AB1456" s="41" t="n"/>
    </row>
    <row r="1457">
      <c r="A1457" s="39">
        <f>IF($C1457="","","NOV-"&amp;TEXT(ROW()-3,"0000"))</f>
        <v/>
      </c>
      <c r="B1457" s="40" t="n"/>
      <c r="C1457" s="41" t="n"/>
      <c r="D1457" s="42">
        <f>IF($C1457="","",IFERROR(INDEX(DESPACHOS!$D$3:$D$3002,MATCH($C1457,DESPACHOS!$B$3:$B$3002,0)),"SIN DESPACHO"))</f>
        <v/>
      </c>
      <c r="E1457" s="42">
        <f>IF($C1457="","",IFERROR(INDEX(DESPACHOS!$K$3:$K$3002,MATCH($C1457,DESPACHOS!$B$3:$B$3002,0)),""))</f>
        <v/>
      </c>
      <c r="F1457" s="42">
        <f>IF($C1457="","",IFERROR(INDEX(DESPACHOS!$I$3:$I$3002,MATCH($C1457,DESPACHOS!$B$3:$B$3002,0)),""))</f>
        <v/>
      </c>
      <c r="G1457" s="42">
        <f>IF($C1457="","",IFERROR(INDEX(DESPACHOS!$F$3:$F$3002,MATCH($C1457,DESPACHOS!$B$3:$B$3002,0)),""))</f>
        <v/>
      </c>
      <c r="H1457" s="42">
        <f>IF($C1457="","",IFERROR(INDEX(DESPACHOS!$G$3:$G$3002,MATCH($C1457,DESPACHOS!$B$3:$B$3002,0)),""))</f>
        <v/>
      </c>
      <c r="I1457" s="39">
        <f>IF($C1457="","",IFERROR(INDEX(DESPACHOS!$H$3:$H$3002,MATCH($C1457,DESPACHOS!$B$3:$B$3002,0)),""))</f>
        <v/>
      </c>
      <c r="J1457" s="43">
        <f>IF($C1457="","",IFERROR(INDEX(DESPACHOS!$J$3:$J$3002,MATCH($C1457,DESPACHOS!$B$3:$B$3002,0)),""))</f>
        <v/>
      </c>
      <c r="K1457" s="39">
        <f>IF($C1457="","",IF(COUNTIFS(DESPACHOS!$B$3:$B$3002,$C1457)=0,"NO EXISTE",IF(COUNTIFS(DESPACHOS!$B$3:$B$3002,$C1457)&gt;1,"DUPLICADO","OK")))</f>
        <v/>
      </c>
      <c r="L1457" s="41" t="n"/>
      <c r="M1457" s="41" t="n"/>
      <c r="N1457" s="42">
        <f>IF($M1457="","",IFERROR(INDEX(LISTAS!$F$3:$F$42,MATCH($M1457,LISTAS!$E$3:$E$42,0)),"Por definir"))</f>
        <v/>
      </c>
      <c r="O1457" s="41" t="n"/>
      <c r="P1457" s="39">
        <f>IF($L1457="","",IFERROR(INDEX(LISTAS!$B$3:$B$42,MATCH($L1457,LISTAS!$A$3:$A$42,0)),"Media"))</f>
        <v/>
      </c>
      <c r="Q1457" s="44" t="n"/>
      <c r="R1457" s="45" t="n"/>
      <c r="S1457" s="20">
        <f>IFERROR(IF(OR($R1457="",$C1457=""),"",$R1457/INDEX(DESPACHOS!$M$3:$M$3002,MATCH($C1457,DESPACHOS!$B$3:$B$3002,0))),"")</f>
        <v/>
      </c>
      <c r="T1457" s="41" t="n"/>
      <c r="U1457" s="43">
        <f>IF(OR($B1457="",$L1457=""),"",WORKDAY($B1457,IFERROR(INDEX(LISTAS!$C$3:$C$42,MATCH($L1457,LISTAS!$A$3:$A$42,0)),3)))</f>
        <v/>
      </c>
      <c r="V1457" s="40" t="n"/>
      <c r="W1457" s="19">
        <f>IF($B1457="","",IF($V1457&lt;&gt;"",$V1457-$B1457,TODAY()-$B1457))</f>
        <v/>
      </c>
      <c r="X1457" s="19">
        <f>IF(OR($B1457="",$U1457=""),"",IF($V1457&lt;&gt;"",MAX(0,$V1457-$U1457),MAX(0,TODAY()-$U1457)))</f>
        <v/>
      </c>
      <c r="Y1457" s="39">
        <f>IF($C1457="","",IF(IFERROR(INDEX(LISTAS!$I$3:$I$42,MATCH($T1457,LISTAS!$H$3:$H$42,0)),"NO")="SÍ",IF(N($X1457)&gt;0,"CERRADA FUERA DE SLA","CERRADA EN SLA"),IF($U1457="","SIN CLASIFICAR",IF(N($X1457)&gt;0,"VENCIDA",IF(TODAY()&gt;=$U1457-1,"POR VENCER","EN PLAZO")))))</f>
        <v/>
      </c>
      <c r="Z1457" s="41" t="n"/>
      <c r="AA1457" s="41" t="n"/>
      <c r="AB1457" s="41" t="n"/>
    </row>
    <row r="1458">
      <c r="A1458" s="39">
        <f>IF($C1458="","","NOV-"&amp;TEXT(ROW()-3,"0000"))</f>
        <v/>
      </c>
      <c r="B1458" s="40" t="n"/>
      <c r="C1458" s="41" t="n"/>
      <c r="D1458" s="42">
        <f>IF($C1458="","",IFERROR(INDEX(DESPACHOS!$D$3:$D$3002,MATCH($C1458,DESPACHOS!$B$3:$B$3002,0)),"SIN DESPACHO"))</f>
        <v/>
      </c>
      <c r="E1458" s="42">
        <f>IF($C1458="","",IFERROR(INDEX(DESPACHOS!$K$3:$K$3002,MATCH($C1458,DESPACHOS!$B$3:$B$3002,0)),""))</f>
        <v/>
      </c>
      <c r="F1458" s="42">
        <f>IF($C1458="","",IFERROR(INDEX(DESPACHOS!$I$3:$I$3002,MATCH($C1458,DESPACHOS!$B$3:$B$3002,0)),""))</f>
        <v/>
      </c>
      <c r="G1458" s="42">
        <f>IF($C1458="","",IFERROR(INDEX(DESPACHOS!$F$3:$F$3002,MATCH($C1458,DESPACHOS!$B$3:$B$3002,0)),""))</f>
        <v/>
      </c>
      <c r="H1458" s="42">
        <f>IF($C1458="","",IFERROR(INDEX(DESPACHOS!$G$3:$G$3002,MATCH($C1458,DESPACHOS!$B$3:$B$3002,0)),""))</f>
        <v/>
      </c>
      <c r="I1458" s="39">
        <f>IF($C1458="","",IFERROR(INDEX(DESPACHOS!$H$3:$H$3002,MATCH($C1458,DESPACHOS!$B$3:$B$3002,0)),""))</f>
        <v/>
      </c>
      <c r="J1458" s="43">
        <f>IF($C1458="","",IFERROR(INDEX(DESPACHOS!$J$3:$J$3002,MATCH($C1458,DESPACHOS!$B$3:$B$3002,0)),""))</f>
        <v/>
      </c>
      <c r="K1458" s="39">
        <f>IF($C1458="","",IF(COUNTIFS(DESPACHOS!$B$3:$B$3002,$C1458)=0,"NO EXISTE",IF(COUNTIFS(DESPACHOS!$B$3:$B$3002,$C1458)&gt;1,"DUPLICADO","OK")))</f>
        <v/>
      </c>
      <c r="L1458" s="41" t="n"/>
      <c r="M1458" s="41" t="n"/>
      <c r="N1458" s="42">
        <f>IF($M1458="","",IFERROR(INDEX(LISTAS!$F$3:$F$42,MATCH($M1458,LISTAS!$E$3:$E$42,0)),"Por definir"))</f>
        <v/>
      </c>
      <c r="O1458" s="41" t="n"/>
      <c r="P1458" s="39">
        <f>IF($L1458="","",IFERROR(INDEX(LISTAS!$B$3:$B$42,MATCH($L1458,LISTAS!$A$3:$A$42,0)),"Media"))</f>
        <v/>
      </c>
      <c r="Q1458" s="44" t="n"/>
      <c r="R1458" s="45" t="n"/>
      <c r="S1458" s="20">
        <f>IFERROR(IF(OR($R1458="",$C1458=""),"",$R1458/INDEX(DESPACHOS!$M$3:$M$3002,MATCH($C1458,DESPACHOS!$B$3:$B$3002,0))),"")</f>
        <v/>
      </c>
      <c r="T1458" s="41" t="n"/>
      <c r="U1458" s="43">
        <f>IF(OR($B1458="",$L1458=""),"",WORKDAY($B1458,IFERROR(INDEX(LISTAS!$C$3:$C$42,MATCH($L1458,LISTAS!$A$3:$A$42,0)),3)))</f>
        <v/>
      </c>
      <c r="V1458" s="40" t="n"/>
      <c r="W1458" s="19">
        <f>IF($B1458="","",IF($V1458&lt;&gt;"",$V1458-$B1458,TODAY()-$B1458))</f>
        <v/>
      </c>
      <c r="X1458" s="19">
        <f>IF(OR($B1458="",$U1458=""),"",IF($V1458&lt;&gt;"",MAX(0,$V1458-$U1458),MAX(0,TODAY()-$U1458)))</f>
        <v/>
      </c>
      <c r="Y1458" s="39">
        <f>IF($C1458="","",IF(IFERROR(INDEX(LISTAS!$I$3:$I$42,MATCH($T1458,LISTAS!$H$3:$H$42,0)),"NO")="SÍ",IF(N($X1458)&gt;0,"CERRADA FUERA DE SLA","CERRADA EN SLA"),IF($U1458="","SIN CLASIFICAR",IF(N($X1458)&gt;0,"VENCIDA",IF(TODAY()&gt;=$U1458-1,"POR VENCER","EN PLAZO")))))</f>
        <v/>
      </c>
      <c r="Z1458" s="41" t="n"/>
      <c r="AA1458" s="41" t="n"/>
      <c r="AB1458" s="41" t="n"/>
    </row>
    <row r="1459">
      <c r="A1459" s="39">
        <f>IF($C1459="","","NOV-"&amp;TEXT(ROW()-3,"0000"))</f>
        <v/>
      </c>
      <c r="B1459" s="40" t="n"/>
      <c r="C1459" s="41" t="n"/>
      <c r="D1459" s="42">
        <f>IF($C1459="","",IFERROR(INDEX(DESPACHOS!$D$3:$D$3002,MATCH($C1459,DESPACHOS!$B$3:$B$3002,0)),"SIN DESPACHO"))</f>
        <v/>
      </c>
      <c r="E1459" s="42">
        <f>IF($C1459="","",IFERROR(INDEX(DESPACHOS!$K$3:$K$3002,MATCH($C1459,DESPACHOS!$B$3:$B$3002,0)),""))</f>
        <v/>
      </c>
      <c r="F1459" s="42">
        <f>IF($C1459="","",IFERROR(INDEX(DESPACHOS!$I$3:$I$3002,MATCH($C1459,DESPACHOS!$B$3:$B$3002,0)),""))</f>
        <v/>
      </c>
      <c r="G1459" s="42">
        <f>IF($C1459="","",IFERROR(INDEX(DESPACHOS!$F$3:$F$3002,MATCH($C1459,DESPACHOS!$B$3:$B$3002,0)),""))</f>
        <v/>
      </c>
      <c r="H1459" s="42">
        <f>IF($C1459="","",IFERROR(INDEX(DESPACHOS!$G$3:$G$3002,MATCH($C1459,DESPACHOS!$B$3:$B$3002,0)),""))</f>
        <v/>
      </c>
      <c r="I1459" s="39">
        <f>IF($C1459="","",IFERROR(INDEX(DESPACHOS!$H$3:$H$3002,MATCH($C1459,DESPACHOS!$B$3:$B$3002,0)),""))</f>
        <v/>
      </c>
      <c r="J1459" s="43">
        <f>IF($C1459="","",IFERROR(INDEX(DESPACHOS!$J$3:$J$3002,MATCH($C1459,DESPACHOS!$B$3:$B$3002,0)),""))</f>
        <v/>
      </c>
      <c r="K1459" s="39">
        <f>IF($C1459="","",IF(COUNTIFS(DESPACHOS!$B$3:$B$3002,$C1459)=0,"NO EXISTE",IF(COUNTIFS(DESPACHOS!$B$3:$B$3002,$C1459)&gt;1,"DUPLICADO","OK")))</f>
        <v/>
      </c>
      <c r="L1459" s="41" t="n"/>
      <c r="M1459" s="41" t="n"/>
      <c r="N1459" s="42">
        <f>IF($M1459="","",IFERROR(INDEX(LISTAS!$F$3:$F$42,MATCH($M1459,LISTAS!$E$3:$E$42,0)),"Por definir"))</f>
        <v/>
      </c>
      <c r="O1459" s="41" t="n"/>
      <c r="P1459" s="39">
        <f>IF($L1459="","",IFERROR(INDEX(LISTAS!$B$3:$B$42,MATCH($L1459,LISTAS!$A$3:$A$42,0)),"Media"))</f>
        <v/>
      </c>
      <c r="Q1459" s="44" t="n"/>
      <c r="R1459" s="45" t="n"/>
      <c r="S1459" s="20">
        <f>IFERROR(IF(OR($R1459="",$C1459=""),"",$R1459/INDEX(DESPACHOS!$M$3:$M$3002,MATCH($C1459,DESPACHOS!$B$3:$B$3002,0))),"")</f>
        <v/>
      </c>
      <c r="T1459" s="41" t="n"/>
      <c r="U1459" s="43">
        <f>IF(OR($B1459="",$L1459=""),"",WORKDAY($B1459,IFERROR(INDEX(LISTAS!$C$3:$C$42,MATCH($L1459,LISTAS!$A$3:$A$42,0)),3)))</f>
        <v/>
      </c>
      <c r="V1459" s="40" t="n"/>
      <c r="W1459" s="19">
        <f>IF($B1459="","",IF($V1459&lt;&gt;"",$V1459-$B1459,TODAY()-$B1459))</f>
        <v/>
      </c>
      <c r="X1459" s="19">
        <f>IF(OR($B1459="",$U1459=""),"",IF($V1459&lt;&gt;"",MAX(0,$V1459-$U1459),MAX(0,TODAY()-$U1459)))</f>
        <v/>
      </c>
      <c r="Y1459" s="39">
        <f>IF($C1459="","",IF(IFERROR(INDEX(LISTAS!$I$3:$I$42,MATCH($T1459,LISTAS!$H$3:$H$42,0)),"NO")="SÍ",IF(N($X1459)&gt;0,"CERRADA FUERA DE SLA","CERRADA EN SLA"),IF($U1459="","SIN CLASIFICAR",IF(N($X1459)&gt;0,"VENCIDA",IF(TODAY()&gt;=$U1459-1,"POR VENCER","EN PLAZO")))))</f>
        <v/>
      </c>
      <c r="Z1459" s="41" t="n"/>
      <c r="AA1459" s="41" t="n"/>
      <c r="AB1459" s="41" t="n"/>
    </row>
    <row r="1460">
      <c r="A1460" s="39">
        <f>IF($C1460="","","NOV-"&amp;TEXT(ROW()-3,"0000"))</f>
        <v/>
      </c>
      <c r="B1460" s="40" t="n"/>
      <c r="C1460" s="41" t="n"/>
      <c r="D1460" s="42">
        <f>IF($C1460="","",IFERROR(INDEX(DESPACHOS!$D$3:$D$3002,MATCH($C1460,DESPACHOS!$B$3:$B$3002,0)),"SIN DESPACHO"))</f>
        <v/>
      </c>
      <c r="E1460" s="42">
        <f>IF($C1460="","",IFERROR(INDEX(DESPACHOS!$K$3:$K$3002,MATCH($C1460,DESPACHOS!$B$3:$B$3002,0)),""))</f>
        <v/>
      </c>
      <c r="F1460" s="42">
        <f>IF($C1460="","",IFERROR(INDEX(DESPACHOS!$I$3:$I$3002,MATCH($C1460,DESPACHOS!$B$3:$B$3002,0)),""))</f>
        <v/>
      </c>
      <c r="G1460" s="42">
        <f>IF($C1460="","",IFERROR(INDEX(DESPACHOS!$F$3:$F$3002,MATCH($C1460,DESPACHOS!$B$3:$B$3002,0)),""))</f>
        <v/>
      </c>
      <c r="H1460" s="42">
        <f>IF($C1460="","",IFERROR(INDEX(DESPACHOS!$G$3:$G$3002,MATCH($C1460,DESPACHOS!$B$3:$B$3002,0)),""))</f>
        <v/>
      </c>
      <c r="I1460" s="39">
        <f>IF($C1460="","",IFERROR(INDEX(DESPACHOS!$H$3:$H$3002,MATCH($C1460,DESPACHOS!$B$3:$B$3002,0)),""))</f>
        <v/>
      </c>
      <c r="J1460" s="43">
        <f>IF($C1460="","",IFERROR(INDEX(DESPACHOS!$J$3:$J$3002,MATCH($C1460,DESPACHOS!$B$3:$B$3002,0)),""))</f>
        <v/>
      </c>
      <c r="K1460" s="39">
        <f>IF($C1460="","",IF(COUNTIFS(DESPACHOS!$B$3:$B$3002,$C1460)=0,"NO EXISTE",IF(COUNTIFS(DESPACHOS!$B$3:$B$3002,$C1460)&gt;1,"DUPLICADO","OK")))</f>
        <v/>
      </c>
      <c r="L1460" s="41" t="n"/>
      <c r="M1460" s="41" t="n"/>
      <c r="N1460" s="42">
        <f>IF($M1460="","",IFERROR(INDEX(LISTAS!$F$3:$F$42,MATCH($M1460,LISTAS!$E$3:$E$42,0)),"Por definir"))</f>
        <v/>
      </c>
      <c r="O1460" s="41" t="n"/>
      <c r="P1460" s="39">
        <f>IF($L1460="","",IFERROR(INDEX(LISTAS!$B$3:$B$42,MATCH($L1460,LISTAS!$A$3:$A$42,0)),"Media"))</f>
        <v/>
      </c>
      <c r="Q1460" s="44" t="n"/>
      <c r="R1460" s="45" t="n"/>
      <c r="S1460" s="20">
        <f>IFERROR(IF(OR($R1460="",$C1460=""),"",$R1460/INDEX(DESPACHOS!$M$3:$M$3002,MATCH($C1460,DESPACHOS!$B$3:$B$3002,0))),"")</f>
        <v/>
      </c>
      <c r="T1460" s="41" t="n"/>
      <c r="U1460" s="43">
        <f>IF(OR($B1460="",$L1460=""),"",WORKDAY($B1460,IFERROR(INDEX(LISTAS!$C$3:$C$42,MATCH($L1460,LISTAS!$A$3:$A$42,0)),3)))</f>
        <v/>
      </c>
      <c r="V1460" s="40" t="n"/>
      <c r="W1460" s="19">
        <f>IF($B1460="","",IF($V1460&lt;&gt;"",$V1460-$B1460,TODAY()-$B1460))</f>
        <v/>
      </c>
      <c r="X1460" s="19">
        <f>IF(OR($B1460="",$U1460=""),"",IF($V1460&lt;&gt;"",MAX(0,$V1460-$U1460),MAX(0,TODAY()-$U1460)))</f>
        <v/>
      </c>
      <c r="Y1460" s="39">
        <f>IF($C1460="","",IF(IFERROR(INDEX(LISTAS!$I$3:$I$42,MATCH($T1460,LISTAS!$H$3:$H$42,0)),"NO")="SÍ",IF(N($X1460)&gt;0,"CERRADA FUERA DE SLA","CERRADA EN SLA"),IF($U1460="","SIN CLASIFICAR",IF(N($X1460)&gt;0,"VENCIDA",IF(TODAY()&gt;=$U1460-1,"POR VENCER","EN PLAZO")))))</f>
        <v/>
      </c>
      <c r="Z1460" s="41" t="n"/>
      <c r="AA1460" s="41" t="n"/>
      <c r="AB1460" s="41" t="n"/>
    </row>
    <row r="1461">
      <c r="A1461" s="39">
        <f>IF($C1461="","","NOV-"&amp;TEXT(ROW()-3,"0000"))</f>
        <v/>
      </c>
      <c r="B1461" s="40" t="n"/>
      <c r="C1461" s="41" t="n"/>
      <c r="D1461" s="42">
        <f>IF($C1461="","",IFERROR(INDEX(DESPACHOS!$D$3:$D$3002,MATCH($C1461,DESPACHOS!$B$3:$B$3002,0)),"SIN DESPACHO"))</f>
        <v/>
      </c>
      <c r="E1461" s="42">
        <f>IF($C1461="","",IFERROR(INDEX(DESPACHOS!$K$3:$K$3002,MATCH($C1461,DESPACHOS!$B$3:$B$3002,0)),""))</f>
        <v/>
      </c>
      <c r="F1461" s="42">
        <f>IF($C1461="","",IFERROR(INDEX(DESPACHOS!$I$3:$I$3002,MATCH($C1461,DESPACHOS!$B$3:$B$3002,0)),""))</f>
        <v/>
      </c>
      <c r="G1461" s="42">
        <f>IF($C1461="","",IFERROR(INDEX(DESPACHOS!$F$3:$F$3002,MATCH($C1461,DESPACHOS!$B$3:$B$3002,0)),""))</f>
        <v/>
      </c>
      <c r="H1461" s="42">
        <f>IF($C1461="","",IFERROR(INDEX(DESPACHOS!$G$3:$G$3002,MATCH($C1461,DESPACHOS!$B$3:$B$3002,0)),""))</f>
        <v/>
      </c>
      <c r="I1461" s="39">
        <f>IF($C1461="","",IFERROR(INDEX(DESPACHOS!$H$3:$H$3002,MATCH($C1461,DESPACHOS!$B$3:$B$3002,0)),""))</f>
        <v/>
      </c>
      <c r="J1461" s="43">
        <f>IF($C1461="","",IFERROR(INDEX(DESPACHOS!$J$3:$J$3002,MATCH($C1461,DESPACHOS!$B$3:$B$3002,0)),""))</f>
        <v/>
      </c>
      <c r="K1461" s="39">
        <f>IF($C1461="","",IF(COUNTIFS(DESPACHOS!$B$3:$B$3002,$C1461)=0,"NO EXISTE",IF(COUNTIFS(DESPACHOS!$B$3:$B$3002,$C1461)&gt;1,"DUPLICADO","OK")))</f>
        <v/>
      </c>
      <c r="L1461" s="41" t="n"/>
      <c r="M1461" s="41" t="n"/>
      <c r="N1461" s="42">
        <f>IF($M1461="","",IFERROR(INDEX(LISTAS!$F$3:$F$42,MATCH($M1461,LISTAS!$E$3:$E$42,0)),"Por definir"))</f>
        <v/>
      </c>
      <c r="O1461" s="41" t="n"/>
      <c r="P1461" s="39">
        <f>IF($L1461="","",IFERROR(INDEX(LISTAS!$B$3:$B$42,MATCH($L1461,LISTAS!$A$3:$A$42,0)),"Media"))</f>
        <v/>
      </c>
      <c r="Q1461" s="44" t="n"/>
      <c r="R1461" s="45" t="n"/>
      <c r="S1461" s="20">
        <f>IFERROR(IF(OR($R1461="",$C1461=""),"",$R1461/INDEX(DESPACHOS!$M$3:$M$3002,MATCH($C1461,DESPACHOS!$B$3:$B$3002,0))),"")</f>
        <v/>
      </c>
      <c r="T1461" s="41" t="n"/>
      <c r="U1461" s="43">
        <f>IF(OR($B1461="",$L1461=""),"",WORKDAY($B1461,IFERROR(INDEX(LISTAS!$C$3:$C$42,MATCH($L1461,LISTAS!$A$3:$A$42,0)),3)))</f>
        <v/>
      </c>
      <c r="V1461" s="40" t="n"/>
      <c r="W1461" s="19">
        <f>IF($B1461="","",IF($V1461&lt;&gt;"",$V1461-$B1461,TODAY()-$B1461))</f>
        <v/>
      </c>
      <c r="X1461" s="19">
        <f>IF(OR($B1461="",$U1461=""),"",IF($V1461&lt;&gt;"",MAX(0,$V1461-$U1461),MAX(0,TODAY()-$U1461)))</f>
        <v/>
      </c>
      <c r="Y1461" s="39">
        <f>IF($C1461="","",IF(IFERROR(INDEX(LISTAS!$I$3:$I$42,MATCH($T1461,LISTAS!$H$3:$H$42,0)),"NO")="SÍ",IF(N($X1461)&gt;0,"CERRADA FUERA DE SLA","CERRADA EN SLA"),IF($U1461="","SIN CLASIFICAR",IF(N($X1461)&gt;0,"VENCIDA",IF(TODAY()&gt;=$U1461-1,"POR VENCER","EN PLAZO")))))</f>
        <v/>
      </c>
      <c r="Z1461" s="41" t="n"/>
      <c r="AA1461" s="41" t="n"/>
      <c r="AB1461" s="41" t="n"/>
    </row>
    <row r="1462">
      <c r="A1462" s="39">
        <f>IF($C1462="","","NOV-"&amp;TEXT(ROW()-3,"0000"))</f>
        <v/>
      </c>
      <c r="B1462" s="40" t="n"/>
      <c r="C1462" s="41" t="n"/>
      <c r="D1462" s="42">
        <f>IF($C1462="","",IFERROR(INDEX(DESPACHOS!$D$3:$D$3002,MATCH($C1462,DESPACHOS!$B$3:$B$3002,0)),"SIN DESPACHO"))</f>
        <v/>
      </c>
      <c r="E1462" s="42">
        <f>IF($C1462="","",IFERROR(INDEX(DESPACHOS!$K$3:$K$3002,MATCH($C1462,DESPACHOS!$B$3:$B$3002,0)),""))</f>
        <v/>
      </c>
      <c r="F1462" s="42">
        <f>IF($C1462="","",IFERROR(INDEX(DESPACHOS!$I$3:$I$3002,MATCH($C1462,DESPACHOS!$B$3:$B$3002,0)),""))</f>
        <v/>
      </c>
      <c r="G1462" s="42">
        <f>IF($C1462="","",IFERROR(INDEX(DESPACHOS!$F$3:$F$3002,MATCH($C1462,DESPACHOS!$B$3:$B$3002,0)),""))</f>
        <v/>
      </c>
      <c r="H1462" s="42">
        <f>IF($C1462="","",IFERROR(INDEX(DESPACHOS!$G$3:$G$3002,MATCH($C1462,DESPACHOS!$B$3:$B$3002,0)),""))</f>
        <v/>
      </c>
      <c r="I1462" s="39">
        <f>IF($C1462="","",IFERROR(INDEX(DESPACHOS!$H$3:$H$3002,MATCH($C1462,DESPACHOS!$B$3:$B$3002,0)),""))</f>
        <v/>
      </c>
      <c r="J1462" s="43">
        <f>IF($C1462="","",IFERROR(INDEX(DESPACHOS!$J$3:$J$3002,MATCH($C1462,DESPACHOS!$B$3:$B$3002,0)),""))</f>
        <v/>
      </c>
      <c r="K1462" s="39">
        <f>IF($C1462="","",IF(COUNTIFS(DESPACHOS!$B$3:$B$3002,$C1462)=0,"NO EXISTE",IF(COUNTIFS(DESPACHOS!$B$3:$B$3002,$C1462)&gt;1,"DUPLICADO","OK")))</f>
        <v/>
      </c>
      <c r="L1462" s="41" t="n"/>
      <c r="M1462" s="41" t="n"/>
      <c r="N1462" s="42">
        <f>IF($M1462="","",IFERROR(INDEX(LISTAS!$F$3:$F$42,MATCH($M1462,LISTAS!$E$3:$E$42,0)),"Por definir"))</f>
        <v/>
      </c>
      <c r="O1462" s="41" t="n"/>
      <c r="P1462" s="39">
        <f>IF($L1462="","",IFERROR(INDEX(LISTAS!$B$3:$B$42,MATCH($L1462,LISTAS!$A$3:$A$42,0)),"Media"))</f>
        <v/>
      </c>
      <c r="Q1462" s="44" t="n"/>
      <c r="R1462" s="45" t="n"/>
      <c r="S1462" s="20">
        <f>IFERROR(IF(OR($R1462="",$C1462=""),"",$R1462/INDEX(DESPACHOS!$M$3:$M$3002,MATCH($C1462,DESPACHOS!$B$3:$B$3002,0))),"")</f>
        <v/>
      </c>
      <c r="T1462" s="41" t="n"/>
      <c r="U1462" s="43">
        <f>IF(OR($B1462="",$L1462=""),"",WORKDAY($B1462,IFERROR(INDEX(LISTAS!$C$3:$C$42,MATCH($L1462,LISTAS!$A$3:$A$42,0)),3)))</f>
        <v/>
      </c>
      <c r="V1462" s="40" t="n"/>
      <c r="W1462" s="19">
        <f>IF($B1462="","",IF($V1462&lt;&gt;"",$V1462-$B1462,TODAY()-$B1462))</f>
        <v/>
      </c>
      <c r="X1462" s="19">
        <f>IF(OR($B1462="",$U1462=""),"",IF($V1462&lt;&gt;"",MAX(0,$V1462-$U1462),MAX(0,TODAY()-$U1462)))</f>
        <v/>
      </c>
      <c r="Y1462" s="39">
        <f>IF($C1462="","",IF(IFERROR(INDEX(LISTAS!$I$3:$I$42,MATCH($T1462,LISTAS!$H$3:$H$42,0)),"NO")="SÍ",IF(N($X1462)&gt;0,"CERRADA FUERA DE SLA","CERRADA EN SLA"),IF($U1462="","SIN CLASIFICAR",IF(N($X1462)&gt;0,"VENCIDA",IF(TODAY()&gt;=$U1462-1,"POR VENCER","EN PLAZO")))))</f>
        <v/>
      </c>
      <c r="Z1462" s="41" t="n"/>
      <c r="AA1462" s="41" t="n"/>
      <c r="AB1462" s="41" t="n"/>
    </row>
    <row r="1463">
      <c r="A1463" s="39">
        <f>IF($C1463="","","NOV-"&amp;TEXT(ROW()-3,"0000"))</f>
        <v/>
      </c>
      <c r="B1463" s="40" t="n"/>
      <c r="C1463" s="41" t="n"/>
      <c r="D1463" s="42">
        <f>IF($C1463="","",IFERROR(INDEX(DESPACHOS!$D$3:$D$3002,MATCH($C1463,DESPACHOS!$B$3:$B$3002,0)),"SIN DESPACHO"))</f>
        <v/>
      </c>
      <c r="E1463" s="42">
        <f>IF($C1463="","",IFERROR(INDEX(DESPACHOS!$K$3:$K$3002,MATCH($C1463,DESPACHOS!$B$3:$B$3002,0)),""))</f>
        <v/>
      </c>
      <c r="F1463" s="42">
        <f>IF($C1463="","",IFERROR(INDEX(DESPACHOS!$I$3:$I$3002,MATCH($C1463,DESPACHOS!$B$3:$B$3002,0)),""))</f>
        <v/>
      </c>
      <c r="G1463" s="42">
        <f>IF($C1463="","",IFERROR(INDEX(DESPACHOS!$F$3:$F$3002,MATCH($C1463,DESPACHOS!$B$3:$B$3002,0)),""))</f>
        <v/>
      </c>
      <c r="H1463" s="42">
        <f>IF($C1463="","",IFERROR(INDEX(DESPACHOS!$G$3:$G$3002,MATCH($C1463,DESPACHOS!$B$3:$B$3002,0)),""))</f>
        <v/>
      </c>
      <c r="I1463" s="39">
        <f>IF($C1463="","",IFERROR(INDEX(DESPACHOS!$H$3:$H$3002,MATCH($C1463,DESPACHOS!$B$3:$B$3002,0)),""))</f>
        <v/>
      </c>
      <c r="J1463" s="43">
        <f>IF($C1463="","",IFERROR(INDEX(DESPACHOS!$J$3:$J$3002,MATCH($C1463,DESPACHOS!$B$3:$B$3002,0)),""))</f>
        <v/>
      </c>
      <c r="K1463" s="39">
        <f>IF($C1463="","",IF(COUNTIFS(DESPACHOS!$B$3:$B$3002,$C1463)=0,"NO EXISTE",IF(COUNTIFS(DESPACHOS!$B$3:$B$3002,$C1463)&gt;1,"DUPLICADO","OK")))</f>
        <v/>
      </c>
      <c r="L1463" s="41" t="n"/>
      <c r="M1463" s="41" t="n"/>
      <c r="N1463" s="42">
        <f>IF($M1463="","",IFERROR(INDEX(LISTAS!$F$3:$F$42,MATCH($M1463,LISTAS!$E$3:$E$42,0)),"Por definir"))</f>
        <v/>
      </c>
      <c r="O1463" s="41" t="n"/>
      <c r="P1463" s="39">
        <f>IF($L1463="","",IFERROR(INDEX(LISTAS!$B$3:$B$42,MATCH($L1463,LISTAS!$A$3:$A$42,0)),"Media"))</f>
        <v/>
      </c>
      <c r="Q1463" s="44" t="n"/>
      <c r="R1463" s="45" t="n"/>
      <c r="S1463" s="20">
        <f>IFERROR(IF(OR($R1463="",$C1463=""),"",$R1463/INDEX(DESPACHOS!$M$3:$M$3002,MATCH($C1463,DESPACHOS!$B$3:$B$3002,0))),"")</f>
        <v/>
      </c>
      <c r="T1463" s="41" t="n"/>
      <c r="U1463" s="43">
        <f>IF(OR($B1463="",$L1463=""),"",WORKDAY($B1463,IFERROR(INDEX(LISTAS!$C$3:$C$42,MATCH($L1463,LISTAS!$A$3:$A$42,0)),3)))</f>
        <v/>
      </c>
      <c r="V1463" s="40" t="n"/>
      <c r="W1463" s="19">
        <f>IF($B1463="","",IF($V1463&lt;&gt;"",$V1463-$B1463,TODAY()-$B1463))</f>
        <v/>
      </c>
      <c r="X1463" s="19">
        <f>IF(OR($B1463="",$U1463=""),"",IF($V1463&lt;&gt;"",MAX(0,$V1463-$U1463),MAX(0,TODAY()-$U1463)))</f>
        <v/>
      </c>
      <c r="Y1463" s="39">
        <f>IF($C1463="","",IF(IFERROR(INDEX(LISTAS!$I$3:$I$42,MATCH($T1463,LISTAS!$H$3:$H$42,0)),"NO")="SÍ",IF(N($X1463)&gt;0,"CERRADA FUERA DE SLA","CERRADA EN SLA"),IF($U1463="","SIN CLASIFICAR",IF(N($X1463)&gt;0,"VENCIDA",IF(TODAY()&gt;=$U1463-1,"POR VENCER","EN PLAZO")))))</f>
        <v/>
      </c>
      <c r="Z1463" s="41" t="n"/>
      <c r="AA1463" s="41" t="n"/>
      <c r="AB1463" s="41" t="n"/>
    </row>
    <row r="1464">
      <c r="A1464" s="39">
        <f>IF($C1464="","","NOV-"&amp;TEXT(ROW()-3,"0000"))</f>
        <v/>
      </c>
      <c r="B1464" s="40" t="n"/>
      <c r="C1464" s="41" t="n"/>
      <c r="D1464" s="42">
        <f>IF($C1464="","",IFERROR(INDEX(DESPACHOS!$D$3:$D$3002,MATCH($C1464,DESPACHOS!$B$3:$B$3002,0)),"SIN DESPACHO"))</f>
        <v/>
      </c>
      <c r="E1464" s="42">
        <f>IF($C1464="","",IFERROR(INDEX(DESPACHOS!$K$3:$K$3002,MATCH($C1464,DESPACHOS!$B$3:$B$3002,0)),""))</f>
        <v/>
      </c>
      <c r="F1464" s="42">
        <f>IF($C1464="","",IFERROR(INDEX(DESPACHOS!$I$3:$I$3002,MATCH($C1464,DESPACHOS!$B$3:$B$3002,0)),""))</f>
        <v/>
      </c>
      <c r="G1464" s="42">
        <f>IF($C1464="","",IFERROR(INDEX(DESPACHOS!$F$3:$F$3002,MATCH($C1464,DESPACHOS!$B$3:$B$3002,0)),""))</f>
        <v/>
      </c>
      <c r="H1464" s="42">
        <f>IF($C1464="","",IFERROR(INDEX(DESPACHOS!$G$3:$G$3002,MATCH($C1464,DESPACHOS!$B$3:$B$3002,0)),""))</f>
        <v/>
      </c>
      <c r="I1464" s="39">
        <f>IF($C1464="","",IFERROR(INDEX(DESPACHOS!$H$3:$H$3002,MATCH($C1464,DESPACHOS!$B$3:$B$3002,0)),""))</f>
        <v/>
      </c>
      <c r="J1464" s="43">
        <f>IF($C1464="","",IFERROR(INDEX(DESPACHOS!$J$3:$J$3002,MATCH($C1464,DESPACHOS!$B$3:$B$3002,0)),""))</f>
        <v/>
      </c>
      <c r="K1464" s="39">
        <f>IF($C1464="","",IF(COUNTIFS(DESPACHOS!$B$3:$B$3002,$C1464)=0,"NO EXISTE",IF(COUNTIFS(DESPACHOS!$B$3:$B$3002,$C1464)&gt;1,"DUPLICADO","OK")))</f>
        <v/>
      </c>
      <c r="L1464" s="41" t="n"/>
      <c r="M1464" s="41" t="n"/>
      <c r="N1464" s="42">
        <f>IF($M1464="","",IFERROR(INDEX(LISTAS!$F$3:$F$42,MATCH($M1464,LISTAS!$E$3:$E$42,0)),"Por definir"))</f>
        <v/>
      </c>
      <c r="O1464" s="41" t="n"/>
      <c r="P1464" s="39">
        <f>IF($L1464="","",IFERROR(INDEX(LISTAS!$B$3:$B$42,MATCH($L1464,LISTAS!$A$3:$A$42,0)),"Media"))</f>
        <v/>
      </c>
      <c r="Q1464" s="44" t="n"/>
      <c r="R1464" s="45" t="n"/>
      <c r="S1464" s="20">
        <f>IFERROR(IF(OR($R1464="",$C1464=""),"",$R1464/INDEX(DESPACHOS!$M$3:$M$3002,MATCH($C1464,DESPACHOS!$B$3:$B$3002,0))),"")</f>
        <v/>
      </c>
      <c r="T1464" s="41" t="n"/>
      <c r="U1464" s="43">
        <f>IF(OR($B1464="",$L1464=""),"",WORKDAY($B1464,IFERROR(INDEX(LISTAS!$C$3:$C$42,MATCH($L1464,LISTAS!$A$3:$A$42,0)),3)))</f>
        <v/>
      </c>
      <c r="V1464" s="40" t="n"/>
      <c r="W1464" s="19">
        <f>IF($B1464="","",IF($V1464&lt;&gt;"",$V1464-$B1464,TODAY()-$B1464))</f>
        <v/>
      </c>
      <c r="X1464" s="19">
        <f>IF(OR($B1464="",$U1464=""),"",IF($V1464&lt;&gt;"",MAX(0,$V1464-$U1464),MAX(0,TODAY()-$U1464)))</f>
        <v/>
      </c>
      <c r="Y1464" s="39">
        <f>IF($C1464="","",IF(IFERROR(INDEX(LISTAS!$I$3:$I$42,MATCH($T1464,LISTAS!$H$3:$H$42,0)),"NO")="SÍ",IF(N($X1464)&gt;0,"CERRADA FUERA DE SLA","CERRADA EN SLA"),IF($U1464="","SIN CLASIFICAR",IF(N($X1464)&gt;0,"VENCIDA",IF(TODAY()&gt;=$U1464-1,"POR VENCER","EN PLAZO")))))</f>
        <v/>
      </c>
      <c r="Z1464" s="41" t="n"/>
      <c r="AA1464" s="41" t="n"/>
      <c r="AB1464" s="41" t="n"/>
    </row>
    <row r="1465">
      <c r="A1465" s="39">
        <f>IF($C1465="","","NOV-"&amp;TEXT(ROW()-3,"0000"))</f>
        <v/>
      </c>
      <c r="B1465" s="40" t="n"/>
      <c r="C1465" s="41" t="n"/>
      <c r="D1465" s="42">
        <f>IF($C1465="","",IFERROR(INDEX(DESPACHOS!$D$3:$D$3002,MATCH($C1465,DESPACHOS!$B$3:$B$3002,0)),"SIN DESPACHO"))</f>
        <v/>
      </c>
      <c r="E1465" s="42">
        <f>IF($C1465="","",IFERROR(INDEX(DESPACHOS!$K$3:$K$3002,MATCH($C1465,DESPACHOS!$B$3:$B$3002,0)),""))</f>
        <v/>
      </c>
      <c r="F1465" s="42">
        <f>IF($C1465="","",IFERROR(INDEX(DESPACHOS!$I$3:$I$3002,MATCH($C1465,DESPACHOS!$B$3:$B$3002,0)),""))</f>
        <v/>
      </c>
      <c r="G1465" s="42">
        <f>IF($C1465="","",IFERROR(INDEX(DESPACHOS!$F$3:$F$3002,MATCH($C1465,DESPACHOS!$B$3:$B$3002,0)),""))</f>
        <v/>
      </c>
      <c r="H1465" s="42">
        <f>IF($C1465="","",IFERROR(INDEX(DESPACHOS!$G$3:$G$3002,MATCH($C1465,DESPACHOS!$B$3:$B$3002,0)),""))</f>
        <v/>
      </c>
      <c r="I1465" s="39">
        <f>IF($C1465="","",IFERROR(INDEX(DESPACHOS!$H$3:$H$3002,MATCH($C1465,DESPACHOS!$B$3:$B$3002,0)),""))</f>
        <v/>
      </c>
      <c r="J1465" s="43">
        <f>IF($C1465="","",IFERROR(INDEX(DESPACHOS!$J$3:$J$3002,MATCH($C1465,DESPACHOS!$B$3:$B$3002,0)),""))</f>
        <v/>
      </c>
      <c r="K1465" s="39">
        <f>IF($C1465="","",IF(COUNTIFS(DESPACHOS!$B$3:$B$3002,$C1465)=0,"NO EXISTE",IF(COUNTIFS(DESPACHOS!$B$3:$B$3002,$C1465)&gt;1,"DUPLICADO","OK")))</f>
        <v/>
      </c>
      <c r="L1465" s="41" t="n"/>
      <c r="M1465" s="41" t="n"/>
      <c r="N1465" s="42">
        <f>IF($M1465="","",IFERROR(INDEX(LISTAS!$F$3:$F$42,MATCH($M1465,LISTAS!$E$3:$E$42,0)),"Por definir"))</f>
        <v/>
      </c>
      <c r="O1465" s="41" t="n"/>
      <c r="P1465" s="39">
        <f>IF($L1465="","",IFERROR(INDEX(LISTAS!$B$3:$B$42,MATCH($L1465,LISTAS!$A$3:$A$42,0)),"Media"))</f>
        <v/>
      </c>
      <c r="Q1465" s="44" t="n"/>
      <c r="R1465" s="45" t="n"/>
      <c r="S1465" s="20">
        <f>IFERROR(IF(OR($R1465="",$C1465=""),"",$R1465/INDEX(DESPACHOS!$M$3:$M$3002,MATCH($C1465,DESPACHOS!$B$3:$B$3002,0))),"")</f>
        <v/>
      </c>
      <c r="T1465" s="41" t="n"/>
      <c r="U1465" s="43">
        <f>IF(OR($B1465="",$L1465=""),"",WORKDAY($B1465,IFERROR(INDEX(LISTAS!$C$3:$C$42,MATCH($L1465,LISTAS!$A$3:$A$42,0)),3)))</f>
        <v/>
      </c>
      <c r="V1465" s="40" t="n"/>
      <c r="W1465" s="19">
        <f>IF($B1465="","",IF($V1465&lt;&gt;"",$V1465-$B1465,TODAY()-$B1465))</f>
        <v/>
      </c>
      <c r="X1465" s="19">
        <f>IF(OR($B1465="",$U1465=""),"",IF($V1465&lt;&gt;"",MAX(0,$V1465-$U1465),MAX(0,TODAY()-$U1465)))</f>
        <v/>
      </c>
      <c r="Y1465" s="39">
        <f>IF($C1465="","",IF(IFERROR(INDEX(LISTAS!$I$3:$I$42,MATCH($T1465,LISTAS!$H$3:$H$42,0)),"NO")="SÍ",IF(N($X1465)&gt;0,"CERRADA FUERA DE SLA","CERRADA EN SLA"),IF($U1465="","SIN CLASIFICAR",IF(N($X1465)&gt;0,"VENCIDA",IF(TODAY()&gt;=$U1465-1,"POR VENCER","EN PLAZO")))))</f>
        <v/>
      </c>
      <c r="Z1465" s="41" t="n"/>
      <c r="AA1465" s="41" t="n"/>
      <c r="AB1465" s="41" t="n"/>
    </row>
    <row r="1466">
      <c r="A1466" s="39">
        <f>IF($C1466="","","NOV-"&amp;TEXT(ROW()-3,"0000"))</f>
        <v/>
      </c>
      <c r="B1466" s="40" t="n"/>
      <c r="C1466" s="41" t="n"/>
      <c r="D1466" s="42">
        <f>IF($C1466="","",IFERROR(INDEX(DESPACHOS!$D$3:$D$3002,MATCH($C1466,DESPACHOS!$B$3:$B$3002,0)),"SIN DESPACHO"))</f>
        <v/>
      </c>
      <c r="E1466" s="42">
        <f>IF($C1466="","",IFERROR(INDEX(DESPACHOS!$K$3:$K$3002,MATCH($C1466,DESPACHOS!$B$3:$B$3002,0)),""))</f>
        <v/>
      </c>
      <c r="F1466" s="42">
        <f>IF($C1466="","",IFERROR(INDEX(DESPACHOS!$I$3:$I$3002,MATCH($C1466,DESPACHOS!$B$3:$B$3002,0)),""))</f>
        <v/>
      </c>
      <c r="G1466" s="42">
        <f>IF($C1466="","",IFERROR(INDEX(DESPACHOS!$F$3:$F$3002,MATCH($C1466,DESPACHOS!$B$3:$B$3002,0)),""))</f>
        <v/>
      </c>
      <c r="H1466" s="42">
        <f>IF($C1466="","",IFERROR(INDEX(DESPACHOS!$G$3:$G$3002,MATCH($C1466,DESPACHOS!$B$3:$B$3002,0)),""))</f>
        <v/>
      </c>
      <c r="I1466" s="39">
        <f>IF($C1466="","",IFERROR(INDEX(DESPACHOS!$H$3:$H$3002,MATCH($C1466,DESPACHOS!$B$3:$B$3002,0)),""))</f>
        <v/>
      </c>
      <c r="J1466" s="43">
        <f>IF($C1466="","",IFERROR(INDEX(DESPACHOS!$J$3:$J$3002,MATCH($C1466,DESPACHOS!$B$3:$B$3002,0)),""))</f>
        <v/>
      </c>
      <c r="K1466" s="39">
        <f>IF($C1466="","",IF(COUNTIFS(DESPACHOS!$B$3:$B$3002,$C1466)=0,"NO EXISTE",IF(COUNTIFS(DESPACHOS!$B$3:$B$3002,$C1466)&gt;1,"DUPLICADO","OK")))</f>
        <v/>
      </c>
      <c r="L1466" s="41" t="n"/>
      <c r="M1466" s="41" t="n"/>
      <c r="N1466" s="42">
        <f>IF($M1466="","",IFERROR(INDEX(LISTAS!$F$3:$F$42,MATCH($M1466,LISTAS!$E$3:$E$42,0)),"Por definir"))</f>
        <v/>
      </c>
      <c r="O1466" s="41" t="n"/>
      <c r="P1466" s="39">
        <f>IF($L1466="","",IFERROR(INDEX(LISTAS!$B$3:$B$42,MATCH($L1466,LISTAS!$A$3:$A$42,0)),"Media"))</f>
        <v/>
      </c>
      <c r="Q1466" s="44" t="n"/>
      <c r="R1466" s="45" t="n"/>
      <c r="S1466" s="20">
        <f>IFERROR(IF(OR($R1466="",$C1466=""),"",$R1466/INDEX(DESPACHOS!$M$3:$M$3002,MATCH($C1466,DESPACHOS!$B$3:$B$3002,0))),"")</f>
        <v/>
      </c>
      <c r="T1466" s="41" t="n"/>
      <c r="U1466" s="43">
        <f>IF(OR($B1466="",$L1466=""),"",WORKDAY($B1466,IFERROR(INDEX(LISTAS!$C$3:$C$42,MATCH($L1466,LISTAS!$A$3:$A$42,0)),3)))</f>
        <v/>
      </c>
      <c r="V1466" s="40" t="n"/>
      <c r="W1466" s="19">
        <f>IF($B1466="","",IF($V1466&lt;&gt;"",$V1466-$B1466,TODAY()-$B1466))</f>
        <v/>
      </c>
      <c r="X1466" s="19">
        <f>IF(OR($B1466="",$U1466=""),"",IF($V1466&lt;&gt;"",MAX(0,$V1466-$U1466),MAX(0,TODAY()-$U1466)))</f>
        <v/>
      </c>
      <c r="Y1466" s="39">
        <f>IF($C1466="","",IF(IFERROR(INDEX(LISTAS!$I$3:$I$42,MATCH($T1466,LISTAS!$H$3:$H$42,0)),"NO")="SÍ",IF(N($X1466)&gt;0,"CERRADA FUERA DE SLA","CERRADA EN SLA"),IF($U1466="","SIN CLASIFICAR",IF(N($X1466)&gt;0,"VENCIDA",IF(TODAY()&gt;=$U1466-1,"POR VENCER","EN PLAZO")))))</f>
        <v/>
      </c>
      <c r="Z1466" s="41" t="n"/>
      <c r="AA1466" s="41" t="n"/>
      <c r="AB1466" s="41" t="n"/>
    </row>
    <row r="1467">
      <c r="A1467" s="39">
        <f>IF($C1467="","","NOV-"&amp;TEXT(ROW()-3,"0000"))</f>
        <v/>
      </c>
      <c r="B1467" s="40" t="n"/>
      <c r="C1467" s="41" t="n"/>
      <c r="D1467" s="42">
        <f>IF($C1467="","",IFERROR(INDEX(DESPACHOS!$D$3:$D$3002,MATCH($C1467,DESPACHOS!$B$3:$B$3002,0)),"SIN DESPACHO"))</f>
        <v/>
      </c>
      <c r="E1467" s="42">
        <f>IF($C1467="","",IFERROR(INDEX(DESPACHOS!$K$3:$K$3002,MATCH($C1467,DESPACHOS!$B$3:$B$3002,0)),""))</f>
        <v/>
      </c>
      <c r="F1467" s="42">
        <f>IF($C1467="","",IFERROR(INDEX(DESPACHOS!$I$3:$I$3002,MATCH($C1467,DESPACHOS!$B$3:$B$3002,0)),""))</f>
        <v/>
      </c>
      <c r="G1467" s="42">
        <f>IF($C1467="","",IFERROR(INDEX(DESPACHOS!$F$3:$F$3002,MATCH($C1467,DESPACHOS!$B$3:$B$3002,0)),""))</f>
        <v/>
      </c>
      <c r="H1467" s="42">
        <f>IF($C1467="","",IFERROR(INDEX(DESPACHOS!$G$3:$G$3002,MATCH($C1467,DESPACHOS!$B$3:$B$3002,0)),""))</f>
        <v/>
      </c>
      <c r="I1467" s="39">
        <f>IF($C1467="","",IFERROR(INDEX(DESPACHOS!$H$3:$H$3002,MATCH($C1467,DESPACHOS!$B$3:$B$3002,0)),""))</f>
        <v/>
      </c>
      <c r="J1467" s="43">
        <f>IF($C1467="","",IFERROR(INDEX(DESPACHOS!$J$3:$J$3002,MATCH($C1467,DESPACHOS!$B$3:$B$3002,0)),""))</f>
        <v/>
      </c>
      <c r="K1467" s="39">
        <f>IF($C1467="","",IF(COUNTIFS(DESPACHOS!$B$3:$B$3002,$C1467)=0,"NO EXISTE",IF(COUNTIFS(DESPACHOS!$B$3:$B$3002,$C1467)&gt;1,"DUPLICADO","OK")))</f>
        <v/>
      </c>
      <c r="L1467" s="41" t="n"/>
      <c r="M1467" s="41" t="n"/>
      <c r="N1467" s="42">
        <f>IF($M1467="","",IFERROR(INDEX(LISTAS!$F$3:$F$42,MATCH($M1467,LISTAS!$E$3:$E$42,0)),"Por definir"))</f>
        <v/>
      </c>
      <c r="O1467" s="41" t="n"/>
      <c r="P1467" s="39">
        <f>IF($L1467="","",IFERROR(INDEX(LISTAS!$B$3:$B$42,MATCH($L1467,LISTAS!$A$3:$A$42,0)),"Media"))</f>
        <v/>
      </c>
      <c r="Q1467" s="44" t="n"/>
      <c r="R1467" s="45" t="n"/>
      <c r="S1467" s="20">
        <f>IFERROR(IF(OR($R1467="",$C1467=""),"",$R1467/INDEX(DESPACHOS!$M$3:$M$3002,MATCH($C1467,DESPACHOS!$B$3:$B$3002,0))),"")</f>
        <v/>
      </c>
      <c r="T1467" s="41" t="n"/>
      <c r="U1467" s="43">
        <f>IF(OR($B1467="",$L1467=""),"",WORKDAY($B1467,IFERROR(INDEX(LISTAS!$C$3:$C$42,MATCH($L1467,LISTAS!$A$3:$A$42,0)),3)))</f>
        <v/>
      </c>
      <c r="V1467" s="40" t="n"/>
      <c r="W1467" s="19">
        <f>IF($B1467="","",IF($V1467&lt;&gt;"",$V1467-$B1467,TODAY()-$B1467))</f>
        <v/>
      </c>
      <c r="X1467" s="19">
        <f>IF(OR($B1467="",$U1467=""),"",IF($V1467&lt;&gt;"",MAX(0,$V1467-$U1467),MAX(0,TODAY()-$U1467)))</f>
        <v/>
      </c>
      <c r="Y1467" s="39">
        <f>IF($C1467="","",IF(IFERROR(INDEX(LISTAS!$I$3:$I$42,MATCH($T1467,LISTAS!$H$3:$H$42,0)),"NO")="SÍ",IF(N($X1467)&gt;0,"CERRADA FUERA DE SLA","CERRADA EN SLA"),IF($U1467="","SIN CLASIFICAR",IF(N($X1467)&gt;0,"VENCIDA",IF(TODAY()&gt;=$U1467-1,"POR VENCER","EN PLAZO")))))</f>
        <v/>
      </c>
      <c r="Z1467" s="41" t="n"/>
      <c r="AA1467" s="41" t="n"/>
      <c r="AB1467" s="41" t="n"/>
    </row>
    <row r="1468">
      <c r="A1468" s="39">
        <f>IF($C1468="","","NOV-"&amp;TEXT(ROW()-3,"0000"))</f>
        <v/>
      </c>
      <c r="B1468" s="40" t="n"/>
      <c r="C1468" s="41" t="n"/>
      <c r="D1468" s="42">
        <f>IF($C1468="","",IFERROR(INDEX(DESPACHOS!$D$3:$D$3002,MATCH($C1468,DESPACHOS!$B$3:$B$3002,0)),"SIN DESPACHO"))</f>
        <v/>
      </c>
      <c r="E1468" s="42">
        <f>IF($C1468="","",IFERROR(INDEX(DESPACHOS!$K$3:$K$3002,MATCH($C1468,DESPACHOS!$B$3:$B$3002,0)),""))</f>
        <v/>
      </c>
      <c r="F1468" s="42">
        <f>IF($C1468="","",IFERROR(INDEX(DESPACHOS!$I$3:$I$3002,MATCH($C1468,DESPACHOS!$B$3:$B$3002,0)),""))</f>
        <v/>
      </c>
      <c r="G1468" s="42">
        <f>IF($C1468="","",IFERROR(INDEX(DESPACHOS!$F$3:$F$3002,MATCH($C1468,DESPACHOS!$B$3:$B$3002,0)),""))</f>
        <v/>
      </c>
      <c r="H1468" s="42">
        <f>IF($C1468="","",IFERROR(INDEX(DESPACHOS!$G$3:$G$3002,MATCH($C1468,DESPACHOS!$B$3:$B$3002,0)),""))</f>
        <v/>
      </c>
      <c r="I1468" s="39">
        <f>IF($C1468="","",IFERROR(INDEX(DESPACHOS!$H$3:$H$3002,MATCH($C1468,DESPACHOS!$B$3:$B$3002,0)),""))</f>
        <v/>
      </c>
      <c r="J1468" s="43">
        <f>IF($C1468="","",IFERROR(INDEX(DESPACHOS!$J$3:$J$3002,MATCH($C1468,DESPACHOS!$B$3:$B$3002,0)),""))</f>
        <v/>
      </c>
      <c r="K1468" s="39">
        <f>IF($C1468="","",IF(COUNTIFS(DESPACHOS!$B$3:$B$3002,$C1468)=0,"NO EXISTE",IF(COUNTIFS(DESPACHOS!$B$3:$B$3002,$C1468)&gt;1,"DUPLICADO","OK")))</f>
        <v/>
      </c>
      <c r="L1468" s="41" t="n"/>
      <c r="M1468" s="41" t="n"/>
      <c r="N1468" s="42">
        <f>IF($M1468="","",IFERROR(INDEX(LISTAS!$F$3:$F$42,MATCH($M1468,LISTAS!$E$3:$E$42,0)),"Por definir"))</f>
        <v/>
      </c>
      <c r="O1468" s="41" t="n"/>
      <c r="P1468" s="39">
        <f>IF($L1468="","",IFERROR(INDEX(LISTAS!$B$3:$B$42,MATCH($L1468,LISTAS!$A$3:$A$42,0)),"Media"))</f>
        <v/>
      </c>
      <c r="Q1468" s="44" t="n"/>
      <c r="R1468" s="45" t="n"/>
      <c r="S1468" s="20">
        <f>IFERROR(IF(OR($R1468="",$C1468=""),"",$R1468/INDEX(DESPACHOS!$M$3:$M$3002,MATCH($C1468,DESPACHOS!$B$3:$B$3002,0))),"")</f>
        <v/>
      </c>
      <c r="T1468" s="41" t="n"/>
      <c r="U1468" s="43">
        <f>IF(OR($B1468="",$L1468=""),"",WORKDAY($B1468,IFERROR(INDEX(LISTAS!$C$3:$C$42,MATCH($L1468,LISTAS!$A$3:$A$42,0)),3)))</f>
        <v/>
      </c>
      <c r="V1468" s="40" t="n"/>
      <c r="W1468" s="19">
        <f>IF($B1468="","",IF($V1468&lt;&gt;"",$V1468-$B1468,TODAY()-$B1468))</f>
        <v/>
      </c>
      <c r="X1468" s="19">
        <f>IF(OR($B1468="",$U1468=""),"",IF($V1468&lt;&gt;"",MAX(0,$V1468-$U1468),MAX(0,TODAY()-$U1468)))</f>
        <v/>
      </c>
      <c r="Y1468" s="39">
        <f>IF($C1468="","",IF(IFERROR(INDEX(LISTAS!$I$3:$I$42,MATCH($T1468,LISTAS!$H$3:$H$42,0)),"NO")="SÍ",IF(N($X1468)&gt;0,"CERRADA FUERA DE SLA","CERRADA EN SLA"),IF($U1468="","SIN CLASIFICAR",IF(N($X1468)&gt;0,"VENCIDA",IF(TODAY()&gt;=$U1468-1,"POR VENCER","EN PLAZO")))))</f>
        <v/>
      </c>
      <c r="Z1468" s="41" t="n"/>
      <c r="AA1468" s="41" t="n"/>
      <c r="AB1468" s="41" t="n"/>
    </row>
    <row r="1469">
      <c r="A1469" s="39">
        <f>IF($C1469="","","NOV-"&amp;TEXT(ROW()-3,"0000"))</f>
        <v/>
      </c>
      <c r="B1469" s="40" t="n"/>
      <c r="C1469" s="41" t="n"/>
      <c r="D1469" s="42">
        <f>IF($C1469="","",IFERROR(INDEX(DESPACHOS!$D$3:$D$3002,MATCH($C1469,DESPACHOS!$B$3:$B$3002,0)),"SIN DESPACHO"))</f>
        <v/>
      </c>
      <c r="E1469" s="42">
        <f>IF($C1469="","",IFERROR(INDEX(DESPACHOS!$K$3:$K$3002,MATCH($C1469,DESPACHOS!$B$3:$B$3002,0)),""))</f>
        <v/>
      </c>
      <c r="F1469" s="42">
        <f>IF($C1469="","",IFERROR(INDEX(DESPACHOS!$I$3:$I$3002,MATCH($C1469,DESPACHOS!$B$3:$B$3002,0)),""))</f>
        <v/>
      </c>
      <c r="G1469" s="42">
        <f>IF($C1469="","",IFERROR(INDEX(DESPACHOS!$F$3:$F$3002,MATCH($C1469,DESPACHOS!$B$3:$B$3002,0)),""))</f>
        <v/>
      </c>
      <c r="H1469" s="42">
        <f>IF($C1469="","",IFERROR(INDEX(DESPACHOS!$G$3:$G$3002,MATCH($C1469,DESPACHOS!$B$3:$B$3002,0)),""))</f>
        <v/>
      </c>
      <c r="I1469" s="39">
        <f>IF($C1469="","",IFERROR(INDEX(DESPACHOS!$H$3:$H$3002,MATCH($C1469,DESPACHOS!$B$3:$B$3002,0)),""))</f>
        <v/>
      </c>
      <c r="J1469" s="43">
        <f>IF($C1469="","",IFERROR(INDEX(DESPACHOS!$J$3:$J$3002,MATCH($C1469,DESPACHOS!$B$3:$B$3002,0)),""))</f>
        <v/>
      </c>
      <c r="K1469" s="39">
        <f>IF($C1469="","",IF(COUNTIFS(DESPACHOS!$B$3:$B$3002,$C1469)=0,"NO EXISTE",IF(COUNTIFS(DESPACHOS!$B$3:$B$3002,$C1469)&gt;1,"DUPLICADO","OK")))</f>
        <v/>
      </c>
      <c r="L1469" s="41" t="n"/>
      <c r="M1469" s="41" t="n"/>
      <c r="N1469" s="42">
        <f>IF($M1469="","",IFERROR(INDEX(LISTAS!$F$3:$F$42,MATCH($M1469,LISTAS!$E$3:$E$42,0)),"Por definir"))</f>
        <v/>
      </c>
      <c r="O1469" s="41" t="n"/>
      <c r="P1469" s="39">
        <f>IF($L1469="","",IFERROR(INDEX(LISTAS!$B$3:$B$42,MATCH($L1469,LISTAS!$A$3:$A$42,0)),"Media"))</f>
        <v/>
      </c>
      <c r="Q1469" s="44" t="n"/>
      <c r="R1469" s="45" t="n"/>
      <c r="S1469" s="20">
        <f>IFERROR(IF(OR($R1469="",$C1469=""),"",$R1469/INDEX(DESPACHOS!$M$3:$M$3002,MATCH($C1469,DESPACHOS!$B$3:$B$3002,0))),"")</f>
        <v/>
      </c>
      <c r="T1469" s="41" t="n"/>
      <c r="U1469" s="43">
        <f>IF(OR($B1469="",$L1469=""),"",WORKDAY($B1469,IFERROR(INDEX(LISTAS!$C$3:$C$42,MATCH($L1469,LISTAS!$A$3:$A$42,0)),3)))</f>
        <v/>
      </c>
      <c r="V1469" s="40" t="n"/>
      <c r="W1469" s="19">
        <f>IF($B1469="","",IF($V1469&lt;&gt;"",$V1469-$B1469,TODAY()-$B1469))</f>
        <v/>
      </c>
      <c r="X1469" s="19">
        <f>IF(OR($B1469="",$U1469=""),"",IF($V1469&lt;&gt;"",MAX(0,$V1469-$U1469),MAX(0,TODAY()-$U1469)))</f>
        <v/>
      </c>
      <c r="Y1469" s="39">
        <f>IF($C1469="","",IF(IFERROR(INDEX(LISTAS!$I$3:$I$42,MATCH($T1469,LISTAS!$H$3:$H$42,0)),"NO")="SÍ",IF(N($X1469)&gt;0,"CERRADA FUERA DE SLA","CERRADA EN SLA"),IF($U1469="","SIN CLASIFICAR",IF(N($X1469)&gt;0,"VENCIDA",IF(TODAY()&gt;=$U1469-1,"POR VENCER","EN PLAZO")))))</f>
        <v/>
      </c>
      <c r="Z1469" s="41" t="n"/>
      <c r="AA1469" s="41" t="n"/>
      <c r="AB1469" s="41" t="n"/>
    </row>
    <row r="1470">
      <c r="A1470" s="39">
        <f>IF($C1470="","","NOV-"&amp;TEXT(ROW()-3,"0000"))</f>
        <v/>
      </c>
      <c r="B1470" s="40" t="n"/>
      <c r="C1470" s="41" t="n"/>
      <c r="D1470" s="42">
        <f>IF($C1470="","",IFERROR(INDEX(DESPACHOS!$D$3:$D$3002,MATCH($C1470,DESPACHOS!$B$3:$B$3002,0)),"SIN DESPACHO"))</f>
        <v/>
      </c>
      <c r="E1470" s="42">
        <f>IF($C1470="","",IFERROR(INDEX(DESPACHOS!$K$3:$K$3002,MATCH($C1470,DESPACHOS!$B$3:$B$3002,0)),""))</f>
        <v/>
      </c>
      <c r="F1470" s="42">
        <f>IF($C1470="","",IFERROR(INDEX(DESPACHOS!$I$3:$I$3002,MATCH($C1470,DESPACHOS!$B$3:$B$3002,0)),""))</f>
        <v/>
      </c>
      <c r="G1470" s="42">
        <f>IF($C1470="","",IFERROR(INDEX(DESPACHOS!$F$3:$F$3002,MATCH($C1470,DESPACHOS!$B$3:$B$3002,0)),""))</f>
        <v/>
      </c>
      <c r="H1470" s="42">
        <f>IF($C1470="","",IFERROR(INDEX(DESPACHOS!$G$3:$G$3002,MATCH($C1470,DESPACHOS!$B$3:$B$3002,0)),""))</f>
        <v/>
      </c>
      <c r="I1470" s="39">
        <f>IF($C1470="","",IFERROR(INDEX(DESPACHOS!$H$3:$H$3002,MATCH($C1470,DESPACHOS!$B$3:$B$3002,0)),""))</f>
        <v/>
      </c>
      <c r="J1470" s="43">
        <f>IF($C1470="","",IFERROR(INDEX(DESPACHOS!$J$3:$J$3002,MATCH($C1470,DESPACHOS!$B$3:$B$3002,0)),""))</f>
        <v/>
      </c>
      <c r="K1470" s="39">
        <f>IF($C1470="","",IF(COUNTIFS(DESPACHOS!$B$3:$B$3002,$C1470)=0,"NO EXISTE",IF(COUNTIFS(DESPACHOS!$B$3:$B$3002,$C1470)&gt;1,"DUPLICADO","OK")))</f>
        <v/>
      </c>
      <c r="L1470" s="41" t="n"/>
      <c r="M1470" s="41" t="n"/>
      <c r="N1470" s="42">
        <f>IF($M1470="","",IFERROR(INDEX(LISTAS!$F$3:$F$42,MATCH($M1470,LISTAS!$E$3:$E$42,0)),"Por definir"))</f>
        <v/>
      </c>
      <c r="O1470" s="41" t="n"/>
      <c r="P1470" s="39">
        <f>IF($L1470="","",IFERROR(INDEX(LISTAS!$B$3:$B$42,MATCH($L1470,LISTAS!$A$3:$A$42,0)),"Media"))</f>
        <v/>
      </c>
      <c r="Q1470" s="44" t="n"/>
      <c r="R1470" s="45" t="n"/>
      <c r="S1470" s="20">
        <f>IFERROR(IF(OR($R1470="",$C1470=""),"",$R1470/INDEX(DESPACHOS!$M$3:$M$3002,MATCH($C1470,DESPACHOS!$B$3:$B$3002,0))),"")</f>
        <v/>
      </c>
      <c r="T1470" s="41" t="n"/>
      <c r="U1470" s="43">
        <f>IF(OR($B1470="",$L1470=""),"",WORKDAY($B1470,IFERROR(INDEX(LISTAS!$C$3:$C$42,MATCH($L1470,LISTAS!$A$3:$A$42,0)),3)))</f>
        <v/>
      </c>
      <c r="V1470" s="40" t="n"/>
      <c r="W1470" s="19">
        <f>IF($B1470="","",IF($V1470&lt;&gt;"",$V1470-$B1470,TODAY()-$B1470))</f>
        <v/>
      </c>
      <c r="X1470" s="19">
        <f>IF(OR($B1470="",$U1470=""),"",IF($V1470&lt;&gt;"",MAX(0,$V1470-$U1470),MAX(0,TODAY()-$U1470)))</f>
        <v/>
      </c>
      <c r="Y1470" s="39">
        <f>IF($C1470="","",IF(IFERROR(INDEX(LISTAS!$I$3:$I$42,MATCH($T1470,LISTAS!$H$3:$H$42,0)),"NO")="SÍ",IF(N($X1470)&gt;0,"CERRADA FUERA DE SLA","CERRADA EN SLA"),IF($U1470="","SIN CLASIFICAR",IF(N($X1470)&gt;0,"VENCIDA",IF(TODAY()&gt;=$U1470-1,"POR VENCER","EN PLAZO")))))</f>
        <v/>
      </c>
      <c r="Z1470" s="41" t="n"/>
      <c r="AA1470" s="41" t="n"/>
      <c r="AB1470" s="41" t="n"/>
    </row>
    <row r="1471">
      <c r="A1471" s="39">
        <f>IF($C1471="","","NOV-"&amp;TEXT(ROW()-3,"0000"))</f>
        <v/>
      </c>
      <c r="B1471" s="40" t="n"/>
      <c r="C1471" s="41" t="n"/>
      <c r="D1471" s="42">
        <f>IF($C1471="","",IFERROR(INDEX(DESPACHOS!$D$3:$D$3002,MATCH($C1471,DESPACHOS!$B$3:$B$3002,0)),"SIN DESPACHO"))</f>
        <v/>
      </c>
      <c r="E1471" s="42">
        <f>IF($C1471="","",IFERROR(INDEX(DESPACHOS!$K$3:$K$3002,MATCH($C1471,DESPACHOS!$B$3:$B$3002,0)),""))</f>
        <v/>
      </c>
      <c r="F1471" s="42">
        <f>IF($C1471="","",IFERROR(INDEX(DESPACHOS!$I$3:$I$3002,MATCH($C1471,DESPACHOS!$B$3:$B$3002,0)),""))</f>
        <v/>
      </c>
      <c r="G1471" s="42">
        <f>IF($C1471="","",IFERROR(INDEX(DESPACHOS!$F$3:$F$3002,MATCH($C1471,DESPACHOS!$B$3:$B$3002,0)),""))</f>
        <v/>
      </c>
      <c r="H1471" s="42">
        <f>IF($C1471="","",IFERROR(INDEX(DESPACHOS!$G$3:$G$3002,MATCH($C1471,DESPACHOS!$B$3:$B$3002,0)),""))</f>
        <v/>
      </c>
      <c r="I1471" s="39">
        <f>IF($C1471="","",IFERROR(INDEX(DESPACHOS!$H$3:$H$3002,MATCH($C1471,DESPACHOS!$B$3:$B$3002,0)),""))</f>
        <v/>
      </c>
      <c r="J1471" s="43">
        <f>IF($C1471="","",IFERROR(INDEX(DESPACHOS!$J$3:$J$3002,MATCH($C1471,DESPACHOS!$B$3:$B$3002,0)),""))</f>
        <v/>
      </c>
      <c r="K1471" s="39">
        <f>IF($C1471="","",IF(COUNTIFS(DESPACHOS!$B$3:$B$3002,$C1471)=0,"NO EXISTE",IF(COUNTIFS(DESPACHOS!$B$3:$B$3002,$C1471)&gt;1,"DUPLICADO","OK")))</f>
        <v/>
      </c>
      <c r="L1471" s="41" t="n"/>
      <c r="M1471" s="41" t="n"/>
      <c r="N1471" s="42">
        <f>IF($M1471="","",IFERROR(INDEX(LISTAS!$F$3:$F$42,MATCH($M1471,LISTAS!$E$3:$E$42,0)),"Por definir"))</f>
        <v/>
      </c>
      <c r="O1471" s="41" t="n"/>
      <c r="P1471" s="39">
        <f>IF($L1471="","",IFERROR(INDEX(LISTAS!$B$3:$B$42,MATCH($L1471,LISTAS!$A$3:$A$42,0)),"Media"))</f>
        <v/>
      </c>
      <c r="Q1471" s="44" t="n"/>
      <c r="R1471" s="45" t="n"/>
      <c r="S1471" s="20">
        <f>IFERROR(IF(OR($R1471="",$C1471=""),"",$R1471/INDEX(DESPACHOS!$M$3:$M$3002,MATCH($C1471,DESPACHOS!$B$3:$B$3002,0))),"")</f>
        <v/>
      </c>
      <c r="T1471" s="41" t="n"/>
      <c r="U1471" s="43">
        <f>IF(OR($B1471="",$L1471=""),"",WORKDAY($B1471,IFERROR(INDEX(LISTAS!$C$3:$C$42,MATCH($L1471,LISTAS!$A$3:$A$42,0)),3)))</f>
        <v/>
      </c>
      <c r="V1471" s="40" t="n"/>
      <c r="W1471" s="19">
        <f>IF($B1471="","",IF($V1471&lt;&gt;"",$V1471-$B1471,TODAY()-$B1471))</f>
        <v/>
      </c>
      <c r="X1471" s="19">
        <f>IF(OR($B1471="",$U1471=""),"",IF($V1471&lt;&gt;"",MAX(0,$V1471-$U1471),MAX(0,TODAY()-$U1471)))</f>
        <v/>
      </c>
      <c r="Y1471" s="39">
        <f>IF($C1471="","",IF(IFERROR(INDEX(LISTAS!$I$3:$I$42,MATCH($T1471,LISTAS!$H$3:$H$42,0)),"NO")="SÍ",IF(N($X1471)&gt;0,"CERRADA FUERA DE SLA","CERRADA EN SLA"),IF($U1471="","SIN CLASIFICAR",IF(N($X1471)&gt;0,"VENCIDA",IF(TODAY()&gt;=$U1471-1,"POR VENCER","EN PLAZO")))))</f>
        <v/>
      </c>
      <c r="Z1471" s="41" t="n"/>
      <c r="AA1471" s="41" t="n"/>
      <c r="AB1471" s="41" t="n"/>
    </row>
    <row r="1472">
      <c r="A1472" s="39">
        <f>IF($C1472="","","NOV-"&amp;TEXT(ROW()-3,"0000"))</f>
        <v/>
      </c>
      <c r="B1472" s="40" t="n"/>
      <c r="C1472" s="41" t="n"/>
      <c r="D1472" s="42">
        <f>IF($C1472="","",IFERROR(INDEX(DESPACHOS!$D$3:$D$3002,MATCH($C1472,DESPACHOS!$B$3:$B$3002,0)),"SIN DESPACHO"))</f>
        <v/>
      </c>
      <c r="E1472" s="42">
        <f>IF($C1472="","",IFERROR(INDEX(DESPACHOS!$K$3:$K$3002,MATCH($C1472,DESPACHOS!$B$3:$B$3002,0)),""))</f>
        <v/>
      </c>
      <c r="F1472" s="42">
        <f>IF($C1472="","",IFERROR(INDEX(DESPACHOS!$I$3:$I$3002,MATCH($C1472,DESPACHOS!$B$3:$B$3002,0)),""))</f>
        <v/>
      </c>
      <c r="G1472" s="42">
        <f>IF($C1472="","",IFERROR(INDEX(DESPACHOS!$F$3:$F$3002,MATCH($C1472,DESPACHOS!$B$3:$B$3002,0)),""))</f>
        <v/>
      </c>
      <c r="H1472" s="42">
        <f>IF($C1472="","",IFERROR(INDEX(DESPACHOS!$G$3:$G$3002,MATCH($C1472,DESPACHOS!$B$3:$B$3002,0)),""))</f>
        <v/>
      </c>
      <c r="I1472" s="39">
        <f>IF($C1472="","",IFERROR(INDEX(DESPACHOS!$H$3:$H$3002,MATCH($C1472,DESPACHOS!$B$3:$B$3002,0)),""))</f>
        <v/>
      </c>
      <c r="J1472" s="43">
        <f>IF($C1472="","",IFERROR(INDEX(DESPACHOS!$J$3:$J$3002,MATCH($C1472,DESPACHOS!$B$3:$B$3002,0)),""))</f>
        <v/>
      </c>
      <c r="K1472" s="39">
        <f>IF($C1472="","",IF(COUNTIFS(DESPACHOS!$B$3:$B$3002,$C1472)=0,"NO EXISTE",IF(COUNTIFS(DESPACHOS!$B$3:$B$3002,$C1472)&gt;1,"DUPLICADO","OK")))</f>
        <v/>
      </c>
      <c r="L1472" s="41" t="n"/>
      <c r="M1472" s="41" t="n"/>
      <c r="N1472" s="42">
        <f>IF($M1472="","",IFERROR(INDEX(LISTAS!$F$3:$F$42,MATCH($M1472,LISTAS!$E$3:$E$42,0)),"Por definir"))</f>
        <v/>
      </c>
      <c r="O1472" s="41" t="n"/>
      <c r="P1472" s="39">
        <f>IF($L1472="","",IFERROR(INDEX(LISTAS!$B$3:$B$42,MATCH($L1472,LISTAS!$A$3:$A$42,0)),"Media"))</f>
        <v/>
      </c>
      <c r="Q1472" s="44" t="n"/>
      <c r="R1472" s="45" t="n"/>
      <c r="S1472" s="20">
        <f>IFERROR(IF(OR($R1472="",$C1472=""),"",$R1472/INDEX(DESPACHOS!$M$3:$M$3002,MATCH($C1472,DESPACHOS!$B$3:$B$3002,0))),"")</f>
        <v/>
      </c>
      <c r="T1472" s="41" t="n"/>
      <c r="U1472" s="43">
        <f>IF(OR($B1472="",$L1472=""),"",WORKDAY($B1472,IFERROR(INDEX(LISTAS!$C$3:$C$42,MATCH($L1472,LISTAS!$A$3:$A$42,0)),3)))</f>
        <v/>
      </c>
      <c r="V1472" s="40" t="n"/>
      <c r="W1472" s="19">
        <f>IF($B1472="","",IF($V1472&lt;&gt;"",$V1472-$B1472,TODAY()-$B1472))</f>
        <v/>
      </c>
      <c r="X1472" s="19">
        <f>IF(OR($B1472="",$U1472=""),"",IF($V1472&lt;&gt;"",MAX(0,$V1472-$U1472),MAX(0,TODAY()-$U1472)))</f>
        <v/>
      </c>
      <c r="Y1472" s="39">
        <f>IF($C1472="","",IF(IFERROR(INDEX(LISTAS!$I$3:$I$42,MATCH($T1472,LISTAS!$H$3:$H$42,0)),"NO")="SÍ",IF(N($X1472)&gt;0,"CERRADA FUERA DE SLA","CERRADA EN SLA"),IF($U1472="","SIN CLASIFICAR",IF(N($X1472)&gt;0,"VENCIDA",IF(TODAY()&gt;=$U1472-1,"POR VENCER","EN PLAZO")))))</f>
        <v/>
      </c>
      <c r="Z1472" s="41" t="n"/>
      <c r="AA1472" s="41" t="n"/>
      <c r="AB1472" s="41" t="n"/>
    </row>
    <row r="1473">
      <c r="A1473" s="39">
        <f>IF($C1473="","","NOV-"&amp;TEXT(ROW()-3,"0000"))</f>
        <v/>
      </c>
      <c r="B1473" s="40" t="n"/>
      <c r="C1473" s="41" t="n"/>
      <c r="D1473" s="42">
        <f>IF($C1473="","",IFERROR(INDEX(DESPACHOS!$D$3:$D$3002,MATCH($C1473,DESPACHOS!$B$3:$B$3002,0)),"SIN DESPACHO"))</f>
        <v/>
      </c>
      <c r="E1473" s="42">
        <f>IF($C1473="","",IFERROR(INDEX(DESPACHOS!$K$3:$K$3002,MATCH($C1473,DESPACHOS!$B$3:$B$3002,0)),""))</f>
        <v/>
      </c>
      <c r="F1473" s="42">
        <f>IF($C1473="","",IFERROR(INDEX(DESPACHOS!$I$3:$I$3002,MATCH($C1473,DESPACHOS!$B$3:$B$3002,0)),""))</f>
        <v/>
      </c>
      <c r="G1473" s="42">
        <f>IF($C1473="","",IFERROR(INDEX(DESPACHOS!$F$3:$F$3002,MATCH($C1473,DESPACHOS!$B$3:$B$3002,0)),""))</f>
        <v/>
      </c>
      <c r="H1473" s="42">
        <f>IF($C1473="","",IFERROR(INDEX(DESPACHOS!$G$3:$G$3002,MATCH($C1473,DESPACHOS!$B$3:$B$3002,0)),""))</f>
        <v/>
      </c>
      <c r="I1473" s="39">
        <f>IF($C1473="","",IFERROR(INDEX(DESPACHOS!$H$3:$H$3002,MATCH($C1473,DESPACHOS!$B$3:$B$3002,0)),""))</f>
        <v/>
      </c>
      <c r="J1473" s="43">
        <f>IF($C1473="","",IFERROR(INDEX(DESPACHOS!$J$3:$J$3002,MATCH($C1473,DESPACHOS!$B$3:$B$3002,0)),""))</f>
        <v/>
      </c>
      <c r="K1473" s="39">
        <f>IF($C1473="","",IF(COUNTIFS(DESPACHOS!$B$3:$B$3002,$C1473)=0,"NO EXISTE",IF(COUNTIFS(DESPACHOS!$B$3:$B$3002,$C1473)&gt;1,"DUPLICADO","OK")))</f>
        <v/>
      </c>
      <c r="L1473" s="41" t="n"/>
      <c r="M1473" s="41" t="n"/>
      <c r="N1473" s="42">
        <f>IF($M1473="","",IFERROR(INDEX(LISTAS!$F$3:$F$42,MATCH($M1473,LISTAS!$E$3:$E$42,0)),"Por definir"))</f>
        <v/>
      </c>
      <c r="O1473" s="41" t="n"/>
      <c r="P1473" s="39">
        <f>IF($L1473="","",IFERROR(INDEX(LISTAS!$B$3:$B$42,MATCH($L1473,LISTAS!$A$3:$A$42,0)),"Media"))</f>
        <v/>
      </c>
      <c r="Q1473" s="44" t="n"/>
      <c r="R1473" s="45" t="n"/>
      <c r="S1473" s="20">
        <f>IFERROR(IF(OR($R1473="",$C1473=""),"",$R1473/INDEX(DESPACHOS!$M$3:$M$3002,MATCH($C1473,DESPACHOS!$B$3:$B$3002,0))),"")</f>
        <v/>
      </c>
      <c r="T1473" s="41" t="n"/>
      <c r="U1473" s="43">
        <f>IF(OR($B1473="",$L1473=""),"",WORKDAY($B1473,IFERROR(INDEX(LISTAS!$C$3:$C$42,MATCH($L1473,LISTAS!$A$3:$A$42,0)),3)))</f>
        <v/>
      </c>
      <c r="V1473" s="40" t="n"/>
      <c r="W1473" s="19">
        <f>IF($B1473="","",IF($V1473&lt;&gt;"",$V1473-$B1473,TODAY()-$B1473))</f>
        <v/>
      </c>
      <c r="X1473" s="19">
        <f>IF(OR($B1473="",$U1473=""),"",IF($V1473&lt;&gt;"",MAX(0,$V1473-$U1473),MAX(0,TODAY()-$U1473)))</f>
        <v/>
      </c>
      <c r="Y1473" s="39">
        <f>IF($C1473="","",IF(IFERROR(INDEX(LISTAS!$I$3:$I$42,MATCH($T1473,LISTAS!$H$3:$H$42,0)),"NO")="SÍ",IF(N($X1473)&gt;0,"CERRADA FUERA DE SLA","CERRADA EN SLA"),IF($U1473="","SIN CLASIFICAR",IF(N($X1473)&gt;0,"VENCIDA",IF(TODAY()&gt;=$U1473-1,"POR VENCER","EN PLAZO")))))</f>
        <v/>
      </c>
      <c r="Z1473" s="41" t="n"/>
      <c r="AA1473" s="41" t="n"/>
      <c r="AB1473" s="41" t="n"/>
    </row>
    <row r="1474">
      <c r="A1474" s="39">
        <f>IF($C1474="","","NOV-"&amp;TEXT(ROW()-3,"0000"))</f>
        <v/>
      </c>
      <c r="B1474" s="40" t="n"/>
      <c r="C1474" s="41" t="n"/>
      <c r="D1474" s="42">
        <f>IF($C1474="","",IFERROR(INDEX(DESPACHOS!$D$3:$D$3002,MATCH($C1474,DESPACHOS!$B$3:$B$3002,0)),"SIN DESPACHO"))</f>
        <v/>
      </c>
      <c r="E1474" s="42">
        <f>IF($C1474="","",IFERROR(INDEX(DESPACHOS!$K$3:$K$3002,MATCH($C1474,DESPACHOS!$B$3:$B$3002,0)),""))</f>
        <v/>
      </c>
      <c r="F1474" s="42">
        <f>IF($C1474="","",IFERROR(INDEX(DESPACHOS!$I$3:$I$3002,MATCH($C1474,DESPACHOS!$B$3:$B$3002,0)),""))</f>
        <v/>
      </c>
      <c r="G1474" s="42">
        <f>IF($C1474="","",IFERROR(INDEX(DESPACHOS!$F$3:$F$3002,MATCH($C1474,DESPACHOS!$B$3:$B$3002,0)),""))</f>
        <v/>
      </c>
      <c r="H1474" s="42">
        <f>IF($C1474="","",IFERROR(INDEX(DESPACHOS!$G$3:$G$3002,MATCH($C1474,DESPACHOS!$B$3:$B$3002,0)),""))</f>
        <v/>
      </c>
      <c r="I1474" s="39">
        <f>IF($C1474="","",IFERROR(INDEX(DESPACHOS!$H$3:$H$3002,MATCH($C1474,DESPACHOS!$B$3:$B$3002,0)),""))</f>
        <v/>
      </c>
      <c r="J1474" s="43">
        <f>IF($C1474="","",IFERROR(INDEX(DESPACHOS!$J$3:$J$3002,MATCH($C1474,DESPACHOS!$B$3:$B$3002,0)),""))</f>
        <v/>
      </c>
      <c r="K1474" s="39">
        <f>IF($C1474="","",IF(COUNTIFS(DESPACHOS!$B$3:$B$3002,$C1474)=0,"NO EXISTE",IF(COUNTIFS(DESPACHOS!$B$3:$B$3002,$C1474)&gt;1,"DUPLICADO","OK")))</f>
        <v/>
      </c>
      <c r="L1474" s="41" t="n"/>
      <c r="M1474" s="41" t="n"/>
      <c r="N1474" s="42">
        <f>IF($M1474="","",IFERROR(INDEX(LISTAS!$F$3:$F$42,MATCH($M1474,LISTAS!$E$3:$E$42,0)),"Por definir"))</f>
        <v/>
      </c>
      <c r="O1474" s="41" t="n"/>
      <c r="P1474" s="39">
        <f>IF($L1474="","",IFERROR(INDEX(LISTAS!$B$3:$B$42,MATCH($L1474,LISTAS!$A$3:$A$42,0)),"Media"))</f>
        <v/>
      </c>
      <c r="Q1474" s="44" t="n"/>
      <c r="R1474" s="45" t="n"/>
      <c r="S1474" s="20">
        <f>IFERROR(IF(OR($R1474="",$C1474=""),"",$R1474/INDEX(DESPACHOS!$M$3:$M$3002,MATCH($C1474,DESPACHOS!$B$3:$B$3002,0))),"")</f>
        <v/>
      </c>
      <c r="T1474" s="41" t="n"/>
      <c r="U1474" s="43">
        <f>IF(OR($B1474="",$L1474=""),"",WORKDAY($B1474,IFERROR(INDEX(LISTAS!$C$3:$C$42,MATCH($L1474,LISTAS!$A$3:$A$42,0)),3)))</f>
        <v/>
      </c>
      <c r="V1474" s="40" t="n"/>
      <c r="W1474" s="19">
        <f>IF($B1474="","",IF($V1474&lt;&gt;"",$V1474-$B1474,TODAY()-$B1474))</f>
        <v/>
      </c>
      <c r="X1474" s="19">
        <f>IF(OR($B1474="",$U1474=""),"",IF($V1474&lt;&gt;"",MAX(0,$V1474-$U1474),MAX(0,TODAY()-$U1474)))</f>
        <v/>
      </c>
      <c r="Y1474" s="39">
        <f>IF($C1474="","",IF(IFERROR(INDEX(LISTAS!$I$3:$I$42,MATCH($T1474,LISTAS!$H$3:$H$42,0)),"NO")="SÍ",IF(N($X1474)&gt;0,"CERRADA FUERA DE SLA","CERRADA EN SLA"),IF($U1474="","SIN CLASIFICAR",IF(N($X1474)&gt;0,"VENCIDA",IF(TODAY()&gt;=$U1474-1,"POR VENCER","EN PLAZO")))))</f>
        <v/>
      </c>
      <c r="Z1474" s="41" t="n"/>
      <c r="AA1474" s="41" t="n"/>
      <c r="AB1474" s="41" t="n"/>
    </row>
    <row r="1475">
      <c r="A1475" s="39">
        <f>IF($C1475="","","NOV-"&amp;TEXT(ROW()-3,"0000"))</f>
        <v/>
      </c>
      <c r="B1475" s="40" t="n"/>
      <c r="C1475" s="41" t="n"/>
      <c r="D1475" s="42">
        <f>IF($C1475="","",IFERROR(INDEX(DESPACHOS!$D$3:$D$3002,MATCH($C1475,DESPACHOS!$B$3:$B$3002,0)),"SIN DESPACHO"))</f>
        <v/>
      </c>
      <c r="E1475" s="42">
        <f>IF($C1475="","",IFERROR(INDEX(DESPACHOS!$K$3:$K$3002,MATCH($C1475,DESPACHOS!$B$3:$B$3002,0)),""))</f>
        <v/>
      </c>
      <c r="F1475" s="42">
        <f>IF($C1475="","",IFERROR(INDEX(DESPACHOS!$I$3:$I$3002,MATCH($C1475,DESPACHOS!$B$3:$B$3002,0)),""))</f>
        <v/>
      </c>
      <c r="G1475" s="42">
        <f>IF($C1475="","",IFERROR(INDEX(DESPACHOS!$F$3:$F$3002,MATCH($C1475,DESPACHOS!$B$3:$B$3002,0)),""))</f>
        <v/>
      </c>
      <c r="H1475" s="42">
        <f>IF($C1475="","",IFERROR(INDEX(DESPACHOS!$G$3:$G$3002,MATCH($C1475,DESPACHOS!$B$3:$B$3002,0)),""))</f>
        <v/>
      </c>
      <c r="I1475" s="39">
        <f>IF($C1475="","",IFERROR(INDEX(DESPACHOS!$H$3:$H$3002,MATCH($C1475,DESPACHOS!$B$3:$B$3002,0)),""))</f>
        <v/>
      </c>
      <c r="J1475" s="43">
        <f>IF($C1475="","",IFERROR(INDEX(DESPACHOS!$J$3:$J$3002,MATCH($C1475,DESPACHOS!$B$3:$B$3002,0)),""))</f>
        <v/>
      </c>
      <c r="K1475" s="39">
        <f>IF($C1475="","",IF(COUNTIFS(DESPACHOS!$B$3:$B$3002,$C1475)=0,"NO EXISTE",IF(COUNTIFS(DESPACHOS!$B$3:$B$3002,$C1475)&gt;1,"DUPLICADO","OK")))</f>
        <v/>
      </c>
      <c r="L1475" s="41" t="n"/>
      <c r="M1475" s="41" t="n"/>
      <c r="N1475" s="42">
        <f>IF($M1475="","",IFERROR(INDEX(LISTAS!$F$3:$F$42,MATCH($M1475,LISTAS!$E$3:$E$42,0)),"Por definir"))</f>
        <v/>
      </c>
      <c r="O1475" s="41" t="n"/>
      <c r="P1475" s="39">
        <f>IF($L1475="","",IFERROR(INDEX(LISTAS!$B$3:$B$42,MATCH($L1475,LISTAS!$A$3:$A$42,0)),"Media"))</f>
        <v/>
      </c>
      <c r="Q1475" s="44" t="n"/>
      <c r="R1475" s="45" t="n"/>
      <c r="S1475" s="20">
        <f>IFERROR(IF(OR($R1475="",$C1475=""),"",$R1475/INDEX(DESPACHOS!$M$3:$M$3002,MATCH($C1475,DESPACHOS!$B$3:$B$3002,0))),"")</f>
        <v/>
      </c>
      <c r="T1475" s="41" t="n"/>
      <c r="U1475" s="43">
        <f>IF(OR($B1475="",$L1475=""),"",WORKDAY($B1475,IFERROR(INDEX(LISTAS!$C$3:$C$42,MATCH($L1475,LISTAS!$A$3:$A$42,0)),3)))</f>
        <v/>
      </c>
      <c r="V1475" s="40" t="n"/>
      <c r="W1475" s="19">
        <f>IF($B1475="","",IF($V1475&lt;&gt;"",$V1475-$B1475,TODAY()-$B1475))</f>
        <v/>
      </c>
      <c r="X1475" s="19">
        <f>IF(OR($B1475="",$U1475=""),"",IF($V1475&lt;&gt;"",MAX(0,$V1475-$U1475),MAX(0,TODAY()-$U1475)))</f>
        <v/>
      </c>
      <c r="Y1475" s="39">
        <f>IF($C1475="","",IF(IFERROR(INDEX(LISTAS!$I$3:$I$42,MATCH($T1475,LISTAS!$H$3:$H$42,0)),"NO")="SÍ",IF(N($X1475)&gt;0,"CERRADA FUERA DE SLA","CERRADA EN SLA"),IF($U1475="","SIN CLASIFICAR",IF(N($X1475)&gt;0,"VENCIDA",IF(TODAY()&gt;=$U1475-1,"POR VENCER","EN PLAZO")))))</f>
        <v/>
      </c>
      <c r="Z1475" s="41" t="n"/>
      <c r="AA1475" s="41" t="n"/>
      <c r="AB1475" s="41" t="n"/>
    </row>
    <row r="1476">
      <c r="A1476" s="39">
        <f>IF($C1476="","","NOV-"&amp;TEXT(ROW()-3,"0000"))</f>
        <v/>
      </c>
      <c r="B1476" s="40" t="n"/>
      <c r="C1476" s="41" t="n"/>
      <c r="D1476" s="42">
        <f>IF($C1476="","",IFERROR(INDEX(DESPACHOS!$D$3:$D$3002,MATCH($C1476,DESPACHOS!$B$3:$B$3002,0)),"SIN DESPACHO"))</f>
        <v/>
      </c>
      <c r="E1476" s="42">
        <f>IF($C1476="","",IFERROR(INDEX(DESPACHOS!$K$3:$K$3002,MATCH($C1476,DESPACHOS!$B$3:$B$3002,0)),""))</f>
        <v/>
      </c>
      <c r="F1476" s="42">
        <f>IF($C1476="","",IFERROR(INDEX(DESPACHOS!$I$3:$I$3002,MATCH($C1476,DESPACHOS!$B$3:$B$3002,0)),""))</f>
        <v/>
      </c>
      <c r="G1476" s="42">
        <f>IF($C1476="","",IFERROR(INDEX(DESPACHOS!$F$3:$F$3002,MATCH($C1476,DESPACHOS!$B$3:$B$3002,0)),""))</f>
        <v/>
      </c>
      <c r="H1476" s="42">
        <f>IF($C1476="","",IFERROR(INDEX(DESPACHOS!$G$3:$G$3002,MATCH($C1476,DESPACHOS!$B$3:$B$3002,0)),""))</f>
        <v/>
      </c>
      <c r="I1476" s="39">
        <f>IF($C1476="","",IFERROR(INDEX(DESPACHOS!$H$3:$H$3002,MATCH($C1476,DESPACHOS!$B$3:$B$3002,0)),""))</f>
        <v/>
      </c>
      <c r="J1476" s="43">
        <f>IF($C1476="","",IFERROR(INDEX(DESPACHOS!$J$3:$J$3002,MATCH($C1476,DESPACHOS!$B$3:$B$3002,0)),""))</f>
        <v/>
      </c>
      <c r="K1476" s="39">
        <f>IF($C1476="","",IF(COUNTIFS(DESPACHOS!$B$3:$B$3002,$C1476)=0,"NO EXISTE",IF(COUNTIFS(DESPACHOS!$B$3:$B$3002,$C1476)&gt;1,"DUPLICADO","OK")))</f>
        <v/>
      </c>
      <c r="L1476" s="41" t="n"/>
      <c r="M1476" s="41" t="n"/>
      <c r="N1476" s="42">
        <f>IF($M1476="","",IFERROR(INDEX(LISTAS!$F$3:$F$42,MATCH($M1476,LISTAS!$E$3:$E$42,0)),"Por definir"))</f>
        <v/>
      </c>
      <c r="O1476" s="41" t="n"/>
      <c r="P1476" s="39">
        <f>IF($L1476="","",IFERROR(INDEX(LISTAS!$B$3:$B$42,MATCH($L1476,LISTAS!$A$3:$A$42,0)),"Media"))</f>
        <v/>
      </c>
      <c r="Q1476" s="44" t="n"/>
      <c r="R1476" s="45" t="n"/>
      <c r="S1476" s="20">
        <f>IFERROR(IF(OR($R1476="",$C1476=""),"",$R1476/INDEX(DESPACHOS!$M$3:$M$3002,MATCH($C1476,DESPACHOS!$B$3:$B$3002,0))),"")</f>
        <v/>
      </c>
      <c r="T1476" s="41" t="n"/>
      <c r="U1476" s="43">
        <f>IF(OR($B1476="",$L1476=""),"",WORKDAY($B1476,IFERROR(INDEX(LISTAS!$C$3:$C$42,MATCH($L1476,LISTAS!$A$3:$A$42,0)),3)))</f>
        <v/>
      </c>
      <c r="V1476" s="40" t="n"/>
      <c r="W1476" s="19">
        <f>IF($B1476="","",IF($V1476&lt;&gt;"",$V1476-$B1476,TODAY()-$B1476))</f>
        <v/>
      </c>
      <c r="X1476" s="19">
        <f>IF(OR($B1476="",$U1476=""),"",IF($V1476&lt;&gt;"",MAX(0,$V1476-$U1476),MAX(0,TODAY()-$U1476)))</f>
        <v/>
      </c>
      <c r="Y1476" s="39">
        <f>IF($C1476="","",IF(IFERROR(INDEX(LISTAS!$I$3:$I$42,MATCH($T1476,LISTAS!$H$3:$H$42,0)),"NO")="SÍ",IF(N($X1476)&gt;0,"CERRADA FUERA DE SLA","CERRADA EN SLA"),IF($U1476="","SIN CLASIFICAR",IF(N($X1476)&gt;0,"VENCIDA",IF(TODAY()&gt;=$U1476-1,"POR VENCER","EN PLAZO")))))</f>
        <v/>
      </c>
      <c r="Z1476" s="41" t="n"/>
      <c r="AA1476" s="41" t="n"/>
      <c r="AB1476" s="41" t="n"/>
    </row>
    <row r="1477">
      <c r="A1477" s="39">
        <f>IF($C1477="","","NOV-"&amp;TEXT(ROW()-3,"0000"))</f>
        <v/>
      </c>
      <c r="B1477" s="40" t="n"/>
      <c r="C1477" s="41" t="n"/>
      <c r="D1477" s="42">
        <f>IF($C1477="","",IFERROR(INDEX(DESPACHOS!$D$3:$D$3002,MATCH($C1477,DESPACHOS!$B$3:$B$3002,0)),"SIN DESPACHO"))</f>
        <v/>
      </c>
      <c r="E1477" s="42">
        <f>IF($C1477="","",IFERROR(INDEX(DESPACHOS!$K$3:$K$3002,MATCH($C1477,DESPACHOS!$B$3:$B$3002,0)),""))</f>
        <v/>
      </c>
      <c r="F1477" s="42">
        <f>IF($C1477="","",IFERROR(INDEX(DESPACHOS!$I$3:$I$3002,MATCH($C1477,DESPACHOS!$B$3:$B$3002,0)),""))</f>
        <v/>
      </c>
      <c r="G1477" s="42">
        <f>IF($C1477="","",IFERROR(INDEX(DESPACHOS!$F$3:$F$3002,MATCH($C1477,DESPACHOS!$B$3:$B$3002,0)),""))</f>
        <v/>
      </c>
      <c r="H1477" s="42">
        <f>IF($C1477="","",IFERROR(INDEX(DESPACHOS!$G$3:$G$3002,MATCH($C1477,DESPACHOS!$B$3:$B$3002,0)),""))</f>
        <v/>
      </c>
      <c r="I1477" s="39">
        <f>IF($C1477="","",IFERROR(INDEX(DESPACHOS!$H$3:$H$3002,MATCH($C1477,DESPACHOS!$B$3:$B$3002,0)),""))</f>
        <v/>
      </c>
      <c r="J1477" s="43">
        <f>IF($C1477="","",IFERROR(INDEX(DESPACHOS!$J$3:$J$3002,MATCH($C1477,DESPACHOS!$B$3:$B$3002,0)),""))</f>
        <v/>
      </c>
      <c r="K1477" s="39">
        <f>IF($C1477="","",IF(COUNTIFS(DESPACHOS!$B$3:$B$3002,$C1477)=0,"NO EXISTE",IF(COUNTIFS(DESPACHOS!$B$3:$B$3002,$C1477)&gt;1,"DUPLICADO","OK")))</f>
        <v/>
      </c>
      <c r="L1477" s="41" t="n"/>
      <c r="M1477" s="41" t="n"/>
      <c r="N1477" s="42">
        <f>IF($M1477="","",IFERROR(INDEX(LISTAS!$F$3:$F$42,MATCH($M1477,LISTAS!$E$3:$E$42,0)),"Por definir"))</f>
        <v/>
      </c>
      <c r="O1477" s="41" t="n"/>
      <c r="P1477" s="39">
        <f>IF($L1477="","",IFERROR(INDEX(LISTAS!$B$3:$B$42,MATCH($L1477,LISTAS!$A$3:$A$42,0)),"Media"))</f>
        <v/>
      </c>
      <c r="Q1477" s="44" t="n"/>
      <c r="R1477" s="45" t="n"/>
      <c r="S1477" s="20">
        <f>IFERROR(IF(OR($R1477="",$C1477=""),"",$R1477/INDEX(DESPACHOS!$M$3:$M$3002,MATCH($C1477,DESPACHOS!$B$3:$B$3002,0))),"")</f>
        <v/>
      </c>
      <c r="T1477" s="41" t="n"/>
      <c r="U1477" s="43">
        <f>IF(OR($B1477="",$L1477=""),"",WORKDAY($B1477,IFERROR(INDEX(LISTAS!$C$3:$C$42,MATCH($L1477,LISTAS!$A$3:$A$42,0)),3)))</f>
        <v/>
      </c>
      <c r="V1477" s="40" t="n"/>
      <c r="W1477" s="19">
        <f>IF($B1477="","",IF($V1477&lt;&gt;"",$V1477-$B1477,TODAY()-$B1477))</f>
        <v/>
      </c>
      <c r="X1477" s="19">
        <f>IF(OR($B1477="",$U1477=""),"",IF($V1477&lt;&gt;"",MAX(0,$V1477-$U1477),MAX(0,TODAY()-$U1477)))</f>
        <v/>
      </c>
      <c r="Y1477" s="39">
        <f>IF($C1477="","",IF(IFERROR(INDEX(LISTAS!$I$3:$I$42,MATCH($T1477,LISTAS!$H$3:$H$42,0)),"NO")="SÍ",IF(N($X1477)&gt;0,"CERRADA FUERA DE SLA","CERRADA EN SLA"),IF($U1477="","SIN CLASIFICAR",IF(N($X1477)&gt;0,"VENCIDA",IF(TODAY()&gt;=$U1477-1,"POR VENCER","EN PLAZO")))))</f>
        <v/>
      </c>
      <c r="Z1477" s="41" t="n"/>
      <c r="AA1477" s="41" t="n"/>
      <c r="AB1477" s="41" t="n"/>
    </row>
    <row r="1478">
      <c r="A1478" s="39">
        <f>IF($C1478="","","NOV-"&amp;TEXT(ROW()-3,"0000"))</f>
        <v/>
      </c>
      <c r="B1478" s="40" t="n"/>
      <c r="C1478" s="41" t="n"/>
      <c r="D1478" s="42">
        <f>IF($C1478="","",IFERROR(INDEX(DESPACHOS!$D$3:$D$3002,MATCH($C1478,DESPACHOS!$B$3:$B$3002,0)),"SIN DESPACHO"))</f>
        <v/>
      </c>
      <c r="E1478" s="42">
        <f>IF($C1478="","",IFERROR(INDEX(DESPACHOS!$K$3:$K$3002,MATCH($C1478,DESPACHOS!$B$3:$B$3002,0)),""))</f>
        <v/>
      </c>
      <c r="F1478" s="42">
        <f>IF($C1478="","",IFERROR(INDEX(DESPACHOS!$I$3:$I$3002,MATCH($C1478,DESPACHOS!$B$3:$B$3002,0)),""))</f>
        <v/>
      </c>
      <c r="G1478" s="42">
        <f>IF($C1478="","",IFERROR(INDEX(DESPACHOS!$F$3:$F$3002,MATCH($C1478,DESPACHOS!$B$3:$B$3002,0)),""))</f>
        <v/>
      </c>
      <c r="H1478" s="42">
        <f>IF($C1478="","",IFERROR(INDEX(DESPACHOS!$G$3:$G$3002,MATCH($C1478,DESPACHOS!$B$3:$B$3002,0)),""))</f>
        <v/>
      </c>
      <c r="I1478" s="39">
        <f>IF($C1478="","",IFERROR(INDEX(DESPACHOS!$H$3:$H$3002,MATCH($C1478,DESPACHOS!$B$3:$B$3002,0)),""))</f>
        <v/>
      </c>
      <c r="J1478" s="43">
        <f>IF($C1478="","",IFERROR(INDEX(DESPACHOS!$J$3:$J$3002,MATCH($C1478,DESPACHOS!$B$3:$B$3002,0)),""))</f>
        <v/>
      </c>
      <c r="K1478" s="39">
        <f>IF($C1478="","",IF(COUNTIFS(DESPACHOS!$B$3:$B$3002,$C1478)=0,"NO EXISTE",IF(COUNTIFS(DESPACHOS!$B$3:$B$3002,$C1478)&gt;1,"DUPLICADO","OK")))</f>
        <v/>
      </c>
      <c r="L1478" s="41" t="n"/>
      <c r="M1478" s="41" t="n"/>
      <c r="N1478" s="42">
        <f>IF($M1478="","",IFERROR(INDEX(LISTAS!$F$3:$F$42,MATCH($M1478,LISTAS!$E$3:$E$42,0)),"Por definir"))</f>
        <v/>
      </c>
      <c r="O1478" s="41" t="n"/>
      <c r="P1478" s="39">
        <f>IF($L1478="","",IFERROR(INDEX(LISTAS!$B$3:$B$42,MATCH($L1478,LISTAS!$A$3:$A$42,0)),"Media"))</f>
        <v/>
      </c>
      <c r="Q1478" s="44" t="n"/>
      <c r="R1478" s="45" t="n"/>
      <c r="S1478" s="20">
        <f>IFERROR(IF(OR($R1478="",$C1478=""),"",$R1478/INDEX(DESPACHOS!$M$3:$M$3002,MATCH($C1478,DESPACHOS!$B$3:$B$3002,0))),"")</f>
        <v/>
      </c>
      <c r="T1478" s="41" t="n"/>
      <c r="U1478" s="43">
        <f>IF(OR($B1478="",$L1478=""),"",WORKDAY($B1478,IFERROR(INDEX(LISTAS!$C$3:$C$42,MATCH($L1478,LISTAS!$A$3:$A$42,0)),3)))</f>
        <v/>
      </c>
      <c r="V1478" s="40" t="n"/>
      <c r="W1478" s="19">
        <f>IF($B1478="","",IF($V1478&lt;&gt;"",$V1478-$B1478,TODAY()-$B1478))</f>
        <v/>
      </c>
      <c r="X1478" s="19">
        <f>IF(OR($B1478="",$U1478=""),"",IF($V1478&lt;&gt;"",MAX(0,$V1478-$U1478),MAX(0,TODAY()-$U1478)))</f>
        <v/>
      </c>
      <c r="Y1478" s="39">
        <f>IF($C1478="","",IF(IFERROR(INDEX(LISTAS!$I$3:$I$42,MATCH($T1478,LISTAS!$H$3:$H$42,0)),"NO")="SÍ",IF(N($X1478)&gt;0,"CERRADA FUERA DE SLA","CERRADA EN SLA"),IF($U1478="","SIN CLASIFICAR",IF(N($X1478)&gt;0,"VENCIDA",IF(TODAY()&gt;=$U1478-1,"POR VENCER","EN PLAZO")))))</f>
        <v/>
      </c>
      <c r="Z1478" s="41" t="n"/>
      <c r="AA1478" s="41" t="n"/>
      <c r="AB1478" s="41" t="n"/>
    </row>
    <row r="1479">
      <c r="A1479" s="39">
        <f>IF($C1479="","","NOV-"&amp;TEXT(ROW()-3,"0000"))</f>
        <v/>
      </c>
      <c r="B1479" s="40" t="n"/>
      <c r="C1479" s="41" t="n"/>
      <c r="D1479" s="42">
        <f>IF($C1479="","",IFERROR(INDEX(DESPACHOS!$D$3:$D$3002,MATCH($C1479,DESPACHOS!$B$3:$B$3002,0)),"SIN DESPACHO"))</f>
        <v/>
      </c>
      <c r="E1479" s="42">
        <f>IF($C1479="","",IFERROR(INDEX(DESPACHOS!$K$3:$K$3002,MATCH($C1479,DESPACHOS!$B$3:$B$3002,0)),""))</f>
        <v/>
      </c>
      <c r="F1479" s="42">
        <f>IF($C1479="","",IFERROR(INDEX(DESPACHOS!$I$3:$I$3002,MATCH($C1479,DESPACHOS!$B$3:$B$3002,0)),""))</f>
        <v/>
      </c>
      <c r="G1479" s="42">
        <f>IF($C1479="","",IFERROR(INDEX(DESPACHOS!$F$3:$F$3002,MATCH($C1479,DESPACHOS!$B$3:$B$3002,0)),""))</f>
        <v/>
      </c>
      <c r="H1479" s="42">
        <f>IF($C1479="","",IFERROR(INDEX(DESPACHOS!$G$3:$G$3002,MATCH($C1479,DESPACHOS!$B$3:$B$3002,0)),""))</f>
        <v/>
      </c>
      <c r="I1479" s="39">
        <f>IF($C1479="","",IFERROR(INDEX(DESPACHOS!$H$3:$H$3002,MATCH($C1479,DESPACHOS!$B$3:$B$3002,0)),""))</f>
        <v/>
      </c>
      <c r="J1479" s="43">
        <f>IF($C1479="","",IFERROR(INDEX(DESPACHOS!$J$3:$J$3002,MATCH($C1479,DESPACHOS!$B$3:$B$3002,0)),""))</f>
        <v/>
      </c>
      <c r="K1479" s="39">
        <f>IF($C1479="","",IF(COUNTIFS(DESPACHOS!$B$3:$B$3002,$C1479)=0,"NO EXISTE",IF(COUNTIFS(DESPACHOS!$B$3:$B$3002,$C1479)&gt;1,"DUPLICADO","OK")))</f>
        <v/>
      </c>
      <c r="L1479" s="41" t="n"/>
      <c r="M1479" s="41" t="n"/>
      <c r="N1479" s="42">
        <f>IF($M1479="","",IFERROR(INDEX(LISTAS!$F$3:$F$42,MATCH($M1479,LISTAS!$E$3:$E$42,0)),"Por definir"))</f>
        <v/>
      </c>
      <c r="O1479" s="41" t="n"/>
      <c r="P1479" s="39">
        <f>IF($L1479="","",IFERROR(INDEX(LISTAS!$B$3:$B$42,MATCH($L1479,LISTAS!$A$3:$A$42,0)),"Media"))</f>
        <v/>
      </c>
      <c r="Q1479" s="44" t="n"/>
      <c r="R1479" s="45" t="n"/>
      <c r="S1479" s="20">
        <f>IFERROR(IF(OR($R1479="",$C1479=""),"",$R1479/INDEX(DESPACHOS!$M$3:$M$3002,MATCH($C1479,DESPACHOS!$B$3:$B$3002,0))),"")</f>
        <v/>
      </c>
      <c r="T1479" s="41" t="n"/>
      <c r="U1479" s="43">
        <f>IF(OR($B1479="",$L1479=""),"",WORKDAY($B1479,IFERROR(INDEX(LISTAS!$C$3:$C$42,MATCH($L1479,LISTAS!$A$3:$A$42,0)),3)))</f>
        <v/>
      </c>
      <c r="V1479" s="40" t="n"/>
      <c r="W1479" s="19">
        <f>IF($B1479="","",IF($V1479&lt;&gt;"",$V1479-$B1479,TODAY()-$B1479))</f>
        <v/>
      </c>
      <c r="X1479" s="19">
        <f>IF(OR($B1479="",$U1479=""),"",IF($V1479&lt;&gt;"",MAX(0,$V1479-$U1479),MAX(0,TODAY()-$U1479)))</f>
        <v/>
      </c>
      <c r="Y1479" s="39">
        <f>IF($C1479="","",IF(IFERROR(INDEX(LISTAS!$I$3:$I$42,MATCH($T1479,LISTAS!$H$3:$H$42,0)),"NO")="SÍ",IF(N($X1479)&gt;0,"CERRADA FUERA DE SLA","CERRADA EN SLA"),IF($U1479="","SIN CLASIFICAR",IF(N($X1479)&gt;0,"VENCIDA",IF(TODAY()&gt;=$U1479-1,"POR VENCER","EN PLAZO")))))</f>
        <v/>
      </c>
      <c r="Z1479" s="41" t="n"/>
      <c r="AA1479" s="41" t="n"/>
      <c r="AB1479" s="41" t="n"/>
    </row>
    <row r="1480">
      <c r="A1480" s="39">
        <f>IF($C1480="","","NOV-"&amp;TEXT(ROW()-3,"0000"))</f>
        <v/>
      </c>
      <c r="B1480" s="40" t="n"/>
      <c r="C1480" s="41" t="n"/>
      <c r="D1480" s="42">
        <f>IF($C1480="","",IFERROR(INDEX(DESPACHOS!$D$3:$D$3002,MATCH($C1480,DESPACHOS!$B$3:$B$3002,0)),"SIN DESPACHO"))</f>
        <v/>
      </c>
      <c r="E1480" s="42">
        <f>IF($C1480="","",IFERROR(INDEX(DESPACHOS!$K$3:$K$3002,MATCH($C1480,DESPACHOS!$B$3:$B$3002,0)),""))</f>
        <v/>
      </c>
      <c r="F1480" s="42">
        <f>IF($C1480="","",IFERROR(INDEX(DESPACHOS!$I$3:$I$3002,MATCH($C1480,DESPACHOS!$B$3:$B$3002,0)),""))</f>
        <v/>
      </c>
      <c r="G1480" s="42">
        <f>IF($C1480="","",IFERROR(INDEX(DESPACHOS!$F$3:$F$3002,MATCH($C1480,DESPACHOS!$B$3:$B$3002,0)),""))</f>
        <v/>
      </c>
      <c r="H1480" s="42">
        <f>IF($C1480="","",IFERROR(INDEX(DESPACHOS!$G$3:$G$3002,MATCH($C1480,DESPACHOS!$B$3:$B$3002,0)),""))</f>
        <v/>
      </c>
      <c r="I1480" s="39">
        <f>IF($C1480="","",IFERROR(INDEX(DESPACHOS!$H$3:$H$3002,MATCH($C1480,DESPACHOS!$B$3:$B$3002,0)),""))</f>
        <v/>
      </c>
      <c r="J1480" s="43">
        <f>IF($C1480="","",IFERROR(INDEX(DESPACHOS!$J$3:$J$3002,MATCH($C1480,DESPACHOS!$B$3:$B$3002,0)),""))</f>
        <v/>
      </c>
      <c r="K1480" s="39">
        <f>IF($C1480="","",IF(COUNTIFS(DESPACHOS!$B$3:$B$3002,$C1480)=0,"NO EXISTE",IF(COUNTIFS(DESPACHOS!$B$3:$B$3002,$C1480)&gt;1,"DUPLICADO","OK")))</f>
        <v/>
      </c>
      <c r="L1480" s="41" t="n"/>
      <c r="M1480" s="41" t="n"/>
      <c r="N1480" s="42">
        <f>IF($M1480="","",IFERROR(INDEX(LISTAS!$F$3:$F$42,MATCH($M1480,LISTAS!$E$3:$E$42,0)),"Por definir"))</f>
        <v/>
      </c>
      <c r="O1480" s="41" t="n"/>
      <c r="P1480" s="39">
        <f>IF($L1480="","",IFERROR(INDEX(LISTAS!$B$3:$B$42,MATCH($L1480,LISTAS!$A$3:$A$42,0)),"Media"))</f>
        <v/>
      </c>
      <c r="Q1480" s="44" t="n"/>
      <c r="R1480" s="45" t="n"/>
      <c r="S1480" s="20">
        <f>IFERROR(IF(OR($R1480="",$C1480=""),"",$R1480/INDEX(DESPACHOS!$M$3:$M$3002,MATCH($C1480,DESPACHOS!$B$3:$B$3002,0))),"")</f>
        <v/>
      </c>
      <c r="T1480" s="41" t="n"/>
      <c r="U1480" s="43">
        <f>IF(OR($B1480="",$L1480=""),"",WORKDAY($B1480,IFERROR(INDEX(LISTAS!$C$3:$C$42,MATCH($L1480,LISTAS!$A$3:$A$42,0)),3)))</f>
        <v/>
      </c>
      <c r="V1480" s="40" t="n"/>
      <c r="W1480" s="19">
        <f>IF($B1480="","",IF($V1480&lt;&gt;"",$V1480-$B1480,TODAY()-$B1480))</f>
        <v/>
      </c>
      <c r="X1480" s="19">
        <f>IF(OR($B1480="",$U1480=""),"",IF($V1480&lt;&gt;"",MAX(0,$V1480-$U1480),MAX(0,TODAY()-$U1480)))</f>
        <v/>
      </c>
      <c r="Y1480" s="39">
        <f>IF($C1480="","",IF(IFERROR(INDEX(LISTAS!$I$3:$I$42,MATCH($T1480,LISTAS!$H$3:$H$42,0)),"NO")="SÍ",IF(N($X1480)&gt;0,"CERRADA FUERA DE SLA","CERRADA EN SLA"),IF($U1480="","SIN CLASIFICAR",IF(N($X1480)&gt;0,"VENCIDA",IF(TODAY()&gt;=$U1480-1,"POR VENCER","EN PLAZO")))))</f>
        <v/>
      </c>
      <c r="Z1480" s="41" t="n"/>
      <c r="AA1480" s="41" t="n"/>
      <c r="AB1480" s="41" t="n"/>
    </row>
    <row r="1481">
      <c r="A1481" s="39">
        <f>IF($C1481="","","NOV-"&amp;TEXT(ROW()-3,"0000"))</f>
        <v/>
      </c>
      <c r="B1481" s="40" t="n"/>
      <c r="C1481" s="41" t="n"/>
      <c r="D1481" s="42">
        <f>IF($C1481="","",IFERROR(INDEX(DESPACHOS!$D$3:$D$3002,MATCH($C1481,DESPACHOS!$B$3:$B$3002,0)),"SIN DESPACHO"))</f>
        <v/>
      </c>
      <c r="E1481" s="42">
        <f>IF($C1481="","",IFERROR(INDEX(DESPACHOS!$K$3:$K$3002,MATCH($C1481,DESPACHOS!$B$3:$B$3002,0)),""))</f>
        <v/>
      </c>
      <c r="F1481" s="42">
        <f>IF($C1481="","",IFERROR(INDEX(DESPACHOS!$I$3:$I$3002,MATCH($C1481,DESPACHOS!$B$3:$B$3002,0)),""))</f>
        <v/>
      </c>
      <c r="G1481" s="42">
        <f>IF($C1481="","",IFERROR(INDEX(DESPACHOS!$F$3:$F$3002,MATCH($C1481,DESPACHOS!$B$3:$B$3002,0)),""))</f>
        <v/>
      </c>
      <c r="H1481" s="42">
        <f>IF($C1481="","",IFERROR(INDEX(DESPACHOS!$G$3:$G$3002,MATCH($C1481,DESPACHOS!$B$3:$B$3002,0)),""))</f>
        <v/>
      </c>
      <c r="I1481" s="39">
        <f>IF($C1481="","",IFERROR(INDEX(DESPACHOS!$H$3:$H$3002,MATCH($C1481,DESPACHOS!$B$3:$B$3002,0)),""))</f>
        <v/>
      </c>
      <c r="J1481" s="43">
        <f>IF($C1481="","",IFERROR(INDEX(DESPACHOS!$J$3:$J$3002,MATCH($C1481,DESPACHOS!$B$3:$B$3002,0)),""))</f>
        <v/>
      </c>
      <c r="K1481" s="39">
        <f>IF($C1481="","",IF(COUNTIFS(DESPACHOS!$B$3:$B$3002,$C1481)=0,"NO EXISTE",IF(COUNTIFS(DESPACHOS!$B$3:$B$3002,$C1481)&gt;1,"DUPLICADO","OK")))</f>
        <v/>
      </c>
      <c r="L1481" s="41" t="n"/>
      <c r="M1481" s="41" t="n"/>
      <c r="N1481" s="42">
        <f>IF($M1481="","",IFERROR(INDEX(LISTAS!$F$3:$F$42,MATCH($M1481,LISTAS!$E$3:$E$42,0)),"Por definir"))</f>
        <v/>
      </c>
      <c r="O1481" s="41" t="n"/>
      <c r="P1481" s="39">
        <f>IF($L1481="","",IFERROR(INDEX(LISTAS!$B$3:$B$42,MATCH($L1481,LISTAS!$A$3:$A$42,0)),"Media"))</f>
        <v/>
      </c>
      <c r="Q1481" s="44" t="n"/>
      <c r="R1481" s="45" t="n"/>
      <c r="S1481" s="20">
        <f>IFERROR(IF(OR($R1481="",$C1481=""),"",$R1481/INDEX(DESPACHOS!$M$3:$M$3002,MATCH($C1481,DESPACHOS!$B$3:$B$3002,0))),"")</f>
        <v/>
      </c>
      <c r="T1481" s="41" t="n"/>
      <c r="U1481" s="43">
        <f>IF(OR($B1481="",$L1481=""),"",WORKDAY($B1481,IFERROR(INDEX(LISTAS!$C$3:$C$42,MATCH($L1481,LISTAS!$A$3:$A$42,0)),3)))</f>
        <v/>
      </c>
      <c r="V1481" s="40" t="n"/>
      <c r="W1481" s="19">
        <f>IF($B1481="","",IF($V1481&lt;&gt;"",$V1481-$B1481,TODAY()-$B1481))</f>
        <v/>
      </c>
      <c r="X1481" s="19">
        <f>IF(OR($B1481="",$U1481=""),"",IF($V1481&lt;&gt;"",MAX(0,$V1481-$U1481),MAX(0,TODAY()-$U1481)))</f>
        <v/>
      </c>
      <c r="Y1481" s="39">
        <f>IF($C1481="","",IF(IFERROR(INDEX(LISTAS!$I$3:$I$42,MATCH($T1481,LISTAS!$H$3:$H$42,0)),"NO")="SÍ",IF(N($X1481)&gt;0,"CERRADA FUERA DE SLA","CERRADA EN SLA"),IF($U1481="","SIN CLASIFICAR",IF(N($X1481)&gt;0,"VENCIDA",IF(TODAY()&gt;=$U1481-1,"POR VENCER","EN PLAZO")))))</f>
        <v/>
      </c>
      <c r="Z1481" s="41" t="n"/>
      <c r="AA1481" s="41" t="n"/>
      <c r="AB1481" s="41" t="n"/>
    </row>
    <row r="1482">
      <c r="A1482" s="39">
        <f>IF($C1482="","","NOV-"&amp;TEXT(ROW()-3,"0000"))</f>
        <v/>
      </c>
      <c r="B1482" s="40" t="n"/>
      <c r="C1482" s="41" t="n"/>
      <c r="D1482" s="42">
        <f>IF($C1482="","",IFERROR(INDEX(DESPACHOS!$D$3:$D$3002,MATCH($C1482,DESPACHOS!$B$3:$B$3002,0)),"SIN DESPACHO"))</f>
        <v/>
      </c>
      <c r="E1482" s="42">
        <f>IF($C1482="","",IFERROR(INDEX(DESPACHOS!$K$3:$K$3002,MATCH($C1482,DESPACHOS!$B$3:$B$3002,0)),""))</f>
        <v/>
      </c>
      <c r="F1482" s="42">
        <f>IF($C1482="","",IFERROR(INDEX(DESPACHOS!$I$3:$I$3002,MATCH($C1482,DESPACHOS!$B$3:$B$3002,0)),""))</f>
        <v/>
      </c>
      <c r="G1482" s="42">
        <f>IF($C1482="","",IFERROR(INDEX(DESPACHOS!$F$3:$F$3002,MATCH($C1482,DESPACHOS!$B$3:$B$3002,0)),""))</f>
        <v/>
      </c>
      <c r="H1482" s="42">
        <f>IF($C1482="","",IFERROR(INDEX(DESPACHOS!$G$3:$G$3002,MATCH($C1482,DESPACHOS!$B$3:$B$3002,0)),""))</f>
        <v/>
      </c>
      <c r="I1482" s="39">
        <f>IF($C1482="","",IFERROR(INDEX(DESPACHOS!$H$3:$H$3002,MATCH($C1482,DESPACHOS!$B$3:$B$3002,0)),""))</f>
        <v/>
      </c>
      <c r="J1482" s="43">
        <f>IF($C1482="","",IFERROR(INDEX(DESPACHOS!$J$3:$J$3002,MATCH($C1482,DESPACHOS!$B$3:$B$3002,0)),""))</f>
        <v/>
      </c>
      <c r="K1482" s="39">
        <f>IF($C1482="","",IF(COUNTIFS(DESPACHOS!$B$3:$B$3002,$C1482)=0,"NO EXISTE",IF(COUNTIFS(DESPACHOS!$B$3:$B$3002,$C1482)&gt;1,"DUPLICADO","OK")))</f>
        <v/>
      </c>
      <c r="L1482" s="41" t="n"/>
      <c r="M1482" s="41" t="n"/>
      <c r="N1482" s="42">
        <f>IF($M1482="","",IFERROR(INDEX(LISTAS!$F$3:$F$42,MATCH($M1482,LISTAS!$E$3:$E$42,0)),"Por definir"))</f>
        <v/>
      </c>
      <c r="O1482" s="41" t="n"/>
      <c r="P1482" s="39">
        <f>IF($L1482="","",IFERROR(INDEX(LISTAS!$B$3:$B$42,MATCH($L1482,LISTAS!$A$3:$A$42,0)),"Media"))</f>
        <v/>
      </c>
      <c r="Q1482" s="44" t="n"/>
      <c r="R1482" s="45" t="n"/>
      <c r="S1482" s="20">
        <f>IFERROR(IF(OR($R1482="",$C1482=""),"",$R1482/INDEX(DESPACHOS!$M$3:$M$3002,MATCH($C1482,DESPACHOS!$B$3:$B$3002,0))),"")</f>
        <v/>
      </c>
      <c r="T1482" s="41" t="n"/>
      <c r="U1482" s="43">
        <f>IF(OR($B1482="",$L1482=""),"",WORKDAY($B1482,IFERROR(INDEX(LISTAS!$C$3:$C$42,MATCH($L1482,LISTAS!$A$3:$A$42,0)),3)))</f>
        <v/>
      </c>
      <c r="V1482" s="40" t="n"/>
      <c r="W1482" s="19">
        <f>IF($B1482="","",IF($V1482&lt;&gt;"",$V1482-$B1482,TODAY()-$B1482))</f>
        <v/>
      </c>
      <c r="X1482" s="19">
        <f>IF(OR($B1482="",$U1482=""),"",IF($V1482&lt;&gt;"",MAX(0,$V1482-$U1482),MAX(0,TODAY()-$U1482)))</f>
        <v/>
      </c>
      <c r="Y1482" s="39">
        <f>IF($C1482="","",IF(IFERROR(INDEX(LISTAS!$I$3:$I$42,MATCH($T1482,LISTAS!$H$3:$H$42,0)),"NO")="SÍ",IF(N($X1482)&gt;0,"CERRADA FUERA DE SLA","CERRADA EN SLA"),IF($U1482="","SIN CLASIFICAR",IF(N($X1482)&gt;0,"VENCIDA",IF(TODAY()&gt;=$U1482-1,"POR VENCER","EN PLAZO")))))</f>
        <v/>
      </c>
      <c r="Z1482" s="41" t="n"/>
      <c r="AA1482" s="41" t="n"/>
      <c r="AB1482" s="41" t="n"/>
    </row>
    <row r="1483">
      <c r="A1483" s="39">
        <f>IF($C1483="","","NOV-"&amp;TEXT(ROW()-3,"0000"))</f>
        <v/>
      </c>
      <c r="B1483" s="40" t="n"/>
      <c r="C1483" s="41" t="n"/>
      <c r="D1483" s="42">
        <f>IF($C1483="","",IFERROR(INDEX(DESPACHOS!$D$3:$D$3002,MATCH($C1483,DESPACHOS!$B$3:$B$3002,0)),"SIN DESPACHO"))</f>
        <v/>
      </c>
      <c r="E1483" s="42">
        <f>IF($C1483="","",IFERROR(INDEX(DESPACHOS!$K$3:$K$3002,MATCH($C1483,DESPACHOS!$B$3:$B$3002,0)),""))</f>
        <v/>
      </c>
      <c r="F1483" s="42">
        <f>IF($C1483="","",IFERROR(INDEX(DESPACHOS!$I$3:$I$3002,MATCH($C1483,DESPACHOS!$B$3:$B$3002,0)),""))</f>
        <v/>
      </c>
      <c r="G1483" s="42">
        <f>IF($C1483="","",IFERROR(INDEX(DESPACHOS!$F$3:$F$3002,MATCH($C1483,DESPACHOS!$B$3:$B$3002,0)),""))</f>
        <v/>
      </c>
      <c r="H1483" s="42">
        <f>IF($C1483="","",IFERROR(INDEX(DESPACHOS!$G$3:$G$3002,MATCH($C1483,DESPACHOS!$B$3:$B$3002,0)),""))</f>
        <v/>
      </c>
      <c r="I1483" s="39">
        <f>IF($C1483="","",IFERROR(INDEX(DESPACHOS!$H$3:$H$3002,MATCH($C1483,DESPACHOS!$B$3:$B$3002,0)),""))</f>
        <v/>
      </c>
      <c r="J1483" s="43">
        <f>IF($C1483="","",IFERROR(INDEX(DESPACHOS!$J$3:$J$3002,MATCH($C1483,DESPACHOS!$B$3:$B$3002,0)),""))</f>
        <v/>
      </c>
      <c r="K1483" s="39">
        <f>IF($C1483="","",IF(COUNTIFS(DESPACHOS!$B$3:$B$3002,$C1483)=0,"NO EXISTE",IF(COUNTIFS(DESPACHOS!$B$3:$B$3002,$C1483)&gt;1,"DUPLICADO","OK")))</f>
        <v/>
      </c>
      <c r="L1483" s="41" t="n"/>
      <c r="M1483" s="41" t="n"/>
      <c r="N1483" s="42">
        <f>IF($M1483="","",IFERROR(INDEX(LISTAS!$F$3:$F$42,MATCH($M1483,LISTAS!$E$3:$E$42,0)),"Por definir"))</f>
        <v/>
      </c>
      <c r="O1483" s="41" t="n"/>
      <c r="P1483" s="39">
        <f>IF($L1483="","",IFERROR(INDEX(LISTAS!$B$3:$B$42,MATCH($L1483,LISTAS!$A$3:$A$42,0)),"Media"))</f>
        <v/>
      </c>
      <c r="Q1483" s="44" t="n"/>
      <c r="R1483" s="45" t="n"/>
      <c r="S1483" s="20">
        <f>IFERROR(IF(OR($R1483="",$C1483=""),"",$R1483/INDEX(DESPACHOS!$M$3:$M$3002,MATCH($C1483,DESPACHOS!$B$3:$B$3002,0))),"")</f>
        <v/>
      </c>
      <c r="T1483" s="41" t="n"/>
      <c r="U1483" s="43">
        <f>IF(OR($B1483="",$L1483=""),"",WORKDAY($B1483,IFERROR(INDEX(LISTAS!$C$3:$C$42,MATCH($L1483,LISTAS!$A$3:$A$42,0)),3)))</f>
        <v/>
      </c>
      <c r="V1483" s="40" t="n"/>
      <c r="W1483" s="19">
        <f>IF($B1483="","",IF($V1483&lt;&gt;"",$V1483-$B1483,TODAY()-$B1483))</f>
        <v/>
      </c>
      <c r="X1483" s="19">
        <f>IF(OR($B1483="",$U1483=""),"",IF($V1483&lt;&gt;"",MAX(0,$V1483-$U1483),MAX(0,TODAY()-$U1483)))</f>
        <v/>
      </c>
      <c r="Y1483" s="39">
        <f>IF($C1483="","",IF(IFERROR(INDEX(LISTAS!$I$3:$I$42,MATCH($T1483,LISTAS!$H$3:$H$42,0)),"NO")="SÍ",IF(N($X1483)&gt;0,"CERRADA FUERA DE SLA","CERRADA EN SLA"),IF($U1483="","SIN CLASIFICAR",IF(N($X1483)&gt;0,"VENCIDA",IF(TODAY()&gt;=$U1483-1,"POR VENCER","EN PLAZO")))))</f>
        <v/>
      </c>
      <c r="Z1483" s="41" t="n"/>
      <c r="AA1483" s="41" t="n"/>
      <c r="AB1483" s="41" t="n"/>
    </row>
    <row r="1484">
      <c r="A1484" s="39">
        <f>IF($C1484="","","NOV-"&amp;TEXT(ROW()-3,"0000"))</f>
        <v/>
      </c>
      <c r="B1484" s="40" t="n"/>
      <c r="C1484" s="41" t="n"/>
      <c r="D1484" s="42">
        <f>IF($C1484="","",IFERROR(INDEX(DESPACHOS!$D$3:$D$3002,MATCH($C1484,DESPACHOS!$B$3:$B$3002,0)),"SIN DESPACHO"))</f>
        <v/>
      </c>
      <c r="E1484" s="42">
        <f>IF($C1484="","",IFERROR(INDEX(DESPACHOS!$K$3:$K$3002,MATCH($C1484,DESPACHOS!$B$3:$B$3002,0)),""))</f>
        <v/>
      </c>
      <c r="F1484" s="42">
        <f>IF($C1484="","",IFERROR(INDEX(DESPACHOS!$I$3:$I$3002,MATCH($C1484,DESPACHOS!$B$3:$B$3002,0)),""))</f>
        <v/>
      </c>
      <c r="G1484" s="42">
        <f>IF($C1484="","",IFERROR(INDEX(DESPACHOS!$F$3:$F$3002,MATCH($C1484,DESPACHOS!$B$3:$B$3002,0)),""))</f>
        <v/>
      </c>
      <c r="H1484" s="42">
        <f>IF($C1484="","",IFERROR(INDEX(DESPACHOS!$G$3:$G$3002,MATCH($C1484,DESPACHOS!$B$3:$B$3002,0)),""))</f>
        <v/>
      </c>
      <c r="I1484" s="39">
        <f>IF($C1484="","",IFERROR(INDEX(DESPACHOS!$H$3:$H$3002,MATCH($C1484,DESPACHOS!$B$3:$B$3002,0)),""))</f>
        <v/>
      </c>
      <c r="J1484" s="43">
        <f>IF($C1484="","",IFERROR(INDEX(DESPACHOS!$J$3:$J$3002,MATCH($C1484,DESPACHOS!$B$3:$B$3002,0)),""))</f>
        <v/>
      </c>
      <c r="K1484" s="39">
        <f>IF($C1484="","",IF(COUNTIFS(DESPACHOS!$B$3:$B$3002,$C1484)=0,"NO EXISTE",IF(COUNTIFS(DESPACHOS!$B$3:$B$3002,$C1484)&gt;1,"DUPLICADO","OK")))</f>
        <v/>
      </c>
      <c r="L1484" s="41" t="n"/>
      <c r="M1484" s="41" t="n"/>
      <c r="N1484" s="42">
        <f>IF($M1484="","",IFERROR(INDEX(LISTAS!$F$3:$F$42,MATCH($M1484,LISTAS!$E$3:$E$42,0)),"Por definir"))</f>
        <v/>
      </c>
      <c r="O1484" s="41" t="n"/>
      <c r="P1484" s="39">
        <f>IF($L1484="","",IFERROR(INDEX(LISTAS!$B$3:$B$42,MATCH($L1484,LISTAS!$A$3:$A$42,0)),"Media"))</f>
        <v/>
      </c>
      <c r="Q1484" s="44" t="n"/>
      <c r="R1484" s="45" t="n"/>
      <c r="S1484" s="20">
        <f>IFERROR(IF(OR($R1484="",$C1484=""),"",$R1484/INDEX(DESPACHOS!$M$3:$M$3002,MATCH($C1484,DESPACHOS!$B$3:$B$3002,0))),"")</f>
        <v/>
      </c>
      <c r="T1484" s="41" t="n"/>
      <c r="U1484" s="43">
        <f>IF(OR($B1484="",$L1484=""),"",WORKDAY($B1484,IFERROR(INDEX(LISTAS!$C$3:$C$42,MATCH($L1484,LISTAS!$A$3:$A$42,0)),3)))</f>
        <v/>
      </c>
      <c r="V1484" s="40" t="n"/>
      <c r="W1484" s="19">
        <f>IF($B1484="","",IF($V1484&lt;&gt;"",$V1484-$B1484,TODAY()-$B1484))</f>
        <v/>
      </c>
      <c r="X1484" s="19">
        <f>IF(OR($B1484="",$U1484=""),"",IF($V1484&lt;&gt;"",MAX(0,$V1484-$U1484),MAX(0,TODAY()-$U1484)))</f>
        <v/>
      </c>
      <c r="Y1484" s="39">
        <f>IF($C1484="","",IF(IFERROR(INDEX(LISTAS!$I$3:$I$42,MATCH($T1484,LISTAS!$H$3:$H$42,0)),"NO")="SÍ",IF(N($X1484)&gt;0,"CERRADA FUERA DE SLA","CERRADA EN SLA"),IF($U1484="","SIN CLASIFICAR",IF(N($X1484)&gt;0,"VENCIDA",IF(TODAY()&gt;=$U1484-1,"POR VENCER","EN PLAZO")))))</f>
        <v/>
      </c>
      <c r="Z1484" s="41" t="n"/>
      <c r="AA1484" s="41" t="n"/>
      <c r="AB1484" s="41" t="n"/>
    </row>
    <row r="1485">
      <c r="A1485" s="39">
        <f>IF($C1485="","","NOV-"&amp;TEXT(ROW()-3,"0000"))</f>
        <v/>
      </c>
      <c r="B1485" s="40" t="n"/>
      <c r="C1485" s="41" t="n"/>
      <c r="D1485" s="42">
        <f>IF($C1485="","",IFERROR(INDEX(DESPACHOS!$D$3:$D$3002,MATCH($C1485,DESPACHOS!$B$3:$B$3002,0)),"SIN DESPACHO"))</f>
        <v/>
      </c>
      <c r="E1485" s="42">
        <f>IF($C1485="","",IFERROR(INDEX(DESPACHOS!$K$3:$K$3002,MATCH($C1485,DESPACHOS!$B$3:$B$3002,0)),""))</f>
        <v/>
      </c>
      <c r="F1485" s="42">
        <f>IF($C1485="","",IFERROR(INDEX(DESPACHOS!$I$3:$I$3002,MATCH($C1485,DESPACHOS!$B$3:$B$3002,0)),""))</f>
        <v/>
      </c>
      <c r="G1485" s="42">
        <f>IF($C1485="","",IFERROR(INDEX(DESPACHOS!$F$3:$F$3002,MATCH($C1485,DESPACHOS!$B$3:$B$3002,0)),""))</f>
        <v/>
      </c>
      <c r="H1485" s="42">
        <f>IF($C1485="","",IFERROR(INDEX(DESPACHOS!$G$3:$G$3002,MATCH($C1485,DESPACHOS!$B$3:$B$3002,0)),""))</f>
        <v/>
      </c>
      <c r="I1485" s="39">
        <f>IF($C1485="","",IFERROR(INDEX(DESPACHOS!$H$3:$H$3002,MATCH($C1485,DESPACHOS!$B$3:$B$3002,0)),""))</f>
        <v/>
      </c>
      <c r="J1485" s="43">
        <f>IF($C1485="","",IFERROR(INDEX(DESPACHOS!$J$3:$J$3002,MATCH($C1485,DESPACHOS!$B$3:$B$3002,0)),""))</f>
        <v/>
      </c>
      <c r="K1485" s="39">
        <f>IF($C1485="","",IF(COUNTIFS(DESPACHOS!$B$3:$B$3002,$C1485)=0,"NO EXISTE",IF(COUNTIFS(DESPACHOS!$B$3:$B$3002,$C1485)&gt;1,"DUPLICADO","OK")))</f>
        <v/>
      </c>
      <c r="L1485" s="41" t="n"/>
      <c r="M1485" s="41" t="n"/>
      <c r="N1485" s="42">
        <f>IF($M1485="","",IFERROR(INDEX(LISTAS!$F$3:$F$42,MATCH($M1485,LISTAS!$E$3:$E$42,0)),"Por definir"))</f>
        <v/>
      </c>
      <c r="O1485" s="41" t="n"/>
      <c r="P1485" s="39">
        <f>IF($L1485="","",IFERROR(INDEX(LISTAS!$B$3:$B$42,MATCH($L1485,LISTAS!$A$3:$A$42,0)),"Media"))</f>
        <v/>
      </c>
      <c r="Q1485" s="44" t="n"/>
      <c r="R1485" s="45" t="n"/>
      <c r="S1485" s="20">
        <f>IFERROR(IF(OR($R1485="",$C1485=""),"",$R1485/INDEX(DESPACHOS!$M$3:$M$3002,MATCH($C1485,DESPACHOS!$B$3:$B$3002,0))),"")</f>
        <v/>
      </c>
      <c r="T1485" s="41" t="n"/>
      <c r="U1485" s="43">
        <f>IF(OR($B1485="",$L1485=""),"",WORKDAY($B1485,IFERROR(INDEX(LISTAS!$C$3:$C$42,MATCH($L1485,LISTAS!$A$3:$A$42,0)),3)))</f>
        <v/>
      </c>
      <c r="V1485" s="40" t="n"/>
      <c r="W1485" s="19">
        <f>IF($B1485="","",IF($V1485&lt;&gt;"",$V1485-$B1485,TODAY()-$B1485))</f>
        <v/>
      </c>
      <c r="X1485" s="19">
        <f>IF(OR($B1485="",$U1485=""),"",IF($V1485&lt;&gt;"",MAX(0,$V1485-$U1485),MAX(0,TODAY()-$U1485)))</f>
        <v/>
      </c>
      <c r="Y1485" s="39">
        <f>IF($C1485="","",IF(IFERROR(INDEX(LISTAS!$I$3:$I$42,MATCH($T1485,LISTAS!$H$3:$H$42,0)),"NO")="SÍ",IF(N($X1485)&gt;0,"CERRADA FUERA DE SLA","CERRADA EN SLA"),IF($U1485="","SIN CLASIFICAR",IF(N($X1485)&gt;0,"VENCIDA",IF(TODAY()&gt;=$U1485-1,"POR VENCER","EN PLAZO")))))</f>
        <v/>
      </c>
      <c r="Z1485" s="41" t="n"/>
      <c r="AA1485" s="41" t="n"/>
      <c r="AB1485" s="41" t="n"/>
    </row>
    <row r="1486">
      <c r="A1486" s="39">
        <f>IF($C1486="","","NOV-"&amp;TEXT(ROW()-3,"0000"))</f>
        <v/>
      </c>
      <c r="B1486" s="40" t="n"/>
      <c r="C1486" s="41" t="n"/>
      <c r="D1486" s="42">
        <f>IF($C1486="","",IFERROR(INDEX(DESPACHOS!$D$3:$D$3002,MATCH($C1486,DESPACHOS!$B$3:$B$3002,0)),"SIN DESPACHO"))</f>
        <v/>
      </c>
      <c r="E1486" s="42">
        <f>IF($C1486="","",IFERROR(INDEX(DESPACHOS!$K$3:$K$3002,MATCH($C1486,DESPACHOS!$B$3:$B$3002,0)),""))</f>
        <v/>
      </c>
      <c r="F1486" s="42">
        <f>IF($C1486="","",IFERROR(INDEX(DESPACHOS!$I$3:$I$3002,MATCH($C1486,DESPACHOS!$B$3:$B$3002,0)),""))</f>
        <v/>
      </c>
      <c r="G1486" s="42">
        <f>IF($C1486="","",IFERROR(INDEX(DESPACHOS!$F$3:$F$3002,MATCH($C1486,DESPACHOS!$B$3:$B$3002,0)),""))</f>
        <v/>
      </c>
      <c r="H1486" s="42">
        <f>IF($C1486="","",IFERROR(INDEX(DESPACHOS!$G$3:$G$3002,MATCH($C1486,DESPACHOS!$B$3:$B$3002,0)),""))</f>
        <v/>
      </c>
      <c r="I1486" s="39">
        <f>IF($C1486="","",IFERROR(INDEX(DESPACHOS!$H$3:$H$3002,MATCH($C1486,DESPACHOS!$B$3:$B$3002,0)),""))</f>
        <v/>
      </c>
      <c r="J1486" s="43">
        <f>IF($C1486="","",IFERROR(INDEX(DESPACHOS!$J$3:$J$3002,MATCH($C1486,DESPACHOS!$B$3:$B$3002,0)),""))</f>
        <v/>
      </c>
      <c r="K1486" s="39">
        <f>IF($C1486="","",IF(COUNTIFS(DESPACHOS!$B$3:$B$3002,$C1486)=0,"NO EXISTE",IF(COUNTIFS(DESPACHOS!$B$3:$B$3002,$C1486)&gt;1,"DUPLICADO","OK")))</f>
        <v/>
      </c>
      <c r="L1486" s="41" t="n"/>
      <c r="M1486" s="41" t="n"/>
      <c r="N1486" s="42">
        <f>IF($M1486="","",IFERROR(INDEX(LISTAS!$F$3:$F$42,MATCH($M1486,LISTAS!$E$3:$E$42,0)),"Por definir"))</f>
        <v/>
      </c>
      <c r="O1486" s="41" t="n"/>
      <c r="P1486" s="39">
        <f>IF($L1486="","",IFERROR(INDEX(LISTAS!$B$3:$B$42,MATCH($L1486,LISTAS!$A$3:$A$42,0)),"Media"))</f>
        <v/>
      </c>
      <c r="Q1486" s="44" t="n"/>
      <c r="R1486" s="45" t="n"/>
      <c r="S1486" s="20">
        <f>IFERROR(IF(OR($R1486="",$C1486=""),"",$R1486/INDEX(DESPACHOS!$M$3:$M$3002,MATCH($C1486,DESPACHOS!$B$3:$B$3002,0))),"")</f>
        <v/>
      </c>
      <c r="T1486" s="41" t="n"/>
      <c r="U1486" s="43">
        <f>IF(OR($B1486="",$L1486=""),"",WORKDAY($B1486,IFERROR(INDEX(LISTAS!$C$3:$C$42,MATCH($L1486,LISTAS!$A$3:$A$42,0)),3)))</f>
        <v/>
      </c>
      <c r="V1486" s="40" t="n"/>
      <c r="W1486" s="19">
        <f>IF($B1486="","",IF($V1486&lt;&gt;"",$V1486-$B1486,TODAY()-$B1486))</f>
        <v/>
      </c>
      <c r="X1486" s="19">
        <f>IF(OR($B1486="",$U1486=""),"",IF($V1486&lt;&gt;"",MAX(0,$V1486-$U1486),MAX(0,TODAY()-$U1486)))</f>
        <v/>
      </c>
      <c r="Y1486" s="39">
        <f>IF($C1486="","",IF(IFERROR(INDEX(LISTAS!$I$3:$I$42,MATCH($T1486,LISTAS!$H$3:$H$42,0)),"NO")="SÍ",IF(N($X1486)&gt;0,"CERRADA FUERA DE SLA","CERRADA EN SLA"),IF($U1486="","SIN CLASIFICAR",IF(N($X1486)&gt;0,"VENCIDA",IF(TODAY()&gt;=$U1486-1,"POR VENCER","EN PLAZO")))))</f>
        <v/>
      </c>
      <c r="Z1486" s="41" t="n"/>
      <c r="AA1486" s="41" t="n"/>
      <c r="AB1486" s="41" t="n"/>
    </row>
    <row r="1487">
      <c r="A1487" s="39">
        <f>IF($C1487="","","NOV-"&amp;TEXT(ROW()-3,"0000"))</f>
        <v/>
      </c>
      <c r="B1487" s="40" t="n"/>
      <c r="C1487" s="41" t="n"/>
      <c r="D1487" s="42">
        <f>IF($C1487="","",IFERROR(INDEX(DESPACHOS!$D$3:$D$3002,MATCH($C1487,DESPACHOS!$B$3:$B$3002,0)),"SIN DESPACHO"))</f>
        <v/>
      </c>
      <c r="E1487" s="42">
        <f>IF($C1487="","",IFERROR(INDEX(DESPACHOS!$K$3:$K$3002,MATCH($C1487,DESPACHOS!$B$3:$B$3002,0)),""))</f>
        <v/>
      </c>
      <c r="F1487" s="42">
        <f>IF($C1487="","",IFERROR(INDEX(DESPACHOS!$I$3:$I$3002,MATCH($C1487,DESPACHOS!$B$3:$B$3002,0)),""))</f>
        <v/>
      </c>
      <c r="G1487" s="42">
        <f>IF($C1487="","",IFERROR(INDEX(DESPACHOS!$F$3:$F$3002,MATCH($C1487,DESPACHOS!$B$3:$B$3002,0)),""))</f>
        <v/>
      </c>
      <c r="H1487" s="42">
        <f>IF($C1487="","",IFERROR(INDEX(DESPACHOS!$G$3:$G$3002,MATCH($C1487,DESPACHOS!$B$3:$B$3002,0)),""))</f>
        <v/>
      </c>
      <c r="I1487" s="39">
        <f>IF($C1487="","",IFERROR(INDEX(DESPACHOS!$H$3:$H$3002,MATCH($C1487,DESPACHOS!$B$3:$B$3002,0)),""))</f>
        <v/>
      </c>
      <c r="J1487" s="43">
        <f>IF($C1487="","",IFERROR(INDEX(DESPACHOS!$J$3:$J$3002,MATCH($C1487,DESPACHOS!$B$3:$B$3002,0)),""))</f>
        <v/>
      </c>
      <c r="K1487" s="39">
        <f>IF($C1487="","",IF(COUNTIFS(DESPACHOS!$B$3:$B$3002,$C1487)=0,"NO EXISTE",IF(COUNTIFS(DESPACHOS!$B$3:$B$3002,$C1487)&gt;1,"DUPLICADO","OK")))</f>
        <v/>
      </c>
      <c r="L1487" s="41" t="n"/>
      <c r="M1487" s="41" t="n"/>
      <c r="N1487" s="42">
        <f>IF($M1487="","",IFERROR(INDEX(LISTAS!$F$3:$F$42,MATCH($M1487,LISTAS!$E$3:$E$42,0)),"Por definir"))</f>
        <v/>
      </c>
      <c r="O1487" s="41" t="n"/>
      <c r="P1487" s="39">
        <f>IF($L1487="","",IFERROR(INDEX(LISTAS!$B$3:$B$42,MATCH($L1487,LISTAS!$A$3:$A$42,0)),"Media"))</f>
        <v/>
      </c>
      <c r="Q1487" s="44" t="n"/>
      <c r="R1487" s="45" t="n"/>
      <c r="S1487" s="20">
        <f>IFERROR(IF(OR($R1487="",$C1487=""),"",$R1487/INDEX(DESPACHOS!$M$3:$M$3002,MATCH($C1487,DESPACHOS!$B$3:$B$3002,0))),"")</f>
        <v/>
      </c>
      <c r="T1487" s="41" t="n"/>
      <c r="U1487" s="43">
        <f>IF(OR($B1487="",$L1487=""),"",WORKDAY($B1487,IFERROR(INDEX(LISTAS!$C$3:$C$42,MATCH($L1487,LISTAS!$A$3:$A$42,0)),3)))</f>
        <v/>
      </c>
      <c r="V1487" s="40" t="n"/>
      <c r="W1487" s="19">
        <f>IF($B1487="","",IF($V1487&lt;&gt;"",$V1487-$B1487,TODAY()-$B1487))</f>
        <v/>
      </c>
      <c r="X1487" s="19">
        <f>IF(OR($B1487="",$U1487=""),"",IF($V1487&lt;&gt;"",MAX(0,$V1487-$U1487),MAX(0,TODAY()-$U1487)))</f>
        <v/>
      </c>
      <c r="Y1487" s="39">
        <f>IF($C1487="","",IF(IFERROR(INDEX(LISTAS!$I$3:$I$42,MATCH($T1487,LISTAS!$H$3:$H$42,0)),"NO")="SÍ",IF(N($X1487)&gt;0,"CERRADA FUERA DE SLA","CERRADA EN SLA"),IF($U1487="","SIN CLASIFICAR",IF(N($X1487)&gt;0,"VENCIDA",IF(TODAY()&gt;=$U1487-1,"POR VENCER","EN PLAZO")))))</f>
        <v/>
      </c>
      <c r="Z1487" s="41" t="n"/>
      <c r="AA1487" s="41" t="n"/>
      <c r="AB1487" s="41" t="n"/>
    </row>
    <row r="1488">
      <c r="A1488" s="39">
        <f>IF($C1488="","","NOV-"&amp;TEXT(ROW()-3,"0000"))</f>
        <v/>
      </c>
      <c r="B1488" s="40" t="n"/>
      <c r="C1488" s="41" t="n"/>
      <c r="D1488" s="42">
        <f>IF($C1488="","",IFERROR(INDEX(DESPACHOS!$D$3:$D$3002,MATCH($C1488,DESPACHOS!$B$3:$B$3002,0)),"SIN DESPACHO"))</f>
        <v/>
      </c>
      <c r="E1488" s="42">
        <f>IF($C1488="","",IFERROR(INDEX(DESPACHOS!$K$3:$K$3002,MATCH($C1488,DESPACHOS!$B$3:$B$3002,0)),""))</f>
        <v/>
      </c>
      <c r="F1488" s="42">
        <f>IF($C1488="","",IFERROR(INDEX(DESPACHOS!$I$3:$I$3002,MATCH($C1488,DESPACHOS!$B$3:$B$3002,0)),""))</f>
        <v/>
      </c>
      <c r="G1488" s="42">
        <f>IF($C1488="","",IFERROR(INDEX(DESPACHOS!$F$3:$F$3002,MATCH($C1488,DESPACHOS!$B$3:$B$3002,0)),""))</f>
        <v/>
      </c>
      <c r="H1488" s="42">
        <f>IF($C1488="","",IFERROR(INDEX(DESPACHOS!$G$3:$G$3002,MATCH($C1488,DESPACHOS!$B$3:$B$3002,0)),""))</f>
        <v/>
      </c>
      <c r="I1488" s="39">
        <f>IF($C1488="","",IFERROR(INDEX(DESPACHOS!$H$3:$H$3002,MATCH($C1488,DESPACHOS!$B$3:$B$3002,0)),""))</f>
        <v/>
      </c>
      <c r="J1488" s="43">
        <f>IF($C1488="","",IFERROR(INDEX(DESPACHOS!$J$3:$J$3002,MATCH($C1488,DESPACHOS!$B$3:$B$3002,0)),""))</f>
        <v/>
      </c>
      <c r="K1488" s="39">
        <f>IF($C1488="","",IF(COUNTIFS(DESPACHOS!$B$3:$B$3002,$C1488)=0,"NO EXISTE",IF(COUNTIFS(DESPACHOS!$B$3:$B$3002,$C1488)&gt;1,"DUPLICADO","OK")))</f>
        <v/>
      </c>
      <c r="L1488" s="41" t="n"/>
      <c r="M1488" s="41" t="n"/>
      <c r="N1488" s="42">
        <f>IF($M1488="","",IFERROR(INDEX(LISTAS!$F$3:$F$42,MATCH($M1488,LISTAS!$E$3:$E$42,0)),"Por definir"))</f>
        <v/>
      </c>
      <c r="O1488" s="41" t="n"/>
      <c r="P1488" s="39">
        <f>IF($L1488="","",IFERROR(INDEX(LISTAS!$B$3:$B$42,MATCH($L1488,LISTAS!$A$3:$A$42,0)),"Media"))</f>
        <v/>
      </c>
      <c r="Q1488" s="44" t="n"/>
      <c r="R1488" s="45" t="n"/>
      <c r="S1488" s="20">
        <f>IFERROR(IF(OR($R1488="",$C1488=""),"",$R1488/INDEX(DESPACHOS!$M$3:$M$3002,MATCH($C1488,DESPACHOS!$B$3:$B$3002,0))),"")</f>
        <v/>
      </c>
      <c r="T1488" s="41" t="n"/>
      <c r="U1488" s="43">
        <f>IF(OR($B1488="",$L1488=""),"",WORKDAY($B1488,IFERROR(INDEX(LISTAS!$C$3:$C$42,MATCH($L1488,LISTAS!$A$3:$A$42,0)),3)))</f>
        <v/>
      </c>
      <c r="V1488" s="40" t="n"/>
      <c r="W1488" s="19">
        <f>IF($B1488="","",IF($V1488&lt;&gt;"",$V1488-$B1488,TODAY()-$B1488))</f>
        <v/>
      </c>
      <c r="X1488" s="19">
        <f>IF(OR($B1488="",$U1488=""),"",IF($V1488&lt;&gt;"",MAX(0,$V1488-$U1488),MAX(0,TODAY()-$U1488)))</f>
        <v/>
      </c>
      <c r="Y1488" s="39">
        <f>IF($C1488="","",IF(IFERROR(INDEX(LISTAS!$I$3:$I$42,MATCH($T1488,LISTAS!$H$3:$H$42,0)),"NO")="SÍ",IF(N($X1488)&gt;0,"CERRADA FUERA DE SLA","CERRADA EN SLA"),IF($U1488="","SIN CLASIFICAR",IF(N($X1488)&gt;0,"VENCIDA",IF(TODAY()&gt;=$U1488-1,"POR VENCER","EN PLAZO")))))</f>
        <v/>
      </c>
      <c r="Z1488" s="41" t="n"/>
      <c r="AA1488" s="41" t="n"/>
      <c r="AB1488" s="41" t="n"/>
    </row>
    <row r="1489">
      <c r="A1489" s="39">
        <f>IF($C1489="","","NOV-"&amp;TEXT(ROW()-3,"0000"))</f>
        <v/>
      </c>
      <c r="B1489" s="40" t="n"/>
      <c r="C1489" s="41" t="n"/>
      <c r="D1489" s="42">
        <f>IF($C1489="","",IFERROR(INDEX(DESPACHOS!$D$3:$D$3002,MATCH($C1489,DESPACHOS!$B$3:$B$3002,0)),"SIN DESPACHO"))</f>
        <v/>
      </c>
      <c r="E1489" s="42">
        <f>IF($C1489="","",IFERROR(INDEX(DESPACHOS!$K$3:$K$3002,MATCH($C1489,DESPACHOS!$B$3:$B$3002,0)),""))</f>
        <v/>
      </c>
      <c r="F1489" s="42">
        <f>IF($C1489="","",IFERROR(INDEX(DESPACHOS!$I$3:$I$3002,MATCH($C1489,DESPACHOS!$B$3:$B$3002,0)),""))</f>
        <v/>
      </c>
      <c r="G1489" s="42">
        <f>IF($C1489="","",IFERROR(INDEX(DESPACHOS!$F$3:$F$3002,MATCH($C1489,DESPACHOS!$B$3:$B$3002,0)),""))</f>
        <v/>
      </c>
      <c r="H1489" s="42">
        <f>IF($C1489="","",IFERROR(INDEX(DESPACHOS!$G$3:$G$3002,MATCH($C1489,DESPACHOS!$B$3:$B$3002,0)),""))</f>
        <v/>
      </c>
      <c r="I1489" s="39">
        <f>IF($C1489="","",IFERROR(INDEX(DESPACHOS!$H$3:$H$3002,MATCH($C1489,DESPACHOS!$B$3:$B$3002,0)),""))</f>
        <v/>
      </c>
      <c r="J1489" s="43">
        <f>IF($C1489="","",IFERROR(INDEX(DESPACHOS!$J$3:$J$3002,MATCH($C1489,DESPACHOS!$B$3:$B$3002,0)),""))</f>
        <v/>
      </c>
      <c r="K1489" s="39">
        <f>IF($C1489="","",IF(COUNTIFS(DESPACHOS!$B$3:$B$3002,$C1489)=0,"NO EXISTE",IF(COUNTIFS(DESPACHOS!$B$3:$B$3002,$C1489)&gt;1,"DUPLICADO","OK")))</f>
        <v/>
      </c>
      <c r="L1489" s="41" t="n"/>
      <c r="M1489" s="41" t="n"/>
      <c r="N1489" s="42">
        <f>IF($M1489="","",IFERROR(INDEX(LISTAS!$F$3:$F$42,MATCH($M1489,LISTAS!$E$3:$E$42,0)),"Por definir"))</f>
        <v/>
      </c>
      <c r="O1489" s="41" t="n"/>
      <c r="P1489" s="39">
        <f>IF($L1489="","",IFERROR(INDEX(LISTAS!$B$3:$B$42,MATCH($L1489,LISTAS!$A$3:$A$42,0)),"Media"))</f>
        <v/>
      </c>
      <c r="Q1489" s="44" t="n"/>
      <c r="R1489" s="45" t="n"/>
      <c r="S1489" s="20">
        <f>IFERROR(IF(OR($R1489="",$C1489=""),"",$R1489/INDEX(DESPACHOS!$M$3:$M$3002,MATCH($C1489,DESPACHOS!$B$3:$B$3002,0))),"")</f>
        <v/>
      </c>
      <c r="T1489" s="41" t="n"/>
      <c r="U1489" s="43">
        <f>IF(OR($B1489="",$L1489=""),"",WORKDAY($B1489,IFERROR(INDEX(LISTAS!$C$3:$C$42,MATCH($L1489,LISTAS!$A$3:$A$42,0)),3)))</f>
        <v/>
      </c>
      <c r="V1489" s="40" t="n"/>
      <c r="W1489" s="19">
        <f>IF($B1489="","",IF($V1489&lt;&gt;"",$V1489-$B1489,TODAY()-$B1489))</f>
        <v/>
      </c>
      <c r="X1489" s="19">
        <f>IF(OR($B1489="",$U1489=""),"",IF($V1489&lt;&gt;"",MAX(0,$V1489-$U1489),MAX(0,TODAY()-$U1489)))</f>
        <v/>
      </c>
      <c r="Y1489" s="39">
        <f>IF($C1489="","",IF(IFERROR(INDEX(LISTAS!$I$3:$I$42,MATCH($T1489,LISTAS!$H$3:$H$42,0)),"NO")="SÍ",IF(N($X1489)&gt;0,"CERRADA FUERA DE SLA","CERRADA EN SLA"),IF($U1489="","SIN CLASIFICAR",IF(N($X1489)&gt;0,"VENCIDA",IF(TODAY()&gt;=$U1489-1,"POR VENCER","EN PLAZO")))))</f>
        <v/>
      </c>
      <c r="Z1489" s="41" t="n"/>
      <c r="AA1489" s="41" t="n"/>
      <c r="AB1489" s="41" t="n"/>
    </row>
    <row r="1490">
      <c r="A1490" s="39">
        <f>IF($C1490="","","NOV-"&amp;TEXT(ROW()-3,"0000"))</f>
        <v/>
      </c>
      <c r="B1490" s="40" t="n"/>
      <c r="C1490" s="41" t="n"/>
      <c r="D1490" s="42">
        <f>IF($C1490="","",IFERROR(INDEX(DESPACHOS!$D$3:$D$3002,MATCH($C1490,DESPACHOS!$B$3:$B$3002,0)),"SIN DESPACHO"))</f>
        <v/>
      </c>
      <c r="E1490" s="42">
        <f>IF($C1490="","",IFERROR(INDEX(DESPACHOS!$K$3:$K$3002,MATCH($C1490,DESPACHOS!$B$3:$B$3002,0)),""))</f>
        <v/>
      </c>
      <c r="F1490" s="42">
        <f>IF($C1490="","",IFERROR(INDEX(DESPACHOS!$I$3:$I$3002,MATCH($C1490,DESPACHOS!$B$3:$B$3002,0)),""))</f>
        <v/>
      </c>
      <c r="G1490" s="42">
        <f>IF($C1490="","",IFERROR(INDEX(DESPACHOS!$F$3:$F$3002,MATCH($C1490,DESPACHOS!$B$3:$B$3002,0)),""))</f>
        <v/>
      </c>
      <c r="H1490" s="42">
        <f>IF($C1490="","",IFERROR(INDEX(DESPACHOS!$G$3:$G$3002,MATCH($C1490,DESPACHOS!$B$3:$B$3002,0)),""))</f>
        <v/>
      </c>
      <c r="I1490" s="39">
        <f>IF($C1490="","",IFERROR(INDEX(DESPACHOS!$H$3:$H$3002,MATCH($C1490,DESPACHOS!$B$3:$B$3002,0)),""))</f>
        <v/>
      </c>
      <c r="J1490" s="43">
        <f>IF($C1490="","",IFERROR(INDEX(DESPACHOS!$J$3:$J$3002,MATCH($C1490,DESPACHOS!$B$3:$B$3002,0)),""))</f>
        <v/>
      </c>
      <c r="K1490" s="39">
        <f>IF($C1490="","",IF(COUNTIFS(DESPACHOS!$B$3:$B$3002,$C1490)=0,"NO EXISTE",IF(COUNTIFS(DESPACHOS!$B$3:$B$3002,$C1490)&gt;1,"DUPLICADO","OK")))</f>
        <v/>
      </c>
      <c r="L1490" s="41" t="n"/>
      <c r="M1490" s="41" t="n"/>
      <c r="N1490" s="42">
        <f>IF($M1490="","",IFERROR(INDEX(LISTAS!$F$3:$F$42,MATCH($M1490,LISTAS!$E$3:$E$42,0)),"Por definir"))</f>
        <v/>
      </c>
      <c r="O1490" s="41" t="n"/>
      <c r="P1490" s="39">
        <f>IF($L1490="","",IFERROR(INDEX(LISTAS!$B$3:$B$42,MATCH($L1490,LISTAS!$A$3:$A$42,0)),"Media"))</f>
        <v/>
      </c>
      <c r="Q1490" s="44" t="n"/>
      <c r="R1490" s="45" t="n"/>
      <c r="S1490" s="20">
        <f>IFERROR(IF(OR($R1490="",$C1490=""),"",$R1490/INDEX(DESPACHOS!$M$3:$M$3002,MATCH($C1490,DESPACHOS!$B$3:$B$3002,0))),"")</f>
        <v/>
      </c>
      <c r="T1490" s="41" t="n"/>
      <c r="U1490" s="43">
        <f>IF(OR($B1490="",$L1490=""),"",WORKDAY($B1490,IFERROR(INDEX(LISTAS!$C$3:$C$42,MATCH($L1490,LISTAS!$A$3:$A$42,0)),3)))</f>
        <v/>
      </c>
      <c r="V1490" s="40" t="n"/>
      <c r="W1490" s="19">
        <f>IF($B1490="","",IF($V1490&lt;&gt;"",$V1490-$B1490,TODAY()-$B1490))</f>
        <v/>
      </c>
      <c r="X1490" s="19">
        <f>IF(OR($B1490="",$U1490=""),"",IF($V1490&lt;&gt;"",MAX(0,$V1490-$U1490),MAX(0,TODAY()-$U1490)))</f>
        <v/>
      </c>
      <c r="Y1490" s="39">
        <f>IF($C1490="","",IF(IFERROR(INDEX(LISTAS!$I$3:$I$42,MATCH($T1490,LISTAS!$H$3:$H$42,0)),"NO")="SÍ",IF(N($X1490)&gt;0,"CERRADA FUERA DE SLA","CERRADA EN SLA"),IF($U1490="","SIN CLASIFICAR",IF(N($X1490)&gt;0,"VENCIDA",IF(TODAY()&gt;=$U1490-1,"POR VENCER","EN PLAZO")))))</f>
        <v/>
      </c>
      <c r="Z1490" s="41" t="n"/>
      <c r="AA1490" s="41" t="n"/>
      <c r="AB1490" s="41" t="n"/>
    </row>
    <row r="1491">
      <c r="A1491" s="39">
        <f>IF($C1491="","","NOV-"&amp;TEXT(ROW()-3,"0000"))</f>
        <v/>
      </c>
      <c r="B1491" s="40" t="n"/>
      <c r="C1491" s="41" t="n"/>
      <c r="D1491" s="42">
        <f>IF($C1491="","",IFERROR(INDEX(DESPACHOS!$D$3:$D$3002,MATCH($C1491,DESPACHOS!$B$3:$B$3002,0)),"SIN DESPACHO"))</f>
        <v/>
      </c>
      <c r="E1491" s="42">
        <f>IF($C1491="","",IFERROR(INDEX(DESPACHOS!$K$3:$K$3002,MATCH($C1491,DESPACHOS!$B$3:$B$3002,0)),""))</f>
        <v/>
      </c>
      <c r="F1491" s="42">
        <f>IF($C1491="","",IFERROR(INDEX(DESPACHOS!$I$3:$I$3002,MATCH($C1491,DESPACHOS!$B$3:$B$3002,0)),""))</f>
        <v/>
      </c>
      <c r="G1491" s="42">
        <f>IF($C1491="","",IFERROR(INDEX(DESPACHOS!$F$3:$F$3002,MATCH($C1491,DESPACHOS!$B$3:$B$3002,0)),""))</f>
        <v/>
      </c>
      <c r="H1491" s="42">
        <f>IF($C1491="","",IFERROR(INDEX(DESPACHOS!$G$3:$G$3002,MATCH($C1491,DESPACHOS!$B$3:$B$3002,0)),""))</f>
        <v/>
      </c>
      <c r="I1491" s="39">
        <f>IF($C1491="","",IFERROR(INDEX(DESPACHOS!$H$3:$H$3002,MATCH($C1491,DESPACHOS!$B$3:$B$3002,0)),""))</f>
        <v/>
      </c>
      <c r="J1491" s="43">
        <f>IF($C1491="","",IFERROR(INDEX(DESPACHOS!$J$3:$J$3002,MATCH($C1491,DESPACHOS!$B$3:$B$3002,0)),""))</f>
        <v/>
      </c>
      <c r="K1491" s="39">
        <f>IF($C1491="","",IF(COUNTIFS(DESPACHOS!$B$3:$B$3002,$C1491)=0,"NO EXISTE",IF(COUNTIFS(DESPACHOS!$B$3:$B$3002,$C1491)&gt;1,"DUPLICADO","OK")))</f>
        <v/>
      </c>
      <c r="L1491" s="41" t="n"/>
      <c r="M1491" s="41" t="n"/>
      <c r="N1491" s="42">
        <f>IF($M1491="","",IFERROR(INDEX(LISTAS!$F$3:$F$42,MATCH($M1491,LISTAS!$E$3:$E$42,0)),"Por definir"))</f>
        <v/>
      </c>
      <c r="O1491" s="41" t="n"/>
      <c r="P1491" s="39">
        <f>IF($L1491="","",IFERROR(INDEX(LISTAS!$B$3:$B$42,MATCH($L1491,LISTAS!$A$3:$A$42,0)),"Media"))</f>
        <v/>
      </c>
      <c r="Q1491" s="44" t="n"/>
      <c r="R1491" s="45" t="n"/>
      <c r="S1491" s="20">
        <f>IFERROR(IF(OR($R1491="",$C1491=""),"",$R1491/INDEX(DESPACHOS!$M$3:$M$3002,MATCH($C1491,DESPACHOS!$B$3:$B$3002,0))),"")</f>
        <v/>
      </c>
      <c r="T1491" s="41" t="n"/>
      <c r="U1491" s="43">
        <f>IF(OR($B1491="",$L1491=""),"",WORKDAY($B1491,IFERROR(INDEX(LISTAS!$C$3:$C$42,MATCH($L1491,LISTAS!$A$3:$A$42,0)),3)))</f>
        <v/>
      </c>
      <c r="V1491" s="40" t="n"/>
      <c r="W1491" s="19">
        <f>IF($B1491="","",IF($V1491&lt;&gt;"",$V1491-$B1491,TODAY()-$B1491))</f>
        <v/>
      </c>
      <c r="X1491" s="19">
        <f>IF(OR($B1491="",$U1491=""),"",IF($V1491&lt;&gt;"",MAX(0,$V1491-$U1491),MAX(0,TODAY()-$U1491)))</f>
        <v/>
      </c>
      <c r="Y1491" s="39">
        <f>IF($C1491="","",IF(IFERROR(INDEX(LISTAS!$I$3:$I$42,MATCH($T1491,LISTAS!$H$3:$H$42,0)),"NO")="SÍ",IF(N($X1491)&gt;0,"CERRADA FUERA DE SLA","CERRADA EN SLA"),IF($U1491="","SIN CLASIFICAR",IF(N($X1491)&gt;0,"VENCIDA",IF(TODAY()&gt;=$U1491-1,"POR VENCER","EN PLAZO")))))</f>
        <v/>
      </c>
      <c r="Z1491" s="41" t="n"/>
      <c r="AA1491" s="41" t="n"/>
      <c r="AB1491" s="41" t="n"/>
    </row>
    <row r="1492">
      <c r="A1492" s="39">
        <f>IF($C1492="","","NOV-"&amp;TEXT(ROW()-3,"0000"))</f>
        <v/>
      </c>
      <c r="B1492" s="40" t="n"/>
      <c r="C1492" s="41" t="n"/>
      <c r="D1492" s="42">
        <f>IF($C1492="","",IFERROR(INDEX(DESPACHOS!$D$3:$D$3002,MATCH($C1492,DESPACHOS!$B$3:$B$3002,0)),"SIN DESPACHO"))</f>
        <v/>
      </c>
      <c r="E1492" s="42">
        <f>IF($C1492="","",IFERROR(INDEX(DESPACHOS!$K$3:$K$3002,MATCH($C1492,DESPACHOS!$B$3:$B$3002,0)),""))</f>
        <v/>
      </c>
      <c r="F1492" s="42">
        <f>IF($C1492="","",IFERROR(INDEX(DESPACHOS!$I$3:$I$3002,MATCH($C1492,DESPACHOS!$B$3:$B$3002,0)),""))</f>
        <v/>
      </c>
      <c r="G1492" s="42">
        <f>IF($C1492="","",IFERROR(INDEX(DESPACHOS!$F$3:$F$3002,MATCH($C1492,DESPACHOS!$B$3:$B$3002,0)),""))</f>
        <v/>
      </c>
      <c r="H1492" s="42">
        <f>IF($C1492="","",IFERROR(INDEX(DESPACHOS!$G$3:$G$3002,MATCH($C1492,DESPACHOS!$B$3:$B$3002,0)),""))</f>
        <v/>
      </c>
      <c r="I1492" s="39">
        <f>IF($C1492="","",IFERROR(INDEX(DESPACHOS!$H$3:$H$3002,MATCH($C1492,DESPACHOS!$B$3:$B$3002,0)),""))</f>
        <v/>
      </c>
      <c r="J1492" s="43">
        <f>IF($C1492="","",IFERROR(INDEX(DESPACHOS!$J$3:$J$3002,MATCH($C1492,DESPACHOS!$B$3:$B$3002,0)),""))</f>
        <v/>
      </c>
      <c r="K1492" s="39">
        <f>IF($C1492="","",IF(COUNTIFS(DESPACHOS!$B$3:$B$3002,$C1492)=0,"NO EXISTE",IF(COUNTIFS(DESPACHOS!$B$3:$B$3002,$C1492)&gt;1,"DUPLICADO","OK")))</f>
        <v/>
      </c>
      <c r="L1492" s="41" t="n"/>
      <c r="M1492" s="41" t="n"/>
      <c r="N1492" s="42">
        <f>IF($M1492="","",IFERROR(INDEX(LISTAS!$F$3:$F$42,MATCH($M1492,LISTAS!$E$3:$E$42,0)),"Por definir"))</f>
        <v/>
      </c>
      <c r="O1492" s="41" t="n"/>
      <c r="P1492" s="39">
        <f>IF($L1492="","",IFERROR(INDEX(LISTAS!$B$3:$B$42,MATCH($L1492,LISTAS!$A$3:$A$42,0)),"Media"))</f>
        <v/>
      </c>
      <c r="Q1492" s="44" t="n"/>
      <c r="R1492" s="45" t="n"/>
      <c r="S1492" s="20">
        <f>IFERROR(IF(OR($R1492="",$C1492=""),"",$R1492/INDEX(DESPACHOS!$M$3:$M$3002,MATCH($C1492,DESPACHOS!$B$3:$B$3002,0))),"")</f>
        <v/>
      </c>
      <c r="T1492" s="41" t="n"/>
      <c r="U1492" s="43">
        <f>IF(OR($B1492="",$L1492=""),"",WORKDAY($B1492,IFERROR(INDEX(LISTAS!$C$3:$C$42,MATCH($L1492,LISTAS!$A$3:$A$42,0)),3)))</f>
        <v/>
      </c>
      <c r="V1492" s="40" t="n"/>
      <c r="W1492" s="19">
        <f>IF($B1492="","",IF($V1492&lt;&gt;"",$V1492-$B1492,TODAY()-$B1492))</f>
        <v/>
      </c>
      <c r="X1492" s="19">
        <f>IF(OR($B1492="",$U1492=""),"",IF($V1492&lt;&gt;"",MAX(0,$V1492-$U1492),MAX(0,TODAY()-$U1492)))</f>
        <v/>
      </c>
      <c r="Y1492" s="39">
        <f>IF($C1492="","",IF(IFERROR(INDEX(LISTAS!$I$3:$I$42,MATCH($T1492,LISTAS!$H$3:$H$42,0)),"NO")="SÍ",IF(N($X1492)&gt;0,"CERRADA FUERA DE SLA","CERRADA EN SLA"),IF($U1492="","SIN CLASIFICAR",IF(N($X1492)&gt;0,"VENCIDA",IF(TODAY()&gt;=$U1492-1,"POR VENCER","EN PLAZO")))))</f>
        <v/>
      </c>
      <c r="Z1492" s="41" t="n"/>
      <c r="AA1492" s="41" t="n"/>
      <c r="AB1492" s="41" t="n"/>
    </row>
    <row r="1493">
      <c r="A1493" s="39">
        <f>IF($C1493="","","NOV-"&amp;TEXT(ROW()-3,"0000"))</f>
        <v/>
      </c>
      <c r="B1493" s="40" t="n"/>
      <c r="C1493" s="41" t="n"/>
      <c r="D1493" s="42">
        <f>IF($C1493="","",IFERROR(INDEX(DESPACHOS!$D$3:$D$3002,MATCH($C1493,DESPACHOS!$B$3:$B$3002,0)),"SIN DESPACHO"))</f>
        <v/>
      </c>
      <c r="E1493" s="42">
        <f>IF($C1493="","",IFERROR(INDEX(DESPACHOS!$K$3:$K$3002,MATCH($C1493,DESPACHOS!$B$3:$B$3002,0)),""))</f>
        <v/>
      </c>
      <c r="F1493" s="42">
        <f>IF($C1493="","",IFERROR(INDEX(DESPACHOS!$I$3:$I$3002,MATCH($C1493,DESPACHOS!$B$3:$B$3002,0)),""))</f>
        <v/>
      </c>
      <c r="G1493" s="42">
        <f>IF($C1493="","",IFERROR(INDEX(DESPACHOS!$F$3:$F$3002,MATCH($C1493,DESPACHOS!$B$3:$B$3002,0)),""))</f>
        <v/>
      </c>
      <c r="H1493" s="42">
        <f>IF($C1493="","",IFERROR(INDEX(DESPACHOS!$G$3:$G$3002,MATCH($C1493,DESPACHOS!$B$3:$B$3002,0)),""))</f>
        <v/>
      </c>
      <c r="I1493" s="39">
        <f>IF($C1493="","",IFERROR(INDEX(DESPACHOS!$H$3:$H$3002,MATCH($C1493,DESPACHOS!$B$3:$B$3002,0)),""))</f>
        <v/>
      </c>
      <c r="J1493" s="43">
        <f>IF($C1493="","",IFERROR(INDEX(DESPACHOS!$J$3:$J$3002,MATCH($C1493,DESPACHOS!$B$3:$B$3002,0)),""))</f>
        <v/>
      </c>
      <c r="K1493" s="39">
        <f>IF($C1493="","",IF(COUNTIFS(DESPACHOS!$B$3:$B$3002,$C1493)=0,"NO EXISTE",IF(COUNTIFS(DESPACHOS!$B$3:$B$3002,$C1493)&gt;1,"DUPLICADO","OK")))</f>
        <v/>
      </c>
      <c r="L1493" s="41" t="n"/>
      <c r="M1493" s="41" t="n"/>
      <c r="N1493" s="42">
        <f>IF($M1493="","",IFERROR(INDEX(LISTAS!$F$3:$F$42,MATCH($M1493,LISTAS!$E$3:$E$42,0)),"Por definir"))</f>
        <v/>
      </c>
      <c r="O1493" s="41" t="n"/>
      <c r="P1493" s="39">
        <f>IF($L1493="","",IFERROR(INDEX(LISTAS!$B$3:$B$42,MATCH($L1493,LISTAS!$A$3:$A$42,0)),"Media"))</f>
        <v/>
      </c>
      <c r="Q1493" s="44" t="n"/>
      <c r="R1493" s="45" t="n"/>
      <c r="S1493" s="20">
        <f>IFERROR(IF(OR($R1493="",$C1493=""),"",$R1493/INDEX(DESPACHOS!$M$3:$M$3002,MATCH($C1493,DESPACHOS!$B$3:$B$3002,0))),"")</f>
        <v/>
      </c>
      <c r="T1493" s="41" t="n"/>
      <c r="U1493" s="43">
        <f>IF(OR($B1493="",$L1493=""),"",WORKDAY($B1493,IFERROR(INDEX(LISTAS!$C$3:$C$42,MATCH($L1493,LISTAS!$A$3:$A$42,0)),3)))</f>
        <v/>
      </c>
      <c r="V1493" s="40" t="n"/>
      <c r="W1493" s="19">
        <f>IF($B1493="","",IF($V1493&lt;&gt;"",$V1493-$B1493,TODAY()-$B1493))</f>
        <v/>
      </c>
      <c r="X1493" s="19">
        <f>IF(OR($B1493="",$U1493=""),"",IF($V1493&lt;&gt;"",MAX(0,$V1493-$U1493),MAX(0,TODAY()-$U1493)))</f>
        <v/>
      </c>
      <c r="Y1493" s="39">
        <f>IF($C1493="","",IF(IFERROR(INDEX(LISTAS!$I$3:$I$42,MATCH($T1493,LISTAS!$H$3:$H$42,0)),"NO")="SÍ",IF(N($X1493)&gt;0,"CERRADA FUERA DE SLA","CERRADA EN SLA"),IF($U1493="","SIN CLASIFICAR",IF(N($X1493)&gt;0,"VENCIDA",IF(TODAY()&gt;=$U1493-1,"POR VENCER","EN PLAZO")))))</f>
        <v/>
      </c>
      <c r="Z1493" s="41" t="n"/>
      <c r="AA1493" s="41" t="n"/>
      <c r="AB1493" s="41" t="n"/>
    </row>
    <row r="1494">
      <c r="A1494" s="39">
        <f>IF($C1494="","","NOV-"&amp;TEXT(ROW()-3,"0000"))</f>
        <v/>
      </c>
      <c r="B1494" s="40" t="n"/>
      <c r="C1494" s="41" t="n"/>
      <c r="D1494" s="42">
        <f>IF($C1494="","",IFERROR(INDEX(DESPACHOS!$D$3:$D$3002,MATCH($C1494,DESPACHOS!$B$3:$B$3002,0)),"SIN DESPACHO"))</f>
        <v/>
      </c>
      <c r="E1494" s="42">
        <f>IF($C1494="","",IFERROR(INDEX(DESPACHOS!$K$3:$K$3002,MATCH($C1494,DESPACHOS!$B$3:$B$3002,0)),""))</f>
        <v/>
      </c>
      <c r="F1494" s="42">
        <f>IF($C1494="","",IFERROR(INDEX(DESPACHOS!$I$3:$I$3002,MATCH($C1494,DESPACHOS!$B$3:$B$3002,0)),""))</f>
        <v/>
      </c>
      <c r="G1494" s="42">
        <f>IF($C1494="","",IFERROR(INDEX(DESPACHOS!$F$3:$F$3002,MATCH($C1494,DESPACHOS!$B$3:$B$3002,0)),""))</f>
        <v/>
      </c>
      <c r="H1494" s="42">
        <f>IF($C1494="","",IFERROR(INDEX(DESPACHOS!$G$3:$G$3002,MATCH($C1494,DESPACHOS!$B$3:$B$3002,0)),""))</f>
        <v/>
      </c>
      <c r="I1494" s="39">
        <f>IF($C1494="","",IFERROR(INDEX(DESPACHOS!$H$3:$H$3002,MATCH($C1494,DESPACHOS!$B$3:$B$3002,0)),""))</f>
        <v/>
      </c>
      <c r="J1494" s="43">
        <f>IF($C1494="","",IFERROR(INDEX(DESPACHOS!$J$3:$J$3002,MATCH($C1494,DESPACHOS!$B$3:$B$3002,0)),""))</f>
        <v/>
      </c>
      <c r="K1494" s="39">
        <f>IF($C1494="","",IF(COUNTIFS(DESPACHOS!$B$3:$B$3002,$C1494)=0,"NO EXISTE",IF(COUNTIFS(DESPACHOS!$B$3:$B$3002,$C1494)&gt;1,"DUPLICADO","OK")))</f>
        <v/>
      </c>
      <c r="L1494" s="41" t="n"/>
      <c r="M1494" s="41" t="n"/>
      <c r="N1494" s="42">
        <f>IF($M1494="","",IFERROR(INDEX(LISTAS!$F$3:$F$42,MATCH($M1494,LISTAS!$E$3:$E$42,0)),"Por definir"))</f>
        <v/>
      </c>
      <c r="O1494" s="41" t="n"/>
      <c r="P1494" s="39">
        <f>IF($L1494="","",IFERROR(INDEX(LISTAS!$B$3:$B$42,MATCH($L1494,LISTAS!$A$3:$A$42,0)),"Media"))</f>
        <v/>
      </c>
      <c r="Q1494" s="44" t="n"/>
      <c r="R1494" s="45" t="n"/>
      <c r="S1494" s="20">
        <f>IFERROR(IF(OR($R1494="",$C1494=""),"",$R1494/INDEX(DESPACHOS!$M$3:$M$3002,MATCH($C1494,DESPACHOS!$B$3:$B$3002,0))),"")</f>
        <v/>
      </c>
      <c r="T1494" s="41" t="n"/>
      <c r="U1494" s="43">
        <f>IF(OR($B1494="",$L1494=""),"",WORKDAY($B1494,IFERROR(INDEX(LISTAS!$C$3:$C$42,MATCH($L1494,LISTAS!$A$3:$A$42,0)),3)))</f>
        <v/>
      </c>
      <c r="V1494" s="40" t="n"/>
      <c r="W1494" s="19">
        <f>IF($B1494="","",IF($V1494&lt;&gt;"",$V1494-$B1494,TODAY()-$B1494))</f>
        <v/>
      </c>
      <c r="X1494" s="19">
        <f>IF(OR($B1494="",$U1494=""),"",IF($V1494&lt;&gt;"",MAX(0,$V1494-$U1494),MAX(0,TODAY()-$U1494)))</f>
        <v/>
      </c>
      <c r="Y1494" s="39">
        <f>IF($C1494="","",IF(IFERROR(INDEX(LISTAS!$I$3:$I$42,MATCH($T1494,LISTAS!$H$3:$H$42,0)),"NO")="SÍ",IF(N($X1494)&gt;0,"CERRADA FUERA DE SLA","CERRADA EN SLA"),IF($U1494="","SIN CLASIFICAR",IF(N($X1494)&gt;0,"VENCIDA",IF(TODAY()&gt;=$U1494-1,"POR VENCER","EN PLAZO")))))</f>
        <v/>
      </c>
      <c r="Z1494" s="41" t="n"/>
      <c r="AA1494" s="41" t="n"/>
      <c r="AB1494" s="41" t="n"/>
    </row>
    <row r="1495">
      <c r="A1495" s="39">
        <f>IF($C1495="","","NOV-"&amp;TEXT(ROW()-3,"0000"))</f>
        <v/>
      </c>
      <c r="B1495" s="40" t="n"/>
      <c r="C1495" s="41" t="n"/>
      <c r="D1495" s="42">
        <f>IF($C1495="","",IFERROR(INDEX(DESPACHOS!$D$3:$D$3002,MATCH($C1495,DESPACHOS!$B$3:$B$3002,0)),"SIN DESPACHO"))</f>
        <v/>
      </c>
      <c r="E1495" s="42">
        <f>IF($C1495="","",IFERROR(INDEX(DESPACHOS!$K$3:$K$3002,MATCH($C1495,DESPACHOS!$B$3:$B$3002,0)),""))</f>
        <v/>
      </c>
      <c r="F1495" s="42">
        <f>IF($C1495="","",IFERROR(INDEX(DESPACHOS!$I$3:$I$3002,MATCH($C1495,DESPACHOS!$B$3:$B$3002,0)),""))</f>
        <v/>
      </c>
      <c r="G1495" s="42">
        <f>IF($C1495="","",IFERROR(INDEX(DESPACHOS!$F$3:$F$3002,MATCH($C1495,DESPACHOS!$B$3:$B$3002,0)),""))</f>
        <v/>
      </c>
      <c r="H1495" s="42">
        <f>IF($C1495="","",IFERROR(INDEX(DESPACHOS!$G$3:$G$3002,MATCH($C1495,DESPACHOS!$B$3:$B$3002,0)),""))</f>
        <v/>
      </c>
      <c r="I1495" s="39">
        <f>IF($C1495="","",IFERROR(INDEX(DESPACHOS!$H$3:$H$3002,MATCH($C1495,DESPACHOS!$B$3:$B$3002,0)),""))</f>
        <v/>
      </c>
      <c r="J1495" s="43">
        <f>IF($C1495="","",IFERROR(INDEX(DESPACHOS!$J$3:$J$3002,MATCH($C1495,DESPACHOS!$B$3:$B$3002,0)),""))</f>
        <v/>
      </c>
      <c r="K1495" s="39">
        <f>IF($C1495="","",IF(COUNTIFS(DESPACHOS!$B$3:$B$3002,$C1495)=0,"NO EXISTE",IF(COUNTIFS(DESPACHOS!$B$3:$B$3002,$C1495)&gt;1,"DUPLICADO","OK")))</f>
        <v/>
      </c>
      <c r="L1495" s="41" t="n"/>
      <c r="M1495" s="41" t="n"/>
      <c r="N1495" s="42">
        <f>IF($M1495="","",IFERROR(INDEX(LISTAS!$F$3:$F$42,MATCH($M1495,LISTAS!$E$3:$E$42,0)),"Por definir"))</f>
        <v/>
      </c>
      <c r="O1495" s="41" t="n"/>
      <c r="P1495" s="39">
        <f>IF($L1495="","",IFERROR(INDEX(LISTAS!$B$3:$B$42,MATCH($L1495,LISTAS!$A$3:$A$42,0)),"Media"))</f>
        <v/>
      </c>
      <c r="Q1495" s="44" t="n"/>
      <c r="R1495" s="45" t="n"/>
      <c r="S1495" s="20">
        <f>IFERROR(IF(OR($R1495="",$C1495=""),"",$R1495/INDEX(DESPACHOS!$M$3:$M$3002,MATCH($C1495,DESPACHOS!$B$3:$B$3002,0))),"")</f>
        <v/>
      </c>
      <c r="T1495" s="41" t="n"/>
      <c r="U1495" s="43">
        <f>IF(OR($B1495="",$L1495=""),"",WORKDAY($B1495,IFERROR(INDEX(LISTAS!$C$3:$C$42,MATCH($L1495,LISTAS!$A$3:$A$42,0)),3)))</f>
        <v/>
      </c>
      <c r="V1495" s="40" t="n"/>
      <c r="W1495" s="19">
        <f>IF($B1495="","",IF($V1495&lt;&gt;"",$V1495-$B1495,TODAY()-$B1495))</f>
        <v/>
      </c>
      <c r="X1495" s="19">
        <f>IF(OR($B1495="",$U1495=""),"",IF($V1495&lt;&gt;"",MAX(0,$V1495-$U1495),MAX(0,TODAY()-$U1495)))</f>
        <v/>
      </c>
      <c r="Y1495" s="39">
        <f>IF($C1495="","",IF(IFERROR(INDEX(LISTAS!$I$3:$I$42,MATCH($T1495,LISTAS!$H$3:$H$42,0)),"NO")="SÍ",IF(N($X1495)&gt;0,"CERRADA FUERA DE SLA","CERRADA EN SLA"),IF($U1495="","SIN CLASIFICAR",IF(N($X1495)&gt;0,"VENCIDA",IF(TODAY()&gt;=$U1495-1,"POR VENCER","EN PLAZO")))))</f>
        <v/>
      </c>
      <c r="Z1495" s="41" t="n"/>
      <c r="AA1495" s="41" t="n"/>
      <c r="AB1495" s="41" t="n"/>
    </row>
    <row r="1496">
      <c r="A1496" s="39">
        <f>IF($C1496="","","NOV-"&amp;TEXT(ROW()-3,"0000"))</f>
        <v/>
      </c>
      <c r="B1496" s="40" t="n"/>
      <c r="C1496" s="41" t="n"/>
      <c r="D1496" s="42">
        <f>IF($C1496="","",IFERROR(INDEX(DESPACHOS!$D$3:$D$3002,MATCH($C1496,DESPACHOS!$B$3:$B$3002,0)),"SIN DESPACHO"))</f>
        <v/>
      </c>
      <c r="E1496" s="42">
        <f>IF($C1496="","",IFERROR(INDEX(DESPACHOS!$K$3:$K$3002,MATCH($C1496,DESPACHOS!$B$3:$B$3002,0)),""))</f>
        <v/>
      </c>
      <c r="F1496" s="42">
        <f>IF($C1496="","",IFERROR(INDEX(DESPACHOS!$I$3:$I$3002,MATCH($C1496,DESPACHOS!$B$3:$B$3002,0)),""))</f>
        <v/>
      </c>
      <c r="G1496" s="42">
        <f>IF($C1496="","",IFERROR(INDEX(DESPACHOS!$F$3:$F$3002,MATCH($C1496,DESPACHOS!$B$3:$B$3002,0)),""))</f>
        <v/>
      </c>
      <c r="H1496" s="42">
        <f>IF($C1496="","",IFERROR(INDEX(DESPACHOS!$G$3:$G$3002,MATCH($C1496,DESPACHOS!$B$3:$B$3002,0)),""))</f>
        <v/>
      </c>
      <c r="I1496" s="39">
        <f>IF($C1496="","",IFERROR(INDEX(DESPACHOS!$H$3:$H$3002,MATCH($C1496,DESPACHOS!$B$3:$B$3002,0)),""))</f>
        <v/>
      </c>
      <c r="J1496" s="43">
        <f>IF($C1496="","",IFERROR(INDEX(DESPACHOS!$J$3:$J$3002,MATCH($C1496,DESPACHOS!$B$3:$B$3002,0)),""))</f>
        <v/>
      </c>
      <c r="K1496" s="39">
        <f>IF($C1496="","",IF(COUNTIFS(DESPACHOS!$B$3:$B$3002,$C1496)=0,"NO EXISTE",IF(COUNTIFS(DESPACHOS!$B$3:$B$3002,$C1496)&gt;1,"DUPLICADO","OK")))</f>
        <v/>
      </c>
      <c r="L1496" s="41" t="n"/>
      <c r="M1496" s="41" t="n"/>
      <c r="N1496" s="42">
        <f>IF($M1496="","",IFERROR(INDEX(LISTAS!$F$3:$F$42,MATCH($M1496,LISTAS!$E$3:$E$42,0)),"Por definir"))</f>
        <v/>
      </c>
      <c r="O1496" s="41" t="n"/>
      <c r="P1496" s="39">
        <f>IF($L1496="","",IFERROR(INDEX(LISTAS!$B$3:$B$42,MATCH($L1496,LISTAS!$A$3:$A$42,0)),"Media"))</f>
        <v/>
      </c>
      <c r="Q1496" s="44" t="n"/>
      <c r="R1496" s="45" t="n"/>
      <c r="S1496" s="20">
        <f>IFERROR(IF(OR($R1496="",$C1496=""),"",$R1496/INDEX(DESPACHOS!$M$3:$M$3002,MATCH($C1496,DESPACHOS!$B$3:$B$3002,0))),"")</f>
        <v/>
      </c>
      <c r="T1496" s="41" t="n"/>
      <c r="U1496" s="43">
        <f>IF(OR($B1496="",$L1496=""),"",WORKDAY($B1496,IFERROR(INDEX(LISTAS!$C$3:$C$42,MATCH($L1496,LISTAS!$A$3:$A$42,0)),3)))</f>
        <v/>
      </c>
      <c r="V1496" s="40" t="n"/>
      <c r="W1496" s="19">
        <f>IF($B1496="","",IF($V1496&lt;&gt;"",$V1496-$B1496,TODAY()-$B1496))</f>
        <v/>
      </c>
      <c r="X1496" s="19">
        <f>IF(OR($B1496="",$U1496=""),"",IF($V1496&lt;&gt;"",MAX(0,$V1496-$U1496),MAX(0,TODAY()-$U1496)))</f>
        <v/>
      </c>
      <c r="Y1496" s="39">
        <f>IF($C1496="","",IF(IFERROR(INDEX(LISTAS!$I$3:$I$42,MATCH($T1496,LISTAS!$H$3:$H$42,0)),"NO")="SÍ",IF(N($X1496)&gt;0,"CERRADA FUERA DE SLA","CERRADA EN SLA"),IF($U1496="","SIN CLASIFICAR",IF(N($X1496)&gt;0,"VENCIDA",IF(TODAY()&gt;=$U1496-1,"POR VENCER","EN PLAZO")))))</f>
        <v/>
      </c>
      <c r="Z1496" s="41" t="n"/>
      <c r="AA1496" s="41" t="n"/>
      <c r="AB1496" s="41" t="n"/>
    </row>
    <row r="1497">
      <c r="A1497" s="39">
        <f>IF($C1497="","","NOV-"&amp;TEXT(ROW()-3,"0000"))</f>
        <v/>
      </c>
      <c r="B1497" s="40" t="n"/>
      <c r="C1497" s="41" t="n"/>
      <c r="D1497" s="42">
        <f>IF($C1497="","",IFERROR(INDEX(DESPACHOS!$D$3:$D$3002,MATCH($C1497,DESPACHOS!$B$3:$B$3002,0)),"SIN DESPACHO"))</f>
        <v/>
      </c>
      <c r="E1497" s="42">
        <f>IF($C1497="","",IFERROR(INDEX(DESPACHOS!$K$3:$K$3002,MATCH($C1497,DESPACHOS!$B$3:$B$3002,0)),""))</f>
        <v/>
      </c>
      <c r="F1497" s="42">
        <f>IF($C1497="","",IFERROR(INDEX(DESPACHOS!$I$3:$I$3002,MATCH($C1497,DESPACHOS!$B$3:$B$3002,0)),""))</f>
        <v/>
      </c>
      <c r="G1497" s="42">
        <f>IF($C1497="","",IFERROR(INDEX(DESPACHOS!$F$3:$F$3002,MATCH($C1497,DESPACHOS!$B$3:$B$3002,0)),""))</f>
        <v/>
      </c>
      <c r="H1497" s="42">
        <f>IF($C1497="","",IFERROR(INDEX(DESPACHOS!$G$3:$G$3002,MATCH($C1497,DESPACHOS!$B$3:$B$3002,0)),""))</f>
        <v/>
      </c>
      <c r="I1497" s="39">
        <f>IF($C1497="","",IFERROR(INDEX(DESPACHOS!$H$3:$H$3002,MATCH($C1497,DESPACHOS!$B$3:$B$3002,0)),""))</f>
        <v/>
      </c>
      <c r="J1497" s="43">
        <f>IF($C1497="","",IFERROR(INDEX(DESPACHOS!$J$3:$J$3002,MATCH($C1497,DESPACHOS!$B$3:$B$3002,0)),""))</f>
        <v/>
      </c>
      <c r="K1497" s="39">
        <f>IF($C1497="","",IF(COUNTIFS(DESPACHOS!$B$3:$B$3002,$C1497)=0,"NO EXISTE",IF(COUNTIFS(DESPACHOS!$B$3:$B$3002,$C1497)&gt;1,"DUPLICADO","OK")))</f>
        <v/>
      </c>
      <c r="L1497" s="41" t="n"/>
      <c r="M1497" s="41" t="n"/>
      <c r="N1497" s="42">
        <f>IF($M1497="","",IFERROR(INDEX(LISTAS!$F$3:$F$42,MATCH($M1497,LISTAS!$E$3:$E$42,0)),"Por definir"))</f>
        <v/>
      </c>
      <c r="O1497" s="41" t="n"/>
      <c r="P1497" s="39">
        <f>IF($L1497="","",IFERROR(INDEX(LISTAS!$B$3:$B$42,MATCH($L1497,LISTAS!$A$3:$A$42,0)),"Media"))</f>
        <v/>
      </c>
      <c r="Q1497" s="44" t="n"/>
      <c r="R1497" s="45" t="n"/>
      <c r="S1497" s="20">
        <f>IFERROR(IF(OR($R1497="",$C1497=""),"",$R1497/INDEX(DESPACHOS!$M$3:$M$3002,MATCH($C1497,DESPACHOS!$B$3:$B$3002,0))),"")</f>
        <v/>
      </c>
      <c r="T1497" s="41" t="n"/>
      <c r="U1497" s="43">
        <f>IF(OR($B1497="",$L1497=""),"",WORKDAY($B1497,IFERROR(INDEX(LISTAS!$C$3:$C$42,MATCH($L1497,LISTAS!$A$3:$A$42,0)),3)))</f>
        <v/>
      </c>
      <c r="V1497" s="40" t="n"/>
      <c r="W1497" s="19">
        <f>IF($B1497="","",IF($V1497&lt;&gt;"",$V1497-$B1497,TODAY()-$B1497))</f>
        <v/>
      </c>
      <c r="X1497" s="19">
        <f>IF(OR($B1497="",$U1497=""),"",IF($V1497&lt;&gt;"",MAX(0,$V1497-$U1497),MAX(0,TODAY()-$U1497)))</f>
        <v/>
      </c>
      <c r="Y1497" s="39">
        <f>IF($C1497="","",IF(IFERROR(INDEX(LISTAS!$I$3:$I$42,MATCH($T1497,LISTAS!$H$3:$H$42,0)),"NO")="SÍ",IF(N($X1497)&gt;0,"CERRADA FUERA DE SLA","CERRADA EN SLA"),IF($U1497="","SIN CLASIFICAR",IF(N($X1497)&gt;0,"VENCIDA",IF(TODAY()&gt;=$U1497-1,"POR VENCER","EN PLAZO")))))</f>
        <v/>
      </c>
      <c r="Z1497" s="41" t="n"/>
      <c r="AA1497" s="41" t="n"/>
      <c r="AB1497" s="41" t="n"/>
    </row>
    <row r="1498">
      <c r="A1498" s="39">
        <f>IF($C1498="","","NOV-"&amp;TEXT(ROW()-3,"0000"))</f>
        <v/>
      </c>
      <c r="B1498" s="40" t="n"/>
      <c r="C1498" s="41" t="n"/>
      <c r="D1498" s="42">
        <f>IF($C1498="","",IFERROR(INDEX(DESPACHOS!$D$3:$D$3002,MATCH($C1498,DESPACHOS!$B$3:$B$3002,0)),"SIN DESPACHO"))</f>
        <v/>
      </c>
      <c r="E1498" s="42">
        <f>IF($C1498="","",IFERROR(INDEX(DESPACHOS!$K$3:$K$3002,MATCH($C1498,DESPACHOS!$B$3:$B$3002,0)),""))</f>
        <v/>
      </c>
      <c r="F1498" s="42">
        <f>IF($C1498="","",IFERROR(INDEX(DESPACHOS!$I$3:$I$3002,MATCH($C1498,DESPACHOS!$B$3:$B$3002,0)),""))</f>
        <v/>
      </c>
      <c r="G1498" s="42">
        <f>IF($C1498="","",IFERROR(INDEX(DESPACHOS!$F$3:$F$3002,MATCH($C1498,DESPACHOS!$B$3:$B$3002,0)),""))</f>
        <v/>
      </c>
      <c r="H1498" s="42">
        <f>IF($C1498="","",IFERROR(INDEX(DESPACHOS!$G$3:$G$3002,MATCH($C1498,DESPACHOS!$B$3:$B$3002,0)),""))</f>
        <v/>
      </c>
      <c r="I1498" s="39">
        <f>IF($C1498="","",IFERROR(INDEX(DESPACHOS!$H$3:$H$3002,MATCH($C1498,DESPACHOS!$B$3:$B$3002,0)),""))</f>
        <v/>
      </c>
      <c r="J1498" s="43">
        <f>IF($C1498="","",IFERROR(INDEX(DESPACHOS!$J$3:$J$3002,MATCH($C1498,DESPACHOS!$B$3:$B$3002,0)),""))</f>
        <v/>
      </c>
      <c r="K1498" s="39">
        <f>IF($C1498="","",IF(COUNTIFS(DESPACHOS!$B$3:$B$3002,$C1498)=0,"NO EXISTE",IF(COUNTIFS(DESPACHOS!$B$3:$B$3002,$C1498)&gt;1,"DUPLICADO","OK")))</f>
        <v/>
      </c>
      <c r="L1498" s="41" t="n"/>
      <c r="M1498" s="41" t="n"/>
      <c r="N1498" s="42">
        <f>IF($M1498="","",IFERROR(INDEX(LISTAS!$F$3:$F$42,MATCH($M1498,LISTAS!$E$3:$E$42,0)),"Por definir"))</f>
        <v/>
      </c>
      <c r="O1498" s="41" t="n"/>
      <c r="P1498" s="39">
        <f>IF($L1498="","",IFERROR(INDEX(LISTAS!$B$3:$B$42,MATCH($L1498,LISTAS!$A$3:$A$42,0)),"Media"))</f>
        <v/>
      </c>
      <c r="Q1498" s="44" t="n"/>
      <c r="R1498" s="45" t="n"/>
      <c r="S1498" s="20">
        <f>IFERROR(IF(OR($R1498="",$C1498=""),"",$R1498/INDEX(DESPACHOS!$M$3:$M$3002,MATCH($C1498,DESPACHOS!$B$3:$B$3002,0))),"")</f>
        <v/>
      </c>
      <c r="T1498" s="41" t="n"/>
      <c r="U1498" s="43">
        <f>IF(OR($B1498="",$L1498=""),"",WORKDAY($B1498,IFERROR(INDEX(LISTAS!$C$3:$C$42,MATCH($L1498,LISTAS!$A$3:$A$42,0)),3)))</f>
        <v/>
      </c>
      <c r="V1498" s="40" t="n"/>
      <c r="W1498" s="19">
        <f>IF($B1498="","",IF($V1498&lt;&gt;"",$V1498-$B1498,TODAY()-$B1498))</f>
        <v/>
      </c>
      <c r="X1498" s="19">
        <f>IF(OR($B1498="",$U1498=""),"",IF($V1498&lt;&gt;"",MAX(0,$V1498-$U1498),MAX(0,TODAY()-$U1498)))</f>
        <v/>
      </c>
      <c r="Y1498" s="39">
        <f>IF($C1498="","",IF(IFERROR(INDEX(LISTAS!$I$3:$I$42,MATCH($T1498,LISTAS!$H$3:$H$42,0)),"NO")="SÍ",IF(N($X1498)&gt;0,"CERRADA FUERA DE SLA","CERRADA EN SLA"),IF($U1498="","SIN CLASIFICAR",IF(N($X1498)&gt;0,"VENCIDA",IF(TODAY()&gt;=$U1498-1,"POR VENCER","EN PLAZO")))))</f>
        <v/>
      </c>
      <c r="Z1498" s="41" t="n"/>
      <c r="AA1498" s="41" t="n"/>
      <c r="AB1498" s="41" t="n"/>
    </row>
    <row r="1499">
      <c r="A1499" s="39">
        <f>IF($C1499="","","NOV-"&amp;TEXT(ROW()-3,"0000"))</f>
        <v/>
      </c>
      <c r="B1499" s="40" t="n"/>
      <c r="C1499" s="41" t="n"/>
      <c r="D1499" s="42">
        <f>IF($C1499="","",IFERROR(INDEX(DESPACHOS!$D$3:$D$3002,MATCH($C1499,DESPACHOS!$B$3:$B$3002,0)),"SIN DESPACHO"))</f>
        <v/>
      </c>
      <c r="E1499" s="42">
        <f>IF($C1499="","",IFERROR(INDEX(DESPACHOS!$K$3:$K$3002,MATCH($C1499,DESPACHOS!$B$3:$B$3002,0)),""))</f>
        <v/>
      </c>
      <c r="F1499" s="42">
        <f>IF($C1499="","",IFERROR(INDEX(DESPACHOS!$I$3:$I$3002,MATCH($C1499,DESPACHOS!$B$3:$B$3002,0)),""))</f>
        <v/>
      </c>
      <c r="G1499" s="42">
        <f>IF($C1499="","",IFERROR(INDEX(DESPACHOS!$F$3:$F$3002,MATCH($C1499,DESPACHOS!$B$3:$B$3002,0)),""))</f>
        <v/>
      </c>
      <c r="H1499" s="42">
        <f>IF($C1499="","",IFERROR(INDEX(DESPACHOS!$G$3:$G$3002,MATCH($C1499,DESPACHOS!$B$3:$B$3002,0)),""))</f>
        <v/>
      </c>
      <c r="I1499" s="39">
        <f>IF($C1499="","",IFERROR(INDEX(DESPACHOS!$H$3:$H$3002,MATCH($C1499,DESPACHOS!$B$3:$B$3002,0)),""))</f>
        <v/>
      </c>
      <c r="J1499" s="43">
        <f>IF($C1499="","",IFERROR(INDEX(DESPACHOS!$J$3:$J$3002,MATCH($C1499,DESPACHOS!$B$3:$B$3002,0)),""))</f>
        <v/>
      </c>
      <c r="K1499" s="39">
        <f>IF($C1499="","",IF(COUNTIFS(DESPACHOS!$B$3:$B$3002,$C1499)=0,"NO EXISTE",IF(COUNTIFS(DESPACHOS!$B$3:$B$3002,$C1499)&gt;1,"DUPLICADO","OK")))</f>
        <v/>
      </c>
      <c r="L1499" s="41" t="n"/>
      <c r="M1499" s="41" t="n"/>
      <c r="N1499" s="42">
        <f>IF($M1499="","",IFERROR(INDEX(LISTAS!$F$3:$F$42,MATCH($M1499,LISTAS!$E$3:$E$42,0)),"Por definir"))</f>
        <v/>
      </c>
      <c r="O1499" s="41" t="n"/>
      <c r="P1499" s="39">
        <f>IF($L1499="","",IFERROR(INDEX(LISTAS!$B$3:$B$42,MATCH($L1499,LISTAS!$A$3:$A$42,0)),"Media"))</f>
        <v/>
      </c>
      <c r="Q1499" s="44" t="n"/>
      <c r="R1499" s="45" t="n"/>
      <c r="S1499" s="20">
        <f>IFERROR(IF(OR($R1499="",$C1499=""),"",$R1499/INDEX(DESPACHOS!$M$3:$M$3002,MATCH($C1499,DESPACHOS!$B$3:$B$3002,0))),"")</f>
        <v/>
      </c>
      <c r="T1499" s="41" t="n"/>
      <c r="U1499" s="43">
        <f>IF(OR($B1499="",$L1499=""),"",WORKDAY($B1499,IFERROR(INDEX(LISTAS!$C$3:$C$42,MATCH($L1499,LISTAS!$A$3:$A$42,0)),3)))</f>
        <v/>
      </c>
      <c r="V1499" s="40" t="n"/>
      <c r="W1499" s="19">
        <f>IF($B1499="","",IF($V1499&lt;&gt;"",$V1499-$B1499,TODAY()-$B1499))</f>
        <v/>
      </c>
      <c r="X1499" s="19">
        <f>IF(OR($B1499="",$U1499=""),"",IF($V1499&lt;&gt;"",MAX(0,$V1499-$U1499),MAX(0,TODAY()-$U1499)))</f>
        <v/>
      </c>
      <c r="Y1499" s="39">
        <f>IF($C1499="","",IF(IFERROR(INDEX(LISTAS!$I$3:$I$42,MATCH($T1499,LISTAS!$H$3:$H$42,0)),"NO")="SÍ",IF(N($X1499)&gt;0,"CERRADA FUERA DE SLA","CERRADA EN SLA"),IF($U1499="","SIN CLASIFICAR",IF(N($X1499)&gt;0,"VENCIDA",IF(TODAY()&gt;=$U1499-1,"POR VENCER","EN PLAZO")))))</f>
        <v/>
      </c>
      <c r="Z1499" s="41" t="n"/>
      <c r="AA1499" s="41" t="n"/>
      <c r="AB1499" s="41" t="n"/>
    </row>
    <row r="1500">
      <c r="A1500" s="39">
        <f>IF($C1500="","","NOV-"&amp;TEXT(ROW()-3,"0000"))</f>
        <v/>
      </c>
      <c r="B1500" s="40" t="n"/>
      <c r="C1500" s="41" t="n"/>
      <c r="D1500" s="42">
        <f>IF($C1500="","",IFERROR(INDEX(DESPACHOS!$D$3:$D$3002,MATCH($C1500,DESPACHOS!$B$3:$B$3002,0)),"SIN DESPACHO"))</f>
        <v/>
      </c>
      <c r="E1500" s="42">
        <f>IF($C1500="","",IFERROR(INDEX(DESPACHOS!$K$3:$K$3002,MATCH($C1500,DESPACHOS!$B$3:$B$3002,0)),""))</f>
        <v/>
      </c>
      <c r="F1500" s="42">
        <f>IF($C1500="","",IFERROR(INDEX(DESPACHOS!$I$3:$I$3002,MATCH($C1500,DESPACHOS!$B$3:$B$3002,0)),""))</f>
        <v/>
      </c>
      <c r="G1500" s="42">
        <f>IF($C1500="","",IFERROR(INDEX(DESPACHOS!$F$3:$F$3002,MATCH($C1500,DESPACHOS!$B$3:$B$3002,0)),""))</f>
        <v/>
      </c>
      <c r="H1500" s="42">
        <f>IF($C1500="","",IFERROR(INDEX(DESPACHOS!$G$3:$G$3002,MATCH($C1500,DESPACHOS!$B$3:$B$3002,0)),""))</f>
        <v/>
      </c>
      <c r="I1500" s="39">
        <f>IF($C1500="","",IFERROR(INDEX(DESPACHOS!$H$3:$H$3002,MATCH($C1500,DESPACHOS!$B$3:$B$3002,0)),""))</f>
        <v/>
      </c>
      <c r="J1500" s="43">
        <f>IF($C1500="","",IFERROR(INDEX(DESPACHOS!$J$3:$J$3002,MATCH($C1500,DESPACHOS!$B$3:$B$3002,0)),""))</f>
        <v/>
      </c>
      <c r="K1500" s="39">
        <f>IF($C1500="","",IF(COUNTIFS(DESPACHOS!$B$3:$B$3002,$C1500)=0,"NO EXISTE",IF(COUNTIFS(DESPACHOS!$B$3:$B$3002,$C1500)&gt;1,"DUPLICADO","OK")))</f>
        <v/>
      </c>
      <c r="L1500" s="41" t="n"/>
      <c r="M1500" s="41" t="n"/>
      <c r="N1500" s="42">
        <f>IF($M1500="","",IFERROR(INDEX(LISTAS!$F$3:$F$42,MATCH($M1500,LISTAS!$E$3:$E$42,0)),"Por definir"))</f>
        <v/>
      </c>
      <c r="O1500" s="41" t="n"/>
      <c r="P1500" s="39">
        <f>IF($L1500="","",IFERROR(INDEX(LISTAS!$B$3:$B$42,MATCH($L1500,LISTAS!$A$3:$A$42,0)),"Media"))</f>
        <v/>
      </c>
      <c r="Q1500" s="44" t="n"/>
      <c r="R1500" s="45" t="n"/>
      <c r="S1500" s="20">
        <f>IFERROR(IF(OR($R1500="",$C1500=""),"",$R1500/INDEX(DESPACHOS!$M$3:$M$3002,MATCH($C1500,DESPACHOS!$B$3:$B$3002,0))),"")</f>
        <v/>
      </c>
      <c r="T1500" s="41" t="n"/>
      <c r="U1500" s="43">
        <f>IF(OR($B1500="",$L1500=""),"",WORKDAY($B1500,IFERROR(INDEX(LISTAS!$C$3:$C$42,MATCH($L1500,LISTAS!$A$3:$A$42,0)),3)))</f>
        <v/>
      </c>
      <c r="V1500" s="40" t="n"/>
      <c r="W1500" s="19">
        <f>IF($B1500="","",IF($V1500&lt;&gt;"",$V1500-$B1500,TODAY()-$B1500))</f>
        <v/>
      </c>
      <c r="X1500" s="19">
        <f>IF(OR($B1500="",$U1500=""),"",IF($V1500&lt;&gt;"",MAX(0,$V1500-$U1500),MAX(0,TODAY()-$U1500)))</f>
        <v/>
      </c>
      <c r="Y1500" s="39">
        <f>IF($C1500="","",IF(IFERROR(INDEX(LISTAS!$I$3:$I$42,MATCH($T1500,LISTAS!$H$3:$H$42,0)),"NO")="SÍ",IF(N($X1500)&gt;0,"CERRADA FUERA DE SLA","CERRADA EN SLA"),IF($U1500="","SIN CLASIFICAR",IF(N($X1500)&gt;0,"VENCIDA",IF(TODAY()&gt;=$U1500-1,"POR VENCER","EN PLAZO")))))</f>
        <v/>
      </c>
      <c r="Z1500" s="41" t="n"/>
      <c r="AA1500" s="41" t="n"/>
      <c r="AB1500" s="41" t="n"/>
    </row>
    <row r="1501">
      <c r="A1501" s="39">
        <f>IF($C1501="","","NOV-"&amp;TEXT(ROW()-3,"0000"))</f>
        <v/>
      </c>
      <c r="B1501" s="40" t="n"/>
      <c r="C1501" s="41" t="n"/>
      <c r="D1501" s="42">
        <f>IF($C1501="","",IFERROR(INDEX(DESPACHOS!$D$3:$D$3002,MATCH($C1501,DESPACHOS!$B$3:$B$3002,0)),"SIN DESPACHO"))</f>
        <v/>
      </c>
      <c r="E1501" s="42">
        <f>IF($C1501="","",IFERROR(INDEX(DESPACHOS!$K$3:$K$3002,MATCH($C1501,DESPACHOS!$B$3:$B$3002,0)),""))</f>
        <v/>
      </c>
      <c r="F1501" s="42">
        <f>IF($C1501="","",IFERROR(INDEX(DESPACHOS!$I$3:$I$3002,MATCH($C1501,DESPACHOS!$B$3:$B$3002,0)),""))</f>
        <v/>
      </c>
      <c r="G1501" s="42">
        <f>IF($C1501="","",IFERROR(INDEX(DESPACHOS!$F$3:$F$3002,MATCH($C1501,DESPACHOS!$B$3:$B$3002,0)),""))</f>
        <v/>
      </c>
      <c r="H1501" s="42">
        <f>IF($C1501="","",IFERROR(INDEX(DESPACHOS!$G$3:$G$3002,MATCH($C1501,DESPACHOS!$B$3:$B$3002,0)),""))</f>
        <v/>
      </c>
      <c r="I1501" s="39">
        <f>IF($C1501="","",IFERROR(INDEX(DESPACHOS!$H$3:$H$3002,MATCH($C1501,DESPACHOS!$B$3:$B$3002,0)),""))</f>
        <v/>
      </c>
      <c r="J1501" s="43">
        <f>IF($C1501="","",IFERROR(INDEX(DESPACHOS!$J$3:$J$3002,MATCH($C1501,DESPACHOS!$B$3:$B$3002,0)),""))</f>
        <v/>
      </c>
      <c r="K1501" s="39">
        <f>IF($C1501="","",IF(COUNTIFS(DESPACHOS!$B$3:$B$3002,$C1501)=0,"NO EXISTE",IF(COUNTIFS(DESPACHOS!$B$3:$B$3002,$C1501)&gt;1,"DUPLICADO","OK")))</f>
        <v/>
      </c>
      <c r="L1501" s="41" t="n"/>
      <c r="M1501" s="41" t="n"/>
      <c r="N1501" s="42">
        <f>IF($M1501="","",IFERROR(INDEX(LISTAS!$F$3:$F$42,MATCH($M1501,LISTAS!$E$3:$E$42,0)),"Por definir"))</f>
        <v/>
      </c>
      <c r="O1501" s="41" t="n"/>
      <c r="P1501" s="39">
        <f>IF($L1501="","",IFERROR(INDEX(LISTAS!$B$3:$B$42,MATCH($L1501,LISTAS!$A$3:$A$42,0)),"Media"))</f>
        <v/>
      </c>
      <c r="Q1501" s="44" t="n"/>
      <c r="R1501" s="45" t="n"/>
      <c r="S1501" s="20">
        <f>IFERROR(IF(OR($R1501="",$C1501=""),"",$R1501/INDEX(DESPACHOS!$M$3:$M$3002,MATCH($C1501,DESPACHOS!$B$3:$B$3002,0))),"")</f>
        <v/>
      </c>
      <c r="T1501" s="41" t="n"/>
      <c r="U1501" s="43">
        <f>IF(OR($B1501="",$L1501=""),"",WORKDAY($B1501,IFERROR(INDEX(LISTAS!$C$3:$C$42,MATCH($L1501,LISTAS!$A$3:$A$42,0)),3)))</f>
        <v/>
      </c>
      <c r="V1501" s="40" t="n"/>
      <c r="W1501" s="19">
        <f>IF($B1501="","",IF($V1501&lt;&gt;"",$V1501-$B1501,TODAY()-$B1501))</f>
        <v/>
      </c>
      <c r="X1501" s="19">
        <f>IF(OR($B1501="",$U1501=""),"",IF($V1501&lt;&gt;"",MAX(0,$V1501-$U1501),MAX(0,TODAY()-$U1501)))</f>
        <v/>
      </c>
      <c r="Y1501" s="39">
        <f>IF($C1501="","",IF(IFERROR(INDEX(LISTAS!$I$3:$I$42,MATCH($T1501,LISTAS!$H$3:$H$42,0)),"NO")="SÍ",IF(N($X1501)&gt;0,"CERRADA FUERA DE SLA","CERRADA EN SLA"),IF($U1501="","SIN CLASIFICAR",IF(N($X1501)&gt;0,"VENCIDA",IF(TODAY()&gt;=$U1501-1,"POR VENCER","EN PLAZO")))))</f>
        <v/>
      </c>
      <c r="Z1501" s="41" t="n"/>
      <c r="AA1501" s="41" t="n"/>
      <c r="AB1501" s="41" t="n"/>
    </row>
    <row r="1502">
      <c r="A1502" s="39">
        <f>IF($C1502="","","NOV-"&amp;TEXT(ROW()-3,"0000"))</f>
        <v/>
      </c>
      <c r="B1502" s="40" t="n"/>
      <c r="C1502" s="41" t="n"/>
      <c r="D1502" s="42">
        <f>IF($C1502="","",IFERROR(INDEX(DESPACHOS!$D$3:$D$3002,MATCH($C1502,DESPACHOS!$B$3:$B$3002,0)),"SIN DESPACHO"))</f>
        <v/>
      </c>
      <c r="E1502" s="42">
        <f>IF($C1502="","",IFERROR(INDEX(DESPACHOS!$K$3:$K$3002,MATCH($C1502,DESPACHOS!$B$3:$B$3002,0)),""))</f>
        <v/>
      </c>
      <c r="F1502" s="42">
        <f>IF($C1502="","",IFERROR(INDEX(DESPACHOS!$I$3:$I$3002,MATCH($C1502,DESPACHOS!$B$3:$B$3002,0)),""))</f>
        <v/>
      </c>
      <c r="G1502" s="42">
        <f>IF($C1502="","",IFERROR(INDEX(DESPACHOS!$F$3:$F$3002,MATCH($C1502,DESPACHOS!$B$3:$B$3002,0)),""))</f>
        <v/>
      </c>
      <c r="H1502" s="42">
        <f>IF($C1502="","",IFERROR(INDEX(DESPACHOS!$G$3:$G$3002,MATCH($C1502,DESPACHOS!$B$3:$B$3002,0)),""))</f>
        <v/>
      </c>
      <c r="I1502" s="39">
        <f>IF($C1502="","",IFERROR(INDEX(DESPACHOS!$H$3:$H$3002,MATCH($C1502,DESPACHOS!$B$3:$B$3002,0)),""))</f>
        <v/>
      </c>
      <c r="J1502" s="43">
        <f>IF($C1502="","",IFERROR(INDEX(DESPACHOS!$J$3:$J$3002,MATCH($C1502,DESPACHOS!$B$3:$B$3002,0)),""))</f>
        <v/>
      </c>
      <c r="K1502" s="39">
        <f>IF($C1502="","",IF(COUNTIFS(DESPACHOS!$B$3:$B$3002,$C1502)=0,"NO EXISTE",IF(COUNTIFS(DESPACHOS!$B$3:$B$3002,$C1502)&gt;1,"DUPLICADO","OK")))</f>
        <v/>
      </c>
      <c r="L1502" s="41" t="n"/>
      <c r="M1502" s="41" t="n"/>
      <c r="N1502" s="42">
        <f>IF($M1502="","",IFERROR(INDEX(LISTAS!$F$3:$F$42,MATCH($M1502,LISTAS!$E$3:$E$42,0)),"Por definir"))</f>
        <v/>
      </c>
      <c r="O1502" s="41" t="n"/>
      <c r="P1502" s="39">
        <f>IF($L1502="","",IFERROR(INDEX(LISTAS!$B$3:$B$42,MATCH($L1502,LISTAS!$A$3:$A$42,0)),"Media"))</f>
        <v/>
      </c>
      <c r="Q1502" s="44" t="n"/>
      <c r="R1502" s="45" t="n"/>
      <c r="S1502" s="20">
        <f>IFERROR(IF(OR($R1502="",$C1502=""),"",$R1502/INDEX(DESPACHOS!$M$3:$M$3002,MATCH($C1502,DESPACHOS!$B$3:$B$3002,0))),"")</f>
        <v/>
      </c>
      <c r="T1502" s="41" t="n"/>
      <c r="U1502" s="43">
        <f>IF(OR($B1502="",$L1502=""),"",WORKDAY($B1502,IFERROR(INDEX(LISTAS!$C$3:$C$42,MATCH($L1502,LISTAS!$A$3:$A$42,0)),3)))</f>
        <v/>
      </c>
      <c r="V1502" s="40" t="n"/>
      <c r="W1502" s="19">
        <f>IF($B1502="","",IF($V1502&lt;&gt;"",$V1502-$B1502,TODAY()-$B1502))</f>
        <v/>
      </c>
      <c r="X1502" s="19">
        <f>IF(OR($B1502="",$U1502=""),"",IF($V1502&lt;&gt;"",MAX(0,$V1502-$U1502),MAX(0,TODAY()-$U1502)))</f>
        <v/>
      </c>
      <c r="Y1502" s="39">
        <f>IF($C1502="","",IF(IFERROR(INDEX(LISTAS!$I$3:$I$42,MATCH($T1502,LISTAS!$H$3:$H$42,0)),"NO")="SÍ",IF(N($X1502)&gt;0,"CERRADA FUERA DE SLA","CERRADA EN SLA"),IF($U1502="","SIN CLASIFICAR",IF(N($X1502)&gt;0,"VENCIDA",IF(TODAY()&gt;=$U1502-1,"POR VENCER","EN PLAZO")))))</f>
        <v/>
      </c>
      <c r="Z1502" s="41" t="n"/>
      <c r="AA1502" s="41" t="n"/>
      <c r="AB1502" s="41" t="n"/>
    </row>
    <row r="1503">
      <c r="A1503" s="39">
        <f>IF($C1503="","","NOV-"&amp;TEXT(ROW()-3,"0000"))</f>
        <v/>
      </c>
      <c r="B1503" s="40" t="n"/>
      <c r="C1503" s="41" t="n"/>
      <c r="D1503" s="42">
        <f>IF($C1503="","",IFERROR(INDEX(DESPACHOS!$D$3:$D$3002,MATCH($C1503,DESPACHOS!$B$3:$B$3002,0)),"SIN DESPACHO"))</f>
        <v/>
      </c>
      <c r="E1503" s="42">
        <f>IF($C1503="","",IFERROR(INDEX(DESPACHOS!$K$3:$K$3002,MATCH($C1503,DESPACHOS!$B$3:$B$3002,0)),""))</f>
        <v/>
      </c>
      <c r="F1503" s="42">
        <f>IF($C1503="","",IFERROR(INDEX(DESPACHOS!$I$3:$I$3002,MATCH($C1503,DESPACHOS!$B$3:$B$3002,0)),""))</f>
        <v/>
      </c>
      <c r="G1503" s="42">
        <f>IF($C1503="","",IFERROR(INDEX(DESPACHOS!$F$3:$F$3002,MATCH($C1503,DESPACHOS!$B$3:$B$3002,0)),""))</f>
        <v/>
      </c>
      <c r="H1503" s="42">
        <f>IF($C1503="","",IFERROR(INDEX(DESPACHOS!$G$3:$G$3002,MATCH($C1503,DESPACHOS!$B$3:$B$3002,0)),""))</f>
        <v/>
      </c>
      <c r="I1503" s="39">
        <f>IF($C1503="","",IFERROR(INDEX(DESPACHOS!$H$3:$H$3002,MATCH($C1503,DESPACHOS!$B$3:$B$3002,0)),""))</f>
        <v/>
      </c>
      <c r="J1503" s="43">
        <f>IF($C1503="","",IFERROR(INDEX(DESPACHOS!$J$3:$J$3002,MATCH($C1503,DESPACHOS!$B$3:$B$3002,0)),""))</f>
        <v/>
      </c>
      <c r="K1503" s="39">
        <f>IF($C1503="","",IF(COUNTIFS(DESPACHOS!$B$3:$B$3002,$C1503)=0,"NO EXISTE",IF(COUNTIFS(DESPACHOS!$B$3:$B$3002,$C1503)&gt;1,"DUPLICADO","OK")))</f>
        <v/>
      </c>
      <c r="L1503" s="41" t="n"/>
      <c r="M1503" s="41" t="n"/>
      <c r="N1503" s="42">
        <f>IF($M1503="","",IFERROR(INDEX(LISTAS!$F$3:$F$42,MATCH($M1503,LISTAS!$E$3:$E$42,0)),"Por definir"))</f>
        <v/>
      </c>
      <c r="O1503" s="41" t="n"/>
      <c r="P1503" s="39">
        <f>IF($L1503="","",IFERROR(INDEX(LISTAS!$B$3:$B$42,MATCH($L1503,LISTAS!$A$3:$A$42,0)),"Media"))</f>
        <v/>
      </c>
      <c r="Q1503" s="44" t="n"/>
      <c r="R1503" s="45" t="n"/>
      <c r="S1503" s="20">
        <f>IFERROR(IF(OR($R1503="",$C1503=""),"",$R1503/INDEX(DESPACHOS!$M$3:$M$3002,MATCH($C1503,DESPACHOS!$B$3:$B$3002,0))),"")</f>
        <v/>
      </c>
      <c r="T1503" s="41" t="n"/>
      <c r="U1503" s="43">
        <f>IF(OR($B1503="",$L1503=""),"",WORKDAY($B1503,IFERROR(INDEX(LISTAS!$C$3:$C$42,MATCH($L1503,LISTAS!$A$3:$A$42,0)),3)))</f>
        <v/>
      </c>
      <c r="V1503" s="40" t="n"/>
      <c r="W1503" s="19">
        <f>IF($B1503="","",IF($V1503&lt;&gt;"",$V1503-$B1503,TODAY()-$B1503))</f>
        <v/>
      </c>
      <c r="X1503" s="19">
        <f>IF(OR($B1503="",$U1503=""),"",IF($V1503&lt;&gt;"",MAX(0,$V1503-$U1503),MAX(0,TODAY()-$U1503)))</f>
        <v/>
      </c>
      <c r="Y1503" s="39">
        <f>IF($C1503="","",IF(IFERROR(INDEX(LISTAS!$I$3:$I$42,MATCH($T1503,LISTAS!$H$3:$H$42,0)),"NO")="SÍ",IF(N($X1503)&gt;0,"CERRADA FUERA DE SLA","CERRADA EN SLA"),IF($U1503="","SIN CLASIFICAR",IF(N($X1503)&gt;0,"VENCIDA",IF(TODAY()&gt;=$U1503-1,"POR VENCER","EN PLAZO")))))</f>
        <v/>
      </c>
      <c r="Z1503" s="41" t="n"/>
      <c r="AA1503" s="41" t="n"/>
      <c r="AB1503" s="41" t="n"/>
    </row>
    <row r="1504">
      <c r="A1504" s="39">
        <f>IF($C1504="","","NOV-"&amp;TEXT(ROW()-3,"0000"))</f>
        <v/>
      </c>
      <c r="B1504" s="40" t="n"/>
      <c r="C1504" s="41" t="n"/>
      <c r="D1504" s="42">
        <f>IF($C1504="","",IFERROR(INDEX(DESPACHOS!$D$3:$D$3002,MATCH($C1504,DESPACHOS!$B$3:$B$3002,0)),"SIN DESPACHO"))</f>
        <v/>
      </c>
      <c r="E1504" s="42">
        <f>IF($C1504="","",IFERROR(INDEX(DESPACHOS!$K$3:$K$3002,MATCH($C1504,DESPACHOS!$B$3:$B$3002,0)),""))</f>
        <v/>
      </c>
      <c r="F1504" s="42">
        <f>IF($C1504="","",IFERROR(INDEX(DESPACHOS!$I$3:$I$3002,MATCH($C1504,DESPACHOS!$B$3:$B$3002,0)),""))</f>
        <v/>
      </c>
      <c r="G1504" s="42">
        <f>IF($C1504="","",IFERROR(INDEX(DESPACHOS!$F$3:$F$3002,MATCH($C1504,DESPACHOS!$B$3:$B$3002,0)),""))</f>
        <v/>
      </c>
      <c r="H1504" s="42">
        <f>IF($C1504="","",IFERROR(INDEX(DESPACHOS!$G$3:$G$3002,MATCH($C1504,DESPACHOS!$B$3:$B$3002,0)),""))</f>
        <v/>
      </c>
      <c r="I1504" s="39">
        <f>IF($C1504="","",IFERROR(INDEX(DESPACHOS!$H$3:$H$3002,MATCH($C1504,DESPACHOS!$B$3:$B$3002,0)),""))</f>
        <v/>
      </c>
      <c r="J1504" s="43">
        <f>IF($C1504="","",IFERROR(INDEX(DESPACHOS!$J$3:$J$3002,MATCH($C1504,DESPACHOS!$B$3:$B$3002,0)),""))</f>
        <v/>
      </c>
      <c r="K1504" s="39">
        <f>IF($C1504="","",IF(COUNTIFS(DESPACHOS!$B$3:$B$3002,$C1504)=0,"NO EXISTE",IF(COUNTIFS(DESPACHOS!$B$3:$B$3002,$C1504)&gt;1,"DUPLICADO","OK")))</f>
        <v/>
      </c>
      <c r="L1504" s="41" t="n"/>
      <c r="M1504" s="41" t="n"/>
      <c r="N1504" s="42">
        <f>IF($M1504="","",IFERROR(INDEX(LISTAS!$F$3:$F$42,MATCH($M1504,LISTAS!$E$3:$E$42,0)),"Por definir"))</f>
        <v/>
      </c>
      <c r="O1504" s="41" t="n"/>
      <c r="P1504" s="39">
        <f>IF($L1504="","",IFERROR(INDEX(LISTAS!$B$3:$B$42,MATCH($L1504,LISTAS!$A$3:$A$42,0)),"Media"))</f>
        <v/>
      </c>
      <c r="Q1504" s="44" t="n"/>
      <c r="R1504" s="45" t="n"/>
      <c r="S1504" s="20">
        <f>IFERROR(IF(OR($R1504="",$C1504=""),"",$R1504/INDEX(DESPACHOS!$M$3:$M$3002,MATCH($C1504,DESPACHOS!$B$3:$B$3002,0))),"")</f>
        <v/>
      </c>
      <c r="T1504" s="41" t="n"/>
      <c r="U1504" s="43">
        <f>IF(OR($B1504="",$L1504=""),"",WORKDAY($B1504,IFERROR(INDEX(LISTAS!$C$3:$C$42,MATCH($L1504,LISTAS!$A$3:$A$42,0)),3)))</f>
        <v/>
      </c>
      <c r="V1504" s="40" t="n"/>
      <c r="W1504" s="19">
        <f>IF($B1504="","",IF($V1504&lt;&gt;"",$V1504-$B1504,TODAY()-$B1504))</f>
        <v/>
      </c>
      <c r="X1504" s="19">
        <f>IF(OR($B1504="",$U1504=""),"",IF($V1504&lt;&gt;"",MAX(0,$V1504-$U1504),MAX(0,TODAY()-$U1504)))</f>
        <v/>
      </c>
      <c r="Y1504" s="39">
        <f>IF($C1504="","",IF(IFERROR(INDEX(LISTAS!$I$3:$I$42,MATCH($T1504,LISTAS!$H$3:$H$42,0)),"NO")="SÍ",IF(N($X1504)&gt;0,"CERRADA FUERA DE SLA","CERRADA EN SLA"),IF($U1504="","SIN CLASIFICAR",IF(N($X1504)&gt;0,"VENCIDA",IF(TODAY()&gt;=$U1504-1,"POR VENCER","EN PLAZO")))))</f>
        <v/>
      </c>
      <c r="Z1504" s="41" t="n"/>
      <c r="AA1504" s="41" t="n"/>
      <c r="AB1504" s="41" t="n"/>
    </row>
    <row r="1505">
      <c r="A1505" s="39">
        <f>IF($C1505="","","NOV-"&amp;TEXT(ROW()-3,"0000"))</f>
        <v/>
      </c>
      <c r="B1505" s="40" t="n"/>
      <c r="C1505" s="41" t="n"/>
      <c r="D1505" s="42">
        <f>IF($C1505="","",IFERROR(INDEX(DESPACHOS!$D$3:$D$3002,MATCH($C1505,DESPACHOS!$B$3:$B$3002,0)),"SIN DESPACHO"))</f>
        <v/>
      </c>
      <c r="E1505" s="42">
        <f>IF($C1505="","",IFERROR(INDEX(DESPACHOS!$K$3:$K$3002,MATCH($C1505,DESPACHOS!$B$3:$B$3002,0)),""))</f>
        <v/>
      </c>
      <c r="F1505" s="42">
        <f>IF($C1505="","",IFERROR(INDEX(DESPACHOS!$I$3:$I$3002,MATCH($C1505,DESPACHOS!$B$3:$B$3002,0)),""))</f>
        <v/>
      </c>
      <c r="G1505" s="42">
        <f>IF($C1505="","",IFERROR(INDEX(DESPACHOS!$F$3:$F$3002,MATCH($C1505,DESPACHOS!$B$3:$B$3002,0)),""))</f>
        <v/>
      </c>
      <c r="H1505" s="42">
        <f>IF($C1505="","",IFERROR(INDEX(DESPACHOS!$G$3:$G$3002,MATCH($C1505,DESPACHOS!$B$3:$B$3002,0)),""))</f>
        <v/>
      </c>
      <c r="I1505" s="39">
        <f>IF($C1505="","",IFERROR(INDEX(DESPACHOS!$H$3:$H$3002,MATCH($C1505,DESPACHOS!$B$3:$B$3002,0)),""))</f>
        <v/>
      </c>
      <c r="J1505" s="43">
        <f>IF($C1505="","",IFERROR(INDEX(DESPACHOS!$J$3:$J$3002,MATCH($C1505,DESPACHOS!$B$3:$B$3002,0)),""))</f>
        <v/>
      </c>
      <c r="K1505" s="39">
        <f>IF($C1505="","",IF(COUNTIFS(DESPACHOS!$B$3:$B$3002,$C1505)=0,"NO EXISTE",IF(COUNTIFS(DESPACHOS!$B$3:$B$3002,$C1505)&gt;1,"DUPLICADO","OK")))</f>
        <v/>
      </c>
      <c r="L1505" s="41" t="n"/>
      <c r="M1505" s="41" t="n"/>
      <c r="N1505" s="42">
        <f>IF($M1505="","",IFERROR(INDEX(LISTAS!$F$3:$F$42,MATCH($M1505,LISTAS!$E$3:$E$42,0)),"Por definir"))</f>
        <v/>
      </c>
      <c r="O1505" s="41" t="n"/>
      <c r="P1505" s="39">
        <f>IF($L1505="","",IFERROR(INDEX(LISTAS!$B$3:$B$42,MATCH($L1505,LISTAS!$A$3:$A$42,0)),"Media"))</f>
        <v/>
      </c>
      <c r="Q1505" s="44" t="n"/>
      <c r="R1505" s="45" t="n"/>
      <c r="S1505" s="20">
        <f>IFERROR(IF(OR($R1505="",$C1505=""),"",$R1505/INDEX(DESPACHOS!$M$3:$M$3002,MATCH($C1505,DESPACHOS!$B$3:$B$3002,0))),"")</f>
        <v/>
      </c>
      <c r="T1505" s="41" t="n"/>
      <c r="U1505" s="43">
        <f>IF(OR($B1505="",$L1505=""),"",WORKDAY($B1505,IFERROR(INDEX(LISTAS!$C$3:$C$42,MATCH($L1505,LISTAS!$A$3:$A$42,0)),3)))</f>
        <v/>
      </c>
      <c r="V1505" s="40" t="n"/>
      <c r="W1505" s="19">
        <f>IF($B1505="","",IF($V1505&lt;&gt;"",$V1505-$B1505,TODAY()-$B1505))</f>
        <v/>
      </c>
      <c r="X1505" s="19">
        <f>IF(OR($B1505="",$U1505=""),"",IF($V1505&lt;&gt;"",MAX(0,$V1505-$U1505),MAX(0,TODAY()-$U1505)))</f>
        <v/>
      </c>
      <c r="Y1505" s="39">
        <f>IF($C1505="","",IF(IFERROR(INDEX(LISTAS!$I$3:$I$42,MATCH($T1505,LISTAS!$H$3:$H$42,0)),"NO")="SÍ",IF(N($X1505)&gt;0,"CERRADA FUERA DE SLA","CERRADA EN SLA"),IF($U1505="","SIN CLASIFICAR",IF(N($X1505)&gt;0,"VENCIDA",IF(TODAY()&gt;=$U1505-1,"POR VENCER","EN PLAZO")))))</f>
        <v/>
      </c>
      <c r="Z1505" s="41" t="n"/>
      <c r="AA1505" s="41" t="n"/>
      <c r="AB1505" s="41" t="n"/>
    </row>
    <row r="1506">
      <c r="A1506" s="39">
        <f>IF($C1506="","","NOV-"&amp;TEXT(ROW()-3,"0000"))</f>
        <v/>
      </c>
      <c r="B1506" s="40" t="n"/>
      <c r="C1506" s="41" t="n"/>
      <c r="D1506" s="42">
        <f>IF($C1506="","",IFERROR(INDEX(DESPACHOS!$D$3:$D$3002,MATCH($C1506,DESPACHOS!$B$3:$B$3002,0)),"SIN DESPACHO"))</f>
        <v/>
      </c>
      <c r="E1506" s="42">
        <f>IF($C1506="","",IFERROR(INDEX(DESPACHOS!$K$3:$K$3002,MATCH($C1506,DESPACHOS!$B$3:$B$3002,0)),""))</f>
        <v/>
      </c>
      <c r="F1506" s="42">
        <f>IF($C1506="","",IFERROR(INDEX(DESPACHOS!$I$3:$I$3002,MATCH($C1506,DESPACHOS!$B$3:$B$3002,0)),""))</f>
        <v/>
      </c>
      <c r="G1506" s="42">
        <f>IF($C1506="","",IFERROR(INDEX(DESPACHOS!$F$3:$F$3002,MATCH($C1506,DESPACHOS!$B$3:$B$3002,0)),""))</f>
        <v/>
      </c>
      <c r="H1506" s="42">
        <f>IF($C1506="","",IFERROR(INDEX(DESPACHOS!$G$3:$G$3002,MATCH($C1506,DESPACHOS!$B$3:$B$3002,0)),""))</f>
        <v/>
      </c>
      <c r="I1506" s="39">
        <f>IF($C1506="","",IFERROR(INDEX(DESPACHOS!$H$3:$H$3002,MATCH($C1506,DESPACHOS!$B$3:$B$3002,0)),""))</f>
        <v/>
      </c>
      <c r="J1506" s="43">
        <f>IF($C1506="","",IFERROR(INDEX(DESPACHOS!$J$3:$J$3002,MATCH($C1506,DESPACHOS!$B$3:$B$3002,0)),""))</f>
        <v/>
      </c>
      <c r="K1506" s="39">
        <f>IF($C1506="","",IF(COUNTIFS(DESPACHOS!$B$3:$B$3002,$C1506)=0,"NO EXISTE",IF(COUNTIFS(DESPACHOS!$B$3:$B$3002,$C1506)&gt;1,"DUPLICADO","OK")))</f>
        <v/>
      </c>
      <c r="L1506" s="41" t="n"/>
      <c r="M1506" s="41" t="n"/>
      <c r="N1506" s="42">
        <f>IF($M1506="","",IFERROR(INDEX(LISTAS!$F$3:$F$42,MATCH($M1506,LISTAS!$E$3:$E$42,0)),"Por definir"))</f>
        <v/>
      </c>
      <c r="O1506" s="41" t="n"/>
      <c r="P1506" s="39">
        <f>IF($L1506="","",IFERROR(INDEX(LISTAS!$B$3:$B$42,MATCH($L1506,LISTAS!$A$3:$A$42,0)),"Media"))</f>
        <v/>
      </c>
      <c r="Q1506" s="44" t="n"/>
      <c r="R1506" s="45" t="n"/>
      <c r="S1506" s="20">
        <f>IFERROR(IF(OR($R1506="",$C1506=""),"",$R1506/INDEX(DESPACHOS!$M$3:$M$3002,MATCH($C1506,DESPACHOS!$B$3:$B$3002,0))),"")</f>
        <v/>
      </c>
      <c r="T1506" s="41" t="n"/>
      <c r="U1506" s="43">
        <f>IF(OR($B1506="",$L1506=""),"",WORKDAY($B1506,IFERROR(INDEX(LISTAS!$C$3:$C$42,MATCH($L1506,LISTAS!$A$3:$A$42,0)),3)))</f>
        <v/>
      </c>
      <c r="V1506" s="40" t="n"/>
      <c r="W1506" s="19">
        <f>IF($B1506="","",IF($V1506&lt;&gt;"",$V1506-$B1506,TODAY()-$B1506))</f>
        <v/>
      </c>
      <c r="X1506" s="19">
        <f>IF(OR($B1506="",$U1506=""),"",IF($V1506&lt;&gt;"",MAX(0,$V1506-$U1506),MAX(0,TODAY()-$U1506)))</f>
        <v/>
      </c>
      <c r="Y1506" s="39">
        <f>IF($C1506="","",IF(IFERROR(INDEX(LISTAS!$I$3:$I$42,MATCH($T1506,LISTAS!$H$3:$H$42,0)),"NO")="SÍ",IF(N($X1506)&gt;0,"CERRADA FUERA DE SLA","CERRADA EN SLA"),IF($U1506="","SIN CLASIFICAR",IF(N($X1506)&gt;0,"VENCIDA",IF(TODAY()&gt;=$U1506-1,"POR VENCER","EN PLAZO")))))</f>
        <v/>
      </c>
      <c r="Z1506" s="41" t="n"/>
      <c r="AA1506" s="41" t="n"/>
      <c r="AB1506" s="41" t="n"/>
    </row>
    <row r="1507">
      <c r="A1507" s="39">
        <f>IF($C1507="","","NOV-"&amp;TEXT(ROW()-3,"0000"))</f>
        <v/>
      </c>
      <c r="B1507" s="40" t="n"/>
      <c r="C1507" s="41" t="n"/>
      <c r="D1507" s="42">
        <f>IF($C1507="","",IFERROR(INDEX(DESPACHOS!$D$3:$D$3002,MATCH($C1507,DESPACHOS!$B$3:$B$3002,0)),"SIN DESPACHO"))</f>
        <v/>
      </c>
      <c r="E1507" s="42">
        <f>IF($C1507="","",IFERROR(INDEX(DESPACHOS!$K$3:$K$3002,MATCH($C1507,DESPACHOS!$B$3:$B$3002,0)),""))</f>
        <v/>
      </c>
      <c r="F1507" s="42">
        <f>IF($C1507="","",IFERROR(INDEX(DESPACHOS!$I$3:$I$3002,MATCH($C1507,DESPACHOS!$B$3:$B$3002,0)),""))</f>
        <v/>
      </c>
      <c r="G1507" s="42">
        <f>IF($C1507="","",IFERROR(INDEX(DESPACHOS!$F$3:$F$3002,MATCH($C1507,DESPACHOS!$B$3:$B$3002,0)),""))</f>
        <v/>
      </c>
      <c r="H1507" s="42">
        <f>IF($C1507="","",IFERROR(INDEX(DESPACHOS!$G$3:$G$3002,MATCH($C1507,DESPACHOS!$B$3:$B$3002,0)),""))</f>
        <v/>
      </c>
      <c r="I1507" s="39">
        <f>IF($C1507="","",IFERROR(INDEX(DESPACHOS!$H$3:$H$3002,MATCH($C1507,DESPACHOS!$B$3:$B$3002,0)),""))</f>
        <v/>
      </c>
      <c r="J1507" s="43">
        <f>IF($C1507="","",IFERROR(INDEX(DESPACHOS!$J$3:$J$3002,MATCH($C1507,DESPACHOS!$B$3:$B$3002,0)),""))</f>
        <v/>
      </c>
      <c r="K1507" s="39">
        <f>IF($C1507="","",IF(COUNTIFS(DESPACHOS!$B$3:$B$3002,$C1507)=0,"NO EXISTE",IF(COUNTIFS(DESPACHOS!$B$3:$B$3002,$C1507)&gt;1,"DUPLICADO","OK")))</f>
        <v/>
      </c>
      <c r="L1507" s="41" t="n"/>
      <c r="M1507" s="41" t="n"/>
      <c r="N1507" s="42">
        <f>IF($M1507="","",IFERROR(INDEX(LISTAS!$F$3:$F$42,MATCH($M1507,LISTAS!$E$3:$E$42,0)),"Por definir"))</f>
        <v/>
      </c>
      <c r="O1507" s="41" t="n"/>
      <c r="P1507" s="39">
        <f>IF($L1507="","",IFERROR(INDEX(LISTAS!$B$3:$B$42,MATCH($L1507,LISTAS!$A$3:$A$42,0)),"Media"))</f>
        <v/>
      </c>
      <c r="Q1507" s="44" t="n"/>
      <c r="R1507" s="45" t="n"/>
      <c r="S1507" s="20">
        <f>IFERROR(IF(OR($R1507="",$C1507=""),"",$R1507/INDEX(DESPACHOS!$M$3:$M$3002,MATCH($C1507,DESPACHOS!$B$3:$B$3002,0))),"")</f>
        <v/>
      </c>
      <c r="T1507" s="41" t="n"/>
      <c r="U1507" s="43">
        <f>IF(OR($B1507="",$L1507=""),"",WORKDAY($B1507,IFERROR(INDEX(LISTAS!$C$3:$C$42,MATCH($L1507,LISTAS!$A$3:$A$42,0)),3)))</f>
        <v/>
      </c>
      <c r="V1507" s="40" t="n"/>
      <c r="W1507" s="19">
        <f>IF($B1507="","",IF($V1507&lt;&gt;"",$V1507-$B1507,TODAY()-$B1507))</f>
        <v/>
      </c>
      <c r="X1507" s="19">
        <f>IF(OR($B1507="",$U1507=""),"",IF($V1507&lt;&gt;"",MAX(0,$V1507-$U1507),MAX(0,TODAY()-$U1507)))</f>
        <v/>
      </c>
      <c r="Y1507" s="39">
        <f>IF($C1507="","",IF(IFERROR(INDEX(LISTAS!$I$3:$I$42,MATCH($T1507,LISTAS!$H$3:$H$42,0)),"NO")="SÍ",IF(N($X1507)&gt;0,"CERRADA FUERA DE SLA","CERRADA EN SLA"),IF($U1507="","SIN CLASIFICAR",IF(N($X1507)&gt;0,"VENCIDA",IF(TODAY()&gt;=$U1507-1,"POR VENCER","EN PLAZO")))))</f>
        <v/>
      </c>
      <c r="Z1507" s="41" t="n"/>
      <c r="AA1507" s="41" t="n"/>
      <c r="AB1507" s="41" t="n"/>
    </row>
    <row r="1508">
      <c r="A1508" s="39">
        <f>IF($C1508="","","NOV-"&amp;TEXT(ROW()-3,"0000"))</f>
        <v/>
      </c>
      <c r="B1508" s="40" t="n"/>
      <c r="C1508" s="41" t="n"/>
      <c r="D1508" s="42">
        <f>IF($C1508="","",IFERROR(INDEX(DESPACHOS!$D$3:$D$3002,MATCH($C1508,DESPACHOS!$B$3:$B$3002,0)),"SIN DESPACHO"))</f>
        <v/>
      </c>
      <c r="E1508" s="42">
        <f>IF($C1508="","",IFERROR(INDEX(DESPACHOS!$K$3:$K$3002,MATCH($C1508,DESPACHOS!$B$3:$B$3002,0)),""))</f>
        <v/>
      </c>
      <c r="F1508" s="42">
        <f>IF($C1508="","",IFERROR(INDEX(DESPACHOS!$I$3:$I$3002,MATCH($C1508,DESPACHOS!$B$3:$B$3002,0)),""))</f>
        <v/>
      </c>
      <c r="G1508" s="42">
        <f>IF($C1508="","",IFERROR(INDEX(DESPACHOS!$F$3:$F$3002,MATCH($C1508,DESPACHOS!$B$3:$B$3002,0)),""))</f>
        <v/>
      </c>
      <c r="H1508" s="42">
        <f>IF($C1508="","",IFERROR(INDEX(DESPACHOS!$G$3:$G$3002,MATCH($C1508,DESPACHOS!$B$3:$B$3002,0)),""))</f>
        <v/>
      </c>
      <c r="I1508" s="39">
        <f>IF($C1508="","",IFERROR(INDEX(DESPACHOS!$H$3:$H$3002,MATCH($C1508,DESPACHOS!$B$3:$B$3002,0)),""))</f>
        <v/>
      </c>
      <c r="J1508" s="43">
        <f>IF($C1508="","",IFERROR(INDEX(DESPACHOS!$J$3:$J$3002,MATCH($C1508,DESPACHOS!$B$3:$B$3002,0)),""))</f>
        <v/>
      </c>
      <c r="K1508" s="39">
        <f>IF($C1508="","",IF(COUNTIFS(DESPACHOS!$B$3:$B$3002,$C1508)=0,"NO EXISTE",IF(COUNTIFS(DESPACHOS!$B$3:$B$3002,$C1508)&gt;1,"DUPLICADO","OK")))</f>
        <v/>
      </c>
      <c r="L1508" s="41" t="n"/>
      <c r="M1508" s="41" t="n"/>
      <c r="N1508" s="42">
        <f>IF($M1508="","",IFERROR(INDEX(LISTAS!$F$3:$F$42,MATCH($M1508,LISTAS!$E$3:$E$42,0)),"Por definir"))</f>
        <v/>
      </c>
      <c r="O1508" s="41" t="n"/>
      <c r="P1508" s="39">
        <f>IF($L1508="","",IFERROR(INDEX(LISTAS!$B$3:$B$42,MATCH($L1508,LISTAS!$A$3:$A$42,0)),"Media"))</f>
        <v/>
      </c>
      <c r="Q1508" s="44" t="n"/>
      <c r="R1508" s="45" t="n"/>
      <c r="S1508" s="20">
        <f>IFERROR(IF(OR($R1508="",$C1508=""),"",$R1508/INDEX(DESPACHOS!$M$3:$M$3002,MATCH($C1508,DESPACHOS!$B$3:$B$3002,0))),"")</f>
        <v/>
      </c>
      <c r="T1508" s="41" t="n"/>
      <c r="U1508" s="43">
        <f>IF(OR($B1508="",$L1508=""),"",WORKDAY($B1508,IFERROR(INDEX(LISTAS!$C$3:$C$42,MATCH($L1508,LISTAS!$A$3:$A$42,0)),3)))</f>
        <v/>
      </c>
      <c r="V1508" s="40" t="n"/>
      <c r="W1508" s="19">
        <f>IF($B1508="","",IF($V1508&lt;&gt;"",$V1508-$B1508,TODAY()-$B1508))</f>
        <v/>
      </c>
      <c r="X1508" s="19">
        <f>IF(OR($B1508="",$U1508=""),"",IF($V1508&lt;&gt;"",MAX(0,$V1508-$U1508),MAX(0,TODAY()-$U1508)))</f>
        <v/>
      </c>
      <c r="Y1508" s="39">
        <f>IF($C1508="","",IF(IFERROR(INDEX(LISTAS!$I$3:$I$42,MATCH($T1508,LISTAS!$H$3:$H$42,0)),"NO")="SÍ",IF(N($X1508)&gt;0,"CERRADA FUERA DE SLA","CERRADA EN SLA"),IF($U1508="","SIN CLASIFICAR",IF(N($X1508)&gt;0,"VENCIDA",IF(TODAY()&gt;=$U1508-1,"POR VENCER","EN PLAZO")))))</f>
        <v/>
      </c>
      <c r="Z1508" s="41" t="n"/>
      <c r="AA1508" s="41" t="n"/>
      <c r="AB1508" s="41" t="n"/>
    </row>
    <row r="1509">
      <c r="A1509" s="39">
        <f>IF($C1509="","","NOV-"&amp;TEXT(ROW()-3,"0000"))</f>
        <v/>
      </c>
      <c r="B1509" s="40" t="n"/>
      <c r="C1509" s="41" t="n"/>
      <c r="D1509" s="42">
        <f>IF($C1509="","",IFERROR(INDEX(DESPACHOS!$D$3:$D$3002,MATCH($C1509,DESPACHOS!$B$3:$B$3002,0)),"SIN DESPACHO"))</f>
        <v/>
      </c>
      <c r="E1509" s="42">
        <f>IF($C1509="","",IFERROR(INDEX(DESPACHOS!$K$3:$K$3002,MATCH($C1509,DESPACHOS!$B$3:$B$3002,0)),""))</f>
        <v/>
      </c>
      <c r="F1509" s="42">
        <f>IF($C1509="","",IFERROR(INDEX(DESPACHOS!$I$3:$I$3002,MATCH($C1509,DESPACHOS!$B$3:$B$3002,0)),""))</f>
        <v/>
      </c>
      <c r="G1509" s="42">
        <f>IF($C1509="","",IFERROR(INDEX(DESPACHOS!$F$3:$F$3002,MATCH($C1509,DESPACHOS!$B$3:$B$3002,0)),""))</f>
        <v/>
      </c>
      <c r="H1509" s="42">
        <f>IF($C1509="","",IFERROR(INDEX(DESPACHOS!$G$3:$G$3002,MATCH($C1509,DESPACHOS!$B$3:$B$3002,0)),""))</f>
        <v/>
      </c>
      <c r="I1509" s="39">
        <f>IF($C1509="","",IFERROR(INDEX(DESPACHOS!$H$3:$H$3002,MATCH($C1509,DESPACHOS!$B$3:$B$3002,0)),""))</f>
        <v/>
      </c>
      <c r="J1509" s="43">
        <f>IF($C1509="","",IFERROR(INDEX(DESPACHOS!$J$3:$J$3002,MATCH($C1509,DESPACHOS!$B$3:$B$3002,0)),""))</f>
        <v/>
      </c>
      <c r="K1509" s="39">
        <f>IF($C1509="","",IF(COUNTIFS(DESPACHOS!$B$3:$B$3002,$C1509)=0,"NO EXISTE",IF(COUNTIFS(DESPACHOS!$B$3:$B$3002,$C1509)&gt;1,"DUPLICADO","OK")))</f>
        <v/>
      </c>
      <c r="L1509" s="41" t="n"/>
      <c r="M1509" s="41" t="n"/>
      <c r="N1509" s="42">
        <f>IF($M1509="","",IFERROR(INDEX(LISTAS!$F$3:$F$42,MATCH($M1509,LISTAS!$E$3:$E$42,0)),"Por definir"))</f>
        <v/>
      </c>
      <c r="O1509" s="41" t="n"/>
      <c r="P1509" s="39">
        <f>IF($L1509="","",IFERROR(INDEX(LISTAS!$B$3:$B$42,MATCH($L1509,LISTAS!$A$3:$A$42,0)),"Media"))</f>
        <v/>
      </c>
      <c r="Q1509" s="44" t="n"/>
      <c r="R1509" s="45" t="n"/>
      <c r="S1509" s="20">
        <f>IFERROR(IF(OR($R1509="",$C1509=""),"",$R1509/INDEX(DESPACHOS!$M$3:$M$3002,MATCH($C1509,DESPACHOS!$B$3:$B$3002,0))),"")</f>
        <v/>
      </c>
      <c r="T1509" s="41" t="n"/>
      <c r="U1509" s="43">
        <f>IF(OR($B1509="",$L1509=""),"",WORKDAY($B1509,IFERROR(INDEX(LISTAS!$C$3:$C$42,MATCH($L1509,LISTAS!$A$3:$A$42,0)),3)))</f>
        <v/>
      </c>
      <c r="V1509" s="40" t="n"/>
      <c r="W1509" s="19">
        <f>IF($B1509="","",IF($V1509&lt;&gt;"",$V1509-$B1509,TODAY()-$B1509))</f>
        <v/>
      </c>
      <c r="X1509" s="19">
        <f>IF(OR($B1509="",$U1509=""),"",IF($V1509&lt;&gt;"",MAX(0,$V1509-$U1509),MAX(0,TODAY()-$U1509)))</f>
        <v/>
      </c>
      <c r="Y1509" s="39">
        <f>IF($C1509="","",IF(IFERROR(INDEX(LISTAS!$I$3:$I$42,MATCH($T1509,LISTAS!$H$3:$H$42,0)),"NO")="SÍ",IF(N($X1509)&gt;0,"CERRADA FUERA DE SLA","CERRADA EN SLA"),IF($U1509="","SIN CLASIFICAR",IF(N($X1509)&gt;0,"VENCIDA",IF(TODAY()&gt;=$U1509-1,"POR VENCER","EN PLAZO")))))</f>
        <v/>
      </c>
      <c r="Z1509" s="41" t="n"/>
      <c r="AA1509" s="41" t="n"/>
      <c r="AB1509" s="41" t="n"/>
    </row>
    <row r="1510">
      <c r="A1510" s="39">
        <f>IF($C1510="","","NOV-"&amp;TEXT(ROW()-3,"0000"))</f>
        <v/>
      </c>
      <c r="B1510" s="40" t="n"/>
      <c r="C1510" s="41" t="n"/>
      <c r="D1510" s="42">
        <f>IF($C1510="","",IFERROR(INDEX(DESPACHOS!$D$3:$D$3002,MATCH($C1510,DESPACHOS!$B$3:$B$3002,0)),"SIN DESPACHO"))</f>
        <v/>
      </c>
      <c r="E1510" s="42">
        <f>IF($C1510="","",IFERROR(INDEX(DESPACHOS!$K$3:$K$3002,MATCH($C1510,DESPACHOS!$B$3:$B$3002,0)),""))</f>
        <v/>
      </c>
      <c r="F1510" s="42">
        <f>IF($C1510="","",IFERROR(INDEX(DESPACHOS!$I$3:$I$3002,MATCH($C1510,DESPACHOS!$B$3:$B$3002,0)),""))</f>
        <v/>
      </c>
      <c r="G1510" s="42">
        <f>IF($C1510="","",IFERROR(INDEX(DESPACHOS!$F$3:$F$3002,MATCH($C1510,DESPACHOS!$B$3:$B$3002,0)),""))</f>
        <v/>
      </c>
      <c r="H1510" s="42">
        <f>IF($C1510="","",IFERROR(INDEX(DESPACHOS!$G$3:$G$3002,MATCH($C1510,DESPACHOS!$B$3:$B$3002,0)),""))</f>
        <v/>
      </c>
      <c r="I1510" s="39">
        <f>IF($C1510="","",IFERROR(INDEX(DESPACHOS!$H$3:$H$3002,MATCH($C1510,DESPACHOS!$B$3:$B$3002,0)),""))</f>
        <v/>
      </c>
      <c r="J1510" s="43">
        <f>IF($C1510="","",IFERROR(INDEX(DESPACHOS!$J$3:$J$3002,MATCH($C1510,DESPACHOS!$B$3:$B$3002,0)),""))</f>
        <v/>
      </c>
      <c r="K1510" s="39">
        <f>IF($C1510="","",IF(COUNTIFS(DESPACHOS!$B$3:$B$3002,$C1510)=0,"NO EXISTE",IF(COUNTIFS(DESPACHOS!$B$3:$B$3002,$C1510)&gt;1,"DUPLICADO","OK")))</f>
        <v/>
      </c>
      <c r="L1510" s="41" t="n"/>
      <c r="M1510" s="41" t="n"/>
      <c r="N1510" s="42">
        <f>IF($M1510="","",IFERROR(INDEX(LISTAS!$F$3:$F$42,MATCH($M1510,LISTAS!$E$3:$E$42,0)),"Por definir"))</f>
        <v/>
      </c>
      <c r="O1510" s="41" t="n"/>
      <c r="P1510" s="39">
        <f>IF($L1510="","",IFERROR(INDEX(LISTAS!$B$3:$B$42,MATCH($L1510,LISTAS!$A$3:$A$42,0)),"Media"))</f>
        <v/>
      </c>
      <c r="Q1510" s="44" t="n"/>
      <c r="R1510" s="45" t="n"/>
      <c r="S1510" s="20">
        <f>IFERROR(IF(OR($R1510="",$C1510=""),"",$R1510/INDEX(DESPACHOS!$M$3:$M$3002,MATCH($C1510,DESPACHOS!$B$3:$B$3002,0))),"")</f>
        <v/>
      </c>
      <c r="T1510" s="41" t="n"/>
      <c r="U1510" s="43">
        <f>IF(OR($B1510="",$L1510=""),"",WORKDAY($B1510,IFERROR(INDEX(LISTAS!$C$3:$C$42,MATCH($L1510,LISTAS!$A$3:$A$42,0)),3)))</f>
        <v/>
      </c>
      <c r="V1510" s="40" t="n"/>
      <c r="W1510" s="19">
        <f>IF($B1510="","",IF($V1510&lt;&gt;"",$V1510-$B1510,TODAY()-$B1510))</f>
        <v/>
      </c>
      <c r="X1510" s="19">
        <f>IF(OR($B1510="",$U1510=""),"",IF($V1510&lt;&gt;"",MAX(0,$V1510-$U1510),MAX(0,TODAY()-$U1510)))</f>
        <v/>
      </c>
      <c r="Y1510" s="39">
        <f>IF($C1510="","",IF(IFERROR(INDEX(LISTAS!$I$3:$I$42,MATCH($T1510,LISTAS!$H$3:$H$42,0)),"NO")="SÍ",IF(N($X1510)&gt;0,"CERRADA FUERA DE SLA","CERRADA EN SLA"),IF($U1510="","SIN CLASIFICAR",IF(N($X1510)&gt;0,"VENCIDA",IF(TODAY()&gt;=$U1510-1,"POR VENCER","EN PLAZO")))))</f>
        <v/>
      </c>
      <c r="Z1510" s="41" t="n"/>
      <c r="AA1510" s="41" t="n"/>
      <c r="AB1510" s="41" t="n"/>
    </row>
    <row r="1511">
      <c r="A1511" s="39">
        <f>IF($C1511="","","NOV-"&amp;TEXT(ROW()-3,"0000"))</f>
        <v/>
      </c>
      <c r="B1511" s="40" t="n"/>
      <c r="C1511" s="41" t="n"/>
      <c r="D1511" s="42">
        <f>IF($C1511="","",IFERROR(INDEX(DESPACHOS!$D$3:$D$3002,MATCH($C1511,DESPACHOS!$B$3:$B$3002,0)),"SIN DESPACHO"))</f>
        <v/>
      </c>
      <c r="E1511" s="42">
        <f>IF($C1511="","",IFERROR(INDEX(DESPACHOS!$K$3:$K$3002,MATCH($C1511,DESPACHOS!$B$3:$B$3002,0)),""))</f>
        <v/>
      </c>
      <c r="F1511" s="42">
        <f>IF($C1511="","",IFERROR(INDEX(DESPACHOS!$I$3:$I$3002,MATCH($C1511,DESPACHOS!$B$3:$B$3002,0)),""))</f>
        <v/>
      </c>
      <c r="G1511" s="42">
        <f>IF($C1511="","",IFERROR(INDEX(DESPACHOS!$F$3:$F$3002,MATCH($C1511,DESPACHOS!$B$3:$B$3002,0)),""))</f>
        <v/>
      </c>
      <c r="H1511" s="42">
        <f>IF($C1511="","",IFERROR(INDEX(DESPACHOS!$G$3:$G$3002,MATCH($C1511,DESPACHOS!$B$3:$B$3002,0)),""))</f>
        <v/>
      </c>
      <c r="I1511" s="39">
        <f>IF($C1511="","",IFERROR(INDEX(DESPACHOS!$H$3:$H$3002,MATCH($C1511,DESPACHOS!$B$3:$B$3002,0)),""))</f>
        <v/>
      </c>
      <c r="J1511" s="43">
        <f>IF($C1511="","",IFERROR(INDEX(DESPACHOS!$J$3:$J$3002,MATCH($C1511,DESPACHOS!$B$3:$B$3002,0)),""))</f>
        <v/>
      </c>
      <c r="K1511" s="39">
        <f>IF($C1511="","",IF(COUNTIFS(DESPACHOS!$B$3:$B$3002,$C1511)=0,"NO EXISTE",IF(COUNTIFS(DESPACHOS!$B$3:$B$3002,$C1511)&gt;1,"DUPLICADO","OK")))</f>
        <v/>
      </c>
      <c r="L1511" s="41" t="n"/>
      <c r="M1511" s="41" t="n"/>
      <c r="N1511" s="42">
        <f>IF($M1511="","",IFERROR(INDEX(LISTAS!$F$3:$F$42,MATCH($M1511,LISTAS!$E$3:$E$42,0)),"Por definir"))</f>
        <v/>
      </c>
      <c r="O1511" s="41" t="n"/>
      <c r="P1511" s="39">
        <f>IF($L1511="","",IFERROR(INDEX(LISTAS!$B$3:$B$42,MATCH($L1511,LISTAS!$A$3:$A$42,0)),"Media"))</f>
        <v/>
      </c>
      <c r="Q1511" s="44" t="n"/>
      <c r="R1511" s="45" t="n"/>
      <c r="S1511" s="20">
        <f>IFERROR(IF(OR($R1511="",$C1511=""),"",$R1511/INDEX(DESPACHOS!$M$3:$M$3002,MATCH($C1511,DESPACHOS!$B$3:$B$3002,0))),"")</f>
        <v/>
      </c>
      <c r="T1511" s="41" t="n"/>
      <c r="U1511" s="43">
        <f>IF(OR($B1511="",$L1511=""),"",WORKDAY($B1511,IFERROR(INDEX(LISTAS!$C$3:$C$42,MATCH($L1511,LISTAS!$A$3:$A$42,0)),3)))</f>
        <v/>
      </c>
      <c r="V1511" s="40" t="n"/>
      <c r="W1511" s="19">
        <f>IF($B1511="","",IF($V1511&lt;&gt;"",$V1511-$B1511,TODAY()-$B1511))</f>
        <v/>
      </c>
      <c r="X1511" s="19">
        <f>IF(OR($B1511="",$U1511=""),"",IF($V1511&lt;&gt;"",MAX(0,$V1511-$U1511),MAX(0,TODAY()-$U1511)))</f>
        <v/>
      </c>
      <c r="Y1511" s="39">
        <f>IF($C1511="","",IF(IFERROR(INDEX(LISTAS!$I$3:$I$42,MATCH($T1511,LISTAS!$H$3:$H$42,0)),"NO")="SÍ",IF(N($X1511)&gt;0,"CERRADA FUERA DE SLA","CERRADA EN SLA"),IF($U1511="","SIN CLASIFICAR",IF(N($X1511)&gt;0,"VENCIDA",IF(TODAY()&gt;=$U1511-1,"POR VENCER","EN PLAZO")))))</f>
        <v/>
      </c>
      <c r="Z1511" s="41" t="n"/>
      <c r="AA1511" s="41" t="n"/>
      <c r="AB1511" s="41" t="n"/>
    </row>
    <row r="1512">
      <c r="A1512" s="39">
        <f>IF($C1512="","","NOV-"&amp;TEXT(ROW()-3,"0000"))</f>
        <v/>
      </c>
      <c r="B1512" s="40" t="n"/>
      <c r="C1512" s="41" t="n"/>
      <c r="D1512" s="42">
        <f>IF($C1512="","",IFERROR(INDEX(DESPACHOS!$D$3:$D$3002,MATCH($C1512,DESPACHOS!$B$3:$B$3002,0)),"SIN DESPACHO"))</f>
        <v/>
      </c>
      <c r="E1512" s="42">
        <f>IF($C1512="","",IFERROR(INDEX(DESPACHOS!$K$3:$K$3002,MATCH($C1512,DESPACHOS!$B$3:$B$3002,0)),""))</f>
        <v/>
      </c>
      <c r="F1512" s="42">
        <f>IF($C1512="","",IFERROR(INDEX(DESPACHOS!$I$3:$I$3002,MATCH($C1512,DESPACHOS!$B$3:$B$3002,0)),""))</f>
        <v/>
      </c>
      <c r="G1512" s="42">
        <f>IF($C1512="","",IFERROR(INDEX(DESPACHOS!$F$3:$F$3002,MATCH($C1512,DESPACHOS!$B$3:$B$3002,0)),""))</f>
        <v/>
      </c>
      <c r="H1512" s="42">
        <f>IF($C1512="","",IFERROR(INDEX(DESPACHOS!$G$3:$G$3002,MATCH($C1512,DESPACHOS!$B$3:$B$3002,0)),""))</f>
        <v/>
      </c>
      <c r="I1512" s="39">
        <f>IF($C1512="","",IFERROR(INDEX(DESPACHOS!$H$3:$H$3002,MATCH($C1512,DESPACHOS!$B$3:$B$3002,0)),""))</f>
        <v/>
      </c>
      <c r="J1512" s="43">
        <f>IF($C1512="","",IFERROR(INDEX(DESPACHOS!$J$3:$J$3002,MATCH($C1512,DESPACHOS!$B$3:$B$3002,0)),""))</f>
        <v/>
      </c>
      <c r="K1512" s="39">
        <f>IF($C1512="","",IF(COUNTIFS(DESPACHOS!$B$3:$B$3002,$C1512)=0,"NO EXISTE",IF(COUNTIFS(DESPACHOS!$B$3:$B$3002,$C1512)&gt;1,"DUPLICADO","OK")))</f>
        <v/>
      </c>
      <c r="L1512" s="41" t="n"/>
      <c r="M1512" s="41" t="n"/>
      <c r="N1512" s="42">
        <f>IF($M1512="","",IFERROR(INDEX(LISTAS!$F$3:$F$42,MATCH($M1512,LISTAS!$E$3:$E$42,0)),"Por definir"))</f>
        <v/>
      </c>
      <c r="O1512" s="41" t="n"/>
      <c r="P1512" s="39">
        <f>IF($L1512="","",IFERROR(INDEX(LISTAS!$B$3:$B$42,MATCH($L1512,LISTAS!$A$3:$A$42,0)),"Media"))</f>
        <v/>
      </c>
      <c r="Q1512" s="44" t="n"/>
      <c r="R1512" s="45" t="n"/>
      <c r="S1512" s="20">
        <f>IFERROR(IF(OR($R1512="",$C1512=""),"",$R1512/INDEX(DESPACHOS!$M$3:$M$3002,MATCH($C1512,DESPACHOS!$B$3:$B$3002,0))),"")</f>
        <v/>
      </c>
      <c r="T1512" s="41" t="n"/>
      <c r="U1512" s="43">
        <f>IF(OR($B1512="",$L1512=""),"",WORKDAY($B1512,IFERROR(INDEX(LISTAS!$C$3:$C$42,MATCH($L1512,LISTAS!$A$3:$A$42,0)),3)))</f>
        <v/>
      </c>
      <c r="V1512" s="40" t="n"/>
      <c r="W1512" s="19">
        <f>IF($B1512="","",IF($V1512&lt;&gt;"",$V1512-$B1512,TODAY()-$B1512))</f>
        <v/>
      </c>
      <c r="X1512" s="19">
        <f>IF(OR($B1512="",$U1512=""),"",IF($V1512&lt;&gt;"",MAX(0,$V1512-$U1512),MAX(0,TODAY()-$U1512)))</f>
        <v/>
      </c>
      <c r="Y1512" s="39">
        <f>IF($C1512="","",IF(IFERROR(INDEX(LISTAS!$I$3:$I$42,MATCH($T1512,LISTAS!$H$3:$H$42,0)),"NO")="SÍ",IF(N($X1512)&gt;0,"CERRADA FUERA DE SLA","CERRADA EN SLA"),IF($U1512="","SIN CLASIFICAR",IF(N($X1512)&gt;0,"VENCIDA",IF(TODAY()&gt;=$U1512-1,"POR VENCER","EN PLAZO")))))</f>
        <v/>
      </c>
      <c r="Z1512" s="41" t="n"/>
      <c r="AA1512" s="41" t="n"/>
      <c r="AB1512" s="41" t="n"/>
    </row>
    <row r="1513">
      <c r="A1513" s="39">
        <f>IF($C1513="","","NOV-"&amp;TEXT(ROW()-3,"0000"))</f>
        <v/>
      </c>
      <c r="B1513" s="40" t="n"/>
      <c r="C1513" s="41" t="n"/>
      <c r="D1513" s="42">
        <f>IF($C1513="","",IFERROR(INDEX(DESPACHOS!$D$3:$D$3002,MATCH($C1513,DESPACHOS!$B$3:$B$3002,0)),"SIN DESPACHO"))</f>
        <v/>
      </c>
      <c r="E1513" s="42">
        <f>IF($C1513="","",IFERROR(INDEX(DESPACHOS!$K$3:$K$3002,MATCH($C1513,DESPACHOS!$B$3:$B$3002,0)),""))</f>
        <v/>
      </c>
      <c r="F1513" s="42">
        <f>IF($C1513="","",IFERROR(INDEX(DESPACHOS!$I$3:$I$3002,MATCH($C1513,DESPACHOS!$B$3:$B$3002,0)),""))</f>
        <v/>
      </c>
      <c r="G1513" s="42">
        <f>IF($C1513="","",IFERROR(INDEX(DESPACHOS!$F$3:$F$3002,MATCH($C1513,DESPACHOS!$B$3:$B$3002,0)),""))</f>
        <v/>
      </c>
      <c r="H1513" s="42">
        <f>IF($C1513="","",IFERROR(INDEX(DESPACHOS!$G$3:$G$3002,MATCH($C1513,DESPACHOS!$B$3:$B$3002,0)),""))</f>
        <v/>
      </c>
      <c r="I1513" s="39">
        <f>IF($C1513="","",IFERROR(INDEX(DESPACHOS!$H$3:$H$3002,MATCH($C1513,DESPACHOS!$B$3:$B$3002,0)),""))</f>
        <v/>
      </c>
      <c r="J1513" s="43">
        <f>IF($C1513="","",IFERROR(INDEX(DESPACHOS!$J$3:$J$3002,MATCH($C1513,DESPACHOS!$B$3:$B$3002,0)),""))</f>
        <v/>
      </c>
      <c r="K1513" s="39">
        <f>IF($C1513="","",IF(COUNTIFS(DESPACHOS!$B$3:$B$3002,$C1513)=0,"NO EXISTE",IF(COUNTIFS(DESPACHOS!$B$3:$B$3002,$C1513)&gt;1,"DUPLICADO","OK")))</f>
        <v/>
      </c>
      <c r="L1513" s="41" t="n"/>
      <c r="M1513" s="41" t="n"/>
      <c r="N1513" s="42">
        <f>IF($M1513="","",IFERROR(INDEX(LISTAS!$F$3:$F$42,MATCH($M1513,LISTAS!$E$3:$E$42,0)),"Por definir"))</f>
        <v/>
      </c>
      <c r="O1513" s="41" t="n"/>
      <c r="P1513" s="39">
        <f>IF($L1513="","",IFERROR(INDEX(LISTAS!$B$3:$B$42,MATCH($L1513,LISTAS!$A$3:$A$42,0)),"Media"))</f>
        <v/>
      </c>
      <c r="Q1513" s="44" t="n"/>
      <c r="R1513" s="45" t="n"/>
      <c r="S1513" s="20">
        <f>IFERROR(IF(OR($R1513="",$C1513=""),"",$R1513/INDEX(DESPACHOS!$M$3:$M$3002,MATCH($C1513,DESPACHOS!$B$3:$B$3002,0))),"")</f>
        <v/>
      </c>
      <c r="T1513" s="41" t="n"/>
      <c r="U1513" s="43">
        <f>IF(OR($B1513="",$L1513=""),"",WORKDAY($B1513,IFERROR(INDEX(LISTAS!$C$3:$C$42,MATCH($L1513,LISTAS!$A$3:$A$42,0)),3)))</f>
        <v/>
      </c>
      <c r="V1513" s="40" t="n"/>
      <c r="W1513" s="19">
        <f>IF($B1513="","",IF($V1513&lt;&gt;"",$V1513-$B1513,TODAY()-$B1513))</f>
        <v/>
      </c>
      <c r="X1513" s="19">
        <f>IF(OR($B1513="",$U1513=""),"",IF($V1513&lt;&gt;"",MAX(0,$V1513-$U1513),MAX(0,TODAY()-$U1513)))</f>
        <v/>
      </c>
      <c r="Y1513" s="39">
        <f>IF($C1513="","",IF(IFERROR(INDEX(LISTAS!$I$3:$I$42,MATCH($T1513,LISTAS!$H$3:$H$42,0)),"NO")="SÍ",IF(N($X1513)&gt;0,"CERRADA FUERA DE SLA","CERRADA EN SLA"),IF($U1513="","SIN CLASIFICAR",IF(N($X1513)&gt;0,"VENCIDA",IF(TODAY()&gt;=$U1513-1,"POR VENCER","EN PLAZO")))))</f>
        <v/>
      </c>
      <c r="Z1513" s="41" t="n"/>
      <c r="AA1513" s="41" t="n"/>
      <c r="AB1513" s="41" t="n"/>
    </row>
    <row r="1514">
      <c r="A1514" s="39">
        <f>IF($C1514="","","NOV-"&amp;TEXT(ROW()-3,"0000"))</f>
        <v/>
      </c>
      <c r="B1514" s="40" t="n"/>
      <c r="C1514" s="41" t="n"/>
      <c r="D1514" s="42">
        <f>IF($C1514="","",IFERROR(INDEX(DESPACHOS!$D$3:$D$3002,MATCH($C1514,DESPACHOS!$B$3:$B$3002,0)),"SIN DESPACHO"))</f>
        <v/>
      </c>
      <c r="E1514" s="42">
        <f>IF($C1514="","",IFERROR(INDEX(DESPACHOS!$K$3:$K$3002,MATCH($C1514,DESPACHOS!$B$3:$B$3002,0)),""))</f>
        <v/>
      </c>
      <c r="F1514" s="42">
        <f>IF($C1514="","",IFERROR(INDEX(DESPACHOS!$I$3:$I$3002,MATCH($C1514,DESPACHOS!$B$3:$B$3002,0)),""))</f>
        <v/>
      </c>
      <c r="G1514" s="42">
        <f>IF($C1514="","",IFERROR(INDEX(DESPACHOS!$F$3:$F$3002,MATCH($C1514,DESPACHOS!$B$3:$B$3002,0)),""))</f>
        <v/>
      </c>
      <c r="H1514" s="42">
        <f>IF($C1514="","",IFERROR(INDEX(DESPACHOS!$G$3:$G$3002,MATCH($C1514,DESPACHOS!$B$3:$B$3002,0)),""))</f>
        <v/>
      </c>
      <c r="I1514" s="39">
        <f>IF($C1514="","",IFERROR(INDEX(DESPACHOS!$H$3:$H$3002,MATCH($C1514,DESPACHOS!$B$3:$B$3002,0)),""))</f>
        <v/>
      </c>
      <c r="J1514" s="43">
        <f>IF($C1514="","",IFERROR(INDEX(DESPACHOS!$J$3:$J$3002,MATCH($C1514,DESPACHOS!$B$3:$B$3002,0)),""))</f>
        <v/>
      </c>
      <c r="K1514" s="39">
        <f>IF($C1514="","",IF(COUNTIFS(DESPACHOS!$B$3:$B$3002,$C1514)=0,"NO EXISTE",IF(COUNTIFS(DESPACHOS!$B$3:$B$3002,$C1514)&gt;1,"DUPLICADO","OK")))</f>
        <v/>
      </c>
      <c r="L1514" s="41" t="n"/>
      <c r="M1514" s="41" t="n"/>
      <c r="N1514" s="42">
        <f>IF($M1514="","",IFERROR(INDEX(LISTAS!$F$3:$F$42,MATCH($M1514,LISTAS!$E$3:$E$42,0)),"Por definir"))</f>
        <v/>
      </c>
      <c r="O1514" s="41" t="n"/>
      <c r="P1514" s="39">
        <f>IF($L1514="","",IFERROR(INDEX(LISTAS!$B$3:$B$42,MATCH($L1514,LISTAS!$A$3:$A$42,0)),"Media"))</f>
        <v/>
      </c>
      <c r="Q1514" s="44" t="n"/>
      <c r="R1514" s="45" t="n"/>
      <c r="S1514" s="20">
        <f>IFERROR(IF(OR($R1514="",$C1514=""),"",$R1514/INDEX(DESPACHOS!$M$3:$M$3002,MATCH($C1514,DESPACHOS!$B$3:$B$3002,0))),"")</f>
        <v/>
      </c>
      <c r="T1514" s="41" t="n"/>
      <c r="U1514" s="43">
        <f>IF(OR($B1514="",$L1514=""),"",WORKDAY($B1514,IFERROR(INDEX(LISTAS!$C$3:$C$42,MATCH($L1514,LISTAS!$A$3:$A$42,0)),3)))</f>
        <v/>
      </c>
      <c r="V1514" s="40" t="n"/>
      <c r="W1514" s="19">
        <f>IF($B1514="","",IF($V1514&lt;&gt;"",$V1514-$B1514,TODAY()-$B1514))</f>
        <v/>
      </c>
      <c r="X1514" s="19">
        <f>IF(OR($B1514="",$U1514=""),"",IF($V1514&lt;&gt;"",MAX(0,$V1514-$U1514),MAX(0,TODAY()-$U1514)))</f>
        <v/>
      </c>
      <c r="Y1514" s="39">
        <f>IF($C1514="","",IF(IFERROR(INDEX(LISTAS!$I$3:$I$42,MATCH($T1514,LISTAS!$H$3:$H$42,0)),"NO")="SÍ",IF(N($X1514)&gt;0,"CERRADA FUERA DE SLA","CERRADA EN SLA"),IF($U1514="","SIN CLASIFICAR",IF(N($X1514)&gt;0,"VENCIDA",IF(TODAY()&gt;=$U1514-1,"POR VENCER","EN PLAZO")))))</f>
        <v/>
      </c>
      <c r="Z1514" s="41" t="n"/>
      <c r="AA1514" s="41" t="n"/>
      <c r="AB1514" s="41" t="n"/>
    </row>
    <row r="1515">
      <c r="A1515" s="39">
        <f>IF($C1515="","","NOV-"&amp;TEXT(ROW()-3,"0000"))</f>
        <v/>
      </c>
      <c r="B1515" s="40" t="n"/>
      <c r="C1515" s="41" t="n"/>
      <c r="D1515" s="42">
        <f>IF($C1515="","",IFERROR(INDEX(DESPACHOS!$D$3:$D$3002,MATCH($C1515,DESPACHOS!$B$3:$B$3002,0)),"SIN DESPACHO"))</f>
        <v/>
      </c>
      <c r="E1515" s="42">
        <f>IF($C1515="","",IFERROR(INDEX(DESPACHOS!$K$3:$K$3002,MATCH($C1515,DESPACHOS!$B$3:$B$3002,0)),""))</f>
        <v/>
      </c>
      <c r="F1515" s="42">
        <f>IF($C1515="","",IFERROR(INDEX(DESPACHOS!$I$3:$I$3002,MATCH($C1515,DESPACHOS!$B$3:$B$3002,0)),""))</f>
        <v/>
      </c>
      <c r="G1515" s="42">
        <f>IF($C1515="","",IFERROR(INDEX(DESPACHOS!$F$3:$F$3002,MATCH($C1515,DESPACHOS!$B$3:$B$3002,0)),""))</f>
        <v/>
      </c>
      <c r="H1515" s="42">
        <f>IF($C1515="","",IFERROR(INDEX(DESPACHOS!$G$3:$G$3002,MATCH($C1515,DESPACHOS!$B$3:$B$3002,0)),""))</f>
        <v/>
      </c>
      <c r="I1515" s="39">
        <f>IF($C1515="","",IFERROR(INDEX(DESPACHOS!$H$3:$H$3002,MATCH($C1515,DESPACHOS!$B$3:$B$3002,0)),""))</f>
        <v/>
      </c>
      <c r="J1515" s="43">
        <f>IF($C1515="","",IFERROR(INDEX(DESPACHOS!$J$3:$J$3002,MATCH($C1515,DESPACHOS!$B$3:$B$3002,0)),""))</f>
        <v/>
      </c>
      <c r="K1515" s="39">
        <f>IF($C1515="","",IF(COUNTIFS(DESPACHOS!$B$3:$B$3002,$C1515)=0,"NO EXISTE",IF(COUNTIFS(DESPACHOS!$B$3:$B$3002,$C1515)&gt;1,"DUPLICADO","OK")))</f>
        <v/>
      </c>
      <c r="L1515" s="41" t="n"/>
      <c r="M1515" s="41" t="n"/>
      <c r="N1515" s="42">
        <f>IF($M1515="","",IFERROR(INDEX(LISTAS!$F$3:$F$42,MATCH($M1515,LISTAS!$E$3:$E$42,0)),"Por definir"))</f>
        <v/>
      </c>
      <c r="O1515" s="41" t="n"/>
      <c r="P1515" s="39">
        <f>IF($L1515="","",IFERROR(INDEX(LISTAS!$B$3:$B$42,MATCH($L1515,LISTAS!$A$3:$A$42,0)),"Media"))</f>
        <v/>
      </c>
      <c r="Q1515" s="44" t="n"/>
      <c r="R1515" s="45" t="n"/>
      <c r="S1515" s="20">
        <f>IFERROR(IF(OR($R1515="",$C1515=""),"",$R1515/INDEX(DESPACHOS!$M$3:$M$3002,MATCH($C1515,DESPACHOS!$B$3:$B$3002,0))),"")</f>
        <v/>
      </c>
      <c r="T1515" s="41" t="n"/>
      <c r="U1515" s="43">
        <f>IF(OR($B1515="",$L1515=""),"",WORKDAY($B1515,IFERROR(INDEX(LISTAS!$C$3:$C$42,MATCH($L1515,LISTAS!$A$3:$A$42,0)),3)))</f>
        <v/>
      </c>
      <c r="V1515" s="40" t="n"/>
      <c r="W1515" s="19">
        <f>IF($B1515="","",IF($V1515&lt;&gt;"",$V1515-$B1515,TODAY()-$B1515))</f>
        <v/>
      </c>
      <c r="X1515" s="19">
        <f>IF(OR($B1515="",$U1515=""),"",IF($V1515&lt;&gt;"",MAX(0,$V1515-$U1515),MAX(0,TODAY()-$U1515)))</f>
        <v/>
      </c>
      <c r="Y1515" s="39">
        <f>IF($C1515="","",IF(IFERROR(INDEX(LISTAS!$I$3:$I$42,MATCH($T1515,LISTAS!$H$3:$H$42,0)),"NO")="SÍ",IF(N($X1515)&gt;0,"CERRADA FUERA DE SLA","CERRADA EN SLA"),IF($U1515="","SIN CLASIFICAR",IF(N($X1515)&gt;0,"VENCIDA",IF(TODAY()&gt;=$U1515-1,"POR VENCER","EN PLAZO")))))</f>
        <v/>
      </c>
      <c r="Z1515" s="41" t="n"/>
      <c r="AA1515" s="41" t="n"/>
      <c r="AB1515" s="41" t="n"/>
    </row>
    <row r="1516">
      <c r="A1516" s="39">
        <f>IF($C1516="","","NOV-"&amp;TEXT(ROW()-3,"0000"))</f>
        <v/>
      </c>
      <c r="B1516" s="40" t="n"/>
      <c r="C1516" s="41" t="n"/>
      <c r="D1516" s="42">
        <f>IF($C1516="","",IFERROR(INDEX(DESPACHOS!$D$3:$D$3002,MATCH($C1516,DESPACHOS!$B$3:$B$3002,0)),"SIN DESPACHO"))</f>
        <v/>
      </c>
      <c r="E1516" s="42">
        <f>IF($C1516="","",IFERROR(INDEX(DESPACHOS!$K$3:$K$3002,MATCH($C1516,DESPACHOS!$B$3:$B$3002,0)),""))</f>
        <v/>
      </c>
      <c r="F1516" s="42">
        <f>IF($C1516="","",IFERROR(INDEX(DESPACHOS!$I$3:$I$3002,MATCH($C1516,DESPACHOS!$B$3:$B$3002,0)),""))</f>
        <v/>
      </c>
      <c r="G1516" s="42">
        <f>IF($C1516="","",IFERROR(INDEX(DESPACHOS!$F$3:$F$3002,MATCH($C1516,DESPACHOS!$B$3:$B$3002,0)),""))</f>
        <v/>
      </c>
      <c r="H1516" s="42">
        <f>IF($C1516="","",IFERROR(INDEX(DESPACHOS!$G$3:$G$3002,MATCH($C1516,DESPACHOS!$B$3:$B$3002,0)),""))</f>
        <v/>
      </c>
      <c r="I1516" s="39">
        <f>IF($C1516="","",IFERROR(INDEX(DESPACHOS!$H$3:$H$3002,MATCH($C1516,DESPACHOS!$B$3:$B$3002,0)),""))</f>
        <v/>
      </c>
      <c r="J1516" s="43">
        <f>IF($C1516="","",IFERROR(INDEX(DESPACHOS!$J$3:$J$3002,MATCH($C1516,DESPACHOS!$B$3:$B$3002,0)),""))</f>
        <v/>
      </c>
      <c r="K1516" s="39">
        <f>IF($C1516="","",IF(COUNTIFS(DESPACHOS!$B$3:$B$3002,$C1516)=0,"NO EXISTE",IF(COUNTIFS(DESPACHOS!$B$3:$B$3002,$C1516)&gt;1,"DUPLICADO","OK")))</f>
        <v/>
      </c>
      <c r="L1516" s="41" t="n"/>
      <c r="M1516" s="41" t="n"/>
      <c r="N1516" s="42">
        <f>IF($M1516="","",IFERROR(INDEX(LISTAS!$F$3:$F$42,MATCH($M1516,LISTAS!$E$3:$E$42,0)),"Por definir"))</f>
        <v/>
      </c>
      <c r="O1516" s="41" t="n"/>
      <c r="P1516" s="39">
        <f>IF($L1516="","",IFERROR(INDEX(LISTAS!$B$3:$B$42,MATCH($L1516,LISTAS!$A$3:$A$42,0)),"Media"))</f>
        <v/>
      </c>
      <c r="Q1516" s="44" t="n"/>
      <c r="R1516" s="45" t="n"/>
      <c r="S1516" s="20">
        <f>IFERROR(IF(OR($R1516="",$C1516=""),"",$R1516/INDEX(DESPACHOS!$M$3:$M$3002,MATCH($C1516,DESPACHOS!$B$3:$B$3002,0))),"")</f>
        <v/>
      </c>
      <c r="T1516" s="41" t="n"/>
      <c r="U1516" s="43">
        <f>IF(OR($B1516="",$L1516=""),"",WORKDAY($B1516,IFERROR(INDEX(LISTAS!$C$3:$C$42,MATCH($L1516,LISTAS!$A$3:$A$42,0)),3)))</f>
        <v/>
      </c>
      <c r="V1516" s="40" t="n"/>
      <c r="W1516" s="19">
        <f>IF($B1516="","",IF($V1516&lt;&gt;"",$V1516-$B1516,TODAY()-$B1516))</f>
        <v/>
      </c>
      <c r="X1516" s="19">
        <f>IF(OR($B1516="",$U1516=""),"",IF($V1516&lt;&gt;"",MAX(0,$V1516-$U1516),MAX(0,TODAY()-$U1516)))</f>
        <v/>
      </c>
      <c r="Y1516" s="39">
        <f>IF($C1516="","",IF(IFERROR(INDEX(LISTAS!$I$3:$I$42,MATCH($T1516,LISTAS!$H$3:$H$42,0)),"NO")="SÍ",IF(N($X1516)&gt;0,"CERRADA FUERA DE SLA","CERRADA EN SLA"),IF($U1516="","SIN CLASIFICAR",IF(N($X1516)&gt;0,"VENCIDA",IF(TODAY()&gt;=$U1516-1,"POR VENCER","EN PLAZO")))))</f>
        <v/>
      </c>
      <c r="Z1516" s="41" t="n"/>
      <c r="AA1516" s="41" t="n"/>
      <c r="AB1516" s="41" t="n"/>
    </row>
    <row r="1517">
      <c r="A1517" s="39">
        <f>IF($C1517="","","NOV-"&amp;TEXT(ROW()-3,"0000"))</f>
        <v/>
      </c>
      <c r="B1517" s="40" t="n"/>
      <c r="C1517" s="41" t="n"/>
      <c r="D1517" s="42">
        <f>IF($C1517="","",IFERROR(INDEX(DESPACHOS!$D$3:$D$3002,MATCH($C1517,DESPACHOS!$B$3:$B$3002,0)),"SIN DESPACHO"))</f>
        <v/>
      </c>
      <c r="E1517" s="42">
        <f>IF($C1517="","",IFERROR(INDEX(DESPACHOS!$K$3:$K$3002,MATCH($C1517,DESPACHOS!$B$3:$B$3002,0)),""))</f>
        <v/>
      </c>
      <c r="F1517" s="42">
        <f>IF($C1517="","",IFERROR(INDEX(DESPACHOS!$I$3:$I$3002,MATCH($C1517,DESPACHOS!$B$3:$B$3002,0)),""))</f>
        <v/>
      </c>
      <c r="G1517" s="42">
        <f>IF($C1517="","",IFERROR(INDEX(DESPACHOS!$F$3:$F$3002,MATCH($C1517,DESPACHOS!$B$3:$B$3002,0)),""))</f>
        <v/>
      </c>
      <c r="H1517" s="42">
        <f>IF($C1517="","",IFERROR(INDEX(DESPACHOS!$G$3:$G$3002,MATCH($C1517,DESPACHOS!$B$3:$B$3002,0)),""))</f>
        <v/>
      </c>
      <c r="I1517" s="39">
        <f>IF($C1517="","",IFERROR(INDEX(DESPACHOS!$H$3:$H$3002,MATCH($C1517,DESPACHOS!$B$3:$B$3002,0)),""))</f>
        <v/>
      </c>
      <c r="J1517" s="43">
        <f>IF($C1517="","",IFERROR(INDEX(DESPACHOS!$J$3:$J$3002,MATCH($C1517,DESPACHOS!$B$3:$B$3002,0)),""))</f>
        <v/>
      </c>
      <c r="K1517" s="39">
        <f>IF($C1517="","",IF(COUNTIFS(DESPACHOS!$B$3:$B$3002,$C1517)=0,"NO EXISTE",IF(COUNTIFS(DESPACHOS!$B$3:$B$3002,$C1517)&gt;1,"DUPLICADO","OK")))</f>
        <v/>
      </c>
      <c r="L1517" s="41" t="n"/>
      <c r="M1517" s="41" t="n"/>
      <c r="N1517" s="42">
        <f>IF($M1517="","",IFERROR(INDEX(LISTAS!$F$3:$F$42,MATCH($M1517,LISTAS!$E$3:$E$42,0)),"Por definir"))</f>
        <v/>
      </c>
      <c r="O1517" s="41" t="n"/>
      <c r="P1517" s="39">
        <f>IF($L1517="","",IFERROR(INDEX(LISTAS!$B$3:$B$42,MATCH($L1517,LISTAS!$A$3:$A$42,0)),"Media"))</f>
        <v/>
      </c>
      <c r="Q1517" s="44" t="n"/>
      <c r="R1517" s="45" t="n"/>
      <c r="S1517" s="20">
        <f>IFERROR(IF(OR($R1517="",$C1517=""),"",$R1517/INDEX(DESPACHOS!$M$3:$M$3002,MATCH($C1517,DESPACHOS!$B$3:$B$3002,0))),"")</f>
        <v/>
      </c>
      <c r="T1517" s="41" t="n"/>
      <c r="U1517" s="43">
        <f>IF(OR($B1517="",$L1517=""),"",WORKDAY($B1517,IFERROR(INDEX(LISTAS!$C$3:$C$42,MATCH($L1517,LISTAS!$A$3:$A$42,0)),3)))</f>
        <v/>
      </c>
      <c r="V1517" s="40" t="n"/>
      <c r="W1517" s="19">
        <f>IF($B1517="","",IF($V1517&lt;&gt;"",$V1517-$B1517,TODAY()-$B1517))</f>
        <v/>
      </c>
      <c r="X1517" s="19">
        <f>IF(OR($B1517="",$U1517=""),"",IF($V1517&lt;&gt;"",MAX(0,$V1517-$U1517),MAX(0,TODAY()-$U1517)))</f>
        <v/>
      </c>
      <c r="Y1517" s="39">
        <f>IF($C1517="","",IF(IFERROR(INDEX(LISTAS!$I$3:$I$42,MATCH($T1517,LISTAS!$H$3:$H$42,0)),"NO")="SÍ",IF(N($X1517)&gt;0,"CERRADA FUERA DE SLA","CERRADA EN SLA"),IF($U1517="","SIN CLASIFICAR",IF(N($X1517)&gt;0,"VENCIDA",IF(TODAY()&gt;=$U1517-1,"POR VENCER","EN PLAZO")))))</f>
        <v/>
      </c>
      <c r="Z1517" s="41" t="n"/>
      <c r="AA1517" s="41" t="n"/>
      <c r="AB1517" s="41" t="n"/>
    </row>
    <row r="1518">
      <c r="A1518" s="39">
        <f>IF($C1518="","","NOV-"&amp;TEXT(ROW()-3,"0000"))</f>
        <v/>
      </c>
      <c r="B1518" s="40" t="n"/>
      <c r="C1518" s="41" t="n"/>
      <c r="D1518" s="42">
        <f>IF($C1518="","",IFERROR(INDEX(DESPACHOS!$D$3:$D$3002,MATCH($C1518,DESPACHOS!$B$3:$B$3002,0)),"SIN DESPACHO"))</f>
        <v/>
      </c>
      <c r="E1518" s="42">
        <f>IF($C1518="","",IFERROR(INDEX(DESPACHOS!$K$3:$K$3002,MATCH($C1518,DESPACHOS!$B$3:$B$3002,0)),""))</f>
        <v/>
      </c>
      <c r="F1518" s="42">
        <f>IF($C1518="","",IFERROR(INDEX(DESPACHOS!$I$3:$I$3002,MATCH($C1518,DESPACHOS!$B$3:$B$3002,0)),""))</f>
        <v/>
      </c>
      <c r="G1518" s="42">
        <f>IF($C1518="","",IFERROR(INDEX(DESPACHOS!$F$3:$F$3002,MATCH($C1518,DESPACHOS!$B$3:$B$3002,0)),""))</f>
        <v/>
      </c>
      <c r="H1518" s="42">
        <f>IF($C1518="","",IFERROR(INDEX(DESPACHOS!$G$3:$G$3002,MATCH($C1518,DESPACHOS!$B$3:$B$3002,0)),""))</f>
        <v/>
      </c>
      <c r="I1518" s="39">
        <f>IF($C1518="","",IFERROR(INDEX(DESPACHOS!$H$3:$H$3002,MATCH($C1518,DESPACHOS!$B$3:$B$3002,0)),""))</f>
        <v/>
      </c>
      <c r="J1518" s="43">
        <f>IF($C1518="","",IFERROR(INDEX(DESPACHOS!$J$3:$J$3002,MATCH($C1518,DESPACHOS!$B$3:$B$3002,0)),""))</f>
        <v/>
      </c>
      <c r="K1518" s="39">
        <f>IF($C1518="","",IF(COUNTIFS(DESPACHOS!$B$3:$B$3002,$C1518)=0,"NO EXISTE",IF(COUNTIFS(DESPACHOS!$B$3:$B$3002,$C1518)&gt;1,"DUPLICADO","OK")))</f>
        <v/>
      </c>
      <c r="L1518" s="41" t="n"/>
      <c r="M1518" s="41" t="n"/>
      <c r="N1518" s="42">
        <f>IF($M1518="","",IFERROR(INDEX(LISTAS!$F$3:$F$42,MATCH($M1518,LISTAS!$E$3:$E$42,0)),"Por definir"))</f>
        <v/>
      </c>
      <c r="O1518" s="41" t="n"/>
      <c r="P1518" s="39">
        <f>IF($L1518="","",IFERROR(INDEX(LISTAS!$B$3:$B$42,MATCH($L1518,LISTAS!$A$3:$A$42,0)),"Media"))</f>
        <v/>
      </c>
      <c r="Q1518" s="44" t="n"/>
      <c r="R1518" s="45" t="n"/>
      <c r="S1518" s="20">
        <f>IFERROR(IF(OR($R1518="",$C1518=""),"",$R1518/INDEX(DESPACHOS!$M$3:$M$3002,MATCH($C1518,DESPACHOS!$B$3:$B$3002,0))),"")</f>
        <v/>
      </c>
      <c r="T1518" s="41" t="n"/>
      <c r="U1518" s="43">
        <f>IF(OR($B1518="",$L1518=""),"",WORKDAY($B1518,IFERROR(INDEX(LISTAS!$C$3:$C$42,MATCH($L1518,LISTAS!$A$3:$A$42,0)),3)))</f>
        <v/>
      </c>
      <c r="V1518" s="40" t="n"/>
      <c r="W1518" s="19">
        <f>IF($B1518="","",IF($V1518&lt;&gt;"",$V1518-$B1518,TODAY()-$B1518))</f>
        <v/>
      </c>
      <c r="X1518" s="19">
        <f>IF(OR($B1518="",$U1518=""),"",IF($V1518&lt;&gt;"",MAX(0,$V1518-$U1518),MAX(0,TODAY()-$U1518)))</f>
        <v/>
      </c>
      <c r="Y1518" s="39">
        <f>IF($C1518="","",IF(IFERROR(INDEX(LISTAS!$I$3:$I$42,MATCH($T1518,LISTAS!$H$3:$H$42,0)),"NO")="SÍ",IF(N($X1518)&gt;0,"CERRADA FUERA DE SLA","CERRADA EN SLA"),IF($U1518="","SIN CLASIFICAR",IF(N($X1518)&gt;0,"VENCIDA",IF(TODAY()&gt;=$U1518-1,"POR VENCER","EN PLAZO")))))</f>
        <v/>
      </c>
      <c r="Z1518" s="41" t="n"/>
      <c r="AA1518" s="41" t="n"/>
      <c r="AB1518" s="41" t="n"/>
    </row>
    <row r="1519">
      <c r="A1519" s="39">
        <f>IF($C1519="","","NOV-"&amp;TEXT(ROW()-3,"0000"))</f>
        <v/>
      </c>
      <c r="B1519" s="40" t="n"/>
      <c r="C1519" s="41" t="n"/>
      <c r="D1519" s="42">
        <f>IF($C1519="","",IFERROR(INDEX(DESPACHOS!$D$3:$D$3002,MATCH($C1519,DESPACHOS!$B$3:$B$3002,0)),"SIN DESPACHO"))</f>
        <v/>
      </c>
      <c r="E1519" s="42">
        <f>IF($C1519="","",IFERROR(INDEX(DESPACHOS!$K$3:$K$3002,MATCH($C1519,DESPACHOS!$B$3:$B$3002,0)),""))</f>
        <v/>
      </c>
      <c r="F1519" s="42">
        <f>IF($C1519="","",IFERROR(INDEX(DESPACHOS!$I$3:$I$3002,MATCH($C1519,DESPACHOS!$B$3:$B$3002,0)),""))</f>
        <v/>
      </c>
      <c r="G1519" s="42">
        <f>IF($C1519="","",IFERROR(INDEX(DESPACHOS!$F$3:$F$3002,MATCH($C1519,DESPACHOS!$B$3:$B$3002,0)),""))</f>
        <v/>
      </c>
      <c r="H1519" s="42">
        <f>IF($C1519="","",IFERROR(INDEX(DESPACHOS!$G$3:$G$3002,MATCH($C1519,DESPACHOS!$B$3:$B$3002,0)),""))</f>
        <v/>
      </c>
      <c r="I1519" s="39">
        <f>IF($C1519="","",IFERROR(INDEX(DESPACHOS!$H$3:$H$3002,MATCH($C1519,DESPACHOS!$B$3:$B$3002,0)),""))</f>
        <v/>
      </c>
      <c r="J1519" s="43">
        <f>IF($C1519="","",IFERROR(INDEX(DESPACHOS!$J$3:$J$3002,MATCH($C1519,DESPACHOS!$B$3:$B$3002,0)),""))</f>
        <v/>
      </c>
      <c r="K1519" s="39">
        <f>IF($C1519="","",IF(COUNTIFS(DESPACHOS!$B$3:$B$3002,$C1519)=0,"NO EXISTE",IF(COUNTIFS(DESPACHOS!$B$3:$B$3002,$C1519)&gt;1,"DUPLICADO","OK")))</f>
        <v/>
      </c>
      <c r="L1519" s="41" t="n"/>
      <c r="M1519" s="41" t="n"/>
      <c r="N1519" s="42">
        <f>IF($M1519="","",IFERROR(INDEX(LISTAS!$F$3:$F$42,MATCH($M1519,LISTAS!$E$3:$E$42,0)),"Por definir"))</f>
        <v/>
      </c>
      <c r="O1519" s="41" t="n"/>
      <c r="P1519" s="39">
        <f>IF($L1519="","",IFERROR(INDEX(LISTAS!$B$3:$B$42,MATCH($L1519,LISTAS!$A$3:$A$42,0)),"Media"))</f>
        <v/>
      </c>
      <c r="Q1519" s="44" t="n"/>
      <c r="R1519" s="45" t="n"/>
      <c r="S1519" s="20">
        <f>IFERROR(IF(OR($R1519="",$C1519=""),"",$R1519/INDEX(DESPACHOS!$M$3:$M$3002,MATCH($C1519,DESPACHOS!$B$3:$B$3002,0))),"")</f>
        <v/>
      </c>
      <c r="T1519" s="41" t="n"/>
      <c r="U1519" s="43">
        <f>IF(OR($B1519="",$L1519=""),"",WORKDAY($B1519,IFERROR(INDEX(LISTAS!$C$3:$C$42,MATCH($L1519,LISTAS!$A$3:$A$42,0)),3)))</f>
        <v/>
      </c>
      <c r="V1519" s="40" t="n"/>
      <c r="W1519" s="19">
        <f>IF($B1519="","",IF($V1519&lt;&gt;"",$V1519-$B1519,TODAY()-$B1519))</f>
        <v/>
      </c>
      <c r="X1519" s="19">
        <f>IF(OR($B1519="",$U1519=""),"",IF($V1519&lt;&gt;"",MAX(0,$V1519-$U1519),MAX(0,TODAY()-$U1519)))</f>
        <v/>
      </c>
      <c r="Y1519" s="39">
        <f>IF($C1519="","",IF(IFERROR(INDEX(LISTAS!$I$3:$I$42,MATCH($T1519,LISTAS!$H$3:$H$42,0)),"NO")="SÍ",IF(N($X1519)&gt;0,"CERRADA FUERA DE SLA","CERRADA EN SLA"),IF($U1519="","SIN CLASIFICAR",IF(N($X1519)&gt;0,"VENCIDA",IF(TODAY()&gt;=$U1519-1,"POR VENCER","EN PLAZO")))))</f>
        <v/>
      </c>
      <c r="Z1519" s="41" t="n"/>
      <c r="AA1519" s="41" t="n"/>
      <c r="AB1519" s="41" t="n"/>
    </row>
    <row r="1520">
      <c r="A1520" s="39">
        <f>IF($C1520="","","NOV-"&amp;TEXT(ROW()-3,"0000"))</f>
        <v/>
      </c>
      <c r="B1520" s="40" t="n"/>
      <c r="C1520" s="41" t="n"/>
      <c r="D1520" s="42">
        <f>IF($C1520="","",IFERROR(INDEX(DESPACHOS!$D$3:$D$3002,MATCH($C1520,DESPACHOS!$B$3:$B$3002,0)),"SIN DESPACHO"))</f>
        <v/>
      </c>
      <c r="E1520" s="42">
        <f>IF($C1520="","",IFERROR(INDEX(DESPACHOS!$K$3:$K$3002,MATCH($C1520,DESPACHOS!$B$3:$B$3002,0)),""))</f>
        <v/>
      </c>
      <c r="F1520" s="42">
        <f>IF($C1520="","",IFERROR(INDEX(DESPACHOS!$I$3:$I$3002,MATCH($C1520,DESPACHOS!$B$3:$B$3002,0)),""))</f>
        <v/>
      </c>
      <c r="G1520" s="42">
        <f>IF($C1520="","",IFERROR(INDEX(DESPACHOS!$F$3:$F$3002,MATCH($C1520,DESPACHOS!$B$3:$B$3002,0)),""))</f>
        <v/>
      </c>
      <c r="H1520" s="42">
        <f>IF($C1520="","",IFERROR(INDEX(DESPACHOS!$G$3:$G$3002,MATCH($C1520,DESPACHOS!$B$3:$B$3002,0)),""))</f>
        <v/>
      </c>
      <c r="I1520" s="39">
        <f>IF($C1520="","",IFERROR(INDEX(DESPACHOS!$H$3:$H$3002,MATCH($C1520,DESPACHOS!$B$3:$B$3002,0)),""))</f>
        <v/>
      </c>
      <c r="J1520" s="43">
        <f>IF($C1520="","",IFERROR(INDEX(DESPACHOS!$J$3:$J$3002,MATCH($C1520,DESPACHOS!$B$3:$B$3002,0)),""))</f>
        <v/>
      </c>
      <c r="K1520" s="39">
        <f>IF($C1520="","",IF(COUNTIFS(DESPACHOS!$B$3:$B$3002,$C1520)=0,"NO EXISTE",IF(COUNTIFS(DESPACHOS!$B$3:$B$3002,$C1520)&gt;1,"DUPLICADO","OK")))</f>
        <v/>
      </c>
      <c r="L1520" s="41" t="n"/>
      <c r="M1520" s="41" t="n"/>
      <c r="N1520" s="42">
        <f>IF($M1520="","",IFERROR(INDEX(LISTAS!$F$3:$F$42,MATCH($M1520,LISTAS!$E$3:$E$42,0)),"Por definir"))</f>
        <v/>
      </c>
      <c r="O1520" s="41" t="n"/>
      <c r="P1520" s="39">
        <f>IF($L1520="","",IFERROR(INDEX(LISTAS!$B$3:$B$42,MATCH($L1520,LISTAS!$A$3:$A$42,0)),"Media"))</f>
        <v/>
      </c>
      <c r="Q1520" s="44" t="n"/>
      <c r="R1520" s="45" t="n"/>
      <c r="S1520" s="20">
        <f>IFERROR(IF(OR($R1520="",$C1520=""),"",$R1520/INDEX(DESPACHOS!$M$3:$M$3002,MATCH($C1520,DESPACHOS!$B$3:$B$3002,0))),"")</f>
        <v/>
      </c>
      <c r="T1520" s="41" t="n"/>
      <c r="U1520" s="43">
        <f>IF(OR($B1520="",$L1520=""),"",WORKDAY($B1520,IFERROR(INDEX(LISTAS!$C$3:$C$42,MATCH($L1520,LISTAS!$A$3:$A$42,0)),3)))</f>
        <v/>
      </c>
      <c r="V1520" s="40" t="n"/>
      <c r="W1520" s="19">
        <f>IF($B1520="","",IF($V1520&lt;&gt;"",$V1520-$B1520,TODAY()-$B1520))</f>
        <v/>
      </c>
      <c r="X1520" s="19">
        <f>IF(OR($B1520="",$U1520=""),"",IF($V1520&lt;&gt;"",MAX(0,$V1520-$U1520),MAX(0,TODAY()-$U1520)))</f>
        <v/>
      </c>
      <c r="Y1520" s="39">
        <f>IF($C1520="","",IF(IFERROR(INDEX(LISTAS!$I$3:$I$42,MATCH($T1520,LISTAS!$H$3:$H$42,0)),"NO")="SÍ",IF(N($X1520)&gt;0,"CERRADA FUERA DE SLA","CERRADA EN SLA"),IF($U1520="","SIN CLASIFICAR",IF(N($X1520)&gt;0,"VENCIDA",IF(TODAY()&gt;=$U1520-1,"POR VENCER","EN PLAZO")))))</f>
        <v/>
      </c>
      <c r="Z1520" s="41" t="n"/>
      <c r="AA1520" s="41" t="n"/>
      <c r="AB1520" s="41" t="n"/>
    </row>
    <row r="1521">
      <c r="A1521" s="39">
        <f>IF($C1521="","","NOV-"&amp;TEXT(ROW()-3,"0000"))</f>
        <v/>
      </c>
      <c r="B1521" s="40" t="n"/>
      <c r="C1521" s="41" t="n"/>
      <c r="D1521" s="42">
        <f>IF($C1521="","",IFERROR(INDEX(DESPACHOS!$D$3:$D$3002,MATCH($C1521,DESPACHOS!$B$3:$B$3002,0)),"SIN DESPACHO"))</f>
        <v/>
      </c>
      <c r="E1521" s="42">
        <f>IF($C1521="","",IFERROR(INDEX(DESPACHOS!$K$3:$K$3002,MATCH($C1521,DESPACHOS!$B$3:$B$3002,0)),""))</f>
        <v/>
      </c>
      <c r="F1521" s="42">
        <f>IF($C1521="","",IFERROR(INDEX(DESPACHOS!$I$3:$I$3002,MATCH($C1521,DESPACHOS!$B$3:$B$3002,0)),""))</f>
        <v/>
      </c>
      <c r="G1521" s="42">
        <f>IF($C1521="","",IFERROR(INDEX(DESPACHOS!$F$3:$F$3002,MATCH($C1521,DESPACHOS!$B$3:$B$3002,0)),""))</f>
        <v/>
      </c>
      <c r="H1521" s="42">
        <f>IF($C1521="","",IFERROR(INDEX(DESPACHOS!$G$3:$G$3002,MATCH($C1521,DESPACHOS!$B$3:$B$3002,0)),""))</f>
        <v/>
      </c>
      <c r="I1521" s="39">
        <f>IF($C1521="","",IFERROR(INDEX(DESPACHOS!$H$3:$H$3002,MATCH($C1521,DESPACHOS!$B$3:$B$3002,0)),""))</f>
        <v/>
      </c>
      <c r="J1521" s="43">
        <f>IF($C1521="","",IFERROR(INDEX(DESPACHOS!$J$3:$J$3002,MATCH($C1521,DESPACHOS!$B$3:$B$3002,0)),""))</f>
        <v/>
      </c>
      <c r="K1521" s="39">
        <f>IF($C1521="","",IF(COUNTIFS(DESPACHOS!$B$3:$B$3002,$C1521)=0,"NO EXISTE",IF(COUNTIFS(DESPACHOS!$B$3:$B$3002,$C1521)&gt;1,"DUPLICADO","OK")))</f>
        <v/>
      </c>
      <c r="L1521" s="41" t="n"/>
      <c r="M1521" s="41" t="n"/>
      <c r="N1521" s="42">
        <f>IF($M1521="","",IFERROR(INDEX(LISTAS!$F$3:$F$42,MATCH($M1521,LISTAS!$E$3:$E$42,0)),"Por definir"))</f>
        <v/>
      </c>
      <c r="O1521" s="41" t="n"/>
      <c r="P1521" s="39">
        <f>IF($L1521="","",IFERROR(INDEX(LISTAS!$B$3:$B$42,MATCH($L1521,LISTAS!$A$3:$A$42,0)),"Media"))</f>
        <v/>
      </c>
      <c r="Q1521" s="44" t="n"/>
      <c r="R1521" s="45" t="n"/>
      <c r="S1521" s="20">
        <f>IFERROR(IF(OR($R1521="",$C1521=""),"",$R1521/INDEX(DESPACHOS!$M$3:$M$3002,MATCH($C1521,DESPACHOS!$B$3:$B$3002,0))),"")</f>
        <v/>
      </c>
      <c r="T1521" s="41" t="n"/>
      <c r="U1521" s="43">
        <f>IF(OR($B1521="",$L1521=""),"",WORKDAY($B1521,IFERROR(INDEX(LISTAS!$C$3:$C$42,MATCH($L1521,LISTAS!$A$3:$A$42,0)),3)))</f>
        <v/>
      </c>
      <c r="V1521" s="40" t="n"/>
      <c r="W1521" s="19">
        <f>IF($B1521="","",IF($V1521&lt;&gt;"",$V1521-$B1521,TODAY()-$B1521))</f>
        <v/>
      </c>
      <c r="X1521" s="19">
        <f>IF(OR($B1521="",$U1521=""),"",IF($V1521&lt;&gt;"",MAX(0,$V1521-$U1521),MAX(0,TODAY()-$U1521)))</f>
        <v/>
      </c>
      <c r="Y1521" s="39">
        <f>IF($C1521="","",IF(IFERROR(INDEX(LISTAS!$I$3:$I$42,MATCH($T1521,LISTAS!$H$3:$H$42,0)),"NO")="SÍ",IF(N($X1521)&gt;0,"CERRADA FUERA DE SLA","CERRADA EN SLA"),IF($U1521="","SIN CLASIFICAR",IF(N($X1521)&gt;0,"VENCIDA",IF(TODAY()&gt;=$U1521-1,"POR VENCER","EN PLAZO")))))</f>
        <v/>
      </c>
      <c r="Z1521" s="41" t="n"/>
      <c r="AA1521" s="41" t="n"/>
      <c r="AB1521" s="41" t="n"/>
    </row>
    <row r="1522">
      <c r="A1522" s="39">
        <f>IF($C1522="","","NOV-"&amp;TEXT(ROW()-3,"0000"))</f>
        <v/>
      </c>
      <c r="B1522" s="40" t="n"/>
      <c r="C1522" s="41" t="n"/>
      <c r="D1522" s="42">
        <f>IF($C1522="","",IFERROR(INDEX(DESPACHOS!$D$3:$D$3002,MATCH($C1522,DESPACHOS!$B$3:$B$3002,0)),"SIN DESPACHO"))</f>
        <v/>
      </c>
      <c r="E1522" s="42">
        <f>IF($C1522="","",IFERROR(INDEX(DESPACHOS!$K$3:$K$3002,MATCH($C1522,DESPACHOS!$B$3:$B$3002,0)),""))</f>
        <v/>
      </c>
      <c r="F1522" s="42">
        <f>IF($C1522="","",IFERROR(INDEX(DESPACHOS!$I$3:$I$3002,MATCH($C1522,DESPACHOS!$B$3:$B$3002,0)),""))</f>
        <v/>
      </c>
      <c r="G1522" s="42">
        <f>IF($C1522="","",IFERROR(INDEX(DESPACHOS!$F$3:$F$3002,MATCH($C1522,DESPACHOS!$B$3:$B$3002,0)),""))</f>
        <v/>
      </c>
      <c r="H1522" s="42">
        <f>IF($C1522="","",IFERROR(INDEX(DESPACHOS!$G$3:$G$3002,MATCH($C1522,DESPACHOS!$B$3:$B$3002,0)),""))</f>
        <v/>
      </c>
      <c r="I1522" s="39">
        <f>IF($C1522="","",IFERROR(INDEX(DESPACHOS!$H$3:$H$3002,MATCH($C1522,DESPACHOS!$B$3:$B$3002,0)),""))</f>
        <v/>
      </c>
      <c r="J1522" s="43">
        <f>IF($C1522="","",IFERROR(INDEX(DESPACHOS!$J$3:$J$3002,MATCH($C1522,DESPACHOS!$B$3:$B$3002,0)),""))</f>
        <v/>
      </c>
      <c r="K1522" s="39">
        <f>IF($C1522="","",IF(COUNTIFS(DESPACHOS!$B$3:$B$3002,$C1522)=0,"NO EXISTE",IF(COUNTIFS(DESPACHOS!$B$3:$B$3002,$C1522)&gt;1,"DUPLICADO","OK")))</f>
        <v/>
      </c>
      <c r="L1522" s="41" t="n"/>
      <c r="M1522" s="41" t="n"/>
      <c r="N1522" s="42">
        <f>IF($M1522="","",IFERROR(INDEX(LISTAS!$F$3:$F$42,MATCH($M1522,LISTAS!$E$3:$E$42,0)),"Por definir"))</f>
        <v/>
      </c>
      <c r="O1522" s="41" t="n"/>
      <c r="P1522" s="39">
        <f>IF($L1522="","",IFERROR(INDEX(LISTAS!$B$3:$B$42,MATCH($L1522,LISTAS!$A$3:$A$42,0)),"Media"))</f>
        <v/>
      </c>
      <c r="Q1522" s="44" t="n"/>
      <c r="R1522" s="45" t="n"/>
      <c r="S1522" s="20">
        <f>IFERROR(IF(OR($R1522="",$C1522=""),"",$R1522/INDEX(DESPACHOS!$M$3:$M$3002,MATCH($C1522,DESPACHOS!$B$3:$B$3002,0))),"")</f>
        <v/>
      </c>
      <c r="T1522" s="41" t="n"/>
      <c r="U1522" s="43">
        <f>IF(OR($B1522="",$L1522=""),"",WORKDAY($B1522,IFERROR(INDEX(LISTAS!$C$3:$C$42,MATCH($L1522,LISTAS!$A$3:$A$42,0)),3)))</f>
        <v/>
      </c>
      <c r="V1522" s="40" t="n"/>
      <c r="W1522" s="19">
        <f>IF($B1522="","",IF($V1522&lt;&gt;"",$V1522-$B1522,TODAY()-$B1522))</f>
        <v/>
      </c>
      <c r="X1522" s="19">
        <f>IF(OR($B1522="",$U1522=""),"",IF($V1522&lt;&gt;"",MAX(0,$V1522-$U1522),MAX(0,TODAY()-$U1522)))</f>
        <v/>
      </c>
      <c r="Y1522" s="39">
        <f>IF($C1522="","",IF(IFERROR(INDEX(LISTAS!$I$3:$I$42,MATCH($T1522,LISTAS!$H$3:$H$42,0)),"NO")="SÍ",IF(N($X1522)&gt;0,"CERRADA FUERA DE SLA","CERRADA EN SLA"),IF($U1522="","SIN CLASIFICAR",IF(N($X1522)&gt;0,"VENCIDA",IF(TODAY()&gt;=$U1522-1,"POR VENCER","EN PLAZO")))))</f>
        <v/>
      </c>
      <c r="Z1522" s="41" t="n"/>
      <c r="AA1522" s="41" t="n"/>
      <c r="AB1522" s="41" t="n"/>
    </row>
    <row r="1523">
      <c r="A1523" s="39">
        <f>IF($C1523="","","NOV-"&amp;TEXT(ROW()-3,"0000"))</f>
        <v/>
      </c>
      <c r="B1523" s="40" t="n"/>
      <c r="C1523" s="41" t="n"/>
      <c r="D1523" s="42">
        <f>IF($C1523="","",IFERROR(INDEX(DESPACHOS!$D$3:$D$3002,MATCH($C1523,DESPACHOS!$B$3:$B$3002,0)),"SIN DESPACHO"))</f>
        <v/>
      </c>
      <c r="E1523" s="42">
        <f>IF($C1523="","",IFERROR(INDEX(DESPACHOS!$K$3:$K$3002,MATCH($C1523,DESPACHOS!$B$3:$B$3002,0)),""))</f>
        <v/>
      </c>
      <c r="F1523" s="42">
        <f>IF($C1523="","",IFERROR(INDEX(DESPACHOS!$I$3:$I$3002,MATCH($C1523,DESPACHOS!$B$3:$B$3002,0)),""))</f>
        <v/>
      </c>
      <c r="G1523" s="42">
        <f>IF($C1523="","",IFERROR(INDEX(DESPACHOS!$F$3:$F$3002,MATCH($C1523,DESPACHOS!$B$3:$B$3002,0)),""))</f>
        <v/>
      </c>
      <c r="H1523" s="42">
        <f>IF($C1523="","",IFERROR(INDEX(DESPACHOS!$G$3:$G$3002,MATCH($C1523,DESPACHOS!$B$3:$B$3002,0)),""))</f>
        <v/>
      </c>
      <c r="I1523" s="39">
        <f>IF($C1523="","",IFERROR(INDEX(DESPACHOS!$H$3:$H$3002,MATCH($C1523,DESPACHOS!$B$3:$B$3002,0)),""))</f>
        <v/>
      </c>
      <c r="J1523" s="43">
        <f>IF($C1523="","",IFERROR(INDEX(DESPACHOS!$J$3:$J$3002,MATCH($C1523,DESPACHOS!$B$3:$B$3002,0)),""))</f>
        <v/>
      </c>
      <c r="K1523" s="39">
        <f>IF($C1523="","",IF(COUNTIFS(DESPACHOS!$B$3:$B$3002,$C1523)=0,"NO EXISTE",IF(COUNTIFS(DESPACHOS!$B$3:$B$3002,$C1523)&gt;1,"DUPLICADO","OK")))</f>
        <v/>
      </c>
      <c r="L1523" s="41" t="n"/>
      <c r="M1523" s="41" t="n"/>
      <c r="N1523" s="42">
        <f>IF($M1523="","",IFERROR(INDEX(LISTAS!$F$3:$F$42,MATCH($M1523,LISTAS!$E$3:$E$42,0)),"Por definir"))</f>
        <v/>
      </c>
      <c r="O1523" s="41" t="n"/>
      <c r="P1523" s="39">
        <f>IF($L1523="","",IFERROR(INDEX(LISTAS!$B$3:$B$42,MATCH($L1523,LISTAS!$A$3:$A$42,0)),"Media"))</f>
        <v/>
      </c>
      <c r="Q1523" s="44" t="n"/>
      <c r="R1523" s="45" t="n"/>
      <c r="S1523" s="20">
        <f>IFERROR(IF(OR($R1523="",$C1523=""),"",$R1523/INDEX(DESPACHOS!$M$3:$M$3002,MATCH($C1523,DESPACHOS!$B$3:$B$3002,0))),"")</f>
        <v/>
      </c>
      <c r="T1523" s="41" t="n"/>
      <c r="U1523" s="43">
        <f>IF(OR($B1523="",$L1523=""),"",WORKDAY($B1523,IFERROR(INDEX(LISTAS!$C$3:$C$42,MATCH($L1523,LISTAS!$A$3:$A$42,0)),3)))</f>
        <v/>
      </c>
      <c r="V1523" s="40" t="n"/>
      <c r="W1523" s="19">
        <f>IF($B1523="","",IF($V1523&lt;&gt;"",$V1523-$B1523,TODAY()-$B1523))</f>
        <v/>
      </c>
      <c r="X1523" s="19">
        <f>IF(OR($B1523="",$U1523=""),"",IF($V1523&lt;&gt;"",MAX(0,$V1523-$U1523),MAX(0,TODAY()-$U1523)))</f>
        <v/>
      </c>
      <c r="Y1523" s="39">
        <f>IF($C1523="","",IF(IFERROR(INDEX(LISTAS!$I$3:$I$42,MATCH($T1523,LISTAS!$H$3:$H$42,0)),"NO")="SÍ",IF(N($X1523)&gt;0,"CERRADA FUERA DE SLA","CERRADA EN SLA"),IF($U1523="","SIN CLASIFICAR",IF(N($X1523)&gt;0,"VENCIDA",IF(TODAY()&gt;=$U1523-1,"POR VENCER","EN PLAZO")))))</f>
        <v/>
      </c>
      <c r="Z1523" s="41" t="n"/>
      <c r="AA1523" s="41" t="n"/>
      <c r="AB1523" s="41" t="n"/>
    </row>
    <row r="1524">
      <c r="A1524" s="39">
        <f>IF($C1524="","","NOV-"&amp;TEXT(ROW()-3,"0000"))</f>
        <v/>
      </c>
      <c r="B1524" s="40" t="n"/>
      <c r="C1524" s="41" t="n"/>
      <c r="D1524" s="42">
        <f>IF($C1524="","",IFERROR(INDEX(DESPACHOS!$D$3:$D$3002,MATCH($C1524,DESPACHOS!$B$3:$B$3002,0)),"SIN DESPACHO"))</f>
        <v/>
      </c>
      <c r="E1524" s="42">
        <f>IF($C1524="","",IFERROR(INDEX(DESPACHOS!$K$3:$K$3002,MATCH($C1524,DESPACHOS!$B$3:$B$3002,0)),""))</f>
        <v/>
      </c>
      <c r="F1524" s="42">
        <f>IF($C1524="","",IFERROR(INDEX(DESPACHOS!$I$3:$I$3002,MATCH($C1524,DESPACHOS!$B$3:$B$3002,0)),""))</f>
        <v/>
      </c>
      <c r="G1524" s="42">
        <f>IF($C1524="","",IFERROR(INDEX(DESPACHOS!$F$3:$F$3002,MATCH($C1524,DESPACHOS!$B$3:$B$3002,0)),""))</f>
        <v/>
      </c>
      <c r="H1524" s="42">
        <f>IF($C1524="","",IFERROR(INDEX(DESPACHOS!$G$3:$G$3002,MATCH($C1524,DESPACHOS!$B$3:$B$3002,0)),""))</f>
        <v/>
      </c>
      <c r="I1524" s="39">
        <f>IF($C1524="","",IFERROR(INDEX(DESPACHOS!$H$3:$H$3002,MATCH($C1524,DESPACHOS!$B$3:$B$3002,0)),""))</f>
        <v/>
      </c>
      <c r="J1524" s="43">
        <f>IF($C1524="","",IFERROR(INDEX(DESPACHOS!$J$3:$J$3002,MATCH($C1524,DESPACHOS!$B$3:$B$3002,0)),""))</f>
        <v/>
      </c>
      <c r="K1524" s="39">
        <f>IF($C1524="","",IF(COUNTIFS(DESPACHOS!$B$3:$B$3002,$C1524)=0,"NO EXISTE",IF(COUNTIFS(DESPACHOS!$B$3:$B$3002,$C1524)&gt;1,"DUPLICADO","OK")))</f>
        <v/>
      </c>
      <c r="L1524" s="41" t="n"/>
      <c r="M1524" s="41" t="n"/>
      <c r="N1524" s="42">
        <f>IF($M1524="","",IFERROR(INDEX(LISTAS!$F$3:$F$42,MATCH($M1524,LISTAS!$E$3:$E$42,0)),"Por definir"))</f>
        <v/>
      </c>
      <c r="O1524" s="41" t="n"/>
      <c r="P1524" s="39">
        <f>IF($L1524="","",IFERROR(INDEX(LISTAS!$B$3:$B$42,MATCH($L1524,LISTAS!$A$3:$A$42,0)),"Media"))</f>
        <v/>
      </c>
      <c r="Q1524" s="44" t="n"/>
      <c r="R1524" s="45" t="n"/>
      <c r="S1524" s="20">
        <f>IFERROR(IF(OR($R1524="",$C1524=""),"",$R1524/INDEX(DESPACHOS!$M$3:$M$3002,MATCH($C1524,DESPACHOS!$B$3:$B$3002,0))),"")</f>
        <v/>
      </c>
      <c r="T1524" s="41" t="n"/>
      <c r="U1524" s="43">
        <f>IF(OR($B1524="",$L1524=""),"",WORKDAY($B1524,IFERROR(INDEX(LISTAS!$C$3:$C$42,MATCH($L1524,LISTAS!$A$3:$A$42,0)),3)))</f>
        <v/>
      </c>
      <c r="V1524" s="40" t="n"/>
      <c r="W1524" s="19">
        <f>IF($B1524="","",IF($V1524&lt;&gt;"",$V1524-$B1524,TODAY()-$B1524))</f>
        <v/>
      </c>
      <c r="X1524" s="19">
        <f>IF(OR($B1524="",$U1524=""),"",IF($V1524&lt;&gt;"",MAX(0,$V1524-$U1524),MAX(0,TODAY()-$U1524)))</f>
        <v/>
      </c>
      <c r="Y1524" s="39">
        <f>IF($C1524="","",IF(IFERROR(INDEX(LISTAS!$I$3:$I$42,MATCH($T1524,LISTAS!$H$3:$H$42,0)),"NO")="SÍ",IF(N($X1524)&gt;0,"CERRADA FUERA DE SLA","CERRADA EN SLA"),IF($U1524="","SIN CLASIFICAR",IF(N($X1524)&gt;0,"VENCIDA",IF(TODAY()&gt;=$U1524-1,"POR VENCER","EN PLAZO")))))</f>
        <v/>
      </c>
      <c r="Z1524" s="41" t="n"/>
      <c r="AA1524" s="41" t="n"/>
      <c r="AB1524" s="41" t="n"/>
    </row>
    <row r="1525">
      <c r="A1525" s="39">
        <f>IF($C1525="","","NOV-"&amp;TEXT(ROW()-3,"0000"))</f>
        <v/>
      </c>
      <c r="B1525" s="40" t="n"/>
      <c r="C1525" s="41" t="n"/>
      <c r="D1525" s="42">
        <f>IF($C1525="","",IFERROR(INDEX(DESPACHOS!$D$3:$D$3002,MATCH($C1525,DESPACHOS!$B$3:$B$3002,0)),"SIN DESPACHO"))</f>
        <v/>
      </c>
      <c r="E1525" s="42">
        <f>IF($C1525="","",IFERROR(INDEX(DESPACHOS!$K$3:$K$3002,MATCH($C1525,DESPACHOS!$B$3:$B$3002,0)),""))</f>
        <v/>
      </c>
      <c r="F1525" s="42">
        <f>IF($C1525="","",IFERROR(INDEX(DESPACHOS!$I$3:$I$3002,MATCH($C1525,DESPACHOS!$B$3:$B$3002,0)),""))</f>
        <v/>
      </c>
      <c r="G1525" s="42">
        <f>IF($C1525="","",IFERROR(INDEX(DESPACHOS!$F$3:$F$3002,MATCH($C1525,DESPACHOS!$B$3:$B$3002,0)),""))</f>
        <v/>
      </c>
      <c r="H1525" s="42">
        <f>IF($C1525="","",IFERROR(INDEX(DESPACHOS!$G$3:$G$3002,MATCH($C1525,DESPACHOS!$B$3:$B$3002,0)),""))</f>
        <v/>
      </c>
      <c r="I1525" s="39">
        <f>IF($C1525="","",IFERROR(INDEX(DESPACHOS!$H$3:$H$3002,MATCH($C1525,DESPACHOS!$B$3:$B$3002,0)),""))</f>
        <v/>
      </c>
      <c r="J1525" s="43">
        <f>IF($C1525="","",IFERROR(INDEX(DESPACHOS!$J$3:$J$3002,MATCH($C1525,DESPACHOS!$B$3:$B$3002,0)),""))</f>
        <v/>
      </c>
      <c r="K1525" s="39">
        <f>IF($C1525="","",IF(COUNTIFS(DESPACHOS!$B$3:$B$3002,$C1525)=0,"NO EXISTE",IF(COUNTIFS(DESPACHOS!$B$3:$B$3002,$C1525)&gt;1,"DUPLICADO","OK")))</f>
        <v/>
      </c>
      <c r="L1525" s="41" t="n"/>
      <c r="M1525" s="41" t="n"/>
      <c r="N1525" s="42">
        <f>IF($M1525="","",IFERROR(INDEX(LISTAS!$F$3:$F$42,MATCH($M1525,LISTAS!$E$3:$E$42,0)),"Por definir"))</f>
        <v/>
      </c>
      <c r="O1525" s="41" t="n"/>
      <c r="P1525" s="39">
        <f>IF($L1525="","",IFERROR(INDEX(LISTAS!$B$3:$B$42,MATCH($L1525,LISTAS!$A$3:$A$42,0)),"Media"))</f>
        <v/>
      </c>
      <c r="Q1525" s="44" t="n"/>
      <c r="R1525" s="45" t="n"/>
      <c r="S1525" s="20">
        <f>IFERROR(IF(OR($R1525="",$C1525=""),"",$R1525/INDEX(DESPACHOS!$M$3:$M$3002,MATCH($C1525,DESPACHOS!$B$3:$B$3002,0))),"")</f>
        <v/>
      </c>
      <c r="T1525" s="41" t="n"/>
      <c r="U1525" s="43">
        <f>IF(OR($B1525="",$L1525=""),"",WORKDAY($B1525,IFERROR(INDEX(LISTAS!$C$3:$C$42,MATCH($L1525,LISTAS!$A$3:$A$42,0)),3)))</f>
        <v/>
      </c>
      <c r="V1525" s="40" t="n"/>
      <c r="W1525" s="19">
        <f>IF($B1525="","",IF($V1525&lt;&gt;"",$V1525-$B1525,TODAY()-$B1525))</f>
        <v/>
      </c>
      <c r="X1525" s="19">
        <f>IF(OR($B1525="",$U1525=""),"",IF($V1525&lt;&gt;"",MAX(0,$V1525-$U1525),MAX(0,TODAY()-$U1525)))</f>
        <v/>
      </c>
      <c r="Y1525" s="39">
        <f>IF($C1525="","",IF(IFERROR(INDEX(LISTAS!$I$3:$I$42,MATCH($T1525,LISTAS!$H$3:$H$42,0)),"NO")="SÍ",IF(N($X1525)&gt;0,"CERRADA FUERA DE SLA","CERRADA EN SLA"),IF($U1525="","SIN CLASIFICAR",IF(N($X1525)&gt;0,"VENCIDA",IF(TODAY()&gt;=$U1525-1,"POR VENCER","EN PLAZO")))))</f>
        <v/>
      </c>
      <c r="Z1525" s="41" t="n"/>
      <c r="AA1525" s="41" t="n"/>
      <c r="AB1525" s="41" t="n"/>
    </row>
    <row r="1526">
      <c r="A1526" s="39">
        <f>IF($C1526="","","NOV-"&amp;TEXT(ROW()-3,"0000"))</f>
        <v/>
      </c>
      <c r="B1526" s="40" t="n"/>
      <c r="C1526" s="41" t="n"/>
      <c r="D1526" s="42">
        <f>IF($C1526="","",IFERROR(INDEX(DESPACHOS!$D$3:$D$3002,MATCH($C1526,DESPACHOS!$B$3:$B$3002,0)),"SIN DESPACHO"))</f>
        <v/>
      </c>
      <c r="E1526" s="42">
        <f>IF($C1526="","",IFERROR(INDEX(DESPACHOS!$K$3:$K$3002,MATCH($C1526,DESPACHOS!$B$3:$B$3002,0)),""))</f>
        <v/>
      </c>
      <c r="F1526" s="42">
        <f>IF($C1526="","",IFERROR(INDEX(DESPACHOS!$I$3:$I$3002,MATCH($C1526,DESPACHOS!$B$3:$B$3002,0)),""))</f>
        <v/>
      </c>
      <c r="G1526" s="42">
        <f>IF($C1526="","",IFERROR(INDEX(DESPACHOS!$F$3:$F$3002,MATCH($C1526,DESPACHOS!$B$3:$B$3002,0)),""))</f>
        <v/>
      </c>
      <c r="H1526" s="42">
        <f>IF($C1526="","",IFERROR(INDEX(DESPACHOS!$G$3:$G$3002,MATCH($C1526,DESPACHOS!$B$3:$B$3002,0)),""))</f>
        <v/>
      </c>
      <c r="I1526" s="39">
        <f>IF($C1526="","",IFERROR(INDEX(DESPACHOS!$H$3:$H$3002,MATCH($C1526,DESPACHOS!$B$3:$B$3002,0)),""))</f>
        <v/>
      </c>
      <c r="J1526" s="43">
        <f>IF($C1526="","",IFERROR(INDEX(DESPACHOS!$J$3:$J$3002,MATCH($C1526,DESPACHOS!$B$3:$B$3002,0)),""))</f>
        <v/>
      </c>
      <c r="K1526" s="39">
        <f>IF($C1526="","",IF(COUNTIFS(DESPACHOS!$B$3:$B$3002,$C1526)=0,"NO EXISTE",IF(COUNTIFS(DESPACHOS!$B$3:$B$3002,$C1526)&gt;1,"DUPLICADO","OK")))</f>
        <v/>
      </c>
      <c r="L1526" s="41" t="n"/>
      <c r="M1526" s="41" t="n"/>
      <c r="N1526" s="42">
        <f>IF($M1526="","",IFERROR(INDEX(LISTAS!$F$3:$F$42,MATCH($M1526,LISTAS!$E$3:$E$42,0)),"Por definir"))</f>
        <v/>
      </c>
      <c r="O1526" s="41" t="n"/>
      <c r="P1526" s="39">
        <f>IF($L1526="","",IFERROR(INDEX(LISTAS!$B$3:$B$42,MATCH($L1526,LISTAS!$A$3:$A$42,0)),"Media"))</f>
        <v/>
      </c>
      <c r="Q1526" s="44" t="n"/>
      <c r="R1526" s="45" t="n"/>
      <c r="S1526" s="20">
        <f>IFERROR(IF(OR($R1526="",$C1526=""),"",$R1526/INDEX(DESPACHOS!$M$3:$M$3002,MATCH($C1526,DESPACHOS!$B$3:$B$3002,0))),"")</f>
        <v/>
      </c>
      <c r="T1526" s="41" t="n"/>
      <c r="U1526" s="43">
        <f>IF(OR($B1526="",$L1526=""),"",WORKDAY($B1526,IFERROR(INDEX(LISTAS!$C$3:$C$42,MATCH($L1526,LISTAS!$A$3:$A$42,0)),3)))</f>
        <v/>
      </c>
      <c r="V1526" s="40" t="n"/>
      <c r="W1526" s="19">
        <f>IF($B1526="","",IF($V1526&lt;&gt;"",$V1526-$B1526,TODAY()-$B1526))</f>
        <v/>
      </c>
      <c r="X1526" s="19">
        <f>IF(OR($B1526="",$U1526=""),"",IF($V1526&lt;&gt;"",MAX(0,$V1526-$U1526),MAX(0,TODAY()-$U1526)))</f>
        <v/>
      </c>
      <c r="Y1526" s="39">
        <f>IF($C1526="","",IF(IFERROR(INDEX(LISTAS!$I$3:$I$42,MATCH($T1526,LISTAS!$H$3:$H$42,0)),"NO")="SÍ",IF(N($X1526)&gt;0,"CERRADA FUERA DE SLA","CERRADA EN SLA"),IF($U1526="","SIN CLASIFICAR",IF(N($X1526)&gt;0,"VENCIDA",IF(TODAY()&gt;=$U1526-1,"POR VENCER","EN PLAZO")))))</f>
        <v/>
      </c>
      <c r="Z1526" s="41" t="n"/>
      <c r="AA1526" s="41" t="n"/>
      <c r="AB1526" s="41" t="n"/>
    </row>
    <row r="1527">
      <c r="A1527" s="39">
        <f>IF($C1527="","","NOV-"&amp;TEXT(ROW()-3,"0000"))</f>
        <v/>
      </c>
      <c r="B1527" s="40" t="n"/>
      <c r="C1527" s="41" t="n"/>
      <c r="D1527" s="42">
        <f>IF($C1527="","",IFERROR(INDEX(DESPACHOS!$D$3:$D$3002,MATCH($C1527,DESPACHOS!$B$3:$B$3002,0)),"SIN DESPACHO"))</f>
        <v/>
      </c>
      <c r="E1527" s="42">
        <f>IF($C1527="","",IFERROR(INDEX(DESPACHOS!$K$3:$K$3002,MATCH($C1527,DESPACHOS!$B$3:$B$3002,0)),""))</f>
        <v/>
      </c>
      <c r="F1527" s="42">
        <f>IF($C1527="","",IFERROR(INDEX(DESPACHOS!$I$3:$I$3002,MATCH($C1527,DESPACHOS!$B$3:$B$3002,0)),""))</f>
        <v/>
      </c>
      <c r="G1527" s="42">
        <f>IF($C1527="","",IFERROR(INDEX(DESPACHOS!$F$3:$F$3002,MATCH($C1527,DESPACHOS!$B$3:$B$3002,0)),""))</f>
        <v/>
      </c>
      <c r="H1527" s="42">
        <f>IF($C1527="","",IFERROR(INDEX(DESPACHOS!$G$3:$G$3002,MATCH($C1527,DESPACHOS!$B$3:$B$3002,0)),""))</f>
        <v/>
      </c>
      <c r="I1527" s="39">
        <f>IF($C1527="","",IFERROR(INDEX(DESPACHOS!$H$3:$H$3002,MATCH($C1527,DESPACHOS!$B$3:$B$3002,0)),""))</f>
        <v/>
      </c>
      <c r="J1527" s="43">
        <f>IF($C1527="","",IFERROR(INDEX(DESPACHOS!$J$3:$J$3002,MATCH($C1527,DESPACHOS!$B$3:$B$3002,0)),""))</f>
        <v/>
      </c>
      <c r="K1527" s="39">
        <f>IF($C1527="","",IF(COUNTIFS(DESPACHOS!$B$3:$B$3002,$C1527)=0,"NO EXISTE",IF(COUNTIFS(DESPACHOS!$B$3:$B$3002,$C1527)&gt;1,"DUPLICADO","OK")))</f>
        <v/>
      </c>
      <c r="L1527" s="41" t="n"/>
      <c r="M1527" s="41" t="n"/>
      <c r="N1527" s="42">
        <f>IF($M1527="","",IFERROR(INDEX(LISTAS!$F$3:$F$42,MATCH($M1527,LISTAS!$E$3:$E$42,0)),"Por definir"))</f>
        <v/>
      </c>
      <c r="O1527" s="41" t="n"/>
      <c r="P1527" s="39">
        <f>IF($L1527="","",IFERROR(INDEX(LISTAS!$B$3:$B$42,MATCH($L1527,LISTAS!$A$3:$A$42,0)),"Media"))</f>
        <v/>
      </c>
      <c r="Q1527" s="44" t="n"/>
      <c r="R1527" s="45" t="n"/>
      <c r="S1527" s="20">
        <f>IFERROR(IF(OR($R1527="",$C1527=""),"",$R1527/INDEX(DESPACHOS!$M$3:$M$3002,MATCH($C1527,DESPACHOS!$B$3:$B$3002,0))),"")</f>
        <v/>
      </c>
      <c r="T1527" s="41" t="n"/>
      <c r="U1527" s="43">
        <f>IF(OR($B1527="",$L1527=""),"",WORKDAY($B1527,IFERROR(INDEX(LISTAS!$C$3:$C$42,MATCH($L1527,LISTAS!$A$3:$A$42,0)),3)))</f>
        <v/>
      </c>
      <c r="V1527" s="40" t="n"/>
      <c r="W1527" s="19">
        <f>IF($B1527="","",IF($V1527&lt;&gt;"",$V1527-$B1527,TODAY()-$B1527))</f>
        <v/>
      </c>
      <c r="X1527" s="19">
        <f>IF(OR($B1527="",$U1527=""),"",IF($V1527&lt;&gt;"",MAX(0,$V1527-$U1527),MAX(0,TODAY()-$U1527)))</f>
        <v/>
      </c>
      <c r="Y1527" s="39">
        <f>IF($C1527="","",IF(IFERROR(INDEX(LISTAS!$I$3:$I$42,MATCH($T1527,LISTAS!$H$3:$H$42,0)),"NO")="SÍ",IF(N($X1527)&gt;0,"CERRADA FUERA DE SLA","CERRADA EN SLA"),IF($U1527="","SIN CLASIFICAR",IF(N($X1527)&gt;0,"VENCIDA",IF(TODAY()&gt;=$U1527-1,"POR VENCER","EN PLAZO")))))</f>
        <v/>
      </c>
      <c r="Z1527" s="41" t="n"/>
      <c r="AA1527" s="41" t="n"/>
      <c r="AB1527" s="41" t="n"/>
    </row>
    <row r="1528">
      <c r="A1528" s="39">
        <f>IF($C1528="","","NOV-"&amp;TEXT(ROW()-3,"0000"))</f>
        <v/>
      </c>
      <c r="B1528" s="40" t="n"/>
      <c r="C1528" s="41" t="n"/>
      <c r="D1528" s="42">
        <f>IF($C1528="","",IFERROR(INDEX(DESPACHOS!$D$3:$D$3002,MATCH($C1528,DESPACHOS!$B$3:$B$3002,0)),"SIN DESPACHO"))</f>
        <v/>
      </c>
      <c r="E1528" s="42">
        <f>IF($C1528="","",IFERROR(INDEX(DESPACHOS!$K$3:$K$3002,MATCH($C1528,DESPACHOS!$B$3:$B$3002,0)),""))</f>
        <v/>
      </c>
      <c r="F1528" s="42">
        <f>IF($C1528="","",IFERROR(INDEX(DESPACHOS!$I$3:$I$3002,MATCH($C1528,DESPACHOS!$B$3:$B$3002,0)),""))</f>
        <v/>
      </c>
      <c r="G1528" s="42">
        <f>IF($C1528="","",IFERROR(INDEX(DESPACHOS!$F$3:$F$3002,MATCH($C1528,DESPACHOS!$B$3:$B$3002,0)),""))</f>
        <v/>
      </c>
      <c r="H1528" s="42">
        <f>IF($C1528="","",IFERROR(INDEX(DESPACHOS!$G$3:$G$3002,MATCH($C1528,DESPACHOS!$B$3:$B$3002,0)),""))</f>
        <v/>
      </c>
      <c r="I1528" s="39">
        <f>IF($C1528="","",IFERROR(INDEX(DESPACHOS!$H$3:$H$3002,MATCH($C1528,DESPACHOS!$B$3:$B$3002,0)),""))</f>
        <v/>
      </c>
      <c r="J1528" s="43">
        <f>IF($C1528="","",IFERROR(INDEX(DESPACHOS!$J$3:$J$3002,MATCH($C1528,DESPACHOS!$B$3:$B$3002,0)),""))</f>
        <v/>
      </c>
      <c r="K1528" s="39">
        <f>IF($C1528="","",IF(COUNTIFS(DESPACHOS!$B$3:$B$3002,$C1528)=0,"NO EXISTE",IF(COUNTIFS(DESPACHOS!$B$3:$B$3002,$C1528)&gt;1,"DUPLICADO","OK")))</f>
        <v/>
      </c>
      <c r="L1528" s="41" t="n"/>
      <c r="M1528" s="41" t="n"/>
      <c r="N1528" s="42">
        <f>IF($M1528="","",IFERROR(INDEX(LISTAS!$F$3:$F$42,MATCH($M1528,LISTAS!$E$3:$E$42,0)),"Por definir"))</f>
        <v/>
      </c>
      <c r="O1528" s="41" t="n"/>
      <c r="P1528" s="39">
        <f>IF($L1528="","",IFERROR(INDEX(LISTAS!$B$3:$B$42,MATCH($L1528,LISTAS!$A$3:$A$42,0)),"Media"))</f>
        <v/>
      </c>
      <c r="Q1528" s="44" t="n"/>
      <c r="R1528" s="45" t="n"/>
      <c r="S1528" s="20">
        <f>IFERROR(IF(OR($R1528="",$C1528=""),"",$R1528/INDEX(DESPACHOS!$M$3:$M$3002,MATCH($C1528,DESPACHOS!$B$3:$B$3002,0))),"")</f>
        <v/>
      </c>
      <c r="T1528" s="41" t="n"/>
      <c r="U1528" s="43">
        <f>IF(OR($B1528="",$L1528=""),"",WORKDAY($B1528,IFERROR(INDEX(LISTAS!$C$3:$C$42,MATCH($L1528,LISTAS!$A$3:$A$42,0)),3)))</f>
        <v/>
      </c>
      <c r="V1528" s="40" t="n"/>
      <c r="W1528" s="19">
        <f>IF($B1528="","",IF($V1528&lt;&gt;"",$V1528-$B1528,TODAY()-$B1528))</f>
        <v/>
      </c>
      <c r="X1528" s="19">
        <f>IF(OR($B1528="",$U1528=""),"",IF($V1528&lt;&gt;"",MAX(0,$V1528-$U1528),MAX(0,TODAY()-$U1528)))</f>
        <v/>
      </c>
      <c r="Y1528" s="39">
        <f>IF($C1528="","",IF(IFERROR(INDEX(LISTAS!$I$3:$I$42,MATCH($T1528,LISTAS!$H$3:$H$42,0)),"NO")="SÍ",IF(N($X1528)&gt;0,"CERRADA FUERA DE SLA","CERRADA EN SLA"),IF($U1528="","SIN CLASIFICAR",IF(N($X1528)&gt;0,"VENCIDA",IF(TODAY()&gt;=$U1528-1,"POR VENCER","EN PLAZO")))))</f>
        <v/>
      </c>
      <c r="Z1528" s="41" t="n"/>
      <c r="AA1528" s="41" t="n"/>
      <c r="AB1528" s="41" t="n"/>
    </row>
    <row r="1529">
      <c r="A1529" s="39">
        <f>IF($C1529="","","NOV-"&amp;TEXT(ROW()-3,"0000"))</f>
        <v/>
      </c>
      <c r="B1529" s="40" t="n"/>
      <c r="C1529" s="41" t="n"/>
      <c r="D1529" s="42">
        <f>IF($C1529="","",IFERROR(INDEX(DESPACHOS!$D$3:$D$3002,MATCH($C1529,DESPACHOS!$B$3:$B$3002,0)),"SIN DESPACHO"))</f>
        <v/>
      </c>
      <c r="E1529" s="42">
        <f>IF($C1529="","",IFERROR(INDEX(DESPACHOS!$K$3:$K$3002,MATCH($C1529,DESPACHOS!$B$3:$B$3002,0)),""))</f>
        <v/>
      </c>
      <c r="F1529" s="42">
        <f>IF($C1529="","",IFERROR(INDEX(DESPACHOS!$I$3:$I$3002,MATCH($C1529,DESPACHOS!$B$3:$B$3002,0)),""))</f>
        <v/>
      </c>
      <c r="G1529" s="42">
        <f>IF($C1529="","",IFERROR(INDEX(DESPACHOS!$F$3:$F$3002,MATCH($C1529,DESPACHOS!$B$3:$B$3002,0)),""))</f>
        <v/>
      </c>
      <c r="H1529" s="42">
        <f>IF($C1529="","",IFERROR(INDEX(DESPACHOS!$G$3:$G$3002,MATCH($C1529,DESPACHOS!$B$3:$B$3002,0)),""))</f>
        <v/>
      </c>
      <c r="I1529" s="39">
        <f>IF($C1529="","",IFERROR(INDEX(DESPACHOS!$H$3:$H$3002,MATCH($C1529,DESPACHOS!$B$3:$B$3002,0)),""))</f>
        <v/>
      </c>
      <c r="J1529" s="43">
        <f>IF($C1529="","",IFERROR(INDEX(DESPACHOS!$J$3:$J$3002,MATCH($C1529,DESPACHOS!$B$3:$B$3002,0)),""))</f>
        <v/>
      </c>
      <c r="K1529" s="39">
        <f>IF($C1529="","",IF(COUNTIFS(DESPACHOS!$B$3:$B$3002,$C1529)=0,"NO EXISTE",IF(COUNTIFS(DESPACHOS!$B$3:$B$3002,$C1529)&gt;1,"DUPLICADO","OK")))</f>
        <v/>
      </c>
      <c r="L1529" s="41" t="n"/>
      <c r="M1529" s="41" t="n"/>
      <c r="N1529" s="42">
        <f>IF($M1529="","",IFERROR(INDEX(LISTAS!$F$3:$F$42,MATCH($M1529,LISTAS!$E$3:$E$42,0)),"Por definir"))</f>
        <v/>
      </c>
      <c r="O1529" s="41" t="n"/>
      <c r="P1529" s="39">
        <f>IF($L1529="","",IFERROR(INDEX(LISTAS!$B$3:$B$42,MATCH($L1529,LISTAS!$A$3:$A$42,0)),"Media"))</f>
        <v/>
      </c>
      <c r="Q1529" s="44" t="n"/>
      <c r="R1529" s="45" t="n"/>
      <c r="S1529" s="20">
        <f>IFERROR(IF(OR($R1529="",$C1529=""),"",$R1529/INDEX(DESPACHOS!$M$3:$M$3002,MATCH($C1529,DESPACHOS!$B$3:$B$3002,0))),"")</f>
        <v/>
      </c>
      <c r="T1529" s="41" t="n"/>
      <c r="U1529" s="43">
        <f>IF(OR($B1529="",$L1529=""),"",WORKDAY($B1529,IFERROR(INDEX(LISTAS!$C$3:$C$42,MATCH($L1529,LISTAS!$A$3:$A$42,0)),3)))</f>
        <v/>
      </c>
      <c r="V1529" s="40" t="n"/>
      <c r="W1529" s="19">
        <f>IF($B1529="","",IF($V1529&lt;&gt;"",$V1529-$B1529,TODAY()-$B1529))</f>
        <v/>
      </c>
      <c r="X1529" s="19">
        <f>IF(OR($B1529="",$U1529=""),"",IF($V1529&lt;&gt;"",MAX(0,$V1529-$U1529),MAX(0,TODAY()-$U1529)))</f>
        <v/>
      </c>
      <c r="Y1529" s="39">
        <f>IF($C1529="","",IF(IFERROR(INDEX(LISTAS!$I$3:$I$42,MATCH($T1529,LISTAS!$H$3:$H$42,0)),"NO")="SÍ",IF(N($X1529)&gt;0,"CERRADA FUERA DE SLA","CERRADA EN SLA"),IF($U1529="","SIN CLASIFICAR",IF(N($X1529)&gt;0,"VENCIDA",IF(TODAY()&gt;=$U1529-1,"POR VENCER","EN PLAZO")))))</f>
        <v/>
      </c>
      <c r="Z1529" s="41" t="n"/>
      <c r="AA1529" s="41" t="n"/>
      <c r="AB1529" s="41" t="n"/>
    </row>
    <row r="1530">
      <c r="A1530" s="39">
        <f>IF($C1530="","","NOV-"&amp;TEXT(ROW()-3,"0000"))</f>
        <v/>
      </c>
      <c r="B1530" s="40" t="n"/>
      <c r="C1530" s="41" t="n"/>
      <c r="D1530" s="42">
        <f>IF($C1530="","",IFERROR(INDEX(DESPACHOS!$D$3:$D$3002,MATCH($C1530,DESPACHOS!$B$3:$B$3002,0)),"SIN DESPACHO"))</f>
        <v/>
      </c>
      <c r="E1530" s="42">
        <f>IF($C1530="","",IFERROR(INDEX(DESPACHOS!$K$3:$K$3002,MATCH($C1530,DESPACHOS!$B$3:$B$3002,0)),""))</f>
        <v/>
      </c>
      <c r="F1530" s="42">
        <f>IF($C1530="","",IFERROR(INDEX(DESPACHOS!$I$3:$I$3002,MATCH($C1530,DESPACHOS!$B$3:$B$3002,0)),""))</f>
        <v/>
      </c>
      <c r="G1530" s="42">
        <f>IF($C1530="","",IFERROR(INDEX(DESPACHOS!$F$3:$F$3002,MATCH($C1530,DESPACHOS!$B$3:$B$3002,0)),""))</f>
        <v/>
      </c>
      <c r="H1530" s="42">
        <f>IF($C1530="","",IFERROR(INDEX(DESPACHOS!$G$3:$G$3002,MATCH($C1530,DESPACHOS!$B$3:$B$3002,0)),""))</f>
        <v/>
      </c>
      <c r="I1530" s="39">
        <f>IF($C1530="","",IFERROR(INDEX(DESPACHOS!$H$3:$H$3002,MATCH($C1530,DESPACHOS!$B$3:$B$3002,0)),""))</f>
        <v/>
      </c>
      <c r="J1530" s="43">
        <f>IF($C1530="","",IFERROR(INDEX(DESPACHOS!$J$3:$J$3002,MATCH($C1530,DESPACHOS!$B$3:$B$3002,0)),""))</f>
        <v/>
      </c>
      <c r="K1530" s="39">
        <f>IF($C1530="","",IF(COUNTIFS(DESPACHOS!$B$3:$B$3002,$C1530)=0,"NO EXISTE",IF(COUNTIFS(DESPACHOS!$B$3:$B$3002,$C1530)&gt;1,"DUPLICADO","OK")))</f>
        <v/>
      </c>
      <c r="L1530" s="41" t="n"/>
      <c r="M1530" s="41" t="n"/>
      <c r="N1530" s="42">
        <f>IF($M1530="","",IFERROR(INDEX(LISTAS!$F$3:$F$42,MATCH($M1530,LISTAS!$E$3:$E$42,0)),"Por definir"))</f>
        <v/>
      </c>
      <c r="O1530" s="41" t="n"/>
      <c r="P1530" s="39">
        <f>IF($L1530="","",IFERROR(INDEX(LISTAS!$B$3:$B$42,MATCH($L1530,LISTAS!$A$3:$A$42,0)),"Media"))</f>
        <v/>
      </c>
      <c r="Q1530" s="44" t="n"/>
      <c r="R1530" s="45" t="n"/>
      <c r="S1530" s="20">
        <f>IFERROR(IF(OR($R1530="",$C1530=""),"",$R1530/INDEX(DESPACHOS!$M$3:$M$3002,MATCH($C1530,DESPACHOS!$B$3:$B$3002,0))),"")</f>
        <v/>
      </c>
      <c r="T1530" s="41" t="n"/>
      <c r="U1530" s="43">
        <f>IF(OR($B1530="",$L1530=""),"",WORKDAY($B1530,IFERROR(INDEX(LISTAS!$C$3:$C$42,MATCH($L1530,LISTAS!$A$3:$A$42,0)),3)))</f>
        <v/>
      </c>
      <c r="V1530" s="40" t="n"/>
      <c r="W1530" s="19">
        <f>IF($B1530="","",IF($V1530&lt;&gt;"",$V1530-$B1530,TODAY()-$B1530))</f>
        <v/>
      </c>
      <c r="X1530" s="19">
        <f>IF(OR($B1530="",$U1530=""),"",IF($V1530&lt;&gt;"",MAX(0,$V1530-$U1530),MAX(0,TODAY()-$U1530)))</f>
        <v/>
      </c>
      <c r="Y1530" s="39">
        <f>IF($C1530="","",IF(IFERROR(INDEX(LISTAS!$I$3:$I$42,MATCH($T1530,LISTAS!$H$3:$H$42,0)),"NO")="SÍ",IF(N($X1530)&gt;0,"CERRADA FUERA DE SLA","CERRADA EN SLA"),IF($U1530="","SIN CLASIFICAR",IF(N($X1530)&gt;0,"VENCIDA",IF(TODAY()&gt;=$U1530-1,"POR VENCER","EN PLAZO")))))</f>
        <v/>
      </c>
      <c r="Z1530" s="41" t="n"/>
      <c r="AA1530" s="41" t="n"/>
      <c r="AB1530" s="41" t="n"/>
    </row>
    <row r="1531">
      <c r="A1531" s="39">
        <f>IF($C1531="","","NOV-"&amp;TEXT(ROW()-3,"0000"))</f>
        <v/>
      </c>
      <c r="B1531" s="40" t="n"/>
      <c r="C1531" s="41" t="n"/>
      <c r="D1531" s="42">
        <f>IF($C1531="","",IFERROR(INDEX(DESPACHOS!$D$3:$D$3002,MATCH($C1531,DESPACHOS!$B$3:$B$3002,0)),"SIN DESPACHO"))</f>
        <v/>
      </c>
      <c r="E1531" s="42">
        <f>IF($C1531="","",IFERROR(INDEX(DESPACHOS!$K$3:$K$3002,MATCH($C1531,DESPACHOS!$B$3:$B$3002,0)),""))</f>
        <v/>
      </c>
      <c r="F1531" s="42">
        <f>IF($C1531="","",IFERROR(INDEX(DESPACHOS!$I$3:$I$3002,MATCH($C1531,DESPACHOS!$B$3:$B$3002,0)),""))</f>
        <v/>
      </c>
      <c r="G1531" s="42">
        <f>IF($C1531="","",IFERROR(INDEX(DESPACHOS!$F$3:$F$3002,MATCH($C1531,DESPACHOS!$B$3:$B$3002,0)),""))</f>
        <v/>
      </c>
      <c r="H1531" s="42">
        <f>IF($C1531="","",IFERROR(INDEX(DESPACHOS!$G$3:$G$3002,MATCH($C1531,DESPACHOS!$B$3:$B$3002,0)),""))</f>
        <v/>
      </c>
      <c r="I1531" s="39">
        <f>IF($C1531="","",IFERROR(INDEX(DESPACHOS!$H$3:$H$3002,MATCH($C1531,DESPACHOS!$B$3:$B$3002,0)),""))</f>
        <v/>
      </c>
      <c r="J1531" s="43">
        <f>IF($C1531="","",IFERROR(INDEX(DESPACHOS!$J$3:$J$3002,MATCH($C1531,DESPACHOS!$B$3:$B$3002,0)),""))</f>
        <v/>
      </c>
      <c r="K1531" s="39">
        <f>IF($C1531="","",IF(COUNTIFS(DESPACHOS!$B$3:$B$3002,$C1531)=0,"NO EXISTE",IF(COUNTIFS(DESPACHOS!$B$3:$B$3002,$C1531)&gt;1,"DUPLICADO","OK")))</f>
        <v/>
      </c>
      <c r="L1531" s="41" t="n"/>
      <c r="M1531" s="41" t="n"/>
      <c r="N1531" s="42">
        <f>IF($M1531="","",IFERROR(INDEX(LISTAS!$F$3:$F$42,MATCH($M1531,LISTAS!$E$3:$E$42,0)),"Por definir"))</f>
        <v/>
      </c>
      <c r="O1531" s="41" t="n"/>
      <c r="P1531" s="39">
        <f>IF($L1531="","",IFERROR(INDEX(LISTAS!$B$3:$B$42,MATCH($L1531,LISTAS!$A$3:$A$42,0)),"Media"))</f>
        <v/>
      </c>
      <c r="Q1531" s="44" t="n"/>
      <c r="R1531" s="45" t="n"/>
      <c r="S1531" s="20">
        <f>IFERROR(IF(OR($R1531="",$C1531=""),"",$R1531/INDEX(DESPACHOS!$M$3:$M$3002,MATCH($C1531,DESPACHOS!$B$3:$B$3002,0))),"")</f>
        <v/>
      </c>
      <c r="T1531" s="41" t="n"/>
      <c r="U1531" s="43">
        <f>IF(OR($B1531="",$L1531=""),"",WORKDAY($B1531,IFERROR(INDEX(LISTAS!$C$3:$C$42,MATCH($L1531,LISTAS!$A$3:$A$42,0)),3)))</f>
        <v/>
      </c>
      <c r="V1531" s="40" t="n"/>
      <c r="W1531" s="19">
        <f>IF($B1531="","",IF($V1531&lt;&gt;"",$V1531-$B1531,TODAY()-$B1531))</f>
        <v/>
      </c>
      <c r="X1531" s="19">
        <f>IF(OR($B1531="",$U1531=""),"",IF($V1531&lt;&gt;"",MAX(0,$V1531-$U1531),MAX(0,TODAY()-$U1531)))</f>
        <v/>
      </c>
      <c r="Y1531" s="39">
        <f>IF($C1531="","",IF(IFERROR(INDEX(LISTAS!$I$3:$I$42,MATCH($T1531,LISTAS!$H$3:$H$42,0)),"NO")="SÍ",IF(N($X1531)&gt;0,"CERRADA FUERA DE SLA","CERRADA EN SLA"),IF($U1531="","SIN CLASIFICAR",IF(N($X1531)&gt;0,"VENCIDA",IF(TODAY()&gt;=$U1531-1,"POR VENCER","EN PLAZO")))))</f>
        <v/>
      </c>
      <c r="Z1531" s="41" t="n"/>
      <c r="AA1531" s="41" t="n"/>
      <c r="AB1531" s="41" t="n"/>
    </row>
    <row r="1532">
      <c r="A1532" s="39">
        <f>IF($C1532="","","NOV-"&amp;TEXT(ROW()-3,"0000"))</f>
        <v/>
      </c>
      <c r="B1532" s="40" t="n"/>
      <c r="C1532" s="41" t="n"/>
      <c r="D1532" s="42">
        <f>IF($C1532="","",IFERROR(INDEX(DESPACHOS!$D$3:$D$3002,MATCH($C1532,DESPACHOS!$B$3:$B$3002,0)),"SIN DESPACHO"))</f>
        <v/>
      </c>
      <c r="E1532" s="42">
        <f>IF($C1532="","",IFERROR(INDEX(DESPACHOS!$K$3:$K$3002,MATCH($C1532,DESPACHOS!$B$3:$B$3002,0)),""))</f>
        <v/>
      </c>
      <c r="F1532" s="42">
        <f>IF($C1532="","",IFERROR(INDEX(DESPACHOS!$I$3:$I$3002,MATCH($C1532,DESPACHOS!$B$3:$B$3002,0)),""))</f>
        <v/>
      </c>
      <c r="G1532" s="42">
        <f>IF($C1532="","",IFERROR(INDEX(DESPACHOS!$F$3:$F$3002,MATCH($C1532,DESPACHOS!$B$3:$B$3002,0)),""))</f>
        <v/>
      </c>
      <c r="H1532" s="42">
        <f>IF($C1532="","",IFERROR(INDEX(DESPACHOS!$G$3:$G$3002,MATCH($C1532,DESPACHOS!$B$3:$B$3002,0)),""))</f>
        <v/>
      </c>
      <c r="I1532" s="39">
        <f>IF($C1532="","",IFERROR(INDEX(DESPACHOS!$H$3:$H$3002,MATCH($C1532,DESPACHOS!$B$3:$B$3002,0)),""))</f>
        <v/>
      </c>
      <c r="J1532" s="43">
        <f>IF($C1532="","",IFERROR(INDEX(DESPACHOS!$J$3:$J$3002,MATCH($C1532,DESPACHOS!$B$3:$B$3002,0)),""))</f>
        <v/>
      </c>
      <c r="K1532" s="39">
        <f>IF($C1532="","",IF(COUNTIFS(DESPACHOS!$B$3:$B$3002,$C1532)=0,"NO EXISTE",IF(COUNTIFS(DESPACHOS!$B$3:$B$3002,$C1532)&gt;1,"DUPLICADO","OK")))</f>
        <v/>
      </c>
      <c r="L1532" s="41" t="n"/>
      <c r="M1532" s="41" t="n"/>
      <c r="N1532" s="42">
        <f>IF($M1532="","",IFERROR(INDEX(LISTAS!$F$3:$F$42,MATCH($M1532,LISTAS!$E$3:$E$42,0)),"Por definir"))</f>
        <v/>
      </c>
      <c r="O1532" s="41" t="n"/>
      <c r="P1532" s="39">
        <f>IF($L1532="","",IFERROR(INDEX(LISTAS!$B$3:$B$42,MATCH($L1532,LISTAS!$A$3:$A$42,0)),"Media"))</f>
        <v/>
      </c>
      <c r="Q1532" s="44" t="n"/>
      <c r="R1532" s="45" t="n"/>
      <c r="S1532" s="20">
        <f>IFERROR(IF(OR($R1532="",$C1532=""),"",$R1532/INDEX(DESPACHOS!$M$3:$M$3002,MATCH($C1532,DESPACHOS!$B$3:$B$3002,0))),"")</f>
        <v/>
      </c>
      <c r="T1532" s="41" t="n"/>
      <c r="U1532" s="43">
        <f>IF(OR($B1532="",$L1532=""),"",WORKDAY($B1532,IFERROR(INDEX(LISTAS!$C$3:$C$42,MATCH($L1532,LISTAS!$A$3:$A$42,0)),3)))</f>
        <v/>
      </c>
      <c r="V1532" s="40" t="n"/>
      <c r="W1532" s="19">
        <f>IF($B1532="","",IF($V1532&lt;&gt;"",$V1532-$B1532,TODAY()-$B1532))</f>
        <v/>
      </c>
      <c r="X1532" s="19">
        <f>IF(OR($B1532="",$U1532=""),"",IF($V1532&lt;&gt;"",MAX(0,$V1532-$U1532),MAX(0,TODAY()-$U1532)))</f>
        <v/>
      </c>
      <c r="Y1532" s="39">
        <f>IF($C1532="","",IF(IFERROR(INDEX(LISTAS!$I$3:$I$42,MATCH($T1532,LISTAS!$H$3:$H$42,0)),"NO")="SÍ",IF(N($X1532)&gt;0,"CERRADA FUERA DE SLA","CERRADA EN SLA"),IF($U1532="","SIN CLASIFICAR",IF(N($X1532)&gt;0,"VENCIDA",IF(TODAY()&gt;=$U1532-1,"POR VENCER","EN PLAZO")))))</f>
        <v/>
      </c>
      <c r="Z1532" s="41" t="n"/>
      <c r="AA1532" s="41" t="n"/>
      <c r="AB1532" s="41" t="n"/>
    </row>
    <row r="1533">
      <c r="A1533" s="39">
        <f>IF($C1533="","","NOV-"&amp;TEXT(ROW()-3,"0000"))</f>
        <v/>
      </c>
      <c r="B1533" s="40" t="n"/>
      <c r="C1533" s="41" t="n"/>
      <c r="D1533" s="42">
        <f>IF($C1533="","",IFERROR(INDEX(DESPACHOS!$D$3:$D$3002,MATCH($C1533,DESPACHOS!$B$3:$B$3002,0)),"SIN DESPACHO"))</f>
        <v/>
      </c>
      <c r="E1533" s="42">
        <f>IF($C1533="","",IFERROR(INDEX(DESPACHOS!$K$3:$K$3002,MATCH($C1533,DESPACHOS!$B$3:$B$3002,0)),""))</f>
        <v/>
      </c>
      <c r="F1533" s="42">
        <f>IF($C1533="","",IFERROR(INDEX(DESPACHOS!$I$3:$I$3002,MATCH($C1533,DESPACHOS!$B$3:$B$3002,0)),""))</f>
        <v/>
      </c>
      <c r="G1533" s="42">
        <f>IF($C1533="","",IFERROR(INDEX(DESPACHOS!$F$3:$F$3002,MATCH($C1533,DESPACHOS!$B$3:$B$3002,0)),""))</f>
        <v/>
      </c>
      <c r="H1533" s="42">
        <f>IF($C1533="","",IFERROR(INDEX(DESPACHOS!$G$3:$G$3002,MATCH($C1533,DESPACHOS!$B$3:$B$3002,0)),""))</f>
        <v/>
      </c>
      <c r="I1533" s="39">
        <f>IF($C1533="","",IFERROR(INDEX(DESPACHOS!$H$3:$H$3002,MATCH($C1533,DESPACHOS!$B$3:$B$3002,0)),""))</f>
        <v/>
      </c>
      <c r="J1533" s="43">
        <f>IF($C1533="","",IFERROR(INDEX(DESPACHOS!$J$3:$J$3002,MATCH($C1533,DESPACHOS!$B$3:$B$3002,0)),""))</f>
        <v/>
      </c>
      <c r="K1533" s="39">
        <f>IF($C1533="","",IF(COUNTIFS(DESPACHOS!$B$3:$B$3002,$C1533)=0,"NO EXISTE",IF(COUNTIFS(DESPACHOS!$B$3:$B$3002,$C1533)&gt;1,"DUPLICADO","OK")))</f>
        <v/>
      </c>
      <c r="L1533" s="41" t="n"/>
      <c r="M1533" s="41" t="n"/>
      <c r="N1533" s="42">
        <f>IF($M1533="","",IFERROR(INDEX(LISTAS!$F$3:$F$42,MATCH($M1533,LISTAS!$E$3:$E$42,0)),"Por definir"))</f>
        <v/>
      </c>
      <c r="O1533" s="41" t="n"/>
      <c r="P1533" s="39">
        <f>IF($L1533="","",IFERROR(INDEX(LISTAS!$B$3:$B$42,MATCH($L1533,LISTAS!$A$3:$A$42,0)),"Media"))</f>
        <v/>
      </c>
      <c r="Q1533" s="44" t="n"/>
      <c r="R1533" s="45" t="n"/>
      <c r="S1533" s="20">
        <f>IFERROR(IF(OR($R1533="",$C1533=""),"",$R1533/INDEX(DESPACHOS!$M$3:$M$3002,MATCH($C1533,DESPACHOS!$B$3:$B$3002,0))),"")</f>
        <v/>
      </c>
      <c r="T1533" s="41" t="n"/>
      <c r="U1533" s="43">
        <f>IF(OR($B1533="",$L1533=""),"",WORKDAY($B1533,IFERROR(INDEX(LISTAS!$C$3:$C$42,MATCH($L1533,LISTAS!$A$3:$A$42,0)),3)))</f>
        <v/>
      </c>
      <c r="V1533" s="40" t="n"/>
      <c r="W1533" s="19">
        <f>IF($B1533="","",IF($V1533&lt;&gt;"",$V1533-$B1533,TODAY()-$B1533))</f>
        <v/>
      </c>
      <c r="X1533" s="19">
        <f>IF(OR($B1533="",$U1533=""),"",IF($V1533&lt;&gt;"",MAX(0,$V1533-$U1533),MAX(0,TODAY()-$U1533)))</f>
        <v/>
      </c>
      <c r="Y1533" s="39">
        <f>IF($C1533="","",IF(IFERROR(INDEX(LISTAS!$I$3:$I$42,MATCH($T1533,LISTAS!$H$3:$H$42,0)),"NO")="SÍ",IF(N($X1533)&gt;0,"CERRADA FUERA DE SLA","CERRADA EN SLA"),IF($U1533="","SIN CLASIFICAR",IF(N($X1533)&gt;0,"VENCIDA",IF(TODAY()&gt;=$U1533-1,"POR VENCER","EN PLAZO")))))</f>
        <v/>
      </c>
      <c r="Z1533" s="41" t="n"/>
      <c r="AA1533" s="41" t="n"/>
      <c r="AB1533" s="41" t="n"/>
    </row>
    <row r="1534">
      <c r="A1534" s="39">
        <f>IF($C1534="","","NOV-"&amp;TEXT(ROW()-3,"0000"))</f>
        <v/>
      </c>
      <c r="B1534" s="40" t="n"/>
      <c r="C1534" s="41" t="n"/>
      <c r="D1534" s="42">
        <f>IF($C1534="","",IFERROR(INDEX(DESPACHOS!$D$3:$D$3002,MATCH($C1534,DESPACHOS!$B$3:$B$3002,0)),"SIN DESPACHO"))</f>
        <v/>
      </c>
      <c r="E1534" s="42">
        <f>IF($C1534="","",IFERROR(INDEX(DESPACHOS!$K$3:$K$3002,MATCH($C1534,DESPACHOS!$B$3:$B$3002,0)),""))</f>
        <v/>
      </c>
      <c r="F1534" s="42">
        <f>IF($C1534="","",IFERROR(INDEX(DESPACHOS!$I$3:$I$3002,MATCH($C1534,DESPACHOS!$B$3:$B$3002,0)),""))</f>
        <v/>
      </c>
      <c r="G1534" s="42">
        <f>IF($C1534="","",IFERROR(INDEX(DESPACHOS!$F$3:$F$3002,MATCH($C1534,DESPACHOS!$B$3:$B$3002,0)),""))</f>
        <v/>
      </c>
      <c r="H1534" s="42">
        <f>IF($C1534="","",IFERROR(INDEX(DESPACHOS!$G$3:$G$3002,MATCH($C1534,DESPACHOS!$B$3:$B$3002,0)),""))</f>
        <v/>
      </c>
      <c r="I1534" s="39">
        <f>IF($C1534="","",IFERROR(INDEX(DESPACHOS!$H$3:$H$3002,MATCH($C1534,DESPACHOS!$B$3:$B$3002,0)),""))</f>
        <v/>
      </c>
      <c r="J1534" s="43">
        <f>IF($C1534="","",IFERROR(INDEX(DESPACHOS!$J$3:$J$3002,MATCH($C1534,DESPACHOS!$B$3:$B$3002,0)),""))</f>
        <v/>
      </c>
      <c r="K1534" s="39">
        <f>IF($C1534="","",IF(COUNTIFS(DESPACHOS!$B$3:$B$3002,$C1534)=0,"NO EXISTE",IF(COUNTIFS(DESPACHOS!$B$3:$B$3002,$C1534)&gt;1,"DUPLICADO","OK")))</f>
        <v/>
      </c>
      <c r="L1534" s="41" t="n"/>
      <c r="M1534" s="41" t="n"/>
      <c r="N1534" s="42">
        <f>IF($M1534="","",IFERROR(INDEX(LISTAS!$F$3:$F$42,MATCH($M1534,LISTAS!$E$3:$E$42,0)),"Por definir"))</f>
        <v/>
      </c>
      <c r="O1534" s="41" t="n"/>
      <c r="P1534" s="39">
        <f>IF($L1534="","",IFERROR(INDEX(LISTAS!$B$3:$B$42,MATCH($L1534,LISTAS!$A$3:$A$42,0)),"Media"))</f>
        <v/>
      </c>
      <c r="Q1534" s="44" t="n"/>
      <c r="R1534" s="45" t="n"/>
      <c r="S1534" s="20">
        <f>IFERROR(IF(OR($R1534="",$C1534=""),"",$R1534/INDEX(DESPACHOS!$M$3:$M$3002,MATCH($C1534,DESPACHOS!$B$3:$B$3002,0))),"")</f>
        <v/>
      </c>
      <c r="T1534" s="41" t="n"/>
      <c r="U1534" s="43">
        <f>IF(OR($B1534="",$L1534=""),"",WORKDAY($B1534,IFERROR(INDEX(LISTAS!$C$3:$C$42,MATCH($L1534,LISTAS!$A$3:$A$42,0)),3)))</f>
        <v/>
      </c>
      <c r="V1534" s="40" t="n"/>
      <c r="W1534" s="19">
        <f>IF($B1534="","",IF($V1534&lt;&gt;"",$V1534-$B1534,TODAY()-$B1534))</f>
        <v/>
      </c>
      <c r="X1534" s="19">
        <f>IF(OR($B1534="",$U1534=""),"",IF($V1534&lt;&gt;"",MAX(0,$V1534-$U1534),MAX(0,TODAY()-$U1534)))</f>
        <v/>
      </c>
      <c r="Y1534" s="39">
        <f>IF($C1534="","",IF(IFERROR(INDEX(LISTAS!$I$3:$I$42,MATCH($T1534,LISTAS!$H$3:$H$42,0)),"NO")="SÍ",IF(N($X1534)&gt;0,"CERRADA FUERA DE SLA","CERRADA EN SLA"),IF($U1534="","SIN CLASIFICAR",IF(N($X1534)&gt;0,"VENCIDA",IF(TODAY()&gt;=$U1534-1,"POR VENCER","EN PLAZO")))))</f>
        <v/>
      </c>
      <c r="Z1534" s="41" t="n"/>
      <c r="AA1534" s="41" t="n"/>
      <c r="AB1534" s="41" t="n"/>
    </row>
    <row r="1535">
      <c r="A1535" s="39">
        <f>IF($C1535="","","NOV-"&amp;TEXT(ROW()-3,"0000"))</f>
        <v/>
      </c>
      <c r="B1535" s="40" t="n"/>
      <c r="C1535" s="41" t="n"/>
      <c r="D1535" s="42">
        <f>IF($C1535="","",IFERROR(INDEX(DESPACHOS!$D$3:$D$3002,MATCH($C1535,DESPACHOS!$B$3:$B$3002,0)),"SIN DESPACHO"))</f>
        <v/>
      </c>
      <c r="E1535" s="42">
        <f>IF($C1535="","",IFERROR(INDEX(DESPACHOS!$K$3:$K$3002,MATCH($C1535,DESPACHOS!$B$3:$B$3002,0)),""))</f>
        <v/>
      </c>
      <c r="F1535" s="42">
        <f>IF($C1535="","",IFERROR(INDEX(DESPACHOS!$I$3:$I$3002,MATCH($C1535,DESPACHOS!$B$3:$B$3002,0)),""))</f>
        <v/>
      </c>
      <c r="G1535" s="42">
        <f>IF($C1535="","",IFERROR(INDEX(DESPACHOS!$F$3:$F$3002,MATCH($C1535,DESPACHOS!$B$3:$B$3002,0)),""))</f>
        <v/>
      </c>
      <c r="H1535" s="42">
        <f>IF($C1535="","",IFERROR(INDEX(DESPACHOS!$G$3:$G$3002,MATCH($C1535,DESPACHOS!$B$3:$B$3002,0)),""))</f>
        <v/>
      </c>
      <c r="I1535" s="39">
        <f>IF($C1535="","",IFERROR(INDEX(DESPACHOS!$H$3:$H$3002,MATCH($C1535,DESPACHOS!$B$3:$B$3002,0)),""))</f>
        <v/>
      </c>
      <c r="J1535" s="43">
        <f>IF($C1535="","",IFERROR(INDEX(DESPACHOS!$J$3:$J$3002,MATCH($C1535,DESPACHOS!$B$3:$B$3002,0)),""))</f>
        <v/>
      </c>
      <c r="K1535" s="39">
        <f>IF($C1535="","",IF(COUNTIFS(DESPACHOS!$B$3:$B$3002,$C1535)=0,"NO EXISTE",IF(COUNTIFS(DESPACHOS!$B$3:$B$3002,$C1535)&gt;1,"DUPLICADO","OK")))</f>
        <v/>
      </c>
      <c r="L1535" s="41" t="n"/>
      <c r="M1535" s="41" t="n"/>
      <c r="N1535" s="42">
        <f>IF($M1535="","",IFERROR(INDEX(LISTAS!$F$3:$F$42,MATCH($M1535,LISTAS!$E$3:$E$42,0)),"Por definir"))</f>
        <v/>
      </c>
      <c r="O1535" s="41" t="n"/>
      <c r="P1535" s="39">
        <f>IF($L1535="","",IFERROR(INDEX(LISTAS!$B$3:$B$42,MATCH($L1535,LISTAS!$A$3:$A$42,0)),"Media"))</f>
        <v/>
      </c>
      <c r="Q1535" s="44" t="n"/>
      <c r="R1535" s="45" t="n"/>
      <c r="S1535" s="20">
        <f>IFERROR(IF(OR($R1535="",$C1535=""),"",$R1535/INDEX(DESPACHOS!$M$3:$M$3002,MATCH($C1535,DESPACHOS!$B$3:$B$3002,0))),"")</f>
        <v/>
      </c>
      <c r="T1535" s="41" t="n"/>
      <c r="U1535" s="43">
        <f>IF(OR($B1535="",$L1535=""),"",WORKDAY($B1535,IFERROR(INDEX(LISTAS!$C$3:$C$42,MATCH($L1535,LISTAS!$A$3:$A$42,0)),3)))</f>
        <v/>
      </c>
      <c r="V1535" s="40" t="n"/>
      <c r="W1535" s="19">
        <f>IF($B1535="","",IF($V1535&lt;&gt;"",$V1535-$B1535,TODAY()-$B1535))</f>
        <v/>
      </c>
      <c r="X1535" s="19">
        <f>IF(OR($B1535="",$U1535=""),"",IF($V1535&lt;&gt;"",MAX(0,$V1535-$U1535),MAX(0,TODAY()-$U1535)))</f>
        <v/>
      </c>
      <c r="Y1535" s="39">
        <f>IF($C1535="","",IF(IFERROR(INDEX(LISTAS!$I$3:$I$42,MATCH($T1535,LISTAS!$H$3:$H$42,0)),"NO")="SÍ",IF(N($X1535)&gt;0,"CERRADA FUERA DE SLA","CERRADA EN SLA"),IF($U1535="","SIN CLASIFICAR",IF(N($X1535)&gt;0,"VENCIDA",IF(TODAY()&gt;=$U1535-1,"POR VENCER","EN PLAZO")))))</f>
        <v/>
      </c>
      <c r="Z1535" s="41" t="n"/>
      <c r="AA1535" s="41" t="n"/>
      <c r="AB1535" s="41" t="n"/>
    </row>
    <row r="1536">
      <c r="A1536" s="39">
        <f>IF($C1536="","","NOV-"&amp;TEXT(ROW()-3,"0000"))</f>
        <v/>
      </c>
      <c r="B1536" s="40" t="n"/>
      <c r="C1536" s="41" t="n"/>
      <c r="D1536" s="42">
        <f>IF($C1536="","",IFERROR(INDEX(DESPACHOS!$D$3:$D$3002,MATCH($C1536,DESPACHOS!$B$3:$B$3002,0)),"SIN DESPACHO"))</f>
        <v/>
      </c>
      <c r="E1536" s="42">
        <f>IF($C1536="","",IFERROR(INDEX(DESPACHOS!$K$3:$K$3002,MATCH($C1536,DESPACHOS!$B$3:$B$3002,0)),""))</f>
        <v/>
      </c>
      <c r="F1536" s="42">
        <f>IF($C1536="","",IFERROR(INDEX(DESPACHOS!$I$3:$I$3002,MATCH($C1536,DESPACHOS!$B$3:$B$3002,0)),""))</f>
        <v/>
      </c>
      <c r="G1536" s="42">
        <f>IF($C1536="","",IFERROR(INDEX(DESPACHOS!$F$3:$F$3002,MATCH($C1536,DESPACHOS!$B$3:$B$3002,0)),""))</f>
        <v/>
      </c>
      <c r="H1536" s="42">
        <f>IF($C1536="","",IFERROR(INDEX(DESPACHOS!$G$3:$G$3002,MATCH($C1536,DESPACHOS!$B$3:$B$3002,0)),""))</f>
        <v/>
      </c>
      <c r="I1536" s="39">
        <f>IF($C1536="","",IFERROR(INDEX(DESPACHOS!$H$3:$H$3002,MATCH($C1536,DESPACHOS!$B$3:$B$3002,0)),""))</f>
        <v/>
      </c>
      <c r="J1536" s="43">
        <f>IF($C1536="","",IFERROR(INDEX(DESPACHOS!$J$3:$J$3002,MATCH($C1536,DESPACHOS!$B$3:$B$3002,0)),""))</f>
        <v/>
      </c>
      <c r="K1536" s="39">
        <f>IF($C1536="","",IF(COUNTIFS(DESPACHOS!$B$3:$B$3002,$C1536)=0,"NO EXISTE",IF(COUNTIFS(DESPACHOS!$B$3:$B$3002,$C1536)&gt;1,"DUPLICADO","OK")))</f>
        <v/>
      </c>
      <c r="L1536" s="41" t="n"/>
      <c r="M1536" s="41" t="n"/>
      <c r="N1536" s="42">
        <f>IF($M1536="","",IFERROR(INDEX(LISTAS!$F$3:$F$42,MATCH($M1536,LISTAS!$E$3:$E$42,0)),"Por definir"))</f>
        <v/>
      </c>
      <c r="O1536" s="41" t="n"/>
      <c r="P1536" s="39">
        <f>IF($L1536="","",IFERROR(INDEX(LISTAS!$B$3:$B$42,MATCH($L1536,LISTAS!$A$3:$A$42,0)),"Media"))</f>
        <v/>
      </c>
      <c r="Q1536" s="44" t="n"/>
      <c r="R1536" s="45" t="n"/>
      <c r="S1536" s="20">
        <f>IFERROR(IF(OR($R1536="",$C1536=""),"",$R1536/INDEX(DESPACHOS!$M$3:$M$3002,MATCH($C1536,DESPACHOS!$B$3:$B$3002,0))),"")</f>
        <v/>
      </c>
      <c r="T1536" s="41" t="n"/>
      <c r="U1536" s="43">
        <f>IF(OR($B1536="",$L1536=""),"",WORKDAY($B1536,IFERROR(INDEX(LISTAS!$C$3:$C$42,MATCH($L1536,LISTAS!$A$3:$A$42,0)),3)))</f>
        <v/>
      </c>
      <c r="V1536" s="40" t="n"/>
      <c r="W1536" s="19">
        <f>IF($B1536="","",IF($V1536&lt;&gt;"",$V1536-$B1536,TODAY()-$B1536))</f>
        <v/>
      </c>
      <c r="X1536" s="19">
        <f>IF(OR($B1536="",$U1536=""),"",IF($V1536&lt;&gt;"",MAX(0,$V1536-$U1536),MAX(0,TODAY()-$U1536)))</f>
        <v/>
      </c>
      <c r="Y1536" s="39">
        <f>IF($C1536="","",IF(IFERROR(INDEX(LISTAS!$I$3:$I$42,MATCH($T1536,LISTAS!$H$3:$H$42,0)),"NO")="SÍ",IF(N($X1536)&gt;0,"CERRADA FUERA DE SLA","CERRADA EN SLA"),IF($U1536="","SIN CLASIFICAR",IF(N($X1536)&gt;0,"VENCIDA",IF(TODAY()&gt;=$U1536-1,"POR VENCER","EN PLAZO")))))</f>
        <v/>
      </c>
      <c r="Z1536" s="41" t="n"/>
      <c r="AA1536" s="41" t="n"/>
      <c r="AB1536" s="41" t="n"/>
    </row>
    <row r="1537">
      <c r="A1537" s="39">
        <f>IF($C1537="","","NOV-"&amp;TEXT(ROW()-3,"0000"))</f>
        <v/>
      </c>
      <c r="B1537" s="40" t="n"/>
      <c r="C1537" s="41" t="n"/>
      <c r="D1537" s="42">
        <f>IF($C1537="","",IFERROR(INDEX(DESPACHOS!$D$3:$D$3002,MATCH($C1537,DESPACHOS!$B$3:$B$3002,0)),"SIN DESPACHO"))</f>
        <v/>
      </c>
      <c r="E1537" s="42">
        <f>IF($C1537="","",IFERROR(INDEX(DESPACHOS!$K$3:$K$3002,MATCH($C1537,DESPACHOS!$B$3:$B$3002,0)),""))</f>
        <v/>
      </c>
      <c r="F1537" s="42">
        <f>IF($C1537="","",IFERROR(INDEX(DESPACHOS!$I$3:$I$3002,MATCH($C1537,DESPACHOS!$B$3:$B$3002,0)),""))</f>
        <v/>
      </c>
      <c r="G1537" s="42">
        <f>IF($C1537="","",IFERROR(INDEX(DESPACHOS!$F$3:$F$3002,MATCH($C1537,DESPACHOS!$B$3:$B$3002,0)),""))</f>
        <v/>
      </c>
      <c r="H1537" s="42">
        <f>IF($C1537="","",IFERROR(INDEX(DESPACHOS!$G$3:$G$3002,MATCH($C1537,DESPACHOS!$B$3:$B$3002,0)),""))</f>
        <v/>
      </c>
      <c r="I1537" s="39">
        <f>IF($C1537="","",IFERROR(INDEX(DESPACHOS!$H$3:$H$3002,MATCH($C1537,DESPACHOS!$B$3:$B$3002,0)),""))</f>
        <v/>
      </c>
      <c r="J1537" s="43">
        <f>IF($C1537="","",IFERROR(INDEX(DESPACHOS!$J$3:$J$3002,MATCH($C1537,DESPACHOS!$B$3:$B$3002,0)),""))</f>
        <v/>
      </c>
      <c r="K1537" s="39">
        <f>IF($C1537="","",IF(COUNTIFS(DESPACHOS!$B$3:$B$3002,$C1537)=0,"NO EXISTE",IF(COUNTIFS(DESPACHOS!$B$3:$B$3002,$C1537)&gt;1,"DUPLICADO","OK")))</f>
        <v/>
      </c>
      <c r="L1537" s="41" t="n"/>
      <c r="M1537" s="41" t="n"/>
      <c r="N1537" s="42">
        <f>IF($M1537="","",IFERROR(INDEX(LISTAS!$F$3:$F$42,MATCH($M1537,LISTAS!$E$3:$E$42,0)),"Por definir"))</f>
        <v/>
      </c>
      <c r="O1537" s="41" t="n"/>
      <c r="P1537" s="39">
        <f>IF($L1537="","",IFERROR(INDEX(LISTAS!$B$3:$B$42,MATCH($L1537,LISTAS!$A$3:$A$42,0)),"Media"))</f>
        <v/>
      </c>
      <c r="Q1537" s="44" t="n"/>
      <c r="R1537" s="45" t="n"/>
      <c r="S1537" s="20">
        <f>IFERROR(IF(OR($R1537="",$C1537=""),"",$R1537/INDEX(DESPACHOS!$M$3:$M$3002,MATCH($C1537,DESPACHOS!$B$3:$B$3002,0))),"")</f>
        <v/>
      </c>
      <c r="T1537" s="41" t="n"/>
      <c r="U1537" s="43">
        <f>IF(OR($B1537="",$L1537=""),"",WORKDAY($B1537,IFERROR(INDEX(LISTAS!$C$3:$C$42,MATCH($L1537,LISTAS!$A$3:$A$42,0)),3)))</f>
        <v/>
      </c>
      <c r="V1537" s="40" t="n"/>
      <c r="W1537" s="19">
        <f>IF($B1537="","",IF($V1537&lt;&gt;"",$V1537-$B1537,TODAY()-$B1537))</f>
        <v/>
      </c>
      <c r="X1537" s="19">
        <f>IF(OR($B1537="",$U1537=""),"",IF($V1537&lt;&gt;"",MAX(0,$V1537-$U1537),MAX(0,TODAY()-$U1537)))</f>
        <v/>
      </c>
      <c r="Y1537" s="39">
        <f>IF($C1537="","",IF(IFERROR(INDEX(LISTAS!$I$3:$I$42,MATCH($T1537,LISTAS!$H$3:$H$42,0)),"NO")="SÍ",IF(N($X1537)&gt;0,"CERRADA FUERA DE SLA","CERRADA EN SLA"),IF($U1537="","SIN CLASIFICAR",IF(N($X1537)&gt;0,"VENCIDA",IF(TODAY()&gt;=$U1537-1,"POR VENCER","EN PLAZO")))))</f>
        <v/>
      </c>
      <c r="Z1537" s="41" t="n"/>
      <c r="AA1537" s="41" t="n"/>
      <c r="AB1537" s="41" t="n"/>
    </row>
    <row r="1538">
      <c r="A1538" s="39">
        <f>IF($C1538="","","NOV-"&amp;TEXT(ROW()-3,"0000"))</f>
        <v/>
      </c>
      <c r="B1538" s="40" t="n"/>
      <c r="C1538" s="41" t="n"/>
      <c r="D1538" s="42">
        <f>IF($C1538="","",IFERROR(INDEX(DESPACHOS!$D$3:$D$3002,MATCH($C1538,DESPACHOS!$B$3:$B$3002,0)),"SIN DESPACHO"))</f>
        <v/>
      </c>
      <c r="E1538" s="42">
        <f>IF($C1538="","",IFERROR(INDEX(DESPACHOS!$K$3:$K$3002,MATCH($C1538,DESPACHOS!$B$3:$B$3002,0)),""))</f>
        <v/>
      </c>
      <c r="F1538" s="42">
        <f>IF($C1538="","",IFERROR(INDEX(DESPACHOS!$I$3:$I$3002,MATCH($C1538,DESPACHOS!$B$3:$B$3002,0)),""))</f>
        <v/>
      </c>
      <c r="G1538" s="42">
        <f>IF($C1538="","",IFERROR(INDEX(DESPACHOS!$F$3:$F$3002,MATCH($C1538,DESPACHOS!$B$3:$B$3002,0)),""))</f>
        <v/>
      </c>
      <c r="H1538" s="42">
        <f>IF($C1538="","",IFERROR(INDEX(DESPACHOS!$G$3:$G$3002,MATCH($C1538,DESPACHOS!$B$3:$B$3002,0)),""))</f>
        <v/>
      </c>
      <c r="I1538" s="39">
        <f>IF($C1538="","",IFERROR(INDEX(DESPACHOS!$H$3:$H$3002,MATCH($C1538,DESPACHOS!$B$3:$B$3002,0)),""))</f>
        <v/>
      </c>
      <c r="J1538" s="43">
        <f>IF($C1538="","",IFERROR(INDEX(DESPACHOS!$J$3:$J$3002,MATCH($C1538,DESPACHOS!$B$3:$B$3002,0)),""))</f>
        <v/>
      </c>
      <c r="K1538" s="39">
        <f>IF($C1538="","",IF(COUNTIFS(DESPACHOS!$B$3:$B$3002,$C1538)=0,"NO EXISTE",IF(COUNTIFS(DESPACHOS!$B$3:$B$3002,$C1538)&gt;1,"DUPLICADO","OK")))</f>
        <v/>
      </c>
      <c r="L1538" s="41" t="n"/>
      <c r="M1538" s="41" t="n"/>
      <c r="N1538" s="42">
        <f>IF($M1538="","",IFERROR(INDEX(LISTAS!$F$3:$F$42,MATCH($M1538,LISTAS!$E$3:$E$42,0)),"Por definir"))</f>
        <v/>
      </c>
      <c r="O1538" s="41" t="n"/>
      <c r="P1538" s="39">
        <f>IF($L1538="","",IFERROR(INDEX(LISTAS!$B$3:$B$42,MATCH($L1538,LISTAS!$A$3:$A$42,0)),"Media"))</f>
        <v/>
      </c>
      <c r="Q1538" s="44" t="n"/>
      <c r="R1538" s="45" t="n"/>
      <c r="S1538" s="20">
        <f>IFERROR(IF(OR($R1538="",$C1538=""),"",$R1538/INDEX(DESPACHOS!$M$3:$M$3002,MATCH($C1538,DESPACHOS!$B$3:$B$3002,0))),"")</f>
        <v/>
      </c>
      <c r="T1538" s="41" t="n"/>
      <c r="U1538" s="43">
        <f>IF(OR($B1538="",$L1538=""),"",WORKDAY($B1538,IFERROR(INDEX(LISTAS!$C$3:$C$42,MATCH($L1538,LISTAS!$A$3:$A$42,0)),3)))</f>
        <v/>
      </c>
      <c r="V1538" s="40" t="n"/>
      <c r="W1538" s="19">
        <f>IF($B1538="","",IF($V1538&lt;&gt;"",$V1538-$B1538,TODAY()-$B1538))</f>
        <v/>
      </c>
      <c r="X1538" s="19">
        <f>IF(OR($B1538="",$U1538=""),"",IF($V1538&lt;&gt;"",MAX(0,$V1538-$U1538),MAX(0,TODAY()-$U1538)))</f>
        <v/>
      </c>
      <c r="Y1538" s="39">
        <f>IF($C1538="","",IF(IFERROR(INDEX(LISTAS!$I$3:$I$42,MATCH($T1538,LISTAS!$H$3:$H$42,0)),"NO")="SÍ",IF(N($X1538)&gt;0,"CERRADA FUERA DE SLA","CERRADA EN SLA"),IF($U1538="","SIN CLASIFICAR",IF(N($X1538)&gt;0,"VENCIDA",IF(TODAY()&gt;=$U1538-1,"POR VENCER","EN PLAZO")))))</f>
        <v/>
      </c>
      <c r="Z1538" s="41" t="n"/>
      <c r="AA1538" s="41" t="n"/>
      <c r="AB1538" s="41" t="n"/>
    </row>
    <row r="1539">
      <c r="A1539" s="39">
        <f>IF($C1539="","","NOV-"&amp;TEXT(ROW()-3,"0000"))</f>
        <v/>
      </c>
      <c r="B1539" s="40" t="n"/>
      <c r="C1539" s="41" t="n"/>
      <c r="D1539" s="42">
        <f>IF($C1539="","",IFERROR(INDEX(DESPACHOS!$D$3:$D$3002,MATCH($C1539,DESPACHOS!$B$3:$B$3002,0)),"SIN DESPACHO"))</f>
        <v/>
      </c>
      <c r="E1539" s="42">
        <f>IF($C1539="","",IFERROR(INDEX(DESPACHOS!$K$3:$K$3002,MATCH($C1539,DESPACHOS!$B$3:$B$3002,0)),""))</f>
        <v/>
      </c>
      <c r="F1539" s="42">
        <f>IF($C1539="","",IFERROR(INDEX(DESPACHOS!$I$3:$I$3002,MATCH($C1539,DESPACHOS!$B$3:$B$3002,0)),""))</f>
        <v/>
      </c>
      <c r="G1539" s="42">
        <f>IF($C1539="","",IFERROR(INDEX(DESPACHOS!$F$3:$F$3002,MATCH($C1539,DESPACHOS!$B$3:$B$3002,0)),""))</f>
        <v/>
      </c>
      <c r="H1539" s="42">
        <f>IF($C1539="","",IFERROR(INDEX(DESPACHOS!$G$3:$G$3002,MATCH($C1539,DESPACHOS!$B$3:$B$3002,0)),""))</f>
        <v/>
      </c>
      <c r="I1539" s="39">
        <f>IF($C1539="","",IFERROR(INDEX(DESPACHOS!$H$3:$H$3002,MATCH($C1539,DESPACHOS!$B$3:$B$3002,0)),""))</f>
        <v/>
      </c>
      <c r="J1539" s="43">
        <f>IF($C1539="","",IFERROR(INDEX(DESPACHOS!$J$3:$J$3002,MATCH($C1539,DESPACHOS!$B$3:$B$3002,0)),""))</f>
        <v/>
      </c>
      <c r="K1539" s="39">
        <f>IF($C1539="","",IF(COUNTIFS(DESPACHOS!$B$3:$B$3002,$C1539)=0,"NO EXISTE",IF(COUNTIFS(DESPACHOS!$B$3:$B$3002,$C1539)&gt;1,"DUPLICADO","OK")))</f>
        <v/>
      </c>
      <c r="L1539" s="41" t="n"/>
      <c r="M1539" s="41" t="n"/>
      <c r="N1539" s="42">
        <f>IF($M1539="","",IFERROR(INDEX(LISTAS!$F$3:$F$42,MATCH($M1539,LISTAS!$E$3:$E$42,0)),"Por definir"))</f>
        <v/>
      </c>
      <c r="O1539" s="41" t="n"/>
      <c r="P1539" s="39">
        <f>IF($L1539="","",IFERROR(INDEX(LISTAS!$B$3:$B$42,MATCH($L1539,LISTAS!$A$3:$A$42,0)),"Media"))</f>
        <v/>
      </c>
      <c r="Q1539" s="44" t="n"/>
      <c r="R1539" s="45" t="n"/>
      <c r="S1539" s="20">
        <f>IFERROR(IF(OR($R1539="",$C1539=""),"",$R1539/INDEX(DESPACHOS!$M$3:$M$3002,MATCH($C1539,DESPACHOS!$B$3:$B$3002,0))),"")</f>
        <v/>
      </c>
      <c r="T1539" s="41" t="n"/>
      <c r="U1539" s="43">
        <f>IF(OR($B1539="",$L1539=""),"",WORKDAY($B1539,IFERROR(INDEX(LISTAS!$C$3:$C$42,MATCH($L1539,LISTAS!$A$3:$A$42,0)),3)))</f>
        <v/>
      </c>
      <c r="V1539" s="40" t="n"/>
      <c r="W1539" s="19">
        <f>IF($B1539="","",IF($V1539&lt;&gt;"",$V1539-$B1539,TODAY()-$B1539))</f>
        <v/>
      </c>
      <c r="X1539" s="19">
        <f>IF(OR($B1539="",$U1539=""),"",IF($V1539&lt;&gt;"",MAX(0,$V1539-$U1539),MAX(0,TODAY()-$U1539)))</f>
        <v/>
      </c>
      <c r="Y1539" s="39">
        <f>IF($C1539="","",IF(IFERROR(INDEX(LISTAS!$I$3:$I$42,MATCH($T1539,LISTAS!$H$3:$H$42,0)),"NO")="SÍ",IF(N($X1539)&gt;0,"CERRADA FUERA DE SLA","CERRADA EN SLA"),IF($U1539="","SIN CLASIFICAR",IF(N($X1539)&gt;0,"VENCIDA",IF(TODAY()&gt;=$U1539-1,"POR VENCER","EN PLAZO")))))</f>
        <v/>
      </c>
      <c r="Z1539" s="41" t="n"/>
      <c r="AA1539" s="41" t="n"/>
      <c r="AB1539" s="41" t="n"/>
    </row>
    <row r="1540">
      <c r="A1540" s="39">
        <f>IF($C1540="","","NOV-"&amp;TEXT(ROW()-3,"0000"))</f>
        <v/>
      </c>
      <c r="B1540" s="40" t="n"/>
      <c r="C1540" s="41" t="n"/>
      <c r="D1540" s="42">
        <f>IF($C1540="","",IFERROR(INDEX(DESPACHOS!$D$3:$D$3002,MATCH($C1540,DESPACHOS!$B$3:$B$3002,0)),"SIN DESPACHO"))</f>
        <v/>
      </c>
      <c r="E1540" s="42">
        <f>IF($C1540="","",IFERROR(INDEX(DESPACHOS!$K$3:$K$3002,MATCH($C1540,DESPACHOS!$B$3:$B$3002,0)),""))</f>
        <v/>
      </c>
      <c r="F1540" s="42">
        <f>IF($C1540="","",IFERROR(INDEX(DESPACHOS!$I$3:$I$3002,MATCH($C1540,DESPACHOS!$B$3:$B$3002,0)),""))</f>
        <v/>
      </c>
      <c r="G1540" s="42">
        <f>IF($C1540="","",IFERROR(INDEX(DESPACHOS!$F$3:$F$3002,MATCH($C1540,DESPACHOS!$B$3:$B$3002,0)),""))</f>
        <v/>
      </c>
      <c r="H1540" s="42">
        <f>IF($C1540="","",IFERROR(INDEX(DESPACHOS!$G$3:$G$3002,MATCH($C1540,DESPACHOS!$B$3:$B$3002,0)),""))</f>
        <v/>
      </c>
      <c r="I1540" s="39">
        <f>IF($C1540="","",IFERROR(INDEX(DESPACHOS!$H$3:$H$3002,MATCH($C1540,DESPACHOS!$B$3:$B$3002,0)),""))</f>
        <v/>
      </c>
      <c r="J1540" s="43">
        <f>IF($C1540="","",IFERROR(INDEX(DESPACHOS!$J$3:$J$3002,MATCH($C1540,DESPACHOS!$B$3:$B$3002,0)),""))</f>
        <v/>
      </c>
      <c r="K1540" s="39">
        <f>IF($C1540="","",IF(COUNTIFS(DESPACHOS!$B$3:$B$3002,$C1540)=0,"NO EXISTE",IF(COUNTIFS(DESPACHOS!$B$3:$B$3002,$C1540)&gt;1,"DUPLICADO","OK")))</f>
        <v/>
      </c>
      <c r="L1540" s="41" t="n"/>
      <c r="M1540" s="41" t="n"/>
      <c r="N1540" s="42">
        <f>IF($M1540="","",IFERROR(INDEX(LISTAS!$F$3:$F$42,MATCH($M1540,LISTAS!$E$3:$E$42,0)),"Por definir"))</f>
        <v/>
      </c>
      <c r="O1540" s="41" t="n"/>
      <c r="P1540" s="39">
        <f>IF($L1540="","",IFERROR(INDEX(LISTAS!$B$3:$B$42,MATCH($L1540,LISTAS!$A$3:$A$42,0)),"Media"))</f>
        <v/>
      </c>
      <c r="Q1540" s="44" t="n"/>
      <c r="R1540" s="45" t="n"/>
      <c r="S1540" s="20">
        <f>IFERROR(IF(OR($R1540="",$C1540=""),"",$R1540/INDEX(DESPACHOS!$M$3:$M$3002,MATCH($C1540,DESPACHOS!$B$3:$B$3002,0))),"")</f>
        <v/>
      </c>
      <c r="T1540" s="41" t="n"/>
      <c r="U1540" s="43">
        <f>IF(OR($B1540="",$L1540=""),"",WORKDAY($B1540,IFERROR(INDEX(LISTAS!$C$3:$C$42,MATCH($L1540,LISTAS!$A$3:$A$42,0)),3)))</f>
        <v/>
      </c>
      <c r="V1540" s="40" t="n"/>
      <c r="W1540" s="19">
        <f>IF($B1540="","",IF($V1540&lt;&gt;"",$V1540-$B1540,TODAY()-$B1540))</f>
        <v/>
      </c>
      <c r="X1540" s="19">
        <f>IF(OR($B1540="",$U1540=""),"",IF($V1540&lt;&gt;"",MAX(0,$V1540-$U1540),MAX(0,TODAY()-$U1540)))</f>
        <v/>
      </c>
      <c r="Y1540" s="39">
        <f>IF($C1540="","",IF(IFERROR(INDEX(LISTAS!$I$3:$I$42,MATCH($T1540,LISTAS!$H$3:$H$42,0)),"NO")="SÍ",IF(N($X1540)&gt;0,"CERRADA FUERA DE SLA","CERRADA EN SLA"),IF($U1540="","SIN CLASIFICAR",IF(N($X1540)&gt;0,"VENCIDA",IF(TODAY()&gt;=$U1540-1,"POR VENCER","EN PLAZO")))))</f>
        <v/>
      </c>
      <c r="Z1540" s="41" t="n"/>
      <c r="AA1540" s="41" t="n"/>
      <c r="AB1540" s="41" t="n"/>
    </row>
    <row r="1541">
      <c r="A1541" s="39">
        <f>IF($C1541="","","NOV-"&amp;TEXT(ROW()-3,"0000"))</f>
        <v/>
      </c>
      <c r="B1541" s="40" t="n"/>
      <c r="C1541" s="41" t="n"/>
      <c r="D1541" s="42">
        <f>IF($C1541="","",IFERROR(INDEX(DESPACHOS!$D$3:$D$3002,MATCH($C1541,DESPACHOS!$B$3:$B$3002,0)),"SIN DESPACHO"))</f>
        <v/>
      </c>
      <c r="E1541" s="42">
        <f>IF($C1541="","",IFERROR(INDEX(DESPACHOS!$K$3:$K$3002,MATCH($C1541,DESPACHOS!$B$3:$B$3002,0)),""))</f>
        <v/>
      </c>
      <c r="F1541" s="42">
        <f>IF($C1541="","",IFERROR(INDEX(DESPACHOS!$I$3:$I$3002,MATCH($C1541,DESPACHOS!$B$3:$B$3002,0)),""))</f>
        <v/>
      </c>
      <c r="G1541" s="42">
        <f>IF($C1541="","",IFERROR(INDEX(DESPACHOS!$F$3:$F$3002,MATCH($C1541,DESPACHOS!$B$3:$B$3002,0)),""))</f>
        <v/>
      </c>
      <c r="H1541" s="42">
        <f>IF($C1541="","",IFERROR(INDEX(DESPACHOS!$G$3:$G$3002,MATCH($C1541,DESPACHOS!$B$3:$B$3002,0)),""))</f>
        <v/>
      </c>
      <c r="I1541" s="39">
        <f>IF($C1541="","",IFERROR(INDEX(DESPACHOS!$H$3:$H$3002,MATCH($C1541,DESPACHOS!$B$3:$B$3002,0)),""))</f>
        <v/>
      </c>
      <c r="J1541" s="43">
        <f>IF($C1541="","",IFERROR(INDEX(DESPACHOS!$J$3:$J$3002,MATCH($C1541,DESPACHOS!$B$3:$B$3002,0)),""))</f>
        <v/>
      </c>
      <c r="K1541" s="39">
        <f>IF($C1541="","",IF(COUNTIFS(DESPACHOS!$B$3:$B$3002,$C1541)=0,"NO EXISTE",IF(COUNTIFS(DESPACHOS!$B$3:$B$3002,$C1541)&gt;1,"DUPLICADO","OK")))</f>
        <v/>
      </c>
      <c r="L1541" s="41" t="n"/>
      <c r="M1541" s="41" t="n"/>
      <c r="N1541" s="42">
        <f>IF($M1541="","",IFERROR(INDEX(LISTAS!$F$3:$F$42,MATCH($M1541,LISTAS!$E$3:$E$42,0)),"Por definir"))</f>
        <v/>
      </c>
      <c r="O1541" s="41" t="n"/>
      <c r="P1541" s="39">
        <f>IF($L1541="","",IFERROR(INDEX(LISTAS!$B$3:$B$42,MATCH($L1541,LISTAS!$A$3:$A$42,0)),"Media"))</f>
        <v/>
      </c>
      <c r="Q1541" s="44" t="n"/>
      <c r="R1541" s="45" t="n"/>
      <c r="S1541" s="20">
        <f>IFERROR(IF(OR($R1541="",$C1541=""),"",$R1541/INDEX(DESPACHOS!$M$3:$M$3002,MATCH($C1541,DESPACHOS!$B$3:$B$3002,0))),"")</f>
        <v/>
      </c>
      <c r="T1541" s="41" t="n"/>
      <c r="U1541" s="43">
        <f>IF(OR($B1541="",$L1541=""),"",WORKDAY($B1541,IFERROR(INDEX(LISTAS!$C$3:$C$42,MATCH($L1541,LISTAS!$A$3:$A$42,0)),3)))</f>
        <v/>
      </c>
      <c r="V1541" s="40" t="n"/>
      <c r="W1541" s="19">
        <f>IF($B1541="","",IF($V1541&lt;&gt;"",$V1541-$B1541,TODAY()-$B1541))</f>
        <v/>
      </c>
      <c r="X1541" s="19">
        <f>IF(OR($B1541="",$U1541=""),"",IF($V1541&lt;&gt;"",MAX(0,$V1541-$U1541),MAX(0,TODAY()-$U1541)))</f>
        <v/>
      </c>
      <c r="Y1541" s="39">
        <f>IF($C1541="","",IF(IFERROR(INDEX(LISTAS!$I$3:$I$42,MATCH($T1541,LISTAS!$H$3:$H$42,0)),"NO")="SÍ",IF(N($X1541)&gt;0,"CERRADA FUERA DE SLA","CERRADA EN SLA"),IF($U1541="","SIN CLASIFICAR",IF(N($X1541)&gt;0,"VENCIDA",IF(TODAY()&gt;=$U1541-1,"POR VENCER","EN PLAZO")))))</f>
        <v/>
      </c>
      <c r="Z1541" s="41" t="n"/>
      <c r="AA1541" s="41" t="n"/>
      <c r="AB1541" s="41" t="n"/>
    </row>
    <row r="1542">
      <c r="A1542" s="39">
        <f>IF($C1542="","","NOV-"&amp;TEXT(ROW()-3,"0000"))</f>
        <v/>
      </c>
      <c r="B1542" s="40" t="n"/>
      <c r="C1542" s="41" t="n"/>
      <c r="D1542" s="42">
        <f>IF($C1542="","",IFERROR(INDEX(DESPACHOS!$D$3:$D$3002,MATCH($C1542,DESPACHOS!$B$3:$B$3002,0)),"SIN DESPACHO"))</f>
        <v/>
      </c>
      <c r="E1542" s="42">
        <f>IF($C1542="","",IFERROR(INDEX(DESPACHOS!$K$3:$K$3002,MATCH($C1542,DESPACHOS!$B$3:$B$3002,0)),""))</f>
        <v/>
      </c>
      <c r="F1542" s="42">
        <f>IF($C1542="","",IFERROR(INDEX(DESPACHOS!$I$3:$I$3002,MATCH($C1542,DESPACHOS!$B$3:$B$3002,0)),""))</f>
        <v/>
      </c>
      <c r="G1542" s="42">
        <f>IF($C1542="","",IFERROR(INDEX(DESPACHOS!$F$3:$F$3002,MATCH($C1542,DESPACHOS!$B$3:$B$3002,0)),""))</f>
        <v/>
      </c>
      <c r="H1542" s="42">
        <f>IF($C1542="","",IFERROR(INDEX(DESPACHOS!$G$3:$G$3002,MATCH($C1542,DESPACHOS!$B$3:$B$3002,0)),""))</f>
        <v/>
      </c>
      <c r="I1542" s="39">
        <f>IF($C1542="","",IFERROR(INDEX(DESPACHOS!$H$3:$H$3002,MATCH($C1542,DESPACHOS!$B$3:$B$3002,0)),""))</f>
        <v/>
      </c>
      <c r="J1542" s="43">
        <f>IF($C1542="","",IFERROR(INDEX(DESPACHOS!$J$3:$J$3002,MATCH($C1542,DESPACHOS!$B$3:$B$3002,0)),""))</f>
        <v/>
      </c>
      <c r="K1542" s="39">
        <f>IF($C1542="","",IF(COUNTIFS(DESPACHOS!$B$3:$B$3002,$C1542)=0,"NO EXISTE",IF(COUNTIFS(DESPACHOS!$B$3:$B$3002,$C1542)&gt;1,"DUPLICADO","OK")))</f>
        <v/>
      </c>
      <c r="L1542" s="41" t="n"/>
      <c r="M1542" s="41" t="n"/>
      <c r="N1542" s="42">
        <f>IF($M1542="","",IFERROR(INDEX(LISTAS!$F$3:$F$42,MATCH($M1542,LISTAS!$E$3:$E$42,0)),"Por definir"))</f>
        <v/>
      </c>
      <c r="O1542" s="41" t="n"/>
      <c r="P1542" s="39">
        <f>IF($L1542="","",IFERROR(INDEX(LISTAS!$B$3:$B$42,MATCH($L1542,LISTAS!$A$3:$A$42,0)),"Media"))</f>
        <v/>
      </c>
      <c r="Q1542" s="44" t="n"/>
      <c r="R1542" s="45" t="n"/>
      <c r="S1542" s="20">
        <f>IFERROR(IF(OR($R1542="",$C1542=""),"",$R1542/INDEX(DESPACHOS!$M$3:$M$3002,MATCH($C1542,DESPACHOS!$B$3:$B$3002,0))),"")</f>
        <v/>
      </c>
      <c r="T1542" s="41" t="n"/>
      <c r="U1542" s="43">
        <f>IF(OR($B1542="",$L1542=""),"",WORKDAY($B1542,IFERROR(INDEX(LISTAS!$C$3:$C$42,MATCH($L1542,LISTAS!$A$3:$A$42,0)),3)))</f>
        <v/>
      </c>
      <c r="V1542" s="40" t="n"/>
      <c r="W1542" s="19">
        <f>IF($B1542="","",IF($V1542&lt;&gt;"",$V1542-$B1542,TODAY()-$B1542))</f>
        <v/>
      </c>
      <c r="X1542" s="19">
        <f>IF(OR($B1542="",$U1542=""),"",IF($V1542&lt;&gt;"",MAX(0,$V1542-$U1542),MAX(0,TODAY()-$U1542)))</f>
        <v/>
      </c>
      <c r="Y1542" s="39">
        <f>IF($C1542="","",IF(IFERROR(INDEX(LISTAS!$I$3:$I$42,MATCH($T1542,LISTAS!$H$3:$H$42,0)),"NO")="SÍ",IF(N($X1542)&gt;0,"CERRADA FUERA DE SLA","CERRADA EN SLA"),IF($U1542="","SIN CLASIFICAR",IF(N($X1542)&gt;0,"VENCIDA",IF(TODAY()&gt;=$U1542-1,"POR VENCER","EN PLAZO")))))</f>
        <v/>
      </c>
      <c r="Z1542" s="41" t="n"/>
      <c r="AA1542" s="41" t="n"/>
      <c r="AB1542" s="41" t="n"/>
    </row>
    <row r="1543">
      <c r="A1543" s="39">
        <f>IF($C1543="","","NOV-"&amp;TEXT(ROW()-3,"0000"))</f>
        <v/>
      </c>
      <c r="B1543" s="40" t="n"/>
      <c r="C1543" s="41" t="n"/>
      <c r="D1543" s="42">
        <f>IF($C1543="","",IFERROR(INDEX(DESPACHOS!$D$3:$D$3002,MATCH($C1543,DESPACHOS!$B$3:$B$3002,0)),"SIN DESPACHO"))</f>
        <v/>
      </c>
      <c r="E1543" s="42">
        <f>IF($C1543="","",IFERROR(INDEX(DESPACHOS!$K$3:$K$3002,MATCH($C1543,DESPACHOS!$B$3:$B$3002,0)),""))</f>
        <v/>
      </c>
      <c r="F1543" s="42">
        <f>IF($C1543="","",IFERROR(INDEX(DESPACHOS!$I$3:$I$3002,MATCH($C1543,DESPACHOS!$B$3:$B$3002,0)),""))</f>
        <v/>
      </c>
      <c r="G1543" s="42">
        <f>IF($C1543="","",IFERROR(INDEX(DESPACHOS!$F$3:$F$3002,MATCH($C1543,DESPACHOS!$B$3:$B$3002,0)),""))</f>
        <v/>
      </c>
      <c r="H1543" s="42">
        <f>IF($C1543="","",IFERROR(INDEX(DESPACHOS!$G$3:$G$3002,MATCH($C1543,DESPACHOS!$B$3:$B$3002,0)),""))</f>
        <v/>
      </c>
      <c r="I1543" s="39">
        <f>IF($C1543="","",IFERROR(INDEX(DESPACHOS!$H$3:$H$3002,MATCH($C1543,DESPACHOS!$B$3:$B$3002,0)),""))</f>
        <v/>
      </c>
      <c r="J1543" s="43">
        <f>IF($C1543="","",IFERROR(INDEX(DESPACHOS!$J$3:$J$3002,MATCH($C1543,DESPACHOS!$B$3:$B$3002,0)),""))</f>
        <v/>
      </c>
      <c r="K1543" s="39">
        <f>IF($C1543="","",IF(COUNTIFS(DESPACHOS!$B$3:$B$3002,$C1543)=0,"NO EXISTE",IF(COUNTIFS(DESPACHOS!$B$3:$B$3002,$C1543)&gt;1,"DUPLICADO","OK")))</f>
        <v/>
      </c>
      <c r="L1543" s="41" t="n"/>
      <c r="M1543" s="41" t="n"/>
      <c r="N1543" s="42">
        <f>IF($M1543="","",IFERROR(INDEX(LISTAS!$F$3:$F$42,MATCH($M1543,LISTAS!$E$3:$E$42,0)),"Por definir"))</f>
        <v/>
      </c>
      <c r="O1543" s="41" t="n"/>
      <c r="P1543" s="39">
        <f>IF($L1543="","",IFERROR(INDEX(LISTAS!$B$3:$B$42,MATCH($L1543,LISTAS!$A$3:$A$42,0)),"Media"))</f>
        <v/>
      </c>
      <c r="Q1543" s="44" t="n"/>
      <c r="R1543" s="45" t="n"/>
      <c r="S1543" s="20">
        <f>IFERROR(IF(OR($R1543="",$C1543=""),"",$R1543/INDEX(DESPACHOS!$M$3:$M$3002,MATCH($C1543,DESPACHOS!$B$3:$B$3002,0))),"")</f>
        <v/>
      </c>
      <c r="T1543" s="41" t="n"/>
      <c r="U1543" s="43">
        <f>IF(OR($B1543="",$L1543=""),"",WORKDAY($B1543,IFERROR(INDEX(LISTAS!$C$3:$C$42,MATCH($L1543,LISTAS!$A$3:$A$42,0)),3)))</f>
        <v/>
      </c>
      <c r="V1543" s="40" t="n"/>
      <c r="W1543" s="19">
        <f>IF($B1543="","",IF($V1543&lt;&gt;"",$V1543-$B1543,TODAY()-$B1543))</f>
        <v/>
      </c>
      <c r="X1543" s="19">
        <f>IF(OR($B1543="",$U1543=""),"",IF($V1543&lt;&gt;"",MAX(0,$V1543-$U1543),MAX(0,TODAY()-$U1543)))</f>
        <v/>
      </c>
      <c r="Y1543" s="39">
        <f>IF($C1543="","",IF(IFERROR(INDEX(LISTAS!$I$3:$I$42,MATCH($T1543,LISTAS!$H$3:$H$42,0)),"NO")="SÍ",IF(N($X1543)&gt;0,"CERRADA FUERA DE SLA","CERRADA EN SLA"),IF($U1543="","SIN CLASIFICAR",IF(N($X1543)&gt;0,"VENCIDA",IF(TODAY()&gt;=$U1543-1,"POR VENCER","EN PLAZO")))))</f>
        <v/>
      </c>
      <c r="Z1543" s="41" t="n"/>
      <c r="AA1543" s="41" t="n"/>
      <c r="AB1543" s="41" t="n"/>
    </row>
    <row r="1544">
      <c r="A1544" s="39">
        <f>IF($C1544="","","NOV-"&amp;TEXT(ROW()-3,"0000"))</f>
        <v/>
      </c>
      <c r="B1544" s="40" t="n"/>
      <c r="C1544" s="41" t="n"/>
      <c r="D1544" s="42">
        <f>IF($C1544="","",IFERROR(INDEX(DESPACHOS!$D$3:$D$3002,MATCH($C1544,DESPACHOS!$B$3:$B$3002,0)),"SIN DESPACHO"))</f>
        <v/>
      </c>
      <c r="E1544" s="42">
        <f>IF($C1544="","",IFERROR(INDEX(DESPACHOS!$K$3:$K$3002,MATCH($C1544,DESPACHOS!$B$3:$B$3002,0)),""))</f>
        <v/>
      </c>
      <c r="F1544" s="42">
        <f>IF($C1544="","",IFERROR(INDEX(DESPACHOS!$I$3:$I$3002,MATCH($C1544,DESPACHOS!$B$3:$B$3002,0)),""))</f>
        <v/>
      </c>
      <c r="G1544" s="42">
        <f>IF($C1544="","",IFERROR(INDEX(DESPACHOS!$F$3:$F$3002,MATCH($C1544,DESPACHOS!$B$3:$B$3002,0)),""))</f>
        <v/>
      </c>
      <c r="H1544" s="42">
        <f>IF($C1544="","",IFERROR(INDEX(DESPACHOS!$G$3:$G$3002,MATCH($C1544,DESPACHOS!$B$3:$B$3002,0)),""))</f>
        <v/>
      </c>
      <c r="I1544" s="39">
        <f>IF($C1544="","",IFERROR(INDEX(DESPACHOS!$H$3:$H$3002,MATCH($C1544,DESPACHOS!$B$3:$B$3002,0)),""))</f>
        <v/>
      </c>
      <c r="J1544" s="43">
        <f>IF($C1544="","",IFERROR(INDEX(DESPACHOS!$J$3:$J$3002,MATCH($C1544,DESPACHOS!$B$3:$B$3002,0)),""))</f>
        <v/>
      </c>
      <c r="K1544" s="39">
        <f>IF($C1544="","",IF(COUNTIFS(DESPACHOS!$B$3:$B$3002,$C1544)=0,"NO EXISTE",IF(COUNTIFS(DESPACHOS!$B$3:$B$3002,$C1544)&gt;1,"DUPLICADO","OK")))</f>
        <v/>
      </c>
      <c r="L1544" s="41" t="n"/>
      <c r="M1544" s="41" t="n"/>
      <c r="N1544" s="42">
        <f>IF($M1544="","",IFERROR(INDEX(LISTAS!$F$3:$F$42,MATCH($M1544,LISTAS!$E$3:$E$42,0)),"Por definir"))</f>
        <v/>
      </c>
      <c r="O1544" s="41" t="n"/>
      <c r="P1544" s="39">
        <f>IF($L1544="","",IFERROR(INDEX(LISTAS!$B$3:$B$42,MATCH($L1544,LISTAS!$A$3:$A$42,0)),"Media"))</f>
        <v/>
      </c>
      <c r="Q1544" s="44" t="n"/>
      <c r="R1544" s="45" t="n"/>
      <c r="S1544" s="20">
        <f>IFERROR(IF(OR($R1544="",$C1544=""),"",$R1544/INDEX(DESPACHOS!$M$3:$M$3002,MATCH($C1544,DESPACHOS!$B$3:$B$3002,0))),"")</f>
        <v/>
      </c>
      <c r="T1544" s="41" t="n"/>
      <c r="U1544" s="43">
        <f>IF(OR($B1544="",$L1544=""),"",WORKDAY($B1544,IFERROR(INDEX(LISTAS!$C$3:$C$42,MATCH($L1544,LISTAS!$A$3:$A$42,0)),3)))</f>
        <v/>
      </c>
      <c r="V1544" s="40" t="n"/>
      <c r="W1544" s="19">
        <f>IF($B1544="","",IF($V1544&lt;&gt;"",$V1544-$B1544,TODAY()-$B1544))</f>
        <v/>
      </c>
      <c r="X1544" s="19">
        <f>IF(OR($B1544="",$U1544=""),"",IF($V1544&lt;&gt;"",MAX(0,$V1544-$U1544),MAX(0,TODAY()-$U1544)))</f>
        <v/>
      </c>
      <c r="Y1544" s="39">
        <f>IF($C1544="","",IF(IFERROR(INDEX(LISTAS!$I$3:$I$42,MATCH($T1544,LISTAS!$H$3:$H$42,0)),"NO")="SÍ",IF(N($X1544)&gt;0,"CERRADA FUERA DE SLA","CERRADA EN SLA"),IF($U1544="","SIN CLASIFICAR",IF(N($X1544)&gt;0,"VENCIDA",IF(TODAY()&gt;=$U1544-1,"POR VENCER","EN PLAZO")))))</f>
        <v/>
      </c>
      <c r="Z1544" s="41" t="n"/>
      <c r="AA1544" s="41" t="n"/>
      <c r="AB1544" s="41" t="n"/>
    </row>
    <row r="1545">
      <c r="A1545" s="39">
        <f>IF($C1545="","","NOV-"&amp;TEXT(ROW()-3,"0000"))</f>
        <v/>
      </c>
      <c r="B1545" s="40" t="n"/>
      <c r="C1545" s="41" t="n"/>
      <c r="D1545" s="42">
        <f>IF($C1545="","",IFERROR(INDEX(DESPACHOS!$D$3:$D$3002,MATCH($C1545,DESPACHOS!$B$3:$B$3002,0)),"SIN DESPACHO"))</f>
        <v/>
      </c>
      <c r="E1545" s="42">
        <f>IF($C1545="","",IFERROR(INDEX(DESPACHOS!$K$3:$K$3002,MATCH($C1545,DESPACHOS!$B$3:$B$3002,0)),""))</f>
        <v/>
      </c>
      <c r="F1545" s="42">
        <f>IF($C1545="","",IFERROR(INDEX(DESPACHOS!$I$3:$I$3002,MATCH($C1545,DESPACHOS!$B$3:$B$3002,0)),""))</f>
        <v/>
      </c>
      <c r="G1545" s="42">
        <f>IF($C1545="","",IFERROR(INDEX(DESPACHOS!$F$3:$F$3002,MATCH($C1545,DESPACHOS!$B$3:$B$3002,0)),""))</f>
        <v/>
      </c>
      <c r="H1545" s="42">
        <f>IF($C1545="","",IFERROR(INDEX(DESPACHOS!$G$3:$G$3002,MATCH($C1545,DESPACHOS!$B$3:$B$3002,0)),""))</f>
        <v/>
      </c>
      <c r="I1545" s="39">
        <f>IF($C1545="","",IFERROR(INDEX(DESPACHOS!$H$3:$H$3002,MATCH($C1545,DESPACHOS!$B$3:$B$3002,0)),""))</f>
        <v/>
      </c>
      <c r="J1545" s="43">
        <f>IF($C1545="","",IFERROR(INDEX(DESPACHOS!$J$3:$J$3002,MATCH($C1545,DESPACHOS!$B$3:$B$3002,0)),""))</f>
        <v/>
      </c>
      <c r="K1545" s="39">
        <f>IF($C1545="","",IF(COUNTIFS(DESPACHOS!$B$3:$B$3002,$C1545)=0,"NO EXISTE",IF(COUNTIFS(DESPACHOS!$B$3:$B$3002,$C1545)&gt;1,"DUPLICADO","OK")))</f>
        <v/>
      </c>
      <c r="L1545" s="41" t="n"/>
      <c r="M1545" s="41" t="n"/>
      <c r="N1545" s="42">
        <f>IF($M1545="","",IFERROR(INDEX(LISTAS!$F$3:$F$42,MATCH($M1545,LISTAS!$E$3:$E$42,0)),"Por definir"))</f>
        <v/>
      </c>
      <c r="O1545" s="41" t="n"/>
      <c r="P1545" s="39">
        <f>IF($L1545="","",IFERROR(INDEX(LISTAS!$B$3:$B$42,MATCH($L1545,LISTAS!$A$3:$A$42,0)),"Media"))</f>
        <v/>
      </c>
      <c r="Q1545" s="44" t="n"/>
      <c r="R1545" s="45" t="n"/>
      <c r="S1545" s="20">
        <f>IFERROR(IF(OR($R1545="",$C1545=""),"",$R1545/INDEX(DESPACHOS!$M$3:$M$3002,MATCH($C1545,DESPACHOS!$B$3:$B$3002,0))),"")</f>
        <v/>
      </c>
      <c r="T1545" s="41" t="n"/>
      <c r="U1545" s="43">
        <f>IF(OR($B1545="",$L1545=""),"",WORKDAY($B1545,IFERROR(INDEX(LISTAS!$C$3:$C$42,MATCH($L1545,LISTAS!$A$3:$A$42,0)),3)))</f>
        <v/>
      </c>
      <c r="V1545" s="40" t="n"/>
      <c r="W1545" s="19">
        <f>IF($B1545="","",IF($V1545&lt;&gt;"",$V1545-$B1545,TODAY()-$B1545))</f>
        <v/>
      </c>
      <c r="X1545" s="19">
        <f>IF(OR($B1545="",$U1545=""),"",IF($V1545&lt;&gt;"",MAX(0,$V1545-$U1545),MAX(0,TODAY()-$U1545)))</f>
        <v/>
      </c>
      <c r="Y1545" s="39">
        <f>IF($C1545="","",IF(IFERROR(INDEX(LISTAS!$I$3:$I$42,MATCH($T1545,LISTAS!$H$3:$H$42,0)),"NO")="SÍ",IF(N($X1545)&gt;0,"CERRADA FUERA DE SLA","CERRADA EN SLA"),IF($U1545="","SIN CLASIFICAR",IF(N($X1545)&gt;0,"VENCIDA",IF(TODAY()&gt;=$U1545-1,"POR VENCER","EN PLAZO")))))</f>
        <v/>
      </c>
      <c r="Z1545" s="41" t="n"/>
      <c r="AA1545" s="41" t="n"/>
      <c r="AB1545" s="41" t="n"/>
    </row>
    <row r="1546">
      <c r="A1546" s="39">
        <f>IF($C1546="","","NOV-"&amp;TEXT(ROW()-3,"0000"))</f>
        <v/>
      </c>
      <c r="B1546" s="40" t="n"/>
      <c r="C1546" s="41" t="n"/>
      <c r="D1546" s="42">
        <f>IF($C1546="","",IFERROR(INDEX(DESPACHOS!$D$3:$D$3002,MATCH($C1546,DESPACHOS!$B$3:$B$3002,0)),"SIN DESPACHO"))</f>
        <v/>
      </c>
      <c r="E1546" s="42">
        <f>IF($C1546="","",IFERROR(INDEX(DESPACHOS!$K$3:$K$3002,MATCH($C1546,DESPACHOS!$B$3:$B$3002,0)),""))</f>
        <v/>
      </c>
      <c r="F1546" s="42">
        <f>IF($C1546="","",IFERROR(INDEX(DESPACHOS!$I$3:$I$3002,MATCH($C1546,DESPACHOS!$B$3:$B$3002,0)),""))</f>
        <v/>
      </c>
      <c r="G1546" s="42">
        <f>IF($C1546="","",IFERROR(INDEX(DESPACHOS!$F$3:$F$3002,MATCH($C1546,DESPACHOS!$B$3:$B$3002,0)),""))</f>
        <v/>
      </c>
      <c r="H1546" s="42">
        <f>IF($C1546="","",IFERROR(INDEX(DESPACHOS!$G$3:$G$3002,MATCH($C1546,DESPACHOS!$B$3:$B$3002,0)),""))</f>
        <v/>
      </c>
      <c r="I1546" s="39">
        <f>IF($C1546="","",IFERROR(INDEX(DESPACHOS!$H$3:$H$3002,MATCH($C1546,DESPACHOS!$B$3:$B$3002,0)),""))</f>
        <v/>
      </c>
      <c r="J1546" s="43">
        <f>IF($C1546="","",IFERROR(INDEX(DESPACHOS!$J$3:$J$3002,MATCH($C1546,DESPACHOS!$B$3:$B$3002,0)),""))</f>
        <v/>
      </c>
      <c r="K1546" s="39">
        <f>IF($C1546="","",IF(COUNTIFS(DESPACHOS!$B$3:$B$3002,$C1546)=0,"NO EXISTE",IF(COUNTIFS(DESPACHOS!$B$3:$B$3002,$C1546)&gt;1,"DUPLICADO","OK")))</f>
        <v/>
      </c>
      <c r="L1546" s="41" t="n"/>
      <c r="M1546" s="41" t="n"/>
      <c r="N1546" s="42">
        <f>IF($M1546="","",IFERROR(INDEX(LISTAS!$F$3:$F$42,MATCH($M1546,LISTAS!$E$3:$E$42,0)),"Por definir"))</f>
        <v/>
      </c>
      <c r="O1546" s="41" t="n"/>
      <c r="P1546" s="39">
        <f>IF($L1546="","",IFERROR(INDEX(LISTAS!$B$3:$B$42,MATCH($L1546,LISTAS!$A$3:$A$42,0)),"Media"))</f>
        <v/>
      </c>
      <c r="Q1546" s="44" t="n"/>
      <c r="R1546" s="45" t="n"/>
      <c r="S1546" s="20">
        <f>IFERROR(IF(OR($R1546="",$C1546=""),"",$R1546/INDEX(DESPACHOS!$M$3:$M$3002,MATCH($C1546,DESPACHOS!$B$3:$B$3002,0))),"")</f>
        <v/>
      </c>
      <c r="T1546" s="41" t="n"/>
      <c r="U1546" s="43">
        <f>IF(OR($B1546="",$L1546=""),"",WORKDAY($B1546,IFERROR(INDEX(LISTAS!$C$3:$C$42,MATCH($L1546,LISTAS!$A$3:$A$42,0)),3)))</f>
        <v/>
      </c>
      <c r="V1546" s="40" t="n"/>
      <c r="W1546" s="19">
        <f>IF($B1546="","",IF($V1546&lt;&gt;"",$V1546-$B1546,TODAY()-$B1546))</f>
        <v/>
      </c>
      <c r="X1546" s="19">
        <f>IF(OR($B1546="",$U1546=""),"",IF($V1546&lt;&gt;"",MAX(0,$V1546-$U1546),MAX(0,TODAY()-$U1546)))</f>
        <v/>
      </c>
      <c r="Y1546" s="39">
        <f>IF($C1546="","",IF(IFERROR(INDEX(LISTAS!$I$3:$I$42,MATCH($T1546,LISTAS!$H$3:$H$42,0)),"NO")="SÍ",IF(N($X1546)&gt;0,"CERRADA FUERA DE SLA","CERRADA EN SLA"),IF($U1546="","SIN CLASIFICAR",IF(N($X1546)&gt;0,"VENCIDA",IF(TODAY()&gt;=$U1546-1,"POR VENCER","EN PLAZO")))))</f>
        <v/>
      </c>
      <c r="Z1546" s="41" t="n"/>
      <c r="AA1546" s="41" t="n"/>
      <c r="AB1546" s="41" t="n"/>
    </row>
    <row r="1547">
      <c r="A1547" s="39">
        <f>IF($C1547="","","NOV-"&amp;TEXT(ROW()-3,"0000"))</f>
        <v/>
      </c>
      <c r="B1547" s="40" t="n"/>
      <c r="C1547" s="41" t="n"/>
      <c r="D1547" s="42">
        <f>IF($C1547="","",IFERROR(INDEX(DESPACHOS!$D$3:$D$3002,MATCH($C1547,DESPACHOS!$B$3:$B$3002,0)),"SIN DESPACHO"))</f>
        <v/>
      </c>
      <c r="E1547" s="42">
        <f>IF($C1547="","",IFERROR(INDEX(DESPACHOS!$K$3:$K$3002,MATCH($C1547,DESPACHOS!$B$3:$B$3002,0)),""))</f>
        <v/>
      </c>
      <c r="F1547" s="42">
        <f>IF($C1547="","",IFERROR(INDEX(DESPACHOS!$I$3:$I$3002,MATCH($C1547,DESPACHOS!$B$3:$B$3002,0)),""))</f>
        <v/>
      </c>
      <c r="G1547" s="42">
        <f>IF($C1547="","",IFERROR(INDEX(DESPACHOS!$F$3:$F$3002,MATCH($C1547,DESPACHOS!$B$3:$B$3002,0)),""))</f>
        <v/>
      </c>
      <c r="H1547" s="42">
        <f>IF($C1547="","",IFERROR(INDEX(DESPACHOS!$G$3:$G$3002,MATCH($C1547,DESPACHOS!$B$3:$B$3002,0)),""))</f>
        <v/>
      </c>
      <c r="I1547" s="39">
        <f>IF($C1547="","",IFERROR(INDEX(DESPACHOS!$H$3:$H$3002,MATCH($C1547,DESPACHOS!$B$3:$B$3002,0)),""))</f>
        <v/>
      </c>
      <c r="J1547" s="43">
        <f>IF($C1547="","",IFERROR(INDEX(DESPACHOS!$J$3:$J$3002,MATCH($C1547,DESPACHOS!$B$3:$B$3002,0)),""))</f>
        <v/>
      </c>
      <c r="K1547" s="39">
        <f>IF($C1547="","",IF(COUNTIFS(DESPACHOS!$B$3:$B$3002,$C1547)=0,"NO EXISTE",IF(COUNTIFS(DESPACHOS!$B$3:$B$3002,$C1547)&gt;1,"DUPLICADO","OK")))</f>
        <v/>
      </c>
      <c r="L1547" s="41" t="n"/>
      <c r="M1547" s="41" t="n"/>
      <c r="N1547" s="42">
        <f>IF($M1547="","",IFERROR(INDEX(LISTAS!$F$3:$F$42,MATCH($M1547,LISTAS!$E$3:$E$42,0)),"Por definir"))</f>
        <v/>
      </c>
      <c r="O1547" s="41" t="n"/>
      <c r="P1547" s="39">
        <f>IF($L1547="","",IFERROR(INDEX(LISTAS!$B$3:$B$42,MATCH($L1547,LISTAS!$A$3:$A$42,0)),"Media"))</f>
        <v/>
      </c>
      <c r="Q1547" s="44" t="n"/>
      <c r="R1547" s="45" t="n"/>
      <c r="S1547" s="20">
        <f>IFERROR(IF(OR($R1547="",$C1547=""),"",$R1547/INDEX(DESPACHOS!$M$3:$M$3002,MATCH($C1547,DESPACHOS!$B$3:$B$3002,0))),"")</f>
        <v/>
      </c>
      <c r="T1547" s="41" t="n"/>
      <c r="U1547" s="43">
        <f>IF(OR($B1547="",$L1547=""),"",WORKDAY($B1547,IFERROR(INDEX(LISTAS!$C$3:$C$42,MATCH($L1547,LISTAS!$A$3:$A$42,0)),3)))</f>
        <v/>
      </c>
      <c r="V1547" s="40" t="n"/>
      <c r="W1547" s="19">
        <f>IF($B1547="","",IF($V1547&lt;&gt;"",$V1547-$B1547,TODAY()-$B1547))</f>
        <v/>
      </c>
      <c r="X1547" s="19">
        <f>IF(OR($B1547="",$U1547=""),"",IF($V1547&lt;&gt;"",MAX(0,$V1547-$U1547),MAX(0,TODAY()-$U1547)))</f>
        <v/>
      </c>
      <c r="Y1547" s="39">
        <f>IF($C1547="","",IF(IFERROR(INDEX(LISTAS!$I$3:$I$42,MATCH($T1547,LISTAS!$H$3:$H$42,0)),"NO")="SÍ",IF(N($X1547)&gt;0,"CERRADA FUERA DE SLA","CERRADA EN SLA"),IF($U1547="","SIN CLASIFICAR",IF(N($X1547)&gt;0,"VENCIDA",IF(TODAY()&gt;=$U1547-1,"POR VENCER","EN PLAZO")))))</f>
        <v/>
      </c>
      <c r="Z1547" s="41" t="n"/>
      <c r="AA1547" s="41" t="n"/>
      <c r="AB1547" s="41" t="n"/>
    </row>
    <row r="1548">
      <c r="A1548" s="39">
        <f>IF($C1548="","","NOV-"&amp;TEXT(ROW()-3,"0000"))</f>
        <v/>
      </c>
      <c r="B1548" s="40" t="n"/>
      <c r="C1548" s="41" t="n"/>
      <c r="D1548" s="42">
        <f>IF($C1548="","",IFERROR(INDEX(DESPACHOS!$D$3:$D$3002,MATCH($C1548,DESPACHOS!$B$3:$B$3002,0)),"SIN DESPACHO"))</f>
        <v/>
      </c>
      <c r="E1548" s="42">
        <f>IF($C1548="","",IFERROR(INDEX(DESPACHOS!$K$3:$K$3002,MATCH($C1548,DESPACHOS!$B$3:$B$3002,0)),""))</f>
        <v/>
      </c>
      <c r="F1548" s="42">
        <f>IF($C1548="","",IFERROR(INDEX(DESPACHOS!$I$3:$I$3002,MATCH($C1548,DESPACHOS!$B$3:$B$3002,0)),""))</f>
        <v/>
      </c>
      <c r="G1548" s="42">
        <f>IF($C1548="","",IFERROR(INDEX(DESPACHOS!$F$3:$F$3002,MATCH($C1548,DESPACHOS!$B$3:$B$3002,0)),""))</f>
        <v/>
      </c>
      <c r="H1548" s="42">
        <f>IF($C1548="","",IFERROR(INDEX(DESPACHOS!$G$3:$G$3002,MATCH($C1548,DESPACHOS!$B$3:$B$3002,0)),""))</f>
        <v/>
      </c>
      <c r="I1548" s="39">
        <f>IF($C1548="","",IFERROR(INDEX(DESPACHOS!$H$3:$H$3002,MATCH($C1548,DESPACHOS!$B$3:$B$3002,0)),""))</f>
        <v/>
      </c>
      <c r="J1548" s="43">
        <f>IF($C1548="","",IFERROR(INDEX(DESPACHOS!$J$3:$J$3002,MATCH($C1548,DESPACHOS!$B$3:$B$3002,0)),""))</f>
        <v/>
      </c>
      <c r="K1548" s="39">
        <f>IF($C1548="","",IF(COUNTIFS(DESPACHOS!$B$3:$B$3002,$C1548)=0,"NO EXISTE",IF(COUNTIFS(DESPACHOS!$B$3:$B$3002,$C1548)&gt;1,"DUPLICADO","OK")))</f>
        <v/>
      </c>
      <c r="L1548" s="41" t="n"/>
      <c r="M1548" s="41" t="n"/>
      <c r="N1548" s="42">
        <f>IF($M1548="","",IFERROR(INDEX(LISTAS!$F$3:$F$42,MATCH($M1548,LISTAS!$E$3:$E$42,0)),"Por definir"))</f>
        <v/>
      </c>
      <c r="O1548" s="41" t="n"/>
      <c r="P1548" s="39">
        <f>IF($L1548="","",IFERROR(INDEX(LISTAS!$B$3:$B$42,MATCH($L1548,LISTAS!$A$3:$A$42,0)),"Media"))</f>
        <v/>
      </c>
      <c r="Q1548" s="44" t="n"/>
      <c r="R1548" s="45" t="n"/>
      <c r="S1548" s="20">
        <f>IFERROR(IF(OR($R1548="",$C1548=""),"",$R1548/INDEX(DESPACHOS!$M$3:$M$3002,MATCH($C1548,DESPACHOS!$B$3:$B$3002,0))),"")</f>
        <v/>
      </c>
      <c r="T1548" s="41" t="n"/>
      <c r="U1548" s="43">
        <f>IF(OR($B1548="",$L1548=""),"",WORKDAY($B1548,IFERROR(INDEX(LISTAS!$C$3:$C$42,MATCH($L1548,LISTAS!$A$3:$A$42,0)),3)))</f>
        <v/>
      </c>
      <c r="V1548" s="40" t="n"/>
      <c r="W1548" s="19">
        <f>IF($B1548="","",IF($V1548&lt;&gt;"",$V1548-$B1548,TODAY()-$B1548))</f>
        <v/>
      </c>
      <c r="X1548" s="19">
        <f>IF(OR($B1548="",$U1548=""),"",IF($V1548&lt;&gt;"",MAX(0,$V1548-$U1548),MAX(0,TODAY()-$U1548)))</f>
        <v/>
      </c>
      <c r="Y1548" s="39">
        <f>IF($C1548="","",IF(IFERROR(INDEX(LISTAS!$I$3:$I$42,MATCH($T1548,LISTAS!$H$3:$H$42,0)),"NO")="SÍ",IF(N($X1548)&gt;0,"CERRADA FUERA DE SLA","CERRADA EN SLA"),IF($U1548="","SIN CLASIFICAR",IF(N($X1548)&gt;0,"VENCIDA",IF(TODAY()&gt;=$U1548-1,"POR VENCER","EN PLAZO")))))</f>
        <v/>
      </c>
      <c r="Z1548" s="41" t="n"/>
      <c r="AA1548" s="41" t="n"/>
      <c r="AB1548" s="41" t="n"/>
    </row>
    <row r="1549">
      <c r="A1549" s="39">
        <f>IF($C1549="","","NOV-"&amp;TEXT(ROW()-3,"0000"))</f>
        <v/>
      </c>
      <c r="B1549" s="40" t="n"/>
      <c r="C1549" s="41" t="n"/>
      <c r="D1549" s="42">
        <f>IF($C1549="","",IFERROR(INDEX(DESPACHOS!$D$3:$D$3002,MATCH($C1549,DESPACHOS!$B$3:$B$3002,0)),"SIN DESPACHO"))</f>
        <v/>
      </c>
      <c r="E1549" s="42">
        <f>IF($C1549="","",IFERROR(INDEX(DESPACHOS!$K$3:$K$3002,MATCH($C1549,DESPACHOS!$B$3:$B$3002,0)),""))</f>
        <v/>
      </c>
      <c r="F1549" s="42">
        <f>IF($C1549="","",IFERROR(INDEX(DESPACHOS!$I$3:$I$3002,MATCH($C1549,DESPACHOS!$B$3:$B$3002,0)),""))</f>
        <v/>
      </c>
      <c r="G1549" s="42">
        <f>IF($C1549="","",IFERROR(INDEX(DESPACHOS!$F$3:$F$3002,MATCH($C1549,DESPACHOS!$B$3:$B$3002,0)),""))</f>
        <v/>
      </c>
      <c r="H1549" s="42">
        <f>IF($C1549="","",IFERROR(INDEX(DESPACHOS!$G$3:$G$3002,MATCH($C1549,DESPACHOS!$B$3:$B$3002,0)),""))</f>
        <v/>
      </c>
      <c r="I1549" s="39">
        <f>IF($C1549="","",IFERROR(INDEX(DESPACHOS!$H$3:$H$3002,MATCH($C1549,DESPACHOS!$B$3:$B$3002,0)),""))</f>
        <v/>
      </c>
      <c r="J1549" s="43">
        <f>IF($C1549="","",IFERROR(INDEX(DESPACHOS!$J$3:$J$3002,MATCH($C1549,DESPACHOS!$B$3:$B$3002,0)),""))</f>
        <v/>
      </c>
      <c r="K1549" s="39">
        <f>IF($C1549="","",IF(COUNTIFS(DESPACHOS!$B$3:$B$3002,$C1549)=0,"NO EXISTE",IF(COUNTIFS(DESPACHOS!$B$3:$B$3002,$C1549)&gt;1,"DUPLICADO","OK")))</f>
        <v/>
      </c>
      <c r="L1549" s="41" t="n"/>
      <c r="M1549" s="41" t="n"/>
      <c r="N1549" s="42">
        <f>IF($M1549="","",IFERROR(INDEX(LISTAS!$F$3:$F$42,MATCH($M1549,LISTAS!$E$3:$E$42,0)),"Por definir"))</f>
        <v/>
      </c>
      <c r="O1549" s="41" t="n"/>
      <c r="P1549" s="39">
        <f>IF($L1549="","",IFERROR(INDEX(LISTAS!$B$3:$B$42,MATCH($L1549,LISTAS!$A$3:$A$42,0)),"Media"))</f>
        <v/>
      </c>
      <c r="Q1549" s="44" t="n"/>
      <c r="R1549" s="45" t="n"/>
      <c r="S1549" s="20">
        <f>IFERROR(IF(OR($R1549="",$C1549=""),"",$R1549/INDEX(DESPACHOS!$M$3:$M$3002,MATCH($C1549,DESPACHOS!$B$3:$B$3002,0))),"")</f>
        <v/>
      </c>
      <c r="T1549" s="41" t="n"/>
      <c r="U1549" s="43">
        <f>IF(OR($B1549="",$L1549=""),"",WORKDAY($B1549,IFERROR(INDEX(LISTAS!$C$3:$C$42,MATCH($L1549,LISTAS!$A$3:$A$42,0)),3)))</f>
        <v/>
      </c>
      <c r="V1549" s="40" t="n"/>
      <c r="W1549" s="19">
        <f>IF($B1549="","",IF($V1549&lt;&gt;"",$V1549-$B1549,TODAY()-$B1549))</f>
        <v/>
      </c>
      <c r="X1549" s="19">
        <f>IF(OR($B1549="",$U1549=""),"",IF($V1549&lt;&gt;"",MAX(0,$V1549-$U1549),MAX(0,TODAY()-$U1549)))</f>
        <v/>
      </c>
      <c r="Y1549" s="39">
        <f>IF($C1549="","",IF(IFERROR(INDEX(LISTAS!$I$3:$I$42,MATCH($T1549,LISTAS!$H$3:$H$42,0)),"NO")="SÍ",IF(N($X1549)&gt;0,"CERRADA FUERA DE SLA","CERRADA EN SLA"),IF($U1549="","SIN CLASIFICAR",IF(N($X1549)&gt;0,"VENCIDA",IF(TODAY()&gt;=$U1549-1,"POR VENCER","EN PLAZO")))))</f>
        <v/>
      </c>
      <c r="Z1549" s="41" t="n"/>
      <c r="AA1549" s="41" t="n"/>
      <c r="AB1549" s="41" t="n"/>
    </row>
    <row r="1550">
      <c r="A1550" s="39">
        <f>IF($C1550="","","NOV-"&amp;TEXT(ROW()-3,"0000"))</f>
        <v/>
      </c>
      <c r="B1550" s="40" t="n"/>
      <c r="C1550" s="41" t="n"/>
      <c r="D1550" s="42">
        <f>IF($C1550="","",IFERROR(INDEX(DESPACHOS!$D$3:$D$3002,MATCH($C1550,DESPACHOS!$B$3:$B$3002,0)),"SIN DESPACHO"))</f>
        <v/>
      </c>
      <c r="E1550" s="42">
        <f>IF($C1550="","",IFERROR(INDEX(DESPACHOS!$K$3:$K$3002,MATCH($C1550,DESPACHOS!$B$3:$B$3002,0)),""))</f>
        <v/>
      </c>
      <c r="F1550" s="42">
        <f>IF($C1550="","",IFERROR(INDEX(DESPACHOS!$I$3:$I$3002,MATCH($C1550,DESPACHOS!$B$3:$B$3002,0)),""))</f>
        <v/>
      </c>
      <c r="G1550" s="42">
        <f>IF($C1550="","",IFERROR(INDEX(DESPACHOS!$F$3:$F$3002,MATCH($C1550,DESPACHOS!$B$3:$B$3002,0)),""))</f>
        <v/>
      </c>
      <c r="H1550" s="42">
        <f>IF($C1550="","",IFERROR(INDEX(DESPACHOS!$G$3:$G$3002,MATCH($C1550,DESPACHOS!$B$3:$B$3002,0)),""))</f>
        <v/>
      </c>
      <c r="I1550" s="39">
        <f>IF($C1550="","",IFERROR(INDEX(DESPACHOS!$H$3:$H$3002,MATCH($C1550,DESPACHOS!$B$3:$B$3002,0)),""))</f>
        <v/>
      </c>
      <c r="J1550" s="43">
        <f>IF($C1550="","",IFERROR(INDEX(DESPACHOS!$J$3:$J$3002,MATCH($C1550,DESPACHOS!$B$3:$B$3002,0)),""))</f>
        <v/>
      </c>
      <c r="K1550" s="39">
        <f>IF($C1550="","",IF(COUNTIFS(DESPACHOS!$B$3:$B$3002,$C1550)=0,"NO EXISTE",IF(COUNTIFS(DESPACHOS!$B$3:$B$3002,$C1550)&gt;1,"DUPLICADO","OK")))</f>
        <v/>
      </c>
      <c r="L1550" s="41" t="n"/>
      <c r="M1550" s="41" t="n"/>
      <c r="N1550" s="42">
        <f>IF($M1550="","",IFERROR(INDEX(LISTAS!$F$3:$F$42,MATCH($M1550,LISTAS!$E$3:$E$42,0)),"Por definir"))</f>
        <v/>
      </c>
      <c r="O1550" s="41" t="n"/>
      <c r="P1550" s="39">
        <f>IF($L1550="","",IFERROR(INDEX(LISTAS!$B$3:$B$42,MATCH($L1550,LISTAS!$A$3:$A$42,0)),"Media"))</f>
        <v/>
      </c>
      <c r="Q1550" s="44" t="n"/>
      <c r="R1550" s="45" t="n"/>
      <c r="S1550" s="20">
        <f>IFERROR(IF(OR($R1550="",$C1550=""),"",$R1550/INDEX(DESPACHOS!$M$3:$M$3002,MATCH($C1550,DESPACHOS!$B$3:$B$3002,0))),"")</f>
        <v/>
      </c>
      <c r="T1550" s="41" t="n"/>
      <c r="U1550" s="43">
        <f>IF(OR($B1550="",$L1550=""),"",WORKDAY($B1550,IFERROR(INDEX(LISTAS!$C$3:$C$42,MATCH($L1550,LISTAS!$A$3:$A$42,0)),3)))</f>
        <v/>
      </c>
      <c r="V1550" s="40" t="n"/>
      <c r="W1550" s="19">
        <f>IF($B1550="","",IF($V1550&lt;&gt;"",$V1550-$B1550,TODAY()-$B1550))</f>
        <v/>
      </c>
      <c r="X1550" s="19">
        <f>IF(OR($B1550="",$U1550=""),"",IF($V1550&lt;&gt;"",MAX(0,$V1550-$U1550),MAX(0,TODAY()-$U1550)))</f>
        <v/>
      </c>
      <c r="Y1550" s="39">
        <f>IF($C1550="","",IF(IFERROR(INDEX(LISTAS!$I$3:$I$42,MATCH($T1550,LISTAS!$H$3:$H$42,0)),"NO")="SÍ",IF(N($X1550)&gt;0,"CERRADA FUERA DE SLA","CERRADA EN SLA"),IF($U1550="","SIN CLASIFICAR",IF(N($X1550)&gt;0,"VENCIDA",IF(TODAY()&gt;=$U1550-1,"POR VENCER","EN PLAZO")))))</f>
        <v/>
      </c>
      <c r="Z1550" s="41" t="n"/>
      <c r="AA1550" s="41" t="n"/>
      <c r="AB1550" s="41" t="n"/>
    </row>
    <row r="1551">
      <c r="A1551" s="39">
        <f>IF($C1551="","","NOV-"&amp;TEXT(ROW()-3,"0000"))</f>
        <v/>
      </c>
      <c r="B1551" s="40" t="n"/>
      <c r="C1551" s="41" t="n"/>
      <c r="D1551" s="42">
        <f>IF($C1551="","",IFERROR(INDEX(DESPACHOS!$D$3:$D$3002,MATCH($C1551,DESPACHOS!$B$3:$B$3002,0)),"SIN DESPACHO"))</f>
        <v/>
      </c>
      <c r="E1551" s="42">
        <f>IF($C1551="","",IFERROR(INDEX(DESPACHOS!$K$3:$K$3002,MATCH($C1551,DESPACHOS!$B$3:$B$3002,0)),""))</f>
        <v/>
      </c>
      <c r="F1551" s="42">
        <f>IF($C1551="","",IFERROR(INDEX(DESPACHOS!$I$3:$I$3002,MATCH($C1551,DESPACHOS!$B$3:$B$3002,0)),""))</f>
        <v/>
      </c>
      <c r="G1551" s="42">
        <f>IF($C1551="","",IFERROR(INDEX(DESPACHOS!$F$3:$F$3002,MATCH($C1551,DESPACHOS!$B$3:$B$3002,0)),""))</f>
        <v/>
      </c>
      <c r="H1551" s="42">
        <f>IF($C1551="","",IFERROR(INDEX(DESPACHOS!$G$3:$G$3002,MATCH($C1551,DESPACHOS!$B$3:$B$3002,0)),""))</f>
        <v/>
      </c>
      <c r="I1551" s="39">
        <f>IF($C1551="","",IFERROR(INDEX(DESPACHOS!$H$3:$H$3002,MATCH($C1551,DESPACHOS!$B$3:$B$3002,0)),""))</f>
        <v/>
      </c>
      <c r="J1551" s="43">
        <f>IF($C1551="","",IFERROR(INDEX(DESPACHOS!$J$3:$J$3002,MATCH($C1551,DESPACHOS!$B$3:$B$3002,0)),""))</f>
        <v/>
      </c>
      <c r="K1551" s="39">
        <f>IF($C1551="","",IF(COUNTIFS(DESPACHOS!$B$3:$B$3002,$C1551)=0,"NO EXISTE",IF(COUNTIFS(DESPACHOS!$B$3:$B$3002,$C1551)&gt;1,"DUPLICADO","OK")))</f>
        <v/>
      </c>
      <c r="L1551" s="41" t="n"/>
      <c r="M1551" s="41" t="n"/>
      <c r="N1551" s="42">
        <f>IF($M1551="","",IFERROR(INDEX(LISTAS!$F$3:$F$42,MATCH($M1551,LISTAS!$E$3:$E$42,0)),"Por definir"))</f>
        <v/>
      </c>
      <c r="O1551" s="41" t="n"/>
      <c r="P1551" s="39">
        <f>IF($L1551="","",IFERROR(INDEX(LISTAS!$B$3:$B$42,MATCH($L1551,LISTAS!$A$3:$A$42,0)),"Media"))</f>
        <v/>
      </c>
      <c r="Q1551" s="44" t="n"/>
      <c r="R1551" s="45" t="n"/>
      <c r="S1551" s="20">
        <f>IFERROR(IF(OR($R1551="",$C1551=""),"",$R1551/INDEX(DESPACHOS!$M$3:$M$3002,MATCH($C1551,DESPACHOS!$B$3:$B$3002,0))),"")</f>
        <v/>
      </c>
      <c r="T1551" s="41" t="n"/>
      <c r="U1551" s="43">
        <f>IF(OR($B1551="",$L1551=""),"",WORKDAY($B1551,IFERROR(INDEX(LISTAS!$C$3:$C$42,MATCH($L1551,LISTAS!$A$3:$A$42,0)),3)))</f>
        <v/>
      </c>
      <c r="V1551" s="40" t="n"/>
      <c r="W1551" s="19">
        <f>IF($B1551="","",IF($V1551&lt;&gt;"",$V1551-$B1551,TODAY()-$B1551))</f>
        <v/>
      </c>
      <c r="X1551" s="19">
        <f>IF(OR($B1551="",$U1551=""),"",IF($V1551&lt;&gt;"",MAX(0,$V1551-$U1551),MAX(0,TODAY()-$U1551)))</f>
        <v/>
      </c>
      <c r="Y1551" s="39">
        <f>IF($C1551="","",IF(IFERROR(INDEX(LISTAS!$I$3:$I$42,MATCH($T1551,LISTAS!$H$3:$H$42,0)),"NO")="SÍ",IF(N($X1551)&gt;0,"CERRADA FUERA DE SLA","CERRADA EN SLA"),IF($U1551="","SIN CLASIFICAR",IF(N($X1551)&gt;0,"VENCIDA",IF(TODAY()&gt;=$U1551-1,"POR VENCER","EN PLAZO")))))</f>
        <v/>
      </c>
      <c r="Z1551" s="41" t="n"/>
      <c r="AA1551" s="41" t="n"/>
      <c r="AB1551" s="41" t="n"/>
    </row>
    <row r="1552">
      <c r="A1552" s="39">
        <f>IF($C1552="","","NOV-"&amp;TEXT(ROW()-3,"0000"))</f>
        <v/>
      </c>
      <c r="B1552" s="40" t="n"/>
      <c r="C1552" s="41" t="n"/>
      <c r="D1552" s="42">
        <f>IF($C1552="","",IFERROR(INDEX(DESPACHOS!$D$3:$D$3002,MATCH($C1552,DESPACHOS!$B$3:$B$3002,0)),"SIN DESPACHO"))</f>
        <v/>
      </c>
      <c r="E1552" s="42">
        <f>IF($C1552="","",IFERROR(INDEX(DESPACHOS!$K$3:$K$3002,MATCH($C1552,DESPACHOS!$B$3:$B$3002,0)),""))</f>
        <v/>
      </c>
      <c r="F1552" s="42">
        <f>IF($C1552="","",IFERROR(INDEX(DESPACHOS!$I$3:$I$3002,MATCH($C1552,DESPACHOS!$B$3:$B$3002,0)),""))</f>
        <v/>
      </c>
      <c r="G1552" s="42">
        <f>IF($C1552="","",IFERROR(INDEX(DESPACHOS!$F$3:$F$3002,MATCH($C1552,DESPACHOS!$B$3:$B$3002,0)),""))</f>
        <v/>
      </c>
      <c r="H1552" s="42">
        <f>IF($C1552="","",IFERROR(INDEX(DESPACHOS!$G$3:$G$3002,MATCH($C1552,DESPACHOS!$B$3:$B$3002,0)),""))</f>
        <v/>
      </c>
      <c r="I1552" s="39">
        <f>IF($C1552="","",IFERROR(INDEX(DESPACHOS!$H$3:$H$3002,MATCH($C1552,DESPACHOS!$B$3:$B$3002,0)),""))</f>
        <v/>
      </c>
      <c r="J1552" s="43">
        <f>IF($C1552="","",IFERROR(INDEX(DESPACHOS!$J$3:$J$3002,MATCH($C1552,DESPACHOS!$B$3:$B$3002,0)),""))</f>
        <v/>
      </c>
      <c r="K1552" s="39">
        <f>IF($C1552="","",IF(COUNTIFS(DESPACHOS!$B$3:$B$3002,$C1552)=0,"NO EXISTE",IF(COUNTIFS(DESPACHOS!$B$3:$B$3002,$C1552)&gt;1,"DUPLICADO","OK")))</f>
        <v/>
      </c>
      <c r="L1552" s="41" t="n"/>
      <c r="M1552" s="41" t="n"/>
      <c r="N1552" s="42">
        <f>IF($M1552="","",IFERROR(INDEX(LISTAS!$F$3:$F$42,MATCH($M1552,LISTAS!$E$3:$E$42,0)),"Por definir"))</f>
        <v/>
      </c>
      <c r="O1552" s="41" t="n"/>
      <c r="P1552" s="39">
        <f>IF($L1552="","",IFERROR(INDEX(LISTAS!$B$3:$B$42,MATCH($L1552,LISTAS!$A$3:$A$42,0)),"Media"))</f>
        <v/>
      </c>
      <c r="Q1552" s="44" t="n"/>
      <c r="R1552" s="45" t="n"/>
      <c r="S1552" s="20">
        <f>IFERROR(IF(OR($R1552="",$C1552=""),"",$R1552/INDEX(DESPACHOS!$M$3:$M$3002,MATCH($C1552,DESPACHOS!$B$3:$B$3002,0))),"")</f>
        <v/>
      </c>
      <c r="T1552" s="41" t="n"/>
      <c r="U1552" s="43">
        <f>IF(OR($B1552="",$L1552=""),"",WORKDAY($B1552,IFERROR(INDEX(LISTAS!$C$3:$C$42,MATCH($L1552,LISTAS!$A$3:$A$42,0)),3)))</f>
        <v/>
      </c>
      <c r="V1552" s="40" t="n"/>
      <c r="W1552" s="19">
        <f>IF($B1552="","",IF($V1552&lt;&gt;"",$V1552-$B1552,TODAY()-$B1552))</f>
        <v/>
      </c>
      <c r="X1552" s="19">
        <f>IF(OR($B1552="",$U1552=""),"",IF($V1552&lt;&gt;"",MAX(0,$V1552-$U1552),MAX(0,TODAY()-$U1552)))</f>
        <v/>
      </c>
      <c r="Y1552" s="39">
        <f>IF($C1552="","",IF(IFERROR(INDEX(LISTAS!$I$3:$I$42,MATCH($T1552,LISTAS!$H$3:$H$42,0)),"NO")="SÍ",IF(N($X1552)&gt;0,"CERRADA FUERA DE SLA","CERRADA EN SLA"),IF($U1552="","SIN CLASIFICAR",IF(N($X1552)&gt;0,"VENCIDA",IF(TODAY()&gt;=$U1552-1,"POR VENCER","EN PLAZO")))))</f>
        <v/>
      </c>
      <c r="Z1552" s="41" t="n"/>
      <c r="AA1552" s="41" t="n"/>
      <c r="AB1552" s="41" t="n"/>
    </row>
    <row r="1553">
      <c r="A1553" s="39">
        <f>IF($C1553="","","NOV-"&amp;TEXT(ROW()-3,"0000"))</f>
        <v/>
      </c>
      <c r="B1553" s="40" t="n"/>
      <c r="C1553" s="41" t="n"/>
      <c r="D1553" s="42">
        <f>IF($C1553="","",IFERROR(INDEX(DESPACHOS!$D$3:$D$3002,MATCH($C1553,DESPACHOS!$B$3:$B$3002,0)),"SIN DESPACHO"))</f>
        <v/>
      </c>
      <c r="E1553" s="42">
        <f>IF($C1553="","",IFERROR(INDEX(DESPACHOS!$K$3:$K$3002,MATCH($C1553,DESPACHOS!$B$3:$B$3002,0)),""))</f>
        <v/>
      </c>
      <c r="F1553" s="42">
        <f>IF($C1553="","",IFERROR(INDEX(DESPACHOS!$I$3:$I$3002,MATCH($C1553,DESPACHOS!$B$3:$B$3002,0)),""))</f>
        <v/>
      </c>
      <c r="G1553" s="42">
        <f>IF($C1553="","",IFERROR(INDEX(DESPACHOS!$F$3:$F$3002,MATCH($C1553,DESPACHOS!$B$3:$B$3002,0)),""))</f>
        <v/>
      </c>
      <c r="H1553" s="42">
        <f>IF($C1553="","",IFERROR(INDEX(DESPACHOS!$G$3:$G$3002,MATCH($C1553,DESPACHOS!$B$3:$B$3002,0)),""))</f>
        <v/>
      </c>
      <c r="I1553" s="39">
        <f>IF($C1553="","",IFERROR(INDEX(DESPACHOS!$H$3:$H$3002,MATCH($C1553,DESPACHOS!$B$3:$B$3002,0)),""))</f>
        <v/>
      </c>
      <c r="J1553" s="43">
        <f>IF($C1553="","",IFERROR(INDEX(DESPACHOS!$J$3:$J$3002,MATCH($C1553,DESPACHOS!$B$3:$B$3002,0)),""))</f>
        <v/>
      </c>
      <c r="K1553" s="39">
        <f>IF($C1553="","",IF(COUNTIFS(DESPACHOS!$B$3:$B$3002,$C1553)=0,"NO EXISTE",IF(COUNTIFS(DESPACHOS!$B$3:$B$3002,$C1553)&gt;1,"DUPLICADO","OK")))</f>
        <v/>
      </c>
      <c r="L1553" s="41" t="n"/>
      <c r="M1553" s="41" t="n"/>
      <c r="N1553" s="42">
        <f>IF($M1553="","",IFERROR(INDEX(LISTAS!$F$3:$F$42,MATCH($M1553,LISTAS!$E$3:$E$42,0)),"Por definir"))</f>
        <v/>
      </c>
      <c r="O1553" s="41" t="n"/>
      <c r="P1553" s="39">
        <f>IF($L1553="","",IFERROR(INDEX(LISTAS!$B$3:$B$42,MATCH($L1553,LISTAS!$A$3:$A$42,0)),"Media"))</f>
        <v/>
      </c>
      <c r="Q1553" s="44" t="n"/>
      <c r="R1553" s="45" t="n"/>
      <c r="S1553" s="20">
        <f>IFERROR(IF(OR($R1553="",$C1553=""),"",$R1553/INDEX(DESPACHOS!$M$3:$M$3002,MATCH($C1553,DESPACHOS!$B$3:$B$3002,0))),"")</f>
        <v/>
      </c>
      <c r="T1553" s="41" t="n"/>
      <c r="U1553" s="43">
        <f>IF(OR($B1553="",$L1553=""),"",WORKDAY($B1553,IFERROR(INDEX(LISTAS!$C$3:$C$42,MATCH($L1553,LISTAS!$A$3:$A$42,0)),3)))</f>
        <v/>
      </c>
      <c r="V1553" s="40" t="n"/>
      <c r="W1553" s="19">
        <f>IF($B1553="","",IF($V1553&lt;&gt;"",$V1553-$B1553,TODAY()-$B1553))</f>
        <v/>
      </c>
      <c r="X1553" s="19">
        <f>IF(OR($B1553="",$U1553=""),"",IF($V1553&lt;&gt;"",MAX(0,$V1553-$U1553),MAX(0,TODAY()-$U1553)))</f>
        <v/>
      </c>
      <c r="Y1553" s="39">
        <f>IF($C1553="","",IF(IFERROR(INDEX(LISTAS!$I$3:$I$42,MATCH($T1553,LISTAS!$H$3:$H$42,0)),"NO")="SÍ",IF(N($X1553)&gt;0,"CERRADA FUERA DE SLA","CERRADA EN SLA"),IF($U1553="","SIN CLASIFICAR",IF(N($X1553)&gt;0,"VENCIDA",IF(TODAY()&gt;=$U1553-1,"POR VENCER","EN PLAZO")))))</f>
        <v/>
      </c>
      <c r="Z1553" s="41" t="n"/>
      <c r="AA1553" s="41" t="n"/>
      <c r="AB1553" s="41" t="n"/>
    </row>
    <row r="1554">
      <c r="A1554" s="39">
        <f>IF($C1554="","","NOV-"&amp;TEXT(ROW()-3,"0000"))</f>
        <v/>
      </c>
      <c r="B1554" s="40" t="n"/>
      <c r="C1554" s="41" t="n"/>
      <c r="D1554" s="42">
        <f>IF($C1554="","",IFERROR(INDEX(DESPACHOS!$D$3:$D$3002,MATCH($C1554,DESPACHOS!$B$3:$B$3002,0)),"SIN DESPACHO"))</f>
        <v/>
      </c>
      <c r="E1554" s="42">
        <f>IF($C1554="","",IFERROR(INDEX(DESPACHOS!$K$3:$K$3002,MATCH($C1554,DESPACHOS!$B$3:$B$3002,0)),""))</f>
        <v/>
      </c>
      <c r="F1554" s="42">
        <f>IF($C1554="","",IFERROR(INDEX(DESPACHOS!$I$3:$I$3002,MATCH($C1554,DESPACHOS!$B$3:$B$3002,0)),""))</f>
        <v/>
      </c>
      <c r="G1554" s="42">
        <f>IF($C1554="","",IFERROR(INDEX(DESPACHOS!$F$3:$F$3002,MATCH($C1554,DESPACHOS!$B$3:$B$3002,0)),""))</f>
        <v/>
      </c>
      <c r="H1554" s="42">
        <f>IF($C1554="","",IFERROR(INDEX(DESPACHOS!$G$3:$G$3002,MATCH($C1554,DESPACHOS!$B$3:$B$3002,0)),""))</f>
        <v/>
      </c>
      <c r="I1554" s="39">
        <f>IF($C1554="","",IFERROR(INDEX(DESPACHOS!$H$3:$H$3002,MATCH($C1554,DESPACHOS!$B$3:$B$3002,0)),""))</f>
        <v/>
      </c>
      <c r="J1554" s="43">
        <f>IF($C1554="","",IFERROR(INDEX(DESPACHOS!$J$3:$J$3002,MATCH($C1554,DESPACHOS!$B$3:$B$3002,0)),""))</f>
        <v/>
      </c>
      <c r="K1554" s="39">
        <f>IF($C1554="","",IF(COUNTIFS(DESPACHOS!$B$3:$B$3002,$C1554)=0,"NO EXISTE",IF(COUNTIFS(DESPACHOS!$B$3:$B$3002,$C1554)&gt;1,"DUPLICADO","OK")))</f>
        <v/>
      </c>
      <c r="L1554" s="41" t="n"/>
      <c r="M1554" s="41" t="n"/>
      <c r="N1554" s="42">
        <f>IF($M1554="","",IFERROR(INDEX(LISTAS!$F$3:$F$42,MATCH($M1554,LISTAS!$E$3:$E$42,0)),"Por definir"))</f>
        <v/>
      </c>
      <c r="O1554" s="41" t="n"/>
      <c r="P1554" s="39">
        <f>IF($L1554="","",IFERROR(INDEX(LISTAS!$B$3:$B$42,MATCH($L1554,LISTAS!$A$3:$A$42,0)),"Media"))</f>
        <v/>
      </c>
      <c r="Q1554" s="44" t="n"/>
      <c r="R1554" s="45" t="n"/>
      <c r="S1554" s="20">
        <f>IFERROR(IF(OR($R1554="",$C1554=""),"",$R1554/INDEX(DESPACHOS!$M$3:$M$3002,MATCH($C1554,DESPACHOS!$B$3:$B$3002,0))),"")</f>
        <v/>
      </c>
      <c r="T1554" s="41" t="n"/>
      <c r="U1554" s="43">
        <f>IF(OR($B1554="",$L1554=""),"",WORKDAY($B1554,IFERROR(INDEX(LISTAS!$C$3:$C$42,MATCH($L1554,LISTAS!$A$3:$A$42,0)),3)))</f>
        <v/>
      </c>
      <c r="V1554" s="40" t="n"/>
      <c r="W1554" s="19">
        <f>IF($B1554="","",IF($V1554&lt;&gt;"",$V1554-$B1554,TODAY()-$B1554))</f>
        <v/>
      </c>
      <c r="X1554" s="19">
        <f>IF(OR($B1554="",$U1554=""),"",IF($V1554&lt;&gt;"",MAX(0,$V1554-$U1554),MAX(0,TODAY()-$U1554)))</f>
        <v/>
      </c>
      <c r="Y1554" s="39">
        <f>IF($C1554="","",IF(IFERROR(INDEX(LISTAS!$I$3:$I$42,MATCH($T1554,LISTAS!$H$3:$H$42,0)),"NO")="SÍ",IF(N($X1554)&gt;0,"CERRADA FUERA DE SLA","CERRADA EN SLA"),IF($U1554="","SIN CLASIFICAR",IF(N($X1554)&gt;0,"VENCIDA",IF(TODAY()&gt;=$U1554-1,"POR VENCER","EN PLAZO")))))</f>
        <v/>
      </c>
      <c r="Z1554" s="41" t="n"/>
      <c r="AA1554" s="41" t="n"/>
      <c r="AB1554" s="41" t="n"/>
    </row>
    <row r="1555">
      <c r="A1555" s="39">
        <f>IF($C1555="","","NOV-"&amp;TEXT(ROW()-3,"0000"))</f>
        <v/>
      </c>
      <c r="B1555" s="40" t="n"/>
      <c r="C1555" s="41" t="n"/>
      <c r="D1555" s="42">
        <f>IF($C1555="","",IFERROR(INDEX(DESPACHOS!$D$3:$D$3002,MATCH($C1555,DESPACHOS!$B$3:$B$3002,0)),"SIN DESPACHO"))</f>
        <v/>
      </c>
      <c r="E1555" s="42">
        <f>IF($C1555="","",IFERROR(INDEX(DESPACHOS!$K$3:$K$3002,MATCH($C1555,DESPACHOS!$B$3:$B$3002,0)),""))</f>
        <v/>
      </c>
      <c r="F1555" s="42">
        <f>IF($C1555="","",IFERROR(INDEX(DESPACHOS!$I$3:$I$3002,MATCH($C1555,DESPACHOS!$B$3:$B$3002,0)),""))</f>
        <v/>
      </c>
      <c r="G1555" s="42">
        <f>IF($C1555="","",IFERROR(INDEX(DESPACHOS!$F$3:$F$3002,MATCH($C1555,DESPACHOS!$B$3:$B$3002,0)),""))</f>
        <v/>
      </c>
      <c r="H1555" s="42">
        <f>IF($C1555="","",IFERROR(INDEX(DESPACHOS!$G$3:$G$3002,MATCH($C1555,DESPACHOS!$B$3:$B$3002,0)),""))</f>
        <v/>
      </c>
      <c r="I1555" s="39">
        <f>IF($C1555="","",IFERROR(INDEX(DESPACHOS!$H$3:$H$3002,MATCH($C1555,DESPACHOS!$B$3:$B$3002,0)),""))</f>
        <v/>
      </c>
      <c r="J1555" s="43">
        <f>IF($C1555="","",IFERROR(INDEX(DESPACHOS!$J$3:$J$3002,MATCH($C1555,DESPACHOS!$B$3:$B$3002,0)),""))</f>
        <v/>
      </c>
      <c r="K1555" s="39">
        <f>IF($C1555="","",IF(COUNTIFS(DESPACHOS!$B$3:$B$3002,$C1555)=0,"NO EXISTE",IF(COUNTIFS(DESPACHOS!$B$3:$B$3002,$C1555)&gt;1,"DUPLICADO","OK")))</f>
        <v/>
      </c>
      <c r="L1555" s="41" t="n"/>
      <c r="M1555" s="41" t="n"/>
      <c r="N1555" s="42">
        <f>IF($M1555="","",IFERROR(INDEX(LISTAS!$F$3:$F$42,MATCH($M1555,LISTAS!$E$3:$E$42,0)),"Por definir"))</f>
        <v/>
      </c>
      <c r="O1555" s="41" t="n"/>
      <c r="P1555" s="39">
        <f>IF($L1555="","",IFERROR(INDEX(LISTAS!$B$3:$B$42,MATCH($L1555,LISTAS!$A$3:$A$42,0)),"Media"))</f>
        <v/>
      </c>
      <c r="Q1555" s="44" t="n"/>
      <c r="R1555" s="45" t="n"/>
      <c r="S1555" s="20">
        <f>IFERROR(IF(OR($R1555="",$C1555=""),"",$R1555/INDEX(DESPACHOS!$M$3:$M$3002,MATCH($C1555,DESPACHOS!$B$3:$B$3002,0))),"")</f>
        <v/>
      </c>
      <c r="T1555" s="41" t="n"/>
      <c r="U1555" s="43">
        <f>IF(OR($B1555="",$L1555=""),"",WORKDAY($B1555,IFERROR(INDEX(LISTAS!$C$3:$C$42,MATCH($L1555,LISTAS!$A$3:$A$42,0)),3)))</f>
        <v/>
      </c>
      <c r="V1555" s="40" t="n"/>
      <c r="W1555" s="19">
        <f>IF($B1555="","",IF($V1555&lt;&gt;"",$V1555-$B1555,TODAY()-$B1555))</f>
        <v/>
      </c>
      <c r="X1555" s="19">
        <f>IF(OR($B1555="",$U1555=""),"",IF($V1555&lt;&gt;"",MAX(0,$V1555-$U1555),MAX(0,TODAY()-$U1555)))</f>
        <v/>
      </c>
      <c r="Y1555" s="39">
        <f>IF($C1555="","",IF(IFERROR(INDEX(LISTAS!$I$3:$I$42,MATCH($T1555,LISTAS!$H$3:$H$42,0)),"NO")="SÍ",IF(N($X1555)&gt;0,"CERRADA FUERA DE SLA","CERRADA EN SLA"),IF($U1555="","SIN CLASIFICAR",IF(N($X1555)&gt;0,"VENCIDA",IF(TODAY()&gt;=$U1555-1,"POR VENCER","EN PLAZO")))))</f>
        <v/>
      </c>
      <c r="Z1555" s="41" t="n"/>
      <c r="AA1555" s="41" t="n"/>
      <c r="AB1555" s="41" t="n"/>
    </row>
    <row r="1556">
      <c r="A1556" s="39">
        <f>IF($C1556="","","NOV-"&amp;TEXT(ROW()-3,"0000"))</f>
        <v/>
      </c>
      <c r="B1556" s="40" t="n"/>
      <c r="C1556" s="41" t="n"/>
      <c r="D1556" s="42">
        <f>IF($C1556="","",IFERROR(INDEX(DESPACHOS!$D$3:$D$3002,MATCH($C1556,DESPACHOS!$B$3:$B$3002,0)),"SIN DESPACHO"))</f>
        <v/>
      </c>
      <c r="E1556" s="42">
        <f>IF($C1556="","",IFERROR(INDEX(DESPACHOS!$K$3:$K$3002,MATCH($C1556,DESPACHOS!$B$3:$B$3002,0)),""))</f>
        <v/>
      </c>
      <c r="F1556" s="42">
        <f>IF($C1556="","",IFERROR(INDEX(DESPACHOS!$I$3:$I$3002,MATCH($C1556,DESPACHOS!$B$3:$B$3002,0)),""))</f>
        <v/>
      </c>
      <c r="G1556" s="42">
        <f>IF($C1556="","",IFERROR(INDEX(DESPACHOS!$F$3:$F$3002,MATCH($C1556,DESPACHOS!$B$3:$B$3002,0)),""))</f>
        <v/>
      </c>
      <c r="H1556" s="42">
        <f>IF($C1556="","",IFERROR(INDEX(DESPACHOS!$G$3:$G$3002,MATCH($C1556,DESPACHOS!$B$3:$B$3002,0)),""))</f>
        <v/>
      </c>
      <c r="I1556" s="39">
        <f>IF($C1556="","",IFERROR(INDEX(DESPACHOS!$H$3:$H$3002,MATCH($C1556,DESPACHOS!$B$3:$B$3002,0)),""))</f>
        <v/>
      </c>
      <c r="J1556" s="43">
        <f>IF($C1556="","",IFERROR(INDEX(DESPACHOS!$J$3:$J$3002,MATCH($C1556,DESPACHOS!$B$3:$B$3002,0)),""))</f>
        <v/>
      </c>
      <c r="K1556" s="39">
        <f>IF($C1556="","",IF(COUNTIFS(DESPACHOS!$B$3:$B$3002,$C1556)=0,"NO EXISTE",IF(COUNTIFS(DESPACHOS!$B$3:$B$3002,$C1556)&gt;1,"DUPLICADO","OK")))</f>
        <v/>
      </c>
      <c r="L1556" s="41" t="n"/>
      <c r="M1556" s="41" t="n"/>
      <c r="N1556" s="42">
        <f>IF($M1556="","",IFERROR(INDEX(LISTAS!$F$3:$F$42,MATCH($M1556,LISTAS!$E$3:$E$42,0)),"Por definir"))</f>
        <v/>
      </c>
      <c r="O1556" s="41" t="n"/>
      <c r="P1556" s="39">
        <f>IF($L1556="","",IFERROR(INDEX(LISTAS!$B$3:$B$42,MATCH($L1556,LISTAS!$A$3:$A$42,0)),"Media"))</f>
        <v/>
      </c>
      <c r="Q1556" s="44" t="n"/>
      <c r="R1556" s="45" t="n"/>
      <c r="S1556" s="20">
        <f>IFERROR(IF(OR($R1556="",$C1556=""),"",$R1556/INDEX(DESPACHOS!$M$3:$M$3002,MATCH($C1556,DESPACHOS!$B$3:$B$3002,0))),"")</f>
        <v/>
      </c>
      <c r="T1556" s="41" t="n"/>
      <c r="U1556" s="43">
        <f>IF(OR($B1556="",$L1556=""),"",WORKDAY($B1556,IFERROR(INDEX(LISTAS!$C$3:$C$42,MATCH($L1556,LISTAS!$A$3:$A$42,0)),3)))</f>
        <v/>
      </c>
      <c r="V1556" s="40" t="n"/>
      <c r="W1556" s="19">
        <f>IF($B1556="","",IF($V1556&lt;&gt;"",$V1556-$B1556,TODAY()-$B1556))</f>
        <v/>
      </c>
      <c r="X1556" s="19">
        <f>IF(OR($B1556="",$U1556=""),"",IF($V1556&lt;&gt;"",MAX(0,$V1556-$U1556),MAX(0,TODAY()-$U1556)))</f>
        <v/>
      </c>
      <c r="Y1556" s="39">
        <f>IF($C1556="","",IF(IFERROR(INDEX(LISTAS!$I$3:$I$42,MATCH($T1556,LISTAS!$H$3:$H$42,0)),"NO")="SÍ",IF(N($X1556)&gt;0,"CERRADA FUERA DE SLA","CERRADA EN SLA"),IF($U1556="","SIN CLASIFICAR",IF(N($X1556)&gt;0,"VENCIDA",IF(TODAY()&gt;=$U1556-1,"POR VENCER","EN PLAZO")))))</f>
        <v/>
      </c>
      <c r="Z1556" s="41" t="n"/>
      <c r="AA1556" s="41" t="n"/>
      <c r="AB1556" s="41" t="n"/>
    </row>
    <row r="1557">
      <c r="A1557" s="39">
        <f>IF($C1557="","","NOV-"&amp;TEXT(ROW()-3,"0000"))</f>
        <v/>
      </c>
      <c r="B1557" s="40" t="n"/>
      <c r="C1557" s="41" t="n"/>
      <c r="D1557" s="42">
        <f>IF($C1557="","",IFERROR(INDEX(DESPACHOS!$D$3:$D$3002,MATCH($C1557,DESPACHOS!$B$3:$B$3002,0)),"SIN DESPACHO"))</f>
        <v/>
      </c>
      <c r="E1557" s="42">
        <f>IF($C1557="","",IFERROR(INDEX(DESPACHOS!$K$3:$K$3002,MATCH($C1557,DESPACHOS!$B$3:$B$3002,0)),""))</f>
        <v/>
      </c>
      <c r="F1557" s="42">
        <f>IF($C1557="","",IFERROR(INDEX(DESPACHOS!$I$3:$I$3002,MATCH($C1557,DESPACHOS!$B$3:$B$3002,0)),""))</f>
        <v/>
      </c>
      <c r="G1557" s="42">
        <f>IF($C1557="","",IFERROR(INDEX(DESPACHOS!$F$3:$F$3002,MATCH($C1557,DESPACHOS!$B$3:$B$3002,0)),""))</f>
        <v/>
      </c>
      <c r="H1557" s="42">
        <f>IF($C1557="","",IFERROR(INDEX(DESPACHOS!$G$3:$G$3002,MATCH($C1557,DESPACHOS!$B$3:$B$3002,0)),""))</f>
        <v/>
      </c>
      <c r="I1557" s="39">
        <f>IF($C1557="","",IFERROR(INDEX(DESPACHOS!$H$3:$H$3002,MATCH($C1557,DESPACHOS!$B$3:$B$3002,0)),""))</f>
        <v/>
      </c>
      <c r="J1557" s="43">
        <f>IF($C1557="","",IFERROR(INDEX(DESPACHOS!$J$3:$J$3002,MATCH($C1557,DESPACHOS!$B$3:$B$3002,0)),""))</f>
        <v/>
      </c>
      <c r="K1557" s="39">
        <f>IF($C1557="","",IF(COUNTIFS(DESPACHOS!$B$3:$B$3002,$C1557)=0,"NO EXISTE",IF(COUNTIFS(DESPACHOS!$B$3:$B$3002,$C1557)&gt;1,"DUPLICADO","OK")))</f>
        <v/>
      </c>
      <c r="L1557" s="41" t="n"/>
      <c r="M1557" s="41" t="n"/>
      <c r="N1557" s="42">
        <f>IF($M1557="","",IFERROR(INDEX(LISTAS!$F$3:$F$42,MATCH($M1557,LISTAS!$E$3:$E$42,0)),"Por definir"))</f>
        <v/>
      </c>
      <c r="O1557" s="41" t="n"/>
      <c r="P1557" s="39">
        <f>IF($L1557="","",IFERROR(INDEX(LISTAS!$B$3:$B$42,MATCH($L1557,LISTAS!$A$3:$A$42,0)),"Media"))</f>
        <v/>
      </c>
      <c r="Q1557" s="44" t="n"/>
      <c r="R1557" s="45" t="n"/>
      <c r="S1557" s="20">
        <f>IFERROR(IF(OR($R1557="",$C1557=""),"",$R1557/INDEX(DESPACHOS!$M$3:$M$3002,MATCH($C1557,DESPACHOS!$B$3:$B$3002,0))),"")</f>
        <v/>
      </c>
      <c r="T1557" s="41" t="n"/>
      <c r="U1557" s="43">
        <f>IF(OR($B1557="",$L1557=""),"",WORKDAY($B1557,IFERROR(INDEX(LISTAS!$C$3:$C$42,MATCH($L1557,LISTAS!$A$3:$A$42,0)),3)))</f>
        <v/>
      </c>
      <c r="V1557" s="40" t="n"/>
      <c r="W1557" s="19">
        <f>IF($B1557="","",IF($V1557&lt;&gt;"",$V1557-$B1557,TODAY()-$B1557))</f>
        <v/>
      </c>
      <c r="X1557" s="19">
        <f>IF(OR($B1557="",$U1557=""),"",IF($V1557&lt;&gt;"",MAX(0,$V1557-$U1557),MAX(0,TODAY()-$U1557)))</f>
        <v/>
      </c>
      <c r="Y1557" s="39">
        <f>IF($C1557="","",IF(IFERROR(INDEX(LISTAS!$I$3:$I$42,MATCH($T1557,LISTAS!$H$3:$H$42,0)),"NO")="SÍ",IF(N($X1557)&gt;0,"CERRADA FUERA DE SLA","CERRADA EN SLA"),IF($U1557="","SIN CLASIFICAR",IF(N($X1557)&gt;0,"VENCIDA",IF(TODAY()&gt;=$U1557-1,"POR VENCER","EN PLAZO")))))</f>
        <v/>
      </c>
      <c r="Z1557" s="41" t="n"/>
      <c r="AA1557" s="41" t="n"/>
      <c r="AB1557" s="41" t="n"/>
    </row>
    <row r="1558">
      <c r="A1558" s="39">
        <f>IF($C1558="","","NOV-"&amp;TEXT(ROW()-3,"0000"))</f>
        <v/>
      </c>
      <c r="B1558" s="40" t="n"/>
      <c r="C1558" s="41" t="n"/>
      <c r="D1558" s="42">
        <f>IF($C1558="","",IFERROR(INDEX(DESPACHOS!$D$3:$D$3002,MATCH($C1558,DESPACHOS!$B$3:$B$3002,0)),"SIN DESPACHO"))</f>
        <v/>
      </c>
      <c r="E1558" s="42">
        <f>IF($C1558="","",IFERROR(INDEX(DESPACHOS!$K$3:$K$3002,MATCH($C1558,DESPACHOS!$B$3:$B$3002,0)),""))</f>
        <v/>
      </c>
      <c r="F1558" s="42">
        <f>IF($C1558="","",IFERROR(INDEX(DESPACHOS!$I$3:$I$3002,MATCH($C1558,DESPACHOS!$B$3:$B$3002,0)),""))</f>
        <v/>
      </c>
      <c r="G1558" s="42">
        <f>IF($C1558="","",IFERROR(INDEX(DESPACHOS!$F$3:$F$3002,MATCH($C1558,DESPACHOS!$B$3:$B$3002,0)),""))</f>
        <v/>
      </c>
      <c r="H1558" s="42">
        <f>IF($C1558="","",IFERROR(INDEX(DESPACHOS!$G$3:$G$3002,MATCH($C1558,DESPACHOS!$B$3:$B$3002,0)),""))</f>
        <v/>
      </c>
      <c r="I1558" s="39">
        <f>IF($C1558="","",IFERROR(INDEX(DESPACHOS!$H$3:$H$3002,MATCH($C1558,DESPACHOS!$B$3:$B$3002,0)),""))</f>
        <v/>
      </c>
      <c r="J1558" s="43">
        <f>IF($C1558="","",IFERROR(INDEX(DESPACHOS!$J$3:$J$3002,MATCH($C1558,DESPACHOS!$B$3:$B$3002,0)),""))</f>
        <v/>
      </c>
      <c r="K1558" s="39">
        <f>IF($C1558="","",IF(COUNTIFS(DESPACHOS!$B$3:$B$3002,$C1558)=0,"NO EXISTE",IF(COUNTIFS(DESPACHOS!$B$3:$B$3002,$C1558)&gt;1,"DUPLICADO","OK")))</f>
        <v/>
      </c>
      <c r="L1558" s="41" t="n"/>
      <c r="M1558" s="41" t="n"/>
      <c r="N1558" s="42">
        <f>IF($M1558="","",IFERROR(INDEX(LISTAS!$F$3:$F$42,MATCH($M1558,LISTAS!$E$3:$E$42,0)),"Por definir"))</f>
        <v/>
      </c>
      <c r="O1558" s="41" t="n"/>
      <c r="P1558" s="39">
        <f>IF($L1558="","",IFERROR(INDEX(LISTAS!$B$3:$B$42,MATCH($L1558,LISTAS!$A$3:$A$42,0)),"Media"))</f>
        <v/>
      </c>
      <c r="Q1558" s="44" t="n"/>
      <c r="R1558" s="45" t="n"/>
      <c r="S1558" s="20">
        <f>IFERROR(IF(OR($R1558="",$C1558=""),"",$R1558/INDEX(DESPACHOS!$M$3:$M$3002,MATCH($C1558,DESPACHOS!$B$3:$B$3002,0))),"")</f>
        <v/>
      </c>
      <c r="T1558" s="41" t="n"/>
      <c r="U1558" s="43">
        <f>IF(OR($B1558="",$L1558=""),"",WORKDAY($B1558,IFERROR(INDEX(LISTAS!$C$3:$C$42,MATCH($L1558,LISTAS!$A$3:$A$42,0)),3)))</f>
        <v/>
      </c>
      <c r="V1558" s="40" t="n"/>
      <c r="W1558" s="19">
        <f>IF($B1558="","",IF($V1558&lt;&gt;"",$V1558-$B1558,TODAY()-$B1558))</f>
        <v/>
      </c>
      <c r="X1558" s="19">
        <f>IF(OR($B1558="",$U1558=""),"",IF($V1558&lt;&gt;"",MAX(0,$V1558-$U1558),MAX(0,TODAY()-$U1558)))</f>
        <v/>
      </c>
      <c r="Y1558" s="39">
        <f>IF($C1558="","",IF(IFERROR(INDEX(LISTAS!$I$3:$I$42,MATCH($T1558,LISTAS!$H$3:$H$42,0)),"NO")="SÍ",IF(N($X1558)&gt;0,"CERRADA FUERA DE SLA","CERRADA EN SLA"),IF($U1558="","SIN CLASIFICAR",IF(N($X1558)&gt;0,"VENCIDA",IF(TODAY()&gt;=$U1558-1,"POR VENCER","EN PLAZO")))))</f>
        <v/>
      </c>
      <c r="Z1558" s="41" t="n"/>
      <c r="AA1558" s="41" t="n"/>
      <c r="AB1558" s="41" t="n"/>
    </row>
    <row r="1559">
      <c r="A1559" s="39">
        <f>IF($C1559="","","NOV-"&amp;TEXT(ROW()-3,"0000"))</f>
        <v/>
      </c>
      <c r="B1559" s="40" t="n"/>
      <c r="C1559" s="41" t="n"/>
      <c r="D1559" s="42">
        <f>IF($C1559="","",IFERROR(INDEX(DESPACHOS!$D$3:$D$3002,MATCH($C1559,DESPACHOS!$B$3:$B$3002,0)),"SIN DESPACHO"))</f>
        <v/>
      </c>
      <c r="E1559" s="42">
        <f>IF($C1559="","",IFERROR(INDEX(DESPACHOS!$K$3:$K$3002,MATCH($C1559,DESPACHOS!$B$3:$B$3002,0)),""))</f>
        <v/>
      </c>
      <c r="F1559" s="42">
        <f>IF($C1559="","",IFERROR(INDEX(DESPACHOS!$I$3:$I$3002,MATCH($C1559,DESPACHOS!$B$3:$B$3002,0)),""))</f>
        <v/>
      </c>
      <c r="G1559" s="42">
        <f>IF($C1559="","",IFERROR(INDEX(DESPACHOS!$F$3:$F$3002,MATCH($C1559,DESPACHOS!$B$3:$B$3002,0)),""))</f>
        <v/>
      </c>
      <c r="H1559" s="42">
        <f>IF($C1559="","",IFERROR(INDEX(DESPACHOS!$G$3:$G$3002,MATCH($C1559,DESPACHOS!$B$3:$B$3002,0)),""))</f>
        <v/>
      </c>
      <c r="I1559" s="39">
        <f>IF($C1559="","",IFERROR(INDEX(DESPACHOS!$H$3:$H$3002,MATCH($C1559,DESPACHOS!$B$3:$B$3002,0)),""))</f>
        <v/>
      </c>
      <c r="J1559" s="43">
        <f>IF($C1559="","",IFERROR(INDEX(DESPACHOS!$J$3:$J$3002,MATCH($C1559,DESPACHOS!$B$3:$B$3002,0)),""))</f>
        <v/>
      </c>
      <c r="K1559" s="39">
        <f>IF($C1559="","",IF(COUNTIFS(DESPACHOS!$B$3:$B$3002,$C1559)=0,"NO EXISTE",IF(COUNTIFS(DESPACHOS!$B$3:$B$3002,$C1559)&gt;1,"DUPLICADO","OK")))</f>
        <v/>
      </c>
      <c r="L1559" s="41" t="n"/>
      <c r="M1559" s="41" t="n"/>
      <c r="N1559" s="42">
        <f>IF($M1559="","",IFERROR(INDEX(LISTAS!$F$3:$F$42,MATCH($M1559,LISTAS!$E$3:$E$42,0)),"Por definir"))</f>
        <v/>
      </c>
      <c r="O1559" s="41" t="n"/>
      <c r="P1559" s="39">
        <f>IF($L1559="","",IFERROR(INDEX(LISTAS!$B$3:$B$42,MATCH($L1559,LISTAS!$A$3:$A$42,0)),"Media"))</f>
        <v/>
      </c>
      <c r="Q1559" s="44" t="n"/>
      <c r="R1559" s="45" t="n"/>
      <c r="S1559" s="20">
        <f>IFERROR(IF(OR($R1559="",$C1559=""),"",$R1559/INDEX(DESPACHOS!$M$3:$M$3002,MATCH($C1559,DESPACHOS!$B$3:$B$3002,0))),"")</f>
        <v/>
      </c>
      <c r="T1559" s="41" t="n"/>
      <c r="U1559" s="43">
        <f>IF(OR($B1559="",$L1559=""),"",WORKDAY($B1559,IFERROR(INDEX(LISTAS!$C$3:$C$42,MATCH($L1559,LISTAS!$A$3:$A$42,0)),3)))</f>
        <v/>
      </c>
      <c r="V1559" s="40" t="n"/>
      <c r="W1559" s="19">
        <f>IF($B1559="","",IF($V1559&lt;&gt;"",$V1559-$B1559,TODAY()-$B1559))</f>
        <v/>
      </c>
      <c r="X1559" s="19">
        <f>IF(OR($B1559="",$U1559=""),"",IF($V1559&lt;&gt;"",MAX(0,$V1559-$U1559),MAX(0,TODAY()-$U1559)))</f>
        <v/>
      </c>
      <c r="Y1559" s="39">
        <f>IF($C1559="","",IF(IFERROR(INDEX(LISTAS!$I$3:$I$42,MATCH($T1559,LISTAS!$H$3:$H$42,0)),"NO")="SÍ",IF(N($X1559)&gt;0,"CERRADA FUERA DE SLA","CERRADA EN SLA"),IF($U1559="","SIN CLASIFICAR",IF(N($X1559)&gt;0,"VENCIDA",IF(TODAY()&gt;=$U1559-1,"POR VENCER","EN PLAZO")))))</f>
        <v/>
      </c>
      <c r="Z1559" s="41" t="n"/>
      <c r="AA1559" s="41" t="n"/>
      <c r="AB1559" s="41" t="n"/>
    </row>
    <row r="1560">
      <c r="A1560" s="39">
        <f>IF($C1560="","","NOV-"&amp;TEXT(ROW()-3,"0000"))</f>
        <v/>
      </c>
      <c r="B1560" s="40" t="n"/>
      <c r="C1560" s="41" t="n"/>
      <c r="D1560" s="42">
        <f>IF($C1560="","",IFERROR(INDEX(DESPACHOS!$D$3:$D$3002,MATCH($C1560,DESPACHOS!$B$3:$B$3002,0)),"SIN DESPACHO"))</f>
        <v/>
      </c>
      <c r="E1560" s="42">
        <f>IF($C1560="","",IFERROR(INDEX(DESPACHOS!$K$3:$K$3002,MATCH($C1560,DESPACHOS!$B$3:$B$3002,0)),""))</f>
        <v/>
      </c>
      <c r="F1560" s="42">
        <f>IF($C1560="","",IFERROR(INDEX(DESPACHOS!$I$3:$I$3002,MATCH($C1560,DESPACHOS!$B$3:$B$3002,0)),""))</f>
        <v/>
      </c>
      <c r="G1560" s="42">
        <f>IF($C1560="","",IFERROR(INDEX(DESPACHOS!$F$3:$F$3002,MATCH($C1560,DESPACHOS!$B$3:$B$3002,0)),""))</f>
        <v/>
      </c>
      <c r="H1560" s="42">
        <f>IF($C1560="","",IFERROR(INDEX(DESPACHOS!$G$3:$G$3002,MATCH($C1560,DESPACHOS!$B$3:$B$3002,0)),""))</f>
        <v/>
      </c>
      <c r="I1560" s="39">
        <f>IF($C1560="","",IFERROR(INDEX(DESPACHOS!$H$3:$H$3002,MATCH($C1560,DESPACHOS!$B$3:$B$3002,0)),""))</f>
        <v/>
      </c>
      <c r="J1560" s="43">
        <f>IF($C1560="","",IFERROR(INDEX(DESPACHOS!$J$3:$J$3002,MATCH($C1560,DESPACHOS!$B$3:$B$3002,0)),""))</f>
        <v/>
      </c>
      <c r="K1560" s="39">
        <f>IF($C1560="","",IF(COUNTIFS(DESPACHOS!$B$3:$B$3002,$C1560)=0,"NO EXISTE",IF(COUNTIFS(DESPACHOS!$B$3:$B$3002,$C1560)&gt;1,"DUPLICADO","OK")))</f>
        <v/>
      </c>
      <c r="L1560" s="41" t="n"/>
      <c r="M1560" s="41" t="n"/>
      <c r="N1560" s="42">
        <f>IF($M1560="","",IFERROR(INDEX(LISTAS!$F$3:$F$42,MATCH($M1560,LISTAS!$E$3:$E$42,0)),"Por definir"))</f>
        <v/>
      </c>
      <c r="O1560" s="41" t="n"/>
      <c r="P1560" s="39">
        <f>IF($L1560="","",IFERROR(INDEX(LISTAS!$B$3:$B$42,MATCH($L1560,LISTAS!$A$3:$A$42,0)),"Media"))</f>
        <v/>
      </c>
      <c r="Q1560" s="44" t="n"/>
      <c r="R1560" s="45" t="n"/>
      <c r="S1560" s="20">
        <f>IFERROR(IF(OR($R1560="",$C1560=""),"",$R1560/INDEX(DESPACHOS!$M$3:$M$3002,MATCH($C1560,DESPACHOS!$B$3:$B$3002,0))),"")</f>
        <v/>
      </c>
      <c r="T1560" s="41" t="n"/>
      <c r="U1560" s="43">
        <f>IF(OR($B1560="",$L1560=""),"",WORKDAY($B1560,IFERROR(INDEX(LISTAS!$C$3:$C$42,MATCH($L1560,LISTAS!$A$3:$A$42,0)),3)))</f>
        <v/>
      </c>
      <c r="V1560" s="40" t="n"/>
      <c r="W1560" s="19">
        <f>IF($B1560="","",IF($V1560&lt;&gt;"",$V1560-$B1560,TODAY()-$B1560))</f>
        <v/>
      </c>
      <c r="X1560" s="19">
        <f>IF(OR($B1560="",$U1560=""),"",IF($V1560&lt;&gt;"",MAX(0,$V1560-$U1560),MAX(0,TODAY()-$U1560)))</f>
        <v/>
      </c>
      <c r="Y1560" s="39">
        <f>IF($C1560="","",IF(IFERROR(INDEX(LISTAS!$I$3:$I$42,MATCH($T1560,LISTAS!$H$3:$H$42,0)),"NO")="SÍ",IF(N($X1560)&gt;0,"CERRADA FUERA DE SLA","CERRADA EN SLA"),IF($U1560="","SIN CLASIFICAR",IF(N($X1560)&gt;0,"VENCIDA",IF(TODAY()&gt;=$U1560-1,"POR VENCER","EN PLAZO")))))</f>
        <v/>
      </c>
      <c r="Z1560" s="41" t="n"/>
      <c r="AA1560" s="41" t="n"/>
      <c r="AB1560" s="41" t="n"/>
    </row>
    <row r="1561">
      <c r="A1561" s="39">
        <f>IF($C1561="","","NOV-"&amp;TEXT(ROW()-3,"0000"))</f>
        <v/>
      </c>
      <c r="B1561" s="40" t="n"/>
      <c r="C1561" s="41" t="n"/>
      <c r="D1561" s="42">
        <f>IF($C1561="","",IFERROR(INDEX(DESPACHOS!$D$3:$D$3002,MATCH($C1561,DESPACHOS!$B$3:$B$3002,0)),"SIN DESPACHO"))</f>
        <v/>
      </c>
      <c r="E1561" s="42">
        <f>IF($C1561="","",IFERROR(INDEX(DESPACHOS!$K$3:$K$3002,MATCH($C1561,DESPACHOS!$B$3:$B$3002,0)),""))</f>
        <v/>
      </c>
      <c r="F1561" s="42">
        <f>IF($C1561="","",IFERROR(INDEX(DESPACHOS!$I$3:$I$3002,MATCH($C1561,DESPACHOS!$B$3:$B$3002,0)),""))</f>
        <v/>
      </c>
      <c r="G1561" s="42">
        <f>IF($C1561="","",IFERROR(INDEX(DESPACHOS!$F$3:$F$3002,MATCH($C1561,DESPACHOS!$B$3:$B$3002,0)),""))</f>
        <v/>
      </c>
      <c r="H1561" s="42">
        <f>IF($C1561="","",IFERROR(INDEX(DESPACHOS!$G$3:$G$3002,MATCH($C1561,DESPACHOS!$B$3:$B$3002,0)),""))</f>
        <v/>
      </c>
      <c r="I1561" s="39">
        <f>IF($C1561="","",IFERROR(INDEX(DESPACHOS!$H$3:$H$3002,MATCH($C1561,DESPACHOS!$B$3:$B$3002,0)),""))</f>
        <v/>
      </c>
      <c r="J1561" s="43">
        <f>IF($C1561="","",IFERROR(INDEX(DESPACHOS!$J$3:$J$3002,MATCH($C1561,DESPACHOS!$B$3:$B$3002,0)),""))</f>
        <v/>
      </c>
      <c r="K1561" s="39">
        <f>IF($C1561="","",IF(COUNTIFS(DESPACHOS!$B$3:$B$3002,$C1561)=0,"NO EXISTE",IF(COUNTIFS(DESPACHOS!$B$3:$B$3002,$C1561)&gt;1,"DUPLICADO","OK")))</f>
        <v/>
      </c>
      <c r="L1561" s="41" t="n"/>
      <c r="M1561" s="41" t="n"/>
      <c r="N1561" s="42">
        <f>IF($M1561="","",IFERROR(INDEX(LISTAS!$F$3:$F$42,MATCH($M1561,LISTAS!$E$3:$E$42,0)),"Por definir"))</f>
        <v/>
      </c>
      <c r="O1561" s="41" t="n"/>
      <c r="P1561" s="39">
        <f>IF($L1561="","",IFERROR(INDEX(LISTAS!$B$3:$B$42,MATCH($L1561,LISTAS!$A$3:$A$42,0)),"Media"))</f>
        <v/>
      </c>
      <c r="Q1561" s="44" t="n"/>
      <c r="R1561" s="45" t="n"/>
      <c r="S1561" s="20">
        <f>IFERROR(IF(OR($R1561="",$C1561=""),"",$R1561/INDEX(DESPACHOS!$M$3:$M$3002,MATCH($C1561,DESPACHOS!$B$3:$B$3002,0))),"")</f>
        <v/>
      </c>
      <c r="T1561" s="41" t="n"/>
      <c r="U1561" s="43">
        <f>IF(OR($B1561="",$L1561=""),"",WORKDAY($B1561,IFERROR(INDEX(LISTAS!$C$3:$C$42,MATCH($L1561,LISTAS!$A$3:$A$42,0)),3)))</f>
        <v/>
      </c>
      <c r="V1561" s="40" t="n"/>
      <c r="W1561" s="19">
        <f>IF($B1561="","",IF($V1561&lt;&gt;"",$V1561-$B1561,TODAY()-$B1561))</f>
        <v/>
      </c>
      <c r="X1561" s="19">
        <f>IF(OR($B1561="",$U1561=""),"",IF($V1561&lt;&gt;"",MAX(0,$V1561-$U1561),MAX(0,TODAY()-$U1561)))</f>
        <v/>
      </c>
      <c r="Y1561" s="39">
        <f>IF($C1561="","",IF(IFERROR(INDEX(LISTAS!$I$3:$I$42,MATCH($T1561,LISTAS!$H$3:$H$42,0)),"NO")="SÍ",IF(N($X1561)&gt;0,"CERRADA FUERA DE SLA","CERRADA EN SLA"),IF($U1561="","SIN CLASIFICAR",IF(N($X1561)&gt;0,"VENCIDA",IF(TODAY()&gt;=$U1561-1,"POR VENCER","EN PLAZO")))))</f>
        <v/>
      </c>
      <c r="Z1561" s="41" t="n"/>
      <c r="AA1561" s="41" t="n"/>
      <c r="AB1561" s="41" t="n"/>
    </row>
    <row r="1562">
      <c r="A1562" s="39">
        <f>IF($C1562="","","NOV-"&amp;TEXT(ROW()-3,"0000"))</f>
        <v/>
      </c>
      <c r="B1562" s="40" t="n"/>
      <c r="C1562" s="41" t="n"/>
      <c r="D1562" s="42">
        <f>IF($C1562="","",IFERROR(INDEX(DESPACHOS!$D$3:$D$3002,MATCH($C1562,DESPACHOS!$B$3:$B$3002,0)),"SIN DESPACHO"))</f>
        <v/>
      </c>
      <c r="E1562" s="42">
        <f>IF($C1562="","",IFERROR(INDEX(DESPACHOS!$K$3:$K$3002,MATCH($C1562,DESPACHOS!$B$3:$B$3002,0)),""))</f>
        <v/>
      </c>
      <c r="F1562" s="42">
        <f>IF($C1562="","",IFERROR(INDEX(DESPACHOS!$I$3:$I$3002,MATCH($C1562,DESPACHOS!$B$3:$B$3002,0)),""))</f>
        <v/>
      </c>
      <c r="G1562" s="42">
        <f>IF($C1562="","",IFERROR(INDEX(DESPACHOS!$F$3:$F$3002,MATCH($C1562,DESPACHOS!$B$3:$B$3002,0)),""))</f>
        <v/>
      </c>
      <c r="H1562" s="42">
        <f>IF($C1562="","",IFERROR(INDEX(DESPACHOS!$G$3:$G$3002,MATCH($C1562,DESPACHOS!$B$3:$B$3002,0)),""))</f>
        <v/>
      </c>
      <c r="I1562" s="39">
        <f>IF($C1562="","",IFERROR(INDEX(DESPACHOS!$H$3:$H$3002,MATCH($C1562,DESPACHOS!$B$3:$B$3002,0)),""))</f>
        <v/>
      </c>
      <c r="J1562" s="43">
        <f>IF($C1562="","",IFERROR(INDEX(DESPACHOS!$J$3:$J$3002,MATCH($C1562,DESPACHOS!$B$3:$B$3002,0)),""))</f>
        <v/>
      </c>
      <c r="K1562" s="39">
        <f>IF($C1562="","",IF(COUNTIFS(DESPACHOS!$B$3:$B$3002,$C1562)=0,"NO EXISTE",IF(COUNTIFS(DESPACHOS!$B$3:$B$3002,$C1562)&gt;1,"DUPLICADO","OK")))</f>
        <v/>
      </c>
      <c r="L1562" s="41" t="n"/>
      <c r="M1562" s="41" t="n"/>
      <c r="N1562" s="42">
        <f>IF($M1562="","",IFERROR(INDEX(LISTAS!$F$3:$F$42,MATCH($M1562,LISTAS!$E$3:$E$42,0)),"Por definir"))</f>
        <v/>
      </c>
      <c r="O1562" s="41" t="n"/>
      <c r="P1562" s="39">
        <f>IF($L1562="","",IFERROR(INDEX(LISTAS!$B$3:$B$42,MATCH($L1562,LISTAS!$A$3:$A$42,0)),"Media"))</f>
        <v/>
      </c>
      <c r="Q1562" s="44" t="n"/>
      <c r="R1562" s="45" t="n"/>
      <c r="S1562" s="20">
        <f>IFERROR(IF(OR($R1562="",$C1562=""),"",$R1562/INDEX(DESPACHOS!$M$3:$M$3002,MATCH($C1562,DESPACHOS!$B$3:$B$3002,0))),"")</f>
        <v/>
      </c>
      <c r="T1562" s="41" t="n"/>
      <c r="U1562" s="43">
        <f>IF(OR($B1562="",$L1562=""),"",WORKDAY($B1562,IFERROR(INDEX(LISTAS!$C$3:$C$42,MATCH($L1562,LISTAS!$A$3:$A$42,0)),3)))</f>
        <v/>
      </c>
      <c r="V1562" s="40" t="n"/>
      <c r="W1562" s="19">
        <f>IF($B1562="","",IF($V1562&lt;&gt;"",$V1562-$B1562,TODAY()-$B1562))</f>
        <v/>
      </c>
      <c r="X1562" s="19">
        <f>IF(OR($B1562="",$U1562=""),"",IF($V1562&lt;&gt;"",MAX(0,$V1562-$U1562),MAX(0,TODAY()-$U1562)))</f>
        <v/>
      </c>
      <c r="Y1562" s="39">
        <f>IF($C1562="","",IF(IFERROR(INDEX(LISTAS!$I$3:$I$42,MATCH($T1562,LISTAS!$H$3:$H$42,0)),"NO")="SÍ",IF(N($X1562)&gt;0,"CERRADA FUERA DE SLA","CERRADA EN SLA"),IF($U1562="","SIN CLASIFICAR",IF(N($X1562)&gt;0,"VENCIDA",IF(TODAY()&gt;=$U1562-1,"POR VENCER","EN PLAZO")))))</f>
        <v/>
      </c>
      <c r="Z1562" s="41" t="n"/>
      <c r="AA1562" s="41" t="n"/>
      <c r="AB1562" s="41" t="n"/>
    </row>
    <row r="1563">
      <c r="A1563" s="39">
        <f>IF($C1563="","","NOV-"&amp;TEXT(ROW()-3,"0000"))</f>
        <v/>
      </c>
      <c r="B1563" s="40" t="n"/>
      <c r="C1563" s="41" t="n"/>
      <c r="D1563" s="42">
        <f>IF($C1563="","",IFERROR(INDEX(DESPACHOS!$D$3:$D$3002,MATCH($C1563,DESPACHOS!$B$3:$B$3002,0)),"SIN DESPACHO"))</f>
        <v/>
      </c>
      <c r="E1563" s="42">
        <f>IF($C1563="","",IFERROR(INDEX(DESPACHOS!$K$3:$K$3002,MATCH($C1563,DESPACHOS!$B$3:$B$3002,0)),""))</f>
        <v/>
      </c>
      <c r="F1563" s="42">
        <f>IF($C1563="","",IFERROR(INDEX(DESPACHOS!$I$3:$I$3002,MATCH($C1563,DESPACHOS!$B$3:$B$3002,0)),""))</f>
        <v/>
      </c>
      <c r="G1563" s="42">
        <f>IF($C1563="","",IFERROR(INDEX(DESPACHOS!$F$3:$F$3002,MATCH($C1563,DESPACHOS!$B$3:$B$3002,0)),""))</f>
        <v/>
      </c>
      <c r="H1563" s="42">
        <f>IF($C1563="","",IFERROR(INDEX(DESPACHOS!$G$3:$G$3002,MATCH($C1563,DESPACHOS!$B$3:$B$3002,0)),""))</f>
        <v/>
      </c>
      <c r="I1563" s="39">
        <f>IF($C1563="","",IFERROR(INDEX(DESPACHOS!$H$3:$H$3002,MATCH($C1563,DESPACHOS!$B$3:$B$3002,0)),""))</f>
        <v/>
      </c>
      <c r="J1563" s="43">
        <f>IF($C1563="","",IFERROR(INDEX(DESPACHOS!$J$3:$J$3002,MATCH($C1563,DESPACHOS!$B$3:$B$3002,0)),""))</f>
        <v/>
      </c>
      <c r="K1563" s="39">
        <f>IF($C1563="","",IF(COUNTIFS(DESPACHOS!$B$3:$B$3002,$C1563)=0,"NO EXISTE",IF(COUNTIFS(DESPACHOS!$B$3:$B$3002,$C1563)&gt;1,"DUPLICADO","OK")))</f>
        <v/>
      </c>
      <c r="L1563" s="41" t="n"/>
      <c r="M1563" s="41" t="n"/>
      <c r="N1563" s="42">
        <f>IF($M1563="","",IFERROR(INDEX(LISTAS!$F$3:$F$42,MATCH($M1563,LISTAS!$E$3:$E$42,0)),"Por definir"))</f>
        <v/>
      </c>
      <c r="O1563" s="41" t="n"/>
      <c r="P1563" s="39">
        <f>IF($L1563="","",IFERROR(INDEX(LISTAS!$B$3:$B$42,MATCH($L1563,LISTAS!$A$3:$A$42,0)),"Media"))</f>
        <v/>
      </c>
      <c r="Q1563" s="44" t="n"/>
      <c r="R1563" s="45" t="n"/>
      <c r="S1563" s="20">
        <f>IFERROR(IF(OR($R1563="",$C1563=""),"",$R1563/INDEX(DESPACHOS!$M$3:$M$3002,MATCH($C1563,DESPACHOS!$B$3:$B$3002,0))),"")</f>
        <v/>
      </c>
      <c r="T1563" s="41" t="n"/>
      <c r="U1563" s="43">
        <f>IF(OR($B1563="",$L1563=""),"",WORKDAY($B1563,IFERROR(INDEX(LISTAS!$C$3:$C$42,MATCH($L1563,LISTAS!$A$3:$A$42,0)),3)))</f>
        <v/>
      </c>
      <c r="V1563" s="40" t="n"/>
      <c r="W1563" s="19">
        <f>IF($B1563="","",IF($V1563&lt;&gt;"",$V1563-$B1563,TODAY()-$B1563))</f>
        <v/>
      </c>
      <c r="X1563" s="19">
        <f>IF(OR($B1563="",$U1563=""),"",IF($V1563&lt;&gt;"",MAX(0,$V1563-$U1563),MAX(0,TODAY()-$U1563)))</f>
        <v/>
      </c>
      <c r="Y1563" s="39">
        <f>IF($C1563="","",IF(IFERROR(INDEX(LISTAS!$I$3:$I$42,MATCH($T1563,LISTAS!$H$3:$H$42,0)),"NO")="SÍ",IF(N($X1563)&gt;0,"CERRADA FUERA DE SLA","CERRADA EN SLA"),IF($U1563="","SIN CLASIFICAR",IF(N($X1563)&gt;0,"VENCIDA",IF(TODAY()&gt;=$U1563-1,"POR VENCER","EN PLAZO")))))</f>
        <v/>
      </c>
      <c r="Z1563" s="41" t="n"/>
      <c r="AA1563" s="41" t="n"/>
      <c r="AB1563" s="41" t="n"/>
    </row>
    <row r="1564">
      <c r="A1564" s="39">
        <f>IF($C1564="","","NOV-"&amp;TEXT(ROW()-3,"0000"))</f>
        <v/>
      </c>
      <c r="B1564" s="40" t="n"/>
      <c r="C1564" s="41" t="n"/>
      <c r="D1564" s="42">
        <f>IF($C1564="","",IFERROR(INDEX(DESPACHOS!$D$3:$D$3002,MATCH($C1564,DESPACHOS!$B$3:$B$3002,0)),"SIN DESPACHO"))</f>
        <v/>
      </c>
      <c r="E1564" s="42">
        <f>IF($C1564="","",IFERROR(INDEX(DESPACHOS!$K$3:$K$3002,MATCH($C1564,DESPACHOS!$B$3:$B$3002,0)),""))</f>
        <v/>
      </c>
      <c r="F1564" s="42">
        <f>IF($C1564="","",IFERROR(INDEX(DESPACHOS!$I$3:$I$3002,MATCH($C1564,DESPACHOS!$B$3:$B$3002,0)),""))</f>
        <v/>
      </c>
      <c r="G1564" s="42">
        <f>IF($C1564="","",IFERROR(INDEX(DESPACHOS!$F$3:$F$3002,MATCH($C1564,DESPACHOS!$B$3:$B$3002,0)),""))</f>
        <v/>
      </c>
      <c r="H1564" s="42">
        <f>IF($C1564="","",IFERROR(INDEX(DESPACHOS!$G$3:$G$3002,MATCH($C1564,DESPACHOS!$B$3:$B$3002,0)),""))</f>
        <v/>
      </c>
      <c r="I1564" s="39">
        <f>IF($C1564="","",IFERROR(INDEX(DESPACHOS!$H$3:$H$3002,MATCH($C1564,DESPACHOS!$B$3:$B$3002,0)),""))</f>
        <v/>
      </c>
      <c r="J1564" s="43">
        <f>IF($C1564="","",IFERROR(INDEX(DESPACHOS!$J$3:$J$3002,MATCH($C1564,DESPACHOS!$B$3:$B$3002,0)),""))</f>
        <v/>
      </c>
      <c r="K1564" s="39">
        <f>IF($C1564="","",IF(COUNTIFS(DESPACHOS!$B$3:$B$3002,$C1564)=0,"NO EXISTE",IF(COUNTIFS(DESPACHOS!$B$3:$B$3002,$C1564)&gt;1,"DUPLICADO","OK")))</f>
        <v/>
      </c>
      <c r="L1564" s="41" t="n"/>
      <c r="M1564" s="41" t="n"/>
      <c r="N1564" s="42">
        <f>IF($M1564="","",IFERROR(INDEX(LISTAS!$F$3:$F$42,MATCH($M1564,LISTAS!$E$3:$E$42,0)),"Por definir"))</f>
        <v/>
      </c>
      <c r="O1564" s="41" t="n"/>
      <c r="P1564" s="39">
        <f>IF($L1564="","",IFERROR(INDEX(LISTAS!$B$3:$B$42,MATCH($L1564,LISTAS!$A$3:$A$42,0)),"Media"))</f>
        <v/>
      </c>
      <c r="Q1564" s="44" t="n"/>
      <c r="R1564" s="45" t="n"/>
      <c r="S1564" s="20">
        <f>IFERROR(IF(OR($R1564="",$C1564=""),"",$R1564/INDEX(DESPACHOS!$M$3:$M$3002,MATCH($C1564,DESPACHOS!$B$3:$B$3002,0))),"")</f>
        <v/>
      </c>
      <c r="T1564" s="41" t="n"/>
      <c r="U1564" s="43">
        <f>IF(OR($B1564="",$L1564=""),"",WORKDAY($B1564,IFERROR(INDEX(LISTAS!$C$3:$C$42,MATCH($L1564,LISTAS!$A$3:$A$42,0)),3)))</f>
        <v/>
      </c>
      <c r="V1564" s="40" t="n"/>
      <c r="W1564" s="19">
        <f>IF($B1564="","",IF($V1564&lt;&gt;"",$V1564-$B1564,TODAY()-$B1564))</f>
        <v/>
      </c>
      <c r="X1564" s="19">
        <f>IF(OR($B1564="",$U1564=""),"",IF($V1564&lt;&gt;"",MAX(0,$V1564-$U1564),MAX(0,TODAY()-$U1564)))</f>
        <v/>
      </c>
      <c r="Y1564" s="39">
        <f>IF($C1564="","",IF(IFERROR(INDEX(LISTAS!$I$3:$I$42,MATCH($T1564,LISTAS!$H$3:$H$42,0)),"NO")="SÍ",IF(N($X1564)&gt;0,"CERRADA FUERA DE SLA","CERRADA EN SLA"),IF($U1564="","SIN CLASIFICAR",IF(N($X1564)&gt;0,"VENCIDA",IF(TODAY()&gt;=$U1564-1,"POR VENCER","EN PLAZO")))))</f>
        <v/>
      </c>
      <c r="Z1564" s="41" t="n"/>
      <c r="AA1564" s="41" t="n"/>
      <c r="AB1564" s="41" t="n"/>
    </row>
    <row r="1565">
      <c r="A1565" s="39">
        <f>IF($C1565="","","NOV-"&amp;TEXT(ROW()-3,"0000"))</f>
        <v/>
      </c>
      <c r="B1565" s="40" t="n"/>
      <c r="C1565" s="41" t="n"/>
      <c r="D1565" s="42">
        <f>IF($C1565="","",IFERROR(INDEX(DESPACHOS!$D$3:$D$3002,MATCH($C1565,DESPACHOS!$B$3:$B$3002,0)),"SIN DESPACHO"))</f>
        <v/>
      </c>
      <c r="E1565" s="42">
        <f>IF($C1565="","",IFERROR(INDEX(DESPACHOS!$K$3:$K$3002,MATCH($C1565,DESPACHOS!$B$3:$B$3002,0)),""))</f>
        <v/>
      </c>
      <c r="F1565" s="42">
        <f>IF($C1565="","",IFERROR(INDEX(DESPACHOS!$I$3:$I$3002,MATCH($C1565,DESPACHOS!$B$3:$B$3002,0)),""))</f>
        <v/>
      </c>
      <c r="G1565" s="42">
        <f>IF($C1565="","",IFERROR(INDEX(DESPACHOS!$F$3:$F$3002,MATCH($C1565,DESPACHOS!$B$3:$B$3002,0)),""))</f>
        <v/>
      </c>
      <c r="H1565" s="42">
        <f>IF($C1565="","",IFERROR(INDEX(DESPACHOS!$G$3:$G$3002,MATCH($C1565,DESPACHOS!$B$3:$B$3002,0)),""))</f>
        <v/>
      </c>
      <c r="I1565" s="39">
        <f>IF($C1565="","",IFERROR(INDEX(DESPACHOS!$H$3:$H$3002,MATCH($C1565,DESPACHOS!$B$3:$B$3002,0)),""))</f>
        <v/>
      </c>
      <c r="J1565" s="43">
        <f>IF($C1565="","",IFERROR(INDEX(DESPACHOS!$J$3:$J$3002,MATCH($C1565,DESPACHOS!$B$3:$B$3002,0)),""))</f>
        <v/>
      </c>
      <c r="K1565" s="39">
        <f>IF($C1565="","",IF(COUNTIFS(DESPACHOS!$B$3:$B$3002,$C1565)=0,"NO EXISTE",IF(COUNTIFS(DESPACHOS!$B$3:$B$3002,$C1565)&gt;1,"DUPLICADO","OK")))</f>
        <v/>
      </c>
      <c r="L1565" s="41" t="n"/>
      <c r="M1565" s="41" t="n"/>
      <c r="N1565" s="42">
        <f>IF($M1565="","",IFERROR(INDEX(LISTAS!$F$3:$F$42,MATCH($M1565,LISTAS!$E$3:$E$42,0)),"Por definir"))</f>
        <v/>
      </c>
      <c r="O1565" s="41" t="n"/>
      <c r="P1565" s="39">
        <f>IF($L1565="","",IFERROR(INDEX(LISTAS!$B$3:$B$42,MATCH($L1565,LISTAS!$A$3:$A$42,0)),"Media"))</f>
        <v/>
      </c>
      <c r="Q1565" s="44" t="n"/>
      <c r="R1565" s="45" t="n"/>
      <c r="S1565" s="20">
        <f>IFERROR(IF(OR($R1565="",$C1565=""),"",$R1565/INDEX(DESPACHOS!$M$3:$M$3002,MATCH($C1565,DESPACHOS!$B$3:$B$3002,0))),"")</f>
        <v/>
      </c>
      <c r="T1565" s="41" t="n"/>
      <c r="U1565" s="43">
        <f>IF(OR($B1565="",$L1565=""),"",WORKDAY($B1565,IFERROR(INDEX(LISTAS!$C$3:$C$42,MATCH($L1565,LISTAS!$A$3:$A$42,0)),3)))</f>
        <v/>
      </c>
      <c r="V1565" s="40" t="n"/>
      <c r="W1565" s="19">
        <f>IF($B1565="","",IF($V1565&lt;&gt;"",$V1565-$B1565,TODAY()-$B1565))</f>
        <v/>
      </c>
      <c r="X1565" s="19">
        <f>IF(OR($B1565="",$U1565=""),"",IF($V1565&lt;&gt;"",MAX(0,$V1565-$U1565),MAX(0,TODAY()-$U1565)))</f>
        <v/>
      </c>
      <c r="Y1565" s="39">
        <f>IF($C1565="","",IF(IFERROR(INDEX(LISTAS!$I$3:$I$42,MATCH($T1565,LISTAS!$H$3:$H$42,0)),"NO")="SÍ",IF(N($X1565)&gt;0,"CERRADA FUERA DE SLA","CERRADA EN SLA"),IF($U1565="","SIN CLASIFICAR",IF(N($X1565)&gt;0,"VENCIDA",IF(TODAY()&gt;=$U1565-1,"POR VENCER","EN PLAZO")))))</f>
        <v/>
      </c>
      <c r="Z1565" s="41" t="n"/>
      <c r="AA1565" s="41" t="n"/>
      <c r="AB1565" s="41" t="n"/>
    </row>
    <row r="1566">
      <c r="A1566" s="39">
        <f>IF($C1566="","","NOV-"&amp;TEXT(ROW()-3,"0000"))</f>
        <v/>
      </c>
      <c r="B1566" s="40" t="n"/>
      <c r="C1566" s="41" t="n"/>
      <c r="D1566" s="42">
        <f>IF($C1566="","",IFERROR(INDEX(DESPACHOS!$D$3:$D$3002,MATCH($C1566,DESPACHOS!$B$3:$B$3002,0)),"SIN DESPACHO"))</f>
        <v/>
      </c>
      <c r="E1566" s="42">
        <f>IF($C1566="","",IFERROR(INDEX(DESPACHOS!$K$3:$K$3002,MATCH($C1566,DESPACHOS!$B$3:$B$3002,0)),""))</f>
        <v/>
      </c>
      <c r="F1566" s="42">
        <f>IF($C1566="","",IFERROR(INDEX(DESPACHOS!$I$3:$I$3002,MATCH($C1566,DESPACHOS!$B$3:$B$3002,0)),""))</f>
        <v/>
      </c>
      <c r="G1566" s="42">
        <f>IF($C1566="","",IFERROR(INDEX(DESPACHOS!$F$3:$F$3002,MATCH($C1566,DESPACHOS!$B$3:$B$3002,0)),""))</f>
        <v/>
      </c>
      <c r="H1566" s="42">
        <f>IF($C1566="","",IFERROR(INDEX(DESPACHOS!$G$3:$G$3002,MATCH($C1566,DESPACHOS!$B$3:$B$3002,0)),""))</f>
        <v/>
      </c>
      <c r="I1566" s="39">
        <f>IF($C1566="","",IFERROR(INDEX(DESPACHOS!$H$3:$H$3002,MATCH($C1566,DESPACHOS!$B$3:$B$3002,0)),""))</f>
        <v/>
      </c>
      <c r="J1566" s="43">
        <f>IF($C1566="","",IFERROR(INDEX(DESPACHOS!$J$3:$J$3002,MATCH($C1566,DESPACHOS!$B$3:$B$3002,0)),""))</f>
        <v/>
      </c>
      <c r="K1566" s="39">
        <f>IF($C1566="","",IF(COUNTIFS(DESPACHOS!$B$3:$B$3002,$C1566)=0,"NO EXISTE",IF(COUNTIFS(DESPACHOS!$B$3:$B$3002,$C1566)&gt;1,"DUPLICADO","OK")))</f>
        <v/>
      </c>
      <c r="L1566" s="41" t="n"/>
      <c r="M1566" s="41" t="n"/>
      <c r="N1566" s="42">
        <f>IF($M1566="","",IFERROR(INDEX(LISTAS!$F$3:$F$42,MATCH($M1566,LISTAS!$E$3:$E$42,0)),"Por definir"))</f>
        <v/>
      </c>
      <c r="O1566" s="41" t="n"/>
      <c r="P1566" s="39">
        <f>IF($L1566="","",IFERROR(INDEX(LISTAS!$B$3:$B$42,MATCH($L1566,LISTAS!$A$3:$A$42,0)),"Media"))</f>
        <v/>
      </c>
      <c r="Q1566" s="44" t="n"/>
      <c r="R1566" s="45" t="n"/>
      <c r="S1566" s="20">
        <f>IFERROR(IF(OR($R1566="",$C1566=""),"",$R1566/INDEX(DESPACHOS!$M$3:$M$3002,MATCH($C1566,DESPACHOS!$B$3:$B$3002,0))),"")</f>
        <v/>
      </c>
      <c r="T1566" s="41" t="n"/>
      <c r="U1566" s="43">
        <f>IF(OR($B1566="",$L1566=""),"",WORKDAY($B1566,IFERROR(INDEX(LISTAS!$C$3:$C$42,MATCH($L1566,LISTAS!$A$3:$A$42,0)),3)))</f>
        <v/>
      </c>
      <c r="V1566" s="40" t="n"/>
      <c r="W1566" s="19">
        <f>IF($B1566="","",IF($V1566&lt;&gt;"",$V1566-$B1566,TODAY()-$B1566))</f>
        <v/>
      </c>
      <c r="X1566" s="19">
        <f>IF(OR($B1566="",$U1566=""),"",IF($V1566&lt;&gt;"",MAX(0,$V1566-$U1566),MAX(0,TODAY()-$U1566)))</f>
        <v/>
      </c>
      <c r="Y1566" s="39">
        <f>IF($C1566="","",IF(IFERROR(INDEX(LISTAS!$I$3:$I$42,MATCH($T1566,LISTAS!$H$3:$H$42,0)),"NO")="SÍ",IF(N($X1566)&gt;0,"CERRADA FUERA DE SLA","CERRADA EN SLA"),IF($U1566="","SIN CLASIFICAR",IF(N($X1566)&gt;0,"VENCIDA",IF(TODAY()&gt;=$U1566-1,"POR VENCER","EN PLAZO")))))</f>
        <v/>
      </c>
      <c r="Z1566" s="41" t="n"/>
      <c r="AA1566" s="41" t="n"/>
      <c r="AB1566" s="41" t="n"/>
    </row>
    <row r="1567">
      <c r="A1567" s="39">
        <f>IF($C1567="","","NOV-"&amp;TEXT(ROW()-3,"0000"))</f>
        <v/>
      </c>
      <c r="B1567" s="40" t="n"/>
      <c r="C1567" s="41" t="n"/>
      <c r="D1567" s="42">
        <f>IF($C1567="","",IFERROR(INDEX(DESPACHOS!$D$3:$D$3002,MATCH($C1567,DESPACHOS!$B$3:$B$3002,0)),"SIN DESPACHO"))</f>
        <v/>
      </c>
      <c r="E1567" s="42">
        <f>IF($C1567="","",IFERROR(INDEX(DESPACHOS!$K$3:$K$3002,MATCH($C1567,DESPACHOS!$B$3:$B$3002,0)),""))</f>
        <v/>
      </c>
      <c r="F1567" s="42">
        <f>IF($C1567="","",IFERROR(INDEX(DESPACHOS!$I$3:$I$3002,MATCH($C1567,DESPACHOS!$B$3:$B$3002,0)),""))</f>
        <v/>
      </c>
      <c r="G1567" s="42">
        <f>IF($C1567="","",IFERROR(INDEX(DESPACHOS!$F$3:$F$3002,MATCH($C1567,DESPACHOS!$B$3:$B$3002,0)),""))</f>
        <v/>
      </c>
      <c r="H1567" s="42">
        <f>IF($C1567="","",IFERROR(INDEX(DESPACHOS!$G$3:$G$3002,MATCH($C1567,DESPACHOS!$B$3:$B$3002,0)),""))</f>
        <v/>
      </c>
      <c r="I1567" s="39">
        <f>IF($C1567="","",IFERROR(INDEX(DESPACHOS!$H$3:$H$3002,MATCH($C1567,DESPACHOS!$B$3:$B$3002,0)),""))</f>
        <v/>
      </c>
      <c r="J1567" s="43">
        <f>IF($C1567="","",IFERROR(INDEX(DESPACHOS!$J$3:$J$3002,MATCH($C1567,DESPACHOS!$B$3:$B$3002,0)),""))</f>
        <v/>
      </c>
      <c r="K1567" s="39">
        <f>IF($C1567="","",IF(COUNTIFS(DESPACHOS!$B$3:$B$3002,$C1567)=0,"NO EXISTE",IF(COUNTIFS(DESPACHOS!$B$3:$B$3002,$C1567)&gt;1,"DUPLICADO","OK")))</f>
        <v/>
      </c>
      <c r="L1567" s="41" t="n"/>
      <c r="M1567" s="41" t="n"/>
      <c r="N1567" s="42">
        <f>IF($M1567="","",IFERROR(INDEX(LISTAS!$F$3:$F$42,MATCH($M1567,LISTAS!$E$3:$E$42,0)),"Por definir"))</f>
        <v/>
      </c>
      <c r="O1567" s="41" t="n"/>
      <c r="P1567" s="39">
        <f>IF($L1567="","",IFERROR(INDEX(LISTAS!$B$3:$B$42,MATCH($L1567,LISTAS!$A$3:$A$42,0)),"Media"))</f>
        <v/>
      </c>
      <c r="Q1567" s="44" t="n"/>
      <c r="R1567" s="45" t="n"/>
      <c r="S1567" s="20">
        <f>IFERROR(IF(OR($R1567="",$C1567=""),"",$R1567/INDEX(DESPACHOS!$M$3:$M$3002,MATCH($C1567,DESPACHOS!$B$3:$B$3002,0))),"")</f>
        <v/>
      </c>
      <c r="T1567" s="41" t="n"/>
      <c r="U1567" s="43">
        <f>IF(OR($B1567="",$L1567=""),"",WORKDAY($B1567,IFERROR(INDEX(LISTAS!$C$3:$C$42,MATCH($L1567,LISTAS!$A$3:$A$42,0)),3)))</f>
        <v/>
      </c>
      <c r="V1567" s="40" t="n"/>
      <c r="W1567" s="19">
        <f>IF($B1567="","",IF($V1567&lt;&gt;"",$V1567-$B1567,TODAY()-$B1567))</f>
        <v/>
      </c>
      <c r="X1567" s="19">
        <f>IF(OR($B1567="",$U1567=""),"",IF($V1567&lt;&gt;"",MAX(0,$V1567-$U1567),MAX(0,TODAY()-$U1567)))</f>
        <v/>
      </c>
      <c r="Y1567" s="39">
        <f>IF($C1567="","",IF(IFERROR(INDEX(LISTAS!$I$3:$I$42,MATCH($T1567,LISTAS!$H$3:$H$42,0)),"NO")="SÍ",IF(N($X1567)&gt;0,"CERRADA FUERA DE SLA","CERRADA EN SLA"),IF($U1567="","SIN CLASIFICAR",IF(N($X1567)&gt;0,"VENCIDA",IF(TODAY()&gt;=$U1567-1,"POR VENCER","EN PLAZO")))))</f>
        <v/>
      </c>
      <c r="Z1567" s="41" t="n"/>
      <c r="AA1567" s="41" t="n"/>
      <c r="AB1567" s="41" t="n"/>
    </row>
    <row r="1568">
      <c r="A1568" s="39">
        <f>IF($C1568="","","NOV-"&amp;TEXT(ROW()-3,"0000"))</f>
        <v/>
      </c>
      <c r="B1568" s="40" t="n"/>
      <c r="C1568" s="41" t="n"/>
      <c r="D1568" s="42">
        <f>IF($C1568="","",IFERROR(INDEX(DESPACHOS!$D$3:$D$3002,MATCH($C1568,DESPACHOS!$B$3:$B$3002,0)),"SIN DESPACHO"))</f>
        <v/>
      </c>
      <c r="E1568" s="42">
        <f>IF($C1568="","",IFERROR(INDEX(DESPACHOS!$K$3:$K$3002,MATCH($C1568,DESPACHOS!$B$3:$B$3002,0)),""))</f>
        <v/>
      </c>
      <c r="F1568" s="42">
        <f>IF($C1568="","",IFERROR(INDEX(DESPACHOS!$I$3:$I$3002,MATCH($C1568,DESPACHOS!$B$3:$B$3002,0)),""))</f>
        <v/>
      </c>
      <c r="G1568" s="42">
        <f>IF($C1568="","",IFERROR(INDEX(DESPACHOS!$F$3:$F$3002,MATCH($C1568,DESPACHOS!$B$3:$B$3002,0)),""))</f>
        <v/>
      </c>
      <c r="H1568" s="42">
        <f>IF($C1568="","",IFERROR(INDEX(DESPACHOS!$G$3:$G$3002,MATCH($C1568,DESPACHOS!$B$3:$B$3002,0)),""))</f>
        <v/>
      </c>
      <c r="I1568" s="39">
        <f>IF($C1568="","",IFERROR(INDEX(DESPACHOS!$H$3:$H$3002,MATCH($C1568,DESPACHOS!$B$3:$B$3002,0)),""))</f>
        <v/>
      </c>
      <c r="J1568" s="43">
        <f>IF($C1568="","",IFERROR(INDEX(DESPACHOS!$J$3:$J$3002,MATCH($C1568,DESPACHOS!$B$3:$B$3002,0)),""))</f>
        <v/>
      </c>
      <c r="K1568" s="39">
        <f>IF($C1568="","",IF(COUNTIFS(DESPACHOS!$B$3:$B$3002,$C1568)=0,"NO EXISTE",IF(COUNTIFS(DESPACHOS!$B$3:$B$3002,$C1568)&gt;1,"DUPLICADO","OK")))</f>
        <v/>
      </c>
      <c r="L1568" s="41" t="n"/>
      <c r="M1568" s="41" t="n"/>
      <c r="N1568" s="42">
        <f>IF($M1568="","",IFERROR(INDEX(LISTAS!$F$3:$F$42,MATCH($M1568,LISTAS!$E$3:$E$42,0)),"Por definir"))</f>
        <v/>
      </c>
      <c r="O1568" s="41" t="n"/>
      <c r="P1568" s="39">
        <f>IF($L1568="","",IFERROR(INDEX(LISTAS!$B$3:$B$42,MATCH($L1568,LISTAS!$A$3:$A$42,0)),"Media"))</f>
        <v/>
      </c>
      <c r="Q1568" s="44" t="n"/>
      <c r="R1568" s="45" t="n"/>
      <c r="S1568" s="20">
        <f>IFERROR(IF(OR($R1568="",$C1568=""),"",$R1568/INDEX(DESPACHOS!$M$3:$M$3002,MATCH($C1568,DESPACHOS!$B$3:$B$3002,0))),"")</f>
        <v/>
      </c>
      <c r="T1568" s="41" t="n"/>
      <c r="U1568" s="43">
        <f>IF(OR($B1568="",$L1568=""),"",WORKDAY($B1568,IFERROR(INDEX(LISTAS!$C$3:$C$42,MATCH($L1568,LISTAS!$A$3:$A$42,0)),3)))</f>
        <v/>
      </c>
      <c r="V1568" s="40" t="n"/>
      <c r="W1568" s="19">
        <f>IF($B1568="","",IF($V1568&lt;&gt;"",$V1568-$B1568,TODAY()-$B1568))</f>
        <v/>
      </c>
      <c r="X1568" s="19">
        <f>IF(OR($B1568="",$U1568=""),"",IF($V1568&lt;&gt;"",MAX(0,$V1568-$U1568),MAX(0,TODAY()-$U1568)))</f>
        <v/>
      </c>
      <c r="Y1568" s="39">
        <f>IF($C1568="","",IF(IFERROR(INDEX(LISTAS!$I$3:$I$42,MATCH($T1568,LISTAS!$H$3:$H$42,0)),"NO")="SÍ",IF(N($X1568)&gt;0,"CERRADA FUERA DE SLA","CERRADA EN SLA"),IF($U1568="","SIN CLASIFICAR",IF(N($X1568)&gt;0,"VENCIDA",IF(TODAY()&gt;=$U1568-1,"POR VENCER","EN PLAZO")))))</f>
        <v/>
      </c>
      <c r="Z1568" s="41" t="n"/>
      <c r="AA1568" s="41" t="n"/>
      <c r="AB1568" s="41" t="n"/>
    </row>
    <row r="1569">
      <c r="A1569" s="39">
        <f>IF($C1569="","","NOV-"&amp;TEXT(ROW()-3,"0000"))</f>
        <v/>
      </c>
      <c r="B1569" s="40" t="n"/>
      <c r="C1569" s="41" t="n"/>
      <c r="D1569" s="42">
        <f>IF($C1569="","",IFERROR(INDEX(DESPACHOS!$D$3:$D$3002,MATCH($C1569,DESPACHOS!$B$3:$B$3002,0)),"SIN DESPACHO"))</f>
        <v/>
      </c>
      <c r="E1569" s="42">
        <f>IF($C1569="","",IFERROR(INDEX(DESPACHOS!$K$3:$K$3002,MATCH($C1569,DESPACHOS!$B$3:$B$3002,0)),""))</f>
        <v/>
      </c>
      <c r="F1569" s="42">
        <f>IF($C1569="","",IFERROR(INDEX(DESPACHOS!$I$3:$I$3002,MATCH($C1569,DESPACHOS!$B$3:$B$3002,0)),""))</f>
        <v/>
      </c>
      <c r="G1569" s="42">
        <f>IF($C1569="","",IFERROR(INDEX(DESPACHOS!$F$3:$F$3002,MATCH($C1569,DESPACHOS!$B$3:$B$3002,0)),""))</f>
        <v/>
      </c>
      <c r="H1569" s="42">
        <f>IF($C1569="","",IFERROR(INDEX(DESPACHOS!$G$3:$G$3002,MATCH($C1569,DESPACHOS!$B$3:$B$3002,0)),""))</f>
        <v/>
      </c>
      <c r="I1569" s="39">
        <f>IF($C1569="","",IFERROR(INDEX(DESPACHOS!$H$3:$H$3002,MATCH($C1569,DESPACHOS!$B$3:$B$3002,0)),""))</f>
        <v/>
      </c>
      <c r="J1569" s="43">
        <f>IF($C1569="","",IFERROR(INDEX(DESPACHOS!$J$3:$J$3002,MATCH($C1569,DESPACHOS!$B$3:$B$3002,0)),""))</f>
        <v/>
      </c>
      <c r="K1569" s="39">
        <f>IF($C1569="","",IF(COUNTIFS(DESPACHOS!$B$3:$B$3002,$C1569)=0,"NO EXISTE",IF(COUNTIFS(DESPACHOS!$B$3:$B$3002,$C1569)&gt;1,"DUPLICADO","OK")))</f>
        <v/>
      </c>
      <c r="L1569" s="41" t="n"/>
      <c r="M1569" s="41" t="n"/>
      <c r="N1569" s="42">
        <f>IF($M1569="","",IFERROR(INDEX(LISTAS!$F$3:$F$42,MATCH($M1569,LISTAS!$E$3:$E$42,0)),"Por definir"))</f>
        <v/>
      </c>
      <c r="O1569" s="41" t="n"/>
      <c r="P1569" s="39">
        <f>IF($L1569="","",IFERROR(INDEX(LISTAS!$B$3:$B$42,MATCH($L1569,LISTAS!$A$3:$A$42,0)),"Media"))</f>
        <v/>
      </c>
      <c r="Q1569" s="44" t="n"/>
      <c r="R1569" s="45" t="n"/>
      <c r="S1569" s="20">
        <f>IFERROR(IF(OR($R1569="",$C1569=""),"",$R1569/INDEX(DESPACHOS!$M$3:$M$3002,MATCH($C1569,DESPACHOS!$B$3:$B$3002,0))),"")</f>
        <v/>
      </c>
      <c r="T1569" s="41" t="n"/>
      <c r="U1569" s="43">
        <f>IF(OR($B1569="",$L1569=""),"",WORKDAY($B1569,IFERROR(INDEX(LISTAS!$C$3:$C$42,MATCH($L1569,LISTAS!$A$3:$A$42,0)),3)))</f>
        <v/>
      </c>
      <c r="V1569" s="40" t="n"/>
      <c r="W1569" s="19">
        <f>IF($B1569="","",IF($V1569&lt;&gt;"",$V1569-$B1569,TODAY()-$B1569))</f>
        <v/>
      </c>
      <c r="X1569" s="19">
        <f>IF(OR($B1569="",$U1569=""),"",IF($V1569&lt;&gt;"",MAX(0,$V1569-$U1569),MAX(0,TODAY()-$U1569)))</f>
        <v/>
      </c>
      <c r="Y1569" s="39">
        <f>IF($C1569="","",IF(IFERROR(INDEX(LISTAS!$I$3:$I$42,MATCH($T1569,LISTAS!$H$3:$H$42,0)),"NO")="SÍ",IF(N($X1569)&gt;0,"CERRADA FUERA DE SLA","CERRADA EN SLA"),IF($U1569="","SIN CLASIFICAR",IF(N($X1569)&gt;0,"VENCIDA",IF(TODAY()&gt;=$U1569-1,"POR VENCER","EN PLAZO")))))</f>
        <v/>
      </c>
      <c r="Z1569" s="41" t="n"/>
      <c r="AA1569" s="41" t="n"/>
      <c r="AB1569" s="41" t="n"/>
    </row>
    <row r="1570">
      <c r="A1570" s="39">
        <f>IF($C1570="","","NOV-"&amp;TEXT(ROW()-3,"0000"))</f>
        <v/>
      </c>
      <c r="B1570" s="40" t="n"/>
      <c r="C1570" s="41" t="n"/>
      <c r="D1570" s="42">
        <f>IF($C1570="","",IFERROR(INDEX(DESPACHOS!$D$3:$D$3002,MATCH($C1570,DESPACHOS!$B$3:$B$3002,0)),"SIN DESPACHO"))</f>
        <v/>
      </c>
      <c r="E1570" s="42">
        <f>IF($C1570="","",IFERROR(INDEX(DESPACHOS!$K$3:$K$3002,MATCH($C1570,DESPACHOS!$B$3:$B$3002,0)),""))</f>
        <v/>
      </c>
      <c r="F1570" s="42">
        <f>IF($C1570="","",IFERROR(INDEX(DESPACHOS!$I$3:$I$3002,MATCH($C1570,DESPACHOS!$B$3:$B$3002,0)),""))</f>
        <v/>
      </c>
      <c r="G1570" s="42">
        <f>IF($C1570="","",IFERROR(INDEX(DESPACHOS!$F$3:$F$3002,MATCH($C1570,DESPACHOS!$B$3:$B$3002,0)),""))</f>
        <v/>
      </c>
      <c r="H1570" s="42">
        <f>IF($C1570="","",IFERROR(INDEX(DESPACHOS!$G$3:$G$3002,MATCH($C1570,DESPACHOS!$B$3:$B$3002,0)),""))</f>
        <v/>
      </c>
      <c r="I1570" s="39">
        <f>IF($C1570="","",IFERROR(INDEX(DESPACHOS!$H$3:$H$3002,MATCH($C1570,DESPACHOS!$B$3:$B$3002,0)),""))</f>
        <v/>
      </c>
      <c r="J1570" s="43">
        <f>IF($C1570="","",IFERROR(INDEX(DESPACHOS!$J$3:$J$3002,MATCH($C1570,DESPACHOS!$B$3:$B$3002,0)),""))</f>
        <v/>
      </c>
      <c r="K1570" s="39">
        <f>IF($C1570="","",IF(COUNTIFS(DESPACHOS!$B$3:$B$3002,$C1570)=0,"NO EXISTE",IF(COUNTIFS(DESPACHOS!$B$3:$B$3002,$C1570)&gt;1,"DUPLICADO","OK")))</f>
        <v/>
      </c>
      <c r="L1570" s="41" t="n"/>
      <c r="M1570" s="41" t="n"/>
      <c r="N1570" s="42">
        <f>IF($M1570="","",IFERROR(INDEX(LISTAS!$F$3:$F$42,MATCH($M1570,LISTAS!$E$3:$E$42,0)),"Por definir"))</f>
        <v/>
      </c>
      <c r="O1570" s="41" t="n"/>
      <c r="P1570" s="39">
        <f>IF($L1570="","",IFERROR(INDEX(LISTAS!$B$3:$B$42,MATCH($L1570,LISTAS!$A$3:$A$42,0)),"Media"))</f>
        <v/>
      </c>
      <c r="Q1570" s="44" t="n"/>
      <c r="R1570" s="45" t="n"/>
      <c r="S1570" s="20">
        <f>IFERROR(IF(OR($R1570="",$C1570=""),"",$R1570/INDEX(DESPACHOS!$M$3:$M$3002,MATCH($C1570,DESPACHOS!$B$3:$B$3002,0))),"")</f>
        <v/>
      </c>
      <c r="T1570" s="41" t="n"/>
      <c r="U1570" s="43">
        <f>IF(OR($B1570="",$L1570=""),"",WORKDAY($B1570,IFERROR(INDEX(LISTAS!$C$3:$C$42,MATCH($L1570,LISTAS!$A$3:$A$42,0)),3)))</f>
        <v/>
      </c>
      <c r="V1570" s="40" t="n"/>
      <c r="W1570" s="19">
        <f>IF($B1570="","",IF($V1570&lt;&gt;"",$V1570-$B1570,TODAY()-$B1570))</f>
        <v/>
      </c>
      <c r="X1570" s="19">
        <f>IF(OR($B1570="",$U1570=""),"",IF($V1570&lt;&gt;"",MAX(0,$V1570-$U1570),MAX(0,TODAY()-$U1570)))</f>
        <v/>
      </c>
      <c r="Y1570" s="39">
        <f>IF($C1570="","",IF(IFERROR(INDEX(LISTAS!$I$3:$I$42,MATCH($T1570,LISTAS!$H$3:$H$42,0)),"NO")="SÍ",IF(N($X1570)&gt;0,"CERRADA FUERA DE SLA","CERRADA EN SLA"),IF($U1570="","SIN CLASIFICAR",IF(N($X1570)&gt;0,"VENCIDA",IF(TODAY()&gt;=$U1570-1,"POR VENCER","EN PLAZO")))))</f>
        <v/>
      </c>
      <c r="Z1570" s="41" t="n"/>
      <c r="AA1570" s="41" t="n"/>
      <c r="AB1570" s="41" t="n"/>
    </row>
    <row r="1571">
      <c r="A1571" s="39">
        <f>IF($C1571="","","NOV-"&amp;TEXT(ROW()-3,"0000"))</f>
        <v/>
      </c>
      <c r="B1571" s="40" t="n"/>
      <c r="C1571" s="41" t="n"/>
      <c r="D1571" s="42">
        <f>IF($C1571="","",IFERROR(INDEX(DESPACHOS!$D$3:$D$3002,MATCH($C1571,DESPACHOS!$B$3:$B$3002,0)),"SIN DESPACHO"))</f>
        <v/>
      </c>
      <c r="E1571" s="42">
        <f>IF($C1571="","",IFERROR(INDEX(DESPACHOS!$K$3:$K$3002,MATCH($C1571,DESPACHOS!$B$3:$B$3002,0)),""))</f>
        <v/>
      </c>
      <c r="F1571" s="42">
        <f>IF($C1571="","",IFERROR(INDEX(DESPACHOS!$I$3:$I$3002,MATCH($C1571,DESPACHOS!$B$3:$B$3002,0)),""))</f>
        <v/>
      </c>
      <c r="G1571" s="42">
        <f>IF($C1571="","",IFERROR(INDEX(DESPACHOS!$F$3:$F$3002,MATCH($C1571,DESPACHOS!$B$3:$B$3002,0)),""))</f>
        <v/>
      </c>
      <c r="H1571" s="42">
        <f>IF($C1571="","",IFERROR(INDEX(DESPACHOS!$G$3:$G$3002,MATCH($C1571,DESPACHOS!$B$3:$B$3002,0)),""))</f>
        <v/>
      </c>
      <c r="I1571" s="39">
        <f>IF($C1571="","",IFERROR(INDEX(DESPACHOS!$H$3:$H$3002,MATCH($C1571,DESPACHOS!$B$3:$B$3002,0)),""))</f>
        <v/>
      </c>
      <c r="J1571" s="43">
        <f>IF($C1571="","",IFERROR(INDEX(DESPACHOS!$J$3:$J$3002,MATCH($C1571,DESPACHOS!$B$3:$B$3002,0)),""))</f>
        <v/>
      </c>
      <c r="K1571" s="39">
        <f>IF($C1571="","",IF(COUNTIFS(DESPACHOS!$B$3:$B$3002,$C1571)=0,"NO EXISTE",IF(COUNTIFS(DESPACHOS!$B$3:$B$3002,$C1571)&gt;1,"DUPLICADO","OK")))</f>
        <v/>
      </c>
      <c r="L1571" s="41" t="n"/>
      <c r="M1571" s="41" t="n"/>
      <c r="N1571" s="42">
        <f>IF($M1571="","",IFERROR(INDEX(LISTAS!$F$3:$F$42,MATCH($M1571,LISTAS!$E$3:$E$42,0)),"Por definir"))</f>
        <v/>
      </c>
      <c r="O1571" s="41" t="n"/>
      <c r="P1571" s="39">
        <f>IF($L1571="","",IFERROR(INDEX(LISTAS!$B$3:$B$42,MATCH($L1571,LISTAS!$A$3:$A$42,0)),"Media"))</f>
        <v/>
      </c>
      <c r="Q1571" s="44" t="n"/>
      <c r="R1571" s="45" t="n"/>
      <c r="S1571" s="20">
        <f>IFERROR(IF(OR($R1571="",$C1571=""),"",$R1571/INDEX(DESPACHOS!$M$3:$M$3002,MATCH($C1571,DESPACHOS!$B$3:$B$3002,0))),"")</f>
        <v/>
      </c>
      <c r="T1571" s="41" t="n"/>
      <c r="U1571" s="43">
        <f>IF(OR($B1571="",$L1571=""),"",WORKDAY($B1571,IFERROR(INDEX(LISTAS!$C$3:$C$42,MATCH($L1571,LISTAS!$A$3:$A$42,0)),3)))</f>
        <v/>
      </c>
      <c r="V1571" s="40" t="n"/>
      <c r="W1571" s="19">
        <f>IF($B1571="","",IF($V1571&lt;&gt;"",$V1571-$B1571,TODAY()-$B1571))</f>
        <v/>
      </c>
      <c r="X1571" s="19">
        <f>IF(OR($B1571="",$U1571=""),"",IF($V1571&lt;&gt;"",MAX(0,$V1571-$U1571),MAX(0,TODAY()-$U1571)))</f>
        <v/>
      </c>
      <c r="Y1571" s="39">
        <f>IF($C1571="","",IF(IFERROR(INDEX(LISTAS!$I$3:$I$42,MATCH($T1571,LISTAS!$H$3:$H$42,0)),"NO")="SÍ",IF(N($X1571)&gt;0,"CERRADA FUERA DE SLA","CERRADA EN SLA"),IF($U1571="","SIN CLASIFICAR",IF(N($X1571)&gt;0,"VENCIDA",IF(TODAY()&gt;=$U1571-1,"POR VENCER","EN PLAZO")))))</f>
        <v/>
      </c>
      <c r="Z1571" s="41" t="n"/>
      <c r="AA1571" s="41" t="n"/>
      <c r="AB1571" s="41" t="n"/>
    </row>
    <row r="1572">
      <c r="A1572" s="39">
        <f>IF($C1572="","","NOV-"&amp;TEXT(ROW()-3,"0000"))</f>
        <v/>
      </c>
      <c r="B1572" s="40" t="n"/>
      <c r="C1572" s="41" t="n"/>
      <c r="D1572" s="42">
        <f>IF($C1572="","",IFERROR(INDEX(DESPACHOS!$D$3:$D$3002,MATCH($C1572,DESPACHOS!$B$3:$B$3002,0)),"SIN DESPACHO"))</f>
        <v/>
      </c>
      <c r="E1572" s="42">
        <f>IF($C1572="","",IFERROR(INDEX(DESPACHOS!$K$3:$K$3002,MATCH($C1572,DESPACHOS!$B$3:$B$3002,0)),""))</f>
        <v/>
      </c>
      <c r="F1572" s="42">
        <f>IF($C1572="","",IFERROR(INDEX(DESPACHOS!$I$3:$I$3002,MATCH($C1572,DESPACHOS!$B$3:$B$3002,0)),""))</f>
        <v/>
      </c>
      <c r="G1572" s="42">
        <f>IF($C1572="","",IFERROR(INDEX(DESPACHOS!$F$3:$F$3002,MATCH($C1572,DESPACHOS!$B$3:$B$3002,0)),""))</f>
        <v/>
      </c>
      <c r="H1572" s="42">
        <f>IF($C1572="","",IFERROR(INDEX(DESPACHOS!$G$3:$G$3002,MATCH($C1572,DESPACHOS!$B$3:$B$3002,0)),""))</f>
        <v/>
      </c>
      <c r="I1572" s="39">
        <f>IF($C1572="","",IFERROR(INDEX(DESPACHOS!$H$3:$H$3002,MATCH($C1572,DESPACHOS!$B$3:$B$3002,0)),""))</f>
        <v/>
      </c>
      <c r="J1572" s="43">
        <f>IF($C1572="","",IFERROR(INDEX(DESPACHOS!$J$3:$J$3002,MATCH($C1572,DESPACHOS!$B$3:$B$3002,0)),""))</f>
        <v/>
      </c>
      <c r="K1572" s="39">
        <f>IF($C1572="","",IF(COUNTIFS(DESPACHOS!$B$3:$B$3002,$C1572)=0,"NO EXISTE",IF(COUNTIFS(DESPACHOS!$B$3:$B$3002,$C1572)&gt;1,"DUPLICADO","OK")))</f>
        <v/>
      </c>
      <c r="L1572" s="41" t="n"/>
      <c r="M1572" s="41" t="n"/>
      <c r="N1572" s="42">
        <f>IF($M1572="","",IFERROR(INDEX(LISTAS!$F$3:$F$42,MATCH($M1572,LISTAS!$E$3:$E$42,0)),"Por definir"))</f>
        <v/>
      </c>
      <c r="O1572" s="41" t="n"/>
      <c r="P1572" s="39">
        <f>IF($L1572="","",IFERROR(INDEX(LISTAS!$B$3:$B$42,MATCH($L1572,LISTAS!$A$3:$A$42,0)),"Media"))</f>
        <v/>
      </c>
      <c r="Q1572" s="44" t="n"/>
      <c r="R1572" s="45" t="n"/>
      <c r="S1572" s="20">
        <f>IFERROR(IF(OR($R1572="",$C1572=""),"",$R1572/INDEX(DESPACHOS!$M$3:$M$3002,MATCH($C1572,DESPACHOS!$B$3:$B$3002,0))),"")</f>
        <v/>
      </c>
      <c r="T1572" s="41" t="n"/>
      <c r="U1572" s="43">
        <f>IF(OR($B1572="",$L1572=""),"",WORKDAY($B1572,IFERROR(INDEX(LISTAS!$C$3:$C$42,MATCH($L1572,LISTAS!$A$3:$A$42,0)),3)))</f>
        <v/>
      </c>
      <c r="V1572" s="40" t="n"/>
      <c r="W1572" s="19">
        <f>IF($B1572="","",IF($V1572&lt;&gt;"",$V1572-$B1572,TODAY()-$B1572))</f>
        <v/>
      </c>
      <c r="X1572" s="19">
        <f>IF(OR($B1572="",$U1572=""),"",IF($V1572&lt;&gt;"",MAX(0,$V1572-$U1572),MAX(0,TODAY()-$U1572)))</f>
        <v/>
      </c>
      <c r="Y1572" s="39">
        <f>IF($C1572="","",IF(IFERROR(INDEX(LISTAS!$I$3:$I$42,MATCH($T1572,LISTAS!$H$3:$H$42,0)),"NO")="SÍ",IF(N($X1572)&gt;0,"CERRADA FUERA DE SLA","CERRADA EN SLA"),IF($U1572="","SIN CLASIFICAR",IF(N($X1572)&gt;0,"VENCIDA",IF(TODAY()&gt;=$U1572-1,"POR VENCER","EN PLAZO")))))</f>
        <v/>
      </c>
      <c r="Z1572" s="41" t="n"/>
      <c r="AA1572" s="41" t="n"/>
      <c r="AB1572" s="41" t="n"/>
    </row>
    <row r="1573">
      <c r="A1573" s="39">
        <f>IF($C1573="","","NOV-"&amp;TEXT(ROW()-3,"0000"))</f>
        <v/>
      </c>
      <c r="B1573" s="40" t="n"/>
      <c r="C1573" s="41" t="n"/>
      <c r="D1573" s="42">
        <f>IF($C1573="","",IFERROR(INDEX(DESPACHOS!$D$3:$D$3002,MATCH($C1573,DESPACHOS!$B$3:$B$3002,0)),"SIN DESPACHO"))</f>
        <v/>
      </c>
      <c r="E1573" s="42">
        <f>IF($C1573="","",IFERROR(INDEX(DESPACHOS!$K$3:$K$3002,MATCH($C1573,DESPACHOS!$B$3:$B$3002,0)),""))</f>
        <v/>
      </c>
      <c r="F1573" s="42">
        <f>IF($C1573="","",IFERROR(INDEX(DESPACHOS!$I$3:$I$3002,MATCH($C1573,DESPACHOS!$B$3:$B$3002,0)),""))</f>
        <v/>
      </c>
      <c r="G1573" s="42">
        <f>IF($C1573="","",IFERROR(INDEX(DESPACHOS!$F$3:$F$3002,MATCH($C1573,DESPACHOS!$B$3:$B$3002,0)),""))</f>
        <v/>
      </c>
      <c r="H1573" s="42">
        <f>IF($C1573="","",IFERROR(INDEX(DESPACHOS!$G$3:$G$3002,MATCH($C1573,DESPACHOS!$B$3:$B$3002,0)),""))</f>
        <v/>
      </c>
      <c r="I1573" s="39">
        <f>IF($C1573="","",IFERROR(INDEX(DESPACHOS!$H$3:$H$3002,MATCH($C1573,DESPACHOS!$B$3:$B$3002,0)),""))</f>
        <v/>
      </c>
      <c r="J1573" s="43">
        <f>IF($C1573="","",IFERROR(INDEX(DESPACHOS!$J$3:$J$3002,MATCH($C1573,DESPACHOS!$B$3:$B$3002,0)),""))</f>
        <v/>
      </c>
      <c r="K1573" s="39">
        <f>IF($C1573="","",IF(COUNTIFS(DESPACHOS!$B$3:$B$3002,$C1573)=0,"NO EXISTE",IF(COUNTIFS(DESPACHOS!$B$3:$B$3002,$C1573)&gt;1,"DUPLICADO","OK")))</f>
        <v/>
      </c>
      <c r="L1573" s="41" t="n"/>
      <c r="M1573" s="41" t="n"/>
      <c r="N1573" s="42">
        <f>IF($M1573="","",IFERROR(INDEX(LISTAS!$F$3:$F$42,MATCH($M1573,LISTAS!$E$3:$E$42,0)),"Por definir"))</f>
        <v/>
      </c>
      <c r="O1573" s="41" t="n"/>
      <c r="P1573" s="39">
        <f>IF($L1573="","",IFERROR(INDEX(LISTAS!$B$3:$B$42,MATCH($L1573,LISTAS!$A$3:$A$42,0)),"Media"))</f>
        <v/>
      </c>
      <c r="Q1573" s="44" t="n"/>
      <c r="R1573" s="45" t="n"/>
      <c r="S1573" s="20">
        <f>IFERROR(IF(OR($R1573="",$C1573=""),"",$R1573/INDEX(DESPACHOS!$M$3:$M$3002,MATCH($C1573,DESPACHOS!$B$3:$B$3002,0))),"")</f>
        <v/>
      </c>
      <c r="T1573" s="41" t="n"/>
      <c r="U1573" s="43">
        <f>IF(OR($B1573="",$L1573=""),"",WORKDAY($B1573,IFERROR(INDEX(LISTAS!$C$3:$C$42,MATCH($L1573,LISTAS!$A$3:$A$42,0)),3)))</f>
        <v/>
      </c>
      <c r="V1573" s="40" t="n"/>
      <c r="W1573" s="19">
        <f>IF($B1573="","",IF($V1573&lt;&gt;"",$V1573-$B1573,TODAY()-$B1573))</f>
        <v/>
      </c>
      <c r="X1573" s="19">
        <f>IF(OR($B1573="",$U1573=""),"",IF($V1573&lt;&gt;"",MAX(0,$V1573-$U1573),MAX(0,TODAY()-$U1573)))</f>
        <v/>
      </c>
      <c r="Y1573" s="39">
        <f>IF($C1573="","",IF(IFERROR(INDEX(LISTAS!$I$3:$I$42,MATCH($T1573,LISTAS!$H$3:$H$42,0)),"NO")="SÍ",IF(N($X1573)&gt;0,"CERRADA FUERA DE SLA","CERRADA EN SLA"),IF($U1573="","SIN CLASIFICAR",IF(N($X1573)&gt;0,"VENCIDA",IF(TODAY()&gt;=$U1573-1,"POR VENCER","EN PLAZO")))))</f>
        <v/>
      </c>
      <c r="Z1573" s="41" t="n"/>
      <c r="AA1573" s="41" t="n"/>
      <c r="AB1573" s="41" t="n"/>
    </row>
    <row r="1574">
      <c r="A1574" s="39">
        <f>IF($C1574="","","NOV-"&amp;TEXT(ROW()-3,"0000"))</f>
        <v/>
      </c>
      <c r="B1574" s="40" t="n"/>
      <c r="C1574" s="41" t="n"/>
      <c r="D1574" s="42">
        <f>IF($C1574="","",IFERROR(INDEX(DESPACHOS!$D$3:$D$3002,MATCH($C1574,DESPACHOS!$B$3:$B$3002,0)),"SIN DESPACHO"))</f>
        <v/>
      </c>
      <c r="E1574" s="42">
        <f>IF($C1574="","",IFERROR(INDEX(DESPACHOS!$K$3:$K$3002,MATCH($C1574,DESPACHOS!$B$3:$B$3002,0)),""))</f>
        <v/>
      </c>
      <c r="F1574" s="42">
        <f>IF($C1574="","",IFERROR(INDEX(DESPACHOS!$I$3:$I$3002,MATCH($C1574,DESPACHOS!$B$3:$B$3002,0)),""))</f>
        <v/>
      </c>
      <c r="G1574" s="42">
        <f>IF($C1574="","",IFERROR(INDEX(DESPACHOS!$F$3:$F$3002,MATCH($C1574,DESPACHOS!$B$3:$B$3002,0)),""))</f>
        <v/>
      </c>
      <c r="H1574" s="42">
        <f>IF($C1574="","",IFERROR(INDEX(DESPACHOS!$G$3:$G$3002,MATCH($C1574,DESPACHOS!$B$3:$B$3002,0)),""))</f>
        <v/>
      </c>
      <c r="I1574" s="39">
        <f>IF($C1574="","",IFERROR(INDEX(DESPACHOS!$H$3:$H$3002,MATCH($C1574,DESPACHOS!$B$3:$B$3002,0)),""))</f>
        <v/>
      </c>
      <c r="J1574" s="43">
        <f>IF($C1574="","",IFERROR(INDEX(DESPACHOS!$J$3:$J$3002,MATCH($C1574,DESPACHOS!$B$3:$B$3002,0)),""))</f>
        <v/>
      </c>
      <c r="K1574" s="39">
        <f>IF($C1574="","",IF(COUNTIFS(DESPACHOS!$B$3:$B$3002,$C1574)=0,"NO EXISTE",IF(COUNTIFS(DESPACHOS!$B$3:$B$3002,$C1574)&gt;1,"DUPLICADO","OK")))</f>
        <v/>
      </c>
      <c r="L1574" s="41" t="n"/>
      <c r="M1574" s="41" t="n"/>
      <c r="N1574" s="42">
        <f>IF($M1574="","",IFERROR(INDEX(LISTAS!$F$3:$F$42,MATCH($M1574,LISTAS!$E$3:$E$42,0)),"Por definir"))</f>
        <v/>
      </c>
      <c r="O1574" s="41" t="n"/>
      <c r="P1574" s="39">
        <f>IF($L1574="","",IFERROR(INDEX(LISTAS!$B$3:$B$42,MATCH($L1574,LISTAS!$A$3:$A$42,0)),"Media"))</f>
        <v/>
      </c>
      <c r="Q1574" s="44" t="n"/>
      <c r="R1574" s="45" t="n"/>
      <c r="S1574" s="20">
        <f>IFERROR(IF(OR($R1574="",$C1574=""),"",$R1574/INDEX(DESPACHOS!$M$3:$M$3002,MATCH($C1574,DESPACHOS!$B$3:$B$3002,0))),"")</f>
        <v/>
      </c>
      <c r="T1574" s="41" t="n"/>
      <c r="U1574" s="43">
        <f>IF(OR($B1574="",$L1574=""),"",WORKDAY($B1574,IFERROR(INDEX(LISTAS!$C$3:$C$42,MATCH($L1574,LISTAS!$A$3:$A$42,0)),3)))</f>
        <v/>
      </c>
      <c r="V1574" s="40" t="n"/>
      <c r="W1574" s="19">
        <f>IF($B1574="","",IF($V1574&lt;&gt;"",$V1574-$B1574,TODAY()-$B1574))</f>
        <v/>
      </c>
      <c r="X1574" s="19">
        <f>IF(OR($B1574="",$U1574=""),"",IF($V1574&lt;&gt;"",MAX(0,$V1574-$U1574),MAX(0,TODAY()-$U1574)))</f>
        <v/>
      </c>
      <c r="Y1574" s="39">
        <f>IF($C1574="","",IF(IFERROR(INDEX(LISTAS!$I$3:$I$42,MATCH($T1574,LISTAS!$H$3:$H$42,0)),"NO")="SÍ",IF(N($X1574)&gt;0,"CERRADA FUERA DE SLA","CERRADA EN SLA"),IF($U1574="","SIN CLASIFICAR",IF(N($X1574)&gt;0,"VENCIDA",IF(TODAY()&gt;=$U1574-1,"POR VENCER","EN PLAZO")))))</f>
        <v/>
      </c>
      <c r="Z1574" s="41" t="n"/>
      <c r="AA1574" s="41" t="n"/>
      <c r="AB1574" s="41" t="n"/>
    </row>
    <row r="1575">
      <c r="A1575" s="39">
        <f>IF($C1575="","","NOV-"&amp;TEXT(ROW()-3,"0000"))</f>
        <v/>
      </c>
      <c r="B1575" s="40" t="n"/>
      <c r="C1575" s="41" t="n"/>
      <c r="D1575" s="42">
        <f>IF($C1575="","",IFERROR(INDEX(DESPACHOS!$D$3:$D$3002,MATCH($C1575,DESPACHOS!$B$3:$B$3002,0)),"SIN DESPACHO"))</f>
        <v/>
      </c>
      <c r="E1575" s="42">
        <f>IF($C1575="","",IFERROR(INDEX(DESPACHOS!$K$3:$K$3002,MATCH($C1575,DESPACHOS!$B$3:$B$3002,0)),""))</f>
        <v/>
      </c>
      <c r="F1575" s="42">
        <f>IF($C1575="","",IFERROR(INDEX(DESPACHOS!$I$3:$I$3002,MATCH($C1575,DESPACHOS!$B$3:$B$3002,0)),""))</f>
        <v/>
      </c>
      <c r="G1575" s="42">
        <f>IF($C1575="","",IFERROR(INDEX(DESPACHOS!$F$3:$F$3002,MATCH($C1575,DESPACHOS!$B$3:$B$3002,0)),""))</f>
        <v/>
      </c>
      <c r="H1575" s="42">
        <f>IF($C1575="","",IFERROR(INDEX(DESPACHOS!$G$3:$G$3002,MATCH($C1575,DESPACHOS!$B$3:$B$3002,0)),""))</f>
        <v/>
      </c>
      <c r="I1575" s="39">
        <f>IF($C1575="","",IFERROR(INDEX(DESPACHOS!$H$3:$H$3002,MATCH($C1575,DESPACHOS!$B$3:$B$3002,0)),""))</f>
        <v/>
      </c>
      <c r="J1575" s="43">
        <f>IF($C1575="","",IFERROR(INDEX(DESPACHOS!$J$3:$J$3002,MATCH($C1575,DESPACHOS!$B$3:$B$3002,0)),""))</f>
        <v/>
      </c>
      <c r="K1575" s="39">
        <f>IF($C1575="","",IF(COUNTIFS(DESPACHOS!$B$3:$B$3002,$C1575)=0,"NO EXISTE",IF(COUNTIFS(DESPACHOS!$B$3:$B$3002,$C1575)&gt;1,"DUPLICADO","OK")))</f>
        <v/>
      </c>
      <c r="L1575" s="41" t="n"/>
      <c r="M1575" s="41" t="n"/>
      <c r="N1575" s="42">
        <f>IF($M1575="","",IFERROR(INDEX(LISTAS!$F$3:$F$42,MATCH($M1575,LISTAS!$E$3:$E$42,0)),"Por definir"))</f>
        <v/>
      </c>
      <c r="O1575" s="41" t="n"/>
      <c r="P1575" s="39">
        <f>IF($L1575="","",IFERROR(INDEX(LISTAS!$B$3:$B$42,MATCH($L1575,LISTAS!$A$3:$A$42,0)),"Media"))</f>
        <v/>
      </c>
      <c r="Q1575" s="44" t="n"/>
      <c r="R1575" s="45" t="n"/>
      <c r="S1575" s="20">
        <f>IFERROR(IF(OR($R1575="",$C1575=""),"",$R1575/INDEX(DESPACHOS!$M$3:$M$3002,MATCH($C1575,DESPACHOS!$B$3:$B$3002,0))),"")</f>
        <v/>
      </c>
      <c r="T1575" s="41" t="n"/>
      <c r="U1575" s="43">
        <f>IF(OR($B1575="",$L1575=""),"",WORKDAY($B1575,IFERROR(INDEX(LISTAS!$C$3:$C$42,MATCH($L1575,LISTAS!$A$3:$A$42,0)),3)))</f>
        <v/>
      </c>
      <c r="V1575" s="40" t="n"/>
      <c r="W1575" s="19">
        <f>IF($B1575="","",IF($V1575&lt;&gt;"",$V1575-$B1575,TODAY()-$B1575))</f>
        <v/>
      </c>
      <c r="X1575" s="19">
        <f>IF(OR($B1575="",$U1575=""),"",IF($V1575&lt;&gt;"",MAX(0,$V1575-$U1575),MAX(0,TODAY()-$U1575)))</f>
        <v/>
      </c>
      <c r="Y1575" s="39">
        <f>IF($C1575="","",IF(IFERROR(INDEX(LISTAS!$I$3:$I$42,MATCH($T1575,LISTAS!$H$3:$H$42,0)),"NO")="SÍ",IF(N($X1575)&gt;0,"CERRADA FUERA DE SLA","CERRADA EN SLA"),IF($U1575="","SIN CLASIFICAR",IF(N($X1575)&gt;0,"VENCIDA",IF(TODAY()&gt;=$U1575-1,"POR VENCER","EN PLAZO")))))</f>
        <v/>
      </c>
      <c r="Z1575" s="41" t="n"/>
      <c r="AA1575" s="41" t="n"/>
      <c r="AB1575" s="41" t="n"/>
    </row>
    <row r="1576">
      <c r="A1576" s="39">
        <f>IF($C1576="","","NOV-"&amp;TEXT(ROW()-3,"0000"))</f>
        <v/>
      </c>
      <c r="B1576" s="40" t="n"/>
      <c r="C1576" s="41" t="n"/>
      <c r="D1576" s="42">
        <f>IF($C1576="","",IFERROR(INDEX(DESPACHOS!$D$3:$D$3002,MATCH($C1576,DESPACHOS!$B$3:$B$3002,0)),"SIN DESPACHO"))</f>
        <v/>
      </c>
      <c r="E1576" s="42">
        <f>IF($C1576="","",IFERROR(INDEX(DESPACHOS!$K$3:$K$3002,MATCH($C1576,DESPACHOS!$B$3:$B$3002,0)),""))</f>
        <v/>
      </c>
      <c r="F1576" s="42">
        <f>IF($C1576="","",IFERROR(INDEX(DESPACHOS!$I$3:$I$3002,MATCH($C1576,DESPACHOS!$B$3:$B$3002,0)),""))</f>
        <v/>
      </c>
      <c r="G1576" s="42">
        <f>IF($C1576="","",IFERROR(INDEX(DESPACHOS!$F$3:$F$3002,MATCH($C1576,DESPACHOS!$B$3:$B$3002,0)),""))</f>
        <v/>
      </c>
      <c r="H1576" s="42">
        <f>IF($C1576="","",IFERROR(INDEX(DESPACHOS!$G$3:$G$3002,MATCH($C1576,DESPACHOS!$B$3:$B$3002,0)),""))</f>
        <v/>
      </c>
      <c r="I1576" s="39">
        <f>IF($C1576="","",IFERROR(INDEX(DESPACHOS!$H$3:$H$3002,MATCH($C1576,DESPACHOS!$B$3:$B$3002,0)),""))</f>
        <v/>
      </c>
      <c r="J1576" s="43">
        <f>IF($C1576="","",IFERROR(INDEX(DESPACHOS!$J$3:$J$3002,MATCH($C1576,DESPACHOS!$B$3:$B$3002,0)),""))</f>
        <v/>
      </c>
      <c r="K1576" s="39">
        <f>IF($C1576="","",IF(COUNTIFS(DESPACHOS!$B$3:$B$3002,$C1576)=0,"NO EXISTE",IF(COUNTIFS(DESPACHOS!$B$3:$B$3002,$C1576)&gt;1,"DUPLICADO","OK")))</f>
        <v/>
      </c>
      <c r="L1576" s="41" t="n"/>
      <c r="M1576" s="41" t="n"/>
      <c r="N1576" s="42">
        <f>IF($M1576="","",IFERROR(INDEX(LISTAS!$F$3:$F$42,MATCH($M1576,LISTAS!$E$3:$E$42,0)),"Por definir"))</f>
        <v/>
      </c>
      <c r="O1576" s="41" t="n"/>
      <c r="P1576" s="39">
        <f>IF($L1576="","",IFERROR(INDEX(LISTAS!$B$3:$B$42,MATCH($L1576,LISTAS!$A$3:$A$42,0)),"Media"))</f>
        <v/>
      </c>
      <c r="Q1576" s="44" t="n"/>
      <c r="R1576" s="45" t="n"/>
      <c r="S1576" s="20">
        <f>IFERROR(IF(OR($R1576="",$C1576=""),"",$R1576/INDEX(DESPACHOS!$M$3:$M$3002,MATCH($C1576,DESPACHOS!$B$3:$B$3002,0))),"")</f>
        <v/>
      </c>
      <c r="T1576" s="41" t="n"/>
      <c r="U1576" s="43">
        <f>IF(OR($B1576="",$L1576=""),"",WORKDAY($B1576,IFERROR(INDEX(LISTAS!$C$3:$C$42,MATCH($L1576,LISTAS!$A$3:$A$42,0)),3)))</f>
        <v/>
      </c>
      <c r="V1576" s="40" t="n"/>
      <c r="W1576" s="19">
        <f>IF($B1576="","",IF($V1576&lt;&gt;"",$V1576-$B1576,TODAY()-$B1576))</f>
        <v/>
      </c>
      <c r="X1576" s="19">
        <f>IF(OR($B1576="",$U1576=""),"",IF($V1576&lt;&gt;"",MAX(0,$V1576-$U1576),MAX(0,TODAY()-$U1576)))</f>
        <v/>
      </c>
      <c r="Y1576" s="39">
        <f>IF($C1576="","",IF(IFERROR(INDEX(LISTAS!$I$3:$I$42,MATCH($T1576,LISTAS!$H$3:$H$42,0)),"NO")="SÍ",IF(N($X1576)&gt;0,"CERRADA FUERA DE SLA","CERRADA EN SLA"),IF($U1576="","SIN CLASIFICAR",IF(N($X1576)&gt;0,"VENCIDA",IF(TODAY()&gt;=$U1576-1,"POR VENCER","EN PLAZO")))))</f>
        <v/>
      </c>
      <c r="Z1576" s="41" t="n"/>
      <c r="AA1576" s="41" t="n"/>
      <c r="AB1576" s="41" t="n"/>
    </row>
    <row r="1577">
      <c r="A1577" s="39">
        <f>IF($C1577="","","NOV-"&amp;TEXT(ROW()-3,"0000"))</f>
        <v/>
      </c>
      <c r="B1577" s="40" t="n"/>
      <c r="C1577" s="41" t="n"/>
      <c r="D1577" s="42">
        <f>IF($C1577="","",IFERROR(INDEX(DESPACHOS!$D$3:$D$3002,MATCH($C1577,DESPACHOS!$B$3:$B$3002,0)),"SIN DESPACHO"))</f>
        <v/>
      </c>
      <c r="E1577" s="42">
        <f>IF($C1577="","",IFERROR(INDEX(DESPACHOS!$K$3:$K$3002,MATCH($C1577,DESPACHOS!$B$3:$B$3002,0)),""))</f>
        <v/>
      </c>
      <c r="F1577" s="42">
        <f>IF($C1577="","",IFERROR(INDEX(DESPACHOS!$I$3:$I$3002,MATCH($C1577,DESPACHOS!$B$3:$B$3002,0)),""))</f>
        <v/>
      </c>
      <c r="G1577" s="42">
        <f>IF($C1577="","",IFERROR(INDEX(DESPACHOS!$F$3:$F$3002,MATCH($C1577,DESPACHOS!$B$3:$B$3002,0)),""))</f>
        <v/>
      </c>
      <c r="H1577" s="42">
        <f>IF($C1577="","",IFERROR(INDEX(DESPACHOS!$G$3:$G$3002,MATCH($C1577,DESPACHOS!$B$3:$B$3002,0)),""))</f>
        <v/>
      </c>
      <c r="I1577" s="39">
        <f>IF($C1577="","",IFERROR(INDEX(DESPACHOS!$H$3:$H$3002,MATCH($C1577,DESPACHOS!$B$3:$B$3002,0)),""))</f>
        <v/>
      </c>
      <c r="J1577" s="43">
        <f>IF($C1577="","",IFERROR(INDEX(DESPACHOS!$J$3:$J$3002,MATCH($C1577,DESPACHOS!$B$3:$B$3002,0)),""))</f>
        <v/>
      </c>
      <c r="K1577" s="39">
        <f>IF($C1577="","",IF(COUNTIFS(DESPACHOS!$B$3:$B$3002,$C1577)=0,"NO EXISTE",IF(COUNTIFS(DESPACHOS!$B$3:$B$3002,$C1577)&gt;1,"DUPLICADO","OK")))</f>
        <v/>
      </c>
      <c r="L1577" s="41" t="n"/>
      <c r="M1577" s="41" t="n"/>
      <c r="N1577" s="42">
        <f>IF($M1577="","",IFERROR(INDEX(LISTAS!$F$3:$F$42,MATCH($M1577,LISTAS!$E$3:$E$42,0)),"Por definir"))</f>
        <v/>
      </c>
      <c r="O1577" s="41" t="n"/>
      <c r="P1577" s="39">
        <f>IF($L1577="","",IFERROR(INDEX(LISTAS!$B$3:$B$42,MATCH($L1577,LISTAS!$A$3:$A$42,0)),"Media"))</f>
        <v/>
      </c>
      <c r="Q1577" s="44" t="n"/>
      <c r="R1577" s="45" t="n"/>
      <c r="S1577" s="20">
        <f>IFERROR(IF(OR($R1577="",$C1577=""),"",$R1577/INDEX(DESPACHOS!$M$3:$M$3002,MATCH($C1577,DESPACHOS!$B$3:$B$3002,0))),"")</f>
        <v/>
      </c>
      <c r="T1577" s="41" t="n"/>
      <c r="U1577" s="43">
        <f>IF(OR($B1577="",$L1577=""),"",WORKDAY($B1577,IFERROR(INDEX(LISTAS!$C$3:$C$42,MATCH($L1577,LISTAS!$A$3:$A$42,0)),3)))</f>
        <v/>
      </c>
      <c r="V1577" s="40" t="n"/>
      <c r="W1577" s="19">
        <f>IF($B1577="","",IF($V1577&lt;&gt;"",$V1577-$B1577,TODAY()-$B1577))</f>
        <v/>
      </c>
      <c r="X1577" s="19">
        <f>IF(OR($B1577="",$U1577=""),"",IF($V1577&lt;&gt;"",MAX(0,$V1577-$U1577),MAX(0,TODAY()-$U1577)))</f>
        <v/>
      </c>
      <c r="Y1577" s="39">
        <f>IF($C1577="","",IF(IFERROR(INDEX(LISTAS!$I$3:$I$42,MATCH($T1577,LISTAS!$H$3:$H$42,0)),"NO")="SÍ",IF(N($X1577)&gt;0,"CERRADA FUERA DE SLA","CERRADA EN SLA"),IF($U1577="","SIN CLASIFICAR",IF(N($X1577)&gt;0,"VENCIDA",IF(TODAY()&gt;=$U1577-1,"POR VENCER","EN PLAZO")))))</f>
        <v/>
      </c>
      <c r="Z1577" s="41" t="n"/>
      <c r="AA1577" s="41" t="n"/>
      <c r="AB1577" s="41" t="n"/>
    </row>
    <row r="1578">
      <c r="A1578" s="39">
        <f>IF($C1578="","","NOV-"&amp;TEXT(ROW()-3,"0000"))</f>
        <v/>
      </c>
      <c r="B1578" s="40" t="n"/>
      <c r="C1578" s="41" t="n"/>
      <c r="D1578" s="42">
        <f>IF($C1578="","",IFERROR(INDEX(DESPACHOS!$D$3:$D$3002,MATCH($C1578,DESPACHOS!$B$3:$B$3002,0)),"SIN DESPACHO"))</f>
        <v/>
      </c>
      <c r="E1578" s="42">
        <f>IF($C1578="","",IFERROR(INDEX(DESPACHOS!$K$3:$K$3002,MATCH($C1578,DESPACHOS!$B$3:$B$3002,0)),""))</f>
        <v/>
      </c>
      <c r="F1578" s="42">
        <f>IF($C1578="","",IFERROR(INDEX(DESPACHOS!$I$3:$I$3002,MATCH($C1578,DESPACHOS!$B$3:$B$3002,0)),""))</f>
        <v/>
      </c>
      <c r="G1578" s="42">
        <f>IF($C1578="","",IFERROR(INDEX(DESPACHOS!$F$3:$F$3002,MATCH($C1578,DESPACHOS!$B$3:$B$3002,0)),""))</f>
        <v/>
      </c>
      <c r="H1578" s="42">
        <f>IF($C1578="","",IFERROR(INDEX(DESPACHOS!$G$3:$G$3002,MATCH($C1578,DESPACHOS!$B$3:$B$3002,0)),""))</f>
        <v/>
      </c>
      <c r="I1578" s="39">
        <f>IF($C1578="","",IFERROR(INDEX(DESPACHOS!$H$3:$H$3002,MATCH($C1578,DESPACHOS!$B$3:$B$3002,0)),""))</f>
        <v/>
      </c>
      <c r="J1578" s="43">
        <f>IF($C1578="","",IFERROR(INDEX(DESPACHOS!$J$3:$J$3002,MATCH($C1578,DESPACHOS!$B$3:$B$3002,0)),""))</f>
        <v/>
      </c>
      <c r="K1578" s="39">
        <f>IF($C1578="","",IF(COUNTIFS(DESPACHOS!$B$3:$B$3002,$C1578)=0,"NO EXISTE",IF(COUNTIFS(DESPACHOS!$B$3:$B$3002,$C1578)&gt;1,"DUPLICADO","OK")))</f>
        <v/>
      </c>
      <c r="L1578" s="41" t="n"/>
      <c r="M1578" s="41" t="n"/>
      <c r="N1578" s="42">
        <f>IF($M1578="","",IFERROR(INDEX(LISTAS!$F$3:$F$42,MATCH($M1578,LISTAS!$E$3:$E$42,0)),"Por definir"))</f>
        <v/>
      </c>
      <c r="O1578" s="41" t="n"/>
      <c r="P1578" s="39">
        <f>IF($L1578="","",IFERROR(INDEX(LISTAS!$B$3:$B$42,MATCH($L1578,LISTAS!$A$3:$A$42,0)),"Media"))</f>
        <v/>
      </c>
      <c r="Q1578" s="44" t="n"/>
      <c r="R1578" s="45" t="n"/>
      <c r="S1578" s="20">
        <f>IFERROR(IF(OR($R1578="",$C1578=""),"",$R1578/INDEX(DESPACHOS!$M$3:$M$3002,MATCH($C1578,DESPACHOS!$B$3:$B$3002,0))),"")</f>
        <v/>
      </c>
      <c r="T1578" s="41" t="n"/>
      <c r="U1578" s="43">
        <f>IF(OR($B1578="",$L1578=""),"",WORKDAY($B1578,IFERROR(INDEX(LISTAS!$C$3:$C$42,MATCH($L1578,LISTAS!$A$3:$A$42,0)),3)))</f>
        <v/>
      </c>
      <c r="V1578" s="40" t="n"/>
      <c r="W1578" s="19">
        <f>IF($B1578="","",IF($V1578&lt;&gt;"",$V1578-$B1578,TODAY()-$B1578))</f>
        <v/>
      </c>
      <c r="X1578" s="19">
        <f>IF(OR($B1578="",$U1578=""),"",IF($V1578&lt;&gt;"",MAX(0,$V1578-$U1578),MAX(0,TODAY()-$U1578)))</f>
        <v/>
      </c>
      <c r="Y1578" s="39">
        <f>IF($C1578="","",IF(IFERROR(INDEX(LISTAS!$I$3:$I$42,MATCH($T1578,LISTAS!$H$3:$H$42,0)),"NO")="SÍ",IF(N($X1578)&gt;0,"CERRADA FUERA DE SLA","CERRADA EN SLA"),IF($U1578="","SIN CLASIFICAR",IF(N($X1578)&gt;0,"VENCIDA",IF(TODAY()&gt;=$U1578-1,"POR VENCER","EN PLAZO")))))</f>
        <v/>
      </c>
      <c r="Z1578" s="41" t="n"/>
      <c r="AA1578" s="41" t="n"/>
      <c r="AB1578" s="41" t="n"/>
    </row>
    <row r="1579">
      <c r="A1579" s="39">
        <f>IF($C1579="","","NOV-"&amp;TEXT(ROW()-3,"0000"))</f>
        <v/>
      </c>
      <c r="B1579" s="40" t="n"/>
      <c r="C1579" s="41" t="n"/>
      <c r="D1579" s="42">
        <f>IF($C1579="","",IFERROR(INDEX(DESPACHOS!$D$3:$D$3002,MATCH($C1579,DESPACHOS!$B$3:$B$3002,0)),"SIN DESPACHO"))</f>
        <v/>
      </c>
      <c r="E1579" s="42">
        <f>IF($C1579="","",IFERROR(INDEX(DESPACHOS!$K$3:$K$3002,MATCH($C1579,DESPACHOS!$B$3:$B$3002,0)),""))</f>
        <v/>
      </c>
      <c r="F1579" s="42">
        <f>IF($C1579="","",IFERROR(INDEX(DESPACHOS!$I$3:$I$3002,MATCH($C1579,DESPACHOS!$B$3:$B$3002,0)),""))</f>
        <v/>
      </c>
      <c r="G1579" s="42">
        <f>IF($C1579="","",IFERROR(INDEX(DESPACHOS!$F$3:$F$3002,MATCH($C1579,DESPACHOS!$B$3:$B$3002,0)),""))</f>
        <v/>
      </c>
      <c r="H1579" s="42">
        <f>IF($C1579="","",IFERROR(INDEX(DESPACHOS!$G$3:$G$3002,MATCH($C1579,DESPACHOS!$B$3:$B$3002,0)),""))</f>
        <v/>
      </c>
      <c r="I1579" s="39">
        <f>IF($C1579="","",IFERROR(INDEX(DESPACHOS!$H$3:$H$3002,MATCH($C1579,DESPACHOS!$B$3:$B$3002,0)),""))</f>
        <v/>
      </c>
      <c r="J1579" s="43">
        <f>IF($C1579="","",IFERROR(INDEX(DESPACHOS!$J$3:$J$3002,MATCH($C1579,DESPACHOS!$B$3:$B$3002,0)),""))</f>
        <v/>
      </c>
      <c r="K1579" s="39">
        <f>IF($C1579="","",IF(COUNTIFS(DESPACHOS!$B$3:$B$3002,$C1579)=0,"NO EXISTE",IF(COUNTIFS(DESPACHOS!$B$3:$B$3002,$C1579)&gt;1,"DUPLICADO","OK")))</f>
        <v/>
      </c>
      <c r="L1579" s="41" t="n"/>
      <c r="M1579" s="41" t="n"/>
      <c r="N1579" s="42">
        <f>IF($M1579="","",IFERROR(INDEX(LISTAS!$F$3:$F$42,MATCH($M1579,LISTAS!$E$3:$E$42,0)),"Por definir"))</f>
        <v/>
      </c>
      <c r="O1579" s="41" t="n"/>
      <c r="P1579" s="39">
        <f>IF($L1579="","",IFERROR(INDEX(LISTAS!$B$3:$B$42,MATCH($L1579,LISTAS!$A$3:$A$42,0)),"Media"))</f>
        <v/>
      </c>
      <c r="Q1579" s="44" t="n"/>
      <c r="R1579" s="45" t="n"/>
      <c r="S1579" s="20">
        <f>IFERROR(IF(OR($R1579="",$C1579=""),"",$R1579/INDEX(DESPACHOS!$M$3:$M$3002,MATCH($C1579,DESPACHOS!$B$3:$B$3002,0))),"")</f>
        <v/>
      </c>
      <c r="T1579" s="41" t="n"/>
      <c r="U1579" s="43">
        <f>IF(OR($B1579="",$L1579=""),"",WORKDAY($B1579,IFERROR(INDEX(LISTAS!$C$3:$C$42,MATCH($L1579,LISTAS!$A$3:$A$42,0)),3)))</f>
        <v/>
      </c>
      <c r="V1579" s="40" t="n"/>
      <c r="W1579" s="19">
        <f>IF($B1579="","",IF($V1579&lt;&gt;"",$V1579-$B1579,TODAY()-$B1579))</f>
        <v/>
      </c>
      <c r="X1579" s="19">
        <f>IF(OR($B1579="",$U1579=""),"",IF($V1579&lt;&gt;"",MAX(0,$V1579-$U1579),MAX(0,TODAY()-$U1579)))</f>
        <v/>
      </c>
      <c r="Y1579" s="39">
        <f>IF($C1579="","",IF(IFERROR(INDEX(LISTAS!$I$3:$I$42,MATCH($T1579,LISTAS!$H$3:$H$42,0)),"NO")="SÍ",IF(N($X1579)&gt;0,"CERRADA FUERA DE SLA","CERRADA EN SLA"),IF($U1579="","SIN CLASIFICAR",IF(N($X1579)&gt;0,"VENCIDA",IF(TODAY()&gt;=$U1579-1,"POR VENCER","EN PLAZO")))))</f>
        <v/>
      </c>
      <c r="Z1579" s="41" t="n"/>
      <c r="AA1579" s="41" t="n"/>
      <c r="AB1579" s="41" t="n"/>
    </row>
    <row r="1580">
      <c r="A1580" s="39">
        <f>IF($C1580="","","NOV-"&amp;TEXT(ROW()-3,"0000"))</f>
        <v/>
      </c>
      <c r="B1580" s="40" t="n"/>
      <c r="C1580" s="41" t="n"/>
      <c r="D1580" s="42">
        <f>IF($C1580="","",IFERROR(INDEX(DESPACHOS!$D$3:$D$3002,MATCH($C1580,DESPACHOS!$B$3:$B$3002,0)),"SIN DESPACHO"))</f>
        <v/>
      </c>
      <c r="E1580" s="42">
        <f>IF($C1580="","",IFERROR(INDEX(DESPACHOS!$K$3:$K$3002,MATCH($C1580,DESPACHOS!$B$3:$B$3002,0)),""))</f>
        <v/>
      </c>
      <c r="F1580" s="42">
        <f>IF($C1580="","",IFERROR(INDEX(DESPACHOS!$I$3:$I$3002,MATCH($C1580,DESPACHOS!$B$3:$B$3002,0)),""))</f>
        <v/>
      </c>
      <c r="G1580" s="42">
        <f>IF($C1580="","",IFERROR(INDEX(DESPACHOS!$F$3:$F$3002,MATCH($C1580,DESPACHOS!$B$3:$B$3002,0)),""))</f>
        <v/>
      </c>
      <c r="H1580" s="42">
        <f>IF($C1580="","",IFERROR(INDEX(DESPACHOS!$G$3:$G$3002,MATCH($C1580,DESPACHOS!$B$3:$B$3002,0)),""))</f>
        <v/>
      </c>
      <c r="I1580" s="39">
        <f>IF($C1580="","",IFERROR(INDEX(DESPACHOS!$H$3:$H$3002,MATCH($C1580,DESPACHOS!$B$3:$B$3002,0)),""))</f>
        <v/>
      </c>
      <c r="J1580" s="43">
        <f>IF($C1580="","",IFERROR(INDEX(DESPACHOS!$J$3:$J$3002,MATCH($C1580,DESPACHOS!$B$3:$B$3002,0)),""))</f>
        <v/>
      </c>
      <c r="K1580" s="39">
        <f>IF($C1580="","",IF(COUNTIFS(DESPACHOS!$B$3:$B$3002,$C1580)=0,"NO EXISTE",IF(COUNTIFS(DESPACHOS!$B$3:$B$3002,$C1580)&gt;1,"DUPLICADO","OK")))</f>
        <v/>
      </c>
      <c r="L1580" s="41" t="n"/>
      <c r="M1580" s="41" t="n"/>
      <c r="N1580" s="42">
        <f>IF($M1580="","",IFERROR(INDEX(LISTAS!$F$3:$F$42,MATCH($M1580,LISTAS!$E$3:$E$42,0)),"Por definir"))</f>
        <v/>
      </c>
      <c r="O1580" s="41" t="n"/>
      <c r="P1580" s="39">
        <f>IF($L1580="","",IFERROR(INDEX(LISTAS!$B$3:$B$42,MATCH($L1580,LISTAS!$A$3:$A$42,0)),"Media"))</f>
        <v/>
      </c>
      <c r="Q1580" s="44" t="n"/>
      <c r="R1580" s="45" t="n"/>
      <c r="S1580" s="20">
        <f>IFERROR(IF(OR($R1580="",$C1580=""),"",$R1580/INDEX(DESPACHOS!$M$3:$M$3002,MATCH($C1580,DESPACHOS!$B$3:$B$3002,0))),"")</f>
        <v/>
      </c>
      <c r="T1580" s="41" t="n"/>
      <c r="U1580" s="43">
        <f>IF(OR($B1580="",$L1580=""),"",WORKDAY($B1580,IFERROR(INDEX(LISTAS!$C$3:$C$42,MATCH($L1580,LISTAS!$A$3:$A$42,0)),3)))</f>
        <v/>
      </c>
      <c r="V1580" s="40" t="n"/>
      <c r="W1580" s="19">
        <f>IF($B1580="","",IF($V1580&lt;&gt;"",$V1580-$B1580,TODAY()-$B1580))</f>
        <v/>
      </c>
      <c r="X1580" s="19">
        <f>IF(OR($B1580="",$U1580=""),"",IF($V1580&lt;&gt;"",MAX(0,$V1580-$U1580),MAX(0,TODAY()-$U1580)))</f>
        <v/>
      </c>
      <c r="Y1580" s="39">
        <f>IF($C1580="","",IF(IFERROR(INDEX(LISTAS!$I$3:$I$42,MATCH($T1580,LISTAS!$H$3:$H$42,0)),"NO")="SÍ",IF(N($X1580)&gt;0,"CERRADA FUERA DE SLA","CERRADA EN SLA"),IF($U1580="","SIN CLASIFICAR",IF(N($X1580)&gt;0,"VENCIDA",IF(TODAY()&gt;=$U1580-1,"POR VENCER","EN PLAZO")))))</f>
        <v/>
      </c>
      <c r="Z1580" s="41" t="n"/>
      <c r="AA1580" s="41" t="n"/>
      <c r="AB1580" s="41" t="n"/>
    </row>
    <row r="1581">
      <c r="A1581" s="39">
        <f>IF($C1581="","","NOV-"&amp;TEXT(ROW()-3,"0000"))</f>
        <v/>
      </c>
      <c r="B1581" s="40" t="n"/>
      <c r="C1581" s="41" t="n"/>
      <c r="D1581" s="42">
        <f>IF($C1581="","",IFERROR(INDEX(DESPACHOS!$D$3:$D$3002,MATCH($C1581,DESPACHOS!$B$3:$B$3002,0)),"SIN DESPACHO"))</f>
        <v/>
      </c>
      <c r="E1581" s="42">
        <f>IF($C1581="","",IFERROR(INDEX(DESPACHOS!$K$3:$K$3002,MATCH($C1581,DESPACHOS!$B$3:$B$3002,0)),""))</f>
        <v/>
      </c>
      <c r="F1581" s="42">
        <f>IF($C1581="","",IFERROR(INDEX(DESPACHOS!$I$3:$I$3002,MATCH($C1581,DESPACHOS!$B$3:$B$3002,0)),""))</f>
        <v/>
      </c>
      <c r="G1581" s="42">
        <f>IF($C1581="","",IFERROR(INDEX(DESPACHOS!$F$3:$F$3002,MATCH($C1581,DESPACHOS!$B$3:$B$3002,0)),""))</f>
        <v/>
      </c>
      <c r="H1581" s="42">
        <f>IF($C1581="","",IFERROR(INDEX(DESPACHOS!$G$3:$G$3002,MATCH($C1581,DESPACHOS!$B$3:$B$3002,0)),""))</f>
        <v/>
      </c>
      <c r="I1581" s="39">
        <f>IF($C1581="","",IFERROR(INDEX(DESPACHOS!$H$3:$H$3002,MATCH($C1581,DESPACHOS!$B$3:$B$3002,0)),""))</f>
        <v/>
      </c>
      <c r="J1581" s="43">
        <f>IF($C1581="","",IFERROR(INDEX(DESPACHOS!$J$3:$J$3002,MATCH($C1581,DESPACHOS!$B$3:$B$3002,0)),""))</f>
        <v/>
      </c>
      <c r="K1581" s="39">
        <f>IF($C1581="","",IF(COUNTIFS(DESPACHOS!$B$3:$B$3002,$C1581)=0,"NO EXISTE",IF(COUNTIFS(DESPACHOS!$B$3:$B$3002,$C1581)&gt;1,"DUPLICADO","OK")))</f>
        <v/>
      </c>
      <c r="L1581" s="41" t="n"/>
      <c r="M1581" s="41" t="n"/>
      <c r="N1581" s="42">
        <f>IF($M1581="","",IFERROR(INDEX(LISTAS!$F$3:$F$42,MATCH($M1581,LISTAS!$E$3:$E$42,0)),"Por definir"))</f>
        <v/>
      </c>
      <c r="O1581" s="41" t="n"/>
      <c r="P1581" s="39">
        <f>IF($L1581="","",IFERROR(INDEX(LISTAS!$B$3:$B$42,MATCH($L1581,LISTAS!$A$3:$A$42,0)),"Media"))</f>
        <v/>
      </c>
      <c r="Q1581" s="44" t="n"/>
      <c r="R1581" s="45" t="n"/>
      <c r="S1581" s="20">
        <f>IFERROR(IF(OR($R1581="",$C1581=""),"",$R1581/INDEX(DESPACHOS!$M$3:$M$3002,MATCH($C1581,DESPACHOS!$B$3:$B$3002,0))),"")</f>
        <v/>
      </c>
      <c r="T1581" s="41" t="n"/>
      <c r="U1581" s="43">
        <f>IF(OR($B1581="",$L1581=""),"",WORKDAY($B1581,IFERROR(INDEX(LISTAS!$C$3:$C$42,MATCH($L1581,LISTAS!$A$3:$A$42,0)),3)))</f>
        <v/>
      </c>
      <c r="V1581" s="40" t="n"/>
      <c r="W1581" s="19">
        <f>IF($B1581="","",IF($V1581&lt;&gt;"",$V1581-$B1581,TODAY()-$B1581))</f>
        <v/>
      </c>
      <c r="X1581" s="19">
        <f>IF(OR($B1581="",$U1581=""),"",IF($V1581&lt;&gt;"",MAX(0,$V1581-$U1581),MAX(0,TODAY()-$U1581)))</f>
        <v/>
      </c>
      <c r="Y1581" s="39">
        <f>IF($C1581="","",IF(IFERROR(INDEX(LISTAS!$I$3:$I$42,MATCH($T1581,LISTAS!$H$3:$H$42,0)),"NO")="SÍ",IF(N($X1581)&gt;0,"CERRADA FUERA DE SLA","CERRADA EN SLA"),IF($U1581="","SIN CLASIFICAR",IF(N($X1581)&gt;0,"VENCIDA",IF(TODAY()&gt;=$U1581-1,"POR VENCER","EN PLAZO")))))</f>
        <v/>
      </c>
      <c r="Z1581" s="41" t="n"/>
      <c r="AA1581" s="41" t="n"/>
      <c r="AB1581" s="41" t="n"/>
    </row>
    <row r="1582">
      <c r="A1582" s="39">
        <f>IF($C1582="","","NOV-"&amp;TEXT(ROW()-3,"0000"))</f>
        <v/>
      </c>
      <c r="B1582" s="40" t="n"/>
      <c r="C1582" s="41" t="n"/>
      <c r="D1582" s="42">
        <f>IF($C1582="","",IFERROR(INDEX(DESPACHOS!$D$3:$D$3002,MATCH($C1582,DESPACHOS!$B$3:$B$3002,0)),"SIN DESPACHO"))</f>
        <v/>
      </c>
      <c r="E1582" s="42">
        <f>IF($C1582="","",IFERROR(INDEX(DESPACHOS!$K$3:$K$3002,MATCH($C1582,DESPACHOS!$B$3:$B$3002,0)),""))</f>
        <v/>
      </c>
      <c r="F1582" s="42">
        <f>IF($C1582="","",IFERROR(INDEX(DESPACHOS!$I$3:$I$3002,MATCH($C1582,DESPACHOS!$B$3:$B$3002,0)),""))</f>
        <v/>
      </c>
      <c r="G1582" s="42">
        <f>IF($C1582="","",IFERROR(INDEX(DESPACHOS!$F$3:$F$3002,MATCH($C1582,DESPACHOS!$B$3:$B$3002,0)),""))</f>
        <v/>
      </c>
      <c r="H1582" s="42">
        <f>IF($C1582="","",IFERROR(INDEX(DESPACHOS!$G$3:$G$3002,MATCH($C1582,DESPACHOS!$B$3:$B$3002,0)),""))</f>
        <v/>
      </c>
      <c r="I1582" s="39">
        <f>IF($C1582="","",IFERROR(INDEX(DESPACHOS!$H$3:$H$3002,MATCH($C1582,DESPACHOS!$B$3:$B$3002,0)),""))</f>
        <v/>
      </c>
      <c r="J1582" s="43">
        <f>IF($C1582="","",IFERROR(INDEX(DESPACHOS!$J$3:$J$3002,MATCH($C1582,DESPACHOS!$B$3:$B$3002,0)),""))</f>
        <v/>
      </c>
      <c r="K1582" s="39">
        <f>IF($C1582="","",IF(COUNTIFS(DESPACHOS!$B$3:$B$3002,$C1582)=0,"NO EXISTE",IF(COUNTIFS(DESPACHOS!$B$3:$B$3002,$C1582)&gt;1,"DUPLICADO","OK")))</f>
        <v/>
      </c>
      <c r="L1582" s="41" t="n"/>
      <c r="M1582" s="41" t="n"/>
      <c r="N1582" s="42">
        <f>IF($M1582="","",IFERROR(INDEX(LISTAS!$F$3:$F$42,MATCH($M1582,LISTAS!$E$3:$E$42,0)),"Por definir"))</f>
        <v/>
      </c>
      <c r="O1582" s="41" t="n"/>
      <c r="P1582" s="39">
        <f>IF($L1582="","",IFERROR(INDEX(LISTAS!$B$3:$B$42,MATCH($L1582,LISTAS!$A$3:$A$42,0)),"Media"))</f>
        <v/>
      </c>
      <c r="Q1582" s="44" t="n"/>
      <c r="R1582" s="45" t="n"/>
      <c r="S1582" s="20">
        <f>IFERROR(IF(OR($R1582="",$C1582=""),"",$R1582/INDEX(DESPACHOS!$M$3:$M$3002,MATCH($C1582,DESPACHOS!$B$3:$B$3002,0))),"")</f>
        <v/>
      </c>
      <c r="T1582" s="41" t="n"/>
      <c r="U1582" s="43">
        <f>IF(OR($B1582="",$L1582=""),"",WORKDAY($B1582,IFERROR(INDEX(LISTAS!$C$3:$C$42,MATCH($L1582,LISTAS!$A$3:$A$42,0)),3)))</f>
        <v/>
      </c>
      <c r="V1582" s="40" t="n"/>
      <c r="W1582" s="19">
        <f>IF($B1582="","",IF($V1582&lt;&gt;"",$V1582-$B1582,TODAY()-$B1582))</f>
        <v/>
      </c>
      <c r="X1582" s="19">
        <f>IF(OR($B1582="",$U1582=""),"",IF($V1582&lt;&gt;"",MAX(0,$V1582-$U1582),MAX(0,TODAY()-$U1582)))</f>
        <v/>
      </c>
      <c r="Y1582" s="39">
        <f>IF($C1582="","",IF(IFERROR(INDEX(LISTAS!$I$3:$I$42,MATCH($T1582,LISTAS!$H$3:$H$42,0)),"NO")="SÍ",IF(N($X1582)&gt;0,"CERRADA FUERA DE SLA","CERRADA EN SLA"),IF($U1582="","SIN CLASIFICAR",IF(N($X1582)&gt;0,"VENCIDA",IF(TODAY()&gt;=$U1582-1,"POR VENCER","EN PLAZO")))))</f>
        <v/>
      </c>
      <c r="Z1582" s="41" t="n"/>
      <c r="AA1582" s="41" t="n"/>
      <c r="AB1582" s="41" t="n"/>
    </row>
    <row r="1583">
      <c r="A1583" s="39">
        <f>IF($C1583="","","NOV-"&amp;TEXT(ROW()-3,"0000"))</f>
        <v/>
      </c>
      <c r="B1583" s="40" t="n"/>
      <c r="C1583" s="41" t="n"/>
      <c r="D1583" s="42">
        <f>IF($C1583="","",IFERROR(INDEX(DESPACHOS!$D$3:$D$3002,MATCH($C1583,DESPACHOS!$B$3:$B$3002,0)),"SIN DESPACHO"))</f>
        <v/>
      </c>
      <c r="E1583" s="42">
        <f>IF($C1583="","",IFERROR(INDEX(DESPACHOS!$K$3:$K$3002,MATCH($C1583,DESPACHOS!$B$3:$B$3002,0)),""))</f>
        <v/>
      </c>
      <c r="F1583" s="42">
        <f>IF($C1583="","",IFERROR(INDEX(DESPACHOS!$I$3:$I$3002,MATCH($C1583,DESPACHOS!$B$3:$B$3002,0)),""))</f>
        <v/>
      </c>
      <c r="G1583" s="42">
        <f>IF($C1583="","",IFERROR(INDEX(DESPACHOS!$F$3:$F$3002,MATCH($C1583,DESPACHOS!$B$3:$B$3002,0)),""))</f>
        <v/>
      </c>
      <c r="H1583" s="42">
        <f>IF($C1583="","",IFERROR(INDEX(DESPACHOS!$G$3:$G$3002,MATCH($C1583,DESPACHOS!$B$3:$B$3002,0)),""))</f>
        <v/>
      </c>
      <c r="I1583" s="39">
        <f>IF($C1583="","",IFERROR(INDEX(DESPACHOS!$H$3:$H$3002,MATCH($C1583,DESPACHOS!$B$3:$B$3002,0)),""))</f>
        <v/>
      </c>
      <c r="J1583" s="43">
        <f>IF($C1583="","",IFERROR(INDEX(DESPACHOS!$J$3:$J$3002,MATCH($C1583,DESPACHOS!$B$3:$B$3002,0)),""))</f>
        <v/>
      </c>
      <c r="K1583" s="39">
        <f>IF($C1583="","",IF(COUNTIFS(DESPACHOS!$B$3:$B$3002,$C1583)=0,"NO EXISTE",IF(COUNTIFS(DESPACHOS!$B$3:$B$3002,$C1583)&gt;1,"DUPLICADO","OK")))</f>
        <v/>
      </c>
      <c r="L1583" s="41" t="n"/>
      <c r="M1583" s="41" t="n"/>
      <c r="N1583" s="42">
        <f>IF($M1583="","",IFERROR(INDEX(LISTAS!$F$3:$F$42,MATCH($M1583,LISTAS!$E$3:$E$42,0)),"Por definir"))</f>
        <v/>
      </c>
      <c r="O1583" s="41" t="n"/>
      <c r="P1583" s="39">
        <f>IF($L1583="","",IFERROR(INDEX(LISTAS!$B$3:$B$42,MATCH($L1583,LISTAS!$A$3:$A$42,0)),"Media"))</f>
        <v/>
      </c>
      <c r="Q1583" s="44" t="n"/>
      <c r="R1583" s="45" t="n"/>
      <c r="S1583" s="20">
        <f>IFERROR(IF(OR($R1583="",$C1583=""),"",$R1583/INDEX(DESPACHOS!$M$3:$M$3002,MATCH($C1583,DESPACHOS!$B$3:$B$3002,0))),"")</f>
        <v/>
      </c>
      <c r="T1583" s="41" t="n"/>
      <c r="U1583" s="43">
        <f>IF(OR($B1583="",$L1583=""),"",WORKDAY($B1583,IFERROR(INDEX(LISTAS!$C$3:$C$42,MATCH($L1583,LISTAS!$A$3:$A$42,0)),3)))</f>
        <v/>
      </c>
      <c r="V1583" s="40" t="n"/>
      <c r="W1583" s="19">
        <f>IF($B1583="","",IF($V1583&lt;&gt;"",$V1583-$B1583,TODAY()-$B1583))</f>
        <v/>
      </c>
      <c r="X1583" s="19">
        <f>IF(OR($B1583="",$U1583=""),"",IF($V1583&lt;&gt;"",MAX(0,$V1583-$U1583),MAX(0,TODAY()-$U1583)))</f>
        <v/>
      </c>
      <c r="Y1583" s="39">
        <f>IF($C1583="","",IF(IFERROR(INDEX(LISTAS!$I$3:$I$42,MATCH($T1583,LISTAS!$H$3:$H$42,0)),"NO")="SÍ",IF(N($X1583)&gt;0,"CERRADA FUERA DE SLA","CERRADA EN SLA"),IF($U1583="","SIN CLASIFICAR",IF(N($X1583)&gt;0,"VENCIDA",IF(TODAY()&gt;=$U1583-1,"POR VENCER","EN PLAZO")))))</f>
        <v/>
      </c>
      <c r="Z1583" s="41" t="n"/>
      <c r="AA1583" s="41" t="n"/>
      <c r="AB1583" s="41" t="n"/>
    </row>
    <row r="1584">
      <c r="A1584" s="39">
        <f>IF($C1584="","","NOV-"&amp;TEXT(ROW()-3,"0000"))</f>
        <v/>
      </c>
      <c r="B1584" s="40" t="n"/>
      <c r="C1584" s="41" t="n"/>
      <c r="D1584" s="42">
        <f>IF($C1584="","",IFERROR(INDEX(DESPACHOS!$D$3:$D$3002,MATCH($C1584,DESPACHOS!$B$3:$B$3002,0)),"SIN DESPACHO"))</f>
        <v/>
      </c>
      <c r="E1584" s="42">
        <f>IF($C1584="","",IFERROR(INDEX(DESPACHOS!$K$3:$K$3002,MATCH($C1584,DESPACHOS!$B$3:$B$3002,0)),""))</f>
        <v/>
      </c>
      <c r="F1584" s="42">
        <f>IF($C1584="","",IFERROR(INDEX(DESPACHOS!$I$3:$I$3002,MATCH($C1584,DESPACHOS!$B$3:$B$3002,0)),""))</f>
        <v/>
      </c>
      <c r="G1584" s="42">
        <f>IF($C1584="","",IFERROR(INDEX(DESPACHOS!$F$3:$F$3002,MATCH($C1584,DESPACHOS!$B$3:$B$3002,0)),""))</f>
        <v/>
      </c>
      <c r="H1584" s="42">
        <f>IF($C1584="","",IFERROR(INDEX(DESPACHOS!$G$3:$G$3002,MATCH($C1584,DESPACHOS!$B$3:$B$3002,0)),""))</f>
        <v/>
      </c>
      <c r="I1584" s="39">
        <f>IF($C1584="","",IFERROR(INDEX(DESPACHOS!$H$3:$H$3002,MATCH($C1584,DESPACHOS!$B$3:$B$3002,0)),""))</f>
        <v/>
      </c>
      <c r="J1584" s="43">
        <f>IF($C1584="","",IFERROR(INDEX(DESPACHOS!$J$3:$J$3002,MATCH($C1584,DESPACHOS!$B$3:$B$3002,0)),""))</f>
        <v/>
      </c>
      <c r="K1584" s="39">
        <f>IF($C1584="","",IF(COUNTIFS(DESPACHOS!$B$3:$B$3002,$C1584)=0,"NO EXISTE",IF(COUNTIFS(DESPACHOS!$B$3:$B$3002,$C1584)&gt;1,"DUPLICADO","OK")))</f>
        <v/>
      </c>
      <c r="L1584" s="41" t="n"/>
      <c r="M1584" s="41" t="n"/>
      <c r="N1584" s="42">
        <f>IF($M1584="","",IFERROR(INDEX(LISTAS!$F$3:$F$42,MATCH($M1584,LISTAS!$E$3:$E$42,0)),"Por definir"))</f>
        <v/>
      </c>
      <c r="O1584" s="41" t="n"/>
      <c r="P1584" s="39">
        <f>IF($L1584="","",IFERROR(INDEX(LISTAS!$B$3:$B$42,MATCH($L1584,LISTAS!$A$3:$A$42,0)),"Media"))</f>
        <v/>
      </c>
      <c r="Q1584" s="44" t="n"/>
      <c r="R1584" s="45" t="n"/>
      <c r="S1584" s="20">
        <f>IFERROR(IF(OR($R1584="",$C1584=""),"",$R1584/INDEX(DESPACHOS!$M$3:$M$3002,MATCH($C1584,DESPACHOS!$B$3:$B$3002,0))),"")</f>
        <v/>
      </c>
      <c r="T1584" s="41" t="n"/>
      <c r="U1584" s="43">
        <f>IF(OR($B1584="",$L1584=""),"",WORKDAY($B1584,IFERROR(INDEX(LISTAS!$C$3:$C$42,MATCH($L1584,LISTAS!$A$3:$A$42,0)),3)))</f>
        <v/>
      </c>
      <c r="V1584" s="40" t="n"/>
      <c r="W1584" s="19">
        <f>IF($B1584="","",IF($V1584&lt;&gt;"",$V1584-$B1584,TODAY()-$B1584))</f>
        <v/>
      </c>
      <c r="X1584" s="19">
        <f>IF(OR($B1584="",$U1584=""),"",IF($V1584&lt;&gt;"",MAX(0,$V1584-$U1584),MAX(0,TODAY()-$U1584)))</f>
        <v/>
      </c>
      <c r="Y1584" s="39">
        <f>IF($C1584="","",IF(IFERROR(INDEX(LISTAS!$I$3:$I$42,MATCH($T1584,LISTAS!$H$3:$H$42,0)),"NO")="SÍ",IF(N($X1584)&gt;0,"CERRADA FUERA DE SLA","CERRADA EN SLA"),IF($U1584="","SIN CLASIFICAR",IF(N($X1584)&gt;0,"VENCIDA",IF(TODAY()&gt;=$U1584-1,"POR VENCER","EN PLAZO")))))</f>
        <v/>
      </c>
      <c r="Z1584" s="41" t="n"/>
      <c r="AA1584" s="41" t="n"/>
      <c r="AB1584" s="41" t="n"/>
    </row>
    <row r="1585">
      <c r="A1585" s="39">
        <f>IF($C1585="","","NOV-"&amp;TEXT(ROW()-3,"0000"))</f>
        <v/>
      </c>
      <c r="B1585" s="40" t="n"/>
      <c r="C1585" s="41" t="n"/>
      <c r="D1585" s="42">
        <f>IF($C1585="","",IFERROR(INDEX(DESPACHOS!$D$3:$D$3002,MATCH($C1585,DESPACHOS!$B$3:$B$3002,0)),"SIN DESPACHO"))</f>
        <v/>
      </c>
      <c r="E1585" s="42">
        <f>IF($C1585="","",IFERROR(INDEX(DESPACHOS!$K$3:$K$3002,MATCH($C1585,DESPACHOS!$B$3:$B$3002,0)),""))</f>
        <v/>
      </c>
      <c r="F1585" s="42">
        <f>IF($C1585="","",IFERROR(INDEX(DESPACHOS!$I$3:$I$3002,MATCH($C1585,DESPACHOS!$B$3:$B$3002,0)),""))</f>
        <v/>
      </c>
      <c r="G1585" s="42">
        <f>IF($C1585="","",IFERROR(INDEX(DESPACHOS!$F$3:$F$3002,MATCH($C1585,DESPACHOS!$B$3:$B$3002,0)),""))</f>
        <v/>
      </c>
      <c r="H1585" s="42">
        <f>IF($C1585="","",IFERROR(INDEX(DESPACHOS!$G$3:$G$3002,MATCH($C1585,DESPACHOS!$B$3:$B$3002,0)),""))</f>
        <v/>
      </c>
      <c r="I1585" s="39">
        <f>IF($C1585="","",IFERROR(INDEX(DESPACHOS!$H$3:$H$3002,MATCH($C1585,DESPACHOS!$B$3:$B$3002,0)),""))</f>
        <v/>
      </c>
      <c r="J1585" s="43">
        <f>IF($C1585="","",IFERROR(INDEX(DESPACHOS!$J$3:$J$3002,MATCH($C1585,DESPACHOS!$B$3:$B$3002,0)),""))</f>
        <v/>
      </c>
      <c r="K1585" s="39">
        <f>IF($C1585="","",IF(COUNTIFS(DESPACHOS!$B$3:$B$3002,$C1585)=0,"NO EXISTE",IF(COUNTIFS(DESPACHOS!$B$3:$B$3002,$C1585)&gt;1,"DUPLICADO","OK")))</f>
        <v/>
      </c>
      <c r="L1585" s="41" t="n"/>
      <c r="M1585" s="41" t="n"/>
      <c r="N1585" s="42">
        <f>IF($M1585="","",IFERROR(INDEX(LISTAS!$F$3:$F$42,MATCH($M1585,LISTAS!$E$3:$E$42,0)),"Por definir"))</f>
        <v/>
      </c>
      <c r="O1585" s="41" t="n"/>
      <c r="P1585" s="39">
        <f>IF($L1585="","",IFERROR(INDEX(LISTAS!$B$3:$B$42,MATCH($L1585,LISTAS!$A$3:$A$42,0)),"Media"))</f>
        <v/>
      </c>
      <c r="Q1585" s="44" t="n"/>
      <c r="R1585" s="45" t="n"/>
      <c r="S1585" s="20">
        <f>IFERROR(IF(OR($R1585="",$C1585=""),"",$R1585/INDEX(DESPACHOS!$M$3:$M$3002,MATCH($C1585,DESPACHOS!$B$3:$B$3002,0))),"")</f>
        <v/>
      </c>
      <c r="T1585" s="41" t="n"/>
      <c r="U1585" s="43">
        <f>IF(OR($B1585="",$L1585=""),"",WORKDAY($B1585,IFERROR(INDEX(LISTAS!$C$3:$C$42,MATCH($L1585,LISTAS!$A$3:$A$42,0)),3)))</f>
        <v/>
      </c>
      <c r="V1585" s="40" t="n"/>
      <c r="W1585" s="19">
        <f>IF($B1585="","",IF($V1585&lt;&gt;"",$V1585-$B1585,TODAY()-$B1585))</f>
        <v/>
      </c>
      <c r="X1585" s="19">
        <f>IF(OR($B1585="",$U1585=""),"",IF($V1585&lt;&gt;"",MAX(0,$V1585-$U1585),MAX(0,TODAY()-$U1585)))</f>
        <v/>
      </c>
      <c r="Y1585" s="39">
        <f>IF($C1585="","",IF(IFERROR(INDEX(LISTAS!$I$3:$I$42,MATCH($T1585,LISTAS!$H$3:$H$42,0)),"NO")="SÍ",IF(N($X1585)&gt;0,"CERRADA FUERA DE SLA","CERRADA EN SLA"),IF($U1585="","SIN CLASIFICAR",IF(N($X1585)&gt;0,"VENCIDA",IF(TODAY()&gt;=$U1585-1,"POR VENCER","EN PLAZO")))))</f>
        <v/>
      </c>
      <c r="Z1585" s="41" t="n"/>
      <c r="AA1585" s="41" t="n"/>
      <c r="AB1585" s="41" t="n"/>
    </row>
    <row r="1586">
      <c r="A1586" s="39">
        <f>IF($C1586="","","NOV-"&amp;TEXT(ROW()-3,"0000"))</f>
        <v/>
      </c>
      <c r="B1586" s="40" t="n"/>
      <c r="C1586" s="41" t="n"/>
      <c r="D1586" s="42">
        <f>IF($C1586="","",IFERROR(INDEX(DESPACHOS!$D$3:$D$3002,MATCH($C1586,DESPACHOS!$B$3:$B$3002,0)),"SIN DESPACHO"))</f>
        <v/>
      </c>
      <c r="E1586" s="42">
        <f>IF($C1586="","",IFERROR(INDEX(DESPACHOS!$K$3:$K$3002,MATCH($C1586,DESPACHOS!$B$3:$B$3002,0)),""))</f>
        <v/>
      </c>
      <c r="F1586" s="42">
        <f>IF($C1586="","",IFERROR(INDEX(DESPACHOS!$I$3:$I$3002,MATCH($C1586,DESPACHOS!$B$3:$B$3002,0)),""))</f>
        <v/>
      </c>
      <c r="G1586" s="42">
        <f>IF($C1586="","",IFERROR(INDEX(DESPACHOS!$F$3:$F$3002,MATCH($C1586,DESPACHOS!$B$3:$B$3002,0)),""))</f>
        <v/>
      </c>
      <c r="H1586" s="42">
        <f>IF($C1586="","",IFERROR(INDEX(DESPACHOS!$G$3:$G$3002,MATCH($C1586,DESPACHOS!$B$3:$B$3002,0)),""))</f>
        <v/>
      </c>
      <c r="I1586" s="39">
        <f>IF($C1586="","",IFERROR(INDEX(DESPACHOS!$H$3:$H$3002,MATCH($C1586,DESPACHOS!$B$3:$B$3002,0)),""))</f>
        <v/>
      </c>
      <c r="J1586" s="43">
        <f>IF($C1586="","",IFERROR(INDEX(DESPACHOS!$J$3:$J$3002,MATCH($C1586,DESPACHOS!$B$3:$B$3002,0)),""))</f>
        <v/>
      </c>
      <c r="K1586" s="39">
        <f>IF($C1586="","",IF(COUNTIFS(DESPACHOS!$B$3:$B$3002,$C1586)=0,"NO EXISTE",IF(COUNTIFS(DESPACHOS!$B$3:$B$3002,$C1586)&gt;1,"DUPLICADO","OK")))</f>
        <v/>
      </c>
      <c r="L1586" s="41" t="n"/>
      <c r="M1586" s="41" t="n"/>
      <c r="N1586" s="42">
        <f>IF($M1586="","",IFERROR(INDEX(LISTAS!$F$3:$F$42,MATCH($M1586,LISTAS!$E$3:$E$42,0)),"Por definir"))</f>
        <v/>
      </c>
      <c r="O1586" s="41" t="n"/>
      <c r="P1586" s="39">
        <f>IF($L1586="","",IFERROR(INDEX(LISTAS!$B$3:$B$42,MATCH($L1586,LISTAS!$A$3:$A$42,0)),"Media"))</f>
        <v/>
      </c>
      <c r="Q1586" s="44" t="n"/>
      <c r="R1586" s="45" t="n"/>
      <c r="S1586" s="20">
        <f>IFERROR(IF(OR($R1586="",$C1586=""),"",$R1586/INDEX(DESPACHOS!$M$3:$M$3002,MATCH($C1586,DESPACHOS!$B$3:$B$3002,0))),"")</f>
        <v/>
      </c>
      <c r="T1586" s="41" t="n"/>
      <c r="U1586" s="43">
        <f>IF(OR($B1586="",$L1586=""),"",WORKDAY($B1586,IFERROR(INDEX(LISTAS!$C$3:$C$42,MATCH($L1586,LISTAS!$A$3:$A$42,0)),3)))</f>
        <v/>
      </c>
      <c r="V1586" s="40" t="n"/>
      <c r="W1586" s="19">
        <f>IF($B1586="","",IF($V1586&lt;&gt;"",$V1586-$B1586,TODAY()-$B1586))</f>
        <v/>
      </c>
      <c r="X1586" s="19">
        <f>IF(OR($B1586="",$U1586=""),"",IF($V1586&lt;&gt;"",MAX(0,$V1586-$U1586),MAX(0,TODAY()-$U1586)))</f>
        <v/>
      </c>
      <c r="Y1586" s="39">
        <f>IF($C1586="","",IF(IFERROR(INDEX(LISTAS!$I$3:$I$42,MATCH($T1586,LISTAS!$H$3:$H$42,0)),"NO")="SÍ",IF(N($X1586)&gt;0,"CERRADA FUERA DE SLA","CERRADA EN SLA"),IF($U1586="","SIN CLASIFICAR",IF(N($X1586)&gt;0,"VENCIDA",IF(TODAY()&gt;=$U1586-1,"POR VENCER","EN PLAZO")))))</f>
        <v/>
      </c>
      <c r="Z1586" s="41" t="n"/>
      <c r="AA1586" s="41" t="n"/>
      <c r="AB1586" s="41" t="n"/>
    </row>
    <row r="1587">
      <c r="A1587" s="39">
        <f>IF($C1587="","","NOV-"&amp;TEXT(ROW()-3,"0000"))</f>
        <v/>
      </c>
      <c r="B1587" s="40" t="n"/>
      <c r="C1587" s="41" t="n"/>
      <c r="D1587" s="42">
        <f>IF($C1587="","",IFERROR(INDEX(DESPACHOS!$D$3:$D$3002,MATCH($C1587,DESPACHOS!$B$3:$B$3002,0)),"SIN DESPACHO"))</f>
        <v/>
      </c>
      <c r="E1587" s="42">
        <f>IF($C1587="","",IFERROR(INDEX(DESPACHOS!$K$3:$K$3002,MATCH($C1587,DESPACHOS!$B$3:$B$3002,0)),""))</f>
        <v/>
      </c>
      <c r="F1587" s="42">
        <f>IF($C1587="","",IFERROR(INDEX(DESPACHOS!$I$3:$I$3002,MATCH($C1587,DESPACHOS!$B$3:$B$3002,0)),""))</f>
        <v/>
      </c>
      <c r="G1587" s="42">
        <f>IF($C1587="","",IFERROR(INDEX(DESPACHOS!$F$3:$F$3002,MATCH($C1587,DESPACHOS!$B$3:$B$3002,0)),""))</f>
        <v/>
      </c>
      <c r="H1587" s="42">
        <f>IF($C1587="","",IFERROR(INDEX(DESPACHOS!$G$3:$G$3002,MATCH($C1587,DESPACHOS!$B$3:$B$3002,0)),""))</f>
        <v/>
      </c>
      <c r="I1587" s="39">
        <f>IF($C1587="","",IFERROR(INDEX(DESPACHOS!$H$3:$H$3002,MATCH($C1587,DESPACHOS!$B$3:$B$3002,0)),""))</f>
        <v/>
      </c>
      <c r="J1587" s="43">
        <f>IF($C1587="","",IFERROR(INDEX(DESPACHOS!$J$3:$J$3002,MATCH($C1587,DESPACHOS!$B$3:$B$3002,0)),""))</f>
        <v/>
      </c>
      <c r="K1587" s="39">
        <f>IF($C1587="","",IF(COUNTIFS(DESPACHOS!$B$3:$B$3002,$C1587)=0,"NO EXISTE",IF(COUNTIFS(DESPACHOS!$B$3:$B$3002,$C1587)&gt;1,"DUPLICADO","OK")))</f>
        <v/>
      </c>
      <c r="L1587" s="41" t="n"/>
      <c r="M1587" s="41" t="n"/>
      <c r="N1587" s="42">
        <f>IF($M1587="","",IFERROR(INDEX(LISTAS!$F$3:$F$42,MATCH($M1587,LISTAS!$E$3:$E$42,0)),"Por definir"))</f>
        <v/>
      </c>
      <c r="O1587" s="41" t="n"/>
      <c r="P1587" s="39">
        <f>IF($L1587="","",IFERROR(INDEX(LISTAS!$B$3:$B$42,MATCH($L1587,LISTAS!$A$3:$A$42,0)),"Media"))</f>
        <v/>
      </c>
      <c r="Q1587" s="44" t="n"/>
      <c r="R1587" s="45" t="n"/>
      <c r="S1587" s="20">
        <f>IFERROR(IF(OR($R1587="",$C1587=""),"",$R1587/INDEX(DESPACHOS!$M$3:$M$3002,MATCH($C1587,DESPACHOS!$B$3:$B$3002,0))),"")</f>
        <v/>
      </c>
      <c r="T1587" s="41" t="n"/>
      <c r="U1587" s="43">
        <f>IF(OR($B1587="",$L1587=""),"",WORKDAY($B1587,IFERROR(INDEX(LISTAS!$C$3:$C$42,MATCH($L1587,LISTAS!$A$3:$A$42,0)),3)))</f>
        <v/>
      </c>
      <c r="V1587" s="40" t="n"/>
      <c r="W1587" s="19">
        <f>IF($B1587="","",IF($V1587&lt;&gt;"",$V1587-$B1587,TODAY()-$B1587))</f>
        <v/>
      </c>
      <c r="X1587" s="19">
        <f>IF(OR($B1587="",$U1587=""),"",IF($V1587&lt;&gt;"",MAX(0,$V1587-$U1587),MAX(0,TODAY()-$U1587)))</f>
        <v/>
      </c>
      <c r="Y1587" s="39">
        <f>IF($C1587="","",IF(IFERROR(INDEX(LISTAS!$I$3:$I$42,MATCH($T1587,LISTAS!$H$3:$H$42,0)),"NO")="SÍ",IF(N($X1587)&gt;0,"CERRADA FUERA DE SLA","CERRADA EN SLA"),IF($U1587="","SIN CLASIFICAR",IF(N($X1587)&gt;0,"VENCIDA",IF(TODAY()&gt;=$U1587-1,"POR VENCER","EN PLAZO")))))</f>
        <v/>
      </c>
      <c r="Z1587" s="41" t="n"/>
      <c r="AA1587" s="41" t="n"/>
      <c r="AB1587" s="41" t="n"/>
    </row>
    <row r="1588">
      <c r="A1588" s="39">
        <f>IF($C1588="","","NOV-"&amp;TEXT(ROW()-3,"0000"))</f>
        <v/>
      </c>
      <c r="B1588" s="40" t="n"/>
      <c r="C1588" s="41" t="n"/>
      <c r="D1588" s="42">
        <f>IF($C1588="","",IFERROR(INDEX(DESPACHOS!$D$3:$D$3002,MATCH($C1588,DESPACHOS!$B$3:$B$3002,0)),"SIN DESPACHO"))</f>
        <v/>
      </c>
      <c r="E1588" s="42">
        <f>IF($C1588="","",IFERROR(INDEX(DESPACHOS!$K$3:$K$3002,MATCH($C1588,DESPACHOS!$B$3:$B$3002,0)),""))</f>
        <v/>
      </c>
      <c r="F1588" s="42">
        <f>IF($C1588="","",IFERROR(INDEX(DESPACHOS!$I$3:$I$3002,MATCH($C1588,DESPACHOS!$B$3:$B$3002,0)),""))</f>
        <v/>
      </c>
      <c r="G1588" s="42">
        <f>IF($C1588="","",IFERROR(INDEX(DESPACHOS!$F$3:$F$3002,MATCH($C1588,DESPACHOS!$B$3:$B$3002,0)),""))</f>
        <v/>
      </c>
      <c r="H1588" s="42">
        <f>IF($C1588="","",IFERROR(INDEX(DESPACHOS!$G$3:$G$3002,MATCH($C1588,DESPACHOS!$B$3:$B$3002,0)),""))</f>
        <v/>
      </c>
      <c r="I1588" s="39">
        <f>IF($C1588="","",IFERROR(INDEX(DESPACHOS!$H$3:$H$3002,MATCH($C1588,DESPACHOS!$B$3:$B$3002,0)),""))</f>
        <v/>
      </c>
      <c r="J1588" s="43">
        <f>IF($C1588="","",IFERROR(INDEX(DESPACHOS!$J$3:$J$3002,MATCH($C1588,DESPACHOS!$B$3:$B$3002,0)),""))</f>
        <v/>
      </c>
      <c r="K1588" s="39">
        <f>IF($C1588="","",IF(COUNTIFS(DESPACHOS!$B$3:$B$3002,$C1588)=0,"NO EXISTE",IF(COUNTIFS(DESPACHOS!$B$3:$B$3002,$C1588)&gt;1,"DUPLICADO","OK")))</f>
        <v/>
      </c>
      <c r="L1588" s="41" t="n"/>
      <c r="M1588" s="41" t="n"/>
      <c r="N1588" s="42">
        <f>IF($M1588="","",IFERROR(INDEX(LISTAS!$F$3:$F$42,MATCH($M1588,LISTAS!$E$3:$E$42,0)),"Por definir"))</f>
        <v/>
      </c>
      <c r="O1588" s="41" t="n"/>
      <c r="P1588" s="39">
        <f>IF($L1588="","",IFERROR(INDEX(LISTAS!$B$3:$B$42,MATCH($L1588,LISTAS!$A$3:$A$42,0)),"Media"))</f>
        <v/>
      </c>
      <c r="Q1588" s="44" t="n"/>
      <c r="R1588" s="45" t="n"/>
      <c r="S1588" s="20">
        <f>IFERROR(IF(OR($R1588="",$C1588=""),"",$R1588/INDEX(DESPACHOS!$M$3:$M$3002,MATCH($C1588,DESPACHOS!$B$3:$B$3002,0))),"")</f>
        <v/>
      </c>
      <c r="T1588" s="41" t="n"/>
      <c r="U1588" s="43">
        <f>IF(OR($B1588="",$L1588=""),"",WORKDAY($B1588,IFERROR(INDEX(LISTAS!$C$3:$C$42,MATCH($L1588,LISTAS!$A$3:$A$42,0)),3)))</f>
        <v/>
      </c>
      <c r="V1588" s="40" t="n"/>
      <c r="W1588" s="19">
        <f>IF($B1588="","",IF($V1588&lt;&gt;"",$V1588-$B1588,TODAY()-$B1588))</f>
        <v/>
      </c>
      <c r="X1588" s="19">
        <f>IF(OR($B1588="",$U1588=""),"",IF($V1588&lt;&gt;"",MAX(0,$V1588-$U1588),MAX(0,TODAY()-$U1588)))</f>
        <v/>
      </c>
      <c r="Y1588" s="39">
        <f>IF($C1588="","",IF(IFERROR(INDEX(LISTAS!$I$3:$I$42,MATCH($T1588,LISTAS!$H$3:$H$42,0)),"NO")="SÍ",IF(N($X1588)&gt;0,"CERRADA FUERA DE SLA","CERRADA EN SLA"),IF($U1588="","SIN CLASIFICAR",IF(N($X1588)&gt;0,"VENCIDA",IF(TODAY()&gt;=$U1588-1,"POR VENCER","EN PLAZO")))))</f>
        <v/>
      </c>
      <c r="Z1588" s="41" t="n"/>
      <c r="AA1588" s="41" t="n"/>
      <c r="AB1588" s="41" t="n"/>
    </row>
    <row r="1589">
      <c r="A1589" s="39">
        <f>IF($C1589="","","NOV-"&amp;TEXT(ROW()-3,"0000"))</f>
        <v/>
      </c>
      <c r="B1589" s="40" t="n"/>
      <c r="C1589" s="41" t="n"/>
      <c r="D1589" s="42">
        <f>IF($C1589="","",IFERROR(INDEX(DESPACHOS!$D$3:$D$3002,MATCH($C1589,DESPACHOS!$B$3:$B$3002,0)),"SIN DESPACHO"))</f>
        <v/>
      </c>
      <c r="E1589" s="42">
        <f>IF($C1589="","",IFERROR(INDEX(DESPACHOS!$K$3:$K$3002,MATCH($C1589,DESPACHOS!$B$3:$B$3002,0)),""))</f>
        <v/>
      </c>
      <c r="F1589" s="42">
        <f>IF($C1589="","",IFERROR(INDEX(DESPACHOS!$I$3:$I$3002,MATCH($C1589,DESPACHOS!$B$3:$B$3002,0)),""))</f>
        <v/>
      </c>
      <c r="G1589" s="42">
        <f>IF($C1589="","",IFERROR(INDEX(DESPACHOS!$F$3:$F$3002,MATCH($C1589,DESPACHOS!$B$3:$B$3002,0)),""))</f>
        <v/>
      </c>
      <c r="H1589" s="42">
        <f>IF($C1589="","",IFERROR(INDEX(DESPACHOS!$G$3:$G$3002,MATCH($C1589,DESPACHOS!$B$3:$B$3002,0)),""))</f>
        <v/>
      </c>
      <c r="I1589" s="39">
        <f>IF($C1589="","",IFERROR(INDEX(DESPACHOS!$H$3:$H$3002,MATCH($C1589,DESPACHOS!$B$3:$B$3002,0)),""))</f>
        <v/>
      </c>
      <c r="J1589" s="43">
        <f>IF($C1589="","",IFERROR(INDEX(DESPACHOS!$J$3:$J$3002,MATCH($C1589,DESPACHOS!$B$3:$B$3002,0)),""))</f>
        <v/>
      </c>
      <c r="K1589" s="39">
        <f>IF($C1589="","",IF(COUNTIFS(DESPACHOS!$B$3:$B$3002,$C1589)=0,"NO EXISTE",IF(COUNTIFS(DESPACHOS!$B$3:$B$3002,$C1589)&gt;1,"DUPLICADO","OK")))</f>
        <v/>
      </c>
      <c r="L1589" s="41" t="n"/>
      <c r="M1589" s="41" t="n"/>
      <c r="N1589" s="42">
        <f>IF($M1589="","",IFERROR(INDEX(LISTAS!$F$3:$F$42,MATCH($M1589,LISTAS!$E$3:$E$42,0)),"Por definir"))</f>
        <v/>
      </c>
      <c r="O1589" s="41" t="n"/>
      <c r="P1589" s="39">
        <f>IF($L1589="","",IFERROR(INDEX(LISTAS!$B$3:$B$42,MATCH($L1589,LISTAS!$A$3:$A$42,0)),"Media"))</f>
        <v/>
      </c>
      <c r="Q1589" s="44" t="n"/>
      <c r="R1589" s="45" t="n"/>
      <c r="S1589" s="20">
        <f>IFERROR(IF(OR($R1589="",$C1589=""),"",$R1589/INDEX(DESPACHOS!$M$3:$M$3002,MATCH($C1589,DESPACHOS!$B$3:$B$3002,0))),"")</f>
        <v/>
      </c>
      <c r="T1589" s="41" t="n"/>
      <c r="U1589" s="43">
        <f>IF(OR($B1589="",$L1589=""),"",WORKDAY($B1589,IFERROR(INDEX(LISTAS!$C$3:$C$42,MATCH($L1589,LISTAS!$A$3:$A$42,0)),3)))</f>
        <v/>
      </c>
      <c r="V1589" s="40" t="n"/>
      <c r="W1589" s="19">
        <f>IF($B1589="","",IF($V1589&lt;&gt;"",$V1589-$B1589,TODAY()-$B1589))</f>
        <v/>
      </c>
      <c r="X1589" s="19">
        <f>IF(OR($B1589="",$U1589=""),"",IF($V1589&lt;&gt;"",MAX(0,$V1589-$U1589),MAX(0,TODAY()-$U1589)))</f>
        <v/>
      </c>
      <c r="Y1589" s="39">
        <f>IF($C1589="","",IF(IFERROR(INDEX(LISTAS!$I$3:$I$42,MATCH($T1589,LISTAS!$H$3:$H$42,0)),"NO")="SÍ",IF(N($X1589)&gt;0,"CERRADA FUERA DE SLA","CERRADA EN SLA"),IF($U1589="","SIN CLASIFICAR",IF(N($X1589)&gt;0,"VENCIDA",IF(TODAY()&gt;=$U1589-1,"POR VENCER","EN PLAZO")))))</f>
        <v/>
      </c>
      <c r="Z1589" s="41" t="n"/>
      <c r="AA1589" s="41" t="n"/>
      <c r="AB1589" s="41" t="n"/>
    </row>
    <row r="1590">
      <c r="A1590" s="39">
        <f>IF($C1590="","","NOV-"&amp;TEXT(ROW()-3,"0000"))</f>
        <v/>
      </c>
      <c r="B1590" s="40" t="n"/>
      <c r="C1590" s="41" t="n"/>
      <c r="D1590" s="42">
        <f>IF($C1590="","",IFERROR(INDEX(DESPACHOS!$D$3:$D$3002,MATCH($C1590,DESPACHOS!$B$3:$B$3002,0)),"SIN DESPACHO"))</f>
        <v/>
      </c>
      <c r="E1590" s="42">
        <f>IF($C1590="","",IFERROR(INDEX(DESPACHOS!$K$3:$K$3002,MATCH($C1590,DESPACHOS!$B$3:$B$3002,0)),""))</f>
        <v/>
      </c>
      <c r="F1590" s="42">
        <f>IF($C1590="","",IFERROR(INDEX(DESPACHOS!$I$3:$I$3002,MATCH($C1590,DESPACHOS!$B$3:$B$3002,0)),""))</f>
        <v/>
      </c>
      <c r="G1590" s="42">
        <f>IF($C1590="","",IFERROR(INDEX(DESPACHOS!$F$3:$F$3002,MATCH($C1590,DESPACHOS!$B$3:$B$3002,0)),""))</f>
        <v/>
      </c>
      <c r="H1590" s="42">
        <f>IF($C1590="","",IFERROR(INDEX(DESPACHOS!$G$3:$G$3002,MATCH($C1590,DESPACHOS!$B$3:$B$3002,0)),""))</f>
        <v/>
      </c>
      <c r="I1590" s="39">
        <f>IF($C1590="","",IFERROR(INDEX(DESPACHOS!$H$3:$H$3002,MATCH($C1590,DESPACHOS!$B$3:$B$3002,0)),""))</f>
        <v/>
      </c>
      <c r="J1590" s="43">
        <f>IF($C1590="","",IFERROR(INDEX(DESPACHOS!$J$3:$J$3002,MATCH($C1590,DESPACHOS!$B$3:$B$3002,0)),""))</f>
        <v/>
      </c>
      <c r="K1590" s="39">
        <f>IF($C1590="","",IF(COUNTIFS(DESPACHOS!$B$3:$B$3002,$C1590)=0,"NO EXISTE",IF(COUNTIFS(DESPACHOS!$B$3:$B$3002,$C1590)&gt;1,"DUPLICADO","OK")))</f>
        <v/>
      </c>
      <c r="L1590" s="41" t="n"/>
      <c r="M1590" s="41" t="n"/>
      <c r="N1590" s="42">
        <f>IF($M1590="","",IFERROR(INDEX(LISTAS!$F$3:$F$42,MATCH($M1590,LISTAS!$E$3:$E$42,0)),"Por definir"))</f>
        <v/>
      </c>
      <c r="O1590" s="41" t="n"/>
      <c r="P1590" s="39">
        <f>IF($L1590="","",IFERROR(INDEX(LISTAS!$B$3:$B$42,MATCH($L1590,LISTAS!$A$3:$A$42,0)),"Media"))</f>
        <v/>
      </c>
      <c r="Q1590" s="44" t="n"/>
      <c r="R1590" s="45" t="n"/>
      <c r="S1590" s="20">
        <f>IFERROR(IF(OR($R1590="",$C1590=""),"",$R1590/INDEX(DESPACHOS!$M$3:$M$3002,MATCH($C1590,DESPACHOS!$B$3:$B$3002,0))),"")</f>
        <v/>
      </c>
      <c r="T1590" s="41" t="n"/>
      <c r="U1590" s="43">
        <f>IF(OR($B1590="",$L1590=""),"",WORKDAY($B1590,IFERROR(INDEX(LISTAS!$C$3:$C$42,MATCH($L1590,LISTAS!$A$3:$A$42,0)),3)))</f>
        <v/>
      </c>
      <c r="V1590" s="40" t="n"/>
      <c r="W1590" s="19">
        <f>IF($B1590="","",IF($V1590&lt;&gt;"",$V1590-$B1590,TODAY()-$B1590))</f>
        <v/>
      </c>
      <c r="X1590" s="19">
        <f>IF(OR($B1590="",$U1590=""),"",IF($V1590&lt;&gt;"",MAX(0,$V1590-$U1590),MAX(0,TODAY()-$U1590)))</f>
        <v/>
      </c>
      <c r="Y1590" s="39">
        <f>IF($C1590="","",IF(IFERROR(INDEX(LISTAS!$I$3:$I$42,MATCH($T1590,LISTAS!$H$3:$H$42,0)),"NO")="SÍ",IF(N($X1590)&gt;0,"CERRADA FUERA DE SLA","CERRADA EN SLA"),IF($U1590="","SIN CLASIFICAR",IF(N($X1590)&gt;0,"VENCIDA",IF(TODAY()&gt;=$U1590-1,"POR VENCER","EN PLAZO")))))</f>
        <v/>
      </c>
      <c r="Z1590" s="41" t="n"/>
      <c r="AA1590" s="41" t="n"/>
      <c r="AB1590" s="41" t="n"/>
    </row>
    <row r="1591">
      <c r="A1591" s="39">
        <f>IF($C1591="","","NOV-"&amp;TEXT(ROW()-3,"0000"))</f>
        <v/>
      </c>
      <c r="B1591" s="40" t="n"/>
      <c r="C1591" s="41" t="n"/>
      <c r="D1591" s="42">
        <f>IF($C1591="","",IFERROR(INDEX(DESPACHOS!$D$3:$D$3002,MATCH($C1591,DESPACHOS!$B$3:$B$3002,0)),"SIN DESPACHO"))</f>
        <v/>
      </c>
      <c r="E1591" s="42">
        <f>IF($C1591="","",IFERROR(INDEX(DESPACHOS!$K$3:$K$3002,MATCH($C1591,DESPACHOS!$B$3:$B$3002,0)),""))</f>
        <v/>
      </c>
      <c r="F1591" s="42">
        <f>IF($C1591="","",IFERROR(INDEX(DESPACHOS!$I$3:$I$3002,MATCH($C1591,DESPACHOS!$B$3:$B$3002,0)),""))</f>
        <v/>
      </c>
      <c r="G1591" s="42">
        <f>IF($C1591="","",IFERROR(INDEX(DESPACHOS!$F$3:$F$3002,MATCH($C1591,DESPACHOS!$B$3:$B$3002,0)),""))</f>
        <v/>
      </c>
      <c r="H1591" s="42">
        <f>IF($C1591="","",IFERROR(INDEX(DESPACHOS!$G$3:$G$3002,MATCH($C1591,DESPACHOS!$B$3:$B$3002,0)),""))</f>
        <v/>
      </c>
      <c r="I1591" s="39">
        <f>IF($C1591="","",IFERROR(INDEX(DESPACHOS!$H$3:$H$3002,MATCH($C1591,DESPACHOS!$B$3:$B$3002,0)),""))</f>
        <v/>
      </c>
      <c r="J1591" s="43">
        <f>IF($C1591="","",IFERROR(INDEX(DESPACHOS!$J$3:$J$3002,MATCH($C1591,DESPACHOS!$B$3:$B$3002,0)),""))</f>
        <v/>
      </c>
      <c r="K1591" s="39">
        <f>IF($C1591="","",IF(COUNTIFS(DESPACHOS!$B$3:$B$3002,$C1591)=0,"NO EXISTE",IF(COUNTIFS(DESPACHOS!$B$3:$B$3002,$C1591)&gt;1,"DUPLICADO","OK")))</f>
        <v/>
      </c>
      <c r="L1591" s="41" t="n"/>
      <c r="M1591" s="41" t="n"/>
      <c r="N1591" s="42">
        <f>IF($M1591="","",IFERROR(INDEX(LISTAS!$F$3:$F$42,MATCH($M1591,LISTAS!$E$3:$E$42,0)),"Por definir"))</f>
        <v/>
      </c>
      <c r="O1591" s="41" t="n"/>
      <c r="P1591" s="39">
        <f>IF($L1591="","",IFERROR(INDEX(LISTAS!$B$3:$B$42,MATCH($L1591,LISTAS!$A$3:$A$42,0)),"Media"))</f>
        <v/>
      </c>
      <c r="Q1591" s="44" t="n"/>
      <c r="R1591" s="45" t="n"/>
      <c r="S1591" s="20">
        <f>IFERROR(IF(OR($R1591="",$C1591=""),"",$R1591/INDEX(DESPACHOS!$M$3:$M$3002,MATCH($C1591,DESPACHOS!$B$3:$B$3002,0))),"")</f>
        <v/>
      </c>
      <c r="T1591" s="41" t="n"/>
      <c r="U1591" s="43">
        <f>IF(OR($B1591="",$L1591=""),"",WORKDAY($B1591,IFERROR(INDEX(LISTAS!$C$3:$C$42,MATCH($L1591,LISTAS!$A$3:$A$42,0)),3)))</f>
        <v/>
      </c>
      <c r="V1591" s="40" t="n"/>
      <c r="W1591" s="19">
        <f>IF($B1591="","",IF($V1591&lt;&gt;"",$V1591-$B1591,TODAY()-$B1591))</f>
        <v/>
      </c>
      <c r="X1591" s="19">
        <f>IF(OR($B1591="",$U1591=""),"",IF($V1591&lt;&gt;"",MAX(0,$V1591-$U1591),MAX(0,TODAY()-$U1591)))</f>
        <v/>
      </c>
      <c r="Y1591" s="39">
        <f>IF($C1591="","",IF(IFERROR(INDEX(LISTAS!$I$3:$I$42,MATCH($T1591,LISTAS!$H$3:$H$42,0)),"NO")="SÍ",IF(N($X1591)&gt;0,"CERRADA FUERA DE SLA","CERRADA EN SLA"),IF($U1591="","SIN CLASIFICAR",IF(N($X1591)&gt;0,"VENCIDA",IF(TODAY()&gt;=$U1591-1,"POR VENCER","EN PLAZO")))))</f>
        <v/>
      </c>
      <c r="Z1591" s="41" t="n"/>
      <c r="AA1591" s="41" t="n"/>
      <c r="AB1591" s="41" t="n"/>
    </row>
    <row r="1592">
      <c r="A1592" s="39">
        <f>IF($C1592="","","NOV-"&amp;TEXT(ROW()-3,"0000"))</f>
        <v/>
      </c>
      <c r="B1592" s="40" t="n"/>
      <c r="C1592" s="41" t="n"/>
      <c r="D1592" s="42">
        <f>IF($C1592="","",IFERROR(INDEX(DESPACHOS!$D$3:$D$3002,MATCH($C1592,DESPACHOS!$B$3:$B$3002,0)),"SIN DESPACHO"))</f>
        <v/>
      </c>
      <c r="E1592" s="42">
        <f>IF($C1592="","",IFERROR(INDEX(DESPACHOS!$K$3:$K$3002,MATCH($C1592,DESPACHOS!$B$3:$B$3002,0)),""))</f>
        <v/>
      </c>
      <c r="F1592" s="42">
        <f>IF($C1592="","",IFERROR(INDEX(DESPACHOS!$I$3:$I$3002,MATCH($C1592,DESPACHOS!$B$3:$B$3002,0)),""))</f>
        <v/>
      </c>
      <c r="G1592" s="42">
        <f>IF($C1592="","",IFERROR(INDEX(DESPACHOS!$F$3:$F$3002,MATCH($C1592,DESPACHOS!$B$3:$B$3002,0)),""))</f>
        <v/>
      </c>
      <c r="H1592" s="42">
        <f>IF($C1592="","",IFERROR(INDEX(DESPACHOS!$G$3:$G$3002,MATCH($C1592,DESPACHOS!$B$3:$B$3002,0)),""))</f>
        <v/>
      </c>
      <c r="I1592" s="39">
        <f>IF($C1592="","",IFERROR(INDEX(DESPACHOS!$H$3:$H$3002,MATCH($C1592,DESPACHOS!$B$3:$B$3002,0)),""))</f>
        <v/>
      </c>
      <c r="J1592" s="43">
        <f>IF($C1592="","",IFERROR(INDEX(DESPACHOS!$J$3:$J$3002,MATCH($C1592,DESPACHOS!$B$3:$B$3002,0)),""))</f>
        <v/>
      </c>
      <c r="K1592" s="39">
        <f>IF($C1592="","",IF(COUNTIFS(DESPACHOS!$B$3:$B$3002,$C1592)=0,"NO EXISTE",IF(COUNTIFS(DESPACHOS!$B$3:$B$3002,$C1592)&gt;1,"DUPLICADO","OK")))</f>
        <v/>
      </c>
      <c r="L1592" s="41" t="n"/>
      <c r="M1592" s="41" t="n"/>
      <c r="N1592" s="42">
        <f>IF($M1592="","",IFERROR(INDEX(LISTAS!$F$3:$F$42,MATCH($M1592,LISTAS!$E$3:$E$42,0)),"Por definir"))</f>
        <v/>
      </c>
      <c r="O1592" s="41" t="n"/>
      <c r="P1592" s="39">
        <f>IF($L1592="","",IFERROR(INDEX(LISTAS!$B$3:$B$42,MATCH($L1592,LISTAS!$A$3:$A$42,0)),"Media"))</f>
        <v/>
      </c>
      <c r="Q1592" s="44" t="n"/>
      <c r="R1592" s="45" t="n"/>
      <c r="S1592" s="20">
        <f>IFERROR(IF(OR($R1592="",$C1592=""),"",$R1592/INDEX(DESPACHOS!$M$3:$M$3002,MATCH($C1592,DESPACHOS!$B$3:$B$3002,0))),"")</f>
        <v/>
      </c>
      <c r="T1592" s="41" t="n"/>
      <c r="U1592" s="43">
        <f>IF(OR($B1592="",$L1592=""),"",WORKDAY($B1592,IFERROR(INDEX(LISTAS!$C$3:$C$42,MATCH($L1592,LISTAS!$A$3:$A$42,0)),3)))</f>
        <v/>
      </c>
      <c r="V1592" s="40" t="n"/>
      <c r="W1592" s="19">
        <f>IF($B1592="","",IF($V1592&lt;&gt;"",$V1592-$B1592,TODAY()-$B1592))</f>
        <v/>
      </c>
      <c r="X1592" s="19">
        <f>IF(OR($B1592="",$U1592=""),"",IF($V1592&lt;&gt;"",MAX(0,$V1592-$U1592),MAX(0,TODAY()-$U1592)))</f>
        <v/>
      </c>
      <c r="Y1592" s="39">
        <f>IF($C1592="","",IF(IFERROR(INDEX(LISTAS!$I$3:$I$42,MATCH($T1592,LISTAS!$H$3:$H$42,0)),"NO")="SÍ",IF(N($X1592)&gt;0,"CERRADA FUERA DE SLA","CERRADA EN SLA"),IF($U1592="","SIN CLASIFICAR",IF(N($X1592)&gt;0,"VENCIDA",IF(TODAY()&gt;=$U1592-1,"POR VENCER","EN PLAZO")))))</f>
        <v/>
      </c>
      <c r="Z1592" s="41" t="n"/>
      <c r="AA1592" s="41" t="n"/>
      <c r="AB1592" s="41" t="n"/>
    </row>
    <row r="1593">
      <c r="A1593" s="39">
        <f>IF($C1593="","","NOV-"&amp;TEXT(ROW()-3,"0000"))</f>
        <v/>
      </c>
      <c r="B1593" s="40" t="n"/>
      <c r="C1593" s="41" t="n"/>
      <c r="D1593" s="42">
        <f>IF($C1593="","",IFERROR(INDEX(DESPACHOS!$D$3:$D$3002,MATCH($C1593,DESPACHOS!$B$3:$B$3002,0)),"SIN DESPACHO"))</f>
        <v/>
      </c>
      <c r="E1593" s="42">
        <f>IF($C1593="","",IFERROR(INDEX(DESPACHOS!$K$3:$K$3002,MATCH($C1593,DESPACHOS!$B$3:$B$3002,0)),""))</f>
        <v/>
      </c>
      <c r="F1593" s="42">
        <f>IF($C1593="","",IFERROR(INDEX(DESPACHOS!$I$3:$I$3002,MATCH($C1593,DESPACHOS!$B$3:$B$3002,0)),""))</f>
        <v/>
      </c>
      <c r="G1593" s="42">
        <f>IF($C1593="","",IFERROR(INDEX(DESPACHOS!$F$3:$F$3002,MATCH($C1593,DESPACHOS!$B$3:$B$3002,0)),""))</f>
        <v/>
      </c>
      <c r="H1593" s="42">
        <f>IF($C1593="","",IFERROR(INDEX(DESPACHOS!$G$3:$G$3002,MATCH($C1593,DESPACHOS!$B$3:$B$3002,0)),""))</f>
        <v/>
      </c>
      <c r="I1593" s="39">
        <f>IF($C1593="","",IFERROR(INDEX(DESPACHOS!$H$3:$H$3002,MATCH($C1593,DESPACHOS!$B$3:$B$3002,0)),""))</f>
        <v/>
      </c>
      <c r="J1593" s="43">
        <f>IF($C1593="","",IFERROR(INDEX(DESPACHOS!$J$3:$J$3002,MATCH($C1593,DESPACHOS!$B$3:$B$3002,0)),""))</f>
        <v/>
      </c>
      <c r="K1593" s="39">
        <f>IF($C1593="","",IF(COUNTIFS(DESPACHOS!$B$3:$B$3002,$C1593)=0,"NO EXISTE",IF(COUNTIFS(DESPACHOS!$B$3:$B$3002,$C1593)&gt;1,"DUPLICADO","OK")))</f>
        <v/>
      </c>
      <c r="L1593" s="41" t="n"/>
      <c r="M1593" s="41" t="n"/>
      <c r="N1593" s="42">
        <f>IF($M1593="","",IFERROR(INDEX(LISTAS!$F$3:$F$42,MATCH($M1593,LISTAS!$E$3:$E$42,0)),"Por definir"))</f>
        <v/>
      </c>
      <c r="O1593" s="41" t="n"/>
      <c r="P1593" s="39">
        <f>IF($L1593="","",IFERROR(INDEX(LISTAS!$B$3:$B$42,MATCH($L1593,LISTAS!$A$3:$A$42,0)),"Media"))</f>
        <v/>
      </c>
      <c r="Q1593" s="44" t="n"/>
      <c r="R1593" s="45" t="n"/>
      <c r="S1593" s="20">
        <f>IFERROR(IF(OR($R1593="",$C1593=""),"",$R1593/INDEX(DESPACHOS!$M$3:$M$3002,MATCH($C1593,DESPACHOS!$B$3:$B$3002,0))),"")</f>
        <v/>
      </c>
      <c r="T1593" s="41" t="n"/>
      <c r="U1593" s="43">
        <f>IF(OR($B1593="",$L1593=""),"",WORKDAY($B1593,IFERROR(INDEX(LISTAS!$C$3:$C$42,MATCH($L1593,LISTAS!$A$3:$A$42,0)),3)))</f>
        <v/>
      </c>
      <c r="V1593" s="40" t="n"/>
      <c r="W1593" s="19">
        <f>IF($B1593="","",IF($V1593&lt;&gt;"",$V1593-$B1593,TODAY()-$B1593))</f>
        <v/>
      </c>
      <c r="X1593" s="19">
        <f>IF(OR($B1593="",$U1593=""),"",IF($V1593&lt;&gt;"",MAX(0,$V1593-$U1593),MAX(0,TODAY()-$U1593)))</f>
        <v/>
      </c>
      <c r="Y1593" s="39">
        <f>IF($C1593="","",IF(IFERROR(INDEX(LISTAS!$I$3:$I$42,MATCH($T1593,LISTAS!$H$3:$H$42,0)),"NO")="SÍ",IF(N($X1593)&gt;0,"CERRADA FUERA DE SLA","CERRADA EN SLA"),IF($U1593="","SIN CLASIFICAR",IF(N($X1593)&gt;0,"VENCIDA",IF(TODAY()&gt;=$U1593-1,"POR VENCER","EN PLAZO")))))</f>
        <v/>
      </c>
      <c r="Z1593" s="41" t="n"/>
      <c r="AA1593" s="41" t="n"/>
      <c r="AB1593" s="41" t="n"/>
    </row>
    <row r="1594">
      <c r="A1594" s="39">
        <f>IF($C1594="","","NOV-"&amp;TEXT(ROW()-3,"0000"))</f>
        <v/>
      </c>
      <c r="B1594" s="40" t="n"/>
      <c r="C1594" s="41" t="n"/>
      <c r="D1594" s="42">
        <f>IF($C1594="","",IFERROR(INDEX(DESPACHOS!$D$3:$D$3002,MATCH($C1594,DESPACHOS!$B$3:$B$3002,0)),"SIN DESPACHO"))</f>
        <v/>
      </c>
      <c r="E1594" s="42">
        <f>IF($C1594="","",IFERROR(INDEX(DESPACHOS!$K$3:$K$3002,MATCH($C1594,DESPACHOS!$B$3:$B$3002,0)),""))</f>
        <v/>
      </c>
      <c r="F1594" s="42">
        <f>IF($C1594="","",IFERROR(INDEX(DESPACHOS!$I$3:$I$3002,MATCH($C1594,DESPACHOS!$B$3:$B$3002,0)),""))</f>
        <v/>
      </c>
      <c r="G1594" s="42">
        <f>IF($C1594="","",IFERROR(INDEX(DESPACHOS!$F$3:$F$3002,MATCH($C1594,DESPACHOS!$B$3:$B$3002,0)),""))</f>
        <v/>
      </c>
      <c r="H1594" s="42">
        <f>IF($C1594="","",IFERROR(INDEX(DESPACHOS!$G$3:$G$3002,MATCH($C1594,DESPACHOS!$B$3:$B$3002,0)),""))</f>
        <v/>
      </c>
      <c r="I1594" s="39">
        <f>IF($C1594="","",IFERROR(INDEX(DESPACHOS!$H$3:$H$3002,MATCH($C1594,DESPACHOS!$B$3:$B$3002,0)),""))</f>
        <v/>
      </c>
      <c r="J1594" s="43">
        <f>IF($C1594="","",IFERROR(INDEX(DESPACHOS!$J$3:$J$3002,MATCH($C1594,DESPACHOS!$B$3:$B$3002,0)),""))</f>
        <v/>
      </c>
      <c r="K1594" s="39">
        <f>IF($C1594="","",IF(COUNTIFS(DESPACHOS!$B$3:$B$3002,$C1594)=0,"NO EXISTE",IF(COUNTIFS(DESPACHOS!$B$3:$B$3002,$C1594)&gt;1,"DUPLICADO","OK")))</f>
        <v/>
      </c>
      <c r="L1594" s="41" t="n"/>
      <c r="M1594" s="41" t="n"/>
      <c r="N1594" s="42">
        <f>IF($M1594="","",IFERROR(INDEX(LISTAS!$F$3:$F$42,MATCH($M1594,LISTAS!$E$3:$E$42,0)),"Por definir"))</f>
        <v/>
      </c>
      <c r="O1594" s="41" t="n"/>
      <c r="P1594" s="39">
        <f>IF($L1594="","",IFERROR(INDEX(LISTAS!$B$3:$B$42,MATCH($L1594,LISTAS!$A$3:$A$42,0)),"Media"))</f>
        <v/>
      </c>
      <c r="Q1594" s="44" t="n"/>
      <c r="R1594" s="45" t="n"/>
      <c r="S1594" s="20">
        <f>IFERROR(IF(OR($R1594="",$C1594=""),"",$R1594/INDEX(DESPACHOS!$M$3:$M$3002,MATCH($C1594,DESPACHOS!$B$3:$B$3002,0))),"")</f>
        <v/>
      </c>
      <c r="T1594" s="41" t="n"/>
      <c r="U1594" s="43">
        <f>IF(OR($B1594="",$L1594=""),"",WORKDAY($B1594,IFERROR(INDEX(LISTAS!$C$3:$C$42,MATCH($L1594,LISTAS!$A$3:$A$42,0)),3)))</f>
        <v/>
      </c>
      <c r="V1594" s="40" t="n"/>
      <c r="W1594" s="19">
        <f>IF($B1594="","",IF($V1594&lt;&gt;"",$V1594-$B1594,TODAY()-$B1594))</f>
        <v/>
      </c>
      <c r="X1594" s="19">
        <f>IF(OR($B1594="",$U1594=""),"",IF($V1594&lt;&gt;"",MAX(0,$V1594-$U1594),MAX(0,TODAY()-$U1594)))</f>
        <v/>
      </c>
      <c r="Y1594" s="39">
        <f>IF($C1594="","",IF(IFERROR(INDEX(LISTAS!$I$3:$I$42,MATCH($T1594,LISTAS!$H$3:$H$42,0)),"NO")="SÍ",IF(N($X1594)&gt;0,"CERRADA FUERA DE SLA","CERRADA EN SLA"),IF($U1594="","SIN CLASIFICAR",IF(N($X1594)&gt;0,"VENCIDA",IF(TODAY()&gt;=$U1594-1,"POR VENCER","EN PLAZO")))))</f>
        <v/>
      </c>
      <c r="Z1594" s="41" t="n"/>
      <c r="AA1594" s="41" t="n"/>
      <c r="AB1594" s="41" t="n"/>
    </row>
    <row r="1595">
      <c r="A1595" s="39">
        <f>IF($C1595="","","NOV-"&amp;TEXT(ROW()-3,"0000"))</f>
        <v/>
      </c>
      <c r="B1595" s="40" t="n"/>
      <c r="C1595" s="41" t="n"/>
      <c r="D1595" s="42">
        <f>IF($C1595="","",IFERROR(INDEX(DESPACHOS!$D$3:$D$3002,MATCH($C1595,DESPACHOS!$B$3:$B$3002,0)),"SIN DESPACHO"))</f>
        <v/>
      </c>
      <c r="E1595" s="42">
        <f>IF($C1595="","",IFERROR(INDEX(DESPACHOS!$K$3:$K$3002,MATCH($C1595,DESPACHOS!$B$3:$B$3002,0)),""))</f>
        <v/>
      </c>
      <c r="F1595" s="42">
        <f>IF($C1595="","",IFERROR(INDEX(DESPACHOS!$I$3:$I$3002,MATCH($C1595,DESPACHOS!$B$3:$B$3002,0)),""))</f>
        <v/>
      </c>
      <c r="G1595" s="42">
        <f>IF($C1595="","",IFERROR(INDEX(DESPACHOS!$F$3:$F$3002,MATCH($C1595,DESPACHOS!$B$3:$B$3002,0)),""))</f>
        <v/>
      </c>
      <c r="H1595" s="42">
        <f>IF($C1595="","",IFERROR(INDEX(DESPACHOS!$G$3:$G$3002,MATCH($C1595,DESPACHOS!$B$3:$B$3002,0)),""))</f>
        <v/>
      </c>
      <c r="I1595" s="39">
        <f>IF($C1595="","",IFERROR(INDEX(DESPACHOS!$H$3:$H$3002,MATCH($C1595,DESPACHOS!$B$3:$B$3002,0)),""))</f>
        <v/>
      </c>
      <c r="J1595" s="43">
        <f>IF($C1595="","",IFERROR(INDEX(DESPACHOS!$J$3:$J$3002,MATCH($C1595,DESPACHOS!$B$3:$B$3002,0)),""))</f>
        <v/>
      </c>
      <c r="K1595" s="39">
        <f>IF($C1595="","",IF(COUNTIFS(DESPACHOS!$B$3:$B$3002,$C1595)=0,"NO EXISTE",IF(COUNTIFS(DESPACHOS!$B$3:$B$3002,$C1595)&gt;1,"DUPLICADO","OK")))</f>
        <v/>
      </c>
      <c r="L1595" s="41" t="n"/>
      <c r="M1595" s="41" t="n"/>
      <c r="N1595" s="42">
        <f>IF($M1595="","",IFERROR(INDEX(LISTAS!$F$3:$F$42,MATCH($M1595,LISTAS!$E$3:$E$42,0)),"Por definir"))</f>
        <v/>
      </c>
      <c r="O1595" s="41" t="n"/>
      <c r="P1595" s="39">
        <f>IF($L1595="","",IFERROR(INDEX(LISTAS!$B$3:$B$42,MATCH($L1595,LISTAS!$A$3:$A$42,0)),"Media"))</f>
        <v/>
      </c>
      <c r="Q1595" s="44" t="n"/>
      <c r="R1595" s="45" t="n"/>
      <c r="S1595" s="20">
        <f>IFERROR(IF(OR($R1595="",$C1595=""),"",$R1595/INDEX(DESPACHOS!$M$3:$M$3002,MATCH($C1595,DESPACHOS!$B$3:$B$3002,0))),"")</f>
        <v/>
      </c>
      <c r="T1595" s="41" t="n"/>
      <c r="U1595" s="43">
        <f>IF(OR($B1595="",$L1595=""),"",WORKDAY($B1595,IFERROR(INDEX(LISTAS!$C$3:$C$42,MATCH($L1595,LISTAS!$A$3:$A$42,0)),3)))</f>
        <v/>
      </c>
      <c r="V1595" s="40" t="n"/>
      <c r="W1595" s="19">
        <f>IF($B1595="","",IF($V1595&lt;&gt;"",$V1595-$B1595,TODAY()-$B1595))</f>
        <v/>
      </c>
      <c r="X1595" s="19">
        <f>IF(OR($B1595="",$U1595=""),"",IF($V1595&lt;&gt;"",MAX(0,$V1595-$U1595),MAX(0,TODAY()-$U1595)))</f>
        <v/>
      </c>
      <c r="Y1595" s="39">
        <f>IF($C1595="","",IF(IFERROR(INDEX(LISTAS!$I$3:$I$42,MATCH($T1595,LISTAS!$H$3:$H$42,0)),"NO")="SÍ",IF(N($X1595)&gt;0,"CERRADA FUERA DE SLA","CERRADA EN SLA"),IF($U1595="","SIN CLASIFICAR",IF(N($X1595)&gt;0,"VENCIDA",IF(TODAY()&gt;=$U1595-1,"POR VENCER","EN PLAZO")))))</f>
        <v/>
      </c>
      <c r="Z1595" s="41" t="n"/>
      <c r="AA1595" s="41" t="n"/>
      <c r="AB1595" s="41" t="n"/>
    </row>
    <row r="1596">
      <c r="A1596" s="39">
        <f>IF($C1596="","","NOV-"&amp;TEXT(ROW()-3,"0000"))</f>
        <v/>
      </c>
      <c r="B1596" s="40" t="n"/>
      <c r="C1596" s="41" t="n"/>
      <c r="D1596" s="42">
        <f>IF($C1596="","",IFERROR(INDEX(DESPACHOS!$D$3:$D$3002,MATCH($C1596,DESPACHOS!$B$3:$B$3002,0)),"SIN DESPACHO"))</f>
        <v/>
      </c>
      <c r="E1596" s="42">
        <f>IF($C1596="","",IFERROR(INDEX(DESPACHOS!$K$3:$K$3002,MATCH($C1596,DESPACHOS!$B$3:$B$3002,0)),""))</f>
        <v/>
      </c>
      <c r="F1596" s="42">
        <f>IF($C1596="","",IFERROR(INDEX(DESPACHOS!$I$3:$I$3002,MATCH($C1596,DESPACHOS!$B$3:$B$3002,0)),""))</f>
        <v/>
      </c>
      <c r="G1596" s="42">
        <f>IF($C1596="","",IFERROR(INDEX(DESPACHOS!$F$3:$F$3002,MATCH($C1596,DESPACHOS!$B$3:$B$3002,0)),""))</f>
        <v/>
      </c>
      <c r="H1596" s="42">
        <f>IF($C1596="","",IFERROR(INDEX(DESPACHOS!$G$3:$G$3002,MATCH($C1596,DESPACHOS!$B$3:$B$3002,0)),""))</f>
        <v/>
      </c>
      <c r="I1596" s="39">
        <f>IF($C1596="","",IFERROR(INDEX(DESPACHOS!$H$3:$H$3002,MATCH($C1596,DESPACHOS!$B$3:$B$3002,0)),""))</f>
        <v/>
      </c>
      <c r="J1596" s="43">
        <f>IF($C1596="","",IFERROR(INDEX(DESPACHOS!$J$3:$J$3002,MATCH($C1596,DESPACHOS!$B$3:$B$3002,0)),""))</f>
        <v/>
      </c>
      <c r="K1596" s="39">
        <f>IF($C1596="","",IF(COUNTIFS(DESPACHOS!$B$3:$B$3002,$C1596)=0,"NO EXISTE",IF(COUNTIFS(DESPACHOS!$B$3:$B$3002,$C1596)&gt;1,"DUPLICADO","OK")))</f>
        <v/>
      </c>
      <c r="L1596" s="41" t="n"/>
      <c r="M1596" s="41" t="n"/>
      <c r="N1596" s="42">
        <f>IF($M1596="","",IFERROR(INDEX(LISTAS!$F$3:$F$42,MATCH($M1596,LISTAS!$E$3:$E$42,0)),"Por definir"))</f>
        <v/>
      </c>
      <c r="O1596" s="41" t="n"/>
      <c r="P1596" s="39">
        <f>IF($L1596="","",IFERROR(INDEX(LISTAS!$B$3:$B$42,MATCH($L1596,LISTAS!$A$3:$A$42,0)),"Media"))</f>
        <v/>
      </c>
      <c r="Q1596" s="44" t="n"/>
      <c r="R1596" s="45" t="n"/>
      <c r="S1596" s="20">
        <f>IFERROR(IF(OR($R1596="",$C1596=""),"",$R1596/INDEX(DESPACHOS!$M$3:$M$3002,MATCH($C1596,DESPACHOS!$B$3:$B$3002,0))),"")</f>
        <v/>
      </c>
      <c r="T1596" s="41" t="n"/>
      <c r="U1596" s="43">
        <f>IF(OR($B1596="",$L1596=""),"",WORKDAY($B1596,IFERROR(INDEX(LISTAS!$C$3:$C$42,MATCH($L1596,LISTAS!$A$3:$A$42,0)),3)))</f>
        <v/>
      </c>
      <c r="V1596" s="40" t="n"/>
      <c r="W1596" s="19">
        <f>IF($B1596="","",IF($V1596&lt;&gt;"",$V1596-$B1596,TODAY()-$B1596))</f>
        <v/>
      </c>
      <c r="X1596" s="19">
        <f>IF(OR($B1596="",$U1596=""),"",IF($V1596&lt;&gt;"",MAX(0,$V1596-$U1596),MAX(0,TODAY()-$U1596)))</f>
        <v/>
      </c>
      <c r="Y1596" s="39">
        <f>IF($C1596="","",IF(IFERROR(INDEX(LISTAS!$I$3:$I$42,MATCH($T1596,LISTAS!$H$3:$H$42,0)),"NO")="SÍ",IF(N($X1596)&gt;0,"CERRADA FUERA DE SLA","CERRADA EN SLA"),IF($U1596="","SIN CLASIFICAR",IF(N($X1596)&gt;0,"VENCIDA",IF(TODAY()&gt;=$U1596-1,"POR VENCER","EN PLAZO")))))</f>
        <v/>
      </c>
      <c r="Z1596" s="41" t="n"/>
      <c r="AA1596" s="41" t="n"/>
      <c r="AB1596" s="41" t="n"/>
    </row>
    <row r="1597">
      <c r="A1597" s="39">
        <f>IF($C1597="","","NOV-"&amp;TEXT(ROW()-3,"0000"))</f>
        <v/>
      </c>
      <c r="B1597" s="40" t="n"/>
      <c r="C1597" s="41" t="n"/>
      <c r="D1597" s="42">
        <f>IF($C1597="","",IFERROR(INDEX(DESPACHOS!$D$3:$D$3002,MATCH($C1597,DESPACHOS!$B$3:$B$3002,0)),"SIN DESPACHO"))</f>
        <v/>
      </c>
      <c r="E1597" s="42">
        <f>IF($C1597="","",IFERROR(INDEX(DESPACHOS!$K$3:$K$3002,MATCH($C1597,DESPACHOS!$B$3:$B$3002,0)),""))</f>
        <v/>
      </c>
      <c r="F1597" s="42">
        <f>IF($C1597="","",IFERROR(INDEX(DESPACHOS!$I$3:$I$3002,MATCH($C1597,DESPACHOS!$B$3:$B$3002,0)),""))</f>
        <v/>
      </c>
      <c r="G1597" s="42">
        <f>IF($C1597="","",IFERROR(INDEX(DESPACHOS!$F$3:$F$3002,MATCH($C1597,DESPACHOS!$B$3:$B$3002,0)),""))</f>
        <v/>
      </c>
      <c r="H1597" s="42">
        <f>IF($C1597="","",IFERROR(INDEX(DESPACHOS!$G$3:$G$3002,MATCH($C1597,DESPACHOS!$B$3:$B$3002,0)),""))</f>
        <v/>
      </c>
      <c r="I1597" s="39">
        <f>IF($C1597="","",IFERROR(INDEX(DESPACHOS!$H$3:$H$3002,MATCH($C1597,DESPACHOS!$B$3:$B$3002,0)),""))</f>
        <v/>
      </c>
      <c r="J1597" s="43">
        <f>IF($C1597="","",IFERROR(INDEX(DESPACHOS!$J$3:$J$3002,MATCH($C1597,DESPACHOS!$B$3:$B$3002,0)),""))</f>
        <v/>
      </c>
      <c r="K1597" s="39">
        <f>IF($C1597="","",IF(COUNTIFS(DESPACHOS!$B$3:$B$3002,$C1597)=0,"NO EXISTE",IF(COUNTIFS(DESPACHOS!$B$3:$B$3002,$C1597)&gt;1,"DUPLICADO","OK")))</f>
        <v/>
      </c>
      <c r="L1597" s="41" t="n"/>
      <c r="M1597" s="41" t="n"/>
      <c r="N1597" s="42">
        <f>IF($M1597="","",IFERROR(INDEX(LISTAS!$F$3:$F$42,MATCH($M1597,LISTAS!$E$3:$E$42,0)),"Por definir"))</f>
        <v/>
      </c>
      <c r="O1597" s="41" t="n"/>
      <c r="P1597" s="39">
        <f>IF($L1597="","",IFERROR(INDEX(LISTAS!$B$3:$B$42,MATCH($L1597,LISTAS!$A$3:$A$42,0)),"Media"))</f>
        <v/>
      </c>
      <c r="Q1597" s="44" t="n"/>
      <c r="R1597" s="45" t="n"/>
      <c r="S1597" s="20">
        <f>IFERROR(IF(OR($R1597="",$C1597=""),"",$R1597/INDEX(DESPACHOS!$M$3:$M$3002,MATCH($C1597,DESPACHOS!$B$3:$B$3002,0))),"")</f>
        <v/>
      </c>
      <c r="T1597" s="41" t="n"/>
      <c r="U1597" s="43">
        <f>IF(OR($B1597="",$L1597=""),"",WORKDAY($B1597,IFERROR(INDEX(LISTAS!$C$3:$C$42,MATCH($L1597,LISTAS!$A$3:$A$42,0)),3)))</f>
        <v/>
      </c>
      <c r="V1597" s="40" t="n"/>
      <c r="W1597" s="19">
        <f>IF($B1597="","",IF($V1597&lt;&gt;"",$V1597-$B1597,TODAY()-$B1597))</f>
        <v/>
      </c>
      <c r="X1597" s="19">
        <f>IF(OR($B1597="",$U1597=""),"",IF($V1597&lt;&gt;"",MAX(0,$V1597-$U1597),MAX(0,TODAY()-$U1597)))</f>
        <v/>
      </c>
      <c r="Y1597" s="39">
        <f>IF($C1597="","",IF(IFERROR(INDEX(LISTAS!$I$3:$I$42,MATCH($T1597,LISTAS!$H$3:$H$42,0)),"NO")="SÍ",IF(N($X1597)&gt;0,"CERRADA FUERA DE SLA","CERRADA EN SLA"),IF($U1597="","SIN CLASIFICAR",IF(N($X1597)&gt;0,"VENCIDA",IF(TODAY()&gt;=$U1597-1,"POR VENCER","EN PLAZO")))))</f>
        <v/>
      </c>
      <c r="Z1597" s="41" t="n"/>
      <c r="AA1597" s="41" t="n"/>
      <c r="AB1597" s="41" t="n"/>
    </row>
    <row r="1598">
      <c r="A1598" s="39">
        <f>IF($C1598="","","NOV-"&amp;TEXT(ROW()-3,"0000"))</f>
        <v/>
      </c>
      <c r="B1598" s="40" t="n"/>
      <c r="C1598" s="41" t="n"/>
      <c r="D1598" s="42">
        <f>IF($C1598="","",IFERROR(INDEX(DESPACHOS!$D$3:$D$3002,MATCH($C1598,DESPACHOS!$B$3:$B$3002,0)),"SIN DESPACHO"))</f>
        <v/>
      </c>
      <c r="E1598" s="42">
        <f>IF($C1598="","",IFERROR(INDEX(DESPACHOS!$K$3:$K$3002,MATCH($C1598,DESPACHOS!$B$3:$B$3002,0)),""))</f>
        <v/>
      </c>
      <c r="F1598" s="42">
        <f>IF($C1598="","",IFERROR(INDEX(DESPACHOS!$I$3:$I$3002,MATCH($C1598,DESPACHOS!$B$3:$B$3002,0)),""))</f>
        <v/>
      </c>
      <c r="G1598" s="42">
        <f>IF($C1598="","",IFERROR(INDEX(DESPACHOS!$F$3:$F$3002,MATCH($C1598,DESPACHOS!$B$3:$B$3002,0)),""))</f>
        <v/>
      </c>
      <c r="H1598" s="42">
        <f>IF($C1598="","",IFERROR(INDEX(DESPACHOS!$G$3:$G$3002,MATCH($C1598,DESPACHOS!$B$3:$B$3002,0)),""))</f>
        <v/>
      </c>
      <c r="I1598" s="39">
        <f>IF($C1598="","",IFERROR(INDEX(DESPACHOS!$H$3:$H$3002,MATCH($C1598,DESPACHOS!$B$3:$B$3002,0)),""))</f>
        <v/>
      </c>
      <c r="J1598" s="43">
        <f>IF($C1598="","",IFERROR(INDEX(DESPACHOS!$J$3:$J$3002,MATCH($C1598,DESPACHOS!$B$3:$B$3002,0)),""))</f>
        <v/>
      </c>
      <c r="K1598" s="39">
        <f>IF($C1598="","",IF(COUNTIFS(DESPACHOS!$B$3:$B$3002,$C1598)=0,"NO EXISTE",IF(COUNTIFS(DESPACHOS!$B$3:$B$3002,$C1598)&gt;1,"DUPLICADO","OK")))</f>
        <v/>
      </c>
      <c r="L1598" s="41" t="n"/>
      <c r="M1598" s="41" t="n"/>
      <c r="N1598" s="42">
        <f>IF($M1598="","",IFERROR(INDEX(LISTAS!$F$3:$F$42,MATCH($M1598,LISTAS!$E$3:$E$42,0)),"Por definir"))</f>
        <v/>
      </c>
      <c r="O1598" s="41" t="n"/>
      <c r="P1598" s="39">
        <f>IF($L1598="","",IFERROR(INDEX(LISTAS!$B$3:$B$42,MATCH($L1598,LISTAS!$A$3:$A$42,0)),"Media"))</f>
        <v/>
      </c>
      <c r="Q1598" s="44" t="n"/>
      <c r="R1598" s="45" t="n"/>
      <c r="S1598" s="20">
        <f>IFERROR(IF(OR($R1598="",$C1598=""),"",$R1598/INDEX(DESPACHOS!$M$3:$M$3002,MATCH($C1598,DESPACHOS!$B$3:$B$3002,0))),"")</f>
        <v/>
      </c>
      <c r="T1598" s="41" t="n"/>
      <c r="U1598" s="43">
        <f>IF(OR($B1598="",$L1598=""),"",WORKDAY($B1598,IFERROR(INDEX(LISTAS!$C$3:$C$42,MATCH($L1598,LISTAS!$A$3:$A$42,0)),3)))</f>
        <v/>
      </c>
      <c r="V1598" s="40" t="n"/>
      <c r="W1598" s="19">
        <f>IF($B1598="","",IF($V1598&lt;&gt;"",$V1598-$B1598,TODAY()-$B1598))</f>
        <v/>
      </c>
      <c r="X1598" s="19">
        <f>IF(OR($B1598="",$U1598=""),"",IF($V1598&lt;&gt;"",MAX(0,$V1598-$U1598),MAX(0,TODAY()-$U1598)))</f>
        <v/>
      </c>
      <c r="Y1598" s="39">
        <f>IF($C1598="","",IF(IFERROR(INDEX(LISTAS!$I$3:$I$42,MATCH($T1598,LISTAS!$H$3:$H$42,0)),"NO")="SÍ",IF(N($X1598)&gt;0,"CERRADA FUERA DE SLA","CERRADA EN SLA"),IF($U1598="","SIN CLASIFICAR",IF(N($X1598)&gt;0,"VENCIDA",IF(TODAY()&gt;=$U1598-1,"POR VENCER","EN PLAZO")))))</f>
        <v/>
      </c>
      <c r="Z1598" s="41" t="n"/>
      <c r="AA1598" s="41" t="n"/>
      <c r="AB1598" s="41" t="n"/>
    </row>
    <row r="1599">
      <c r="A1599" s="39">
        <f>IF($C1599="","","NOV-"&amp;TEXT(ROW()-3,"0000"))</f>
        <v/>
      </c>
      <c r="B1599" s="40" t="n"/>
      <c r="C1599" s="41" t="n"/>
      <c r="D1599" s="42">
        <f>IF($C1599="","",IFERROR(INDEX(DESPACHOS!$D$3:$D$3002,MATCH($C1599,DESPACHOS!$B$3:$B$3002,0)),"SIN DESPACHO"))</f>
        <v/>
      </c>
      <c r="E1599" s="42">
        <f>IF($C1599="","",IFERROR(INDEX(DESPACHOS!$K$3:$K$3002,MATCH($C1599,DESPACHOS!$B$3:$B$3002,0)),""))</f>
        <v/>
      </c>
      <c r="F1599" s="42">
        <f>IF($C1599="","",IFERROR(INDEX(DESPACHOS!$I$3:$I$3002,MATCH($C1599,DESPACHOS!$B$3:$B$3002,0)),""))</f>
        <v/>
      </c>
      <c r="G1599" s="42">
        <f>IF($C1599="","",IFERROR(INDEX(DESPACHOS!$F$3:$F$3002,MATCH($C1599,DESPACHOS!$B$3:$B$3002,0)),""))</f>
        <v/>
      </c>
      <c r="H1599" s="42">
        <f>IF($C1599="","",IFERROR(INDEX(DESPACHOS!$G$3:$G$3002,MATCH($C1599,DESPACHOS!$B$3:$B$3002,0)),""))</f>
        <v/>
      </c>
      <c r="I1599" s="39">
        <f>IF($C1599="","",IFERROR(INDEX(DESPACHOS!$H$3:$H$3002,MATCH($C1599,DESPACHOS!$B$3:$B$3002,0)),""))</f>
        <v/>
      </c>
      <c r="J1599" s="43">
        <f>IF($C1599="","",IFERROR(INDEX(DESPACHOS!$J$3:$J$3002,MATCH($C1599,DESPACHOS!$B$3:$B$3002,0)),""))</f>
        <v/>
      </c>
      <c r="K1599" s="39">
        <f>IF($C1599="","",IF(COUNTIFS(DESPACHOS!$B$3:$B$3002,$C1599)=0,"NO EXISTE",IF(COUNTIFS(DESPACHOS!$B$3:$B$3002,$C1599)&gt;1,"DUPLICADO","OK")))</f>
        <v/>
      </c>
      <c r="L1599" s="41" t="n"/>
      <c r="M1599" s="41" t="n"/>
      <c r="N1599" s="42">
        <f>IF($M1599="","",IFERROR(INDEX(LISTAS!$F$3:$F$42,MATCH($M1599,LISTAS!$E$3:$E$42,0)),"Por definir"))</f>
        <v/>
      </c>
      <c r="O1599" s="41" t="n"/>
      <c r="P1599" s="39">
        <f>IF($L1599="","",IFERROR(INDEX(LISTAS!$B$3:$B$42,MATCH($L1599,LISTAS!$A$3:$A$42,0)),"Media"))</f>
        <v/>
      </c>
      <c r="Q1599" s="44" t="n"/>
      <c r="R1599" s="45" t="n"/>
      <c r="S1599" s="20">
        <f>IFERROR(IF(OR($R1599="",$C1599=""),"",$R1599/INDEX(DESPACHOS!$M$3:$M$3002,MATCH($C1599,DESPACHOS!$B$3:$B$3002,0))),"")</f>
        <v/>
      </c>
      <c r="T1599" s="41" t="n"/>
      <c r="U1599" s="43">
        <f>IF(OR($B1599="",$L1599=""),"",WORKDAY($B1599,IFERROR(INDEX(LISTAS!$C$3:$C$42,MATCH($L1599,LISTAS!$A$3:$A$42,0)),3)))</f>
        <v/>
      </c>
      <c r="V1599" s="40" t="n"/>
      <c r="W1599" s="19">
        <f>IF($B1599="","",IF($V1599&lt;&gt;"",$V1599-$B1599,TODAY()-$B1599))</f>
        <v/>
      </c>
      <c r="X1599" s="19">
        <f>IF(OR($B1599="",$U1599=""),"",IF($V1599&lt;&gt;"",MAX(0,$V1599-$U1599),MAX(0,TODAY()-$U1599)))</f>
        <v/>
      </c>
      <c r="Y1599" s="39">
        <f>IF($C1599="","",IF(IFERROR(INDEX(LISTAS!$I$3:$I$42,MATCH($T1599,LISTAS!$H$3:$H$42,0)),"NO")="SÍ",IF(N($X1599)&gt;0,"CERRADA FUERA DE SLA","CERRADA EN SLA"),IF($U1599="","SIN CLASIFICAR",IF(N($X1599)&gt;0,"VENCIDA",IF(TODAY()&gt;=$U1599-1,"POR VENCER","EN PLAZO")))))</f>
        <v/>
      </c>
      <c r="Z1599" s="41" t="n"/>
      <c r="AA1599" s="41" t="n"/>
      <c r="AB1599" s="41" t="n"/>
    </row>
    <row r="1600">
      <c r="A1600" s="39">
        <f>IF($C1600="","","NOV-"&amp;TEXT(ROW()-3,"0000"))</f>
        <v/>
      </c>
      <c r="B1600" s="40" t="n"/>
      <c r="C1600" s="41" t="n"/>
      <c r="D1600" s="42">
        <f>IF($C1600="","",IFERROR(INDEX(DESPACHOS!$D$3:$D$3002,MATCH($C1600,DESPACHOS!$B$3:$B$3002,0)),"SIN DESPACHO"))</f>
        <v/>
      </c>
      <c r="E1600" s="42">
        <f>IF($C1600="","",IFERROR(INDEX(DESPACHOS!$K$3:$K$3002,MATCH($C1600,DESPACHOS!$B$3:$B$3002,0)),""))</f>
        <v/>
      </c>
      <c r="F1600" s="42">
        <f>IF($C1600="","",IFERROR(INDEX(DESPACHOS!$I$3:$I$3002,MATCH($C1600,DESPACHOS!$B$3:$B$3002,0)),""))</f>
        <v/>
      </c>
      <c r="G1600" s="42">
        <f>IF($C1600="","",IFERROR(INDEX(DESPACHOS!$F$3:$F$3002,MATCH($C1600,DESPACHOS!$B$3:$B$3002,0)),""))</f>
        <v/>
      </c>
      <c r="H1600" s="42">
        <f>IF($C1600="","",IFERROR(INDEX(DESPACHOS!$G$3:$G$3002,MATCH($C1600,DESPACHOS!$B$3:$B$3002,0)),""))</f>
        <v/>
      </c>
      <c r="I1600" s="39">
        <f>IF($C1600="","",IFERROR(INDEX(DESPACHOS!$H$3:$H$3002,MATCH($C1600,DESPACHOS!$B$3:$B$3002,0)),""))</f>
        <v/>
      </c>
      <c r="J1600" s="43">
        <f>IF($C1600="","",IFERROR(INDEX(DESPACHOS!$J$3:$J$3002,MATCH($C1600,DESPACHOS!$B$3:$B$3002,0)),""))</f>
        <v/>
      </c>
      <c r="K1600" s="39">
        <f>IF($C1600="","",IF(COUNTIFS(DESPACHOS!$B$3:$B$3002,$C1600)=0,"NO EXISTE",IF(COUNTIFS(DESPACHOS!$B$3:$B$3002,$C1600)&gt;1,"DUPLICADO","OK")))</f>
        <v/>
      </c>
      <c r="L1600" s="41" t="n"/>
      <c r="M1600" s="41" t="n"/>
      <c r="N1600" s="42">
        <f>IF($M1600="","",IFERROR(INDEX(LISTAS!$F$3:$F$42,MATCH($M1600,LISTAS!$E$3:$E$42,0)),"Por definir"))</f>
        <v/>
      </c>
      <c r="O1600" s="41" t="n"/>
      <c r="P1600" s="39">
        <f>IF($L1600="","",IFERROR(INDEX(LISTAS!$B$3:$B$42,MATCH($L1600,LISTAS!$A$3:$A$42,0)),"Media"))</f>
        <v/>
      </c>
      <c r="Q1600" s="44" t="n"/>
      <c r="R1600" s="45" t="n"/>
      <c r="S1600" s="20">
        <f>IFERROR(IF(OR($R1600="",$C1600=""),"",$R1600/INDEX(DESPACHOS!$M$3:$M$3002,MATCH($C1600,DESPACHOS!$B$3:$B$3002,0))),"")</f>
        <v/>
      </c>
      <c r="T1600" s="41" t="n"/>
      <c r="U1600" s="43">
        <f>IF(OR($B1600="",$L1600=""),"",WORKDAY($B1600,IFERROR(INDEX(LISTAS!$C$3:$C$42,MATCH($L1600,LISTAS!$A$3:$A$42,0)),3)))</f>
        <v/>
      </c>
      <c r="V1600" s="40" t="n"/>
      <c r="W1600" s="19">
        <f>IF($B1600="","",IF($V1600&lt;&gt;"",$V1600-$B1600,TODAY()-$B1600))</f>
        <v/>
      </c>
      <c r="X1600" s="19">
        <f>IF(OR($B1600="",$U1600=""),"",IF($V1600&lt;&gt;"",MAX(0,$V1600-$U1600),MAX(0,TODAY()-$U1600)))</f>
        <v/>
      </c>
      <c r="Y1600" s="39">
        <f>IF($C1600="","",IF(IFERROR(INDEX(LISTAS!$I$3:$I$42,MATCH($T1600,LISTAS!$H$3:$H$42,0)),"NO")="SÍ",IF(N($X1600)&gt;0,"CERRADA FUERA DE SLA","CERRADA EN SLA"),IF($U1600="","SIN CLASIFICAR",IF(N($X1600)&gt;0,"VENCIDA",IF(TODAY()&gt;=$U1600-1,"POR VENCER","EN PLAZO")))))</f>
        <v/>
      </c>
      <c r="Z1600" s="41" t="n"/>
      <c r="AA1600" s="41" t="n"/>
      <c r="AB1600" s="41" t="n"/>
    </row>
    <row r="1601">
      <c r="A1601" s="39">
        <f>IF($C1601="","","NOV-"&amp;TEXT(ROW()-3,"0000"))</f>
        <v/>
      </c>
      <c r="B1601" s="40" t="n"/>
      <c r="C1601" s="41" t="n"/>
      <c r="D1601" s="42">
        <f>IF($C1601="","",IFERROR(INDEX(DESPACHOS!$D$3:$D$3002,MATCH($C1601,DESPACHOS!$B$3:$B$3002,0)),"SIN DESPACHO"))</f>
        <v/>
      </c>
      <c r="E1601" s="42">
        <f>IF($C1601="","",IFERROR(INDEX(DESPACHOS!$K$3:$K$3002,MATCH($C1601,DESPACHOS!$B$3:$B$3002,0)),""))</f>
        <v/>
      </c>
      <c r="F1601" s="42">
        <f>IF($C1601="","",IFERROR(INDEX(DESPACHOS!$I$3:$I$3002,MATCH($C1601,DESPACHOS!$B$3:$B$3002,0)),""))</f>
        <v/>
      </c>
      <c r="G1601" s="42">
        <f>IF($C1601="","",IFERROR(INDEX(DESPACHOS!$F$3:$F$3002,MATCH($C1601,DESPACHOS!$B$3:$B$3002,0)),""))</f>
        <v/>
      </c>
      <c r="H1601" s="42">
        <f>IF($C1601="","",IFERROR(INDEX(DESPACHOS!$G$3:$G$3002,MATCH($C1601,DESPACHOS!$B$3:$B$3002,0)),""))</f>
        <v/>
      </c>
      <c r="I1601" s="39">
        <f>IF($C1601="","",IFERROR(INDEX(DESPACHOS!$H$3:$H$3002,MATCH($C1601,DESPACHOS!$B$3:$B$3002,0)),""))</f>
        <v/>
      </c>
      <c r="J1601" s="43">
        <f>IF($C1601="","",IFERROR(INDEX(DESPACHOS!$J$3:$J$3002,MATCH($C1601,DESPACHOS!$B$3:$B$3002,0)),""))</f>
        <v/>
      </c>
      <c r="K1601" s="39">
        <f>IF($C1601="","",IF(COUNTIFS(DESPACHOS!$B$3:$B$3002,$C1601)=0,"NO EXISTE",IF(COUNTIFS(DESPACHOS!$B$3:$B$3002,$C1601)&gt;1,"DUPLICADO","OK")))</f>
        <v/>
      </c>
      <c r="L1601" s="41" t="n"/>
      <c r="M1601" s="41" t="n"/>
      <c r="N1601" s="42">
        <f>IF($M1601="","",IFERROR(INDEX(LISTAS!$F$3:$F$42,MATCH($M1601,LISTAS!$E$3:$E$42,0)),"Por definir"))</f>
        <v/>
      </c>
      <c r="O1601" s="41" t="n"/>
      <c r="P1601" s="39">
        <f>IF($L1601="","",IFERROR(INDEX(LISTAS!$B$3:$B$42,MATCH($L1601,LISTAS!$A$3:$A$42,0)),"Media"))</f>
        <v/>
      </c>
      <c r="Q1601" s="44" t="n"/>
      <c r="R1601" s="45" t="n"/>
      <c r="S1601" s="20">
        <f>IFERROR(IF(OR($R1601="",$C1601=""),"",$R1601/INDEX(DESPACHOS!$M$3:$M$3002,MATCH($C1601,DESPACHOS!$B$3:$B$3002,0))),"")</f>
        <v/>
      </c>
      <c r="T1601" s="41" t="n"/>
      <c r="U1601" s="43">
        <f>IF(OR($B1601="",$L1601=""),"",WORKDAY($B1601,IFERROR(INDEX(LISTAS!$C$3:$C$42,MATCH($L1601,LISTAS!$A$3:$A$42,0)),3)))</f>
        <v/>
      </c>
      <c r="V1601" s="40" t="n"/>
      <c r="W1601" s="19">
        <f>IF($B1601="","",IF($V1601&lt;&gt;"",$V1601-$B1601,TODAY()-$B1601))</f>
        <v/>
      </c>
      <c r="X1601" s="19">
        <f>IF(OR($B1601="",$U1601=""),"",IF($V1601&lt;&gt;"",MAX(0,$V1601-$U1601),MAX(0,TODAY()-$U1601)))</f>
        <v/>
      </c>
      <c r="Y1601" s="39">
        <f>IF($C1601="","",IF(IFERROR(INDEX(LISTAS!$I$3:$I$42,MATCH($T1601,LISTAS!$H$3:$H$42,0)),"NO")="SÍ",IF(N($X1601)&gt;0,"CERRADA FUERA DE SLA","CERRADA EN SLA"),IF($U1601="","SIN CLASIFICAR",IF(N($X1601)&gt;0,"VENCIDA",IF(TODAY()&gt;=$U1601-1,"POR VENCER","EN PLAZO")))))</f>
        <v/>
      </c>
      <c r="Z1601" s="41" t="n"/>
      <c r="AA1601" s="41" t="n"/>
      <c r="AB1601" s="41" t="n"/>
    </row>
    <row r="1602">
      <c r="A1602" s="39">
        <f>IF($C1602="","","NOV-"&amp;TEXT(ROW()-3,"0000"))</f>
        <v/>
      </c>
      <c r="B1602" s="40" t="n"/>
      <c r="C1602" s="41" t="n"/>
      <c r="D1602" s="42">
        <f>IF($C1602="","",IFERROR(INDEX(DESPACHOS!$D$3:$D$3002,MATCH($C1602,DESPACHOS!$B$3:$B$3002,0)),"SIN DESPACHO"))</f>
        <v/>
      </c>
      <c r="E1602" s="42">
        <f>IF($C1602="","",IFERROR(INDEX(DESPACHOS!$K$3:$K$3002,MATCH($C1602,DESPACHOS!$B$3:$B$3002,0)),""))</f>
        <v/>
      </c>
      <c r="F1602" s="42">
        <f>IF($C1602="","",IFERROR(INDEX(DESPACHOS!$I$3:$I$3002,MATCH($C1602,DESPACHOS!$B$3:$B$3002,0)),""))</f>
        <v/>
      </c>
      <c r="G1602" s="42">
        <f>IF($C1602="","",IFERROR(INDEX(DESPACHOS!$F$3:$F$3002,MATCH($C1602,DESPACHOS!$B$3:$B$3002,0)),""))</f>
        <v/>
      </c>
      <c r="H1602" s="42">
        <f>IF($C1602="","",IFERROR(INDEX(DESPACHOS!$G$3:$G$3002,MATCH($C1602,DESPACHOS!$B$3:$B$3002,0)),""))</f>
        <v/>
      </c>
      <c r="I1602" s="39">
        <f>IF($C1602="","",IFERROR(INDEX(DESPACHOS!$H$3:$H$3002,MATCH($C1602,DESPACHOS!$B$3:$B$3002,0)),""))</f>
        <v/>
      </c>
      <c r="J1602" s="43">
        <f>IF($C1602="","",IFERROR(INDEX(DESPACHOS!$J$3:$J$3002,MATCH($C1602,DESPACHOS!$B$3:$B$3002,0)),""))</f>
        <v/>
      </c>
      <c r="K1602" s="39">
        <f>IF($C1602="","",IF(COUNTIFS(DESPACHOS!$B$3:$B$3002,$C1602)=0,"NO EXISTE",IF(COUNTIFS(DESPACHOS!$B$3:$B$3002,$C1602)&gt;1,"DUPLICADO","OK")))</f>
        <v/>
      </c>
      <c r="L1602" s="41" t="n"/>
      <c r="M1602" s="41" t="n"/>
      <c r="N1602" s="42">
        <f>IF($M1602="","",IFERROR(INDEX(LISTAS!$F$3:$F$42,MATCH($M1602,LISTAS!$E$3:$E$42,0)),"Por definir"))</f>
        <v/>
      </c>
      <c r="O1602" s="41" t="n"/>
      <c r="P1602" s="39">
        <f>IF($L1602="","",IFERROR(INDEX(LISTAS!$B$3:$B$42,MATCH($L1602,LISTAS!$A$3:$A$42,0)),"Media"))</f>
        <v/>
      </c>
      <c r="Q1602" s="44" t="n"/>
      <c r="R1602" s="45" t="n"/>
      <c r="S1602" s="20">
        <f>IFERROR(IF(OR($R1602="",$C1602=""),"",$R1602/INDEX(DESPACHOS!$M$3:$M$3002,MATCH($C1602,DESPACHOS!$B$3:$B$3002,0))),"")</f>
        <v/>
      </c>
      <c r="T1602" s="41" t="n"/>
      <c r="U1602" s="43">
        <f>IF(OR($B1602="",$L1602=""),"",WORKDAY($B1602,IFERROR(INDEX(LISTAS!$C$3:$C$42,MATCH($L1602,LISTAS!$A$3:$A$42,0)),3)))</f>
        <v/>
      </c>
      <c r="V1602" s="40" t="n"/>
      <c r="W1602" s="19">
        <f>IF($B1602="","",IF($V1602&lt;&gt;"",$V1602-$B1602,TODAY()-$B1602))</f>
        <v/>
      </c>
      <c r="X1602" s="19">
        <f>IF(OR($B1602="",$U1602=""),"",IF($V1602&lt;&gt;"",MAX(0,$V1602-$U1602),MAX(0,TODAY()-$U1602)))</f>
        <v/>
      </c>
      <c r="Y1602" s="39">
        <f>IF($C1602="","",IF(IFERROR(INDEX(LISTAS!$I$3:$I$42,MATCH($T1602,LISTAS!$H$3:$H$42,0)),"NO")="SÍ",IF(N($X1602)&gt;0,"CERRADA FUERA DE SLA","CERRADA EN SLA"),IF($U1602="","SIN CLASIFICAR",IF(N($X1602)&gt;0,"VENCIDA",IF(TODAY()&gt;=$U1602-1,"POR VENCER","EN PLAZO")))))</f>
        <v/>
      </c>
      <c r="Z1602" s="41" t="n"/>
      <c r="AA1602" s="41" t="n"/>
      <c r="AB1602" s="41" t="n"/>
    </row>
    <row r="1603">
      <c r="A1603" s="39">
        <f>IF($C1603="","","NOV-"&amp;TEXT(ROW()-3,"0000"))</f>
        <v/>
      </c>
      <c r="B1603" s="40" t="n"/>
      <c r="C1603" s="41" t="n"/>
      <c r="D1603" s="42">
        <f>IF($C1603="","",IFERROR(INDEX(DESPACHOS!$D$3:$D$3002,MATCH($C1603,DESPACHOS!$B$3:$B$3002,0)),"SIN DESPACHO"))</f>
        <v/>
      </c>
      <c r="E1603" s="42">
        <f>IF($C1603="","",IFERROR(INDEX(DESPACHOS!$K$3:$K$3002,MATCH($C1603,DESPACHOS!$B$3:$B$3002,0)),""))</f>
        <v/>
      </c>
      <c r="F1603" s="42">
        <f>IF($C1603="","",IFERROR(INDEX(DESPACHOS!$I$3:$I$3002,MATCH($C1603,DESPACHOS!$B$3:$B$3002,0)),""))</f>
        <v/>
      </c>
      <c r="G1603" s="42">
        <f>IF($C1603="","",IFERROR(INDEX(DESPACHOS!$F$3:$F$3002,MATCH($C1603,DESPACHOS!$B$3:$B$3002,0)),""))</f>
        <v/>
      </c>
      <c r="H1603" s="42">
        <f>IF($C1603="","",IFERROR(INDEX(DESPACHOS!$G$3:$G$3002,MATCH($C1603,DESPACHOS!$B$3:$B$3002,0)),""))</f>
        <v/>
      </c>
      <c r="I1603" s="39">
        <f>IF($C1603="","",IFERROR(INDEX(DESPACHOS!$H$3:$H$3002,MATCH($C1603,DESPACHOS!$B$3:$B$3002,0)),""))</f>
        <v/>
      </c>
      <c r="J1603" s="43">
        <f>IF($C1603="","",IFERROR(INDEX(DESPACHOS!$J$3:$J$3002,MATCH($C1603,DESPACHOS!$B$3:$B$3002,0)),""))</f>
        <v/>
      </c>
      <c r="K1603" s="39">
        <f>IF($C1603="","",IF(COUNTIFS(DESPACHOS!$B$3:$B$3002,$C1603)=0,"NO EXISTE",IF(COUNTIFS(DESPACHOS!$B$3:$B$3002,$C1603)&gt;1,"DUPLICADO","OK")))</f>
        <v/>
      </c>
      <c r="L1603" s="41" t="n"/>
      <c r="M1603" s="41" t="n"/>
      <c r="N1603" s="42">
        <f>IF($M1603="","",IFERROR(INDEX(LISTAS!$F$3:$F$42,MATCH($M1603,LISTAS!$E$3:$E$42,0)),"Por definir"))</f>
        <v/>
      </c>
      <c r="O1603" s="41" t="n"/>
      <c r="P1603" s="39">
        <f>IF($L1603="","",IFERROR(INDEX(LISTAS!$B$3:$B$42,MATCH($L1603,LISTAS!$A$3:$A$42,0)),"Media"))</f>
        <v/>
      </c>
      <c r="Q1603" s="44" t="n"/>
      <c r="R1603" s="45" t="n"/>
      <c r="S1603" s="20">
        <f>IFERROR(IF(OR($R1603="",$C1603=""),"",$R1603/INDEX(DESPACHOS!$M$3:$M$3002,MATCH($C1603,DESPACHOS!$B$3:$B$3002,0))),"")</f>
        <v/>
      </c>
      <c r="T1603" s="41" t="n"/>
      <c r="U1603" s="43">
        <f>IF(OR($B1603="",$L1603=""),"",WORKDAY($B1603,IFERROR(INDEX(LISTAS!$C$3:$C$42,MATCH($L1603,LISTAS!$A$3:$A$42,0)),3)))</f>
        <v/>
      </c>
      <c r="V1603" s="40" t="n"/>
      <c r="W1603" s="19">
        <f>IF($B1603="","",IF($V1603&lt;&gt;"",$V1603-$B1603,TODAY()-$B1603))</f>
        <v/>
      </c>
      <c r="X1603" s="19">
        <f>IF(OR($B1603="",$U1603=""),"",IF($V1603&lt;&gt;"",MAX(0,$V1603-$U1603),MAX(0,TODAY()-$U1603)))</f>
        <v/>
      </c>
      <c r="Y1603" s="39">
        <f>IF($C1603="","",IF(IFERROR(INDEX(LISTAS!$I$3:$I$42,MATCH($T1603,LISTAS!$H$3:$H$42,0)),"NO")="SÍ",IF(N($X1603)&gt;0,"CERRADA FUERA DE SLA","CERRADA EN SLA"),IF($U1603="","SIN CLASIFICAR",IF(N($X1603)&gt;0,"VENCIDA",IF(TODAY()&gt;=$U1603-1,"POR VENCER","EN PLAZO")))))</f>
        <v/>
      </c>
      <c r="Z1603" s="41" t="n"/>
      <c r="AA1603" s="41" t="n"/>
      <c r="AB1603" s="41" t="n"/>
    </row>
    <row r="1604">
      <c r="A1604" s="39">
        <f>IF($C1604="","","NOV-"&amp;TEXT(ROW()-3,"0000"))</f>
        <v/>
      </c>
      <c r="B1604" s="40" t="n"/>
      <c r="C1604" s="41" t="n"/>
      <c r="D1604" s="42">
        <f>IF($C1604="","",IFERROR(INDEX(DESPACHOS!$D$3:$D$3002,MATCH($C1604,DESPACHOS!$B$3:$B$3002,0)),"SIN DESPACHO"))</f>
        <v/>
      </c>
      <c r="E1604" s="42">
        <f>IF($C1604="","",IFERROR(INDEX(DESPACHOS!$K$3:$K$3002,MATCH($C1604,DESPACHOS!$B$3:$B$3002,0)),""))</f>
        <v/>
      </c>
      <c r="F1604" s="42">
        <f>IF($C1604="","",IFERROR(INDEX(DESPACHOS!$I$3:$I$3002,MATCH($C1604,DESPACHOS!$B$3:$B$3002,0)),""))</f>
        <v/>
      </c>
      <c r="G1604" s="42">
        <f>IF($C1604="","",IFERROR(INDEX(DESPACHOS!$F$3:$F$3002,MATCH($C1604,DESPACHOS!$B$3:$B$3002,0)),""))</f>
        <v/>
      </c>
      <c r="H1604" s="42">
        <f>IF($C1604="","",IFERROR(INDEX(DESPACHOS!$G$3:$G$3002,MATCH($C1604,DESPACHOS!$B$3:$B$3002,0)),""))</f>
        <v/>
      </c>
      <c r="I1604" s="39">
        <f>IF($C1604="","",IFERROR(INDEX(DESPACHOS!$H$3:$H$3002,MATCH($C1604,DESPACHOS!$B$3:$B$3002,0)),""))</f>
        <v/>
      </c>
      <c r="J1604" s="43">
        <f>IF($C1604="","",IFERROR(INDEX(DESPACHOS!$J$3:$J$3002,MATCH($C1604,DESPACHOS!$B$3:$B$3002,0)),""))</f>
        <v/>
      </c>
      <c r="K1604" s="39">
        <f>IF($C1604="","",IF(COUNTIFS(DESPACHOS!$B$3:$B$3002,$C1604)=0,"NO EXISTE",IF(COUNTIFS(DESPACHOS!$B$3:$B$3002,$C1604)&gt;1,"DUPLICADO","OK")))</f>
        <v/>
      </c>
      <c r="L1604" s="41" t="n"/>
      <c r="M1604" s="41" t="n"/>
      <c r="N1604" s="42">
        <f>IF($M1604="","",IFERROR(INDEX(LISTAS!$F$3:$F$42,MATCH($M1604,LISTAS!$E$3:$E$42,0)),"Por definir"))</f>
        <v/>
      </c>
      <c r="O1604" s="41" t="n"/>
      <c r="P1604" s="39">
        <f>IF($L1604="","",IFERROR(INDEX(LISTAS!$B$3:$B$42,MATCH($L1604,LISTAS!$A$3:$A$42,0)),"Media"))</f>
        <v/>
      </c>
      <c r="Q1604" s="44" t="n"/>
      <c r="R1604" s="45" t="n"/>
      <c r="S1604" s="20">
        <f>IFERROR(IF(OR($R1604="",$C1604=""),"",$R1604/INDEX(DESPACHOS!$M$3:$M$3002,MATCH($C1604,DESPACHOS!$B$3:$B$3002,0))),"")</f>
        <v/>
      </c>
      <c r="T1604" s="41" t="n"/>
      <c r="U1604" s="43">
        <f>IF(OR($B1604="",$L1604=""),"",WORKDAY($B1604,IFERROR(INDEX(LISTAS!$C$3:$C$42,MATCH($L1604,LISTAS!$A$3:$A$42,0)),3)))</f>
        <v/>
      </c>
      <c r="V1604" s="40" t="n"/>
      <c r="W1604" s="19">
        <f>IF($B1604="","",IF($V1604&lt;&gt;"",$V1604-$B1604,TODAY()-$B1604))</f>
        <v/>
      </c>
      <c r="X1604" s="19">
        <f>IF(OR($B1604="",$U1604=""),"",IF($V1604&lt;&gt;"",MAX(0,$V1604-$U1604),MAX(0,TODAY()-$U1604)))</f>
        <v/>
      </c>
      <c r="Y1604" s="39">
        <f>IF($C1604="","",IF(IFERROR(INDEX(LISTAS!$I$3:$I$42,MATCH($T1604,LISTAS!$H$3:$H$42,0)),"NO")="SÍ",IF(N($X1604)&gt;0,"CERRADA FUERA DE SLA","CERRADA EN SLA"),IF($U1604="","SIN CLASIFICAR",IF(N($X1604)&gt;0,"VENCIDA",IF(TODAY()&gt;=$U1604-1,"POR VENCER","EN PLAZO")))))</f>
        <v/>
      </c>
      <c r="Z1604" s="41" t="n"/>
      <c r="AA1604" s="41" t="n"/>
      <c r="AB1604" s="41" t="n"/>
    </row>
    <row r="1605">
      <c r="A1605" s="39">
        <f>IF($C1605="","","NOV-"&amp;TEXT(ROW()-3,"0000"))</f>
        <v/>
      </c>
      <c r="B1605" s="40" t="n"/>
      <c r="C1605" s="41" t="n"/>
      <c r="D1605" s="42">
        <f>IF($C1605="","",IFERROR(INDEX(DESPACHOS!$D$3:$D$3002,MATCH($C1605,DESPACHOS!$B$3:$B$3002,0)),"SIN DESPACHO"))</f>
        <v/>
      </c>
      <c r="E1605" s="42">
        <f>IF($C1605="","",IFERROR(INDEX(DESPACHOS!$K$3:$K$3002,MATCH($C1605,DESPACHOS!$B$3:$B$3002,0)),""))</f>
        <v/>
      </c>
      <c r="F1605" s="42">
        <f>IF($C1605="","",IFERROR(INDEX(DESPACHOS!$I$3:$I$3002,MATCH($C1605,DESPACHOS!$B$3:$B$3002,0)),""))</f>
        <v/>
      </c>
      <c r="G1605" s="42">
        <f>IF($C1605="","",IFERROR(INDEX(DESPACHOS!$F$3:$F$3002,MATCH($C1605,DESPACHOS!$B$3:$B$3002,0)),""))</f>
        <v/>
      </c>
      <c r="H1605" s="42">
        <f>IF($C1605="","",IFERROR(INDEX(DESPACHOS!$G$3:$G$3002,MATCH($C1605,DESPACHOS!$B$3:$B$3002,0)),""))</f>
        <v/>
      </c>
      <c r="I1605" s="39">
        <f>IF($C1605="","",IFERROR(INDEX(DESPACHOS!$H$3:$H$3002,MATCH($C1605,DESPACHOS!$B$3:$B$3002,0)),""))</f>
        <v/>
      </c>
      <c r="J1605" s="43">
        <f>IF($C1605="","",IFERROR(INDEX(DESPACHOS!$J$3:$J$3002,MATCH($C1605,DESPACHOS!$B$3:$B$3002,0)),""))</f>
        <v/>
      </c>
      <c r="K1605" s="39">
        <f>IF($C1605="","",IF(COUNTIFS(DESPACHOS!$B$3:$B$3002,$C1605)=0,"NO EXISTE",IF(COUNTIFS(DESPACHOS!$B$3:$B$3002,$C1605)&gt;1,"DUPLICADO","OK")))</f>
        <v/>
      </c>
      <c r="L1605" s="41" t="n"/>
      <c r="M1605" s="41" t="n"/>
      <c r="N1605" s="42">
        <f>IF($M1605="","",IFERROR(INDEX(LISTAS!$F$3:$F$42,MATCH($M1605,LISTAS!$E$3:$E$42,0)),"Por definir"))</f>
        <v/>
      </c>
      <c r="O1605" s="41" t="n"/>
      <c r="P1605" s="39">
        <f>IF($L1605="","",IFERROR(INDEX(LISTAS!$B$3:$B$42,MATCH($L1605,LISTAS!$A$3:$A$42,0)),"Media"))</f>
        <v/>
      </c>
      <c r="Q1605" s="44" t="n"/>
      <c r="R1605" s="45" t="n"/>
      <c r="S1605" s="20">
        <f>IFERROR(IF(OR($R1605="",$C1605=""),"",$R1605/INDEX(DESPACHOS!$M$3:$M$3002,MATCH($C1605,DESPACHOS!$B$3:$B$3002,0))),"")</f>
        <v/>
      </c>
      <c r="T1605" s="41" t="n"/>
      <c r="U1605" s="43">
        <f>IF(OR($B1605="",$L1605=""),"",WORKDAY($B1605,IFERROR(INDEX(LISTAS!$C$3:$C$42,MATCH($L1605,LISTAS!$A$3:$A$42,0)),3)))</f>
        <v/>
      </c>
      <c r="V1605" s="40" t="n"/>
      <c r="W1605" s="19">
        <f>IF($B1605="","",IF($V1605&lt;&gt;"",$V1605-$B1605,TODAY()-$B1605))</f>
        <v/>
      </c>
      <c r="X1605" s="19">
        <f>IF(OR($B1605="",$U1605=""),"",IF($V1605&lt;&gt;"",MAX(0,$V1605-$U1605),MAX(0,TODAY()-$U1605)))</f>
        <v/>
      </c>
      <c r="Y1605" s="39">
        <f>IF($C1605="","",IF(IFERROR(INDEX(LISTAS!$I$3:$I$42,MATCH($T1605,LISTAS!$H$3:$H$42,0)),"NO")="SÍ",IF(N($X1605)&gt;0,"CERRADA FUERA DE SLA","CERRADA EN SLA"),IF($U1605="","SIN CLASIFICAR",IF(N($X1605)&gt;0,"VENCIDA",IF(TODAY()&gt;=$U1605-1,"POR VENCER","EN PLAZO")))))</f>
        <v/>
      </c>
      <c r="Z1605" s="41" t="n"/>
      <c r="AA1605" s="41" t="n"/>
      <c r="AB1605" s="41" t="n"/>
    </row>
    <row r="1606">
      <c r="A1606" s="39">
        <f>IF($C1606="","","NOV-"&amp;TEXT(ROW()-3,"0000"))</f>
        <v/>
      </c>
      <c r="B1606" s="40" t="n"/>
      <c r="C1606" s="41" t="n"/>
      <c r="D1606" s="42">
        <f>IF($C1606="","",IFERROR(INDEX(DESPACHOS!$D$3:$D$3002,MATCH($C1606,DESPACHOS!$B$3:$B$3002,0)),"SIN DESPACHO"))</f>
        <v/>
      </c>
      <c r="E1606" s="42">
        <f>IF($C1606="","",IFERROR(INDEX(DESPACHOS!$K$3:$K$3002,MATCH($C1606,DESPACHOS!$B$3:$B$3002,0)),""))</f>
        <v/>
      </c>
      <c r="F1606" s="42">
        <f>IF($C1606="","",IFERROR(INDEX(DESPACHOS!$I$3:$I$3002,MATCH($C1606,DESPACHOS!$B$3:$B$3002,0)),""))</f>
        <v/>
      </c>
      <c r="G1606" s="42">
        <f>IF($C1606="","",IFERROR(INDEX(DESPACHOS!$F$3:$F$3002,MATCH($C1606,DESPACHOS!$B$3:$B$3002,0)),""))</f>
        <v/>
      </c>
      <c r="H1606" s="42">
        <f>IF($C1606="","",IFERROR(INDEX(DESPACHOS!$G$3:$G$3002,MATCH($C1606,DESPACHOS!$B$3:$B$3002,0)),""))</f>
        <v/>
      </c>
      <c r="I1606" s="39">
        <f>IF($C1606="","",IFERROR(INDEX(DESPACHOS!$H$3:$H$3002,MATCH($C1606,DESPACHOS!$B$3:$B$3002,0)),""))</f>
        <v/>
      </c>
      <c r="J1606" s="43">
        <f>IF($C1606="","",IFERROR(INDEX(DESPACHOS!$J$3:$J$3002,MATCH($C1606,DESPACHOS!$B$3:$B$3002,0)),""))</f>
        <v/>
      </c>
      <c r="K1606" s="39">
        <f>IF($C1606="","",IF(COUNTIFS(DESPACHOS!$B$3:$B$3002,$C1606)=0,"NO EXISTE",IF(COUNTIFS(DESPACHOS!$B$3:$B$3002,$C1606)&gt;1,"DUPLICADO","OK")))</f>
        <v/>
      </c>
      <c r="L1606" s="41" t="n"/>
      <c r="M1606" s="41" t="n"/>
      <c r="N1606" s="42">
        <f>IF($M1606="","",IFERROR(INDEX(LISTAS!$F$3:$F$42,MATCH($M1606,LISTAS!$E$3:$E$42,0)),"Por definir"))</f>
        <v/>
      </c>
      <c r="O1606" s="41" t="n"/>
      <c r="P1606" s="39">
        <f>IF($L1606="","",IFERROR(INDEX(LISTAS!$B$3:$B$42,MATCH($L1606,LISTAS!$A$3:$A$42,0)),"Media"))</f>
        <v/>
      </c>
      <c r="Q1606" s="44" t="n"/>
      <c r="R1606" s="45" t="n"/>
      <c r="S1606" s="20">
        <f>IFERROR(IF(OR($R1606="",$C1606=""),"",$R1606/INDEX(DESPACHOS!$M$3:$M$3002,MATCH($C1606,DESPACHOS!$B$3:$B$3002,0))),"")</f>
        <v/>
      </c>
      <c r="T1606" s="41" t="n"/>
      <c r="U1606" s="43">
        <f>IF(OR($B1606="",$L1606=""),"",WORKDAY($B1606,IFERROR(INDEX(LISTAS!$C$3:$C$42,MATCH($L1606,LISTAS!$A$3:$A$42,0)),3)))</f>
        <v/>
      </c>
      <c r="V1606" s="40" t="n"/>
      <c r="W1606" s="19">
        <f>IF($B1606="","",IF($V1606&lt;&gt;"",$V1606-$B1606,TODAY()-$B1606))</f>
        <v/>
      </c>
      <c r="X1606" s="19">
        <f>IF(OR($B1606="",$U1606=""),"",IF($V1606&lt;&gt;"",MAX(0,$V1606-$U1606),MAX(0,TODAY()-$U1606)))</f>
        <v/>
      </c>
      <c r="Y1606" s="39">
        <f>IF($C1606="","",IF(IFERROR(INDEX(LISTAS!$I$3:$I$42,MATCH($T1606,LISTAS!$H$3:$H$42,0)),"NO")="SÍ",IF(N($X1606)&gt;0,"CERRADA FUERA DE SLA","CERRADA EN SLA"),IF($U1606="","SIN CLASIFICAR",IF(N($X1606)&gt;0,"VENCIDA",IF(TODAY()&gt;=$U1606-1,"POR VENCER","EN PLAZO")))))</f>
        <v/>
      </c>
      <c r="Z1606" s="41" t="n"/>
      <c r="AA1606" s="41" t="n"/>
      <c r="AB1606" s="41" t="n"/>
    </row>
    <row r="1607">
      <c r="A1607" s="39">
        <f>IF($C1607="","","NOV-"&amp;TEXT(ROW()-3,"0000"))</f>
        <v/>
      </c>
      <c r="B1607" s="40" t="n"/>
      <c r="C1607" s="41" t="n"/>
      <c r="D1607" s="42">
        <f>IF($C1607="","",IFERROR(INDEX(DESPACHOS!$D$3:$D$3002,MATCH($C1607,DESPACHOS!$B$3:$B$3002,0)),"SIN DESPACHO"))</f>
        <v/>
      </c>
      <c r="E1607" s="42">
        <f>IF($C1607="","",IFERROR(INDEX(DESPACHOS!$K$3:$K$3002,MATCH($C1607,DESPACHOS!$B$3:$B$3002,0)),""))</f>
        <v/>
      </c>
      <c r="F1607" s="42">
        <f>IF($C1607="","",IFERROR(INDEX(DESPACHOS!$I$3:$I$3002,MATCH($C1607,DESPACHOS!$B$3:$B$3002,0)),""))</f>
        <v/>
      </c>
      <c r="G1607" s="42">
        <f>IF($C1607="","",IFERROR(INDEX(DESPACHOS!$F$3:$F$3002,MATCH($C1607,DESPACHOS!$B$3:$B$3002,0)),""))</f>
        <v/>
      </c>
      <c r="H1607" s="42">
        <f>IF($C1607="","",IFERROR(INDEX(DESPACHOS!$G$3:$G$3002,MATCH($C1607,DESPACHOS!$B$3:$B$3002,0)),""))</f>
        <v/>
      </c>
      <c r="I1607" s="39">
        <f>IF($C1607="","",IFERROR(INDEX(DESPACHOS!$H$3:$H$3002,MATCH($C1607,DESPACHOS!$B$3:$B$3002,0)),""))</f>
        <v/>
      </c>
      <c r="J1607" s="43">
        <f>IF($C1607="","",IFERROR(INDEX(DESPACHOS!$J$3:$J$3002,MATCH($C1607,DESPACHOS!$B$3:$B$3002,0)),""))</f>
        <v/>
      </c>
      <c r="K1607" s="39">
        <f>IF($C1607="","",IF(COUNTIFS(DESPACHOS!$B$3:$B$3002,$C1607)=0,"NO EXISTE",IF(COUNTIFS(DESPACHOS!$B$3:$B$3002,$C1607)&gt;1,"DUPLICADO","OK")))</f>
        <v/>
      </c>
      <c r="L1607" s="41" t="n"/>
      <c r="M1607" s="41" t="n"/>
      <c r="N1607" s="42">
        <f>IF($M1607="","",IFERROR(INDEX(LISTAS!$F$3:$F$42,MATCH($M1607,LISTAS!$E$3:$E$42,0)),"Por definir"))</f>
        <v/>
      </c>
      <c r="O1607" s="41" t="n"/>
      <c r="P1607" s="39">
        <f>IF($L1607="","",IFERROR(INDEX(LISTAS!$B$3:$B$42,MATCH($L1607,LISTAS!$A$3:$A$42,0)),"Media"))</f>
        <v/>
      </c>
      <c r="Q1607" s="44" t="n"/>
      <c r="R1607" s="45" t="n"/>
      <c r="S1607" s="20">
        <f>IFERROR(IF(OR($R1607="",$C1607=""),"",$R1607/INDEX(DESPACHOS!$M$3:$M$3002,MATCH($C1607,DESPACHOS!$B$3:$B$3002,0))),"")</f>
        <v/>
      </c>
      <c r="T1607" s="41" t="n"/>
      <c r="U1607" s="43">
        <f>IF(OR($B1607="",$L1607=""),"",WORKDAY($B1607,IFERROR(INDEX(LISTAS!$C$3:$C$42,MATCH($L1607,LISTAS!$A$3:$A$42,0)),3)))</f>
        <v/>
      </c>
      <c r="V1607" s="40" t="n"/>
      <c r="W1607" s="19">
        <f>IF($B1607="","",IF($V1607&lt;&gt;"",$V1607-$B1607,TODAY()-$B1607))</f>
        <v/>
      </c>
      <c r="X1607" s="19">
        <f>IF(OR($B1607="",$U1607=""),"",IF($V1607&lt;&gt;"",MAX(0,$V1607-$U1607),MAX(0,TODAY()-$U1607)))</f>
        <v/>
      </c>
      <c r="Y1607" s="39">
        <f>IF($C1607="","",IF(IFERROR(INDEX(LISTAS!$I$3:$I$42,MATCH($T1607,LISTAS!$H$3:$H$42,0)),"NO")="SÍ",IF(N($X1607)&gt;0,"CERRADA FUERA DE SLA","CERRADA EN SLA"),IF($U1607="","SIN CLASIFICAR",IF(N($X1607)&gt;0,"VENCIDA",IF(TODAY()&gt;=$U1607-1,"POR VENCER","EN PLAZO")))))</f>
        <v/>
      </c>
      <c r="Z1607" s="41" t="n"/>
      <c r="AA1607" s="41" t="n"/>
      <c r="AB1607" s="41" t="n"/>
    </row>
    <row r="1608">
      <c r="A1608" s="39">
        <f>IF($C1608="","","NOV-"&amp;TEXT(ROW()-3,"0000"))</f>
        <v/>
      </c>
      <c r="B1608" s="40" t="n"/>
      <c r="C1608" s="41" t="n"/>
      <c r="D1608" s="42">
        <f>IF($C1608="","",IFERROR(INDEX(DESPACHOS!$D$3:$D$3002,MATCH($C1608,DESPACHOS!$B$3:$B$3002,0)),"SIN DESPACHO"))</f>
        <v/>
      </c>
      <c r="E1608" s="42">
        <f>IF($C1608="","",IFERROR(INDEX(DESPACHOS!$K$3:$K$3002,MATCH($C1608,DESPACHOS!$B$3:$B$3002,0)),""))</f>
        <v/>
      </c>
      <c r="F1608" s="42">
        <f>IF($C1608="","",IFERROR(INDEX(DESPACHOS!$I$3:$I$3002,MATCH($C1608,DESPACHOS!$B$3:$B$3002,0)),""))</f>
        <v/>
      </c>
      <c r="G1608" s="42">
        <f>IF($C1608="","",IFERROR(INDEX(DESPACHOS!$F$3:$F$3002,MATCH($C1608,DESPACHOS!$B$3:$B$3002,0)),""))</f>
        <v/>
      </c>
      <c r="H1608" s="42">
        <f>IF($C1608="","",IFERROR(INDEX(DESPACHOS!$G$3:$G$3002,MATCH($C1608,DESPACHOS!$B$3:$B$3002,0)),""))</f>
        <v/>
      </c>
      <c r="I1608" s="39">
        <f>IF($C1608="","",IFERROR(INDEX(DESPACHOS!$H$3:$H$3002,MATCH($C1608,DESPACHOS!$B$3:$B$3002,0)),""))</f>
        <v/>
      </c>
      <c r="J1608" s="43">
        <f>IF($C1608="","",IFERROR(INDEX(DESPACHOS!$J$3:$J$3002,MATCH($C1608,DESPACHOS!$B$3:$B$3002,0)),""))</f>
        <v/>
      </c>
      <c r="K1608" s="39">
        <f>IF($C1608="","",IF(COUNTIFS(DESPACHOS!$B$3:$B$3002,$C1608)=0,"NO EXISTE",IF(COUNTIFS(DESPACHOS!$B$3:$B$3002,$C1608)&gt;1,"DUPLICADO","OK")))</f>
        <v/>
      </c>
      <c r="L1608" s="41" t="n"/>
      <c r="M1608" s="41" t="n"/>
      <c r="N1608" s="42">
        <f>IF($M1608="","",IFERROR(INDEX(LISTAS!$F$3:$F$42,MATCH($M1608,LISTAS!$E$3:$E$42,0)),"Por definir"))</f>
        <v/>
      </c>
      <c r="O1608" s="41" t="n"/>
      <c r="P1608" s="39">
        <f>IF($L1608="","",IFERROR(INDEX(LISTAS!$B$3:$B$42,MATCH($L1608,LISTAS!$A$3:$A$42,0)),"Media"))</f>
        <v/>
      </c>
      <c r="Q1608" s="44" t="n"/>
      <c r="R1608" s="45" t="n"/>
      <c r="S1608" s="20">
        <f>IFERROR(IF(OR($R1608="",$C1608=""),"",$R1608/INDEX(DESPACHOS!$M$3:$M$3002,MATCH($C1608,DESPACHOS!$B$3:$B$3002,0))),"")</f>
        <v/>
      </c>
      <c r="T1608" s="41" t="n"/>
      <c r="U1608" s="43">
        <f>IF(OR($B1608="",$L1608=""),"",WORKDAY($B1608,IFERROR(INDEX(LISTAS!$C$3:$C$42,MATCH($L1608,LISTAS!$A$3:$A$42,0)),3)))</f>
        <v/>
      </c>
      <c r="V1608" s="40" t="n"/>
      <c r="W1608" s="19">
        <f>IF($B1608="","",IF($V1608&lt;&gt;"",$V1608-$B1608,TODAY()-$B1608))</f>
        <v/>
      </c>
      <c r="X1608" s="19">
        <f>IF(OR($B1608="",$U1608=""),"",IF($V1608&lt;&gt;"",MAX(0,$V1608-$U1608),MAX(0,TODAY()-$U1608)))</f>
        <v/>
      </c>
      <c r="Y1608" s="39">
        <f>IF($C1608="","",IF(IFERROR(INDEX(LISTAS!$I$3:$I$42,MATCH($T1608,LISTAS!$H$3:$H$42,0)),"NO")="SÍ",IF(N($X1608)&gt;0,"CERRADA FUERA DE SLA","CERRADA EN SLA"),IF($U1608="","SIN CLASIFICAR",IF(N($X1608)&gt;0,"VENCIDA",IF(TODAY()&gt;=$U1608-1,"POR VENCER","EN PLAZO")))))</f>
        <v/>
      </c>
      <c r="Z1608" s="41" t="n"/>
      <c r="AA1608" s="41" t="n"/>
      <c r="AB1608" s="41" t="n"/>
    </row>
    <row r="1609">
      <c r="A1609" s="39">
        <f>IF($C1609="","","NOV-"&amp;TEXT(ROW()-3,"0000"))</f>
        <v/>
      </c>
      <c r="B1609" s="40" t="n"/>
      <c r="C1609" s="41" t="n"/>
      <c r="D1609" s="42">
        <f>IF($C1609="","",IFERROR(INDEX(DESPACHOS!$D$3:$D$3002,MATCH($C1609,DESPACHOS!$B$3:$B$3002,0)),"SIN DESPACHO"))</f>
        <v/>
      </c>
      <c r="E1609" s="42">
        <f>IF($C1609="","",IFERROR(INDEX(DESPACHOS!$K$3:$K$3002,MATCH($C1609,DESPACHOS!$B$3:$B$3002,0)),""))</f>
        <v/>
      </c>
      <c r="F1609" s="42">
        <f>IF($C1609="","",IFERROR(INDEX(DESPACHOS!$I$3:$I$3002,MATCH($C1609,DESPACHOS!$B$3:$B$3002,0)),""))</f>
        <v/>
      </c>
      <c r="G1609" s="42">
        <f>IF($C1609="","",IFERROR(INDEX(DESPACHOS!$F$3:$F$3002,MATCH($C1609,DESPACHOS!$B$3:$B$3002,0)),""))</f>
        <v/>
      </c>
      <c r="H1609" s="42">
        <f>IF($C1609="","",IFERROR(INDEX(DESPACHOS!$G$3:$G$3002,MATCH($C1609,DESPACHOS!$B$3:$B$3002,0)),""))</f>
        <v/>
      </c>
      <c r="I1609" s="39">
        <f>IF($C1609="","",IFERROR(INDEX(DESPACHOS!$H$3:$H$3002,MATCH($C1609,DESPACHOS!$B$3:$B$3002,0)),""))</f>
        <v/>
      </c>
      <c r="J1609" s="43">
        <f>IF($C1609="","",IFERROR(INDEX(DESPACHOS!$J$3:$J$3002,MATCH($C1609,DESPACHOS!$B$3:$B$3002,0)),""))</f>
        <v/>
      </c>
      <c r="K1609" s="39">
        <f>IF($C1609="","",IF(COUNTIFS(DESPACHOS!$B$3:$B$3002,$C1609)=0,"NO EXISTE",IF(COUNTIFS(DESPACHOS!$B$3:$B$3002,$C1609)&gt;1,"DUPLICADO","OK")))</f>
        <v/>
      </c>
      <c r="L1609" s="41" t="n"/>
      <c r="M1609" s="41" t="n"/>
      <c r="N1609" s="42">
        <f>IF($M1609="","",IFERROR(INDEX(LISTAS!$F$3:$F$42,MATCH($M1609,LISTAS!$E$3:$E$42,0)),"Por definir"))</f>
        <v/>
      </c>
      <c r="O1609" s="41" t="n"/>
      <c r="P1609" s="39">
        <f>IF($L1609="","",IFERROR(INDEX(LISTAS!$B$3:$B$42,MATCH($L1609,LISTAS!$A$3:$A$42,0)),"Media"))</f>
        <v/>
      </c>
      <c r="Q1609" s="44" t="n"/>
      <c r="R1609" s="45" t="n"/>
      <c r="S1609" s="20">
        <f>IFERROR(IF(OR($R1609="",$C1609=""),"",$R1609/INDEX(DESPACHOS!$M$3:$M$3002,MATCH($C1609,DESPACHOS!$B$3:$B$3002,0))),"")</f>
        <v/>
      </c>
      <c r="T1609" s="41" t="n"/>
      <c r="U1609" s="43">
        <f>IF(OR($B1609="",$L1609=""),"",WORKDAY($B1609,IFERROR(INDEX(LISTAS!$C$3:$C$42,MATCH($L1609,LISTAS!$A$3:$A$42,0)),3)))</f>
        <v/>
      </c>
      <c r="V1609" s="40" t="n"/>
      <c r="W1609" s="19">
        <f>IF($B1609="","",IF($V1609&lt;&gt;"",$V1609-$B1609,TODAY()-$B1609))</f>
        <v/>
      </c>
      <c r="X1609" s="19">
        <f>IF(OR($B1609="",$U1609=""),"",IF($V1609&lt;&gt;"",MAX(0,$V1609-$U1609),MAX(0,TODAY()-$U1609)))</f>
        <v/>
      </c>
      <c r="Y1609" s="39">
        <f>IF($C1609="","",IF(IFERROR(INDEX(LISTAS!$I$3:$I$42,MATCH($T1609,LISTAS!$H$3:$H$42,0)),"NO")="SÍ",IF(N($X1609)&gt;0,"CERRADA FUERA DE SLA","CERRADA EN SLA"),IF($U1609="","SIN CLASIFICAR",IF(N($X1609)&gt;0,"VENCIDA",IF(TODAY()&gt;=$U1609-1,"POR VENCER","EN PLAZO")))))</f>
        <v/>
      </c>
      <c r="Z1609" s="41" t="n"/>
      <c r="AA1609" s="41" t="n"/>
      <c r="AB1609" s="41" t="n"/>
    </row>
    <row r="1610">
      <c r="A1610" s="39">
        <f>IF($C1610="","","NOV-"&amp;TEXT(ROW()-3,"0000"))</f>
        <v/>
      </c>
      <c r="B1610" s="40" t="n"/>
      <c r="C1610" s="41" t="n"/>
      <c r="D1610" s="42">
        <f>IF($C1610="","",IFERROR(INDEX(DESPACHOS!$D$3:$D$3002,MATCH($C1610,DESPACHOS!$B$3:$B$3002,0)),"SIN DESPACHO"))</f>
        <v/>
      </c>
      <c r="E1610" s="42">
        <f>IF($C1610="","",IFERROR(INDEX(DESPACHOS!$K$3:$K$3002,MATCH($C1610,DESPACHOS!$B$3:$B$3002,0)),""))</f>
        <v/>
      </c>
      <c r="F1610" s="42">
        <f>IF($C1610="","",IFERROR(INDEX(DESPACHOS!$I$3:$I$3002,MATCH($C1610,DESPACHOS!$B$3:$B$3002,0)),""))</f>
        <v/>
      </c>
      <c r="G1610" s="42">
        <f>IF($C1610="","",IFERROR(INDEX(DESPACHOS!$F$3:$F$3002,MATCH($C1610,DESPACHOS!$B$3:$B$3002,0)),""))</f>
        <v/>
      </c>
      <c r="H1610" s="42">
        <f>IF($C1610="","",IFERROR(INDEX(DESPACHOS!$G$3:$G$3002,MATCH($C1610,DESPACHOS!$B$3:$B$3002,0)),""))</f>
        <v/>
      </c>
      <c r="I1610" s="39">
        <f>IF($C1610="","",IFERROR(INDEX(DESPACHOS!$H$3:$H$3002,MATCH($C1610,DESPACHOS!$B$3:$B$3002,0)),""))</f>
        <v/>
      </c>
      <c r="J1610" s="43">
        <f>IF($C1610="","",IFERROR(INDEX(DESPACHOS!$J$3:$J$3002,MATCH($C1610,DESPACHOS!$B$3:$B$3002,0)),""))</f>
        <v/>
      </c>
      <c r="K1610" s="39">
        <f>IF($C1610="","",IF(COUNTIFS(DESPACHOS!$B$3:$B$3002,$C1610)=0,"NO EXISTE",IF(COUNTIFS(DESPACHOS!$B$3:$B$3002,$C1610)&gt;1,"DUPLICADO","OK")))</f>
        <v/>
      </c>
      <c r="L1610" s="41" t="n"/>
      <c r="M1610" s="41" t="n"/>
      <c r="N1610" s="42">
        <f>IF($M1610="","",IFERROR(INDEX(LISTAS!$F$3:$F$42,MATCH($M1610,LISTAS!$E$3:$E$42,0)),"Por definir"))</f>
        <v/>
      </c>
      <c r="O1610" s="41" t="n"/>
      <c r="P1610" s="39">
        <f>IF($L1610="","",IFERROR(INDEX(LISTAS!$B$3:$B$42,MATCH($L1610,LISTAS!$A$3:$A$42,0)),"Media"))</f>
        <v/>
      </c>
      <c r="Q1610" s="44" t="n"/>
      <c r="R1610" s="45" t="n"/>
      <c r="S1610" s="20">
        <f>IFERROR(IF(OR($R1610="",$C1610=""),"",$R1610/INDEX(DESPACHOS!$M$3:$M$3002,MATCH($C1610,DESPACHOS!$B$3:$B$3002,0))),"")</f>
        <v/>
      </c>
      <c r="T1610" s="41" t="n"/>
      <c r="U1610" s="43">
        <f>IF(OR($B1610="",$L1610=""),"",WORKDAY($B1610,IFERROR(INDEX(LISTAS!$C$3:$C$42,MATCH($L1610,LISTAS!$A$3:$A$42,0)),3)))</f>
        <v/>
      </c>
      <c r="V1610" s="40" t="n"/>
      <c r="W1610" s="19">
        <f>IF($B1610="","",IF($V1610&lt;&gt;"",$V1610-$B1610,TODAY()-$B1610))</f>
        <v/>
      </c>
      <c r="X1610" s="19">
        <f>IF(OR($B1610="",$U1610=""),"",IF($V1610&lt;&gt;"",MAX(0,$V1610-$U1610),MAX(0,TODAY()-$U1610)))</f>
        <v/>
      </c>
      <c r="Y1610" s="39">
        <f>IF($C1610="","",IF(IFERROR(INDEX(LISTAS!$I$3:$I$42,MATCH($T1610,LISTAS!$H$3:$H$42,0)),"NO")="SÍ",IF(N($X1610)&gt;0,"CERRADA FUERA DE SLA","CERRADA EN SLA"),IF($U1610="","SIN CLASIFICAR",IF(N($X1610)&gt;0,"VENCIDA",IF(TODAY()&gt;=$U1610-1,"POR VENCER","EN PLAZO")))))</f>
        <v/>
      </c>
      <c r="Z1610" s="41" t="n"/>
      <c r="AA1610" s="41" t="n"/>
      <c r="AB1610" s="41" t="n"/>
    </row>
    <row r="1611">
      <c r="A1611" s="39">
        <f>IF($C1611="","","NOV-"&amp;TEXT(ROW()-3,"0000"))</f>
        <v/>
      </c>
      <c r="B1611" s="40" t="n"/>
      <c r="C1611" s="41" t="n"/>
      <c r="D1611" s="42">
        <f>IF($C1611="","",IFERROR(INDEX(DESPACHOS!$D$3:$D$3002,MATCH($C1611,DESPACHOS!$B$3:$B$3002,0)),"SIN DESPACHO"))</f>
        <v/>
      </c>
      <c r="E1611" s="42">
        <f>IF($C1611="","",IFERROR(INDEX(DESPACHOS!$K$3:$K$3002,MATCH($C1611,DESPACHOS!$B$3:$B$3002,0)),""))</f>
        <v/>
      </c>
      <c r="F1611" s="42">
        <f>IF($C1611="","",IFERROR(INDEX(DESPACHOS!$I$3:$I$3002,MATCH($C1611,DESPACHOS!$B$3:$B$3002,0)),""))</f>
        <v/>
      </c>
      <c r="G1611" s="42">
        <f>IF($C1611="","",IFERROR(INDEX(DESPACHOS!$F$3:$F$3002,MATCH($C1611,DESPACHOS!$B$3:$B$3002,0)),""))</f>
        <v/>
      </c>
      <c r="H1611" s="42">
        <f>IF($C1611="","",IFERROR(INDEX(DESPACHOS!$G$3:$G$3002,MATCH($C1611,DESPACHOS!$B$3:$B$3002,0)),""))</f>
        <v/>
      </c>
      <c r="I1611" s="39">
        <f>IF($C1611="","",IFERROR(INDEX(DESPACHOS!$H$3:$H$3002,MATCH($C1611,DESPACHOS!$B$3:$B$3002,0)),""))</f>
        <v/>
      </c>
      <c r="J1611" s="43">
        <f>IF($C1611="","",IFERROR(INDEX(DESPACHOS!$J$3:$J$3002,MATCH($C1611,DESPACHOS!$B$3:$B$3002,0)),""))</f>
        <v/>
      </c>
      <c r="K1611" s="39">
        <f>IF($C1611="","",IF(COUNTIFS(DESPACHOS!$B$3:$B$3002,$C1611)=0,"NO EXISTE",IF(COUNTIFS(DESPACHOS!$B$3:$B$3002,$C1611)&gt;1,"DUPLICADO","OK")))</f>
        <v/>
      </c>
      <c r="L1611" s="41" t="n"/>
      <c r="M1611" s="41" t="n"/>
      <c r="N1611" s="42">
        <f>IF($M1611="","",IFERROR(INDEX(LISTAS!$F$3:$F$42,MATCH($M1611,LISTAS!$E$3:$E$42,0)),"Por definir"))</f>
        <v/>
      </c>
      <c r="O1611" s="41" t="n"/>
      <c r="P1611" s="39">
        <f>IF($L1611="","",IFERROR(INDEX(LISTAS!$B$3:$B$42,MATCH($L1611,LISTAS!$A$3:$A$42,0)),"Media"))</f>
        <v/>
      </c>
      <c r="Q1611" s="44" t="n"/>
      <c r="R1611" s="45" t="n"/>
      <c r="S1611" s="20">
        <f>IFERROR(IF(OR($R1611="",$C1611=""),"",$R1611/INDEX(DESPACHOS!$M$3:$M$3002,MATCH($C1611,DESPACHOS!$B$3:$B$3002,0))),"")</f>
        <v/>
      </c>
      <c r="T1611" s="41" t="n"/>
      <c r="U1611" s="43">
        <f>IF(OR($B1611="",$L1611=""),"",WORKDAY($B1611,IFERROR(INDEX(LISTAS!$C$3:$C$42,MATCH($L1611,LISTAS!$A$3:$A$42,0)),3)))</f>
        <v/>
      </c>
      <c r="V1611" s="40" t="n"/>
      <c r="W1611" s="19">
        <f>IF($B1611="","",IF($V1611&lt;&gt;"",$V1611-$B1611,TODAY()-$B1611))</f>
        <v/>
      </c>
      <c r="X1611" s="19">
        <f>IF(OR($B1611="",$U1611=""),"",IF($V1611&lt;&gt;"",MAX(0,$V1611-$U1611),MAX(0,TODAY()-$U1611)))</f>
        <v/>
      </c>
      <c r="Y1611" s="39">
        <f>IF($C1611="","",IF(IFERROR(INDEX(LISTAS!$I$3:$I$42,MATCH($T1611,LISTAS!$H$3:$H$42,0)),"NO")="SÍ",IF(N($X1611)&gt;0,"CERRADA FUERA DE SLA","CERRADA EN SLA"),IF($U1611="","SIN CLASIFICAR",IF(N($X1611)&gt;0,"VENCIDA",IF(TODAY()&gt;=$U1611-1,"POR VENCER","EN PLAZO")))))</f>
        <v/>
      </c>
      <c r="Z1611" s="41" t="n"/>
      <c r="AA1611" s="41" t="n"/>
      <c r="AB1611" s="41" t="n"/>
    </row>
    <row r="1612">
      <c r="A1612" s="39">
        <f>IF($C1612="","","NOV-"&amp;TEXT(ROW()-3,"0000"))</f>
        <v/>
      </c>
      <c r="B1612" s="40" t="n"/>
      <c r="C1612" s="41" t="n"/>
      <c r="D1612" s="42">
        <f>IF($C1612="","",IFERROR(INDEX(DESPACHOS!$D$3:$D$3002,MATCH($C1612,DESPACHOS!$B$3:$B$3002,0)),"SIN DESPACHO"))</f>
        <v/>
      </c>
      <c r="E1612" s="42">
        <f>IF($C1612="","",IFERROR(INDEX(DESPACHOS!$K$3:$K$3002,MATCH($C1612,DESPACHOS!$B$3:$B$3002,0)),""))</f>
        <v/>
      </c>
      <c r="F1612" s="42">
        <f>IF($C1612="","",IFERROR(INDEX(DESPACHOS!$I$3:$I$3002,MATCH($C1612,DESPACHOS!$B$3:$B$3002,0)),""))</f>
        <v/>
      </c>
      <c r="G1612" s="42">
        <f>IF($C1612="","",IFERROR(INDEX(DESPACHOS!$F$3:$F$3002,MATCH($C1612,DESPACHOS!$B$3:$B$3002,0)),""))</f>
        <v/>
      </c>
      <c r="H1612" s="42">
        <f>IF($C1612="","",IFERROR(INDEX(DESPACHOS!$G$3:$G$3002,MATCH($C1612,DESPACHOS!$B$3:$B$3002,0)),""))</f>
        <v/>
      </c>
      <c r="I1612" s="39">
        <f>IF($C1612="","",IFERROR(INDEX(DESPACHOS!$H$3:$H$3002,MATCH($C1612,DESPACHOS!$B$3:$B$3002,0)),""))</f>
        <v/>
      </c>
      <c r="J1612" s="43">
        <f>IF($C1612="","",IFERROR(INDEX(DESPACHOS!$J$3:$J$3002,MATCH($C1612,DESPACHOS!$B$3:$B$3002,0)),""))</f>
        <v/>
      </c>
      <c r="K1612" s="39">
        <f>IF($C1612="","",IF(COUNTIFS(DESPACHOS!$B$3:$B$3002,$C1612)=0,"NO EXISTE",IF(COUNTIFS(DESPACHOS!$B$3:$B$3002,$C1612)&gt;1,"DUPLICADO","OK")))</f>
        <v/>
      </c>
      <c r="L1612" s="41" t="n"/>
      <c r="M1612" s="41" t="n"/>
      <c r="N1612" s="42">
        <f>IF($M1612="","",IFERROR(INDEX(LISTAS!$F$3:$F$42,MATCH($M1612,LISTAS!$E$3:$E$42,0)),"Por definir"))</f>
        <v/>
      </c>
      <c r="O1612" s="41" t="n"/>
      <c r="P1612" s="39">
        <f>IF($L1612="","",IFERROR(INDEX(LISTAS!$B$3:$B$42,MATCH($L1612,LISTAS!$A$3:$A$42,0)),"Media"))</f>
        <v/>
      </c>
      <c r="Q1612" s="44" t="n"/>
      <c r="R1612" s="45" t="n"/>
      <c r="S1612" s="20">
        <f>IFERROR(IF(OR($R1612="",$C1612=""),"",$R1612/INDEX(DESPACHOS!$M$3:$M$3002,MATCH($C1612,DESPACHOS!$B$3:$B$3002,0))),"")</f>
        <v/>
      </c>
      <c r="T1612" s="41" t="n"/>
      <c r="U1612" s="43">
        <f>IF(OR($B1612="",$L1612=""),"",WORKDAY($B1612,IFERROR(INDEX(LISTAS!$C$3:$C$42,MATCH($L1612,LISTAS!$A$3:$A$42,0)),3)))</f>
        <v/>
      </c>
      <c r="V1612" s="40" t="n"/>
      <c r="W1612" s="19">
        <f>IF($B1612="","",IF($V1612&lt;&gt;"",$V1612-$B1612,TODAY()-$B1612))</f>
        <v/>
      </c>
      <c r="X1612" s="19">
        <f>IF(OR($B1612="",$U1612=""),"",IF($V1612&lt;&gt;"",MAX(0,$V1612-$U1612),MAX(0,TODAY()-$U1612)))</f>
        <v/>
      </c>
      <c r="Y1612" s="39">
        <f>IF($C1612="","",IF(IFERROR(INDEX(LISTAS!$I$3:$I$42,MATCH($T1612,LISTAS!$H$3:$H$42,0)),"NO")="SÍ",IF(N($X1612)&gt;0,"CERRADA FUERA DE SLA","CERRADA EN SLA"),IF($U1612="","SIN CLASIFICAR",IF(N($X1612)&gt;0,"VENCIDA",IF(TODAY()&gt;=$U1612-1,"POR VENCER","EN PLAZO")))))</f>
        <v/>
      </c>
      <c r="Z1612" s="41" t="n"/>
      <c r="AA1612" s="41" t="n"/>
      <c r="AB1612" s="41" t="n"/>
    </row>
    <row r="1613">
      <c r="A1613" s="39">
        <f>IF($C1613="","","NOV-"&amp;TEXT(ROW()-3,"0000"))</f>
        <v/>
      </c>
      <c r="B1613" s="40" t="n"/>
      <c r="C1613" s="41" t="n"/>
      <c r="D1613" s="42">
        <f>IF($C1613="","",IFERROR(INDEX(DESPACHOS!$D$3:$D$3002,MATCH($C1613,DESPACHOS!$B$3:$B$3002,0)),"SIN DESPACHO"))</f>
        <v/>
      </c>
      <c r="E1613" s="42">
        <f>IF($C1613="","",IFERROR(INDEX(DESPACHOS!$K$3:$K$3002,MATCH($C1613,DESPACHOS!$B$3:$B$3002,0)),""))</f>
        <v/>
      </c>
      <c r="F1613" s="42">
        <f>IF($C1613="","",IFERROR(INDEX(DESPACHOS!$I$3:$I$3002,MATCH($C1613,DESPACHOS!$B$3:$B$3002,0)),""))</f>
        <v/>
      </c>
      <c r="G1613" s="42">
        <f>IF($C1613="","",IFERROR(INDEX(DESPACHOS!$F$3:$F$3002,MATCH($C1613,DESPACHOS!$B$3:$B$3002,0)),""))</f>
        <v/>
      </c>
      <c r="H1613" s="42">
        <f>IF($C1613="","",IFERROR(INDEX(DESPACHOS!$G$3:$G$3002,MATCH($C1613,DESPACHOS!$B$3:$B$3002,0)),""))</f>
        <v/>
      </c>
      <c r="I1613" s="39">
        <f>IF($C1613="","",IFERROR(INDEX(DESPACHOS!$H$3:$H$3002,MATCH($C1613,DESPACHOS!$B$3:$B$3002,0)),""))</f>
        <v/>
      </c>
      <c r="J1613" s="43">
        <f>IF($C1613="","",IFERROR(INDEX(DESPACHOS!$J$3:$J$3002,MATCH($C1613,DESPACHOS!$B$3:$B$3002,0)),""))</f>
        <v/>
      </c>
      <c r="K1613" s="39">
        <f>IF($C1613="","",IF(COUNTIFS(DESPACHOS!$B$3:$B$3002,$C1613)=0,"NO EXISTE",IF(COUNTIFS(DESPACHOS!$B$3:$B$3002,$C1613)&gt;1,"DUPLICADO","OK")))</f>
        <v/>
      </c>
      <c r="L1613" s="41" t="n"/>
      <c r="M1613" s="41" t="n"/>
      <c r="N1613" s="42">
        <f>IF($M1613="","",IFERROR(INDEX(LISTAS!$F$3:$F$42,MATCH($M1613,LISTAS!$E$3:$E$42,0)),"Por definir"))</f>
        <v/>
      </c>
      <c r="O1613" s="41" t="n"/>
      <c r="P1613" s="39">
        <f>IF($L1613="","",IFERROR(INDEX(LISTAS!$B$3:$B$42,MATCH($L1613,LISTAS!$A$3:$A$42,0)),"Media"))</f>
        <v/>
      </c>
      <c r="Q1613" s="44" t="n"/>
      <c r="R1613" s="45" t="n"/>
      <c r="S1613" s="20">
        <f>IFERROR(IF(OR($R1613="",$C1613=""),"",$R1613/INDEX(DESPACHOS!$M$3:$M$3002,MATCH($C1613,DESPACHOS!$B$3:$B$3002,0))),"")</f>
        <v/>
      </c>
      <c r="T1613" s="41" t="n"/>
      <c r="U1613" s="43">
        <f>IF(OR($B1613="",$L1613=""),"",WORKDAY($B1613,IFERROR(INDEX(LISTAS!$C$3:$C$42,MATCH($L1613,LISTAS!$A$3:$A$42,0)),3)))</f>
        <v/>
      </c>
      <c r="V1613" s="40" t="n"/>
      <c r="W1613" s="19">
        <f>IF($B1613="","",IF($V1613&lt;&gt;"",$V1613-$B1613,TODAY()-$B1613))</f>
        <v/>
      </c>
      <c r="X1613" s="19">
        <f>IF(OR($B1613="",$U1613=""),"",IF($V1613&lt;&gt;"",MAX(0,$V1613-$U1613),MAX(0,TODAY()-$U1613)))</f>
        <v/>
      </c>
      <c r="Y1613" s="39">
        <f>IF($C1613="","",IF(IFERROR(INDEX(LISTAS!$I$3:$I$42,MATCH($T1613,LISTAS!$H$3:$H$42,0)),"NO")="SÍ",IF(N($X1613)&gt;0,"CERRADA FUERA DE SLA","CERRADA EN SLA"),IF($U1613="","SIN CLASIFICAR",IF(N($X1613)&gt;0,"VENCIDA",IF(TODAY()&gt;=$U1613-1,"POR VENCER","EN PLAZO")))))</f>
        <v/>
      </c>
      <c r="Z1613" s="41" t="n"/>
      <c r="AA1613" s="41" t="n"/>
      <c r="AB1613" s="41" t="n"/>
    </row>
    <row r="1614">
      <c r="A1614" s="39">
        <f>IF($C1614="","","NOV-"&amp;TEXT(ROW()-3,"0000"))</f>
        <v/>
      </c>
      <c r="B1614" s="40" t="n"/>
      <c r="C1614" s="41" t="n"/>
      <c r="D1614" s="42">
        <f>IF($C1614="","",IFERROR(INDEX(DESPACHOS!$D$3:$D$3002,MATCH($C1614,DESPACHOS!$B$3:$B$3002,0)),"SIN DESPACHO"))</f>
        <v/>
      </c>
      <c r="E1614" s="42">
        <f>IF($C1614="","",IFERROR(INDEX(DESPACHOS!$K$3:$K$3002,MATCH($C1614,DESPACHOS!$B$3:$B$3002,0)),""))</f>
        <v/>
      </c>
      <c r="F1614" s="42">
        <f>IF($C1614="","",IFERROR(INDEX(DESPACHOS!$I$3:$I$3002,MATCH($C1614,DESPACHOS!$B$3:$B$3002,0)),""))</f>
        <v/>
      </c>
      <c r="G1614" s="42">
        <f>IF($C1614="","",IFERROR(INDEX(DESPACHOS!$F$3:$F$3002,MATCH($C1614,DESPACHOS!$B$3:$B$3002,0)),""))</f>
        <v/>
      </c>
      <c r="H1614" s="42">
        <f>IF($C1614="","",IFERROR(INDEX(DESPACHOS!$G$3:$G$3002,MATCH($C1614,DESPACHOS!$B$3:$B$3002,0)),""))</f>
        <v/>
      </c>
      <c r="I1614" s="39">
        <f>IF($C1614="","",IFERROR(INDEX(DESPACHOS!$H$3:$H$3002,MATCH($C1614,DESPACHOS!$B$3:$B$3002,0)),""))</f>
        <v/>
      </c>
      <c r="J1614" s="43">
        <f>IF($C1614="","",IFERROR(INDEX(DESPACHOS!$J$3:$J$3002,MATCH($C1614,DESPACHOS!$B$3:$B$3002,0)),""))</f>
        <v/>
      </c>
      <c r="K1614" s="39">
        <f>IF($C1614="","",IF(COUNTIFS(DESPACHOS!$B$3:$B$3002,$C1614)=0,"NO EXISTE",IF(COUNTIFS(DESPACHOS!$B$3:$B$3002,$C1614)&gt;1,"DUPLICADO","OK")))</f>
        <v/>
      </c>
      <c r="L1614" s="41" t="n"/>
      <c r="M1614" s="41" t="n"/>
      <c r="N1614" s="42">
        <f>IF($M1614="","",IFERROR(INDEX(LISTAS!$F$3:$F$42,MATCH($M1614,LISTAS!$E$3:$E$42,0)),"Por definir"))</f>
        <v/>
      </c>
      <c r="O1614" s="41" t="n"/>
      <c r="P1614" s="39">
        <f>IF($L1614="","",IFERROR(INDEX(LISTAS!$B$3:$B$42,MATCH($L1614,LISTAS!$A$3:$A$42,0)),"Media"))</f>
        <v/>
      </c>
      <c r="Q1614" s="44" t="n"/>
      <c r="R1614" s="45" t="n"/>
      <c r="S1614" s="20">
        <f>IFERROR(IF(OR($R1614="",$C1614=""),"",$R1614/INDEX(DESPACHOS!$M$3:$M$3002,MATCH($C1614,DESPACHOS!$B$3:$B$3002,0))),"")</f>
        <v/>
      </c>
      <c r="T1614" s="41" t="n"/>
      <c r="U1614" s="43">
        <f>IF(OR($B1614="",$L1614=""),"",WORKDAY($B1614,IFERROR(INDEX(LISTAS!$C$3:$C$42,MATCH($L1614,LISTAS!$A$3:$A$42,0)),3)))</f>
        <v/>
      </c>
      <c r="V1614" s="40" t="n"/>
      <c r="W1614" s="19">
        <f>IF($B1614="","",IF($V1614&lt;&gt;"",$V1614-$B1614,TODAY()-$B1614))</f>
        <v/>
      </c>
      <c r="X1614" s="19">
        <f>IF(OR($B1614="",$U1614=""),"",IF($V1614&lt;&gt;"",MAX(0,$V1614-$U1614),MAX(0,TODAY()-$U1614)))</f>
        <v/>
      </c>
      <c r="Y1614" s="39">
        <f>IF($C1614="","",IF(IFERROR(INDEX(LISTAS!$I$3:$I$42,MATCH($T1614,LISTAS!$H$3:$H$42,0)),"NO")="SÍ",IF(N($X1614)&gt;0,"CERRADA FUERA DE SLA","CERRADA EN SLA"),IF($U1614="","SIN CLASIFICAR",IF(N($X1614)&gt;0,"VENCIDA",IF(TODAY()&gt;=$U1614-1,"POR VENCER","EN PLAZO")))))</f>
        <v/>
      </c>
      <c r="Z1614" s="41" t="n"/>
      <c r="AA1614" s="41" t="n"/>
      <c r="AB1614" s="41" t="n"/>
    </row>
    <row r="1615">
      <c r="A1615" s="39">
        <f>IF($C1615="","","NOV-"&amp;TEXT(ROW()-3,"0000"))</f>
        <v/>
      </c>
      <c r="B1615" s="40" t="n"/>
      <c r="C1615" s="41" t="n"/>
      <c r="D1615" s="42">
        <f>IF($C1615="","",IFERROR(INDEX(DESPACHOS!$D$3:$D$3002,MATCH($C1615,DESPACHOS!$B$3:$B$3002,0)),"SIN DESPACHO"))</f>
        <v/>
      </c>
      <c r="E1615" s="42">
        <f>IF($C1615="","",IFERROR(INDEX(DESPACHOS!$K$3:$K$3002,MATCH($C1615,DESPACHOS!$B$3:$B$3002,0)),""))</f>
        <v/>
      </c>
      <c r="F1615" s="42">
        <f>IF($C1615="","",IFERROR(INDEX(DESPACHOS!$I$3:$I$3002,MATCH($C1615,DESPACHOS!$B$3:$B$3002,0)),""))</f>
        <v/>
      </c>
      <c r="G1615" s="42">
        <f>IF($C1615="","",IFERROR(INDEX(DESPACHOS!$F$3:$F$3002,MATCH($C1615,DESPACHOS!$B$3:$B$3002,0)),""))</f>
        <v/>
      </c>
      <c r="H1615" s="42">
        <f>IF($C1615="","",IFERROR(INDEX(DESPACHOS!$G$3:$G$3002,MATCH($C1615,DESPACHOS!$B$3:$B$3002,0)),""))</f>
        <v/>
      </c>
      <c r="I1615" s="39">
        <f>IF($C1615="","",IFERROR(INDEX(DESPACHOS!$H$3:$H$3002,MATCH($C1615,DESPACHOS!$B$3:$B$3002,0)),""))</f>
        <v/>
      </c>
      <c r="J1615" s="43">
        <f>IF($C1615="","",IFERROR(INDEX(DESPACHOS!$J$3:$J$3002,MATCH($C1615,DESPACHOS!$B$3:$B$3002,0)),""))</f>
        <v/>
      </c>
      <c r="K1615" s="39">
        <f>IF($C1615="","",IF(COUNTIFS(DESPACHOS!$B$3:$B$3002,$C1615)=0,"NO EXISTE",IF(COUNTIFS(DESPACHOS!$B$3:$B$3002,$C1615)&gt;1,"DUPLICADO","OK")))</f>
        <v/>
      </c>
      <c r="L1615" s="41" t="n"/>
      <c r="M1615" s="41" t="n"/>
      <c r="N1615" s="42">
        <f>IF($M1615="","",IFERROR(INDEX(LISTAS!$F$3:$F$42,MATCH($M1615,LISTAS!$E$3:$E$42,0)),"Por definir"))</f>
        <v/>
      </c>
      <c r="O1615" s="41" t="n"/>
      <c r="P1615" s="39">
        <f>IF($L1615="","",IFERROR(INDEX(LISTAS!$B$3:$B$42,MATCH($L1615,LISTAS!$A$3:$A$42,0)),"Media"))</f>
        <v/>
      </c>
      <c r="Q1615" s="44" t="n"/>
      <c r="R1615" s="45" t="n"/>
      <c r="S1615" s="20">
        <f>IFERROR(IF(OR($R1615="",$C1615=""),"",$R1615/INDEX(DESPACHOS!$M$3:$M$3002,MATCH($C1615,DESPACHOS!$B$3:$B$3002,0))),"")</f>
        <v/>
      </c>
      <c r="T1615" s="41" t="n"/>
      <c r="U1615" s="43">
        <f>IF(OR($B1615="",$L1615=""),"",WORKDAY($B1615,IFERROR(INDEX(LISTAS!$C$3:$C$42,MATCH($L1615,LISTAS!$A$3:$A$42,0)),3)))</f>
        <v/>
      </c>
      <c r="V1615" s="40" t="n"/>
      <c r="W1615" s="19">
        <f>IF($B1615="","",IF($V1615&lt;&gt;"",$V1615-$B1615,TODAY()-$B1615))</f>
        <v/>
      </c>
      <c r="X1615" s="19">
        <f>IF(OR($B1615="",$U1615=""),"",IF($V1615&lt;&gt;"",MAX(0,$V1615-$U1615),MAX(0,TODAY()-$U1615)))</f>
        <v/>
      </c>
      <c r="Y1615" s="39">
        <f>IF($C1615="","",IF(IFERROR(INDEX(LISTAS!$I$3:$I$42,MATCH($T1615,LISTAS!$H$3:$H$42,0)),"NO")="SÍ",IF(N($X1615)&gt;0,"CERRADA FUERA DE SLA","CERRADA EN SLA"),IF($U1615="","SIN CLASIFICAR",IF(N($X1615)&gt;0,"VENCIDA",IF(TODAY()&gt;=$U1615-1,"POR VENCER","EN PLAZO")))))</f>
        <v/>
      </c>
      <c r="Z1615" s="41" t="n"/>
      <c r="AA1615" s="41" t="n"/>
      <c r="AB1615" s="41" t="n"/>
    </row>
    <row r="1616">
      <c r="A1616" s="39">
        <f>IF($C1616="","","NOV-"&amp;TEXT(ROW()-3,"0000"))</f>
        <v/>
      </c>
      <c r="B1616" s="40" t="n"/>
      <c r="C1616" s="41" t="n"/>
      <c r="D1616" s="42">
        <f>IF($C1616="","",IFERROR(INDEX(DESPACHOS!$D$3:$D$3002,MATCH($C1616,DESPACHOS!$B$3:$B$3002,0)),"SIN DESPACHO"))</f>
        <v/>
      </c>
      <c r="E1616" s="42">
        <f>IF($C1616="","",IFERROR(INDEX(DESPACHOS!$K$3:$K$3002,MATCH($C1616,DESPACHOS!$B$3:$B$3002,0)),""))</f>
        <v/>
      </c>
      <c r="F1616" s="42">
        <f>IF($C1616="","",IFERROR(INDEX(DESPACHOS!$I$3:$I$3002,MATCH($C1616,DESPACHOS!$B$3:$B$3002,0)),""))</f>
        <v/>
      </c>
      <c r="G1616" s="42">
        <f>IF($C1616="","",IFERROR(INDEX(DESPACHOS!$F$3:$F$3002,MATCH($C1616,DESPACHOS!$B$3:$B$3002,0)),""))</f>
        <v/>
      </c>
      <c r="H1616" s="42">
        <f>IF($C1616="","",IFERROR(INDEX(DESPACHOS!$G$3:$G$3002,MATCH($C1616,DESPACHOS!$B$3:$B$3002,0)),""))</f>
        <v/>
      </c>
      <c r="I1616" s="39">
        <f>IF($C1616="","",IFERROR(INDEX(DESPACHOS!$H$3:$H$3002,MATCH($C1616,DESPACHOS!$B$3:$B$3002,0)),""))</f>
        <v/>
      </c>
      <c r="J1616" s="43">
        <f>IF($C1616="","",IFERROR(INDEX(DESPACHOS!$J$3:$J$3002,MATCH($C1616,DESPACHOS!$B$3:$B$3002,0)),""))</f>
        <v/>
      </c>
      <c r="K1616" s="39">
        <f>IF($C1616="","",IF(COUNTIFS(DESPACHOS!$B$3:$B$3002,$C1616)=0,"NO EXISTE",IF(COUNTIFS(DESPACHOS!$B$3:$B$3002,$C1616)&gt;1,"DUPLICADO","OK")))</f>
        <v/>
      </c>
      <c r="L1616" s="41" t="n"/>
      <c r="M1616" s="41" t="n"/>
      <c r="N1616" s="42">
        <f>IF($M1616="","",IFERROR(INDEX(LISTAS!$F$3:$F$42,MATCH($M1616,LISTAS!$E$3:$E$42,0)),"Por definir"))</f>
        <v/>
      </c>
      <c r="O1616" s="41" t="n"/>
      <c r="P1616" s="39">
        <f>IF($L1616="","",IFERROR(INDEX(LISTAS!$B$3:$B$42,MATCH($L1616,LISTAS!$A$3:$A$42,0)),"Media"))</f>
        <v/>
      </c>
      <c r="Q1616" s="44" t="n"/>
      <c r="R1616" s="45" t="n"/>
      <c r="S1616" s="20">
        <f>IFERROR(IF(OR($R1616="",$C1616=""),"",$R1616/INDEX(DESPACHOS!$M$3:$M$3002,MATCH($C1616,DESPACHOS!$B$3:$B$3002,0))),"")</f>
        <v/>
      </c>
      <c r="T1616" s="41" t="n"/>
      <c r="U1616" s="43">
        <f>IF(OR($B1616="",$L1616=""),"",WORKDAY($B1616,IFERROR(INDEX(LISTAS!$C$3:$C$42,MATCH($L1616,LISTAS!$A$3:$A$42,0)),3)))</f>
        <v/>
      </c>
      <c r="V1616" s="40" t="n"/>
      <c r="W1616" s="19">
        <f>IF($B1616="","",IF($V1616&lt;&gt;"",$V1616-$B1616,TODAY()-$B1616))</f>
        <v/>
      </c>
      <c r="X1616" s="19">
        <f>IF(OR($B1616="",$U1616=""),"",IF($V1616&lt;&gt;"",MAX(0,$V1616-$U1616),MAX(0,TODAY()-$U1616)))</f>
        <v/>
      </c>
      <c r="Y1616" s="39">
        <f>IF($C1616="","",IF(IFERROR(INDEX(LISTAS!$I$3:$I$42,MATCH($T1616,LISTAS!$H$3:$H$42,0)),"NO")="SÍ",IF(N($X1616)&gt;0,"CERRADA FUERA DE SLA","CERRADA EN SLA"),IF($U1616="","SIN CLASIFICAR",IF(N($X1616)&gt;0,"VENCIDA",IF(TODAY()&gt;=$U1616-1,"POR VENCER","EN PLAZO")))))</f>
        <v/>
      </c>
      <c r="Z1616" s="41" t="n"/>
      <c r="AA1616" s="41" t="n"/>
      <c r="AB1616" s="41" t="n"/>
    </row>
    <row r="1617">
      <c r="A1617" s="39">
        <f>IF($C1617="","","NOV-"&amp;TEXT(ROW()-3,"0000"))</f>
        <v/>
      </c>
      <c r="B1617" s="40" t="n"/>
      <c r="C1617" s="41" t="n"/>
      <c r="D1617" s="42">
        <f>IF($C1617="","",IFERROR(INDEX(DESPACHOS!$D$3:$D$3002,MATCH($C1617,DESPACHOS!$B$3:$B$3002,0)),"SIN DESPACHO"))</f>
        <v/>
      </c>
      <c r="E1617" s="42">
        <f>IF($C1617="","",IFERROR(INDEX(DESPACHOS!$K$3:$K$3002,MATCH($C1617,DESPACHOS!$B$3:$B$3002,0)),""))</f>
        <v/>
      </c>
      <c r="F1617" s="42">
        <f>IF($C1617="","",IFERROR(INDEX(DESPACHOS!$I$3:$I$3002,MATCH($C1617,DESPACHOS!$B$3:$B$3002,0)),""))</f>
        <v/>
      </c>
      <c r="G1617" s="42">
        <f>IF($C1617="","",IFERROR(INDEX(DESPACHOS!$F$3:$F$3002,MATCH($C1617,DESPACHOS!$B$3:$B$3002,0)),""))</f>
        <v/>
      </c>
      <c r="H1617" s="42">
        <f>IF($C1617="","",IFERROR(INDEX(DESPACHOS!$G$3:$G$3002,MATCH($C1617,DESPACHOS!$B$3:$B$3002,0)),""))</f>
        <v/>
      </c>
      <c r="I1617" s="39">
        <f>IF($C1617="","",IFERROR(INDEX(DESPACHOS!$H$3:$H$3002,MATCH($C1617,DESPACHOS!$B$3:$B$3002,0)),""))</f>
        <v/>
      </c>
      <c r="J1617" s="43">
        <f>IF($C1617="","",IFERROR(INDEX(DESPACHOS!$J$3:$J$3002,MATCH($C1617,DESPACHOS!$B$3:$B$3002,0)),""))</f>
        <v/>
      </c>
      <c r="K1617" s="39">
        <f>IF($C1617="","",IF(COUNTIFS(DESPACHOS!$B$3:$B$3002,$C1617)=0,"NO EXISTE",IF(COUNTIFS(DESPACHOS!$B$3:$B$3002,$C1617)&gt;1,"DUPLICADO","OK")))</f>
        <v/>
      </c>
      <c r="L1617" s="41" t="n"/>
      <c r="M1617" s="41" t="n"/>
      <c r="N1617" s="42">
        <f>IF($M1617="","",IFERROR(INDEX(LISTAS!$F$3:$F$42,MATCH($M1617,LISTAS!$E$3:$E$42,0)),"Por definir"))</f>
        <v/>
      </c>
      <c r="O1617" s="41" t="n"/>
      <c r="P1617" s="39">
        <f>IF($L1617="","",IFERROR(INDEX(LISTAS!$B$3:$B$42,MATCH($L1617,LISTAS!$A$3:$A$42,0)),"Media"))</f>
        <v/>
      </c>
      <c r="Q1617" s="44" t="n"/>
      <c r="R1617" s="45" t="n"/>
      <c r="S1617" s="20">
        <f>IFERROR(IF(OR($R1617="",$C1617=""),"",$R1617/INDEX(DESPACHOS!$M$3:$M$3002,MATCH($C1617,DESPACHOS!$B$3:$B$3002,0))),"")</f>
        <v/>
      </c>
      <c r="T1617" s="41" t="n"/>
      <c r="U1617" s="43">
        <f>IF(OR($B1617="",$L1617=""),"",WORKDAY($B1617,IFERROR(INDEX(LISTAS!$C$3:$C$42,MATCH($L1617,LISTAS!$A$3:$A$42,0)),3)))</f>
        <v/>
      </c>
      <c r="V1617" s="40" t="n"/>
      <c r="W1617" s="19">
        <f>IF($B1617="","",IF($V1617&lt;&gt;"",$V1617-$B1617,TODAY()-$B1617))</f>
        <v/>
      </c>
      <c r="X1617" s="19">
        <f>IF(OR($B1617="",$U1617=""),"",IF($V1617&lt;&gt;"",MAX(0,$V1617-$U1617),MAX(0,TODAY()-$U1617)))</f>
        <v/>
      </c>
      <c r="Y1617" s="39">
        <f>IF($C1617="","",IF(IFERROR(INDEX(LISTAS!$I$3:$I$42,MATCH($T1617,LISTAS!$H$3:$H$42,0)),"NO")="SÍ",IF(N($X1617)&gt;0,"CERRADA FUERA DE SLA","CERRADA EN SLA"),IF($U1617="","SIN CLASIFICAR",IF(N($X1617)&gt;0,"VENCIDA",IF(TODAY()&gt;=$U1617-1,"POR VENCER","EN PLAZO")))))</f>
        <v/>
      </c>
      <c r="Z1617" s="41" t="n"/>
      <c r="AA1617" s="41" t="n"/>
      <c r="AB1617" s="41" t="n"/>
    </row>
    <row r="1618">
      <c r="A1618" s="39">
        <f>IF($C1618="","","NOV-"&amp;TEXT(ROW()-3,"0000"))</f>
        <v/>
      </c>
      <c r="B1618" s="40" t="n"/>
      <c r="C1618" s="41" t="n"/>
      <c r="D1618" s="42">
        <f>IF($C1618="","",IFERROR(INDEX(DESPACHOS!$D$3:$D$3002,MATCH($C1618,DESPACHOS!$B$3:$B$3002,0)),"SIN DESPACHO"))</f>
        <v/>
      </c>
      <c r="E1618" s="42">
        <f>IF($C1618="","",IFERROR(INDEX(DESPACHOS!$K$3:$K$3002,MATCH($C1618,DESPACHOS!$B$3:$B$3002,0)),""))</f>
        <v/>
      </c>
      <c r="F1618" s="42">
        <f>IF($C1618="","",IFERROR(INDEX(DESPACHOS!$I$3:$I$3002,MATCH($C1618,DESPACHOS!$B$3:$B$3002,0)),""))</f>
        <v/>
      </c>
      <c r="G1618" s="42">
        <f>IF($C1618="","",IFERROR(INDEX(DESPACHOS!$F$3:$F$3002,MATCH($C1618,DESPACHOS!$B$3:$B$3002,0)),""))</f>
        <v/>
      </c>
      <c r="H1618" s="42">
        <f>IF($C1618="","",IFERROR(INDEX(DESPACHOS!$G$3:$G$3002,MATCH($C1618,DESPACHOS!$B$3:$B$3002,0)),""))</f>
        <v/>
      </c>
      <c r="I1618" s="39">
        <f>IF($C1618="","",IFERROR(INDEX(DESPACHOS!$H$3:$H$3002,MATCH($C1618,DESPACHOS!$B$3:$B$3002,0)),""))</f>
        <v/>
      </c>
      <c r="J1618" s="43">
        <f>IF($C1618="","",IFERROR(INDEX(DESPACHOS!$J$3:$J$3002,MATCH($C1618,DESPACHOS!$B$3:$B$3002,0)),""))</f>
        <v/>
      </c>
      <c r="K1618" s="39">
        <f>IF($C1618="","",IF(COUNTIFS(DESPACHOS!$B$3:$B$3002,$C1618)=0,"NO EXISTE",IF(COUNTIFS(DESPACHOS!$B$3:$B$3002,$C1618)&gt;1,"DUPLICADO","OK")))</f>
        <v/>
      </c>
      <c r="L1618" s="41" t="n"/>
      <c r="M1618" s="41" t="n"/>
      <c r="N1618" s="42">
        <f>IF($M1618="","",IFERROR(INDEX(LISTAS!$F$3:$F$42,MATCH($M1618,LISTAS!$E$3:$E$42,0)),"Por definir"))</f>
        <v/>
      </c>
      <c r="O1618" s="41" t="n"/>
      <c r="P1618" s="39">
        <f>IF($L1618="","",IFERROR(INDEX(LISTAS!$B$3:$B$42,MATCH($L1618,LISTAS!$A$3:$A$42,0)),"Media"))</f>
        <v/>
      </c>
      <c r="Q1618" s="44" t="n"/>
      <c r="R1618" s="45" t="n"/>
      <c r="S1618" s="20">
        <f>IFERROR(IF(OR($R1618="",$C1618=""),"",$R1618/INDEX(DESPACHOS!$M$3:$M$3002,MATCH($C1618,DESPACHOS!$B$3:$B$3002,0))),"")</f>
        <v/>
      </c>
      <c r="T1618" s="41" t="n"/>
      <c r="U1618" s="43">
        <f>IF(OR($B1618="",$L1618=""),"",WORKDAY($B1618,IFERROR(INDEX(LISTAS!$C$3:$C$42,MATCH($L1618,LISTAS!$A$3:$A$42,0)),3)))</f>
        <v/>
      </c>
      <c r="V1618" s="40" t="n"/>
      <c r="W1618" s="19">
        <f>IF($B1618="","",IF($V1618&lt;&gt;"",$V1618-$B1618,TODAY()-$B1618))</f>
        <v/>
      </c>
      <c r="X1618" s="19">
        <f>IF(OR($B1618="",$U1618=""),"",IF($V1618&lt;&gt;"",MAX(0,$V1618-$U1618),MAX(0,TODAY()-$U1618)))</f>
        <v/>
      </c>
      <c r="Y1618" s="39">
        <f>IF($C1618="","",IF(IFERROR(INDEX(LISTAS!$I$3:$I$42,MATCH($T1618,LISTAS!$H$3:$H$42,0)),"NO")="SÍ",IF(N($X1618)&gt;0,"CERRADA FUERA DE SLA","CERRADA EN SLA"),IF($U1618="","SIN CLASIFICAR",IF(N($X1618)&gt;0,"VENCIDA",IF(TODAY()&gt;=$U1618-1,"POR VENCER","EN PLAZO")))))</f>
        <v/>
      </c>
      <c r="Z1618" s="41" t="n"/>
      <c r="AA1618" s="41" t="n"/>
      <c r="AB1618" s="41" t="n"/>
    </row>
    <row r="1619">
      <c r="A1619" s="39">
        <f>IF($C1619="","","NOV-"&amp;TEXT(ROW()-3,"0000"))</f>
        <v/>
      </c>
      <c r="B1619" s="40" t="n"/>
      <c r="C1619" s="41" t="n"/>
      <c r="D1619" s="42">
        <f>IF($C1619="","",IFERROR(INDEX(DESPACHOS!$D$3:$D$3002,MATCH($C1619,DESPACHOS!$B$3:$B$3002,0)),"SIN DESPACHO"))</f>
        <v/>
      </c>
      <c r="E1619" s="42">
        <f>IF($C1619="","",IFERROR(INDEX(DESPACHOS!$K$3:$K$3002,MATCH($C1619,DESPACHOS!$B$3:$B$3002,0)),""))</f>
        <v/>
      </c>
      <c r="F1619" s="42">
        <f>IF($C1619="","",IFERROR(INDEX(DESPACHOS!$I$3:$I$3002,MATCH($C1619,DESPACHOS!$B$3:$B$3002,0)),""))</f>
        <v/>
      </c>
      <c r="G1619" s="42">
        <f>IF($C1619="","",IFERROR(INDEX(DESPACHOS!$F$3:$F$3002,MATCH($C1619,DESPACHOS!$B$3:$B$3002,0)),""))</f>
        <v/>
      </c>
      <c r="H1619" s="42">
        <f>IF($C1619="","",IFERROR(INDEX(DESPACHOS!$G$3:$G$3002,MATCH($C1619,DESPACHOS!$B$3:$B$3002,0)),""))</f>
        <v/>
      </c>
      <c r="I1619" s="39">
        <f>IF($C1619="","",IFERROR(INDEX(DESPACHOS!$H$3:$H$3002,MATCH($C1619,DESPACHOS!$B$3:$B$3002,0)),""))</f>
        <v/>
      </c>
      <c r="J1619" s="43">
        <f>IF($C1619="","",IFERROR(INDEX(DESPACHOS!$J$3:$J$3002,MATCH($C1619,DESPACHOS!$B$3:$B$3002,0)),""))</f>
        <v/>
      </c>
      <c r="K1619" s="39">
        <f>IF($C1619="","",IF(COUNTIFS(DESPACHOS!$B$3:$B$3002,$C1619)=0,"NO EXISTE",IF(COUNTIFS(DESPACHOS!$B$3:$B$3002,$C1619)&gt;1,"DUPLICADO","OK")))</f>
        <v/>
      </c>
      <c r="L1619" s="41" t="n"/>
      <c r="M1619" s="41" t="n"/>
      <c r="N1619" s="42">
        <f>IF($M1619="","",IFERROR(INDEX(LISTAS!$F$3:$F$42,MATCH($M1619,LISTAS!$E$3:$E$42,0)),"Por definir"))</f>
        <v/>
      </c>
      <c r="O1619" s="41" t="n"/>
      <c r="P1619" s="39">
        <f>IF($L1619="","",IFERROR(INDEX(LISTAS!$B$3:$B$42,MATCH($L1619,LISTAS!$A$3:$A$42,0)),"Media"))</f>
        <v/>
      </c>
      <c r="Q1619" s="44" t="n"/>
      <c r="R1619" s="45" t="n"/>
      <c r="S1619" s="20">
        <f>IFERROR(IF(OR($R1619="",$C1619=""),"",$R1619/INDEX(DESPACHOS!$M$3:$M$3002,MATCH($C1619,DESPACHOS!$B$3:$B$3002,0))),"")</f>
        <v/>
      </c>
      <c r="T1619" s="41" t="n"/>
      <c r="U1619" s="43">
        <f>IF(OR($B1619="",$L1619=""),"",WORKDAY($B1619,IFERROR(INDEX(LISTAS!$C$3:$C$42,MATCH($L1619,LISTAS!$A$3:$A$42,0)),3)))</f>
        <v/>
      </c>
      <c r="V1619" s="40" t="n"/>
      <c r="W1619" s="19">
        <f>IF($B1619="","",IF($V1619&lt;&gt;"",$V1619-$B1619,TODAY()-$B1619))</f>
        <v/>
      </c>
      <c r="X1619" s="19">
        <f>IF(OR($B1619="",$U1619=""),"",IF($V1619&lt;&gt;"",MAX(0,$V1619-$U1619),MAX(0,TODAY()-$U1619)))</f>
        <v/>
      </c>
      <c r="Y1619" s="39">
        <f>IF($C1619="","",IF(IFERROR(INDEX(LISTAS!$I$3:$I$42,MATCH($T1619,LISTAS!$H$3:$H$42,0)),"NO")="SÍ",IF(N($X1619)&gt;0,"CERRADA FUERA DE SLA","CERRADA EN SLA"),IF($U1619="","SIN CLASIFICAR",IF(N($X1619)&gt;0,"VENCIDA",IF(TODAY()&gt;=$U1619-1,"POR VENCER","EN PLAZO")))))</f>
        <v/>
      </c>
      <c r="Z1619" s="41" t="n"/>
      <c r="AA1619" s="41" t="n"/>
      <c r="AB1619" s="41" t="n"/>
    </row>
    <row r="1620">
      <c r="A1620" s="39">
        <f>IF($C1620="","","NOV-"&amp;TEXT(ROW()-3,"0000"))</f>
        <v/>
      </c>
      <c r="B1620" s="40" t="n"/>
      <c r="C1620" s="41" t="n"/>
      <c r="D1620" s="42">
        <f>IF($C1620="","",IFERROR(INDEX(DESPACHOS!$D$3:$D$3002,MATCH($C1620,DESPACHOS!$B$3:$B$3002,0)),"SIN DESPACHO"))</f>
        <v/>
      </c>
      <c r="E1620" s="42">
        <f>IF($C1620="","",IFERROR(INDEX(DESPACHOS!$K$3:$K$3002,MATCH($C1620,DESPACHOS!$B$3:$B$3002,0)),""))</f>
        <v/>
      </c>
      <c r="F1620" s="42">
        <f>IF($C1620="","",IFERROR(INDEX(DESPACHOS!$I$3:$I$3002,MATCH($C1620,DESPACHOS!$B$3:$B$3002,0)),""))</f>
        <v/>
      </c>
      <c r="G1620" s="42">
        <f>IF($C1620="","",IFERROR(INDEX(DESPACHOS!$F$3:$F$3002,MATCH($C1620,DESPACHOS!$B$3:$B$3002,0)),""))</f>
        <v/>
      </c>
      <c r="H1620" s="42">
        <f>IF($C1620="","",IFERROR(INDEX(DESPACHOS!$G$3:$G$3002,MATCH($C1620,DESPACHOS!$B$3:$B$3002,0)),""))</f>
        <v/>
      </c>
      <c r="I1620" s="39">
        <f>IF($C1620="","",IFERROR(INDEX(DESPACHOS!$H$3:$H$3002,MATCH($C1620,DESPACHOS!$B$3:$B$3002,0)),""))</f>
        <v/>
      </c>
      <c r="J1620" s="43">
        <f>IF($C1620="","",IFERROR(INDEX(DESPACHOS!$J$3:$J$3002,MATCH($C1620,DESPACHOS!$B$3:$B$3002,0)),""))</f>
        <v/>
      </c>
      <c r="K1620" s="39">
        <f>IF($C1620="","",IF(COUNTIFS(DESPACHOS!$B$3:$B$3002,$C1620)=0,"NO EXISTE",IF(COUNTIFS(DESPACHOS!$B$3:$B$3002,$C1620)&gt;1,"DUPLICADO","OK")))</f>
        <v/>
      </c>
      <c r="L1620" s="41" t="n"/>
      <c r="M1620" s="41" t="n"/>
      <c r="N1620" s="42">
        <f>IF($M1620="","",IFERROR(INDEX(LISTAS!$F$3:$F$42,MATCH($M1620,LISTAS!$E$3:$E$42,0)),"Por definir"))</f>
        <v/>
      </c>
      <c r="O1620" s="41" t="n"/>
      <c r="P1620" s="39">
        <f>IF($L1620="","",IFERROR(INDEX(LISTAS!$B$3:$B$42,MATCH($L1620,LISTAS!$A$3:$A$42,0)),"Media"))</f>
        <v/>
      </c>
      <c r="Q1620" s="44" t="n"/>
      <c r="R1620" s="45" t="n"/>
      <c r="S1620" s="20">
        <f>IFERROR(IF(OR($R1620="",$C1620=""),"",$R1620/INDEX(DESPACHOS!$M$3:$M$3002,MATCH($C1620,DESPACHOS!$B$3:$B$3002,0))),"")</f>
        <v/>
      </c>
      <c r="T1620" s="41" t="n"/>
      <c r="U1620" s="43">
        <f>IF(OR($B1620="",$L1620=""),"",WORKDAY($B1620,IFERROR(INDEX(LISTAS!$C$3:$C$42,MATCH($L1620,LISTAS!$A$3:$A$42,0)),3)))</f>
        <v/>
      </c>
      <c r="V1620" s="40" t="n"/>
      <c r="W1620" s="19">
        <f>IF($B1620="","",IF($V1620&lt;&gt;"",$V1620-$B1620,TODAY()-$B1620))</f>
        <v/>
      </c>
      <c r="X1620" s="19">
        <f>IF(OR($B1620="",$U1620=""),"",IF($V1620&lt;&gt;"",MAX(0,$V1620-$U1620),MAX(0,TODAY()-$U1620)))</f>
        <v/>
      </c>
      <c r="Y1620" s="39">
        <f>IF($C1620="","",IF(IFERROR(INDEX(LISTAS!$I$3:$I$42,MATCH($T1620,LISTAS!$H$3:$H$42,0)),"NO")="SÍ",IF(N($X1620)&gt;0,"CERRADA FUERA DE SLA","CERRADA EN SLA"),IF($U1620="","SIN CLASIFICAR",IF(N($X1620)&gt;0,"VENCIDA",IF(TODAY()&gt;=$U1620-1,"POR VENCER","EN PLAZO")))))</f>
        <v/>
      </c>
      <c r="Z1620" s="41" t="n"/>
      <c r="AA1620" s="41" t="n"/>
      <c r="AB1620" s="41" t="n"/>
    </row>
    <row r="1621">
      <c r="A1621" s="39">
        <f>IF($C1621="","","NOV-"&amp;TEXT(ROW()-3,"0000"))</f>
        <v/>
      </c>
      <c r="B1621" s="40" t="n"/>
      <c r="C1621" s="41" t="n"/>
      <c r="D1621" s="42">
        <f>IF($C1621="","",IFERROR(INDEX(DESPACHOS!$D$3:$D$3002,MATCH($C1621,DESPACHOS!$B$3:$B$3002,0)),"SIN DESPACHO"))</f>
        <v/>
      </c>
      <c r="E1621" s="42">
        <f>IF($C1621="","",IFERROR(INDEX(DESPACHOS!$K$3:$K$3002,MATCH($C1621,DESPACHOS!$B$3:$B$3002,0)),""))</f>
        <v/>
      </c>
      <c r="F1621" s="42">
        <f>IF($C1621="","",IFERROR(INDEX(DESPACHOS!$I$3:$I$3002,MATCH($C1621,DESPACHOS!$B$3:$B$3002,0)),""))</f>
        <v/>
      </c>
      <c r="G1621" s="42">
        <f>IF($C1621="","",IFERROR(INDEX(DESPACHOS!$F$3:$F$3002,MATCH($C1621,DESPACHOS!$B$3:$B$3002,0)),""))</f>
        <v/>
      </c>
      <c r="H1621" s="42">
        <f>IF($C1621="","",IFERROR(INDEX(DESPACHOS!$G$3:$G$3002,MATCH($C1621,DESPACHOS!$B$3:$B$3002,0)),""))</f>
        <v/>
      </c>
      <c r="I1621" s="39">
        <f>IF($C1621="","",IFERROR(INDEX(DESPACHOS!$H$3:$H$3002,MATCH($C1621,DESPACHOS!$B$3:$B$3002,0)),""))</f>
        <v/>
      </c>
      <c r="J1621" s="43">
        <f>IF($C1621="","",IFERROR(INDEX(DESPACHOS!$J$3:$J$3002,MATCH($C1621,DESPACHOS!$B$3:$B$3002,0)),""))</f>
        <v/>
      </c>
      <c r="K1621" s="39">
        <f>IF($C1621="","",IF(COUNTIFS(DESPACHOS!$B$3:$B$3002,$C1621)=0,"NO EXISTE",IF(COUNTIFS(DESPACHOS!$B$3:$B$3002,$C1621)&gt;1,"DUPLICADO","OK")))</f>
        <v/>
      </c>
      <c r="L1621" s="41" t="n"/>
      <c r="M1621" s="41" t="n"/>
      <c r="N1621" s="42">
        <f>IF($M1621="","",IFERROR(INDEX(LISTAS!$F$3:$F$42,MATCH($M1621,LISTAS!$E$3:$E$42,0)),"Por definir"))</f>
        <v/>
      </c>
      <c r="O1621" s="41" t="n"/>
      <c r="P1621" s="39">
        <f>IF($L1621="","",IFERROR(INDEX(LISTAS!$B$3:$B$42,MATCH($L1621,LISTAS!$A$3:$A$42,0)),"Media"))</f>
        <v/>
      </c>
      <c r="Q1621" s="44" t="n"/>
      <c r="R1621" s="45" t="n"/>
      <c r="S1621" s="20">
        <f>IFERROR(IF(OR($R1621="",$C1621=""),"",$R1621/INDEX(DESPACHOS!$M$3:$M$3002,MATCH($C1621,DESPACHOS!$B$3:$B$3002,0))),"")</f>
        <v/>
      </c>
      <c r="T1621" s="41" t="n"/>
      <c r="U1621" s="43">
        <f>IF(OR($B1621="",$L1621=""),"",WORKDAY($B1621,IFERROR(INDEX(LISTAS!$C$3:$C$42,MATCH($L1621,LISTAS!$A$3:$A$42,0)),3)))</f>
        <v/>
      </c>
      <c r="V1621" s="40" t="n"/>
      <c r="W1621" s="19">
        <f>IF($B1621="","",IF($V1621&lt;&gt;"",$V1621-$B1621,TODAY()-$B1621))</f>
        <v/>
      </c>
      <c r="X1621" s="19">
        <f>IF(OR($B1621="",$U1621=""),"",IF($V1621&lt;&gt;"",MAX(0,$V1621-$U1621),MAX(0,TODAY()-$U1621)))</f>
        <v/>
      </c>
      <c r="Y1621" s="39">
        <f>IF($C1621="","",IF(IFERROR(INDEX(LISTAS!$I$3:$I$42,MATCH($T1621,LISTAS!$H$3:$H$42,0)),"NO")="SÍ",IF(N($X1621)&gt;0,"CERRADA FUERA DE SLA","CERRADA EN SLA"),IF($U1621="","SIN CLASIFICAR",IF(N($X1621)&gt;0,"VENCIDA",IF(TODAY()&gt;=$U1621-1,"POR VENCER","EN PLAZO")))))</f>
        <v/>
      </c>
      <c r="Z1621" s="41" t="n"/>
      <c r="AA1621" s="41" t="n"/>
      <c r="AB1621" s="41" t="n"/>
    </row>
    <row r="1622">
      <c r="A1622" s="39">
        <f>IF($C1622="","","NOV-"&amp;TEXT(ROW()-3,"0000"))</f>
        <v/>
      </c>
      <c r="B1622" s="40" t="n"/>
      <c r="C1622" s="41" t="n"/>
      <c r="D1622" s="42">
        <f>IF($C1622="","",IFERROR(INDEX(DESPACHOS!$D$3:$D$3002,MATCH($C1622,DESPACHOS!$B$3:$B$3002,0)),"SIN DESPACHO"))</f>
        <v/>
      </c>
      <c r="E1622" s="42">
        <f>IF($C1622="","",IFERROR(INDEX(DESPACHOS!$K$3:$K$3002,MATCH($C1622,DESPACHOS!$B$3:$B$3002,0)),""))</f>
        <v/>
      </c>
      <c r="F1622" s="42">
        <f>IF($C1622="","",IFERROR(INDEX(DESPACHOS!$I$3:$I$3002,MATCH($C1622,DESPACHOS!$B$3:$B$3002,0)),""))</f>
        <v/>
      </c>
      <c r="G1622" s="42">
        <f>IF($C1622="","",IFERROR(INDEX(DESPACHOS!$F$3:$F$3002,MATCH($C1622,DESPACHOS!$B$3:$B$3002,0)),""))</f>
        <v/>
      </c>
      <c r="H1622" s="42">
        <f>IF($C1622="","",IFERROR(INDEX(DESPACHOS!$G$3:$G$3002,MATCH($C1622,DESPACHOS!$B$3:$B$3002,0)),""))</f>
        <v/>
      </c>
      <c r="I1622" s="39">
        <f>IF($C1622="","",IFERROR(INDEX(DESPACHOS!$H$3:$H$3002,MATCH($C1622,DESPACHOS!$B$3:$B$3002,0)),""))</f>
        <v/>
      </c>
      <c r="J1622" s="43">
        <f>IF($C1622="","",IFERROR(INDEX(DESPACHOS!$J$3:$J$3002,MATCH($C1622,DESPACHOS!$B$3:$B$3002,0)),""))</f>
        <v/>
      </c>
      <c r="K1622" s="39">
        <f>IF($C1622="","",IF(COUNTIFS(DESPACHOS!$B$3:$B$3002,$C1622)=0,"NO EXISTE",IF(COUNTIFS(DESPACHOS!$B$3:$B$3002,$C1622)&gt;1,"DUPLICADO","OK")))</f>
        <v/>
      </c>
      <c r="L1622" s="41" t="n"/>
      <c r="M1622" s="41" t="n"/>
      <c r="N1622" s="42">
        <f>IF($M1622="","",IFERROR(INDEX(LISTAS!$F$3:$F$42,MATCH($M1622,LISTAS!$E$3:$E$42,0)),"Por definir"))</f>
        <v/>
      </c>
      <c r="O1622" s="41" t="n"/>
      <c r="P1622" s="39">
        <f>IF($L1622="","",IFERROR(INDEX(LISTAS!$B$3:$B$42,MATCH($L1622,LISTAS!$A$3:$A$42,0)),"Media"))</f>
        <v/>
      </c>
      <c r="Q1622" s="44" t="n"/>
      <c r="R1622" s="45" t="n"/>
      <c r="S1622" s="20">
        <f>IFERROR(IF(OR($R1622="",$C1622=""),"",$R1622/INDEX(DESPACHOS!$M$3:$M$3002,MATCH($C1622,DESPACHOS!$B$3:$B$3002,0))),"")</f>
        <v/>
      </c>
      <c r="T1622" s="41" t="n"/>
      <c r="U1622" s="43">
        <f>IF(OR($B1622="",$L1622=""),"",WORKDAY($B1622,IFERROR(INDEX(LISTAS!$C$3:$C$42,MATCH($L1622,LISTAS!$A$3:$A$42,0)),3)))</f>
        <v/>
      </c>
      <c r="V1622" s="40" t="n"/>
      <c r="W1622" s="19">
        <f>IF($B1622="","",IF($V1622&lt;&gt;"",$V1622-$B1622,TODAY()-$B1622))</f>
        <v/>
      </c>
      <c r="X1622" s="19">
        <f>IF(OR($B1622="",$U1622=""),"",IF($V1622&lt;&gt;"",MAX(0,$V1622-$U1622),MAX(0,TODAY()-$U1622)))</f>
        <v/>
      </c>
      <c r="Y1622" s="39">
        <f>IF($C1622="","",IF(IFERROR(INDEX(LISTAS!$I$3:$I$42,MATCH($T1622,LISTAS!$H$3:$H$42,0)),"NO")="SÍ",IF(N($X1622)&gt;0,"CERRADA FUERA DE SLA","CERRADA EN SLA"),IF($U1622="","SIN CLASIFICAR",IF(N($X1622)&gt;0,"VENCIDA",IF(TODAY()&gt;=$U1622-1,"POR VENCER","EN PLAZO")))))</f>
        <v/>
      </c>
      <c r="Z1622" s="41" t="n"/>
      <c r="AA1622" s="41" t="n"/>
      <c r="AB1622" s="41" t="n"/>
    </row>
    <row r="1623">
      <c r="A1623" s="39">
        <f>IF($C1623="","","NOV-"&amp;TEXT(ROW()-3,"0000"))</f>
        <v/>
      </c>
      <c r="B1623" s="40" t="n"/>
      <c r="C1623" s="41" t="n"/>
      <c r="D1623" s="42">
        <f>IF($C1623="","",IFERROR(INDEX(DESPACHOS!$D$3:$D$3002,MATCH($C1623,DESPACHOS!$B$3:$B$3002,0)),"SIN DESPACHO"))</f>
        <v/>
      </c>
      <c r="E1623" s="42">
        <f>IF($C1623="","",IFERROR(INDEX(DESPACHOS!$K$3:$K$3002,MATCH($C1623,DESPACHOS!$B$3:$B$3002,0)),""))</f>
        <v/>
      </c>
      <c r="F1623" s="42">
        <f>IF($C1623="","",IFERROR(INDEX(DESPACHOS!$I$3:$I$3002,MATCH($C1623,DESPACHOS!$B$3:$B$3002,0)),""))</f>
        <v/>
      </c>
      <c r="G1623" s="42">
        <f>IF($C1623="","",IFERROR(INDEX(DESPACHOS!$F$3:$F$3002,MATCH($C1623,DESPACHOS!$B$3:$B$3002,0)),""))</f>
        <v/>
      </c>
      <c r="H1623" s="42">
        <f>IF($C1623="","",IFERROR(INDEX(DESPACHOS!$G$3:$G$3002,MATCH($C1623,DESPACHOS!$B$3:$B$3002,0)),""))</f>
        <v/>
      </c>
      <c r="I1623" s="39">
        <f>IF($C1623="","",IFERROR(INDEX(DESPACHOS!$H$3:$H$3002,MATCH($C1623,DESPACHOS!$B$3:$B$3002,0)),""))</f>
        <v/>
      </c>
      <c r="J1623" s="43">
        <f>IF($C1623="","",IFERROR(INDEX(DESPACHOS!$J$3:$J$3002,MATCH($C1623,DESPACHOS!$B$3:$B$3002,0)),""))</f>
        <v/>
      </c>
      <c r="K1623" s="39">
        <f>IF($C1623="","",IF(COUNTIFS(DESPACHOS!$B$3:$B$3002,$C1623)=0,"NO EXISTE",IF(COUNTIFS(DESPACHOS!$B$3:$B$3002,$C1623)&gt;1,"DUPLICADO","OK")))</f>
        <v/>
      </c>
      <c r="L1623" s="41" t="n"/>
      <c r="M1623" s="41" t="n"/>
      <c r="N1623" s="42">
        <f>IF($M1623="","",IFERROR(INDEX(LISTAS!$F$3:$F$42,MATCH($M1623,LISTAS!$E$3:$E$42,0)),"Por definir"))</f>
        <v/>
      </c>
      <c r="O1623" s="41" t="n"/>
      <c r="P1623" s="39">
        <f>IF($L1623="","",IFERROR(INDEX(LISTAS!$B$3:$B$42,MATCH($L1623,LISTAS!$A$3:$A$42,0)),"Media"))</f>
        <v/>
      </c>
      <c r="Q1623" s="44" t="n"/>
      <c r="R1623" s="45" t="n"/>
      <c r="S1623" s="20">
        <f>IFERROR(IF(OR($R1623="",$C1623=""),"",$R1623/INDEX(DESPACHOS!$M$3:$M$3002,MATCH($C1623,DESPACHOS!$B$3:$B$3002,0))),"")</f>
        <v/>
      </c>
      <c r="T1623" s="41" t="n"/>
      <c r="U1623" s="43">
        <f>IF(OR($B1623="",$L1623=""),"",WORKDAY($B1623,IFERROR(INDEX(LISTAS!$C$3:$C$42,MATCH($L1623,LISTAS!$A$3:$A$42,0)),3)))</f>
        <v/>
      </c>
      <c r="V1623" s="40" t="n"/>
      <c r="W1623" s="19">
        <f>IF($B1623="","",IF($V1623&lt;&gt;"",$V1623-$B1623,TODAY()-$B1623))</f>
        <v/>
      </c>
      <c r="X1623" s="19">
        <f>IF(OR($B1623="",$U1623=""),"",IF($V1623&lt;&gt;"",MAX(0,$V1623-$U1623),MAX(0,TODAY()-$U1623)))</f>
        <v/>
      </c>
      <c r="Y1623" s="39">
        <f>IF($C1623="","",IF(IFERROR(INDEX(LISTAS!$I$3:$I$42,MATCH($T1623,LISTAS!$H$3:$H$42,0)),"NO")="SÍ",IF(N($X1623)&gt;0,"CERRADA FUERA DE SLA","CERRADA EN SLA"),IF($U1623="","SIN CLASIFICAR",IF(N($X1623)&gt;0,"VENCIDA",IF(TODAY()&gt;=$U1623-1,"POR VENCER","EN PLAZO")))))</f>
        <v/>
      </c>
      <c r="Z1623" s="41" t="n"/>
      <c r="AA1623" s="41" t="n"/>
      <c r="AB1623" s="41" t="n"/>
    </row>
    <row r="1624">
      <c r="A1624" s="39">
        <f>IF($C1624="","","NOV-"&amp;TEXT(ROW()-3,"0000"))</f>
        <v/>
      </c>
      <c r="B1624" s="40" t="n"/>
      <c r="C1624" s="41" t="n"/>
      <c r="D1624" s="42">
        <f>IF($C1624="","",IFERROR(INDEX(DESPACHOS!$D$3:$D$3002,MATCH($C1624,DESPACHOS!$B$3:$B$3002,0)),"SIN DESPACHO"))</f>
        <v/>
      </c>
      <c r="E1624" s="42">
        <f>IF($C1624="","",IFERROR(INDEX(DESPACHOS!$K$3:$K$3002,MATCH($C1624,DESPACHOS!$B$3:$B$3002,0)),""))</f>
        <v/>
      </c>
      <c r="F1624" s="42">
        <f>IF($C1624="","",IFERROR(INDEX(DESPACHOS!$I$3:$I$3002,MATCH($C1624,DESPACHOS!$B$3:$B$3002,0)),""))</f>
        <v/>
      </c>
      <c r="G1624" s="42">
        <f>IF($C1624="","",IFERROR(INDEX(DESPACHOS!$F$3:$F$3002,MATCH($C1624,DESPACHOS!$B$3:$B$3002,0)),""))</f>
        <v/>
      </c>
      <c r="H1624" s="42">
        <f>IF($C1624="","",IFERROR(INDEX(DESPACHOS!$G$3:$G$3002,MATCH($C1624,DESPACHOS!$B$3:$B$3002,0)),""))</f>
        <v/>
      </c>
      <c r="I1624" s="39">
        <f>IF($C1624="","",IFERROR(INDEX(DESPACHOS!$H$3:$H$3002,MATCH($C1624,DESPACHOS!$B$3:$B$3002,0)),""))</f>
        <v/>
      </c>
      <c r="J1624" s="43">
        <f>IF($C1624="","",IFERROR(INDEX(DESPACHOS!$J$3:$J$3002,MATCH($C1624,DESPACHOS!$B$3:$B$3002,0)),""))</f>
        <v/>
      </c>
      <c r="K1624" s="39">
        <f>IF($C1624="","",IF(COUNTIFS(DESPACHOS!$B$3:$B$3002,$C1624)=0,"NO EXISTE",IF(COUNTIFS(DESPACHOS!$B$3:$B$3002,$C1624)&gt;1,"DUPLICADO","OK")))</f>
        <v/>
      </c>
      <c r="L1624" s="41" t="n"/>
      <c r="M1624" s="41" t="n"/>
      <c r="N1624" s="42">
        <f>IF($M1624="","",IFERROR(INDEX(LISTAS!$F$3:$F$42,MATCH($M1624,LISTAS!$E$3:$E$42,0)),"Por definir"))</f>
        <v/>
      </c>
      <c r="O1624" s="41" t="n"/>
      <c r="P1624" s="39">
        <f>IF($L1624="","",IFERROR(INDEX(LISTAS!$B$3:$B$42,MATCH($L1624,LISTAS!$A$3:$A$42,0)),"Media"))</f>
        <v/>
      </c>
      <c r="Q1624" s="44" t="n"/>
      <c r="R1624" s="45" t="n"/>
      <c r="S1624" s="20">
        <f>IFERROR(IF(OR($R1624="",$C1624=""),"",$R1624/INDEX(DESPACHOS!$M$3:$M$3002,MATCH($C1624,DESPACHOS!$B$3:$B$3002,0))),"")</f>
        <v/>
      </c>
      <c r="T1624" s="41" t="n"/>
      <c r="U1624" s="43">
        <f>IF(OR($B1624="",$L1624=""),"",WORKDAY($B1624,IFERROR(INDEX(LISTAS!$C$3:$C$42,MATCH($L1624,LISTAS!$A$3:$A$42,0)),3)))</f>
        <v/>
      </c>
      <c r="V1624" s="40" t="n"/>
      <c r="W1624" s="19">
        <f>IF($B1624="","",IF($V1624&lt;&gt;"",$V1624-$B1624,TODAY()-$B1624))</f>
        <v/>
      </c>
      <c r="X1624" s="19">
        <f>IF(OR($B1624="",$U1624=""),"",IF($V1624&lt;&gt;"",MAX(0,$V1624-$U1624),MAX(0,TODAY()-$U1624)))</f>
        <v/>
      </c>
      <c r="Y1624" s="39">
        <f>IF($C1624="","",IF(IFERROR(INDEX(LISTAS!$I$3:$I$42,MATCH($T1624,LISTAS!$H$3:$H$42,0)),"NO")="SÍ",IF(N($X1624)&gt;0,"CERRADA FUERA DE SLA","CERRADA EN SLA"),IF($U1624="","SIN CLASIFICAR",IF(N($X1624)&gt;0,"VENCIDA",IF(TODAY()&gt;=$U1624-1,"POR VENCER","EN PLAZO")))))</f>
        <v/>
      </c>
      <c r="Z1624" s="41" t="n"/>
      <c r="AA1624" s="41" t="n"/>
      <c r="AB1624" s="41" t="n"/>
    </row>
    <row r="1625">
      <c r="A1625" s="39">
        <f>IF($C1625="","","NOV-"&amp;TEXT(ROW()-3,"0000"))</f>
        <v/>
      </c>
      <c r="B1625" s="40" t="n"/>
      <c r="C1625" s="41" t="n"/>
      <c r="D1625" s="42">
        <f>IF($C1625="","",IFERROR(INDEX(DESPACHOS!$D$3:$D$3002,MATCH($C1625,DESPACHOS!$B$3:$B$3002,0)),"SIN DESPACHO"))</f>
        <v/>
      </c>
      <c r="E1625" s="42">
        <f>IF($C1625="","",IFERROR(INDEX(DESPACHOS!$K$3:$K$3002,MATCH($C1625,DESPACHOS!$B$3:$B$3002,0)),""))</f>
        <v/>
      </c>
      <c r="F1625" s="42">
        <f>IF($C1625="","",IFERROR(INDEX(DESPACHOS!$I$3:$I$3002,MATCH($C1625,DESPACHOS!$B$3:$B$3002,0)),""))</f>
        <v/>
      </c>
      <c r="G1625" s="42">
        <f>IF($C1625="","",IFERROR(INDEX(DESPACHOS!$F$3:$F$3002,MATCH($C1625,DESPACHOS!$B$3:$B$3002,0)),""))</f>
        <v/>
      </c>
      <c r="H1625" s="42">
        <f>IF($C1625="","",IFERROR(INDEX(DESPACHOS!$G$3:$G$3002,MATCH($C1625,DESPACHOS!$B$3:$B$3002,0)),""))</f>
        <v/>
      </c>
      <c r="I1625" s="39">
        <f>IF($C1625="","",IFERROR(INDEX(DESPACHOS!$H$3:$H$3002,MATCH($C1625,DESPACHOS!$B$3:$B$3002,0)),""))</f>
        <v/>
      </c>
      <c r="J1625" s="43">
        <f>IF($C1625="","",IFERROR(INDEX(DESPACHOS!$J$3:$J$3002,MATCH($C1625,DESPACHOS!$B$3:$B$3002,0)),""))</f>
        <v/>
      </c>
      <c r="K1625" s="39">
        <f>IF($C1625="","",IF(COUNTIFS(DESPACHOS!$B$3:$B$3002,$C1625)=0,"NO EXISTE",IF(COUNTIFS(DESPACHOS!$B$3:$B$3002,$C1625)&gt;1,"DUPLICADO","OK")))</f>
        <v/>
      </c>
      <c r="L1625" s="41" t="n"/>
      <c r="M1625" s="41" t="n"/>
      <c r="N1625" s="42">
        <f>IF($M1625="","",IFERROR(INDEX(LISTAS!$F$3:$F$42,MATCH($M1625,LISTAS!$E$3:$E$42,0)),"Por definir"))</f>
        <v/>
      </c>
      <c r="O1625" s="41" t="n"/>
      <c r="P1625" s="39">
        <f>IF($L1625="","",IFERROR(INDEX(LISTAS!$B$3:$B$42,MATCH($L1625,LISTAS!$A$3:$A$42,0)),"Media"))</f>
        <v/>
      </c>
      <c r="Q1625" s="44" t="n"/>
      <c r="R1625" s="45" t="n"/>
      <c r="S1625" s="20">
        <f>IFERROR(IF(OR($R1625="",$C1625=""),"",$R1625/INDEX(DESPACHOS!$M$3:$M$3002,MATCH($C1625,DESPACHOS!$B$3:$B$3002,0))),"")</f>
        <v/>
      </c>
      <c r="T1625" s="41" t="n"/>
      <c r="U1625" s="43">
        <f>IF(OR($B1625="",$L1625=""),"",WORKDAY($B1625,IFERROR(INDEX(LISTAS!$C$3:$C$42,MATCH($L1625,LISTAS!$A$3:$A$42,0)),3)))</f>
        <v/>
      </c>
      <c r="V1625" s="40" t="n"/>
      <c r="W1625" s="19">
        <f>IF($B1625="","",IF($V1625&lt;&gt;"",$V1625-$B1625,TODAY()-$B1625))</f>
        <v/>
      </c>
      <c r="X1625" s="19">
        <f>IF(OR($B1625="",$U1625=""),"",IF($V1625&lt;&gt;"",MAX(0,$V1625-$U1625),MAX(0,TODAY()-$U1625)))</f>
        <v/>
      </c>
      <c r="Y1625" s="39">
        <f>IF($C1625="","",IF(IFERROR(INDEX(LISTAS!$I$3:$I$42,MATCH($T1625,LISTAS!$H$3:$H$42,0)),"NO")="SÍ",IF(N($X1625)&gt;0,"CERRADA FUERA DE SLA","CERRADA EN SLA"),IF($U1625="","SIN CLASIFICAR",IF(N($X1625)&gt;0,"VENCIDA",IF(TODAY()&gt;=$U1625-1,"POR VENCER","EN PLAZO")))))</f>
        <v/>
      </c>
      <c r="Z1625" s="41" t="n"/>
      <c r="AA1625" s="41" t="n"/>
      <c r="AB1625" s="41" t="n"/>
    </row>
    <row r="1626">
      <c r="A1626" s="39">
        <f>IF($C1626="","","NOV-"&amp;TEXT(ROW()-3,"0000"))</f>
        <v/>
      </c>
      <c r="B1626" s="40" t="n"/>
      <c r="C1626" s="41" t="n"/>
      <c r="D1626" s="42">
        <f>IF($C1626="","",IFERROR(INDEX(DESPACHOS!$D$3:$D$3002,MATCH($C1626,DESPACHOS!$B$3:$B$3002,0)),"SIN DESPACHO"))</f>
        <v/>
      </c>
      <c r="E1626" s="42">
        <f>IF($C1626="","",IFERROR(INDEX(DESPACHOS!$K$3:$K$3002,MATCH($C1626,DESPACHOS!$B$3:$B$3002,0)),""))</f>
        <v/>
      </c>
      <c r="F1626" s="42">
        <f>IF($C1626="","",IFERROR(INDEX(DESPACHOS!$I$3:$I$3002,MATCH($C1626,DESPACHOS!$B$3:$B$3002,0)),""))</f>
        <v/>
      </c>
      <c r="G1626" s="42">
        <f>IF($C1626="","",IFERROR(INDEX(DESPACHOS!$F$3:$F$3002,MATCH($C1626,DESPACHOS!$B$3:$B$3002,0)),""))</f>
        <v/>
      </c>
      <c r="H1626" s="42">
        <f>IF($C1626="","",IFERROR(INDEX(DESPACHOS!$G$3:$G$3002,MATCH($C1626,DESPACHOS!$B$3:$B$3002,0)),""))</f>
        <v/>
      </c>
      <c r="I1626" s="39">
        <f>IF($C1626="","",IFERROR(INDEX(DESPACHOS!$H$3:$H$3002,MATCH($C1626,DESPACHOS!$B$3:$B$3002,0)),""))</f>
        <v/>
      </c>
      <c r="J1626" s="43">
        <f>IF($C1626="","",IFERROR(INDEX(DESPACHOS!$J$3:$J$3002,MATCH($C1626,DESPACHOS!$B$3:$B$3002,0)),""))</f>
        <v/>
      </c>
      <c r="K1626" s="39">
        <f>IF($C1626="","",IF(COUNTIFS(DESPACHOS!$B$3:$B$3002,$C1626)=0,"NO EXISTE",IF(COUNTIFS(DESPACHOS!$B$3:$B$3002,$C1626)&gt;1,"DUPLICADO","OK")))</f>
        <v/>
      </c>
      <c r="L1626" s="41" t="n"/>
      <c r="M1626" s="41" t="n"/>
      <c r="N1626" s="42">
        <f>IF($M1626="","",IFERROR(INDEX(LISTAS!$F$3:$F$42,MATCH($M1626,LISTAS!$E$3:$E$42,0)),"Por definir"))</f>
        <v/>
      </c>
      <c r="O1626" s="41" t="n"/>
      <c r="P1626" s="39">
        <f>IF($L1626="","",IFERROR(INDEX(LISTAS!$B$3:$B$42,MATCH($L1626,LISTAS!$A$3:$A$42,0)),"Media"))</f>
        <v/>
      </c>
      <c r="Q1626" s="44" t="n"/>
      <c r="R1626" s="45" t="n"/>
      <c r="S1626" s="20">
        <f>IFERROR(IF(OR($R1626="",$C1626=""),"",$R1626/INDEX(DESPACHOS!$M$3:$M$3002,MATCH($C1626,DESPACHOS!$B$3:$B$3002,0))),"")</f>
        <v/>
      </c>
      <c r="T1626" s="41" t="n"/>
      <c r="U1626" s="43">
        <f>IF(OR($B1626="",$L1626=""),"",WORKDAY($B1626,IFERROR(INDEX(LISTAS!$C$3:$C$42,MATCH($L1626,LISTAS!$A$3:$A$42,0)),3)))</f>
        <v/>
      </c>
      <c r="V1626" s="40" t="n"/>
      <c r="W1626" s="19">
        <f>IF($B1626="","",IF($V1626&lt;&gt;"",$V1626-$B1626,TODAY()-$B1626))</f>
        <v/>
      </c>
      <c r="X1626" s="19">
        <f>IF(OR($B1626="",$U1626=""),"",IF($V1626&lt;&gt;"",MAX(0,$V1626-$U1626),MAX(0,TODAY()-$U1626)))</f>
        <v/>
      </c>
      <c r="Y1626" s="39">
        <f>IF($C1626="","",IF(IFERROR(INDEX(LISTAS!$I$3:$I$42,MATCH($T1626,LISTAS!$H$3:$H$42,0)),"NO")="SÍ",IF(N($X1626)&gt;0,"CERRADA FUERA DE SLA","CERRADA EN SLA"),IF($U1626="","SIN CLASIFICAR",IF(N($X1626)&gt;0,"VENCIDA",IF(TODAY()&gt;=$U1626-1,"POR VENCER","EN PLAZO")))))</f>
        <v/>
      </c>
      <c r="Z1626" s="41" t="n"/>
      <c r="AA1626" s="41" t="n"/>
      <c r="AB1626" s="41" t="n"/>
    </row>
    <row r="1627">
      <c r="A1627" s="39">
        <f>IF($C1627="","","NOV-"&amp;TEXT(ROW()-3,"0000"))</f>
        <v/>
      </c>
      <c r="B1627" s="40" t="n"/>
      <c r="C1627" s="41" t="n"/>
      <c r="D1627" s="42">
        <f>IF($C1627="","",IFERROR(INDEX(DESPACHOS!$D$3:$D$3002,MATCH($C1627,DESPACHOS!$B$3:$B$3002,0)),"SIN DESPACHO"))</f>
        <v/>
      </c>
      <c r="E1627" s="42">
        <f>IF($C1627="","",IFERROR(INDEX(DESPACHOS!$K$3:$K$3002,MATCH($C1627,DESPACHOS!$B$3:$B$3002,0)),""))</f>
        <v/>
      </c>
      <c r="F1627" s="42">
        <f>IF($C1627="","",IFERROR(INDEX(DESPACHOS!$I$3:$I$3002,MATCH($C1627,DESPACHOS!$B$3:$B$3002,0)),""))</f>
        <v/>
      </c>
      <c r="G1627" s="42">
        <f>IF($C1627="","",IFERROR(INDEX(DESPACHOS!$F$3:$F$3002,MATCH($C1627,DESPACHOS!$B$3:$B$3002,0)),""))</f>
        <v/>
      </c>
      <c r="H1627" s="42">
        <f>IF($C1627="","",IFERROR(INDEX(DESPACHOS!$G$3:$G$3002,MATCH($C1627,DESPACHOS!$B$3:$B$3002,0)),""))</f>
        <v/>
      </c>
      <c r="I1627" s="39">
        <f>IF($C1627="","",IFERROR(INDEX(DESPACHOS!$H$3:$H$3002,MATCH($C1627,DESPACHOS!$B$3:$B$3002,0)),""))</f>
        <v/>
      </c>
      <c r="J1627" s="43">
        <f>IF($C1627="","",IFERROR(INDEX(DESPACHOS!$J$3:$J$3002,MATCH($C1627,DESPACHOS!$B$3:$B$3002,0)),""))</f>
        <v/>
      </c>
      <c r="K1627" s="39">
        <f>IF($C1627="","",IF(COUNTIFS(DESPACHOS!$B$3:$B$3002,$C1627)=0,"NO EXISTE",IF(COUNTIFS(DESPACHOS!$B$3:$B$3002,$C1627)&gt;1,"DUPLICADO","OK")))</f>
        <v/>
      </c>
      <c r="L1627" s="41" t="n"/>
      <c r="M1627" s="41" t="n"/>
      <c r="N1627" s="42">
        <f>IF($M1627="","",IFERROR(INDEX(LISTAS!$F$3:$F$42,MATCH($M1627,LISTAS!$E$3:$E$42,0)),"Por definir"))</f>
        <v/>
      </c>
      <c r="O1627" s="41" t="n"/>
      <c r="P1627" s="39">
        <f>IF($L1627="","",IFERROR(INDEX(LISTAS!$B$3:$B$42,MATCH($L1627,LISTAS!$A$3:$A$42,0)),"Media"))</f>
        <v/>
      </c>
      <c r="Q1627" s="44" t="n"/>
      <c r="R1627" s="45" t="n"/>
      <c r="S1627" s="20">
        <f>IFERROR(IF(OR($R1627="",$C1627=""),"",$R1627/INDEX(DESPACHOS!$M$3:$M$3002,MATCH($C1627,DESPACHOS!$B$3:$B$3002,0))),"")</f>
        <v/>
      </c>
      <c r="T1627" s="41" t="n"/>
      <c r="U1627" s="43">
        <f>IF(OR($B1627="",$L1627=""),"",WORKDAY($B1627,IFERROR(INDEX(LISTAS!$C$3:$C$42,MATCH($L1627,LISTAS!$A$3:$A$42,0)),3)))</f>
        <v/>
      </c>
      <c r="V1627" s="40" t="n"/>
      <c r="W1627" s="19">
        <f>IF($B1627="","",IF($V1627&lt;&gt;"",$V1627-$B1627,TODAY()-$B1627))</f>
        <v/>
      </c>
      <c r="X1627" s="19">
        <f>IF(OR($B1627="",$U1627=""),"",IF($V1627&lt;&gt;"",MAX(0,$V1627-$U1627),MAX(0,TODAY()-$U1627)))</f>
        <v/>
      </c>
      <c r="Y1627" s="39">
        <f>IF($C1627="","",IF(IFERROR(INDEX(LISTAS!$I$3:$I$42,MATCH($T1627,LISTAS!$H$3:$H$42,0)),"NO")="SÍ",IF(N($X1627)&gt;0,"CERRADA FUERA DE SLA","CERRADA EN SLA"),IF($U1627="","SIN CLASIFICAR",IF(N($X1627)&gt;0,"VENCIDA",IF(TODAY()&gt;=$U1627-1,"POR VENCER","EN PLAZO")))))</f>
        <v/>
      </c>
      <c r="Z1627" s="41" t="n"/>
      <c r="AA1627" s="41" t="n"/>
      <c r="AB1627" s="41" t="n"/>
    </row>
    <row r="1628">
      <c r="A1628" s="39">
        <f>IF($C1628="","","NOV-"&amp;TEXT(ROW()-3,"0000"))</f>
        <v/>
      </c>
      <c r="B1628" s="40" t="n"/>
      <c r="C1628" s="41" t="n"/>
      <c r="D1628" s="42">
        <f>IF($C1628="","",IFERROR(INDEX(DESPACHOS!$D$3:$D$3002,MATCH($C1628,DESPACHOS!$B$3:$B$3002,0)),"SIN DESPACHO"))</f>
        <v/>
      </c>
      <c r="E1628" s="42">
        <f>IF($C1628="","",IFERROR(INDEX(DESPACHOS!$K$3:$K$3002,MATCH($C1628,DESPACHOS!$B$3:$B$3002,0)),""))</f>
        <v/>
      </c>
      <c r="F1628" s="42">
        <f>IF($C1628="","",IFERROR(INDEX(DESPACHOS!$I$3:$I$3002,MATCH($C1628,DESPACHOS!$B$3:$B$3002,0)),""))</f>
        <v/>
      </c>
      <c r="G1628" s="42">
        <f>IF($C1628="","",IFERROR(INDEX(DESPACHOS!$F$3:$F$3002,MATCH($C1628,DESPACHOS!$B$3:$B$3002,0)),""))</f>
        <v/>
      </c>
      <c r="H1628" s="42">
        <f>IF($C1628="","",IFERROR(INDEX(DESPACHOS!$G$3:$G$3002,MATCH($C1628,DESPACHOS!$B$3:$B$3002,0)),""))</f>
        <v/>
      </c>
      <c r="I1628" s="39">
        <f>IF($C1628="","",IFERROR(INDEX(DESPACHOS!$H$3:$H$3002,MATCH($C1628,DESPACHOS!$B$3:$B$3002,0)),""))</f>
        <v/>
      </c>
      <c r="J1628" s="43">
        <f>IF($C1628="","",IFERROR(INDEX(DESPACHOS!$J$3:$J$3002,MATCH($C1628,DESPACHOS!$B$3:$B$3002,0)),""))</f>
        <v/>
      </c>
      <c r="K1628" s="39">
        <f>IF($C1628="","",IF(COUNTIFS(DESPACHOS!$B$3:$B$3002,$C1628)=0,"NO EXISTE",IF(COUNTIFS(DESPACHOS!$B$3:$B$3002,$C1628)&gt;1,"DUPLICADO","OK")))</f>
        <v/>
      </c>
      <c r="L1628" s="41" t="n"/>
      <c r="M1628" s="41" t="n"/>
      <c r="N1628" s="42">
        <f>IF($M1628="","",IFERROR(INDEX(LISTAS!$F$3:$F$42,MATCH($M1628,LISTAS!$E$3:$E$42,0)),"Por definir"))</f>
        <v/>
      </c>
      <c r="O1628" s="41" t="n"/>
      <c r="P1628" s="39">
        <f>IF($L1628="","",IFERROR(INDEX(LISTAS!$B$3:$B$42,MATCH($L1628,LISTAS!$A$3:$A$42,0)),"Media"))</f>
        <v/>
      </c>
      <c r="Q1628" s="44" t="n"/>
      <c r="R1628" s="45" t="n"/>
      <c r="S1628" s="20">
        <f>IFERROR(IF(OR($R1628="",$C1628=""),"",$R1628/INDEX(DESPACHOS!$M$3:$M$3002,MATCH($C1628,DESPACHOS!$B$3:$B$3002,0))),"")</f>
        <v/>
      </c>
      <c r="T1628" s="41" t="n"/>
      <c r="U1628" s="43">
        <f>IF(OR($B1628="",$L1628=""),"",WORKDAY($B1628,IFERROR(INDEX(LISTAS!$C$3:$C$42,MATCH($L1628,LISTAS!$A$3:$A$42,0)),3)))</f>
        <v/>
      </c>
      <c r="V1628" s="40" t="n"/>
      <c r="W1628" s="19">
        <f>IF($B1628="","",IF($V1628&lt;&gt;"",$V1628-$B1628,TODAY()-$B1628))</f>
        <v/>
      </c>
      <c r="X1628" s="19">
        <f>IF(OR($B1628="",$U1628=""),"",IF($V1628&lt;&gt;"",MAX(0,$V1628-$U1628),MAX(0,TODAY()-$U1628)))</f>
        <v/>
      </c>
      <c r="Y1628" s="39">
        <f>IF($C1628="","",IF(IFERROR(INDEX(LISTAS!$I$3:$I$42,MATCH($T1628,LISTAS!$H$3:$H$42,0)),"NO")="SÍ",IF(N($X1628)&gt;0,"CERRADA FUERA DE SLA","CERRADA EN SLA"),IF($U1628="","SIN CLASIFICAR",IF(N($X1628)&gt;0,"VENCIDA",IF(TODAY()&gt;=$U1628-1,"POR VENCER","EN PLAZO")))))</f>
        <v/>
      </c>
      <c r="Z1628" s="41" t="n"/>
      <c r="AA1628" s="41" t="n"/>
      <c r="AB1628" s="41" t="n"/>
    </row>
    <row r="1629">
      <c r="A1629" s="39">
        <f>IF($C1629="","","NOV-"&amp;TEXT(ROW()-3,"0000"))</f>
        <v/>
      </c>
      <c r="B1629" s="40" t="n"/>
      <c r="C1629" s="41" t="n"/>
      <c r="D1629" s="42">
        <f>IF($C1629="","",IFERROR(INDEX(DESPACHOS!$D$3:$D$3002,MATCH($C1629,DESPACHOS!$B$3:$B$3002,0)),"SIN DESPACHO"))</f>
        <v/>
      </c>
      <c r="E1629" s="42">
        <f>IF($C1629="","",IFERROR(INDEX(DESPACHOS!$K$3:$K$3002,MATCH($C1629,DESPACHOS!$B$3:$B$3002,0)),""))</f>
        <v/>
      </c>
      <c r="F1629" s="42">
        <f>IF($C1629="","",IFERROR(INDEX(DESPACHOS!$I$3:$I$3002,MATCH($C1629,DESPACHOS!$B$3:$B$3002,0)),""))</f>
        <v/>
      </c>
      <c r="G1629" s="42">
        <f>IF($C1629="","",IFERROR(INDEX(DESPACHOS!$F$3:$F$3002,MATCH($C1629,DESPACHOS!$B$3:$B$3002,0)),""))</f>
        <v/>
      </c>
      <c r="H1629" s="42">
        <f>IF($C1629="","",IFERROR(INDEX(DESPACHOS!$G$3:$G$3002,MATCH($C1629,DESPACHOS!$B$3:$B$3002,0)),""))</f>
        <v/>
      </c>
      <c r="I1629" s="39">
        <f>IF($C1629="","",IFERROR(INDEX(DESPACHOS!$H$3:$H$3002,MATCH($C1629,DESPACHOS!$B$3:$B$3002,0)),""))</f>
        <v/>
      </c>
      <c r="J1629" s="43">
        <f>IF($C1629="","",IFERROR(INDEX(DESPACHOS!$J$3:$J$3002,MATCH($C1629,DESPACHOS!$B$3:$B$3002,0)),""))</f>
        <v/>
      </c>
      <c r="K1629" s="39">
        <f>IF($C1629="","",IF(COUNTIFS(DESPACHOS!$B$3:$B$3002,$C1629)=0,"NO EXISTE",IF(COUNTIFS(DESPACHOS!$B$3:$B$3002,$C1629)&gt;1,"DUPLICADO","OK")))</f>
        <v/>
      </c>
      <c r="L1629" s="41" t="n"/>
      <c r="M1629" s="41" t="n"/>
      <c r="N1629" s="42">
        <f>IF($M1629="","",IFERROR(INDEX(LISTAS!$F$3:$F$42,MATCH($M1629,LISTAS!$E$3:$E$42,0)),"Por definir"))</f>
        <v/>
      </c>
      <c r="O1629" s="41" t="n"/>
      <c r="P1629" s="39">
        <f>IF($L1629="","",IFERROR(INDEX(LISTAS!$B$3:$B$42,MATCH($L1629,LISTAS!$A$3:$A$42,0)),"Media"))</f>
        <v/>
      </c>
      <c r="Q1629" s="44" t="n"/>
      <c r="R1629" s="45" t="n"/>
      <c r="S1629" s="20">
        <f>IFERROR(IF(OR($R1629="",$C1629=""),"",$R1629/INDEX(DESPACHOS!$M$3:$M$3002,MATCH($C1629,DESPACHOS!$B$3:$B$3002,0))),"")</f>
        <v/>
      </c>
      <c r="T1629" s="41" t="n"/>
      <c r="U1629" s="43">
        <f>IF(OR($B1629="",$L1629=""),"",WORKDAY($B1629,IFERROR(INDEX(LISTAS!$C$3:$C$42,MATCH($L1629,LISTAS!$A$3:$A$42,0)),3)))</f>
        <v/>
      </c>
      <c r="V1629" s="40" t="n"/>
      <c r="W1629" s="19">
        <f>IF($B1629="","",IF($V1629&lt;&gt;"",$V1629-$B1629,TODAY()-$B1629))</f>
        <v/>
      </c>
      <c r="X1629" s="19">
        <f>IF(OR($B1629="",$U1629=""),"",IF($V1629&lt;&gt;"",MAX(0,$V1629-$U1629),MAX(0,TODAY()-$U1629)))</f>
        <v/>
      </c>
      <c r="Y1629" s="39">
        <f>IF($C1629="","",IF(IFERROR(INDEX(LISTAS!$I$3:$I$42,MATCH($T1629,LISTAS!$H$3:$H$42,0)),"NO")="SÍ",IF(N($X1629)&gt;0,"CERRADA FUERA DE SLA","CERRADA EN SLA"),IF($U1629="","SIN CLASIFICAR",IF(N($X1629)&gt;0,"VENCIDA",IF(TODAY()&gt;=$U1629-1,"POR VENCER","EN PLAZO")))))</f>
        <v/>
      </c>
      <c r="Z1629" s="41" t="n"/>
      <c r="AA1629" s="41" t="n"/>
      <c r="AB1629" s="41" t="n"/>
    </row>
    <row r="1630">
      <c r="A1630" s="39">
        <f>IF($C1630="","","NOV-"&amp;TEXT(ROW()-3,"0000"))</f>
        <v/>
      </c>
      <c r="B1630" s="40" t="n"/>
      <c r="C1630" s="41" t="n"/>
      <c r="D1630" s="42">
        <f>IF($C1630="","",IFERROR(INDEX(DESPACHOS!$D$3:$D$3002,MATCH($C1630,DESPACHOS!$B$3:$B$3002,0)),"SIN DESPACHO"))</f>
        <v/>
      </c>
      <c r="E1630" s="42">
        <f>IF($C1630="","",IFERROR(INDEX(DESPACHOS!$K$3:$K$3002,MATCH($C1630,DESPACHOS!$B$3:$B$3002,0)),""))</f>
        <v/>
      </c>
      <c r="F1630" s="42">
        <f>IF($C1630="","",IFERROR(INDEX(DESPACHOS!$I$3:$I$3002,MATCH($C1630,DESPACHOS!$B$3:$B$3002,0)),""))</f>
        <v/>
      </c>
      <c r="G1630" s="42">
        <f>IF($C1630="","",IFERROR(INDEX(DESPACHOS!$F$3:$F$3002,MATCH($C1630,DESPACHOS!$B$3:$B$3002,0)),""))</f>
        <v/>
      </c>
      <c r="H1630" s="42">
        <f>IF($C1630="","",IFERROR(INDEX(DESPACHOS!$G$3:$G$3002,MATCH($C1630,DESPACHOS!$B$3:$B$3002,0)),""))</f>
        <v/>
      </c>
      <c r="I1630" s="39">
        <f>IF($C1630="","",IFERROR(INDEX(DESPACHOS!$H$3:$H$3002,MATCH($C1630,DESPACHOS!$B$3:$B$3002,0)),""))</f>
        <v/>
      </c>
      <c r="J1630" s="43">
        <f>IF($C1630="","",IFERROR(INDEX(DESPACHOS!$J$3:$J$3002,MATCH($C1630,DESPACHOS!$B$3:$B$3002,0)),""))</f>
        <v/>
      </c>
      <c r="K1630" s="39">
        <f>IF($C1630="","",IF(COUNTIFS(DESPACHOS!$B$3:$B$3002,$C1630)=0,"NO EXISTE",IF(COUNTIFS(DESPACHOS!$B$3:$B$3002,$C1630)&gt;1,"DUPLICADO","OK")))</f>
        <v/>
      </c>
      <c r="L1630" s="41" t="n"/>
      <c r="M1630" s="41" t="n"/>
      <c r="N1630" s="42">
        <f>IF($M1630="","",IFERROR(INDEX(LISTAS!$F$3:$F$42,MATCH($M1630,LISTAS!$E$3:$E$42,0)),"Por definir"))</f>
        <v/>
      </c>
      <c r="O1630" s="41" t="n"/>
      <c r="P1630" s="39">
        <f>IF($L1630="","",IFERROR(INDEX(LISTAS!$B$3:$B$42,MATCH($L1630,LISTAS!$A$3:$A$42,0)),"Media"))</f>
        <v/>
      </c>
      <c r="Q1630" s="44" t="n"/>
      <c r="R1630" s="45" t="n"/>
      <c r="S1630" s="20">
        <f>IFERROR(IF(OR($R1630="",$C1630=""),"",$R1630/INDEX(DESPACHOS!$M$3:$M$3002,MATCH($C1630,DESPACHOS!$B$3:$B$3002,0))),"")</f>
        <v/>
      </c>
      <c r="T1630" s="41" t="n"/>
      <c r="U1630" s="43">
        <f>IF(OR($B1630="",$L1630=""),"",WORKDAY($B1630,IFERROR(INDEX(LISTAS!$C$3:$C$42,MATCH($L1630,LISTAS!$A$3:$A$42,0)),3)))</f>
        <v/>
      </c>
      <c r="V1630" s="40" t="n"/>
      <c r="W1630" s="19">
        <f>IF($B1630="","",IF($V1630&lt;&gt;"",$V1630-$B1630,TODAY()-$B1630))</f>
        <v/>
      </c>
      <c r="X1630" s="19">
        <f>IF(OR($B1630="",$U1630=""),"",IF($V1630&lt;&gt;"",MAX(0,$V1630-$U1630),MAX(0,TODAY()-$U1630)))</f>
        <v/>
      </c>
      <c r="Y1630" s="39">
        <f>IF($C1630="","",IF(IFERROR(INDEX(LISTAS!$I$3:$I$42,MATCH($T1630,LISTAS!$H$3:$H$42,0)),"NO")="SÍ",IF(N($X1630)&gt;0,"CERRADA FUERA DE SLA","CERRADA EN SLA"),IF($U1630="","SIN CLASIFICAR",IF(N($X1630)&gt;0,"VENCIDA",IF(TODAY()&gt;=$U1630-1,"POR VENCER","EN PLAZO")))))</f>
        <v/>
      </c>
      <c r="Z1630" s="41" t="n"/>
      <c r="AA1630" s="41" t="n"/>
      <c r="AB1630" s="41" t="n"/>
    </row>
    <row r="1631">
      <c r="A1631" s="39">
        <f>IF($C1631="","","NOV-"&amp;TEXT(ROW()-3,"0000"))</f>
        <v/>
      </c>
      <c r="B1631" s="40" t="n"/>
      <c r="C1631" s="41" t="n"/>
      <c r="D1631" s="42">
        <f>IF($C1631="","",IFERROR(INDEX(DESPACHOS!$D$3:$D$3002,MATCH($C1631,DESPACHOS!$B$3:$B$3002,0)),"SIN DESPACHO"))</f>
        <v/>
      </c>
      <c r="E1631" s="42">
        <f>IF($C1631="","",IFERROR(INDEX(DESPACHOS!$K$3:$K$3002,MATCH($C1631,DESPACHOS!$B$3:$B$3002,0)),""))</f>
        <v/>
      </c>
      <c r="F1631" s="42">
        <f>IF($C1631="","",IFERROR(INDEX(DESPACHOS!$I$3:$I$3002,MATCH($C1631,DESPACHOS!$B$3:$B$3002,0)),""))</f>
        <v/>
      </c>
      <c r="G1631" s="42">
        <f>IF($C1631="","",IFERROR(INDEX(DESPACHOS!$F$3:$F$3002,MATCH($C1631,DESPACHOS!$B$3:$B$3002,0)),""))</f>
        <v/>
      </c>
      <c r="H1631" s="42">
        <f>IF($C1631="","",IFERROR(INDEX(DESPACHOS!$G$3:$G$3002,MATCH($C1631,DESPACHOS!$B$3:$B$3002,0)),""))</f>
        <v/>
      </c>
      <c r="I1631" s="39">
        <f>IF($C1631="","",IFERROR(INDEX(DESPACHOS!$H$3:$H$3002,MATCH($C1631,DESPACHOS!$B$3:$B$3002,0)),""))</f>
        <v/>
      </c>
      <c r="J1631" s="43">
        <f>IF($C1631="","",IFERROR(INDEX(DESPACHOS!$J$3:$J$3002,MATCH($C1631,DESPACHOS!$B$3:$B$3002,0)),""))</f>
        <v/>
      </c>
      <c r="K1631" s="39">
        <f>IF($C1631="","",IF(COUNTIFS(DESPACHOS!$B$3:$B$3002,$C1631)=0,"NO EXISTE",IF(COUNTIFS(DESPACHOS!$B$3:$B$3002,$C1631)&gt;1,"DUPLICADO","OK")))</f>
        <v/>
      </c>
      <c r="L1631" s="41" t="n"/>
      <c r="M1631" s="41" t="n"/>
      <c r="N1631" s="42">
        <f>IF($M1631="","",IFERROR(INDEX(LISTAS!$F$3:$F$42,MATCH($M1631,LISTAS!$E$3:$E$42,0)),"Por definir"))</f>
        <v/>
      </c>
      <c r="O1631" s="41" t="n"/>
      <c r="P1631" s="39">
        <f>IF($L1631="","",IFERROR(INDEX(LISTAS!$B$3:$B$42,MATCH($L1631,LISTAS!$A$3:$A$42,0)),"Media"))</f>
        <v/>
      </c>
      <c r="Q1631" s="44" t="n"/>
      <c r="R1631" s="45" t="n"/>
      <c r="S1631" s="20">
        <f>IFERROR(IF(OR($R1631="",$C1631=""),"",$R1631/INDEX(DESPACHOS!$M$3:$M$3002,MATCH($C1631,DESPACHOS!$B$3:$B$3002,0))),"")</f>
        <v/>
      </c>
      <c r="T1631" s="41" t="n"/>
      <c r="U1631" s="43">
        <f>IF(OR($B1631="",$L1631=""),"",WORKDAY($B1631,IFERROR(INDEX(LISTAS!$C$3:$C$42,MATCH($L1631,LISTAS!$A$3:$A$42,0)),3)))</f>
        <v/>
      </c>
      <c r="V1631" s="40" t="n"/>
      <c r="W1631" s="19">
        <f>IF($B1631="","",IF($V1631&lt;&gt;"",$V1631-$B1631,TODAY()-$B1631))</f>
        <v/>
      </c>
      <c r="X1631" s="19">
        <f>IF(OR($B1631="",$U1631=""),"",IF($V1631&lt;&gt;"",MAX(0,$V1631-$U1631),MAX(0,TODAY()-$U1631)))</f>
        <v/>
      </c>
      <c r="Y1631" s="39">
        <f>IF($C1631="","",IF(IFERROR(INDEX(LISTAS!$I$3:$I$42,MATCH($T1631,LISTAS!$H$3:$H$42,0)),"NO")="SÍ",IF(N($X1631)&gt;0,"CERRADA FUERA DE SLA","CERRADA EN SLA"),IF($U1631="","SIN CLASIFICAR",IF(N($X1631)&gt;0,"VENCIDA",IF(TODAY()&gt;=$U1631-1,"POR VENCER","EN PLAZO")))))</f>
        <v/>
      </c>
      <c r="Z1631" s="41" t="n"/>
      <c r="AA1631" s="41" t="n"/>
      <c r="AB1631" s="41" t="n"/>
    </row>
    <row r="1632">
      <c r="A1632" s="39">
        <f>IF($C1632="","","NOV-"&amp;TEXT(ROW()-3,"0000"))</f>
        <v/>
      </c>
      <c r="B1632" s="40" t="n"/>
      <c r="C1632" s="41" t="n"/>
      <c r="D1632" s="42">
        <f>IF($C1632="","",IFERROR(INDEX(DESPACHOS!$D$3:$D$3002,MATCH($C1632,DESPACHOS!$B$3:$B$3002,0)),"SIN DESPACHO"))</f>
        <v/>
      </c>
      <c r="E1632" s="42">
        <f>IF($C1632="","",IFERROR(INDEX(DESPACHOS!$K$3:$K$3002,MATCH($C1632,DESPACHOS!$B$3:$B$3002,0)),""))</f>
        <v/>
      </c>
      <c r="F1632" s="42">
        <f>IF($C1632="","",IFERROR(INDEX(DESPACHOS!$I$3:$I$3002,MATCH($C1632,DESPACHOS!$B$3:$B$3002,0)),""))</f>
        <v/>
      </c>
      <c r="G1632" s="42">
        <f>IF($C1632="","",IFERROR(INDEX(DESPACHOS!$F$3:$F$3002,MATCH($C1632,DESPACHOS!$B$3:$B$3002,0)),""))</f>
        <v/>
      </c>
      <c r="H1632" s="42">
        <f>IF($C1632="","",IFERROR(INDEX(DESPACHOS!$G$3:$G$3002,MATCH($C1632,DESPACHOS!$B$3:$B$3002,0)),""))</f>
        <v/>
      </c>
      <c r="I1632" s="39">
        <f>IF($C1632="","",IFERROR(INDEX(DESPACHOS!$H$3:$H$3002,MATCH($C1632,DESPACHOS!$B$3:$B$3002,0)),""))</f>
        <v/>
      </c>
      <c r="J1632" s="43">
        <f>IF($C1632="","",IFERROR(INDEX(DESPACHOS!$J$3:$J$3002,MATCH($C1632,DESPACHOS!$B$3:$B$3002,0)),""))</f>
        <v/>
      </c>
      <c r="K1632" s="39">
        <f>IF($C1632="","",IF(COUNTIFS(DESPACHOS!$B$3:$B$3002,$C1632)=0,"NO EXISTE",IF(COUNTIFS(DESPACHOS!$B$3:$B$3002,$C1632)&gt;1,"DUPLICADO","OK")))</f>
        <v/>
      </c>
      <c r="L1632" s="41" t="n"/>
      <c r="M1632" s="41" t="n"/>
      <c r="N1632" s="42">
        <f>IF($M1632="","",IFERROR(INDEX(LISTAS!$F$3:$F$42,MATCH($M1632,LISTAS!$E$3:$E$42,0)),"Por definir"))</f>
        <v/>
      </c>
      <c r="O1632" s="41" t="n"/>
      <c r="P1632" s="39">
        <f>IF($L1632="","",IFERROR(INDEX(LISTAS!$B$3:$B$42,MATCH($L1632,LISTAS!$A$3:$A$42,0)),"Media"))</f>
        <v/>
      </c>
      <c r="Q1632" s="44" t="n"/>
      <c r="R1632" s="45" t="n"/>
      <c r="S1632" s="20">
        <f>IFERROR(IF(OR($R1632="",$C1632=""),"",$R1632/INDEX(DESPACHOS!$M$3:$M$3002,MATCH($C1632,DESPACHOS!$B$3:$B$3002,0))),"")</f>
        <v/>
      </c>
      <c r="T1632" s="41" t="n"/>
      <c r="U1632" s="43">
        <f>IF(OR($B1632="",$L1632=""),"",WORKDAY($B1632,IFERROR(INDEX(LISTAS!$C$3:$C$42,MATCH($L1632,LISTAS!$A$3:$A$42,0)),3)))</f>
        <v/>
      </c>
      <c r="V1632" s="40" t="n"/>
      <c r="W1632" s="19">
        <f>IF($B1632="","",IF($V1632&lt;&gt;"",$V1632-$B1632,TODAY()-$B1632))</f>
        <v/>
      </c>
      <c r="X1632" s="19">
        <f>IF(OR($B1632="",$U1632=""),"",IF($V1632&lt;&gt;"",MAX(0,$V1632-$U1632),MAX(0,TODAY()-$U1632)))</f>
        <v/>
      </c>
      <c r="Y1632" s="39">
        <f>IF($C1632="","",IF(IFERROR(INDEX(LISTAS!$I$3:$I$42,MATCH($T1632,LISTAS!$H$3:$H$42,0)),"NO")="SÍ",IF(N($X1632)&gt;0,"CERRADA FUERA DE SLA","CERRADA EN SLA"),IF($U1632="","SIN CLASIFICAR",IF(N($X1632)&gt;0,"VENCIDA",IF(TODAY()&gt;=$U1632-1,"POR VENCER","EN PLAZO")))))</f>
        <v/>
      </c>
      <c r="Z1632" s="41" t="n"/>
      <c r="AA1632" s="41" t="n"/>
      <c r="AB1632" s="41" t="n"/>
    </row>
    <row r="1633">
      <c r="A1633" s="39">
        <f>IF($C1633="","","NOV-"&amp;TEXT(ROW()-3,"0000"))</f>
        <v/>
      </c>
      <c r="B1633" s="40" t="n"/>
      <c r="C1633" s="41" t="n"/>
      <c r="D1633" s="42">
        <f>IF($C1633="","",IFERROR(INDEX(DESPACHOS!$D$3:$D$3002,MATCH($C1633,DESPACHOS!$B$3:$B$3002,0)),"SIN DESPACHO"))</f>
        <v/>
      </c>
      <c r="E1633" s="42">
        <f>IF($C1633="","",IFERROR(INDEX(DESPACHOS!$K$3:$K$3002,MATCH($C1633,DESPACHOS!$B$3:$B$3002,0)),""))</f>
        <v/>
      </c>
      <c r="F1633" s="42">
        <f>IF($C1633="","",IFERROR(INDEX(DESPACHOS!$I$3:$I$3002,MATCH($C1633,DESPACHOS!$B$3:$B$3002,0)),""))</f>
        <v/>
      </c>
      <c r="G1633" s="42">
        <f>IF($C1633="","",IFERROR(INDEX(DESPACHOS!$F$3:$F$3002,MATCH($C1633,DESPACHOS!$B$3:$B$3002,0)),""))</f>
        <v/>
      </c>
      <c r="H1633" s="42">
        <f>IF($C1633="","",IFERROR(INDEX(DESPACHOS!$G$3:$G$3002,MATCH($C1633,DESPACHOS!$B$3:$B$3002,0)),""))</f>
        <v/>
      </c>
      <c r="I1633" s="39">
        <f>IF($C1633="","",IFERROR(INDEX(DESPACHOS!$H$3:$H$3002,MATCH($C1633,DESPACHOS!$B$3:$B$3002,0)),""))</f>
        <v/>
      </c>
      <c r="J1633" s="43">
        <f>IF($C1633="","",IFERROR(INDEX(DESPACHOS!$J$3:$J$3002,MATCH($C1633,DESPACHOS!$B$3:$B$3002,0)),""))</f>
        <v/>
      </c>
      <c r="K1633" s="39">
        <f>IF($C1633="","",IF(COUNTIFS(DESPACHOS!$B$3:$B$3002,$C1633)=0,"NO EXISTE",IF(COUNTIFS(DESPACHOS!$B$3:$B$3002,$C1633)&gt;1,"DUPLICADO","OK")))</f>
        <v/>
      </c>
      <c r="L1633" s="41" t="n"/>
      <c r="M1633" s="41" t="n"/>
      <c r="N1633" s="42">
        <f>IF($M1633="","",IFERROR(INDEX(LISTAS!$F$3:$F$42,MATCH($M1633,LISTAS!$E$3:$E$42,0)),"Por definir"))</f>
        <v/>
      </c>
      <c r="O1633" s="41" t="n"/>
      <c r="P1633" s="39">
        <f>IF($L1633="","",IFERROR(INDEX(LISTAS!$B$3:$B$42,MATCH($L1633,LISTAS!$A$3:$A$42,0)),"Media"))</f>
        <v/>
      </c>
      <c r="Q1633" s="44" t="n"/>
      <c r="R1633" s="45" t="n"/>
      <c r="S1633" s="20">
        <f>IFERROR(IF(OR($R1633="",$C1633=""),"",$R1633/INDEX(DESPACHOS!$M$3:$M$3002,MATCH($C1633,DESPACHOS!$B$3:$B$3002,0))),"")</f>
        <v/>
      </c>
      <c r="T1633" s="41" t="n"/>
      <c r="U1633" s="43">
        <f>IF(OR($B1633="",$L1633=""),"",WORKDAY($B1633,IFERROR(INDEX(LISTAS!$C$3:$C$42,MATCH($L1633,LISTAS!$A$3:$A$42,0)),3)))</f>
        <v/>
      </c>
      <c r="V1633" s="40" t="n"/>
      <c r="W1633" s="19">
        <f>IF($B1633="","",IF($V1633&lt;&gt;"",$V1633-$B1633,TODAY()-$B1633))</f>
        <v/>
      </c>
      <c r="X1633" s="19">
        <f>IF(OR($B1633="",$U1633=""),"",IF($V1633&lt;&gt;"",MAX(0,$V1633-$U1633),MAX(0,TODAY()-$U1633)))</f>
        <v/>
      </c>
      <c r="Y1633" s="39">
        <f>IF($C1633="","",IF(IFERROR(INDEX(LISTAS!$I$3:$I$42,MATCH($T1633,LISTAS!$H$3:$H$42,0)),"NO")="SÍ",IF(N($X1633)&gt;0,"CERRADA FUERA DE SLA","CERRADA EN SLA"),IF($U1633="","SIN CLASIFICAR",IF(N($X1633)&gt;0,"VENCIDA",IF(TODAY()&gt;=$U1633-1,"POR VENCER","EN PLAZO")))))</f>
        <v/>
      </c>
      <c r="Z1633" s="41" t="n"/>
      <c r="AA1633" s="41" t="n"/>
      <c r="AB1633" s="41" t="n"/>
    </row>
    <row r="1634">
      <c r="A1634" s="39">
        <f>IF($C1634="","","NOV-"&amp;TEXT(ROW()-3,"0000"))</f>
        <v/>
      </c>
      <c r="B1634" s="40" t="n"/>
      <c r="C1634" s="41" t="n"/>
      <c r="D1634" s="42">
        <f>IF($C1634="","",IFERROR(INDEX(DESPACHOS!$D$3:$D$3002,MATCH($C1634,DESPACHOS!$B$3:$B$3002,0)),"SIN DESPACHO"))</f>
        <v/>
      </c>
      <c r="E1634" s="42">
        <f>IF($C1634="","",IFERROR(INDEX(DESPACHOS!$K$3:$K$3002,MATCH($C1634,DESPACHOS!$B$3:$B$3002,0)),""))</f>
        <v/>
      </c>
      <c r="F1634" s="42">
        <f>IF($C1634="","",IFERROR(INDEX(DESPACHOS!$I$3:$I$3002,MATCH($C1634,DESPACHOS!$B$3:$B$3002,0)),""))</f>
        <v/>
      </c>
      <c r="G1634" s="42">
        <f>IF($C1634="","",IFERROR(INDEX(DESPACHOS!$F$3:$F$3002,MATCH($C1634,DESPACHOS!$B$3:$B$3002,0)),""))</f>
        <v/>
      </c>
      <c r="H1634" s="42">
        <f>IF($C1634="","",IFERROR(INDEX(DESPACHOS!$G$3:$G$3002,MATCH($C1634,DESPACHOS!$B$3:$B$3002,0)),""))</f>
        <v/>
      </c>
      <c r="I1634" s="39">
        <f>IF($C1634="","",IFERROR(INDEX(DESPACHOS!$H$3:$H$3002,MATCH($C1634,DESPACHOS!$B$3:$B$3002,0)),""))</f>
        <v/>
      </c>
      <c r="J1634" s="43">
        <f>IF($C1634="","",IFERROR(INDEX(DESPACHOS!$J$3:$J$3002,MATCH($C1634,DESPACHOS!$B$3:$B$3002,0)),""))</f>
        <v/>
      </c>
      <c r="K1634" s="39">
        <f>IF($C1634="","",IF(COUNTIFS(DESPACHOS!$B$3:$B$3002,$C1634)=0,"NO EXISTE",IF(COUNTIFS(DESPACHOS!$B$3:$B$3002,$C1634)&gt;1,"DUPLICADO","OK")))</f>
        <v/>
      </c>
      <c r="L1634" s="41" t="n"/>
      <c r="M1634" s="41" t="n"/>
      <c r="N1634" s="42">
        <f>IF($M1634="","",IFERROR(INDEX(LISTAS!$F$3:$F$42,MATCH($M1634,LISTAS!$E$3:$E$42,0)),"Por definir"))</f>
        <v/>
      </c>
      <c r="O1634" s="41" t="n"/>
      <c r="P1634" s="39">
        <f>IF($L1634="","",IFERROR(INDEX(LISTAS!$B$3:$B$42,MATCH($L1634,LISTAS!$A$3:$A$42,0)),"Media"))</f>
        <v/>
      </c>
      <c r="Q1634" s="44" t="n"/>
      <c r="R1634" s="45" t="n"/>
      <c r="S1634" s="20">
        <f>IFERROR(IF(OR($R1634="",$C1634=""),"",$R1634/INDEX(DESPACHOS!$M$3:$M$3002,MATCH($C1634,DESPACHOS!$B$3:$B$3002,0))),"")</f>
        <v/>
      </c>
      <c r="T1634" s="41" t="n"/>
      <c r="U1634" s="43">
        <f>IF(OR($B1634="",$L1634=""),"",WORKDAY($B1634,IFERROR(INDEX(LISTAS!$C$3:$C$42,MATCH($L1634,LISTAS!$A$3:$A$42,0)),3)))</f>
        <v/>
      </c>
      <c r="V1634" s="40" t="n"/>
      <c r="W1634" s="19">
        <f>IF($B1634="","",IF($V1634&lt;&gt;"",$V1634-$B1634,TODAY()-$B1634))</f>
        <v/>
      </c>
      <c r="X1634" s="19">
        <f>IF(OR($B1634="",$U1634=""),"",IF($V1634&lt;&gt;"",MAX(0,$V1634-$U1634),MAX(0,TODAY()-$U1634)))</f>
        <v/>
      </c>
      <c r="Y1634" s="39">
        <f>IF($C1634="","",IF(IFERROR(INDEX(LISTAS!$I$3:$I$42,MATCH($T1634,LISTAS!$H$3:$H$42,0)),"NO")="SÍ",IF(N($X1634)&gt;0,"CERRADA FUERA DE SLA","CERRADA EN SLA"),IF($U1634="","SIN CLASIFICAR",IF(N($X1634)&gt;0,"VENCIDA",IF(TODAY()&gt;=$U1634-1,"POR VENCER","EN PLAZO")))))</f>
        <v/>
      </c>
      <c r="Z1634" s="41" t="n"/>
      <c r="AA1634" s="41" t="n"/>
      <c r="AB1634" s="41" t="n"/>
    </row>
    <row r="1635">
      <c r="A1635" s="39">
        <f>IF($C1635="","","NOV-"&amp;TEXT(ROW()-3,"0000"))</f>
        <v/>
      </c>
      <c r="B1635" s="40" t="n"/>
      <c r="C1635" s="41" t="n"/>
      <c r="D1635" s="42">
        <f>IF($C1635="","",IFERROR(INDEX(DESPACHOS!$D$3:$D$3002,MATCH($C1635,DESPACHOS!$B$3:$B$3002,0)),"SIN DESPACHO"))</f>
        <v/>
      </c>
      <c r="E1635" s="42">
        <f>IF($C1635="","",IFERROR(INDEX(DESPACHOS!$K$3:$K$3002,MATCH($C1635,DESPACHOS!$B$3:$B$3002,0)),""))</f>
        <v/>
      </c>
      <c r="F1635" s="42">
        <f>IF($C1635="","",IFERROR(INDEX(DESPACHOS!$I$3:$I$3002,MATCH($C1635,DESPACHOS!$B$3:$B$3002,0)),""))</f>
        <v/>
      </c>
      <c r="G1635" s="42">
        <f>IF($C1635="","",IFERROR(INDEX(DESPACHOS!$F$3:$F$3002,MATCH($C1635,DESPACHOS!$B$3:$B$3002,0)),""))</f>
        <v/>
      </c>
      <c r="H1635" s="42">
        <f>IF($C1635="","",IFERROR(INDEX(DESPACHOS!$G$3:$G$3002,MATCH($C1635,DESPACHOS!$B$3:$B$3002,0)),""))</f>
        <v/>
      </c>
      <c r="I1635" s="39">
        <f>IF($C1635="","",IFERROR(INDEX(DESPACHOS!$H$3:$H$3002,MATCH($C1635,DESPACHOS!$B$3:$B$3002,0)),""))</f>
        <v/>
      </c>
      <c r="J1635" s="43">
        <f>IF($C1635="","",IFERROR(INDEX(DESPACHOS!$J$3:$J$3002,MATCH($C1635,DESPACHOS!$B$3:$B$3002,0)),""))</f>
        <v/>
      </c>
      <c r="K1635" s="39">
        <f>IF($C1635="","",IF(COUNTIFS(DESPACHOS!$B$3:$B$3002,$C1635)=0,"NO EXISTE",IF(COUNTIFS(DESPACHOS!$B$3:$B$3002,$C1635)&gt;1,"DUPLICADO","OK")))</f>
        <v/>
      </c>
      <c r="L1635" s="41" t="n"/>
      <c r="M1635" s="41" t="n"/>
      <c r="N1635" s="42">
        <f>IF($M1635="","",IFERROR(INDEX(LISTAS!$F$3:$F$42,MATCH($M1635,LISTAS!$E$3:$E$42,0)),"Por definir"))</f>
        <v/>
      </c>
      <c r="O1635" s="41" t="n"/>
      <c r="P1635" s="39">
        <f>IF($L1635="","",IFERROR(INDEX(LISTAS!$B$3:$B$42,MATCH($L1635,LISTAS!$A$3:$A$42,0)),"Media"))</f>
        <v/>
      </c>
      <c r="Q1635" s="44" t="n"/>
      <c r="R1635" s="45" t="n"/>
      <c r="S1635" s="20">
        <f>IFERROR(IF(OR($R1635="",$C1635=""),"",$R1635/INDEX(DESPACHOS!$M$3:$M$3002,MATCH($C1635,DESPACHOS!$B$3:$B$3002,0))),"")</f>
        <v/>
      </c>
      <c r="T1635" s="41" t="n"/>
      <c r="U1635" s="43">
        <f>IF(OR($B1635="",$L1635=""),"",WORKDAY($B1635,IFERROR(INDEX(LISTAS!$C$3:$C$42,MATCH($L1635,LISTAS!$A$3:$A$42,0)),3)))</f>
        <v/>
      </c>
      <c r="V1635" s="40" t="n"/>
      <c r="W1635" s="19">
        <f>IF($B1635="","",IF($V1635&lt;&gt;"",$V1635-$B1635,TODAY()-$B1635))</f>
        <v/>
      </c>
      <c r="X1635" s="19">
        <f>IF(OR($B1635="",$U1635=""),"",IF($V1635&lt;&gt;"",MAX(0,$V1635-$U1635),MAX(0,TODAY()-$U1635)))</f>
        <v/>
      </c>
      <c r="Y1635" s="39">
        <f>IF($C1635="","",IF(IFERROR(INDEX(LISTAS!$I$3:$I$42,MATCH($T1635,LISTAS!$H$3:$H$42,0)),"NO")="SÍ",IF(N($X1635)&gt;0,"CERRADA FUERA DE SLA","CERRADA EN SLA"),IF($U1635="","SIN CLASIFICAR",IF(N($X1635)&gt;0,"VENCIDA",IF(TODAY()&gt;=$U1635-1,"POR VENCER","EN PLAZO")))))</f>
        <v/>
      </c>
      <c r="Z1635" s="41" t="n"/>
      <c r="AA1635" s="41" t="n"/>
      <c r="AB1635" s="41" t="n"/>
    </row>
    <row r="1636">
      <c r="A1636" s="39">
        <f>IF($C1636="","","NOV-"&amp;TEXT(ROW()-3,"0000"))</f>
        <v/>
      </c>
      <c r="B1636" s="40" t="n"/>
      <c r="C1636" s="41" t="n"/>
      <c r="D1636" s="42">
        <f>IF($C1636="","",IFERROR(INDEX(DESPACHOS!$D$3:$D$3002,MATCH($C1636,DESPACHOS!$B$3:$B$3002,0)),"SIN DESPACHO"))</f>
        <v/>
      </c>
      <c r="E1636" s="42">
        <f>IF($C1636="","",IFERROR(INDEX(DESPACHOS!$K$3:$K$3002,MATCH($C1636,DESPACHOS!$B$3:$B$3002,0)),""))</f>
        <v/>
      </c>
      <c r="F1636" s="42">
        <f>IF($C1636="","",IFERROR(INDEX(DESPACHOS!$I$3:$I$3002,MATCH($C1636,DESPACHOS!$B$3:$B$3002,0)),""))</f>
        <v/>
      </c>
      <c r="G1636" s="42">
        <f>IF($C1636="","",IFERROR(INDEX(DESPACHOS!$F$3:$F$3002,MATCH($C1636,DESPACHOS!$B$3:$B$3002,0)),""))</f>
        <v/>
      </c>
      <c r="H1636" s="42">
        <f>IF($C1636="","",IFERROR(INDEX(DESPACHOS!$G$3:$G$3002,MATCH($C1636,DESPACHOS!$B$3:$B$3002,0)),""))</f>
        <v/>
      </c>
      <c r="I1636" s="39">
        <f>IF($C1636="","",IFERROR(INDEX(DESPACHOS!$H$3:$H$3002,MATCH($C1636,DESPACHOS!$B$3:$B$3002,0)),""))</f>
        <v/>
      </c>
      <c r="J1636" s="43">
        <f>IF($C1636="","",IFERROR(INDEX(DESPACHOS!$J$3:$J$3002,MATCH($C1636,DESPACHOS!$B$3:$B$3002,0)),""))</f>
        <v/>
      </c>
      <c r="K1636" s="39">
        <f>IF($C1636="","",IF(COUNTIFS(DESPACHOS!$B$3:$B$3002,$C1636)=0,"NO EXISTE",IF(COUNTIFS(DESPACHOS!$B$3:$B$3002,$C1636)&gt;1,"DUPLICADO","OK")))</f>
        <v/>
      </c>
      <c r="L1636" s="41" t="n"/>
      <c r="M1636" s="41" t="n"/>
      <c r="N1636" s="42">
        <f>IF($M1636="","",IFERROR(INDEX(LISTAS!$F$3:$F$42,MATCH($M1636,LISTAS!$E$3:$E$42,0)),"Por definir"))</f>
        <v/>
      </c>
      <c r="O1636" s="41" t="n"/>
      <c r="P1636" s="39">
        <f>IF($L1636="","",IFERROR(INDEX(LISTAS!$B$3:$B$42,MATCH($L1636,LISTAS!$A$3:$A$42,0)),"Media"))</f>
        <v/>
      </c>
      <c r="Q1636" s="44" t="n"/>
      <c r="R1636" s="45" t="n"/>
      <c r="S1636" s="20">
        <f>IFERROR(IF(OR($R1636="",$C1636=""),"",$R1636/INDEX(DESPACHOS!$M$3:$M$3002,MATCH($C1636,DESPACHOS!$B$3:$B$3002,0))),"")</f>
        <v/>
      </c>
      <c r="T1636" s="41" t="n"/>
      <c r="U1636" s="43">
        <f>IF(OR($B1636="",$L1636=""),"",WORKDAY($B1636,IFERROR(INDEX(LISTAS!$C$3:$C$42,MATCH($L1636,LISTAS!$A$3:$A$42,0)),3)))</f>
        <v/>
      </c>
      <c r="V1636" s="40" t="n"/>
      <c r="W1636" s="19">
        <f>IF($B1636="","",IF($V1636&lt;&gt;"",$V1636-$B1636,TODAY()-$B1636))</f>
        <v/>
      </c>
      <c r="X1636" s="19">
        <f>IF(OR($B1636="",$U1636=""),"",IF($V1636&lt;&gt;"",MAX(0,$V1636-$U1636),MAX(0,TODAY()-$U1636)))</f>
        <v/>
      </c>
      <c r="Y1636" s="39">
        <f>IF($C1636="","",IF(IFERROR(INDEX(LISTAS!$I$3:$I$42,MATCH($T1636,LISTAS!$H$3:$H$42,0)),"NO")="SÍ",IF(N($X1636)&gt;0,"CERRADA FUERA DE SLA","CERRADA EN SLA"),IF($U1636="","SIN CLASIFICAR",IF(N($X1636)&gt;0,"VENCIDA",IF(TODAY()&gt;=$U1636-1,"POR VENCER","EN PLAZO")))))</f>
        <v/>
      </c>
      <c r="Z1636" s="41" t="n"/>
      <c r="AA1636" s="41" t="n"/>
      <c r="AB1636" s="41" t="n"/>
    </row>
    <row r="1637">
      <c r="A1637" s="39">
        <f>IF($C1637="","","NOV-"&amp;TEXT(ROW()-3,"0000"))</f>
        <v/>
      </c>
      <c r="B1637" s="40" t="n"/>
      <c r="C1637" s="41" t="n"/>
      <c r="D1637" s="42">
        <f>IF($C1637="","",IFERROR(INDEX(DESPACHOS!$D$3:$D$3002,MATCH($C1637,DESPACHOS!$B$3:$B$3002,0)),"SIN DESPACHO"))</f>
        <v/>
      </c>
      <c r="E1637" s="42">
        <f>IF($C1637="","",IFERROR(INDEX(DESPACHOS!$K$3:$K$3002,MATCH($C1637,DESPACHOS!$B$3:$B$3002,0)),""))</f>
        <v/>
      </c>
      <c r="F1637" s="42">
        <f>IF($C1637="","",IFERROR(INDEX(DESPACHOS!$I$3:$I$3002,MATCH($C1637,DESPACHOS!$B$3:$B$3002,0)),""))</f>
        <v/>
      </c>
      <c r="G1637" s="42">
        <f>IF($C1637="","",IFERROR(INDEX(DESPACHOS!$F$3:$F$3002,MATCH($C1637,DESPACHOS!$B$3:$B$3002,0)),""))</f>
        <v/>
      </c>
      <c r="H1637" s="42">
        <f>IF($C1637="","",IFERROR(INDEX(DESPACHOS!$G$3:$G$3002,MATCH($C1637,DESPACHOS!$B$3:$B$3002,0)),""))</f>
        <v/>
      </c>
      <c r="I1637" s="39">
        <f>IF($C1637="","",IFERROR(INDEX(DESPACHOS!$H$3:$H$3002,MATCH($C1637,DESPACHOS!$B$3:$B$3002,0)),""))</f>
        <v/>
      </c>
      <c r="J1637" s="43">
        <f>IF($C1637="","",IFERROR(INDEX(DESPACHOS!$J$3:$J$3002,MATCH($C1637,DESPACHOS!$B$3:$B$3002,0)),""))</f>
        <v/>
      </c>
      <c r="K1637" s="39">
        <f>IF($C1637="","",IF(COUNTIFS(DESPACHOS!$B$3:$B$3002,$C1637)=0,"NO EXISTE",IF(COUNTIFS(DESPACHOS!$B$3:$B$3002,$C1637)&gt;1,"DUPLICADO","OK")))</f>
        <v/>
      </c>
      <c r="L1637" s="41" t="n"/>
      <c r="M1637" s="41" t="n"/>
      <c r="N1637" s="42">
        <f>IF($M1637="","",IFERROR(INDEX(LISTAS!$F$3:$F$42,MATCH($M1637,LISTAS!$E$3:$E$42,0)),"Por definir"))</f>
        <v/>
      </c>
      <c r="O1637" s="41" t="n"/>
      <c r="P1637" s="39">
        <f>IF($L1637="","",IFERROR(INDEX(LISTAS!$B$3:$B$42,MATCH($L1637,LISTAS!$A$3:$A$42,0)),"Media"))</f>
        <v/>
      </c>
      <c r="Q1637" s="44" t="n"/>
      <c r="R1637" s="45" t="n"/>
      <c r="S1637" s="20">
        <f>IFERROR(IF(OR($R1637="",$C1637=""),"",$R1637/INDEX(DESPACHOS!$M$3:$M$3002,MATCH($C1637,DESPACHOS!$B$3:$B$3002,0))),"")</f>
        <v/>
      </c>
      <c r="T1637" s="41" t="n"/>
      <c r="U1637" s="43">
        <f>IF(OR($B1637="",$L1637=""),"",WORKDAY($B1637,IFERROR(INDEX(LISTAS!$C$3:$C$42,MATCH($L1637,LISTAS!$A$3:$A$42,0)),3)))</f>
        <v/>
      </c>
      <c r="V1637" s="40" t="n"/>
      <c r="W1637" s="19">
        <f>IF($B1637="","",IF($V1637&lt;&gt;"",$V1637-$B1637,TODAY()-$B1637))</f>
        <v/>
      </c>
      <c r="X1637" s="19">
        <f>IF(OR($B1637="",$U1637=""),"",IF($V1637&lt;&gt;"",MAX(0,$V1637-$U1637),MAX(0,TODAY()-$U1637)))</f>
        <v/>
      </c>
      <c r="Y1637" s="39">
        <f>IF($C1637="","",IF(IFERROR(INDEX(LISTAS!$I$3:$I$42,MATCH($T1637,LISTAS!$H$3:$H$42,0)),"NO")="SÍ",IF(N($X1637)&gt;0,"CERRADA FUERA DE SLA","CERRADA EN SLA"),IF($U1637="","SIN CLASIFICAR",IF(N($X1637)&gt;0,"VENCIDA",IF(TODAY()&gt;=$U1637-1,"POR VENCER","EN PLAZO")))))</f>
        <v/>
      </c>
      <c r="Z1637" s="41" t="n"/>
      <c r="AA1637" s="41" t="n"/>
      <c r="AB1637" s="41" t="n"/>
    </row>
    <row r="1638">
      <c r="A1638" s="39">
        <f>IF($C1638="","","NOV-"&amp;TEXT(ROW()-3,"0000"))</f>
        <v/>
      </c>
      <c r="B1638" s="40" t="n"/>
      <c r="C1638" s="41" t="n"/>
      <c r="D1638" s="42">
        <f>IF($C1638="","",IFERROR(INDEX(DESPACHOS!$D$3:$D$3002,MATCH($C1638,DESPACHOS!$B$3:$B$3002,0)),"SIN DESPACHO"))</f>
        <v/>
      </c>
      <c r="E1638" s="42">
        <f>IF($C1638="","",IFERROR(INDEX(DESPACHOS!$K$3:$K$3002,MATCH($C1638,DESPACHOS!$B$3:$B$3002,0)),""))</f>
        <v/>
      </c>
      <c r="F1638" s="42">
        <f>IF($C1638="","",IFERROR(INDEX(DESPACHOS!$I$3:$I$3002,MATCH($C1638,DESPACHOS!$B$3:$B$3002,0)),""))</f>
        <v/>
      </c>
      <c r="G1638" s="42">
        <f>IF($C1638="","",IFERROR(INDEX(DESPACHOS!$F$3:$F$3002,MATCH($C1638,DESPACHOS!$B$3:$B$3002,0)),""))</f>
        <v/>
      </c>
      <c r="H1638" s="42">
        <f>IF($C1638="","",IFERROR(INDEX(DESPACHOS!$G$3:$G$3002,MATCH($C1638,DESPACHOS!$B$3:$B$3002,0)),""))</f>
        <v/>
      </c>
      <c r="I1638" s="39">
        <f>IF($C1638="","",IFERROR(INDEX(DESPACHOS!$H$3:$H$3002,MATCH($C1638,DESPACHOS!$B$3:$B$3002,0)),""))</f>
        <v/>
      </c>
      <c r="J1638" s="43">
        <f>IF($C1638="","",IFERROR(INDEX(DESPACHOS!$J$3:$J$3002,MATCH($C1638,DESPACHOS!$B$3:$B$3002,0)),""))</f>
        <v/>
      </c>
      <c r="K1638" s="39">
        <f>IF($C1638="","",IF(COUNTIFS(DESPACHOS!$B$3:$B$3002,$C1638)=0,"NO EXISTE",IF(COUNTIFS(DESPACHOS!$B$3:$B$3002,$C1638)&gt;1,"DUPLICADO","OK")))</f>
        <v/>
      </c>
      <c r="L1638" s="41" t="n"/>
      <c r="M1638" s="41" t="n"/>
      <c r="N1638" s="42">
        <f>IF($M1638="","",IFERROR(INDEX(LISTAS!$F$3:$F$42,MATCH($M1638,LISTAS!$E$3:$E$42,0)),"Por definir"))</f>
        <v/>
      </c>
      <c r="O1638" s="41" t="n"/>
      <c r="P1638" s="39">
        <f>IF($L1638="","",IFERROR(INDEX(LISTAS!$B$3:$B$42,MATCH($L1638,LISTAS!$A$3:$A$42,0)),"Media"))</f>
        <v/>
      </c>
      <c r="Q1638" s="44" t="n"/>
      <c r="R1638" s="45" t="n"/>
      <c r="S1638" s="20">
        <f>IFERROR(IF(OR($R1638="",$C1638=""),"",$R1638/INDEX(DESPACHOS!$M$3:$M$3002,MATCH($C1638,DESPACHOS!$B$3:$B$3002,0))),"")</f>
        <v/>
      </c>
      <c r="T1638" s="41" t="n"/>
      <c r="U1638" s="43">
        <f>IF(OR($B1638="",$L1638=""),"",WORKDAY($B1638,IFERROR(INDEX(LISTAS!$C$3:$C$42,MATCH($L1638,LISTAS!$A$3:$A$42,0)),3)))</f>
        <v/>
      </c>
      <c r="V1638" s="40" t="n"/>
      <c r="W1638" s="19">
        <f>IF($B1638="","",IF($V1638&lt;&gt;"",$V1638-$B1638,TODAY()-$B1638))</f>
        <v/>
      </c>
      <c r="X1638" s="19">
        <f>IF(OR($B1638="",$U1638=""),"",IF($V1638&lt;&gt;"",MAX(0,$V1638-$U1638),MAX(0,TODAY()-$U1638)))</f>
        <v/>
      </c>
      <c r="Y1638" s="39">
        <f>IF($C1638="","",IF(IFERROR(INDEX(LISTAS!$I$3:$I$42,MATCH($T1638,LISTAS!$H$3:$H$42,0)),"NO")="SÍ",IF(N($X1638)&gt;0,"CERRADA FUERA DE SLA","CERRADA EN SLA"),IF($U1638="","SIN CLASIFICAR",IF(N($X1638)&gt;0,"VENCIDA",IF(TODAY()&gt;=$U1638-1,"POR VENCER","EN PLAZO")))))</f>
        <v/>
      </c>
      <c r="Z1638" s="41" t="n"/>
      <c r="AA1638" s="41" t="n"/>
      <c r="AB1638" s="41" t="n"/>
    </row>
    <row r="1639">
      <c r="A1639" s="39">
        <f>IF($C1639="","","NOV-"&amp;TEXT(ROW()-3,"0000"))</f>
        <v/>
      </c>
      <c r="B1639" s="40" t="n"/>
      <c r="C1639" s="41" t="n"/>
      <c r="D1639" s="42">
        <f>IF($C1639="","",IFERROR(INDEX(DESPACHOS!$D$3:$D$3002,MATCH($C1639,DESPACHOS!$B$3:$B$3002,0)),"SIN DESPACHO"))</f>
        <v/>
      </c>
      <c r="E1639" s="42">
        <f>IF($C1639="","",IFERROR(INDEX(DESPACHOS!$K$3:$K$3002,MATCH($C1639,DESPACHOS!$B$3:$B$3002,0)),""))</f>
        <v/>
      </c>
      <c r="F1639" s="42">
        <f>IF($C1639="","",IFERROR(INDEX(DESPACHOS!$I$3:$I$3002,MATCH($C1639,DESPACHOS!$B$3:$B$3002,0)),""))</f>
        <v/>
      </c>
      <c r="G1639" s="42">
        <f>IF($C1639="","",IFERROR(INDEX(DESPACHOS!$F$3:$F$3002,MATCH($C1639,DESPACHOS!$B$3:$B$3002,0)),""))</f>
        <v/>
      </c>
      <c r="H1639" s="42">
        <f>IF($C1639="","",IFERROR(INDEX(DESPACHOS!$G$3:$G$3002,MATCH($C1639,DESPACHOS!$B$3:$B$3002,0)),""))</f>
        <v/>
      </c>
      <c r="I1639" s="39">
        <f>IF($C1639="","",IFERROR(INDEX(DESPACHOS!$H$3:$H$3002,MATCH($C1639,DESPACHOS!$B$3:$B$3002,0)),""))</f>
        <v/>
      </c>
      <c r="J1639" s="43">
        <f>IF($C1639="","",IFERROR(INDEX(DESPACHOS!$J$3:$J$3002,MATCH($C1639,DESPACHOS!$B$3:$B$3002,0)),""))</f>
        <v/>
      </c>
      <c r="K1639" s="39">
        <f>IF($C1639="","",IF(COUNTIFS(DESPACHOS!$B$3:$B$3002,$C1639)=0,"NO EXISTE",IF(COUNTIFS(DESPACHOS!$B$3:$B$3002,$C1639)&gt;1,"DUPLICADO","OK")))</f>
        <v/>
      </c>
      <c r="L1639" s="41" t="n"/>
      <c r="M1639" s="41" t="n"/>
      <c r="N1639" s="42">
        <f>IF($M1639="","",IFERROR(INDEX(LISTAS!$F$3:$F$42,MATCH($M1639,LISTAS!$E$3:$E$42,0)),"Por definir"))</f>
        <v/>
      </c>
      <c r="O1639" s="41" t="n"/>
      <c r="P1639" s="39">
        <f>IF($L1639="","",IFERROR(INDEX(LISTAS!$B$3:$B$42,MATCH($L1639,LISTAS!$A$3:$A$42,0)),"Media"))</f>
        <v/>
      </c>
      <c r="Q1639" s="44" t="n"/>
      <c r="R1639" s="45" t="n"/>
      <c r="S1639" s="20">
        <f>IFERROR(IF(OR($R1639="",$C1639=""),"",$R1639/INDEX(DESPACHOS!$M$3:$M$3002,MATCH($C1639,DESPACHOS!$B$3:$B$3002,0))),"")</f>
        <v/>
      </c>
      <c r="T1639" s="41" t="n"/>
      <c r="U1639" s="43">
        <f>IF(OR($B1639="",$L1639=""),"",WORKDAY($B1639,IFERROR(INDEX(LISTAS!$C$3:$C$42,MATCH($L1639,LISTAS!$A$3:$A$42,0)),3)))</f>
        <v/>
      </c>
      <c r="V1639" s="40" t="n"/>
      <c r="W1639" s="19">
        <f>IF($B1639="","",IF($V1639&lt;&gt;"",$V1639-$B1639,TODAY()-$B1639))</f>
        <v/>
      </c>
      <c r="X1639" s="19">
        <f>IF(OR($B1639="",$U1639=""),"",IF($V1639&lt;&gt;"",MAX(0,$V1639-$U1639),MAX(0,TODAY()-$U1639)))</f>
        <v/>
      </c>
      <c r="Y1639" s="39">
        <f>IF($C1639="","",IF(IFERROR(INDEX(LISTAS!$I$3:$I$42,MATCH($T1639,LISTAS!$H$3:$H$42,0)),"NO")="SÍ",IF(N($X1639)&gt;0,"CERRADA FUERA DE SLA","CERRADA EN SLA"),IF($U1639="","SIN CLASIFICAR",IF(N($X1639)&gt;0,"VENCIDA",IF(TODAY()&gt;=$U1639-1,"POR VENCER","EN PLAZO")))))</f>
        <v/>
      </c>
      <c r="Z1639" s="41" t="n"/>
      <c r="AA1639" s="41" t="n"/>
      <c r="AB1639" s="41" t="n"/>
    </row>
    <row r="1640">
      <c r="A1640" s="39">
        <f>IF($C1640="","","NOV-"&amp;TEXT(ROW()-3,"0000"))</f>
        <v/>
      </c>
      <c r="B1640" s="40" t="n"/>
      <c r="C1640" s="41" t="n"/>
      <c r="D1640" s="42">
        <f>IF($C1640="","",IFERROR(INDEX(DESPACHOS!$D$3:$D$3002,MATCH($C1640,DESPACHOS!$B$3:$B$3002,0)),"SIN DESPACHO"))</f>
        <v/>
      </c>
      <c r="E1640" s="42">
        <f>IF($C1640="","",IFERROR(INDEX(DESPACHOS!$K$3:$K$3002,MATCH($C1640,DESPACHOS!$B$3:$B$3002,0)),""))</f>
        <v/>
      </c>
      <c r="F1640" s="42">
        <f>IF($C1640="","",IFERROR(INDEX(DESPACHOS!$I$3:$I$3002,MATCH($C1640,DESPACHOS!$B$3:$B$3002,0)),""))</f>
        <v/>
      </c>
      <c r="G1640" s="42">
        <f>IF($C1640="","",IFERROR(INDEX(DESPACHOS!$F$3:$F$3002,MATCH($C1640,DESPACHOS!$B$3:$B$3002,0)),""))</f>
        <v/>
      </c>
      <c r="H1640" s="42">
        <f>IF($C1640="","",IFERROR(INDEX(DESPACHOS!$G$3:$G$3002,MATCH($C1640,DESPACHOS!$B$3:$B$3002,0)),""))</f>
        <v/>
      </c>
      <c r="I1640" s="39">
        <f>IF($C1640="","",IFERROR(INDEX(DESPACHOS!$H$3:$H$3002,MATCH($C1640,DESPACHOS!$B$3:$B$3002,0)),""))</f>
        <v/>
      </c>
      <c r="J1640" s="43">
        <f>IF($C1640="","",IFERROR(INDEX(DESPACHOS!$J$3:$J$3002,MATCH($C1640,DESPACHOS!$B$3:$B$3002,0)),""))</f>
        <v/>
      </c>
      <c r="K1640" s="39">
        <f>IF($C1640="","",IF(COUNTIFS(DESPACHOS!$B$3:$B$3002,$C1640)=0,"NO EXISTE",IF(COUNTIFS(DESPACHOS!$B$3:$B$3002,$C1640)&gt;1,"DUPLICADO","OK")))</f>
        <v/>
      </c>
      <c r="L1640" s="41" t="n"/>
      <c r="M1640" s="41" t="n"/>
      <c r="N1640" s="42">
        <f>IF($M1640="","",IFERROR(INDEX(LISTAS!$F$3:$F$42,MATCH($M1640,LISTAS!$E$3:$E$42,0)),"Por definir"))</f>
        <v/>
      </c>
      <c r="O1640" s="41" t="n"/>
      <c r="P1640" s="39">
        <f>IF($L1640="","",IFERROR(INDEX(LISTAS!$B$3:$B$42,MATCH($L1640,LISTAS!$A$3:$A$42,0)),"Media"))</f>
        <v/>
      </c>
      <c r="Q1640" s="44" t="n"/>
      <c r="R1640" s="45" t="n"/>
      <c r="S1640" s="20">
        <f>IFERROR(IF(OR($R1640="",$C1640=""),"",$R1640/INDEX(DESPACHOS!$M$3:$M$3002,MATCH($C1640,DESPACHOS!$B$3:$B$3002,0))),"")</f>
        <v/>
      </c>
      <c r="T1640" s="41" t="n"/>
      <c r="U1640" s="43">
        <f>IF(OR($B1640="",$L1640=""),"",WORKDAY($B1640,IFERROR(INDEX(LISTAS!$C$3:$C$42,MATCH($L1640,LISTAS!$A$3:$A$42,0)),3)))</f>
        <v/>
      </c>
      <c r="V1640" s="40" t="n"/>
      <c r="W1640" s="19">
        <f>IF($B1640="","",IF($V1640&lt;&gt;"",$V1640-$B1640,TODAY()-$B1640))</f>
        <v/>
      </c>
      <c r="X1640" s="19">
        <f>IF(OR($B1640="",$U1640=""),"",IF($V1640&lt;&gt;"",MAX(0,$V1640-$U1640),MAX(0,TODAY()-$U1640)))</f>
        <v/>
      </c>
      <c r="Y1640" s="39">
        <f>IF($C1640="","",IF(IFERROR(INDEX(LISTAS!$I$3:$I$42,MATCH($T1640,LISTAS!$H$3:$H$42,0)),"NO")="SÍ",IF(N($X1640)&gt;0,"CERRADA FUERA DE SLA","CERRADA EN SLA"),IF($U1640="","SIN CLASIFICAR",IF(N($X1640)&gt;0,"VENCIDA",IF(TODAY()&gt;=$U1640-1,"POR VENCER","EN PLAZO")))))</f>
        <v/>
      </c>
      <c r="Z1640" s="41" t="n"/>
      <c r="AA1640" s="41" t="n"/>
      <c r="AB1640" s="41" t="n"/>
    </row>
    <row r="1641">
      <c r="A1641" s="39">
        <f>IF($C1641="","","NOV-"&amp;TEXT(ROW()-3,"0000"))</f>
        <v/>
      </c>
      <c r="B1641" s="40" t="n"/>
      <c r="C1641" s="41" t="n"/>
      <c r="D1641" s="42">
        <f>IF($C1641="","",IFERROR(INDEX(DESPACHOS!$D$3:$D$3002,MATCH($C1641,DESPACHOS!$B$3:$B$3002,0)),"SIN DESPACHO"))</f>
        <v/>
      </c>
      <c r="E1641" s="42">
        <f>IF($C1641="","",IFERROR(INDEX(DESPACHOS!$K$3:$K$3002,MATCH($C1641,DESPACHOS!$B$3:$B$3002,0)),""))</f>
        <v/>
      </c>
      <c r="F1641" s="42">
        <f>IF($C1641="","",IFERROR(INDEX(DESPACHOS!$I$3:$I$3002,MATCH($C1641,DESPACHOS!$B$3:$B$3002,0)),""))</f>
        <v/>
      </c>
      <c r="G1641" s="42">
        <f>IF($C1641="","",IFERROR(INDEX(DESPACHOS!$F$3:$F$3002,MATCH($C1641,DESPACHOS!$B$3:$B$3002,0)),""))</f>
        <v/>
      </c>
      <c r="H1641" s="42">
        <f>IF($C1641="","",IFERROR(INDEX(DESPACHOS!$G$3:$G$3002,MATCH($C1641,DESPACHOS!$B$3:$B$3002,0)),""))</f>
        <v/>
      </c>
      <c r="I1641" s="39">
        <f>IF($C1641="","",IFERROR(INDEX(DESPACHOS!$H$3:$H$3002,MATCH($C1641,DESPACHOS!$B$3:$B$3002,0)),""))</f>
        <v/>
      </c>
      <c r="J1641" s="43">
        <f>IF($C1641="","",IFERROR(INDEX(DESPACHOS!$J$3:$J$3002,MATCH($C1641,DESPACHOS!$B$3:$B$3002,0)),""))</f>
        <v/>
      </c>
      <c r="K1641" s="39">
        <f>IF($C1641="","",IF(COUNTIFS(DESPACHOS!$B$3:$B$3002,$C1641)=0,"NO EXISTE",IF(COUNTIFS(DESPACHOS!$B$3:$B$3002,$C1641)&gt;1,"DUPLICADO","OK")))</f>
        <v/>
      </c>
      <c r="L1641" s="41" t="n"/>
      <c r="M1641" s="41" t="n"/>
      <c r="N1641" s="42">
        <f>IF($M1641="","",IFERROR(INDEX(LISTAS!$F$3:$F$42,MATCH($M1641,LISTAS!$E$3:$E$42,0)),"Por definir"))</f>
        <v/>
      </c>
      <c r="O1641" s="41" t="n"/>
      <c r="P1641" s="39">
        <f>IF($L1641="","",IFERROR(INDEX(LISTAS!$B$3:$B$42,MATCH($L1641,LISTAS!$A$3:$A$42,0)),"Media"))</f>
        <v/>
      </c>
      <c r="Q1641" s="44" t="n"/>
      <c r="R1641" s="45" t="n"/>
      <c r="S1641" s="20">
        <f>IFERROR(IF(OR($R1641="",$C1641=""),"",$R1641/INDEX(DESPACHOS!$M$3:$M$3002,MATCH($C1641,DESPACHOS!$B$3:$B$3002,0))),"")</f>
        <v/>
      </c>
      <c r="T1641" s="41" t="n"/>
      <c r="U1641" s="43">
        <f>IF(OR($B1641="",$L1641=""),"",WORKDAY($B1641,IFERROR(INDEX(LISTAS!$C$3:$C$42,MATCH($L1641,LISTAS!$A$3:$A$42,0)),3)))</f>
        <v/>
      </c>
      <c r="V1641" s="40" t="n"/>
      <c r="W1641" s="19">
        <f>IF($B1641="","",IF($V1641&lt;&gt;"",$V1641-$B1641,TODAY()-$B1641))</f>
        <v/>
      </c>
      <c r="X1641" s="19">
        <f>IF(OR($B1641="",$U1641=""),"",IF($V1641&lt;&gt;"",MAX(0,$V1641-$U1641),MAX(0,TODAY()-$U1641)))</f>
        <v/>
      </c>
      <c r="Y1641" s="39">
        <f>IF($C1641="","",IF(IFERROR(INDEX(LISTAS!$I$3:$I$42,MATCH($T1641,LISTAS!$H$3:$H$42,0)),"NO")="SÍ",IF(N($X1641)&gt;0,"CERRADA FUERA DE SLA","CERRADA EN SLA"),IF($U1641="","SIN CLASIFICAR",IF(N($X1641)&gt;0,"VENCIDA",IF(TODAY()&gt;=$U1641-1,"POR VENCER","EN PLAZO")))))</f>
        <v/>
      </c>
      <c r="Z1641" s="41" t="n"/>
      <c r="AA1641" s="41" t="n"/>
      <c r="AB1641" s="41" t="n"/>
    </row>
    <row r="1642">
      <c r="A1642" s="39">
        <f>IF($C1642="","","NOV-"&amp;TEXT(ROW()-3,"0000"))</f>
        <v/>
      </c>
      <c r="B1642" s="40" t="n"/>
      <c r="C1642" s="41" t="n"/>
      <c r="D1642" s="42">
        <f>IF($C1642="","",IFERROR(INDEX(DESPACHOS!$D$3:$D$3002,MATCH($C1642,DESPACHOS!$B$3:$B$3002,0)),"SIN DESPACHO"))</f>
        <v/>
      </c>
      <c r="E1642" s="42">
        <f>IF($C1642="","",IFERROR(INDEX(DESPACHOS!$K$3:$K$3002,MATCH($C1642,DESPACHOS!$B$3:$B$3002,0)),""))</f>
        <v/>
      </c>
      <c r="F1642" s="42">
        <f>IF($C1642="","",IFERROR(INDEX(DESPACHOS!$I$3:$I$3002,MATCH($C1642,DESPACHOS!$B$3:$B$3002,0)),""))</f>
        <v/>
      </c>
      <c r="G1642" s="42">
        <f>IF($C1642="","",IFERROR(INDEX(DESPACHOS!$F$3:$F$3002,MATCH($C1642,DESPACHOS!$B$3:$B$3002,0)),""))</f>
        <v/>
      </c>
      <c r="H1642" s="42">
        <f>IF($C1642="","",IFERROR(INDEX(DESPACHOS!$G$3:$G$3002,MATCH($C1642,DESPACHOS!$B$3:$B$3002,0)),""))</f>
        <v/>
      </c>
      <c r="I1642" s="39">
        <f>IF($C1642="","",IFERROR(INDEX(DESPACHOS!$H$3:$H$3002,MATCH($C1642,DESPACHOS!$B$3:$B$3002,0)),""))</f>
        <v/>
      </c>
      <c r="J1642" s="43">
        <f>IF($C1642="","",IFERROR(INDEX(DESPACHOS!$J$3:$J$3002,MATCH($C1642,DESPACHOS!$B$3:$B$3002,0)),""))</f>
        <v/>
      </c>
      <c r="K1642" s="39">
        <f>IF($C1642="","",IF(COUNTIFS(DESPACHOS!$B$3:$B$3002,$C1642)=0,"NO EXISTE",IF(COUNTIFS(DESPACHOS!$B$3:$B$3002,$C1642)&gt;1,"DUPLICADO","OK")))</f>
        <v/>
      </c>
      <c r="L1642" s="41" t="n"/>
      <c r="M1642" s="41" t="n"/>
      <c r="N1642" s="42">
        <f>IF($M1642="","",IFERROR(INDEX(LISTAS!$F$3:$F$42,MATCH($M1642,LISTAS!$E$3:$E$42,0)),"Por definir"))</f>
        <v/>
      </c>
      <c r="O1642" s="41" t="n"/>
      <c r="P1642" s="39">
        <f>IF($L1642="","",IFERROR(INDEX(LISTAS!$B$3:$B$42,MATCH($L1642,LISTAS!$A$3:$A$42,0)),"Media"))</f>
        <v/>
      </c>
      <c r="Q1642" s="44" t="n"/>
      <c r="R1642" s="45" t="n"/>
      <c r="S1642" s="20">
        <f>IFERROR(IF(OR($R1642="",$C1642=""),"",$R1642/INDEX(DESPACHOS!$M$3:$M$3002,MATCH($C1642,DESPACHOS!$B$3:$B$3002,0))),"")</f>
        <v/>
      </c>
      <c r="T1642" s="41" t="n"/>
      <c r="U1642" s="43">
        <f>IF(OR($B1642="",$L1642=""),"",WORKDAY($B1642,IFERROR(INDEX(LISTAS!$C$3:$C$42,MATCH($L1642,LISTAS!$A$3:$A$42,0)),3)))</f>
        <v/>
      </c>
      <c r="V1642" s="40" t="n"/>
      <c r="W1642" s="19">
        <f>IF($B1642="","",IF($V1642&lt;&gt;"",$V1642-$B1642,TODAY()-$B1642))</f>
        <v/>
      </c>
      <c r="X1642" s="19">
        <f>IF(OR($B1642="",$U1642=""),"",IF($V1642&lt;&gt;"",MAX(0,$V1642-$U1642),MAX(0,TODAY()-$U1642)))</f>
        <v/>
      </c>
      <c r="Y1642" s="39">
        <f>IF($C1642="","",IF(IFERROR(INDEX(LISTAS!$I$3:$I$42,MATCH($T1642,LISTAS!$H$3:$H$42,0)),"NO")="SÍ",IF(N($X1642)&gt;0,"CERRADA FUERA DE SLA","CERRADA EN SLA"),IF($U1642="","SIN CLASIFICAR",IF(N($X1642)&gt;0,"VENCIDA",IF(TODAY()&gt;=$U1642-1,"POR VENCER","EN PLAZO")))))</f>
        <v/>
      </c>
      <c r="Z1642" s="41" t="n"/>
      <c r="AA1642" s="41" t="n"/>
      <c r="AB1642" s="41" t="n"/>
    </row>
    <row r="1643">
      <c r="A1643" s="39">
        <f>IF($C1643="","","NOV-"&amp;TEXT(ROW()-3,"0000"))</f>
        <v/>
      </c>
      <c r="B1643" s="40" t="n"/>
      <c r="C1643" s="41" t="n"/>
      <c r="D1643" s="42">
        <f>IF($C1643="","",IFERROR(INDEX(DESPACHOS!$D$3:$D$3002,MATCH($C1643,DESPACHOS!$B$3:$B$3002,0)),"SIN DESPACHO"))</f>
        <v/>
      </c>
      <c r="E1643" s="42">
        <f>IF($C1643="","",IFERROR(INDEX(DESPACHOS!$K$3:$K$3002,MATCH($C1643,DESPACHOS!$B$3:$B$3002,0)),""))</f>
        <v/>
      </c>
      <c r="F1643" s="42">
        <f>IF($C1643="","",IFERROR(INDEX(DESPACHOS!$I$3:$I$3002,MATCH($C1643,DESPACHOS!$B$3:$B$3002,0)),""))</f>
        <v/>
      </c>
      <c r="G1643" s="42">
        <f>IF($C1643="","",IFERROR(INDEX(DESPACHOS!$F$3:$F$3002,MATCH($C1643,DESPACHOS!$B$3:$B$3002,0)),""))</f>
        <v/>
      </c>
      <c r="H1643" s="42">
        <f>IF($C1643="","",IFERROR(INDEX(DESPACHOS!$G$3:$G$3002,MATCH($C1643,DESPACHOS!$B$3:$B$3002,0)),""))</f>
        <v/>
      </c>
      <c r="I1643" s="39">
        <f>IF($C1643="","",IFERROR(INDEX(DESPACHOS!$H$3:$H$3002,MATCH($C1643,DESPACHOS!$B$3:$B$3002,0)),""))</f>
        <v/>
      </c>
      <c r="J1643" s="43">
        <f>IF($C1643="","",IFERROR(INDEX(DESPACHOS!$J$3:$J$3002,MATCH($C1643,DESPACHOS!$B$3:$B$3002,0)),""))</f>
        <v/>
      </c>
      <c r="K1643" s="39">
        <f>IF($C1643="","",IF(COUNTIFS(DESPACHOS!$B$3:$B$3002,$C1643)=0,"NO EXISTE",IF(COUNTIFS(DESPACHOS!$B$3:$B$3002,$C1643)&gt;1,"DUPLICADO","OK")))</f>
        <v/>
      </c>
      <c r="L1643" s="41" t="n"/>
      <c r="M1643" s="41" t="n"/>
      <c r="N1643" s="42">
        <f>IF($M1643="","",IFERROR(INDEX(LISTAS!$F$3:$F$42,MATCH($M1643,LISTAS!$E$3:$E$42,0)),"Por definir"))</f>
        <v/>
      </c>
      <c r="O1643" s="41" t="n"/>
      <c r="P1643" s="39">
        <f>IF($L1643="","",IFERROR(INDEX(LISTAS!$B$3:$B$42,MATCH($L1643,LISTAS!$A$3:$A$42,0)),"Media"))</f>
        <v/>
      </c>
      <c r="Q1643" s="44" t="n"/>
      <c r="R1643" s="45" t="n"/>
      <c r="S1643" s="20">
        <f>IFERROR(IF(OR($R1643="",$C1643=""),"",$R1643/INDEX(DESPACHOS!$M$3:$M$3002,MATCH($C1643,DESPACHOS!$B$3:$B$3002,0))),"")</f>
        <v/>
      </c>
      <c r="T1643" s="41" t="n"/>
      <c r="U1643" s="43">
        <f>IF(OR($B1643="",$L1643=""),"",WORKDAY($B1643,IFERROR(INDEX(LISTAS!$C$3:$C$42,MATCH($L1643,LISTAS!$A$3:$A$42,0)),3)))</f>
        <v/>
      </c>
      <c r="V1643" s="40" t="n"/>
      <c r="W1643" s="19">
        <f>IF($B1643="","",IF($V1643&lt;&gt;"",$V1643-$B1643,TODAY()-$B1643))</f>
        <v/>
      </c>
      <c r="X1643" s="19">
        <f>IF(OR($B1643="",$U1643=""),"",IF($V1643&lt;&gt;"",MAX(0,$V1643-$U1643),MAX(0,TODAY()-$U1643)))</f>
        <v/>
      </c>
      <c r="Y1643" s="39">
        <f>IF($C1643="","",IF(IFERROR(INDEX(LISTAS!$I$3:$I$42,MATCH($T1643,LISTAS!$H$3:$H$42,0)),"NO")="SÍ",IF(N($X1643)&gt;0,"CERRADA FUERA DE SLA","CERRADA EN SLA"),IF($U1643="","SIN CLASIFICAR",IF(N($X1643)&gt;0,"VENCIDA",IF(TODAY()&gt;=$U1643-1,"POR VENCER","EN PLAZO")))))</f>
        <v/>
      </c>
      <c r="Z1643" s="41" t="n"/>
      <c r="AA1643" s="41" t="n"/>
      <c r="AB1643" s="41" t="n"/>
    </row>
    <row r="1644">
      <c r="A1644" s="39">
        <f>IF($C1644="","","NOV-"&amp;TEXT(ROW()-3,"0000"))</f>
        <v/>
      </c>
      <c r="B1644" s="40" t="n"/>
      <c r="C1644" s="41" t="n"/>
      <c r="D1644" s="42">
        <f>IF($C1644="","",IFERROR(INDEX(DESPACHOS!$D$3:$D$3002,MATCH($C1644,DESPACHOS!$B$3:$B$3002,0)),"SIN DESPACHO"))</f>
        <v/>
      </c>
      <c r="E1644" s="42">
        <f>IF($C1644="","",IFERROR(INDEX(DESPACHOS!$K$3:$K$3002,MATCH($C1644,DESPACHOS!$B$3:$B$3002,0)),""))</f>
        <v/>
      </c>
      <c r="F1644" s="42">
        <f>IF($C1644="","",IFERROR(INDEX(DESPACHOS!$I$3:$I$3002,MATCH($C1644,DESPACHOS!$B$3:$B$3002,0)),""))</f>
        <v/>
      </c>
      <c r="G1644" s="42">
        <f>IF($C1644="","",IFERROR(INDEX(DESPACHOS!$F$3:$F$3002,MATCH($C1644,DESPACHOS!$B$3:$B$3002,0)),""))</f>
        <v/>
      </c>
      <c r="H1644" s="42">
        <f>IF($C1644="","",IFERROR(INDEX(DESPACHOS!$G$3:$G$3002,MATCH($C1644,DESPACHOS!$B$3:$B$3002,0)),""))</f>
        <v/>
      </c>
      <c r="I1644" s="39">
        <f>IF($C1644="","",IFERROR(INDEX(DESPACHOS!$H$3:$H$3002,MATCH($C1644,DESPACHOS!$B$3:$B$3002,0)),""))</f>
        <v/>
      </c>
      <c r="J1644" s="43">
        <f>IF($C1644="","",IFERROR(INDEX(DESPACHOS!$J$3:$J$3002,MATCH($C1644,DESPACHOS!$B$3:$B$3002,0)),""))</f>
        <v/>
      </c>
      <c r="K1644" s="39">
        <f>IF($C1644="","",IF(COUNTIFS(DESPACHOS!$B$3:$B$3002,$C1644)=0,"NO EXISTE",IF(COUNTIFS(DESPACHOS!$B$3:$B$3002,$C1644)&gt;1,"DUPLICADO","OK")))</f>
        <v/>
      </c>
      <c r="L1644" s="41" t="n"/>
      <c r="M1644" s="41" t="n"/>
      <c r="N1644" s="42">
        <f>IF($M1644="","",IFERROR(INDEX(LISTAS!$F$3:$F$42,MATCH($M1644,LISTAS!$E$3:$E$42,0)),"Por definir"))</f>
        <v/>
      </c>
      <c r="O1644" s="41" t="n"/>
      <c r="P1644" s="39">
        <f>IF($L1644="","",IFERROR(INDEX(LISTAS!$B$3:$B$42,MATCH($L1644,LISTAS!$A$3:$A$42,0)),"Media"))</f>
        <v/>
      </c>
      <c r="Q1644" s="44" t="n"/>
      <c r="R1644" s="45" t="n"/>
      <c r="S1644" s="20">
        <f>IFERROR(IF(OR($R1644="",$C1644=""),"",$R1644/INDEX(DESPACHOS!$M$3:$M$3002,MATCH($C1644,DESPACHOS!$B$3:$B$3002,0))),"")</f>
        <v/>
      </c>
      <c r="T1644" s="41" t="n"/>
      <c r="U1644" s="43">
        <f>IF(OR($B1644="",$L1644=""),"",WORKDAY($B1644,IFERROR(INDEX(LISTAS!$C$3:$C$42,MATCH($L1644,LISTAS!$A$3:$A$42,0)),3)))</f>
        <v/>
      </c>
      <c r="V1644" s="40" t="n"/>
      <c r="W1644" s="19">
        <f>IF($B1644="","",IF($V1644&lt;&gt;"",$V1644-$B1644,TODAY()-$B1644))</f>
        <v/>
      </c>
      <c r="X1644" s="19">
        <f>IF(OR($B1644="",$U1644=""),"",IF($V1644&lt;&gt;"",MAX(0,$V1644-$U1644),MAX(0,TODAY()-$U1644)))</f>
        <v/>
      </c>
      <c r="Y1644" s="39">
        <f>IF($C1644="","",IF(IFERROR(INDEX(LISTAS!$I$3:$I$42,MATCH($T1644,LISTAS!$H$3:$H$42,0)),"NO")="SÍ",IF(N($X1644)&gt;0,"CERRADA FUERA DE SLA","CERRADA EN SLA"),IF($U1644="","SIN CLASIFICAR",IF(N($X1644)&gt;0,"VENCIDA",IF(TODAY()&gt;=$U1644-1,"POR VENCER","EN PLAZO")))))</f>
        <v/>
      </c>
      <c r="Z1644" s="41" t="n"/>
      <c r="AA1644" s="41" t="n"/>
      <c r="AB1644" s="41" t="n"/>
    </row>
    <row r="1645">
      <c r="A1645" s="39">
        <f>IF($C1645="","","NOV-"&amp;TEXT(ROW()-3,"0000"))</f>
        <v/>
      </c>
      <c r="B1645" s="40" t="n"/>
      <c r="C1645" s="41" t="n"/>
      <c r="D1645" s="42">
        <f>IF($C1645="","",IFERROR(INDEX(DESPACHOS!$D$3:$D$3002,MATCH($C1645,DESPACHOS!$B$3:$B$3002,0)),"SIN DESPACHO"))</f>
        <v/>
      </c>
      <c r="E1645" s="42">
        <f>IF($C1645="","",IFERROR(INDEX(DESPACHOS!$K$3:$K$3002,MATCH($C1645,DESPACHOS!$B$3:$B$3002,0)),""))</f>
        <v/>
      </c>
      <c r="F1645" s="42">
        <f>IF($C1645="","",IFERROR(INDEX(DESPACHOS!$I$3:$I$3002,MATCH($C1645,DESPACHOS!$B$3:$B$3002,0)),""))</f>
        <v/>
      </c>
      <c r="G1645" s="42">
        <f>IF($C1645="","",IFERROR(INDEX(DESPACHOS!$F$3:$F$3002,MATCH($C1645,DESPACHOS!$B$3:$B$3002,0)),""))</f>
        <v/>
      </c>
      <c r="H1645" s="42">
        <f>IF($C1645="","",IFERROR(INDEX(DESPACHOS!$G$3:$G$3002,MATCH($C1645,DESPACHOS!$B$3:$B$3002,0)),""))</f>
        <v/>
      </c>
      <c r="I1645" s="39">
        <f>IF($C1645="","",IFERROR(INDEX(DESPACHOS!$H$3:$H$3002,MATCH($C1645,DESPACHOS!$B$3:$B$3002,0)),""))</f>
        <v/>
      </c>
      <c r="J1645" s="43">
        <f>IF($C1645="","",IFERROR(INDEX(DESPACHOS!$J$3:$J$3002,MATCH($C1645,DESPACHOS!$B$3:$B$3002,0)),""))</f>
        <v/>
      </c>
      <c r="K1645" s="39">
        <f>IF($C1645="","",IF(COUNTIFS(DESPACHOS!$B$3:$B$3002,$C1645)=0,"NO EXISTE",IF(COUNTIFS(DESPACHOS!$B$3:$B$3002,$C1645)&gt;1,"DUPLICADO","OK")))</f>
        <v/>
      </c>
      <c r="L1645" s="41" t="n"/>
      <c r="M1645" s="41" t="n"/>
      <c r="N1645" s="42">
        <f>IF($M1645="","",IFERROR(INDEX(LISTAS!$F$3:$F$42,MATCH($M1645,LISTAS!$E$3:$E$42,0)),"Por definir"))</f>
        <v/>
      </c>
      <c r="O1645" s="41" t="n"/>
      <c r="P1645" s="39">
        <f>IF($L1645="","",IFERROR(INDEX(LISTAS!$B$3:$B$42,MATCH($L1645,LISTAS!$A$3:$A$42,0)),"Media"))</f>
        <v/>
      </c>
      <c r="Q1645" s="44" t="n"/>
      <c r="R1645" s="45" t="n"/>
      <c r="S1645" s="20">
        <f>IFERROR(IF(OR($R1645="",$C1645=""),"",$R1645/INDEX(DESPACHOS!$M$3:$M$3002,MATCH($C1645,DESPACHOS!$B$3:$B$3002,0))),"")</f>
        <v/>
      </c>
      <c r="T1645" s="41" t="n"/>
      <c r="U1645" s="43">
        <f>IF(OR($B1645="",$L1645=""),"",WORKDAY($B1645,IFERROR(INDEX(LISTAS!$C$3:$C$42,MATCH($L1645,LISTAS!$A$3:$A$42,0)),3)))</f>
        <v/>
      </c>
      <c r="V1645" s="40" t="n"/>
      <c r="W1645" s="19">
        <f>IF($B1645="","",IF($V1645&lt;&gt;"",$V1645-$B1645,TODAY()-$B1645))</f>
        <v/>
      </c>
      <c r="X1645" s="19">
        <f>IF(OR($B1645="",$U1645=""),"",IF($V1645&lt;&gt;"",MAX(0,$V1645-$U1645),MAX(0,TODAY()-$U1645)))</f>
        <v/>
      </c>
      <c r="Y1645" s="39">
        <f>IF($C1645="","",IF(IFERROR(INDEX(LISTAS!$I$3:$I$42,MATCH($T1645,LISTAS!$H$3:$H$42,0)),"NO")="SÍ",IF(N($X1645)&gt;0,"CERRADA FUERA DE SLA","CERRADA EN SLA"),IF($U1645="","SIN CLASIFICAR",IF(N($X1645)&gt;0,"VENCIDA",IF(TODAY()&gt;=$U1645-1,"POR VENCER","EN PLAZO")))))</f>
        <v/>
      </c>
      <c r="Z1645" s="41" t="n"/>
      <c r="AA1645" s="41" t="n"/>
      <c r="AB1645" s="41" t="n"/>
    </row>
    <row r="1646">
      <c r="A1646" s="39">
        <f>IF($C1646="","","NOV-"&amp;TEXT(ROW()-3,"0000"))</f>
        <v/>
      </c>
      <c r="B1646" s="40" t="n"/>
      <c r="C1646" s="41" t="n"/>
      <c r="D1646" s="42">
        <f>IF($C1646="","",IFERROR(INDEX(DESPACHOS!$D$3:$D$3002,MATCH($C1646,DESPACHOS!$B$3:$B$3002,0)),"SIN DESPACHO"))</f>
        <v/>
      </c>
      <c r="E1646" s="42">
        <f>IF($C1646="","",IFERROR(INDEX(DESPACHOS!$K$3:$K$3002,MATCH($C1646,DESPACHOS!$B$3:$B$3002,0)),""))</f>
        <v/>
      </c>
      <c r="F1646" s="42">
        <f>IF($C1646="","",IFERROR(INDEX(DESPACHOS!$I$3:$I$3002,MATCH($C1646,DESPACHOS!$B$3:$B$3002,0)),""))</f>
        <v/>
      </c>
      <c r="G1646" s="42">
        <f>IF($C1646="","",IFERROR(INDEX(DESPACHOS!$F$3:$F$3002,MATCH($C1646,DESPACHOS!$B$3:$B$3002,0)),""))</f>
        <v/>
      </c>
      <c r="H1646" s="42">
        <f>IF($C1646="","",IFERROR(INDEX(DESPACHOS!$G$3:$G$3002,MATCH($C1646,DESPACHOS!$B$3:$B$3002,0)),""))</f>
        <v/>
      </c>
      <c r="I1646" s="39">
        <f>IF($C1646="","",IFERROR(INDEX(DESPACHOS!$H$3:$H$3002,MATCH($C1646,DESPACHOS!$B$3:$B$3002,0)),""))</f>
        <v/>
      </c>
      <c r="J1646" s="43">
        <f>IF($C1646="","",IFERROR(INDEX(DESPACHOS!$J$3:$J$3002,MATCH($C1646,DESPACHOS!$B$3:$B$3002,0)),""))</f>
        <v/>
      </c>
      <c r="K1646" s="39">
        <f>IF($C1646="","",IF(COUNTIFS(DESPACHOS!$B$3:$B$3002,$C1646)=0,"NO EXISTE",IF(COUNTIFS(DESPACHOS!$B$3:$B$3002,$C1646)&gt;1,"DUPLICADO","OK")))</f>
        <v/>
      </c>
      <c r="L1646" s="41" t="n"/>
      <c r="M1646" s="41" t="n"/>
      <c r="N1646" s="42">
        <f>IF($M1646="","",IFERROR(INDEX(LISTAS!$F$3:$F$42,MATCH($M1646,LISTAS!$E$3:$E$42,0)),"Por definir"))</f>
        <v/>
      </c>
      <c r="O1646" s="41" t="n"/>
      <c r="P1646" s="39">
        <f>IF($L1646="","",IFERROR(INDEX(LISTAS!$B$3:$B$42,MATCH($L1646,LISTAS!$A$3:$A$42,0)),"Media"))</f>
        <v/>
      </c>
      <c r="Q1646" s="44" t="n"/>
      <c r="R1646" s="45" t="n"/>
      <c r="S1646" s="20">
        <f>IFERROR(IF(OR($R1646="",$C1646=""),"",$R1646/INDEX(DESPACHOS!$M$3:$M$3002,MATCH($C1646,DESPACHOS!$B$3:$B$3002,0))),"")</f>
        <v/>
      </c>
      <c r="T1646" s="41" t="n"/>
      <c r="U1646" s="43">
        <f>IF(OR($B1646="",$L1646=""),"",WORKDAY($B1646,IFERROR(INDEX(LISTAS!$C$3:$C$42,MATCH($L1646,LISTAS!$A$3:$A$42,0)),3)))</f>
        <v/>
      </c>
      <c r="V1646" s="40" t="n"/>
      <c r="W1646" s="19">
        <f>IF($B1646="","",IF($V1646&lt;&gt;"",$V1646-$B1646,TODAY()-$B1646))</f>
        <v/>
      </c>
      <c r="X1646" s="19">
        <f>IF(OR($B1646="",$U1646=""),"",IF($V1646&lt;&gt;"",MAX(0,$V1646-$U1646),MAX(0,TODAY()-$U1646)))</f>
        <v/>
      </c>
      <c r="Y1646" s="39">
        <f>IF($C1646="","",IF(IFERROR(INDEX(LISTAS!$I$3:$I$42,MATCH($T1646,LISTAS!$H$3:$H$42,0)),"NO")="SÍ",IF(N($X1646)&gt;0,"CERRADA FUERA DE SLA","CERRADA EN SLA"),IF($U1646="","SIN CLASIFICAR",IF(N($X1646)&gt;0,"VENCIDA",IF(TODAY()&gt;=$U1646-1,"POR VENCER","EN PLAZO")))))</f>
        <v/>
      </c>
      <c r="Z1646" s="41" t="n"/>
      <c r="AA1646" s="41" t="n"/>
      <c r="AB1646" s="41" t="n"/>
    </row>
    <row r="1647">
      <c r="A1647" s="39">
        <f>IF($C1647="","","NOV-"&amp;TEXT(ROW()-3,"0000"))</f>
        <v/>
      </c>
      <c r="B1647" s="40" t="n"/>
      <c r="C1647" s="41" t="n"/>
      <c r="D1647" s="42">
        <f>IF($C1647="","",IFERROR(INDEX(DESPACHOS!$D$3:$D$3002,MATCH($C1647,DESPACHOS!$B$3:$B$3002,0)),"SIN DESPACHO"))</f>
        <v/>
      </c>
      <c r="E1647" s="42">
        <f>IF($C1647="","",IFERROR(INDEX(DESPACHOS!$K$3:$K$3002,MATCH($C1647,DESPACHOS!$B$3:$B$3002,0)),""))</f>
        <v/>
      </c>
      <c r="F1647" s="42">
        <f>IF($C1647="","",IFERROR(INDEX(DESPACHOS!$I$3:$I$3002,MATCH($C1647,DESPACHOS!$B$3:$B$3002,0)),""))</f>
        <v/>
      </c>
      <c r="G1647" s="42">
        <f>IF($C1647="","",IFERROR(INDEX(DESPACHOS!$F$3:$F$3002,MATCH($C1647,DESPACHOS!$B$3:$B$3002,0)),""))</f>
        <v/>
      </c>
      <c r="H1647" s="42">
        <f>IF($C1647="","",IFERROR(INDEX(DESPACHOS!$G$3:$G$3002,MATCH($C1647,DESPACHOS!$B$3:$B$3002,0)),""))</f>
        <v/>
      </c>
      <c r="I1647" s="39">
        <f>IF($C1647="","",IFERROR(INDEX(DESPACHOS!$H$3:$H$3002,MATCH($C1647,DESPACHOS!$B$3:$B$3002,0)),""))</f>
        <v/>
      </c>
      <c r="J1647" s="43">
        <f>IF($C1647="","",IFERROR(INDEX(DESPACHOS!$J$3:$J$3002,MATCH($C1647,DESPACHOS!$B$3:$B$3002,0)),""))</f>
        <v/>
      </c>
      <c r="K1647" s="39">
        <f>IF($C1647="","",IF(COUNTIFS(DESPACHOS!$B$3:$B$3002,$C1647)=0,"NO EXISTE",IF(COUNTIFS(DESPACHOS!$B$3:$B$3002,$C1647)&gt;1,"DUPLICADO","OK")))</f>
        <v/>
      </c>
      <c r="L1647" s="41" t="n"/>
      <c r="M1647" s="41" t="n"/>
      <c r="N1647" s="42">
        <f>IF($M1647="","",IFERROR(INDEX(LISTAS!$F$3:$F$42,MATCH($M1647,LISTAS!$E$3:$E$42,0)),"Por definir"))</f>
        <v/>
      </c>
      <c r="O1647" s="41" t="n"/>
      <c r="P1647" s="39">
        <f>IF($L1647="","",IFERROR(INDEX(LISTAS!$B$3:$B$42,MATCH($L1647,LISTAS!$A$3:$A$42,0)),"Media"))</f>
        <v/>
      </c>
      <c r="Q1647" s="44" t="n"/>
      <c r="R1647" s="45" t="n"/>
      <c r="S1647" s="20">
        <f>IFERROR(IF(OR($R1647="",$C1647=""),"",$R1647/INDEX(DESPACHOS!$M$3:$M$3002,MATCH($C1647,DESPACHOS!$B$3:$B$3002,0))),"")</f>
        <v/>
      </c>
      <c r="T1647" s="41" t="n"/>
      <c r="U1647" s="43">
        <f>IF(OR($B1647="",$L1647=""),"",WORKDAY($B1647,IFERROR(INDEX(LISTAS!$C$3:$C$42,MATCH($L1647,LISTAS!$A$3:$A$42,0)),3)))</f>
        <v/>
      </c>
      <c r="V1647" s="40" t="n"/>
      <c r="W1647" s="19">
        <f>IF($B1647="","",IF($V1647&lt;&gt;"",$V1647-$B1647,TODAY()-$B1647))</f>
        <v/>
      </c>
      <c r="X1647" s="19">
        <f>IF(OR($B1647="",$U1647=""),"",IF($V1647&lt;&gt;"",MAX(0,$V1647-$U1647),MAX(0,TODAY()-$U1647)))</f>
        <v/>
      </c>
      <c r="Y1647" s="39">
        <f>IF($C1647="","",IF(IFERROR(INDEX(LISTAS!$I$3:$I$42,MATCH($T1647,LISTAS!$H$3:$H$42,0)),"NO")="SÍ",IF(N($X1647)&gt;0,"CERRADA FUERA DE SLA","CERRADA EN SLA"),IF($U1647="","SIN CLASIFICAR",IF(N($X1647)&gt;0,"VENCIDA",IF(TODAY()&gt;=$U1647-1,"POR VENCER","EN PLAZO")))))</f>
        <v/>
      </c>
      <c r="Z1647" s="41" t="n"/>
      <c r="AA1647" s="41" t="n"/>
      <c r="AB1647" s="41" t="n"/>
    </row>
    <row r="1648">
      <c r="A1648" s="39">
        <f>IF($C1648="","","NOV-"&amp;TEXT(ROW()-3,"0000"))</f>
        <v/>
      </c>
      <c r="B1648" s="40" t="n"/>
      <c r="C1648" s="41" t="n"/>
      <c r="D1648" s="42">
        <f>IF($C1648="","",IFERROR(INDEX(DESPACHOS!$D$3:$D$3002,MATCH($C1648,DESPACHOS!$B$3:$B$3002,0)),"SIN DESPACHO"))</f>
        <v/>
      </c>
      <c r="E1648" s="42">
        <f>IF($C1648="","",IFERROR(INDEX(DESPACHOS!$K$3:$K$3002,MATCH($C1648,DESPACHOS!$B$3:$B$3002,0)),""))</f>
        <v/>
      </c>
      <c r="F1648" s="42">
        <f>IF($C1648="","",IFERROR(INDEX(DESPACHOS!$I$3:$I$3002,MATCH($C1648,DESPACHOS!$B$3:$B$3002,0)),""))</f>
        <v/>
      </c>
      <c r="G1648" s="42">
        <f>IF($C1648="","",IFERROR(INDEX(DESPACHOS!$F$3:$F$3002,MATCH($C1648,DESPACHOS!$B$3:$B$3002,0)),""))</f>
        <v/>
      </c>
      <c r="H1648" s="42">
        <f>IF($C1648="","",IFERROR(INDEX(DESPACHOS!$G$3:$G$3002,MATCH($C1648,DESPACHOS!$B$3:$B$3002,0)),""))</f>
        <v/>
      </c>
      <c r="I1648" s="39">
        <f>IF($C1648="","",IFERROR(INDEX(DESPACHOS!$H$3:$H$3002,MATCH($C1648,DESPACHOS!$B$3:$B$3002,0)),""))</f>
        <v/>
      </c>
      <c r="J1648" s="43">
        <f>IF($C1648="","",IFERROR(INDEX(DESPACHOS!$J$3:$J$3002,MATCH($C1648,DESPACHOS!$B$3:$B$3002,0)),""))</f>
        <v/>
      </c>
      <c r="K1648" s="39">
        <f>IF($C1648="","",IF(COUNTIFS(DESPACHOS!$B$3:$B$3002,$C1648)=0,"NO EXISTE",IF(COUNTIFS(DESPACHOS!$B$3:$B$3002,$C1648)&gt;1,"DUPLICADO","OK")))</f>
        <v/>
      </c>
      <c r="L1648" s="41" t="n"/>
      <c r="M1648" s="41" t="n"/>
      <c r="N1648" s="42">
        <f>IF($M1648="","",IFERROR(INDEX(LISTAS!$F$3:$F$42,MATCH($M1648,LISTAS!$E$3:$E$42,0)),"Por definir"))</f>
        <v/>
      </c>
      <c r="O1648" s="41" t="n"/>
      <c r="P1648" s="39">
        <f>IF($L1648="","",IFERROR(INDEX(LISTAS!$B$3:$B$42,MATCH($L1648,LISTAS!$A$3:$A$42,0)),"Media"))</f>
        <v/>
      </c>
      <c r="Q1648" s="44" t="n"/>
      <c r="R1648" s="45" t="n"/>
      <c r="S1648" s="20">
        <f>IFERROR(IF(OR($R1648="",$C1648=""),"",$R1648/INDEX(DESPACHOS!$M$3:$M$3002,MATCH($C1648,DESPACHOS!$B$3:$B$3002,0))),"")</f>
        <v/>
      </c>
      <c r="T1648" s="41" t="n"/>
      <c r="U1648" s="43">
        <f>IF(OR($B1648="",$L1648=""),"",WORKDAY($B1648,IFERROR(INDEX(LISTAS!$C$3:$C$42,MATCH($L1648,LISTAS!$A$3:$A$42,0)),3)))</f>
        <v/>
      </c>
      <c r="V1648" s="40" t="n"/>
      <c r="W1648" s="19">
        <f>IF($B1648="","",IF($V1648&lt;&gt;"",$V1648-$B1648,TODAY()-$B1648))</f>
        <v/>
      </c>
      <c r="X1648" s="19">
        <f>IF(OR($B1648="",$U1648=""),"",IF($V1648&lt;&gt;"",MAX(0,$V1648-$U1648),MAX(0,TODAY()-$U1648)))</f>
        <v/>
      </c>
      <c r="Y1648" s="39">
        <f>IF($C1648="","",IF(IFERROR(INDEX(LISTAS!$I$3:$I$42,MATCH($T1648,LISTAS!$H$3:$H$42,0)),"NO")="SÍ",IF(N($X1648)&gt;0,"CERRADA FUERA DE SLA","CERRADA EN SLA"),IF($U1648="","SIN CLASIFICAR",IF(N($X1648)&gt;0,"VENCIDA",IF(TODAY()&gt;=$U1648-1,"POR VENCER","EN PLAZO")))))</f>
        <v/>
      </c>
      <c r="Z1648" s="41" t="n"/>
      <c r="AA1648" s="41" t="n"/>
      <c r="AB1648" s="41" t="n"/>
    </row>
    <row r="1649">
      <c r="A1649" s="39">
        <f>IF($C1649="","","NOV-"&amp;TEXT(ROW()-3,"0000"))</f>
        <v/>
      </c>
      <c r="B1649" s="40" t="n"/>
      <c r="C1649" s="41" t="n"/>
      <c r="D1649" s="42">
        <f>IF($C1649="","",IFERROR(INDEX(DESPACHOS!$D$3:$D$3002,MATCH($C1649,DESPACHOS!$B$3:$B$3002,0)),"SIN DESPACHO"))</f>
        <v/>
      </c>
      <c r="E1649" s="42">
        <f>IF($C1649="","",IFERROR(INDEX(DESPACHOS!$K$3:$K$3002,MATCH($C1649,DESPACHOS!$B$3:$B$3002,0)),""))</f>
        <v/>
      </c>
      <c r="F1649" s="42">
        <f>IF($C1649="","",IFERROR(INDEX(DESPACHOS!$I$3:$I$3002,MATCH($C1649,DESPACHOS!$B$3:$B$3002,0)),""))</f>
        <v/>
      </c>
      <c r="G1649" s="42">
        <f>IF($C1649="","",IFERROR(INDEX(DESPACHOS!$F$3:$F$3002,MATCH($C1649,DESPACHOS!$B$3:$B$3002,0)),""))</f>
        <v/>
      </c>
      <c r="H1649" s="42">
        <f>IF($C1649="","",IFERROR(INDEX(DESPACHOS!$G$3:$G$3002,MATCH($C1649,DESPACHOS!$B$3:$B$3002,0)),""))</f>
        <v/>
      </c>
      <c r="I1649" s="39">
        <f>IF($C1649="","",IFERROR(INDEX(DESPACHOS!$H$3:$H$3002,MATCH($C1649,DESPACHOS!$B$3:$B$3002,0)),""))</f>
        <v/>
      </c>
      <c r="J1649" s="43">
        <f>IF($C1649="","",IFERROR(INDEX(DESPACHOS!$J$3:$J$3002,MATCH($C1649,DESPACHOS!$B$3:$B$3002,0)),""))</f>
        <v/>
      </c>
      <c r="K1649" s="39">
        <f>IF($C1649="","",IF(COUNTIFS(DESPACHOS!$B$3:$B$3002,$C1649)=0,"NO EXISTE",IF(COUNTIFS(DESPACHOS!$B$3:$B$3002,$C1649)&gt;1,"DUPLICADO","OK")))</f>
        <v/>
      </c>
      <c r="L1649" s="41" t="n"/>
      <c r="M1649" s="41" t="n"/>
      <c r="N1649" s="42">
        <f>IF($M1649="","",IFERROR(INDEX(LISTAS!$F$3:$F$42,MATCH($M1649,LISTAS!$E$3:$E$42,0)),"Por definir"))</f>
        <v/>
      </c>
      <c r="O1649" s="41" t="n"/>
      <c r="P1649" s="39">
        <f>IF($L1649="","",IFERROR(INDEX(LISTAS!$B$3:$B$42,MATCH($L1649,LISTAS!$A$3:$A$42,0)),"Media"))</f>
        <v/>
      </c>
      <c r="Q1649" s="44" t="n"/>
      <c r="R1649" s="45" t="n"/>
      <c r="S1649" s="20">
        <f>IFERROR(IF(OR($R1649="",$C1649=""),"",$R1649/INDEX(DESPACHOS!$M$3:$M$3002,MATCH($C1649,DESPACHOS!$B$3:$B$3002,0))),"")</f>
        <v/>
      </c>
      <c r="T1649" s="41" t="n"/>
      <c r="U1649" s="43">
        <f>IF(OR($B1649="",$L1649=""),"",WORKDAY($B1649,IFERROR(INDEX(LISTAS!$C$3:$C$42,MATCH($L1649,LISTAS!$A$3:$A$42,0)),3)))</f>
        <v/>
      </c>
      <c r="V1649" s="40" t="n"/>
      <c r="W1649" s="19">
        <f>IF($B1649="","",IF($V1649&lt;&gt;"",$V1649-$B1649,TODAY()-$B1649))</f>
        <v/>
      </c>
      <c r="X1649" s="19">
        <f>IF(OR($B1649="",$U1649=""),"",IF($V1649&lt;&gt;"",MAX(0,$V1649-$U1649),MAX(0,TODAY()-$U1649)))</f>
        <v/>
      </c>
      <c r="Y1649" s="39">
        <f>IF($C1649="","",IF(IFERROR(INDEX(LISTAS!$I$3:$I$42,MATCH($T1649,LISTAS!$H$3:$H$42,0)),"NO")="SÍ",IF(N($X1649)&gt;0,"CERRADA FUERA DE SLA","CERRADA EN SLA"),IF($U1649="","SIN CLASIFICAR",IF(N($X1649)&gt;0,"VENCIDA",IF(TODAY()&gt;=$U1649-1,"POR VENCER","EN PLAZO")))))</f>
        <v/>
      </c>
      <c r="Z1649" s="41" t="n"/>
      <c r="AA1649" s="41" t="n"/>
      <c r="AB1649" s="41" t="n"/>
    </row>
    <row r="1650">
      <c r="A1650" s="39">
        <f>IF($C1650="","","NOV-"&amp;TEXT(ROW()-3,"0000"))</f>
        <v/>
      </c>
      <c r="B1650" s="40" t="n"/>
      <c r="C1650" s="41" t="n"/>
      <c r="D1650" s="42">
        <f>IF($C1650="","",IFERROR(INDEX(DESPACHOS!$D$3:$D$3002,MATCH($C1650,DESPACHOS!$B$3:$B$3002,0)),"SIN DESPACHO"))</f>
        <v/>
      </c>
      <c r="E1650" s="42">
        <f>IF($C1650="","",IFERROR(INDEX(DESPACHOS!$K$3:$K$3002,MATCH($C1650,DESPACHOS!$B$3:$B$3002,0)),""))</f>
        <v/>
      </c>
      <c r="F1650" s="42">
        <f>IF($C1650="","",IFERROR(INDEX(DESPACHOS!$I$3:$I$3002,MATCH($C1650,DESPACHOS!$B$3:$B$3002,0)),""))</f>
        <v/>
      </c>
      <c r="G1650" s="42">
        <f>IF($C1650="","",IFERROR(INDEX(DESPACHOS!$F$3:$F$3002,MATCH($C1650,DESPACHOS!$B$3:$B$3002,0)),""))</f>
        <v/>
      </c>
      <c r="H1650" s="42">
        <f>IF($C1650="","",IFERROR(INDEX(DESPACHOS!$G$3:$G$3002,MATCH($C1650,DESPACHOS!$B$3:$B$3002,0)),""))</f>
        <v/>
      </c>
      <c r="I1650" s="39">
        <f>IF($C1650="","",IFERROR(INDEX(DESPACHOS!$H$3:$H$3002,MATCH($C1650,DESPACHOS!$B$3:$B$3002,0)),""))</f>
        <v/>
      </c>
      <c r="J1650" s="43">
        <f>IF($C1650="","",IFERROR(INDEX(DESPACHOS!$J$3:$J$3002,MATCH($C1650,DESPACHOS!$B$3:$B$3002,0)),""))</f>
        <v/>
      </c>
      <c r="K1650" s="39">
        <f>IF($C1650="","",IF(COUNTIFS(DESPACHOS!$B$3:$B$3002,$C1650)=0,"NO EXISTE",IF(COUNTIFS(DESPACHOS!$B$3:$B$3002,$C1650)&gt;1,"DUPLICADO","OK")))</f>
        <v/>
      </c>
      <c r="L1650" s="41" t="n"/>
      <c r="M1650" s="41" t="n"/>
      <c r="N1650" s="42">
        <f>IF($M1650="","",IFERROR(INDEX(LISTAS!$F$3:$F$42,MATCH($M1650,LISTAS!$E$3:$E$42,0)),"Por definir"))</f>
        <v/>
      </c>
      <c r="O1650" s="41" t="n"/>
      <c r="P1650" s="39">
        <f>IF($L1650="","",IFERROR(INDEX(LISTAS!$B$3:$B$42,MATCH($L1650,LISTAS!$A$3:$A$42,0)),"Media"))</f>
        <v/>
      </c>
      <c r="Q1650" s="44" t="n"/>
      <c r="R1650" s="45" t="n"/>
      <c r="S1650" s="20">
        <f>IFERROR(IF(OR($R1650="",$C1650=""),"",$R1650/INDEX(DESPACHOS!$M$3:$M$3002,MATCH($C1650,DESPACHOS!$B$3:$B$3002,0))),"")</f>
        <v/>
      </c>
      <c r="T1650" s="41" t="n"/>
      <c r="U1650" s="43">
        <f>IF(OR($B1650="",$L1650=""),"",WORKDAY($B1650,IFERROR(INDEX(LISTAS!$C$3:$C$42,MATCH($L1650,LISTAS!$A$3:$A$42,0)),3)))</f>
        <v/>
      </c>
      <c r="V1650" s="40" t="n"/>
      <c r="W1650" s="19">
        <f>IF($B1650="","",IF($V1650&lt;&gt;"",$V1650-$B1650,TODAY()-$B1650))</f>
        <v/>
      </c>
      <c r="X1650" s="19">
        <f>IF(OR($B1650="",$U1650=""),"",IF($V1650&lt;&gt;"",MAX(0,$V1650-$U1650),MAX(0,TODAY()-$U1650)))</f>
        <v/>
      </c>
      <c r="Y1650" s="39">
        <f>IF($C1650="","",IF(IFERROR(INDEX(LISTAS!$I$3:$I$42,MATCH($T1650,LISTAS!$H$3:$H$42,0)),"NO")="SÍ",IF(N($X1650)&gt;0,"CERRADA FUERA DE SLA","CERRADA EN SLA"),IF($U1650="","SIN CLASIFICAR",IF(N($X1650)&gt;0,"VENCIDA",IF(TODAY()&gt;=$U1650-1,"POR VENCER","EN PLAZO")))))</f>
        <v/>
      </c>
      <c r="Z1650" s="41" t="n"/>
      <c r="AA1650" s="41" t="n"/>
      <c r="AB1650" s="41" t="n"/>
    </row>
    <row r="1651">
      <c r="A1651" s="39">
        <f>IF($C1651="","","NOV-"&amp;TEXT(ROW()-3,"0000"))</f>
        <v/>
      </c>
      <c r="B1651" s="40" t="n"/>
      <c r="C1651" s="41" t="n"/>
      <c r="D1651" s="42">
        <f>IF($C1651="","",IFERROR(INDEX(DESPACHOS!$D$3:$D$3002,MATCH($C1651,DESPACHOS!$B$3:$B$3002,0)),"SIN DESPACHO"))</f>
        <v/>
      </c>
      <c r="E1651" s="42">
        <f>IF($C1651="","",IFERROR(INDEX(DESPACHOS!$K$3:$K$3002,MATCH($C1651,DESPACHOS!$B$3:$B$3002,0)),""))</f>
        <v/>
      </c>
      <c r="F1651" s="42">
        <f>IF($C1651="","",IFERROR(INDEX(DESPACHOS!$I$3:$I$3002,MATCH($C1651,DESPACHOS!$B$3:$B$3002,0)),""))</f>
        <v/>
      </c>
      <c r="G1651" s="42">
        <f>IF($C1651="","",IFERROR(INDEX(DESPACHOS!$F$3:$F$3002,MATCH($C1651,DESPACHOS!$B$3:$B$3002,0)),""))</f>
        <v/>
      </c>
      <c r="H1651" s="42">
        <f>IF($C1651="","",IFERROR(INDEX(DESPACHOS!$G$3:$G$3002,MATCH($C1651,DESPACHOS!$B$3:$B$3002,0)),""))</f>
        <v/>
      </c>
      <c r="I1651" s="39">
        <f>IF($C1651="","",IFERROR(INDEX(DESPACHOS!$H$3:$H$3002,MATCH($C1651,DESPACHOS!$B$3:$B$3002,0)),""))</f>
        <v/>
      </c>
      <c r="J1651" s="43">
        <f>IF($C1651="","",IFERROR(INDEX(DESPACHOS!$J$3:$J$3002,MATCH($C1651,DESPACHOS!$B$3:$B$3002,0)),""))</f>
        <v/>
      </c>
      <c r="K1651" s="39">
        <f>IF($C1651="","",IF(COUNTIFS(DESPACHOS!$B$3:$B$3002,$C1651)=0,"NO EXISTE",IF(COUNTIFS(DESPACHOS!$B$3:$B$3002,$C1651)&gt;1,"DUPLICADO","OK")))</f>
        <v/>
      </c>
      <c r="L1651" s="41" t="n"/>
      <c r="M1651" s="41" t="n"/>
      <c r="N1651" s="42">
        <f>IF($M1651="","",IFERROR(INDEX(LISTAS!$F$3:$F$42,MATCH($M1651,LISTAS!$E$3:$E$42,0)),"Por definir"))</f>
        <v/>
      </c>
      <c r="O1651" s="41" t="n"/>
      <c r="P1651" s="39">
        <f>IF($L1651="","",IFERROR(INDEX(LISTAS!$B$3:$B$42,MATCH($L1651,LISTAS!$A$3:$A$42,0)),"Media"))</f>
        <v/>
      </c>
      <c r="Q1651" s="44" t="n"/>
      <c r="R1651" s="45" t="n"/>
      <c r="S1651" s="20">
        <f>IFERROR(IF(OR($R1651="",$C1651=""),"",$R1651/INDEX(DESPACHOS!$M$3:$M$3002,MATCH($C1651,DESPACHOS!$B$3:$B$3002,0))),"")</f>
        <v/>
      </c>
      <c r="T1651" s="41" t="n"/>
      <c r="U1651" s="43">
        <f>IF(OR($B1651="",$L1651=""),"",WORKDAY($B1651,IFERROR(INDEX(LISTAS!$C$3:$C$42,MATCH($L1651,LISTAS!$A$3:$A$42,0)),3)))</f>
        <v/>
      </c>
      <c r="V1651" s="40" t="n"/>
      <c r="W1651" s="19">
        <f>IF($B1651="","",IF($V1651&lt;&gt;"",$V1651-$B1651,TODAY()-$B1651))</f>
        <v/>
      </c>
      <c r="X1651" s="19">
        <f>IF(OR($B1651="",$U1651=""),"",IF($V1651&lt;&gt;"",MAX(0,$V1651-$U1651),MAX(0,TODAY()-$U1651)))</f>
        <v/>
      </c>
      <c r="Y1651" s="39">
        <f>IF($C1651="","",IF(IFERROR(INDEX(LISTAS!$I$3:$I$42,MATCH($T1651,LISTAS!$H$3:$H$42,0)),"NO")="SÍ",IF(N($X1651)&gt;0,"CERRADA FUERA DE SLA","CERRADA EN SLA"),IF($U1651="","SIN CLASIFICAR",IF(N($X1651)&gt;0,"VENCIDA",IF(TODAY()&gt;=$U1651-1,"POR VENCER","EN PLAZO")))))</f>
        <v/>
      </c>
      <c r="Z1651" s="41" t="n"/>
      <c r="AA1651" s="41" t="n"/>
      <c r="AB1651" s="41" t="n"/>
    </row>
    <row r="1652">
      <c r="A1652" s="39">
        <f>IF($C1652="","","NOV-"&amp;TEXT(ROW()-3,"0000"))</f>
        <v/>
      </c>
      <c r="B1652" s="40" t="n"/>
      <c r="C1652" s="41" t="n"/>
      <c r="D1652" s="42">
        <f>IF($C1652="","",IFERROR(INDEX(DESPACHOS!$D$3:$D$3002,MATCH($C1652,DESPACHOS!$B$3:$B$3002,0)),"SIN DESPACHO"))</f>
        <v/>
      </c>
      <c r="E1652" s="42">
        <f>IF($C1652="","",IFERROR(INDEX(DESPACHOS!$K$3:$K$3002,MATCH($C1652,DESPACHOS!$B$3:$B$3002,0)),""))</f>
        <v/>
      </c>
      <c r="F1652" s="42">
        <f>IF($C1652="","",IFERROR(INDEX(DESPACHOS!$I$3:$I$3002,MATCH($C1652,DESPACHOS!$B$3:$B$3002,0)),""))</f>
        <v/>
      </c>
      <c r="G1652" s="42">
        <f>IF($C1652="","",IFERROR(INDEX(DESPACHOS!$F$3:$F$3002,MATCH($C1652,DESPACHOS!$B$3:$B$3002,0)),""))</f>
        <v/>
      </c>
      <c r="H1652" s="42">
        <f>IF($C1652="","",IFERROR(INDEX(DESPACHOS!$G$3:$G$3002,MATCH($C1652,DESPACHOS!$B$3:$B$3002,0)),""))</f>
        <v/>
      </c>
      <c r="I1652" s="39">
        <f>IF($C1652="","",IFERROR(INDEX(DESPACHOS!$H$3:$H$3002,MATCH($C1652,DESPACHOS!$B$3:$B$3002,0)),""))</f>
        <v/>
      </c>
      <c r="J1652" s="43">
        <f>IF($C1652="","",IFERROR(INDEX(DESPACHOS!$J$3:$J$3002,MATCH($C1652,DESPACHOS!$B$3:$B$3002,0)),""))</f>
        <v/>
      </c>
      <c r="K1652" s="39">
        <f>IF($C1652="","",IF(COUNTIFS(DESPACHOS!$B$3:$B$3002,$C1652)=0,"NO EXISTE",IF(COUNTIFS(DESPACHOS!$B$3:$B$3002,$C1652)&gt;1,"DUPLICADO","OK")))</f>
        <v/>
      </c>
      <c r="L1652" s="41" t="n"/>
      <c r="M1652" s="41" t="n"/>
      <c r="N1652" s="42">
        <f>IF($M1652="","",IFERROR(INDEX(LISTAS!$F$3:$F$42,MATCH($M1652,LISTAS!$E$3:$E$42,0)),"Por definir"))</f>
        <v/>
      </c>
      <c r="O1652" s="41" t="n"/>
      <c r="P1652" s="39">
        <f>IF($L1652="","",IFERROR(INDEX(LISTAS!$B$3:$B$42,MATCH($L1652,LISTAS!$A$3:$A$42,0)),"Media"))</f>
        <v/>
      </c>
      <c r="Q1652" s="44" t="n"/>
      <c r="R1652" s="45" t="n"/>
      <c r="S1652" s="20">
        <f>IFERROR(IF(OR($R1652="",$C1652=""),"",$R1652/INDEX(DESPACHOS!$M$3:$M$3002,MATCH($C1652,DESPACHOS!$B$3:$B$3002,0))),"")</f>
        <v/>
      </c>
      <c r="T1652" s="41" t="n"/>
      <c r="U1652" s="43">
        <f>IF(OR($B1652="",$L1652=""),"",WORKDAY($B1652,IFERROR(INDEX(LISTAS!$C$3:$C$42,MATCH($L1652,LISTAS!$A$3:$A$42,0)),3)))</f>
        <v/>
      </c>
      <c r="V1652" s="40" t="n"/>
      <c r="W1652" s="19">
        <f>IF($B1652="","",IF($V1652&lt;&gt;"",$V1652-$B1652,TODAY()-$B1652))</f>
        <v/>
      </c>
      <c r="X1652" s="19">
        <f>IF(OR($B1652="",$U1652=""),"",IF($V1652&lt;&gt;"",MAX(0,$V1652-$U1652),MAX(0,TODAY()-$U1652)))</f>
        <v/>
      </c>
      <c r="Y1652" s="39">
        <f>IF($C1652="","",IF(IFERROR(INDEX(LISTAS!$I$3:$I$42,MATCH($T1652,LISTAS!$H$3:$H$42,0)),"NO")="SÍ",IF(N($X1652)&gt;0,"CERRADA FUERA DE SLA","CERRADA EN SLA"),IF($U1652="","SIN CLASIFICAR",IF(N($X1652)&gt;0,"VENCIDA",IF(TODAY()&gt;=$U1652-1,"POR VENCER","EN PLAZO")))))</f>
        <v/>
      </c>
      <c r="Z1652" s="41" t="n"/>
      <c r="AA1652" s="41" t="n"/>
      <c r="AB1652" s="41" t="n"/>
    </row>
    <row r="1653">
      <c r="A1653" s="39">
        <f>IF($C1653="","","NOV-"&amp;TEXT(ROW()-3,"0000"))</f>
        <v/>
      </c>
      <c r="B1653" s="40" t="n"/>
      <c r="C1653" s="41" t="n"/>
      <c r="D1653" s="42">
        <f>IF($C1653="","",IFERROR(INDEX(DESPACHOS!$D$3:$D$3002,MATCH($C1653,DESPACHOS!$B$3:$B$3002,0)),"SIN DESPACHO"))</f>
        <v/>
      </c>
      <c r="E1653" s="42">
        <f>IF($C1653="","",IFERROR(INDEX(DESPACHOS!$K$3:$K$3002,MATCH($C1653,DESPACHOS!$B$3:$B$3002,0)),""))</f>
        <v/>
      </c>
      <c r="F1653" s="42">
        <f>IF($C1653="","",IFERROR(INDEX(DESPACHOS!$I$3:$I$3002,MATCH($C1653,DESPACHOS!$B$3:$B$3002,0)),""))</f>
        <v/>
      </c>
      <c r="G1653" s="42">
        <f>IF($C1653="","",IFERROR(INDEX(DESPACHOS!$F$3:$F$3002,MATCH($C1653,DESPACHOS!$B$3:$B$3002,0)),""))</f>
        <v/>
      </c>
      <c r="H1653" s="42">
        <f>IF($C1653="","",IFERROR(INDEX(DESPACHOS!$G$3:$G$3002,MATCH($C1653,DESPACHOS!$B$3:$B$3002,0)),""))</f>
        <v/>
      </c>
      <c r="I1653" s="39">
        <f>IF($C1653="","",IFERROR(INDEX(DESPACHOS!$H$3:$H$3002,MATCH($C1653,DESPACHOS!$B$3:$B$3002,0)),""))</f>
        <v/>
      </c>
      <c r="J1653" s="43">
        <f>IF($C1653="","",IFERROR(INDEX(DESPACHOS!$J$3:$J$3002,MATCH($C1653,DESPACHOS!$B$3:$B$3002,0)),""))</f>
        <v/>
      </c>
      <c r="K1653" s="39">
        <f>IF($C1653="","",IF(COUNTIFS(DESPACHOS!$B$3:$B$3002,$C1653)=0,"NO EXISTE",IF(COUNTIFS(DESPACHOS!$B$3:$B$3002,$C1653)&gt;1,"DUPLICADO","OK")))</f>
        <v/>
      </c>
      <c r="L1653" s="41" t="n"/>
      <c r="M1653" s="41" t="n"/>
      <c r="N1653" s="42">
        <f>IF($M1653="","",IFERROR(INDEX(LISTAS!$F$3:$F$42,MATCH($M1653,LISTAS!$E$3:$E$42,0)),"Por definir"))</f>
        <v/>
      </c>
      <c r="O1653" s="41" t="n"/>
      <c r="P1653" s="39">
        <f>IF($L1653="","",IFERROR(INDEX(LISTAS!$B$3:$B$42,MATCH($L1653,LISTAS!$A$3:$A$42,0)),"Media"))</f>
        <v/>
      </c>
      <c r="Q1653" s="44" t="n"/>
      <c r="R1653" s="45" t="n"/>
      <c r="S1653" s="20">
        <f>IFERROR(IF(OR($R1653="",$C1653=""),"",$R1653/INDEX(DESPACHOS!$M$3:$M$3002,MATCH($C1653,DESPACHOS!$B$3:$B$3002,0))),"")</f>
        <v/>
      </c>
      <c r="T1653" s="41" t="n"/>
      <c r="U1653" s="43">
        <f>IF(OR($B1653="",$L1653=""),"",WORKDAY($B1653,IFERROR(INDEX(LISTAS!$C$3:$C$42,MATCH($L1653,LISTAS!$A$3:$A$42,0)),3)))</f>
        <v/>
      </c>
      <c r="V1653" s="40" t="n"/>
      <c r="W1653" s="19">
        <f>IF($B1653="","",IF($V1653&lt;&gt;"",$V1653-$B1653,TODAY()-$B1653))</f>
        <v/>
      </c>
      <c r="X1653" s="19">
        <f>IF(OR($B1653="",$U1653=""),"",IF($V1653&lt;&gt;"",MAX(0,$V1653-$U1653),MAX(0,TODAY()-$U1653)))</f>
        <v/>
      </c>
      <c r="Y1653" s="39">
        <f>IF($C1653="","",IF(IFERROR(INDEX(LISTAS!$I$3:$I$42,MATCH($T1653,LISTAS!$H$3:$H$42,0)),"NO")="SÍ",IF(N($X1653)&gt;0,"CERRADA FUERA DE SLA","CERRADA EN SLA"),IF($U1653="","SIN CLASIFICAR",IF(N($X1653)&gt;0,"VENCIDA",IF(TODAY()&gt;=$U1653-1,"POR VENCER","EN PLAZO")))))</f>
        <v/>
      </c>
      <c r="Z1653" s="41" t="n"/>
      <c r="AA1653" s="41" t="n"/>
      <c r="AB1653" s="41" t="n"/>
    </row>
    <row r="1654">
      <c r="A1654" s="39">
        <f>IF($C1654="","","NOV-"&amp;TEXT(ROW()-3,"0000"))</f>
        <v/>
      </c>
      <c r="B1654" s="40" t="n"/>
      <c r="C1654" s="41" t="n"/>
      <c r="D1654" s="42">
        <f>IF($C1654="","",IFERROR(INDEX(DESPACHOS!$D$3:$D$3002,MATCH($C1654,DESPACHOS!$B$3:$B$3002,0)),"SIN DESPACHO"))</f>
        <v/>
      </c>
      <c r="E1654" s="42">
        <f>IF($C1654="","",IFERROR(INDEX(DESPACHOS!$K$3:$K$3002,MATCH($C1654,DESPACHOS!$B$3:$B$3002,0)),""))</f>
        <v/>
      </c>
      <c r="F1654" s="42">
        <f>IF($C1654="","",IFERROR(INDEX(DESPACHOS!$I$3:$I$3002,MATCH($C1654,DESPACHOS!$B$3:$B$3002,0)),""))</f>
        <v/>
      </c>
      <c r="G1654" s="42">
        <f>IF($C1654="","",IFERROR(INDEX(DESPACHOS!$F$3:$F$3002,MATCH($C1654,DESPACHOS!$B$3:$B$3002,0)),""))</f>
        <v/>
      </c>
      <c r="H1654" s="42">
        <f>IF($C1654="","",IFERROR(INDEX(DESPACHOS!$G$3:$G$3002,MATCH($C1654,DESPACHOS!$B$3:$B$3002,0)),""))</f>
        <v/>
      </c>
      <c r="I1654" s="39">
        <f>IF($C1654="","",IFERROR(INDEX(DESPACHOS!$H$3:$H$3002,MATCH($C1654,DESPACHOS!$B$3:$B$3002,0)),""))</f>
        <v/>
      </c>
      <c r="J1654" s="43">
        <f>IF($C1654="","",IFERROR(INDEX(DESPACHOS!$J$3:$J$3002,MATCH($C1654,DESPACHOS!$B$3:$B$3002,0)),""))</f>
        <v/>
      </c>
      <c r="K1654" s="39">
        <f>IF($C1654="","",IF(COUNTIFS(DESPACHOS!$B$3:$B$3002,$C1654)=0,"NO EXISTE",IF(COUNTIFS(DESPACHOS!$B$3:$B$3002,$C1654)&gt;1,"DUPLICADO","OK")))</f>
        <v/>
      </c>
      <c r="L1654" s="41" t="n"/>
      <c r="M1654" s="41" t="n"/>
      <c r="N1654" s="42">
        <f>IF($M1654="","",IFERROR(INDEX(LISTAS!$F$3:$F$42,MATCH($M1654,LISTAS!$E$3:$E$42,0)),"Por definir"))</f>
        <v/>
      </c>
      <c r="O1654" s="41" t="n"/>
      <c r="P1654" s="39">
        <f>IF($L1654="","",IFERROR(INDEX(LISTAS!$B$3:$B$42,MATCH($L1654,LISTAS!$A$3:$A$42,0)),"Media"))</f>
        <v/>
      </c>
      <c r="Q1654" s="44" t="n"/>
      <c r="R1654" s="45" t="n"/>
      <c r="S1654" s="20">
        <f>IFERROR(IF(OR($R1654="",$C1654=""),"",$R1654/INDEX(DESPACHOS!$M$3:$M$3002,MATCH($C1654,DESPACHOS!$B$3:$B$3002,0))),"")</f>
        <v/>
      </c>
      <c r="T1654" s="41" t="n"/>
      <c r="U1654" s="43">
        <f>IF(OR($B1654="",$L1654=""),"",WORKDAY($B1654,IFERROR(INDEX(LISTAS!$C$3:$C$42,MATCH($L1654,LISTAS!$A$3:$A$42,0)),3)))</f>
        <v/>
      </c>
      <c r="V1654" s="40" t="n"/>
      <c r="W1654" s="19">
        <f>IF($B1654="","",IF($V1654&lt;&gt;"",$V1654-$B1654,TODAY()-$B1654))</f>
        <v/>
      </c>
      <c r="X1654" s="19">
        <f>IF(OR($B1654="",$U1654=""),"",IF($V1654&lt;&gt;"",MAX(0,$V1654-$U1654),MAX(0,TODAY()-$U1654)))</f>
        <v/>
      </c>
      <c r="Y1654" s="39">
        <f>IF($C1654="","",IF(IFERROR(INDEX(LISTAS!$I$3:$I$42,MATCH($T1654,LISTAS!$H$3:$H$42,0)),"NO")="SÍ",IF(N($X1654)&gt;0,"CERRADA FUERA DE SLA","CERRADA EN SLA"),IF($U1654="","SIN CLASIFICAR",IF(N($X1654)&gt;0,"VENCIDA",IF(TODAY()&gt;=$U1654-1,"POR VENCER","EN PLAZO")))))</f>
        <v/>
      </c>
      <c r="Z1654" s="41" t="n"/>
      <c r="AA1654" s="41" t="n"/>
      <c r="AB1654" s="41" t="n"/>
    </row>
    <row r="1655">
      <c r="A1655" s="39">
        <f>IF($C1655="","","NOV-"&amp;TEXT(ROW()-3,"0000"))</f>
        <v/>
      </c>
      <c r="B1655" s="40" t="n"/>
      <c r="C1655" s="41" t="n"/>
      <c r="D1655" s="42">
        <f>IF($C1655="","",IFERROR(INDEX(DESPACHOS!$D$3:$D$3002,MATCH($C1655,DESPACHOS!$B$3:$B$3002,0)),"SIN DESPACHO"))</f>
        <v/>
      </c>
      <c r="E1655" s="42">
        <f>IF($C1655="","",IFERROR(INDEX(DESPACHOS!$K$3:$K$3002,MATCH($C1655,DESPACHOS!$B$3:$B$3002,0)),""))</f>
        <v/>
      </c>
      <c r="F1655" s="42">
        <f>IF($C1655="","",IFERROR(INDEX(DESPACHOS!$I$3:$I$3002,MATCH($C1655,DESPACHOS!$B$3:$B$3002,0)),""))</f>
        <v/>
      </c>
      <c r="G1655" s="42">
        <f>IF($C1655="","",IFERROR(INDEX(DESPACHOS!$F$3:$F$3002,MATCH($C1655,DESPACHOS!$B$3:$B$3002,0)),""))</f>
        <v/>
      </c>
      <c r="H1655" s="42">
        <f>IF($C1655="","",IFERROR(INDEX(DESPACHOS!$G$3:$G$3002,MATCH($C1655,DESPACHOS!$B$3:$B$3002,0)),""))</f>
        <v/>
      </c>
      <c r="I1655" s="39">
        <f>IF($C1655="","",IFERROR(INDEX(DESPACHOS!$H$3:$H$3002,MATCH($C1655,DESPACHOS!$B$3:$B$3002,0)),""))</f>
        <v/>
      </c>
      <c r="J1655" s="43">
        <f>IF($C1655="","",IFERROR(INDEX(DESPACHOS!$J$3:$J$3002,MATCH($C1655,DESPACHOS!$B$3:$B$3002,0)),""))</f>
        <v/>
      </c>
      <c r="K1655" s="39">
        <f>IF($C1655="","",IF(COUNTIFS(DESPACHOS!$B$3:$B$3002,$C1655)=0,"NO EXISTE",IF(COUNTIFS(DESPACHOS!$B$3:$B$3002,$C1655)&gt;1,"DUPLICADO","OK")))</f>
        <v/>
      </c>
      <c r="L1655" s="41" t="n"/>
      <c r="M1655" s="41" t="n"/>
      <c r="N1655" s="42">
        <f>IF($M1655="","",IFERROR(INDEX(LISTAS!$F$3:$F$42,MATCH($M1655,LISTAS!$E$3:$E$42,0)),"Por definir"))</f>
        <v/>
      </c>
      <c r="O1655" s="41" t="n"/>
      <c r="P1655" s="39">
        <f>IF($L1655="","",IFERROR(INDEX(LISTAS!$B$3:$B$42,MATCH($L1655,LISTAS!$A$3:$A$42,0)),"Media"))</f>
        <v/>
      </c>
      <c r="Q1655" s="44" t="n"/>
      <c r="R1655" s="45" t="n"/>
      <c r="S1655" s="20">
        <f>IFERROR(IF(OR($R1655="",$C1655=""),"",$R1655/INDEX(DESPACHOS!$M$3:$M$3002,MATCH($C1655,DESPACHOS!$B$3:$B$3002,0))),"")</f>
        <v/>
      </c>
      <c r="T1655" s="41" t="n"/>
      <c r="U1655" s="43">
        <f>IF(OR($B1655="",$L1655=""),"",WORKDAY($B1655,IFERROR(INDEX(LISTAS!$C$3:$C$42,MATCH($L1655,LISTAS!$A$3:$A$42,0)),3)))</f>
        <v/>
      </c>
      <c r="V1655" s="40" t="n"/>
      <c r="W1655" s="19">
        <f>IF($B1655="","",IF($V1655&lt;&gt;"",$V1655-$B1655,TODAY()-$B1655))</f>
        <v/>
      </c>
      <c r="X1655" s="19">
        <f>IF(OR($B1655="",$U1655=""),"",IF($V1655&lt;&gt;"",MAX(0,$V1655-$U1655),MAX(0,TODAY()-$U1655)))</f>
        <v/>
      </c>
      <c r="Y1655" s="39">
        <f>IF($C1655="","",IF(IFERROR(INDEX(LISTAS!$I$3:$I$42,MATCH($T1655,LISTAS!$H$3:$H$42,0)),"NO")="SÍ",IF(N($X1655)&gt;0,"CERRADA FUERA DE SLA","CERRADA EN SLA"),IF($U1655="","SIN CLASIFICAR",IF(N($X1655)&gt;0,"VENCIDA",IF(TODAY()&gt;=$U1655-1,"POR VENCER","EN PLAZO")))))</f>
        <v/>
      </c>
      <c r="Z1655" s="41" t="n"/>
      <c r="AA1655" s="41" t="n"/>
      <c r="AB1655" s="41" t="n"/>
    </row>
    <row r="1656">
      <c r="A1656" s="39">
        <f>IF($C1656="","","NOV-"&amp;TEXT(ROW()-3,"0000"))</f>
        <v/>
      </c>
      <c r="B1656" s="40" t="n"/>
      <c r="C1656" s="41" t="n"/>
      <c r="D1656" s="42">
        <f>IF($C1656="","",IFERROR(INDEX(DESPACHOS!$D$3:$D$3002,MATCH($C1656,DESPACHOS!$B$3:$B$3002,0)),"SIN DESPACHO"))</f>
        <v/>
      </c>
      <c r="E1656" s="42">
        <f>IF($C1656="","",IFERROR(INDEX(DESPACHOS!$K$3:$K$3002,MATCH($C1656,DESPACHOS!$B$3:$B$3002,0)),""))</f>
        <v/>
      </c>
      <c r="F1656" s="42">
        <f>IF($C1656="","",IFERROR(INDEX(DESPACHOS!$I$3:$I$3002,MATCH($C1656,DESPACHOS!$B$3:$B$3002,0)),""))</f>
        <v/>
      </c>
      <c r="G1656" s="42">
        <f>IF($C1656="","",IFERROR(INDEX(DESPACHOS!$F$3:$F$3002,MATCH($C1656,DESPACHOS!$B$3:$B$3002,0)),""))</f>
        <v/>
      </c>
      <c r="H1656" s="42">
        <f>IF($C1656="","",IFERROR(INDEX(DESPACHOS!$G$3:$G$3002,MATCH($C1656,DESPACHOS!$B$3:$B$3002,0)),""))</f>
        <v/>
      </c>
      <c r="I1656" s="39">
        <f>IF($C1656="","",IFERROR(INDEX(DESPACHOS!$H$3:$H$3002,MATCH($C1656,DESPACHOS!$B$3:$B$3002,0)),""))</f>
        <v/>
      </c>
      <c r="J1656" s="43">
        <f>IF($C1656="","",IFERROR(INDEX(DESPACHOS!$J$3:$J$3002,MATCH($C1656,DESPACHOS!$B$3:$B$3002,0)),""))</f>
        <v/>
      </c>
      <c r="K1656" s="39">
        <f>IF($C1656="","",IF(COUNTIFS(DESPACHOS!$B$3:$B$3002,$C1656)=0,"NO EXISTE",IF(COUNTIFS(DESPACHOS!$B$3:$B$3002,$C1656)&gt;1,"DUPLICADO","OK")))</f>
        <v/>
      </c>
      <c r="L1656" s="41" t="n"/>
      <c r="M1656" s="41" t="n"/>
      <c r="N1656" s="42">
        <f>IF($M1656="","",IFERROR(INDEX(LISTAS!$F$3:$F$42,MATCH($M1656,LISTAS!$E$3:$E$42,0)),"Por definir"))</f>
        <v/>
      </c>
      <c r="O1656" s="41" t="n"/>
      <c r="P1656" s="39">
        <f>IF($L1656="","",IFERROR(INDEX(LISTAS!$B$3:$B$42,MATCH($L1656,LISTAS!$A$3:$A$42,0)),"Media"))</f>
        <v/>
      </c>
      <c r="Q1656" s="44" t="n"/>
      <c r="R1656" s="45" t="n"/>
      <c r="S1656" s="20">
        <f>IFERROR(IF(OR($R1656="",$C1656=""),"",$R1656/INDEX(DESPACHOS!$M$3:$M$3002,MATCH($C1656,DESPACHOS!$B$3:$B$3002,0))),"")</f>
        <v/>
      </c>
      <c r="T1656" s="41" t="n"/>
      <c r="U1656" s="43">
        <f>IF(OR($B1656="",$L1656=""),"",WORKDAY($B1656,IFERROR(INDEX(LISTAS!$C$3:$C$42,MATCH($L1656,LISTAS!$A$3:$A$42,0)),3)))</f>
        <v/>
      </c>
      <c r="V1656" s="40" t="n"/>
      <c r="W1656" s="19">
        <f>IF($B1656="","",IF($V1656&lt;&gt;"",$V1656-$B1656,TODAY()-$B1656))</f>
        <v/>
      </c>
      <c r="X1656" s="19">
        <f>IF(OR($B1656="",$U1656=""),"",IF($V1656&lt;&gt;"",MAX(0,$V1656-$U1656),MAX(0,TODAY()-$U1656)))</f>
        <v/>
      </c>
      <c r="Y1656" s="39">
        <f>IF($C1656="","",IF(IFERROR(INDEX(LISTAS!$I$3:$I$42,MATCH($T1656,LISTAS!$H$3:$H$42,0)),"NO")="SÍ",IF(N($X1656)&gt;0,"CERRADA FUERA DE SLA","CERRADA EN SLA"),IF($U1656="","SIN CLASIFICAR",IF(N($X1656)&gt;0,"VENCIDA",IF(TODAY()&gt;=$U1656-1,"POR VENCER","EN PLAZO")))))</f>
        <v/>
      </c>
      <c r="Z1656" s="41" t="n"/>
      <c r="AA1656" s="41" t="n"/>
      <c r="AB1656" s="41" t="n"/>
    </row>
    <row r="1657">
      <c r="A1657" s="39">
        <f>IF($C1657="","","NOV-"&amp;TEXT(ROW()-3,"0000"))</f>
        <v/>
      </c>
      <c r="B1657" s="40" t="n"/>
      <c r="C1657" s="41" t="n"/>
      <c r="D1657" s="42">
        <f>IF($C1657="","",IFERROR(INDEX(DESPACHOS!$D$3:$D$3002,MATCH($C1657,DESPACHOS!$B$3:$B$3002,0)),"SIN DESPACHO"))</f>
        <v/>
      </c>
      <c r="E1657" s="42">
        <f>IF($C1657="","",IFERROR(INDEX(DESPACHOS!$K$3:$K$3002,MATCH($C1657,DESPACHOS!$B$3:$B$3002,0)),""))</f>
        <v/>
      </c>
      <c r="F1657" s="42">
        <f>IF($C1657="","",IFERROR(INDEX(DESPACHOS!$I$3:$I$3002,MATCH($C1657,DESPACHOS!$B$3:$B$3002,0)),""))</f>
        <v/>
      </c>
      <c r="G1657" s="42">
        <f>IF($C1657="","",IFERROR(INDEX(DESPACHOS!$F$3:$F$3002,MATCH($C1657,DESPACHOS!$B$3:$B$3002,0)),""))</f>
        <v/>
      </c>
      <c r="H1657" s="42">
        <f>IF($C1657="","",IFERROR(INDEX(DESPACHOS!$G$3:$G$3002,MATCH($C1657,DESPACHOS!$B$3:$B$3002,0)),""))</f>
        <v/>
      </c>
      <c r="I1657" s="39">
        <f>IF($C1657="","",IFERROR(INDEX(DESPACHOS!$H$3:$H$3002,MATCH($C1657,DESPACHOS!$B$3:$B$3002,0)),""))</f>
        <v/>
      </c>
      <c r="J1657" s="43">
        <f>IF($C1657="","",IFERROR(INDEX(DESPACHOS!$J$3:$J$3002,MATCH($C1657,DESPACHOS!$B$3:$B$3002,0)),""))</f>
        <v/>
      </c>
      <c r="K1657" s="39">
        <f>IF($C1657="","",IF(COUNTIFS(DESPACHOS!$B$3:$B$3002,$C1657)=0,"NO EXISTE",IF(COUNTIFS(DESPACHOS!$B$3:$B$3002,$C1657)&gt;1,"DUPLICADO","OK")))</f>
        <v/>
      </c>
      <c r="L1657" s="41" t="n"/>
      <c r="M1657" s="41" t="n"/>
      <c r="N1657" s="42">
        <f>IF($M1657="","",IFERROR(INDEX(LISTAS!$F$3:$F$42,MATCH($M1657,LISTAS!$E$3:$E$42,0)),"Por definir"))</f>
        <v/>
      </c>
      <c r="O1657" s="41" t="n"/>
      <c r="P1657" s="39">
        <f>IF($L1657="","",IFERROR(INDEX(LISTAS!$B$3:$B$42,MATCH($L1657,LISTAS!$A$3:$A$42,0)),"Media"))</f>
        <v/>
      </c>
      <c r="Q1657" s="44" t="n"/>
      <c r="R1657" s="45" t="n"/>
      <c r="S1657" s="20">
        <f>IFERROR(IF(OR($R1657="",$C1657=""),"",$R1657/INDEX(DESPACHOS!$M$3:$M$3002,MATCH($C1657,DESPACHOS!$B$3:$B$3002,0))),"")</f>
        <v/>
      </c>
      <c r="T1657" s="41" t="n"/>
      <c r="U1657" s="43">
        <f>IF(OR($B1657="",$L1657=""),"",WORKDAY($B1657,IFERROR(INDEX(LISTAS!$C$3:$C$42,MATCH($L1657,LISTAS!$A$3:$A$42,0)),3)))</f>
        <v/>
      </c>
      <c r="V1657" s="40" t="n"/>
      <c r="W1657" s="19">
        <f>IF($B1657="","",IF($V1657&lt;&gt;"",$V1657-$B1657,TODAY()-$B1657))</f>
        <v/>
      </c>
      <c r="X1657" s="19">
        <f>IF(OR($B1657="",$U1657=""),"",IF($V1657&lt;&gt;"",MAX(0,$V1657-$U1657),MAX(0,TODAY()-$U1657)))</f>
        <v/>
      </c>
      <c r="Y1657" s="39">
        <f>IF($C1657="","",IF(IFERROR(INDEX(LISTAS!$I$3:$I$42,MATCH($T1657,LISTAS!$H$3:$H$42,0)),"NO")="SÍ",IF(N($X1657)&gt;0,"CERRADA FUERA DE SLA","CERRADA EN SLA"),IF($U1657="","SIN CLASIFICAR",IF(N($X1657)&gt;0,"VENCIDA",IF(TODAY()&gt;=$U1657-1,"POR VENCER","EN PLAZO")))))</f>
        <v/>
      </c>
      <c r="Z1657" s="41" t="n"/>
      <c r="AA1657" s="41" t="n"/>
      <c r="AB1657" s="41" t="n"/>
    </row>
    <row r="1658">
      <c r="A1658" s="39">
        <f>IF($C1658="","","NOV-"&amp;TEXT(ROW()-3,"0000"))</f>
        <v/>
      </c>
      <c r="B1658" s="40" t="n"/>
      <c r="C1658" s="41" t="n"/>
      <c r="D1658" s="42">
        <f>IF($C1658="","",IFERROR(INDEX(DESPACHOS!$D$3:$D$3002,MATCH($C1658,DESPACHOS!$B$3:$B$3002,0)),"SIN DESPACHO"))</f>
        <v/>
      </c>
      <c r="E1658" s="42">
        <f>IF($C1658="","",IFERROR(INDEX(DESPACHOS!$K$3:$K$3002,MATCH($C1658,DESPACHOS!$B$3:$B$3002,0)),""))</f>
        <v/>
      </c>
      <c r="F1658" s="42">
        <f>IF($C1658="","",IFERROR(INDEX(DESPACHOS!$I$3:$I$3002,MATCH($C1658,DESPACHOS!$B$3:$B$3002,0)),""))</f>
        <v/>
      </c>
      <c r="G1658" s="42">
        <f>IF($C1658="","",IFERROR(INDEX(DESPACHOS!$F$3:$F$3002,MATCH($C1658,DESPACHOS!$B$3:$B$3002,0)),""))</f>
        <v/>
      </c>
      <c r="H1658" s="42">
        <f>IF($C1658="","",IFERROR(INDEX(DESPACHOS!$G$3:$G$3002,MATCH($C1658,DESPACHOS!$B$3:$B$3002,0)),""))</f>
        <v/>
      </c>
      <c r="I1658" s="39">
        <f>IF($C1658="","",IFERROR(INDEX(DESPACHOS!$H$3:$H$3002,MATCH($C1658,DESPACHOS!$B$3:$B$3002,0)),""))</f>
        <v/>
      </c>
      <c r="J1658" s="43">
        <f>IF($C1658="","",IFERROR(INDEX(DESPACHOS!$J$3:$J$3002,MATCH($C1658,DESPACHOS!$B$3:$B$3002,0)),""))</f>
        <v/>
      </c>
      <c r="K1658" s="39">
        <f>IF($C1658="","",IF(COUNTIFS(DESPACHOS!$B$3:$B$3002,$C1658)=0,"NO EXISTE",IF(COUNTIFS(DESPACHOS!$B$3:$B$3002,$C1658)&gt;1,"DUPLICADO","OK")))</f>
        <v/>
      </c>
      <c r="L1658" s="41" t="n"/>
      <c r="M1658" s="41" t="n"/>
      <c r="N1658" s="42">
        <f>IF($M1658="","",IFERROR(INDEX(LISTAS!$F$3:$F$42,MATCH($M1658,LISTAS!$E$3:$E$42,0)),"Por definir"))</f>
        <v/>
      </c>
      <c r="O1658" s="41" t="n"/>
      <c r="P1658" s="39">
        <f>IF($L1658="","",IFERROR(INDEX(LISTAS!$B$3:$B$42,MATCH($L1658,LISTAS!$A$3:$A$42,0)),"Media"))</f>
        <v/>
      </c>
      <c r="Q1658" s="44" t="n"/>
      <c r="R1658" s="45" t="n"/>
      <c r="S1658" s="20">
        <f>IFERROR(IF(OR($R1658="",$C1658=""),"",$R1658/INDEX(DESPACHOS!$M$3:$M$3002,MATCH($C1658,DESPACHOS!$B$3:$B$3002,0))),"")</f>
        <v/>
      </c>
      <c r="T1658" s="41" t="n"/>
      <c r="U1658" s="43">
        <f>IF(OR($B1658="",$L1658=""),"",WORKDAY($B1658,IFERROR(INDEX(LISTAS!$C$3:$C$42,MATCH($L1658,LISTAS!$A$3:$A$42,0)),3)))</f>
        <v/>
      </c>
      <c r="V1658" s="40" t="n"/>
      <c r="W1658" s="19">
        <f>IF($B1658="","",IF($V1658&lt;&gt;"",$V1658-$B1658,TODAY()-$B1658))</f>
        <v/>
      </c>
      <c r="X1658" s="19">
        <f>IF(OR($B1658="",$U1658=""),"",IF($V1658&lt;&gt;"",MAX(0,$V1658-$U1658),MAX(0,TODAY()-$U1658)))</f>
        <v/>
      </c>
      <c r="Y1658" s="39">
        <f>IF($C1658="","",IF(IFERROR(INDEX(LISTAS!$I$3:$I$42,MATCH($T1658,LISTAS!$H$3:$H$42,0)),"NO")="SÍ",IF(N($X1658)&gt;0,"CERRADA FUERA DE SLA","CERRADA EN SLA"),IF($U1658="","SIN CLASIFICAR",IF(N($X1658)&gt;0,"VENCIDA",IF(TODAY()&gt;=$U1658-1,"POR VENCER","EN PLAZO")))))</f>
        <v/>
      </c>
      <c r="Z1658" s="41" t="n"/>
      <c r="AA1658" s="41" t="n"/>
      <c r="AB1658" s="41" t="n"/>
    </row>
    <row r="1659">
      <c r="A1659" s="39">
        <f>IF($C1659="","","NOV-"&amp;TEXT(ROW()-3,"0000"))</f>
        <v/>
      </c>
      <c r="B1659" s="40" t="n"/>
      <c r="C1659" s="41" t="n"/>
      <c r="D1659" s="42">
        <f>IF($C1659="","",IFERROR(INDEX(DESPACHOS!$D$3:$D$3002,MATCH($C1659,DESPACHOS!$B$3:$B$3002,0)),"SIN DESPACHO"))</f>
        <v/>
      </c>
      <c r="E1659" s="42">
        <f>IF($C1659="","",IFERROR(INDEX(DESPACHOS!$K$3:$K$3002,MATCH($C1659,DESPACHOS!$B$3:$B$3002,0)),""))</f>
        <v/>
      </c>
      <c r="F1659" s="42">
        <f>IF($C1659="","",IFERROR(INDEX(DESPACHOS!$I$3:$I$3002,MATCH($C1659,DESPACHOS!$B$3:$B$3002,0)),""))</f>
        <v/>
      </c>
      <c r="G1659" s="42">
        <f>IF($C1659="","",IFERROR(INDEX(DESPACHOS!$F$3:$F$3002,MATCH($C1659,DESPACHOS!$B$3:$B$3002,0)),""))</f>
        <v/>
      </c>
      <c r="H1659" s="42">
        <f>IF($C1659="","",IFERROR(INDEX(DESPACHOS!$G$3:$G$3002,MATCH($C1659,DESPACHOS!$B$3:$B$3002,0)),""))</f>
        <v/>
      </c>
      <c r="I1659" s="39">
        <f>IF($C1659="","",IFERROR(INDEX(DESPACHOS!$H$3:$H$3002,MATCH($C1659,DESPACHOS!$B$3:$B$3002,0)),""))</f>
        <v/>
      </c>
      <c r="J1659" s="43">
        <f>IF($C1659="","",IFERROR(INDEX(DESPACHOS!$J$3:$J$3002,MATCH($C1659,DESPACHOS!$B$3:$B$3002,0)),""))</f>
        <v/>
      </c>
      <c r="K1659" s="39">
        <f>IF($C1659="","",IF(COUNTIFS(DESPACHOS!$B$3:$B$3002,$C1659)=0,"NO EXISTE",IF(COUNTIFS(DESPACHOS!$B$3:$B$3002,$C1659)&gt;1,"DUPLICADO","OK")))</f>
        <v/>
      </c>
      <c r="L1659" s="41" t="n"/>
      <c r="M1659" s="41" t="n"/>
      <c r="N1659" s="42">
        <f>IF($M1659="","",IFERROR(INDEX(LISTAS!$F$3:$F$42,MATCH($M1659,LISTAS!$E$3:$E$42,0)),"Por definir"))</f>
        <v/>
      </c>
      <c r="O1659" s="41" t="n"/>
      <c r="P1659" s="39">
        <f>IF($L1659="","",IFERROR(INDEX(LISTAS!$B$3:$B$42,MATCH($L1659,LISTAS!$A$3:$A$42,0)),"Media"))</f>
        <v/>
      </c>
      <c r="Q1659" s="44" t="n"/>
      <c r="R1659" s="45" t="n"/>
      <c r="S1659" s="20">
        <f>IFERROR(IF(OR($R1659="",$C1659=""),"",$R1659/INDEX(DESPACHOS!$M$3:$M$3002,MATCH($C1659,DESPACHOS!$B$3:$B$3002,0))),"")</f>
        <v/>
      </c>
      <c r="T1659" s="41" t="n"/>
      <c r="U1659" s="43">
        <f>IF(OR($B1659="",$L1659=""),"",WORKDAY($B1659,IFERROR(INDEX(LISTAS!$C$3:$C$42,MATCH($L1659,LISTAS!$A$3:$A$42,0)),3)))</f>
        <v/>
      </c>
      <c r="V1659" s="40" t="n"/>
      <c r="W1659" s="19">
        <f>IF($B1659="","",IF($V1659&lt;&gt;"",$V1659-$B1659,TODAY()-$B1659))</f>
        <v/>
      </c>
      <c r="X1659" s="19">
        <f>IF(OR($B1659="",$U1659=""),"",IF($V1659&lt;&gt;"",MAX(0,$V1659-$U1659),MAX(0,TODAY()-$U1659)))</f>
        <v/>
      </c>
      <c r="Y1659" s="39">
        <f>IF($C1659="","",IF(IFERROR(INDEX(LISTAS!$I$3:$I$42,MATCH($T1659,LISTAS!$H$3:$H$42,0)),"NO")="SÍ",IF(N($X1659)&gt;0,"CERRADA FUERA DE SLA","CERRADA EN SLA"),IF($U1659="","SIN CLASIFICAR",IF(N($X1659)&gt;0,"VENCIDA",IF(TODAY()&gt;=$U1659-1,"POR VENCER","EN PLAZO")))))</f>
        <v/>
      </c>
      <c r="Z1659" s="41" t="n"/>
      <c r="AA1659" s="41" t="n"/>
      <c r="AB1659" s="41" t="n"/>
    </row>
    <row r="1660">
      <c r="A1660" s="39">
        <f>IF($C1660="","","NOV-"&amp;TEXT(ROW()-3,"0000"))</f>
        <v/>
      </c>
      <c r="B1660" s="40" t="n"/>
      <c r="C1660" s="41" t="n"/>
      <c r="D1660" s="42">
        <f>IF($C1660="","",IFERROR(INDEX(DESPACHOS!$D$3:$D$3002,MATCH($C1660,DESPACHOS!$B$3:$B$3002,0)),"SIN DESPACHO"))</f>
        <v/>
      </c>
      <c r="E1660" s="42">
        <f>IF($C1660="","",IFERROR(INDEX(DESPACHOS!$K$3:$K$3002,MATCH($C1660,DESPACHOS!$B$3:$B$3002,0)),""))</f>
        <v/>
      </c>
      <c r="F1660" s="42">
        <f>IF($C1660="","",IFERROR(INDEX(DESPACHOS!$I$3:$I$3002,MATCH($C1660,DESPACHOS!$B$3:$B$3002,0)),""))</f>
        <v/>
      </c>
      <c r="G1660" s="42">
        <f>IF($C1660="","",IFERROR(INDEX(DESPACHOS!$F$3:$F$3002,MATCH($C1660,DESPACHOS!$B$3:$B$3002,0)),""))</f>
        <v/>
      </c>
      <c r="H1660" s="42">
        <f>IF($C1660="","",IFERROR(INDEX(DESPACHOS!$G$3:$G$3002,MATCH($C1660,DESPACHOS!$B$3:$B$3002,0)),""))</f>
        <v/>
      </c>
      <c r="I1660" s="39">
        <f>IF($C1660="","",IFERROR(INDEX(DESPACHOS!$H$3:$H$3002,MATCH($C1660,DESPACHOS!$B$3:$B$3002,0)),""))</f>
        <v/>
      </c>
      <c r="J1660" s="43">
        <f>IF($C1660="","",IFERROR(INDEX(DESPACHOS!$J$3:$J$3002,MATCH($C1660,DESPACHOS!$B$3:$B$3002,0)),""))</f>
        <v/>
      </c>
      <c r="K1660" s="39">
        <f>IF($C1660="","",IF(COUNTIFS(DESPACHOS!$B$3:$B$3002,$C1660)=0,"NO EXISTE",IF(COUNTIFS(DESPACHOS!$B$3:$B$3002,$C1660)&gt;1,"DUPLICADO","OK")))</f>
        <v/>
      </c>
      <c r="L1660" s="41" t="n"/>
      <c r="M1660" s="41" t="n"/>
      <c r="N1660" s="42">
        <f>IF($M1660="","",IFERROR(INDEX(LISTAS!$F$3:$F$42,MATCH($M1660,LISTAS!$E$3:$E$42,0)),"Por definir"))</f>
        <v/>
      </c>
      <c r="O1660" s="41" t="n"/>
      <c r="P1660" s="39">
        <f>IF($L1660="","",IFERROR(INDEX(LISTAS!$B$3:$B$42,MATCH($L1660,LISTAS!$A$3:$A$42,0)),"Media"))</f>
        <v/>
      </c>
      <c r="Q1660" s="44" t="n"/>
      <c r="R1660" s="45" t="n"/>
      <c r="S1660" s="20">
        <f>IFERROR(IF(OR($R1660="",$C1660=""),"",$R1660/INDEX(DESPACHOS!$M$3:$M$3002,MATCH($C1660,DESPACHOS!$B$3:$B$3002,0))),"")</f>
        <v/>
      </c>
      <c r="T1660" s="41" t="n"/>
      <c r="U1660" s="43">
        <f>IF(OR($B1660="",$L1660=""),"",WORKDAY($B1660,IFERROR(INDEX(LISTAS!$C$3:$C$42,MATCH($L1660,LISTAS!$A$3:$A$42,0)),3)))</f>
        <v/>
      </c>
      <c r="V1660" s="40" t="n"/>
      <c r="W1660" s="19">
        <f>IF($B1660="","",IF($V1660&lt;&gt;"",$V1660-$B1660,TODAY()-$B1660))</f>
        <v/>
      </c>
      <c r="X1660" s="19">
        <f>IF(OR($B1660="",$U1660=""),"",IF($V1660&lt;&gt;"",MAX(0,$V1660-$U1660),MAX(0,TODAY()-$U1660)))</f>
        <v/>
      </c>
      <c r="Y1660" s="39">
        <f>IF($C1660="","",IF(IFERROR(INDEX(LISTAS!$I$3:$I$42,MATCH($T1660,LISTAS!$H$3:$H$42,0)),"NO")="SÍ",IF(N($X1660)&gt;0,"CERRADA FUERA DE SLA","CERRADA EN SLA"),IF($U1660="","SIN CLASIFICAR",IF(N($X1660)&gt;0,"VENCIDA",IF(TODAY()&gt;=$U1660-1,"POR VENCER","EN PLAZO")))))</f>
        <v/>
      </c>
      <c r="Z1660" s="41" t="n"/>
      <c r="AA1660" s="41" t="n"/>
      <c r="AB1660" s="41" t="n"/>
    </row>
    <row r="1661">
      <c r="A1661" s="39">
        <f>IF($C1661="","","NOV-"&amp;TEXT(ROW()-3,"0000"))</f>
        <v/>
      </c>
      <c r="B1661" s="40" t="n"/>
      <c r="C1661" s="41" t="n"/>
      <c r="D1661" s="42">
        <f>IF($C1661="","",IFERROR(INDEX(DESPACHOS!$D$3:$D$3002,MATCH($C1661,DESPACHOS!$B$3:$B$3002,0)),"SIN DESPACHO"))</f>
        <v/>
      </c>
      <c r="E1661" s="42">
        <f>IF($C1661="","",IFERROR(INDEX(DESPACHOS!$K$3:$K$3002,MATCH($C1661,DESPACHOS!$B$3:$B$3002,0)),""))</f>
        <v/>
      </c>
      <c r="F1661" s="42">
        <f>IF($C1661="","",IFERROR(INDEX(DESPACHOS!$I$3:$I$3002,MATCH($C1661,DESPACHOS!$B$3:$B$3002,0)),""))</f>
        <v/>
      </c>
      <c r="G1661" s="42">
        <f>IF($C1661="","",IFERROR(INDEX(DESPACHOS!$F$3:$F$3002,MATCH($C1661,DESPACHOS!$B$3:$B$3002,0)),""))</f>
        <v/>
      </c>
      <c r="H1661" s="42">
        <f>IF($C1661="","",IFERROR(INDEX(DESPACHOS!$G$3:$G$3002,MATCH($C1661,DESPACHOS!$B$3:$B$3002,0)),""))</f>
        <v/>
      </c>
      <c r="I1661" s="39">
        <f>IF($C1661="","",IFERROR(INDEX(DESPACHOS!$H$3:$H$3002,MATCH($C1661,DESPACHOS!$B$3:$B$3002,0)),""))</f>
        <v/>
      </c>
      <c r="J1661" s="43">
        <f>IF($C1661="","",IFERROR(INDEX(DESPACHOS!$J$3:$J$3002,MATCH($C1661,DESPACHOS!$B$3:$B$3002,0)),""))</f>
        <v/>
      </c>
      <c r="K1661" s="39">
        <f>IF($C1661="","",IF(COUNTIFS(DESPACHOS!$B$3:$B$3002,$C1661)=0,"NO EXISTE",IF(COUNTIFS(DESPACHOS!$B$3:$B$3002,$C1661)&gt;1,"DUPLICADO","OK")))</f>
        <v/>
      </c>
      <c r="L1661" s="41" t="n"/>
      <c r="M1661" s="41" t="n"/>
      <c r="N1661" s="42">
        <f>IF($M1661="","",IFERROR(INDEX(LISTAS!$F$3:$F$42,MATCH($M1661,LISTAS!$E$3:$E$42,0)),"Por definir"))</f>
        <v/>
      </c>
      <c r="O1661" s="41" t="n"/>
      <c r="P1661" s="39">
        <f>IF($L1661="","",IFERROR(INDEX(LISTAS!$B$3:$B$42,MATCH($L1661,LISTAS!$A$3:$A$42,0)),"Media"))</f>
        <v/>
      </c>
      <c r="Q1661" s="44" t="n"/>
      <c r="R1661" s="45" t="n"/>
      <c r="S1661" s="20">
        <f>IFERROR(IF(OR($R1661="",$C1661=""),"",$R1661/INDEX(DESPACHOS!$M$3:$M$3002,MATCH($C1661,DESPACHOS!$B$3:$B$3002,0))),"")</f>
        <v/>
      </c>
      <c r="T1661" s="41" t="n"/>
      <c r="U1661" s="43">
        <f>IF(OR($B1661="",$L1661=""),"",WORKDAY($B1661,IFERROR(INDEX(LISTAS!$C$3:$C$42,MATCH($L1661,LISTAS!$A$3:$A$42,0)),3)))</f>
        <v/>
      </c>
      <c r="V1661" s="40" t="n"/>
      <c r="W1661" s="19">
        <f>IF($B1661="","",IF($V1661&lt;&gt;"",$V1661-$B1661,TODAY()-$B1661))</f>
        <v/>
      </c>
      <c r="X1661" s="19">
        <f>IF(OR($B1661="",$U1661=""),"",IF($V1661&lt;&gt;"",MAX(0,$V1661-$U1661),MAX(0,TODAY()-$U1661)))</f>
        <v/>
      </c>
      <c r="Y1661" s="39">
        <f>IF($C1661="","",IF(IFERROR(INDEX(LISTAS!$I$3:$I$42,MATCH($T1661,LISTAS!$H$3:$H$42,0)),"NO")="SÍ",IF(N($X1661)&gt;0,"CERRADA FUERA DE SLA","CERRADA EN SLA"),IF($U1661="","SIN CLASIFICAR",IF(N($X1661)&gt;0,"VENCIDA",IF(TODAY()&gt;=$U1661-1,"POR VENCER","EN PLAZO")))))</f>
        <v/>
      </c>
      <c r="Z1661" s="41" t="n"/>
      <c r="AA1661" s="41" t="n"/>
      <c r="AB1661" s="41" t="n"/>
    </row>
    <row r="1662">
      <c r="A1662" s="39">
        <f>IF($C1662="","","NOV-"&amp;TEXT(ROW()-3,"0000"))</f>
        <v/>
      </c>
      <c r="B1662" s="40" t="n"/>
      <c r="C1662" s="41" t="n"/>
      <c r="D1662" s="42">
        <f>IF($C1662="","",IFERROR(INDEX(DESPACHOS!$D$3:$D$3002,MATCH($C1662,DESPACHOS!$B$3:$B$3002,0)),"SIN DESPACHO"))</f>
        <v/>
      </c>
      <c r="E1662" s="42">
        <f>IF($C1662="","",IFERROR(INDEX(DESPACHOS!$K$3:$K$3002,MATCH($C1662,DESPACHOS!$B$3:$B$3002,0)),""))</f>
        <v/>
      </c>
      <c r="F1662" s="42">
        <f>IF($C1662="","",IFERROR(INDEX(DESPACHOS!$I$3:$I$3002,MATCH($C1662,DESPACHOS!$B$3:$B$3002,0)),""))</f>
        <v/>
      </c>
      <c r="G1662" s="42">
        <f>IF($C1662="","",IFERROR(INDEX(DESPACHOS!$F$3:$F$3002,MATCH($C1662,DESPACHOS!$B$3:$B$3002,0)),""))</f>
        <v/>
      </c>
      <c r="H1662" s="42">
        <f>IF($C1662="","",IFERROR(INDEX(DESPACHOS!$G$3:$G$3002,MATCH($C1662,DESPACHOS!$B$3:$B$3002,0)),""))</f>
        <v/>
      </c>
      <c r="I1662" s="39">
        <f>IF($C1662="","",IFERROR(INDEX(DESPACHOS!$H$3:$H$3002,MATCH($C1662,DESPACHOS!$B$3:$B$3002,0)),""))</f>
        <v/>
      </c>
      <c r="J1662" s="43">
        <f>IF($C1662="","",IFERROR(INDEX(DESPACHOS!$J$3:$J$3002,MATCH($C1662,DESPACHOS!$B$3:$B$3002,0)),""))</f>
        <v/>
      </c>
      <c r="K1662" s="39">
        <f>IF($C1662="","",IF(COUNTIFS(DESPACHOS!$B$3:$B$3002,$C1662)=0,"NO EXISTE",IF(COUNTIFS(DESPACHOS!$B$3:$B$3002,$C1662)&gt;1,"DUPLICADO","OK")))</f>
        <v/>
      </c>
      <c r="L1662" s="41" t="n"/>
      <c r="M1662" s="41" t="n"/>
      <c r="N1662" s="42">
        <f>IF($M1662="","",IFERROR(INDEX(LISTAS!$F$3:$F$42,MATCH($M1662,LISTAS!$E$3:$E$42,0)),"Por definir"))</f>
        <v/>
      </c>
      <c r="O1662" s="41" t="n"/>
      <c r="P1662" s="39">
        <f>IF($L1662="","",IFERROR(INDEX(LISTAS!$B$3:$B$42,MATCH($L1662,LISTAS!$A$3:$A$42,0)),"Media"))</f>
        <v/>
      </c>
      <c r="Q1662" s="44" t="n"/>
      <c r="R1662" s="45" t="n"/>
      <c r="S1662" s="20">
        <f>IFERROR(IF(OR($R1662="",$C1662=""),"",$R1662/INDEX(DESPACHOS!$M$3:$M$3002,MATCH($C1662,DESPACHOS!$B$3:$B$3002,0))),"")</f>
        <v/>
      </c>
      <c r="T1662" s="41" t="n"/>
      <c r="U1662" s="43">
        <f>IF(OR($B1662="",$L1662=""),"",WORKDAY($B1662,IFERROR(INDEX(LISTAS!$C$3:$C$42,MATCH($L1662,LISTAS!$A$3:$A$42,0)),3)))</f>
        <v/>
      </c>
      <c r="V1662" s="40" t="n"/>
      <c r="W1662" s="19">
        <f>IF($B1662="","",IF($V1662&lt;&gt;"",$V1662-$B1662,TODAY()-$B1662))</f>
        <v/>
      </c>
      <c r="X1662" s="19">
        <f>IF(OR($B1662="",$U1662=""),"",IF($V1662&lt;&gt;"",MAX(0,$V1662-$U1662),MAX(0,TODAY()-$U1662)))</f>
        <v/>
      </c>
      <c r="Y1662" s="39">
        <f>IF($C1662="","",IF(IFERROR(INDEX(LISTAS!$I$3:$I$42,MATCH($T1662,LISTAS!$H$3:$H$42,0)),"NO")="SÍ",IF(N($X1662)&gt;0,"CERRADA FUERA DE SLA","CERRADA EN SLA"),IF($U1662="","SIN CLASIFICAR",IF(N($X1662)&gt;0,"VENCIDA",IF(TODAY()&gt;=$U1662-1,"POR VENCER","EN PLAZO")))))</f>
        <v/>
      </c>
      <c r="Z1662" s="41" t="n"/>
      <c r="AA1662" s="41" t="n"/>
      <c r="AB1662" s="41" t="n"/>
    </row>
    <row r="1663">
      <c r="A1663" s="39">
        <f>IF($C1663="","","NOV-"&amp;TEXT(ROW()-3,"0000"))</f>
        <v/>
      </c>
      <c r="B1663" s="40" t="n"/>
      <c r="C1663" s="41" t="n"/>
      <c r="D1663" s="42">
        <f>IF($C1663="","",IFERROR(INDEX(DESPACHOS!$D$3:$D$3002,MATCH($C1663,DESPACHOS!$B$3:$B$3002,0)),"SIN DESPACHO"))</f>
        <v/>
      </c>
      <c r="E1663" s="42">
        <f>IF($C1663="","",IFERROR(INDEX(DESPACHOS!$K$3:$K$3002,MATCH($C1663,DESPACHOS!$B$3:$B$3002,0)),""))</f>
        <v/>
      </c>
      <c r="F1663" s="42">
        <f>IF($C1663="","",IFERROR(INDEX(DESPACHOS!$I$3:$I$3002,MATCH($C1663,DESPACHOS!$B$3:$B$3002,0)),""))</f>
        <v/>
      </c>
      <c r="G1663" s="42">
        <f>IF($C1663="","",IFERROR(INDEX(DESPACHOS!$F$3:$F$3002,MATCH($C1663,DESPACHOS!$B$3:$B$3002,0)),""))</f>
        <v/>
      </c>
      <c r="H1663" s="42">
        <f>IF($C1663="","",IFERROR(INDEX(DESPACHOS!$G$3:$G$3002,MATCH($C1663,DESPACHOS!$B$3:$B$3002,0)),""))</f>
        <v/>
      </c>
      <c r="I1663" s="39">
        <f>IF($C1663="","",IFERROR(INDEX(DESPACHOS!$H$3:$H$3002,MATCH($C1663,DESPACHOS!$B$3:$B$3002,0)),""))</f>
        <v/>
      </c>
      <c r="J1663" s="43">
        <f>IF($C1663="","",IFERROR(INDEX(DESPACHOS!$J$3:$J$3002,MATCH($C1663,DESPACHOS!$B$3:$B$3002,0)),""))</f>
        <v/>
      </c>
      <c r="K1663" s="39">
        <f>IF($C1663="","",IF(COUNTIFS(DESPACHOS!$B$3:$B$3002,$C1663)=0,"NO EXISTE",IF(COUNTIFS(DESPACHOS!$B$3:$B$3002,$C1663)&gt;1,"DUPLICADO","OK")))</f>
        <v/>
      </c>
      <c r="L1663" s="41" t="n"/>
      <c r="M1663" s="41" t="n"/>
      <c r="N1663" s="42">
        <f>IF($M1663="","",IFERROR(INDEX(LISTAS!$F$3:$F$42,MATCH($M1663,LISTAS!$E$3:$E$42,0)),"Por definir"))</f>
        <v/>
      </c>
      <c r="O1663" s="41" t="n"/>
      <c r="P1663" s="39">
        <f>IF($L1663="","",IFERROR(INDEX(LISTAS!$B$3:$B$42,MATCH($L1663,LISTAS!$A$3:$A$42,0)),"Media"))</f>
        <v/>
      </c>
      <c r="Q1663" s="44" t="n"/>
      <c r="R1663" s="45" t="n"/>
      <c r="S1663" s="20">
        <f>IFERROR(IF(OR($R1663="",$C1663=""),"",$R1663/INDEX(DESPACHOS!$M$3:$M$3002,MATCH($C1663,DESPACHOS!$B$3:$B$3002,0))),"")</f>
        <v/>
      </c>
      <c r="T1663" s="41" t="n"/>
      <c r="U1663" s="43">
        <f>IF(OR($B1663="",$L1663=""),"",WORKDAY($B1663,IFERROR(INDEX(LISTAS!$C$3:$C$42,MATCH($L1663,LISTAS!$A$3:$A$42,0)),3)))</f>
        <v/>
      </c>
      <c r="V1663" s="40" t="n"/>
      <c r="W1663" s="19">
        <f>IF($B1663="","",IF($V1663&lt;&gt;"",$V1663-$B1663,TODAY()-$B1663))</f>
        <v/>
      </c>
      <c r="X1663" s="19">
        <f>IF(OR($B1663="",$U1663=""),"",IF($V1663&lt;&gt;"",MAX(0,$V1663-$U1663),MAX(0,TODAY()-$U1663)))</f>
        <v/>
      </c>
      <c r="Y1663" s="39">
        <f>IF($C1663="","",IF(IFERROR(INDEX(LISTAS!$I$3:$I$42,MATCH($T1663,LISTAS!$H$3:$H$42,0)),"NO")="SÍ",IF(N($X1663)&gt;0,"CERRADA FUERA DE SLA","CERRADA EN SLA"),IF($U1663="","SIN CLASIFICAR",IF(N($X1663)&gt;0,"VENCIDA",IF(TODAY()&gt;=$U1663-1,"POR VENCER","EN PLAZO")))))</f>
        <v/>
      </c>
      <c r="Z1663" s="41" t="n"/>
      <c r="AA1663" s="41" t="n"/>
      <c r="AB1663" s="41" t="n"/>
    </row>
    <row r="1664">
      <c r="A1664" s="39">
        <f>IF($C1664="","","NOV-"&amp;TEXT(ROW()-3,"0000"))</f>
        <v/>
      </c>
      <c r="B1664" s="40" t="n"/>
      <c r="C1664" s="41" t="n"/>
      <c r="D1664" s="42">
        <f>IF($C1664="","",IFERROR(INDEX(DESPACHOS!$D$3:$D$3002,MATCH($C1664,DESPACHOS!$B$3:$B$3002,0)),"SIN DESPACHO"))</f>
        <v/>
      </c>
      <c r="E1664" s="42">
        <f>IF($C1664="","",IFERROR(INDEX(DESPACHOS!$K$3:$K$3002,MATCH($C1664,DESPACHOS!$B$3:$B$3002,0)),""))</f>
        <v/>
      </c>
      <c r="F1664" s="42">
        <f>IF($C1664="","",IFERROR(INDEX(DESPACHOS!$I$3:$I$3002,MATCH($C1664,DESPACHOS!$B$3:$B$3002,0)),""))</f>
        <v/>
      </c>
      <c r="G1664" s="42">
        <f>IF($C1664="","",IFERROR(INDEX(DESPACHOS!$F$3:$F$3002,MATCH($C1664,DESPACHOS!$B$3:$B$3002,0)),""))</f>
        <v/>
      </c>
      <c r="H1664" s="42">
        <f>IF($C1664="","",IFERROR(INDEX(DESPACHOS!$G$3:$G$3002,MATCH($C1664,DESPACHOS!$B$3:$B$3002,0)),""))</f>
        <v/>
      </c>
      <c r="I1664" s="39">
        <f>IF($C1664="","",IFERROR(INDEX(DESPACHOS!$H$3:$H$3002,MATCH($C1664,DESPACHOS!$B$3:$B$3002,0)),""))</f>
        <v/>
      </c>
      <c r="J1664" s="43">
        <f>IF($C1664="","",IFERROR(INDEX(DESPACHOS!$J$3:$J$3002,MATCH($C1664,DESPACHOS!$B$3:$B$3002,0)),""))</f>
        <v/>
      </c>
      <c r="K1664" s="39">
        <f>IF($C1664="","",IF(COUNTIFS(DESPACHOS!$B$3:$B$3002,$C1664)=0,"NO EXISTE",IF(COUNTIFS(DESPACHOS!$B$3:$B$3002,$C1664)&gt;1,"DUPLICADO","OK")))</f>
        <v/>
      </c>
      <c r="L1664" s="41" t="n"/>
      <c r="M1664" s="41" t="n"/>
      <c r="N1664" s="42">
        <f>IF($M1664="","",IFERROR(INDEX(LISTAS!$F$3:$F$42,MATCH($M1664,LISTAS!$E$3:$E$42,0)),"Por definir"))</f>
        <v/>
      </c>
      <c r="O1664" s="41" t="n"/>
      <c r="P1664" s="39">
        <f>IF($L1664="","",IFERROR(INDEX(LISTAS!$B$3:$B$42,MATCH($L1664,LISTAS!$A$3:$A$42,0)),"Media"))</f>
        <v/>
      </c>
      <c r="Q1664" s="44" t="n"/>
      <c r="R1664" s="45" t="n"/>
      <c r="S1664" s="20">
        <f>IFERROR(IF(OR($R1664="",$C1664=""),"",$R1664/INDEX(DESPACHOS!$M$3:$M$3002,MATCH($C1664,DESPACHOS!$B$3:$B$3002,0))),"")</f>
        <v/>
      </c>
      <c r="T1664" s="41" t="n"/>
      <c r="U1664" s="43">
        <f>IF(OR($B1664="",$L1664=""),"",WORKDAY($B1664,IFERROR(INDEX(LISTAS!$C$3:$C$42,MATCH($L1664,LISTAS!$A$3:$A$42,0)),3)))</f>
        <v/>
      </c>
      <c r="V1664" s="40" t="n"/>
      <c r="W1664" s="19">
        <f>IF($B1664="","",IF($V1664&lt;&gt;"",$V1664-$B1664,TODAY()-$B1664))</f>
        <v/>
      </c>
      <c r="X1664" s="19">
        <f>IF(OR($B1664="",$U1664=""),"",IF($V1664&lt;&gt;"",MAX(0,$V1664-$U1664),MAX(0,TODAY()-$U1664)))</f>
        <v/>
      </c>
      <c r="Y1664" s="39">
        <f>IF($C1664="","",IF(IFERROR(INDEX(LISTAS!$I$3:$I$42,MATCH($T1664,LISTAS!$H$3:$H$42,0)),"NO")="SÍ",IF(N($X1664)&gt;0,"CERRADA FUERA DE SLA","CERRADA EN SLA"),IF($U1664="","SIN CLASIFICAR",IF(N($X1664)&gt;0,"VENCIDA",IF(TODAY()&gt;=$U1664-1,"POR VENCER","EN PLAZO")))))</f>
        <v/>
      </c>
      <c r="Z1664" s="41" t="n"/>
      <c r="AA1664" s="41" t="n"/>
      <c r="AB1664" s="41" t="n"/>
    </row>
    <row r="1665">
      <c r="A1665" s="39">
        <f>IF($C1665="","","NOV-"&amp;TEXT(ROW()-3,"0000"))</f>
        <v/>
      </c>
      <c r="B1665" s="40" t="n"/>
      <c r="C1665" s="41" t="n"/>
      <c r="D1665" s="42">
        <f>IF($C1665="","",IFERROR(INDEX(DESPACHOS!$D$3:$D$3002,MATCH($C1665,DESPACHOS!$B$3:$B$3002,0)),"SIN DESPACHO"))</f>
        <v/>
      </c>
      <c r="E1665" s="42">
        <f>IF($C1665="","",IFERROR(INDEX(DESPACHOS!$K$3:$K$3002,MATCH($C1665,DESPACHOS!$B$3:$B$3002,0)),""))</f>
        <v/>
      </c>
      <c r="F1665" s="42">
        <f>IF($C1665="","",IFERROR(INDEX(DESPACHOS!$I$3:$I$3002,MATCH($C1665,DESPACHOS!$B$3:$B$3002,0)),""))</f>
        <v/>
      </c>
      <c r="G1665" s="42">
        <f>IF($C1665="","",IFERROR(INDEX(DESPACHOS!$F$3:$F$3002,MATCH($C1665,DESPACHOS!$B$3:$B$3002,0)),""))</f>
        <v/>
      </c>
      <c r="H1665" s="42">
        <f>IF($C1665="","",IFERROR(INDEX(DESPACHOS!$G$3:$G$3002,MATCH($C1665,DESPACHOS!$B$3:$B$3002,0)),""))</f>
        <v/>
      </c>
      <c r="I1665" s="39">
        <f>IF($C1665="","",IFERROR(INDEX(DESPACHOS!$H$3:$H$3002,MATCH($C1665,DESPACHOS!$B$3:$B$3002,0)),""))</f>
        <v/>
      </c>
      <c r="J1665" s="43">
        <f>IF($C1665="","",IFERROR(INDEX(DESPACHOS!$J$3:$J$3002,MATCH($C1665,DESPACHOS!$B$3:$B$3002,0)),""))</f>
        <v/>
      </c>
      <c r="K1665" s="39">
        <f>IF($C1665="","",IF(COUNTIFS(DESPACHOS!$B$3:$B$3002,$C1665)=0,"NO EXISTE",IF(COUNTIFS(DESPACHOS!$B$3:$B$3002,$C1665)&gt;1,"DUPLICADO","OK")))</f>
        <v/>
      </c>
      <c r="L1665" s="41" t="n"/>
      <c r="M1665" s="41" t="n"/>
      <c r="N1665" s="42">
        <f>IF($M1665="","",IFERROR(INDEX(LISTAS!$F$3:$F$42,MATCH($M1665,LISTAS!$E$3:$E$42,0)),"Por definir"))</f>
        <v/>
      </c>
      <c r="O1665" s="41" t="n"/>
      <c r="P1665" s="39">
        <f>IF($L1665="","",IFERROR(INDEX(LISTAS!$B$3:$B$42,MATCH($L1665,LISTAS!$A$3:$A$42,0)),"Media"))</f>
        <v/>
      </c>
      <c r="Q1665" s="44" t="n"/>
      <c r="R1665" s="45" t="n"/>
      <c r="S1665" s="20">
        <f>IFERROR(IF(OR($R1665="",$C1665=""),"",$R1665/INDEX(DESPACHOS!$M$3:$M$3002,MATCH($C1665,DESPACHOS!$B$3:$B$3002,0))),"")</f>
        <v/>
      </c>
      <c r="T1665" s="41" t="n"/>
      <c r="U1665" s="43">
        <f>IF(OR($B1665="",$L1665=""),"",WORKDAY($B1665,IFERROR(INDEX(LISTAS!$C$3:$C$42,MATCH($L1665,LISTAS!$A$3:$A$42,0)),3)))</f>
        <v/>
      </c>
      <c r="V1665" s="40" t="n"/>
      <c r="W1665" s="19">
        <f>IF($B1665="","",IF($V1665&lt;&gt;"",$V1665-$B1665,TODAY()-$B1665))</f>
        <v/>
      </c>
      <c r="X1665" s="19">
        <f>IF(OR($B1665="",$U1665=""),"",IF($V1665&lt;&gt;"",MAX(0,$V1665-$U1665),MAX(0,TODAY()-$U1665)))</f>
        <v/>
      </c>
      <c r="Y1665" s="39">
        <f>IF($C1665="","",IF(IFERROR(INDEX(LISTAS!$I$3:$I$42,MATCH($T1665,LISTAS!$H$3:$H$42,0)),"NO")="SÍ",IF(N($X1665)&gt;0,"CERRADA FUERA DE SLA","CERRADA EN SLA"),IF($U1665="","SIN CLASIFICAR",IF(N($X1665)&gt;0,"VENCIDA",IF(TODAY()&gt;=$U1665-1,"POR VENCER","EN PLAZO")))))</f>
        <v/>
      </c>
      <c r="Z1665" s="41" t="n"/>
      <c r="AA1665" s="41" t="n"/>
      <c r="AB1665" s="41" t="n"/>
    </row>
    <row r="1666">
      <c r="A1666" s="39">
        <f>IF($C1666="","","NOV-"&amp;TEXT(ROW()-3,"0000"))</f>
        <v/>
      </c>
      <c r="B1666" s="40" t="n"/>
      <c r="C1666" s="41" t="n"/>
      <c r="D1666" s="42">
        <f>IF($C1666="","",IFERROR(INDEX(DESPACHOS!$D$3:$D$3002,MATCH($C1666,DESPACHOS!$B$3:$B$3002,0)),"SIN DESPACHO"))</f>
        <v/>
      </c>
      <c r="E1666" s="42">
        <f>IF($C1666="","",IFERROR(INDEX(DESPACHOS!$K$3:$K$3002,MATCH($C1666,DESPACHOS!$B$3:$B$3002,0)),""))</f>
        <v/>
      </c>
      <c r="F1666" s="42">
        <f>IF($C1666="","",IFERROR(INDEX(DESPACHOS!$I$3:$I$3002,MATCH($C1666,DESPACHOS!$B$3:$B$3002,0)),""))</f>
        <v/>
      </c>
      <c r="G1666" s="42">
        <f>IF($C1666="","",IFERROR(INDEX(DESPACHOS!$F$3:$F$3002,MATCH($C1666,DESPACHOS!$B$3:$B$3002,0)),""))</f>
        <v/>
      </c>
      <c r="H1666" s="42">
        <f>IF($C1666="","",IFERROR(INDEX(DESPACHOS!$G$3:$G$3002,MATCH($C1666,DESPACHOS!$B$3:$B$3002,0)),""))</f>
        <v/>
      </c>
      <c r="I1666" s="39">
        <f>IF($C1666="","",IFERROR(INDEX(DESPACHOS!$H$3:$H$3002,MATCH($C1666,DESPACHOS!$B$3:$B$3002,0)),""))</f>
        <v/>
      </c>
      <c r="J1666" s="43">
        <f>IF($C1666="","",IFERROR(INDEX(DESPACHOS!$J$3:$J$3002,MATCH($C1666,DESPACHOS!$B$3:$B$3002,0)),""))</f>
        <v/>
      </c>
      <c r="K1666" s="39">
        <f>IF($C1666="","",IF(COUNTIFS(DESPACHOS!$B$3:$B$3002,$C1666)=0,"NO EXISTE",IF(COUNTIFS(DESPACHOS!$B$3:$B$3002,$C1666)&gt;1,"DUPLICADO","OK")))</f>
        <v/>
      </c>
      <c r="L1666" s="41" t="n"/>
      <c r="M1666" s="41" t="n"/>
      <c r="N1666" s="42">
        <f>IF($M1666="","",IFERROR(INDEX(LISTAS!$F$3:$F$42,MATCH($M1666,LISTAS!$E$3:$E$42,0)),"Por definir"))</f>
        <v/>
      </c>
      <c r="O1666" s="41" t="n"/>
      <c r="P1666" s="39">
        <f>IF($L1666="","",IFERROR(INDEX(LISTAS!$B$3:$B$42,MATCH($L1666,LISTAS!$A$3:$A$42,0)),"Media"))</f>
        <v/>
      </c>
      <c r="Q1666" s="44" t="n"/>
      <c r="R1666" s="45" t="n"/>
      <c r="S1666" s="20">
        <f>IFERROR(IF(OR($R1666="",$C1666=""),"",$R1666/INDEX(DESPACHOS!$M$3:$M$3002,MATCH($C1666,DESPACHOS!$B$3:$B$3002,0))),"")</f>
        <v/>
      </c>
      <c r="T1666" s="41" t="n"/>
      <c r="U1666" s="43">
        <f>IF(OR($B1666="",$L1666=""),"",WORKDAY($B1666,IFERROR(INDEX(LISTAS!$C$3:$C$42,MATCH($L1666,LISTAS!$A$3:$A$42,0)),3)))</f>
        <v/>
      </c>
      <c r="V1666" s="40" t="n"/>
      <c r="W1666" s="19">
        <f>IF($B1666="","",IF($V1666&lt;&gt;"",$V1666-$B1666,TODAY()-$B1666))</f>
        <v/>
      </c>
      <c r="X1666" s="19">
        <f>IF(OR($B1666="",$U1666=""),"",IF($V1666&lt;&gt;"",MAX(0,$V1666-$U1666),MAX(0,TODAY()-$U1666)))</f>
        <v/>
      </c>
      <c r="Y1666" s="39">
        <f>IF($C1666="","",IF(IFERROR(INDEX(LISTAS!$I$3:$I$42,MATCH($T1666,LISTAS!$H$3:$H$42,0)),"NO")="SÍ",IF(N($X1666)&gt;0,"CERRADA FUERA DE SLA","CERRADA EN SLA"),IF($U1666="","SIN CLASIFICAR",IF(N($X1666)&gt;0,"VENCIDA",IF(TODAY()&gt;=$U1666-1,"POR VENCER","EN PLAZO")))))</f>
        <v/>
      </c>
      <c r="Z1666" s="41" t="n"/>
      <c r="AA1666" s="41" t="n"/>
      <c r="AB1666" s="41" t="n"/>
    </row>
    <row r="1667">
      <c r="A1667" s="39">
        <f>IF($C1667="","","NOV-"&amp;TEXT(ROW()-3,"0000"))</f>
        <v/>
      </c>
      <c r="B1667" s="40" t="n"/>
      <c r="C1667" s="41" t="n"/>
      <c r="D1667" s="42">
        <f>IF($C1667="","",IFERROR(INDEX(DESPACHOS!$D$3:$D$3002,MATCH($C1667,DESPACHOS!$B$3:$B$3002,0)),"SIN DESPACHO"))</f>
        <v/>
      </c>
      <c r="E1667" s="42">
        <f>IF($C1667="","",IFERROR(INDEX(DESPACHOS!$K$3:$K$3002,MATCH($C1667,DESPACHOS!$B$3:$B$3002,0)),""))</f>
        <v/>
      </c>
      <c r="F1667" s="42">
        <f>IF($C1667="","",IFERROR(INDEX(DESPACHOS!$I$3:$I$3002,MATCH($C1667,DESPACHOS!$B$3:$B$3002,0)),""))</f>
        <v/>
      </c>
      <c r="G1667" s="42">
        <f>IF($C1667="","",IFERROR(INDEX(DESPACHOS!$F$3:$F$3002,MATCH($C1667,DESPACHOS!$B$3:$B$3002,0)),""))</f>
        <v/>
      </c>
      <c r="H1667" s="42">
        <f>IF($C1667="","",IFERROR(INDEX(DESPACHOS!$G$3:$G$3002,MATCH($C1667,DESPACHOS!$B$3:$B$3002,0)),""))</f>
        <v/>
      </c>
      <c r="I1667" s="39">
        <f>IF($C1667="","",IFERROR(INDEX(DESPACHOS!$H$3:$H$3002,MATCH($C1667,DESPACHOS!$B$3:$B$3002,0)),""))</f>
        <v/>
      </c>
      <c r="J1667" s="43">
        <f>IF($C1667="","",IFERROR(INDEX(DESPACHOS!$J$3:$J$3002,MATCH($C1667,DESPACHOS!$B$3:$B$3002,0)),""))</f>
        <v/>
      </c>
      <c r="K1667" s="39">
        <f>IF($C1667="","",IF(COUNTIFS(DESPACHOS!$B$3:$B$3002,$C1667)=0,"NO EXISTE",IF(COUNTIFS(DESPACHOS!$B$3:$B$3002,$C1667)&gt;1,"DUPLICADO","OK")))</f>
        <v/>
      </c>
      <c r="L1667" s="41" t="n"/>
      <c r="M1667" s="41" t="n"/>
      <c r="N1667" s="42">
        <f>IF($M1667="","",IFERROR(INDEX(LISTAS!$F$3:$F$42,MATCH($M1667,LISTAS!$E$3:$E$42,0)),"Por definir"))</f>
        <v/>
      </c>
      <c r="O1667" s="41" t="n"/>
      <c r="P1667" s="39">
        <f>IF($L1667="","",IFERROR(INDEX(LISTAS!$B$3:$B$42,MATCH($L1667,LISTAS!$A$3:$A$42,0)),"Media"))</f>
        <v/>
      </c>
      <c r="Q1667" s="44" t="n"/>
      <c r="R1667" s="45" t="n"/>
      <c r="S1667" s="20">
        <f>IFERROR(IF(OR($R1667="",$C1667=""),"",$R1667/INDEX(DESPACHOS!$M$3:$M$3002,MATCH($C1667,DESPACHOS!$B$3:$B$3002,0))),"")</f>
        <v/>
      </c>
      <c r="T1667" s="41" t="n"/>
      <c r="U1667" s="43">
        <f>IF(OR($B1667="",$L1667=""),"",WORKDAY($B1667,IFERROR(INDEX(LISTAS!$C$3:$C$42,MATCH($L1667,LISTAS!$A$3:$A$42,0)),3)))</f>
        <v/>
      </c>
      <c r="V1667" s="40" t="n"/>
      <c r="W1667" s="19">
        <f>IF($B1667="","",IF($V1667&lt;&gt;"",$V1667-$B1667,TODAY()-$B1667))</f>
        <v/>
      </c>
      <c r="X1667" s="19">
        <f>IF(OR($B1667="",$U1667=""),"",IF($V1667&lt;&gt;"",MAX(0,$V1667-$U1667),MAX(0,TODAY()-$U1667)))</f>
        <v/>
      </c>
      <c r="Y1667" s="39">
        <f>IF($C1667="","",IF(IFERROR(INDEX(LISTAS!$I$3:$I$42,MATCH($T1667,LISTAS!$H$3:$H$42,0)),"NO")="SÍ",IF(N($X1667)&gt;0,"CERRADA FUERA DE SLA","CERRADA EN SLA"),IF($U1667="","SIN CLASIFICAR",IF(N($X1667)&gt;0,"VENCIDA",IF(TODAY()&gt;=$U1667-1,"POR VENCER","EN PLAZO")))))</f>
        <v/>
      </c>
      <c r="Z1667" s="41" t="n"/>
      <c r="AA1667" s="41" t="n"/>
      <c r="AB1667" s="41" t="n"/>
    </row>
    <row r="1668">
      <c r="A1668" s="39">
        <f>IF($C1668="","","NOV-"&amp;TEXT(ROW()-3,"0000"))</f>
        <v/>
      </c>
      <c r="B1668" s="40" t="n"/>
      <c r="C1668" s="41" t="n"/>
      <c r="D1668" s="42">
        <f>IF($C1668="","",IFERROR(INDEX(DESPACHOS!$D$3:$D$3002,MATCH($C1668,DESPACHOS!$B$3:$B$3002,0)),"SIN DESPACHO"))</f>
        <v/>
      </c>
      <c r="E1668" s="42">
        <f>IF($C1668="","",IFERROR(INDEX(DESPACHOS!$K$3:$K$3002,MATCH($C1668,DESPACHOS!$B$3:$B$3002,0)),""))</f>
        <v/>
      </c>
      <c r="F1668" s="42">
        <f>IF($C1668="","",IFERROR(INDEX(DESPACHOS!$I$3:$I$3002,MATCH($C1668,DESPACHOS!$B$3:$B$3002,0)),""))</f>
        <v/>
      </c>
      <c r="G1668" s="42">
        <f>IF($C1668="","",IFERROR(INDEX(DESPACHOS!$F$3:$F$3002,MATCH($C1668,DESPACHOS!$B$3:$B$3002,0)),""))</f>
        <v/>
      </c>
      <c r="H1668" s="42">
        <f>IF($C1668="","",IFERROR(INDEX(DESPACHOS!$G$3:$G$3002,MATCH($C1668,DESPACHOS!$B$3:$B$3002,0)),""))</f>
        <v/>
      </c>
      <c r="I1668" s="39">
        <f>IF($C1668="","",IFERROR(INDEX(DESPACHOS!$H$3:$H$3002,MATCH($C1668,DESPACHOS!$B$3:$B$3002,0)),""))</f>
        <v/>
      </c>
      <c r="J1668" s="43">
        <f>IF($C1668="","",IFERROR(INDEX(DESPACHOS!$J$3:$J$3002,MATCH($C1668,DESPACHOS!$B$3:$B$3002,0)),""))</f>
        <v/>
      </c>
      <c r="K1668" s="39">
        <f>IF($C1668="","",IF(COUNTIFS(DESPACHOS!$B$3:$B$3002,$C1668)=0,"NO EXISTE",IF(COUNTIFS(DESPACHOS!$B$3:$B$3002,$C1668)&gt;1,"DUPLICADO","OK")))</f>
        <v/>
      </c>
      <c r="L1668" s="41" t="n"/>
      <c r="M1668" s="41" t="n"/>
      <c r="N1668" s="42">
        <f>IF($M1668="","",IFERROR(INDEX(LISTAS!$F$3:$F$42,MATCH($M1668,LISTAS!$E$3:$E$42,0)),"Por definir"))</f>
        <v/>
      </c>
      <c r="O1668" s="41" t="n"/>
      <c r="P1668" s="39">
        <f>IF($L1668="","",IFERROR(INDEX(LISTAS!$B$3:$B$42,MATCH($L1668,LISTAS!$A$3:$A$42,0)),"Media"))</f>
        <v/>
      </c>
      <c r="Q1668" s="44" t="n"/>
      <c r="R1668" s="45" t="n"/>
      <c r="S1668" s="20">
        <f>IFERROR(IF(OR($R1668="",$C1668=""),"",$R1668/INDEX(DESPACHOS!$M$3:$M$3002,MATCH($C1668,DESPACHOS!$B$3:$B$3002,0))),"")</f>
        <v/>
      </c>
      <c r="T1668" s="41" t="n"/>
      <c r="U1668" s="43">
        <f>IF(OR($B1668="",$L1668=""),"",WORKDAY($B1668,IFERROR(INDEX(LISTAS!$C$3:$C$42,MATCH($L1668,LISTAS!$A$3:$A$42,0)),3)))</f>
        <v/>
      </c>
      <c r="V1668" s="40" t="n"/>
      <c r="W1668" s="19">
        <f>IF($B1668="","",IF($V1668&lt;&gt;"",$V1668-$B1668,TODAY()-$B1668))</f>
        <v/>
      </c>
      <c r="X1668" s="19">
        <f>IF(OR($B1668="",$U1668=""),"",IF($V1668&lt;&gt;"",MAX(0,$V1668-$U1668),MAX(0,TODAY()-$U1668)))</f>
        <v/>
      </c>
      <c r="Y1668" s="39">
        <f>IF($C1668="","",IF(IFERROR(INDEX(LISTAS!$I$3:$I$42,MATCH($T1668,LISTAS!$H$3:$H$42,0)),"NO")="SÍ",IF(N($X1668)&gt;0,"CERRADA FUERA DE SLA","CERRADA EN SLA"),IF($U1668="","SIN CLASIFICAR",IF(N($X1668)&gt;0,"VENCIDA",IF(TODAY()&gt;=$U1668-1,"POR VENCER","EN PLAZO")))))</f>
        <v/>
      </c>
      <c r="Z1668" s="41" t="n"/>
      <c r="AA1668" s="41" t="n"/>
      <c r="AB1668" s="41" t="n"/>
    </row>
    <row r="1669">
      <c r="A1669" s="39">
        <f>IF($C1669="","","NOV-"&amp;TEXT(ROW()-3,"0000"))</f>
        <v/>
      </c>
      <c r="B1669" s="40" t="n"/>
      <c r="C1669" s="41" t="n"/>
      <c r="D1669" s="42">
        <f>IF($C1669="","",IFERROR(INDEX(DESPACHOS!$D$3:$D$3002,MATCH($C1669,DESPACHOS!$B$3:$B$3002,0)),"SIN DESPACHO"))</f>
        <v/>
      </c>
      <c r="E1669" s="42">
        <f>IF($C1669="","",IFERROR(INDEX(DESPACHOS!$K$3:$K$3002,MATCH($C1669,DESPACHOS!$B$3:$B$3002,0)),""))</f>
        <v/>
      </c>
      <c r="F1669" s="42">
        <f>IF($C1669="","",IFERROR(INDEX(DESPACHOS!$I$3:$I$3002,MATCH($C1669,DESPACHOS!$B$3:$B$3002,0)),""))</f>
        <v/>
      </c>
      <c r="G1669" s="42">
        <f>IF($C1669="","",IFERROR(INDEX(DESPACHOS!$F$3:$F$3002,MATCH($C1669,DESPACHOS!$B$3:$B$3002,0)),""))</f>
        <v/>
      </c>
      <c r="H1669" s="42">
        <f>IF($C1669="","",IFERROR(INDEX(DESPACHOS!$G$3:$G$3002,MATCH($C1669,DESPACHOS!$B$3:$B$3002,0)),""))</f>
        <v/>
      </c>
      <c r="I1669" s="39">
        <f>IF($C1669="","",IFERROR(INDEX(DESPACHOS!$H$3:$H$3002,MATCH($C1669,DESPACHOS!$B$3:$B$3002,0)),""))</f>
        <v/>
      </c>
      <c r="J1669" s="43">
        <f>IF($C1669="","",IFERROR(INDEX(DESPACHOS!$J$3:$J$3002,MATCH($C1669,DESPACHOS!$B$3:$B$3002,0)),""))</f>
        <v/>
      </c>
      <c r="K1669" s="39">
        <f>IF($C1669="","",IF(COUNTIFS(DESPACHOS!$B$3:$B$3002,$C1669)=0,"NO EXISTE",IF(COUNTIFS(DESPACHOS!$B$3:$B$3002,$C1669)&gt;1,"DUPLICADO","OK")))</f>
        <v/>
      </c>
      <c r="L1669" s="41" t="n"/>
      <c r="M1669" s="41" t="n"/>
      <c r="N1669" s="42">
        <f>IF($M1669="","",IFERROR(INDEX(LISTAS!$F$3:$F$42,MATCH($M1669,LISTAS!$E$3:$E$42,0)),"Por definir"))</f>
        <v/>
      </c>
      <c r="O1669" s="41" t="n"/>
      <c r="P1669" s="39">
        <f>IF($L1669="","",IFERROR(INDEX(LISTAS!$B$3:$B$42,MATCH($L1669,LISTAS!$A$3:$A$42,0)),"Media"))</f>
        <v/>
      </c>
      <c r="Q1669" s="44" t="n"/>
      <c r="R1669" s="45" t="n"/>
      <c r="S1669" s="20">
        <f>IFERROR(IF(OR($R1669="",$C1669=""),"",$R1669/INDEX(DESPACHOS!$M$3:$M$3002,MATCH($C1669,DESPACHOS!$B$3:$B$3002,0))),"")</f>
        <v/>
      </c>
      <c r="T1669" s="41" t="n"/>
      <c r="U1669" s="43">
        <f>IF(OR($B1669="",$L1669=""),"",WORKDAY($B1669,IFERROR(INDEX(LISTAS!$C$3:$C$42,MATCH($L1669,LISTAS!$A$3:$A$42,0)),3)))</f>
        <v/>
      </c>
      <c r="V1669" s="40" t="n"/>
      <c r="W1669" s="19">
        <f>IF($B1669="","",IF($V1669&lt;&gt;"",$V1669-$B1669,TODAY()-$B1669))</f>
        <v/>
      </c>
      <c r="X1669" s="19">
        <f>IF(OR($B1669="",$U1669=""),"",IF($V1669&lt;&gt;"",MAX(0,$V1669-$U1669),MAX(0,TODAY()-$U1669)))</f>
        <v/>
      </c>
      <c r="Y1669" s="39">
        <f>IF($C1669="","",IF(IFERROR(INDEX(LISTAS!$I$3:$I$42,MATCH($T1669,LISTAS!$H$3:$H$42,0)),"NO")="SÍ",IF(N($X1669)&gt;0,"CERRADA FUERA DE SLA","CERRADA EN SLA"),IF($U1669="","SIN CLASIFICAR",IF(N($X1669)&gt;0,"VENCIDA",IF(TODAY()&gt;=$U1669-1,"POR VENCER","EN PLAZO")))))</f>
        <v/>
      </c>
      <c r="Z1669" s="41" t="n"/>
      <c r="AA1669" s="41" t="n"/>
      <c r="AB1669" s="41" t="n"/>
    </row>
    <row r="1670">
      <c r="A1670" s="39">
        <f>IF($C1670="","","NOV-"&amp;TEXT(ROW()-3,"0000"))</f>
        <v/>
      </c>
      <c r="B1670" s="40" t="n"/>
      <c r="C1670" s="41" t="n"/>
      <c r="D1670" s="42">
        <f>IF($C1670="","",IFERROR(INDEX(DESPACHOS!$D$3:$D$3002,MATCH($C1670,DESPACHOS!$B$3:$B$3002,0)),"SIN DESPACHO"))</f>
        <v/>
      </c>
      <c r="E1670" s="42">
        <f>IF($C1670="","",IFERROR(INDEX(DESPACHOS!$K$3:$K$3002,MATCH($C1670,DESPACHOS!$B$3:$B$3002,0)),""))</f>
        <v/>
      </c>
      <c r="F1670" s="42">
        <f>IF($C1670="","",IFERROR(INDEX(DESPACHOS!$I$3:$I$3002,MATCH($C1670,DESPACHOS!$B$3:$B$3002,0)),""))</f>
        <v/>
      </c>
      <c r="G1670" s="42">
        <f>IF($C1670="","",IFERROR(INDEX(DESPACHOS!$F$3:$F$3002,MATCH($C1670,DESPACHOS!$B$3:$B$3002,0)),""))</f>
        <v/>
      </c>
      <c r="H1670" s="42">
        <f>IF($C1670="","",IFERROR(INDEX(DESPACHOS!$G$3:$G$3002,MATCH($C1670,DESPACHOS!$B$3:$B$3002,0)),""))</f>
        <v/>
      </c>
      <c r="I1670" s="39">
        <f>IF($C1670="","",IFERROR(INDEX(DESPACHOS!$H$3:$H$3002,MATCH($C1670,DESPACHOS!$B$3:$B$3002,0)),""))</f>
        <v/>
      </c>
      <c r="J1670" s="43">
        <f>IF($C1670="","",IFERROR(INDEX(DESPACHOS!$J$3:$J$3002,MATCH($C1670,DESPACHOS!$B$3:$B$3002,0)),""))</f>
        <v/>
      </c>
      <c r="K1670" s="39">
        <f>IF($C1670="","",IF(COUNTIFS(DESPACHOS!$B$3:$B$3002,$C1670)=0,"NO EXISTE",IF(COUNTIFS(DESPACHOS!$B$3:$B$3002,$C1670)&gt;1,"DUPLICADO","OK")))</f>
        <v/>
      </c>
      <c r="L1670" s="41" t="n"/>
      <c r="M1670" s="41" t="n"/>
      <c r="N1670" s="42">
        <f>IF($M1670="","",IFERROR(INDEX(LISTAS!$F$3:$F$42,MATCH($M1670,LISTAS!$E$3:$E$42,0)),"Por definir"))</f>
        <v/>
      </c>
      <c r="O1670" s="41" t="n"/>
      <c r="P1670" s="39">
        <f>IF($L1670="","",IFERROR(INDEX(LISTAS!$B$3:$B$42,MATCH($L1670,LISTAS!$A$3:$A$42,0)),"Media"))</f>
        <v/>
      </c>
      <c r="Q1670" s="44" t="n"/>
      <c r="R1670" s="45" t="n"/>
      <c r="S1670" s="20">
        <f>IFERROR(IF(OR($R1670="",$C1670=""),"",$R1670/INDEX(DESPACHOS!$M$3:$M$3002,MATCH($C1670,DESPACHOS!$B$3:$B$3002,0))),"")</f>
        <v/>
      </c>
      <c r="T1670" s="41" t="n"/>
      <c r="U1670" s="43">
        <f>IF(OR($B1670="",$L1670=""),"",WORKDAY($B1670,IFERROR(INDEX(LISTAS!$C$3:$C$42,MATCH($L1670,LISTAS!$A$3:$A$42,0)),3)))</f>
        <v/>
      </c>
      <c r="V1670" s="40" t="n"/>
      <c r="W1670" s="19">
        <f>IF($B1670="","",IF($V1670&lt;&gt;"",$V1670-$B1670,TODAY()-$B1670))</f>
        <v/>
      </c>
      <c r="X1670" s="19">
        <f>IF(OR($B1670="",$U1670=""),"",IF($V1670&lt;&gt;"",MAX(0,$V1670-$U1670),MAX(0,TODAY()-$U1670)))</f>
        <v/>
      </c>
      <c r="Y1670" s="39">
        <f>IF($C1670="","",IF(IFERROR(INDEX(LISTAS!$I$3:$I$42,MATCH($T1670,LISTAS!$H$3:$H$42,0)),"NO")="SÍ",IF(N($X1670)&gt;0,"CERRADA FUERA DE SLA","CERRADA EN SLA"),IF($U1670="","SIN CLASIFICAR",IF(N($X1670)&gt;0,"VENCIDA",IF(TODAY()&gt;=$U1670-1,"POR VENCER","EN PLAZO")))))</f>
        <v/>
      </c>
      <c r="Z1670" s="41" t="n"/>
      <c r="AA1670" s="41" t="n"/>
      <c r="AB1670" s="41" t="n"/>
    </row>
    <row r="1671">
      <c r="A1671" s="39">
        <f>IF($C1671="","","NOV-"&amp;TEXT(ROW()-3,"0000"))</f>
        <v/>
      </c>
      <c r="B1671" s="40" t="n"/>
      <c r="C1671" s="41" t="n"/>
      <c r="D1671" s="42">
        <f>IF($C1671="","",IFERROR(INDEX(DESPACHOS!$D$3:$D$3002,MATCH($C1671,DESPACHOS!$B$3:$B$3002,0)),"SIN DESPACHO"))</f>
        <v/>
      </c>
      <c r="E1671" s="42">
        <f>IF($C1671="","",IFERROR(INDEX(DESPACHOS!$K$3:$K$3002,MATCH($C1671,DESPACHOS!$B$3:$B$3002,0)),""))</f>
        <v/>
      </c>
      <c r="F1671" s="42">
        <f>IF($C1671="","",IFERROR(INDEX(DESPACHOS!$I$3:$I$3002,MATCH($C1671,DESPACHOS!$B$3:$B$3002,0)),""))</f>
        <v/>
      </c>
      <c r="G1671" s="42">
        <f>IF($C1671="","",IFERROR(INDEX(DESPACHOS!$F$3:$F$3002,MATCH($C1671,DESPACHOS!$B$3:$B$3002,0)),""))</f>
        <v/>
      </c>
      <c r="H1671" s="42">
        <f>IF($C1671="","",IFERROR(INDEX(DESPACHOS!$G$3:$G$3002,MATCH($C1671,DESPACHOS!$B$3:$B$3002,0)),""))</f>
        <v/>
      </c>
      <c r="I1671" s="39">
        <f>IF($C1671="","",IFERROR(INDEX(DESPACHOS!$H$3:$H$3002,MATCH($C1671,DESPACHOS!$B$3:$B$3002,0)),""))</f>
        <v/>
      </c>
      <c r="J1671" s="43">
        <f>IF($C1671="","",IFERROR(INDEX(DESPACHOS!$J$3:$J$3002,MATCH($C1671,DESPACHOS!$B$3:$B$3002,0)),""))</f>
        <v/>
      </c>
      <c r="K1671" s="39">
        <f>IF($C1671="","",IF(COUNTIFS(DESPACHOS!$B$3:$B$3002,$C1671)=0,"NO EXISTE",IF(COUNTIFS(DESPACHOS!$B$3:$B$3002,$C1671)&gt;1,"DUPLICADO","OK")))</f>
        <v/>
      </c>
      <c r="L1671" s="41" t="n"/>
      <c r="M1671" s="41" t="n"/>
      <c r="N1671" s="42">
        <f>IF($M1671="","",IFERROR(INDEX(LISTAS!$F$3:$F$42,MATCH($M1671,LISTAS!$E$3:$E$42,0)),"Por definir"))</f>
        <v/>
      </c>
      <c r="O1671" s="41" t="n"/>
      <c r="P1671" s="39">
        <f>IF($L1671="","",IFERROR(INDEX(LISTAS!$B$3:$B$42,MATCH($L1671,LISTAS!$A$3:$A$42,0)),"Media"))</f>
        <v/>
      </c>
      <c r="Q1671" s="44" t="n"/>
      <c r="R1671" s="45" t="n"/>
      <c r="S1671" s="20">
        <f>IFERROR(IF(OR($R1671="",$C1671=""),"",$R1671/INDEX(DESPACHOS!$M$3:$M$3002,MATCH($C1671,DESPACHOS!$B$3:$B$3002,0))),"")</f>
        <v/>
      </c>
      <c r="T1671" s="41" t="n"/>
      <c r="U1671" s="43">
        <f>IF(OR($B1671="",$L1671=""),"",WORKDAY($B1671,IFERROR(INDEX(LISTAS!$C$3:$C$42,MATCH($L1671,LISTAS!$A$3:$A$42,0)),3)))</f>
        <v/>
      </c>
      <c r="V1671" s="40" t="n"/>
      <c r="W1671" s="19">
        <f>IF($B1671="","",IF($V1671&lt;&gt;"",$V1671-$B1671,TODAY()-$B1671))</f>
        <v/>
      </c>
      <c r="X1671" s="19">
        <f>IF(OR($B1671="",$U1671=""),"",IF($V1671&lt;&gt;"",MAX(0,$V1671-$U1671),MAX(0,TODAY()-$U1671)))</f>
        <v/>
      </c>
      <c r="Y1671" s="39">
        <f>IF($C1671="","",IF(IFERROR(INDEX(LISTAS!$I$3:$I$42,MATCH($T1671,LISTAS!$H$3:$H$42,0)),"NO")="SÍ",IF(N($X1671)&gt;0,"CERRADA FUERA DE SLA","CERRADA EN SLA"),IF($U1671="","SIN CLASIFICAR",IF(N($X1671)&gt;0,"VENCIDA",IF(TODAY()&gt;=$U1671-1,"POR VENCER","EN PLAZO")))))</f>
        <v/>
      </c>
      <c r="Z1671" s="41" t="n"/>
      <c r="AA1671" s="41" t="n"/>
      <c r="AB1671" s="41" t="n"/>
    </row>
    <row r="1672">
      <c r="A1672" s="39">
        <f>IF($C1672="","","NOV-"&amp;TEXT(ROW()-3,"0000"))</f>
        <v/>
      </c>
      <c r="B1672" s="40" t="n"/>
      <c r="C1672" s="41" t="n"/>
      <c r="D1672" s="42">
        <f>IF($C1672="","",IFERROR(INDEX(DESPACHOS!$D$3:$D$3002,MATCH($C1672,DESPACHOS!$B$3:$B$3002,0)),"SIN DESPACHO"))</f>
        <v/>
      </c>
      <c r="E1672" s="42">
        <f>IF($C1672="","",IFERROR(INDEX(DESPACHOS!$K$3:$K$3002,MATCH($C1672,DESPACHOS!$B$3:$B$3002,0)),""))</f>
        <v/>
      </c>
      <c r="F1672" s="42">
        <f>IF($C1672="","",IFERROR(INDEX(DESPACHOS!$I$3:$I$3002,MATCH($C1672,DESPACHOS!$B$3:$B$3002,0)),""))</f>
        <v/>
      </c>
      <c r="G1672" s="42">
        <f>IF($C1672="","",IFERROR(INDEX(DESPACHOS!$F$3:$F$3002,MATCH($C1672,DESPACHOS!$B$3:$B$3002,0)),""))</f>
        <v/>
      </c>
      <c r="H1672" s="42">
        <f>IF($C1672="","",IFERROR(INDEX(DESPACHOS!$G$3:$G$3002,MATCH($C1672,DESPACHOS!$B$3:$B$3002,0)),""))</f>
        <v/>
      </c>
      <c r="I1672" s="39">
        <f>IF($C1672="","",IFERROR(INDEX(DESPACHOS!$H$3:$H$3002,MATCH($C1672,DESPACHOS!$B$3:$B$3002,0)),""))</f>
        <v/>
      </c>
      <c r="J1672" s="43">
        <f>IF($C1672="","",IFERROR(INDEX(DESPACHOS!$J$3:$J$3002,MATCH($C1672,DESPACHOS!$B$3:$B$3002,0)),""))</f>
        <v/>
      </c>
      <c r="K1672" s="39">
        <f>IF($C1672="","",IF(COUNTIFS(DESPACHOS!$B$3:$B$3002,$C1672)=0,"NO EXISTE",IF(COUNTIFS(DESPACHOS!$B$3:$B$3002,$C1672)&gt;1,"DUPLICADO","OK")))</f>
        <v/>
      </c>
      <c r="L1672" s="41" t="n"/>
      <c r="M1672" s="41" t="n"/>
      <c r="N1672" s="42">
        <f>IF($M1672="","",IFERROR(INDEX(LISTAS!$F$3:$F$42,MATCH($M1672,LISTAS!$E$3:$E$42,0)),"Por definir"))</f>
        <v/>
      </c>
      <c r="O1672" s="41" t="n"/>
      <c r="P1672" s="39">
        <f>IF($L1672="","",IFERROR(INDEX(LISTAS!$B$3:$B$42,MATCH($L1672,LISTAS!$A$3:$A$42,0)),"Media"))</f>
        <v/>
      </c>
      <c r="Q1672" s="44" t="n"/>
      <c r="R1672" s="45" t="n"/>
      <c r="S1672" s="20">
        <f>IFERROR(IF(OR($R1672="",$C1672=""),"",$R1672/INDEX(DESPACHOS!$M$3:$M$3002,MATCH($C1672,DESPACHOS!$B$3:$B$3002,0))),"")</f>
        <v/>
      </c>
      <c r="T1672" s="41" t="n"/>
      <c r="U1672" s="43">
        <f>IF(OR($B1672="",$L1672=""),"",WORKDAY($B1672,IFERROR(INDEX(LISTAS!$C$3:$C$42,MATCH($L1672,LISTAS!$A$3:$A$42,0)),3)))</f>
        <v/>
      </c>
      <c r="V1672" s="40" t="n"/>
      <c r="W1672" s="19">
        <f>IF($B1672="","",IF($V1672&lt;&gt;"",$V1672-$B1672,TODAY()-$B1672))</f>
        <v/>
      </c>
      <c r="X1672" s="19">
        <f>IF(OR($B1672="",$U1672=""),"",IF($V1672&lt;&gt;"",MAX(0,$V1672-$U1672),MAX(0,TODAY()-$U1672)))</f>
        <v/>
      </c>
      <c r="Y1672" s="39">
        <f>IF($C1672="","",IF(IFERROR(INDEX(LISTAS!$I$3:$I$42,MATCH($T1672,LISTAS!$H$3:$H$42,0)),"NO")="SÍ",IF(N($X1672)&gt;0,"CERRADA FUERA DE SLA","CERRADA EN SLA"),IF($U1672="","SIN CLASIFICAR",IF(N($X1672)&gt;0,"VENCIDA",IF(TODAY()&gt;=$U1672-1,"POR VENCER","EN PLAZO")))))</f>
        <v/>
      </c>
      <c r="Z1672" s="41" t="n"/>
      <c r="AA1672" s="41" t="n"/>
      <c r="AB1672" s="41" t="n"/>
    </row>
    <row r="1673">
      <c r="A1673" s="39">
        <f>IF($C1673="","","NOV-"&amp;TEXT(ROW()-3,"0000"))</f>
        <v/>
      </c>
      <c r="B1673" s="40" t="n"/>
      <c r="C1673" s="41" t="n"/>
      <c r="D1673" s="42">
        <f>IF($C1673="","",IFERROR(INDEX(DESPACHOS!$D$3:$D$3002,MATCH($C1673,DESPACHOS!$B$3:$B$3002,0)),"SIN DESPACHO"))</f>
        <v/>
      </c>
      <c r="E1673" s="42">
        <f>IF($C1673="","",IFERROR(INDEX(DESPACHOS!$K$3:$K$3002,MATCH($C1673,DESPACHOS!$B$3:$B$3002,0)),""))</f>
        <v/>
      </c>
      <c r="F1673" s="42">
        <f>IF($C1673="","",IFERROR(INDEX(DESPACHOS!$I$3:$I$3002,MATCH($C1673,DESPACHOS!$B$3:$B$3002,0)),""))</f>
        <v/>
      </c>
      <c r="G1673" s="42">
        <f>IF($C1673="","",IFERROR(INDEX(DESPACHOS!$F$3:$F$3002,MATCH($C1673,DESPACHOS!$B$3:$B$3002,0)),""))</f>
        <v/>
      </c>
      <c r="H1673" s="42">
        <f>IF($C1673="","",IFERROR(INDEX(DESPACHOS!$G$3:$G$3002,MATCH($C1673,DESPACHOS!$B$3:$B$3002,0)),""))</f>
        <v/>
      </c>
      <c r="I1673" s="39">
        <f>IF($C1673="","",IFERROR(INDEX(DESPACHOS!$H$3:$H$3002,MATCH($C1673,DESPACHOS!$B$3:$B$3002,0)),""))</f>
        <v/>
      </c>
      <c r="J1673" s="43">
        <f>IF($C1673="","",IFERROR(INDEX(DESPACHOS!$J$3:$J$3002,MATCH($C1673,DESPACHOS!$B$3:$B$3002,0)),""))</f>
        <v/>
      </c>
      <c r="K1673" s="39">
        <f>IF($C1673="","",IF(COUNTIFS(DESPACHOS!$B$3:$B$3002,$C1673)=0,"NO EXISTE",IF(COUNTIFS(DESPACHOS!$B$3:$B$3002,$C1673)&gt;1,"DUPLICADO","OK")))</f>
        <v/>
      </c>
      <c r="L1673" s="41" t="n"/>
      <c r="M1673" s="41" t="n"/>
      <c r="N1673" s="42">
        <f>IF($M1673="","",IFERROR(INDEX(LISTAS!$F$3:$F$42,MATCH($M1673,LISTAS!$E$3:$E$42,0)),"Por definir"))</f>
        <v/>
      </c>
      <c r="O1673" s="41" t="n"/>
      <c r="P1673" s="39">
        <f>IF($L1673="","",IFERROR(INDEX(LISTAS!$B$3:$B$42,MATCH($L1673,LISTAS!$A$3:$A$42,0)),"Media"))</f>
        <v/>
      </c>
      <c r="Q1673" s="44" t="n"/>
      <c r="R1673" s="45" t="n"/>
      <c r="S1673" s="20">
        <f>IFERROR(IF(OR($R1673="",$C1673=""),"",$R1673/INDEX(DESPACHOS!$M$3:$M$3002,MATCH($C1673,DESPACHOS!$B$3:$B$3002,0))),"")</f>
        <v/>
      </c>
      <c r="T1673" s="41" t="n"/>
      <c r="U1673" s="43">
        <f>IF(OR($B1673="",$L1673=""),"",WORKDAY($B1673,IFERROR(INDEX(LISTAS!$C$3:$C$42,MATCH($L1673,LISTAS!$A$3:$A$42,0)),3)))</f>
        <v/>
      </c>
      <c r="V1673" s="40" t="n"/>
      <c r="W1673" s="19">
        <f>IF($B1673="","",IF($V1673&lt;&gt;"",$V1673-$B1673,TODAY()-$B1673))</f>
        <v/>
      </c>
      <c r="X1673" s="19">
        <f>IF(OR($B1673="",$U1673=""),"",IF($V1673&lt;&gt;"",MAX(0,$V1673-$U1673),MAX(0,TODAY()-$U1673)))</f>
        <v/>
      </c>
      <c r="Y1673" s="39">
        <f>IF($C1673="","",IF(IFERROR(INDEX(LISTAS!$I$3:$I$42,MATCH($T1673,LISTAS!$H$3:$H$42,0)),"NO")="SÍ",IF(N($X1673)&gt;0,"CERRADA FUERA DE SLA","CERRADA EN SLA"),IF($U1673="","SIN CLASIFICAR",IF(N($X1673)&gt;0,"VENCIDA",IF(TODAY()&gt;=$U1673-1,"POR VENCER","EN PLAZO")))))</f>
        <v/>
      </c>
      <c r="Z1673" s="41" t="n"/>
      <c r="AA1673" s="41" t="n"/>
      <c r="AB1673" s="41" t="n"/>
    </row>
    <row r="1674">
      <c r="A1674" s="39">
        <f>IF($C1674="","","NOV-"&amp;TEXT(ROW()-3,"0000"))</f>
        <v/>
      </c>
      <c r="B1674" s="40" t="n"/>
      <c r="C1674" s="41" t="n"/>
      <c r="D1674" s="42">
        <f>IF($C1674="","",IFERROR(INDEX(DESPACHOS!$D$3:$D$3002,MATCH($C1674,DESPACHOS!$B$3:$B$3002,0)),"SIN DESPACHO"))</f>
        <v/>
      </c>
      <c r="E1674" s="42">
        <f>IF($C1674="","",IFERROR(INDEX(DESPACHOS!$K$3:$K$3002,MATCH($C1674,DESPACHOS!$B$3:$B$3002,0)),""))</f>
        <v/>
      </c>
      <c r="F1674" s="42">
        <f>IF($C1674="","",IFERROR(INDEX(DESPACHOS!$I$3:$I$3002,MATCH($C1674,DESPACHOS!$B$3:$B$3002,0)),""))</f>
        <v/>
      </c>
      <c r="G1674" s="42">
        <f>IF($C1674="","",IFERROR(INDEX(DESPACHOS!$F$3:$F$3002,MATCH($C1674,DESPACHOS!$B$3:$B$3002,0)),""))</f>
        <v/>
      </c>
      <c r="H1674" s="42">
        <f>IF($C1674="","",IFERROR(INDEX(DESPACHOS!$G$3:$G$3002,MATCH($C1674,DESPACHOS!$B$3:$B$3002,0)),""))</f>
        <v/>
      </c>
      <c r="I1674" s="39">
        <f>IF($C1674="","",IFERROR(INDEX(DESPACHOS!$H$3:$H$3002,MATCH($C1674,DESPACHOS!$B$3:$B$3002,0)),""))</f>
        <v/>
      </c>
      <c r="J1674" s="43">
        <f>IF($C1674="","",IFERROR(INDEX(DESPACHOS!$J$3:$J$3002,MATCH($C1674,DESPACHOS!$B$3:$B$3002,0)),""))</f>
        <v/>
      </c>
      <c r="K1674" s="39">
        <f>IF($C1674="","",IF(COUNTIFS(DESPACHOS!$B$3:$B$3002,$C1674)=0,"NO EXISTE",IF(COUNTIFS(DESPACHOS!$B$3:$B$3002,$C1674)&gt;1,"DUPLICADO","OK")))</f>
        <v/>
      </c>
      <c r="L1674" s="41" t="n"/>
      <c r="M1674" s="41" t="n"/>
      <c r="N1674" s="42">
        <f>IF($M1674="","",IFERROR(INDEX(LISTAS!$F$3:$F$42,MATCH($M1674,LISTAS!$E$3:$E$42,0)),"Por definir"))</f>
        <v/>
      </c>
      <c r="O1674" s="41" t="n"/>
      <c r="P1674" s="39">
        <f>IF($L1674="","",IFERROR(INDEX(LISTAS!$B$3:$B$42,MATCH($L1674,LISTAS!$A$3:$A$42,0)),"Media"))</f>
        <v/>
      </c>
      <c r="Q1674" s="44" t="n"/>
      <c r="R1674" s="45" t="n"/>
      <c r="S1674" s="20">
        <f>IFERROR(IF(OR($R1674="",$C1674=""),"",$R1674/INDEX(DESPACHOS!$M$3:$M$3002,MATCH($C1674,DESPACHOS!$B$3:$B$3002,0))),"")</f>
        <v/>
      </c>
      <c r="T1674" s="41" t="n"/>
      <c r="U1674" s="43">
        <f>IF(OR($B1674="",$L1674=""),"",WORKDAY($B1674,IFERROR(INDEX(LISTAS!$C$3:$C$42,MATCH($L1674,LISTAS!$A$3:$A$42,0)),3)))</f>
        <v/>
      </c>
      <c r="V1674" s="40" t="n"/>
      <c r="W1674" s="19">
        <f>IF($B1674="","",IF($V1674&lt;&gt;"",$V1674-$B1674,TODAY()-$B1674))</f>
        <v/>
      </c>
      <c r="X1674" s="19">
        <f>IF(OR($B1674="",$U1674=""),"",IF($V1674&lt;&gt;"",MAX(0,$V1674-$U1674),MAX(0,TODAY()-$U1674)))</f>
        <v/>
      </c>
      <c r="Y1674" s="39">
        <f>IF($C1674="","",IF(IFERROR(INDEX(LISTAS!$I$3:$I$42,MATCH($T1674,LISTAS!$H$3:$H$42,0)),"NO")="SÍ",IF(N($X1674)&gt;0,"CERRADA FUERA DE SLA","CERRADA EN SLA"),IF($U1674="","SIN CLASIFICAR",IF(N($X1674)&gt;0,"VENCIDA",IF(TODAY()&gt;=$U1674-1,"POR VENCER","EN PLAZO")))))</f>
        <v/>
      </c>
      <c r="Z1674" s="41" t="n"/>
      <c r="AA1674" s="41" t="n"/>
      <c r="AB1674" s="41" t="n"/>
    </row>
    <row r="1675">
      <c r="A1675" s="39">
        <f>IF($C1675="","","NOV-"&amp;TEXT(ROW()-3,"0000"))</f>
        <v/>
      </c>
      <c r="B1675" s="40" t="n"/>
      <c r="C1675" s="41" t="n"/>
      <c r="D1675" s="42">
        <f>IF($C1675="","",IFERROR(INDEX(DESPACHOS!$D$3:$D$3002,MATCH($C1675,DESPACHOS!$B$3:$B$3002,0)),"SIN DESPACHO"))</f>
        <v/>
      </c>
      <c r="E1675" s="42">
        <f>IF($C1675="","",IFERROR(INDEX(DESPACHOS!$K$3:$K$3002,MATCH($C1675,DESPACHOS!$B$3:$B$3002,0)),""))</f>
        <v/>
      </c>
      <c r="F1675" s="42">
        <f>IF($C1675="","",IFERROR(INDEX(DESPACHOS!$I$3:$I$3002,MATCH($C1675,DESPACHOS!$B$3:$B$3002,0)),""))</f>
        <v/>
      </c>
      <c r="G1675" s="42">
        <f>IF($C1675="","",IFERROR(INDEX(DESPACHOS!$F$3:$F$3002,MATCH($C1675,DESPACHOS!$B$3:$B$3002,0)),""))</f>
        <v/>
      </c>
      <c r="H1675" s="42">
        <f>IF($C1675="","",IFERROR(INDEX(DESPACHOS!$G$3:$G$3002,MATCH($C1675,DESPACHOS!$B$3:$B$3002,0)),""))</f>
        <v/>
      </c>
      <c r="I1675" s="39">
        <f>IF($C1675="","",IFERROR(INDEX(DESPACHOS!$H$3:$H$3002,MATCH($C1675,DESPACHOS!$B$3:$B$3002,0)),""))</f>
        <v/>
      </c>
      <c r="J1675" s="43">
        <f>IF($C1675="","",IFERROR(INDEX(DESPACHOS!$J$3:$J$3002,MATCH($C1675,DESPACHOS!$B$3:$B$3002,0)),""))</f>
        <v/>
      </c>
      <c r="K1675" s="39">
        <f>IF($C1675="","",IF(COUNTIFS(DESPACHOS!$B$3:$B$3002,$C1675)=0,"NO EXISTE",IF(COUNTIFS(DESPACHOS!$B$3:$B$3002,$C1675)&gt;1,"DUPLICADO","OK")))</f>
        <v/>
      </c>
      <c r="L1675" s="41" t="n"/>
      <c r="M1675" s="41" t="n"/>
      <c r="N1675" s="42">
        <f>IF($M1675="","",IFERROR(INDEX(LISTAS!$F$3:$F$42,MATCH($M1675,LISTAS!$E$3:$E$42,0)),"Por definir"))</f>
        <v/>
      </c>
      <c r="O1675" s="41" t="n"/>
      <c r="P1675" s="39">
        <f>IF($L1675="","",IFERROR(INDEX(LISTAS!$B$3:$B$42,MATCH($L1675,LISTAS!$A$3:$A$42,0)),"Media"))</f>
        <v/>
      </c>
      <c r="Q1675" s="44" t="n"/>
      <c r="R1675" s="45" t="n"/>
      <c r="S1675" s="20">
        <f>IFERROR(IF(OR($R1675="",$C1675=""),"",$R1675/INDEX(DESPACHOS!$M$3:$M$3002,MATCH($C1675,DESPACHOS!$B$3:$B$3002,0))),"")</f>
        <v/>
      </c>
      <c r="T1675" s="41" t="n"/>
      <c r="U1675" s="43">
        <f>IF(OR($B1675="",$L1675=""),"",WORKDAY($B1675,IFERROR(INDEX(LISTAS!$C$3:$C$42,MATCH($L1675,LISTAS!$A$3:$A$42,0)),3)))</f>
        <v/>
      </c>
      <c r="V1675" s="40" t="n"/>
      <c r="W1675" s="19">
        <f>IF($B1675="","",IF($V1675&lt;&gt;"",$V1675-$B1675,TODAY()-$B1675))</f>
        <v/>
      </c>
      <c r="X1675" s="19">
        <f>IF(OR($B1675="",$U1675=""),"",IF($V1675&lt;&gt;"",MAX(0,$V1675-$U1675),MAX(0,TODAY()-$U1675)))</f>
        <v/>
      </c>
      <c r="Y1675" s="39">
        <f>IF($C1675="","",IF(IFERROR(INDEX(LISTAS!$I$3:$I$42,MATCH($T1675,LISTAS!$H$3:$H$42,0)),"NO")="SÍ",IF(N($X1675)&gt;0,"CERRADA FUERA DE SLA","CERRADA EN SLA"),IF($U1675="","SIN CLASIFICAR",IF(N($X1675)&gt;0,"VENCIDA",IF(TODAY()&gt;=$U1675-1,"POR VENCER","EN PLAZO")))))</f>
        <v/>
      </c>
      <c r="Z1675" s="41" t="n"/>
      <c r="AA1675" s="41" t="n"/>
      <c r="AB1675" s="41" t="n"/>
    </row>
    <row r="1676">
      <c r="A1676" s="39">
        <f>IF($C1676="","","NOV-"&amp;TEXT(ROW()-3,"0000"))</f>
        <v/>
      </c>
      <c r="B1676" s="40" t="n"/>
      <c r="C1676" s="41" t="n"/>
      <c r="D1676" s="42">
        <f>IF($C1676="","",IFERROR(INDEX(DESPACHOS!$D$3:$D$3002,MATCH($C1676,DESPACHOS!$B$3:$B$3002,0)),"SIN DESPACHO"))</f>
        <v/>
      </c>
      <c r="E1676" s="42">
        <f>IF($C1676="","",IFERROR(INDEX(DESPACHOS!$K$3:$K$3002,MATCH($C1676,DESPACHOS!$B$3:$B$3002,0)),""))</f>
        <v/>
      </c>
      <c r="F1676" s="42">
        <f>IF($C1676="","",IFERROR(INDEX(DESPACHOS!$I$3:$I$3002,MATCH($C1676,DESPACHOS!$B$3:$B$3002,0)),""))</f>
        <v/>
      </c>
      <c r="G1676" s="42">
        <f>IF($C1676="","",IFERROR(INDEX(DESPACHOS!$F$3:$F$3002,MATCH($C1676,DESPACHOS!$B$3:$B$3002,0)),""))</f>
        <v/>
      </c>
      <c r="H1676" s="42">
        <f>IF($C1676="","",IFERROR(INDEX(DESPACHOS!$G$3:$G$3002,MATCH($C1676,DESPACHOS!$B$3:$B$3002,0)),""))</f>
        <v/>
      </c>
      <c r="I1676" s="39">
        <f>IF($C1676="","",IFERROR(INDEX(DESPACHOS!$H$3:$H$3002,MATCH($C1676,DESPACHOS!$B$3:$B$3002,0)),""))</f>
        <v/>
      </c>
      <c r="J1676" s="43">
        <f>IF($C1676="","",IFERROR(INDEX(DESPACHOS!$J$3:$J$3002,MATCH($C1676,DESPACHOS!$B$3:$B$3002,0)),""))</f>
        <v/>
      </c>
      <c r="K1676" s="39">
        <f>IF($C1676="","",IF(COUNTIFS(DESPACHOS!$B$3:$B$3002,$C1676)=0,"NO EXISTE",IF(COUNTIFS(DESPACHOS!$B$3:$B$3002,$C1676)&gt;1,"DUPLICADO","OK")))</f>
        <v/>
      </c>
      <c r="L1676" s="41" t="n"/>
      <c r="M1676" s="41" t="n"/>
      <c r="N1676" s="42">
        <f>IF($M1676="","",IFERROR(INDEX(LISTAS!$F$3:$F$42,MATCH($M1676,LISTAS!$E$3:$E$42,0)),"Por definir"))</f>
        <v/>
      </c>
      <c r="O1676" s="41" t="n"/>
      <c r="P1676" s="39">
        <f>IF($L1676="","",IFERROR(INDEX(LISTAS!$B$3:$B$42,MATCH($L1676,LISTAS!$A$3:$A$42,0)),"Media"))</f>
        <v/>
      </c>
      <c r="Q1676" s="44" t="n"/>
      <c r="R1676" s="45" t="n"/>
      <c r="S1676" s="20">
        <f>IFERROR(IF(OR($R1676="",$C1676=""),"",$R1676/INDEX(DESPACHOS!$M$3:$M$3002,MATCH($C1676,DESPACHOS!$B$3:$B$3002,0))),"")</f>
        <v/>
      </c>
      <c r="T1676" s="41" t="n"/>
      <c r="U1676" s="43">
        <f>IF(OR($B1676="",$L1676=""),"",WORKDAY($B1676,IFERROR(INDEX(LISTAS!$C$3:$C$42,MATCH($L1676,LISTAS!$A$3:$A$42,0)),3)))</f>
        <v/>
      </c>
      <c r="V1676" s="40" t="n"/>
      <c r="W1676" s="19">
        <f>IF($B1676="","",IF($V1676&lt;&gt;"",$V1676-$B1676,TODAY()-$B1676))</f>
        <v/>
      </c>
      <c r="X1676" s="19">
        <f>IF(OR($B1676="",$U1676=""),"",IF($V1676&lt;&gt;"",MAX(0,$V1676-$U1676),MAX(0,TODAY()-$U1676)))</f>
        <v/>
      </c>
      <c r="Y1676" s="39">
        <f>IF($C1676="","",IF(IFERROR(INDEX(LISTAS!$I$3:$I$42,MATCH($T1676,LISTAS!$H$3:$H$42,0)),"NO")="SÍ",IF(N($X1676)&gt;0,"CERRADA FUERA DE SLA","CERRADA EN SLA"),IF($U1676="","SIN CLASIFICAR",IF(N($X1676)&gt;0,"VENCIDA",IF(TODAY()&gt;=$U1676-1,"POR VENCER","EN PLAZO")))))</f>
        <v/>
      </c>
      <c r="Z1676" s="41" t="n"/>
      <c r="AA1676" s="41" t="n"/>
      <c r="AB1676" s="41" t="n"/>
    </row>
    <row r="1677">
      <c r="A1677" s="39">
        <f>IF($C1677="","","NOV-"&amp;TEXT(ROW()-3,"0000"))</f>
        <v/>
      </c>
      <c r="B1677" s="40" t="n"/>
      <c r="C1677" s="41" t="n"/>
      <c r="D1677" s="42">
        <f>IF($C1677="","",IFERROR(INDEX(DESPACHOS!$D$3:$D$3002,MATCH($C1677,DESPACHOS!$B$3:$B$3002,0)),"SIN DESPACHO"))</f>
        <v/>
      </c>
      <c r="E1677" s="42">
        <f>IF($C1677="","",IFERROR(INDEX(DESPACHOS!$K$3:$K$3002,MATCH($C1677,DESPACHOS!$B$3:$B$3002,0)),""))</f>
        <v/>
      </c>
      <c r="F1677" s="42">
        <f>IF($C1677="","",IFERROR(INDEX(DESPACHOS!$I$3:$I$3002,MATCH($C1677,DESPACHOS!$B$3:$B$3002,0)),""))</f>
        <v/>
      </c>
      <c r="G1677" s="42">
        <f>IF($C1677="","",IFERROR(INDEX(DESPACHOS!$F$3:$F$3002,MATCH($C1677,DESPACHOS!$B$3:$B$3002,0)),""))</f>
        <v/>
      </c>
      <c r="H1677" s="42">
        <f>IF($C1677="","",IFERROR(INDEX(DESPACHOS!$G$3:$G$3002,MATCH($C1677,DESPACHOS!$B$3:$B$3002,0)),""))</f>
        <v/>
      </c>
      <c r="I1677" s="39">
        <f>IF($C1677="","",IFERROR(INDEX(DESPACHOS!$H$3:$H$3002,MATCH($C1677,DESPACHOS!$B$3:$B$3002,0)),""))</f>
        <v/>
      </c>
      <c r="J1677" s="43">
        <f>IF($C1677="","",IFERROR(INDEX(DESPACHOS!$J$3:$J$3002,MATCH($C1677,DESPACHOS!$B$3:$B$3002,0)),""))</f>
        <v/>
      </c>
      <c r="K1677" s="39">
        <f>IF($C1677="","",IF(COUNTIFS(DESPACHOS!$B$3:$B$3002,$C1677)=0,"NO EXISTE",IF(COUNTIFS(DESPACHOS!$B$3:$B$3002,$C1677)&gt;1,"DUPLICADO","OK")))</f>
        <v/>
      </c>
      <c r="L1677" s="41" t="n"/>
      <c r="M1677" s="41" t="n"/>
      <c r="N1677" s="42">
        <f>IF($M1677="","",IFERROR(INDEX(LISTAS!$F$3:$F$42,MATCH($M1677,LISTAS!$E$3:$E$42,0)),"Por definir"))</f>
        <v/>
      </c>
      <c r="O1677" s="41" t="n"/>
      <c r="P1677" s="39">
        <f>IF($L1677="","",IFERROR(INDEX(LISTAS!$B$3:$B$42,MATCH($L1677,LISTAS!$A$3:$A$42,0)),"Media"))</f>
        <v/>
      </c>
      <c r="Q1677" s="44" t="n"/>
      <c r="R1677" s="45" t="n"/>
      <c r="S1677" s="20">
        <f>IFERROR(IF(OR($R1677="",$C1677=""),"",$R1677/INDEX(DESPACHOS!$M$3:$M$3002,MATCH($C1677,DESPACHOS!$B$3:$B$3002,0))),"")</f>
        <v/>
      </c>
      <c r="T1677" s="41" t="n"/>
      <c r="U1677" s="43">
        <f>IF(OR($B1677="",$L1677=""),"",WORKDAY($B1677,IFERROR(INDEX(LISTAS!$C$3:$C$42,MATCH($L1677,LISTAS!$A$3:$A$42,0)),3)))</f>
        <v/>
      </c>
      <c r="V1677" s="40" t="n"/>
      <c r="W1677" s="19">
        <f>IF($B1677="","",IF($V1677&lt;&gt;"",$V1677-$B1677,TODAY()-$B1677))</f>
        <v/>
      </c>
      <c r="X1677" s="19">
        <f>IF(OR($B1677="",$U1677=""),"",IF($V1677&lt;&gt;"",MAX(0,$V1677-$U1677),MAX(0,TODAY()-$U1677)))</f>
        <v/>
      </c>
      <c r="Y1677" s="39">
        <f>IF($C1677="","",IF(IFERROR(INDEX(LISTAS!$I$3:$I$42,MATCH($T1677,LISTAS!$H$3:$H$42,0)),"NO")="SÍ",IF(N($X1677)&gt;0,"CERRADA FUERA DE SLA","CERRADA EN SLA"),IF($U1677="","SIN CLASIFICAR",IF(N($X1677)&gt;0,"VENCIDA",IF(TODAY()&gt;=$U1677-1,"POR VENCER","EN PLAZO")))))</f>
        <v/>
      </c>
      <c r="Z1677" s="41" t="n"/>
      <c r="AA1677" s="41" t="n"/>
      <c r="AB1677" s="41" t="n"/>
    </row>
    <row r="1678">
      <c r="A1678" s="39">
        <f>IF($C1678="","","NOV-"&amp;TEXT(ROW()-3,"0000"))</f>
        <v/>
      </c>
      <c r="B1678" s="40" t="n"/>
      <c r="C1678" s="41" t="n"/>
      <c r="D1678" s="42">
        <f>IF($C1678="","",IFERROR(INDEX(DESPACHOS!$D$3:$D$3002,MATCH($C1678,DESPACHOS!$B$3:$B$3002,0)),"SIN DESPACHO"))</f>
        <v/>
      </c>
      <c r="E1678" s="42">
        <f>IF($C1678="","",IFERROR(INDEX(DESPACHOS!$K$3:$K$3002,MATCH($C1678,DESPACHOS!$B$3:$B$3002,0)),""))</f>
        <v/>
      </c>
      <c r="F1678" s="42">
        <f>IF($C1678="","",IFERROR(INDEX(DESPACHOS!$I$3:$I$3002,MATCH($C1678,DESPACHOS!$B$3:$B$3002,0)),""))</f>
        <v/>
      </c>
      <c r="G1678" s="42">
        <f>IF($C1678="","",IFERROR(INDEX(DESPACHOS!$F$3:$F$3002,MATCH($C1678,DESPACHOS!$B$3:$B$3002,0)),""))</f>
        <v/>
      </c>
      <c r="H1678" s="42">
        <f>IF($C1678="","",IFERROR(INDEX(DESPACHOS!$G$3:$G$3002,MATCH($C1678,DESPACHOS!$B$3:$B$3002,0)),""))</f>
        <v/>
      </c>
      <c r="I1678" s="39">
        <f>IF($C1678="","",IFERROR(INDEX(DESPACHOS!$H$3:$H$3002,MATCH($C1678,DESPACHOS!$B$3:$B$3002,0)),""))</f>
        <v/>
      </c>
      <c r="J1678" s="43">
        <f>IF($C1678="","",IFERROR(INDEX(DESPACHOS!$J$3:$J$3002,MATCH($C1678,DESPACHOS!$B$3:$B$3002,0)),""))</f>
        <v/>
      </c>
      <c r="K1678" s="39">
        <f>IF($C1678="","",IF(COUNTIFS(DESPACHOS!$B$3:$B$3002,$C1678)=0,"NO EXISTE",IF(COUNTIFS(DESPACHOS!$B$3:$B$3002,$C1678)&gt;1,"DUPLICADO","OK")))</f>
        <v/>
      </c>
      <c r="L1678" s="41" t="n"/>
      <c r="M1678" s="41" t="n"/>
      <c r="N1678" s="42">
        <f>IF($M1678="","",IFERROR(INDEX(LISTAS!$F$3:$F$42,MATCH($M1678,LISTAS!$E$3:$E$42,0)),"Por definir"))</f>
        <v/>
      </c>
      <c r="O1678" s="41" t="n"/>
      <c r="P1678" s="39">
        <f>IF($L1678="","",IFERROR(INDEX(LISTAS!$B$3:$B$42,MATCH($L1678,LISTAS!$A$3:$A$42,0)),"Media"))</f>
        <v/>
      </c>
      <c r="Q1678" s="44" t="n"/>
      <c r="R1678" s="45" t="n"/>
      <c r="S1678" s="20">
        <f>IFERROR(IF(OR($R1678="",$C1678=""),"",$R1678/INDEX(DESPACHOS!$M$3:$M$3002,MATCH($C1678,DESPACHOS!$B$3:$B$3002,0))),"")</f>
        <v/>
      </c>
      <c r="T1678" s="41" t="n"/>
      <c r="U1678" s="43">
        <f>IF(OR($B1678="",$L1678=""),"",WORKDAY($B1678,IFERROR(INDEX(LISTAS!$C$3:$C$42,MATCH($L1678,LISTAS!$A$3:$A$42,0)),3)))</f>
        <v/>
      </c>
      <c r="V1678" s="40" t="n"/>
      <c r="W1678" s="19">
        <f>IF($B1678="","",IF($V1678&lt;&gt;"",$V1678-$B1678,TODAY()-$B1678))</f>
        <v/>
      </c>
      <c r="X1678" s="19">
        <f>IF(OR($B1678="",$U1678=""),"",IF($V1678&lt;&gt;"",MAX(0,$V1678-$U1678),MAX(0,TODAY()-$U1678)))</f>
        <v/>
      </c>
      <c r="Y1678" s="39">
        <f>IF($C1678="","",IF(IFERROR(INDEX(LISTAS!$I$3:$I$42,MATCH($T1678,LISTAS!$H$3:$H$42,0)),"NO")="SÍ",IF(N($X1678)&gt;0,"CERRADA FUERA DE SLA","CERRADA EN SLA"),IF($U1678="","SIN CLASIFICAR",IF(N($X1678)&gt;0,"VENCIDA",IF(TODAY()&gt;=$U1678-1,"POR VENCER","EN PLAZO")))))</f>
        <v/>
      </c>
      <c r="Z1678" s="41" t="n"/>
      <c r="AA1678" s="41" t="n"/>
      <c r="AB1678" s="41" t="n"/>
    </row>
    <row r="1679">
      <c r="A1679" s="39">
        <f>IF($C1679="","","NOV-"&amp;TEXT(ROW()-3,"0000"))</f>
        <v/>
      </c>
      <c r="B1679" s="40" t="n"/>
      <c r="C1679" s="41" t="n"/>
      <c r="D1679" s="42">
        <f>IF($C1679="","",IFERROR(INDEX(DESPACHOS!$D$3:$D$3002,MATCH($C1679,DESPACHOS!$B$3:$B$3002,0)),"SIN DESPACHO"))</f>
        <v/>
      </c>
      <c r="E1679" s="42">
        <f>IF($C1679="","",IFERROR(INDEX(DESPACHOS!$K$3:$K$3002,MATCH($C1679,DESPACHOS!$B$3:$B$3002,0)),""))</f>
        <v/>
      </c>
      <c r="F1679" s="42">
        <f>IF($C1679="","",IFERROR(INDEX(DESPACHOS!$I$3:$I$3002,MATCH($C1679,DESPACHOS!$B$3:$B$3002,0)),""))</f>
        <v/>
      </c>
      <c r="G1679" s="42">
        <f>IF($C1679="","",IFERROR(INDEX(DESPACHOS!$F$3:$F$3002,MATCH($C1679,DESPACHOS!$B$3:$B$3002,0)),""))</f>
        <v/>
      </c>
      <c r="H1679" s="42">
        <f>IF($C1679="","",IFERROR(INDEX(DESPACHOS!$G$3:$G$3002,MATCH($C1679,DESPACHOS!$B$3:$B$3002,0)),""))</f>
        <v/>
      </c>
      <c r="I1679" s="39">
        <f>IF($C1679="","",IFERROR(INDEX(DESPACHOS!$H$3:$H$3002,MATCH($C1679,DESPACHOS!$B$3:$B$3002,0)),""))</f>
        <v/>
      </c>
      <c r="J1679" s="43">
        <f>IF($C1679="","",IFERROR(INDEX(DESPACHOS!$J$3:$J$3002,MATCH($C1679,DESPACHOS!$B$3:$B$3002,0)),""))</f>
        <v/>
      </c>
      <c r="K1679" s="39">
        <f>IF($C1679="","",IF(COUNTIFS(DESPACHOS!$B$3:$B$3002,$C1679)=0,"NO EXISTE",IF(COUNTIFS(DESPACHOS!$B$3:$B$3002,$C1679)&gt;1,"DUPLICADO","OK")))</f>
        <v/>
      </c>
      <c r="L1679" s="41" t="n"/>
      <c r="M1679" s="41" t="n"/>
      <c r="N1679" s="42">
        <f>IF($M1679="","",IFERROR(INDEX(LISTAS!$F$3:$F$42,MATCH($M1679,LISTAS!$E$3:$E$42,0)),"Por definir"))</f>
        <v/>
      </c>
      <c r="O1679" s="41" t="n"/>
      <c r="P1679" s="39">
        <f>IF($L1679="","",IFERROR(INDEX(LISTAS!$B$3:$B$42,MATCH($L1679,LISTAS!$A$3:$A$42,0)),"Media"))</f>
        <v/>
      </c>
      <c r="Q1679" s="44" t="n"/>
      <c r="R1679" s="45" t="n"/>
      <c r="S1679" s="20">
        <f>IFERROR(IF(OR($R1679="",$C1679=""),"",$R1679/INDEX(DESPACHOS!$M$3:$M$3002,MATCH($C1679,DESPACHOS!$B$3:$B$3002,0))),"")</f>
        <v/>
      </c>
      <c r="T1679" s="41" t="n"/>
      <c r="U1679" s="43">
        <f>IF(OR($B1679="",$L1679=""),"",WORKDAY($B1679,IFERROR(INDEX(LISTAS!$C$3:$C$42,MATCH($L1679,LISTAS!$A$3:$A$42,0)),3)))</f>
        <v/>
      </c>
      <c r="V1679" s="40" t="n"/>
      <c r="W1679" s="19">
        <f>IF($B1679="","",IF($V1679&lt;&gt;"",$V1679-$B1679,TODAY()-$B1679))</f>
        <v/>
      </c>
      <c r="X1679" s="19">
        <f>IF(OR($B1679="",$U1679=""),"",IF($V1679&lt;&gt;"",MAX(0,$V1679-$U1679),MAX(0,TODAY()-$U1679)))</f>
        <v/>
      </c>
      <c r="Y1679" s="39">
        <f>IF($C1679="","",IF(IFERROR(INDEX(LISTAS!$I$3:$I$42,MATCH($T1679,LISTAS!$H$3:$H$42,0)),"NO")="SÍ",IF(N($X1679)&gt;0,"CERRADA FUERA DE SLA","CERRADA EN SLA"),IF($U1679="","SIN CLASIFICAR",IF(N($X1679)&gt;0,"VENCIDA",IF(TODAY()&gt;=$U1679-1,"POR VENCER","EN PLAZO")))))</f>
        <v/>
      </c>
      <c r="Z1679" s="41" t="n"/>
      <c r="AA1679" s="41" t="n"/>
      <c r="AB1679" s="41" t="n"/>
    </row>
    <row r="1680">
      <c r="A1680" s="39">
        <f>IF($C1680="","","NOV-"&amp;TEXT(ROW()-3,"0000"))</f>
        <v/>
      </c>
      <c r="B1680" s="40" t="n"/>
      <c r="C1680" s="41" t="n"/>
      <c r="D1680" s="42">
        <f>IF($C1680="","",IFERROR(INDEX(DESPACHOS!$D$3:$D$3002,MATCH($C1680,DESPACHOS!$B$3:$B$3002,0)),"SIN DESPACHO"))</f>
        <v/>
      </c>
      <c r="E1680" s="42">
        <f>IF($C1680="","",IFERROR(INDEX(DESPACHOS!$K$3:$K$3002,MATCH($C1680,DESPACHOS!$B$3:$B$3002,0)),""))</f>
        <v/>
      </c>
      <c r="F1680" s="42">
        <f>IF($C1680="","",IFERROR(INDEX(DESPACHOS!$I$3:$I$3002,MATCH($C1680,DESPACHOS!$B$3:$B$3002,0)),""))</f>
        <v/>
      </c>
      <c r="G1680" s="42">
        <f>IF($C1680="","",IFERROR(INDEX(DESPACHOS!$F$3:$F$3002,MATCH($C1680,DESPACHOS!$B$3:$B$3002,0)),""))</f>
        <v/>
      </c>
      <c r="H1680" s="42">
        <f>IF($C1680="","",IFERROR(INDEX(DESPACHOS!$G$3:$G$3002,MATCH($C1680,DESPACHOS!$B$3:$B$3002,0)),""))</f>
        <v/>
      </c>
      <c r="I1680" s="39">
        <f>IF($C1680="","",IFERROR(INDEX(DESPACHOS!$H$3:$H$3002,MATCH($C1680,DESPACHOS!$B$3:$B$3002,0)),""))</f>
        <v/>
      </c>
      <c r="J1680" s="43">
        <f>IF($C1680="","",IFERROR(INDEX(DESPACHOS!$J$3:$J$3002,MATCH($C1680,DESPACHOS!$B$3:$B$3002,0)),""))</f>
        <v/>
      </c>
      <c r="K1680" s="39">
        <f>IF($C1680="","",IF(COUNTIFS(DESPACHOS!$B$3:$B$3002,$C1680)=0,"NO EXISTE",IF(COUNTIFS(DESPACHOS!$B$3:$B$3002,$C1680)&gt;1,"DUPLICADO","OK")))</f>
        <v/>
      </c>
      <c r="L1680" s="41" t="n"/>
      <c r="M1680" s="41" t="n"/>
      <c r="N1680" s="42">
        <f>IF($M1680="","",IFERROR(INDEX(LISTAS!$F$3:$F$42,MATCH($M1680,LISTAS!$E$3:$E$42,0)),"Por definir"))</f>
        <v/>
      </c>
      <c r="O1680" s="41" t="n"/>
      <c r="P1680" s="39">
        <f>IF($L1680="","",IFERROR(INDEX(LISTAS!$B$3:$B$42,MATCH($L1680,LISTAS!$A$3:$A$42,0)),"Media"))</f>
        <v/>
      </c>
      <c r="Q1680" s="44" t="n"/>
      <c r="R1680" s="45" t="n"/>
      <c r="S1680" s="20">
        <f>IFERROR(IF(OR($R1680="",$C1680=""),"",$R1680/INDEX(DESPACHOS!$M$3:$M$3002,MATCH($C1680,DESPACHOS!$B$3:$B$3002,0))),"")</f>
        <v/>
      </c>
      <c r="T1680" s="41" t="n"/>
      <c r="U1680" s="43">
        <f>IF(OR($B1680="",$L1680=""),"",WORKDAY($B1680,IFERROR(INDEX(LISTAS!$C$3:$C$42,MATCH($L1680,LISTAS!$A$3:$A$42,0)),3)))</f>
        <v/>
      </c>
      <c r="V1680" s="40" t="n"/>
      <c r="W1680" s="19">
        <f>IF($B1680="","",IF($V1680&lt;&gt;"",$V1680-$B1680,TODAY()-$B1680))</f>
        <v/>
      </c>
      <c r="X1680" s="19">
        <f>IF(OR($B1680="",$U1680=""),"",IF($V1680&lt;&gt;"",MAX(0,$V1680-$U1680),MAX(0,TODAY()-$U1680)))</f>
        <v/>
      </c>
      <c r="Y1680" s="39">
        <f>IF($C1680="","",IF(IFERROR(INDEX(LISTAS!$I$3:$I$42,MATCH($T1680,LISTAS!$H$3:$H$42,0)),"NO")="SÍ",IF(N($X1680)&gt;0,"CERRADA FUERA DE SLA","CERRADA EN SLA"),IF($U1680="","SIN CLASIFICAR",IF(N($X1680)&gt;0,"VENCIDA",IF(TODAY()&gt;=$U1680-1,"POR VENCER","EN PLAZO")))))</f>
        <v/>
      </c>
      <c r="Z1680" s="41" t="n"/>
      <c r="AA1680" s="41" t="n"/>
      <c r="AB1680" s="41" t="n"/>
    </row>
    <row r="1681">
      <c r="A1681" s="39">
        <f>IF($C1681="","","NOV-"&amp;TEXT(ROW()-3,"0000"))</f>
        <v/>
      </c>
      <c r="B1681" s="40" t="n"/>
      <c r="C1681" s="41" t="n"/>
      <c r="D1681" s="42">
        <f>IF($C1681="","",IFERROR(INDEX(DESPACHOS!$D$3:$D$3002,MATCH($C1681,DESPACHOS!$B$3:$B$3002,0)),"SIN DESPACHO"))</f>
        <v/>
      </c>
      <c r="E1681" s="42">
        <f>IF($C1681="","",IFERROR(INDEX(DESPACHOS!$K$3:$K$3002,MATCH($C1681,DESPACHOS!$B$3:$B$3002,0)),""))</f>
        <v/>
      </c>
      <c r="F1681" s="42">
        <f>IF($C1681="","",IFERROR(INDEX(DESPACHOS!$I$3:$I$3002,MATCH($C1681,DESPACHOS!$B$3:$B$3002,0)),""))</f>
        <v/>
      </c>
      <c r="G1681" s="42">
        <f>IF($C1681="","",IFERROR(INDEX(DESPACHOS!$F$3:$F$3002,MATCH($C1681,DESPACHOS!$B$3:$B$3002,0)),""))</f>
        <v/>
      </c>
      <c r="H1681" s="42">
        <f>IF($C1681="","",IFERROR(INDEX(DESPACHOS!$G$3:$G$3002,MATCH($C1681,DESPACHOS!$B$3:$B$3002,0)),""))</f>
        <v/>
      </c>
      <c r="I1681" s="39">
        <f>IF($C1681="","",IFERROR(INDEX(DESPACHOS!$H$3:$H$3002,MATCH($C1681,DESPACHOS!$B$3:$B$3002,0)),""))</f>
        <v/>
      </c>
      <c r="J1681" s="43">
        <f>IF($C1681="","",IFERROR(INDEX(DESPACHOS!$J$3:$J$3002,MATCH($C1681,DESPACHOS!$B$3:$B$3002,0)),""))</f>
        <v/>
      </c>
      <c r="K1681" s="39">
        <f>IF($C1681="","",IF(COUNTIFS(DESPACHOS!$B$3:$B$3002,$C1681)=0,"NO EXISTE",IF(COUNTIFS(DESPACHOS!$B$3:$B$3002,$C1681)&gt;1,"DUPLICADO","OK")))</f>
        <v/>
      </c>
      <c r="L1681" s="41" t="n"/>
      <c r="M1681" s="41" t="n"/>
      <c r="N1681" s="42">
        <f>IF($M1681="","",IFERROR(INDEX(LISTAS!$F$3:$F$42,MATCH($M1681,LISTAS!$E$3:$E$42,0)),"Por definir"))</f>
        <v/>
      </c>
      <c r="O1681" s="41" t="n"/>
      <c r="P1681" s="39">
        <f>IF($L1681="","",IFERROR(INDEX(LISTAS!$B$3:$B$42,MATCH($L1681,LISTAS!$A$3:$A$42,0)),"Media"))</f>
        <v/>
      </c>
      <c r="Q1681" s="44" t="n"/>
      <c r="R1681" s="45" t="n"/>
      <c r="S1681" s="20">
        <f>IFERROR(IF(OR($R1681="",$C1681=""),"",$R1681/INDEX(DESPACHOS!$M$3:$M$3002,MATCH($C1681,DESPACHOS!$B$3:$B$3002,0))),"")</f>
        <v/>
      </c>
      <c r="T1681" s="41" t="n"/>
      <c r="U1681" s="43">
        <f>IF(OR($B1681="",$L1681=""),"",WORKDAY($B1681,IFERROR(INDEX(LISTAS!$C$3:$C$42,MATCH($L1681,LISTAS!$A$3:$A$42,0)),3)))</f>
        <v/>
      </c>
      <c r="V1681" s="40" t="n"/>
      <c r="W1681" s="19">
        <f>IF($B1681="","",IF($V1681&lt;&gt;"",$V1681-$B1681,TODAY()-$B1681))</f>
        <v/>
      </c>
      <c r="X1681" s="19">
        <f>IF(OR($B1681="",$U1681=""),"",IF($V1681&lt;&gt;"",MAX(0,$V1681-$U1681),MAX(0,TODAY()-$U1681)))</f>
        <v/>
      </c>
      <c r="Y1681" s="39">
        <f>IF($C1681="","",IF(IFERROR(INDEX(LISTAS!$I$3:$I$42,MATCH($T1681,LISTAS!$H$3:$H$42,0)),"NO")="SÍ",IF(N($X1681)&gt;0,"CERRADA FUERA DE SLA","CERRADA EN SLA"),IF($U1681="","SIN CLASIFICAR",IF(N($X1681)&gt;0,"VENCIDA",IF(TODAY()&gt;=$U1681-1,"POR VENCER","EN PLAZO")))))</f>
        <v/>
      </c>
      <c r="Z1681" s="41" t="n"/>
      <c r="AA1681" s="41" t="n"/>
      <c r="AB1681" s="41" t="n"/>
    </row>
    <row r="1682">
      <c r="A1682" s="39">
        <f>IF($C1682="","","NOV-"&amp;TEXT(ROW()-3,"0000"))</f>
        <v/>
      </c>
      <c r="B1682" s="40" t="n"/>
      <c r="C1682" s="41" t="n"/>
      <c r="D1682" s="42">
        <f>IF($C1682="","",IFERROR(INDEX(DESPACHOS!$D$3:$D$3002,MATCH($C1682,DESPACHOS!$B$3:$B$3002,0)),"SIN DESPACHO"))</f>
        <v/>
      </c>
      <c r="E1682" s="42">
        <f>IF($C1682="","",IFERROR(INDEX(DESPACHOS!$K$3:$K$3002,MATCH($C1682,DESPACHOS!$B$3:$B$3002,0)),""))</f>
        <v/>
      </c>
      <c r="F1682" s="42">
        <f>IF($C1682="","",IFERROR(INDEX(DESPACHOS!$I$3:$I$3002,MATCH($C1682,DESPACHOS!$B$3:$B$3002,0)),""))</f>
        <v/>
      </c>
      <c r="G1682" s="42">
        <f>IF($C1682="","",IFERROR(INDEX(DESPACHOS!$F$3:$F$3002,MATCH($C1682,DESPACHOS!$B$3:$B$3002,0)),""))</f>
        <v/>
      </c>
      <c r="H1682" s="42">
        <f>IF($C1682="","",IFERROR(INDEX(DESPACHOS!$G$3:$G$3002,MATCH($C1682,DESPACHOS!$B$3:$B$3002,0)),""))</f>
        <v/>
      </c>
      <c r="I1682" s="39">
        <f>IF($C1682="","",IFERROR(INDEX(DESPACHOS!$H$3:$H$3002,MATCH($C1682,DESPACHOS!$B$3:$B$3002,0)),""))</f>
        <v/>
      </c>
      <c r="J1682" s="43">
        <f>IF($C1682="","",IFERROR(INDEX(DESPACHOS!$J$3:$J$3002,MATCH($C1682,DESPACHOS!$B$3:$B$3002,0)),""))</f>
        <v/>
      </c>
      <c r="K1682" s="39">
        <f>IF($C1682="","",IF(COUNTIFS(DESPACHOS!$B$3:$B$3002,$C1682)=0,"NO EXISTE",IF(COUNTIFS(DESPACHOS!$B$3:$B$3002,$C1682)&gt;1,"DUPLICADO","OK")))</f>
        <v/>
      </c>
      <c r="L1682" s="41" t="n"/>
      <c r="M1682" s="41" t="n"/>
      <c r="N1682" s="42">
        <f>IF($M1682="","",IFERROR(INDEX(LISTAS!$F$3:$F$42,MATCH($M1682,LISTAS!$E$3:$E$42,0)),"Por definir"))</f>
        <v/>
      </c>
      <c r="O1682" s="41" t="n"/>
      <c r="P1682" s="39">
        <f>IF($L1682="","",IFERROR(INDEX(LISTAS!$B$3:$B$42,MATCH($L1682,LISTAS!$A$3:$A$42,0)),"Media"))</f>
        <v/>
      </c>
      <c r="Q1682" s="44" t="n"/>
      <c r="R1682" s="45" t="n"/>
      <c r="S1682" s="20">
        <f>IFERROR(IF(OR($R1682="",$C1682=""),"",$R1682/INDEX(DESPACHOS!$M$3:$M$3002,MATCH($C1682,DESPACHOS!$B$3:$B$3002,0))),"")</f>
        <v/>
      </c>
      <c r="T1682" s="41" t="n"/>
      <c r="U1682" s="43">
        <f>IF(OR($B1682="",$L1682=""),"",WORKDAY($B1682,IFERROR(INDEX(LISTAS!$C$3:$C$42,MATCH($L1682,LISTAS!$A$3:$A$42,0)),3)))</f>
        <v/>
      </c>
      <c r="V1682" s="40" t="n"/>
      <c r="W1682" s="19">
        <f>IF($B1682="","",IF($V1682&lt;&gt;"",$V1682-$B1682,TODAY()-$B1682))</f>
        <v/>
      </c>
      <c r="X1682" s="19">
        <f>IF(OR($B1682="",$U1682=""),"",IF($V1682&lt;&gt;"",MAX(0,$V1682-$U1682),MAX(0,TODAY()-$U1682)))</f>
        <v/>
      </c>
      <c r="Y1682" s="39">
        <f>IF($C1682="","",IF(IFERROR(INDEX(LISTAS!$I$3:$I$42,MATCH($T1682,LISTAS!$H$3:$H$42,0)),"NO")="SÍ",IF(N($X1682)&gt;0,"CERRADA FUERA DE SLA","CERRADA EN SLA"),IF($U1682="","SIN CLASIFICAR",IF(N($X1682)&gt;0,"VENCIDA",IF(TODAY()&gt;=$U1682-1,"POR VENCER","EN PLAZO")))))</f>
        <v/>
      </c>
      <c r="Z1682" s="41" t="n"/>
      <c r="AA1682" s="41" t="n"/>
      <c r="AB1682" s="41" t="n"/>
    </row>
    <row r="1683">
      <c r="A1683" s="39">
        <f>IF($C1683="","","NOV-"&amp;TEXT(ROW()-3,"0000"))</f>
        <v/>
      </c>
      <c r="B1683" s="40" t="n"/>
      <c r="C1683" s="41" t="n"/>
      <c r="D1683" s="42">
        <f>IF($C1683="","",IFERROR(INDEX(DESPACHOS!$D$3:$D$3002,MATCH($C1683,DESPACHOS!$B$3:$B$3002,0)),"SIN DESPACHO"))</f>
        <v/>
      </c>
      <c r="E1683" s="42">
        <f>IF($C1683="","",IFERROR(INDEX(DESPACHOS!$K$3:$K$3002,MATCH($C1683,DESPACHOS!$B$3:$B$3002,0)),""))</f>
        <v/>
      </c>
      <c r="F1683" s="42">
        <f>IF($C1683="","",IFERROR(INDEX(DESPACHOS!$I$3:$I$3002,MATCH($C1683,DESPACHOS!$B$3:$B$3002,0)),""))</f>
        <v/>
      </c>
      <c r="G1683" s="42">
        <f>IF($C1683="","",IFERROR(INDEX(DESPACHOS!$F$3:$F$3002,MATCH($C1683,DESPACHOS!$B$3:$B$3002,0)),""))</f>
        <v/>
      </c>
      <c r="H1683" s="42">
        <f>IF($C1683="","",IFERROR(INDEX(DESPACHOS!$G$3:$G$3002,MATCH($C1683,DESPACHOS!$B$3:$B$3002,0)),""))</f>
        <v/>
      </c>
      <c r="I1683" s="39">
        <f>IF($C1683="","",IFERROR(INDEX(DESPACHOS!$H$3:$H$3002,MATCH($C1683,DESPACHOS!$B$3:$B$3002,0)),""))</f>
        <v/>
      </c>
      <c r="J1683" s="43">
        <f>IF($C1683="","",IFERROR(INDEX(DESPACHOS!$J$3:$J$3002,MATCH($C1683,DESPACHOS!$B$3:$B$3002,0)),""))</f>
        <v/>
      </c>
      <c r="K1683" s="39">
        <f>IF($C1683="","",IF(COUNTIFS(DESPACHOS!$B$3:$B$3002,$C1683)=0,"NO EXISTE",IF(COUNTIFS(DESPACHOS!$B$3:$B$3002,$C1683)&gt;1,"DUPLICADO","OK")))</f>
        <v/>
      </c>
      <c r="L1683" s="41" t="n"/>
      <c r="M1683" s="41" t="n"/>
      <c r="N1683" s="42">
        <f>IF($M1683="","",IFERROR(INDEX(LISTAS!$F$3:$F$42,MATCH($M1683,LISTAS!$E$3:$E$42,0)),"Por definir"))</f>
        <v/>
      </c>
      <c r="O1683" s="41" t="n"/>
      <c r="P1683" s="39">
        <f>IF($L1683="","",IFERROR(INDEX(LISTAS!$B$3:$B$42,MATCH($L1683,LISTAS!$A$3:$A$42,0)),"Media"))</f>
        <v/>
      </c>
      <c r="Q1683" s="44" t="n"/>
      <c r="R1683" s="45" t="n"/>
      <c r="S1683" s="20">
        <f>IFERROR(IF(OR($R1683="",$C1683=""),"",$R1683/INDEX(DESPACHOS!$M$3:$M$3002,MATCH($C1683,DESPACHOS!$B$3:$B$3002,0))),"")</f>
        <v/>
      </c>
      <c r="T1683" s="41" t="n"/>
      <c r="U1683" s="43">
        <f>IF(OR($B1683="",$L1683=""),"",WORKDAY($B1683,IFERROR(INDEX(LISTAS!$C$3:$C$42,MATCH($L1683,LISTAS!$A$3:$A$42,0)),3)))</f>
        <v/>
      </c>
      <c r="V1683" s="40" t="n"/>
      <c r="W1683" s="19">
        <f>IF($B1683="","",IF($V1683&lt;&gt;"",$V1683-$B1683,TODAY()-$B1683))</f>
        <v/>
      </c>
      <c r="X1683" s="19">
        <f>IF(OR($B1683="",$U1683=""),"",IF($V1683&lt;&gt;"",MAX(0,$V1683-$U1683),MAX(0,TODAY()-$U1683)))</f>
        <v/>
      </c>
      <c r="Y1683" s="39">
        <f>IF($C1683="","",IF(IFERROR(INDEX(LISTAS!$I$3:$I$42,MATCH($T1683,LISTAS!$H$3:$H$42,0)),"NO")="SÍ",IF(N($X1683)&gt;0,"CERRADA FUERA DE SLA","CERRADA EN SLA"),IF($U1683="","SIN CLASIFICAR",IF(N($X1683)&gt;0,"VENCIDA",IF(TODAY()&gt;=$U1683-1,"POR VENCER","EN PLAZO")))))</f>
        <v/>
      </c>
      <c r="Z1683" s="41" t="n"/>
      <c r="AA1683" s="41" t="n"/>
      <c r="AB1683" s="41" t="n"/>
    </row>
    <row r="1684">
      <c r="A1684" s="39">
        <f>IF($C1684="","","NOV-"&amp;TEXT(ROW()-3,"0000"))</f>
        <v/>
      </c>
      <c r="B1684" s="40" t="n"/>
      <c r="C1684" s="41" t="n"/>
      <c r="D1684" s="42">
        <f>IF($C1684="","",IFERROR(INDEX(DESPACHOS!$D$3:$D$3002,MATCH($C1684,DESPACHOS!$B$3:$B$3002,0)),"SIN DESPACHO"))</f>
        <v/>
      </c>
      <c r="E1684" s="42">
        <f>IF($C1684="","",IFERROR(INDEX(DESPACHOS!$K$3:$K$3002,MATCH($C1684,DESPACHOS!$B$3:$B$3002,0)),""))</f>
        <v/>
      </c>
      <c r="F1684" s="42">
        <f>IF($C1684="","",IFERROR(INDEX(DESPACHOS!$I$3:$I$3002,MATCH($C1684,DESPACHOS!$B$3:$B$3002,0)),""))</f>
        <v/>
      </c>
      <c r="G1684" s="42">
        <f>IF($C1684="","",IFERROR(INDEX(DESPACHOS!$F$3:$F$3002,MATCH($C1684,DESPACHOS!$B$3:$B$3002,0)),""))</f>
        <v/>
      </c>
      <c r="H1684" s="42">
        <f>IF($C1684="","",IFERROR(INDEX(DESPACHOS!$G$3:$G$3002,MATCH($C1684,DESPACHOS!$B$3:$B$3002,0)),""))</f>
        <v/>
      </c>
      <c r="I1684" s="39">
        <f>IF($C1684="","",IFERROR(INDEX(DESPACHOS!$H$3:$H$3002,MATCH($C1684,DESPACHOS!$B$3:$B$3002,0)),""))</f>
        <v/>
      </c>
      <c r="J1684" s="43">
        <f>IF($C1684="","",IFERROR(INDEX(DESPACHOS!$J$3:$J$3002,MATCH($C1684,DESPACHOS!$B$3:$B$3002,0)),""))</f>
        <v/>
      </c>
      <c r="K1684" s="39">
        <f>IF($C1684="","",IF(COUNTIFS(DESPACHOS!$B$3:$B$3002,$C1684)=0,"NO EXISTE",IF(COUNTIFS(DESPACHOS!$B$3:$B$3002,$C1684)&gt;1,"DUPLICADO","OK")))</f>
        <v/>
      </c>
      <c r="L1684" s="41" t="n"/>
      <c r="M1684" s="41" t="n"/>
      <c r="N1684" s="42">
        <f>IF($M1684="","",IFERROR(INDEX(LISTAS!$F$3:$F$42,MATCH($M1684,LISTAS!$E$3:$E$42,0)),"Por definir"))</f>
        <v/>
      </c>
      <c r="O1684" s="41" t="n"/>
      <c r="P1684" s="39">
        <f>IF($L1684="","",IFERROR(INDEX(LISTAS!$B$3:$B$42,MATCH($L1684,LISTAS!$A$3:$A$42,0)),"Media"))</f>
        <v/>
      </c>
      <c r="Q1684" s="44" t="n"/>
      <c r="R1684" s="45" t="n"/>
      <c r="S1684" s="20">
        <f>IFERROR(IF(OR($R1684="",$C1684=""),"",$R1684/INDEX(DESPACHOS!$M$3:$M$3002,MATCH($C1684,DESPACHOS!$B$3:$B$3002,0))),"")</f>
        <v/>
      </c>
      <c r="T1684" s="41" t="n"/>
      <c r="U1684" s="43">
        <f>IF(OR($B1684="",$L1684=""),"",WORKDAY($B1684,IFERROR(INDEX(LISTAS!$C$3:$C$42,MATCH($L1684,LISTAS!$A$3:$A$42,0)),3)))</f>
        <v/>
      </c>
      <c r="V1684" s="40" t="n"/>
      <c r="W1684" s="19">
        <f>IF($B1684="","",IF($V1684&lt;&gt;"",$V1684-$B1684,TODAY()-$B1684))</f>
        <v/>
      </c>
      <c r="X1684" s="19">
        <f>IF(OR($B1684="",$U1684=""),"",IF($V1684&lt;&gt;"",MAX(0,$V1684-$U1684),MAX(0,TODAY()-$U1684)))</f>
        <v/>
      </c>
      <c r="Y1684" s="39">
        <f>IF($C1684="","",IF(IFERROR(INDEX(LISTAS!$I$3:$I$42,MATCH($T1684,LISTAS!$H$3:$H$42,0)),"NO")="SÍ",IF(N($X1684)&gt;0,"CERRADA FUERA DE SLA","CERRADA EN SLA"),IF($U1684="","SIN CLASIFICAR",IF(N($X1684)&gt;0,"VENCIDA",IF(TODAY()&gt;=$U1684-1,"POR VENCER","EN PLAZO")))))</f>
        <v/>
      </c>
      <c r="Z1684" s="41" t="n"/>
      <c r="AA1684" s="41" t="n"/>
      <c r="AB1684" s="41" t="n"/>
    </row>
    <row r="1685">
      <c r="A1685" s="39">
        <f>IF($C1685="","","NOV-"&amp;TEXT(ROW()-3,"0000"))</f>
        <v/>
      </c>
      <c r="B1685" s="40" t="n"/>
      <c r="C1685" s="41" t="n"/>
      <c r="D1685" s="42">
        <f>IF($C1685="","",IFERROR(INDEX(DESPACHOS!$D$3:$D$3002,MATCH($C1685,DESPACHOS!$B$3:$B$3002,0)),"SIN DESPACHO"))</f>
        <v/>
      </c>
      <c r="E1685" s="42">
        <f>IF($C1685="","",IFERROR(INDEX(DESPACHOS!$K$3:$K$3002,MATCH($C1685,DESPACHOS!$B$3:$B$3002,0)),""))</f>
        <v/>
      </c>
      <c r="F1685" s="42">
        <f>IF($C1685="","",IFERROR(INDEX(DESPACHOS!$I$3:$I$3002,MATCH($C1685,DESPACHOS!$B$3:$B$3002,0)),""))</f>
        <v/>
      </c>
      <c r="G1685" s="42">
        <f>IF($C1685="","",IFERROR(INDEX(DESPACHOS!$F$3:$F$3002,MATCH($C1685,DESPACHOS!$B$3:$B$3002,0)),""))</f>
        <v/>
      </c>
      <c r="H1685" s="42">
        <f>IF($C1685="","",IFERROR(INDEX(DESPACHOS!$G$3:$G$3002,MATCH($C1685,DESPACHOS!$B$3:$B$3002,0)),""))</f>
        <v/>
      </c>
      <c r="I1685" s="39">
        <f>IF($C1685="","",IFERROR(INDEX(DESPACHOS!$H$3:$H$3002,MATCH($C1685,DESPACHOS!$B$3:$B$3002,0)),""))</f>
        <v/>
      </c>
      <c r="J1685" s="43">
        <f>IF($C1685="","",IFERROR(INDEX(DESPACHOS!$J$3:$J$3002,MATCH($C1685,DESPACHOS!$B$3:$B$3002,0)),""))</f>
        <v/>
      </c>
      <c r="K1685" s="39">
        <f>IF($C1685="","",IF(COUNTIFS(DESPACHOS!$B$3:$B$3002,$C1685)=0,"NO EXISTE",IF(COUNTIFS(DESPACHOS!$B$3:$B$3002,$C1685)&gt;1,"DUPLICADO","OK")))</f>
        <v/>
      </c>
      <c r="L1685" s="41" t="n"/>
      <c r="M1685" s="41" t="n"/>
      <c r="N1685" s="42">
        <f>IF($M1685="","",IFERROR(INDEX(LISTAS!$F$3:$F$42,MATCH($M1685,LISTAS!$E$3:$E$42,0)),"Por definir"))</f>
        <v/>
      </c>
      <c r="O1685" s="41" t="n"/>
      <c r="P1685" s="39">
        <f>IF($L1685="","",IFERROR(INDEX(LISTAS!$B$3:$B$42,MATCH($L1685,LISTAS!$A$3:$A$42,0)),"Media"))</f>
        <v/>
      </c>
      <c r="Q1685" s="44" t="n"/>
      <c r="R1685" s="45" t="n"/>
      <c r="S1685" s="20">
        <f>IFERROR(IF(OR($R1685="",$C1685=""),"",$R1685/INDEX(DESPACHOS!$M$3:$M$3002,MATCH($C1685,DESPACHOS!$B$3:$B$3002,0))),"")</f>
        <v/>
      </c>
      <c r="T1685" s="41" t="n"/>
      <c r="U1685" s="43">
        <f>IF(OR($B1685="",$L1685=""),"",WORKDAY($B1685,IFERROR(INDEX(LISTAS!$C$3:$C$42,MATCH($L1685,LISTAS!$A$3:$A$42,0)),3)))</f>
        <v/>
      </c>
      <c r="V1685" s="40" t="n"/>
      <c r="W1685" s="19">
        <f>IF($B1685="","",IF($V1685&lt;&gt;"",$V1685-$B1685,TODAY()-$B1685))</f>
        <v/>
      </c>
      <c r="X1685" s="19">
        <f>IF(OR($B1685="",$U1685=""),"",IF($V1685&lt;&gt;"",MAX(0,$V1685-$U1685),MAX(0,TODAY()-$U1685)))</f>
        <v/>
      </c>
      <c r="Y1685" s="39">
        <f>IF($C1685="","",IF(IFERROR(INDEX(LISTAS!$I$3:$I$42,MATCH($T1685,LISTAS!$H$3:$H$42,0)),"NO")="SÍ",IF(N($X1685)&gt;0,"CERRADA FUERA DE SLA","CERRADA EN SLA"),IF($U1685="","SIN CLASIFICAR",IF(N($X1685)&gt;0,"VENCIDA",IF(TODAY()&gt;=$U1685-1,"POR VENCER","EN PLAZO")))))</f>
        <v/>
      </c>
      <c r="Z1685" s="41" t="n"/>
      <c r="AA1685" s="41" t="n"/>
      <c r="AB1685" s="41" t="n"/>
    </row>
    <row r="1686">
      <c r="A1686" s="39">
        <f>IF($C1686="","","NOV-"&amp;TEXT(ROW()-3,"0000"))</f>
        <v/>
      </c>
      <c r="B1686" s="40" t="n"/>
      <c r="C1686" s="41" t="n"/>
      <c r="D1686" s="42">
        <f>IF($C1686="","",IFERROR(INDEX(DESPACHOS!$D$3:$D$3002,MATCH($C1686,DESPACHOS!$B$3:$B$3002,0)),"SIN DESPACHO"))</f>
        <v/>
      </c>
      <c r="E1686" s="42">
        <f>IF($C1686="","",IFERROR(INDEX(DESPACHOS!$K$3:$K$3002,MATCH($C1686,DESPACHOS!$B$3:$B$3002,0)),""))</f>
        <v/>
      </c>
      <c r="F1686" s="42">
        <f>IF($C1686="","",IFERROR(INDEX(DESPACHOS!$I$3:$I$3002,MATCH($C1686,DESPACHOS!$B$3:$B$3002,0)),""))</f>
        <v/>
      </c>
      <c r="G1686" s="42">
        <f>IF($C1686="","",IFERROR(INDEX(DESPACHOS!$F$3:$F$3002,MATCH($C1686,DESPACHOS!$B$3:$B$3002,0)),""))</f>
        <v/>
      </c>
      <c r="H1686" s="42">
        <f>IF($C1686="","",IFERROR(INDEX(DESPACHOS!$G$3:$G$3002,MATCH($C1686,DESPACHOS!$B$3:$B$3002,0)),""))</f>
        <v/>
      </c>
      <c r="I1686" s="39">
        <f>IF($C1686="","",IFERROR(INDEX(DESPACHOS!$H$3:$H$3002,MATCH($C1686,DESPACHOS!$B$3:$B$3002,0)),""))</f>
        <v/>
      </c>
      <c r="J1686" s="43">
        <f>IF($C1686="","",IFERROR(INDEX(DESPACHOS!$J$3:$J$3002,MATCH($C1686,DESPACHOS!$B$3:$B$3002,0)),""))</f>
        <v/>
      </c>
      <c r="K1686" s="39">
        <f>IF($C1686="","",IF(COUNTIFS(DESPACHOS!$B$3:$B$3002,$C1686)=0,"NO EXISTE",IF(COUNTIFS(DESPACHOS!$B$3:$B$3002,$C1686)&gt;1,"DUPLICADO","OK")))</f>
        <v/>
      </c>
      <c r="L1686" s="41" t="n"/>
      <c r="M1686" s="41" t="n"/>
      <c r="N1686" s="42">
        <f>IF($M1686="","",IFERROR(INDEX(LISTAS!$F$3:$F$42,MATCH($M1686,LISTAS!$E$3:$E$42,0)),"Por definir"))</f>
        <v/>
      </c>
      <c r="O1686" s="41" t="n"/>
      <c r="P1686" s="39">
        <f>IF($L1686="","",IFERROR(INDEX(LISTAS!$B$3:$B$42,MATCH($L1686,LISTAS!$A$3:$A$42,0)),"Media"))</f>
        <v/>
      </c>
      <c r="Q1686" s="44" t="n"/>
      <c r="R1686" s="45" t="n"/>
      <c r="S1686" s="20">
        <f>IFERROR(IF(OR($R1686="",$C1686=""),"",$R1686/INDEX(DESPACHOS!$M$3:$M$3002,MATCH($C1686,DESPACHOS!$B$3:$B$3002,0))),"")</f>
        <v/>
      </c>
      <c r="T1686" s="41" t="n"/>
      <c r="U1686" s="43">
        <f>IF(OR($B1686="",$L1686=""),"",WORKDAY($B1686,IFERROR(INDEX(LISTAS!$C$3:$C$42,MATCH($L1686,LISTAS!$A$3:$A$42,0)),3)))</f>
        <v/>
      </c>
      <c r="V1686" s="40" t="n"/>
      <c r="W1686" s="19">
        <f>IF($B1686="","",IF($V1686&lt;&gt;"",$V1686-$B1686,TODAY()-$B1686))</f>
        <v/>
      </c>
      <c r="X1686" s="19">
        <f>IF(OR($B1686="",$U1686=""),"",IF($V1686&lt;&gt;"",MAX(0,$V1686-$U1686),MAX(0,TODAY()-$U1686)))</f>
        <v/>
      </c>
      <c r="Y1686" s="39">
        <f>IF($C1686="","",IF(IFERROR(INDEX(LISTAS!$I$3:$I$42,MATCH($T1686,LISTAS!$H$3:$H$42,0)),"NO")="SÍ",IF(N($X1686)&gt;0,"CERRADA FUERA DE SLA","CERRADA EN SLA"),IF($U1686="","SIN CLASIFICAR",IF(N($X1686)&gt;0,"VENCIDA",IF(TODAY()&gt;=$U1686-1,"POR VENCER","EN PLAZO")))))</f>
        <v/>
      </c>
      <c r="Z1686" s="41" t="n"/>
      <c r="AA1686" s="41" t="n"/>
      <c r="AB1686" s="41" t="n"/>
    </row>
    <row r="1687">
      <c r="A1687" s="39">
        <f>IF($C1687="","","NOV-"&amp;TEXT(ROW()-3,"0000"))</f>
        <v/>
      </c>
      <c r="B1687" s="40" t="n"/>
      <c r="C1687" s="41" t="n"/>
      <c r="D1687" s="42">
        <f>IF($C1687="","",IFERROR(INDEX(DESPACHOS!$D$3:$D$3002,MATCH($C1687,DESPACHOS!$B$3:$B$3002,0)),"SIN DESPACHO"))</f>
        <v/>
      </c>
      <c r="E1687" s="42">
        <f>IF($C1687="","",IFERROR(INDEX(DESPACHOS!$K$3:$K$3002,MATCH($C1687,DESPACHOS!$B$3:$B$3002,0)),""))</f>
        <v/>
      </c>
      <c r="F1687" s="42">
        <f>IF($C1687="","",IFERROR(INDEX(DESPACHOS!$I$3:$I$3002,MATCH($C1687,DESPACHOS!$B$3:$B$3002,0)),""))</f>
        <v/>
      </c>
      <c r="G1687" s="42">
        <f>IF($C1687="","",IFERROR(INDEX(DESPACHOS!$F$3:$F$3002,MATCH($C1687,DESPACHOS!$B$3:$B$3002,0)),""))</f>
        <v/>
      </c>
      <c r="H1687" s="42">
        <f>IF($C1687="","",IFERROR(INDEX(DESPACHOS!$G$3:$G$3002,MATCH($C1687,DESPACHOS!$B$3:$B$3002,0)),""))</f>
        <v/>
      </c>
      <c r="I1687" s="39">
        <f>IF($C1687="","",IFERROR(INDEX(DESPACHOS!$H$3:$H$3002,MATCH($C1687,DESPACHOS!$B$3:$B$3002,0)),""))</f>
        <v/>
      </c>
      <c r="J1687" s="43">
        <f>IF($C1687="","",IFERROR(INDEX(DESPACHOS!$J$3:$J$3002,MATCH($C1687,DESPACHOS!$B$3:$B$3002,0)),""))</f>
        <v/>
      </c>
      <c r="K1687" s="39">
        <f>IF($C1687="","",IF(COUNTIFS(DESPACHOS!$B$3:$B$3002,$C1687)=0,"NO EXISTE",IF(COUNTIFS(DESPACHOS!$B$3:$B$3002,$C1687)&gt;1,"DUPLICADO","OK")))</f>
        <v/>
      </c>
      <c r="L1687" s="41" t="n"/>
      <c r="M1687" s="41" t="n"/>
      <c r="N1687" s="42">
        <f>IF($M1687="","",IFERROR(INDEX(LISTAS!$F$3:$F$42,MATCH($M1687,LISTAS!$E$3:$E$42,0)),"Por definir"))</f>
        <v/>
      </c>
      <c r="O1687" s="41" t="n"/>
      <c r="P1687" s="39">
        <f>IF($L1687="","",IFERROR(INDEX(LISTAS!$B$3:$B$42,MATCH($L1687,LISTAS!$A$3:$A$42,0)),"Media"))</f>
        <v/>
      </c>
      <c r="Q1687" s="44" t="n"/>
      <c r="R1687" s="45" t="n"/>
      <c r="S1687" s="20">
        <f>IFERROR(IF(OR($R1687="",$C1687=""),"",$R1687/INDEX(DESPACHOS!$M$3:$M$3002,MATCH($C1687,DESPACHOS!$B$3:$B$3002,0))),"")</f>
        <v/>
      </c>
      <c r="T1687" s="41" t="n"/>
      <c r="U1687" s="43">
        <f>IF(OR($B1687="",$L1687=""),"",WORKDAY($B1687,IFERROR(INDEX(LISTAS!$C$3:$C$42,MATCH($L1687,LISTAS!$A$3:$A$42,0)),3)))</f>
        <v/>
      </c>
      <c r="V1687" s="40" t="n"/>
      <c r="W1687" s="19">
        <f>IF($B1687="","",IF($V1687&lt;&gt;"",$V1687-$B1687,TODAY()-$B1687))</f>
        <v/>
      </c>
      <c r="X1687" s="19">
        <f>IF(OR($B1687="",$U1687=""),"",IF($V1687&lt;&gt;"",MAX(0,$V1687-$U1687),MAX(0,TODAY()-$U1687)))</f>
        <v/>
      </c>
      <c r="Y1687" s="39">
        <f>IF($C1687="","",IF(IFERROR(INDEX(LISTAS!$I$3:$I$42,MATCH($T1687,LISTAS!$H$3:$H$42,0)),"NO")="SÍ",IF(N($X1687)&gt;0,"CERRADA FUERA DE SLA","CERRADA EN SLA"),IF($U1687="","SIN CLASIFICAR",IF(N($X1687)&gt;0,"VENCIDA",IF(TODAY()&gt;=$U1687-1,"POR VENCER","EN PLAZO")))))</f>
        <v/>
      </c>
      <c r="Z1687" s="41" t="n"/>
      <c r="AA1687" s="41" t="n"/>
      <c r="AB1687" s="41" t="n"/>
    </row>
    <row r="1688">
      <c r="A1688" s="39">
        <f>IF($C1688="","","NOV-"&amp;TEXT(ROW()-3,"0000"))</f>
        <v/>
      </c>
      <c r="B1688" s="40" t="n"/>
      <c r="C1688" s="41" t="n"/>
      <c r="D1688" s="42">
        <f>IF($C1688="","",IFERROR(INDEX(DESPACHOS!$D$3:$D$3002,MATCH($C1688,DESPACHOS!$B$3:$B$3002,0)),"SIN DESPACHO"))</f>
        <v/>
      </c>
      <c r="E1688" s="42">
        <f>IF($C1688="","",IFERROR(INDEX(DESPACHOS!$K$3:$K$3002,MATCH($C1688,DESPACHOS!$B$3:$B$3002,0)),""))</f>
        <v/>
      </c>
      <c r="F1688" s="42">
        <f>IF($C1688="","",IFERROR(INDEX(DESPACHOS!$I$3:$I$3002,MATCH($C1688,DESPACHOS!$B$3:$B$3002,0)),""))</f>
        <v/>
      </c>
      <c r="G1688" s="42">
        <f>IF($C1688="","",IFERROR(INDEX(DESPACHOS!$F$3:$F$3002,MATCH($C1688,DESPACHOS!$B$3:$B$3002,0)),""))</f>
        <v/>
      </c>
      <c r="H1688" s="42">
        <f>IF($C1688="","",IFERROR(INDEX(DESPACHOS!$G$3:$G$3002,MATCH($C1688,DESPACHOS!$B$3:$B$3002,0)),""))</f>
        <v/>
      </c>
      <c r="I1688" s="39">
        <f>IF($C1688="","",IFERROR(INDEX(DESPACHOS!$H$3:$H$3002,MATCH($C1688,DESPACHOS!$B$3:$B$3002,0)),""))</f>
        <v/>
      </c>
      <c r="J1688" s="43">
        <f>IF($C1688="","",IFERROR(INDEX(DESPACHOS!$J$3:$J$3002,MATCH($C1688,DESPACHOS!$B$3:$B$3002,0)),""))</f>
        <v/>
      </c>
      <c r="K1688" s="39">
        <f>IF($C1688="","",IF(COUNTIFS(DESPACHOS!$B$3:$B$3002,$C1688)=0,"NO EXISTE",IF(COUNTIFS(DESPACHOS!$B$3:$B$3002,$C1688)&gt;1,"DUPLICADO","OK")))</f>
        <v/>
      </c>
      <c r="L1688" s="41" t="n"/>
      <c r="M1688" s="41" t="n"/>
      <c r="N1688" s="42">
        <f>IF($M1688="","",IFERROR(INDEX(LISTAS!$F$3:$F$42,MATCH($M1688,LISTAS!$E$3:$E$42,0)),"Por definir"))</f>
        <v/>
      </c>
      <c r="O1688" s="41" t="n"/>
      <c r="P1688" s="39">
        <f>IF($L1688="","",IFERROR(INDEX(LISTAS!$B$3:$B$42,MATCH($L1688,LISTAS!$A$3:$A$42,0)),"Media"))</f>
        <v/>
      </c>
      <c r="Q1688" s="44" t="n"/>
      <c r="R1688" s="45" t="n"/>
      <c r="S1688" s="20">
        <f>IFERROR(IF(OR($R1688="",$C1688=""),"",$R1688/INDEX(DESPACHOS!$M$3:$M$3002,MATCH($C1688,DESPACHOS!$B$3:$B$3002,0))),"")</f>
        <v/>
      </c>
      <c r="T1688" s="41" t="n"/>
      <c r="U1688" s="43">
        <f>IF(OR($B1688="",$L1688=""),"",WORKDAY($B1688,IFERROR(INDEX(LISTAS!$C$3:$C$42,MATCH($L1688,LISTAS!$A$3:$A$42,0)),3)))</f>
        <v/>
      </c>
      <c r="V1688" s="40" t="n"/>
      <c r="W1688" s="19">
        <f>IF($B1688="","",IF($V1688&lt;&gt;"",$V1688-$B1688,TODAY()-$B1688))</f>
        <v/>
      </c>
      <c r="X1688" s="19">
        <f>IF(OR($B1688="",$U1688=""),"",IF($V1688&lt;&gt;"",MAX(0,$V1688-$U1688),MAX(0,TODAY()-$U1688)))</f>
        <v/>
      </c>
      <c r="Y1688" s="39">
        <f>IF($C1688="","",IF(IFERROR(INDEX(LISTAS!$I$3:$I$42,MATCH($T1688,LISTAS!$H$3:$H$42,0)),"NO")="SÍ",IF(N($X1688)&gt;0,"CERRADA FUERA DE SLA","CERRADA EN SLA"),IF($U1688="","SIN CLASIFICAR",IF(N($X1688)&gt;0,"VENCIDA",IF(TODAY()&gt;=$U1688-1,"POR VENCER","EN PLAZO")))))</f>
        <v/>
      </c>
      <c r="Z1688" s="41" t="n"/>
      <c r="AA1688" s="41" t="n"/>
      <c r="AB1688" s="41" t="n"/>
    </row>
    <row r="1689">
      <c r="A1689" s="39">
        <f>IF($C1689="","","NOV-"&amp;TEXT(ROW()-3,"0000"))</f>
        <v/>
      </c>
      <c r="B1689" s="40" t="n"/>
      <c r="C1689" s="41" t="n"/>
      <c r="D1689" s="42">
        <f>IF($C1689="","",IFERROR(INDEX(DESPACHOS!$D$3:$D$3002,MATCH($C1689,DESPACHOS!$B$3:$B$3002,0)),"SIN DESPACHO"))</f>
        <v/>
      </c>
      <c r="E1689" s="42">
        <f>IF($C1689="","",IFERROR(INDEX(DESPACHOS!$K$3:$K$3002,MATCH($C1689,DESPACHOS!$B$3:$B$3002,0)),""))</f>
        <v/>
      </c>
      <c r="F1689" s="42">
        <f>IF($C1689="","",IFERROR(INDEX(DESPACHOS!$I$3:$I$3002,MATCH($C1689,DESPACHOS!$B$3:$B$3002,0)),""))</f>
        <v/>
      </c>
      <c r="G1689" s="42">
        <f>IF($C1689="","",IFERROR(INDEX(DESPACHOS!$F$3:$F$3002,MATCH($C1689,DESPACHOS!$B$3:$B$3002,0)),""))</f>
        <v/>
      </c>
      <c r="H1689" s="42">
        <f>IF($C1689="","",IFERROR(INDEX(DESPACHOS!$G$3:$G$3002,MATCH($C1689,DESPACHOS!$B$3:$B$3002,0)),""))</f>
        <v/>
      </c>
      <c r="I1689" s="39">
        <f>IF($C1689="","",IFERROR(INDEX(DESPACHOS!$H$3:$H$3002,MATCH($C1689,DESPACHOS!$B$3:$B$3002,0)),""))</f>
        <v/>
      </c>
      <c r="J1689" s="43">
        <f>IF($C1689="","",IFERROR(INDEX(DESPACHOS!$J$3:$J$3002,MATCH($C1689,DESPACHOS!$B$3:$B$3002,0)),""))</f>
        <v/>
      </c>
      <c r="K1689" s="39">
        <f>IF($C1689="","",IF(COUNTIFS(DESPACHOS!$B$3:$B$3002,$C1689)=0,"NO EXISTE",IF(COUNTIFS(DESPACHOS!$B$3:$B$3002,$C1689)&gt;1,"DUPLICADO","OK")))</f>
        <v/>
      </c>
      <c r="L1689" s="41" t="n"/>
      <c r="M1689" s="41" t="n"/>
      <c r="N1689" s="42">
        <f>IF($M1689="","",IFERROR(INDEX(LISTAS!$F$3:$F$42,MATCH($M1689,LISTAS!$E$3:$E$42,0)),"Por definir"))</f>
        <v/>
      </c>
      <c r="O1689" s="41" t="n"/>
      <c r="P1689" s="39">
        <f>IF($L1689="","",IFERROR(INDEX(LISTAS!$B$3:$B$42,MATCH($L1689,LISTAS!$A$3:$A$42,0)),"Media"))</f>
        <v/>
      </c>
      <c r="Q1689" s="44" t="n"/>
      <c r="R1689" s="45" t="n"/>
      <c r="S1689" s="20">
        <f>IFERROR(IF(OR($R1689="",$C1689=""),"",$R1689/INDEX(DESPACHOS!$M$3:$M$3002,MATCH($C1689,DESPACHOS!$B$3:$B$3002,0))),"")</f>
        <v/>
      </c>
      <c r="T1689" s="41" t="n"/>
      <c r="U1689" s="43">
        <f>IF(OR($B1689="",$L1689=""),"",WORKDAY($B1689,IFERROR(INDEX(LISTAS!$C$3:$C$42,MATCH($L1689,LISTAS!$A$3:$A$42,0)),3)))</f>
        <v/>
      </c>
      <c r="V1689" s="40" t="n"/>
      <c r="W1689" s="19">
        <f>IF($B1689="","",IF($V1689&lt;&gt;"",$V1689-$B1689,TODAY()-$B1689))</f>
        <v/>
      </c>
      <c r="X1689" s="19">
        <f>IF(OR($B1689="",$U1689=""),"",IF($V1689&lt;&gt;"",MAX(0,$V1689-$U1689),MAX(0,TODAY()-$U1689)))</f>
        <v/>
      </c>
      <c r="Y1689" s="39">
        <f>IF($C1689="","",IF(IFERROR(INDEX(LISTAS!$I$3:$I$42,MATCH($T1689,LISTAS!$H$3:$H$42,0)),"NO")="SÍ",IF(N($X1689)&gt;0,"CERRADA FUERA DE SLA","CERRADA EN SLA"),IF($U1689="","SIN CLASIFICAR",IF(N($X1689)&gt;0,"VENCIDA",IF(TODAY()&gt;=$U1689-1,"POR VENCER","EN PLAZO")))))</f>
        <v/>
      </c>
      <c r="Z1689" s="41" t="n"/>
      <c r="AA1689" s="41" t="n"/>
      <c r="AB1689" s="41" t="n"/>
    </row>
    <row r="1690">
      <c r="A1690" s="39">
        <f>IF($C1690="","","NOV-"&amp;TEXT(ROW()-3,"0000"))</f>
        <v/>
      </c>
      <c r="B1690" s="40" t="n"/>
      <c r="C1690" s="41" t="n"/>
      <c r="D1690" s="42">
        <f>IF($C1690="","",IFERROR(INDEX(DESPACHOS!$D$3:$D$3002,MATCH($C1690,DESPACHOS!$B$3:$B$3002,0)),"SIN DESPACHO"))</f>
        <v/>
      </c>
      <c r="E1690" s="42">
        <f>IF($C1690="","",IFERROR(INDEX(DESPACHOS!$K$3:$K$3002,MATCH($C1690,DESPACHOS!$B$3:$B$3002,0)),""))</f>
        <v/>
      </c>
      <c r="F1690" s="42">
        <f>IF($C1690="","",IFERROR(INDEX(DESPACHOS!$I$3:$I$3002,MATCH($C1690,DESPACHOS!$B$3:$B$3002,0)),""))</f>
        <v/>
      </c>
      <c r="G1690" s="42">
        <f>IF($C1690="","",IFERROR(INDEX(DESPACHOS!$F$3:$F$3002,MATCH($C1690,DESPACHOS!$B$3:$B$3002,0)),""))</f>
        <v/>
      </c>
      <c r="H1690" s="42">
        <f>IF($C1690="","",IFERROR(INDEX(DESPACHOS!$G$3:$G$3002,MATCH($C1690,DESPACHOS!$B$3:$B$3002,0)),""))</f>
        <v/>
      </c>
      <c r="I1690" s="39">
        <f>IF($C1690="","",IFERROR(INDEX(DESPACHOS!$H$3:$H$3002,MATCH($C1690,DESPACHOS!$B$3:$B$3002,0)),""))</f>
        <v/>
      </c>
      <c r="J1690" s="43">
        <f>IF($C1690="","",IFERROR(INDEX(DESPACHOS!$J$3:$J$3002,MATCH($C1690,DESPACHOS!$B$3:$B$3002,0)),""))</f>
        <v/>
      </c>
      <c r="K1690" s="39">
        <f>IF($C1690="","",IF(COUNTIFS(DESPACHOS!$B$3:$B$3002,$C1690)=0,"NO EXISTE",IF(COUNTIFS(DESPACHOS!$B$3:$B$3002,$C1690)&gt;1,"DUPLICADO","OK")))</f>
        <v/>
      </c>
      <c r="L1690" s="41" t="n"/>
      <c r="M1690" s="41" t="n"/>
      <c r="N1690" s="42">
        <f>IF($M1690="","",IFERROR(INDEX(LISTAS!$F$3:$F$42,MATCH($M1690,LISTAS!$E$3:$E$42,0)),"Por definir"))</f>
        <v/>
      </c>
      <c r="O1690" s="41" t="n"/>
      <c r="P1690" s="39">
        <f>IF($L1690="","",IFERROR(INDEX(LISTAS!$B$3:$B$42,MATCH($L1690,LISTAS!$A$3:$A$42,0)),"Media"))</f>
        <v/>
      </c>
      <c r="Q1690" s="44" t="n"/>
      <c r="R1690" s="45" t="n"/>
      <c r="S1690" s="20">
        <f>IFERROR(IF(OR($R1690="",$C1690=""),"",$R1690/INDEX(DESPACHOS!$M$3:$M$3002,MATCH($C1690,DESPACHOS!$B$3:$B$3002,0))),"")</f>
        <v/>
      </c>
      <c r="T1690" s="41" t="n"/>
      <c r="U1690" s="43">
        <f>IF(OR($B1690="",$L1690=""),"",WORKDAY($B1690,IFERROR(INDEX(LISTAS!$C$3:$C$42,MATCH($L1690,LISTAS!$A$3:$A$42,0)),3)))</f>
        <v/>
      </c>
      <c r="V1690" s="40" t="n"/>
      <c r="W1690" s="19">
        <f>IF($B1690="","",IF($V1690&lt;&gt;"",$V1690-$B1690,TODAY()-$B1690))</f>
        <v/>
      </c>
      <c r="X1690" s="19">
        <f>IF(OR($B1690="",$U1690=""),"",IF($V1690&lt;&gt;"",MAX(0,$V1690-$U1690),MAX(0,TODAY()-$U1690)))</f>
        <v/>
      </c>
      <c r="Y1690" s="39">
        <f>IF($C1690="","",IF(IFERROR(INDEX(LISTAS!$I$3:$I$42,MATCH($T1690,LISTAS!$H$3:$H$42,0)),"NO")="SÍ",IF(N($X1690)&gt;0,"CERRADA FUERA DE SLA","CERRADA EN SLA"),IF($U1690="","SIN CLASIFICAR",IF(N($X1690)&gt;0,"VENCIDA",IF(TODAY()&gt;=$U1690-1,"POR VENCER","EN PLAZO")))))</f>
        <v/>
      </c>
      <c r="Z1690" s="41" t="n"/>
      <c r="AA1690" s="41" t="n"/>
      <c r="AB1690" s="41" t="n"/>
    </row>
    <row r="1691">
      <c r="A1691" s="39">
        <f>IF($C1691="","","NOV-"&amp;TEXT(ROW()-3,"0000"))</f>
        <v/>
      </c>
      <c r="B1691" s="40" t="n"/>
      <c r="C1691" s="41" t="n"/>
      <c r="D1691" s="42">
        <f>IF($C1691="","",IFERROR(INDEX(DESPACHOS!$D$3:$D$3002,MATCH($C1691,DESPACHOS!$B$3:$B$3002,0)),"SIN DESPACHO"))</f>
        <v/>
      </c>
      <c r="E1691" s="42">
        <f>IF($C1691="","",IFERROR(INDEX(DESPACHOS!$K$3:$K$3002,MATCH($C1691,DESPACHOS!$B$3:$B$3002,0)),""))</f>
        <v/>
      </c>
      <c r="F1691" s="42">
        <f>IF($C1691="","",IFERROR(INDEX(DESPACHOS!$I$3:$I$3002,MATCH($C1691,DESPACHOS!$B$3:$B$3002,0)),""))</f>
        <v/>
      </c>
      <c r="G1691" s="42">
        <f>IF($C1691="","",IFERROR(INDEX(DESPACHOS!$F$3:$F$3002,MATCH($C1691,DESPACHOS!$B$3:$B$3002,0)),""))</f>
        <v/>
      </c>
      <c r="H1691" s="42">
        <f>IF($C1691="","",IFERROR(INDEX(DESPACHOS!$G$3:$G$3002,MATCH($C1691,DESPACHOS!$B$3:$B$3002,0)),""))</f>
        <v/>
      </c>
      <c r="I1691" s="39">
        <f>IF($C1691="","",IFERROR(INDEX(DESPACHOS!$H$3:$H$3002,MATCH($C1691,DESPACHOS!$B$3:$B$3002,0)),""))</f>
        <v/>
      </c>
      <c r="J1691" s="43">
        <f>IF($C1691="","",IFERROR(INDEX(DESPACHOS!$J$3:$J$3002,MATCH($C1691,DESPACHOS!$B$3:$B$3002,0)),""))</f>
        <v/>
      </c>
      <c r="K1691" s="39">
        <f>IF($C1691="","",IF(COUNTIFS(DESPACHOS!$B$3:$B$3002,$C1691)=0,"NO EXISTE",IF(COUNTIFS(DESPACHOS!$B$3:$B$3002,$C1691)&gt;1,"DUPLICADO","OK")))</f>
        <v/>
      </c>
      <c r="L1691" s="41" t="n"/>
      <c r="M1691" s="41" t="n"/>
      <c r="N1691" s="42">
        <f>IF($M1691="","",IFERROR(INDEX(LISTAS!$F$3:$F$42,MATCH($M1691,LISTAS!$E$3:$E$42,0)),"Por definir"))</f>
        <v/>
      </c>
      <c r="O1691" s="41" t="n"/>
      <c r="P1691" s="39">
        <f>IF($L1691="","",IFERROR(INDEX(LISTAS!$B$3:$B$42,MATCH($L1691,LISTAS!$A$3:$A$42,0)),"Media"))</f>
        <v/>
      </c>
      <c r="Q1691" s="44" t="n"/>
      <c r="R1691" s="45" t="n"/>
      <c r="S1691" s="20">
        <f>IFERROR(IF(OR($R1691="",$C1691=""),"",$R1691/INDEX(DESPACHOS!$M$3:$M$3002,MATCH($C1691,DESPACHOS!$B$3:$B$3002,0))),"")</f>
        <v/>
      </c>
      <c r="T1691" s="41" t="n"/>
      <c r="U1691" s="43">
        <f>IF(OR($B1691="",$L1691=""),"",WORKDAY($B1691,IFERROR(INDEX(LISTAS!$C$3:$C$42,MATCH($L1691,LISTAS!$A$3:$A$42,0)),3)))</f>
        <v/>
      </c>
      <c r="V1691" s="40" t="n"/>
      <c r="W1691" s="19">
        <f>IF($B1691="","",IF($V1691&lt;&gt;"",$V1691-$B1691,TODAY()-$B1691))</f>
        <v/>
      </c>
      <c r="X1691" s="19">
        <f>IF(OR($B1691="",$U1691=""),"",IF($V1691&lt;&gt;"",MAX(0,$V1691-$U1691),MAX(0,TODAY()-$U1691)))</f>
        <v/>
      </c>
      <c r="Y1691" s="39">
        <f>IF($C1691="","",IF(IFERROR(INDEX(LISTAS!$I$3:$I$42,MATCH($T1691,LISTAS!$H$3:$H$42,0)),"NO")="SÍ",IF(N($X1691)&gt;0,"CERRADA FUERA DE SLA","CERRADA EN SLA"),IF($U1691="","SIN CLASIFICAR",IF(N($X1691)&gt;0,"VENCIDA",IF(TODAY()&gt;=$U1691-1,"POR VENCER","EN PLAZO")))))</f>
        <v/>
      </c>
      <c r="Z1691" s="41" t="n"/>
      <c r="AA1691" s="41" t="n"/>
      <c r="AB1691" s="41" t="n"/>
    </row>
    <row r="1692">
      <c r="A1692" s="39">
        <f>IF($C1692="","","NOV-"&amp;TEXT(ROW()-3,"0000"))</f>
        <v/>
      </c>
      <c r="B1692" s="40" t="n"/>
      <c r="C1692" s="41" t="n"/>
      <c r="D1692" s="42">
        <f>IF($C1692="","",IFERROR(INDEX(DESPACHOS!$D$3:$D$3002,MATCH($C1692,DESPACHOS!$B$3:$B$3002,0)),"SIN DESPACHO"))</f>
        <v/>
      </c>
      <c r="E1692" s="42">
        <f>IF($C1692="","",IFERROR(INDEX(DESPACHOS!$K$3:$K$3002,MATCH($C1692,DESPACHOS!$B$3:$B$3002,0)),""))</f>
        <v/>
      </c>
      <c r="F1692" s="42">
        <f>IF($C1692="","",IFERROR(INDEX(DESPACHOS!$I$3:$I$3002,MATCH($C1692,DESPACHOS!$B$3:$B$3002,0)),""))</f>
        <v/>
      </c>
      <c r="G1692" s="42">
        <f>IF($C1692="","",IFERROR(INDEX(DESPACHOS!$F$3:$F$3002,MATCH($C1692,DESPACHOS!$B$3:$B$3002,0)),""))</f>
        <v/>
      </c>
      <c r="H1692" s="42">
        <f>IF($C1692="","",IFERROR(INDEX(DESPACHOS!$G$3:$G$3002,MATCH($C1692,DESPACHOS!$B$3:$B$3002,0)),""))</f>
        <v/>
      </c>
      <c r="I1692" s="39">
        <f>IF($C1692="","",IFERROR(INDEX(DESPACHOS!$H$3:$H$3002,MATCH($C1692,DESPACHOS!$B$3:$B$3002,0)),""))</f>
        <v/>
      </c>
      <c r="J1692" s="43">
        <f>IF($C1692="","",IFERROR(INDEX(DESPACHOS!$J$3:$J$3002,MATCH($C1692,DESPACHOS!$B$3:$B$3002,0)),""))</f>
        <v/>
      </c>
      <c r="K1692" s="39">
        <f>IF($C1692="","",IF(COUNTIFS(DESPACHOS!$B$3:$B$3002,$C1692)=0,"NO EXISTE",IF(COUNTIFS(DESPACHOS!$B$3:$B$3002,$C1692)&gt;1,"DUPLICADO","OK")))</f>
        <v/>
      </c>
      <c r="L1692" s="41" t="n"/>
      <c r="M1692" s="41" t="n"/>
      <c r="N1692" s="42">
        <f>IF($M1692="","",IFERROR(INDEX(LISTAS!$F$3:$F$42,MATCH($M1692,LISTAS!$E$3:$E$42,0)),"Por definir"))</f>
        <v/>
      </c>
      <c r="O1692" s="41" t="n"/>
      <c r="P1692" s="39">
        <f>IF($L1692="","",IFERROR(INDEX(LISTAS!$B$3:$B$42,MATCH($L1692,LISTAS!$A$3:$A$42,0)),"Media"))</f>
        <v/>
      </c>
      <c r="Q1692" s="44" t="n"/>
      <c r="R1692" s="45" t="n"/>
      <c r="S1692" s="20">
        <f>IFERROR(IF(OR($R1692="",$C1692=""),"",$R1692/INDEX(DESPACHOS!$M$3:$M$3002,MATCH($C1692,DESPACHOS!$B$3:$B$3002,0))),"")</f>
        <v/>
      </c>
      <c r="T1692" s="41" t="n"/>
      <c r="U1692" s="43">
        <f>IF(OR($B1692="",$L1692=""),"",WORKDAY($B1692,IFERROR(INDEX(LISTAS!$C$3:$C$42,MATCH($L1692,LISTAS!$A$3:$A$42,0)),3)))</f>
        <v/>
      </c>
      <c r="V1692" s="40" t="n"/>
      <c r="W1692" s="19">
        <f>IF($B1692="","",IF($V1692&lt;&gt;"",$V1692-$B1692,TODAY()-$B1692))</f>
        <v/>
      </c>
      <c r="X1692" s="19">
        <f>IF(OR($B1692="",$U1692=""),"",IF($V1692&lt;&gt;"",MAX(0,$V1692-$U1692),MAX(0,TODAY()-$U1692)))</f>
        <v/>
      </c>
      <c r="Y1692" s="39">
        <f>IF($C1692="","",IF(IFERROR(INDEX(LISTAS!$I$3:$I$42,MATCH($T1692,LISTAS!$H$3:$H$42,0)),"NO")="SÍ",IF(N($X1692)&gt;0,"CERRADA FUERA DE SLA","CERRADA EN SLA"),IF($U1692="","SIN CLASIFICAR",IF(N($X1692)&gt;0,"VENCIDA",IF(TODAY()&gt;=$U1692-1,"POR VENCER","EN PLAZO")))))</f>
        <v/>
      </c>
      <c r="Z1692" s="41" t="n"/>
      <c r="AA1692" s="41" t="n"/>
      <c r="AB1692" s="41" t="n"/>
    </row>
    <row r="1693">
      <c r="A1693" s="39">
        <f>IF($C1693="","","NOV-"&amp;TEXT(ROW()-3,"0000"))</f>
        <v/>
      </c>
      <c r="B1693" s="40" t="n"/>
      <c r="C1693" s="41" t="n"/>
      <c r="D1693" s="42">
        <f>IF($C1693="","",IFERROR(INDEX(DESPACHOS!$D$3:$D$3002,MATCH($C1693,DESPACHOS!$B$3:$B$3002,0)),"SIN DESPACHO"))</f>
        <v/>
      </c>
      <c r="E1693" s="42">
        <f>IF($C1693="","",IFERROR(INDEX(DESPACHOS!$K$3:$K$3002,MATCH($C1693,DESPACHOS!$B$3:$B$3002,0)),""))</f>
        <v/>
      </c>
      <c r="F1693" s="42">
        <f>IF($C1693="","",IFERROR(INDEX(DESPACHOS!$I$3:$I$3002,MATCH($C1693,DESPACHOS!$B$3:$B$3002,0)),""))</f>
        <v/>
      </c>
      <c r="G1693" s="42">
        <f>IF($C1693="","",IFERROR(INDEX(DESPACHOS!$F$3:$F$3002,MATCH($C1693,DESPACHOS!$B$3:$B$3002,0)),""))</f>
        <v/>
      </c>
      <c r="H1693" s="42">
        <f>IF($C1693="","",IFERROR(INDEX(DESPACHOS!$G$3:$G$3002,MATCH($C1693,DESPACHOS!$B$3:$B$3002,0)),""))</f>
        <v/>
      </c>
      <c r="I1693" s="39">
        <f>IF($C1693="","",IFERROR(INDEX(DESPACHOS!$H$3:$H$3002,MATCH($C1693,DESPACHOS!$B$3:$B$3002,0)),""))</f>
        <v/>
      </c>
      <c r="J1693" s="43">
        <f>IF($C1693="","",IFERROR(INDEX(DESPACHOS!$J$3:$J$3002,MATCH($C1693,DESPACHOS!$B$3:$B$3002,0)),""))</f>
        <v/>
      </c>
      <c r="K1693" s="39">
        <f>IF($C1693="","",IF(COUNTIFS(DESPACHOS!$B$3:$B$3002,$C1693)=0,"NO EXISTE",IF(COUNTIFS(DESPACHOS!$B$3:$B$3002,$C1693)&gt;1,"DUPLICADO","OK")))</f>
        <v/>
      </c>
      <c r="L1693" s="41" t="n"/>
      <c r="M1693" s="41" t="n"/>
      <c r="N1693" s="42">
        <f>IF($M1693="","",IFERROR(INDEX(LISTAS!$F$3:$F$42,MATCH($M1693,LISTAS!$E$3:$E$42,0)),"Por definir"))</f>
        <v/>
      </c>
      <c r="O1693" s="41" t="n"/>
      <c r="P1693" s="39">
        <f>IF($L1693="","",IFERROR(INDEX(LISTAS!$B$3:$B$42,MATCH($L1693,LISTAS!$A$3:$A$42,0)),"Media"))</f>
        <v/>
      </c>
      <c r="Q1693" s="44" t="n"/>
      <c r="R1693" s="45" t="n"/>
      <c r="S1693" s="20">
        <f>IFERROR(IF(OR($R1693="",$C1693=""),"",$R1693/INDEX(DESPACHOS!$M$3:$M$3002,MATCH($C1693,DESPACHOS!$B$3:$B$3002,0))),"")</f>
        <v/>
      </c>
      <c r="T1693" s="41" t="n"/>
      <c r="U1693" s="43">
        <f>IF(OR($B1693="",$L1693=""),"",WORKDAY($B1693,IFERROR(INDEX(LISTAS!$C$3:$C$42,MATCH($L1693,LISTAS!$A$3:$A$42,0)),3)))</f>
        <v/>
      </c>
      <c r="V1693" s="40" t="n"/>
      <c r="W1693" s="19">
        <f>IF($B1693="","",IF($V1693&lt;&gt;"",$V1693-$B1693,TODAY()-$B1693))</f>
        <v/>
      </c>
      <c r="X1693" s="19">
        <f>IF(OR($B1693="",$U1693=""),"",IF($V1693&lt;&gt;"",MAX(0,$V1693-$U1693),MAX(0,TODAY()-$U1693)))</f>
        <v/>
      </c>
      <c r="Y1693" s="39">
        <f>IF($C1693="","",IF(IFERROR(INDEX(LISTAS!$I$3:$I$42,MATCH($T1693,LISTAS!$H$3:$H$42,0)),"NO")="SÍ",IF(N($X1693)&gt;0,"CERRADA FUERA DE SLA","CERRADA EN SLA"),IF($U1693="","SIN CLASIFICAR",IF(N($X1693)&gt;0,"VENCIDA",IF(TODAY()&gt;=$U1693-1,"POR VENCER","EN PLAZO")))))</f>
        <v/>
      </c>
      <c r="Z1693" s="41" t="n"/>
      <c r="AA1693" s="41" t="n"/>
      <c r="AB1693" s="41" t="n"/>
    </row>
    <row r="1694">
      <c r="A1694" s="39">
        <f>IF($C1694="","","NOV-"&amp;TEXT(ROW()-3,"0000"))</f>
        <v/>
      </c>
      <c r="B1694" s="40" t="n"/>
      <c r="C1694" s="41" t="n"/>
      <c r="D1694" s="42">
        <f>IF($C1694="","",IFERROR(INDEX(DESPACHOS!$D$3:$D$3002,MATCH($C1694,DESPACHOS!$B$3:$B$3002,0)),"SIN DESPACHO"))</f>
        <v/>
      </c>
      <c r="E1694" s="42">
        <f>IF($C1694="","",IFERROR(INDEX(DESPACHOS!$K$3:$K$3002,MATCH($C1694,DESPACHOS!$B$3:$B$3002,0)),""))</f>
        <v/>
      </c>
      <c r="F1694" s="42">
        <f>IF($C1694="","",IFERROR(INDEX(DESPACHOS!$I$3:$I$3002,MATCH($C1694,DESPACHOS!$B$3:$B$3002,0)),""))</f>
        <v/>
      </c>
      <c r="G1694" s="42">
        <f>IF($C1694="","",IFERROR(INDEX(DESPACHOS!$F$3:$F$3002,MATCH($C1694,DESPACHOS!$B$3:$B$3002,0)),""))</f>
        <v/>
      </c>
      <c r="H1694" s="42">
        <f>IF($C1694="","",IFERROR(INDEX(DESPACHOS!$G$3:$G$3002,MATCH($C1694,DESPACHOS!$B$3:$B$3002,0)),""))</f>
        <v/>
      </c>
      <c r="I1694" s="39">
        <f>IF($C1694="","",IFERROR(INDEX(DESPACHOS!$H$3:$H$3002,MATCH($C1694,DESPACHOS!$B$3:$B$3002,0)),""))</f>
        <v/>
      </c>
      <c r="J1694" s="43">
        <f>IF($C1694="","",IFERROR(INDEX(DESPACHOS!$J$3:$J$3002,MATCH($C1694,DESPACHOS!$B$3:$B$3002,0)),""))</f>
        <v/>
      </c>
      <c r="K1694" s="39">
        <f>IF($C1694="","",IF(COUNTIFS(DESPACHOS!$B$3:$B$3002,$C1694)=0,"NO EXISTE",IF(COUNTIFS(DESPACHOS!$B$3:$B$3002,$C1694)&gt;1,"DUPLICADO","OK")))</f>
        <v/>
      </c>
      <c r="L1694" s="41" t="n"/>
      <c r="M1694" s="41" t="n"/>
      <c r="N1694" s="42">
        <f>IF($M1694="","",IFERROR(INDEX(LISTAS!$F$3:$F$42,MATCH($M1694,LISTAS!$E$3:$E$42,0)),"Por definir"))</f>
        <v/>
      </c>
      <c r="O1694" s="41" t="n"/>
      <c r="P1694" s="39">
        <f>IF($L1694="","",IFERROR(INDEX(LISTAS!$B$3:$B$42,MATCH($L1694,LISTAS!$A$3:$A$42,0)),"Media"))</f>
        <v/>
      </c>
      <c r="Q1694" s="44" t="n"/>
      <c r="R1694" s="45" t="n"/>
      <c r="S1694" s="20">
        <f>IFERROR(IF(OR($R1694="",$C1694=""),"",$R1694/INDEX(DESPACHOS!$M$3:$M$3002,MATCH($C1694,DESPACHOS!$B$3:$B$3002,0))),"")</f>
        <v/>
      </c>
      <c r="T1694" s="41" t="n"/>
      <c r="U1694" s="43">
        <f>IF(OR($B1694="",$L1694=""),"",WORKDAY($B1694,IFERROR(INDEX(LISTAS!$C$3:$C$42,MATCH($L1694,LISTAS!$A$3:$A$42,0)),3)))</f>
        <v/>
      </c>
      <c r="V1694" s="40" t="n"/>
      <c r="W1694" s="19">
        <f>IF($B1694="","",IF($V1694&lt;&gt;"",$V1694-$B1694,TODAY()-$B1694))</f>
        <v/>
      </c>
      <c r="X1694" s="19">
        <f>IF(OR($B1694="",$U1694=""),"",IF($V1694&lt;&gt;"",MAX(0,$V1694-$U1694),MAX(0,TODAY()-$U1694)))</f>
        <v/>
      </c>
      <c r="Y1694" s="39">
        <f>IF($C1694="","",IF(IFERROR(INDEX(LISTAS!$I$3:$I$42,MATCH($T1694,LISTAS!$H$3:$H$42,0)),"NO")="SÍ",IF(N($X1694)&gt;0,"CERRADA FUERA DE SLA","CERRADA EN SLA"),IF($U1694="","SIN CLASIFICAR",IF(N($X1694)&gt;0,"VENCIDA",IF(TODAY()&gt;=$U1694-1,"POR VENCER","EN PLAZO")))))</f>
        <v/>
      </c>
      <c r="Z1694" s="41" t="n"/>
      <c r="AA1694" s="41" t="n"/>
      <c r="AB1694" s="41" t="n"/>
    </row>
    <row r="1695">
      <c r="A1695" s="39">
        <f>IF($C1695="","","NOV-"&amp;TEXT(ROW()-3,"0000"))</f>
        <v/>
      </c>
      <c r="B1695" s="40" t="n"/>
      <c r="C1695" s="41" t="n"/>
      <c r="D1695" s="42">
        <f>IF($C1695="","",IFERROR(INDEX(DESPACHOS!$D$3:$D$3002,MATCH($C1695,DESPACHOS!$B$3:$B$3002,0)),"SIN DESPACHO"))</f>
        <v/>
      </c>
      <c r="E1695" s="42">
        <f>IF($C1695="","",IFERROR(INDEX(DESPACHOS!$K$3:$K$3002,MATCH($C1695,DESPACHOS!$B$3:$B$3002,0)),""))</f>
        <v/>
      </c>
      <c r="F1695" s="42">
        <f>IF($C1695="","",IFERROR(INDEX(DESPACHOS!$I$3:$I$3002,MATCH($C1695,DESPACHOS!$B$3:$B$3002,0)),""))</f>
        <v/>
      </c>
      <c r="G1695" s="42">
        <f>IF($C1695="","",IFERROR(INDEX(DESPACHOS!$F$3:$F$3002,MATCH($C1695,DESPACHOS!$B$3:$B$3002,0)),""))</f>
        <v/>
      </c>
      <c r="H1695" s="42">
        <f>IF($C1695="","",IFERROR(INDEX(DESPACHOS!$G$3:$G$3002,MATCH($C1695,DESPACHOS!$B$3:$B$3002,0)),""))</f>
        <v/>
      </c>
      <c r="I1695" s="39">
        <f>IF($C1695="","",IFERROR(INDEX(DESPACHOS!$H$3:$H$3002,MATCH($C1695,DESPACHOS!$B$3:$B$3002,0)),""))</f>
        <v/>
      </c>
      <c r="J1695" s="43">
        <f>IF($C1695="","",IFERROR(INDEX(DESPACHOS!$J$3:$J$3002,MATCH($C1695,DESPACHOS!$B$3:$B$3002,0)),""))</f>
        <v/>
      </c>
      <c r="K1695" s="39">
        <f>IF($C1695="","",IF(COUNTIFS(DESPACHOS!$B$3:$B$3002,$C1695)=0,"NO EXISTE",IF(COUNTIFS(DESPACHOS!$B$3:$B$3002,$C1695)&gt;1,"DUPLICADO","OK")))</f>
        <v/>
      </c>
      <c r="L1695" s="41" t="n"/>
      <c r="M1695" s="41" t="n"/>
      <c r="N1695" s="42">
        <f>IF($M1695="","",IFERROR(INDEX(LISTAS!$F$3:$F$42,MATCH($M1695,LISTAS!$E$3:$E$42,0)),"Por definir"))</f>
        <v/>
      </c>
      <c r="O1695" s="41" t="n"/>
      <c r="P1695" s="39">
        <f>IF($L1695="","",IFERROR(INDEX(LISTAS!$B$3:$B$42,MATCH($L1695,LISTAS!$A$3:$A$42,0)),"Media"))</f>
        <v/>
      </c>
      <c r="Q1695" s="44" t="n"/>
      <c r="R1695" s="45" t="n"/>
      <c r="S1695" s="20">
        <f>IFERROR(IF(OR($R1695="",$C1695=""),"",$R1695/INDEX(DESPACHOS!$M$3:$M$3002,MATCH($C1695,DESPACHOS!$B$3:$B$3002,0))),"")</f>
        <v/>
      </c>
      <c r="T1695" s="41" t="n"/>
      <c r="U1695" s="43">
        <f>IF(OR($B1695="",$L1695=""),"",WORKDAY($B1695,IFERROR(INDEX(LISTAS!$C$3:$C$42,MATCH($L1695,LISTAS!$A$3:$A$42,0)),3)))</f>
        <v/>
      </c>
      <c r="V1695" s="40" t="n"/>
      <c r="W1695" s="19">
        <f>IF($B1695="","",IF($V1695&lt;&gt;"",$V1695-$B1695,TODAY()-$B1695))</f>
        <v/>
      </c>
      <c r="X1695" s="19">
        <f>IF(OR($B1695="",$U1695=""),"",IF($V1695&lt;&gt;"",MAX(0,$V1695-$U1695),MAX(0,TODAY()-$U1695)))</f>
        <v/>
      </c>
      <c r="Y1695" s="39">
        <f>IF($C1695="","",IF(IFERROR(INDEX(LISTAS!$I$3:$I$42,MATCH($T1695,LISTAS!$H$3:$H$42,0)),"NO")="SÍ",IF(N($X1695)&gt;0,"CERRADA FUERA DE SLA","CERRADA EN SLA"),IF($U1695="","SIN CLASIFICAR",IF(N($X1695)&gt;0,"VENCIDA",IF(TODAY()&gt;=$U1695-1,"POR VENCER","EN PLAZO")))))</f>
        <v/>
      </c>
      <c r="Z1695" s="41" t="n"/>
      <c r="AA1695" s="41" t="n"/>
      <c r="AB1695" s="41" t="n"/>
    </row>
    <row r="1696">
      <c r="A1696" s="39">
        <f>IF($C1696="","","NOV-"&amp;TEXT(ROW()-3,"0000"))</f>
        <v/>
      </c>
      <c r="B1696" s="40" t="n"/>
      <c r="C1696" s="41" t="n"/>
      <c r="D1696" s="42">
        <f>IF($C1696="","",IFERROR(INDEX(DESPACHOS!$D$3:$D$3002,MATCH($C1696,DESPACHOS!$B$3:$B$3002,0)),"SIN DESPACHO"))</f>
        <v/>
      </c>
      <c r="E1696" s="42">
        <f>IF($C1696="","",IFERROR(INDEX(DESPACHOS!$K$3:$K$3002,MATCH($C1696,DESPACHOS!$B$3:$B$3002,0)),""))</f>
        <v/>
      </c>
      <c r="F1696" s="42">
        <f>IF($C1696="","",IFERROR(INDEX(DESPACHOS!$I$3:$I$3002,MATCH($C1696,DESPACHOS!$B$3:$B$3002,0)),""))</f>
        <v/>
      </c>
      <c r="G1696" s="42">
        <f>IF($C1696="","",IFERROR(INDEX(DESPACHOS!$F$3:$F$3002,MATCH($C1696,DESPACHOS!$B$3:$B$3002,0)),""))</f>
        <v/>
      </c>
      <c r="H1696" s="42">
        <f>IF($C1696="","",IFERROR(INDEX(DESPACHOS!$G$3:$G$3002,MATCH($C1696,DESPACHOS!$B$3:$B$3002,0)),""))</f>
        <v/>
      </c>
      <c r="I1696" s="39">
        <f>IF($C1696="","",IFERROR(INDEX(DESPACHOS!$H$3:$H$3002,MATCH($C1696,DESPACHOS!$B$3:$B$3002,0)),""))</f>
        <v/>
      </c>
      <c r="J1696" s="43">
        <f>IF($C1696="","",IFERROR(INDEX(DESPACHOS!$J$3:$J$3002,MATCH($C1696,DESPACHOS!$B$3:$B$3002,0)),""))</f>
        <v/>
      </c>
      <c r="K1696" s="39">
        <f>IF($C1696="","",IF(COUNTIFS(DESPACHOS!$B$3:$B$3002,$C1696)=0,"NO EXISTE",IF(COUNTIFS(DESPACHOS!$B$3:$B$3002,$C1696)&gt;1,"DUPLICADO","OK")))</f>
        <v/>
      </c>
      <c r="L1696" s="41" t="n"/>
      <c r="M1696" s="41" t="n"/>
      <c r="N1696" s="42">
        <f>IF($M1696="","",IFERROR(INDEX(LISTAS!$F$3:$F$42,MATCH($M1696,LISTAS!$E$3:$E$42,0)),"Por definir"))</f>
        <v/>
      </c>
      <c r="O1696" s="41" t="n"/>
      <c r="P1696" s="39">
        <f>IF($L1696="","",IFERROR(INDEX(LISTAS!$B$3:$B$42,MATCH($L1696,LISTAS!$A$3:$A$42,0)),"Media"))</f>
        <v/>
      </c>
      <c r="Q1696" s="44" t="n"/>
      <c r="R1696" s="45" t="n"/>
      <c r="S1696" s="20">
        <f>IFERROR(IF(OR($R1696="",$C1696=""),"",$R1696/INDEX(DESPACHOS!$M$3:$M$3002,MATCH($C1696,DESPACHOS!$B$3:$B$3002,0))),"")</f>
        <v/>
      </c>
      <c r="T1696" s="41" t="n"/>
      <c r="U1696" s="43">
        <f>IF(OR($B1696="",$L1696=""),"",WORKDAY($B1696,IFERROR(INDEX(LISTAS!$C$3:$C$42,MATCH($L1696,LISTAS!$A$3:$A$42,0)),3)))</f>
        <v/>
      </c>
      <c r="V1696" s="40" t="n"/>
      <c r="W1696" s="19">
        <f>IF($B1696="","",IF($V1696&lt;&gt;"",$V1696-$B1696,TODAY()-$B1696))</f>
        <v/>
      </c>
      <c r="X1696" s="19">
        <f>IF(OR($B1696="",$U1696=""),"",IF($V1696&lt;&gt;"",MAX(0,$V1696-$U1696),MAX(0,TODAY()-$U1696)))</f>
        <v/>
      </c>
      <c r="Y1696" s="39">
        <f>IF($C1696="","",IF(IFERROR(INDEX(LISTAS!$I$3:$I$42,MATCH($T1696,LISTAS!$H$3:$H$42,0)),"NO")="SÍ",IF(N($X1696)&gt;0,"CERRADA FUERA DE SLA","CERRADA EN SLA"),IF($U1696="","SIN CLASIFICAR",IF(N($X1696)&gt;0,"VENCIDA",IF(TODAY()&gt;=$U1696-1,"POR VENCER","EN PLAZO")))))</f>
        <v/>
      </c>
      <c r="Z1696" s="41" t="n"/>
      <c r="AA1696" s="41" t="n"/>
      <c r="AB1696" s="41" t="n"/>
    </row>
    <row r="1697">
      <c r="A1697" s="39">
        <f>IF($C1697="","","NOV-"&amp;TEXT(ROW()-3,"0000"))</f>
        <v/>
      </c>
      <c r="B1697" s="40" t="n"/>
      <c r="C1697" s="41" t="n"/>
      <c r="D1697" s="42">
        <f>IF($C1697="","",IFERROR(INDEX(DESPACHOS!$D$3:$D$3002,MATCH($C1697,DESPACHOS!$B$3:$B$3002,0)),"SIN DESPACHO"))</f>
        <v/>
      </c>
      <c r="E1697" s="42">
        <f>IF($C1697="","",IFERROR(INDEX(DESPACHOS!$K$3:$K$3002,MATCH($C1697,DESPACHOS!$B$3:$B$3002,0)),""))</f>
        <v/>
      </c>
      <c r="F1697" s="42">
        <f>IF($C1697="","",IFERROR(INDEX(DESPACHOS!$I$3:$I$3002,MATCH($C1697,DESPACHOS!$B$3:$B$3002,0)),""))</f>
        <v/>
      </c>
      <c r="G1697" s="42">
        <f>IF($C1697="","",IFERROR(INDEX(DESPACHOS!$F$3:$F$3002,MATCH($C1697,DESPACHOS!$B$3:$B$3002,0)),""))</f>
        <v/>
      </c>
      <c r="H1697" s="42">
        <f>IF($C1697="","",IFERROR(INDEX(DESPACHOS!$G$3:$G$3002,MATCH($C1697,DESPACHOS!$B$3:$B$3002,0)),""))</f>
        <v/>
      </c>
      <c r="I1697" s="39">
        <f>IF($C1697="","",IFERROR(INDEX(DESPACHOS!$H$3:$H$3002,MATCH($C1697,DESPACHOS!$B$3:$B$3002,0)),""))</f>
        <v/>
      </c>
      <c r="J1697" s="43">
        <f>IF($C1697="","",IFERROR(INDEX(DESPACHOS!$J$3:$J$3002,MATCH($C1697,DESPACHOS!$B$3:$B$3002,0)),""))</f>
        <v/>
      </c>
      <c r="K1697" s="39">
        <f>IF($C1697="","",IF(COUNTIFS(DESPACHOS!$B$3:$B$3002,$C1697)=0,"NO EXISTE",IF(COUNTIFS(DESPACHOS!$B$3:$B$3002,$C1697)&gt;1,"DUPLICADO","OK")))</f>
        <v/>
      </c>
      <c r="L1697" s="41" t="n"/>
      <c r="M1697" s="41" t="n"/>
      <c r="N1697" s="42">
        <f>IF($M1697="","",IFERROR(INDEX(LISTAS!$F$3:$F$42,MATCH($M1697,LISTAS!$E$3:$E$42,0)),"Por definir"))</f>
        <v/>
      </c>
      <c r="O1697" s="41" t="n"/>
      <c r="P1697" s="39">
        <f>IF($L1697="","",IFERROR(INDEX(LISTAS!$B$3:$B$42,MATCH($L1697,LISTAS!$A$3:$A$42,0)),"Media"))</f>
        <v/>
      </c>
      <c r="Q1697" s="44" t="n"/>
      <c r="R1697" s="45" t="n"/>
      <c r="S1697" s="20">
        <f>IFERROR(IF(OR($R1697="",$C1697=""),"",$R1697/INDEX(DESPACHOS!$M$3:$M$3002,MATCH($C1697,DESPACHOS!$B$3:$B$3002,0))),"")</f>
        <v/>
      </c>
      <c r="T1697" s="41" t="n"/>
      <c r="U1697" s="43">
        <f>IF(OR($B1697="",$L1697=""),"",WORKDAY($B1697,IFERROR(INDEX(LISTAS!$C$3:$C$42,MATCH($L1697,LISTAS!$A$3:$A$42,0)),3)))</f>
        <v/>
      </c>
      <c r="V1697" s="40" t="n"/>
      <c r="W1697" s="19">
        <f>IF($B1697="","",IF($V1697&lt;&gt;"",$V1697-$B1697,TODAY()-$B1697))</f>
        <v/>
      </c>
      <c r="X1697" s="19">
        <f>IF(OR($B1697="",$U1697=""),"",IF($V1697&lt;&gt;"",MAX(0,$V1697-$U1697),MAX(0,TODAY()-$U1697)))</f>
        <v/>
      </c>
      <c r="Y1697" s="39">
        <f>IF($C1697="","",IF(IFERROR(INDEX(LISTAS!$I$3:$I$42,MATCH($T1697,LISTAS!$H$3:$H$42,0)),"NO")="SÍ",IF(N($X1697)&gt;0,"CERRADA FUERA DE SLA","CERRADA EN SLA"),IF($U1697="","SIN CLASIFICAR",IF(N($X1697)&gt;0,"VENCIDA",IF(TODAY()&gt;=$U1697-1,"POR VENCER","EN PLAZO")))))</f>
        <v/>
      </c>
      <c r="Z1697" s="41" t="n"/>
      <c r="AA1697" s="41" t="n"/>
      <c r="AB1697" s="41" t="n"/>
    </row>
    <row r="1698">
      <c r="A1698" s="39">
        <f>IF($C1698="","","NOV-"&amp;TEXT(ROW()-3,"0000"))</f>
        <v/>
      </c>
      <c r="B1698" s="40" t="n"/>
      <c r="C1698" s="41" t="n"/>
      <c r="D1698" s="42">
        <f>IF($C1698="","",IFERROR(INDEX(DESPACHOS!$D$3:$D$3002,MATCH($C1698,DESPACHOS!$B$3:$B$3002,0)),"SIN DESPACHO"))</f>
        <v/>
      </c>
      <c r="E1698" s="42">
        <f>IF($C1698="","",IFERROR(INDEX(DESPACHOS!$K$3:$K$3002,MATCH($C1698,DESPACHOS!$B$3:$B$3002,0)),""))</f>
        <v/>
      </c>
      <c r="F1698" s="42">
        <f>IF($C1698="","",IFERROR(INDEX(DESPACHOS!$I$3:$I$3002,MATCH($C1698,DESPACHOS!$B$3:$B$3002,0)),""))</f>
        <v/>
      </c>
      <c r="G1698" s="42">
        <f>IF($C1698="","",IFERROR(INDEX(DESPACHOS!$F$3:$F$3002,MATCH($C1698,DESPACHOS!$B$3:$B$3002,0)),""))</f>
        <v/>
      </c>
      <c r="H1698" s="42">
        <f>IF($C1698="","",IFERROR(INDEX(DESPACHOS!$G$3:$G$3002,MATCH($C1698,DESPACHOS!$B$3:$B$3002,0)),""))</f>
        <v/>
      </c>
      <c r="I1698" s="39">
        <f>IF($C1698="","",IFERROR(INDEX(DESPACHOS!$H$3:$H$3002,MATCH($C1698,DESPACHOS!$B$3:$B$3002,0)),""))</f>
        <v/>
      </c>
      <c r="J1698" s="43">
        <f>IF($C1698="","",IFERROR(INDEX(DESPACHOS!$J$3:$J$3002,MATCH($C1698,DESPACHOS!$B$3:$B$3002,0)),""))</f>
        <v/>
      </c>
      <c r="K1698" s="39">
        <f>IF($C1698="","",IF(COUNTIFS(DESPACHOS!$B$3:$B$3002,$C1698)=0,"NO EXISTE",IF(COUNTIFS(DESPACHOS!$B$3:$B$3002,$C1698)&gt;1,"DUPLICADO","OK")))</f>
        <v/>
      </c>
      <c r="L1698" s="41" t="n"/>
      <c r="M1698" s="41" t="n"/>
      <c r="N1698" s="42">
        <f>IF($M1698="","",IFERROR(INDEX(LISTAS!$F$3:$F$42,MATCH($M1698,LISTAS!$E$3:$E$42,0)),"Por definir"))</f>
        <v/>
      </c>
      <c r="O1698" s="41" t="n"/>
      <c r="P1698" s="39">
        <f>IF($L1698="","",IFERROR(INDEX(LISTAS!$B$3:$B$42,MATCH($L1698,LISTAS!$A$3:$A$42,0)),"Media"))</f>
        <v/>
      </c>
      <c r="Q1698" s="44" t="n"/>
      <c r="R1698" s="45" t="n"/>
      <c r="S1698" s="20">
        <f>IFERROR(IF(OR($R1698="",$C1698=""),"",$R1698/INDEX(DESPACHOS!$M$3:$M$3002,MATCH($C1698,DESPACHOS!$B$3:$B$3002,0))),"")</f>
        <v/>
      </c>
      <c r="T1698" s="41" t="n"/>
      <c r="U1698" s="43">
        <f>IF(OR($B1698="",$L1698=""),"",WORKDAY($B1698,IFERROR(INDEX(LISTAS!$C$3:$C$42,MATCH($L1698,LISTAS!$A$3:$A$42,0)),3)))</f>
        <v/>
      </c>
      <c r="V1698" s="40" t="n"/>
      <c r="W1698" s="19">
        <f>IF($B1698="","",IF($V1698&lt;&gt;"",$V1698-$B1698,TODAY()-$B1698))</f>
        <v/>
      </c>
      <c r="X1698" s="19">
        <f>IF(OR($B1698="",$U1698=""),"",IF($V1698&lt;&gt;"",MAX(0,$V1698-$U1698),MAX(0,TODAY()-$U1698)))</f>
        <v/>
      </c>
      <c r="Y1698" s="39">
        <f>IF($C1698="","",IF(IFERROR(INDEX(LISTAS!$I$3:$I$42,MATCH($T1698,LISTAS!$H$3:$H$42,0)),"NO")="SÍ",IF(N($X1698)&gt;0,"CERRADA FUERA DE SLA","CERRADA EN SLA"),IF($U1698="","SIN CLASIFICAR",IF(N($X1698)&gt;0,"VENCIDA",IF(TODAY()&gt;=$U1698-1,"POR VENCER","EN PLAZO")))))</f>
        <v/>
      </c>
      <c r="Z1698" s="41" t="n"/>
      <c r="AA1698" s="41" t="n"/>
      <c r="AB1698" s="41" t="n"/>
    </row>
    <row r="1699">
      <c r="A1699" s="39">
        <f>IF($C1699="","","NOV-"&amp;TEXT(ROW()-3,"0000"))</f>
        <v/>
      </c>
      <c r="B1699" s="40" t="n"/>
      <c r="C1699" s="41" t="n"/>
      <c r="D1699" s="42">
        <f>IF($C1699="","",IFERROR(INDEX(DESPACHOS!$D$3:$D$3002,MATCH($C1699,DESPACHOS!$B$3:$B$3002,0)),"SIN DESPACHO"))</f>
        <v/>
      </c>
      <c r="E1699" s="42">
        <f>IF($C1699="","",IFERROR(INDEX(DESPACHOS!$K$3:$K$3002,MATCH($C1699,DESPACHOS!$B$3:$B$3002,0)),""))</f>
        <v/>
      </c>
      <c r="F1699" s="42">
        <f>IF($C1699="","",IFERROR(INDEX(DESPACHOS!$I$3:$I$3002,MATCH($C1699,DESPACHOS!$B$3:$B$3002,0)),""))</f>
        <v/>
      </c>
      <c r="G1699" s="42">
        <f>IF($C1699="","",IFERROR(INDEX(DESPACHOS!$F$3:$F$3002,MATCH($C1699,DESPACHOS!$B$3:$B$3002,0)),""))</f>
        <v/>
      </c>
      <c r="H1699" s="42">
        <f>IF($C1699="","",IFERROR(INDEX(DESPACHOS!$G$3:$G$3002,MATCH($C1699,DESPACHOS!$B$3:$B$3002,0)),""))</f>
        <v/>
      </c>
      <c r="I1699" s="39">
        <f>IF($C1699="","",IFERROR(INDEX(DESPACHOS!$H$3:$H$3002,MATCH($C1699,DESPACHOS!$B$3:$B$3002,0)),""))</f>
        <v/>
      </c>
      <c r="J1699" s="43">
        <f>IF($C1699="","",IFERROR(INDEX(DESPACHOS!$J$3:$J$3002,MATCH($C1699,DESPACHOS!$B$3:$B$3002,0)),""))</f>
        <v/>
      </c>
      <c r="K1699" s="39">
        <f>IF($C1699="","",IF(COUNTIFS(DESPACHOS!$B$3:$B$3002,$C1699)=0,"NO EXISTE",IF(COUNTIFS(DESPACHOS!$B$3:$B$3002,$C1699)&gt;1,"DUPLICADO","OK")))</f>
        <v/>
      </c>
      <c r="L1699" s="41" t="n"/>
      <c r="M1699" s="41" t="n"/>
      <c r="N1699" s="42">
        <f>IF($M1699="","",IFERROR(INDEX(LISTAS!$F$3:$F$42,MATCH($M1699,LISTAS!$E$3:$E$42,0)),"Por definir"))</f>
        <v/>
      </c>
      <c r="O1699" s="41" t="n"/>
      <c r="P1699" s="39">
        <f>IF($L1699="","",IFERROR(INDEX(LISTAS!$B$3:$B$42,MATCH($L1699,LISTAS!$A$3:$A$42,0)),"Media"))</f>
        <v/>
      </c>
      <c r="Q1699" s="44" t="n"/>
      <c r="R1699" s="45" t="n"/>
      <c r="S1699" s="20">
        <f>IFERROR(IF(OR($R1699="",$C1699=""),"",$R1699/INDEX(DESPACHOS!$M$3:$M$3002,MATCH($C1699,DESPACHOS!$B$3:$B$3002,0))),"")</f>
        <v/>
      </c>
      <c r="T1699" s="41" t="n"/>
      <c r="U1699" s="43">
        <f>IF(OR($B1699="",$L1699=""),"",WORKDAY($B1699,IFERROR(INDEX(LISTAS!$C$3:$C$42,MATCH($L1699,LISTAS!$A$3:$A$42,0)),3)))</f>
        <v/>
      </c>
      <c r="V1699" s="40" t="n"/>
      <c r="W1699" s="19">
        <f>IF($B1699="","",IF($V1699&lt;&gt;"",$V1699-$B1699,TODAY()-$B1699))</f>
        <v/>
      </c>
      <c r="X1699" s="19">
        <f>IF(OR($B1699="",$U1699=""),"",IF($V1699&lt;&gt;"",MAX(0,$V1699-$U1699),MAX(0,TODAY()-$U1699)))</f>
        <v/>
      </c>
      <c r="Y1699" s="39">
        <f>IF($C1699="","",IF(IFERROR(INDEX(LISTAS!$I$3:$I$42,MATCH($T1699,LISTAS!$H$3:$H$42,0)),"NO")="SÍ",IF(N($X1699)&gt;0,"CERRADA FUERA DE SLA","CERRADA EN SLA"),IF($U1699="","SIN CLASIFICAR",IF(N($X1699)&gt;0,"VENCIDA",IF(TODAY()&gt;=$U1699-1,"POR VENCER","EN PLAZO")))))</f>
        <v/>
      </c>
      <c r="Z1699" s="41" t="n"/>
      <c r="AA1699" s="41" t="n"/>
      <c r="AB1699" s="41" t="n"/>
    </row>
    <row r="1700">
      <c r="A1700" s="39">
        <f>IF($C1700="","","NOV-"&amp;TEXT(ROW()-3,"0000"))</f>
        <v/>
      </c>
      <c r="B1700" s="40" t="n"/>
      <c r="C1700" s="41" t="n"/>
      <c r="D1700" s="42">
        <f>IF($C1700="","",IFERROR(INDEX(DESPACHOS!$D$3:$D$3002,MATCH($C1700,DESPACHOS!$B$3:$B$3002,0)),"SIN DESPACHO"))</f>
        <v/>
      </c>
      <c r="E1700" s="42">
        <f>IF($C1700="","",IFERROR(INDEX(DESPACHOS!$K$3:$K$3002,MATCH($C1700,DESPACHOS!$B$3:$B$3002,0)),""))</f>
        <v/>
      </c>
      <c r="F1700" s="42">
        <f>IF($C1700="","",IFERROR(INDEX(DESPACHOS!$I$3:$I$3002,MATCH($C1700,DESPACHOS!$B$3:$B$3002,0)),""))</f>
        <v/>
      </c>
      <c r="G1700" s="42">
        <f>IF($C1700="","",IFERROR(INDEX(DESPACHOS!$F$3:$F$3002,MATCH($C1700,DESPACHOS!$B$3:$B$3002,0)),""))</f>
        <v/>
      </c>
      <c r="H1700" s="42">
        <f>IF($C1700="","",IFERROR(INDEX(DESPACHOS!$G$3:$G$3002,MATCH($C1700,DESPACHOS!$B$3:$B$3002,0)),""))</f>
        <v/>
      </c>
      <c r="I1700" s="39">
        <f>IF($C1700="","",IFERROR(INDEX(DESPACHOS!$H$3:$H$3002,MATCH($C1700,DESPACHOS!$B$3:$B$3002,0)),""))</f>
        <v/>
      </c>
      <c r="J1700" s="43">
        <f>IF($C1700="","",IFERROR(INDEX(DESPACHOS!$J$3:$J$3002,MATCH($C1700,DESPACHOS!$B$3:$B$3002,0)),""))</f>
        <v/>
      </c>
      <c r="K1700" s="39">
        <f>IF($C1700="","",IF(COUNTIFS(DESPACHOS!$B$3:$B$3002,$C1700)=0,"NO EXISTE",IF(COUNTIFS(DESPACHOS!$B$3:$B$3002,$C1700)&gt;1,"DUPLICADO","OK")))</f>
        <v/>
      </c>
      <c r="L1700" s="41" t="n"/>
      <c r="M1700" s="41" t="n"/>
      <c r="N1700" s="42">
        <f>IF($M1700="","",IFERROR(INDEX(LISTAS!$F$3:$F$42,MATCH($M1700,LISTAS!$E$3:$E$42,0)),"Por definir"))</f>
        <v/>
      </c>
      <c r="O1700" s="41" t="n"/>
      <c r="P1700" s="39">
        <f>IF($L1700="","",IFERROR(INDEX(LISTAS!$B$3:$B$42,MATCH($L1700,LISTAS!$A$3:$A$42,0)),"Media"))</f>
        <v/>
      </c>
      <c r="Q1700" s="44" t="n"/>
      <c r="R1700" s="45" t="n"/>
      <c r="S1700" s="20">
        <f>IFERROR(IF(OR($R1700="",$C1700=""),"",$R1700/INDEX(DESPACHOS!$M$3:$M$3002,MATCH($C1700,DESPACHOS!$B$3:$B$3002,0))),"")</f>
        <v/>
      </c>
      <c r="T1700" s="41" t="n"/>
      <c r="U1700" s="43">
        <f>IF(OR($B1700="",$L1700=""),"",WORKDAY($B1700,IFERROR(INDEX(LISTAS!$C$3:$C$42,MATCH($L1700,LISTAS!$A$3:$A$42,0)),3)))</f>
        <v/>
      </c>
      <c r="V1700" s="40" t="n"/>
      <c r="W1700" s="19">
        <f>IF($B1700="","",IF($V1700&lt;&gt;"",$V1700-$B1700,TODAY()-$B1700))</f>
        <v/>
      </c>
      <c r="X1700" s="19">
        <f>IF(OR($B1700="",$U1700=""),"",IF($V1700&lt;&gt;"",MAX(0,$V1700-$U1700),MAX(0,TODAY()-$U1700)))</f>
        <v/>
      </c>
      <c r="Y1700" s="39">
        <f>IF($C1700="","",IF(IFERROR(INDEX(LISTAS!$I$3:$I$42,MATCH($T1700,LISTAS!$H$3:$H$42,0)),"NO")="SÍ",IF(N($X1700)&gt;0,"CERRADA FUERA DE SLA","CERRADA EN SLA"),IF($U1700="","SIN CLASIFICAR",IF(N($X1700)&gt;0,"VENCIDA",IF(TODAY()&gt;=$U1700-1,"POR VENCER","EN PLAZO")))))</f>
        <v/>
      </c>
      <c r="Z1700" s="41" t="n"/>
      <c r="AA1700" s="41" t="n"/>
      <c r="AB1700" s="41" t="n"/>
    </row>
    <row r="1701">
      <c r="A1701" s="39">
        <f>IF($C1701="","","NOV-"&amp;TEXT(ROW()-3,"0000"))</f>
        <v/>
      </c>
      <c r="B1701" s="40" t="n"/>
      <c r="C1701" s="41" t="n"/>
      <c r="D1701" s="42">
        <f>IF($C1701="","",IFERROR(INDEX(DESPACHOS!$D$3:$D$3002,MATCH($C1701,DESPACHOS!$B$3:$B$3002,0)),"SIN DESPACHO"))</f>
        <v/>
      </c>
      <c r="E1701" s="42">
        <f>IF($C1701="","",IFERROR(INDEX(DESPACHOS!$K$3:$K$3002,MATCH($C1701,DESPACHOS!$B$3:$B$3002,0)),""))</f>
        <v/>
      </c>
      <c r="F1701" s="42">
        <f>IF($C1701="","",IFERROR(INDEX(DESPACHOS!$I$3:$I$3002,MATCH($C1701,DESPACHOS!$B$3:$B$3002,0)),""))</f>
        <v/>
      </c>
      <c r="G1701" s="42">
        <f>IF($C1701="","",IFERROR(INDEX(DESPACHOS!$F$3:$F$3002,MATCH($C1701,DESPACHOS!$B$3:$B$3002,0)),""))</f>
        <v/>
      </c>
      <c r="H1701" s="42">
        <f>IF($C1701="","",IFERROR(INDEX(DESPACHOS!$G$3:$G$3002,MATCH($C1701,DESPACHOS!$B$3:$B$3002,0)),""))</f>
        <v/>
      </c>
      <c r="I1701" s="39">
        <f>IF($C1701="","",IFERROR(INDEX(DESPACHOS!$H$3:$H$3002,MATCH($C1701,DESPACHOS!$B$3:$B$3002,0)),""))</f>
        <v/>
      </c>
      <c r="J1701" s="43">
        <f>IF($C1701="","",IFERROR(INDEX(DESPACHOS!$J$3:$J$3002,MATCH($C1701,DESPACHOS!$B$3:$B$3002,0)),""))</f>
        <v/>
      </c>
      <c r="K1701" s="39">
        <f>IF($C1701="","",IF(COUNTIFS(DESPACHOS!$B$3:$B$3002,$C1701)=0,"NO EXISTE",IF(COUNTIFS(DESPACHOS!$B$3:$B$3002,$C1701)&gt;1,"DUPLICADO","OK")))</f>
        <v/>
      </c>
      <c r="L1701" s="41" t="n"/>
      <c r="M1701" s="41" t="n"/>
      <c r="N1701" s="42">
        <f>IF($M1701="","",IFERROR(INDEX(LISTAS!$F$3:$F$42,MATCH($M1701,LISTAS!$E$3:$E$42,0)),"Por definir"))</f>
        <v/>
      </c>
      <c r="O1701" s="41" t="n"/>
      <c r="P1701" s="39">
        <f>IF($L1701="","",IFERROR(INDEX(LISTAS!$B$3:$B$42,MATCH($L1701,LISTAS!$A$3:$A$42,0)),"Media"))</f>
        <v/>
      </c>
      <c r="Q1701" s="44" t="n"/>
      <c r="R1701" s="45" t="n"/>
      <c r="S1701" s="20">
        <f>IFERROR(IF(OR($R1701="",$C1701=""),"",$R1701/INDEX(DESPACHOS!$M$3:$M$3002,MATCH($C1701,DESPACHOS!$B$3:$B$3002,0))),"")</f>
        <v/>
      </c>
      <c r="T1701" s="41" t="n"/>
      <c r="U1701" s="43">
        <f>IF(OR($B1701="",$L1701=""),"",WORKDAY($B1701,IFERROR(INDEX(LISTAS!$C$3:$C$42,MATCH($L1701,LISTAS!$A$3:$A$42,0)),3)))</f>
        <v/>
      </c>
      <c r="V1701" s="40" t="n"/>
      <c r="W1701" s="19">
        <f>IF($B1701="","",IF($V1701&lt;&gt;"",$V1701-$B1701,TODAY()-$B1701))</f>
        <v/>
      </c>
      <c r="X1701" s="19">
        <f>IF(OR($B1701="",$U1701=""),"",IF($V1701&lt;&gt;"",MAX(0,$V1701-$U1701),MAX(0,TODAY()-$U1701)))</f>
        <v/>
      </c>
      <c r="Y1701" s="39">
        <f>IF($C1701="","",IF(IFERROR(INDEX(LISTAS!$I$3:$I$42,MATCH($T1701,LISTAS!$H$3:$H$42,0)),"NO")="SÍ",IF(N($X1701)&gt;0,"CERRADA FUERA DE SLA","CERRADA EN SLA"),IF($U1701="","SIN CLASIFICAR",IF(N($X1701)&gt;0,"VENCIDA",IF(TODAY()&gt;=$U1701-1,"POR VENCER","EN PLAZO")))))</f>
        <v/>
      </c>
      <c r="Z1701" s="41" t="n"/>
      <c r="AA1701" s="41" t="n"/>
      <c r="AB1701" s="41" t="n"/>
    </row>
    <row r="1702">
      <c r="A1702" s="39">
        <f>IF($C1702="","","NOV-"&amp;TEXT(ROW()-3,"0000"))</f>
        <v/>
      </c>
      <c r="B1702" s="40" t="n"/>
      <c r="C1702" s="41" t="n"/>
      <c r="D1702" s="42">
        <f>IF($C1702="","",IFERROR(INDEX(DESPACHOS!$D$3:$D$3002,MATCH($C1702,DESPACHOS!$B$3:$B$3002,0)),"SIN DESPACHO"))</f>
        <v/>
      </c>
      <c r="E1702" s="42">
        <f>IF($C1702="","",IFERROR(INDEX(DESPACHOS!$K$3:$K$3002,MATCH($C1702,DESPACHOS!$B$3:$B$3002,0)),""))</f>
        <v/>
      </c>
      <c r="F1702" s="42">
        <f>IF($C1702="","",IFERROR(INDEX(DESPACHOS!$I$3:$I$3002,MATCH($C1702,DESPACHOS!$B$3:$B$3002,0)),""))</f>
        <v/>
      </c>
      <c r="G1702" s="42">
        <f>IF($C1702="","",IFERROR(INDEX(DESPACHOS!$F$3:$F$3002,MATCH($C1702,DESPACHOS!$B$3:$B$3002,0)),""))</f>
        <v/>
      </c>
      <c r="H1702" s="42">
        <f>IF($C1702="","",IFERROR(INDEX(DESPACHOS!$G$3:$G$3002,MATCH($C1702,DESPACHOS!$B$3:$B$3002,0)),""))</f>
        <v/>
      </c>
      <c r="I1702" s="39">
        <f>IF($C1702="","",IFERROR(INDEX(DESPACHOS!$H$3:$H$3002,MATCH($C1702,DESPACHOS!$B$3:$B$3002,0)),""))</f>
        <v/>
      </c>
      <c r="J1702" s="43">
        <f>IF($C1702="","",IFERROR(INDEX(DESPACHOS!$J$3:$J$3002,MATCH($C1702,DESPACHOS!$B$3:$B$3002,0)),""))</f>
        <v/>
      </c>
      <c r="K1702" s="39">
        <f>IF($C1702="","",IF(COUNTIFS(DESPACHOS!$B$3:$B$3002,$C1702)=0,"NO EXISTE",IF(COUNTIFS(DESPACHOS!$B$3:$B$3002,$C1702)&gt;1,"DUPLICADO","OK")))</f>
        <v/>
      </c>
      <c r="L1702" s="41" t="n"/>
      <c r="M1702" s="41" t="n"/>
      <c r="N1702" s="42">
        <f>IF($M1702="","",IFERROR(INDEX(LISTAS!$F$3:$F$42,MATCH($M1702,LISTAS!$E$3:$E$42,0)),"Por definir"))</f>
        <v/>
      </c>
      <c r="O1702" s="41" t="n"/>
      <c r="P1702" s="39">
        <f>IF($L1702="","",IFERROR(INDEX(LISTAS!$B$3:$B$42,MATCH($L1702,LISTAS!$A$3:$A$42,0)),"Media"))</f>
        <v/>
      </c>
      <c r="Q1702" s="44" t="n"/>
      <c r="R1702" s="45" t="n"/>
      <c r="S1702" s="20">
        <f>IFERROR(IF(OR($R1702="",$C1702=""),"",$R1702/INDEX(DESPACHOS!$M$3:$M$3002,MATCH($C1702,DESPACHOS!$B$3:$B$3002,0))),"")</f>
        <v/>
      </c>
      <c r="T1702" s="41" t="n"/>
      <c r="U1702" s="43">
        <f>IF(OR($B1702="",$L1702=""),"",WORKDAY($B1702,IFERROR(INDEX(LISTAS!$C$3:$C$42,MATCH($L1702,LISTAS!$A$3:$A$42,0)),3)))</f>
        <v/>
      </c>
      <c r="V1702" s="40" t="n"/>
      <c r="W1702" s="19">
        <f>IF($B1702="","",IF($V1702&lt;&gt;"",$V1702-$B1702,TODAY()-$B1702))</f>
        <v/>
      </c>
      <c r="X1702" s="19">
        <f>IF(OR($B1702="",$U1702=""),"",IF($V1702&lt;&gt;"",MAX(0,$V1702-$U1702),MAX(0,TODAY()-$U1702)))</f>
        <v/>
      </c>
      <c r="Y1702" s="39">
        <f>IF($C1702="","",IF(IFERROR(INDEX(LISTAS!$I$3:$I$42,MATCH($T1702,LISTAS!$H$3:$H$42,0)),"NO")="SÍ",IF(N($X1702)&gt;0,"CERRADA FUERA DE SLA","CERRADA EN SLA"),IF($U1702="","SIN CLASIFICAR",IF(N($X1702)&gt;0,"VENCIDA",IF(TODAY()&gt;=$U1702-1,"POR VENCER","EN PLAZO")))))</f>
        <v/>
      </c>
      <c r="Z1702" s="41" t="n"/>
      <c r="AA1702" s="41" t="n"/>
      <c r="AB1702" s="41" t="n"/>
    </row>
    <row r="1703">
      <c r="A1703" s="39">
        <f>IF($C1703="","","NOV-"&amp;TEXT(ROW()-3,"0000"))</f>
        <v/>
      </c>
      <c r="B1703" s="40" t="n"/>
      <c r="C1703" s="41" t="n"/>
      <c r="D1703" s="42">
        <f>IF($C1703="","",IFERROR(INDEX(DESPACHOS!$D$3:$D$3002,MATCH($C1703,DESPACHOS!$B$3:$B$3002,0)),"SIN DESPACHO"))</f>
        <v/>
      </c>
      <c r="E1703" s="42">
        <f>IF($C1703="","",IFERROR(INDEX(DESPACHOS!$K$3:$K$3002,MATCH($C1703,DESPACHOS!$B$3:$B$3002,0)),""))</f>
        <v/>
      </c>
      <c r="F1703" s="42">
        <f>IF($C1703="","",IFERROR(INDEX(DESPACHOS!$I$3:$I$3002,MATCH($C1703,DESPACHOS!$B$3:$B$3002,0)),""))</f>
        <v/>
      </c>
      <c r="G1703" s="42">
        <f>IF($C1703="","",IFERROR(INDEX(DESPACHOS!$F$3:$F$3002,MATCH($C1703,DESPACHOS!$B$3:$B$3002,0)),""))</f>
        <v/>
      </c>
      <c r="H1703" s="42">
        <f>IF($C1703="","",IFERROR(INDEX(DESPACHOS!$G$3:$G$3002,MATCH($C1703,DESPACHOS!$B$3:$B$3002,0)),""))</f>
        <v/>
      </c>
      <c r="I1703" s="39">
        <f>IF($C1703="","",IFERROR(INDEX(DESPACHOS!$H$3:$H$3002,MATCH($C1703,DESPACHOS!$B$3:$B$3002,0)),""))</f>
        <v/>
      </c>
      <c r="J1703" s="43">
        <f>IF($C1703="","",IFERROR(INDEX(DESPACHOS!$J$3:$J$3002,MATCH($C1703,DESPACHOS!$B$3:$B$3002,0)),""))</f>
        <v/>
      </c>
      <c r="K1703" s="39">
        <f>IF($C1703="","",IF(COUNTIFS(DESPACHOS!$B$3:$B$3002,$C1703)=0,"NO EXISTE",IF(COUNTIFS(DESPACHOS!$B$3:$B$3002,$C1703)&gt;1,"DUPLICADO","OK")))</f>
        <v/>
      </c>
      <c r="L1703" s="41" t="n"/>
      <c r="M1703" s="41" t="n"/>
      <c r="N1703" s="42">
        <f>IF($M1703="","",IFERROR(INDEX(LISTAS!$F$3:$F$42,MATCH($M1703,LISTAS!$E$3:$E$42,0)),"Por definir"))</f>
        <v/>
      </c>
      <c r="O1703" s="41" t="n"/>
      <c r="P1703" s="39">
        <f>IF($L1703="","",IFERROR(INDEX(LISTAS!$B$3:$B$42,MATCH($L1703,LISTAS!$A$3:$A$42,0)),"Media"))</f>
        <v/>
      </c>
      <c r="Q1703" s="44" t="n"/>
      <c r="R1703" s="45" t="n"/>
      <c r="S1703" s="20">
        <f>IFERROR(IF(OR($R1703="",$C1703=""),"",$R1703/INDEX(DESPACHOS!$M$3:$M$3002,MATCH($C1703,DESPACHOS!$B$3:$B$3002,0))),"")</f>
        <v/>
      </c>
      <c r="T1703" s="41" t="n"/>
      <c r="U1703" s="43">
        <f>IF(OR($B1703="",$L1703=""),"",WORKDAY($B1703,IFERROR(INDEX(LISTAS!$C$3:$C$42,MATCH($L1703,LISTAS!$A$3:$A$42,0)),3)))</f>
        <v/>
      </c>
      <c r="V1703" s="40" t="n"/>
      <c r="W1703" s="19">
        <f>IF($B1703="","",IF($V1703&lt;&gt;"",$V1703-$B1703,TODAY()-$B1703))</f>
        <v/>
      </c>
      <c r="X1703" s="19">
        <f>IF(OR($B1703="",$U1703=""),"",IF($V1703&lt;&gt;"",MAX(0,$V1703-$U1703),MAX(0,TODAY()-$U1703)))</f>
        <v/>
      </c>
      <c r="Y1703" s="39">
        <f>IF($C1703="","",IF(IFERROR(INDEX(LISTAS!$I$3:$I$42,MATCH($T1703,LISTAS!$H$3:$H$42,0)),"NO")="SÍ",IF(N($X1703)&gt;0,"CERRADA FUERA DE SLA","CERRADA EN SLA"),IF($U1703="","SIN CLASIFICAR",IF(N($X1703)&gt;0,"VENCIDA",IF(TODAY()&gt;=$U1703-1,"POR VENCER","EN PLAZO")))))</f>
        <v/>
      </c>
      <c r="Z1703" s="41" t="n"/>
      <c r="AA1703" s="41" t="n"/>
      <c r="AB1703" s="41" t="n"/>
    </row>
    <row r="1704">
      <c r="A1704" s="39">
        <f>IF($C1704="","","NOV-"&amp;TEXT(ROW()-3,"0000"))</f>
        <v/>
      </c>
      <c r="B1704" s="40" t="n"/>
      <c r="C1704" s="41" t="n"/>
      <c r="D1704" s="42">
        <f>IF($C1704="","",IFERROR(INDEX(DESPACHOS!$D$3:$D$3002,MATCH($C1704,DESPACHOS!$B$3:$B$3002,0)),"SIN DESPACHO"))</f>
        <v/>
      </c>
      <c r="E1704" s="42">
        <f>IF($C1704="","",IFERROR(INDEX(DESPACHOS!$K$3:$K$3002,MATCH($C1704,DESPACHOS!$B$3:$B$3002,0)),""))</f>
        <v/>
      </c>
      <c r="F1704" s="42">
        <f>IF($C1704="","",IFERROR(INDEX(DESPACHOS!$I$3:$I$3002,MATCH($C1704,DESPACHOS!$B$3:$B$3002,0)),""))</f>
        <v/>
      </c>
      <c r="G1704" s="42">
        <f>IF($C1704="","",IFERROR(INDEX(DESPACHOS!$F$3:$F$3002,MATCH($C1704,DESPACHOS!$B$3:$B$3002,0)),""))</f>
        <v/>
      </c>
      <c r="H1704" s="42">
        <f>IF($C1704="","",IFERROR(INDEX(DESPACHOS!$G$3:$G$3002,MATCH($C1704,DESPACHOS!$B$3:$B$3002,0)),""))</f>
        <v/>
      </c>
      <c r="I1704" s="39">
        <f>IF($C1704="","",IFERROR(INDEX(DESPACHOS!$H$3:$H$3002,MATCH($C1704,DESPACHOS!$B$3:$B$3002,0)),""))</f>
        <v/>
      </c>
      <c r="J1704" s="43">
        <f>IF($C1704="","",IFERROR(INDEX(DESPACHOS!$J$3:$J$3002,MATCH($C1704,DESPACHOS!$B$3:$B$3002,0)),""))</f>
        <v/>
      </c>
      <c r="K1704" s="39">
        <f>IF($C1704="","",IF(COUNTIFS(DESPACHOS!$B$3:$B$3002,$C1704)=0,"NO EXISTE",IF(COUNTIFS(DESPACHOS!$B$3:$B$3002,$C1704)&gt;1,"DUPLICADO","OK")))</f>
        <v/>
      </c>
      <c r="L1704" s="41" t="n"/>
      <c r="M1704" s="41" t="n"/>
      <c r="N1704" s="42">
        <f>IF($M1704="","",IFERROR(INDEX(LISTAS!$F$3:$F$42,MATCH($M1704,LISTAS!$E$3:$E$42,0)),"Por definir"))</f>
        <v/>
      </c>
      <c r="O1704" s="41" t="n"/>
      <c r="P1704" s="39">
        <f>IF($L1704="","",IFERROR(INDEX(LISTAS!$B$3:$B$42,MATCH($L1704,LISTAS!$A$3:$A$42,0)),"Media"))</f>
        <v/>
      </c>
      <c r="Q1704" s="44" t="n"/>
      <c r="R1704" s="45" t="n"/>
      <c r="S1704" s="20">
        <f>IFERROR(IF(OR($R1704="",$C1704=""),"",$R1704/INDEX(DESPACHOS!$M$3:$M$3002,MATCH($C1704,DESPACHOS!$B$3:$B$3002,0))),"")</f>
        <v/>
      </c>
      <c r="T1704" s="41" t="n"/>
      <c r="U1704" s="43">
        <f>IF(OR($B1704="",$L1704=""),"",WORKDAY($B1704,IFERROR(INDEX(LISTAS!$C$3:$C$42,MATCH($L1704,LISTAS!$A$3:$A$42,0)),3)))</f>
        <v/>
      </c>
      <c r="V1704" s="40" t="n"/>
      <c r="W1704" s="19">
        <f>IF($B1704="","",IF($V1704&lt;&gt;"",$V1704-$B1704,TODAY()-$B1704))</f>
        <v/>
      </c>
      <c r="X1704" s="19">
        <f>IF(OR($B1704="",$U1704=""),"",IF($V1704&lt;&gt;"",MAX(0,$V1704-$U1704),MAX(0,TODAY()-$U1704)))</f>
        <v/>
      </c>
      <c r="Y1704" s="39">
        <f>IF($C1704="","",IF(IFERROR(INDEX(LISTAS!$I$3:$I$42,MATCH($T1704,LISTAS!$H$3:$H$42,0)),"NO")="SÍ",IF(N($X1704)&gt;0,"CERRADA FUERA DE SLA","CERRADA EN SLA"),IF($U1704="","SIN CLASIFICAR",IF(N($X1704)&gt;0,"VENCIDA",IF(TODAY()&gt;=$U1704-1,"POR VENCER","EN PLAZO")))))</f>
        <v/>
      </c>
      <c r="Z1704" s="41" t="n"/>
      <c r="AA1704" s="41" t="n"/>
      <c r="AB1704" s="41" t="n"/>
    </row>
    <row r="1705">
      <c r="A1705" s="39">
        <f>IF($C1705="","","NOV-"&amp;TEXT(ROW()-3,"0000"))</f>
        <v/>
      </c>
      <c r="B1705" s="40" t="n"/>
      <c r="C1705" s="41" t="n"/>
      <c r="D1705" s="42">
        <f>IF($C1705="","",IFERROR(INDEX(DESPACHOS!$D$3:$D$3002,MATCH($C1705,DESPACHOS!$B$3:$B$3002,0)),"SIN DESPACHO"))</f>
        <v/>
      </c>
      <c r="E1705" s="42">
        <f>IF($C1705="","",IFERROR(INDEX(DESPACHOS!$K$3:$K$3002,MATCH($C1705,DESPACHOS!$B$3:$B$3002,0)),""))</f>
        <v/>
      </c>
      <c r="F1705" s="42">
        <f>IF($C1705="","",IFERROR(INDEX(DESPACHOS!$I$3:$I$3002,MATCH($C1705,DESPACHOS!$B$3:$B$3002,0)),""))</f>
        <v/>
      </c>
      <c r="G1705" s="42">
        <f>IF($C1705="","",IFERROR(INDEX(DESPACHOS!$F$3:$F$3002,MATCH($C1705,DESPACHOS!$B$3:$B$3002,0)),""))</f>
        <v/>
      </c>
      <c r="H1705" s="42">
        <f>IF($C1705="","",IFERROR(INDEX(DESPACHOS!$G$3:$G$3002,MATCH($C1705,DESPACHOS!$B$3:$B$3002,0)),""))</f>
        <v/>
      </c>
      <c r="I1705" s="39">
        <f>IF($C1705="","",IFERROR(INDEX(DESPACHOS!$H$3:$H$3002,MATCH($C1705,DESPACHOS!$B$3:$B$3002,0)),""))</f>
        <v/>
      </c>
      <c r="J1705" s="43">
        <f>IF($C1705="","",IFERROR(INDEX(DESPACHOS!$J$3:$J$3002,MATCH($C1705,DESPACHOS!$B$3:$B$3002,0)),""))</f>
        <v/>
      </c>
      <c r="K1705" s="39">
        <f>IF($C1705="","",IF(COUNTIFS(DESPACHOS!$B$3:$B$3002,$C1705)=0,"NO EXISTE",IF(COUNTIFS(DESPACHOS!$B$3:$B$3002,$C1705)&gt;1,"DUPLICADO","OK")))</f>
        <v/>
      </c>
      <c r="L1705" s="41" t="n"/>
      <c r="M1705" s="41" t="n"/>
      <c r="N1705" s="42">
        <f>IF($M1705="","",IFERROR(INDEX(LISTAS!$F$3:$F$42,MATCH($M1705,LISTAS!$E$3:$E$42,0)),"Por definir"))</f>
        <v/>
      </c>
      <c r="O1705" s="41" t="n"/>
      <c r="P1705" s="39">
        <f>IF($L1705="","",IFERROR(INDEX(LISTAS!$B$3:$B$42,MATCH($L1705,LISTAS!$A$3:$A$42,0)),"Media"))</f>
        <v/>
      </c>
      <c r="Q1705" s="44" t="n"/>
      <c r="R1705" s="45" t="n"/>
      <c r="S1705" s="20">
        <f>IFERROR(IF(OR($R1705="",$C1705=""),"",$R1705/INDEX(DESPACHOS!$M$3:$M$3002,MATCH($C1705,DESPACHOS!$B$3:$B$3002,0))),"")</f>
        <v/>
      </c>
      <c r="T1705" s="41" t="n"/>
      <c r="U1705" s="43">
        <f>IF(OR($B1705="",$L1705=""),"",WORKDAY($B1705,IFERROR(INDEX(LISTAS!$C$3:$C$42,MATCH($L1705,LISTAS!$A$3:$A$42,0)),3)))</f>
        <v/>
      </c>
      <c r="V1705" s="40" t="n"/>
      <c r="W1705" s="19">
        <f>IF($B1705="","",IF($V1705&lt;&gt;"",$V1705-$B1705,TODAY()-$B1705))</f>
        <v/>
      </c>
      <c r="X1705" s="19">
        <f>IF(OR($B1705="",$U1705=""),"",IF($V1705&lt;&gt;"",MAX(0,$V1705-$U1705),MAX(0,TODAY()-$U1705)))</f>
        <v/>
      </c>
      <c r="Y1705" s="39">
        <f>IF($C1705="","",IF(IFERROR(INDEX(LISTAS!$I$3:$I$42,MATCH($T1705,LISTAS!$H$3:$H$42,0)),"NO")="SÍ",IF(N($X1705)&gt;0,"CERRADA FUERA DE SLA","CERRADA EN SLA"),IF($U1705="","SIN CLASIFICAR",IF(N($X1705)&gt;0,"VENCIDA",IF(TODAY()&gt;=$U1705-1,"POR VENCER","EN PLAZO")))))</f>
        <v/>
      </c>
      <c r="Z1705" s="41" t="n"/>
      <c r="AA1705" s="41" t="n"/>
      <c r="AB1705" s="41" t="n"/>
    </row>
    <row r="1706">
      <c r="A1706" s="39">
        <f>IF($C1706="","","NOV-"&amp;TEXT(ROW()-3,"0000"))</f>
        <v/>
      </c>
      <c r="B1706" s="40" t="n"/>
      <c r="C1706" s="41" t="n"/>
      <c r="D1706" s="42">
        <f>IF($C1706="","",IFERROR(INDEX(DESPACHOS!$D$3:$D$3002,MATCH($C1706,DESPACHOS!$B$3:$B$3002,0)),"SIN DESPACHO"))</f>
        <v/>
      </c>
      <c r="E1706" s="42">
        <f>IF($C1706="","",IFERROR(INDEX(DESPACHOS!$K$3:$K$3002,MATCH($C1706,DESPACHOS!$B$3:$B$3002,0)),""))</f>
        <v/>
      </c>
      <c r="F1706" s="42">
        <f>IF($C1706="","",IFERROR(INDEX(DESPACHOS!$I$3:$I$3002,MATCH($C1706,DESPACHOS!$B$3:$B$3002,0)),""))</f>
        <v/>
      </c>
      <c r="G1706" s="42">
        <f>IF($C1706="","",IFERROR(INDEX(DESPACHOS!$F$3:$F$3002,MATCH($C1706,DESPACHOS!$B$3:$B$3002,0)),""))</f>
        <v/>
      </c>
      <c r="H1706" s="42">
        <f>IF($C1706="","",IFERROR(INDEX(DESPACHOS!$G$3:$G$3002,MATCH($C1706,DESPACHOS!$B$3:$B$3002,0)),""))</f>
        <v/>
      </c>
      <c r="I1706" s="39">
        <f>IF($C1706="","",IFERROR(INDEX(DESPACHOS!$H$3:$H$3002,MATCH($C1706,DESPACHOS!$B$3:$B$3002,0)),""))</f>
        <v/>
      </c>
      <c r="J1706" s="43">
        <f>IF($C1706="","",IFERROR(INDEX(DESPACHOS!$J$3:$J$3002,MATCH($C1706,DESPACHOS!$B$3:$B$3002,0)),""))</f>
        <v/>
      </c>
      <c r="K1706" s="39">
        <f>IF($C1706="","",IF(COUNTIFS(DESPACHOS!$B$3:$B$3002,$C1706)=0,"NO EXISTE",IF(COUNTIFS(DESPACHOS!$B$3:$B$3002,$C1706)&gt;1,"DUPLICADO","OK")))</f>
        <v/>
      </c>
      <c r="L1706" s="41" t="n"/>
      <c r="M1706" s="41" t="n"/>
      <c r="N1706" s="42">
        <f>IF($M1706="","",IFERROR(INDEX(LISTAS!$F$3:$F$42,MATCH($M1706,LISTAS!$E$3:$E$42,0)),"Por definir"))</f>
        <v/>
      </c>
      <c r="O1706" s="41" t="n"/>
      <c r="P1706" s="39">
        <f>IF($L1706="","",IFERROR(INDEX(LISTAS!$B$3:$B$42,MATCH($L1706,LISTAS!$A$3:$A$42,0)),"Media"))</f>
        <v/>
      </c>
      <c r="Q1706" s="44" t="n"/>
      <c r="R1706" s="45" t="n"/>
      <c r="S1706" s="20">
        <f>IFERROR(IF(OR($R1706="",$C1706=""),"",$R1706/INDEX(DESPACHOS!$M$3:$M$3002,MATCH($C1706,DESPACHOS!$B$3:$B$3002,0))),"")</f>
        <v/>
      </c>
      <c r="T1706" s="41" t="n"/>
      <c r="U1706" s="43">
        <f>IF(OR($B1706="",$L1706=""),"",WORKDAY($B1706,IFERROR(INDEX(LISTAS!$C$3:$C$42,MATCH($L1706,LISTAS!$A$3:$A$42,0)),3)))</f>
        <v/>
      </c>
      <c r="V1706" s="40" t="n"/>
      <c r="W1706" s="19">
        <f>IF($B1706="","",IF($V1706&lt;&gt;"",$V1706-$B1706,TODAY()-$B1706))</f>
        <v/>
      </c>
      <c r="X1706" s="19">
        <f>IF(OR($B1706="",$U1706=""),"",IF($V1706&lt;&gt;"",MAX(0,$V1706-$U1706),MAX(0,TODAY()-$U1706)))</f>
        <v/>
      </c>
      <c r="Y1706" s="39">
        <f>IF($C1706="","",IF(IFERROR(INDEX(LISTAS!$I$3:$I$42,MATCH($T1706,LISTAS!$H$3:$H$42,0)),"NO")="SÍ",IF(N($X1706)&gt;0,"CERRADA FUERA DE SLA","CERRADA EN SLA"),IF($U1706="","SIN CLASIFICAR",IF(N($X1706)&gt;0,"VENCIDA",IF(TODAY()&gt;=$U1706-1,"POR VENCER","EN PLAZO")))))</f>
        <v/>
      </c>
      <c r="Z1706" s="41" t="n"/>
      <c r="AA1706" s="41" t="n"/>
      <c r="AB1706" s="41" t="n"/>
    </row>
    <row r="1707">
      <c r="A1707" s="39">
        <f>IF($C1707="","","NOV-"&amp;TEXT(ROW()-3,"0000"))</f>
        <v/>
      </c>
      <c r="B1707" s="40" t="n"/>
      <c r="C1707" s="41" t="n"/>
      <c r="D1707" s="42">
        <f>IF($C1707="","",IFERROR(INDEX(DESPACHOS!$D$3:$D$3002,MATCH($C1707,DESPACHOS!$B$3:$B$3002,0)),"SIN DESPACHO"))</f>
        <v/>
      </c>
      <c r="E1707" s="42">
        <f>IF($C1707="","",IFERROR(INDEX(DESPACHOS!$K$3:$K$3002,MATCH($C1707,DESPACHOS!$B$3:$B$3002,0)),""))</f>
        <v/>
      </c>
      <c r="F1707" s="42">
        <f>IF($C1707="","",IFERROR(INDEX(DESPACHOS!$I$3:$I$3002,MATCH($C1707,DESPACHOS!$B$3:$B$3002,0)),""))</f>
        <v/>
      </c>
      <c r="G1707" s="42">
        <f>IF($C1707="","",IFERROR(INDEX(DESPACHOS!$F$3:$F$3002,MATCH($C1707,DESPACHOS!$B$3:$B$3002,0)),""))</f>
        <v/>
      </c>
      <c r="H1707" s="42">
        <f>IF($C1707="","",IFERROR(INDEX(DESPACHOS!$G$3:$G$3002,MATCH($C1707,DESPACHOS!$B$3:$B$3002,0)),""))</f>
        <v/>
      </c>
      <c r="I1707" s="39">
        <f>IF($C1707="","",IFERROR(INDEX(DESPACHOS!$H$3:$H$3002,MATCH($C1707,DESPACHOS!$B$3:$B$3002,0)),""))</f>
        <v/>
      </c>
      <c r="J1707" s="43">
        <f>IF($C1707="","",IFERROR(INDEX(DESPACHOS!$J$3:$J$3002,MATCH($C1707,DESPACHOS!$B$3:$B$3002,0)),""))</f>
        <v/>
      </c>
      <c r="K1707" s="39">
        <f>IF($C1707="","",IF(COUNTIFS(DESPACHOS!$B$3:$B$3002,$C1707)=0,"NO EXISTE",IF(COUNTIFS(DESPACHOS!$B$3:$B$3002,$C1707)&gt;1,"DUPLICADO","OK")))</f>
        <v/>
      </c>
      <c r="L1707" s="41" t="n"/>
      <c r="M1707" s="41" t="n"/>
      <c r="N1707" s="42">
        <f>IF($M1707="","",IFERROR(INDEX(LISTAS!$F$3:$F$42,MATCH($M1707,LISTAS!$E$3:$E$42,0)),"Por definir"))</f>
        <v/>
      </c>
      <c r="O1707" s="41" t="n"/>
      <c r="P1707" s="39">
        <f>IF($L1707="","",IFERROR(INDEX(LISTAS!$B$3:$B$42,MATCH($L1707,LISTAS!$A$3:$A$42,0)),"Media"))</f>
        <v/>
      </c>
      <c r="Q1707" s="44" t="n"/>
      <c r="R1707" s="45" t="n"/>
      <c r="S1707" s="20">
        <f>IFERROR(IF(OR($R1707="",$C1707=""),"",$R1707/INDEX(DESPACHOS!$M$3:$M$3002,MATCH($C1707,DESPACHOS!$B$3:$B$3002,0))),"")</f>
        <v/>
      </c>
      <c r="T1707" s="41" t="n"/>
      <c r="U1707" s="43">
        <f>IF(OR($B1707="",$L1707=""),"",WORKDAY($B1707,IFERROR(INDEX(LISTAS!$C$3:$C$42,MATCH($L1707,LISTAS!$A$3:$A$42,0)),3)))</f>
        <v/>
      </c>
      <c r="V1707" s="40" t="n"/>
      <c r="W1707" s="19">
        <f>IF($B1707="","",IF($V1707&lt;&gt;"",$V1707-$B1707,TODAY()-$B1707))</f>
        <v/>
      </c>
      <c r="X1707" s="19">
        <f>IF(OR($B1707="",$U1707=""),"",IF($V1707&lt;&gt;"",MAX(0,$V1707-$U1707),MAX(0,TODAY()-$U1707)))</f>
        <v/>
      </c>
      <c r="Y1707" s="39">
        <f>IF($C1707="","",IF(IFERROR(INDEX(LISTAS!$I$3:$I$42,MATCH($T1707,LISTAS!$H$3:$H$42,0)),"NO")="SÍ",IF(N($X1707)&gt;0,"CERRADA FUERA DE SLA","CERRADA EN SLA"),IF($U1707="","SIN CLASIFICAR",IF(N($X1707)&gt;0,"VENCIDA",IF(TODAY()&gt;=$U1707-1,"POR VENCER","EN PLAZO")))))</f>
        <v/>
      </c>
      <c r="Z1707" s="41" t="n"/>
      <c r="AA1707" s="41" t="n"/>
      <c r="AB1707" s="41" t="n"/>
    </row>
    <row r="1708">
      <c r="A1708" s="39">
        <f>IF($C1708="","","NOV-"&amp;TEXT(ROW()-3,"0000"))</f>
        <v/>
      </c>
      <c r="B1708" s="40" t="n"/>
      <c r="C1708" s="41" t="n"/>
      <c r="D1708" s="42">
        <f>IF($C1708="","",IFERROR(INDEX(DESPACHOS!$D$3:$D$3002,MATCH($C1708,DESPACHOS!$B$3:$B$3002,0)),"SIN DESPACHO"))</f>
        <v/>
      </c>
      <c r="E1708" s="42">
        <f>IF($C1708="","",IFERROR(INDEX(DESPACHOS!$K$3:$K$3002,MATCH($C1708,DESPACHOS!$B$3:$B$3002,0)),""))</f>
        <v/>
      </c>
      <c r="F1708" s="42">
        <f>IF($C1708="","",IFERROR(INDEX(DESPACHOS!$I$3:$I$3002,MATCH($C1708,DESPACHOS!$B$3:$B$3002,0)),""))</f>
        <v/>
      </c>
      <c r="G1708" s="42">
        <f>IF($C1708="","",IFERROR(INDEX(DESPACHOS!$F$3:$F$3002,MATCH($C1708,DESPACHOS!$B$3:$B$3002,0)),""))</f>
        <v/>
      </c>
      <c r="H1708" s="42">
        <f>IF($C1708="","",IFERROR(INDEX(DESPACHOS!$G$3:$G$3002,MATCH($C1708,DESPACHOS!$B$3:$B$3002,0)),""))</f>
        <v/>
      </c>
      <c r="I1708" s="39">
        <f>IF($C1708="","",IFERROR(INDEX(DESPACHOS!$H$3:$H$3002,MATCH($C1708,DESPACHOS!$B$3:$B$3002,0)),""))</f>
        <v/>
      </c>
      <c r="J1708" s="43">
        <f>IF($C1708="","",IFERROR(INDEX(DESPACHOS!$J$3:$J$3002,MATCH($C1708,DESPACHOS!$B$3:$B$3002,0)),""))</f>
        <v/>
      </c>
      <c r="K1708" s="39">
        <f>IF($C1708="","",IF(COUNTIFS(DESPACHOS!$B$3:$B$3002,$C1708)=0,"NO EXISTE",IF(COUNTIFS(DESPACHOS!$B$3:$B$3002,$C1708)&gt;1,"DUPLICADO","OK")))</f>
        <v/>
      </c>
      <c r="L1708" s="41" t="n"/>
      <c r="M1708" s="41" t="n"/>
      <c r="N1708" s="42">
        <f>IF($M1708="","",IFERROR(INDEX(LISTAS!$F$3:$F$42,MATCH($M1708,LISTAS!$E$3:$E$42,0)),"Por definir"))</f>
        <v/>
      </c>
      <c r="O1708" s="41" t="n"/>
      <c r="P1708" s="39">
        <f>IF($L1708="","",IFERROR(INDEX(LISTAS!$B$3:$B$42,MATCH($L1708,LISTAS!$A$3:$A$42,0)),"Media"))</f>
        <v/>
      </c>
      <c r="Q1708" s="44" t="n"/>
      <c r="R1708" s="45" t="n"/>
      <c r="S1708" s="20">
        <f>IFERROR(IF(OR($R1708="",$C1708=""),"",$R1708/INDEX(DESPACHOS!$M$3:$M$3002,MATCH($C1708,DESPACHOS!$B$3:$B$3002,0))),"")</f>
        <v/>
      </c>
      <c r="T1708" s="41" t="n"/>
      <c r="U1708" s="43">
        <f>IF(OR($B1708="",$L1708=""),"",WORKDAY($B1708,IFERROR(INDEX(LISTAS!$C$3:$C$42,MATCH($L1708,LISTAS!$A$3:$A$42,0)),3)))</f>
        <v/>
      </c>
      <c r="V1708" s="40" t="n"/>
      <c r="W1708" s="19">
        <f>IF($B1708="","",IF($V1708&lt;&gt;"",$V1708-$B1708,TODAY()-$B1708))</f>
        <v/>
      </c>
      <c r="X1708" s="19">
        <f>IF(OR($B1708="",$U1708=""),"",IF($V1708&lt;&gt;"",MAX(0,$V1708-$U1708),MAX(0,TODAY()-$U1708)))</f>
        <v/>
      </c>
      <c r="Y1708" s="39">
        <f>IF($C1708="","",IF(IFERROR(INDEX(LISTAS!$I$3:$I$42,MATCH($T1708,LISTAS!$H$3:$H$42,0)),"NO")="SÍ",IF(N($X1708)&gt;0,"CERRADA FUERA DE SLA","CERRADA EN SLA"),IF($U1708="","SIN CLASIFICAR",IF(N($X1708)&gt;0,"VENCIDA",IF(TODAY()&gt;=$U1708-1,"POR VENCER","EN PLAZO")))))</f>
        <v/>
      </c>
      <c r="Z1708" s="41" t="n"/>
      <c r="AA1708" s="41" t="n"/>
      <c r="AB1708" s="41" t="n"/>
    </row>
    <row r="1709">
      <c r="A1709" s="39">
        <f>IF($C1709="","","NOV-"&amp;TEXT(ROW()-3,"0000"))</f>
        <v/>
      </c>
      <c r="B1709" s="40" t="n"/>
      <c r="C1709" s="41" t="n"/>
      <c r="D1709" s="42">
        <f>IF($C1709="","",IFERROR(INDEX(DESPACHOS!$D$3:$D$3002,MATCH($C1709,DESPACHOS!$B$3:$B$3002,0)),"SIN DESPACHO"))</f>
        <v/>
      </c>
      <c r="E1709" s="42">
        <f>IF($C1709="","",IFERROR(INDEX(DESPACHOS!$K$3:$K$3002,MATCH($C1709,DESPACHOS!$B$3:$B$3002,0)),""))</f>
        <v/>
      </c>
      <c r="F1709" s="42">
        <f>IF($C1709="","",IFERROR(INDEX(DESPACHOS!$I$3:$I$3002,MATCH($C1709,DESPACHOS!$B$3:$B$3002,0)),""))</f>
        <v/>
      </c>
      <c r="G1709" s="42">
        <f>IF($C1709="","",IFERROR(INDEX(DESPACHOS!$F$3:$F$3002,MATCH($C1709,DESPACHOS!$B$3:$B$3002,0)),""))</f>
        <v/>
      </c>
      <c r="H1709" s="42">
        <f>IF($C1709="","",IFERROR(INDEX(DESPACHOS!$G$3:$G$3002,MATCH($C1709,DESPACHOS!$B$3:$B$3002,0)),""))</f>
        <v/>
      </c>
      <c r="I1709" s="39">
        <f>IF($C1709="","",IFERROR(INDEX(DESPACHOS!$H$3:$H$3002,MATCH($C1709,DESPACHOS!$B$3:$B$3002,0)),""))</f>
        <v/>
      </c>
      <c r="J1709" s="43">
        <f>IF($C1709="","",IFERROR(INDEX(DESPACHOS!$J$3:$J$3002,MATCH($C1709,DESPACHOS!$B$3:$B$3002,0)),""))</f>
        <v/>
      </c>
      <c r="K1709" s="39">
        <f>IF($C1709="","",IF(COUNTIFS(DESPACHOS!$B$3:$B$3002,$C1709)=0,"NO EXISTE",IF(COUNTIFS(DESPACHOS!$B$3:$B$3002,$C1709)&gt;1,"DUPLICADO","OK")))</f>
        <v/>
      </c>
      <c r="L1709" s="41" t="n"/>
      <c r="M1709" s="41" t="n"/>
      <c r="N1709" s="42">
        <f>IF($M1709="","",IFERROR(INDEX(LISTAS!$F$3:$F$42,MATCH($M1709,LISTAS!$E$3:$E$42,0)),"Por definir"))</f>
        <v/>
      </c>
      <c r="O1709" s="41" t="n"/>
      <c r="P1709" s="39">
        <f>IF($L1709="","",IFERROR(INDEX(LISTAS!$B$3:$B$42,MATCH($L1709,LISTAS!$A$3:$A$42,0)),"Media"))</f>
        <v/>
      </c>
      <c r="Q1709" s="44" t="n"/>
      <c r="R1709" s="45" t="n"/>
      <c r="S1709" s="20">
        <f>IFERROR(IF(OR($R1709="",$C1709=""),"",$R1709/INDEX(DESPACHOS!$M$3:$M$3002,MATCH($C1709,DESPACHOS!$B$3:$B$3002,0))),"")</f>
        <v/>
      </c>
      <c r="T1709" s="41" t="n"/>
      <c r="U1709" s="43">
        <f>IF(OR($B1709="",$L1709=""),"",WORKDAY($B1709,IFERROR(INDEX(LISTAS!$C$3:$C$42,MATCH($L1709,LISTAS!$A$3:$A$42,0)),3)))</f>
        <v/>
      </c>
      <c r="V1709" s="40" t="n"/>
      <c r="W1709" s="19">
        <f>IF($B1709="","",IF($V1709&lt;&gt;"",$V1709-$B1709,TODAY()-$B1709))</f>
        <v/>
      </c>
      <c r="X1709" s="19">
        <f>IF(OR($B1709="",$U1709=""),"",IF($V1709&lt;&gt;"",MAX(0,$V1709-$U1709),MAX(0,TODAY()-$U1709)))</f>
        <v/>
      </c>
      <c r="Y1709" s="39">
        <f>IF($C1709="","",IF(IFERROR(INDEX(LISTAS!$I$3:$I$42,MATCH($T1709,LISTAS!$H$3:$H$42,0)),"NO")="SÍ",IF(N($X1709)&gt;0,"CERRADA FUERA DE SLA","CERRADA EN SLA"),IF($U1709="","SIN CLASIFICAR",IF(N($X1709)&gt;0,"VENCIDA",IF(TODAY()&gt;=$U1709-1,"POR VENCER","EN PLAZO")))))</f>
        <v/>
      </c>
      <c r="Z1709" s="41" t="n"/>
      <c r="AA1709" s="41" t="n"/>
      <c r="AB1709" s="41" t="n"/>
    </row>
    <row r="1710">
      <c r="A1710" s="39">
        <f>IF($C1710="","","NOV-"&amp;TEXT(ROW()-3,"0000"))</f>
        <v/>
      </c>
      <c r="B1710" s="40" t="n"/>
      <c r="C1710" s="41" t="n"/>
      <c r="D1710" s="42">
        <f>IF($C1710="","",IFERROR(INDEX(DESPACHOS!$D$3:$D$3002,MATCH($C1710,DESPACHOS!$B$3:$B$3002,0)),"SIN DESPACHO"))</f>
        <v/>
      </c>
      <c r="E1710" s="42">
        <f>IF($C1710="","",IFERROR(INDEX(DESPACHOS!$K$3:$K$3002,MATCH($C1710,DESPACHOS!$B$3:$B$3002,0)),""))</f>
        <v/>
      </c>
      <c r="F1710" s="42">
        <f>IF($C1710="","",IFERROR(INDEX(DESPACHOS!$I$3:$I$3002,MATCH($C1710,DESPACHOS!$B$3:$B$3002,0)),""))</f>
        <v/>
      </c>
      <c r="G1710" s="42">
        <f>IF($C1710="","",IFERROR(INDEX(DESPACHOS!$F$3:$F$3002,MATCH($C1710,DESPACHOS!$B$3:$B$3002,0)),""))</f>
        <v/>
      </c>
      <c r="H1710" s="42">
        <f>IF($C1710="","",IFERROR(INDEX(DESPACHOS!$G$3:$G$3002,MATCH($C1710,DESPACHOS!$B$3:$B$3002,0)),""))</f>
        <v/>
      </c>
      <c r="I1710" s="39">
        <f>IF($C1710="","",IFERROR(INDEX(DESPACHOS!$H$3:$H$3002,MATCH($C1710,DESPACHOS!$B$3:$B$3002,0)),""))</f>
        <v/>
      </c>
      <c r="J1710" s="43">
        <f>IF($C1710="","",IFERROR(INDEX(DESPACHOS!$J$3:$J$3002,MATCH($C1710,DESPACHOS!$B$3:$B$3002,0)),""))</f>
        <v/>
      </c>
      <c r="K1710" s="39">
        <f>IF($C1710="","",IF(COUNTIFS(DESPACHOS!$B$3:$B$3002,$C1710)=0,"NO EXISTE",IF(COUNTIFS(DESPACHOS!$B$3:$B$3002,$C1710)&gt;1,"DUPLICADO","OK")))</f>
        <v/>
      </c>
      <c r="L1710" s="41" t="n"/>
      <c r="M1710" s="41" t="n"/>
      <c r="N1710" s="42">
        <f>IF($M1710="","",IFERROR(INDEX(LISTAS!$F$3:$F$42,MATCH($M1710,LISTAS!$E$3:$E$42,0)),"Por definir"))</f>
        <v/>
      </c>
      <c r="O1710" s="41" t="n"/>
      <c r="P1710" s="39">
        <f>IF($L1710="","",IFERROR(INDEX(LISTAS!$B$3:$B$42,MATCH($L1710,LISTAS!$A$3:$A$42,0)),"Media"))</f>
        <v/>
      </c>
      <c r="Q1710" s="44" t="n"/>
      <c r="R1710" s="45" t="n"/>
      <c r="S1710" s="20">
        <f>IFERROR(IF(OR($R1710="",$C1710=""),"",$R1710/INDEX(DESPACHOS!$M$3:$M$3002,MATCH($C1710,DESPACHOS!$B$3:$B$3002,0))),"")</f>
        <v/>
      </c>
      <c r="T1710" s="41" t="n"/>
      <c r="U1710" s="43">
        <f>IF(OR($B1710="",$L1710=""),"",WORKDAY($B1710,IFERROR(INDEX(LISTAS!$C$3:$C$42,MATCH($L1710,LISTAS!$A$3:$A$42,0)),3)))</f>
        <v/>
      </c>
      <c r="V1710" s="40" t="n"/>
      <c r="W1710" s="19">
        <f>IF($B1710="","",IF($V1710&lt;&gt;"",$V1710-$B1710,TODAY()-$B1710))</f>
        <v/>
      </c>
      <c r="X1710" s="19">
        <f>IF(OR($B1710="",$U1710=""),"",IF($V1710&lt;&gt;"",MAX(0,$V1710-$U1710),MAX(0,TODAY()-$U1710)))</f>
        <v/>
      </c>
      <c r="Y1710" s="39">
        <f>IF($C1710="","",IF(IFERROR(INDEX(LISTAS!$I$3:$I$42,MATCH($T1710,LISTAS!$H$3:$H$42,0)),"NO")="SÍ",IF(N($X1710)&gt;0,"CERRADA FUERA DE SLA","CERRADA EN SLA"),IF($U1710="","SIN CLASIFICAR",IF(N($X1710)&gt;0,"VENCIDA",IF(TODAY()&gt;=$U1710-1,"POR VENCER","EN PLAZO")))))</f>
        <v/>
      </c>
      <c r="Z1710" s="41" t="n"/>
      <c r="AA1710" s="41" t="n"/>
      <c r="AB1710" s="41" t="n"/>
    </row>
    <row r="1711">
      <c r="A1711" s="39">
        <f>IF($C1711="","","NOV-"&amp;TEXT(ROW()-3,"0000"))</f>
        <v/>
      </c>
      <c r="B1711" s="40" t="n"/>
      <c r="C1711" s="41" t="n"/>
      <c r="D1711" s="42">
        <f>IF($C1711="","",IFERROR(INDEX(DESPACHOS!$D$3:$D$3002,MATCH($C1711,DESPACHOS!$B$3:$B$3002,0)),"SIN DESPACHO"))</f>
        <v/>
      </c>
      <c r="E1711" s="42">
        <f>IF($C1711="","",IFERROR(INDEX(DESPACHOS!$K$3:$K$3002,MATCH($C1711,DESPACHOS!$B$3:$B$3002,0)),""))</f>
        <v/>
      </c>
      <c r="F1711" s="42">
        <f>IF($C1711="","",IFERROR(INDEX(DESPACHOS!$I$3:$I$3002,MATCH($C1711,DESPACHOS!$B$3:$B$3002,0)),""))</f>
        <v/>
      </c>
      <c r="G1711" s="42">
        <f>IF($C1711="","",IFERROR(INDEX(DESPACHOS!$F$3:$F$3002,MATCH($C1711,DESPACHOS!$B$3:$B$3002,0)),""))</f>
        <v/>
      </c>
      <c r="H1711" s="42">
        <f>IF($C1711="","",IFERROR(INDEX(DESPACHOS!$G$3:$G$3002,MATCH($C1711,DESPACHOS!$B$3:$B$3002,0)),""))</f>
        <v/>
      </c>
      <c r="I1711" s="39">
        <f>IF($C1711="","",IFERROR(INDEX(DESPACHOS!$H$3:$H$3002,MATCH($C1711,DESPACHOS!$B$3:$B$3002,0)),""))</f>
        <v/>
      </c>
      <c r="J1711" s="43">
        <f>IF($C1711="","",IFERROR(INDEX(DESPACHOS!$J$3:$J$3002,MATCH($C1711,DESPACHOS!$B$3:$B$3002,0)),""))</f>
        <v/>
      </c>
      <c r="K1711" s="39">
        <f>IF($C1711="","",IF(COUNTIFS(DESPACHOS!$B$3:$B$3002,$C1711)=0,"NO EXISTE",IF(COUNTIFS(DESPACHOS!$B$3:$B$3002,$C1711)&gt;1,"DUPLICADO","OK")))</f>
        <v/>
      </c>
      <c r="L1711" s="41" t="n"/>
      <c r="M1711" s="41" t="n"/>
      <c r="N1711" s="42">
        <f>IF($M1711="","",IFERROR(INDEX(LISTAS!$F$3:$F$42,MATCH($M1711,LISTAS!$E$3:$E$42,0)),"Por definir"))</f>
        <v/>
      </c>
      <c r="O1711" s="41" t="n"/>
      <c r="P1711" s="39">
        <f>IF($L1711="","",IFERROR(INDEX(LISTAS!$B$3:$B$42,MATCH($L1711,LISTAS!$A$3:$A$42,0)),"Media"))</f>
        <v/>
      </c>
      <c r="Q1711" s="44" t="n"/>
      <c r="R1711" s="45" t="n"/>
      <c r="S1711" s="20">
        <f>IFERROR(IF(OR($R1711="",$C1711=""),"",$R1711/INDEX(DESPACHOS!$M$3:$M$3002,MATCH($C1711,DESPACHOS!$B$3:$B$3002,0))),"")</f>
        <v/>
      </c>
      <c r="T1711" s="41" t="n"/>
      <c r="U1711" s="43">
        <f>IF(OR($B1711="",$L1711=""),"",WORKDAY($B1711,IFERROR(INDEX(LISTAS!$C$3:$C$42,MATCH($L1711,LISTAS!$A$3:$A$42,0)),3)))</f>
        <v/>
      </c>
      <c r="V1711" s="40" t="n"/>
      <c r="W1711" s="19">
        <f>IF($B1711="","",IF($V1711&lt;&gt;"",$V1711-$B1711,TODAY()-$B1711))</f>
        <v/>
      </c>
      <c r="X1711" s="19">
        <f>IF(OR($B1711="",$U1711=""),"",IF($V1711&lt;&gt;"",MAX(0,$V1711-$U1711),MAX(0,TODAY()-$U1711)))</f>
        <v/>
      </c>
      <c r="Y1711" s="39">
        <f>IF($C1711="","",IF(IFERROR(INDEX(LISTAS!$I$3:$I$42,MATCH($T1711,LISTAS!$H$3:$H$42,0)),"NO")="SÍ",IF(N($X1711)&gt;0,"CERRADA FUERA DE SLA","CERRADA EN SLA"),IF($U1711="","SIN CLASIFICAR",IF(N($X1711)&gt;0,"VENCIDA",IF(TODAY()&gt;=$U1711-1,"POR VENCER","EN PLAZO")))))</f>
        <v/>
      </c>
      <c r="Z1711" s="41" t="n"/>
      <c r="AA1711" s="41" t="n"/>
      <c r="AB1711" s="41" t="n"/>
    </row>
    <row r="1712">
      <c r="A1712" s="39">
        <f>IF($C1712="","","NOV-"&amp;TEXT(ROW()-3,"0000"))</f>
        <v/>
      </c>
      <c r="B1712" s="40" t="n"/>
      <c r="C1712" s="41" t="n"/>
      <c r="D1712" s="42">
        <f>IF($C1712="","",IFERROR(INDEX(DESPACHOS!$D$3:$D$3002,MATCH($C1712,DESPACHOS!$B$3:$B$3002,0)),"SIN DESPACHO"))</f>
        <v/>
      </c>
      <c r="E1712" s="42">
        <f>IF($C1712="","",IFERROR(INDEX(DESPACHOS!$K$3:$K$3002,MATCH($C1712,DESPACHOS!$B$3:$B$3002,0)),""))</f>
        <v/>
      </c>
      <c r="F1712" s="42">
        <f>IF($C1712="","",IFERROR(INDEX(DESPACHOS!$I$3:$I$3002,MATCH($C1712,DESPACHOS!$B$3:$B$3002,0)),""))</f>
        <v/>
      </c>
      <c r="G1712" s="42">
        <f>IF($C1712="","",IFERROR(INDEX(DESPACHOS!$F$3:$F$3002,MATCH($C1712,DESPACHOS!$B$3:$B$3002,0)),""))</f>
        <v/>
      </c>
      <c r="H1712" s="42">
        <f>IF($C1712="","",IFERROR(INDEX(DESPACHOS!$G$3:$G$3002,MATCH($C1712,DESPACHOS!$B$3:$B$3002,0)),""))</f>
        <v/>
      </c>
      <c r="I1712" s="39">
        <f>IF($C1712="","",IFERROR(INDEX(DESPACHOS!$H$3:$H$3002,MATCH($C1712,DESPACHOS!$B$3:$B$3002,0)),""))</f>
        <v/>
      </c>
      <c r="J1712" s="43">
        <f>IF($C1712="","",IFERROR(INDEX(DESPACHOS!$J$3:$J$3002,MATCH($C1712,DESPACHOS!$B$3:$B$3002,0)),""))</f>
        <v/>
      </c>
      <c r="K1712" s="39">
        <f>IF($C1712="","",IF(COUNTIFS(DESPACHOS!$B$3:$B$3002,$C1712)=0,"NO EXISTE",IF(COUNTIFS(DESPACHOS!$B$3:$B$3002,$C1712)&gt;1,"DUPLICADO","OK")))</f>
        <v/>
      </c>
      <c r="L1712" s="41" t="n"/>
      <c r="M1712" s="41" t="n"/>
      <c r="N1712" s="42">
        <f>IF($M1712="","",IFERROR(INDEX(LISTAS!$F$3:$F$42,MATCH($M1712,LISTAS!$E$3:$E$42,0)),"Por definir"))</f>
        <v/>
      </c>
      <c r="O1712" s="41" t="n"/>
      <c r="P1712" s="39">
        <f>IF($L1712="","",IFERROR(INDEX(LISTAS!$B$3:$B$42,MATCH($L1712,LISTAS!$A$3:$A$42,0)),"Media"))</f>
        <v/>
      </c>
      <c r="Q1712" s="44" t="n"/>
      <c r="R1712" s="45" t="n"/>
      <c r="S1712" s="20">
        <f>IFERROR(IF(OR($R1712="",$C1712=""),"",$R1712/INDEX(DESPACHOS!$M$3:$M$3002,MATCH($C1712,DESPACHOS!$B$3:$B$3002,0))),"")</f>
        <v/>
      </c>
      <c r="T1712" s="41" t="n"/>
      <c r="U1712" s="43">
        <f>IF(OR($B1712="",$L1712=""),"",WORKDAY($B1712,IFERROR(INDEX(LISTAS!$C$3:$C$42,MATCH($L1712,LISTAS!$A$3:$A$42,0)),3)))</f>
        <v/>
      </c>
      <c r="V1712" s="40" t="n"/>
      <c r="W1712" s="19">
        <f>IF($B1712="","",IF($V1712&lt;&gt;"",$V1712-$B1712,TODAY()-$B1712))</f>
        <v/>
      </c>
      <c r="X1712" s="19">
        <f>IF(OR($B1712="",$U1712=""),"",IF($V1712&lt;&gt;"",MAX(0,$V1712-$U1712),MAX(0,TODAY()-$U1712)))</f>
        <v/>
      </c>
      <c r="Y1712" s="39">
        <f>IF($C1712="","",IF(IFERROR(INDEX(LISTAS!$I$3:$I$42,MATCH($T1712,LISTAS!$H$3:$H$42,0)),"NO")="SÍ",IF(N($X1712)&gt;0,"CERRADA FUERA DE SLA","CERRADA EN SLA"),IF($U1712="","SIN CLASIFICAR",IF(N($X1712)&gt;0,"VENCIDA",IF(TODAY()&gt;=$U1712-1,"POR VENCER","EN PLAZO")))))</f>
        <v/>
      </c>
      <c r="Z1712" s="41" t="n"/>
      <c r="AA1712" s="41" t="n"/>
      <c r="AB1712" s="41" t="n"/>
    </row>
    <row r="1713">
      <c r="A1713" s="39">
        <f>IF($C1713="","","NOV-"&amp;TEXT(ROW()-3,"0000"))</f>
        <v/>
      </c>
      <c r="B1713" s="40" t="n"/>
      <c r="C1713" s="41" t="n"/>
      <c r="D1713" s="42">
        <f>IF($C1713="","",IFERROR(INDEX(DESPACHOS!$D$3:$D$3002,MATCH($C1713,DESPACHOS!$B$3:$B$3002,0)),"SIN DESPACHO"))</f>
        <v/>
      </c>
      <c r="E1713" s="42">
        <f>IF($C1713="","",IFERROR(INDEX(DESPACHOS!$K$3:$K$3002,MATCH($C1713,DESPACHOS!$B$3:$B$3002,0)),""))</f>
        <v/>
      </c>
      <c r="F1713" s="42">
        <f>IF($C1713="","",IFERROR(INDEX(DESPACHOS!$I$3:$I$3002,MATCH($C1713,DESPACHOS!$B$3:$B$3002,0)),""))</f>
        <v/>
      </c>
      <c r="G1713" s="42">
        <f>IF($C1713="","",IFERROR(INDEX(DESPACHOS!$F$3:$F$3002,MATCH($C1713,DESPACHOS!$B$3:$B$3002,0)),""))</f>
        <v/>
      </c>
      <c r="H1713" s="42">
        <f>IF($C1713="","",IFERROR(INDEX(DESPACHOS!$G$3:$G$3002,MATCH($C1713,DESPACHOS!$B$3:$B$3002,0)),""))</f>
        <v/>
      </c>
      <c r="I1713" s="39">
        <f>IF($C1713="","",IFERROR(INDEX(DESPACHOS!$H$3:$H$3002,MATCH($C1713,DESPACHOS!$B$3:$B$3002,0)),""))</f>
        <v/>
      </c>
      <c r="J1713" s="43">
        <f>IF($C1713="","",IFERROR(INDEX(DESPACHOS!$J$3:$J$3002,MATCH($C1713,DESPACHOS!$B$3:$B$3002,0)),""))</f>
        <v/>
      </c>
      <c r="K1713" s="39">
        <f>IF($C1713="","",IF(COUNTIFS(DESPACHOS!$B$3:$B$3002,$C1713)=0,"NO EXISTE",IF(COUNTIFS(DESPACHOS!$B$3:$B$3002,$C1713)&gt;1,"DUPLICADO","OK")))</f>
        <v/>
      </c>
      <c r="L1713" s="41" t="n"/>
      <c r="M1713" s="41" t="n"/>
      <c r="N1713" s="42">
        <f>IF($M1713="","",IFERROR(INDEX(LISTAS!$F$3:$F$42,MATCH($M1713,LISTAS!$E$3:$E$42,0)),"Por definir"))</f>
        <v/>
      </c>
      <c r="O1713" s="41" t="n"/>
      <c r="P1713" s="39">
        <f>IF($L1713="","",IFERROR(INDEX(LISTAS!$B$3:$B$42,MATCH($L1713,LISTAS!$A$3:$A$42,0)),"Media"))</f>
        <v/>
      </c>
      <c r="Q1713" s="44" t="n"/>
      <c r="R1713" s="45" t="n"/>
      <c r="S1713" s="20">
        <f>IFERROR(IF(OR($R1713="",$C1713=""),"",$R1713/INDEX(DESPACHOS!$M$3:$M$3002,MATCH($C1713,DESPACHOS!$B$3:$B$3002,0))),"")</f>
        <v/>
      </c>
      <c r="T1713" s="41" t="n"/>
      <c r="U1713" s="43">
        <f>IF(OR($B1713="",$L1713=""),"",WORKDAY($B1713,IFERROR(INDEX(LISTAS!$C$3:$C$42,MATCH($L1713,LISTAS!$A$3:$A$42,0)),3)))</f>
        <v/>
      </c>
      <c r="V1713" s="40" t="n"/>
      <c r="W1713" s="19">
        <f>IF($B1713="","",IF($V1713&lt;&gt;"",$V1713-$B1713,TODAY()-$B1713))</f>
        <v/>
      </c>
      <c r="X1713" s="19">
        <f>IF(OR($B1713="",$U1713=""),"",IF($V1713&lt;&gt;"",MAX(0,$V1713-$U1713),MAX(0,TODAY()-$U1713)))</f>
        <v/>
      </c>
      <c r="Y1713" s="39">
        <f>IF($C1713="","",IF(IFERROR(INDEX(LISTAS!$I$3:$I$42,MATCH($T1713,LISTAS!$H$3:$H$42,0)),"NO")="SÍ",IF(N($X1713)&gt;0,"CERRADA FUERA DE SLA","CERRADA EN SLA"),IF($U1713="","SIN CLASIFICAR",IF(N($X1713)&gt;0,"VENCIDA",IF(TODAY()&gt;=$U1713-1,"POR VENCER","EN PLAZO")))))</f>
        <v/>
      </c>
      <c r="Z1713" s="41" t="n"/>
      <c r="AA1713" s="41" t="n"/>
      <c r="AB1713" s="41" t="n"/>
    </row>
    <row r="1714">
      <c r="A1714" s="39">
        <f>IF($C1714="","","NOV-"&amp;TEXT(ROW()-3,"0000"))</f>
        <v/>
      </c>
      <c r="B1714" s="40" t="n"/>
      <c r="C1714" s="41" t="n"/>
      <c r="D1714" s="42">
        <f>IF($C1714="","",IFERROR(INDEX(DESPACHOS!$D$3:$D$3002,MATCH($C1714,DESPACHOS!$B$3:$B$3002,0)),"SIN DESPACHO"))</f>
        <v/>
      </c>
      <c r="E1714" s="42">
        <f>IF($C1714="","",IFERROR(INDEX(DESPACHOS!$K$3:$K$3002,MATCH($C1714,DESPACHOS!$B$3:$B$3002,0)),""))</f>
        <v/>
      </c>
      <c r="F1714" s="42">
        <f>IF($C1714="","",IFERROR(INDEX(DESPACHOS!$I$3:$I$3002,MATCH($C1714,DESPACHOS!$B$3:$B$3002,0)),""))</f>
        <v/>
      </c>
      <c r="G1714" s="42">
        <f>IF($C1714="","",IFERROR(INDEX(DESPACHOS!$F$3:$F$3002,MATCH($C1714,DESPACHOS!$B$3:$B$3002,0)),""))</f>
        <v/>
      </c>
      <c r="H1714" s="42">
        <f>IF($C1714="","",IFERROR(INDEX(DESPACHOS!$G$3:$G$3002,MATCH($C1714,DESPACHOS!$B$3:$B$3002,0)),""))</f>
        <v/>
      </c>
      <c r="I1714" s="39">
        <f>IF($C1714="","",IFERROR(INDEX(DESPACHOS!$H$3:$H$3002,MATCH($C1714,DESPACHOS!$B$3:$B$3002,0)),""))</f>
        <v/>
      </c>
      <c r="J1714" s="43">
        <f>IF($C1714="","",IFERROR(INDEX(DESPACHOS!$J$3:$J$3002,MATCH($C1714,DESPACHOS!$B$3:$B$3002,0)),""))</f>
        <v/>
      </c>
      <c r="K1714" s="39">
        <f>IF($C1714="","",IF(COUNTIFS(DESPACHOS!$B$3:$B$3002,$C1714)=0,"NO EXISTE",IF(COUNTIFS(DESPACHOS!$B$3:$B$3002,$C1714)&gt;1,"DUPLICADO","OK")))</f>
        <v/>
      </c>
      <c r="L1714" s="41" t="n"/>
      <c r="M1714" s="41" t="n"/>
      <c r="N1714" s="42">
        <f>IF($M1714="","",IFERROR(INDEX(LISTAS!$F$3:$F$42,MATCH($M1714,LISTAS!$E$3:$E$42,0)),"Por definir"))</f>
        <v/>
      </c>
      <c r="O1714" s="41" t="n"/>
      <c r="P1714" s="39">
        <f>IF($L1714="","",IFERROR(INDEX(LISTAS!$B$3:$B$42,MATCH($L1714,LISTAS!$A$3:$A$42,0)),"Media"))</f>
        <v/>
      </c>
      <c r="Q1714" s="44" t="n"/>
      <c r="R1714" s="45" t="n"/>
      <c r="S1714" s="20">
        <f>IFERROR(IF(OR($R1714="",$C1714=""),"",$R1714/INDEX(DESPACHOS!$M$3:$M$3002,MATCH($C1714,DESPACHOS!$B$3:$B$3002,0))),"")</f>
        <v/>
      </c>
      <c r="T1714" s="41" t="n"/>
      <c r="U1714" s="43">
        <f>IF(OR($B1714="",$L1714=""),"",WORKDAY($B1714,IFERROR(INDEX(LISTAS!$C$3:$C$42,MATCH($L1714,LISTAS!$A$3:$A$42,0)),3)))</f>
        <v/>
      </c>
      <c r="V1714" s="40" t="n"/>
      <c r="W1714" s="19">
        <f>IF($B1714="","",IF($V1714&lt;&gt;"",$V1714-$B1714,TODAY()-$B1714))</f>
        <v/>
      </c>
      <c r="X1714" s="19">
        <f>IF(OR($B1714="",$U1714=""),"",IF($V1714&lt;&gt;"",MAX(0,$V1714-$U1714),MAX(0,TODAY()-$U1714)))</f>
        <v/>
      </c>
      <c r="Y1714" s="39">
        <f>IF($C1714="","",IF(IFERROR(INDEX(LISTAS!$I$3:$I$42,MATCH($T1714,LISTAS!$H$3:$H$42,0)),"NO")="SÍ",IF(N($X1714)&gt;0,"CERRADA FUERA DE SLA","CERRADA EN SLA"),IF($U1714="","SIN CLASIFICAR",IF(N($X1714)&gt;0,"VENCIDA",IF(TODAY()&gt;=$U1714-1,"POR VENCER","EN PLAZO")))))</f>
        <v/>
      </c>
      <c r="Z1714" s="41" t="n"/>
      <c r="AA1714" s="41" t="n"/>
      <c r="AB1714" s="41" t="n"/>
    </row>
    <row r="1715">
      <c r="A1715" s="39">
        <f>IF($C1715="","","NOV-"&amp;TEXT(ROW()-3,"0000"))</f>
        <v/>
      </c>
      <c r="B1715" s="40" t="n"/>
      <c r="C1715" s="41" t="n"/>
      <c r="D1715" s="42">
        <f>IF($C1715="","",IFERROR(INDEX(DESPACHOS!$D$3:$D$3002,MATCH($C1715,DESPACHOS!$B$3:$B$3002,0)),"SIN DESPACHO"))</f>
        <v/>
      </c>
      <c r="E1715" s="42">
        <f>IF($C1715="","",IFERROR(INDEX(DESPACHOS!$K$3:$K$3002,MATCH($C1715,DESPACHOS!$B$3:$B$3002,0)),""))</f>
        <v/>
      </c>
      <c r="F1715" s="42">
        <f>IF($C1715="","",IFERROR(INDEX(DESPACHOS!$I$3:$I$3002,MATCH($C1715,DESPACHOS!$B$3:$B$3002,0)),""))</f>
        <v/>
      </c>
      <c r="G1715" s="42">
        <f>IF($C1715="","",IFERROR(INDEX(DESPACHOS!$F$3:$F$3002,MATCH($C1715,DESPACHOS!$B$3:$B$3002,0)),""))</f>
        <v/>
      </c>
      <c r="H1715" s="42">
        <f>IF($C1715="","",IFERROR(INDEX(DESPACHOS!$G$3:$G$3002,MATCH($C1715,DESPACHOS!$B$3:$B$3002,0)),""))</f>
        <v/>
      </c>
      <c r="I1715" s="39">
        <f>IF($C1715="","",IFERROR(INDEX(DESPACHOS!$H$3:$H$3002,MATCH($C1715,DESPACHOS!$B$3:$B$3002,0)),""))</f>
        <v/>
      </c>
      <c r="J1715" s="43">
        <f>IF($C1715="","",IFERROR(INDEX(DESPACHOS!$J$3:$J$3002,MATCH($C1715,DESPACHOS!$B$3:$B$3002,0)),""))</f>
        <v/>
      </c>
      <c r="K1715" s="39">
        <f>IF($C1715="","",IF(COUNTIFS(DESPACHOS!$B$3:$B$3002,$C1715)=0,"NO EXISTE",IF(COUNTIFS(DESPACHOS!$B$3:$B$3002,$C1715)&gt;1,"DUPLICADO","OK")))</f>
        <v/>
      </c>
      <c r="L1715" s="41" t="n"/>
      <c r="M1715" s="41" t="n"/>
      <c r="N1715" s="42">
        <f>IF($M1715="","",IFERROR(INDEX(LISTAS!$F$3:$F$42,MATCH($M1715,LISTAS!$E$3:$E$42,0)),"Por definir"))</f>
        <v/>
      </c>
      <c r="O1715" s="41" t="n"/>
      <c r="P1715" s="39">
        <f>IF($L1715="","",IFERROR(INDEX(LISTAS!$B$3:$B$42,MATCH($L1715,LISTAS!$A$3:$A$42,0)),"Media"))</f>
        <v/>
      </c>
      <c r="Q1715" s="44" t="n"/>
      <c r="R1715" s="45" t="n"/>
      <c r="S1715" s="20">
        <f>IFERROR(IF(OR($R1715="",$C1715=""),"",$R1715/INDEX(DESPACHOS!$M$3:$M$3002,MATCH($C1715,DESPACHOS!$B$3:$B$3002,0))),"")</f>
        <v/>
      </c>
      <c r="T1715" s="41" t="n"/>
      <c r="U1715" s="43">
        <f>IF(OR($B1715="",$L1715=""),"",WORKDAY($B1715,IFERROR(INDEX(LISTAS!$C$3:$C$42,MATCH($L1715,LISTAS!$A$3:$A$42,0)),3)))</f>
        <v/>
      </c>
      <c r="V1715" s="40" t="n"/>
      <c r="W1715" s="19">
        <f>IF($B1715="","",IF($V1715&lt;&gt;"",$V1715-$B1715,TODAY()-$B1715))</f>
        <v/>
      </c>
      <c r="X1715" s="19">
        <f>IF(OR($B1715="",$U1715=""),"",IF($V1715&lt;&gt;"",MAX(0,$V1715-$U1715),MAX(0,TODAY()-$U1715)))</f>
        <v/>
      </c>
      <c r="Y1715" s="39">
        <f>IF($C1715="","",IF(IFERROR(INDEX(LISTAS!$I$3:$I$42,MATCH($T1715,LISTAS!$H$3:$H$42,0)),"NO")="SÍ",IF(N($X1715)&gt;0,"CERRADA FUERA DE SLA","CERRADA EN SLA"),IF($U1715="","SIN CLASIFICAR",IF(N($X1715)&gt;0,"VENCIDA",IF(TODAY()&gt;=$U1715-1,"POR VENCER","EN PLAZO")))))</f>
        <v/>
      </c>
      <c r="Z1715" s="41" t="n"/>
      <c r="AA1715" s="41" t="n"/>
      <c r="AB1715" s="41" t="n"/>
    </row>
    <row r="1716">
      <c r="A1716" s="39">
        <f>IF($C1716="","","NOV-"&amp;TEXT(ROW()-3,"0000"))</f>
        <v/>
      </c>
      <c r="B1716" s="40" t="n"/>
      <c r="C1716" s="41" t="n"/>
      <c r="D1716" s="42">
        <f>IF($C1716="","",IFERROR(INDEX(DESPACHOS!$D$3:$D$3002,MATCH($C1716,DESPACHOS!$B$3:$B$3002,0)),"SIN DESPACHO"))</f>
        <v/>
      </c>
      <c r="E1716" s="42">
        <f>IF($C1716="","",IFERROR(INDEX(DESPACHOS!$K$3:$K$3002,MATCH($C1716,DESPACHOS!$B$3:$B$3002,0)),""))</f>
        <v/>
      </c>
      <c r="F1716" s="42">
        <f>IF($C1716="","",IFERROR(INDEX(DESPACHOS!$I$3:$I$3002,MATCH($C1716,DESPACHOS!$B$3:$B$3002,0)),""))</f>
        <v/>
      </c>
      <c r="G1716" s="42">
        <f>IF($C1716="","",IFERROR(INDEX(DESPACHOS!$F$3:$F$3002,MATCH($C1716,DESPACHOS!$B$3:$B$3002,0)),""))</f>
        <v/>
      </c>
      <c r="H1716" s="42">
        <f>IF($C1716="","",IFERROR(INDEX(DESPACHOS!$G$3:$G$3002,MATCH($C1716,DESPACHOS!$B$3:$B$3002,0)),""))</f>
        <v/>
      </c>
      <c r="I1716" s="39">
        <f>IF($C1716="","",IFERROR(INDEX(DESPACHOS!$H$3:$H$3002,MATCH($C1716,DESPACHOS!$B$3:$B$3002,0)),""))</f>
        <v/>
      </c>
      <c r="J1716" s="43">
        <f>IF($C1716="","",IFERROR(INDEX(DESPACHOS!$J$3:$J$3002,MATCH($C1716,DESPACHOS!$B$3:$B$3002,0)),""))</f>
        <v/>
      </c>
      <c r="K1716" s="39">
        <f>IF($C1716="","",IF(COUNTIFS(DESPACHOS!$B$3:$B$3002,$C1716)=0,"NO EXISTE",IF(COUNTIFS(DESPACHOS!$B$3:$B$3002,$C1716)&gt;1,"DUPLICADO","OK")))</f>
        <v/>
      </c>
      <c r="L1716" s="41" t="n"/>
      <c r="M1716" s="41" t="n"/>
      <c r="N1716" s="42">
        <f>IF($M1716="","",IFERROR(INDEX(LISTAS!$F$3:$F$42,MATCH($M1716,LISTAS!$E$3:$E$42,0)),"Por definir"))</f>
        <v/>
      </c>
      <c r="O1716" s="41" t="n"/>
      <c r="P1716" s="39">
        <f>IF($L1716="","",IFERROR(INDEX(LISTAS!$B$3:$B$42,MATCH($L1716,LISTAS!$A$3:$A$42,0)),"Media"))</f>
        <v/>
      </c>
      <c r="Q1716" s="44" t="n"/>
      <c r="R1716" s="45" t="n"/>
      <c r="S1716" s="20">
        <f>IFERROR(IF(OR($R1716="",$C1716=""),"",$R1716/INDEX(DESPACHOS!$M$3:$M$3002,MATCH($C1716,DESPACHOS!$B$3:$B$3002,0))),"")</f>
        <v/>
      </c>
      <c r="T1716" s="41" t="n"/>
      <c r="U1716" s="43">
        <f>IF(OR($B1716="",$L1716=""),"",WORKDAY($B1716,IFERROR(INDEX(LISTAS!$C$3:$C$42,MATCH($L1716,LISTAS!$A$3:$A$42,0)),3)))</f>
        <v/>
      </c>
      <c r="V1716" s="40" t="n"/>
      <c r="W1716" s="19">
        <f>IF($B1716="","",IF($V1716&lt;&gt;"",$V1716-$B1716,TODAY()-$B1716))</f>
        <v/>
      </c>
      <c r="X1716" s="19">
        <f>IF(OR($B1716="",$U1716=""),"",IF($V1716&lt;&gt;"",MAX(0,$V1716-$U1716),MAX(0,TODAY()-$U1716)))</f>
        <v/>
      </c>
      <c r="Y1716" s="39">
        <f>IF($C1716="","",IF(IFERROR(INDEX(LISTAS!$I$3:$I$42,MATCH($T1716,LISTAS!$H$3:$H$42,0)),"NO")="SÍ",IF(N($X1716)&gt;0,"CERRADA FUERA DE SLA","CERRADA EN SLA"),IF($U1716="","SIN CLASIFICAR",IF(N($X1716)&gt;0,"VENCIDA",IF(TODAY()&gt;=$U1716-1,"POR VENCER","EN PLAZO")))))</f>
        <v/>
      </c>
      <c r="Z1716" s="41" t="n"/>
      <c r="AA1716" s="41" t="n"/>
      <c r="AB1716" s="41" t="n"/>
    </row>
    <row r="1717">
      <c r="A1717" s="39">
        <f>IF($C1717="","","NOV-"&amp;TEXT(ROW()-3,"0000"))</f>
        <v/>
      </c>
      <c r="B1717" s="40" t="n"/>
      <c r="C1717" s="41" t="n"/>
      <c r="D1717" s="42">
        <f>IF($C1717="","",IFERROR(INDEX(DESPACHOS!$D$3:$D$3002,MATCH($C1717,DESPACHOS!$B$3:$B$3002,0)),"SIN DESPACHO"))</f>
        <v/>
      </c>
      <c r="E1717" s="42">
        <f>IF($C1717="","",IFERROR(INDEX(DESPACHOS!$K$3:$K$3002,MATCH($C1717,DESPACHOS!$B$3:$B$3002,0)),""))</f>
        <v/>
      </c>
      <c r="F1717" s="42">
        <f>IF($C1717="","",IFERROR(INDEX(DESPACHOS!$I$3:$I$3002,MATCH($C1717,DESPACHOS!$B$3:$B$3002,0)),""))</f>
        <v/>
      </c>
      <c r="G1717" s="42">
        <f>IF($C1717="","",IFERROR(INDEX(DESPACHOS!$F$3:$F$3002,MATCH($C1717,DESPACHOS!$B$3:$B$3002,0)),""))</f>
        <v/>
      </c>
      <c r="H1717" s="42">
        <f>IF($C1717="","",IFERROR(INDEX(DESPACHOS!$G$3:$G$3002,MATCH($C1717,DESPACHOS!$B$3:$B$3002,0)),""))</f>
        <v/>
      </c>
      <c r="I1717" s="39">
        <f>IF($C1717="","",IFERROR(INDEX(DESPACHOS!$H$3:$H$3002,MATCH($C1717,DESPACHOS!$B$3:$B$3002,0)),""))</f>
        <v/>
      </c>
      <c r="J1717" s="43">
        <f>IF($C1717="","",IFERROR(INDEX(DESPACHOS!$J$3:$J$3002,MATCH($C1717,DESPACHOS!$B$3:$B$3002,0)),""))</f>
        <v/>
      </c>
      <c r="K1717" s="39">
        <f>IF($C1717="","",IF(COUNTIFS(DESPACHOS!$B$3:$B$3002,$C1717)=0,"NO EXISTE",IF(COUNTIFS(DESPACHOS!$B$3:$B$3002,$C1717)&gt;1,"DUPLICADO","OK")))</f>
        <v/>
      </c>
      <c r="L1717" s="41" t="n"/>
      <c r="M1717" s="41" t="n"/>
      <c r="N1717" s="42">
        <f>IF($M1717="","",IFERROR(INDEX(LISTAS!$F$3:$F$42,MATCH($M1717,LISTAS!$E$3:$E$42,0)),"Por definir"))</f>
        <v/>
      </c>
      <c r="O1717" s="41" t="n"/>
      <c r="P1717" s="39">
        <f>IF($L1717="","",IFERROR(INDEX(LISTAS!$B$3:$B$42,MATCH($L1717,LISTAS!$A$3:$A$42,0)),"Media"))</f>
        <v/>
      </c>
      <c r="Q1717" s="44" t="n"/>
      <c r="R1717" s="45" t="n"/>
      <c r="S1717" s="20">
        <f>IFERROR(IF(OR($R1717="",$C1717=""),"",$R1717/INDEX(DESPACHOS!$M$3:$M$3002,MATCH($C1717,DESPACHOS!$B$3:$B$3002,0))),"")</f>
        <v/>
      </c>
      <c r="T1717" s="41" t="n"/>
      <c r="U1717" s="43">
        <f>IF(OR($B1717="",$L1717=""),"",WORKDAY($B1717,IFERROR(INDEX(LISTAS!$C$3:$C$42,MATCH($L1717,LISTAS!$A$3:$A$42,0)),3)))</f>
        <v/>
      </c>
      <c r="V1717" s="40" t="n"/>
      <c r="W1717" s="19">
        <f>IF($B1717="","",IF($V1717&lt;&gt;"",$V1717-$B1717,TODAY()-$B1717))</f>
        <v/>
      </c>
      <c r="X1717" s="19">
        <f>IF(OR($B1717="",$U1717=""),"",IF($V1717&lt;&gt;"",MAX(0,$V1717-$U1717),MAX(0,TODAY()-$U1717)))</f>
        <v/>
      </c>
      <c r="Y1717" s="39">
        <f>IF($C1717="","",IF(IFERROR(INDEX(LISTAS!$I$3:$I$42,MATCH($T1717,LISTAS!$H$3:$H$42,0)),"NO")="SÍ",IF(N($X1717)&gt;0,"CERRADA FUERA DE SLA","CERRADA EN SLA"),IF($U1717="","SIN CLASIFICAR",IF(N($X1717)&gt;0,"VENCIDA",IF(TODAY()&gt;=$U1717-1,"POR VENCER","EN PLAZO")))))</f>
        <v/>
      </c>
      <c r="Z1717" s="41" t="n"/>
      <c r="AA1717" s="41" t="n"/>
      <c r="AB1717" s="41" t="n"/>
    </row>
    <row r="1718">
      <c r="A1718" s="39">
        <f>IF($C1718="","","NOV-"&amp;TEXT(ROW()-3,"0000"))</f>
        <v/>
      </c>
      <c r="B1718" s="40" t="n"/>
      <c r="C1718" s="41" t="n"/>
      <c r="D1718" s="42">
        <f>IF($C1718="","",IFERROR(INDEX(DESPACHOS!$D$3:$D$3002,MATCH($C1718,DESPACHOS!$B$3:$B$3002,0)),"SIN DESPACHO"))</f>
        <v/>
      </c>
      <c r="E1718" s="42">
        <f>IF($C1718="","",IFERROR(INDEX(DESPACHOS!$K$3:$K$3002,MATCH($C1718,DESPACHOS!$B$3:$B$3002,0)),""))</f>
        <v/>
      </c>
      <c r="F1718" s="42">
        <f>IF($C1718="","",IFERROR(INDEX(DESPACHOS!$I$3:$I$3002,MATCH($C1718,DESPACHOS!$B$3:$B$3002,0)),""))</f>
        <v/>
      </c>
      <c r="G1718" s="42">
        <f>IF($C1718="","",IFERROR(INDEX(DESPACHOS!$F$3:$F$3002,MATCH($C1718,DESPACHOS!$B$3:$B$3002,0)),""))</f>
        <v/>
      </c>
      <c r="H1718" s="42">
        <f>IF($C1718="","",IFERROR(INDEX(DESPACHOS!$G$3:$G$3002,MATCH($C1718,DESPACHOS!$B$3:$B$3002,0)),""))</f>
        <v/>
      </c>
      <c r="I1718" s="39">
        <f>IF($C1718="","",IFERROR(INDEX(DESPACHOS!$H$3:$H$3002,MATCH($C1718,DESPACHOS!$B$3:$B$3002,0)),""))</f>
        <v/>
      </c>
      <c r="J1718" s="43">
        <f>IF($C1718="","",IFERROR(INDEX(DESPACHOS!$J$3:$J$3002,MATCH($C1718,DESPACHOS!$B$3:$B$3002,0)),""))</f>
        <v/>
      </c>
      <c r="K1718" s="39">
        <f>IF($C1718="","",IF(COUNTIFS(DESPACHOS!$B$3:$B$3002,$C1718)=0,"NO EXISTE",IF(COUNTIFS(DESPACHOS!$B$3:$B$3002,$C1718)&gt;1,"DUPLICADO","OK")))</f>
        <v/>
      </c>
      <c r="L1718" s="41" t="n"/>
      <c r="M1718" s="41" t="n"/>
      <c r="N1718" s="42">
        <f>IF($M1718="","",IFERROR(INDEX(LISTAS!$F$3:$F$42,MATCH($M1718,LISTAS!$E$3:$E$42,0)),"Por definir"))</f>
        <v/>
      </c>
      <c r="O1718" s="41" t="n"/>
      <c r="P1718" s="39">
        <f>IF($L1718="","",IFERROR(INDEX(LISTAS!$B$3:$B$42,MATCH($L1718,LISTAS!$A$3:$A$42,0)),"Media"))</f>
        <v/>
      </c>
      <c r="Q1718" s="44" t="n"/>
      <c r="R1718" s="45" t="n"/>
      <c r="S1718" s="20">
        <f>IFERROR(IF(OR($R1718="",$C1718=""),"",$R1718/INDEX(DESPACHOS!$M$3:$M$3002,MATCH($C1718,DESPACHOS!$B$3:$B$3002,0))),"")</f>
        <v/>
      </c>
      <c r="T1718" s="41" t="n"/>
      <c r="U1718" s="43">
        <f>IF(OR($B1718="",$L1718=""),"",WORKDAY($B1718,IFERROR(INDEX(LISTAS!$C$3:$C$42,MATCH($L1718,LISTAS!$A$3:$A$42,0)),3)))</f>
        <v/>
      </c>
      <c r="V1718" s="40" t="n"/>
      <c r="W1718" s="19">
        <f>IF($B1718="","",IF($V1718&lt;&gt;"",$V1718-$B1718,TODAY()-$B1718))</f>
        <v/>
      </c>
      <c r="X1718" s="19">
        <f>IF(OR($B1718="",$U1718=""),"",IF($V1718&lt;&gt;"",MAX(0,$V1718-$U1718),MAX(0,TODAY()-$U1718)))</f>
        <v/>
      </c>
      <c r="Y1718" s="39">
        <f>IF($C1718="","",IF(IFERROR(INDEX(LISTAS!$I$3:$I$42,MATCH($T1718,LISTAS!$H$3:$H$42,0)),"NO")="SÍ",IF(N($X1718)&gt;0,"CERRADA FUERA DE SLA","CERRADA EN SLA"),IF($U1718="","SIN CLASIFICAR",IF(N($X1718)&gt;0,"VENCIDA",IF(TODAY()&gt;=$U1718-1,"POR VENCER","EN PLAZO")))))</f>
        <v/>
      </c>
      <c r="Z1718" s="41" t="n"/>
      <c r="AA1718" s="41" t="n"/>
      <c r="AB1718" s="41" t="n"/>
    </row>
    <row r="1719">
      <c r="A1719" s="39">
        <f>IF($C1719="","","NOV-"&amp;TEXT(ROW()-3,"0000"))</f>
        <v/>
      </c>
      <c r="B1719" s="40" t="n"/>
      <c r="C1719" s="41" t="n"/>
      <c r="D1719" s="42">
        <f>IF($C1719="","",IFERROR(INDEX(DESPACHOS!$D$3:$D$3002,MATCH($C1719,DESPACHOS!$B$3:$B$3002,0)),"SIN DESPACHO"))</f>
        <v/>
      </c>
      <c r="E1719" s="42">
        <f>IF($C1719="","",IFERROR(INDEX(DESPACHOS!$K$3:$K$3002,MATCH($C1719,DESPACHOS!$B$3:$B$3002,0)),""))</f>
        <v/>
      </c>
      <c r="F1719" s="42">
        <f>IF($C1719="","",IFERROR(INDEX(DESPACHOS!$I$3:$I$3002,MATCH($C1719,DESPACHOS!$B$3:$B$3002,0)),""))</f>
        <v/>
      </c>
      <c r="G1719" s="42">
        <f>IF($C1719="","",IFERROR(INDEX(DESPACHOS!$F$3:$F$3002,MATCH($C1719,DESPACHOS!$B$3:$B$3002,0)),""))</f>
        <v/>
      </c>
      <c r="H1719" s="42">
        <f>IF($C1719="","",IFERROR(INDEX(DESPACHOS!$G$3:$G$3002,MATCH($C1719,DESPACHOS!$B$3:$B$3002,0)),""))</f>
        <v/>
      </c>
      <c r="I1719" s="39">
        <f>IF($C1719="","",IFERROR(INDEX(DESPACHOS!$H$3:$H$3002,MATCH($C1719,DESPACHOS!$B$3:$B$3002,0)),""))</f>
        <v/>
      </c>
      <c r="J1719" s="43">
        <f>IF($C1719="","",IFERROR(INDEX(DESPACHOS!$J$3:$J$3002,MATCH($C1719,DESPACHOS!$B$3:$B$3002,0)),""))</f>
        <v/>
      </c>
      <c r="K1719" s="39">
        <f>IF($C1719="","",IF(COUNTIFS(DESPACHOS!$B$3:$B$3002,$C1719)=0,"NO EXISTE",IF(COUNTIFS(DESPACHOS!$B$3:$B$3002,$C1719)&gt;1,"DUPLICADO","OK")))</f>
        <v/>
      </c>
      <c r="L1719" s="41" t="n"/>
      <c r="M1719" s="41" t="n"/>
      <c r="N1719" s="42">
        <f>IF($M1719="","",IFERROR(INDEX(LISTAS!$F$3:$F$42,MATCH($M1719,LISTAS!$E$3:$E$42,0)),"Por definir"))</f>
        <v/>
      </c>
      <c r="O1719" s="41" t="n"/>
      <c r="P1719" s="39">
        <f>IF($L1719="","",IFERROR(INDEX(LISTAS!$B$3:$B$42,MATCH($L1719,LISTAS!$A$3:$A$42,0)),"Media"))</f>
        <v/>
      </c>
      <c r="Q1719" s="44" t="n"/>
      <c r="R1719" s="45" t="n"/>
      <c r="S1719" s="20">
        <f>IFERROR(IF(OR($R1719="",$C1719=""),"",$R1719/INDEX(DESPACHOS!$M$3:$M$3002,MATCH($C1719,DESPACHOS!$B$3:$B$3002,0))),"")</f>
        <v/>
      </c>
      <c r="T1719" s="41" t="n"/>
      <c r="U1719" s="43">
        <f>IF(OR($B1719="",$L1719=""),"",WORKDAY($B1719,IFERROR(INDEX(LISTAS!$C$3:$C$42,MATCH($L1719,LISTAS!$A$3:$A$42,0)),3)))</f>
        <v/>
      </c>
      <c r="V1719" s="40" t="n"/>
      <c r="W1719" s="19">
        <f>IF($B1719="","",IF($V1719&lt;&gt;"",$V1719-$B1719,TODAY()-$B1719))</f>
        <v/>
      </c>
      <c r="X1719" s="19">
        <f>IF(OR($B1719="",$U1719=""),"",IF($V1719&lt;&gt;"",MAX(0,$V1719-$U1719),MAX(0,TODAY()-$U1719)))</f>
        <v/>
      </c>
      <c r="Y1719" s="39">
        <f>IF($C1719="","",IF(IFERROR(INDEX(LISTAS!$I$3:$I$42,MATCH($T1719,LISTAS!$H$3:$H$42,0)),"NO")="SÍ",IF(N($X1719)&gt;0,"CERRADA FUERA DE SLA","CERRADA EN SLA"),IF($U1719="","SIN CLASIFICAR",IF(N($X1719)&gt;0,"VENCIDA",IF(TODAY()&gt;=$U1719-1,"POR VENCER","EN PLAZO")))))</f>
        <v/>
      </c>
      <c r="Z1719" s="41" t="n"/>
      <c r="AA1719" s="41" t="n"/>
      <c r="AB1719" s="41" t="n"/>
    </row>
    <row r="1720">
      <c r="A1720" s="39">
        <f>IF($C1720="","","NOV-"&amp;TEXT(ROW()-3,"0000"))</f>
        <v/>
      </c>
      <c r="B1720" s="40" t="n"/>
      <c r="C1720" s="41" t="n"/>
      <c r="D1720" s="42">
        <f>IF($C1720="","",IFERROR(INDEX(DESPACHOS!$D$3:$D$3002,MATCH($C1720,DESPACHOS!$B$3:$B$3002,0)),"SIN DESPACHO"))</f>
        <v/>
      </c>
      <c r="E1720" s="42">
        <f>IF($C1720="","",IFERROR(INDEX(DESPACHOS!$K$3:$K$3002,MATCH($C1720,DESPACHOS!$B$3:$B$3002,0)),""))</f>
        <v/>
      </c>
      <c r="F1720" s="42">
        <f>IF($C1720="","",IFERROR(INDEX(DESPACHOS!$I$3:$I$3002,MATCH($C1720,DESPACHOS!$B$3:$B$3002,0)),""))</f>
        <v/>
      </c>
      <c r="G1720" s="42">
        <f>IF($C1720="","",IFERROR(INDEX(DESPACHOS!$F$3:$F$3002,MATCH($C1720,DESPACHOS!$B$3:$B$3002,0)),""))</f>
        <v/>
      </c>
      <c r="H1720" s="42">
        <f>IF($C1720="","",IFERROR(INDEX(DESPACHOS!$G$3:$G$3002,MATCH($C1720,DESPACHOS!$B$3:$B$3002,0)),""))</f>
        <v/>
      </c>
      <c r="I1720" s="39">
        <f>IF($C1720="","",IFERROR(INDEX(DESPACHOS!$H$3:$H$3002,MATCH($C1720,DESPACHOS!$B$3:$B$3002,0)),""))</f>
        <v/>
      </c>
      <c r="J1720" s="43">
        <f>IF($C1720="","",IFERROR(INDEX(DESPACHOS!$J$3:$J$3002,MATCH($C1720,DESPACHOS!$B$3:$B$3002,0)),""))</f>
        <v/>
      </c>
      <c r="K1720" s="39">
        <f>IF($C1720="","",IF(COUNTIFS(DESPACHOS!$B$3:$B$3002,$C1720)=0,"NO EXISTE",IF(COUNTIFS(DESPACHOS!$B$3:$B$3002,$C1720)&gt;1,"DUPLICADO","OK")))</f>
        <v/>
      </c>
      <c r="L1720" s="41" t="n"/>
      <c r="M1720" s="41" t="n"/>
      <c r="N1720" s="42">
        <f>IF($M1720="","",IFERROR(INDEX(LISTAS!$F$3:$F$42,MATCH($M1720,LISTAS!$E$3:$E$42,0)),"Por definir"))</f>
        <v/>
      </c>
      <c r="O1720" s="41" t="n"/>
      <c r="P1720" s="39">
        <f>IF($L1720="","",IFERROR(INDEX(LISTAS!$B$3:$B$42,MATCH($L1720,LISTAS!$A$3:$A$42,0)),"Media"))</f>
        <v/>
      </c>
      <c r="Q1720" s="44" t="n"/>
      <c r="R1720" s="45" t="n"/>
      <c r="S1720" s="20">
        <f>IFERROR(IF(OR($R1720="",$C1720=""),"",$R1720/INDEX(DESPACHOS!$M$3:$M$3002,MATCH($C1720,DESPACHOS!$B$3:$B$3002,0))),"")</f>
        <v/>
      </c>
      <c r="T1720" s="41" t="n"/>
      <c r="U1720" s="43">
        <f>IF(OR($B1720="",$L1720=""),"",WORKDAY($B1720,IFERROR(INDEX(LISTAS!$C$3:$C$42,MATCH($L1720,LISTAS!$A$3:$A$42,0)),3)))</f>
        <v/>
      </c>
      <c r="V1720" s="40" t="n"/>
      <c r="W1720" s="19">
        <f>IF($B1720="","",IF($V1720&lt;&gt;"",$V1720-$B1720,TODAY()-$B1720))</f>
        <v/>
      </c>
      <c r="X1720" s="19">
        <f>IF(OR($B1720="",$U1720=""),"",IF($V1720&lt;&gt;"",MAX(0,$V1720-$U1720),MAX(0,TODAY()-$U1720)))</f>
        <v/>
      </c>
      <c r="Y1720" s="39">
        <f>IF($C1720="","",IF(IFERROR(INDEX(LISTAS!$I$3:$I$42,MATCH($T1720,LISTAS!$H$3:$H$42,0)),"NO")="SÍ",IF(N($X1720)&gt;0,"CERRADA FUERA DE SLA","CERRADA EN SLA"),IF($U1720="","SIN CLASIFICAR",IF(N($X1720)&gt;0,"VENCIDA",IF(TODAY()&gt;=$U1720-1,"POR VENCER","EN PLAZO")))))</f>
        <v/>
      </c>
      <c r="Z1720" s="41" t="n"/>
      <c r="AA1720" s="41" t="n"/>
      <c r="AB1720" s="41" t="n"/>
    </row>
    <row r="1721">
      <c r="A1721" s="39">
        <f>IF($C1721="","","NOV-"&amp;TEXT(ROW()-3,"0000"))</f>
        <v/>
      </c>
      <c r="B1721" s="40" t="n"/>
      <c r="C1721" s="41" t="n"/>
      <c r="D1721" s="42">
        <f>IF($C1721="","",IFERROR(INDEX(DESPACHOS!$D$3:$D$3002,MATCH($C1721,DESPACHOS!$B$3:$B$3002,0)),"SIN DESPACHO"))</f>
        <v/>
      </c>
      <c r="E1721" s="42">
        <f>IF($C1721="","",IFERROR(INDEX(DESPACHOS!$K$3:$K$3002,MATCH($C1721,DESPACHOS!$B$3:$B$3002,0)),""))</f>
        <v/>
      </c>
      <c r="F1721" s="42">
        <f>IF($C1721="","",IFERROR(INDEX(DESPACHOS!$I$3:$I$3002,MATCH($C1721,DESPACHOS!$B$3:$B$3002,0)),""))</f>
        <v/>
      </c>
      <c r="G1721" s="42">
        <f>IF($C1721="","",IFERROR(INDEX(DESPACHOS!$F$3:$F$3002,MATCH($C1721,DESPACHOS!$B$3:$B$3002,0)),""))</f>
        <v/>
      </c>
      <c r="H1721" s="42">
        <f>IF($C1721="","",IFERROR(INDEX(DESPACHOS!$G$3:$G$3002,MATCH($C1721,DESPACHOS!$B$3:$B$3002,0)),""))</f>
        <v/>
      </c>
      <c r="I1721" s="39">
        <f>IF($C1721="","",IFERROR(INDEX(DESPACHOS!$H$3:$H$3002,MATCH($C1721,DESPACHOS!$B$3:$B$3002,0)),""))</f>
        <v/>
      </c>
      <c r="J1721" s="43">
        <f>IF($C1721="","",IFERROR(INDEX(DESPACHOS!$J$3:$J$3002,MATCH($C1721,DESPACHOS!$B$3:$B$3002,0)),""))</f>
        <v/>
      </c>
      <c r="K1721" s="39">
        <f>IF($C1721="","",IF(COUNTIFS(DESPACHOS!$B$3:$B$3002,$C1721)=0,"NO EXISTE",IF(COUNTIFS(DESPACHOS!$B$3:$B$3002,$C1721)&gt;1,"DUPLICADO","OK")))</f>
        <v/>
      </c>
      <c r="L1721" s="41" t="n"/>
      <c r="M1721" s="41" t="n"/>
      <c r="N1721" s="42">
        <f>IF($M1721="","",IFERROR(INDEX(LISTAS!$F$3:$F$42,MATCH($M1721,LISTAS!$E$3:$E$42,0)),"Por definir"))</f>
        <v/>
      </c>
      <c r="O1721" s="41" t="n"/>
      <c r="P1721" s="39">
        <f>IF($L1721="","",IFERROR(INDEX(LISTAS!$B$3:$B$42,MATCH($L1721,LISTAS!$A$3:$A$42,0)),"Media"))</f>
        <v/>
      </c>
      <c r="Q1721" s="44" t="n"/>
      <c r="R1721" s="45" t="n"/>
      <c r="S1721" s="20">
        <f>IFERROR(IF(OR($R1721="",$C1721=""),"",$R1721/INDEX(DESPACHOS!$M$3:$M$3002,MATCH($C1721,DESPACHOS!$B$3:$B$3002,0))),"")</f>
        <v/>
      </c>
      <c r="T1721" s="41" t="n"/>
      <c r="U1721" s="43">
        <f>IF(OR($B1721="",$L1721=""),"",WORKDAY($B1721,IFERROR(INDEX(LISTAS!$C$3:$C$42,MATCH($L1721,LISTAS!$A$3:$A$42,0)),3)))</f>
        <v/>
      </c>
      <c r="V1721" s="40" t="n"/>
      <c r="W1721" s="19">
        <f>IF($B1721="","",IF($V1721&lt;&gt;"",$V1721-$B1721,TODAY()-$B1721))</f>
        <v/>
      </c>
      <c r="X1721" s="19">
        <f>IF(OR($B1721="",$U1721=""),"",IF($V1721&lt;&gt;"",MAX(0,$V1721-$U1721),MAX(0,TODAY()-$U1721)))</f>
        <v/>
      </c>
      <c r="Y1721" s="39">
        <f>IF($C1721="","",IF(IFERROR(INDEX(LISTAS!$I$3:$I$42,MATCH($T1721,LISTAS!$H$3:$H$42,0)),"NO")="SÍ",IF(N($X1721)&gt;0,"CERRADA FUERA DE SLA","CERRADA EN SLA"),IF($U1721="","SIN CLASIFICAR",IF(N($X1721)&gt;0,"VENCIDA",IF(TODAY()&gt;=$U1721-1,"POR VENCER","EN PLAZO")))))</f>
        <v/>
      </c>
      <c r="Z1721" s="41" t="n"/>
      <c r="AA1721" s="41" t="n"/>
      <c r="AB1721" s="41" t="n"/>
    </row>
    <row r="1722">
      <c r="A1722" s="39">
        <f>IF($C1722="","","NOV-"&amp;TEXT(ROW()-3,"0000"))</f>
        <v/>
      </c>
      <c r="B1722" s="40" t="n"/>
      <c r="C1722" s="41" t="n"/>
      <c r="D1722" s="42">
        <f>IF($C1722="","",IFERROR(INDEX(DESPACHOS!$D$3:$D$3002,MATCH($C1722,DESPACHOS!$B$3:$B$3002,0)),"SIN DESPACHO"))</f>
        <v/>
      </c>
      <c r="E1722" s="42">
        <f>IF($C1722="","",IFERROR(INDEX(DESPACHOS!$K$3:$K$3002,MATCH($C1722,DESPACHOS!$B$3:$B$3002,0)),""))</f>
        <v/>
      </c>
      <c r="F1722" s="42">
        <f>IF($C1722="","",IFERROR(INDEX(DESPACHOS!$I$3:$I$3002,MATCH($C1722,DESPACHOS!$B$3:$B$3002,0)),""))</f>
        <v/>
      </c>
      <c r="G1722" s="42">
        <f>IF($C1722="","",IFERROR(INDEX(DESPACHOS!$F$3:$F$3002,MATCH($C1722,DESPACHOS!$B$3:$B$3002,0)),""))</f>
        <v/>
      </c>
      <c r="H1722" s="42">
        <f>IF($C1722="","",IFERROR(INDEX(DESPACHOS!$G$3:$G$3002,MATCH($C1722,DESPACHOS!$B$3:$B$3002,0)),""))</f>
        <v/>
      </c>
      <c r="I1722" s="39">
        <f>IF($C1722="","",IFERROR(INDEX(DESPACHOS!$H$3:$H$3002,MATCH($C1722,DESPACHOS!$B$3:$B$3002,0)),""))</f>
        <v/>
      </c>
      <c r="J1722" s="43">
        <f>IF($C1722="","",IFERROR(INDEX(DESPACHOS!$J$3:$J$3002,MATCH($C1722,DESPACHOS!$B$3:$B$3002,0)),""))</f>
        <v/>
      </c>
      <c r="K1722" s="39">
        <f>IF($C1722="","",IF(COUNTIFS(DESPACHOS!$B$3:$B$3002,$C1722)=0,"NO EXISTE",IF(COUNTIFS(DESPACHOS!$B$3:$B$3002,$C1722)&gt;1,"DUPLICADO","OK")))</f>
        <v/>
      </c>
      <c r="L1722" s="41" t="n"/>
      <c r="M1722" s="41" t="n"/>
      <c r="N1722" s="42">
        <f>IF($M1722="","",IFERROR(INDEX(LISTAS!$F$3:$F$42,MATCH($M1722,LISTAS!$E$3:$E$42,0)),"Por definir"))</f>
        <v/>
      </c>
      <c r="O1722" s="41" t="n"/>
      <c r="P1722" s="39">
        <f>IF($L1722="","",IFERROR(INDEX(LISTAS!$B$3:$B$42,MATCH($L1722,LISTAS!$A$3:$A$42,0)),"Media"))</f>
        <v/>
      </c>
      <c r="Q1722" s="44" t="n"/>
      <c r="R1722" s="45" t="n"/>
      <c r="S1722" s="20">
        <f>IFERROR(IF(OR($R1722="",$C1722=""),"",$R1722/INDEX(DESPACHOS!$M$3:$M$3002,MATCH($C1722,DESPACHOS!$B$3:$B$3002,0))),"")</f>
        <v/>
      </c>
      <c r="T1722" s="41" t="n"/>
      <c r="U1722" s="43">
        <f>IF(OR($B1722="",$L1722=""),"",WORKDAY($B1722,IFERROR(INDEX(LISTAS!$C$3:$C$42,MATCH($L1722,LISTAS!$A$3:$A$42,0)),3)))</f>
        <v/>
      </c>
      <c r="V1722" s="40" t="n"/>
      <c r="W1722" s="19">
        <f>IF($B1722="","",IF($V1722&lt;&gt;"",$V1722-$B1722,TODAY()-$B1722))</f>
        <v/>
      </c>
      <c r="X1722" s="19">
        <f>IF(OR($B1722="",$U1722=""),"",IF($V1722&lt;&gt;"",MAX(0,$V1722-$U1722),MAX(0,TODAY()-$U1722)))</f>
        <v/>
      </c>
      <c r="Y1722" s="39">
        <f>IF($C1722="","",IF(IFERROR(INDEX(LISTAS!$I$3:$I$42,MATCH($T1722,LISTAS!$H$3:$H$42,0)),"NO")="SÍ",IF(N($X1722)&gt;0,"CERRADA FUERA DE SLA","CERRADA EN SLA"),IF($U1722="","SIN CLASIFICAR",IF(N($X1722)&gt;0,"VENCIDA",IF(TODAY()&gt;=$U1722-1,"POR VENCER","EN PLAZO")))))</f>
        <v/>
      </c>
      <c r="Z1722" s="41" t="n"/>
      <c r="AA1722" s="41" t="n"/>
      <c r="AB1722" s="41" t="n"/>
    </row>
    <row r="1723">
      <c r="A1723" s="39">
        <f>IF($C1723="","","NOV-"&amp;TEXT(ROW()-3,"0000"))</f>
        <v/>
      </c>
      <c r="B1723" s="40" t="n"/>
      <c r="C1723" s="41" t="n"/>
      <c r="D1723" s="42">
        <f>IF($C1723="","",IFERROR(INDEX(DESPACHOS!$D$3:$D$3002,MATCH($C1723,DESPACHOS!$B$3:$B$3002,0)),"SIN DESPACHO"))</f>
        <v/>
      </c>
      <c r="E1723" s="42">
        <f>IF($C1723="","",IFERROR(INDEX(DESPACHOS!$K$3:$K$3002,MATCH($C1723,DESPACHOS!$B$3:$B$3002,0)),""))</f>
        <v/>
      </c>
      <c r="F1723" s="42">
        <f>IF($C1723="","",IFERROR(INDEX(DESPACHOS!$I$3:$I$3002,MATCH($C1723,DESPACHOS!$B$3:$B$3002,0)),""))</f>
        <v/>
      </c>
      <c r="G1723" s="42">
        <f>IF($C1723="","",IFERROR(INDEX(DESPACHOS!$F$3:$F$3002,MATCH($C1723,DESPACHOS!$B$3:$B$3002,0)),""))</f>
        <v/>
      </c>
      <c r="H1723" s="42">
        <f>IF($C1723="","",IFERROR(INDEX(DESPACHOS!$G$3:$G$3002,MATCH($C1723,DESPACHOS!$B$3:$B$3002,0)),""))</f>
        <v/>
      </c>
      <c r="I1723" s="39">
        <f>IF($C1723="","",IFERROR(INDEX(DESPACHOS!$H$3:$H$3002,MATCH($C1723,DESPACHOS!$B$3:$B$3002,0)),""))</f>
        <v/>
      </c>
      <c r="J1723" s="43">
        <f>IF($C1723="","",IFERROR(INDEX(DESPACHOS!$J$3:$J$3002,MATCH($C1723,DESPACHOS!$B$3:$B$3002,0)),""))</f>
        <v/>
      </c>
      <c r="K1723" s="39">
        <f>IF($C1723="","",IF(COUNTIFS(DESPACHOS!$B$3:$B$3002,$C1723)=0,"NO EXISTE",IF(COUNTIFS(DESPACHOS!$B$3:$B$3002,$C1723)&gt;1,"DUPLICADO","OK")))</f>
        <v/>
      </c>
      <c r="L1723" s="41" t="n"/>
      <c r="M1723" s="41" t="n"/>
      <c r="N1723" s="42">
        <f>IF($M1723="","",IFERROR(INDEX(LISTAS!$F$3:$F$42,MATCH($M1723,LISTAS!$E$3:$E$42,0)),"Por definir"))</f>
        <v/>
      </c>
      <c r="O1723" s="41" t="n"/>
      <c r="P1723" s="39">
        <f>IF($L1723="","",IFERROR(INDEX(LISTAS!$B$3:$B$42,MATCH($L1723,LISTAS!$A$3:$A$42,0)),"Media"))</f>
        <v/>
      </c>
      <c r="Q1723" s="44" t="n"/>
      <c r="R1723" s="45" t="n"/>
      <c r="S1723" s="20">
        <f>IFERROR(IF(OR($R1723="",$C1723=""),"",$R1723/INDEX(DESPACHOS!$M$3:$M$3002,MATCH($C1723,DESPACHOS!$B$3:$B$3002,0))),"")</f>
        <v/>
      </c>
      <c r="T1723" s="41" t="n"/>
      <c r="U1723" s="43">
        <f>IF(OR($B1723="",$L1723=""),"",WORKDAY($B1723,IFERROR(INDEX(LISTAS!$C$3:$C$42,MATCH($L1723,LISTAS!$A$3:$A$42,0)),3)))</f>
        <v/>
      </c>
      <c r="V1723" s="40" t="n"/>
      <c r="W1723" s="19">
        <f>IF($B1723="","",IF($V1723&lt;&gt;"",$V1723-$B1723,TODAY()-$B1723))</f>
        <v/>
      </c>
      <c r="X1723" s="19">
        <f>IF(OR($B1723="",$U1723=""),"",IF($V1723&lt;&gt;"",MAX(0,$V1723-$U1723),MAX(0,TODAY()-$U1723)))</f>
        <v/>
      </c>
      <c r="Y1723" s="39">
        <f>IF($C1723="","",IF(IFERROR(INDEX(LISTAS!$I$3:$I$42,MATCH($T1723,LISTAS!$H$3:$H$42,0)),"NO")="SÍ",IF(N($X1723)&gt;0,"CERRADA FUERA DE SLA","CERRADA EN SLA"),IF($U1723="","SIN CLASIFICAR",IF(N($X1723)&gt;0,"VENCIDA",IF(TODAY()&gt;=$U1723-1,"POR VENCER","EN PLAZO")))))</f>
        <v/>
      </c>
      <c r="Z1723" s="41" t="n"/>
      <c r="AA1723" s="41" t="n"/>
      <c r="AB1723" s="41" t="n"/>
    </row>
    <row r="1724">
      <c r="A1724" s="39">
        <f>IF($C1724="","","NOV-"&amp;TEXT(ROW()-3,"0000"))</f>
        <v/>
      </c>
      <c r="B1724" s="40" t="n"/>
      <c r="C1724" s="41" t="n"/>
      <c r="D1724" s="42">
        <f>IF($C1724="","",IFERROR(INDEX(DESPACHOS!$D$3:$D$3002,MATCH($C1724,DESPACHOS!$B$3:$B$3002,0)),"SIN DESPACHO"))</f>
        <v/>
      </c>
      <c r="E1724" s="42">
        <f>IF($C1724="","",IFERROR(INDEX(DESPACHOS!$K$3:$K$3002,MATCH($C1724,DESPACHOS!$B$3:$B$3002,0)),""))</f>
        <v/>
      </c>
      <c r="F1724" s="42">
        <f>IF($C1724="","",IFERROR(INDEX(DESPACHOS!$I$3:$I$3002,MATCH($C1724,DESPACHOS!$B$3:$B$3002,0)),""))</f>
        <v/>
      </c>
      <c r="G1724" s="42">
        <f>IF($C1724="","",IFERROR(INDEX(DESPACHOS!$F$3:$F$3002,MATCH($C1724,DESPACHOS!$B$3:$B$3002,0)),""))</f>
        <v/>
      </c>
      <c r="H1724" s="42">
        <f>IF($C1724="","",IFERROR(INDEX(DESPACHOS!$G$3:$G$3002,MATCH($C1724,DESPACHOS!$B$3:$B$3002,0)),""))</f>
        <v/>
      </c>
      <c r="I1724" s="39">
        <f>IF($C1724="","",IFERROR(INDEX(DESPACHOS!$H$3:$H$3002,MATCH($C1724,DESPACHOS!$B$3:$B$3002,0)),""))</f>
        <v/>
      </c>
      <c r="J1724" s="43">
        <f>IF($C1724="","",IFERROR(INDEX(DESPACHOS!$J$3:$J$3002,MATCH($C1724,DESPACHOS!$B$3:$B$3002,0)),""))</f>
        <v/>
      </c>
      <c r="K1724" s="39">
        <f>IF($C1724="","",IF(COUNTIFS(DESPACHOS!$B$3:$B$3002,$C1724)=0,"NO EXISTE",IF(COUNTIFS(DESPACHOS!$B$3:$B$3002,$C1724)&gt;1,"DUPLICADO","OK")))</f>
        <v/>
      </c>
      <c r="L1724" s="41" t="n"/>
      <c r="M1724" s="41" t="n"/>
      <c r="N1724" s="42">
        <f>IF($M1724="","",IFERROR(INDEX(LISTAS!$F$3:$F$42,MATCH($M1724,LISTAS!$E$3:$E$42,0)),"Por definir"))</f>
        <v/>
      </c>
      <c r="O1724" s="41" t="n"/>
      <c r="P1724" s="39">
        <f>IF($L1724="","",IFERROR(INDEX(LISTAS!$B$3:$B$42,MATCH($L1724,LISTAS!$A$3:$A$42,0)),"Media"))</f>
        <v/>
      </c>
      <c r="Q1724" s="44" t="n"/>
      <c r="R1724" s="45" t="n"/>
      <c r="S1724" s="20">
        <f>IFERROR(IF(OR($R1724="",$C1724=""),"",$R1724/INDEX(DESPACHOS!$M$3:$M$3002,MATCH($C1724,DESPACHOS!$B$3:$B$3002,0))),"")</f>
        <v/>
      </c>
      <c r="T1724" s="41" t="n"/>
      <c r="U1724" s="43">
        <f>IF(OR($B1724="",$L1724=""),"",WORKDAY($B1724,IFERROR(INDEX(LISTAS!$C$3:$C$42,MATCH($L1724,LISTAS!$A$3:$A$42,0)),3)))</f>
        <v/>
      </c>
      <c r="V1724" s="40" t="n"/>
      <c r="W1724" s="19">
        <f>IF($B1724="","",IF($V1724&lt;&gt;"",$V1724-$B1724,TODAY()-$B1724))</f>
        <v/>
      </c>
      <c r="X1724" s="19">
        <f>IF(OR($B1724="",$U1724=""),"",IF($V1724&lt;&gt;"",MAX(0,$V1724-$U1724),MAX(0,TODAY()-$U1724)))</f>
        <v/>
      </c>
      <c r="Y1724" s="39">
        <f>IF($C1724="","",IF(IFERROR(INDEX(LISTAS!$I$3:$I$42,MATCH($T1724,LISTAS!$H$3:$H$42,0)),"NO")="SÍ",IF(N($X1724)&gt;0,"CERRADA FUERA DE SLA","CERRADA EN SLA"),IF($U1724="","SIN CLASIFICAR",IF(N($X1724)&gt;0,"VENCIDA",IF(TODAY()&gt;=$U1724-1,"POR VENCER","EN PLAZO")))))</f>
        <v/>
      </c>
      <c r="Z1724" s="41" t="n"/>
      <c r="AA1724" s="41" t="n"/>
      <c r="AB1724" s="41" t="n"/>
    </row>
    <row r="1725">
      <c r="A1725" s="39">
        <f>IF($C1725="","","NOV-"&amp;TEXT(ROW()-3,"0000"))</f>
        <v/>
      </c>
      <c r="B1725" s="40" t="n"/>
      <c r="C1725" s="41" t="n"/>
      <c r="D1725" s="42">
        <f>IF($C1725="","",IFERROR(INDEX(DESPACHOS!$D$3:$D$3002,MATCH($C1725,DESPACHOS!$B$3:$B$3002,0)),"SIN DESPACHO"))</f>
        <v/>
      </c>
      <c r="E1725" s="42">
        <f>IF($C1725="","",IFERROR(INDEX(DESPACHOS!$K$3:$K$3002,MATCH($C1725,DESPACHOS!$B$3:$B$3002,0)),""))</f>
        <v/>
      </c>
      <c r="F1725" s="42">
        <f>IF($C1725="","",IFERROR(INDEX(DESPACHOS!$I$3:$I$3002,MATCH($C1725,DESPACHOS!$B$3:$B$3002,0)),""))</f>
        <v/>
      </c>
      <c r="G1725" s="42">
        <f>IF($C1725="","",IFERROR(INDEX(DESPACHOS!$F$3:$F$3002,MATCH($C1725,DESPACHOS!$B$3:$B$3002,0)),""))</f>
        <v/>
      </c>
      <c r="H1725" s="42">
        <f>IF($C1725="","",IFERROR(INDEX(DESPACHOS!$G$3:$G$3002,MATCH($C1725,DESPACHOS!$B$3:$B$3002,0)),""))</f>
        <v/>
      </c>
      <c r="I1725" s="39">
        <f>IF($C1725="","",IFERROR(INDEX(DESPACHOS!$H$3:$H$3002,MATCH($C1725,DESPACHOS!$B$3:$B$3002,0)),""))</f>
        <v/>
      </c>
      <c r="J1725" s="43">
        <f>IF($C1725="","",IFERROR(INDEX(DESPACHOS!$J$3:$J$3002,MATCH($C1725,DESPACHOS!$B$3:$B$3002,0)),""))</f>
        <v/>
      </c>
      <c r="K1725" s="39">
        <f>IF($C1725="","",IF(COUNTIFS(DESPACHOS!$B$3:$B$3002,$C1725)=0,"NO EXISTE",IF(COUNTIFS(DESPACHOS!$B$3:$B$3002,$C1725)&gt;1,"DUPLICADO","OK")))</f>
        <v/>
      </c>
      <c r="L1725" s="41" t="n"/>
      <c r="M1725" s="41" t="n"/>
      <c r="N1725" s="42">
        <f>IF($M1725="","",IFERROR(INDEX(LISTAS!$F$3:$F$42,MATCH($M1725,LISTAS!$E$3:$E$42,0)),"Por definir"))</f>
        <v/>
      </c>
      <c r="O1725" s="41" t="n"/>
      <c r="P1725" s="39">
        <f>IF($L1725="","",IFERROR(INDEX(LISTAS!$B$3:$B$42,MATCH($L1725,LISTAS!$A$3:$A$42,0)),"Media"))</f>
        <v/>
      </c>
      <c r="Q1725" s="44" t="n"/>
      <c r="R1725" s="45" t="n"/>
      <c r="S1725" s="20">
        <f>IFERROR(IF(OR($R1725="",$C1725=""),"",$R1725/INDEX(DESPACHOS!$M$3:$M$3002,MATCH($C1725,DESPACHOS!$B$3:$B$3002,0))),"")</f>
        <v/>
      </c>
      <c r="T1725" s="41" t="n"/>
      <c r="U1725" s="43">
        <f>IF(OR($B1725="",$L1725=""),"",WORKDAY($B1725,IFERROR(INDEX(LISTAS!$C$3:$C$42,MATCH($L1725,LISTAS!$A$3:$A$42,0)),3)))</f>
        <v/>
      </c>
      <c r="V1725" s="40" t="n"/>
      <c r="W1725" s="19">
        <f>IF($B1725="","",IF($V1725&lt;&gt;"",$V1725-$B1725,TODAY()-$B1725))</f>
        <v/>
      </c>
      <c r="X1725" s="19">
        <f>IF(OR($B1725="",$U1725=""),"",IF($V1725&lt;&gt;"",MAX(0,$V1725-$U1725),MAX(0,TODAY()-$U1725)))</f>
        <v/>
      </c>
      <c r="Y1725" s="39">
        <f>IF($C1725="","",IF(IFERROR(INDEX(LISTAS!$I$3:$I$42,MATCH($T1725,LISTAS!$H$3:$H$42,0)),"NO")="SÍ",IF(N($X1725)&gt;0,"CERRADA FUERA DE SLA","CERRADA EN SLA"),IF($U1725="","SIN CLASIFICAR",IF(N($X1725)&gt;0,"VENCIDA",IF(TODAY()&gt;=$U1725-1,"POR VENCER","EN PLAZO")))))</f>
        <v/>
      </c>
      <c r="Z1725" s="41" t="n"/>
      <c r="AA1725" s="41" t="n"/>
      <c r="AB1725" s="41" t="n"/>
    </row>
    <row r="1726">
      <c r="A1726" s="39">
        <f>IF($C1726="","","NOV-"&amp;TEXT(ROW()-3,"0000"))</f>
        <v/>
      </c>
      <c r="B1726" s="40" t="n"/>
      <c r="C1726" s="41" t="n"/>
      <c r="D1726" s="42">
        <f>IF($C1726="","",IFERROR(INDEX(DESPACHOS!$D$3:$D$3002,MATCH($C1726,DESPACHOS!$B$3:$B$3002,0)),"SIN DESPACHO"))</f>
        <v/>
      </c>
      <c r="E1726" s="42">
        <f>IF($C1726="","",IFERROR(INDEX(DESPACHOS!$K$3:$K$3002,MATCH($C1726,DESPACHOS!$B$3:$B$3002,0)),""))</f>
        <v/>
      </c>
      <c r="F1726" s="42">
        <f>IF($C1726="","",IFERROR(INDEX(DESPACHOS!$I$3:$I$3002,MATCH($C1726,DESPACHOS!$B$3:$B$3002,0)),""))</f>
        <v/>
      </c>
      <c r="G1726" s="42">
        <f>IF($C1726="","",IFERROR(INDEX(DESPACHOS!$F$3:$F$3002,MATCH($C1726,DESPACHOS!$B$3:$B$3002,0)),""))</f>
        <v/>
      </c>
      <c r="H1726" s="42">
        <f>IF($C1726="","",IFERROR(INDEX(DESPACHOS!$G$3:$G$3002,MATCH($C1726,DESPACHOS!$B$3:$B$3002,0)),""))</f>
        <v/>
      </c>
      <c r="I1726" s="39">
        <f>IF($C1726="","",IFERROR(INDEX(DESPACHOS!$H$3:$H$3002,MATCH($C1726,DESPACHOS!$B$3:$B$3002,0)),""))</f>
        <v/>
      </c>
      <c r="J1726" s="43">
        <f>IF($C1726="","",IFERROR(INDEX(DESPACHOS!$J$3:$J$3002,MATCH($C1726,DESPACHOS!$B$3:$B$3002,0)),""))</f>
        <v/>
      </c>
      <c r="K1726" s="39">
        <f>IF($C1726="","",IF(COUNTIFS(DESPACHOS!$B$3:$B$3002,$C1726)=0,"NO EXISTE",IF(COUNTIFS(DESPACHOS!$B$3:$B$3002,$C1726)&gt;1,"DUPLICADO","OK")))</f>
        <v/>
      </c>
      <c r="L1726" s="41" t="n"/>
      <c r="M1726" s="41" t="n"/>
      <c r="N1726" s="42">
        <f>IF($M1726="","",IFERROR(INDEX(LISTAS!$F$3:$F$42,MATCH($M1726,LISTAS!$E$3:$E$42,0)),"Por definir"))</f>
        <v/>
      </c>
      <c r="O1726" s="41" t="n"/>
      <c r="P1726" s="39">
        <f>IF($L1726="","",IFERROR(INDEX(LISTAS!$B$3:$B$42,MATCH($L1726,LISTAS!$A$3:$A$42,0)),"Media"))</f>
        <v/>
      </c>
      <c r="Q1726" s="44" t="n"/>
      <c r="R1726" s="45" t="n"/>
      <c r="S1726" s="20">
        <f>IFERROR(IF(OR($R1726="",$C1726=""),"",$R1726/INDEX(DESPACHOS!$M$3:$M$3002,MATCH($C1726,DESPACHOS!$B$3:$B$3002,0))),"")</f>
        <v/>
      </c>
      <c r="T1726" s="41" t="n"/>
      <c r="U1726" s="43">
        <f>IF(OR($B1726="",$L1726=""),"",WORKDAY($B1726,IFERROR(INDEX(LISTAS!$C$3:$C$42,MATCH($L1726,LISTAS!$A$3:$A$42,0)),3)))</f>
        <v/>
      </c>
      <c r="V1726" s="40" t="n"/>
      <c r="W1726" s="19">
        <f>IF($B1726="","",IF($V1726&lt;&gt;"",$V1726-$B1726,TODAY()-$B1726))</f>
        <v/>
      </c>
      <c r="X1726" s="19">
        <f>IF(OR($B1726="",$U1726=""),"",IF($V1726&lt;&gt;"",MAX(0,$V1726-$U1726),MAX(0,TODAY()-$U1726)))</f>
        <v/>
      </c>
      <c r="Y1726" s="39">
        <f>IF($C1726="","",IF(IFERROR(INDEX(LISTAS!$I$3:$I$42,MATCH($T1726,LISTAS!$H$3:$H$42,0)),"NO")="SÍ",IF(N($X1726)&gt;0,"CERRADA FUERA DE SLA","CERRADA EN SLA"),IF($U1726="","SIN CLASIFICAR",IF(N($X1726)&gt;0,"VENCIDA",IF(TODAY()&gt;=$U1726-1,"POR VENCER","EN PLAZO")))))</f>
        <v/>
      </c>
      <c r="Z1726" s="41" t="n"/>
      <c r="AA1726" s="41" t="n"/>
      <c r="AB1726" s="41" t="n"/>
    </row>
    <row r="1727">
      <c r="A1727" s="39">
        <f>IF($C1727="","","NOV-"&amp;TEXT(ROW()-3,"0000"))</f>
        <v/>
      </c>
      <c r="B1727" s="40" t="n"/>
      <c r="C1727" s="41" t="n"/>
      <c r="D1727" s="42">
        <f>IF($C1727="","",IFERROR(INDEX(DESPACHOS!$D$3:$D$3002,MATCH($C1727,DESPACHOS!$B$3:$B$3002,0)),"SIN DESPACHO"))</f>
        <v/>
      </c>
      <c r="E1727" s="42">
        <f>IF($C1727="","",IFERROR(INDEX(DESPACHOS!$K$3:$K$3002,MATCH($C1727,DESPACHOS!$B$3:$B$3002,0)),""))</f>
        <v/>
      </c>
      <c r="F1727" s="42">
        <f>IF($C1727="","",IFERROR(INDEX(DESPACHOS!$I$3:$I$3002,MATCH($C1727,DESPACHOS!$B$3:$B$3002,0)),""))</f>
        <v/>
      </c>
      <c r="G1727" s="42">
        <f>IF($C1727="","",IFERROR(INDEX(DESPACHOS!$F$3:$F$3002,MATCH($C1727,DESPACHOS!$B$3:$B$3002,0)),""))</f>
        <v/>
      </c>
      <c r="H1727" s="42">
        <f>IF($C1727="","",IFERROR(INDEX(DESPACHOS!$G$3:$G$3002,MATCH($C1727,DESPACHOS!$B$3:$B$3002,0)),""))</f>
        <v/>
      </c>
      <c r="I1727" s="39">
        <f>IF($C1727="","",IFERROR(INDEX(DESPACHOS!$H$3:$H$3002,MATCH($C1727,DESPACHOS!$B$3:$B$3002,0)),""))</f>
        <v/>
      </c>
      <c r="J1727" s="43">
        <f>IF($C1727="","",IFERROR(INDEX(DESPACHOS!$J$3:$J$3002,MATCH($C1727,DESPACHOS!$B$3:$B$3002,0)),""))</f>
        <v/>
      </c>
      <c r="K1727" s="39">
        <f>IF($C1727="","",IF(COUNTIFS(DESPACHOS!$B$3:$B$3002,$C1727)=0,"NO EXISTE",IF(COUNTIFS(DESPACHOS!$B$3:$B$3002,$C1727)&gt;1,"DUPLICADO","OK")))</f>
        <v/>
      </c>
      <c r="L1727" s="41" t="n"/>
      <c r="M1727" s="41" t="n"/>
      <c r="N1727" s="42">
        <f>IF($M1727="","",IFERROR(INDEX(LISTAS!$F$3:$F$42,MATCH($M1727,LISTAS!$E$3:$E$42,0)),"Por definir"))</f>
        <v/>
      </c>
      <c r="O1727" s="41" t="n"/>
      <c r="P1727" s="39">
        <f>IF($L1727="","",IFERROR(INDEX(LISTAS!$B$3:$B$42,MATCH($L1727,LISTAS!$A$3:$A$42,0)),"Media"))</f>
        <v/>
      </c>
      <c r="Q1727" s="44" t="n"/>
      <c r="R1727" s="45" t="n"/>
      <c r="S1727" s="20">
        <f>IFERROR(IF(OR($R1727="",$C1727=""),"",$R1727/INDEX(DESPACHOS!$M$3:$M$3002,MATCH($C1727,DESPACHOS!$B$3:$B$3002,0))),"")</f>
        <v/>
      </c>
      <c r="T1727" s="41" t="n"/>
      <c r="U1727" s="43">
        <f>IF(OR($B1727="",$L1727=""),"",WORKDAY($B1727,IFERROR(INDEX(LISTAS!$C$3:$C$42,MATCH($L1727,LISTAS!$A$3:$A$42,0)),3)))</f>
        <v/>
      </c>
      <c r="V1727" s="40" t="n"/>
      <c r="W1727" s="19">
        <f>IF($B1727="","",IF($V1727&lt;&gt;"",$V1727-$B1727,TODAY()-$B1727))</f>
        <v/>
      </c>
      <c r="X1727" s="19">
        <f>IF(OR($B1727="",$U1727=""),"",IF($V1727&lt;&gt;"",MAX(0,$V1727-$U1727),MAX(0,TODAY()-$U1727)))</f>
        <v/>
      </c>
      <c r="Y1727" s="39">
        <f>IF($C1727="","",IF(IFERROR(INDEX(LISTAS!$I$3:$I$42,MATCH($T1727,LISTAS!$H$3:$H$42,0)),"NO")="SÍ",IF(N($X1727)&gt;0,"CERRADA FUERA DE SLA","CERRADA EN SLA"),IF($U1727="","SIN CLASIFICAR",IF(N($X1727)&gt;0,"VENCIDA",IF(TODAY()&gt;=$U1727-1,"POR VENCER","EN PLAZO")))))</f>
        <v/>
      </c>
      <c r="Z1727" s="41" t="n"/>
      <c r="AA1727" s="41" t="n"/>
      <c r="AB1727" s="41" t="n"/>
    </row>
    <row r="1728">
      <c r="A1728" s="39">
        <f>IF($C1728="","","NOV-"&amp;TEXT(ROW()-3,"0000"))</f>
        <v/>
      </c>
      <c r="B1728" s="40" t="n"/>
      <c r="C1728" s="41" t="n"/>
      <c r="D1728" s="42">
        <f>IF($C1728="","",IFERROR(INDEX(DESPACHOS!$D$3:$D$3002,MATCH($C1728,DESPACHOS!$B$3:$B$3002,0)),"SIN DESPACHO"))</f>
        <v/>
      </c>
      <c r="E1728" s="42">
        <f>IF($C1728="","",IFERROR(INDEX(DESPACHOS!$K$3:$K$3002,MATCH($C1728,DESPACHOS!$B$3:$B$3002,0)),""))</f>
        <v/>
      </c>
      <c r="F1728" s="42">
        <f>IF($C1728="","",IFERROR(INDEX(DESPACHOS!$I$3:$I$3002,MATCH($C1728,DESPACHOS!$B$3:$B$3002,0)),""))</f>
        <v/>
      </c>
      <c r="G1728" s="42">
        <f>IF($C1728="","",IFERROR(INDEX(DESPACHOS!$F$3:$F$3002,MATCH($C1728,DESPACHOS!$B$3:$B$3002,0)),""))</f>
        <v/>
      </c>
      <c r="H1728" s="42">
        <f>IF($C1728="","",IFERROR(INDEX(DESPACHOS!$G$3:$G$3002,MATCH($C1728,DESPACHOS!$B$3:$B$3002,0)),""))</f>
        <v/>
      </c>
      <c r="I1728" s="39">
        <f>IF($C1728="","",IFERROR(INDEX(DESPACHOS!$H$3:$H$3002,MATCH($C1728,DESPACHOS!$B$3:$B$3002,0)),""))</f>
        <v/>
      </c>
      <c r="J1728" s="43">
        <f>IF($C1728="","",IFERROR(INDEX(DESPACHOS!$J$3:$J$3002,MATCH($C1728,DESPACHOS!$B$3:$B$3002,0)),""))</f>
        <v/>
      </c>
      <c r="K1728" s="39">
        <f>IF($C1728="","",IF(COUNTIFS(DESPACHOS!$B$3:$B$3002,$C1728)=0,"NO EXISTE",IF(COUNTIFS(DESPACHOS!$B$3:$B$3002,$C1728)&gt;1,"DUPLICADO","OK")))</f>
        <v/>
      </c>
      <c r="L1728" s="41" t="n"/>
      <c r="M1728" s="41" t="n"/>
      <c r="N1728" s="42">
        <f>IF($M1728="","",IFERROR(INDEX(LISTAS!$F$3:$F$42,MATCH($M1728,LISTAS!$E$3:$E$42,0)),"Por definir"))</f>
        <v/>
      </c>
      <c r="O1728" s="41" t="n"/>
      <c r="P1728" s="39">
        <f>IF($L1728="","",IFERROR(INDEX(LISTAS!$B$3:$B$42,MATCH($L1728,LISTAS!$A$3:$A$42,0)),"Media"))</f>
        <v/>
      </c>
      <c r="Q1728" s="44" t="n"/>
      <c r="R1728" s="45" t="n"/>
      <c r="S1728" s="20">
        <f>IFERROR(IF(OR($R1728="",$C1728=""),"",$R1728/INDEX(DESPACHOS!$M$3:$M$3002,MATCH($C1728,DESPACHOS!$B$3:$B$3002,0))),"")</f>
        <v/>
      </c>
      <c r="T1728" s="41" t="n"/>
      <c r="U1728" s="43">
        <f>IF(OR($B1728="",$L1728=""),"",WORKDAY($B1728,IFERROR(INDEX(LISTAS!$C$3:$C$42,MATCH($L1728,LISTAS!$A$3:$A$42,0)),3)))</f>
        <v/>
      </c>
      <c r="V1728" s="40" t="n"/>
      <c r="W1728" s="19">
        <f>IF($B1728="","",IF($V1728&lt;&gt;"",$V1728-$B1728,TODAY()-$B1728))</f>
        <v/>
      </c>
      <c r="X1728" s="19">
        <f>IF(OR($B1728="",$U1728=""),"",IF($V1728&lt;&gt;"",MAX(0,$V1728-$U1728),MAX(0,TODAY()-$U1728)))</f>
        <v/>
      </c>
      <c r="Y1728" s="39">
        <f>IF($C1728="","",IF(IFERROR(INDEX(LISTAS!$I$3:$I$42,MATCH($T1728,LISTAS!$H$3:$H$42,0)),"NO")="SÍ",IF(N($X1728)&gt;0,"CERRADA FUERA DE SLA","CERRADA EN SLA"),IF($U1728="","SIN CLASIFICAR",IF(N($X1728)&gt;0,"VENCIDA",IF(TODAY()&gt;=$U1728-1,"POR VENCER","EN PLAZO")))))</f>
        <v/>
      </c>
      <c r="Z1728" s="41" t="n"/>
      <c r="AA1728" s="41" t="n"/>
      <c r="AB1728" s="41" t="n"/>
    </row>
    <row r="1729">
      <c r="A1729" s="39">
        <f>IF($C1729="","","NOV-"&amp;TEXT(ROW()-3,"0000"))</f>
        <v/>
      </c>
      <c r="B1729" s="40" t="n"/>
      <c r="C1729" s="41" t="n"/>
      <c r="D1729" s="42">
        <f>IF($C1729="","",IFERROR(INDEX(DESPACHOS!$D$3:$D$3002,MATCH($C1729,DESPACHOS!$B$3:$B$3002,0)),"SIN DESPACHO"))</f>
        <v/>
      </c>
      <c r="E1729" s="42">
        <f>IF($C1729="","",IFERROR(INDEX(DESPACHOS!$K$3:$K$3002,MATCH($C1729,DESPACHOS!$B$3:$B$3002,0)),""))</f>
        <v/>
      </c>
      <c r="F1729" s="42">
        <f>IF($C1729="","",IFERROR(INDEX(DESPACHOS!$I$3:$I$3002,MATCH($C1729,DESPACHOS!$B$3:$B$3002,0)),""))</f>
        <v/>
      </c>
      <c r="G1729" s="42">
        <f>IF($C1729="","",IFERROR(INDEX(DESPACHOS!$F$3:$F$3002,MATCH($C1729,DESPACHOS!$B$3:$B$3002,0)),""))</f>
        <v/>
      </c>
      <c r="H1729" s="42">
        <f>IF($C1729="","",IFERROR(INDEX(DESPACHOS!$G$3:$G$3002,MATCH($C1729,DESPACHOS!$B$3:$B$3002,0)),""))</f>
        <v/>
      </c>
      <c r="I1729" s="39">
        <f>IF($C1729="","",IFERROR(INDEX(DESPACHOS!$H$3:$H$3002,MATCH($C1729,DESPACHOS!$B$3:$B$3002,0)),""))</f>
        <v/>
      </c>
      <c r="J1729" s="43">
        <f>IF($C1729="","",IFERROR(INDEX(DESPACHOS!$J$3:$J$3002,MATCH($C1729,DESPACHOS!$B$3:$B$3002,0)),""))</f>
        <v/>
      </c>
      <c r="K1729" s="39">
        <f>IF($C1729="","",IF(COUNTIFS(DESPACHOS!$B$3:$B$3002,$C1729)=0,"NO EXISTE",IF(COUNTIFS(DESPACHOS!$B$3:$B$3002,$C1729)&gt;1,"DUPLICADO","OK")))</f>
        <v/>
      </c>
      <c r="L1729" s="41" t="n"/>
      <c r="M1729" s="41" t="n"/>
      <c r="N1729" s="42">
        <f>IF($M1729="","",IFERROR(INDEX(LISTAS!$F$3:$F$42,MATCH($M1729,LISTAS!$E$3:$E$42,0)),"Por definir"))</f>
        <v/>
      </c>
      <c r="O1729" s="41" t="n"/>
      <c r="P1729" s="39">
        <f>IF($L1729="","",IFERROR(INDEX(LISTAS!$B$3:$B$42,MATCH($L1729,LISTAS!$A$3:$A$42,0)),"Media"))</f>
        <v/>
      </c>
      <c r="Q1729" s="44" t="n"/>
      <c r="R1729" s="45" t="n"/>
      <c r="S1729" s="20">
        <f>IFERROR(IF(OR($R1729="",$C1729=""),"",$R1729/INDEX(DESPACHOS!$M$3:$M$3002,MATCH($C1729,DESPACHOS!$B$3:$B$3002,0))),"")</f>
        <v/>
      </c>
      <c r="T1729" s="41" t="n"/>
      <c r="U1729" s="43">
        <f>IF(OR($B1729="",$L1729=""),"",WORKDAY($B1729,IFERROR(INDEX(LISTAS!$C$3:$C$42,MATCH($L1729,LISTAS!$A$3:$A$42,0)),3)))</f>
        <v/>
      </c>
      <c r="V1729" s="40" t="n"/>
      <c r="W1729" s="19">
        <f>IF($B1729="","",IF($V1729&lt;&gt;"",$V1729-$B1729,TODAY()-$B1729))</f>
        <v/>
      </c>
      <c r="X1729" s="19">
        <f>IF(OR($B1729="",$U1729=""),"",IF($V1729&lt;&gt;"",MAX(0,$V1729-$U1729),MAX(0,TODAY()-$U1729)))</f>
        <v/>
      </c>
      <c r="Y1729" s="39">
        <f>IF($C1729="","",IF(IFERROR(INDEX(LISTAS!$I$3:$I$42,MATCH($T1729,LISTAS!$H$3:$H$42,0)),"NO")="SÍ",IF(N($X1729)&gt;0,"CERRADA FUERA DE SLA","CERRADA EN SLA"),IF($U1729="","SIN CLASIFICAR",IF(N($X1729)&gt;0,"VENCIDA",IF(TODAY()&gt;=$U1729-1,"POR VENCER","EN PLAZO")))))</f>
        <v/>
      </c>
      <c r="Z1729" s="41" t="n"/>
      <c r="AA1729" s="41" t="n"/>
      <c r="AB1729" s="41" t="n"/>
    </row>
    <row r="1730">
      <c r="A1730" s="39">
        <f>IF($C1730="","","NOV-"&amp;TEXT(ROW()-3,"0000"))</f>
        <v/>
      </c>
      <c r="B1730" s="40" t="n"/>
      <c r="C1730" s="41" t="n"/>
      <c r="D1730" s="42">
        <f>IF($C1730="","",IFERROR(INDEX(DESPACHOS!$D$3:$D$3002,MATCH($C1730,DESPACHOS!$B$3:$B$3002,0)),"SIN DESPACHO"))</f>
        <v/>
      </c>
      <c r="E1730" s="42">
        <f>IF($C1730="","",IFERROR(INDEX(DESPACHOS!$K$3:$K$3002,MATCH($C1730,DESPACHOS!$B$3:$B$3002,0)),""))</f>
        <v/>
      </c>
      <c r="F1730" s="42">
        <f>IF($C1730="","",IFERROR(INDEX(DESPACHOS!$I$3:$I$3002,MATCH($C1730,DESPACHOS!$B$3:$B$3002,0)),""))</f>
        <v/>
      </c>
      <c r="G1730" s="42">
        <f>IF($C1730="","",IFERROR(INDEX(DESPACHOS!$F$3:$F$3002,MATCH($C1730,DESPACHOS!$B$3:$B$3002,0)),""))</f>
        <v/>
      </c>
      <c r="H1730" s="42">
        <f>IF($C1730="","",IFERROR(INDEX(DESPACHOS!$G$3:$G$3002,MATCH($C1730,DESPACHOS!$B$3:$B$3002,0)),""))</f>
        <v/>
      </c>
      <c r="I1730" s="39">
        <f>IF($C1730="","",IFERROR(INDEX(DESPACHOS!$H$3:$H$3002,MATCH($C1730,DESPACHOS!$B$3:$B$3002,0)),""))</f>
        <v/>
      </c>
      <c r="J1730" s="43">
        <f>IF($C1730="","",IFERROR(INDEX(DESPACHOS!$J$3:$J$3002,MATCH($C1730,DESPACHOS!$B$3:$B$3002,0)),""))</f>
        <v/>
      </c>
      <c r="K1730" s="39">
        <f>IF($C1730="","",IF(COUNTIFS(DESPACHOS!$B$3:$B$3002,$C1730)=0,"NO EXISTE",IF(COUNTIFS(DESPACHOS!$B$3:$B$3002,$C1730)&gt;1,"DUPLICADO","OK")))</f>
        <v/>
      </c>
      <c r="L1730" s="41" t="n"/>
      <c r="M1730" s="41" t="n"/>
      <c r="N1730" s="42">
        <f>IF($M1730="","",IFERROR(INDEX(LISTAS!$F$3:$F$42,MATCH($M1730,LISTAS!$E$3:$E$42,0)),"Por definir"))</f>
        <v/>
      </c>
      <c r="O1730" s="41" t="n"/>
      <c r="P1730" s="39">
        <f>IF($L1730="","",IFERROR(INDEX(LISTAS!$B$3:$B$42,MATCH($L1730,LISTAS!$A$3:$A$42,0)),"Media"))</f>
        <v/>
      </c>
      <c r="Q1730" s="44" t="n"/>
      <c r="R1730" s="45" t="n"/>
      <c r="S1730" s="20">
        <f>IFERROR(IF(OR($R1730="",$C1730=""),"",$R1730/INDEX(DESPACHOS!$M$3:$M$3002,MATCH($C1730,DESPACHOS!$B$3:$B$3002,0))),"")</f>
        <v/>
      </c>
      <c r="T1730" s="41" t="n"/>
      <c r="U1730" s="43">
        <f>IF(OR($B1730="",$L1730=""),"",WORKDAY($B1730,IFERROR(INDEX(LISTAS!$C$3:$C$42,MATCH($L1730,LISTAS!$A$3:$A$42,0)),3)))</f>
        <v/>
      </c>
      <c r="V1730" s="40" t="n"/>
      <c r="W1730" s="19">
        <f>IF($B1730="","",IF($V1730&lt;&gt;"",$V1730-$B1730,TODAY()-$B1730))</f>
        <v/>
      </c>
      <c r="X1730" s="19">
        <f>IF(OR($B1730="",$U1730=""),"",IF($V1730&lt;&gt;"",MAX(0,$V1730-$U1730),MAX(0,TODAY()-$U1730)))</f>
        <v/>
      </c>
      <c r="Y1730" s="39">
        <f>IF($C1730="","",IF(IFERROR(INDEX(LISTAS!$I$3:$I$42,MATCH($T1730,LISTAS!$H$3:$H$42,0)),"NO")="SÍ",IF(N($X1730)&gt;0,"CERRADA FUERA DE SLA","CERRADA EN SLA"),IF($U1730="","SIN CLASIFICAR",IF(N($X1730)&gt;0,"VENCIDA",IF(TODAY()&gt;=$U1730-1,"POR VENCER","EN PLAZO")))))</f>
        <v/>
      </c>
      <c r="Z1730" s="41" t="n"/>
      <c r="AA1730" s="41" t="n"/>
      <c r="AB1730" s="41" t="n"/>
    </row>
    <row r="1731">
      <c r="A1731" s="39">
        <f>IF($C1731="","","NOV-"&amp;TEXT(ROW()-3,"0000"))</f>
        <v/>
      </c>
      <c r="B1731" s="40" t="n"/>
      <c r="C1731" s="41" t="n"/>
      <c r="D1731" s="42">
        <f>IF($C1731="","",IFERROR(INDEX(DESPACHOS!$D$3:$D$3002,MATCH($C1731,DESPACHOS!$B$3:$B$3002,0)),"SIN DESPACHO"))</f>
        <v/>
      </c>
      <c r="E1731" s="42">
        <f>IF($C1731="","",IFERROR(INDEX(DESPACHOS!$K$3:$K$3002,MATCH($C1731,DESPACHOS!$B$3:$B$3002,0)),""))</f>
        <v/>
      </c>
      <c r="F1731" s="42">
        <f>IF($C1731="","",IFERROR(INDEX(DESPACHOS!$I$3:$I$3002,MATCH($C1731,DESPACHOS!$B$3:$B$3002,0)),""))</f>
        <v/>
      </c>
      <c r="G1731" s="42">
        <f>IF($C1731="","",IFERROR(INDEX(DESPACHOS!$F$3:$F$3002,MATCH($C1731,DESPACHOS!$B$3:$B$3002,0)),""))</f>
        <v/>
      </c>
      <c r="H1731" s="42">
        <f>IF($C1731="","",IFERROR(INDEX(DESPACHOS!$G$3:$G$3002,MATCH($C1731,DESPACHOS!$B$3:$B$3002,0)),""))</f>
        <v/>
      </c>
      <c r="I1731" s="39">
        <f>IF($C1731="","",IFERROR(INDEX(DESPACHOS!$H$3:$H$3002,MATCH($C1731,DESPACHOS!$B$3:$B$3002,0)),""))</f>
        <v/>
      </c>
      <c r="J1731" s="43">
        <f>IF($C1731="","",IFERROR(INDEX(DESPACHOS!$J$3:$J$3002,MATCH($C1731,DESPACHOS!$B$3:$B$3002,0)),""))</f>
        <v/>
      </c>
      <c r="K1731" s="39">
        <f>IF($C1731="","",IF(COUNTIFS(DESPACHOS!$B$3:$B$3002,$C1731)=0,"NO EXISTE",IF(COUNTIFS(DESPACHOS!$B$3:$B$3002,$C1731)&gt;1,"DUPLICADO","OK")))</f>
        <v/>
      </c>
      <c r="L1731" s="41" t="n"/>
      <c r="M1731" s="41" t="n"/>
      <c r="N1731" s="42">
        <f>IF($M1731="","",IFERROR(INDEX(LISTAS!$F$3:$F$42,MATCH($M1731,LISTAS!$E$3:$E$42,0)),"Por definir"))</f>
        <v/>
      </c>
      <c r="O1731" s="41" t="n"/>
      <c r="P1731" s="39">
        <f>IF($L1731="","",IFERROR(INDEX(LISTAS!$B$3:$B$42,MATCH($L1731,LISTAS!$A$3:$A$42,0)),"Media"))</f>
        <v/>
      </c>
      <c r="Q1731" s="44" t="n"/>
      <c r="R1731" s="45" t="n"/>
      <c r="S1731" s="20">
        <f>IFERROR(IF(OR($R1731="",$C1731=""),"",$R1731/INDEX(DESPACHOS!$M$3:$M$3002,MATCH($C1731,DESPACHOS!$B$3:$B$3002,0))),"")</f>
        <v/>
      </c>
      <c r="T1731" s="41" t="n"/>
      <c r="U1731" s="43">
        <f>IF(OR($B1731="",$L1731=""),"",WORKDAY($B1731,IFERROR(INDEX(LISTAS!$C$3:$C$42,MATCH($L1731,LISTAS!$A$3:$A$42,0)),3)))</f>
        <v/>
      </c>
      <c r="V1731" s="40" t="n"/>
      <c r="W1731" s="19">
        <f>IF($B1731="","",IF($V1731&lt;&gt;"",$V1731-$B1731,TODAY()-$B1731))</f>
        <v/>
      </c>
      <c r="X1731" s="19">
        <f>IF(OR($B1731="",$U1731=""),"",IF($V1731&lt;&gt;"",MAX(0,$V1731-$U1731),MAX(0,TODAY()-$U1731)))</f>
        <v/>
      </c>
      <c r="Y1731" s="39">
        <f>IF($C1731="","",IF(IFERROR(INDEX(LISTAS!$I$3:$I$42,MATCH($T1731,LISTAS!$H$3:$H$42,0)),"NO")="SÍ",IF(N($X1731)&gt;0,"CERRADA FUERA DE SLA","CERRADA EN SLA"),IF($U1731="","SIN CLASIFICAR",IF(N($X1731)&gt;0,"VENCIDA",IF(TODAY()&gt;=$U1731-1,"POR VENCER","EN PLAZO")))))</f>
        <v/>
      </c>
      <c r="Z1731" s="41" t="n"/>
      <c r="AA1731" s="41" t="n"/>
      <c r="AB1731" s="41" t="n"/>
    </row>
    <row r="1732">
      <c r="A1732" s="39">
        <f>IF($C1732="","","NOV-"&amp;TEXT(ROW()-3,"0000"))</f>
        <v/>
      </c>
      <c r="B1732" s="40" t="n"/>
      <c r="C1732" s="41" t="n"/>
      <c r="D1732" s="42">
        <f>IF($C1732="","",IFERROR(INDEX(DESPACHOS!$D$3:$D$3002,MATCH($C1732,DESPACHOS!$B$3:$B$3002,0)),"SIN DESPACHO"))</f>
        <v/>
      </c>
      <c r="E1732" s="42">
        <f>IF($C1732="","",IFERROR(INDEX(DESPACHOS!$K$3:$K$3002,MATCH($C1732,DESPACHOS!$B$3:$B$3002,0)),""))</f>
        <v/>
      </c>
      <c r="F1732" s="42">
        <f>IF($C1732="","",IFERROR(INDEX(DESPACHOS!$I$3:$I$3002,MATCH($C1732,DESPACHOS!$B$3:$B$3002,0)),""))</f>
        <v/>
      </c>
      <c r="G1732" s="42">
        <f>IF($C1732="","",IFERROR(INDEX(DESPACHOS!$F$3:$F$3002,MATCH($C1732,DESPACHOS!$B$3:$B$3002,0)),""))</f>
        <v/>
      </c>
      <c r="H1732" s="42">
        <f>IF($C1732="","",IFERROR(INDEX(DESPACHOS!$G$3:$G$3002,MATCH($C1732,DESPACHOS!$B$3:$B$3002,0)),""))</f>
        <v/>
      </c>
      <c r="I1732" s="39">
        <f>IF($C1732="","",IFERROR(INDEX(DESPACHOS!$H$3:$H$3002,MATCH($C1732,DESPACHOS!$B$3:$B$3002,0)),""))</f>
        <v/>
      </c>
      <c r="J1732" s="43">
        <f>IF($C1732="","",IFERROR(INDEX(DESPACHOS!$J$3:$J$3002,MATCH($C1732,DESPACHOS!$B$3:$B$3002,0)),""))</f>
        <v/>
      </c>
      <c r="K1732" s="39">
        <f>IF($C1732="","",IF(COUNTIFS(DESPACHOS!$B$3:$B$3002,$C1732)=0,"NO EXISTE",IF(COUNTIFS(DESPACHOS!$B$3:$B$3002,$C1732)&gt;1,"DUPLICADO","OK")))</f>
        <v/>
      </c>
      <c r="L1732" s="41" t="n"/>
      <c r="M1732" s="41" t="n"/>
      <c r="N1732" s="42">
        <f>IF($M1732="","",IFERROR(INDEX(LISTAS!$F$3:$F$42,MATCH($M1732,LISTAS!$E$3:$E$42,0)),"Por definir"))</f>
        <v/>
      </c>
      <c r="O1732" s="41" t="n"/>
      <c r="P1732" s="39">
        <f>IF($L1732="","",IFERROR(INDEX(LISTAS!$B$3:$B$42,MATCH($L1732,LISTAS!$A$3:$A$42,0)),"Media"))</f>
        <v/>
      </c>
      <c r="Q1732" s="44" t="n"/>
      <c r="R1732" s="45" t="n"/>
      <c r="S1732" s="20">
        <f>IFERROR(IF(OR($R1732="",$C1732=""),"",$R1732/INDEX(DESPACHOS!$M$3:$M$3002,MATCH($C1732,DESPACHOS!$B$3:$B$3002,0))),"")</f>
        <v/>
      </c>
      <c r="T1732" s="41" t="n"/>
      <c r="U1732" s="43">
        <f>IF(OR($B1732="",$L1732=""),"",WORKDAY($B1732,IFERROR(INDEX(LISTAS!$C$3:$C$42,MATCH($L1732,LISTAS!$A$3:$A$42,0)),3)))</f>
        <v/>
      </c>
      <c r="V1732" s="40" t="n"/>
      <c r="W1732" s="19">
        <f>IF($B1732="","",IF($V1732&lt;&gt;"",$V1732-$B1732,TODAY()-$B1732))</f>
        <v/>
      </c>
      <c r="X1732" s="19">
        <f>IF(OR($B1732="",$U1732=""),"",IF($V1732&lt;&gt;"",MAX(0,$V1732-$U1732),MAX(0,TODAY()-$U1732)))</f>
        <v/>
      </c>
      <c r="Y1732" s="39">
        <f>IF($C1732="","",IF(IFERROR(INDEX(LISTAS!$I$3:$I$42,MATCH($T1732,LISTAS!$H$3:$H$42,0)),"NO")="SÍ",IF(N($X1732)&gt;0,"CERRADA FUERA DE SLA","CERRADA EN SLA"),IF($U1732="","SIN CLASIFICAR",IF(N($X1732)&gt;0,"VENCIDA",IF(TODAY()&gt;=$U1732-1,"POR VENCER","EN PLAZO")))))</f>
        <v/>
      </c>
      <c r="Z1732" s="41" t="n"/>
      <c r="AA1732" s="41" t="n"/>
      <c r="AB1732" s="41" t="n"/>
    </row>
    <row r="1733">
      <c r="A1733" s="39">
        <f>IF($C1733="","","NOV-"&amp;TEXT(ROW()-3,"0000"))</f>
        <v/>
      </c>
      <c r="B1733" s="40" t="n"/>
      <c r="C1733" s="41" t="n"/>
      <c r="D1733" s="42">
        <f>IF($C1733="","",IFERROR(INDEX(DESPACHOS!$D$3:$D$3002,MATCH($C1733,DESPACHOS!$B$3:$B$3002,0)),"SIN DESPACHO"))</f>
        <v/>
      </c>
      <c r="E1733" s="42">
        <f>IF($C1733="","",IFERROR(INDEX(DESPACHOS!$K$3:$K$3002,MATCH($C1733,DESPACHOS!$B$3:$B$3002,0)),""))</f>
        <v/>
      </c>
      <c r="F1733" s="42">
        <f>IF($C1733="","",IFERROR(INDEX(DESPACHOS!$I$3:$I$3002,MATCH($C1733,DESPACHOS!$B$3:$B$3002,0)),""))</f>
        <v/>
      </c>
      <c r="G1733" s="42">
        <f>IF($C1733="","",IFERROR(INDEX(DESPACHOS!$F$3:$F$3002,MATCH($C1733,DESPACHOS!$B$3:$B$3002,0)),""))</f>
        <v/>
      </c>
      <c r="H1733" s="42">
        <f>IF($C1733="","",IFERROR(INDEX(DESPACHOS!$G$3:$G$3002,MATCH($C1733,DESPACHOS!$B$3:$B$3002,0)),""))</f>
        <v/>
      </c>
      <c r="I1733" s="39">
        <f>IF($C1733="","",IFERROR(INDEX(DESPACHOS!$H$3:$H$3002,MATCH($C1733,DESPACHOS!$B$3:$B$3002,0)),""))</f>
        <v/>
      </c>
      <c r="J1733" s="43">
        <f>IF($C1733="","",IFERROR(INDEX(DESPACHOS!$J$3:$J$3002,MATCH($C1733,DESPACHOS!$B$3:$B$3002,0)),""))</f>
        <v/>
      </c>
      <c r="K1733" s="39">
        <f>IF($C1733="","",IF(COUNTIFS(DESPACHOS!$B$3:$B$3002,$C1733)=0,"NO EXISTE",IF(COUNTIFS(DESPACHOS!$B$3:$B$3002,$C1733)&gt;1,"DUPLICADO","OK")))</f>
        <v/>
      </c>
      <c r="L1733" s="41" t="n"/>
      <c r="M1733" s="41" t="n"/>
      <c r="N1733" s="42">
        <f>IF($M1733="","",IFERROR(INDEX(LISTAS!$F$3:$F$42,MATCH($M1733,LISTAS!$E$3:$E$42,0)),"Por definir"))</f>
        <v/>
      </c>
      <c r="O1733" s="41" t="n"/>
      <c r="P1733" s="39">
        <f>IF($L1733="","",IFERROR(INDEX(LISTAS!$B$3:$B$42,MATCH($L1733,LISTAS!$A$3:$A$42,0)),"Media"))</f>
        <v/>
      </c>
      <c r="Q1733" s="44" t="n"/>
      <c r="R1733" s="45" t="n"/>
      <c r="S1733" s="20">
        <f>IFERROR(IF(OR($R1733="",$C1733=""),"",$R1733/INDEX(DESPACHOS!$M$3:$M$3002,MATCH($C1733,DESPACHOS!$B$3:$B$3002,0))),"")</f>
        <v/>
      </c>
      <c r="T1733" s="41" t="n"/>
      <c r="U1733" s="43">
        <f>IF(OR($B1733="",$L1733=""),"",WORKDAY($B1733,IFERROR(INDEX(LISTAS!$C$3:$C$42,MATCH($L1733,LISTAS!$A$3:$A$42,0)),3)))</f>
        <v/>
      </c>
      <c r="V1733" s="40" t="n"/>
      <c r="W1733" s="19">
        <f>IF($B1733="","",IF($V1733&lt;&gt;"",$V1733-$B1733,TODAY()-$B1733))</f>
        <v/>
      </c>
      <c r="X1733" s="19">
        <f>IF(OR($B1733="",$U1733=""),"",IF($V1733&lt;&gt;"",MAX(0,$V1733-$U1733),MAX(0,TODAY()-$U1733)))</f>
        <v/>
      </c>
      <c r="Y1733" s="39">
        <f>IF($C1733="","",IF(IFERROR(INDEX(LISTAS!$I$3:$I$42,MATCH($T1733,LISTAS!$H$3:$H$42,0)),"NO")="SÍ",IF(N($X1733)&gt;0,"CERRADA FUERA DE SLA","CERRADA EN SLA"),IF($U1733="","SIN CLASIFICAR",IF(N($X1733)&gt;0,"VENCIDA",IF(TODAY()&gt;=$U1733-1,"POR VENCER","EN PLAZO")))))</f>
        <v/>
      </c>
      <c r="Z1733" s="41" t="n"/>
      <c r="AA1733" s="41" t="n"/>
      <c r="AB1733" s="41" t="n"/>
    </row>
    <row r="1734">
      <c r="A1734" s="39">
        <f>IF($C1734="","","NOV-"&amp;TEXT(ROW()-3,"0000"))</f>
        <v/>
      </c>
      <c r="B1734" s="40" t="n"/>
      <c r="C1734" s="41" t="n"/>
      <c r="D1734" s="42">
        <f>IF($C1734="","",IFERROR(INDEX(DESPACHOS!$D$3:$D$3002,MATCH($C1734,DESPACHOS!$B$3:$B$3002,0)),"SIN DESPACHO"))</f>
        <v/>
      </c>
      <c r="E1734" s="42">
        <f>IF($C1734="","",IFERROR(INDEX(DESPACHOS!$K$3:$K$3002,MATCH($C1734,DESPACHOS!$B$3:$B$3002,0)),""))</f>
        <v/>
      </c>
      <c r="F1734" s="42">
        <f>IF($C1734="","",IFERROR(INDEX(DESPACHOS!$I$3:$I$3002,MATCH($C1734,DESPACHOS!$B$3:$B$3002,0)),""))</f>
        <v/>
      </c>
      <c r="G1734" s="42">
        <f>IF($C1734="","",IFERROR(INDEX(DESPACHOS!$F$3:$F$3002,MATCH($C1734,DESPACHOS!$B$3:$B$3002,0)),""))</f>
        <v/>
      </c>
      <c r="H1734" s="42">
        <f>IF($C1734="","",IFERROR(INDEX(DESPACHOS!$G$3:$G$3002,MATCH($C1734,DESPACHOS!$B$3:$B$3002,0)),""))</f>
        <v/>
      </c>
      <c r="I1734" s="39">
        <f>IF($C1734="","",IFERROR(INDEX(DESPACHOS!$H$3:$H$3002,MATCH($C1734,DESPACHOS!$B$3:$B$3002,0)),""))</f>
        <v/>
      </c>
      <c r="J1734" s="43">
        <f>IF($C1734="","",IFERROR(INDEX(DESPACHOS!$J$3:$J$3002,MATCH($C1734,DESPACHOS!$B$3:$B$3002,0)),""))</f>
        <v/>
      </c>
      <c r="K1734" s="39">
        <f>IF($C1734="","",IF(COUNTIFS(DESPACHOS!$B$3:$B$3002,$C1734)=0,"NO EXISTE",IF(COUNTIFS(DESPACHOS!$B$3:$B$3002,$C1734)&gt;1,"DUPLICADO","OK")))</f>
        <v/>
      </c>
      <c r="L1734" s="41" t="n"/>
      <c r="M1734" s="41" t="n"/>
      <c r="N1734" s="42">
        <f>IF($M1734="","",IFERROR(INDEX(LISTAS!$F$3:$F$42,MATCH($M1734,LISTAS!$E$3:$E$42,0)),"Por definir"))</f>
        <v/>
      </c>
      <c r="O1734" s="41" t="n"/>
      <c r="P1734" s="39">
        <f>IF($L1734="","",IFERROR(INDEX(LISTAS!$B$3:$B$42,MATCH($L1734,LISTAS!$A$3:$A$42,0)),"Media"))</f>
        <v/>
      </c>
      <c r="Q1734" s="44" t="n"/>
      <c r="R1734" s="45" t="n"/>
      <c r="S1734" s="20">
        <f>IFERROR(IF(OR($R1734="",$C1734=""),"",$R1734/INDEX(DESPACHOS!$M$3:$M$3002,MATCH($C1734,DESPACHOS!$B$3:$B$3002,0))),"")</f>
        <v/>
      </c>
      <c r="T1734" s="41" t="n"/>
      <c r="U1734" s="43">
        <f>IF(OR($B1734="",$L1734=""),"",WORKDAY($B1734,IFERROR(INDEX(LISTAS!$C$3:$C$42,MATCH($L1734,LISTAS!$A$3:$A$42,0)),3)))</f>
        <v/>
      </c>
      <c r="V1734" s="40" t="n"/>
      <c r="W1734" s="19">
        <f>IF($B1734="","",IF($V1734&lt;&gt;"",$V1734-$B1734,TODAY()-$B1734))</f>
        <v/>
      </c>
      <c r="X1734" s="19">
        <f>IF(OR($B1734="",$U1734=""),"",IF($V1734&lt;&gt;"",MAX(0,$V1734-$U1734),MAX(0,TODAY()-$U1734)))</f>
        <v/>
      </c>
      <c r="Y1734" s="39">
        <f>IF($C1734="","",IF(IFERROR(INDEX(LISTAS!$I$3:$I$42,MATCH($T1734,LISTAS!$H$3:$H$42,0)),"NO")="SÍ",IF(N($X1734)&gt;0,"CERRADA FUERA DE SLA","CERRADA EN SLA"),IF($U1734="","SIN CLASIFICAR",IF(N($X1734)&gt;0,"VENCIDA",IF(TODAY()&gt;=$U1734-1,"POR VENCER","EN PLAZO")))))</f>
        <v/>
      </c>
      <c r="Z1734" s="41" t="n"/>
      <c r="AA1734" s="41" t="n"/>
      <c r="AB1734" s="41" t="n"/>
    </row>
    <row r="1735">
      <c r="A1735" s="39">
        <f>IF($C1735="","","NOV-"&amp;TEXT(ROW()-3,"0000"))</f>
        <v/>
      </c>
      <c r="B1735" s="40" t="n"/>
      <c r="C1735" s="41" t="n"/>
      <c r="D1735" s="42">
        <f>IF($C1735="","",IFERROR(INDEX(DESPACHOS!$D$3:$D$3002,MATCH($C1735,DESPACHOS!$B$3:$B$3002,0)),"SIN DESPACHO"))</f>
        <v/>
      </c>
      <c r="E1735" s="42">
        <f>IF($C1735="","",IFERROR(INDEX(DESPACHOS!$K$3:$K$3002,MATCH($C1735,DESPACHOS!$B$3:$B$3002,0)),""))</f>
        <v/>
      </c>
      <c r="F1735" s="42">
        <f>IF($C1735="","",IFERROR(INDEX(DESPACHOS!$I$3:$I$3002,MATCH($C1735,DESPACHOS!$B$3:$B$3002,0)),""))</f>
        <v/>
      </c>
      <c r="G1735" s="42">
        <f>IF($C1735="","",IFERROR(INDEX(DESPACHOS!$F$3:$F$3002,MATCH($C1735,DESPACHOS!$B$3:$B$3002,0)),""))</f>
        <v/>
      </c>
      <c r="H1735" s="42">
        <f>IF($C1735="","",IFERROR(INDEX(DESPACHOS!$G$3:$G$3002,MATCH($C1735,DESPACHOS!$B$3:$B$3002,0)),""))</f>
        <v/>
      </c>
      <c r="I1735" s="39">
        <f>IF($C1735="","",IFERROR(INDEX(DESPACHOS!$H$3:$H$3002,MATCH($C1735,DESPACHOS!$B$3:$B$3002,0)),""))</f>
        <v/>
      </c>
      <c r="J1735" s="43">
        <f>IF($C1735="","",IFERROR(INDEX(DESPACHOS!$J$3:$J$3002,MATCH($C1735,DESPACHOS!$B$3:$B$3002,0)),""))</f>
        <v/>
      </c>
      <c r="K1735" s="39">
        <f>IF($C1735="","",IF(COUNTIFS(DESPACHOS!$B$3:$B$3002,$C1735)=0,"NO EXISTE",IF(COUNTIFS(DESPACHOS!$B$3:$B$3002,$C1735)&gt;1,"DUPLICADO","OK")))</f>
        <v/>
      </c>
      <c r="L1735" s="41" t="n"/>
      <c r="M1735" s="41" t="n"/>
      <c r="N1735" s="42">
        <f>IF($M1735="","",IFERROR(INDEX(LISTAS!$F$3:$F$42,MATCH($M1735,LISTAS!$E$3:$E$42,0)),"Por definir"))</f>
        <v/>
      </c>
      <c r="O1735" s="41" t="n"/>
      <c r="P1735" s="39">
        <f>IF($L1735="","",IFERROR(INDEX(LISTAS!$B$3:$B$42,MATCH($L1735,LISTAS!$A$3:$A$42,0)),"Media"))</f>
        <v/>
      </c>
      <c r="Q1735" s="44" t="n"/>
      <c r="R1735" s="45" t="n"/>
      <c r="S1735" s="20">
        <f>IFERROR(IF(OR($R1735="",$C1735=""),"",$R1735/INDEX(DESPACHOS!$M$3:$M$3002,MATCH($C1735,DESPACHOS!$B$3:$B$3002,0))),"")</f>
        <v/>
      </c>
      <c r="T1735" s="41" t="n"/>
      <c r="U1735" s="43">
        <f>IF(OR($B1735="",$L1735=""),"",WORKDAY($B1735,IFERROR(INDEX(LISTAS!$C$3:$C$42,MATCH($L1735,LISTAS!$A$3:$A$42,0)),3)))</f>
        <v/>
      </c>
      <c r="V1735" s="40" t="n"/>
      <c r="W1735" s="19">
        <f>IF($B1735="","",IF($V1735&lt;&gt;"",$V1735-$B1735,TODAY()-$B1735))</f>
        <v/>
      </c>
      <c r="X1735" s="19">
        <f>IF(OR($B1735="",$U1735=""),"",IF($V1735&lt;&gt;"",MAX(0,$V1735-$U1735),MAX(0,TODAY()-$U1735)))</f>
        <v/>
      </c>
      <c r="Y1735" s="39">
        <f>IF($C1735="","",IF(IFERROR(INDEX(LISTAS!$I$3:$I$42,MATCH($T1735,LISTAS!$H$3:$H$42,0)),"NO")="SÍ",IF(N($X1735)&gt;0,"CERRADA FUERA DE SLA","CERRADA EN SLA"),IF($U1735="","SIN CLASIFICAR",IF(N($X1735)&gt;0,"VENCIDA",IF(TODAY()&gt;=$U1735-1,"POR VENCER","EN PLAZO")))))</f>
        <v/>
      </c>
      <c r="Z1735" s="41" t="n"/>
      <c r="AA1735" s="41" t="n"/>
      <c r="AB1735" s="41" t="n"/>
    </row>
    <row r="1736">
      <c r="A1736" s="39">
        <f>IF($C1736="","","NOV-"&amp;TEXT(ROW()-3,"0000"))</f>
        <v/>
      </c>
      <c r="B1736" s="40" t="n"/>
      <c r="C1736" s="41" t="n"/>
      <c r="D1736" s="42">
        <f>IF($C1736="","",IFERROR(INDEX(DESPACHOS!$D$3:$D$3002,MATCH($C1736,DESPACHOS!$B$3:$B$3002,0)),"SIN DESPACHO"))</f>
        <v/>
      </c>
      <c r="E1736" s="42">
        <f>IF($C1736="","",IFERROR(INDEX(DESPACHOS!$K$3:$K$3002,MATCH($C1736,DESPACHOS!$B$3:$B$3002,0)),""))</f>
        <v/>
      </c>
      <c r="F1736" s="42">
        <f>IF($C1736="","",IFERROR(INDEX(DESPACHOS!$I$3:$I$3002,MATCH($C1736,DESPACHOS!$B$3:$B$3002,0)),""))</f>
        <v/>
      </c>
      <c r="G1736" s="42">
        <f>IF($C1736="","",IFERROR(INDEX(DESPACHOS!$F$3:$F$3002,MATCH($C1736,DESPACHOS!$B$3:$B$3002,0)),""))</f>
        <v/>
      </c>
      <c r="H1736" s="42">
        <f>IF($C1736="","",IFERROR(INDEX(DESPACHOS!$G$3:$G$3002,MATCH($C1736,DESPACHOS!$B$3:$B$3002,0)),""))</f>
        <v/>
      </c>
      <c r="I1736" s="39">
        <f>IF($C1736="","",IFERROR(INDEX(DESPACHOS!$H$3:$H$3002,MATCH($C1736,DESPACHOS!$B$3:$B$3002,0)),""))</f>
        <v/>
      </c>
      <c r="J1736" s="43">
        <f>IF($C1736="","",IFERROR(INDEX(DESPACHOS!$J$3:$J$3002,MATCH($C1736,DESPACHOS!$B$3:$B$3002,0)),""))</f>
        <v/>
      </c>
      <c r="K1736" s="39">
        <f>IF($C1736="","",IF(COUNTIFS(DESPACHOS!$B$3:$B$3002,$C1736)=0,"NO EXISTE",IF(COUNTIFS(DESPACHOS!$B$3:$B$3002,$C1736)&gt;1,"DUPLICADO","OK")))</f>
        <v/>
      </c>
      <c r="L1736" s="41" t="n"/>
      <c r="M1736" s="41" t="n"/>
      <c r="N1736" s="42">
        <f>IF($M1736="","",IFERROR(INDEX(LISTAS!$F$3:$F$42,MATCH($M1736,LISTAS!$E$3:$E$42,0)),"Por definir"))</f>
        <v/>
      </c>
      <c r="O1736" s="41" t="n"/>
      <c r="P1736" s="39">
        <f>IF($L1736="","",IFERROR(INDEX(LISTAS!$B$3:$B$42,MATCH($L1736,LISTAS!$A$3:$A$42,0)),"Media"))</f>
        <v/>
      </c>
      <c r="Q1736" s="44" t="n"/>
      <c r="R1736" s="45" t="n"/>
      <c r="S1736" s="20">
        <f>IFERROR(IF(OR($R1736="",$C1736=""),"",$R1736/INDEX(DESPACHOS!$M$3:$M$3002,MATCH($C1736,DESPACHOS!$B$3:$B$3002,0))),"")</f>
        <v/>
      </c>
      <c r="T1736" s="41" t="n"/>
      <c r="U1736" s="43">
        <f>IF(OR($B1736="",$L1736=""),"",WORKDAY($B1736,IFERROR(INDEX(LISTAS!$C$3:$C$42,MATCH($L1736,LISTAS!$A$3:$A$42,0)),3)))</f>
        <v/>
      </c>
      <c r="V1736" s="40" t="n"/>
      <c r="W1736" s="19">
        <f>IF($B1736="","",IF($V1736&lt;&gt;"",$V1736-$B1736,TODAY()-$B1736))</f>
        <v/>
      </c>
      <c r="X1736" s="19">
        <f>IF(OR($B1736="",$U1736=""),"",IF($V1736&lt;&gt;"",MAX(0,$V1736-$U1736),MAX(0,TODAY()-$U1736)))</f>
        <v/>
      </c>
      <c r="Y1736" s="39">
        <f>IF($C1736="","",IF(IFERROR(INDEX(LISTAS!$I$3:$I$42,MATCH($T1736,LISTAS!$H$3:$H$42,0)),"NO")="SÍ",IF(N($X1736)&gt;0,"CERRADA FUERA DE SLA","CERRADA EN SLA"),IF($U1736="","SIN CLASIFICAR",IF(N($X1736)&gt;0,"VENCIDA",IF(TODAY()&gt;=$U1736-1,"POR VENCER","EN PLAZO")))))</f>
        <v/>
      </c>
      <c r="Z1736" s="41" t="n"/>
      <c r="AA1736" s="41" t="n"/>
      <c r="AB1736" s="41" t="n"/>
    </row>
    <row r="1737">
      <c r="A1737" s="39">
        <f>IF($C1737="","","NOV-"&amp;TEXT(ROW()-3,"0000"))</f>
        <v/>
      </c>
      <c r="B1737" s="40" t="n"/>
      <c r="C1737" s="41" t="n"/>
      <c r="D1737" s="42">
        <f>IF($C1737="","",IFERROR(INDEX(DESPACHOS!$D$3:$D$3002,MATCH($C1737,DESPACHOS!$B$3:$B$3002,0)),"SIN DESPACHO"))</f>
        <v/>
      </c>
      <c r="E1737" s="42">
        <f>IF($C1737="","",IFERROR(INDEX(DESPACHOS!$K$3:$K$3002,MATCH($C1737,DESPACHOS!$B$3:$B$3002,0)),""))</f>
        <v/>
      </c>
      <c r="F1737" s="42">
        <f>IF($C1737="","",IFERROR(INDEX(DESPACHOS!$I$3:$I$3002,MATCH($C1737,DESPACHOS!$B$3:$B$3002,0)),""))</f>
        <v/>
      </c>
      <c r="G1737" s="42">
        <f>IF($C1737="","",IFERROR(INDEX(DESPACHOS!$F$3:$F$3002,MATCH($C1737,DESPACHOS!$B$3:$B$3002,0)),""))</f>
        <v/>
      </c>
      <c r="H1737" s="42">
        <f>IF($C1737="","",IFERROR(INDEX(DESPACHOS!$G$3:$G$3002,MATCH($C1737,DESPACHOS!$B$3:$B$3002,0)),""))</f>
        <v/>
      </c>
      <c r="I1737" s="39">
        <f>IF($C1737="","",IFERROR(INDEX(DESPACHOS!$H$3:$H$3002,MATCH($C1737,DESPACHOS!$B$3:$B$3002,0)),""))</f>
        <v/>
      </c>
      <c r="J1737" s="43">
        <f>IF($C1737="","",IFERROR(INDEX(DESPACHOS!$J$3:$J$3002,MATCH($C1737,DESPACHOS!$B$3:$B$3002,0)),""))</f>
        <v/>
      </c>
      <c r="K1737" s="39">
        <f>IF($C1737="","",IF(COUNTIFS(DESPACHOS!$B$3:$B$3002,$C1737)=0,"NO EXISTE",IF(COUNTIFS(DESPACHOS!$B$3:$B$3002,$C1737)&gt;1,"DUPLICADO","OK")))</f>
        <v/>
      </c>
      <c r="L1737" s="41" t="n"/>
      <c r="M1737" s="41" t="n"/>
      <c r="N1737" s="42">
        <f>IF($M1737="","",IFERROR(INDEX(LISTAS!$F$3:$F$42,MATCH($M1737,LISTAS!$E$3:$E$42,0)),"Por definir"))</f>
        <v/>
      </c>
      <c r="O1737" s="41" t="n"/>
      <c r="P1737" s="39">
        <f>IF($L1737="","",IFERROR(INDEX(LISTAS!$B$3:$B$42,MATCH($L1737,LISTAS!$A$3:$A$42,0)),"Media"))</f>
        <v/>
      </c>
      <c r="Q1737" s="44" t="n"/>
      <c r="R1737" s="45" t="n"/>
      <c r="S1737" s="20">
        <f>IFERROR(IF(OR($R1737="",$C1737=""),"",$R1737/INDEX(DESPACHOS!$M$3:$M$3002,MATCH($C1737,DESPACHOS!$B$3:$B$3002,0))),"")</f>
        <v/>
      </c>
      <c r="T1737" s="41" t="n"/>
      <c r="U1737" s="43">
        <f>IF(OR($B1737="",$L1737=""),"",WORKDAY($B1737,IFERROR(INDEX(LISTAS!$C$3:$C$42,MATCH($L1737,LISTAS!$A$3:$A$42,0)),3)))</f>
        <v/>
      </c>
      <c r="V1737" s="40" t="n"/>
      <c r="W1737" s="19">
        <f>IF($B1737="","",IF($V1737&lt;&gt;"",$V1737-$B1737,TODAY()-$B1737))</f>
        <v/>
      </c>
      <c r="X1737" s="19">
        <f>IF(OR($B1737="",$U1737=""),"",IF($V1737&lt;&gt;"",MAX(0,$V1737-$U1737),MAX(0,TODAY()-$U1737)))</f>
        <v/>
      </c>
      <c r="Y1737" s="39">
        <f>IF($C1737="","",IF(IFERROR(INDEX(LISTAS!$I$3:$I$42,MATCH($T1737,LISTAS!$H$3:$H$42,0)),"NO")="SÍ",IF(N($X1737)&gt;0,"CERRADA FUERA DE SLA","CERRADA EN SLA"),IF($U1737="","SIN CLASIFICAR",IF(N($X1737)&gt;0,"VENCIDA",IF(TODAY()&gt;=$U1737-1,"POR VENCER","EN PLAZO")))))</f>
        <v/>
      </c>
      <c r="Z1737" s="41" t="n"/>
      <c r="AA1737" s="41" t="n"/>
      <c r="AB1737" s="41" t="n"/>
    </row>
    <row r="1738">
      <c r="A1738" s="39">
        <f>IF($C1738="","","NOV-"&amp;TEXT(ROW()-3,"0000"))</f>
        <v/>
      </c>
      <c r="B1738" s="40" t="n"/>
      <c r="C1738" s="41" t="n"/>
      <c r="D1738" s="42">
        <f>IF($C1738="","",IFERROR(INDEX(DESPACHOS!$D$3:$D$3002,MATCH($C1738,DESPACHOS!$B$3:$B$3002,0)),"SIN DESPACHO"))</f>
        <v/>
      </c>
      <c r="E1738" s="42">
        <f>IF($C1738="","",IFERROR(INDEX(DESPACHOS!$K$3:$K$3002,MATCH($C1738,DESPACHOS!$B$3:$B$3002,0)),""))</f>
        <v/>
      </c>
      <c r="F1738" s="42">
        <f>IF($C1738="","",IFERROR(INDEX(DESPACHOS!$I$3:$I$3002,MATCH($C1738,DESPACHOS!$B$3:$B$3002,0)),""))</f>
        <v/>
      </c>
      <c r="G1738" s="42">
        <f>IF($C1738="","",IFERROR(INDEX(DESPACHOS!$F$3:$F$3002,MATCH($C1738,DESPACHOS!$B$3:$B$3002,0)),""))</f>
        <v/>
      </c>
      <c r="H1738" s="42">
        <f>IF($C1738="","",IFERROR(INDEX(DESPACHOS!$G$3:$G$3002,MATCH($C1738,DESPACHOS!$B$3:$B$3002,0)),""))</f>
        <v/>
      </c>
      <c r="I1738" s="39">
        <f>IF($C1738="","",IFERROR(INDEX(DESPACHOS!$H$3:$H$3002,MATCH($C1738,DESPACHOS!$B$3:$B$3002,0)),""))</f>
        <v/>
      </c>
      <c r="J1738" s="43">
        <f>IF($C1738="","",IFERROR(INDEX(DESPACHOS!$J$3:$J$3002,MATCH($C1738,DESPACHOS!$B$3:$B$3002,0)),""))</f>
        <v/>
      </c>
      <c r="K1738" s="39">
        <f>IF($C1738="","",IF(COUNTIFS(DESPACHOS!$B$3:$B$3002,$C1738)=0,"NO EXISTE",IF(COUNTIFS(DESPACHOS!$B$3:$B$3002,$C1738)&gt;1,"DUPLICADO","OK")))</f>
        <v/>
      </c>
      <c r="L1738" s="41" t="n"/>
      <c r="M1738" s="41" t="n"/>
      <c r="N1738" s="42">
        <f>IF($M1738="","",IFERROR(INDEX(LISTAS!$F$3:$F$42,MATCH($M1738,LISTAS!$E$3:$E$42,0)),"Por definir"))</f>
        <v/>
      </c>
      <c r="O1738" s="41" t="n"/>
      <c r="P1738" s="39">
        <f>IF($L1738="","",IFERROR(INDEX(LISTAS!$B$3:$B$42,MATCH($L1738,LISTAS!$A$3:$A$42,0)),"Media"))</f>
        <v/>
      </c>
      <c r="Q1738" s="44" t="n"/>
      <c r="R1738" s="45" t="n"/>
      <c r="S1738" s="20">
        <f>IFERROR(IF(OR($R1738="",$C1738=""),"",$R1738/INDEX(DESPACHOS!$M$3:$M$3002,MATCH($C1738,DESPACHOS!$B$3:$B$3002,0))),"")</f>
        <v/>
      </c>
      <c r="T1738" s="41" t="n"/>
      <c r="U1738" s="43">
        <f>IF(OR($B1738="",$L1738=""),"",WORKDAY($B1738,IFERROR(INDEX(LISTAS!$C$3:$C$42,MATCH($L1738,LISTAS!$A$3:$A$42,0)),3)))</f>
        <v/>
      </c>
      <c r="V1738" s="40" t="n"/>
      <c r="W1738" s="19">
        <f>IF($B1738="","",IF($V1738&lt;&gt;"",$V1738-$B1738,TODAY()-$B1738))</f>
        <v/>
      </c>
      <c r="X1738" s="19">
        <f>IF(OR($B1738="",$U1738=""),"",IF($V1738&lt;&gt;"",MAX(0,$V1738-$U1738),MAX(0,TODAY()-$U1738)))</f>
        <v/>
      </c>
      <c r="Y1738" s="39">
        <f>IF($C1738="","",IF(IFERROR(INDEX(LISTAS!$I$3:$I$42,MATCH($T1738,LISTAS!$H$3:$H$42,0)),"NO")="SÍ",IF(N($X1738)&gt;0,"CERRADA FUERA DE SLA","CERRADA EN SLA"),IF($U1738="","SIN CLASIFICAR",IF(N($X1738)&gt;0,"VENCIDA",IF(TODAY()&gt;=$U1738-1,"POR VENCER","EN PLAZO")))))</f>
        <v/>
      </c>
      <c r="Z1738" s="41" t="n"/>
      <c r="AA1738" s="41" t="n"/>
      <c r="AB1738" s="41" t="n"/>
    </row>
    <row r="1739">
      <c r="A1739" s="39">
        <f>IF($C1739="","","NOV-"&amp;TEXT(ROW()-3,"0000"))</f>
        <v/>
      </c>
      <c r="B1739" s="40" t="n"/>
      <c r="C1739" s="41" t="n"/>
      <c r="D1739" s="42">
        <f>IF($C1739="","",IFERROR(INDEX(DESPACHOS!$D$3:$D$3002,MATCH($C1739,DESPACHOS!$B$3:$B$3002,0)),"SIN DESPACHO"))</f>
        <v/>
      </c>
      <c r="E1739" s="42">
        <f>IF($C1739="","",IFERROR(INDEX(DESPACHOS!$K$3:$K$3002,MATCH($C1739,DESPACHOS!$B$3:$B$3002,0)),""))</f>
        <v/>
      </c>
      <c r="F1739" s="42">
        <f>IF($C1739="","",IFERROR(INDEX(DESPACHOS!$I$3:$I$3002,MATCH($C1739,DESPACHOS!$B$3:$B$3002,0)),""))</f>
        <v/>
      </c>
      <c r="G1739" s="42">
        <f>IF($C1739="","",IFERROR(INDEX(DESPACHOS!$F$3:$F$3002,MATCH($C1739,DESPACHOS!$B$3:$B$3002,0)),""))</f>
        <v/>
      </c>
      <c r="H1739" s="42">
        <f>IF($C1739="","",IFERROR(INDEX(DESPACHOS!$G$3:$G$3002,MATCH($C1739,DESPACHOS!$B$3:$B$3002,0)),""))</f>
        <v/>
      </c>
      <c r="I1739" s="39">
        <f>IF($C1739="","",IFERROR(INDEX(DESPACHOS!$H$3:$H$3002,MATCH($C1739,DESPACHOS!$B$3:$B$3002,0)),""))</f>
        <v/>
      </c>
      <c r="J1739" s="43">
        <f>IF($C1739="","",IFERROR(INDEX(DESPACHOS!$J$3:$J$3002,MATCH($C1739,DESPACHOS!$B$3:$B$3002,0)),""))</f>
        <v/>
      </c>
      <c r="K1739" s="39">
        <f>IF($C1739="","",IF(COUNTIFS(DESPACHOS!$B$3:$B$3002,$C1739)=0,"NO EXISTE",IF(COUNTIFS(DESPACHOS!$B$3:$B$3002,$C1739)&gt;1,"DUPLICADO","OK")))</f>
        <v/>
      </c>
      <c r="L1739" s="41" t="n"/>
      <c r="M1739" s="41" t="n"/>
      <c r="N1739" s="42">
        <f>IF($M1739="","",IFERROR(INDEX(LISTAS!$F$3:$F$42,MATCH($M1739,LISTAS!$E$3:$E$42,0)),"Por definir"))</f>
        <v/>
      </c>
      <c r="O1739" s="41" t="n"/>
      <c r="P1739" s="39">
        <f>IF($L1739="","",IFERROR(INDEX(LISTAS!$B$3:$B$42,MATCH($L1739,LISTAS!$A$3:$A$42,0)),"Media"))</f>
        <v/>
      </c>
      <c r="Q1739" s="44" t="n"/>
      <c r="R1739" s="45" t="n"/>
      <c r="S1739" s="20">
        <f>IFERROR(IF(OR($R1739="",$C1739=""),"",$R1739/INDEX(DESPACHOS!$M$3:$M$3002,MATCH($C1739,DESPACHOS!$B$3:$B$3002,0))),"")</f>
        <v/>
      </c>
      <c r="T1739" s="41" t="n"/>
      <c r="U1739" s="43">
        <f>IF(OR($B1739="",$L1739=""),"",WORKDAY($B1739,IFERROR(INDEX(LISTAS!$C$3:$C$42,MATCH($L1739,LISTAS!$A$3:$A$42,0)),3)))</f>
        <v/>
      </c>
      <c r="V1739" s="40" t="n"/>
      <c r="W1739" s="19">
        <f>IF($B1739="","",IF($V1739&lt;&gt;"",$V1739-$B1739,TODAY()-$B1739))</f>
        <v/>
      </c>
      <c r="X1739" s="19">
        <f>IF(OR($B1739="",$U1739=""),"",IF($V1739&lt;&gt;"",MAX(0,$V1739-$U1739),MAX(0,TODAY()-$U1739)))</f>
        <v/>
      </c>
      <c r="Y1739" s="39">
        <f>IF($C1739="","",IF(IFERROR(INDEX(LISTAS!$I$3:$I$42,MATCH($T1739,LISTAS!$H$3:$H$42,0)),"NO")="SÍ",IF(N($X1739)&gt;0,"CERRADA FUERA DE SLA","CERRADA EN SLA"),IF($U1739="","SIN CLASIFICAR",IF(N($X1739)&gt;0,"VENCIDA",IF(TODAY()&gt;=$U1739-1,"POR VENCER","EN PLAZO")))))</f>
        <v/>
      </c>
      <c r="Z1739" s="41" t="n"/>
      <c r="AA1739" s="41" t="n"/>
      <c r="AB1739" s="41" t="n"/>
    </row>
    <row r="1740">
      <c r="A1740" s="39">
        <f>IF($C1740="","","NOV-"&amp;TEXT(ROW()-3,"0000"))</f>
        <v/>
      </c>
      <c r="B1740" s="40" t="n"/>
      <c r="C1740" s="41" t="n"/>
      <c r="D1740" s="42">
        <f>IF($C1740="","",IFERROR(INDEX(DESPACHOS!$D$3:$D$3002,MATCH($C1740,DESPACHOS!$B$3:$B$3002,0)),"SIN DESPACHO"))</f>
        <v/>
      </c>
      <c r="E1740" s="42">
        <f>IF($C1740="","",IFERROR(INDEX(DESPACHOS!$K$3:$K$3002,MATCH($C1740,DESPACHOS!$B$3:$B$3002,0)),""))</f>
        <v/>
      </c>
      <c r="F1740" s="42">
        <f>IF($C1740="","",IFERROR(INDEX(DESPACHOS!$I$3:$I$3002,MATCH($C1740,DESPACHOS!$B$3:$B$3002,0)),""))</f>
        <v/>
      </c>
      <c r="G1740" s="42">
        <f>IF($C1740="","",IFERROR(INDEX(DESPACHOS!$F$3:$F$3002,MATCH($C1740,DESPACHOS!$B$3:$B$3002,0)),""))</f>
        <v/>
      </c>
      <c r="H1740" s="42">
        <f>IF($C1740="","",IFERROR(INDEX(DESPACHOS!$G$3:$G$3002,MATCH($C1740,DESPACHOS!$B$3:$B$3002,0)),""))</f>
        <v/>
      </c>
      <c r="I1740" s="39">
        <f>IF($C1740="","",IFERROR(INDEX(DESPACHOS!$H$3:$H$3002,MATCH($C1740,DESPACHOS!$B$3:$B$3002,0)),""))</f>
        <v/>
      </c>
      <c r="J1740" s="43">
        <f>IF($C1740="","",IFERROR(INDEX(DESPACHOS!$J$3:$J$3002,MATCH($C1740,DESPACHOS!$B$3:$B$3002,0)),""))</f>
        <v/>
      </c>
      <c r="K1740" s="39">
        <f>IF($C1740="","",IF(COUNTIFS(DESPACHOS!$B$3:$B$3002,$C1740)=0,"NO EXISTE",IF(COUNTIFS(DESPACHOS!$B$3:$B$3002,$C1740)&gt;1,"DUPLICADO","OK")))</f>
        <v/>
      </c>
      <c r="L1740" s="41" t="n"/>
      <c r="M1740" s="41" t="n"/>
      <c r="N1740" s="42">
        <f>IF($M1740="","",IFERROR(INDEX(LISTAS!$F$3:$F$42,MATCH($M1740,LISTAS!$E$3:$E$42,0)),"Por definir"))</f>
        <v/>
      </c>
      <c r="O1740" s="41" t="n"/>
      <c r="P1740" s="39">
        <f>IF($L1740="","",IFERROR(INDEX(LISTAS!$B$3:$B$42,MATCH($L1740,LISTAS!$A$3:$A$42,0)),"Media"))</f>
        <v/>
      </c>
      <c r="Q1740" s="44" t="n"/>
      <c r="R1740" s="45" t="n"/>
      <c r="S1740" s="20">
        <f>IFERROR(IF(OR($R1740="",$C1740=""),"",$R1740/INDEX(DESPACHOS!$M$3:$M$3002,MATCH($C1740,DESPACHOS!$B$3:$B$3002,0))),"")</f>
        <v/>
      </c>
      <c r="T1740" s="41" t="n"/>
      <c r="U1740" s="43">
        <f>IF(OR($B1740="",$L1740=""),"",WORKDAY($B1740,IFERROR(INDEX(LISTAS!$C$3:$C$42,MATCH($L1740,LISTAS!$A$3:$A$42,0)),3)))</f>
        <v/>
      </c>
      <c r="V1740" s="40" t="n"/>
      <c r="W1740" s="19">
        <f>IF($B1740="","",IF($V1740&lt;&gt;"",$V1740-$B1740,TODAY()-$B1740))</f>
        <v/>
      </c>
      <c r="X1740" s="19">
        <f>IF(OR($B1740="",$U1740=""),"",IF($V1740&lt;&gt;"",MAX(0,$V1740-$U1740),MAX(0,TODAY()-$U1740)))</f>
        <v/>
      </c>
      <c r="Y1740" s="39">
        <f>IF($C1740="","",IF(IFERROR(INDEX(LISTAS!$I$3:$I$42,MATCH($T1740,LISTAS!$H$3:$H$42,0)),"NO")="SÍ",IF(N($X1740)&gt;0,"CERRADA FUERA DE SLA","CERRADA EN SLA"),IF($U1740="","SIN CLASIFICAR",IF(N($X1740)&gt;0,"VENCIDA",IF(TODAY()&gt;=$U1740-1,"POR VENCER","EN PLAZO")))))</f>
        <v/>
      </c>
      <c r="Z1740" s="41" t="n"/>
      <c r="AA1740" s="41" t="n"/>
      <c r="AB1740" s="41" t="n"/>
    </row>
    <row r="1741">
      <c r="A1741" s="39">
        <f>IF($C1741="","","NOV-"&amp;TEXT(ROW()-3,"0000"))</f>
        <v/>
      </c>
      <c r="B1741" s="40" t="n"/>
      <c r="C1741" s="41" t="n"/>
      <c r="D1741" s="42">
        <f>IF($C1741="","",IFERROR(INDEX(DESPACHOS!$D$3:$D$3002,MATCH($C1741,DESPACHOS!$B$3:$B$3002,0)),"SIN DESPACHO"))</f>
        <v/>
      </c>
      <c r="E1741" s="42">
        <f>IF($C1741="","",IFERROR(INDEX(DESPACHOS!$K$3:$K$3002,MATCH($C1741,DESPACHOS!$B$3:$B$3002,0)),""))</f>
        <v/>
      </c>
      <c r="F1741" s="42">
        <f>IF($C1741="","",IFERROR(INDEX(DESPACHOS!$I$3:$I$3002,MATCH($C1741,DESPACHOS!$B$3:$B$3002,0)),""))</f>
        <v/>
      </c>
      <c r="G1741" s="42">
        <f>IF($C1741="","",IFERROR(INDEX(DESPACHOS!$F$3:$F$3002,MATCH($C1741,DESPACHOS!$B$3:$B$3002,0)),""))</f>
        <v/>
      </c>
      <c r="H1741" s="42">
        <f>IF($C1741="","",IFERROR(INDEX(DESPACHOS!$G$3:$G$3002,MATCH($C1741,DESPACHOS!$B$3:$B$3002,0)),""))</f>
        <v/>
      </c>
      <c r="I1741" s="39">
        <f>IF($C1741="","",IFERROR(INDEX(DESPACHOS!$H$3:$H$3002,MATCH($C1741,DESPACHOS!$B$3:$B$3002,0)),""))</f>
        <v/>
      </c>
      <c r="J1741" s="43">
        <f>IF($C1741="","",IFERROR(INDEX(DESPACHOS!$J$3:$J$3002,MATCH($C1741,DESPACHOS!$B$3:$B$3002,0)),""))</f>
        <v/>
      </c>
      <c r="K1741" s="39">
        <f>IF($C1741="","",IF(COUNTIFS(DESPACHOS!$B$3:$B$3002,$C1741)=0,"NO EXISTE",IF(COUNTIFS(DESPACHOS!$B$3:$B$3002,$C1741)&gt;1,"DUPLICADO","OK")))</f>
        <v/>
      </c>
      <c r="L1741" s="41" t="n"/>
      <c r="M1741" s="41" t="n"/>
      <c r="N1741" s="42">
        <f>IF($M1741="","",IFERROR(INDEX(LISTAS!$F$3:$F$42,MATCH($M1741,LISTAS!$E$3:$E$42,0)),"Por definir"))</f>
        <v/>
      </c>
      <c r="O1741" s="41" t="n"/>
      <c r="P1741" s="39">
        <f>IF($L1741="","",IFERROR(INDEX(LISTAS!$B$3:$B$42,MATCH($L1741,LISTAS!$A$3:$A$42,0)),"Media"))</f>
        <v/>
      </c>
      <c r="Q1741" s="44" t="n"/>
      <c r="R1741" s="45" t="n"/>
      <c r="S1741" s="20">
        <f>IFERROR(IF(OR($R1741="",$C1741=""),"",$R1741/INDEX(DESPACHOS!$M$3:$M$3002,MATCH($C1741,DESPACHOS!$B$3:$B$3002,0))),"")</f>
        <v/>
      </c>
      <c r="T1741" s="41" t="n"/>
      <c r="U1741" s="43">
        <f>IF(OR($B1741="",$L1741=""),"",WORKDAY($B1741,IFERROR(INDEX(LISTAS!$C$3:$C$42,MATCH($L1741,LISTAS!$A$3:$A$42,0)),3)))</f>
        <v/>
      </c>
      <c r="V1741" s="40" t="n"/>
      <c r="W1741" s="19">
        <f>IF($B1741="","",IF($V1741&lt;&gt;"",$V1741-$B1741,TODAY()-$B1741))</f>
        <v/>
      </c>
      <c r="X1741" s="19">
        <f>IF(OR($B1741="",$U1741=""),"",IF($V1741&lt;&gt;"",MAX(0,$V1741-$U1741),MAX(0,TODAY()-$U1741)))</f>
        <v/>
      </c>
      <c r="Y1741" s="39">
        <f>IF($C1741="","",IF(IFERROR(INDEX(LISTAS!$I$3:$I$42,MATCH($T1741,LISTAS!$H$3:$H$42,0)),"NO")="SÍ",IF(N($X1741)&gt;0,"CERRADA FUERA DE SLA","CERRADA EN SLA"),IF($U1741="","SIN CLASIFICAR",IF(N($X1741)&gt;0,"VENCIDA",IF(TODAY()&gt;=$U1741-1,"POR VENCER","EN PLAZO")))))</f>
        <v/>
      </c>
      <c r="Z1741" s="41" t="n"/>
      <c r="AA1741" s="41" t="n"/>
      <c r="AB1741" s="41" t="n"/>
    </row>
    <row r="1742">
      <c r="A1742" s="39">
        <f>IF($C1742="","","NOV-"&amp;TEXT(ROW()-3,"0000"))</f>
        <v/>
      </c>
      <c r="B1742" s="40" t="n"/>
      <c r="C1742" s="41" t="n"/>
      <c r="D1742" s="42">
        <f>IF($C1742="","",IFERROR(INDEX(DESPACHOS!$D$3:$D$3002,MATCH($C1742,DESPACHOS!$B$3:$B$3002,0)),"SIN DESPACHO"))</f>
        <v/>
      </c>
      <c r="E1742" s="42">
        <f>IF($C1742="","",IFERROR(INDEX(DESPACHOS!$K$3:$K$3002,MATCH($C1742,DESPACHOS!$B$3:$B$3002,0)),""))</f>
        <v/>
      </c>
      <c r="F1742" s="42">
        <f>IF($C1742="","",IFERROR(INDEX(DESPACHOS!$I$3:$I$3002,MATCH($C1742,DESPACHOS!$B$3:$B$3002,0)),""))</f>
        <v/>
      </c>
      <c r="G1742" s="42">
        <f>IF($C1742="","",IFERROR(INDEX(DESPACHOS!$F$3:$F$3002,MATCH($C1742,DESPACHOS!$B$3:$B$3002,0)),""))</f>
        <v/>
      </c>
      <c r="H1742" s="42">
        <f>IF($C1742="","",IFERROR(INDEX(DESPACHOS!$G$3:$G$3002,MATCH($C1742,DESPACHOS!$B$3:$B$3002,0)),""))</f>
        <v/>
      </c>
      <c r="I1742" s="39">
        <f>IF($C1742="","",IFERROR(INDEX(DESPACHOS!$H$3:$H$3002,MATCH($C1742,DESPACHOS!$B$3:$B$3002,0)),""))</f>
        <v/>
      </c>
      <c r="J1742" s="43">
        <f>IF($C1742="","",IFERROR(INDEX(DESPACHOS!$J$3:$J$3002,MATCH($C1742,DESPACHOS!$B$3:$B$3002,0)),""))</f>
        <v/>
      </c>
      <c r="K1742" s="39">
        <f>IF($C1742="","",IF(COUNTIFS(DESPACHOS!$B$3:$B$3002,$C1742)=0,"NO EXISTE",IF(COUNTIFS(DESPACHOS!$B$3:$B$3002,$C1742)&gt;1,"DUPLICADO","OK")))</f>
        <v/>
      </c>
      <c r="L1742" s="41" t="n"/>
      <c r="M1742" s="41" t="n"/>
      <c r="N1742" s="42">
        <f>IF($M1742="","",IFERROR(INDEX(LISTAS!$F$3:$F$42,MATCH($M1742,LISTAS!$E$3:$E$42,0)),"Por definir"))</f>
        <v/>
      </c>
      <c r="O1742" s="41" t="n"/>
      <c r="P1742" s="39">
        <f>IF($L1742="","",IFERROR(INDEX(LISTAS!$B$3:$B$42,MATCH($L1742,LISTAS!$A$3:$A$42,0)),"Media"))</f>
        <v/>
      </c>
      <c r="Q1742" s="44" t="n"/>
      <c r="R1742" s="45" t="n"/>
      <c r="S1742" s="20">
        <f>IFERROR(IF(OR($R1742="",$C1742=""),"",$R1742/INDEX(DESPACHOS!$M$3:$M$3002,MATCH($C1742,DESPACHOS!$B$3:$B$3002,0))),"")</f>
        <v/>
      </c>
      <c r="T1742" s="41" t="n"/>
      <c r="U1742" s="43">
        <f>IF(OR($B1742="",$L1742=""),"",WORKDAY($B1742,IFERROR(INDEX(LISTAS!$C$3:$C$42,MATCH($L1742,LISTAS!$A$3:$A$42,0)),3)))</f>
        <v/>
      </c>
      <c r="V1742" s="40" t="n"/>
      <c r="W1742" s="19">
        <f>IF($B1742="","",IF($V1742&lt;&gt;"",$V1742-$B1742,TODAY()-$B1742))</f>
        <v/>
      </c>
      <c r="X1742" s="19">
        <f>IF(OR($B1742="",$U1742=""),"",IF($V1742&lt;&gt;"",MAX(0,$V1742-$U1742),MAX(0,TODAY()-$U1742)))</f>
        <v/>
      </c>
      <c r="Y1742" s="39">
        <f>IF($C1742="","",IF(IFERROR(INDEX(LISTAS!$I$3:$I$42,MATCH($T1742,LISTAS!$H$3:$H$42,0)),"NO")="SÍ",IF(N($X1742)&gt;0,"CERRADA FUERA DE SLA","CERRADA EN SLA"),IF($U1742="","SIN CLASIFICAR",IF(N($X1742)&gt;0,"VENCIDA",IF(TODAY()&gt;=$U1742-1,"POR VENCER","EN PLAZO")))))</f>
        <v/>
      </c>
      <c r="Z1742" s="41" t="n"/>
      <c r="AA1742" s="41" t="n"/>
      <c r="AB1742" s="41" t="n"/>
    </row>
    <row r="1743">
      <c r="A1743" s="39">
        <f>IF($C1743="","","NOV-"&amp;TEXT(ROW()-3,"0000"))</f>
        <v/>
      </c>
      <c r="B1743" s="40" t="n"/>
      <c r="C1743" s="41" t="n"/>
      <c r="D1743" s="42">
        <f>IF($C1743="","",IFERROR(INDEX(DESPACHOS!$D$3:$D$3002,MATCH($C1743,DESPACHOS!$B$3:$B$3002,0)),"SIN DESPACHO"))</f>
        <v/>
      </c>
      <c r="E1743" s="42">
        <f>IF($C1743="","",IFERROR(INDEX(DESPACHOS!$K$3:$K$3002,MATCH($C1743,DESPACHOS!$B$3:$B$3002,0)),""))</f>
        <v/>
      </c>
      <c r="F1743" s="42">
        <f>IF($C1743="","",IFERROR(INDEX(DESPACHOS!$I$3:$I$3002,MATCH($C1743,DESPACHOS!$B$3:$B$3002,0)),""))</f>
        <v/>
      </c>
      <c r="G1743" s="42">
        <f>IF($C1743="","",IFERROR(INDEX(DESPACHOS!$F$3:$F$3002,MATCH($C1743,DESPACHOS!$B$3:$B$3002,0)),""))</f>
        <v/>
      </c>
      <c r="H1743" s="42">
        <f>IF($C1743="","",IFERROR(INDEX(DESPACHOS!$G$3:$G$3002,MATCH($C1743,DESPACHOS!$B$3:$B$3002,0)),""))</f>
        <v/>
      </c>
      <c r="I1743" s="39">
        <f>IF($C1743="","",IFERROR(INDEX(DESPACHOS!$H$3:$H$3002,MATCH($C1743,DESPACHOS!$B$3:$B$3002,0)),""))</f>
        <v/>
      </c>
      <c r="J1743" s="43">
        <f>IF($C1743="","",IFERROR(INDEX(DESPACHOS!$J$3:$J$3002,MATCH($C1743,DESPACHOS!$B$3:$B$3002,0)),""))</f>
        <v/>
      </c>
      <c r="K1743" s="39">
        <f>IF($C1743="","",IF(COUNTIFS(DESPACHOS!$B$3:$B$3002,$C1743)=0,"NO EXISTE",IF(COUNTIFS(DESPACHOS!$B$3:$B$3002,$C1743)&gt;1,"DUPLICADO","OK")))</f>
        <v/>
      </c>
      <c r="L1743" s="41" t="n"/>
      <c r="M1743" s="41" t="n"/>
      <c r="N1743" s="42">
        <f>IF($M1743="","",IFERROR(INDEX(LISTAS!$F$3:$F$42,MATCH($M1743,LISTAS!$E$3:$E$42,0)),"Por definir"))</f>
        <v/>
      </c>
      <c r="O1743" s="41" t="n"/>
      <c r="P1743" s="39">
        <f>IF($L1743="","",IFERROR(INDEX(LISTAS!$B$3:$B$42,MATCH($L1743,LISTAS!$A$3:$A$42,0)),"Media"))</f>
        <v/>
      </c>
      <c r="Q1743" s="44" t="n"/>
      <c r="R1743" s="45" t="n"/>
      <c r="S1743" s="20">
        <f>IFERROR(IF(OR($R1743="",$C1743=""),"",$R1743/INDEX(DESPACHOS!$M$3:$M$3002,MATCH($C1743,DESPACHOS!$B$3:$B$3002,0))),"")</f>
        <v/>
      </c>
      <c r="T1743" s="41" t="n"/>
      <c r="U1743" s="43">
        <f>IF(OR($B1743="",$L1743=""),"",WORKDAY($B1743,IFERROR(INDEX(LISTAS!$C$3:$C$42,MATCH($L1743,LISTAS!$A$3:$A$42,0)),3)))</f>
        <v/>
      </c>
      <c r="V1743" s="40" t="n"/>
      <c r="W1743" s="19">
        <f>IF($B1743="","",IF($V1743&lt;&gt;"",$V1743-$B1743,TODAY()-$B1743))</f>
        <v/>
      </c>
      <c r="X1743" s="19">
        <f>IF(OR($B1743="",$U1743=""),"",IF($V1743&lt;&gt;"",MAX(0,$V1743-$U1743),MAX(0,TODAY()-$U1743)))</f>
        <v/>
      </c>
      <c r="Y1743" s="39">
        <f>IF($C1743="","",IF(IFERROR(INDEX(LISTAS!$I$3:$I$42,MATCH($T1743,LISTAS!$H$3:$H$42,0)),"NO")="SÍ",IF(N($X1743)&gt;0,"CERRADA FUERA DE SLA","CERRADA EN SLA"),IF($U1743="","SIN CLASIFICAR",IF(N($X1743)&gt;0,"VENCIDA",IF(TODAY()&gt;=$U1743-1,"POR VENCER","EN PLAZO")))))</f>
        <v/>
      </c>
      <c r="Z1743" s="41" t="n"/>
      <c r="AA1743" s="41" t="n"/>
      <c r="AB1743" s="41" t="n"/>
    </row>
    <row r="1744">
      <c r="A1744" s="39">
        <f>IF($C1744="","","NOV-"&amp;TEXT(ROW()-3,"0000"))</f>
        <v/>
      </c>
      <c r="B1744" s="40" t="n"/>
      <c r="C1744" s="41" t="n"/>
      <c r="D1744" s="42">
        <f>IF($C1744="","",IFERROR(INDEX(DESPACHOS!$D$3:$D$3002,MATCH($C1744,DESPACHOS!$B$3:$B$3002,0)),"SIN DESPACHO"))</f>
        <v/>
      </c>
      <c r="E1744" s="42">
        <f>IF($C1744="","",IFERROR(INDEX(DESPACHOS!$K$3:$K$3002,MATCH($C1744,DESPACHOS!$B$3:$B$3002,0)),""))</f>
        <v/>
      </c>
      <c r="F1744" s="42">
        <f>IF($C1744="","",IFERROR(INDEX(DESPACHOS!$I$3:$I$3002,MATCH($C1744,DESPACHOS!$B$3:$B$3002,0)),""))</f>
        <v/>
      </c>
      <c r="G1744" s="42">
        <f>IF($C1744="","",IFERROR(INDEX(DESPACHOS!$F$3:$F$3002,MATCH($C1744,DESPACHOS!$B$3:$B$3002,0)),""))</f>
        <v/>
      </c>
      <c r="H1744" s="42">
        <f>IF($C1744="","",IFERROR(INDEX(DESPACHOS!$G$3:$G$3002,MATCH($C1744,DESPACHOS!$B$3:$B$3002,0)),""))</f>
        <v/>
      </c>
      <c r="I1744" s="39">
        <f>IF($C1744="","",IFERROR(INDEX(DESPACHOS!$H$3:$H$3002,MATCH($C1744,DESPACHOS!$B$3:$B$3002,0)),""))</f>
        <v/>
      </c>
      <c r="J1744" s="43">
        <f>IF($C1744="","",IFERROR(INDEX(DESPACHOS!$J$3:$J$3002,MATCH($C1744,DESPACHOS!$B$3:$B$3002,0)),""))</f>
        <v/>
      </c>
      <c r="K1744" s="39">
        <f>IF($C1744="","",IF(COUNTIFS(DESPACHOS!$B$3:$B$3002,$C1744)=0,"NO EXISTE",IF(COUNTIFS(DESPACHOS!$B$3:$B$3002,$C1744)&gt;1,"DUPLICADO","OK")))</f>
        <v/>
      </c>
      <c r="L1744" s="41" t="n"/>
      <c r="M1744" s="41" t="n"/>
      <c r="N1744" s="42">
        <f>IF($M1744="","",IFERROR(INDEX(LISTAS!$F$3:$F$42,MATCH($M1744,LISTAS!$E$3:$E$42,0)),"Por definir"))</f>
        <v/>
      </c>
      <c r="O1744" s="41" t="n"/>
      <c r="P1744" s="39">
        <f>IF($L1744="","",IFERROR(INDEX(LISTAS!$B$3:$B$42,MATCH($L1744,LISTAS!$A$3:$A$42,0)),"Media"))</f>
        <v/>
      </c>
      <c r="Q1744" s="44" t="n"/>
      <c r="R1744" s="45" t="n"/>
      <c r="S1744" s="20">
        <f>IFERROR(IF(OR($R1744="",$C1744=""),"",$R1744/INDEX(DESPACHOS!$M$3:$M$3002,MATCH($C1744,DESPACHOS!$B$3:$B$3002,0))),"")</f>
        <v/>
      </c>
      <c r="T1744" s="41" t="n"/>
      <c r="U1744" s="43">
        <f>IF(OR($B1744="",$L1744=""),"",WORKDAY($B1744,IFERROR(INDEX(LISTAS!$C$3:$C$42,MATCH($L1744,LISTAS!$A$3:$A$42,0)),3)))</f>
        <v/>
      </c>
      <c r="V1744" s="40" t="n"/>
      <c r="W1744" s="19">
        <f>IF($B1744="","",IF($V1744&lt;&gt;"",$V1744-$B1744,TODAY()-$B1744))</f>
        <v/>
      </c>
      <c r="X1744" s="19">
        <f>IF(OR($B1744="",$U1744=""),"",IF($V1744&lt;&gt;"",MAX(0,$V1744-$U1744),MAX(0,TODAY()-$U1744)))</f>
        <v/>
      </c>
      <c r="Y1744" s="39">
        <f>IF($C1744="","",IF(IFERROR(INDEX(LISTAS!$I$3:$I$42,MATCH($T1744,LISTAS!$H$3:$H$42,0)),"NO")="SÍ",IF(N($X1744)&gt;0,"CERRADA FUERA DE SLA","CERRADA EN SLA"),IF($U1744="","SIN CLASIFICAR",IF(N($X1744)&gt;0,"VENCIDA",IF(TODAY()&gt;=$U1744-1,"POR VENCER","EN PLAZO")))))</f>
        <v/>
      </c>
      <c r="Z1744" s="41" t="n"/>
      <c r="AA1744" s="41" t="n"/>
      <c r="AB1744" s="41" t="n"/>
    </row>
    <row r="1745">
      <c r="A1745" s="39">
        <f>IF($C1745="","","NOV-"&amp;TEXT(ROW()-3,"0000"))</f>
        <v/>
      </c>
      <c r="B1745" s="40" t="n"/>
      <c r="C1745" s="41" t="n"/>
      <c r="D1745" s="42">
        <f>IF($C1745="","",IFERROR(INDEX(DESPACHOS!$D$3:$D$3002,MATCH($C1745,DESPACHOS!$B$3:$B$3002,0)),"SIN DESPACHO"))</f>
        <v/>
      </c>
      <c r="E1745" s="42">
        <f>IF($C1745="","",IFERROR(INDEX(DESPACHOS!$K$3:$K$3002,MATCH($C1745,DESPACHOS!$B$3:$B$3002,0)),""))</f>
        <v/>
      </c>
      <c r="F1745" s="42">
        <f>IF($C1745="","",IFERROR(INDEX(DESPACHOS!$I$3:$I$3002,MATCH($C1745,DESPACHOS!$B$3:$B$3002,0)),""))</f>
        <v/>
      </c>
      <c r="G1745" s="42">
        <f>IF($C1745="","",IFERROR(INDEX(DESPACHOS!$F$3:$F$3002,MATCH($C1745,DESPACHOS!$B$3:$B$3002,0)),""))</f>
        <v/>
      </c>
      <c r="H1745" s="42">
        <f>IF($C1745="","",IFERROR(INDEX(DESPACHOS!$G$3:$G$3002,MATCH($C1745,DESPACHOS!$B$3:$B$3002,0)),""))</f>
        <v/>
      </c>
      <c r="I1745" s="39">
        <f>IF($C1745="","",IFERROR(INDEX(DESPACHOS!$H$3:$H$3002,MATCH($C1745,DESPACHOS!$B$3:$B$3002,0)),""))</f>
        <v/>
      </c>
      <c r="J1745" s="43">
        <f>IF($C1745="","",IFERROR(INDEX(DESPACHOS!$J$3:$J$3002,MATCH($C1745,DESPACHOS!$B$3:$B$3002,0)),""))</f>
        <v/>
      </c>
      <c r="K1745" s="39">
        <f>IF($C1745="","",IF(COUNTIFS(DESPACHOS!$B$3:$B$3002,$C1745)=0,"NO EXISTE",IF(COUNTIFS(DESPACHOS!$B$3:$B$3002,$C1745)&gt;1,"DUPLICADO","OK")))</f>
        <v/>
      </c>
      <c r="L1745" s="41" t="n"/>
      <c r="M1745" s="41" t="n"/>
      <c r="N1745" s="42">
        <f>IF($M1745="","",IFERROR(INDEX(LISTAS!$F$3:$F$42,MATCH($M1745,LISTAS!$E$3:$E$42,0)),"Por definir"))</f>
        <v/>
      </c>
      <c r="O1745" s="41" t="n"/>
      <c r="P1745" s="39">
        <f>IF($L1745="","",IFERROR(INDEX(LISTAS!$B$3:$B$42,MATCH($L1745,LISTAS!$A$3:$A$42,0)),"Media"))</f>
        <v/>
      </c>
      <c r="Q1745" s="44" t="n"/>
      <c r="R1745" s="45" t="n"/>
      <c r="S1745" s="20">
        <f>IFERROR(IF(OR($R1745="",$C1745=""),"",$R1745/INDEX(DESPACHOS!$M$3:$M$3002,MATCH($C1745,DESPACHOS!$B$3:$B$3002,0))),"")</f>
        <v/>
      </c>
      <c r="T1745" s="41" t="n"/>
      <c r="U1745" s="43">
        <f>IF(OR($B1745="",$L1745=""),"",WORKDAY($B1745,IFERROR(INDEX(LISTAS!$C$3:$C$42,MATCH($L1745,LISTAS!$A$3:$A$42,0)),3)))</f>
        <v/>
      </c>
      <c r="V1745" s="40" t="n"/>
      <c r="W1745" s="19">
        <f>IF($B1745="","",IF($V1745&lt;&gt;"",$V1745-$B1745,TODAY()-$B1745))</f>
        <v/>
      </c>
      <c r="X1745" s="19">
        <f>IF(OR($B1745="",$U1745=""),"",IF($V1745&lt;&gt;"",MAX(0,$V1745-$U1745),MAX(0,TODAY()-$U1745)))</f>
        <v/>
      </c>
      <c r="Y1745" s="39">
        <f>IF($C1745="","",IF(IFERROR(INDEX(LISTAS!$I$3:$I$42,MATCH($T1745,LISTAS!$H$3:$H$42,0)),"NO")="SÍ",IF(N($X1745)&gt;0,"CERRADA FUERA DE SLA","CERRADA EN SLA"),IF($U1745="","SIN CLASIFICAR",IF(N($X1745)&gt;0,"VENCIDA",IF(TODAY()&gt;=$U1745-1,"POR VENCER","EN PLAZO")))))</f>
        <v/>
      </c>
      <c r="Z1745" s="41" t="n"/>
      <c r="AA1745" s="41" t="n"/>
      <c r="AB1745" s="41" t="n"/>
    </row>
    <row r="1746">
      <c r="A1746" s="39">
        <f>IF($C1746="","","NOV-"&amp;TEXT(ROW()-3,"0000"))</f>
        <v/>
      </c>
      <c r="B1746" s="40" t="n"/>
      <c r="C1746" s="41" t="n"/>
      <c r="D1746" s="42">
        <f>IF($C1746="","",IFERROR(INDEX(DESPACHOS!$D$3:$D$3002,MATCH($C1746,DESPACHOS!$B$3:$B$3002,0)),"SIN DESPACHO"))</f>
        <v/>
      </c>
      <c r="E1746" s="42">
        <f>IF($C1746="","",IFERROR(INDEX(DESPACHOS!$K$3:$K$3002,MATCH($C1746,DESPACHOS!$B$3:$B$3002,0)),""))</f>
        <v/>
      </c>
      <c r="F1746" s="42">
        <f>IF($C1746="","",IFERROR(INDEX(DESPACHOS!$I$3:$I$3002,MATCH($C1746,DESPACHOS!$B$3:$B$3002,0)),""))</f>
        <v/>
      </c>
      <c r="G1746" s="42">
        <f>IF($C1746="","",IFERROR(INDEX(DESPACHOS!$F$3:$F$3002,MATCH($C1746,DESPACHOS!$B$3:$B$3002,0)),""))</f>
        <v/>
      </c>
      <c r="H1746" s="42">
        <f>IF($C1746="","",IFERROR(INDEX(DESPACHOS!$G$3:$G$3002,MATCH($C1746,DESPACHOS!$B$3:$B$3002,0)),""))</f>
        <v/>
      </c>
      <c r="I1746" s="39">
        <f>IF($C1746="","",IFERROR(INDEX(DESPACHOS!$H$3:$H$3002,MATCH($C1746,DESPACHOS!$B$3:$B$3002,0)),""))</f>
        <v/>
      </c>
      <c r="J1746" s="43">
        <f>IF($C1746="","",IFERROR(INDEX(DESPACHOS!$J$3:$J$3002,MATCH($C1746,DESPACHOS!$B$3:$B$3002,0)),""))</f>
        <v/>
      </c>
      <c r="K1746" s="39">
        <f>IF($C1746="","",IF(COUNTIFS(DESPACHOS!$B$3:$B$3002,$C1746)=0,"NO EXISTE",IF(COUNTIFS(DESPACHOS!$B$3:$B$3002,$C1746)&gt;1,"DUPLICADO","OK")))</f>
        <v/>
      </c>
      <c r="L1746" s="41" t="n"/>
      <c r="M1746" s="41" t="n"/>
      <c r="N1746" s="42">
        <f>IF($M1746="","",IFERROR(INDEX(LISTAS!$F$3:$F$42,MATCH($M1746,LISTAS!$E$3:$E$42,0)),"Por definir"))</f>
        <v/>
      </c>
      <c r="O1746" s="41" t="n"/>
      <c r="P1746" s="39">
        <f>IF($L1746="","",IFERROR(INDEX(LISTAS!$B$3:$B$42,MATCH($L1746,LISTAS!$A$3:$A$42,0)),"Media"))</f>
        <v/>
      </c>
      <c r="Q1746" s="44" t="n"/>
      <c r="R1746" s="45" t="n"/>
      <c r="S1746" s="20">
        <f>IFERROR(IF(OR($R1746="",$C1746=""),"",$R1746/INDEX(DESPACHOS!$M$3:$M$3002,MATCH($C1746,DESPACHOS!$B$3:$B$3002,0))),"")</f>
        <v/>
      </c>
      <c r="T1746" s="41" t="n"/>
      <c r="U1746" s="43">
        <f>IF(OR($B1746="",$L1746=""),"",WORKDAY($B1746,IFERROR(INDEX(LISTAS!$C$3:$C$42,MATCH($L1746,LISTAS!$A$3:$A$42,0)),3)))</f>
        <v/>
      </c>
      <c r="V1746" s="40" t="n"/>
      <c r="W1746" s="19">
        <f>IF($B1746="","",IF($V1746&lt;&gt;"",$V1746-$B1746,TODAY()-$B1746))</f>
        <v/>
      </c>
      <c r="X1746" s="19">
        <f>IF(OR($B1746="",$U1746=""),"",IF($V1746&lt;&gt;"",MAX(0,$V1746-$U1746),MAX(0,TODAY()-$U1746)))</f>
        <v/>
      </c>
      <c r="Y1746" s="39">
        <f>IF($C1746="","",IF(IFERROR(INDEX(LISTAS!$I$3:$I$42,MATCH($T1746,LISTAS!$H$3:$H$42,0)),"NO")="SÍ",IF(N($X1746)&gt;0,"CERRADA FUERA DE SLA","CERRADA EN SLA"),IF($U1746="","SIN CLASIFICAR",IF(N($X1746)&gt;0,"VENCIDA",IF(TODAY()&gt;=$U1746-1,"POR VENCER","EN PLAZO")))))</f>
        <v/>
      </c>
      <c r="Z1746" s="41" t="n"/>
      <c r="AA1746" s="41" t="n"/>
      <c r="AB1746" s="41" t="n"/>
    </row>
    <row r="1747">
      <c r="A1747" s="39">
        <f>IF($C1747="","","NOV-"&amp;TEXT(ROW()-3,"0000"))</f>
        <v/>
      </c>
      <c r="B1747" s="40" t="n"/>
      <c r="C1747" s="41" t="n"/>
      <c r="D1747" s="42">
        <f>IF($C1747="","",IFERROR(INDEX(DESPACHOS!$D$3:$D$3002,MATCH($C1747,DESPACHOS!$B$3:$B$3002,0)),"SIN DESPACHO"))</f>
        <v/>
      </c>
      <c r="E1747" s="42">
        <f>IF($C1747="","",IFERROR(INDEX(DESPACHOS!$K$3:$K$3002,MATCH($C1747,DESPACHOS!$B$3:$B$3002,0)),""))</f>
        <v/>
      </c>
      <c r="F1747" s="42">
        <f>IF($C1747="","",IFERROR(INDEX(DESPACHOS!$I$3:$I$3002,MATCH($C1747,DESPACHOS!$B$3:$B$3002,0)),""))</f>
        <v/>
      </c>
      <c r="G1747" s="42">
        <f>IF($C1747="","",IFERROR(INDEX(DESPACHOS!$F$3:$F$3002,MATCH($C1747,DESPACHOS!$B$3:$B$3002,0)),""))</f>
        <v/>
      </c>
      <c r="H1747" s="42">
        <f>IF($C1747="","",IFERROR(INDEX(DESPACHOS!$G$3:$G$3002,MATCH($C1747,DESPACHOS!$B$3:$B$3002,0)),""))</f>
        <v/>
      </c>
      <c r="I1747" s="39">
        <f>IF($C1747="","",IFERROR(INDEX(DESPACHOS!$H$3:$H$3002,MATCH($C1747,DESPACHOS!$B$3:$B$3002,0)),""))</f>
        <v/>
      </c>
      <c r="J1747" s="43">
        <f>IF($C1747="","",IFERROR(INDEX(DESPACHOS!$J$3:$J$3002,MATCH($C1747,DESPACHOS!$B$3:$B$3002,0)),""))</f>
        <v/>
      </c>
      <c r="K1747" s="39">
        <f>IF($C1747="","",IF(COUNTIFS(DESPACHOS!$B$3:$B$3002,$C1747)=0,"NO EXISTE",IF(COUNTIFS(DESPACHOS!$B$3:$B$3002,$C1747)&gt;1,"DUPLICADO","OK")))</f>
        <v/>
      </c>
      <c r="L1747" s="41" t="n"/>
      <c r="M1747" s="41" t="n"/>
      <c r="N1747" s="42">
        <f>IF($M1747="","",IFERROR(INDEX(LISTAS!$F$3:$F$42,MATCH($M1747,LISTAS!$E$3:$E$42,0)),"Por definir"))</f>
        <v/>
      </c>
      <c r="O1747" s="41" t="n"/>
      <c r="P1747" s="39">
        <f>IF($L1747="","",IFERROR(INDEX(LISTAS!$B$3:$B$42,MATCH($L1747,LISTAS!$A$3:$A$42,0)),"Media"))</f>
        <v/>
      </c>
      <c r="Q1747" s="44" t="n"/>
      <c r="R1747" s="45" t="n"/>
      <c r="S1747" s="20">
        <f>IFERROR(IF(OR($R1747="",$C1747=""),"",$R1747/INDEX(DESPACHOS!$M$3:$M$3002,MATCH($C1747,DESPACHOS!$B$3:$B$3002,0))),"")</f>
        <v/>
      </c>
      <c r="T1747" s="41" t="n"/>
      <c r="U1747" s="43">
        <f>IF(OR($B1747="",$L1747=""),"",WORKDAY($B1747,IFERROR(INDEX(LISTAS!$C$3:$C$42,MATCH($L1747,LISTAS!$A$3:$A$42,0)),3)))</f>
        <v/>
      </c>
      <c r="V1747" s="40" t="n"/>
      <c r="W1747" s="19">
        <f>IF($B1747="","",IF($V1747&lt;&gt;"",$V1747-$B1747,TODAY()-$B1747))</f>
        <v/>
      </c>
      <c r="X1747" s="19">
        <f>IF(OR($B1747="",$U1747=""),"",IF($V1747&lt;&gt;"",MAX(0,$V1747-$U1747),MAX(0,TODAY()-$U1747)))</f>
        <v/>
      </c>
      <c r="Y1747" s="39">
        <f>IF($C1747="","",IF(IFERROR(INDEX(LISTAS!$I$3:$I$42,MATCH($T1747,LISTAS!$H$3:$H$42,0)),"NO")="SÍ",IF(N($X1747)&gt;0,"CERRADA FUERA DE SLA","CERRADA EN SLA"),IF($U1747="","SIN CLASIFICAR",IF(N($X1747)&gt;0,"VENCIDA",IF(TODAY()&gt;=$U1747-1,"POR VENCER","EN PLAZO")))))</f>
        <v/>
      </c>
      <c r="Z1747" s="41" t="n"/>
      <c r="AA1747" s="41" t="n"/>
      <c r="AB1747" s="41" t="n"/>
    </row>
    <row r="1748">
      <c r="A1748" s="39">
        <f>IF($C1748="","","NOV-"&amp;TEXT(ROW()-3,"0000"))</f>
        <v/>
      </c>
      <c r="B1748" s="40" t="n"/>
      <c r="C1748" s="41" t="n"/>
      <c r="D1748" s="42">
        <f>IF($C1748="","",IFERROR(INDEX(DESPACHOS!$D$3:$D$3002,MATCH($C1748,DESPACHOS!$B$3:$B$3002,0)),"SIN DESPACHO"))</f>
        <v/>
      </c>
      <c r="E1748" s="42">
        <f>IF($C1748="","",IFERROR(INDEX(DESPACHOS!$K$3:$K$3002,MATCH($C1748,DESPACHOS!$B$3:$B$3002,0)),""))</f>
        <v/>
      </c>
      <c r="F1748" s="42">
        <f>IF($C1748="","",IFERROR(INDEX(DESPACHOS!$I$3:$I$3002,MATCH($C1748,DESPACHOS!$B$3:$B$3002,0)),""))</f>
        <v/>
      </c>
      <c r="G1748" s="42">
        <f>IF($C1748="","",IFERROR(INDEX(DESPACHOS!$F$3:$F$3002,MATCH($C1748,DESPACHOS!$B$3:$B$3002,0)),""))</f>
        <v/>
      </c>
      <c r="H1748" s="42">
        <f>IF($C1748="","",IFERROR(INDEX(DESPACHOS!$G$3:$G$3002,MATCH($C1748,DESPACHOS!$B$3:$B$3002,0)),""))</f>
        <v/>
      </c>
      <c r="I1748" s="39">
        <f>IF($C1748="","",IFERROR(INDEX(DESPACHOS!$H$3:$H$3002,MATCH($C1748,DESPACHOS!$B$3:$B$3002,0)),""))</f>
        <v/>
      </c>
      <c r="J1748" s="43">
        <f>IF($C1748="","",IFERROR(INDEX(DESPACHOS!$J$3:$J$3002,MATCH($C1748,DESPACHOS!$B$3:$B$3002,0)),""))</f>
        <v/>
      </c>
      <c r="K1748" s="39">
        <f>IF($C1748="","",IF(COUNTIFS(DESPACHOS!$B$3:$B$3002,$C1748)=0,"NO EXISTE",IF(COUNTIFS(DESPACHOS!$B$3:$B$3002,$C1748)&gt;1,"DUPLICADO","OK")))</f>
        <v/>
      </c>
      <c r="L1748" s="41" t="n"/>
      <c r="M1748" s="41" t="n"/>
      <c r="N1748" s="42">
        <f>IF($M1748="","",IFERROR(INDEX(LISTAS!$F$3:$F$42,MATCH($M1748,LISTAS!$E$3:$E$42,0)),"Por definir"))</f>
        <v/>
      </c>
      <c r="O1748" s="41" t="n"/>
      <c r="P1748" s="39">
        <f>IF($L1748="","",IFERROR(INDEX(LISTAS!$B$3:$B$42,MATCH($L1748,LISTAS!$A$3:$A$42,0)),"Media"))</f>
        <v/>
      </c>
      <c r="Q1748" s="44" t="n"/>
      <c r="R1748" s="45" t="n"/>
      <c r="S1748" s="20">
        <f>IFERROR(IF(OR($R1748="",$C1748=""),"",$R1748/INDEX(DESPACHOS!$M$3:$M$3002,MATCH($C1748,DESPACHOS!$B$3:$B$3002,0))),"")</f>
        <v/>
      </c>
      <c r="T1748" s="41" t="n"/>
      <c r="U1748" s="43">
        <f>IF(OR($B1748="",$L1748=""),"",WORKDAY($B1748,IFERROR(INDEX(LISTAS!$C$3:$C$42,MATCH($L1748,LISTAS!$A$3:$A$42,0)),3)))</f>
        <v/>
      </c>
      <c r="V1748" s="40" t="n"/>
      <c r="W1748" s="19">
        <f>IF($B1748="","",IF($V1748&lt;&gt;"",$V1748-$B1748,TODAY()-$B1748))</f>
        <v/>
      </c>
      <c r="X1748" s="19">
        <f>IF(OR($B1748="",$U1748=""),"",IF($V1748&lt;&gt;"",MAX(0,$V1748-$U1748),MAX(0,TODAY()-$U1748)))</f>
        <v/>
      </c>
      <c r="Y1748" s="39">
        <f>IF($C1748="","",IF(IFERROR(INDEX(LISTAS!$I$3:$I$42,MATCH($T1748,LISTAS!$H$3:$H$42,0)),"NO")="SÍ",IF(N($X1748)&gt;0,"CERRADA FUERA DE SLA","CERRADA EN SLA"),IF($U1748="","SIN CLASIFICAR",IF(N($X1748)&gt;0,"VENCIDA",IF(TODAY()&gt;=$U1748-1,"POR VENCER","EN PLAZO")))))</f>
        <v/>
      </c>
      <c r="Z1748" s="41" t="n"/>
      <c r="AA1748" s="41" t="n"/>
      <c r="AB1748" s="41" t="n"/>
    </row>
    <row r="1749">
      <c r="A1749" s="39">
        <f>IF($C1749="","","NOV-"&amp;TEXT(ROW()-3,"0000"))</f>
        <v/>
      </c>
      <c r="B1749" s="40" t="n"/>
      <c r="C1749" s="41" t="n"/>
      <c r="D1749" s="42">
        <f>IF($C1749="","",IFERROR(INDEX(DESPACHOS!$D$3:$D$3002,MATCH($C1749,DESPACHOS!$B$3:$B$3002,0)),"SIN DESPACHO"))</f>
        <v/>
      </c>
      <c r="E1749" s="42">
        <f>IF($C1749="","",IFERROR(INDEX(DESPACHOS!$K$3:$K$3002,MATCH($C1749,DESPACHOS!$B$3:$B$3002,0)),""))</f>
        <v/>
      </c>
      <c r="F1749" s="42">
        <f>IF($C1749="","",IFERROR(INDEX(DESPACHOS!$I$3:$I$3002,MATCH($C1749,DESPACHOS!$B$3:$B$3002,0)),""))</f>
        <v/>
      </c>
      <c r="G1749" s="42">
        <f>IF($C1749="","",IFERROR(INDEX(DESPACHOS!$F$3:$F$3002,MATCH($C1749,DESPACHOS!$B$3:$B$3002,0)),""))</f>
        <v/>
      </c>
      <c r="H1749" s="42">
        <f>IF($C1749="","",IFERROR(INDEX(DESPACHOS!$G$3:$G$3002,MATCH($C1749,DESPACHOS!$B$3:$B$3002,0)),""))</f>
        <v/>
      </c>
      <c r="I1749" s="39">
        <f>IF($C1749="","",IFERROR(INDEX(DESPACHOS!$H$3:$H$3002,MATCH($C1749,DESPACHOS!$B$3:$B$3002,0)),""))</f>
        <v/>
      </c>
      <c r="J1749" s="43">
        <f>IF($C1749="","",IFERROR(INDEX(DESPACHOS!$J$3:$J$3002,MATCH($C1749,DESPACHOS!$B$3:$B$3002,0)),""))</f>
        <v/>
      </c>
      <c r="K1749" s="39">
        <f>IF($C1749="","",IF(COUNTIFS(DESPACHOS!$B$3:$B$3002,$C1749)=0,"NO EXISTE",IF(COUNTIFS(DESPACHOS!$B$3:$B$3002,$C1749)&gt;1,"DUPLICADO","OK")))</f>
        <v/>
      </c>
      <c r="L1749" s="41" t="n"/>
      <c r="M1749" s="41" t="n"/>
      <c r="N1749" s="42">
        <f>IF($M1749="","",IFERROR(INDEX(LISTAS!$F$3:$F$42,MATCH($M1749,LISTAS!$E$3:$E$42,0)),"Por definir"))</f>
        <v/>
      </c>
      <c r="O1749" s="41" t="n"/>
      <c r="P1749" s="39">
        <f>IF($L1749="","",IFERROR(INDEX(LISTAS!$B$3:$B$42,MATCH($L1749,LISTAS!$A$3:$A$42,0)),"Media"))</f>
        <v/>
      </c>
      <c r="Q1749" s="44" t="n"/>
      <c r="R1749" s="45" t="n"/>
      <c r="S1749" s="20">
        <f>IFERROR(IF(OR($R1749="",$C1749=""),"",$R1749/INDEX(DESPACHOS!$M$3:$M$3002,MATCH($C1749,DESPACHOS!$B$3:$B$3002,0))),"")</f>
        <v/>
      </c>
      <c r="T1749" s="41" t="n"/>
      <c r="U1749" s="43">
        <f>IF(OR($B1749="",$L1749=""),"",WORKDAY($B1749,IFERROR(INDEX(LISTAS!$C$3:$C$42,MATCH($L1749,LISTAS!$A$3:$A$42,0)),3)))</f>
        <v/>
      </c>
      <c r="V1749" s="40" t="n"/>
      <c r="W1749" s="19">
        <f>IF($B1749="","",IF($V1749&lt;&gt;"",$V1749-$B1749,TODAY()-$B1749))</f>
        <v/>
      </c>
      <c r="X1749" s="19">
        <f>IF(OR($B1749="",$U1749=""),"",IF($V1749&lt;&gt;"",MAX(0,$V1749-$U1749),MAX(0,TODAY()-$U1749)))</f>
        <v/>
      </c>
      <c r="Y1749" s="39">
        <f>IF($C1749="","",IF(IFERROR(INDEX(LISTAS!$I$3:$I$42,MATCH($T1749,LISTAS!$H$3:$H$42,0)),"NO")="SÍ",IF(N($X1749)&gt;0,"CERRADA FUERA DE SLA","CERRADA EN SLA"),IF($U1749="","SIN CLASIFICAR",IF(N($X1749)&gt;0,"VENCIDA",IF(TODAY()&gt;=$U1749-1,"POR VENCER","EN PLAZO")))))</f>
        <v/>
      </c>
      <c r="Z1749" s="41" t="n"/>
      <c r="AA1749" s="41" t="n"/>
      <c r="AB1749" s="41" t="n"/>
    </row>
    <row r="1750">
      <c r="A1750" s="39">
        <f>IF($C1750="","","NOV-"&amp;TEXT(ROW()-3,"0000"))</f>
        <v/>
      </c>
      <c r="B1750" s="40" t="n"/>
      <c r="C1750" s="41" t="n"/>
      <c r="D1750" s="42">
        <f>IF($C1750="","",IFERROR(INDEX(DESPACHOS!$D$3:$D$3002,MATCH($C1750,DESPACHOS!$B$3:$B$3002,0)),"SIN DESPACHO"))</f>
        <v/>
      </c>
      <c r="E1750" s="42">
        <f>IF($C1750="","",IFERROR(INDEX(DESPACHOS!$K$3:$K$3002,MATCH($C1750,DESPACHOS!$B$3:$B$3002,0)),""))</f>
        <v/>
      </c>
      <c r="F1750" s="42">
        <f>IF($C1750="","",IFERROR(INDEX(DESPACHOS!$I$3:$I$3002,MATCH($C1750,DESPACHOS!$B$3:$B$3002,0)),""))</f>
        <v/>
      </c>
      <c r="G1750" s="42">
        <f>IF($C1750="","",IFERROR(INDEX(DESPACHOS!$F$3:$F$3002,MATCH($C1750,DESPACHOS!$B$3:$B$3002,0)),""))</f>
        <v/>
      </c>
      <c r="H1750" s="42">
        <f>IF($C1750="","",IFERROR(INDEX(DESPACHOS!$G$3:$G$3002,MATCH($C1750,DESPACHOS!$B$3:$B$3002,0)),""))</f>
        <v/>
      </c>
      <c r="I1750" s="39">
        <f>IF($C1750="","",IFERROR(INDEX(DESPACHOS!$H$3:$H$3002,MATCH($C1750,DESPACHOS!$B$3:$B$3002,0)),""))</f>
        <v/>
      </c>
      <c r="J1750" s="43">
        <f>IF($C1750="","",IFERROR(INDEX(DESPACHOS!$J$3:$J$3002,MATCH($C1750,DESPACHOS!$B$3:$B$3002,0)),""))</f>
        <v/>
      </c>
      <c r="K1750" s="39">
        <f>IF($C1750="","",IF(COUNTIFS(DESPACHOS!$B$3:$B$3002,$C1750)=0,"NO EXISTE",IF(COUNTIFS(DESPACHOS!$B$3:$B$3002,$C1750)&gt;1,"DUPLICADO","OK")))</f>
        <v/>
      </c>
      <c r="L1750" s="41" t="n"/>
      <c r="M1750" s="41" t="n"/>
      <c r="N1750" s="42">
        <f>IF($M1750="","",IFERROR(INDEX(LISTAS!$F$3:$F$42,MATCH($M1750,LISTAS!$E$3:$E$42,0)),"Por definir"))</f>
        <v/>
      </c>
      <c r="O1750" s="41" t="n"/>
      <c r="P1750" s="39">
        <f>IF($L1750="","",IFERROR(INDEX(LISTAS!$B$3:$B$42,MATCH($L1750,LISTAS!$A$3:$A$42,0)),"Media"))</f>
        <v/>
      </c>
      <c r="Q1750" s="44" t="n"/>
      <c r="R1750" s="45" t="n"/>
      <c r="S1750" s="20">
        <f>IFERROR(IF(OR($R1750="",$C1750=""),"",$R1750/INDEX(DESPACHOS!$M$3:$M$3002,MATCH($C1750,DESPACHOS!$B$3:$B$3002,0))),"")</f>
        <v/>
      </c>
      <c r="T1750" s="41" t="n"/>
      <c r="U1750" s="43">
        <f>IF(OR($B1750="",$L1750=""),"",WORKDAY($B1750,IFERROR(INDEX(LISTAS!$C$3:$C$42,MATCH($L1750,LISTAS!$A$3:$A$42,0)),3)))</f>
        <v/>
      </c>
      <c r="V1750" s="40" t="n"/>
      <c r="W1750" s="19">
        <f>IF($B1750="","",IF($V1750&lt;&gt;"",$V1750-$B1750,TODAY()-$B1750))</f>
        <v/>
      </c>
      <c r="X1750" s="19">
        <f>IF(OR($B1750="",$U1750=""),"",IF($V1750&lt;&gt;"",MAX(0,$V1750-$U1750),MAX(0,TODAY()-$U1750)))</f>
        <v/>
      </c>
      <c r="Y1750" s="39">
        <f>IF($C1750="","",IF(IFERROR(INDEX(LISTAS!$I$3:$I$42,MATCH($T1750,LISTAS!$H$3:$H$42,0)),"NO")="SÍ",IF(N($X1750)&gt;0,"CERRADA FUERA DE SLA","CERRADA EN SLA"),IF($U1750="","SIN CLASIFICAR",IF(N($X1750)&gt;0,"VENCIDA",IF(TODAY()&gt;=$U1750-1,"POR VENCER","EN PLAZO")))))</f>
        <v/>
      </c>
      <c r="Z1750" s="41" t="n"/>
      <c r="AA1750" s="41" t="n"/>
      <c r="AB1750" s="41" t="n"/>
    </row>
    <row r="1751">
      <c r="A1751" s="39">
        <f>IF($C1751="","","NOV-"&amp;TEXT(ROW()-3,"0000"))</f>
        <v/>
      </c>
      <c r="B1751" s="40" t="n"/>
      <c r="C1751" s="41" t="n"/>
      <c r="D1751" s="42">
        <f>IF($C1751="","",IFERROR(INDEX(DESPACHOS!$D$3:$D$3002,MATCH($C1751,DESPACHOS!$B$3:$B$3002,0)),"SIN DESPACHO"))</f>
        <v/>
      </c>
      <c r="E1751" s="42">
        <f>IF($C1751="","",IFERROR(INDEX(DESPACHOS!$K$3:$K$3002,MATCH($C1751,DESPACHOS!$B$3:$B$3002,0)),""))</f>
        <v/>
      </c>
      <c r="F1751" s="42">
        <f>IF($C1751="","",IFERROR(INDEX(DESPACHOS!$I$3:$I$3002,MATCH($C1751,DESPACHOS!$B$3:$B$3002,0)),""))</f>
        <v/>
      </c>
      <c r="G1751" s="42">
        <f>IF($C1751="","",IFERROR(INDEX(DESPACHOS!$F$3:$F$3002,MATCH($C1751,DESPACHOS!$B$3:$B$3002,0)),""))</f>
        <v/>
      </c>
      <c r="H1751" s="42">
        <f>IF($C1751="","",IFERROR(INDEX(DESPACHOS!$G$3:$G$3002,MATCH($C1751,DESPACHOS!$B$3:$B$3002,0)),""))</f>
        <v/>
      </c>
      <c r="I1751" s="39">
        <f>IF($C1751="","",IFERROR(INDEX(DESPACHOS!$H$3:$H$3002,MATCH($C1751,DESPACHOS!$B$3:$B$3002,0)),""))</f>
        <v/>
      </c>
      <c r="J1751" s="43">
        <f>IF($C1751="","",IFERROR(INDEX(DESPACHOS!$J$3:$J$3002,MATCH($C1751,DESPACHOS!$B$3:$B$3002,0)),""))</f>
        <v/>
      </c>
      <c r="K1751" s="39">
        <f>IF($C1751="","",IF(COUNTIFS(DESPACHOS!$B$3:$B$3002,$C1751)=0,"NO EXISTE",IF(COUNTIFS(DESPACHOS!$B$3:$B$3002,$C1751)&gt;1,"DUPLICADO","OK")))</f>
        <v/>
      </c>
      <c r="L1751" s="41" t="n"/>
      <c r="M1751" s="41" t="n"/>
      <c r="N1751" s="42">
        <f>IF($M1751="","",IFERROR(INDEX(LISTAS!$F$3:$F$42,MATCH($M1751,LISTAS!$E$3:$E$42,0)),"Por definir"))</f>
        <v/>
      </c>
      <c r="O1751" s="41" t="n"/>
      <c r="P1751" s="39">
        <f>IF($L1751="","",IFERROR(INDEX(LISTAS!$B$3:$B$42,MATCH($L1751,LISTAS!$A$3:$A$42,0)),"Media"))</f>
        <v/>
      </c>
      <c r="Q1751" s="44" t="n"/>
      <c r="R1751" s="45" t="n"/>
      <c r="S1751" s="20">
        <f>IFERROR(IF(OR($R1751="",$C1751=""),"",$R1751/INDEX(DESPACHOS!$M$3:$M$3002,MATCH($C1751,DESPACHOS!$B$3:$B$3002,0))),"")</f>
        <v/>
      </c>
      <c r="T1751" s="41" t="n"/>
      <c r="U1751" s="43">
        <f>IF(OR($B1751="",$L1751=""),"",WORKDAY($B1751,IFERROR(INDEX(LISTAS!$C$3:$C$42,MATCH($L1751,LISTAS!$A$3:$A$42,0)),3)))</f>
        <v/>
      </c>
      <c r="V1751" s="40" t="n"/>
      <c r="W1751" s="19">
        <f>IF($B1751="","",IF($V1751&lt;&gt;"",$V1751-$B1751,TODAY()-$B1751))</f>
        <v/>
      </c>
      <c r="X1751" s="19">
        <f>IF(OR($B1751="",$U1751=""),"",IF($V1751&lt;&gt;"",MAX(0,$V1751-$U1751),MAX(0,TODAY()-$U1751)))</f>
        <v/>
      </c>
      <c r="Y1751" s="39">
        <f>IF($C1751="","",IF(IFERROR(INDEX(LISTAS!$I$3:$I$42,MATCH($T1751,LISTAS!$H$3:$H$42,0)),"NO")="SÍ",IF(N($X1751)&gt;0,"CERRADA FUERA DE SLA","CERRADA EN SLA"),IF($U1751="","SIN CLASIFICAR",IF(N($X1751)&gt;0,"VENCIDA",IF(TODAY()&gt;=$U1751-1,"POR VENCER","EN PLAZO")))))</f>
        <v/>
      </c>
      <c r="Z1751" s="41" t="n"/>
      <c r="AA1751" s="41" t="n"/>
      <c r="AB1751" s="41" t="n"/>
    </row>
    <row r="1752">
      <c r="A1752" s="39">
        <f>IF($C1752="","","NOV-"&amp;TEXT(ROW()-3,"0000"))</f>
        <v/>
      </c>
      <c r="B1752" s="40" t="n"/>
      <c r="C1752" s="41" t="n"/>
      <c r="D1752" s="42">
        <f>IF($C1752="","",IFERROR(INDEX(DESPACHOS!$D$3:$D$3002,MATCH($C1752,DESPACHOS!$B$3:$B$3002,0)),"SIN DESPACHO"))</f>
        <v/>
      </c>
      <c r="E1752" s="42">
        <f>IF($C1752="","",IFERROR(INDEX(DESPACHOS!$K$3:$K$3002,MATCH($C1752,DESPACHOS!$B$3:$B$3002,0)),""))</f>
        <v/>
      </c>
      <c r="F1752" s="42">
        <f>IF($C1752="","",IFERROR(INDEX(DESPACHOS!$I$3:$I$3002,MATCH($C1752,DESPACHOS!$B$3:$B$3002,0)),""))</f>
        <v/>
      </c>
      <c r="G1752" s="42">
        <f>IF($C1752="","",IFERROR(INDEX(DESPACHOS!$F$3:$F$3002,MATCH($C1752,DESPACHOS!$B$3:$B$3002,0)),""))</f>
        <v/>
      </c>
      <c r="H1752" s="42">
        <f>IF($C1752="","",IFERROR(INDEX(DESPACHOS!$G$3:$G$3002,MATCH($C1752,DESPACHOS!$B$3:$B$3002,0)),""))</f>
        <v/>
      </c>
      <c r="I1752" s="39">
        <f>IF($C1752="","",IFERROR(INDEX(DESPACHOS!$H$3:$H$3002,MATCH($C1752,DESPACHOS!$B$3:$B$3002,0)),""))</f>
        <v/>
      </c>
      <c r="J1752" s="43">
        <f>IF($C1752="","",IFERROR(INDEX(DESPACHOS!$J$3:$J$3002,MATCH($C1752,DESPACHOS!$B$3:$B$3002,0)),""))</f>
        <v/>
      </c>
      <c r="K1752" s="39">
        <f>IF($C1752="","",IF(COUNTIFS(DESPACHOS!$B$3:$B$3002,$C1752)=0,"NO EXISTE",IF(COUNTIFS(DESPACHOS!$B$3:$B$3002,$C1752)&gt;1,"DUPLICADO","OK")))</f>
        <v/>
      </c>
      <c r="L1752" s="41" t="n"/>
      <c r="M1752" s="41" t="n"/>
      <c r="N1752" s="42">
        <f>IF($M1752="","",IFERROR(INDEX(LISTAS!$F$3:$F$42,MATCH($M1752,LISTAS!$E$3:$E$42,0)),"Por definir"))</f>
        <v/>
      </c>
      <c r="O1752" s="41" t="n"/>
      <c r="P1752" s="39">
        <f>IF($L1752="","",IFERROR(INDEX(LISTAS!$B$3:$B$42,MATCH($L1752,LISTAS!$A$3:$A$42,0)),"Media"))</f>
        <v/>
      </c>
      <c r="Q1752" s="44" t="n"/>
      <c r="R1752" s="45" t="n"/>
      <c r="S1752" s="20">
        <f>IFERROR(IF(OR($R1752="",$C1752=""),"",$R1752/INDEX(DESPACHOS!$M$3:$M$3002,MATCH($C1752,DESPACHOS!$B$3:$B$3002,0))),"")</f>
        <v/>
      </c>
      <c r="T1752" s="41" t="n"/>
      <c r="U1752" s="43">
        <f>IF(OR($B1752="",$L1752=""),"",WORKDAY($B1752,IFERROR(INDEX(LISTAS!$C$3:$C$42,MATCH($L1752,LISTAS!$A$3:$A$42,0)),3)))</f>
        <v/>
      </c>
      <c r="V1752" s="40" t="n"/>
      <c r="W1752" s="19">
        <f>IF($B1752="","",IF($V1752&lt;&gt;"",$V1752-$B1752,TODAY()-$B1752))</f>
        <v/>
      </c>
      <c r="X1752" s="19">
        <f>IF(OR($B1752="",$U1752=""),"",IF($V1752&lt;&gt;"",MAX(0,$V1752-$U1752),MAX(0,TODAY()-$U1752)))</f>
        <v/>
      </c>
      <c r="Y1752" s="39">
        <f>IF($C1752="","",IF(IFERROR(INDEX(LISTAS!$I$3:$I$42,MATCH($T1752,LISTAS!$H$3:$H$42,0)),"NO")="SÍ",IF(N($X1752)&gt;0,"CERRADA FUERA DE SLA","CERRADA EN SLA"),IF($U1752="","SIN CLASIFICAR",IF(N($X1752)&gt;0,"VENCIDA",IF(TODAY()&gt;=$U1752-1,"POR VENCER","EN PLAZO")))))</f>
        <v/>
      </c>
      <c r="Z1752" s="41" t="n"/>
      <c r="AA1752" s="41" t="n"/>
      <c r="AB1752" s="41" t="n"/>
    </row>
    <row r="1753">
      <c r="A1753" s="39">
        <f>IF($C1753="","","NOV-"&amp;TEXT(ROW()-3,"0000"))</f>
        <v/>
      </c>
      <c r="B1753" s="40" t="n"/>
      <c r="C1753" s="41" t="n"/>
      <c r="D1753" s="42">
        <f>IF($C1753="","",IFERROR(INDEX(DESPACHOS!$D$3:$D$3002,MATCH($C1753,DESPACHOS!$B$3:$B$3002,0)),"SIN DESPACHO"))</f>
        <v/>
      </c>
      <c r="E1753" s="42">
        <f>IF($C1753="","",IFERROR(INDEX(DESPACHOS!$K$3:$K$3002,MATCH($C1753,DESPACHOS!$B$3:$B$3002,0)),""))</f>
        <v/>
      </c>
      <c r="F1753" s="42">
        <f>IF($C1753="","",IFERROR(INDEX(DESPACHOS!$I$3:$I$3002,MATCH($C1753,DESPACHOS!$B$3:$B$3002,0)),""))</f>
        <v/>
      </c>
      <c r="G1753" s="42">
        <f>IF($C1753="","",IFERROR(INDEX(DESPACHOS!$F$3:$F$3002,MATCH($C1753,DESPACHOS!$B$3:$B$3002,0)),""))</f>
        <v/>
      </c>
      <c r="H1753" s="42">
        <f>IF($C1753="","",IFERROR(INDEX(DESPACHOS!$G$3:$G$3002,MATCH($C1753,DESPACHOS!$B$3:$B$3002,0)),""))</f>
        <v/>
      </c>
      <c r="I1753" s="39">
        <f>IF($C1753="","",IFERROR(INDEX(DESPACHOS!$H$3:$H$3002,MATCH($C1753,DESPACHOS!$B$3:$B$3002,0)),""))</f>
        <v/>
      </c>
      <c r="J1753" s="43">
        <f>IF($C1753="","",IFERROR(INDEX(DESPACHOS!$J$3:$J$3002,MATCH($C1753,DESPACHOS!$B$3:$B$3002,0)),""))</f>
        <v/>
      </c>
      <c r="K1753" s="39">
        <f>IF($C1753="","",IF(COUNTIFS(DESPACHOS!$B$3:$B$3002,$C1753)=0,"NO EXISTE",IF(COUNTIFS(DESPACHOS!$B$3:$B$3002,$C1753)&gt;1,"DUPLICADO","OK")))</f>
        <v/>
      </c>
      <c r="L1753" s="41" t="n"/>
      <c r="M1753" s="41" t="n"/>
      <c r="N1753" s="42">
        <f>IF($M1753="","",IFERROR(INDEX(LISTAS!$F$3:$F$42,MATCH($M1753,LISTAS!$E$3:$E$42,0)),"Por definir"))</f>
        <v/>
      </c>
      <c r="O1753" s="41" t="n"/>
      <c r="P1753" s="39">
        <f>IF($L1753="","",IFERROR(INDEX(LISTAS!$B$3:$B$42,MATCH($L1753,LISTAS!$A$3:$A$42,0)),"Media"))</f>
        <v/>
      </c>
      <c r="Q1753" s="44" t="n"/>
      <c r="R1753" s="45" t="n"/>
      <c r="S1753" s="20">
        <f>IFERROR(IF(OR($R1753="",$C1753=""),"",$R1753/INDEX(DESPACHOS!$M$3:$M$3002,MATCH($C1753,DESPACHOS!$B$3:$B$3002,0))),"")</f>
        <v/>
      </c>
      <c r="T1753" s="41" t="n"/>
      <c r="U1753" s="43">
        <f>IF(OR($B1753="",$L1753=""),"",WORKDAY($B1753,IFERROR(INDEX(LISTAS!$C$3:$C$42,MATCH($L1753,LISTAS!$A$3:$A$42,0)),3)))</f>
        <v/>
      </c>
      <c r="V1753" s="40" t="n"/>
      <c r="W1753" s="19">
        <f>IF($B1753="","",IF($V1753&lt;&gt;"",$V1753-$B1753,TODAY()-$B1753))</f>
        <v/>
      </c>
      <c r="X1753" s="19">
        <f>IF(OR($B1753="",$U1753=""),"",IF($V1753&lt;&gt;"",MAX(0,$V1753-$U1753),MAX(0,TODAY()-$U1753)))</f>
        <v/>
      </c>
      <c r="Y1753" s="39">
        <f>IF($C1753="","",IF(IFERROR(INDEX(LISTAS!$I$3:$I$42,MATCH($T1753,LISTAS!$H$3:$H$42,0)),"NO")="SÍ",IF(N($X1753)&gt;0,"CERRADA FUERA DE SLA","CERRADA EN SLA"),IF($U1753="","SIN CLASIFICAR",IF(N($X1753)&gt;0,"VENCIDA",IF(TODAY()&gt;=$U1753-1,"POR VENCER","EN PLAZO")))))</f>
        <v/>
      </c>
      <c r="Z1753" s="41" t="n"/>
      <c r="AA1753" s="41" t="n"/>
      <c r="AB1753" s="41" t="n"/>
    </row>
    <row r="1754">
      <c r="A1754" s="39">
        <f>IF($C1754="","","NOV-"&amp;TEXT(ROW()-3,"0000"))</f>
        <v/>
      </c>
      <c r="B1754" s="40" t="n"/>
      <c r="C1754" s="41" t="n"/>
      <c r="D1754" s="42">
        <f>IF($C1754="","",IFERROR(INDEX(DESPACHOS!$D$3:$D$3002,MATCH($C1754,DESPACHOS!$B$3:$B$3002,0)),"SIN DESPACHO"))</f>
        <v/>
      </c>
      <c r="E1754" s="42">
        <f>IF($C1754="","",IFERROR(INDEX(DESPACHOS!$K$3:$K$3002,MATCH($C1754,DESPACHOS!$B$3:$B$3002,0)),""))</f>
        <v/>
      </c>
      <c r="F1754" s="42">
        <f>IF($C1754="","",IFERROR(INDEX(DESPACHOS!$I$3:$I$3002,MATCH($C1754,DESPACHOS!$B$3:$B$3002,0)),""))</f>
        <v/>
      </c>
      <c r="G1754" s="42">
        <f>IF($C1754="","",IFERROR(INDEX(DESPACHOS!$F$3:$F$3002,MATCH($C1754,DESPACHOS!$B$3:$B$3002,0)),""))</f>
        <v/>
      </c>
      <c r="H1754" s="42">
        <f>IF($C1754="","",IFERROR(INDEX(DESPACHOS!$G$3:$G$3002,MATCH($C1754,DESPACHOS!$B$3:$B$3002,0)),""))</f>
        <v/>
      </c>
      <c r="I1754" s="39">
        <f>IF($C1754="","",IFERROR(INDEX(DESPACHOS!$H$3:$H$3002,MATCH($C1754,DESPACHOS!$B$3:$B$3002,0)),""))</f>
        <v/>
      </c>
      <c r="J1754" s="43">
        <f>IF($C1754="","",IFERROR(INDEX(DESPACHOS!$J$3:$J$3002,MATCH($C1754,DESPACHOS!$B$3:$B$3002,0)),""))</f>
        <v/>
      </c>
      <c r="K1754" s="39">
        <f>IF($C1754="","",IF(COUNTIFS(DESPACHOS!$B$3:$B$3002,$C1754)=0,"NO EXISTE",IF(COUNTIFS(DESPACHOS!$B$3:$B$3002,$C1754)&gt;1,"DUPLICADO","OK")))</f>
        <v/>
      </c>
      <c r="L1754" s="41" t="n"/>
      <c r="M1754" s="41" t="n"/>
      <c r="N1754" s="42">
        <f>IF($M1754="","",IFERROR(INDEX(LISTAS!$F$3:$F$42,MATCH($M1754,LISTAS!$E$3:$E$42,0)),"Por definir"))</f>
        <v/>
      </c>
      <c r="O1754" s="41" t="n"/>
      <c r="P1754" s="39">
        <f>IF($L1754="","",IFERROR(INDEX(LISTAS!$B$3:$B$42,MATCH($L1754,LISTAS!$A$3:$A$42,0)),"Media"))</f>
        <v/>
      </c>
      <c r="Q1754" s="44" t="n"/>
      <c r="R1754" s="45" t="n"/>
      <c r="S1754" s="20">
        <f>IFERROR(IF(OR($R1754="",$C1754=""),"",$R1754/INDEX(DESPACHOS!$M$3:$M$3002,MATCH($C1754,DESPACHOS!$B$3:$B$3002,0))),"")</f>
        <v/>
      </c>
      <c r="T1754" s="41" t="n"/>
      <c r="U1754" s="43">
        <f>IF(OR($B1754="",$L1754=""),"",WORKDAY($B1754,IFERROR(INDEX(LISTAS!$C$3:$C$42,MATCH($L1754,LISTAS!$A$3:$A$42,0)),3)))</f>
        <v/>
      </c>
      <c r="V1754" s="40" t="n"/>
      <c r="W1754" s="19">
        <f>IF($B1754="","",IF($V1754&lt;&gt;"",$V1754-$B1754,TODAY()-$B1754))</f>
        <v/>
      </c>
      <c r="X1754" s="19">
        <f>IF(OR($B1754="",$U1754=""),"",IF($V1754&lt;&gt;"",MAX(0,$V1754-$U1754),MAX(0,TODAY()-$U1754)))</f>
        <v/>
      </c>
      <c r="Y1754" s="39">
        <f>IF($C1754="","",IF(IFERROR(INDEX(LISTAS!$I$3:$I$42,MATCH($T1754,LISTAS!$H$3:$H$42,0)),"NO")="SÍ",IF(N($X1754)&gt;0,"CERRADA FUERA DE SLA","CERRADA EN SLA"),IF($U1754="","SIN CLASIFICAR",IF(N($X1754)&gt;0,"VENCIDA",IF(TODAY()&gt;=$U1754-1,"POR VENCER","EN PLAZO")))))</f>
        <v/>
      </c>
      <c r="Z1754" s="41" t="n"/>
      <c r="AA1754" s="41" t="n"/>
      <c r="AB1754" s="41" t="n"/>
    </row>
    <row r="1755">
      <c r="A1755" s="39">
        <f>IF($C1755="","","NOV-"&amp;TEXT(ROW()-3,"0000"))</f>
        <v/>
      </c>
      <c r="B1755" s="40" t="n"/>
      <c r="C1755" s="41" t="n"/>
      <c r="D1755" s="42">
        <f>IF($C1755="","",IFERROR(INDEX(DESPACHOS!$D$3:$D$3002,MATCH($C1755,DESPACHOS!$B$3:$B$3002,0)),"SIN DESPACHO"))</f>
        <v/>
      </c>
      <c r="E1755" s="42">
        <f>IF($C1755="","",IFERROR(INDEX(DESPACHOS!$K$3:$K$3002,MATCH($C1755,DESPACHOS!$B$3:$B$3002,0)),""))</f>
        <v/>
      </c>
      <c r="F1755" s="42">
        <f>IF($C1755="","",IFERROR(INDEX(DESPACHOS!$I$3:$I$3002,MATCH($C1755,DESPACHOS!$B$3:$B$3002,0)),""))</f>
        <v/>
      </c>
      <c r="G1755" s="42">
        <f>IF($C1755="","",IFERROR(INDEX(DESPACHOS!$F$3:$F$3002,MATCH($C1755,DESPACHOS!$B$3:$B$3002,0)),""))</f>
        <v/>
      </c>
      <c r="H1755" s="42">
        <f>IF($C1755="","",IFERROR(INDEX(DESPACHOS!$G$3:$G$3002,MATCH($C1755,DESPACHOS!$B$3:$B$3002,0)),""))</f>
        <v/>
      </c>
      <c r="I1755" s="39">
        <f>IF($C1755="","",IFERROR(INDEX(DESPACHOS!$H$3:$H$3002,MATCH($C1755,DESPACHOS!$B$3:$B$3002,0)),""))</f>
        <v/>
      </c>
      <c r="J1755" s="43">
        <f>IF($C1755="","",IFERROR(INDEX(DESPACHOS!$J$3:$J$3002,MATCH($C1755,DESPACHOS!$B$3:$B$3002,0)),""))</f>
        <v/>
      </c>
      <c r="K1755" s="39">
        <f>IF($C1755="","",IF(COUNTIFS(DESPACHOS!$B$3:$B$3002,$C1755)=0,"NO EXISTE",IF(COUNTIFS(DESPACHOS!$B$3:$B$3002,$C1755)&gt;1,"DUPLICADO","OK")))</f>
        <v/>
      </c>
      <c r="L1755" s="41" t="n"/>
      <c r="M1755" s="41" t="n"/>
      <c r="N1755" s="42">
        <f>IF($M1755="","",IFERROR(INDEX(LISTAS!$F$3:$F$42,MATCH($M1755,LISTAS!$E$3:$E$42,0)),"Por definir"))</f>
        <v/>
      </c>
      <c r="O1755" s="41" t="n"/>
      <c r="P1755" s="39">
        <f>IF($L1755="","",IFERROR(INDEX(LISTAS!$B$3:$B$42,MATCH($L1755,LISTAS!$A$3:$A$42,0)),"Media"))</f>
        <v/>
      </c>
      <c r="Q1755" s="44" t="n"/>
      <c r="R1755" s="45" t="n"/>
      <c r="S1755" s="20">
        <f>IFERROR(IF(OR($R1755="",$C1755=""),"",$R1755/INDEX(DESPACHOS!$M$3:$M$3002,MATCH($C1755,DESPACHOS!$B$3:$B$3002,0))),"")</f>
        <v/>
      </c>
      <c r="T1755" s="41" t="n"/>
      <c r="U1755" s="43">
        <f>IF(OR($B1755="",$L1755=""),"",WORKDAY($B1755,IFERROR(INDEX(LISTAS!$C$3:$C$42,MATCH($L1755,LISTAS!$A$3:$A$42,0)),3)))</f>
        <v/>
      </c>
      <c r="V1755" s="40" t="n"/>
      <c r="W1755" s="19">
        <f>IF($B1755="","",IF($V1755&lt;&gt;"",$V1755-$B1755,TODAY()-$B1755))</f>
        <v/>
      </c>
      <c r="X1755" s="19">
        <f>IF(OR($B1755="",$U1755=""),"",IF($V1755&lt;&gt;"",MAX(0,$V1755-$U1755),MAX(0,TODAY()-$U1755)))</f>
        <v/>
      </c>
      <c r="Y1755" s="39">
        <f>IF($C1755="","",IF(IFERROR(INDEX(LISTAS!$I$3:$I$42,MATCH($T1755,LISTAS!$H$3:$H$42,0)),"NO")="SÍ",IF(N($X1755)&gt;0,"CERRADA FUERA DE SLA","CERRADA EN SLA"),IF($U1755="","SIN CLASIFICAR",IF(N($X1755)&gt;0,"VENCIDA",IF(TODAY()&gt;=$U1755-1,"POR VENCER","EN PLAZO")))))</f>
        <v/>
      </c>
      <c r="Z1755" s="41" t="n"/>
      <c r="AA1755" s="41" t="n"/>
      <c r="AB1755" s="41" t="n"/>
    </row>
    <row r="1756">
      <c r="A1756" s="39">
        <f>IF($C1756="","","NOV-"&amp;TEXT(ROW()-3,"0000"))</f>
        <v/>
      </c>
      <c r="B1756" s="40" t="n"/>
      <c r="C1756" s="41" t="n"/>
      <c r="D1756" s="42">
        <f>IF($C1756="","",IFERROR(INDEX(DESPACHOS!$D$3:$D$3002,MATCH($C1756,DESPACHOS!$B$3:$B$3002,0)),"SIN DESPACHO"))</f>
        <v/>
      </c>
      <c r="E1756" s="42">
        <f>IF($C1756="","",IFERROR(INDEX(DESPACHOS!$K$3:$K$3002,MATCH($C1756,DESPACHOS!$B$3:$B$3002,0)),""))</f>
        <v/>
      </c>
      <c r="F1756" s="42">
        <f>IF($C1756="","",IFERROR(INDEX(DESPACHOS!$I$3:$I$3002,MATCH($C1756,DESPACHOS!$B$3:$B$3002,0)),""))</f>
        <v/>
      </c>
      <c r="G1756" s="42">
        <f>IF($C1756="","",IFERROR(INDEX(DESPACHOS!$F$3:$F$3002,MATCH($C1756,DESPACHOS!$B$3:$B$3002,0)),""))</f>
        <v/>
      </c>
      <c r="H1756" s="42">
        <f>IF($C1756="","",IFERROR(INDEX(DESPACHOS!$G$3:$G$3002,MATCH($C1756,DESPACHOS!$B$3:$B$3002,0)),""))</f>
        <v/>
      </c>
      <c r="I1756" s="39">
        <f>IF($C1756="","",IFERROR(INDEX(DESPACHOS!$H$3:$H$3002,MATCH($C1756,DESPACHOS!$B$3:$B$3002,0)),""))</f>
        <v/>
      </c>
      <c r="J1756" s="43">
        <f>IF($C1756="","",IFERROR(INDEX(DESPACHOS!$J$3:$J$3002,MATCH($C1756,DESPACHOS!$B$3:$B$3002,0)),""))</f>
        <v/>
      </c>
      <c r="K1756" s="39">
        <f>IF($C1756="","",IF(COUNTIFS(DESPACHOS!$B$3:$B$3002,$C1756)=0,"NO EXISTE",IF(COUNTIFS(DESPACHOS!$B$3:$B$3002,$C1756)&gt;1,"DUPLICADO","OK")))</f>
        <v/>
      </c>
      <c r="L1756" s="41" t="n"/>
      <c r="M1756" s="41" t="n"/>
      <c r="N1756" s="42">
        <f>IF($M1756="","",IFERROR(INDEX(LISTAS!$F$3:$F$42,MATCH($M1756,LISTAS!$E$3:$E$42,0)),"Por definir"))</f>
        <v/>
      </c>
      <c r="O1756" s="41" t="n"/>
      <c r="P1756" s="39">
        <f>IF($L1756="","",IFERROR(INDEX(LISTAS!$B$3:$B$42,MATCH($L1756,LISTAS!$A$3:$A$42,0)),"Media"))</f>
        <v/>
      </c>
      <c r="Q1756" s="44" t="n"/>
      <c r="R1756" s="45" t="n"/>
      <c r="S1756" s="20">
        <f>IFERROR(IF(OR($R1756="",$C1756=""),"",$R1756/INDEX(DESPACHOS!$M$3:$M$3002,MATCH($C1756,DESPACHOS!$B$3:$B$3002,0))),"")</f>
        <v/>
      </c>
      <c r="T1756" s="41" t="n"/>
      <c r="U1756" s="43">
        <f>IF(OR($B1756="",$L1756=""),"",WORKDAY($B1756,IFERROR(INDEX(LISTAS!$C$3:$C$42,MATCH($L1756,LISTAS!$A$3:$A$42,0)),3)))</f>
        <v/>
      </c>
      <c r="V1756" s="40" t="n"/>
      <c r="W1756" s="19">
        <f>IF($B1756="","",IF($V1756&lt;&gt;"",$V1756-$B1756,TODAY()-$B1756))</f>
        <v/>
      </c>
      <c r="X1756" s="19">
        <f>IF(OR($B1756="",$U1756=""),"",IF($V1756&lt;&gt;"",MAX(0,$V1756-$U1756),MAX(0,TODAY()-$U1756)))</f>
        <v/>
      </c>
      <c r="Y1756" s="39">
        <f>IF($C1756="","",IF(IFERROR(INDEX(LISTAS!$I$3:$I$42,MATCH($T1756,LISTAS!$H$3:$H$42,0)),"NO")="SÍ",IF(N($X1756)&gt;0,"CERRADA FUERA DE SLA","CERRADA EN SLA"),IF($U1756="","SIN CLASIFICAR",IF(N($X1756)&gt;0,"VENCIDA",IF(TODAY()&gt;=$U1756-1,"POR VENCER","EN PLAZO")))))</f>
        <v/>
      </c>
      <c r="Z1756" s="41" t="n"/>
      <c r="AA1756" s="41" t="n"/>
      <c r="AB1756" s="41" t="n"/>
    </row>
    <row r="1757">
      <c r="A1757" s="39">
        <f>IF($C1757="","","NOV-"&amp;TEXT(ROW()-3,"0000"))</f>
        <v/>
      </c>
      <c r="B1757" s="40" t="n"/>
      <c r="C1757" s="41" t="n"/>
      <c r="D1757" s="42">
        <f>IF($C1757="","",IFERROR(INDEX(DESPACHOS!$D$3:$D$3002,MATCH($C1757,DESPACHOS!$B$3:$B$3002,0)),"SIN DESPACHO"))</f>
        <v/>
      </c>
      <c r="E1757" s="42">
        <f>IF($C1757="","",IFERROR(INDEX(DESPACHOS!$K$3:$K$3002,MATCH($C1757,DESPACHOS!$B$3:$B$3002,0)),""))</f>
        <v/>
      </c>
      <c r="F1757" s="42">
        <f>IF($C1757="","",IFERROR(INDEX(DESPACHOS!$I$3:$I$3002,MATCH($C1757,DESPACHOS!$B$3:$B$3002,0)),""))</f>
        <v/>
      </c>
      <c r="G1757" s="42">
        <f>IF($C1757="","",IFERROR(INDEX(DESPACHOS!$F$3:$F$3002,MATCH($C1757,DESPACHOS!$B$3:$B$3002,0)),""))</f>
        <v/>
      </c>
      <c r="H1757" s="42">
        <f>IF($C1757="","",IFERROR(INDEX(DESPACHOS!$G$3:$G$3002,MATCH($C1757,DESPACHOS!$B$3:$B$3002,0)),""))</f>
        <v/>
      </c>
      <c r="I1757" s="39">
        <f>IF($C1757="","",IFERROR(INDEX(DESPACHOS!$H$3:$H$3002,MATCH($C1757,DESPACHOS!$B$3:$B$3002,0)),""))</f>
        <v/>
      </c>
      <c r="J1757" s="43">
        <f>IF($C1757="","",IFERROR(INDEX(DESPACHOS!$J$3:$J$3002,MATCH($C1757,DESPACHOS!$B$3:$B$3002,0)),""))</f>
        <v/>
      </c>
      <c r="K1757" s="39">
        <f>IF($C1757="","",IF(COUNTIFS(DESPACHOS!$B$3:$B$3002,$C1757)=0,"NO EXISTE",IF(COUNTIFS(DESPACHOS!$B$3:$B$3002,$C1757)&gt;1,"DUPLICADO","OK")))</f>
        <v/>
      </c>
      <c r="L1757" s="41" t="n"/>
      <c r="M1757" s="41" t="n"/>
      <c r="N1757" s="42">
        <f>IF($M1757="","",IFERROR(INDEX(LISTAS!$F$3:$F$42,MATCH($M1757,LISTAS!$E$3:$E$42,0)),"Por definir"))</f>
        <v/>
      </c>
      <c r="O1757" s="41" t="n"/>
      <c r="P1757" s="39">
        <f>IF($L1757="","",IFERROR(INDEX(LISTAS!$B$3:$B$42,MATCH($L1757,LISTAS!$A$3:$A$42,0)),"Media"))</f>
        <v/>
      </c>
      <c r="Q1757" s="44" t="n"/>
      <c r="R1757" s="45" t="n"/>
      <c r="S1757" s="20">
        <f>IFERROR(IF(OR($R1757="",$C1757=""),"",$R1757/INDEX(DESPACHOS!$M$3:$M$3002,MATCH($C1757,DESPACHOS!$B$3:$B$3002,0))),"")</f>
        <v/>
      </c>
      <c r="T1757" s="41" t="n"/>
      <c r="U1757" s="43">
        <f>IF(OR($B1757="",$L1757=""),"",WORKDAY($B1757,IFERROR(INDEX(LISTAS!$C$3:$C$42,MATCH($L1757,LISTAS!$A$3:$A$42,0)),3)))</f>
        <v/>
      </c>
      <c r="V1757" s="40" t="n"/>
      <c r="W1757" s="19">
        <f>IF($B1757="","",IF($V1757&lt;&gt;"",$V1757-$B1757,TODAY()-$B1757))</f>
        <v/>
      </c>
      <c r="X1757" s="19">
        <f>IF(OR($B1757="",$U1757=""),"",IF($V1757&lt;&gt;"",MAX(0,$V1757-$U1757),MAX(0,TODAY()-$U1757)))</f>
        <v/>
      </c>
      <c r="Y1757" s="39">
        <f>IF($C1757="","",IF(IFERROR(INDEX(LISTAS!$I$3:$I$42,MATCH($T1757,LISTAS!$H$3:$H$42,0)),"NO")="SÍ",IF(N($X1757)&gt;0,"CERRADA FUERA DE SLA","CERRADA EN SLA"),IF($U1757="","SIN CLASIFICAR",IF(N($X1757)&gt;0,"VENCIDA",IF(TODAY()&gt;=$U1757-1,"POR VENCER","EN PLAZO")))))</f>
        <v/>
      </c>
      <c r="Z1757" s="41" t="n"/>
      <c r="AA1757" s="41" t="n"/>
      <c r="AB1757" s="41" t="n"/>
    </row>
    <row r="1758">
      <c r="A1758" s="39">
        <f>IF($C1758="","","NOV-"&amp;TEXT(ROW()-3,"0000"))</f>
        <v/>
      </c>
      <c r="B1758" s="40" t="n"/>
      <c r="C1758" s="41" t="n"/>
      <c r="D1758" s="42">
        <f>IF($C1758="","",IFERROR(INDEX(DESPACHOS!$D$3:$D$3002,MATCH($C1758,DESPACHOS!$B$3:$B$3002,0)),"SIN DESPACHO"))</f>
        <v/>
      </c>
      <c r="E1758" s="42">
        <f>IF($C1758="","",IFERROR(INDEX(DESPACHOS!$K$3:$K$3002,MATCH($C1758,DESPACHOS!$B$3:$B$3002,0)),""))</f>
        <v/>
      </c>
      <c r="F1758" s="42">
        <f>IF($C1758="","",IFERROR(INDEX(DESPACHOS!$I$3:$I$3002,MATCH($C1758,DESPACHOS!$B$3:$B$3002,0)),""))</f>
        <v/>
      </c>
      <c r="G1758" s="42">
        <f>IF($C1758="","",IFERROR(INDEX(DESPACHOS!$F$3:$F$3002,MATCH($C1758,DESPACHOS!$B$3:$B$3002,0)),""))</f>
        <v/>
      </c>
      <c r="H1758" s="42">
        <f>IF($C1758="","",IFERROR(INDEX(DESPACHOS!$G$3:$G$3002,MATCH($C1758,DESPACHOS!$B$3:$B$3002,0)),""))</f>
        <v/>
      </c>
      <c r="I1758" s="39">
        <f>IF($C1758="","",IFERROR(INDEX(DESPACHOS!$H$3:$H$3002,MATCH($C1758,DESPACHOS!$B$3:$B$3002,0)),""))</f>
        <v/>
      </c>
      <c r="J1758" s="43">
        <f>IF($C1758="","",IFERROR(INDEX(DESPACHOS!$J$3:$J$3002,MATCH($C1758,DESPACHOS!$B$3:$B$3002,0)),""))</f>
        <v/>
      </c>
      <c r="K1758" s="39">
        <f>IF($C1758="","",IF(COUNTIFS(DESPACHOS!$B$3:$B$3002,$C1758)=0,"NO EXISTE",IF(COUNTIFS(DESPACHOS!$B$3:$B$3002,$C1758)&gt;1,"DUPLICADO","OK")))</f>
        <v/>
      </c>
      <c r="L1758" s="41" t="n"/>
      <c r="M1758" s="41" t="n"/>
      <c r="N1758" s="42">
        <f>IF($M1758="","",IFERROR(INDEX(LISTAS!$F$3:$F$42,MATCH($M1758,LISTAS!$E$3:$E$42,0)),"Por definir"))</f>
        <v/>
      </c>
      <c r="O1758" s="41" t="n"/>
      <c r="P1758" s="39">
        <f>IF($L1758="","",IFERROR(INDEX(LISTAS!$B$3:$B$42,MATCH($L1758,LISTAS!$A$3:$A$42,0)),"Media"))</f>
        <v/>
      </c>
      <c r="Q1758" s="44" t="n"/>
      <c r="R1758" s="45" t="n"/>
      <c r="S1758" s="20">
        <f>IFERROR(IF(OR($R1758="",$C1758=""),"",$R1758/INDEX(DESPACHOS!$M$3:$M$3002,MATCH($C1758,DESPACHOS!$B$3:$B$3002,0))),"")</f>
        <v/>
      </c>
      <c r="T1758" s="41" t="n"/>
      <c r="U1758" s="43">
        <f>IF(OR($B1758="",$L1758=""),"",WORKDAY($B1758,IFERROR(INDEX(LISTAS!$C$3:$C$42,MATCH($L1758,LISTAS!$A$3:$A$42,0)),3)))</f>
        <v/>
      </c>
      <c r="V1758" s="40" t="n"/>
      <c r="W1758" s="19">
        <f>IF($B1758="","",IF($V1758&lt;&gt;"",$V1758-$B1758,TODAY()-$B1758))</f>
        <v/>
      </c>
      <c r="X1758" s="19">
        <f>IF(OR($B1758="",$U1758=""),"",IF($V1758&lt;&gt;"",MAX(0,$V1758-$U1758),MAX(0,TODAY()-$U1758)))</f>
        <v/>
      </c>
      <c r="Y1758" s="39">
        <f>IF($C1758="","",IF(IFERROR(INDEX(LISTAS!$I$3:$I$42,MATCH($T1758,LISTAS!$H$3:$H$42,0)),"NO")="SÍ",IF(N($X1758)&gt;0,"CERRADA FUERA DE SLA","CERRADA EN SLA"),IF($U1758="","SIN CLASIFICAR",IF(N($X1758)&gt;0,"VENCIDA",IF(TODAY()&gt;=$U1758-1,"POR VENCER","EN PLAZO")))))</f>
        <v/>
      </c>
      <c r="Z1758" s="41" t="n"/>
      <c r="AA1758" s="41" t="n"/>
      <c r="AB1758" s="41" t="n"/>
    </row>
    <row r="1759">
      <c r="A1759" s="39">
        <f>IF($C1759="","","NOV-"&amp;TEXT(ROW()-3,"0000"))</f>
        <v/>
      </c>
      <c r="B1759" s="40" t="n"/>
      <c r="C1759" s="41" t="n"/>
      <c r="D1759" s="42">
        <f>IF($C1759="","",IFERROR(INDEX(DESPACHOS!$D$3:$D$3002,MATCH($C1759,DESPACHOS!$B$3:$B$3002,0)),"SIN DESPACHO"))</f>
        <v/>
      </c>
      <c r="E1759" s="42">
        <f>IF($C1759="","",IFERROR(INDEX(DESPACHOS!$K$3:$K$3002,MATCH($C1759,DESPACHOS!$B$3:$B$3002,0)),""))</f>
        <v/>
      </c>
      <c r="F1759" s="42">
        <f>IF($C1759="","",IFERROR(INDEX(DESPACHOS!$I$3:$I$3002,MATCH($C1759,DESPACHOS!$B$3:$B$3002,0)),""))</f>
        <v/>
      </c>
      <c r="G1759" s="42">
        <f>IF($C1759="","",IFERROR(INDEX(DESPACHOS!$F$3:$F$3002,MATCH($C1759,DESPACHOS!$B$3:$B$3002,0)),""))</f>
        <v/>
      </c>
      <c r="H1759" s="42">
        <f>IF($C1759="","",IFERROR(INDEX(DESPACHOS!$G$3:$G$3002,MATCH($C1759,DESPACHOS!$B$3:$B$3002,0)),""))</f>
        <v/>
      </c>
      <c r="I1759" s="39">
        <f>IF($C1759="","",IFERROR(INDEX(DESPACHOS!$H$3:$H$3002,MATCH($C1759,DESPACHOS!$B$3:$B$3002,0)),""))</f>
        <v/>
      </c>
      <c r="J1759" s="43">
        <f>IF($C1759="","",IFERROR(INDEX(DESPACHOS!$J$3:$J$3002,MATCH($C1759,DESPACHOS!$B$3:$B$3002,0)),""))</f>
        <v/>
      </c>
      <c r="K1759" s="39">
        <f>IF($C1759="","",IF(COUNTIFS(DESPACHOS!$B$3:$B$3002,$C1759)=0,"NO EXISTE",IF(COUNTIFS(DESPACHOS!$B$3:$B$3002,$C1759)&gt;1,"DUPLICADO","OK")))</f>
        <v/>
      </c>
      <c r="L1759" s="41" t="n"/>
      <c r="M1759" s="41" t="n"/>
      <c r="N1759" s="42">
        <f>IF($M1759="","",IFERROR(INDEX(LISTAS!$F$3:$F$42,MATCH($M1759,LISTAS!$E$3:$E$42,0)),"Por definir"))</f>
        <v/>
      </c>
      <c r="O1759" s="41" t="n"/>
      <c r="P1759" s="39">
        <f>IF($L1759="","",IFERROR(INDEX(LISTAS!$B$3:$B$42,MATCH($L1759,LISTAS!$A$3:$A$42,0)),"Media"))</f>
        <v/>
      </c>
      <c r="Q1759" s="44" t="n"/>
      <c r="R1759" s="45" t="n"/>
      <c r="S1759" s="20">
        <f>IFERROR(IF(OR($R1759="",$C1759=""),"",$R1759/INDEX(DESPACHOS!$M$3:$M$3002,MATCH($C1759,DESPACHOS!$B$3:$B$3002,0))),"")</f>
        <v/>
      </c>
      <c r="T1759" s="41" t="n"/>
      <c r="U1759" s="43">
        <f>IF(OR($B1759="",$L1759=""),"",WORKDAY($B1759,IFERROR(INDEX(LISTAS!$C$3:$C$42,MATCH($L1759,LISTAS!$A$3:$A$42,0)),3)))</f>
        <v/>
      </c>
      <c r="V1759" s="40" t="n"/>
      <c r="W1759" s="19">
        <f>IF($B1759="","",IF($V1759&lt;&gt;"",$V1759-$B1759,TODAY()-$B1759))</f>
        <v/>
      </c>
      <c r="X1759" s="19">
        <f>IF(OR($B1759="",$U1759=""),"",IF($V1759&lt;&gt;"",MAX(0,$V1759-$U1759),MAX(0,TODAY()-$U1759)))</f>
        <v/>
      </c>
      <c r="Y1759" s="39">
        <f>IF($C1759="","",IF(IFERROR(INDEX(LISTAS!$I$3:$I$42,MATCH($T1759,LISTAS!$H$3:$H$42,0)),"NO")="SÍ",IF(N($X1759)&gt;0,"CERRADA FUERA DE SLA","CERRADA EN SLA"),IF($U1759="","SIN CLASIFICAR",IF(N($X1759)&gt;0,"VENCIDA",IF(TODAY()&gt;=$U1759-1,"POR VENCER","EN PLAZO")))))</f>
        <v/>
      </c>
      <c r="Z1759" s="41" t="n"/>
      <c r="AA1759" s="41" t="n"/>
      <c r="AB1759" s="41" t="n"/>
    </row>
    <row r="1760">
      <c r="A1760" s="39">
        <f>IF($C1760="","","NOV-"&amp;TEXT(ROW()-3,"0000"))</f>
        <v/>
      </c>
      <c r="B1760" s="40" t="n"/>
      <c r="C1760" s="41" t="n"/>
      <c r="D1760" s="42">
        <f>IF($C1760="","",IFERROR(INDEX(DESPACHOS!$D$3:$D$3002,MATCH($C1760,DESPACHOS!$B$3:$B$3002,0)),"SIN DESPACHO"))</f>
        <v/>
      </c>
      <c r="E1760" s="42">
        <f>IF($C1760="","",IFERROR(INDEX(DESPACHOS!$K$3:$K$3002,MATCH($C1760,DESPACHOS!$B$3:$B$3002,0)),""))</f>
        <v/>
      </c>
      <c r="F1760" s="42">
        <f>IF($C1760="","",IFERROR(INDEX(DESPACHOS!$I$3:$I$3002,MATCH($C1760,DESPACHOS!$B$3:$B$3002,0)),""))</f>
        <v/>
      </c>
      <c r="G1760" s="42">
        <f>IF($C1760="","",IFERROR(INDEX(DESPACHOS!$F$3:$F$3002,MATCH($C1760,DESPACHOS!$B$3:$B$3002,0)),""))</f>
        <v/>
      </c>
      <c r="H1760" s="42">
        <f>IF($C1760="","",IFERROR(INDEX(DESPACHOS!$G$3:$G$3002,MATCH($C1760,DESPACHOS!$B$3:$B$3002,0)),""))</f>
        <v/>
      </c>
      <c r="I1760" s="39">
        <f>IF($C1760="","",IFERROR(INDEX(DESPACHOS!$H$3:$H$3002,MATCH($C1760,DESPACHOS!$B$3:$B$3002,0)),""))</f>
        <v/>
      </c>
      <c r="J1760" s="43">
        <f>IF($C1760="","",IFERROR(INDEX(DESPACHOS!$J$3:$J$3002,MATCH($C1760,DESPACHOS!$B$3:$B$3002,0)),""))</f>
        <v/>
      </c>
      <c r="K1760" s="39">
        <f>IF($C1760="","",IF(COUNTIFS(DESPACHOS!$B$3:$B$3002,$C1760)=0,"NO EXISTE",IF(COUNTIFS(DESPACHOS!$B$3:$B$3002,$C1760)&gt;1,"DUPLICADO","OK")))</f>
        <v/>
      </c>
      <c r="L1760" s="41" t="n"/>
      <c r="M1760" s="41" t="n"/>
      <c r="N1760" s="42">
        <f>IF($M1760="","",IFERROR(INDEX(LISTAS!$F$3:$F$42,MATCH($M1760,LISTAS!$E$3:$E$42,0)),"Por definir"))</f>
        <v/>
      </c>
      <c r="O1760" s="41" t="n"/>
      <c r="P1760" s="39">
        <f>IF($L1760="","",IFERROR(INDEX(LISTAS!$B$3:$B$42,MATCH($L1760,LISTAS!$A$3:$A$42,0)),"Media"))</f>
        <v/>
      </c>
      <c r="Q1760" s="44" t="n"/>
      <c r="R1760" s="45" t="n"/>
      <c r="S1760" s="20">
        <f>IFERROR(IF(OR($R1760="",$C1760=""),"",$R1760/INDEX(DESPACHOS!$M$3:$M$3002,MATCH($C1760,DESPACHOS!$B$3:$B$3002,0))),"")</f>
        <v/>
      </c>
      <c r="T1760" s="41" t="n"/>
      <c r="U1760" s="43">
        <f>IF(OR($B1760="",$L1760=""),"",WORKDAY($B1760,IFERROR(INDEX(LISTAS!$C$3:$C$42,MATCH($L1760,LISTAS!$A$3:$A$42,0)),3)))</f>
        <v/>
      </c>
      <c r="V1760" s="40" t="n"/>
      <c r="W1760" s="19">
        <f>IF($B1760="","",IF($V1760&lt;&gt;"",$V1760-$B1760,TODAY()-$B1760))</f>
        <v/>
      </c>
      <c r="X1760" s="19">
        <f>IF(OR($B1760="",$U1760=""),"",IF($V1760&lt;&gt;"",MAX(0,$V1760-$U1760),MAX(0,TODAY()-$U1760)))</f>
        <v/>
      </c>
      <c r="Y1760" s="39">
        <f>IF($C1760="","",IF(IFERROR(INDEX(LISTAS!$I$3:$I$42,MATCH($T1760,LISTAS!$H$3:$H$42,0)),"NO")="SÍ",IF(N($X1760)&gt;0,"CERRADA FUERA DE SLA","CERRADA EN SLA"),IF($U1760="","SIN CLASIFICAR",IF(N($X1760)&gt;0,"VENCIDA",IF(TODAY()&gt;=$U1760-1,"POR VENCER","EN PLAZO")))))</f>
        <v/>
      </c>
      <c r="Z1760" s="41" t="n"/>
      <c r="AA1760" s="41" t="n"/>
      <c r="AB1760" s="41" t="n"/>
    </row>
    <row r="1761">
      <c r="A1761" s="39">
        <f>IF($C1761="","","NOV-"&amp;TEXT(ROW()-3,"0000"))</f>
        <v/>
      </c>
      <c r="B1761" s="40" t="n"/>
      <c r="C1761" s="41" t="n"/>
      <c r="D1761" s="42">
        <f>IF($C1761="","",IFERROR(INDEX(DESPACHOS!$D$3:$D$3002,MATCH($C1761,DESPACHOS!$B$3:$B$3002,0)),"SIN DESPACHO"))</f>
        <v/>
      </c>
      <c r="E1761" s="42">
        <f>IF($C1761="","",IFERROR(INDEX(DESPACHOS!$K$3:$K$3002,MATCH($C1761,DESPACHOS!$B$3:$B$3002,0)),""))</f>
        <v/>
      </c>
      <c r="F1761" s="42">
        <f>IF($C1761="","",IFERROR(INDEX(DESPACHOS!$I$3:$I$3002,MATCH($C1761,DESPACHOS!$B$3:$B$3002,0)),""))</f>
        <v/>
      </c>
      <c r="G1761" s="42">
        <f>IF($C1761="","",IFERROR(INDEX(DESPACHOS!$F$3:$F$3002,MATCH($C1761,DESPACHOS!$B$3:$B$3002,0)),""))</f>
        <v/>
      </c>
      <c r="H1761" s="42">
        <f>IF($C1761="","",IFERROR(INDEX(DESPACHOS!$G$3:$G$3002,MATCH($C1761,DESPACHOS!$B$3:$B$3002,0)),""))</f>
        <v/>
      </c>
      <c r="I1761" s="39">
        <f>IF($C1761="","",IFERROR(INDEX(DESPACHOS!$H$3:$H$3002,MATCH($C1761,DESPACHOS!$B$3:$B$3002,0)),""))</f>
        <v/>
      </c>
      <c r="J1761" s="43">
        <f>IF($C1761="","",IFERROR(INDEX(DESPACHOS!$J$3:$J$3002,MATCH($C1761,DESPACHOS!$B$3:$B$3002,0)),""))</f>
        <v/>
      </c>
      <c r="K1761" s="39">
        <f>IF($C1761="","",IF(COUNTIFS(DESPACHOS!$B$3:$B$3002,$C1761)=0,"NO EXISTE",IF(COUNTIFS(DESPACHOS!$B$3:$B$3002,$C1761)&gt;1,"DUPLICADO","OK")))</f>
        <v/>
      </c>
      <c r="L1761" s="41" t="n"/>
      <c r="M1761" s="41" t="n"/>
      <c r="N1761" s="42">
        <f>IF($M1761="","",IFERROR(INDEX(LISTAS!$F$3:$F$42,MATCH($M1761,LISTAS!$E$3:$E$42,0)),"Por definir"))</f>
        <v/>
      </c>
      <c r="O1761" s="41" t="n"/>
      <c r="P1761" s="39">
        <f>IF($L1761="","",IFERROR(INDEX(LISTAS!$B$3:$B$42,MATCH($L1761,LISTAS!$A$3:$A$42,0)),"Media"))</f>
        <v/>
      </c>
      <c r="Q1761" s="44" t="n"/>
      <c r="R1761" s="45" t="n"/>
      <c r="S1761" s="20">
        <f>IFERROR(IF(OR($R1761="",$C1761=""),"",$R1761/INDEX(DESPACHOS!$M$3:$M$3002,MATCH($C1761,DESPACHOS!$B$3:$B$3002,0))),"")</f>
        <v/>
      </c>
      <c r="T1761" s="41" t="n"/>
      <c r="U1761" s="43">
        <f>IF(OR($B1761="",$L1761=""),"",WORKDAY($B1761,IFERROR(INDEX(LISTAS!$C$3:$C$42,MATCH($L1761,LISTAS!$A$3:$A$42,0)),3)))</f>
        <v/>
      </c>
      <c r="V1761" s="40" t="n"/>
      <c r="W1761" s="19">
        <f>IF($B1761="","",IF($V1761&lt;&gt;"",$V1761-$B1761,TODAY()-$B1761))</f>
        <v/>
      </c>
      <c r="X1761" s="19">
        <f>IF(OR($B1761="",$U1761=""),"",IF($V1761&lt;&gt;"",MAX(0,$V1761-$U1761),MAX(0,TODAY()-$U1761)))</f>
        <v/>
      </c>
      <c r="Y1761" s="39">
        <f>IF($C1761="","",IF(IFERROR(INDEX(LISTAS!$I$3:$I$42,MATCH($T1761,LISTAS!$H$3:$H$42,0)),"NO")="SÍ",IF(N($X1761)&gt;0,"CERRADA FUERA DE SLA","CERRADA EN SLA"),IF($U1761="","SIN CLASIFICAR",IF(N($X1761)&gt;0,"VENCIDA",IF(TODAY()&gt;=$U1761-1,"POR VENCER","EN PLAZO")))))</f>
        <v/>
      </c>
      <c r="Z1761" s="41" t="n"/>
      <c r="AA1761" s="41" t="n"/>
      <c r="AB1761" s="41" t="n"/>
    </row>
    <row r="1762">
      <c r="A1762" s="39">
        <f>IF($C1762="","","NOV-"&amp;TEXT(ROW()-3,"0000"))</f>
        <v/>
      </c>
      <c r="B1762" s="40" t="n"/>
      <c r="C1762" s="41" t="n"/>
      <c r="D1762" s="42">
        <f>IF($C1762="","",IFERROR(INDEX(DESPACHOS!$D$3:$D$3002,MATCH($C1762,DESPACHOS!$B$3:$B$3002,0)),"SIN DESPACHO"))</f>
        <v/>
      </c>
      <c r="E1762" s="42">
        <f>IF($C1762="","",IFERROR(INDEX(DESPACHOS!$K$3:$K$3002,MATCH($C1762,DESPACHOS!$B$3:$B$3002,0)),""))</f>
        <v/>
      </c>
      <c r="F1762" s="42">
        <f>IF($C1762="","",IFERROR(INDEX(DESPACHOS!$I$3:$I$3002,MATCH($C1762,DESPACHOS!$B$3:$B$3002,0)),""))</f>
        <v/>
      </c>
      <c r="G1762" s="42">
        <f>IF($C1762="","",IFERROR(INDEX(DESPACHOS!$F$3:$F$3002,MATCH($C1762,DESPACHOS!$B$3:$B$3002,0)),""))</f>
        <v/>
      </c>
      <c r="H1762" s="42">
        <f>IF($C1762="","",IFERROR(INDEX(DESPACHOS!$G$3:$G$3002,MATCH($C1762,DESPACHOS!$B$3:$B$3002,0)),""))</f>
        <v/>
      </c>
      <c r="I1762" s="39">
        <f>IF($C1762="","",IFERROR(INDEX(DESPACHOS!$H$3:$H$3002,MATCH($C1762,DESPACHOS!$B$3:$B$3002,0)),""))</f>
        <v/>
      </c>
      <c r="J1762" s="43">
        <f>IF($C1762="","",IFERROR(INDEX(DESPACHOS!$J$3:$J$3002,MATCH($C1762,DESPACHOS!$B$3:$B$3002,0)),""))</f>
        <v/>
      </c>
      <c r="K1762" s="39">
        <f>IF($C1762="","",IF(COUNTIFS(DESPACHOS!$B$3:$B$3002,$C1762)=0,"NO EXISTE",IF(COUNTIFS(DESPACHOS!$B$3:$B$3002,$C1762)&gt;1,"DUPLICADO","OK")))</f>
        <v/>
      </c>
      <c r="L1762" s="41" t="n"/>
      <c r="M1762" s="41" t="n"/>
      <c r="N1762" s="42">
        <f>IF($M1762="","",IFERROR(INDEX(LISTAS!$F$3:$F$42,MATCH($M1762,LISTAS!$E$3:$E$42,0)),"Por definir"))</f>
        <v/>
      </c>
      <c r="O1762" s="41" t="n"/>
      <c r="P1762" s="39">
        <f>IF($L1762="","",IFERROR(INDEX(LISTAS!$B$3:$B$42,MATCH($L1762,LISTAS!$A$3:$A$42,0)),"Media"))</f>
        <v/>
      </c>
      <c r="Q1762" s="44" t="n"/>
      <c r="R1762" s="45" t="n"/>
      <c r="S1762" s="20">
        <f>IFERROR(IF(OR($R1762="",$C1762=""),"",$R1762/INDEX(DESPACHOS!$M$3:$M$3002,MATCH($C1762,DESPACHOS!$B$3:$B$3002,0))),"")</f>
        <v/>
      </c>
      <c r="T1762" s="41" t="n"/>
      <c r="U1762" s="43">
        <f>IF(OR($B1762="",$L1762=""),"",WORKDAY($B1762,IFERROR(INDEX(LISTAS!$C$3:$C$42,MATCH($L1762,LISTAS!$A$3:$A$42,0)),3)))</f>
        <v/>
      </c>
      <c r="V1762" s="40" t="n"/>
      <c r="W1762" s="19">
        <f>IF($B1762="","",IF($V1762&lt;&gt;"",$V1762-$B1762,TODAY()-$B1762))</f>
        <v/>
      </c>
      <c r="X1762" s="19">
        <f>IF(OR($B1762="",$U1762=""),"",IF($V1762&lt;&gt;"",MAX(0,$V1762-$U1762),MAX(0,TODAY()-$U1762)))</f>
        <v/>
      </c>
      <c r="Y1762" s="39">
        <f>IF($C1762="","",IF(IFERROR(INDEX(LISTAS!$I$3:$I$42,MATCH($T1762,LISTAS!$H$3:$H$42,0)),"NO")="SÍ",IF(N($X1762)&gt;0,"CERRADA FUERA DE SLA","CERRADA EN SLA"),IF($U1762="","SIN CLASIFICAR",IF(N($X1762)&gt;0,"VENCIDA",IF(TODAY()&gt;=$U1762-1,"POR VENCER","EN PLAZO")))))</f>
        <v/>
      </c>
      <c r="Z1762" s="41" t="n"/>
      <c r="AA1762" s="41" t="n"/>
      <c r="AB1762" s="41" t="n"/>
    </row>
    <row r="1763">
      <c r="A1763" s="39">
        <f>IF($C1763="","","NOV-"&amp;TEXT(ROW()-3,"0000"))</f>
        <v/>
      </c>
      <c r="B1763" s="40" t="n"/>
      <c r="C1763" s="41" t="n"/>
      <c r="D1763" s="42">
        <f>IF($C1763="","",IFERROR(INDEX(DESPACHOS!$D$3:$D$3002,MATCH($C1763,DESPACHOS!$B$3:$B$3002,0)),"SIN DESPACHO"))</f>
        <v/>
      </c>
      <c r="E1763" s="42">
        <f>IF($C1763="","",IFERROR(INDEX(DESPACHOS!$K$3:$K$3002,MATCH($C1763,DESPACHOS!$B$3:$B$3002,0)),""))</f>
        <v/>
      </c>
      <c r="F1763" s="42">
        <f>IF($C1763="","",IFERROR(INDEX(DESPACHOS!$I$3:$I$3002,MATCH($C1763,DESPACHOS!$B$3:$B$3002,0)),""))</f>
        <v/>
      </c>
      <c r="G1763" s="42">
        <f>IF($C1763="","",IFERROR(INDEX(DESPACHOS!$F$3:$F$3002,MATCH($C1763,DESPACHOS!$B$3:$B$3002,0)),""))</f>
        <v/>
      </c>
      <c r="H1763" s="42">
        <f>IF($C1763="","",IFERROR(INDEX(DESPACHOS!$G$3:$G$3002,MATCH($C1763,DESPACHOS!$B$3:$B$3002,0)),""))</f>
        <v/>
      </c>
      <c r="I1763" s="39">
        <f>IF($C1763="","",IFERROR(INDEX(DESPACHOS!$H$3:$H$3002,MATCH($C1763,DESPACHOS!$B$3:$B$3002,0)),""))</f>
        <v/>
      </c>
      <c r="J1763" s="43">
        <f>IF($C1763="","",IFERROR(INDEX(DESPACHOS!$J$3:$J$3002,MATCH($C1763,DESPACHOS!$B$3:$B$3002,0)),""))</f>
        <v/>
      </c>
      <c r="K1763" s="39">
        <f>IF($C1763="","",IF(COUNTIFS(DESPACHOS!$B$3:$B$3002,$C1763)=0,"NO EXISTE",IF(COUNTIFS(DESPACHOS!$B$3:$B$3002,$C1763)&gt;1,"DUPLICADO","OK")))</f>
        <v/>
      </c>
      <c r="L1763" s="41" t="n"/>
      <c r="M1763" s="41" t="n"/>
      <c r="N1763" s="42">
        <f>IF($M1763="","",IFERROR(INDEX(LISTAS!$F$3:$F$42,MATCH($M1763,LISTAS!$E$3:$E$42,0)),"Por definir"))</f>
        <v/>
      </c>
      <c r="O1763" s="41" t="n"/>
      <c r="P1763" s="39">
        <f>IF($L1763="","",IFERROR(INDEX(LISTAS!$B$3:$B$42,MATCH($L1763,LISTAS!$A$3:$A$42,0)),"Media"))</f>
        <v/>
      </c>
      <c r="Q1763" s="44" t="n"/>
      <c r="R1763" s="45" t="n"/>
      <c r="S1763" s="20">
        <f>IFERROR(IF(OR($R1763="",$C1763=""),"",$R1763/INDEX(DESPACHOS!$M$3:$M$3002,MATCH($C1763,DESPACHOS!$B$3:$B$3002,0))),"")</f>
        <v/>
      </c>
      <c r="T1763" s="41" t="n"/>
      <c r="U1763" s="43">
        <f>IF(OR($B1763="",$L1763=""),"",WORKDAY($B1763,IFERROR(INDEX(LISTAS!$C$3:$C$42,MATCH($L1763,LISTAS!$A$3:$A$42,0)),3)))</f>
        <v/>
      </c>
      <c r="V1763" s="40" t="n"/>
      <c r="W1763" s="19">
        <f>IF($B1763="","",IF($V1763&lt;&gt;"",$V1763-$B1763,TODAY()-$B1763))</f>
        <v/>
      </c>
      <c r="X1763" s="19">
        <f>IF(OR($B1763="",$U1763=""),"",IF($V1763&lt;&gt;"",MAX(0,$V1763-$U1763),MAX(0,TODAY()-$U1763)))</f>
        <v/>
      </c>
      <c r="Y1763" s="39">
        <f>IF($C1763="","",IF(IFERROR(INDEX(LISTAS!$I$3:$I$42,MATCH($T1763,LISTAS!$H$3:$H$42,0)),"NO")="SÍ",IF(N($X1763)&gt;0,"CERRADA FUERA DE SLA","CERRADA EN SLA"),IF($U1763="","SIN CLASIFICAR",IF(N($X1763)&gt;0,"VENCIDA",IF(TODAY()&gt;=$U1763-1,"POR VENCER","EN PLAZO")))))</f>
        <v/>
      </c>
      <c r="Z1763" s="41" t="n"/>
      <c r="AA1763" s="41" t="n"/>
      <c r="AB1763" s="41" t="n"/>
    </row>
    <row r="1764">
      <c r="A1764" s="39">
        <f>IF($C1764="","","NOV-"&amp;TEXT(ROW()-3,"0000"))</f>
        <v/>
      </c>
      <c r="B1764" s="40" t="n"/>
      <c r="C1764" s="41" t="n"/>
      <c r="D1764" s="42">
        <f>IF($C1764="","",IFERROR(INDEX(DESPACHOS!$D$3:$D$3002,MATCH($C1764,DESPACHOS!$B$3:$B$3002,0)),"SIN DESPACHO"))</f>
        <v/>
      </c>
      <c r="E1764" s="42">
        <f>IF($C1764="","",IFERROR(INDEX(DESPACHOS!$K$3:$K$3002,MATCH($C1764,DESPACHOS!$B$3:$B$3002,0)),""))</f>
        <v/>
      </c>
      <c r="F1764" s="42">
        <f>IF($C1764="","",IFERROR(INDEX(DESPACHOS!$I$3:$I$3002,MATCH($C1764,DESPACHOS!$B$3:$B$3002,0)),""))</f>
        <v/>
      </c>
      <c r="G1764" s="42">
        <f>IF($C1764="","",IFERROR(INDEX(DESPACHOS!$F$3:$F$3002,MATCH($C1764,DESPACHOS!$B$3:$B$3002,0)),""))</f>
        <v/>
      </c>
      <c r="H1764" s="42">
        <f>IF($C1764="","",IFERROR(INDEX(DESPACHOS!$G$3:$G$3002,MATCH($C1764,DESPACHOS!$B$3:$B$3002,0)),""))</f>
        <v/>
      </c>
      <c r="I1764" s="39">
        <f>IF($C1764="","",IFERROR(INDEX(DESPACHOS!$H$3:$H$3002,MATCH($C1764,DESPACHOS!$B$3:$B$3002,0)),""))</f>
        <v/>
      </c>
      <c r="J1764" s="43">
        <f>IF($C1764="","",IFERROR(INDEX(DESPACHOS!$J$3:$J$3002,MATCH($C1764,DESPACHOS!$B$3:$B$3002,0)),""))</f>
        <v/>
      </c>
      <c r="K1764" s="39">
        <f>IF($C1764="","",IF(COUNTIFS(DESPACHOS!$B$3:$B$3002,$C1764)=0,"NO EXISTE",IF(COUNTIFS(DESPACHOS!$B$3:$B$3002,$C1764)&gt;1,"DUPLICADO","OK")))</f>
        <v/>
      </c>
      <c r="L1764" s="41" t="n"/>
      <c r="M1764" s="41" t="n"/>
      <c r="N1764" s="42">
        <f>IF($M1764="","",IFERROR(INDEX(LISTAS!$F$3:$F$42,MATCH($M1764,LISTAS!$E$3:$E$42,0)),"Por definir"))</f>
        <v/>
      </c>
      <c r="O1764" s="41" t="n"/>
      <c r="P1764" s="39">
        <f>IF($L1764="","",IFERROR(INDEX(LISTAS!$B$3:$B$42,MATCH($L1764,LISTAS!$A$3:$A$42,0)),"Media"))</f>
        <v/>
      </c>
      <c r="Q1764" s="44" t="n"/>
      <c r="R1764" s="45" t="n"/>
      <c r="S1764" s="20">
        <f>IFERROR(IF(OR($R1764="",$C1764=""),"",$R1764/INDEX(DESPACHOS!$M$3:$M$3002,MATCH($C1764,DESPACHOS!$B$3:$B$3002,0))),"")</f>
        <v/>
      </c>
      <c r="T1764" s="41" t="n"/>
      <c r="U1764" s="43">
        <f>IF(OR($B1764="",$L1764=""),"",WORKDAY($B1764,IFERROR(INDEX(LISTAS!$C$3:$C$42,MATCH($L1764,LISTAS!$A$3:$A$42,0)),3)))</f>
        <v/>
      </c>
      <c r="V1764" s="40" t="n"/>
      <c r="W1764" s="19">
        <f>IF($B1764="","",IF($V1764&lt;&gt;"",$V1764-$B1764,TODAY()-$B1764))</f>
        <v/>
      </c>
      <c r="X1764" s="19">
        <f>IF(OR($B1764="",$U1764=""),"",IF($V1764&lt;&gt;"",MAX(0,$V1764-$U1764),MAX(0,TODAY()-$U1764)))</f>
        <v/>
      </c>
      <c r="Y1764" s="39">
        <f>IF($C1764="","",IF(IFERROR(INDEX(LISTAS!$I$3:$I$42,MATCH($T1764,LISTAS!$H$3:$H$42,0)),"NO")="SÍ",IF(N($X1764)&gt;0,"CERRADA FUERA DE SLA","CERRADA EN SLA"),IF($U1764="","SIN CLASIFICAR",IF(N($X1764)&gt;0,"VENCIDA",IF(TODAY()&gt;=$U1764-1,"POR VENCER","EN PLAZO")))))</f>
        <v/>
      </c>
      <c r="Z1764" s="41" t="n"/>
      <c r="AA1764" s="41" t="n"/>
      <c r="AB1764" s="41" t="n"/>
    </row>
    <row r="1765">
      <c r="A1765" s="39">
        <f>IF($C1765="","","NOV-"&amp;TEXT(ROW()-3,"0000"))</f>
        <v/>
      </c>
      <c r="B1765" s="40" t="n"/>
      <c r="C1765" s="41" t="n"/>
      <c r="D1765" s="42">
        <f>IF($C1765="","",IFERROR(INDEX(DESPACHOS!$D$3:$D$3002,MATCH($C1765,DESPACHOS!$B$3:$B$3002,0)),"SIN DESPACHO"))</f>
        <v/>
      </c>
      <c r="E1765" s="42">
        <f>IF($C1765="","",IFERROR(INDEX(DESPACHOS!$K$3:$K$3002,MATCH($C1765,DESPACHOS!$B$3:$B$3002,0)),""))</f>
        <v/>
      </c>
      <c r="F1765" s="42">
        <f>IF($C1765="","",IFERROR(INDEX(DESPACHOS!$I$3:$I$3002,MATCH($C1765,DESPACHOS!$B$3:$B$3002,0)),""))</f>
        <v/>
      </c>
      <c r="G1765" s="42">
        <f>IF($C1765="","",IFERROR(INDEX(DESPACHOS!$F$3:$F$3002,MATCH($C1765,DESPACHOS!$B$3:$B$3002,0)),""))</f>
        <v/>
      </c>
      <c r="H1765" s="42">
        <f>IF($C1765="","",IFERROR(INDEX(DESPACHOS!$G$3:$G$3002,MATCH($C1765,DESPACHOS!$B$3:$B$3002,0)),""))</f>
        <v/>
      </c>
      <c r="I1765" s="39">
        <f>IF($C1765="","",IFERROR(INDEX(DESPACHOS!$H$3:$H$3002,MATCH($C1765,DESPACHOS!$B$3:$B$3002,0)),""))</f>
        <v/>
      </c>
      <c r="J1765" s="43">
        <f>IF($C1765="","",IFERROR(INDEX(DESPACHOS!$J$3:$J$3002,MATCH($C1765,DESPACHOS!$B$3:$B$3002,0)),""))</f>
        <v/>
      </c>
      <c r="K1765" s="39">
        <f>IF($C1765="","",IF(COUNTIFS(DESPACHOS!$B$3:$B$3002,$C1765)=0,"NO EXISTE",IF(COUNTIFS(DESPACHOS!$B$3:$B$3002,$C1765)&gt;1,"DUPLICADO","OK")))</f>
        <v/>
      </c>
      <c r="L1765" s="41" t="n"/>
      <c r="M1765" s="41" t="n"/>
      <c r="N1765" s="42">
        <f>IF($M1765="","",IFERROR(INDEX(LISTAS!$F$3:$F$42,MATCH($M1765,LISTAS!$E$3:$E$42,0)),"Por definir"))</f>
        <v/>
      </c>
      <c r="O1765" s="41" t="n"/>
      <c r="P1765" s="39">
        <f>IF($L1765="","",IFERROR(INDEX(LISTAS!$B$3:$B$42,MATCH($L1765,LISTAS!$A$3:$A$42,0)),"Media"))</f>
        <v/>
      </c>
      <c r="Q1765" s="44" t="n"/>
      <c r="R1765" s="45" t="n"/>
      <c r="S1765" s="20">
        <f>IFERROR(IF(OR($R1765="",$C1765=""),"",$R1765/INDEX(DESPACHOS!$M$3:$M$3002,MATCH($C1765,DESPACHOS!$B$3:$B$3002,0))),"")</f>
        <v/>
      </c>
      <c r="T1765" s="41" t="n"/>
      <c r="U1765" s="43">
        <f>IF(OR($B1765="",$L1765=""),"",WORKDAY($B1765,IFERROR(INDEX(LISTAS!$C$3:$C$42,MATCH($L1765,LISTAS!$A$3:$A$42,0)),3)))</f>
        <v/>
      </c>
      <c r="V1765" s="40" t="n"/>
      <c r="W1765" s="19">
        <f>IF($B1765="","",IF($V1765&lt;&gt;"",$V1765-$B1765,TODAY()-$B1765))</f>
        <v/>
      </c>
      <c r="X1765" s="19">
        <f>IF(OR($B1765="",$U1765=""),"",IF($V1765&lt;&gt;"",MAX(0,$V1765-$U1765),MAX(0,TODAY()-$U1765)))</f>
        <v/>
      </c>
      <c r="Y1765" s="39">
        <f>IF($C1765="","",IF(IFERROR(INDEX(LISTAS!$I$3:$I$42,MATCH($T1765,LISTAS!$H$3:$H$42,0)),"NO")="SÍ",IF(N($X1765)&gt;0,"CERRADA FUERA DE SLA","CERRADA EN SLA"),IF($U1765="","SIN CLASIFICAR",IF(N($X1765)&gt;0,"VENCIDA",IF(TODAY()&gt;=$U1765-1,"POR VENCER","EN PLAZO")))))</f>
        <v/>
      </c>
      <c r="Z1765" s="41" t="n"/>
      <c r="AA1765" s="41" t="n"/>
      <c r="AB1765" s="41" t="n"/>
    </row>
    <row r="1766">
      <c r="A1766" s="39">
        <f>IF($C1766="","","NOV-"&amp;TEXT(ROW()-3,"0000"))</f>
        <v/>
      </c>
      <c r="B1766" s="40" t="n"/>
      <c r="C1766" s="41" t="n"/>
      <c r="D1766" s="42">
        <f>IF($C1766="","",IFERROR(INDEX(DESPACHOS!$D$3:$D$3002,MATCH($C1766,DESPACHOS!$B$3:$B$3002,0)),"SIN DESPACHO"))</f>
        <v/>
      </c>
      <c r="E1766" s="42">
        <f>IF($C1766="","",IFERROR(INDEX(DESPACHOS!$K$3:$K$3002,MATCH($C1766,DESPACHOS!$B$3:$B$3002,0)),""))</f>
        <v/>
      </c>
      <c r="F1766" s="42">
        <f>IF($C1766="","",IFERROR(INDEX(DESPACHOS!$I$3:$I$3002,MATCH($C1766,DESPACHOS!$B$3:$B$3002,0)),""))</f>
        <v/>
      </c>
      <c r="G1766" s="42">
        <f>IF($C1766="","",IFERROR(INDEX(DESPACHOS!$F$3:$F$3002,MATCH($C1766,DESPACHOS!$B$3:$B$3002,0)),""))</f>
        <v/>
      </c>
      <c r="H1766" s="42">
        <f>IF($C1766="","",IFERROR(INDEX(DESPACHOS!$G$3:$G$3002,MATCH($C1766,DESPACHOS!$B$3:$B$3002,0)),""))</f>
        <v/>
      </c>
      <c r="I1766" s="39">
        <f>IF($C1766="","",IFERROR(INDEX(DESPACHOS!$H$3:$H$3002,MATCH($C1766,DESPACHOS!$B$3:$B$3002,0)),""))</f>
        <v/>
      </c>
      <c r="J1766" s="43">
        <f>IF($C1766="","",IFERROR(INDEX(DESPACHOS!$J$3:$J$3002,MATCH($C1766,DESPACHOS!$B$3:$B$3002,0)),""))</f>
        <v/>
      </c>
      <c r="K1766" s="39">
        <f>IF($C1766="","",IF(COUNTIFS(DESPACHOS!$B$3:$B$3002,$C1766)=0,"NO EXISTE",IF(COUNTIFS(DESPACHOS!$B$3:$B$3002,$C1766)&gt;1,"DUPLICADO","OK")))</f>
        <v/>
      </c>
      <c r="L1766" s="41" t="n"/>
      <c r="M1766" s="41" t="n"/>
      <c r="N1766" s="42">
        <f>IF($M1766="","",IFERROR(INDEX(LISTAS!$F$3:$F$42,MATCH($M1766,LISTAS!$E$3:$E$42,0)),"Por definir"))</f>
        <v/>
      </c>
      <c r="O1766" s="41" t="n"/>
      <c r="P1766" s="39">
        <f>IF($L1766="","",IFERROR(INDEX(LISTAS!$B$3:$B$42,MATCH($L1766,LISTAS!$A$3:$A$42,0)),"Media"))</f>
        <v/>
      </c>
      <c r="Q1766" s="44" t="n"/>
      <c r="R1766" s="45" t="n"/>
      <c r="S1766" s="20">
        <f>IFERROR(IF(OR($R1766="",$C1766=""),"",$R1766/INDEX(DESPACHOS!$M$3:$M$3002,MATCH($C1766,DESPACHOS!$B$3:$B$3002,0))),"")</f>
        <v/>
      </c>
      <c r="T1766" s="41" t="n"/>
      <c r="U1766" s="43">
        <f>IF(OR($B1766="",$L1766=""),"",WORKDAY($B1766,IFERROR(INDEX(LISTAS!$C$3:$C$42,MATCH($L1766,LISTAS!$A$3:$A$42,0)),3)))</f>
        <v/>
      </c>
      <c r="V1766" s="40" t="n"/>
      <c r="W1766" s="19">
        <f>IF($B1766="","",IF($V1766&lt;&gt;"",$V1766-$B1766,TODAY()-$B1766))</f>
        <v/>
      </c>
      <c r="X1766" s="19">
        <f>IF(OR($B1766="",$U1766=""),"",IF($V1766&lt;&gt;"",MAX(0,$V1766-$U1766),MAX(0,TODAY()-$U1766)))</f>
        <v/>
      </c>
      <c r="Y1766" s="39">
        <f>IF($C1766="","",IF(IFERROR(INDEX(LISTAS!$I$3:$I$42,MATCH($T1766,LISTAS!$H$3:$H$42,0)),"NO")="SÍ",IF(N($X1766)&gt;0,"CERRADA FUERA DE SLA","CERRADA EN SLA"),IF($U1766="","SIN CLASIFICAR",IF(N($X1766)&gt;0,"VENCIDA",IF(TODAY()&gt;=$U1766-1,"POR VENCER","EN PLAZO")))))</f>
        <v/>
      </c>
      <c r="Z1766" s="41" t="n"/>
      <c r="AA1766" s="41" t="n"/>
      <c r="AB1766" s="41" t="n"/>
    </row>
    <row r="1767">
      <c r="A1767" s="39">
        <f>IF($C1767="","","NOV-"&amp;TEXT(ROW()-3,"0000"))</f>
        <v/>
      </c>
      <c r="B1767" s="40" t="n"/>
      <c r="C1767" s="41" t="n"/>
      <c r="D1767" s="42">
        <f>IF($C1767="","",IFERROR(INDEX(DESPACHOS!$D$3:$D$3002,MATCH($C1767,DESPACHOS!$B$3:$B$3002,0)),"SIN DESPACHO"))</f>
        <v/>
      </c>
      <c r="E1767" s="42">
        <f>IF($C1767="","",IFERROR(INDEX(DESPACHOS!$K$3:$K$3002,MATCH($C1767,DESPACHOS!$B$3:$B$3002,0)),""))</f>
        <v/>
      </c>
      <c r="F1767" s="42">
        <f>IF($C1767="","",IFERROR(INDEX(DESPACHOS!$I$3:$I$3002,MATCH($C1767,DESPACHOS!$B$3:$B$3002,0)),""))</f>
        <v/>
      </c>
      <c r="G1767" s="42">
        <f>IF($C1767="","",IFERROR(INDEX(DESPACHOS!$F$3:$F$3002,MATCH($C1767,DESPACHOS!$B$3:$B$3002,0)),""))</f>
        <v/>
      </c>
      <c r="H1767" s="42">
        <f>IF($C1767="","",IFERROR(INDEX(DESPACHOS!$G$3:$G$3002,MATCH($C1767,DESPACHOS!$B$3:$B$3002,0)),""))</f>
        <v/>
      </c>
      <c r="I1767" s="39">
        <f>IF($C1767="","",IFERROR(INDEX(DESPACHOS!$H$3:$H$3002,MATCH($C1767,DESPACHOS!$B$3:$B$3002,0)),""))</f>
        <v/>
      </c>
      <c r="J1767" s="43">
        <f>IF($C1767="","",IFERROR(INDEX(DESPACHOS!$J$3:$J$3002,MATCH($C1767,DESPACHOS!$B$3:$B$3002,0)),""))</f>
        <v/>
      </c>
      <c r="K1767" s="39">
        <f>IF($C1767="","",IF(COUNTIFS(DESPACHOS!$B$3:$B$3002,$C1767)=0,"NO EXISTE",IF(COUNTIFS(DESPACHOS!$B$3:$B$3002,$C1767)&gt;1,"DUPLICADO","OK")))</f>
        <v/>
      </c>
      <c r="L1767" s="41" t="n"/>
      <c r="M1767" s="41" t="n"/>
      <c r="N1767" s="42">
        <f>IF($M1767="","",IFERROR(INDEX(LISTAS!$F$3:$F$42,MATCH($M1767,LISTAS!$E$3:$E$42,0)),"Por definir"))</f>
        <v/>
      </c>
      <c r="O1767" s="41" t="n"/>
      <c r="P1767" s="39">
        <f>IF($L1767="","",IFERROR(INDEX(LISTAS!$B$3:$B$42,MATCH($L1767,LISTAS!$A$3:$A$42,0)),"Media"))</f>
        <v/>
      </c>
      <c r="Q1767" s="44" t="n"/>
      <c r="R1767" s="45" t="n"/>
      <c r="S1767" s="20">
        <f>IFERROR(IF(OR($R1767="",$C1767=""),"",$R1767/INDEX(DESPACHOS!$M$3:$M$3002,MATCH($C1767,DESPACHOS!$B$3:$B$3002,0))),"")</f>
        <v/>
      </c>
      <c r="T1767" s="41" t="n"/>
      <c r="U1767" s="43">
        <f>IF(OR($B1767="",$L1767=""),"",WORKDAY($B1767,IFERROR(INDEX(LISTAS!$C$3:$C$42,MATCH($L1767,LISTAS!$A$3:$A$42,0)),3)))</f>
        <v/>
      </c>
      <c r="V1767" s="40" t="n"/>
      <c r="W1767" s="19">
        <f>IF($B1767="","",IF($V1767&lt;&gt;"",$V1767-$B1767,TODAY()-$B1767))</f>
        <v/>
      </c>
      <c r="X1767" s="19">
        <f>IF(OR($B1767="",$U1767=""),"",IF($V1767&lt;&gt;"",MAX(0,$V1767-$U1767),MAX(0,TODAY()-$U1767)))</f>
        <v/>
      </c>
      <c r="Y1767" s="39">
        <f>IF($C1767="","",IF(IFERROR(INDEX(LISTAS!$I$3:$I$42,MATCH($T1767,LISTAS!$H$3:$H$42,0)),"NO")="SÍ",IF(N($X1767)&gt;0,"CERRADA FUERA DE SLA","CERRADA EN SLA"),IF($U1767="","SIN CLASIFICAR",IF(N($X1767)&gt;0,"VENCIDA",IF(TODAY()&gt;=$U1767-1,"POR VENCER","EN PLAZO")))))</f>
        <v/>
      </c>
      <c r="Z1767" s="41" t="n"/>
      <c r="AA1767" s="41" t="n"/>
      <c r="AB1767" s="41" t="n"/>
    </row>
    <row r="1768">
      <c r="A1768" s="39">
        <f>IF($C1768="","","NOV-"&amp;TEXT(ROW()-3,"0000"))</f>
        <v/>
      </c>
      <c r="B1768" s="40" t="n"/>
      <c r="C1768" s="41" t="n"/>
      <c r="D1768" s="42">
        <f>IF($C1768="","",IFERROR(INDEX(DESPACHOS!$D$3:$D$3002,MATCH($C1768,DESPACHOS!$B$3:$B$3002,0)),"SIN DESPACHO"))</f>
        <v/>
      </c>
      <c r="E1768" s="42">
        <f>IF($C1768="","",IFERROR(INDEX(DESPACHOS!$K$3:$K$3002,MATCH($C1768,DESPACHOS!$B$3:$B$3002,0)),""))</f>
        <v/>
      </c>
      <c r="F1768" s="42">
        <f>IF($C1768="","",IFERROR(INDEX(DESPACHOS!$I$3:$I$3002,MATCH($C1768,DESPACHOS!$B$3:$B$3002,0)),""))</f>
        <v/>
      </c>
      <c r="G1768" s="42">
        <f>IF($C1768="","",IFERROR(INDEX(DESPACHOS!$F$3:$F$3002,MATCH($C1768,DESPACHOS!$B$3:$B$3002,0)),""))</f>
        <v/>
      </c>
      <c r="H1768" s="42">
        <f>IF($C1768="","",IFERROR(INDEX(DESPACHOS!$G$3:$G$3002,MATCH($C1768,DESPACHOS!$B$3:$B$3002,0)),""))</f>
        <v/>
      </c>
      <c r="I1768" s="39">
        <f>IF($C1768="","",IFERROR(INDEX(DESPACHOS!$H$3:$H$3002,MATCH($C1768,DESPACHOS!$B$3:$B$3002,0)),""))</f>
        <v/>
      </c>
      <c r="J1768" s="43">
        <f>IF($C1768="","",IFERROR(INDEX(DESPACHOS!$J$3:$J$3002,MATCH($C1768,DESPACHOS!$B$3:$B$3002,0)),""))</f>
        <v/>
      </c>
      <c r="K1768" s="39">
        <f>IF($C1768="","",IF(COUNTIFS(DESPACHOS!$B$3:$B$3002,$C1768)=0,"NO EXISTE",IF(COUNTIFS(DESPACHOS!$B$3:$B$3002,$C1768)&gt;1,"DUPLICADO","OK")))</f>
        <v/>
      </c>
      <c r="L1768" s="41" t="n"/>
      <c r="M1768" s="41" t="n"/>
      <c r="N1768" s="42">
        <f>IF($M1768="","",IFERROR(INDEX(LISTAS!$F$3:$F$42,MATCH($M1768,LISTAS!$E$3:$E$42,0)),"Por definir"))</f>
        <v/>
      </c>
      <c r="O1768" s="41" t="n"/>
      <c r="P1768" s="39">
        <f>IF($L1768="","",IFERROR(INDEX(LISTAS!$B$3:$B$42,MATCH($L1768,LISTAS!$A$3:$A$42,0)),"Media"))</f>
        <v/>
      </c>
      <c r="Q1768" s="44" t="n"/>
      <c r="R1768" s="45" t="n"/>
      <c r="S1768" s="20">
        <f>IFERROR(IF(OR($R1768="",$C1768=""),"",$R1768/INDEX(DESPACHOS!$M$3:$M$3002,MATCH($C1768,DESPACHOS!$B$3:$B$3002,0))),"")</f>
        <v/>
      </c>
      <c r="T1768" s="41" t="n"/>
      <c r="U1768" s="43">
        <f>IF(OR($B1768="",$L1768=""),"",WORKDAY($B1768,IFERROR(INDEX(LISTAS!$C$3:$C$42,MATCH($L1768,LISTAS!$A$3:$A$42,0)),3)))</f>
        <v/>
      </c>
      <c r="V1768" s="40" t="n"/>
      <c r="W1768" s="19">
        <f>IF($B1768="","",IF($V1768&lt;&gt;"",$V1768-$B1768,TODAY()-$B1768))</f>
        <v/>
      </c>
      <c r="X1768" s="19">
        <f>IF(OR($B1768="",$U1768=""),"",IF($V1768&lt;&gt;"",MAX(0,$V1768-$U1768),MAX(0,TODAY()-$U1768)))</f>
        <v/>
      </c>
      <c r="Y1768" s="39">
        <f>IF($C1768="","",IF(IFERROR(INDEX(LISTAS!$I$3:$I$42,MATCH($T1768,LISTAS!$H$3:$H$42,0)),"NO")="SÍ",IF(N($X1768)&gt;0,"CERRADA FUERA DE SLA","CERRADA EN SLA"),IF($U1768="","SIN CLASIFICAR",IF(N($X1768)&gt;0,"VENCIDA",IF(TODAY()&gt;=$U1768-1,"POR VENCER","EN PLAZO")))))</f>
        <v/>
      </c>
      <c r="Z1768" s="41" t="n"/>
      <c r="AA1768" s="41" t="n"/>
      <c r="AB1768" s="41" t="n"/>
    </row>
    <row r="1769">
      <c r="A1769" s="39">
        <f>IF($C1769="","","NOV-"&amp;TEXT(ROW()-3,"0000"))</f>
        <v/>
      </c>
      <c r="B1769" s="40" t="n"/>
      <c r="C1769" s="41" t="n"/>
      <c r="D1769" s="42">
        <f>IF($C1769="","",IFERROR(INDEX(DESPACHOS!$D$3:$D$3002,MATCH($C1769,DESPACHOS!$B$3:$B$3002,0)),"SIN DESPACHO"))</f>
        <v/>
      </c>
      <c r="E1769" s="42">
        <f>IF($C1769="","",IFERROR(INDEX(DESPACHOS!$K$3:$K$3002,MATCH($C1769,DESPACHOS!$B$3:$B$3002,0)),""))</f>
        <v/>
      </c>
      <c r="F1769" s="42">
        <f>IF($C1769="","",IFERROR(INDEX(DESPACHOS!$I$3:$I$3002,MATCH($C1769,DESPACHOS!$B$3:$B$3002,0)),""))</f>
        <v/>
      </c>
      <c r="G1769" s="42">
        <f>IF($C1769="","",IFERROR(INDEX(DESPACHOS!$F$3:$F$3002,MATCH($C1769,DESPACHOS!$B$3:$B$3002,0)),""))</f>
        <v/>
      </c>
      <c r="H1769" s="42">
        <f>IF($C1769="","",IFERROR(INDEX(DESPACHOS!$G$3:$G$3002,MATCH($C1769,DESPACHOS!$B$3:$B$3002,0)),""))</f>
        <v/>
      </c>
      <c r="I1769" s="39">
        <f>IF($C1769="","",IFERROR(INDEX(DESPACHOS!$H$3:$H$3002,MATCH($C1769,DESPACHOS!$B$3:$B$3002,0)),""))</f>
        <v/>
      </c>
      <c r="J1769" s="43">
        <f>IF($C1769="","",IFERROR(INDEX(DESPACHOS!$J$3:$J$3002,MATCH($C1769,DESPACHOS!$B$3:$B$3002,0)),""))</f>
        <v/>
      </c>
      <c r="K1769" s="39">
        <f>IF($C1769="","",IF(COUNTIFS(DESPACHOS!$B$3:$B$3002,$C1769)=0,"NO EXISTE",IF(COUNTIFS(DESPACHOS!$B$3:$B$3002,$C1769)&gt;1,"DUPLICADO","OK")))</f>
        <v/>
      </c>
      <c r="L1769" s="41" t="n"/>
      <c r="M1769" s="41" t="n"/>
      <c r="N1769" s="42">
        <f>IF($M1769="","",IFERROR(INDEX(LISTAS!$F$3:$F$42,MATCH($M1769,LISTAS!$E$3:$E$42,0)),"Por definir"))</f>
        <v/>
      </c>
      <c r="O1769" s="41" t="n"/>
      <c r="P1769" s="39">
        <f>IF($L1769="","",IFERROR(INDEX(LISTAS!$B$3:$B$42,MATCH($L1769,LISTAS!$A$3:$A$42,0)),"Media"))</f>
        <v/>
      </c>
      <c r="Q1769" s="44" t="n"/>
      <c r="R1769" s="45" t="n"/>
      <c r="S1769" s="20">
        <f>IFERROR(IF(OR($R1769="",$C1769=""),"",$R1769/INDEX(DESPACHOS!$M$3:$M$3002,MATCH($C1769,DESPACHOS!$B$3:$B$3002,0))),"")</f>
        <v/>
      </c>
      <c r="T1769" s="41" t="n"/>
      <c r="U1769" s="43">
        <f>IF(OR($B1769="",$L1769=""),"",WORKDAY($B1769,IFERROR(INDEX(LISTAS!$C$3:$C$42,MATCH($L1769,LISTAS!$A$3:$A$42,0)),3)))</f>
        <v/>
      </c>
      <c r="V1769" s="40" t="n"/>
      <c r="W1769" s="19">
        <f>IF($B1769="","",IF($V1769&lt;&gt;"",$V1769-$B1769,TODAY()-$B1769))</f>
        <v/>
      </c>
      <c r="X1769" s="19">
        <f>IF(OR($B1769="",$U1769=""),"",IF($V1769&lt;&gt;"",MAX(0,$V1769-$U1769),MAX(0,TODAY()-$U1769)))</f>
        <v/>
      </c>
      <c r="Y1769" s="39">
        <f>IF($C1769="","",IF(IFERROR(INDEX(LISTAS!$I$3:$I$42,MATCH($T1769,LISTAS!$H$3:$H$42,0)),"NO")="SÍ",IF(N($X1769)&gt;0,"CERRADA FUERA DE SLA","CERRADA EN SLA"),IF($U1769="","SIN CLASIFICAR",IF(N($X1769)&gt;0,"VENCIDA",IF(TODAY()&gt;=$U1769-1,"POR VENCER","EN PLAZO")))))</f>
        <v/>
      </c>
      <c r="Z1769" s="41" t="n"/>
      <c r="AA1769" s="41" t="n"/>
      <c r="AB1769" s="41" t="n"/>
    </row>
    <row r="1770">
      <c r="A1770" s="39">
        <f>IF($C1770="","","NOV-"&amp;TEXT(ROW()-3,"0000"))</f>
        <v/>
      </c>
      <c r="B1770" s="40" t="n"/>
      <c r="C1770" s="41" t="n"/>
      <c r="D1770" s="42">
        <f>IF($C1770="","",IFERROR(INDEX(DESPACHOS!$D$3:$D$3002,MATCH($C1770,DESPACHOS!$B$3:$B$3002,0)),"SIN DESPACHO"))</f>
        <v/>
      </c>
      <c r="E1770" s="42">
        <f>IF($C1770="","",IFERROR(INDEX(DESPACHOS!$K$3:$K$3002,MATCH($C1770,DESPACHOS!$B$3:$B$3002,0)),""))</f>
        <v/>
      </c>
      <c r="F1770" s="42">
        <f>IF($C1770="","",IFERROR(INDEX(DESPACHOS!$I$3:$I$3002,MATCH($C1770,DESPACHOS!$B$3:$B$3002,0)),""))</f>
        <v/>
      </c>
      <c r="G1770" s="42">
        <f>IF($C1770="","",IFERROR(INDEX(DESPACHOS!$F$3:$F$3002,MATCH($C1770,DESPACHOS!$B$3:$B$3002,0)),""))</f>
        <v/>
      </c>
      <c r="H1770" s="42">
        <f>IF($C1770="","",IFERROR(INDEX(DESPACHOS!$G$3:$G$3002,MATCH($C1770,DESPACHOS!$B$3:$B$3002,0)),""))</f>
        <v/>
      </c>
      <c r="I1770" s="39">
        <f>IF($C1770="","",IFERROR(INDEX(DESPACHOS!$H$3:$H$3002,MATCH($C1770,DESPACHOS!$B$3:$B$3002,0)),""))</f>
        <v/>
      </c>
      <c r="J1770" s="43">
        <f>IF($C1770="","",IFERROR(INDEX(DESPACHOS!$J$3:$J$3002,MATCH($C1770,DESPACHOS!$B$3:$B$3002,0)),""))</f>
        <v/>
      </c>
      <c r="K1770" s="39">
        <f>IF($C1770="","",IF(COUNTIFS(DESPACHOS!$B$3:$B$3002,$C1770)=0,"NO EXISTE",IF(COUNTIFS(DESPACHOS!$B$3:$B$3002,$C1770)&gt;1,"DUPLICADO","OK")))</f>
        <v/>
      </c>
      <c r="L1770" s="41" t="n"/>
      <c r="M1770" s="41" t="n"/>
      <c r="N1770" s="42">
        <f>IF($M1770="","",IFERROR(INDEX(LISTAS!$F$3:$F$42,MATCH($M1770,LISTAS!$E$3:$E$42,0)),"Por definir"))</f>
        <v/>
      </c>
      <c r="O1770" s="41" t="n"/>
      <c r="P1770" s="39">
        <f>IF($L1770="","",IFERROR(INDEX(LISTAS!$B$3:$B$42,MATCH($L1770,LISTAS!$A$3:$A$42,0)),"Media"))</f>
        <v/>
      </c>
      <c r="Q1770" s="44" t="n"/>
      <c r="R1770" s="45" t="n"/>
      <c r="S1770" s="20">
        <f>IFERROR(IF(OR($R1770="",$C1770=""),"",$R1770/INDEX(DESPACHOS!$M$3:$M$3002,MATCH($C1770,DESPACHOS!$B$3:$B$3002,0))),"")</f>
        <v/>
      </c>
      <c r="T1770" s="41" t="n"/>
      <c r="U1770" s="43">
        <f>IF(OR($B1770="",$L1770=""),"",WORKDAY($B1770,IFERROR(INDEX(LISTAS!$C$3:$C$42,MATCH($L1770,LISTAS!$A$3:$A$42,0)),3)))</f>
        <v/>
      </c>
      <c r="V1770" s="40" t="n"/>
      <c r="W1770" s="19">
        <f>IF($B1770="","",IF($V1770&lt;&gt;"",$V1770-$B1770,TODAY()-$B1770))</f>
        <v/>
      </c>
      <c r="X1770" s="19">
        <f>IF(OR($B1770="",$U1770=""),"",IF($V1770&lt;&gt;"",MAX(0,$V1770-$U1770),MAX(0,TODAY()-$U1770)))</f>
        <v/>
      </c>
      <c r="Y1770" s="39">
        <f>IF($C1770="","",IF(IFERROR(INDEX(LISTAS!$I$3:$I$42,MATCH($T1770,LISTAS!$H$3:$H$42,0)),"NO")="SÍ",IF(N($X1770)&gt;0,"CERRADA FUERA DE SLA","CERRADA EN SLA"),IF($U1770="","SIN CLASIFICAR",IF(N($X1770)&gt;0,"VENCIDA",IF(TODAY()&gt;=$U1770-1,"POR VENCER","EN PLAZO")))))</f>
        <v/>
      </c>
      <c r="Z1770" s="41" t="n"/>
      <c r="AA1770" s="41" t="n"/>
      <c r="AB1770" s="41" t="n"/>
    </row>
    <row r="1771">
      <c r="A1771" s="39">
        <f>IF($C1771="","","NOV-"&amp;TEXT(ROW()-3,"0000"))</f>
        <v/>
      </c>
      <c r="B1771" s="40" t="n"/>
      <c r="C1771" s="41" t="n"/>
      <c r="D1771" s="42">
        <f>IF($C1771="","",IFERROR(INDEX(DESPACHOS!$D$3:$D$3002,MATCH($C1771,DESPACHOS!$B$3:$B$3002,0)),"SIN DESPACHO"))</f>
        <v/>
      </c>
      <c r="E1771" s="42">
        <f>IF($C1771="","",IFERROR(INDEX(DESPACHOS!$K$3:$K$3002,MATCH($C1771,DESPACHOS!$B$3:$B$3002,0)),""))</f>
        <v/>
      </c>
      <c r="F1771" s="42">
        <f>IF($C1771="","",IFERROR(INDEX(DESPACHOS!$I$3:$I$3002,MATCH($C1771,DESPACHOS!$B$3:$B$3002,0)),""))</f>
        <v/>
      </c>
      <c r="G1771" s="42">
        <f>IF($C1771="","",IFERROR(INDEX(DESPACHOS!$F$3:$F$3002,MATCH($C1771,DESPACHOS!$B$3:$B$3002,0)),""))</f>
        <v/>
      </c>
      <c r="H1771" s="42">
        <f>IF($C1771="","",IFERROR(INDEX(DESPACHOS!$G$3:$G$3002,MATCH($C1771,DESPACHOS!$B$3:$B$3002,0)),""))</f>
        <v/>
      </c>
      <c r="I1771" s="39">
        <f>IF($C1771="","",IFERROR(INDEX(DESPACHOS!$H$3:$H$3002,MATCH($C1771,DESPACHOS!$B$3:$B$3002,0)),""))</f>
        <v/>
      </c>
      <c r="J1771" s="43">
        <f>IF($C1771="","",IFERROR(INDEX(DESPACHOS!$J$3:$J$3002,MATCH($C1771,DESPACHOS!$B$3:$B$3002,0)),""))</f>
        <v/>
      </c>
      <c r="K1771" s="39">
        <f>IF($C1771="","",IF(COUNTIFS(DESPACHOS!$B$3:$B$3002,$C1771)=0,"NO EXISTE",IF(COUNTIFS(DESPACHOS!$B$3:$B$3002,$C1771)&gt;1,"DUPLICADO","OK")))</f>
        <v/>
      </c>
      <c r="L1771" s="41" t="n"/>
      <c r="M1771" s="41" t="n"/>
      <c r="N1771" s="42">
        <f>IF($M1771="","",IFERROR(INDEX(LISTAS!$F$3:$F$42,MATCH($M1771,LISTAS!$E$3:$E$42,0)),"Por definir"))</f>
        <v/>
      </c>
      <c r="O1771" s="41" t="n"/>
      <c r="P1771" s="39">
        <f>IF($L1771="","",IFERROR(INDEX(LISTAS!$B$3:$B$42,MATCH($L1771,LISTAS!$A$3:$A$42,0)),"Media"))</f>
        <v/>
      </c>
      <c r="Q1771" s="44" t="n"/>
      <c r="R1771" s="45" t="n"/>
      <c r="S1771" s="20">
        <f>IFERROR(IF(OR($R1771="",$C1771=""),"",$R1771/INDEX(DESPACHOS!$M$3:$M$3002,MATCH($C1771,DESPACHOS!$B$3:$B$3002,0))),"")</f>
        <v/>
      </c>
      <c r="T1771" s="41" t="n"/>
      <c r="U1771" s="43">
        <f>IF(OR($B1771="",$L1771=""),"",WORKDAY($B1771,IFERROR(INDEX(LISTAS!$C$3:$C$42,MATCH($L1771,LISTAS!$A$3:$A$42,0)),3)))</f>
        <v/>
      </c>
      <c r="V1771" s="40" t="n"/>
      <c r="W1771" s="19">
        <f>IF($B1771="","",IF($V1771&lt;&gt;"",$V1771-$B1771,TODAY()-$B1771))</f>
        <v/>
      </c>
      <c r="X1771" s="19">
        <f>IF(OR($B1771="",$U1771=""),"",IF($V1771&lt;&gt;"",MAX(0,$V1771-$U1771),MAX(0,TODAY()-$U1771)))</f>
        <v/>
      </c>
      <c r="Y1771" s="39">
        <f>IF($C1771="","",IF(IFERROR(INDEX(LISTAS!$I$3:$I$42,MATCH($T1771,LISTAS!$H$3:$H$42,0)),"NO")="SÍ",IF(N($X1771)&gt;0,"CERRADA FUERA DE SLA","CERRADA EN SLA"),IF($U1771="","SIN CLASIFICAR",IF(N($X1771)&gt;0,"VENCIDA",IF(TODAY()&gt;=$U1771-1,"POR VENCER","EN PLAZO")))))</f>
        <v/>
      </c>
      <c r="Z1771" s="41" t="n"/>
      <c r="AA1771" s="41" t="n"/>
      <c r="AB1771" s="41" t="n"/>
    </row>
    <row r="1772">
      <c r="A1772" s="39">
        <f>IF($C1772="","","NOV-"&amp;TEXT(ROW()-3,"0000"))</f>
        <v/>
      </c>
      <c r="B1772" s="40" t="n"/>
      <c r="C1772" s="41" t="n"/>
      <c r="D1772" s="42">
        <f>IF($C1772="","",IFERROR(INDEX(DESPACHOS!$D$3:$D$3002,MATCH($C1772,DESPACHOS!$B$3:$B$3002,0)),"SIN DESPACHO"))</f>
        <v/>
      </c>
      <c r="E1772" s="42">
        <f>IF($C1772="","",IFERROR(INDEX(DESPACHOS!$K$3:$K$3002,MATCH($C1772,DESPACHOS!$B$3:$B$3002,0)),""))</f>
        <v/>
      </c>
      <c r="F1772" s="42">
        <f>IF($C1772="","",IFERROR(INDEX(DESPACHOS!$I$3:$I$3002,MATCH($C1772,DESPACHOS!$B$3:$B$3002,0)),""))</f>
        <v/>
      </c>
      <c r="G1772" s="42">
        <f>IF($C1772="","",IFERROR(INDEX(DESPACHOS!$F$3:$F$3002,MATCH($C1772,DESPACHOS!$B$3:$B$3002,0)),""))</f>
        <v/>
      </c>
      <c r="H1772" s="42">
        <f>IF($C1772="","",IFERROR(INDEX(DESPACHOS!$G$3:$G$3002,MATCH($C1772,DESPACHOS!$B$3:$B$3002,0)),""))</f>
        <v/>
      </c>
      <c r="I1772" s="39">
        <f>IF($C1772="","",IFERROR(INDEX(DESPACHOS!$H$3:$H$3002,MATCH($C1772,DESPACHOS!$B$3:$B$3002,0)),""))</f>
        <v/>
      </c>
      <c r="J1772" s="43">
        <f>IF($C1772="","",IFERROR(INDEX(DESPACHOS!$J$3:$J$3002,MATCH($C1772,DESPACHOS!$B$3:$B$3002,0)),""))</f>
        <v/>
      </c>
      <c r="K1772" s="39">
        <f>IF($C1772="","",IF(COUNTIFS(DESPACHOS!$B$3:$B$3002,$C1772)=0,"NO EXISTE",IF(COUNTIFS(DESPACHOS!$B$3:$B$3002,$C1772)&gt;1,"DUPLICADO","OK")))</f>
        <v/>
      </c>
      <c r="L1772" s="41" t="n"/>
      <c r="M1772" s="41" t="n"/>
      <c r="N1772" s="42">
        <f>IF($M1772="","",IFERROR(INDEX(LISTAS!$F$3:$F$42,MATCH($M1772,LISTAS!$E$3:$E$42,0)),"Por definir"))</f>
        <v/>
      </c>
      <c r="O1772" s="41" t="n"/>
      <c r="P1772" s="39">
        <f>IF($L1772="","",IFERROR(INDEX(LISTAS!$B$3:$B$42,MATCH($L1772,LISTAS!$A$3:$A$42,0)),"Media"))</f>
        <v/>
      </c>
      <c r="Q1772" s="44" t="n"/>
      <c r="R1772" s="45" t="n"/>
      <c r="S1772" s="20">
        <f>IFERROR(IF(OR($R1772="",$C1772=""),"",$R1772/INDEX(DESPACHOS!$M$3:$M$3002,MATCH($C1772,DESPACHOS!$B$3:$B$3002,0))),"")</f>
        <v/>
      </c>
      <c r="T1772" s="41" t="n"/>
      <c r="U1772" s="43">
        <f>IF(OR($B1772="",$L1772=""),"",WORKDAY($B1772,IFERROR(INDEX(LISTAS!$C$3:$C$42,MATCH($L1772,LISTAS!$A$3:$A$42,0)),3)))</f>
        <v/>
      </c>
      <c r="V1772" s="40" t="n"/>
      <c r="W1772" s="19">
        <f>IF($B1772="","",IF($V1772&lt;&gt;"",$V1772-$B1772,TODAY()-$B1772))</f>
        <v/>
      </c>
      <c r="X1772" s="19">
        <f>IF(OR($B1772="",$U1772=""),"",IF($V1772&lt;&gt;"",MAX(0,$V1772-$U1772),MAX(0,TODAY()-$U1772)))</f>
        <v/>
      </c>
      <c r="Y1772" s="39">
        <f>IF($C1772="","",IF(IFERROR(INDEX(LISTAS!$I$3:$I$42,MATCH($T1772,LISTAS!$H$3:$H$42,0)),"NO")="SÍ",IF(N($X1772)&gt;0,"CERRADA FUERA DE SLA","CERRADA EN SLA"),IF($U1772="","SIN CLASIFICAR",IF(N($X1772)&gt;0,"VENCIDA",IF(TODAY()&gt;=$U1772-1,"POR VENCER","EN PLAZO")))))</f>
        <v/>
      </c>
      <c r="Z1772" s="41" t="n"/>
      <c r="AA1772" s="41" t="n"/>
      <c r="AB1772" s="41" t="n"/>
    </row>
    <row r="1773">
      <c r="A1773" s="39">
        <f>IF($C1773="","","NOV-"&amp;TEXT(ROW()-3,"0000"))</f>
        <v/>
      </c>
      <c r="B1773" s="40" t="n"/>
      <c r="C1773" s="41" t="n"/>
      <c r="D1773" s="42">
        <f>IF($C1773="","",IFERROR(INDEX(DESPACHOS!$D$3:$D$3002,MATCH($C1773,DESPACHOS!$B$3:$B$3002,0)),"SIN DESPACHO"))</f>
        <v/>
      </c>
      <c r="E1773" s="42">
        <f>IF($C1773="","",IFERROR(INDEX(DESPACHOS!$K$3:$K$3002,MATCH($C1773,DESPACHOS!$B$3:$B$3002,0)),""))</f>
        <v/>
      </c>
      <c r="F1773" s="42">
        <f>IF($C1773="","",IFERROR(INDEX(DESPACHOS!$I$3:$I$3002,MATCH($C1773,DESPACHOS!$B$3:$B$3002,0)),""))</f>
        <v/>
      </c>
      <c r="G1773" s="42">
        <f>IF($C1773="","",IFERROR(INDEX(DESPACHOS!$F$3:$F$3002,MATCH($C1773,DESPACHOS!$B$3:$B$3002,0)),""))</f>
        <v/>
      </c>
      <c r="H1773" s="42">
        <f>IF($C1773="","",IFERROR(INDEX(DESPACHOS!$G$3:$G$3002,MATCH($C1773,DESPACHOS!$B$3:$B$3002,0)),""))</f>
        <v/>
      </c>
      <c r="I1773" s="39">
        <f>IF($C1773="","",IFERROR(INDEX(DESPACHOS!$H$3:$H$3002,MATCH($C1773,DESPACHOS!$B$3:$B$3002,0)),""))</f>
        <v/>
      </c>
      <c r="J1773" s="43">
        <f>IF($C1773="","",IFERROR(INDEX(DESPACHOS!$J$3:$J$3002,MATCH($C1773,DESPACHOS!$B$3:$B$3002,0)),""))</f>
        <v/>
      </c>
      <c r="K1773" s="39">
        <f>IF($C1773="","",IF(COUNTIFS(DESPACHOS!$B$3:$B$3002,$C1773)=0,"NO EXISTE",IF(COUNTIFS(DESPACHOS!$B$3:$B$3002,$C1773)&gt;1,"DUPLICADO","OK")))</f>
        <v/>
      </c>
      <c r="L1773" s="41" t="n"/>
      <c r="M1773" s="41" t="n"/>
      <c r="N1773" s="42">
        <f>IF($M1773="","",IFERROR(INDEX(LISTAS!$F$3:$F$42,MATCH($M1773,LISTAS!$E$3:$E$42,0)),"Por definir"))</f>
        <v/>
      </c>
      <c r="O1773" s="41" t="n"/>
      <c r="P1773" s="39">
        <f>IF($L1773="","",IFERROR(INDEX(LISTAS!$B$3:$B$42,MATCH($L1773,LISTAS!$A$3:$A$42,0)),"Media"))</f>
        <v/>
      </c>
      <c r="Q1773" s="44" t="n"/>
      <c r="R1773" s="45" t="n"/>
      <c r="S1773" s="20">
        <f>IFERROR(IF(OR($R1773="",$C1773=""),"",$R1773/INDEX(DESPACHOS!$M$3:$M$3002,MATCH($C1773,DESPACHOS!$B$3:$B$3002,0))),"")</f>
        <v/>
      </c>
      <c r="T1773" s="41" t="n"/>
      <c r="U1773" s="43">
        <f>IF(OR($B1773="",$L1773=""),"",WORKDAY($B1773,IFERROR(INDEX(LISTAS!$C$3:$C$42,MATCH($L1773,LISTAS!$A$3:$A$42,0)),3)))</f>
        <v/>
      </c>
      <c r="V1773" s="40" t="n"/>
      <c r="W1773" s="19">
        <f>IF($B1773="","",IF($V1773&lt;&gt;"",$V1773-$B1773,TODAY()-$B1773))</f>
        <v/>
      </c>
      <c r="X1773" s="19">
        <f>IF(OR($B1773="",$U1773=""),"",IF($V1773&lt;&gt;"",MAX(0,$V1773-$U1773),MAX(0,TODAY()-$U1773)))</f>
        <v/>
      </c>
      <c r="Y1773" s="39">
        <f>IF($C1773="","",IF(IFERROR(INDEX(LISTAS!$I$3:$I$42,MATCH($T1773,LISTAS!$H$3:$H$42,0)),"NO")="SÍ",IF(N($X1773)&gt;0,"CERRADA FUERA DE SLA","CERRADA EN SLA"),IF($U1773="","SIN CLASIFICAR",IF(N($X1773)&gt;0,"VENCIDA",IF(TODAY()&gt;=$U1773-1,"POR VENCER","EN PLAZO")))))</f>
        <v/>
      </c>
      <c r="Z1773" s="41" t="n"/>
      <c r="AA1773" s="41" t="n"/>
      <c r="AB1773" s="41" t="n"/>
    </row>
    <row r="1774">
      <c r="A1774" s="39">
        <f>IF($C1774="","","NOV-"&amp;TEXT(ROW()-3,"0000"))</f>
        <v/>
      </c>
      <c r="B1774" s="40" t="n"/>
      <c r="C1774" s="41" t="n"/>
      <c r="D1774" s="42">
        <f>IF($C1774="","",IFERROR(INDEX(DESPACHOS!$D$3:$D$3002,MATCH($C1774,DESPACHOS!$B$3:$B$3002,0)),"SIN DESPACHO"))</f>
        <v/>
      </c>
      <c r="E1774" s="42">
        <f>IF($C1774="","",IFERROR(INDEX(DESPACHOS!$K$3:$K$3002,MATCH($C1774,DESPACHOS!$B$3:$B$3002,0)),""))</f>
        <v/>
      </c>
      <c r="F1774" s="42">
        <f>IF($C1774="","",IFERROR(INDEX(DESPACHOS!$I$3:$I$3002,MATCH($C1774,DESPACHOS!$B$3:$B$3002,0)),""))</f>
        <v/>
      </c>
      <c r="G1774" s="42">
        <f>IF($C1774="","",IFERROR(INDEX(DESPACHOS!$F$3:$F$3002,MATCH($C1774,DESPACHOS!$B$3:$B$3002,0)),""))</f>
        <v/>
      </c>
      <c r="H1774" s="42">
        <f>IF($C1774="","",IFERROR(INDEX(DESPACHOS!$G$3:$G$3002,MATCH($C1774,DESPACHOS!$B$3:$B$3002,0)),""))</f>
        <v/>
      </c>
      <c r="I1774" s="39">
        <f>IF($C1774="","",IFERROR(INDEX(DESPACHOS!$H$3:$H$3002,MATCH($C1774,DESPACHOS!$B$3:$B$3002,0)),""))</f>
        <v/>
      </c>
      <c r="J1774" s="43">
        <f>IF($C1774="","",IFERROR(INDEX(DESPACHOS!$J$3:$J$3002,MATCH($C1774,DESPACHOS!$B$3:$B$3002,0)),""))</f>
        <v/>
      </c>
      <c r="K1774" s="39">
        <f>IF($C1774="","",IF(COUNTIFS(DESPACHOS!$B$3:$B$3002,$C1774)=0,"NO EXISTE",IF(COUNTIFS(DESPACHOS!$B$3:$B$3002,$C1774)&gt;1,"DUPLICADO","OK")))</f>
        <v/>
      </c>
      <c r="L1774" s="41" t="n"/>
      <c r="M1774" s="41" t="n"/>
      <c r="N1774" s="42">
        <f>IF($M1774="","",IFERROR(INDEX(LISTAS!$F$3:$F$42,MATCH($M1774,LISTAS!$E$3:$E$42,0)),"Por definir"))</f>
        <v/>
      </c>
      <c r="O1774" s="41" t="n"/>
      <c r="P1774" s="39">
        <f>IF($L1774="","",IFERROR(INDEX(LISTAS!$B$3:$B$42,MATCH($L1774,LISTAS!$A$3:$A$42,0)),"Media"))</f>
        <v/>
      </c>
      <c r="Q1774" s="44" t="n"/>
      <c r="R1774" s="45" t="n"/>
      <c r="S1774" s="20">
        <f>IFERROR(IF(OR($R1774="",$C1774=""),"",$R1774/INDEX(DESPACHOS!$M$3:$M$3002,MATCH($C1774,DESPACHOS!$B$3:$B$3002,0))),"")</f>
        <v/>
      </c>
      <c r="T1774" s="41" t="n"/>
      <c r="U1774" s="43">
        <f>IF(OR($B1774="",$L1774=""),"",WORKDAY($B1774,IFERROR(INDEX(LISTAS!$C$3:$C$42,MATCH($L1774,LISTAS!$A$3:$A$42,0)),3)))</f>
        <v/>
      </c>
      <c r="V1774" s="40" t="n"/>
      <c r="W1774" s="19">
        <f>IF($B1774="","",IF($V1774&lt;&gt;"",$V1774-$B1774,TODAY()-$B1774))</f>
        <v/>
      </c>
      <c r="X1774" s="19">
        <f>IF(OR($B1774="",$U1774=""),"",IF($V1774&lt;&gt;"",MAX(0,$V1774-$U1774),MAX(0,TODAY()-$U1774)))</f>
        <v/>
      </c>
      <c r="Y1774" s="39">
        <f>IF($C1774="","",IF(IFERROR(INDEX(LISTAS!$I$3:$I$42,MATCH($T1774,LISTAS!$H$3:$H$42,0)),"NO")="SÍ",IF(N($X1774)&gt;0,"CERRADA FUERA DE SLA","CERRADA EN SLA"),IF($U1774="","SIN CLASIFICAR",IF(N($X1774)&gt;0,"VENCIDA",IF(TODAY()&gt;=$U1774-1,"POR VENCER","EN PLAZO")))))</f>
        <v/>
      </c>
      <c r="Z1774" s="41" t="n"/>
      <c r="AA1774" s="41" t="n"/>
      <c r="AB1774" s="41" t="n"/>
    </row>
    <row r="1775">
      <c r="A1775" s="39">
        <f>IF($C1775="","","NOV-"&amp;TEXT(ROW()-3,"0000"))</f>
        <v/>
      </c>
      <c r="B1775" s="40" t="n"/>
      <c r="C1775" s="41" t="n"/>
      <c r="D1775" s="42">
        <f>IF($C1775="","",IFERROR(INDEX(DESPACHOS!$D$3:$D$3002,MATCH($C1775,DESPACHOS!$B$3:$B$3002,0)),"SIN DESPACHO"))</f>
        <v/>
      </c>
      <c r="E1775" s="42">
        <f>IF($C1775="","",IFERROR(INDEX(DESPACHOS!$K$3:$K$3002,MATCH($C1775,DESPACHOS!$B$3:$B$3002,0)),""))</f>
        <v/>
      </c>
      <c r="F1775" s="42">
        <f>IF($C1775="","",IFERROR(INDEX(DESPACHOS!$I$3:$I$3002,MATCH($C1775,DESPACHOS!$B$3:$B$3002,0)),""))</f>
        <v/>
      </c>
      <c r="G1775" s="42">
        <f>IF($C1775="","",IFERROR(INDEX(DESPACHOS!$F$3:$F$3002,MATCH($C1775,DESPACHOS!$B$3:$B$3002,0)),""))</f>
        <v/>
      </c>
      <c r="H1775" s="42">
        <f>IF($C1775="","",IFERROR(INDEX(DESPACHOS!$G$3:$G$3002,MATCH($C1775,DESPACHOS!$B$3:$B$3002,0)),""))</f>
        <v/>
      </c>
      <c r="I1775" s="39">
        <f>IF($C1775="","",IFERROR(INDEX(DESPACHOS!$H$3:$H$3002,MATCH($C1775,DESPACHOS!$B$3:$B$3002,0)),""))</f>
        <v/>
      </c>
      <c r="J1775" s="43">
        <f>IF($C1775="","",IFERROR(INDEX(DESPACHOS!$J$3:$J$3002,MATCH($C1775,DESPACHOS!$B$3:$B$3002,0)),""))</f>
        <v/>
      </c>
      <c r="K1775" s="39">
        <f>IF($C1775="","",IF(COUNTIFS(DESPACHOS!$B$3:$B$3002,$C1775)=0,"NO EXISTE",IF(COUNTIFS(DESPACHOS!$B$3:$B$3002,$C1775)&gt;1,"DUPLICADO","OK")))</f>
        <v/>
      </c>
      <c r="L1775" s="41" t="n"/>
      <c r="M1775" s="41" t="n"/>
      <c r="N1775" s="42">
        <f>IF($M1775="","",IFERROR(INDEX(LISTAS!$F$3:$F$42,MATCH($M1775,LISTAS!$E$3:$E$42,0)),"Por definir"))</f>
        <v/>
      </c>
      <c r="O1775" s="41" t="n"/>
      <c r="P1775" s="39">
        <f>IF($L1775="","",IFERROR(INDEX(LISTAS!$B$3:$B$42,MATCH($L1775,LISTAS!$A$3:$A$42,0)),"Media"))</f>
        <v/>
      </c>
      <c r="Q1775" s="44" t="n"/>
      <c r="R1775" s="45" t="n"/>
      <c r="S1775" s="20">
        <f>IFERROR(IF(OR($R1775="",$C1775=""),"",$R1775/INDEX(DESPACHOS!$M$3:$M$3002,MATCH($C1775,DESPACHOS!$B$3:$B$3002,0))),"")</f>
        <v/>
      </c>
      <c r="T1775" s="41" t="n"/>
      <c r="U1775" s="43">
        <f>IF(OR($B1775="",$L1775=""),"",WORKDAY($B1775,IFERROR(INDEX(LISTAS!$C$3:$C$42,MATCH($L1775,LISTAS!$A$3:$A$42,0)),3)))</f>
        <v/>
      </c>
      <c r="V1775" s="40" t="n"/>
      <c r="W1775" s="19">
        <f>IF($B1775="","",IF($V1775&lt;&gt;"",$V1775-$B1775,TODAY()-$B1775))</f>
        <v/>
      </c>
      <c r="X1775" s="19">
        <f>IF(OR($B1775="",$U1775=""),"",IF($V1775&lt;&gt;"",MAX(0,$V1775-$U1775),MAX(0,TODAY()-$U1775)))</f>
        <v/>
      </c>
      <c r="Y1775" s="39">
        <f>IF($C1775="","",IF(IFERROR(INDEX(LISTAS!$I$3:$I$42,MATCH($T1775,LISTAS!$H$3:$H$42,0)),"NO")="SÍ",IF(N($X1775)&gt;0,"CERRADA FUERA DE SLA","CERRADA EN SLA"),IF($U1775="","SIN CLASIFICAR",IF(N($X1775)&gt;0,"VENCIDA",IF(TODAY()&gt;=$U1775-1,"POR VENCER","EN PLAZO")))))</f>
        <v/>
      </c>
      <c r="Z1775" s="41" t="n"/>
      <c r="AA1775" s="41" t="n"/>
      <c r="AB1775" s="41" t="n"/>
    </row>
    <row r="1776">
      <c r="A1776" s="39">
        <f>IF($C1776="","","NOV-"&amp;TEXT(ROW()-3,"0000"))</f>
        <v/>
      </c>
      <c r="B1776" s="40" t="n"/>
      <c r="C1776" s="41" t="n"/>
      <c r="D1776" s="42">
        <f>IF($C1776="","",IFERROR(INDEX(DESPACHOS!$D$3:$D$3002,MATCH($C1776,DESPACHOS!$B$3:$B$3002,0)),"SIN DESPACHO"))</f>
        <v/>
      </c>
      <c r="E1776" s="42">
        <f>IF($C1776="","",IFERROR(INDEX(DESPACHOS!$K$3:$K$3002,MATCH($C1776,DESPACHOS!$B$3:$B$3002,0)),""))</f>
        <v/>
      </c>
      <c r="F1776" s="42">
        <f>IF($C1776="","",IFERROR(INDEX(DESPACHOS!$I$3:$I$3002,MATCH($C1776,DESPACHOS!$B$3:$B$3002,0)),""))</f>
        <v/>
      </c>
      <c r="G1776" s="42">
        <f>IF($C1776="","",IFERROR(INDEX(DESPACHOS!$F$3:$F$3002,MATCH($C1776,DESPACHOS!$B$3:$B$3002,0)),""))</f>
        <v/>
      </c>
      <c r="H1776" s="42">
        <f>IF($C1776="","",IFERROR(INDEX(DESPACHOS!$G$3:$G$3002,MATCH($C1776,DESPACHOS!$B$3:$B$3002,0)),""))</f>
        <v/>
      </c>
      <c r="I1776" s="39">
        <f>IF($C1776="","",IFERROR(INDEX(DESPACHOS!$H$3:$H$3002,MATCH($C1776,DESPACHOS!$B$3:$B$3002,0)),""))</f>
        <v/>
      </c>
      <c r="J1776" s="43">
        <f>IF($C1776="","",IFERROR(INDEX(DESPACHOS!$J$3:$J$3002,MATCH($C1776,DESPACHOS!$B$3:$B$3002,0)),""))</f>
        <v/>
      </c>
      <c r="K1776" s="39">
        <f>IF($C1776="","",IF(COUNTIFS(DESPACHOS!$B$3:$B$3002,$C1776)=0,"NO EXISTE",IF(COUNTIFS(DESPACHOS!$B$3:$B$3002,$C1776)&gt;1,"DUPLICADO","OK")))</f>
        <v/>
      </c>
      <c r="L1776" s="41" t="n"/>
      <c r="M1776" s="41" t="n"/>
      <c r="N1776" s="42">
        <f>IF($M1776="","",IFERROR(INDEX(LISTAS!$F$3:$F$42,MATCH($M1776,LISTAS!$E$3:$E$42,0)),"Por definir"))</f>
        <v/>
      </c>
      <c r="O1776" s="41" t="n"/>
      <c r="P1776" s="39">
        <f>IF($L1776="","",IFERROR(INDEX(LISTAS!$B$3:$B$42,MATCH($L1776,LISTAS!$A$3:$A$42,0)),"Media"))</f>
        <v/>
      </c>
      <c r="Q1776" s="44" t="n"/>
      <c r="R1776" s="45" t="n"/>
      <c r="S1776" s="20">
        <f>IFERROR(IF(OR($R1776="",$C1776=""),"",$R1776/INDEX(DESPACHOS!$M$3:$M$3002,MATCH($C1776,DESPACHOS!$B$3:$B$3002,0))),"")</f>
        <v/>
      </c>
      <c r="T1776" s="41" t="n"/>
      <c r="U1776" s="43">
        <f>IF(OR($B1776="",$L1776=""),"",WORKDAY($B1776,IFERROR(INDEX(LISTAS!$C$3:$C$42,MATCH($L1776,LISTAS!$A$3:$A$42,0)),3)))</f>
        <v/>
      </c>
      <c r="V1776" s="40" t="n"/>
      <c r="W1776" s="19">
        <f>IF($B1776="","",IF($V1776&lt;&gt;"",$V1776-$B1776,TODAY()-$B1776))</f>
        <v/>
      </c>
      <c r="X1776" s="19">
        <f>IF(OR($B1776="",$U1776=""),"",IF($V1776&lt;&gt;"",MAX(0,$V1776-$U1776),MAX(0,TODAY()-$U1776)))</f>
        <v/>
      </c>
      <c r="Y1776" s="39">
        <f>IF($C1776="","",IF(IFERROR(INDEX(LISTAS!$I$3:$I$42,MATCH($T1776,LISTAS!$H$3:$H$42,0)),"NO")="SÍ",IF(N($X1776)&gt;0,"CERRADA FUERA DE SLA","CERRADA EN SLA"),IF($U1776="","SIN CLASIFICAR",IF(N($X1776)&gt;0,"VENCIDA",IF(TODAY()&gt;=$U1776-1,"POR VENCER","EN PLAZO")))))</f>
        <v/>
      </c>
      <c r="Z1776" s="41" t="n"/>
      <c r="AA1776" s="41" t="n"/>
      <c r="AB1776" s="41" t="n"/>
    </row>
    <row r="1777">
      <c r="A1777" s="39">
        <f>IF($C1777="","","NOV-"&amp;TEXT(ROW()-3,"0000"))</f>
        <v/>
      </c>
      <c r="B1777" s="40" t="n"/>
      <c r="C1777" s="41" t="n"/>
      <c r="D1777" s="42">
        <f>IF($C1777="","",IFERROR(INDEX(DESPACHOS!$D$3:$D$3002,MATCH($C1777,DESPACHOS!$B$3:$B$3002,0)),"SIN DESPACHO"))</f>
        <v/>
      </c>
      <c r="E1777" s="42">
        <f>IF($C1777="","",IFERROR(INDEX(DESPACHOS!$K$3:$K$3002,MATCH($C1777,DESPACHOS!$B$3:$B$3002,0)),""))</f>
        <v/>
      </c>
      <c r="F1777" s="42">
        <f>IF($C1777="","",IFERROR(INDEX(DESPACHOS!$I$3:$I$3002,MATCH($C1777,DESPACHOS!$B$3:$B$3002,0)),""))</f>
        <v/>
      </c>
      <c r="G1777" s="42">
        <f>IF($C1777="","",IFERROR(INDEX(DESPACHOS!$F$3:$F$3002,MATCH($C1777,DESPACHOS!$B$3:$B$3002,0)),""))</f>
        <v/>
      </c>
      <c r="H1777" s="42">
        <f>IF($C1777="","",IFERROR(INDEX(DESPACHOS!$G$3:$G$3002,MATCH($C1777,DESPACHOS!$B$3:$B$3002,0)),""))</f>
        <v/>
      </c>
      <c r="I1777" s="39">
        <f>IF($C1777="","",IFERROR(INDEX(DESPACHOS!$H$3:$H$3002,MATCH($C1777,DESPACHOS!$B$3:$B$3002,0)),""))</f>
        <v/>
      </c>
      <c r="J1777" s="43">
        <f>IF($C1777="","",IFERROR(INDEX(DESPACHOS!$J$3:$J$3002,MATCH($C1777,DESPACHOS!$B$3:$B$3002,0)),""))</f>
        <v/>
      </c>
      <c r="K1777" s="39">
        <f>IF($C1777="","",IF(COUNTIFS(DESPACHOS!$B$3:$B$3002,$C1777)=0,"NO EXISTE",IF(COUNTIFS(DESPACHOS!$B$3:$B$3002,$C1777)&gt;1,"DUPLICADO","OK")))</f>
        <v/>
      </c>
      <c r="L1777" s="41" t="n"/>
      <c r="M1777" s="41" t="n"/>
      <c r="N1777" s="42">
        <f>IF($M1777="","",IFERROR(INDEX(LISTAS!$F$3:$F$42,MATCH($M1777,LISTAS!$E$3:$E$42,0)),"Por definir"))</f>
        <v/>
      </c>
      <c r="O1777" s="41" t="n"/>
      <c r="P1777" s="39">
        <f>IF($L1777="","",IFERROR(INDEX(LISTAS!$B$3:$B$42,MATCH($L1777,LISTAS!$A$3:$A$42,0)),"Media"))</f>
        <v/>
      </c>
      <c r="Q1777" s="44" t="n"/>
      <c r="R1777" s="45" t="n"/>
      <c r="S1777" s="20">
        <f>IFERROR(IF(OR($R1777="",$C1777=""),"",$R1777/INDEX(DESPACHOS!$M$3:$M$3002,MATCH($C1777,DESPACHOS!$B$3:$B$3002,0))),"")</f>
        <v/>
      </c>
      <c r="T1777" s="41" t="n"/>
      <c r="U1777" s="43">
        <f>IF(OR($B1777="",$L1777=""),"",WORKDAY($B1777,IFERROR(INDEX(LISTAS!$C$3:$C$42,MATCH($L1777,LISTAS!$A$3:$A$42,0)),3)))</f>
        <v/>
      </c>
      <c r="V1777" s="40" t="n"/>
      <c r="W1777" s="19">
        <f>IF($B1777="","",IF($V1777&lt;&gt;"",$V1777-$B1777,TODAY()-$B1777))</f>
        <v/>
      </c>
      <c r="X1777" s="19">
        <f>IF(OR($B1777="",$U1777=""),"",IF($V1777&lt;&gt;"",MAX(0,$V1777-$U1777),MAX(0,TODAY()-$U1777)))</f>
        <v/>
      </c>
      <c r="Y1777" s="39">
        <f>IF($C1777="","",IF(IFERROR(INDEX(LISTAS!$I$3:$I$42,MATCH($T1777,LISTAS!$H$3:$H$42,0)),"NO")="SÍ",IF(N($X1777)&gt;0,"CERRADA FUERA DE SLA","CERRADA EN SLA"),IF($U1777="","SIN CLASIFICAR",IF(N($X1777)&gt;0,"VENCIDA",IF(TODAY()&gt;=$U1777-1,"POR VENCER","EN PLAZO")))))</f>
        <v/>
      </c>
      <c r="Z1777" s="41" t="n"/>
      <c r="AA1777" s="41" t="n"/>
      <c r="AB1777" s="41" t="n"/>
    </row>
    <row r="1778">
      <c r="A1778" s="39">
        <f>IF($C1778="","","NOV-"&amp;TEXT(ROW()-3,"0000"))</f>
        <v/>
      </c>
      <c r="B1778" s="40" t="n"/>
      <c r="C1778" s="41" t="n"/>
      <c r="D1778" s="42">
        <f>IF($C1778="","",IFERROR(INDEX(DESPACHOS!$D$3:$D$3002,MATCH($C1778,DESPACHOS!$B$3:$B$3002,0)),"SIN DESPACHO"))</f>
        <v/>
      </c>
      <c r="E1778" s="42">
        <f>IF($C1778="","",IFERROR(INDEX(DESPACHOS!$K$3:$K$3002,MATCH($C1778,DESPACHOS!$B$3:$B$3002,0)),""))</f>
        <v/>
      </c>
      <c r="F1778" s="42">
        <f>IF($C1778="","",IFERROR(INDEX(DESPACHOS!$I$3:$I$3002,MATCH($C1778,DESPACHOS!$B$3:$B$3002,0)),""))</f>
        <v/>
      </c>
      <c r="G1778" s="42">
        <f>IF($C1778="","",IFERROR(INDEX(DESPACHOS!$F$3:$F$3002,MATCH($C1778,DESPACHOS!$B$3:$B$3002,0)),""))</f>
        <v/>
      </c>
      <c r="H1778" s="42">
        <f>IF($C1778="","",IFERROR(INDEX(DESPACHOS!$G$3:$G$3002,MATCH($C1778,DESPACHOS!$B$3:$B$3002,0)),""))</f>
        <v/>
      </c>
      <c r="I1778" s="39">
        <f>IF($C1778="","",IFERROR(INDEX(DESPACHOS!$H$3:$H$3002,MATCH($C1778,DESPACHOS!$B$3:$B$3002,0)),""))</f>
        <v/>
      </c>
      <c r="J1778" s="43">
        <f>IF($C1778="","",IFERROR(INDEX(DESPACHOS!$J$3:$J$3002,MATCH($C1778,DESPACHOS!$B$3:$B$3002,0)),""))</f>
        <v/>
      </c>
      <c r="K1778" s="39">
        <f>IF($C1778="","",IF(COUNTIFS(DESPACHOS!$B$3:$B$3002,$C1778)=0,"NO EXISTE",IF(COUNTIFS(DESPACHOS!$B$3:$B$3002,$C1778)&gt;1,"DUPLICADO","OK")))</f>
        <v/>
      </c>
      <c r="L1778" s="41" t="n"/>
      <c r="M1778" s="41" t="n"/>
      <c r="N1778" s="42">
        <f>IF($M1778="","",IFERROR(INDEX(LISTAS!$F$3:$F$42,MATCH($M1778,LISTAS!$E$3:$E$42,0)),"Por definir"))</f>
        <v/>
      </c>
      <c r="O1778" s="41" t="n"/>
      <c r="P1778" s="39">
        <f>IF($L1778="","",IFERROR(INDEX(LISTAS!$B$3:$B$42,MATCH($L1778,LISTAS!$A$3:$A$42,0)),"Media"))</f>
        <v/>
      </c>
      <c r="Q1778" s="44" t="n"/>
      <c r="R1778" s="45" t="n"/>
      <c r="S1778" s="20">
        <f>IFERROR(IF(OR($R1778="",$C1778=""),"",$R1778/INDEX(DESPACHOS!$M$3:$M$3002,MATCH($C1778,DESPACHOS!$B$3:$B$3002,0))),"")</f>
        <v/>
      </c>
      <c r="T1778" s="41" t="n"/>
      <c r="U1778" s="43">
        <f>IF(OR($B1778="",$L1778=""),"",WORKDAY($B1778,IFERROR(INDEX(LISTAS!$C$3:$C$42,MATCH($L1778,LISTAS!$A$3:$A$42,0)),3)))</f>
        <v/>
      </c>
      <c r="V1778" s="40" t="n"/>
      <c r="W1778" s="19">
        <f>IF($B1778="","",IF($V1778&lt;&gt;"",$V1778-$B1778,TODAY()-$B1778))</f>
        <v/>
      </c>
      <c r="X1778" s="19">
        <f>IF(OR($B1778="",$U1778=""),"",IF($V1778&lt;&gt;"",MAX(0,$V1778-$U1778),MAX(0,TODAY()-$U1778)))</f>
        <v/>
      </c>
      <c r="Y1778" s="39">
        <f>IF($C1778="","",IF(IFERROR(INDEX(LISTAS!$I$3:$I$42,MATCH($T1778,LISTAS!$H$3:$H$42,0)),"NO")="SÍ",IF(N($X1778)&gt;0,"CERRADA FUERA DE SLA","CERRADA EN SLA"),IF($U1778="","SIN CLASIFICAR",IF(N($X1778)&gt;0,"VENCIDA",IF(TODAY()&gt;=$U1778-1,"POR VENCER","EN PLAZO")))))</f>
        <v/>
      </c>
      <c r="Z1778" s="41" t="n"/>
      <c r="AA1778" s="41" t="n"/>
      <c r="AB1778" s="41" t="n"/>
    </row>
    <row r="1779">
      <c r="A1779" s="39">
        <f>IF($C1779="","","NOV-"&amp;TEXT(ROW()-3,"0000"))</f>
        <v/>
      </c>
      <c r="B1779" s="40" t="n"/>
      <c r="C1779" s="41" t="n"/>
      <c r="D1779" s="42">
        <f>IF($C1779="","",IFERROR(INDEX(DESPACHOS!$D$3:$D$3002,MATCH($C1779,DESPACHOS!$B$3:$B$3002,0)),"SIN DESPACHO"))</f>
        <v/>
      </c>
      <c r="E1779" s="42">
        <f>IF($C1779="","",IFERROR(INDEX(DESPACHOS!$K$3:$K$3002,MATCH($C1779,DESPACHOS!$B$3:$B$3002,0)),""))</f>
        <v/>
      </c>
      <c r="F1779" s="42">
        <f>IF($C1779="","",IFERROR(INDEX(DESPACHOS!$I$3:$I$3002,MATCH($C1779,DESPACHOS!$B$3:$B$3002,0)),""))</f>
        <v/>
      </c>
      <c r="G1779" s="42">
        <f>IF($C1779="","",IFERROR(INDEX(DESPACHOS!$F$3:$F$3002,MATCH($C1779,DESPACHOS!$B$3:$B$3002,0)),""))</f>
        <v/>
      </c>
      <c r="H1779" s="42">
        <f>IF($C1779="","",IFERROR(INDEX(DESPACHOS!$G$3:$G$3002,MATCH($C1779,DESPACHOS!$B$3:$B$3002,0)),""))</f>
        <v/>
      </c>
      <c r="I1779" s="39">
        <f>IF($C1779="","",IFERROR(INDEX(DESPACHOS!$H$3:$H$3002,MATCH($C1779,DESPACHOS!$B$3:$B$3002,0)),""))</f>
        <v/>
      </c>
      <c r="J1779" s="43">
        <f>IF($C1779="","",IFERROR(INDEX(DESPACHOS!$J$3:$J$3002,MATCH($C1779,DESPACHOS!$B$3:$B$3002,0)),""))</f>
        <v/>
      </c>
      <c r="K1779" s="39">
        <f>IF($C1779="","",IF(COUNTIFS(DESPACHOS!$B$3:$B$3002,$C1779)=0,"NO EXISTE",IF(COUNTIFS(DESPACHOS!$B$3:$B$3002,$C1779)&gt;1,"DUPLICADO","OK")))</f>
        <v/>
      </c>
      <c r="L1779" s="41" t="n"/>
      <c r="M1779" s="41" t="n"/>
      <c r="N1779" s="42">
        <f>IF($M1779="","",IFERROR(INDEX(LISTAS!$F$3:$F$42,MATCH($M1779,LISTAS!$E$3:$E$42,0)),"Por definir"))</f>
        <v/>
      </c>
      <c r="O1779" s="41" t="n"/>
      <c r="P1779" s="39">
        <f>IF($L1779="","",IFERROR(INDEX(LISTAS!$B$3:$B$42,MATCH($L1779,LISTAS!$A$3:$A$42,0)),"Media"))</f>
        <v/>
      </c>
      <c r="Q1779" s="44" t="n"/>
      <c r="R1779" s="45" t="n"/>
      <c r="S1779" s="20">
        <f>IFERROR(IF(OR($R1779="",$C1779=""),"",$R1779/INDEX(DESPACHOS!$M$3:$M$3002,MATCH($C1779,DESPACHOS!$B$3:$B$3002,0))),"")</f>
        <v/>
      </c>
      <c r="T1779" s="41" t="n"/>
      <c r="U1779" s="43">
        <f>IF(OR($B1779="",$L1779=""),"",WORKDAY($B1779,IFERROR(INDEX(LISTAS!$C$3:$C$42,MATCH($L1779,LISTAS!$A$3:$A$42,0)),3)))</f>
        <v/>
      </c>
      <c r="V1779" s="40" t="n"/>
      <c r="W1779" s="19">
        <f>IF($B1779="","",IF($V1779&lt;&gt;"",$V1779-$B1779,TODAY()-$B1779))</f>
        <v/>
      </c>
      <c r="X1779" s="19">
        <f>IF(OR($B1779="",$U1779=""),"",IF($V1779&lt;&gt;"",MAX(0,$V1779-$U1779),MAX(0,TODAY()-$U1779)))</f>
        <v/>
      </c>
      <c r="Y1779" s="39">
        <f>IF($C1779="","",IF(IFERROR(INDEX(LISTAS!$I$3:$I$42,MATCH($T1779,LISTAS!$H$3:$H$42,0)),"NO")="SÍ",IF(N($X1779)&gt;0,"CERRADA FUERA DE SLA","CERRADA EN SLA"),IF($U1779="","SIN CLASIFICAR",IF(N($X1779)&gt;0,"VENCIDA",IF(TODAY()&gt;=$U1779-1,"POR VENCER","EN PLAZO")))))</f>
        <v/>
      </c>
      <c r="Z1779" s="41" t="n"/>
      <c r="AA1779" s="41" t="n"/>
      <c r="AB1779" s="41" t="n"/>
    </row>
    <row r="1780">
      <c r="A1780" s="39">
        <f>IF($C1780="","","NOV-"&amp;TEXT(ROW()-3,"0000"))</f>
        <v/>
      </c>
      <c r="B1780" s="40" t="n"/>
      <c r="C1780" s="41" t="n"/>
      <c r="D1780" s="42">
        <f>IF($C1780="","",IFERROR(INDEX(DESPACHOS!$D$3:$D$3002,MATCH($C1780,DESPACHOS!$B$3:$B$3002,0)),"SIN DESPACHO"))</f>
        <v/>
      </c>
      <c r="E1780" s="42">
        <f>IF($C1780="","",IFERROR(INDEX(DESPACHOS!$K$3:$K$3002,MATCH($C1780,DESPACHOS!$B$3:$B$3002,0)),""))</f>
        <v/>
      </c>
      <c r="F1780" s="42">
        <f>IF($C1780="","",IFERROR(INDEX(DESPACHOS!$I$3:$I$3002,MATCH($C1780,DESPACHOS!$B$3:$B$3002,0)),""))</f>
        <v/>
      </c>
      <c r="G1780" s="42">
        <f>IF($C1780="","",IFERROR(INDEX(DESPACHOS!$F$3:$F$3002,MATCH($C1780,DESPACHOS!$B$3:$B$3002,0)),""))</f>
        <v/>
      </c>
      <c r="H1780" s="42">
        <f>IF($C1780="","",IFERROR(INDEX(DESPACHOS!$G$3:$G$3002,MATCH($C1780,DESPACHOS!$B$3:$B$3002,0)),""))</f>
        <v/>
      </c>
      <c r="I1780" s="39">
        <f>IF($C1780="","",IFERROR(INDEX(DESPACHOS!$H$3:$H$3002,MATCH($C1780,DESPACHOS!$B$3:$B$3002,0)),""))</f>
        <v/>
      </c>
      <c r="J1780" s="43">
        <f>IF($C1780="","",IFERROR(INDEX(DESPACHOS!$J$3:$J$3002,MATCH($C1780,DESPACHOS!$B$3:$B$3002,0)),""))</f>
        <v/>
      </c>
      <c r="K1780" s="39">
        <f>IF($C1780="","",IF(COUNTIFS(DESPACHOS!$B$3:$B$3002,$C1780)=0,"NO EXISTE",IF(COUNTIFS(DESPACHOS!$B$3:$B$3002,$C1780)&gt;1,"DUPLICADO","OK")))</f>
        <v/>
      </c>
      <c r="L1780" s="41" t="n"/>
      <c r="M1780" s="41" t="n"/>
      <c r="N1780" s="42">
        <f>IF($M1780="","",IFERROR(INDEX(LISTAS!$F$3:$F$42,MATCH($M1780,LISTAS!$E$3:$E$42,0)),"Por definir"))</f>
        <v/>
      </c>
      <c r="O1780" s="41" t="n"/>
      <c r="P1780" s="39">
        <f>IF($L1780="","",IFERROR(INDEX(LISTAS!$B$3:$B$42,MATCH($L1780,LISTAS!$A$3:$A$42,0)),"Media"))</f>
        <v/>
      </c>
      <c r="Q1780" s="44" t="n"/>
      <c r="R1780" s="45" t="n"/>
      <c r="S1780" s="20">
        <f>IFERROR(IF(OR($R1780="",$C1780=""),"",$R1780/INDEX(DESPACHOS!$M$3:$M$3002,MATCH($C1780,DESPACHOS!$B$3:$B$3002,0))),"")</f>
        <v/>
      </c>
      <c r="T1780" s="41" t="n"/>
      <c r="U1780" s="43">
        <f>IF(OR($B1780="",$L1780=""),"",WORKDAY($B1780,IFERROR(INDEX(LISTAS!$C$3:$C$42,MATCH($L1780,LISTAS!$A$3:$A$42,0)),3)))</f>
        <v/>
      </c>
      <c r="V1780" s="40" t="n"/>
      <c r="W1780" s="19">
        <f>IF($B1780="","",IF($V1780&lt;&gt;"",$V1780-$B1780,TODAY()-$B1780))</f>
        <v/>
      </c>
      <c r="X1780" s="19">
        <f>IF(OR($B1780="",$U1780=""),"",IF($V1780&lt;&gt;"",MAX(0,$V1780-$U1780),MAX(0,TODAY()-$U1780)))</f>
        <v/>
      </c>
      <c r="Y1780" s="39">
        <f>IF($C1780="","",IF(IFERROR(INDEX(LISTAS!$I$3:$I$42,MATCH($T1780,LISTAS!$H$3:$H$42,0)),"NO")="SÍ",IF(N($X1780)&gt;0,"CERRADA FUERA DE SLA","CERRADA EN SLA"),IF($U1780="","SIN CLASIFICAR",IF(N($X1780)&gt;0,"VENCIDA",IF(TODAY()&gt;=$U1780-1,"POR VENCER","EN PLAZO")))))</f>
        <v/>
      </c>
      <c r="Z1780" s="41" t="n"/>
      <c r="AA1780" s="41" t="n"/>
      <c r="AB1780" s="41" t="n"/>
    </row>
    <row r="1781">
      <c r="A1781" s="39">
        <f>IF($C1781="","","NOV-"&amp;TEXT(ROW()-3,"0000"))</f>
        <v/>
      </c>
      <c r="B1781" s="40" t="n"/>
      <c r="C1781" s="41" t="n"/>
      <c r="D1781" s="42">
        <f>IF($C1781="","",IFERROR(INDEX(DESPACHOS!$D$3:$D$3002,MATCH($C1781,DESPACHOS!$B$3:$B$3002,0)),"SIN DESPACHO"))</f>
        <v/>
      </c>
      <c r="E1781" s="42">
        <f>IF($C1781="","",IFERROR(INDEX(DESPACHOS!$K$3:$K$3002,MATCH($C1781,DESPACHOS!$B$3:$B$3002,0)),""))</f>
        <v/>
      </c>
      <c r="F1781" s="42">
        <f>IF($C1781="","",IFERROR(INDEX(DESPACHOS!$I$3:$I$3002,MATCH($C1781,DESPACHOS!$B$3:$B$3002,0)),""))</f>
        <v/>
      </c>
      <c r="G1781" s="42">
        <f>IF($C1781="","",IFERROR(INDEX(DESPACHOS!$F$3:$F$3002,MATCH($C1781,DESPACHOS!$B$3:$B$3002,0)),""))</f>
        <v/>
      </c>
      <c r="H1781" s="42">
        <f>IF($C1781="","",IFERROR(INDEX(DESPACHOS!$G$3:$G$3002,MATCH($C1781,DESPACHOS!$B$3:$B$3002,0)),""))</f>
        <v/>
      </c>
      <c r="I1781" s="39">
        <f>IF($C1781="","",IFERROR(INDEX(DESPACHOS!$H$3:$H$3002,MATCH($C1781,DESPACHOS!$B$3:$B$3002,0)),""))</f>
        <v/>
      </c>
      <c r="J1781" s="43">
        <f>IF($C1781="","",IFERROR(INDEX(DESPACHOS!$J$3:$J$3002,MATCH($C1781,DESPACHOS!$B$3:$B$3002,0)),""))</f>
        <v/>
      </c>
      <c r="K1781" s="39">
        <f>IF($C1781="","",IF(COUNTIFS(DESPACHOS!$B$3:$B$3002,$C1781)=0,"NO EXISTE",IF(COUNTIFS(DESPACHOS!$B$3:$B$3002,$C1781)&gt;1,"DUPLICADO","OK")))</f>
        <v/>
      </c>
      <c r="L1781" s="41" t="n"/>
      <c r="M1781" s="41" t="n"/>
      <c r="N1781" s="42">
        <f>IF($M1781="","",IFERROR(INDEX(LISTAS!$F$3:$F$42,MATCH($M1781,LISTAS!$E$3:$E$42,0)),"Por definir"))</f>
        <v/>
      </c>
      <c r="O1781" s="41" t="n"/>
      <c r="P1781" s="39">
        <f>IF($L1781="","",IFERROR(INDEX(LISTAS!$B$3:$B$42,MATCH($L1781,LISTAS!$A$3:$A$42,0)),"Media"))</f>
        <v/>
      </c>
      <c r="Q1781" s="44" t="n"/>
      <c r="R1781" s="45" t="n"/>
      <c r="S1781" s="20">
        <f>IFERROR(IF(OR($R1781="",$C1781=""),"",$R1781/INDEX(DESPACHOS!$M$3:$M$3002,MATCH($C1781,DESPACHOS!$B$3:$B$3002,0))),"")</f>
        <v/>
      </c>
      <c r="T1781" s="41" t="n"/>
      <c r="U1781" s="43">
        <f>IF(OR($B1781="",$L1781=""),"",WORKDAY($B1781,IFERROR(INDEX(LISTAS!$C$3:$C$42,MATCH($L1781,LISTAS!$A$3:$A$42,0)),3)))</f>
        <v/>
      </c>
      <c r="V1781" s="40" t="n"/>
      <c r="W1781" s="19">
        <f>IF($B1781="","",IF($V1781&lt;&gt;"",$V1781-$B1781,TODAY()-$B1781))</f>
        <v/>
      </c>
      <c r="X1781" s="19">
        <f>IF(OR($B1781="",$U1781=""),"",IF($V1781&lt;&gt;"",MAX(0,$V1781-$U1781),MAX(0,TODAY()-$U1781)))</f>
        <v/>
      </c>
      <c r="Y1781" s="39">
        <f>IF($C1781="","",IF(IFERROR(INDEX(LISTAS!$I$3:$I$42,MATCH($T1781,LISTAS!$H$3:$H$42,0)),"NO")="SÍ",IF(N($X1781)&gt;0,"CERRADA FUERA DE SLA","CERRADA EN SLA"),IF($U1781="","SIN CLASIFICAR",IF(N($X1781)&gt;0,"VENCIDA",IF(TODAY()&gt;=$U1781-1,"POR VENCER","EN PLAZO")))))</f>
        <v/>
      </c>
      <c r="Z1781" s="41" t="n"/>
      <c r="AA1781" s="41" t="n"/>
      <c r="AB1781" s="41" t="n"/>
    </row>
    <row r="1782">
      <c r="A1782" s="39">
        <f>IF($C1782="","","NOV-"&amp;TEXT(ROW()-3,"0000"))</f>
        <v/>
      </c>
      <c r="B1782" s="40" t="n"/>
      <c r="C1782" s="41" t="n"/>
      <c r="D1782" s="42">
        <f>IF($C1782="","",IFERROR(INDEX(DESPACHOS!$D$3:$D$3002,MATCH($C1782,DESPACHOS!$B$3:$B$3002,0)),"SIN DESPACHO"))</f>
        <v/>
      </c>
      <c r="E1782" s="42">
        <f>IF($C1782="","",IFERROR(INDEX(DESPACHOS!$K$3:$K$3002,MATCH($C1782,DESPACHOS!$B$3:$B$3002,0)),""))</f>
        <v/>
      </c>
      <c r="F1782" s="42">
        <f>IF($C1782="","",IFERROR(INDEX(DESPACHOS!$I$3:$I$3002,MATCH($C1782,DESPACHOS!$B$3:$B$3002,0)),""))</f>
        <v/>
      </c>
      <c r="G1782" s="42">
        <f>IF($C1782="","",IFERROR(INDEX(DESPACHOS!$F$3:$F$3002,MATCH($C1782,DESPACHOS!$B$3:$B$3002,0)),""))</f>
        <v/>
      </c>
      <c r="H1782" s="42">
        <f>IF($C1782="","",IFERROR(INDEX(DESPACHOS!$G$3:$G$3002,MATCH($C1782,DESPACHOS!$B$3:$B$3002,0)),""))</f>
        <v/>
      </c>
      <c r="I1782" s="39">
        <f>IF($C1782="","",IFERROR(INDEX(DESPACHOS!$H$3:$H$3002,MATCH($C1782,DESPACHOS!$B$3:$B$3002,0)),""))</f>
        <v/>
      </c>
      <c r="J1782" s="43">
        <f>IF($C1782="","",IFERROR(INDEX(DESPACHOS!$J$3:$J$3002,MATCH($C1782,DESPACHOS!$B$3:$B$3002,0)),""))</f>
        <v/>
      </c>
      <c r="K1782" s="39">
        <f>IF($C1782="","",IF(COUNTIFS(DESPACHOS!$B$3:$B$3002,$C1782)=0,"NO EXISTE",IF(COUNTIFS(DESPACHOS!$B$3:$B$3002,$C1782)&gt;1,"DUPLICADO","OK")))</f>
        <v/>
      </c>
      <c r="L1782" s="41" t="n"/>
      <c r="M1782" s="41" t="n"/>
      <c r="N1782" s="42">
        <f>IF($M1782="","",IFERROR(INDEX(LISTAS!$F$3:$F$42,MATCH($M1782,LISTAS!$E$3:$E$42,0)),"Por definir"))</f>
        <v/>
      </c>
      <c r="O1782" s="41" t="n"/>
      <c r="P1782" s="39">
        <f>IF($L1782="","",IFERROR(INDEX(LISTAS!$B$3:$B$42,MATCH($L1782,LISTAS!$A$3:$A$42,0)),"Media"))</f>
        <v/>
      </c>
      <c r="Q1782" s="44" t="n"/>
      <c r="R1782" s="45" t="n"/>
      <c r="S1782" s="20">
        <f>IFERROR(IF(OR($R1782="",$C1782=""),"",$R1782/INDEX(DESPACHOS!$M$3:$M$3002,MATCH($C1782,DESPACHOS!$B$3:$B$3002,0))),"")</f>
        <v/>
      </c>
      <c r="T1782" s="41" t="n"/>
      <c r="U1782" s="43">
        <f>IF(OR($B1782="",$L1782=""),"",WORKDAY($B1782,IFERROR(INDEX(LISTAS!$C$3:$C$42,MATCH($L1782,LISTAS!$A$3:$A$42,0)),3)))</f>
        <v/>
      </c>
      <c r="V1782" s="40" t="n"/>
      <c r="W1782" s="19">
        <f>IF($B1782="","",IF($V1782&lt;&gt;"",$V1782-$B1782,TODAY()-$B1782))</f>
        <v/>
      </c>
      <c r="X1782" s="19">
        <f>IF(OR($B1782="",$U1782=""),"",IF($V1782&lt;&gt;"",MAX(0,$V1782-$U1782),MAX(0,TODAY()-$U1782)))</f>
        <v/>
      </c>
      <c r="Y1782" s="39">
        <f>IF($C1782="","",IF(IFERROR(INDEX(LISTAS!$I$3:$I$42,MATCH($T1782,LISTAS!$H$3:$H$42,0)),"NO")="SÍ",IF(N($X1782)&gt;0,"CERRADA FUERA DE SLA","CERRADA EN SLA"),IF($U1782="","SIN CLASIFICAR",IF(N($X1782)&gt;0,"VENCIDA",IF(TODAY()&gt;=$U1782-1,"POR VENCER","EN PLAZO")))))</f>
        <v/>
      </c>
      <c r="Z1782" s="41" t="n"/>
      <c r="AA1782" s="41" t="n"/>
      <c r="AB1782" s="41" t="n"/>
    </row>
    <row r="1783">
      <c r="A1783" s="39">
        <f>IF($C1783="","","NOV-"&amp;TEXT(ROW()-3,"0000"))</f>
        <v/>
      </c>
      <c r="B1783" s="40" t="n"/>
      <c r="C1783" s="41" t="n"/>
      <c r="D1783" s="42">
        <f>IF($C1783="","",IFERROR(INDEX(DESPACHOS!$D$3:$D$3002,MATCH($C1783,DESPACHOS!$B$3:$B$3002,0)),"SIN DESPACHO"))</f>
        <v/>
      </c>
      <c r="E1783" s="42">
        <f>IF($C1783="","",IFERROR(INDEX(DESPACHOS!$K$3:$K$3002,MATCH($C1783,DESPACHOS!$B$3:$B$3002,0)),""))</f>
        <v/>
      </c>
      <c r="F1783" s="42">
        <f>IF($C1783="","",IFERROR(INDEX(DESPACHOS!$I$3:$I$3002,MATCH($C1783,DESPACHOS!$B$3:$B$3002,0)),""))</f>
        <v/>
      </c>
      <c r="G1783" s="42">
        <f>IF($C1783="","",IFERROR(INDEX(DESPACHOS!$F$3:$F$3002,MATCH($C1783,DESPACHOS!$B$3:$B$3002,0)),""))</f>
        <v/>
      </c>
      <c r="H1783" s="42">
        <f>IF($C1783="","",IFERROR(INDEX(DESPACHOS!$G$3:$G$3002,MATCH($C1783,DESPACHOS!$B$3:$B$3002,0)),""))</f>
        <v/>
      </c>
      <c r="I1783" s="39">
        <f>IF($C1783="","",IFERROR(INDEX(DESPACHOS!$H$3:$H$3002,MATCH($C1783,DESPACHOS!$B$3:$B$3002,0)),""))</f>
        <v/>
      </c>
      <c r="J1783" s="43">
        <f>IF($C1783="","",IFERROR(INDEX(DESPACHOS!$J$3:$J$3002,MATCH($C1783,DESPACHOS!$B$3:$B$3002,0)),""))</f>
        <v/>
      </c>
      <c r="K1783" s="39">
        <f>IF($C1783="","",IF(COUNTIFS(DESPACHOS!$B$3:$B$3002,$C1783)=0,"NO EXISTE",IF(COUNTIFS(DESPACHOS!$B$3:$B$3002,$C1783)&gt;1,"DUPLICADO","OK")))</f>
        <v/>
      </c>
      <c r="L1783" s="41" t="n"/>
      <c r="M1783" s="41" t="n"/>
      <c r="N1783" s="42">
        <f>IF($M1783="","",IFERROR(INDEX(LISTAS!$F$3:$F$42,MATCH($M1783,LISTAS!$E$3:$E$42,0)),"Por definir"))</f>
        <v/>
      </c>
      <c r="O1783" s="41" t="n"/>
      <c r="P1783" s="39">
        <f>IF($L1783="","",IFERROR(INDEX(LISTAS!$B$3:$B$42,MATCH($L1783,LISTAS!$A$3:$A$42,0)),"Media"))</f>
        <v/>
      </c>
      <c r="Q1783" s="44" t="n"/>
      <c r="R1783" s="45" t="n"/>
      <c r="S1783" s="20">
        <f>IFERROR(IF(OR($R1783="",$C1783=""),"",$R1783/INDEX(DESPACHOS!$M$3:$M$3002,MATCH($C1783,DESPACHOS!$B$3:$B$3002,0))),"")</f>
        <v/>
      </c>
      <c r="T1783" s="41" t="n"/>
      <c r="U1783" s="43">
        <f>IF(OR($B1783="",$L1783=""),"",WORKDAY($B1783,IFERROR(INDEX(LISTAS!$C$3:$C$42,MATCH($L1783,LISTAS!$A$3:$A$42,0)),3)))</f>
        <v/>
      </c>
      <c r="V1783" s="40" t="n"/>
      <c r="W1783" s="19">
        <f>IF($B1783="","",IF($V1783&lt;&gt;"",$V1783-$B1783,TODAY()-$B1783))</f>
        <v/>
      </c>
      <c r="X1783" s="19">
        <f>IF(OR($B1783="",$U1783=""),"",IF($V1783&lt;&gt;"",MAX(0,$V1783-$U1783),MAX(0,TODAY()-$U1783)))</f>
        <v/>
      </c>
      <c r="Y1783" s="39">
        <f>IF($C1783="","",IF(IFERROR(INDEX(LISTAS!$I$3:$I$42,MATCH($T1783,LISTAS!$H$3:$H$42,0)),"NO")="SÍ",IF(N($X1783)&gt;0,"CERRADA FUERA DE SLA","CERRADA EN SLA"),IF($U1783="","SIN CLASIFICAR",IF(N($X1783)&gt;0,"VENCIDA",IF(TODAY()&gt;=$U1783-1,"POR VENCER","EN PLAZO")))))</f>
        <v/>
      </c>
      <c r="Z1783" s="41" t="n"/>
      <c r="AA1783" s="41" t="n"/>
      <c r="AB1783" s="41" t="n"/>
    </row>
    <row r="1784">
      <c r="A1784" s="39">
        <f>IF($C1784="","","NOV-"&amp;TEXT(ROW()-3,"0000"))</f>
        <v/>
      </c>
      <c r="B1784" s="40" t="n"/>
      <c r="C1784" s="41" t="n"/>
      <c r="D1784" s="42">
        <f>IF($C1784="","",IFERROR(INDEX(DESPACHOS!$D$3:$D$3002,MATCH($C1784,DESPACHOS!$B$3:$B$3002,0)),"SIN DESPACHO"))</f>
        <v/>
      </c>
      <c r="E1784" s="42">
        <f>IF($C1784="","",IFERROR(INDEX(DESPACHOS!$K$3:$K$3002,MATCH($C1784,DESPACHOS!$B$3:$B$3002,0)),""))</f>
        <v/>
      </c>
      <c r="F1784" s="42">
        <f>IF($C1784="","",IFERROR(INDEX(DESPACHOS!$I$3:$I$3002,MATCH($C1784,DESPACHOS!$B$3:$B$3002,0)),""))</f>
        <v/>
      </c>
      <c r="G1784" s="42">
        <f>IF($C1784="","",IFERROR(INDEX(DESPACHOS!$F$3:$F$3002,MATCH($C1784,DESPACHOS!$B$3:$B$3002,0)),""))</f>
        <v/>
      </c>
      <c r="H1784" s="42">
        <f>IF($C1784="","",IFERROR(INDEX(DESPACHOS!$G$3:$G$3002,MATCH($C1784,DESPACHOS!$B$3:$B$3002,0)),""))</f>
        <v/>
      </c>
      <c r="I1784" s="39">
        <f>IF($C1784="","",IFERROR(INDEX(DESPACHOS!$H$3:$H$3002,MATCH($C1784,DESPACHOS!$B$3:$B$3002,0)),""))</f>
        <v/>
      </c>
      <c r="J1784" s="43">
        <f>IF($C1784="","",IFERROR(INDEX(DESPACHOS!$J$3:$J$3002,MATCH($C1784,DESPACHOS!$B$3:$B$3002,0)),""))</f>
        <v/>
      </c>
      <c r="K1784" s="39">
        <f>IF($C1784="","",IF(COUNTIFS(DESPACHOS!$B$3:$B$3002,$C1784)=0,"NO EXISTE",IF(COUNTIFS(DESPACHOS!$B$3:$B$3002,$C1784)&gt;1,"DUPLICADO","OK")))</f>
        <v/>
      </c>
      <c r="L1784" s="41" t="n"/>
      <c r="M1784" s="41" t="n"/>
      <c r="N1784" s="42">
        <f>IF($M1784="","",IFERROR(INDEX(LISTAS!$F$3:$F$42,MATCH($M1784,LISTAS!$E$3:$E$42,0)),"Por definir"))</f>
        <v/>
      </c>
      <c r="O1784" s="41" t="n"/>
      <c r="P1784" s="39">
        <f>IF($L1784="","",IFERROR(INDEX(LISTAS!$B$3:$B$42,MATCH($L1784,LISTAS!$A$3:$A$42,0)),"Media"))</f>
        <v/>
      </c>
      <c r="Q1784" s="44" t="n"/>
      <c r="R1784" s="45" t="n"/>
      <c r="S1784" s="20">
        <f>IFERROR(IF(OR($R1784="",$C1784=""),"",$R1784/INDEX(DESPACHOS!$M$3:$M$3002,MATCH($C1784,DESPACHOS!$B$3:$B$3002,0))),"")</f>
        <v/>
      </c>
      <c r="T1784" s="41" t="n"/>
      <c r="U1784" s="43">
        <f>IF(OR($B1784="",$L1784=""),"",WORKDAY($B1784,IFERROR(INDEX(LISTAS!$C$3:$C$42,MATCH($L1784,LISTAS!$A$3:$A$42,0)),3)))</f>
        <v/>
      </c>
      <c r="V1784" s="40" t="n"/>
      <c r="W1784" s="19">
        <f>IF($B1784="","",IF($V1784&lt;&gt;"",$V1784-$B1784,TODAY()-$B1784))</f>
        <v/>
      </c>
      <c r="X1784" s="19">
        <f>IF(OR($B1784="",$U1784=""),"",IF($V1784&lt;&gt;"",MAX(0,$V1784-$U1784),MAX(0,TODAY()-$U1784)))</f>
        <v/>
      </c>
      <c r="Y1784" s="39">
        <f>IF($C1784="","",IF(IFERROR(INDEX(LISTAS!$I$3:$I$42,MATCH($T1784,LISTAS!$H$3:$H$42,0)),"NO")="SÍ",IF(N($X1784)&gt;0,"CERRADA FUERA DE SLA","CERRADA EN SLA"),IF($U1784="","SIN CLASIFICAR",IF(N($X1784)&gt;0,"VENCIDA",IF(TODAY()&gt;=$U1784-1,"POR VENCER","EN PLAZO")))))</f>
        <v/>
      </c>
      <c r="Z1784" s="41" t="n"/>
      <c r="AA1784" s="41" t="n"/>
      <c r="AB1784" s="41" t="n"/>
    </row>
    <row r="1785">
      <c r="A1785" s="39">
        <f>IF($C1785="","","NOV-"&amp;TEXT(ROW()-3,"0000"))</f>
        <v/>
      </c>
      <c r="B1785" s="40" t="n"/>
      <c r="C1785" s="41" t="n"/>
      <c r="D1785" s="42">
        <f>IF($C1785="","",IFERROR(INDEX(DESPACHOS!$D$3:$D$3002,MATCH($C1785,DESPACHOS!$B$3:$B$3002,0)),"SIN DESPACHO"))</f>
        <v/>
      </c>
      <c r="E1785" s="42">
        <f>IF($C1785="","",IFERROR(INDEX(DESPACHOS!$K$3:$K$3002,MATCH($C1785,DESPACHOS!$B$3:$B$3002,0)),""))</f>
        <v/>
      </c>
      <c r="F1785" s="42">
        <f>IF($C1785="","",IFERROR(INDEX(DESPACHOS!$I$3:$I$3002,MATCH($C1785,DESPACHOS!$B$3:$B$3002,0)),""))</f>
        <v/>
      </c>
      <c r="G1785" s="42">
        <f>IF($C1785="","",IFERROR(INDEX(DESPACHOS!$F$3:$F$3002,MATCH($C1785,DESPACHOS!$B$3:$B$3002,0)),""))</f>
        <v/>
      </c>
      <c r="H1785" s="42">
        <f>IF($C1785="","",IFERROR(INDEX(DESPACHOS!$G$3:$G$3002,MATCH($C1785,DESPACHOS!$B$3:$B$3002,0)),""))</f>
        <v/>
      </c>
      <c r="I1785" s="39">
        <f>IF($C1785="","",IFERROR(INDEX(DESPACHOS!$H$3:$H$3002,MATCH($C1785,DESPACHOS!$B$3:$B$3002,0)),""))</f>
        <v/>
      </c>
      <c r="J1785" s="43">
        <f>IF($C1785="","",IFERROR(INDEX(DESPACHOS!$J$3:$J$3002,MATCH($C1785,DESPACHOS!$B$3:$B$3002,0)),""))</f>
        <v/>
      </c>
      <c r="K1785" s="39">
        <f>IF($C1785="","",IF(COUNTIFS(DESPACHOS!$B$3:$B$3002,$C1785)=0,"NO EXISTE",IF(COUNTIFS(DESPACHOS!$B$3:$B$3002,$C1785)&gt;1,"DUPLICADO","OK")))</f>
        <v/>
      </c>
      <c r="L1785" s="41" t="n"/>
      <c r="M1785" s="41" t="n"/>
      <c r="N1785" s="42">
        <f>IF($M1785="","",IFERROR(INDEX(LISTAS!$F$3:$F$42,MATCH($M1785,LISTAS!$E$3:$E$42,0)),"Por definir"))</f>
        <v/>
      </c>
      <c r="O1785" s="41" t="n"/>
      <c r="P1785" s="39">
        <f>IF($L1785="","",IFERROR(INDEX(LISTAS!$B$3:$B$42,MATCH($L1785,LISTAS!$A$3:$A$42,0)),"Media"))</f>
        <v/>
      </c>
      <c r="Q1785" s="44" t="n"/>
      <c r="R1785" s="45" t="n"/>
      <c r="S1785" s="20">
        <f>IFERROR(IF(OR($R1785="",$C1785=""),"",$R1785/INDEX(DESPACHOS!$M$3:$M$3002,MATCH($C1785,DESPACHOS!$B$3:$B$3002,0))),"")</f>
        <v/>
      </c>
      <c r="T1785" s="41" t="n"/>
      <c r="U1785" s="43">
        <f>IF(OR($B1785="",$L1785=""),"",WORKDAY($B1785,IFERROR(INDEX(LISTAS!$C$3:$C$42,MATCH($L1785,LISTAS!$A$3:$A$42,0)),3)))</f>
        <v/>
      </c>
      <c r="V1785" s="40" t="n"/>
      <c r="W1785" s="19">
        <f>IF($B1785="","",IF($V1785&lt;&gt;"",$V1785-$B1785,TODAY()-$B1785))</f>
        <v/>
      </c>
      <c r="X1785" s="19">
        <f>IF(OR($B1785="",$U1785=""),"",IF($V1785&lt;&gt;"",MAX(0,$V1785-$U1785),MAX(0,TODAY()-$U1785)))</f>
        <v/>
      </c>
      <c r="Y1785" s="39">
        <f>IF($C1785="","",IF(IFERROR(INDEX(LISTAS!$I$3:$I$42,MATCH($T1785,LISTAS!$H$3:$H$42,0)),"NO")="SÍ",IF(N($X1785)&gt;0,"CERRADA FUERA DE SLA","CERRADA EN SLA"),IF($U1785="","SIN CLASIFICAR",IF(N($X1785)&gt;0,"VENCIDA",IF(TODAY()&gt;=$U1785-1,"POR VENCER","EN PLAZO")))))</f>
        <v/>
      </c>
      <c r="Z1785" s="41" t="n"/>
      <c r="AA1785" s="41" t="n"/>
      <c r="AB1785" s="41" t="n"/>
    </row>
    <row r="1786">
      <c r="A1786" s="39">
        <f>IF($C1786="","","NOV-"&amp;TEXT(ROW()-3,"0000"))</f>
        <v/>
      </c>
      <c r="B1786" s="40" t="n"/>
      <c r="C1786" s="41" t="n"/>
      <c r="D1786" s="42">
        <f>IF($C1786="","",IFERROR(INDEX(DESPACHOS!$D$3:$D$3002,MATCH($C1786,DESPACHOS!$B$3:$B$3002,0)),"SIN DESPACHO"))</f>
        <v/>
      </c>
      <c r="E1786" s="42">
        <f>IF($C1786="","",IFERROR(INDEX(DESPACHOS!$K$3:$K$3002,MATCH($C1786,DESPACHOS!$B$3:$B$3002,0)),""))</f>
        <v/>
      </c>
      <c r="F1786" s="42">
        <f>IF($C1786="","",IFERROR(INDEX(DESPACHOS!$I$3:$I$3002,MATCH($C1786,DESPACHOS!$B$3:$B$3002,0)),""))</f>
        <v/>
      </c>
      <c r="G1786" s="42">
        <f>IF($C1786="","",IFERROR(INDEX(DESPACHOS!$F$3:$F$3002,MATCH($C1786,DESPACHOS!$B$3:$B$3002,0)),""))</f>
        <v/>
      </c>
      <c r="H1786" s="42">
        <f>IF($C1786="","",IFERROR(INDEX(DESPACHOS!$G$3:$G$3002,MATCH($C1786,DESPACHOS!$B$3:$B$3002,0)),""))</f>
        <v/>
      </c>
      <c r="I1786" s="39">
        <f>IF($C1786="","",IFERROR(INDEX(DESPACHOS!$H$3:$H$3002,MATCH($C1786,DESPACHOS!$B$3:$B$3002,0)),""))</f>
        <v/>
      </c>
      <c r="J1786" s="43">
        <f>IF($C1786="","",IFERROR(INDEX(DESPACHOS!$J$3:$J$3002,MATCH($C1786,DESPACHOS!$B$3:$B$3002,0)),""))</f>
        <v/>
      </c>
      <c r="K1786" s="39">
        <f>IF($C1786="","",IF(COUNTIFS(DESPACHOS!$B$3:$B$3002,$C1786)=0,"NO EXISTE",IF(COUNTIFS(DESPACHOS!$B$3:$B$3002,$C1786)&gt;1,"DUPLICADO","OK")))</f>
        <v/>
      </c>
      <c r="L1786" s="41" t="n"/>
      <c r="M1786" s="41" t="n"/>
      <c r="N1786" s="42">
        <f>IF($M1786="","",IFERROR(INDEX(LISTAS!$F$3:$F$42,MATCH($M1786,LISTAS!$E$3:$E$42,0)),"Por definir"))</f>
        <v/>
      </c>
      <c r="O1786" s="41" t="n"/>
      <c r="P1786" s="39">
        <f>IF($L1786="","",IFERROR(INDEX(LISTAS!$B$3:$B$42,MATCH($L1786,LISTAS!$A$3:$A$42,0)),"Media"))</f>
        <v/>
      </c>
      <c r="Q1786" s="44" t="n"/>
      <c r="R1786" s="45" t="n"/>
      <c r="S1786" s="20">
        <f>IFERROR(IF(OR($R1786="",$C1786=""),"",$R1786/INDEX(DESPACHOS!$M$3:$M$3002,MATCH($C1786,DESPACHOS!$B$3:$B$3002,0))),"")</f>
        <v/>
      </c>
      <c r="T1786" s="41" t="n"/>
      <c r="U1786" s="43">
        <f>IF(OR($B1786="",$L1786=""),"",WORKDAY($B1786,IFERROR(INDEX(LISTAS!$C$3:$C$42,MATCH($L1786,LISTAS!$A$3:$A$42,0)),3)))</f>
        <v/>
      </c>
      <c r="V1786" s="40" t="n"/>
      <c r="W1786" s="19">
        <f>IF($B1786="","",IF($V1786&lt;&gt;"",$V1786-$B1786,TODAY()-$B1786))</f>
        <v/>
      </c>
      <c r="X1786" s="19">
        <f>IF(OR($B1786="",$U1786=""),"",IF($V1786&lt;&gt;"",MAX(0,$V1786-$U1786),MAX(0,TODAY()-$U1786)))</f>
        <v/>
      </c>
      <c r="Y1786" s="39">
        <f>IF($C1786="","",IF(IFERROR(INDEX(LISTAS!$I$3:$I$42,MATCH($T1786,LISTAS!$H$3:$H$42,0)),"NO")="SÍ",IF(N($X1786)&gt;0,"CERRADA FUERA DE SLA","CERRADA EN SLA"),IF($U1786="","SIN CLASIFICAR",IF(N($X1786)&gt;0,"VENCIDA",IF(TODAY()&gt;=$U1786-1,"POR VENCER","EN PLAZO")))))</f>
        <v/>
      </c>
      <c r="Z1786" s="41" t="n"/>
      <c r="AA1786" s="41" t="n"/>
      <c r="AB1786" s="41" t="n"/>
    </row>
    <row r="1787">
      <c r="A1787" s="39">
        <f>IF($C1787="","","NOV-"&amp;TEXT(ROW()-3,"0000"))</f>
        <v/>
      </c>
      <c r="B1787" s="40" t="n"/>
      <c r="C1787" s="41" t="n"/>
      <c r="D1787" s="42">
        <f>IF($C1787="","",IFERROR(INDEX(DESPACHOS!$D$3:$D$3002,MATCH($C1787,DESPACHOS!$B$3:$B$3002,0)),"SIN DESPACHO"))</f>
        <v/>
      </c>
      <c r="E1787" s="42">
        <f>IF($C1787="","",IFERROR(INDEX(DESPACHOS!$K$3:$K$3002,MATCH($C1787,DESPACHOS!$B$3:$B$3002,0)),""))</f>
        <v/>
      </c>
      <c r="F1787" s="42">
        <f>IF($C1787="","",IFERROR(INDEX(DESPACHOS!$I$3:$I$3002,MATCH($C1787,DESPACHOS!$B$3:$B$3002,0)),""))</f>
        <v/>
      </c>
      <c r="G1787" s="42">
        <f>IF($C1787="","",IFERROR(INDEX(DESPACHOS!$F$3:$F$3002,MATCH($C1787,DESPACHOS!$B$3:$B$3002,0)),""))</f>
        <v/>
      </c>
      <c r="H1787" s="42">
        <f>IF($C1787="","",IFERROR(INDEX(DESPACHOS!$G$3:$G$3002,MATCH($C1787,DESPACHOS!$B$3:$B$3002,0)),""))</f>
        <v/>
      </c>
      <c r="I1787" s="39">
        <f>IF($C1787="","",IFERROR(INDEX(DESPACHOS!$H$3:$H$3002,MATCH($C1787,DESPACHOS!$B$3:$B$3002,0)),""))</f>
        <v/>
      </c>
      <c r="J1787" s="43">
        <f>IF($C1787="","",IFERROR(INDEX(DESPACHOS!$J$3:$J$3002,MATCH($C1787,DESPACHOS!$B$3:$B$3002,0)),""))</f>
        <v/>
      </c>
      <c r="K1787" s="39">
        <f>IF($C1787="","",IF(COUNTIFS(DESPACHOS!$B$3:$B$3002,$C1787)=0,"NO EXISTE",IF(COUNTIFS(DESPACHOS!$B$3:$B$3002,$C1787)&gt;1,"DUPLICADO","OK")))</f>
        <v/>
      </c>
      <c r="L1787" s="41" t="n"/>
      <c r="M1787" s="41" t="n"/>
      <c r="N1787" s="42">
        <f>IF($M1787="","",IFERROR(INDEX(LISTAS!$F$3:$F$42,MATCH($M1787,LISTAS!$E$3:$E$42,0)),"Por definir"))</f>
        <v/>
      </c>
      <c r="O1787" s="41" t="n"/>
      <c r="P1787" s="39">
        <f>IF($L1787="","",IFERROR(INDEX(LISTAS!$B$3:$B$42,MATCH($L1787,LISTAS!$A$3:$A$42,0)),"Media"))</f>
        <v/>
      </c>
      <c r="Q1787" s="44" t="n"/>
      <c r="R1787" s="45" t="n"/>
      <c r="S1787" s="20">
        <f>IFERROR(IF(OR($R1787="",$C1787=""),"",$R1787/INDEX(DESPACHOS!$M$3:$M$3002,MATCH($C1787,DESPACHOS!$B$3:$B$3002,0))),"")</f>
        <v/>
      </c>
      <c r="T1787" s="41" t="n"/>
      <c r="U1787" s="43">
        <f>IF(OR($B1787="",$L1787=""),"",WORKDAY($B1787,IFERROR(INDEX(LISTAS!$C$3:$C$42,MATCH($L1787,LISTAS!$A$3:$A$42,0)),3)))</f>
        <v/>
      </c>
      <c r="V1787" s="40" t="n"/>
      <c r="W1787" s="19">
        <f>IF($B1787="","",IF($V1787&lt;&gt;"",$V1787-$B1787,TODAY()-$B1787))</f>
        <v/>
      </c>
      <c r="X1787" s="19">
        <f>IF(OR($B1787="",$U1787=""),"",IF($V1787&lt;&gt;"",MAX(0,$V1787-$U1787),MAX(0,TODAY()-$U1787)))</f>
        <v/>
      </c>
      <c r="Y1787" s="39">
        <f>IF($C1787="","",IF(IFERROR(INDEX(LISTAS!$I$3:$I$42,MATCH($T1787,LISTAS!$H$3:$H$42,0)),"NO")="SÍ",IF(N($X1787)&gt;0,"CERRADA FUERA DE SLA","CERRADA EN SLA"),IF($U1787="","SIN CLASIFICAR",IF(N($X1787)&gt;0,"VENCIDA",IF(TODAY()&gt;=$U1787-1,"POR VENCER","EN PLAZO")))))</f>
        <v/>
      </c>
      <c r="Z1787" s="41" t="n"/>
      <c r="AA1787" s="41" t="n"/>
      <c r="AB1787" s="41" t="n"/>
    </row>
    <row r="1788">
      <c r="A1788" s="39">
        <f>IF($C1788="","","NOV-"&amp;TEXT(ROW()-3,"0000"))</f>
        <v/>
      </c>
      <c r="B1788" s="40" t="n"/>
      <c r="C1788" s="41" t="n"/>
      <c r="D1788" s="42">
        <f>IF($C1788="","",IFERROR(INDEX(DESPACHOS!$D$3:$D$3002,MATCH($C1788,DESPACHOS!$B$3:$B$3002,0)),"SIN DESPACHO"))</f>
        <v/>
      </c>
      <c r="E1788" s="42">
        <f>IF($C1788="","",IFERROR(INDEX(DESPACHOS!$K$3:$K$3002,MATCH($C1788,DESPACHOS!$B$3:$B$3002,0)),""))</f>
        <v/>
      </c>
      <c r="F1788" s="42">
        <f>IF($C1788="","",IFERROR(INDEX(DESPACHOS!$I$3:$I$3002,MATCH($C1788,DESPACHOS!$B$3:$B$3002,0)),""))</f>
        <v/>
      </c>
      <c r="G1788" s="42">
        <f>IF($C1788="","",IFERROR(INDEX(DESPACHOS!$F$3:$F$3002,MATCH($C1788,DESPACHOS!$B$3:$B$3002,0)),""))</f>
        <v/>
      </c>
      <c r="H1788" s="42">
        <f>IF($C1788="","",IFERROR(INDEX(DESPACHOS!$G$3:$G$3002,MATCH($C1788,DESPACHOS!$B$3:$B$3002,0)),""))</f>
        <v/>
      </c>
      <c r="I1788" s="39">
        <f>IF($C1788="","",IFERROR(INDEX(DESPACHOS!$H$3:$H$3002,MATCH($C1788,DESPACHOS!$B$3:$B$3002,0)),""))</f>
        <v/>
      </c>
      <c r="J1788" s="43">
        <f>IF($C1788="","",IFERROR(INDEX(DESPACHOS!$J$3:$J$3002,MATCH($C1788,DESPACHOS!$B$3:$B$3002,0)),""))</f>
        <v/>
      </c>
      <c r="K1788" s="39">
        <f>IF($C1788="","",IF(COUNTIFS(DESPACHOS!$B$3:$B$3002,$C1788)=0,"NO EXISTE",IF(COUNTIFS(DESPACHOS!$B$3:$B$3002,$C1788)&gt;1,"DUPLICADO","OK")))</f>
        <v/>
      </c>
      <c r="L1788" s="41" t="n"/>
      <c r="M1788" s="41" t="n"/>
      <c r="N1788" s="42">
        <f>IF($M1788="","",IFERROR(INDEX(LISTAS!$F$3:$F$42,MATCH($M1788,LISTAS!$E$3:$E$42,0)),"Por definir"))</f>
        <v/>
      </c>
      <c r="O1788" s="41" t="n"/>
      <c r="P1788" s="39">
        <f>IF($L1788="","",IFERROR(INDEX(LISTAS!$B$3:$B$42,MATCH($L1788,LISTAS!$A$3:$A$42,0)),"Media"))</f>
        <v/>
      </c>
      <c r="Q1788" s="44" t="n"/>
      <c r="R1788" s="45" t="n"/>
      <c r="S1788" s="20">
        <f>IFERROR(IF(OR($R1788="",$C1788=""),"",$R1788/INDEX(DESPACHOS!$M$3:$M$3002,MATCH($C1788,DESPACHOS!$B$3:$B$3002,0))),"")</f>
        <v/>
      </c>
      <c r="T1788" s="41" t="n"/>
      <c r="U1788" s="43">
        <f>IF(OR($B1788="",$L1788=""),"",WORKDAY($B1788,IFERROR(INDEX(LISTAS!$C$3:$C$42,MATCH($L1788,LISTAS!$A$3:$A$42,0)),3)))</f>
        <v/>
      </c>
      <c r="V1788" s="40" t="n"/>
      <c r="W1788" s="19">
        <f>IF($B1788="","",IF($V1788&lt;&gt;"",$V1788-$B1788,TODAY()-$B1788))</f>
        <v/>
      </c>
      <c r="X1788" s="19">
        <f>IF(OR($B1788="",$U1788=""),"",IF($V1788&lt;&gt;"",MAX(0,$V1788-$U1788),MAX(0,TODAY()-$U1788)))</f>
        <v/>
      </c>
      <c r="Y1788" s="39">
        <f>IF($C1788="","",IF(IFERROR(INDEX(LISTAS!$I$3:$I$42,MATCH($T1788,LISTAS!$H$3:$H$42,0)),"NO")="SÍ",IF(N($X1788)&gt;0,"CERRADA FUERA DE SLA","CERRADA EN SLA"),IF($U1788="","SIN CLASIFICAR",IF(N($X1788)&gt;0,"VENCIDA",IF(TODAY()&gt;=$U1788-1,"POR VENCER","EN PLAZO")))))</f>
        <v/>
      </c>
      <c r="Z1788" s="41" t="n"/>
      <c r="AA1788" s="41" t="n"/>
      <c r="AB1788" s="41" t="n"/>
    </row>
    <row r="1789">
      <c r="A1789" s="39">
        <f>IF($C1789="","","NOV-"&amp;TEXT(ROW()-3,"0000"))</f>
        <v/>
      </c>
      <c r="B1789" s="40" t="n"/>
      <c r="C1789" s="41" t="n"/>
      <c r="D1789" s="42">
        <f>IF($C1789="","",IFERROR(INDEX(DESPACHOS!$D$3:$D$3002,MATCH($C1789,DESPACHOS!$B$3:$B$3002,0)),"SIN DESPACHO"))</f>
        <v/>
      </c>
      <c r="E1789" s="42">
        <f>IF($C1789="","",IFERROR(INDEX(DESPACHOS!$K$3:$K$3002,MATCH($C1789,DESPACHOS!$B$3:$B$3002,0)),""))</f>
        <v/>
      </c>
      <c r="F1789" s="42">
        <f>IF($C1789="","",IFERROR(INDEX(DESPACHOS!$I$3:$I$3002,MATCH($C1789,DESPACHOS!$B$3:$B$3002,0)),""))</f>
        <v/>
      </c>
      <c r="G1789" s="42">
        <f>IF($C1789="","",IFERROR(INDEX(DESPACHOS!$F$3:$F$3002,MATCH($C1789,DESPACHOS!$B$3:$B$3002,0)),""))</f>
        <v/>
      </c>
      <c r="H1789" s="42">
        <f>IF($C1789="","",IFERROR(INDEX(DESPACHOS!$G$3:$G$3002,MATCH($C1789,DESPACHOS!$B$3:$B$3002,0)),""))</f>
        <v/>
      </c>
      <c r="I1789" s="39">
        <f>IF($C1789="","",IFERROR(INDEX(DESPACHOS!$H$3:$H$3002,MATCH($C1789,DESPACHOS!$B$3:$B$3002,0)),""))</f>
        <v/>
      </c>
      <c r="J1789" s="43">
        <f>IF($C1789="","",IFERROR(INDEX(DESPACHOS!$J$3:$J$3002,MATCH($C1789,DESPACHOS!$B$3:$B$3002,0)),""))</f>
        <v/>
      </c>
      <c r="K1789" s="39">
        <f>IF($C1789="","",IF(COUNTIFS(DESPACHOS!$B$3:$B$3002,$C1789)=0,"NO EXISTE",IF(COUNTIFS(DESPACHOS!$B$3:$B$3002,$C1789)&gt;1,"DUPLICADO","OK")))</f>
        <v/>
      </c>
      <c r="L1789" s="41" t="n"/>
      <c r="M1789" s="41" t="n"/>
      <c r="N1789" s="42">
        <f>IF($M1789="","",IFERROR(INDEX(LISTAS!$F$3:$F$42,MATCH($M1789,LISTAS!$E$3:$E$42,0)),"Por definir"))</f>
        <v/>
      </c>
      <c r="O1789" s="41" t="n"/>
      <c r="P1789" s="39">
        <f>IF($L1789="","",IFERROR(INDEX(LISTAS!$B$3:$B$42,MATCH($L1789,LISTAS!$A$3:$A$42,0)),"Media"))</f>
        <v/>
      </c>
      <c r="Q1789" s="44" t="n"/>
      <c r="R1789" s="45" t="n"/>
      <c r="S1789" s="20">
        <f>IFERROR(IF(OR($R1789="",$C1789=""),"",$R1789/INDEX(DESPACHOS!$M$3:$M$3002,MATCH($C1789,DESPACHOS!$B$3:$B$3002,0))),"")</f>
        <v/>
      </c>
      <c r="T1789" s="41" t="n"/>
      <c r="U1789" s="43">
        <f>IF(OR($B1789="",$L1789=""),"",WORKDAY($B1789,IFERROR(INDEX(LISTAS!$C$3:$C$42,MATCH($L1789,LISTAS!$A$3:$A$42,0)),3)))</f>
        <v/>
      </c>
      <c r="V1789" s="40" t="n"/>
      <c r="W1789" s="19">
        <f>IF($B1789="","",IF($V1789&lt;&gt;"",$V1789-$B1789,TODAY()-$B1789))</f>
        <v/>
      </c>
      <c r="X1789" s="19">
        <f>IF(OR($B1789="",$U1789=""),"",IF($V1789&lt;&gt;"",MAX(0,$V1789-$U1789),MAX(0,TODAY()-$U1789)))</f>
        <v/>
      </c>
      <c r="Y1789" s="39">
        <f>IF($C1789="","",IF(IFERROR(INDEX(LISTAS!$I$3:$I$42,MATCH($T1789,LISTAS!$H$3:$H$42,0)),"NO")="SÍ",IF(N($X1789)&gt;0,"CERRADA FUERA DE SLA","CERRADA EN SLA"),IF($U1789="","SIN CLASIFICAR",IF(N($X1789)&gt;0,"VENCIDA",IF(TODAY()&gt;=$U1789-1,"POR VENCER","EN PLAZO")))))</f>
        <v/>
      </c>
      <c r="Z1789" s="41" t="n"/>
      <c r="AA1789" s="41" t="n"/>
      <c r="AB1789" s="41" t="n"/>
    </row>
    <row r="1790">
      <c r="A1790" s="39">
        <f>IF($C1790="","","NOV-"&amp;TEXT(ROW()-3,"0000"))</f>
        <v/>
      </c>
      <c r="B1790" s="40" t="n"/>
      <c r="C1790" s="41" t="n"/>
      <c r="D1790" s="42">
        <f>IF($C1790="","",IFERROR(INDEX(DESPACHOS!$D$3:$D$3002,MATCH($C1790,DESPACHOS!$B$3:$B$3002,0)),"SIN DESPACHO"))</f>
        <v/>
      </c>
      <c r="E1790" s="42">
        <f>IF($C1790="","",IFERROR(INDEX(DESPACHOS!$K$3:$K$3002,MATCH($C1790,DESPACHOS!$B$3:$B$3002,0)),""))</f>
        <v/>
      </c>
      <c r="F1790" s="42">
        <f>IF($C1790="","",IFERROR(INDEX(DESPACHOS!$I$3:$I$3002,MATCH($C1790,DESPACHOS!$B$3:$B$3002,0)),""))</f>
        <v/>
      </c>
      <c r="G1790" s="42">
        <f>IF($C1790="","",IFERROR(INDEX(DESPACHOS!$F$3:$F$3002,MATCH($C1790,DESPACHOS!$B$3:$B$3002,0)),""))</f>
        <v/>
      </c>
      <c r="H1790" s="42">
        <f>IF($C1790="","",IFERROR(INDEX(DESPACHOS!$G$3:$G$3002,MATCH($C1790,DESPACHOS!$B$3:$B$3002,0)),""))</f>
        <v/>
      </c>
      <c r="I1790" s="39">
        <f>IF($C1790="","",IFERROR(INDEX(DESPACHOS!$H$3:$H$3002,MATCH($C1790,DESPACHOS!$B$3:$B$3002,0)),""))</f>
        <v/>
      </c>
      <c r="J1790" s="43">
        <f>IF($C1790="","",IFERROR(INDEX(DESPACHOS!$J$3:$J$3002,MATCH($C1790,DESPACHOS!$B$3:$B$3002,0)),""))</f>
        <v/>
      </c>
      <c r="K1790" s="39">
        <f>IF($C1790="","",IF(COUNTIFS(DESPACHOS!$B$3:$B$3002,$C1790)=0,"NO EXISTE",IF(COUNTIFS(DESPACHOS!$B$3:$B$3002,$C1790)&gt;1,"DUPLICADO","OK")))</f>
        <v/>
      </c>
      <c r="L1790" s="41" t="n"/>
      <c r="M1790" s="41" t="n"/>
      <c r="N1790" s="42">
        <f>IF($M1790="","",IFERROR(INDEX(LISTAS!$F$3:$F$42,MATCH($M1790,LISTAS!$E$3:$E$42,0)),"Por definir"))</f>
        <v/>
      </c>
      <c r="O1790" s="41" t="n"/>
      <c r="P1790" s="39">
        <f>IF($L1790="","",IFERROR(INDEX(LISTAS!$B$3:$B$42,MATCH($L1790,LISTAS!$A$3:$A$42,0)),"Media"))</f>
        <v/>
      </c>
      <c r="Q1790" s="44" t="n"/>
      <c r="R1790" s="45" t="n"/>
      <c r="S1790" s="20">
        <f>IFERROR(IF(OR($R1790="",$C1790=""),"",$R1790/INDEX(DESPACHOS!$M$3:$M$3002,MATCH($C1790,DESPACHOS!$B$3:$B$3002,0))),"")</f>
        <v/>
      </c>
      <c r="T1790" s="41" t="n"/>
      <c r="U1790" s="43">
        <f>IF(OR($B1790="",$L1790=""),"",WORKDAY($B1790,IFERROR(INDEX(LISTAS!$C$3:$C$42,MATCH($L1790,LISTAS!$A$3:$A$42,0)),3)))</f>
        <v/>
      </c>
      <c r="V1790" s="40" t="n"/>
      <c r="W1790" s="19">
        <f>IF($B1790="","",IF($V1790&lt;&gt;"",$V1790-$B1790,TODAY()-$B1790))</f>
        <v/>
      </c>
      <c r="X1790" s="19">
        <f>IF(OR($B1790="",$U1790=""),"",IF($V1790&lt;&gt;"",MAX(0,$V1790-$U1790),MAX(0,TODAY()-$U1790)))</f>
        <v/>
      </c>
      <c r="Y1790" s="39">
        <f>IF($C1790="","",IF(IFERROR(INDEX(LISTAS!$I$3:$I$42,MATCH($T1790,LISTAS!$H$3:$H$42,0)),"NO")="SÍ",IF(N($X1790)&gt;0,"CERRADA FUERA DE SLA","CERRADA EN SLA"),IF($U1790="","SIN CLASIFICAR",IF(N($X1790)&gt;0,"VENCIDA",IF(TODAY()&gt;=$U1790-1,"POR VENCER","EN PLAZO")))))</f>
        <v/>
      </c>
      <c r="Z1790" s="41" t="n"/>
      <c r="AA1790" s="41" t="n"/>
      <c r="AB1790" s="41" t="n"/>
    </row>
    <row r="1791">
      <c r="A1791" s="39">
        <f>IF($C1791="","","NOV-"&amp;TEXT(ROW()-3,"0000"))</f>
        <v/>
      </c>
      <c r="B1791" s="40" t="n"/>
      <c r="C1791" s="41" t="n"/>
      <c r="D1791" s="42">
        <f>IF($C1791="","",IFERROR(INDEX(DESPACHOS!$D$3:$D$3002,MATCH($C1791,DESPACHOS!$B$3:$B$3002,0)),"SIN DESPACHO"))</f>
        <v/>
      </c>
      <c r="E1791" s="42">
        <f>IF($C1791="","",IFERROR(INDEX(DESPACHOS!$K$3:$K$3002,MATCH($C1791,DESPACHOS!$B$3:$B$3002,0)),""))</f>
        <v/>
      </c>
      <c r="F1791" s="42">
        <f>IF($C1791="","",IFERROR(INDEX(DESPACHOS!$I$3:$I$3002,MATCH($C1791,DESPACHOS!$B$3:$B$3002,0)),""))</f>
        <v/>
      </c>
      <c r="G1791" s="42">
        <f>IF($C1791="","",IFERROR(INDEX(DESPACHOS!$F$3:$F$3002,MATCH($C1791,DESPACHOS!$B$3:$B$3002,0)),""))</f>
        <v/>
      </c>
      <c r="H1791" s="42">
        <f>IF($C1791="","",IFERROR(INDEX(DESPACHOS!$G$3:$G$3002,MATCH($C1791,DESPACHOS!$B$3:$B$3002,0)),""))</f>
        <v/>
      </c>
      <c r="I1791" s="39">
        <f>IF($C1791="","",IFERROR(INDEX(DESPACHOS!$H$3:$H$3002,MATCH($C1791,DESPACHOS!$B$3:$B$3002,0)),""))</f>
        <v/>
      </c>
      <c r="J1791" s="43">
        <f>IF($C1791="","",IFERROR(INDEX(DESPACHOS!$J$3:$J$3002,MATCH($C1791,DESPACHOS!$B$3:$B$3002,0)),""))</f>
        <v/>
      </c>
      <c r="K1791" s="39">
        <f>IF($C1791="","",IF(COUNTIFS(DESPACHOS!$B$3:$B$3002,$C1791)=0,"NO EXISTE",IF(COUNTIFS(DESPACHOS!$B$3:$B$3002,$C1791)&gt;1,"DUPLICADO","OK")))</f>
        <v/>
      </c>
      <c r="L1791" s="41" t="n"/>
      <c r="M1791" s="41" t="n"/>
      <c r="N1791" s="42">
        <f>IF($M1791="","",IFERROR(INDEX(LISTAS!$F$3:$F$42,MATCH($M1791,LISTAS!$E$3:$E$42,0)),"Por definir"))</f>
        <v/>
      </c>
      <c r="O1791" s="41" t="n"/>
      <c r="P1791" s="39">
        <f>IF($L1791="","",IFERROR(INDEX(LISTAS!$B$3:$B$42,MATCH($L1791,LISTAS!$A$3:$A$42,0)),"Media"))</f>
        <v/>
      </c>
      <c r="Q1791" s="44" t="n"/>
      <c r="R1791" s="45" t="n"/>
      <c r="S1791" s="20">
        <f>IFERROR(IF(OR($R1791="",$C1791=""),"",$R1791/INDEX(DESPACHOS!$M$3:$M$3002,MATCH($C1791,DESPACHOS!$B$3:$B$3002,0))),"")</f>
        <v/>
      </c>
      <c r="T1791" s="41" t="n"/>
      <c r="U1791" s="43">
        <f>IF(OR($B1791="",$L1791=""),"",WORKDAY($B1791,IFERROR(INDEX(LISTAS!$C$3:$C$42,MATCH($L1791,LISTAS!$A$3:$A$42,0)),3)))</f>
        <v/>
      </c>
      <c r="V1791" s="40" t="n"/>
      <c r="W1791" s="19">
        <f>IF($B1791="","",IF($V1791&lt;&gt;"",$V1791-$B1791,TODAY()-$B1791))</f>
        <v/>
      </c>
      <c r="X1791" s="19">
        <f>IF(OR($B1791="",$U1791=""),"",IF($V1791&lt;&gt;"",MAX(0,$V1791-$U1791),MAX(0,TODAY()-$U1791)))</f>
        <v/>
      </c>
      <c r="Y1791" s="39">
        <f>IF($C1791="","",IF(IFERROR(INDEX(LISTAS!$I$3:$I$42,MATCH($T1791,LISTAS!$H$3:$H$42,0)),"NO")="SÍ",IF(N($X1791)&gt;0,"CERRADA FUERA DE SLA","CERRADA EN SLA"),IF($U1791="","SIN CLASIFICAR",IF(N($X1791)&gt;0,"VENCIDA",IF(TODAY()&gt;=$U1791-1,"POR VENCER","EN PLAZO")))))</f>
        <v/>
      </c>
      <c r="Z1791" s="41" t="n"/>
      <c r="AA1791" s="41" t="n"/>
      <c r="AB1791" s="41" t="n"/>
    </row>
    <row r="1792">
      <c r="A1792" s="39">
        <f>IF($C1792="","","NOV-"&amp;TEXT(ROW()-3,"0000"))</f>
        <v/>
      </c>
      <c r="B1792" s="40" t="n"/>
      <c r="C1792" s="41" t="n"/>
      <c r="D1792" s="42">
        <f>IF($C1792="","",IFERROR(INDEX(DESPACHOS!$D$3:$D$3002,MATCH($C1792,DESPACHOS!$B$3:$B$3002,0)),"SIN DESPACHO"))</f>
        <v/>
      </c>
      <c r="E1792" s="42">
        <f>IF($C1792="","",IFERROR(INDEX(DESPACHOS!$K$3:$K$3002,MATCH($C1792,DESPACHOS!$B$3:$B$3002,0)),""))</f>
        <v/>
      </c>
      <c r="F1792" s="42">
        <f>IF($C1792="","",IFERROR(INDEX(DESPACHOS!$I$3:$I$3002,MATCH($C1792,DESPACHOS!$B$3:$B$3002,0)),""))</f>
        <v/>
      </c>
      <c r="G1792" s="42">
        <f>IF($C1792="","",IFERROR(INDEX(DESPACHOS!$F$3:$F$3002,MATCH($C1792,DESPACHOS!$B$3:$B$3002,0)),""))</f>
        <v/>
      </c>
      <c r="H1792" s="42">
        <f>IF($C1792="","",IFERROR(INDEX(DESPACHOS!$G$3:$G$3002,MATCH($C1792,DESPACHOS!$B$3:$B$3002,0)),""))</f>
        <v/>
      </c>
      <c r="I1792" s="39">
        <f>IF($C1792="","",IFERROR(INDEX(DESPACHOS!$H$3:$H$3002,MATCH($C1792,DESPACHOS!$B$3:$B$3002,0)),""))</f>
        <v/>
      </c>
      <c r="J1792" s="43">
        <f>IF($C1792="","",IFERROR(INDEX(DESPACHOS!$J$3:$J$3002,MATCH($C1792,DESPACHOS!$B$3:$B$3002,0)),""))</f>
        <v/>
      </c>
      <c r="K1792" s="39">
        <f>IF($C1792="","",IF(COUNTIFS(DESPACHOS!$B$3:$B$3002,$C1792)=0,"NO EXISTE",IF(COUNTIFS(DESPACHOS!$B$3:$B$3002,$C1792)&gt;1,"DUPLICADO","OK")))</f>
        <v/>
      </c>
      <c r="L1792" s="41" t="n"/>
      <c r="M1792" s="41" t="n"/>
      <c r="N1792" s="42">
        <f>IF($M1792="","",IFERROR(INDEX(LISTAS!$F$3:$F$42,MATCH($M1792,LISTAS!$E$3:$E$42,0)),"Por definir"))</f>
        <v/>
      </c>
      <c r="O1792" s="41" t="n"/>
      <c r="P1792" s="39">
        <f>IF($L1792="","",IFERROR(INDEX(LISTAS!$B$3:$B$42,MATCH($L1792,LISTAS!$A$3:$A$42,0)),"Media"))</f>
        <v/>
      </c>
      <c r="Q1792" s="44" t="n"/>
      <c r="R1792" s="45" t="n"/>
      <c r="S1792" s="20">
        <f>IFERROR(IF(OR($R1792="",$C1792=""),"",$R1792/INDEX(DESPACHOS!$M$3:$M$3002,MATCH($C1792,DESPACHOS!$B$3:$B$3002,0))),"")</f>
        <v/>
      </c>
      <c r="T1792" s="41" t="n"/>
      <c r="U1792" s="43">
        <f>IF(OR($B1792="",$L1792=""),"",WORKDAY($B1792,IFERROR(INDEX(LISTAS!$C$3:$C$42,MATCH($L1792,LISTAS!$A$3:$A$42,0)),3)))</f>
        <v/>
      </c>
      <c r="V1792" s="40" t="n"/>
      <c r="W1792" s="19">
        <f>IF($B1792="","",IF($V1792&lt;&gt;"",$V1792-$B1792,TODAY()-$B1792))</f>
        <v/>
      </c>
      <c r="X1792" s="19">
        <f>IF(OR($B1792="",$U1792=""),"",IF($V1792&lt;&gt;"",MAX(0,$V1792-$U1792),MAX(0,TODAY()-$U1792)))</f>
        <v/>
      </c>
      <c r="Y1792" s="39">
        <f>IF($C1792="","",IF(IFERROR(INDEX(LISTAS!$I$3:$I$42,MATCH($T1792,LISTAS!$H$3:$H$42,0)),"NO")="SÍ",IF(N($X1792)&gt;0,"CERRADA FUERA DE SLA","CERRADA EN SLA"),IF($U1792="","SIN CLASIFICAR",IF(N($X1792)&gt;0,"VENCIDA",IF(TODAY()&gt;=$U1792-1,"POR VENCER","EN PLAZO")))))</f>
        <v/>
      </c>
      <c r="Z1792" s="41" t="n"/>
      <c r="AA1792" s="41" t="n"/>
      <c r="AB1792" s="41" t="n"/>
    </row>
    <row r="1793">
      <c r="A1793" s="39">
        <f>IF($C1793="","","NOV-"&amp;TEXT(ROW()-3,"0000"))</f>
        <v/>
      </c>
      <c r="B1793" s="40" t="n"/>
      <c r="C1793" s="41" t="n"/>
      <c r="D1793" s="42">
        <f>IF($C1793="","",IFERROR(INDEX(DESPACHOS!$D$3:$D$3002,MATCH($C1793,DESPACHOS!$B$3:$B$3002,0)),"SIN DESPACHO"))</f>
        <v/>
      </c>
      <c r="E1793" s="42">
        <f>IF($C1793="","",IFERROR(INDEX(DESPACHOS!$K$3:$K$3002,MATCH($C1793,DESPACHOS!$B$3:$B$3002,0)),""))</f>
        <v/>
      </c>
      <c r="F1793" s="42">
        <f>IF($C1793="","",IFERROR(INDEX(DESPACHOS!$I$3:$I$3002,MATCH($C1793,DESPACHOS!$B$3:$B$3002,0)),""))</f>
        <v/>
      </c>
      <c r="G1793" s="42">
        <f>IF($C1793="","",IFERROR(INDEX(DESPACHOS!$F$3:$F$3002,MATCH($C1793,DESPACHOS!$B$3:$B$3002,0)),""))</f>
        <v/>
      </c>
      <c r="H1793" s="42">
        <f>IF($C1793="","",IFERROR(INDEX(DESPACHOS!$G$3:$G$3002,MATCH($C1793,DESPACHOS!$B$3:$B$3002,0)),""))</f>
        <v/>
      </c>
      <c r="I1793" s="39">
        <f>IF($C1793="","",IFERROR(INDEX(DESPACHOS!$H$3:$H$3002,MATCH($C1793,DESPACHOS!$B$3:$B$3002,0)),""))</f>
        <v/>
      </c>
      <c r="J1793" s="43">
        <f>IF($C1793="","",IFERROR(INDEX(DESPACHOS!$J$3:$J$3002,MATCH($C1793,DESPACHOS!$B$3:$B$3002,0)),""))</f>
        <v/>
      </c>
      <c r="K1793" s="39">
        <f>IF($C1793="","",IF(COUNTIFS(DESPACHOS!$B$3:$B$3002,$C1793)=0,"NO EXISTE",IF(COUNTIFS(DESPACHOS!$B$3:$B$3002,$C1793)&gt;1,"DUPLICADO","OK")))</f>
        <v/>
      </c>
      <c r="L1793" s="41" t="n"/>
      <c r="M1793" s="41" t="n"/>
      <c r="N1793" s="42">
        <f>IF($M1793="","",IFERROR(INDEX(LISTAS!$F$3:$F$42,MATCH($M1793,LISTAS!$E$3:$E$42,0)),"Por definir"))</f>
        <v/>
      </c>
      <c r="O1793" s="41" t="n"/>
      <c r="P1793" s="39">
        <f>IF($L1793="","",IFERROR(INDEX(LISTAS!$B$3:$B$42,MATCH($L1793,LISTAS!$A$3:$A$42,0)),"Media"))</f>
        <v/>
      </c>
      <c r="Q1793" s="44" t="n"/>
      <c r="R1793" s="45" t="n"/>
      <c r="S1793" s="20">
        <f>IFERROR(IF(OR($R1793="",$C1793=""),"",$R1793/INDEX(DESPACHOS!$M$3:$M$3002,MATCH($C1793,DESPACHOS!$B$3:$B$3002,0))),"")</f>
        <v/>
      </c>
      <c r="T1793" s="41" t="n"/>
      <c r="U1793" s="43">
        <f>IF(OR($B1793="",$L1793=""),"",WORKDAY($B1793,IFERROR(INDEX(LISTAS!$C$3:$C$42,MATCH($L1793,LISTAS!$A$3:$A$42,0)),3)))</f>
        <v/>
      </c>
      <c r="V1793" s="40" t="n"/>
      <c r="W1793" s="19">
        <f>IF($B1793="","",IF($V1793&lt;&gt;"",$V1793-$B1793,TODAY()-$B1793))</f>
        <v/>
      </c>
      <c r="X1793" s="19">
        <f>IF(OR($B1793="",$U1793=""),"",IF($V1793&lt;&gt;"",MAX(0,$V1793-$U1793),MAX(0,TODAY()-$U1793)))</f>
        <v/>
      </c>
      <c r="Y1793" s="39">
        <f>IF($C1793="","",IF(IFERROR(INDEX(LISTAS!$I$3:$I$42,MATCH($T1793,LISTAS!$H$3:$H$42,0)),"NO")="SÍ",IF(N($X1793)&gt;0,"CERRADA FUERA DE SLA","CERRADA EN SLA"),IF($U1793="","SIN CLASIFICAR",IF(N($X1793)&gt;0,"VENCIDA",IF(TODAY()&gt;=$U1793-1,"POR VENCER","EN PLAZO")))))</f>
        <v/>
      </c>
      <c r="Z1793" s="41" t="n"/>
      <c r="AA1793" s="41" t="n"/>
      <c r="AB1793" s="41" t="n"/>
    </row>
    <row r="1794">
      <c r="A1794" s="39">
        <f>IF($C1794="","","NOV-"&amp;TEXT(ROW()-3,"0000"))</f>
        <v/>
      </c>
      <c r="B1794" s="40" t="n"/>
      <c r="C1794" s="41" t="n"/>
      <c r="D1794" s="42">
        <f>IF($C1794="","",IFERROR(INDEX(DESPACHOS!$D$3:$D$3002,MATCH($C1794,DESPACHOS!$B$3:$B$3002,0)),"SIN DESPACHO"))</f>
        <v/>
      </c>
      <c r="E1794" s="42">
        <f>IF($C1794="","",IFERROR(INDEX(DESPACHOS!$K$3:$K$3002,MATCH($C1794,DESPACHOS!$B$3:$B$3002,0)),""))</f>
        <v/>
      </c>
      <c r="F1794" s="42">
        <f>IF($C1794="","",IFERROR(INDEX(DESPACHOS!$I$3:$I$3002,MATCH($C1794,DESPACHOS!$B$3:$B$3002,0)),""))</f>
        <v/>
      </c>
      <c r="G1794" s="42">
        <f>IF($C1794="","",IFERROR(INDEX(DESPACHOS!$F$3:$F$3002,MATCH($C1794,DESPACHOS!$B$3:$B$3002,0)),""))</f>
        <v/>
      </c>
      <c r="H1794" s="42">
        <f>IF($C1794="","",IFERROR(INDEX(DESPACHOS!$G$3:$G$3002,MATCH($C1794,DESPACHOS!$B$3:$B$3002,0)),""))</f>
        <v/>
      </c>
      <c r="I1794" s="39">
        <f>IF($C1794="","",IFERROR(INDEX(DESPACHOS!$H$3:$H$3002,MATCH($C1794,DESPACHOS!$B$3:$B$3002,0)),""))</f>
        <v/>
      </c>
      <c r="J1794" s="43">
        <f>IF($C1794="","",IFERROR(INDEX(DESPACHOS!$J$3:$J$3002,MATCH($C1794,DESPACHOS!$B$3:$B$3002,0)),""))</f>
        <v/>
      </c>
      <c r="K1794" s="39">
        <f>IF($C1794="","",IF(COUNTIFS(DESPACHOS!$B$3:$B$3002,$C1794)=0,"NO EXISTE",IF(COUNTIFS(DESPACHOS!$B$3:$B$3002,$C1794)&gt;1,"DUPLICADO","OK")))</f>
        <v/>
      </c>
      <c r="L1794" s="41" t="n"/>
      <c r="M1794" s="41" t="n"/>
      <c r="N1794" s="42">
        <f>IF($M1794="","",IFERROR(INDEX(LISTAS!$F$3:$F$42,MATCH($M1794,LISTAS!$E$3:$E$42,0)),"Por definir"))</f>
        <v/>
      </c>
      <c r="O1794" s="41" t="n"/>
      <c r="P1794" s="39">
        <f>IF($L1794="","",IFERROR(INDEX(LISTAS!$B$3:$B$42,MATCH($L1794,LISTAS!$A$3:$A$42,0)),"Media"))</f>
        <v/>
      </c>
      <c r="Q1794" s="44" t="n"/>
      <c r="R1794" s="45" t="n"/>
      <c r="S1794" s="20">
        <f>IFERROR(IF(OR($R1794="",$C1794=""),"",$R1794/INDEX(DESPACHOS!$M$3:$M$3002,MATCH($C1794,DESPACHOS!$B$3:$B$3002,0))),"")</f>
        <v/>
      </c>
      <c r="T1794" s="41" t="n"/>
      <c r="U1794" s="43">
        <f>IF(OR($B1794="",$L1794=""),"",WORKDAY($B1794,IFERROR(INDEX(LISTAS!$C$3:$C$42,MATCH($L1794,LISTAS!$A$3:$A$42,0)),3)))</f>
        <v/>
      </c>
      <c r="V1794" s="40" t="n"/>
      <c r="W1794" s="19">
        <f>IF($B1794="","",IF($V1794&lt;&gt;"",$V1794-$B1794,TODAY()-$B1794))</f>
        <v/>
      </c>
      <c r="X1794" s="19">
        <f>IF(OR($B1794="",$U1794=""),"",IF($V1794&lt;&gt;"",MAX(0,$V1794-$U1794),MAX(0,TODAY()-$U1794)))</f>
        <v/>
      </c>
      <c r="Y1794" s="39">
        <f>IF($C1794="","",IF(IFERROR(INDEX(LISTAS!$I$3:$I$42,MATCH($T1794,LISTAS!$H$3:$H$42,0)),"NO")="SÍ",IF(N($X1794)&gt;0,"CERRADA FUERA DE SLA","CERRADA EN SLA"),IF($U1794="","SIN CLASIFICAR",IF(N($X1794)&gt;0,"VENCIDA",IF(TODAY()&gt;=$U1794-1,"POR VENCER","EN PLAZO")))))</f>
        <v/>
      </c>
      <c r="Z1794" s="41" t="n"/>
      <c r="AA1794" s="41" t="n"/>
      <c r="AB1794" s="41" t="n"/>
    </row>
    <row r="1795">
      <c r="A1795" s="39">
        <f>IF($C1795="","","NOV-"&amp;TEXT(ROW()-3,"0000"))</f>
        <v/>
      </c>
      <c r="B1795" s="40" t="n"/>
      <c r="C1795" s="41" t="n"/>
      <c r="D1795" s="42">
        <f>IF($C1795="","",IFERROR(INDEX(DESPACHOS!$D$3:$D$3002,MATCH($C1795,DESPACHOS!$B$3:$B$3002,0)),"SIN DESPACHO"))</f>
        <v/>
      </c>
      <c r="E1795" s="42">
        <f>IF($C1795="","",IFERROR(INDEX(DESPACHOS!$K$3:$K$3002,MATCH($C1795,DESPACHOS!$B$3:$B$3002,0)),""))</f>
        <v/>
      </c>
      <c r="F1795" s="42">
        <f>IF($C1795="","",IFERROR(INDEX(DESPACHOS!$I$3:$I$3002,MATCH($C1795,DESPACHOS!$B$3:$B$3002,0)),""))</f>
        <v/>
      </c>
      <c r="G1795" s="42">
        <f>IF($C1795="","",IFERROR(INDEX(DESPACHOS!$F$3:$F$3002,MATCH($C1795,DESPACHOS!$B$3:$B$3002,0)),""))</f>
        <v/>
      </c>
      <c r="H1795" s="42">
        <f>IF($C1795="","",IFERROR(INDEX(DESPACHOS!$G$3:$G$3002,MATCH($C1795,DESPACHOS!$B$3:$B$3002,0)),""))</f>
        <v/>
      </c>
      <c r="I1795" s="39">
        <f>IF($C1795="","",IFERROR(INDEX(DESPACHOS!$H$3:$H$3002,MATCH($C1795,DESPACHOS!$B$3:$B$3002,0)),""))</f>
        <v/>
      </c>
      <c r="J1795" s="43">
        <f>IF($C1795="","",IFERROR(INDEX(DESPACHOS!$J$3:$J$3002,MATCH($C1795,DESPACHOS!$B$3:$B$3002,0)),""))</f>
        <v/>
      </c>
      <c r="K1795" s="39">
        <f>IF($C1795="","",IF(COUNTIFS(DESPACHOS!$B$3:$B$3002,$C1795)=0,"NO EXISTE",IF(COUNTIFS(DESPACHOS!$B$3:$B$3002,$C1795)&gt;1,"DUPLICADO","OK")))</f>
        <v/>
      </c>
      <c r="L1795" s="41" t="n"/>
      <c r="M1795" s="41" t="n"/>
      <c r="N1795" s="42">
        <f>IF($M1795="","",IFERROR(INDEX(LISTAS!$F$3:$F$42,MATCH($M1795,LISTAS!$E$3:$E$42,0)),"Por definir"))</f>
        <v/>
      </c>
      <c r="O1795" s="41" t="n"/>
      <c r="P1795" s="39">
        <f>IF($L1795="","",IFERROR(INDEX(LISTAS!$B$3:$B$42,MATCH($L1795,LISTAS!$A$3:$A$42,0)),"Media"))</f>
        <v/>
      </c>
      <c r="Q1795" s="44" t="n"/>
      <c r="R1795" s="45" t="n"/>
      <c r="S1795" s="20">
        <f>IFERROR(IF(OR($R1795="",$C1795=""),"",$R1795/INDEX(DESPACHOS!$M$3:$M$3002,MATCH($C1795,DESPACHOS!$B$3:$B$3002,0))),"")</f>
        <v/>
      </c>
      <c r="T1795" s="41" t="n"/>
      <c r="U1795" s="43">
        <f>IF(OR($B1795="",$L1795=""),"",WORKDAY($B1795,IFERROR(INDEX(LISTAS!$C$3:$C$42,MATCH($L1795,LISTAS!$A$3:$A$42,0)),3)))</f>
        <v/>
      </c>
      <c r="V1795" s="40" t="n"/>
      <c r="W1795" s="19">
        <f>IF($B1795="","",IF($V1795&lt;&gt;"",$V1795-$B1795,TODAY()-$B1795))</f>
        <v/>
      </c>
      <c r="X1795" s="19">
        <f>IF(OR($B1795="",$U1795=""),"",IF($V1795&lt;&gt;"",MAX(0,$V1795-$U1795),MAX(0,TODAY()-$U1795)))</f>
        <v/>
      </c>
      <c r="Y1795" s="39">
        <f>IF($C1795="","",IF(IFERROR(INDEX(LISTAS!$I$3:$I$42,MATCH($T1795,LISTAS!$H$3:$H$42,0)),"NO")="SÍ",IF(N($X1795)&gt;0,"CERRADA FUERA DE SLA","CERRADA EN SLA"),IF($U1795="","SIN CLASIFICAR",IF(N($X1795)&gt;0,"VENCIDA",IF(TODAY()&gt;=$U1795-1,"POR VENCER","EN PLAZO")))))</f>
        <v/>
      </c>
      <c r="Z1795" s="41" t="n"/>
      <c r="AA1795" s="41" t="n"/>
      <c r="AB1795" s="41" t="n"/>
    </row>
    <row r="1796">
      <c r="A1796" s="39">
        <f>IF($C1796="","","NOV-"&amp;TEXT(ROW()-3,"0000"))</f>
        <v/>
      </c>
      <c r="B1796" s="40" t="n"/>
      <c r="C1796" s="41" t="n"/>
      <c r="D1796" s="42">
        <f>IF($C1796="","",IFERROR(INDEX(DESPACHOS!$D$3:$D$3002,MATCH($C1796,DESPACHOS!$B$3:$B$3002,0)),"SIN DESPACHO"))</f>
        <v/>
      </c>
      <c r="E1796" s="42">
        <f>IF($C1796="","",IFERROR(INDEX(DESPACHOS!$K$3:$K$3002,MATCH($C1796,DESPACHOS!$B$3:$B$3002,0)),""))</f>
        <v/>
      </c>
      <c r="F1796" s="42">
        <f>IF($C1796="","",IFERROR(INDEX(DESPACHOS!$I$3:$I$3002,MATCH($C1796,DESPACHOS!$B$3:$B$3002,0)),""))</f>
        <v/>
      </c>
      <c r="G1796" s="42">
        <f>IF($C1796="","",IFERROR(INDEX(DESPACHOS!$F$3:$F$3002,MATCH($C1796,DESPACHOS!$B$3:$B$3002,0)),""))</f>
        <v/>
      </c>
      <c r="H1796" s="42">
        <f>IF($C1796="","",IFERROR(INDEX(DESPACHOS!$G$3:$G$3002,MATCH($C1796,DESPACHOS!$B$3:$B$3002,0)),""))</f>
        <v/>
      </c>
      <c r="I1796" s="39">
        <f>IF($C1796="","",IFERROR(INDEX(DESPACHOS!$H$3:$H$3002,MATCH($C1796,DESPACHOS!$B$3:$B$3002,0)),""))</f>
        <v/>
      </c>
      <c r="J1796" s="43">
        <f>IF($C1796="","",IFERROR(INDEX(DESPACHOS!$J$3:$J$3002,MATCH($C1796,DESPACHOS!$B$3:$B$3002,0)),""))</f>
        <v/>
      </c>
      <c r="K1796" s="39">
        <f>IF($C1796="","",IF(COUNTIFS(DESPACHOS!$B$3:$B$3002,$C1796)=0,"NO EXISTE",IF(COUNTIFS(DESPACHOS!$B$3:$B$3002,$C1796)&gt;1,"DUPLICADO","OK")))</f>
        <v/>
      </c>
      <c r="L1796" s="41" t="n"/>
      <c r="M1796" s="41" t="n"/>
      <c r="N1796" s="42">
        <f>IF($M1796="","",IFERROR(INDEX(LISTAS!$F$3:$F$42,MATCH($M1796,LISTAS!$E$3:$E$42,0)),"Por definir"))</f>
        <v/>
      </c>
      <c r="O1796" s="41" t="n"/>
      <c r="P1796" s="39">
        <f>IF($L1796="","",IFERROR(INDEX(LISTAS!$B$3:$B$42,MATCH($L1796,LISTAS!$A$3:$A$42,0)),"Media"))</f>
        <v/>
      </c>
      <c r="Q1796" s="44" t="n"/>
      <c r="R1796" s="45" t="n"/>
      <c r="S1796" s="20">
        <f>IFERROR(IF(OR($R1796="",$C1796=""),"",$R1796/INDEX(DESPACHOS!$M$3:$M$3002,MATCH($C1796,DESPACHOS!$B$3:$B$3002,0))),"")</f>
        <v/>
      </c>
      <c r="T1796" s="41" t="n"/>
      <c r="U1796" s="43">
        <f>IF(OR($B1796="",$L1796=""),"",WORKDAY($B1796,IFERROR(INDEX(LISTAS!$C$3:$C$42,MATCH($L1796,LISTAS!$A$3:$A$42,0)),3)))</f>
        <v/>
      </c>
      <c r="V1796" s="40" t="n"/>
      <c r="W1796" s="19">
        <f>IF($B1796="","",IF($V1796&lt;&gt;"",$V1796-$B1796,TODAY()-$B1796))</f>
        <v/>
      </c>
      <c r="X1796" s="19">
        <f>IF(OR($B1796="",$U1796=""),"",IF($V1796&lt;&gt;"",MAX(0,$V1796-$U1796),MAX(0,TODAY()-$U1796)))</f>
        <v/>
      </c>
      <c r="Y1796" s="39">
        <f>IF($C1796="","",IF(IFERROR(INDEX(LISTAS!$I$3:$I$42,MATCH($T1796,LISTAS!$H$3:$H$42,0)),"NO")="SÍ",IF(N($X1796)&gt;0,"CERRADA FUERA DE SLA","CERRADA EN SLA"),IF($U1796="","SIN CLASIFICAR",IF(N($X1796)&gt;0,"VENCIDA",IF(TODAY()&gt;=$U1796-1,"POR VENCER","EN PLAZO")))))</f>
        <v/>
      </c>
      <c r="Z1796" s="41" t="n"/>
      <c r="AA1796" s="41" t="n"/>
      <c r="AB1796" s="41" t="n"/>
    </row>
    <row r="1797">
      <c r="A1797" s="39">
        <f>IF($C1797="","","NOV-"&amp;TEXT(ROW()-3,"0000"))</f>
        <v/>
      </c>
      <c r="B1797" s="40" t="n"/>
      <c r="C1797" s="41" t="n"/>
      <c r="D1797" s="42">
        <f>IF($C1797="","",IFERROR(INDEX(DESPACHOS!$D$3:$D$3002,MATCH($C1797,DESPACHOS!$B$3:$B$3002,0)),"SIN DESPACHO"))</f>
        <v/>
      </c>
      <c r="E1797" s="42">
        <f>IF($C1797="","",IFERROR(INDEX(DESPACHOS!$K$3:$K$3002,MATCH($C1797,DESPACHOS!$B$3:$B$3002,0)),""))</f>
        <v/>
      </c>
      <c r="F1797" s="42">
        <f>IF($C1797="","",IFERROR(INDEX(DESPACHOS!$I$3:$I$3002,MATCH($C1797,DESPACHOS!$B$3:$B$3002,0)),""))</f>
        <v/>
      </c>
      <c r="G1797" s="42">
        <f>IF($C1797="","",IFERROR(INDEX(DESPACHOS!$F$3:$F$3002,MATCH($C1797,DESPACHOS!$B$3:$B$3002,0)),""))</f>
        <v/>
      </c>
      <c r="H1797" s="42">
        <f>IF($C1797="","",IFERROR(INDEX(DESPACHOS!$G$3:$G$3002,MATCH($C1797,DESPACHOS!$B$3:$B$3002,0)),""))</f>
        <v/>
      </c>
      <c r="I1797" s="39">
        <f>IF($C1797="","",IFERROR(INDEX(DESPACHOS!$H$3:$H$3002,MATCH($C1797,DESPACHOS!$B$3:$B$3002,0)),""))</f>
        <v/>
      </c>
      <c r="J1797" s="43">
        <f>IF($C1797="","",IFERROR(INDEX(DESPACHOS!$J$3:$J$3002,MATCH($C1797,DESPACHOS!$B$3:$B$3002,0)),""))</f>
        <v/>
      </c>
      <c r="K1797" s="39">
        <f>IF($C1797="","",IF(COUNTIFS(DESPACHOS!$B$3:$B$3002,$C1797)=0,"NO EXISTE",IF(COUNTIFS(DESPACHOS!$B$3:$B$3002,$C1797)&gt;1,"DUPLICADO","OK")))</f>
        <v/>
      </c>
      <c r="L1797" s="41" t="n"/>
      <c r="M1797" s="41" t="n"/>
      <c r="N1797" s="42">
        <f>IF($M1797="","",IFERROR(INDEX(LISTAS!$F$3:$F$42,MATCH($M1797,LISTAS!$E$3:$E$42,0)),"Por definir"))</f>
        <v/>
      </c>
      <c r="O1797" s="41" t="n"/>
      <c r="P1797" s="39">
        <f>IF($L1797="","",IFERROR(INDEX(LISTAS!$B$3:$B$42,MATCH($L1797,LISTAS!$A$3:$A$42,0)),"Media"))</f>
        <v/>
      </c>
      <c r="Q1797" s="44" t="n"/>
      <c r="R1797" s="45" t="n"/>
      <c r="S1797" s="20">
        <f>IFERROR(IF(OR($R1797="",$C1797=""),"",$R1797/INDEX(DESPACHOS!$M$3:$M$3002,MATCH($C1797,DESPACHOS!$B$3:$B$3002,0))),"")</f>
        <v/>
      </c>
      <c r="T1797" s="41" t="n"/>
      <c r="U1797" s="43">
        <f>IF(OR($B1797="",$L1797=""),"",WORKDAY($B1797,IFERROR(INDEX(LISTAS!$C$3:$C$42,MATCH($L1797,LISTAS!$A$3:$A$42,0)),3)))</f>
        <v/>
      </c>
      <c r="V1797" s="40" t="n"/>
      <c r="W1797" s="19">
        <f>IF($B1797="","",IF($V1797&lt;&gt;"",$V1797-$B1797,TODAY()-$B1797))</f>
        <v/>
      </c>
      <c r="X1797" s="19">
        <f>IF(OR($B1797="",$U1797=""),"",IF($V1797&lt;&gt;"",MAX(0,$V1797-$U1797),MAX(0,TODAY()-$U1797)))</f>
        <v/>
      </c>
      <c r="Y1797" s="39">
        <f>IF($C1797="","",IF(IFERROR(INDEX(LISTAS!$I$3:$I$42,MATCH($T1797,LISTAS!$H$3:$H$42,0)),"NO")="SÍ",IF(N($X1797)&gt;0,"CERRADA FUERA DE SLA","CERRADA EN SLA"),IF($U1797="","SIN CLASIFICAR",IF(N($X1797)&gt;0,"VENCIDA",IF(TODAY()&gt;=$U1797-1,"POR VENCER","EN PLAZO")))))</f>
        <v/>
      </c>
      <c r="Z1797" s="41" t="n"/>
      <c r="AA1797" s="41" t="n"/>
      <c r="AB1797" s="41" t="n"/>
    </row>
    <row r="1798">
      <c r="A1798" s="39">
        <f>IF($C1798="","","NOV-"&amp;TEXT(ROW()-3,"0000"))</f>
        <v/>
      </c>
      <c r="B1798" s="40" t="n"/>
      <c r="C1798" s="41" t="n"/>
      <c r="D1798" s="42">
        <f>IF($C1798="","",IFERROR(INDEX(DESPACHOS!$D$3:$D$3002,MATCH($C1798,DESPACHOS!$B$3:$B$3002,0)),"SIN DESPACHO"))</f>
        <v/>
      </c>
      <c r="E1798" s="42">
        <f>IF($C1798="","",IFERROR(INDEX(DESPACHOS!$K$3:$K$3002,MATCH($C1798,DESPACHOS!$B$3:$B$3002,0)),""))</f>
        <v/>
      </c>
      <c r="F1798" s="42">
        <f>IF($C1798="","",IFERROR(INDEX(DESPACHOS!$I$3:$I$3002,MATCH($C1798,DESPACHOS!$B$3:$B$3002,0)),""))</f>
        <v/>
      </c>
      <c r="G1798" s="42">
        <f>IF($C1798="","",IFERROR(INDEX(DESPACHOS!$F$3:$F$3002,MATCH($C1798,DESPACHOS!$B$3:$B$3002,0)),""))</f>
        <v/>
      </c>
      <c r="H1798" s="42">
        <f>IF($C1798="","",IFERROR(INDEX(DESPACHOS!$G$3:$G$3002,MATCH($C1798,DESPACHOS!$B$3:$B$3002,0)),""))</f>
        <v/>
      </c>
      <c r="I1798" s="39">
        <f>IF($C1798="","",IFERROR(INDEX(DESPACHOS!$H$3:$H$3002,MATCH($C1798,DESPACHOS!$B$3:$B$3002,0)),""))</f>
        <v/>
      </c>
      <c r="J1798" s="43">
        <f>IF($C1798="","",IFERROR(INDEX(DESPACHOS!$J$3:$J$3002,MATCH($C1798,DESPACHOS!$B$3:$B$3002,0)),""))</f>
        <v/>
      </c>
      <c r="K1798" s="39">
        <f>IF($C1798="","",IF(COUNTIFS(DESPACHOS!$B$3:$B$3002,$C1798)=0,"NO EXISTE",IF(COUNTIFS(DESPACHOS!$B$3:$B$3002,$C1798)&gt;1,"DUPLICADO","OK")))</f>
        <v/>
      </c>
      <c r="L1798" s="41" t="n"/>
      <c r="M1798" s="41" t="n"/>
      <c r="N1798" s="42">
        <f>IF($M1798="","",IFERROR(INDEX(LISTAS!$F$3:$F$42,MATCH($M1798,LISTAS!$E$3:$E$42,0)),"Por definir"))</f>
        <v/>
      </c>
      <c r="O1798" s="41" t="n"/>
      <c r="P1798" s="39">
        <f>IF($L1798="","",IFERROR(INDEX(LISTAS!$B$3:$B$42,MATCH($L1798,LISTAS!$A$3:$A$42,0)),"Media"))</f>
        <v/>
      </c>
      <c r="Q1798" s="44" t="n"/>
      <c r="R1798" s="45" t="n"/>
      <c r="S1798" s="20">
        <f>IFERROR(IF(OR($R1798="",$C1798=""),"",$R1798/INDEX(DESPACHOS!$M$3:$M$3002,MATCH($C1798,DESPACHOS!$B$3:$B$3002,0))),"")</f>
        <v/>
      </c>
      <c r="T1798" s="41" t="n"/>
      <c r="U1798" s="43">
        <f>IF(OR($B1798="",$L1798=""),"",WORKDAY($B1798,IFERROR(INDEX(LISTAS!$C$3:$C$42,MATCH($L1798,LISTAS!$A$3:$A$42,0)),3)))</f>
        <v/>
      </c>
      <c r="V1798" s="40" t="n"/>
      <c r="W1798" s="19">
        <f>IF($B1798="","",IF($V1798&lt;&gt;"",$V1798-$B1798,TODAY()-$B1798))</f>
        <v/>
      </c>
      <c r="X1798" s="19">
        <f>IF(OR($B1798="",$U1798=""),"",IF($V1798&lt;&gt;"",MAX(0,$V1798-$U1798),MAX(0,TODAY()-$U1798)))</f>
        <v/>
      </c>
      <c r="Y1798" s="39">
        <f>IF($C1798="","",IF(IFERROR(INDEX(LISTAS!$I$3:$I$42,MATCH($T1798,LISTAS!$H$3:$H$42,0)),"NO")="SÍ",IF(N($X1798)&gt;0,"CERRADA FUERA DE SLA","CERRADA EN SLA"),IF($U1798="","SIN CLASIFICAR",IF(N($X1798)&gt;0,"VENCIDA",IF(TODAY()&gt;=$U1798-1,"POR VENCER","EN PLAZO")))))</f>
        <v/>
      </c>
      <c r="Z1798" s="41" t="n"/>
      <c r="AA1798" s="41" t="n"/>
      <c r="AB1798" s="41" t="n"/>
    </row>
    <row r="1799">
      <c r="A1799" s="39">
        <f>IF($C1799="","","NOV-"&amp;TEXT(ROW()-3,"0000"))</f>
        <v/>
      </c>
      <c r="B1799" s="40" t="n"/>
      <c r="C1799" s="41" t="n"/>
      <c r="D1799" s="42">
        <f>IF($C1799="","",IFERROR(INDEX(DESPACHOS!$D$3:$D$3002,MATCH($C1799,DESPACHOS!$B$3:$B$3002,0)),"SIN DESPACHO"))</f>
        <v/>
      </c>
      <c r="E1799" s="42">
        <f>IF($C1799="","",IFERROR(INDEX(DESPACHOS!$K$3:$K$3002,MATCH($C1799,DESPACHOS!$B$3:$B$3002,0)),""))</f>
        <v/>
      </c>
      <c r="F1799" s="42">
        <f>IF($C1799="","",IFERROR(INDEX(DESPACHOS!$I$3:$I$3002,MATCH($C1799,DESPACHOS!$B$3:$B$3002,0)),""))</f>
        <v/>
      </c>
      <c r="G1799" s="42">
        <f>IF($C1799="","",IFERROR(INDEX(DESPACHOS!$F$3:$F$3002,MATCH($C1799,DESPACHOS!$B$3:$B$3002,0)),""))</f>
        <v/>
      </c>
      <c r="H1799" s="42">
        <f>IF($C1799="","",IFERROR(INDEX(DESPACHOS!$G$3:$G$3002,MATCH($C1799,DESPACHOS!$B$3:$B$3002,0)),""))</f>
        <v/>
      </c>
      <c r="I1799" s="39">
        <f>IF($C1799="","",IFERROR(INDEX(DESPACHOS!$H$3:$H$3002,MATCH($C1799,DESPACHOS!$B$3:$B$3002,0)),""))</f>
        <v/>
      </c>
      <c r="J1799" s="43">
        <f>IF($C1799="","",IFERROR(INDEX(DESPACHOS!$J$3:$J$3002,MATCH($C1799,DESPACHOS!$B$3:$B$3002,0)),""))</f>
        <v/>
      </c>
      <c r="K1799" s="39">
        <f>IF($C1799="","",IF(COUNTIFS(DESPACHOS!$B$3:$B$3002,$C1799)=0,"NO EXISTE",IF(COUNTIFS(DESPACHOS!$B$3:$B$3002,$C1799)&gt;1,"DUPLICADO","OK")))</f>
        <v/>
      </c>
      <c r="L1799" s="41" t="n"/>
      <c r="M1799" s="41" t="n"/>
      <c r="N1799" s="42">
        <f>IF($M1799="","",IFERROR(INDEX(LISTAS!$F$3:$F$42,MATCH($M1799,LISTAS!$E$3:$E$42,0)),"Por definir"))</f>
        <v/>
      </c>
      <c r="O1799" s="41" t="n"/>
      <c r="P1799" s="39">
        <f>IF($L1799="","",IFERROR(INDEX(LISTAS!$B$3:$B$42,MATCH($L1799,LISTAS!$A$3:$A$42,0)),"Media"))</f>
        <v/>
      </c>
      <c r="Q1799" s="44" t="n"/>
      <c r="R1799" s="45" t="n"/>
      <c r="S1799" s="20">
        <f>IFERROR(IF(OR($R1799="",$C1799=""),"",$R1799/INDEX(DESPACHOS!$M$3:$M$3002,MATCH($C1799,DESPACHOS!$B$3:$B$3002,0))),"")</f>
        <v/>
      </c>
      <c r="T1799" s="41" t="n"/>
      <c r="U1799" s="43">
        <f>IF(OR($B1799="",$L1799=""),"",WORKDAY($B1799,IFERROR(INDEX(LISTAS!$C$3:$C$42,MATCH($L1799,LISTAS!$A$3:$A$42,0)),3)))</f>
        <v/>
      </c>
      <c r="V1799" s="40" t="n"/>
      <c r="W1799" s="19">
        <f>IF($B1799="","",IF($V1799&lt;&gt;"",$V1799-$B1799,TODAY()-$B1799))</f>
        <v/>
      </c>
      <c r="X1799" s="19">
        <f>IF(OR($B1799="",$U1799=""),"",IF($V1799&lt;&gt;"",MAX(0,$V1799-$U1799),MAX(0,TODAY()-$U1799)))</f>
        <v/>
      </c>
      <c r="Y1799" s="39">
        <f>IF($C1799="","",IF(IFERROR(INDEX(LISTAS!$I$3:$I$42,MATCH($T1799,LISTAS!$H$3:$H$42,0)),"NO")="SÍ",IF(N($X1799)&gt;0,"CERRADA FUERA DE SLA","CERRADA EN SLA"),IF($U1799="","SIN CLASIFICAR",IF(N($X1799)&gt;0,"VENCIDA",IF(TODAY()&gt;=$U1799-1,"POR VENCER","EN PLAZO")))))</f>
        <v/>
      </c>
      <c r="Z1799" s="41" t="n"/>
      <c r="AA1799" s="41" t="n"/>
      <c r="AB1799" s="41" t="n"/>
    </row>
    <row r="1800">
      <c r="A1800" s="39">
        <f>IF($C1800="","","NOV-"&amp;TEXT(ROW()-3,"0000"))</f>
        <v/>
      </c>
      <c r="B1800" s="40" t="n"/>
      <c r="C1800" s="41" t="n"/>
      <c r="D1800" s="42">
        <f>IF($C1800="","",IFERROR(INDEX(DESPACHOS!$D$3:$D$3002,MATCH($C1800,DESPACHOS!$B$3:$B$3002,0)),"SIN DESPACHO"))</f>
        <v/>
      </c>
      <c r="E1800" s="42">
        <f>IF($C1800="","",IFERROR(INDEX(DESPACHOS!$K$3:$K$3002,MATCH($C1800,DESPACHOS!$B$3:$B$3002,0)),""))</f>
        <v/>
      </c>
      <c r="F1800" s="42">
        <f>IF($C1800="","",IFERROR(INDEX(DESPACHOS!$I$3:$I$3002,MATCH($C1800,DESPACHOS!$B$3:$B$3002,0)),""))</f>
        <v/>
      </c>
      <c r="G1800" s="42">
        <f>IF($C1800="","",IFERROR(INDEX(DESPACHOS!$F$3:$F$3002,MATCH($C1800,DESPACHOS!$B$3:$B$3002,0)),""))</f>
        <v/>
      </c>
      <c r="H1800" s="42">
        <f>IF($C1800="","",IFERROR(INDEX(DESPACHOS!$G$3:$G$3002,MATCH($C1800,DESPACHOS!$B$3:$B$3002,0)),""))</f>
        <v/>
      </c>
      <c r="I1800" s="39">
        <f>IF($C1800="","",IFERROR(INDEX(DESPACHOS!$H$3:$H$3002,MATCH($C1800,DESPACHOS!$B$3:$B$3002,0)),""))</f>
        <v/>
      </c>
      <c r="J1800" s="43">
        <f>IF($C1800="","",IFERROR(INDEX(DESPACHOS!$J$3:$J$3002,MATCH($C1800,DESPACHOS!$B$3:$B$3002,0)),""))</f>
        <v/>
      </c>
      <c r="K1800" s="39">
        <f>IF($C1800="","",IF(COUNTIFS(DESPACHOS!$B$3:$B$3002,$C1800)=0,"NO EXISTE",IF(COUNTIFS(DESPACHOS!$B$3:$B$3002,$C1800)&gt;1,"DUPLICADO","OK")))</f>
        <v/>
      </c>
      <c r="L1800" s="41" t="n"/>
      <c r="M1800" s="41" t="n"/>
      <c r="N1800" s="42">
        <f>IF($M1800="","",IFERROR(INDEX(LISTAS!$F$3:$F$42,MATCH($M1800,LISTAS!$E$3:$E$42,0)),"Por definir"))</f>
        <v/>
      </c>
      <c r="O1800" s="41" t="n"/>
      <c r="P1800" s="39">
        <f>IF($L1800="","",IFERROR(INDEX(LISTAS!$B$3:$B$42,MATCH($L1800,LISTAS!$A$3:$A$42,0)),"Media"))</f>
        <v/>
      </c>
      <c r="Q1800" s="44" t="n"/>
      <c r="R1800" s="45" t="n"/>
      <c r="S1800" s="20">
        <f>IFERROR(IF(OR($R1800="",$C1800=""),"",$R1800/INDEX(DESPACHOS!$M$3:$M$3002,MATCH($C1800,DESPACHOS!$B$3:$B$3002,0))),"")</f>
        <v/>
      </c>
      <c r="T1800" s="41" t="n"/>
      <c r="U1800" s="43">
        <f>IF(OR($B1800="",$L1800=""),"",WORKDAY($B1800,IFERROR(INDEX(LISTAS!$C$3:$C$42,MATCH($L1800,LISTAS!$A$3:$A$42,0)),3)))</f>
        <v/>
      </c>
      <c r="V1800" s="40" t="n"/>
      <c r="W1800" s="19">
        <f>IF($B1800="","",IF($V1800&lt;&gt;"",$V1800-$B1800,TODAY()-$B1800))</f>
        <v/>
      </c>
      <c r="X1800" s="19">
        <f>IF(OR($B1800="",$U1800=""),"",IF($V1800&lt;&gt;"",MAX(0,$V1800-$U1800),MAX(0,TODAY()-$U1800)))</f>
        <v/>
      </c>
      <c r="Y1800" s="39">
        <f>IF($C1800="","",IF(IFERROR(INDEX(LISTAS!$I$3:$I$42,MATCH($T1800,LISTAS!$H$3:$H$42,0)),"NO")="SÍ",IF(N($X1800)&gt;0,"CERRADA FUERA DE SLA","CERRADA EN SLA"),IF($U1800="","SIN CLASIFICAR",IF(N($X1800)&gt;0,"VENCIDA",IF(TODAY()&gt;=$U1800-1,"POR VENCER","EN PLAZO")))))</f>
        <v/>
      </c>
      <c r="Z1800" s="41" t="n"/>
      <c r="AA1800" s="41" t="n"/>
      <c r="AB1800" s="41" t="n"/>
    </row>
    <row r="1801">
      <c r="A1801" s="39">
        <f>IF($C1801="","","NOV-"&amp;TEXT(ROW()-3,"0000"))</f>
        <v/>
      </c>
      <c r="B1801" s="40" t="n"/>
      <c r="C1801" s="41" t="n"/>
      <c r="D1801" s="42">
        <f>IF($C1801="","",IFERROR(INDEX(DESPACHOS!$D$3:$D$3002,MATCH($C1801,DESPACHOS!$B$3:$B$3002,0)),"SIN DESPACHO"))</f>
        <v/>
      </c>
      <c r="E1801" s="42">
        <f>IF($C1801="","",IFERROR(INDEX(DESPACHOS!$K$3:$K$3002,MATCH($C1801,DESPACHOS!$B$3:$B$3002,0)),""))</f>
        <v/>
      </c>
      <c r="F1801" s="42">
        <f>IF($C1801="","",IFERROR(INDEX(DESPACHOS!$I$3:$I$3002,MATCH($C1801,DESPACHOS!$B$3:$B$3002,0)),""))</f>
        <v/>
      </c>
      <c r="G1801" s="42">
        <f>IF($C1801="","",IFERROR(INDEX(DESPACHOS!$F$3:$F$3002,MATCH($C1801,DESPACHOS!$B$3:$B$3002,0)),""))</f>
        <v/>
      </c>
      <c r="H1801" s="42">
        <f>IF($C1801="","",IFERROR(INDEX(DESPACHOS!$G$3:$G$3002,MATCH($C1801,DESPACHOS!$B$3:$B$3002,0)),""))</f>
        <v/>
      </c>
      <c r="I1801" s="39">
        <f>IF($C1801="","",IFERROR(INDEX(DESPACHOS!$H$3:$H$3002,MATCH($C1801,DESPACHOS!$B$3:$B$3002,0)),""))</f>
        <v/>
      </c>
      <c r="J1801" s="43">
        <f>IF($C1801="","",IFERROR(INDEX(DESPACHOS!$J$3:$J$3002,MATCH($C1801,DESPACHOS!$B$3:$B$3002,0)),""))</f>
        <v/>
      </c>
      <c r="K1801" s="39">
        <f>IF($C1801="","",IF(COUNTIFS(DESPACHOS!$B$3:$B$3002,$C1801)=0,"NO EXISTE",IF(COUNTIFS(DESPACHOS!$B$3:$B$3002,$C1801)&gt;1,"DUPLICADO","OK")))</f>
        <v/>
      </c>
      <c r="L1801" s="41" t="n"/>
      <c r="M1801" s="41" t="n"/>
      <c r="N1801" s="42">
        <f>IF($M1801="","",IFERROR(INDEX(LISTAS!$F$3:$F$42,MATCH($M1801,LISTAS!$E$3:$E$42,0)),"Por definir"))</f>
        <v/>
      </c>
      <c r="O1801" s="41" t="n"/>
      <c r="P1801" s="39">
        <f>IF($L1801="","",IFERROR(INDEX(LISTAS!$B$3:$B$42,MATCH($L1801,LISTAS!$A$3:$A$42,0)),"Media"))</f>
        <v/>
      </c>
      <c r="Q1801" s="44" t="n"/>
      <c r="R1801" s="45" t="n"/>
      <c r="S1801" s="20">
        <f>IFERROR(IF(OR($R1801="",$C1801=""),"",$R1801/INDEX(DESPACHOS!$M$3:$M$3002,MATCH($C1801,DESPACHOS!$B$3:$B$3002,0))),"")</f>
        <v/>
      </c>
      <c r="T1801" s="41" t="n"/>
      <c r="U1801" s="43">
        <f>IF(OR($B1801="",$L1801=""),"",WORKDAY($B1801,IFERROR(INDEX(LISTAS!$C$3:$C$42,MATCH($L1801,LISTAS!$A$3:$A$42,0)),3)))</f>
        <v/>
      </c>
      <c r="V1801" s="40" t="n"/>
      <c r="W1801" s="19">
        <f>IF($B1801="","",IF($V1801&lt;&gt;"",$V1801-$B1801,TODAY()-$B1801))</f>
        <v/>
      </c>
      <c r="X1801" s="19">
        <f>IF(OR($B1801="",$U1801=""),"",IF($V1801&lt;&gt;"",MAX(0,$V1801-$U1801),MAX(0,TODAY()-$U1801)))</f>
        <v/>
      </c>
      <c r="Y1801" s="39">
        <f>IF($C1801="","",IF(IFERROR(INDEX(LISTAS!$I$3:$I$42,MATCH($T1801,LISTAS!$H$3:$H$42,0)),"NO")="SÍ",IF(N($X1801)&gt;0,"CERRADA FUERA DE SLA","CERRADA EN SLA"),IF($U1801="","SIN CLASIFICAR",IF(N($X1801)&gt;0,"VENCIDA",IF(TODAY()&gt;=$U1801-1,"POR VENCER","EN PLAZO")))))</f>
        <v/>
      </c>
      <c r="Z1801" s="41" t="n"/>
      <c r="AA1801" s="41" t="n"/>
      <c r="AB1801" s="41" t="n"/>
    </row>
    <row r="1802">
      <c r="A1802" s="39">
        <f>IF($C1802="","","NOV-"&amp;TEXT(ROW()-3,"0000"))</f>
        <v/>
      </c>
      <c r="B1802" s="40" t="n"/>
      <c r="C1802" s="41" t="n"/>
      <c r="D1802" s="42">
        <f>IF($C1802="","",IFERROR(INDEX(DESPACHOS!$D$3:$D$3002,MATCH($C1802,DESPACHOS!$B$3:$B$3002,0)),"SIN DESPACHO"))</f>
        <v/>
      </c>
      <c r="E1802" s="42">
        <f>IF($C1802="","",IFERROR(INDEX(DESPACHOS!$K$3:$K$3002,MATCH($C1802,DESPACHOS!$B$3:$B$3002,0)),""))</f>
        <v/>
      </c>
      <c r="F1802" s="42">
        <f>IF($C1802="","",IFERROR(INDEX(DESPACHOS!$I$3:$I$3002,MATCH($C1802,DESPACHOS!$B$3:$B$3002,0)),""))</f>
        <v/>
      </c>
      <c r="G1802" s="42">
        <f>IF($C1802="","",IFERROR(INDEX(DESPACHOS!$F$3:$F$3002,MATCH($C1802,DESPACHOS!$B$3:$B$3002,0)),""))</f>
        <v/>
      </c>
      <c r="H1802" s="42">
        <f>IF($C1802="","",IFERROR(INDEX(DESPACHOS!$G$3:$G$3002,MATCH($C1802,DESPACHOS!$B$3:$B$3002,0)),""))</f>
        <v/>
      </c>
      <c r="I1802" s="39">
        <f>IF($C1802="","",IFERROR(INDEX(DESPACHOS!$H$3:$H$3002,MATCH($C1802,DESPACHOS!$B$3:$B$3002,0)),""))</f>
        <v/>
      </c>
      <c r="J1802" s="43">
        <f>IF($C1802="","",IFERROR(INDEX(DESPACHOS!$J$3:$J$3002,MATCH($C1802,DESPACHOS!$B$3:$B$3002,0)),""))</f>
        <v/>
      </c>
      <c r="K1802" s="39">
        <f>IF($C1802="","",IF(COUNTIFS(DESPACHOS!$B$3:$B$3002,$C1802)=0,"NO EXISTE",IF(COUNTIFS(DESPACHOS!$B$3:$B$3002,$C1802)&gt;1,"DUPLICADO","OK")))</f>
        <v/>
      </c>
      <c r="L1802" s="41" t="n"/>
      <c r="M1802" s="41" t="n"/>
      <c r="N1802" s="42">
        <f>IF($M1802="","",IFERROR(INDEX(LISTAS!$F$3:$F$42,MATCH($M1802,LISTAS!$E$3:$E$42,0)),"Por definir"))</f>
        <v/>
      </c>
      <c r="O1802" s="41" t="n"/>
      <c r="P1802" s="39">
        <f>IF($L1802="","",IFERROR(INDEX(LISTAS!$B$3:$B$42,MATCH($L1802,LISTAS!$A$3:$A$42,0)),"Media"))</f>
        <v/>
      </c>
      <c r="Q1802" s="44" t="n"/>
      <c r="R1802" s="45" t="n"/>
      <c r="S1802" s="20">
        <f>IFERROR(IF(OR($R1802="",$C1802=""),"",$R1802/INDEX(DESPACHOS!$M$3:$M$3002,MATCH($C1802,DESPACHOS!$B$3:$B$3002,0))),"")</f>
        <v/>
      </c>
      <c r="T1802" s="41" t="n"/>
      <c r="U1802" s="43">
        <f>IF(OR($B1802="",$L1802=""),"",WORKDAY($B1802,IFERROR(INDEX(LISTAS!$C$3:$C$42,MATCH($L1802,LISTAS!$A$3:$A$42,0)),3)))</f>
        <v/>
      </c>
      <c r="V1802" s="40" t="n"/>
      <c r="W1802" s="19">
        <f>IF($B1802="","",IF($V1802&lt;&gt;"",$V1802-$B1802,TODAY()-$B1802))</f>
        <v/>
      </c>
      <c r="X1802" s="19">
        <f>IF(OR($B1802="",$U1802=""),"",IF($V1802&lt;&gt;"",MAX(0,$V1802-$U1802),MAX(0,TODAY()-$U1802)))</f>
        <v/>
      </c>
      <c r="Y1802" s="39">
        <f>IF($C1802="","",IF(IFERROR(INDEX(LISTAS!$I$3:$I$42,MATCH($T1802,LISTAS!$H$3:$H$42,0)),"NO")="SÍ",IF(N($X1802)&gt;0,"CERRADA FUERA DE SLA","CERRADA EN SLA"),IF($U1802="","SIN CLASIFICAR",IF(N($X1802)&gt;0,"VENCIDA",IF(TODAY()&gt;=$U1802-1,"POR VENCER","EN PLAZO")))))</f>
        <v/>
      </c>
      <c r="Z1802" s="41" t="n"/>
      <c r="AA1802" s="41" t="n"/>
      <c r="AB1802" s="41" t="n"/>
    </row>
    <row r="1803">
      <c r="A1803" s="39">
        <f>IF($C1803="","","NOV-"&amp;TEXT(ROW()-3,"0000"))</f>
        <v/>
      </c>
      <c r="B1803" s="40" t="n"/>
      <c r="C1803" s="41" t="n"/>
      <c r="D1803" s="42">
        <f>IF($C1803="","",IFERROR(INDEX(DESPACHOS!$D$3:$D$3002,MATCH($C1803,DESPACHOS!$B$3:$B$3002,0)),"SIN DESPACHO"))</f>
        <v/>
      </c>
      <c r="E1803" s="42">
        <f>IF($C1803="","",IFERROR(INDEX(DESPACHOS!$K$3:$K$3002,MATCH($C1803,DESPACHOS!$B$3:$B$3002,0)),""))</f>
        <v/>
      </c>
      <c r="F1803" s="42">
        <f>IF($C1803="","",IFERROR(INDEX(DESPACHOS!$I$3:$I$3002,MATCH($C1803,DESPACHOS!$B$3:$B$3002,0)),""))</f>
        <v/>
      </c>
      <c r="G1803" s="42">
        <f>IF($C1803="","",IFERROR(INDEX(DESPACHOS!$F$3:$F$3002,MATCH($C1803,DESPACHOS!$B$3:$B$3002,0)),""))</f>
        <v/>
      </c>
      <c r="H1803" s="42">
        <f>IF($C1803="","",IFERROR(INDEX(DESPACHOS!$G$3:$G$3002,MATCH($C1803,DESPACHOS!$B$3:$B$3002,0)),""))</f>
        <v/>
      </c>
      <c r="I1803" s="39">
        <f>IF($C1803="","",IFERROR(INDEX(DESPACHOS!$H$3:$H$3002,MATCH($C1803,DESPACHOS!$B$3:$B$3002,0)),""))</f>
        <v/>
      </c>
      <c r="J1803" s="43">
        <f>IF($C1803="","",IFERROR(INDEX(DESPACHOS!$J$3:$J$3002,MATCH($C1803,DESPACHOS!$B$3:$B$3002,0)),""))</f>
        <v/>
      </c>
      <c r="K1803" s="39">
        <f>IF($C1803="","",IF(COUNTIFS(DESPACHOS!$B$3:$B$3002,$C1803)=0,"NO EXISTE",IF(COUNTIFS(DESPACHOS!$B$3:$B$3002,$C1803)&gt;1,"DUPLICADO","OK")))</f>
        <v/>
      </c>
      <c r="L1803" s="41" t="n"/>
      <c r="M1803" s="41" t="n"/>
      <c r="N1803" s="42">
        <f>IF($M1803="","",IFERROR(INDEX(LISTAS!$F$3:$F$42,MATCH($M1803,LISTAS!$E$3:$E$42,0)),"Por definir"))</f>
        <v/>
      </c>
      <c r="O1803" s="41" t="n"/>
      <c r="P1803" s="39">
        <f>IF($L1803="","",IFERROR(INDEX(LISTAS!$B$3:$B$42,MATCH($L1803,LISTAS!$A$3:$A$42,0)),"Media"))</f>
        <v/>
      </c>
      <c r="Q1803" s="44" t="n"/>
      <c r="R1803" s="45" t="n"/>
      <c r="S1803" s="20">
        <f>IFERROR(IF(OR($R1803="",$C1803=""),"",$R1803/INDEX(DESPACHOS!$M$3:$M$3002,MATCH($C1803,DESPACHOS!$B$3:$B$3002,0))),"")</f>
        <v/>
      </c>
      <c r="T1803" s="41" t="n"/>
      <c r="U1803" s="43">
        <f>IF(OR($B1803="",$L1803=""),"",WORKDAY($B1803,IFERROR(INDEX(LISTAS!$C$3:$C$42,MATCH($L1803,LISTAS!$A$3:$A$42,0)),3)))</f>
        <v/>
      </c>
      <c r="V1803" s="40" t="n"/>
      <c r="W1803" s="19">
        <f>IF($B1803="","",IF($V1803&lt;&gt;"",$V1803-$B1803,TODAY()-$B1803))</f>
        <v/>
      </c>
      <c r="X1803" s="19">
        <f>IF(OR($B1803="",$U1803=""),"",IF($V1803&lt;&gt;"",MAX(0,$V1803-$U1803),MAX(0,TODAY()-$U1803)))</f>
        <v/>
      </c>
      <c r="Y1803" s="39">
        <f>IF($C1803="","",IF(IFERROR(INDEX(LISTAS!$I$3:$I$42,MATCH($T1803,LISTAS!$H$3:$H$42,0)),"NO")="SÍ",IF(N($X1803)&gt;0,"CERRADA FUERA DE SLA","CERRADA EN SLA"),IF($U1803="","SIN CLASIFICAR",IF(N($X1803)&gt;0,"VENCIDA",IF(TODAY()&gt;=$U1803-1,"POR VENCER","EN PLAZO")))))</f>
        <v/>
      </c>
      <c r="Z1803" s="41" t="n"/>
      <c r="AA1803" s="41" t="n"/>
      <c r="AB1803" s="41" t="n"/>
    </row>
    <row r="1804">
      <c r="A1804" s="39">
        <f>IF($C1804="","","NOV-"&amp;TEXT(ROW()-3,"0000"))</f>
        <v/>
      </c>
      <c r="B1804" s="40" t="n"/>
      <c r="C1804" s="41" t="n"/>
      <c r="D1804" s="42">
        <f>IF($C1804="","",IFERROR(INDEX(DESPACHOS!$D$3:$D$3002,MATCH($C1804,DESPACHOS!$B$3:$B$3002,0)),"SIN DESPACHO"))</f>
        <v/>
      </c>
      <c r="E1804" s="42">
        <f>IF($C1804="","",IFERROR(INDEX(DESPACHOS!$K$3:$K$3002,MATCH($C1804,DESPACHOS!$B$3:$B$3002,0)),""))</f>
        <v/>
      </c>
      <c r="F1804" s="42">
        <f>IF($C1804="","",IFERROR(INDEX(DESPACHOS!$I$3:$I$3002,MATCH($C1804,DESPACHOS!$B$3:$B$3002,0)),""))</f>
        <v/>
      </c>
      <c r="G1804" s="42">
        <f>IF($C1804="","",IFERROR(INDEX(DESPACHOS!$F$3:$F$3002,MATCH($C1804,DESPACHOS!$B$3:$B$3002,0)),""))</f>
        <v/>
      </c>
      <c r="H1804" s="42">
        <f>IF($C1804="","",IFERROR(INDEX(DESPACHOS!$G$3:$G$3002,MATCH($C1804,DESPACHOS!$B$3:$B$3002,0)),""))</f>
        <v/>
      </c>
      <c r="I1804" s="39">
        <f>IF($C1804="","",IFERROR(INDEX(DESPACHOS!$H$3:$H$3002,MATCH($C1804,DESPACHOS!$B$3:$B$3002,0)),""))</f>
        <v/>
      </c>
      <c r="J1804" s="43">
        <f>IF($C1804="","",IFERROR(INDEX(DESPACHOS!$J$3:$J$3002,MATCH($C1804,DESPACHOS!$B$3:$B$3002,0)),""))</f>
        <v/>
      </c>
      <c r="K1804" s="39">
        <f>IF($C1804="","",IF(COUNTIFS(DESPACHOS!$B$3:$B$3002,$C1804)=0,"NO EXISTE",IF(COUNTIFS(DESPACHOS!$B$3:$B$3002,$C1804)&gt;1,"DUPLICADO","OK")))</f>
        <v/>
      </c>
      <c r="L1804" s="41" t="n"/>
      <c r="M1804" s="41" t="n"/>
      <c r="N1804" s="42">
        <f>IF($M1804="","",IFERROR(INDEX(LISTAS!$F$3:$F$42,MATCH($M1804,LISTAS!$E$3:$E$42,0)),"Por definir"))</f>
        <v/>
      </c>
      <c r="O1804" s="41" t="n"/>
      <c r="P1804" s="39">
        <f>IF($L1804="","",IFERROR(INDEX(LISTAS!$B$3:$B$42,MATCH($L1804,LISTAS!$A$3:$A$42,0)),"Media"))</f>
        <v/>
      </c>
      <c r="Q1804" s="44" t="n"/>
      <c r="R1804" s="45" t="n"/>
      <c r="S1804" s="20">
        <f>IFERROR(IF(OR($R1804="",$C1804=""),"",$R1804/INDEX(DESPACHOS!$M$3:$M$3002,MATCH($C1804,DESPACHOS!$B$3:$B$3002,0))),"")</f>
        <v/>
      </c>
      <c r="T1804" s="41" t="n"/>
      <c r="U1804" s="43">
        <f>IF(OR($B1804="",$L1804=""),"",WORKDAY($B1804,IFERROR(INDEX(LISTAS!$C$3:$C$42,MATCH($L1804,LISTAS!$A$3:$A$42,0)),3)))</f>
        <v/>
      </c>
      <c r="V1804" s="40" t="n"/>
      <c r="W1804" s="19">
        <f>IF($B1804="","",IF($V1804&lt;&gt;"",$V1804-$B1804,TODAY()-$B1804))</f>
        <v/>
      </c>
      <c r="X1804" s="19">
        <f>IF(OR($B1804="",$U1804=""),"",IF($V1804&lt;&gt;"",MAX(0,$V1804-$U1804),MAX(0,TODAY()-$U1804)))</f>
        <v/>
      </c>
      <c r="Y1804" s="39">
        <f>IF($C1804="","",IF(IFERROR(INDEX(LISTAS!$I$3:$I$42,MATCH($T1804,LISTAS!$H$3:$H$42,0)),"NO")="SÍ",IF(N($X1804)&gt;0,"CERRADA FUERA DE SLA","CERRADA EN SLA"),IF($U1804="","SIN CLASIFICAR",IF(N($X1804)&gt;0,"VENCIDA",IF(TODAY()&gt;=$U1804-1,"POR VENCER","EN PLAZO")))))</f>
        <v/>
      </c>
      <c r="Z1804" s="41" t="n"/>
      <c r="AA1804" s="41" t="n"/>
      <c r="AB1804" s="41" t="n"/>
    </row>
    <row r="1805">
      <c r="A1805" s="39">
        <f>IF($C1805="","","NOV-"&amp;TEXT(ROW()-3,"0000"))</f>
        <v/>
      </c>
      <c r="B1805" s="40" t="n"/>
      <c r="C1805" s="41" t="n"/>
      <c r="D1805" s="42">
        <f>IF($C1805="","",IFERROR(INDEX(DESPACHOS!$D$3:$D$3002,MATCH($C1805,DESPACHOS!$B$3:$B$3002,0)),"SIN DESPACHO"))</f>
        <v/>
      </c>
      <c r="E1805" s="42">
        <f>IF($C1805="","",IFERROR(INDEX(DESPACHOS!$K$3:$K$3002,MATCH($C1805,DESPACHOS!$B$3:$B$3002,0)),""))</f>
        <v/>
      </c>
      <c r="F1805" s="42">
        <f>IF($C1805="","",IFERROR(INDEX(DESPACHOS!$I$3:$I$3002,MATCH($C1805,DESPACHOS!$B$3:$B$3002,0)),""))</f>
        <v/>
      </c>
      <c r="G1805" s="42">
        <f>IF($C1805="","",IFERROR(INDEX(DESPACHOS!$F$3:$F$3002,MATCH($C1805,DESPACHOS!$B$3:$B$3002,0)),""))</f>
        <v/>
      </c>
      <c r="H1805" s="42">
        <f>IF($C1805="","",IFERROR(INDEX(DESPACHOS!$G$3:$G$3002,MATCH($C1805,DESPACHOS!$B$3:$B$3002,0)),""))</f>
        <v/>
      </c>
      <c r="I1805" s="39">
        <f>IF($C1805="","",IFERROR(INDEX(DESPACHOS!$H$3:$H$3002,MATCH($C1805,DESPACHOS!$B$3:$B$3002,0)),""))</f>
        <v/>
      </c>
      <c r="J1805" s="43">
        <f>IF($C1805="","",IFERROR(INDEX(DESPACHOS!$J$3:$J$3002,MATCH($C1805,DESPACHOS!$B$3:$B$3002,0)),""))</f>
        <v/>
      </c>
      <c r="K1805" s="39">
        <f>IF($C1805="","",IF(COUNTIFS(DESPACHOS!$B$3:$B$3002,$C1805)=0,"NO EXISTE",IF(COUNTIFS(DESPACHOS!$B$3:$B$3002,$C1805)&gt;1,"DUPLICADO","OK")))</f>
        <v/>
      </c>
      <c r="L1805" s="41" t="n"/>
      <c r="M1805" s="41" t="n"/>
      <c r="N1805" s="42">
        <f>IF($M1805="","",IFERROR(INDEX(LISTAS!$F$3:$F$42,MATCH($M1805,LISTAS!$E$3:$E$42,0)),"Por definir"))</f>
        <v/>
      </c>
      <c r="O1805" s="41" t="n"/>
      <c r="P1805" s="39">
        <f>IF($L1805="","",IFERROR(INDEX(LISTAS!$B$3:$B$42,MATCH($L1805,LISTAS!$A$3:$A$42,0)),"Media"))</f>
        <v/>
      </c>
      <c r="Q1805" s="44" t="n"/>
      <c r="R1805" s="45" t="n"/>
      <c r="S1805" s="20">
        <f>IFERROR(IF(OR($R1805="",$C1805=""),"",$R1805/INDEX(DESPACHOS!$M$3:$M$3002,MATCH($C1805,DESPACHOS!$B$3:$B$3002,0))),"")</f>
        <v/>
      </c>
      <c r="T1805" s="41" t="n"/>
      <c r="U1805" s="43">
        <f>IF(OR($B1805="",$L1805=""),"",WORKDAY($B1805,IFERROR(INDEX(LISTAS!$C$3:$C$42,MATCH($L1805,LISTAS!$A$3:$A$42,0)),3)))</f>
        <v/>
      </c>
      <c r="V1805" s="40" t="n"/>
      <c r="W1805" s="19">
        <f>IF($B1805="","",IF($V1805&lt;&gt;"",$V1805-$B1805,TODAY()-$B1805))</f>
        <v/>
      </c>
      <c r="X1805" s="19">
        <f>IF(OR($B1805="",$U1805=""),"",IF($V1805&lt;&gt;"",MAX(0,$V1805-$U1805),MAX(0,TODAY()-$U1805)))</f>
        <v/>
      </c>
      <c r="Y1805" s="39">
        <f>IF($C1805="","",IF(IFERROR(INDEX(LISTAS!$I$3:$I$42,MATCH($T1805,LISTAS!$H$3:$H$42,0)),"NO")="SÍ",IF(N($X1805)&gt;0,"CERRADA FUERA DE SLA","CERRADA EN SLA"),IF($U1805="","SIN CLASIFICAR",IF(N($X1805)&gt;0,"VENCIDA",IF(TODAY()&gt;=$U1805-1,"POR VENCER","EN PLAZO")))))</f>
        <v/>
      </c>
      <c r="Z1805" s="41" t="n"/>
      <c r="AA1805" s="41" t="n"/>
      <c r="AB1805" s="41" t="n"/>
    </row>
    <row r="1806">
      <c r="A1806" s="39">
        <f>IF($C1806="","","NOV-"&amp;TEXT(ROW()-3,"0000"))</f>
        <v/>
      </c>
      <c r="B1806" s="40" t="n"/>
      <c r="C1806" s="41" t="n"/>
      <c r="D1806" s="42">
        <f>IF($C1806="","",IFERROR(INDEX(DESPACHOS!$D$3:$D$3002,MATCH($C1806,DESPACHOS!$B$3:$B$3002,0)),"SIN DESPACHO"))</f>
        <v/>
      </c>
      <c r="E1806" s="42">
        <f>IF($C1806="","",IFERROR(INDEX(DESPACHOS!$K$3:$K$3002,MATCH($C1806,DESPACHOS!$B$3:$B$3002,0)),""))</f>
        <v/>
      </c>
      <c r="F1806" s="42">
        <f>IF($C1806="","",IFERROR(INDEX(DESPACHOS!$I$3:$I$3002,MATCH($C1806,DESPACHOS!$B$3:$B$3002,0)),""))</f>
        <v/>
      </c>
      <c r="G1806" s="42">
        <f>IF($C1806="","",IFERROR(INDEX(DESPACHOS!$F$3:$F$3002,MATCH($C1806,DESPACHOS!$B$3:$B$3002,0)),""))</f>
        <v/>
      </c>
      <c r="H1806" s="42">
        <f>IF($C1806="","",IFERROR(INDEX(DESPACHOS!$G$3:$G$3002,MATCH($C1806,DESPACHOS!$B$3:$B$3002,0)),""))</f>
        <v/>
      </c>
      <c r="I1806" s="39">
        <f>IF($C1806="","",IFERROR(INDEX(DESPACHOS!$H$3:$H$3002,MATCH($C1806,DESPACHOS!$B$3:$B$3002,0)),""))</f>
        <v/>
      </c>
      <c r="J1806" s="43">
        <f>IF($C1806="","",IFERROR(INDEX(DESPACHOS!$J$3:$J$3002,MATCH($C1806,DESPACHOS!$B$3:$B$3002,0)),""))</f>
        <v/>
      </c>
      <c r="K1806" s="39">
        <f>IF($C1806="","",IF(COUNTIFS(DESPACHOS!$B$3:$B$3002,$C1806)=0,"NO EXISTE",IF(COUNTIFS(DESPACHOS!$B$3:$B$3002,$C1806)&gt;1,"DUPLICADO","OK")))</f>
        <v/>
      </c>
      <c r="L1806" s="41" t="n"/>
      <c r="M1806" s="41" t="n"/>
      <c r="N1806" s="42">
        <f>IF($M1806="","",IFERROR(INDEX(LISTAS!$F$3:$F$42,MATCH($M1806,LISTAS!$E$3:$E$42,0)),"Por definir"))</f>
        <v/>
      </c>
      <c r="O1806" s="41" t="n"/>
      <c r="P1806" s="39">
        <f>IF($L1806="","",IFERROR(INDEX(LISTAS!$B$3:$B$42,MATCH($L1806,LISTAS!$A$3:$A$42,0)),"Media"))</f>
        <v/>
      </c>
      <c r="Q1806" s="44" t="n"/>
      <c r="R1806" s="45" t="n"/>
      <c r="S1806" s="20">
        <f>IFERROR(IF(OR($R1806="",$C1806=""),"",$R1806/INDEX(DESPACHOS!$M$3:$M$3002,MATCH($C1806,DESPACHOS!$B$3:$B$3002,0))),"")</f>
        <v/>
      </c>
      <c r="T1806" s="41" t="n"/>
      <c r="U1806" s="43">
        <f>IF(OR($B1806="",$L1806=""),"",WORKDAY($B1806,IFERROR(INDEX(LISTAS!$C$3:$C$42,MATCH($L1806,LISTAS!$A$3:$A$42,0)),3)))</f>
        <v/>
      </c>
      <c r="V1806" s="40" t="n"/>
      <c r="W1806" s="19">
        <f>IF($B1806="","",IF($V1806&lt;&gt;"",$V1806-$B1806,TODAY()-$B1806))</f>
        <v/>
      </c>
      <c r="X1806" s="19">
        <f>IF(OR($B1806="",$U1806=""),"",IF($V1806&lt;&gt;"",MAX(0,$V1806-$U1806),MAX(0,TODAY()-$U1806)))</f>
        <v/>
      </c>
      <c r="Y1806" s="39">
        <f>IF($C1806="","",IF(IFERROR(INDEX(LISTAS!$I$3:$I$42,MATCH($T1806,LISTAS!$H$3:$H$42,0)),"NO")="SÍ",IF(N($X1806)&gt;0,"CERRADA FUERA DE SLA","CERRADA EN SLA"),IF($U1806="","SIN CLASIFICAR",IF(N($X1806)&gt;0,"VENCIDA",IF(TODAY()&gt;=$U1806-1,"POR VENCER","EN PLAZO")))))</f>
        <v/>
      </c>
      <c r="Z1806" s="41" t="n"/>
      <c r="AA1806" s="41" t="n"/>
      <c r="AB1806" s="41" t="n"/>
    </row>
    <row r="1807">
      <c r="A1807" s="39">
        <f>IF($C1807="","","NOV-"&amp;TEXT(ROW()-3,"0000"))</f>
        <v/>
      </c>
      <c r="B1807" s="40" t="n"/>
      <c r="C1807" s="41" t="n"/>
      <c r="D1807" s="42">
        <f>IF($C1807="","",IFERROR(INDEX(DESPACHOS!$D$3:$D$3002,MATCH($C1807,DESPACHOS!$B$3:$B$3002,0)),"SIN DESPACHO"))</f>
        <v/>
      </c>
      <c r="E1807" s="42">
        <f>IF($C1807="","",IFERROR(INDEX(DESPACHOS!$K$3:$K$3002,MATCH($C1807,DESPACHOS!$B$3:$B$3002,0)),""))</f>
        <v/>
      </c>
      <c r="F1807" s="42">
        <f>IF($C1807="","",IFERROR(INDEX(DESPACHOS!$I$3:$I$3002,MATCH($C1807,DESPACHOS!$B$3:$B$3002,0)),""))</f>
        <v/>
      </c>
      <c r="G1807" s="42">
        <f>IF($C1807="","",IFERROR(INDEX(DESPACHOS!$F$3:$F$3002,MATCH($C1807,DESPACHOS!$B$3:$B$3002,0)),""))</f>
        <v/>
      </c>
      <c r="H1807" s="42">
        <f>IF($C1807="","",IFERROR(INDEX(DESPACHOS!$G$3:$G$3002,MATCH($C1807,DESPACHOS!$B$3:$B$3002,0)),""))</f>
        <v/>
      </c>
      <c r="I1807" s="39">
        <f>IF($C1807="","",IFERROR(INDEX(DESPACHOS!$H$3:$H$3002,MATCH($C1807,DESPACHOS!$B$3:$B$3002,0)),""))</f>
        <v/>
      </c>
      <c r="J1807" s="43">
        <f>IF($C1807="","",IFERROR(INDEX(DESPACHOS!$J$3:$J$3002,MATCH($C1807,DESPACHOS!$B$3:$B$3002,0)),""))</f>
        <v/>
      </c>
      <c r="K1807" s="39">
        <f>IF($C1807="","",IF(COUNTIFS(DESPACHOS!$B$3:$B$3002,$C1807)=0,"NO EXISTE",IF(COUNTIFS(DESPACHOS!$B$3:$B$3002,$C1807)&gt;1,"DUPLICADO","OK")))</f>
        <v/>
      </c>
      <c r="L1807" s="41" t="n"/>
      <c r="M1807" s="41" t="n"/>
      <c r="N1807" s="42">
        <f>IF($M1807="","",IFERROR(INDEX(LISTAS!$F$3:$F$42,MATCH($M1807,LISTAS!$E$3:$E$42,0)),"Por definir"))</f>
        <v/>
      </c>
      <c r="O1807" s="41" t="n"/>
      <c r="P1807" s="39">
        <f>IF($L1807="","",IFERROR(INDEX(LISTAS!$B$3:$B$42,MATCH($L1807,LISTAS!$A$3:$A$42,0)),"Media"))</f>
        <v/>
      </c>
      <c r="Q1807" s="44" t="n"/>
      <c r="R1807" s="45" t="n"/>
      <c r="S1807" s="20">
        <f>IFERROR(IF(OR($R1807="",$C1807=""),"",$R1807/INDEX(DESPACHOS!$M$3:$M$3002,MATCH($C1807,DESPACHOS!$B$3:$B$3002,0))),"")</f>
        <v/>
      </c>
      <c r="T1807" s="41" t="n"/>
      <c r="U1807" s="43">
        <f>IF(OR($B1807="",$L1807=""),"",WORKDAY($B1807,IFERROR(INDEX(LISTAS!$C$3:$C$42,MATCH($L1807,LISTAS!$A$3:$A$42,0)),3)))</f>
        <v/>
      </c>
      <c r="V1807" s="40" t="n"/>
      <c r="W1807" s="19">
        <f>IF($B1807="","",IF($V1807&lt;&gt;"",$V1807-$B1807,TODAY()-$B1807))</f>
        <v/>
      </c>
      <c r="X1807" s="19">
        <f>IF(OR($B1807="",$U1807=""),"",IF($V1807&lt;&gt;"",MAX(0,$V1807-$U1807),MAX(0,TODAY()-$U1807)))</f>
        <v/>
      </c>
      <c r="Y1807" s="39">
        <f>IF($C1807="","",IF(IFERROR(INDEX(LISTAS!$I$3:$I$42,MATCH($T1807,LISTAS!$H$3:$H$42,0)),"NO")="SÍ",IF(N($X1807)&gt;0,"CERRADA FUERA DE SLA","CERRADA EN SLA"),IF($U1807="","SIN CLASIFICAR",IF(N($X1807)&gt;0,"VENCIDA",IF(TODAY()&gt;=$U1807-1,"POR VENCER","EN PLAZO")))))</f>
        <v/>
      </c>
      <c r="Z1807" s="41" t="n"/>
      <c r="AA1807" s="41" t="n"/>
      <c r="AB1807" s="41" t="n"/>
    </row>
    <row r="1808">
      <c r="A1808" s="39">
        <f>IF($C1808="","","NOV-"&amp;TEXT(ROW()-3,"0000"))</f>
        <v/>
      </c>
      <c r="B1808" s="40" t="n"/>
      <c r="C1808" s="41" t="n"/>
      <c r="D1808" s="42">
        <f>IF($C1808="","",IFERROR(INDEX(DESPACHOS!$D$3:$D$3002,MATCH($C1808,DESPACHOS!$B$3:$B$3002,0)),"SIN DESPACHO"))</f>
        <v/>
      </c>
      <c r="E1808" s="42">
        <f>IF($C1808="","",IFERROR(INDEX(DESPACHOS!$K$3:$K$3002,MATCH($C1808,DESPACHOS!$B$3:$B$3002,0)),""))</f>
        <v/>
      </c>
      <c r="F1808" s="42">
        <f>IF($C1808="","",IFERROR(INDEX(DESPACHOS!$I$3:$I$3002,MATCH($C1808,DESPACHOS!$B$3:$B$3002,0)),""))</f>
        <v/>
      </c>
      <c r="G1808" s="42">
        <f>IF($C1808="","",IFERROR(INDEX(DESPACHOS!$F$3:$F$3002,MATCH($C1808,DESPACHOS!$B$3:$B$3002,0)),""))</f>
        <v/>
      </c>
      <c r="H1808" s="42">
        <f>IF($C1808="","",IFERROR(INDEX(DESPACHOS!$G$3:$G$3002,MATCH($C1808,DESPACHOS!$B$3:$B$3002,0)),""))</f>
        <v/>
      </c>
      <c r="I1808" s="39">
        <f>IF($C1808="","",IFERROR(INDEX(DESPACHOS!$H$3:$H$3002,MATCH($C1808,DESPACHOS!$B$3:$B$3002,0)),""))</f>
        <v/>
      </c>
      <c r="J1808" s="43">
        <f>IF($C1808="","",IFERROR(INDEX(DESPACHOS!$J$3:$J$3002,MATCH($C1808,DESPACHOS!$B$3:$B$3002,0)),""))</f>
        <v/>
      </c>
      <c r="K1808" s="39">
        <f>IF($C1808="","",IF(COUNTIFS(DESPACHOS!$B$3:$B$3002,$C1808)=0,"NO EXISTE",IF(COUNTIFS(DESPACHOS!$B$3:$B$3002,$C1808)&gt;1,"DUPLICADO","OK")))</f>
        <v/>
      </c>
      <c r="L1808" s="41" t="n"/>
      <c r="M1808" s="41" t="n"/>
      <c r="N1808" s="42">
        <f>IF($M1808="","",IFERROR(INDEX(LISTAS!$F$3:$F$42,MATCH($M1808,LISTAS!$E$3:$E$42,0)),"Por definir"))</f>
        <v/>
      </c>
      <c r="O1808" s="41" t="n"/>
      <c r="P1808" s="39">
        <f>IF($L1808="","",IFERROR(INDEX(LISTAS!$B$3:$B$42,MATCH($L1808,LISTAS!$A$3:$A$42,0)),"Media"))</f>
        <v/>
      </c>
      <c r="Q1808" s="44" t="n"/>
      <c r="R1808" s="45" t="n"/>
      <c r="S1808" s="20">
        <f>IFERROR(IF(OR($R1808="",$C1808=""),"",$R1808/INDEX(DESPACHOS!$M$3:$M$3002,MATCH($C1808,DESPACHOS!$B$3:$B$3002,0))),"")</f>
        <v/>
      </c>
      <c r="T1808" s="41" t="n"/>
      <c r="U1808" s="43">
        <f>IF(OR($B1808="",$L1808=""),"",WORKDAY($B1808,IFERROR(INDEX(LISTAS!$C$3:$C$42,MATCH($L1808,LISTAS!$A$3:$A$42,0)),3)))</f>
        <v/>
      </c>
      <c r="V1808" s="40" t="n"/>
      <c r="W1808" s="19">
        <f>IF($B1808="","",IF($V1808&lt;&gt;"",$V1808-$B1808,TODAY()-$B1808))</f>
        <v/>
      </c>
      <c r="X1808" s="19">
        <f>IF(OR($B1808="",$U1808=""),"",IF($V1808&lt;&gt;"",MAX(0,$V1808-$U1808),MAX(0,TODAY()-$U1808)))</f>
        <v/>
      </c>
      <c r="Y1808" s="39">
        <f>IF($C1808="","",IF(IFERROR(INDEX(LISTAS!$I$3:$I$42,MATCH($T1808,LISTAS!$H$3:$H$42,0)),"NO")="SÍ",IF(N($X1808)&gt;0,"CERRADA FUERA DE SLA","CERRADA EN SLA"),IF($U1808="","SIN CLASIFICAR",IF(N($X1808)&gt;0,"VENCIDA",IF(TODAY()&gt;=$U1808-1,"POR VENCER","EN PLAZO")))))</f>
        <v/>
      </c>
      <c r="Z1808" s="41" t="n"/>
      <c r="AA1808" s="41" t="n"/>
      <c r="AB1808" s="41" t="n"/>
    </row>
    <row r="1809">
      <c r="A1809" s="39">
        <f>IF($C1809="","","NOV-"&amp;TEXT(ROW()-3,"0000"))</f>
        <v/>
      </c>
      <c r="B1809" s="40" t="n"/>
      <c r="C1809" s="41" t="n"/>
      <c r="D1809" s="42">
        <f>IF($C1809="","",IFERROR(INDEX(DESPACHOS!$D$3:$D$3002,MATCH($C1809,DESPACHOS!$B$3:$B$3002,0)),"SIN DESPACHO"))</f>
        <v/>
      </c>
      <c r="E1809" s="42">
        <f>IF($C1809="","",IFERROR(INDEX(DESPACHOS!$K$3:$K$3002,MATCH($C1809,DESPACHOS!$B$3:$B$3002,0)),""))</f>
        <v/>
      </c>
      <c r="F1809" s="42">
        <f>IF($C1809="","",IFERROR(INDEX(DESPACHOS!$I$3:$I$3002,MATCH($C1809,DESPACHOS!$B$3:$B$3002,0)),""))</f>
        <v/>
      </c>
      <c r="G1809" s="42">
        <f>IF($C1809="","",IFERROR(INDEX(DESPACHOS!$F$3:$F$3002,MATCH($C1809,DESPACHOS!$B$3:$B$3002,0)),""))</f>
        <v/>
      </c>
      <c r="H1809" s="42">
        <f>IF($C1809="","",IFERROR(INDEX(DESPACHOS!$G$3:$G$3002,MATCH($C1809,DESPACHOS!$B$3:$B$3002,0)),""))</f>
        <v/>
      </c>
      <c r="I1809" s="39">
        <f>IF($C1809="","",IFERROR(INDEX(DESPACHOS!$H$3:$H$3002,MATCH($C1809,DESPACHOS!$B$3:$B$3002,0)),""))</f>
        <v/>
      </c>
      <c r="J1809" s="43">
        <f>IF($C1809="","",IFERROR(INDEX(DESPACHOS!$J$3:$J$3002,MATCH($C1809,DESPACHOS!$B$3:$B$3002,0)),""))</f>
        <v/>
      </c>
      <c r="K1809" s="39">
        <f>IF($C1809="","",IF(COUNTIFS(DESPACHOS!$B$3:$B$3002,$C1809)=0,"NO EXISTE",IF(COUNTIFS(DESPACHOS!$B$3:$B$3002,$C1809)&gt;1,"DUPLICADO","OK")))</f>
        <v/>
      </c>
      <c r="L1809" s="41" t="n"/>
      <c r="M1809" s="41" t="n"/>
      <c r="N1809" s="42">
        <f>IF($M1809="","",IFERROR(INDEX(LISTAS!$F$3:$F$42,MATCH($M1809,LISTAS!$E$3:$E$42,0)),"Por definir"))</f>
        <v/>
      </c>
      <c r="O1809" s="41" t="n"/>
      <c r="P1809" s="39">
        <f>IF($L1809="","",IFERROR(INDEX(LISTAS!$B$3:$B$42,MATCH($L1809,LISTAS!$A$3:$A$42,0)),"Media"))</f>
        <v/>
      </c>
      <c r="Q1809" s="44" t="n"/>
      <c r="R1809" s="45" t="n"/>
      <c r="S1809" s="20">
        <f>IFERROR(IF(OR($R1809="",$C1809=""),"",$R1809/INDEX(DESPACHOS!$M$3:$M$3002,MATCH($C1809,DESPACHOS!$B$3:$B$3002,0))),"")</f>
        <v/>
      </c>
      <c r="T1809" s="41" t="n"/>
      <c r="U1809" s="43">
        <f>IF(OR($B1809="",$L1809=""),"",WORKDAY($B1809,IFERROR(INDEX(LISTAS!$C$3:$C$42,MATCH($L1809,LISTAS!$A$3:$A$42,0)),3)))</f>
        <v/>
      </c>
      <c r="V1809" s="40" t="n"/>
      <c r="W1809" s="19">
        <f>IF($B1809="","",IF($V1809&lt;&gt;"",$V1809-$B1809,TODAY()-$B1809))</f>
        <v/>
      </c>
      <c r="X1809" s="19">
        <f>IF(OR($B1809="",$U1809=""),"",IF($V1809&lt;&gt;"",MAX(0,$V1809-$U1809),MAX(0,TODAY()-$U1809)))</f>
        <v/>
      </c>
      <c r="Y1809" s="39">
        <f>IF($C1809="","",IF(IFERROR(INDEX(LISTAS!$I$3:$I$42,MATCH($T1809,LISTAS!$H$3:$H$42,0)),"NO")="SÍ",IF(N($X1809)&gt;0,"CERRADA FUERA DE SLA","CERRADA EN SLA"),IF($U1809="","SIN CLASIFICAR",IF(N($X1809)&gt;0,"VENCIDA",IF(TODAY()&gt;=$U1809-1,"POR VENCER","EN PLAZO")))))</f>
        <v/>
      </c>
      <c r="Z1809" s="41" t="n"/>
      <c r="AA1809" s="41" t="n"/>
      <c r="AB1809" s="41" t="n"/>
    </row>
    <row r="1810">
      <c r="A1810" s="39">
        <f>IF($C1810="","","NOV-"&amp;TEXT(ROW()-3,"0000"))</f>
        <v/>
      </c>
      <c r="B1810" s="40" t="n"/>
      <c r="C1810" s="41" t="n"/>
      <c r="D1810" s="42">
        <f>IF($C1810="","",IFERROR(INDEX(DESPACHOS!$D$3:$D$3002,MATCH($C1810,DESPACHOS!$B$3:$B$3002,0)),"SIN DESPACHO"))</f>
        <v/>
      </c>
      <c r="E1810" s="42">
        <f>IF($C1810="","",IFERROR(INDEX(DESPACHOS!$K$3:$K$3002,MATCH($C1810,DESPACHOS!$B$3:$B$3002,0)),""))</f>
        <v/>
      </c>
      <c r="F1810" s="42">
        <f>IF($C1810="","",IFERROR(INDEX(DESPACHOS!$I$3:$I$3002,MATCH($C1810,DESPACHOS!$B$3:$B$3002,0)),""))</f>
        <v/>
      </c>
      <c r="G1810" s="42">
        <f>IF($C1810="","",IFERROR(INDEX(DESPACHOS!$F$3:$F$3002,MATCH($C1810,DESPACHOS!$B$3:$B$3002,0)),""))</f>
        <v/>
      </c>
      <c r="H1810" s="42">
        <f>IF($C1810="","",IFERROR(INDEX(DESPACHOS!$G$3:$G$3002,MATCH($C1810,DESPACHOS!$B$3:$B$3002,0)),""))</f>
        <v/>
      </c>
      <c r="I1810" s="39">
        <f>IF($C1810="","",IFERROR(INDEX(DESPACHOS!$H$3:$H$3002,MATCH($C1810,DESPACHOS!$B$3:$B$3002,0)),""))</f>
        <v/>
      </c>
      <c r="J1810" s="43">
        <f>IF($C1810="","",IFERROR(INDEX(DESPACHOS!$J$3:$J$3002,MATCH($C1810,DESPACHOS!$B$3:$B$3002,0)),""))</f>
        <v/>
      </c>
      <c r="K1810" s="39">
        <f>IF($C1810="","",IF(COUNTIFS(DESPACHOS!$B$3:$B$3002,$C1810)=0,"NO EXISTE",IF(COUNTIFS(DESPACHOS!$B$3:$B$3002,$C1810)&gt;1,"DUPLICADO","OK")))</f>
        <v/>
      </c>
      <c r="L1810" s="41" t="n"/>
      <c r="M1810" s="41" t="n"/>
      <c r="N1810" s="42">
        <f>IF($M1810="","",IFERROR(INDEX(LISTAS!$F$3:$F$42,MATCH($M1810,LISTAS!$E$3:$E$42,0)),"Por definir"))</f>
        <v/>
      </c>
      <c r="O1810" s="41" t="n"/>
      <c r="P1810" s="39">
        <f>IF($L1810="","",IFERROR(INDEX(LISTAS!$B$3:$B$42,MATCH($L1810,LISTAS!$A$3:$A$42,0)),"Media"))</f>
        <v/>
      </c>
      <c r="Q1810" s="44" t="n"/>
      <c r="R1810" s="45" t="n"/>
      <c r="S1810" s="20">
        <f>IFERROR(IF(OR($R1810="",$C1810=""),"",$R1810/INDEX(DESPACHOS!$M$3:$M$3002,MATCH($C1810,DESPACHOS!$B$3:$B$3002,0))),"")</f>
        <v/>
      </c>
      <c r="T1810" s="41" t="n"/>
      <c r="U1810" s="43">
        <f>IF(OR($B1810="",$L1810=""),"",WORKDAY($B1810,IFERROR(INDEX(LISTAS!$C$3:$C$42,MATCH($L1810,LISTAS!$A$3:$A$42,0)),3)))</f>
        <v/>
      </c>
      <c r="V1810" s="40" t="n"/>
      <c r="W1810" s="19">
        <f>IF($B1810="","",IF($V1810&lt;&gt;"",$V1810-$B1810,TODAY()-$B1810))</f>
        <v/>
      </c>
      <c r="X1810" s="19">
        <f>IF(OR($B1810="",$U1810=""),"",IF($V1810&lt;&gt;"",MAX(0,$V1810-$U1810),MAX(0,TODAY()-$U1810)))</f>
        <v/>
      </c>
      <c r="Y1810" s="39">
        <f>IF($C1810="","",IF(IFERROR(INDEX(LISTAS!$I$3:$I$42,MATCH($T1810,LISTAS!$H$3:$H$42,0)),"NO")="SÍ",IF(N($X1810)&gt;0,"CERRADA FUERA DE SLA","CERRADA EN SLA"),IF($U1810="","SIN CLASIFICAR",IF(N($X1810)&gt;0,"VENCIDA",IF(TODAY()&gt;=$U1810-1,"POR VENCER","EN PLAZO")))))</f>
        <v/>
      </c>
      <c r="Z1810" s="41" t="n"/>
      <c r="AA1810" s="41" t="n"/>
      <c r="AB1810" s="41" t="n"/>
    </row>
    <row r="1811">
      <c r="A1811" s="39">
        <f>IF($C1811="","","NOV-"&amp;TEXT(ROW()-3,"0000"))</f>
        <v/>
      </c>
      <c r="B1811" s="40" t="n"/>
      <c r="C1811" s="41" t="n"/>
      <c r="D1811" s="42">
        <f>IF($C1811="","",IFERROR(INDEX(DESPACHOS!$D$3:$D$3002,MATCH($C1811,DESPACHOS!$B$3:$B$3002,0)),"SIN DESPACHO"))</f>
        <v/>
      </c>
      <c r="E1811" s="42">
        <f>IF($C1811="","",IFERROR(INDEX(DESPACHOS!$K$3:$K$3002,MATCH($C1811,DESPACHOS!$B$3:$B$3002,0)),""))</f>
        <v/>
      </c>
      <c r="F1811" s="42">
        <f>IF($C1811="","",IFERROR(INDEX(DESPACHOS!$I$3:$I$3002,MATCH($C1811,DESPACHOS!$B$3:$B$3002,0)),""))</f>
        <v/>
      </c>
      <c r="G1811" s="42">
        <f>IF($C1811="","",IFERROR(INDEX(DESPACHOS!$F$3:$F$3002,MATCH($C1811,DESPACHOS!$B$3:$B$3002,0)),""))</f>
        <v/>
      </c>
      <c r="H1811" s="42">
        <f>IF($C1811="","",IFERROR(INDEX(DESPACHOS!$G$3:$G$3002,MATCH($C1811,DESPACHOS!$B$3:$B$3002,0)),""))</f>
        <v/>
      </c>
      <c r="I1811" s="39">
        <f>IF($C1811="","",IFERROR(INDEX(DESPACHOS!$H$3:$H$3002,MATCH($C1811,DESPACHOS!$B$3:$B$3002,0)),""))</f>
        <v/>
      </c>
      <c r="J1811" s="43">
        <f>IF($C1811="","",IFERROR(INDEX(DESPACHOS!$J$3:$J$3002,MATCH($C1811,DESPACHOS!$B$3:$B$3002,0)),""))</f>
        <v/>
      </c>
      <c r="K1811" s="39">
        <f>IF($C1811="","",IF(COUNTIFS(DESPACHOS!$B$3:$B$3002,$C1811)=0,"NO EXISTE",IF(COUNTIFS(DESPACHOS!$B$3:$B$3002,$C1811)&gt;1,"DUPLICADO","OK")))</f>
        <v/>
      </c>
      <c r="L1811" s="41" t="n"/>
      <c r="M1811" s="41" t="n"/>
      <c r="N1811" s="42">
        <f>IF($M1811="","",IFERROR(INDEX(LISTAS!$F$3:$F$42,MATCH($M1811,LISTAS!$E$3:$E$42,0)),"Por definir"))</f>
        <v/>
      </c>
      <c r="O1811" s="41" t="n"/>
      <c r="P1811" s="39">
        <f>IF($L1811="","",IFERROR(INDEX(LISTAS!$B$3:$B$42,MATCH($L1811,LISTAS!$A$3:$A$42,0)),"Media"))</f>
        <v/>
      </c>
      <c r="Q1811" s="44" t="n"/>
      <c r="R1811" s="45" t="n"/>
      <c r="S1811" s="20">
        <f>IFERROR(IF(OR($R1811="",$C1811=""),"",$R1811/INDEX(DESPACHOS!$M$3:$M$3002,MATCH($C1811,DESPACHOS!$B$3:$B$3002,0))),"")</f>
        <v/>
      </c>
      <c r="T1811" s="41" t="n"/>
      <c r="U1811" s="43">
        <f>IF(OR($B1811="",$L1811=""),"",WORKDAY($B1811,IFERROR(INDEX(LISTAS!$C$3:$C$42,MATCH($L1811,LISTAS!$A$3:$A$42,0)),3)))</f>
        <v/>
      </c>
      <c r="V1811" s="40" t="n"/>
      <c r="W1811" s="19">
        <f>IF($B1811="","",IF($V1811&lt;&gt;"",$V1811-$B1811,TODAY()-$B1811))</f>
        <v/>
      </c>
      <c r="X1811" s="19">
        <f>IF(OR($B1811="",$U1811=""),"",IF($V1811&lt;&gt;"",MAX(0,$V1811-$U1811),MAX(0,TODAY()-$U1811)))</f>
        <v/>
      </c>
      <c r="Y1811" s="39">
        <f>IF($C1811="","",IF(IFERROR(INDEX(LISTAS!$I$3:$I$42,MATCH($T1811,LISTAS!$H$3:$H$42,0)),"NO")="SÍ",IF(N($X1811)&gt;0,"CERRADA FUERA DE SLA","CERRADA EN SLA"),IF($U1811="","SIN CLASIFICAR",IF(N($X1811)&gt;0,"VENCIDA",IF(TODAY()&gt;=$U1811-1,"POR VENCER","EN PLAZO")))))</f>
        <v/>
      </c>
      <c r="Z1811" s="41" t="n"/>
      <c r="AA1811" s="41" t="n"/>
      <c r="AB1811" s="41" t="n"/>
    </row>
    <row r="1812">
      <c r="A1812" s="39">
        <f>IF($C1812="","","NOV-"&amp;TEXT(ROW()-3,"0000"))</f>
        <v/>
      </c>
      <c r="B1812" s="40" t="n"/>
      <c r="C1812" s="41" t="n"/>
      <c r="D1812" s="42">
        <f>IF($C1812="","",IFERROR(INDEX(DESPACHOS!$D$3:$D$3002,MATCH($C1812,DESPACHOS!$B$3:$B$3002,0)),"SIN DESPACHO"))</f>
        <v/>
      </c>
      <c r="E1812" s="42">
        <f>IF($C1812="","",IFERROR(INDEX(DESPACHOS!$K$3:$K$3002,MATCH($C1812,DESPACHOS!$B$3:$B$3002,0)),""))</f>
        <v/>
      </c>
      <c r="F1812" s="42">
        <f>IF($C1812="","",IFERROR(INDEX(DESPACHOS!$I$3:$I$3002,MATCH($C1812,DESPACHOS!$B$3:$B$3002,0)),""))</f>
        <v/>
      </c>
      <c r="G1812" s="42">
        <f>IF($C1812="","",IFERROR(INDEX(DESPACHOS!$F$3:$F$3002,MATCH($C1812,DESPACHOS!$B$3:$B$3002,0)),""))</f>
        <v/>
      </c>
      <c r="H1812" s="42">
        <f>IF($C1812="","",IFERROR(INDEX(DESPACHOS!$G$3:$G$3002,MATCH($C1812,DESPACHOS!$B$3:$B$3002,0)),""))</f>
        <v/>
      </c>
      <c r="I1812" s="39">
        <f>IF($C1812="","",IFERROR(INDEX(DESPACHOS!$H$3:$H$3002,MATCH($C1812,DESPACHOS!$B$3:$B$3002,0)),""))</f>
        <v/>
      </c>
      <c r="J1812" s="43">
        <f>IF($C1812="","",IFERROR(INDEX(DESPACHOS!$J$3:$J$3002,MATCH($C1812,DESPACHOS!$B$3:$B$3002,0)),""))</f>
        <v/>
      </c>
      <c r="K1812" s="39">
        <f>IF($C1812="","",IF(COUNTIFS(DESPACHOS!$B$3:$B$3002,$C1812)=0,"NO EXISTE",IF(COUNTIFS(DESPACHOS!$B$3:$B$3002,$C1812)&gt;1,"DUPLICADO","OK")))</f>
        <v/>
      </c>
      <c r="L1812" s="41" t="n"/>
      <c r="M1812" s="41" t="n"/>
      <c r="N1812" s="42">
        <f>IF($M1812="","",IFERROR(INDEX(LISTAS!$F$3:$F$42,MATCH($M1812,LISTAS!$E$3:$E$42,0)),"Por definir"))</f>
        <v/>
      </c>
      <c r="O1812" s="41" t="n"/>
      <c r="P1812" s="39">
        <f>IF($L1812="","",IFERROR(INDEX(LISTAS!$B$3:$B$42,MATCH($L1812,LISTAS!$A$3:$A$42,0)),"Media"))</f>
        <v/>
      </c>
      <c r="Q1812" s="44" t="n"/>
      <c r="R1812" s="45" t="n"/>
      <c r="S1812" s="20">
        <f>IFERROR(IF(OR($R1812="",$C1812=""),"",$R1812/INDEX(DESPACHOS!$M$3:$M$3002,MATCH($C1812,DESPACHOS!$B$3:$B$3002,0))),"")</f>
        <v/>
      </c>
      <c r="T1812" s="41" t="n"/>
      <c r="U1812" s="43">
        <f>IF(OR($B1812="",$L1812=""),"",WORKDAY($B1812,IFERROR(INDEX(LISTAS!$C$3:$C$42,MATCH($L1812,LISTAS!$A$3:$A$42,0)),3)))</f>
        <v/>
      </c>
      <c r="V1812" s="40" t="n"/>
      <c r="W1812" s="19">
        <f>IF($B1812="","",IF($V1812&lt;&gt;"",$V1812-$B1812,TODAY()-$B1812))</f>
        <v/>
      </c>
      <c r="X1812" s="19">
        <f>IF(OR($B1812="",$U1812=""),"",IF($V1812&lt;&gt;"",MAX(0,$V1812-$U1812),MAX(0,TODAY()-$U1812)))</f>
        <v/>
      </c>
      <c r="Y1812" s="39">
        <f>IF($C1812="","",IF(IFERROR(INDEX(LISTAS!$I$3:$I$42,MATCH($T1812,LISTAS!$H$3:$H$42,0)),"NO")="SÍ",IF(N($X1812)&gt;0,"CERRADA FUERA DE SLA","CERRADA EN SLA"),IF($U1812="","SIN CLASIFICAR",IF(N($X1812)&gt;0,"VENCIDA",IF(TODAY()&gt;=$U1812-1,"POR VENCER","EN PLAZO")))))</f>
        <v/>
      </c>
      <c r="Z1812" s="41" t="n"/>
      <c r="AA1812" s="41" t="n"/>
      <c r="AB1812" s="41" t="n"/>
    </row>
    <row r="1813">
      <c r="A1813" s="39">
        <f>IF($C1813="","","NOV-"&amp;TEXT(ROW()-3,"0000"))</f>
        <v/>
      </c>
      <c r="B1813" s="40" t="n"/>
      <c r="C1813" s="41" t="n"/>
      <c r="D1813" s="42">
        <f>IF($C1813="","",IFERROR(INDEX(DESPACHOS!$D$3:$D$3002,MATCH($C1813,DESPACHOS!$B$3:$B$3002,0)),"SIN DESPACHO"))</f>
        <v/>
      </c>
      <c r="E1813" s="42">
        <f>IF($C1813="","",IFERROR(INDEX(DESPACHOS!$K$3:$K$3002,MATCH($C1813,DESPACHOS!$B$3:$B$3002,0)),""))</f>
        <v/>
      </c>
      <c r="F1813" s="42">
        <f>IF($C1813="","",IFERROR(INDEX(DESPACHOS!$I$3:$I$3002,MATCH($C1813,DESPACHOS!$B$3:$B$3002,0)),""))</f>
        <v/>
      </c>
      <c r="G1813" s="42">
        <f>IF($C1813="","",IFERROR(INDEX(DESPACHOS!$F$3:$F$3002,MATCH($C1813,DESPACHOS!$B$3:$B$3002,0)),""))</f>
        <v/>
      </c>
      <c r="H1813" s="42">
        <f>IF($C1813="","",IFERROR(INDEX(DESPACHOS!$G$3:$G$3002,MATCH($C1813,DESPACHOS!$B$3:$B$3002,0)),""))</f>
        <v/>
      </c>
      <c r="I1813" s="39">
        <f>IF($C1813="","",IFERROR(INDEX(DESPACHOS!$H$3:$H$3002,MATCH($C1813,DESPACHOS!$B$3:$B$3002,0)),""))</f>
        <v/>
      </c>
      <c r="J1813" s="43">
        <f>IF($C1813="","",IFERROR(INDEX(DESPACHOS!$J$3:$J$3002,MATCH($C1813,DESPACHOS!$B$3:$B$3002,0)),""))</f>
        <v/>
      </c>
      <c r="K1813" s="39">
        <f>IF($C1813="","",IF(COUNTIFS(DESPACHOS!$B$3:$B$3002,$C1813)=0,"NO EXISTE",IF(COUNTIFS(DESPACHOS!$B$3:$B$3002,$C1813)&gt;1,"DUPLICADO","OK")))</f>
        <v/>
      </c>
      <c r="L1813" s="41" t="n"/>
      <c r="M1813" s="41" t="n"/>
      <c r="N1813" s="42">
        <f>IF($M1813="","",IFERROR(INDEX(LISTAS!$F$3:$F$42,MATCH($M1813,LISTAS!$E$3:$E$42,0)),"Por definir"))</f>
        <v/>
      </c>
      <c r="O1813" s="41" t="n"/>
      <c r="P1813" s="39">
        <f>IF($L1813="","",IFERROR(INDEX(LISTAS!$B$3:$B$42,MATCH($L1813,LISTAS!$A$3:$A$42,0)),"Media"))</f>
        <v/>
      </c>
      <c r="Q1813" s="44" t="n"/>
      <c r="R1813" s="45" t="n"/>
      <c r="S1813" s="20">
        <f>IFERROR(IF(OR($R1813="",$C1813=""),"",$R1813/INDEX(DESPACHOS!$M$3:$M$3002,MATCH($C1813,DESPACHOS!$B$3:$B$3002,0))),"")</f>
        <v/>
      </c>
      <c r="T1813" s="41" t="n"/>
      <c r="U1813" s="43">
        <f>IF(OR($B1813="",$L1813=""),"",WORKDAY($B1813,IFERROR(INDEX(LISTAS!$C$3:$C$42,MATCH($L1813,LISTAS!$A$3:$A$42,0)),3)))</f>
        <v/>
      </c>
      <c r="V1813" s="40" t="n"/>
      <c r="W1813" s="19">
        <f>IF($B1813="","",IF($V1813&lt;&gt;"",$V1813-$B1813,TODAY()-$B1813))</f>
        <v/>
      </c>
      <c r="X1813" s="19">
        <f>IF(OR($B1813="",$U1813=""),"",IF($V1813&lt;&gt;"",MAX(0,$V1813-$U1813),MAX(0,TODAY()-$U1813)))</f>
        <v/>
      </c>
      <c r="Y1813" s="39">
        <f>IF($C1813="","",IF(IFERROR(INDEX(LISTAS!$I$3:$I$42,MATCH($T1813,LISTAS!$H$3:$H$42,0)),"NO")="SÍ",IF(N($X1813)&gt;0,"CERRADA FUERA DE SLA","CERRADA EN SLA"),IF($U1813="","SIN CLASIFICAR",IF(N($X1813)&gt;0,"VENCIDA",IF(TODAY()&gt;=$U1813-1,"POR VENCER","EN PLAZO")))))</f>
        <v/>
      </c>
      <c r="Z1813" s="41" t="n"/>
      <c r="AA1813" s="41" t="n"/>
      <c r="AB1813" s="41" t="n"/>
    </row>
    <row r="1814">
      <c r="A1814" s="39">
        <f>IF($C1814="","","NOV-"&amp;TEXT(ROW()-3,"0000"))</f>
        <v/>
      </c>
      <c r="B1814" s="40" t="n"/>
      <c r="C1814" s="41" t="n"/>
      <c r="D1814" s="42">
        <f>IF($C1814="","",IFERROR(INDEX(DESPACHOS!$D$3:$D$3002,MATCH($C1814,DESPACHOS!$B$3:$B$3002,0)),"SIN DESPACHO"))</f>
        <v/>
      </c>
      <c r="E1814" s="42">
        <f>IF($C1814="","",IFERROR(INDEX(DESPACHOS!$K$3:$K$3002,MATCH($C1814,DESPACHOS!$B$3:$B$3002,0)),""))</f>
        <v/>
      </c>
      <c r="F1814" s="42">
        <f>IF($C1814="","",IFERROR(INDEX(DESPACHOS!$I$3:$I$3002,MATCH($C1814,DESPACHOS!$B$3:$B$3002,0)),""))</f>
        <v/>
      </c>
      <c r="G1814" s="42">
        <f>IF($C1814="","",IFERROR(INDEX(DESPACHOS!$F$3:$F$3002,MATCH($C1814,DESPACHOS!$B$3:$B$3002,0)),""))</f>
        <v/>
      </c>
      <c r="H1814" s="42">
        <f>IF($C1814="","",IFERROR(INDEX(DESPACHOS!$G$3:$G$3002,MATCH($C1814,DESPACHOS!$B$3:$B$3002,0)),""))</f>
        <v/>
      </c>
      <c r="I1814" s="39">
        <f>IF($C1814="","",IFERROR(INDEX(DESPACHOS!$H$3:$H$3002,MATCH($C1814,DESPACHOS!$B$3:$B$3002,0)),""))</f>
        <v/>
      </c>
      <c r="J1814" s="43">
        <f>IF($C1814="","",IFERROR(INDEX(DESPACHOS!$J$3:$J$3002,MATCH($C1814,DESPACHOS!$B$3:$B$3002,0)),""))</f>
        <v/>
      </c>
      <c r="K1814" s="39">
        <f>IF($C1814="","",IF(COUNTIFS(DESPACHOS!$B$3:$B$3002,$C1814)=0,"NO EXISTE",IF(COUNTIFS(DESPACHOS!$B$3:$B$3002,$C1814)&gt;1,"DUPLICADO","OK")))</f>
        <v/>
      </c>
      <c r="L1814" s="41" t="n"/>
      <c r="M1814" s="41" t="n"/>
      <c r="N1814" s="42">
        <f>IF($M1814="","",IFERROR(INDEX(LISTAS!$F$3:$F$42,MATCH($M1814,LISTAS!$E$3:$E$42,0)),"Por definir"))</f>
        <v/>
      </c>
      <c r="O1814" s="41" t="n"/>
      <c r="P1814" s="39">
        <f>IF($L1814="","",IFERROR(INDEX(LISTAS!$B$3:$B$42,MATCH($L1814,LISTAS!$A$3:$A$42,0)),"Media"))</f>
        <v/>
      </c>
      <c r="Q1814" s="44" t="n"/>
      <c r="R1814" s="45" t="n"/>
      <c r="S1814" s="20">
        <f>IFERROR(IF(OR($R1814="",$C1814=""),"",$R1814/INDEX(DESPACHOS!$M$3:$M$3002,MATCH($C1814,DESPACHOS!$B$3:$B$3002,0))),"")</f>
        <v/>
      </c>
      <c r="T1814" s="41" t="n"/>
      <c r="U1814" s="43">
        <f>IF(OR($B1814="",$L1814=""),"",WORKDAY($B1814,IFERROR(INDEX(LISTAS!$C$3:$C$42,MATCH($L1814,LISTAS!$A$3:$A$42,0)),3)))</f>
        <v/>
      </c>
      <c r="V1814" s="40" t="n"/>
      <c r="W1814" s="19">
        <f>IF($B1814="","",IF($V1814&lt;&gt;"",$V1814-$B1814,TODAY()-$B1814))</f>
        <v/>
      </c>
      <c r="X1814" s="19">
        <f>IF(OR($B1814="",$U1814=""),"",IF($V1814&lt;&gt;"",MAX(0,$V1814-$U1814),MAX(0,TODAY()-$U1814)))</f>
        <v/>
      </c>
      <c r="Y1814" s="39">
        <f>IF($C1814="","",IF(IFERROR(INDEX(LISTAS!$I$3:$I$42,MATCH($T1814,LISTAS!$H$3:$H$42,0)),"NO")="SÍ",IF(N($X1814)&gt;0,"CERRADA FUERA DE SLA","CERRADA EN SLA"),IF($U1814="","SIN CLASIFICAR",IF(N($X1814)&gt;0,"VENCIDA",IF(TODAY()&gt;=$U1814-1,"POR VENCER","EN PLAZO")))))</f>
        <v/>
      </c>
      <c r="Z1814" s="41" t="n"/>
      <c r="AA1814" s="41" t="n"/>
      <c r="AB1814" s="41" t="n"/>
    </row>
    <row r="1815">
      <c r="A1815" s="39">
        <f>IF($C1815="","","NOV-"&amp;TEXT(ROW()-3,"0000"))</f>
        <v/>
      </c>
      <c r="B1815" s="40" t="n"/>
      <c r="C1815" s="41" t="n"/>
      <c r="D1815" s="42">
        <f>IF($C1815="","",IFERROR(INDEX(DESPACHOS!$D$3:$D$3002,MATCH($C1815,DESPACHOS!$B$3:$B$3002,0)),"SIN DESPACHO"))</f>
        <v/>
      </c>
      <c r="E1815" s="42">
        <f>IF($C1815="","",IFERROR(INDEX(DESPACHOS!$K$3:$K$3002,MATCH($C1815,DESPACHOS!$B$3:$B$3002,0)),""))</f>
        <v/>
      </c>
      <c r="F1815" s="42">
        <f>IF($C1815="","",IFERROR(INDEX(DESPACHOS!$I$3:$I$3002,MATCH($C1815,DESPACHOS!$B$3:$B$3002,0)),""))</f>
        <v/>
      </c>
      <c r="G1815" s="42">
        <f>IF($C1815="","",IFERROR(INDEX(DESPACHOS!$F$3:$F$3002,MATCH($C1815,DESPACHOS!$B$3:$B$3002,0)),""))</f>
        <v/>
      </c>
      <c r="H1815" s="42">
        <f>IF($C1815="","",IFERROR(INDEX(DESPACHOS!$G$3:$G$3002,MATCH($C1815,DESPACHOS!$B$3:$B$3002,0)),""))</f>
        <v/>
      </c>
      <c r="I1815" s="39">
        <f>IF($C1815="","",IFERROR(INDEX(DESPACHOS!$H$3:$H$3002,MATCH($C1815,DESPACHOS!$B$3:$B$3002,0)),""))</f>
        <v/>
      </c>
      <c r="J1815" s="43">
        <f>IF($C1815="","",IFERROR(INDEX(DESPACHOS!$J$3:$J$3002,MATCH($C1815,DESPACHOS!$B$3:$B$3002,0)),""))</f>
        <v/>
      </c>
      <c r="K1815" s="39">
        <f>IF($C1815="","",IF(COUNTIFS(DESPACHOS!$B$3:$B$3002,$C1815)=0,"NO EXISTE",IF(COUNTIFS(DESPACHOS!$B$3:$B$3002,$C1815)&gt;1,"DUPLICADO","OK")))</f>
        <v/>
      </c>
      <c r="L1815" s="41" t="n"/>
      <c r="M1815" s="41" t="n"/>
      <c r="N1815" s="42">
        <f>IF($M1815="","",IFERROR(INDEX(LISTAS!$F$3:$F$42,MATCH($M1815,LISTAS!$E$3:$E$42,0)),"Por definir"))</f>
        <v/>
      </c>
      <c r="O1815" s="41" t="n"/>
      <c r="P1815" s="39">
        <f>IF($L1815="","",IFERROR(INDEX(LISTAS!$B$3:$B$42,MATCH($L1815,LISTAS!$A$3:$A$42,0)),"Media"))</f>
        <v/>
      </c>
      <c r="Q1815" s="44" t="n"/>
      <c r="R1815" s="45" t="n"/>
      <c r="S1815" s="20">
        <f>IFERROR(IF(OR($R1815="",$C1815=""),"",$R1815/INDEX(DESPACHOS!$M$3:$M$3002,MATCH($C1815,DESPACHOS!$B$3:$B$3002,0))),"")</f>
        <v/>
      </c>
      <c r="T1815" s="41" t="n"/>
      <c r="U1815" s="43">
        <f>IF(OR($B1815="",$L1815=""),"",WORKDAY($B1815,IFERROR(INDEX(LISTAS!$C$3:$C$42,MATCH($L1815,LISTAS!$A$3:$A$42,0)),3)))</f>
        <v/>
      </c>
      <c r="V1815" s="40" t="n"/>
      <c r="W1815" s="19">
        <f>IF($B1815="","",IF($V1815&lt;&gt;"",$V1815-$B1815,TODAY()-$B1815))</f>
        <v/>
      </c>
      <c r="X1815" s="19">
        <f>IF(OR($B1815="",$U1815=""),"",IF($V1815&lt;&gt;"",MAX(0,$V1815-$U1815),MAX(0,TODAY()-$U1815)))</f>
        <v/>
      </c>
      <c r="Y1815" s="39">
        <f>IF($C1815="","",IF(IFERROR(INDEX(LISTAS!$I$3:$I$42,MATCH($T1815,LISTAS!$H$3:$H$42,0)),"NO")="SÍ",IF(N($X1815)&gt;0,"CERRADA FUERA DE SLA","CERRADA EN SLA"),IF($U1815="","SIN CLASIFICAR",IF(N($X1815)&gt;0,"VENCIDA",IF(TODAY()&gt;=$U1815-1,"POR VENCER","EN PLAZO")))))</f>
        <v/>
      </c>
      <c r="Z1815" s="41" t="n"/>
      <c r="AA1815" s="41" t="n"/>
      <c r="AB1815" s="41" t="n"/>
    </row>
    <row r="1816">
      <c r="A1816" s="39">
        <f>IF($C1816="","","NOV-"&amp;TEXT(ROW()-3,"0000"))</f>
        <v/>
      </c>
      <c r="B1816" s="40" t="n"/>
      <c r="C1816" s="41" t="n"/>
      <c r="D1816" s="42">
        <f>IF($C1816="","",IFERROR(INDEX(DESPACHOS!$D$3:$D$3002,MATCH($C1816,DESPACHOS!$B$3:$B$3002,0)),"SIN DESPACHO"))</f>
        <v/>
      </c>
      <c r="E1816" s="42">
        <f>IF($C1816="","",IFERROR(INDEX(DESPACHOS!$K$3:$K$3002,MATCH($C1816,DESPACHOS!$B$3:$B$3002,0)),""))</f>
        <v/>
      </c>
      <c r="F1816" s="42">
        <f>IF($C1816="","",IFERROR(INDEX(DESPACHOS!$I$3:$I$3002,MATCH($C1816,DESPACHOS!$B$3:$B$3002,0)),""))</f>
        <v/>
      </c>
      <c r="G1816" s="42">
        <f>IF($C1816="","",IFERROR(INDEX(DESPACHOS!$F$3:$F$3002,MATCH($C1816,DESPACHOS!$B$3:$B$3002,0)),""))</f>
        <v/>
      </c>
      <c r="H1816" s="42">
        <f>IF($C1816="","",IFERROR(INDEX(DESPACHOS!$G$3:$G$3002,MATCH($C1816,DESPACHOS!$B$3:$B$3002,0)),""))</f>
        <v/>
      </c>
      <c r="I1816" s="39">
        <f>IF($C1816="","",IFERROR(INDEX(DESPACHOS!$H$3:$H$3002,MATCH($C1816,DESPACHOS!$B$3:$B$3002,0)),""))</f>
        <v/>
      </c>
      <c r="J1816" s="43">
        <f>IF($C1816="","",IFERROR(INDEX(DESPACHOS!$J$3:$J$3002,MATCH($C1816,DESPACHOS!$B$3:$B$3002,0)),""))</f>
        <v/>
      </c>
      <c r="K1816" s="39">
        <f>IF($C1816="","",IF(COUNTIFS(DESPACHOS!$B$3:$B$3002,$C1816)=0,"NO EXISTE",IF(COUNTIFS(DESPACHOS!$B$3:$B$3002,$C1816)&gt;1,"DUPLICADO","OK")))</f>
        <v/>
      </c>
      <c r="L1816" s="41" t="n"/>
      <c r="M1816" s="41" t="n"/>
      <c r="N1816" s="42">
        <f>IF($M1816="","",IFERROR(INDEX(LISTAS!$F$3:$F$42,MATCH($M1816,LISTAS!$E$3:$E$42,0)),"Por definir"))</f>
        <v/>
      </c>
      <c r="O1816" s="41" t="n"/>
      <c r="P1816" s="39">
        <f>IF($L1816="","",IFERROR(INDEX(LISTAS!$B$3:$B$42,MATCH($L1816,LISTAS!$A$3:$A$42,0)),"Media"))</f>
        <v/>
      </c>
      <c r="Q1816" s="44" t="n"/>
      <c r="R1816" s="45" t="n"/>
      <c r="S1816" s="20">
        <f>IFERROR(IF(OR($R1816="",$C1816=""),"",$R1816/INDEX(DESPACHOS!$M$3:$M$3002,MATCH($C1816,DESPACHOS!$B$3:$B$3002,0))),"")</f>
        <v/>
      </c>
      <c r="T1816" s="41" t="n"/>
      <c r="U1816" s="43">
        <f>IF(OR($B1816="",$L1816=""),"",WORKDAY($B1816,IFERROR(INDEX(LISTAS!$C$3:$C$42,MATCH($L1816,LISTAS!$A$3:$A$42,0)),3)))</f>
        <v/>
      </c>
      <c r="V1816" s="40" t="n"/>
      <c r="W1816" s="19">
        <f>IF($B1816="","",IF($V1816&lt;&gt;"",$V1816-$B1816,TODAY()-$B1816))</f>
        <v/>
      </c>
      <c r="X1816" s="19">
        <f>IF(OR($B1816="",$U1816=""),"",IF($V1816&lt;&gt;"",MAX(0,$V1816-$U1816),MAX(0,TODAY()-$U1816)))</f>
        <v/>
      </c>
      <c r="Y1816" s="39">
        <f>IF($C1816="","",IF(IFERROR(INDEX(LISTAS!$I$3:$I$42,MATCH($T1816,LISTAS!$H$3:$H$42,0)),"NO")="SÍ",IF(N($X1816)&gt;0,"CERRADA FUERA DE SLA","CERRADA EN SLA"),IF($U1816="","SIN CLASIFICAR",IF(N($X1816)&gt;0,"VENCIDA",IF(TODAY()&gt;=$U1816-1,"POR VENCER","EN PLAZO")))))</f>
        <v/>
      </c>
      <c r="Z1816" s="41" t="n"/>
      <c r="AA1816" s="41" t="n"/>
      <c r="AB1816" s="41" t="n"/>
    </row>
    <row r="1817">
      <c r="A1817" s="39">
        <f>IF($C1817="","","NOV-"&amp;TEXT(ROW()-3,"0000"))</f>
        <v/>
      </c>
      <c r="B1817" s="40" t="n"/>
      <c r="C1817" s="41" t="n"/>
      <c r="D1817" s="42">
        <f>IF($C1817="","",IFERROR(INDEX(DESPACHOS!$D$3:$D$3002,MATCH($C1817,DESPACHOS!$B$3:$B$3002,0)),"SIN DESPACHO"))</f>
        <v/>
      </c>
      <c r="E1817" s="42">
        <f>IF($C1817="","",IFERROR(INDEX(DESPACHOS!$K$3:$K$3002,MATCH($C1817,DESPACHOS!$B$3:$B$3002,0)),""))</f>
        <v/>
      </c>
      <c r="F1817" s="42">
        <f>IF($C1817="","",IFERROR(INDEX(DESPACHOS!$I$3:$I$3002,MATCH($C1817,DESPACHOS!$B$3:$B$3002,0)),""))</f>
        <v/>
      </c>
      <c r="G1817" s="42">
        <f>IF($C1817="","",IFERROR(INDEX(DESPACHOS!$F$3:$F$3002,MATCH($C1817,DESPACHOS!$B$3:$B$3002,0)),""))</f>
        <v/>
      </c>
      <c r="H1817" s="42">
        <f>IF($C1817="","",IFERROR(INDEX(DESPACHOS!$G$3:$G$3002,MATCH($C1817,DESPACHOS!$B$3:$B$3002,0)),""))</f>
        <v/>
      </c>
      <c r="I1817" s="39">
        <f>IF($C1817="","",IFERROR(INDEX(DESPACHOS!$H$3:$H$3002,MATCH($C1817,DESPACHOS!$B$3:$B$3002,0)),""))</f>
        <v/>
      </c>
      <c r="J1817" s="43">
        <f>IF($C1817="","",IFERROR(INDEX(DESPACHOS!$J$3:$J$3002,MATCH($C1817,DESPACHOS!$B$3:$B$3002,0)),""))</f>
        <v/>
      </c>
      <c r="K1817" s="39">
        <f>IF($C1817="","",IF(COUNTIFS(DESPACHOS!$B$3:$B$3002,$C1817)=0,"NO EXISTE",IF(COUNTIFS(DESPACHOS!$B$3:$B$3002,$C1817)&gt;1,"DUPLICADO","OK")))</f>
        <v/>
      </c>
      <c r="L1817" s="41" t="n"/>
      <c r="M1817" s="41" t="n"/>
      <c r="N1817" s="42">
        <f>IF($M1817="","",IFERROR(INDEX(LISTAS!$F$3:$F$42,MATCH($M1817,LISTAS!$E$3:$E$42,0)),"Por definir"))</f>
        <v/>
      </c>
      <c r="O1817" s="41" t="n"/>
      <c r="P1817" s="39">
        <f>IF($L1817="","",IFERROR(INDEX(LISTAS!$B$3:$B$42,MATCH($L1817,LISTAS!$A$3:$A$42,0)),"Media"))</f>
        <v/>
      </c>
      <c r="Q1817" s="44" t="n"/>
      <c r="R1817" s="45" t="n"/>
      <c r="S1817" s="20">
        <f>IFERROR(IF(OR($R1817="",$C1817=""),"",$R1817/INDEX(DESPACHOS!$M$3:$M$3002,MATCH($C1817,DESPACHOS!$B$3:$B$3002,0))),"")</f>
        <v/>
      </c>
      <c r="T1817" s="41" t="n"/>
      <c r="U1817" s="43">
        <f>IF(OR($B1817="",$L1817=""),"",WORKDAY($B1817,IFERROR(INDEX(LISTAS!$C$3:$C$42,MATCH($L1817,LISTAS!$A$3:$A$42,0)),3)))</f>
        <v/>
      </c>
      <c r="V1817" s="40" t="n"/>
      <c r="W1817" s="19">
        <f>IF($B1817="","",IF($V1817&lt;&gt;"",$V1817-$B1817,TODAY()-$B1817))</f>
        <v/>
      </c>
      <c r="X1817" s="19">
        <f>IF(OR($B1817="",$U1817=""),"",IF($V1817&lt;&gt;"",MAX(0,$V1817-$U1817),MAX(0,TODAY()-$U1817)))</f>
        <v/>
      </c>
      <c r="Y1817" s="39">
        <f>IF($C1817="","",IF(IFERROR(INDEX(LISTAS!$I$3:$I$42,MATCH($T1817,LISTAS!$H$3:$H$42,0)),"NO")="SÍ",IF(N($X1817)&gt;0,"CERRADA FUERA DE SLA","CERRADA EN SLA"),IF($U1817="","SIN CLASIFICAR",IF(N($X1817)&gt;0,"VENCIDA",IF(TODAY()&gt;=$U1817-1,"POR VENCER","EN PLAZO")))))</f>
        <v/>
      </c>
      <c r="Z1817" s="41" t="n"/>
      <c r="AA1817" s="41" t="n"/>
      <c r="AB1817" s="41" t="n"/>
    </row>
    <row r="1818">
      <c r="A1818" s="39">
        <f>IF($C1818="","","NOV-"&amp;TEXT(ROW()-3,"0000"))</f>
        <v/>
      </c>
      <c r="B1818" s="40" t="n"/>
      <c r="C1818" s="41" t="n"/>
      <c r="D1818" s="42">
        <f>IF($C1818="","",IFERROR(INDEX(DESPACHOS!$D$3:$D$3002,MATCH($C1818,DESPACHOS!$B$3:$B$3002,0)),"SIN DESPACHO"))</f>
        <v/>
      </c>
      <c r="E1818" s="42">
        <f>IF($C1818="","",IFERROR(INDEX(DESPACHOS!$K$3:$K$3002,MATCH($C1818,DESPACHOS!$B$3:$B$3002,0)),""))</f>
        <v/>
      </c>
      <c r="F1818" s="42">
        <f>IF($C1818="","",IFERROR(INDEX(DESPACHOS!$I$3:$I$3002,MATCH($C1818,DESPACHOS!$B$3:$B$3002,0)),""))</f>
        <v/>
      </c>
      <c r="G1818" s="42">
        <f>IF($C1818="","",IFERROR(INDEX(DESPACHOS!$F$3:$F$3002,MATCH($C1818,DESPACHOS!$B$3:$B$3002,0)),""))</f>
        <v/>
      </c>
      <c r="H1818" s="42">
        <f>IF($C1818="","",IFERROR(INDEX(DESPACHOS!$G$3:$G$3002,MATCH($C1818,DESPACHOS!$B$3:$B$3002,0)),""))</f>
        <v/>
      </c>
      <c r="I1818" s="39">
        <f>IF($C1818="","",IFERROR(INDEX(DESPACHOS!$H$3:$H$3002,MATCH($C1818,DESPACHOS!$B$3:$B$3002,0)),""))</f>
        <v/>
      </c>
      <c r="J1818" s="43">
        <f>IF($C1818="","",IFERROR(INDEX(DESPACHOS!$J$3:$J$3002,MATCH($C1818,DESPACHOS!$B$3:$B$3002,0)),""))</f>
        <v/>
      </c>
      <c r="K1818" s="39">
        <f>IF($C1818="","",IF(COUNTIFS(DESPACHOS!$B$3:$B$3002,$C1818)=0,"NO EXISTE",IF(COUNTIFS(DESPACHOS!$B$3:$B$3002,$C1818)&gt;1,"DUPLICADO","OK")))</f>
        <v/>
      </c>
      <c r="L1818" s="41" t="n"/>
      <c r="M1818" s="41" t="n"/>
      <c r="N1818" s="42">
        <f>IF($M1818="","",IFERROR(INDEX(LISTAS!$F$3:$F$42,MATCH($M1818,LISTAS!$E$3:$E$42,0)),"Por definir"))</f>
        <v/>
      </c>
      <c r="O1818" s="41" t="n"/>
      <c r="P1818" s="39">
        <f>IF($L1818="","",IFERROR(INDEX(LISTAS!$B$3:$B$42,MATCH($L1818,LISTAS!$A$3:$A$42,0)),"Media"))</f>
        <v/>
      </c>
      <c r="Q1818" s="44" t="n"/>
      <c r="R1818" s="45" t="n"/>
      <c r="S1818" s="20">
        <f>IFERROR(IF(OR($R1818="",$C1818=""),"",$R1818/INDEX(DESPACHOS!$M$3:$M$3002,MATCH($C1818,DESPACHOS!$B$3:$B$3002,0))),"")</f>
        <v/>
      </c>
      <c r="T1818" s="41" t="n"/>
      <c r="U1818" s="43">
        <f>IF(OR($B1818="",$L1818=""),"",WORKDAY($B1818,IFERROR(INDEX(LISTAS!$C$3:$C$42,MATCH($L1818,LISTAS!$A$3:$A$42,0)),3)))</f>
        <v/>
      </c>
      <c r="V1818" s="40" t="n"/>
      <c r="W1818" s="19">
        <f>IF($B1818="","",IF($V1818&lt;&gt;"",$V1818-$B1818,TODAY()-$B1818))</f>
        <v/>
      </c>
      <c r="X1818" s="19">
        <f>IF(OR($B1818="",$U1818=""),"",IF($V1818&lt;&gt;"",MAX(0,$V1818-$U1818),MAX(0,TODAY()-$U1818)))</f>
        <v/>
      </c>
      <c r="Y1818" s="39">
        <f>IF($C1818="","",IF(IFERROR(INDEX(LISTAS!$I$3:$I$42,MATCH($T1818,LISTAS!$H$3:$H$42,0)),"NO")="SÍ",IF(N($X1818)&gt;0,"CERRADA FUERA DE SLA","CERRADA EN SLA"),IF($U1818="","SIN CLASIFICAR",IF(N($X1818)&gt;0,"VENCIDA",IF(TODAY()&gt;=$U1818-1,"POR VENCER","EN PLAZO")))))</f>
        <v/>
      </c>
      <c r="Z1818" s="41" t="n"/>
      <c r="AA1818" s="41" t="n"/>
      <c r="AB1818" s="41" t="n"/>
    </row>
    <row r="1819">
      <c r="A1819" s="39">
        <f>IF($C1819="","","NOV-"&amp;TEXT(ROW()-3,"0000"))</f>
        <v/>
      </c>
      <c r="B1819" s="40" t="n"/>
      <c r="C1819" s="41" t="n"/>
      <c r="D1819" s="42">
        <f>IF($C1819="","",IFERROR(INDEX(DESPACHOS!$D$3:$D$3002,MATCH($C1819,DESPACHOS!$B$3:$B$3002,0)),"SIN DESPACHO"))</f>
        <v/>
      </c>
      <c r="E1819" s="42">
        <f>IF($C1819="","",IFERROR(INDEX(DESPACHOS!$K$3:$K$3002,MATCH($C1819,DESPACHOS!$B$3:$B$3002,0)),""))</f>
        <v/>
      </c>
      <c r="F1819" s="42">
        <f>IF($C1819="","",IFERROR(INDEX(DESPACHOS!$I$3:$I$3002,MATCH($C1819,DESPACHOS!$B$3:$B$3002,0)),""))</f>
        <v/>
      </c>
      <c r="G1819" s="42">
        <f>IF($C1819="","",IFERROR(INDEX(DESPACHOS!$F$3:$F$3002,MATCH($C1819,DESPACHOS!$B$3:$B$3002,0)),""))</f>
        <v/>
      </c>
      <c r="H1819" s="42">
        <f>IF($C1819="","",IFERROR(INDEX(DESPACHOS!$G$3:$G$3002,MATCH($C1819,DESPACHOS!$B$3:$B$3002,0)),""))</f>
        <v/>
      </c>
      <c r="I1819" s="39">
        <f>IF($C1819="","",IFERROR(INDEX(DESPACHOS!$H$3:$H$3002,MATCH($C1819,DESPACHOS!$B$3:$B$3002,0)),""))</f>
        <v/>
      </c>
      <c r="J1819" s="43">
        <f>IF($C1819="","",IFERROR(INDEX(DESPACHOS!$J$3:$J$3002,MATCH($C1819,DESPACHOS!$B$3:$B$3002,0)),""))</f>
        <v/>
      </c>
      <c r="K1819" s="39">
        <f>IF($C1819="","",IF(COUNTIFS(DESPACHOS!$B$3:$B$3002,$C1819)=0,"NO EXISTE",IF(COUNTIFS(DESPACHOS!$B$3:$B$3002,$C1819)&gt;1,"DUPLICADO","OK")))</f>
        <v/>
      </c>
      <c r="L1819" s="41" t="n"/>
      <c r="M1819" s="41" t="n"/>
      <c r="N1819" s="42">
        <f>IF($M1819="","",IFERROR(INDEX(LISTAS!$F$3:$F$42,MATCH($M1819,LISTAS!$E$3:$E$42,0)),"Por definir"))</f>
        <v/>
      </c>
      <c r="O1819" s="41" t="n"/>
      <c r="P1819" s="39">
        <f>IF($L1819="","",IFERROR(INDEX(LISTAS!$B$3:$B$42,MATCH($L1819,LISTAS!$A$3:$A$42,0)),"Media"))</f>
        <v/>
      </c>
      <c r="Q1819" s="44" t="n"/>
      <c r="R1819" s="45" t="n"/>
      <c r="S1819" s="20">
        <f>IFERROR(IF(OR($R1819="",$C1819=""),"",$R1819/INDEX(DESPACHOS!$M$3:$M$3002,MATCH($C1819,DESPACHOS!$B$3:$B$3002,0))),"")</f>
        <v/>
      </c>
      <c r="T1819" s="41" t="n"/>
      <c r="U1819" s="43">
        <f>IF(OR($B1819="",$L1819=""),"",WORKDAY($B1819,IFERROR(INDEX(LISTAS!$C$3:$C$42,MATCH($L1819,LISTAS!$A$3:$A$42,0)),3)))</f>
        <v/>
      </c>
      <c r="V1819" s="40" t="n"/>
      <c r="W1819" s="19">
        <f>IF($B1819="","",IF($V1819&lt;&gt;"",$V1819-$B1819,TODAY()-$B1819))</f>
        <v/>
      </c>
      <c r="X1819" s="19">
        <f>IF(OR($B1819="",$U1819=""),"",IF($V1819&lt;&gt;"",MAX(0,$V1819-$U1819),MAX(0,TODAY()-$U1819)))</f>
        <v/>
      </c>
      <c r="Y1819" s="39">
        <f>IF($C1819="","",IF(IFERROR(INDEX(LISTAS!$I$3:$I$42,MATCH($T1819,LISTAS!$H$3:$H$42,0)),"NO")="SÍ",IF(N($X1819)&gt;0,"CERRADA FUERA DE SLA","CERRADA EN SLA"),IF($U1819="","SIN CLASIFICAR",IF(N($X1819)&gt;0,"VENCIDA",IF(TODAY()&gt;=$U1819-1,"POR VENCER","EN PLAZO")))))</f>
        <v/>
      </c>
      <c r="Z1819" s="41" t="n"/>
      <c r="AA1819" s="41" t="n"/>
      <c r="AB1819" s="41" t="n"/>
    </row>
    <row r="1820">
      <c r="A1820" s="39">
        <f>IF($C1820="","","NOV-"&amp;TEXT(ROW()-3,"0000"))</f>
        <v/>
      </c>
      <c r="B1820" s="40" t="n"/>
      <c r="C1820" s="41" t="n"/>
      <c r="D1820" s="42">
        <f>IF($C1820="","",IFERROR(INDEX(DESPACHOS!$D$3:$D$3002,MATCH($C1820,DESPACHOS!$B$3:$B$3002,0)),"SIN DESPACHO"))</f>
        <v/>
      </c>
      <c r="E1820" s="42">
        <f>IF($C1820="","",IFERROR(INDEX(DESPACHOS!$K$3:$K$3002,MATCH($C1820,DESPACHOS!$B$3:$B$3002,0)),""))</f>
        <v/>
      </c>
      <c r="F1820" s="42">
        <f>IF($C1820="","",IFERROR(INDEX(DESPACHOS!$I$3:$I$3002,MATCH($C1820,DESPACHOS!$B$3:$B$3002,0)),""))</f>
        <v/>
      </c>
      <c r="G1820" s="42">
        <f>IF($C1820="","",IFERROR(INDEX(DESPACHOS!$F$3:$F$3002,MATCH($C1820,DESPACHOS!$B$3:$B$3002,0)),""))</f>
        <v/>
      </c>
      <c r="H1820" s="42">
        <f>IF($C1820="","",IFERROR(INDEX(DESPACHOS!$G$3:$G$3002,MATCH($C1820,DESPACHOS!$B$3:$B$3002,0)),""))</f>
        <v/>
      </c>
      <c r="I1820" s="39">
        <f>IF($C1820="","",IFERROR(INDEX(DESPACHOS!$H$3:$H$3002,MATCH($C1820,DESPACHOS!$B$3:$B$3002,0)),""))</f>
        <v/>
      </c>
      <c r="J1820" s="43">
        <f>IF($C1820="","",IFERROR(INDEX(DESPACHOS!$J$3:$J$3002,MATCH($C1820,DESPACHOS!$B$3:$B$3002,0)),""))</f>
        <v/>
      </c>
      <c r="K1820" s="39">
        <f>IF($C1820="","",IF(COUNTIFS(DESPACHOS!$B$3:$B$3002,$C1820)=0,"NO EXISTE",IF(COUNTIFS(DESPACHOS!$B$3:$B$3002,$C1820)&gt;1,"DUPLICADO","OK")))</f>
        <v/>
      </c>
      <c r="L1820" s="41" t="n"/>
      <c r="M1820" s="41" t="n"/>
      <c r="N1820" s="42">
        <f>IF($M1820="","",IFERROR(INDEX(LISTAS!$F$3:$F$42,MATCH($M1820,LISTAS!$E$3:$E$42,0)),"Por definir"))</f>
        <v/>
      </c>
      <c r="O1820" s="41" t="n"/>
      <c r="P1820" s="39">
        <f>IF($L1820="","",IFERROR(INDEX(LISTAS!$B$3:$B$42,MATCH($L1820,LISTAS!$A$3:$A$42,0)),"Media"))</f>
        <v/>
      </c>
      <c r="Q1820" s="44" t="n"/>
      <c r="R1820" s="45" t="n"/>
      <c r="S1820" s="20">
        <f>IFERROR(IF(OR($R1820="",$C1820=""),"",$R1820/INDEX(DESPACHOS!$M$3:$M$3002,MATCH($C1820,DESPACHOS!$B$3:$B$3002,0))),"")</f>
        <v/>
      </c>
      <c r="T1820" s="41" t="n"/>
      <c r="U1820" s="43">
        <f>IF(OR($B1820="",$L1820=""),"",WORKDAY($B1820,IFERROR(INDEX(LISTAS!$C$3:$C$42,MATCH($L1820,LISTAS!$A$3:$A$42,0)),3)))</f>
        <v/>
      </c>
      <c r="V1820" s="40" t="n"/>
      <c r="W1820" s="19">
        <f>IF($B1820="","",IF($V1820&lt;&gt;"",$V1820-$B1820,TODAY()-$B1820))</f>
        <v/>
      </c>
      <c r="X1820" s="19">
        <f>IF(OR($B1820="",$U1820=""),"",IF($V1820&lt;&gt;"",MAX(0,$V1820-$U1820),MAX(0,TODAY()-$U1820)))</f>
        <v/>
      </c>
      <c r="Y1820" s="39">
        <f>IF($C1820="","",IF(IFERROR(INDEX(LISTAS!$I$3:$I$42,MATCH($T1820,LISTAS!$H$3:$H$42,0)),"NO")="SÍ",IF(N($X1820)&gt;0,"CERRADA FUERA DE SLA","CERRADA EN SLA"),IF($U1820="","SIN CLASIFICAR",IF(N($X1820)&gt;0,"VENCIDA",IF(TODAY()&gt;=$U1820-1,"POR VENCER","EN PLAZO")))))</f>
        <v/>
      </c>
      <c r="Z1820" s="41" t="n"/>
      <c r="AA1820" s="41" t="n"/>
      <c r="AB1820" s="41" t="n"/>
    </row>
    <row r="1821">
      <c r="A1821" s="39">
        <f>IF($C1821="","","NOV-"&amp;TEXT(ROW()-3,"0000"))</f>
        <v/>
      </c>
      <c r="B1821" s="40" t="n"/>
      <c r="C1821" s="41" t="n"/>
      <c r="D1821" s="42">
        <f>IF($C1821="","",IFERROR(INDEX(DESPACHOS!$D$3:$D$3002,MATCH($C1821,DESPACHOS!$B$3:$B$3002,0)),"SIN DESPACHO"))</f>
        <v/>
      </c>
      <c r="E1821" s="42">
        <f>IF($C1821="","",IFERROR(INDEX(DESPACHOS!$K$3:$K$3002,MATCH($C1821,DESPACHOS!$B$3:$B$3002,0)),""))</f>
        <v/>
      </c>
      <c r="F1821" s="42">
        <f>IF($C1821="","",IFERROR(INDEX(DESPACHOS!$I$3:$I$3002,MATCH($C1821,DESPACHOS!$B$3:$B$3002,0)),""))</f>
        <v/>
      </c>
      <c r="G1821" s="42">
        <f>IF($C1821="","",IFERROR(INDEX(DESPACHOS!$F$3:$F$3002,MATCH($C1821,DESPACHOS!$B$3:$B$3002,0)),""))</f>
        <v/>
      </c>
      <c r="H1821" s="42">
        <f>IF($C1821="","",IFERROR(INDEX(DESPACHOS!$G$3:$G$3002,MATCH($C1821,DESPACHOS!$B$3:$B$3002,0)),""))</f>
        <v/>
      </c>
      <c r="I1821" s="39">
        <f>IF($C1821="","",IFERROR(INDEX(DESPACHOS!$H$3:$H$3002,MATCH($C1821,DESPACHOS!$B$3:$B$3002,0)),""))</f>
        <v/>
      </c>
      <c r="J1821" s="43">
        <f>IF($C1821="","",IFERROR(INDEX(DESPACHOS!$J$3:$J$3002,MATCH($C1821,DESPACHOS!$B$3:$B$3002,0)),""))</f>
        <v/>
      </c>
      <c r="K1821" s="39">
        <f>IF($C1821="","",IF(COUNTIFS(DESPACHOS!$B$3:$B$3002,$C1821)=0,"NO EXISTE",IF(COUNTIFS(DESPACHOS!$B$3:$B$3002,$C1821)&gt;1,"DUPLICADO","OK")))</f>
        <v/>
      </c>
      <c r="L1821" s="41" t="n"/>
      <c r="M1821" s="41" t="n"/>
      <c r="N1821" s="42">
        <f>IF($M1821="","",IFERROR(INDEX(LISTAS!$F$3:$F$42,MATCH($M1821,LISTAS!$E$3:$E$42,0)),"Por definir"))</f>
        <v/>
      </c>
      <c r="O1821" s="41" t="n"/>
      <c r="P1821" s="39">
        <f>IF($L1821="","",IFERROR(INDEX(LISTAS!$B$3:$B$42,MATCH($L1821,LISTAS!$A$3:$A$42,0)),"Media"))</f>
        <v/>
      </c>
      <c r="Q1821" s="44" t="n"/>
      <c r="R1821" s="45" t="n"/>
      <c r="S1821" s="20">
        <f>IFERROR(IF(OR($R1821="",$C1821=""),"",$R1821/INDEX(DESPACHOS!$M$3:$M$3002,MATCH($C1821,DESPACHOS!$B$3:$B$3002,0))),"")</f>
        <v/>
      </c>
      <c r="T1821" s="41" t="n"/>
      <c r="U1821" s="43">
        <f>IF(OR($B1821="",$L1821=""),"",WORKDAY($B1821,IFERROR(INDEX(LISTAS!$C$3:$C$42,MATCH($L1821,LISTAS!$A$3:$A$42,0)),3)))</f>
        <v/>
      </c>
      <c r="V1821" s="40" t="n"/>
      <c r="W1821" s="19">
        <f>IF($B1821="","",IF($V1821&lt;&gt;"",$V1821-$B1821,TODAY()-$B1821))</f>
        <v/>
      </c>
      <c r="X1821" s="19">
        <f>IF(OR($B1821="",$U1821=""),"",IF($V1821&lt;&gt;"",MAX(0,$V1821-$U1821),MAX(0,TODAY()-$U1821)))</f>
        <v/>
      </c>
      <c r="Y1821" s="39">
        <f>IF($C1821="","",IF(IFERROR(INDEX(LISTAS!$I$3:$I$42,MATCH($T1821,LISTAS!$H$3:$H$42,0)),"NO")="SÍ",IF(N($X1821)&gt;0,"CERRADA FUERA DE SLA","CERRADA EN SLA"),IF($U1821="","SIN CLASIFICAR",IF(N($X1821)&gt;0,"VENCIDA",IF(TODAY()&gt;=$U1821-1,"POR VENCER","EN PLAZO")))))</f>
        <v/>
      </c>
      <c r="Z1821" s="41" t="n"/>
      <c r="AA1821" s="41" t="n"/>
      <c r="AB1821" s="41" t="n"/>
    </row>
    <row r="1822">
      <c r="A1822" s="39">
        <f>IF($C1822="","","NOV-"&amp;TEXT(ROW()-3,"0000"))</f>
        <v/>
      </c>
      <c r="B1822" s="40" t="n"/>
      <c r="C1822" s="41" t="n"/>
      <c r="D1822" s="42">
        <f>IF($C1822="","",IFERROR(INDEX(DESPACHOS!$D$3:$D$3002,MATCH($C1822,DESPACHOS!$B$3:$B$3002,0)),"SIN DESPACHO"))</f>
        <v/>
      </c>
      <c r="E1822" s="42">
        <f>IF($C1822="","",IFERROR(INDEX(DESPACHOS!$K$3:$K$3002,MATCH($C1822,DESPACHOS!$B$3:$B$3002,0)),""))</f>
        <v/>
      </c>
      <c r="F1822" s="42">
        <f>IF($C1822="","",IFERROR(INDEX(DESPACHOS!$I$3:$I$3002,MATCH($C1822,DESPACHOS!$B$3:$B$3002,0)),""))</f>
        <v/>
      </c>
      <c r="G1822" s="42">
        <f>IF($C1822="","",IFERROR(INDEX(DESPACHOS!$F$3:$F$3002,MATCH($C1822,DESPACHOS!$B$3:$B$3002,0)),""))</f>
        <v/>
      </c>
      <c r="H1822" s="42">
        <f>IF($C1822="","",IFERROR(INDEX(DESPACHOS!$G$3:$G$3002,MATCH($C1822,DESPACHOS!$B$3:$B$3002,0)),""))</f>
        <v/>
      </c>
      <c r="I1822" s="39">
        <f>IF($C1822="","",IFERROR(INDEX(DESPACHOS!$H$3:$H$3002,MATCH($C1822,DESPACHOS!$B$3:$B$3002,0)),""))</f>
        <v/>
      </c>
      <c r="J1822" s="43">
        <f>IF($C1822="","",IFERROR(INDEX(DESPACHOS!$J$3:$J$3002,MATCH($C1822,DESPACHOS!$B$3:$B$3002,0)),""))</f>
        <v/>
      </c>
      <c r="K1822" s="39">
        <f>IF($C1822="","",IF(COUNTIFS(DESPACHOS!$B$3:$B$3002,$C1822)=0,"NO EXISTE",IF(COUNTIFS(DESPACHOS!$B$3:$B$3002,$C1822)&gt;1,"DUPLICADO","OK")))</f>
        <v/>
      </c>
      <c r="L1822" s="41" t="n"/>
      <c r="M1822" s="41" t="n"/>
      <c r="N1822" s="42">
        <f>IF($M1822="","",IFERROR(INDEX(LISTAS!$F$3:$F$42,MATCH($M1822,LISTAS!$E$3:$E$42,0)),"Por definir"))</f>
        <v/>
      </c>
      <c r="O1822" s="41" t="n"/>
      <c r="P1822" s="39">
        <f>IF($L1822="","",IFERROR(INDEX(LISTAS!$B$3:$B$42,MATCH($L1822,LISTAS!$A$3:$A$42,0)),"Media"))</f>
        <v/>
      </c>
      <c r="Q1822" s="44" t="n"/>
      <c r="R1822" s="45" t="n"/>
      <c r="S1822" s="20">
        <f>IFERROR(IF(OR($R1822="",$C1822=""),"",$R1822/INDEX(DESPACHOS!$M$3:$M$3002,MATCH($C1822,DESPACHOS!$B$3:$B$3002,0))),"")</f>
        <v/>
      </c>
      <c r="T1822" s="41" t="n"/>
      <c r="U1822" s="43">
        <f>IF(OR($B1822="",$L1822=""),"",WORKDAY($B1822,IFERROR(INDEX(LISTAS!$C$3:$C$42,MATCH($L1822,LISTAS!$A$3:$A$42,0)),3)))</f>
        <v/>
      </c>
      <c r="V1822" s="40" t="n"/>
      <c r="W1822" s="19">
        <f>IF($B1822="","",IF($V1822&lt;&gt;"",$V1822-$B1822,TODAY()-$B1822))</f>
        <v/>
      </c>
      <c r="X1822" s="19">
        <f>IF(OR($B1822="",$U1822=""),"",IF($V1822&lt;&gt;"",MAX(0,$V1822-$U1822),MAX(0,TODAY()-$U1822)))</f>
        <v/>
      </c>
      <c r="Y1822" s="39">
        <f>IF($C1822="","",IF(IFERROR(INDEX(LISTAS!$I$3:$I$42,MATCH($T1822,LISTAS!$H$3:$H$42,0)),"NO")="SÍ",IF(N($X1822)&gt;0,"CERRADA FUERA DE SLA","CERRADA EN SLA"),IF($U1822="","SIN CLASIFICAR",IF(N($X1822)&gt;0,"VENCIDA",IF(TODAY()&gt;=$U1822-1,"POR VENCER","EN PLAZO")))))</f>
        <v/>
      </c>
      <c r="Z1822" s="41" t="n"/>
      <c r="AA1822" s="41" t="n"/>
      <c r="AB1822" s="41" t="n"/>
    </row>
    <row r="1823">
      <c r="A1823" s="39">
        <f>IF($C1823="","","NOV-"&amp;TEXT(ROW()-3,"0000"))</f>
        <v/>
      </c>
      <c r="B1823" s="40" t="n"/>
      <c r="C1823" s="41" t="n"/>
      <c r="D1823" s="42">
        <f>IF($C1823="","",IFERROR(INDEX(DESPACHOS!$D$3:$D$3002,MATCH($C1823,DESPACHOS!$B$3:$B$3002,0)),"SIN DESPACHO"))</f>
        <v/>
      </c>
      <c r="E1823" s="42">
        <f>IF($C1823="","",IFERROR(INDEX(DESPACHOS!$K$3:$K$3002,MATCH($C1823,DESPACHOS!$B$3:$B$3002,0)),""))</f>
        <v/>
      </c>
      <c r="F1823" s="42">
        <f>IF($C1823="","",IFERROR(INDEX(DESPACHOS!$I$3:$I$3002,MATCH($C1823,DESPACHOS!$B$3:$B$3002,0)),""))</f>
        <v/>
      </c>
      <c r="G1823" s="42">
        <f>IF($C1823="","",IFERROR(INDEX(DESPACHOS!$F$3:$F$3002,MATCH($C1823,DESPACHOS!$B$3:$B$3002,0)),""))</f>
        <v/>
      </c>
      <c r="H1823" s="42">
        <f>IF($C1823="","",IFERROR(INDEX(DESPACHOS!$G$3:$G$3002,MATCH($C1823,DESPACHOS!$B$3:$B$3002,0)),""))</f>
        <v/>
      </c>
      <c r="I1823" s="39">
        <f>IF($C1823="","",IFERROR(INDEX(DESPACHOS!$H$3:$H$3002,MATCH($C1823,DESPACHOS!$B$3:$B$3002,0)),""))</f>
        <v/>
      </c>
      <c r="J1823" s="43">
        <f>IF($C1823="","",IFERROR(INDEX(DESPACHOS!$J$3:$J$3002,MATCH($C1823,DESPACHOS!$B$3:$B$3002,0)),""))</f>
        <v/>
      </c>
      <c r="K1823" s="39">
        <f>IF($C1823="","",IF(COUNTIFS(DESPACHOS!$B$3:$B$3002,$C1823)=0,"NO EXISTE",IF(COUNTIFS(DESPACHOS!$B$3:$B$3002,$C1823)&gt;1,"DUPLICADO","OK")))</f>
        <v/>
      </c>
      <c r="L1823" s="41" t="n"/>
      <c r="M1823" s="41" t="n"/>
      <c r="N1823" s="42">
        <f>IF($M1823="","",IFERROR(INDEX(LISTAS!$F$3:$F$42,MATCH($M1823,LISTAS!$E$3:$E$42,0)),"Por definir"))</f>
        <v/>
      </c>
      <c r="O1823" s="41" t="n"/>
      <c r="P1823" s="39">
        <f>IF($L1823="","",IFERROR(INDEX(LISTAS!$B$3:$B$42,MATCH($L1823,LISTAS!$A$3:$A$42,0)),"Media"))</f>
        <v/>
      </c>
      <c r="Q1823" s="44" t="n"/>
      <c r="R1823" s="45" t="n"/>
      <c r="S1823" s="20">
        <f>IFERROR(IF(OR($R1823="",$C1823=""),"",$R1823/INDEX(DESPACHOS!$M$3:$M$3002,MATCH($C1823,DESPACHOS!$B$3:$B$3002,0))),"")</f>
        <v/>
      </c>
      <c r="T1823" s="41" t="n"/>
      <c r="U1823" s="43">
        <f>IF(OR($B1823="",$L1823=""),"",WORKDAY($B1823,IFERROR(INDEX(LISTAS!$C$3:$C$42,MATCH($L1823,LISTAS!$A$3:$A$42,0)),3)))</f>
        <v/>
      </c>
      <c r="V1823" s="40" t="n"/>
      <c r="W1823" s="19">
        <f>IF($B1823="","",IF($V1823&lt;&gt;"",$V1823-$B1823,TODAY()-$B1823))</f>
        <v/>
      </c>
      <c r="X1823" s="19">
        <f>IF(OR($B1823="",$U1823=""),"",IF($V1823&lt;&gt;"",MAX(0,$V1823-$U1823),MAX(0,TODAY()-$U1823)))</f>
        <v/>
      </c>
      <c r="Y1823" s="39">
        <f>IF($C1823="","",IF(IFERROR(INDEX(LISTAS!$I$3:$I$42,MATCH($T1823,LISTAS!$H$3:$H$42,0)),"NO")="SÍ",IF(N($X1823)&gt;0,"CERRADA FUERA DE SLA","CERRADA EN SLA"),IF($U1823="","SIN CLASIFICAR",IF(N($X1823)&gt;0,"VENCIDA",IF(TODAY()&gt;=$U1823-1,"POR VENCER","EN PLAZO")))))</f>
        <v/>
      </c>
      <c r="Z1823" s="41" t="n"/>
      <c r="AA1823" s="41" t="n"/>
      <c r="AB1823" s="41" t="n"/>
    </row>
    <row r="1824">
      <c r="A1824" s="39">
        <f>IF($C1824="","","NOV-"&amp;TEXT(ROW()-3,"0000"))</f>
        <v/>
      </c>
      <c r="B1824" s="40" t="n"/>
      <c r="C1824" s="41" t="n"/>
      <c r="D1824" s="42">
        <f>IF($C1824="","",IFERROR(INDEX(DESPACHOS!$D$3:$D$3002,MATCH($C1824,DESPACHOS!$B$3:$B$3002,0)),"SIN DESPACHO"))</f>
        <v/>
      </c>
      <c r="E1824" s="42">
        <f>IF($C1824="","",IFERROR(INDEX(DESPACHOS!$K$3:$K$3002,MATCH($C1824,DESPACHOS!$B$3:$B$3002,0)),""))</f>
        <v/>
      </c>
      <c r="F1824" s="42">
        <f>IF($C1824="","",IFERROR(INDEX(DESPACHOS!$I$3:$I$3002,MATCH($C1824,DESPACHOS!$B$3:$B$3002,0)),""))</f>
        <v/>
      </c>
      <c r="G1824" s="42">
        <f>IF($C1824="","",IFERROR(INDEX(DESPACHOS!$F$3:$F$3002,MATCH($C1824,DESPACHOS!$B$3:$B$3002,0)),""))</f>
        <v/>
      </c>
      <c r="H1824" s="42">
        <f>IF($C1824="","",IFERROR(INDEX(DESPACHOS!$G$3:$G$3002,MATCH($C1824,DESPACHOS!$B$3:$B$3002,0)),""))</f>
        <v/>
      </c>
      <c r="I1824" s="39">
        <f>IF($C1824="","",IFERROR(INDEX(DESPACHOS!$H$3:$H$3002,MATCH($C1824,DESPACHOS!$B$3:$B$3002,0)),""))</f>
        <v/>
      </c>
      <c r="J1824" s="43">
        <f>IF($C1824="","",IFERROR(INDEX(DESPACHOS!$J$3:$J$3002,MATCH($C1824,DESPACHOS!$B$3:$B$3002,0)),""))</f>
        <v/>
      </c>
      <c r="K1824" s="39">
        <f>IF($C1824="","",IF(COUNTIFS(DESPACHOS!$B$3:$B$3002,$C1824)=0,"NO EXISTE",IF(COUNTIFS(DESPACHOS!$B$3:$B$3002,$C1824)&gt;1,"DUPLICADO","OK")))</f>
        <v/>
      </c>
      <c r="L1824" s="41" t="n"/>
      <c r="M1824" s="41" t="n"/>
      <c r="N1824" s="42">
        <f>IF($M1824="","",IFERROR(INDEX(LISTAS!$F$3:$F$42,MATCH($M1824,LISTAS!$E$3:$E$42,0)),"Por definir"))</f>
        <v/>
      </c>
      <c r="O1824" s="41" t="n"/>
      <c r="P1824" s="39">
        <f>IF($L1824="","",IFERROR(INDEX(LISTAS!$B$3:$B$42,MATCH($L1824,LISTAS!$A$3:$A$42,0)),"Media"))</f>
        <v/>
      </c>
      <c r="Q1824" s="44" t="n"/>
      <c r="R1824" s="45" t="n"/>
      <c r="S1824" s="20">
        <f>IFERROR(IF(OR($R1824="",$C1824=""),"",$R1824/INDEX(DESPACHOS!$M$3:$M$3002,MATCH($C1824,DESPACHOS!$B$3:$B$3002,0))),"")</f>
        <v/>
      </c>
      <c r="T1824" s="41" t="n"/>
      <c r="U1824" s="43">
        <f>IF(OR($B1824="",$L1824=""),"",WORKDAY($B1824,IFERROR(INDEX(LISTAS!$C$3:$C$42,MATCH($L1824,LISTAS!$A$3:$A$42,0)),3)))</f>
        <v/>
      </c>
      <c r="V1824" s="40" t="n"/>
      <c r="W1824" s="19">
        <f>IF($B1824="","",IF($V1824&lt;&gt;"",$V1824-$B1824,TODAY()-$B1824))</f>
        <v/>
      </c>
      <c r="X1824" s="19">
        <f>IF(OR($B1824="",$U1824=""),"",IF($V1824&lt;&gt;"",MAX(0,$V1824-$U1824),MAX(0,TODAY()-$U1824)))</f>
        <v/>
      </c>
      <c r="Y1824" s="39">
        <f>IF($C1824="","",IF(IFERROR(INDEX(LISTAS!$I$3:$I$42,MATCH($T1824,LISTAS!$H$3:$H$42,0)),"NO")="SÍ",IF(N($X1824)&gt;0,"CERRADA FUERA DE SLA","CERRADA EN SLA"),IF($U1824="","SIN CLASIFICAR",IF(N($X1824)&gt;0,"VENCIDA",IF(TODAY()&gt;=$U1824-1,"POR VENCER","EN PLAZO")))))</f>
        <v/>
      </c>
      <c r="Z1824" s="41" t="n"/>
      <c r="AA1824" s="41" t="n"/>
      <c r="AB1824" s="41" t="n"/>
    </row>
    <row r="1825">
      <c r="A1825" s="39">
        <f>IF($C1825="","","NOV-"&amp;TEXT(ROW()-3,"0000"))</f>
        <v/>
      </c>
      <c r="B1825" s="40" t="n"/>
      <c r="C1825" s="41" t="n"/>
      <c r="D1825" s="42">
        <f>IF($C1825="","",IFERROR(INDEX(DESPACHOS!$D$3:$D$3002,MATCH($C1825,DESPACHOS!$B$3:$B$3002,0)),"SIN DESPACHO"))</f>
        <v/>
      </c>
      <c r="E1825" s="42">
        <f>IF($C1825="","",IFERROR(INDEX(DESPACHOS!$K$3:$K$3002,MATCH($C1825,DESPACHOS!$B$3:$B$3002,0)),""))</f>
        <v/>
      </c>
      <c r="F1825" s="42">
        <f>IF($C1825="","",IFERROR(INDEX(DESPACHOS!$I$3:$I$3002,MATCH($C1825,DESPACHOS!$B$3:$B$3002,0)),""))</f>
        <v/>
      </c>
      <c r="G1825" s="42">
        <f>IF($C1825="","",IFERROR(INDEX(DESPACHOS!$F$3:$F$3002,MATCH($C1825,DESPACHOS!$B$3:$B$3002,0)),""))</f>
        <v/>
      </c>
      <c r="H1825" s="42">
        <f>IF($C1825="","",IFERROR(INDEX(DESPACHOS!$G$3:$G$3002,MATCH($C1825,DESPACHOS!$B$3:$B$3002,0)),""))</f>
        <v/>
      </c>
      <c r="I1825" s="39">
        <f>IF($C1825="","",IFERROR(INDEX(DESPACHOS!$H$3:$H$3002,MATCH($C1825,DESPACHOS!$B$3:$B$3002,0)),""))</f>
        <v/>
      </c>
      <c r="J1825" s="43">
        <f>IF($C1825="","",IFERROR(INDEX(DESPACHOS!$J$3:$J$3002,MATCH($C1825,DESPACHOS!$B$3:$B$3002,0)),""))</f>
        <v/>
      </c>
      <c r="K1825" s="39">
        <f>IF($C1825="","",IF(COUNTIFS(DESPACHOS!$B$3:$B$3002,$C1825)=0,"NO EXISTE",IF(COUNTIFS(DESPACHOS!$B$3:$B$3002,$C1825)&gt;1,"DUPLICADO","OK")))</f>
        <v/>
      </c>
      <c r="L1825" s="41" t="n"/>
      <c r="M1825" s="41" t="n"/>
      <c r="N1825" s="42">
        <f>IF($M1825="","",IFERROR(INDEX(LISTAS!$F$3:$F$42,MATCH($M1825,LISTAS!$E$3:$E$42,0)),"Por definir"))</f>
        <v/>
      </c>
      <c r="O1825" s="41" t="n"/>
      <c r="P1825" s="39">
        <f>IF($L1825="","",IFERROR(INDEX(LISTAS!$B$3:$B$42,MATCH($L1825,LISTAS!$A$3:$A$42,0)),"Media"))</f>
        <v/>
      </c>
      <c r="Q1825" s="44" t="n"/>
      <c r="R1825" s="45" t="n"/>
      <c r="S1825" s="20">
        <f>IFERROR(IF(OR($R1825="",$C1825=""),"",$R1825/INDEX(DESPACHOS!$M$3:$M$3002,MATCH($C1825,DESPACHOS!$B$3:$B$3002,0))),"")</f>
        <v/>
      </c>
      <c r="T1825" s="41" t="n"/>
      <c r="U1825" s="43">
        <f>IF(OR($B1825="",$L1825=""),"",WORKDAY($B1825,IFERROR(INDEX(LISTAS!$C$3:$C$42,MATCH($L1825,LISTAS!$A$3:$A$42,0)),3)))</f>
        <v/>
      </c>
      <c r="V1825" s="40" t="n"/>
      <c r="W1825" s="19">
        <f>IF($B1825="","",IF($V1825&lt;&gt;"",$V1825-$B1825,TODAY()-$B1825))</f>
        <v/>
      </c>
      <c r="X1825" s="19">
        <f>IF(OR($B1825="",$U1825=""),"",IF($V1825&lt;&gt;"",MAX(0,$V1825-$U1825),MAX(0,TODAY()-$U1825)))</f>
        <v/>
      </c>
      <c r="Y1825" s="39">
        <f>IF($C1825="","",IF(IFERROR(INDEX(LISTAS!$I$3:$I$42,MATCH($T1825,LISTAS!$H$3:$H$42,0)),"NO")="SÍ",IF(N($X1825)&gt;0,"CERRADA FUERA DE SLA","CERRADA EN SLA"),IF($U1825="","SIN CLASIFICAR",IF(N($X1825)&gt;0,"VENCIDA",IF(TODAY()&gt;=$U1825-1,"POR VENCER","EN PLAZO")))))</f>
        <v/>
      </c>
      <c r="Z1825" s="41" t="n"/>
      <c r="AA1825" s="41" t="n"/>
      <c r="AB1825" s="41" t="n"/>
    </row>
    <row r="1826">
      <c r="A1826" s="39">
        <f>IF($C1826="","","NOV-"&amp;TEXT(ROW()-3,"0000"))</f>
        <v/>
      </c>
      <c r="B1826" s="40" t="n"/>
      <c r="C1826" s="41" t="n"/>
      <c r="D1826" s="42">
        <f>IF($C1826="","",IFERROR(INDEX(DESPACHOS!$D$3:$D$3002,MATCH($C1826,DESPACHOS!$B$3:$B$3002,0)),"SIN DESPACHO"))</f>
        <v/>
      </c>
      <c r="E1826" s="42">
        <f>IF($C1826="","",IFERROR(INDEX(DESPACHOS!$K$3:$K$3002,MATCH($C1826,DESPACHOS!$B$3:$B$3002,0)),""))</f>
        <v/>
      </c>
      <c r="F1826" s="42">
        <f>IF($C1826="","",IFERROR(INDEX(DESPACHOS!$I$3:$I$3002,MATCH($C1826,DESPACHOS!$B$3:$B$3002,0)),""))</f>
        <v/>
      </c>
      <c r="G1826" s="42">
        <f>IF($C1826="","",IFERROR(INDEX(DESPACHOS!$F$3:$F$3002,MATCH($C1826,DESPACHOS!$B$3:$B$3002,0)),""))</f>
        <v/>
      </c>
      <c r="H1826" s="42">
        <f>IF($C1826="","",IFERROR(INDEX(DESPACHOS!$G$3:$G$3002,MATCH($C1826,DESPACHOS!$B$3:$B$3002,0)),""))</f>
        <v/>
      </c>
      <c r="I1826" s="39">
        <f>IF($C1826="","",IFERROR(INDEX(DESPACHOS!$H$3:$H$3002,MATCH($C1826,DESPACHOS!$B$3:$B$3002,0)),""))</f>
        <v/>
      </c>
      <c r="J1826" s="43">
        <f>IF($C1826="","",IFERROR(INDEX(DESPACHOS!$J$3:$J$3002,MATCH($C1826,DESPACHOS!$B$3:$B$3002,0)),""))</f>
        <v/>
      </c>
      <c r="K1826" s="39">
        <f>IF($C1826="","",IF(COUNTIFS(DESPACHOS!$B$3:$B$3002,$C1826)=0,"NO EXISTE",IF(COUNTIFS(DESPACHOS!$B$3:$B$3002,$C1826)&gt;1,"DUPLICADO","OK")))</f>
        <v/>
      </c>
      <c r="L1826" s="41" t="n"/>
      <c r="M1826" s="41" t="n"/>
      <c r="N1826" s="42">
        <f>IF($M1826="","",IFERROR(INDEX(LISTAS!$F$3:$F$42,MATCH($M1826,LISTAS!$E$3:$E$42,0)),"Por definir"))</f>
        <v/>
      </c>
      <c r="O1826" s="41" t="n"/>
      <c r="P1826" s="39">
        <f>IF($L1826="","",IFERROR(INDEX(LISTAS!$B$3:$B$42,MATCH($L1826,LISTAS!$A$3:$A$42,0)),"Media"))</f>
        <v/>
      </c>
      <c r="Q1826" s="44" t="n"/>
      <c r="R1826" s="45" t="n"/>
      <c r="S1826" s="20">
        <f>IFERROR(IF(OR($R1826="",$C1826=""),"",$R1826/INDEX(DESPACHOS!$M$3:$M$3002,MATCH($C1826,DESPACHOS!$B$3:$B$3002,0))),"")</f>
        <v/>
      </c>
      <c r="T1826" s="41" t="n"/>
      <c r="U1826" s="43">
        <f>IF(OR($B1826="",$L1826=""),"",WORKDAY($B1826,IFERROR(INDEX(LISTAS!$C$3:$C$42,MATCH($L1826,LISTAS!$A$3:$A$42,0)),3)))</f>
        <v/>
      </c>
      <c r="V1826" s="40" t="n"/>
      <c r="W1826" s="19">
        <f>IF($B1826="","",IF($V1826&lt;&gt;"",$V1826-$B1826,TODAY()-$B1826))</f>
        <v/>
      </c>
      <c r="X1826" s="19">
        <f>IF(OR($B1826="",$U1826=""),"",IF($V1826&lt;&gt;"",MAX(0,$V1826-$U1826),MAX(0,TODAY()-$U1826)))</f>
        <v/>
      </c>
      <c r="Y1826" s="39">
        <f>IF($C1826="","",IF(IFERROR(INDEX(LISTAS!$I$3:$I$42,MATCH($T1826,LISTAS!$H$3:$H$42,0)),"NO")="SÍ",IF(N($X1826)&gt;0,"CERRADA FUERA DE SLA","CERRADA EN SLA"),IF($U1826="","SIN CLASIFICAR",IF(N($X1826)&gt;0,"VENCIDA",IF(TODAY()&gt;=$U1826-1,"POR VENCER","EN PLAZO")))))</f>
        <v/>
      </c>
      <c r="Z1826" s="41" t="n"/>
      <c r="AA1826" s="41" t="n"/>
      <c r="AB1826" s="41" t="n"/>
    </row>
    <row r="1827">
      <c r="A1827" s="39">
        <f>IF($C1827="","","NOV-"&amp;TEXT(ROW()-3,"0000"))</f>
        <v/>
      </c>
      <c r="B1827" s="40" t="n"/>
      <c r="C1827" s="41" t="n"/>
      <c r="D1827" s="42">
        <f>IF($C1827="","",IFERROR(INDEX(DESPACHOS!$D$3:$D$3002,MATCH($C1827,DESPACHOS!$B$3:$B$3002,0)),"SIN DESPACHO"))</f>
        <v/>
      </c>
      <c r="E1827" s="42">
        <f>IF($C1827="","",IFERROR(INDEX(DESPACHOS!$K$3:$K$3002,MATCH($C1827,DESPACHOS!$B$3:$B$3002,0)),""))</f>
        <v/>
      </c>
      <c r="F1827" s="42">
        <f>IF($C1827="","",IFERROR(INDEX(DESPACHOS!$I$3:$I$3002,MATCH($C1827,DESPACHOS!$B$3:$B$3002,0)),""))</f>
        <v/>
      </c>
      <c r="G1827" s="42">
        <f>IF($C1827="","",IFERROR(INDEX(DESPACHOS!$F$3:$F$3002,MATCH($C1827,DESPACHOS!$B$3:$B$3002,0)),""))</f>
        <v/>
      </c>
      <c r="H1827" s="42">
        <f>IF($C1827="","",IFERROR(INDEX(DESPACHOS!$G$3:$G$3002,MATCH($C1827,DESPACHOS!$B$3:$B$3002,0)),""))</f>
        <v/>
      </c>
      <c r="I1827" s="39">
        <f>IF($C1827="","",IFERROR(INDEX(DESPACHOS!$H$3:$H$3002,MATCH($C1827,DESPACHOS!$B$3:$B$3002,0)),""))</f>
        <v/>
      </c>
      <c r="J1827" s="43">
        <f>IF($C1827="","",IFERROR(INDEX(DESPACHOS!$J$3:$J$3002,MATCH($C1827,DESPACHOS!$B$3:$B$3002,0)),""))</f>
        <v/>
      </c>
      <c r="K1827" s="39">
        <f>IF($C1827="","",IF(COUNTIFS(DESPACHOS!$B$3:$B$3002,$C1827)=0,"NO EXISTE",IF(COUNTIFS(DESPACHOS!$B$3:$B$3002,$C1827)&gt;1,"DUPLICADO","OK")))</f>
        <v/>
      </c>
      <c r="L1827" s="41" t="n"/>
      <c r="M1827" s="41" t="n"/>
      <c r="N1827" s="42">
        <f>IF($M1827="","",IFERROR(INDEX(LISTAS!$F$3:$F$42,MATCH($M1827,LISTAS!$E$3:$E$42,0)),"Por definir"))</f>
        <v/>
      </c>
      <c r="O1827" s="41" t="n"/>
      <c r="P1827" s="39">
        <f>IF($L1827="","",IFERROR(INDEX(LISTAS!$B$3:$B$42,MATCH($L1827,LISTAS!$A$3:$A$42,0)),"Media"))</f>
        <v/>
      </c>
      <c r="Q1827" s="44" t="n"/>
      <c r="R1827" s="45" t="n"/>
      <c r="S1827" s="20">
        <f>IFERROR(IF(OR($R1827="",$C1827=""),"",$R1827/INDEX(DESPACHOS!$M$3:$M$3002,MATCH($C1827,DESPACHOS!$B$3:$B$3002,0))),"")</f>
        <v/>
      </c>
      <c r="T1827" s="41" t="n"/>
      <c r="U1827" s="43">
        <f>IF(OR($B1827="",$L1827=""),"",WORKDAY($B1827,IFERROR(INDEX(LISTAS!$C$3:$C$42,MATCH($L1827,LISTAS!$A$3:$A$42,0)),3)))</f>
        <v/>
      </c>
      <c r="V1827" s="40" t="n"/>
      <c r="W1827" s="19">
        <f>IF($B1827="","",IF($V1827&lt;&gt;"",$V1827-$B1827,TODAY()-$B1827))</f>
        <v/>
      </c>
      <c r="X1827" s="19">
        <f>IF(OR($B1827="",$U1827=""),"",IF($V1827&lt;&gt;"",MAX(0,$V1827-$U1827),MAX(0,TODAY()-$U1827)))</f>
        <v/>
      </c>
      <c r="Y1827" s="39">
        <f>IF($C1827="","",IF(IFERROR(INDEX(LISTAS!$I$3:$I$42,MATCH($T1827,LISTAS!$H$3:$H$42,0)),"NO")="SÍ",IF(N($X1827)&gt;0,"CERRADA FUERA DE SLA","CERRADA EN SLA"),IF($U1827="","SIN CLASIFICAR",IF(N($X1827)&gt;0,"VENCIDA",IF(TODAY()&gt;=$U1827-1,"POR VENCER","EN PLAZO")))))</f>
        <v/>
      </c>
      <c r="Z1827" s="41" t="n"/>
      <c r="AA1827" s="41" t="n"/>
      <c r="AB1827" s="41" t="n"/>
    </row>
    <row r="1828">
      <c r="A1828" s="39">
        <f>IF($C1828="","","NOV-"&amp;TEXT(ROW()-3,"0000"))</f>
        <v/>
      </c>
      <c r="B1828" s="40" t="n"/>
      <c r="C1828" s="41" t="n"/>
      <c r="D1828" s="42">
        <f>IF($C1828="","",IFERROR(INDEX(DESPACHOS!$D$3:$D$3002,MATCH($C1828,DESPACHOS!$B$3:$B$3002,0)),"SIN DESPACHO"))</f>
        <v/>
      </c>
      <c r="E1828" s="42">
        <f>IF($C1828="","",IFERROR(INDEX(DESPACHOS!$K$3:$K$3002,MATCH($C1828,DESPACHOS!$B$3:$B$3002,0)),""))</f>
        <v/>
      </c>
      <c r="F1828" s="42">
        <f>IF($C1828="","",IFERROR(INDEX(DESPACHOS!$I$3:$I$3002,MATCH($C1828,DESPACHOS!$B$3:$B$3002,0)),""))</f>
        <v/>
      </c>
      <c r="G1828" s="42">
        <f>IF($C1828="","",IFERROR(INDEX(DESPACHOS!$F$3:$F$3002,MATCH($C1828,DESPACHOS!$B$3:$B$3002,0)),""))</f>
        <v/>
      </c>
      <c r="H1828" s="42">
        <f>IF($C1828="","",IFERROR(INDEX(DESPACHOS!$G$3:$G$3002,MATCH($C1828,DESPACHOS!$B$3:$B$3002,0)),""))</f>
        <v/>
      </c>
      <c r="I1828" s="39">
        <f>IF($C1828="","",IFERROR(INDEX(DESPACHOS!$H$3:$H$3002,MATCH($C1828,DESPACHOS!$B$3:$B$3002,0)),""))</f>
        <v/>
      </c>
      <c r="J1828" s="43">
        <f>IF($C1828="","",IFERROR(INDEX(DESPACHOS!$J$3:$J$3002,MATCH($C1828,DESPACHOS!$B$3:$B$3002,0)),""))</f>
        <v/>
      </c>
      <c r="K1828" s="39">
        <f>IF($C1828="","",IF(COUNTIFS(DESPACHOS!$B$3:$B$3002,$C1828)=0,"NO EXISTE",IF(COUNTIFS(DESPACHOS!$B$3:$B$3002,$C1828)&gt;1,"DUPLICADO","OK")))</f>
        <v/>
      </c>
      <c r="L1828" s="41" t="n"/>
      <c r="M1828" s="41" t="n"/>
      <c r="N1828" s="42">
        <f>IF($M1828="","",IFERROR(INDEX(LISTAS!$F$3:$F$42,MATCH($M1828,LISTAS!$E$3:$E$42,0)),"Por definir"))</f>
        <v/>
      </c>
      <c r="O1828" s="41" t="n"/>
      <c r="P1828" s="39">
        <f>IF($L1828="","",IFERROR(INDEX(LISTAS!$B$3:$B$42,MATCH($L1828,LISTAS!$A$3:$A$42,0)),"Media"))</f>
        <v/>
      </c>
      <c r="Q1828" s="44" t="n"/>
      <c r="R1828" s="45" t="n"/>
      <c r="S1828" s="20">
        <f>IFERROR(IF(OR($R1828="",$C1828=""),"",$R1828/INDEX(DESPACHOS!$M$3:$M$3002,MATCH($C1828,DESPACHOS!$B$3:$B$3002,0))),"")</f>
        <v/>
      </c>
      <c r="T1828" s="41" t="n"/>
      <c r="U1828" s="43">
        <f>IF(OR($B1828="",$L1828=""),"",WORKDAY($B1828,IFERROR(INDEX(LISTAS!$C$3:$C$42,MATCH($L1828,LISTAS!$A$3:$A$42,0)),3)))</f>
        <v/>
      </c>
      <c r="V1828" s="40" t="n"/>
      <c r="W1828" s="19">
        <f>IF($B1828="","",IF($V1828&lt;&gt;"",$V1828-$B1828,TODAY()-$B1828))</f>
        <v/>
      </c>
      <c r="X1828" s="19">
        <f>IF(OR($B1828="",$U1828=""),"",IF($V1828&lt;&gt;"",MAX(0,$V1828-$U1828),MAX(0,TODAY()-$U1828)))</f>
        <v/>
      </c>
      <c r="Y1828" s="39">
        <f>IF($C1828="","",IF(IFERROR(INDEX(LISTAS!$I$3:$I$42,MATCH($T1828,LISTAS!$H$3:$H$42,0)),"NO")="SÍ",IF(N($X1828)&gt;0,"CERRADA FUERA DE SLA","CERRADA EN SLA"),IF($U1828="","SIN CLASIFICAR",IF(N($X1828)&gt;0,"VENCIDA",IF(TODAY()&gt;=$U1828-1,"POR VENCER","EN PLAZO")))))</f>
        <v/>
      </c>
      <c r="Z1828" s="41" t="n"/>
      <c r="AA1828" s="41" t="n"/>
      <c r="AB1828" s="41" t="n"/>
    </row>
    <row r="1829">
      <c r="A1829" s="39">
        <f>IF($C1829="","","NOV-"&amp;TEXT(ROW()-3,"0000"))</f>
        <v/>
      </c>
      <c r="B1829" s="40" t="n"/>
      <c r="C1829" s="41" t="n"/>
      <c r="D1829" s="42">
        <f>IF($C1829="","",IFERROR(INDEX(DESPACHOS!$D$3:$D$3002,MATCH($C1829,DESPACHOS!$B$3:$B$3002,0)),"SIN DESPACHO"))</f>
        <v/>
      </c>
      <c r="E1829" s="42">
        <f>IF($C1829="","",IFERROR(INDEX(DESPACHOS!$K$3:$K$3002,MATCH($C1829,DESPACHOS!$B$3:$B$3002,0)),""))</f>
        <v/>
      </c>
      <c r="F1829" s="42">
        <f>IF($C1829="","",IFERROR(INDEX(DESPACHOS!$I$3:$I$3002,MATCH($C1829,DESPACHOS!$B$3:$B$3002,0)),""))</f>
        <v/>
      </c>
      <c r="G1829" s="42">
        <f>IF($C1829="","",IFERROR(INDEX(DESPACHOS!$F$3:$F$3002,MATCH($C1829,DESPACHOS!$B$3:$B$3002,0)),""))</f>
        <v/>
      </c>
      <c r="H1829" s="42">
        <f>IF($C1829="","",IFERROR(INDEX(DESPACHOS!$G$3:$G$3002,MATCH($C1829,DESPACHOS!$B$3:$B$3002,0)),""))</f>
        <v/>
      </c>
      <c r="I1829" s="39">
        <f>IF($C1829="","",IFERROR(INDEX(DESPACHOS!$H$3:$H$3002,MATCH($C1829,DESPACHOS!$B$3:$B$3002,0)),""))</f>
        <v/>
      </c>
      <c r="J1829" s="43">
        <f>IF($C1829="","",IFERROR(INDEX(DESPACHOS!$J$3:$J$3002,MATCH($C1829,DESPACHOS!$B$3:$B$3002,0)),""))</f>
        <v/>
      </c>
      <c r="K1829" s="39">
        <f>IF($C1829="","",IF(COUNTIFS(DESPACHOS!$B$3:$B$3002,$C1829)=0,"NO EXISTE",IF(COUNTIFS(DESPACHOS!$B$3:$B$3002,$C1829)&gt;1,"DUPLICADO","OK")))</f>
        <v/>
      </c>
      <c r="L1829" s="41" t="n"/>
      <c r="M1829" s="41" t="n"/>
      <c r="N1829" s="42">
        <f>IF($M1829="","",IFERROR(INDEX(LISTAS!$F$3:$F$42,MATCH($M1829,LISTAS!$E$3:$E$42,0)),"Por definir"))</f>
        <v/>
      </c>
      <c r="O1829" s="41" t="n"/>
      <c r="P1829" s="39">
        <f>IF($L1829="","",IFERROR(INDEX(LISTAS!$B$3:$B$42,MATCH($L1829,LISTAS!$A$3:$A$42,0)),"Media"))</f>
        <v/>
      </c>
      <c r="Q1829" s="44" t="n"/>
      <c r="R1829" s="45" t="n"/>
      <c r="S1829" s="20">
        <f>IFERROR(IF(OR($R1829="",$C1829=""),"",$R1829/INDEX(DESPACHOS!$M$3:$M$3002,MATCH($C1829,DESPACHOS!$B$3:$B$3002,0))),"")</f>
        <v/>
      </c>
      <c r="T1829" s="41" t="n"/>
      <c r="U1829" s="43">
        <f>IF(OR($B1829="",$L1829=""),"",WORKDAY($B1829,IFERROR(INDEX(LISTAS!$C$3:$C$42,MATCH($L1829,LISTAS!$A$3:$A$42,0)),3)))</f>
        <v/>
      </c>
      <c r="V1829" s="40" t="n"/>
      <c r="W1829" s="19">
        <f>IF($B1829="","",IF($V1829&lt;&gt;"",$V1829-$B1829,TODAY()-$B1829))</f>
        <v/>
      </c>
      <c r="X1829" s="19">
        <f>IF(OR($B1829="",$U1829=""),"",IF($V1829&lt;&gt;"",MAX(0,$V1829-$U1829),MAX(0,TODAY()-$U1829)))</f>
        <v/>
      </c>
      <c r="Y1829" s="39">
        <f>IF($C1829="","",IF(IFERROR(INDEX(LISTAS!$I$3:$I$42,MATCH($T1829,LISTAS!$H$3:$H$42,0)),"NO")="SÍ",IF(N($X1829)&gt;0,"CERRADA FUERA DE SLA","CERRADA EN SLA"),IF($U1829="","SIN CLASIFICAR",IF(N($X1829)&gt;0,"VENCIDA",IF(TODAY()&gt;=$U1829-1,"POR VENCER","EN PLAZO")))))</f>
        <v/>
      </c>
      <c r="Z1829" s="41" t="n"/>
      <c r="AA1829" s="41" t="n"/>
      <c r="AB1829" s="41" t="n"/>
    </row>
    <row r="1830">
      <c r="A1830" s="39">
        <f>IF($C1830="","","NOV-"&amp;TEXT(ROW()-3,"0000"))</f>
        <v/>
      </c>
      <c r="B1830" s="40" t="n"/>
      <c r="C1830" s="41" t="n"/>
      <c r="D1830" s="42">
        <f>IF($C1830="","",IFERROR(INDEX(DESPACHOS!$D$3:$D$3002,MATCH($C1830,DESPACHOS!$B$3:$B$3002,0)),"SIN DESPACHO"))</f>
        <v/>
      </c>
      <c r="E1830" s="42">
        <f>IF($C1830="","",IFERROR(INDEX(DESPACHOS!$K$3:$K$3002,MATCH($C1830,DESPACHOS!$B$3:$B$3002,0)),""))</f>
        <v/>
      </c>
      <c r="F1830" s="42">
        <f>IF($C1830="","",IFERROR(INDEX(DESPACHOS!$I$3:$I$3002,MATCH($C1830,DESPACHOS!$B$3:$B$3002,0)),""))</f>
        <v/>
      </c>
      <c r="G1830" s="42">
        <f>IF($C1830="","",IFERROR(INDEX(DESPACHOS!$F$3:$F$3002,MATCH($C1830,DESPACHOS!$B$3:$B$3002,0)),""))</f>
        <v/>
      </c>
      <c r="H1830" s="42">
        <f>IF($C1830="","",IFERROR(INDEX(DESPACHOS!$G$3:$G$3002,MATCH($C1830,DESPACHOS!$B$3:$B$3002,0)),""))</f>
        <v/>
      </c>
      <c r="I1830" s="39">
        <f>IF($C1830="","",IFERROR(INDEX(DESPACHOS!$H$3:$H$3002,MATCH($C1830,DESPACHOS!$B$3:$B$3002,0)),""))</f>
        <v/>
      </c>
      <c r="J1830" s="43">
        <f>IF($C1830="","",IFERROR(INDEX(DESPACHOS!$J$3:$J$3002,MATCH($C1830,DESPACHOS!$B$3:$B$3002,0)),""))</f>
        <v/>
      </c>
      <c r="K1830" s="39">
        <f>IF($C1830="","",IF(COUNTIFS(DESPACHOS!$B$3:$B$3002,$C1830)=0,"NO EXISTE",IF(COUNTIFS(DESPACHOS!$B$3:$B$3002,$C1830)&gt;1,"DUPLICADO","OK")))</f>
        <v/>
      </c>
      <c r="L1830" s="41" t="n"/>
      <c r="M1830" s="41" t="n"/>
      <c r="N1830" s="42">
        <f>IF($M1830="","",IFERROR(INDEX(LISTAS!$F$3:$F$42,MATCH($M1830,LISTAS!$E$3:$E$42,0)),"Por definir"))</f>
        <v/>
      </c>
      <c r="O1830" s="41" t="n"/>
      <c r="P1830" s="39">
        <f>IF($L1830="","",IFERROR(INDEX(LISTAS!$B$3:$B$42,MATCH($L1830,LISTAS!$A$3:$A$42,0)),"Media"))</f>
        <v/>
      </c>
      <c r="Q1830" s="44" t="n"/>
      <c r="R1830" s="45" t="n"/>
      <c r="S1830" s="20">
        <f>IFERROR(IF(OR($R1830="",$C1830=""),"",$R1830/INDEX(DESPACHOS!$M$3:$M$3002,MATCH($C1830,DESPACHOS!$B$3:$B$3002,0))),"")</f>
        <v/>
      </c>
      <c r="T1830" s="41" t="n"/>
      <c r="U1830" s="43">
        <f>IF(OR($B1830="",$L1830=""),"",WORKDAY($B1830,IFERROR(INDEX(LISTAS!$C$3:$C$42,MATCH($L1830,LISTAS!$A$3:$A$42,0)),3)))</f>
        <v/>
      </c>
      <c r="V1830" s="40" t="n"/>
      <c r="W1830" s="19">
        <f>IF($B1830="","",IF($V1830&lt;&gt;"",$V1830-$B1830,TODAY()-$B1830))</f>
        <v/>
      </c>
      <c r="X1830" s="19">
        <f>IF(OR($B1830="",$U1830=""),"",IF($V1830&lt;&gt;"",MAX(0,$V1830-$U1830),MAX(0,TODAY()-$U1830)))</f>
        <v/>
      </c>
      <c r="Y1830" s="39">
        <f>IF($C1830="","",IF(IFERROR(INDEX(LISTAS!$I$3:$I$42,MATCH($T1830,LISTAS!$H$3:$H$42,0)),"NO")="SÍ",IF(N($X1830)&gt;0,"CERRADA FUERA DE SLA","CERRADA EN SLA"),IF($U1830="","SIN CLASIFICAR",IF(N($X1830)&gt;0,"VENCIDA",IF(TODAY()&gt;=$U1830-1,"POR VENCER","EN PLAZO")))))</f>
        <v/>
      </c>
      <c r="Z1830" s="41" t="n"/>
      <c r="AA1830" s="41" t="n"/>
      <c r="AB1830" s="41" t="n"/>
    </row>
    <row r="1831">
      <c r="A1831" s="39">
        <f>IF($C1831="","","NOV-"&amp;TEXT(ROW()-3,"0000"))</f>
        <v/>
      </c>
      <c r="B1831" s="40" t="n"/>
      <c r="C1831" s="41" t="n"/>
      <c r="D1831" s="42">
        <f>IF($C1831="","",IFERROR(INDEX(DESPACHOS!$D$3:$D$3002,MATCH($C1831,DESPACHOS!$B$3:$B$3002,0)),"SIN DESPACHO"))</f>
        <v/>
      </c>
      <c r="E1831" s="42">
        <f>IF($C1831="","",IFERROR(INDEX(DESPACHOS!$K$3:$K$3002,MATCH($C1831,DESPACHOS!$B$3:$B$3002,0)),""))</f>
        <v/>
      </c>
      <c r="F1831" s="42">
        <f>IF($C1831="","",IFERROR(INDEX(DESPACHOS!$I$3:$I$3002,MATCH($C1831,DESPACHOS!$B$3:$B$3002,0)),""))</f>
        <v/>
      </c>
      <c r="G1831" s="42">
        <f>IF($C1831="","",IFERROR(INDEX(DESPACHOS!$F$3:$F$3002,MATCH($C1831,DESPACHOS!$B$3:$B$3002,0)),""))</f>
        <v/>
      </c>
      <c r="H1831" s="42">
        <f>IF($C1831="","",IFERROR(INDEX(DESPACHOS!$G$3:$G$3002,MATCH($C1831,DESPACHOS!$B$3:$B$3002,0)),""))</f>
        <v/>
      </c>
      <c r="I1831" s="39">
        <f>IF($C1831="","",IFERROR(INDEX(DESPACHOS!$H$3:$H$3002,MATCH($C1831,DESPACHOS!$B$3:$B$3002,0)),""))</f>
        <v/>
      </c>
      <c r="J1831" s="43">
        <f>IF($C1831="","",IFERROR(INDEX(DESPACHOS!$J$3:$J$3002,MATCH($C1831,DESPACHOS!$B$3:$B$3002,0)),""))</f>
        <v/>
      </c>
      <c r="K1831" s="39">
        <f>IF($C1831="","",IF(COUNTIFS(DESPACHOS!$B$3:$B$3002,$C1831)=0,"NO EXISTE",IF(COUNTIFS(DESPACHOS!$B$3:$B$3002,$C1831)&gt;1,"DUPLICADO","OK")))</f>
        <v/>
      </c>
      <c r="L1831" s="41" t="n"/>
      <c r="M1831" s="41" t="n"/>
      <c r="N1831" s="42">
        <f>IF($M1831="","",IFERROR(INDEX(LISTAS!$F$3:$F$42,MATCH($M1831,LISTAS!$E$3:$E$42,0)),"Por definir"))</f>
        <v/>
      </c>
      <c r="O1831" s="41" t="n"/>
      <c r="P1831" s="39">
        <f>IF($L1831="","",IFERROR(INDEX(LISTAS!$B$3:$B$42,MATCH($L1831,LISTAS!$A$3:$A$42,0)),"Media"))</f>
        <v/>
      </c>
      <c r="Q1831" s="44" t="n"/>
      <c r="R1831" s="45" t="n"/>
      <c r="S1831" s="20">
        <f>IFERROR(IF(OR($R1831="",$C1831=""),"",$R1831/INDEX(DESPACHOS!$M$3:$M$3002,MATCH($C1831,DESPACHOS!$B$3:$B$3002,0))),"")</f>
        <v/>
      </c>
      <c r="T1831" s="41" t="n"/>
      <c r="U1831" s="43">
        <f>IF(OR($B1831="",$L1831=""),"",WORKDAY($B1831,IFERROR(INDEX(LISTAS!$C$3:$C$42,MATCH($L1831,LISTAS!$A$3:$A$42,0)),3)))</f>
        <v/>
      </c>
      <c r="V1831" s="40" t="n"/>
      <c r="W1831" s="19">
        <f>IF($B1831="","",IF($V1831&lt;&gt;"",$V1831-$B1831,TODAY()-$B1831))</f>
        <v/>
      </c>
      <c r="X1831" s="19">
        <f>IF(OR($B1831="",$U1831=""),"",IF($V1831&lt;&gt;"",MAX(0,$V1831-$U1831),MAX(0,TODAY()-$U1831)))</f>
        <v/>
      </c>
      <c r="Y1831" s="39">
        <f>IF($C1831="","",IF(IFERROR(INDEX(LISTAS!$I$3:$I$42,MATCH($T1831,LISTAS!$H$3:$H$42,0)),"NO")="SÍ",IF(N($X1831)&gt;0,"CERRADA FUERA DE SLA","CERRADA EN SLA"),IF($U1831="","SIN CLASIFICAR",IF(N($X1831)&gt;0,"VENCIDA",IF(TODAY()&gt;=$U1831-1,"POR VENCER","EN PLAZO")))))</f>
        <v/>
      </c>
      <c r="Z1831" s="41" t="n"/>
      <c r="AA1831" s="41" t="n"/>
      <c r="AB1831" s="41" t="n"/>
    </row>
    <row r="1832">
      <c r="A1832" s="39">
        <f>IF($C1832="","","NOV-"&amp;TEXT(ROW()-3,"0000"))</f>
        <v/>
      </c>
      <c r="B1832" s="40" t="n"/>
      <c r="C1832" s="41" t="n"/>
      <c r="D1832" s="42">
        <f>IF($C1832="","",IFERROR(INDEX(DESPACHOS!$D$3:$D$3002,MATCH($C1832,DESPACHOS!$B$3:$B$3002,0)),"SIN DESPACHO"))</f>
        <v/>
      </c>
      <c r="E1832" s="42">
        <f>IF($C1832="","",IFERROR(INDEX(DESPACHOS!$K$3:$K$3002,MATCH($C1832,DESPACHOS!$B$3:$B$3002,0)),""))</f>
        <v/>
      </c>
      <c r="F1832" s="42">
        <f>IF($C1832="","",IFERROR(INDEX(DESPACHOS!$I$3:$I$3002,MATCH($C1832,DESPACHOS!$B$3:$B$3002,0)),""))</f>
        <v/>
      </c>
      <c r="G1832" s="42">
        <f>IF($C1832="","",IFERROR(INDEX(DESPACHOS!$F$3:$F$3002,MATCH($C1832,DESPACHOS!$B$3:$B$3002,0)),""))</f>
        <v/>
      </c>
      <c r="H1832" s="42">
        <f>IF($C1832="","",IFERROR(INDEX(DESPACHOS!$G$3:$G$3002,MATCH($C1832,DESPACHOS!$B$3:$B$3002,0)),""))</f>
        <v/>
      </c>
      <c r="I1832" s="39">
        <f>IF($C1832="","",IFERROR(INDEX(DESPACHOS!$H$3:$H$3002,MATCH($C1832,DESPACHOS!$B$3:$B$3002,0)),""))</f>
        <v/>
      </c>
      <c r="J1832" s="43">
        <f>IF($C1832="","",IFERROR(INDEX(DESPACHOS!$J$3:$J$3002,MATCH($C1832,DESPACHOS!$B$3:$B$3002,0)),""))</f>
        <v/>
      </c>
      <c r="K1832" s="39">
        <f>IF($C1832="","",IF(COUNTIFS(DESPACHOS!$B$3:$B$3002,$C1832)=0,"NO EXISTE",IF(COUNTIFS(DESPACHOS!$B$3:$B$3002,$C1832)&gt;1,"DUPLICADO","OK")))</f>
        <v/>
      </c>
      <c r="L1832" s="41" t="n"/>
      <c r="M1832" s="41" t="n"/>
      <c r="N1832" s="42">
        <f>IF($M1832="","",IFERROR(INDEX(LISTAS!$F$3:$F$42,MATCH($M1832,LISTAS!$E$3:$E$42,0)),"Por definir"))</f>
        <v/>
      </c>
      <c r="O1832" s="41" t="n"/>
      <c r="P1832" s="39">
        <f>IF($L1832="","",IFERROR(INDEX(LISTAS!$B$3:$B$42,MATCH($L1832,LISTAS!$A$3:$A$42,0)),"Media"))</f>
        <v/>
      </c>
      <c r="Q1832" s="44" t="n"/>
      <c r="R1832" s="45" t="n"/>
      <c r="S1832" s="20">
        <f>IFERROR(IF(OR($R1832="",$C1832=""),"",$R1832/INDEX(DESPACHOS!$M$3:$M$3002,MATCH($C1832,DESPACHOS!$B$3:$B$3002,0))),"")</f>
        <v/>
      </c>
      <c r="T1832" s="41" t="n"/>
      <c r="U1832" s="43">
        <f>IF(OR($B1832="",$L1832=""),"",WORKDAY($B1832,IFERROR(INDEX(LISTAS!$C$3:$C$42,MATCH($L1832,LISTAS!$A$3:$A$42,0)),3)))</f>
        <v/>
      </c>
      <c r="V1832" s="40" t="n"/>
      <c r="W1832" s="19">
        <f>IF($B1832="","",IF($V1832&lt;&gt;"",$V1832-$B1832,TODAY()-$B1832))</f>
        <v/>
      </c>
      <c r="X1832" s="19">
        <f>IF(OR($B1832="",$U1832=""),"",IF($V1832&lt;&gt;"",MAX(0,$V1832-$U1832),MAX(0,TODAY()-$U1832)))</f>
        <v/>
      </c>
      <c r="Y1832" s="39">
        <f>IF($C1832="","",IF(IFERROR(INDEX(LISTAS!$I$3:$I$42,MATCH($T1832,LISTAS!$H$3:$H$42,0)),"NO")="SÍ",IF(N($X1832)&gt;0,"CERRADA FUERA DE SLA","CERRADA EN SLA"),IF($U1832="","SIN CLASIFICAR",IF(N($X1832)&gt;0,"VENCIDA",IF(TODAY()&gt;=$U1832-1,"POR VENCER","EN PLAZO")))))</f>
        <v/>
      </c>
      <c r="Z1832" s="41" t="n"/>
      <c r="AA1832" s="41" t="n"/>
      <c r="AB1832" s="41" t="n"/>
    </row>
    <row r="1833">
      <c r="A1833" s="39">
        <f>IF($C1833="","","NOV-"&amp;TEXT(ROW()-3,"0000"))</f>
        <v/>
      </c>
      <c r="B1833" s="40" t="n"/>
      <c r="C1833" s="41" t="n"/>
      <c r="D1833" s="42">
        <f>IF($C1833="","",IFERROR(INDEX(DESPACHOS!$D$3:$D$3002,MATCH($C1833,DESPACHOS!$B$3:$B$3002,0)),"SIN DESPACHO"))</f>
        <v/>
      </c>
      <c r="E1833" s="42">
        <f>IF($C1833="","",IFERROR(INDEX(DESPACHOS!$K$3:$K$3002,MATCH($C1833,DESPACHOS!$B$3:$B$3002,0)),""))</f>
        <v/>
      </c>
      <c r="F1833" s="42">
        <f>IF($C1833="","",IFERROR(INDEX(DESPACHOS!$I$3:$I$3002,MATCH($C1833,DESPACHOS!$B$3:$B$3002,0)),""))</f>
        <v/>
      </c>
      <c r="G1833" s="42">
        <f>IF($C1833="","",IFERROR(INDEX(DESPACHOS!$F$3:$F$3002,MATCH($C1833,DESPACHOS!$B$3:$B$3002,0)),""))</f>
        <v/>
      </c>
      <c r="H1833" s="42">
        <f>IF($C1833="","",IFERROR(INDEX(DESPACHOS!$G$3:$G$3002,MATCH($C1833,DESPACHOS!$B$3:$B$3002,0)),""))</f>
        <v/>
      </c>
      <c r="I1833" s="39">
        <f>IF($C1833="","",IFERROR(INDEX(DESPACHOS!$H$3:$H$3002,MATCH($C1833,DESPACHOS!$B$3:$B$3002,0)),""))</f>
        <v/>
      </c>
      <c r="J1833" s="43">
        <f>IF($C1833="","",IFERROR(INDEX(DESPACHOS!$J$3:$J$3002,MATCH($C1833,DESPACHOS!$B$3:$B$3002,0)),""))</f>
        <v/>
      </c>
      <c r="K1833" s="39">
        <f>IF($C1833="","",IF(COUNTIFS(DESPACHOS!$B$3:$B$3002,$C1833)=0,"NO EXISTE",IF(COUNTIFS(DESPACHOS!$B$3:$B$3002,$C1833)&gt;1,"DUPLICADO","OK")))</f>
        <v/>
      </c>
      <c r="L1833" s="41" t="n"/>
      <c r="M1833" s="41" t="n"/>
      <c r="N1833" s="42">
        <f>IF($M1833="","",IFERROR(INDEX(LISTAS!$F$3:$F$42,MATCH($M1833,LISTAS!$E$3:$E$42,0)),"Por definir"))</f>
        <v/>
      </c>
      <c r="O1833" s="41" t="n"/>
      <c r="P1833" s="39">
        <f>IF($L1833="","",IFERROR(INDEX(LISTAS!$B$3:$B$42,MATCH($L1833,LISTAS!$A$3:$A$42,0)),"Media"))</f>
        <v/>
      </c>
      <c r="Q1833" s="44" t="n"/>
      <c r="R1833" s="45" t="n"/>
      <c r="S1833" s="20">
        <f>IFERROR(IF(OR($R1833="",$C1833=""),"",$R1833/INDEX(DESPACHOS!$M$3:$M$3002,MATCH($C1833,DESPACHOS!$B$3:$B$3002,0))),"")</f>
        <v/>
      </c>
      <c r="T1833" s="41" t="n"/>
      <c r="U1833" s="43">
        <f>IF(OR($B1833="",$L1833=""),"",WORKDAY($B1833,IFERROR(INDEX(LISTAS!$C$3:$C$42,MATCH($L1833,LISTAS!$A$3:$A$42,0)),3)))</f>
        <v/>
      </c>
      <c r="V1833" s="40" t="n"/>
      <c r="W1833" s="19">
        <f>IF($B1833="","",IF($V1833&lt;&gt;"",$V1833-$B1833,TODAY()-$B1833))</f>
        <v/>
      </c>
      <c r="X1833" s="19">
        <f>IF(OR($B1833="",$U1833=""),"",IF($V1833&lt;&gt;"",MAX(0,$V1833-$U1833),MAX(0,TODAY()-$U1833)))</f>
        <v/>
      </c>
      <c r="Y1833" s="39">
        <f>IF($C1833="","",IF(IFERROR(INDEX(LISTAS!$I$3:$I$42,MATCH($T1833,LISTAS!$H$3:$H$42,0)),"NO")="SÍ",IF(N($X1833)&gt;0,"CERRADA FUERA DE SLA","CERRADA EN SLA"),IF($U1833="","SIN CLASIFICAR",IF(N($X1833)&gt;0,"VENCIDA",IF(TODAY()&gt;=$U1833-1,"POR VENCER","EN PLAZO")))))</f>
        <v/>
      </c>
      <c r="Z1833" s="41" t="n"/>
      <c r="AA1833" s="41" t="n"/>
      <c r="AB1833" s="41" t="n"/>
    </row>
    <row r="1834">
      <c r="A1834" s="39">
        <f>IF($C1834="","","NOV-"&amp;TEXT(ROW()-3,"0000"))</f>
        <v/>
      </c>
      <c r="B1834" s="40" t="n"/>
      <c r="C1834" s="41" t="n"/>
      <c r="D1834" s="42">
        <f>IF($C1834="","",IFERROR(INDEX(DESPACHOS!$D$3:$D$3002,MATCH($C1834,DESPACHOS!$B$3:$B$3002,0)),"SIN DESPACHO"))</f>
        <v/>
      </c>
      <c r="E1834" s="42">
        <f>IF($C1834="","",IFERROR(INDEX(DESPACHOS!$K$3:$K$3002,MATCH($C1834,DESPACHOS!$B$3:$B$3002,0)),""))</f>
        <v/>
      </c>
      <c r="F1834" s="42">
        <f>IF($C1834="","",IFERROR(INDEX(DESPACHOS!$I$3:$I$3002,MATCH($C1834,DESPACHOS!$B$3:$B$3002,0)),""))</f>
        <v/>
      </c>
      <c r="G1834" s="42">
        <f>IF($C1834="","",IFERROR(INDEX(DESPACHOS!$F$3:$F$3002,MATCH($C1834,DESPACHOS!$B$3:$B$3002,0)),""))</f>
        <v/>
      </c>
      <c r="H1834" s="42">
        <f>IF($C1834="","",IFERROR(INDEX(DESPACHOS!$G$3:$G$3002,MATCH($C1834,DESPACHOS!$B$3:$B$3002,0)),""))</f>
        <v/>
      </c>
      <c r="I1834" s="39">
        <f>IF($C1834="","",IFERROR(INDEX(DESPACHOS!$H$3:$H$3002,MATCH($C1834,DESPACHOS!$B$3:$B$3002,0)),""))</f>
        <v/>
      </c>
      <c r="J1834" s="43">
        <f>IF($C1834="","",IFERROR(INDEX(DESPACHOS!$J$3:$J$3002,MATCH($C1834,DESPACHOS!$B$3:$B$3002,0)),""))</f>
        <v/>
      </c>
      <c r="K1834" s="39">
        <f>IF($C1834="","",IF(COUNTIFS(DESPACHOS!$B$3:$B$3002,$C1834)=0,"NO EXISTE",IF(COUNTIFS(DESPACHOS!$B$3:$B$3002,$C1834)&gt;1,"DUPLICADO","OK")))</f>
        <v/>
      </c>
      <c r="L1834" s="41" t="n"/>
      <c r="M1834" s="41" t="n"/>
      <c r="N1834" s="42">
        <f>IF($M1834="","",IFERROR(INDEX(LISTAS!$F$3:$F$42,MATCH($M1834,LISTAS!$E$3:$E$42,0)),"Por definir"))</f>
        <v/>
      </c>
      <c r="O1834" s="41" t="n"/>
      <c r="P1834" s="39">
        <f>IF($L1834="","",IFERROR(INDEX(LISTAS!$B$3:$B$42,MATCH($L1834,LISTAS!$A$3:$A$42,0)),"Media"))</f>
        <v/>
      </c>
      <c r="Q1834" s="44" t="n"/>
      <c r="R1834" s="45" t="n"/>
      <c r="S1834" s="20">
        <f>IFERROR(IF(OR($R1834="",$C1834=""),"",$R1834/INDEX(DESPACHOS!$M$3:$M$3002,MATCH($C1834,DESPACHOS!$B$3:$B$3002,0))),"")</f>
        <v/>
      </c>
      <c r="T1834" s="41" t="n"/>
      <c r="U1834" s="43">
        <f>IF(OR($B1834="",$L1834=""),"",WORKDAY($B1834,IFERROR(INDEX(LISTAS!$C$3:$C$42,MATCH($L1834,LISTAS!$A$3:$A$42,0)),3)))</f>
        <v/>
      </c>
      <c r="V1834" s="40" t="n"/>
      <c r="W1834" s="19">
        <f>IF($B1834="","",IF($V1834&lt;&gt;"",$V1834-$B1834,TODAY()-$B1834))</f>
        <v/>
      </c>
      <c r="X1834" s="19">
        <f>IF(OR($B1834="",$U1834=""),"",IF($V1834&lt;&gt;"",MAX(0,$V1834-$U1834),MAX(0,TODAY()-$U1834)))</f>
        <v/>
      </c>
      <c r="Y1834" s="39">
        <f>IF($C1834="","",IF(IFERROR(INDEX(LISTAS!$I$3:$I$42,MATCH($T1834,LISTAS!$H$3:$H$42,0)),"NO")="SÍ",IF(N($X1834)&gt;0,"CERRADA FUERA DE SLA","CERRADA EN SLA"),IF($U1834="","SIN CLASIFICAR",IF(N($X1834)&gt;0,"VENCIDA",IF(TODAY()&gt;=$U1834-1,"POR VENCER","EN PLAZO")))))</f>
        <v/>
      </c>
      <c r="Z1834" s="41" t="n"/>
      <c r="AA1834" s="41" t="n"/>
      <c r="AB1834" s="41" t="n"/>
    </row>
    <row r="1835">
      <c r="A1835" s="39">
        <f>IF($C1835="","","NOV-"&amp;TEXT(ROW()-3,"0000"))</f>
        <v/>
      </c>
      <c r="B1835" s="40" t="n"/>
      <c r="C1835" s="41" t="n"/>
      <c r="D1835" s="42">
        <f>IF($C1835="","",IFERROR(INDEX(DESPACHOS!$D$3:$D$3002,MATCH($C1835,DESPACHOS!$B$3:$B$3002,0)),"SIN DESPACHO"))</f>
        <v/>
      </c>
      <c r="E1835" s="42">
        <f>IF($C1835="","",IFERROR(INDEX(DESPACHOS!$K$3:$K$3002,MATCH($C1835,DESPACHOS!$B$3:$B$3002,0)),""))</f>
        <v/>
      </c>
      <c r="F1835" s="42">
        <f>IF($C1835="","",IFERROR(INDEX(DESPACHOS!$I$3:$I$3002,MATCH($C1835,DESPACHOS!$B$3:$B$3002,0)),""))</f>
        <v/>
      </c>
      <c r="G1835" s="42">
        <f>IF($C1835="","",IFERROR(INDEX(DESPACHOS!$F$3:$F$3002,MATCH($C1835,DESPACHOS!$B$3:$B$3002,0)),""))</f>
        <v/>
      </c>
      <c r="H1835" s="42">
        <f>IF($C1835="","",IFERROR(INDEX(DESPACHOS!$G$3:$G$3002,MATCH($C1835,DESPACHOS!$B$3:$B$3002,0)),""))</f>
        <v/>
      </c>
      <c r="I1835" s="39">
        <f>IF($C1835="","",IFERROR(INDEX(DESPACHOS!$H$3:$H$3002,MATCH($C1835,DESPACHOS!$B$3:$B$3002,0)),""))</f>
        <v/>
      </c>
      <c r="J1835" s="43">
        <f>IF($C1835="","",IFERROR(INDEX(DESPACHOS!$J$3:$J$3002,MATCH($C1835,DESPACHOS!$B$3:$B$3002,0)),""))</f>
        <v/>
      </c>
      <c r="K1835" s="39">
        <f>IF($C1835="","",IF(COUNTIFS(DESPACHOS!$B$3:$B$3002,$C1835)=0,"NO EXISTE",IF(COUNTIFS(DESPACHOS!$B$3:$B$3002,$C1835)&gt;1,"DUPLICADO","OK")))</f>
        <v/>
      </c>
      <c r="L1835" s="41" t="n"/>
      <c r="M1835" s="41" t="n"/>
      <c r="N1835" s="42">
        <f>IF($M1835="","",IFERROR(INDEX(LISTAS!$F$3:$F$42,MATCH($M1835,LISTAS!$E$3:$E$42,0)),"Por definir"))</f>
        <v/>
      </c>
      <c r="O1835" s="41" t="n"/>
      <c r="P1835" s="39">
        <f>IF($L1835="","",IFERROR(INDEX(LISTAS!$B$3:$B$42,MATCH($L1835,LISTAS!$A$3:$A$42,0)),"Media"))</f>
        <v/>
      </c>
      <c r="Q1835" s="44" t="n"/>
      <c r="R1835" s="45" t="n"/>
      <c r="S1835" s="20">
        <f>IFERROR(IF(OR($R1835="",$C1835=""),"",$R1835/INDEX(DESPACHOS!$M$3:$M$3002,MATCH($C1835,DESPACHOS!$B$3:$B$3002,0))),"")</f>
        <v/>
      </c>
      <c r="T1835" s="41" t="n"/>
      <c r="U1835" s="43">
        <f>IF(OR($B1835="",$L1835=""),"",WORKDAY($B1835,IFERROR(INDEX(LISTAS!$C$3:$C$42,MATCH($L1835,LISTAS!$A$3:$A$42,0)),3)))</f>
        <v/>
      </c>
      <c r="V1835" s="40" t="n"/>
      <c r="W1835" s="19">
        <f>IF($B1835="","",IF($V1835&lt;&gt;"",$V1835-$B1835,TODAY()-$B1835))</f>
        <v/>
      </c>
      <c r="X1835" s="19">
        <f>IF(OR($B1835="",$U1835=""),"",IF($V1835&lt;&gt;"",MAX(0,$V1835-$U1835),MAX(0,TODAY()-$U1835)))</f>
        <v/>
      </c>
      <c r="Y1835" s="39">
        <f>IF($C1835="","",IF(IFERROR(INDEX(LISTAS!$I$3:$I$42,MATCH($T1835,LISTAS!$H$3:$H$42,0)),"NO")="SÍ",IF(N($X1835)&gt;0,"CERRADA FUERA DE SLA","CERRADA EN SLA"),IF($U1835="","SIN CLASIFICAR",IF(N($X1835)&gt;0,"VENCIDA",IF(TODAY()&gt;=$U1835-1,"POR VENCER","EN PLAZO")))))</f>
        <v/>
      </c>
      <c r="Z1835" s="41" t="n"/>
      <c r="AA1835" s="41" t="n"/>
      <c r="AB1835" s="41" t="n"/>
    </row>
    <row r="1836">
      <c r="A1836" s="39">
        <f>IF($C1836="","","NOV-"&amp;TEXT(ROW()-3,"0000"))</f>
        <v/>
      </c>
      <c r="B1836" s="40" t="n"/>
      <c r="C1836" s="41" t="n"/>
      <c r="D1836" s="42">
        <f>IF($C1836="","",IFERROR(INDEX(DESPACHOS!$D$3:$D$3002,MATCH($C1836,DESPACHOS!$B$3:$B$3002,0)),"SIN DESPACHO"))</f>
        <v/>
      </c>
      <c r="E1836" s="42">
        <f>IF($C1836="","",IFERROR(INDEX(DESPACHOS!$K$3:$K$3002,MATCH($C1836,DESPACHOS!$B$3:$B$3002,0)),""))</f>
        <v/>
      </c>
      <c r="F1836" s="42">
        <f>IF($C1836="","",IFERROR(INDEX(DESPACHOS!$I$3:$I$3002,MATCH($C1836,DESPACHOS!$B$3:$B$3002,0)),""))</f>
        <v/>
      </c>
      <c r="G1836" s="42">
        <f>IF($C1836="","",IFERROR(INDEX(DESPACHOS!$F$3:$F$3002,MATCH($C1836,DESPACHOS!$B$3:$B$3002,0)),""))</f>
        <v/>
      </c>
      <c r="H1836" s="42">
        <f>IF($C1836="","",IFERROR(INDEX(DESPACHOS!$G$3:$G$3002,MATCH($C1836,DESPACHOS!$B$3:$B$3002,0)),""))</f>
        <v/>
      </c>
      <c r="I1836" s="39">
        <f>IF($C1836="","",IFERROR(INDEX(DESPACHOS!$H$3:$H$3002,MATCH($C1836,DESPACHOS!$B$3:$B$3002,0)),""))</f>
        <v/>
      </c>
      <c r="J1836" s="43">
        <f>IF($C1836="","",IFERROR(INDEX(DESPACHOS!$J$3:$J$3002,MATCH($C1836,DESPACHOS!$B$3:$B$3002,0)),""))</f>
        <v/>
      </c>
      <c r="K1836" s="39">
        <f>IF($C1836="","",IF(COUNTIFS(DESPACHOS!$B$3:$B$3002,$C1836)=0,"NO EXISTE",IF(COUNTIFS(DESPACHOS!$B$3:$B$3002,$C1836)&gt;1,"DUPLICADO","OK")))</f>
        <v/>
      </c>
      <c r="L1836" s="41" t="n"/>
      <c r="M1836" s="41" t="n"/>
      <c r="N1836" s="42">
        <f>IF($M1836="","",IFERROR(INDEX(LISTAS!$F$3:$F$42,MATCH($M1836,LISTAS!$E$3:$E$42,0)),"Por definir"))</f>
        <v/>
      </c>
      <c r="O1836" s="41" t="n"/>
      <c r="P1836" s="39">
        <f>IF($L1836="","",IFERROR(INDEX(LISTAS!$B$3:$B$42,MATCH($L1836,LISTAS!$A$3:$A$42,0)),"Media"))</f>
        <v/>
      </c>
      <c r="Q1836" s="44" t="n"/>
      <c r="R1836" s="45" t="n"/>
      <c r="S1836" s="20">
        <f>IFERROR(IF(OR($R1836="",$C1836=""),"",$R1836/INDEX(DESPACHOS!$M$3:$M$3002,MATCH($C1836,DESPACHOS!$B$3:$B$3002,0))),"")</f>
        <v/>
      </c>
      <c r="T1836" s="41" t="n"/>
      <c r="U1836" s="43">
        <f>IF(OR($B1836="",$L1836=""),"",WORKDAY($B1836,IFERROR(INDEX(LISTAS!$C$3:$C$42,MATCH($L1836,LISTAS!$A$3:$A$42,0)),3)))</f>
        <v/>
      </c>
      <c r="V1836" s="40" t="n"/>
      <c r="W1836" s="19">
        <f>IF($B1836="","",IF($V1836&lt;&gt;"",$V1836-$B1836,TODAY()-$B1836))</f>
        <v/>
      </c>
      <c r="X1836" s="19">
        <f>IF(OR($B1836="",$U1836=""),"",IF($V1836&lt;&gt;"",MAX(0,$V1836-$U1836),MAX(0,TODAY()-$U1836)))</f>
        <v/>
      </c>
      <c r="Y1836" s="39">
        <f>IF($C1836="","",IF(IFERROR(INDEX(LISTAS!$I$3:$I$42,MATCH($T1836,LISTAS!$H$3:$H$42,0)),"NO")="SÍ",IF(N($X1836)&gt;0,"CERRADA FUERA DE SLA","CERRADA EN SLA"),IF($U1836="","SIN CLASIFICAR",IF(N($X1836)&gt;0,"VENCIDA",IF(TODAY()&gt;=$U1836-1,"POR VENCER","EN PLAZO")))))</f>
        <v/>
      </c>
      <c r="Z1836" s="41" t="n"/>
      <c r="AA1836" s="41" t="n"/>
      <c r="AB1836" s="41" t="n"/>
    </row>
    <row r="1837">
      <c r="A1837" s="39">
        <f>IF($C1837="","","NOV-"&amp;TEXT(ROW()-3,"0000"))</f>
        <v/>
      </c>
      <c r="B1837" s="40" t="n"/>
      <c r="C1837" s="41" t="n"/>
      <c r="D1837" s="42">
        <f>IF($C1837="","",IFERROR(INDEX(DESPACHOS!$D$3:$D$3002,MATCH($C1837,DESPACHOS!$B$3:$B$3002,0)),"SIN DESPACHO"))</f>
        <v/>
      </c>
      <c r="E1837" s="42">
        <f>IF($C1837="","",IFERROR(INDEX(DESPACHOS!$K$3:$K$3002,MATCH($C1837,DESPACHOS!$B$3:$B$3002,0)),""))</f>
        <v/>
      </c>
      <c r="F1837" s="42">
        <f>IF($C1837="","",IFERROR(INDEX(DESPACHOS!$I$3:$I$3002,MATCH($C1837,DESPACHOS!$B$3:$B$3002,0)),""))</f>
        <v/>
      </c>
      <c r="G1837" s="42">
        <f>IF($C1837="","",IFERROR(INDEX(DESPACHOS!$F$3:$F$3002,MATCH($C1837,DESPACHOS!$B$3:$B$3002,0)),""))</f>
        <v/>
      </c>
      <c r="H1837" s="42">
        <f>IF($C1837="","",IFERROR(INDEX(DESPACHOS!$G$3:$G$3002,MATCH($C1837,DESPACHOS!$B$3:$B$3002,0)),""))</f>
        <v/>
      </c>
      <c r="I1837" s="39">
        <f>IF($C1837="","",IFERROR(INDEX(DESPACHOS!$H$3:$H$3002,MATCH($C1837,DESPACHOS!$B$3:$B$3002,0)),""))</f>
        <v/>
      </c>
      <c r="J1837" s="43">
        <f>IF($C1837="","",IFERROR(INDEX(DESPACHOS!$J$3:$J$3002,MATCH($C1837,DESPACHOS!$B$3:$B$3002,0)),""))</f>
        <v/>
      </c>
      <c r="K1837" s="39">
        <f>IF($C1837="","",IF(COUNTIFS(DESPACHOS!$B$3:$B$3002,$C1837)=0,"NO EXISTE",IF(COUNTIFS(DESPACHOS!$B$3:$B$3002,$C1837)&gt;1,"DUPLICADO","OK")))</f>
        <v/>
      </c>
      <c r="L1837" s="41" t="n"/>
      <c r="M1837" s="41" t="n"/>
      <c r="N1837" s="42">
        <f>IF($M1837="","",IFERROR(INDEX(LISTAS!$F$3:$F$42,MATCH($M1837,LISTAS!$E$3:$E$42,0)),"Por definir"))</f>
        <v/>
      </c>
      <c r="O1837" s="41" t="n"/>
      <c r="P1837" s="39">
        <f>IF($L1837="","",IFERROR(INDEX(LISTAS!$B$3:$B$42,MATCH($L1837,LISTAS!$A$3:$A$42,0)),"Media"))</f>
        <v/>
      </c>
      <c r="Q1837" s="44" t="n"/>
      <c r="R1837" s="45" t="n"/>
      <c r="S1837" s="20">
        <f>IFERROR(IF(OR($R1837="",$C1837=""),"",$R1837/INDEX(DESPACHOS!$M$3:$M$3002,MATCH($C1837,DESPACHOS!$B$3:$B$3002,0))),"")</f>
        <v/>
      </c>
      <c r="T1837" s="41" t="n"/>
      <c r="U1837" s="43">
        <f>IF(OR($B1837="",$L1837=""),"",WORKDAY($B1837,IFERROR(INDEX(LISTAS!$C$3:$C$42,MATCH($L1837,LISTAS!$A$3:$A$42,0)),3)))</f>
        <v/>
      </c>
      <c r="V1837" s="40" t="n"/>
      <c r="W1837" s="19">
        <f>IF($B1837="","",IF($V1837&lt;&gt;"",$V1837-$B1837,TODAY()-$B1837))</f>
        <v/>
      </c>
      <c r="X1837" s="19">
        <f>IF(OR($B1837="",$U1837=""),"",IF($V1837&lt;&gt;"",MAX(0,$V1837-$U1837),MAX(0,TODAY()-$U1837)))</f>
        <v/>
      </c>
      <c r="Y1837" s="39">
        <f>IF($C1837="","",IF(IFERROR(INDEX(LISTAS!$I$3:$I$42,MATCH($T1837,LISTAS!$H$3:$H$42,0)),"NO")="SÍ",IF(N($X1837)&gt;0,"CERRADA FUERA DE SLA","CERRADA EN SLA"),IF($U1837="","SIN CLASIFICAR",IF(N($X1837)&gt;0,"VENCIDA",IF(TODAY()&gt;=$U1837-1,"POR VENCER","EN PLAZO")))))</f>
        <v/>
      </c>
      <c r="Z1837" s="41" t="n"/>
      <c r="AA1837" s="41" t="n"/>
      <c r="AB1837" s="41" t="n"/>
    </row>
    <row r="1838">
      <c r="A1838" s="39">
        <f>IF($C1838="","","NOV-"&amp;TEXT(ROW()-3,"0000"))</f>
        <v/>
      </c>
      <c r="B1838" s="40" t="n"/>
      <c r="C1838" s="41" t="n"/>
      <c r="D1838" s="42">
        <f>IF($C1838="","",IFERROR(INDEX(DESPACHOS!$D$3:$D$3002,MATCH($C1838,DESPACHOS!$B$3:$B$3002,0)),"SIN DESPACHO"))</f>
        <v/>
      </c>
      <c r="E1838" s="42">
        <f>IF($C1838="","",IFERROR(INDEX(DESPACHOS!$K$3:$K$3002,MATCH($C1838,DESPACHOS!$B$3:$B$3002,0)),""))</f>
        <v/>
      </c>
      <c r="F1838" s="42">
        <f>IF($C1838="","",IFERROR(INDEX(DESPACHOS!$I$3:$I$3002,MATCH($C1838,DESPACHOS!$B$3:$B$3002,0)),""))</f>
        <v/>
      </c>
      <c r="G1838" s="42">
        <f>IF($C1838="","",IFERROR(INDEX(DESPACHOS!$F$3:$F$3002,MATCH($C1838,DESPACHOS!$B$3:$B$3002,0)),""))</f>
        <v/>
      </c>
      <c r="H1838" s="42">
        <f>IF($C1838="","",IFERROR(INDEX(DESPACHOS!$G$3:$G$3002,MATCH($C1838,DESPACHOS!$B$3:$B$3002,0)),""))</f>
        <v/>
      </c>
      <c r="I1838" s="39">
        <f>IF($C1838="","",IFERROR(INDEX(DESPACHOS!$H$3:$H$3002,MATCH($C1838,DESPACHOS!$B$3:$B$3002,0)),""))</f>
        <v/>
      </c>
      <c r="J1838" s="43">
        <f>IF($C1838="","",IFERROR(INDEX(DESPACHOS!$J$3:$J$3002,MATCH($C1838,DESPACHOS!$B$3:$B$3002,0)),""))</f>
        <v/>
      </c>
      <c r="K1838" s="39">
        <f>IF($C1838="","",IF(COUNTIFS(DESPACHOS!$B$3:$B$3002,$C1838)=0,"NO EXISTE",IF(COUNTIFS(DESPACHOS!$B$3:$B$3002,$C1838)&gt;1,"DUPLICADO","OK")))</f>
        <v/>
      </c>
      <c r="L1838" s="41" t="n"/>
      <c r="M1838" s="41" t="n"/>
      <c r="N1838" s="42">
        <f>IF($M1838="","",IFERROR(INDEX(LISTAS!$F$3:$F$42,MATCH($M1838,LISTAS!$E$3:$E$42,0)),"Por definir"))</f>
        <v/>
      </c>
      <c r="O1838" s="41" t="n"/>
      <c r="P1838" s="39">
        <f>IF($L1838="","",IFERROR(INDEX(LISTAS!$B$3:$B$42,MATCH($L1838,LISTAS!$A$3:$A$42,0)),"Media"))</f>
        <v/>
      </c>
      <c r="Q1838" s="44" t="n"/>
      <c r="R1838" s="45" t="n"/>
      <c r="S1838" s="20">
        <f>IFERROR(IF(OR($R1838="",$C1838=""),"",$R1838/INDEX(DESPACHOS!$M$3:$M$3002,MATCH($C1838,DESPACHOS!$B$3:$B$3002,0))),"")</f>
        <v/>
      </c>
      <c r="T1838" s="41" t="n"/>
      <c r="U1838" s="43">
        <f>IF(OR($B1838="",$L1838=""),"",WORKDAY($B1838,IFERROR(INDEX(LISTAS!$C$3:$C$42,MATCH($L1838,LISTAS!$A$3:$A$42,0)),3)))</f>
        <v/>
      </c>
      <c r="V1838" s="40" t="n"/>
      <c r="W1838" s="19">
        <f>IF($B1838="","",IF($V1838&lt;&gt;"",$V1838-$B1838,TODAY()-$B1838))</f>
        <v/>
      </c>
      <c r="X1838" s="19">
        <f>IF(OR($B1838="",$U1838=""),"",IF($V1838&lt;&gt;"",MAX(0,$V1838-$U1838),MAX(0,TODAY()-$U1838)))</f>
        <v/>
      </c>
      <c r="Y1838" s="39">
        <f>IF($C1838="","",IF(IFERROR(INDEX(LISTAS!$I$3:$I$42,MATCH($T1838,LISTAS!$H$3:$H$42,0)),"NO")="SÍ",IF(N($X1838)&gt;0,"CERRADA FUERA DE SLA","CERRADA EN SLA"),IF($U1838="","SIN CLASIFICAR",IF(N($X1838)&gt;0,"VENCIDA",IF(TODAY()&gt;=$U1838-1,"POR VENCER","EN PLAZO")))))</f>
        <v/>
      </c>
      <c r="Z1838" s="41" t="n"/>
      <c r="AA1838" s="41" t="n"/>
      <c r="AB1838" s="41" t="n"/>
    </row>
    <row r="1839">
      <c r="A1839" s="39">
        <f>IF($C1839="","","NOV-"&amp;TEXT(ROW()-3,"0000"))</f>
        <v/>
      </c>
      <c r="B1839" s="40" t="n"/>
      <c r="C1839" s="41" t="n"/>
      <c r="D1839" s="42">
        <f>IF($C1839="","",IFERROR(INDEX(DESPACHOS!$D$3:$D$3002,MATCH($C1839,DESPACHOS!$B$3:$B$3002,0)),"SIN DESPACHO"))</f>
        <v/>
      </c>
      <c r="E1839" s="42">
        <f>IF($C1839="","",IFERROR(INDEX(DESPACHOS!$K$3:$K$3002,MATCH($C1839,DESPACHOS!$B$3:$B$3002,0)),""))</f>
        <v/>
      </c>
      <c r="F1839" s="42">
        <f>IF($C1839="","",IFERROR(INDEX(DESPACHOS!$I$3:$I$3002,MATCH($C1839,DESPACHOS!$B$3:$B$3002,0)),""))</f>
        <v/>
      </c>
      <c r="G1839" s="42">
        <f>IF($C1839="","",IFERROR(INDEX(DESPACHOS!$F$3:$F$3002,MATCH($C1839,DESPACHOS!$B$3:$B$3002,0)),""))</f>
        <v/>
      </c>
      <c r="H1839" s="42">
        <f>IF($C1839="","",IFERROR(INDEX(DESPACHOS!$G$3:$G$3002,MATCH($C1839,DESPACHOS!$B$3:$B$3002,0)),""))</f>
        <v/>
      </c>
      <c r="I1839" s="39">
        <f>IF($C1839="","",IFERROR(INDEX(DESPACHOS!$H$3:$H$3002,MATCH($C1839,DESPACHOS!$B$3:$B$3002,0)),""))</f>
        <v/>
      </c>
      <c r="J1839" s="43">
        <f>IF($C1839="","",IFERROR(INDEX(DESPACHOS!$J$3:$J$3002,MATCH($C1839,DESPACHOS!$B$3:$B$3002,0)),""))</f>
        <v/>
      </c>
      <c r="K1839" s="39">
        <f>IF($C1839="","",IF(COUNTIFS(DESPACHOS!$B$3:$B$3002,$C1839)=0,"NO EXISTE",IF(COUNTIFS(DESPACHOS!$B$3:$B$3002,$C1839)&gt;1,"DUPLICADO","OK")))</f>
        <v/>
      </c>
      <c r="L1839" s="41" t="n"/>
      <c r="M1839" s="41" t="n"/>
      <c r="N1839" s="42">
        <f>IF($M1839="","",IFERROR(INDEX(LISTAS!$F$3:$F$42,MATCH($M1839,LISTAS!$E$3:$E$42,0)),"Por definir"))</f>
        <v/>
      </c>
      <c r="O1839" s="41" t="n"/>
      <c r="P1839" s="39">
        <f>IF($L1839="","",IFERROR(INDEX(LISTAS!$B$3:$B$42,MATCH($L1839,LISTAS!$A$3:$A$42,0)),"Media"))</f>
        <v/>
      </c>
      <c r="Q1839" s="44" t="n"/>
      <c r="R1839" s="45" t="n"/>
      <c r="S1839" s="20">
        <f>IFERROR(IF(OR($R1839="",$C1839=""),"",$R1839/INDEX(DESPACHOS!$M$3:$M$3002,MATCH($C1839,DESPACHOS!$B$3:$B$3002,0))),"")</f>
        <v/>
      </c>
      <c r="T1839" s="41" t="n"/>
      <c r="U1839" s="43">
        <f>IF(OR($B1839="",$L1839=""),"",WORKDAY($B1839,IFERROR(INDEX(LISTAS!$C$3:$C$42,MATCH($L1839,LISTAS!$A$3:$A$42,0)),3)))</f>
        <v/>
      </c>
      <c r="V1839" s="40" t="n"/>
      <c r="W1839" s="19">
        <f>IF($B1839="","",IF($V1839&lt;&gt;"",$V1839-$B1839,TODAY()-$B1839))</f>
        <v/>
      </c>
      <c r="X1839" s="19">
        <f>IF(OR($B1839="",$U1839=""),"",IF($V1839&lt;&gt;"",MAX(0,$V1839-$U1839),MAX(0,TODAY()-$U1839)))</f>
        <v/>
      </c>
      <c r="Y1839" s="39">
        <f>IF($C1839="","",IF(IFERROR(INDEX(LISTAS!$I$3:$I$42,MATCH($T1839,LISTAS!$H$3:$H$42,0)),"NO")="SÍ",IF(N($X1839)&gt;0,"CERRADA FUERA DE SLA","CERRADA EN SLA"),IF($U1839="","SIN CLASIFICAR",IF(N($X1839)&gt;0,"VENCIDA",IF(TODAY()&gt;=$U1839-1,"POR VENCER","EN PLAZO")))))</f>
        <v/>
      </c>
      <c r="Z1839" s="41" t="n"/>
      <c r="AA1839" s="41" t="n"/>
      <c r="AB1839" s="41" t="n"/>
    </row>
    <row r="1840">
      <c r="A1840" s="39">
        <f>IF($C1840="","","NOV-"&amp;TEXT(ROW()-3,"0000"))</f>
        <v/>
      </c>
      <c r="B1840" s="40" t="n"/>
      <c r="C1840" s="41" t="n"/>
      <c r="D1840" s="42">
        <f>IF($C1840="","",IFERROR(INDEX(DESPACHOS!$D$3:$D$3002,MATCH($C1840,DESPACHOS!$B$3:$B$3002,0)),"SIN DESPACHO"))</f>
        <v/>
      </c>
      <c r="E1840" s="42">
        <f>IF($C1840="","",IFERROR(INDEX(DESPACHOS!$K$3:$K$3002,MATCH($C1840,DESPACHOS!$B$3:$B$3002,0)),""))</f>
        <v/>
      </c>
      <c r="F1840" s="42">
        <f>IF($C1840="","",IFERROR(INDEX(DESPACHOS!$I$3:$I$3002,MATCH($C1840,DESPACHOS!$B$3:$B$3002,0)),""))</f>
        <v/>
      </c>
      <c r="G1840" s="42">
        <f>IF($C1840="","",IFERROR(INDEX(DESPACHOS!$F$3:$F$3002,MATCH($C1840,DESPACHOS!$B$3:$B$3002,0)),""))</f>
        <v/>
      </c>
      <c r="H1840" s="42">
        <f>IF($C1840="","",IFERROR(INDEX(DESPACHOS!$G$3:$G$3002,MATCH($C1840,DESPACHOS!$B$3:$B$3002,0)),""))</f>
        <v/>
      </c>
      <c r="I1840" s="39">
        <f>IF($C1840="","",IFERROR(INDEX(DESPACHOS!$H$3:$H$3002,MATCH($C1840,DESPACHOS!$B$3:$B$3002,0)),""))</f>
        <v/>
      </c>
      <c r="J1840" s="43">
        <f>IF($C1840="","",IFERROR(INDEX(DESPACHOS!$J$3:$J$3002,MATCH($C1840,DESPACHOS!$B$3:$B$3002,0)),""))</f>
        <v/>
      </c>
      <c r="K1840" s="39">
        <f>IF($C1840="","",IF(COUNTIFS(DESPACHOS!$B$3:$B$3002,$C1840)=0,"NO EXISTE",IF(COUNTIFS(DESPACHOS!$B$3:$B$3002,$C1840)&gt;1,"DUPLICADO","OK")))</f>
        <v/>
      </c>
      <c r="L1840" s="41" t="n"/>
      <c r="M1840" s="41" t="n"/>
      <c r="N1840" s="42">
        <f>IF($M1840="","",IFERROR(INDEX(LISTAS!$F$3:$F$42,MATCH($M1840,LISTAS!$E$3:$E$42,0)),"Por definir"))</f>
        <v/>
      </c>
      <c r="O1840" s="41" t="n"/>
      <c r="P1840" s="39">
        <f>IF($L1840="","",IFERROR(INDEX(LISTAS!$B$3:$B$42,MATCH($L1840,LISTAS!$A$3:$A$42,0)),"Media"))</f>
        <v/>
      </c>
      <c r="Q1840" s="44" t="n"/>
      <c r="R1840" s="45" t="n"/>
      <c r="S1840" s="20">
        <f>IFERROR(IF(OR($R1840="",$C1840=""),"",$R1840/INDEX(DESPACHOS!$M$3:$M$3002,MATCH($C1840,DESPACHOS!$B$3:$B$3002,0))),"")</f>
        <v/>
      </c>
      <c r="T1840" s="41" t="n"/>
      <c r="U1840" s="43">
        <f>IF(OR($B1840="",$L1840=""),"",WORKDAY($B1840,IFERROR(INDEX(LISTAS!$C$3:$C$42,MATCH($L1840,LISTAS!$A$3:$A$42,0)),3)))</f>
        <v/>
      </c>
      <c r="V1840" s="40" t="n"/>
      <c r="W1840" s="19">
        <f>IF($B1840="","",IF($V1840&lt;&gt;"",$V1840-$B1840,TODAY()-$B1840))</f>
        <v/>
      </c>
      <c r="X1840" s="19">
        <f>IF(OR($B1840="",$U1840=""),"",IF($V1840&lt;&gt;"",MAX(0,$V1840-$U1840),MAX(0,TODAY()-$U1840)))</f>
        <v/>
      </c>
      <c r="Y1840" s="39">
        <f>IF($C1840="","",IF(IFERROR(INDEX(LISTAS!$I$3:$I$42,MATCH($T1840,LISTAS!$H$3:$H$42,0)),"NO")="SÍ",IF(N($X1840)&gt;0,"CERRADA FUERA DE SLA","CERRADA EN SLA"),IF($U1840="","SIN CLASIFICAR",IF(N($X1840)&gt;0,"VENCIDA",IF(TODAY()&gt;=$U1840-1,"POR VENCER","EN PLAZO")))))</f>
        <v/>
      </c>
      <c r="Z1840" s="41" t="n"/>
      <c r="AA1840" s="41" t="n"/>
      <c r="AB1840" s="41" t="n"/>
    </row>
    <row r="1841">
      <c r="A1841" s="39">
        <f>IF($C1841="","","NOV-"&amp;TEXT(ROW()-3,"0000"))</f>
        <v/>
      </c>
      <c r="B1841" s="40" t="n"/>
      <c r="C1841" s="41" t="n"/>
      <c r="D1841" s="42">
        <f>IF($C1841="","",IFERROR(INDEX(DESPACHOS!$D$3:$D$3002,MATCH($C1841,DESPACHOS!$B$3:$B$3002,0)),"SIN DESPACHO"))</f>
        <v/>
      </c>
      <c r="E1841" s="42">
        <f>IF($C1841="","",IFERROR(INDEX(DESPACHOS!$K$3:$K$3002,MATCH($C1841,DESPACHOS!$B$3:$B$3002,0)),""))</f>
        <v/>
      </c>
      <c r="F1841" s="42">
        <f>IF($C1841="","",IFERROR(INDEX(DESPACHOS!$I$3:$I$3002,MATCH($C1841,DESPACHOS!$B$3:$B$3002,0)),""))</f>
        <v/>
      </c>
      <c r="G1841" s="42">
        <f>IF($C1841="","",IFERROR(INDEX(DESPACHOS!$F$3:$F$3002,MATCH($C1841,DESPACHOS!$B$3:$B$3002,0)),""))</f>
        <v/>
      </c>
      <c r="H1841" s="42">
        <f>IF($C1841="","",IFERROR(INDEX(DESPACHOS!$G$3:$G$3002,MATCH($C1841,DESPACHOS!$B$3:$B$3002,0)),""))</f>
        <v/>
      </c>
      <c r="I1841" s="39">
        <f>IF($C1841="","",IFERROR(INDEX(DESPACHOS!$H$3:$H$3002,MATCH($C1841,DESPACHOS!$B$3:$B$3002,0)),""))</f>
        <v/>
      </c>
      <c r="J1841" s="43">
        <f>IF($C1841="","",IFERROR(INDEX(DESPACHOS!$J$3:$J$3002,MATCH($C1841,DESPACHOS!$B$3:$B$3002,0)),""))</f>
        <v/>
      </c>
      <c r="K1841" s="39">
        <f>IF($C1841="","",IF(COUNTIFS(DESPACHOS!$B$3:$B$3002,$C1841)=0,"NO EXISTE",IF(COUNTIFS(DESPACHOS!$B$3:$B$3002,$C1841)&gt;1,"DUPLICADO","OK")))</f>
        <v/>
      </c>
      <c r="L1841" s="41" t="n"/>
      <c r="M1841" s="41" t="n"/>
      <c r="N1841" s="42">
        <f>IF($M1841="","",IFERROR(INDEX(LISTAS!$F$3:$F$42,MATCH($M1841,LISTAS!$E$3:$E$42,0)),"Por definir"))</f>
        <v/>
      </c>
      <c r="O1841" s="41" t="n"/>
      <c r="P1841" s="39">
        <f>IF($L1841="","",IFERROR(INDEX(LISTAS!$B$3:$B$42,MATCH($L1841,LISTAS!$A$3:$A$42,0)),"Media"))</f>
        <v/>
      </c>
      <c r="Q1841" s="44" t="n"/>
      <c r="R1841" s="45" t="n"/>
      <c r="S1841" s="20">
        <f>IFERROR(IF(OR($R1841="",$C1841=""),"",$R1841/INDEX(DESPACHOS!$M$3:$M$3002,MATCH($C1841,DESPACHOS!$B$3:$B$3002,0))),"")</f>
        <v/>
      </c>
      <c r="T1841" s="41" t="n"/>
      <c r="U1841" s="43">
        <f>IF(OR($B1841="",$L1841=""),"",WORKDAY($B1841,IFERROR(INDEX(LISTAS!$C$3:$C$42,MATCH($L1841,LISTAS!$A$3:$A$42,0)),3)))</f>
        <v/>
      </c>
      <c r="V1841" s="40" t="n"/>
      <c r="W1841" s="19">
        <f>IF($B1841="","",IF($V1841&lt;&gt;"",$V1841-$B1841,TODAY()-$B1841))</f>
        <v/>
      </c>
      <c r="X1841" s="19">
        <f>IF(OR($B1841="",$U1841=""),"",IF($V1841&lt;&gt;"",MAX(0,$V1841-$U1841),MAX(0,TODAY()-$U1841)))</f>
        <v/>
      </c>
      <c r="Y1841" s="39">
        <f>IF($C1841="","",IF(IFERROR(INDEX(LISTAS!$I$3:$I$42,MATCH($T1841,LISTAS!$H$3:$H$42,0)),"NO")="SÍ",IF(N($X1841)&gt;0,"CERRADA FUERA DE SLA","CERRADA EN SLA"),IF($U1841="","SIN CLASIFICAR",IF(N($X1841)&gt;0,"VENCIDA",IF(TODAY()&gt;=$U1841-1,"POR VENCER","EN PLAZO")))))</f>
        <v/>
      </c>
      <c r="Z1841" s="41" t="n"/>
      <c r="AA1841" s="41" t="n"/>
      <c r="AB1841" s="41" t="n"/>
    </row>
    <row r="1842">
      <c r="A1842" s="39">
        <f>IF($C1842="","","NOV-"&amp;TEXT(ROW()-3,"0000"))</f>
        <v/>
      </c>
      <c r="B1842" s="40" t="n"/>
      <c r="C1842" s="41" t="n"/>
      <c r="D1842" s="42">
        <f>IF($C1842="","",IFERROR(INDEX(DESPACHOS!$D$3:$D$3002,MATCH($C1842,DESPACHOS!$B$3:$B$3002,0)),"SIN DESPACHO"))</f>
        <v/>
      </c>
      <c r="E1842" s="42">
        <f>IF($C1842="","",IFERROR(INDEX(DESPACHOS!$K$3:$K$3002,MATCH($C1842,DESPACHOS!$B$3:$B$3002,0)),""))</f>
        <v/>
      </c>
      <c r="F1842" s="42">
        <f>IF($C1842="","",IFERROR(INDEX(DESPACHOS!$I$3:$I$3002,MATCH($C1842,DESPACHOS!$B$3:$B$3002,0)),""))</f>
        <v/>
      </c>
      <c r="G1842" s="42">
        <f>IF($C1842="","",IFERROR(INDEX(DESPACHOS!$F$3:$F$3002,MATCH($C1842,DESPACHOS!$B$3:$B$3002,0)),""))</f>
        <v/>
      </c>
      <c r="H1842" s="42">
        <f>IF($C1842="","",IFERROR(INDEX(DESPACHOS!$G$3:$G$3002,MATCH($C1842,DESPACHOS!$B$3:$B$3002,0)),""))</f>
        <v/>
      </c>
      <c r="I1842" s="39">
        <f>IF($C1842="","",IFERROR(INDEX(DESPACHOS!$H$3:$H$3002,MATCH($C1842,DESPACHOS!$B$3:$B$3002,0)),""))</f>
        <v/>
      </c>
      <c r="J1842" s="43">
        <f>IF($C1842="","",IFERROR(INDEX(DESPACHOS!$J$3:$J$3002,MATCH($C1842,DESPACHOS!$B$3:$B$3002,0)),""))</f>
        <v/>
      </c>
      <c r="K1842" s="39">
        <f>IF($C1842="","",IF(COUNTIFS(DESPACHOS!$B$3:$B$3002,$C1842)=0,"NO EXISTE",IF(COUNTIFS(DESPACHOS!$B$3:$B$3002,$C1842)&gt;1,"DUPLICADO","OK")))</f>
        <v/>
      </c>
      <c r="L1842" s="41" t="n"/>
      <c r="M1842" s="41" t="n"/>
      <c r="N1842" s="42">
        <f>IF($M1842="","",IFERROR(INDEX(LISTAS!$F$3:$F$42,MATCH($M1842,LISTAS!$E$3:$E$42,0)),"Por definir"))</f>
        <v/>
      </c>
      <c r="O1842" s="41" t="n"/>
      <c r="P1842" s="39">
        <f>IF($L1842="","",IFERROR(INDEX(LISTAS!$B$3:$B$42,MATCH($L1842,LISTAS!$A$3:$A$42,0)),"Media"))</f>
        <v/>
      </c>
      <c r="Q1842" s="44" t="n"/>
      <c r="R1842" s="45" t="n"/>
      <c r="S1842" s="20">
        <f>IFERROR(IF(OR($R1842="",$C1842=""),"",$R1842/INDEX(DESPACHOS!$M$3:$M$3002,MATCH($C1842,DESPACHOS!$B$3:$B$3002,0))),"")</f>
        <v/>
      </c>
      <c r="T1842" s="41" t="n"/>
      <c r="U1842" s="43">
        <f>IF(OR($B1842="",$L1842=""),"",WORKDAY($B1842,IFERROR(INDEX(LISTAS!$C$3:$C$42,MATCH($L1842,LISTAS!$A$3:$A$42,0)),3)))</f>
        <v/>
      </c>
      <c r="V1842" s="40" t="n"/>
      <c r="W1842" s="19">
        <f>IF($B1842="","",IF($V1842&lt;&gt;"",$V1842-$B1842,TODAY()-$B1842))</f>
        <v/>
      </c>
      <c r="X1842" s="19">
        <f>IF(OR($B1842="",$U1842=""),"",IF($V1842&lt;&gt;"",MAX(0,$V1842-$U1842),MAX(0,TODAY()-$U1842)))</f>
        <v/>
      </c>
      <c r="Y1842" s="39">
        <f>IF($C1842="","",IF(IFERROR(INDEX(LISTAS!$I$3:$I$42,MATCH($T1842,LISTAS!$H$3:$H$42,0)),"NO")="SÍ",IF(N($X1842)&gt;0,"CERRADA FUERA DE SLA","CERRADA EN SLA"),IF($U1842="","SIN CLASIFICAR",IF(N($X1842)&gt;0,"VENCIDA",IF(TODAY()&gt;=$U1842-1,"POR VENCER","EN PLAZO")))))</f>
        <v/>
      </c>
      <c r="Z1842" s="41" t="n"/>
      <c r="AA1842" s="41" t="n"/>
      <c r="AB1842" s="41" t="n"/>
    </row>
    <row r="1843">
      <c r="A1843" s="39">
        <f>IF($C1843="","","NOV-"&amp;TEXT(ROW()-3,"0000"))</f>
        <v/>
      </c>
      <c r="B1843" s="40" t="n"/>
      <c r="C1843" s="41" t="n"/>
      <c r="D1843" s="42">
        <f>IF($C1843="","",IFERROR(INDEX(DESPACHOS!$D$3:$D$3002,MATCH($C1843,DESPACHOS!$B$3:$B$3002,0)),"SIN DESPACHO"))</f>
        <v/>
      </c>
      <c r="E1843" s="42">
        <f>IF($C1843="","",IFERROR(INDEX(DESPACHOS!$K$3:$K$3002,MATCH($C1843,DESPACHOS!$B$3:$B$3002,0)),""))</f>
        <v/>
      </c>
      <c r="F1843" s="42">
        <f>IF($C1843="","",IFERROR(INDEX(DESPACHOS!$I$3:$I$3002,MATCH($C1843,DESPACHOS!$B$3:$B$3002,0)),""))</f>
        <v/>
      </c>
      <c r="G1843" s="42">
        <f>IF($C1843="","",IFERROR(INDEX(DESPACHOS!$F$3:$F$3002,MATCH($C1843,DESPACHOS!$B$3:$B$3002,0)),""))</f>
        <v/>
      </c>
      <c r="H1843" s="42">
        <f>IF($C1843="","",IFERROR(INDEX(DESPACHOS!$G$3:$G$3002,MATCH($C1843,DESPACHOS!$B$3:$B$3002,0)),""))</f>
        <v/>
      </c>
      <c r="I1843" s="39">
        <f>IF($C1843="","",IFERROR(INDEX(DESPACHOS!$H$3:$H$3002,MATCH($C1843,DESPACHOS!$B$3:$B$3002,0)),""))</f>
        <v/>
      </c>
      <c r="J1843" s="43">
        <f>IF($C1843="","",IFERROR(INDEX(DESPACHOS!$J$3:$J$3002,MATCH($C1843,DESPACHOS!$B$3:$B$3002,0)),""))</f>
        <v/>
      </c>
      <c r="K1843" s="39">
        <f>IF($C1843="","",IF(COUNTIFS(DESPACHOS!$B$3:$B$3002,$C1843)=0,"NO EXISTE",IF(COUNTIFS(DESPACHOS!$B$3:$B$3002,$C1843)&gt;1,"DUPLICADO","OK")))</f>
        <v/>
      </c>
      <c r="L1843" s="41" t="n"/>
      <c r="M1843" s="41" t="n"/>
      <c r="N1843" s="42">
        <f>IF($M1843="","",IFERROR(INDEX(LISTAS!$F$3:$F$42,MATCH($M1843,LISTAS!$E$3:$E$42,0)),"Por definir"))</f>
        <v/>
      </c>
      <c r="O1843" s="41" t="n"/>
      <c r="P1843" s="39">
        <f>IF($L1843="","",IFERROR(INDEX(LISTAS!$B$3:$B$42,MATCH($L1843,LISTAS!$A$3:$A$42,0)),"Media"))</f>
        <v/>
      </c>
      <c r="Q1843" s="44" t="n"/>
      <c r="R1843" s="45" t="n"/>
      <c r="S1843" s="20">
        <f>IFERROR(IF(OR($R1843="",$C1843=""),"",$R1843/INDEX(DESPACHOS!$M$3:$M$3002,MATCH($C1843,DESPACHOS!$B$3:$B$3002,0))),"")</f>
        <v/>
      </c>
      <c r="T1843" s="41" t="n"/>
      <c r="U1843" s="43">
        <f>IF(OR($B1843="",$L1843=""),"",WORKDAY($B1843,IFERROR(INDEX(LISTAS!$C$3:$C$42,MATCH($L1843,LISTAS!$A$3:$A$42,0)),3)))</f>
        <v/>
      </c>
      <c r="V1843" s="40" t="n"/>
      <c r="W1843" s="19">
        <f>IF($B1843="","",IF($V1843&lt;&gt;"",$V1843-$B1843,TODAY()-$B1843))</f>
        <v/>
      </c>
      <c r="X1843" s="19">
        <f>IF(OR($B1843="",$U1843=""),"",IF($V1843&lt;&gt;"",MAX(0,$V1843-$U1843),MAX(0,TODAY()-$U1843)))</f>
        <v/>
      </c>
      <c r="Y1843" s="39">
        <f>IF($C1843="","",IF(IFERROR(INDEX(LISTAS!$I$3:$I$42,MATCH($T1843,LISTAS!$H$3:$H$42,0)),"NO")="SÍ",IF(N($X1843)&gt;0,"CERRADA FUERA DE SLA","CERRADA EN SLA"),IF($U1843="","SIN CLASIFICAR",IF(N($X1843)&gt;0,"VENCIDA",IF(TODAY()&gt;=$U1843-1,"POR VENCER","EN PLAZO")))))</f>
        <v/>
      </c>
      <c r="Z1843" s="41" t="n"/>
      <c r="AA1843" s="41" t="n"/>
      <c r="AB1843" s="41" t="n"/>
    </row>
    <row r="1844">
      <c r="A1844" s="39">
        <f>IF($C1844="","","NOV-"&amp;TEXT(ROW()-3,"0000"))</f>
        <v/>
      </c>
      <c r="B1844" s="40" t="n"/>
      <c r="C1844" s="41" t="n"/>
      <c r="D1844" s="42">
        <f>IF($C1844="","",IFERROR(INDEX(DESPACHOS!$D$3:$D$3002,MATCH($C1844,DESPACHOS!$B$3:$B$3002,0)),"SIN DESPACHO"))</f>
        <v/>
      </c>
      <c r="E1844" s="42">
        <f>IF($C1844="","",IFERROR(INDEX(DESPACHOS!$K$3:$K$3002,MATCH($C1844,DESPACHOS!$B$3:$B$3002,0)),""))</f>
        <v/>
      </c>
      <c r="F1844" s="42">
        <f>IF($C1844="","",IFERROR(INDEX(DESPACHOS!$I$3:$I$3002,MATCH($C1844,DESPACHOS!$B$3:$B$3002,0)),""))</f>
        <v/>
      </c>
      <c r="G1844" s="42">
        <f>IF($C1844="","",IFERROR(INDEX(DESPACHOS!$F$3:$F$3002,MATCH($C1844,DESPACHOS!$B$3:$B$3002,0)),""))</f>
        <v/>
      </c>
      <c r="H1844" s="42">
        <f>IF($C1844="","",IFERROR(INDEX(DESPACHOS!$G$3:$G$3002,MATCH($C1844,DESPACHOS!$B$3:$B$3002,0)),""))</f>
        <v/>
      </c>
      <c r="I1844" s="39">
        <f>IF($C1844="","",IFERROR(INDEX(DESPACHOS!$H$3:$H$3002,MATCH($C1844,DESPACHOS!$B$3:$B$3002,0)),""))</f>
        <v/>
      </c>
      <c r="J1844" s="43">
        <f>IF($C1844="","",IFERROR(INDEX(DESPACHOS!$J$3:$J$3002,MATCH($C1844,DESPACHOS!$B$3:$B$3002,0)),""))</f>
        <v/>
      </c>
      <c r="K1844" s="39">
        <f>IF($C1844="","",IF(COUNTIFS(DESPACHOS!$B$3:$B$3002,$C1844)=0,"NO EXISTE",IF(COUNTIFS(DESPACHOS!$B$3:$B$3002,$C1844)&gt;1,"DUPLICADO","OK")))</f>
        <v/>
      </c>
      <c r="L1844" s="41" t="n"/>
      <c r="M1844" s="41" t="n"/>
      <c r="N1844" s="42">
        <f>IF($M1844="","",IFERROR(INDEX(LISTAS!$F$3:$F$42,MATCH($M1844,LISTAS!$E$3:$E$42,0)),"Por definir"))</f>
        <v/>
      </c>
      <c r="O1844" s="41" t="n"/>
      <c r="P1844" s="39">
        <f>IF($L1844="","",IFERROR(INDEX(LISTAS!$B$3:$B$42,MATCH($L1844,LISTAS!$A$3:$A$42,0)),"Media"))</f>
        <v/>
      </c>
      <c r="Q1844" s="44" t="n"/>
      <c r="R1844" s="45" t="n"/>
      <c r="S1844" s="20">
        <f>IFERROR(IF(OR($R1844="",$C1844=""),"",$R1844/INDEX(DESPACHOS!$M$3:$M$3002,MATCH($C1844,DESPACHOS!$B$3:$B$3002,0))),"")</f>
        <v/>
      </c>
      <c r="T1844" s="41" t="n"/>
      <c r="U1844" s="43">
        <f>IF(OR($B1844="",$L1844=""),"",WORKDAY($B1844,IFERROR(INDEX(LISTAS!$C$3:$C$42,MATCH($L1844,LISTAS!$A$3:$A$42,0)),3)))</f>
        <v/>
      </c>
      <c r="V1844" s="40" t="n"/>
      <c r="W1844" s="19">
        <f>IF($B1844="","",IF($V1844&lt;&gt;"",$V1844-$B1844,TODAY()-$B1844))</f>
        <v/>
      </c>
      <c r="X1844" s="19">
        <f>IF(OR($B1844="",$U1844=""),"",IF($V1844&lt;&gt;"",MAX(0,$V1844-$U1844),MAX(0,TODAY()-$U1844)))</f>
        <v/>
      </c>
      <c r="Y1844" s="39">
        <f>IF($C1844="","",IF(IFERROR(INDEX(LISTAS!$I$3:$I$42,MATCH($T1844,LISTAS!$H$3:$H$42,0)),"NO")="SÍ",IF(N($X1844)&gt;0,"CERRADA FUERA DE SLA","CERRADA EN SLA"),IF($U1844="","SIN CLASIFICAR",IF(N($X1844)&gt;0,"VENCIDA",IF(TODAY()&gt;=$U1844-1,"POR VENCER","EN PLAZO")))))</f>
        <v/>
      </c>
      <c r="Z1844" s="41" t="n"/>
      <c r="AA1844" s="41" t="n"/>
      <c r="AB1844" s="41" t="n"/>
    </row>
    <row r="1845">
      <c r="A1845" s="39">
        <f>IF($C1845="","","NOV-"&amp;TEXT(ROW()-3,"0000"))</f>
        <v/>
      </c>
      <c r="B1845" s="40" t="n"/>
      <c r="C1845" s="41" t="n"/>
      <c r="D1845" s="42">
        <f>IF($C1845="","",IFERROR(INDEX(DESPACHOS!$D$3:$D$3002,MATCH($C1845,DESPACHOS!$B$3:$B$3002,0)),"SIN DESPACHO"))</f>
        <v/>
      </c>
      <c r="E1845" s="42">
        <f>IF($C1845="","",IFERROR(INDEX(DESPACHOS!$K$3:$K$3002,MATCH($C1845,DESPACHOS!$B$3:$B$3002,0)),""))</f>
        <v/>
      </c>
      <c r="F1845" s="42">
        <f>IF($C1845="","",IFERROR(INDEX(DESPACHOS!$I$3:$I$3002,MATCH($C1845,DESPACHOS!$B$3:$B$3002,0)),""))</f>
        <v/>
      </c>
      <c r="G1845" s="42">
        <f>IF($C1845="","",IFERROR(INDEX(DESPACHOS!$F$3:$F$3002,MATCH($C1845,DESPACHOS!$B$3:$B$3002,0)),""))</f>
        <v/>
      </c>
      <c r="H1845" s="42">
        <f>IF($C1845="","",IFERROR(INDEX(DESPACHOS!$G$3:$G$3002,MATCH($C1845,DESPACHOS!$B$3:$B$3002,0)),""))</f>
        <v/>
      </c>
      <c r="I1845" s="39">
        <f>IF($C1845="","",IFERROR(INDEX(DESPACHOS!$H$3:$H$3002,MATCH($C1845,DESPACHOS!$B$3:$B$3002,0)),""))</f>
        <v/>
      </c>
      <c r="J1845" s="43">
        <f>IF($C1845="","",IFERROR(INDEX(DESPACHOS!$J$3:$J$3002,MATCH($C1845,DESPACHOS!$B$3:$B$3002,0)),""))</f>
        <v/>
      </c>
      <c r="K1845" s="39">
        <f>IF($C1845="","",IF(COUNTIFS(DESPACHOS!$B$3:$B$3002,$C1845)=0,"NO EXISTE",IF(COUNTIFS(DESPACHOS!$B$3:$B$3002,$C1845)&gt;1,"DUPLICADO","OK")))</f>
        <v/>
      </c>
      <c r="L1845" s="41" t="n"/>
      <c r="M1845" s="41" t="n"/>
      <c r="N1845" s="42">
        <f>IF($M1845="","",IFERROR(INDEX(LISTAS!$F$3:$F$42,MATCH($M1845,LISTAS!$E$3:$E$42,0)),"Por definir"))</f>
        <v/>
      </c>
      <c r="O1845" s="41" t="n"/>
      <c r="P1845" s="39">
        <f>IF($L1845="","",IFERROR(INDEX(LISTAS!$B$3:$B$42,MATCH($L1845,LISTAS!$A$3:$A$42,0)),"Media"))</f>
        <v/>
      </c>
      <c r="Q1845" s="44" t="n"/>
      <c r="R1845" s="45" t="n"/>
      <c r="S1845" s="20">
        <f>IFERROR(IF(OR($R1845="",$C1845=""),"",$R1845/INDEX(DESPACHOS!$M$3:$M$3002,MATCH($C1845,DESPACHOS!$B$3:$B$3002,0))),"")</f>
        <v/>
      </c>
      <c r="T1845" s="41" t="n"/>
      <c r="U1845" s="43">
        <f>IF(OR($B1845="",$L1845=""),"",WORKDAY($B1845,IFERROR(INDEX(LISTAS!$C$3:$C$42,MATCH($L1845,LISTAS!$A$3:$A$42,0)),3)))</f>
        <v/>
      </c>
      <c r="V1845" s="40" t="n"/>
      <c r="W1845" s="19">
        <f>IF($B1845="","",IF($V1845&lt;&gt;"",$V1845-$B1845,TODAY()-$B1845))</f>
        <v/>
      </c>
      <c r="X1845" s="19">
        <f>IF(OR($B1845="",$U1845=""),"",IF($V1845&lt;&gt;"",MAX(0,$V1845-$U1845),MAX(0,TODAY()-$U1845)))</f>
        <v/>
      </c>
      <c r="Y1845" s="39">
        <f>IF($C1845="","",IF(IFERROR(INDEX(LISTAS!$I$3:$I$42,MATCH($T1845,LISTAS!$H$3:$H$42,0)),"NO")="SÍ",IF(N($X1845)&gt;0,"CERRADA FUERA DE SLA","CERRADA EN SLA"),IF($U1845="","SIN CLASIFICAR",IF(N($X1845)&gt;0,"VENCIDA",IF(TODAY()&gt;=$U1845-1,"POR VENCER","EN PLAZO")))))</f>
        <v/>
      </c>
      <c r="Z1845" s="41" t="n"/>
      <c r="AA1845" s="41" t="n"/>
      <c r="AB1845" s="41" t="n"/>
    </row>
    <row r="1846">
      <c r="A1846" s="39">
        <f>IF($C1846="","","NOV-"&amp;TEXT(ROW()-3,"0000"))</f>
        <v/>
      </c>
      <c r="B1846" s="40" t="n"/>
      <c r="C1846" s="41" t="n"/>
      <c r="D1846" s="42">
        <f>IF($C1846="","",IFERROR(INDEX(DESPACHOS!$D$3:$D$3002,MATCH($C1846,DESPACHOS!$B$3:$B$3002,0)),"SIN DESPACHO"))</f>
        <v/>
      </c>
      <c r="E1846" s="42">
        <f>IF($C1846="","",IFERROR(INDEX(DESPACHOS!$K$3:$K$3002,MATCH($C1846,DESPACHOS!$B$3:$B$3002,0)),""))</f>
        <v/>
      </c>
      <c r="F1846" s="42">
        <f>IF($C1846="","",IFERROR(INDEX(DESPACHOS!$I$3:$I$3002,MATCH($C1846,DESPACHOS!$B$3:$B$3002,0)),""))</f>
        <v/>
      </c>
      <c r="G1846" s="42">
        <f>IF($C1846="","",IFERROR(INDEX(DESPACHOS!$F$3:$F$3002,MATCH($C1846,DESPACHOS!$B$3:$B$3002,0)),""))</f>
        <v/>
      </c>
      <c r="H1846" s="42">
        <f>IF($C1846="","",IFERROR(INDEX(DESPACHOS!$G$3:$G$3002,MATCH($C1846,DESPACHOS!$B$3:$B$3002,0)),""))</f>
        <v/>
      </c>
      <c r="I1846" s="39">
        <f>IF($C1846="","",IFERROR(INDEX(DESPACHOS!$H$3:$H$3002,MATCH($C1846,DESPACHOS!$B$3:$B$3002,0)),""))</f>
        <v/>
      </c>
      <c r="J1846" s="43">
        <f>IF($C1846="","",IFERROR(INDEX(DESPACHOS!$J$3:$J$3002,MATCH($C1846,DESPACHOS!$B$3:$B$3002,0)),""))</f>
        <v/>
      </c>
      <c r="K1846" s="39">
        <f>IF($C1846="","",IF(COUNTIFS(DESPACHOS!$B$3:$B$3002,$C1846)=0,"NO EXISTE",IF(COUNTIFS(DESPACHOS!$B$3:$B$3002,$C1846)&gt;1,"DUPLICADO","OK")))</f>
        <v/>
      </c>
      <c r="L1846" s="41" t="n"/>
      <c r="M1846" s="41" t="n"/>
      <c r="N1846" s="42">
        <f>IF($M1846="","",IFERROR(INDEX(LISTAS!$F$3:$F$42,MATCH($M1846,LISTAS!$E$3:$E$42,0)),"Por definir"))</f>
        <v/>
      </c>
      <c r="O1846" s="41" t="n"/>
      <c r="P1846" s="39">
        <f>IF($L1846="","",IFERROR(INDEX(LISTAS!$B$3:$B$42,MATCH($L1846,LISTAS!$A$3:$A$42,0)),"Media"))</f>
        <v/>
      </c>
      <c r="Q1846" s="44" t="n"/>
      <c r="R1846" s="45" t="n"/>
      <c r="S1846" s="20">
        <f>IFERROR(IF(OR($R1846="",$C1846=""),"",$R1846/INDEX(DESPACHOS!$M$3:$M$3002,MATCH($C1846,DESPACHOS!$B$3:$B$3002,0))),"")</f>
        <v/>
      </c>
      <c r="T1846" s="41" t="n"/>
      <c r="U1846" s="43">
        <f>IF(OR($B1846="",$L1846=""),"",WORKDAY($B1846,IFERROR(INDEX(LISTAS!$C$3:$C$42,MATCH($L1846,LISTAS!$A$3:$A$42,0)),3)))</f>
        <v/>
      </c>
      <c r="V1846" s="40" t="n"/>
      <c r="W1846" s="19">
        <f>IF($B1846="","",IF($V1846&lt;&gt;"",$V1846-$B1846,TODAY()-$B1846))</f>
        <v/>
      </c>
      <c r="X1846" s="19">
        <f>IF(OR($B1846="",$U1846=""),"",IF($V1846&lt;&gt;"",MAX(0,$V1846-$U1846),MAX(0,TODAY()-$U1846)))</f>
        <v/>
      </c>
      <c r="Y1846" s="39">
        <f>IF($C1846="","",IF(IFERROR(INDEX(LISTAS!$I$3:$I$42,MATCH($T1846,LISTAS!$H$3:$H$42,0)),"NO")="SÍ",IF(N($X1846)&gt;0,"CERRADA FUERA DE SLA","CERRADA EN SLA"),IF($U1846="","SIN CLASIFICAR",IF(N($X1846)&gt;0,"VENCIDA",IF(TODAY()&gt;=$U1846-1,"POR VENCER","EN PLAZO")))))</f>
        <v/>
      </c>
      <c r="Z1846" s="41" t="n"/>
      <c r="AA1846" s="41" t="n"/>
      <c r="AB1846" s="41" t="n"/>
    </row>
    <row r="1847">
      <c r="A1847" s="39">
        <f>IF($C1847="","","NOV-"&amp;TEXT(ROW()-3,"0000"))</f>
        <v/>
      </c>
      <c r="B1847" s="40" t="n"/>
      <c r="C1847" s="41" t="n"/>
      <c r="D1847" s="42">
        <f>IF($C1847="","",IFERROR(INDEX(DESPACHOS!$D$3:$D$3002,MATCH($C1847,DESPACHOS!$B$3:$B$3002,0)),"SIN DESPACHO"))</f>
        <v/>
      </c>
      <c r="E1847" s="42">
        <f>IF($C1847="","",IFERROR(INDEX(DESPACHOS!$K$3:$K$3002,MATCH($C1847,DESPACHOS!$B$3:$B$3002,0)),""))</f>
        <v/>
      </c>
      <c r="F1847" s="42">
        <f>IF($C1847="","",IFERROR(INDEX(DESPACHOS!$I$3:$I$3002,MATCH($C1847,DESPACHOS!$B$3:$B$3002,0)),""))</f>
        <v/>
      </c>
      <c r="G1847" s="42">
        <f>IF($C1847="","",IFERROR(INDEX(DESPACHOS!$F$3:$F$3002,MATCH($C1847,DESPACHOS!$B$3:$B$3002,0)),""))</f>
        <v/>
      </c>
      <c r="H1847" s="42">
        <f>IF($C1847="","",IFERROR(INDEX(DESPACHOS!$G$3:$G$3002,MATCH($C1847,DESPACHOS!$B$3:$B$3002,0)),""))</f>
        <v/>
      </c>
      <c r="I1847" s="39">
        <f>IF($C1847="","",IFERROR(INDEX(DESPACHOS!$H$3:$H$3002,MATCH($C1847,DESPACHOS!$B$3:$B$3002,0)),""))</f>
        <v/>
      </c>
      <c r="J1847" s="43">
        <f>IF($C1847="","",IFERROR(INDEX(DESPACHOS!$J$3:$J$3002,MATCH($C1847,DESPACHOS!$B$3:$B$3002,0)),""))</f>
        <v/>
      </c>
      <c r="K1847" s="39">
        <f>IF($C1847="","",IF(COUNTIFS(DESPACHOS!$B$3:$B$3002,$C1847)=0,"NO EXISTE",IF(COUNTIFS(DESPACHOS!$B$3:$B$3002,$C1847)&gt;1,"DUPLICADO","OK")))</f>
        <v/>
      </c>
      <c r="L1847" s="41" t="n"/>
      <c r="M1847" s="41" t="n"/>
      <c r="N1847" s="42">
        <f>IF($M1847="","",IFERROR(INDEX(LISTAS!$F$3:$F$42,MATCH($M1847,LISTAS!$E$3:$E$42,0)),"Por definir"))</f>
        <v/>
      </c>
      <c r="O1847" s="41" t="n"/>
      <c r="P1847" s="39">
        <f>IF($L1847="","",IFERROR(INDEX(LISTAS!$B$3:$B$42,MATCH($L1847,LISTAS!$A$3:$A$42,0)),"Media"))</f>
        <v/>
      </c>
      <c r="Q1847" s="44" t="n"/>
      <c r="R1847" s="45" t="n"/>
      <c r="S1847" s="20">
        <f>IFERROR(IF(OR($R1847="",$C1847=""),"",$R1847/INDEX(DESPACHOS!$M$3:$M$3002,MATCH($C1847,DESPACHOS!$B$3:$B$3002,0))),"")</f>
        <v/>
      </c>
      <c r="T1847" s="41" t="n"/>
      <c r="U1847" s="43">
        <f>IF(OR($B1847="",$L1847=""),"",WORKDAY($B1847,IFERROR(INDEX(LISTAS!$C$3:$C$42,MATCH($L1847,LISTAS!$A$3:$A$42,0)),3)))</f>
        <v/>
      </c>
      <c r="V1847" s="40" t="n"/>
      <c r="W1847" s="19">
        <f>IF($B1847="","",IF($V1847&lt;&gt;"",$V1847-$B1847,TODAY()-$B1847))</f>
        <v/>
      </c>
      <c r="X1847" s="19">
        <f>IF(OR($B1847="",$U1847=""),"",IF($V1847&lt;&gt;"",MAX(0,$V1847-$U1847),MAX(0,TODAY()-$U1847)))</f>
        <v/>
      </c>
      <c r="Y1847" s="39">
        <f>IF($C1847="","",IF(IFERROR(INDEX(LISTAS!$I$3:$I$42,MATCH($T1847,LISTAS!$H$3:$H$42,0)),"NO")="SÍ",IF(N($X1847)&gt;0,"CERRADA FUERA DE SLA","CERRADA EN SLA"),IF($U1847="","SIN CLASIFICAR",IF(N($X1847)&gt;0,"VENCIDA",IF(TODAY()&gt;=$U1847-1,"POR VENCER","EN PLAZO")))))</f>
        <v/>
      </c>
      <c r="Z1847" s="41" t="n"/>
      <c r="AA1847" s="41" t="n"/>
      <c r="AB1847" s="41" t="n"/>
    </row>
    <row r="1848">
      <c r="A1848" s="39">
        <f>IF($C1848="","","NOV-"&amp;TEXT(ROW()-3,"0000"))</f>
        <v/>
      </c>
      <c r="B1848" s="40" t="n"/>
      <c r="C1848" s="41" t="n"/>
      <c r="D1848" s="42">
        <f>IF($C1848="","",IFERROR(INDEX(DESPACHOS!$D$3:$D$3002,MATCH($C1848,DESPACHOS!$B$3:$B$3002,0)),"SIN DESPACHO"))</f>
        <v/>
      </c>
      <c r="E1848" s="42">
        <f>IF($C1848="","",IFERROR(INDEX(DESPACHOS!$K$3:$K$3002,MATCH($C1848,DESPACHOS!$B$3:$B$3002,0)),""))</f>
        <v/>
      </c>
      <c r="F1848" s="42">
        <f>IF($C1848="","",IFERROR(INDEX(DESPACHOS!$I$3:$I$3002,MATCH($C1848,DESPACHOS!$B$3:$B$3002,0)),""))</f>
        <v/>
      </c>
      <c r="G1848" s="42">
        <f>IF($C1848="","",IFERROR(INDEX(DESPACHOS!$F$3:$F$3002,MATCH($C1848,DESPACHOS!$B$3:$B$3002,0)),""))</f>
        <v/>
      </c>
      <c r="H1848" s="42">
        <f>IF($C1848="","",IFERROR(INDEX(DESPACHOS!$G$3:$G$3002,MATCH($C1848,DESPACHOS!$B$3:$B$3002,0)),""))</f>
        <v/>
      </c>
      <c r="I1848" s="39">
        <f>IF($C1848="","",IFERROR(INDEX(DESPACHOS!$H$3:$H$3002,MATCH($C1848,DESPACHOS!$B$3:$B$3002,0)),""))</f>
        <v/>
      </c>
      <c r="J1848" s="43">
        <f>IF($C1848="","",IFERROR(INDEX(DESPACHOS!$J$3:$J$3002,MATCH($C1848,DESPACHOS!$B$3:$B$3002,0)),""))</f>
        <v/>
      </c>
      <c r="K1848" s="39">
        <f>IF($C1848="","",IF(COUNTIFS(DESPACHOS!$B$3:$B$3002,$C1848)=0,"NO EXISTE",IF(COUNTIFS(DESPACHOS!$B$3:$B$3002,$C1848)&gt;1,"DUPLICADO","OK")))</f>
        <v/>
      </c>
      <c r="L1848" s="41" t="n"/>
      <c r="M1848" s="41" t="n"/>
      <c r="N1848" s="42">
        <f>IF($M1848="","",IFERROR(INDEX(LISTAS!$F$3:$F$42,MATCH($M1848,LISTAS!$E$3:$E$42,0)),"Por definir"))</f>
        <v/>
      </c>
      <c r="O1848" s="41" t="n"/>
      <c r="P1848" s="39">
        <f>IF($L1848="","",IFERROR(INDEX(LISTAS!$B$3:$B$42,MATCH($L1848,LISTAS!$A$3:$A$42,0)),"Media"))</f>
        <v/>
      </c>
      <c r="Q1848" s="44" t="n"/>
      <c r="R1848" s="45" t="n"/>
      <c r="S1848" s="20">
        <f>IFERROR(IF(OR($R1848="",$C1848=""),"",$R1848/INDEX(DESPACHOS!$M$3:$M$3002,MATCH($C1848,DESPACHOS!$B$3:$B$3002,0))),"")</f>
        <v/>
      </c>
      <c r="T1848" s="41" t="n"/>
      <c r="U1848" s="43">
        <f>IF(OR($B1848="",$L1848=""),"",WORKDAY($B1848,IFERROR(INDEX(LISTAS!$C$3:$C$42,MATCH($L1848,LISTAS!$A$3:$A$42,0)),3)))</f>
        <v/>
      </c>
      <c r="V1848" s="40" t="n"/>
      <c r="W1848" s="19">
        <f>IF($B1848="","",IF($V1848&lt;&gt;"",$V1848-$B1848,TODAY()-$B1848))</f>
        <v/>
      </c>
      <c r="X1848" s="19">
        <f>IF(OR($B1848="",$U1848=""),"",IF($V1848&lt;&gt;"",MAX(0,$V1848-$U1848),MAX(0,TODAY()-$U1848)))</f>
        <v/>
      </c>
      <c r="Y1848" s="39">
        <f>IF($C1848="","",IF(IFERROR(INDEX(LISTAS!$I$3:$I$42,MATCH($T1848,LISTAS!$H$3:$H$42,0)),"NO")="SÍ",IF(N($X1848)&gt;0,"CERRADA FUERA DE SLA","CERRADA EN SLA"),IF($U1848="","SIN CLASIFICAR",IF(N($X1848)&gt;0,"VENCIDA",IF(TODAY()&gt;=$U1848-1,"POR VENCER","EN PLAZO")))))</f>
        <v/>
      </c>
      <c r="Z1848" s="41" t="n"/>
      <c r="AA1848" s="41" t="n"/>
      <c r="AB1848" s="41" t="n"/>
    </row>
    <row r="1849">
      <c r="A1849" s="39">
        <f>IF($C1849="","","NOV-"&amp;TEXT(ROW()-3,"0000"))</f>
        <v/>
      </c>
      <c r="B1849" s="40" t="n"/>
      <c r="C1849" s="41" t="n"/>
      <c r="D1849" s="42">
        <f>IF($C1849="","",IFERROR(INDEX(DESPACHOS!$D$3:$D$3002,MATCH($C1849,DESPACHOS!$B$3:$B$3002,0)),"SIN DESPACHO"))</f>
        <v/>
      </c>
      <c r="E1849" s="42">
        <f>IF($C1849="","",IFERROR(INDEX(DESPACHOS!$K$3:$K$3002,MATCH($C1849,DESPACHOS!$B$3:$B$3002,0)),""))</f>
        <v/>
      </c>
      <c r="F1849" s="42">
        <f>IF($C1849="","",IFERROR(INDEX(DESPACHOS!$I$3:$I$3002,MATCH($C1849,DESPACHOS!$B$3:$B$3002,0)),""))</f>
        <v/>
      </c>
      <c r="G1849" s="42">
        <f>IF($C1849="","",IFERROR(INDEX(DESPACHOS!$F$3:$F$3002,MATCH($C1849,DESPACHOS!$B$3:$B$3002,0)),""))</f>
        <v/>
      </c>
      <c r="H1849" s="42">
        <f>IF($C1849="","",IFERROR(INDEX(DESPACHOS!$G$3:$G$3002,MATCH($C1849,DESPACHOS!$B$3:$B$3002,0)),""))</f>
        <v/>
      </c>
      <c r="I1849" s="39">
        <f>IF($C1849="","",IFERROR(INDEX(DESPACHOS!$H$3:$H$3002,MATCH($C1849,DESPACHOS!$B$3:$B$3002,0)),""))</f>
        <v/>
      </c>
      <c r="J1849" s="43">
        <f>IF($C1849="","",IFERROR(INDEX(DESPACHOS!$J$3:$J$3002,MATCH($C1849,DESPACHOS!$B$3:$B$3002,0)),""))</f>
        <v/>
      </c>
      <c r="K1849" s="39">
        <f>IF($C1849="","",IF(COUNTIFS(DESPACHOS!$B$3:$B$3002,$C1849)=0,"NO EXISTE",IF(COUNTIFS(DESPACHOS!$B$3:$B$3002,$C1849)&gt;1,"DUPLICADO","OK")))</f>
        <v/>
      </c>
      <c r="L1849" s="41" t="n"/>
      <c r="M1849" s="41" t="n"/>
      <c r="N1849" s="42">
        <f>IF($M1849="","",IFERROR(INDEX(LISTAS!$F$3:$F$42,MATCH($M1849,LISTAS!$E$3:$E$42,0)),"Por definir"))</f>
        <v/>
      </c>
      <c r="O1849" s="41" t="n"/>
      <c r="P1849" s="39">
        <f>IF($L1849="","",IFERROR(INDEX(LISTAS!$B$3:$B$42,MATCH($L1849,LISTAS!$A$3:$A$42,0)),"Media"))</f>
        <v/>
      </c>
      <c r="Q1849" s="44" t="n"/>
      <c r="R1849" s="45" t="n"/>
      <c r="S1849" s="20">
        <f>IFERROR(IF(OR($R1849="",$C1849=""),"",$R1849/INDEX(DESPACHOS!$M$3:$M$3002,MATCH($C1849,DESPACHOS!$B$3:$B$3002,0))),"")</f>
        <v/>
      </c>
      <c r="T1849" s="41" t="n"/>
      <c r="U1849" s="43">
        <f>IF(OR($B1849="",$L1849=""),"",WORKDAY($B1849,IFERROR(INDEX(LISTAS!$C$3:$C$42,MATCH($L1849,LISTAS!$A$3:$A$42,0)),3)))</f>
        <v/>
      </c>
      <c r="V1849" s="40" t="n"/>
      <c r="W1849" s="19">
        <f>IF($B1849="","",IF($V1849&lt;&gt;"",$V1849-$B1849,TODAY()-$B1849))</f>
        <v/>
      </c>
      <c r="X1849" s="19">
        <f>IF(OR($B1849="",$U1849=""),"",IF($V1849&lt;&gt;"",MAX(0,$V1849-$U1849),MAX(0,TODAY()-$U1849)))</f>
        <v/>
      </c>
      <c r="Y1849" s="39">
        <f>IF($C1849="","",IF(IFERROR(INDEX(LISTAS!$I$3:$I$42,MATCH($T1849,LISTAS!$H$3:$H$42,0)),"NO")="SÍ",IF(N($X1849)&gt;0,"CERRADA FUERA DE SLA","CERRADA EN SLA"),IF($U1849="","SIN CLASIFICAR",IF(N($X1849)&gt;0,"VENCIDA",IF(TODAY()&gt;=$U1849-1,"POR VENCER","EN PLAZO")))))</f>
        <v/>
      </c>
      <c r="Z1849" s="41" t="n"/>
      <c r="AA1849" s="41" t="n"/>
      <c r="AB1849" s="41" t="n"/>
    </row>
    <row r="1850">
      <c r="A1850" s="39">
        <f>IF($C1850="","","NOV-"&amp;TEXT(ROW()-3,"0000"))</f>
        <v/>
      </c>
      <c r="B1850" s="40" t="n"/>
      <c r="C1850" s="41" t="n"/>
      <c r="D1850" s="42">
        <f>IF($C1850="","",IFERROR(INDEX(DESPACHOS!$D$3:$D$3002,MATCH($C1850,DESPACHOS!$B$3:$B$3002,0)),"SIN DESPACHO"))</f>
        <v/>
      </c>
      <c r="E1850" s="42">
        <f>IF($C1850="","",IFERROR(INDEX(DESPACHOS!$K$3:$K$3002,MATCH($C1850,DESPACHOS!$B$3:$B$3002,0)),""))</f>
        <v/>
      </c>
      <c r="F1850" s="42">
        <f>IF($C1850="","",IFERROR(INDEX(DESPACHOS!$I$3:$I$3002,MATCH($C1850,DESPACHOS!$B$3:$B$3002,0)),""))</f>
        <v/>
      </c>
      <c r="G1850" s="42">
        <f>IF($C1850="","",IFERROR(INDEX(DESPACHOS!$F$3:$F$3002,MATCH($C1850,DESPACHOS!$B$3:$B$3002,0)),""))</f>
        <v/>
      </c>
      <c r="H1850" s="42">
        <f>IF($C1850="","",IFERROR(INDEX(DESPACHOS!$G$3:$G$3002,MATCH($C1850,DESPACHOS!$B$3:$B$3002,0)),""))</f>
        <v/>
      </c>
      <c r="I1850" s="39">
        <f>IF($C1850="","",IFERROR(INDEX(DESPACHOS!$H$3:$H$3002,MATCH($C1850,DESPACHOS!$B$3:$B$3002,0)),""))</f>
        <v/>
      </c>
      <c r="J1850" s="43">
        <f>IF($C1850="","",IFERROR(INDEX(DESPACHOS!$J$3:$J$3002,MATCH($C1850,DESPACHOS!$B$3:$B$3002,0)),""))</f>
        <v/>
      </c>
      <c r="K1850" s="39">
        <f>IF($C1850="","",IF(COUNTIFS(DESPACHOS!$B$3:$B$3002,$C1850)=0,"NO EXISTE",IF(COUNTIFS(DESPACHOS!$B$3:$B$3002,$C1850)&gt;1,"DUPLICADO","OK")))</f>
        <v/>
      </c>
      <c r="L1850" s="41" t="n"/>
      <c r="M1850" s="41" t="n"/>
      <c r="N1850" s="42">
        <f>IF($M1850="","",IFERROR(INDEX(LISTAS!$F$3:$F$42,MATCH($M1850,LISTAS!$E$3:$E$42,0)),"Por definir"))</f>
        <v/>
      </c>
      <c r="O1850" s="41" t="n"/>
      <c r="P1850" s="39">
        <f>IF($L1850="","",IFERROR(INDEX(LISTAS!$B$3:$B$42,MATCH($L1850,LISTAS!$A$3:$A$42,0)),"Media"))</f>
        <v/>
      </c>
      <c r="Q1850" s="44" t="n"/>
      <c r="R1850" s="45" t="n"/>
      <c r="S1850" s="20">
        <f>IFERROR(IF(OR($R1850="",$C1850=""),"",$R1850/INDEX(DESPACHOS!$M$3:$M$3002,MATCH($C1850,DESPACHOS!$B$3:$B$3002,0))),"")</f>
        <v/>
      </c>
      <c r="T1850" s="41" t="n"/>
      <c r="U1850" s="43">
        <f>IF(OR($B1850="",$L1850=""),"",WORKDAY($B1850,IFERROR(INDEX(LISTAS!$C$3:$C$42,MATCH($L1850,LISTAS!$A$3:$A$42,0)),3)))</f>
        <v/>
      </c>
      <c r="V1850" s="40" t="n"/>
      <c r="W1850" s="19">
        <f>IF($B1850="","",IF($V1850&lt;&gt;"",$V1850-$B1850,TODAY()-$B1850))</f>
        <v/>
      </c>
      <c r="X1850" s="19">
        <f>IF(OR($B1850="",$U1850=""),"",IF($V1850&lt;&gt;"",MAX(0,$V1850-$U1850),MAX(0,TODAY()-$U1850)))</f>
        <v/>
      </c>
      <c r="Y1850" s="39">
        <f>IF($C1850="","",IF(IFERROR(INDEX(LISTAS!$I$3:$I$42,MATCH($T1850,LISTAS!$H$3:$H$42,0)),"NO")="SÍ",IF(N($X1850)&gt;0,"CERRADA FUERA DE SLA","CERRADA EN SLA"),IF($U1850="","SIN CLASIFICAR",IF(N($X1850)&gt;0,"VENCIDA",IF(TODAY()&gt;=$U1850-1,"POR VENCER","EN PLAZO")))))</f>
        <v/>
      </c>
      <c r="Z1850" s="41" t="n"/>
      <c r="AA1850" s="41" t="n"/>
      <c r="AB1850" s="41" t="n"/>
    </row>
    <row r="1851">
      <c r="A1851" s="39">
        <f>IF($C1851="","","NOV-"&amp;TEXT(ROW()-3,"0000"))</f>
        <v/>
      </c>
      <c r="B1851" s="40" t="n"/>
      <c r="C1851" s="41" t="n"/>
      <c r="D1851" s="42">
        <f>IF($C1851="","",IFERROR(INDEX(DESPACHOS!$D$3:$D$3002,MATCH($C1851,DESPACHOS!$B$3:$B$3002,0)),"SIN DESPACHO"))</f>
        <v/>
      </c>
      <c r="E1851" s="42">
        <f>IF($C1851="","",IFERROR(INDEX(DESPACHOS!$K$3:$K$3002,MATCH($C1851,DESPACHOS!$B$3:$B$3002,0)),""))</f>
        <v/>
      </c>
      <c r="F1851" s="42">
        <f>IF($C1851="","",IFERROR(INDEX(DESPACHOS!$I$3:$I$3002,MATCH($C1851,DESPACHOS!$B$3:$B$3002,0)),""))</f>
        <v/>
      </c>
      <c r="G1851" s="42">
        <f>IF($C1851="","",IFERROR(INDEX(DESPACHOS!$F$3:$F$3002,MATCH($C1851,DESPACHOS!$B$3:$B$3002,0)),""))</f>
        <v/>
      </c>
      <c r="H1851" s="42">
        <f>IF($C1851="","",IFERROR(INDEX(DESPACHOS!$G$3:$G$3002,MATCH($C1851,DESPACHOS!$B$3:$B$3002,0)),""))</f>
        <v/>
      </c>
      <c r="I1851" s="39">
        <f>IF($C1851="","",IFERROR(INDEX(DESPACHOS!$H$3:$H$3002,MATCH($C1851,DESPACHOS!$B$3:$B$3002,0)),""))</f>
        <v/>
      </c>
      <c r="J1851" s="43">
        <f>IF($C1851="","",IFERROR(INDEX(DESPACHOS!$J$3:$J$3002,MATCH($C1851,DESPACHOS!$B$3:$B$3002,0)),""))</f>
        <v/>
      </c>
      <c r="K1851" s="39">
        <f>IF($C1851="","",IF(COUNTIFS(DESPACHOS!$B$3:$B$3002,$C1851)=0,"NO EXISTE",IF(COUNTIFS(DESPACHOS!$B$3:$B$3002,$C1851)&gt;1,"DUPLICADO","OK")))</f>
        <v/>
      </c>
      <c r="L1851" s="41" t="n"/>
      <c r="M1851" s="41" t="n"/>
      <c r="N1851" s="42">
        <f>IF($M1851="","",IFERROR(INDEX(LISTAS!$F$3:$F$42,MATCH($M1851,LISTAS!$E$3:$E$42,0)),"Por definir"))</f>
        <v/>
      </c>
      <c r="O1851" s="41" t="n"/>
      <c r="P1851" s="39">
        <f>IF($L1851="","",IFERROR(INDEX(LISTAS!$B$3:$B$42,MATCH($L1851,LISTAS!$A$3:$A$42,0)),"Media"))</f>
        <v/>
      </c>
      <c r="Q1851" s="44" t="n"/>
      <c r="R1851" s="45" t="n"/>
      <c r="S1851" s="20">
        <f>IFERROR(IF(OR($R1851="",$C1851=""),"",$R1851/INDEX(DESPACHOS!$M$3:$M$3002,MATCH($C1851,DESPACHOS!$B$3:$B$3002,0))),"")</f>
        <v/>
      </c>
      <c r="T1851" s="41" t="n"/>
      <c r="U1851" s="43">
        <f>IF(OR($B1851="",$L1851=""),"",WORKDAY($B1851,IFERROR(INDEX(LISTAS!$C$3:$C$42,MATCH($L1851,LISTAS!$A$3:$A$42,0)),3)))</f>
        <v/>
      </c>
      <c r="V1851" s="40" t="n"/>
      <c r="W1851" s="19">
        <f>IF($B1851="","",IF($V1851&lt;&gt;"",$V1851-$B1851,TODAY()-$B1851))</f>
        <v/>
      </c>
      <c r="X1851" s="19">
        <f>IF(OR($B1851="",$U1851=""),"",IF($V1851&lt;&gt;"",MAX(0,$V1851-$U1851),MAX(0,TODAY()-$U1851)))</f>
        <v/>
      </c>
      <c r="Y1851" s="39">
        <f>IF($C1851="","",IF(IFERROR(INDEX(LISTAS!$I$3:$I$42,MATCH($T1851,LISTAS!$H$3:$H$42,0)),"NO")="SÍ",IF(N($X1851)&gt;0,"CERRADA FUERA DE SLA","CERRADA EN SLA"),IF($U1851="","SIN CLASIFICAR",IF(N($X1851)&gt;0,"VENCIDA",IF(TODAY()&gt;=$U1851-1,"POR VENCER","EN PLAZO")))))</f>
        <v/>
      </c>
      <c r="Z1851" s="41" t="n"/>
      <c r="AA1851" s="41" t="n"/>
      <c r="AB1851" s="41" t="n"/>
    </row>
    <row r="1852">
      <c r="A1852" s="39">
        <f>IF($C1852="","","NOV-"&amp;TEXT(ROW()-3,"0000"))</f>
        <v/>
      </c>
      <c r="B1852" s="40" t="n"/>
      <c r="C1852" s="41" t="n"/>
      <c r="D1852" s="42">
        <f>IF($C1852="","",IFERROR(INDEX(DESPACHOS!$D$3:$D$3002,MATCH($C1852,DESPACHOS!$B$3:$B$3002,0)),"SIN DESPACHO"))</f>
        <v/>
      </c>
      <c r="E1852" s="42">
        <f>IF($C1852="","",IFERROR(INDEX(DESPACHOS!$K$3:$K$3002,MATCH($C1852,DESPACHOS!$B$3:$B$3002,0)),""))</f>
        <v/>
      </c>
      <c r="F1852" s="42">
        <f>IF($C1852="","",IFERROR(INDEX(DESPACHOS!$I$3:$I$3002,MATCH($C1852,DESPACHOS!$B$3:$B$3002,0)),""))</f>
        <v/>
      </c>
      <c r="G1852" s="42">
        <f>IF($C1852="","",IFERROR(INDEX(DESPACHOS!$F$3:$F$3002,MATCH($C1852,DESPACHOS!$B$3:$B$3002,0)),""))</f>
        <v/>
      </c>
      <c r="H1852" s="42">
        <f>IF($C1852="","",IFERROR(INDEX(DESPACHOS!$G$3:$G$3002,MATCH($C1852,DESPACHOS!$B$3:$B$3002,0)),""))</f>
        <v/>
      </c>
      <c r="I1852" s="39">
        <f>IF($C1852="","",IFERROR(INDEX(DESPACHOS!$H$3:$H$3002,MATCH($C1852,DESPACHOS!$B$3:$B$3002,0)),""))</f>
        <v/>
      </c>
      <c r="J1852" s="43">
        <f>IF($C1852="","",IFERROR(INDEX(DESPACHOS!$J$3:$J$3002,MATCH($C1852,DESPACHOS!$B$3:$B$3002,0)),""))</f>
        <v/>
      </c>
      <c r="K1852" s="39">
        <f>IF($C1852="","",IF(COUNTIFS(DESPACHOS!$B$3:$B$3002,$C1852)=0,"NO EXISTE",IF(COUNTIFS(DESPACHOS!$B$3:$B$3002,$C1852)&gt;1,"DUPLICADO","OK")))</f>
        <v/>
      </c>
      <c r="L1852" s="41" t="n"/>
      <c r="M1852" s="41" t="n"/>
      <c r="N1852" s="42">
        <f>IF($M1852="","",IFERROR(INDEX(LISTAS!$F$3:$F$42,MATCH($M1852,LISTAS!$E$3:$E$42,0)),"Por definir"))</f>
        <v/>
      </c>
      <c r="O1852" s="41" t="n"/>
      <c r="P1852" s="39">
        <f>IF($L1852="","",IFERROR(INDEX(LISTAS!$B$3:$B$42,MATCH($L1852,LISTAS!$A$3:$A$42,0)),"Media"))</f>
        <v/>
      </c>
      <c r="Q1852" s="44" t="n"/>
      <c r="R1852" s="45" t="n"/>
      <c r="S1852" s="20">
        <f>IFERROR(IF(OR($R1852="",$C1852=""),"",$R1852/INDEX(DESPACHOS!$M$3:$M$3002,MATCH($C1852,DESPACHOS!$B$3:$B$3002,0))),"")</f>
        <v/>
      </c>
      <c r="T1852" s="41" t="n"/>
      <c r="U1852" s="43">
        <f>IF(OR($B1852="",$L1852=""),"",WORKDAY($B1852,IFERROR(INDEX(LISTAS!$C$3:$C$42,MATCH($L1852,LISTAS!$A$3:$A$42,0)),3)))</f>
        <v/>
      </c>
      <c r="V1852" s="40" t="n"/>
      <c r="W1852" s="19">
        <f>IF($B1852="","",IF($V1852&lt;&gt;"",$V1852-$B1852,TODAY()-$B1852))</f>
        <v/>
      </c>
      <c r="X1852" s="19">
        <f>IF(OR($B1852="",$U1852=""),"",IF($V1852&lt;&gt;"",MAX(0,$V1852-$U1852),MAX(0,TODAY()-$U1852)))</f>
        <v/>
      </c>
      <c r="Y1852" s="39">
        <f>IF($C1852="","",IF(IFERROR(INDEX(LISTAS!$I$3:$I$42,MATCH($T1852,LISTAS!$H$3:$H$42,0)),"NO")="SÍ",IF(N($X1852)&gt;0,"CERRADA FUERA DE SLA","CERRADA EN SLA"),IF($U1852="","SIN CLASIFICAR",IF(N($X1852)&gt;0,"VENCIDA",IF(TODAY()&gt;=$U1852-1,"POR VENCER","EN PLAZO")))))</f>
        <v/>
      </c>
      <c r="Z1852" s="41" t="n"/>
      <c r="AA1852" s="41" t="n"/>
      <c r="AB1852" s="41" t="n"/>
    </row>
    <row r="1853">
      <c r="A1853" s="39">
        <f>IF($C1853="","","NOV-"&amp;TEXT(ROW()-3,"0000"))</f>
        <v/>
      </c>
      <c r="B1853" s="40" t="n"/>
      <c r="C1853" s="41" t="n"/>
      <c r="D1853" s="42">
        <f>IF($C1853="","",IFERROR(INDEX(DESPACHOS!$D$3:$D$3002,MATCH($C1853,DESPACHOS!$B$3:$B$3002,0)),"SIN DESPACHO"))</f>
        <v/>
      </c>
      <c r="E1853" s="42">
        <f>IF($C1853="","",IFERROR(INDEX(DESPACHOS!$K$3:$K$3002,MATCH($C1853,DESPACHOS!$B$3:$B$3002,0)),""))</f>
        <v/>
      </c>
      <c r="F1853" s="42">
        <f>IF($C1853="","",IFERROR(INDEX(DESPACHOS!$I$3:$I$3002,MATCH($C1853,DESPACHOS!$B$3:$B$3002,0)),""))</f>
        <v/>
      </c>
      <c r="G1853" s="42">
        <f>IF($C1853="","",IFERROR(INDEX(DESPACHOS!$F$3:$F$3002,MATCH($C1853,DESPACHOS!$B$3:$B$3002,0)),""))</f>
        <v/>
      </c>
      <c r="H1853" s="42">
        <f>IF($C1853="","",IFERROR(INDEX(DESPACHOS!$G$3:$G$3002,MATCH($C1853,DESPACHOS!$B$3:$B$3002,0)),""))</f>
        <v/>
      </c>
      <c r="I1853" s="39">
        <f>IF($C1853="","",IFERROR(INDEX(DESPACHOS!$H$3:$H$3002,MATCH($C1853,DESPACHOS!$B$3:$B$3002,0)),""))</f>
        <v/>
      </c>
      <c r="J1853" s="43">
        <f>IF($C1853="","",IFERROR(INDEX(DESPACHOS!$J$3:$J$3002,MATCH($C1853,DESPACHOS!$B$3:$B$3002,0)),""))</f>
        <v/>
      </c>
      <c r="K1853" s="39">
        <f>IF($C1853="","",IF(COUNTIFS(DESPACHOS!$B$3:$B$3002,$C1853)=0,"NO EXISTE",IF(COUNTIFS(DESPACHOS!$B$3:$B$3002,$C1853)&gt;1,"DUPLICADO","OK")))</f>
        <v/>
      </c>
      <c r="L1853" s="41" t="n"/>
      <c r="M1853" s="41" t="n"/>
      <c r="N1853" s="42">
        <f>IF($M1853="","",IFERROR(INDEX(LISTAS!$F$3:$F$42,MATCH($M1853,LISTAS!$E$3:$E$42,0)),"Por definir"))</f>
        <v/>
      </c>
      <c r="O1853" s="41" t="n"/>
      <c r="P1853" s="39">
        <f>IF($L1853="","",IFERROR(INDEX(LISTAS!$B$3:$B$42,MATCH($L1853,LISTAS!$A$3:$A$42,0)),"Media"))</f>
        <v/>
      </c>
      <c r="Q1853" s="44" t="n"/>
      <c r="R1853" s="45" t="n"/>
      <c r="S1853" s="20">
        <f>IFERROR(IF(OR($R1853="",$C1853=""),"",$R1853/INDEX(DESPACHOS!$M$3:$M$3002,MATCH($C1853,DESPACHOS!$B$3:$B$3002,0))),"")</f>
        <v/>
      </c>
      <c r="T1853" s="41" t="n"/>
      <c r="U1853" s="43">
        <f>IF(OR($B1853="",$L1853=""),"",WORKDAY($B1853,IFERROR(INDEX(LISTAS!$C$3:$C$42,MATCH($L1853,LISTAS!$A$3:$A$42,0)),3)))</f>
        <v/>
      </c>
      <c r="V1853" s="40" t="n"/>
      <c r="W1853" s="19">
        <f>IF($B1853="","",IF($V1853&lt;&gt;"",$V1853-$B1853,TODAY()-$B1853))</f>
        <v/>
      </c>
      <c r="X1853" s="19">
        <f>IF(OR($B1853="",$U1853=""),"",IF($V1853&lt;&gt;"",MAX(0,$V1853-$U1853),MAX(0,TODAY()-$U1853)))</f>
        <v/>
      </c>
      <c r="Y1853" s="39">
        <f>IF($C1853="","",IF(IFERROR(INDEX(LISTAS!$I$3:$I$42,MATCH($T1853,LISTAS!$H$3:$H$42,0)),"NO")="SÍ",IF(N($X1853)&gt;0,"CERRADA FUERA DE SLA","CERRADA EN SLA"),IF($U1853="","SIN CLASIFICAR",IF(N($X1853)&gt;0,"VENCIDA",IF(TODAY()&gt;=$U1853-1,"POR VENCER","EN PLAZO")))))</f>
        <v/>
      </c>
      <c r="Z1853" s="41" t="n"/>
      <c r="AA1853" s="41" t="n"/>
      <c r="AB1853" s="41" t="n"/>
    </row>
    <row r="1854">
      <c r="A1854" s="39">
        <f>IF($C1854="","","NOV-"&amp;TEXT(ROW()-3,"0000"))</f>
        <v/>
      </c>
      <c r="B1854" s="40" t="n"/>
      <c r="C1854" s="41" t="n"/>
      <c r="D1854" s="42">
        <f>IF($C1854="","",IFERROR(INDEX(DESPACHOS!$D$3:$D$3002,MATCH($C1854,DESPACHOS!$B$3:$B$3002,0)),"SIN DESPACHO"))</f>
        <v/>
      </c>
      <c r="E1854" s="42">
        <f>IF($C1854="","",IFERROR(INDEX(DESPACHOS!$K$3:$K$3002,MATCH($C1854,DESPACHOS!$B$3:$B$3002,0)),""))</f>
        <v/>
      </c>
      <c r="F1854" s="42">
        <f>IF($C1854="","",IFERROR(INDEX(DESPACHOS!$I$3:$I$3002,MATCH($C1854,DESPACHOS!$B$3:$B$3002,0)),""))</f>
        <v/>
      </c>
      <c r="G1854" s="42">
        <f>IF($C1854="","",IFERROR(INDEX(DESPACHOS!$F$3:$F$3002,MATCH($C1854,DESPACHOS!$B$3:$B$3002,0)),""))</f>
        <v/>
      </c>
      <c r="H1854" s="42">
        <f>IF($C1854="","",IFERROR(INDEX(DESPACHOS!$G$3:$G$3002,MATCH($C1854,DESPACHOS!$B$3:$B$3002,0)),""))</f>
        <v/>
      </c>
      <c r="I1854" s="39">
        <f>IF($C1854="","",IFERROR(INDEX(DESPACHOS!$H$3:$H$3002,MATCH($C1854,DESPACHOS!$B$3:$B$3002,0)),""))</f>
        <v/>
      </c>
      <c r="J1854" s="43">
        <f>IF($C1854="","",IFERROR(INDEX(DESPACHOS!$J$3:$J$3002,MATCH($C1854,DESPACHOS!$B$3:$B$3002,0)),""))</f>
        <v/>
      </c>
      <c r="K1854" s="39">
        <f>IF($C1854="","",IF(COUNTIFS(DESPACHOS!$B$3:$B$3002,$C1854)=0,"NO EXISTE",IF(COUNTIFS(DESPACHOS!$B$3:$B$3002,$C1854)&gt;1,"DUPLICADO","OK")))</f>
        <v/>
      </c>
      <c r="L1854" s="41" t="n"/>
      <c r="M1854" s="41" t="n"/>
      <c r="N1854" s="42">
        <f>IF($M1854="","",IFERROR(INDEX(LISTAS!$F$3:$F$42,MATCH($M1854,LISTAS!$E$3:$E$42,0)),"Por definir"))</f>
        <v/>
      </c>
      <c r="O1854" s="41" t="n"/>
      <c r="P1854" s="39">
        <f>IF($L1854="","",IFERROR(INDEX(LISTAS!$B$3:$B$42,MATCH($L1854,LISTAS!$A$3:$A$42,0)),"Media"))</f>
        <v/>
      </c>
      <c r="Q1854" s="44" t="n"/>
      <c r="R1854" s="45" t="n"/>
      <c r="S1854" s="20">
        <f>IFERROR(IF(OR($R1854="",$C1854=""),"",$R1854/INDEX(DESPACHOS!$M$3:$M$3002,MATCH($C1854,DESPACHOS!$B$3:$B$3002,0))),"")</f>
        <v/>
      </c>
      <c r="T1854" s="41" t="n"/>
      <c r="U1854" s="43">
        <f>IF(OR($B1854="",$L1854=""),"",WORKDAY($B1854,IFERROR(INDEX(LISTAS!$C$3:$C$42,MATCH($L1854,LISTAS!$A$3:$A$42,0)),3)))</f>
        <v/>
      </c>
      <c r="V1854" s="40" t="n"/>
      <c r="W1854" s="19">
        <f>IF($B1854="","",IF($V1854&lt;&gt;"",$V1854-$B1854,TODAY()-$B1854))</f>
        <v/>
      </c>
      <c r="X1854" s="19">
        <f>IF(OR($B1854="",$U1854=""),"",IF($V1854&lt;&gt;"",MAX(0,$V1854-$U1854),MAX(0,TODAY()-$U1854)))</f>
        <v/>
      </c>
      <c r="Y1854" s="39">
        <f>IF($C1854="","",IF(IFERROR(INDEX(LISTAS!$I$3:$I$42,MATCH($T1854,LISTAS!$H$3:$H$42,0)),"NO")="SÍ",IF(N($X1854)&gt;0,"CERRADA FUERA DE SLA","CERRADA EN SLA"),IF($U1854="","SIN CLASIFICAR",IF(N($X1854)&gt;0,"VENCIDA",IF(TODAY()&gt;=$U1854-1,"POR VENCER","EN PLAZO")))))</f>
        <v/>
      </c>
      <c r="Z1854" s="41" t="n"/>
      <c r="AA1854" s="41" t="n"/>
      <c r="AB1854" s="41" t="n"/>
    </row>
    <row r="1855">
      <c r="A1855" s="39">
        <f>IF($C1855="","","NOV-"&amp;TEXT(ROW()-3,"0000"))</f>
        <v/>
      </c>
      <c r="B1855" s="40" t="n"/>
      <c r="C1855" s="41" t="n"/>
      <c r="D1855" s="42">
        <f>IF($C1855="","",IFERROR(INDEX(DESPACHOS!$D$3:$D$3002,MATCH($C1855,DESPACHOS!$B$3:$B$3002,0)),"SIN DESPACHO"))</f>
        <v/>
      </c>
      <c r="E1855" s="42">
        <f>IF($C1855="","",IFERROR(INDEX(DESPACHOS!$K$3:$K$3002,MATCH($C1855,DESPACHOS!$B$3:$B$3002,0)),""))</f>
        <v/>
      </c>
      <c r="F1855" s="42">
        <f>IF($C1855="","",IFERROR(INDEX(DESPACHOS!$I$3:$I$3002,MATCH($C1855,DESPACHOS!$B$3:$B$3002,0)),""))</f>
        <v/>
      </c>
      <c r="G1855" s="42">
        <f>IF($C1855="","",IFERROR(INDEX(DESPACHOS!$F$3:$F$3002,MATCH($C1855,DESPACHOS!$B$3:$B$3002,0)),""))</f>
        <v/>
      </c>
      <c r="H1855" s="42">
        <f>IF($C1855="","",IFERROR(INDEX(DESPACHOS!$G$3:$G$3002,MATCH($C1855,DESPACHOS!$B$3:$B$3002,0)),""))</f>
        <v/>
      </c>
      <c r="I1855" s="39">
        <f>IF($C1855="","",IFERROR(INDEX(DESPACHOS!$H$3:$H$3002,MATCH($C1855,DESPACHOS!$B$3:$B$3002,0)),""))</f>
        <v/>
      </c>
      <c r="J1855" s="43">
        <f>IF($C1855="","",IFERROR(INDEX(DESPACHOS!$J$3:$J$3002,MATCH($C1855,DESPACHOS!$B$3:$B$3002,0)),""))</f>
        <v/>
      </c>
      <c r="K1855" s="39">
        <f>IF($C1855="","",IF(COUNTIFS(DESPACHOS!$B$3:$B$3002,$C1855)=0,"NO EXISTE",IF(COUNTIFS(DESPACHOS!$B$3:$B$3002,$C1855)&gt;1,"DUPLICADO","OK")))</f>
        <v/>
      </c>
      <c r="L1855" s="41" t="n"/>
      <c r="M1855" s="41" t="n"/>
      <c r="N1855" s="42">
        <f>IF($M1855="","",IFERROR(INDEX(LISTAS!$F$3:$F$42,MATCH($M1855,LISTAS!$E$3:$E$42,0)),"Por definir"))</f>
        <v/>
      </c>
      <c r="O1855" s="41" t="n"/>
      <c r="P1855" s="39">
        <f>IF($L1855="","",IFERROR(INDEX(LISTAS!$B$3:$B$42,MATCH($L1855,LISTAS!$A$3:$A$42,0)),"Media"))</f>
        <v/>
      </c>
      <c r="Q1855" s="44" t="n"/>
      <c r="R1855" s="45" t="n"/>
      <c r="S1855" s="20">
        <f>IFERROR(IF(OR($R1855="",$C1855=""),"",$R1855/INDEX(DESPACHOS!$M$3:$M$3002,MATCH($C1855,DESPACHOS!$B$3:$B$3002,0))),"")</f>
        <v/>
      </c>
      <c r="T1855" s="41" t="n"/>
      <c r="U1855" s="43">
        <f>IF(OR($B1855="",$L1855=""),"",WORKDAY($B1855,IFERROR(INDEX(LISTAS!$C$3:$C$42,MATCH($L1855,LISTAS!$A$3:$A$42,0)),3)))</f>
        <v/>
      </c>
      <c r="V1855" s="40" t="n"/>
      <c r="W1855" s="19">
        <f>IF($B1855="","",IF($V1855&lt;&gt;"",$V1855-$B1855,TODAY()-$B1855))</f>
        <v/>
      </c>
      <c r="X1855" s="19">
        <f>IF(OR($B1855="",$U1855=""),"",IF($V1855&lt;&gt;"",MAX(0,$V1855-$U1855),MAX(0,TODAY()-$U1855)))</f>
        <v/>
      </c>
      <c r="Y1855" s="39">
        <f>IF($C1855="","",IF(IFERROR(INDEX(LISTAS!$I$3:$I$42,MATCH($T1855,LISTAS!$H$3:$H$42,0)),"NO")="SÍ",IF(N($X1855)&gt;0,"CERRADA FUERA DE SLA","CERRADA EN SLA"),IF($U1855="","SIN CLASIFICAR",IF(N($X1855)&gt;0,"VENCIDA",IF(TODAY()&gt;=$U1855-1,"POR VENCER","EN PLAZO")))))</f>
        <v/>
      </c>
      <c r="Z1855" s="41" t="n"/>
      <c r="AA1855" s="41" t="n"/>
      <c r="AB1855" s="41" t="n"/>
    </row>
    <row r="1856">
      <c r="A1856" s="39">
        <f>IF($C1856="","","NOV-"&amp;TEXT(ROW()-3,"0000"))</f>
        <v/>
      </c>
      <c r="B1856" s="40" t="n"/>
      <c r="C1856" s="41" t="n"/>
      <c r="D1856" s="42">
        <f>IF($C1856="","",IFERROR(INDEX(DESPACHOS!$D$3:$D$3002,MATCH($C1856,DESPACHOS!$B$3:$B$3002,0)),"SIN DESPACHO"))</f>
        <v/>
      </c>
      <c r="E1856" s="42">
        <f>IF($C1856="","",IFERROR(INDEX(DESPACHOS!$K$3:$K$3002,MATCH($C1856,DESPACHOS!$B$3:$B$3002,0)),""))</f>
        <v/>
      </c>
      <c r="F1856" s="42">
        <f>IF($C1856="","",IFERROR(INDEX(DESPACHOS!$I$3:$I$3002,MATCH($C1856,DESPACHOS!$B$3:$B$3002,0)),""))</f>
        <v/>
      </c>
      <c r="G1856" s="42">
        <f>IF($C1856="","",IFERROR(INDEX(DESPACHOS!$F$3:$F$3002,MATCH($C1856,DESPACHOS!$B$3:$B$3002,0)),""))</f>
        <v/>
      </c>
      <c r="H1856" s="42">
        <f>IF($C1856="","",IFERROR(INDEX(DESPACHOS!$G$3:$G$3002,MATCH($C1856,DESPACHOS!$B$3:$B$3002,0)),""))</f>
        <v/>
      </c>
      <c r="I1856" s="39">
        <f>IF($C1856="","",IFERROR(INDEX(DESPACHOS!$H$3:$H$3002,MATCH($C1856,DESPACHOS!$B$3:$B$3002,0)),""))</f>
        <v/>
      </c>
      <c r="J1856" s="43">
        <f>IF($C1856="","",IFERROR(INDEX(DESPACHOS!$J$3:$J$3002,MATCH($C1856,DESPACHOS!$B$3:$B$3002,0)),""))</f>
        <v/>
      </c>
      <c r="K1856" s="39">
        <f>IF($C1856="","",IF(COUNTIFS(DESPACHOS!$B$3:$B$3002,$C1856)=0,"NO EXISTE",IF(COUNTIFS(DESPACHOS!$B$3:$B$3002,$C1856)&gt;1,"DUPLICADO","OK")))</f>
        <v/>
      </c>
      <c r="L1856" s="41" t="n"/>
      <c r="M1856" s="41" t="n"/>
      <c r="N1856" s="42">
        <f>IF($M1856="","",IFERROR(INDEX(LISTAS!$F$3:$F$42,MATCH($M1856,LISTAS!$E$3:$E$42,0)),"Por definir"))</f>
        <v/>
      </c>
      <c r="O1856" s="41" t="n"/>
      <c r="P1856" s="39">
        <f>IF($L1856="","",IFERROR(INDEX(LISTAS!$B$3:$B$42,MATCH($L1856,LISTAS!$A$3:$A$42,0)),"Media"))</f>
        <v/>
      </c>
      <c r="Q1856" s="44" t="n"/>
      <c r="R1856" s="45" t="n"/>
      <c r="S1856" s="20">
        <f>IFERROR(IF(OR($R1856="",$C1856=""),"",$R1856/INDEX(DESPACHOS!$M$3:$M$3002,MATCH($C1856,DESPACHOS!$B$3:$B$3002,0))),"")</f>
        <v/>
      </c>
      <c r="T1856" s="41" t="n"/>
      <c r="U1856" s="43">
        <f>IF(OR($B1856="",$L1856=""),"",WORKDAY($B1856,IFERROR(INDEX(LISTAS!$C$3:$C$42,MATCH($L1856,LISTAS!$A$3:$A$42,0)),3)))</f>
        <v/>
      </c>
      <c r="V1856" s="40" t="n"/>
      <c r="W1856" s="19">
        <f>IF($B1856="","",IF($V1856&lt;&gt;"",$V1856-$B1856,TODAY()-$B1856))</f>
        <v/>
      </c>
      <c r="X1856" s="19">
        <f>IF(OR($B1856="",$U1856=""),"",IF($V1856&lt;&gt;"",MAX(0,$V1856-$U1856),MAX(0,TODAY()-$U1856)))</f>
        <v/>
      </c>
      <c r="Y1856" s="39">
        <f>IF($C1856="","",IF(IFERROR(INDEX(LISTAS!$I$3:$I$42,MATCH($T1856,LISTAS!$H$3:$H$42,0)),"NO")="SÍ",IF(N($X1856)&gt;0,"CERRADA FUERA DE SLA","CERRADA EN SLA"),IF($U1856="","SIN CLASIFICAR",IF(N($X1856)&gt;0,"VENCIDA",IF(TODAY()&gt;=$U1856-1,"POR VENCER","EN PLAZO")))))</f>
        <v/>
      </c>
      <c r="Z1856" s="41" t="n"/>
      <c r="AA1856" s="41" t="n"/>
      <c r="AB1856" s="41" t="n"/>
    </row>
    <row r="1857">
      <c r="A1857" s="39">
        <f>IF($C1857="","","NOV-"&amp;TEXT(ROW()-3,"0000"))</f>
        <v/>
      </c>
      <c r="B1857" s="40" t="n"/>
      <c r="C1857" s="41" t="n"/>
      <c r="D1857" s="42">
        <f>IF($C1857="","",IFERROR(INDEX(DESPACHOS!$D$3:$D$3002,MATCH($C1857,DESPACHOS!$B$3:$B$3002,0)),"SIN DESPACHO"))</f>
        <v/>
      </c>
      <c r="E1857" s="42">
        <f>IF($C1857="","",IFERROR(INDEX(DESPACHOS!$K$3:$K$3002,MATCH($C1857,DESPACHOS!$B$3:$B$3002,0)),""))</f>
        <v/>
      </c>
      <c r="F1857" s="42">
        <f>IF($C1857="","",IFERROR(INDEX(DESPACHOS!$I$3:$I$3002,MATCH($C1857,DESPACHOS!$B$3:$B$3002,0)),""))</f>
        <v/>
      </c>
      <c r="G1857" s="42">
        <f>IF($C1857="","",IFERROR(INDEX(DESPACHOS!$F$3:$F$3002,MATCH($C1857,DESPACHOS!$B$3:$B$3002,0)),""))</f>
        <v/>
      </c>
      <c r="H1857" s="42">
        <f>IF($C1857="","",IFERROR(INDEX(DESPACHOS!$G$3:$G$3002,MATCH($C1857,DESPACHOS!$B$3:$B$3002,0)),""))</f>
        <v/>
      </c>
      <c r="I1857" s="39">
        <f>IF($C1857="","",IFERROR(INDEX(DESPACHOS!$H$3:$H$3002,MATCH($C1857,DESPACHOS!$B$3:$B$3002,0)),""))</f>
        <v/>
      </c>
      <c r="J1857" s="43">
        <f>IF($C1857="","",IFERROR(INDEX(DESPACHOS!$J$3:$J$3002,MATCH($C1857,DESPACHOS!$B$3:$B$3002,0)),""))</f>
        <v/>
      </c>
      <c r="K1857" s="39">
        <f>IF($C1857="","",IF(COUNTIFS(DESPACHOS!$B$3:$B$3002,$C1857)=0,"NO EXISTE",IF(COUNTIFS(DESPACHOS!$B$3:$B$3002,$C1857)&gt;1,"DUPLICADO","OK")))</f>
        <v/>
      </c>
      <c r="L1857" s="41" t="n"/>
      <c r="M1857" s="41" t="n"/>
      <c r="N1857" s="42">
        <f>IF($M1857="","",IFERROR(INDEX(LISTAS!$F$3:$F$42,MATCH($M1857,LISTAS!$E$3:$E$42,0)),"Por definir"))</f>
        <v/>
      </c>
      <c r="O1857" s="41" t="n"/>
      <c r="P1857" s="39">
        <f>IF($L1857="","",IFERROR(INDEX(LISTAS!$B$3:$B$42,MATCH($L1857,LISTAS!$A$3:$A$42,0)),"Media"))</f>
        <v/>
      </c>
      <c r="Q1857" s="44" t="n"/>
      <c r="R1857" s="45" t="n"/>
      <c r="S1857" s="20">
        <f>IFERROR(IF(OR($R1857="",$C1857=""),"",$R1857/INDEX(DESPACHOS!$M$3:$M$3002,MATCH($C1857,DESPACHOS!$B$3:$B$3002,0))),"")</f>
        <v/>
      </c>
      <c r="T1857" s="41" t="n"/>
      <c r="U1857" s="43">
        <f>IF(OR($B1857="",$L1857=""),"",WORKDAY($B1857,IFERROR(INDEX(LISTAS!$C$3:$C$42,MATCH($L1857,LISTAS!$A$3:$A$42,0)),3)))</f>
        <v/>
      </c>
      <c r="V1857" s="40" t="n"/>
      <c r="W1857" s="19">
        <f>IF($B1857="","",IF($V1857&lt;&gt;"",$V1857-$B1857,TODAY()-$B1857))</f>
        <v/>
      </c>
      <c r="X1857" s="19">
        <f>IF(OR($B1857="",$U1857=""),"",IF($V1857&lt;&gt;"",MAX(0,$V1857-$U1857),MAX(0,TODAY()-$U1857)))</f>
        <v/>
      </c>
      <c r="Y1857" s="39">
        <f>IF($C1857="","",IF(IFERROR(INDEX(LISTAS!$I$3:$I$42,MATCH($T1857,LISTAS!$H$3:$H$42,0)),"NO")="SÍ",IF(N($X1857)&gt;0,"CERRADA FUERA DE SLA","CERRADA EN SLA"),IF($U1857="","SIN CLASIFICAR",IF(N($X1857)&gt;0,"VENCIDA",IF(TODAY()&gt;=$U1857-1,"POR VENCER","EN PLAZO")))))</f>
        <v/>
      </c>
      <c r="Z1857" s="41" t="n"/>
      <c r="AA1857" s="41" t="n"/>
      <c r="AB1857" s="41" t="n"/>
    </row>
    <row r="1858">
      <c r="A1858" s="39">
        <f>IF($C1858="","","NOV-"&amp;TEXT(ROW()-3,"0000"))</f>
        <v/>
      </c>
      <c r="B1858" s="40" t="n"/>
      <c r="C1858" s="41" t="n"/>
      <c r="D1858" s="42">
        <f>IF($C1858="","",IFERROR(INDEX(DESPACHOS!$D$3:$D$3002,MATCH($C1858,DESPACHOS!$B$3:$B$3002,0)),"SIN DESPACHO"))</f>
        <v/>
      </c>
      <c r="E1858" s="42">
        <f>IF($C1858="","",IFERROR(INDEX(DESPACHOS!$K$3:$K$3002,MATCH($C1858,DESPACHOS!$B$3:$B$3002,0)),""))</f>
        <v/>
      </c>
      <c r="F1858" s="42">
        <f>IF($C1858="","",IFERROR(INDEX(DESPACHOS!$I$3:$I$3002,MATCH($C1858,DESPACHOS!$B$3:$B$3002,0)),""))</f>
        <v/>
      </c>
      <c r="G1858" s="42">
        <f>IF($C1858="","",IFERROR(INDEX(DESPACHOS!$F$3:$F$3002,MATCH($C1858,DESPACHOS!$B$3:$B$3002,0)),""))</f>
        <v/>
      </c>
      <c r="H1858" s="42">
        <f>IF($C1858="","",IFERROR(INDEX(DESPACHOS!$G$3:$G$3002,MATCH($C1858,DESPACHOS!$B$3:$B$3002,0)),""))</f>
        <v/>
      </c>
      <c r="I1858" s="39">
        <f>IF($C1858="","",IFERROR(INDEX(DESPACHOS!$H$3:$H$3002,MATCH($C1858,DESPACHOS!$B$3:$B$3002,0)),""))</f>
        <v/>
      </c>
      <c r="J1858" s="43">
        <f>IF($C1858="","",IFERROR(INDEX(DESPACHOS!$J$3:$J$3002,MATCH($C1858,DESPACHOS!$B$3:$B$3002,0)),""))</f>
        <v/>
      </c>
      <c r="K1858" s="39">
        <f>IF($C1858="","",IF(COUNTIFS(DESPACHOS!$B$3:$B$3002,$C1858)=0,"NO EXISTE",IF(COUNTIFS(DESPACHOS!$B$3:$B$3002,$C1858)&gt;1,"DUPLICADO","OK")))</f>
        <v/>
      </c>
      <c r="L1858" s="41" t="n"/>
      <c r="M1858" s="41" t="n"/>
      <c r="N1858" s="42">
        <f>IF($M1858="","",IFERROR(INDEX(LISTAS!$F$3:$F$42,MATCH($M1858,LISTAS!$E$3:$E$42,0)),"Por definir"))</f>
        <v/>
      </c>
      <c r="O1858" s="41" t="n"/>
      <c r="P1858" s="39">
        <f>IF($L1858="","",IFERROR(INDEX(LISTAS!$B$3:$B$42,MATCH($L1858,LISTAS!$A$3:$A$42,0)),"Media"))</f>
        <v/>
      </c>
      <c r="Q1858" s="44" t="n"/>
      <c r="R1858" s="45" t="n"/>
      <c r="S1858" s="20">
        <f>IFERROR(IF(OR($R1858="",$C1858=""),"",$R1858/INDEX(DESPACHOS!$M$3:$M$3002,MATCH($C1858,DESPACHOS!$B$3:$B$3002,0))),"")</f>
        <v/>
      </c>
      <c r="T1858" s="41" t="n"/>
      <c r="U1858" s="43">
        <f>IF(OR($B1858="",$L1858=""),"",WORKDAY($B1858,IFERROR(INDEX(LISTAS!$C$3:$C$42,MATCH($L1858,LISTAS!$A$3:$A$42,0)),3)))</f>
        <v/>
      </c>
      <c r="V1858" s="40" t="n"/>
      <c r="W1858" s="19">
        <f>IF($B1858="","",IF($V1858&lt;&gt;"",$V1858-$B1858,TODAY()-$B1858))</f>
        <v/>
      </c>
      <c r="X1858" s="19">
        <f>IF(OR($B1858="",$U1858=""),"",IF($V1858&lt;&gt;"",MAX(0,$V1858-$U1858),MAX(0,TODAY()-$U1858)))</f>
        <v/>
      </c>
      <c r="Y1858" s="39">
        <f>IF($C1858="","",IF(IFERROR(INDEX(LISTAS!$I$3:$I$42,MATCH($T1858,LISTAS!$H$3:$H$42,0)),"NO")="SÍ",IF(N($X1858)&gt;0,"CERRADA FUERA DE SLA","CERRADA EN SLA"),IF($U1858="","SIN CLASIFICAR",IF(N($X1858)&gt;0,"VENCIDA",IF(TODAY()&gt;=$U1858-1,"POR VENCER","EN PLAZO")))))</f>
        <v/>
      </c>
      <c r="Z1858" s="41" t="n"/>
      <c r="AA1858" s="41" t="n"/>
      <c r="AB1858" s="41" t="n"/>
    </row>
    <row r="1859">
      <c r="A1859" s="39">
        <f>IF($C1859="","","NOV-"&amp;TEXT(ROW()-3,"0000"))</f>
        <v/>
      </c>
      <c r="B1859" s="40" t="n"/>
      <c r="C1859" s="41" t="n"/>
      <c r="D1859" s="42">
        <f>IF($C1859="","",IFERROR(INDEX(DESPACHOS!$D$3:$D$3002,MATCH($C1859,DESPACHOS!$B$3:$B$3002,0)),"SIN DESPACHO"))</f>
        <v/>
      </c>
      <c r="E1859" s="42">
        <f>IF($C1859="","",IFERROR(INDEX(DESPACHOS!$K$3:$K$3002,MATCH($C1859,DESPACHOS!$B$3:$B$3002,0)),""))</f>
        <v/>
      </c>
      <c r="F1859" s="42">
        <f>IF($C1859="","",IFERROR(INDEX(DESPACHOS!$I$3:$I$3002,MATCH($C1859,DESPACHOS!$B$3:$B$3002,0)),""))</f>
        <v/>
      </c>
      <c r="G1859" s="42">
        <f>IF($C1859="","",IFERROR(INDEX(DESPACHOS!$F$3:$F$3002,MATCH($C1859,DESPACHOS!$B$3:$B$3002,0)),""))</f>
        <v/>
      </c>
      <c r="H1859" s="42">
        <f>IF($C1859="","",IFERROR(INDEX(DESPACHOS!$G$3:$G$3002,MATCH($C1859,DESPACHOS!$B$3:$B$3002,0)),""))</f>
        <v/>
      </c>
      <c r="I1859" s="39">
        <f>IF($C1859="","",IFERROR(INDEX(DESPACHOS!$H$3:$H$3002,MATCH($C1859,DESPACHOS!$B$3:$B$3002,0)),""))</f>
        <v/>
      </c>
      <c r="J1859" s="43">
        <f>IF($C1859="","",IFERROR(INDEX(DESPACHOS!$J$3:$J$3002,MATCH($C1859,DESPACHOS!$B$3:$B$3002,0)),""))</f>
        <v/>
      </c>
      <c r="K1859" s="39">
        <f>IF($C1859="","",IF(COUNTIFS(DESPACHOS!$B$3:$B$3002,$C1859)=0,"NO EXISTE",IF(COUNTIFS(DESPACHOS!$B$3:$B$3002,$C1859)&gt;1,"DUPLICADO","OK")))</f>
        <v/>
      </c>
      <c r="L1859" s="41" t="n"/>
      <c r="M1859" s="41" t="n"/>
      <c r="N1859" s="42">
        <f>IF($M1859="","",IFERROR(INDEX(LISTAS!$F$3:$F$42,MATCH($M1859,LISTAS!$E$3:$E$42,0)),"Por definir"))</f>
        <v/>
      </c>
      <c r="O1859" s="41" t="n"/>
      <c r="P1859" s="39">
        <f>IF($L1859="","",IFERROR(INDEX(LISTAS!$B$3:$B$42,MATCH($L1859,LISTAS!$A$3:$A$42,0)),"Media"))</f>
        <v/>
      </c>
      <c r="Q1859" s="44" t="n"/>
      <c r="R1859" s="45" t="n"/>
      <c r="S1859" s="20">
        <f>IFERROR(IF(OR($R1859="",$C1859=""),"",$R1859/INDEX(DESPACHOS!$M$3:$M$3002,MATCH($C1859,DESPACHOS!$B$3:$B$3002,0))),"")</f>
        <v/>
      </c>
      <c r="T1859" s="41" t="n"/>
      <c r="U1859" s="43">
        <f>IF(OR($B1859="",$L1859=""),"",WORKDAY($B1859,IFERROR(INDEX(LISTAS!$C$3:$C$42,MATCH($L1859,LISTAS!$A$3:$A$42,0)),3)))</f>
        <v/>
      </c>
      <c r="V1859" s="40" t="n"/>
      <c r="W1859" s="19">
        <f>IF($B1859="","",IF($V1859&lt;&gt;"",$V1859-$B1859,TODAY()-$B1859))</f>
        <v/>
      </c>
      <c r="X1859" s="19">
        <f>IF(OR($B1859="",$U1859=""),"",IF($V1859&lt;&gt;"",MAX(0,$V1859-$U1859),MAX(0,TODAY()-$U1859)))</f>
        <v/>
      </c>
      <c r="Y1859" s="39">
        <f>IF($C1859="","",IF(IFERROR(INDEX(LISTAS!$I$3:$I$42,MATCH($T1859,LISTAS!$H$3:$H$42,0)),"NO")="SÍ",IF(N($X1859)&gt;0,"CERRADA FUERA DE SLA","CERRADA EN SLA"),IF($U1859="","SIN CLASIFICAR",IF(N($X1859)&gt;0,"VENCIDA",IF(TODAY()&gt;=$U1859-1,"POR VENCER","EN PLAZO")))))</f>
        <v/>
      </c>
      <c r="Z1859" s="41" t="n"/>
      <c r="AA1859" s="41" t="n"/>
      <c r="AB1859" s="41" t="n"/>
    </row>
    <row r="1860">
      <c r="A1860" s="39">
        <f>IF($C1860="","","NOV-"&amp;TEXT(ROW()-3,"0000"))</f>
        <v/>
      </c>
      <c r="B1860" s="40" t="n"/>
      <c r="C1860" s="41" t="n"/>
      <c r="D1860" s="42">
        <f>IF($C1860="","",IFERROR(INDEX(DESPACHOS!$D$3:$D$3002,MATCH($C1860,DESPACHOS!$B$3:$B$3002,0)),"SIN DESPACHO"))</f>
        <v/>
      </c>
      <c r="E1860" s="42">
        <f>IF($C1860="","",IFERROR(INDEX(DESPACHOS!$K$3:$K$3002,MATCH($C1860,DESPACHOS!$B$3:$B$3002,0)),""))</f>
        <v/>
      </c>
      <c r="F1860" s="42">
        <f>IF($C1860="","",IFERROR(INDEX(DESPACHOS!$I$3:$I$3002,MATCH($C1860,DESPACHOS!$B$3:$B$3002,0)),""))</f>
        <v/>
      </c>
      <c r="G1860" s="42">
        <f>IF($C1860="","",IFERROR(INDEX(DESPACHOS!$F$3:$F$3002,MATCH($C1860,DESPACHOS!$B$3:$B$3002,0)),""))</f>
        <v/>
      </c>
      <c r="H1860" s="42">
        <f>IF($C1860="","",IFERROR(INDEX(DESPACHOS!$G$3:$G$3002,MATCH($C1860,DESPACHOS!$B$3:$B$3002,0)),""))</f>
        <v/>
      </c>
      <c r="I1860" s="39">
        <f>IF($C1860="","",IFERROR(INDEX(DESPACHOS!$H$3:$H$3002,MATCH($C1860,DESPACHOS!$B$3:$B$3002,0)),""))</f>
        <v/>
      </c>
      <c r="J1860" s="43">
        <f>IF($C1860="","",IFERROR(INDEX(DESPACHOS!$J$3:$J$3002,MATCH($C1860,DESPACHOS!$B$3:$B$3002,0)),""))</f>
        <v/>
      </c>
      <c r="K1860" s="39">
        <f>IF($C1860="","",IF(COUNTIFS(DESPACHOS!$B$3:$B$3002,$C1860)=0,"NO EXISTE",IF(COUNTIFS(DESPACHOS!$B$3:$B$3002,$C1860)&gt;1,"DUPLICADO","OK")))</f>
        <v/>
      </c>
      <c r="L1860" s="41" t="n"/>
      <c r="M1860" s="41" t="n"/>
      <c r="N1860" s="42">
        <f>IF($M1860="","",IFERROR(INDEX(LISTAS!$F$3:$F$42,MATCH($M1860,LISTAS!$E$3:$E$42,0)),"Por definir"))</f>
        <v/>
      </c>
      <c r="O1860" s="41" t="n"/>
      <c r="P1860" s="39">
        <f>IF($L1860="","",IFERROR(INDEX(LISTAS!$B$3:$B$42,MATCH($L1860,LISTAS!$A$3:$A$42,0)),"Media"))</f>
        <v/>
      </c>
      <c r="Q1860" s="44" t="n"/>
      <c r="R1860" s="45" t="n"/>
      <c r="S1860" s="20">
        <f>IFERROR(IF(OR($R1860="",$C1860=""),"",$R1860/INDEX(DESPACHOS!$M$3:$M$3002,MATCH($C1860,DESPACHOS!$B$3:$B$3002,0))),"")</f>
        <v/>
      </c>
      <c r="T1860" s="41" t="n"/>
      <c r="U1860" s="43">
        <f>IF(OR($B1860="",$L1860=""),"",WORKDAY($B1860,IFERROR(INDEX(LISTAS!$C$3:$C$42,MATCH($L1860,LISTAS!$A$3:$A$42,0)),3)))</f>
        <v/>
      </c>
      <c r="V1860" s="40" t="n"/>
      <c r="W1860" s="19">
        <f>IF($B1860="","",IF($V1860&lt;&gt;"",$V1860-$B1860,TODAY()-$B1860))</f>
        <v/>
      </c>
      <c r="X1860" s="19">
        <f>IF(OR($B1860="",$U1860=""),"",IF($V1860&lt;&gt;"",MAX(0,$V1860-$U1860),MAX(0,TODAY()-$U1860)))</f>
        <v/>
      </c>
      <c r="Y1860" s="39">
        <f>IF($C1860="","",IF(IFERROR(INDEX(LISTAS!$I$3:$I$42,MATCH($T1860,LISTAS!$H$3:$H$42,0)),"NO")="SÍ",IF(N($X1860)&gt;0,"CERRADA FUERA DE SLA","CERRADA EN SLA"),IF($U1860="","SIN CLASIFICAR",IF(N($X1860)&gt;0,"VENCIDA",IF(TODAY()&gt;=$U1860-1,"POR VENCER","EN PLAZO")))))</f>
        <v/>
      </c>
      <c r="Z1860" s="41" t="n"/>
      <c r="AA1860" s="41" t="n"/>
      <c r="AB1860" s="41" t="n"/>
    </row>
    <row r="1861">
      <c r="A1861" s="39">
        <f>IF($C1861="","","NOV-"&amp;TEXT(ROW()-3,"0000"))</f>
        <v/>
      </c>
      <c r="B1861" s="40" t="n"/>
      <c r="C1861" s="41" t="n"/>
      <c r="D1861" s="42">
        <f>IF($C1861="","",IFERROR(INDEX(DESPACHOS!$D$3:$D$3002,MATCH($C1861,DESPACHOS!$B$3:$B$3002,0)),"SIN DESPACHO"))</f>
        <v/>
      </c>
      <c r="E1861" s="42">
        <f>IF($C1861="","",IFERROR(INDEX(DESPACHOS!$K$3:$K$3002,MATCH($C1861,DESPACHOS!$B$3:$B$3002,0)),""))</f>
        <v/>
      </c>
      <c r="F1861" s="42">
        <f>IF($C1861="","",IFERROR(INDEX(DESPACHOS!$I$3:$I$3002,MATCH($C1861,DESPACHOS!$B$3:$B$3002,0)),""))</f>
        <v/>
      </c>
      <c r="G1861" s="42">
        <f>IF($C1861="","",IFERROR(INDEX(DESPACHOS!$F$3:$F$3002,MATCH($C1861,DESPACHOS!$B$3:$B$3002,0)),""))</f>
        <v/>
      </c>
      <c r="H1861" s="42">
        <f>IF($C1861="","",IFERROR(INDEX(DESPACHOS!$G$3:$G$3002,MATCH($C1861,DESPACHOS!$B$3:$B$3002,0)),""))</f>
        <v/>
      </c>
      <c r="I1861" s="39">
        <f>IF($C1861="","",IFERROR(INDEX(DESPACHOS!$H$3:$H$3002,MATCH($C1861,DESPACHOS!$B$3:$B$3002,0)),""))</f>
        <v/>
      </c>
      <c r="J1861" s="43">
        <f>IF($C1861="","",IFERROR(INDEX(DESPACHOS!$J$3:$J$3002,MATCH($C1861,DESPACHOS!$B$3:$B$3002,0)),""))</f>
        <v/>
      </c>
      <c r="K1861" s="39">
        <f>IF($C1861="","",IF(COUNTIFS(DESPACHOS!$B$3:$B$3002,$C1861)=0,"NO EXISTE",IF(COUNTIFS(DESPACHOS!$B$3:$B$3002,$C1861)&gt;1,"DUPLICADO","OK")))</f>
        <v/>
      </c>
      <c r="L1861" s="41" t="n"/>
      <c r="M1861" s="41" t="n"/>
      <c r="N1861" s="42">
        <f>IF($M1861="","",IFERROR(INDEX(LISTAS!$F$3:$F$42,MATCH($M1861,LISTAS!$E$3:$E$42,0)),"Por definir"))</f>
        <v/>
      </c>
      <c r="O1861" s="41" t="n"/>
      <c r="P1861" s="39">
        <f>IF($L1861="","",IFERROR(INDEX(LISTAS!$B$3:$B$42,MATCH($L1861,LISTAS!$A$3:$A$42,0)),"Media"))</f>
        <v/>
      </c>
      <c r="Q1861" s="44" t="n"/>
      <c r="R1861" s="45" t="n"/>
      <c r="S1861" s="20">
        <f>IFERROR(IF(OR($R1861="",$C1861=""),"",$R1861/INDEX(DESPACHOS!$M$3:$M$3002,MATCH($C1861,DESPACHOS!$B$3:$B$3002,0))),"")</f>
        <v/>
      </c>
      <c r="T1861" s="41" t="n"/>
      <c r="U1861" s="43">
        <f>IF(OR($B1861="",$L1861=""),"",WORKDAY($B1861,IFERROR(INDEX(LISTAS!$C$3:$C$42,MATCH($L1861,LISTAS!$A$3:$A$42,0)),3)))</f>
        <v/>
      </c>
      <c r="V1861" s="40" t="n"/>
      <c r="W1861" s="19">
        <f>IF($B1861="","",IF($V1861&lt;&gt;"",$V1861-$B1861,TODAY()-$B1861))</f>
        <v/>
      </c>
      <c r="X1861" s="19">
        <f>IF(OR($B1861="",$U1861=""),"",IF($V1861&lt;&gt;"",MAX(0,$V1861-$U1861),MAX(0,TODAY()-$U1861)))</f>
        <v/>
      </c>
      <c r="Y1861" s="39">
        <f>IF($C1861="","",IF(IFERROR(INDEX(LISTAS!$I$3:$I$42,MATCH($T1861,LISTAS!$H$3:$H$42,0)),"NO")="SÍ",IF(N($X1861)&gt;0,"CERRADA FUERA DE SLA","CERRADA EN SLA"),IF($U1861="","SIN CLASIFICAR",IF(N($X1861)&gt;0,"VENCIDA",IF(TODAY()&gt;=$U1861-1,"POR VENCER","EN PLAZO")))))</f>
        <v/>
      </c>
      <c r="Z1861" s="41" t="n"/>
      <c r="AA1861" s="41" t="n"/>
      <c r="AB1861" s="41" t="n"/>
    </row>
    <row r="1862">
      <c r="A1862" s="39">
        <f>IF($C1862="","","NOV-"&amp;TEXT(ROW()-3,"0000"))</f>
        <v/>
      </c>
      <c r="B1862" s="40" t="n"/>
      <c r="C1862" s="41" t="n"/>
      <c r="D1862" s="42">
        <f>IF($C1862="","",IFERROR(INDEX(DESPACHOS!$D$3:$D$3002,MATCH($C1862,DESPACHOS!$B$3:$B$3002,0)),"SIN DESPACHO"))</f>
        <v/>
      </c>
      <c r="E1862" s="42">
        <f>IF($C1862="","",IFERROR(INDEX(DESPACHOS!$K$3:$K$3002,MATCH($C1862,DESPACHOS!$B$3:$B$3002,0)),""))</f>
        <v/>
      </c>
      <c r="F1862" s="42">
        <f>IF($C1862="","",IFERROR(INDEX(DESPACHOS!$I$3:$I$3002,MATCH($C1862,DESPACHOS!$B$3:$B$3002,0)),""))</f>
        <v/>
      </c>
      <c r="G1862" s="42">
        <f>IF($C1862="","",IFERROR(INDEX(DESPACHOS!$F$3:$F$3002,MATCH($C1862,DESPACHOS!$B$3:$B$3002,0)),""))</f>
        <v/>
      </c>
      <c r="H1862" s="42">
        <f>IF($C1862="","",IFERROR(INDEX(DESPACHOS!$G$3:$G$3002,MATCH($C1862,DESPACHOS!$B$3:$B$3002,0)),""))</f>
        <v/>
      </c>
      <c r="I1862" s="39">
        <f>IF($C1862="","",IFERROR(INDEX(DESPACHOS!$H$3:$H$3002,MATCH($C1862,DESPACHOS!$B$3:$B$3002,0)),""))</f>
        <v/>
      </c>
      <c r="J1862" s="43">
        <f>IF($C1862="","",IFERROR(INDEX(DESPACHOS!$J$3:$J$3002,MATCH($C1862,DESPACHOS!$B$3:$B$3002,0)),""))</f>
        <v/>
      </c>
      <c r="K1862" s="39">
        <f>IF($C1862="","",IF(COUNTIFS(DESPACHOS!$B$3:$B$3002,$C1862)=0,"NO EXISTE",IF(COUNTIFS(DESPACHOS!$B$3:$B$3002,$C1862)&gt;1,"DUPLICADO","OK")))</f>
        <v/>
      </c>
      <c r="L1862" s="41" t="n"/>
      <c r="M1862" s="41" t="n"/>
      <c r="N1862" s="42">
        <f>IF($M1862="","",IFERROR(INDEX(LISTAS!$F$3:$F$42,MATCH($M1862,LISTAS!$E$3:$E$42,0)),"Por definir"))</f>
        <v/>
      </c>
      <c r="O1862" s="41" t="n"/>
      <c r="P1862" s="39">
        <f>IF($L1862="","",IFERROR(INDEX(LISTAS!$B$3:$B$42,MATCH($L1862,LISTAS!$A$3:$A$42,0)),"Media"))</f>
        <v/>
      </c>
      <c r="Q1862" s="44" t="n"/>
      <c r="R1862" s="45" t="n"/>
      <c r="S1862" s="20">
        <f>IFERROR(IF(OR($R1862="",$C1862=""),"",$R1862/INDEX(DESPACHOS!$M$3:$M$3002,MATCH($C1862,DESPACHOS!$B$3:$B$3002,0))),"")</f>
        <v/>
      </c>
      <c r="T1862" s="41" t="n"/>
      <c r="U1862" s="43">
        <f>IF(OR($B1862="",$L1862=""),"",WORKDAY($B1862,IFERROR(INDEX(LISTAS!$C$3:$C$42,MATCH($L1862,LISTAS!$A$3:$A$42,0)),3)))</f>
        <v/>
      </c>
      <c r="V1862" s="40" t="n"/>
      <c r="W1862" s="19">
        <f>IF($B1862="","",IF($V1862&lt;&gt;"",$V1862-$B1862,TODAY()-$B1862))</f>
        <v/>
      </c>
      <c r="X1862" s="19">
        <f>IF(OR($B1862="",$U1862=""),"",IF($V1862&lt;&gt;"",MAX(0,$V1862-$U1862),MAX(0,TODAY()-$U1862)))</f>
        <v/>
      </c>
      <c r="Y1862" s="39">
        <f>IF($C1862="","",IF(IFERROR(INDEX(LISTAS!$I$3:$I$42,MATCH($T1862,LISTAS!$H$3:$H$42,0)),"NO")="SÍ",IF(N($X1862)&gt;0,"CERRADA FUERA DE SLA","CERRADA EN SLA"),IF($U1862="","SIN CLASIFICAR",IF(N($X1862)&gt;0,"VENCIDA",IF(TODAY()&gt;=$U1862-1,"POR VENCER","EN PLAZO")))))</f>
        <v/>
      </c>
      <c r="Z1862" s="41" t="n"/>
      <c r="AA1862" s="41" t="n"/>
      <c r="AB1862" s="41" t="n"/>
    </row>
    <row r="1863">
      <c r="A1863" s="39">
        <f>IF($C1863="","","NOV-"&amp;TEXT(ROW()-3,"0000"))</f>
        <v/>
      </c>
      <c r="B1863" s="40" t="n"/>
      <c r="C1863" s="41" t="n"/>
      <c r="D1863" s="42">
        <f>IF($C1863="","",IFERROR(INDEX(DESPACHOS!$D$3:$D$3002,MATCH($C1863,DESPACHOS!$B$3:$B$3002,0)),"SIN DESPACHO"))</f>
        <v/>
      </c>
      <c r="E1863" s="42">
        <f>IF($C1863="","",IFERROR(INDEX(DESPACHOS!$K$3:$K$3002,MATCH($C1863,DESPACHOS!$B$3:$B$3002,0)),""))</f>
        <v/>
      </c>
      <c r="F1863" s="42">
        <f>IF($C1863="","",IFERROR(INDEX(DESPACHOS!$I$3:$I$3002,MATCH($C1863,DESPACHOS!$B$3:$B$3002,0)),""))</f>
        <v/>
      </c>
      <c r="G1863" s="42">
        <f>IF($C1863="","",IFERROR(INDEX(DESPACHOS!$F$3:$F$3002,MATCH($C1863,DESPACHOS!$B$3:$B$3002,0)),""))</f>
        <v/>
      </c>
      <c r="H1863" s="42">
        <f>IF($C1863="","",IFERROR(INDEX(DESPACHOS!$G$3:$G$3002,MATCH($C1863,DESPACHOS!$B$3:$B$3002,0)),""))</f>
        <v/>
      </c>
      <c r="I1863" s="39">
        <f>IF($C1863="","",IFERROR(INDEX(DESPACHOS!$H$3:$H$3002,MATCH($C1863,DESPACHOS!$B$3:$B$3002,0)),""))</f>
        <v/>
      </c>
      <c r="J1863" s="43">
        <f>IF($C1863="","",IFERROR(INDEX(DESPACHOS!$J$3:$J$3002,MATCH($C1863,DESPACHOS!$B$3:$B$3002,0)),""))</f>
        <v/>
      </c>
      <c r="K1863" s="39">
        <f>IF($C1863="","",IF(COUNTIFS(DESPACHOS!$B$3:$B$3002,$C1863)=0,"NO EXISTE",IF(COUNTIFS(DESPACHOS!$B$3:$B$3002,$C1863)&gt;1,"DUPLICADO","OK")))</f>
        <v/>
      </c>
      <c r="L1863" s="41" t="n"/>
      <c r="M1863" s="41" t="n"/>
      <c r="N1863" s="42">
        <f>IF($M1863="","",IFERROR(INDEX(LISTAS!$F$3:$F$42,MATCH($M1863,LISTAS!$E$3:$E$42,0)),"Por definir"))</f>
        <v/>
      </c>
      <c r="O1863" s="41" t="n"/>
      <c r="P1863" s="39">
        <f>IF($L1863="","",IFERROR(INDEX(LISTAS!$B$3:$B$42,MATCH($L1863,LISTAS!$A$3:$A$42,0)),"Media"))</f>
        <v/>
      </c>
      <c r="Q1863" s="44" t="n"/>
      <c r="R1863" s="45" t="n"/>
      <c r="S1863" s="20">
        <f>IFERROR(IF(OR($R1863="",$C1863=""),"",$R1863/INDEX(DESPACHOS!$M$3:$M$3002,MATCH($C1863,DESPACHOS!$B$3:$B$3002,0))),"")</f>
        <v/>
      </c>
      <c r="T1863" s="41" t="n"/>
      <c r="U1863" s="43">
        <f>IF(OR($B1863="",$L1863=""),"",WORKDAY($B1863,IFERROR(INDEX(LISTAS!$C$3:$C$42,MATCH($L1863,LISTAS!$A$3:$A$42,0)),3)))</f>
        <v/>
      </c>
      <c r="V1863" s="40" t="n"/>
      <c r="W1863" s="19">
        <f>IF($B1863="","",IF($V1863&lt;&gt;"",$V1863-$B1863,TODAY()-$B1863))</f>
        <v/>
      </c>
      <c r="X1863" s="19">
        <f>IF(OR($B1863="",$U1863=""),"",IF($V1863&lt;&gt;"",MAX(0,$V1863-$U1863),MAX(0,TODAY()-$U1863)))</f>
        <v/>
      </c>
      <c r="Y1863" s="39">
        <f>IF($C1863="","",IF(IFERROR(INDEX(LISTAS!$I$3:$I$42,MATCH($T1863,LISTAS!$H$3:$H$42,0)),"NO")="SÍ",IF(N($X1863)&gt;0,"CERRADA FUERA DE SLA","CERRADA EN SLA"),IF($U1863="","SIN CLASIFICAR",IF(N($X1863)&gt;0,"VENCIDA",IF(TODAY()&gt;=$U1863-1,"POR VENCER","EN PLAZO")))))</f>
        <v/>
      </c>
      <c r="Z1863" s="41" t="n"/>
      <c r="AA1863" s="41" t="n"/>
      <c r="AB1863" s="41" t="n"/>
    </row>
    <row r="1864">
      <c r="A1864" s="39">
        <f>IF($C1864="","","NOV-"&amp;TEXT(ROW()-3,"0000"))</f>
        <v/>
      </c>
      <c r="B1864" s="40" t="n"/>
      <c r="C1864" s="41" t="n"/>
      <c r="D1864" s="42">
        <f>IF($C1864="","",IFERROR(INDEX(DESPACHOS!$D$3:$D$3002,MATCH($C1864,DESPACHOS!$B$3:$B$3002,0)),"SIN DESPACHO"))</f>
        <v/>
      </c>
      <c r="E1864" s="42">
        <f>IF($C1864="","",IFERROR(INDEX(DESPACHOS!$K$3:$K$3002,MATCH($C1864,DESPACHOS!$B$3:$B$3002,0)),""))</f>
        <v/>
      </c>
      <c r="F1864" s="42">
        <f>IF($C1864="","",IFERROR(INDEX(DESPACHOS!$I$3:$I$3002,MATCH($C1864,DESPACHOS!$B$3:$B$3002,0)),""))</f>
        <v/>
      </c>
      <c r="G1864" s="42">
        <f>IF($C1864="","",IFERROR(INDEX(DESPACHOS!$F$3:$F$3002,MATCH($C1864,DESPACHOS!$B$3:$B$3002,0)),""))</f>
        <v/>
      </c>
      <c r="H1864" s="42">
        <f>IF($C1864="","",IFERROR(INDEX(DESPACHOS!$G$3:$G$3002,MATCH($C1864,DESPACHOS!$B$3:$B$3002,0)),""))</f>
        <v/>
      </c>
      <c r="I1864" s="39">
        <f>IF($C1864="","",IFERROR(INDEX(DESPACHOS!$H$3:$H$3002,MATCH($C1864,DESPACHOS!$B$3:$B$3002,0)),""))</f>
        <v/>
      </c>
      <c r="J1864" s="43">
        <f>IF($C1864="","",IFERROR(INDEX(DESPACHOS!$J$3:$J$3002,MATCH($C1864,DESPACHOS!$B$3:$B$3002,0)),""))</f>
        <v/>
      </c>
      <c r="K1864" s="39">
        <f>IF($C1864="","",IF(COUNTIFS(DESPACHOS!$B$3:$B$3002,$C1864)=0,"NO EXISTE",IF(COUNTIFS(DESPACHOS!$B$3:$B$3002,$C1864)&gt;1,"DUPLICADO","OK")))</f>
        <v/>
      </c>
      <c r="L1864" s="41" t="n"/>
      <c r="M1864" s="41" t="n"/>
      <c r="N1864" s="42">
        <f>IF($M1864="","",IFERROR(INDEX(LISTAS!$F$3:$F$42,MATCH($M1864,LISTAS!$E$3:$E$42,0)),"Por definir"))</f>
        <v/>
      </c>
      <c r="O1864" s="41" t="n"/>
      <c r="P1864" s="39">
        <f>IF($L1864="","",IFERROR(INDEX(LISTAS!$B$3:$B$42,MATCH($L1864,LISTAS!$A$3:$A$42,0)),"Media"))</f>
        <v/>
      </c>
      <c r="Q1864" s="44" t="n"/>
      <c r="R1864" s="45" t="n"/>
      <c r="S1864" s="20">
        <f>IFERROR(IF(OR($R1864="",$C1864=""),"",$R1864/INDEX(DESPACHOS!$M$3:$M$3002,MATCH($C1864,DESPACHOS!$B$3:$B$3002,0))),"")</f>
        <v/>
      </c>
      <c r="T1864" s="41" t="n"/>
      <c r="U1864" s="43">
        <f>IF(OR($B1864="",$L1864=""),"",WORKDAY($B1864,IFERROR(INDEX(LISTAS!$C$3:$C$42,MATCH($L1864,LISTAS!$A$3:$A$42,0)),3)))</f>
        <v/>
      </c>
      <c r="V1864" s="40" t="n"/>
      <c r="W1864" s="19">
        <f>IF($B1864="","",IF($V1864&lt;&gt;"",$V1864-$B1864,TODAY()-$B1864))</f>
        <v/>
      </c>
      <c r="X1864" s="19">
        <f>IF(OR($B1864="",$U1864=""),"",IF($V1864&lt;&gt;"",MAX(0,$V1864-$U1864),MAX(0,TODAY()-$U1864)))</f>
        <v/>
      </c>
      <c r="Y1864" s="39">
        <f>IF($C1864="","",IF(IFERROR(INDEX(LISTAS!$I$3:$I$42,MATCH($T1864,LISTAS!$H$3:$H$42,0)),"NO")="SÍ",IF(N($X1864)&gt;0,"CERRADA FUERA DE SLA","CERRADA EN SLA"),IF($U1864="","SIN CLASIFICAR",IF(N($X1864)&gt;0,"VENCIDA",IF(TODAY()&gt;=$U1864-1,"POR VENCER","EN PLAZO")))))</f>
        <v/>
      </c>
      <c r="Z1864" s="41" t="n"/>
      <c r="AA1864" s="41" t="n"/>
      <c r="AB1864" s="41" t="n"/>
    </row>
    <row r="1865">
      <c r="A1865" s="39">
        <f>IF($C1865="","","NOV-"&amp;TEXT(ROW()-3,"0000"))</f>
        <v/>
      </c>
      <c r="B1865" s="40" t="n"/>
      <c r="C1865" s="41" t="n"/>
      <c r="D1865" s="42">
        <f>IF($C1865="","",IFERROR(INDEX(DESPACHOS!$D$3:$D$3002,MATCH($C1865,DESPACHOS!$B$3:$B$3002,0)),"SIN DESPACHO"))</f>
        <v/>
      </c>
      <c r="E1865" s="42">
        <f>IF($C1865="","",IFERROR(INDEX(DESPACHOS!$K$3:$K$3002,MATCH($C1865,DESPACHOS!$B$3:$B$3002,0)),""))</f>
        <v/>
      </c>
      <c r="F1865" s="42">
        <f>IF($C1865="","",IFERROR(INDEX(DESPACHOS!$I$3:$I$3002,MATCH($C1865,DESPACHOS!$B$3:$B$3002,0)),""))</f>
        <v/>
      </c>
      <c r="G1865" s="42">
        <f>IF($C1865="","",IFERROR(INDEX(DESPACHOS!$F$3:$F$3002,MATCH($C1865,DESPACHOS!$B$3:$B$3002,0)),""))</f>
        <v/>
      </c>
      <c r="H1865" s="42">
        <f>IF($C1865="","",IFERROR(INDEX(DESPACHOS!$G$3:$G$3002,MATCH($C1865,DESPACHOS!$B$3:$B$3002,0)),""))</f>
        <v/>
      </c>
      <c r="I1865" s="39">
        <f>IF($C1865="","",IFERROR(INDEX(DESPACHOS!$H$3:$H$3002,MATCH($C1865,DESPACHOS!$B$3:$B$3002,0)),""))</f>
        <v/>
      </c>
      <c r="J1865" s="43">
        <f>IF($C1865="","",IFERROR(INDEX(DESPACHOS!$J$3:$J$3002,MATCH($C1865,DESPACHOS!$B$3:$B$3002,0)),""))</f>
        <v/>
      </c>
      <c r="K1865" s="39">
        <f>IF($C1865="","",IF(COUNTIFS(DESPACHOS!$B$3:$B$3002,$C1865)=0,"NO EXISTE",IF(COUNTIFS(DESPACHOS!$B$3:$B$3002,$C1865)&gt;1,"DUPLICADO","OK")))</f>
        <v/>
      </c>
      <c r="L1865" s="41" t="n"/>
      <c r="M1865" s="41" t="n"/>
      <c r="N1865" s="42">
        <f>IF($M1865="","",IFERROR(INDEX(LISTAS!$F$3:$F$42,MATCH($M1865,LISTAS!$E$3:$E$42,0)),"Por definir"))</f>
        <v/>
      </c>
      <c r="O1865" s="41" t="n"/>
      <c r="P1865" s="39">
        <f>IF($L1865="","",IFERROR(INDEX(LISTAS!$B$3:$B$42,MATCH($L1865,LISTAS!$A$3:$A$42,0)),"Media"))</f>
        <v/>
      </c>
      <c r="Q1865" s="44" t="n"/>
      <c r="R1865" s="45" t="n"/>
      <c r="S1865" s="20">
        <f>IFERROR(IF(OR($R1865="",$C1865=""),"",$R1865/INDEX(DESPACHOS!$M$3:$M$3002,MATCH($C1865,DESPACHOS!$B$3:$B$3002,0))),"")</f>
        <v/>
      </c>
      <c r="T1865" s="41" t="n"/>
      <c r="U1865" s="43">
        <f>IF(OR($B1865="",$L1865=""),"",WORKDAY($B1865,IFERROR(INDEX(LISTAS!$C$3:$C$42,MATCH($L1865,LISTAS!$A$3:$A$42,0)),3)))</f>
        <v/>
      </c>
      <c r="V1865" s="40" t="n"/>
      <c r="W1865" s="19">
        <f>IF($B1865="","",IF($V1865&lt;&gt;"",$V1865-$B1865,TODAY()-$B1865))</f>
        <v/>
      </c>
      <c r="X1865" s="19">
        <f>IF(OR($B1865="",$U1865=""),"",IF($V1865&lt;&gt;"",MAX(0,$V1865-$U1865),MAX(0,TODAY()-$U1865)))</f>
        <v/>
      </c>
      <c r="Y1865" s="39">
        <f>IF($C1865="","",IF(IFERROR(INDEX(LISTAS!$I$3:$I$42,MATCH($T1865,LISTAS!$H$3:$H$42,0)),"NO")="SÍ",IF(N($X1865)&gt;0,"CERRADA FUERA DE SLA","CERRADA EN SLA"),IF($U1865="","SIN CLASIFICAR",IF(N($X1865)&gt;0,"VENCIDA",IF(TODAY()&gt;=$U1865-1,"POR VENCER","EN PLAZO")))))</f>
        <v/>
      </c>
      <c r="Z1865" s="41" t="n"/>
      <c r="AA1865" s="41" t="n"/>
      <c r="AB1865" s="41" t="n"/>
    </row>
    <row r="1866">
      <c r="A1866" s="39">
        <f>IF($C1866="","","NOV-"&amp;TEXT(ROW()-3,"0000"))</f>
        <v/>
      </c>
      <c r="B1866" s="40" t="n"/>
      <c r="C1866" s="41" t="n"/>
      <c r="D1866" s="42">
        <f>IF($C1866="","",IFERROR(INDEX(DESPACHOS!$D$3:$D$3002,MATCH($C1866,DESPACHOS!$B$3:$B$3002,0)),"SIN DESPACHO"))</f>
        <v/>
      </c>
      <c r="E1866" s="42">
        <f>IF($C1866="","",IFERROR(INDEX(DESPACHOS!$K$3:$K$3002,MATCH($C1866,DESPACHOS!$B$3:$B$3002,0)),""))</f>
        <v/>
      </c>
      <c r="F1866" s="42">
        <f>IF($C1866="","",IFERROR(INDEX(DESPACHOS!$I$3:$I$3002,MATCH($C1866,DESPACHOS!$B$3:$B$3002,0)),""))</f>
        <v/>
      </c>
      <c r="G1866" s="42">
        <f>IF($C1866="","",IFERROR(INDEX(DESPACHOS!$F$3:$F$3002,MATCH($C1866,DESPACHOS!$B$3:$B$3002,0)),""))</f>
        <v/>
      </c>
      <c r="H1866" s="42">
        <f>IF($C1866="","",IFERROR(INDEX(DESPACHOS!$G$3:$G$3002,MATCH($C1866,DESPACHOS!$B$3:$B$3002,0)),""))</f>
        <v/>
      </c>
      <c r="I1866" s="39">
        <f>IF($C1866="","",IFERROR(INDEX(DESPACHOS!$H$3:$H$3002,MATCH($C1866,DESPACHOS!$B$3:$B$3002,0)),""))</f>
        <v/>
      </c>
      <c r="J1866" s="43">
        <f>IF($C1866="","",IFERROR(INDEX(DESPACHOS!$J$3:$J$3002,MATCH($C1866,DESPACHOS!$B$3:$B$3002,0)),""))</f>
        <v/>
      </c>
      <c r="K1866" s="39">
        <f>IF($C1866="","",IF(COUNTIFS(DESPACHOS!$B$3:$B$3002,$C1866)=0,"NO EXISTE",IF(COUNTIFS(DESPACHOS!$B$3:$B$3002,$C1866)&gt;1,"DUPLICADO","OK")))</f>
        <v/>
      </c>
      <c r="L1866" s="41" t="n"/>
      <c r="M1866" s="41" t="n"/>
      <c r="N1866" s="42">
        <f>IF($M1866="","",IFERROR(INDEX(LISTAS!$F$3:$F$42,MATCH($M1866,LISTAS!$E$3:$E$42,0)),"Por definir"))</f>
        <v/>
      </c>
      <c r="O1866" s="41" t="n"/>
      <c r="P1866" s="39">
        <f>IF($L1866="","",IFERROR(INDEX(LISTAS!$B$3:$B$42,MATCH($L1866,LISTAS!$A$3:$A$42,0)),"Media"))</f>
        <v/>
      </c>
      <c r="Q1866" s="44" t="n"/>
      <c r="R1866" s="45" t="n"/>
      <c r="S1866" s="20">
        <f>IFERROR(IF(OR($R1866="",$C1866=""),"",$R1866/INDEX(DESPACHOS!$M$3:$M$3002,MATCH($C1866,DESPACHOS!$B$3:$B$3002,0))),"")</f>
        <v/>
      </c>
      <c r="T1866" s="41" t="n"/>
      <c r="U1866" s="43">
        <f>IF(OR($B1866="",$L1866=""),"",WORKDAY($B1866,IFERROR(INDEX(LISTAS!$C$3:$C$42,MATCH($L1866,LISTAS!$A$3:$A$42,0)),3)))</f>
        <v/>
      </c>
      <c r="V1866" s="40" t="n"/>
      <c r="W1866" s="19">
        <f>IF($B1866="","",IF($V1866&lt;&gt;"",$V1866-$B1866,TODAY()-$B1866))</f>
        <v/>
      </c>
      <c r="X1866" s="19">
        <f>IF(OR($B1866="",$U1866=""),"",IF($V1866&lt;&gt;"",MAX(0,$V1866-$U1866),MAX(0,TODAY()-$U1866)))</f>
        <v/>
      </c>
      <c r="Y1866" s="39">
        <f>IF($C1866="","",IF(IFERROR(INDEX(LISTAS!$I$3:$I$42,MATCH($T1866,LISTAS!$H$3:$H$42,0)),"NO")="SÍ",IF(N($X1866)&gt;0,"CERRADA FUERA DE SLA","CERRADA EN SLA"),IF($U1866="","SIN CLASIFICAR",IF(N($X1866)&gt;0,"VENCIDA",IF(TODAY()&gt;=$U1866-1,"POR VENCER","EN PLAZO")))))</f>
        <v/>
      </c>
      <c r="Z1866" s="41" t="n"/>
      <c r="AA1866" s="41" t="n"/>
      <c r="AB1866" s="41" t="n"/>
    </row>
    <row r="1867">
      <c r="A1867" s="39">
        <f>IF($C1867="","","NOV-"&amp;TEXT(ROW()-3,"0000"))</f>
        <v/>
      </c>
      <c r="B1867" s="40" t="n"/>
      <c r="C1867" s="41" t="n"/>
      <c r="D1867" s="42">
        <f>IF($C1867="","",IFERROR(INDEX(DESPACHOS!$D$3:$D$3002,MATCH($C1867,DESPACHOS!$B$3:$B$3002,0)),"SIN DESPACHO"))</f>
        <v/>
      </c>
      <c r="E1867" s="42">
        <f>IF($C1867="","",IFERROR(INDEX(DESPACHOS!$K$3:$K$3002,MATCH($C1867,DESPACHOS!$B$3:$B$3002,0)),""))</f>
        <v/>
      </c>
      <c r="F1867" s="42">
        <f>IF($C1867="","",IFERROR(INDEX(DESPACHOS!$I$3:$I$3002,MATCH($C1867,DESPACHOS!$B$3:$B$3002,0)),""))</f>
        <v/>
      </c>
      <c r="G1867" s="42">
        <f>IF($C1867="","",IFERROR(INDEX(DESPACHOS!$F$3:$F$3002,MATCH($C1867,DESPACHOS!$B$3:$B$3002,0)),""))</f>
        <v/>
      </c>
      <c r="H1867" s="42">
        <f>IF($C1867="","",IFERROR(INDEX(DESPACHOS!$G$3:$G$3002,MATCH($C1867,DESPACHOS!$B$3:$B$3002,0)),""))</f>
        <v/>
      </c>
      <c r="I1867" s="39">
        <f>IF($C1867="","",IFERROR(INDEX(DESPACHOS!$H$3:$H$3002,MATCH($C1867,DESPACHOS!$B$3:$B$3002,0)),""))</f>
        <v/>
      </c>
      <c r="J1867" s="43">
        <f>IF($C1867="","",IFERROR(INDEX(DESPACHOS!$J$3:$J$3002,MATCH($C1867,DESPACHOS!$B$3:$B$3002,0)),""))</f>
        <v/>
      </c>
      <c r="K1867" s="39">
        <f>IF($C1867="","",IF(COUNTIFS(DESPACHOS!$B$3:$B$3002,$C1867)=0,"NO EXISTE",IF(COUNTIFS(DESPACHOS!$B$3:$B$3002,$C1867)&gt;1,"DUPLICADO","OK")))</f>
        <v/>
      </c>
      <c r="L1867" s="41" t="n"/>
      <c r="M1867" s="41" t="n"/>
      <c r="N1867" s="42">
        <f>IF($M1867="","",IFERROR(INDEX(LISTAS!$F$3:$F$42,MATCH($M1867,LISTAS!$E$3:$E$42,0)),"Por definir"))</f>
        <v/>
      </c>
      <c r="O1867" s="41" t="n"/>
      <c r="P1867" s="39">
        <f>IF($L1867="","",IFERROR(INDEX(LISTAS!$B$3:$B$42,MATCH($L1867,LISTAS!$A$3:$A$42,0)),"Media"))</f>
        <v/>
      </c>
      <c r="Q1867" s="44" t="n"/>
      <c r="R1867" s="45" t="n"/>
      <c r="S1867" s="20">
        <f>IFERROR(IF(OR($R1867="",$C1867=""),"",$R1867/INDEX(DESPACHOS!$M$3:$M$3002,MATCH($C1867,DESPACHOS!$B$3:$B$3002,0))),"")</f>
        <v/>
      </c>
      <c r="T1867" s="41" t="n"/>
      <c r="U1867" s="43">
        <f>IF(OR($B1867="",$L1867=""),"",WORKDAY($B1867,IFERROR(INDEX(LISTAS!$C$3:$C$42,MATCH($L1867,LISTAS!$A$3:$A$42,0)),3)))</f>
        <v/>
      </c>
      <c r="V1867" s="40" t="n"/>
      <c r="W1867" s="19">
        <f>IF($B1867="","",IF($V1867&lt;&gt;"",$V1867-$B1867,TODAY()-$B1867))</f>
        <v/>
      </c>
      <c r="X1867" s="19">
        <f>IF(OR($B1867="",$U1867=""),"",IF($V1867&lt;&gt;"",MAX(0,$V1867-$U1867),MAX(0,TODAY()-$U1867)))</f>
        <v/>
      </c>
      <c r="Y1867" s="39">
        <f>IF($C1867="","",IF(IFERROR(INDEX(LISTAS!$I$3:$I$42,MATCH($T1867,LISTAS!$H$3:$H$42,0)),"NO")="SÍ",IF(N($X1867)&gt;0,"CERRADA FUERA DE SLA","CERRADA EN SLA"),IF($U1867="","SIN CLASIFICAR",IF(N($X1867)&gt;0,"VENCIDA",IF(TODAY()&gt;=$U1867-1,"POR VENCER","EN PLAZO")))))</f>
        <v/>
      </c>
      <c r="Z1867" s="41" t="n"/>
      <c r="AA1867" s="41" t="n"/>
      <c r="AB1867" s="41" t="n"/>
    </row>
    <row r="1868">
      <c r="A1868" s="39">
        <f>IF($C1868="","","NOV-"&amp;TEXT(ROW()-3,"0000"))</f>
        <v/>
      </c>
      <c r="B1868" s="40" t="n"/>
      <c r="C1868" s="41" t="n"/>
      <c r="D1868" s="42">
        <f>IF($C1868="","",IFERROR(INDEX(DESPACHOS!$D$3:$D$3002,MATCH($C1868,DESPACHOS!$B$3:$B$3002,0)),"SIN DESPACHO"))</f>
        <v/>
      </c>
      <c r="E1868" s="42">
        <f>IF($C1868="","",IFERROR(INDEX(DESPACHOS!$K$3:$K$3002,MATCH($C1868,DESPACHOS!$B$3:$B$3002,0)),""))</f>
        <v/>
      </c>
      <c r="F1868" s="42">
        <f>IF($C1868="","",IFERROR(INDEX(DESPACHOS!$I$3:$I$3002,MATCH($C1868,DESPACHOS!$B$3:$B$3002,0)),""))</f>
        <v/>
      </c>
      <c r="G1868" s="42">
        <f>IF($C1868="","",IFERROR(INDEX(DESPACHOS!$F$3:$F$3002,MATCH($C1868,DESPACHOS!$B$3:$B$3002,0)),""))</f>
        <v/>
      </c>
      <c r="H1868" s="42">
        <f>IF($C1868="","",IFERROR(INDEX(DESPACHOS!$G$3:$G$3002,MATCH($C1868,DESPACHOS!$B$3:$B$3002,0)),""))</f>
        <v/>
      </c>
      <c r="I1868" s="39">
        <f>IF($C1868="","",IFERROR(INDEX(DESPACHOS!$H$3:$H$3002,MATCH($C1868,DESPACHOS!$B$3:$B$3002,0)),""))</f>
        <v/>
      </c>
      <c r="J1868" s="43">
        <f>IF($C1868="","",IFERROR(INDEX(DESPACHOS!$J$3:$J$3002,MATCH($C1868,DESPACHOS!$B$3:$B$3002,0)),""))</f>
        <v/>
      </c>
      <c r="K1868" s="39">
        <f>IF($C1868="","",IF(COUNTIFS(DESPACHOS!$B$3:$B$3002,$C1868)=0,"NO EXISTE",IF(COUNTIFS(DESPACHOS!$B$3:$B$3002,$C1868)&gt;1,"DUPLICADO","OK")))</f>
        <v/>
      </c>
      <c r="L1868" s="41" t="n"/>
      <c r="M1868" s="41" t="n"/>
      <c r="N1868" s="42">
        <f>IF($M1868="","",IFERROR(INDEX(LISTAS!$F$3:$F$42,MATCH($M1868,LISTAS!$E$3:$E$42,0)),"Por definir"))</f>
        <v/>
      </c>
      <c r="O1868" s="41" t="n"/>
      <c r="P1868" s="39">
        <f>IF($L1868="","",IFERROR(INDEX(LISTAS!$B$3:$B$42,MATCH($L1868,LISTAS!$A$3:$A$42,0)),"Media"))</f>
        <v/>
      </c>
      <c r="Q1868" s="44" t="n"/>
      <c r="R1868" s="45" t="n"/>
      <c r="S1868" s="20">
        <f>IFERROR(IF(OR($R1868="",$C1868=""),"",$R1868/INDEX(DESPACHOS!$M$3:$M$3002,MATCH($C1868,DESPACHOS!$B$3:$B$3002,0))),"")</f>
        <v/>
      </c>
      <c r="T1868" s="41" t="n"/>
      <c r="U1868" s="43">
        <f>IF(OR($B1868="",$L1868=""),"",WORKDAY($B1868,IFERROR(INDEX(LISTAS!$C$3:$C$42,MATCH($L1868,LISTAS!$A$3:$A$42,0)),3)))</f>
        <v/>
      </c>
      <c r="V1868" s="40" t="n"/>
      <c r="W1868" s="19">
        <f>IF($B1868="","",IF($V1868&lt;&gt;"",$V1868-$B1868,TODAY()-$B1868))</f>
        <v/>
      </c>
      <c r="X1868" s="19">
        <f>IF(OR($B1868="",$U1868=""),"",IF($V1868&lt;&gt;"",MAX(0,$V1868-$U1868),MAX(0,TODAY()-$U1868)))</f>
        <v/>
      </c>
      <c r="Y1868" s="39">
        <f>IF($C1868="","",IF(IFERROR(INDEX(LISTAS!$I$3:$I$42,MATCH($T1868,LISTAS!$H$3:$H$42,0)),"NO")="SÍ",IF(N($X1868)&gt;0,"CERRADA FUERA DE SLA","CERRADA EN SLA"),IF($U1868="","SIN CLASIFICAR",IF(N($X1868)&gt;0,"VENCIDA",IF(TODAY()&gt;=$U1868-1,"POR VENCER","EN PLAZO")))))</f>
        <v/>
      </c>
      <c r="Z1868" s="41" t="n"/>
      <c r="AA1868" s="41" t="n"/>
      <c r="AB1868" s="41" t="n"/>
    </row>
    <row r="1869">
      <c r="A1869" s="39">
        <f>IF($C1869="","","NOV-"&amp;TEXT(ROW()-3,"0000"))</f>
        <v/>
      </c>
      <c r="B1869" s="40" t="n"/>
      <c r="C1869" s="41" t="n"/>
      <c r="D1869" s="42">
        <f>IF($C1869="","",IFERROR(INDEX(DESPACHOS!$D$3:$D$3002,MATCH($C1869,DESPACHOS!$B$3:$B$3002,0)),"SIN DESPACHO"))</f>
        <v/>
      </c>
      <c r="E1869" s="42">
        <f>IF($C1869="","",IFERROR(INDEX(DESPACHOS!$K$3:$K$3002,MATCH($C1869,DESPACHOS!$B$3:$B$3002,0)),""))</f>
        <v/>
      </c>
      <c r="F1869" s="42">
        <f>IF($C1869="","",IFERROR(INDEX(DESPACHOS!$I$3:$I$3002,MATCH($C1869,DESPACHOS!$B$3:$B$3002,0)),""))</f>
        <v/>
      </c>
      <c r="G1869" s="42">
        <f>IF($C1869="","",IFERROR(INDEX(DESPACHOS!$F$3:$F$3002,MATCH($C1869,DESPACHOS!$B$3:$B$3002,0)),""))</f>
        <v/>
      </c>
      <c r="H1869" s="42">
        <f>IF($C1869="","",IFERROR(INDEX(DESPACHOS!$G$3:$G$3002,MATCH($C1869,DESPACHOS!$B$3:$B$3002,0)),""))</f>
        <v/>
      </c>
      <c r="I1869" s="39">
        <f>IF($C1869="","",IFERROR(INDEX(DESPACHOS!$H$3:$H$3002,MATCH($C1869,DESPACHOS!$B$3:$B$3002,0)),""))</f>
        <v/>
      </c>
      <c r="J1869" s="43">
        <f>IF($C1869="","",IFERROR(INDEX(DESPACHOS!$J$3:$J$3002,MATCH($C1869,DESPACHOS!$B$3:$B$3002,0)),""))</f>
        <v/>
      </c>
      <c r="K1869" s="39">
        <f>IF($C1869="","",IF(COUNTIFS(DESPACHOS!$B$3:$B$3002,$C1869)=0,"NO EXISTE",IF(COUNTIFS(DESPACHOS!$B$3:$B$3002,$C1869)&gt;1,"DUPLICADO","OK")))</f>
        <v/>
      </c>
      <c r="L1869" s="41" t="n"/>
      <c r="M1869" s="41" t="n"/>
      <c r="N1869" s="42">
        <f>IF($M1869="","",IFERROR(INDEX(LISTAS!$F$3:$F$42,MATCH($M1869,LISTAS!$E$3:$E$42,0)),"Por definir"))</f>
        <v/>
      </c>
      <c r="O1869" s="41" t="n"/>
      <c r="P1869" s="39">
        <f>IF($L1869="","",IFERROR(INDEX(LISTAS!$B$3:$B$42,MATCH($L1869,LISTAS!$A$3:$A$42,0)),"Media"))</f>
        <v/>
      </c>
      <c r="Q1869" s="44" t="n"/>
      <c r="R1869" s="45" t="n"/>
      <c r="S1869" s="20">
        <f>IFERROR(IF(OR($R1869="",$C1869=""),"",$R1869/INDEX(DESPACHOS!$M$3:$M$3002,MATCH($C1869,DESPACHOS!$B$3:$B$3002,0))),"")</f>
        <v/>
      </c>
      <c r="T1869" s="41" t="n"/>
      <c r="U1869" s="43">
        <f>IF(OR($B1869="",$L1869=""),"",WORKDAY($B1869,IFERROR(INDEX(LISTAS!$C$3:$C$42,MATCH($L1869,LISTAS!$A$3:$A$42,0)),3)))</f>
        <v/>
      </c>
      <c r="V1869" s="40" t="n"/>
      <c r="W1869" s="19">
        <f>IF($B1869="","",IF($V1869&lt;&gt;"",$V1869-$B1869,TODAY()-$B1869))</f>
        <v/>
      </c>
      <c r="X1869" s="19">
        <f>IF(OR($B1869="",$U1869=""),"",IF($V1869&lt;&gt;"",MAX(0,$V1869-$U1869),MAX(0,TODAY()-$U1869)))</f>
        <v/>
      </c>
      <c r="Y1869" s="39">
        <f>IF($C1869="","",IF(IFERROR(INDEX(LISTAS!$I$3:$I$42,MATCH($T1869,LISTAS!$H$3:$H$42,0)),"NO")="SÍ",IF(N($X1869)&gt;0,"CERRADA FUERA DE SLA","CERRADA EN SLA"),IF($U1869="","SIN CLASIFICAR",IF(N($X1869)&gt;0,"VENCIDA",IF(TODAY()&gt;=$U1869-1,"POR VENCER","EN PLAZO")))))</f>
        <v/>
      </c>
      <c r="Z1869" s="41" t="n"/>
      <c r="AA1869" s="41" t="n"/>
      <c r="AB1869" s="41" t="n"/>
    </row>
    <row r="1870">
      <c r="A1870" s="39">
        <f>IF($C1870="","","NOV-"&amp;TEXT(ROW()-3,"0000"))</f>
        <v/>
      </c>
      <c r="B1870" s="40" t="n"/>
      <c r="C1870" s="41" t="n"/>
      <c r="D1870" s="42">
        <f>IF($C1870="","",IFERROR(INDEX(DESPACHOS!$D$3:$D$3002,MATCH($C1870,DESPACHOS!$B$3:$B$3002,0)),"SIN DESPACHO"))</f>
        <v/>
      </c>
      <c r="E1870" s="42">
        <f>IF($C1870="","",IFERROR(INDEX(DESPACHOS!$K$3:$K$3002,MATCH($C1870,DESPACHOS!$B$3:$B$3002,0)),""))</f>
        <v/>
      </c>
      <c r="F1870" s="42">
        <f>IF($C1870="","",IFERROR(INDEX(DESPACHOS!$I$3:$I$3002,MATCH($C1870,DESPACHOS!$B$3:$B$3002,0)),""))</f>
        <v/>
      </c>
      <c r="G1870" s="42">
        <f>IF($C1870="","",IFERROR(INDEX(DESPACHOS!$F$3:$F$3002,MATCH($C1870,DESPACHOS!$B$3:$B$3002,0)),""))</f>
        <v/>
      </c>
      <c r="H1870" s="42">
        <f>IF($C1870="","",IFERROR(INDEX(DESPACHOS!$G$3:$G$3002,MATCH($C1870,DESPACHOS!$B$3:$B$3002,0)),""))</f>
        <v/>
      </c>
      <c r="I1870" s="39">
        <f>IF($C1870="","",IFERROR(INDEX(DESPACHOS!$H$3:$H$3002,MATCH($C1870,DESPACHOS!$B$3:$B$3002,0)),""))</f>
        <v/>
      </c>
      <c r="J1870" s="43">
        <f>IF($C1870="","",IFERROR(INDEX(DESPACHOS!$J$3:$J$3002,MATCH($C1870,DESPACHOS!$B$3:$B$3002,0)),""))</f>
        <v/>
      </c>
      <c r="K1870" s="39">
        <f>IF($C1870="","",IF(COUNTIFS(DESPACHOS!$B$3:$B$3002,$C1870)=0,"NO EXISTE",IF(COUNTIFS(DESPACHOS!$B$3:$B$3002,$C1870)&gt;1,"DUPLICADO","OK")))</f>
        <v/>
      </c>
      <c r="L1870" s="41" t="n"/>
      <c r="M1870" s="41" t="n"/>
      <c r="N1870" s="42">
        <f>IF($M1870="","",IFERROR(INDEX(LISTAS!$F$3:$F$42,MATCH($M1870,LISTAS!$E$3:$E$42,0)),"Por definir"))</f>
        <v/>
      </c>
      <c r="O1870" s="41" t="n"/>
      <c r="P1870" s="39">
        <f>IF($L1870="","",IFERROR(INDEX(LISTAS!$B$3:$B$42,MATCH($L1870,LISTAS!$A$3:$A$42,0)),"Media"))</f>
        <v/>
      </c>
      <c r="Q1870" s="44" t="n"/>
      <c r="R1870" s="45" t="n"/>
      <c r="S1870" s="20">
        <f>IFERROR(IF(OR($R1870="",$C1870=""),"",$R1870/INDEX(DESPACHOS!$M$3:$M$3002,MATCH($C1870,DESPACHOS!$B$3:$B$3002,0))),"")</f>
        <v/>
      </c>
      <c r="T1870" s="41" t="n"/>
      <c r="U1870" s="43">
        <f>IF(OR($B1870="",$L1870=""),"",WORKDAY($B1870,IFERROR(INDEX(LISTAS!$C$3:$C$42,MATCH($L1870,LISTAS!$A$3:$A$42,0)),3)))</f>
        <v/>
      </c>
      <c r="V1870" s="40" t="n"/>
      <c r="W1870" s="19">
        <f>IF($B1870="","",IF($V1870&lt;&gt;"",$V1870-$B1870,TODAY()-$B1870))</f>
        <v/>
      </c>
      <c r="X1870" s="19">
        <f>IF(OR($B1870="",$U1870=""),"",IF($V1870&lt;&gt;"",MAX(0,$V1870-$U1870),MAX(0,TODAY()-$U1870)))</f>
        <v/>
      </c>
      <c r="Y1870" s="39">
        <f>IF($C1870="","",IF(IFERROR(INDEX(LISTAS!$I$3:$I$42,MATCH($T1870,LISTAS!$H$3:$H$42,0)),"NO")="SÍ",IF(N($X1870)&gt;0,"CERRADA FUERA DE SLA","CERRADA EN SLA"),IF($U1870="","SIN CLASIFICAR",IF(N($X1870)&gt;0,"VENCIDA",IF(TODAY()&gt;=$U1870-1,"POR VENCER","EN PLAZO")))))</f>
        <v/>
      </c>
      <c r="Z1870" s="41" t="n"/>
      <c r="AA1870" s="41" t="n"/>
      <c r="AB1870" s="41" t="n"/>
    </row>
    <row r="1871">
      <c r="A1871" s="39">
        <f>IF($C1871="","","NOV-"&amp;TEXT(ROW()-3,"0000"))</f>
        <v/>
      </c>
      <c r="B1871" s="40" t="n"/>
      <c r="C1871" s="41" t="n"/>
      <c r="D1871" s="42">
        <f>IF($C1871="","",IFERROR(INDEX(DESPACHOS!$D$3:$D$3002,MATCH($C1871,DESPACHOS!$B$3:$B$3002,0)),"SIN DESPACHO"))</f>
        <v/>
      </c>
      <c r="E1871" s="42">
        <f>IF($C1871="","",IFERROR(INDEX(DESPACHOS!$K$3:$K$3002,MATCH($C1871,DESPACHOS!$B$3:$B$3002,0)),""))</f>
        <v/>
      </c>
      <c r="F1871" s="42">
        <f>IF($C1871="","",IFERROR(INDEX(DESPACHOS!$I$3:$I$3002,MATCH($C1871,DESPACHOS!$B$3:$B$3002,0)),""))</f>
        <v/>
      </c>
      <c r="G1871" s="42">
        <f>IF($C1871="","",IFERROR(INDEX(DESPACHOS!$F$3:$F$3002,MATCH($C1871,DESPACHOS!$B$3:$B$3002,0)),""))</f>
        <v/>
      </c>
      <c r="H1871" s="42">
        <f>IF($C1871="","",IFERROR(INDEX(DESPACHOS!$G$3:$G$3002,MATCH($C1871,DESPACHOS!$B$3:$B$3002,0)),""))</f>
        <v/>
      </c>
      <c r="I1871" s="39">
        <f>IF($C1871="","",IFERROR(INDEX(DESPACHOS!$H$3:$H$3002,MATCH($C1871,DESPACHOS!$B$3:$B$3002,0)),""))</f>
        <v/>
      </c>
      <c r="J1871" s="43">
        <f>IF($C1871="","",IFERROR(INDEX(DESPACHOS!$J$3:$J$3002,MATCH($C1871,DESPACHOS!$B$3:$B$3002,0)),""))</f>
        <v/>
      </c>
      <c r="K1871" s="39">
        <f>IF($C1871="","",IF(COUNTIFS(DESPACHOS!$B$3:$B$3002,$C1871)=0,"NO EXISTE",IF(COUNTIFS(DESPACHOS!$B$3:$B$3002,$C1871)&gt;1,"DUPLICADO","OK")))</f>
        <v/>
      </c>
      <c r="L1871" s="41" t="n"/>
      <c r="M1871" s="41" t="n"/>
      <c r="N1871" s="42">
        <f>IF($M1871="","",IFERROR(INDEX(LISTAS!$F$3:$F$42,MATCH($M1871,LISTAS!$E$3:$E$42,0)),"Por definir"))</f>
        <v/>
      </c>
      <c r="O1871" s="41" t="n"/>
      <c r="P1871" s="39">
        <f>IF($L1871="","",IFERROR(INDEX(LISTAS!$B$3:$B$42,MATCH($L1871,LISTAS!$A$3:$A$42,0)),"Media"))</f>
        <v/>
      </c>
      <c r="Q1871" s="44" t="n"/>
      <c r="R1871" s="45" t="n"/>
      <c r="S1871" s="20">
        <f>IFERROR(IF(OR($R1871="",$C1871=""),"",$R1871/INDEX(DESPACHOS!$M$3:$M$3002,MATCH($C1871,DESPACHOS!$B$3:$B$3002,0))),"")</f>
        <v/>
      </c>
      <c r="T1871" s="41" t="n"/>
      <c r="U1871" s="43">
        <f>IF(OR($B1871="",$L1871=""),"",WORKDAY($B1871,IFERROR(INDEX(LISTAS!$C$3:$C$42,MATCH($L1871,LISTAS!$A$3:$A$42,0)),3)))</f>
        <v/>
      </c>
      <c r="V1871" s="40" t="n"/>
      <c r="W1871" s="19">
        <f>IF($B1871="","",IF($V1871&lt;&gt;"",$V1871-$B1871,TODAY()-$B1871))</f>
        <v/>
      </c>
      <c r="X1871" s="19">
        <f>IF(OR($B1871="",$U1871=""),"",IF($V1871&lt;&gt;"",MAX(0,$V1871-$U1871),MAX(0,TODAY()-$U1871)))</f>
        <v/>
      </c>
      <c r="Y1871" s="39">
        <f>IF($C1871="","",IF(IFERROR(INDEX(LISTAS!$I$3:$I$42,MATCH($T1871,LISTAS!$H$3:$H$42,0)),"NO")="SÍ",IF(N($X1871)&gt;0,"CERRADA FUERA DE SLA","CERRADA EN SLA"),IF($U1871="","SIN CLASIFICAR",IF(N($X1871)&gt;0,"VENCIDA",IF(TODAY()&gt;=$U1871-1,"POR VENCER","EN PLAZO")))))</f>
        <v/>
      </c>
      <c r="Z1871" s="41" t="n"/>
      <c r="AA1871" s="41" t="n"/>
      <c r="AB1871" s="41" t="n"/>
    </row>
    <row r="1872">
      <c r="A1872" s="39">
        <f>IF($C1872="","","NOV-"&amp;TEXT(ROW()-3,"0000"))</f>
        <v/>
      </c>
      <c r="B1872" s="40" t="n"/>
      <c r="C1872" s="41" t="n"/>
      <c r="D1872" s="42">
        <f>IF($C1872="","",IFERROR(INDEX(DESPACHOS!$D$3:$D$3002,MATCH($C1872,DESPACHOS!$B$3:$B$3002,0)),"SIN DESPACHO"))</f>
        <v/>
      </c>
      <c r="E1872" s="42">
        <f>IF($C1872="","",IFERROR(INDEX(DESPACHOS!$K$3:$K$3002,MATCH($C1872,DESPACHOS!$B$3:$B$3002,0)),""))</f>
        <v/>
      </c>
      <c r="F1872" s="42">
        <f>IF($C1872="","",IFERROR(INDEX(DESPACHOS!$I$3:$I$3002,MATCH($C1872,DESPACHOS!$B$3:$B$3002,0)),""))</f>
        <v/>
      </c>
      <c r="G1872" s="42">
        <f>IF($C1872="","",IFERROR(INDEX(DESPACHOS!$F$3:$F$3002,MATCH($C1872,DESPACHOS!$B$3:$B$3002,0)),""))</f>
        <v/>
      </c>
      <c r="H1872" s="42">
        <f>IF($C1872="","",IFERROR(INDEX(DESPACHOS!$G$3:$G$3002,MATCH($C1872,DESPACHOS!$B$3:$B$3002,0)),""))</f>
        <v/>
      </c>
      <c r="I1872" s="39">
        <f>IF($C1872="","",IFERROR(INDEX(DESPACHOS!$H$3:$H$3002,MATCH($C1872,DESPACHOS!$B$3:$B$3002,0)),""))</f>
        <v/>
      </c>
      <c r="J1872" s="43">
        <f>IF($C1872="","",IFERROR(INDEX(DESPACHOS!$J$3:$J$3002,MATCH($C1872,DESPACHOS!$B$3:$B$3002,0)),""))</f>
        <v/>
      </c>
      <c r="K1872" s="39">
        <f>IF($C1872="","",IF(COUNTIFS(DESPACHOS!$B$3:$B$3002,$C1872)=0,"NO EXISTE",IF(COUNTIFS(DESPACHOS!$B$3:$B$3002,$C1872)&gt;1,"DUPLICADO","OK")))</f>
        <v/>
      </c>
      <c r="L1872" s="41" t="n"/>
      <c r="M1872" s="41" t="n"/>
      <c r="N1872" s="42">
        <f>IF($M1872="","",IFERROR(INDEX(LISTAS!$F$3:$F$42,MATCH($M1872,LISTAS!$E$3:$E$42,0)),"Por definir"))</f>
        <v/>
      </c>
      <c r="O1872" s="41" t="n"/>
      <c r="P1872" s="39">
        <f>IF($L1872="","",IFERROR(INDEX(LISTAS!$B$3:$B$42,MATCH($L1872,LISTAS!$A$3:$A$42,0)),"Media"))</f>
        <v/>
      </c>
      <c r="Q1872" s="44" t="n"/>
      <c r="R1872" s="45" t="n"/>
      <c r="S1872" s="20">
        <f>IFERROR(IF(OR($R1872="",$C1872=""),"",$R1872/INDEX(DESPACHOS!$M$3:$M$3002,MATCH($C1872,DESPACHOS!$B$3:$B$3002,0))),"")</f>
        <v/>
      </c>
      <c r="T1872" s="41" t="n"/>
      <c r="U1872" s="43">
        <f>IF(OR($B1872="",$L1872=""),"",WORKDAY($B1872,IFERROR(INDEX(LISTAS!$C$3:$C$42,MATCH($L1872,LISTAS!$A$3:$A$42,0)),3)))</f>
        <v/>
      </c>
      <c r="V1872" s="40" t="n"/>
      <c r="W1872" s="19">
        <f>IF($B1872="","",IF($V1872&lt;&gt;"",$V1872-$B1872,TODAY()-$B1872))</f>
        <v/>
      </c>
      <c r="X1872" s="19">
        <f>IF(OR($B1872="",$U1872=""),"",IF($V1872&lt;&gt;"",MAX(0,$V1872-$U1872),MAX(0,TODAY()-$U1872)))</f>
        <v/>
      </c>
      <c r="Y1872" s="39">
        <f>IF($C1872="","",IF(IFERROR(INDEX(LISTAS!$I$3:$I$42,MATCH($T1872,LISTAS!$H$3:$H$42,0)),"NO")="SÍ",IF(N($X1872)&gt;0,"CERRADA FUERA DE SLA","CERRADA EN SLA"),IF($U1872="","SIN CLASIFICAR",IF(N($X1872)&gt;0,"VENCIDA",IF(TODAY()&gt;=$U1872-1,"POR VENCER","EN PLAZO")))))</f>
        <v/>
      </c>
      <c r="Z1872" s="41" t="n"/>
      <c r="AA1872" s="41" t="n"/>
      <c r="AB1872" s="41" t="n"/>
    </row>
    <row r="1873">
      <c r="A1873" s="39">
        <f>IF($C1873="","","NOV-"&amp;TEXT(ROW()-3,"0000"))</f>
        <v/>
      </c>
      <c r="B1873" s="40" t="n"/>
      <c r="C1873" s="41" t="n"/>
      <c r="D1873" s="42">
        <f>IF($C1873="","",IFERROR(INDEX(DESPACHOS!$D$3:$D$3002,MATCH($C1873,DESPACHOS!$B$3:$B$3002,0)),"SIN DESPACHO"))</f>
        <v/>
      </c>
      <c r="E1873" s="42">
        <f>IF($C1873="","",IFERROR(INDEX(DESPACHOS!$K$3:$K$3002,MATCH($C1873,DESPACHOS!$B$3:$B$3002,0)),""))</f>
        <v/>
      </c>
      <c r="F1873" s="42">
        <f>IF($C1873="","",IFERROR(INDEX(DESPACHOS!$I$3:$I$3002,MATCH($C1873,DESPACHOS!$B$3:$B$3002,0)),""))</f>
        <v/>
      </c>
      <c r="G1873" s="42">
        <f>IF($C1873="","",IFERROR(INDEX(DESPACHOS!$F$3:$F$3002,MATCH($C1873,DESPACHOS!$B$3:$B$3002,0)),""))</f>
        <v/>
      </c>
      <c r="H1873" s="42">
        <f>IF($C1873="","",IFERROR(INDEX(DESPACHOS!$G$3:$G$3002,MATCH($C1873,DESPACHOS!$B$3:$B$3002,0)),""))</f>
        <v/>
      </c>
      <c r="I1873" s="39">
        <f>IF($C1873="","",IFERROR(INDEX(DESPACHOS!$H$3:$H$3002,MATCH($C1873,DESPACHOS!$B$3:$B$3002,0)),""))</f>
        <v/>
      </c>
      <c r="J1873" s="43">
        <f>IF($C1873="","",IFERROR(INDEX(DESPACHOS!$J$3:$J$3002,MATCH($C1873,DESPACHOS!$B$3:$B$3002,0)),""))</f>
        <v/>
      </c>
      <c r="K1873" s="39">
        <f>IF($C1873="","",IF(COUNTIFS(DESPACHOS!$B$3:$B$3002,$C1873)=0,"NO EXISTE",IF(COUNTIFS(DESPACHOS!$B$3:$B$3002,$C1873)&gt;1,"DUPLICADO","OK")))</f>
        <v/>
      </c>
      <c r="L1873" s="41" t="n"/>
      <c r="M1873" s="41" t="n"/>
      <c r="N1873" s="42">
        <f>IF($M1873="","",IFERROR(INDEX(LISTAS!$F$3:$F$42,MATCH($M1873,LISTAS!$E$3:$E$42,0)),"Por definir"))</f>
        <v/>
      </c>
      <c r="O1873" s="41" t="n"/>
      <c r="P1873" s="39">
        <f>IF($L1873="","",IFERROR(INDEX(LISTAS!$B$3:$B$42,MATCH($L1873,LISTAS!$A$3:$A$42,0)),"Media"))</f>
        <v/>
      </c>
      <c r="Q1873" s="44" t="n"/>
      <c r="R1873" s="45" t="n"/>
      <c r="S1873" s="20">
        <f>IFERROR(IF(OR($R1873="",$C1873=""),"",$R1873/INDEX(DESPACHOS!$M$3:$M$3002,MATCH($C1873,DESPACHOS!$B$3:$B$3002,0))),"")</f>
        <v/>
      </c>
      <c r="T1873" s="41" t="n"/>
      <c r="U1873" s="43">
        <f>IF(OR($B1873="",$L1873=""),"",WORKDAY($B1873,IFERROR(INDEX(LISTAS!$C$3:$C$42,MATCH($L1873,LISTAS!$A$3:$A$42,0)),3)))</f>
        <v/>
      </c>
      <c r="V1873" s="40" t="n"/>
      <c r="W1873" s="19">
        <f>IF($B1873="","",IF($V1873&lt;&gt;"",$V1873-$B1873,TODAY()-$B1873))</f>
        <v/>
      </c>
      <c r="X1873" s="19">
        <f>IF(OR($B1873="",$U1873=""),"",IF($V1873&lt;&gt;"",MAX(0,$V1873-$U1873),MAX(0,TODAY()-$U1873)))</f>
        <v/>
      </c>
      <c r="Y1873" s="39">
        <f>IF($C1873="","",IF(IFERROR(INDEX(LISTAS!$I$3:$I$42,MATCH($T1873,LISTAS!$H$3:$H$42,0)),"NO")="SÍ",IF(N($X1873)&gt;0,"CERRADA FUERA DE SLA","CERRADA EN SLA"),IF($U1873="","SIN CLASIFICAR",IF(N($X1873)&gt;0,"VENCIDA",IF(TODAY()&gt;=$U1873-1,"POR VENCER","EN PLAZO")))))</f>
        <v/>
      </c>
      <c r="Z1873" s="41" t="n"/>
      <c r="AA1873" s="41" t="n"/>
      <c r="AB1873" s="41" t="n"/>
    </row>
    <row r="1874">
      <c r="A1874" s="39">
        <f>IF($C1874="","","NOV-"&amp;TEXT(ROW()-3,"0000"))</f>
        <v/>
      </c>
      <c r="B1874" s="40" t="n"/>
      <c r="C1874" s="41" t="n"/>
      <c r="D1874" s="42">
        <f>IF($C1874="","",IFERROR(INDEX(DESPACHOS!$D$3:$D$3002,MATCH($C1874,DESPACHOS!$B$3:$B$3002,0)),"SIN DESPACHO"))</f>
        <v/>
      </c>
      <c r="E1874" s="42">
        <f>IF($C1874="","",IFERROR(INDEX(DESPACHOS!$K$3:$K$3002,MATCH($C1874,DESPACHOS!$B$3:$B$3002,0)),""))</f>
        <v/>
      </c>
      <c r="F1874" s="42">
        <f>IF($C1874="","",IFERROR(INDEX(DESPACHOS!$I$3:$I$3002,MATCH($C1874,DESPACHOS!$B$3:$B$3002,0)),""))</f>
        <v/>
      </c>
      <c r="G1874" s="42">
        <f>IF($C1874="","",IFERROR(INDEX(DESPACHOS!$F$3:$F$3002,MATCH($C1874,DESPACHOS!$B$3:$B$3002,0)),""))</f>
        <v/>
      </c>
      <c r="H1874" s="42">
        <f>IF($C1874="","",IFERROR(INDEX(DESPACHOS!$G$3:$G$3002,MATCH($C1874,DESPACHOS!$B$3:$B$3002,0)),""))</f>
        <v/>
      </c>
      <c r="I1874" s="39">
        <f>IF($C1874="","",IFERROR(INDEX(DESPACHOS!$H$3:$H$3002,MATCH($C1874,DESPACHOS!$B$3:$B$3002,0)),""))</f>
        <v/>
      </c>
      <c r="J1874" s="43">
        <f>IF($C1874="","",IFERROR(INDEX(DESPACHOS!$J$3:$J$3002,MATCH($C1874,DESPACHOS!$B$3:$B$3002,0)),""))</f>
        <v/>
      </c>
      <c r="K1874" s="39">
        <f>IF($C1874="","",IF(COUNTIFS(DESPACHOS!$B$3:$B$3002,$C1874)=0,"NO EXISTE",IF(COUNTIFS(DESPACHOS!$B$3:$B$3002,$C1874)&gt;1,"DUPLICADO","OK")))</f>
        <v/>
      </c>
      <c r="L1874" s="41" t="n"/>
      <c r="M1874" s="41" t="n"/>
      <c r="N1874" s="42">
        <f>IF($M1874="","",IFERROR(INDEX(LISTAS!$F$3:$F$42,MATCH($M1874,LISTAS!$E$3:$E$42,0)),"Por definir"))</f>
        <v/>
      </c>
      <c r="O1874" s="41" t="n"/>
      <c r="P1874" s="39">
        <f>IF($L1874="","",IFERROR(INDEX(LISTAS!$B$3:$B$42,MATCH($L1874,LISTAS!$A$3:$A$42,0)),"Media"))</f>
        <v/>
      </c>
      <c r="Q1874" s="44" t="n"/>
      <c r="R1874" s="45" t="n"/>
      <c r="S1874" s="20">
        <f>IFERROR(IF(OR($R1874="",$C1874=""),"",$R1874/INDEX(DESPACHOS!$M$3:$M$3002,MATCH($C1874,DESPACHOS!$B$3:$B$3002,0))),"")</f>
        <v/>
      </c>
      <c r="T1874" s="41" t="n"/>
      <c r="U1874" s="43">
        <f>IF(OR($B1874="",$L1874=""),"",WORKDAY($B1874,IFERROR(INDEX(LISTAS!$C$3:$C$42,MATCH($L1874,LISTAS!$A$3:$A$42,0)),3)))</f>
        <v/>
      </c>
      <c r="V1874" s="40" t="n"/>
      <c r="W1874" s="19">
        <f>IF($B1874="","",IF($V1874&lt;&gt;"",$V1874-$B1874,TODAY()-$B1874))</f>
        <v/>
      </c>
      <c r="X1874" s="19">
        <f>IF(OR($B1874="",$U1874=""),"",IF($V1874&lt;&gt;"",MAX(0,$V1874-$U1874),MAX(0,TODAY()-$U1874)))</f>
        <v/>
      </c>
      <c r="Y1874" s="39">
        <f>IF($C1874="","",IF(IFERROR(INDEX(LISTAS!$I$3:$I$42,MATCH($T1874,LISTAS!$H$3:$H$42,0)),"NO")="SÍ",IF(N($X1874)&gt;0,"CERRADA FUERA DE SLA","CERRADA EN SLA"),IF($U1874="","SIN CLASIFICAR",IF(N($X1874)&gt;0,"VENCIDA",IF(TODAY()&gt;=$U1874-1,"POR VENCER","EN PLAZO")))))</f>
        <v/>
      </c>
      <c r="Z1874" s="41" t="n"/>
      <c r="AA1874" s="41" t="n"/>
      <c r="AB1874" s="41" t="n"/>
    </row>
    <row r="1875">
      <c r="A1875" s="39">
        <f>IF($C1875="","","NOV-"&amp;TEXT(ROW()-3,"0000"))</f>
        <v/>
      </c>
      <c r="B1875" s="40" t="n"/>
      <c r="C1875" s="41" t="n"/>
      <c r="D1875" s="42">
        <f>IF($C1875="","",IFERROR(INDEX(DESPACHOS!$D$3:$D$3002,MATCH($C1875,DESPACHOS!$B$3:$B$3002,0)),"SIN DESPACHO"))</f>
        <v/>
      </c>
      <c r="E1875" s="42">
        <f>IF($C1875="","",IFERROR(INDEX(DESPACHOS!$K$3:$K$3002,MATCH($C1875,DESPACHOS!$B$3:$B$3002,0)),""))</f>
        <v/>
      </c>
      <c r="F1875" s="42">
        <f>IF($C1875="","",IFERROR(INDEX(DESPACHOS!$I$3:$I$3002,MATCH($C1875,DESPACHOS!$B$3:$B$3002,0)),""))</f>
        <v/>
      </c>
      <c r="G1875" s="42">
        <f>IF($C1875="","",IFERROR(INDEX(DESPACHOS!$F$3:$F$3002,MATCH($C1875,DESPACHOS!$B$3:$B$3002,0)),""))</f>
        <v/>
      </c>
      <c r="H1875" s="42">
        <f>IF($C1875="","",IFERROR(INDEX(DESPACHOS!$G$3:$G$3002,MATCH($C1875,DESPACHOS!$B$3:$B$3002,0)),""))</f>
        <v/>
      </c>
      <c r="I1875" s="39">
        <f>IF($C1875="","",IFERROR(INDEX(DESPACHOS!$H$3:$H$3002,MATCH($C1875,DESPACHOS!$B$3:$B$3002,0)),""))</f>
        <v/>
      </c>
      <c r="J1875" s="43">
        <f>IF($C1875="","",IFERROR(INDEX(DESPACHOS!$J$3:$J$3002,MATCH($C1875,DESPACHOS!$B$3:$B$3002,0)),""))</f>
        <v/>
      </c>
      <c r="K1875" s="39">
        <f>IF($C1875="","",IF(COUNTIFS(DESPACHOS!$B$3:$B$3002,$C1875)=0,"NO EXISTE",IF(COUNTIFS(DESPACHOS!$B$3:$B$3002,$C1875)&gt;1,"DUPLICADO","OK")))</f>
        <v/>
      </c>
      <c r="L1875" s="41" t="n"/>
      <c r="M1875" s="41" t="n"/>
      <c r="N1875" s="42">
        <f>IF($M1875="","",IFERROR(INDEX(LISTAS!$F$3:$F$42,MATCH($M1875,LISTAS!$E$3:$E$42,0)),"Por definir"))</f>
        <v/>
      </c>
      <c r="O1875" s="41" t="n"/>
      <c r="P1875" s="39">
        <f>IF($L1875="","",IFERROR(INDEX(LISTAS!$B$3:$B$42,MATCH($L1875,LISTAS!$A$3:$A$42,0)),"Media"))</f>
        <v/>
      </c>
      <c r="Q1875" s="44" t="n"/>
      <c r="R1875" s="45" t="n"/>
      <c r="S1875" s="20">
        <f>IFERROR(IF(OR($R1875="",$C1875=""),"",$R1875/INDEX(DESPACHOS!$M$3:$M$3002,MATCH($C1875,DESPACHOS!$B$3:$B$3002,0))),"")</f>
        <v/>
      </c>
      <c r="T1875" s="41" t="n"/>
      <c r="U1875" s="43">
        <f>IF(OR($B1875="",$L1875=""),"",WORKDAY($B1875,IFERROR(INDEX(LISTAS!$C$3:$C$42,MATCH($L1875,LISTAS!$A$3:$A$42,0)),3)))</f>
        <v/>
      </c>
      <c r="V1875" s="40" t="n"/>
      <c r="W1875" s="19">
        <f>IF($B1875="","",IF($V1875&lt;&gt;"",$V1875-$B1875,TODAY()-$B1875))</f>
        <v/>
      </c>
      <c r="X1875" s="19">
        <f>IF(OR($B1875="",$U1875=""),"",IF($V1875&lt;&gt;"",MAX(0,$V1875-$U1875),MAX(0,TODAY()-$U1875)))</f>
        <v/>
      </c>
      <c r="Y1875" s="39">
        <f>IF($C1875="","",IF(IFERROR(INDEX(LISTAS!$I$3:$I$42,MATCH($T1875,LISTAS!$H$3:$H$42,0)),"NO")="SÍ",IF(N($X1875)&gt;0,"CERRADA FUERA DE SLA","CERRADA EN SLA"),IF($U1875="","SIN CLASIFICAR",IF(N($X1875)&gt;0,"VENCIDA",IF(TODAY()&gt;=$U1875-1,"POR VENCER","EN PLAZO")))))</f>
        <v/>
      </c>
      <c r="Z1875" s="41" t="n"/>
      <c r="AA1875" s="41" t="n"/>
      <c r="AB1875" s="41" t="n"/>
    </row>
    <row r="1876">
      <c r="A1876" s="39">
        <f>IF($C1876="","","NOV-"&amp;TEXT(ROW()-3,"0000"))</f>
        <v/>
      </c>
      <c r="B1876" s="40" t="n"/>
      <c r="C1876" s="41" t="n"/>
      <c r="D1876" s="42">
        <f>IF($C1876="","",IFERROR(INDEX(DESPACHOS!$D$3:$D$3002,MATCH($C1876,DESPACHOS!$B$3:$B$3002,0)),"SIN DESPACHO"))</f>
        <v/>
      </c>
      <c r="E1876" s="42">
        <f>IF($C1876="","",IFERROR(INDEX(DESPACHOS!$K$3:$K$3002,MATCH($C1876,DESPACHOS!$B$3:$B$3002,0)),""))</f>
        <v/>
      </c>
      <c r="F1876" s="42">
        <f>IF($C1876="","",IFERROR(INDEX(DESPACHOS!$I$3:$I$3002,MATCH($C1876,DESPACHOS!$B$3:$B$3002,0)),""))</f>
        <v/>
      </c>
      <c r="G1876" s="42">
        <f>IF($C1876="","",IFERROR(INDEX(DESPACHOS!$F$3:$F$3002,MATCH($C1876,DESPACHOS!$B$3:$B$3002,0)),""))</f>
        <v/>
      </c>
      <c r="H1876" s="42">
        <f>IF($C1876="","",IFERROR(INDEX(DESPACHOS!$G$3:$G$3002,MATCH($C1876,DESPACHOS!$B$3:$B$3002,0)),""))</f>
        <v/>
      </c>
      <c r="I1876" s="39">
        <f>IF($C1876="","",IFERROR(INDEX(DESPACHOS!$H$3:$H$3002,MATCH($C1876,DESPACHOS!$B$3:$B$3002,0)),""))</f>
        <v/>
      </c>
      <c r="J1876" s="43">
        <f>IF($C1876="","",IFERROR(INDEX(DESPACHOS!$J$3:$J$3002,MATCH($C1876,DESPACHOS!$B$3:$B$3002,0)),""))</f>
        <v/>
      </c>
      <c r="K1876" s="39">
        <f>IF($C1876="","",IF(COUNTIFS(DESPACHOS!$B$3:$B$3002,$C1876)=0,"NO EXISTE",IF(COUNTIFS(DESPACHOS!$B$3:$B$3002,$C1876)&gt;1,"DUPLICADO","OK")))</f>
        <v/>
      </c>
      <c r="L1876" s="41" t="n"/>
      <c r="M1876" s="41" t="n"/>
      <c r="N1876" s="42">
        <f>IF($M1876="","",IFERROR(INDEX(LISTAS!$F$3:$F$42,MATCH($M1876,LISTAS!$E$3:$E$42,0)),"Por definir"))</f>
        <v/>
      </c>
      <c r="O1876" s="41" t="n"/>
      <c r="P1876" s="39">
        <f>IF($L1876="","",IFERROR(INDEX(LISTAS!$B$3:$B$42,MATCH($L1876,LISTAS!$A$3:$A$42,0)),"Media"))</f>
        <v/>
      </c>
      <c r="Q1876" s="44" t="n"/>
      <c r="R1876" s="45" t="n"/>
      <c r="S1876" s="20">
        <f>IFERROR(IF(OR($R1876="",$C1876=""),"",$R1876/INDEX(DESPACHOS!$M$3:$M$3002,MATCH($C1876,DESPACHOS!$B$3:$B$3002,0))),"")</f>
        <v/>
      </c>
      <c r="T1876" s="41" t="n"/>
      <c r="U1876" s="43">
        <f>IF(OR($B1876="",$L1876=""),"",WORKDAY($B1876,IFERROR(INDEX(LISTAS!$C$3:$C$42,MATCH($L1876,LISTAS!$A$3:$A$42,0)),3)))</f>
        <v/>
      </c>
      <c r="V1876" s="40" t="n"/>
      <c r="W1876" s="19">
        <f>IF($B1876="","",IF($V1876&lt;&gt;"",$V1876-$B1876,TODAY()-$B1876))</f>
        <v/>
      </c>
      <c r="X1876" s="19">
        <f>IF(OR($B1876="",$U1876=""),"",IF($V1876&lt;&gt;"",MAX(0,$V1876-$U1876),MAX(0,TODAY()-$U1876)))</f>
        <v/>
      </c>
      <c r="Y1876" s="39">
        <f>IF($C1876="","",IF(IFERROR(INDEX(LISTAS!$I$3:$I$42,MATCH($T1876,LISTAS!$H$3:$H$42,0)),"NO")="SÍ",IF(N($X1876)&gt;0,"CERRADA FUERA DE SLA","CERRADA EN SLA"),IF($U1876="","SIN CLASIFICAR",IF(N($X1876)&gt;0,"VENCIDA",IF(TODAY()&gt;=$U1876-1,"POR VENCER","EN PLAZO")))))</f>
        <v/>
      </c>
      <c r="Z1876" s="41" t="n"/>
      <c r="AA1876" s="41" t="n"/>
      <c r="AB1876" s="41" t="n"/>
    </row>
    <row r="1877">
      <c r="A1877" s="39">
        <f>IF($C1877="","","NOV-"&amp;TEXT(ROW()-3,"0000"))</f>
        <v/>
      </c>
      <c r="B1877" s="40" t="n"/>
      <c r="C1877" s="41" t="n"/>
      <c r="D1877" s="42">
        <f>IF($C1877="","",IFERROR(INDEX(DESPACHOS!$D$3:$D$3002,MATCH($C1877,DESPACHOS!$B$3:$B$3002,0)),"SIN DESPACHO"))</f>
        <v/>
      </c>
      <c r="E1877" s="42">
        <f>IF($C1877="","",IFERROR(INDEX(DESPACHOS!$K$3:$K$3002,MATCH($C1877,DESPACHOS!$B$3:$B$3002,0)),""))</f>
        <v/>
      </c>
      <c r="F1877" s="42">
        <f>IF($C1877="","",IFERROR(INDEX(DESPACHOS!$I$3:$I$3002,MATCH($C1877,DESPACHOS!$B$3:$B$3002,0)),""))</f>
        <v/>
      </c>
      <c r="G1877" s="42">
        <f>IF($C1877="","",IFERROR(INDEX(DESPACHOS!$F$3:$F$3002,MATCH($C1877,DESPACHOS!$B$3:$B$3002,0)),""))</f>
        <v/>
      </c>
      <c r="H1877" s="42">
        <f>IF($C1877="","",IFERROR(INDEX(DESPACHOS!$G$3:$G$3002,MATCH($C1877,DESPACHOS!$B$3:$B$3002,0)),""))</f>
        <v/>
      </c>
      <c r="I1877" s="39">
        <f>IF($C1877="","",IFERROR(INDEX(DESPACHOS!$H$3:$H$3002,MATCH($C1877,DESPACHOS!$B$3:$B$3002,0)),""))</f>
        <v/>
      </c>
      <c r="J1877" s="43">
        <f>IF($C1877="","",IFERROR(INDEX(DESPACHOS!$J$3:$J$3002,MATCH($C1877,DESPACHOS!$B$3:$B$3002,0)),""))</f>
        <v/>
      </c>
      <c r="K1877" s="39">
        <f>IF($C1877="","",IF(COUNTIFS(DESPACHOS!$B$3:$B$3002,$C1877)=0,"NO EXISTE",IF(COUNTIFS(DESPACHOS!$B$3:$B$3002,$C1877)&gt;1,"DUPLICADO","OK")))</f>
        <v/>
      </c>
      <c r="L1877" s="41" t="n"/>
      <c r="M1877" s="41" t="n"/>
      <c r="N1877" s="42">
        <f>IF($M1877="","",IFERROR(INDEX(LISTAS!$F$3:$F$42,MATCH($M1877,LISTAS!$E$3:$E$42,0)),"Por definir"))</f>
        <v/>
      </c>
      <c r="O1877" s="41" t="n"/>
      <c r="P1877" s="39">
        <f>IF($L1877="","",IFERROR(INDEX(LISTAS!$B$3:$B$42,MATCH($L1877,LISTAS!$A$3:$A$42,0)),"Media"))</f>
        <v/>
      </c>
      <c r="Q1877" s="44" t="n"/>
      <c r="R1877" s="45" t="n"/>
      <c r="S1877" s="20">
        <f>IFERROR(IF(OR($R1877="",$C1877=""),"",$R1877/INDEX(DESPACHOS!$M$3:$M$3002,MATCH($C1877,DESPACHOS!$B$3:$B$3002,0))),"")</f>
        <v/>
      </c>
      <c r="T1877" s="41" t="n"/>
      <c r="U1877" s="43">
        <f>IF(OR($B1877="",$L1877=""),"",WORKDAY($B1877,IFERROR(INDEX(LISTAS!$C$3:$C$42,MATCH($L1877,LISTAS!$A$3:$A$42,0)),3)))</f>
        <v/>
      </c>
      <c r="V1877" s="40" t="n"/>
      <c r="W1877" s="19">
        <f>IF($B1877="","",IF($V1877&lt;&gt;"",$V1877-$B1877,TODAY()-$B1877))</f>
        <v/>
      </c>
      <c r="X1877" s="19">
        <f>IF(OR($B1877="",$U1877=""),"",IF($V1877&lt;&gt;"",MAX(0,$V1877-$U1877),MAX(0,TODAY()-$U1877)))</f>
        <v/>
      </c>
      <c r="Y1877" s="39">
        <f>IF($C1877="","",IF(IFERROR(INDEX(LISTAS!$I$3:$I$42,MATCH($T1877,LISTAS!$H$3:$H$42,0)),"NO")="SÍ",IF(N($X1877)&gt;0,"CERRADA FUERA DE SLA","CERRADA EN SLA"),IF($U1877="","SIN CLASIFICAR",IF(N($X1877)&gt;0,"VENCIDA",IF(TODAY()&gt;=$U1877-1,"POR VENCER","EN PLAZO")))))</f>
        <v/>
      </c>
      <c r="Z1877" s="41" t="n"/>
      <c r="AA1877" s="41" t="n"/>
      <c r="AB1877" s="41" t="n"/>
    </row>
    <row r="1878">
      <c r="A1878" s="39">
        <f>IF($C1878="","","NOV-"&amp;TEXT(ROW()-3,"0000"))</f>
        <v/>
      </c>
      <c r="B1878" s="40" t="n"/>
      <c r="C1878" s="41" t="n"/>
      <c r="D1878" s="42">
        <f>IF($C1878="","",IFERROR(INDEX(DESPACHOS!$D$3:$D$3002,MATCH($C1878,DESPACHOS!$B$3:$B$3002,0)),"SIN DESPACHO"))</f>
        <v/>
      </c>
      <c r="E1878" s="42">
        <f>IF($C1878="","",IFERROR(INDEX(DESPACHOS!$K$3:$K$3002,MATCH($C1878,DESPACHOS!$B$3:$B$3002,0)),""))</f>
        <v/>
      </c>
      <c r="F1878" s="42">
        <f>IF($C1878="","",IFERROR(INDEX(DESPACHOS!$I$3:$I$3002,MATCH($C1878,DESPACHOS!$B$3:$B$3002,0)),""))</f>
        <v/>
      </c>
      <c r="G1878" s="42">
        <f>IF($C1878="","",IFERROR(INDEX(DESPACHOS!$F$3:$F$3002,MATCH($C1878,DESPACHOS!$B$3:$B$3002,0)),""))</f>
        <v/>
      </c>
      <c r="H1878" s="42">
        <f>IF($C1878="","",IFERROR(INDEX(DESPACHOS!$G$3:$G$3002,MATCH($C1878,DESPACHOS!$B$3:$B$3002,0)),""))</f>
        <v/>
      </c>
      <c r="I1878" s="39">
        <f>IF($C1878="","",IFERROR(INDEX(DESPACHOS!$H$3:$H$3002,MATCH($C1878,DESPACHOS!$B$3:$B$3002,0)),""))</f>
        <v/>
      </c>
      <c r="J1878" s="43">
        <f>IF($C1878="","",IFERROR(INDEX(DESPACHOS!$J$3:$J$3002,MATCH($C1878,DESPACHOS!$B$3:$B$3002,0)),""))</f>
        <v/>
      </c>
      <c r="K1878" s="39">
        <f>IF($C1878="","",IF(COUNTIFS(DESPACHOS!$B$3:$B$3002,$C1878)=0,"NO EXISTE",IF(COUNTIFS(DESPACHOS!$B$3:$B$3002,$C1878)&gt;1,"DUPLICADO","OK")))</f>
        <v/>
      </c>
      <c r="L1878" s="41" t="n"/>
      <c r="M1878" s="41" t="n"/>
      <c r="N1878" s="42">
        <f>IF($M1878="","",IFERROR(INDEX(LISTAS!$F$3:$F$42,MATCH($M1878,LISTAS!$E$3:$E$42,0)),"Por definir"))</f>
        <v/>
      </c>
      <c r="O1878" s="41" t="n"/>
      <c r="P1878" s="39">
        <f>IF($L1878="","",IFERROR(INDEX(LISTAS!$B$3:$B$42,MATCH($L1878,LISTAS!$A$3:$A$42,0)),"Media"))</f>
        <v/>
      </c>
      <c r="Q1878" s="44" t="n"/>
      <c r="R1878" s="45" t="n"/>
      <c r="S1878" s="20">
        <f>IFERROR(IF(OR($R1878="",$C1878=""),"",$R1878/INDEX(DESPACHOS!$M$3:$M$3002,MATCH($C1878,DESPACHOS!$B$3:$B$3002,0))),"")</f>
        <v/>
      </c>
      <c r="T1878" s="41" t="n"/>
      <c r="U1878" s="43">
        <f>IF(OR($B1878="",$L1878=""),"",WORKDAY($B1878,IFERROR(INDEX(LISTAS!$C$3:$C$42,MATCH($L1878,LISTAS!$A$3:$A$42,0)),3)))</f>
        <v/>
      </c>
      <c r="V1878" s="40" t="n"/>
      <c r="W1878" s="19">
        <f>IF($B1878="","",IF($V1878&lt;&gt;"",$V1878-$B1878,TODAY()-$B1878))</f>
        <v/>
      </c>
      <c r="X1878" s="19">
        <f>IF(OR($B1878="",$U1878=""),"",IF($V1878&lt;&gt;"",MAX(0,$V1878-$U1878),MAX(0,TODAY()-$U1878)))</f>
        <v/>
      </c>
      <c r="Y1878" s="39">
        <f>IF($C1878="","",IF(IFERROR(INDEX(LISTAS!$I$3:$I$42,MATCH($T1878,LISTAS!$H$3:$H$42,0)),"NO")="SÍ",IF(N($X1878)&gt;0,"CERRADA FUERA DE SLA","CERRADA EN SLA"),IF($U1878="","SIN CLASIFICAR",IF(N($X1878)&gt;0,"VENCIDA",IF(TODAY()&gt;=$U1878-1,"POR VENCER","EN PLAZO")))))</f>
        <v/>
      </c>
      <c r="Z1878" s="41" t="n"/>
      <c r="AA1878" s="41" t="n"/>
      <c r="AB1878" s="41" t="n"/>
    </row>
    <row r="1879">
      <c r="A1879" s="39">
        <f>IF($C1879="","","NOV-"&amp;TEXT(ROW()-3,"0000"))</f>
        <v/>
      </c>
      <c r="B1879" s="40" t="n"/>
      <c r="C1879" s="41" t="n"/>
      <c r="D1879" s="42">
        <f>IF($C1879="","",IFERROR(INDEX(DESPACHOS!$D$3:$D$3002,MATCH($C1879,DESPACHOS!$B$3:$B$3002,0)),"SIN DESPACHO"))</f>
        <v/>
      </c>
      <c r="E1879" s="42">
        <f>IF($C1879="","",IFERROR(INDEX(DESPACHOS!$K$3:$K$3002,MATCH($C1879,DESPACHOS!$B$3:$B$3002,0)),""))</f>
        <v/>
      </c>
      <c r="F1879" s="42">
        <f>IF($C1879="","",IFERROR(INDEX(DESPACHOS!$I$3:$I$3002,MATCH($C1879,DESPACHOS!$B$3:$B$3002,0)),""))</f>
        <v/>
      </c>
      <c r="G1879" s="42">
        <f>IF($C1879="","",IFERROR(INDEX(DESPACHOS!$F$3:$F$3002,MATCH($C1879,DESPACHOS!$B$3:$B$3002,0)),""))</f>
        <v/>
      </c>
      <c r="H1879" s="42">
        <f>IF($C1879="","",IFERROR(INDEX(DESPACHOS!$G$3:$G$3002,MATCH($C1879,DESPACHOS!$B$3:$B$3002,0)),""))</f>
        <v/>
      </c>
      <c r="I1879" s="39">
        <f>IF($C1879="","",IFERROR(INDEX(DESPACHOS!$H$3:$H$3002,MATCH($C1879,DESPACHOS!$B$3:$B$3002,0)),""))</f>
        <v/>
      </c>
      <c r="J1879" s="43">
        <f>IF($C1879="","",IFERROR(INDEX(DESPACHOS!$J$3:$J$3002,MATCH($C1879,DESPACHOS!$B$3:$B$3002,0)),""))</f>
        <v/>
      </c>
      <c r="K1879" s="39">
        <f>IF($C1879="","",IF(COUNTIFS(DESPACHOS!$B$3:$B$3002,$C1879)=0,"NO EXISTE",IF(COUNTIFS(DESPACHOS!$B$3:$B$3002,$C1879)&gt;1,"DUPLICADO","OK")))</f>
        <v/>
      </c>
      <c r="L1879" s="41" t="n"/>
      <c r="M1879" s="41" t="n"/>
      <c r="N1879" s="42">
        <f>IF($M1879="","",IFERROR(INDEX(LISTAS!$F$3:$F$42,MATCH($M1879,LISTAS!$E$3:$E$42,0)),"Por definir"))</f>
        <v/>
      </c>
      <c r="O1879" s="41" t="n"/>
      <c r="P1879" s="39">
        <f>IF($L1879="","",IFERROR(INDEX(LISTAS!$B$3:$B$42,MATCH($L1879,LISTAS!$A$3:$A$42,0)),"Media"))</f>
        <v/>
      </c>
      <c r="Q1879" s="44" t="n"/>
      <c r="R1879" s="45" t="n"/>
      <c r="S1879" s="20">
        <f>IFERROR(IF(OR($R1879="",$C1879=""),"",$R1879/INDEX(DESPACHOS!$M$3:$M$3002,MATCH($C1879,DESPACHOS!$B$3:$B$3002,0))),"")</f>
        <v/>
      </c>
      <c r="T1879" s="41" t="n"/>
      <c r="U1879" s="43">
        <f>IF(OR($B1879="",$L1879=""),"",WORKDAY($B1879,IFERROR(INDEX(LISTAS!$C$3:$C$42,MATCH($L1879,LISTAS!$A$3:$A$42,0)),3)))</f>
        <v/>
      </c>
      <c r="V1879" s="40" t="n"/>
      <c r="W1879" s="19">
        <f>IF($B1879="","",IF($V1879&lt;&gt;"",$V1879-$B1879,TODAY()-$B1879))</f>
        <v/>
      </c>
      <c r="X1879" s="19">
        <f>IF(OR($B1879="",$U1879=""),"",IF($V1879&lt;&gt;"",MAX(0,$V1879-$U1879),MAX(0,TODAY()-$U1879)))</f>
        <v/>
      </c>
      <c r="Y1879" s="39">
        <f>IF($C1879="","",IF(IFERROR(INDEX(LISTAS!$I$3:$I$42,MATCH($T1879,LISTAS!$H$3:$H$42,0)),"NO")="SÍ",IF(N($X1879)&gt;0,"CERRADA FUERA DE SLA","CERRADA EN SLA"),IF($U1879="","SIN CLASIFICAR",IF(N($X1879)&gt;0,"VENCIDA",IF(TODAY()&gt;=$U1879-1,"POR VENCER","EN PLAZO")))))</f>
        <v/>
      </c>
      <c r="Z1879" s="41" t="n"/>
      <c r="AA1879" s="41" t="n"/>
      <c r="AB1879" s="41" t="n"/>
    </row>
    <row r="1880">
      <c r="A1880" s="39">
        <f>IF($C1880="","","NOV-"&amp;TEXT(ROW()-3,"0000"))</f>
        <v/>
      </c>
      <c r="B1880" s="40" t="n"/>
      <c r="C1880" s="41" t="n"/>
      <c r="D1880" s="42">
        <f>IF($C1880="","",IFERROR(INDEX(DESPACHOS!$D$3:$D$3002,MATCH($C1880,DESPACHOS!$B$3:$B$3002,0)),"SIN DESPACHO"))</f>
        <v/>
      </c>
      <c r="E1880" s="42">
        <f>IF($C1880="","",IFERROR(INDEX(DESPACHOS!$K$3:$K$3002,MATCH($C1880,DESPACHOS!$B$3:$B$3002,0)),""))</f>
        <v/>
      </c>
      <c r="F1880" s="42">
        <f>IF($C1880="","",IFERROR(INDEX(DESPACHOS!$I$3:$I$3002,MATCH($C1880,DESPACHOS!$B$3:$B$3002,0)),""))</f>
        <v/>
      </c>
      <c r="G1880" s="42">
        <f>IF($C1880="","",IFERROR(INDEX(DESPACHOS!$F$3:$F$3002,MATCH($C1880,DESPACHOS!$B$3:$B$3002,0)),""))</f>
        <v/>
      </c>
      <c r="H1880" s="42">
        <f>IF($C1880="","",IFERROR(INDEX(DESPACHOS!$G$3:$G$3002,MATCH($C1880,DESPACHOS!$B$3:$B$3002,0)),""))</f>
        <v/>
      </c>
      <c r="I1880" s="39">
        <f>IF($C1880="","",IFERROR(INDEX(DESPACHOS!$H$3:$H$3002,MATCH($C1880,DESPACHOS!$B$3:$B$3002,0)),""))</f>
        <v/>
      </c>
      <c r="J1880" s="43">
        <f>IF($C1880="","",IFERROR(INDEX(DESPACHOS!$J$3:$J$3002,MATCH($C1880,DESPACHOS!$B$3:$B$3002,0)),""))</f>
        <v/>
      </c>
      <c r="K1880" s="39">
        <f>IF($C1880="","",IF(COUNTIFS(DESPACHOS!$B$3:$B$3002,$C1880)=0,"NO EXISTE",IF(COUNTIFS(DESPACHOS!$B$3:$B$3002,$C1880)&gt;1,"DUPLICADO","OK")))</f>
        <v/>
      </c>
      <c r="L1880" s="41" t="n"/>
      <c r="M1880" s="41" t="n"/>
      <c r="N1880" s="42">
        <f>IF($M1880="","",IFERROR(INDEX(LISTAS!$F$3:$F$42,MATCH($M1880,LISTAS!$E$3:$E$42,0)),"Por definir"))</f>
        <v/>
      </c>
      <c r="O1880" s="41" t="n"/>
      <c r="P1880" s="39">
        <f>IF($L1880="","",IFERROR(INDEX(LISTAS!$B$3:$B$42,MATCH($L1880,LISTAS!$A$3:$A$42,0)),"Media"))</f>
        <v/>
      </c>
      <c r="Q1880" s="44" t="n"/>
      <c r="R1880" s="45" t="n"/>
      <c r="S1880" s="20">
        <f>IFERROR(IF(OR($R1880="",$C1880=""),"",$R1880/INDEX(DESPACHOS!$M$3:$M$3002,MATCH($C1880,DESPACHOS!$B$3:$B$3002,0))),"")</f>
        <v/>
      </c>
      <c r="T1880" s="41" t="n"/>
      <c r="U1880" s="43">
        <f>IF(OR($B1880="",$L1880=""),"",WORKDAY($B1880,IFERROR(INDEX(LISTAS!$C$3:$C$42,MATCH($L1880,LISTAS!$A$3:$A$42,0)),3)))</f>
        <v/>
      </c>
      <c r="V1880" s="40" t="n"/>
      <c r="W1880" s="19">
        <f>IF($B1880="","",IF($V1880&lt;&gt;"",$V1880-$B1880,TODAY()-$B1880))</f>
        <v/>
      </c>
      <c r="X1880" s="19">
        <f>IF(OR($B1880="",$U1880=""),"",IF($V1880&lt;&gt;"",MAX(0,$V1880-$U1880),MAX(0,TODAY()-$U1880)))</f>
        <v/>
      </c>
      <c r="Y1880" s="39">
        <f>IF($C1880="","",IF(IFERROR(INDEX(LISTAS!$I$3:$I$42,MATCH($T1880,LISTAS!$H$3:$H$42,0)),"NO")="SÍ",IF(N($X1880)&gt;0,"CERRADA FUERA DE SLA","CERRADA EN SLA"),IF($U1880="","SIN CLASIFICAR",IF(N($X1880)&gt;0,"VENCIDA",IF(TODAY()&gt;=$U1880-1,"POR VENCER","EN PLAZO")))))</f>
        <v/>
      </c>
      <c r="Z1880" s="41" t="n"/>
      <c r="AA1880" s="41" t="n"/>
      <c r="AB1880" s="41" t="n"/>
    </row>
    <row r="1881">
      <c r="A1881" s="39">
        <f>IF($C1881="","","NOV-"&amp;TEXT(ROW()-3,"0000"))</f>
        <v/>
      </c>
      <c r="B1881" s="40" t="n"/>
      <c r="C1881" s="41" t="n"/>
      <c r="D1881" s="42">
        <f>IF($C1881="","",IFERROR(INDEX(DESPACHOS!$D$3:$D$3002,MATCH($C1881,DESPACHOS!$B$3:$B$3002,0)),"SIN DESPACHO"))</f>
        <v/>
      </c>
      <c r="E1881" s="42">
        <f>IF($C1881="","",IFERROR(INDEX(DESPACHOS!$K$3:$K$3002,MATCH($C1881,DESPACHOS!$B$3:$B$3002,0)),""))</f>
        <v/>
      </c>
      <c r="F1881" s="42">
        <f>IF($C1881="","",IFERROR(INDEX(DESPACHOS!$I$3:$I$3002,MATCH($C1881,DESPACHOS!$B$3:$B$3002,0)),""))</f>
        <v/>
      </c>
      <c r="G1881" s="42">
        <f>IF($C1881="","",IFERROR(INDEX(DESPACHOS!$F$3:$F$3002,MATCH($C1881,DESPACHOS!$B$3:$B$3002,0)),""))</f>
        <v/>
      </c>
      <c r="H1881" s="42">
        <f>IF($C1881="","",IFERROR(INDEX(DESPACHOS!$G$3:$G$3002,MATCH($C1881,DESPACHOS!$B$3:$B$3002,0)),""))</f>
        <v/>
      </c>
      <c r="I1881" s="39">
        <f>IF($C1881="","",IFERROR(INDEX(DESPACHOS!$H$3:$H$3002,MATCH($C1881,DESPACHOS!$B$3:$B$3002,0)),""))</f>
        <v/>
      </c>
      <c r="J1881" s="43">
        <f>IF($C1881="","",IFERROR(INDEX(DESPACHOS!$J$3:$J$3002,MATCH($C1881,DESPACHOS!$B$3:$B$3002,0)),""))</f>
        <v/>
      </c>
      <c r="K1881" s="39">
        <f>IF($C1881="","",IF(COUNTIFS(DESPACHOS!$B$3:$B$3002,$C1881)=0,"NO EXISTE",IF(COUNTIFS(DESPACHOS!$B$3:$B$3002,$C1881)&gt;1,"DUPLICADO","OK")))</f>
        <v/>
      </c>
      <c r="L1881" s="41" t="n"/>
      <c r="M1881" s="41" t="n"/>
      <c r="N1881" s="42">
        <f>IF($M1881="","",IFERROR(INDEX(LISTAS!$F$3:$F$42,MATCH($M1881,LISTAS!$E$3:$E$42,0)),"Por definir"))</f>
        <v/>
      </c>
      <c r="O1881" s="41" t="n"/>
      <c r="P1881" s="39">
        <f>IF($L1881="","",IFERROR(INDEX(LISTAS!$B$3:$B$42,MATCH($L1881,LISTAS!$A$3:$A$42,0)),"Media"))</f>
        <v/>
      </c>
      <c r="Q1881" s="44" t="n"/>
      <c r="R1881" s="45" t="n"/>
      <c r="S1881" s="20">
        <f>IFERROR(IF(OR($R1881="",$C1881=""),"",$R1881/INDEX(DESPACHOS!$M$3:$M$3002,MATCH($C1881,DESPACHOS!$B$3:$B$3002,0))),"")</f>
        <v/>
      </c>
      <c r="T1881" s="41" t="n"/>
      <c r="U1881" s="43">
        <f>IF(OR($B1881="",$L1881=""),"",WORKDAY($B1881,IFERROR(INDEX(LISTAS!$C$3:$C$42,MATCH($L1881,LISTAS!$A$3:$A$42,0)),3)))</f>
        <v/>
      </c>
      <c r="V1881" s="40" t="n"/>
      <c r="W1881" s="19">
        <f>IF($B1881="","",IF($V1881&lt;&gt;"",$V1881-$B1881,TODAY()-$B1881))</f>
        <v/>
      </c>
      <c r="X1881" s="19">
        <f>IF(OR($B1881="",$U1881=""),"",IF($V1881&lt;&gt;"",MAX(0,$V1881-$U1881),MAX(0,TODAY()-$U1881)))</f>
        <v/>
      </c>
      <c r="Y1881" s="39">
        <f>IF($C1881="","",IF(IFERROR(INDEX(LISTAS!$I$3:$I$42,MATCH($T1881,LISTAS!$H$3:$H$42,0)),"NO")="SÍ",IF(N($X1881)&gt;0,"CERRADA FUERA DE SLA","CERRADA EN SLA"),IF($U1881="","SIN CLASIFICAR",IF(N($X1881)&gt;0,"VENCIDA",IF(TODAY()&gt;=$U1881-1,"POR VENCER","EN PLAZO")))))</f>
        <v/>
      </c>
      <c r="Z1881" s="41" t="n"/>
      <c r="AA1881" s="41" t="n"/>
      <c r="AB1881" s="41" t="n"/>
    </row>
    <row r="1882">
      <c r="A1882" s="39">
        <f>IF($C1882="","","NOV-"&amp;TEXT(ROW()-3,"0000"))</f>
        <v/>
      </c>
      <c r="B1882" s="40" t="n"/>
      <c r="C1882" s="41" t="n"/>
      <c r="D1882" s="42">
        <f>IF($C1882="","",IFERROR(INDEX(DESPACHOS!$D$3:$D$3002,MATCH($C1882,DESPACHOS!$B$3:$B$3002,0)),"SIN DESPACHO"))</f>
        <v/>
      </c>
      <c r="E1882" s="42">
        <f>IF($C1882="","",IFERROR(INDEX(DESPACHOS!$K$3:$K$3002,MATCH($C1882,DESPACHOS!$B$3:$B$3002,0)),""))</f>
        <v/>
      </c>
      <c r="F1882" s="42">
        <f>IF($C1882="","",IFERROR(INDEX(DESPACHOS!$I$3:$I$3002,MATCH($C1882,DESPACHOS!$B$3:$B$3002,0)),""))</f>
        <v/>
      </c>
      <c r="G1882" s="42">
        <f>IF($C1882="","",IFERROR(INDEX(DESPACHOS!$F$3:$F$3002,MATCH($C1882,DESPACHOS!$B$3:$B$3002,0)),""))</f>
        <v/>
      </c>
      <c r="H1882" s="42">
        <f>IF($C1882="","",IFERROR(INDEX(DESPACHOS!$G$3:$G$3002,MATCH($C1882,DESPACHOS!$B$3:$B$3002,0)),""))</f>
        <v/>
      </c>
      <c r="I1882" s="39">
        <f>IF($C1882="","",IFERROR(INDEX(DESPACHOS!$H$3:$H$3002,MATCH($C1882,DESPACHOS!$B$3:$B$3002,0)),""))</f>
        <v/>
      </c>
      <c r="J1882" s="43">
        <f>IF($C1882="","",IFERROR(INDEX(DESPACHOS!$J$3:$J$3002,MATCH($C1882,DESPACHOS!$B$3:$B$3002,0)),""))</f>
        <v/>
      </c>
      <c r="K1882" s="39">
        <f>IF($C1882="","",IF(COUNTIFS(DESPACHOS!$B$3:$B$3002,$C1882)=0,"NO EXISTE",IF(COUNTIFS(DESPACHOS!$B$3:$B$3002,$C1882)&gt;1,"DUPLICADO","OK")))</f>
        <v/>
      </c>
      <c r="L1882" s="41" t="n"/>
      <c r="M1882" s="41" t="n"/>
      <c r="N1882" s="42">
        <f>IF($M1882="","",IFERROR(INDEX(LISTAS!$F$3:$F$42,MATCH($M1882,LISTAS!$E$3:$E$42,0)),"Por definir"))</f>
        <v/>
      </c>
      <c r="O1882" s="41" t="n"/>
      <c r="P1882" s="39">
        <f>IF($L1882="","",IFERROR(INDEX(LISTAS!$B$3:$B$42,MATCH($L1882,LISTAS!$A$3:$A$42,0)),"Media"))</f>
        <v/>
      </c>
      <c r="Q1882" s="44" t="n"/>
      <c r="R1882" s="45" t="n"/>
      <c r="S1882" s="20">
        <f>IFERROR(IF(OR($R1882="",$C1882=""),"",$R1882/INDEX(DESPACHOS!$M$3:$M$3002,MATCH($C1882,DESPACHOS!$B$3:$B$3002,0))),"")</f>
        <v/>
      </c>
      <c r="T1882" s="41" t="n"/>
      <c r="U1882" s="43">
        <f>IF(OR($B1882="",$L1882=""),"",WORKDAY($B1882,IFERROR(INDEX(LISTAS!$C$3:$C$42,MATCH($L1882,LISTAS!$A$3:$A$42,0)),3)))</f>
        <v/>
      </c>
      <c r="V1882" s="40" t="n"/>
      <c r="W1882" s="19">
        <f>IF($B1882="","",IF($V1882&lt;&gt;"",$V1882-$B1882,TODAY()-$B1882))</f>
        <v/>
      </c>
      <c r="X1882" s="19">
        <f>IF(OR($B1882="",$U1882=""),"",IF($V1882&lt;&gt;"",MAX(0,$V1882-$U1882),MAX(0,TODAY()-$U1882)))</f>
        <v/>
      </c>
      <c r="Y1882" s="39">
        <f>IF($C1882="","",IF(IFERROR(INDEX(LISTAS!$I$3:$I$42,MATCH($T1882,LISTAS!$H$3:$H$42,0)),"NO")="SÍ",IF(N($X1882)&gt;0,"CERRADA FUERA DE SLA","CERRADA EN SLA"),IF($U1882="","SIN CLASIFICAR",IF(N($X1882)&gt;0,"VENCIDA",IF(TODAY()&gt;=$U1882-1,"POR VENCER","EN PLAZO")))))</f>
        <v/>
      </c>
      <c r="Z1882" s="41" t="n"/>
      <c r="AA1882" s="41" t="n"/>
      <c r="AB1882" s="41" t="n"/>
    </row>
    <row r="1883">
      <c r="A1883" s="39">
        <f>IF($C1883="","","NOV-"&amp;TEXT(ROW()-3,"0000"))</f>
        <v/>
      </c>
      <c r="B1883" s="40" t="n"/>
      <c r="C1883" s="41" t="n"/>
      <c r="D1883" s="42">
        <f>IF($C1883="","",IFERROR(INDEX(DESPACHOS!$D$3:$D$3002,MATCH($C1883,DESPACHOS!$B$3:$B$3002,0)),"SIN DESPACHO"))</f>
        <v/>
      </c>
      <c r="E1883" s="42">
        <f>IF($C1883="","",IFERROR(INDEX(DESPACHOS!$K$3:$K$3002,MATCH($C1883,DESPACHOS!$B$3:$B$3002,0)),""))</f>
        <v/>
      </c>
      <c r="F1883" s="42">
        <f>IF($C1883="","",IFERROR(INDEX(DESPACHOS!$I$3:$I$3002,MATCH($C1883,DESPACHOS!$B$3:$B$3002,0)),""))</f>
        <v/>
      </c>
      <c r="G1883" s="42">
        <f>IF($C1883="","",IFERROR(INDEX(DESPACHOS!$F$3:$F$3002,MATCH($C1883,DESPACHOS!$B$3:$B$3002,0)),""))</f>
        <v/>
      </c>
      <c r="H1883" s="42">
        <f>IF($C1883="","",IFERROR(INDEX(DESPACHOS!$G$3:$G$3002,MATCH($C1883,DESPACHOS!$B$3:$B$3002,0)),""))</f>
        <v/>
      </c>
      <c r="I1883" s="39">
        <f>IF($C1883="","",IFERROR(INDEX(DESPACHOS!$H$3:$H$3002,MATCH($C1883,DESPACHOS!$B$3:$B$3002,0)),""))</f>
        <v/>
      </c>
      <c r="J1883" s="43">
        <f>IF($C1883="","",IFERROR(INDEX(DESPACHOS!$J$3:$J$3002,MATCH($C1883,DESPACHOS!$B$3:$B$3002,0)),""))</f>
        <v/>
      </c>
      <c r="K1883" s="39">
        <f>IF($C1883="","",IF(COUNTIFS(DESPACHOS!$B$3:$B$3002,$C1883)=0,"NO EXISTE",IF(COUNTIFS(DESPACHOS!$B$3:$B$3002,$C1883)&gt;1,"DUPLICADO","OK")))</f>
        <v/>
      </c>
      <c r="L1883" s="41" t="n"/>
      <c r="M1883" s="41" t="n"/>
      <c r="N1883" s="42">
        <f>IF($M1883="","",IFERROR(INDEX(LISTAS!$F$3:$F$42,MATCH($M1883,LISTAS!$E$3:$E$42,0)),"Por definir"))</f>
        <v/>
      </c>
      <c r="O1883" s="41" t="n"/>
      <c r="P1883" s="39">
        <f>IF($L1883="","",IFERROR(INDEX(LISTAS!$B$3:$B$42,MATCH($L1883,LISTAS!$A$3:$A$42,0)),"Media"))</f>
        <v/>
      </c>
      <c r="Q1883" s="44" t="n"/>
      <c r="R1883" s="45" t="n"/>
      <c r="S1883" s="20">
        <f>IFERROR(IF(OR($R1883="",$C1883=""),"",$R1883/INDEX(DESPACHOS!$M$3:$M$3002,MATCH($C1883,DESPACHOS!$B$3:$B$3002,0))),"")</f>
        <v/>
      </c>
      <c r="T1883" s="41" t="n"/>
      <c r="U1883" s="43">
        <f>IF(OR($B1883="",$L1883=""),"",WORKDAY($B1883,IFERROR(INDEX(LISTAS!$C$3:$C$42,MATCH($L1883,LISTAS!$A$3:$A$42,0)),3)))</f>
        <v/>
      </c>
      <c r="V1883" s="40" t="n"/>
      <c r="W1883" s="19">
        <f>IF($B1883="","",IF($V1883&lt;&gt;"",$V1883-$B1883,TODAY()-$B1883))</f>
        <v/>
      </c>
      <c r="X1883" s="19">
        <f>IF(OR($B1883="",$U1883=""),"",IF($V1883&lt;&gt;"",MAX(0,$V1883-$U1883),MAX(0,TODAY()-$U1883)))</f>
        <v/>
      </c>
      <c r="Y1883" s="39">
        <f>IF($C1883="","",IF(IFERROR(INDEX(LISTAS!$I$3:$I$42,MATCH($T1883,LISTAS!$H$3:$H$42,0)),"NO")="SÍ",IF(N($X1883)&gt;0,"CERRADA FUERA DE SLA","CERRADA EN SLA"),IF($U1883="","SIN CLASIFICAR",IF(N($X1883)&gt;0,"VENCIDA",IF(TODAY()&gt;=$U1883-1,"POR VENCER","EN PLAZO")))))</f>
        <v/>
      </c>
      <c r="Z1883" s="41" t="n"/>
      <c r="AA1883" s="41" t="n"/>
      <c r="AB1883" s="41" t="n"/>
    </row>
    <row r="1884">
      <c r="A1884" s="39">
        <f>IF($C1884="","","NOV-"&amp;TEXT(ROW()-3,"0000"))</f>
        <v/>
      </c>
      <c r="B1884" s="40" t="n"/>
      <c r="C1884" s="41" t="n"/>
      <c r="D1884" s="42">
        <f>IF($C1884="","",IFERROR(INDEX(DESPACHOS!$D$3:$D$3002,MATCH($C1884,DESPACHOS!$B$3:$B$3002,0)),"SIN DESPACHO"))</f>
        <v/>
      </c>
      <c r="E1884" s="42">
        <f>IF($C1884="","",IFERROR(INDEX(DESPACHOS!$K$3:$K$3002,MATCH($C1884,DESPACHOS!$B$3:$B$3002,0)),""))</f>
        <v/>
      </c>
      <c r="F1884" s="42">
        <f>IF($C1884="","",IFERROR(INDEX(DESPACHOS!$I$3:$I$3002,MATCH($C1884,DESPACHOS!$B$3:$B$3002,0)),""))</f>
        <v/>
      </c>
      <c r="G1884" s="42">
        <f>IF($C1884="","",IFERROR(INDEX(DESPACHOS!$F$3:$F$3002,MATCH($C1884,DESPACHOS!$B$3:$B$3002,0)),""))</f>
        <v/>
      </c>
      <c r="H1884" s="42">
        <f>IF($C1884="","",IFERROR(INDEX(DESPACHOS!$G$3:$G$3002,MATCH($C1884,DESPACHOS!$B$3:$B$3002,0)),""))</f>
        <v/>
      </c>
      <c r="I1884" s="39">
        <f>IF($C1884="","",IFERROR(INDEX(DESPACHOS!$H$3:$H$3002,MATCH($C1884,DESPACHOS!$B$3:$B$3002,0)),""))</f>
        <v/>
      </c>
      <c r="J1884" s="43">
        <f>IF($C1884="","",IFERROR(INDEX(DESPACHOS!$J$3:$J$3002,MATCH($C1884,DESPACHOS!$B$3:$B$3002,0)),""))</f>
        <v/>
      </c>
      <c r="K1884" s="39">
        <f>IF($C1884="","",IF(COUNTIFS(DESPACHOS!$B$3:$B$3002,$C1884)=0,"NO EXISTE",IF(COUNTIFS(DESPACHOS!$B$3:$B$3002,$C1884)&gt;1,"DUPLICADO","OK")))</f>
        <v/>
      </c>
      <c r="L1884" s="41" t="n"/>
      <c r="M1884" s="41" t="n"/>
      <c r="N1884" s="42">
        <f>IF($M1884="","",IFERROR(INDEX(LISTAS!$F$3:$F$42,MATCH($M1884,LISTAS!$E$3:$E$42,0)),"Por definir"))</f>
        <v/>
      </c>
      <c r="O1884" s="41" t="n"/>
      <c r="P1884" s="39">
        <f>IF($L1884="","",IFERROR(INDEX(LISTAS!$B$3:$B$42,MATCH($L1884,LISTAS!$A$3:$A$42,0)),"Media"))</f>
        <v/>
      </c>
      <c r="Q1884" s="44" t="n"/>
      <c r="R1884" s="45" t="n"/>
      <c r="S1884" s="20">
        <f>IFERROR(IF(OR($R1884="",$C1884=""),"",$R1884/INDEX(DESPACHOS!$M$3:$M$3002,MATCH($C1884,DESPACHOS!$B$3:$B$3002,0))),"")</f>
        <v/>
      </c>
      <c r="T1884" s="41" t="n"/>
      <c r="U1884" s="43">
        <f>IF(OR($B1884="",$L1884=""),"",WORKDAY($B1884,IFERROR(INDEX(LISTAS!$C$3:$C$42,MATCH($L1884,LISTAS!$A$3:$A$42,0)),3)))</f>
        <v/>
      </c>
      <c r="V1884" s="40" t="n"/>
      <c r="W1884" s="19">
        <f>IF($B1884="","",IF($V1884&lt;&gt;"",$V1884-$B1884,TODAY()-$B1884))</f>
        <v/>
      </c>
      <c r="X1884" s="19">
        <f>IF(OR($B1884="",$U1884=""),"",IF($V1884&lt;&gt;"",MAX(0,$V1884-$U1884),MAX(0,TODAY()-$U1884)))</f>
        <v/>
      </c>
      <c r="Y1884" s="39">
        <f>IF($C1884="","",IF(IFERROR(INDEX(LISTAS!$I$3:$I$42,MATCH($T1884,LISTAS!$H$3:$H$42,0)),"NO")="SÍ",IF(N($X1884)&gt;0,"CERRADA FUERA DE SLA","CERRADA EN SLA"),IF($U1884="","SIN CLASIFICAR",IF(N($X1884)&gt;0,"VENCIDA",IF(TODAY()&gt;=$U1884-1,"POR VENCER","EN PLAZO")))))</f>
        <v/>
      </c>
      <c r="Z1884" s="41" t="n"/>
      <c r="AA1884" s="41" t="n"/>
      <c r="AB1884" s="41" t="n"/>
    </row>
    <row r="1885">
      <c r="A1885" s="39">
        <f>IF($C1885="","","NOV-"&amp;TEXT(ROW()-3,"0000"))</f>
        <v/>
      </c>
      <c r="B1885" s="40" t="n"/>
      <c r="C1885" s="41" t="n"/>
      <c r="D1885" s="42">
        <f>IF($C1885="","",IFERROR(INDEX(DESPACHOS!$D$3:$D$3002,MATCH($C1885,DESPACHOS!$B$3:$B$3002,0)),"SIN DESPACHO"))</f>
        <v/>
      </c>
      <c r="E1885" s="42">
        <f>IF($C1885="","",IFERROR(INDEX(DESPACHOS!$K$3:$K$3002,MATCH($C1885,DESPACHOS!$B$3:$B$3002,0)),""))</f>
        <v/>
      </c>
      <c r="F1885" s="42">
        <f>IF($C1885="","",IFERROR(INDEX(DESPACHOS!$I$3:$I$3002,MATCH($C1885,DESPACHOS!$B$3:$B$3002,0)),""))</f>
        <v/>
      </c>
      <c r="G1885" s="42">
        <f>IF($C1885="","",IFERROR(INDEX(DESPACHOS!$F$3:$F$3002,MATCH($C1885,DESPACHOS!$B$3:$B$3002,0)),""))</f>
        <v/>
      </c>
      <c r="H1885" s="42">
        <f>IF($C1885="","",IFERROR(INDEX(DESPACHOS!$G$3:$G$3002,MATCH($C1885,DESPACHOS!$B$3:$B$3002,0)),""))</f>
        <v/>
      </c>
      <c r="I1885" s="39">
        <f>IF($C1885="","",IFERROR(INDEX(DESPACHOS!$H$3:$H$3002,MATCH($C1885,DESPACHOS!$B$3:$B$3002,0)),""))</f>
        <v/>
      </c>
      <c r="J1885" s="43">
        <f>IF($C1885="","",IFERROR(INDEX(DESPACHOS!$J$3:$J$3002,MATCH($C1885,DESPACHOS!$B$3:$B$3002,0)),""))</f>
        <v/>
      </c>
      <c r="K1885" s="39">
        <f>IF($C1885="","",IF(COUNTIFS(DESPACHOS!$B$3:$B$3002,$C1885)=0,"NO EXISTE",IF(COUNTIFS(DESPACHOS!$B$3:$B$3002,$C1885)&gt;1,"DUPLICADO","OK")))</f>
        <v/>
      </c>
      <c r="L1885" s="41" t="n"/>
      <c r="M1885" s="41" t="n"/>
      <c r="N1885" s="42">
        <f>IF($M1885="","",IFERROR(INDEX(LISTAS!$F$3:$F$42,MATCH($M1885,LISTAS!$E$3:$E$42,0)),"Por definir"))</f>
        <v/>
      </c>
      <c r="O1885" s="41" t="n"/>
      <c r="P1885" s="39">
        <f>IF($L1885="","",IFERROR(INDEX(LISTAS!$B$3:$B$42,MATCH($L1885,LISTAS!$A$3:$A$42,0)),"Media"))</f>
        <v/>
      </c>
      <c r="Q1885" s="44" t="n"/>
      <c r="R1885" s="45" t="n"/>
      <c r="S1885" s="20">
        <f>IFERROR(IF(OR($R1885="",$C1885=""),"",$R1885/INDEX(DESPACHOS!$M$3:$M$3002,MATCH($C1885,DESPACHOS!$B$3:$B$3002,0))),"")</f>
        <v/>
      </c>
      <c r="T1885" s="41" t="n"/>
      <c r="U1885" s="43">
        <f>IF(OR($B1885="",$L1885=""),"",WORKDAY($B1885,IFERROR(INDEX(LISTAS!$C$3:$C$42,MATCH($L1885,LISTAS!$A$3:$A$42,0)),3)))</f>
        <v/>
      </c>
      <c r="V1885" s="40" t="n"/>
      <c r="W1885" s="19">
        <f>IF($B1885="","",IF($V1885&lt;&gt;"",$V1885-$B1885,TODAY()-$B1885))</f>
        <v/>
      </c>
      <c r="X1885" s="19">
        <f>IF(OR($B1885="",$U1885=""),"",IF($V1885&lt;&gt;"",MAX(0,$V1885-$U1885),MAX(0,TODAY()-$U1885)))</f>
        <v/>
      </c>
      <c r="Y1885" s="39">
        <f>IF($C1885="","",IF(IFERROR(INDEX(LISTAS!$I$3:$I$42,MATCH($T1885,LISTAS!$H$3:$H$42,0)),"NO")="SÍ",IF(N($X1885)&gt;0,"CERRADA FUERA DE SLA","CERRADA EN SLA"),IF($U1885="","SIN CLASIFICAR",IF(N($X1885)&gt;0,"VENCIDA",IF(TODAY()&gt;=$U1885-1,"POR VENCER","EN PLAZO")))))</f>
        <v/>
      </c>
      <c r="Z1885" s="41" t="n"/>
      <c r="AA1885" s="41" t="n"/>
      <c r="AB1885" s="41" t="n"/>
    </row>
    <row r="1886">
      <c r="A1886" s="39">
        <f>IF($C1886="","","NOV-"&amp;TEXT(ROW()-3,"0000"))</f>
        <v/>
      </c>
      <c r="B1886" s="40" t="n"/>
      <c r="C1886" s="41" t="n"/>
      <c r="D1886" s="42">
        <f>IF($C1886="","",IFERROR(INDEX(DESPACHOS!$D$3:$D$3002,MATCH($C1886,DESPACHOS!$B$3:$B$3002,0)),"SIN DESPACHO"))</f>
        <v/>
      </c>
      <c r="E1886" s="42">
        <f>IF($C1886="","",IFERROR(INDEX(DESPACHOS!$K$3:$K$3002,MATCH($C1886,DESPACHOS!$B$3:$B$3002,0)),""))</f>
        <v/>
      </c>
      <c r="F1886" s="42">
        <f>IF($C1886="","",IFERROR(INDEX(DESPACHOS!$I$3:$I$3002,MATCH($C1886,DESPACHOS!$B$3:$B$3002,0)),""))</f>
        <v/>
      </c>
      <c r="G1886" s="42">
        <f>IF($C1886="","",IFERROR(INDEX(DESPACHOS!$F$3:$F$3002,MATCH($C1886,DESPACHOS!$B$3:$B$3002,0)),""))</f>
        <v/>
      </c>
      <c r="H1886" s="42">
        <f>IF($C1886="","",IFERROR(INDEX(DESPACHOS!$G$3:$G$3002,MATCH($C1886,DESPACHOS!$B$3:$B$3002,0)),""))</f>
        <v/>
      </c>
      <c r="I1886" s="39">
        <f>IF($C1886="","",IFERROR(INDEX(DESPACHOS!$H$3:$H$3002,MATCH($C1886,DESPACHOS!$B$3:$B$3002,0)),""))</f>
        <v/>
      </c>
      <c r="J1886" s="43">
        <f>IF($C1886="","",IFERROR(INDEX(DESPACHOS!$J$3:$J$3002,MATCH($C1886,DESPACHOS!$B$3:$B$3002,0)),""))</f>
        <v/>
      </c>
      <c r="K1886" s="39">
        <f>IF($C1886="","",IF(COUNTIFS(DESPACHOS!$B$3:$B$3002,$C1886)=0,"NO EXISTE",IF(COUNTIFS(DESPACHOS!$B$3:$B$3002,$C1886)&gt;1,"DUPLICADO","OK")))</f>
        <v/>
      </c>
      <c r="L1886" s="41" t="n"/>
      <c r="M1886" s="41" t="n"/>
      <c r="N1886" s="42">
        <f>IF($M1886="","",IFERROR(INDEX(LISTAS!$F$3:$F$42,MATCH($M1886,LISTAS!$E$3:$E$42,0)),"Por definir"))</f>
        <v/>
      </c>
      <c r="O1886" s="41" t="n"/>
      <c r="P1886" s="39">
        <f>IF($L1886="","",IFERROR(INDEX(LISTAS!$B$3:$B$42,MATCH($L1886,LISTAS!$A$3:$A$42,0)),"Media"))</f>
        <v/>
      </c>
      <c r="Q1886" s="44" t="n"/>
      <c r="R1886" s="45" t="n"/>
      <c r="S1886" s="20">
        <f>IFERROR(IF(OR($R1886="",$C1886=""),"",$R1886/INDEX(DESPACHOS!$M$3:$M$3002,MATCH($C1886,DESPACHOS!$B$3:$B$3002,0))),"")</f>
        <v/>
      </c>
      <c r="T1886" s="41" t="n"/>
      <c r="U1886" s="43">
        <f>IF(OR($B1886="",$L1886=""),"",WORKDAY($B1886,IFERROR(INDEX(LISTAS!$C$3:$C$42,MATCH($L1886,LISTAS!$A$3:$A$42,0)),3)))</f>
        <v/>
      </c>
      <c r="V1886" s="40" t="n"/>
      <c r="W1886" s="19">
        <f>IF($B1886="","",IF($V1886&lt;&gt;"",$V1886-$B1886,TODAY()-$B1886))</f>
        <v/>
      </c>
      <c r="X1886" s="19">
        <f>IF(OR($B1886="",$U1886=""),"",IF($V1886&lt;&gt;"",MAX(0,$V1886-$U1886),MAX(0,TODAY()-$U1886)))</f>
        <v/>
      </c>
      <c r="Y1886" s="39">
        <f>IF($C1886="","",IF(IFERROR(INDEX(LISTAS!$I$3:$I$42,MATCH($T1886,LISTAS!$H$3:$H$42,0)),"NO")="SÍ",IF(N($X1886)&gt;0,"CERRADA FUERA DE SLA","CERRADA EN SLA"),IF($U1886="","SIN CLASIFICAR",IF(N($X1886)&gt;0,"VENCIDA",IF(TODAY()&gt;=$U1886-1,"POR VENCER","EN PLAZO")))))</f>
        <v/>
      </c>
      <c r="Z1886" s="41" t="n"/>
      <c r="AA1886" s="41" t="n"/>
      <c r="AB1886" s="41" t="n"/>
    </row>
    <row r="1887">
      <c r="A1887" s="39">
        <f>IF($C1887="","","NOV-"&amp;TEXT(ROW()-3,"0000"))</f>
        <v/>
      </c>
      <c r="B1887" s="40" t="n"/>
      <c r="C1887" s="41" t="n"/>
      <c r="D1887" s="42">
        <f>IF($C1887="","",IFERROR(INDEX(DESPACHOS!$D$3:$D$3002,MATCH($C1887,DESPACHOS!$B$3:$B$3002,0)),"SIN DESPACHO"))</f>
        <v/>
      </c>
      <c r="E1887" s="42">
        <f>IF($C1887="","",IFERROR(INDEX(DESPACHOS!$K$3:$K$3002,MATCH($C1887,DESPACHOS!$B$3:$B$3002,0)),""))</f>
        <v/>
      </c>
      <c r="F1887" s="42">
        <f>IF($C1887="","",IFERROR(INDEX(DESPACHOS!$I$3:$I$3002,MATCH($C1887,DESPACHOS!$B$3:$B$3002,0)),""))</f>
        <v/>
      </c>
      <c r="G1887" s="42">
        <f>IF($C1887="","",IFERROR(INDEX(DESPACHOS!$F$3:$F$3002,MATCH($C1887,DESPACHOS!$B$3:$B$3002,0)),""))</f>
        <v/>
      </c>
      <c r="H1887" s="42">
        <f>IF($C1887="","",IFERROR(INDEX(DESPACHOS!$G$3:$G$3002,MATCH($C1887,DESPACHOS!$B$3:$B$3002,0)),""))</f>
        <v/>
      </c>
      <c r="I1887" s="39">
        <f>IF($C1887="","",IFERROR(INDEX(DESPACHOS!$H$3:$H$3002,MATCH($C1887,DESPACHOS!$B$3:$B$3002,0)),""))</f>
        <v/>
      </c>
      <c r="J1887" s="43">
        <f>IF($C1887="","",IFERROR(INDEX(DESPACHOS!$J$3:$J$3002,MATCH($C1887,DESPACHOS!$B$3:$B$3002,0)),""))</f>
        <v/>
      </c>
      <c r="K1887" s="39">
        <f>IF($C1887="","",IF(COUNTIFS(DESPACHOS!$B$3:$B$3002,$C1887)=0,"NO EXISTE",IF(COUNTIFS(DESPACHOS!$B$3:$B$3002,$C1887)&gt;1,"DUPLICADO","OK")))</f>
        <v/>
      </c>
      <c r="L1887" s="41" t="n"/>
      <c r="M1887" s="41" t="n"/>
      <c r="N1887" s="42">
        <f>IF($M1887="","",IFERROR(INDEX(LISTAS!$F$3:$F$42,MATCH($M1887,LISTAS!$E$3:$E$42,0)),"Por definir"))</f>
        <v/>
      </c>
      <c r="O1887" s="41" t="n"/>
      <c r="P1887" s="39">
        <f>IF($L1887="","",IFERROR(INDEX(LISTAS!$B$3:$B$42,MATCH($L1887,LISTAS!$A$3:$A$42,0)),"Media"))</f>
        <v/>
      </c>
      <c r="Q1887" s="44" t="n"/>
      <c r="R1887" s="45" t="n"/>
      <c r="S1887" s="20">
        <f>IFERROR(IF(OR($R1887="",$C1887=""),"",$R1887/INDEX(DESPACHOS!$M$3:$M$3002,MATCH($C1887,DESPACHOS!$B$3:$B$3002,0))),"")</f>
        <v/>
      </c>
      <c r="T1887" s="41" t="n"/>
      <c r="U1887" s="43">
        <f>IF(OR($B1887="",$L1887=""),"",WORKDAY($B1887,IFERROR(INDEX(LISTAS!$C$3:$C$42,MATCH($L1887,LISTAS!$A$3:$A$42,0)),3)))</f>
        <v/>
      </c>
      <c r="V1887" s="40" t="n"/>
      <c r="W1887" s="19">
        <f>IF($B1887="","",IF($V1887&lt;&gt;"",$V1887-$B1887,TODAY()-$B1887))</f>
        <v/>
      </c>
      <c r="X1887" s="19">
        <f>IF(OR($B1887="",$U1887=""),"",IF($V1887&lt;&gt;"",MAX(0,$V1887-$U1887),MAX(0,TODAY()-$U1887)))</f>
        <v/>
      </c>
      <c r="Y1887" s="39">
        <f>IF($C1887="","",IF(IFERROR(INDEX(LISTAS!$I$3:$I$42,MATCH($T1887,LISTAS!$H$3:$H$42,0)),"NO")="SÍ",IF(N($X1887)&gt;0,"CERRADA FUERA DE SLA","CERRADA EN SLA"),IF($U1887="","SIN CLASIFICAR",IF(N($X1887)&gt;0,"VENCIDA",IF(TODAY()&gt;=$U1887-1,"POR VENCER","EN PLAZO")))))</f>
        <v/>
      </c>
      <c r="Z1887" s="41" t="n"/>
      <c r="AA1887" s="41" t="n"/>
      <c r="AB1887" s="41" t="n"/>
    </row>
    <row r="1888">
      <c r="A1888" s="39">
        <f>IF($C1888="","","NOV-"&amp;TEXT(ROW()-3,"0000"))</f>
        <v/>
      </c>
      <c r="B1888" s="40" t="n"/>
      <c r="C1888" s="41" t="n"/>
      <c r="D1888" s="42">
        <f>IF($C1888="","",IFERROR(INDEX(DESPACHOS!$D$3:$D$3002,MATCH($C1888,DESPACHOS!$B$3:$B$3002,0)),"SIN DESPACHO"))</f>
        <v/>
      </c>
      <c r="E1888" s="42">
        <f>IF($C1888="","",IFERROR(INDEX(DESPACHOS!$K$3:$K$3002,MATCH($C1888,DESPACHOS!$B$3:$B$3002,0)),""))</f>
        <v/>
      </c>
      <c r="F1888" s="42">
        <f>IF($C1888="","",IFERROR(INDEX(DESPACHOS!$I$3:$I$3002,MATCH($C1888,DESPACHOS!$B$3:$B$3002,0)),""))</f>
        <v/>
      </c>
      <c r="G1888" s="42">
        <f>IF($C1888="","",IFERROR(INDEX(DESPACHOS!$F$3:$F$3002,MATCH($C1888,DESPACHOS!$B$3:$B$3002,0)),""))</f>
        <v/>
      </c>
      <c r="H1888" s="42">
        <f>IF($C1888="","",IFERROR(INDEX(DESPACHOS!$G$3:$G$3002,MATCH($C1888,DESPACHOS!$B$3:$B$3002,0)),""))</f>
        <v/>
      </c>
      <c r="I1888" s="39">
        <f>IF($C1888="","",IFERROR(INDEX(DESPACHOS!$H$3:$H$3002,MATCH($C1888,DESPACHOS!$B$3:$B$3002,0)),""))</f>
        <v/>
      </c>
      <c r="J1888" s="43">
        <f>IF($C1888="","",IFERROR(INDEX(DESPACHOS!$J$3:$J$3002,MATCH($C1888,DESPACHOS!$B$3:$B$3002,0)),""))</f>
        <v/>
      </c>
      <c r="K1888" s="39">
        <f>IF($C1888="","",IF(COUNTIFS(DESPACHOS!$B$3:$B$3002,$C1888)=0,"NO EXISTE",IF(COUNTIFS(DESPACHOS!$B$3:$B$3002,$C1888)&gt;1,"DUPLICADO","OK")))</f>
        <v/>
      </c>
      <c r="L1888" s="41" t="n"/>
      <c r="M1888" s="41" t="n"/>
      <c r="N1888" s="42">
        <f>IF($M1888="","",IFERROR(INDEX(LISTAS!$F$3:$F$42,MATCH($M1888,LISTAS!$E$3:$E$42,0)),"Por definir"))</f>
        <v/>
      </c>
      <c r="O1888" s="41" t="n"/>
      <c r="P1888" s="39">
        <f>IF($L1888="","",IFERROR(INDEX(LISTAS!$B$3:$B$42,MATCH($L1888,LISTAS!$A$3:$A$42,0)),"Media"))</f>
        <v/>
      </c>
      <c r="Q1888" s="44" t="n"/>
      <c r="R1888" s="45" t="n"/>
      <c r="S1888" s="20">
        <f>IFERROR(IF(OR($R1888="",$C1888=""),"",$R1888/INDEX(DESPACHOS!$M$3:$M$3002,MATCH($C1888,DESPACHOS!$B$3:$B$3002,0))),"")</f>
        <v/>
      </c>
      <c r="T1888" s="41" t="n"/>
      <c r="U1888" s="43">
        <f>IF(OR($B1888="",$L1888=""),"",WORKDAY($B1888,IFERROR(INDEX(LISTAS!$C$3:$C$42,MATCH($L1888,LISTAS!$A$3:$A$42,0)),3)))</f>
        <v/>
      </c>
      <c r="V1888" s="40" t="n"/>
      <c r="W1888" s="19">
        <f>IF($B1888="","",IF($V1888&lt;&gt;"",$V1888-$B1888,TODAY()-$B1888))</f>
        <v/>
      </c>
      <c r="X1888" s="19">
        <f>IF(OR($B1888="",$U1888=""),"",IF($V1888&lt;&gt;"",MAX(0,$V1888-$U1888),MAX(0,TODAY()-$U1888)))</f>
        <v/>
      </c>
      <c r="Y1888" s="39">
        <f>IF($C1888="","",IF(IFERROR(INDEX(LISTAS!$I$3:$I$42,MATCH($T1888,LISTAS!$H$3:$H$42,0)),"NO")="SÍ",IF(N($X1888)&gt;0,"CERRADA FUERA DE SLA","CERRADA EN SLA"),IF($U1888="","SIN CLASIFICAR",IF(N($X1888)&gt;0,"VENCIDA",IF(TODAY()&gt;=$U1888-1,"POR VENCER","EN PLAZO")))))</f>
        <v/>
      </c>
      <c r="Z1888" s="41" t="n"/>
      <c r="AA1888" s="41" t="n"/>
      <c r="AB1888" s="41" t="n"/>
    </row>
    <row r="1889">
      <c r="A1889" s="39">
        <f>IF($C1889="","","NOV-"&amp;TEXT(ROW()-3,"0000"))</f>
        <v/>
      </c>
      <c r="B1889" s="40" t="n"/>
      <c r="C1889" s="41" t="n"/>
      <c r="D1889" s="42">
        <f>IF($C1889="","",IFERROR(INDEX(DESPACHOS!$D$3:$D$3002,MATCH($C1889,DESPACHOS!$B$3:$B$3002,0)),"SIN DESPACHO"))</f>
        <v/>
      </c>
      <c r="E1889" s="42">
        <f>IF($C1889="","",IFERROR(INDEX(DESPACHOS!$K$3:$K$3002,MATCH($C1889,DESPACHOS!$B$3:$B$3002,0)),""))</f>
        <v/>
      </c>
      <c r="F1889" s="42">
        <f>IF($C1889="","",IFERROR(INDEX(DESPACHOS!$I$3:$I$3002,MATCH($C1889,DESPACHOS!$B$3:$B$3002,0)),""))</f>
        <v/>
      </c>
      <c r="G1889" s="42">
        <f>IF($C1889="","",IFERROR(INDEX(DESPACHOS!$F$3:$F$3002,MATCH($C1889,DESPACHOS!$B$3:$B$3002,0)),""))</f>
        <v/>
      </c>
      <c r="H1889" s="42">
        <f>IF($C1889="","",IFERROR(INDEX(DESPACHOS!$G$3:$G$3002,MATCH($C1889,DESPACHOS!$B$3:$B$3002,0)),""))</f>
        <v/>
      </c>
      <c r="I1889" s="39">
        <f>IF($C1889="","",IFERROR(INDEX(DESPACHOS!$H$3:$H$3002,MATCH($C1889,DESPACHOS!$B$3:$B$3002,0)),""))</f>
        <v/>
      </c>
      <c r="J1889" s="43">
        <f>IF($C1889="","",IFERROR(INDEX(DESPACHOS!$J$3:$J$3002,MATCH($C1889,DESPACHOS!$B$3:$B$3002,0)),""))</f>
        <v/>
      </c>
      <c r="K1889" s="39">
        <f>IF($C1889="","",IF(COUNTIFS(DESPACHOS!$B$3:$B$3002,$C1889)=0,"NO EXISTE",IF(COUNTIFS(DESPACHOS!$B$3:$B$3002,$C1889)&gt;1,"DUPLICADO","OK")))</f>
        <v/>
      </c>
      <c r="L1889" s="41" t="n"/>
      <c r="M1889" s="41" t="n"/>
      <c r="N1889" s="42">
        <f>IF($M1889="","",IFERROR(INDEX(LISTAS!$F$3:$F$42,MATCH($M1889,LISTAS!$E$3:$E$42,0)),"Por definir"))</f>
        <v/>
      </c>
      <c r="O1889" s="41" t="n"/>
      <c r="P1889" s="39">
        <f>IF($L1889="","",IFERROR(INDEX(LISTAS!$B$3:$B$42,MATCH($L1889,LISTAS!$A$3:$A$42,0)),"Media"))</f>
        <v/>
      </c>
      <c r="Q1889" s="44" t="n"/>
      <c r="R1889" s="45" t="n"/>
      <c r="S1889" s="20">
        <f>IFERROR(IF(OR($R1889="",$C1889=""),"",$R1889/INDEX(DESPACHOS!$M$3:$M$3002,MATCH($C1889,DESPACHOS!$B$3:$B$3002,0))),"")</f>
        <v/>
      </c>
      <c r="T1889" s="41" t="n"/>
      <c r="U1889" s="43">
        <f>IF(OR($B1889="",$L1889=""),"",WORKDAY($B1889,IFERROR(INDEX(LISTAS!$C$3:$C$42,MATCH($L1889,LISTAS!$A$3:$A$42,0)),3)))</f>
        <v/>
      </c>
      <c r="V1889" s="40" t="n"/>
      <c r="W1889" s="19">
        <f>IF($B1889="","",IF($V1889&lt;&gt;"",$V1889-$B1889,TODAY()-$B1889))</f>
        <v/>
      </c>
      <c r="X1889" s="19">
        <f>IF(OR($B1889="",$U1889=""),"",IF($V1889&lt;&gt;"",MAX(0,$V1889-$U1889),MAX(0,TODAY()-$U1889)))</f>
        <v/>
      </c>
      <c r="Y1889" s="39">
        <f>IF($C1889="","",IF(IFERROR(INDEX(LISTAS!$I$3:$I$42,MATCH($T1889,LISTAS!$H$3:$H$42,0)),"NO")="SÍ",IF(N($X1889)&gt;0,"CERRADA FUERA DE SLA","CERRADA EN SLA"),IF($U1889="","SIN CLASIFICAR",IF(N($X1889)&gt;0,"VENCIDA",IF(TODAY()&gt;=$U1889-1,"POR VENCER","EN PLAZO")))))</f>
        <v/>
      </c>
      <c r="Z1889" s="41" t="n"/>
      <c r="AA1889" s="41" t="n"/>
      <c r="AB1889" s="41" t="n"/>
    </row>
    <row r="1890">
      <c r="A1890" s="39">
        <f>IF($C1890="","","NOV-"&amp;TEXT(ROW()-3,"0000"))</f>
        <v/>
      </c>
      <c r="B1890" s="40" t="n"/>
      <c r="C1890" s="41" t="n"/>
      <c r="D1890" s="42">
        <f>IF($C1890="","",IFERROR(INDEX(DESPACHOS!$D$3:$D$3002,MATCH($C1890,DESPACHOS!$B$3:$B$3002,0)),"SIN DESPACHO"))</f>
        <v/>
      </c>
      <c r="E1890" s="42">
        <f>IF($C1890="","",IFERROR(INDEX(DESPACHOS!$K$3:$K$3002,MATCH($C1890,DESPACHOS!$B$3:$B$3002,0)),""))</f>
        <v/>
      </c>
      <c r="F1890" s="42">
        <f>IF($C1890="","",IFERROR(INDEX(DESPACHOS!$I$3:$I$3002,MATCH($C1890,DESPACHOS!$B$3:$B$3002,0)),""))</f>
        <v/>
      </c>
      <c r="G1890" s="42">
        <f>IF($C1890="","",IFERROR(INDEX(DESPACHOS!$F$3:$F$3002,MATCH($C1890,DESPACHOS!$B$3:$B$3002,0)),""))</f>
        <v/>
      </c>
      <c r="H1890" s="42">
        <f>IF($C1890="","",IFERROR(INDEX(DESPACHOS!$G$3:$G$3002,MATCH($C1890,DESPACHOS!$B$3:$B$3002,0)),""))</f>
        <v/>
      </c>
      <c r="I1890" s="39">
        <f>IF($C1890="","",IFERROR(INDEX(DESPACHOS!$H$3:$H$3002,MATCH($C1890,DESPACHOS!$B$3:$B$3002,0)),""))</f>
        <v/>
      </c>
      <c r="J1890" s="43">
        <f>IF($C1890="","",IFERROR(INDEX(DESPACHOS!$J$3:$J$3002,MATCH($C1890,DESPACHOS!$B$3:$B$3002,0)),""))</f>
        <v/>
      </c>
      <c r="K1890" s="39">
        <f>IF($C1890="","",IF(COUNTIFS(DESPACHOS!$B$3:$B$3002,$C1890)=0,"NO EXISTE",IF(COUNTIFS(DESPACHOS!$B$3:$B$3002,$C1890)&gt;1,"DUPLICADO","OK")))</f>
        <v/>
      </c>
      <c r="L1890" s="41" t="n"/>
      <c r="M1890" s="41" t="n"/>
      <c r="N1890" s="42">
        <f>IF($M1890="","",IFERROR(INDEX(LISTAS!$F$3:$F$42,MATCH($M1890,LISTAS!$E$3:$E$42,0)),"Por definir"))</f>
        <v/>
      </c>
      <c r="O1890" s="41" t="n"/>
      <c r="P1890" s="39">
        <f>IF($L1890="","",IFERROR(INDEX(LISTAS!$B$3:$B$42,MATCH($L1890,LISTAS!$A$3:$A$42,0)),"Media"))</f>
        <v/>
      </c>
      <c r="Q1890" s="44" t="n"/>
      <c r="R1890" s="45" t="n"/>
      <c r="S1890" s="20">
        <f>IFERROR(IF(OR($R1890="",$C1890=""),"",$R1890/INDEX(DESPACHOS!$M$3:$M$3002,MATCH($C1890,DESPACHOS!$B$3:$B$3002,0))),"")</f>
        <v/>
      </c>
      <c r="T1890" s="41" t="n"/>
      <c r="U1890" s="43">
        <f>IF(OR($B1890="",$L1890=""),"",WORKDAY($B1890,IFERROR(INDEX(LISTAS!$C$3:$C$42,MATCH($L1890,LISTAS!$A$3:$A$42,0)),3)))</f>
        <v/>
      </c>
      <c r="V1890" s="40" t="n"/>
      <c r="W1890" s="19">
        <f>IF($B1890="","",IF($V1890&lt;&gt;"",$V1890-$B1890,TODAY()-$B1890))</f>
        <v/>
      </c>
      <c r="X1890" s="19">
        <f>IF(OR($B1890="",$U1890=""),"",IF($V1890&lt;&gt;"",MAX(0,$V1890-$U1890),MAX(0,TODAY()-$U1890)))</f>
        <v/>
      </c>
      <c r="Y1890" s="39">
        <f>IF($C1890="","",IF(IFERROR(INDEX(LISTAS!$I$3:$I$42,MATCH($T1890,LISTAS!$H$3:$H$42,0)),"NO")="SÍ",IF(N($X1890)&gt;0,"CERRADA FUERA DE SLA","CERRADA EN SLA"),IF($U1890="","SIN CLASIFICAR",IF(N($X1890)&gt;0,"VENCIDA",IF(TODAY()&gt;=$U1890-1,"POR VENCER","EN PLAZO")))))</f>
        <v/>
      </c>
      <c r="Z1890" s="41" t="n"/>
      <c r="AA1890" s="41" t="n"/>
      <c r="AB1890" s="41" t="n"/>
    </row>
    <row r="1891">
      <c r="A1891" s="39">
        <f>IF($C1891="","","NOV-"&amp;TEXT(ROW()-3,"0000"))</f>
        <v/>
      </c>
      <c r="B1891" s="40" t="n"/>
      <c r="C1891" s="41" t="n"/>
      <c r="D1891" s="42">
        <f>IF($C1891="","",IFERROR(INDEX(DESPACHOS!$D$3:$D$3002,MATCH($C1891,DESPACHOS!$B$3:$B$3002,0)),"SIN DESPACHO"))</f>
        <v/>
      </c>
      <c r="E1891" s="42">
        <f>IF($C1891="","",IFERROR(INDEX(DESPACHOS!$K$3:$K$3002,MATCH($C1891,DESPACHOS!$B$3:$B$3002,0)),""))</f>
        <v/>
      </c>
      <c r="F1891" s="42">
        <f>IF($C1891="","",IFERROR(INDEX(DESPACHOS!$I$3:$I$3002,MATCH($C1891,DESPACHOS!$B$3:$B$3002,0)),""))</f>
        <v/>
      </c>
      <c r="G1891" s="42">
        <f>IF($C1891="","",IFERROR(INDEX(DESPACHOS!$F$3:$F$3002,MATCH($C1891,DESPACHOS!$B$3:$B$3002,0)),""))</f>
        <v/>
      </c>
      <c r="H1891" s="42">
        <f>IF($C1891="","",IFERROR(INDEX(DESPACHOS!$G$3:$G$3002,MATCH($C1891,DESPACHOS!$B$3:$B$3002,0)),""))</f>
        <v/>
      </c>
      <c r="I1891" s="39">
        <f>IF($C1891="","",IFERROR(INDEX(DESPACHOS!$H$3:$H$3002,MATCH($C1891,DESPACHOS!$B$3:$B$3002,0)),""))</f>
        <v/>
      </c>
      <c r="J1891" s="43">
        <f>IF($C1891="","",IFERROR(INDEX(DESPACHOS!$J$3:$J$3002,MATCH($C1891,DESPACHOS!$B$3:$B$3002,0)),""))</f>
        <v/>
      </c>
      <c r="K1891" s="39">
        <f>IF($C1891="","",IF(COUNTIFS(DESPACHOS!$B$3:$B$3002,$C1891)=0,"NO EXISTE",IF(COUNTIFS(DESPACHOS!$B$3:$B$3002,$C1891)&gt;1,"DUPLICADO","OK")))</f>
        <v/>
      </c>
      <c r="L1891" s="41" t="n"/>
      <c r="M1891" s="41" t="n"/>
      <c r="N1891" s="42">
        <f>IF($M1891="","",IFERROR(INDEX(LISTAS!$F$3:$F$42,MATCH($M1891,LISTAS!$E$3:$E$42,0)),"Por definir"))</f>
        <v/>
      </c>
      <c r="O1891" s="41" t="n"/>
      <c r="P1891" s="39">
        <f>IF($L1891="","",IFERROR(INDEX(LISTAS!$B$3:$B$42,MATCH($L1891,LISTAS!$A$3:$A$42,0)),"Media"))</f>
        <v/>
      </c>
      <c r="Q1891" s="44" t="n"/>
      <c r="R1891" s="45" t="n"/>
      <c r="S1891" s="20">
        <f>IFERROR(IF(OR($R1891="",$C1891=""),"",$R1891/INDEX(DESPACHOS!$M$3:$M$3002,MATCH($C1891,DESPACHOS!$B$3:$B$3002,0))),"")</f>
        <v/>
      </c>
      <c r="T1891" s="41" t="n"/>
      <c r="U1891" s="43">
        <f>IF(OR($B1891="",$L1891=""),"",WORKDAY($B1891,IFERROR(INDEX(LISTAS!$C$3:$C$42,MATCH($L1891,LISTAS!$A$3:$A$42,0)),3)))</f>
        <v/>
      </c>
      <c r="V1891" s="40" t="n"/>
      <c r="W1891" s="19">
        <f>IF($B1891="","",IF($V1891&lt;&gt;"",$V1891-$B1891,TODAY()-$B1891))</f>
        <v/>
      </c>
      <c r="X1891" s="19">
        <f>IF(OR($B1891="",$U1891=""),"",IF($V1891&lt;&gt;"",MAX(0,$V1891-$U1891),MAX(0,TODAY()-$U1891)))</f>
        <v/>
      </c>
      <c r="Y1891" s="39">
        <f>IF($C1891="","",IF(IFERROR(INDEX(LISTAS!$I$3:$I$42,MATCH($T1891,LISTAS!$H$3:$H$42,0)),"NO")="SÍ",IF(N($X1891)&gt;0,"CERRADA FUERA DE SLA","CERRADA EN SLA"),IF($U1891="","SIN CLASIFICAR",IF(N($X1891)&gt;0,"VENCIDA",IF(TODAY()&gt;=$U1891-1,"POR VENCER","EN PLAZO")))))</f>
        <v/>
      </c>
      <c r="Z1891" s="41" t="n"/>
      <c r="AA1891" s="41" t="n"/>
      <c r="AB1891" s="41" t="n"/>
    </row>
    <row r="1892">
      <c r="A1892" s="39">
        <f>IF($C1892="","","NOV-"&amp;TEXT(ROW()-3,"0000"))</f>
        <v/>
      </c>
      <c r="B1892" s="40" t="n"/>
      <c r="C1892" s="41" t="n"/>
      <c r="D1892" s="42">
        <f>IF($C1892="","",IFERROR(INDEX(DESPACHOS!$D$3:$D$3002,MATCH($C1892,DESPACHOS!$B$3:$B$3002,0)),"SIN DESPACHO"))</f>
        <v/>
      </c>
      <c r="E1892" s="42">
        <f>IF($C1892="","",IFERROR(INDEX(DESPACHOS!$K$3:$K$3002,MATCH($C1892,DESPACHOS!$B$3:$B$3002,0)),""))</f>
        <v/>
      </c>
      <c r="F1892" s="42">
        <f>IF($C1892="","",IFERROR(INDEX(DESPACHOS!$I$3:$I$3002,MATCH($C1892,DESPACHOS!$B$3:$B$3002,0)),""))</f>
        <v/>
      </c>
      <c r="G1892" s="42">
        <f>IF($C1892="","",IFERROR(INDEX(DESPACHOS!$F$3:$F$3002,MATCH($C1892,DESPACHOS!$B$3:$B$3002,0)),""))</f>
        <v/>
      </c>
      <c r="H1892" s="42">
        <f>IF($C1892="","",IFERROR(INDEX(DESPACHOS!$G$3:$G$3002,MATCH($C1892,DESPACHOS!$B$3:$B$3002,0)),""))</f>
        <v/>
      </c>
      <c r="I1892" s="39">
        <f>IF($C1892="","",IFERROR(INDEX(DESPACHOS!$H$3:$H$3002,MATCH($C1892,DESPACHOS!$B$3:$B$3002,0)),""))</f>
        <v/>
      </c>
      <c r="J1892" s="43">
        <f>IF($C1892="","",IFERROR(INDEX(DESPACHOS!$J$3:$J$3002,MATCH($C1892,DESPACHOS!$B$3:$B$3002,0)),""))</f>
        <v/>
      </c>
      <c r="K1892" s="39">
        <f>IF($C1892="","",IF(COUNTIFS(DESPACHOS!$B$3:$B$3002,$C1892)=0,"NO EXISTE",IF(COUNTIFS(DESPACHOS!$B$3:$B$3002,$C1892)&gt;1,"DUPLICADO","OK")))</f>
        <v/>
      </c>
      <c r="L1892" s="41" t="n"/>
      <c r="M1892" s="41" t="n"/>
      <c r="N1892" s="42">
        <f>IF($M1892="","",IFERROR(INDEX(LISTAS!$F$3:$F$42,MATCH($M1892,LISTAS!$E$3:$E$42,0)),"Por definir"))</f>
        <v/>
      </c>
      <c r="O1892" s="41" t="n"/>
      <c r="P1892" s="39">
        <f>IF($L1892="","",IFERROR(INDEX(LISTAS!$B$3:$B$42,MATCH($L1892,LISTAS!$A$3:$A$42,0)),"Media"))</f>
        <v/>
      </c>
      <c r="Q1892" s="44" t="n"/>
      <c r="R1892" s="45" t="n"/>
      <c r="S1892" s="20">
        <f>IFERROR(IF(OR($R1892="",$C1892=""),"",$R1892/INDEX(DESPACHOS!$M$3:$M$3002,MATCH($C1892,DESPACHOS!$B$3:$B$3002,0))),"")</f>
        <v/>
      </c>
      <c r="T1892" s="41" t="n"/>
      <c r="U1892" s="43">
        <f>IF(OR($B1892="",$L1892=""),"",WORKDAY($B1892,IFERROR(INDEX(LISTAS!$C$3:$C$42,MATCH($L1892,LISTAS!$A$3:$A$42,0)),3)))</f>
        <v/>
      </c>
      <c r="V1892" s="40" t="n"/>
      <c r="W1892" s="19">
        <f>IF($B1892="","",IF($V1892&lt;&gt;"",$V1892-$B1892,TODAY()-$B1892))</f>
        <v/>
      </c>
      <c r="X1892" s="19">
        <f>IF(OR($B1892="",$U1892=""),"",IF($V1892&lt;&gt;"",MAX(0,$V1892-$U1892),MAX(0,TODAY()-$U1892)))</f>
        <v/>
      </c>
      <c r="Y1892" s="39">
        <f>IF($C1892="","",IF(IFERROR(INDEX(LISTAS!$I$3:$I$42,MATCH($T1892,LISTAS!$H$3:$H$42,0)),"NO")="SÍ",IF(N($X1892)&gt;0,"CERRADA FUERA DE SLA","CERRADA EN SLA"),IF($U1892="","SIN CLASIFICAR",IF(N($X1892)&gt;0,"VENCIDA",IF(TODAY()&gt;=$U1892-1,"POR VENCER","EN PLAZO")))))</f>
        <v/>
      </c>
      <c r="Z1892" s="41" t="n"/>
      <c r="AA1892" s="41" t="n"/>
      <c r="AB1892" s="41" t="n"/>
    </row>
    <row r="1893">
      <c r="A1893" s="39">
        <f>IF($C1893="","","NOV-"&amp;TEXT(ROW()-3,"0000"))</f>
        <v/>
      </c>
      <c r="B1893" s="40" t="n"/>
      <c r="C1893" s="41" t="n"/>
      <c r="D1893" s="42">
        <f>IF($C1893="","",IFERROR(INDEX(DESPACHOS!$D$3:$D$3002,MATCH($C1893,DESPACHOS!$B$3:$B$3002,0)),"SIN DESPACHO"))</f>
        <v/>
      </c>
      <c r="E1893" s="42">
        <f>IF($C1893="","",IFERROR(INDEX(DESPACHOS!$K$3:$K$3002,MATCH($C1893,DESPACHOS!$B$3:$B$3002,0)),""))</f>
        <v/>
      </c>
      <c r="F1893" s="42">
        <f>IF($C1893="","",IFERROR(INDEX(DESPACHOS!$I$3:$I$3002,MATCH($C1893,DESPACHOS!$B$3:$B$3002,0)),""))</f>
        <v/>
      </c>
      <c r="G1893" s="42">
        <f>IF($C1893="","",IFERROR(INDEX(DESPACHOS!$F$3:$F$3002,MATCH($C1893,DESPACHOS!$B$3:$B$3002,0)),""))</f>
        <v/>
      </c>
      <c r="H1893" s="42">
        <f>IF($C1893="","",IFERROR(INDEX(DESPACHOS!$G$3:$G$3002,MATCH($C1893,DESPACHOS!$B$3:$B$3002,0)),""))</f>
        <v/>
      </c>
      <c r="I1893" s="39">
        <f>IF($C1893="","",IFERROR(INDEX(DESPACHOS!$H$3:$H$3002,MATCH($C1893,DESPACHOS!$B$3:$B$3002,0)),""))</f>
        <v/>
      </c>
      <c r="J1893" s="43">
        <f>IF($C1893="","",IFERROR(INDEX(DESPACHOS!$J$3:$J$3002,MATCH($C1893,DESPACHOS!$B$3:$B$3002,0)),""))</f>
        <v/>
      </c>
      <c r="K1893" s="39">
        <f>IF($C1893="","",IF(COUNTIFS(DESPACHOS!$B$3:$B$3002,$C1893)=0,"NO EXISTE",IF(COUNTIFS(DESPACHOS!$B$3:$B$3002,$C1893)&gt;1,"DUPLICADO","OK")))</f>
        <v/>
      </c>
      <c r="L1893" s="41" t="n"/>
      <c r="M1893" s="41" t="n"/>
      <c r="N1893" s="42">
        <f>IF($M1893="","",IFERROR(INDEX(LISTAS!$F$3:$F$42,MATCH($M1893,LISTAS!$E$3:$E$42,0)),"Por definir"))</f>
        <v/>
      </c>
      <c r="O1893" s="41" t="n"/>
      <c r="P1893" s="39">
        <f>IF($L1893="","",IFERROR(INDEX(LISTAS!$B$3:$B$42,MATCH($L1893,LISTAS!$A$3:$A$42,0)),"Media"))</f>
        <v/>
      </c>
      <c r="Q1893" s="44" t="n"/>
      <c r="R1893" s="45" t="n"/>
      <c r="S1893" s="20">
        <f>IFERROR(IF(OR($R1893="",$C1893=""),"",$R1893/INDEX(DESPACHOS!$M$3:$M$3002,MATCH($C1893,DESPACHOS!$B$3:$B$3002,0))),"")</f>
        <v/>
      </c>
      <c r="T1893" s="41" t="n"/>
      <c r="U1893" s="43">
        <f>IF(OR($B1893="",$L1893=""),"",WORKDAY($B1893,IFERROR(INDEX(LISTAS!$C$3:$C$42,MATCH($L1893,LISTAS!$A$3:$A$42,0)),3)))</f>
        <v/>
      </c>
      <c r="V1893" s="40" t="n"/>
      <c r="W1893" s="19">
        <f>IF($B1893="","",IF($V1893&lt;&gt;"",$V1893-$B1893,TODAY()-$B1893))</f>
        <v/>
      </c>
      <c r="X1893" s="19">
        <f>IF(OR($B1893="",$U1893=""),"",IF($V1893&lt;&gt;"",MAX(0,$V1893-$U1893),MAX(0,TODAY()-$U1893)))</f>
        <v/>
      </c>
      <c r="Y1893" s="39">
        <f>IF($C1893="","",IF(IFERROR(INDEX(LISTAS!$I$3:$I$42,MATCH($T1893,LISTAS!$H$3:$H$42,0)),"NO")="SÍ",IF(N($X1893)&gt;0,"CERRADA FUERA DE SLA","CERRADA EN SLA"),IF($U1893="","SIN CLASIFICAR",IF(N($X1893)&gt;0,"VENCIDA",IF(TODAY()&gt;=$U1893-1,"POR VENCER","EN PLAZO")))))</f>
        <v/>
      </c>
      <c r="Z1893" s="41" t="n"/>
      <c r="AA1893" s="41" t="n"/>
      <c r="AB1893" s="41" t="n"/>
    </row>
    <row r="1894">
      <c r="A1894" s="39">
        <f>IF($C1894="","","NOV-"&amp;TEXT(ROW()-3,"0000"))</f>
        <v/>
      </c>
      <c r="B1894" s="40" t="n"/>
      <c r="C1894" s="41" t="n"/>
      <c r="D1894" s="42">
        <f>IF($C1894="","",IFERROR(INDEX(DESPACHOS!$D$3:$D$3002,MATCH($C1894,DESPACHOS!$B$3:$B$3002,0)),"SIN DESPACHO"))</f>
        <v/>
      </c>
      <c r="E1894" s="42">
        <f>IF($C1894="","",IFERROR(INDEX(DESPACHOS!$K$3:$K$3002,MATCH($C1894,DESPACHOS!$B$3:$B$3002,0)),""))</f>
        <v/>
      </c>
      <c r="F1894" s="42">
        <f>IF($C1894="","",IFERROR(INDEX(DESPACHOS!$I$3:$I$3002,MATCH($C1894,DESPACHOS!$B$3:$B$3002,0)),""))</f>
        <v/>
      </c>
      <c r="G1894" s="42">
        <f>IF($C1894="","",IFERROR(INDEX(DESPACHOS!$F$3:$F$3002,MATCH($C1894,DESPACHOS!$B$3:$B$3002,0)),""))</f>
        <v/>
      </c>
      <c r="H1894" s="42">
        <f>IF($C1894="","",IFERROR(INDEX(DESPACHOS!$G$3:$G$3002,MATCH($C1894,DESPACHOS!$B$3:$B$3002,0)),""))</f>
        <v/>
      </c>
      <c r="I1894" s="39">
        <f>IF($C1894="","",IFERROR(INDEX(DESPACHOS!$H$3:$H$3002,MATCH($C1894,DESPACHOS!$B$3:$B$3002,0)),""))</f>
        <v/>
      </c>
      <c r="J1894" s="43">
        <f>IF($C1894="","",IFERROR(INDEX(DESPACHOS!$J$3:$J$3002,MATCH($C1894,DESPACHOS!$B$3:$B$3002,0)),""))</f>
        <v/>
      </c>
      <c r="K1894" s="39">
        <f>IF($C1894="","",IF(COUNTIFS(DESPACHOS!$B$3:$B$3002,$C1894)=0,"NO EXISTE",IF(COUNTIFS(DESPACHOS!$B$3:$B$3002,$C1894)&gt;1,"DUPLICADO","OK")))</f>
        <v/>
      </c>
      <c r="L1894" s="41" t="n"/>
      <c r="M1894" s="41" t="n"/>
      <c r="N1894" s="42">
        <f>IF($M1894="","",IFERROR(INDEX(LISTAS!$F$3:$F$42,MATCH($M1894,LISTAS!$E$3:$E$42,0)),"Por definir"))</f>
        <v/>
      </c>
      <c r="O1894" s="41" t="n"/>
      <c r="P1894" s="39">
        <f>IF($L1894="","",IFERROR(INDEX(LISTAS!$B$3:$B$42,MATCH($L1894,LISTAS!$A$3:$A$42,0)),"Media"))</f>
        <v/>
      </c>
      <c r="Q1894" s="44" t="n"/>
      <c r="R1894" s="45" t="n"/>
      <c r="S1894" s="20">
        <f>IFERROR(IF(OR($R1894="",$C1894=""),"",$R1894/INDEX(DESPACHOS!$M$3:$M$3002,MATCH($C1894,DESPACHOS!$B$3:$B$3002,0))),"")</f>
        <v/>
      </c>
      <c r="T1894" s="41" t="n"/>
      <c r="U1894" s="43">
        <f>IF(OR($B1894="",$L1894=""),"",WORKDAY($B1894,IFERROR(INDEX(LISTAS!$C$3:$C$42,MATCH($L1894,LISTAS!$A$3:$A$42,0)),3)))</f>
        <v/>
      </c>
      <c r="V1894" s="40" t="n"/>
      <c r="W1894" s="19">
        <f>IF($B1894="","",IF($V1894&lt;&gt;"",$V1894-$B1894,TODAY()-$B1894))</f>
        <v/>
      </c>
      <c r="X1894" s="19">
        <f>IF(OR($B1894="",$U1894=""),"",IF($V1894&lt;&gt;"",MAX(0,$V1894-$U1894),MAX(0,TODAY()-$U1894)))</f>
        <v/>
      </c>
      <c r="Y1894" s="39">
        <f>IF($C1894="","",IF(IFERROR(INDEX(LISTAS!$I$3:$I$42,MATCH($T1894,LISTAS!$H$3:$H$42,0)),"NO")="SÍ",IF(N($X1894)&gt;0,"CERRADA FUERA DE SLA","CERRADA EN SLA"),IF($U1894="","SIN CLASIFICAR",IF(N($X1894)&gt;0,"VENCIDA",IF(TODAY()&gt;=$U1894-1,"POR VENCER","EN PLAZO")))))</f>
        <v/>
      </c>
      <c r="Z1894" s="41" t="n"/>
      <c r="AA1894" s="41" t="n"/>
      <c r="AB1894" s="41" t="n"/>
    </row>
    <row r="1895">
      <c r="A1895" s="39">
        <f>IF($C1895="","","NOV-"&amp;TEXT(ROW()-3,"0000"))</f>
        <v/>
      </c>
      <c r="B1895" s="40" t="n"/>
      <c r="C1895" s="41" t="n"/>
      <c r="D1895" s="42">
        <f>IF($C1895="","",IFERROR(INDEX(DESPACHOS!$D$3:$D$3002,MATCH($C1895,DESPACHOS!$B$3:$B$3002,0)),"SIN DESPACHO"))</f>
        <v/>
      </c>
      <c r="E1895" s="42">
        <f>IF($C1895="","",IFERROR(INDEX(DESPACHOS!$K$3:$K$3002,MATCH($C1895,DESPACHOS!$B$3:$B$3002,0)),""))</f>
        <v/>
      </c>
      <c r="F1895" s="42">
        <f>IF($C1895="","",IFERROR(INDEX(DESPACHOS!$I$3:$I$3002,MATCH($C1895,DESPACHOS!$B$3:$B$3002,0)),""))</f>
        <v/>
      </c>
      <c r="G1895" s="42">
        <f>IF($C1895="","",IFERROR(INDEX(DESPACHOS!$F$3:$F$3002,MATCH($C1895,DESPACHOS!$B$3:$B$3002,0)),""))</f>
        <v/>
      </c>
      <c r="H1895" s="42">
        <f>IF($C1895="","",IFERROR(INDEX(DESPACHOS!$G$3:$G$3002,MATCH($C1895,DESPACHOS!$B$3:$B$3002,0)),""))</f>
        <v/>
      </c>
      <c r="I1895" s="39">
        <f>IF($C1895="","",IFERROR(INDEX(DESPACHOS!$H$3:$H$3002,MATCH($C1895,DESPACHOS!$B$3:$B$3002,0)),""))</f>
        <v/>
      </c>
      <c r="J1895" s="43">
        <f>IF($C1895="","",IFERROR(INDEX(DESPACHOS!$J$3:$J$3002,MATCH($C1895,DESPACHOS!$B$3:$B$3002,0)),""))</f>
        <v/>
      </c>
      <c r="K1895" s="39">
        <f>IF($C1895="","",IF(COUNTIFS(DESPACHOS!$B$3:$B$3002,$C1895)=0,"NO EXISTE",IF(COUNTIFS(DESPACHOS!$B$3:$B$3002,$C1895)&gt;1,"DUPLICADO","OK")))</f>
        <v/>
      </c>
      <c r="L1895" s="41" t="n"/>
      <c r="M1895" s="41" t="n"/>
      <c r="N1895" s="42">
        <f>IF($M1895="","",IFERROR(INDEX(LISTAS!$F$3:$F$42,MATCH($M1895,LISTAS!$E$3:$E$42,0)),"Por definir"))</f>
        <v/>
      </c>
      <c r="O1895" s="41" t="n"/>
      <c r="P1895" s="39">
        <f>IF($L1895="","",IFERROR(INDEX(LISTAS!$B$3:$B$42,MATCH($L1895,LISTAS!$A$3:$A$42,0)),"Media"))</f>
        <v/>
      </c>
      <c r="Q1895" s="44" t="n"/>
      <c r="R1895" s="45" t="n"/>
      <c r="S1895" s="20">
        <f>IFERROR(IF(OR($R1895="",$C1895=""),"",$R1895/INDEX(DESPACHOS!$M$3:$M$3002,MATCH($C1895,DESPACHOS!$B$3:$B$3002,0))),"")</f>
        <v/>
      </c>
      <c r="T1895" s="41" t="n"/>
      <c r="U1895" s="43">
        <f>IF(OR($B1895="",$L1895=""),"",WORKDAY($B1895,IFERROR(INDEX(LISTAS!$C$3:$C$42,MATCH($L1895,LISTAS!$A$3:$A$42,0)),3)))</f>
        <v/>
      </c>
      <c r="V1895" s="40" t="n"/>
      <c r="W1895" s="19">
        <f>IF($B1895="","",IF($V1895&lt;&gt;"",$V1895-$B1895,TODAY()-$B1895))</f>
        <v/>
      </c>
      <c r="X1895" s="19">
        <f>IF(OR($B1895="",$U1895=""),"",IF($V1895&lt;&gt;"",MAX(0,$V1895-$U1895),MAX(0,TODAY()-$U1895)))</f>
        <v/>
      </c>
      <c r="Y1895" s="39">
        <f>IF($C1895="","",IF(IFERROR(INDEX(LISTAS!$I$3:$I$42,MATCH($T1895,LISTAS!$H$3:$H$42,0)),"NO")="SÍ",IF(N($X1895)&gt;0,"CERRADA FUERA DE SLA","CERRADA EN SLA"),IF($U1895="","SIN CLASIFICAR",IF(N($X1895)&gt;0,"VENCIDA",IF(TODAY()&gt;=$U1895-1,"POR VENCER","EN PLAZO")))))</f>
        <v/>
      </c>
      <c r="Z1895" s="41" t="n"/>
      <c r="AA1895" s="41" t="n"/>
      <c r="AB1895" s="41" t="n"/>
    </row>
    <row r="1896">
      <c r="A1896" s="39">
        <f>IF($C1896="","","NOV-"&amp;TEXT(ROW()-3,"0000"))</f>
        <v/>
      </c>
      <c r="B1896" s="40" t="n"/>
      <c r="C1896" s="41" t="n"/>
      <c r="D1896" s="42">
        <f>IF($C1896="","",IFERROR(INDEX(DESPACHOS!$D$3:$D$3002,MATCH($C1896,DESPACHOS!$B$3:$B$3002,0)),"SIN DESPACHO"))</f>
        <v/>
      </c>
      <c r="E1896" s="42">
        <f>IF($C1896="","",IFERROR(INDEX(DESPACHOS!$K$3:$K$3002,MATCH($C1896,DESPACHOS!$B$3:$B$3002,0)),""))</f>
        <v/>
      </c>
      <c r="F1896" s="42">
        <f>IF($C1896="","",IFERROR(INDEX(DESPACHOS!$I$3:$I$3002,MATCH($C1896,DESPACHOS!$B$3:$B$3002,0)),""))</f>
        <v/>
      </c>
      <c r="G1896" s="42">
        <f>IF($C1896="","",IFERROR(INDEX(DESPACHOS!$F$3:$F$3002,MATCH($C1896,DESPACHOS!$B$3:$B$3002,0)),""))</f>
        <v/>
      </c>
      <c r="H1896" s="42">
        <f>IF($C1896="","",IFERROR(INDEX(DESPACHOS!$G$3:$G$3002,MATCH($C1896,DESPACHOS!$B$3:$B$3002,0)),""))</f>
        <v/>
      </c>
      <c r="I1896" s="39">
        <f>IF($C1896="","",IFERROR(INDEX(DESPACHOS!$H$3:$H$3002,MATCH($C1896,DESPACHOS!$B$3:$B$3002,0)),""))</f>
        <v/>
      </c>
      <c r="J1896" s="43">
        <f>IF($C1896="","",IFERROR(INDEX(DESPACHOS!$J$3:$J$3002,MATCH($C1896,DESPACHOS!$B$3:$B$3002,0)),""))</f>
        <v/>
      </c>
      <c r="K1896" s="39">
        <f>IF($C1896="","",IF(COUNTIFS(DESPACHOS!$B$3:$B$3002,$C1896)=0,"NO EXISTE",IF(COUNTIFS(DESPACHOS!$B$3:$B$3002,$C1896)&gt;1,"DUPLICADO","OK")))</f>
        <v/>
      </c>
      <c r="L1896" s="41" t="n"/>
      <c r="M1896" s="41" t="n"/>
      <c r="N1896" s="42">
        <f>IF($M1896="","",IFERROR(INDEX(LISTAS!$F$3:$F$42,MATCH($M1896,LISTAS!$E$3:$E$42,0)),"Por definir"))</f>
        <v/>
      </c>
      <c r="O1896" s="41" t="n"/>
      <c r="P1896" s="39">
        <f>IF($L1896="","",IFERROR(INDEX(LISTAS!$B$3:$B$42,MATCH($L1896,LISTAS!$A$3:$A$42,0)),"Media"))</f>
        <v/>
      </c>
      <c r="Q1896" s="44" t="n"/>
      <c r="R1896" s="45" t="n"/>
      <c r="S1896" s="20">
        <f>IFERROR(IF(OR($R1896="",$C1896=""),"",$R1896/INDEX(DESPACHOS!$M$3:$M$3002,MATCH($C1896,DESPACHOS!$B$3:$B$3002,0))),"")</f>
        <v/>
      </c>
      <c r="T1896" s="41" t="n"/>
      <c r="U1896" s="43">
        <f>IF(OR($B1896="",$L1896=""),"",WORKDAY($B1896,IFERROR(INDEX(LISTAS!$C$3:$C$42,MATCH($L1896,LISTAS!$A$3:$A$42,0)),3)))</f>
        <v/>
      </c>
      <c r="V1896" s="40" t="n"/>
      <c r="W1896" s="19">
        <f>IF($B1896="","",IF($V1896&lt;&gt;"",$V1896-$B1896,TODAY()-$B1896))</f>
        <v/>
      </c>
      <c r="X1896" s="19">
        <f>IF(OR($B1896="",$U1896=""),"",IF($V1896&lt;&gt;"",MAX(0,$V1896-$U1896),MAX(0,TODAY()-$U1896)))</f>
        <v/>
      </c>
      <c r="Y1896" s="39">
        <f>IF($C1896="","",IF(IFERROR(INDEX(LISTAS!$I$3:$I$42,MATCH($T1896,LISTAS!$H$3:$H$42,0)),"NO")="SÍ",IF(N($X1896)&gt;0,"CERRADA FUERA DE SLA","CERRADA EN SLA"),IF($U1896="","SIN CLASIFICAR",IF(N($X1896)&gt;0,"VENCIDA",IF(TODAY()&gt;=$U1896-1,"POR VENCER","EN PLAZO")))))</f>
        <v/>
      </c>
      <c r="Z1896" s="41" t="n"/>
      <c r="AA1896" s="41" t="n"/>
      <c r="AB1896" s="41" t="n"/>
    </row>
    <row r="1897">
      <c r="A1897" s="39">
        <f>IF($C1897="","","NOV-"&amp;TEXT(ROW()-3,"0000"))</f>
        <v/>
      </c>
      <c r="B1897" s="40" t="n"/>
      <c r="C1897" s="41" t="n"/>
      <c r="D1897" s="42">
        <f>IF($C1897="","",IFERROR(INDEX(DESPACHOS!$D$3:$D$3002,MATCH($C1897,DESPACHOS!$B$3:$B$3002,0)),"SIN DESPACHO"))</f>
        <v/>
      </c>
      <c r="E1897" s="42">
        <f>IF($C1897="","",IFERROR(INDEX(DESPACHOS!$K$3:$K$3002,MATCH($C1897,DESPACHOS!$B$3:$B$3002,0)),""))</f>
        <v/>
      </c>
      <c r="F1897" s="42">
        <f>IF($C1897="","",IFERROR(INDEX(DESPACHOS!$I$3:$I$3002,MATCH($C1897,DESPACHOS!$B$3:$B$3002,0)),""))</f>
        <v/>
      </c>
      <c r="G1897" s="42">
        <f>IF($C1897="","",IFERROR(INDEX(DESPACHOS!$F$3:$F$3002,MATCH($C1897,DESPACHOS!$B$3:$B$3002,0)),""))</f>
        <v/>
      </c>
      <c r="H1897" s="42">
        <f>IF($C1897="","",IFERROR(INDEX(DESPACHOS!$G$3:$G$3002,MATCH($C1897,DESPACHOS!$B$3:$B$3002,0)),""))</f>
        <v/>
      </c>
      <c r="I1897" s="39">
        <f>IF($C1897="","",IFERROR(INDEX(DESPACHOS!$H$3:$H$3002,MATCH($C1897,DESPACHOS!$B$3:$B$3002,0)),""))</f>
        <v/>
      </c>
      <c r="J1897" s="43">
        <f>IF($C1897="","",IFERROR(INDEX(DESPACHOS!$J$3:$J$3002,MATCH($C1897,DESPACHOS!$B$3:$B$3002,0)),""))</f>
        <v/>
      </c>
      <c r="K1897" s="39">
        <f>IF($C1897="","",IF(COUNTIFS(DESPACHOS!$B$3:$B$3002,$C1897)=0,"NO EXISTE",IF(COUNTIFS(DESPACHOS!$B$3:$B$3002,$C1897)&gt;1,"DUPLICADO","OK")))</f>
        <v/>
      </c>
      <c r="L1897" s="41" t="n"/>
      <c r="M1897" s="41" t="n"/>
      <c r="N1897" s="42">
        <f>IF($M1897="","",IFERROR(INDEX(LISTAS!$F$3:$F$42,MATCH($M1897,LISTAS!$E$3:$E$42,0)),"Por definir"))</f>
        <v/>
      </c>
      <c r="O1897" s="41" t="n"/>
      <c r="P1897" s="39">
        <f>IF($L1897="","",IFERROR(INDEX(LISTAS!$B$3:$B$42,MATCH($L1897,LISTAS!$A$3:$A$42,0)),"Media"))</f>
        <v/>
      </c>
      <c r="Q1897" s="44" t="n"/>
      <c r="R1897" s="45" t="n"/>
      <c r="S1897" s="20">
        <f>IFERROR(IF(OR($R1897="",$C1897=""),"",$R1897/INDEX(DESPACHOS!$M$3:$M$3002,MATCH($C1897,DESPACHOS!$B$3:$B$3002,0))),"")</f>
        <v/>
      </c>
      <c r="T1897" s="41" t="n"/>
      <c r="U1897" s="43">
        <f>IF(OR($B1897="",$L1897=""),"",WORKDAY($B1897,IFERROR(INDEX(LISTAS!$C$3:$C$42,MATCH($L1897,LISTAS!$A$3:$A$42,0)),3)))</f>
        <v/>
      </c>
      <c r="V1897" s="40" t="n"/>
      <c r="W1897" s="19">
        <f>IF($B1897="","",IF($V1897&lt;&gt;"",$V1897-$B1897,TODAY()-$B1897))</f>
        <v/>
      </c>
      <c r="X1897" s="19">
        <f>IF(OR($B1897="",$U1897=""),"",IF($V1897&lt;&gt;"",MAX(0,$V1897-$U1897),MAX(0,TODAY()-$U1897)))</f>
        <v/>
      </c>
      <c r="Y1897" s="39">
        <f>IF($C1897="","",IF(IFERROR(INDEX(LISTAS!$I$3:$I$42,MATCH($T1897,LISTAS!$H$3:$H$42,0)),"NO")="SÍ",IF(N($X1897)&gt;0,"CERRADA FUERA DE SLA","CERRADA EN SLA"),IF($U1897="","SIN CLASIFICAR",IF(N($X1897)&gt;0,"VENCIDA",IF(TODAY()&gt;=$U1897-1,"POR VENCER","EN PLAZO")))))</f>
        <v/>
      </c>
      <c r="Z1897" s="41" t="n"/>
      <c r="AA1897" s="41" t="n"/>
      <c r="AB1897" s="41" t="n"/>
    </row>
    <row r="1898">
      <c r="A1898" s="39">
        <f>IF($C1898="","","NOV-"&amp;TEXT(ROW()-3,"0000"))</f>
        <v/>
      </c>
      <c r="B1898" s="40" t="n"/>
      <c r="C1898" s="41" t="n"/>
      <c r="D1898" s="42">
        <f>IF($C1898="","",IFERROR(INDEX(DESPACHOS!$D$3:$D$3002,MATCH($C1898,DESPACHOS!$B$3:$B$3002,0)),"SIN DESPACHO"))</f>
        <v/>
      </c>
      <c r="E1898" s="42">
        <f>IF($C1898="","",IFERROR(INDEX(DESPACHOS!$K$3:$K$3002,MATCH($C1898,DESPACHOS!$B$3:$B$3002,0)),""))</f>
        <v/>
      </c>
      <c r="F1898" s="42">
        <f>IF($C1898="","",IFERROR(INDEX(DESPACHOS!$I$3:$I$3002,MATCH($C1898,DESPACHOS!$B$3:$B$3002,0)),""))</f>
        <v/>
      </c>
      <c r="G1898" s="42">
        <f>IF($C1898="","",IFERROR(INDEX(DESPACHOS!$F$3:$F$3002,MATCH($C1898,DESPACHOS!$B$3:$B$3002,0)),""))</f>
        <v/>
      </c>
      <c r="H1898" s="42">
        <f>IF($C1898="","",IFERROR(INDEX(DESPACHOS!$G$3:$G$3002,MATCH($C1898,DESPACHOS!$B$3:$B$3002,0)),""))</f>
        <v/>
      </c>
      <c r="I1898" s="39">
        <f>IF($C1898="","",IFERROR(INDEX(DESPACHOS!$H$3:$H$3002,MATCH($C1898,DESPACHOS!$B$3:$B$3002,0)),""))</f>
        <v/>
      </c>
      <c r="J1898" s="43">
        <f>IF($C1898="","",IFERROR(INDEX(DESPACHOS!$J$3:$J$3002,MATCH($C1898,DESPACHOS!$B$3:$B$3002,0)),""))</f>
        <v/>
      </c>
      <c r="K1898" s="39">
        <f>IF($C1898="","",IF(COUNTIFS(DESPACHOS!$B$3:$B$3002,$C1898)=0,"NO EXISTE",IF(COUNTIFS(DESPACHOS!$B$3:$B$3002,$C1898)&gt;1,"DUPLICADO","OK")))</f>
        <v/>
      </c>
      <c r="L1898" s="41" t="n"/>
      <c r="M1898" s="41" t="n"/>
      <c r="N1898" s="42">
        <f>IF($M1898="","",IFERROR(INDEX(LISTAS!$F$3:$F$42,MATCH($M1898,LISTAS!$E$3:$E$42,0)),"Por definir"))</f>
        <v/>
      </c>
      <c r="O1898" s="41" t="n"/>
      <c r="P1898" s="39">
        <f>IF($L1898="","",IFERROR(INDEX(LISTAS!$B$3:$B$42,MATCH($L1898,LISTAS!$A$3:$A$42,0)),"Media"))</f>
        <v/>
      </c>
      <c r="Q1898" s="44" t="n"/>
      <c r="R1898" s="45" t="n"/>
      <c r="S1898" s="20">
        <f>IFERROR(IF(OR($R1898="",$C1898=""),"",$R1898/INDEX(DESPACHOS!$M$3:$M$3002,MATCH($C1898,DESPACHOS!$B$3:$B$3002,0))),"")</f>
        <v/>
      </c>
      <c r="T1898" s="41" t="n"/>
      <c r="U1898" s="43">
        <f>IF(OR($B1898="",$L1898=""),"",WORKDAY($B1898,IFERROR(INDEX(LISTAS!$C$3:$C$42,MATCH($L1898,LISTAS!$A$3:$A$42,0)),3)))</f>
        <v/>
      </c>
      <c r="V1898" s="40" t="n"/>
      <c r="W1898" s="19">
        <f>IF($B1898="","",IF($V1898&lt;&gt;"",$V1898-$B1898,TODAY()-$B1898))</f>
        <v/>
      </c>
      <c r="X1898" s="19">
        <f>IF(OR($B1898="",$U1898=""),"",IF($V1898&lt;&gt;"",MAX(0,$V1898-$U1898),MAX(0,TODAY()-$U1898)))</f>
        <v/>
      </c>
      <c r="Y1898" s="39">
        <f>IF($C1898="","",IF(IFERROR(INDEX(LISTAS!$I$3:$I$42,MATCH($T1898,LISTAS!$H$3:$H$42,0)),"NO")="SÍ",IF(N($X1898)&gt;0,"CERRADA FUERA DE SLA","CERRADA EN SLA"),IF($U1898="","SIN CLASIFICAR",IF(N($X1898)&gt;0,"VENCIDA",IF(TODAY()&gt;=$U1898-1,"POR VENCER","EN PLAZO")))))</f>
        <v/>
      </c>
      <c r="Z1898" s="41" t="n"/>
      <c r="AA1898" s="41" t="n"/>
      <c r="AB1898" s="41" t="n"/>
    </row>
    <row r="1899">
      <c r="A1899" s="39">
        <f>IF($C1899="","","NOV-"&amp;TEXT(ROW()-3,"0000"))</f>
        <v/>
      </c>
      <c r="B1899" s="40" t="n"/>
      <c r="C1899" s="41" t="n"/>
      <c r="D1899" s="42">
        <f>IF($C1899="","",IFERROR(INDEX(DESPACHOS!$D$3:$D$3002,MATCH($C1899,DESPACHOS!$B$3:$B$3002,0)),"SIN DESPACHO"))</f>
        <v/>
      </c>
      <c r="E1899" s="42">
        <f>IF($C1899="","",IFERROR(INDEX(DESPACHOS!$K$3:$K$3002,MATCH($C1899,DESPACHOS!$B$3:$B$3002,0)),""))</f>
        <v/>
      </c>
      <c r="F1899" s="42">
        <f>IF($C1899="","",IFERROR(INDEX(DESPACHOS!$I$3:$I$3002,MATCH($C1899,DESPACHOS!$B$3:$B$3002,0)),""))</f>
        <v/>
      </c>
      <c r="G1899" s="42">
        <f>IF($C1899="","",IFERROR(INDEX(DESPACHOS!$F$3:$F$3002,MATCH($C1899,DESPACHOS!$B$3:$B$3002,0)),""))</f>
        <v/>
      </c>
      <c r="H1899" s="42">
        <f>IF($C1899="","",IFERROR(INDEX(DESPACHOS!$G$3:$G$3002,MATCH($C1899,DESPACHOS!$B$3:$B$3002,0)),""))</f>
        <v/>
      </c>
      <c r="I1899" s="39">
        <f>IF($C1899="","",IFERROR(INDEX(DESPACHOS!$H$3:$H$3002,MATCH($C1899,DESPACHOS!$B$3:$B$3002,0)),""))</f>
        <v/>
      </c>
      <c r="J1899" s="43">
        <f>IF($C1899="","",IFERROR(INDEX(DESPACHOS!$J$3:$J$3002,MATCH($C1899,DESPACHOS!$B$3:$B$3002,0)),""))</f>
        <v/>
      </c>
      <c r="K1899" s="39">
        <f>IF($C1899="","",IF(COUNTIFS(DESPACHOS!$B$3:$B$3002,$C1899)=0,"NO EXISTE",IF(COUNTIFS(DESPACHOS!$B$3:$B$3002,$C1899)&gt;1,"DUPLICADO","OK")))</f>
        <v/>
      </c>
      <c r="L1899" s="41" t="n"/>
      <c r="M1899" s="41" t="n"/>
      <c r="N1899" s="42">
        <f>IF($M1899="","",IFERROR(INDEX(LISTAS!$F$3:$F$42,MATCH($M1899,LISTAS!$E$3:$E$42,0)),"Por definir"))</f>
        <v/>
      </c>
      <c r="O1899" s="41" t="n"/>
      <c r="P1899" s="39">
        <f>IF($L1899="","",IFERROR(INDEX(LISTAS!$B$3:$B$42,MATCH($L1899,LISTAS!$A$3:$A$42,0)),"Media"))</f>
        <v/>
      </c>
      <c r="Q1899" s="44" t="n"/>
      <c r="R1899" s="45" t="n"/>
      <c r="S1899" s="20">
        <f>IFERROR(IF(OR($R1899="",$C1899=""),"",$R1899/INDEX(DESPACHOS!$M$3:$M$3002,MATCH($C1899,DESPACHOS!$B$3:$B$3002,0))),"")</f>
        <v/>
      </c>
      <c r="T1899" s="41" t="n"/>
      <c r="U1899" s="43">
        <f>IF(OR($B1899="",$L1899=""),"",WORKDAY($B1899,IFERROR(INDEX(LISTAS!$C$3:$C$42,MATCH($L1899,LISTAS!$A$3:$A$42,0)),3)))</f>
        <v/>
      </c>
      <c r="V1899" s="40" t="n"/>
      <c r="W1899" s="19">
        <f>IF($B1899="","",IF($V1899&lt;&gt;"",$V1899-$B1899,TODAY()-$B1899))</f>
        <v/>
      </c>
      <c r="X1899" s="19">
        <f>IF(OR($B1899="",$U1899=""),"",IF($V1899&lt;&gt;"",MAX(0,$V1899-$U1899),MAX(0,TODAY()-$U1899)))</f>
        <v/>
      </c>
      <c r="Y1899" s="39">
        <f>IF($C1899="","",IF(IFERROR(INDEX(LISTAS!$I$3:$I$42,MATCH($T1899,LISTAS!$H$3:$H$42,0)),"NO")="SÍ",IF(N($X1899)&gt;0,"CERRADA FUERA DE SLA","CERRADA EN SLA"),IF($U1899="","SIN CLASIFICAR",IF(N($X1899)&gt;0,"VENCIDA",IF(TODAY()&gt;=$U1899-1,"POR VENCER","EN PLAZO")))))</f>
        <v/>
      </c>
      <c r="Z1899" s="41" t="n"/>
      <c r="AA1899" s="41" t="n"/>
      <c r="AB1899" s="41" t="n"/>
    </row>
    <row r="1900">
      <c r="A1900" s="39">
        <f>IF($C1900="","","NOV-"&amp;TEXT(ROW()-3,"0000"))</f>
        <v/>
      </c>
      <c r="B1900" s="40" t="n"/>
      <c r="C1900" s="41" t="n"/>
      <c r="D1900" s="42">
        <f>IF($C1900="","",IFERROR(INDEX(DESPACHOS!$D$3:$D$3002,MATCH($C1900,DESPACHOS!$B$3:$B$3002,0)),"SIN DESPACHO"))</f>
        <v/>
      </c>
      <c r="E1900" s="42">
        <f>IF($C1900="","",IFERROR(INDEX(DESPACHOS!$K$3:$K$3002,MATCH($C1900,DESPACHOS!$B$3:$B$3002,0)),""))</f>
        <v/>
      </c>
      <c r="F1900" s="42">
        <f>IF($C1900="","",IFERROR(INDEX(DESPACHOS!$I$3:$I$3002,MATCH($C1900,DESPACHOS!$B$3:$B$3002,0)),""))</f>
        <v/>
      </c>
      <c r="G1900" s="42">
        <f>IF($C1900="","",IFERROR(INDEX(DESPACHOS!$F$3:$F$3002,MATCH($C1900,DESPACHOS!$B$3:$B$3002,0)),""))</f>
        <v/>
      </c>
      <c r="H1900" s="42">
        <f>IF($C1900="","",IFERROR(INDEX(DESPACHOS!$G$3:$G$3002,MATCH($C1900,DESPACHOS!$B$3:$B$3002,0)),""))</f>
        <v/>
      </c>
      <c r="I1900" s="39">
        <f>IF($C1900="","",IFERROR(INDEX(DESPACHOS!$H$3:$H$3002,MATCH($C1900,DESPACHOS!$B$3:$B$3002,0)),""))</f>
        <v/>
      </c>
      <c r="J1900" s="43">
        <f>IF($C1900="","",IFERROR(INDEX(DESPACHOS!$J$3:$J$3002,MATCH($C1900,DESPACHOS!$B$3:$B$3002,0)),""))</f>
        <v/>
      </c>
      <c r="K1900" s="39">
        <f>IF($C1900="","",IF(COUNTIFS(DESPACHOS!$B$3:$B$3002,$C1900)=0,"NO EXISTE",IF(COUNTIFS(DESPACHOS!$B$3:$B$3002,$C1900)&gt;1,"DUPLICADO","OK")))</f>
        <v/>
      </c>
      <c r="L1900" s="41" t="n"/>
      <c r="M1900" s="41" t="n"/>
      <c r="N1900" s="42">
        <f>IF($M1900="","",IFERROR(INDEX(LISTAS!$F$3:$F$42,MATCH($M1900,LISTAS!$E$3:$E$42,0)),"Por definir"))</f>
        <v/>
      </c>
      <c r="O1900" s="41" t="n"/>
      <c r="P1900" s="39">
        <f>IF($L1900="","",IFERROR(INDEX(LISTAS!$B$3:$B$42,MATCH($L1900,LISTAS!$A$3:$A$42,0)),"Media"))</f>
        <v/>
      </c>
      <c r="Q1900" s="44" t="n"/>
      <c r="R1900" s="45" t="n"/>
      <c r="S1900" s="20">
        <f>IFERROR(IF(OR($R1900="",$C1900=""),"",$R1900/INDEX(DESPACHOS!$M$3:$M$3002,MATCH($C1900,DESPACHOS!$B$3:$B$3002,0))),"")</f>
        <v/>
      </c>
      <c r="T1900" s="41" t="n"/>
      <c r="U1900" s="43">
        <f>IF(OR($B1900="",$L1900=""),"",WORKDAY($B1900,IFERROR(INDEX(LISTAS!$C$3:$C$42,MATCH($L1900,LISTAS!$A$3:$A$42,0)),3)))</f>
        <v/>
      </c>
      <c r="V1900" s="40" t="n"/>
      <c r="W1900" s="19">
        <f>IF($B1900="","",IF($V1900&lt;&gt;"",$V1900-$B1900,TODAY()-$B1900))</f>
        <v/>
      </c>
      <c r="X1900" s="19">
        <f>IF(OR($B1900="",$U1900=""),"",IF($V1900&lt;&gt;"",MAX(0,$V1900-$U1900),MAX(0,TODAY()-$U1900)))</f>
        <v/>
      </c>
      <c r="Y1900" s="39">
        <f>IF($C1900="","",IF(IFERROR(INDEX(LISTAS!$I$3:$I$42,MATCH($T1900,LISTAS!$H$3:$H$42,0)),"NO")="SÍ",IF(N($X1900)&gt;0,"CERRADA FUERA DE SLA","CERRADA EN SLA"),IF($U1900="","SIN CLASIFICAR",IF(N($X1900)&gt;0,"VENCIDA",IF(TODAY()&gt;=$U1900-1,"POR VENCER","EN PLAZO")))))</f>
        <v/>
      </c>
      <c r="Z1900" s="41" t="n"/>
      <c r="AA1900" s="41" t="n"/>
      <c r="AB1900" s="41" t="n"/>
    </row>
    <row r="1901">
      <c r="A1901" s="39">
        <f>IF($C1901="","","NOV-"&amp;TEXT(ROW()-3,"0000"))</f>
        <v/>
      </c>
      <c r="B1901" s="40" t="n"/>
      <c r="C1901" s="41" t="n"/>
      <c r="D1901" s="42">
        <f>IF($C1901="","",IFERROR(INDEX(DESPACHOS!$D$3:$D$3002,MATCH($C1901,DESPACHOS!$B$3:$B$3002,0)),"SIN DESPACHO"))</f>
        <v/>
      </c>
      <c r="E1901" s="42">
        <f>IF($C1901="","",IFERROR(INDEX(DESPACHOS!$K$3:$K$3002,MATCH($C1901,DESPACHOS!$B$3:$B$3002,0)),""))</f>
        <v/>
      </c>
      <c r="F1901" s="42">
        <f>IF($C1901="","",IFERROR(INDEX(DESPACHOS!$I$3:$I$3002,MATCH($C1901,DESPACHOS!$B$3:$B$3002,0)),""))</f>
        <v/>
      </c>
      <c r="G1901" s="42">
        <f>IF($C1901="","",IFERROR(INDEX(DESPACHOS!$F$3:$F$3002,MATCH($C1901,DESPACHOS!$B$3:$B$3002,0)),""))</f>
        <v/>
      </c>
      <c r="H1901" s="42">
        <f>IF($C1901="","",IFERROR(INDEX(DESPACHOS!$G$3:$G$3002,MATCH($C1901,DESPACHOS!$B$3:$B$3002,0)),""))</f>
        <v/>
      </c>
      <c r="I1901" s="39">
        <f>IF($C1901="","",IFERROR(INDEX(DESPACHOS!$H$3:$H$3002,MATCH($C1901,DESPACHOS!$B$3:$B$3002,0)),""))</f>
        <v/>
      </c>
      <c r="J1901" s="43">
        <f>IF($C1901="","",IFERROR(INDEX(DESPACHOS!$J$3:$J$3002,MATCH($C1901,DESPACHOS!$B$3:$B$3002,0)),""))</f>
        <v/>
      </c>
      <c r="K1901" s="39">
        <f>IF($C1901="","",IF(COUNTIFS(DESPACHOS!$B$3:$B$3002,$C1901)=0,"NO EXISTE",IF(COUNTIFS(DESPACHOS!$B$3:$B$3002,$C1901)&gt;1,"DUPLICADO","OK")))</f>
        <v/>
      </c>
      <c r="L1901" s="41" t="n"/>
      <c r="M1901" s="41" t="n"/>
      <c r="N1901" s="42">
        <f>IF($M1901="","",IFERROR(INDEX(LISTAS!$F$3:$F$42,MATCH($M1901,LISTAS!$E$3:$E$42,0)),"Por definir"))</f>
        <v/>
      </c>
      <c r="O1901" s="41" t="n"/>
      <c r="P1901" s="39">
        <f>IF($L1901="","",IFERROR(INDEX(LISTAS!$B$3:$B$42,MATCH($L1901,LISTAS!$A$3:$A$42,0)),"Media"))</f>
        <v/>
      </c>
      <c r="Q1901" s="44" t="n"/>
      <c r="R1901" s="45" t="n"/>
      <c r="S1901" s="20">
        <f>IFERROR(IF(OR($R1901="",$C1901=""),"",$R1901/INDEX(DESPACHOS!$M$3:$M$3002,MATCH($C1901,DESPACHOS!$B$3:$B$3002,0))),"")</f>
        <v/>
      </c>
      <c r="T1901" s="41" t="n"/>
      <c r="U1901" s="43">
        <f>IF(OR($B1901="",$L1901=""),"",WORKDAY($B1901,IFERROR(INDEX(LISTAS!$C$3:$C$42,MATCH($L1901,LISTAS!$A$3:$A$42,0)),3)))</f>
        <v/>
      </c>
      <c r="V1901" s="40" t="n"/>
      <c r="W1901" s="19">
        <f>IF($B1901="","",IF($V1901&lt;&gt;"",$V1901-$B1901,TODAY()-$B1901))</f>
        <v/>
      </c>
      <c r="X1901" s="19">
        <f>IF(OR($B1901="",$U1901=""),"",IF($V1901&lt;&gt;"",MAX(0,$V1901-$U1901),MAX(0,TODAY()-$U1901)))</f>
        <v/>
      </c>
      <c r="Y1901" s="39">
        <f>IF($C1901="","",IF(IFERROR(INDEX(LISTAS!$I$3:$I$42,MATCH($T1901,LISTAS!$H$3:$H$42,0)),"NO")="SÍ",IF(N($X1901)&gt;0,"CERRADA FUERA DE SLA","CERRADA EN SLA"),IF($U1901="","SIN CLASIFICAR",IF(N($X1901)&gt;0,"VENCIDA",IF(TODAY()&gt;=$U1901-1,"POR VENCER","EN PLAZO")))))</f>
        <v/>
      </c>
      <c r="Z1901" s="41" t="n"/>
      <c r="AA1901" s="41" t="n"/>
      <c r="AB1901" s="41" t="n"/>
    </row>
    <row r="1902">
      <c r="A1902" s="39">
        <f>IF($C1902="","","NOV-"&amp;TEXT(ROW()-3,"0000"))</f>
        <v/>
      </c>
      <c r="B1902" s="40" t="n"/>
      <c r="C1902" s="41" t="n"/>
      <c r="D1902" s="42">
        <f>IF($C1902="","",IFERROR(INDEX(DESPACHOS!$D$3:$D$3002,MATCH($C1902,DESPACHOS!$B$3:$B$3002,0)),"SIN DESPACHO"))</f>
        <v/>
      </c>
      <c r="E1902" s="42">
        <f>IF($C1902="","",IFERROR(INDEX(DESPACHOS!$K$3:$K$3002,MATCH($C1902,DESPACHOS!$B$3:$B$3002,0)),""))</f>
        <v/>
      </c>
      <c r="F1902" s="42">
        <f>IF($C1902="","",IFERROR(INDEX(DESPACHOS!$I$3:$I$3002,MATCH($C1902,DESPACHOS!$B$3:$B$3002,0)),""))</f>
        <v/>
      </c>
      <c r="G1902" s="42">
        <f>IF($C1902="","",IFERROR(INDEX(DESPACHOS!$F$3:$F$3002,MATCH($C1902,DESPACHOS!$B$3:$B$3002,0)),""))</f>
        <v/>
      </c>
      <c r="H1902" s="42">
        <f>IF($C1902="","",IFERROR(INDEX(DESPACHOS!$G$3:$G$3002,MATCH($C1902,DESPACHOS!$B$3:$B$3002,0)),""))</f>
        <v/>
      </c>
      <c r="I1902" s="39">
        <f>IF($C1902="","",IFERROR(INDEX(DESPACHOS!$H$3:$H$3002,MATCH($C1902,DESPACHOS!$B$3:$B$3002,0)),""))</f>
        <v/>
      </c>
      <c r="J1902" s="43">
        <f>IF($C1902="","",IFERROR(INDEX(DESPACHOS!$J$3:$J$3002,MATCH($C1902,DESPACHOS!$B$3:$B$3002,0)),""))</f>
        <v/>
      </c>
      <c r="K1902" s="39">
        <f>IF($C1902="","",IF(COUNTIFS(DESPACHOS!$B$3:$B$3002,$C1902)=0,"NO EXISTE",IF(COUNTIFS(DESPACHOS!$B$3:$B$3002,$C1902)&gt;1,"DUPLICADO","OK")))</f>
        <v/>
      </c>
      <c r="L1902" s="41" t="n"/>
      <c r="M1902" s="41" t="n"/>
      <c r="N1902" s="42">
        <f>IF($M1902="","",IFERROR(INDEX(LISTAS!$F$3:$F$42,MATCH($M1902,LISTAS!$E$3:$E$42,0)),"Por definir"))</f>
        <v/>
      </c>
      <c r="O1902" s="41" t="n"/>
      <c r="P1902" s="39">
        <f>IF($L1902="","",IFERROR(INDEX(LISTAS!$B$3:$B$42,MATCH($L1902,LISTAS!$A$3:$A$42,0)),"Media"))</f>
        <v/>
      </c>
      <c r="Q1902" s="44" t="n"/>
      <c r="R1902" s="45" t="n"/>
      <c r="S1902" s="20">
        <f>IFERROR(IF(OR($R1902="",$C1902=""),"",$R1902/INDEX(DESPACHOS!$M$3:$M$3002,MATCH($C1902,DESPACHOS!$B$3:$B$3002,0))),"")</f>
        <v/>
      </c>
      <c r="T1902" s="41" t="n"/>
      <c r="U1902" s="43">
        <f>IF(OR($B1902="",$L1902=""),"",WORKDAY($B1902,IFERROR(INDEX(LISTAS!$C$3:$C$42,MATCH($L1902,LISTAS!$A$3:$A$42,0)),3)))</f>
        <v/>
      </c>
      <c r="V1902" s="40" t="n"/>
      <c r="W1902" s="19">
        <f>IF($B1902="","",IF($V1902&lt;&gt;"",$V1902-$B1902,TODAY()-$B1902))</f>
        <v/>
      </c>
      <c r="X1902" s="19">
        <f>IF(OR($B1902="",$U1902=""),"",IF($V1902&lt;&gt;"",MAX(0,$V1902-$U1902),MAX(0,TODAY()-$U1902)))</f>
        <v/>
      </c>
      <c r="Y1902" s="39">
        <f>IF($C1902="","",IF(IFERROR(INDEX(LISTAS!$I$3:$I$42,MATCH($T1902,LISTAS!$H$3:$H$42,0)),"NO")="SÍ",IF(N($X1902)&gt;0,"CERRADA FUERA DE SLA","CERRADA EN SLA"),IF($U1902="","SIN CLASIFICAR",IF(N($X1902)&gt;0,"VENCIDA",IF(TODAY()&gt;=$U1902-1,"POR VENCER","EN PLAZO")))))</f>
        <v/>
      </c>
      <c r="Z1902" s="41" t="n"/>
      <c r="AA1902" s="41" t="n"/>
      <c r="AB1902" s="41" t="n"/>
    </row>
    <row r="1903">
      <c r="A1903" s="39">
        <f>IF($C1903="","","NOV-"&amp;TEXT(ROW()-3,"0000"))</f>
        <v/>
      </c>
      <c r="B1903" s="40" t="n"/>
      <c r="C1903" s="41" t="n"/>
      <c r="D1903" s="42">
        <f>IF($C1903="","",IFERROR(INDEX(DESPACHOS!$D$3:$D$3002,MATCH($C1903,DESPACHOS!$B$3:$B$3002,0)),"SIN DESPACHO"))</f>
        <v/>
      </c>
      <c r="E1903" s="42">
        <f>IF($C1903="","",IFERROR(INDEX(DESPACHOS!$K$3:$K$3002,MATCH($C1903,DESPACHOS!$B$3:$B$3002,0)),""))</f>
        <v/>
      </c>
      <c r="F1903" s="42">
        <f>IF($C1903="","",IFERROR(INDEX(DESPACHOS!$I$3:$I$3002,MATCH($C1903,DESPACHOS!$B$3:$B$3002,0)),""))</f>
        <v/>
      </c>
      <c r="G1903" s="42">
        <f>IF($C1903="","",IFERROR(INDEX(DESPACHOS!$F$3:$F$3002,MATCH($C1903,DESPACHOS!$B$3:$B$3002,0)),""))</f>
        <v/>
      </c>
      <c r="H1903" s="42">
        <f>IF($C1903="","",IFERROR(INDEX(DESPACHOS!$G$3:$G$3002,MATCH($C1903,DESPACHOS!$B$3:$B$3002,0)),""))</f>
        <v/>
      </c>
      <c r="I1903" s="39">
        <f>IF($C1903="","",IFERROR(INDEX(DESPACHOS!$H$3:$H$3002,MATCH($C1903,DESPACHOS!$B$3:$B$3002,0)),""))</f>
        <v/>
      </c>
      <c r="J1903" s="43">
        <f>IF($C1903="","",IFERROR(INDEX(DESPACHOS!$J$3:$J$3002,MATCH($C1903,DESPACHOS!$B$3:$B$3002,0)),""))</f>
        <v/>
      </c>
      <c r="K1903" s="39">
        <f>IF($C1903="","",IF(COUNTIFS(DESPACHOS!$B$3:$B$3002,$C1903)=0,"NO EXISTE",IF(COUNTIFS(DESPACHOS!$B$3:$B$3002,$C1903)&gt;1,"DUPLICADO","OK")))</f>
        <v/>
      </c>
      <c r="L1903" s="41" t="n"/>
      <c r="M1903" s="41" t="n"/>
      <c r="N1903" s="42">
        <f>IF($M1903="","",IFERROR(INDEX(LISTAS!$F$3:$F$42,MATCH($M1903,LISTAS!$E$3:$E$42,0)),"Por definir"))</f>
        <v/>
      </c>
      <c r="O1903" s="41" t="n"/>
      <c r="P1903" s="39">
        <f>IF($L1903="","",IFERROR(INDEX(LISTAS!$B$3:$B$42,MATCH($L1903,LISTAS!$A$3:$A$42,0)),"Media"))</f>
        <v/>
      </c>
      <c r="Q1903" s="44" t="n"/>
      <c r="R1903" s="45" t="n"/>
      <c r="S1903" s="20">
        <f>IFERROR(IF(OR($R1903="",$C1903=""),"",$R1903/INDEX(DESPACHOS!$M$3:$M$3002,MATCH($C1903,DESPACHOS!$B$3:$B$3002,0))),"")</f>
        <v/>
      </c>
      <c r="T1903" s="41" t="n"/>
      <c r="U1903" s="43">
        <f>IF(OR($B1903="",$L1903=""),"",WORKDAY($B1903,IFERROR(INDEX(LISTAS!$C$3:$C$42,MATCH($L1903,LISTAS!$A$3:$A$42,0)),3)))</f>
        <v/>
      </c>
      <c r="V1903" s="40" t="n"/>
      <c r="W1903" s="19">
        <f>IF($B1903="","",IF($V1903&lt;&gt;"",$V1903-$B1903,TODAY()-$B1903))</f>
        <v/>
      </c>
      <c r="X1903" s="19">
        <f>IF(OR($B1903="",$U1903=""),"",IF($V1903&lt;&gt;"",MAX(0,$V1903-$U1903),MAX(0,TODAY()-$U1903)))</f>
        <v/>
      </c>
      <c r="Y1903" s="39">
        <f>IF($C1903="","",IF(IFERROR(INDEX(LISTAS!$I$3:$I$42,MATCH($T1903,LISTAS!$H$3:$H$42,0)),"NO")="SÍ",IF(N($X1903)&gt;0,"CERRADA FUERA DE SLA","CERRADA EN SLA"),IF($U1903="","SIN CLASIFICAR",IF(N($X1903)&gt;0,"VENCIDA",IF(TODAY()&gt;=$U1903-1,"POR VENCER","EN PLAZO")))))</f>
        <v/>
      </c>
      <c r="Z1903" s="41" t="n"/>
      <c r="AA1903" s="41" t="n"/>
      <c r="AB1903" s="41" t="n"/>
    </row>
    <row r="1904">
      <c r="A1904" s="39">
        <f>IF($C1904="","","NOV-"&amp;TEXT(ROW()-3,"0000"))</f>
        <v/>
      </c>
      <c r="B1904" s="40" t="n"/>
      <c r="C1904" s="41" t="n"/>
      <c r="D1904" s="42">
        <f>IF($C1904="","",IFERROR(INDEX(DESPACHOS!$D$3:$D$3002,MATCH($C1904,DESPACHOS!$B$3:$B$3002,0)),"SIN DESPACHO"))</f>
        <v/>
      </c>
      <c r="E1904" s="42">
        <f>IF($C1904="","",IFERROR(INDEX(DESPACHOS!$K$3:$K$3002,MATCH($C1904,DESPACHOS!$B$3:$B$3002,0)),""))</f>
        <v/>
      </c>
      <c r="F1904" s="42">
        <f>IF($C1904="","",IFERROR(INDEX(DESPACHOS!$I$3:$I$3002,MATCH($C1904,DESPACHOS!$B$3:$B$3002,0)),""))</f>
        <v/>
      </c>
      <c r="G1904" s="42">
        <f>IF($C1904="","",IFERROR(INDEX(DESPACHOS!$F$3:$F$3002,MATCH($C1904,DESPACHOS!$B$3:$B$3002,0)),""))</f>
        <v/>
      </c>
      <c r="H1904" s="42">
        <f>IF($C1904="","",IFERROR(INDEX(DESPACHOS!$G$3:$G$3002,MATCH($C1904,DESPACHOS!$B$3:$B$3002,0)),""))</f>
        <v/>
      </c>
      <c r="I1904" s="39">
        <f>IF($C1904="","",IFERROR(INDEX(DESPACHOS!$H$3:$H$3002,MATCH($C1904,DESPACHOS!$B$3:$B$3002,0)),""))</f>
        <v/>
      </c>
      <c r="J1904" s="43">
        <f>IF($C1904="","",IFERROR(INDEX(DESPACHOS!$J$3:$J$3002,MATCH($C1904,DESPACHOS!$B$3:$B$3002,0)),""))</f>
        <v/>
      </c>
      <c r="K1904" s="39">
        <f>IF($C1904="","",IF(COUNTIFS(DESPACHOS!$B$3:$B$3002,$C1904)=0,"NO EXISTE",IF(COUNTIFS(DESPACHOS!$B$3:$B$3002,$C1904)&gt;1,"DUPLICADO","OK")))</f>
        <v/>
      </c>
      <c r="L1904" s="41" t="n"/>
      <c r="M1904" s="41" t="n"/>
      <c r="N1904" s="42">
        <f>IF($M1904="","",IFERROR(INDEX(LISTAS!$F$3:$F$42,MATCH($M1904,LISTAS!$E$3:$E$42,0)),"Por definir"))</f>
        <v/>
      </c>
      <c r="O1904" s="41" t="n"/>
      <c r="P1904" s="39">
        <f>IF($L1904="","",IFERROR(INDEX(LISTAS!$B$3:$B$42,MATCH($L1904,LISTAS!$A$3:$A$42,0)),"Media"))</f>
        <v/>
      </c>
      <c r="Q1904" s="44" t="n"/>
      <c r="R1904" s="45" t="n"/>
      <c r="S1904" s="20">
        <f>IFERROR(IF(OR($R1904="",$C1904=""),"",$R1904/INDEX(DESPACHOS!$M$3:$M$3002,MATCH($C1904,DESPACHOS!$B$3:$B$3002,0))),"")</f>
        <v/>
      </c>
      <c r="T1904" s="41" t="n"/>
      <c r="U1904" s="43">
        <f>IF(OR($B1904="",$L1904=""),"",WORKDAY($B1904,IFERROR(INDEX(LISTAS!$C$3:$C$42,MATCH($L1904,LISTAS!$A$3:$A$42,0)),3)))</f>
        <v/>
      </c>
      <c r="V1904" s="40" t="n"/>
      <c r="W1904" s="19">
        <f>IF($B1904="","",IF($V1904&lt;&gt;"",$V1904-$B1904,TODAY()-$B1904))</f>
        <v/>
      </c>
      <c r="X1904" s="19">
        <f>IF(OR($B1904="",$U1904=""),"",IF($V1904&lt;&gt;"",MAX(0,$V1904-$U1904),MAX(0,TODAY()-$U1904)))</f>
        <v/>
      </c>
      <c r="Y1904" s="39">
        <f>IF($C1904="","",IF(IFERROR(INDEX(LISTAS!$I$3:$I$42,MATCH($T1904,LISTAS!$H$3:$H$42,0)),"NO")="SÍ",IF(N($X1904)&gt;0,"CERRADA FUERA DE SLA","CERRADA EN SLA"),IF($U1904="","SIN CLASIFICAR",IF(N($X1904)&gt;0,"VENCIDA",IF(TODAY()&gt;=$U1904-1,"POR VENCER","EN PLAZO")))))</f>
        <v/>
      </c>
      <c r="Z1904" s="41" t="n"/>
      <c r="AA1904" s="41" t="n"/>
      <c r="AB1904" s="41" t="n"/>
    </row>
    <row r="1905">
      <c r="A1905" s="39">
        <f>IF($C1905="","","NOV-"&amp;TEXT(ROW()-3,"0000"))</f>
        <v/>
      </c>
      <c r="B1905" s="40" t="n"/>
      <c r="C1905" s="41" t="n"/>
      <c r="D1905" s="42">
        <f>IF($C1905="","",IFERROR(INDEX(DESPACHOS!$D$3:$D$3002,MATCH($C1905,DESPACHOS!$B$3:$B$3002,0)),"SIN DESPACHO"))</f>
        <v/>
      </c>
      <c r="E1905" s="42">
        <f>IF($C1905="","",IFERROR(INDEX(DESPACHOS!$K$3:$K$3002,MATCH($C1905,DESPACHOS!$B$3:$B$3002,0)),""))</f>
        <v/>
      </c>
      <c r="F1905" s="42">
        <f>IF($C1905="","",IFERROR(INDEX(DESPACHOS!$I$3:$I$3002,MATCH($C1905,DESPACHOS!$B$3:$B$3002,0)),""))</f>
        <v/>
      </c>
      <c r="G1905" s="42">
        <f>IF($C1905="","",IFERROR(INDEX(DESPACHOS!$F$3:$F$3002,MATCH($C1905,DESPACHOS!$B$3:$B$3002,0)),""))</f>
        <v/>
      </c>
      <c r="H1905" s="42">
        <f>IF($C1905="","",IFERROR(INDEX(DESPACHOS!$G$3:$G$3002,MATCH($C1905,DESPACHOS!$B$3:$B$3002,0)),""))</f>
        <v/>
      </c>
      <c r="I1905" s="39">
        <f>IF($C1905="","",IFERROR(INDEX(DESPACHOS!$H$3:$H$3002,MATCH($C1905,DESPACHOS!$B$3:$B$3002,0)),""))</f>
        <v/>
      </c>
      <c r="J1905" s="43">
        <f>IF($C1905="","",IFERROR(INDEX(DESPACHOS!$J$3:$J$3002,MATCH($C1905,DESPACHOS!$B$3:$B$3002,0)),""))</f>
        <v/>
      </c>
      <c r="K1905" s="39">
        <f>IF($C1905="","",IF(COUNTIFS(DESPACHOS!$B$3:$B$3002,$C1905)=0,"NO EXISTE",IF(COUNTIFS(DESPACHOS!$B$3:$B$3002,$C1905)&gt;1,"DUPLICADO","OK")))</f>
        <v/>
      </c>
      <c r="L1905" s="41" t="n"/>
      <c r="M1905" s="41" t="n"/>
      <c r="N1905" s="42">
        <f>IF($M1905="","",IFERROR(INDEX(LISTAS!$F$3:$F$42,MATCH($M1905,LISTAS!$E$3:$E$42,0)),"Por definir"))</f>
        <v/>
      </c>
      <c r="O1905" s="41" t="n"/>
      <c r="P1905" s="39">
        <f>IF($L1905="","",IFERROR(INDEX(LISTAS!$B$3:$B$42,MATCH($L1905,LISTAS!$A$3:$A$42,0)),"Media"))</f>
        <v/>
      </c>
      <c r="Q1905" s="44" t="n"/>
      <c r="R1905" s="45" t="n"/>
      <c r="S1905" s="20">
        <f>IFERROR(IF(OR($R1905="",$C1905=""),"",$R1905/INDEX(DESPACHOS!$M$3:$M$3002,MATCH($C1905,DESPACHOS!$B$3:$B$3002,0))),"")</f>
        <v/>
      </c>
      <c r="T1905" s="41" t="n"/>
      <c r="U1905" s="43">
        <f>IF(OR($B1905="",$L1905=""),"",WORKDAY($B1905,IFERROR(INDEX(LISTAS!$C$3:$C$42,MATCH($L1905,LISTAS!$A$3:$A$42,0)),3)))</f>
        <v/>
      </c>
      <c r="V1905" s="40" t="n"/>
      <c r="W1905" s="19">
        <f>IF($B1905="","",IF($V1905&lt;&gt;"",$V1905-$B1905,TODAY()-$B1905))</f>
        <v/>
      </c>
      <c r="X1905" s="19">
        <f>IF(OR($B1905="",$U1905=""),"",IF($V1905&lt;&gt;"",MAX(0,$V1905-$U1905),MAX(0,TODAY()-$U1905)))</f>
        <v/>
      </c>
      <c r="Y1905" s="39">
        <f>IF($C1905="","",IF(IFERROR(INDEX(LISTAS!$I$3:$I$42,MATCH($T1905,LISTAS!$H$3:$H$42,0)),"NO")="SÍ",IF(N($X1905)&gt;0,"CERRADA FUERA DE SLA","CERRADA EN SLA"),IF($U1905="","SIN CLASIFICAR",IF(N($X1905)&gt;0,"VENCIDA",IF(TODAY()&gt;=$U1905-1,"POR VENCER","EN PLAZO")))))</f>
        <v/>
      </c>
      <c r="Z1905" s="41" t="n"/>
      <c r="AA1905" s="41" t="n"/>
      <c r="AB1905" s="41" t="n"/>
    </row>
    <row r="1906">
      <c r="A1906" s="39">
        <f>IF($C1906="","","NOV-"&amp;TEXT(ROW()-3,"0000"))</f>
        <v/>
      </c>
      <c r="B1906" s="40" t="n"/>
      <c r="C1906" s="41" t="n"/>
      <c r="D1906" s="42">
        <f>IF($C1906="","",IFERROR(INDEX(DESPACHOS!$D$3:$D$3002,MATCH($C1906,DESPACHOS!$B$3:$B$3002,0)),"SIN DESPACHO"))</f>
        <v/>
      </c>
      <c r="E1906" s="42">
        <f>IF($C1906="","",IFERROR(INDEX(DESPACHOS!$K$3:$K$3002,MATCH($C1906,DESPACHOS!$B$3:$B$3002,0)),""))</f>
        <v/>
      </c>
      <c r="F1906" s="42">
        <f>IF($C1906="","",IFERROR(INDEX(DESPACHOS!$I$3:$I$3002,MATCH($C1906,DESPACHOS!$B$3:$B$3002,0)),""))</f>
        <v/>
      </c>
      <c r="G1906" s="42">
        <f>IF($C1906="","",IFERROR(INDEX(DESPACHOS!$F$3:$F$3002,MATCH($C1906,DESPACHOS!$B$3:$B$3002,0)),""))</f>
        <v/>
      </c>
      <c r="H1906" s="42">
        <f>IF($C1906="","",IFERROR(INDEX(DESPACHOS!$G$3:$G$3002,MATCH($C1906,DESPACHOS!$B$3:$B$3002,0)),""))</f>
        <v/>
      </c>
      <c r="I1906" s="39">
        <f>IF($C1906="","",IFERROR(INDEX(DESPACHOS!$H$3:$H$3002,MATCH($C1906,DESPACHOS!$B$3:$B$3002,0)),""))</f>
        <v/>
      </c>
      <c r="J1906" s="43">
        <f>IF($C1906="","",IFERROR(INDEX(DESPACHOS!$J$3:$J$3002,MATCH($C1906,DESPACHOS!$B$3:$B$3002,0)),""))</f>
        <v/>
      </c>
      <c r="K1906" s="39">
        <f>IF($C1906="","",IF(COUNTIFS(DESPACHOS!$B$3:$B$3002,$C1906)=0,"NO EXISTE",IF(COUNTIFS(DESPACHOS!$B$3:$B$3002,$C1906)&gt;1,"DUPLICADO","OK")))</f>
        <v/>
      </c>
      <c r="L1906" s="41" t="n"/>
      <c r="M1906" s="41" t="n"/>
      <c r="N1906" s="42">
        <f>IF($M1906="","",IFERROR(INDEX(LISTAS!$F$3:$F$42,MATCH($M1906,LISTAS!$E$3:$E$42,0)),"Por definir"))</f>
        <v/>
      </c>
      <c r="O1906" s="41" t="n"/>
      <c r="P1906" s="39">
        <f>IF($L1906="","",IFERROR(INDEX(LISTAS!$B$3:$B$42,MATCH($L1906,LISTAS!$A$3:$A$42,0)),"Media"))</f>
        <v/>
      </c>
      <c r="Q1906" s="44" t="n"/>
      <c r="R1906" s="45" t="n"/>
      <c r="S1906" s="20">
        <f>IFERROR(IF(OR($R1906="",$C1906=""),"",$R1906/INDEX(DESPACHOS!$M$3:$M$3002,MATCH($C1906,DESPACHOS!$B$3:$B$3002,0))),"")</f>
        <v/>
      </c>
      <c r="T1906" s="41" t="n"/>
      <c r="U1906" s="43">
        <f>IF(OR($B1906="",$L1906=""),"",WORKDAY($B1906,IFERROR(INDEX(LISTAS!$C$3:$C$42,MATCH($L1906,LISTAS!$A$3:$A$42,0)),3)))</f>
        <v/>
      </c>
      <c r="V1906" s="40" t="n"/>
      <c r="W1906" s="19">
        <f>IF($B1906="","",IF($V1906&lt;&gt;"",$V1906-$B1906,TODAY()-$B1906))</f>
        <v/>
      </c>
      <c r="X1906" s="19">
        <f>IF(OR($B1906="",$U1906=""),"",IF($V1906&lt;&gt;"",MAX(0,$V1906-$U1906),MAX(0,TODAY()-$U1906)))</f>
        <v/>
      </c>
      <c r="Y1906" s="39">
        <f>IF($C1906="","",IF(IFERROR(INDEX(LISTAS!$I$3:$I$42,MATCH($T1906,LISTAS!$H$3:$H$42,0)),"NO")="SÍ",IF(N($X1906)&gt;0,"CERRADA FUERA DE SLA","CERRADA EN SLA"),IF($U1906="","SIN CLASIFICAR",IF(N($X1906)&gt;0,"VENCIDA",IF(TODAY()&gt;=$U1906-1,"POR VENCER","EN PLAZO")))))</f>
        <v/>
      </c>
      <c r="Z1906" s="41" t="n"/>
      <c r="AA1906" s="41" t="n"/>
      <c r="AB1906" s="41" t="n"/>
    </row>
    <row r="1907">
      <c r="A1907" s="39">
        <f>IF($C1907="","","NOV-"&amp;TEXT(ROW()-3,"0000"))</f>
        <v/>
      </c>
      <c r="B1907" s="40" t="n"/>
      <c r="C1907" s="41" t="n"/>
      <c r="D1907" s="42">
        <f>IF($C1907="","",IFERROR(INDEX(DESPACHOS!$D$3:$D$3002,MATCH($C1907,DESPACHOS!$B$3:$B$3002,0)),"SIN DESPACHO"))</f>
        <v/>
      </c>
      <c r="E1907" s="42">
        <f>IF($C1907="","",IFERROR(INDEX(DESPACHOS!$K$3:$K$3002,MATCH($C1907,DESPACHOS!$B$3:$B$3002,0)),""))</f>
        <v/>
      </c>
      <c r="F1907" s="42">
        <f>IF($C1907="","",IFERROR(INDEX(DESPACHOS!$I$3:$I$3002,MATCH($C1907,DESPACHOS!$B$3:$B$3002,0)),""))</f>
        <v/>
      </c>
      <c r="G1907" s="42">
        <f>IF($C1907="","",IFERROR(INDEX(DESPACHOS!$F$3:$F$3002,MATCH($C1907,DESPACHOS!$B$3:$B$3002,0)),""))</f>
        <v/>
      </c>
      <c r="H1907" s="42">
        <f>IF($C1907="","",IFERROR(INDEX(DESPACHOS!$G$3:$G$3002,MATCH($C1907,DESPACHOS!$B$3:$B$3002,0)),""))</f>
        <v/>
      </c>
      <c r="I1907" s="39">
        <f>IF($C1907="","",IFERROR(INDEX(DESPACHOS!$H$3:$H$3002,MATCH($C1907,DESPACHOS!$B$3:$B$3002,0)),""))</f>
        <v/>
      </c>
      <c r="J1907" s="43">
        <f>IF($C1907="","",IFERROR(INDEX(DESPACHOS!$J$3:$J$3002,MATCH($C1907,DESPACHOS!$B$3:$B$3002,0)),""))</f>
        <v/>
      </c>
      <c r="K1907" s="39">
        <f>IF($C1907="","",IF(COUNTIFS(DESPACHOS!$B$3:$B$3002,$C1907)=0,"NO EXISTE",IF(COUNTIFS(DESPACHOS!$B$3:$B$3002,$C1907)&gt;1,"DUPLICADO","OK")))</f>
        <v/>
      </c>
      <c r="L1907" s="41" t="n"/>
      <c r="M1907" s="41" t="n"/>
      <c r="N1907" s="42">
        <f>IF($M1907="","",IFERROR(INDEX(LISTAS!$F$3:$F$42,MATCH($M1907,LISTAS!$E$3:$E$42,0)),"Por definir"))</f>
        <v/>
      </c>
      <c r="O1907" s="41" t="n"/>
      <c r="P1907" s="39">
        <f>IF($L1907="","",IFERROR(INDEX(LISTAS!$B$3:$B$42,MATCH($L1907,LISTAS!$A$3:$A$42,0)),"Media"))</f>
        <v/>
      </c>
      <c r="Q1907" s="44" t="n"/>
      <c r="R1907" s="45" t="n"/>
      <c r="S1907" s="20">
        <f>IFERROR(IF(OR($R1907="",$C1907=""),"",$R1907/INDEX(DESPACHOS!$M$3:$M$3002,MATCH($C1907,DESPACHOS!$B$3:$B$3002,0))),"")</f>
        <v/>
      </c>
      <c r="T1907" s="41" t="n"/>
      <c r="U1907" s="43">
        <f>IF(OR($B1907="",$L1907=""),"",WORKDAY($B1907,IFERROR(INDEX(LISTAS!$C$3:$C$42,MATCH($L1907,LISTAS!$A$3:$A$42,0)),3)))</f>
        <v/>
      </c>
      <c r="V1907" s="40" t="n"/>
      <c r="W1907" s="19">
        <f>IF($B1907="","",IF($V1907&lt;&gt;"",$V1907-$B1907,TODAY()-$B1907))</f>
        <v/>
      </c>
      <c r="X1907" s="19">
        <f>IF(OR($B1907="",$U1907=""),"",IF($V1907&lt;&gt;"",MAX(0,$V1907-$U1907),MAX(0,TODAY()-$U1907)))</f>
        <v/>
      </c>
      <c r="Y1907" s="39">
        <f>IF($C1907="","",IF(IFERROR(INDEX(LISTAS!$I$3:$I$42,MATCH($T1907,LISTAS!$H$3:$H$42,0)),"NO")="SÍ",IF(N($X1907)&gt;0,"CERRADA FUERA DE SLA","CERRADA EN SLA"),IF($U1907="","SIN CLASIFICAR",IF(N($X1907)&gt;0,"VENCIDA",IF(TODAY()&gt;=$U1907-1,"POR VENCER","EN PLAZO")))))</f>
        <v/>
      </c>
      <c r="Z1907" s="41" t="n"/>
      <c r="AA1907" s="41" t="n"/>
      <c r="AB1907" s="41" t="n"/>
    </row>
    <row r="1908">
      <c r="A1908" s="39">
        <f>IF($C1908="","","NOV-"&amp;TEXT(ROW()-3,"0000"))</f>
        <v/>
      </c>
      <c r="B1908" s="40" t="n"/>
      <c r="C1908" s="41" t="n"/>
      <c r="D1908" s="42">
        <f>IF($C1908="","",IFERROR(INDEX(DESPACHOS!$D$3:$D$3002,MATCH($C1908,DESPACHOS!$B$3:$B$3002,0)),"SIN DESPACHO"))</f>
        <v/>
      </c>
      <c r="E1908" s="42">
        <f>IF($C1908="","",IFERROR(INDEX(DESPACHOS!$K$3:$K$3002,MATCH($C1908,DESPACHOS!$B$3:$B$3002,0)),""))</f>
        <v/>
      </c>
      <c r="F1908" s="42">
        <f>IF($C1908="","",IFERROR(INDEX(DESPACHOS!$I$3:$I$3002,MATCH($C1908,DESPACHOS!$B$3:$B$3002,0)),""))</f>
        <v/>
      </c>
      <c r="G1908" s="42">
        <f>IF($C1908="","",IFERROR(INDEX(DESPACHOS!$F$3:$F$3002,MATCH($C1908,DESPACHOS!$B$3:$B$3002,0)),""))</f>
        <v/>
      </c>
      <c r="H1908" s="42">
        <f>IF($C1908="","",IFERROR(INDEX(DESPACHOS!$G$3:$G$3002,MATCH($C1908,DESPACHOS!$B$3:$B$3002,0)),""))</f>
        <v/>
      </c>
      <c r="I1908" s="39">
        <f>IF($C1908="","",IFERROR(INDEX(DESPACHOS!$H$3:$H$3002,MATCH($C1908,DESPACHOS!$B$3:$B$3002,0)),""))</f>
        <v/>
      </c>
      <c r="J1908" s="43">
        <f>IF($C1908="","",IFERROR(INDEX(DESPACHOS!$J$3:$J$3002,MATCH($C1908,DESPACHOS!$B$3:$B$3002,0)),""))</f>
        <v/>
      </c>
      <c r="K1908" s="39">
        <f>IF($C1908="","",IF(COUNTIFS(DESPACHOS!$B$3:$B$3002,$C1908)=0,"NO EXISTE",IF(COUNTIFS(DESPACHOS!$B$3:$B$3002,$C1908)&gt;1,"DUPLICADO","OK")))</f>
        <v/>
      </c>
      <c r="L1908" s="41" t="n"/>
      <c r="M1908" s="41" t="n"/>
      <c r="N1908" s="42">
        <f>IF($M1908="","",IFERROR(INDEX(LISTAS!$F$3:$F$42,MATCH($M1908,LISTAS!$E$3:$E$42,0)),"Por definir"))</f>
        <v/>
      </c>
      <c r="O1908" s="41" t="n"/>
      <c r="P1908" s="39">
        <f>IF($L1908="","",IFERROR(INDEX(LISTAS!$B$3:$B$42,MATCH($L1908,LISTAS!$A$3:$A$42,0)),"Media"))</f>
        <v/>
      </c>
      <c r="Q1908" s="44" t="n"/>
      <c r="R1908" s="45" t="n"/>
      <c r="S1908" s="20">
        <f>IFERROR(IF(OR($R1908="",$C1908=""),"",$R1908/INDEX(DESPACHOS!$M$3:$M$3002,MATCH($C1908,DESPACHOS!$B$3:$B$3002,0))),"")</f>
        <v/>
      </c>
      <c r="T1908" s="41" t="n"/>
      <c r="U1908" s="43">
        <f>IF(OR($B1908="",$L1908=""),"",WORKDAY($B1908,IFERROR(INDEX(LISTAS!$C$3:$C$42,MATCH($L1908,LISTAS!$A$3:$A$42,0)),3)))</f>
        <v/>
      </c>
      <c r="V1908" s="40" t="n"/>
      <c r="W1908" s="19">
        <f>IF($B1908="","",IF($V1908&lt;&gt;"",$V1908-$B1908,TODAY()-$B1908))</f>
        <v/>
      </c>
      <c r="X1908" s="19">
        <f>IF(OR($B1908="",$U1908=""),"",IF($V1908&lt;&gt;"",MAX(0,$V1908-$U1908),MAX(0,TODAY()-$U1908)))</f>
        <v/>
      </c>
      <c r="Y1908" s="39">
        <f>IF($C1908="","",IF(IFERROR(INDEX(LISTAS!$I$3:$I$42,MATCH($T1908,LISTAS!$H$3:$H$42,0)),"NO")="SÍ",IF(N($X1908)&gt;0,"CERRADA FUERA DE SLA","CERRADA EN SLA"),IF($U1908="","SIN CLASIFICAR",IF(N($X1908)&gt;0,"VENCIDA",IF(TODAY()&gt;=$U1908-1,"POR VENCER","EN PLAZO")))))</f>
        <v/>
      </c>
      <c r="Z1908" s="41" t="n"/>
      <c r="AA1908" s="41" t="n"/>
      <c r="AB1908" s="41" t="n"/>
    </row>
    <row r="1909">
      <c r="A1909" s="39">
        <f>IF($C1909="","","NOV-"&amp;TEXT(ROW()-3,"0000"))</f>
        <v/>
      </c>
      <c r="B1909" s="40" t="n"/>
      <c r="C1909" s="41" t="n"/>
      <c r="D1909" s="42">
        <f>IF($C1909="","",IFERROR(INDEX(DESPACHOS!$D$3:$D$3002,MATCH($C1909,DESPACHOS!$B$3:$B$3002,0)),"SIN DESPACHO"))</f>
        <v/>
      </c>
      <c r="E1909" s="42">
        <f>IF($C1909="","",IFERROR(INDEX(DESPACHOS!$K$3:$K$3002,MATCH($C1909,DESPACHOS!$B$3:$B$3002,0)),""))</f>
        <v/>
      </c>
      <c r="F1909" s="42">
        <f>IF($C1909="","",IFERROR(INDEX(DESPACHOS!$I$3:$I$3002,MATCH($C1909,DESPACHOS!$B$3:$B$3002,0)),""))</f>
        <v/>
      </c>
      <c r="G1909" s="42">
        <f>IF($C1909="","",IFERROR(INDEX(DESPACHOS!$F$3:$F$3002,MATCH($C1909,DESPACHOS!$B$3:$B$3002,0)),""))</f>
        <v/>
      </c>
      <c r="H1909" s="42">
        <f>IF($C1909="","",IFERROR(INDEX(DESPACHOS!$G$3:$G$3002,MATCH($C1909,DESPACHOS!$B$3:$B$3002,0)),""))</f>
        <v/>
      </c>
      <c r="I1909" s="39">
        <f>IF($C1909="","",IFERROR(INDEX(DESPACHOS!$H$3:$H$3002,MATCH($C1909,DESPACHOS!$B$3:$B$3002,0)),""))</f>
        <v/>
      </c>
      <c r="J1909" s="43">
        <f>IF($C1909="","",IFERROR(INDEX(DESPACHOS!$J$3:$J$3002,MATCH($C1909,DESPACHOS!$B$3:$B$3002,0)),""))</f>
        <v/>
      </c>
      <c r="K1909" s="39">
        <f>IF($C1909="","",IF(COUNTIFS(DESPACHOS!$B$3:$B$3002,$C1909)=0,"NO EXISTE",IF(COUNTIFS(DESPACHOS!$B$3:$B$3002,$C1909)&gt;1,"DUPLICADO","OK")))</f>
        <v/>
      </c>
      <c r="L1909" s="41" t="n"/>
      <c r="M1909" s="41" t="n"/>
      <c r="N1909" s="42">
        <f>IF($M1909="","",IFERROR(INDEX(LISTAS!$F$3:$F$42,MATCH($M1909,LISTAS!$E$3:$E$42,0)),"Por definir"))</f>
        <v/>
      </c>
      <c r="O1909" s="41" t="n"/>
      <c r="P1909" s="39">
        <f>IF($L1909="","",IFERROR(INDEX(LISTAS!$B$3:$B$42,MATCH($L1909,LISTAS!$A$3:$A$42,0)),"Media"))</f>
        <v/>
      </c>
      <c r="Q1909" s="44" t="n"/>
      <c r="R1909" s="45" t="n"/>
      <c r="S1909" s="20">
        <f>IFERROR(IF(OR($R1909="",$C1909=""),"",$R1909/INDEX(DESPACHOS!$M$3:$M$3002,MATCH($C1909,DESPACHOS!$B$3:$B$3002,0))),"")</f>
        <v/>
      </c>
      <c r="T1909" s="41" t="n"/>
      <c r="U1909" s="43">
        <f>IF(OR($B1909="",$L1909=""),"",WORKDAY($B1909,IFERROR(INDEX(LISTAS!$C$3:$C$42,MATCH($L1909,LISTAS!$A$3:$A$42,0)),3)))</f>
        <v/>
      </c>
      <c r="V1909" s="40" t="n"/>
      <c r="W1909" s="19">
        <f>IF($B1909="","",IF($V1909&lt;&gt;"",$V1909-$B1909,TODAY()-$B1909))</f>
        <v/>
      </c>
      <c r="X1909" s="19">
        <f>IF(OR($B1909="",$U1909=""),"",IF($V1909&lt;&gt;"",MAX(0,$V1909-$U1909),MAX(0,TODAY()-$U1909)))</f>
        <v/>
      </c>
      <c r="Y1909" s="39">
        <f>IF($C1909="","",IF(IFERROR(INDEX(LISTAS!$I$3:$I$42,MATCH($T1909,LISTAS!$H$3:$H$42,0)),"NO")="SÍ",IF(N($X1909)&gt;0,"CERRADA FUERA DE SLA","CERRADA EN SLA"),IF($U1909="","SIN CLASIFICAR",IF(N($X1909)&gt;0,"VENCIDA",IF(TODAY()&gt;=$U1909-1,"POR VENCER","EN PLAZO")))))</f>
        <v/>
      </c>
      <c r="Z1909" s="41" t="n"/>
      <c r="AA1909" s="41" t="n"/>
      <c r="AB1909" s="41" t="n"/>
    </row>
    <row r="1910">
      <c r="A1910" s="39">
        <f>IF($C1910="","","NOV-"&amp;TEXT(ROW()-3,"0000"))</f>
        <v/>
      </c>
      <c r="B1910" s="40" t="n"/>
      <c r="C1910" s="41" t="n"/>
      <c r="D1910" s="42">
        <f>IF($C1910="","",IFERROR(INDEX(DESPACHOS!$D$3:$D$3002,MATCH($C1910,DESPACHOS!$B$3:$B$3002,0)),"SIN DESPACHO"))</f>
        <v/>
      </c>
      <c r="E1910" s="42">
        <f>IF($C1910="","",IFERROR(INDEX(DESPACHOS!$K$3:$K$3002,MATCH($C1910,DESPACHOS!$B$3:$B$3002,0)),""))</f>
        <v/>
      </c>
      <c r="F1910" s="42">
        <f>IF($C1910="","",IFERROR(INDEX(DESPACHOS!$I$3:$I$3002,MATCH($C1910,DESPACHOS!$B$3:$B$3002,0)),""))</f>
        <v/>
      </c>
      <c r="G1910" s="42">
        <f>IF($C1910="","",IFERROR(INDEX(DESPACHOS!$F$3:$F$3002,MATCH($C1910,DESPACHOS!$B$3:$B$3002,0)),""))</f>
        <v/>
      </c>
      <c r="H1910" s="42">
        <f>IF($C1910="","",IFERROR(INDEX(DESPACHOS!$G$3:$G$3002,MATCH($C1910,DESPACHOS!$B$3:$B$3002,0)),""))</f>
        <v/>
      </c>
      <c r="I1910" s="39">
        <f>IF($C1910="","",IFERROR(INDEX(DESPACHOS!$H$3:$H$3002,MATCH($C1910,DESPACHOS!$B$3:$B$3002,0)),""))</f>
        <v/>
      </c>
      <c r="J1910" s="43">
        <f>IF($C1910="","",IFERROR(INDEX(DESPACHOS!$J$3:$J$3002,MATCH($C1910,DESPACHOS!$B$3:$B$3002,0)),""))</f>
        <v/>
      </c>
      <c r="K1910" s="39">
        <f>IF($C1910="","",IF(COUNTIFS(DESPACHOS!$B$3:$B$3002,$C1910)=0,"NO EXISTE",IF(COUNTIFS(DESPACHOS!$B$3:$B$3002,$C1910)&gt;1,"DUPLICADO","OK")))</f>
        <v/>
      </c>
      <c r="L1910" s="41" t="n"/>
      <c r="M1910" s="41" t="n"/>
      <c r="N1910" s="42">
        <f>IF($M1910="","",IFERROR(INDEX(LISTAS!$F$3:$F$42,MATCH($M1910,LISTAS!$E$3:$E$42,0)),"Por definir"))</f>
        <v/>
      </c>
      <c r="O1910" s="41" t="n"/>
      <c r="P1910" s="39">
        <f>IF($L1910="","",IFERROR(INDEX(LISTAS!$B$3:$B$42,MATCH($L1910,LISTAS!$A$3:$A$42,0)),"Media"))</f>
        <v/>
      </c>
      <c r="Q1910" s="44" t="n"/>
      <c r="R1910" s="45" t="n"/>
      <c r="S1910" s="20">
        <f>IFERROR(IF(OR($R1910="",$C1910=""),"",$R1910/INDEX(DESPACHOS!$M$3:$M$3002,MATCH($C1910,DESPACHOS!$B$3:$B$3002,0))),"")</f>
        <v/>
      </c>
      <c r="T1910" s="41" t="n"/>
      <c r="U1910" s="43">
        <f>IF(OR($B1910="",$L1910=""),"",WORKDAY($B1910,IFERROR(INDEX(LISTAS!$C$3:$C$42,MATCH($L1910,LISTAS!$A$3:$A$42,0)),3)))</f>
        <v/>
      </c>
      <c r="V1910" s="40" t="n"/>
      <c r="W1910" s="19">
        <f>IF($B1910="","",IF($V1910&lt;&gt;"",$V1910-$B1910,TODAY()-$B1910))</f>
        <v/>
      </c>
      <c r="X1910" s="19">
        <f>IF(OR($B1910="",$U1910=""),"",IF($V1910&lt;&gt;"",MAX(0,$V1910-$U1910),MAX(0,TODAY()-$U1910)))</f>
        <v/>
      </c>
      <c r="Y1910" s="39">
        <f>IF($C1910="","",IF(IFERROR(INDEX(LISTAS!$I$3:$I$42,MATCH($T1910,LISTAS!$H$3:$H$42,0)),"NO")="SÍ",IF(N($X1910)&gt;0,"CERRADA FUERA DE SLA","CERRADA EN SLA"),IF($U1910="","SIN CLASIFICAR",IF(N($X1910)&gt;0,"VENCIDA",IF(TODAY()&gt;=$U1910-1,"POR VENCER","EN PLAZO")))))</f>
        <v/>
      </c>
      <c r="Z1910" s="41" t="n"/>
      <c r="AA1910" s="41" t="n"/>
      <c r="AB1910" s="41" t="n"/>
    </row>
    <row r="1911">
      <c r="A1911" s="39">
        <f>IF($C1911="","","NOV-"&amp;TEXT(ROW()-3,"0000"))</f>
        <v/>
      </c>
      <c r="B1911" s="40" t="n"/>
      <c r="C1911" s="41" t="n"/>
      <c r="D1911" s="42">
        <f>IF($C1911="","",IFERROR(INDEX(DESPACHOS!$D$3:$D$3002,MATCH($C1911,DESPACHOS!$B$3:$B$3002,0)),"SIN DESPACHO"))</f>
        <v/>
      </c>
      <c r="E1911" s="42">
        <f>IF($C1911="","",IFERROR(INDEX(DESPACHOS!$K$3:$K$3002,MATCH($C1911,DESPACHOS!$B$3:$B$3002,0)),""))</f>
        <v/>
      </c>
      <c r="F1911" s="42">
        <f>IF($C1911="","",IFERROR(INDEX(DESPACHOS!$I$3:$I$3002,MATCH($C1911,DESPACHOS!$B$3:$B$3002,0)),""))</f>
        <v/>
      </c>
      <c r="G1911" s="42">
        <f>IF($C1911="","",IFERROR(INDEX(DESPACHOS!$F$3:$F$3002,MATCH($C1911,DESPACHOS!$B$3:$B$3002,0)),""))</f>
        <v/>
      </c>
      <c r="H1911" s="42">
        <f>IF($C1911="","",IFERROR(INDEX(DESPACHOS!$G$3:$G$3002,MATCH($C1911,DESPACHOS!$B$3:$B$3002,0)),""))</f>
        <v/>
      </c>
      <c r="I1911" s="39">
        <f>IF($C1911="","",IFERROR(INDEX(DESPACHOS!$H$3:$H$3002,MATCH($C1911,DESPACHOS!$B$3:$B$3002,0)),""))</f>
        <v/>
      </c>
      <c r="J1911" s="43">
        <f>IF($C1911="","",IFERROR(INDEX(DESPACHOS!$J$3:$J$3002,MATCH($C1911,DESPACHOS!$B$3:$B$3002,0)),""))</f>
        <v/>
      </c>
      <c r="K1911" s="39">
        <f>IF($C1911="","",IF(COUNTIFS(DESPACHOS!$B$3:$B$3002,$C1911)=0,"NO EXISTE",IF(COUNTIFS(DESPACHOS!$B$3:$B$3002,$C1911)&gt;1,"DUPLICADO","OK")))</f>
        <v/>
      </c>
      <c r="L1911" s="41" t="n"/>
      <c r="M1911" s="41" t="n"/>
      <c r="N1911" s="42">
        <f>IF($M1911="","",IFERROR(INDEX(LISTAS!$F$3:$F$42,MATCH($M1911,LISTAS!$E$3:$E$42,0)),"Por definir"))</f>
        <v/>
      </c>
      <c r="O1911" s="41" t="n"/>
      <c r="P1911" s="39">
        <f>IF($L1911="","",IFERROR(INDEX(LISTAS!$B$3:$B$42,MATCH($L1911,LISTAS!$A$3:$A$42,0)),"Media"))</f>
        <v/>
      </c>
      <c r="Q1911" s="44" t="n"/>
      <c r="R1911" s="45" t="n"/>
      <c r="S1911" s="20">
        <f>IFERROR(IF(OR($R1911="",$C1911=""),"",$R1911/INDEX(DESPACHOS!$M$3:$M$3002,MATCH($C1911,DESPACHOS!$B$3:$B$3002,0))),"")</f>
        <v/>
      </c>
      <c r="T1911" s="41" t="n"/>
      <c r="U1911" s="43">
        <f>IF(OR($B1911="",$L1911=""),"",WORKDAY($B1911,IFERROR(INDEX(LISTAS!$C$3:$C$42,MATCH($L1911,LISTAS!$A$3:$A$42,0)),3)))</f>
        <v/>
      </c>
      <c r="V1911" s="40" t="n"/>
      <c r="W1911" s="19">
        <f>IF($B1911="","",IF($V1911&lt;&gt;"",$V1911-$B1911,TODAY()-$B1911))</f>
        <v/>
      </c>
      <c r="X1911" s="19">
        <f>IF(OR($B1911="",$U1911=""),"",IF($V1911&lt;&gt;"",MAX(0,$V1911-$U1911),MAX(0,TODAY()-$U1911)))</f>
        <v/>
      </c>
      <c r="Y1911" s="39">
        <f>IF($C1911="","",IF(IFERROR(INDEX(LISTAS!$I$3:$I$42,MATCH($T1911,LISTAS!$H$3:$H$42,0)),"NO")="SÍ",IF(N($X1911)&gt;0,"CERRADA FUERA DE SLA","CERRADA EN SLA"),IF($U1911="","SIN CLASIFICAR",IF(N($X1911)&gt;0,"VENCIDA",IF(TODAY()&gt;=$U1911-1,"POR VENCER","EN PLAZO")))))</f>
        <v/>
      </c>
      <c r="Z1911" s="41" t="n"/>
      <c r="AA1911" s="41" t="n"/>
      <c r="AB1911" s="41" t="n"/>
    </row>
    <row r="1912">
      <c r="A1912" s="39">
        <f>IF($C1912="","","NOV-"&amp;TEXT(ROW()-3,"0000"))</f>
        <v/>
      </c>
      <c r="B1912" s="40" t="n"/>
      <c r="C1912" s="41" t="n"/>
      <c r="D1912" s="42">
        <f>IF($C1912="","",IFERROR(INDEX(DESPACHOS!$D$3:$D$3002,MATCH($C1912,DESPACHOS!$B$3:$B$3002,0)),"SIN DESPACHO"))</f>
        <v/>
      </c>
      <c r="E1912" s="42">
        <f>IF($C1912="","",IFERROR(INDEX(DESPACHOS!$K$3:$K$3002,MATCH($C1912,DESPACHOS!$B$3:$B$3002,0)),""))</f>
        <v/>
      </c>
      <c r="F1912" s="42">
        <f>IF($C1912="","",IFERROR(INDEX(DESPACHOS!$I$3:$I$3002,MATCH($C1912,DESPACHOS!$B$3:$B$3002,0)),""))</f>
        <v/>
      </c>
      <c r="G1912" s="42">
        <f>IF($C1912="","",IFERROR(INDEX(DESPACHOS!$F$3:$F$3002,MATCH($C1912,DESPACHOS!$B$3:$B$3002,0)),""))</f>
        <v/>
      </c>
      <c r="H1912" s="42">
        <f>IF($C1912="","",IFERROR(INDEX(DESPACHOS!$G$3:$G$3002,MATCH($C1912,DESPACHOS!$B$3:$B$3002,0)),""))</f>
        <v/>
      </c>
      <c r="I1912" s="39">
        <f>IF($C1912="","",IFERROR(INDEX(DESPACHOS!$H$3:$H$3002,MATCH($C1912,DESPACHOS!$B$3:$B$3002,0)),""))</f>
        <v/>
      </c>
      <c r="J1912" s="43">
        <f>IF($C1912="","",IFERROR(INDEX(DESPACHOS!$J$3:$J$3002,MATCH($C1912,DESPACHOS!$B$3:$B$3002,0)),""))</f>
        <v/>
      </c>
      <c r="K1912" s="39">
        <f>IF($C1912="","",IF(COUNTIFS(DESPACHOS!$B$3:$B$3002,$C1912)=0,"NO EXISTE",IF(COUNTIFS(DESPACHOS!$B$3:$B$3002,$C1912)&gt;1,"DUPLICADO","OK")))</f>
        <v/>
      </c>
      <c r="L1912" s="41" t="n"/>
      <c r="M1912" s="41" t="n"/>
      <c r="N1912" s="42">
        <f>IF($M1912="","",IFERROR(INDEX(LISTAS!$F$3:$F$42,MATCH($M1912,LISTAS!$E$3:$E$42,0)),"Por definir"))</f>
        <v/>
      </c>
      <c r="O1912" s="41" t="n"/>
      <c r="P1912" s="39">
        <f>IF($L1912="","",IFERROR(INDEX(LISTAS!$B$3:$B$42,MATCH($L1912,LISTAS!$A$3:$A$42,0)),"Media"))</f>
        <v/>
      </c>
      <c r="Q1912" s="44" t="n"/>
      <c r="R1912" s="45" t="n"/>
      <c r="S1912" s="20">
        <f>IFERROR(IF(OR($R1912="",$C1912=""),"",$R1912/INDEX(DESPACHOS!$M$3:$M$3002,MATCH($C1912,DESPACHOS!$B$3:$B$3002,0))),"")</f>
        <v/>
      </c>
      <c r="T1912" s="41" t="n"/>
      <c r="U1912" s="43">
        <f>IF(OR($B1912="",$L1912=""),"",WORKDAY($B1912,IFERROR(INDEX(LISTAS!$C$3:$C$42,MATCH($L1912,LISTAS!$A$3:$A$42,0)),3)))</f>
        <v/>
      </c>
      <c r="V1912" s="40" t="n"/>
      <c r="W1912" s="19">
        <f>IF($B1912="","",IF($V1912&lt;&gt;"",$V1912-$B1912,TODAY()-$B1912))</f>
        <v/>
      </c>
      <c r="X1912" s="19">
        <f>IF(OR($B1912="",$U1912=""),"",IF($V1912&lt;&gt;"",MAX(0,$V1912-$U1912),MAX(0,TODAY()-$U1912)))</f>
        <v/>
      </c>
      <c r="Y1912" s="39">
        <f>IF($C1912="","",IF(IFERROR(INDEX(LISTAS!$I$3:$I$42,MATCH($T1912,LISTAS!$H$3:$H$42,0)),"NO")="SÍ",IF(N($X1912)&gt;0,"CERRADA FUERA DE SLA","CERRADA EN SLA"),IF($U1912="","SIN CLASIFICAR",IF(N($X1912)&gt;0,"VENCIDA",IF(TODAY()&gt;=$U1912-1,"POR VENCER","EN PLAZO")))))</f>
        <v/>
      </c>
      <c r="Z1912" s="41" t="n"/>
      <c r="AA1912" s="41" t="n"/>
      <c r="AB1912" s="41" t="n"/>
    </row>
    <row r="1913">
      <c r="A1913" s="39">
        <f>IF($C1913="","","NOV-"&amp;TEXT(ROW()-3,"0000"))</f>
        <v/>
      </c>
      <c r="B1913" s="40" t="n"/>
      <c r="C1913" s="41" t="n"/>
      <c r="D1913" s="42">
        <f>IF($C1913="","",IFERROR(INDEX(DESPACHOS!$D$3:$D$3002,MATCH($C1913,DESPACHOS!$B$3:$B$3002,0)),"SIN DESPACHO"))</f>
        <v/>
      </c>
      <c r="E1913" s="42">
        <f>IF($C1913="","",IFERROR(INDEX(DESPACHOS!$K$3:$K$3002,MATCH($C1913,DESPACHOS!$B$3:$B$3002,0)),""))</f>
        <v/>
      </c>
      <c r="F1913" s="42">
        <f>IF($C1913="","",IFERROR(INDEX(DESPACHOS!$I$3:$I$3002,MATCH($C1913,DESPACHOS!$B$3:$B$3002,0)),""))</f>
        <v/>
      </c>
      <c r="G1913" s="42">
        <f>IF($C1913="","",IFERROR(INDEX(DESPACHOS!$F$3:$F$3002,MATCH($C1913,DESPACHOS!$B$3:$B$3002,0)),""))</f>
        <v/>
      </c>
      <c r="H1913" s="42">
        <f>IF($C1913="","",IFERROR(INDEX(DESPACHOS!$G$3:$G$3002,MATCH($C1913,DESPACHOS!$B$3:$B$3002,0)),""))</f>
        <v/>
      </c>
      <c r="I1913" s="39">
        <f>IF($C1913="","",IFERROR(INDEX(DESPACHOS!$H$3:$H$3002,MATCH($C1913,DESPACHOS!$B$3:$B$3002,0)),""))</f>
        <v/>
      </c>
      <c r="J1913" s="43">
        <f>IF($C1913="","",IFERROR(INDEX(DESPACHOS!$J$3:$J$3002,MATCH($C1913,DESPACHOS!$B$3:$B$3002,0)),""))</f>
        <v/>
      </c>
      <c r="K1913" s="39">
        <f>IF($C1913="","",IF(COUNTIFS(DESPACHOS!$B$3:$B$3002,$C1913)=0,"NO EXISTE",IF(COUNTIFS(DESPACHOS!$B$3:$B$3002,$C1913)&gt;1,"DUPLICADO","OK")))</f>
        <v/>
      </c>
      <c r="L1913" s="41" t="n"/>
      <c r="M1913" s="41" t="n"/>
      <c r="N1913" s="42">
        <f>IF($M1913="","",IFERROR(INDEX(LISTAS!$F$3:$F$42,MATCH($M1913,LISTAS!$E$3:$E$42,0)),"Por definir"))</f>
        <v/>
      </c>
      <c r="O1913" s="41" t="n"/>
      <c r="P1913" s="39">
        <f>IF($L1913="","",IFERROR(INDEX(LISTAS!$B$3:$B$42,MATCH($L1913,LISTAS!$A$3:$A$42,0)),"Media"))</f>
        <v/>
      </c>
      <c r="Q1913" s="44" t="n"/>
      <c r="R1913" s="45" t="n"/>
      <c r="S1913" s="20">
        <f>IFERROR(IF(OR($R1913="",$C1913=""),"",$R1913/INDEX(DESPACHOS!$M$3:$M$3002,MATCH($C1913,DESPACHOS!$B$3:$B$3002,0))),"")</f>
        <v/>
      </c>
      <c r="T1913" s="41" t="n"/>
      <c r="U1913" s="43">
        <f>IF(OR($B1913="",$L1913=""),"",WORKDAY($B1913,IFERROR(INDEX(LISTAS!$C$3:$C$42,MATCH($L1913,LISTAS!$A$3:$A$42,0)),3)))</f>
        <v/>
      </c>
      <c r="V1913" s="40" t="n"/>
      <c r="W1913" s="19">
        <f>IF($B1913="","",IF($V1913&lt;&gt;"",$V1913-$B1913,TODAY()-$B1913))</f>
        <v/>
      </c>
      <c r="X1913" s="19">
        <f>IF(OR($B1913="",$U1913=""),"",IF($V1913&lt;&gt;"",MAX(0,$V1913-$U1913),MAX(0,TODAY()-$U1913)))</f>
        <v/>
      </c>
      <c r="Y1913" s="39">
        <f>IF($C1913="","",IF(IFERROR(INDEX(LISTAS!$I$3:$I$42,MATCH($T1913,LISTAS!$H$3:$H$42,0)),"NO")="SÍ",IF(N($X1913)&gt;0,"CERRADA FUERA DE SLA","CERRADA EN SLA"),IF($U1913="","SIN CLASIFICAR",IF(N($X1913)&gt;0,"VENCIDA",IF(TODAY()&gt;=$U1913-1,"POR VENCER","EN PLAZO")))))</f>
        <v/>
      </c>
      <c r="Z1913" s="41" t="n"/>
      <c r="AA1913" s="41" t="n"/>
      <c r="AB1913" s="41" t="n"/>
    </row>
    <row r="1914">
      <c r="A1914" s="39">
        <f>IF($C1914="","","NOV-"&amp;TEXT(ROW()-3,"0000"))</f>
        <v/>
      </c>
      <c r="B1914" s="40" t="n"/>
      <c r="C1914" s="41" t="n"/>
      <c r="D1914" s="42">
        <f>IF($C1914="","",IFERROR(INDEX(DESPACHOS!$D$3:$D$3002,MATCH($C1914,DESPACHOS!$B$3:$B$3002,0)),"SIN DESPACHO"))</f>
        <v/>
      </c>
      <c r="E1914" s="42">
        <f>IF($C1914="","",IFERROR(INDEX(DESPACHOS!$K$3:$K$3002,MATCH($C1914,DESPACHOS!$B$3:$B$3002,0)),""))</f>
        <v/>
      </c>
      <c r="F1914" s="42">
        <f>IF($C1914="","",IFERROR(INDEX(DESPACHOS!$I$3:$I$3002,MATCH($C1914,DESPACHOS!$B$3:$B$3002,0)),""))</f>
        <v/>
      </c>
      <c r="G1914" s="42">
        <f>IF($C1914="","",IFERROR(INDEX(DESPACHOS!$F$3:$F$3002,MATCH($C1914,DESPACHOS!$B$3:$B$3002,0)),""))</f>
        <v/>
      </c>
      <c r="H1914" s="42">
        <f>IF($C1914="","",IFERROR(INDEX(DESPACHOS!$G$3:$G$3002,MATCH($C1914,DESPACHOS!$B$3:$B$3002,0)),""))</f>
        <v/>
      </c>
      <c r="I1914" s="39">
        <f>IF($C1914="","",IFERROR(INDEX(DESPACHOS!$H$3:$H$3002,MATCH($C1914,DESPACHOS!$B$3:$B$3002,0)),""))</f>
        <v/>
      </c>
      <c r="J1914" s="43">
        <f>IF($C1914="","",IFERROR(INDEX(DESPACHOS!$J$3:$J$3002,MATCH($C1914,DESPACHOS!$B$3:$B$3002,0)),""))</f>
        <v/>
      </c>
      <c r="K1914" s="39">
        <f>IF($C1914="","",IF(COUNTIFS(DESPACHOS!$B$3:$B$3002,$C1914)=0,"NO EXISTE",IF(COUNTIFS(DESPACHOS!$B$3:$B$3002,$C1914)&gt;1,"DUPLICADO","OK")))</f>
        <v/>
      </c>
      <c r="L1914" s="41" t="n"/>
      <c r="M1914" s="41" t="n"/>
      <c r="N1914" s="42">
        <f>IF($M1914="","",IFERROR(INDEX(LISTAS!$F$3:$F$42,MATCH($M1914,LISTAS!$E$3:$E$42,0)),"Por definir"))</f>
        <v/>
      </c>
      <c r="O1914" s="41" t="n"/>
      <c r="P1914" s="39">
        <f>IF($L1914="","",IFERROR(INDEX(LISTAS!$B$3:$B$42,MATCH($L1914,LISTAS!$A$3:$A$42,0)),"Media"))</f>
        <v/>
      </c>
      <c r="Q1914" s="44" t="n"/>
      <c r="R1914" s="45" t="n"/>
      <c r="S1914" s="20">
        <f>IFERROR(IF(OR($R1914="",$C1914=""),"",$R1914/INDEX(DESPACHOS!$M$3:$M$3002,MATCH($C1914,DESPACHOS!$B$3:$B$3002,0))),"")</f>
        <v/>
      </c>
      <c r="T1914" s="41" t="n"/>
      <c r="U1914" s="43">
        <f>IF(OR($B1914="",$L1914=""),"",WORKDAY($B1914,IFERROR(INDEX(LISTAS!$C$3:$C$42,MATCH($L1914,LISTAS!$A$3:$A$42,0)),3)))</f>
        <v/>
      </c>
      <c r="V1914" s="40" t="n"/>
      <c r="W1914" s="19">
        <f>IF($B1914="","",IF($V1914&lt;&gt;"",$V1914-$B1914,TODAY()-$B1914))</f>
        <v/>
      </c>
      <c r="X1914" s="19">
        <f>IF(OR($B1914="",$U1914=""),"",IF($V1914&lt;&gt;"",MAX(0,$V1914-$U1914),MAX(0,TODAY()-$U1914)))</f>
        <v/>
      </c>
      <c r="Y1914" s="39">
        <f>IF($C1914="","",IF(IFERROR(INDEX(LISTAS!$I$3:$I$42,MATCH($T1914,LISTAS!$H$3:$H$42,0)),"NO")="SÍ",IF(N($X1914)&gt;0,"CERRADA FUERA DE SLA","CERRADA EN SLA"),IF($U1914="","SIN CLASIFICAR",IF(N($X1914)&gt;0,"VENCIDA",IF(TODAY()&gt;=$U1914-1,"POR VENCER","EN PLAZO")))))</f>
        <v/>
      </c>
      <c r="Z1914" s="41" t="n"/>
      <c r="AA1914" s="41" t="n"/>
      <c r="AB1914" s="41" t="n"/>
    </row>
    <row r="1915">
      <c r="A1915" s="39">
        <f>IF($C1915="","","NOV-"&amp;TEXT(ROW()-3,"0000"))</f>
        <v/>
      </c>
      <c r="B1915" s="40" t="n"/>
      <c r="C1915" s="41" t="n"/>
      <c r="D1915" s="42">
        <f>IF($C1915="","",IFERROR(INDEX(DESPACHOS!$D$3:$D$3002,MATCH($C1915,DESPACHOS!$B$3:$B$3002,0)),"SIN DESPACHO"))</f>
        <v/>
      </c>
      <c r="E1915" s="42">
        <f>IF($C1915="","",IFERROR(INDEX(DESPACHOS!$K$3:$K$3002,MATCH($C1915,DESPACHOS!$B$3:$B$3002,0)),""))</f>
        <v/>
      </c>
      <c r="F1915" s="42">
        <f>IF($C1915="","",IFERROR(INDEX(DESPACHOS!$I$3:$I$3002,MATCH($C1915,DESPACHOS!$B$3:$B$3002,0)),""))</f>
        <v/>
      </c>
      <c r="G1915" s="42">
        <f>IF($C1915="","",IFERROR(INDEX(DESPACHOS!$F$3:$F$3002,MATCH($C1915,DESPACHOS!$B$3:$B$3002,0)),""))</f>
        <v/>
      </c>
      <c r="H1915" s="42">
        <f>IF($C1915="","",IFERROR(INDEX(DESPACHOS!$G$3:$G$3002,MATCH($C1915,DESPACHOS!$B$3:$B$3002,0)),""))</f>
        <v/>
      </c>
      <c r="I1915" s="39">
        <f>IF($C1915="","",IFERROR(INDEX(DESPACHOS!$H$3:$H$3002,MATCH($C1915,DESPACHOS!$B$3:$B$3002,0)),""))</f>
        <v/>
      </c>
      <c r="J1915" s="43">
        <f>IF($C1915="","",IFERROR(INDEX(DESPACHOS!$J$3:$J$3002,MATCH($C1915,DESPACHOS!$B$3:$B$3002,0)),""))</f>
        <v/>
      </c>
      <c r="K1915" s="39">
        <f>IF($C1915="","",IF(COUNTIFS(DESPACHOS!$B$3:$B$3002,$C1915)=0,"NO EXISTE",IF(COUNTIFS(DESPACHOS!$B$3:$B$3002,$C1915)&gt;1,"DUPLICADO","OK")))</f>
        <v/>
      </c>
      <c r="L1915" s="41" t="n"/>
      <c r="M1915" s="41" t="n"/>
      <c r="N1915" s="42">
        <f>IF($M1915="","",IFERROR(INDEX(LISTAS!$F$3:$F$42,MATCH($M1915,LISTAS!$E$3:$E$42,0)),"Por definir"))</f>
        <v/>
      </c>
      <c r="O1915" s="41" t="n"/>
      <c r="P1915" s="39">
        <f>IF($L1915="","",IFERROR(INDEX(LISTAS!$B$3:$B$42,MATCH($L1915,LISTAS!$A$3:$A$42,0)),"Media"))</f>
        <v/>
      </c>
      <c r="Q1915" s="44" t="n"/>
      <c r="R1915" s="45" t="n"/>
      <c r="S1915" s="20">
        <f>IFERROR(IF(OR($R1915="",$C1915=""),"",$R1915/INDEX(DESPACHOS!$M$3:$M$3002,MATCH($C1915,DESPACHOS!$B$3:$B$3002,0))),"")</f>
        <v/>
      </c>
      <c r="T1915" s="41" t="n"/>
      <c r="U1915" s="43">
        <f>IF(OR($B1915="",$L1915=""),"",WORKDAY($B1915,IFERROR(INDEX(LISTAS!$C$3:$C$42,MATCH($L1915,LISTAS!$A$3:$A$42,0)),3)))</f>
        <v/>
      </c>
      <c r="V1915" s="40" t="n"/>
      <c r="W1915" s="19">
        <f>IF($B1915="","",IF($V1915&lt;&gt;"",$V1915-$B1915,TODAY()-$B1915))</f>
        <v/>
      </c>
      <c r="X1915" s="19">
        <f>IF(OR($B1915="",$U1915=""),"",IF($V1915&lt;&gt;"",MAX(0,$V1915-$U1915),MAX(0,TODAY()-$U1915)))</f>
        <v/>
      </c>
      <c r="Y1915" s="39">
        <f>IF($C1915="","",IF(IFERROR(INDEX(LISTAS!$I$3:$I$42,MATCH($T1915,LISTAS!$H$3:$H$42,0)),"NO")="SÍ",IF(N($X1915)&gt;0,"CERRADA FUERA DE SLA","CERRADA EN SLA"),IF($U1915="","SIN CLASIFICAR",IF(N($X1915)&gt;0,"VENCIDA",IF(TODAY()&gt;=$U1915-1,"POR VENCER","EN PLAZO")))))</f>
        <v/>
      </c>
      <c r="Z1915" s="41" t="n"/>
      <c r="AA1915" s="41" t="n"/>
      <c r="AB1915" s="41" t="n"/>
    </row>
    <row r="1916">
      <c r="A1916" s="39">
        <f>IF($C1916="","","NOV-"&amp;TEXT(ROW()-3,"0000"))</f>
        <v/>
      </c>
      <c r="B1916" s="40" t="n"/>
      <c r="C1916" s="41" t="n"/>
      <c r="D1916" s="42">
        <f>IF($C1916="","",IFERROR(INDEX(DESPACHOS!$D$3:$D$3002,MATCH($C1916,DESPACHOS!$B$3:$B$3002,0)),"SIN DESPACHO"))</f>
        <v/>
      </c>
      <c r="E1916" s="42">
        <f>IF($C1916="","",IFERROR(INDEX(DESPACHOS!$K$3:$K$3002,MATCH($C1916,DESPACHOS!$B$3:$B$3002,0)),""))</f>
        <v/>
      </c>
      <c r="F1916" s="42">
        <f>IF($C1916="","",IFERROR(INDEX(DESPACHOS!$I$3:$I$3002,MATCH($C1916,DESPACHOS!$B$3:$B$3002,0)),""))</f>
        <v/>
      </c>
      <c r="G1916" s="42">
        <f>IF($C1916="","",IFERROR(INDEX(DESPACHOS!$F$3:$F$3002,MATCH($C1916,DESPACHOS!$B$3:$B$3002,0)),""))</f>
        <v/>
      </c>
      <c r="H1916" s="42">
        <f>IF($C1916="","",IFERROR(INDEX(DESPACHOS!$G$3:$G$3002,MATCH($C1916,DESPACHOS!$B$3:$B$3002,0)),""))</f>
        <v/>
      </c>
      <c r="I1916" s="39">
        <f>IF($C1916="","",IFERROR(INDEX(DESPACHOS!$H$3:$H$3002,MATCH($C1916,DESPACHOS!$B$3:$B$3002,0)),""))</f>
        <v/>
      </c>
      <c r="J1916" s="43">
        <f>IF($C1916="","",IFERROR(INDEX(DESPACHOS!$J$3:$J$3002,MATCH($C1916,DESPACHOS!$B$3:$B$3002,0)),""))</f>
        <v/>
      </c>
      <c r="K1916" s="39">
        <f>IF($C1916="","",IF(COUNTIFS(DESPACHOS!$B$3:$B$3002,$C1916)=0,"NO EXISTE",IF(COUNTIFS(DESPACHOS!$B$3:$B$3002,$C1916)&gt;1,"DUPLICADO","OK")))</f>
        <v/>
      </c>
      <c r="L1916" s="41" t="n"/>
      <c r="M1916" s="41" t="n"/>
      <c r="N1916" s="42">
        <f>IF($M1916="","",IFERROR(INDEX(LISTAS!$F$3:$F$42,MATCH($M1916,LISTAS!$E$3:$E$42,0)),"Por definir"))</f>
        <v/>
      </c>
      <c r="O1916" s="41" t="n"/>
      <c r="P1916" s="39">
        <f>IF($L1916="","",IFERROR(INDEX(LISTAS!$B$3:$B$42,MATCH($L1916,LISTAS!$A$3:$A$42,0)),"Media"))</f>
        <v/>
      </c>
      <c r="Q1916" s="44" t="n"/>
      <c r="R1916" s="45" t="n"/>
      <c r="S1916" s="20">
        <f>IFERROR(IF(OR($R1916="",$C1916=""),"",$R1916/INDEX(DESPACHOS!$M$3:$M$3002,MATCH($C1916,DESPACHOS!$B$3:$B$3002,0))),"")</f>
        <v/>
      </c>
      <c r="T1916" s="41" t="n"/>
      <c r="U1916" s="43">
        <f>IF(OR($B1916="",$L1916=""),"",WORKDAY($B1916,IFERROR(INDEX(LISTAS!$C$3:$C$42,MATCH($L1916,LISTAS!$A$3:$A$42,0)),3)))</f>
        <v/>
      </c>
      <c r="V1916" s="40" t="n"/>
      <c r="W1916" s="19">
        <f>IF($B1916="","",IF($V1916&lt;&gt;"",$V1916-$B1916,TODAY()-$B1916))</f>
        <v/>
      </c>
      <c r="X1916" s="19">
        <f>IF(OR($B1916="",$U1916=""),"",IF($V1916&lt;&gt;"",MAX(0,$V1916-$U1916),MAX(0,TODAY()-$U1916)))</f>
        <v/>
      </c>
      <c r="Y1916" s="39">
        <f>IF($C1916="","",IF(IFERROR(INDEX(LISTAS!$I$3:$I$42,MATCH($T1916,LISTAS!$H$3:$H$42,0)),"NO")="SÍ",IF(N($X1916)&gt;0,"CERRADA FUERA DE SLA","CERRADA EN SLA"),IF($U1916="","SIN CLASIFICAR",IF(N($X1916)&gt;0,"VENCIDA",IF(TODAY()&gt;=$U1916-1,"POR VENCER","EN PLAZO")))))</f>
        <v/>
      </c>
      <c r="Z1916" s="41" t="n"/>
      <c r="AA1916" s="41" t="n"/>
      <c r="AB1916" s="41" t="n"/>
    </row>
    <row r="1917">
      <c r="A1917" s="39">
        <f>IF($C1917="","","NOV-"&amp;TEXT(ROW()-3,"0000"))</f>
        <v/>
      </c>
      <c r="B1917" s="40" t="n"/>
      <c r="C1917" s="41" t="n"/>
      <c r="D1917" s="42">
        <f>IF($C1917="","",IFERROR(INDEX(DESPACHOS!$D$3:$D$3002,MATCH($C1917,DESPACHOS!$B$3:$B$3002,0)),"SIN DESPACHO"))</f>
        <v/>
      </c>
      <c r="E1917" s="42">
        <f>IF($C1917="","",IFERROR(INDEX(DESPACHOS!$K$3:$K$3002,MATCH($C1917,DESPACHOS!$B$3:$B$3002,0)),""))</f>
        <v/>
      </c>
      <c r="F1917" s="42">
        <f>IF($C1917="","",IFERROR(INDEX(DESPACHOS!$I$3:$I$3002,MATCH($C1917,DESPACHOS!$B$3:$B$3002,0)),""))</f>
        <v/>
      </c>
      <c r="G1917" s="42">
        <f>IF($C1917="","",IFERROR(INDEX(DESPACHOS!$F$3:$F$3002,MATCH($C1917,DESPACHOS!$B$3:$B$3002,0)),""))</f>
        <v/>
      </c>
      <c r="H1917" s="42">
        <f>IF($C1917="","",IFERROR(INDEX(DESPACHOS!$G$3:$G$3002,MATCH($C1917,DESPACHOS!$B$3:$B$3002,0)),""))</f>
        <v/>
      </c>
      <c r="I1917" s="39">
        <f>IF($C1917="","",IFERROR(INDEX(DESPACHOS!$H$3:$H$3002,MATCH($C1917,DESPACHOS!$B$3:$B$3002,0)),""))</f>
        <v/>
      </c>
      <c r="J1917" s="43">
        <f>IF($C1917="","",IFERROR(INDEX(DESPACHOS!$J$3:$J$3002,MATCH($C1917,DESPACHOS!$B$3:$B$3002,0)),""))</f>
        <v/>
      </c>
      <c r="K1917" s="39">
        <f>IF($C1917="","",IF(COUNTIFS(DESPACHOS!$B$3:$B$3002,$C1917)=0,"NO EXISTE",IF(COUNTIFS(DESPACHOS!$B$3:$B$3002,$C1917)&gt;1,"DUPLICADO","OK")))</f>
        <v/>
      </c>
      <c r="L1917" s="41" t="n"/>
      <c r="M1917" s="41" t="n"/>
      <c r="N1917" s="42">
        <f>IF($M1917="","",IFERROR(INDEX(LISTAS!$F$3:$F$42,MATCH($M1917,LISTAS!$E$3:$E$42,0)),"Por definir"))</f>
        <v/>
      </c>
      <c r="O1917" s="41" t="n"/>
      <c r="P1917" s="39">
        <f>IF($L1917="","",IFERROR(INDEX(LISTAS!$B$3:$B$42,MATCH($L1917,LISTAS!$A$3:$A$42,0)),"Media"))</f>
        <v/>
      </c>
      <c r="Q1917" s="44" t="n"/>
      <c r="R1917" s="45" t="n"/>
      <c r="S1917" s="20">
        <f>IFERROR(IF(OR($R1917="",$C1917=""),"",$R1917/INDEX(DESPACHOS!$M$3:$M$3002,MATCH($C1917,DESPACHOS!$B$3:$B$3002,0))),"")</f>
        <v/>
      </c>
      <c r="T1917" s="41" t="n"/>
      <c r="U1917" s="43">
        <f>IF(OR($B1917="",$L1917=""),"",WORKDAY($B1917,IFERROR(INDEX(LISTAS!$C$3:$C$42,MATCH($L1917,LISTAS!$A$3:$A$42,0)),3)))</f>
        <v/>
      </c>
      <c r="V1917" s="40" t="n"/>
      <c r="W1917" s="19">
        <f>IF($B1917="","",IF($V1917&lt;&gt;"",$V1917-$B1917,TODAY()-$B1917))</f>
        <v/>
      </c>
      <c r="X1917" s="19">
        <f>IF(OR($B1917="",$U1917=""),"",IF($V1917&lt;&gt;"",MAX(0,$V1917-$U1917),MAX(0,TODAY()-$U1917)))</f>
        <v/>
      </c>
      <c r="Y1917" s="39">
        <f>IF($C1917="","",IF(IFERROR(INDEX(LISTAS!$I$3:$I$42,MATCH($T1917,LISTAS!$H$3:$H$42,0)),"NO")="SÍ",IF(N($X1917)&gt;0,"CERRADA FUERA DE SLA","CERRADA EN SLA"),IF($U1917="","SIN CLASIFICAR",IF(N($X1917)&gt;0,"VENCIDA",IF(TODAY()&gt;=$U1917-1,"POR VENCER","EN PLAZO")))))</f>
        <v/>
      </c>
      <c r="Z1917" s="41" t="n"/>
      <c r="AA1917" s="41" t="n"/>
      <c r="AB1917" s="41" t="n"/>
    </row>
    <row r="1918">
      <c r="A1918" s="39">
        <f>IF($C1918="","","NOV-"&amp;TEXT(ROW()-3,"0000"))</f>
        <v/>
      </c>
      <c r="B1918" s="40" t="n"/>
      <c r="C1918" s="41" t="n"/>
      <c r="D1918" s="42">
        <f>IF($C1918="","",IFERROR(INDEX(DESPACHOS!$D$3:$D$3002,MATCH($C1918,DESPACHOS!$B$3:$B$3002,0)),"SIN DESPACHO"))</f>
        <v/>
      </c>
      <c r="E1918" s="42">
        <f>IF($C1918="","",IFERROR(INDEX(DESPACHOS!$K$3:$K$3002,MATCH($C1918,DESPACHOS!$B$3:$B$3002,0)),""))</f>
        <v/>
      </c>
      <c r="F1918" s="42">
        <f>IF($C1918="","",IFERROR(INDEX(DESPACHOS!$I$3:$I$3002,MATCH($C1918,DESPACHOS!$B$3:$B$3002,0)),""))</f>
        <v/>
      </c>
      <c r="G1918" s="42">
        <f>IF($C1918="","",IFERROR(INDEX(DESPACHOS!$F$3:$F$3002,MATCH($C1918,DESPACHOS!$B$3:$B$3002,0)),""))</f>
        <v/>
      </c>
      <c r="H1918" s="42">
        <f>IF($C1918="","",IFERROR(INDEX(DESPACHOS!$G$3:$G$3002,MATCH($C1918,DESPACHOS!$B$3:$B$3002,0)),""))</f>
        <v/>
      </c>
      <c r="I1918" s="39">
        <f>IF($C1918="","",IFERROR(INDEX(DESPACHOS!$H$3:$H$3002,MATCH($C1918,DESPACHOS!$B$3:$B$3002,0)),""))</f>
        <v/>
      </c>
      <c r="J1918" s="43">
        <f>IF($C1918="","",IFERROR(INDEX(DESPACHOS!$J$3:$J$3002,MATCH($C1918,DESPACHOS!$B$3:$B$3002,0)),""))</f>
        <v/>
      </c>
      <c r="K1918" s="39">
        <f>IF($C1918="","",IF(COUNTIFS(DESPACHOS!$B$3:$B$3002,$C1918)=0,"NO EXISTE",IF(COUNTIFS(DESPACHOS!$B$3:$B$3002,$C1918)&gt;1,"DUPLICADO","OK")))</f>
        <v/>
      </c>
      <c r="L1918" s="41" t="n"/>
      <c r="M1918" s="41" t="n"/>
      <c r="N1918" s="42">
        <f>IF($M1918="","",IFERROR(INDEX(LISTAS!$F$3:$F$42,MATCH($M1918,LISTAS!$E$3:$E$42,0)),"Por definir"))</f>
        <v/>
      </c>
      <c r="O1918" s="41" t="n"/>
      <c r="P1918" s="39">
        <f>IF($L1918="","",IFERROR(INDEX(LISTAS!$B$3:$B$42,MATCH($L1918,LISTAS!$A$3:$A$42,0)),"Media"))</f>
        <v/>
      </c>
      <c r="Q1918" s="44" t="n"/>
      <c r="R1918" s="45" t="n"/>
      <c r="S1918" s="20">
        <f>IFERROR(IF(OR($R1918="",$C1918=""),"",$R1918/INDEX(DESPACHOS!$M$3:$M$3002,MATCH($C1918,DESPACHOS!$B$3:$B$3002,0))),"")</f>
        <v/>
      </c>
      <c r="T1918" s="41" t="n"/>
      <c r="U1918" s="43">
        <f>IF(OR($B1918="",$L1918=""),"",WORKDAY($B1918,IFERROR(INDEX(LISTAS!$C$3:$C$42,MATCH($L1918,LISTAS!$A$3:$A$42,0)),3)))</f>
        <v/>
      </c>
      <c r="V1918" s="40" t="n"/>
      <c r="W1918" s="19">
        <f>IF($B1918="","",IF($V1918&lt;&gt;"",$V1918-$B1918,TODAY()-$B1918))</f>
        <v/>
      </c>
      <c r="X1918" s="19">
        <f>IF(OR($B1918="",$U1918=""),"",IF($V1918&lt;&gt;"",MAX(0,$V1918-$U1918),MAX(0,TODAY()-$U1918)))</f>
        <v/>
      </c>
      <c r="Y1918" s="39">
        <f>IF($C1918="","",IF(IFERROR(INDEX(LISTAS!$I$3:$I$42,MATCH($T1918,LISTAS!$H$3:$H$42,0)),"NO")="SÍ",IF(N($X1918)&gt;0,"CERRADA FUERA DE SLA","CERRADA EN SLA"),IF($U1918="","SIN CLASIFICAR",IF(N($X1918)&gt;0,"VENCIDA",IF(TODAY()&gt;=$U1918-1,"POR VENCER","EN PLAZO")))))</f>
        <v/>
      </c>
      <c r="Z1918" s="41" t="n"/>
      <c r="AA1918" s="41" t="n"/>
      <c r="AB1918" s="41" t="n"/>
    </row>
    <row r="1919">
      <c r="A1919" s="39">
        <f>IF($C1919="","","NOV-"&amp;TEXT(ROW()-3,"0000"))</f>
        <v/>
      </c>
      <c r="B1919" s="40" t="n"/>
      <c r="C1919" s="41" t="n"/>
      <c r="D1919" s="42">
        <f>IF($C1919="","",IFERROR(INDEX(DESPACHOS!$D$3:$D$3002,MATCH($C1919,DESPACHOS!$B$3:$B$3002,0)),"SIN DESPACHO"))</f>
        <v/>
      </c>
      <c r="E1919" s="42">
        <f>IF($C1919="","",IFERROR(INDEX(DESPACHOS!$K$3:$K$3002,MATCH($C1919,DESPACHOS!$B$3:$B$3002,0)),""))</f>
        <v/>
      </c>
      <c r="F1919" s="42">
        <f>IF($C1919="","",IFERROR(INDEX(DESPACHOS!$I$3:$I$3002,MATCH($C1919,DESPACHOS!$B$3:$B$3002,0)),""))</f>
        <v/>
      </c>
      <c r="G1919" s="42">
        <f>IF($C1919="","",IFERROR(INDEX(DESPACHOS!$F$3:$F$3002,MATCH($C1919,DESPACHOS!$B$3:$B$3002,0)),""))</f>
        <v/>
      </c>
      <c r="H1919" s="42">
        <f>IF($C1919="","",IFERROR(INDEX(DESPACHOS!$G$3:$G$3002,MATCH($C1919,DESPACHOS!$B$3:$B$3002,0)),""))</f>
        <v/>
      </c>
      <c r="I1919" s="39">
        <f>IF($C1919="","",IFERROR(INDEX(DESPACHOS!$H$3:$H$3002,MATCH($C1919,DESPACHOS!$B$3:$B$3002,0)),""))</f>
        <v/>
      </c>
      <c r="J1919" s="43">
        <f>IF($C1919="","",IFERROR(INDEX(DESPACHOS!$J$3:$J$3002,MATCH($C1919,DESPACHOS!$B$3:$B$3002,0)),""))</f>
        <v/>
      </c>
      <c r="K1919" s="39">
        <f>IF($C1919="","",IF(COUNTIFS(DESPACHOS!$B$3:$B$3002,$C1919)=0,"NO EXISTE",IF(COUNTIFS(DESPACHOS!$B$3:$B$3002,$C1919)&gt;1,"DUPLICADO","OK")))</f>
        <v/>
      </c>
      <c r="L1919" s="41" t="n"/>
      <c r="M1919" s="41" t="n"/>
      <c r="N1919" s="42">
        <f>IF($M1919="","",IFERROR(INDEX(LISTAS!$F$3:$F$42,MATCH($M1919,LISTAS!$E$3:$E$42,0)),"Por definir"))</f>
        <v/>
      </c>
      <c r="O1919" s="41" t="n"/>
      <c r="P1919" s="39">
        <f>IF($L1919="","",IFERROR(INDEX(LISTAS!$B$3:$B$42,MATCH($L1919,LISTAS!$A$3:$A$42,0)),"Media"))</f>
        <v/>
      </c>
      <c r="Q1919" s="44" t="n"/>
      <c r="R1919" s="45" t="n"/>
      <c r="S1919" s="20">
        <f>IFERROR(IF(OR($R1919="",$C1919=""),"",$R1919/INDEX(DESPACHOS!$M$3:$M$3002,MATCH($C1919,DESPACHOS!$B$3:$B$3002,0))),"")</f>
        <v/>
      </c>
      <c r="T1919" s="41" t="n"/>
      <c r="U1919" s="43">
        <f>IF(OR($B1919="",$L1919=""),"",WORKDAY($B1919,IFERROR(INDEX(LISTAS!$C$3:$C$42,MATCH($L1919,LISTAS!$A$3:$A$42,0)),3)))</f>
        <v/>
      </c>
      <c r="V1919" s="40" t="n"/>
      <c r="W1919" s="19">
        <f>IF($B1919="","",IF($V1919&lt;&gt;"",$V1919-$B1919,TODAY()-$B1919))</f>
        <v/>
      </c>
      <c r="X1919" s="19">
        <f>IF(OR($B1919="",$U1919=""),"",IF($V1919&lt;&gt;"",MAX(0,$V1919-$U1919),MAX(0,TODAY()-$U1919)))</f>
        <v/>
      </c>
      <c r="Y1919" s="39">
        <f>IF($C1919="","",IF(IFERROR(INDEX(LISTAS!$I$3:$I$42,MATCH($T1919,LISTAS!$H$3:$H$42,0)),"NO")="SÍ",IF(N($X1919)&gt;0,"CERRADA FUERA DE SLA","CERRADA EN SLA"),IF($U1919="","SIN CLASIFICAR",IF(N($X1919)&gt;0,"VENCIDA",IF(TODAY()&gt;=$U1919-1,"POR VENCER","EN PLAZO")))))</f>
        <v/>
      </c>
      <c r="Z1919" s="41" t="n"/>
      <c r="AA1919" s="41" t="n"/>
      <c r="AB1919" s="41" t="n"/>
    </row>
    <row r="1920">
      <c r="A1920" s="39">
        <f>IF($C1920="","","NOV-"&amp;TEXT(ROW()-3,"0000"))</f>
        <v/>
      </c>
      <c r="B1920" s="40" t="n"/>
      <c r="C1920" s="41" t="n"/>
      <c r="D1920" s="42">
        <f>IF($C1920="","",IFERROR(INDEX(DESPACHOS!$D$3:$D$3002,MATCH($C1920,DESPACHOS!$B$3:$B$3002,0)),"SIN DESPACHO"))</f>
        <v/>
      </c>
      <c r="E1920" s="42">
        <f>IF($C1920="","",IFERROR(INDEX(DESPACHOS!$K$3:$K$3002,MATCH($C1920,DESPACHOS!$B$3:$B$3002,0)),""))</f>
        <v/>
      </c>
      <c r="F1920" s="42">
        <f>IF($C1920="","",IFERROR(INDEX(DESPACHOS!$I$3:$I$3002,MATCH($C1920,DESPACHOS!$B$3:$B$3002,0)),""))</f>
        <v/>
      </c>
      <c r="G1920" s="42">
        <f>IF($C1920="","",IFERROR(INDEX(DESPACHOS!$F$3:$F$3002,MATCH($C1920,DESPACHOS!$B$3:$B$3002,0)),""))</f>
        <v/>
      </c>
      <c r="H1920" s="42">
        <f>IF($C1920="","",IFERROR(INDEX(DESPACHOS!$G$3:$G$3002,MATCH($C1920,DESPACHOS!$B$3:$B$3002,0)),""))</f>
        <v/>
      </c>
      <c r="I1920" s="39">
        <f>IF($C1920="","",IFERROR(INDEX(DESPACHOS!$H$3:$H$3002,MATCH($C1920,DESPACHOS!$B$3:$B$3002,0)),""))</f>
        <v/>
      </c>
      <c r="J1920" s="43">
        <f>IF($C1920="","",IFERROR(INDEX(DESPACHOS!$J$3:$J$3002,MATCH($C1920,DESPACHOS!$B$3:$B$3002,0)),""))</f>
        <v/>
      </c>
      <c r="K1920" s="39">
        <f>IF($C1920="","",IF(COUNTIFS(DESPACHOS!$B$3:$B$3002,$C1920)=0,"NO EXISTE",IF(COUNTIFS(DESPACHOS!$B$3:$B$3002,$C1920)&gt;1,"DUPLICADO","OK")))</f>
        <v/>
      </c>
      <c r="L1920" s="41" t="n"/>
      <c r="M1920" s="41" t="n"/>
      <c r="N1920" s="42">
        <f>IF($M1920="","",IFERROR(INDEX(LISTAS!$F$3:$F$42,MATCH($M1920,LISTAS!$E$3:$E$42,0)),"Por definir"))</f>
        <v/>
      </c>
      <c r="O1920" s="41" t="n"/>
      <c r="P1920" s="39">
        <f>IF($L1920="","",IFERROR(INDEX(LISTAS!$B$3:$B$42,MATCH($L1920,LISTAS!$A$3:$A$42,0)),"Media"))</f>
        <v/>
      </c>
      <c r="Q1920" s="44" t="n"/>
      <c r="R1920" s="45" t="n"/>
      <c r="S1920" s="20">
        <f>IFERROR(IF(OR($R1920="",$C1920=""),"",$R1920/INDEX(DESPACHOS!$M$3:$M$3002,MATCH($C1920,DESPACHOS!$B$3:$B$3002,0))),"")</f>
        <v/>
      </c>
      <c r="T1920" s="41" t="n"/>
      <c r="U1920" s="43">
        <f>IF(OR($B1920="",$L1920=""),"",WORKDAY($B1920,IFERROR(INDEX(LISTAS!$C$3:$C$42,MATCH($L1920,LISTAS!$A$3:$A$42,0)),3)))</f>
        <v/>
      </c>
      <c r="V1920" s="40" t="n"/>
      <c r="W1920" s="19">
        <f>IF($B1920="","",IF($V1920&lt;&gt;"",$V1920-$B1920,TODAY()-$B1920))</f>
        <v/>
      </c>
      <c r="X1920" s="19">
        <f>IF(OR($B1920="",$U1920=""),"",IF($V1920&lt;&gt;"",MAX(0,$V1920-$U1920),MAX(0,TODAY()-$U1920)))</f>
        <v/>
      </c>
      <c r="Y1920" s="39">
        <f>IF($C1920="","",IF(IFERROR(INDEX(LISTAS!$I$3:$I$42,MATCH($T1920,LISTAS!$H$3:$H$42,0)),"NO")="SÍ",IF(N($X1920)&gt;0,"CERRADA FUERA DE SLA","CERRADA EN SLA"),IF($U1920="","SIN CLASIFICAR",IF(N($X1920)&gt;0,"VENCIDA",IF(TODAY()&gt;=$U1920-1,"POR VENCER","EN PLAZO")))))</f>
        <v/>
      </c>
      <c r="Z1920" s="41" t="n"/>
      <c r="AA1920" s="41" t="n"/>
      <c r="AB1920" s="41" t="n"/>
    </row>
    <row r="1921">
      <c r="A1921" s="39">
        <f>IF($C1921="","","NOV-"&amp;TEXT(ROW()-3,"0000"))</f>
        <v/>
      </c>
      <c r="B1921" s="40" t="n"/>
      <c r="C1921" s="41" t="n"/>
      <c r="D1921" s="42">
        <f>IF($C1921="","",IFERROR(INDEX(DESPACHOS!$D$3:$D$3002,MATCH($C1921,DESPACHOS!$B$3:$B$3002,0)),"SIN DESPACHO"))</f>
        <v/>
      </c>
      <c r="E1921" s="42">
        <f>IF($C1921="","",IFERROR(INDEX(DESPACHOS!$K$3:$K$3002,MATCH($C1921,DESPACHOS!$B$3:$B$3002,0)),""))</f>
        <v/>
      </c>
      <c r="F1921" s="42">
        <f>IF($C1921="","",IFERROR(INDEX(DESPACHOS!$I$3:$I$3002,MATCH($C1921,DESPACHOS!$B$3:$B$3002,0)),""))</f>
        <v/>
      </c>
      <c r="G1921" s="42">
        <f>IF($C1921="","",IFERROR(INDEX(DESPACHOS!$F$3:$F$3002,MATCH($C1921,DESPACHOS!$B$3:$B$3002,0)),""))</f>
        <v/>
      </c>
      <c r="H1921" s="42">
        <f>IF($C1921="","",IFERROR(INDEX(DESPACHOS!$G$3:$G$3002,MATCH($C1921,DESPACHOS!$B$3:$B$3002,0)),""))</f>
        <v/>
      </c>
      <c r="I1921" s="39">
        <f>IF($C1921="","",IFERROR(INDEX(DESPACHOS!$H$3:$H$3002,MATCH($C1921,DESPACHOS!$B$3:$B$3002,0)),""))</f>
        <v/>
      </c>
      <c r="J1921" s="43">
        <f>IF($C1921="","",IFERROR(INDEX(DESPACHOS!$J$3:$J$3002,MATCH($C1921,DESPACHOS!$B$3:$B$3002,0)),""))</f>
        <v/>
      </c>
      <c r="K1921" s="39">
        <f>IF($C1921="","",IF(COUNTIFS(DESPACHOS!$B$3:$B$3002,$C1921)=0,"NO EXISTE",IF(COUNTIFS(DESPACHOS!$B$3:$B$3002,$C1921)&gt;1,"DUPLICADO","OK")))</f>
        <v/>
      </c>
      <c r="L1921" s="41" t="n"/>
      <c r="M1921" s="41" t="n"/>
      <c r="N1921" s="42">
        <f>IF($M1921="","",IFERROR(INDEX(LISTAS!$F$3:$F$42,MATCH($M1921,LISTAS!$E$3:$E$42,0)),"Por definir"))</f>
        <v/>
      </c>
      <c r="O1921" s="41" t="n"/>
      <c r="P1921" s="39">
        <f>IF($L1921="","",IFERROR(INDEX(LISTAS!$B$3:$B$42,MATCH($L1921,LISTAS!$A$3:$A$42,0)),"Media"))</f>
        <v/>
      </c>
      <c r="Q1921" s="44" t="n"/>
      <c r="R1921" s="45" t="n"/>
      <c r="S1921" s="20">
        <f>IFERROR(IF(OR($R1921="",$C1921=""),"",$R1921/INDEX(DESPACHOS!$M$3:$M$3002,MATCH($C1921,DESPACHOS!$B$3:$B$3002,0))),"")</f>
        <v/>
      </c>
      <c r="T1921" s="41" t="n"/>
      <c r="U1921" s="43">
        <f>IF(OR($B1921="",$L1921=""),"",WORKDAY($B1921,IFERROR(INDEX(LISTAS!$C$3:$C$42,MATCH($L1921,LISTAS!$A$3:$A$42,0)),3)))</f>
        <v/>
      </c>
      <c r="V1921" s="40" t="n"/>
      <c r="W1921" s="19">
        <f>IF($B1921="","",IF($V1921&lt;&gt;"",$V1921-$B1921,TODAY()-$B1921))</f>
        <v/>
      </c>
      <c r="X1921" s="19">
        <f>IF(OR($B1921="",$U1921=""),"",IF($V1921&lt;&gt;"",MAX(0,$V1921-$U1921),MAX(0,TODAY()-$U1921)))</f>
        <v/>
      </c>
      <c r="Y1921" s="39">
        <f>IF($C1921="","",IF(IFERROR(INDEX(LISTAS!$I$3:$I$42,MATCH($T1921,LISTAS!$H$3:$H$42,0)),"NO")="SÍ",IF(N($X1921)&gt;0,"CERRADA FUERA DE SLA","CERRADA EN SLA"),IF($U1921="","SIN CLASIFICAR",IF(N($X1921)&gt;0,"VENCIDA",IF(TODAY()&gt;=$U1921-1,"POR VENCER","EN PLAZO")))))</f>
        <v/>
      </c>
      <c r="Z1921" s="41" t="n"/>
      <c r="AA1921" s="41" t="n"/>
      <c r="AB1921" s="41" t="n"/>
    </row>
    <row r="1922">
      <c r="A1922" s="39">
        <f>IF($C1922="","","NOV-"&amp;TEXT(ROW()-3,"0000"))</f>
        <v/>
      </c>
      <c r="B1922" s="40" t="n"/>
      <c r="C1922" s="41" t="n"/>
      <c r="D1922" s="42">
        <f>IF($C1922="","",IFERROR(INDEX(DESPACHOS!$D$3:$D$3002,MATCH($C1922,DESPACHOS!$B$3:$B$3002,0)),"SIN DESPACHO"))</f>
        <v/>
      </c>
      <c r="E1922" s="42">
        <f>IF($C1922="","",IFERROR(INDEX(DESPACHOS!$K$3:$K$3002,MATCH($C1922,DESPACHOS!$B$3:$B$3002,0)),""))</f>
        <v/>
      </c>
      <c r="F1922" s="42">
        <f>IF($C1922="","",IFERROR(INDEX(DESPACHOS!$I$3:$I$3002,MATCH($C1922,DESPACHOS!$B$3:$B$3002,0)),""))</f>
        <v/>
      </c>
      <c r="G1922" s="42">
        <f>IF($C1922="","",IFERROR(INDEX(DESPACHOS!$F$3:$F$3002,MATCH($C1922,DESPACHOS!$B$3:$B$3002,0)),""))</f>
        <v/>
      </c>
      <c r="H1922" s="42">
        <f>IF($C1922="","",IFERROR(INDEX(DESPACHOS!$G$3:$G$3002,MATCH($C1922,DESPACHOS!$B$3:$B$3002,0)),""))</f>
        <v/>
      </c>
      <c r="I1922" s="39">
        <f>IF($C1922="","",IFERROR(INDEX(DESPACHOS!$H$3:$H$3002,MATCH($C1922,DESPACHOS!$B$3:$B$3002,0)),""))</f>
        <v/>
      </c>
      <c r="J1922" s="43">
        <f>IF($C1922="","",IFERROR(INDEX(DESPACHOS!$J$3:$J$3002,MATCH($C1922,DESPACHOS!$B$3:$B$3002,0)),""))</f>
        <v/>
      </c>
      <c r="K1922" s="39">
        <f>IF($C1922="","",IF(COUNTIFS(DESPACHOS!$B$3:$B$3002,$C1922)=0,"NO EXISTE",IF(COUNTIFS(DESPACHOS!$B$3:$B$3002,$C1922)&gt;1,"DUPLICADO","OK")))</f>
        <v/>
      </c>
      <c r="L1922" s="41" t="n"/>
      <c r="M1922" s="41" t="n"/>
      <c r="N1922" s="42">
        <f>IF($M1922="","",IFERROR(INDEX(LISTAS!$F$3:$F$42,MATCH($M1922,LISTAS!$E$3:$E$42,0)),"Por definir"))</f>
        <v/>
      </c>
      <c r="O1922" s="41" t="n"/>
      <c r="P1922" s="39">
        <f>IF($L1922="","",IFERROR(INDEX(LISTAS!$B$3:$B$42,MATCH($L1922,LISTAS!$A$3:$A$42,0)),"Media"))</f>
        <v/>
      </c>
      <c r="Q1922" s="44" t="n"/>
      <c r="R1922" s="45" t="n"/>
      <c r="S1922" s="20">
        <f>IFERROR(IF(OR($R1922="",$C1922=""),"",$R1922/INDEX(DESPACHOS!$M$3:$M$3002,MATCH($C1922,DESPACHOS!$B$3:$B$3002,0))),"")</f>
        <v/>
      </c>
      <c r="T1922" s="41" t="n"/>
      <c r="U1922" s="43">
        <f>IF(OR($B1922="",$L1922=""),"",WORKDAY($B1922,IFERROR(INDEX(LISTAS!$C$3:$C$42,MATCH($L1922,LISTAS!$A$3:$A$42,0)),3)))</f>
        <v/>
      </c>
      <c r="V1922" s="40" t="n"/>
      <c r="W1922" s="19">
        <f>IF($B1922="","",IF($V1922&lt;&gt;"",$V1922-$B1922,TODAY()-$B1922))</f>
        <v/>
      </c>
      <c r="X1922" s="19">
        <f>IF(OR($B1922="",$U1922=""),"",IF($V1922&lt;&gt;"",MAX(0,$V1922-$U1922),MAX(0,TODAY()-$U1922)))</f>
        <v/>
      </c>
      <c r="Y1922" s="39">
        <f>IF($C1922="","",IF(IFERROR(INDEX(LISTAS!$I$3:$I$42,MATCH($T1922,LISTAS!$H$3:$H$42,0)),"NO")="SÍ",IF(N($X1922)&gt;0,"CERRADA FUERA DE SLA","CERRADA EN SLA"),IF($U1922="","SIN CLASIFICAR",IF(N($X1922)&gt;0,"VENCIDA",IF(TODAY()&gt;=$U1922-1,"POR VENCER","EN PLAZO")))))</f>
        <v/>
      </c>
      <c r="Z1922" s="41" t="n"/>
      <c r="AA1922" s="41" t="n"/>
      <c r="AB1922" s="41" t="n"/>
    </row>
    <row r="1923">
      <c r="A1923" s="39">
        <f>IF($C1923="","","NOV-"&amp;TEXT(ROW()-3,"0000"))</f>
        <v/>
      </c>
      <c r="B1923" s="40" t="n"/>
      <c r="C1923" s="41" t="n"/>
      <c r="D1923" s="42">
        <f>IF($C1923="","",IFERROR(INDEX(DESPACHOS!$D$3:$D$3002,MATCH($C1923,DESPACHOS!$B$3:$B$3002,0)),"SIN DESPACHO"))</f>
        <v/>
      </c>
      <c r="E1923" s="42">
        <f>IF($C1923="","",IFERROR(INDEX(DESPACHOS!$K$3:$K$3002,MATCH($C1923,DESPACHOS!$B$3:$B$3002,0)),""))</f>
        <v/>
      </c>
      <c r="F1923" s="42">
        <f>IF($C1923="","",IFERROR(INDEX(DESPACHOS!$I$3:$I$3002,MATCH($C1923,DESPACHOS!$B$3:$B$3002,0)),""))</f>
        <v/>
      </c>
      <c r="G1923" s="42">
        <f>IF($C1923="","",IFERROR(INDEX(DESPACHOS!$F$3:$F$3002,MATCH($C1923,DESPACHOS!$B$3:$B$3002,0)),""))</f>
        <v/>
      </c>
      <c r="H1923" s="42">
        <f>IF($C1923="","",IFERROR(INDEX(DESPACHOS!$G$3:$G$3002,MATCH($C1923,DESPACHOS!$B$3:$B$3002,0)),""))</f>
        <v/>
      </c>
      <c r="I1923" s="39">
        <f>IF($C1923="","",IFERROR(INDEX(DESPACHOS!$H$3:$H$3002,MATCH($C1923,DESPACHOS!$B$3:$B$3002,0)),""))</f>
        <v/>
      </c>
      <c r="J1923" s="43">
        <f>IF($C1923="","",IFERROR(INDEX(DESPACHOS!$J$3:$J$3002,MATCH($C1923,DESPACHOS!$B$3:$B$3002,0)),""))</f>
        <v/>
      </c>
      <c r="K1923" s="39">
        <f>IF($C1923="","",IF(COUNTIFS(DESPACHOS!$B$3:$B$3002,$C1923)=0,"NO EXISTE",IF(COUNTIFS(DESPACHOS!$B$3:$B$3002,$C1923)&gt;1,"DUPLICADO","OK")))</f>
        <v/>
      </c>
      <c r="L1923" s="41" t="n"/>
      <c r="M1923" s="41" t="n"/>
      <c r="N1923" s="42">
        <f>IF($M1923="","",IFERROR(INDEX(LISTAS!$F$3:$F$42,MATCH($M1923,LISTAS!$E$3:$E$42,0)),"Por definir"))</f>
        <v/>
      </c>
      <c r="O1923" s="41" t="n"/>
      <c r="P1923" s="39">
        <f>IF($L1923="","",IFERROR(INDEX(LISTAS!$B$3:$B$42,MATCH($L1923,LISTAS!$A$3:$A$42,0)),"Media"))</f>
        <v/>
      </c>
      <c r="Q1923" s="44" t="n"/>
      <c r="R1923" s="45" t="n"/>
      <c r="S1923" s="20">
        <f>IFERROR(IF(OR($R1923="",$C1923=""),"",$R1923/INDEX(DESPACHOS!$M$3:$M$3002,MATCH($C1923,DESPACHOS!$B$3:$B$3002,0))),"")</f>
        <v/>
      </c>
      <c r="T1923" s="41" t="n"/>
      <c r="U1923" s="43">
        <f>IF(OR($B1923="",$L1923=""),"",WORKDAY($B1923,IFERROR(INDEX(LISTAS!$C$3:$C$42,MATCH($L1923,LISTAS!$A$3:$A$42,0)),3)))</f>
        <v/>
      </c>
      <c r="V1923" s="40" t="n"/>
      <c r="W1923" s="19">
        <f>IF($B1923="","",IF($V1923&lt;&gt;"",$V1923-$B1923,TODAY()-$B1923))</f>
        <v/>
      </c>
      <c r="X1923" s="19">
        <f>IF(OR($B1923="",$U1923=""),"",IF($V1923&lt;&gt;"",MAX(0,$V1923-$U1923),MAX(0,TODAY()-$U1923)))</f>
        <v/>
      </c>
      <c r="Y1923" s="39">
        <f>IF($C1923="","",IF(IFERROR(INDEX(LISTAS!$I$3:$I$42,MATCH($T1923,LISTAS!$H$3:$H$42,0)),"NO")="SÍ",IF(N($X1923)&gt;0,"CERRADA FUERA DE SLA","CERRADA EN SLA"),IF($U1923="","SIN CLASIFICAR",IF(N($X1923)&gt;0,"VENCIDA",IF(TODAY()&gt;=$U1923-1,"POR VENCER","EN PLAZO")))))</f>
        <v/>
      </c>
      <c r="Z1923" s="41" t="n"/>
      <c r="AA1923" s="41" t="n"/>
      <c r="AB1923" s="41" t="n"/>
    </row>
    <row r="1924">
      <c r="A1924" s="39">
        <f>IF($C1924="","","NOV-"&amp;TEXT(ROW()-3,"0000"))</f>
        <v/>
      </c>
      <c r="B1924" s="40" t="n"/>
      <c r="C1924" s="41" t="n"/>
      <c r="D1924" s="42">
        <f>IF($C1924="","",IFERROR(INDEX(DESPACHOS!$D$3:$D$3002,MATCH($C1924,DESPACHOS!$B$3:$B$3002,0)),"SIN DESPACHO"))</f>
        <v/>
      </c>
      <c r="E1924" s="42">
        <f>IF($C1924="","",IFERROR(INDEX(DESPACHOS!$K$3:$K$3002,MATCH($C1924,DESPACHOS!$B$3:$B$3002,0)),""))</f>
        <v/>
      </c>
      <c r="F1924" s="42">
        <f>IF($C1924="","",IFERROR(INDEX(DESPACHOS!$I$3:$I$3002,MATCH($C1924,DESPACHOS!$B$3:$B$3002,0)),""))</f>
        <v/>
      </c>
      <c r="G1924" s="42">
        <f>IF($C1924="","",IFERROR(INDEX(DESPACHOS!$F$3:$F$3002,MATCH($C1924,DESPACHOS!$B$3:$B$3002,0)),""))</f>
        <v/>
      </c>
      <c r="H1924" s="42">
        <f>IF($C1924="","",IFERROR(INDEX(DESPACHOS!$G$3:$G$3002,MATCH($C1924,DESPACHOS!$B$3:$B$3002,0)),""))</f>
        <v/>
      </c>
      <c r="I1924" s="39">
        <f>IF($C1924="","",IFERROR(INDEX(DESPACHOS!$H$3:$H$3002,MATCH($C1924,DESPACHOS!$B$3:$B$3002,0)),""))</f>
        <v/>
      </c>
      <c r="J1924" s="43">
        <f>IF($C1924="","",IFERROR(INDEX(DESPACHOS!$J$3:$J$3002,MATCH($C1924,DESPACHOS!$B$3:$B$3002,0)),""))</f>
        <v/>
      </c>
      <c r="K1924" s="39">
        <f>IF($C1924="","",IF(COUNTIFS(DESPACHOS!$B$3:$B$3002,$C1924)=0,"NO EXISTE",IF(COUNTIFS(DESPACHOS!$B$3:$B$3002,$C1924)&gt;1,"DUPLICADO","OK")))</f>
        <v/>
      </c>
      <c r="L1924" s="41" t="n"/>
      <c r="M1924" s="41" t="n"/>
      <c r="N1924" s="42">
        <f>IF($M1924="","",IFERROR(INDEX(LISTAS!$F$3:$F$42,MATCH($M1924,LISTAS!$E$3:$E$42,0)),"Por definir"))</f>
        <v/>
      </c>
      <c r="O1924" s="41" t="n"/>
      <c r="P1924" s="39">
        <f>IF($L1924="","",IFERROR(INDEX(LISTAS!$B$3:$B$42,MATCH($L1924,LISTAS!$A$3:$A$42,0)),"Media"))</f>
        <v/>
      </c>
      <c r="Q1924" s="44" t="n"/>
      <c r="R1924" s="45" t="n"/>
      <c r="S1924" s="20">
        <f>IFERROR(IF(OR($R1924="",$C1924=""),"",$R1924/INDEX(DESPACHOS!$M$3:$M$3002,MATCH($C1924,DESPACHOS!$B$3:$B$3002,0))),"")</f>
        <v/>
      </c>
      <c r="T1924" s="41" t="n"/>
      <c r="U1924" s="43">
        <f>IF(OR($B1924="",$L1924=""),"",WORKDAY($B1924,IFERROR(INDEX(LISTAS!$C$3:$C$42,MATCH($L1924,LISTAS!$A$3:$A$42,0)),3)))</f>
        <v/>
      </c>
      <c r="V1924" s="40" t="n"/>
      <c r="W1924" s="19">
        <f>IF($B1924="","",IF($V1924&lt;&gt;"",$V1924-$B1924,TODAY()-$B1924))</f>
        <v/>
      </c>
      <c r="X1924" s="19">
        <f>IF(OR($B1924="",$U1924=""),"",IF($V1924&lt;&gt;"",MAX(0,$V1924-$U1924),MAX(0,TODAY()-$U1924)))</f>
        <v/>
      </c>
      <c r="Y1924" s="39">
        <f>IF($C1924="","",IF(IFERROR(INDEX(LISTAS!$I$3:$I$42,MATCH($T1924,LISTAS!$H$3:$H$42,0)),"NO")="SÍ",IF(N($X1924)&gt;0,"CERRADA FUERA DE SLA","CERRADA EN SLA"),IF($U1924="","SIN CLASIFICAR",IF(N($X1924)&gt;0,"VENCIDA",IF(TODAY()&gt;=$U1924-1,"POR VENCER","EN PLAZO")))))</f>
        <v/>
      </c>
      <c r="Z1924" s="41" t="n"/>
      <c r="AA1924" s="41" t="n"/>
      <c r="AB1924" s="41" t="n"/>
    </row>
    <row r="1925">
      <c r="A1925" s="39">
        <f>IF($C1925="","","NOV-"&amp;TEXT(ROW()-3,"0000"))</f>
        <v/>
      </c>
      <c r="B1925" s="40" t="n"/>
      <c r="C1925" s="41" t="n"/>
      <c r="D1925" s="42">
        <f>IF($C1925="","",IFERROR(INDEX(DESPACHOS!$D$3:$D$3002,MATCH($C1925,DESPACHOS!$B$3:$B$3002,0)),"SIN DESPACHO"))</f>
        <v/>
      </c>
      <c r="E1925" s="42">
        <f>IF($C1925="","",IFERROR(INDEX(DESPACHOS!$K$3:$K$3002,MATCH($C1925,DESPACHOS!$B$3:$B$3002,0)),""))</f>
        <v/>
      </c>
      <c r="F1925" s="42">
        <f>IF($C1925="","",IFERROR(INDEX(DESPACHOS!$I$3:$I$3002,MATCH($C1925,DESPACHOS!$B$3:$B$3002,0)),""))</f>
        <v/>
      </c>
      <c r="G1925" s="42">
        <f>IF($C1925="","",IFERROR(INDEX(DESPACHOS!$F$3:$F$3002,MATCH($C1925,DESPACHOS!$B$3:$B$3002,0)),""))</f>
        <v/>
      </c>
      <c r="H1925" s="42">
        <f>IF($C1925="","",IFERROR(INDEX(DESPACHOS!$G$3:$G$3002,MATCH($C1925,DESPACHOS!$B$3:$B$3002,0)),""))</f>
        <v/>
      </c>
      <c r="I1925" s="39">
        <f>IF($C1925="","",IFERROR(INDEX(DESPACHOS!$H$3:$H$3002,MATCH($C1925,DESPACHOS!$B$3:$B$3002,0)),""))</f>
        <v/>
      </c>
      <c r="J1925" s="43">
        <f>IF($C1925="","",IFERROR(INDEX(DESPACHOS!$J$3:$J$3002,MATCH($C1925,DESPACHOS!$B$3:$B$3002,0)),""))</f>
        <v/>
      </c>
      <c r="K1925" s="39">
        <f>IF($C1925="","",IF(COUNTIFS(DESPACHOS!$B$3:$B$3002,$C1925)=0,"NO EXISTE",IF(COUNTIFS(DESPACHOS!$B$3:$B$3002,$C1925)&gt;1,"DUPLICADO","OK")))</f>
        <v/>
      </c>
      <c r="L1925" s="41" t="n"/>
      <c r="M1925" s="41" t="n"/>
      <c r="N1925" s="42">
        <f>IF($M1925="","",IFERROR(INDEX(LISTAS!$F$3:$F$42,MATCH($M1925,LISTAS!$E$3:$E$42,0)),"Por definir"))</f>
        <v/>
      </c>
      <c r="O1925" s="41" t="n"/>
      <c r="P1925" s="39">
        <f>IF($L1925="","",IFERROR(INDEX(LISTAS!$B$3:$B$42,MATCH($L1925,LISTAS!$A$3:$A$42,0)),"Media"))</f>
        <v/>
      </c>
      <c r="Q1925" s="44" t="n"/>
      <c r="R1925" s="45" t="n"/>
      <c r="S1925" s="20">
        <f>IFERROR(IF(OR($R1925="",$C1925=""),"",$R1925/INDEX(DESPACHOS!$M$3:$M$3002,MATCH($C1925,DESPACHOS!$B$3:$B$3002,0))),"")</f>
        <v/>
      </c>
      <c r="T1925" s="41" t="n"/>
      <c r="U1925" s="43">
        <f>IF(OR($B1925="",$L1925=""),"",WORKDAY($B1925,IFERROR(INDEX(LISTAS!$C$3:$C$42,MATCH($L1925,LISTAS!$A$3:$A$42,0)),3)))</f>
        <v/>
      </c>
      <c r="V1925" s="40" t="n"/>
      <c r="W1925" s="19">
        <f>IF($B1925="","",IF($V1925&lt;&gt;"",$V1925-$B1925,TODAY()-$B1925))</f>
        <v/>
      </c>
      <c r="X1925" s="19">
        <f>IF(OR($B1925="",$U1925=""),"",IF($V1925&lt;&gt;"",MAX(0,$V1925-$U1925),MAX(0,TODAY()-$U1925)))</f>
        <v/>
      </c>
      <c r="Y1925" s="39">
        <f>IF($C1925="","",IF(IFERROR(INDEX(LISTAS!$I$3:$I$42,MATCH($T1925,LISTAS!$H$3:$H$42,0)),"NO")="SÍ",IF(N($X1925)&gt;0,"CERRADA FUERA DE SLA","CERRADA EN SLA"),IF($U1925="","SIN CLASIFICAR",IF(N($X1925)&gt;0,"VENCIDA",IF(TODAY()&gt;=$U1925-1,"POR VENCER","EN PLAZO")))))</f>
        <v/>
      </c>
      <c r="Z1925" s="41" t="n"/>
      <c r="AA1925" s="41" t="n"/>
      <c r="AB1925" s="41" t="n"/>
    </row>
    <row r="1926">
      <c r="A1926" s="39">
        <f>IF($C1926="","","NOV-"&amp;TEXT(ROW()-3,"0000"))</f>
        <v/>
      </c>
      <c r="B1926" s="40" t="n"/>
      <c r="C1926" s="41" t="n"/>
      <c r="D1926" s="42">
        <f>IF($C1926="","",IFERROR(INDEX(DESPACHOS!$D$3:$D$3002,MATCH($C1926,DESPACHOS!$B$3:$B$3002,0)),"SIN DESPACHO"))</f>
        <v/>
      </c>
      <c r="E1926" s="42">
        <f>IF($C1926="","",IFERROR(INDEX(DESPACHOS!$K$3:$K$3002,MATCH($C1926,DESPACHOS!$B$3:$B$3002,0)),""))</f>
        <v/>
      </c>
      <c r="F1926" s="42">
        <f>IF($C1926="","",IFERROR(INDEX(DESPACHOS!$I$3:$I$3002,MATCH($C1926,DESPACHOS!$B$3:$B$3002,0)),""))</f>
        <v/>
      </c>
      <c r="G1926" s="42">
        <f>IF($C1926="","",IFERROR(INDEX(DESPACHOS!$F$3:$F$3002,MATCH($C1926,DESPACHOS!$B$3:$B$3002,0)),""))</f>
        <v/>
      </c>
      <c r="H1926" s="42">
        <f>IF($C1926="","",IFERROR(INDEX(DESPACHOS!$G$3:$G$3002,MATCH($C1926,DESPACHOS!$B$3:$B$3002,0)),""))</f>
        <v/>
      </c>
      <c r="I1926" s="39">
        <f>IF($C1926="","",IFERROR(INDEX(DESPACHOS!$H$3:$H$3002,MATCH($C1926,DESPACHOS!$B$3:$B$3002,0)),""))</f>
        <v/>
      </c>
      <c r="J1926" s="43">
        <f>IF($C1926="","",IFERROR(INDEX(DESPACHOS!$J$3:$J$3002,MATCH($C1926,DESPACHOS!$B$3:$B$3002,0)),""))</f>
        <v/>
      </c>
      <c r="K1926" s="39">
        <f>IF($C1926="","",IF(COUNTIFS(DESPACHOS!$B$3:$B$3002,$C1926)=0,"NO EXISTE",IF(COUNTIFS(DESPACHOS!$B$3:$B$3002,$C1926)&gt;1,"DUPLICADO","OK")))</f>
        <v/>
      </c>
      <c r="L1926" s="41" t="n"/>
      <c r="M1926" s="41" t="n"/>
      <c r="N1926" s="42">
        <f>IF($M1926="","",IFERROR(INDEX(LISTAS!$F$3:$F$42,MATCH($M1926,LISTAS!$E$3:$E$42,0)),"Por definir"))</f>
        <v/>
      </c>
      <c r="O1926" s="41" t="n"/>
      <c r="P1926" s="39">
        <f>IF($L1926="","",IFERROR(INDEX(LISTAS!$B$3:$B$42,MATCH($L1926,LISTAS!$A$3:$A$42,0)),"Media"))</f>
        <v/>
      </c>
      <c r="Q1926" s="44" t="n"/>
      <c r="R1926" s="45" t="n"/>
      <c r="S1926" s="20">
        <f>IFERROR(IF(OR($R1926="",$C1926=""),"",$R1926/INDEX(DESPACHOS!$M$3:$M$3002,MATCH($C1926,DESPACHOS!$B$3:$B$3002,0))),"")</f>
        <v/>
      </c>
      <c r="T1926" s="41" t="n"/>
      <c r="U1926" s="43">
        <f>IF(OR($B1926="",$L1926=""),"",WORKDAY($B1926,IFERROR(INDEX(LISTAS!$C$3:$C$42,MATCH($L1926,LISTAS!$A$3:$A$42,0)),3)))</f>
        <v/>
      </c>
      <c r="V1926" s="40" t="n"/>
      <c r="W1926" s="19">
        <f>IF($B1926="","",IF($V1926&lt;&gt;"",$V1926-$B1926,TODAY()-$B1926))</f>
        <v/>
      </c>
      <c r="X1926" s="19">
        <f>IF(OR($B1926="",$U1926=""),"",IF($V1926&lt;&gt;"",MAX(0,$V1926-$U1926),MAX(0,TODAY()-$U1926)))</f>
        <v/>
      </c>
      <c r="Y1926" s="39">
        <f>IF($C1926="","",IF(IFERROR(INDEX(LISTAS!$I$3:$I$42,MATCH($T1926,LISTAS!$H$3:$H$42,0)),"NO")="SÍ",IF(N($X1926)&gt;0,"CERRADA FUERA DE SLA","CERRADA EN SLA"),IF($U1926="","SIN CLASIFICAR",IF(N($X1926)&gt;0,"VENCIDA",IF(TODAY()&gt;=$U1926-1,"POR VENCER","EN PLAZO")))))</f>
        <v/>
      </c>
      <c r="Z1926" s="41" t="n"/>
      <c r="AA1926" s="41" t="n"/>
      <c r="AB1926" s="41" t="n"/>
    </row>
    <row r="1927">
      <c r="A1927" s="39">
        <f>IF($C1927="","","NOV-"&amp;TEXT(ROW()-3,"0000"))</f>
        <v/>
      </c>
      <c r="B1927" s="40" t="n"/>
      <c r="C1927" s="41" t="n"/>
      <c r="D1927" s="42">
        <f>IF($C1927="","",IFERROR(INDEX(DESPACHOS!$D$3:$D$3002,MATCH($C1927,DESPACHOS!$B$3:$B$3002,0)),"SIN DESPACHO"))</f>
        <v/>
      </c>
      <c r="E1927" s="42">
        <f>IF($C1927="","",IFERROR(INDEX(DESPACHOS!$K$3:$K$3002,MATCH($C1927,DESPACHOS!$B$3:$B$3002,0)),""))</f>
        <v/>
      </c>
      <c r="F1927" s="42">
        <f>IF($C1927="","",IFERROR(INDEX(DESPACHOS!$I$3:$I$3002,MATCH($C1927,DESPACHOS!$B$3:$B$3002,0)),""))</f>
        <v/>
      </c>
      <c r="G1927" s="42">
        <f>IF($C1927="","",IFERROR(INDEX(DESPACHOS!$F$3:$F$3002,MATCH($C1927,DESPACHOS!$B$3:$B$3002,0)),""))</f>
        <v/>
      </c>
      <c r="H1927" s="42">
        <f>IF($C1927="","",IFERROR(INDEX(DESPACHOS!$G$3:$G$3002,MATCH($C1927,DESPACHOS!$B$3:$B$3002,0)),""))</f>
        <v/>
      </c>
      <c r="I1927" s="39">
        <f>IF($C1927="","",IFERROR(INDEX(DESPACHOS!$H$3:$H$3002,MATCH($C1927,DESPACHOS!$B$3:$B$3002,0)),""))</f>
        <v/>
      </c>
      <c r="J1927" s="43">
        <f>IF($C1927="","",IFERROR(INDEX(DESPACHOS!$J$3:$J$3002,MATCH($C1927,DESPACHOS!$B$3:$B$3002,0)),""))</f>
        <v/>
      </c>
      <c r="K1927" s="39">
        <f>IF($C1927="","",IF(COUNTIFS(DESPACHOS!$B$3:$B$3002,$C1927)=0,"NO EXISTE",IF(COUNTIFS(DESPACHOS!$B$3:$B$3002,$C1927)&gt;1,"DUPLICADO","OK")))</f>
        <v/>
      </c>
      <c r="L1927" s="41" t="n"/>
      <c r="M1927" s="41" t="n"/>
      <c r="N1927" s="42">
        <f>IF($M1927="","",IFERROR(INDEX(LISTAS!$F$3:$F$42,MATCH($M1927,LISTAS!$E$3:$E$42,0)),"Por definir"))</f>
        <v/>
      </c>
      <c r="O1927" s="41" t="n"/>
      <c r="P1927" s="39">
        <f>IF($L1927="","",IFERROR(INDEX(LISTAS!$B$3:$B$42,MATCH($L1927,LISTAS!$A$3:$A$42,0)),"Media"))</f>
        <v/>
      </c>
      <c r="Q1927" s="44" t="n"/>
      <c r="R1927" s="45" t="n"/>
      <c r="S1927" s="20">
        <f>IFERROR(IF(OR($R1927="",$C1927=""),"",$R1927/INDEX(DESPACHOS!$M$3:$M$3002,MATCH($C1927,DESPACHOS!$B$3:$B$3002,0))),"")</f>
        <v/>
      </c>
      <c r="T1927" s="41" t="n"/>
      <c r="U1927" s="43">
        <f>IF(OR($B1927="",$L1927=""),"",WORKDAY($B1927,IFERROR(INDEX(LISTAS!$C$3:$C$42,MATCH($L1927,LISTAS!$A$3:$A$42,0)),3)))</f>
        <v/>
      </c>
      <c r="V1927" s="40" t="n"/>
      <c r="W1927" s="19">
        <f>IF($B1927="","",IF($V1927&lt;&gt;"",$V1927-$B1927,TODAY()-$B1927))</f>
        <v/>
      </c>
      <c r="X1927" s="19">
        <f>IF(OR($B1927="",$U1927=""),"",IF($V1927&lt;&gt;"",MAX(0,$V1927-$U1927),MAX(0,TODAY()-$U1927)))</f>
        <v/>
      </c>
      <c r="Y1927" s="39">
        <f>IF($C1927="","",IF(IFERROR(INDEX(LISTAS!$I$3:$I$42,MATCH($T1927,LISTAS!$H$3:$H$42,0)),"NO")="SÍ",IF(N($X1927)&gt;0,"CERRADA FUERA DE SLA","CERRADA EN SLA"),IF($U1927="","SIN CLASIFICAR",IF(N($X1927)&gt;0,"VENCIDA",IF(TODAY()&gt;=$U1927-1,"POR VENCER","EN PLAZO")))))</f>
        <v/>
      </c>
      <c r="Z1927" s="41" t="n"/>
      <c r="AA1927" s="41" t="n"/>
      <c r="AB1927" s="41" t="n"/>
    </row>
    <row r="1928">
      <c r="A1928" s="39">
        <f>IF($C1928="","","NOV-"&amp;TEXT(ROW()-3,"0000"))</f>
        <v/>
      </c>
      <c r="B1928" s="40" t="n"/>
      <c r="C1928" s="41" t="n"/>
      <c r="D1928" s="42">
        <f>IF($C1928="","",IFERROR(INDEX(DESPACHOS!$D$3:$D$3002,MATCH($C1928,DESPACHOS!$B$3:$B$3002,0)),"SIN DESPACHO"))</f>
        <v/>
      </c>
      <c r="E1928" s="42">
        <f>IF($C1928="","",IFERROR(INDEX(DESPACHOS!$K$3:$K$3002,MATCH($C1928,DESPACHOS!$B$3:$B$3002,0)),""))</f>
        <v/>
      </c>
      <c r="F1928" s="42">
        <f>IF($C1928="","",IFERROR(INDEX(DESPACHOS!$I$3:$I$3002,MATCH($C1928,DESPACHOS!$B$3:$B$3002,0)),""))</f>
        <v/>
      </c>
      <c r="G1928" s="42">
        <f>IF($C1928="","",IFERROR(INDEX(DESPACHOS!$F$3:$F$3002,MATCH($C1928,DESPACHOS!$B$3:$B$3002,0)),""))</f>
        <v/>
      </c>
      <c r="H1928" s="42">
        <f>IF($C1928="","",IFERROR(INDEX(DESPACHOS!$G$3:$G$3002,MATCH($C1928,DESPACHOS!$B$3:$B$3002,0)),""))</f>
        <v/>
      </c>
      <c r="I1928" s="39">
        <f>IF($C1928="","",IFERROR(INDEX(DESPACHOS!$H$3:$H$3002,MATCH($C1928,DESPACHOS!$B$3:$B$3002,0)),""))</f>
        <v/>
      </c>
      <c r="J1928" s="43">
        <f>IF($C1928="","",IFERROR(INDEX(DESPACHOS!$J$3:$J$3002,MATCH($C1928,DESPACHOS!$B$3:$B$3002,0)),""))</f>
        <v/>
      </c>
      <c r="K1928" s="39">
        <f>IF($C1928="","",IF(COUNTIFS(DESPACHOS!$B$3:$B$3002,$C1928)=0,"NO EXISTE",IF(COUNTIFS(DESPACHOS!$B$3:$B$3002,$C1928)&gt;1,"DUPLICADO","OK")))</f>
        <v/>
      </c>
      <c r="L1928" s="41" t="n"/>
      <c r="M1928" s="41" t="n"/>
      <c r="N1928" s="42">
        <f>IF($M1928="","",IFERROR(INDEX(LISTAS!$F$3:$F$42,MATCH($M1928,LISTAS!$E$3:$E$42,0)),"Por definir"))</f>
        <v/>
      </c>
      <c r="O1928" s="41" t="n"/>
      <c r="P1928" s="39">
        <f>IF($L1928="","",IFERROR(INDEX(LISTAS!$B$3:$B$42,MATCH($L1928,LISTAS!$A$3:$A$42,0)),"Media"))</f>
        <v/>
      </c>
      <c r="Q1928" s="44" t="n"/>
      <c r="R1928" s="45" t="n"/>
      <c r="S1928" s="20">
        <f>IFERROR(IF(OR($R1928="",$C1928=""),"",$R1928/INDEX(DESPACHOS!$M$3:$M$3002,MATCH($C1928,DESPACHOS!$B$3:$B$3002,0))),"")</f>
        <v/>
      </c>
      <c r="T1928" s="41" t="n"/>
      <c r="U1928" s="43">
        <f>IF(OR($B1928="",$L1928=""),"",WORKDAY($B1928,IFERROR(INDEX(LISTAS!$C$3:$C$42,MATCH($L1928,LISTAS!$A$3:$A$42,0)),3)))</f>
        <v/>
      </c>
      <c r="V1928" s="40" t="n"/>
      <c r="W1928" s="19">
        <f>IF($B1928="","",IF($V1928&lt;&gt;"",$V1928-$B1928,TODAY()-$B1928))</f>
        <v/>
      </c>
      <c r="X1928" s="19">
        <f>IF(OR($B1928="",$U1928=""),"",IF($V1928&lt;&gt;"",MAX(0,$V1928-$U1928),MAX(0,TODAY()-$U1928)))</f>
        <v/>
      </c>
      <c r="Y1928" s="39">
        <f>IF($C1928="","",IF(IFERROR(INDEX(LISTAS!$I$3:$I$42,MATCH($T1928,LISTAS!$H$3:$H$42,0)),"NO")="SÍ",IF(N($X1928)&gt;0,"CERRADA FUERA DE SLA","CERRADA EN SLA"),IF($U1928="","SIN CLASIFICAR",IF(N($X1928)&gt;0,"VENCIDA",IF(TODAY()&gt;=$U1928-1,"POR VENCER","EN PLAZO")))))</f>
        <v/>
      </c>
      <c r="Z1928" s="41" t="n"/>
      <c r="AA1928" s="41" t="n"/>
      <c r="AB1928" s="41" t="n"/>
    </row>
    <row r="1929">
      <c r="A1929" s="39">
        <f>IF($C1929="","","NOV-"&amp;TEXT(ROW()-3,"0000"))</f>
        <v/>
      </c>
      <c r="B1929" s="40" t="n"/>
      <c r="C1929" s="41" t="n"/>
      <c r="D1929" s="42">
        <f>IF($C1929="","",IFERROR(INDEX(DESPACHOS!$D$3:$D$3002,MATCH($C1929,DESPACHOS!$B$3:$B$3002,0)),"SIN DESPACHO"))</f>
        <v/>
      </c>
      <c r="E1929" s="42">
        <f>IF($C1929="","",IFERROR(INDEX(DESPACHOS!$K$3:$K$3002,MATCH($C1929,DESPACHOS!$B$3:$B$3002,0)),""))</f>
        <v/>
      </c>
      <c r="F1929" s="42">
        <f>IF($C1929="","",IFERROR(INDEX(DESPACHOS!$I$3:$I$3002,MATCH($C1929,DESPACHOS!$B$3:$B$3002,0)),""))</f>
        <v/>
      </c>
      <c r="G1929" s="42">
        <f>IF($C1929="","",IFERROR(INDEX(DESPACHOS!$F$3:$F$3002,MATCH($C1929,DESPACHOS!$B$3:$B$3002,0)),""))</f>
        <v/>
      </c>
      <c r="H1929" s="42">
        <f>IF($C1929="","",IFERROR(INDEX(DESPACHOS!$G$3:$G$3002,MATCH($C1929,DESPACHOS!$B$3:$B$3002,0)),""))</f>
        <v/>
      </c>
      <c r="I1929" s="39">
        <f>IF($C1929="","",IFERROR(INDEX(DESPACHOS!$H$3:$H$3002,MATCH($C1929,DESPACHOS!$B$3:$B$3002,0)),""))</f>
        <v/>
      </c>
      <c r="J1929" s="43">
        <f>IF($C1929="","",IFERROR(INDEX(DESPACHOS!$J$3:$J$3002,MATCH($C1929,DESPACHOS!$B$3:$B$3002,0)),""))</f>
        <v/>
      </c>
      <c r="K1929" s="39">
        <f>IF($C1929="","",IF(COUNTIFS(DESPACHOS!$B$3:$B$3002,$C1929)=0,"NO EXISTE",IF(COUNTIFS(DESPACHOS!$B$3:$B$3002,$C1929)&gt;1,"DUPLICADO","OK")))</f>
        <v/>
      </c>
      <c r="L1929" s="41" t="n"/>
      <c r="M1929" s="41" t="n"/>
      <c r="N1929" s="42">
        <f>IF($M1929="","",IFERROR(INDEX(LISTAS!$F$3:$F$42,MATCH($M1929,LISTAS!$E$3:$E$42,0)),"Por definir"))</f>
        <v/>
      </c>
      <c r="O1929" s="41" t="n"/>
      <c r="P1929" s="39">
        <f>IF($L1929="","",IFERROR(INDEX(LISTAS!$B$3:$B$42,MATCH($L1929,LISTAS!$A$3:$A$42,0)),"Media"))</f>
        <v/>
      </c>
      <c r="Q1929" s="44" t="n"/>
      <c r="R1929" s="45" t="n"/>
      <c r="S1929" s="20">
        <f>IFERROR(IF(OR($R1929="",$C1929=""),"",$R1929/INDEX(DESPACHOS!$M$3:$M$3002,MATCH($C1929,DESPACHOS!$B$3:$B$3002,0))),"")</f>
        <v/>
      </c>
      <c r="T1929" s="41" t="n"/>
      <c r="U1929" s="43">
        <f>IF(OR($B1929="",$L1929=""),"",WORKDAY($B1929,IFERROR(INDEX(LISTAS!$C$3:$C$42,MATCH($L1929,LISTAS!$A$3:$A$42,0)),3)))</f>
        <v/>
      </c>
      <c r="V1929" s="40" t="n"/>
      <c r="W1929" s="19">
        <f>IF($B1929="","",IF($V1929&lt;&gt;"",$V1929-$B1929,TODAY()-$B1929))</f>
        <v/>
      </c>
      <c r="X1929" s="19">
        <f>IF(OR($B1929="",$U1929=""),"",IF($V1929&lt;&gt;"",MAX(0,$V1929-$U1929),MAX(0,TODAY()-$U1929)))</f>
        <v/>
      </c>
      <c r="Y1929" s="39">
        <f>IF($C1929="","",IF(IFERROR(INDEX(LISTAS!$I$3:$I$42,MATCH($T1929,LISTAS!$H$3:$H$42,0)),"NO")="SÍ",IF(N($X1929)&gt;0,"CERRADA FUERA DE SLA","CERRADA EN SLA"),IF($U1929="","SIN CLASIFICAR",IF(N($X1929)&gt;0,"VENCIDA",IF(TODAY()&gt;=$U1929-1,"POR VENCER","EN PLAZO")))))</f>
        <v/>
      </c>
      <c r="Z1929" s="41" t="n"/>
      <c r="AA1929" s="41" t="n"/>
      <c r="AB1929" s="41" t="n"/>
    </row>
    <row r="1930">
      <c r="A1930" s="39">
        <f>IF($C1930="","","NOV-"&amp;TEXT(ROW()-3,"0000"))</f>
        <v/>
      </c>
      <c r="B1930" s="40" t="n"/>
      <c r="C1930" s="41" t="n"/>
      <c r="D1930" s="42">
        <f>IF($C1930="","",IFERROR(INDEX(DESPACHOS!$D$3:$D$3002,MATCH($C1930,DESPACHOS!$B$3:$B$3002,0)),"SIN DESPACHO"))</f>
        <v/>
      </c>
      <c r="E1930" s="42">
        <f>IF($C1930="","",IFERROR(INDEX(DESPACHOS!$K$3:$K$3002,MATCH($C1930,DESPACHOS!$B$3:$B$3002,0)),""))</f>
        <v/>
      </c>
      <c r="F1930" s="42">
        <f>IF($C1930="","",IFERROR(INDEX(DESPACHOS!$I$3:$I$3002,MATCH($C1930,DESPACHOS!$B$3:$B$3002,0)),""))</f>
        <v/>
      </c>
      <c r="G1930" s="42">
        <f>IF($C1930="","",IFERROR(INDEX(DESPACHOS!$F$3:$F$3002,MATCH($C1930,DESPACHOS!$B$3:$B$3002,0)),""))</f>
        <v/>
      </c>
      <c r="H1930" s="42">
        <f>IF($C1930="","",IFERROR(INDEX(DESPACHOS!$G$3:$G$3002,MATCH($C1930,DESPACHOS!$B$3:$B$3002,0)),""))</f>
        <v/>
      </c>
      <c r="I1930" s="39">
        <f>IF($C1930="","",IFERROR(INDEX(DESPACHOS!$H$3:$H$3002,MATCH($C1930,DESPACHOS!$B$3:$B$3002,0)),""))</f>
        <v/>
      </c>
      <c r="J1930" s="43">
        <f>IF($C1930="","",IFERROR(INDEX(DESPACHOS!$J$3:$J$3002,MATCH($C1930,DESPACHOS!$B$3:$B$3002,0)),""))</f>
        <v/>
      </c>
      <c r="K1930" s="39">
        <f>IF($C1930="","",IF(COUNTIFS(DESPACHOS!$B$3:$B$3002,$C1930)=0,"NO EXISTE",IF(COUNTIFS(DESPACHOS!$B$3:$B$3002,$C1930)&gt;1,"DUPLICADO","OK")))</f>
        <v/>
      </c>
      <c r="L1930" s="41" t="n"/>
      <c r="M1930" s="41" t="n"/>
      <c r="N1930" s="42">
        <f>IF($M1930="","",IFERROR(INDEX(LISTAS!$F$3:$F$42,MATCH($M1930,LISTAS!$E$3:$E$42,0)),"Por definir"))</f>
        <v/>
      </c>
      <c r="O1930" s="41" t="n"/>
      <c r="P1930" s="39">
        <f>IF($L1930="","",IFERROR(INDEX(LISTAS!$B$3:$B$42,MATCH($L1930,LISTAS!$A$3:$A$42,0)),"Media"))</f>
        <v/>
      </c>
      <c r="Q1930" s="44" t="n"/>
      <c r="R1930" s="45" t="n"/>
      <c r="S1930" s="20">
        <f>IFERROR(IF(OR($R1930="",$C1930=""),"",$R1930/INDEX(DESPACHOS!$M$3:$M$3002,MATCH($C1930,DESPACHOS!$B$3:$B$3002,0))),"")</f>
        <v/>
      </c>
      <c r="T1930" s="41" t="n"/>
      <c r="U1930" s="43">
        <f>IF(OR($B1930="",$L1930=""),"",WORKDAY($B1930,IFERROR(INDEX(LISTAS!$C$3:$C$42,MATCH($L1930,LISTAS!$A$3:$A$42,0)),3)))</f>
        <v/>
      </c>
      <c r="V1930" s="40" t="n"/>
      <c r="W1930" s="19">
        <f>IF($B1930="","",IF($V1930&lt;&gt;"",$V1930-$B1930,TODAY()-$B1930))</f>
        <v/>
      </c>
      <c r="X1930" s="19">
        <f>IF(OR($B1930="",$U1930=""),"",IF($V1930&lt;&gt;"",MAX(0,$V1930-$U1930),MAX(0,TODAY()-$U1930)))</f>
        <v/>
      </c>
      <c r="Y1930" s="39">
        <f>IF($C1930="","",IF(IFERROR(INDEX(LISTAS!$I$3:$I$42,MATCH($T1930,LISTAS!$H$3:$H$42,0)),"NO")="SÍ",IF(N($X1930)&gt;0,"CERRADA FUERA DE SLA","CERRADA EN SLA"),IF($U1930="","SIN CLASIFICAR",IF(N($X1930)&gt;0,"VENCIDA",IF(TODAY()&gt;=$U1930-1,"POR VENCER","EN PLAZO")))))</f>
        <v/>
      </c>
      <c r="Z1930" s="41" t="n"/>
      <c r="AA1930" s="41" t="n"/>
      <c r="AB1930" s="41" t="n"/>
    </row>
    <row r="1931">
      <c r="A1931" s="39">
        <f>IF($C1931="","","NOV-"&amp;TEXT(ROW()-3,"0000"))</f>
        <v/>
      </c>
      <c r="B1931" s="40" t="n"/>
      <c r="C1931" s="41" t="n"/>
      <c r="D1931" s="42">
        <f>IF($C1931="","",IFERROR(INDEX(DESPACHOS!$D$3:$D$3002,MATCH($C1931,DESPACHOS!$B$3:$B$3002,0)),"SIN DESPACHO"))</f>
        <v/>
      </c>
      <c r="E1931" s="42">
        <f>IF($C1931="","",IFERROR(INDEX(DESPACHOS!$K$3:$K$3002,MATCH($C1931,DESPACHOS!$B$3:$B$3002,0)),""))</f>
        <v/>
      </c>
      <c r="F1931" s="42">
        <f>IF($C1931="","",IFERROR(INDEX(DESPACHOS!$I$3:$I$3002,MATCH($C1931,DESPACHOS!$B$3:$B$3002,0)),""))</f>
        <v/>
      </c>
      <c r="G1931" s="42">
        <f>IF($C1931="","",IFERROR(INDEX(DESPACHOS!$F$3:$F$3002,MATCH($C1931,DESPACHOS!$B$3:$B$3002,0)),""))</f>
        <v/>
      </c>
      <c r="H1931" s="42">
        <f>IF($C1931="","",IFERROR(INDEX(DESPACHOS!$G$3:$G$3002,MATCH($C1931,DESPACHOS!$B$3:$B$3002,0)),""))</f>
        <v/>
      </c>
      <c r="I1931" s="39">
        <f>IF($C1931="","",IFERROR(INDEX(DESPACHOS!$H$3:$H$3002,MATCH($C1931,DESPACHOS!$B$3:$B$3002,0)),""))</f>
        <v/>
      </c>
      <c r="J1931" s="43">
        <f>IF($C1931="","",IFERROR(INDEX(DESPACHOS!$J$3:$J$3002,MATCH($C1931,DESPACHOS!$B$3:$B$3002,0)),""))</f>
        <v/>
      </c>
      <c r="K1931" s="39">
        <f>IF($C1931="","",IF(COUNTIFS(DESPACHOS!$B$3:$B$3002,$C1931)=0,"NO EXISTE",IF(COUNTIFS(DESPACHOS!$B$3:$B$3002,$C1931)&gt;1,"DUPLICADO","OK")))</f>
        <v/>
      </c>
      <c r="L1931" s="41" t="n"/>
      <c r="M1931" s="41" t="n"/>
      <c r="N1931" s="42">
        <f>IF($M1931="","",IFERROR(INDEX(LISTAS!$F$3:$F$42,MATCH($M1931,LISTAS!$E$3:$E$42,0)),"Por definir"))</f>
        <v/>
      </c>
      <c r="O1931" s="41" t="n"/>
      <c r="P1931" s="39">
        <f>IF($L1931="","",IFERROR(INDEX(LISTAS!$B$3:$B$42,MATCH($L1931,LISTAS!$A$3:$A$42,0)),"Media"))</f>
        <v/>
      </c>
      <c r="Q1931" s="44" t="n"/>
      <c r="R1931" s="45" t="n"/>
      <c r="S1931" s="20">
        <f>IFERROR(IF(OR($R1931="",$C1931=""),"",$R1931/INDEX(DESPACHOS!$M$3:$M$3002,MATCH($C1931,DESPACHOS!$B$3:$B$3002,0))),"")</f>
        <v/>
      </c>
      <c r="T1931" s="41" t="n"/>
      <c r="U1931" s="43">
        <f>IF(OR($B1931="",$L1931=""),"",WORKDAY($B1931,IFERROR(INDEX(LISTAS!$C$3:$C$42,MATCH($L1931,LISTAS!$A$3:$A$42,0)),3)))</f>
        <v/>
      </c>
      <c r="V1931" s="40" t="n"/>
      <c r="W1931" s="19">
        <f>IF($B1931="","",IF($V1931&lt;&gt;"",$V1931-$B1931,TODAY()-$B1931))</f>
        <v/>
      </c>
      <c r="X1931" s="19">
        <f>IF(OR($B1931="",$U1931=""),"",IF($V1931&lt;&gt;"",MAX(0,$V1931-$U1931),MAX(0,TODAY()-$U1931)))</f>
        <v/>
      </c>
      <c r="Y1931" s="39">
        <f>IF($C1931="","",IF(IFERROR(INDEX(LISTAS!$I$3:$I$42,MATCH($T1931,LISTAS!$H$3:$H$42,0)),"NO")="SÍ",IF(N($X1931)&gt;0,"CERRADA FUERA DE SLA","CERRADA EN SLA"),IF($U1931="","SIN CLASIFICAR",IF(N($X1931)&gt;0,"VENCIDA",IF(TODAY()&gt;=$U1931-1,"POR VENCER","EN PLAZO")))))</f>
        <v/>
      </c>
      <c r="Z1931" s="41" t="n"/>
      <c r="AA1931" s="41" t="n"/>
      <c r="AB1931" s="41" t="n"/>
    </row>
    <row r="1932">
      <c r="A1932" s="39">
        <f>IF($C1932="","","NOV-"&amp;TEXT(ROW()-3,"0000"))</f>
        <v/>
      </c>
      <c r="B1932" s="40" t="n"/>
      <c r="C1932" s="41" t="n"/>
      <c r="D1932" s="42">
        <f>IF($C1932="","",IFERROR(INDEX(DESPACHOS!$D$3:$D$3002,MATCH($C1932,DESPACHOS!$B$3:$B$3002,0)),"SIN DESPACHO"))</f>
        <v/>
      </c>
      <c r="E1932" s="42">
        <f>IF($C1932="","",IFERROR(INDEX(DESPACHOS!$K$3:$K$3002,MATCH($C1932,DESPACHOS!$B$3:$B$3002,0)),""))</f>
        <v/>
      </c>
      <c r="F1932" s="42">
        <f>IF($C1932="","",IFERROR(INDEX(DESPACHOS!$I$3:$I$3002,MATCH($C1932,DESPACHOS!$B$3:$B$3002,0)),""))</f>
        <v/>
      </c>
      <c r="G1932" s="42">
        <f>IF($C1932="","",IFERROR(INDEX(DESPACHOS!$F$3:$F$3002,MATCH($C1932,DESPACHOS!$B$3:$B$3002,0)),""))</f>
        <v/>
      </c>
      <c r="H1932" s="42">
        <f>IF($C1932="","",IFERROR(INDEX(DESPACHOS!$G$3:$G$3002,MATCH($C1932,DESPACHOS!$B$3:$B$3002,0)),""))</f>
        <v/>
      </c>
      <c r="I1932" s="39">
        <f>IF($C1932="","",IFERROR(INDEX(DESPACHOS!$H$3:$H$3002,MATCH($C1932,DESPACHOS!$B$3:$B$3002,0)),""))</f>
        <v/>
      </c>
      <c r="J1932" s="43">
        <f>IF($C1932="","",IFERROR(INDEX(DESPACHOS!$J$3:$J$3002,MATCH($C1932,DESPACHOS!$B$3:$B$3002,0)),""))</f>
        <v/>
      </c>
      <c r="K1932" s="39">
        <f>IF($C1932="","",IF(COUNTIFS(DESPACHOS!$B$3:$B$3002,$C1932)=0,"NO EXISTE",IF(COUNTIFS(DESPACHOS!$B$3:$B$3002,$C1932)&gt;1,"DUPLICADO","OK")))</f>
        <v/>
      </c>
      <c r="L1932" s="41" t="n"/>
      <c r="M1932" s="41" t="n"/>
      <c r="N1932" s="42">
        <f>IF($M1932="","",IFERROR(INDEX(LISTAS!$F$3:$F$42,MATCH($M1932,LISTAS!$E$3:$E$42,0)),"Por definir"))</f>
        <v/>
      </c>
      <c r="O1932" s="41" t="n"/>
      <c r="P1932" s="39">
        <f>IF($L1932="","",IFERROR(INDEX(LISTAS!$B$3:$B$42,MATCH($L1932,LISTAS!$A$3:$A$42,0)),"Media"))</f>
        <v/>
      </c>
      <c r="Q1932" s="44" t="n"/>
      <c r="R1932" s="45" t="n"/>
      <c r="S1932" s="20">
        <f>IFERROR(IF(OR($R1932="",$C1932=""),"",$R1932/INDEX(DESPACHOS!$M$3:$M$3002,MATCH($C1932,DESPACHOS!$B$3:$B$3002,0))),"")</f>
        <v/>
      </c>
      <c r="T1932" s="41" t="n"/>
      <c r="U1932" s="43">
        <f>IF(OR($B1932="",$L1932=""),"",WORKDAY($B1932,IFERROR(INDEX(LISTAS!$C$3:$C$42,MATCH($L1932,LISTAS!$A$3:$A$42,0)),3)))</f>
        <v/>
      </c>
      <c r="V1932" s="40" t="n"/>
      <c r="W1932" s="19">
        <f>IF($B1932="","",IF($V1932&lt;&gt;"",$V1932-$B1932,TODAY()-$B1932))</f>
        <v/>
      </c>
      <c r="X1932" s="19">
        <f>IF(OR($B1932="",$U1932=""),"",IF($V1932&lt;&gt;"",MAX(0,$V1932-$U1932),MAX(0,TODAY()-$U1932)))</f>
        <v/>
      </c>
      <c r="Y1932" s="39">
        <f>IF($C1932="","",IF(IFERROR(INDEX(LISTAS!$I$3:$I$42,MATCH($T1932,LISTAS!$H$3:$H$42,0)),"NO")="SÍ",IF(N($X1932)&gt;0,"CERRADA FUERA DE SLA","CERRADA EN SLA"),IF($U1932="","SIN CLASIFICAR",IF(N($X1932)&gt;0,"VENCIDA",IF(TODAY()&gt;=$U1932-1,"POR VENCER","EN PLAZO")))))</f>
        <v/>
      </c>
      <c r="Z1932" s="41" t="n"/>
      <c r="AA1932" s="41" t="n"/>
      <c r="AB1932" s="41" t="n"/>
    </row>
    <row r="1933">
      <c r="A1933" s="39">
        <f>IF($C1933="","","NOV-"&amp;TEXT(ROW()-3,"0000"))</f>
        <v/>
      </c>
      <c r="B1933" s="40" t="n"/>
      <c r="C1933" s="41" t="n"/>
      <c r="D1933" s="42">
        <f>IF($C1933="","",IFERROR(INDEX(DESPACHOS!$D$3:$D$3002,MATCH($C1933,DESPACHOS!$B$3:$B$3002,0)),"SIN DESPACHO"))</f>
        <v/>
      </c>
      <c r="E1933" s="42">
        <f>IF($C1933="","",IFERROR(INDEX(DESPACHOS!$K$3:$K$3002,MATCH($C1933,DESPACHOS!$B$3:$B$3002,0)),""))</f>
        <v/>
      </c>
      <c r="F1933" s="42">
        <f>IF($C1933="","",IFERROR(INDEX(DESPACHOS!$I$3:$I$3002,MATCH($C1933,DESPACHOS!$B$3:$B$3002,0)),""))</f>
        <v/>
      </c>
      <c r="G1933" s="42">
        <f>IF($C1933="","",IFERROR(INDEX(DESPACHOS!$F$3:$F$3002,MATCH($C1933,DESPACHOS!$B$3:$B$3002,0)),""))</f>
        <v/>
      </c>
      <c r="H1933" s="42">
        <f>IF($C1933="","",IFERROR(INDEX(DESPACHOS!$G$3:$G$3002,MATCH($C1933,DESPACHOS!$B$3:$B$3002,0)),""))</f>
        <v/>
      </c>
      <c r="I1933" s="39">
        <f>IF($C1933="","",IFERROR(INDEX(DESPACHOS!$H$3:$H$3002,MATCH($C1933,DESPACHOS!$B$3:$B$3002,0)),""))</f>
        <v/>
      </c>
      <c r="J1933" s="43">
        <f>IF($C1933="","",IFERROR(INDEX(DESPACHOS!$J$3:$J$3002,MATCH($C1933,DESPACHOS!$B$3:$B$3002,0)),""))</f>
        <v/>
      </c>
      <c r="K1933" s="39">
        <f>IF($C1933="","",IF(COUNTIFS(DESPACHOS!$B$3:$B$3002,$C1933)=0,"NO EXISTE",IF(COUNTIFS(DESPACHOS!$B$3:$B$3002,$C1933)&gt;1,"DUPLICADO","OK")))</f>
        <v/>
      </c>
      <c r="L1933" s="41" t="n"/>
      <c r="M1933" s="41" t="n"/>
      <c r="N1933" s="42">
        <f>IF($M1933="","",IFERROR(INDEX(LISTAS!$F$3:$F$42,MATCH($M1933,LISTAS!$E$3:$E$42,0)),"Por definir"))</f>
        <v/>
      </c>
      <c r="O1933" s="41" t="n"/>
      <c r="P1933" s="39">
        <f>IF($L1933="","",IFERROR(INDEX(LISTAS!$B$3:$B$42,MATCH($L1933,LISTAS!$A$3:$A$42,0)),"Media"))</f>
        <v/>
      </c>
      <c r="Q1933" s="44" t="n"/>
      <c r="R1933" s="45" t="n"/>
      <c r="S1933" s="20">
        <f>IFERROR(IF(OR($R1933="",$C1933=""),"",$R1933/INDEX(DESPACHOS!$M$3:$M$3002,MATCH($C1933,DESPACHOS!$B$3:$B$3002,0))),"")</f>
        <v/>
      </c>
      <c r="T1933" s="41" t="n"/>
      <c r="U1933" s="43">
        <f>IF(OR($B1933="",$L1933=""),"",WORKDAY($B1933,IFERROR(INDEX(LISTAS!$C$3:$C$42,MATCH($L1933,LISTAS!$A$3:$A$42,0)),3)))</f>
        <v/>
      </c>
      <c r="V1933" s="40" t="n"/>
      <c r="W1933" s="19">
        <f>IF($B1933="","",IF($V1933&lt;&gt;"",$V1933-$B1933,TODAY()-$B1933))</f>
        <v/>
      </c>
      <c r="X1933" s="19">
        <f>IF(OR($B1933="",$U1933=""),"",IF($V1933&lt;&gt;"",MAX(0,$V1933-$U1933),MAX(0,TODAY()-$U1933)))</f>
        <v/>
      </c>
      <c r="Y1933" s="39">
        <f>IF($C1933="","",IF(IFERROR(INDEX(LISTAS!$I$3:$I$42,MATCH($T1933,LISTAS!$H$3:$H$42,0)),"NO")="SÍ",IF(N($X1933)&gt;0,"CERRADA FUERA DE SLA","CERRADA EN SLA"),IF($U1933="","SIN CLASIFICAR",IF(N($X1933)&gt;0,"VENCIDA",IF(TODAY()&gt;=$U1933-1,"POR VENCER","EN PLAZO")))))</f>
        <v/>
      </c>
      <c r="Z1933" s="41" t="n"/>
      <c r="AA1933" s="41" t="n"/>
      <c r="AB1933" s="41" t="n"/>
    </row>
    <row r="1934">
      <c r="A1934" s="39">
        <f>IF($C1934="","","NOV-"&amp;TEXT(ROW()-3,"0000"))</f>
        <v/>
      </c>
      <c r="B1934" s="40" t="n"/>
      <c r="C1934" s="41" t="n"/>
      <c r="D1934" s="42">
        <f>IF($C1934="","",IFERROR(INDEX(DESPACHOS!$D$3:$D$3002,MATCH($C1934,DESPACHOS!$B$3:$B$3002,0)),"SIN DESPACHO"))</f>
        <v/>
      </c>
      <c r="E1934" s="42">
        <f>IF($C1934="","",IFERROR(INDEX(DESPACHOS!$K$3:$K$3002,MATCH($C1934,DESPACHOS!$B$3:$B$3002,0)),""))</f>
        <v/>
      </c>
      <c r="F1934" s="42">
        <f>IF($C1934="","",IFERROR(INDEX(DESPACHOS!$I$3:$I$3002,MATCH($C1934,DESPACHOS!$B$3:$B$3002,0)),""))</f>
        <v/>
      </c>
      <c r="G1934" s="42">
        <f>IF($C1934="","",IFERROR(INDEX(DESPACHOS!$F$3:$F$3002,MATCH($C1934,DESPACHOS!$B$3:$B$3002,0)),""))</f>
        <v/>
      </c>
      <c r="H1934" s="42">
        <f>IF($C1934="","",IFERROR(INDEX(DESPACHOS!$G$3:$G$3002,MATCH($C1934,DESPACHOS!$B$3:$B$3002,0)),""))</f>
        <v/>
      </c>
      <c r="I1934" s="39">
        <f>IF($C1934="","",IFERROR(INDEX(DESPACHOS!$H$3:$H$3002,MATCH($C1934,DESPACHOS!$B$3:$B$3002,0)),""))</f>
        <v/>
      </c>
      <c r="J1934" s="43">
        <f>IF($C1934="","",IFERROR(INDEX(DESPACHOS!$J$3:$J$3002,MATCH($C1934,DESPACHOS!$B$3:$B$3002,0)),""))</f>
        <v/>
      </c>
      <c r="K1934" s="39">
        <f>IF($C1934="","",IF(COUNTIFS(DESPACHOS!$B$3:$B$3002,$C1934)=0,"NO EXISTE",IF(COUNTIFS(DESPACHOS!$B$3:$B$3002,$C1934)&gt;1,"DUPLICADO","OK")))</f>
        <v/>
      </c>
      <c r="L1934" s="41" t="n"/>
      <c r="M1934" s="41" t="n"/>
      <c r="N1934" s="42">
        <f>IF($M1934="","",IFERROR(INDEX(LISTAS!$F$3:$F$42,MATCH($M1934,LISTAS!$E$3:$E$42,0)),"Por definir"))</f>
        <v/>
      </c>
      <c r="O1934" s="41" t="n"/>
      <c r="P1934" s="39">
        <f>IF($L1934="","",IFERROR(INDEX(LISTAS!$B$3:$B$42,MATCH($L1934,LISTAS!$A$3:$A$42,0)),"Media"))</f>
        <v/>
      </c>
      <c r="Q1934" s="44" t="n"/>
      <c r="R1934" s="45" t="n"/>
      <c r="S1934" s="20">
        <f>IFERROR(IF(OR($R1934="",$C1934=""),"",$R1934/INDEX(DESPACHOS!$M$3:$M$3002,MATCH($C1934,DESPACHOS!$B$3:$B$3002,0))),"")</f>
        <v/>
      </c>
      <c r="T1934" s="41" t="n"/>
      <c r="U1934" s="43">
        <f>IF(OR($B1934="",$L1934=""),"",WORKDAY($B1934,IFERROR(INDEX(LISTAS!$C$3:$C$42,MATCH($L1934,LISTAS!$A$3:$A$42,0)),3)))</f>
        <v/>
      </c>
      <c r="V1934" s="40" t="n"/>
      <c r="W1934" s="19">
        <f>IF($B1934="","",IF($V1934&lt;&gt;"",$V1934-$B1934,TODAY()-$B1934))</f>
        <v/>
      </c>
      <c r="X1934" s="19">
        <f>IF(OR($B1934="",$U1934=""),"",IF($V1934&lt;&gt;"",MAX(0,$V1934-$U1934),MAX(0,TODAY()-$U1934)))</f>
        <v/>
      </c>
      <c r="Y1934" s="39">
        <f>IF($C1934="","",IF(IFERROR(INDEX(LISTAS!$I$3:$I$42,MATCH($T1934,LISTAS!$H$3:$H$42,0)),"NO")="SÍ",IF(N($X1934)&gt;0,"CERRADA FUERA DE SLA","CERRADA EN SLA"),IF($U1934="","SIN CLASIFICAR",IF(N($X1934)&gt;0,"VENCIDA",IF(TODAY()&gt;=$U1934-1,"POR VENCER","EN PLAZO")))))</f>
        <v/>
      </c>
      <c r="Z1934" s="41" t="n"/>
      <c r="AA1934" s="41" t="n"/>
      <c r="AB1934" s="41" t="n"/>
    </row>
    <row r="1935">
      <c r="A1935" s="39">
        <f>IF($C1935="","","NOV-"&amp;TEXT(ROW()-3,"0000"))</f>
        <v/>
      </c>
      <c r="B1935" s="40" t="n"/>
      <c r="C1935" s="41" t="n"/>
      <c r="D1935" s="42">
        <f>IF($C1935="","",IFERROR(INDEX(DESPACHOS!$D$3:$D$3002,MATCH($C1935,DESPACHOS!$B$3:$B$3002,0)),"SIN DESPACHO"))</f>
        <v/>
      </c>
      <c r="E1935" s="42">
        <f>IF($C1935="","",IFERROR(INDEX(DESPACHOS!$K$3:$K$3002,MATCH($C1935,DESPACHOS!$B$3:$B$3002,0)),""))</f>
        <v/>
      </c>
      <c r="F1935" s="42">
        <f>IF($C1935="","",IFERROR(INDEX(DESPACHOS!$I$3:$I$3002,MATCH($C1935,DESPACHOS!$B$3:$B$3002,0)),""))</f>
        <v/>
      </c>
      <c r="G1935" s="42">
        <f>IF($C1935="","",IFERROR(INDEX(DESPACHOS!$F$3:$F$3002,MATCH($C1935,DESPACHOS!$B$3:$B$3002,0)),""))</f>
        <v/>
      </c>
      <c r="H1935" s="42">
        <f>IF($C1935="","",IFERROR(INDEX(DESPACHOS!$G$3:$G$3002,MATCH($C1935,DESPACHOS!$B$3:$B$3002,0)),""))</f>
        <v/>
      </c>
      <c r="I1935" s="39">
        <f>IF($C1935="","",IFERROR(INDEX(DESPACHOS!$H$3:$H$3002,MATCH($C1935,DESPACHOS!$B$3:$B$3002,0)),""))</f>
        <v/>
      </c>
      <c r="J1935" s="43">
        <f>IF($C1935="","",IFERROR(INDEX(DESPACHOS!$J$3:$J$3002,MATCH($C1935,DESPACHOS!$B$3:$B$3002,0)),""))</f>
        <v/>
      </c>
      <c r="K1935" s="39">
        <f>IF($C1935="","",IF(COUNTIFS(DESPACHOS!$B$3:$B$3002,$C1935)=0,"NO EXISTE",IF(COUNTIFS(DESPACHOS!$B$3:$B$3002,$C1935)&gt;1,"DUPLICADO","OK")))</f>
        <v/>
      </c>
      <c r="L1935" s="41" t="n"/>
      <c r="M1935" s="41" t="n"/>
      <c r="N1935" s="42">
        <f>IF($M1935="","",IFERROR(INDEX(LISTAS!$F$3:$F$42,MATCH($M1935,LISTAS!$E$3:$E$42,0)),"Por definir"))</f>
        <v/>
      </c>
      <c r="O1935" s="41" t="n"/>
      <c r="P1935" s="39">
        <f>IF($L1935="","",IFERROR(INDEX(LISTAS!$B$3:$B$42,MATCH($L1935,LISTAS!$A$3:$A$42,0)),"Media"))</f>
        <v/>
      </c>
      <c r="Q1935" s="44" t="n"/>
      <c r="R1935" s="45" t="n"/>
      <c r="S1935" s="20">
        <f>IFERROR(IF(OR($R1935="",$C1935=""),"",$R1935/INDEX(DESPACHOS!$M$3:$M$3002,MATCH($C1935,DESPACHOS!$B$3:$B$3002,0))),"")</f>
        <v/>
      </c>
      <c r="T1935" s="41" t="n"/>
      <c r="U1935" s="43">
        <f>IF(OR($B1935="",$L1935=""),"",WORKDAY($B1935,IFERROR(INDEX(LISTAS!$C$3:$C$42,MATCH($L1935,LISTAS!$A$3:$A$42,0)),3)))</f>
        <v/>
      </c>
      <c r="V1935" s="40" t="n"/>
      <c r="W1935" s="19">
        <f>IF($B1935="","",IF($V1935&lt;&gt;"",$V1935-$B1935,TODAY()-$B1935))</f>
        <v/>
      </c>
      <c r="X1935" s="19">
        <f>IF(OR($B1935="",$U1935=""),"",IF($V1935&lt;&gt;"",MAX(0,$V1935-$U1935),MAX(0,TODAY()-$U1935)))</f>
        <v/>
      </c>
      <c r="Y1935" s="39">
        <f>IF($C1935="","",IF(IFERROR(INDEX(LISTAS!$I$3:$I$42,MATCH($T1935,LISTAS!$H$3:$H$42,0)),"NO")="SÍ",IF(N($X1935)&gt;0,"CERRADA FUERA DE SLA","CERRADA EN SLA"),IF($U1935="","SIN CLASIFICAR",IF(N($X1935)&gt;0,"VENCIDA",IF(TODAY()&gt;=$U1935-1,"POR VENCER","EN PLAZO")))))</f>
        <v/>
      </c>
      <c r="Z1935" s="41" t="n"/>
      <c r="AA1935" s="41" t="n"/>
      <c r="AB1935" s="41" t="n"/>
    </row>
    <row r="1936">
      <c r="A1936" s="39">
        <f>IF($C1936="","","NOV-"&amp;TEXT(ROW()-3,"0000"))</f>
        <v/>
      </c>
      <c r="B1936" s="40" t="n"/>
      <c r="C1936" s="41" t="n"/>
      <c r="D1936" s="42">
        <f>IF($C1936="","",IFERROR(INDEX(DESPACHOS!$D$3:$D$3002,MATCH($C1936,DESPACHOS!$B$3:$B$3002,0)),"SIN DESPACHO"))</f>
        <v/>
      </c>
      <c r="E1936" s="42">
        <f>IF($C1936="","",IFERROR(INDEX(DESPACHOS!$K$3:$K$3002,MATCH($C1936,DESPACHOS!$B$3:$B$3002,0)),""))</f>
        <v/>
      </c>
      <c r="F1936" s="42">
        <f>IF($C1936="","",IFERROR(INDEX(DESPACHOS!$I$3:$I$3002,MATCH($C1936,DESPACHOS!$B$3:$B$3002,0)),""))</f>
        <v/>
      </c>
      <c r="G1936" s="42">
        <f>IF($C1936="","",IFERROR(INDEX(DESPACHOS!$F$3:$F$3002,MATCH($C1936,DESPACHOS!$B$3:$B$3002,0)),""))</f>
        <v/>
      </c>
      <c r="H1936" s="42">
        <f>IF($C1936="","",IFERROR(INDEX(DESPACHOS!$G$3:$G$3002,MATCH($C1936,DESPACHOS!$B$3:$B$3002,0)),""))</f>
        <v/>
      </c>
      <c r="I1936" s="39">
        <f>IF($C1936="","",IFERROR(INDEX(DESPACHOS!$H$3:$H$3002,MATCH($C1936,DESPACHOS!$B$3:$B$3002,0)),""))</f>
        <v/>
      </c>
      <c r="J1936" s="43">
        <f>IF($C1936="","",IFERROR(INDEX(DESPACHOS!$J$3:$J$3002,MATCH($C1936,DESPACHOS!$B$3:$B$3002,0)),""))</f>
        <v/>
      </c>
      <c r="K1936" s="39">
        <f>IF($C1936="","",IF(COUNTIFS(DESPACHOS!$B$3:$B$3002,$C1936)=0,"NO EXISTE",IF(COUNTIFS(DESPACHOS!$B$3:$B$3002,$C1936)&gt;1,"DUPLICADO","OK")))</f>
        <v/>
      </c>
      <c r="L1936" s="41" t="n"/>
      <c r="M1936" s="41" t="n"/>
      <c r="N1936" s="42">
        <f>IF($M1936="","",IFERROR(INDEX(LISTAS!$F$3:$F$42,MATCH($M1936,LISTAS!$E$3:$E$42,0)),"Por definir"))</f>
        <v/>
      </c>
      <c r="O1936" s="41" t="n"/>
      <c r="P1936" s="39">
        <f>IF($L1936="","",IFERROR(INDEX(LISTAS!$B$3:$B$42,MATCH($L1936,LISTAS!$A$3:$A$42,0)),"Media"))</f>
        <v/>
      </c>
      <c r="Q1936" s="44" t="n"/>
      <c r="R1936" s="45" t="n"/>
      <c r="S1936" s="20">
        <f>IFERROR(IF(OR($R1936="",$C1936=""),"",$R1936/INDEX(DESPACHOS!$M$3:$M$3002,MATCH($C1936,DESPACHOS!$B$3:$B$3002,0))),"")</f>
        <v/>
      </c>
      <c r="T1936" s="41" t="n"/>
      <c r="U1936" s="43">
        <f>IF(OR($B1936="",$L1936=""),"",WORKDAY($B1936,IFERROR(INDEX(LISTAS!$C$3:$C$42,MATCH($L1936,LISTAS!$A$3:$A$42,0)),3)))</f>
        <v/>
      </c>
      <c r="V1936" s="40" t="n"/>
      <c r="W1936" s="19">
        <f>IF($B1936="","",IF($V1936&lt;&gt;"",$V1936-$B1936,TODAY()-$B1936))</f>
        <v/>
      </c>
      <c r="X1936" s="19">
        <f>IF(OR($B1936="",$U1936=""),"",IF($V1936&lt;&gt;"",MAX(0,$V1936-$U1936),MAX(0,TODAY()-$U1936)))</f>
        <v/>
      </c>
      <c r="Y1936" s="39">
        <f>IF($C1936="","",IF(IFERROR(INDEX(LISTAS!$I$3:$I$42,MATCH($T1936,LISTAS!$H$3:$H$42,0)),"NO")="SÍ",IF(N($X1936)&gt;0,"CERRADA FUERA DE SLA","CERRADA EN SLA"),IF($U1936="","SIN CLASIFICAR",IF(N($X1936)&gt;0,"VENCIDA",IF(TODAY()&gt;=$U1936-1,"POR VENCER","EN PLAZO")))))</f>
        <v/>
      </c>
      <c r="Z1936" s="41" t="n"/>
      <c r="AA1936" s="41" t="n"/>
      <c r="AB1936" s="41" t="n"/>
    </row>
    <row r="1937">
      <c r="A1937" s="39">
        <f>IF($C1937="","","NOV-"&amp;TEXT(ROW()-3,"0000"))</f>
        <v/>
      </c>
      <c r="B1937" s="40" t="n"/>
      <c r="C1937" s="41" t="n"/>
      <c r="D1937" s="42">
        <f>IF($C1937="","",IFERROR(INDEX(DESPACHOS!$D$3:$D$3002,MATCH($C1937,DESPACHOS!$B$3:$B$3002,0)),"SIN DESPACHO"))</f>
        <v/>
      </c>
      <c r="E1937" s="42">
        <f>IF($C1937="","",IFERROR(INDEX(DESPACHOS!$K$3:$K$3002,MATCH($C1937,DESPACHOS!$B$3:$B$3002,0)),""))</f>
        <v/>
      </c>
      <c r="F1937" s="42">
        <f>IF($C1937="","",IFERROR(INDEX(DESPACHOS!$I$3:$I$3002,MATCH($C1937,DESPACHOS!$B$3:$B$3002,0)),""))</f>
        <v/>
      </c>
      <c r="G1937" s="42">
        <f>IF($C1937="","",IFERROR(INDEX(DESPACHOS!$F$3:$F$3002,MATCH($C1937,DESPACHOS!$B$3:$B$3002,0)),""))</f>
        <v/>
      </c>
      <c r="H1937" s="42">
        <f>IF($C1937="","",IFERROR(INDEX(DESPACHOS!$G$3:$G$3002,MATCH($C1937,DESPACHOS!$B$3:$B$3002,0)),""))</f>
        <v/>
      </c>
      <c r="I1937" s="39">
        <f>IF($C1937="","",IFERROR(INDEX(DESPACHOS!$H$3:$H$3002,MATCH($C1937,DESPACHOS!$B$3:$B$3002,0)),""))</f>
        <v/>
      </c>
      <c r="J1937" s="43">
        <f>IF($C1937="","",IFERROR(INDEX(DESPACHOS!$J$3:$J$3002,MATCH($C1937,DESPACHOS!$B$3:$B$3002,0)),""))</f>
        <v/>
      </c>
      <c r="K1937" s="39">
        <f>IF($C1937="","",IF(COUNTIFS(DESPACHOS!$B$3:$B$3002,$C1937)=0,"NO EXISTE",IF(COUNTIFS(DESPACHOS!$B$3:$B$3002,$C1937)&gt;1,"DUPLICADO","OK")))</f>
        <v/>
      </c>
      <c r="L1937" s="41" t="n"/>
      <c r="M1937" s="41" t="n"/>
      <c r="N1937" s="42">
        <f>IF($M1937="","",IFERROR(INDEX(LISTAS!$F$3:$F$42,MATCH($M1937,LISTAS!$E$3:$E$42,0)),"Por definir"))</f>
        <v/>
      </c>
      <c r="O1937" s="41" t="n"/>
      <c r="P1937" s="39">
        <f>IF($L1937="","",IFERROR(INDEX(LISTAS!$B$3:$B$42,MATCH($L1937,LISTAS!$A$3:$A$42,0)),"Media"))</f>
        <v/>
      </c>
      <c r="Q1937" s="44" t="n"/>
      <c r="R1937" s="45" t="n"/>
      <c r="S1937" s="20">
        <f>IFERROR(IF(OR($R1937="",$C1937=""),"",$R1937/INDEX(DESPACHOS!$M$3:$M$3002,MATCH($C1937,DESPACHOS!$B$3:$B$3002,0))),"")</f>
        <v/>
      </c>
      <c r="T1937" s="41" t="n"/>
      <c r="U1937" s="43">
        <f>IF(OR($B1937="",$L1937=""),"",WORKDAY($B1937,IFERROR(INDEX(LISTAS!$C$3:$C$42,MATCH($L1937,LISTAS!$A$3:$A$42,0)),3)))</f>
        <v/>
      </c>
      <c r="V1937" s="40" t="n"/>
      <c r="W1937" s="19">
        <f>IF($B1937="","",IF($V1937&lt;&gt;"",$V1937-$B1937,TODAY()-$B1937))</f>
        <v/>
      </c>
      <c r="X1937" s="19">
        <f>IF(OR($B1937="",$U1937=""),"",IF($V1937&lt;&gt;"",MAX(0,$V1937-$U1937),MAX(0,TODAY()-$U1937)))</f>
        <v/>
      </c>
      <c r="Y1937" s="39">
        <f>IF($C1937="","",IF(IFERROR(INDEX(LISTAS!$I$3:$I$42,MATCH($T1937,LISTAS!$H$3:$H$42,0)),"NO")="SÍ",IF(N($X1937)&gt;0,"CERRADA FUERA DE SLA","CERRADA EN SLA"),IF($U1937="","SIN CLASIFICAR",IF(N($X1937)&gt;0,"VENCIDA",IF(TODAY()&gt;=$U1937-1,"POR VENCER","EN PLAZO")))))</f>
        <v/>
      </c>
      <c r="Z1937" s="41" t="n"/>
      <c r="AA1937" s="41" t="n"/>
      <c r="AB1937" s="41" t="n"/>
    </row>
    <row r="1938">
      <c r="A1938" s="39">
        <f>IF($C1938="","","NOV-"&amp;TEXT(ROW()-3,"0000"))</f>
        <v/>
      </c>
      <c r="B1938" s="40" t="n"/>
      <c r="C1938" s="41" t="n"/>
      <c r="D1938" s="42">
        <f>IF($C1938="","",IFERROR(INDEX(DESPACHOS!$D$3:$D$3002,MATCH($C1938,DESPACHOS!$B$3:$B$3002,0)),"SIN DESPACHO"))</f>
        <v/>
      </c>
      <c r="E1938" s="42">
        <f>IF($C1938="","",IFERROR(INDEX(DESPACHOS!$K$3:$K$3002,MATCH($C1938,DESPACHOS!$B$3:$B$3002,0)),""))</f>
        <v/>
      </c>
      <c r="F1938" s="42">
        <f>IF($C1938="","",IFERROR(INDEX(DESPACHOS!$I$3:$I$3002,MATCH($C1938,DESPACHOS!$B$3:$B$3002,0)),""))</f>
        <v/>
      </c>
      <c r="G1938" s="42">
        <f>IF($C1938="","",IFERROR(INDEX(DESPACHOS!$F$3:$F$3002,MATCH($C1938,DESPACHOS!$B$3:$B$3002,0)),""))</f>
        <v/>
      </c>
      <c r="H1938" s="42">
        <f>IF($C1938="","",IFERROR(INDEX(DESPACHOS!$G$3:$G$3002,MATCH($C1938,DESPACHOS!$B$3:$B$3002,0)),""))</f>
        <v/>
      </c>
      <c r="I1938" s="39">
        <f>IF($C1938="","",IFERROR(INDEX(DESPACHOS!$H$3:$H$3002,MATCH($C1938,DESPACHOS!$B$3:$B$3002,0)),""))</f>
        <v/>
      </c>
      <c r="J1938" s="43">
        <f>IF($C1938="","",IFERROR(INDEX(DESPACHOS!$J$3:$J$3002,MATCH($C1938,DESPACHOS!$B$3:$B$3002,0)),""))</f>
        <v/>
      </c>
      <c r="K1938" s="39">
        <f>IF($C1938="","",IF(COUNTIFS(DESPACHOS!$B$3:$B$3002,$C1938)=0,"NO EXISTE",IF(COUNTIFS(DESPACHOS!$B$3:$B$3002,$C1938)&gt;1,"DUPLICADO","OK")))</f>
        <v/>
      </c>
      <c r="L1938" s="41" t="n"/>
      <c r="M1938" s="41" t="n"/>
      <c r="N1938" s="42">
        <f>IF($M1938="","",IFERROR(INDEX(LISTAS!$F$3:$F$42,MATCH($M1938,LISTAS!$E$3:$E$42,0)),"Por definir"))</f>
        <v/>
      </c>
      <c r="O1938" s="41" t="n"/>
      <c r="P1938" s="39">
        <f>IF($L1938="","",IFERROR(INDEX(LISTAS!$B$3:$B$42,MATCH($L1938,LISTAS!$A$3:$A$42,0)),"Media"))</f>
        <v/>
      </c>
      <c r="Q1938" s="44" t="n"/>
      <c r="R1938" s="45" t="n"/>
      <c r="S1938" s="20">
        <f>IFERROR(IF(OR($R1938="",$C1938=""),"",$R1938/INDEX(DESPACHOS!$M$3:$M$3002,MATCH($C1938,DESPACHOS!$B$3:$B$3002,0))),"")</f>
        <v/>
      </c>
      <c r="T1938" s="41" t="n"/>
      <c r="U1938" s="43">
        <f>IF(OR($B1938="",$L1938=""),"",WORKDAY($B1938,IFERROR(INDEX(LISTAS!$C$3:$C$42,MATCH($L1938,LISTAS!$A$3:$A$42,0)),3)))</f>
        <v/>
      </c>
      <c r="V1938" s="40" t="n"/>
      <c r="W1938" s="19">
        <f>IF($B1938="","",IF($V1938&lt;&gt;"",$V1938-$B1938,TODAY()-$B1938))</f>
        <v/>
      </c>
      <c r="X1938" s="19">
        <f>IF(OR($B1938="",$U1938=""),"",IF($V1938&lt;&gt;"",MAX(0,$V1938-$U1938),MAX(0,TODAY()-$U1938)))</f>
        <v/>
      </c>
      <c r="Y1938" s="39">
        <f>IF($C1938="","",IF(IFERROR(INDEX(LISTAS!$I$3:$I$42,MATCH($T1938,LISTAS!$H$3:$H$42,0)),"NO")="SÍ",IF(N($X1938)&gt;0,"CERRADA FUERA DE SLA","CERRADA EN SLA"),IF($U1938="","SIN CLASIFICAR",IF(N($X1938)&gt;0,"VENCIDA",IF(TODAY()&gt;=$U1938-1,"POR VENCER","EN PLAZO")))))</f>
        <v/>
      </c>
      <c r="Z1938" s="41" t="n"/>
      <c r="AA1938" s="41" t="n"/>
      <c r="AB1938" s="41" t="n"/>
    </row>
    <row r="1939">
      <c r="A1939" s="39">
        <f>IF($C1939="","","NOV-"&amp;TEXT(ROW()-3,"0000"))</f>
        <v/>
      </c>
      <c r="B1939" s="40" t="n"/>
      <c r="C1939" s="41" t="n"/>
      <c r="D1939" s="42">
        <f>IF($C1939="","",IFERROR(INDEX(DESPACHOS!$D$3:$D$3002,MATCH($C1939,DESPACHOS!$B$3:$B$3002,0)),"SIN DESPACHO"))</f>
        <v/>
      </c>
      <c r="E1939" s="42">
        <f>IF($C1939="","",IFERROR(INDEX(DESPACHOS!$K$3:$K$3002,MATCH($C1939,DESPACHOS!$B$3:$B$3002,0)),""))</f>
        <v/>
      </c>
      <c r="F1939" s="42">
        <f>IF($C1939="","",IFERROR(INDEX(DESPACHOS!$I$3:$I$3002,MATCH($C1939,DESPACHOS!$B$3:$B$3002,0)),""))</f>
        <v/>
      </c>
      <c r="G1939" s="42">
        <f>IF($C1939="","",IFERROR(INDEX(DESPACHOS!$F$3:$F$3002,MATCH($C1939,DESPACHOS!$B$3:$B$3002,0)),""))</f>
        <v/>
      </c>
      <c r="H1939" s="42">
        <f>IF($C1939="","",IFERROR(INDEX(DESPACHOS!$G$3:$G$3002,MATCH($C1939,DESPACHOS!$B$3:$B$3002,0)),""))</f>
        <v/>
      </c>
      <c r="I1939" s="39">
        <f>IF($C1939="","",IFERROR(INDEX(DESPACHOS!$H$3:$H$3002,MATCH($C1939,DESPACHOS!$B$3:$B$3002,0)),""))</f>
        <v/>
      </c>
      <c r="J1939" s="43">
        <f>IF($C1939="","",IFERROR(INDEX(DESPACHOS!$J$3:$J$3002,MATCH($C1939,DESPACHOS!$B$3:$B$3002,0)),""))</f>
        <v/>
      </c>
      <c r="K1939" s="39">
        <f>IF($C1939="","",IF(COUNTIFS(DESPACHOS!$B$3:$B$3002,$C1939)=0,"NO EXISTE",IF(COUNTIFS(DESPACHOS!$B$3:$B$3002,$C1939)&gt;1,"DUPLICADO","OK")))</f>
        <v/>
      </c>
      <c r="L1939" s="41" t="n"/>
      <c r="M1939" s="41" t="n"/>
      <c r="N1939" s="42">
        <f>IF($M1939="","",IFERROR(INDEX(LISTAS!$F$3:$F$42,MATCH($M1939,LISTAS!$E$3:$E$42,0)),"Por definir"))</f>
        <v/>
      </c>
      <c r="O1939" s="41" t="n"/>
      <c r="P1939" s="39">
        <f>IF($L1939="","",IFERROR(INDEX(LISTAS!$B$3:$B$42,MATCH($L1939,LISTAS!$A$3:$A$42,0)),"Media"))</f>
        <v/>
      </c>
      <c r="Q1939" s="44" t="n"/>
      <c r="R1939" s="45" t="n"/>
      <c r="S1939" s="20">
        <f>IFERROR(IF(OR($R1939="",$C1939=""),"",$R1939/INDEX(DESPACHOS!$M$3:$M$3002,MATCH($C1939,DESPACHOS!$B$3:$B$3002,0))),"")</f>
        <v/>
      </c>
      <c r="T1939" s="41" t="n"/>
      <c r="U1939" s="43">
        <f>IF(OR($B1939="",$L1939=""),"",WORKDAY($B1939,IFERROR(INDEX(LISTAS!$C$3:$C$42,MATCH($L1939,LISTAS!$A$3:$A$42,0)),3)))</f>
        <v/>
      </c>
      <c r="V1939" s="40" t="n"/>
      <c r="W1939" s="19">
        <f>IF($B1939="","",IF($V1939&lt;&gt;"",$V1939-$B1939,TODAY()-$B1939))</f>
        <v/>
      </c>
      <c r="X1939" s="19">
        <f>IF(OR($B1939="",$U1939=""),"",IF($V1939&lt;&gt;"",MAX(0,$V1939-$U1939),MAX(0,TODAY()-$U1939)))</f>
        <v/>
      </c>
      <c r="Y1939" s="39">
        <f>IF($C1939="","",IF(IFERROR(INDEX(LISTAS!$I$3:$I$42,MATCH($T1939,LISTAS!$H$3:$H$42,0)),"NO")="SÍ",IF(N($X1939)&gt;0,"CERRADA FUERA DE SLA","CERRADA EN SLA"),IF($U1939="","SIN CLASIFICAR",IF(N($X1939)&gt;0,"VENCIDA",IF(TODAY()&gt;=$U1939-1,"POR VENCER","EN PLAZO")))))</f>
        <v/>
      </c>
      <c r="Z1939" s="41" t="n"/>
      <c r="AA1939" s="41" t="n"/>
      <c r="AB1939" s="41" t="n"/>
    </row>
    <row r="1940">
      <c r="A1940" s="39">
        <f>IF($C1940="","","NOV-"&amp;TEXT(ROW()-3,"0000"))</f>
        <v/>
      </c>
      <c r="B1940" s="40" t="n"/>
      <c r="C1940" s="41" t="n"/>
      <c r="D1940" s="42">
        <f>IF($C1940="","",IFERROR(INDEX(DESPACHOS!$D$3:$D$3002,MATCH($C1940,DESPACHOS!$B$3:$B$3002,0)),"SIN DESPACHO"))</f>
        <v/>
      </c>
      <c r="E1940" s="42">
        <f>IF($C1940="","",IFERROR(INDEX(DESPACHOS!$K$3:$K$3002,MATCH($C1940,DESPACHOS!$B$3:$B$3002,0)),""))</f>
        <v/>
      </c>
      <c r="F1940" s="42">
        <f>IF($C1940="","",IFERROR(INDEX(DESPACHOS!$I$3:$I$3002,MATCH($C1940,DESPACHOS!$B$3:$B$3002,0)),""))</f>
        <v/>
      </c>
      <c r="G1940" s="42">
        <f>IF($C1940="","",IFERROR(INDEX(DESPACHOS!$F$3:$F$3002,MATCH($C1940,DESPACHOS!$B$3:$B$3002,0)),""))</f>
        <v/>
      </c>
      <c r="H1940" s="42">
        <f>IF($C1940="","",IFERROR(INDEX(DESPACHOS!$G$3:$G$3002,MATCH($C1940,DESPACHOS!$B$3:$B$3002,0)),""))</f>
        <v/>
      </c>
      <c r="I1940" s="39">
        <f>IF($C1940="","",IFERROR(INDEX(DESPACHOS!$H$3:$H$3002,MATCH($C1940,DESPACHOS!$B$3:$B$3002,0)),""))</f>
        <v/>
      </c>
      <c r="J1940" s="43">
        <f>IF($C1940="","",IFERROR(INDEX(DESPACHOS!$J$3:$J$3002,MATCH($C1940,DESPACHOS!$B$3:$B$3002,0)),""))</f>
        <v/>
      </c>
      <c r="K1940" s="39">
        <f>IF($C1940="","",IF(COUNTIFS(DESPACHOS!$B$3:$B$3002,$C1940)=0,"NO EXISTE",IF(COUNTIFS(DESPACHOS!$B$3:$B$3002,$C1940)&gt;1,"DUPLICADO","OK")))</f>
        <v/>
      </c>
      <c r="L1940" s="41" t="n"/>
      <c r="M1940" s="41" t="n"/>
      <c r="N1940" s="42">
        <f>IF($M1940="","",IFERROR(INDEX(LISTAS!$F$3:$F$42,MATCH($M1940,LISTAS!$E$3:$E$42,0)),"Por definir"))</f>
        <v/>
      </c>
      <c r="O1940" s="41" t="n"/>
      <c r="P1940" s="39">
        <f>IF($L1940="","",IFERROR(INDEX(LISTAS!$B$3:$B$42,MATCH($L1940,LISTAS!$A$3:$A$42,0)),"Media"))</f>
        <v/>
      </c>
      <c r="Q1940" s="44" t="n"/>
      <c r="R1940" s="45" t="n"/>
      <c r="S1940" s="20">
        <f>IFERROR(IF(OR($R1940="",$C1940=""),"",$R1940/INDEX(DESPACHOS!$M$3:$M$3002,MATCH($C1940,DESPACHOS!$B$3:$B$3002,0))),"")</f>
        <v/>
      </c>
      <c r="T1940" s="41" t="n"/>
      <c r="U1940" s="43">
        <f>IF(OR($B1940="",$L1940=""),"",WORKDAY($B1940,IFERROR(INDEX(LISTAS!$C$3:$C$42,MATCH($L1940,LISTAS!$A$3:$A$42,0)),3)))</f>
        <v/>
      </c>
      <c r="V1940" s="40" t="n"/>
      <c r="W1940" s="19">
        <f>IF($B1940="","",IF($V1940&lt;&gt;"",$V1940-$B1940,TODAY()-$B1940))</f>
        <v/>
      </c>
      <c r="X1940" s="19">
        <f>IF(OR($B1940="",$U1940=""),"",IF($V1940&lt;&gt;"",MAX(0,$V1940-$U1940),MAX(0,TODAY()-$U1940)))</f>
        <v/>
      </c>
      <c r="Y1940" s="39">
        <f>IF($C1940="","",IF(IFERROR(INDEX(LISTAS!$I$3:$I$42,MATCH($T1940,LISTAS!$H$3:$H$42,0)),"NO")="SÍ",IF(N($X1940)&gt;0,"CERRADA FUERA DE SLA","CERRADA EN SLA"),IF($U1940="","SIN CLASIFICAR",IF(N($X1940)&gt;0,"VENCIDA",IF(TODAY()&gt;=$U1940-1,"POR VENCER","EN PLAZO")))))</f>
        <v/>
      </c>
      <c r="Z1940" s="41" t="n"/>
      <c r="AA1940" s="41" t="n"/>
      <c r="AB1940" s="41" t="n"/>
    </row>
    <row r="1941">
      <c r="A1941" s="39">
        <f>IF($C1941="","","NOV-"&amp;TEXT(ROW()-3,"0000"))</f>
        <v/>
      </c>
      <c r="B1941" s="40" t="n"/>
      <c r="C1941" s="41" t="n"/>
      <c r="D1941" s="42">
        <f>IF($C1941="","",IFERROR(INDEX(DESPACHOS!$D$3:$D$3002,MATCH($C1941,DESPACHOS!$B$3:$B$3002,0)),"SIN DESPACHO"))</f>
        <v/>
      </c>
      <c r="E1941" s="42">
        <f>IF($C1941="","",IFERROR(INDEX(DESPACHOS!$K$3:$K$3002,MATCH($C1941,DESPACHOS!$B$3:$B$3002,0)),""))</f>
        <v/>
      </c>
      <c r="F1941" s="42">
        <f>IF($C1941="","",IFERROR(INDEX(DESPACHOS!$I$3:$I$3002,MATCH($C1941,DESPACHOS!$B$3:$B$3002,0)),""))</f>
        <v/>
      </c>
      <c r="G1941" s="42">
        <f>IF($C1941="","",IFERROR(INDEX(DESPACHOS!$F$3:$F$3002,MATCH($C1941,DESPACHOS!$B$3:$B$3002,0)),""))</f>
        <v/>
      </c>
      <c r="H1941" s="42">
        <f>IF($C1941="","",IFERROR(INDEX(DESPACHOS!$G$3:$G$3002,MATCH($C1941,DESPACHOS!$B$3:$B$3002,0)),""))</f>
        <v/>
      </c>
      <c r="I1941" s="39">
        <f>IF($C1941="","",IFERROR(INDEX(DESPACHOS!$H$3:$H$3002,MATCH($C1941,DESPACHOS!$B$3:$B$3002,0)),""))</f>
        <v/>
      </c>
      <c r="J1941" s="43">
        <f>IF($C1941="","",IFERROR(INDEX(DESPACHOS!$J$3:$J$3002,MATCH($C1941,DESPACHOS!$B$3:$B$3002,0)),""))</f>
        <v/>
      </c>
      <c r="K1941" s="39">
        <f>IF($C1941="","",IF(COUNTIFS(DESPACHOS!$B$3:$B$3002,$C1941)=0,"NO EXISTE",IF(COUNTIFS(DESPACHOS!$B$3:$B$3002,$C1941)&gt;1,"DUPLICADO","OK")))</f>
        <v/>
      </c>
      <c r="L1941" s="41" t="n"/>
      <c r="M1941" s="41" t="n"/>
      <c r="N1941" s="42">
        <f>IF($M1941="","",IFERROR(INDEX(LISTAS!$F$3:$F$42,MATCH($M1941,LISTAS!$E$3:$E$42,0)),"Por definir"))</f>
        <v/>
      </c>
      <c r="O1941" s="41" t="n"/>
      <c r="P1941" s="39">
        <f>IF($L1941="","",IFERROR(INDEX(LISTAS!$B$3:$B$42,MATCH($L1941,LISTAS!$A$3:$A$42,0)),"Media"))</f>
        <v/>
      </c>
      <c r="Q1941" s="44" t="n"/>
      <c r="R1941" s="45" t="n"/>
      <c r="S1941" s="20">
        <f>IFERROR(IF(OR($R1941="",$C1941=""),"",$R1941/INDEX(DESPACHOS!$M$3:$M$3002,MATCH($C1941,DESPACHOS!$B$3:$B$3002,0))),"")</f>
        <v/>
      </c>
      <c r="T1941" s="41" t="n"/>
      <c r="U1941" s="43">
        <f>IF(OR($B1941="",$L1941=""),"",WORKDAY($B1941,IFERROR(INDEX(LISTAS!$C$3:$C$42,MATCH($L1941,LISTAS!$A$3:$A$42,0)),3)))</f>
        <v/>
      </c>
      <c r="V1941" s="40" t="n"/>
      <c r="W1941" s="19">
        <f>IF($B1941="","",IF($V1941&lt;&gt;"",$V1941-$B1941,TODAY()-$B1941))</f>
        <v/>
      </c>
      <c r="X1941" s="19">
        <f>IF(OR($B1941="",$U1941=""),"",IF($V1941&lt;&gt;"",MAX(0,$V1941-$U1941),MAX(0,TODAY()-$U1941)))</f>
        <v/>
      </c>
      <c r="Y1941" s="39">
        <f>IF($C1941="","",IF(IFERROR(INDEX(LISTAS!$I$3:$I$42,MATCH($T1941,LISTAS!$H$3:$H$42,0)),"NO")="SÍ",IF(N($X1941)&gt;0,"CERRADA FUERA DE SLA","CERRADA EN SLA"),IF($U1941="","SIN CLASIFICAR",IF(N($X1941)&gt;0,"VENCIDA",IF(TODAY()&gt;=$U1941-1,"POR VENCER","EN PLAZO")))))</f>
        <v/>
      </c>
      <c r="Z1941" s="41" t="n"/>
      <c r="AA1941" s="41" t="n"/>
      <c r="AB1941" s="41" t="n"/>
    </row>
    <row r="1942">
      <c r="A1942" s="39">
        <f>IF($C1942="","","NOV-"&amp;TEXT(ROW()-3,"0000"))</f>
        <v/>
      </c>
      <c r="B1942" s="40" t="n"/>
      <c r="C1942" s="41" t="n"/>
      <c r="D1942" s="42">
        <f>IF($C1942="","",IFERROR(INDEX(DESPACHOS!$D$3:$D$3002,MATCH($C1942,DESPACHOS!$B$3:$B$3002,0)),"SIN DESPACHO"))</f>
        <v/>
      </c>
      <c r="E1942" s="42">
        <f>IF($C1942="","",IFERROR(INDEX(DESPACHOS!$K$3:$K$3002,MATCH($C1942,DESPACHOS!$B$3:$B$3002,0)),""))</f>
        <v/>
      </c>
      <c r="F1942" s="42">
        <f>IF($C1942="","",IFERROR(INDEX(DESPACHOS!$I$3:$I$3002,MATCH($C1942,DESPACHOS!$B$3:$B$3002,0)),""))</f>
        <v/>
      </c>
      <c r="G1942" s="42">
        <f>IF($C1942="","",IFERROR(INDEX(DESPACHOS!$F$3:$F$3002,MATCH($C1942,DESPACHOS!$B$3:$B$3002,0)),""))</f>
        <v/>
      </c>
      <c r="H1942" s="42">
        <f>IF($C1942="","",IFERROR(INDEX(DESPACHOS!$G$3:$G$3002,MATCH($C1942,DESPACHOS!$B$3:$B$3002,0)),""))</f>
        <v/>
      </c>
      <c r="I1942" s="39">
        <f>IF($C1942="","",IFERROR(INDEX(DESPACHOS!$H$3:$H$3002,MATCH($C1942,DESPACHOS!$B$3:$B$3002,0)),""))</f>
        <v/>
      </c>
      <c r="J1942" s="43">
        <f>IF($C1942="","",IFERROR(INDEX(DESPACHOS!$J$3:$J$3002,MATCH($C1942,DESPACHOS!$B$3:$B$3002,0)),""))</f>
        <v/>
      </c>
      <c r="K1942" s="39">
        <f>IF($C1942="","",IF(COUNTIFS(DESPACHOS!$B$3:$B$3002,$C1942)=0,"NO EXISTE",IF(COUNTIFS(DESPACHOS!$B$3:$B$3002,$C1942)&gt;1,"DUPLICADO","OK")))</f>
        <v/>
      </c>
      <c r="L1942" s="41" t="n"/>
      <c r="M1942" s="41" t="n"/>
      <c r="N1942" s="42">
        <f>IF($M1942="","",IFERROR(INDEX(LISTAS!$F$3:$F$42,MATCH($M1942,LISTAS!$E$3:$E$42,0)),"Por definir"))</f>
        <v/>
      </c>
      <c r="O1942" s="41" t="n"/>
      <c r="P1942" s="39">
        <f>IF($L1942="","",IFERROR(INDEX(LISTAS!$B$3:$B$42,MATCH($L1942,LISTAS!$A$3:$A$42,0)),"Media"))</f>
        <v/>
      </c>
      <c r="Q1942" s="44" t="n"/>
      <c r="R1942" s="45" t="n"/>
      <c r="S1942" s="20">
        <f>IFERROR(IF(OR($R1942="",$C1942=""),"",$R1942/INDEX(DESPACHOS!$M$3:$M$3002,MATCH($C1942,DESPACHOS!$B$3:$B$3002,0))),"")</f>
        <v/>
      </c>
      <c r="T1942" s="41" t="n"/>
      <c r="U1942" s="43">
        <f>IF(OR($B1942="",$L1942=""),"",WORKDAY($B1942,IFERROR(INDEX(LISTAS!$C$3:$C$42,MATCH($L1942,LISTAS!$A$3:$A$42,0)),3)))</f>
        <v/>
      </c>
      <c r="V1942" s="40" t="n"/>
      <c r="W1942" s="19">
        <f>IF($B1942="","",IF($V1942&lt;&gt;"",$V1942-$B1942,TODAY()-$B1942))</f>
        <v/>
      </c>
      <c r="X1942" s="19">
        <f>IF(OR($B1942="",$U1942=""),"",IF($V1942&lt;&gt;"",MAX(0,$V1942-$U1942),MAX(0,TODAY()-$U1942)))</f>
        <v/>
      </c>
      <c r="Y1942" s="39">
        <f>IF($C1942="","",IF(IFERROR(INDEX(LISTAS!$I$3:$I$42,MATCH($T1942,LISTAS!$H$3:$H$42,0)),"NO")="SÍ",IF(N($X1942)&gt;0,"CERRADA FUERA DE SLA","CERRADA EN SLA"),IF($U1942="","SIN CLASIFICAR",IF(N($X1942)&gt;0,"VENCIDA",IF(TODAY()&gt;=$U1942-1,"POR VENCER","EN PLAZO")))))</f>
        <v/>
      </c>
      <c r="Z1942" s="41" t="n"/>
      <c r="AA1942" s="41" t="n"/>
      <c r="AB1942" s="41" t="n"/>
    </row>
    <row r="1943">
      <c r="A1943" s="39">
        <f>IF($C1943="","","NOV-"&amp;TEXT(ROW()-3,"0000"))</f>
        <v/>
      </c>
      <c r="B1943" s="40" t="n"/>
      <c r="C1943" s="41" t="n"/>
      <c r="D1943" s="42">
        <f>IF($C1943="","",IFERROR(INDEX(DESPACHOS!$D$3:$D$3002,MATCH($C1943,DESPACHOS!$B$3:$B$3002,0)),"SIN DESPACHO"))</f>
        <v/>
      </c>
      <c r="E1943" s="42">
        <f>IF($C1943="","",IFERROR(INDEX(DESPACHOS!$K$3:$K$3002,MATCH($C1943,DESPACHOS!$B$3:$B$3002,0)),""))</f>
        <v/>
      </c>
      <c r="F1943" s="42">
        <f>IF($C1943="","",IFERROR(INDEX(DESPACHOS!$I$3:$I$3002,MATCH($C1943,DESPACHOS!$B$3:$B$3002,0)),""))</f>
        <v/>
      </c>
      <c r="G1943" s="42">
        <f>IF($C1943="","",IFERROR(INDEX(DESPACHOS!$F$3:$F$3002,MATCH($C1943,DESPACHOS!$B$3:$B$3002,0)),""))</f>
        <v/>
      </c>
      <c r="H1943" s="42">
        <f>IF($C1943="","",IFERROR(INDEX(DESPACHOS!$G$3:$G$3002,MATCH($C1943,DESPACHOS!$B$3:$B$3002,0)),""))</f>
        <v/>
      </c>
      <c r="I1943" s="39">
        <f>IF($C1943="","",IFERROR(INDEX(DESPACHOS!$H$3:$H$3002,MATCH($C1943,DESPACHOS!$B$3:$B$3002,0)),""))</f>
        <v/>
      </c>
      <c r="J1943" s="43">
        <f>IF($C1943="","",IFERROR(INDEX(DESPACHOS!$J$3:$J$3002,MATCH($C1943,DESPACHOS!$B$3:$B$3002,0)),""))</f>
        <v/>
      </c>
      <c r="K1943" s="39">
        <f>IF($C1943="","",IF(COUNTIFS(DESPACHOS!$B$3:$B$3002,$C1943)=0,"NO EXISTE",IF(COUNTIFS(DESPACHOS!$B$3:$B$3002,$C1943)&gt;1,"DUPLICADO","OK")))</f>
        <v/>
      </c>
      <c r="L1943" s="41" t="n"/>
      <c r="M1943" s="41" t="n"/>
      <c r="N1943" s="42">
        <f>IF($M1943="","",IFERROR(INDEX(LISTAS!$F$3:$F$42,MATCH($M1943,LISTAS!$E$3:$E$42,0)),"Por definir"))</f>
        <v/>
      </c>
      <c r="O1943" s="41" t="n"/>
      <c r="P1943" s="39">
        <f>IF($L1943="","",IFERROR(INDEX(LISTAS!$B$3:$B$42,MATCH($L1943,LISTAS!$A$3:$A$42,0)),"Media"))</f>
        <v/>
      </c>
      <c r="Q1943" s="44" t="n"/>
      <c r="R1943" s="45" t="n"/>
      <c r="S1943" s="20">
        <f>IFERROR(IF(OR($R1943="",$C1943=""),"",$R1943/INDEX(DESPACHOS!$M$3:$M$3002,MATCH($C1943,DESPACHOS!$B$3:$B$3002,0))),"")</f>
        <v/>
      </c>
      <c r="T1943" s="41" t="n"/>
      <c r="U1943" s="43">
        <f>IF(OR($B1943="",$L1943=""),"",WORKDAY($B1943,IFERROR(INDEX(LISTAS!$C$3:$C$42,MATCH($L1943,LISTAS!$A$3:$A$42,0)),3)))</f>
        <v/>
      </c>
      <c r="V1943" s="40" t="n"/>
      <c r="W1943" s="19">
        <f>IF($B1943="","",IF($V1943&lt;&gt;"",$V1943-$B1943,TODAY()-$B1943))</f>
        <v/>
      </c>
      <c r="X1943" s="19">
        <f>IF(OR($B1943="",$U1943=""),"",IF($V1943&lt;&gt;"",MAX(0,$V1943-$U1943),MAX(0,TODAY()-$U1943)))</f>
        <v/>
      </c>
      <c r="Y1943" s="39">
        <f>IF($C1943="","",IF(IFERROR(INDEX(LISTAS!$I$3:$I$42,MATCH($T1943,LISTAS!$H$3:$H$42,0)),"NO")="SÍ",IF(N($X1943)&gt;0,"CERRADA FUERA DE SLA","CERRADA EN SLA"),IF($U1943="","SIN CLASIFICAR",IF(N($X1943)&gt;0,"VENCIDA",IF(TODAY()&gt;=$U1943-1,"POR VENCER","EN PLAZO")))))</f>
        <v/>
      </c>
      <c r="Z1943" s="41" t="n"/>
      <c r="AA1943" s="41" t="n"/>
      <c r="AB1943" s="41" t="n"/>
    </row>
    <row r="1944">
      <c r="A1944" s="39">
        <f>IF($C1944="","","NOV-"&amp;TEXT(ROW()-3,"0000"))</f>
        <v/>
      </c>
      <c r="B1944" s="40" t="n"/>
      <c r="C1944" s="41" t="n"/>
      <c r="D1944" s="42">
        <f>IF($C1944="","",IFERROR(INDEX(DESPACHOS!$D$3:$D$3002,MATCH($C1944,DESPACHOS!$B$3:$B$3002,0)),"SIN DESPACHO"))</f>
        <v/>
      </c>
      <c r="E1944" s="42">
        <f>IF($C1944="","",IFERROR(INDEX(DESPACHOS!$K$3:$K$3002,MATCH($C1944,DESPACHOS!$B$3:$B$3002,0)),""))</f>
        <v/>
      </c>
      <c r="F1944" s="42">
        <f>IF($C1944="","",IFERROR(INDEX(DESPACHOS!$I$3:$I$3002,MATCH($C1944,DESPACHOS!$B$3:$B$3002,0)),""))</f>
        <v/>
      </c>
      <c r="G1944" s="42">
        <f>IF($C1944="","",IFERROR(INDEX(DESPACHOS!$F$3:$F$3002,MATCH($C1944,DESPACHOS!$B$3:$B$3002,0)),""))</f>
        <v/>
      </c>
      <c r="H1944" s="42">
        <f>IF($C1944="","",IFERROR(INDEX(DESPACHOS!$G$3:$G$3002,MATCH($C1944,DESPACHOS!$B$3:$B$3002,0)),""))</f>
        <v/>
      </c>
      <c r="I1944" s="39">
        <f>IF($C1944="","",IFERROR(INDEX(DESPACHOS!$H$3:$H$3002,MATCH($C1944,DESPACHOS!$B$3:$B$3002,0)),""))</f>
        <v/>
      </c>
      <c r="J1944" s="43">
        <f>IF($C1944="","",IFERROR(INDEX(DESPACHOS!$J$3:$J$3002,MATCH($C1944,DESPACHOS!$B$3:$B$3002,0)),""))</f>
        <v/>
      </c>
      <c r="K1944" s="39">
        <f>IF($C1944="","",IF(COUNTIFS(DESPACHOS!$B$3:$B$3002,$C1944)=0,"NO EXISTE",IF(COUNTIFS(DESPACHOS!$B$3:$B$3002,$C1944)&gt;1,"DUPLICADO","OK")))</f>
        <v/>
      </c>
      <c r="L1944" s="41" t="n"/>
      <c r="M1944" s="41" t="n"/>
      <c r="N1944" s="42">
        <f>IF($M1944="","",IFERROR(INDEX(LISTAS!$F$3:$F$42,MATCH($M1944,LISTAS!$E$3:$E$42,0)),"Por definir"))</f>
        <v/>
      </c>
      <c r="O1944" s="41" t="n"/>
      <c r="P1944" s="39">
        <f>IF($L1944="","",IFERROR(INDEX(LISTAS!$B$3:$B$42,MATCH($L1944,LISTAS!$A$3:$A$42,0)),"Media"))</f>
        <v/>
      </c>
      <c r="Q1944" s="44" t="n"/>
      <c r="R1944" s="45" t="n"/>
      <c r="S1944" s="20">
        <f>IFERROR(IF(OR($R1944="",$C1944=""),"",$R1944/INDEX(DESPACHOS!$M$3:$M$3002,MATCH($C1944,DESPACHOS!$B$3:$B$3002,0))),"")</f>
        <v/>
      </c>
      <c r="T1944" s="41" t="n"/>
      <c r="U1944" s="43">
        <f>IF(OR($B1944="",$L1944=""),"",WORKDAY($B1944,IFERROR(INDEX(LISTAS!$C$3:$C$42,MATCH($L1944,LISTAS!$A$3:$A$42,0)),3)))</f>
        <v/>
      </c>
      <c r="V1944" s="40" t="n"/>
      <c r="W1944" s="19">
        <f>IF($B1944="","",IF($V1944&lt;&gt;"",$V1944-$B1944,TODAY()-$B1944))</f>
        <v/>
      </c>
      <c r="X1944" s="19">
        <f>IF(OR($B1944="",$U1944=""),"",IF($V1944&lt;&gt;"",MAX(0,$V1944-$U1944),MAX(0,TODAY()-$U1944)))</f>
        <v/>
      </c>
      <c r="Y1944" s="39">
        <f>IF($C1944="","",IF(IFERROR(INDEX(LISTAS!$I$3:$I$42,MATCH($T1944,LISTAS!$H$3:$H$42,0)),"NO")="SÍ",IF(N($X1944)&gt;0,"CERRADA FUERA DE SLA","CERRADA EN SLA"),IF($U1944="","SIN CLASIFICAR",IF(N($X1944)&gt;0,"VENCIDA",IF(TODAY()&gt;=$U1944-1,"POR VENCER","EN PLAZO")))))</f>
        <v/>
      </c>
      <c r="Z1944" s="41" t="n"/>
      <c r="AA1944" s="41" t="n"/>
      <c r="AB1944" s="41" t="n"/>
    </row>
    <row r="1945">
      <c r="A1945" s="39">
        <f>IF($C1945="","","NOV-"&amp;TEXT(ROW()-3,"0000"))</f>
        <v/>
      </c>
      <c r="B1945" s="40" t="n"/>
      <c r="C1945" s="41" t="n"/>
      <c r="D1945" s="42">
        <f>IF($C1945="","",IFERROR(INDEX(DESPACHOS!$D$3:$D$3002,MATCH($C1945,DESPACHOS!$B$3:$B$3002,0)),"SIN DESPACHO"))</f>
        <v/>
      </c>
      <c r="E1945" s="42">
        <f>IF($C1945="","",IFERROR(INDEX(DESPACHOS!$K$3:$K$3002,MATCH($C1945,DESPACHOS!$B$3:$B$3002,0)),""))</f>
        <v/>
      </c>
      <c r="F1945" s="42">
        <f>IF($C1945="","",IFERROR(INDEX(DESPACHOS!$I$3:$I$3002,MATCH($C1945,DESPACHOS!$B$3:$B$3002,0)),""))</f>
        <v/>
      </c>
      <c r="G1945" s="42">
        <f>IF($C1945="","",IFERROR(INDEX(DESPACHOS!$F$3:$F$3002,MATCH($C1945,DESPACHOS!$B$3:$B$3002,0)),""))</f>
        <v/>
      </c>
      <c r="H1945" s="42">
        <f>IF($C1945="","",IFERROR(INDEX(DESPACHOS!$G$3:$G$3002,MATCH($C1945,DESPACHOS!$B$3:$B$3002,0)),""))</f>
        <v/>
      </c>
      <c r="I1945" s="39">
        <f>IF($C1945="","",IFERROR(INDEX(DESPACHOS!$H$3:$H$3002,MATCH($C1945,DESPACHOS!$B$3:$B$3002,0)),""))</f>
        <v/>
      </c>
      <c r="J1945" s="43">
        <f>IF($C1945="","",IFERROR(INDEX(DESPACHOS!$J$3:$J$3002,MATCH($C1945,DESPACHOS!$B$3:$B$3002,0)),""))</f>
        <v/>
      </c>
      <c r="K1945" s="39">
        <f>IF($C1945="","",IF(COUNTIFS(DESPACHOS!$B$3:$B$3002,$C1945)=0,"NO EXISTE",IF(COUNTIFS(DESPACHOS!$B$3:$B$3002,$C1945)&gt;1,"DUPLICADO","OK")))</f>
        <v/>
      </c>
      <c r="L1945" s="41" t="n"/>
      <c r="M1945" s="41" t="n"/>
      <c r="N1945" s="42">
        <f>IF($M1945="","",IFERROR(INDEX(LISTAS!$F$3:$F$42,MATCH($M1945,LISTAS!$E$3:$E$42,0)),"Por definir"))</f>
        <v/>
      </c>
      <c r="O1945" s="41" t="n"/>
      <c r="P1945" s="39">
        <f>IF($L1945="","",IFERROR(INDEX(LISTAS!$B$3:$B$42,MATCH($L1945,LISTAS!$A$3:$A$42,0)),"Media"))</f>
        <v/>
      </c>
      <c r="Q1945" s="44" t="n"/>
      <c r="R1945" s="45" t="n"/>
      <c r="S1945" s="20">
        <f>IFERROR(IF(OR($R1945="",$C1945=""),"",$R1945/INDEX(DESPACHOS!$M$3:$M$3002,MATCH($C1945,DESPACHOS!$B$3:$B$3002,0))),"")</f>
        <v/>
      </c>
      <c r="T1945" s="41" t="n"/>
      <c r="U1945" s="43">
        <f>IF(OR($B1945="",$L1945=""),"",WORKDAY($B1945,IFERROR(INDEX(LISTAS!$C$3:$C$42,MATCH($L1945,LISTAS!$A$3:$A$42,0)),3)))</f>
        <v/>
      </c>
      <c r="V1945" s="40" t="n"/>
      <c r="W1945" s="19">
        <f>IF($B1945="","",IF($V1945&lt;&gt;"",$V1945-$B1945,TODAY()-$B1945))</f>
        <v/>
      </c>
      <c r="X1945" s="19">
        <f>IF(OR($B1945="",$U1945=""),"",IF($V1945&lt;&gt;"",MAX(0,$V1945-$U1945),MAX(0,TODAY()-$U1945)))</f>
        <v/>
      </c>
      <c r="Y1945" s="39">
        <f>IF($C1945="","",IF(IFERROR(INDEX(LISTAS!$I$3:$I$42,MATCH($T1945,LISTAS!$H$3:$H$42,0)),"NO")="SÍ",IF(N($X1945)&gt;0,"CERRADA FUERA DE SLA","CERRADA EN SLA"),IF($U1945="","SIN CLASIFICAR",IF(N($X1945)&gt;0,"VENCIDA",IF(TODAY()&gt;=$U1945-1,"POR VENCER","EN PLAZO")))))</f>
        <v/>
      </c>
      <c r="Z1945" s="41" t="n"/>
      <c r="AA1945" s="41" t="n"/>
      <c r="AB1945" s="41" t="n"/>
    </row>
    <row r="1946">
      <c r="A1946" s="39">
        <f>IF($C1946="","","NOV-"&amp;TEXT(ROW()-3,"0000"))</f>
        <v/>
      </c>
      <c r="B1946" s="40" t="n"/>
      <c r="C1946" s="41" t="n"/>
      <c r="D1946" s="42">
        <f>IF($C1946="","",IFERROR(INDEX(DESPACHOS!$D$3:$D$3002,MATCH($C1946,DESPACHOS!$B$3:$B$3002,0)),"SIN DESPACHO"))</f>
        <v/>
      </c>
      <c r="E1946" s="42">
        <f>IF($C1946="","",IFERROR(INDEX(DESPACHOS!$K$3:$K$3002,MATCH($C1946,DESPACHOS!$B$3:$B$3002,0)),""))</f>
        <v/>
      </c>
      <c r="F1946" s="42">
        <f>IF($C1946="","",IFERROR(INDEX(DESPACHOS!$I$3:$I$3002,MATCH($C1946,DESPACHOS!$B$3:$B$3002,0)),""))</f>
        <v/>
      </c>
      <c r="G1946" s="42">
        <f>IF($C1946="","",IFERROR(INDEX(DESPACHOS!$F$3:$F$3002,MATCH($C1946,DESPACHOS!$B$3:$B$3002,0)),""))</f>
        <v/>
      </c>
      <c r="H1946" s="42">
        <f>IF($C1946="","",IFERROR(INDEX(DESPACHOS!$G$3:$G$3002,MATCH($C1946,DESPACHOS!$B$3:$B$3002,0)),""))</f>
        <v/>
      </c>
      <c r="I1946" s="39">
        <f>IF($C1946="","",IFERROR(INDEX(DESPACHOS!$H$3:$H$3002,MATCH($C1946,DESPACHOS!$B$3:$B$3002,0)),""))</f>
        <v/>
      </c>
      <c r="J1946" s="43">
        <f>IF($C1946="","",IFERROR(INDEX(DESPACHOS!$J$3:$J$3002,MATCH($C1946,DESPACHOS!$B$3:$B$3002,0)),""))</f>
        <v/>
      </c>
      <c r="K1946" s="39">
        <f>IF($C1946="","",IF(COUNTIFS(DESPACHOS!$B$3:$B$3002,$C1946)=0,"NO EXISTE",IF(COUNTIFS(DESPACHOS!$B$3:$B$3002,$C1946)&gt;1,"DUPLICADO","OK")))</f>
        <v/>
      </c>
      <c r="L1946" s="41" t="n"/>
      <c r="M1946" s="41" t="n"/>
      <c r="N1946" s="42">
        <f>IF($M1946="","",IFERROR(INDEX(LISTAS!$F$3:$F$42,MATCH($M1946,LISTAS!$E$3:$E$42,0)),"Por definir"))</f>
        <v/>
      </c>
      <c r="O1946" s="41" t="n"/>
      <c r="P1946" s="39">
        <f>IF($L1946="","",IFERROR(INDEX(LISTAS!$B$3:$B$42,MATCH($L1946,LISTAS!$A$3:$A$42,0)),"Media"))</f>
        <v/>
      </c>
      <c r="Q1946" s="44" t="n"/>
      <c r="R1946" s="45" t="n"/>
      <c r="S1946" s="20">
        <f>IFERROR(IF(OR($R1946="",$C1946=""),"",$R1946/INDEX(DESPACHOS!$M$3:$M$3002,MATCH($C1946,DESPACHOS!$B$3:$B$3002,0))),"")</f>
        <v/>
      </c>
      <c r="T1946" s="41" t="n"/>
      <c r="U1946" s="43">
        <f>IF(OR($B1946="",$L1946=""),"",WORKDAY($B1946,IFERROR(INDEX(LISTAS!$C$3:$C$42,MATCH($L1946,LISTAS!$A$3:$A$42,0)),3)))</f>
        <v/>
      </c>
      <c r="V1946" s="40" t="n"/>
      <c r="W1946" s="19">
        <f>IF($B1946="","",IF($V1946&lt;&gt;"",$V1946-$B1946,TODAY()-$B1946))</f>
        <v/>
      </c>
      <c r="X1946" s="19">
        <f>IF(OR($B1946="",$U1946=""),"",IF($V1946&lt;&gt;"",MAX(0,$V1946-$U1946),MAX(0,TODAY()-$U1946)))</f>
        <v/>
      </c>
      <c r="Y1946" s="39">
        <f>IF($C1946="","",IF(IFERROR(INDEX(LISTAS!$I$3:$I$42,MATCH($T1946,LISTAS!$H$3:$H$42,0)),"NO")="SÍ",IF(N($X1946)&gt;0,"CERRADA FUERA DE SLA","CERRADA EN SLA"),IF($U1946="","SIN CLASIFICAR",IF(N($X1946)&gt;0,"VENCIDA",IF(TODAY()&gt;=$U1946-1,"POR VENCER","EN PLAZO")))))</f>
        <v/>
      </c>
      <c r="Z1946" s="41" t="n"/>
      <c r="AA1946" s="41" t="n"/>
      <c r="AB1946" s="41" t="n"/>
    </row>
    <row r="1947">
      <c r="A1947" s="39">
        <f>IF($C1947="","","NOV-"&amp;TEXT(ROW()-3,"0000"))</f>
        <v/>
      </c>
      <c r="B1947" s="40" t="n"/>
      <c r="C1947" s="41" t="n"/>
      <c r="D1947" s="42">
        <f>IF($C1947="","",IFERROR(INDEX(DESPACHOS!$D$3:$D$3002,MATCH($C1947,DESPACHOS!$B$3:$B$3002,0)),"SIN DESPACHO"))</f>
        <v/>
      </c>
      <c r="E1947" s="42">
        <f>IF($C1947="","",IFERROR(INDEX(DESPACHOS!$K$3:$K$3002,MATCH($C1947,DESPACHOS!$B$3:$B$3002,0)),""))</f>
        <v/>
      </c>
      <c r="F1947" s="42">
        <f>IF($C1947="","",IFERROR(INDEX(DESPACHOS!$I$3:$I$3002,MATCH($C1947,DESPACHOS!$B$3:$B$3002,0)),""))</f>
        <v/>
      </c>
      <c r="G1947" s="42">
        <f>IF($C1947="","",IFERROR(INDEX(DESPACHOS!$F$3:$F$3002,MATCH($C1947,DESPACHOS!$B$3:$B$3002,0)),""))</f>
        <v/>
      </c>
      <c r="H1947" s="42">
        <f>IF($C1947="","",IFERROR(INDEX(DESPACHOS!$G$3:$G$3002,MATCH($C1947,DESPACHOS!$B$3:$B$3002,0)),""))</f>
        <v/>
      </c>
      <c r="I1947" s="39">
        <f>IF($C1947="","",IFERROR(INDEX(DESPACHOS!$H$3:$H$3002,MATCH($C1947,DESPACHOS!$B$3:$B$3002,0)),""))</f>
        <v/>
      </c>
      <c r="J1947" s="43">
        <f>IF($C1947="","",IFERROR(INDEX(DESPACHOS!$J$3:$J$3002,MATCH($C1947,DESPACHOS!$B$3:$B$3002,0)),""))</f>
        <v/>
      </c>
      <c r="K1947" s="39">
        <f>IF($C1947="","",IF(COUNTIFS(DESPACHOS!$B$3:$B$3002,$C1947)=0,"NO EXISTE",IF(COUNTIFS(DESPACHOS!$B$3:$B$3002,$C1947)&gt;1,"DUPLICADO","OK")))</f>
        <v/>
      </c>
      <c r="L1947" s="41" t="n"/>
      <c r="M1947" s="41" t="n"/>
      <c r="N1947" s="42">
        <f>IF($M1947="","",IFERROR(INDEX(LISTAS!$F$3:$F$42,MATCH($M1947,LISTAS!$E$3:$E$42,0)),"Por definir"))</f>
        <v/>
      </c>
      <c r="O1947" s="41" t="n"/>
      <c r="P1947" s="39">
        <f>IF($L1947="","",IFERROR(INDEX(LISTAS!$B$3:$B$42,MATCH($L1947,LISTAS!$A$3:$A$42,0)),"Media"))</f>
        <v/>
      </c>
      <c r="Q1947" s="44" t="n"/>
      <c r="R1947" s="45" t="n"/>
      <c r="S1947" s="20">
        <f>IFERROR(IF(OR($R1947="",$C1947=""),"",$R1947/INDEX(DESPACHOS!$M$3:$M$3002,MATCH($C1947,DESPACHOS!$B$3:$B$3002,0))),"")</f>
        <v/>
      </c>
      <c r="T1947" s="41" t="n"/>
      <c r="U1947" s="43">
        <f>IF(OR($B1947="",$L1947=""),"",WORKDAY($B1947,IFERROR(INDEX(LISTAS!$C$3:$C$42,MATCH($L1947,LISTAS!$A$3:$A$42,0)),3)))</f>
        <v/>
      </c>
      <c r="V1947" s="40" t="n"/>
      <c r="W1947" s="19">
        <f>IF($B1947="","",IF($V1947&lt;&gt;"",$V1947-$B1947,TODAY()-$B1947))</f>
        <v/>
      </c>
      <c r="X1947" s="19">
        <f>IF(OR($B1947="",$U1947=""),"",IF($V1947&lt;&gt;"",MAX(0,$V1947-$U1947),MAX(0,TODAY()-$U1947)))</f>
        <v/>
      </c>
      <c r="Y1947" s="39">
        <f>IF($C1947="","",IF(IFERROR(INDEX(LISTAS!$I$3:$I$42,MATCH($T1947,LISTAS!$H$3:$H$42,0)),"NO")="SÍ",IF(N($X1947)&gt;0,"CERRADA FUERA DE SLA","CERRADA EN SLA"),IF($U1947="","SIN CLASIFICAR",IF(N($X1947)&gt;0,"VENCIDA",IF(TODAY()&gt;=$U1947-1,"POR VENCER","EN PLAZO")))))</f>
        <v/>
      </c>
      <c r="Z1947" s="41" t="n"/>
      <c r="AA1947" s="41" t="n"/>
      <c r="AB1947" s="41" t="n"/>
    </row>
    <row r="1948">
      <c r="A1948" s="39">
        <f>IF($C1948="","","NOV-"&amp;TEXT(ROW()-3,"0000"))</f>
        <v/>
      </c>
      <c r="B1948" s="40" t="n"/>
      <c r="C1948" s="41" t="n"/>
      <c r="D1948" s="42">
        <f>IF($C1948="","",IFERROR(INDEX(DESPACHOS!$D$3:$D$3002,MATCH($C1948,DESPACHOS!$B$3:$B$3002,0)),"SIN DESPACHO"))</f>
        <v/>
      </c>
      <c r="E1948" s="42">
        <f>IF($C1948="","",IFERROR(INDEX(DESPACHOS!$K$3:$K$3002,MATCH($C1948,DESPACHOS!$B$3:$B$3002,0)),""))</f>
        <v/>
      </c>
      <c r="F1948" s="42">
        <f>IF($C1948="","",IFERROR(INDEX(DESPACHOS!$I$3:$I$3002,MATCH($C1948,DESPACHOS!$B$3:$B$3002,0)),""))</f>
        <v/>
      </c>
      <c r="G1948" s="42">
        <f>IF($C1948="","",IFERROR(INDEX(DESPACHOS!$F$3:$F$3002,MATCH($C1948,DESPACHOS!$B$3:$B$3002,0)),""))</f>
        <v/>
      </c>
      <c r="H1948" s="42">
        <f>IF($C1948="","",IFERROR(INDEX(DESPACHOS!$G$3:$G$3002,MATCH($C1948,DESPACHOS!$B$3:$B$3002,0)),""))</f>
        <v/>
      </c>
      <c r="I1948" s="39">
        <f>IF($C1948="","",IFERROR(INDEX(DESPACHOS!$H$3:$H$3002,MATCH($C1948,DESPACHOS!$B$3:$B$3002,0)),""))</f>
        <v/>
      </c>
      <c r="J1948" s="43">
        <f>IF($C1948="","",IFERROR(INDEX(DESPACHOS!$J$3:$J$3002,MATCH($C1948,DESPACHOS!$B$3:$B$3002,0)),""))</f>
        <v/>
      </c>
      <c r="K1948" s="39">
        <f>IF($C1948="","",IF(COUNTIFS(DESPACHOS!$B$3:$B$3002,$C1948)=0,"NO EXISTE",IF(COUNTIFS(DESPACHOS!$B$3:$B$3002,$C1948)&gt;1,"DUPLICADO","OK")))</f>
        <v/>
      </c>
      <c r="L1948" s="41" t="n"/>
      <c r="M1948" s="41" t="n"/>
      <c r="N1948" s="42">
        <f>IF($M1948="","",IFERROR(INDEX(LISTAS!$F$3:$F$42,MATCH($M1948,LISTAS!$E$3:$E$42,0)),"Por definir"))</f>
        <v/>
      </c>
      <c r="O1948" s="41" t="n"/>
      <c r="P1948" s="39">
        <f>IF($L1948="","",IFERROR(INDEX(LISTAS!$B$3:$B$42,MATCH($L1948,LISTAS!$A$3:$A$42,0)),"Media"))</f>
        <v/>
      </c>
      <c r="Q1948" s="44" t="n"/>
      <c r="R1948" s="45" t="n"/>
      <c r="S1948" s="20">
        <f>IFERROR(IF(OR($R1948="",$C1948=""),"",$R1948/INDEX(DESPACHOS!$M$3:$M$3002,MATCH($C1948,DESPACHOS!$B$3:$B$3002,0))),"")</f>
        <v/>
      </c>
      <c r="T1948" s="41" t="n"/>
      <c r="U1948" s="43">
        <f>IF(OR($B1948="",$L1948=""),"",WORKDAY($B1948,IFERROR(INDEX(LISTAS!$C$3:$C$42,MATCH($L1948,LISTAS!$A$3:$A$42,0)),3)))</f>
        <v/>
      </c>
      <c r="V1948" s="40" t="n"/>
      <c r="W1948" s="19">
        <f>IF($B1948="","",IF($V1948&lt;&gt;"",$V1948-$B1948,TODAY()-$B1948))</f>
        <v/>
      </c>
      <c r="X1948" s="19">
        <f>IF(OR($B1948="",$U1948=""),"",IF($V1948&lt;&gt;"",MAX(0,$V1948-$U1948),MAX(0,TODAY()-$U1948)))</f>
        <v/>
      </c>
      <c r="Y1948" s="39">
        <f>IF($C1948="","",IF(IFERROR(INDEX(LISTAS!$I$3:$I$42,MATCH($T1948,LISTAS!$H$3:$H$42,0)),"NO")="SÍ",IF(N($X1948)&gt;0,"CERRADA FUERA DE SLA","CERRADA EN SLA"),IF($U1948="","SIN CLASIFICAR",IF(N($X1948)&gt;0,"VENCIDA",IF(TODAY()&gt;=$U1948-1,"POR VENCER","EN PLAZO")))))</f>
        <v/>
      </c>
      <c r="Z1948" s="41" t="n"/>
      <c r="AA1948" s="41" t="n"/>
      <c r="AB1948" s="41" t="n"/>
    </row>
    <row r="1949">
      <c r="A1949" s="39">
        <f>IF($C1949="","","NOV-"&amp;TEXT(ROW()-3,"0000"))</f>
        <v/>
      </c>
      <c r="B1949" s="40" t="n"/>
      <c r="C1949" s="41" t="n"/>
      <c r="D1949" s="42">
        <f>IF($C1949="","",IFERROR(INDEX(DESPACHOS!$D$3:$D$3002,MATCH($C1949,DESPACHOS!$B$3:$B$3002,0)),"SIN DESPACHO"))</f>
        <v/>
      </c>
      <c r="E1949" s="42">
        <f>IF($C1949="","",IFERROR(INDEX(DESPACHOS!$K$3:$K$3002,MATCH($C1949,DESPACHOS!$B$3:$B$3002,0)),""))</f>
        <v/>
      </c>
      <c r="F1949" s="42">
        <f>IF($C1949="","",IFERROR(INDEX(DESPACHOS!$I$3:$I$3002,MATCH($C1949,DESPACHOS!$B$3:$B$3002,0)),""))</f>
        <v/>
      </c>
      <c r="G1949" s="42">
        <f>IF($C1949="","",IFERROR(INDEX(DESPACHOS!$F$3:$F$3002,MATCH($C1949,DESPACHOS!$B$3:$B$3002,0)),""))</f>
        <v/>
      </c>
      <c r="H1949" s="42">
        <f>IF($C1949="","",IFERROR(INDEX(DESPACHOS!$G$3:$G$3002,MATCH($C1949,DESPACHOS!$B$3:$B$3002,0)),""))</f>
        <v/>
      </c>
      <c r="I1949" s="39">
        <f>IF($C1949="","",IFERROR(INDEX(DESPACHOS!$H$3:$H$3002,MATCH($C1949,DESPACHOS!$B$3:$B$3002,0)),""))</f>
        <v/>
      </c>
      <c r="J1949" s="43">
        <f>IF($C1949="","",IFERROR(INDEX(DESPACHOS!$J$3:$J$3002,MATCH($C1949,DESPACHOS!$B$3:$B$3002,0)),""))</f>
        <v/>
      </c>
      <c r="K1949" s="39">
        <f>IF($C1949="","",IF(COUNTIFS(DESPACHOS!$B$3:$B$3002,$C1949)=0,"NO EXISTE",IF(COUNTIFS(DESPACHOS!$B$3:$B$3002,$C1949)&gt;1,"DUPLICADO","OK")))</f>
        <v/>
      </c>
      <c r="L1949" s="41" t="n"/>
      <c r="M1949" s="41" t="n"/>
      <c r="N1949" s="42">
        <f>IF($M1949="","",IFERROR(INDEX(LISTAS!$F$3:$F$42,MATCH($M1949,LISTAS!$E$3:$E$42,0)),"Por definir"))</f>
        <v/>
      </c>
      <c r="O1949" s="41" t="n"/>
      <c r="P1949" s="39">
        <f>IF($L1949="","",IFERROR(INDEX(LISTAS!$B$3:$B$42,MATCH($L1949,LISTAS!$A$3:$A$42,0)),"Media"))</f>
        <v/>
      </c>
      <c r="Q1949" s="44" t="n"/>
      <c r="R1949" s="45" t="n"/>
      <c r="S1949" s="20">
        <f>IFERROR(IF(OR($R1949="",$C1949=""),"",$R1949/INDEX(DESPACHOS!$M$3:$M$3002,MATCH($C1949,DESPACHOS!$B$3:$B$3002,0))),"")</f>
        <v/>
      </c>
      <c r="T1949" s="41" t="n"/>
      <c r="U1949" s="43">
        <f>IF(OR($B1949="",$L1949=""),"",WORKDAY($B1949,IFERROR(INDEX(LISTAS!$C$3:$C$42,MATCH($L1949,LISTAS!$A$3:$A$42,0)),3)))</f>
        <v/>
      </c>
      <c r="V1949" s="40" t="n"/>
      <c r="W1949" s="19">
        <f>IF($B1949="","",IF($V1949&lt;&gt;"",$V1949-$B1949,TODAY()-$B1949))</f>
        <v/>
      </c>
      <c r="X1949" s="19">
        <f>IF(OR($B1949="",$U1949=""),"",IF($V1949&lt;&gt;"",MAX(0,$V1949-$U1949),MAX(0,TODAY()-$U1949)))</f>
        <v/>
      </c>
      <c r="Y1949" s="39">
        <f>IF($C1949="","",IF(IFERROR(INDEX(LISTAS!$I$3:$I$42,MATCH($T1949,LISTAS!$H$3:$H$42,0)),"NO")="SÍ",IF(N($X1949)&gt;0,"CERRADA FUERA DE SLA","CERRADA EN SLA"),IF($U1949="","SIN CLASIFICAR",IF(N($X1949)&gt;0,"VENCIDA",IF(TODAY()&gt;=$U1949-1,"POR VENCER","EN PLAZO")))))</f>
        <v/>
      </c>
      <c r="Z1949" s="41" t="n"/>
      <c r="AA1949" s="41" t="n"/>
      <c r="AB1949" s="41" t="n"/>
    </row>
    <row r="1950">
      <c r="A1950" s="39">
        <f>IF($C1950="","","NOV-"&amp;TEXT(ROW()-3,"0000"))</f>
        <v/>
      </c>
      <c r="B1950" s="40" t="n"/>
      <c r="C1950" s="41" t="n"/>
      <c r="D1950" s="42">
        <f>IF($C1950="","",IFERROR(INDEX(DESPACHOS!$D$3:$D$3002,MATCH($C1950,DESPACHOS!$B$3:$B$3002,0)),"SIN DESPACHO"))</f>
        <v/>
      </c>
      <c r="E1950" s="42">
        <f>IF($C1950="","",IFERROR(INDEX(DESPACHOS!$K$3:$K$3002,MATCH($C1950,DESPACHOS!$B$3:$B$3002,0)),""))</f>
        <v/>
      </c>
      <c r="F1950" s="42">
        <f>IF($C1950="","",IFERROR(INDEX(DESPACHOS!$I$3:$I$3002,MATCH($C1950,DESPACHOS!$B$3:$B$3002,0)),""))</f>
        <v/>
      </c>
      <c r="G1950" s="42">
        <f>IF($C1950="","",IFERROR(INDEX(DESPACHOS!$F$3:$F$3002,MATCH($C1950,DESPACHOS!$B$3:$B$3002,0)),""))</f>
        <v/>
      </c>
      <c r="H1950" s="42">
        <f>IF($C1950="","",IFERROR(INDEX(DESPACHOS!$G$3:$G$3002,MATCH($C1950,DESPACHOS!$B$3:$B$3002,0)),""))</f>
        <v/>
      </c>
      <c r="I1950" s="39">
        <f>IF($C1950="","",IFERROR(INDEX(DESPACHOS!$H$3:$H$3002,MATCH($C1950,DESPACHOS!$B$3:$B$3002,0)),""))</f>
        <v/>
      </c>
      <c r="J1950" s="43">
        <f>IF($C1950="","",IFERROR(INDEX(DESPACHOS!$J$3:$J$3002,MATCH($C1950,DESPACHOS!$B$3:$B$3002,0)),""))</f>
        <v/>
      </c>
      <c r="K1950" s="39">
        <f>IF($C1950="","",IF(COUNTIFS(DESPACHOS!$B$3:$B$3002,$C1950)=0,"NO EXISTE",IF(COUNTIFS(DESPACHOS!$B$3:$B$3002,$C1950)&gt;1,"DUPLICADO","OK")))</f>
        <v/>
      </c>
      <c r="L1950" s="41" t="n"/>
      <c r="M1950" s="41" t="n"/>
      <c r="N1950" s="42">
        <f>IF($M1950="","",IFERROR(INDEX(LISTAS!$F$3:$F$42,MATCH($M1950,LISTAS!$E$3:$E$42,0)),"Por definir"))</f>
        <v/>
      </c>
      <c r="O1950" s="41" t="n"/>
      <c r="P1950" s="39">
        <f>IF($L1950="","",IFERROR(INDEX(LISTAS!$B$3:$B$42,MATCH($L1950,LISTAS!$A$3:$A$42,0)),"Media"))</f>
        <v/>
      </c>
      <c r="Q1950" s="44" t="n"/>
      <c r="R1950" s="45" t="n"/>
      <c r="S1950" s="20">
        <f>IFERROR(IF(OR($R1950="",$C1950=""),"",$R1950/INDEX(DESPACHOS!$M$3:$M$3002,MATCH($C1950,DESPACHOS!$B$3:$B$3002,0))),"")</f>
        <v/>
      </c>
      <c r="T1950" s="41" t="n"/>
      <c r="U1950" s="43">
        <f>IF(OR($B1950="",$L1950=""),"",WORKDAY($B1950,IFERROR(INDEX(LISTAS!$C$3:$C$42,MATCH($L1950,LISTAS!$A$3:$A$42,0)),3)))</f>
        <v/>
      </c>
      <c r="V1950" s="40" t="n"/>
      <c r="W1950" s="19">
        <f>IF($B1950="","",IF($V1950&lt;&gt;"",$V1950-$B1950,TODAY()-$B1950))</f>
        <v/>
      </c>
      <c r="X1950" s="19">
        <f>IF(OR($B1950="",$U1950=""),"",IF($V1950&lt;&gt;"",MAX(0,$V1950-$U1950),MAX(0,TODAY()-$U1950)))</f>
        <v/>
      </c>
      <c r="Y1950" s="39">
        <f>IF($C1950="","",IF(IFERROR(INDEX(LISTAS!$I$3:$I$42,MATCH($T1950,LISTAS!$H$3:$H$42,0)),"NO")="SÍ",IF(N($X1950)&gt;0,"CERRADA FUERA DE SLA","CERRADA EN SLA"),IF($U1950="","SIN CLASIFICAR",IF(N($X1950)&gt;0,"VENCIDA",IF(TODAY()&gt;=$U1950-1,"POR VENCER","EN PLAZO")))))</f>
        <v/>
      </c>
      <c r="Z1950" s="41" t="n"/>
      <c r="AA1950" s="41" t="n"/>
      <c r="AB1950" s="41" t="n"/>
    </row>
    <row r="1951">
      <c r="A1951" s="39">
        <f>IF($C1951="","","NOV-"&amp;TEXT(ROW()-3,"0000"))</f>
        <v/>
      </c>
      <c r="B1951" s="40" t="n"/>
      <c r="C1951" s="41" t="n"/>
      <c r="D1951" s="42">
        <f>IF($C1951="","",IFERROR(INDEX(DESPACHOS!$D$3:$D$3002,MATCH($C1951,DESPACHOS!$B$3:$B$3002,0)),"SIN DESPACHO"))</f>
        <v/>
      </c>
      <c r="E1951" s="42">
        <f>IF($C1951="","",IFERROR(INDEX(DESPACHOS!$K$3:$K$3002,MATCH($C1951,DESPACHOS!$B$3:$B$3002,0)),""))</f>
        <v/>
      </c>
      <c r="F1951" s="42">
        <f>IF($C1951="","",IFERROR(INDEX(DESPACHOS!$I$3:$I$3002,MATCH($C1951,DESPACHOS!$B$3:$B$3002,0)),""))</f>
        <v/>
      </c>
      <c r="G1951" s="42">
        <f>IF($C1951="","",IFERROR(INDEX(DESPACHOS!$F$3:$F$3002,MATCH($C1951,DESPACHOS!$B$3:$B$3002,0)),""))</f>
        <v/>
      </c>
      <c r="H1951" s="42">
        <f>IF($C1951="","",IFERROR(INDEX(DESPACHOS!$G$3:$G$3002,MATCH($C1951,DESPACHOS!$B$3:$B$3002,0)),""))</f>
        <v/>
      </c>
      <c r="I1951" s="39">
        <f>IF($C1951="","",IFERROR(INDEX(DESPACHOS!$H$3:$H$3002,MATCH($C1951,DESPACHOS!$B$3:$B$3002,0)),""))</f>
        <v/>
      </c>
      <c r="J1951" s="43">
        <f>IF($C1951="","",IFERROR(INDEX(DESPACHOS!$J$3:$J$3002,MATCH($C1951,DESPACHOS!$B$3:$B$3002,0)),""))</f>
        <v/>
      </c>
      <c r="K1951" s="39">
        <f>IF($C1951="","",IF(COUNTIFS(DESPACHOS!$B$3:$B$3002,$C1951)=0,"NO EXISTE",IF(COUNTIFS(DESPACHOS!$B$3:$B$3002,$C1951)&gt;1,"DUPLICADO","OK")))</f>
        <v/>
      </c>
      <c r="L1951" s="41" t="n"/>
      <c r="M1951" s="41" t="n"/>
      <c r="N1951" s="42">
        <f>IF($M1951="","",IFERROR(INDEX(LISTAS!$F$3:$F$42,MATCH($M1951,LISTAS!$E$3:$E$42,0)),"Por definir"))</f>
        <v/>
      </c>
      <c r="O1951" s="41" t="n"/>
      <c r="P1951" s="39">
        <f>IF($L1951="","",IFERROR(INDEX(LISTAS!$B$3:$B$42,MATCH($L1951,LISTAS!$A$3:$A$42,0)),"Media"))</f>
        <v/>
      </c>
      <c r="Q1951" s="44" t="n"/>
      <c r="R1951" s="45" t="n"/>
      <c r="S1951" s="20">
        <f>IFERROR(IF(OR($R1951="",$C1951=""),"",$R1951/INDEX(DESPACHOS!$M$3:$M$3002,MATCH($C1951,DESPACHOS!$B$3:$B$3002,0))),"")</f>
        <v/>
      </c>
      <c r="T1951" s="41" t="n"/>
      <c r="U1951" s="43">
        <f>IF(OR($B1951="",$L1951=""),"",WORKDAY($B1951,IFERROR(INDEX(LISTAS!$C$3:$C$42,MATCH($L1951,LISTAS!$A$3:$A$42,0)),3)))</f>
        <v/>
      </c>
      <c r="V1951" s="40" t="n"/>
      <c r="W1951" s="19">
        <f>IF($B1951="","",IF($V1951&lt;&gt;"",$V1951-$B1951,TODAY()-$B1951))</f>
        <v/>
      </c>
      <c r="X1951" s="19">
        <f>IF(OR($B1951="",$U1951=""),"",IF($V1951&lt;&gt;"",MAX(0,$V1951-$U1951),MAX(0,TODAY()-$U1951)))</f>
        <v/>
      </c>
      <c r="Y1951" s="39">
        <f>IF($C1951="","",IF(IFERROR(INDEX(LISTAS!$I$3:$I$42,MATCH($T1951,LISTAS!$H$3:$H$42,0)),"NO")="SÍ",IF(N($X1951)&gt;0,"CERRADA FUERA DE SLA","CERRADA EN SLA"),IF($U1951="","SIN CLASIFICAR",IF(N($X1951)&gt;0,"VENCIDA",IF(TODAY()&gt;=$U1951-1,"POR VENCER","EN PLAZO")))))</f>
        <v/>
      </c>
      <c r="Z1951" s="41" t="n"/>
      <c r="AA1951" s="41" t="n"/>
      <c r="AB1951" s="41" t="n"/>
    </row>
    <row r="1952">
      <c r="A1952" s="39">
        <f>IF($C1952="","","NOV-"&amp;TEXT(ROW()-3,"0000"))</f>
        <v/>
      </c>
      <c r="B1952" s="40" t="n"/>
      <c r="C1952" s="41" t="n"/>
      <c r="D1952" s="42">
        <f>IF($C1952="","",IFERROR(INDEX(DESPACHOS!$D$3:$D$3002,MATCH($C1952,DESPACHOS!$B$3:$B$3002,0)),"SIN DESPACHO"))</f>
        <v/>
      </c>
      <c r="E1952" s="42">
        <f>IF($C1952="","",IFERROR(INDEX(DESPACHOS!$K$3:$K$3002,MATCH($C1952,DESPACHOS!$B$3:$B$3002,0)),""))</f>
        <v/>
      </c>
      <c r="F1952" s="42">
        <f>IF($C1952="","",IFERROR(INDEX(DESPACHOS!$I$3:$I$3002,MATCH($C1952,DESPACHOS!$B$3:$B$3002,0)),""))</f>
        <v/>
      </c>
      <c r="G1952" s="42">
        <f>IF($C1952="","",IFERROR(INDEX(DESPACHOS!$F$3:$F$3002,MATCH($C1952,DESPACHOS!$B$3:$B$3002,0)),""))</f>
        <v/>
      </c>
      <c r="H1952" s="42">
        <f>IF($C1952="","",IFERROR(INDEX(DESPACHOS!$G$3:$G$3002,MATCH($C1952,DESPACHOS!$B$3:$B$3002,0)),""))</f>
        <v/>
      </c>
      <c r="I1952" s="39">
        <f>IF($C1952="","",IFERROR(INDEX(DESPACHOS!$H$3:$H$3002,MATCH($C1952,DESPACHOS!$B$3:$B$3002,0)),""))</f>
        <v/>
      </c>
      <c r="J1952" s="43">
        <f>IF($C1952="","",IFERROR(INDEX(DESPACHOS!$J$3:$J$3002,MATCH($C1952,DESPACHOS!$B$3:$B$3002,0)),""))</f>
        <v/>
      </c>
      <c r="K1952" s="39">
        <f>IF($C1952="","",IF(COUNTIFS(DESPACHOS!$B$3:$B$3002,$C1952)=0,"NO EXISTE",IF(COUNTIFS(DESPACHOS!$B$3:$B$3002,$C1952)&gt;1,"DUPLICADO","OK")))</f>
        <v/>
      </c>
      <c r="L1952" s="41" t="n"/>
      <c r="M1952" s="41" t="n"/>
      <c r="N1952" s="42">
        <f>IF($M1952="","",IFERROR(INDEX(LISTAS!$F$3:$F$42,MATCH($M1952,LISTAS!$E$3:$E$42,0)),"Por definir"))</f>
        <v/>
      </c>
      <c r="O1952" s="41" t="n"/>
      <c r="P1952" s="39">
        <f>IF($L1952="","",IFERROR(INDEX(LISTAS!$B$3:$B$42,MATCH($L1952,LISTAS!$A$3:$A$42,0)),"Media"))</f>
        <v/>
      </c>
      <c r="Q1952" s="44" t="n"/>
      <c r="R1952" s="45" t="n"/>
      <c r="S1952" s="20">
        <f>IFERROR(IF(OR($R1952="",$C1952=""),"",$R1952/INDEX(DESPACHOS!$M$3:$M$3002,MATCH($C1952,DESPACHOS!$B$3:$B$3002,0))),"")</f>
        <v/>
      </c>
      <c r="T1952" s="41" t="n"/>
      <c r="U1952" s="43">
        <f>IF(OR($B1952="",$L1952=""),"",WORKDAY($B1952,IFERROR(INDEX(LISTAS!$C$3:$C$42,MATCH($L1952,LISTAS!$A$3:$A$42,0)),3)))</f>
        <v/>
      </c>
      <c r="V1952" s="40" t="n"/>
      <c r="W1952" s="19">
        <f>IF($B1952="","",IF($V1952&lt;&gt;"",$V1952-$B1952,TODAY()-$B1952))</f>
        <v/>
      </c>
      <c r="X1952" s="19">
        <f>IF(OR($B1952="",$U1952=""),"",IF($V1952&lt;&gt;"",MAX(0,$V1952-$U1952),MAX(0,TODAY()-$U1952)))</f>
        <v/>
      </c>
      <c r="Y1952" s="39">
        <f>IF($C1952="","",IF(IFERROR(INDEX(LISTAS!$I$3:$I$42,MATCH($T1952,LISTAS!$H$3:$H$42,0)),"NO")="SÍ",IF(N($X1952)&gt;0,"CERRADA FUERA DE SLA","CERRADA EN SLA"),IF($U1952="","SIN CLASIFICAR",IF(N($X1952)&gt;0,"VENCIDA",IF(TODAY()&gt;=$U1952-1,"POR VENCER","EN PLAZO")))))</f>
        <v/>
      </c>
      <c r="Z1952" s="41" t="n"/>
      <c r="AA1952" s="41" t="n"/>
      <c r="AB1952" s="41" t="n"/>
    </row>
    <row r="1953">
      <c r="A1953" s="39">
        <f>IF($C1953="","","NOV-"&amp;TEXT(ROW()-3,"0000"))</f>
        <v/>
      </c>
      <c r="B1953" s="40" t="n"/>
      <c r="C1953" s="41" t="n"/>
      <c r="D1953" s="42">
        <f>IF($C1953="","",IFERROR(INDEX(DESPACHOS!$D$3:$D$3002,MATCH($C1953,DESPACHOS!$B$3:$B$3002,0)),"SIN DESPACHO"))</f>
        <v/>
      </c>
      <c r="E1953" s="42">
        <f>IF($C1953="","",IFERROR(INDEX(DESPACHOS!$K$3:$K$3002,MATCH($C1953,DESPACHOS!$B$3:$B$3002,0)),""))</f>
        <v/>
      </c>
      <c r="F1953" s="42">
        <f>IF($C1953="","",IFERROR(INDEX(DESPACHOS!$I$3:$I$3002,MATCH($C1953,DESPACHOS!$B$3:$B$3002,0)),""))</f>
        <v/>
      </c>
      <c r="G1953" s="42">
        <f>IF($C1953="","",IFERROR(INDEX(DESPACHOS!$F$3:$F$3002,MATCH($C1953,DESPACHOS!$B$3:$B$3002,0)),""))</f>
        <v/>
      </c>
      <c r="H1953" s="42">
        <f>IF($C1953="","",IFERROR(INDEX(DESPACHOS!$G$3:$G$3002,MATCH($C1953,DESPACHOS!$B$3:$B$3002,0)),""))</f>
        <v/>
      </c>
      <c r="I1953" s="39">
        <f>IF($C1953="","",IFERROR(INDEX(DESPACHOS!$H$3:$H$3002,MATCH($C1953,DESPACHOS!$B$3:$B$3002,0)),""))</f>
        <v/>
      </c>
      <c r="J1953" s="43">
        <f>IF($C1953="","",IFERROR(INDEX(DESPACHOS!$J$3:$J$3002,MATCH($C1953,DESPACHOS!$B$3:$B$3002,0)),""))</f>
        <v/>
      </c>
      <c r="K1953" s="39">
        <f>IF($C1953="","",IF(COUNTIFS(DESPACHOS!$B$3:$B$3002,$C1953)=0,"NO EXISTE",IF(COUNTIFS(DESPACHOS!$B$3:$B$3002,$C1953)&gt;1,"DUPLICADO","OK")))</f>
        <v/>
      </c>
      <c r="L1953" s="41" t="n"/>
      <c r="M1953" s="41" t="n"/>
      <c r="N1953" s="42">
        <f>IF($M1953="","",IFERROR(INDEX(LISTAS!$F$3:$F$42,MATCH($M1953,LISTAS!$E$3:$E$42,0)),"Por definir"))</f>
        <v/>
      </c>
      <c r="O1953" s="41" t="n"/>
      <c r="P1953" s="39">
        <f>IF($L1953="","",IFERROR(INDEX(LISTAS!$B$3:$B$42,MATCH($L1953,LISTAS!$A$3:$A$42,0)),"Media"))</f>
        <v/>
      </c>
      <c r="Q1953" s="44" t="n"/>
      <c r="R1953" s="45" t="n"/>
      <c r="S1953" s="20">
        <f>IFERROR(IF(OR($R1953="",$C1953=""),"",$R1953/INDEX(DESPACHOS!$M$3:$M$3002,MATCH($C1953,DESPACHOS!$B$3:$B$3002,0))),"")</f>
        <v/>
      </c>
      <c r="T1953" s="41" t="n"/>
      <c r="U1953" s="43">
        <f>IF(OR($B1953="",$L1953=""),"",WORKDAY($B1953,IFERROR(INDEX(LISTAS!$C$3:$C$42,MATCH($L1953,LISTAS!$A$3:$A$42,0)),3)))</f>
        <v/>
      </c>
      <c r="V1953" s="40" t="n"/>
      <c r="W1953" s="19">
        <f>IF($B1953="","",IF($V1953&lt;&gt;"",$V1953-$B1953,TODAY()-$B1953))</f>
        <v/>
      </c>
      <c r="X1953" s="19">
        <f>IF(OR($B1953="",$U1953=""),"",IF($V1953&lt;&gt;"",MAX(0,$V1953-$U1953),MAX(0,TODAY()-$U1953)))</f>
        <v/>
      </c>
      <c r="Y1953" s="39">
        <f>IF($C1953="","",IF(IFERROR(INDEX(LISTAS!$I$3:$I$42,MATCH($T1953,LISTAS!$H$3:$H$42,0)),"NO")="SÍ",IF(N($X1953)&gt;0,"CERRADA FUERA DE SLA","CERRADA EN SLA"),IF($U1953="","SIN CLASIFICAR",IF(N($X1953)&gt;0,"VENCIDA",IF(TODAY()&gt;=$U1953-1,"POR VENCER","EN PLAZO")))))</f>
        <v/>
      </c>
      <c r="Z1953" s="41" t="n"/>
      <c r="AA1953" s="41" t="n"/>
      <c r="AB1953" s="41" t="n"/>
    </row>
    <row r="1954">
      <c r="A1954" s="39">
        <f>IF($C1954="","","NOV-"&amp;TEXT(ROW()-3,"0000"))</f>
        <v/>
      </c>
      <c r="B1954" s="40" t="n"/>
      <c r="C1954" s="41" t="n"/>
      <c r="D1954" s="42">
        <f>IF($C1954="","",IFERROR(INDEX(DESPACHOS!$D$3:$D$3002,MATCH($C1954,DESPACHOS!$B$3:$B$3002,0)),"SIN DESPACHO"))</f>
        <v/>
      </c>
      <c r="E1954" s="42">
        <f>IF($C1954="","",IFERROR(INDEX(DESPACHOS!$K$3:$K$3002,MATCH($C1954,DESPACHOS!$B$3:$B$3002,0)),""))</f>
        <v/>
      </c>
      <c r="F1954" s="42">
        <f>IF($C1954="","",IFERROR(INDEX(DESPACHOS!$I$3:$I$3002,MATCH($C1954,DESPACHOS!$B$3:$B$3002,0)),""))</f>
        <v/>
      </c>
      <c r="G1954" s="42">
        <f>IF($C1954="","",IFERROR(INDEX(DESPACHOS!$F$3:$F$3002,MATCH($C1954,DESPACHOS!$B$3:$B$3002,0)),""))</f>
        <v/>
      </c>
      <c r="H1954" s="42">
        <f>IF($C1954="","",IFERROR(INDEX(DESPACHOS!$G$3:$G$3002,MATCH($C1954,DESPACHOS!$B$3:$B$3002,0)),""))</f>
        <v/>
      </c>
      <c r="I1954" s="39">
        <f>IF($C1954="","",IFERROR(INDEX(DESPACHOS!$H$3:$H$3002,MATCH($C1954,DESPACHOS!$B$3:$B$3002,0)),""))</f>
        <v/>
      </c>
      <c r="J1954" s="43">
        <f>IF($C1954="","",IFERROR(INDEX(DESPACHOS!$J$3:$J$3002,MATCH($C1954,DESPACHOS!$B$3:$B$3002,0)),""))</f>
        <v/>
      </c>
      <c r="K1954" s="39">
        <f>IF($C1954="","",IF(COUNTIFS(DESPACHOS!$B$3:$B$3002,$C1954)=0,"NO EXISTE",IF(COUNTIFS(DESPACHOS!$B$3:$B$3002,$C1954)&gt;1,"DUPLICADO","OK")))</f>
        <v/>
      </c>
      <c r="L1954" s="41" t="n"/>
      <c r="M1954" s="41" t="n"/>
      <c r="N1954" s="42">
        <f>IF($M1954="","",IFERROR(INDEX(LISTAS!$F$3:$F$42,MATCH($M1954,LISTAS!$E$3:$E$42,0)),"Por definir"))</f>
        <v/>
      </c>
      <c r="O1954" s="41" t="n"/>
      <c r="P1954" s="39">
        <f>IF($L1954="","",IFERROR(INDEX(LISTAS!$B$3:$B$42,MATCH($L1954,LISTAS!$A$3:$A$42,0)),"Media"))</f>
        <v/>
      </c>
      <c r="Q1954" s="44" t="n"/>
      <c r="R1954" s="45" t="n"/>
      <c r="S1954" s="20">
        <f>IFERROR(IF(OR($R1954="",$C1954=""),"",$R1954/INDEX(DESPACHOS!$M$3:$M$3002,MATCH($C1954,DESPACHOS!$B$3:$B$3002,0))),"")</f>
        <v/>
      </c>
      <c r="T1954" s="41" t="n"/>
      <c r="U1954" s="43">
        <f>IF(OR($B1954="",$L1954=""),"",WORKDAY($B1954,IFERROR(INDEX(LISTAS!$C$3:$C$42,MATCH($L1954,LISTAS!$A$3:$A$42,0)),3)))</f>
        <v/>
      </c>
      <c r="V1954" s="40" t="n"/>
      <c r="W1954" s="19">
        <f>IF($B1954="","",IF($V1954&lt;&gt;"",$V1954-$B1954,TODAY()-$B1954))</f>
        <v/>
      </c>
      <c r="X1954" s="19">
        <f>IF(OR($B1954="",$U1954=""),"",IF($V1954&lt;&gt;"",MAX(0,$V1954-$U1954),MAX(0,TODAY()-$U1954)))</f>
        <v/>
      </c>
      <c r="Y1954" s="39">
        <f>IF($C1954="","",IF(IFERROR(INDEX(LISTAS!$I$3:$I$42,MATCH($T1954,LISTAS!$H$3:$H$42,0)),"NO")="SÍ",IF(N($X1954)&gt;0,"CERRADA FUERA DE SLA","CERRADA EN SLA"),IF($U1954="","SIN CLASIFICAR",IF(N($X1954)&gt;0,"VENCIDA",IF(TODAY()&gt;=$U1954-1,"POR VENCER","EN PLAZO")))))</f>
        <v/>
      </c>
      <c r="Z1954" s="41" t="n"/>
      <c r="AA1954" s="41" t="n"/>
      <c r="AB1954" s="41" t="n"/>
    </row>
    <row r="1955">
      <c r="A1955" s="39">
        <f>IF($C1955="","","NOV-"&amp;TEXT(ROW()-3,"0000"))</f>
        <v/>
      </c>
      <c r="B1955" s="40" t="n"/>
      <c r="C1955" s="41" t="n"/>
      <c r="D1955" s="42">
        <f>IF($C1955="","",IFERROR(INDEX(DESPACHOS!$D$3:$D$3002,MATCH($C1955,DESPACHOS!$B$3:$B$3002,0)),"SIN DESPACHO"))</f>
        <v/>
      </c>
      <c r="E1955" s="42">
        <f>IF($C1955="","",IFERROR(INDEX(DESPACHOS!$K$3:$K$3002,MATCH($C1955,DESPACHOS!$B$3:$B$3002,0)),""))</f>
        <v/>
      </c>
      <c r="F1955" s="42">
        <f>IF($C1955="","",IFERROR(INDEX(DESPACHOS!$I$3:$I$3002,MATCH($C1955,DESPACHOS!$B$3:$B$3002,0)),""))</f>
        <v/>
      </c>
      <c r="G1955" s="42">
        <f>IF($C1955="","",IFERROR(INDEX(DESPACHOS!$F$3:$F$3002,MATCH($C1955,DESPACHOS!$B$3:$B$3002,0)),""))</f>
        <v/>
      </c>
      <c r="H1955" s="42">
        <f>IF($C1955="","",IFERROR(INDEX(DESPACHOS!$G$3:$G$3002,MATCH($C1955,DESPACHOS!$B$3:$B$3002,0)),""))</f>
        <v/>
      </c>
      <c r="I1955" s="39">
        <f>IF($C1955="","",IFERROR(INDEX(DESPACHOS!$H$3:$H$3002,MATCH($C1955,DESPACHOS!$B$3:$B$3002,0)),""))</f>
        <v/>
      </c>
      <c r="J1955" s="43">
        <f>IF($C1955="","",IFERROR(INDEX(DESPACHOS!$J$3:$J$3002,MATCH($C1955,DESPACHOS!$B$3:$B$3002,0)),""))</f>
        <v/>
      </c>
      <c r="K1955" s="39">
        <f>IF($C1955="","",IF(COUNTIFS(DESPACHOS!$B$3:$B$3002,$C1955)=0,"NO EXISTE",IF(COUNTIFS(DESPACHOS!$B$3:$B$3002,$C1955)&gt;1,"DUPLICADO","OK")))</f>
        <v/>
      </c>
      <c r="L1955" s="41" t="n"/>
      <c r="M1955" s="41" t="n"/>
      <c r="N1955" s="42">
        <f>IF($M1955="","",IFERROR(INDEX(LISTAS!$F$3:$F$42,MATCH($M1955,LISTAS!$E$3:$E$42,0)),"Por definir"))</f>
        <v/>
      </c>
      <c r="O1955" s="41" t="n"/>
      <c r="P1955" s="39">
        <f>IF($L1955="","",IFERROR(INDEX(LISTAS!$B$3:$B$42,MATCH($L1955,LISTAS!$A$3:$A$42,0)),"Media"))</f>
        <v/>
      </c>
      <c r="Q1955" s="44" t="n"/>
      <c r="R1955" s="45" t="n"/>
      <c r="S1955" s="20">
        <f>IFERROR(IF(OR($R1955="",$C1955=""),"",$R1955/INDEX(DESPACHOS!$M$3:$M$3002,MATCH($C1955,DESPACHOS!$B$3:$B$3002,0))),"")</f>
        <v/>
      </c>
      <c r="T1955" s="41" t="n"/>
      <c r="U1955" s="43">
        <f>IF(OR($B1955="",$L1955=""),"",WORKDAY($B1955,IFERROR(INDEX(LISTAS!$C$3:$C$42,MATCH($L1955,LISTAS!$A$3:$A$42,0)),3)))</f>
        <v/>
      </c>
      <c r="V1955" s="40" t="n"/>
      <c r="W1955" s="19">
        <f>IF($B1955="","",IF($V1955&lt;&gt;"",$V1955-$B1955,TODAY()-$B1955))</f>
        <v/>
      </c>
      <c r="X1955" s="19">
        <f>IF(OR($B1955="",$U1955=""),"",IF($V1955&lt;&gt;"",MAX(0,$V1955-$U1955),MAX(0,TODAY()-$U1955)))</f>
        <v/>
      </c>
      <c r="Y1955" s="39">
        <f>IF($C1955="","",IF(IFERROR(INDEX(LISTAS!$I$3:$I$42,MATCH($T1955,LISTAS!$H$3:$H$42,0)),"NO")="SÍ",IF(N($X1955)&gt;0,"CERRADA FUERA DE SLA","CERRADA EN SLA"),IF($U1955="","SIN CLASIFICAR",IF(N($X1955)&gt;0,"VENCIDA",IF(TODAY()&gt;=$U1955-1,"POR VENCER","EN PLAZO")))))</f>
        <v/>
      </c>
      <c r="Z1955" s="41" t="n"/>
      <c r="AA1955" s="41" t="n"/>
      <c r="AB1955" s="41" t="n"/>
    </row>
    <row r="1956">
      <c r="A1956" s="39">
        <f>IF($C1956="","","NOV-"&amp;TEXT(ROW()-3,"0000"))</f>
        <v/>
      </c>
      <c r="B1956" s="40" t="n"/>
      <c r="C1956" s="41" t="n"/>
      <c r="D1956" s="42">
        <f>IF($C1956="","",IFERROR(INDEX(DESPACHOS!$D$3:$D$3002,MATCH($C1956,DESPACHOS!$B$3:$B$3002,0)),"SIN DESPACHO"))</f>
        <v/>
      </c>
      <c r="E1956" s="42">
        <f>IF($C1956="","",IFERROR(INDEX(DESPACHOS!$K$3:$K$3002,MATCH($C1956,DESPACHOS!$B$3:$B$3002,0)),""))</f>
        <v/>
      </c>
      <c r="F1956" s="42">
        <f>IF($C1956="","",IFERROR(INDEX(DESPACHOS!$I$3:$I$3002,MATCH($C1956,DESPACHOS!$B$3:$B$3002,0)),""))</f>
        <v/>
      </c>
      <c r="G1956" s="42">
        <f>IF($C1956="","",IFERROR(INDEX(DESPACHOS!$F$3:$F$3002,MATCH($C1956,DESPACHOS!$B$3:$B$3002,0)),""))</f>
        <v/>
      </c>
      <c r="H1956" s="42">
        <f>IF($C1956="","",IFERROR(INDEX(DESPACHOS!$G$3:$G$3002,MATCH($C1956,DESPACHOS!$B$3:$B$3002,0)),""))</f>
        <v/>
      </c>
      <c r="I1956" s="39">
        <f>IF($C1956="","",IFERROR(INDEX(DESPACHOS!$H$3:$H$3002,MATCH($C1956,DESPACHOS!$B$3:$B$3002,0)),""))</f>
        <v/>
      </c>
      <c r="J1956" s="43">
        <f>IF($C1956="","",IFERROR(INDEX(DESPACHOS!$J$3:$J$3002,MATCH($C1956,DESPACHOS!$B$3:$B$3002,0)),""))</f>
        <v/>
      </c>
      <c r="K1956" s="39">
        <f>IF($C1956="","",IF(COUNTIFS(DESPACHOS!$B$3:$B$3002,$C1956)=0,"NO EXISTE",IF(COUNTIFS(DESPACHOS!$B$3:$B$3002,$C1956)&gt;1,"DUPLICADO","OK")))</f>
        <v/>
      </c>
      <c r="L1956" s="41" t="n"/>
      <c r="M1956" s="41" t="n"/>
      <c r="N1956" s="42">
        <f>IF($M1956="","",IFERROR(INDEX(LISTAS!$F$3:$F$42,MATCH($M1956,LISTAS!$E$3:$E$42,0)),"Por definir"))</f>
        <v/>
      </c>
      <c r="O1956" s="41" t="n"/>
      <c r="P1956" s="39">
        <f>IF($L1956="","",IFERROR(INDEX(LISTAS!$B$3:$B$42,MATCH($L1956,LISTAS!$A$3:$A$42,0)),"Media"))</f>
        <v/>
      </c>
      <c r="Q1956" s="44" t="n"/>
      <c r="R1956" s="45" t="n"/>
      <c r="S1956" s="20">
        <f>IFERROR(IF(OR($R1956="",$C1956=""),"",$R1956/INDEX(DESPACHOS!$M$3:$M$3002,MATCH($C1956,DESPACHOS!$B$3:$B$3002,0))),"")</f>
        <v/>
      </c>
      <c r="T1956" s="41" t="n"/>
      <c r="U1956" s="43">
        <f>IF(OR($B1956="",$L1956=""),"",WORKDAY($B1956,IFERROR(INDEX(LISTAS!$C$3:$C$42,MATCH($L1956,LISTAS!$A$3:$A$42,0)),3)))</f>
        <v/>
      </c>
      <c r="V1956" s="40" t="n"/>
      <c r="W1956" s="19">
        <f>IF($B1956="","",IF($V1956&lt;&gt;"",$V1956-$B1956,TODAY()-$B1956))</f>
        <v/>
      </c>
      <c r="X1956" s="19">
        <f>IF(OR($B1956="",$U1956=""),"",IF($V1956&lt;&gt;"",MAX(0,$V1956-$U1956),MAX(0,TODAY()-$U1956)))</f>
        <v/>
      </c>
      <c r="Y1956" s="39">
        <f>IF($C1956="","",IF(IFERROR(INDEX(LISTAS!$I$3:$I$42,MATCH($T1956,LISTAS!$H$3:$H$42,0)),"NO")="SÍ",IF(N($X1956)&gt;0,"CERRADA FUERA DE SLA","CERRADA EN SLA"),IF($U1956="","SIN CLASIFICAR",IF(N($X1956)&gt;0,"VENCIDA",IF(TODAY()&gt;=$U1956-1,"POR VENCER","EN PLAZO")))))</f>
        <v/>
      </c>
      <c r="Z1956" s="41" t="n"/>
      <c r="AA1956" s="41" t="n"/>
      <c r="AB1956" s="41" t="n"/>
    </row>
    <row r="1957">
      <c r="A1957" s="39">
        <f>IF($C1957="","","NOV-"&amp;TEXT(ROW()-3,"0000"))</f>
        <v/>
      </c>
      <c r="B1957" s="40" t="n"/>
      <c r="C1957" s="41" t="n"/>
      <c r="D1957" s="42">
        <f>IF($C1957="","",IFERROR(INDEX(DESPACHOS!$D$3:$D$3002,MATCH($C1957,DESPACHOS!$B$3:$B$3002,0)),"SIN DESPACHO"))</f>
        <v/>
      </c>
      <c r="E1957" s="42">
        <f>IF($C1957="","",IFERROR(INDEX(DESPACHOS!$K$3:$K$3002,MATCH($C1957,DESPACHOS!$B$3:$B$3002,0)),""))</f>
        <v/>
      </c>
      <c r="F1957" s="42">
        <f>IF($C1957="","",IFERROR(INDEX(DESPACHOS!$I$3:$I$3002,MATCH($C1957,DESPACHOS!$B$3:$B$3002,0)),""))</f>
        <v/>
      </c>
      <c r="G1957" s="42">
        <f>IF($C1957="","",IFERROR(INDEX(DESPACHOS!$F$3:$F$3002,MATCH($C1957,DESPACHOS!$B$3:$B$3002,0)),""))</f>
        <v/>
      </c>
      <c r="H1957" s="42">
        <f>IF($C1957="","",IFERROR(INDEX(DESPACHOS!$G$3:$G$3002,MATCH($C1957,DESPACHOS!$B$3:$B$3002,0)),""))</f>
        <v/>
      </c>
      <c r="I1957" s="39">
        <f>IF($C1957="","",IFERROR(INDEX(DESPACHOS!$H$3:$H$3002,MATCH($C1957,DESPACHOS!$B$3:$B$3002,0)),""))</f>
        <v/>
      </c>
      <c r="J1957" s="43">
        <f>IF($C1957="","",IFERROR(INDEX(DESPACHOS!$J$3:$J$3002,MATCH($C1957,DESPACHOS!$B$3:$B$3002,0)),""))</f>
        <v/>
      </c>
      <c r="K1957" s="39">
        <f>IF($C1957="","",IF(COUNTIFS(DESPACHOS!$B$3:$B$3002,$C1957)=0,"NO EXISTE",IF(COUNTIFS(DESPACHOS!$B$3:$B$3002,$C1957)&gt;1,"DUPLICADO","OK")))</f>
        <v/>
      </c>
      <c r="L1957" s="41" t="n"/>
      <c r="M1957" s="41" t="n"/>
      <c r="N1957" s="42">
        <f>IF($M1957="","",IFERROR(INDEX(LISTAS!$F$3:$F$42,MATCH($M1957,LISTAS!$E$3:$E$42,0)),"Por definir"))</f>
        <v/>
      </c>
      <c r="O1957" s="41" t="n"/>
      <c r="P1957" s="39">
        <f>IF($L1957="","",IFERROR(INDEX(LISTAS!$B$3:$B$42,MATCH($L1957,LISTAS!$A$3:$A$42,0)),"Media"))</f>
        <v/>
      </c>
      <c r="Q1957" s="44" t="n"/>
      <c r="R1957" s="45" t="n"/>
      <c r="S1957" s="20">
        <f>IFERROR(IF(OR($R1957="",$C1957=""),"",$R1957/INDEX(DESPACHOS!$M$3:$M$3002,MATCH($C1957,DESPACHOS!$B$3:$B$3002,0))),"")</f>
        <v/>
      </c>
      <c r="T1957" s="41" t="n"/>
      <c r="U1957" s="43">
        <f>IF(OR($B1957="",$L1957=""),"",WORKDAY($B1957,IFERROR(INDEX(LISTAS!$C$3:$C$42,MATCH($L1957,LISTAS!$A$3:$A$42,0)),3)))</f>
        <v/>
      </c>
      <c r="V1957" s="40" t="n"/>
      <c r="W1957" s="19">
        <f>IF($B1957="","",IF($V1957&lt;&gt;"",$V1957-$B1957,TODAY()-$B1957))</f>
        <v/>
      </c>
      <c r="X1957" s="19">
        <f>IF(OR($B1957="",$U1957=""),"",IF($V1957&lt;&gt;"",MAX(0,$V1957-$U1957),MAX(0,TODAY()-$U1957)))</f>
        <v/>
      </c>
      <c r="Y1957" s="39">
        <f>IF($C1957="","",IF(IFERROR(INDEX(LISTAS!$I$3:$I$42,MATCH($T1957,LISTAS!$H$3:$H$42,0)),"NO")="SÍ",IF(N($X1957)&gt;0,"CERRADA FUERA DE SLA","CERRADA EN SLA"),IF($U1957="","SIN CLASIFICAR",IF(N($X1957)&gt;0,"VENCIDA",IF(TODAY()&gt;=$U1957-1,"POR VENCER","EN PLAZO")))))</f>
        <v/>
      </c>
      <c r="Z1957" s="41" t="n"/>
      <c r="AA1957" s="41" t="n"/>
      <c r="AB1957" s="41" t="n"/>
    </row>
    <row r="1958">
      <c r="A1958" s="39">
        <f>IF($C1958="","","NOV-"&amp;TEXT(ROW()-3,"0000"))</f>
        <v/>
      </c>
      <c r="B1958" s="40" t="n"/>
      <c r="C1958" s="41" t="n"/>
      <c r="D1958" s="42">
        <f>IF($C1958="","",IFERROR(INDEX(DESPACHOS!$D$3:$D$3002,MATCH($C1958,DESPACHOS!$B$3:$B$3002,0)),"SIN DESPACHO"))</f>
        <v/>
      </c>
      <c r="E1958" s="42">
        <f>IF($C1958="","",IFERROR(INDEX(DESPACHOS!$K$3:$K$3002,MATCH($C1958,DESPACHOS!$B$3:$B$3002,0)),""))</f>
        <v/>
      </c>
      <c r="F1958" s="42">
        <f>IF($C1958="","",IFERROR(INDEX(DESPACHOS!$I$3:$I$3002,MATCH($C1958,DESPACHOS!$B$3:$B$3002,0)),""))</f>
        <v/>
      </c>
      <c r="G1958" s="42">
        <f>IF($C1958="","",IFERROR(INDEX(DESPACHOS!$F$3:$F$3002,MATCH($C1958,DESPACHOS!$B$3:$B$3002,0)),""))</f>
        <v/>
      </c>
      <c r="H1958" s="42">
        <f>IF($C1958="","",IFERROR(INDEX(DESPACHOS!$G$3:$G$3002,MATCH($C1958,DESPACHOS!$B$3:$B$3002,0)),""))</f>
        <v/>
      </c>
      <c r="I1958" s="39">
        <f>IF($C1958="","",IFERROR(INDEX(DESPACHOS!$H$3:$H$3002,MATCH($C1958,DESPACHOS!$B$3:$B$3002,0)),""))</f>
        <v/>
      </c>
      <c r="J1958" s="43">
        <f>IF($C1958="","",IFERROR(INDEX(DESPACHOS!$J$3:$J$3002,MATCH($C1958,DESPACHOS!$B$3:$B$3002,0)),""))</f>
        <v/>
      </c>
      <c r="K1958" s="39">
        <f>IF($C1958="","",IF(COUNTIFS(DESPACHOS!$B$3:$B$3002,$C1958)=0,"NO EXISTE",IF(COUNTIFS(DESPACHOS!$B$3:$B$3002,$C1958)&gt;1,"DUPLICADO","OK")))</f>
        <v/>
      </c>
      <c r="L1958" s="41" t="n"/>
      <c r="M1958" s="41" t="n"/>
      <c r="N1958" s="42">
        <f>IF($M1958="","",IFERROR(INDEX(LISTAS!$F$3:$F$42,MATCH($M1958,LISTAS!$E$3:$E$42,0)),"Por definir"))</f>
        <v/>
      </c>
      <c r="O1958" s="41" t="n"/>
      <c r="P1958" s="39">
        <f>IF($L1958="","",IFERROR(INDEX(LISTAS!$B$3:$B$42,MATCH($L1958,LISTAS!$A$3:$A$42,0)),"Media"))</f>
        <v/>
      </c>
      <c r="Q1958" s="44" t="n"/>
      <c r="R1958" s="45" t="n"/>
      <c r="S1958" s="20">
        <f>IFERROR(IF(OR($R1958="",$C1958=""),"",$R1958/INDEX(DESPACHOS!$M$3:$M$3002,MATCH($C1958,DESPACHOS!$B$3:$B$3002,0))),"")</f>
        <v/>
      </c>
      <c r="T1958" s="41" t="n"/>
      <c r="U1958" s="43">
        <f>IF(OR($B1958="",$L1958=""),"",WORKDAY($B1958,IFERROR(INDEX(LISTAS!$C$3:$C$42,MATCH($L1958,LISTAS!$A$3:$A$42,0)),3)))</f>
        <v/>
      </c>
      <c r="V1958" s="40" t="n"/>
      <c r="W1958" s="19">
        <f>IF($B1958="","",IF($V1958&lt;&gt;"",$V1958-$B1958,TODAY()-$B1958))</f>
        <v/>
      </c>
      <c r="X1958" s="19">
        <f>IF(OR($B1958="",$U1958=""),"",IF($V1958&lt;&gt;"",MAX(0,$V1958-$U1958),MAX(0,TODAY()-$U1958)))</f>
        <v/>
      </c>
      <c r="Y1958" s="39">
        <f>IF($C1958="","",IF(IFERROR(INDEX(LISTAS!$I$3:$I$42,MATCH($T1958,LISTAS!$H$3:$H$42,0)),"NO")="SÍ",IF(N($X1958)&gt;0,"CERRADA FUERA DE SLA","CERRADA EN SLA"),IF($U1958="","SIN CLASIFICAR",IF(N($X1958)&gt;0,"VENCIDA",IF(TODAY()&gt;=$U1958-1,"POR VENCER","EN PLAZO")))))</f>
        <v/>
      </c>
      <c r="Z1958" s="41" t="n"/>
      <c r="AA1958" s="41" t="n"/>
      <c r="AB1958" s="41" t="n"/>
    </row>
    <row r="1959">
      <c r="A1959" s="39">
        <f>IF($C1959="","","NOV-"&amp;TEXT(ROW()-3,"0000"))</f>
        <v/>
      </c>
      <c r="B1959" s="40" t="n"/>
      <c r="C1959" s="41" t="n"/>
      <c r="D1959" s="42">
        <f>IF($C1959="","",IFERROR(INDEX(DESPACHOS!$D$3:$D$3002,MATCH($C1959,DESPACHOS!$B$3:$B$3002,0)),"SIN DESPACHO"))</f>
        <v/>
      </c>
      <c r="E1959" s="42">
        <f>IF($C1959="","",IFERROR(INDEX(DESPACHOS!$K$3:$K$3002,MATCH($C1959,DESPACHOS!$B$3:$B$3002,0)),""))</f>
        <v/>
      </c>
      <c r="F1959" s="42">
        <f>IF($C1959="","",IFERROR(INDEX(DESPACHOS!$I$3:$I$3002,MATCH($C1959,DESPACHOS!$B$3:$B$3002,0)),""))</f>
        <v/>
      </c>
      <c r="G1959" s="42">
        <f>IF($C1959="","",IFERROR(INDEX(DESPACHOS!$F$3:$F$3002,MATCH($C1959,DESPACHOS!$B$3:$B$3002,0)),""))</f>
        <v/>
      </c>
      <c r="H1959" s="42">
        <f>IF($C1959="","",IFERROR(INDEX(DESPACHOS!$G$3:$G$3002,MATCH($C1959,DESPACHOS!$B$3:$B$3002,0)),""))</f>
        <v/>
      </c>
      <c r="I1959" s="39">
        <f>IF($C1959="","",IFERROR(INDEX(DESPACHOS!$H$3:$H$3002,MATCH($C1959,DESPACHOS!$B$3:$B$3002,0)),""))</f>
        <v/>
      </c>
      <c r="J1959" s="43">
        <f>IF($C1959="","",IFERROR(INDEX(DESPACHOS!$J$3:$J$3002,MATCH($C1959,DESPACHOS!$B$3:$B$3002,0)),""))</f>
        <v/>
      </c>
      <c r="K1959" s="39">
        <f>IF($C1959="","",IF(COUNTIFS(DESPACHOS!$B$3:$B$3002,$C1959)=0,"NO EXISTE",IF(COUNTIFS(DESPACHOS!$B$3:$B$3002,$C1959)&gt;1,"DUPLICADO","OK")))</f>
        <v/>
      </c>
      <c r="L1959" s="41" t="n"/>
      <c r="M1959" s="41" t="n"/>
      <c r="N1959" s="42">
        <f>IF($M1959="","",IFERROR(INDEX(LISTAS!$F$3:$F$42,MATCH($M1959,LISTAS!$E$3:$E$42,0)),"Por definir"))</f>
        <v/>
      </c>
      <c r="O1959" s="41" t="n"/>
      <c r="P1959" s="39">
        <f>IF($L1959="","",IFERROR(INDEX(LISTAS!$B$3:$B$42,MATCH($L1959,LISTAS!$A$3:$A$42,0)),"Media"))</f>
        <v/>
      </c>
      <c r="Q1959" s="44" t="n"/>
      <c r="R1959" s="45" t="n"/>
      <c r="S1959" s="20">
        <f>IFERROR(IF(OR($R1959="",$C1959=""),"",$R1959/INDEX(DESPACHOS!$M$3:$M$3002,MATCH($C1959,DESPACHOS!$B$3:$B$3002,0))),"")</f>
        <v/>
      </c>
      <c r="T1959" s="41" t="n"/>
      <c r="U1959" s="43">
        <f>IF(OR($B1959="",$L1959=""),"",WORKDAY($B1959,IFERROR(INDEX(LISTAS!$C$3:$C$42,MATCH($L1959,LISTAS!$A$3:$A$42,0)),3)))</f>
        <v/>
      </c>
      <c r="V1959" s="40" t="n"/>
      <c r="W1959" s="19">
        <f>IF($B1959="","",IF($V1959&lt;&gt;"",$V1959-$B1959,TODAY()-$B1959))</f>
        <v/>
      </c>
      <c r="X1959" s="19">
        <f>IF(OR($B1959="",$U1959=""),"",IF($V1959&lt;&gt;"",MAX(0,$V1959-$U1959),MAX(0,TODAY()-$U1959)))</f>
        <v/>
      </c>
      <c r="Y1959" s="39">
        <f>IF($C1959="","",IF(IFERROR(INDEX(LISTAS!$I$3:$I$42,MATCH($T1959,LISTAS!$H$3:$H$42,0)),"NO")="SÍ",IF(N($X1959)&gt;0,"CERRADA FUERA DE SLA","CERRADA EN SLA"),IF($U1959="","SIN CLASIFICAR",IF(N($X1959)&gt;0,"VENCIDA",IF(TODAY()&gt;=$U1959-1,"POR VENCER","EN PLAZO")))))</f>
        <v/>
      </c>
      <c r="Z1959" s="41" t="n"/>
      <c r="AA1959" s="41" t="n"/>
      <c r="AB1959" s="41" t="n"/>
    </row>
    <row r="1960">
      <c r="A1960" s="39">
        <f>IF($C1960="","","NOV-"&amp;TEXT(ROW()-3,"0000"))</f>
        <v/>
      </c>
      <c r="B1960" s="40" t="n"/>
      <c r="C1960" s="41" t="n"/>
      <c r="D1960" s="42">
        <f>IF($C1960="","",IFERROR(INDEX(DESPACHOS!$D$3:$D$3002,MATCH($C1960,DESPACHOS!$B$3:$B$3002,0)),"SIN DESPACHO"))</f>
        <v/>
      </c>
      <c r="E1960" s="42">
        <f>IF($C1960="","",IFERROR(INDEX(DESPACHOS!$K$3:$K$3002,MATCH($C1960,DESPACHOS!$B$3:$B$3002,0)),""))</f>
        <v/>
      </c>
      <c r="F1960" s="42">
        <f>IF($C1960="","",IFERROR(INDEX(DESPACHOS!$I$3:$I$3002,MATCH($C1960,DESPACHOS!$B$3:$B$3002,0)),""))</f>
        <v/>
      </c>
      <c r="G1960" s="42">
        <f>IF($C1960="","",IFERROR(INDEX(DESPACHOS!$F$3:$F$3002,MATCH($C1960,DESPACHOS!$B$3:$B$3002,0)),""))</f>
        <v/>
      </c>
      <c r="H1960" s="42">
        <f>IF($C1960="","",IFERROR(INDEX(DESPACHOS!$G$3:$G$3002,MATCH($C1960,DESPACHOS!$B$3:$B$3002,0)),""))</f>
        <v/>
      </c>
      <c r="I1960" s="39">
        <f>IF($C1960="","",IFERROR(INDEX(DESPACHOS!$H$3:$H$3002,MATCH($C1960,DESPACHOS!$B$3:$B$3002,0)),""))</f>
        <v/>
      </c>
      <c r="J1960" s="43">
        <f>IF($C1960="","",IFERROR(INDEX(DESPACHOS!$J$3:$J$3002,MATCH($C1960,DESPACHOS!$B$3:$B$3002,0)),""))</f>
        <v/>
      </c>
      <c r="K1960" s="39">
        <f>IF($C1960="","",IF(COUNTIFS(DESPACHOS!$B$3:$B$3002,$C1960)=0,"NO EXISTE",IF(COUNTIFS(DESPACHOS!$B$3:$B$3002,$C1960)&gt;1,"DUPLICADO","OK")))</f>
        <v/>
      </c>
      <c r="L1960" s="41" t="n"/>
      <c r="M1960" s="41" t="n"/>
      <c r="N1960" s="42">
        <f>IF($M1960="","",IFERROR(INDEX(LISTAS!$F$3:$F$42,MATCH($M1960,LISTAS!$E$3:$E$42,0)),"Por definir"))</f>
        <v/>
      </c>
      <c r="O1960" s="41" t="n"/>
      <c r="P1960" s="39">
        <f>IF($L1960="","",IFERROR(INDEX(LISTAS!$B$3:$B$42,MATCH($L1960,LISTAS!$A$3:$A$42,0)),"Media"))</f>
        <v/>
      </c>
      <c r="Q1960" s="44" t="n"/>
      <c r="R1960" s="45" t="n"/>
      <c r="S1960" s="20">
        <f>IFERROR(IF(OR($R1960="",$C1960=""),"",$R1960/INDEX(DESPACHOS!$M$3:$M$3002,MATCH($C1960,DESPACHOS!$B$3:$B$3002,0))),"")</f>
        <v/>
      </c>
      <c r="T1960" s="41" t="n"/>
      <c r="U1960" s="43">
        <f>IF(OR($B1960="",$L1960=""),"",WORKDAY($B1960,IFERROR(INDEX(LISTAS!$C$3:$C$42,MATCH($L1960,LISTAS!$A$3:$A$42,0)),3)))</f>
        <v/>
      </c>
      <c r="V1960" s="40" t="n"/>
      <c r="W1960" s="19">
        <f>IF($B1960="","",IF($V1960&lt;&gt;"",$V1960-$B1960,TODAY()-$B1960))</f>
        <v/>
      </c>
      <c r="X1960" s="19">
        <f>IF(OR($B1960="",$U1960=""),"",IF($V1960&lt;&gt;"",MAX(0,$V1960-$U1960),MAX(0,TODAY()-$U1960)))</f>
        <v/>
      </c>
      <c r="Y1960" s="39">
        <f>IF($C1960="","",IF(IFERROR(INDEX(LISTAS!$I$3:$I$42,MATCH($T1960,LISTAS!$H$3:$H$42,0)),"NO")="SÍ",IF(N($X1960)&gt;0,"CERRADA FUERA DE SLA","CERRADA EN SLA"),IF($U1960="","SIN CLASIFICAR",IF(N($X1960)&gt;0,"VENCIDA",IF(TODAY()&gt;=$U1960-1,"POR VENCER","EN PLAZO")))))</f>
        <v/>
      </c>
      <c r="Z1960" s="41" t="n"/>
      <c r="AA1960" s="41" t="n"/>
      <c r="AB1960" s="41" t="n"/>
    </row>
    <row r="1961">
      <c r="A1961" s="39">
        <f>IF($C1961="","","NOV-"&amp;TEXT(ROW()-3,"0000"))</f>
        <v/>
      </c>
      <c r="B1961" s="40" t="n"/>
      <c r="C1961" s="41" t="n"/>
      <c r="D1961" s="42">
        <f>IF($C1961="","",IFERROR(INDEX(DESPACHOS!$D$3:$D$3002,MATCH($C1961,DESPACHOS!$B$3:$B$3002,0)),"SIN DESPACHO"))</f>
        <v/>
      </c>
      <c r="E1961" s="42">
        <f>IF($C1961="","",IFERROR(INDEX(DESPACHOS!$K$3:$K$3002,MATCH($C1961,DESPACHOS!$B$3:$B$3002,0)),""))</f>
        <v/>
      </c>
      <c r="F1961" s="42">
        <f>IF($C1961="","",IFERROR(INDEX(DESPACHOS!$I$3:$I$3002,MATCH($C1961,DESPACHOS!$B$3:$B$3002,0)),""))</f>
        <v/>
      </c>
      <c r="G1961" s="42">
        <f>IF($C1961="","",IFERROR(INDEX(DESPACHOS!$F$3:$F$3002,MATCH($C1961,DESPACHOS!$B$3:$B$3002,0)),""))</f>
        <v/>
      </c>
      <c r="H1961" s="42">
        <f>IF($C1961="","",IFERROR(INDEX(DESPACHOS!$G$3:$G$3002,MATCH($C1961,DESPACHOS!$B$3:$B$3002,0)),""))</f>
        <v/>
      </c>
      <c r="I1961" s="39">
        <f>IF($C1961="","",IFERROR(INDEX(DESPACHOS!$H$3:$H$3002,MATCH($C1961,DESPACHOS!$B$3:$B$3002,0)),""))</f>
        <v/>
      </c>
      <c r="J1961" s="43">
        <f>IF($C1961="","",IFERROR(INDEX(DESPACHOS!$J$3:$J$3002,MATCH($C1961,DESPACHOS!$B$3:$B$3002,0)),""))</f>
        <v/>
      </c>
      <c r="K1961" s="39">
        <f>IF($C1961="","",IF(COUNTIFS(DESPACHOS!$B$3:$B$3002,$C1961)=0,"NO EXISTE",IF(COUNTIFS(DESPACHOS!$B$3:$B$3002,$C1961)&gt;1,"DUPLICADO","OK")))</f>
        <v/>
      </c>
      <c r="L1961" s="41" t="n"/>
      <c r="M1961" s="41" t="n"/>
      <c r="N1961" s="42">
        <f>IF($M1961="","",IFERROR(INDEX(LISTAS!$F$3:$F$42,MATCH($M1961,LISTAS!$E$3:$E$42,0)),"Por definir"))</f>
        <v/>
      </c>
      <c r="O1961" s="41" t="n"/>
      <c r="P1961" s="39">
        <f>IF($L1961="","",IFERROR(INDEX(LISTAS!$B$3:$B$42,MATCH($L1961,LISTAS!$A$3:$A$42,0)),"Media"))</f>
        <v/>
      </c>
      <c r="Q1961" s="44" t="n"/>
      <c r="R1961" s="45" t="n"/>
      <c r="S1961" s="20">
        <f>IFERROR(IF(OR($R1961="",$C1961=""),"",$R1961/INDEX(DESPACHOS!$M$3:$M$3002,MATCH($C1961,DESPACHOS!$B$3:$B$3002,0))),"")</f>
        <v/>
      </c>
      <c r="T1961" s="41" t="n"/>
      <c r="U1961" s="43">
        <f>IF(OR($B1961="",$L1961=""),"",WORKDAY($B1961,IFERROR(INDEX(LISTAS!$C$3:$C$42,MATCH($L1961,LISTAS!$A$3:$A$42,0)),3)))</f>
        <v/>
      </c>
      <c r="V1961" s="40" t="n"/>
      <c r="W1961" s="19">
        <f>IF($B1961="","",IF($V1961&lt;&gt;"",$V1961-$B1961,TODAY()-$B1961))</f>
        <v/>
      </c>
      <c r="X1961" s="19">
        <f>IF(OR($B1961="",$U1961=""),"",IF($V1961&lt;&gt;"",MAX(0,$V1961-$U1961),MAX(0,TODAY()-$U1961)))</f>
        <v/>
      </c>
      <c r="Y1961" s="39">
        <f>IF($C1961="","",IF(IFERROR(INDEX(LISTAS!$I$3:$I$42,MATCH($T1961,LISTAS!$H$3:$H$42,0)),"NO")="SÍ",IF(N($X1961)&gt;0,"CERRADA FUERA DE SLA","CERRADA EN SLA"),IF($U1961="","SIN CLASIFICAR",IF(N($X1961)&gt;0,"VENCIDA",IF(TODAY()&gt;=$U1961-1,"POR VENCER","EN PLAZO")))))</f>
        <v/>
      </c>
      <c r="Z1961" s="41" t="n"/>
      <c r="AA1961" s="41" t="n"/>
      <c r="AB1961" s="41" t="n"/>
    </row>
    <row r="1962">
      <c r="A1962" s="39">
        <f>IF($C1962="","","NOV-"&amp;TEXT(ROW()-3,"0000"))</f>
        <v/>
      </c>
      <c r="B1962" s="40" t="n"/>
      <c r="C1962" s="41" t="n"/>
      <c r="D1962" s="42">
        <f>IF($C1962="","",IFERROR(INDEX(DESPACHOS!$D$3:$D$3002,MATCH($C1962,DESPACHOS!$B$3:$B$3002,0)),"SIN DESPACHO"))</f>
        <v/>
      </c>
      <c r="E1962" s="42">
        <f>IF($C1962="","",IFERROR(INDEX(DESPACHOS!$K$3:$K$3002,MATCH($C1962,DESPACHOS!$B$3:$B$3002,0)),""))</f>
        <v/>
      </c>
      <c r="F1962" s="42">
        <f>IF($C1962="","",IFERROR(INDEX(DESPACHOS!$I$3:$I$3002,MATCH($C1962,DESPACHOS!$B$3:$B$3002,0)),""))</f>
        <v/>
      </c>
      <c r="G1962" s="42">
        <f>IF($C1962="","",IFERROR(INDEX(DESPACHOS!$F$3:$F$3002,MATCH($C1962,DESPACHOS!$B$3:$B$3002,0)),""))</f>
        <v/>
      </c>
      <c r="H1962" s="42">
        <f>IF($C1962="","",IFERROR(INDEX(DESPACHOS!$G$3:$G$3002,MATCH($C1962,DESPACHOS!$B$3:$B$3002,0)),""))</f>
        <v/>
      </c>
      <c r="I1962" s="39">
        <f>IF($C1962="","",IFERROR(INDEX(DESPACHOS!$H$3:$H$3002,MATCH($C1962,DESPACHOS!$B$3:$B$3002,0)),""))</f>
        <v/>
      </c>
      <c r="J1962" s="43">
        <f>IF($C1962="","",IFERROR(INDEX(DESPACHOS!$J$3:$J$3002,MATCH($C1962,DESPACHOS!$B$3:$B$3002,0)),""))</f>
        <v/>
      </c>
      <c r="K1962" s="39">
        <f>IF($C1962="","",IF(COUNTIFS(DESPACHOS!$B$3:$B$3002,$C1962)=0,"NO EXISTE",IF(COUNTIFS(DESPACHOS!$B$3:$B$3002,$C1962)&gt;1,"DUPLICADO","OK")))</f>
        <v/>
      </c>
      <c r="L1962" s="41" t="n"/>
      <c r="M1962" s="41" t="n"/>
      <c r="N1962" s="42">
        <f>IF($M1962="","",IFERROR(INDEX(LISTAS!$F$3:$F$42,MATCH($M1962,LISTAS!$E$3:$E$42,0)),"Por definir"))</f>
        <v/>
      </c>
      <c r="O1962" s="41" t="n"/>
      <c r="P1962" s="39">
        <f>IF($L1962="","",IFERROR(INDEX(LISTAS!$B$3:$B$42,MATCH($L1962,LISTAS!$A$3:$A$42,0)),"Media"))</f>
        <v/>
      </c>
      <c r="Q1962" s="44" t="n"/>
      <c r="R1962" s="45" t="n"/>
      <c r="S1962" s="20">
        <f>IFERROR(IF(OR($R1962="",$C1962=""),"",$R1962/INDEX(DESPACHOS!$M$3:$M$3002,MATCH($C1962,DESPACHOS!$B$3:$B$3002,0))),"")</f>
        <v/>
      </c>
      <c r="T1962" s="41" t="n"/>
      <c r="U1962" s="43">
        <f>IF(OR($B1962="",$L1962=""),"",WORKDAY($B1962,IFERROR(INDEX(LISTAS!$C$3:$C$42,MATCH($L1962,LISTAS!$A$3:$A$42,0)),3)))</f>
        <v/>
      </c>
      <c r="V1962" s="40" t="n"/>
      <c r="W1962" s="19">
        <f>IF($B1962="","",IF($V1962&lt;&gt;"",$V1962-$B1962,TODAY()-$B1962))</f>
        <v/>
      </c>
      <c r="X1962" s="19">
        <f>IF(OR($B1962="",$U1962=""),"",IF($V1962&lt;&gt;"",MAX(0,$V1962-$U1962),MAX(0,TODAY()-$U1962)))</f>
        <v/>
      </c>
      <c r="Y1962" s="39">
        <f>IF($C1962="","",IF(IFERROR(INDEX(LISTAS!$I$3:$I$42,MATCH($T1962,LISTAS!$H$3:$H$42,0)),"NO")="SÍ",IF(N($X1962)&gt;0,"CERRADA FUERA DE SLA","CERRADA EN SLA"),IF($U1962="","SIN CLASIFICAR",IF(N($X1962)&gt;0,"VENCIDA",IF(TODAY()&gt;=$U1962-1,"POR VENCER","EN PLAZO")))))</f>
        <v/>
      </c>
      <c r="Z1962" s="41" t="n"/>
      <c r="AA1962" s="41" t="n"/>
      <c r="AB1962" s="41" t="n"/>
    </row>
    <row r="1963">
      <c r="A1963" s="39">
        <f>IF($C1963="","","NOV-"&amp;TEXT(ROW()-3,"0000"))</f>
        <v/>
      </c>
      <c r="B1963" s="40" t="n"/>
      <c r="C1963" s="41" t="n"/>
      <c r="D1963" s="42">
        <f>IF($C1963="","",IFERROR(INDEX(DESPACHOS!$D$3:$D$3002,MATCH($C1963,DESPACHOS!$B$3:$B$3002,0)),"SIN DESPACHO"))</f>
        <v/>
      </c>
      <c r="E1963" s="42">
        <f>IF($C1963="","",IFERROR(INDEX(DESPACHOS!$K$3:$K$3002,MATCH($C1963,DESPACHOS!$B$3:$B$3002,0)),""))</f>
        <v/>
      </c>
      <c r="F1963" s="42">
        <f>IF($C1963="","",IFERROR(INDEX(DESPACHOS!$I$3:$I$3002,MATCH($C1963,DESPACHOS!$B$3:$B$3002,0)),""))</f>
        <v/>
      </c>
      <c r="G1963" s="42">
        <f>IF($C1963="","",IFERROR(INDEX(DESPACHOS!$F$3:$F$3002,MATCH($C1963,DESPACHOS!$B$3:$B$3002,0)),""))</f>
        <v/>
      </c>
      <c r="H1963" s="42">
        <f>IF($C1963="","",IFERROR(INDEX(DESPACHOS!$G$3:$G$3002,MATCH($C1963,DESPACHOS!$B$3:$B$3002,0)),""))</f>
        <v/>
      </c>
      <c r="I1963" s="39">
        <f>IF($C1963="","",IFERROR(INDEX(DESPACHOS!$H$3:$H$3002,MATCH($C1963,DESPACHOS!$B$3:$B$3002,0)),""))</f>
        <v/>
      </c>
      <c r="J1963" s="43">
        <f>IF($C1963="","",IFERROR(INDEX(DESPACHOS!$J$3:$J$3002,MATCH($C1963,DESPACHOS!$B$3:$B$3002,0)),""))</f>
        <v/>
      </c>
      <c r="K1963" s="39">
        <f>IF($C1963="","",IF(COUNTIFS(DESPACHOS!$B$3:$B$3002,$C1963)=0,"NO EXISTE",IF(COUNTIFS(DESPACHOS!$B$3:$B$3002,$C1963)&gt;1,"DUPLICADO","OK")))</f>
        <v/>
      </c>
      <c r="L1963" s="41" t="n"/>
      <c r="M1963" s="41" t="n"/>
      <c r="N1963" s="42">
        <f>IF($M1963="","",IFERROR(INDEX(LISTAS!$F$3:$F$42,MATCH($M1963,LISTAS!$E$3:$E$42,0)),"Por definir"))</f>
        <v/>
      </c>
      <c r="O1963" s="41" t="n"/>
      <c r="P1963" s="39">
        <f>IF($L1963="","",IFERROR(INDEX(LISTAS!$B$3:$B$42,MATCH($L1963,LISTAS!$A$3:$A$42,0)),"Media"))</f>
        <v/>
      </c>
      <c r="Q1963" s="44" t="n"/>
      <c r="R1963" s="45" t="n"/>
      <c r="S1963" s="20">
        <f>IFERROR(IF(OR($R1963="",$C1963=""),"",$R1963/INDEX(DESPACHOS!$M$3:$M$3002,MATCH($C1963,DESPACHOS!$B$3:$B$3002,0))),"")</f>
        <v/>
      </c>
      <c r="T1963" s="41" t="n"/>
      <c r="U1963" s="43">
        <f>IF(OR($B1963="",$L1963=""),"",WORKDAY($B1963,IFERROR(INDEX(LISTAS!$C$3:$C$42,MATCH($L1963,LISTAS!$A$3:$A$42,0)),3)))</f>
        <v/>
      </c>
      <c r="V1963" s="40" t="n"/>
      <c r="W1963" s="19">
        <f>IF($B1963="","",IF($V1963&lt;&gt;"",$V1963-$B1963,TODAY()-$B1963))</f>
        <v/>
      </c>
      <c r="X1963" s="19">
        <f>IF(OR($B1963="",$U1963=""),"",IF($V1963&lt;&gt;"",MAX(0,$V1963-$U1963),MAX(0,TODAY()-$U1963)))</f>
        <v/>
      </c>
      <c r="Y1963" s="39">
        <f>IF($C1963="","",IF(IFERROR(INDEX(LISTAS!$I$3:$I$42,MATCH($T1963,LISTAS!$H$3:$H$42,0)),"NO")="SÍ",IF(N($X1963)&gt;0,"CERRADA FUERA DE SLA","CERRADA EN SLA"),IF($U1963="","SIN CLASIFICAR",IF(N($X1963)&gt;0,"VENCIDA",IF(TODAY()&gt;=$U1963-1,"POR VENCER","EN PLAZO")))))</f>
        <v/>
      </c>
      <c r="Z1963" s="41" t="n"/>
      <c r="AA1963" s="41" t="n"/>
      <c r="AB1963" s="41" t="n"/>
    </row>
    <row r="1964">
      <c r="A1964" s="39">
        <f>IF($C1964="","","NOV-"&amp;TEXT(ROW()-3,"0000"))</f>
        <v/>
      </c>
      <c r="B1964" s="40" t="n"/>
      <c r="C1964" s="41" t="n"/>
      <c r="D1964" s="42">
        <f>IF($C1964="","",IFERROR(INDEX(DESPACHOS!$D$3:$D$3002,MATCH($C1964,DESPACHOS!$B$3:$B$3002,0)),"SIN DESPACHO"))</f>
        <v/>
      </c>
      <c r="E1964" s="42">
        <f>IF($C1964="","",IFERROR(INDEX(DESPACHOS!$K$3:$K$3002,MATCH($C1964,DESPACHOS!$B$3:$B$3002,0)),""))</f>
        <v/>
      </c>
      <c r="F1964" s="42">
        <f>IF($C1964="","",IFERROR(INDEX(DESPACHOS!$I$3:$I$3002,MATCH($C1964,DESPACHOS!$B$3:$B$3002,0)),""))</f>
        <v/>
      </c>
      <c r="G1964" s="42">
        <f>IF($C1964="","",IFERROR(INDEX(DESPACHOS!$F$3:$F$3002,MATCH($C1964,DESPACHOS!$B$3:$B$3002,0)),""))</f>
        <v/>
      </c>
      <c r="H1964" s="42">
        <f>IF($C1964="","",IFERROR(INDEX(DESPACHOS!$G$3:$G$3002,MATCH($C1964,DESPACHOS!$B$3:$B$3002,0)),""))</f>
        <v/>
      </c>
      <c r="I1964" s="39">
        <f>IF($C1964="","",IFERROR(INDEX(DESPACHOS!$H$3:$H$3002,MATCH($C1964,DESPACHOS!$B$3:$B$3002,0)),""))</f>
        <v/>
      </c>
      <c r="J1964" s="43">
        <f>IF($C1964="","",IFERROR(INDEX(DESPACHOS!$J$3:$J$3002,MATCH($C1964,DESPACHOS!$B$3:$B$3002,0)),""))</f>
        <v/>
      </c>
      <c r="K1964" s="39">
        <f>IF($C1964="","",IF(COUNTIFS(DESPACHOS!$B$3:$B$3002,$C1964)=0,"NO EXISTE",IF(COUNTIFS(DESPACHOS!$B$3:$B$3002,$C1964)&gt;1,"DUPLICADO","OK")))</f>
        <v/>
      </c>
      <c r="L1964" s="41" t="n"/>
      <c r="M1964" s="41" t="n"/>
      <c r="N1964" s="42">
        <f>IF($M1964="","",IFERROR(INDEX(LISTAS!$F$3:$F$42,MATCH($M1964,LISTAS!$E$3:$E$42,0)),"Por definir"))</f>
        <v/>
      </c>
      <c r="O1964" s="41" t="n"/>
      <c r="P1964" s="39">
        <f>IF($L1964="","",IFERROR(INDEX(LISTAS!$B$3:$B$42,MATCH($L1964,LISTAS!$A$3:$A$42,0)),"Media"))</f>
        <v/>
      </c>
      <c r="Q1964" s="44" t="n"/>
      <c r="R1964" s="45" t="n"/>
      <c r="S1964" s="20">
        <f>IFERROR(IF(OR($R1964="",$C1964=""),"",$R1964/INDEX(DESPACHOS!$M$3:$M$3002,MATCH($C1964,DESPACHOS!$B$3:$B$3002,0))),"")</f>
        <v/>
      </c>
      <c r="T1964" s="41" t="n"/>
      <c r="U1964" s="43">
        <f>IF(OR($B1964="",$L1964=""),"",WORKDAY($B1964,IFERROR(INDEX(LISTAS!$C$3:$C$42,MATCH($L1964,LISTAS!$A$3:$A$42,0)),3)))</f>
        <v/>
      </c>
      <c r="V1964" s="40" t="n"/>
      <c r="W1964" s="19">
        <f>IF($B1964="","",IF($V1964&lt;&gt;"",$V1964-$B1964,TODAY()-$B1964))</f>
        <v/>
      </c>
      <c r="X1964" s="19">
        <f>IF(OR($B1964="",$U1964=""),"",IF($V1964&lt;&gt;"",MAX(0,$V1964-$U1964),MAX(0,TODAY()-$U1964)))</f>
        <v/>
      </c>
      <c r="Y1964" s="39">
        <f>IF($C1964="","",IF(IFERROR(INDEX(LISTAS!$I$3:$I$42,MATCH($T1964,LISTAS!$H$3:$H$42,0)),"NO")="SÍ",IF(N($X1964)&gt;0,"CERRADA FUERA DE SLA","CERRADA EN SLA"),IF($U1964="","SIN CLASIFICAR",IF(N($X1964)&gt;0,"VENCIDA",IF(TODAY()&gt;=$U1964-1,"POR VENCER","EN PLAZO")))))</f>
        <v/>
      </c>
      <c r="Z1964" s="41" t="n"/>
      <c r="AA1964" s="41" t="n"/>
      <c r="AB1964" s="41" t="n"/>
    </row>
    <row r="1965">
      <c r="A1965" s="39">
        <f>IF($C1965="","","NOV-"&amp;TEXT(ROW()-3,"0000"))</f>
        <v/>
      </c>
      <c r="B1965" s="40" t="n"/>
      <c r="C1965" s="41" t="n"/>
      <c r="D1965" s="42">
        <f>IF($C1965="","",IFERROR(INDEX(DESPACHOS!$D$3:$D$3002,MATCH($C1965,DESPACHOS!$B$3:$B$3002,0)),"SIN DESPACHO"))</f>
        <v/>
      </c>
      <c r="E1965" s="42">
        <f>IF($C1965="","",IFERROR(INDEX(DESPACHOS!$K$3:$K$3002,MATCH($C1965,DESPACHOS!$B$3:$B$3002,0)),""))</f>
        <v/>
      </c>
      <c r="F1965" s="42">
        <f>IF($C1965="","",IFERROR(INDEX(DESPACHOS!$I$3:$I$3002,MATCH($C1965,DESPACHOS!$B$3:$B$3002,0)),""))</f>
        <v/>
      </c>
      <c r="G1965" s="42">
        <f>IF($C1965="","",IFERROR(INDEX(DESPACHOS!$F$3:$F$3002,MATCH($C1965,DESPACHOS!$B$3:$B$3002,0)),""))</f>
        <v/>
      </c>
      <c r="H1965" s="42">
        <f>IF($C1965="","",IFERROR(INDEX(DESPACHOS!$G$3:$G$3002,MATCH($C1965,DESPACHOS!$B$3:$B$3002,0)),""))</f>
        <v/>
      </c>
      <c r="I1965" s="39">
        <f>IF($C1965="","",IFERROR(INDEX(DESPACHOS!$H$3:$H$3002,MATCH($C1965,DESPACHOS!$B$3:$B$3002,0)),""))</f>
        <v/>
      </c>
      <c r="J1965" s="43">
        <f>IF($C1965="","",IFERROR(INDEX(DESPACHOS!$J$3:$J$3002,MATCH($C1965,DESPACHOS!$B$3:$B$3002,0)),""))</f>
        <v/>
      </c>
      <c r="K1965" s="39">
        <f>IF($C1965="","",IF(COUNTIFS(DESPACHOS!$B$3:$B$3002,$C1965)=0,"NO EXISTE",IF(COUNTIFS(DESPACHOS!$B$3:$B$3002,$C1965)&gt;1,"DUPLICADO","OK")))</f>
        <v/>
      </c>
      <c r="L1965" s="41" t="n"/>
      <c r="M1965" s="41" t="n"/>
      <c r="N1965" s="42">
        <f>IF($M1965="","",IFERROR(INDEX(LISTAS!$F$3:$F$42,MATCH($M1965,LISTAS!$E$3:$E$42,0)),"Por definir"))</f>
        <v/>
      </c>
      <c r="O1965" s="41" t="n"/>
      <c r="P1965" s="39">
        <f>IF($L1965="","",IFERROR(INDEX(LISTAS!$B$3:$B$42,MATCH($L1965,LISTAS!$A$3:$A$42,0)),"Media"))</f>
        <v/>
      </c>
      <c r="Q1965" s="44" t="n"/>
      <c r="R1965" s="45" t="n"/>
      <c r="S1965" s="20">
        <f>IFERROR(IF(OR($R1965="",$C1965=""),"",$R1965/INDEX(DESPACHOS!$M$3:$M$3002,MATCH($C1965,DESPACHOS!$B$3:$B$3002,0))),"")</f>
        <v/>
      </c>
      <c r="T1965" s="41" t="n"/>
      <c r="U1965" s="43">
        <f>IF(OR($B1965="",$L1965=""),"",WORKDAY($B1965,IFERROR(INDEX(LISTAS!$C$3:$C$42,MATCH($L1965,LISTAS!$A$3:$A$42,0)),3)))</f>
        <v/>
      </c>
      <c r="V1965" s="40" t="n"/>
      <c r="W1965" s="19">
        <f>IF($B1965="","",IF($V1965&lt;&gt;"",$V1965-$B1965,TODAY()-$B1965))</f>
        <v/>
      </c>
      <c r="X1965" s="19">
        <f>IF(OR($B1965="",$U1965=""),"",IF($V1965&lt;&gt;"",MAX(0,$V1965-$U1965),MAX(0,TODAY()-$U1965)))</f>
        <v/>
      </c>
      <c r="Y1965" s="39">
        <f>IF($C1965="","",IF(IFERROR(INDEX(LISTAS!$I$3:$I$42,MATCH($T1965,LISTAS!$H$3:$H$42,0)),"NO")="SÍ",IF(N($X1965)&gt;0,"CERRADA FUERA DE SLA","CERRADA EN SLA"),IF($U1965="","SIN CLASIFICAR",IF(N($X1965)&gt;0,"VENCIDA",IF(TODAY()&gt;=$U1965-1,"POR VENCER","EN PLAZO")))))</f>
        <v/>
      </c>
      <c r="Z1965" s="41" t="n"/>
      <c r="AA1965" s="41" t="n"/>
      <c r="AB1965" s="41" t="n"/>
    </row>
    <row r="1966">
      <c r="A1966" s="39">
        <f>IF($C1966="","","NOV-"&amp;TEXT(ROW()-3,"0000"))</f>
        <v/>
      </c>
      <c r="B1966" s="40" t="n"/>
      <c r="C1966" s="41" t="n"/>
      <c r="D1966" s="42">
        <f>IF($C1966="","",IFERROR(INDEX(DESPACHOS!$D$3:$D$3002,MATCH($C1966,DESPACHOS!$B$3:$B$3002,0)),"SIN DESPACHO"))</f>
        <v/>
      </c>
      <c r="E1966" s="42">
        <f>IF($C1966="","",IFERROR(INDEX(DESPACHOS!$K$3:$K$3002,MATCH($C1966,DESPACHOS!$B$3:$B$3002,0)),""))</f>
        <v/>
      </c>
      <c r="F1966" s="42">
        <f>IF($C1966="","",IFERROR(INDEX(DESPACHOS!$I$3:$I$3002,MATCH($C1966,DESPACHOS!$B$3:$B$3002,0)),""))</f>
        <v/>
      </c>
      <c r="G1966" s="42">
        <f>IF($C1966="","",IFERROR(INDEX(DESPACHOS!$F$3:$F$3002,MATCH($C1966,DESPACHOS!$B$3:$B$3002,0)),""))</f>
        <v/>
      </c>
      <c r="H1966" s="42">
        <f>IF($C1966="","",IFERROR(INDEX(DESPACHOS!$G$3:$G$3002,MATCH($C1966,DESPACHOS!$B$3:$B$3002,0)),""))</f>
        <v/>
      </c>
      <c r="I1966" s="39">
        <f>IF($C1966="","",IFERROR(INDEX(DESPACHOS!$H$3:$H$3002,MATCH($C1966,DESPACHOS!$B$3:$B$3002,0)),""))</f>
        <v/>
      </c>
      <c r="J1966" s="43">
        <f>IF($C1966="","",IFERROR(INDEX(DESPACHOS!$J$3:$J$3002,MATCH($C1966,DESPACHOS!$B$3:$B$3002,0)),""))</f>
        <v/>
      </c>
      <c r="K1966" s="39">
        <f>IF($C1966="","",IF(COUNTIFS(DESPACHOS!$B$3:$B$3002,$C1966)=0,"NO EXISTE",IF(COUNTIFS(DESPACHOS!$B$3:$B$3002,$C1966)&gt;1,"DUPLICADO","OK")))</f>
        <v/>
      </c>
      <c r="L1966" s="41" t="n"/>
      <c r="M1966" s="41" t="n"/>
      <c r="N1966" s="42">
        <f>IF($M1966="","",IFERROR(INDEX(LISTAS!$F$3:$F$42,MATCH($M1966,LISTAS!$E$3:$E$42,0)),"Por definir"))</f>
        <v/>
      </c>
      <c r="O1966" s="41" t="n"/>
      <c r="P1966" s="39">
        <f>IF($L1966="","",IFERROR(INDEX(LISTAS!$B$3:$B$42,MATCH($L1966,LISTAS!$A$3:$A$42,0)),"Media"))</f>
        <v/>
      </c>
      <c r="Q1966" s="44" t="n"/>
      <c r="R1966" s="45" t="n"/>
      <c r="S1966" s="20">
        <f>IFERROR(IF(OR($R1966="",$C1966=""),"",$R1966/INDEX(DESPACHOS!$M$3:$M$3002,MATCH($C1966,DESPACHOS!$B$3:$B$3002,0))),"")</f>
        <v/>
      </c>
      <c r="T1966" s="41" t="n"/>
      <c r="U1966" s="43">
        <f>IF(OR($B1966="",$L1966=""),"",WORKDAY($B1966,IFERROR(INDEX(LISTAS!$C$3:$C$42,MATCH($L1966,LISTAS!$A$3:$A$42,0)),3)))</f>
        <v/>
      </c>
      <c r="V1966" s="40" t="n"/>
      <c r="W1966" s="19">
        <f>IF($B1966="","",IF($V1966&lt;&gt;"",$V1966-$B1966,TODAY()-$B1966))</f>
        <v/>
      </c>
      <c r="X1966" s="19">
        <f>IF(OR($B1966="",$U1966=""),"",IF($V1966&lt;&gt;"",MAX(0,$V1966-$U1966),MAX(0,TODAY()-$U1966)))</f>
        <v/>
      </c>
      <c r="Y1966" s="39">
        <f>IF($C1966="","",IF(IFERROR(INDEX(LISTAS!$I$3:$I$42,MATCH($T1966,LISTAS!$H$3:$H$42,0)),"NO")="SÍ",IF(N($X1966)&gt;0,"CERRADA FUERA DE SLA","CERRADA EN SLA"),IF($U1966="","SIN CLASIFICAR",IF(N($X1966)&gt;0,"VENCIDA",IF(TODAY()&gt;=$U1966-1,"POR VENCER","EN PLAZO")))))</f>
        <v/>
      </c>
      <c r="Z1966" s="41" t="n"/>
      <c r="AA1966" s="41" t="n"/>
      <c r="AB1966" s="41" t="n"/>
    </row>
    <row r="1967">
      <c r="A1967" s="39">
        <f>IF($C1967="","","NOV-"&amp;TEXT(ROW()-3,"0000"))</f>
        <v/>
      </c>
      <c r="B1967" s="40" t="n"/>
      <c r="C1967" s="41" t="n"/>
      <c r="D1967" s="42">
        <f>IF($C1967="","",IFERROR(INDEX(DESPACHOS!$D$3:$D$3002,MATCH($C1967,DESPACHOS!$B$3:$B$3002,0)),"SIN DESPACHO"))</f>
        <v/>
      </c>
      <c r="E1967" s="42">
        <f>IF($C1967="","",IFERROR(INDEX(DESPACHOS!$K$3:$K$3002,MATCH($C1967,DESPACHOS!$B$3:$B$3002,0)),""))</f>
        <v/>
      </c>
      <c r="F1967" s="42">
        <f>IF($C1967="","",IFERROR(INDEX(DESPACHOS!$I$3:$I$3002,MATCH($C1967,DESPACHOS!$B$3:$B$3002,0)),""))</f>
        <v/>
      </c>
      <c r="G1967" s="42">
        <f>IF($C1967="","",IFERROR(INDEX(DESPACHOS!$F$3:$F$3002,MATCH($C1967,DESPACHOS!$B$3:$B$3002,0)),""))</f>
        <v/>
      </c>
      <c r="H1967" s="42">
        <f>IF($C1967="","",IFERROR(INDEX(DESPACHOS!$G$3:$G$3002,MATCH($C1967,DESPACHOS!$B$3:$B$3002,0)),""))</f>
        <v/>
      </c>
      <c r="I1967" s="39">
        <f>IF($C1967="","",IFERROR(INDEX(DESPACHOS!$H$3:$H$3002,MATCH($C1967,DESPACHOS!$B$3:$B$3002,0)),""))</f>
        <v/>
      </c>
      <c r="J1967" s="43">
        <f>IF($C1967="","",IFERROR(INDEX(DESPACHOS!$J$3:$J$3002,MATCH($C1967,DESPACHOS!$B$3:$B$3002,0)),""))</f>
        <v/>
      </c>
      <c r="K1967" s="39">
        <f>IF($C1967="","",IF(COUNTIFS(DESPACHOS!$B$3:$B$3002,$C1967)=0,"NO EXISTE",IF(COUNTIFS(DESPACHOS!$B$3:$B$3002,$C1967)&gt;1,"DUPLICADO","OK")))</f>
        <v/>
      </c>
      <c r="L1967" s="41" t="n"/>
      <c r="M1967" s="41" t="n"/>
      <c r="N1967" s="42">
        <f>IF($M1967="","",IFERROR(INDEX(LISTAS!$F$3:$F$42,MATCH($M1967,LISTAS!$E$3:$E$42,0)),"Por definir"))</f>
        <v/>
      </c>
      <c r="O1967" s="41" t="n"/>
      <c r="P1967" s="39">
        <f>IF($L1967="","",IFERROR(INDEX(LISTAS!$B$3:$B$42,MATCH($L1967,LISTAS!$A$3:$A$42,0)),"Media"))</f>
        <v/>
      </c>
      <c r="Q1967" s="44" t="n"/>
      <c r="R1967" s="45" t="n"/>
      <c r="S1967" s="20">
        <f>IFERROR(IF(OR($R1967="",$C1967=""),"",$R1967/INDEX(DESPACHOS!$M$3:$M$3002,MATCH($C1967,DESPACHOS!$B$3:$B$3002,0))),"")</f>
        <v/>
      </c>
      <c r="T1967" s="41" t="n"/>
      <c r="U1967" s="43">
        <f>IF(OR($B1967="",$L1967=""),"",WORKDAY($B1967,IFERROR(INDEX(LISTAS!$C$3:$C$42,MATCH($L1967,LISTAS!$A$3:$A$42,0)),3)))</f>
        <v/>
      </c>
      <c r="V1967" s="40" t="n"/>
      <c r="W1967" s="19">
        <f>IF($B1967="","",IF($V1967&lt;&gt;"",$V1967-$B1967,TODAY()-$B1967))</f>
        <v/>
      </c>
      <c r="X1967" s="19">
        <f>IF(OR($B1967="",$U1967=""),"",IF($V1967&lt;&gt;"",MAX(0,$V1967-$U1967),MAX(0,TODAY()-$U1967)))</f>
        <v/>
      </c>
      <c r="Y1967" s="39">
        <f>IF($C1967="","",IF(IFERROR(INDEX(LISTAS!$I$3:$I$42,MATCH($T1967,LISTAS!$H$3:$H$42,0)),"NO")="SÍ",IF(N($X1967)&gt;0,"CERRADA FUERA DE SLA","CERRADA EN SLA"),IF($U1967="","SIN CLASIFICAR",IF(N($X1967)&gt;0,"VENCIDA",IF(TODAY()&gt;=$U1967-1,"POR VENCER","EN PLAZO")))))</f>
        <v/>
      </c>
      <c r="Z1967" s="41" t="n"/>
      <c r="AA1967" s="41" t="n"/>
      <c r="AB1967" s="41" t="n"/>
    </row>
    <row r="1968">
      <c r="A1968" s="39">
        <f>IF($C1968="","","NOV-"&amp;TEXT(ROW()-3,"0000"))</f>
        <v/>
      </c>
      <c r="B1968" s="40" t="n"/>
      <c r="C1968" s="41" t="n"/>
      <c r="D1968" s="42">
        <f>IF($C1968="","",IFERROR(INDEX(DESPACHOS!$D$3:$D$3002,MATCH($C1968,DESPACHOS!$B$3:$B$3002,0)),"SIN DESPACHO"))</f>
        <v/>
      </c>
      <c r="E1968" s="42">
        <f>IF($C1968="","",IFERROR(INDEX(DESPACHOS!$K$3:$K$3002,MATCH($C1968,DESPACHOS!$B$3:$B$3002,0)),""))</f>
        <v/>
      </c>
      <c r="F1968" s="42">
        <f>IF($C1968="","",IFERROR(INDEX(DESPACHOS!$I$3:$I$3002,MATCH($C1968,DESPACHOS!$B$3:$B$3002,0)),""))</f>
        <v/>
      </c>
      <c r="G1968" s="42">
        <f>IF($C1968="","",IFERROR(INDEX(DESPACHOS!$F$3:$F$3002,MATCH($C1968,DESPACHOS!$B$3:$B$3002,0)),""))</f>
        <v/>
      </c>
      <c r="H1968" s="42">
        <f>IF($C1968="","",IFERROR(INDEX(DESPACHOS!$G$3:$G$3002,MATCH($C1968,DESPACHOS!$B$3:$B$3002,0)),""))</f>
        <v/>
      </c>
      <c r="I1968" s="39">
        <f>IF($C1968="","",IFERROR(INDEX(DESPACHOS!$H$3:$H$3002,MATCH($C1968,DESPACHOS!$B$3:$B$3002,0)),""))</f>
        <v/>
      </c>
      <c r="J1968" s="43">
        <f>IF($C1968="","",IFERROR(INDEX(DESPACHOS!$J$3:$J$3002,MATCH($C1968,DESPACHOS!$B$3:$B$3002,0)),""))</f>
        <v/>
      </c>
      <c r="K1968" s="39">
        <f>IF($C1968="","",IF(COUNTIFS(DESPACHOS!$B$3:$B$3002,$C1968)=0,"NO EXISTE",IF(COUNTIFS(DESPACHOS!$B$3:$B$3002,$C1968)&gt;1,"DUPLICADO","OK")))</f>
        <v/>
      </c>
      <c r="L1968" s="41" t="n"/>
      <c r="M1968" s="41" t="n"/>
      <c r="N1968" s="42">
        <f>IF($M1968="","",IFERROR(INDEX(LISTAS!$F$3:$F$42,MATCH($M1968,LISTAS!$E$3:$E$42,0)),"Por definir"))</f>
        <v/>
      </c>
      <c r="O1968" s="41" t="n"/>
      <c r="P1968" s="39">
        <f>IF($L1968="","",IFERROR(INDEX(LISTAS!$B$3:$B$42,MATCH($L1968,LISTAS!$A$3:$A$42,0)),"Media"))</f>
        <v/>
      </c>
      <c r="Q1968" s="44" t="n"/>
      <c r="R1968" s="45" t="n"/>
      <c r="S1968" s="20">
        <f>IFERROR(IF(OR($R1968="",$C1968=""),"",$R1968/INDEX(DESPACHOS!$M$3:$M$3002,MATCH($C1968,DESPACHOS!$B$3:$B$3002,0))),"")</f>
        <v/>
      </c>
      <c r="T1968" s="41" t="n"/>
      <c r="U1968" s="43">
        <f>IF(OR($B1968="",$L1968=""),"",WORKDAY($B1968,IFERROR(INDEX(LISTAS!$C$3:$C$42,MATCH($L1968,LISTAS!$A$3:$A$42,0)),3)))</f>
        <v/>
      </c>
      <c r="V1968" s="40" t="n"/>
      <c r="W1968" s="19">
        <f>IF($B1968="","",IF($V1968&lt;&gt;"",$V1968-$B1968,TODAY()-$B1968))</f>
        <v/>
      </c>
      <c r="X1968" s="19">
        <f>IF(OR($B1968="",$U1968=""),"",IF($V1968&lt;&gt;"",MAX(0,$V1968-$U1968),MAX(0,TODAY()-$U1968)))</f>
        <v/>
      </c>
      <c r="Y1968" s="39">
        <f>IF($C1968="","",IF(IFERROR(INDEX(LISTAS!$I$3:$I$42,MATCH($T1968,LISTAS!$H$3:$H$42,0)),"NO")="SÍ",IF(N($X1968)&gt;0,"CERRADA FUERA DE SLA","CERRADA EN SLA"),IF($U1968="","SIN CLASIFICAR",IF(N($X1968)&gt;0,"VENCIDA",IF(TODAY()&gt;=$U1968-1,"POR VENCER","EN PLAZO")))))</f>
        <v/>
      </c>
      <c r="Z1968" s="41" t="n"/>
      <c r="AA1968" s="41" t="n"/>
      <c r="AB1968" s="41" t="n"/>
    </row>
    <row r="1969">
      <c r="A1969" s="39">
        <f>IF($C1969="","","NOV-"&amp;TEXT(ROW()-3,"0000"))</f>
        <v/>
      </c>
      <c r="B1969" s="40" t="n"/>
      <c r="C1969" s="41" t="n"/>
      <c r="D1969" s="42">
        <f>IF($C1969="","",IFERROR(INDEX(DESPACHOS!$D$3:$D$3002,MATCH($C1969,DESPACHOS!$B$3:$B$3002,0)),"SIN DESPACHO"))</f>
        <v/>
      </c>
      <c r="E1969" s="42">
        <f>IF($C1969="","",IFERROR(INDEX(DESPACHOS!$K$3:$K$3002,MATCH($C1969,DESPACHOS!$B$3:$B$3002,0)),""))</f>
        <v/>
      </c>
      <c r="F1969" s="42">
        <f>IF($C1969="","",IFERROR(INDEX(DESPACHOS!$I$3:$I$3002,MATCH($C1969,DESPACHOS!$B$3:$B$3002,0)),""))</f>
        <v/>
      </c>
      <c r="G1969" s="42">
        <f>IF($C1969="","",IFERROR(INDEX(DESPACHOS!$F$3:$F$3002,MATCH($C1969,DESPACHOS!$B$3:$B$3002,0)),""))</f>
        <v/>
      </c>
      <c r="H1969" s="42">
        <f>IF($C1969="","",IFERROR(INDEX(DESPACHOS!$G$3:$G$3002,MATCH($C1969,DESPACHOS!$B$3:$B$3002,0)),""))</f>
        <v/>
      </c>
      <c r="I1969" s="39">
        <f>IF($C1969="","",IFERROR(INDEX(DESPACHOS!$H$3:$H$3002,MATCH($C1969,DESPACHOS!$B$3:$B$3002,0)),""))</f>
        <v/>
      </c>
      <c r="J1969" s="43">
        <f>IF($C1969="","",IFERROR(INDEX(DESPACHOS!$J$3:$J$3002,MATCH($C1969,DESPACHOS!$B$3:$B$3002,0)),""))</f>
        <v/>
      </c>
      <c r="K1969" s="39">
        <f>IF($C1969="","",IF(COUNTIFS(DESPACHOS!$B$3:$B$3002,$C1969)=0,"NO EXISTE",IF(COUNTIFS(DESPACHOS!$B$3:$B$3002,$C1969)&gt;1,"DUPLICADO","OK")))</f>
        <v/>
      </c>
      <c r="L1969" s="41" t="n"/>
      <c r="M1969" s="41" t="n"/>
      <c r="N1969" s="42">
        <f>IF($M1969="","",IFERROR(INDEX(LISTAS!$F$3:$F$42,MATCH($M1969,LISTAS!$E$3:$E$42,0)),"Por definir"))</f>
        <v/>
      </c>
      <c r="O1969" s="41" t="n"/>
      <c r="P1969" s="39">
        <f>IF($L1969="","",IFERROR(INDEX(LISTAS!$B$3:$B$42,MATCH($L1969,LISTAS!$A$3:$A$42,0)),"Media"))</f>
        <v/>
      </c>
      <c r="Q1969" s="44" t="n"/>
      <c r="R1969" s="45" t="n"/>
      <c r="S1969" s="20">
        <f>IFERROR(IF(OR($R1969="",$C1969=""),"",$R1969/INDEX(DESPACHOS!$M$3:$M$3002,MATCH($C1969,DESPACHOS!$B$3:$B$3002,0))),"")</f>
        <v/>
      </c>
      <c r="T1969" s="41" t="n"/>
      <c r="U1969" s="43">
        <f>IF(OR($B1969="",$L1969=""),"",WORKDAY($B1969,IFERROR(INDEX(LISTAS!$C$3:$C$42,MATCH($L1969,LISTAS!$A$3:$A$42,0)),3)))</f>
        <v/>
      </c>
      <c r="V1969" s="40" t="n"/>
      <c r="W1969" s="19">
        <f>IF($B1969="","",IF($V1969&lt;&gt;"",$V1969-$B1969,TODAY()-$B1969))</f>
        <v/>
      </c>
      <c r="X1969" s="19">
        <f>IF(OR($B1969="",$U1969=""),"",IF($V1969&lt;&gt;"",MAX(0,$V1969-$U1969),MAX(0,TODAY()-$U1969)))</f>
        <v/>
      </c>
      <c r="Y1969" s="39">
        <f>IF($C1969="","",IF(IFERROR(INDEX(LISTAS!$I$3:$I$42,MATCH($T1969,LISTAS!$H$3:$H$42,0)),"NO")="SÍ",IF(N($X1969)&gt;0,"CERRADA FUERA DE SLA","CERRADA EN SLA"),IF($U1969="","SIN CLASIFICAR",IF(N($X1969)&gt;0,"VENCIDA",IF(TODAY()&gt;=$U1969-1,"POR VENCER","EN PLAZO")))))</f>
        <v/>
      </c>
      <c r="Z1969" s="41" t="n"/>
      <c r="AA1969" s="41" t="n"/>
      <c r="AB1969" s="41" t="n"/>
    </row>
    <row r="1970">
      <c r="A1970" s="39">
        <f>IF($C1970="","","NOV-"&amp;TEXT(ROW()-3,"0000"))</f>
        <v/>
      </c>
      <c r="B1970" s="40" t="n"/>
      <c r="C1970" s="41" t="n"/>
      <c r="D1970" s="42">
        <f>IF($C1970="","",IFERROR(INDEX(DESPACHOS!$D$3:$D$3002,MATCH($C1970,DESPACHOS!$B$3:$B$3002,0)),"SIN DESPACHO"))</f>
        <v/>
      </c>
      <c r="E1970" s="42">
        <f>IF($C1970="","",IFERROR(INDEX(DESPACHOS!$K$3:$K$3002,MATCH($C1970,DESPACHOS!$B$3:$B$3002,0)),""))</f>
        <v/>
      </c>
      <c r="F1970" s="42">
        <f>IF($C1970="","",IFERROR(INDEX(DESPACHOS!$I$3:$I$3002,MATCH($C1970,DESPACHOS!$B$3:$B$3002,0)),""))</f>
        <v/>
      </c>
      <c r="G1970" s="42">
        <f>IF($C1970="","",IFERROR(INDEX(DESPACHOS!$F$3:$F$3002,MATCH($C1970,DESPACHOS!$B$3:$B$3002,0)),""))</f>
        <v/>
      </c>
      <c r="H1970" s="42">
        <f>IF($C1970="","",IFERROR(INDEX(DESPACHOS!$G$3:$G$3002,MATCH($C1970,DESPACHOS!$B$3:$B$3002,0)),""))</f>
        <v/>
      </c>
      <c r="I1970" s="39">
        <f>IF($C1970="","",IFERROR(INDEX(DESPACHOS!$H$3:$H$3002,MATCH($C1970,DESPACHOS!$B$3:$B$3002,0)),""))</f>
        <v/>
      </c>
      <c r="J1970" s="43">
        <f>IF($C1970="","",IFERROR(INDEX(DESPACHOS!$J$3:$J$3002,MATCH($C1970,DESPACHOS!$B$3:$B$3002,0)),""))</f>
        <v/>
      </c>
      <c r="K1970" s="39">
        <f>IF($C1970="","",IF(COUNTIFS(DESPACHOS!$B$3:$B$3002,$C1970)=0,"NO EXISTE",IF(COUNTIFS(DESPACHOS!$B$3:$B$3002,$C1970)&gt;1,"DUPLICADO","OK")))</f>
        <v/>
      </c>
      <c r="L1970" s="41" t="n"/>
      <c r="M1970" s="41" t="n"/>
      <c r="N1970" s="42">
        <f>IF($M1970="","",IFERROR(INDEX(LISTAS!$F$3:$F$42,MATCH($M1970,LISTAS!$E$3:$E$42,0)),"Por definir"))</f>
        <v/>
      </c>
      <c r="O1970" s="41" t="n"/>
      <c r="P1970" s="39">
        <f>IF($L1970="","",IFERROR(INDEX(LISTAS!$B$3:$B$42,MATCH($L1970,LISTAS!$A$3:$A$42,0)),"Media"))</f>
        <v/>
      </c>
      <c r="Q1970" s="44" t="n"/>
      <c r="R1970" s="45" t="n"/>
      <c r="S1970" s="20">
        <f>IFERROR(IF(OR($R1970="",$C1970=""),"",$R1970/INDEX(DESPACHOS!$M$3:$M$3002,MATCH($C1970,DESPACHOS!$B$3:$B$3002,0))),"")</f>
        <v/>
      </c>
      <c r="T1970" s="41" t="n"/>
      <c r="U1970" s="43">
        <f>IF(OR($B1970="",$L1970=""),"",WORKDAY($B1970,IFERROR(INDEX(LISTAS!$C$3:$C$42,MATCH($L1970,LISTAS!$A$3:$A$42,0)),3)))</f>
        <v/>
      </c>
      <c r="V1970" s="40" t="n"/>
      <c r="W1970" s="19">
        <f>IF($B1970="","",IF($V1970&lt;&gt;"",$V1970-$B1970,TODAY()-$B1970))</f>
        <v/>
      </c>
      <c r="X1970" s="19">
        <f>IF(OR($B1970="",$U1970=""),"",IF($V1970&lt;&gt;"",MAX(0,$V1970-$U1970),MAX(0,TODAY()-$U1970)))</f>
        <v/>
      </c>
      <c r="Y1970" s="39">
        <f>IF($C1970="","",IF(IFERROR(INDEX(LISTAS!$I$3:$I$42,MATCH($T1970,LISTAS!$H$3:$H$42,0)),"NO")="SÍ",IF(N($X1970)&gt;0,"CERRADA FUERA DE SLA","CERRADA EN SLA"),IF($U1970="","SIN CLASIFICAR",IF(N($X1970)&gt;0,"VENCIDA",IF(TODAY()&gt;=$U1970-1,"POR VENCER","EN PLAZO")))))</f>
        <v/>
      </c>
      <c r="Z1970" s="41" t="n"/>
      <c r="AA1970" s="41" t="n"/>
      <c r="AB1970" s="41" t="n"/>
    </row>
    <row r="1971">
      <c r="A1971" s="39">
        <f>IF($C1971="","","NOV-"&amp;TEXT(ROW()-3,"0000"))</f>
        <v/>
      </c>
      <c r="B1971" s="40" t="n"/>
      <c r="C1971" s="41" t="n"/>
      <c r="D1971" s="42">
        <f>IF($C1971="","",IFERROR(INDEX(DESPACHOS!$D$3:$D$3002,MATCH($C1971,DESPACHOS!$B$3:$B$3002,0)),"SIN DESPACHO"))</f>
        <v/>
      </c>
      <c r="E1971" s="42">
        <f>IF($C1971="","",IFERROR(INDEX(DESPACHOS!$K$3:$K$3002,MATCH($C1971,DESPACHOS!$B$3:$B$3002,0)),""))</f>
        <v/>
      </c>
      <c r="F1971" s="42">
        <f>IF($C1971="","",IFERROR(INDEX(DESPACHOS!$I$3:$I$3002,MATCH($C1971,DESPACHOS!$B$3:$B$3002,0)),""))</f>
        <v/>
      </c>
      <c r="G1971" s="42">
        <f>IF($C1971="","",IFERROR(INDEX(DESPACHOS!$F$3:$F$3002,MATCH($C1971,DESPACHOS!$B$3:$B$3002,0)),""))</f>
        <v/>
      </c>
      <c r="H1971" s="42">
        <f>IF($C1971="","",IFERROR(INDEX(DESPACHOS!$G$3:$G$3002,MATCH($C1971,DESPACHOS!$B$3:$B$3002,0)),""))</f>
        <v/>
      </c>
      <c r="I1971" s="39">
        <f>IF($C1971="","",IFERROR(INDEX(DESPACHOS!$H$3:$H$3002,MATCH($C1971,DESPACHOS!$B$3:$B$3002,0)),""))</f>
        <v/>
      </c>
      <c r="J1971" s="43">
        <f>IF($C1971="","",IFERROR(INDEX(DESPACHOS!$J$3:$J$3002,MATCH($C1971,DESPACHOS!$B$3:$B$3002,0)),""))</f>
        <v/>
      </c>
      <c r="K1971" s="39">
        <f>IF($C1971="","",IF(COUNTIFS(DESPACHOS!$B$3:$B$3002,$C1971)=0,"NO EXISTE",IF(COUNTIFS(DESPACHOS!$B$3:$B$3002,$C1971)&gt;1,"DUPLICADO","OK")))</f>
        <v/>
      </c>
      <c r="L1971" s="41" t="n"/>
      <c r="M1971" s="41" t="n"/>
      <c r="N1971" s="42">
        <f>IF($M1971="","",IFERROR(INDEX(LISTAS!$F$3:$F$42,MATCH($M1971,LISTAS!$E$3:$E$42,0)),"Por definir"))</f>
        <v/>
      </c>
      <c r="O1971" s="41" t="n"/>
      <c r="P1971" s="39">
        <f>IF($L1971="","",IFERROR(INDEX(LISTAS!$B$3:$B$42,MATCH($L1971,LISTAS!$A$3:$A$42,0)),"Media"))</f>
        <v/>
      </c>
      <c r="Q1971" s="44" t="n"/>
      <c r="R1971" s="45" t="n"/>
      <c r="S1971" s="20">
        <f>IFERROR(IF(OR($R1971="",$C1971=""),"",$R1971/INDEX(DESPACHOS!$M$3:$M$3002,MATCH($C1971,DESPACHOS!$B$3:$B$3002,0))),"")</f>
        <v/>
      </c>
      <c r="T1971" s="41" t="n"/>
      <c r="U1971" s="43">
        <f>IF(OR($B1971="",$L1971=""),"",WORKDAY($B1971,IFERROR(INDEX(LISTAS!$C$3:$C$42,MATCH($L1971,LISTAS!$A$3:$A$42,0)),3)))</f>
        <v/>
      </c>
      <c r="V1971" s="40" t="n"/>
      <c r="W1971" s="19">
        <f>IF($B1971="","",IF($V1971&lt;&gt;"",$V1971-$B1971,TODAY()-$B1971))</f>
        <v/>
      </c>
      <c r="X1971" s="19">
        <f>IF(OR($B1971="",$U1971=""),"",IF($V1971&lt;&gt;"",MAX(0,$V1971-$U1971),MAX(0,TODAY()-$U1971)))</f>
        <v/>
      </c>
      <c r="Y1971" s="39">
        <f>IF($C1971="","",IF(IFERROR(INDEX(LISTAS!$I$3:$I$42,MATCH($T1971,LISTAS!$H$3:$H$42,0)),"NO")="SÍ",IF(N($X1971)&gt;0,"CERRADA FUERA DE SLA","CERRADA EN SLA"),IF($U1971="","SIN CLASIFICAR",IF(N($X1971)&gt;0,"VENCIDA",IF(TODAY()&gt;=$U1971-1,"POR VENCER","EN PLAZO")))))</f>
        <v/>
      </c>
      <c r="Z1971" s="41" t="n"/>
      <c r="AA1971" s="41" t="n"/>
      <c r="AB1971" s="41" t="n"/>
    </row>
    <row r="1972">
      <c r="A1972" s="39">
        <f>IF($C1972="","","NOV-"&amp;TEXT(ROW()-3,"0000"))</f>
        <v/>
      </c>
      <c r="B1972" s="40" t="n"/>
      <c r="C1972" s="41" t="n"/>
      <c r="D1972" s="42">
        <f>IF($C1972="","",IFERROR(INDEX(DESPACHOS!$D$3:$D$3002,MATCH($C1972,DESPACHOS!$B$3:$B$3002,0)),"SIN DESPACHO"))</f>
        <v/>
      </c>
      <c r="E1972" s="42">
        <f>IF($C1972="","",IFERROR(INDEX(DESPACHOS!$K$3:$K$3002,MATCH($C1972,DESPACHOS!$B$3:$B$3002,0)),""))</f>
        <v/>
      </c>
      <c r="F1972" s="42">
        <f>IF($C1972="","",IFERROR(INDEX(DESPACHOS!$I$3:$I$3002,MATCH($C1972,DESPACHOS!$B$3:$B$3002,0)),""))</f>
        <v/>
      </c>
      <c r="G1972" s="42">
        <f>IF($C1972="","",IFERROR(INDEX(DESPACHOS!$F$3:$F$3002,MATCH($C1972,DESPACHOS!$B$3:$B$3002,0)),""))</f>
        <v/>
      </c>
      <c r="H1972" s="42">
        <f>IF($C1972="","",IFERROR(INDEX(DESPACHOS!$G$3:$G$3002,MATCH($C1972,DESPACHOS!$B$3:$B$3002,0)),""))</f>
        <v/>
      </c>
      <c r="I1972" s="39">
        <f>IF($C1972="","",IFERROR(INDEX(DESPACHOS!$H$3:$H$3002,MATCH($C1972,DESPACHOS!$B$3:$B$3002,0)),""))</f>
        <v/>
      </c>
      <c r="J1972" s="43">
        <f>IF($C1972="","",IFERROR(INDEX(DESPACHOS!$J$3:$J$3002,MATCH($C1972,DESPACHOS!$B$3:$B$3002,0)),""))</f>
        <v/>
      </c>
      <c r="K1972" s="39">
        <f>IF($C1972="","",IF(COUNTIFS(DESPACHOS!$B$3:$B$3002,$C1972)=0,"NO EXISTE",IF(COUNTIFS(DESPACHOS!$B$3:$B$3002,$C1972)&gt;1,"DUPLICADO","OK")))</f>
        <v/>
      </c>
      <c r="L1972" s="41" t="n"/>
      <c r="M1972" s="41" t="n"/>
      <c r="N1972" s="42">
        <f>IF($M1972="","",IFERROR(INDEX(LISTAS!$F$3:$F$42,MATCH($M1972,LISTAS!$E$3:$E$42,0)),"Por definir"))</f>
        <v/>
      </c>
      <c r="O1972" s="41" t="n"/>
      <c r="P1972" s="39">
        <f>IF($L1972="","",IFERROR(INDEX(LISTAS!$B$3:$B$42,MATCH($L1972,LISTAS!$A$3:$A$42,0)),"Media"))</f>
        <v/>
      </c>
      <c r="Q1972" s="44" t="n"/>
      <c r="R1972" s="45" t="n"/>
      <c r="S1972" s="20">
        <f>IFERROR(IF(OR($R1972="",$C1972=""),"",$R1972/INDEX(DESPACHOS!$M$3:$M$3002,MATCH($C1972,DESPACHOS!$B$3:$B$3002,0))),"")</f>
        <v/>
      </c>
      <c r="T1972" s="41" t="n"/>
      <c r="U1972" s="43">
        <f>IF(OR($B1972="",$L1972=""),"",WORKDAY($B1972,IFERROR(INDEX(LISTAS!$C$3:$C$42,MATCH($L1972,LISTAS!$A$3:$A$42,0)),3)))</f>
        <v/>
      </c>
      <c r="V1972" s="40" t="n"/>
      <c r="W1972" s="19">
        <f>IF($B1972="","",IF($V1972&lt;&gt;"",$V1972-$B1972,TODAY()-$B1972))</f>
        <v/>
      </c>
      <c r="X1972" s="19">
        <f>IF(OR($B1972="",$U1972=""),"",IF($V1972&lt;&gt;"",MAX(0,$V1972-$U1972),MAX(0,TODAY()-$U1972)))</f>
        <v/>
      </c>
      <c r="Y1972" s="39">
        <f>IF($C1972="","",IF(IFERROR(INDEX(LISTAS!$I$3:$I$42,MATCH($T1972,LISTAS!$H$3:$H$42,0)),"NO")="SÍ",IF(N($X1972)&gt;0,"CERRADA FUERA DE SLA","CERRADA EN SLA"),IF($U1972="","SIN CLASIFICAR",IF(N($X1972)&gt;0,"VENCIDA",IF(TODAY()&gt;=$U1972-1,"POR VENCER","EN PLAZO")))))</f>
        <v/>
      </c>
      <c r="Z1972" s="41" t="n"/>
      <c r="AA1972" s="41" t="n"/>
      <c r="AB1972" s="41" t="n"/>
    </row>
    <row r="1973">
      <c r="A1973" s="39">
        <f>IF($C1973="","","NOV-"&amp;TEXT(ROW()-3,"0000"))</f>
        <v/>
      </c>
      <c r="B1973" s="40" t="n"/>
      <c r="C1973" s="41" t="n"/>
      <c r="D1973" s="42">
        <f>IF($C1973="","",IFERROR(INDEX(DESPACHOS!$D$3:$D$3002,MATCH($C1973,DESPACHOS!$B$3:$B$3002,0)),"SIN DESPACHO"))</f>
        <v/>
      </c>
      <c r="E1973" s="42">
        <f>IF($C1973="","",IFERROR(INDEX(DESPACHOS!$K$3:$K$3002,MATCH($C1973,DESPACHOS!$B$3:$B$3002,0)),""))</f>
        <v/>
      </c>
      <c r="F1973" s="42">
        <f>IF($C1973="","",IFERROR(INDEX(DESPACHOS!$I$3:$I$3002,MATCH($C1973,DESPACHOS!$B$3:$B$3002,0)),""))</f>
        <v/>
      </c>
      <c r="G1973" s="42">
        <f>IF($C1973="","",IFERROR(INDEX(DESPACHOS!$F$3:$F$3002,MATCH($C1973,DESPACHOS!$B$3:$B$3002,0)),""))</f>
        <v/>
      </c>
      <c r="H1973" s="42">
        <f>IF($C1973="","",IFERROR(INDEX(DESPACHOS!$G$3:$G$3002,MATCH($C1973,DESPACHOS!$B$3:$B$3002,0)),""))</f>
        <v/>
      </c>
      <c r="I1973" s="39">
        <f>IF($C1973="","",IFERROR(INDEX(DESPACHOS!$H$3:$H$3002,MATCH($C1973,DESPACHOS!$B$3:$B$3002,0)),""))</f>
        <v/>
      </c>
      <c r="J1973" s="43">
        <f>IF($C1973="","",IFERROR(INDEX(DESPACHOS!$J$3:$J$3002,MATCH($C1973,DESPACHOS!$B$3:$B$3002,0)),""))</f>
        <v/>
      </c>
      <c r="K1973" s="39">
        <f>IF($C1973="","",IF(COUNTIFS(DESPACHOS!$B$3:$B$3002,$C1973)=0,"NO EXISTE",IF(COUNTIFS(DESPACHOS!$B$3:$B$3002,$C1973)&gt;1,"DUPLICADO","OK")))</f>
        <v/>
      </c>
      <c r="L1973" s="41" t="n"/>
      <c r="M1973" s="41" t="n"/>
      <c r="N1973" s="42">
        <f>IF($M1973="","",IFERROR(INDEX(LISTAS!$F$3:$F$42,MATCH($M1973,LISTAS!$E$3:$E$42,0)),"Por definir"))</f>
        <v/>
      </c>
      <c r="O1973" s="41" t="n"/>
      <c r="P1973" s="39">
        <f>IF($L1973="","",IFERROR(INDEX(LISTAS!$B$3:$B$42,MATCH($L1973,LISTAS!$A$3:$A$42,0)),"Media"))</f>
        <v/>
      </c>
      <c r="Q1973" s="44" t="n"/>
      <c r="R1973" s="45" t="n"/>
      <c r="S1973" s="20">
        <f>IFERROR(IF(OR($R1973="",$C1973=""),"",$R1973/INDEX(DESPACHOS!$M$3:$M$3002,MATCH($C1973,DESPACHOS!$B$3:$B$3002,0))),"")</f>
        <v/>
      </c>
      <c r="T1973" s="41" t="n"/>
      <c r="U1973" s="43">
        <f>IF(OR($B1973="",$L1973=""),"",WORKDAY($B1973,IFERROR(INDEX(LISTAS!$C$3:$C$42,MATCH($L1973,LISTAS!$A$3:$A$42,0)),3)))</f>
        <v/>
      </c>
      <c r="V1973" s="40" t="n"/>
      <c r="W1973" s="19">
        <f>IF($B1973="","",IF($V1973&lt;&gt;"",$V1973-$B1973,TODAY()-$B1973))</f>
        <v/>
      </c>
      <c r="X1973" s="19">
        <f>IF(OR($B1973="",$U1973=""),"",IF($V1973&lt;&gt;"",MAX(0,$V1973-$U1973),MAX(0,TODAY()-$U1973)))</f>
        <v/>
      </c>
      <c r="Y1973" s="39">
        <f>IF($C1973="","",IF(IFERROR(INDEX(LISTAS!$I$3:$I$42,MATCH($T1973,LISTAS!$H$3:$H$42,0)),"NO")="SÍ",IF(N($X1973)&gt;0,"CERRADA FUERA DE SLA","CERRADA EN SLA"),IF($U1973="","SIN CLASIFICAR",IF(N($X1973)&gt;0,"VENCIDA",IF(TODAY()&gt;=$U1973-1,"POR VENCER","EN PLAZO")))))</f>
        <v/>
      </c>
      <c r="Z1973" s="41" t="n"/>
      <c r="AA1973" s="41" t="n"/>
      <c r="AB1973" s="41" t="n"/>
    </row>
    <row r="1974">
      <c r="A1974" s="39">
        <f>IF($C1974="","","NOV-"&amp;TEXT(ROW()-3,"0000"))</f>
        <v/>
      </c>
      <c r="B1974" s="40" t="n"/>
      <c r="C1974" s="41" t="n"/>
      <c r="D1974" s="42">
        <f>IF($C1974="","",IFERROR(INDEX(DESPACHOS!$D$3:$D$3002,MATCH($C1974,DESPACHOS!$B$3:$B$3002,0)),"SIN DESPACHO"))</f>
        <v/>
      </c>
      <c r="E1974" s="42">
        <f>IF($C1974="","",IFERROR(INDEX(DESPACHOS!$K$3:$K$3002,MATCH($C1974,DESPACHOS!$B$3:$B$3002,0)),""))</f>
        <v/>
      </c>
      <c r="F1974" s="42">
        <f>IF($C1974="","",IFERROR(INDEX(DESPACHOS!$I$3:$I$3002,MATCH($C1974,DESPACHOS!$B$3:$B$3002,0)),""))</f>
        <v/>
      </c>
      <c r="G1974" s="42">
        <f>IF($C1974="","",IFERROR(INDEX(DESPACHOS!$F$3:$F$3002,MATCH($C1974,DESPACHOS!$B$3:$B$3002,0)),""))</f>
        <v/>
      </c>
      <c r="H1974" s="42">
        <f>IF($C1974="","",IFERROR(INDEX(DESPACHOS!$G$3:$G$3002,MATCH($C1974,DESPACHOS!$B$3:$B$3002,0)),""))</f>
        <v/>
      </c>
      <c r="I1974" s="39">
        <f>IF($C1974="","",IFERROR(INDEX(DESPACHOS!$H$3:$H$3002,MATCH($C1974,DESPACHOS!$B$3:$B$3002,0)),""))</f>
        <v/>
      </c>
      <c r="J1974" s="43">
        <f>IF($C1974="","",IFERROR(INDEX(DESPACHOS!$J$3:$J$3002,MATCH($C1974,DESPACHOS!$B$3:$B$3002,0)),""))</f>
        <v/>
      </c>
      <c r="K1974" s="39">
        <f>IF($C1974="","",IF(COUNTIFS(DESPACHOS!$B$3:$B$3002,$C1974)=0,"NO EXISTE",IF(COUNTIFS(DESPACHOS!$B$3:$B$3002,$C1974)&gt;1,"DUPLICADO","OK")))</f>
        <v/>
      </c>
      <c r="L1974" s="41" t="n"/>
      <c r="M1974" s="41" t="n"/>
      <c r="N1974" s="42">
        <f>IF($M1974="","",IFERROR(INDEX(LISTAS!$F$3:$F$42,MATCH($M1974,LISTAS!$E$3:$E$42,0)),"Por definir"))</f>
        <v/>
      </c>
      <c r="O1974" s="41" t="n"/>
      <c r="P1974" s="39">
        <f>IF($L1974="","",IFERROR(INDEX(LISTAS!$B$3:$B$42,MATCH($L1974,LISTAS!$A$3:$A$42,0)),"Media"))</f>
        <v/>
      </c>
      <c r="Q1974" s="44" t="n"/>
      <c r="R1974" s="45" t="n"/>
      <c r="S1974" s="20">
        <f>IFERROR(IF(OR($R1974="",$C1974=""),"",$R1974/INDEX(DESPACHOS!$M$3:$M$3002,MATCH($C1974,DESPACHOS!$B$3:$B$3002,0))),"")</f>
        <v/>
      </c>
      <c r="T1974" s="41" t="n"/>
      <c r="U1974" s="43">
        <f>IF(OR($B1974="",$L1974=""),"",WORKDAY($B1974,IFERROR(INDEX(LISTAS!$C$3:$C$42,MATCH($L1974,LISTAS!$A$3:$A$42,0)),3)))</f>
        <v/>
      </c>
      <c r="V1974" s="40" t="n"/>
      <c r="W1974" s="19">
        <f>IF($B1974="","",IF($V1974&lt;&gt;"",$V1974-$B1974,TODAY()-$B1974))</f>
        <v/>
      </c>
      <c r="X1974" s="19">
        <f>IF(OR($B1974="",$U1974=""),"",IF($V1974&lt;&gt;"",MAX(0,$V1974-$U1974),MAX(0,TODAY()-$U1974)))</f>
        <v/>
      </c>
      <c r="Y1974" s="39">
        <f>IF($C1974="","",IF(IFERROR(INDEX(LISTAS!$I$3:$I$42,MATCH($T1974,LISTAS!$H$3:$H$42,0)),"NO")="SÍ",IF(N($X1974)&gt;0,"CERRADA FUERA DE SLA","CERRADA EN SLA"),IF($U1974="","SIN CLASIFICAR",IF(N($X1974)&gt;0,"VENCIDA",IF(TODAY()&gt;=$U1974-1,"POR VENCER","EN PLAZO")))))</f>
        <v/>
      </c>
      <c r="Z1974" s="41" t="n"/>
      <c r="AA1974" s="41" t="n"/>
      <c r="AB1974" s="41" t="n"/>
    </row>
    <row r="1975">
      <c r="A1975" s="39">
        <f>IF($C1975="","","NOV-"&amp;TEXT(ROW()-3,"0000"))</f>
        <v/>
      </c>
      <c r="B1975" s="40" t="n"/>
      <c r="C1975" s="41" t="n"/>
      <c r="D1975" s="42">
        <f>IF($C1975="","",IFERROR(INDEX(DESPACHOS!$D$3:$D$3002,MATCH($C1975,DESPACHOS!$B$3:$B$3002,0)),"SIN DESPACHO"))</f>
        <v/>
      </c>
      <c r="E1975" s="42">
        <f>IF($C1975="","",IFERROR(INDEX(DESPACHOS!$K$3:$K$3002,MATCH($C1975,DESPACHOS!$B$3:$B$3002,0)),""))</f>
        <v/>
      </c>
      <c r="F1975" s="42">
        <f>IF($C1975="","",IFERROR(INDEX(DESPACHOS!$I$3:$I$3002,MATCH($C1975,DESPACHOS!$B$3:$B$3002,0)),""))</f>
        <v/>
      </c>
      <c r="G1975" s="42">
        <f>IF($C1975="","",IFERROR(INDEX(DESPACHOS!$F$3:$F$3002,MATCH($C1975,DESPACHOS!$B$3:$B$3002,0)),""))</f>
        <v/>
      </c>
      <c r="H1975" s="42">
        <f>IF($C1975="","",IFERROR(INDEX(DESPACHOS!$G$3:$G$3002,MATCH($C1975,DESPACHOS!$B$3:$B$3002,0)),""))</f>
        <v/>
      </c>
      <c r="I1975" s="39">
        <f>IF($C1975="","",IFERROR(INDEX(DESPACHOS!$H$3:$H$3002,MATCH($C1975,DESPACHOS!$B$3:$B$3002,0)),""))</f>
        <v/>
      </c>
      <c r="J1975" s="43">
        <f>IF($C1975="","",IFERROR(INDEX(DESPACHOS!$J$3:$J$3002,MATCH($C1975,DESPACHOS!$B$3:$B$3002,0)),""))</f>
        <v/>
      </c>
      <c r="K1975" s="39">
        <f>IF($C1975="","",IF(COUNTIFS(DESPACHOS!$B$3:$B$3002,$C1975)=0,"NO EXISTE",IF(COUNTIFS(DESPACHOS!$B$3:$B$3002,$C1975)&gt;1,"DUPLICADO","OK")))</f>
        <v/>
      </c>
      <c r="L1975" s="41" t="n"/>
      <c r="M1975" s="41" t="n"/>
      <c r="N1975" s="42">
        <f>IF($M1975="","",IFERROR(INDEX(LISTAS!$F$3:$F$42,MATCH($M1975,LISTAS!$E$3:$E$42,0)),"Por definir"))</f>
        <v/>
      </c>
      <c r="O1975" s="41" t="n"/>
      <c r="P1975" s="39">
        <f>IF($L1975="","",IFERROR(INDEX(LISTAS!$B$3:$B$42,MATCH($L1975,LISTAS!$A$3:$A$42,0)),"Media"))</f>
        <v/>
      </c>
      <c r="Q1975" s="44" t="n"/>
      <c r="R1975" s="45" t="n"/>
      <c r="S1975" s="20">
        <f>IFERROR(IF(OR($R1975="",$C1975=""),"",$R1975/INDEX(DESPACHOS!$M$3:$M$3002,MATCH($C1975,DESPACHOS!$B$3:$B$3002,0))),"")</f>
        <v/>
      </c>
      <c r="T1975" s="41" t="n"/>
      <c r="U1975" s="43">
        <f>IF(OR($B1975="",$L1975=""),"",WORKDAY($B1975,IFERROR(INDEX(LISTAS!$C$3:$C$42,MATCH($L1975,LISTAS!$A$3:$A$42,0)),3)))</f>
        <v/>
      </c>
      <c r="V1975" s="40" t="n"/>
      <c r="W1975" s="19">
        <f>IF($B1975="","",IF($V1975&lt;&gt;"",$V1975-$B1975,TODAY()-$B1975))</f>
        <v/>
      </c>
      <c r="X1975" s="19">
        <f>IF(OR($B1975="",$U1975=""),"",IF($V1975&lt;&gt;"",MAX(0,$V1975-$U1975),MAX(0,TODAY()-$U1975)))</f>
        <v/>
      </c>
      <c r="Y1975" s="39">
        <f>IF($C1975="","",IF(IFERROR(INDEX(LISTAS!$I$3:$I$42,MATCH($T1975,LISTAS!$H$3:$H$42,0)),"NO")="SÍ",IF(N($X1975)&gt;0,"CERRADA FUERA DE SLA","CERRADA EN SLA"),IF($U1975="","SIN CLASIFICAR",IF(N($X1975)&gt;0,"VENCIDA",IF(TODAY()&gt;=$U1975-1,"POR VENCER","EN PLAZO")))))</f>
        <v/>
      </c>
      <c r="Z1975" s="41" t="n"/>
      <c r="AA1975" s="41" t="n"/>
      <c r="AB1975" s="41" t="n"/>
    </row>
    <row r="1976">
      <c r="A1976" s="39">
        <f>IF($C1976="","","NOV-"&amp;TEXT(ROW()-3,"0000"))</f>
        <v/>
      </c>
      <c r="B1976" s="40" t="n"/>
      <c r="C1976" s="41" t="n"/>
      <c r="D1976" s="42">
        <f>IF($C1976="","",IFERROR(INDEX(DESPACHOS!$D$3:$D$3002,MATCH($C1976,DESPACHOS!$B$3:$B$3002,0)),"SIN DESPACHO"))</f>
        <v/>
      </c>
      <c r="E1976" s="42">
        <f>IF($C1976="","",IFERROR(INDEX(DESPACHOS!$K$3:$K$3002,MATCH($C1976,DESPACHOS!$B$3:$B$3002,0)),""))</f>
        <v/>
      </c>
      <c r="F1976" s="42">
        <f>IF($C1976="","",IFERROR(INDEX(DESPACHOS!$I$3:$I$3002,MATCH($C1976,DESPACHOS!$B$3:$B$3002,0)),""))</f>
        <v/>
      </c>
      <c r="G1976" s="42">
        <f>IF($C1976="","",IFERROR(INDEX(DESPACHOS!$F$3:$F$3002,MATCH($C1976,DESPACHOS!$B$3:$B$3002,0)),""))</f>
        <v/>
      </c>
      <c r="H1976" s="42">
        <f>IF($C1976="","",IFERROR(INDEX(DESPACHOS!$G$3:$G$3002,MATCH($C1976,DESPACHOS!$B$3:$B$3002,0)),""))</f>
        <v/>
      </c>
      <c r="I1976" s="39">
        <f>IF($C1976="","",IFERROR(INDEX(DESPACHOS!$H$3:$H$3002,MATCH($C1976,DESPACHOS!$B$3:$B$3002,0)),""))</f>
        <v/>
      </c>
      <c r="J1976" s="43">
        <f>IF($C1976="","",IFERROR(INDEX(DESPACHOS!$J$3:$J$3002,MATCH($C1976,DESPACHOS!$B$3:$B$3002,0)),""))</f>
        <v/>
      </c>
      <c r="K1976" s="39">
        <f>IF($C1976="","",IF(COUNTIFS(DESPACHOS!$B$3:$B$3002,$C1976)=0,"NO EXISTE",IF(COUNTIFS(DESPACHOS!$B$3:$B$3002,$C1976)&gt;1,"DUPLICADO","OK")))</f>
        <v/>
      </c>
      <c r="L1976" s="41" t="n"/>
      <c r="M1976" s="41" t="n"/>
      <c r="N1976" s="42">
        <f>IF($M1976="","",IFERROR(INDEX(LISTAS!$F$3:$F$42,MATCH($M1976,LISTAS!$E$3:$E$42,0)),"Por definir"))</f>
        <v/>
      </c>
      <c r="O1976" s="41" t="n"/>
      <c r="P1976" s="39">
        <f>IF($L1976="","",IFERROR(INDEX(LISTAS!$B$3:$B$42,MATCH($L1976,LISTAS!$A$3:$A$42,0)),"Media"))</f>
        <v/>
      </c>
      <c r="Q1976" s="44" t="n"/>
      <c r="R1976" s="45" t="n"/>
      <c r="S1976" s="20">
        <f>IFERROR(IF(OR($R1976="",$C1976=""),"",$R1976/INDEX(DESPACHOS!$M$3:$M$3002,MATCH($C1976,DESPACHOS!$B$3:$B$3002,0))),"")</f>
        <v/>
      </c>
      <c r="T1976" s="41" t="n"/>
      <c r="U1976" s="43">
        <f>IF(OR($B1976="",$L1976=""),"",WORKDAY($B1976,IFERROR(INDEX(LISTAS!$C$3:$C$42,MATCH($L1976,LISTAS!$A$3:$A$42,0)),3)))</f>
        <v/>
      </c>
      <c r="V1976" s="40" t="n"/>
      <c r="W1976" s="19">
        <f>IF($B1976="","",IF($V1976&lt;&gt;"",$V1976-$B1976,TODAY()-$B1976))</f>
        <v/>
      </c>
      <c r="X1976" s="19">
        <f>IF(OR($B1976="",$U1976=""),"",IF($V1976&lt;&gt;"",MAX(0,$V1976-$U1976),MAX(0,TODAY()-$U1976)))</f>
        <v/>
      </c>
      <c r="Y1976" s="39">
        <f>IF($C1976="","",IF(IFERROR(INDEX(LISTAS!$I$3:$I$42,MATCH($T1976,LISTAS!$H$3:$H$42,0)),"NO")="SÍ",IF(N($X1976)&gt;0,"CERRADA FUERA DE SLA","CERRADA EN SLA"),IF($U1976="","SIN CLASIFICAR",IF(N($X1976)&gt;0,"VENCIDA",IF(TODAY()&gt;=$U1976-1,"POR VENCER","EN PLAZO")))))</f>
        <v/>
      </c>
      <c r="Z1976" s="41" t="n"/>
      <c r="AA1976" s="41" t="n"/>
      <c r="AB1976" s="41" t="n"/>
    </row>
    <row r="1977">
      <c r="A1977" s="39">
        <f>IF($C1977="","","NOV-"&amp;TEXT(ROW()-3,"0000"))</f>
        <v/>
      </c>
      <c r="B1977" s="40" t="n"/>
      <c r="C1977" s="41" t="n"/>
      <c r="D1977" s="42">
        <f>IF($C1977="","",IFERROR(INDEX(DESPACHOS!$D$3:$D$3002,MATCH($C1977,DESPACHOS!$B$3:$B$3002,0)),"SIN DESPACHO"))</f>
        <v/>
      </c>
      <c r="E1977" s="42">
        <f>IF($C1977="","",IFERROR(INDEX(DESPACHOS!$K$3:$K$3002,MATCH($C1977,DESPACHOS!$B$3:$B$3002,0)),""))</f>
        <v/>
      </c>
      <c r="F1977" s="42">
        <f>IF($C1977="","",IFERROR(INDEX(DESPACHOS!$I$3:$I$3002,MATCH($C1977,DESPACHOS!$B$3:$B$3002,0)),""))</f>
        <v/>
      </c>
      <c r="G1977" s="42">
        <f>IF($C1977="","",IFERROR(INDEX(DESPACHOS!$F$3:$F$3002,MATCH($C1977,DESPACHOS!$B$3:$B$3002,0)),""))</f>
        <v/>
      </c>
      <c r="H1977" s="42">
        <f>IF($C1977="","",IFERROR(INDEX(DESPACHOS!$G$3:$G$3002,MATCH($C1977,DESPACHOS!$B$3:$B$3002,0)),""))</f>
        <v/>
      </c>
      <c r="I1977" s="39">
        <f>IF($C1977="","",IFERROR(INDEX(DESPACHOS!$H$3:$H$3002,MATCH($C1977,DESPACHOS!$B$3:$B$3002,0)),""))</f>
        <v/>
      </c>
      <c r="J1977" s="43">
        <f>IF($C1977="","",IFERROR(INDEX(DESPACHOS!$J$3:$J$3002,MATCH($C1977,DESPACHOS!$B$3:$B$3002,0)),""))</f>
        <v/>
      </c>
      <c r="K1977" s="39">
        <f>IF($C1977="","",IF(COUNTIFS(DESPACHOS!$B$3:$B$3002,$C1977)=0,"NO EXISTE",IF(COUNTIFS(DESPACHOS!$B$3:$B$3002,$C1977)&gt;1,"DUPLICADO","OK")))</f>
        <v/>
      </c>
      <c r="L1977" s="41" t="n"/>
      <c r="M1977" s="41" t="n"/>
      <c r="N1977" s="42">
        <f>IF($M1977="","",IFERROR(INDEX(LISTAS!$F$3:$F$42,MATCH($M1977,LISTAS!$E$3:$E$42,0)),"Por definir"))</f>
        <v/>
      </c>
      <c r="O1977" s="41" t="n"/>
      <c r="P1977" s="39">
        <f>IF($L1977="","",IFERROR(INDEX(LISTAS!$B$3:$B$42,MATCH($L1977,LISTAS!$A$3:$A$42,0)),"Media"))</f>
        <v/>
      </c>
      <c r="Q1977" s="44" t="n"/>
      <c r="R1977" s="45" t="n"/>
      <c r="S1977" s="20">
        <f>IFERROR(IF(OR($R1977="",$C1977=""),"",$R1977/INDEX(DESPACHOS!$M$3:$M$3002,MATCH($C1977,DESPACHOS!$B$3:$B$3002,0))),"")</f>
        <v/>
      </c>
      <c r="T1977" s="41" t="n"/>
      <c r="U1977" s="43">
        <f>IF(OR($B1977="",$L1977=""),"",WORKDAY($B1977,IFERROR(INDEX(LISTAS!$C$3:$C$42,MATCH($L1977,LISTAS!$A$3:$A$42,0)),3)))</f>
        <v/>
      </c>
      <c r="V1977" s="40" t="n"/>
      <c r="W1977" s="19">
        <f>IF($B1977="","",IF($V1977&lt;&gt;"",$V1977-$B1977,TODAY()-$B1977))</f>
        <v/>
      </c>
      <c r="X1977" s="19">
        <f>IF(OR($B1977="",$U1977=""),"",IF($V1977&lt;&gt;"",MAX(0,$V1977-$U1977),MAX(0,TODAY()-$U1977)))</f>
        <v/>
      </c>
      <c r="Y1977" s="39">
        <f>IF($C1977="","",IF(IFERROR(INDEX(LISTAS!$I$3:$I$42,MATCH($T1977,LISTAS!$H$3:$H$42,0)),"NO")="SÍ",IF(N($X1977)&gt;0,"CERRADA FUERA DE SLA","CERRADA EN SLA"),IF($U1977="","SIN CLASIFICAR",IF(N($X1977)&gt;0,"VENCIDA",IF(TODAY()&gt;=$U1977-1,"POR VENCER","EN PLAZO")))))</f>
        <v/>
      </c>
      <c r="Z1977" s="41" t="n"/>
      <c r="AA1977" s="41" t="n"/>
      <c r="AB1977" s="41" t="n"/>
    </row>
    <row r="1978">
      <c r="A1978" s="39">
        <f>IF($C1978="","","NOV-"&amp;TEXT(ROW()-3,"0000"))</f>
        <v/>
      </c>
      <c r="B1978" s="40" t="n"/>
      <c r="C1978" s="41" t="n"/>
      <c r="D1978" s="42">
        <f>IF($C1978="","",IFERROR(INDEX(DESPACHOS!$D$3:$D$3002,MATCH($C1978,DESPACHOS!$B$3:$B$3002,0)),"SIN DESPACHO"))</f>
        <v/>
      </c>
      <c r="E1978" s="42">
        <f>IF($C1978="","",IFERROR(INDEX(DESPACHOS!$K$3:$K$3002,MATCH($C1978,DESPACHOS!$B$3:$B$3002,0)),""))</f>
        <v/>
      </c>
      <c r="F1978" s="42">
        <f>IF($C1978="","",IFERROR(INDEX(DESPACHOS!$I$3:$I$3002,MATCH($C1978,DESPACHOS!$B$3:$B$3002,0)),""))</f>
        <v/>
      </c>
      <c r="G1978" s="42">
        <f>IF($C1978="","",IFERROR(INDEX(DESPACHOS!$F$3:$F$3002,MATCH($C1978,DESPACHOS!$B$3:$B$3002,0)),""))</f>
        <v/>
      </c>
      <c r="H1978" s="42">
        <f>IF($C1978="","",IFERROR(INDEX(DESPACHOS!$G$3:$G$3002,MATCH($C1978,DESPACHOS!$B$3:$B$3002,0)),""))</f>
        <v/>
      </c>
      <c r="I1978" s="39">
        <f>IF($C1978="","",IFERROR(INDEX(DESPACHOS!$H$3:$H$3002,MATCH($C1978,DESPACHOS!$B$3:$B$3002,0)),""))</f>
        <v/>
      </c>
      <c r="J1978" s="43">
        <f>IF($C1978="","",IFERROR(INDEX(DESPACHOS!$J$3:$J$3002,MATCH($C1978,DESPACHOS!$B$3:$B$3002,0)),""))</f>
        <v/>
      </c>
      <c r="K1978" s="39">
        <f>IF($C1978="","",IF(COUNTIFS(DESPACHOS!$B$3:$B$3002,$C1978)=0,"NO EXISTE",IF(COUNTIFS(DESPACHOS!$B$3:$B$3002,$C1978)&gt;1,"DUPLICADO","OK")))</f>
        <v/>
      </c>
      <c r="L1978" s="41" t="n"/>
      <c r="M1978" s="41" t="n"/>
      <c r="N1978" s="42">
        <f>IF($M1978="","",IFERROR(INDEX(LISTAS!$F$3:$F$42,MATCH($M1978,LISTAS!$E$3:$E$42,0)),"Por definir"))</f>
        <v/>
      </c>
      <c r="O1978" s="41" t="n"/>
      <c r="P1978" s="39">
        <f>IF($L1978="","",IFERROR(INDEX(LISTAS!$B$3:$B$42,MATCH($L1978,LISTAS!$A$3:$A$42,0)),"Media"))</f>
        <v/>
      </c>
      <c r="Q1978" s="44" t="n"/>
      <c r="R1978" s="45" t="n"/>
      <c r="S1978" s="20">
        <f>IFERROR(IF(OR($R1978="",$C1978=""),"",$R1978/INDEX(DESPACHOS!$M$3:$M$3002,MATCH($C1978,DESPACHOS!$B$3:$B$3002,0))),"")</f>
        <v/>
      </c>
      <c r="T1978" s="41" t="n"/>
      <c r="U1978" s="43">
        <f>IF(OR($B1978="",$L1978=""),"",WORKDAY($B1978,IFERROR(INDEX(LISTAS!$C$3:$C$42,MATCH($L1978,LISTAS!$A$3:$A$42,0)),3)))</f>
        <v/>
      </c>
      <c r="V1978" s="40" t="n"/>
      <c r="W1978" s="19">
        <f>IF($B1978="","",IF($V1978&lt;&gt;"",$V1978-$B1978,TODAY()-$B1978))</f>
        <v/>
      </c>
      <c r="X1978" s="19">
        <f>IF(OR($B1978="",$U1978=""),"",IF($V1978&lt;&gt;"",MAX(0,$V1978-$U1978),MAX(0,TODAY()-$U1978)))</f>
        <v/>
      </c>
      <c r="Y1978" s="39">
        <f>IF($C1978="","",IF(IFERROR(INDEX(LISTAS!$I$3:$I$42,MATCH($T1978,LISTAS!$H$3:$H$42,0)),"NO")="SÍ",IF(N($X1978)&gt;0,"CERRADA FUERA DE SLA","CERRADA EN SLA"),IF($U1978="","SIN CLASIFICAR",IF(N($X1978)&gt;0,"VENCIDA",IF(TODAY()&gt;=$U1978-1,"POR VENCER","EN PLAZO")))))</f>
        <v/>
      </c>
      <c r="Z1978" s="41" t="n"/>
      <c r="AA1978" s="41" t="n"/>
      <c r="AB1978" s="41" t="n"/>
    </row>
    <row r="1979">
      <c r="A1979" s="39">
        <f>IF($C1979="","","NOV-"&amp;TEXT(ROW()-3,"0000"))</f>
        <v/>
      </c>
      <c r="B1979" s="40" t="n"/>
      <c r="C1979" s="41" t="n"/>
      <c r="D1979" s="42">
        <f>IF($C1979="","",IFERROR(INDEX(DESPACHOS!$D$3:$D$3002,MATCH($C1979,DESPACHOS!$B$3:$B$3002,0)),"SIN DESPACHO"))</f>
        <v/>
      </c>
      <c r="E1979" s="42">
        <f>IF($C1979="","",IFERROR(INDEX(DESPACHOS!$K$3:$K$3002,MATCH($C1979,DESPACHOS!$B$3:$B$3002,0)),""))</f>
        <v/>
      </c>
      <c r="F1979" s="42">
        <f>IF($C1979="","",IFERROR(INDEX(DESPACHOS!$I$3:$I$3002,MATCH($C1979,DESPACHOS!$B$3:$B$3002,0)),""))</f>
        <v/>
      </c>
      <c r="G1979" s="42">
        <f>IF($C1979="","",IFERROR(INDEX(DESPACHOS!$F$3:$F$3002,MATCH($C1979,DESPACHOS!$B$3:$B$3002,0)),""))</f>
        <v/>
      </c>
      <c r="H1979" s="42">
        <f>IF($C1979="","",IFERROR(INDEX(DESPACHOS!$G$3:$G$3002,MATCH($C1979,DESPACHOS!$B$3:$B$3002,0)),""))</f>
        <v/>
      </c>
      <c r="I1979" s="39">
        <f>IF($C1979="","",IFERROR(INDEX(DESPACHOS!$H$3:$H$3002,MATCH($C1979,DESPACHOS!$B$3:$B$3002,0)),""))</f>
        <v/>
      </c>
      <c r="J1979" s="43">
        <f>IF($C1979="","",IFERROR(INDEX(DESPACHOS!$J$3:$J$3002,MATCH($C1979,DESPACHOS!$B$3:$B$3002,0)),""))</f>
        <v/>
      </c>
      <c r="K1979" s="39">
        <f>IF($C1979="","",IF(COUNTIFS(DESPACHOS!$B$3:$B$3002,$C1979)=0,"NO EXISTE",IF(COUNTIFS(DESPACHOS!$B$3:$B$3002,$C1979)&gt;1,"DUPLICADO","OK")))</f>
        <v/>
      </c>
      <c r="L1979" s="41" t="n"/>
      <c r="M1979" s="41" t="n"/>
      <c r="N1979" s="42">
        <f>IF($M1979="","",IFERROR(INDEX(LISTAS!$F$3:$F$42,MATCH($M1979,LISTAS!$E$3:$E$42,0)),"Por definir"))</f>
        <v/>
      </c>
      <c r="O1979" s="41" t="n"/>
      <c r="P1979" s="39">
        <f>IF($L1979="","",IFERROR(INDEX(LISTAS!$B$3:$B$42,MATCH($L1979,LISTAS!$A$3:$A$42,0)),"Media"))</f>
        <v/>
      </c>
      <c r="Q1979" s="44" t="n"/>
      <c r="R1979" s="45" t="n"/>
      <c r="S1979" s="20">
        <f>IFERROR(IF(OR($R1979="",$C1979=""),"",$R1979/INDEX(DESPACHOS!$M$3:$M$3002,MATCH($C1979,DESPACHOS!$B$3:$B$3002,0))),"")</f>
        <v/>
      </c>
      <c r="T1979" s="41" t="n"/>
      <c r="U1979" s="43">
        <f>IF(OR($B1979="",$L1979=""),"",WORKDAY($B1979,IFERROR(INDEX(LISTAS!$C$3:$C$42,MATCH($L1979,LISTAS!$A$3:$A$42,0)),3)))</f>
        <v/>
      </c>
      <c r="V1979" s="40" t="n"/>
      <c r="W1979" s="19">
        <f>IF($B1979="","",IF($V1979&lt;&gt;"",$V1979-$B1979,TODAY()-$B1979))</f>
        <v/>
      </c>
      <c r="X1979" s="19">
        <f>IF(OR($B1979="",$U1979=""),"",IF($V1979&lt;&gt;"",MAX(0,$V1979-$U1979),MAX(0,TODAY()-$U1979)))</f>
        <v/>
      </c>
      <c r="Y1979" s="39">
        <f>IF($C1979="","",IF(IFERROR(INDEX(LISTAS!$I$3:$I$42,MATCH($T1979,LISTAS!$H$3:$H$42,0)),"NO")="SÍ",IF(N($X1979)&gt;0,"CERRADA FUERA DE SLA","CERRADA EN SLA"),IF($U1979="","SIN CLASIFICAR",IF(N($X1979)&gt;0,"VENCIDA",IF(TODAY()&gt;=$U1979-1,"POR VENCER","EN PLAZO")))))</f>
        <v/>
      </c>
      <c r="Z1979" s="41" t="n"/>
      <c r="AA1979" s="41" t="n"/>
      <c r="AB1979" s="41" t="n"/>
    </row>
    <row r="1980">
      <c r="A1980" s="39">
        <f>IF($C1980="","","NOV-"&amp;TEXT(ROW()-3,"0000"))</f>
        <v/>
      </c>
      <c r="B1980" s="40" t="n"/>
      <c r="C1980" s="41" t="n"/>
      <c r="D1980" s="42">
        <f>IF($C1980="","",IFERROR(INDEX(DESPACHOS!$D$3:$D$3002,MATCH($C1980,DESPACHOS!$B$3:$B$3002,0)),"SIN DESPACHO"))</f>
        <v/>
      </c>
      <c r="E1980" s="42">
        <f>IF($C1980="","",IFERROR(INDEX(DESPACHOS!$K$3:$K$3002,MATCH($C1980,DESPACHOS!$B$3:$B$3002,0)),""))</f>
        <v/>
      </c>
      <c r="F1980" s="42">
        <f>IF($C1980="","",IFERROR(INDEX(DESPACHOS!$I$3:$I$3002,MATCH($C1980,DESPACHOS!$B$3:$B$3002,0)),""))</f>
        <v/>
      </c>
      <c r="G1980" s="42">
        <f>IF($C1980="","",IFERROR(INDEX(DESPACHOS!$F$3:$F$3002,MATCH($C1980,DESPACHOS!$B$3:$B$3002,0)),""))</f>
        <v/>
      </c>
      <c r="H1980" s="42">
        <f>IF($C1980="","",IFERROR(INDEX(DESPACHOS!$G$3:$G$3002,MATCH($C1980,DESPACHOS!$B$3:$B$3002,0)),""))</f>
        <v/>
      </c>
      <c r="I1980" s="39">
        <f>IF($C1980="","",IFERROR(INDEX(DESPACHOS!$H$3:$H$3002,MATCH($C1980,DESPACHOS!$B$3:$B$3002,0)),""))</f>
        <v/>
      </c>
      <c r="J1980" s="43">
        <f>IF($C1980="","",IFERROR(INDEX(DESPACHOS!$J$3:$J$3002,MATCH($C1980,DESPACHOS!$B$3:$B$3002,0)),""))</f>
        <v/>
      </c>
      <c r="K1980" s="39">
        <f>IF($C1980="","",IF(COUNTIFS(DESPACHOS!$B$3:$B$3002,$C1980)=0,"NO EXISTE",IF(COUNTIFS(DESPACHOS!$B$3:$B$3002,$C1980)&gt;1,"DUPLICADO","OK")))</f>
        <v/>
      </c>
      <c r="L1980" s="41" t="n"/>
      <c r="M1980" s="41" t="n"/>
      <c r="N1980" s="42">
        <f>IF($M1980="","",IFERROR(INDEX(LISTAS!$F$3:$F$42,MATCH($M1980,LISTAS!$E$3:$E$42,0)),"Por definir"))</f>
        <v/>
      </c>
      <c r="O1980" s="41" t="n"/>
      <c r="P1980" s="39">
        <f>IF($L1980="","",IFERROR(INDEX(LISTAS!$B$3:$B$42,MATCH($L1980,LISTAS!$A$3:$A$42,0)),"Media"))</f>
        <v/>
      </c>
      <c r="Q1980" s="44" t="n"/>
      <c r="R1980" s="45" t="n"/>
      <c r="S1980" s="20">
        <f>IFERROR(IF(OR($R1980="",$C1980=""),"",$R1980/INDEX(DESPACHOS!$M$3:$M$3002,MATCH($C1980,DESPACHOS!$B$3:$B$3002,0))),"")</f>
        <v/>
      </c>
      <c r="T1980" s="41" t="n"/>
      <c r="U1980" s="43">
        <f>IF(OR($B1980="",$L1980=""),"",WORKDAY($B1980,IFERROR(INDEX(LISTAS!$C$3:$C$42,MATCH($L1980,LISTAS!$A$3:$A$42,0)),3)))</f>
        <v/>
      </c>
      <c r="V1980" s="40" t="n"/>
      <c r="W1980" s="19">
        <f>IF($B1980="","",IF($V1980&lt;&gt;"",$V1980-$B1980,TODAY()-$B1980))</f>
        <v/>
      </c>
      <c r="X1980" s="19">
        <f>IF(OR($B1980="",$U1980=""),"",IF($V1980&lt;&gt;"",MAX(0,$V1980-$U1980),MAX(0,TODAY()-$U1980)))</f>
        <v/>
      </c>
      <c r="Y1980" s="39">
        <f>IF($C1980="","",IF(IFERROR(INDEX(LISTAS!$I$3:$I$42,MATCH($T1980,LISTAS!$H$3:$H$42,0)),"NO")="SÍ",IF(N($X1980)&gt;0,"CERRADA FUERA DE SLA","CERRADA EN SLA"),IF($U1980="","SIN CLASIFICAR",IF(N($X1980)&gt;0,"VENCIDA",IF(TODAY()&gt;=$U1980-1,"POR VENCER","EN PLAZO")))))</f>
        <v/>
      </c>
      <c r="Z1980" s="41" t="n"/>
      <c r="AA1980" s="41" t="n"/>
      <c r="AB1980" s="41" t="n"/>
    </row>
    <row r="1981">
      <c r="A1981" s="39">
        <f>IF($C1981="","","NOV-"&amp;TEXT(ROW()-3,"0000"))</f>
        <v/>
      </c>
      <c r="B1981" s="40" t="n"/>
      <c r="C1981" s="41" t="n"/>
      <c r="D1981" s="42">
        <f>IF($C1981="","",IFERROR(INDEX(DESPACHOS!$D$3:$D$3002,MATCH($C1981,DESPACHOS!$B$3:$B$3002,0)),"SIN DESPACHO"))</f>
        <v/>
      </c>
      <c r="E1981" s="42">
        <f>IF($C1981="","",IFERROR(INDEX(DESPACHOS!$K$3:$K$3002,MATCH($C1981,DESPACHOS!$B$3:$B$3002,0)),""))</f>
        <v/>
      </c>
      <c r="F1981" s="42">
        <f>IF($C1981="","",IFERROR(INDEX(DESPACHOS!$I$3:$I$3002,MATCH($C1981,DESPACHOS!$B$3:$B$3002,0)),""))</f>
        <v/>
      </c>
      <c r="G1981" s="42">
        <f>IF($C1981="","",IFERROR(INDEX(DESPACHOS!$F$3:$F$3002,MATCH($C1981,DESPACHOS!$B$3:$B$3002,0)),""))</f>
        <v/>
      </c>
      <c r="H1981" s="42">
        <f>IF($C1981="","",IFERROR(INDEX(DESPACHOS!$G$3:$G$3002,MATCH($C1981,DESPACHOS!$B$3:$B$3002,0)),""))</f>
        <v/>
      </c>
      <c r="I1981" s="39">
        <f>IF($C1981="","",IFERROR(INDEX(DESPACHOS!$H$3:$H$3002,MATCH($C1981,DESPACHOS!$B$3:$B$3002,0)),""))</f>
        <v/>
      </c>
      <c r="J1981" s="43">
        <f>IF($C1981="","",IFERROR(INDEX(DESPACHOS!$J$3:$J$3002,MATCH($C1981,DESPACHOS!$B$3:$B$3002,0)),""))</f>
        <v/>
      </c>
      <c r="K1981" s="39">
        <f>IF($C1981="","",IF(COUNTIFS(DESPACHOS!$B$3:$B$3002,$C1981)=0,"NO EXISTE",IF(COUNTIFS(DESPACHOS!$B$3:$B$3002,$C1981)&gt;1,"DUPLICADO","OK")))</f>
        <v/>
      </c>
      <c r="L1981" s="41" t="n"/>
      <c r="M1981" s="41" t="n"/>
      <c r="N1981" s="42">
        <f>IF($M1981="","",IFERROR(INDEX(LISTAS!$F$3:$F$42,MATCH($M1981,LISTAS!$E$3:$E$42,0)),"Por definir"))</f>
        <v/>
      </c>
      <c r="O1981" s="41" t="n"/>
      <c r="P1981" s="39">
        <f>IF($L1981="","",IFERROR(INDEX(LISTAS!$B$3:$B$42,MATCH($L1981,LISTAS!$A$3:$A$42,0)),"Media"))</f>
        <v/>
      </c>
      <c r="Q1981" s="44" t="n"/>
      <c r="R1981" s="45" t="n"/>
      <c r="S1981" s="20">
        <f>IFERROR(IF(OR($R1981="",$C1981=""),"",$R1981/INDEX(DESPACHOS!$M$3:$M$3002,MATCH($C1981,DESPACHOS!$B$3:$B$3002,0))),"")</f>
        <v/>
      </c>
      <c r="T1981" s="41" t="n"/>
      <c r="U1981" s="43">
        <f>IF(OR($B1981="",$L1981=""),"",WORKDAY($B1981,IFERROR(INDEX(LISTAS!$C$3:$C$42,MATCH($L1981,LISTAS!$A$3:$A$42,0)),3)))</f>
        <v/>
      </c>
      <c r="V1981" s="40" t="n"/>
      <c r="W1981" s="19">
        <f>IF($B1981="","",IF($V1981&lt;&gt;"",$V1981-$B1981,TODAY()-$B1981))</f>
        <v/>
      </c>
      <c r="X1981" s="19">
        <f>IF(OR($B1981="",$U1981=""),"",IF($V1981&lt;&gt;"",MAX(0,$V1981-$U1981),MAX(0,TODAY()-$U1981)))</f>
        <v/>
      </c>
      <c r="Y1981" s="39">
        <f>IF($C1981="","",IF(IFERROR(INDEX(LISTAS!$I$3:$I$42,MATCH($T1981,LISTAS!$H$3:$H$42,0)),"NO")="SÍ",IF(N($X1981)&gt;0,"CERRADA FUERA DE SLA","CERRADA EN SLA"),IF($U1981="","SIN CLASIFICAR",IF(N($X1981)&gt;0,"VENCIDA",IF(TODAY()&gt;=$U1981-1,"POR VENCER","EN PLAZO")))))</f>
        <v/>
      </c>
      <c r="Z1981" s="41" t="n"/>
      <c r="AA1981" s="41" t="n"/>
      <c r="AB1981" s="41" t="n"/>
    </row>
    <row r="1982">
      <c r="A1982" s="39">
        <f>IF($C1982="","","NOV-"&amp;TEXT(ROW()-3,"0000"))</f>
        <v/>
      </c>
      <c r="B1982" s="40" t="n"/>
      <c r="C1982" s="41" t="n"/>
      <c r="D1982" s="42">
        <f>IF($C1982="","",IFERROR(INDEX(DESPACHOS!$D$3:$D$3002,MATCH($C1982,DESPACHOS!$B$3:$B$3002,0)),"SIN DESPACHO"))</f>
        <v/>
      </c>
      <c r="E1982" s="42">
        <f>IF($C1982="","",IFERROR(INDEX(DESPACHOS!$K$3:$K$3002,MATCH($C1982,DESPACHOS!$B$3:$B$3002,0)),""))</f>
        <v/>
      </c>
      <c r="F1982" s="42">
        <f>IF($C1982="","",IFERROR(INDEX(DESPACHOS!$I$3:$I$3002,MATCH($C1982,DESPACHOS!$B$3:$B$3002,0)),""))</f>
        <v/>
      </c>
      <c r="G1982" s="42">
        <f>IF($C1982="","",IFERROR(INDEX(DESPACHOS!$F$3:$F$3002,MATCH($C1982,DESPACHOS!$B$3:$B$3002,0)),""))</f>
        <v/>
      </c>
      <c r="H1982" s="42">
        <f>IF($C1982="","",IFERROR(INDEX(DESPACHOS!$G$3:$G$3002,MATCH($C1982,DESPACHOS!$B$3:$B$3002,0)),""))</f>
        <v/>
      </c>
      <c r="I1982" s="39">
        <f>IF($C1982="","",IFERROR(INDEX(DESPACHOS!$H$3:$H$3002,MATCH($C1982,DESPACHOS!$B$3:$B$3002,0)),""))</f>
        <v/>
      </c>
      <c r="J1982" s="43">
        <f>IF($C1982="","",IFERROR(INDEX(DESPACHOS!$J$3:$J$3002,MATCH($C1982,DESPACHOS!$B$3:$B$3002,0)),""))</f>
        <v/>
      </c>
      <c r="K1982" s="39">
        <f>IF($C1982="","",IF(COUNTIFS(DESPACHOS!$B$3:$B$3002,$C1982)=0,"NO EXISTE",IF(COUNTIFS(DESPACHOS!$B$3:$B$3002,$C1982)&gt;1,"DUPLICADO","OK")))</f>
        <v/>
      </c>
      <c r="L1982" s="41" t="n"/>
      <c r="M1982" s="41" t="n"/>
      <c r="N1982" s="42">
        <f>IF($M1982="","",IFERROR(INDEX(LISTAS!$F$3:$F$42,MATCH($M1982,LISTAS!$E$3:$E$42,0)),"Por definir"))</f>
        <v/>
      </c>
      <c r="O1982" s="41" t="n"/>
      <c r="P1982" s="39">
        <f>IF($L1982="","",IFERROR(INDEX(LISTAS!$B$3:$B$42,MATCH($L1982,LISTAS!$A$3:$A$42,0)),"Media"))</f>
        <v/>
      </c>
      <c r="Q1982" s="44" t="n"/>
      <c r="R1982" s="45" t="n"/>
      <c r="S1982" s="20">
        <f>IFERROR(IF(OR($R1982="",$C1982=""),"",$R1982/INDEX(DESPACHOS!$M$3:$M$3002,MATCH($C1982,DESPACHOS!$B$3:$B$3002,0))),"")</f>
        <v/>
      </c>
      <c r="T1982" s="41" t="n"/>
      <c r="U1982" s="43">
        <f>IF(OR($B1982="",$L1982=""),"",WORKDAY($B1982,IFERROR(INDEX(LISTAS!$C$3:$C$42,MATCH($L1982,LISTAS!$A$3:$A$42,0)),3)))</f>
        <v/>
      </c>
      <c r="V1982" s="40" t="n"/>
      <c r="W1982" s="19">
        <f>IF($B1982="","",IF($V1982&lt;&gt;"",$V1982-$B1982,TODAY()-$B1982))</f>
        <v/>
      </c>
      <c r="X1982" s="19">
        <f>IF(OR($B1982="",$U1982=""),"",IF($V1982&lt;&gt;"",MAX(0,$V1982-$U1982),MAX(0,TODAY()-$U1982)))</f>
        <v/>
      </c>
      <c r="Y1982" s="39">
        <f>IF($C1982="","",IF(IFERROR(INDEX(LISTAS!$I$3:$I$42,MATCH($T1982,LISTAS!$H$3:$H$42,0)),"NO")="SÍ",IF(N($X1982)&gt;0,"CERRADA FUERA DE SLA","CERRADA EN SLA"),IF($U1982="","SIN CLASIFICAR",IF(N($X1982)&gt;0,"VENCIDA",IF(TODAY()&gt;=$U1982-1,"POR VENCER","EN PLAZO")))))</f>
        <v/>
      </c>
      <c r="Z1982" s="41" t="n"/>
      <c r="AA1982" s="41" t="n"/>
      <c r="AB1982" s="41" t="n"/>
    </row>
    <row r="1983">
      <c r="A1983" s="39">
        <f>IF($C1983="","","NOV-"&amp;TEXT(ROW()-3,"0000"))</f>
        <v/>
      </c>
      <c r="B1983" s="40" t="n"/>
      <c r="C1983" s="41" t="n"/>
      <c r="D1983" s="42">
        <f>IF($C1983="","",IFERROR(INDEX(DESPACHOS!$D$3:$D$3002,MATCH($C1983,DESPACHOS!$B$3:$B$3002,0)),"SIN DESPACHO"))</f>
        <v/>
      </c>
      <c r="E1983" s="42">
        <f>IF($C1983="","",IFERROR(INDEX(DESPACHOS!$K$3:$K$3002,MATCH($C1983,DESPACHOS!$B$3:$B$3002,0)),""))</f>
        <v/>
      </c>
      <c r="F1983" s="42">
        <f>IF($C1983="","",IFERROR(INDEX(DESPACHOS!$I$3:$I$3002,MATCH($C1983,DESPACHOS!$B$3:$B$3002,0)),""))</f>
        <v/>
      </c>
      <c r="G1983" s="42">
        <f>IF($C1983="","",IFERROR(INDEX(DESPACHOS!$F$3:$F$3002,MATCH($C1983,DESPACHOS!$B$3:$B$3002,0)),""))</f>
        <v/>
      </c>
      <c r="H1983" s="42">
        <f>IF($C1983="","",IFERROR(INDEX(DESPACHOS!$G$3:$G$3002,MATCH($C1983,DESPACHOS!$B$3:$B$3002,0)),""))</f>
        <v/>
      </c>
      <c r="I1983" s="39">
        <f>IF($C1983="","",IFERROR(INDEX(DESPACHOS!$H$3:$H$3002,MATCH($C1983,DESPACHOS!$B$3:$B$3002,0)),""))</f>
        <v/>
      </c>
      <c r="J1983" s="43">
        <f>IF($C1983="","",IFERROR(INDEX(DESPACHOS!$J$3:$J$3002,MATCH($C1983,DESPACHOS!$B$3:$B$3002,0)),""))</f>
        <v/>
      </c>
      <c r="K1983" s="39">
        <f>IF($C1983="","",IF(COUNTIFS(DESPACHOS!$B$3:$B$3002,$C1983)=0,"NO EXISTE",IF(COUNTIFS(DESPACHOS!$B$3:$B$3002,$C1983)&gt;1,"DUPLICADO","OK")))</f>
        <v/>
      </c>
      <c r="L1983" s="41" t="n"/>
      <c r="M1983" s="41" t="n"/>
      <c r="N1983" s="42">
        <f>IF($M1983="","",IFERROR(INDEX(LISTAS!$F$3:$F$42,MATCH($M1983,LISTAS!$E$3:$E$42,0)),"Por definir"))</f>
        <v/>
      </c>
      <c r="O1983" s="41" t="n"/>
      <c r="P1983" s="39">
        <f>IF($L1983="","",IFERROR(INDEX(LISTAS!$B$3:$B$42,MATCH($L1983,LISTAS!$A$3:$A$42,0)),"Media"))</f>
        <v/>
      </c>
      <c r="Q1983" s="44" t="n"/>
      <c r="R1983" s="45" t="n"/>
      <c r="S1983" s="20">
        <f>IFERROR(IF(OR($R1983="",$C1983=""),"",$R1983/INDEX(DESPACHOS!$M$3:$M$3002,MATCH($C1983,DESPACHOS!$B$3:$B$3002,0))),"")</f>
        <v/>
      </c>
      <c r="T1983" s="41" t="n"/>
      <c r="U1983" s="43">
        <f>IF(OR($B1983="",$L1983=""),"",WORKDAY($B1983,IFERROR(INDEX(LISTAS!$C$3:$C$42,MATCH($L1983,LISTAS!$A$3:$A$42,0)),3)))</f>
        <v/>
      </c>
      <c r="V1983" s="40" t="n"/>
      <c r="W1983" s="19">
        <f>IF($B1983="","",IF($V1983&lt;&gt;"",$V1983-$B1983,TODAY()-$B1983))</f>
        <v/>
      </c>
      <c r="X1983" s="19">
        <f>IF(OR($B1983="",$U1983=""),"",IF($V1983&lt;&gt;"",MAX(0,$V1983-$U1983),MAX(0,TODAY()-$U1983)))</f>
        <v/>
      </c>
      <c r="Y1983" s="39">
        <f>IF($C1983="","",IF(IFERROR(INDEX(LISTAS!$I$3:$I$42,MATCH($T1983,LISTAS!$H$3:$H$42,0)),"NO")="SÍ",IF(N($X1983)&gt;0,"CERRADA FUERA DE SLA","CERRADA EN SLA"),IF($U1983="","SIN CLASIFICAR",IF(N($X1983)&gt;0,"VENCIDA",IF(TODAY()&gt;=$U1983-1,"POR VENCER","EN PLAZO")))))</f>
        <v/>
      </c>
      <c r="Z1983" s="41" t="n"/>
      <c r="AA1983" s="41" t="n"/>
      <c r="AB1983" s="41" t="n"/>
    </row>
    <row r="1984">
      <c r="A1984" s="39">
        <f>IF($C1984="","","NOV-"&amp;TEXT(ROW()-3,"0000"))</f>
        <v/>
      </c>
      <c r="B1984" s="40" t="n"/>
      <c r="C1984" s="41" t="n"/>
      <c r="D1984" s="42">
        <f>IF($C1984="","",IFERROR(INDEX(DESPACHOS!$D$3:$D$3002,MATCH($C1984,DESPACHOS!$B$3:$B$3002,0)),"SIN DESPACHO"))</f>
        <v/>
      </c>
      <c r="E1984" s="42">
        <f>IF($C1984="","",IFERROR(INDEX(DESPACHOS!$K$3:$K$3002,MATCH($C1984,DESPACHOS!$B$3:$B$3002,0)),""))</f>
        <v/>
      </c>
      <c r="F1984" s="42">
        <f>IF($C1984="","",IFERROR(INDEX(DESPACHOS!$I$3:$I$3002,MATCH($C1984,DESPACHOS!$B$3:$B$3002,0)),""))</f>
        <v/>
      </c>
      <c r="G1984" s="42">
        <f>IF($C1984="","",IFERROR(INDEX(DESPACHOS!$F$3:$F$3002,MATCH($C1984,DESPACHOS!$B$3:$B$3002,0)),""))</f>
        <v/>
      </c>
      <c r="H1984" s="42">
        <f>IF($C1984="","",IFERROR(INDEX(DESPACHOS!$G$3:$G$3002,MATCH($C1984,DESPACHOS!$B$3:$B$3002,0)),""))</f>
        <v/>
      </c>
      <c r="I1984" s="39">
        <f>IF($C1984="","",IFERROR(INDEX(DESPACHOS!$H$3:$H$3002,MATCH($C1984,DESPACHOS!$B$3:$B$3002,0)),""))</f>
        <v/>
      </c>
      <c r="J1984" s="43">
        <f>IF($C1984="","",IFERROR(INDEX(DESPACHOS!$J$3:$J$3002,MATCH($C1984,DESPACHOS!$B$3:$B$3002,0)),""))</f>
        <v/>
      </c>
      <c r="K1984" s="39">
        <f>IF($C1984="","",IF(COUNTIFS(DESPACHOS!$B$3:$B$3002,$C1984)=0,"NO EXISTE",IF(COUNTIFS(DESPACHOS!$B$3:$B$3002,$C1984)&gt;1,"DUPLICADO","OK")))</f>
        <v/>
      </c>
      <c r="L1984" s="41" t="n"/>
      <c r="M1984" s="41" t="n"/>
      <c r="N1984" s="42">
        <f>IF($M1984="","",IFERROR(INDEX(LISTAS!$F$3:$F$42,MATCH($M1984,LISTAS!$E$3:$E$42,0)),"Por definir"))</f>
        <v/>
      </c>
      <c r="O1984" s="41" t="n"/>
      <c r="P1984" s="39">
        <f>IF($L1984="","",IFERROR(INDEX(LISTAS!$B$3:$B$42,MATCH($L1984,LISTAS!$A$3:$A$42,0)),"Media"))</f>
        <v/>
      </c>
      <c r="Q1984" s="44" t="n"/>
      <c r="R1984" s="45" t="n"/>
      <c r="S1984" s="20">
        <f>IFERROR(IF(OR($R1984="",$C1984=""),"",$R1984/INDEX(DESPACHOS!$M$3:$M$3002,MATCH($C1984,DESPACHOS!$B$3:$B$3002,0))),"")</f>
        <v/>
      </c>
      <c r="T1984" s="41" t="n"/>
      <c r="U1984" s="43">
        <f>IF(OR($B1984="",$L1984=""),"",WORKDAY($B1984,IFERROR(INDEX(LISTAS!$C$3:$C$42,MATCH($L1984,LISTAS!$A$3:$A$42,0)),3)))</f>
        <v/>
      </c>
      <c r="V1984" s="40" t="n"/>
      <c r="W1984" s="19">
        <f>IF($B1984="","",IF($V1984&lt;&gt;"",$V1984-$B1984,TODAY()-$B1984))</f>
        <v/>
      </c>
      <c r="X1984" s="19">
        <f>IF(OR($B1984="",$U1984=""),"",IF($V1984&lt;&gt;"",MAX(0,$V1984-$U1984),MAX(0,TODAY()-$U1984)))</f>
        <v/>
      </c>
      <c r="Y1984" s="39">
        <f>IF($C1984="","",IF(IFERROR(INDEX(LISTAS!$I$3:$I$42,MATCH($T1984,LISTAS!$H$3:$H$42,0)),"NO")="SÍ",IF(N($X1984)&gt;0,"CERRADA FUERA DE SLA","CERRADA EN SLA"),IF($U1984="","SIN CLASIFICAR",IF(N($X1984)&gt;0,"VENCIDA",IF(TODAY()&gt;=$U1984-1,"POR VENCER","EN PLAZO")))))</f>
        <v/>
      </c>
      <c r="Z1984" s="41" t="n"/>
      <c r="AA1984" s="41" t="n"/>
      <c r="AB1984" s="41" t="n"/>
    </row>
    <row r="1985">
      <c r="A1985" s="39">
        <f>IF($C1985="","","NOV-"&amp;TEXT(ROW()-3,"0000"))</f>
        <v/>
      </c>
      <c r="B1985" s="40" t="n"/>
      <c r="C1985" s="41" t="n"/>
      <c r="D1985" s="42">
        <f>IF($C1985="","",IFERROR(INDEX(DESPACHOS!$D$3:$D$3002,MATCH($C1985,DESPACHOS!$B$3:$B$3002,0)),"SIN DESPACHO"))</f>
        <v/>
      </c>
      <c r="E1985" s="42">
        <f>IF($C1985="","",IFERROR(INDEX(DESPACHOS!$K$3:$K$3002,MATCH($C1985,DESPACHOS!$B$3:$B$3002,0)),""))</f>
        <v/>
      </c>
      <c r="F1985" s="42">
        <f>IF($C1985="","",IFERROR(INDEX(DESPACHOS!$I$3:$I$3002,MATCH($C1985,DESPACHOS!$B$3:$B$3002,0)),""))</f>
        <v/>
      </c>
      <c r="G1985" s="42">
        <f>IF($C1985="","",IFERROR(INDEX(DESPACHOS!$F$3:$F$3002,MATCH($C1985,DESPACHOS!$B$3:$B$3002,0)),""))</f>
        <v/>
      </c>
      <c r="H1985" s="42">
        <f>IF($C1985="","",IFERROR(INDEX(DESPACHOS!$G$3:$G$3002,MATCH($C1985,DESPACHOS!$B$3:$B$3002,0)),""))</f>
        <v/>
      </c>
      <c r="I1985" s="39">
        <f>IF($C1985="","",IFERROR(INDEX(DESPACHOS!$H$3:$H$3002,MATCH($C1985,DESPACHOS!$B$3:$B$3002,0)),""))</f>
        <v/>
      </c>
      <c r="J1985" s="43">
        <f>IF($C1985="","",IFERROR(INDEX(DESPACHOS!$J$3:$J$3002,MATCH($C1985,DESPACHOS!$B$3:$B$3002,0)),""))</f>
        <v/>
      </c>
      <c r="K1985" s="39">
        <f>IF($C1985="","",IF(COUNTIFS(DESPACHOS!$B$3:$B$3002,$C1985)=0,"NO EXISTE",IF(COUNTIFS(DESPACHOS!$B$3:$B$3002,$C1985)&gt;1,"DUPLICADO","OK")))</f>
        <v/>
      </c>
      <c r="L1985" s="41" t="n"/>
      <c r="M1985" s="41" t="n"/>
      <c r="N1985" s="42">
        <f>IF($M1985="","",IFERROR(INDEX(LISTAS!$F$3:$F$42,MATCH($M1985,LISTAS!$E$3:$E$42,0)),"Por definir"))</f>
        <v/>
      </c>
      <c r="O1985" s="41" t="n"/>
      <c r="P1985" s="39">
        <f>IF($L1985="","",IFERROR(INDEX(LISTAS!$B$3:$B$42,MATCH($L1985,LISTAS!$A$3:$A$42,0)),"Media"))</f>
        <v/>
      </c>
      <c r="Q1985" s="44" t="n"/>
      <c r="R1985" s="45" t="n"/>
      <c r="S1985" s="20">
        <f>IFERROR(IF(OR($R1985="",$C1985=""),"",$R1985/INDEX(DESPACHOS!$M$3:$M$3002,MATCH($C1985,DESPACHOS!$B$3:$B$3002,0))),"")</f>
        <v/>
      </c>
      <c r="T1985" s="41" t="n"/>
      <c r="U1985" s="43">
        <f>IF(OR($B1985="",$L1985=""),"",WORKDAY($B1985,IFERROR(INDEX(LISTAS!$C$3:$C$42,MATCH($L1985,LISTAS!$A$3:$A$42,0)),3)))</f>
        <v/>
      </c>
      <c r="V1985" s="40" t="n"/>
      <c r="W1985" s="19">
        <f>IF($B1985="","",IF($V1985&lt;&gt;"",$V1985-$B1985,TODAY()-$B1985))</f>
        <v/>
      </c>
      <c r="X1985" s="19">
        <f>IF(OR($B1985="",$U1985=""),"",IF($V1985&lt;&gt;"",MAX(0,$V1985-$U1985),MAX(0,TODAY()-$U1985)))</f>
        <v/>
      </c>
      <c r="Y1985" s="39">
        <f>IF($C1985="","",IF(IFERROR(INDEX(LISTAS!$I$3:$I$42,MATCH($T1985,LISTAS!$H$3:$H$42,0)),"NO")="SÍ",IF(N($X1985)&gt;0,"CERRADA FUERA DE SLA","CERRADA EN SLA"),IF($U1985="","SIN CLASIFICAR",IF(N($X1985)&gt;0,"VENCIDA",IF(TODAY()&gt;=$U1985-1,"POR VENCER","EN PLAZO")))))</f>
        <v/>
      </c>
      <c r="Z1985" s="41" t="n"/>
      <c r="AA1985" s="41" t="n"/>
      <c r="AB1985" s="41" t="n"/>
    </row>
    <row r="1986">
      <c r="A1986" s="39">
        <f>IF($C1986="","","NOV-"&amp;TEXT(ROW()-3,"0000"))</f>
        <v/>
      </c>
      <c r="B1986" s="40" t="n"/>
      <c r="C1986" s="41" t="n"/>
      <c r="D1986" s="42">
        <f>IF($C1986="","",IFERROR(INDEX(DESPACHOS!$D$3:$D$3002,MATCH($C1986,DESPACHOS!$B$3:$B$3002,0)),"SIN DESPACHO"))</f>
        <v/>
      </c>
      <c r="E1986" s="42">
        <f>IF($C1986="","",IFERROR(INDEX(DESPACHOS!$K$3:$K$3002,MATCH($C1986,DESPACHOS!$B$3:$B$3002,0)),""))</f>
        <v/>
      </c>
      <c r="F1986" s="42">
        <f>IF($C1986="","",IFERROR(INDEX(DESPACHOS!$I$3:$I$3002,MATCH($C1986,DESPACHOS!$B$3:$B$3002,0)),""))</f>
        <v/>
      </c>
      <c r="G1986" s="42">
        <f>IF($C1986="","",IFERROR(INDEX(DESPACHOS!$F$3:$F$3002,MATCH($C1986,DESPACHOS!$B$3:$B$3002,0)),""))</f>
        <v/>
      </c>
      <c r="H1986" s="42">
        <f>IF($C1986="","",IFERROR(INDEX(DESPACHOS!$G$3:$G$3002,MATCH($C1986,DESPACHOS!$B$3:$B$3002,0)),""))</f>
        <v/>
      </c>
      <c r="I1986" s="39">
        <f>IF($C1986="","",IFERROR(INDEX(DESPACHOS!$H$3:$H$3002,MATCH($C1986,DESPACHOS!$B$3:$B$3002,0)),""))</f>
        <v/>
      </c>
      <c r="J1986" s="43">
        <f>IF($C1986="","",IFERROR(INDEX(DESPACHOS!$J$3:$J$3002,MATCH($C1986,DESPACHOS!$B$3:$B$3002,0)),""))</f>
        <v/>
      </c>
      <c r="K1986" s="39">
        <f>IF($C1986="","",IF(COUNTIFS(DESPACHOS!$B$3:$B$3002,$C1986)=0,"NO EXISTE",IF(COUNTIFS(DESPACHOS!$B$3:$B$3002,$C1986)&gt;1,"DUPLICADO","OK")))</f>
        <v/>
      </c>
      <c r="L1986" s="41" t="n"/>
      <c r="M1986" s="41" t="n"/>
      <c r="N1986" s="42">
        <f>IF($M1986="","",IFERROR(INDEX(LISTAS!$F$3:$F$42,MATCH($M1986,LISTAS!$E$3:$E$42,0)),"Por definir"))</f>
        <v/>
      </c>
      <c r="O1986" s="41" t="n"/>
      <c r="P1986" s="39">
        <f>IF($L1986="","",IFERROR(INDEX(LISTAS!$B$3:$B$42,MATCH($L1986,LISTAS!$A$3:$A$42,0)),"Media"))</f>
        <v/>
      </c>
      <c r="Q1986" s="44" t="n"/>
      <c r="R1986" s="45" t="n"/>
      <c r="S1986" s="20">
        <f>IFERROR(IF(OR($R1986="",$C1986=""),"",$R1986/INDEX(DESPACHOS!$M$3:$M$3002,MATCH($C1986,DESPACHOS!$B$3:$B$3002,0))),"")</f>
        <v/>
      </c>
      <c r="T1986" s="41" t="n"/>
      <c r="U1986" s="43">
        <f>IF(OR($B1986="",$L1986=""),"",WORKDAY($B1986,IFERROR(INDEX(LISTAS!$C$3:$C$42,MATCH($L1986,LISTAS!$A$3:$A$42,0)),3)))</f>
        <v/>
      </c>
      <c r="V1986" s="40" t="n"/>
      <c r="W1986" s="19">
        <f>IF($B1986="","",IF($V1986&lt;&gt;"",$V1986-$B1986,TODAY()-$B1986))</f>
        <v/>
      </c>
      <c r="X1986" s="19">
        <f>IF(OR($B1986="",$U1986=""),"",IF($V1986&lt;&gt;"",MAX(0,$V1986-$U1986),MAX(0,TODAY()-$U1986)))</f>
        <v/>
      </c>
      <c r="Y1986" s="39">
        <f>IF($C1986="","",IF(IFERROR(INDEX(LISTAS!$I$3:$I$42,MATCH($T1986,LISTAS!$H$3:$H$42,0)),"NO")="SÍ",IF(N($X1986)&gt;0,"CERRADA FUERA DE SLA","CERRADA EN SLA"),IF($U1986="","SIN CLASIFICAR",IF(N($X1986)&gt;0,"VENCIDA",IF(TODAY()&gt;=$U1986-1,"POR VENCER","EN PLAZO")))))</f>
        <v/>
      </c>
      <c r="Z1986" s="41" t="n"/>
      <c r="AA1986" s="41" t="n"/>
      <c r="AB1986" s="41" t="n"/>
    </row>
    <row r="1987">
      <c r="A1987" s="39">
        <f>IF($C1987="","","NOV-"&amp;TEXT(ROW()-3,"0000"))</f>
        <v/>
      </c>
      <c r="B1987" s="40" t="n"/>
      <c r="C1987" s="41" t="n"/>
      <c r="D1987" s="42">
        <f>IF($C1987="","",IFERROR(INDEX(DESPACHOS!$D$3:$D$3002,MATCH($C1987,DESPACHOS!$B$3:$B$3002,0)),"SIN DESPACHO"))</f>
        <v/>
      </c>
      <c r="E1987" s="42">
        <f>IF($C1987="","",IFERROR(INDEX(DESPACHOS!$K$3:$K$3002,MATCH($C1987,DESPACHOS!$B$3:$B$3002,0)),""))</f>
        <v/>
      </c>
      <c r="F1987" s="42">
        <f>IF($C1987="","",IFERROR(INDEX(DESPACHOS!$I$3:$I$3002,MATCH($C1987,DESPACHOS!$B$3:$B$3002,0)),""))</f>
        <v/>
      </c>
      <c r="G1987" s="42">
        <f>IF($C1987="","",IFERROR(INDEX(DESPACHOS!$F$3:$F$3002,MATCH($C1987,DESPACHOS!$B$3:$B$3002,0)),""))</f>
        <v/>
      </c>
      <c r="H1987" s="42">
        <f>IF($C1987="","",IFERROR(INDEX(DESPACHOS!$G$3:$G$3002,MATCH($C1987,DESPACHOS!$B$3:$B$3002,0)),""))</f>
        <v/>
      </c>
      <c r="I1987" s="39">
        <f>IF($C1987="","",IFERROR(INDEX(DESPACHOS!$H$3:$H$3002,MATCH($C1987,DESPACHOS!$B$3:$B$3002,0)),""))</f>
        <v/>
      </c>
      <c r="J1987" s="43">
        <f>IF($C1987="","",IFERROR(INDEX(DESPACHOS!$J$3:$J$3002,MATCH($C1987,DESPACHOS!$B$3:$B$3002,0)),""))</f>
        <v/>
      </c>
      <c r="K1987" s="39">
        <f>IF($C1987="","",IF(COUNTIFS(DESPACHOS!$B$3:$B$3002,$C1987)=0,"NO EXISTE",IF(COUNTIFS(DESPACHOS!$B$3:$B$3002,$C1987)&gt;1,"DUPLICADO","OK")))</f>
        <v/>
      </c>
      <c r="L1987" s="41" t="n"/>
      <c r="M1987" s="41" t="n"/>
      <c r="N1987" s="42">
        <f>IF($M1987="","",IFERROR(INDEX(LISTAS!$F$3:$F$42,MATCH($M1987,LISTAS!$E$3:$E$42,0)),"Por definir"))</f>
        <v/>
      </c>
      <c r="O1987" s="41" t="n"/>
      <c r="P1987" s="39">
        <f>IF($L1987="","",IFERROR(INDEX(LISTAS!$B$3:$B$42,MATCH($L1987,LISTAS!$A$3:$A$42,0)),"Media"))</f>
        <v/>
      </c>
      <c r="Q1987" s="44" t="n"/>
      <c r="R1987" s="45" t="n"/>
      <c r="S1987" s="20">
        <f>IFERROR(IF(OR($R1987="",$C1987=""),"",$R1987/INDEX(DESPACHOS!$M$3:$M$3002,MATCH($C1987,DESPACHOS!$B$3:$B$3002,0))),"")</f>
        <v/>
      </c>
      <c r="T1987" s="41" t="n"/>
      <c r="U1987" s="43">
        <f>IF(OR($B1987="",$L1987=""),"",WORKDAY($B1987,IFERROR(INDEX(LISTAS!$C$3:$C$42,MATCH($L1987,LISTAS!$A$3:$A$42,0)),3)))</f>
        <v/>
      </c>
      <c r="V1987" s="40" t="n"/>
      <c r="W1987" s="19">
        <f>IF($B1987="","",IF($V1987&lt;&gt;"",$V1987-$B1987,TODAY()-$B1987))</f>
        <v/>
      </c>
      <c r="X1987" s="19">
        <f>IF(OR($B1987="",$U1987=""),"",IF($V1987&lt;&gt;"",MAX(0,$V1987-$U1987),MAX(0,TODAY()-$U1987)))</f>
        <v/>
      </c>
      <c r="Y1987" s="39">
        <f>IF($C1987="","",IF(IFERROR(INDEX(LISTAS!$I$3:$I$42,MATCH($T1987,LISTAS!$H$3:$H$42,0)),"NO")="SÍ",IF(N($X1987)&gt;0,"CERRADA FUERA DE SLA","CERRADA EN SLA"),IF($U1987="","SIN CLASIFICAR",IF(N($X1987)&gt;0,"VENCIDA",IF(TODAY()&gt;=$U1987-1,"POR VENCER","EN PLAZO")))))</f>
        <v/>
      </c>
      <c r="Z1987" s="41" t="n"/>
      <c r="AA1987" s="41" t="n"/>
      <c r="AB1987" s="41" t="n"/>
    </row>
    <row r="1988">
      <c r="A1988" s="39">
        <f>IF($C1988="","","NOV-"&amp;TEXT(ROW()-3,"0000"))</f>
        <v/>
      </c>
      <c r="B1988" s="40" t="n"/>
      <c r="C1988" s="41" t="n"/>
      <c r="D1988" s="42">
        <f>IF($C1988="","",IFERROR(INDEX(DESPACHOS!$D$3:$D$3002,MATCH($C1988,DESPACHOS!$B$3:$B$3002,0)),"SIN DESPACHO"))</f>
        <v/>
      </c>
      <c r="E1988" s="42">
        <f>IF($C1988="","",IFERROR(INDEX(DESPACHOS!$K$3:$K$3002,MATCH($C1988,DESPACHOS!$B$3:$B$3002,0)),""))</f>
        <v/>
      </c>
      <c r="F1988" s="42">
        <f>IF($C1988="","",IFERROR(INDEX(DESPACHOS!$I$3:$I$3002,MATCH($C1988,DESPACHOS!$B$3:$B$3002,0)),""))</f>
        <v/>
      </c>
      <c r="G1988" s="42">
        <f>IF($C1988="","",IFERROR(INDEX(DESPACHOS!$F$3:$F$3002,MATCH($C1988,DESPACHOS!$B$3:$B$3002,0)),""))</f>
        <v/>
      </c>
      <c r="H1988" s="42">
        <f>IF($C1988="","",IFERROR(INDEX(DESPACHOS!$G$3:$G$3002,MATCH($C1988,DESPACHOS!$B$3:$B$3002,0)),""))</f>
        <v/>
      </c>
      <c r="I1988" s="39">
        <f>IF($C1988="","",IFERROR(INDEX(DESPACHOS!$H$3:$H$3002,MATCH($C1988,DESPACHOS!$B$3:$B$3002,0)),""))</f>
        <v/>
      </c>
      <c r="J1988" s="43">
        <f>IF($C1988="","",IFERROR(INDEX(DESPACHOS!$J$3:$J$3002,MATCH($C1988,DESPACHOS!$B$3:$B$3002,0)),""))</f>
        <v/>
      </c>
      <c r="K1988" s="39">
        <f>IF($C1988="","",IF(COUNTIFS(DESPACHOS!$B$3:$B$3002,$C1988)=0,"NO EXISTE",IF(COUNTIFS(DESPACHOS!$B$3:$B$3002,$C1988)&gt;1,"DUPLICADO","OK")))</f>
        <v/>
      </c>
      <c r="L1988" s="41" t="n"/>
      <c r="M1988" s="41" t="n"/>
      <c r="N1988" s="42">
        <f>IF($M1988="","",IFERROR(INDEX(LISTAS!$F$3:$F$42,MATCH($M1988,LISTAS!$E$3:$E$42,0)),"Por definir"))</f>
        <v/>
      </c>
      <c r="O1988" s="41" t="n"/>
      <c r="P1988" s="39">
        <f>IF($L1988="","",IFERROR(INDEX(LISTAS!$B$3:$B$42,MATCH($L1988,LISTAS!$A$3:$A$42,0)),"Media"))</f>
        <v/>
      </c>
      <c r="Q1988" s="44" t="n"/>
      <c r="R1988" s="45" t="n"/>
      <c r="S1988" s="20">
        <f>IFERROR(IF(OR($R1988="",$C1988=""),"",$R1988/INDEX(DESPACHOS!$M$3:$M$3002,MATCH($C1988,DESPACHOS!$B$3:$B$3002,0))),"")</f>
        <v/>
      </c>
      <c r="T1988" s="41" t="n"/>
      <c r="U1988" s="43">
        <f>IF(OR($B1988="",$L1988=""),"",WORKDAY($B1988,IFERROR(INDEX(LISTAS!$C$3:$C$42,MATCH($L1988,LISTAS!$A$3:$A$42,0)),3)))</f>
        <v/>
      </c>
      <c r="V1988" s="40" t="n"/>
      <c r="W1988" s="19">
        <f>IF($B1988="","",IF($V1988&lt;&gt;"",$V1988-$B1988,TODAY()-$B1988))</f>
        <v/>
      </c>
      <c r="X1988" s="19">
        <f>IF(OR($B1988="",$U1988=""),"",IF($V1988&lt;&gt;"",MAX(0,$V1988-$U1988),MAX(0,TODAY()-$U1988)))</f>
        <v/>
      </c>
      <c r="Y1988" s="39">
        <f>IF($C1988="","",IF(IFERROR(INDEX(LISTAS!$I$3:$I$42,MATCH($T1988,LISTAS!$H$3:$H$42,0)),"NO")="SÍ",IF(N($X1988)&gt;0,"CERRADA FUERA DE SLA","CERRADA EN SLA"),IF($U1988="","SIN CLASIFICAR",IF(N($X1988)&gt;0,"VENCIDA",IF(TODAY()&gt;=$U1988-1,"POR VENCER","EN PLAZO")))))</f>
        <v/>
      </c>
      <c r="Z1988" s="41" t="n"/>
      <c r="AA1988" s="41" t="n"/>
      <c r="AB1988" s="41" t="n"/>
    </row>
    <row r="1989">
      <c r="A1989" s="39">
        <f>IF($C1989="","","NOV-"&amp;TEXT(ROW()-3,"0000"))</f>
        <v/>
      </c>
      <c r="B1989" s="40" t="n"/>
      <c r="C1989" s="41" t="n"/>
      <c r="D1989" s="42">
        <f>IF($C1989="","",IFERROR(INDEX(DESPACHOS!$D$3:$D$3002,MATCH($C1989,DESPACHOS!$B$3:$B$3002,0)),"SIN DESPACHO"))</f>
        <v/>
      </c>
      <c r="E1989" s="42">
        <f>IF($C1989="","",IFERROR(INDEX(DESPACHOS!$K$3:$K$3002,MATCH($C1989,DESPACHOS!$B$3:$B$3002,0)),""))</f>
        <v/>
      </c>
      <c r="F1989" s="42">
        <f>IF($C1989="","",IFERROR(INDEX(DESPACHOS!$I$3:$I$3002,MATCH($C1989,DESPACHOS!$B$3:$B$3002,0)),""))</f>
        <v/>
      </c>
      <c r="G1989" s="42">
        <f>IF($C1989="","",IFERROR(INDEX(DESPACHOS!$F$3:$F$3002,MATCH($C1989,DESPACHOS!$B$3:$B$3002,0)),""))</f>
        <v/>
      </c>
      <c r="H1989" s="42">
        <f>IF($C1989="","",IFERROR(INDEX(DESPACHOS!$G$3:$G$3002,MATCH($C1989,DESPACHOS!$B$3:$B$3002,0)),""))</f>
        <v/>
      </c>
      <c r="I1989" s="39">
        <f>IF($C1989="","",IFERROR(INDEX(DESPACHOS!$H$3:$H$3002,MATCH($C1989,DESPACHOS!$B$3:$B$3002,0)),""))</f>
        <v/>
      </c>
      <c r="J1989" s="43">
        <f>IF($C1989="","",IFERROR(INDEX(DESPACHOS!$J$3:$J$3002,MATCH($C1989,DESPACHOS!$B$3:$B$3002,0)),""))</f>
        <v/>
      </c>
      <c r="K1989" s="39">
        <f>IF($C1989="","",IF(COUNTIFS(DESPACHOS!$B$3:$B$3002,$C1989)=0,"NO EXISTE",IF(COUNTIFS(DESPACHOS!$B$3:$B$3002,$C1989)&gt;1,"DUPLICADO","OK")))</f>
        <v/>
      </c>
      <c r="L1989" s="41" t="n"/>
      <c r="M1989" s="41" t="n"/>
      <c r="N1989" s="42">
        <f>IF($M1989="","",IFERROR(INDEX(LISTAS!$F$3:$F$42,MATCH($M1989,LISTAS!$E$3:$E$42,0)),"Por definir"))</f>
        <v/>
      </c>
      <c r="O1989" s="41" t="n"/>
      <c r="P1989" s="39">
        <f>IF($L1989="","",IFERROR(INDEX(LISTAS!$B$3:$B$42,MATCH($L1989,LISTAS!$A$3:$A$42,0)),"Media"))</f>
        <v/>
      </c>
      <c r="Q1989" s="44" t="n"/>
      <c r="R1989" s="45" t="n"/>
      <c r="S1989" s="20">
        <f>IFERROR(IF(OR($R1989="",$C1989=""),"",$R1989/INDEX(DESPACHOS!$M$3:$M$3002,MATCH($C1989,DESPACHOS!$B$3:$B$3002,0))),"")</f>
        <v/>
      </c>
      <c r="T1989" s="41" t="n"/>
      <c r="U1989" s="43">
        <f>IF(OR($B1989="",$L1989=""),"",WORKDAY($B1989,IFERROR(INDEX(LISTAS!$C$3:$C$42,MATCH($L1989,LISTAS!$A$3:$A$42,0)),3)))</f>
        <v/>
      </c>
      <c r="V1989" s="40" t="n"/>
      <c r="W1989" s="19">
        <f>IF($B1989="","",IF($V1989&lt;&gt;"",$V1989-$B1989,TODAY()-$B1989))</f>
        <v/>
      </c>
      <c r="X1989" s="19">
        <f>IF(OR($B1989="",$U1989=""),"",IF($V1989&lt;&gt;"",MAX(0,$V1989-$U1989),MAX(0,TODAY()-$U1989)))</f>
        <v/>
      </c>
      <c r="Y1989" s="39">
        <f>IF($C1989="","",IF(IFERROR(INDEX(LISTAS!$I$3:$I$42,MATCH($T1989,LISTAS!$H$3:$H$42,0)),"NO")="SÍ",IF(N($X1989)&gt;0,"CERRADA FUERA DE SLA","CERRADA EN SLA"),IF($U1989="","SIN CLASIFICAR",IF(N($X1989)&gt;0,"VENCIDA",IF(TODAY()&gt;=$U1989-1,"POR VENCER","EN PLAZO")))))</f>
        <v/>
      </c>
      <c r="Z1989" s="41" t="n"/>
      <c r="AA1989" s="41" t="n"/>
      <c r="AB1989" s="41" t="n"/>
    </row>
    <row r="1990">
      <c r="A1990" s="39">
        <f>IF($C1990="","","NOV-"&amp;TEXT(ROW()-3,"0000"))</f>
        <v/>
      </c>
      <c r="B1990" s="40" t="n"/>
      <c r="C1990" s="41" t="n"/>
      <c r="D1990" s="42">
        <f>IF($C1990="","",IFERROR(INDEX(DESPACHOS!$D$3:$D$3002,MATCH($C1990,DESPACHOS!$B$3:$B$3002,0)),"SIN DESPACHO"))</f>
        <v/>
      </c>
      <c r="E1990" s="42">
        <f>IF($C1990="","",IFERROR(INDEX(DESPACHOS!$K$3:$K$3002,MATCH($C1990,DESPACHOS!$B$3:$B$3002,0)),""))</f>
        <v/>
      </c>
      <c r="F1990" s="42">
        <f>IF($C1990="","",IFERROR(INDEX(DESPACHOS!$I$3:$I$3002,MATCH($C1990,DESPACHOS!$B$3:$B$3002,0)),""))</f>
        <v/>
      </c>
      <c r="G1990" s="42">
        <f>IF($C1990="","",IFERROR(INDEX(DESPACHOS!$F$3:$F$3002,MATCH($C1990,DESPACHOS!$B$3:$B$3002,0)),""))</f>
        <v/>
      </c>
      <c r="H1990" s="42">
        <f>IF($C1990="","",IFERROR(INDEX(DESPACHOS!$G$3:$G$3002,MATCH($C1990,DESPACHOS!$B$3:$B$3002,0)),""))</f>
        <v/>
      </c>
      <c r="I1990" s="39">
        <f>IF($C1990="","",IFERROR(INDEX(DESPACHOS!$H$3:$H$3002,MATCH($C1990,DESPACHOS!$B$3:$B$3002,0)),""))</f>
        <v/>
      </c>
      <c r="J1990" s="43">
        <f>IF($C1990="","",IFERROR(INDEX(DESPACHOS!$J$3:$J$3002,MATCH($C1990,DESPACHOS!$B$3:$B$3002,0)),""))</f>
        <v/>
      </c>
      <c r="K1990" s="39">
        <f>IF($C1990="","",IF(COUNTIFS(DESPACHOS!$B$3:$B$3002,$C1990)=0,"NO EXISTE",IF(COUNTIFS(DESPACHOS!$B$3:$B$3002,$C1990)&gt;1,"DUPLICADO","OK")))</f>
        <v/>
      </c>
      <c r="L1990" s="41" t="n"/>
      <c r="M1990" s="41" t="n"/>
      <c r="N1990" s="42">
        <f>IF($M1990="","",IFERROR(INDEX(LISTAS!$F$3:$F$42,MATCH($M1990,LISTAS!$E$3:$E$42,0)),"Por definir"))</f>
        <v/>
      </c>
      <c r="O1990" s="41" t="n"/>
      <c r="P1990" s="39">
        <f>IF($L1990="","",IFERROR(INDEX(LISTAS!$B$3:$B$42,MATCH($L1990,LISTAS!$A$3:$A$42,0)),"Media"))</f>
        <v/>
      </c>
      <c r="Q1990" s="44" t="n"/>
      <c r="R1990" s="45" t="n"/>
      <c r="S1990" s="20">
        <f>IFERROR(IF(OR($R1990="",$C1990=""),"",$R1990/INDEX(DESPACHOS!$M$3:$M$3002,MATCH($C1990,DESPACHOS!$B$3:$B$3002,0))),"")</f>
        <v/>
      </c>
      <c r="T1990" s="41" t="n"/>
      <c r="U1990" s="43">
        <f>IF(OR($B1990="",$L1990=""),"",WORKDAY($B1990,IFERROR(INDEX(LISTAS!$C$3:$C$42,MATCH($L1990,LISTAS!$A$3:$A$42,0)),3)))</f>
        <v/>
      </c>
      <c r="V1990" s="40" t="n"/>
      <c r="W1990" s="19">
        <f>IF($B1990="","",IF($V1990&lt;&gt;"",$V1990-$B1990,TODAY()-$B1990))</f>
        <v/>
      </c>
      <c r="X1990" s="19">
        <f>IF(OR($B1990="",$U1990=""),"",IF($V1990&lt;&gt;"",MAX(0,$V1990-$U1990),MAX(0,TODAY()-$U1990)))</f>
        <v/>
      </c>
      <c r="Y1990" s="39">
        <f>IF($C1990="","",IF(IFERROR(INDEX(LISTAS!$I$3:$I$42,MATCH($T1990,LISTAS!$H$3:$H$42,0)),"NO")="SÍ",IF(N($X1990)&gt;0,"CERRADA FUERA DE SLA","CERRADA EN SLA"),IF($U1990="","SIN CLASIFICAR",IF(N($X1990)&gt;0,"VENCIDA",IF(TODAY()&gt;=$U1990-1,"POR VENCER","EN PLAZO")))))</f>
        <v/>
      </c>
      <c r="Z1990" s="41" t="n"/>
      <c r="AA1990" s="41" t="n"/>
      <c r="AB1990" s="41" t="n"/>
    </row>
    <row r="1991">
      <c r="A1991" s="39">
        <f>IF($C1991="","","NOV-"&amp;TEXT(ROW()-3,"0000"))</f>
        <v/>
      </c>
      <c r="B1991" s="40" t="n"/>
      <c r="C1991" s="41" t="n"/>
      <c r="D1991" s="42">
        <f>IF($C1991="","",IFERROR(INDEX(DESPACHOS!$D$3:$D$3002,MATCH($C1991,DESPACHOS!$B$3:$B$3002,0)),"SIN DESPACHO"))</f>
        <v/>
      </c>
      <c r="E1991" s="42">
        <f>IF($C1991="","",IFERROR(INDEX(DESPACHOS!$K$3:$K$3002,MATCH($C1991,DESPACHOS!$B$3:$B$3002,0)),""))</f>
        <v/>
      </c>
      <c r="F1991" s="42">
        <f>IF($C1991="","",IFERROR(INDEX(DESPACHOS!$I$3:$I$3002,MATCH($C1991,DESPACHOS!$B$3:$B$3002,0)),""))</f>
        <v/>
      </c>
      <c r="G1991" s="42">
        <f>IF($C1991="","",IFERROR(INDEX(DESPACHOS!$F$3:$F$3002,MATCH($C1991,DESPACHOS!$B$3:$B$3002,0)),""))</f>
        <v/>
      </c>
      <c r="H1991" s="42">
        <f>IF($C1991="","",IFERROR(INDEX(DESPACHOS!$G$3:$G$3002,MATCH($C1991,DESPACHOS!$B$3:$B$3002,0)),""))</f>
        <v/>
      </c>
      <c r="I1991" s="39">
        <f>IF($C1991="","",IFERROR(INDEX(DESPACHOS!$H$3:$H$3002,MATCH($C1991,DESPACHOS!$B$3:$B$3002,0)),""))</f>
        <v/>
      </c>
      <c r="J1991" s="43">
        <f>IF($C1991="","",IFERROR(INDEX(DESPACHOS!$J$3:$J$3002,MATCH($C1991,DESPACHOS!$B$3:$B$3002,0)),""))</f>
        <v/>
      </c>
      <c r="K1991" s="39">
        <f>IF($C1991="","",IF(COUNTIFS(DESPACHOS!$B$3:$B$3002,$C1991)=0,"NO EXISTE",IF(COUNTIFS(DESPACHOS!$B$3:$B$3002,$C1991)&gt;1,"DUPLICADO","OK")))</f>
        <v/>
      </c>
      <c r="L1991" s="41" t="n"/>
      <c r="M1991" s="41" t="n"/>
      <c r="N1991" s="42">
        <f>IF($M1991="","",IFERROR(INDEX(LISTAS!$F$3:$F$42,MATCH($M1991,LISTAS!$E$3:$E$42,0)),"Por definir"))</f>
        <v/>
      </c>
      <c r="O1991" s="41" t="n"/>
      <c r="P1991" s="39">
        <f>IF($L1991="","",IFERROR(INDEX(LISTAS!$B$3:$B$42,MATCH($L1991,LISTAS!$A$3:$A$42,0)),"Media"))</f>
        <v/>
      </c>
      <c r="Q1991" s="44" t="n"/>
      <c r="R1991" s="45" t="n"/>
      <c r="S1991" s="20">
        <f>IFERROR(IF(OR($R1991="",$C1991=""),"",$R1991/INDEX(DESPACHOS!$M$3:$M$3002,MATCH($C1991,DESPACHOS!$B$3:$B$3002,0))),"")</f>
        <v/>
      </c>
      <c r="T1991" s="41" t="n"/>
      <c r="U1991" s="43">
        <f>IF(OR($B1991="",$L1991=""),"",WORKDAY($B1991,IFERROR(INDEX(LISTAS!$C$3:$C$42,MATCH($L1991,LISTAS!$A$3:$A$42,0)),3)))</f>
        <v/>
      </c>
      <c r="V1991" s="40" t="n"/>
      <c r="W1991" s="19">
        <f>IF($B1991="","",IF($V1991&lt;&gt;"",$V1991-$B1991,TODAY()-$B1991))</f>
        <v/>
      </c>
      <c r="X1991" s="19">
        <f>IF(OR($B1991="",$U1991=""),"",IF($V1991&lt;&gt;"",MAX(0,$V1991-$U1991),MAX(0,TODAY()-$U1991)))</f>
        <v/>
      </c>
      <c r="Y1991" s="39">
        <f>IF($C1991="","",IF(IFERROR(INDEX(LISTAS!$I$3:$I$42,MATCH($T1991,LISTAS!$H$3:$H$42,0)),"NO")="SÍ",IF(N($X1991)&gt;0,"CERRADA FUERA DE SLA","CERRADA EN SLA"),IF($U1991="","SIN CLASIFICAR",IF(N($X1991)&gt;0,"VENCIDA",IF(TODAY()&gt;=$U1991-1,"POR VENCER","EN PLAZO")))))</f>
        <v/>
      </c>
      <c r="Z1991" s="41" t="n"/>
      <c r="AA1991" s="41" t="n"/>
      <c r="AB1991" s="41" t="n"/>
    </row>
    <row r="1992">
      <c r="A1992" s="39">
        <f>IF($C1992="","","NOV-"&amp;TEXT(ROW()-3,"0000"))</f>
        <v/>
      </c>
      <c r="B1992" s="40" t="n"/>
      <c r="C1992" s="41" t="n"/>
      <c r="D1992" s="42">
        <f>IF($C1992="","",IFERROR(INDEX(DESPACHOS!$D$3:$D$3002,MATCH($C1992,DESPACHOS!$B$3:$B$3002,0)),"SIN DESPACHO"))</f>
        <v/>
      </c>
      <c r="E1992" s="42">
        <f>IF($C1992="","",IFERROR(INDEX(DESPACHOS!$K$3:$K$3002,MATCH($C1992,DESPACHOS!$B$3:$B$3002,0)),""))</f>
        <v/>
      </c>
      <c r="F1992" s="42">
        <f>IF($C1992="","",IFERROR(INDEX(DESPACHOS!$I$3:$I$3002,MATCH($C1992,DESPACHOS!$B$3:$B$3002,0)),""))</f>
        <v/>
      </c>
      <c r="G1992" s="42">
        <f>IF($C1992="","",IFERROR(INDEX(DESPACHOS!$F$3:$F$3002,MATCH($C1992,DESPACHOS!$B$3:$B$3002,0)),""))</f>
        <v/>
      </c>
      <c r="H1992" s="42">
        <f>IF($C1992="","",IFERROR(INDEX(DESPACHOS!$G$3:$G$3002,MATCH($C1992,DESPACHOS!$B$3:$B$3002,0)),""))</f>
        <v/>
      </c>
      <c r="I1992" s="39">
        <f>IF($C1992="","",IFERROR(INDEX(DESPACHOS!$H$3:$H$3002,MATCH($C1992,DESPACHOS!$B$3:$B$3002,0)),""))</f>
        <v/>
      </c>
      <c r="J1992" s="43">
        <f>IF($C1992="","",IFERROR(INDEX(DESPACHOS!$J$3:$J$3002,MATCH($C1992,DESPACHOS!$B$3:$B$3002,0)),""))</f>
        <v/>
      </c>
      <c r="K1992" s="39">
        <f>IF($C1992="","",IF(COUNTIFS(DESPACHOS!$B$3:$B$3002,$C1992)=0,"NO EXISTE",IF(COUNTIFS(DESPACHOS!$B$3:$B$3002,$C1992)&gt;1,"DUPLICADO","OK")))</f>
        <v/>
      </c>
      <c r="L1992" s="41" t="n"/>
      <c r="M1992" s="41" t="n"/>
      <c r="N1992" s="42">
        <f>IF($M1992="","",IFERROR(INDEX(LISTAS!$F$3:$F$42,MATCH($M1992,LISTAS!$E$3:$E$42,0)),"Por definir"))</f>
        <v/>
      </c>
      <c r="O1992" s="41" t="n"/>
      <c r="P1992" s="39">
        <f>IF($L1992="","",IFERROR(INDEX(LISTAS!$B$3:$B$42,MATCH($L1992,LISTAS!$A$3:$A$42,0)),"Media"))</f>
        <v/>
      </c>
      <c r="Q1992" s="44" t="n"/>
      <c r="R1992" s="45" t="n"/>
      <c r="S1992" s="20">
        <f>IFERROR(IF(OR($R1992="",$C1992=""),"",$R1992/INDEX(DESPACHOS!$M$3:$M$3002,MATCH($C1992,DESPACHOS!$B$3:$B$3002,0))),"")</f>
        <v/>
      </c>
      <c r="T1992" s="41" t="n"/>
      <c r="U1992" s="43">
        <f>IF(OR($B1992="",$L1992=""),"",WORKDAY($B1992,IFERROR(INDEX(LISTAS!$C$3:$C$42,MATCH($L1992,LISTAS!$A$3:$A$42,0)),3)))</f>
        <v/>
      </c>
      <c r="V1992" s="40" t="n"/>
      <c r="W1992" s="19">
        <f>IF($B1992="","",IF($V1992&lt;&gt;"",$V1992-$B1992,TODAY()-$B1992))</f>
        <v/>
      </c>
      <c r="X1992" s="19">
        <f>IF(OR($B1992="",$U1992=""),"",IF($V1992&lt;&gt;"",MAX(0,$V1992-$U1992),MAX(0,TODAY()-$U1992)))</f>
        <v/>
      </c>
      <c r="Y1992" s="39">
        <f>IF($C1992="","",IF(IFERROR(INDEX(LISTAS!$I$3:$I$42,MATCH($T1992,LISTAS!$H$3:$H$42,0)),"NO")="SÍ",IF(N($X1992)&gt;0,"CERRADA FUERA DE SLA","CERRADA EN SLA"),IF($U1992="","SIN CLASIFICAR",IF(N($X1992)&gt;0,"VENCIDA",IF(TODAY()&gt;=$U1992-1,"POR VENCER","EN PLAZO")))))</f>
        <v/>
      </c>
      <c r="Z1992" s="41" t="n"/>
      <c r="AA1992" s="41" t="n"/>
      <c r="AB1992" s="41" t="n"/>
    </row>
    <row r="1993">
      <c r="A1993" s="39">
        <f>IF($C1993="","","NOV-"&amp;TEXT(ROW()-3,"0000"))</f>
        <v/>
      </c>
      <c r="B1993" s="40" t="n"/>
      <c r="C1993" s="41" t="n"/>
      <c r="D1993" s="42">
        <f>IF($C1993="","",IFERROR(INDEX(DESPACHOS!$D$3:$D$3002,MATCH($C1993,DESPACHOS!$B$3:$B$3002,0)),"SIN DESPACHO"))</f>
        <v/>
      </c>
      <c r="E1993" s="42">
        <f>IF($C1993="","",IFERROR(INDEX(DESPACHOS!$K$3:$K$3002,MATCH($C1993,DESPACHOS!$B$3:$B$3002,0)),""))</f>
        <v/>
      </c>
      <c r="F1993" s="42">
        <f>IF($C1993="","",IFERROR(INDEX(DESPACHOS!$I$3:$I$3002,MATCH($C1993,DESPACHOS!$B$3:$B$3002,0)),""))</f>
        <v/>
      </c>
      <c r="G1993" s="42">
        <f>IF($C1993="","",IFERROR(INDEX(DESPACHOS!$F$3:$F$3002,MATCH($C1993,DESPACHOS!$B$3:$B$3002,0)),""))</f>
        <v/>
      </c>
      <c r="H1993" s="42">
        <f>IF($C1993="","",IFERROR(INDEX(DESPACHOS!$G$3:$G$3002,MATCH($C1993,DESPACHOS!$B$3:$B$3002,0)),""))</f>
        <v/>
      </c>
      <c r="I1993" s="39">
        <f>IF($C1993="","",IFERROR(INDEX(DESPACHOS!$H$3:$H$3002,MATCH($C1993,DESPACHOS!$B$3:$B$3002,0)),""))</f>
        <v/>
      </c>
      <c r="J1993" s="43">
        <f>IF($C1993="","",IFERROR(INDEX(DESPACHOS!$J$3:$J$3002,MATCH($C1993,DESPACHOS!$B$3:$B$3002,0)),""))</f>
        <v/>
      </c>
      <c r="K1993" s="39">
        <f>IF($C1993="","",IF(COUNTIFS(DESPACHOS!$B$3:$B$3002,$C1993)=0,"NO EXISTE",IF(COUNTIFS(DESPACHOS!$B$3:$B$3002,$C1993)&gt;1,"DUPLICADO","OK")))</f>
        <v/>
      </c>
      <c r="L1993" s="41" t="n"/>
      <c r="M1993" s="41" t="n"/>
      <c r="N1993" s="42">
        <f>IF($M1993="","",IFERROR(INDEX(LISTAS!$F$3:$F$42,MATCH($M1993,LISTAS!$E$3:$E$42,0)),"Por definir"))</f>
        <v/>
      </c>
      <c r="O1993" s="41" t="n"/>
      <c r="P1993" s="39">
        <f>IF($L1993="","",IFERROR(INDEX(LISTAS!$B$3:$B$42,MATCH($L1993,LISTAS!$A$3:$A$42,0)),"Media"))</f>
        <v/>
      </c>
      <c r="Q1993" s="44" t="n"/>
      <c r="R1993" s="45" t="n"/>
      <c r="S1993" s="20">
        <f>IFERROR(IF(OR($R1993="",$C1993=""),"",$R1993/INDEX(DESPACHOS!$M$3:$M$3002,MATCH($C1993,DESPACHOS!$B$3:$B$3002,0))),"")</f>
        <v/>
      </c>
      <c r="T1993" s="41" t="n"/>
      <c r="U1993" s="43">
        <f>IF(OR($B1993="",$L1993=""),"",WORKDAY($B1993,IFERROR(INDEX(LISTAS!$C$3:$C$42,MATCH($L1993,LISTAS!$A$3:$A$42,0)),3)))</f>
        <v/>
      </c>
      <c r="V1993" s="40" t="n"/>
      <c r="W1993" s="19">
        <f>IF($B1993="","",IF($V1993&lt;&gt;"",$V1993-$B1993,TODAY()-$B1993))</f>
        <v/>
      </c>
      <c r="X1993" s="19">
        <f>IF(OR($B1993="",$U1993=""),"",IF($V1993&lt;&gt;"",MAX(0,$V1993-$U1993),MAX(0,TODAY()-$U1993)))</f>
        <v/>
      </c>
      <c r="Y1993" s="39">
        <f>IF($C1993="","",IF(IFERROR(INDEX(LISTAS!$I$3:$I$42,MATCH($T1993,LISTAS!$H$3:$H$42,0)),"NO")="SÍ",IF(N($X1993)&gt;0,"CERRADA FUERA DE SLA","CERRADA EN SLA"),IF($U1993="","SIN CLASIFICAR",IF(N($X1993)&gt;0,"VENCIDA",IF(TODAY()&gt;=$U1993-1,"POR VENCER","EN PLAZO")))))</f>
        <v/>
      </c>
      <c r="Z1993" s="41" t="n"/>
      <c r="AA1993" s="41" t="n"/>
      <c r="AB1993" s="41" t="n"/>
    </row>
    <row r="1994">
      <c r="A1994" s="39">
        <f>IF($C1994="","","NOV-"&amp;TEXT(ROW()-3,"0000"))</f>
        <v/>
      </c>
      <c r="B1994" s="40" t="n"/>
      <c r="C1994" s="41" t="n"/>
      <c r="D1994" s="42">
        <f>IF($C1994="","",IFERROR(INDEX(DESPACHOS!$D$3:$D$3002,MATCH($C1994,DESPACHOS!$B$3:$B$3002,0)),"SIN DESPACHO"))</f>
        <v/>
      </c>
      <c r="E1994" s="42">
        <f>IF($C1994="","",IFERROR(INDEX(DESPACHOS!$K$3:$K$3002,MATCH($C1994,DESPACHOS!$B$3:$B$3002,0)),""))</f>
        <v/>
      </c>
      <c r="F1994" s="42">
        <f>IF($C1994="","",IFERROR(INDEX(DESPACHOS!$I$3:$I$3002,MATCH($C1994,DESPACHOS!$B$3:$B$3002,0)),""))</f>
        <v/>
      </c>
      <c r="G1994" s="42">
        <f>IF($C1994="","",IFERROR(INDEX(DESPACHOS!$F$3:$F$3002,MATCH($C1994,DESPACHOS!$B$3:$B$3002,0)),""))</f>
        <v/>
      </c>
      <c r="H1994" s="42">
        <f>IF($C1994="","",IFERROR(INDEX(DESPACHOS!$G$3:$G$3002,MATCH($C1994,DESPACHOS!$B$3:$B$3002,0)),""))</f>
        <v/>
      </c>
      <c r="I1994" s="39">
        <f>IF($C1994="","",IFERROR(INDEX(DESPACHOS!$H$3:$H$3002,MATCH($C1994,DESPACHOS!$B$3:$B$3002,0)),""))</f>
        <v/>
      </c>
      <c r="J1994" s="43">
        <f>IF($C1994="","",IFERROR(INDEX(DESPACHOS!$J$3:$J$3002,MATCH($C1994,DESPACHOS!$B$3:$B$3002,0)),""))</f>
        <v/>
      </c>
      <c r="K1994" s="39">
        <f>IF($C1994="","",IF(COUNTIFS(DESPACHOS!$B$3:$B$3002,$C1994)=0,"NO EXISTE",IF(COUNTIFS(DESPACHOS!$B$3:$B$3002,$C1994)&gt;1,"DUPLICADO","OK")))</f>
        <v/>
      </c>
      <c r="L1994" s="41" t="n"/>
      <c r="M1994" s="41" t="n"/>
      <c r="N1994" s="42">
        <f>IF($M1994="","",IFERROR(INDEX(LISTAS!$F$3:$F$42,MATCH($M1994,LISTAS!$E$3:$E$42,0)),"Por definir"))</f>
        <v/>
      </c>
      <c r="O1994" s="41" t="n"/>
      <c r="P1994" s="39">
        <f>IF($L1994="","",IFERROR(INDEX(LISTAS!$B$3:$B$42,MATCH($L1994,LISTAS!$A$3:$A$42,0)),"Media"))</f>
        <v/>
      </c>
      <c r="Q1994" s="44" t="n"/>
      <c r="R1994" s="45" t="n"/>
      <c r="S1994" s="20">
        <f>IFERROR(IF(OR($R1994="",$C1994=""),"",$R1994/INDEX(DESPACHOS!$M$3:$M$3002,MATCH($C1994,DESPACHOS!$B$3:$B$3002,0))),"")</f>
        <v/>
      </c>
      <c r="T1994" s="41" t="n"/>
      <c r="U1994" s="43">
        <f>IF(OR($B1994="",$L1994=""),"",WORKDAY($B1994,IFERROR(INDEX(LISTAS!$C$3:$C$42,MATCH($L1994,LISTAS!$A$3:$A$42,0)),3)))</f>
        <v/>
      </c>
      <c r="V1994" s="40" t="n"/>
      <c r="W1994" s="19">
        <f>IF($B1994="","",IF($V1994&lt;&gt;"",$V1994-$B1994,TODAY()-$B1994))</f>
        <v/>
      </c>
      <c r="X1994" s="19">
        <f>IF(OR($B1994="",$U1994=""),"",IF($V1994&lt;&gt;"",MAX(0,$V1994-$U1994),MAX(0,TODAY()-$U1994)))</f>
        <v/>
      </c>
      <c r="Y1994" s="39">
        <f>IF($C1994="","",IF(IFERROR(INDEX(LISTAS!$I$3:$I$42,MATCH($T1994,LISTAS!$H$3:$H$42,0)),"NO")="SÍ",IF(N($X1994)&gt;0,"CERRADA FUERA DE SLA","CERRADA EN SLA"),IF($U1994="","SIN CLASIFICAR",IF(N($X1994)&gt;0,"VENCIDA",IF(TODAY()&gt;=$U1994-1,"POR VENCER","EN PLAZO")))))</f>
        <v/>
      </c>
      <c r="Z1994" s="41" t="n"/>
      <c r="AA1994" s="41" t="n"/>
      <c r="AB1994" s="41" t="n"/>
    </row>
    <row r="1995">
      <c r="A1995" s="39">
        <f>IF($C1995="","","NOV-"&amp;TEXT(ROW()-3,"0000"))</f>
        <v/>
      </c>
      <c r="B1995" s="40" t="n"/>
      <c r="C1995" s="41" t="n"/>
      <c r="D1995" s="42">
        <f>IF($C1995="","",IFERROR(INDEX(DESPACHOS!$D$3:$D$3002,MATCH($C1995,DESPACHOS!$B$3:$B$3002,0)),"SIN DESPACHO"))</f>
        <v/>
      </c>
      <c r="E1995" s="42">
        <f>IF($C1995="","",IFERROR(INDEX(DESPACHOS!$K$3:$K$3002,MATCH($C1995,DESPACHOS!$B$3:$B$3002,0)),""))</f>
        <v/>
      </c>
      <c r="F1995" s="42">
        <f>IF($C1995="","",IFERROR(INDEX(DESPACHOS!$I$3:$I$3002,MATCH($C1995,DESPACHOS!$B$3:$B$3002,0)),""))</f>
        <v/>
      </c>
      <c r="G1995" s="42">
        <f>IF($C1995="","",IFERROR(INDEX(DESPACHOS!$F$3:$F$3002,MATCH($C1995,DESPACHOS!$B$3:$B$3002,0)),""))</f>
        <v/>
      </c>
      <c r="H1995" s="42">
        <f>IF($C1995="","",IFERROR(INDEX(DESPACHOS!$G$3:$G$3002,MATCH($C1995,DESPACHOS!$B$3:$B$3002,0)),""))</f>
        <v/>
      </c>
      <c r="I1995" s="39">
        <f>IF($C1995="","",IFERROR(INDEX(DESPACHOS!$H$3:$H$3002,MATCH($C1995,DESPACHOS!$B$3:$B$3002,0)),""))</f>
        <v/>
      </c>
      <c r="J1995" s="43">
        <f>IF($C1995="","",IFERROR(INDEX(DESPACHOS!$J$3:$J$3002,MATCH($C1995,DESPACHOS!$B$3:$B$3002,0)),""))</f>
        <v/>
      </c>
      <c r="K1995" s="39">
        <f>IF($C1995="","",IF(COUNTIFS(DESPACHOS!$B$3:$B$3002,$C1995)=0,"NO EXISTE",IF(COUNTIFS(DESPACHOS!$B$3:$B$3002,$C1995)&gt;1,"DUPLICADO","OK")))</f>
        <v/>
      </c>
      <c r="L1995" s="41" t="n"/>
      <c r="M1995" s="41" t="n"/>
      <c r="N1995" s="42">
        <f>IF($M1995="","",IFERROR(INDEX(LISTAS!$F$3:$F$42,MATCH($M1995,LISTAS!$E$3:$E$42,0)),"Por definir"))</f>
        <v/>
      </c>
      <c r="O1995" s="41" t="n"/>
      <c r="P1995" s="39">
        <f>IF($L1995="","",IFERROR(INDEX(LISTAS!$B$3:$B$42,MATCH($L1995,LISTAS!$A$3:$A$42,0)),"Media"))</f>
        <v/>
      </c>
      <c r="Q1995" s="44" t="n"/>
      <c r="R1995" s="45" t="n"/>
      <c r="S1995" s="20">
        <f>IFERROR(IF(OR($R1995="",$C1995=""),"",$R1995/INDEX(DESPACHOS!$M$3:$M$3002,MATCH($C1995,DESPACHOS!$B$3:$B$3002,0))),"")</f>
        <v/>
      </c>
      <c r="T1995" s="41" t="n"/>
      <c r="U1995" s="43">
        <f>IF(OR($B1995="",$L1995=""),"",WORKDAY($B1995,IFERROR(INDEX(LISTAS!$C$3:$C$42,MATCH($L1995,LISTAS!$A$3:$A$42,0)),3)))</f>
        <v/>
      </c>
      <c r="V1995" s="40" t="n"/>
      <c r="W1995" s="19">
        <f>IF($B1995="","",IF($V1995&lt;&gt;"",$V1995-$B1995,TODAY()-$B1995))</f>
        <v/>
      </c>
      <c r="X1995" s="19">
        <f>IF(OR($B1995="",$U1995=""),"",IF($V1995&lt;&gt;"",MAX(0,$V1995-$U1995),MAX(0,TODAY()-$U1995)))</f>
        <v/>
      </c>
      <c r="Y1995" s="39">
        <f>IF($C1995="","",IF(IFERROR(INDEX(LISTAS!$I$3:$I$42,MATCH($T1995,LISTAS!$H$3:$H$42,0)),"NO")="SÍ",IF(N($X1995)&gt;0,"CERRADA FUERA DE SLA","CERRADA EN SLA"),IF($U1995="","SIN CLASIFICAR",IF(N($X1995)&gt;0,"VENCIDA",IF(TODAY()&gt;=$U1995-1,"POR VENCER","EN PLAZO")))))</f>
        <v/>
      </c>
      <c r="Z1995" s="41" t="n"/>
      <c r="AA1995" s="41" t="n"/>
      <c r="AB1995" s="41" t="n"/>
    </row>
    <row r="1996">
      <c r="A1996" s="39">
        <f>IF($C1996="","","NOV-"&amp;TEXT(ROW()-3,"0000"))</f>
        <v/>
      </c>
      <c r="B1996" s="40" t="n"/>
      <c r="C1996" s="41" t="n"/>
      <c r="D1996" s="42">
        <f>IF($C1996="","",IFERROR(INDEX(DESPACHOS!$D$3:$D$3002,MATCH($C1996,DESPACHOS!$B$3:$B$3002,0)),"SIN DESPACHO"))</f>
        <v/>
      </c>
      <c r="E1996" s="42">
        <f>IF($C1996="","",IFERROR(INDEX(DESPACHOS!$K$3:$K$3002,MATCH($C1996,DESPACHOS!$B$3:$B$3002,0)),""))</f>
        <v/>
      </c>
      <c r="F1996" s="42">
        <f>IF($C1996="","",IFERROR(INDEX(DESPACHOS!$I$3:$I$3002,MATCH($C1996,DESPACHOS!$B$3:$B$3002,0)),""))</f>
        <v/>
      </c>
      <c r="G1996" s="42">
        <f>IF($C1996="","",IFERROR(INDEX(DESPACHOS!$F$3:$F$3002,MATCH($C1996,DESPACHOS!$B$3:$B$3002,0)),""))</f>
        <v/>
      </c>
      <c r="H1996" s="42">
        <f>IF($C1996="","",IFERROR(INDEX(DESPACHOS!$G$3:$G$3002,MATCH($C1996,DESPACHOS!$B$3:$B$3002,0)),""))</f>
        <v/>
      </c>
      <c r="I1996" s="39">
        <f>IF($C1996="","",IFERROR(INDEX(DESPACHOS!$H$3:$H$3002,MATCH($C1996,DESPACHOS!$B$3:$B$3002,0)),""))</f>
        <v/>
      </c>
      <c r="J1996" s="43">
        <f>IF($C1996="","",IFERROR(INDEX(DESPACHOS!$J$3:$J$3002,MATCH($C1996,DESPACHOS!$B$3:$B$3002,0)),""))</f>
        <v/>
      </c>
      <c r="K1996" s="39">
        <f>IF($C1996="","",IF(COUNTIFS(DESPACHOS!$B$3:$B$3002,$C1996)=0,"NO EXISTE",IF(COUNTIFS(DESPACHOS!$B$3:$B$3002,$C1996)&gt;1,"DUPLICADO","OK")))</f>
        <v/>
      </c>
      <c r="L1996" s="41" t="n"/>
      <c r="M1996" s="41" t="n"/>
      <c r="N1996" s="42">
        <f>IF($M1996="","",IFERROR(INDEX(LISTAS!$F$3:$F$42,MATCH($M1996,LISTAS!$E$3:$E$42,0)),"Por definir"))</f>
        <v/>
      </c>
      <c r="O1996" s="41" t="n"/>
      <c r="P1996" s="39">
        <f>IF($L1996="","",IFERROR(INDEX(LISTAS!$B$3:$B$42,MATCH($L1996,LISTAS!$A$3:$A$42,0)),"Media"))</f>
        <v/>
      </c>
      <c r="Q1996" s="44" t="n"/>
      <c r="R1996" s="45" t="n"/>
      <c r="S1996" s="20">
        <f>IFERROR(IF(OR($R1996="",$C1996=""),"",$R1996/INDEX(DESPACHOS!$M$3:$M$3002,MATCH($C1996,DESPACHOS!$B$3:$B$3002,0))),"")</f>
        <v/>
      </c>
      <c r="T1996" s="41" t="n"/>
      <c r="U1996" s="43">
        <f>IF(OR($B1996="",$L1996=""),"",WORKDAY($B1996,IFERROR(INDEX(LISTAS!$C$3:$C$42,MATCH($L1996,LISTAS!$A$3:$A$42,0)),3)))</f>
        <v/>
      </c>
      <c r="V1996" s="40" t="n"/>
      <c r="W1996" s="19">
        <f>IF($B1996="","",IF($V1996&lt;&gt;"",$V1996-$B1996,TODAY()-$B1996))</f>
        <v/>
      </c>
      <c r="X1996" s="19">
        <f>IF(OR($B1996="",$U1996=""),"",IF($V1996&lt;&gt;"",MAX(0,$V1996-$U1996),MAX(0,TODAY()-$U1996)))</f>
        <v/>
      </c>
      <c r="Y1996" s="39">
        <f>IF($C1996="","",IF(IFERROR(INDEX(LISTAS!$I$3:$I$42,MATCH($T1996,LISTAS!$H$3:$H$42,0)),"NO")="SÍ",IF(N($X1996)&gt;0,"CERRADA FUERA DE SLA","CERRADA EN SLA"),IF($U1996="","SIN CLASIFICAR",IF(N($X1996)&gt;0,"VENCIDA",IF(TODAY()&gt;=$U1996-1,"POR VENCER","EN PLAZO")))))</f>
        <v/>
      </c>
      <c r="Z1996" s="41" t="n"/>
      <c r="AA1996" s="41" t="n"/>
      <c r="AB1996" s="41" t="n"/>
    </row>
    <row r="1997">
      <c r="A1997" s="39">
        <f>IF($C1997="","","NOV-"&amp;TEXT(ROW()-3,"0000"))</f>
        <v/>
      </c>
      <c r="B1997" s="40" t="n"/>
      <c r="C1997" s="41" t="n"/>
      <c r="D1997" s="42">
        <f>IF($C1997="","",IFERROR(INDEX(DESPACHOS!$D$3:$D$3002,MATCH($C1997,DESPACHOS!$B$3:$B$3002,0)),"SIN DESPACHO"))</f>
        <v/>
      </c>
      <c r="E1997" s="42">
        <f>IF($C1997="","",IFERROR(INDEX(DESPACHOS!$K$3:$K$3002,MATCH($C1997,DESPACHOS!$B$3:$B$3002,0)),""))</f>
        <v/>
      </c>
      <c r="F1997" s="42">
        <f>IF($C1997="","",IFERROR(INDEX(DESPACHOS!$I$3:$I$3002,MATCH($C1997,DESPACHOS!$B$3:$B$3002,0)),""))</f>
        <v/>
      </c>
      <c r="G1997" s="42">
        <f>IF($C1997="","",IFERROR(INDEX(DESPACHOS!$F$3:$F$3002,MATCH($C1997,DESPACHOS!$B$3:$B$3002,0)),""))</f>
        <v/>
      </c>
      <c r="H1997" s="42">
        <f>IF($C1997="","",IFERROR(INDEX(DESPACHOS!$G$3:$G$3002,MATCH($C1997,DESPACHOS!$B$3:$B$3002,0)),""))</f>
        <v/>
      </c>
      <c r="I1997" s="39">
        <f>IF($C1997="","",IFERROR(INDEX(DESPACHOS!$H$3:$H$3002,MATCH($C1997,DESPACHOS!$B$3:$B$3002,0)),""))</f>
        <v/>
      </c>
      <c r="J1997" s="43">
        <f>IF($C1997="","",IFERROR(INDEX(DESPACHOS!$J$3:$J$3002,MATCH($C1997,DESPACHOS!$B$3:$B$3002,0)),""))</f>
        <v/>
      </c>
      <c r="K1997" s="39">
        <f>IF($C1997="","",IF(COUNTIFS(DESPACHOS!$B$3:$B$3002,$C1997)=0,"NO EXISTE",IF(COUNTIFS(DESPACHOS!$B$3:$B$3002,$C1997)&gt;1,"DUPLICADO","OK")))</f>
        <v/>
      </c>
      <c r="L1997" s="41" t="n"/>
      <c r="M1997" s="41" t="n"/>
      <c r="N1997" s="42">
        <f>IF($M1997="","",IFERROR(INDEX(LISTAS!$F$3:$F$42,MATCH($M1997,LISTAS!$E$3:$E$42,0)),"Por definir"))</f>
        <v/>
      </c>
      <c r="O1997" s="41" t="n"/>
      <c r="P1997" s="39">
        <f>IF($L1997="","",IFERROR(INDEX(LISTAS!$B$3:$B$42,MATCH($L1997,LISTAS!$A$3:$A$42,0)),"Media"))</f>
        <v/>
      </c>
      <c r="Q1997" s="44" t="n"/>
      <c r="R1997" s="45" t="n"/>
      <c r="S1997" s="20">
        <f>IFERROR(IF(OR($R1997="",$C1997=""),"",$R1997/INDEX(DESPACHOS!$M$3:$M$3002,MATCH($C1997,DESPACHOS!$B$3:$B$3002,0))),"")</f>
        <v/>
      </c>
      <c r="T1997" s="41" t="n"/>
      <c r="U1997" s="43">
        <f>IF(OR($B1997="",$L1997=""),"",WORKDAY($B1997,IFERROR(INDEX(LISTAS!$C$3:$C$42,MATCH($L1997,LISTAS!$A$3:$A$42,0)),3)))</f>
        <v/>
      </c>
      <c r="V1997" s="40" t="n"/>
      <c r="W1997" s="19">
        <f>IF($B1997="","",IF($V1997&lt;&gt;"",$V1997-$B1997,TODAY()-$B1997))</f>
        <v/>
      </c>
      <c r="X1997" s="19">
        <f>IF(OR($B1997="",$U1997=""),"",IF($V1997&lt;&gt;"",MAX(0,$V1997-$U1997),MAX(0,TODAY()-$U1997)))</f>
        <v/>
      </c>
      <c r="Y1997" s="39">
        <f>IF($C1997="","",IF(IFERROR(INDEX(LISTAS!$I$3:$I$42,MATCH($T1997,LISTAS!$H$3:$H$42,0)),"NO")="SÍ",IF(N($X1997)&gt;0,"CERRADA FUERA DE SLA","CERRADA EN SLA"),IF($U1997="","SIN CLASIFICAR",IF(N($X1997)&gt;0,"VENCIDA",IF(TODAY()&gt;=$U1997-1,"POR VENCER","EN PLAZO")))))</f>
        <v/>
      </c>
      <c r="Z1997" s="41" t="n"/>
      <c r="AA1997" s="41" t="n"/>
      <c r="AB1997" s="41" t="n"/>
    </row>
    <row r="1998">
      <c r="A1998" s="39">
        <f>IF($C1998="","","NOV-"&amp;TEXT(ROW()-3,"0000"))</f>
        <v/>
      </c>
      <c r="B1998" s="40" t="n"/>
      <c r="C1998" s="41" t="n"/>
      <c r="D1998" s="42">
        <f>IF($C1998="","",IFERROR(INDEX(DESPACHOS!$D$3:$D$3002,MATCH($C1998,DESPACHOS!$B$3:$B$3002,0)),"SIN DESPACHO"))</f>
        <v/>
      </c>
      <c r="E1998" s="42">
        <f>IF($C1998="","",IFERROR(INDEX(DESPACHOS!$K$3:$K$3002,MATCH($C1998,DESPACHOS!$B$3:$B$3002,0)),""))</f>
        <v/>
      </c>
      <c r="F1998" s="42">
        <f>IF($C1998="","",IFERROR(INDEX(DESPACHOS!$I$3:$I$3002,MATCH($C1998,DESPACHOS!$B$3:$B$3002,0)),""))</f>
        <v/>
      </c>
      <c r="G1998" s="42">
        <f>IF($C1998="","",IFERROR(INDEX(DESPACHOS!$F$3:$F$3002,MATCH($C1998,DESPACHOS!$B$3:$B$3002,0)),""))</f>
        <v/>
      </c>
      <c r="H1998" s="42">
        <f>IF($C1998="","",IFERROR(INDEX(DESPACHOS!$G$3:$G$3002,MATCH($C1998,DESPACHOS!$B$3:$B$3002,0)),""))</f>
        <v/>
      </c>
      <c r="I1998" s="39">
        <f>IF($C1998="","",IFERROR(INDEX(DESPACHOS!$H$3:$H$3002,MATCH($C1998,DESPACHOS!$B$3:$B$3002,0)),""))</f>
        <v/>
      </c>
      <c r="J1998" s="43">
        <f>IF($C1998="","",IFERROR(INDEX(DESPACHOS!$J$3:$J$3002,MATCH($C1998,DESPACHOS!$B$3:$B$3002,0)),""))</f>
        <v/>
      </c>
      <c r="K1998" s="39">
        <f>IF($C1998="","",IF(COUNTIFS(DESPACHOS!$B$3:$B$3002,$C1998)=0,"NO EXISTE",IF(COUNTIFS(DESPACHOS!$B$3:$B$3002,$C1998)&gt;1,"DUPLICADO","OK")))</f>
        <v/>
      </c>
      <c r="L1998" s="41" t="n"/>
      <c r="M1998" s="41" t="n"/>
      <c r="N1998" s="42">
        <f>IF($M1998="","",IFERROR(INDEX(LISTAS!$F$3:$F$42,MATCH($M1998,LISTAS!$E$3:$E$42,0)),"Por definir"))</f>
        <v/>
      </c>
      <c r="O1998" s="41" t="n"/>
      <c r="P1998" s="39">
        <f>IF($L1998="","",IFERROR(INDEX(LISTAS!$B$3:$B$42,MATCH($L1998,LISTAS!$A$3:$A$42,0)),"Media"))</f>
        <v/>
      </c>
      <c r="Q1998" s="44" t="n"/>
      <c r="R1998" s="45" t="n"/>
      <c r="S1998" s="20">
        <f>IFERROR(IF(OR($R1998="",$C1998=""),"",$R1998/INDEX(DESPACHOS!$M$3:$M$3002,MATCH($C1998,DESPACHOS!$B$3:$B$3002,0))),"")</f>
        <v/>
      </c>
      <c r="T1998" s="41" t="n"/>
      <c r="U1998" s="43">
        <f>IF(OR($B1998="",$L1998=""),"",WORKDAY($B1998,IFERROR(INDEX(LISTAS!$C$3:$C$42,MATCH($L1998,LISTAS!$A$3:$A$42,0)),3)))</f>
        <v/>
      </c>
      <c r="V1998" s="40" t="n"/>
      <c r="W1998" s="19">
        <f>IF($B1998="","",IF($V1998&lt;&gt;"",$V1998-$B1998,TODAY()-$B1998))</f>
        <v/>
      </c>
      <c r="X1998" s="19">
        <f>IF(OR($B1998="",$U1998=""),"",IF($V1998&lt;&gt;"",MAX(0,$V1998-$U1998),MAX(0,TODAY()-$U1998)))</f>
        <v/>
      </c>
      <c r="Y1998" s="39">
        <f>IF($C1998="","",IF(IFERROR(INDEX(LISTAS!$I$3:$I$42,MATCH($T1998,LISTAS!$H$3:$H$42,0)),"NO")="SÍ",IF(N($X1998)&gt;0,"CERRADA FUERA DE SLA","CERRADA EN SLA"),IF($U1998="","SIN CLASIFICAR",IF(N($X1998)&gt;0,"VENCIDA",IF(TODAY()&gt;=$U1998-1,"POR VENCER","EN PLAZO")))))</f>
        <v/>
      </c>
      <c r="Z1998" s="41" t="n"/>
      <c r="AA1998" s="41" t="n"/>
      <c r="AB1998" s="41" t="n"/>
    </row>
    <row r="1999">
      <c r="A1999" s="39">
        <f>IF($C1999="","","NOV-"&amp;TEXT(ROW()-3,"0000"))</f>
        <v/>
      </c>
      <c r="B1999" s="40" t="n"/>
      <c r="C1999" s="41" t="n"/>
      <c r="D1999" s="42">
        <f>IF($C1999="","",IFERROR(INDEX(DESPACHOS!$D$3:$D$3002,MATCH($C1999,DESPACHOS!$B$3:$B$3002,0)),"SIN DESPACHO"))</f>
        <v/>
      </c>
      <c r="E1999" s="42">
        <f>IF($C1999="","",IFERROR(INDEX(DESPACHOS!$K$3:$K$3002,MATCH($C1999,DESPACHOS!$B$3:$B$3002,0)),""))</f>
        <v/>
      </c>
      <c r="F1999" s="42">
        <f>IF($C1999="","",IFERROR(INDEX(DESPACHOS!$I$3:$I$3002,MATCH($C1999,DESPACHOS!$B$3:$B$3002,0)),""))</f>
        <v/>
      </c>
      <c r="G1999" s="42">
        <f>IF($C1999="","",IFERROR(INDEX(DESPACHOS!$F$3:$F$3002,MATCH($C1999,DESPACHOS!$B$3:$B$3002,0)),""))</f>
        <v/>
      </c>
      <c r="H1999" s="42">
        <f>IF($C1999="","",IFERROR(INDEX(DESPACHOS!$G$3:$G$3002,MATCH($C1999,DESPACHOS!$B$3:$B$3002,0)),""))</f>
        <v/>
      </c>
      <c r="I1999" s="39">
        <f>IF($C1999="","",IFERROR(INDEX(DESPACHOS!$H$3:$H$3002,MATCH($C1999,DESPACHOS!$B$3:$B$3002,0)),""))</f>
        <v/>
      </c>
      <c r="J1999" s="43">
        <f>IF($C1999="","",IFERROR(INDEX(DESPACHOS!$J$3:$J$3002,MATCH($C1999,DESPACHOS!$B$3:$B$3002,0)),""))</f>
        <v/>
      </c>
      <c r="K1999" s="39">
        <f>IF($C1999="","",IF(COUNTIFS(DESPACHOS!$B$3:$B$3002,$C1999)=0,"NO EXISTE",IF(COUNTIFS(DESPACHOS!$B$3:$B$3002,$C1999)&gt;1,"DUPLICADO","OK")))</f>
        <v/>
      </c>
      <c r="L1999" s="41" t="n"/>
      <c r="M1999" s="41" t="n"/>
      <c r="N1999" s="42">
        <f>IF($M1999="","",IFERROR(INDEX(LISTAS!$F$3:$F$42,MATCH($M1999,LISTAS!$E$3:$E$42,0)),"Por definir"))</f>
        <v/>
      </c>
      <c r="O1999" s="41" t="n"/>
      <c r="P1999" s="39">
        <f>IF($L1999="","",IFERROR(INDEX(LISTAS!$B$3:$B$42,MATCH($L1999,LISTAS!$A$3:$A$42,0)),"Media"))</f>
        <v/>
      </c>
      <c r="Q1999" s="44" t="n"/>
      <c r="R1999" s="45" t="n"/>
      <c r="S1999" s="20">
        <f>IFERROR(IF(OR($R1999="",$C1999=""),"",$R1999/INDEX(DESPACHOS!$M$3:$M$3002,MATCH($C1999,DESPACHOS!$B$3:$B$3002,0))),"")</f>
        <v/>
      </c>
      <c r="T1999" s="41" t="n"/>
      <c r="U1999" s="43">
        <f>IF(OR($B1999="",$L1999=""),"",WORKDAY($B1999,IFERROR(INDEX(LISTAS!$C$3:$C$42,MATCH($L1999,LISTAS!$A$3:$A$42,0)),3)))</f>
        <v/>
      </c>
      <c r="V1999" s="40" t="n"/>
      <c r="W1999" s="19">
        <f>IF($B1999="","",IF($V1999&lt;&gt;"",$V1999-$B1999,TODAY()-$B1999))</f>
        <v/>
      </c>
      <c r="X1999" s="19">
        <f>IF(OR($B1999="",$U1999=""),"",IF($V1999&lt;&gt;"",MAX(0,$V1999-$U1999),MAX(0,TODAY()-$U1999)))</f>
        <v/>
      </c>
      <c r="Y1999" s="39">
        <f>IF($C1999="","",IF(IFERROR(INDEX(LISTAS!$I$3:$I$42,MATCH($T1999,LISTAS!$H$3:$H$42,0)),"NO")="SÍ",IF(N($X1999)&gt;0,"CERRADA FUERA DE SLA","CERRADA EN SLA"),IF($U1999="","SIN CLASIFICAR",IF(N($X1999)&gt;0,"VENCIDA",IF(TODAY()&gt;=$U1999-1,"POR VENCER","EN PLAZO")))))</f>
        <v/>
      </c>
      <c r="Z1999" s="41" t="n"/>
      <c r="AA1999" s="41" t="n"/>
      <c r="AB1999" s="41" t="n"/>
    </row>
    <row r="2000">
      <c r="A2000" s="39">
        <f>IF($C2000="","","NOV-"&amp;TEXT(ROW()-3,"0000"))</f>
        <v/>
      </c>
      <c r="B2000" s="40" t="n"/>
      <c r="C2000" s="41" t="n"/>
      <c r="D2000" s="42">
        <f>IF($C2000="","",IFERROR(INDEX(DESPACHOS!$D$3:$D$3002,MATCH($C2000,DESPACHOS!$B$3:$B$3002,0)),"SIN DESPACHO"))</f>
        <v/>
      </c>
      <c r="E2000" s="42">
        <f>IF($C2000="","",IFERROR(INDEX(DESPACHOS!$K$3:$K$3002,MATCH($C2000,DESPACHOS!$B$3:$B$3002,0)),""))</f>
        <v/>
      </c>
      <c r="F2000" s="42">
        <f>IF($C2000="","",IFERROR(INDEX(DESPACHOS!$I$3:$I$3002,MATCH($C2000,DESPACHOS!$B$3:$B$3002,0)),""))</f>
        <v/>
      </c>
      <c r="G2000" s="42">
        <f>IF($C2000="","",IFERROR(INDEX(DESPACHOS!$F$3:$F$3002,MATCH($C2000,DESPACHOS!$B$3:$B$3002,0)),""))</f>
        <v/>
      </c>
      <c r="H2000" s="42">
        <f>IF($C2000="","",IFERROR(INDEX(DESPACHOS!$G$3:$G$3002,MATCH($C2000,DESPACHOS!$B$3:$B$3002,0)),""))</f>
        <v/>
      </c>
      <c r="I2000" s="39">
        <f>IF($C2000="","",IFERROR(INDEX(DESPACHOS!$H$3:$H$3002,MATCH($C2000,DESPACHOS!$B$3:$B$3002,0)),""))</f>
        <v/>
      </c>
      <c r="J2000" s="43">
        <f>IF($C2000="","",IFERROR(INDEX(DESPACHOS!$J$3:$J$3002,MATCH($C2000,DESPACHOS!$B$3:$B$3002,0)),""))</f>
        <v/>
      </c>
      <c r="K2000" s="39">
        <f>IF($C2000="","",IF(COUNTIFS(DESPACHOS!$B$3:$B$3002,$C2000)=0,"NO EXISTE",IF(COUNTIFS(DESPACHOS!$B$3:$B$3002,$C2000)&gt;1,"DUPLICADO","OK")))</f>
        <v/>
      </c>
      <c r="L2000" s="41" t="n"/>
      <c r="M2000" s="41" t="n"/>
      <c r="N2000" s="42">
        <f>IF($M2000="","",IFERROR(INDEX(LISTAS!$F$3:$F$42,MATCH($M2000,LISTAS!$E$3:$E$42,0)),"Por definir"))</f>
        <v/>
      </c>
      <c r="O2000" s="41" t="n"/>
      <c r="P2000" s="39">
        <f>IF($L2000="","",IFERROR(INDEX(LISTAS!$B$3:$B$42,MATCH($L2000,LISTAS!$A$3:$A$42,0)),"Media"))</f>
        <v/>
      </c>
      <c r="Q2000" s="44" t="n"/>
      <c r="R2000" s="45" t="n"/>
      <c r="S2000" s="20">
        <f>IFERROR(IF(OR($R2000="",$C2000=""),"",$R2000/INDEX(DESPACHOS!$M$3:$M$3002,MATCH($C2000,DESPACHOS!$B$3:$B$3002,0))),"")</f>
        <v/>
      </c>
      <c r="T2000" s="41" t="n"/>
      <c r="U2000" s="43">
        <f>IF(OR($B2000="",$L2000=""),"",WORKDAY($B2000,IFERROR(INDEX(LISTAS!$C$3:$C$42,MATCH($L2000,LISTAS!$A$3:$A$42,0)),3)))</f>
        <v/>
      </c>
      <c r="V2000" s="40" t="n"/>
      <c r="W2000" s="19">
        <f>IF($B2000="","",IF($V2000&lt;&gt;"",$V2000-$B2000,TODAY()-$B2000))</f>
        <v/>
      </c>
      <c r="X2000" s="19">
        <f>IF(OR($B2000="",$U2000=""),"",IF($V2000&lt;&gt;"",MAX(0,$V2000-$U2000),MAX(0,TODAY()-$U2000)))</f>
        <v/>
      </c>
      <c r="Y2000" s="39">
        <f>IF($C2000="","",IF(IFERROR(INDEX(LISTAS!$I$3:$I$42,MATCH($T2000,LISTAS!$H$3:$H$42,0)),"NO")="SÍ",IF(N($X2000)&gt;0,"CERRADA FUERA DE SLA","CERRADA EN SLA"),IF($U2000="","SIN CLASIFICAR",IF(N($X2000)&gt;0,"VENCIDA",IF(TODAY()&gt;=$U2000-1,"POR VENCER","EN PLAZO")))))</f>
        <v/>
      </c>
      <c r="Z2000" s="41" t="n"/>
      <c r="AA2000" s="41" t="n"/>
      <c r="AB2000" s="41" t="n"/>
    </row>
    <row r="2001">
      <c r="A2001" s="39">
        <f>IF($C2001="","","NOV-"&amp;TEXT(ROW()-3,"0000"))</f>
        <v/>
      </c>
      <c r="B2001" s="40" t="n"/>
      <c r="C2001" s="41" t="n"/>
      <c r="D2001" s="42">
        <f>IF($C2001="","",IFERROR(INDEX(DESPACHOS!$D$3:$D$3002,MATCH($C2001,DESPACHOS!$B$3:$B$3002,0)),"SIN DESPACHO"))</f>
        <v/>
      </c>
      <c r="E2001" s="42">
        <f>IF($C2001="","",IFERROR(INDEX(DESPACHOS!$K$3:$K$3002,MATCH($C2001,DESPACHOS!$B$3:$B$3002,0)),""))</f>
        <v/>
      </c>
      <c r="F2001" s="42">
        <f>IF($C2001="","",IFERROR(INDEX(DESPACHOS!$I$3:$I$3002,MATCH($C2001,DESPACHOS!$B$3:$B$3002,0)),""))</f>
        <v/>
      </c>
      <c r="G2001" s="42">
        <f>IF($C2001="","",IFERROR(INDEX(DESPACHOS!$F$3:$F$3002,MATCH($C2001,DESPACHOS!$B$3:$B$3002,0)),""))</f>
        <v/>
      </c>
      <c r="H2001" s="42">
        <f>IF($C2001="","",IFERROR(INDEX(DESPACHOS!$G$3:$G$3002,MATCH($C2001,DESPACHOS!$B$3:$B$3002,0)),""))</f>
        <v/>
      </c>
      <c r="I2001" s="39">
        <f>IF($C2001="","",IFERROR(INDEX(DESPACHOS!$H$3:$H$3002,MATCH($C2001,DESPACHOS!$B$3:$B$3002,0)),""))</f>
        <v/>
      </c>
      <c r="J2001" s="43">
        <f>IF($C2001="","",IFERROR(INDEX(DESPACHOS!$J$3:$J$3002,MATCH($C2001,DESPACHOS!$B$3:$B$3002,0)),""))</f>
        <v/>
      </c>
      <c r="K2001" s="39">
        <f>IF($C2001="","",IF(COUNTIFS(DESPACHOS!$B$3:$B$3002,$C2001)=0,"NO EXISTE",IF(COUNTIFS(DESPACHOS!$B$3:$B$3002,$C2001)&gt;1,"DUPLICADO","OK")))</f>
        <v/>
      </c>
      <c r="L2001" s="41" t="n"/>
      <c r="M2001" s="41" t="n"/>
      <c r="N2001" s="42">
        <f>IF($M2001="","",IFERROR(INDEX(LISTAS!$F$3:$F$42,MATCH($M2001,LISTAS!$E$3:$E$42,0)),"Por definir"))</f>
        <v/>
      </c>
      <c r="O2001" s="41" t="n"/>
      <c r="P2001" s="39">
        <f>IF($L2001="","",IFERROR(INDEX(LISTAS!$B$3:$B$42,MATCH($L2001,LISTAS!$A$3:$A$42,0)),"Media"))</f>
        <v/>
      </c>
      <c r="Q2001" s="44" t="n"/>
      <c r="R2001" s="45" t="n"/>
      <c r="S2001" s="20">
        <f>IFERROR(IF(OR($R2001="",$C2001=""),"",$R2001/INDEX(DESPACHOS!$M$3:$M$3002,MATCH($C2001,DESPACHOS!$B$3:$B$3002,0))),"")</f>
        <v/>
      </c>
      <c r="T2001" s="41" t="n"/>
      <c r="U2001" s="43">
        <f>IF(OR($B2001="",$L2001=""),"",WORKDAY($B2001,IFERROR(INDEX(LISTAS!$C$3:$C$42,MATCH($L2001,LISTAS!$A$3:$A$42,0)),3)))</f>
        <v/>
      </c>
      <c r="V2001" s="40" t="n"/>
      <c r="W2001" s="19">
        <f>IF($B2001="","",IF($V2001&lt;&gt;"",$V2001-$B2001,TODAY()-$B2001))</f>
        <v/>
      </c>
      <c r="X2001" s="19">
        <f>IF(OR($B2001="",$U2001=""),"",IF($V2001&lt;&gt;"",MAX(0,$V2001-$U2001),MAX(0,TODAY()-$U2001)))</f>
        <v/>
      </c>
      <c r="Y2001" s="39">
        <f>IF($C2001="","",IF(IFERROR(INDEX(LISTAS!$I$3:$I$42,MATCH($T2001,LISTAS!$H$3:$H$42,0)),"NO")="SÍ",IF(N($X2001)&gt;0,"CERRADA FUERA DE SLA","CERRADA EN SLA"),IF($U2001="","SIN CLASIFICAR",IF(N($X2001)&gt;0,"VENCIDA",IF(TODAY()&gt;=$U2001-1,"POR VENCER","EN PLAZO")))))</f>
        <v/>
      </c>
      <c r="Z2001" s="41" t="n"/>
      <c r="AA2001" s="41" t="n"/>
      <c r="AB2001" s="41" t="n"/>
    </row>
    <row r="2002">
      <c r="A2002" s="39">
        <f>IF($C2002="","","NOV-"&amp;TEXT(ROW()-3,"0000"))</f>
        <v/>
      </c>
      <c r="B2002" s="40" t="n"/>
      <c r="C2002" s="41" t="n"/>
      <c r="D2002" s="42">
        <f>IF($C2002="","",IFERROR(INDEX(DESPACHOS!$D$3:$D$3002,MATCH($C2002,DESPACHOS!$B$3:$B$3002,0)),"SIN DESPACHO"))</f>
        <v/>
      </c>
      <c r="E2002" s="42">
        <f>IF($C2002="","",IFERROR(INDEX(DESPACHOS!$K$3:$K$3002,MATCH($C2002,DESPACHOS!$B$3:$B$3002,0)),""))</f>
        <v/>
      </c>
      <c r="F2002" s="42">
        <f>IF($C2002="","",IFERROR(INDEX(DESPACHOS!$I$3:$I$3002,MATCH($C2002,DESPACHOS!$B$3:$B$3002,0)),""))</f>
        <v/>
      </c>
      <c r="G2002" s="42">
        <f>IF($C2002="","",IFERROR(INDEX(DESPACHOS!$F$3:$F$3002,MATCH($C2002,DESPACHOS!$B$3:$B$3002,0)),""))</f>
        <v/>
      </c>
      <c r="H2002" s="42">
        <f>IF($C2002="","",IFERROR(INDEX(DESPACHOS!$G$3:$G$3002,MATCH($C2002,DESPACHOS!$B$3:$B$3002,0)),""))</f>
        <v/>
      </c>
      <c r="I2002" s="39">
        <f>IF($C2002="","",IFERROR(INDEX(DESPACHOS!$H$3:$H$3002,MATCH($C2002,DESPACHOS!$B$3:$B$3002,0)),""))</f>
        <v/>
      </c>
      <c r="J2002" s="43">
        <f>IF($C2002="","",IFERROR(INDEX(DESPACHOS!$J$3:$J$3002,MATCH($C2002,DESPACHOS!$B$3:$B$3002,0)),""))</f>
        <v/>
      </c>
      <c r="K2002" s="39">
        <f>IF($C2002="","",IF(COUNTIFS(DESPACHOS!$B$3:$B$3002,$C2002)=0,"NO EXISTE",IF(COUNTIFS(DESPACHOS!$B$3:$B$3002,$C2002)&gt;1,"DUPLICADO","OK")))</f>
        <v/>
      </c>
      <c r="L2002" s="41" t="n"/>
      <c r="M2002" s="41" t="n"/>
      <c r="N2002" s="42">
        <f>IF($M2002="","",IFERROR(INDEX(LISTAS!$F$3:$F$42,MATCH($M2002,LISTAS!$E$3:$E$42,0)),"Por definir"))</f>
        <v/>
      </c>
      <c r="O2002" s="41" t="n"/>
      <c r="P2002" s="39">
        <f>IF($L2002="","",IFERROR(INDEX(LISTAS!$B$3:$B$42,MATCH($L2002,LISTAS!$A$3:$A$42,0)),"Media"))</f>
        <v/>
      </c>
      <c r="Q2002" s="44" t="n"/>
      <c r="R2002" s="45" t="n"/>
      <c r="S2002" s="20">
        <f>IFERROR(IF(OR($R2002="",$C2002=""),"",$R2002/INDEX(DESPACHOS!$M$3:$M$3002,MATCH($C2002,DESPACHOS!$B$3:$B$3002,0))),"")</f>
        <v/>
      </c>
      <c r="T2002" s="41" t="n"/>
      <c r="U2002" s="43">
        <f>IF(OR($B2002="",$L2002=""),"",WORKDAY($B2002,IFERROR(INDEX(LISTAS!$C$3:$C$42,MATCH($L2002,LISTAS!$A$3:$A$42,0)),3)))</f>
        <v/>
      </c>
      <c r="V2002" s="40" t="n"/>
      <c r="W2002" s="19">
        <f>IF($B2002="","",IF($V2002&lt;&gt;"",$V2002-$B2002,TODAY()-$B2002))</f>
        <v/>
      </c>
      <c r="X2002" s="19">
        <f>IF(OR($B2002="",$U2002=""),"",IF($V2002&lt;&gt;"",MAX(0,$V2002-$U2002),MAX(0,TODAY()-$U2002)))</f>
        <v/>
      </c>
      <c r="Y2002" s="39">
        <f>IF($C2002="","",IF(IFERROR(INDEX(LISTAS!$I$3:$I$42,MATCH($T2002,LISTAS!$H$3:$H$42,0)),"NO")="SÍ",IF(N($X2002)&gt;0,"CERRADA FUERA DE SLA","CERRADA EN SLA"),IF($U2002="","SIN CLASIFICAR",IF(N($X2002)&gt;0,"VENCIDA",IF(TODAY()&gt;=$U2002-1,"POR VENCER","EN PLAZO")))))</f>
        <v/>
      </c>
      <c r="Z2002" s="41" t="n"/>
      <c r="AA2002" s="41" t="n"/>
      <c r="AB2002" s="41" t="n"/>
    </row>
    <row r="2003">
      <c r="A2003" s="39">
        <f>IF($C2003="","","NOV-"&amp;TEXT(ROW()-3,"0000"))</f>
        <v/>
      </c>
      <c r="B2003" s="40" t="n"/>
      <c r="C2003" s="41" t="n"/>
      <c r="D2003" s="42">
        <f>IF($C2003="","",IFERROR(INDEX(DESPACHOS!$D$3:$D$3002,MATCH($C2003,DESPACHOS!$B$3:$B$3002,0)),"SIN DESPACHO"))</f>
        <v/>
      </c>
      <c r="E2003" s="42">
        <f>IF($C2003="","",IFERROR(INDEX(DESPACHOS!$K$3:$K$3002,MATCH($C2003,DESPACHOS!$B$3:$B$3002,0)),""))</f>
        <v/>
      </c>
      <c r="F2003" s="42">
        <f>IF($C2003="","",IFERROR(INDEX(DESPACHOS!$I$3:$I$3002,MATCH($C2003,DESPACHOS!$B$3:$B$3002,0)),""))</f>
        <v/>
      </c>
      <c r="G2003" s="42">
        <f>IF($C2003="","",IFERROR(INDEX(DESPACHOS!$F$3:$F$3002,MATCH($C2003,DESPACHOS!$B$3:$B$3002,0)),""))</f>
        <v/>
      </c>
      <c r="H2003" s="42">
        <f>IF($C2003="","",IFERROR(INDEX(DESPACHOS!$G$3:$G$3002,MATCH($C2003,DESPACHOS!$B$3:$B$3002,0)),""))</f>
        <v/>
      </c>
      <c r="I2003" s="39">
        <f>IF($C2003="","",IFERROR(INDEX(DESPACHOS!$H$3:$H$3002,MATCH($C2003,DESPACHOS!$B$3:$B$3002,0)),""))</f>
        <v/>
      </c>
      <c r="J2003" s="43">
        <f>IF($C2003="","",IFERROR(INDEX(DESPACHOS!$J$3:$J$3002,MATCH($C2003,DESPACHOS!$B$3:$B$3002,0)),""))</f>
        <v/>
      </c>
      <c r="K2003" s="39">
        <f>IF($C2003="","",IF(COUNTIFS(DESPACHOS!$B$3:$B$3002,$C2003)=0,"NO EXISTE",IF(COUNTIFS(DESPACHOS!$B$3:$B$3002,$C2003)&gt;1,"DUPLICADO","OK")))</f>
        <v/>
      </c>
      <c r="L2003" s="41" t="n"/>
      <c r="M2003" s="41" t="n"/>
      <c r="N2003" s="42">
        <f>IF($M2003="","",IFERROR(INDEX(LISTAS!$F$3:$F$42,MATCH($M2003,LISTAS!$E$3:$E$42,0)),"Por definir"))</f>
        <v/>
      </c>
      <c r="O2003" s="41" t="n"/>
      <c r="P2003" s="39">
        <f>IF($L2003="","",IFERROR(INDEX(LISTAS!$B$3:$B$42,MATCH($L2003,LISTAS!$A$3:$A$42,0)),"Media"))</f>
        <v/>
      </c>
      <c r="Q2003" s="44" t="n"/>
      <c r="R2003" s="45" t="n"/>
      <c r="S2003" s="20">
        <f>IFERROR(IF(OR($R2003="",$C2003=""),"",$R2003/INDEX(DESPACHOS!$M$3:$M$3002,MATCH($C2003,DESPACHOS!$B$3:$B$3002,0))),"")</f>
        <v/>
      </c>
      <c r="T2003" s="41" t="n"/>
      <c r="U2003" s="43">
        <f>IF(OR($B2003="",$L2003=""),"",WORKDAY($B2003,IFERROR(INDEX(LISTAS!$C$3:$C$42,MATCH($L2003,LISTAS!$A$3:$A$42,0)),3)))</f>
        <v/>
      </c>
      <c r="V2003" s="40" t="n"/>
      <c r="W2003" s="19">
        <f>IF($B2003="","",IF($V2003&lt;&gt;"",$V2003-$B2003,TODAY()-$B2003))</f>
        <v/>
      </c>
      <c r="X2003" s="19">
        <f>IF(OR($B2003="",$U2003=""),"",IF($V2003&lt;&gt;"",MAX(0,$V2003-$U2003),MAX(0,TODAY()-$U2003)))</f>
        <v/>
      </c>
      <c r="Y2003" s="39">
        <f>IF($C2003="","",IF(IFERROR(INDEX(LISTAS!$I$3:$I$42,MATCH($T2003,LISTAS!$H$3:$H$42,0)),"NO")="SÍ",IF(N($X2003)&gt;0,"CERRADA FUERA DE SLA","CERRADA EN SLA"),IF($U2003="","SIN CLASIFICAR",IF(N($X2003)&gt;0,"VENCIDA",IF(TODAY()&gt;=$U2003-1,"POR VENCER","EN PLAZO")))))</f>
        <v/>
      </c>
      <c r="Z2003" s="41" t="n"/>
      <c r="AA2003" s="41" t="n"/>
      <c r="AB2003" s="4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C1B"/>
  <autoFilter ref="A3:AB2003"/>
  <mergeCells count="2">
    <mergeCell ref="A2:AB2"/>
    <mergeCell ref="A1:AB1"/>
  </mergeCells>
  <conditionalFormatting sqref="Y4:Y2003">
    <cfRule type="cellIs" priority="1" operator="equal" dxfId="3">
      <formula>"VENCIDA"</formula>
    </cfRule>
    <cfRule type="cellIs" priority="2" operator="equal" dxfId="4">
      <formula>"POR VENCER"</formula>
    </cfRule>
    <cfRule type="cellIs" priority="3" operator="equal" dxfId="5">
      <formula>"EN PLAZO"</formula>
    </cfRule>
    <cfRule type="cellIs" priority="4" operator="equal" dxfId="6">
      <formula>"CERRADA EN SLA"</formula>
    </cfRule>
    <cfRule type="cellIs" priority="5" operator="equal" dxfId="7">
      <formula>"CERRADA FUERA DE SLA"</formula>
    </cfRule>
    <cfRule type="cellIs" priority="6" operator="equal" dxfId="8">
      <formula>"SIN CLASIFICAR"</formula>
    </cfRule>
  </conditionalFormatting>
  <conditionalFormatting sqref="P4:P2003">
    <cfRule type="cellIs" priority="7" operator="equal" dxfId="3">
      <formula>"Alta"</formula>
    </cfRule>
    <cfRule type="cellIs" priority="8" operator="equal" dxfId="4">
      <formula>"Media"</formula>
    </cfRule>
    <cfRule type="cellIs" priority="9" operator="equal" dxfId="5">
      <formula>"Baja"</formula>
    </cfRule>
  </conditionalFormatting>
  <conditionalFormatting sqref="T4:T2003">
    <cfRule type="expression" priority="10" dxfId="3">
      <formula>$T4="Pendiente"</formula>
    </cfRule>
    <cfRule type="expression" priority="11" dxfId="5">
      <formula>AND($T4&lt;&gt;"",IFERROR(INDEX(LISTAS!$I$3:$I$42,MATCH($T4,LISTAS!$H$3:$H$42,0)),"NO")="SÍ")</formula>
    </cfRule>
    <cfRule type="expression" priority="12" dxfId="4">
      <formula>AND($T4&lt;&gt;"",IFERROR(INDEX(LISTAS!$I$3:$I$42,MATCH($T4,LISTAS!$H$3:$H$42,0)),"NO")="NO")</formula>
    </cfRule>
  </conditionalFormatting>
  <conditionalFormatting sqref="K4:K2003">
    <cfRule type="expression" priority="13" dxfId="3">
      <formula>OR($K4="NO EXISTE",$K4="DUPLICADO")</formula>
    </cfRule>
    <cfRule type="cellIs" priority="14" operator="equal" dxfId="9">
      <formula>"OK"</formula>
    </cfRule>
  </conditionalFormatting>
  <conditionalFormatting sqref="X4:X2003">
    <cfRule type="cellIs" priority="15" operator="greaterThan" dxfId="3">
      <formula>0</formula>
    </cfRule>
  </conditionalFormatting>
  <conditionalFormatting sqref="V4:V2003">
    <cfRule type="expression" priority="16" dxfId="3">
      <formula>AND($V4="",LEFT($Y4,7)="CERRADA")</formula>
    </cfRule>
  </conditionalFormatting>
  <conditionalFormatting sqref="R4:R2003">
    <cfRule type="dataBar" priority="17">
      <dataBar showValue="1">
        <cfvo type="num" val="0"/>
        <cfvo type="percentile" val="95"/>
        <color rgb="FFBF8F00"/>
      </dataBar>
    </cfRule>
  </conditionalFormatting>
  <conditionalFormatting sqref="A4:AB2003">
    <cfRule type="expression" priority="18" dxfId="10">
      <formula>$Y4="VENCIDA"</formula>
    </cfRule>
  </conditionalFormatting>
  <dataValidations count="8">
    <dataValidation sqref="L4:L2003" showDropDown="0" showInputMessage="1" showErrorMessage="1" allowBlank="1" errorTitle="Tipo no válido" error="Elija un tipo de la lista. Para agregar uno nuevo vaya a LISTAS columna A." promptTitle="Tipo de novedad" prompt="Elija de la lista. Define la criticidad y el SLA." type="list">
      <formula1>TIPOS_NOVEDAD</formula1>
    </dataValidation>
    <dataValidation sqref="M4:M2003" showDropDown="0" showInputMessage="1" showErrorMessage="1" allowBlank="1" errorTitle="Causa no válida" error="Elija una causa de la lista. Para agregar una nueva vaya a LISTAS columna E." promptTitle="Causa raíz" prompt="Por qué ocurrió. Define el área responsable." type="list">
      <formula1>CAUSAS_RAIZ</formula1>
    </dataValidation>
    <dataValidation sqref="O4:O2003" showDropDown="0" showInputMessage="0" showErrorMessage="1" allowBlank="1" errorTitle="Responsable no válido" error="Elija de la lista (LISTAS columna M)." type="list">
      <formula1>RESPONSABLES</formula1>
    </dataValidation>
    <dataValidation sqref="T4:T2003" showDropDown="0" showInputMessage="1" showErrorMessage="1" allowBlank="1" errorTitle="Estado no válido" error="Elija un estado de la lista. Para agregar uno nuevo vaya a LISTAS columna H." promptTitle="Estado" prompt="Los estados marcados ¿CIERRA?=SÍ cierran el caso y detienen el conteo de días." type="list">
      <formula1>ESTADOS_NOV</formula1>
    </dataValidation>
    <dataValidation sqref="B4:B2003" showDropDown="0" showInputMessage="0" showErrorMessage="1" allowBlank="1" errorTitle="Fecha no válida" error="Escriba una fecha real (dd/mm/aaaa)." type="date" operator="between">
      <formula1>DATE(2020,1,1)</formula1>
      <formula2>DATE(2035,12,31)</formula2>
    </dataValidation>
    <dataValidation sqref="V4:V2003" showDropDown="0" showInputMessage="0" showErrorMessage="1" allowBlank="1" errorTitle="Fecha de cierre inválida" error="La fecha de cierre no puede ser anterior a la fecha de la novedad." type="custom">
      <formula1>OR($V4="",AND(ISNUMBER($V4),$V4&gt;=$B4))</formula1>
    </dataValidation>
    <dataValidation sqref="Q4:Q2003" showDropDown="0" showInputMessage="0" showErrorMessage="1" allowBlank="1" errorTitle="Cantidad inválida" error="Debe ser un número mayor o igual a 0." type="decimal" operator="greaterThanOrEqual">
      <formula1>0</formula1>
    </dataValidation>
    <dataValidation sqref="R4:R2003" showDropDown="0" showInputMessage="0" showErrorMessage="1" allowBlank="1" errorTitle="Valor inválido" error="Debe ser un número mayor o igual a 0.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1F4E2E"/>
    <outlinePr summaryBelow="1" summaryRight="1"/>
    <pageSetUpPr/>
  </sheetPr>
  <dimension ref="A1:O300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34" customWidth="1" min="4" max="4"/>
    <col width="10" customWidth="1" min="5" max="5"/>
    <col width="20" customWidth="1" min="6" max="6"/>
    <col width="26" customWidth="1" min="7" max="7"/>
    <col width="10" customWidth="1" min="8" max="8"/>
    <col width="20" customWidth="1" min="9" max="9"/>
    <col width="14" customWidth="1" min="10" max="10"/>
    <col width="20" customWidth="1" min="11" max="11"/>
    <col width="13" customWidth="1" min="12" max="12"/>
    <col width="16" customWidth="1" min="13" max="13"/>
    <col width="12" customWidth="1" min="14" max="14"/>
    <col width="15" customWidth="1" min="15" max="15"/>
  </cols>
  <sheetData>
    <row r="1" ht="26" customHeight="1">
      <c r="A1" s="36" t="inlineStr">
        <is>
          <t>DESPACHOS / BASE — pegue aquí el export de Access desde la fila 3 (columnas A a J). K, L y M se digitan; N y O se calculan solas.</t>
        </is>
      </c>
    </row>
    <row r="2" ht="30" customHeight="1">
      <c r="A2" s="38" t="inlineStr">
        <is>
          <t># Planilla</t>
        </is>
      </c>
      <c r="B2" s="38" t="inlineStr">
        <is>
          <t># Pedido / Remisión</t>
        </is>
      </c>
      <c r="C2" s="38" t="inlineStr">
        <is>
          <t># Factura</t>
        </is>
      </c>
      <c r="D2" s="38" t="inlineStr">
        <is>
          <t>Cliente</t>
        </is>
      </c>
      <c r="E2" s="38" t="inlineStr">
        <is>
          <t>Peso KG</t>
        </is>
      </c>
      <c r="F2" s="38" t="inlineStr">
        <is>
          <t>Transportadora</t>
        </is>
      </c>
      <c r="G2" s="38" t="inlineStr">
        <is>
          <t>Transportador</t>
        </is>
      </c>
      <c r="H2" s="38" t="inlineStr">
        <is>
          <t>Placa</t>
        </is>
      </c>
      <c r="I2" s="38" t="inlineStr">
        <is>
          <t>Ruta</t>
        </is>
      </c>
      <c r="J2" s="38" t="inlineStr">
        <is>
          <t>Fecha despacho</t>
        </is>
      </c>
      <c r="K2" s="38" t="inlineStr">
        <is>
          <t>Destino / Ciudad</t>
        </is>
      </c>
      <c r="L2" s="38" t="inlineStr">
        <is>
          <t>Cajas enviadas</t>
        </is>
      </c>
      <c r="M2" s="38" t="inlineStr">
        <is>
          <t>Valor despachado</t>
        </is>
      </c>
      <c r="N2" s="15" t="inlineStr">
        <is>
          <t>Zona SLA</t>
        </is>
      </c>
      <c r="O2" s="15" t="inlineStr">
        <is>
          <t>¿Tiene novedad?</t>
        </is>
      </c>
    </row>
    <row r="3">
      <c r="A3" s="41" t="n"/>
      <c r="B3" s="41" t="n"/>
      <c r="C3" s="41" t="n"/>
      <c r="D3" s="41" t="n"/>
      <c r="E3" s="46" t="n"/>
      <c r="F3" s="41" t="n"/>
      <c r="G3" s="41" t="n"/>
      <c r="H3" s="41" t="n"/>
      <c r="I3" s="41" t="n"/>
      <c r="J3" s="47" t="n"/>
      <c r="K3" s="41" t="n"/>
      <c r="L3" s="48" t="n"/>
      <c r="M3" s="45" t="n"/>
      <c r="N3" s="39">
        <f>IF($B3="","",IF(SUMPRODUCT((LISTAS!$O$3:$O$42&lt;&gt;"")*ISNUMBER(SEARCH(LISTAS!$O$3:$O$42,$I3&amp;" "&amp;$K3)))&gt;0,"CERCANA","NACIONAL"))</f>
        <v/>
      </c>
      <c r="O3" s="39">
        <f>IF($B3="","",IF(COUNTIFS(NOVEDADES!$C$4:$C$2003,$B3)=0,"—","SÍ ("&amp;COUNTIFS(NOVEDADES!$C$4:$C$2003,$B3)&amp;")"))</f>
        <v/>
      </c>
    </row>
    <row r="4">
      <c r="A4" s="41" t="n"/>
      <c r="B4" s="41" t="n"/>
      <c r="C4" s="41" t="n"/>
      <c r="D4" s="41" t="n"/>
      <c r="E4" s="46" t="n"/>
      <c r="F4" s="41" t="n"/>
      <c r="G4" s="41" t="n"/>
      <c r="H4" s="41" t="n"/>
      <c r="I4" s="41" t="n"/>
      <c r="J4" s="47" t="n"/>
      <c r="K4" s="41" t="n"/>
      <c r="L4" s="48" t="n"/>
      <c r="M4" s="45" t="n"/>
      <c r="N4" s="39">
        <f>IF($B4="","",IF(SUMPRODUCT((LISTAS!$O$3:$O$42&lt;&gt;"")*ISNUMBER(SEARCH(LISTAS!$O$3:$O$42,$I4&amp;" "&amp;$K4)))&gt;0,"CERCANA","NACIONAL"))</f>
        <v/>
      </c>
      <c r="O4" s="39">
        <f>IF($B4="","",IF(COUNTIFS(NOVEDADES!$C$4:$C$2003,$B4)=0,"—","SÍ ("&amp;COUNTIFS(NOVEDADES!$C$4:$C$2003,$B4)&amp;")"))</f>
        <v/>
      </c>
    </row>
    <row r="5">
      <c r="A5" s="41" t="n"/>
      <c r="B5" s="41" t="n"/>
      <c r="C5" s="41" t="n"/>
      <c r="D5" s="41" t="n"/>
      <c r="E5" s="46" t="n"/>
      <c r="F5" s="41" t="n"/>
      <c r="G5" s="41" t="n"/>
      <c r="H5" s="41" t="n"/>
      <c r="I5" s="41" t="n"/>
      <c r="J5" s="47" t="n"/>
      <c r="K5" s="41" t="n"/>
      <c r="L5" s="48" t="n"/>
      <c r="M5" s="45" t="n"/>
      <c r="N5" s="39">
        <f>IF($B5="","",IF(SUMPRODUCT((LISTAS!$O$3:$O$42&lt;&gt;"")*ISNUMBER(SEARCH(LISTAS!$O$3:$O$42,$I5&amp;" "&amp;$K5)))&gt;0,"CERCANA","NACIONAL"))</f>
        <v/>
      </c>
      <c r="O5" s="39">
        <f>IF($B5="","",IF(COUNTIFS(NOVEDADES!$C$4:$C$2003,$B5)=0,"—","SÍ ("&amp;COUNTIFS(NOVEDADES!$C$4:$C$2003,$B5)&amp;")"))</f>
        <v/>
      </c>
    </row>
    <row r="6">
      <c r="A6" s="41" t="n"/>
      <c r="B6" s="41" t="n"/>
      <c r="C6" s="41" t="n"/>
      <c r="D6" s="41" t="n"/>
      <c r="E6" s="46" t="n"/>
      <c r="F6" s="41" t="n"/>
      <c r="G6" s="41" t="n"/>
      <c r="H6" s="41" t="n"/>
      <c r="I6" s="41" t="n"/>
      <c r="J6" s="47" t="n"/>
      <c r="K6" s="41" t="n"/>
      <c r="L6" s="48" t="n"/>
      <c r="M6" s="45" t="n"/>
      <c r="N6" s="39">
        <f>IF($B6="","",IF(SUMPRODUCT((LISTAS!$O$3:$O$42&lt;&gt;"")*ISNUMBER(SEARCH(LISTAS!$O$3:$O$42,$I6&amp;" "&amp;$K6)))&gt;0,"CERCANA","NACIONAL"))</f>
        <v/>
      </c>
      <c r="O6" s="39">
        <f>IF($B6="","",IF(COUNTIFS(NOVEDADES!$C$4:$C$2003,$B6)=0,"—","SÍ ("&amp;COUNTIFS(NOVEDADES!$C$4:$C$2003,$B6)&amp;")"))</f>
        <v/>
      </c>
    </row>
    <row r="7">
      <c r="A7" s="41" t="n"/>
      <c r="B7" s="41" t="n"/>
      <c r="C7" s="41" t="n"/>
      <c r="D7" s="41" t="n"/>
      <c r="E7" s="46" t="n"/>
      <c r="F7" s="41" t="n"/>
      <c r="G7" s="41" t="n"/>
      <c r="H7" s="41" t="n"/>
      <c r="I7" s="41" t="n"/>
      <c r="J7" s="47" t="n"/>
      <c r="K7" s="41" t="n"/>
      <c r="L7" s="48" t="n"/>
      <c r="M7" s="45" t="n"/>
      <c r="N7" s="39">
        <f>IF($B7="","",IF(SUMPRODUCT((LISTAS!$O$3:$O$42&lt;&gt;"")*ISNUMBER(SEARCH(LISTAS!$O$3:$O$42,$I7&amp;" "&amp;$K7)))&gt;0,"CERCANA","NACIONAL"))</f>
        <v/>
      </c>
      <c r="O7" s="39">
        <f>IF($B7="","",IF(COUNTIFS(NOVEDADES!$C$4:$C$2003,$B7)=0,"—","SÍ ("&amp;COUNTIFS(NOVEDADES!$C$4:$C$2003,$B7)&amp;")"))</f>
        <v/>
      </c>
    </row>
    <row r="8">
      <c r="A8" s="41" t="n"/>
      <c r="B8" s="41" t="n"/>
      <c r="C8" s="41" t="n"/>
      <c r="D8" s="41" t="n"/>
      <c r="E8" s="46" t="n"/>
      <c r="F8" s="41" t="n"/>
      <c r="G8" s="41" t="n"/>
      <c r="H8" s="41" t="n"/>
      <c r="I8" s="41" t="n"/>
      <c r="J8" s="47" t="n"/>
      <c r="K8" s="41" t="n"/>
      <c r="L8" s="48" t="n"/>
      <c r="M8" s="45" t="n"/>
      <c r="N8" s="39">
        <f>IF($B8="","",IF(SUMPRODUCT((LISTAS!$O$3:$O$42&lt;&gt;"")*ISNUMBER(SEARCH(LISTAS!$O$3:$O$42,$I8&amp;" "&amp;$K8)))&gt;0,"CERCANA","NACIONAL"))</f>
        <v/>
      </c>
      <c r="O8" s="39">
        <f>IF($B8="","",IF(COUNTIFS(NOVEDADES!$C$4:$C$2003,$B8)=0,"—","SÍ ("&amp;COUNTIFS(NOVEDADES!$C$4:$C$2003,$B8)&amp;")"))</f>
        <v/>
      </c>
    </row>
    <row r="9">
      <c r="A9" s="41" t="n"/>
      <c r="B9" s="41" t="n"/>
      <c r="C9" s="41" t="n"/>
      <c r="D9" s="41" t="n"/>
      <c r="E9" s="46" t="n"/>
      <c r="F9" s="41" t="n"/>
      <c r="G9" s="41" t="n"/>
      <c r="H9" s="41" t="n"/>
      <c r="I9" s="41" t="n"/>
      <c r="J9" s="47" t="n"/>
      <c r="K9" s="41" t="n"/>
      <c r="L9" s="48" t="n"/>
      <c r="M9" s="45" t="n"/>
      <c r="N9" s="39">
        <f>IF($B9="","",IF(SUMPRODUCT((LISTAS!$O$3:$O$42&lt;&gt;"")*ISNUMBER(SEARCH(LISTAS!$O$3:$O$42,$I9&amp;" "&amp;$K9)))&gt;0,"CERCANA","NACIONAL"))</f>
        <v/>
      </c>
      <c r="O9" s="39">
        <f>IF($B9="","",IF(COUNTIFS(NOVEDADES!$C$4:$C$2003,$B9)=0,"—","SÍ ("&amp;COUNTIFS(NOVEDADES!$C$4:$C$2003,$B9)&amp;")"))</f>
        <v/>
      </c>
    </row>
    <row r="10">
      <c r="A10" s="41" t="n"/>
      <c r="B10" s="41" t="n"/>
      <c r="C10" s="41" t="n"/>
      <c r="D10" s="41" t="n"/>
      <c r="E10" s="46" t="n"/>
      <c r="F10" s="41" t="n"/>
      <c r="G10" s="41" t="n"/>
      <c r="H10" s="41" t="n"/>
      <c r="I10" s="41" t="n"/>
      <c r="J10" s="47" t="n"/>
      <c r="K10" s="41" t="n"/>
      <c r="L10" s="48" t="n"/>
      <c r="M10" s="45" t="n"/>
      <c r="N10" s="39">
        <f>IF($B10="","",IF(SUMPRODUCT((LISTAS!$O$3:$O$42&lt;&gt;"")*ISNUMBER(SEARCH(LISTAS!$O$3:$O$42,$I10&amp;" "&amp;$K10)))&gt;0,"CERCANA","NACIONAL"))</f>
        <v/>
      </c>
      <c r="O10" s="39">
        <f>IF($B10="","",IF(COUNTIFS(NOVEDADES!$C$4:$C$2003,$B10)=0,"—","SÍ ("&amp;COUNTIFS(NOVEDADES!$C$4:$C$2003,$B10)&amp;")"))</f>
        <v/>
      </c>
    </row>
    <row r="11">
      <c r="A11" s="41" t="n"/>
      <c r="B11" s="41" t="n"/>
      <c r="C11" s="41" t="n"/>
      <c r="D11" s="41" t="n"/>
      <c r="E11" s="46" t="n"/>
      <c r="F11" s="41" t="n"/>
      <c r="G11" s="41" t="n"/>
      <c r="H11" s="41" t="n"/>
      <c r="I11" s="41" t="n"/>
      <c r="J11" s="47" t="n"/>
      <c r="K11" s="41" t="n"/>
      <c r="L11" s="48" t="n"/>
      <c r="M11" s="45" t="n"/>
      <c r="N11" s="39">
        <f>IF($B11="","",IF(SUMPRODUCT((LISTAS!$O$3:$O$42&lt;&gt;"")*ISNUMBER(SEARCH(LISTAS!$O$3:$O$42,$I11&amp;" "&amp;$K11)))&gt;0,"CERCANA","NACIONAL"))</f>
        <v/>
      </c>
      <c r="O11" s="39">
        <f>IF($B11="","",IF(COUNTIFS(NOVEDADES!$C$4:$C$2003,$B11)=0,"—","SÍ ("&amp;COUNTIFS(NOVEDADES!$C$4:$C$2003,$B11)&amp;")"))</f>
        <v/>
      </c>
    </row>
    <row r="12">
      <c r="A12" s="41" t="n"/>
      <c r="B12" s="41" t="n"/>
      <c r="C12" s="41" t="n"/>
      <c r="D12" s="41" t="n"/>
      <c r="E12" s="46" t="n"/>
      <c r="F12" s="41" t="n"/>
      <c r="G12" s="41" t="n"/>
      <c r="H12" s="41" t="n"/>
      <c r="I12" s="41" t="n"/>
      <c r="J12" s="47" t="n"/>
      <c r="K12" s="41" t="n"/>
      <c r="L12" s="48" t="n"/>
      <c r="M12" s="45" t="n"/>
      <c r="N12" s="39">
        <f>IF($B12="","",IF(SUMPRODUCT((LISTAS!$O$3:$O$42&lt;&gt;"")*ISNUMBER(SEARCH(LISTAS!$O$3:$O$42,$I12&amp;" "&amp;$K12)))&gt;0,"CERCANA","NACIONAL"))</f>
        <v/>
      </c>
      <c r="O12" s="39">
        <f>IF($B12="","",IF(COUNTIFS(NOVEDADES!$C$4:$C$2003,$B12)=0,"—","SÍ ("&amp;COUNTIFS(NOVEDADES!$C$4:$C$2003,$B12)&amp;")"))</f>
        <v/>
      </c>
    </row>
    <row r="13">
      <c r="A13" s="41" t="n"/>
      <c r="B13" s="41" t="n"/>
      <c r="C13" s="41" t="n"/>
      <c r="D13" s="41" t="n"/>
      <c r="E13" s="46" t="n"/>
      <c r="F13" s="41" t="n"/>
      <c r="G13" s="41" t="n"/>
      <c r="H13" s="41" t="n"/>
      <c r="I13" s="41" t="n"/>
      <c r="J13" s="47" t="n"/>
      <c r="K13" s="41" t="n"/>
      <c r="L13" s="48" t="n"/>
      <c r="M13" s="45" t="n"/>
      <c r="N13" s="39">
        <f>IF($B13="","",IF(SUMPRODUCT((LISTAS!$O$3:$O$42&lt;&gt;"")*ISNUMBER(SEARCH(LISTAS!$O$3:$O$42,$I13&amp;" "&amp;$K13)))&gt;0,"CERCANA","NACIONAL"))</f>
        <v/>
      </c>
      <c r="O13" s="39">
        <f>IF($B13="","",IF(COUNTIFS(NOVEDADES!$C$4:$C$2003,$B13)=0,"—","SÍ ("&amp;COUNTIFS(NOVEDADES!$C$4:$C$2003,$B13)&amp;")"))</f>
        <v/>
      </c>
    </row>
    <row r="14">
      <c r="A14" s="41" t="n"/>
      <c r="B14" s="41" t="n"/>
      <c r="C14" s="41" t="n"/>
      <c r="D14" s="41" t="n"/>
      <c r="E14" s="46" t="n"/>
      <c r="F14" s="41" t="n"/>
      <c r="G14" s="41" t="n"/>
      <c r="H14" s="41" t="n"/>
      <c r="I14" s="41" t="n"/>
      <c r="J14" s="47" t="n"/>
      <c r="K14" s="41" t="n"/>
      <c r="L14" s="48" t="n"/>
      <c r="M14" s="45" t="n"/>
      <c r="N14" s="39">
        <f>IF($B14="","",IF(SUMPRODUCT((LISTAS!$O$3:$O$42&lt;&gt;"")*ISNUMBER(SEARCH(LISTAS!$O$3:$O$42,$I14&amp;" "&amp;$K14)))&gt;0,"CERCANA","NACIONAL"))</f>
        <v/>
      </c>
      <c r="O14" s="39">
        <f>IF($B14="","",IF(COUNTIFS(NOVEDADES!$C$4:$C$2003,$B14)=0,"—","SÍ ("&amp;COUNTIFS(NOVEDADES!$C$4:$C$2003,$B14)&amp;")"))</f>
        <v/>
      </c>
    </row>
    <row r="15">
      <c r="A15" s="41" t="n"/>
      <c r="B15" s="41" t="n"/>
      <c r="C15" s="41" t="n"/>
      <c r="D15" s="41" t="n"/>
      <c r="E15" s="46" t="n"/>
      <c r="F15" s="41" t="n"/>
      <c r="G15" s="41" t="n"/>
      <c r="H15" s="41" t="n"/>
      <c r="I15" s="41" t="n"/>
      <c r="J15" s="47" t="n"/>
      <c r="K15" s="41" t="n"/>
      <c r="L15" s="48" t="n"/>
      <c r="M15" s="45" t="n"/>
      <c r="N15" s="39">
        <f>IF($B15="","",IF(SUMPRODUCT((LISTAS!$O$3:$O$42&lt;&gt;"")*ISNUMBER(SEARCH(LISTAS!$O$3:$O$42,$I15&amp;" "&amp;$K15)))&gt;0,"CERCANA","NACIONAL"))</f>
        <v/>
      </c>
      <c r="O15" s="39">
        <f>IF($B15="","",IF(COUNTIFS(NOVEDADES!$C$4:$C$2003,$B15)=0,"—","SÍ ("&amp;COUNTIFS(NOVEDADES!$C$4:$C$2003,$B15)&amp;")"))</f>
        <v/>
      </c>
    </row>
    <row r="16">
      <c r="A16" s="41" t="n"/>
      <c r="B16" s="41" t="n"/>
      <c r="C16" s="41" t="n"/>
      <c r="D16" s="41" t="n"/>
      <c r="E16" s="46" t="n"/>
      <c r="F16" s="41" t="n"/>
      <c r="G16" s="41" t="n"/>
      <c r="H16" s="41" t="n"/>
      <c r="I16" s="41" t="n"/>
      <c r="J16" s="47" t="n"/>
      <c r="K16" s="41" t="n"/>
      <c r="L16" s="48" t="n"/>
      <c r="M16" s="45" t="n"/>
      <c r="N16" s="39">
        <f>IF($B16="","",IF(SUMPRODUCT((LISTAS!$O$3:$O$42&lt;&gt;"")*ISNUMBER(SEARCH(LISTAS!$O$3:$O$42,$I16&amp;" "&amp;$K16)))&gt;0,"CERCANA","NACIONAL"))</f>
        <v/>
      </c>
      <c r="O16" s="39">
        <f>IF($B16="","",IF(COUNTIFS(NOVEDADES!$C$4:$C$2003,$B16)=0,"—","SÍ ("&amp;COUNTIFS(NOVEDADES!$C$4:$C$2003,$B16)&amp;")"))</f>
        <v/>
      </c>
    </row>
    <row r="17">
      <c r="A17" s="41" t="n"/>
      <c r="B17" s="41" t="n"/>
      <c r="C17" s="41" t="n"/>
      <c r="D17" s="41" t="n"/>
      <c r="E17" s="46" t="n"/>
      <c r="F17" s="41" t="n"/>
      <c r="G17" s="41" t="n"/>
      <c r="H17" s="41" t="n"/>
      <c r="I17" s="41" t="n"/>
      <c r="J17" s="47" t="n"/>
      <c r="K17" s="41" t="n"/>
      <c r="L17" s="48" t="n"/>
      <c r="M17" s="45" t="n"/>
      <c r="N17" s="39">
        <f>IF($B17="","",IF(SUMPRODUCT((LISTAS!$O$3:$O$42&lt;&gt;"")*ISNUMBER(SEARCH(LISTAS!$O$3:$O$42,$I17&amp;" "&amp;$K17)))&gt;0,"CERCANA","NACIONAL"))</f>
        <v/>
      </c>
      <c r="O17" s="39">
        <f>IF($B17="","",IF(COUNTIFS(NOVEDADES!$C$4:$C$2003,$B17)=0,"—","SÍ ("&amp;COUNTIFS(NOVEDADES!$C$4:$C$2003,$B17)&amp;")"))</f>
        <v/>
      </c>
    </row>
    <row r="18">
      <c r="A18" s="41" t="n"/>
      <c r="B18" s="41" t="n"/>
      <c r="C18" s="41" t="n"/>
      <c r="D18" s="41" t="n"/>
      <c r="E18" s="46" t="n"/>
      <c r="F18" s="41" t="n"/>
      <c r="G18" s="41" t="n"/>
      <c r="H18" s="41" t="n"/>
      <c r="I18" s="41" t="n"/>
      <c r="J18" s="47" t="n"/>
      <c r="K18" s="41" t="n"/>
      <c r="L18" s="48" t="n"/>
      <c r="M18" s="45" t="n"/>
      <c r="N18" s="39">
        <f>IF($B18="","",IF(SUMPRODUCT((LISTAS!$O$3:$O$42&lt;&gt;"")*ISNUMBER(SEARCH(LISTAS!$O$3:$O$42,$I18&amp;" "&amp;$K18)))&gt;0,"CERCANA","NACIONAL"))</f>
        <v/>
      </c>
      <c r="O18" s="39">
        <f>IF($B18="","",IF(COUNTIFS(NOVEDADES!$C$4:$C$2003,$B18)=0,"—","SÍ ("&amp;COUNTIFS(NOVEDADES!$C$4:$C$2003,$B18)&amp;")"))</f>
        <v/>
      </c>
    </row>
    <row r="19">
      <c r="A19" s="41" t="n"/>
      <c r="B19" s="41" t="n"/>
      <c r="C19" s="41" t="n"/>
      <c r="D19" s="41" t="n"/>
      <c r="E19" s="46" t="n"/>
      <c r="F19" s="41" t="n"/>
      <c r="G19" s="41" t="n"/>
      <c r="H19" s="41" t="n"/>
      <c r="I19" s="41" t="n"/>
      <c r="J19" s="47" t="n"/>
      <c r="K19" s="41" t="n"/>
      <c r="L19" s="48" t="n"/>
      <c r="M19" s="45" t="n"/>
      <c r="N19" s="39">
        <f>IF($B19="","",IF(SUMPRODUCT((LISTAS!$O$3:$O$42&lt;&gt;"")*ISNUMBER(SEARCH(LISTAS!$O$3:$O$42,$I19&amp;" "&amp;$K19)))&gt;0,"CERCANA","NACIONAL"))</f>
        <v/>
      </c>
      <c r="O19" s="39">
        <f>IF($B19="","",IF(COUNTIFS(NOVEDADES!$C$4:$C$2003,$B19)=0,"—","SÍ ("&amp;COUNTIFS(NOVEDADES!$C$4:$C$2003,$B19)&amp;")"))</f>
        <v/>
      </c>
    </row>
    <row r="20">
      <c r="A20" s="41" t="n"/>
      <c r="B20" s="41" t="n"/>
      <c r="C20" s="41" t="n"/>
      <c r="D20" s="41" t="n"/>
      <c r="E20" s="46" t="n"/>
      <c r="F20" s="41" t="n"/>
      <c r="G20" s="41" t="n"/>
      <c r="H20" s="41" t="n"/>
      <c r="I20" s="41" t="n"/>
      <c r="J20" s="47" t="n"/>
      <c r="K20" s="41" t="n"/>
      <c r="L20" s="48" t="n"/>
      <c r="M20" s="45" t="n"/>
      <c r="N20" s="39">
        <f>IF($B20="","",IF(SUMPRODUCT((LISTAS!$O$3:$O$42&lt;&gt;"")*ISNUMBER(SEARCH(LISTAS!$O$3:$O$42,$I20&amp;" "&amp;$K20)))&gt;0,"CERCANA","NACIONAL"))</f>
        <v/>
      </c>
      <c r="O20" s="39">
        <f>IF($B20="","",IF(COUNTIFS(NOVEDADES!$C$4:$C$2003,$B20)=0,"—","SÍ ("&amp;COUNTIFS(NOVEDADES!$C$4:$C$2003,$B20)&amp;")"))</f>
        <v/>
      </c>
    </row>
    <row r="21">
      <c r="A21" s="41" t="n"/>
      <c r="B21" s="41" t="n"/>
      <c r="C21" s="41" t="n"/>
      <c r="D21" s="41" t="n"/>
      <c r="E21" s="46" t="n"/>
      <c r="F21" s="41" t="n"/>
      <c r="G21" s="41" t="n"/>
      <c r="H21" s="41" t="n"/>
      <c r="I21" s="41" t="n"/>
      <c r="J21" s="47" t="n"/>
      <c r="K21" s="41" t="n"/>
      <c r="L21" s="48" t="n"/>
      <c r="M21" s="45" t="n"/>
      <c r="N21" s="39">
        <f>IF($B21="","",IF(SUMPRODUCT((LISTAS!$O$3:$O$42&lt;&gt;"")*ISNUMBER(SEARCH(LISTAS!$O$3:$O$42,$I21&amp;" "&amp;$K21)))&gt;0,"CERCANA","NACIONAL"))</f>
        <v/>
      </c>
      <c r="O21" s="39">
        <f>IF($B21="","",IF(COUNTIFS(NOVEDADES!$C$4:$C$2003,$B21)=0,"—","SÍ ("&amp;COUNTIFS(NOVEDADES!$C$4:$C$2003,$B21)&amp;")"))</f>
        <v/>
      </c>
    </row>
    <row r="22">
      <c r="A22" s="41" t="n"/>
      <c r="B22" s="41" t="n"/>
      <c r="C22" s="41" t="n"/>
      <c r="D22" s="41" t="n"/>
      <c r="E22" s="46" t="n"/>
      <c r="F22" s="41" t="n"/>
      <c r="G22" s="41" t="n"/>
      <c r="H22" s="41" t="n"/>
      <c r="I22" s="41" t="n"/>
      <c r="J22" s="47" t="n"/>
      <c r="K22" s="41" t="n"/>
      <c r="L22" s="48" t="n"/>
      <c r="M22" s="45" t="n"/>
      <c r="N22" s="39">
        <f>IF($B22="","",IF(SUMPRODUCT((LISTAS!$O$3:$O$42&lt;&gt;"")*ISNUMBER(SEARCH(LISTAS!$O$3:$O$42,$I22&amp;" "&amp;$K22)))&gt;0,"CERCANA","NACIONAL"))</f>
        <v/>
      </c>
      <c r="O22" s="39">
        <f>IF($B22="","",IF(COUNTIFS(NOVEDADES!$C$4:$C$2003,$B22)=0,"—","SÍ ("&amp;COUNTIFS(NOVEDADES!$C$4:$C$2003,$B22)&amp;")"))</f>
        <v/>
      </c>
    </row>
    <row r="23">
      <c r="A23" s="41" t="n"/>
      <c r="B23" s="41" t="n"/>
      <c r="C23" s="41" t="n"/>
      <c r="D23" s="41" t="n"/>
      <c r="E23" s="46" t="n"/>
      <c r="F23" s="41" t="n"/>
      <c r="G23" s="41" t="n"/>
      <c r="H23" s="41" t="n"/>
      <c r="I23" s="41" t="n"/>
      <c r="J23" s="47" t="n"/>
      <c r="K23" s="41" t="n"/>
      <c r="L23" s="48" t="n"/>
      <c r="M23" s="45" t="n"/>
      <c r="N23" s="39">
        <f>IF($B23="","",IF(SUMPRODUCT((LISTAS!$O$3:$O$42&lt;&gt;"")*ISNUMBER(SEARCH(LISTAS!$O$3:$O$42,$I23&amp;" "&amp;$K23)))&gt;0,"CERCANA","NACIONAL"))</f>
        <v/>
      </c>
      <c r="O23" s="39">
        <f>IF($B23="","",IF(COUNTIFS(NOVEDADES!$C$4:$C$2003,$B23)=0,"—","SÍ ("&amp;COUNTIFS(NOVEDADES!$C$4:$C$2003,$B23)&amp;")"))</f>
        <v/>
      </c>
    </row>
    <row r="24">
      <c r="A24" s="41" t="n"/>
      <c r="B24" s="41" t="n"/>
      <c r="C24" s="41" t="n"/>
      <c r="D24" s="41" t="n"/>
      <c r="E24" s="46" t="n"/>
      <c r="F24" s="41" t="n"/>
      <c r="G24" s="41" t="n"/>
      <c r="H24" s="41" t="n"/>
      <c r="I24" s="41" t="n"/>
      <c r="J24" s="47" t="n"/>
      <c r="K24" s="41" t="n"/>
      <c r="L24" s="48" t="n"/>
      <c r="M24" s="45" t="n"/>
      <c r="N24" s="39">
        <f>IF($B24="","",IF(SUMPRODUCT((LISTAS!$O$3:$O$42&lt;&gt;"")*ISNUMBER(SEARCH(LISTAS!$O$3:$O$42,$I24&amp;" "&amp;$K24)))&gt;0,"CERCANA","NACIONAL"))</f>
        <v/>
      </c>
      <c r="O24" s="39">
        <f>IF($B24="","",IF(COUNTIFS(NOVEDADES!$C$4:$C$2003,$B24)=0,"—","SÍ ("&amp;COUNTIFS(NOVEDADES!$C$4:$C$2003,$B24)&amp;")"))</f>
        <v/>
      </c>
    </row>
    <row r="25">
      <c r="A25" s="41" t="n"/>
      <c r="B25" s="41" t="n"/>
      <c r="C25" s="41" t="n"/>
      <c r="D25" s="41" t="n"/>
      <c r="E25" s="46" t="n"/>
      <c r="F25" s="41" t="n"/>
      <c r="G25" s="41" t="n"/>
      <c r="H25" s="41" t="n"/>
      <c r="I25" s="41" t="n"/>
      <c r="J25" s="47" t="n"/>
      <c r="K25" s="41" t="n"/>
      <c r="L25" s="48" t="n"/>
      <c r="M25" s="45" t="n"/>
      <c r="N25" s="39">
        <f>IF($B25="","",IF(SUMPRODUCT((LISTAS!$O$3:$O$42&lt;&gt;"")*ISNUMBER(SEARCH(LISTAS!$O$3:$O$42,$I25&amp;" "&amp;$K25)))&gt;0,"CERCANA","NACIONAL"))</f>
        <v/>
      </c>
      <c r="O25" s="39">
        <f>IF($B25="","",IF(COUNTIFS(NOVEDADES!$C$4:$C$2003,$B25)=0,"—","SÍ ("&amp;COUNTIFS(NOVEDADES!$C$4:$C$2003,$B25)&amp;")"))</f>
        <v/>
      </c>
    </row>
    <row r="26">
      <c r="A26" s="41" t="n"/>
      <c r="B26" s="41" t="n"/>
      <c r="C26" s="41" t="n"/>
      <c r="D26" s="41" t="n"/>
      <c r="E26" s="46" t="n"/>
      <c r="F26" s="41" t="n"/>
      <c r="G26" s="41" t="n"/>
      <c r="H26" s="41" t="n"/>
      <c r="I26" s="41" t="n"/>
      <c r="J26" s="47" t="n"/>
      <c r="K26" s="41" t="n"/>
      <c r="L26" s="48" t="n"/>
      <c r="M26" s="45" t="n"/>
      <c r="N26" s="39">
        <f>IF($B26="","",IF(SUMPRODUCT((LISTAS!$O$3:$O$42&lt;&gt;"")*ISNUMBER(SEARCH(LISTAS!$O$3:$O$42,$I26&amp;" "&amp;$K26)))&gt;0,"CERCANA","NACIONAL"))</f>
        <v/>
      </c>
      <c r="O26" s="39">
        <f>IF($B26="","",IF(COUNTIFS(NOVEDADES!$C$4:$C$2003,$B26)=0,"—","SÍ ("&amp;COUNTIFS(NOVEDADES!$C$4:$C$2003,$B26)&amp;")"))</f>
        <v/>
      </c>
    </row>
    <row r="27">
      <c r="A27" s="41" t="n"/>
      <c r="B27" s="41" t="n"/>
      <c r="C27" s="41" t="n"/>
      <c r="D27" s="41" t="n"/>
      <c r="E27" s="46" t="n"/>
      <c r="F27" s="41" t="n"/>
      <c r="G27" s="41" t="n"/>
      <c r="H27" s="41" t="n"/>
      <c r="I27" s="41" t="n"/>
      <c r="J27" s="47" t="n"/>
      <c r="K27" s="41" t="n"/>
      <c r="L27" s="48" t="n"/>
      <c r="M27" s="45" t="n"/>
      <c r="N27" s="39">
        <f>IF($B27="","",IF(SUMPRODUCT((LISTAS!$O$3:$O$42&lt;&gt;"")*ISNUMBER(SEARCH(LISTAS!$O$3:$O$42,$I27&amp;" "&amp;$K27)))&gt;0,"CERCANA","NACIONAL"))</f>
        <v/>
      </c>
      <c r="O27" s="39">
        <f>IF($B27="","",IF(COUNTIFS(NOVEDADES!$C$4:$C$2003,$B27)=0,"—","SÍ ("&amp;COUNTIFS(NOVEDADES!$C$4:$C$2003,$B27)&amp;")"))</f>
        <v/>
      </c>
    </row>
    <row r="28">
      <c r="A28" s="41" t="n"/>
      <c r="B28" s="41" t="n"/>
      <c r="C28" s="41" t="n"/>
      <c r="D28" s="41" t="n"/>
      <c r="E28" s="46" t="n"/>
      <c r="F28" s="41" t="n"/>
      <c r="G28" s="41" t="n"/>
      <c r="H28" s="41" t="n"/>
      <c r="I28" s="41" t="n"/>
      <c r="J28" s="47" t="n"/>
      <c r="K28" s="41" t="n"/>
      <c r="L28" s="48" t="n"/>
      <c r="M28" s="45" t="n"/>
      <c r="N28" s="39">
        <f>IF($B28="","",IF(SUMPRODUCT((LISTAS!$O$3:$O$42&lt;&gt;"")*ISNUMBER(SEARCH(LISTAS!$O$3:$O$42,$I28&amp;" "&amp;$K28)))&gt;0,"CERCANA","NACIONAL"))</f>
        <v/>
      </c>
      <c r="O28" s="39">
        <f>IF($B28="","",IF(COUNTIFS(NOVEDADES!$C$4:$C$2003,$B28)=0,"—","SÍ ("&amp;COUNTIFS(NOVEDADES!$C$4:$C$2003,$B28)&amp;")"))</f>
        <v/>
      </c>
    </row>
    <row r="29">
      <c r="A29" s="41" t="n"/>
      <c r="B29" s="41" t="n"/>
      <c r="C29" s="41" t="n"/>
      <c r="D29" s="41" t="n"/>
      <c r="E29" s="46" t="n"/>
      <c r="F29" s="41" t="n"/>
      <c r="G29" s="41" t="n"/>
      <c r="H29" s="41" t="n"/>
      <c r="I29" s="41" t="n"/>
      <c r="J29" s="47" t="n"/>
      <c r="K29" s="41" t="n"/>
      <c r="L29" s="48" t="n"/>
      <c r="M29" s="45" t="n"/>
      <c r="N29" s="39">
        <f>IF($B29="","",IF(SUMPRODUCT((LISTAS!$O$3:$O$42&lt;&gt;"")*ISNUMBER(SEARCH(LISTAS!$O$3:$O$42,$I29&amp;" "&amp;$K29)))&gt;0,"CERCANA","NACIONAL"))</f>
        <v/>
      </c>
      <c r="O29" s="39">
        <f>IF($B29="","",IF(COUNTIFS(NOVEDADES!$C$4:$C$2003,$B29)=0,"—","SÍ ("&amp;COUNTIFS(NOVEDADES!$C$4:$C$2003,$B29)&amp;")"))</f>
        <v/>
      </c>
    </row>
    <row r="30">
      <c r="A30" s="41" t="n"/>
      <c r="B30" s="41" t="n"/>
      <c r="C30" s="41" t="n"/>
      <c r="D30" s="41" t="n"/>
      <c r="E30" s="46" t="n"/>
      <c r="F30" s="41" t="n"/>
      <c r="G30" s="41" t="n"/>
      <c r="H30" s="41" t="n"/>
      <c r="I30" s="41" t="n"/>
      <c r="J30" s="47" t="n"/>
      <c r="K30" s="41" t="n"/>
      <c r="L30" s="48" t="n"/>
      <c r="M30" s="45" t="n"/>
      <c r="N30" s="39">
        <f>IF($B30="","",IF(SUMPRODUCT((LISTAS!$O$3:$O$42&lt;&gt;"")*ISNUMBER(SEARCH(LISTAS!$O$3:$O$42,$I30&amp;" "&amp;$K30)))&gt;0,"CERCANA","NACIONAL"))</f>
        <v/>
      </c>
      <c r="O30" s="39">
        <f>IF($B30="","",IF(COUNTIFS(NOVEDADES!$C$4:$C$2003,$B30)=0,"—","SÍ ("&amp;COUNTIFS(NOVEDADES!$C$4:$C$2003,$B30)&amp;")"))</f>
        <v/>
      </c>
    </row>
    <row r="31">
      <c r="A31" s="41" t="n"/>
      <c r="B31" s="41" t="n"/>
      <c r="C31" s="41" t="n"/>
      <c r="D31" s="41" t="n"/>
      <c r="E31" s="46" t="n"/>
      <c r="F31" s="41" t="n"/>
      <c r="G31" s="41" t="n"/>
      <c r="H31" s="41" t="n"/>
      <c r="I31" s="41" t="n"/>
      <c r="J31" s="47" t="n"/>
      <c r="K31" s="41" t="n"/>
      <c r="L31" s="48" t="n"/>
      <c r="M31" s="45" t="n"/>
      <c r="N31" s="39">
        <f>IF($B31="","",IF(SUMPRODUCT((LISTAS!$O$3:$O$42&lt;&gt;"")*ISNUMBER(SEARCH(LISTAS!$O$3:$O$42,$I31&amp;" "&amp;$K31)))&gt;0,"CERCANA","NACIONAL"))</f>
        <v/>
      </c>
      <c r="O31" s="39">
        <f>IF($B31="","",IF(COUNTIFS(NOVEDADES!$C$4:$C$2003,$B31)=0,"—","SÍ ("&amp;COUNTIFS(NOVEDADES!$C$4:$C$2003,$B31)&amp;")"))</f>
        <v/>
      </c>
    </row>
    <row r="32">
      <c r="A32" s="41" t="n"/>
      <c r="B32" s="41" t="n"/>
      <c r="C32" s="41" t="n"/>
      <c r="D32" s="41" t="n"/>
      <c r="E32" s="46" t="n"/>
      <c r="F32" s="41" t="n"/>
      <c r="G32" s="41" t="n"/>
      <c r="H32" s="41" t="n"/>
      <c r="I32" s="41" t="n"/>
      <c r="J32" s="47" t="n"/>
      <c r="K32" s="41" t="n"/>
      <c r="L32" s="48" t="n"/>
      <c r="M32" s="45" t="n"/>
      <c r="N32" s="39">
        <f>IF($B32="","",IF(SUMPRODUCT((LISTAS!$O$3:$O$42&lt;&gt;"")*ISNUMBER(SEARCH(LISTAS!$O$3:$O$42,$I32&amp;" "&amp;$K32)))&gt;0,"CERCANA","NACIONAL"))</f>
        <v/>
      </c>
      <c r="O32" s="39">
        <f>IF($B32="","",IF(COUNTIFS(NOVEDADES!$C$4:$C$2003,$B32)=0,"—","SÍ ("&amp;COUNTIFS(NOVEDADES!$C$4:$C$2003,$B32)&amp;")"))</f>
        <v/>
      </c>
    </row>
    <row r="33">
      <c r="A33" s="41" t="n"/>
      <c r="B33" s="41" t="n"/>
      <c r="C33" s="41" t="n"/>
      <c r="D33" s="41" t="n"/>
      <c r="E33" s="46" t="n"/>
      <c r="F33" s="41" t="n"/>
      <c r="G33" s="41" t="n"/>
      <c r="H33" s="41" t="n"/>
      <c r="I33" s="41" t="n"/>
      <c r="J33" s="47" t="n"/>
      <c r="K33" s="41" t="n"/>
      <c r="L33" s="48" t="n"/>
      <c r="M33" s="45" t="n"/>
      <c r="N33" s="39">
        <f>IF($B33="","",IF(SUMPRODUCT((LISTAS!$O$3:$O$42&lt;&gt;"")*ISNUMBER(SEARCH(LISTAS!$O$3:$O$42,$I33&amp;" "&amp;$K33)))&gt;0,"CERCANA","NACIONAL"))</f>
        <v/>
      </c>
      <c r="O33" s="39">
        <f>IF($B33="","",IF(COUNTIFS(NOVEDADES!$C$4:$C$2003,$B33)=0,"—","SÍ ("&amp;COUNTIFS(NOVEDADES!$C$4:$C$2003,$B33)&amp;")"))</f>
        <v/>
      </c>
    </row>
    <row r="34">
      <c r="A34" s="41" t="n"/>
      <c r="B34" s="41" t="n"/>
      <c r="C34" s="41" t="n"/>
      <c r="D34" s="41" t="n"/>
      <c r="E34" s="46" t="n"/>
      <c r="F34" s="41" t="n"/>
      <c r="G34" s="41" t="n"/>
      <c r="H34" s="41" t="n"/>
      <c r="I34" s="41" t="n"/>
      <c r="J34" s="47" t="n"/>
      <c r="K34" s="41" t="n"/>
      <c r="L34" s="48" t="n"/>
      <c r="M34" s="45" t="n"/>
      <c r="N34" s="39">
        <f>IF($B34="","",IF(SUMPRODUCT((LISTAS!$O$3:$O$42&lt;&gt;"")*ISNUMBER(SEARCH(LISTAS!$O$3:$O$42,$I34&amp;" "&amp;$K34)))&gt;0,"CERCANA","NACIONAL"))</f>
        <v/>
      </c>
      <c r="O34" s="39">
        <f>IF($B34="","",IF(COUNTIFS(NOVEDADES!$C$4:$C$2003,$B34)=0,"—","SÍ ("&amp;COUNTIFS(NOVEDADES!$C$4:$C$2003,$B34)&amp;")"))</f>
        <v/>
      </c>
    </row>
    <row r="35">
      <c r="A35" s="41" t="n"/>
      <c r="B35" s="41" t="n"/>
      <c r="C35" s="41" t="n"/>
      <c r="D35" s="41" t="n"/>
      <c r="E35" s="46" t="n"/>
      <c r="F35" s="41" t="n"/>
      <c r="G35" s="41" t="n"/>
      <c r="H35" s="41" t="n"/>
      <c r="I35" s="41" t="n"/>
      <c r="J35" s="47" t="n"/>
      <c r="K35" s="41" t="n"/>
      <c r="L35" s="48" t="n"/>
      <c r="M35" s="45" t="n"/>
      <c r="N35" s="39">
        <f>IF($B35="","",IF(SUMPRODUCT((LISTAS!$O$3:$O$42&lt;&gt;"")*ISNUMBER(SEARCH(LISTAS!$O$3:$O$42,$I35&amp;" "&amp;$K35)))&gt;0,"CERCANA","NACIONAL"))</f>
        <v/>
      </c>
      <c r="O35" s="39">
        <f>IF($B35="","",IF(COUNTIFS(NOVEDADES!$C$4:$C$2003,$B35)=0,"—","SÍ ("&amp;COUNTIFS(NOVEDADES!$C$4:$C$2003,$B35)&amp;")"))</f>
        <v/>
      </c>
    </row>
    <row r="36">
      <c r="A36" s="41" t="n"/>
      <c r="B36" s="41" t="n"/>
      <c r="C36" s="41" t="n"/>
      <c r="D36" s="41" t="n"/>
      <c r="E36" s="46" t="n"/>
      <c r="F36" s="41" t="n"/>
      <c r="G36" s="41" t="n"/>
      <c r="H36" s="41" t="n"/>
      <c r="I36" s="41" t="n"/>
      <c r="J36" s="47" t="n"/>
      <c r="K36" s="41" t="n"/>
      <c r="L36" s="48" t="n"/>
      <c r="M36" s="45" t="n"/>
      <c r="N36" s="39">
        <f>IF($B36="","",IF(SUMPRODUCT((LISTAS!$O$3:$O$42&lt;&gt;"")*ISNUMBER(SEARCH(LISTAS!$O$3:$O$42,$I36&amp;" "&amp;$K36)))&gt;0,"CERCANA","NACIONAL"))</f>
        <v/>
      </c>
      <c r="O36" s="39">
        <f>IF($B36="","",IF(COUNTIFS(NOVEDADES!$C$4:$C$2003,$B36)=0,"—","SÍ ("&amp;COUNTIFS(NOVEDADES!$C$4:$C$2003,$B36)&amp;")"))</f>
        <v/>
      </c>
    </row>
    <row r="37">
      <c r="A37" s="41" t="n"/>
      <c r="B37" s="41" t="n"/>
      <c r="C37" s="41" t="n"/>
      <c r="D37" s="41" t="n"/>
      <c r="E37" s="46" t="n"/>
      <c r="F37" s="41" t="n"/>
      <c r="G37" s="41" t="n"/>
      <c r="H37" s="41" t="n"/>
      <c r="I37" s="41" t="n"/>
      <c r="J37" s="47" t="n"/>
      <c r="K37" s="41" t="n"/>
      <c r="L37" s="48" t="n"/>
      <c r="M37" s="45" t="n"/>
      <c r="N37" s="39">
        <f>IF($B37="","",IF(SUMPRODUCT((LISTAS!$O$3:$O$42&lt;&gt;"")*ISNUMBER(SEARCH(LISTAS!$O$3:$O$42,$I37&amp;" "&amp;$K37)))&gt;0,"CERCANA","NACIONAL"))</f>
        <v/>
      </c>
      <c r="O37" s="39">
        <f>IF($B37="","",IF(COUNTIFS(NOVEDADES!$C$4:$C$2003,$B37)=0,"—","SÍ ("&amp;COUNTIFS(NOVEDADES!$C$4:$C$2003,$B37)&amp;")"))</f>
        <v/>
      </c>
    </row>
    <row r="38">
      <c r="A38" s="41" t="n"/>
      <c r="B38" s="41" t="n"/>
      <c r="C38" s="41" t="n"/>
      <c r="D38" s="41" t="n"/>
      <c r="E38" s="46" t="n"/>
      <c r="F38" s="41" t="n"/>
      <c r="G38" s="41" t="n"/>
      <c r="H38" s="41" t="n"/>
      <c r="I38" s="41" t="n"/>
      <c r="J38" s="47" t="n"/>
      <c r="K38" s="41" t="n"/>
      <c r="L38" s="48" t="n"/>
      <c r="M38" s="45" t="n"/>
      <c r="N38" s="39">
        <f>IF($B38="","",IF(SUMPRODUCT((LISTAS!$O$3:$O$42&lt;&gt;"")*ISNUMBER(SEARCH(LISTAS!$O$3:$O$42,$I38&amp;" "&amp;$K38)))&gt;0,"CERCANA","NACIONAL"))</f>
        <v/>
      </c>
      <c r="O38" s="39">
        <f>IF($B38="","",IF(COUNTIFS(NOVEDADES!$C$4:$C$2003,$B38)=0,"—","SÍ ("&amp;COUNTIFS(NOVEDADES!$C$4:$C$2003,$B38)&amp;")"))</f>
        <v/>
      </c>
    </row>
    <row r="39">
      <c r="A39" s="41" t="n"/>
      <c r="B39" s="41" t="n"/>
      <c r="C39" s="41" t="n"/>
      <c r="D39" s="41" t="n"/>
      <c r="E39" s="46" t="n"/>
      <c r="F39" s="41" t="n"/>
      <c r="G39" s="41" t="n"/>
      <c r="H39" s="41" t="n"/>
      <c r="I39" s="41" t="n"/>
      <c r="J39" s="47" t="n"/>
      <c r="K39" s="41" t="n"/>
      <c r="L39" s="48" t="n"/>
      <c r="M39" s="45" t="n"/>
      <c r="N39" s="39">
        <f>IF($B39="","",IF(SUMPRODUCT((LISTAS!$O$3:$O$42&lt;&gt;"")*ISNUMBER(SEARCH(LISTAS!$O$3:$O$42,$I39&amp;" "&amp;$K39)))&gt;0,"CERCANA","NACIONAL"))</f>
        <v/>
      </c>
      <c r="O39" s="39">
        <f>IF($B39="","",IF(COUNTIFS(NOVEDADES!$C$4:$C$2003,$B39)=0,"—","SÍ ("&amp;COUNTIFS(NOVEDADES!$C$4:$C$2003,$B39)&amp;")"))</f>
        <v/>
      </c>
    </row>
    <row r="40">
      <c r="A40" s="41" t="n"/>
      <c r="B40" s="41" t="n"/>
      <c r="C40" s="41" t="n"/>
      <c r="D40" s="41" t="n"/>
      <c r="E40" s="46" t="n"/>
      <c r="F40" s="41" t="n"/>
      <c r="G40" s="41" t="n"/>
      <c r="H40" s="41" t="n"/>
      <c r="I40" s="41" t="n"/>
      <c r="J40" s="47" t="n"/>
      <c r="K40" s="41" t="n"/>
      <c r="L40" s="48" t="n"/>
      <c r="M40" s="45" t="n"/>
      <c r="N40" s="39">
        <f>IF($B40="","",IF(SUMPRODUCT((LISTAS!$O$3:$O$42&lt;&gt;"")*ISNUMBER(SEARCH(LISTAS!$O$3:$O$42,$I40&amp;" "&amp;$K40)))&gt;0,"CERCANA","NACIONAL"))</f>
        <v/>
      </c>
      <c r="O40" s="39">
        <f>IF($B40="","",IF(COUNTIFS(NOVEDADES!$C$4:$C$2003,$B40)=0,"—","SÍ ("&amp;COUNTIFS(NOVEDADES!$C$4:$C$2003,$B40)&amp;")"))</f>
        <v/>
      </c>
    </row>
    <row r="41">
      <c r="A41" s="41" t="n"/>
      <c r="B41" s="41" t="n"/>
      <c r="C41" s="41" t="n"/>
      <c r="D41" s="41" t="n"/>
      <c r="E41" s="46" t="n"/>
      <c r="F41" s="41" t="n"/>
      <c r="G41" s="41" t="n"/>
      <c r="H41" s="41" t="n"/>
      <c r="I41" s="41" t="n"/>
      <c r="J41" s="47" t="n"/>
      <c r="K41" s="41" t="n"/>
      <c r="L41" s="48" t="n"/>
      <c r="M41" s="45" t="n"/>
      <c r="N41" s="39">
        <f>IF($B41="","",IF(SUMPRODUCT((LISTAS!$O$3:$O$42&lt;&gt;"")*ISNUMBER(SEARCH(LISTAS!$O$3:$O$42,$I41&amp;" "&amp;$K41)))&gt;0,"CERCANA","NACIONAL"))</f>
        <v/>
      </c>
      <c r="O41" s="39">
        <f>IF($B41="","",IF(COUNTIFS(NOVEDADES!$C$4:$C$2003,$B41)=0,"—","SÍ ("&amp;COUNTIFS(NOVEDADES!$C$4:$C$2003,$B41)&amp;")"))</f>
        <v/>
      </c>
    </row>
    <row r="42">
      <c r="A42" s="41" t="n"/>
      <c r="B42" s="41" t="n"/>
      <c r="C42" s="41" t="n"/>
      <c r="D42" s="41" t="n"/>
      <c r="E42" s="46" t="n"/>
      <c r="F42" s="41" t="n"/>
      <c r="G42" s="41" t="n"/>
      <c r="H42" s="41" t="n"/>
      <c r="I42" s="41" t="n"/>
      <c r="J42" s="47" t="n"/>
      <c r="K42" s="41" t="n"/>
      <c r="L42" s="48" t="n"/>
      <c r="M42" s="45" t="n"/>
      <c r="N42" s="39">
        <f>IF($B42="","",IF(SUMPRODUCT((LISTAS!$O$3:$O$42&lt;&gt;"")*ISNUMBER(SEARCH(LISTAS!$O$3:$O$42,$I42&amp;" "&amp;$K42)))&gt;0,"CERCANA","NACIONAL"))</f>
        <v/>
      </c>
      <c r="O42" s="39">
        <f>IF($B42="","",IF(COUNTIFS(NOVEDADES!$C$4:$C$2003,$B42)=0,"—","SÍ ("&amp;COUNTIFS(NOVEDADES!$C$4:$C$2003,$B42)&amp;")"))</f>
        <v/>
      </c>
    </row>
    <row r="43">
      <c r="A43" s="41" t="n"/>
      <c r="B43" s="41" t="n"/>
      <c r="C43" s="41" t="n"/>
      <c r="D43" s="41" t="n"/>
      <c r="E43" s="46" t="n"/>
      <c r="F43" s="41" t="n"/>
      <c r="G43" s="41" t="n"/>
      <c r="H43" s="41" t="n"/>
      <c r="I43" s="41" t="n"/>
      <c r="J43" s="47" t="n"/>
      <c r="K43" s="41" t="n"/>
      <c r="L43" s="48" t="n"/>
      <c r="M43" s="45" t="n"/>
      <c r="N43" s="39">
        <f>IF($B43="","",IF(SUMPRODUCT((LISTAS!$O$3:$O$42&lt;&gt;"")*ISNUMBER(SEARCH(LISTAS!$O$3:$O$42,$I43&amp;" "&amp;$K43)))&gt;0,"CERCANA","NACIONAL"))</f>
        <v/>
      </c>
      <c r="O43" s="39">
        <f>IF($B43="","",IF(COUNTIFS(NOVEDADES!$C$4:$C$2003,$B43)=0,"—","SÍ ("&amp;COUNTIFS(NOVEDADES!$C$4:$C$2003,$B43)&amp;")"))</f>
        <v/>
      </c>
    </row>
    <row r="44">
      <c r="A44" s="41" t="n"/>
      <c r="B44" s="41" t="n"/>
      <c r="C44" s="41" t="n"/>
      <c r="D44" s="41" t="n"/>
      <c r="E44" s="46" t="n"/>
      <c r="F44" s="41" t="n"/>
      <c r="G44" s="41" t="n"/>
      <c r="H44" s="41" t="n"/>
      <c r="I44" s="41" t="n"/>
      <c r="J44" s="47" t="n"/>
      <c r="K44" s="41" t="n"/>
      <c r="L44" s="48" t="n"/>
      <c r="M44" s="45" t="n"/>
      <c r="N44" s="39">
        <f>IF($B44="","",IF(SUMPRODUCT((LISTAS!$O$3:$O$42&lt;&gt;"")*ISNUMBER(SEARCH(LISTAS!$O$3:$O$42,$I44&amp;" "&amp;$K44)))&gt;0,"CERCANA","NACIONAL"))</f>
        <v/>
      </c>
      <c r="O44" s="39">
        <f>IF($B44="","",IF(COUNTIFS(NOVEDADES!$C$4:$C$2003,$B44)=0,"—","SÍ ("&amp;COUNTIFS(NOVEDADES!$C$4:$C$2003,$B44)&amp;")"))</f>
        <v/>
      </c>
    </row>
    <row r="45">
      <c r="A45" s="41" t="n"/>
      <c r="B45" s="41" t="n"/>
      <c r="C45" s="41" t="n"/>
      <c r="D45" s="41" t="n"/>
      <c r="E45" s="46" t="n"/>
      <c r="F45" s="41" t="n"/>
      <c r="G45" s="41" t="n"/>
      <c r="H45" s="41" t="n"/>
      <c r="I45" s="41" t="n"/>
      <c r="J45" s="47" t="n"/>
      <c r="K45" s="41" t="n"/>
      <c r="L45" s="48" t="n"/>
      <c r="M45" s="45" t="n"/>
      <c r="N45" s="39">
        <f>IF($B45="","",IF(SUMPRODUCT((LISTAS!$O$3:$O$42&lt;&gt;"")*ISNUMBER(SEARCH(LISTAS!$O$3:$O$42,$I45&amp;" "&amp;$K45)))&gt;0,"CERCANA","NACIONAL"))</f>
        <v/>
      </c>
      <c r="O45" s="39">
        <f>IF($B45="","",IF(COUNTIFS(NOVEDADES!$C$4:$C$2003,$B45)=0,"—","SÍ ("&amp;COUNTIFS(NOVEDADES!$C$4:$C$2003,$B45)&amp;")"))</f>
        <v/>
      </c>
    </row>
    <row r="46">
      <c r="A46" s="41" t="n"/>
      <c r="B46" s="41" t="n"/>
      <c r="C46" s="41" t="n"/>
      <c r="D46" s="41" t="n"/>
      <c r="E46" s="46" t="n"/>
      <c r="F46" s="41" t="n"/>
      <c r="G46" s="41" t="n"/>
      <c r="H46" s="41" t="n"/>
      <c r="I46" s="41" t="n"/>
      <c r="J46" s="47" t="n"/>
      <c r="K46" s="41" t="n"/>
      <c r="L46" s="48" t="n"/>
      <c r="M46" s="45" t="n"/>
      <c r="N46" s="39">
        <f>IF($B46="","",IF(SUMPRODUCT((LISTAS!$O$3:$O$42&lt;&gt;"")*ISNUMBER(SEARCH(LISTAS!$O$3:$O$42,$I46&amp;" "&amp;$K46)))&gt;0,"CERCANA","NACIONAL"))</f>
        <v/>
      </c>
      <c r="O46" s="39">
        <f>IF($B46="","",IF(COUNTIFS(NOVEDADES!$C$4:$C$2003,$B46)=0,"—","SÍ ("&amp;COUNTIFS(NOVEDADES!$C$4:$C$2003,$B46)&amp;")"))</f>
        <v/>
      </c>
    </row>
    <row r="47">
      <c r="A47" s="41" t="n"/>
      <c r="B47" s="41" t="n"/>
      <c r="C47" s="41" t="n"/>
      <c r="D47" s="41" t="n"/>
      <c r="E47" s="46" t="n"/>
      <c r="F47" s="41" t="n"/>
      <c r="G47" s="41" t="n"/>
      <c r="H47" s="41" t="n"/>
      <c r="I47" s="41" t="n"/>
      <c r="J47" s="47" t="n"/>
      <c r="K47" s="41" t="n"/>
      <c r="L47" s="48" t="n"/>
      <c r="M47" s="45" t="n"/>
      <c r="N47" s="39">
        <f>IF($B47="","",IF(SUMPRODUCT((LISTAS!$O$3:$O$42&lt;&gt;"")*ISNUMBER(SEARCH(LISTAS!$O$3:$O$42,$I47&amp;" "&amp;$K47)))&gt;0,"CERCANA","NACIONAL"))</f>
        <v/>
      </c>
      <c r="O47" s="39">
        <f>IF($B47="","",IF(COUNTIFS(NOVEDADES!$C$4:$C$2003,$B47)=0,"—","SÍ ("&amp;COUNTIFS(NOVEDADES!$C$4:$C$2003,$B47)&amp;")"))</f>
        <v/>
      </c>
    </row>
    <row r="48">
      <c r="A48" s="41" t="n"/>
      <c r="B48" s="41" t="n"/>
      <c r="C48" s="41" t="n"/>
      <c r="D48" s="41" t="n"/>
      <c r="E48" s="46" t="n"/>
      <c r="F48" s="41" t="n"/>
      <c r="G48" s="41" t="n"/>
      <c r="H48" s="41" t="n"/>
      <c r="I48" s="41" t="n"/>
      <c r="J48" s="47" t="n"/>
      <c r="K48" s="41" t="n"/>
      <c r="L48" s="48" t="n"/>
      <c r="M48" s="45" t="n"/>
      <c r="N48" s="39">
        <f>IF($B48="","",IF(SUMPRODUCT((LISTAS!$O$3:$O$42&lt;&gt;"")*ISNUMBER(SEARCH(LISTAS!$O$3:$O$42,$I48&amp;" "&amp;$K48)))&gt;0,"CERCANA","NACIONAL"))</f>
        <v/>
      </c>
      <c r="O48" s="39">
        <f>IF($B48="","",IF(COUNTIFS(NOVEDADES!$C$4:$C$2003,$B48)=0,"—","SÍ ("&amp;COUNTIFS(NOVEDADES!$C$4:$C$2003,$B48)&amp;")"))</f>
        <v/>
      </c>
    </row>
    <row r="49">
      <c r="A49" s="41" t="n"/>
      <c r="B49" s="41" t="n"/>
      <c r="C49" s="41" t="n"/>
      <c r="D49" s="41" t="n"/>
      <c r="E49" s="46" t="n"/>
      <c r="F49" s="41" t="n"/>
      <c r="G49" s="41" t="n"/>
      <c r="H49" s="41" t="n"/>
      <c r="I49" s="41" t="n"/>
      <c r="J49" s="47" t="n"/>
      <c r="K49" s="41" t="n"/>
      <c r="L49" s="48" t="n"/>
      <c r="M49" s="45" t="n"/>
      <c r="N49" s="39">
        <f>IF($B49="","",IF(SUMPRODUCT((LISTAS!$O$3:$O$42&lt;&gt;"")*ISNUMBER(SEARCH(LISTAS!$O$3:$O$42,$I49&amp;" "&amp;$K49)))&gt;0,"CERCANA","NACIONAL"))</f>
        <v/>
      </c>
      <c r="O49" s="39">
        <f>IF($B49="","",IF(COUNTIFS(NOVEDADES!$C$4:$C$2003,$B49)=0,"—","SÍ ("&amp;COUNTIFS(NOVEDADES!$C$4:$C$2003,$B49)&amp;")"))</f>
        <v/>
      </c>
    </row>
    <row r="50">
      <c r="A50" s="41" t="n"/>
      <c r="B50" s="41" t="n"/>
      <c r="C50" s="41" t="n"/>
      <c r="D50" s="41" t="n"/>
      <c r="E50" s="46" t="n"/>
      <c r="F50" s="41" t="n"/>
      <c r="G50" s="41" t="n"/>
      <c r="H50" s="41" t="n"/>
      <c r="I50" s="41" t="n"/>
      <c r="J50" s="47" t="n"/>
      <c r="K50" s="41" t="n"/>
      <c r="L50" s="48" t="n"/>
      <c r="M50" s="45" t="n"/>
      <c r="N50" s="39">
        <f>IF($B50="","",IF(SUMPRODUCT((LISTAS!$O$3:$O$42&lt;&gt;"")*ISNUMBER(SEARCH(LISTAS!$O$3:$O$42,$I50&amp;" "&amp;$K50)))&gt;0,"CERCANA","NACIONAL"))</f>
        <v/>
      </c>
      <c r="O50" s="39">
        <f>IF($B50="","",IF(COUNTIFS(NOVEDADES!$C$4:$C$2003,$B50)=0,"—","SÍ ("&amp;COUNTIFS(NOVEDADES!$C$4:$C$2003,$B50)&amp;")"))</f>
        <v/>
      </c>
    </row>
    <row r="51">
      <c r="A51" s="41" t="n"/>
      <c r="B51" s="41" t="n"/>
      <c r="C51" s="41" t="n"/>
      <c r="D51" s="41" t="n"/>
      <c r="E51" s="46" t="n"/>
      <c r="F51" s="41" t="n"/>
      <c r="G51" s="41" t="n"/>
      <c r="H51" s="41" t="n"/>
      <c r="I51" s="41" t="n"/>
      <c r="J51" s="47" t="n"/>
      <c r="K51" s="41" t="n"/>
      <c r="L51" s="48" t="n"/>
      <c r="M51" s="45" t="n"/>
      <c r="N51" s="39">
        <f>IF($B51="","",IF(SUMPRODUCT((LISTAS!$O$3:$O$42&lt;&gt;"")*ISNUMBER(SEARCH(LISTAS!$O$3:$O$42,$I51&amp;" "&amp;$K51)))&gt;0,"CERCANA","NACIONAL"))</f>
        <v/>
      </c>
      <c r="O51" s="39">
        <f>IF($B51="","",IF(COUNTIFS(NOVEDADES!$C$4:$C$2003,$B51)=0,"—","SÍ ("&amp;COUNTIFS(NOVEDADES!$C$4:$C$2003,$B51)&amp;")"))</f>
        <v/>
      </c>
    </row>
    <row r="52">
      <c r="A52" s="41" t="n"/>
      <c r="B52" s="41" t="n"/>
      <c r="C52" s="41" t="n"/>
      <c r="D52" s="41" t="n"/>
      <c r="E52" s="46" t="n"/>
      <c r="F52" s="41" t="n"/>
      <c r="G52" s="41" t="n"/>
      <c r="H52" s="41" t="n"/>
      <c r="I52" s="41" t="n"/>
      <c r="J52" s="47" t="n"/>
      <c r="K52" s="41" t="n"/>
      <c r="L52" s="48" t="n"/>
      <c r="M52" s="45" t="n"/>
      <c r="N52" s="39">
        <f>IF($B52="","",IF(SUMPRODUCT((LISTAS!$O$3:$O$42&lt;&gt;"")*ISNUMBER(SEARCH(LISTAS!$O$3:$O$42,$I52&amp;" "&amp;$K52)))&gt;0,"CERCANA","NACIONAL"))</f>
        <v/>
      </c>
      <c r="O52" s="39">
        <f>IF($B52="","",IF(COUNTIFS(NOVEDADES!$C$4:$C$2003,$B52)=0,"—","SÍ ("&amp;COUNTIFS(NOVEDADES!$C$4:$C$2003,$B52)&amp;")"))</f>
        <v/>
      </c>
    </row>
    <row r="53">
      <c r="A53" s="41" t="n"/>
      <c r="B53" s="41" t="n"/>
      <c r="C53" s="41" t="n"/>
      <c r="D53" s="41" t="n"/>
      <c r="E53" s="46" t="n"/>
      <c r="F53" s="41" t="n"/>
      <c r="G53" s="41" t="n"/>
      <c r="H53" s="41" t="n"/>
      <c r="I53" s="41" t="n"/>
      <c r="J53" s="47" t="n"/>
      <c r="K53" s="41" t="n"/>
      <c r="L53" s="48" t="n"/>
      <c r="M53" s="45" t="n"/>
      <c r="N53" s="39">
        <f>IF($B53="","",IF(SUMPRODUCT((LISTAS!$O$3:$O$42&lt;&gt;"")*ISNUMBER(SEARCH(LISTAS!$O$3:$O$42,$I53&amp;" "&amp;$K53)))&gt;0,"CERCANA","NACIONAL"))</f>
        <v/>
      </c>
      <c r="O53" s="39">
        <f>IF($B53="","",IF(COUNTIFS(NOVEDADES!$C$4:$C$2003,$B53)=0,"—","SÍ ("&amp;COUNTIFS(NOVEDADES!$C$4:$C$2003,$B53)&amp;")"))</f>
        <v/>
      </c>
    </row>
    <row r="54">
      <c r="A54" s="41" t="n"/>
      <c r="B54" s="41" t="n"/>
      <c r="C54" s="41" t="n"/>
      <c r="D54" s="41" t="n"/>
      <c r="E54" s="46" t="n"/>
      <c r="F54" s="41" t="n"/>
      <c r="G54" s="41" t="n"/>
      <c r="H54" s="41" t="n"/>
      <c r="I54" s="41" t="n"/>
      <c r="J54" s="47" t="n"/>
      <c r="K54" s="41" t="n"/>
      <c r="L54" s="48" t="n"/>
      <c r="M54" s="45" t="n"/>
      <c r="N54" s="39">
        <f>IF($B54="","",IF(SUMPRODUCT((LISTAS!$O$3:$O$42&lt;&gt;"")*ISNUMBER(SEARCH(LISTAS!$O$3:$O$42,$I54&amp;" "&amp;$K54)))&gt;0,"CERCANA","NACIONAL"))</f>
        <v/>
      </c>
      <c r="O54" s="39">
        <f>IF($B54="","",IF(COUNTIFS(NOVEDADES!$C$4:$C$2003,$B54)=0,"—","SÍ ("&amp;COUNTIFS(NOVEDADES!$C$4:$C$2003,$B54)&amp;")"))</f>
        <v/>
      </c>
    </row>
    <row r="55">
      <c r="A55" s="41" t="n"/>
      <c r="B55" s="41" t="n"/>
      <c r="C55" s="41" t="n"/>
      <c r="D55" s="41" t="n"/>
      <c r="E55" s="46" t="n"/>
      <c r="F55" s="41" t="n"/>
      <c r="G55" s="41" t="n"/>
      <c r="H55" s="41" t="n"/>
      <c r="I55" s="41" t="n"/>
      <c r="J55" s="47" t="n"/>
      <c r="K55" s="41" t="n"/>
      <c r="L55" s="48" t="n"/>
      <c r="M55" s="45" t="n"/>
      <c r="N55" s="39">
        <f>IF($B55="","",IF(SUMPRODUCT((LISTAS!$O$3:$O$42&lt;&gt;"")*ISNUMBER(SEARCH(LISTAS!$O$3:$O$42,$I55&amp;" "&amp;$K55)))&gt;0,"CERCANA","NACIONAL"))</f>
        <v/>
      </c>
      <c r="O55" s="39">
        <f>IF($B55="","",IF(COUNTIFS(NOVEDADES!$C$4:$C$2003,$B55)=0,"—","SÍ ("&amp;COUNTIFS(NOVEDADES!$C$4:$C$2003,$B55)&amp;")"))</f>
        <v/>
      </c>
    </row>
    <row r="56">
      <c r="A56" s="41" t="n"/>
      <c r="B56" s="41" t="n"/>
      <c r="C56" s="41" t="n"/>
      <c r="D56" s="41" t="n"/>
      <c r="E56" s="46" t="n"/>
      <c r="F56" s="41" t="n"/>
      <c r="G56" s="41" t="n"/>
      <c r="H56" s="41" t="n"/>
      <c r="I56" s="41" t="n"/>
      <c r="J56" s="47" t="n"/>
      <c r="K56" s="41" t="n"/>
      <c r="L56" s="48" t="n"/>
      <c r="M56" s="45" t="n"/>
      <c r="N56" s="39">
        <f>IF($B56="","",IF(SUMPRODUCT((LISTAS!$O$3:$O$42&lt;&gt;"")*ISNUMBER(SEARCH(LISTAS!$O$3:$O$42,$I56&amp;" "&amp;$K56)))&gt;0,"CERCANA","NACIONAL"))</f>
        <v/>
      </c>
      <c r="O56" s="39">
        <f>IF($B56="","",IF(COUNTIFS(NOVEDADES!$C$4:$C$2003,$B56)=0,"—","SÍ ("&amp;COUNTIFS(NOVEDADES!$C$4:$C$2003,$B56)&amp;")"))</f>
        <v/>
      </c>
    </row>
    <row r="57">
      <c r="A57" s="41" t="n"/>
      <c r="B57" s="41" t="n"/>
      <c r="C57" s="41" t="n"/>
      <c r="D57" s="41" t="n"/>
      <c r="E57" s="46" t="n"/>
      <c r="F57" s="41" t="n"/>
      <c r="G57" s="41" t="n"/>
      <c r="H57" s="41" t="n"/>
      <c r="I57" s="41" t="n"/>
      <c r="J57" s="47" t="n"/>
      <c r="K57" s="41" t="n"/>
      <c r="L57" s="48" t="n"/>
      <c r="M57" s="45" t="n"/>
      <c r="N57" s="39">
        <f>IF($B57="","",IF(SUMPRODUCT((LISTAS!$O$3:$O$42&lt;&gt;"")*ISNUMBER(SEARCH(LISTAS!$O$3:$O$42,$I57&amp;" "&amp;$K57)))&gt;0,"CERCANA","NACIONAL"))</f>
        <v/>
      </c>
      <c r="O57" s="39">
        <f>IF($B57="","",IF(COUNTIFS(NOVEDADES!$C$4:$C$2003,$B57)=0,"—","SÍ ("&amp;COUNTIFS(NOVEDADES!$C$4:$C$2003,$B57)&amp;")"))</f>
        <v/>
      </c>
    </row>
    <row r="58">
      <c r="A58" s="41" t="n"/>
      <c r="B58" s="41" t="n"/>
      <c r="C58" s="41" t="n"/>
      <c r="D58" s="41" t="n"/>
      <c r="E58" s="46" t="n"/>
      <c r="F58" s="41" t="n"/>
      <c r="G58" s="41" t="n"/>
      <c r="H58" s="41" t="n"/>
      <c r="I58" s="41" t="n"/>
      <c r="J58" s="47" t="n"/>
      <c r="K58" s="41" t="n"/>
      <c r="L58" s="48" t="n"/>
      <c r="M58" s="45" t="n"/>
      <c r="N58" s="39">
        <f>IF($B58="","",IF(SUMPRODUCT((LISTAS!$O$3:$O$42&lt;&gt;"")*ISNUMBER(SEARCH(LISTAS!$O$3:$O$42,$I58&amp;" "&amp;$K58)))&gt;0,"CERCANA","NACIONAL"))</f>
        <v/>
      </c>
      <c r="O58" s="39">
        <f>IF($B58="","",IF(COUNTIFS(NOVEDADES!$C$4:$C$2003,$B58)=0,"—","SÍ ("&amp;COUNTIFS(NOVEDADES!$C$4:$C$2003,$B58)&amp;")"))</f>
        <v/>
      </c>
    </row>
    <row r="59">
      <c r="A59" s="41" t="n"/>
      <c r="B59" s="41" t="n"/>
      <c r="C59" s="41" t="n"/>
      <c r="D59" s="41" t="n"/>
      <c r="E59" s="46" t="n"/>
      <c r="F59" s="41" t="n"/>
      <c r="G59" s="41" t="n"/>
      <c r="H59" s="41" t="n"/>
      <c r="I59" s="41" t="n"/>
      <c r="J59" s="47" t="n"/>
      <c r="K59" s="41" t="n"/>
      <c r="L59" s="48" t="n"/>
      <c r="M59" s="45" t="n"/>
      <c r="N59" s="39">
        <f>IF($B59="","",IF(SUMPRODUCT((LISTAS!$O$3:$O$42&lt;&gt;"")*ISNUMBER(SEARCH(LISTAS!$O$3:$O$42,$I59&amp;" "&amp;$K59)))&gt;0,"CERCANA","NACIONAL"))</f>
        <v/>
      </c>
      <c r="O59" s="39">
        <f>IF($B59="","",IF(COUNTIFS(NOVEDADES!$C$4:$C$2003,$B59)=0,"—","SÍ ("&amp;COUNTIFS(NOVEDADES!$C$4:$C$2003,$B59)&amp;")"))</f>
        <v/>
      </c>
    </row>
    <row r="60">
      <c r="A60" s="41" t="n"/>
      <c r="B60" s="41" t="n"/>
      <c r="C60" s="41" t="n"/>
      <c r="D60" s="41" t="n"/>
      <c r="E60" s="46" t="n"/>
      <c r="F60" s="41" t="n"/>
      <c r="G60" s="41" t="n"/>
      <c r="H60" s="41" t="n"/>
      <c r="I60" s="41" t="n"/>
      <c r="J60" s="47" t="n"/>
      <c r="K60" s="41" t="n"/>
      <c r="L60" s="48" t="n"/>
      <c r="M60" s="45" t="n"/>
      <c r="N60" s="39">
        <f>IF($B60="","",IF(SUMPRODUCT((LISTAS!$O$3:$O$42&lt;&gt;"")*ISNUMBER(SEARCH(LISTAS!$O$3:$O$42,$I60&amp;" "&amp;$K60)))&gt;0,"CERCANA","NACIONAL"))</f>
        <v/>
      </c>
      <c r="O60" s="39">
        <f>IF($B60="","",IF(COUNTIFS(NOVEDADES!$C$4:$C$2003,$B60)=0,"—","SÍ ("&amp;COUNTIFS(NOVEDADES!$C$4:$C$2003,$B60)&amp;")"))</f>
        <v/>
      </c>
    </row>
    <row r="61">
      <c r="A61" s="41" t="n"/>
      <c r="B61" s="41" t="n"/>
      <c r="C61" s="41" t="n"/>
      <c r="D61" s="41" t="n"/>
      <c r="E61" s="46" t="n"/>
      <c r="F61" s="41" t="n"/>
      <c r="G61" s="41" t="n"/>
      <c r="H61" s="41" t="n"/>
      <c r="I61" s="41" t="n"/>
      <c r="J61" s="47" t="n"/>
      <c r="K61" s="41" t="n"/>
      <c r="L61" s="48" t="n"/>
      <c r="M61" s="45" t="n"/>
      <c r="N61" s="39">
        <f>IF($B61="","",IF(SUMPRODUCT((LISTAS!$O$3:$O$42&lt;&gt;"")*ISNUMBER(SEARCH(LISTAS!$O$3:$O$42,$I61&amp;" "&amp;$K61)))&gt;0,"CERCANA","NACIONAL"))</f>
        <v/>
      </c>
      <c r="O61" s="39">
        <f>IF($B61="","",IF(COUNTIFS(NOVEDADES!$C$4:$C$2003,$B61)=0,"—","SÍ ("&amp;COUNTIFS(NOVEDADES!$C$4:$C$2003,$B61)&amp;")"))</f>
        <v/>
      </c>
    </row>
    <row r="62">
      <c r="A62" s="41" t="n"/>
      <c r="B62" s="41" t="n"/>
      <c r="C62" s="41" t="n"/>
      <c r="D62" s="41" t="n"/>
      <c r="E62" s="46" t="n"/>
      <c r="F62" s="41" t="n"/>
      <c r="G62" s="41" t="n"/>
      <c r="H62" s="41" t="n"/>
      <c r="I62" s="41" t="n"/>
      <c r="J62" s="47" t="n"/>
      <c r="K62" s="41" t="n"/>
      <c r="L62" s="48" t="n"/>
      <c r="M62" s="45" t="n"/>
      <c r="N62" s="39">
        <f>IF($B62="","",IF(SUMPRODUCT((LISTAS!$O$3:$O$42&lt;&gt;"")*ISNUMBER(SEARCH(LISTAS!$O$3:$O$42,$I62&amp;" "&amp;$K62)))&gt;0,"CERCANA","NACIONAL"))</f>
        <v/>
      </c>
      <c r="O62" s="39">
        <f>IF($B62="","",IF(COUNTIFS(NOVEDADES!$C$4:$C$2003,$B62)=0,"—","SÍ ("&amp;COUNTIFS(NOVEDADES!$C$4:$C$2003,$B62)&amp;")"))</f>
        <v/>
      </c>
    </row>
    <row r="63">
      <c r="A63" s="41" t="n"/>
      <c r="B63" s="41" t="n"/>
      <c r="C63" s="41" t="n"/>
      <c r="D63" s="41" t="n"/>
      <c r="E63" s="46" t="n"/>
      <c r="F63" s="41" t="n"/>
      <c r="G63" s="41" t="n"/>
      <c r="H63" s="41" t="n"/>
      <c r="I63" s="41" t="n"/>
      <c r="J63" s="47" t="n"/>
      <c r="K63" s="41" t="n"/>
      <c r="L63" s="48" t="n"/>
      <c r="M63" s="45" t="n"/>
      <c r="N63" s="39">
        <f>IF($B63="","",IF(SUMPRODUCT((LISTAS!$O$3:$O$42&lt;&gt;"")*ISNUMBER(SEARCH(LISTAS!$O$3:$O$42,$I63&amp;" "&amp;$K63)))&gt;0,"CERCANA","NACIONAL"))</f>
        <v/>
      </c>
      <c r="O63" s="39">
        <f>IF($B63="","",IF(COUNTIFS(NOVEDADES!$C$4:$C$2003,$B63)=0,"—","SÍ ("&amp;COUNTIFS(NOVEDADES!$C$4:$C$2003,$B63)&amp;")"))</f>
        <v/>
      </c>
    </row>
    <row r="64">
      <c r="A64" s="41" t="n"/>
      <c r="B64" s="41" t="n"/>
      <c r="C64" s="41" t="n"/>
      <c r="D64" s="41" t="n"/>
      <c r="E64" s="46" t="n"/>
      <c r="F64" s="41" t="n"/>
      <c r="G64" s="41" t="n"/>
      <c r="H64" s="41" t="n"/>
      <c r="I64" s="41" t="n"/>
      <c r="J64" s="47" t="n"/>
      <c r="K64" s="41" t="n"/>
      <c r="L64" s="48" t="n"/>
      <c r="M64" s="45" t="n"/>
      <c r="N64" s="39">
        <f>IF($B64="","",IF(SUMPRODUCT((LISTAS!$O$3:$O$42&lt;&gt;"")*ISNUMBER(SEARCH(LISTAS!$O$3:$O$42,$I64&amp;" "&amp;$K64)))&gt;0,"CERCANA","NACIONAL"))</f>
        <v/>
      </c>
      <c r="O64" s="39">
        <f>IF($B64="","",IF(COUNTIFS(NOVEDADES!$C$4:$C$2003,$B64)=0,"—","SÍ ("&amp;COUNTIFS(NOVEDADES!$C$4:$C$2003,$B64)&amp;")"))</f>
        <v/>
      </c>
    </row>
    <row r="65">
      <c r="A65" s="41" t="n"/>
      <c r="B65" s="41" t="n"/>
      <c r="C65" s="41" t="n"/>
      <c r="D65" s="41" t="n"/>
      <c r="E65" s="46" t="n"/>
      <c r="F65" s="41" t="n"/>
      <c r="G65" s="41" t="n"/>
      <c r="H65" s="41" t="n"/>
      <c r="I65" s="41" t="n"/>
      <c r="J65" s="47" t="n"/>
      <c r="K65" s="41" t="n"/>
      <c r="L65" s="48" t="n"/>
      <c r="M65" s="45" t="n"/>
      <c r="N65" s="39">
        <f>IF($B65="","",IF(SUMPRODUCT((LISTAS!$O$3:$O$42&lt;&gt;"")*ISNUMBER(SEARCH(LISTAS!$O$3:$O$42,$I65&amp;" "&amp;$K65)))&gt;0,"CERCANA","NACIONAL"))</f>
        <v/>
      </c>
      <c r="O65" s="39">
        <f>IF($B65="","",IF(COUNTIFS(NOVEDADES!$C$4:$C$2003,$B65)=0,"—","SÍ ("&amp;COUNTIFS(NOVEDADES!$C$4:$C$2003,$B65)&amp;")"))</f>
        <v/>
      </c>
    </row>
    <row r="66">
      <c r="A66" s="41" t="n"/>
      <c r="B66" s="41" t="n"/>
      <c r="C66" s="41" t="n"/>
      <c r="D66" s="41" t="n"/>
      <c r="E66" s="46" t="n"/>
      <c r="F66" s="41" t="n"/>
      <c r="G66" s="41" t="n"/>
      <c r="H66" s="41" t="n"/>
      <c r="I66" s="41" t="n"/>
      <c r="J66" s="47" t="n"/>
      <c r="K66" s="41" t="n"/>
      <c r="L66" s="48" t="n"/>
      <c r="M66" s="45" t="n"/>
      <c r="N66" s="39">
        <f>IF($B66="","",IF(SUMPRODUCT((LISTAS!$O$3:$O$42&lt;&gt;"")*ISNUMBER(SEARCH(LISTAS!$O$3:$O$42,$I66&amp;" "&amp;$K66)))&gt;0,"CERCANA","NACIONAL"))</f>
        <v/>
      </c>
      <c r="O66" s="39">
        <f>IF($B66="","",IF(COUNTIFS(NOVEDADES!$C$4:$C$2003,$B66)=0,"—","SÍ ("&amp;COUNTIFS(NOVEDADES!$C$4:$C$2003,$B66)&amp;")"))</f>
        <v/>
      </c>
    </row>
    <row r="67">
      <c r="A67" s="41" t="n"/>
      <c r="B67" s="41" t="n"/>
      <c r="C67" s="41" t="n"/>
      <c r="D67" s="41" t="n"/>
      <c r="E67" s="46" t="n"/>
      <c r="F67" s="41" t="n"/>
      <c r="G67" s="41" t="n"/>
      <c r="H67" s="41" t="n"/>
      <c r="I67" s="41" t="n"/>
      <c r="J67" s="47" t="n"/>
      <c r="K67" s="41" t="n"/>
      <c r="L67" s="48" t="n"/>
      <c r="M67" s="45" t="n"/>
      <c r="N67" s="39">
        <f>IF($B67="","",IF(SUMPRODUCT((LISTAS!$O$3:$O$42&lt;&gt;"")*ISNUMBER(SEARCH(LISTAS!$O$3:$O$42,$I67&amp;" "&amp;$K67)))&gt;0,"CERCANA","NACIONAL"))</f>
        <v/>
      </c>
      <c r="O67" s="39">
        <f>IF($B67="","",IF(COUNTIFS(NOVEDADES!$C$4:$C$2003,$B67)=0,"—","SÍ ("&amp;COUNTIFS(NOVEDADES!$C$4:$C$2003,$B67)&amp;")"))</f>
        <v/>
      </c>
    </row>
    <row r="68">
      <c r="A68" s="41" t="n"/>
      <c r="B68" s="41" t="n"/>
      <c r="C68" s="41" t="n"/>
      <c r="D68" s="41" t="n"/>
      <c r="E68" s="46" t="n"/>
      <c r="F68" s="41" t="n"/>
      <c r="G68" s="41" t="n"/>
      <c r="H68" s="41" t="n"/>
      <c r="I68" s="41" t="n"/>
      <c r="J68" s="47" t="n"/>
      <c r="K68" s="41" t="n"/>
      <c r="L68" s="48" t="n"/>
      <c r="M68" s="45" t="n"/>
      <c r="N68" s="39">
        <f>IF($B68="","",IF(SUMPRODUCT((LISTAS!$O$3:$O$42&lt;&gt;"")*ISNUMBER(SEARCH(LISTAS!$O$3:$O$42,$I68&amp;" "&amp;$K68)))&gt;0,"CERCANA","NACIONAL"))</f>
        <v/>
      </c>
      <c r="O68" s="39">
        <f>IF($B68="","",IF(COUNTIFS(NOVEDADES!$C$4:$C$2003,$B68)=0,"—","SÍ ("&amp;COUNTIFS(NOVEDADES!$C$4:$C$2003,$B68)&amp;")"))</f>
        <v/>
      </c>
    </row>
    <row r="69">
      <c r="A69" s="41" t="n"/>
      <c r="B69" s="41" t="n"/>
      <c r="C69" s="41" t="n"/>
      <c r="D69" s="41" t="n"/>
      <c r="E69" s="46" t="n"/>
      <c r="F69" s="41" t="n"/>
      <c r="G69" s="41" t="n"/>
      <c r="H69" s="41" t="n"/>
      <c r="I69" s="41" t="n"/>
      <c r="J69" s="47" t="n"/>
      <c r="K69" s="41" t="n"/>
      <c r="L69" s="48" t="n"/>
      <c r="M69" s="45" t="n"/>
      <c r="N69" s="39">
        <f>IF($B69="","",IF(SUMPRODUCT((LISTAS!$O$3:$O$42&lt;&gt;"")*ISNUMBER(SEARCH(LISTAS!$O$3:$O$42,$I69&amp;" "&amp;$K69)))&gt;0,"CERCANA","NACIONAL"))</f>
        <v/>
      </c>
      <c r="O69" s="39">
        <f>IF($B69="","",IF(COUNTIFS(NOVEDADES!$C$4:$C$2003,$B69)=0,"—","SÍ ("&amp;COUNTIFS(NOVEDADES!$C$4:$C$2003,$B69)&amp;")"))</f>
        <v/>
      </c>
    </row>
    <row r="70">
      <c r="A70" s="41" t="n"/>
      <c r="B70" s="41" t="n"/>
      <c r="C70" s="41" t="n"/>
      <c r="D70" s="41" t="n"/>
      <c r="E70" s="46" t="n"/>
      <c r="F70" s="41" t="n"/>
      <c r="G70" s="41" t="n"/>
      <c r="H70" s="41" t="n"/>
      <c r="I70" s="41" t="n"/>
      <c r="J70" s="47" t="n"/>
      <c r="K70" s="41" t="n"/>
      <c r="L70" s="48" t="n"/>
      <c r="M70" s="45" t="n"/>
      <c r="N70" s="39">
        <f>IF($B70="","",IF(SUMPRODUCT((LISTAS!$O$3:$O$42&lt;&gt;"")*ISNUMBER(SEARCH(LISTAS!$O$3:$O$42,$I70&amp;" "&amp;$K70)))&gt;0,"CERCANA","NACIONAL"))</f>
        <v/>
      </c>
      <c r="O70" s="39">
        <f>IF($B70="","",IF(COUNTIFS(NOVEDADES!$C$4:$C$2003,$B70)=0,"—","SÍ ("&amp;COUNTIFS(NOVEDADES!$C$4:$C$2003,$B70)&amp;")"))</f>
        <v/>
      </c>
    </row>
    <row r="71">
      <c r="A71" s="41" t="n"/>
      <c r="B71" s="41" t="n"/>
      <c r="C71" s="41" t="n"/>
      <c r="D71" s="41" t="n"/>
      <c r="E71" s="46" t="n"/>
      <c r="F71" s="41" t="n"/>
      <c r="G71" s="41" t="n"/>
      <c r="H71" s="41" t="n"/>
      <c r="I71" s="41" t="n"/>
      <c r="J71" s="47" t="n"/>
      <c r="K71" s="41" t="n"/>
      <c r="L71" s="48" t="n"/>
      <c r="M71" s="45" t="n"/>
      <c r="N71" s="39">
        <f>IF($B71="","",IF(SUMPRODUCT((LISTAS!$O$3:$O$42&lt;&gt;"")*ISNUMBER(SEARCH(LISTAS!$O$3:$O$42,$I71&amp;" "&amp;$K71)))&gt;0,"CERCANA","NACIONAL"))</f>
        <v/>
      </c>
      <c r="O71" s="39">
        <f>IF($B71="","",IF(COUNTIFS(NOVEDADES!$C$4:$C$2003,$B71)=0,"—","SÍ ("&amp;COUNTIFS(NOVEDADES!$C$4:$C$2003,$B71)&amp;")"))</f>
        <v/>
      </c>
    </row>
    <row r="72">
      <c r="A72" s="41" t="n"/>
      <c r="B72" s="41" t="n"/>
      <c r="C72" s="41" t="n"/>
      <c r="D72" s="41" t="n"/>
      <c r="E72" s="46" t="n"/>
      <c r="F72" s="41" t="n"/>
      <c r="G72" s="41" t="n"/>
      <c r="H72" s="41" t="n"/>
      <c r="I72" s="41" t="n"/>
      <c r="J72" s="47" t="n"/>
      <c r="K72" s="41" t="n"/>
      <c r="L72" s="48" t="n"/>
      <c r="M72" s="45" t="n"/>
      <c r="N72" s="39">
        <f>IF($B72="","",IF(SUMPRODUCT((LISTAS!$O$3:$O$42&lt;&gt;"")*ISNUMBER(SEARCH(LISTAS!$O$3:$O$42,$I72&amp;" "&amp;$K72)))&gt;0,"CERCANA","NACIONAL"))</f>
        <v/>
      </c>
      <c r="O72" s="39">
        <f>IF($B72="","",IF(COUNTIFS(NOVEDADES!$C$4:$C$2003,$B72)=0,"—","SÍ ("&amp;COUNTIFS(NOVEDADES!$C$4:$C$2003,$B72)&amp;")"))</f>
        <v/>
      </c>
    </row>
    <row r="73">
      <c r="A73" s="41" t="n"/>
      <c r="B73" s="41" t="n"/>
      <c r="C73" s="41" t="n"/>
      <c r="D73" s="41" t="n"/>
      <c r="E73" s="46" t="n"/>
      <c r="F73" s="41" t="n"/>
      <c r="G73" s="41" t="n"/>
      <c r="H73" s="41" t="n"/>
      <c r="I73" s="41" t="n"/>
      <c r="J73" s="47" t="n"/>
      <c r="K73" s="41" t="n"/>
      <c r="L73" s="48" t="n"/>
      <c r="M73" s="45" t="n"/>
      <c r="N73" s="39">
        <f>IF($B73="","",IF(SUMPRODUCT((LISTAS!$O$3:$O$42&lt;&gt;"")*ISNUMBER(SEARCH(LISTAS!$O$3:$O$42,$I73&amp;" "&amp;$K73)))&gt;0,"CERCANA","NACIONAL"))</f>
        <v/>
      </c>
      <c r="O73" s="39">
        <f>IF($B73="","",IF(COUNTIFS(NOVEDADES!$C$4:$C$2003,$B73)=0,"—","SÍ ("&amp;COUNTIFS(NOVEDADES!$C$4:$C$2003,$B73)&amp;")"))</f>
        <v/>
      </c>
    </row>
    <row r="74">
      <c r="A74" s="41" t="n"/>
      <c r="B74" s="41" t="n"/>
      <c r="C74" s="41" t="n"/>
      <c r="D74" s="41" t="n"/>
      <c r="E74" s="46" t="n"/>
      <c r="F74" s="41" t="n"/>
      <c r="G74" s="41" t="n"/>
      <c r="H74" s="41" t="n"/>
      <c r="I74" s="41" t="n"/>
      <c r="J74" s="47" t="n"/>
      <c r="K74" s="41" t="n"/>
      <c r="L74" s="48" t="n"/>
      <c r="M74" s="45" t="n"/>
      <c r="N74" s="39">
        <f>IF($B74="","",IF(SUMPRODUCT((LISTAS!$O$3:$O$42&lt;&gt;"")*ISNUMBER(SEARCH(LISTAS!$O$3:$O$42,$I74&amp;" "&amp;$K74)))&gt;0,"CERCANA","NACIONAL"))</f>
        <v/>
      </c>
      <c r="O74" s="39">
        <f>IF($B74="","",IF(COUNTIFS(NOVEDADES!$C$4:$C$2003,$B74)=0,"—","SÍ ("&amp;COUNTIFS(NOVEDADES!$C$4:$C$2003,$B74)&amp;")"))</f>
        <v/>
      </c>
    </row>
    <row r="75">
      <c r="A75" s="41" t="n"/>
      <c r="B75" s="41" t="n"/>
      <c r="C75" s="41" t="n"/>
      <c r="D75" s="41" t="n"/>
      <c r="E75" s="46" t="n"/>
      <c r="F75" s="41" t="n"/>
      <c r="G75" s="41" t="n"/>
      <c r="H75" s="41" t="n"/>
      <c r="I75" s="41" t="n"/>
      <c r="J75" s="47" t="n"/>
      <c r="K75" s="41" t="n"/>
      <c r="L75" s="48" t="n"/>
      <c r="M75" s="45" t="n"/>
      <c r="N75" s="39">
        <f>IF($B75="","",IF(SUMPRODUCT((LISTAS!$O$3:$O$42&lt;&gt;"")*ISNUMBER(SEARCH(LISTAS!$O$3:$O$42,$I75&amp;" "&amp;$K75)))&gt;0,"CERCANA","NACIONAL"))</f>
        <v/>
      </c>
      <c r="O75" s="39">
        <f>IF($B75="","",IF(COUNTIFS(NOVEDADES!$C$4:$C$2003,$B75)=0,"—","SÍ ("&amp;COUNTIFS(NOVEDADES!$C$4:$C$2003,$B75)&amp;")"))</f>
        <v/>
      </c>
    </row>
    <row r="76">
      <c r="A76" s="41" t="n"/>
      <c r="B76" s="41" t="n"/>
      <c r="C76" s="41" t="n"/>
      <c r="D76" s="41" t="n"/>
      <c r="E76" s="46" t="n"/>
      <c r="F76" s="41" t="n"/>
      <c r="G76" s="41" t="n"/>
      <c r="H76" s="41" t="n"/>
      <c r="I76" s="41" t="n"/>
      <c r="J76" s="47" t="n"/>
      <c r="K76" s="41" t="n"/>
      <c r="L76" s="48" t="n"/>
      <c r="M76" s="45" t="n"/>
      <c r="N76" s="39">
        <f>IF($B76="","",IF(SUMPRODUCT((LISTAS!$O$3:$O$42&lt;&gt;"")*ISNUMBER(SEARCH(LISTAS!$O$3:$O$42,$I76&amp;" "&amp;$K76)))&gt;0,"CERCANA","NACIONAL"))</f>
        <v/>
      </c>
      <c r="O76" s="39">
        <f>IF($B76="","",IF(COUNTIFS(NOVEDADES!$C$4:$C$2003,$B76)=0,"—","SÍ ("&amp;COUNTIFS(NOVEDADES!$C$4:$C$2003,$B76)&amp;")"))</f>
        <v/>
      </c>
    </row>
    <row r="77">
      <c r="A77" s="41" t="n"/>
      <c r="B77" s="41" t="n"/>
      <c r="C77" s="41" t="n"/>
      <c r="D77" s="41" t="n"/>
      <c r="E77" s="46" t="n"/>
      <c r="F77" s="41" t="n"/>
      <c r="G77" s="41" t="n"/>
      <c r="H77" s="41" t="n"/>
      <c r="I77" s="41" t="n"/>
      <c r="J77" s="47" t="n"/>
      <c r="K77" s="41" t="n"/>
      <c r="L77" s="48" t="n"/>
      <c r="M77" s="45" t="n"/>
      <c r="N77" s="39">
        <f>IF($B77="","",IF(SUMPRODUCT((LISTAS!$O$3:$O$42&lt;&gt;"")*ISNUMBER(SEARCH(LISTAS!$O$3:$O$42,$I77&amp;" "&amp;$K77)))&gt;0,"CERCANA","NACIONAL"))</f>
        <v/>
      </c>
      <c r="O77" s="39">
        <f>IF($B77="","",IF(COUNTIFS(NOVEDADES!$C$4:$C$2003,$B77)=0,"—","SÍ ("&amp;COUNTIFS(NOVEDADES!$C$4:$C$2003,$B77)&amp;")"))</f>
        <v/>
      </c>
    </row>
    <row r="78">
      <c r="A78" s="41" t="n"/>
      <c r="B78" s="41" t="n"/>
      <c r="C78" s="41" t="n"/>
      <c r="D78" s="41" t="n"/>
      <c r="E78" s="46" t="n"/>
      <c r="F78" s="41" t="n"/>
      <c r="G78" s="41" t="n"/>
      <c r="H78" s="41" t="n"/>
      <c r="I78" s="41" t="n"/>
      <c r="J78" s="47" t="n"/>
      <c r="K78" s="41" t="n"/>
      <c r="L78" s="48" t="n"/>
      <c r="M78" s="45" t="n"/>
      <c r="N78" s="39">
        <f>IF($B78="","",IF(SUMPRODUCT((LISTAS!$O$3:$O$42&lt;&gt;"")*ISNUMBER(SEARCH(LISTAS!$O$3:$O$42,$I78&amp;" "&amp;$K78)))&gt;0,"CERCANA","NACIONAL"))</f>
        <v/>
      </c>
      <c r="O78" s="39">
        <f>IF($B78="","",IF(COUNTIFS(NOVEDADES!$C$4:$C$2003,$B78)=0,"—","SÍ ("&amp;COUNTIFS(NOVEDADES!$C$4:$C$2003,$B78)&amp;")"))</f>
        <v/>
      </c>
    </row>
    <row r="79">
      <c r="A79" s="41" t="n"/>
      <c r="B79" s="41" t="n"/>
      <c r="C79" s="41" t="n"/>
      <c r="D79" s="41" t="n"/>
      <c r="E79" s="46" t="n"/>
      <c r="F79" s="41" t="n"/>
      <c r="G79" s="41" t="n"/>
      <c r="H79" s="41" t="n"/>
      <c r="I79" s="41" t="n"/>
      <c r="J79" s="47" t="n"/>
      <c r="K79" s="41" t="n"/>
      <c r="L79" s="48" t="n"/>
      <c r="M79" s="45" t="n"/>
      <c r="N79" s="39">
        <f>IF($B79="","",IF(SUMPRODUCT((LISTAS!$O$3:$O$42&lt;&gt;"")*ISNUMBER(SEARCH(LISTAS!$O$3:$O$42,$I79&amp;" "&amp;$K79)))&gt;0,"CERCANA","NACIONAL"))</f>
        <v/>
      </c>
      <c r="O79" s="39">
        <f>IF($B79="","",IF(COUNTIFS(NOVEDADES!$C$4:$C$2003,$B79)=0,"—","SÍ ("&amp;COUNTIFS(NOVEDADES!$C$4:$C$2003,$B79)&amp;")"))</f>
        <v/>
      </c>
    </row>
    <row r="80">
      <c r="A80" s="41" t="n"/>
      <c r="B80" s="41" t="n"/>
      <c r="C80" s="41" t="n"/>
      <c r="D80" s="41" t="n"/>
      <c r="E80" s="46" t="n"/>
      <c r="F80" s="41" t="n"/>
      <c r="G80" s="41" t="n"/>
      <c r="H80" s="41" t="n"/>
      <c r="I80" s="41" t="n"/>
      <c r="J80" s="47" t="n"/>
      <c r="K80" s="41" t="n"/>
      <c r="L80" s="48" t="n"/>
      <c r="M80" s="45" t="n"/>
      <c r="N80" s="39">
        <f>IF($B80="","",IF(SUMPRODUCT((LISTAS!$O$3:$O$42&lt;&gt;"")*ISNUMBER(SEARCH(LISTAS!$O$3:$O$42,$I80&amp;" "&amp;$K80)))&gt;0,"CERCANA","NACIONAL"))</f>
        <v/>
      </c>
      <c r="O80" s="39">
        <f>IF($B80="","",IF(COUNTIFS(NOVEDADES!$C$4:$C$2003,$B80)=0,"—","SÍ ("&amp;COUNTIFS(NOVEDADES!$C$4:$C$2003,$B80)&amp;")"))</f>
        <v/>
      </c>
    </row>
    <row r="81">
      <c r="A81" s="41" t="n"/>
      <c r="B81" s="41" t="n"/>
      <c r="C81" s="41" t="n"/>
      <c r="D81" s="41" t="n"/>
      <c r="E81" s="46" t="n"/>
      <c r="F81" s="41" t="n"/>
      <c r="G81" s="41" t="n"/>
      <c r="H81" s="41" t="n"/>
      <c r="I81" s="41" t="n"/>
      <c r="J81" s="47" t="n"/>
      <c r="K81" s="41" t="n"/>
      <c r="L81" s="48" t="n"/>
      <c r="M81" s="45" t="n"/>
      <c r="N81" s="39">
        <f>IF($B81="","",IF(SUMPRODUCT((LISTAS!$O$3:$O$42&lt;&gt;"")*ISNUMBER(SEARCH(LISTAS!$O$3:$O$42,$I81&amp;" "&amp;$K81)))&gt;0,"CERCANA","NACIONAL"))</f>
        <v/>
      </c>
      <c r="O81" s="39">
        <f>IF($B81="","",IF(COUNTIFS(NOVEDADES!$C$4:$C$2003,$B81)=0,"—","SÍ ("&amp;COUNTIFS(NOVEDADES!$C$4:$C$2003,$B81)&amp;")"))</f>
        <v/>
      </c>
    </row>
    <row r="82">
      <c r="A82" s="41" t="n"/>
      <c r="B82" s="41" t="n"/>
      <c r="C82" s="41" t="n"/>
      <c r="D82" s="41" t="n"/>
      <c r="E82" s="46" t="n"/>
      <c r="F82" s="41" t="n"/>
      <c r="G82" s="41" t="n"/>
      <c r="H82" s="41" t="n"/>
      <c r="I82" s="41" t="n"/>
      <c r="J82" s="47" t="n"/>
      <c r="K82" s="41" t="n"/>
      <c r="L82" s="48" t="n"/>
      <c r="M82" s="45" t="n"/>
      <c r="N82" s="39">
        <f>IF($B82="","",IF(SUMPRODUCT((LISTAS!$O$3:$O$42&lt;&gt;"")*ISNUMBER(SEARCH(LISTAS!$O$3:$O$42,$I82&amp;" "&amp;$K82)))&gt;0,"CERCANA","NACIONAL"))</f>
        <v/>
      </c>
      <c r="O82" s="39">
        <f>IF($B82="","",IF(COUNTIFS(NOVEDADES!$C$4:$C$2003,$B82)=0,"—","SÍ ("&amp;COUNTIFS(NOVEDADES!$C$4:$C$2003,$B82)&amp;")"))</f>
        <v/>
      </c>
    </row>
    <row r="83">
      <c r="A83" s="41" t="n"/>
      <c r="B83" s="41" t="n"/>
      <c r="C83" s="41" t="n"/>
      <c r="D83" s="41" t="n"/>
      <c r="E83" s="46" t="n"/>
      <c r="F83" s="41" t="n"/>
      <c r="G83" s="41" t="n"/>
      <c r="H83" s="41" t="n"/>
      <c r="I83" s="41" t="n"/>
      <c r="J83" s="47" t="n"/>
      <c r="K83" s="41" t="n"/>
      <c r="L83" s="48" t="n"/>
      <c r="M83" s="45" t="n"/>
      <c r="N83" s="39">
        <f>IF($B83="","",IF(SUMPRODUCT((LISTAS!$O$3:$O$42&lt;&gt;"")*ISNUMBER(SEARCH(LISTAS!$O$3:$O$42,$I83&amp;" "&amp;$K83)))&gt;0,"CERCANA","NACIONAL"))</f>
        <v/>
      </c>
      <c r="O83" s="39">
        <f>IF($B83="","",IF(COUNTIFS(NOVEDADES!$C$4:$C$2003,$B83)=0,"—","SÍ ("&amp;COUNTIFS(NOVEDADES!$C$4:$C$2003,$B83)&amp;")"))</f>
        <v/>
      </c>
    </row>
    <row r="84">
      <c r="A84" s="41" t="n"/>
      <c r="B84" s="41" t="n"/>
      <c r="C84" s="41" t="n"/>
      <c r="D84" s="41" t="n"/>
      <c r="E84" s="46" t="n"/>
      <c r="F84" s="41" t="n"/>
      <c r="G84" s="41" t="n"/>
      <c r="H84" s="41" t="n"/>
      <c r="I84" s="41" t="n"/>
      <c r="J84" s="47" t="n"/>
      <c r="K84" s="41" t="n"/>
      <c r="L84" s="48" t="n"/>
      <c r="M84" s="45" t="n"/>
      <c r="N84" s="39">
        <f>IF($B84="","",IF(SUMPRODUCT((LISTAS!$O$3:$O$42&lt;&gt;"")*ISNUMBER(SEARCH(LISTAS!$O$3:$O$42,$I84&amp;" "&amp;$K84)))&gt;0,"CERCANA","NACIONAL"))</f>
        <v/>
      </c>
      <c r="O84" s="39">
        <f>IF($B84="","",IF(COUNTIFS(NOVEDADES!$C$4:$C$2003,$B84)=0,"—","SÍ ("&amp;COUNTIFS(NOVEDADES!$C$4:$C$2003,$B84)&amp;")"))</f>
        <v/>
      </c>
    </row>
    <row r="85">
      <c r="A85" s="41" t="n"/>
      <c r="B85" s="41" t="n"/>
      <c r="C85" s="41" t="n"/>
      <c r="D85" s="41" t="n"/>
      <c r="E85" s="46" t="n"/>
      <c r="F85" s="41" t="n"/>
      <c r="G85" s="41" t="n"/>
      <c r="H85" s="41" t="n"/>
      <c r="I85" s="41" t="n"/>
      <c r="J85" s="47" t="n"/>
      <c r="K85" s="41" t="n"/>
      <c r="L85" s="48" t="n"/>
      <c r="M85" s="45" t="n"/>
      <c r="N85" s="39">
        <f>IF($B85="","",IF(SUMPRODUCT((LISTAS!$O$3:$O$42&lt;&gt;"")*ISNUMBER(SEARCH(LISTAS!$O$3:$O$42,$I85&amp;" "&amp;$K85)))&gt;0,"CERCANA","NACIONAL"))</f>
        <v/>
      </c>
      <c r="O85" s="39">
        <f>IF($B85="","",IF(COUNTIFS(NOVEDADES!$C$4:$C$2003,$B85)=0,"—","SÍ ("&amp;COUNTIFS(NOVEDADES!$C$4:$C$2003,$B85)&amp;")"))</f>
        <v/>
      </c>
    </row>
    <row r="86">
      <c r="A86" s="41" t="n"/>
      <c r="B86" s="41" t="n"/>
      <c r="C86" s="41" t="n"/>
      <c r="D86" s="41" t="n"/>
      <c r="E86" s="46" t="n"/>
      <c r="F86" s="41" t="n"/>
      <c r="G86" s="41" t="n"/>
      <c r="H86" s="41" t="n"/>
      <c r="I86" s="41" t="n"/>
      <c r="J86" s="47" t="n"/>
      <c r="K86" s="41" t="n"/>
      <c r="L86" s="48" t="n"/>
      <c r="M86" s="45" t="n"/>
      <c r="N86" s="39">
        <f>IF($B86="","",IF(SUMPRODUCT((LISTAS!$O$3:$O$42&lt;&gt;"")*ISNUMBER(SEARCH(LISTAS!$O$3:$O$42,$I86&amp;" "&amp;$K86)))&gt;0,"CERCANA","NACIONAL"))</f>
        <v/>
      </c>
      <c r="O86" s="39">
        <f>IF($B86="","",IF(COUNTIFS(NOVEDADES!$C$4:$C$2003,$B86)=0,"—","SÍ ("&amp;COUNTIFS(NOVEDADES!$C$4:$C$2003,$B86)&amp;")"))</f>
        <v/>
      </c>
    </row>
    <row r="87">
      <c r="A87" s="41" t="n"/>
      <c r="B87" s="41" t="n"/>
      <c r="C87" s="41" t="n"/>
      <c r="D87" s="41" t="n"/>
      <c r="E87" s="46" t="n"/>
      <c r="F87" s="41" t="n"/>
      <c r="G87" s="41" t="n"/>
      <c r="H87" s="41" t="n"/>
      <c r="I87" s="41" t="n"/>
      <c r="J87" s="47" t="n"/>
      <c r="K87" s="41" t="n"/>
      <c r="L87" s="48" t="n"/>
      <c r="M87" s="45" t="n"/>
      <c r="N87" s="39">
        <f>IF($B87="","",IF(SUMPRODUCT((LISTAS!$O$3:$O$42&lt;&gt;"")*ISNUMBER(SEARCH(LISTAS!$O$3:$O$42,$I87&amp;" "&amp;$K87)))&gt;0,"CERCANA","NACIONAL"))</f>
        <v/>
      </c>
      <c r="O87" s="39">
        <f>IF($B87="","",IF(COUNTIFS(NOVEDADES!$C$4:$C$2003,$B87)=0,"—","SÍ ("&amp;COUNTIFS(NOVEDADES!$C$4:$C$2003,$B87)&amp;")"))</f>
        <v/>
      </c>
    </row>
    <row r="88">
      <c r="A88" s="41" t="n"/>
      <c r="B88" s="41" t="n"/>
      <c r="C88" s="41" t="n"/>
      <c r="D88" s="41" t="n"/>
      <c r="E88" s="46" t="n"/>
      <c r="F88" s="41" t="n"/>
      <c r="G88" s="41" t="n"/>
      <c r="H88" s="41" t="n"/>
      <c r="I88" s="41" t="n"/>
      <c r="J88" s="47" t="n"/>
      <c r="K88" s="41" t="n"/>
      <c r="L88" s="48" t="n"/>
      <c r="M88" s="45" t="n"/>
      <c r="N88" s="39">
        <f>IF($B88="","",IF(SUMPRODUCT((LISTAS!$O$3:$O$42&lt;&gt;"")*ISNUMBER(SEARCH(LISTAS!$O$3:$O$42,$I88&amp;" "&amp;$K88)))&gt;0,"CERCANA","NACIONAL"))</f>
        <v/>
      </c>
      <c r="O88" s="39">
        <f>IF($B88="","",IF(COUNTIFS(NOVEDADES!$C$4:$C$2003,$B88)=0,"—","SÍ ("&amp;COUNTIFS(NOVEDADES!$C$4:$C$2003,$B88)&amp;")"))</f>
        <v/>
      </c>
    </row>
    <row r="89">
      <c r="A89" s="41" t="n"/>
      <c r="B89" s="41" t="n"/>
      <c r="C89" s="41" t="n"/>
      <c r="D89" s="41" t="n"/>
      <c r="E89" s="46" t="n"/>
      <c r="F89" s="41" t="n"/>
      <c r="G89" s="41" t="n"/>
      <c r="H89" s="41" t="n"/>
      <c r="I89" s="41" t="n"/>
      <c r="J89" s="47" t="n"/>
      <c r="K89" s="41" t="n"/>
      <c r="L89" s="48" t="n"/>
      <c r="M89" s="45" t="n"/>
      <c r="N89" s="39">
        <f>IF($B89="","",IF(SUMPRODUCT((LISTAS!$O$3:$O$42&lt;&gt;"")*ISNUMBER(SEARCH(LISTAS!$O$3:$O$42,$I89&amp;" "&amp;$K89)))&gt;0,"CERCANA","NACIONAL"))</f>
        <v/>
      </c>
      <c r="O89" s="39">
        <f>IF($B89="","",IF(COUNTIFS(NOVEDADES!$C$4:$C$2003,$B89)=0,"—","SÍ ("&amp;COUNTIFS(NOVEDADES!$C$4:$C$2003,$B89)&amp;")"))</f>
        <v/>
      </c>
    </row>
    <row r="90">
      <c r="A90" s="41" t="n"/>
      <c r="B90" s="41" t="n"/>
      <c r="C90" s="41" t="n"/>
      <c r="D90" s="41" t="n"/>
      <c r="E90" s="46" t="n"/>
      <c r="F90" s="41" t="n"/>
      <c r="G90" s="41" t="n"/>
      <c r="H90" s="41" t="n"/>
      <c r="I90" s="41" t="n"/>
      <c r="J90" s="47" t="n"/>
      <c r="K90" s="41" t="n"/>
      <c r="L90" s="48" t="n"/>
      <c r="M90" s="45" t="n"/>
      <c r="N90" s="39">
        <f>IF($B90="","",IF(SUMPRODUCT((LISTAS!$O$3:$O$42&lt;&gt;"")*ISNUMBER(SEARCH(LISTAS!$O$3:$O$42,$I90&amp;" "&amp;$K90)))&gt;0,"CERCANA","NACIONAL"))</f>
        <v/>
      </c>
      <c r="O90" s="39">
        <f>IF($B90="","",IF(COUNTIFS(NOVEDADES!$C$4:$C$2003,$B90)=0,"—","SÍ ("&amp;COUNTIFS(NOVEDADES!$C$4:$C$2003,$B90)&amp;")"))</f>
        <v/>
      </c>
    </row>
    <row r="91">
      <c r="A91" s="41" t="n"/>
      <c r="B91" s="41" t="n"/>
      <c r="C91" s="41" t="n"/>
      <c r="D91" s="41" t="n"/>
      <c r="E91" s="46" t="n"/>
      <c r="F91" s="41" t="n"/>
      <c r="G91" s="41" t="n"/>
      <c r="H91" s="41" t="n"/>
      <c r="I91" s="41" t="n"/>
      <c r="J91" s="47" t="n"/>
      <c r="K91" s="41" t="n"/>
      <c r="L91" s="48" t="n"/>
      <c r="M91" s="45" t="n"/>
      <c r="N91" s="39">
        <f>IF($B91="","",IF(SUMPRODUCT((LISTAS!$O$3:$O$42&lt;&gt;"")*ISNUMBER(SEARCH(LISTAS!$O$3:$O$42,$I91&amp;" "&amp;$K91)))&gt;0,"CERCANA","NACIONAL"))</f>
        <v/>
      </c>
      <c r="O91" s="39">
        <f>IF($B91="","",IF(COUNTIFS(NOVEDADES!$C$4:$C$2003,$B91)=0,"—","SÍ ("&amp;COUNTIFS(NOVEDADES!$C$4:$C$2003,$B91)&amp;")"))</f>
        <v/>
      </c>
    </row>
    <row r="92">
      <c r="A92" s="41" t="n"/>
      <c r="B92" s="41" t="n"/>
      <c r="C92" s="41" t="n"/>
      <c r="D92" s="41" t="n"/>
      <c r="E92" s="46" t="n"/>
      <c r="F92" s="41" t="n"/>
      <c r="G92" s="41" t="n"/>
      <c r="H92" s="41" t="n"/>
      <c r="I92" s="41" t="n"/>
      <c r="J92" s="47" t="n"/>
      <c r="K92" s="41" t="n"/>
      <c r="L92" s="48" t="n"/>
      <c r="M92" s="45" t="n"/>
      <c r="N92" s="39">
        <f>IF($B92="","",IF(SUMPRODUCT((LISTAS!$O$3:$O$42&lt;&gt;"")*ISNUMBER(SEARCH(LISTAS!$O$3:$O$42,$I92&amp;" "&amp;$K92)))&gt;0,"CERCANA","NACIONAL"))</f>
        <v/>
      </c>
      <c r="O92" s="39">
        <f>IF($B92="","",IF(COUNTIFS(NOVEDADES!$C$4:$C$2003,$B92)=0,"—","SÍ ("&amp;COUNTIFS(NOVEDADES!$C$4:$C$2003,$B92)&amp;")"))</f>
        <v/>
      </c>
    </row>
    <row r="93">
      <c r="A93" s="41" t="n"/>
      <c r="B93" s="41" t="n"/>
      <c r="C93" s="41" t="n"/>
      <c r="D93" s="41" t="n"/>
      <c r="E93" s="46" t="n"/>
      <c r="F93" s="41" t="n"/>
      <c r="G93" s="41" t="n"/>
      <c r="H93" s="41" t="n"/>
      <c r="I93" s="41" t="n"/>
      <c r="J93" s="47" t="n"/>
      <c r="K93" s="41" t="n"/>
      <c r="L93" s="48" t="n"/>
      <c r="M93" s="45" t="n"/>
      <c r="N93" s="39">
        <f>IF($B93="","",IF(SUMPRODUCT((LISTAS!$O$3:$O$42&lt;&gt;"")*ISNUMBER(SEARCH(LISTAS!$O$3:$O$42,$I93&amp;" "&amp;$K93)))&gt;0,"CERCANA","NACIONAL"))</f>
        <v/>
      </c>
      <c r="O93" s="39">
        <f>IF($B93="","",IF(COUNTIFS(NOVEDADES!$C$4:$C$2003,$B93)=0,"—","SÍ ("&amp;COUNTIFS(NOVEDADES!$C$4:$C$2003,$B93)&amp;")"))</f>
        <v/>
      </c>
    </row>
    <row r="94">
      <c r="A94" s="41" t="n"/>
      <c r="B94" s="41" t="n"/>
      <c r="C94" s="41" t="n"/>
      <c r="D94" s="41" t="n"/>
      <c r="E94" s="46" t="n"/>
      <c r="F94" s="41" t="n"/>
      <c r="G94" s="41" t="n"/>
      <c r="H94" s="41" t="n"/>
      <c r="I94" s="41" t="n"/>
      <c r="J94" s="47" t="n"/>
      <c r="K94" s="41" t="n"/>
      <c r="L94" s="48" t="n"/>
      <c r="M94" s="45" t="n"/>
      <c r="N94" s="39">
        <f>IF($B94="","",IF(SUMPRODUCT((LISTAS!$O$3:$O$42&lt;&gt;"")*ISNUMBER(SEARCH(LISTAS!$O$3:$O$42,$I94&amp;" "&amp;$K94)))&gt;0,"CERCANA","NACIONAL"))</f>
        <v/>
      </c>
      <c r="O94" s="39">
        <f>IF($B94="","",IF(COUNTIFS(NOVEDADES!$C$4:$C$2003,$B94)=0,"—","SÍ ("&amp;COUNTIFS(NOVEDADES!$C$4:$C$2003,$B94)&amp;")"))</f>
        <v/>
      </c>
    </row>
    <row r="95">
      <c r="A95" s="41" t="n"/>
      <c r="B95" s="41" t="n"/>
      <c r="C95" s="41" t="n"/>
      <c r="D95" s="41" t="n"/>
      <c r="E95" s="46" t="n"/>
      <c r="F95" s="41" t="n"/>
      <c r="G95" s="41" t="n"/>
      <c r="H95" s="41" t="n"/>
      <c r="I95" s="41" t="n"/>
      <c r="J95" s="47" t="n"/>
      <c r="K95" s="41" t="n"/>
      <c r="L95" s="48" t="n"/>
      <c r="M95" s="45" t="n"/>
      <c r="N95" s="39">
        <f>IF($B95="","",IF(SUMPRODUCT((LISTAS!$O$3:$O$42&lt;&gt;"")*ISNUMBER(SEARCH(LISTAS!$O$3:$O$42,$I95&amp;" "&amp;$K95)))&gt;0,"CERCANA","NACIONAL"))</f>
        <v/>
      </c>
      <c r="O95" s="39">
        <f>IF($B95="","",IF(COUNTIFS(NOVEDADES!$C$4:$C$2003,$B95)=0,"—","SÍ ("&amp;COUNTIFS(NOVEDADES!$C$4:$C$2003,$B95)&amp;")"))</f>
        <v/>
      </c>
    </row>
    <row r="96">
      <c r="A96" s="41" t="n"/>
      <c r="B96" s="41" t="n"/>
      <c r="C96" s="41" t="n"/>
      <c r="D96" s="41" t="n"/>
      <c r="E96" s="46" t="n"/>
      <c r="F96" s="41" t="n"/>
      <c r="G96" s="41" t="n"/>
      <c r="H96" s="41" t="n"/>
      <c r="I96" s="41" t="n"/>
      <c r="J96" s="47" t="n"/>
      <c r="K96" s="41" t="n"/>
      <c r="L96" s="48" t="n"/>
      <c r="M96" s="45" t="n"/>
      <c r="N96" s="39">
        <f>IF($B96="","",IF(SUMPRODUCT((LISTAS!$O$3:$O$42&lt;&gt;"")*ISNUMBER(SEARCH(LISTAS!$O$3:$O$42,$I96&amp;" "&amp;$K96)))&gt;0,"CERCANA","NACIONAL"))</f>
        <v/>
      </c>
      <c r="O96" s="39">
        <f>IF($B96="","",IF(COUNTIFS(NOVEDADES!$C$4:$C$2003,$B96)=0,"—","SÍ ("&amp;COUNTIFS(NOVEDADES!$C$4:$C$2003,$B96)&amp;")"))</f>
        <v/>
      </c>
    </row>
    <row r="97">
      <c r="A97" s="41" t="n"/>
      <c r="B97" s="41" t="n"/>
      <c r="C97" s="41" t="n"/>
      <c r="D97" s="41" t="n"/>
      <c r="E97" s="46" t="n"/>
      <c r="F97" s="41" t="n"/>
      <c r="G97" s="41" t="n"/>
      <c r="H97" s="41" t="n"/>
      <c r="I97" s="41" t="n"/>
      <c r="J97" s="47" t="n"/>
      <c r="K97" s="41" t="n"/>
      <c r="L97" s="48" t="n"/>
      <c r="M97" s="45" t="n"/>
      <c r="N97" s="39">
        <f>IF($B97="","",IF(SUMPRODUCT((LISTAS!$O$3:$O$42&lt;&gt;"")*ISNUMBER(SEARCH(LISTAS!$O$3:$O$42,$I97&amp;" "&amp;$K97)))&gt;0,"CERCANA","NACIONAL"))</f>
        <v/>
      </c>
      <c r="O97" s="39">
        <f>IF($B97="","",IF(COUNTIFS(NOVEDADES!$C$4:$C$2003,$B97)=0,"—","SÍ ("&amp;COUNTIFS(NOVEDADES!$C$4:$C$2003,$B97)&amp;")"))</f>
        <v/>
      </c>
    </row>
    <row r="98">
      <c r="A98" s="41" t="n"/>
      <c r="B98" s="41" t="n"/>
      <c r="C98" s="41" t="n"/>
      <c r="D98" s="41" t="n"/>
      <c r="E98" s="46" t="n"/>
      <c r="F98" s="41" t="n"/>
      <c r="G98" s="41" t="n"/>
      <c r="H98" s="41" t="n"/>
      <c r="I98" s="41" t="n"/>
      <c r="J98" s="47" t="n"/>
      <c r="K98" s="41" t="n"/>
      <c r="L98" s="48" t="n"/>
      <c r="M98" s="45" t="n"/>
      <c r="N98" s="39">
        <f>IF($B98="","",IF(SUMPRODUCT((LISTAS!$O$3:$O$42&lt;&gt;"")*ISNUMBER(SEARCH(LISTAS!$O$3:$O$42,$I98&amp;" "&amp;$K98)))&gt;0,"CERCANA","NACIONAL"))</f>
        <v/>
      </c>
      <c r="O98" s="39">
        <f>IF($B98="","",IF(COUNTIFS(NOVEDADES!$C$4:$C$2003,$B98)=0,"—","SÍ ("&amp;COUNTIFS(NOVEDADES!$C$4:$C$2003,$B98)&amp;")"))</f>
        <v/>
      </c>
    </row>
    <row r="99">
      <c r="A99" s="41" t="n"/>
      <c r="B99" s="41" t="n"/>
      <c r="C99" s="41" t="n"/>
      <c r="D99" s="41" t="n"/>
      <c r="E99" s="46" t="n"/>
      <c r="F99" s="41" t="n"/>
      <c r="G99" s="41" t="n"/>
      <c r="H99" s="41" t="n"/>
      <c r="I99" s="41" t="n"/>
      <c r="J99" s="47" t="n"/>
      <c r="K99" s="41" t="n"/>
      <c r="L99" s="48" t="n"/>
      <c r="M99" s="45" t="n"/>
      <c r="N99" s="39">
        <f>IF($B99="","",IF(SUMPRODUCT((LISTAS!$O$3:$O$42&lt;&gt;"")*ISNUMBER(SEARCH(LISTAS!$O$3:$O$42,$I99&amp;" "&amp;$K99)))&gt;0,"CERCANA","NACIONAL"))</f>
        <v/>
      </c>
      <c r="O99" s="39">
        <f>IF($B99="","",IF(COUNTIFS(NOVEDADES!$C$4:$C$2003,$B99)=0,"—","SÍ ("&amp;COUNTIFS(NOVEDADES!$C$4:$C$2003,$B99)&amp;")"))</f>
        <v/>
      </c>
    </row>
    <row r="100">
      <c r="A100" s="41" t="n"/>
      <c r="B100" s="41" t="n"/>
      <c r="C100" s="41" t="n"/>
      <c r="D100" s="41" t="n"/>
      <c r="E100" s="46" t="n"/>
      <c r="F100" s="41" t="n"/>
      <c r="G100" s="41" t="n"/>
      <c r="H100" s="41" t="n"/>
      <c r="I100" s="41" t="n"/>
      <c r="J100" s="47" t="n"/>
      <c r="K100" s="41" t="n"/>
      <c r="L100" s="48" t="n"/>
      <c r="M100" s="45" t="n"/>
      <c r="N100" s="39">
        <f>IF($B100="","",IF(SUMPRODUCT((LISTAS!$O$3:$O$42&lt;&gt;"")*ISNUMBER(SEARCH(LISTAS!$O$3:$O$42,$I100&amp;" "&amp;$K100)))&gt;0,"CERCANA","NACIONAL"))</f>
        <v/>
      </c>
      <c r="O100" s="39">
        <f>IF($B100="","",IF(COUNTIFS(NOVEDADES!$C$4:$C$2003,$B100)=0,"—","SÍ ("&amp;COUNTIFS(NOVEDADES!$C$4:$C$2003,$B100)&amp;")"))</f>
        <v/>
      </c>
    </row>
    <row r="101">
      <c r="A101" s="41" t="n"/>
      <c r="B101" s="41" t="n"/>
      <c r="C101" s="41" t="n"/>
      <c r="D101" s="41" t="n"/>
      <c r="E101" s="46" t="n"/>
      <c r="F101" s="41" t="n"/>
      <c r="G101" s="41" t="n"/>
      <c r="H101" s="41" t="n"/>
      <c r="I101" s="41" t="n"/>
      <c r="J101" s="47" t="n"/>
      <c r="K101" s="41" t="n"/>
      <c r="L101" s="48" t="n"/>
      <c r="M101" s="45" t="n"/>
      <c r="N101" s="39">
        <f>IF($B101="","",IF(SUMPRODUCT((LISTAS!$O$3:$O$42&lt;&gt;"")*ISNUMBER(SEARCH(LISTAS!$O$3:$O$42,$I101&amp;" "&amp;$K101)))&gt;0,"CERCANA","NACIONAL"))</f>
        <v/>
      </c>
      <c r="O101" s="39">
        <f>IF($B101="","",IF(COUNTIFS(NOVEDADES!$C$4:$C$2003,$B101)=0,"—","SÍ ("&amp;COUNTIFS(NOVEDADES!$C$4:$C$2003,$B101)&amp;")"))</f>
        <v/>
      </c>
    </row>
    <row r="102">
      <c r="A102" s="41" t="n"/>
      <c r="B102" s="41" t="n"/>
      <c r="C102" s="41" t="n"/>
      <c r="D102" s="41" t="n"/>
      <c r="E102" s="46" t="n"/>
      <c r="F102" s="41" t="n"/>
      <c r="G102" s="41" t="n"/>
      <c r="H102" s="41" t="n"/>
      <c r="I102" s="41" t="n"/>
      <c r="J102" s="47" t="n"/>
      <c r="K102" s="41" t="n"/>
      <c r="L102" s="48" t="n"/>
      <c r="M102" s="45" t="n"/>
      <c r="N102" s="39">
        <f>IF($B102="","",IF(SUMPRODUCT((LISTAS!$O$3:$O$42&lt;&gt;"")*ISNUMBER(SEARCH(LISTAS!$O$3:$O$42,$I102&amp;" "&amp;$K102)))&gt;0,"CERCANA","NACIONAL"))</f>
        <v/>
      </c>
      <c r="O102" s="39">
        <f>IF($B102="","",IF(COUNTIFS(NOVEDADES!$C$4:$C$2003,$B102)=0,"—","SÍ ("&amp;COUNTIFS(NOVEDADES!$C$4:$C$2003,$B102)&amp;")"))</f>
        <v/>
      </c>
    </row>
    <row r="103">
      <c r="A103" s="41" t="n"/>
      <c r="B103" s="41" t="n"/>
      <c r="C103" s="41" t="n"/>
      <c r="D103" s="41" t="n"/>
      <c r="E103" s="46" t="n"/>
      <c r="F103" s="41" t="n"/>
      <c r="G103" s="41" t="n"/>
      <c r="H103" s="41" t="n"/>
      <c r="I103" s="41" t="n"/>
      <c r="J103" s="47" t="n"/>
      <c r="K103" s="41" t="n"/>
      <c r="L103" s="48" t="n"/>
      <c r="M103" s="45" t="n"/>
      <c r="N103" s="39">
        <f>IF($B103="","",IF(SUMPRODUCT((LISTAS!$O$3:$O$42&lt;&gt;"")*ISNUMBER(SEARCH(LISTAS!$O$3:$O$42,$I103&amp;" "&amp;$K103)))&gt;0,"CERCANA","NACIONAL"))</f>
        <v/>
      </c>
      <c r="O103" s="39">
        <f>IF($B103="","",IF(COUNTIFS(NOVEDADES!$C$4:$C$2003,$B103)=0,"—","SÍ ("&amp;COUNTIFS(NOVEDADES!$C$4:$C$2003,$B103)&amp;")"))</f>
        <v/>
      </c>
    </row>
    <row r="104">
      <c r="A104" s="41" t="n"/>
      <c r="B104" s="41" t="n"/>
      <c r="C104" s="41" t="n"/>
      <c r="D104" s="41" t="n"/>
      <c r="E104" s="46" t="n"/>
      <c r="F104" s="41" t="n"/>
      <c r="G104" s="41" t="n"/>
      <c r="H104" s="41" t="n"/>
      <c r="I104" s="41" t="n"/>
      <c r="J104" s="47" t="n"/>
      <c r="K104" s="41" t="n"/>
      <c r="L104" s="48" t="n"/>
      <c r="M104" s="45" t="n"/>
      <c r="N104" s="39">
        <f>IF($B104="","",IF(SUMPRODUCT((LISTAS!$O$3:$O$42&lt;&gt;"")*ISNUMBER(SEARCH(LISTAS!$O$3:$O$42,$I104&amp;" "&amp;$K104)))&gt;0,"CERCANA","NACIONAL"))</f>
        <v/>
      </c>
      <c r="O104" s="39">
        <f>IF($B104="","",IF(COUNTIFS(NOVEDADES!$C$4:$C$2003,$B104)=0,"—","SÍ ("&amp;COUNTIFS(NOVEDADES!$C$4:$C$2003,$B104)&amp;")"))</f>
        <v/>
      </c>
    </row>
    <row r="105">
      <c r="A105" s="41" t="n"/>
      <c r="B105" s="41" t="n"/>
      <c r="C105" s="41" t="n"/>
      <c r="D105" s="41" t="n"/>
      <c r="E105" s="46" t="n"/>
      <c r="F105" s="41" t="n"/>
      <c r="G105" s="41" t="n"/>
      <c r="H105" s="41" t="n"/>
      <c r="I105" s="41" t="n"/>
      <c r="J105" s="47" t="n"/>
      <c r="K105" s="41" t="n"/>
      <c r="L105" s="48" t="n"/>
      <c r="M105" s="45" t="n"/>
      <c r="N105" s="39">
        <f>IF($B105="","",IF(SUMPRODUCT((LISTAS!$O$3:$O$42&lt;&gt;"")*ISNUMBER(SEARCH(LISTAS!$O$3:$O$42,$I105&amp;" "&amp;$K105)))&gt;0,"CERCANA","NACIONAL"))</f>
        <v/>
      </c>
      <c r="O105" s="39">
        <f>IF($B105="","",IF(COUNTIFS(NOVEDADES!$C$4:$C$2003,$B105)=0,"—","SÍ ("&amp;COUNTIFS(NOVEDADES!$C$4:$C$2003,$B105)&amp;")"))</f>
        <v/>
      </c>
    </row>
    <row r="106">
      <c r="A106" s="41" t="n"/>
      <c r="B106" s="41" t="n"/>
      <c r="C106" s="41" t="n"/>
      <c r="D106" s="41" t="n"/>
      <c r="E106" s="46" t="n"/>
      <c r="F106" s="41" t="n"/>
      <c r="G106" s="41" t="n"/>
      <c r="H106" s="41" t="n"/>
      <c r="I106" s="41" t="n"/>
      <c r="J106" s="47" t="n"/>
      <c r="K106" s="41" t="n"/>
      <c r="L106" s="48" t="n"/>
      <c r="M106" s="45" t="n"/>
      <c r="N106" s="39">
        <f>IF($B106="","",IF(SUMPRODUCT((LISTAS!$O$3:$O$42&lt;&gt;"")*ISNUMBER(SEARCH(LISTAS!$O$3:$O$42,$I106&amp;" "&amp;$K106)))&gt;0,"CERCANA","NACIONAL"))</f>
        <v/>
      </c>
      <c r="O106" s="39">
        <f>IF($B106="","",IF(COUNTIFS(NOVEDADES!$C$4:$C$2003,$B106)=0,"—","SÍ ("&amp;COUNTIFS(NOVEDADES!$C$4:$C$2003,$B106)&amp;")"))</f>
        <v/>
      </c>
    </row>
    <row r="107">
      <c r="A107" s="41" t="n"/>
      <c r="B107" s="41" t="n"/>
      <c r="C107" s="41" t="n"/>
      <c r="D107" s="41" t="n"/>
      <c r="E107" s="46" t="n"/>
      <c r="F107" s="41" t="n"/>
      <c r="G107" s="41" t="n"/>
      <c r="H107" s="41" t="n"/>
      <c r="I107" s="41" t="n"/>
      <c r="J107" s="47" t="n"/>
      <c r="K107" s="41" t="n"/>
      <c r="L107" s="48" t="n"/>
      <c r="M107" s="45" t="n"/>
      <c r="N107" s="39">
        <f>IF($B107="","",IF(SUMPRODUCT((LISTAS!$O$3:$O$42&lt;&gt;"")*ISNUMBER(SEARCH(LISTAS!$O$3:$O$42,$I107&amp;" "&amp;$K107)))&gt;0,"CERCANA","NACIONAL"))</f>
        <v/>
      </c>
      <c r="O107" s="39">
        <f>IF($B107="","",IF(COUNTIFS(NOVEDADES!$C$4:$C$2003,$B107)=0,"—","SÍ ("&amp;COUNTIFS(NOVEDADES!$C$4:$C$2003,$B107)&amp;")"))</f>
        <v/>
      </c>
    </row>
    <row r="108">
      <c r="A108" s="41" t="n"/>
      <c r="B108" s="41" t="n"/>
      <c r="C108" s="41" t="n"/>
      <c r="D108" s="41" t="n"/>
      <c r="E108" s="46" t="n"/>
      <c r="F108" s="41" t="n"/>
      <c r="G108" s="41" t="n"/>
      <c r="H108" s="41" t="n"/>
      <c r="I108" s="41" t="n"/>
      <c r="J108" s="47" t="n"/>
      <c r="K108" s="41" t="n"/>
      <c r="L108" s="48" t="n"/>
      <c r="M108" s="45" t="n"/>
      <c r="N108" s="39">
        <f>IF($B108="","",IF(SUMPRODUCT((LISTAS!$O$3:$O$42&lt;&gt;"")*ISNUMBER(SEARCH(LISTAS!$O$3:$O$42,$I108&amp;" "&amp;$K108)))&gt;0,"CERCANA","NACIONAL"))</f>
        <v/>
      </c>
      <c r="O108" s="39">
        <f>IF($B108="","",IF(COUNTIFS(NOVEDADES!$C$4:$C$2003,$B108)=0,"—","SÍ ("&amp;COUNTIFS(NOVEDADES!$C$4:$C$2003,$B108)&amp;")"))</f>
        <v/>
      </c>
    </row>
    <row r="109">
      <c r="A109" s="41" t="n"/>
      <c r="B109" s="41" t="n"/>
      <c r="C109" s="41" t="n"/>
      <c r="D109" s="41" t="n"/>
      <c r="E109" s="46" t="n"/>
      <c r="F109" s="41" t="n"/>
      <c r="G109" s="41" t="n"/>
      <c r="H109" s="41" t="n"/>
      <c r="I109" s="41" t="n"/>
      <c r="J109" s="47" t="n"/>
      <c r="K109" s="41" t="n"/>
      <c r="L109" s="48" t="n"/>
      <c r="M109" s="45" t="n"/>
      <c r="N109" s="39">
        <f>IF($B109="","",IF(SUMPRODUCT((LISTAS!$O$3:$O$42&lt;&gt;"")*ISNUMBER(SEARCH(LISTAS!$O$3:$O$42,$I109&amp;" "&amp;$K109)))&gt;0,"CERCANA","NACIONAL"))</f>
        <v/>
      </c>
      <c r="O109" s="39">
        <f>IF($B109="","",IF(COUNTIFS(NOVEDADES!$C$4:$C$2003,$B109)=0,"—","SÍ ("&amp;COUNTIFS(NOVEDADES!$C$4:$C$2003,$B109)&amp;")"))</f>
        <v/>
      </c>
    </row>
    <row r="110">
      <c r="A110" s="41" t="n"/>
      <c r="B110" s="41" t="n"/>
      <c r="C110" s="41" t="n"/>
      <c r="D110" s="41" t="n"/>
      <c r="E110" s="46" t="n"/>
      <c r="F110" s="41" t="n"/>
      <c r="G110" s="41" t="n"/>
      <c r="H110" s="41" t="n"/>
      <c r="I110" s="41" t="n"/>
      <c r="J110" s="47" t="n"/>
      <c r="K110" s="41" t="n"/>
      <c r="L110" s="48" t="n"/>
      <c r="M110" s="45" t="n"/>
      <c r="N110" s="39">
        <f>IF($B110="","",IF(SUMPRODUCT((LISTAS!$O$3:$O$42&lt;&gt;"")*ISNUMBER(SEARCH(LISTAS!$O$3:$O$42,$I110&amp;" "&amp;$K110)))&gt;0,"CERCANA","NACIONAL"))</f>
        <v/>
      </c>
      <c r="O110" s="39">
        <f>IF($B110="","",IF(COUNTIFS(NOVEDADES!$C$4:$C$2003,$B110)=0,"—","SÍ ("&amp;COUNTIFS(NOVEDADES!$C$4:$C$2003,$B110)&amp;")"))</f>
        <v/>
      </c>
    </row>
    <row r="111">
      <c r="A111" s="41" t="n"/>
      <c r="B111" s="41" t="n"/>
      <c r="C111" s="41" t="n"/>
      <c r="D111" s="41" t="n"/>
      <c r="E111" s="46" t="n"/>
      <c r="F111" s="41" t="n"/>
      <c r="G111" s="41" t="n"/>
      <c r="H111" s="41" t="n"/>
      <c r="I111" s="41" t="n"/>
      <c r="J111" s="47" t="n"/>
      <c r="K111" s="41" t="n"/>
      <c r="L111" s="48" t="n"/>
      <c r="M111" s="45" t="n"/>
      <c r="N111" s="39">
        <f>IF($B111="","",IF(SUMPRODUCT((LISTAS!$O$3:$O$42&lt;&gt;"")*ISNUMBER(SEARCH(LISTAS!$O$3:$O$42,$I111&amp;" "&amp;$K111)))&gt;0,"CERCANA","NACIONAL"))</f>
        <v/>
      </c>
      <c r="O111" s="39">
        <f>IF($B111="","",IF(COUNTIFS(NOVEDADES!$C$4:$C$2003,$B111)=0,"—","SÍ ("&amp;COUNTIFS(NOVEDADES!$C$4:$C$2003,$B111)&amp;")"))</f>
        <v/>
      </c>
    </row>
    <row r="112">
      <c r="A112" s="41" t="n"/>
      <c r="B112" s="41" t="n"/>
      <c r="C112" s="41" t="n"/>
      <c r="D112" s="41" t="n"/>
      <c r="E112" s="46" t="n"/>
      <c r="F112" s="41" t="n"/>
      <c r="G112" s="41" t="n"/>
      <c r="H112" s="41" t="n"/>
      <c r="I112" s="41" t="n"/>
      <c r="J112" s="47" t="n"/>
      <c r="K112" s="41" t="n"/>
      <c r="L112" s="48" t="n"/>
      <c r="M112" s="45" t="n"/>
      <c r="N112" s="39">
        <f>IF($B112="","",IF(SUMPRODUCT((LISTAS!$O$3:$O$42&lt;&gt;"")*ISNUMBER(SEARCH(LISTAS!$O$3:$O$42,$I112&amp;" "&amp;$K112)))&gt;0,"CERCANA","NACIONAL"))</f>
        <v/>
      </c>
      <c r="O112" s="39">
        <f>IF($B112="","",IF(COUNTIFS(NOVEDADES!$C$4:$C$2003,$B112)=0,"—","SÍ ("&amp;COUNTIFS(NOVEDADES!$C$4:$C$2003,$B112)&amp;")"))</f>
        <v/>
      </c>
    </row>
    <row r="113">
      <c r="A113" s="41" t="n"/>
      <c r="B113" s="41" t="n"/>
      <c r="C113" s="41" t="n"/>
      <c r="D113" s="41" t="n"/>
      <c r="E113" s="46" t="n"/>
      <c r="F113" s="41" t="n"/>
      <c r="G113" s="41" t="n"/>
      <c r="H113" s="41" t="n"/>
      <c r="I113" s="41" t="n"/>
      <c r="J113" s="47" t="n"/>
      <c r="K113" s="41" t="n"/>
      <c r="L113" s="48" t="n"/>
      <c r="M113" s="45" t="n"/>
      <c r="N113" s="39">
        <f>IF($B113="","",IF(SUMPRODUCT((LISTAS!$O$3:$O$42&lt;&gt;"")*ISNUMBER(SEARCH(LISTAS!$O$3:$O$42,$I113&amp;" "&amp;$K113)))&gt;0,"CERCANA","NACIONAL"))</f>
        <v/>
      </c>
      <c r="O113" s="39">
        <f>IF($B113="","",IF(COUNTIFS(NOVEDADES!$C$4:$C$2003,$B113)=0,"—","SÍ ("&amp;COUNTIFS(NOVEDADES!$C$4:$C$2003,$B113)&amp;")"))</f>
        <v/>
      </c>
    </row>
    <row r="114">
      <c r="A114" s="41" t="n"/>
      <c r="B114" s="41" t="n"/>
      <c r="C114" s="41" t="n"/>
      <c r="D114" s="41" t="n"/>
      <c r="E114" s="46" t="n"/>
      <c r="F114" s="41" t="n"/>
      <c r="G114" s="41" t="n"/>
      <c r="H114" s="41" t="n"/>
      <c r="I114" s="41" t="n"/>
      <c r="J114" s="47" t="n"/>
      <c r="K114" s="41" t="n"/>
      <c r="L114" s="48" t="n"/>
      <c r="M114" s="45" t="n"/>
      <c r="N114" s="39">
        <f>IF($B114="","",IF(SUMPRODUCT((LISTAS!$O$3:$O$42&lt;&gt;"")*ISNUMBER(SEARCH(LISTAS!$O$3:$O$42,$I114&amp;" "&amp;$K114)))&gt;0,"CERCANA","NACIONAL"))</f>
        <v/>
      </c>
      <c r="O114" s="39">
        <f>IF($B114="","",IF(COUNTIFS(NOVEDADES!$C$4:$C$2003,$B114)=0,"—","SÍ ("&amp;COUNTIFS(NOVEDADES!$C$4:$C$2003,$B114)&amp;")"))</f>
        <v/>
      </c>
    </row>
    <row r="115">
      <c r="A115" s="41" t="n"/>
      <c r="B115" s="41" t="n"/>
      <c r="C115" s="41" t="n"/>
      <c r="D115" s="41" t="n"/>
      <c r="E115" s="46" t="n"/>
      <c r="F115" s="41" t="n"/>
      <c r="G115" s="41" t="n"/>
      <c r="H115" s="41" t="n"/>
      <c r="I115" s="41" t="n"/>
      <c r="J115" s="47" t="n"/>
      <c r="K115" s="41" t="n"/>
      <c r="L115" s="48" t="n"/>
      <c r="M115" s="45" t="n"/>
      <c r="N115" s="39">
        <f>IF($B115="","",IF(SUMPRODUCT((LISTAS!$O$3:$O$42&lt;&gt;"")*ISNUMBER(SEARCH(LISTAS!$O$3:$O$42,$I115&amp;" "&amp;$K115)))&gt;0,"CERCANA","NACIONAL"))</f>
        <v/>
      </c>
      <c r="O115" s="39">
        <f>IF($B115="","",IF(COUNTIFS(NOVEDADES!$C$4:$C$2003,$B115)=0,"—","SÍ ("&amp;COUNTIFS(NOVEDADES!$C$4:$C$2003,$B115)&amp;")"))</f>
        <v/>
      </c>
    </row>
    <row r="116">
      <c r="A116" s="41" t="n"/>
      <c r="B116" s="41" t="n"/>
      <c r="C116" s="41" t="n"/>
      <c r="D116" s="41" t="n"/>
      <c r="E116" s="46" t="n"/>
      <c r="F116" s="41" t="n"/>
      <c r="G116" s="41" t="n"/>
      <c r="H116" s="41" t="n"/>
      <c r="I116" s="41" t="n"/>
      <c r="J116" s="47" t="n"/>
      <c r="K116" s="41" t="n"/>
      <c r="L116" s="48" t="n"/>
      <c r="M116" s="45" t="n"/>
      <c r="N116" s="39">
        <f>IF($B116="","",IF(SUMPRODUCT((LISTAS!$O$3:$O$42&lt;&gt;"")*ISNUMBER(SEARCH(LISTAS!$O$3:$O$42,$I116&amp;" "&amp;$K116)))&gt;0,"CERCANA","NACIONAL"))</f>
        <v/>
      </c>
      <c r="O116" s="39">
        <f>IF($B116="","",IF(COUNTIFS(NOVEDADES!$C$4:$C$2003,$B116)=0,"—","SÍ ("&amp;COUNTIFS(NOVEDADES!$C$4:$C$2003,$B116)&amp;")"))</f>
        <v/>
      </c>
    </row>
    <row r="117">
      <c r="A117" s="41" t="n"/>
      <c r="B117" s="41" t="n"/>
      <c r="C117" s="41" t="n"/>
      <c r="D117" s="41" t="n"/>
      <c r="E117" s="46" t="n"/>
      <c r="F117" s="41" t="n"/>
      <c r="G117" s="41" t="n"/>
      <c r="H117" s="41" t="n"/>
      <c r="I117" s="41" t="n"/>
      <c r="J117" s="47" t="n"/>
      <c r="K117" s="41" t="n"/>
      <c r="L117" s="48" t="n"/>
      <c r="M117" s="45" t="n"/>
      <c r="N117" s="39">
        <f>IF($B117="","",IF(SUMPRODUCT((LISTAS!$O$3:$O$42&lt;&gt;"")*ISNUMBER(SEARCH(LISTAS!$O$3:$O$42,$I117&amp;" "&amp;$K117)))&gt;0,"CERCANA","NACIONAL"))</f>
        <v/>
      </c>
      <c r="O117" s="39">
        <f>IF($B117="","",IF(COUNTIFS(NOVEDADES!$C$4:$C$2003,$B117)=0,"—","SÍ ("&amp;COUNTIFS(NOVEDADES!$C$4:$C$2003,$B117)&amp;")"))</f>
        <v/>
      </c>
    </row>
    <row r="118">
      <c r="A118" s="41" t="n"/>
      <c r="B118" s="41" t="n"/>
      <c r="C118" s="41" t="n"/>
      <c r="D118" s="41" t="n"/>
      <c r="E118" s="46" t="n"/>
      <c r="F118" s="41" t="n"/>
      <c r="G118" s="41" t="n"/>
      <c r="H118" s="41" t="n"/>
      <c r="I118" s="41" t="n"/>
      <c r="J118" s="47" t="n"/>
      <c r="K118" s="41" t="n"/>
      <c r="L118" s="48" t="n"/>
      <c r="M118" s="45" t="n"/>
      <c r="N118" s="39">
        <f>IF($B118="","",IF(SUMPRODUCT((LISTAS!$O$3:$O$42&lt;&gt;"")*ISNUMBER(SEARCH(LISTAS!$O$3:$O$42,$I118&amp;" "&amp;$K118)))&gt;0,"CERCANA","NACIONAL"))</f>
        <v/>
      </c>
      <c r="O118" s="39">
        <f>IF($B118="","",IF(COUNTIFS(NOVEDADES!$C$4:$C$2003,$B118)=0,"—","SÍ ("&amp;COUNTIFS(NOVEDADES!$C$4:$C$2003,$B118)&amp;")"))</f>
        <v/>
      </c>
    </row>
    <row r="119">
      <c r="A119" s="41" t="n"/>
      <c r="B119" s="41" t="n"/>
      <c r="C119" s="41" t="n"/>
      <c r="D119" s="41" t="n"/>
      <c r="E119" s="46" t="n"/>
      <c r="F119" s="41" t="n"/>
      <c r="G119" s="41" t="n"/>
      <c r="H119" s="41" t="n"/>
      <c r="I119" s="41" t="n"/>
      <c r="J119" s="47" t="n"/>
      <c r="K119" s="41" t="n"/>
      <c r="L119" s="48" t="n"/>
      <c r="M119" s="45" t="n"/>
      <c r="N119" s="39">
        <f>IF($B119="","",IF(SUMPRODUCT((LISTAS!$O$3:$O$42&lt;&gt;"")*ISNUMBER(SEARCH(LISTAS!$O$3:$O$42,$I119&amp;" "&amp;$K119)))&gt;0,"CERCANA","NACIONAL"))</f>
        <v/>
      </c>
      <c r="O119" s="39">
        <f>IF($B119="","",IF(COUNTIFS(NOVEDADES!$C$4:$C$2003,$B119)=0,"—","SÍ ("&amp;COUNTIFS(NOVEDADES!$C$4:$C$2003,$B119)&amp;")"))</f>
        <v/>
      </c>
    </row>
    <row r="120">
      <c r="A120" s="41" t="n"/>
      <c r="B120" s="41" t="n"/>
      <c r="C120" s="41" t="n"/>
      <c r="D120" s="41" t="n"/>
      <c r="E120" s="46" t="n"/>
      <c r="F120" s="41" t="n"/>
      <c r="G120" s="41" t="n"/>
      <c r="H120" s="41" t="n"/>
      <c r="I120" s="41" t="n"/>
      <c r="J120" s="47" t="n"/>
      <c r="K120" s="41" t="n"/>
      <c r="L120" s="48" t="n"/>
      <c r="M120" s="45" t="n"/>
      <c r="N120" s="39">
        <f>IF($B120="","",IF(SUMPRODUCT((LISTAS!$O$3:$O$42&lt;&gt;"")*ISNUMBER(SEARCH(LISTAS!$O$3:$O$42,$I120&amp;" "&amp;$K120)))&gt;0,"CERCANA","NACIONAL"))</f>
        <v/>
      </c>
      <c r="O120" s="39">
        <f>IF($B120="","",IF(COUNTIFS(NOVEDADES!$C$4:$C$2003,$B120)=0,"—","SÍ ("&amp;COUNTIFS(NOVEDADES!$C$4:$C$2003,$B120)&amp;")"))</f>
        <v/>
      </c>
    </row>
    <row r="121">
      <c r="A121" s="41" t="n"/>
      <c r="B121" s="41" t="n"/>
      <c r="C121" s="41" t="n"/>
      <c r="D121" s="41" t="n"/>
      <c r="E121" s="46" t="n"/>
      <c r="F121" s="41" t="n"/>
      <c r="G121" s="41" t="n"/>
      <c r="H121" s="41" t="n"/>
      <c r="I121" s="41" t="n"/>
      <c r="J121" s="47" t="n"/>
      <c r="K121" s="41" t="n"/>
      <c r="L121" s="48" t="n"/>
      <c r="M121" s="45" t="n"/>
      <c r="N121" s="39">
        <f>IF($B121="","",IF(SUMPRODUCT((LISTAS!$O$3:$O$42&lt;&gt;"")*ISNUMBER(SEARCH(LISTAS!$O$3:$O$42,$I121&amp;" "&amp;$K121)))&gt;0,"CERCANA","NACIONAL"))</f>
        <v/>
      </c>
      <c r="O121" s="39">
        <f>IF($B121="","",IF(COUNTIFS(NOVEDADES!$C$4:$C$2003,$B121)=0,"—","SÍ ("&amp;COUNTIFS(NOVEDADES!$C$4:$C$2003,$B121)&amp;")"))</f>
        <v/>
      </c>
    </row>
    <row r="122">
      <c r="A122" s="41" t="n"/>
      <c r="B122" s="41" t="n"/>
      <c r="C122" s="41" t="n"/>
      <c r="D122" s="41" t="n"/>
      <c r="E122" s="46" t="n"/>
      <c r="F122" s="41" t="n"/>
      <c r="G122" s="41" t="n"/>
      <c r="H122" s="41" t="n"/>
      <c r="I122" s="41" t="n"/>
      <c r="J122" s="47" t="n"/>
      <c r="K122" s="41" t="n"/>
      <c r="L122" s="48" t="n"/>
      <c r="M122" s="45" t="n"/>
      <c r="N122" s="39">
        <f>IF($B122="","",IF(SUMPRODUCT((LISTAS!$O$3:$O$42&lt;&gt;"")*ISNUMBER(SEARCH(LISTAS!$O$3:$O$42,$I122&amp;" "&amp;$K122)))&gt;0,"CERCANA","NACIONAL"))</f>
        <v/>
      </c>
      <c r="O122" s="39">
        <f>IF($B122="","",IF(COUNTIFS(NOVEDADES!$C$4:$C$2003,$B122)=0,"—","SÍ ("&amp;COUNTIFS(NOVEDADES!$C$4:$C$2003,$B122)&amp;")"))</f>
        <v/>
      </c>
    </row>
    <row r="123">
      <c r="A123" s="41" t="n"/>
      <c r="B123" s="41" t="n"/>
      <c r="C123" s="41" t="n"/>
      <c r="D123" s="41" t="n"/>
      <c r="E123" s="46" t="n"/>
      <c r="F123" s="41" t="n"/>
      <c r="G123" s="41" t="n"/>
      <c r="H123" s="41" t="n"/>
      <c r="I123" s="41" t="n"/>
      <c r="J123" s="47" t="n"/>
      <c r="K123" s="41" t="n"/>
      <c r="L123" s="48" t="n"/>
      <c r="M123" s="45" t="n"/>
      <c r="N123" s="39">
        <f>IF($B123="","",IF(SUMPRODUCT((LISTAS!$O$3:$O$42&lt;&gt;"")*ISNUMBER(SEARCH(LISTAS!$O$3:$O$42,$I123&amp;" "&amp;$K123)))&gt;0,"CERCANA","NACIONAL"))</f>
        <v/>
      </c>
      <c r="O123" s="39">
        <f>IF($B123="","",IF(COUNTIFS(NOVEDADES!$C$4:$C$2003,$B123)=0,"—","SÍ ("&amp;COUNTIFS(NOVEDADES!$C$4:$C$2003,$B123)&amp;")"))</f>
        <v/>
      </c>
    </row>
    <row r="124">
      <c r="A124" s="41" t="n"/>
      <c r="B124" s="41" t="n"/>
      <c r="C124" s="41" t="n"/>
      <c r="D124" s="41" t="n"/>
      <c r="E124" s="46" t="n"/>
      <c r="F124" s="41" t="n"/>
      <c r="G124" s="41" t="n"/>
      <c r="H124" s="41" t="n"/>
      <c r="I124" s="41" t="n"/>
      <c r="J124" s="47" t="n"/>
      <c r="K124" s="41" t="n"/>
      <c r="L124" s="48" t="n"/>
      <c r="M124" s="45" t="n"/>
      <c r="N124" s="39">
        <f>IF($B124="","",IF(SUMPRODUCT((LISTAS!$O$3:$O$42&lt;&gt;"")*ISNUMBER(SEARCH(LISTAS!$O$3:$O$42,$I124&amp;" "&amp;$K124)))&gt;0,"CERCANA","NACIONAL"))</f>
        <v/>
      </c>
      <c r="O124" s="39">
        <f>IF($B124="","",IF(COUNTIFS(NOVEDADES!$C$4:$C$2003,$B124)=0,"—","SÍ ("&amp;COUNTIFS(NOVEDADES!$C$4:$C$2003,$B124)&amp;")"))</f>
        <v/>
      </c>
    </row>
    <row r="125">
      <c r="A125" s="41" t="n"/>
      <c r="B125" s="41" t="n"/>
      <c r="C125" s="41" t="n"/>
      <c r="D125" s="41" t="n"/>
      <c r="E125" s="46" t="n"/>
      <c r="F125" s="41" t="n"/>
      <c r="G125" s="41" t="n"/>
      <c r="H125" s="41" t="n"/>
      <c r="I125" s="41" t="n"/>
      <c r="J125" s="47" t="n"/>
      <c r="K125" s="41" t="n"/>
      <c r="L125" s="48" t="n"/>
      <c r="M125" s="45" t="n"/>
      <c r="N125" s="39">
        <f>IF($B125="","",IF(SUMPRODUCT((LISTAS!$O$3:$O$42&lt;&gt;"")*ISNUMBER(SEARCH(LISTAS!$O$3:$O$42,$I125&amp;" "&amp;$K125)))&gt;0,"CERCANA","NACIONAL"))</f>
        <v/>
      </c>
      <c r="O125" s="39">
        <f>IF($B125="","",IF(COUNTIFS(NOVEDADES!$C$4:$C$2003,$B125)=0,"—","SÍ ("&amp;COUNTIFS(NOVEDADES!$C$4:$C$2003,$B125)&amp;")"))</f>
        <v/>
      </c>
    </row>
    <row r="126">
      <c r="A126" s="41" t="n"/>
      <c r="B126" s="41" t="n"/>
      <c r="C126" s="41" t="n"/>
      <c r="D126" s="41" t="n"/>
      <c r="E126" s="46" t="n"/>
      <c r="F126" s="41" t="n"/>
      <c r="G126" s="41" t="n"/>
      <c r="H126" s="41" t="n"/>
      <c r="I126" s="41" t="n"/>
      <c r="J126" s="47" t="n"/>
      <c r="K126" s="41" t="n"/>
      <c r="L126" s="48" t="n"/>
      <c r="M126" s="45" t="n"/>
      <c r="N126" s="39">
        <f>IF($B126="","",IF(SUMPRODUCT((LISTAS!$O$3:$O$42&lt;&gt;"")*ISNUMBER(SEARCH(LISTAS!$O$3:$O$42,$I126&amp;" "&amp;$K126)))&gt;0,"CERCANA","NACIONAL"))</f>
        <v/>
      </c>
      <c r="O126" s="39">
        <f>IF($B126="","",IF(COUNTIFS(NOVEDADES!$C$4:$C$2003,$B126)=0,"—","SÍ ("&amp;COUNTIFS(NOVEDADES!$C$4:$C$2003,$B126)&amp;")"))</f>
        <v/>
      </c>
    </row>
    <row r="127">
      <c r="A127" s="41" t="n"/>
      <c r="B127" s="41" t="n"/>
      <c r="C127" s="41" t="n"/>
      <c r="D127" s="41" t="n"/>
      <c r="E127" s="46" t="n"/>
      <c r="F127" s="41" t="n"/>
      <c r="G127" s="41" t="n"/>
      <c r="H127" s="41" t="n"/>
      <c r="I127" s="41" t="n"/>
      <c r="J127" s="47" t="n"/>
      <c r="K127" s="41" t="n"/>
      <c r="L127" s="48" t="n"/>
      <c r="M127" s="45" t="n"/>
      <c r="N127" s="39">
        <f>IF($B127="","",IF(SUMPRODUCT((LISTAS!$O$3:$O$42&lt;&gt;"")*ISNUMBER(SEARCH(LISTAS!$O$3:$O$42,$I127&amp;" "&amp;$K127)))&gt;0,"CERCANA","NACIONAL"))</f>
        <v/>
      </c>
      <c r="O127" s="39">
        <f>IF($B127="","",IF(COUNTIFS(NOVEDADES!$C$4:$C$2003,$B127)=0,"—","SÍ ("&amp;COUNTIFS(NOVEDADES!$C$4:$C$2003,$B127)&amp;")"))</f>
        <v/>
      </c>
    </row>
    <row r="128">
      <c r="A128" s="41" t="n"/>
      <c r="B128" s="41" t="n"/>
      <c r="C128" s="41" t="n"/>
      <c r="D128" s="41" t="n"/>
      <c r="E128" s="46" t="n"/>
      <c r="F128" s="41" t="n"/>
      <c r="G128" s="41" t="n"/>
      <c r="H128" s="41" t="n"/>
      <c r="I128" s="41" t="n"/>
      <c r="J128" s="47" t="n"/>
      <c r="K128" s="41" t="n"/>
      <c r="L128" s="48" t="n"/>
      <c r="M128" s="45" t="n"/>
      <c r="N128" s="39">
        <f>IF($B128="","",IF(SUMPRODUCT((LISTAS!$O$3:$O$42&lt;&gt;"")*ISNUMBER(SEARCH(LISTAS!$O$3:$O$42,$I128&amp;" "&amp;$K128)))&gt;0,"CERCANA","NACIONAL"))</f>
        <v/>
      </c>
      <c r="O128" s="39">
        <f>IF($B128="","",IF(COUNTIFS(NOVEDADES!$C$4:$C$2003,$B128)=0,"—","SÍ ("&amp;COUNTIFS(NOVEDADES!$C$4:$C$2003,$B128)&amp;")"))</f>
        <v/>
      </c>
    </row>
    <row r="129">
      <c r="A129" s="41" t="n"/>
      <c r="B129" s="41" t="n"/>
      <c r="C129" s="41" t="n"/>
      <c r="D129" s="41" t="n"/>
      <c r="E129" s="46" t="n"/>
      <c r="F129" s="41" t="n"/>
      <c r="G129" s="41" t="n"/>
      <c r="H129" s="41" t="n"/>
      <c r="I129" s="41" t="n"/>
      <c r="J129" s="47" t="n"/>
      <c r="K129" s="41" t="n"/>
      <c r="L129" s="48" t="n"/>
      <c r="M129" s="45" t="n"/>
      <c r="N129" s="39">
        <f>IF($B129="","",IF(SUMPRODUCT((LISTAS!$O$3:$O$42&lt;&gt;"")*ISNUMBER(SEARCH(LISTAS!$O$3:$O$42,$I129&amp;" "&amp;$K129)))&gt;0,"CERCANA","NACIONAL"))</f>
        <v/>
      </c>
      <c r="O129" s="39">
        <f>IF($B129="","",IF(COUNTIFS(NOVEDADES!$C$4:$C$2003,$B129)=0,"—","SÍ ("&amp;COUNTIFS(NOVEDADES!$C$4:$C$2003,$B129)&amp;")"))</f>
        <v/>
      </c>
    </row>
    <row r="130">
      <c r="A130" s="41" t="n"/>
      <c r="B130" s="41" t="n"/>
      <c r="C130" s="41" t="n"/>
      <c r="D130" s="41" t="n"/>
      <c r="E130" s="46" t="n"/>
      <c r="F130" s="41" t="n"/>
      <c r="G130" s="41" t="n"/>
      <c r="H130" s="41" t="n"/>
      <c r="I130" s="41" t="n"/>
      <c r="J130" s="47" t="n"/>
      <c r="K130" s="41" t="n"/>
      <c r="L130" s="48" t="n"/>
      <c r="M130" s="45" t="n"/>
      <c r="N130" s="39">
        <f>IF($B130="","",IF(SUMPRODUCT((LISTAS!$O$3:$O$42&lt;&gt;"")*ISNUMBER(SEARCH(LISTAS!$O$3:$O$42,$I130&amp;" "&amp;$K130)))&gt;0,"CERCANA","NACIONAL"))</f>
        <v/>
      </c>
      <c r="O130" s="39">
        <f>IF($B130="","",IF(COUNTIFS(NOVEDADES!$C$4:$C$2003,$B130)=0,"—","SÍ ("&amp;COUNTIFS(NOVEDADES!$C$4:$C$2003,$B130)&amp;")"))</f>
        <v/>
      </c>
    </row>
    <row r="131">
      <c r="A131" s="41" t="n"/>
      <c r="B131" s="41" t="n"/>
      <c r="C131" s="41" t="n"/>
      <c r="D131" s="41" t="n"/>
      <c r="E131" s="46" t="n"/>
      <c r="F131" s="41" t="n"/>
      <c r="G131" s="41" t="n"/>
      <c r="H131" s="41" t="n"/>
      <c r="I131" s="41" t="n"/>
      <c r="J131" s="47" t="n"/>
      <c r="K131" s="41" t="n"/>
      <c r="L131" s="48" t="n"/>
      <c r="M131" s="45" t="n"/>
      <c r="N131" s="39">
        <f>IF($B131="","",IF(SUMPRODUCT((LISTAS!$O$3:$O$42&lt;&gt;"")*ISNUMBER(SEARCH(LISTAS!$O$3:$O$42,$I131&amp;" "&amp;$K131)))&gt;0,"CERCANA","NACIONAL"))</f>
        <v/>
      </c>
      <c r="O131" s="39">
        <f>IF($B131="","",IF(COUNTIFS(NOVEDADES!$C$4:$C$2003,$B131)=0,"—","SÍ ("&amp;COUNTIFS(NOVEDADES!$C$4:$C$2003,$B131)&amp;")"))</f>
        <v/>
      </c>
    </row>
    <row r="132">
      <c r="A132" s="41" t="n"/>
      <c r="B132" s="41" t="n"/>
      <c r="C132" s="41" t="n"/>
      <c r="D132" s="41" t="n"/>
      <c r="E132" s="46" t="n"/>
      <c r="F132" s="41" t="n"/>
      <c r="G132" s="41" t="n"/>
      <c r="H132" s="41" t="n"/>
      <c r="I132" s="41" t="n"/>
      <c r="J132" s="47" t="n"/>
      <c r="K132" s="41" t="n"/>
      <c r="L132" s="48" t="n"/>
      <c r="M132" s="45" t="n"/>
      <c r="N132" s="39">
        <f>IF($B132="","",IF(SUMPRODUCT((LISTAS!$O$3:$O$42&lt;&gt;"")*ISNUMBER(SEARCH(LISTAS!$O$3:$O$42,$I132&amp;" "&amp;$K132)))&gt;0,"CERCANA","NACIONAL"))</f>
        <v/>
      </c>
      <c r="O132" s="39">
        <f>IF($B132="","",IF(COUNTIFS(NOVEDADES!$C$4:$C$2003,$B132)=0,"—","SÍ ("&amp;COUNTIFS(NOVEDADES!$C$4:$C$2003,$B132)&amp;")"))</f>
        <v/>
      </c>
    </row>
    <row r="133">
      <c r="A133" s="41" t="n"/>
      <c r="B133" s="41" t="n"/>
      <c r="C133" s="41" t="n"/>
      <c r="D133" s="41" t="n"/>
      <c r="E133" s="46" t="n"/>
      <c r="F133" s="41" t="n"/>
      <c r="G133" s="41" t="n"/>
      <c r="H133" s="41" t="n"/>
      <c r="I133" s="41" t="n"/>
      <c r="J133" s="47" t="n"/>
      <c r="K133" s="41" t="n"/>
      <c r="L133" s="48" t="n"/>
      <c r="M133" s="45" t="n"/>
      <c r="N133" s="39">
        <f>IF($B133="","",IF(SUMPRODUCT((LISTAS!$O$3:$O$42&lt;&gt;"")*ISNUMBER(SEARCH(LISTAS!$O$3:$O$42,$I133&amp;" "&amp;$K133)))&gt;0,"CERCANA","NACIONAL"))</f>
        <v/>
      </c>
      <c r="O133" s="39">
        <f>IF($B133="","",IF(COUNTIFS(NOVEDADES!$C$4:$C$2003,$B133)=0,"—","SÍ ("&amp;COUNTIFS(NOVEDADES!$C$4:$C$2003,$B133)&amp;")"))</f>
        <v/>
      </c>
    </row>
    <row r="134">
      <c r="A134" s="41" t="n"/>
      <c r="B134" s="41" t="n"/>
      <c r="C134" s="41" t="n"/>
      <c r="D134" s="41" t="n"/>
      <c r="E134" s="46" t="n"/>
      <c r="F134" s="41" t="n"/>
      <c r="G134" s="41" t="n"/>
      <c r="H134" s="41" t="n"/>
      <c r="I134" s="41" t="n"/>
      <c r="J134" s="47" t="n"/>
      <c r="K134" s="41" t="n"/>
      <c r="L134" s="48" t="n"/>
      <c r="M134" s="45" t="n"/>
      <c r="N134" s="39">
        <f>IF($B134="","",IF(SUMPRODUCT((LISTAS!$O$3:$O$42&lt;&gt;"")*ISNUMBER(SEARCH(LISTAS!$O$3:$O$42,$I134&amp;" "&amp;$K134)))&gt;0,"CERCANA","NACIONAL"))</f>
        <v/>
      </c>
      <c r="O134" s="39">
        <f>IF($B134="","",IF(COUNTIFS(NOVEDADES!$C$4:$C$2003,$B134)=0,"—","SÍ ("&amp;COUNTIFS(NOVEDADES!$C$4:$C$2003,$B134)&amp;")"))</f>
        <v/>
      </c>
    </row>
    <row r="135">
      <c r="A135" s="41" t="n"/>
      <c r="B135" s="41" t="n"/>
      <c r="C135" s="41" t="n"/>
      <c r="D135" s="41" t="n"/>
      <c r="E135" s="46" t="n"/>
      <c r="F135" s="41" t="n"/>
      <c r="G135" s="41" t="n"/>
      <c r="H135" s="41" t="n"/>
      <c r="I135" s="41" t="n"/>
      <c r="J135" s="47" t="n"/>
      <c r="K135" s="41" t="n"/>
      <c r="L135" s="48" t="n"/>
      <c r="M135" s="45" t="n"/>
      <c r="N135" s="39">
        <f>IF($B135="","",IF(SUMPRODUCT((LISTAS!$O$3:$O$42&lt;&gt;"")*ISNUMBER(SEARCH(LISTAS!$O$3:$O$42,$I135&amp;" "&amp;$K135)))&gt;0,"CERCANA","NACIONAL"))</f>
        <v/>
      </c>
      <c r="O135" s="39">
        <f>IF($B135="","",IF(COUNTIFS(NOVEDADES!$C$4:$C$2003,$B135)=0,"—","SÍ ("&amp;COUNTIFS(NOVEDADES!$C$4:$C$2003,$B135)&amp;")"))</f>
        <v/>
      </c>
    </row>
    <row r="136">
      <c r="A136" s="41" t="n"/>
      <c r="B136" s="41" t="n"/>
      <c r="C136" s="41" t="n"/>
      <c r="D136" s="41" t="n"/>
      <c r="E136" s="46" t="n"/>
      <c r="F136" s="41" t="n"/>
      <c r="G136" s="41" t="n"/>
      <c r="H136" s="41" t="n"/>
      <c r="I136" s="41" t="n"/>
      <c r="J136" s="47" t="n"/>
      <c r="K136" s="41" t="n"/>
      <c r="L136" s="48" t="n"/>
      <c r="M136" s="45" t="n"/>
      <c r="N136" s="39">
        <f>IF($B136="","",IF(SUMPRODUCT((LISTAS!$O$3:$O$42&lt;&gt;"")*ISNUMBER(SEARCH(LISTAS!$O$3:$O$42,$I136&amp;" "&amp;$K136)))&gt;0,"CERCANA","NACIONAL"))</f>
        <v/>
      </c>
      <c r="O136" s="39">
        <f>IF($B136="","",IF(COUNTIFS(NOVEDADES!$C$4:$C$2003,$B136)=0,"—","SÍ ("&amp;COUNTIFS(NOVEDADES!$C$4:$C$2003,$B136)&amp;")"))</f>
        <v/>
      </c>
    </row>
    <row r="137">
      <c r="A137" s="41" t="n"/>
      <c r="B137" s="41" t="n"/>
      <c r="C137" s="41" t="n"/>
      <c r="D137" s="41" t="n"/>
      <c r="E137" s="46" t="n"/>
      <c r="F137" s="41" t="n"/>
      <c r="G137" s="41" t="n"/>
      <c r="H137" s="41" t="n"/>
      <c r="I137" s="41" t="n"/>
      <c r="J137" s="47" t="n"/>
      <c r="K137" s="41" t="n"/>
      <c r="L137" s="48" t="n"/>
      <c r="M137" s="45" t="n"/>
      <c r="N137" s="39">
        <f>IF($B137="","",IF(SUMPRODUCT((LISTAS!$O$3:$O$42&lt;&gt;"")*ISNUMBER(SEARCH(LISTAS!$O$3:$O$42,$I137&amp;" "&amp;$K137)))&gt;0,"CERCANA","NACIONAL"))</f>
        <v/>
      </c>
      <c r="O137" s="39">
        <f>IF($B137="","",IF(COUNTIFS(NOVEDADES!$C$4:$C$2003,$B137)=0,"—","SÍ ("&amp;COUNTIFS(NOVEDADES!$C$4:$C$2003,$B137)&amp;")"))</f>
        <v/>
      </c>
    </row>
    <row r="138">
      <c r="A138" s="41" t="n"/>
      <c r="B138" s="41" t="n"/>
      <c r="C138" s="41" t="n"/>
      <c r="D138" s="41" t="n"/>
      <c r="E138" s="46" t="n"/>
      <c r="F138" s="41" t="n"/>
      <c r="G138" s="41" t="n"/>
      <c r="H138" s="41" t="n"/>
      <c r="I138" s="41" t="n"/>
      <c r="J138" s="47" t="n"/>
      <c r="K138" s="41" t="n"/>
      <c r="L138" s="48" t="n"/>
      <c r="M138" s="45" t="n"/>
      <c r="N138" s="39">
        <f>IF($B138="","",IF(SUMPRODUCT((LISTAS!$O$3:$O$42&lt;&gt;"")*ISNUMBER(SEARCH(LISTAS!$O$3:$O$42,$I138&amp;" "&amp;$K138)))&gt;0,"CERCANA","NACIONAL"))</f>
        <v/>
      </c>
      <c r="O138" s="39">
        <f>IF($B138="","",IF(COUNTIFS(NOVEDADES!$C$4:$C$2003,$B138)=0,"—","SÍ ("&amp;COUNTIFS(NOVEDADES!$C$4:$C$2003,$B138)&amp;")"))</f>
        <v/>
      </c>
    </row>
    <row r="139">
      <c r="A139" s="41" t="n"/>
      <c r="B139" s="41" t="n"/>
      <c r="C139" s="41" t="n"/>
      <c r="D139" s="41" t="n"/>
      <c r="E139" s="46" t="n"/>
      <c r="F139" s="41" t="n"/>
      <c r="G139" s="41" t="n"/>
      <c r="H139" s="41" t="n"/>
      <c r="I139" s="41" t="n"/>
      <c r="J139" s="47" t="n"/>
      <c r="K139" s="41" t="n"/>
      <c r="L139" s="48" t="n"/>
      <c r="M139" s="45" t="n"/>
      <c r="N139" s="39">
        <f>IF($B139="","",IF(SUMPRODUCT((LISTAS!$O$3:$O$42&lt;&gt;"")*ISNUMBER(SEARCH(LISTAS!$O$3:$O$42,$I139&amp;" "&amp;$K139)))&gt;0,"CERCANA","NACIONAL"))</f>
        <v/>
      </c>
      <c r="O139" s="39">
        <f>IF($B139="","",IF(COUNTIFS(NOVEDADES!$C$4:$C$2003,$B139)=0,"—","SÍ ("&amp;COUNTIFS(NOVEDADES!$C$4:$C$2003,$B139)&amp;")"))</f>
        <v/>
      </c>
    </row>
    <row r="140">
      <c r="A140" s="41" t="n"/>
      <c r="B140" s="41" t="n"/>
      <c r="C140" s="41" t="n"/>
      <c r="D140" s="41" t="n"/>
      <c r="E140" s="46" t="n"/>
      <c r="F140" s="41" t="n"/>
      <c r="G140" s="41" t="n"/>
      <c r="H140" s="41" t="n"/>
      <c r="I140" s="41" t="n"/>
      <c r="J140" s="47" t="n"/>
      <c r="K140" s="41" t="n"/>
      <c r="L140" s="48" t="n"/>
      <c r="M140" s="45" t="n"/>
      <c r="N140" s="39">
        <f>IF($B140="","",IF(SUMPRODUCT((LISTAS!$O$3:$O$42&lt;&gt;"")*ISNUMBER(SEARCH(LISTAS!$O$3:$O$42,$I140&amp;" "&amp;$K140)))&gt;0,"CERCANA","NACIONAL"))</f>
        <v/>
      </c>
      <c r="O140" s="39">
        <f>IF($B140="","",IF(COUNTIFS(NOVEDADES!$C$4:$C$2003,$B140)=0,"—","SÍ ("&amp;COUNTIFS(NOVEDADES!$C$4:$C$2003,$B140)&amp;")"))</f>
        <v/>
      </c>
    </row>
    <row r="141">
      <c r="A141" s="41" t="n"/>
      <c r="B141" s="41" t="n"/>
      <c r="C141" s="41" t="n"/>
      <c r="D141" s="41" t="n"/>
      <c r="E141" s="46" t="n"/>
      <c r="F141" s="41" t="n"/>
      <c r="G141" s="41" t="n"/>
      <c r="H141" s="41" t="n"/>
      <c r="I141" s="41" t="n"/>
      <c r="J141" s="47" t="n"/>
      <c r="K141" s="41" t="n"/>
      <c r="L141" s="48" t="n"/>
      <c r="M141" s="45" t="n"/>
      <c r="N141" s="39">
        <f>IF($B141="","",IF(SUMPRODUCT((LISTAS!$O$3:$O$42&lt;&gt;"")*ISNUMBER(SEARCH(LISTAS!$O$3:$O$42,$I141&amp;" "&amp;$K141)))&gt;0,"CERCANA","NACIONAL"))</f>
        <v/>
      </c>
      <c r="O141" s="39">
        <f>IF($B141="","",IF(COUNTIFS(NOVEDADES!$C$4:$C$2003,$B141)=0,"—","SÍ ("&amp;COUNTIFS(NOVEDADES!$C$4:$C$2003,$B141)&amp;")"))</f>
        <v/>
      </c>
    </row>
    <row r="142">
      <c r="A142" s="41" t="n"/>
      <c r="B142" s="41" t="n"/>
      <c r="C142" s="41" t="n"/>
      <c r="D142" s="41" t="n"/>
      <c r="E142" s="46" t="n"/>
      <c r="F142" s="41" t="n"/>
      <c r="G142" s="41" t="n"/>
      <c r="H142" s="41" t="n"/>
      <c r="I142" s="41" t="n"/>
      <c r="J142" s="47" t="n"/>
      <c r="K142" s="41" t="n"/>
      <c r="L142" s="48" t="n"/>
      <c r="M142" s="45" t="n"/>
      <c r="N142" s="39">
        <f>IF($B142="","",IF(SUMPRODUCT((LISTAS!$O$3:$O$42&lt;&gt;"")*ISNUMBER(SEARCH(LISTAS!$O$3:$O$42,$I142&amp;" "&amp;$K142)))&gt;0,"CERCANA","NACIONAL"))</f>
        <v/>
      </c>
      <c r="O142" s="39">
        <f>IF($B142="","",IF(COUNTIFS(NOVEDADES!$C$4:$C$2003,$B142)=0,"—","SÍ ("&amp;COUNTIFS(NOVEDADES!$C$4:$C$2003,$B142)&amp;")"))</f>
        <v/>
      </c>
    </row>
    <row r="143">
      <c r="A143" s="41" t="n"/>
      <c r="B143" s="41" t="n"/>
      <c r="C143" s="41" t="n"/>
      <c r="D143" s="41" t="n"/>
      <c r="E143" s="46" t="n"/>
      <c r="F143" s="41" t="n"/>
      <c r="G143" s="41" t="n"/>
      <c r="H143" s="41" t="n"/>
      <c r="I143" s="41" t="n"/>
      <c r="J143" s="47" t="n"/>
      <c r="K143" s="41" t="n"/>
      <c r="L143" s="48" t="n"/>
      <c r="M143" s="45" t="n"/>
      <c r="N143" s="39">
        <f>IF($B143="","",IF(SUMPRODUCT((LISTAS!$O$3:$O$42&lt;&gt;"")*ISNUMBER(SEARCH(LISTAS!$O$3:$O$42,$I143&amp;" "&amp;$K143)))&gt;0,"CERCANA","NACIONAL"))</f>
        <v/>
      </c>
      <c r="O143" s="39">
        <f>IF($B143="","",IF(COUNTIFS(NOVEDADES!$C$4:$C$2003,$B143)=0,"—","SÍ ("&amp;COUNTIFS(NOVEDADES!$C$4:$C$2003,$B143)&amp;")"))</f>
        <v/>
      </c>
    </row>
    <row r="144">
      <c r="A144" s="41" t="n"/>
      <c r="B144" s="41" t="n"/>
      <c r="C144" s="41" t="n"/>
      <c r="D144" s="41" t="n"/>
      <c r="E144" s="46" t="n"/>
      <c r="F144" s="41" t="n"/>
      <c r="G144" s="41" t="n"/>
      <c r="H144" s="41" t="n"/>
      <c r="I144" s="41" t="n"/>
      <c r="J144" s="47" t="n"/>
      <c r="K144" s="41" t="n"/>
      <c r="L144" s="48" t="n"/>
      <c r="M144" s="45" t="n"/>
      <c r="N144" s="39">
        <f>IF($B144="","",IF(SUMPRODUCT((LISTAS!$O$3:$O$42&lt;&gt;"")*ISNUMBER(SEARCH(LISTAS!$O$3:$O$42,$I144&amp;" "&amp;$K144)))&gt;0,"CERCANA","NACIONAL"))</f>
        <v/>
      </c>
      <c r="O144" s="39">
        <f>IF($B144="","",IF(COUNTIFS(NOVEDADES!$C$4:$C$2003,$B144)=0,"—","SÍ ("&amp;COUNTIFS(NOVEDADES!$C$4:$C$2003,$B144)&amp;")"))</f>
        <v/>
      </c>
    </row>
    <row r="145">
      <c r="A145" s="41" t="n"/>
      <c r="B145" s="41" t="n"/>
      <c r="C145" s="41" t="n"/>
      <c r="D145" s="41" t="n"/>
      <c r="E145" s="46" t="n"/>
      <c r="F145" s="41" t="n"/>
      <c r="G145" s="41" t="n"/>
      <c r="H145" s="41" t="n"/>
      <c r="I145" s="41" t="n"/>
      <c r="J145" s="47" t="n"/>
      <c r="K145" s="41" t="n"/>
      <c r="L145" s="48" t="n"/>
      <c r="M145" s="45" t="n"/>
      <c r="N145" s="39">
        <f>IF($B145="","",IF(SUMPRODUCT((LISTAS!$O$3:$O$42&lt;&gt;"")*ISNUMBER(SEARCH(LISTAS!$O$3:$O$42,$I145&amp;" "&amp;$K145)))&gt;0,"CERCANA","NACIONAL"))</f>
        <v/>
      </c>
      <c r="O145" s="39">
        <f>IF($B145="","",IF(COUNTIFS(NOVEDADES!$C$4:$C$2003,$B145)=0,"—","SÍ ("&amp;COUNTIFS(NOVEDADES!$C$4:$C$2003,$B145)&amp;")"))</f>
        <v/>
      </c>
    </row>
    <row r="146">
      <c r="A146" s="41" t="n"/>
      <c r="B146" s="41" t="n"/>
      <c r="C146" s="41" t="n"/>
      <c r="D146" s="41" t="n"/>
      <c r="E146" s="46" t="n"/>
      <c r="F146" s="41" t="n"/>
      <c r="G146" s="41" t="n"/>
      <c r="H146" s="41" t="n"/>
      <c r="I146" s="41" t="n"/>
      <c r="J146" s="47" t="n"/>
      <c r="K146" s="41" t="n"/>
      <c r="L146" s="48" t="n"/>
      <c r="M146" s="45" t="n"/>
      <c r="N146" s="39">
        <f>IF($B146="","",IF(SUMPRODUCT((LISTAS!$O$3:$O$42&lt;&gt;"")*ISNUMBER(SEARCH(LISTAS!$O$3:$O$42,$I146&amp;" "&amp;$K146)))&gt;0,"CERCANA","NACIONAL"))</f>
        <v/>
      </c>
      <c r="O146" s="39">
        <f>IF($B146="","",IF(COUNTIFS(NOVEDADES!$C$4:$C$2003,$B146)=0,"—","SÍ ("&amp;COUNTIFS(NOVEDADES!$C$4:$C$2003,$B146)&amp;")"))</f>
        <v/>
      </c>
    </row>
    <row r="147">
      <c r="A147" s="41" t="n"/>
      <c r="B147" s="41" t="n"/>
      <c r="C147" s="41" t="n"/>
      <c r="D147" s="41" t="n"/>
      <c r="E147" s="46" t="n"/>
      <c r="F147" s="41" t="n"/>
      <c r="G147" s="41" t="n"/>
      <c r="H147" s="41" t="n"/>
      <c r="I147" s="41" t="n"/>
      <c r="J147" s="47" t="n"/>
      <c r="K147" s="41" t="n"/>
      <c r="L147" s="48" t="n"/>
      <c r="M147" s="45" t="n"/>
      <c r="N147" s="39">
        <f>IF($B147="","",IF(SUMPRODUCT((LISTAS!$O$3:$O$42&lt;&gt;"")*ISNUMBER(SEARCH(LISTAS!$O$3:$O$42,$I147&amp;" "&amp;$K147)))&gt;0,"CERCANA","NACIONAL"))</f>
        <v/>
      </c>
      <c r="O147" s="39">
        <f>IF($B147="","",IF(COUNTIFS(NOVEDADES!$C$4:$C$2003,$B147)=0,"—","SÍ ("&amp;COUNTIFS(NOVEDADES!$C$4:$C$2003,$B147)&amp;")"))</f>
        <v/>
      </c>
    </row>
    <row r="148">
      <c r="A148" s="41" t="n"/>
      <c r="B148" s="41" t="n"/>
      <c r="C148" s="41" t="n"/>
      <c r="D148" s="41" t="n"/>
      <c r="E148" s="46" t="n"/>
      <c r="F148" s="41" t="n"/>
      <c r="G148" s="41" t="n"/>
      <c r="H148" s="41" t="n"/>
      <c r="I148" s="41" t="n"/>
      <c r="J148" s="47" t="n"/>
      <c r="K148" s="41" t="n"/>
      <c r="L148" s="48" t="n"/>
      <c r="M148" s="45" t="n"/>
      <c r="N148" s="39">
        <f>IF($B148="","",IF(SUMPRODUCT((LISTAS!$O$3:$O$42&lt;&gt;"")*ISNUMBER(SEARCH(LISTAS!$O$3:$O$42,$I148&amp;" "&amp;$K148)))&gt;0,"CERCANA","NACIONAL"))</f>
        <v/>
      </c>
      <c r="O148" s="39">
        <f>IF($B148="","",IF(COUNTIFS(NOVEDADES!$C$4:$C$2003,$B148)=0,"—","SÍ ("&amp;COUNTIFS(NOVEDADES!$C$4:$C$2003,$B148)&amp;")"))</f>
        <v/>
      </c>
    </row>
    <row r="149">
      <c r="A149" s="41" t="n"/>
      <c r="B149" s="41" t="n"/>
      <c r="C149" s="41" t="n"/>
      <c r="D149" s="41" t="n"/>
      <c r="E149" s="46" t="n"/>
      <c r="F149" s="41" t="n"/>
      <c r="G149" s="41" t="n"/>
      <c r="H149" s="41" t="n"/>
      <c r="I149" s="41" t="n"/>
      <c r="J149" s="47" t="n"/>
      <c r="K149" s="41" t="n"/>
      <c r="L149" s="48" t="n"/>
      <c r="M149" s="45" t="n"/>
      <c r="N149" s="39">
        <f>IF($B149="","",IF(SUMPRODUCT((LISTAS!$O$3:$O$42&lt;&gt;"")*ISNUMBER(SEARCH(LISTAS!$O$3:$O$42,$I149&amp;" "&amp;$K149)))&gt;0,"CERCANA","NACIONAL"))</f>
        <v/>
      </c>
      <c r="O149" s="39">
        <f>IF($B149="","",IF(COUNTIFS(NOVEDADES!$C$4:$C$2003,$B149)=0,"—","SÍ ("&amp;COUNTIFS(NOVEDADES!$C$4:$C$2003,$B149)&amp;")"))</f>
        <v/>
      </c>
    </row>
    <row r="150">
      <c r="A150" s="41" t="n"/>
      <c r="B150" s="41" t="n"/>
      <c r="C150" s="41" t="n"/>
      <c r="D150" s="41" t="n"/>
      <c r="E150" s="46" t="n"/>
      <c r="F150" s="41" t="n"/>
      <c r="G150" s="41" t="n"/>
      <c r="H150" s="41" t="n"/>
      <c r="I150" s="41" t="n"/>
      <c r="J150" s="47" t="n"/>
      <c r="K150" s="41" t="n"/>
      <c r="L150" s="48" t="n"/>
      <c r="M150" s="45" t="n"/>
      <c r="N150" s="39">
        <f>IF($B150="","",IF(SUMPRODUCT((LISTAS!$O$3:$O$42&lt;&gt;"")*ISNUMBER(SEARCH(LISTAS!$O$3:$O$42,$I150&amp;" "&amp;$K150)))&gt;0,"CERCANA","NACIONAL"))</f>
        <v/>
      </c>
      <c r="O150" s="39">
        <f>IF($B150="","",IF(COUNTIFS(NOVEDADES!$C$4:$C$2003,$B150)=0,"—","SÍ ("&amp;COUNTIFS(NOVEDADES!$C$4:$C$2003,$B150)&amp;")"))</f>
        <v/>
      </c>
    </row>
    <row r="151">
      <c r="A151" s="41" t="n"/>
      <c r="B151" s="41" t="n"/>
      <c r="C151" s="41" t="n"/>
      <c r="D151" s="41" t="n"/>
      <c r="E151" s="46" t="n"/>
      <c r="F151" s="41" t="n"/>
      <c r="G151" s="41" t="n"/>
      <c r="H151" s="41" t="n"/>
      <c r="I151" s="41" t="n"/>
      <c r="J151" s="47" t="n"/>
      <c r="K151" s="41" t="n"/>
      <c r="L151" s="48" t="n"/>
      <c r="M151" s="45" t="n"/>
      <c r="N151" s="39">
        <f>IF($B151="","",IF(SUMPRODUCT((LISTAS!$O$3:$O$42&lt;&gt;"")*ISNUMBER(SEARCH(LISTAS!$O$3:$O$42,$I151&amp;" "&amp;$K151)))&gt;0,"CERCANA","NACIONAL"))</f>
        <v/>
      </c>
      <c r="O151" s="39">
        <f>IF($B151="","",IF(COUNTIFS(NOVEDADES!$C$4:$C$2003,$B151)=0,"—","SÍ ("&amp;COUNTIFS(NOVEDADES!$C$4:$C$2003,$B151)&amp;")"))</f>
        <v/>
      </c>
    </row>
    <row r="152">
      <c r="A152" s="41" t="n"/>
      <c r="B152" s="41" t="n"/>
      <c r="C152" s="41" t="n"/>
      <c r="D152" s="41" t="n"/>
      <c r="E152" s="46" t="n"/>
      <c r="F152" s="41" t="n"/>
      <c r="G152" s="41" t="n"/>
      <c r="H152" s="41" t="n"/>
      <c r="I152" s="41" t="n"/>
      <c r="J152" s="47" t="n"/>
      <c r="K152" s="41" t="n"/>
      <c r="L152" s="48" t="n"/>
      <c r="M152" s="45" t="n"/>
      <c r="N152" s="39">
        <f>IF($B152="","",IF(SUMPRODUCT((LISTAS!$O$3:$O$42&lt;&gt;"")*ISNUMBER(SEARCH(LISTAS!$O$3:$O$42,$I152&amp;" "&amp;$K152)))&gt;0,"CERCANA","NACIONAL"))</f>
        <v/>
      </c>
      <c r="O152" s="39">
        <f>IF($B152="","",IF(COUNTIFS(NOVEDADES!$C$4:$C$2003,$B152)=0,"—","SÍ ("&amp;COUNTIFS(NOVEDADES!$C$4:$C$2003,$B152)&amp;")"))</f>
        <v/>
      </c>
    </row>
    <row r="153">
      <c r="A153" s="41" t="n"/>
      <c r="B153" s="41" t="n"/>
      <c r="C153" s="41" t="n"/>
      <c r="D153" s="41" t="n"/>
      <c r="E153" s="46" t="n"/>
      <c r="F153" s="41" t="n"/>
      <c r="G153" s="41" t="n"/>
      <c r="H153" s="41" t="n"/>
      <c r="I153" s="41" t="n"/>
      <c r="J153" s="47" t="n"/>
      <c r="K153" s="41" t="n"/>
      <c r="L153" s="48" t="n"/>
      <c r="M153" s="45" t="n"/>
      <c r="N153" s="39">
        <f>IF($B153="","",IF(SUMPRODUCT((LISTAS!$O$3:$O$42&lt;&gt;"")*ISNUMBER(SEARCH(LISTAS!$O$3:$O$42,$I153&amp;" "&amp;$K153)))&gt;0,"CERCANA","NACIONAL"))</f>
        <v/>
      </c>
      <c r="O153" s="39">
        <f>IF($B153="","",IF(COUNTIFS(NOVEDADES!$C$4:$C$2003,$B153)=0,"—","SÍ ("&amp;COUNTIFS(NOVEDADES!$C$4:$C$2003,$B153)&amp;")"))</f>
        <v/>
      </c>
    </row>
    <row r="154">
      <c r="A154" s="41" t="n"/>
      <c r="B154" s="41" t="n"/>
      <c r="C154" s="41" t="n"/>
      <c r="D154" s="41" t="n"/>
      <c r="E154" s="46" t="n"/>
      <c r="F154" s="41" t="n"/>
      <c r="G154" s="41" t="n"/>
      <c r="H154" s="41" t="n"/>
      <c r="I154" s="41" t="n"/>
      <c r="J154" s="47" t="n"/>
      <c r="K154" s="41" t="n"/>
      <c r="L154" s="48" t="n"/>
      <c r="M154" s="45" t="n"/>
      <c r="N154" s="39">
        <f>IF($B154="","",IF(SUMPRODUCT((LISTAS!$O$3:$O$42&lt;&gt;"")*ISNUMBER(SEARCH(LISTAS!$O$3:$O$42,$I154&amp;" "&amp;$K154)))&gt;0,"CERCANA","NACIONAL"))</f>
        <v/>
      </c>
      <c r="O154" s="39">
        <f>IF($B154="","",IF(COUNTIFS(NOVEDADES!$C$4:$C$2003,$B154)=0,"—","SÍ ("&amp;COUNTIFS(NOVEDADES!$C$4:$C$2003,$B154)&amp;")"))</f>
        <v/>
      </c>
    </row>
    <row r="155">
      <c r="A155" s="41" t="n"/>
      <c r="B155" s="41" t="n"/>
      <c r="C155" s="41" t="n"/>
      <c r="D155" s="41" t="n"/>
      <c r="E155" s="46" t="n"/>
      <c r="F155" s="41" t="n"/>
      <c r="G155" s="41" t="n"/>
      <c r="H155" s="41" t="n"/>
      <c r="I155" s="41" t="n"/>
      <c r="J155" s="47" t="n"/>
      <c r="K155" s="41" t="n"/>
      <c r="L155" s="48" t="n"/>
      <c r="M155" s="45" t="n"/>
      <c r="N155" s="39">
        <f>IF($B155="","",IF(SUMPRODUCT((LISTAS!$O$3:$O$42&lt;&gt;"")*ISNUMBER(SEARCH(LISTAS!$O$3:$O$42,$I155&amp;" "&amp;$K155)))&gt;0,"CERCANA","NACIONAL"))</f>
        <v/>
      </c>
      <c r="O155" s="39">
        <f>IF($B155="","",IF(COUNTIFS(NOVEDADES!$C$4:$C$2003,$B155)=0,"—","SÍ ("&amp;COUNTIFS(NOVEDADES!$C$4:$C$2003,$B155)&amp;")"))</f>
        <v/>
      </c>
    </row>
    <row r="156">
      <c r="A156" s="41" t="n"/>
      <c r="B156" s="41" t="n"/>
      <c r="C156" s="41" t="n"/>
      <c r="D156" s="41" t="n"/>
      <c r="E156" s="46" t="n"/>
      <c r="F156" s="41" t="n"/>
      <c r="G156" s="41" t="n"/>
      <c r="H156" s="41" t="n"/>
      <c r="I156" s="41" t="n"/>
      <c r="J156" s="47" t="n"/>
      <c r="K156" s="41" t="n"/>
      <c r="L156" s="48" t="n"/>
      <c r="M156" s="45" t="n"/>
      <c r="N156" s="39">
        <f>IF($B156="","",IF(SUMPRODUCT((LISTAS!$O$3:$O$42&lt;&gt;"")*ISNUMBER(SEARCH(LISTAS!$O$3:$O$42,$I156&amp;" "&amp;$K156)))&gt;0,"CERCANA","NACIONAL"))</f>
        <v/>
      </c>
      <c r="O156" s="39">
        <f>IF($B156="","",IF(COUNTIFS(NOVEDADES!$C$4:$C$2003,$B156)=0,"—","SÍ ("&amp;COUNTIFS(NOVEDADES!$C$4:$C$2003,$B156)&amp;")"))</f>
        <v/>
      </c>
    </row>
    <row r="157">
      <c r="A157" s="41" t="n"/>
      <c r="B157" s="41" t="n"/>
      <c r="C157" s="41" t="n"/>
      <c r="D157" s="41" t="n"/>
      <c r="E157" s="46" t="n"/>
      <c r="F157" s="41" t="n"/>
      <c r="G157" s="41" t="n"/>
      <c r="H157" s="41" t="n"/>
      <c r="I157" s="41" t="n"/>
      <c r="J157" s="47" t="n"/>
      <c r="K157" s="41" t="n"/>
      <c r="L157" s="48" t="n"/>
      <c r="M157" s="45" t="n"/>
      <c r="N157" s="39">
        <f>IF($B157="","",IF(SUMPRODUCT((LISTAS!$O$3:$O$42&lt;&gt;"")*ISNUMBER(SEARCH(LISTAS!$O$3:$O$42,$I157&amp;" "&amp;$K157)))&gt;0,"CERCANA","NACIONAL"))</f>
        <v/>
      </c>
      <c r="O157" s="39">
        <f>IF($B157="","",IF(COUNTIFS(NOVEDADES!$C$4:$C$2003,$B157)=0,"—","SÍ ("&amp;COUNTIFS(NOVEDADES!$C$4:$C$2003,$B157)&amp;")"))</f>
        <v/>
      </c>
    </row>
    <row r="158">
      <c r="A158" s="41" t="n"/>
      <c r="B158" s="41" t="n"/>
      <c r="C158" s="41" t="n"/>
      <c r="D158" s="41" t="n"/>
      <c r="E158" s="46" t="n"/>
      <c r="F158" s="41" t="n"/>
      <c r="G158" s="41" t="n"/>
      <c r="H158" s="41" t="n"/>
      <c r="I158" s="41" t="n"/>
      <c r="J158" s="47" t="n"/>
      <c r="K158" s="41" t="n"/>
      <c r="L158" s="48" t="n"/>
      <c r="M158" s="45" t="n"/>
      <c r="N158" s="39">
        <f>IF($B158="","",IF(SUMPRODUCT((LISTAS!$O$3:$O$42&lt;&gt;"")*ISNUMBER(SEARCH(LISTAS!$O$3:$O$42,$I158&amp;" "&amp;$K158)))&gt;0,"CERCANA","NACIONAL"))</f>
        <v/>
      </c>
      <c r="O158" s="39">
        <f>IF($B158="","",IF(COUNTIFS(NOVEDADES!$C$4:$C$2003,$B158)=0,"—","SÍ ("&amp;COUNTIFS(NOVEDADES!$C$4:$C$2003,$B158)&amp;")"))</f>
        <v/>
      </c>
    </row>
    <row r="159">
      <c r="A159" s="41" t="n"/>
      <c r="B159" s="41" t="n"/>
      <c r="C159" s="41" t="n"/>
      <c r="D159" s="41" t="n"/>
      <c r="E159" s="46" t="n"/>
      <c r="F159" s="41" t="n"/>
      <c r="G159" s="41" t="n"/>
      <c r="H159" s="41" t="n"/>
      <c r="I159" s="41" t="n"/>
      <c r="J159" s="47" t="n"/>
      <c r="K159" s="41" t="n"/>
      <c r="L159" s="48" t="n"/>
      <c r="M159" s="45" t="n"/>
      <c r="N159" s="39">
        <f>IF($B159="","",IF(SUMPRODUCT((LISTAS!$O$3:$O$42&lt;&gt;"")*ISNUMBER(SEARCH(LISTAS!$O$3:$O$42,$I159&amp;" "&amp;$K159)))&gt;0,"CERCANA","NACIONAL"))</f>
        <v/>
      </c>
      <c r="O159" s="39">
        <f>IF($B159="","",IF(COUNTIFS(NOVEDADES!$C$4:$C$2003,$B159)=0,"—","SÍ ("&amp;COUNTIFS(NOVEDADES!$C$4:$C$2003,$B159)&amp;")"))</f>
        <v/>
      </c>
    </row>
    <row r="160">
      <c r="A160" s="41" t="n"/>
      <c r="B160" s="41" t="n"/>
      <c r="C160" s="41" t="n"/>
      <c r="D160" s="41" t="n"/>
      <c r="E160" s="46" t="n"/>
      <c r="F160" s="41" t="n"/>
      <c r="G160" s="41" t="n"/>
      <c r="H160" s="41" t="n"/>
      <c r="I160" s="41" t="n"/>
      <c r="J160" s="47" t="n"/>
      <c r="K160" s="41" t="n"/>
      <c r="L160" s="48" t="n"/>
      <c r="M160" s="45" t="n"/>
      <c r="N160" s="39">
        <f>IF($B160="","",IF(SUMPRODUCT((LISTAS!$O$3:$O$42&lt;&gt;"")*ISNUMBER(SEARCH(LISTAS!$O$3:$O$42,$I160&amp;" "&amp;$K160)))&gt;0,"CERCANA","NACIONAL"))</f>
        <v/>
      </c>
      <c r="O160" s="39">
        <f>IF($B160="","",IF(COUNTIFS(NOVEDADES!$C$4:$C$2003,$B160)=0,"—","SÍ ("&amp;COUNTIFS(NOVEDADES!$C$4:$C$2003,$B160)&amp;")"))</f>
        <v/>
      </c>
    </row>
    <row r="161">
      <c r="A161" s="41" t="n"/>
      <c r="B161" s="41" t="n"/>
      <c r="C161" s="41" t="n"/>
      <c r="D161" s="41" t="n"/>
      <c r="E161" s="46" t="n"/>
      <c r="F161" s="41" t="n"/>
      <c r="G161" s="41" t="n"/>
      <c r="H161" s="41" t="n"/>
      <c r="I161" s="41" t="n"/>
      <c r="J161" s="47" t="n"/>
      <c r="K161" s="41" t="n"/>
      <c r="L161" s="48" t="n"/>
      <c r="M161" s="45" t="n"/>
      <c r="N161" s="39">
        <f>IF($B161="","",IF(SUMPRODUCT((LISTAS!$O$3:$O$42&lt;&gt;"")*ISNUMBER(SEARCH(LISTAS!$O$3:$O$42,$I161&amp;" "&amp;$K161)))&gt;0,"CERCANA","NACIONAL"))</f>
        <v/>
      </c>
      <c r="O161" s="39">
        <f>IF($B161="","",IF(COUNTIFS(NOVEDADES!$C$4:$C$2003,$B161)=0,"—","SÍ ("&amp;COUNTIFS(NOVEDADES!$C$4:$C$2003,$B161)&amp;")"))</f>
        <v/>
      </c>
    </row>
    <row r="162">
      <c r="A162" s="41" t="n"/>
      <c r="B162" s="41" t="n"/>
      <c r="C162" s="41" t="n"/>
      <c r="D162" s="41" t="n"/>
      <c r="E162" s="46" t="n"/>
      <c r="F162" s="41" t="n"/>
      <c r="G162" s="41" t="n"/>
      <c r="H162" s="41" t="n"/>
      <c r="I162" s="41" t="n"/>
      <c r="J162" s="47" t="n"/>
      <c r="K162" s="41" t="n"/>
      <c r="L162" s="48" t="n"/>
      <c r="M162" s="45" t="n"/>
      <c r="N162" s="39">
        <f>IF($B162="","",IF(SUMPRODUCT((LISTAS!$O$3:$O$42&lt;&gt;"")*ISNUMBER(SEARCH(LISTAS!$O$3:$O$42,$I162&amp;" "&amp;$K162)))&gt;0,"CERCANA","NACIONAL"))</f>
        <v/>
      </c>
      <c r="O162" s="39">
        <f>IF($B162="","",IF(COUNTIFS(NOVEDADES!$C$4:$C$2003,$B162)=0,"—","SÍ ("&amp;COUNTIFS(NOVEDADES!$C$4:$C$2003,$B162)&amp;")"))</f>
        <v/>
      </c>
    </row>
    <row r="163">
      <c r="A163" s="41" t="n"/>
      <c r="B163" s="41" t="n"/>
      <c r="C163" s="41" t="n"/>
      <c r="D163" s="41" t="n"/>
      <c r="E163" s="46" t="n"/>
      <c r="F163" s="41" t="n"/>
      <c r="G163" s="41" t="n"/>
      <c r="H163" s="41" t="n"/>
      <c r="I163" s="41" t="n"/>
      <c r="J163" s="47" t="n"/>
      <c r="K163" s="41" t="n"/>
      <c r="L163" s="48" t="n"/>
      <c r="M163" s="45" t="n"/>
      <c r="N163" s="39">
        <f>IF($B163="","",IF(SUMPRODUCT((LISTAS!$O$3:$O$42&lt;&gt;"")*ISNUMBER(SEARCH(LISTAS!$O$3:$O$42,$I163&amp;" "&amp;$K163)))&gt;0,"CERCANA","NACIONAL"))</f>
        <v/>
      </c>
      <c r="O163" s="39">
        <f>IF($B163="","",IF(COUNTIFS(NOVEDADES!$C$4:$C$2003,$B163)=0,"—","SÍ ("&amp;COUNTIFS(NOVEDADES!$C$4:$C$2003,$B163)&amp;")"))</f>
        <v/>
      </c>
    </row>
    <row r="164">
      <c r="A164" s="41" t="n"/>
      <c r="B164" s="41" t="n"/>
      <c r="C164" s="41" t="n"/>
      <c r="D164" s="41" t="n"/>
      <c r="E164" s="46" t="n"/>
      <c r="F164" s="41" t="n"/>
      <c r="G164" s="41" t="n"/>
      <c r="H164" s="41" t="n"/>
      <c r="I164" s="41" t="n"/>
      <c r="J164" s="47" t="n"/>
      <c r="K164" s="41" t="n"/>
      <c r="L164" s="48" t="n"/>
      <c r="M164" s="45" t="n"/>
      <c r="N164" s="39">
        <f>IF($B164="","",IF(SUMPRODUCT((LISTAS!$O$3:$O$42&lt;&gt;"")*ISNUMBER(SEARCH(LISTAS!$O$3:$O$42,$I164&amp;" "&amp;$K164)))&gt;0,"CERCANA","NACIONAL"))</f>
        <v/>
      </c>
      <c r="O164" s="39">
        <f>IF($B164="","",IF(COUNTIFS(NOVEDADES!$C$4:$C$2003,$B164)=0,"—","SÍ ("&amp;COUNTIFS(NOVEDADES!$C$4:$C$2003,$B164)&amp;")"))</f>
        <v/>
      </c>
    </row>
    <row r="165">
      <c r="A165" s="41" t="n"/>
      <c r="B165" s="41" t="n"/>
      <c r="C165" s="41" t="n"/>
      <c r="D165" s="41" t="n"/>
      <c r="E165" s="46" t="n"/>
      <c r="F165" s="41" t="n"/>
      <c r="G165" s="41" t="n"/>
      <c r="H165" s="41" t="n"/>
      <c r="I165" s="41" t="n"/>
      <c r="J165" s="47" t="n"/>
      <c r="K165" s="41" t="n"/>
      <c r="L165" s="48" t="n"/>
      <c r="M165" s="45" t="n"/>
      <c r="N165" s="39">
        <f>IF($B165="","",IF(SUMPRODUCT((LISTAS!$O$3:$O$42&lt;&gt;"")*ISNUMBER(SEARCH(LISTAS!$O$3:$O$42,$I165&amp;" "&amp;$K165)))&gt;0,"CERCANA","NACIONAL"))</f>
        <v/>
      </c>
      <c r="O165" s="39">
        <f>IF($B165="","",IF(COUNTIFS(NOVEDADES!$C$4:$C$2003,$B165)=0,"—","SÍ ("&amp;COUNTIFS(NOVEDADES!$C$4:$C$2003,$B165)&amp;")"))</f>
        <v/>
      </c>
    </row>
    <row r="166">
      <c r="A166" s="41" t="n"/>
      <c r="B166" s="41" t="n"/>
      <c r="C166" s="41" t="n"/>
      <c r="D166" s="41" t="n"/>
      <c r="E166" s="46" t="n"/>
      <c r="F166" s="41" t="n"/>
      <c r="G166" s="41" t="n"/>
      <c r="H166" s="41" t="n"/>
      <c r="I166" s="41" t="n"/>
      <c r="J166" s="47" t="n"/>
      <c r="K166" s="41" t="n"/>
      <c r="L166" s="48" t="n"/>
      <c r="M166" s="45" t="n"/>
      <c r="N166" s="39">
        <f>IF($B166="","",IF(SUMPRODUCT((LISTAS!$O$3:$O$42&lt;&gt;"")*ISNUMBER(SEARCH(LISTAS!$O$3:$O$42,$I166&amp;" "&amp;$K166)))&gt;0,"CERCANA","NACIONAL"))</f>
        <v/>
      </c>
      <c r="O166" s="39">
        <f>IF($B166="","",IF(COUNTIFS(NOVEDADES!$C$4:$C$2003,$B166)=0,"—","SÍ ("&amp;COUNTIFS(NOVEDADES!$C$4:$C$2003,$B166)&amp;")"))</f>
        <v/>
      </c>
    </row>
    <row r="167">
      <c r="A167" s="41" t="n"/>
      <c r="B167" s="41" t="n"/>
      <c r="C167" s="41" t="n"/>
      <c r="D167" s="41" t="n"/>
      <c r="E167" s="46" t="n"/>
      <c r="F167" s="41" t="n"/>
      <c r="G167" s="41" t="n"/>
      <c r="H167" s="41" t="n"/>
      <c r="I167" s="41" t="n"/>
      <c r="J167" s="47" t="n"/>
      <c r="K167" s="41" t="n"/>
      <c r="L167" s="48" t="n"/>
      <c r="M167" s="45" t="n"/>
      <c r="N167" s="39">
        <f>IF($B167="","",IF(SUMPRODUCT((LISTAS!$O$3:$O$42&lt;&gt;"")*ISNUMBER(SEARCH(LISTAS!$O$3:$O$42,$I167&amp;" "&amp;$K167)))&gt;0,"CERCANA","NACIONAL"))</f>
        <v/>
      </c>
      <c r="O167" s="39">
        <f>IF($B167="","",IF(COUNTIFS(NOVEDADES!$C$4:$C$2003,$B167)=0,"—","SÍ ("&amp;COUNTIFS(NOVEDADES!$C$4:$C$2003,$B167)&amp;")"))</f>
        <v/>
      </c>
    </row>
    <row r="168">
      <c r="A168" s="41" t="n"/>
      <c r="B168" s="41" t="n"/>
      <c r="C168" s="41" t="n"/>
      <c r="D168" s="41" t="n"/>
      <c r="E168" s="46" t="n"/>
      <c r="F168" s="41" t="n"/>
      <c r="G168" s="41" t="n"/>
      <c r="H168" s="41" t="n"/>
      <c r="I168" s="41" t="n"/>
      <c r="J168" s="47" t="n"/>
      <c r="K168" s="41" t="n"/>
      <c r="L168" s="48" t="n"/>
      <c r="M168" s="45" t="n"/>
      <c r="N168" s="39">
        <f>IF($B168="","",IF(SUMPRODUCT((LISTAS!$O$3:$O$42&lt;&gt;"")*ISNUMBER(SEARCH(LISTAS!$O$3:$O$42,$I168&amp;" "&amp;$K168)))&gt;0,"CERCANA","NACIONAL"))</f>
        <v/>
      </c>
      <c r="O168" s="39">
        <f>IF($B168="","",IF(COUNTIFS(NOVEDADES!$C$4:$C$2003,$B168)=0,"—","SÍ ("&amp;COUNTIFS(NOVEDADES!$C$4:$C$2003,$B168)&amp;")"))</f>
        <v/>
      </c>
    </row>
    <row r="169">
      <c r="A169" s="41" t="n"/>
      <c r="B169" s="41" t="n"/>
      <c r="C169" s="41" t="n"/>
      <c r="D169" s="41" t="n"/>
      <c r="E169" s="46" t="n"/>
      <c r="F169" s="41" t="n"/>
      <c r="G169" s="41" t="n"/>
      <c r="H169" s="41" t="n"/>
      <c r="I169" s="41" t="n"/>
      <c r="J169" s="47" t="n"/>
      <c r="K169" s="41" t="n"/>
      <c r="L169" s="48" t="n"/>
      <c r="M169" s="45" t="n"/>
      <c r="N169" s="39">
        <f>IF($B169="","",IF(SUMPRODUCT((LISTAS!$O$3:$O$42&lt;&gt;"")*ISNUMBER(SEARCH(LISTAS!$O$3:$O$42,$I169&amp;" "&amp;$K169)))&gt;0,"CERCANA","NACIONAL"))</f>
        <v/>
      </c>
      <c r="O169" s="39">
        <f>IF($B169="","",IF(COUNTIFS(NOVEDADES!$C$4:$C$2003,$B169)=0,"—","SÍ ("&amp;COUNTIFS(NOVEDADES!$C$4:$C$2003,$B169)&amp;")"))</f>
        <v/>
      </c>
    </row>
    <row r="170">
      <c r="A170" s="41" t="n"/>
      <c r="B170" s="41" t="n"/>
      <c r="C170" s="41" t="n"/>
      <c r="D170" s="41" t="n"/>
      <c r="E170" s="46" t="n"/>
      <c r="F170" s="41" t="n"/>
      <c r="G170" s="41" t="n"/>
      <c r="H170" s="41" t="n"/>
      <c r="I170" s="41" t="n"/>
      <c r="J170" s="47" t="n"/>
      <c r="K170" s="41" t="n"/>
      <c r="L170" s="48" t="n"/>
      <c r="M170" s="45" t="n"/>
      <c r="N170" s="39">
        <f>IF($B170="","",IF(SUMPRODUCT((LISTAS!$O$3:$O$42&lt;&gt;"")*ISNUMBER(SEARCH(LISTAS!$O$3:$O$42,$I170&amp;" "&amp;$K170)))&gt;0,"CERCANA","NACIONAL"))</f>
        <v/>
      </c>
      <c r="O170" s="39">
        <f>IF($B170="","",IF(COUNTIFS(NOVEDADES!$C$4:$C$2003,$B170)=0,"—","SÍ ("&amp;COUNTIFS(NOVEDADES!$C$4:$C$2003,$B170)&amp;")"))</f>
        <v/>
      </c>
    </row>
    <row r="171">
      <c r="A171" s="41" t="n"/>
      <c r="B171" s="41" t="n"/>
      <c r="C171" s="41" t="n"/>
      <c r="D171" s="41" t="n"/>
      <c r="E171" s="46" t="n"/>
      <c r="F171" s="41" t="n"/>
      <c r="G171" s="41" t="n"/>
      <c r="H171" s="41" t="n"/>
      <c r="I171" s="41" t="n"/>
      <c r="J171" s="47" t="n"/>
      <c r="K171" s="41" t="n"/>
      <c r="L171" s="48" t="n"/>
      <c r="M171" s="45" t="n"/>
      <c r="N171" s="39">
        <f>IF($B171="","",IF(SUMPRODUCT((LISTAS!$O$3:$O$42&lt;&gt;"")*ISNUMBER(SEARCH(LISTAS!$O$3:$O$42,$I171&amp;" "&amp;$K171)))&gt;0,"CERCANA","NACIONAL"))</f>
        <v/>
      </c>
      <c r="O171" s="39">
        <f>IF($B171="","",IF(COUNTIFS(NOVEDADES!$C$4:$C$2003,$B171)=0,"—","SÍ ("&amp;COUNTIFS(NOVEDADES!$C$4:$C$2003,$B171)&amp;")"))</f>
        <v/>
      </c>
    </row>
    <row r="172">
      <c r="A172" s="41" t="n"/>
      <c r="B172" s="41" t="n"/>
      <c r="C172" s="41" t="n"/>
      <c r="D172" s="41" t="n"/>
      <c r="E172" s="46" t="n"/>
      <c r="F172" s="41" t="n"/>
      <c r="G172" s="41" t="n"/>
      <c r="H172" s="41" t="n"/>
      <c r="I172" s="41" t="n"/>
      <c r="J172" s="47" t="n"/>
      <c r="K172" s="41" t="n"/>
      <c r="L172" s="48" t="n"/>
      <c r="M172" s="45" t="n"/>
      <c r="N172" s="39">
        <f>IF($B172="","",IF(SUMPRODUCT((LISTAS!$O$3:$O$42&lt;&gt;"")*ISNUMBER(SEARCH(LISTAS!$O$3:$O$42,$I172&amp;" "&amp;$K172)))&gt;0,"CERCANA","NACIONAL"))</f>
        <v/>
      </c>
      <c r="O172" s="39">
        <f>IF($B172="","",IF(COUNTIFS(NOVEDADES!$C$4:$C$2003,$B172)=0,"—","SÍ ("&amp;COUNTIFS(NOVEDADES!$C$4:$C$2003,$B172)&amp;")"))</f>
        <v/>
      </c>
    </row>
    <row r="173">
      <c r="A173" s="41" t="n"/>
      <c r="B173" s="41" t="n"/>
      <c r="C173" s="41" t="n"/>
      <c r="D173" s="41" t="n"/>
      <c r="E173" s="46" t="n"/>
      <c r="F173" s="41" t="n"/>
      <c r="G173" s="41" t="n"/>
      <c r="H173" s="41" t="n"/>
      <c r="I173" s="41" t="n"/>
      <c r="J173" s="47" t="n"/>
      <c r="K173" s="41" t="n"/>
      <c r="L173" s="48" t="n"/>
      <c r="M173" s="45" t="n"/>
      <c r="N173" s="39">
        <f>IF($B173="","",IF(SUMPRODUCT((LISTAS!$O$3:$O$42&lt;&gt;"")*ISNUMBER(SEARCH(LISTAS!$O$3:$O$42,$I173&amp;" "&amp;$K173)))&gt;0,"CERCANA","NACIONAL"))</f>
        <v/>
      </c>
      <c r="O173" s="39">
        <f>IF($B173="","",IF(COUNTIFS(NOVEDADES!$C$4:$C$2003,$B173)=0,"—","SÍ ("&amp;COUNTIFS(NOVEDADES!$C$4:$C$2003,$B173)&amp;")"))</f>
        <v/>
      </c>
    </row>
    <row r="174">
      <c r="A174" s="41" t="n"/>
      <c r="B174" s="41" t="n"/>
      <c r="C174" s="41" t="n"/>
      <c r="D174" s="41" t="n"/>
      <c r="E174" s="46" t="n"/>
      <c r="F174" s="41" t="n"/>
      <c r="G174" s="41" t="n"/>
      <c r="H174" s="41" t="n"/>
      <c r="I174" s="41" t="n"/>
      <c r="J174" s="47" t="n"/>
      <c r="K174" s="41" t="n"/>
      <c r="L174" s="48" t="n"/>
      <c r="M174" s="45" t="n"/>
      <c r="N174" s="39">
        <f>IF($B174="","",IF(SUMPRODUCT((LISTAS!$O$3:$O$42&lt;&gt;"")*ISNUMBER(SEARCH(LISTAS!$O$3:$O$42,$I174&amp;" "&amp;$K174)))&gt;0,"CERCANA","NACIONAL"))</f>
        <v/>
      </c>
      <c r="O174" s="39">
        <f>IF($B174="","",IF(COUNTIFS(NOVEDADES!$C$4:$C$2003,$B174)=0,"—","SÍ ("&amp;COUNTIFS(NOVEDADES!$C$4:$C$2003,$B174)&amp;")"))</f>
        <v/>
      </c>
    </row>
    <row r="175">
      <c r="A175" s="41" t="n"/>
      <c r="B175" s="41" t="n"/>
      <c r="C175" s="41" t="n"/>
      <c r="D175" s="41" t="n"/>
      <c r="E175" s="46" t="n"/>
      <c r="F175" s="41" t="n"/>
      <c r="G175" s="41" t="n"/>
      <c r="H175" s="41" t="n"/>
      <c r="I175" s="41" t="n"/>
      <c r="J175" s="47" t="n"/>
      <c r="K175" s="41" t="n"/>
      <c r="L175" s="48" t="n"/>
      <c r="M175" s="45" t="n"/>
      <c r="N175" s="39">
        <f>IF($B175="","",IF(SUMPRODUCT((LISTAS!$O$3:$O$42&lt;&gt;"")*ISNUMBER(SEARCH(LISTAS!$O$3:$O$42,$I175&amp;" "&amp;$K175)))&gt;0,"CERCANA","NACIONAL"))</f>
        <v/>
      </c>
      <c r="O175" s="39">
        <f>IF($B175="","",IF(COUNTIFS(NOVEDADES!$C$4:$C$2003,$B175)=0,"—","SÍ ("&amp;COUNTIFS(NOVEDADES!$C$4:$C$2003,$B175)&amp;")"))</f>
        <v/>
      </c>
    </row>
    <row r="176">
      <c r="A176" s="41" t="n"/>
      <c r="B176" s="41" t="n"/>
      <c r="C176" s="41" t="n"/>
      <c r="D176" s="41" t="n"/>
      <c r="E176" s="46" t="n"/>
      <c r="F176" s="41" t="n"/>
      <c r="G176" s="41" t="n"/>
      <c r="H176" s="41" t="n"/>
      <c r="I176" s="41" t="n"/>
      <c r="J176" s="47" t="n"/>
      <c r="K176" s="41" t="n"/>
      <c r="L176" s="48" t="n"/>
      <c r="M176" s="45" t="n"/>
      <c r="N176" s="39">
        <f>IF($B176="","",IF(SUMPRODUCT((LISTAS!$O$3:$O$42&lt;&gt;"")*ISNUMBER(SEARCH(LISTAS!$O$3:$O$42,$I176&amp;" "&amp;$K176)))&gt;0,"CERCANA","NACIONAL"))</f>
        <v/>
      </c>
      <c r="O176" s="39">
        <f>IF($B176="","",IF(COUNTIFS(NOVEDADES!$C$4:$C$2003,$B176)=0,"—","SÍ ("&amp;COUNTIFS(NOVEDADES!$C$4:$C$2003,$B176)&amp;")"))</f>
        <v/>
      </c>
    </row>
    <row r="177">
      <c r="A177" s="41" t="n"/>
      <c r="B177" s="41" t="n"/>
      <c r="C177" s="41" t="n"/>
      <c r="D177" s="41" t="n"/>
      <c r="E177" s="46" t="n"/>
      <c r="F177" s="41" t="n"/>
      <c r="G177" s="41" t="n"/>
      <c r="H177" s="41" t="n"/>
      <c r="I177" s="41" t="n"/>
      <c r="J177" s="47" t="n"/>
      <c r="K177" s="41" t="n"/>
      <c r="L177" s="48" t="n"/>
      <c r="M177" s="45" t="n"/>
      <c r="N177" s="39">
        <f>IF($B177="","",IF(SUMPRODUCT((LISTAS!$O$3:$O$42&lt;&gt;"")*ISNUMBER(SEARCH(LISTAS!$O$3:$O$42,$I177&amp;" "&amp;$K177)))&gt;0,"CERCANA","NACIONAL"))</f>
        <v/>
      </c>
      <c r="O177" s="39">
        <f>IF($B177="","",IF(COUNTIFS(NOVEDADES!$C$4:$C$2003,$B177)=0,"—","SÍ ("&amp;COUNTIFS(NOVEDADES!$C$4:$C$2003,$B177)&amp;")"))</f>
        <v/>
      </c>
    </row>
    <row r="178">
      <c r="A178" s="41" t="n"/>
      <c r="B178" s="41" t="n"/>
      <c r="C178" s="41" t="n"/>
      <c r="D178" s="41" t="n"/>
      <c r="E178" s="46" t="n"/>
      <c r="F178" s="41" t="n"/>
      <c r="G178" s="41" t="n"/>
      <c r="H178" s="41" t="n"/>
      <c r="I178" s="41" t="n"/>
      <c r="J178" s="47" t="n"/>
      <c r="K178" s="41" t="n"/>
      <c r="L178" s="48" t="n"/>
      <c r="M178" s="45" t="n"/>
      <c r="N178" s="39">
        <f>IF($B178="","",IF(SUMPRODUCT((LISTAS!$O$3:$O$42&lt;&gt;"")*ISNUMBER(SEARCH(LISTAS!$O$3:$O$42,$I178&amp;" "&amp;$K178)))&gt;0,"CERCANA","NACIONAL"))</f>
        <v/>
      </c>
      <c r="O178" s="39">
        <f>IF($B178="","",IF(COUNTIFS(NOVEDADES!$C$4:$C$2003,$B178)=0,"—","SÍ ("&amp;COUNTIFS(NOVEDADES!$C$4:$C$2003,$B178)&amp;")"))</f>
        <v/>
      </c>
    </row>
    <row r="179">
      <c r="A179" s="41" t="n"/>
      <c r="B179" s="41" t="n"/>
      <c r="C179" s="41" t="n"/>
      <c r="D179" s="41" t="n"/>
      <c r="E179" s="46" t="n"/>
      <c r="F179" s="41" t="n"/>
      <c r="G179" s="41" t="n"/>
      <c r="H179" s="41" t="n"/>
      <c r="I179" s="41" t="n"/>
      <c r="J179" s="47" t="n"/>
      <c r="K179" s="41" t="n"/>
      <c r="L179" s="48" t="n"/>
      <c r="M179" s="45" t="n"/>
      <c r="N179" s="39">
        <f>IF($B179="","",IF(SUMPRODUCT((LISTAS!$O$3:$O$42&lt;&gt;"")*ISNUMBER(SEARCH(LISTAS!$O$3:$O$42,$I179&amp;" "&amp;$K179)))&gt;0,"CERCANA","NACIONAL"))</f>
        <v/>
      </c>
      <c r="O179" s="39">
        <f>IF($B179="","",IF(COUNTIFS(NOVEDADES!$C$4:$C$2003,$B179)=0,"—","SÍ ("&amp;COUNTIFS(NOVEDADES!$C$4:$C$2003,$B179)&amp;")"))</f>
        <v/>
      </c>
    </row>
    <row r="180">
      <c r="A180" s="41" t="n"/>
      <c r="B180" s="41" t="n"/>
      <c r="C180" s="41" t="n"/>
      <c r="D180" s="41" t="n"/>
      <c r="E180" s="46" t="n"/>
      <c r="F180" s="41" t="n"/>
      <c r="G180" s="41" t="n"/>
      <c r="H180" s="41" t="n"/>
      <c r="I180" s="41" t="n"/>
      <c r="J180" s="47" t="n"/>
      <c r="K180" s="41" t="n"/>
      <c r="L180" s="48" t="n"/>
      <c r="M180" s="45" t="n"/>
      <c r="N180" s="39">
        <f>IF($B180="","",IF(SUMPRODUCT((LISTAS!$O$3:$O$42&lt;&gt;"")*ISNUMBER(SEARCH(LISTAS!$O$3:$O$42,$I180&amp;" "&amp;$K180)))&gt;0,"CERCANA","NACIONAL"))</f>
        <v/>
      </c>
      <c r="O180" s="39">
        <f>IF($B180="","",IF(COUNTIFS(NOVEDADES!$C$4:$C$2003,$B180)=0,"—","SÍ ("&amp;COUNTIFS(NOVEDADES!$C$4:$C$2003,$B180)&amp;")"))</f>
        <v/>
      </c>
    </row>
    <row r="181">
      <c r="A181" s="41" t="n"/>
      <c r="B181" s="41" t="n"/>
      <c r="C181" s="41" t="n"/>
      <c r="D181" s="41" t="n"/>
      <c r="E181" s="46" t="n"/>
      <c r="F181" s="41" t="n"/>
      <c r="G181" s="41" t="n"/>
      <c r="H181" s="41" t="n"/>
      <c r="I181" s="41" t="n"/>
      <c r="J181" s="47" t="n"/>
      <c r="K181" s="41" t="n"/>
      <c r="L181" s="48" t="n"/>
      <c r="M181" s="45" t="n"/>
      <c r="N181" s="39">
        <f>IF($B181="","",IF(SUMPRODUCT((LISTAS!$O$3:$O$42&lt;&gt;"")*ISNUMBER(SEARCH(LISTAS!$O$3:$O$42,$I181&amp;" "&amp;$K181)))&gt;0,"CERCANA","NACIONAL"))</f>
        <v/>
      </c>
      <c r="O181" s="39">
        <f>IF($B181="","",IF(COUNTIFS(NOVEDADES!$C$4:$C$2003,$B181)=0,"—","SÍ ("&amp;COUNTIFS(NOVEDADES!$C$4:$C$2003,$B181)&amp;")"))</f>
        <v/>
      </c>
    </row>
    <row r="182">
      <c r="A182" s="41" t="n"/>
      <c r="B182" s="41" t="n"/>
      <c r="C182" s="41" t="n"/>
      <c r="D182" s="41" t="n"/>
      <c r="E182" s="46" t="n"/>
      <c r="F182" s="41" t="n"/>
      <c r="G182" s="41" t="n"/>
      <c r="H182" s="41" t="n"/>
      <c r="I182" s="41" t="n"/>
      <c r="J182" s="47" t="n"/>
      <c r="K182" s="41" t="n"/>
      <c r="L182" s="48" t="n"/>
      <c r="M182" s="45" t="n"/>
      <c r="N182" s="39">
        <f>IF($B182="","",IF(SUMPRODUCT((LISTAS!$O$3:$O$42&lt;&gt;"")*ISNUMBER(SEARCH(LISTAS!$O$3:$O$42,$I182&amp;" "&amp;$K182)))&gt;0,"CERCANA","NACIONAL"))</f>
        <v/>
      </c>
      <c r="O182" s="39">
        <f>IF($B182="","",IF(COUNTIFS(NOVEDADES!$C$4:$C$2003,$B182)=0,"—","SÍ ("&amp;COUNTIFS(NOVEDADES!$C$4:$C$2003,$B182)&amp;")"))</f>
        <v/>
      </c>
    </row>
    <row r="183">
      <c r="A183" s="41" t="n"/>
      <c r="B183" s="41" t="n"/>
      <c r="C183" s="41" t="n"/>
      <c r="D183" s="41" t="n"/>
      <c r="E183" s="46" t="n"/>
      <c r="F183" s="41" t="n"/>
      <c r="G183" s="41" t="n"/>
      <c r="H183" s="41" t="n"/>
      <c r="I183" s="41" t="n"/>
      <c r="J183" s="47" t="n"/>
      <c r="K183" s="41" t="n"/>
      <c r="L183" s="48" t="n"/>
      <c r="M183" s="45" t="n"/>
      <c r="N183" s="39">
        <f>IF($B183="","",IF(SUMPRODUCT((LISTAS!$O$3:$O$42&lt;&gt;"")*ISNUMBER(SEARCH(LISTAS!$O$3:$O$42,$I183&amp;" "&amp;$K183)))&gt;0,"CERCANA","NACIONAL"))</f>
        <v/>
      </c>
      <c r="O183" s="39">
        <f>IF($B183="","",IF(COUNTIFS(NOVEDADES!$C$4:$C$2003,$B183)=0,"—","SÍ ("&amp;COUNTIFS(NOVEDADES!$C$4:$C$2003,$B183)&amp;")"))</f>
        <v/>
      </c>
    </row>
    <row r="184">
      <c r="A184" s="41" t="n"/>
      <c r="B184" s="41" t="n"/>
      <c r="C184" s="41" t="n"/>
      <c r="D184" s="41" t="n"/>
      <c r="E184" s="46" t="n"/>
      <c r="F184" s="41" t="n"/>
      <c r="G184" s="41" t="n"/>
      <c r="H184" s="41" t="n"/>
      <c r="I184" s="41" t="n"/>
      <c r="J184" s="47" t="n"/>
      <c r="K184" s="41" t="n"/>
      <c r="L184" s="48" t="n"/>
      <c r="M184" s="45" t="n"/>
      <c r="N184" s="39">
        <f>IF($B184="","",IF(SUMPRODUCT((LISTAS!$O$3:$O$42&lt;&gt;"")*ISNUMBER(SEARCH(LISTAS!$O$3:$O$42,$I184&amp;" "&amp;$K184)))&gt;0,"CERCANA","NACIONAL"))</f>
        <v/>
      </c>
      <c r="O184" s="39">
        <f>IF($B184="","",IF(COUNTIFS(NOVEDADES!$C$4:$C$2003,$B184)=0,"—","SÍ ("&amp;COUNTIFS(NOVEDADES!$C$4:$C$2003,$B184)&amp;")"))</f>
        <v/>
      </c>
    </row>
    <row r="185">
      <c r="A185" s="41" t="n"/>
      <c r="B185" s="41" t="n"/>
      <c r="C185" s="41" t="n"/>
      <c r="D185" s="41" t="n"/>
      <c r="E185" s="46" t="n"/>
      <c r="F185" s="41" t="n"/>
      <c r="G185" s="41" t="n"/>
      <c r="H185" s="41" t="n"/>
      <c r="I185" s="41" t="n"/>
      <c r="J185" s="47" t="n"/>
      <c r="K185" s="41" t="n"/>
      <c r="L185" s="48" t="n"/>
      <c r="M185" s="45" t="n"/>
      <c r="N185" s="39">
        <f>IF($B185="","",IF(SUMPRODUCT((LISTAS!$O$3:$O$42&lt;&gt;"")*ISNUMBER(SEARCH(LISTAS!$O$3:$O$42,$I185&amp;" "&amp;$K185)))&gt;0,"CERCANA","NACIONAL"))</f>
        <v/>
      </c>
      <c r="O185" s="39">
        <f>IF($B185="","",IF(COUNTIFS(NOVEDADES!$C$4:$C$2003,$B185)=0,"—","SÍ ("&amp;COUNTIFS(NOVEDADES!$C$4:$C$2003,$B185)&amp;")"))</f>
        <v/>
      </c>
    </row>
    <row r="186">
      <c r="A186" s="41" t="n"/>
      <c r="B186" s="41" t="n"/>
      <c r="C186" s="41" t="n"/>
      <c r="D186" s="41" t="n"/>
      <c r="E186" s="46" t="n"/>
      <c r="F186" s="41" t="n"/>
      <c r="G186" s="41" t="n"/>
      <c r="H186" s="41" t="n"/>
      <c r="I186" s="41" t="n"/>
      <c r="J186" s="47" t="n"/>
      <c r="K186" s="41" t="n"/>
      <c r="L186" s="48" t="n"/>
      <c r="M186" s="45" t="n"/>
      <c r="N186" s="39">
        <f>IF($B186="","",IF(SUMPRODUCT((LISTAS!$O$3:$O$42&lt;&gt;"")*ISNUMBER(SEARCH(LISTAS!$O$3:$O$42,$I186&amp;" "&amp;$K186)))&gt;0,"CERCANA","NACIONAL"))</f>
        <v/>
      </c>
      <c r="O186" s="39">
        <f>IF($B186="","",IF(COUNTIFS(NOVEDADES!$C$4:$C$2003,$B186)=0,"—","SÍ ("&amp;COUNTIFS(NOVEDADES!$C$4:$C$2003,$B186)&amp;")"))</f>
        <v/>
      </c>
    </row>
    <row r="187">
      <c r="A187" s="41" t="n"/>
      <c r="B187" s="41" t="n"/>
      <c r="C187" s="41" t="n"/>
      <c r="D187" s="41" t="n"/>
      <c r="E187" s="46" t="n"/>
      <c r="F187" s="41" t="n"/>
      <c r="G187" s="41" t="n"/>
      <c r="H187" s="41" t="n"/>
      <c r="I187" s="41" t="n"/>
      <c r="J187" s="47" t="n"/>
      <c r="K187" s="41" t="n"/>
      <c r="L187" s="48" t="n"/>
      <c r="M187" s="45" t="n"/>
      <c r="N187" s="39">
        <f>IF($B187="","",IF(SUMPRODUCT((LISTAS!$O$3:$O$42&lt;&gt;"")*ISNUMBER(SEARCH(LISTAS!$O$3:$O$42,$I187&amp;" "&amp;$K187)))&gt;0,"CERCANA","NACIONAL"))</f>
        <v/>
      </c>
      <c r="O187" s="39">
        <f>IF($B187="","",IF(COUNTIFS(NOVEDADES!$C$4:$C$2003,$B187)=0,"—","SÍ ("&amp;COUNTIFS(NOVEDADES!$C$4:$C$2003,$B187)&amp;")"))</f>
        <v/>
      </c>
    </row>
    <row r="188">
      <c r="A188" s="41" t="n"/>
      <c r="B188" s="41" t="n"/>
      <c r="C188" s="41" t="n"/>
      <c r="D188" s="41" t="n"/>
      <c r="E188" s="46" t="n"/>
      <c r="F188" s="41" t="n"/>
      <c r="G188" s="41" t="n"/>
      <c r="H188" s="41" t="n"/>
      <c r="I188" s="41" t="n"/>
      <c r="J188" s="47" t="n"/>
      <c r="K188" s="41" t="n"/>
      <c r="L188" s="48" t="n"/>
      <c r="M188" s="45" t="n"/>
      <c r="N188" s="39">
        <f>IF($B188="","",IF(SUMPRODUCT((LISTAS!$O$3:$O$42&lt;&gt;"")*ISNUMBER(SEARCH(LISTAS!$O$3:$O$42,$I188&amp;" "&amp;$K188)))&gt;0,"CERCANA","NACIONAL"))</f>
        <v/>
      </c>
      <c r="O188" s="39">
        <f>IF($B188="","",IF(COUNTIFS(NOVEDADES!$C$4:$C$2003,$B188)=0,"—","SÍ ("&amp;COUNTIFS(NOVEDADES!$C$4:$C$2003,$B188)&amp;")"))</f>
        <v/>
      </c>
    </row>
    <row r="189">
      <c r="A189" s="41" t="n"/>
      <c r="B189" s="41" t="n"/>
      <c r="C189" s="41" t="n"/>
      <c r="D189" s="41" t="n"/>
      <c r="E189" s="46" t="n"/>
      <c r="F189" s="41" t="n"/>
      <c r="G189" s="41" t="n"/>
      <c r="H189" s="41" t="n"/>
      <c r="I189" s="41" t="n"/>
      <c r="J189" s="47" t="n"/>
      <c r="K189" s="41" t="n"/>
      <c r="L189" s="48" t="n"/>
      <c r="M189" s="45" t="n"/>
      <c r="N189" s="39">
        <f>IF($B189="","",IF(SUMPRODUCT((LISTAS!$O$3:$O$42&lt;&gt;"")*ISNUMBER(SEARCH(LISTAS!$O$3:$O$42,$I189&amp;" "&amp;$K189)))&gt;0,"CERCANA","NACIONAL"))</f>
        <v/>
      </c>
      <c r="O189" s="39">
        <f>IF($B189="","",IF(COUNTIFS(NOVEDADES!$C$4:$C$2003,$B189)=0,"—","SÍ ("&amp;COUNTIFS(NOVEDADES!$C$4:$C$2003,$B189)&amp;")"))</f>
        <v/>
      </c>
    </row>
    <row r="190">
      <c r="A190" s="41" t="n"/>
      <c r="B190" s="41" t="n"/>
      <c r="C190" s="41" t="n"/>
      <c r="D190" s="41" t="n"/>
      <c r="E190" s="46" t="n"/>
      <c r="F190" s="41" t="n"/>
      <c r="G190" s="41" t="n"/>
      <c r="H190" s="41" t="n"/>
      <c r="I190" s="41" t="n"/>
      <c r="J190" s="47" t="n"/>
      <c r="K190" s="41" t="n"/>
      <c r="L190" s="48" t="n"/>
      <c r="M190" s="45" t="n"/>
      <c r="N190" s="39">
        <f>IF($B190="","",IF(SUMPRODUCT((LISTAS!$O$3:$O$42&lt;&gt;"")*ISNUMBER(SEARCH(LISTAS!$O$3:$O$42,$I190&amp;" "&amp;$K190)))&gt;0,"CERCANA","NACIONAL"))</f>
        <v/>
      </c>
      <c r="O190" s="39">
        <f>IF($B190="","",IF(COUNTIFS(NOVEDADES!$C$4:$C$2003,$B190)=0,"—","SÍ ("&amp;COUNTIFS(NOVEDADES!$C$4:$C$2003,$B190)&amp;")"))</f>
        <v/>
      </c>
    </row>
    <row r="191">
      <c r="A191" s="41" t="n"/>
      <c r="B191" s="41" t="n"/>
      <c r="C191" s="41" t="n"/>
      <c r="D191" s="41" t="n"/>
      <c r="E191" s="46" t="n"/>
      <c r="F191" s="41" t="n"/>
      <c r="G191" s="41" t="n"/>
      <c r="H191" s="41" t="n"/>
      <c r="I191" s="41" t="n"/>
      <c r="J191" s="47" t="n"/>
      <c r="K191" s="41" t="n"/>
      <c r="L191" s="48" t="n"/>
      <c r="M191" s="45" t="n"/>
      <c r="N191" s="39">
        <f>IF($B191="","",IF(SUMPRODUCT((LISTAS!$O$3:$O$42&lt;&gt;"")*ISNUMBER(SEARCH(LISTAS!$O$3:$O$42,$I191&amp;" "&amp;$K191)))&gt;0,"CERCANA","NACIONAL"))</f>
        <v/>
      </c>
      <c r="O191" s="39">
        <f>IF($B191="","",IF(COUNTIFS(NOVEDADES!$C$4:$C$2003,$B191)=0,"—","SÍ ("&amp;COUNTIFS(NOVEDADES!$C$4:$C$2003,$B191)&amp;")"))</f>
        <v/>
      </c>
    </row>
    <row r="192">
      <c r="A192" s="41" t="n"/>
      <c r="B192" s="41" t="n"/>
      <c r="C192" s="41" t="n"/>
      <c r="D192" s="41" t="n"/>
      <c r="E192" s="46" t="n"/>
      <c r="F192" s="41" t="n"/>
      <c r="G192" s="41" t="n"/>
      <c r="H192" s="41" t="n"/>
      <c r="I192" s="41" t="n"/>
      <c r="J192" s="47" t="n"/>
      <c r="K192" s="41" t="n"/>
      <c r="L192" s="48" t="n"/>
      <c r="M192" s="45" t="n"/>
      <c r="N192" s="39">
        <f>IF($B192="","",IF(SUMPRODUCT((LISTAS!$O$3:$O$42&lt;&gt;"")*ISNUMBER(SEARCH(LISTAS!$O$3:$O$42,$I192&amp;" "&amp;$K192)))&gt;0,"CERCANA","NACIONAL"))</f>
        <v/>
      </c>
      <c r="O192" s="39">
        <f>IF($B192="","",IF(COUNTIFS(NOVEDADES!$C$4:$C$2003,$B192)=0,"—","SÍ ("&amp;COUNTIFS(NOVEDADES!$C$4:$C$2003,$B192)&amp;")"))</f>
        <v/>
      </c>
    </row>
    <row r="193">
      <c r="A193" s="41" t="n"/>
      <c r="B193" s="41" t="n"/>
      <c r="C193" s="41" t="n"/>
      <c r="D193" s="41" t="n"/>
      <c r="E193" s="46" t="n"/>
      <c r="F193" s="41" t="n"/>
      <c r="G193" s="41" t="n"/>
      <c r="H193" s="41" t="n"/>
      <c r="I193" s="41" t="n"/>
      <c r="J193" s="47" t="n"/>
      <c r="K193" s="41" t="n"/>
      <c r="L193" s="48" t="n"/>
      <c r="M193" s="45" t="n"/>
      <c r="N193" s="39">
        <f>IF($B193="","",IF(SUMPRODUCT((LISTAS!$O$3:$O$42&lt;&gt;"")*ISNUMBER(SEARCH(LISTAS!$O$3:$O$42,$I193&amp;" "&amp;$K193)))&gt;0,"CERCANA","NACIONAL"))</f>
        <v/>
      </c>
      <c r="O193" s="39">
        <f>IF($B193="","",IF(COUNTIFS(NOVEDADES!$C$4:$C$2003,$B193)=0,"—","SÍ ("&amp;COUNTIFS(NOVEDADES!$C$4:$C$2003,$B193)&amp;")"))</f>
        <v/>
      </c>
    </row>
    <row r="194">
      <c r="A194" s="41" t="n"/>
      <c r="B194" s="41" t="n"/>
      <c r="C194" s="41" t="n"/>
      <c r="D194" s="41" t="n"/>
      <c r="E194" s="46" t="n"/>
      <c r="F194" s="41" t="n"/>
      <c r="G194" s="41" t="n"/>
      <c r="H194" s="41" t="n"/>
      <c r="I194" s="41" t="n"/>
      <c r="J194" s="47" t="n"/>
      <c r="K194" s="41" t="n"/>
      <c r="L194" s="48" t="n"/>
      <c r="M194" s="45" t="n"/>
      <c r="N194" s="39">
        <f>IF($B194="","",IF(SUMPRODUCT((LISTAS!$O$3:$O$42&lt;&gt;"")*ISNUMBER(SEARCH(LISTAS!$O$3:$O$42,$I194&amp;" "&amp;$K194)))&gt;0,"CERCANA","NACIONAL"))</f>
        <v/>
      </c>
      <c r="O194" s="39">
        <f>IF($B194="","",IF(COUNTIFS(NOVEDADES!$C$4:$C$2003,$B194)=0,"—","SÍ ("&amp;COUNTIFS(NOVEDADES!$C$4:$C$2003,$B194)&amp;")"))</f>
        <v/>
      </c>
    </row>
    <row r="195">
      <c r="A195" s="41" t="n"/>
      <c r="B195" s="41" t="n"/>
      <c r="C195" s="41" t="n"/>
      <c r="D195" s="41" t="n"/>
      <c r="E195" s="46" t="n"/>
      <c r="F195" s="41" t="n"/>
      <c r="G195" s="41" t="n"/>
      <c r="H195" s="41" t="n"/>
      <c r="I195" s="41" t="n"/>
      <c r="J195" s="47" t="n"/>
      <c r="K195" s="41" t="n"/>
      <c r="L195" s="48" t="n"/>
      <c r="M195" s="45" t="n"/>
      <c r="N195" s="39">
        <f>IF($B195="","",IF(SUMPRODUCT((LISTAS!$O$3:$O$42&lt;&gt;"")*ISNUMBER(SEARCH(LISTAS!$O$3:$O$42,$I195&amp;" "&amp;$K195)))&gt;0,"CERCANA","NACIONAL"))</f>
        <v/>
      </c>
      <c r="O195" s="39">
        <f>IF($B195="","",IF(COUNTIFS(NOVEDADES!$C$4:$C$2003,$B195)=0,"—","SÍ ("&amp;COUNTIFS(NOVEDADES!$C$4:$C$2003,$B195)&amp;")"))</f>
        <v/>
      </c>
    </row>
    <row r="196">
      <c r="A196" s="41" t="n"/>
      <c r="B196" s="41" t="n"/>
      <c r="C196" s="41" t="n"/>
      <c r="D196" s="41" t="n"/>
      <c r="E196" s="46" t="n"/>
      <c r="F196" s="41" t="n"/>
      <c r="G196" s="41" t="n"/>
      <c r="H196" s="41" t="n"/>
      <c r="I196" s="41" t="n"/>
      <c r="J196" s="47" t="n"/>
      <c r="K196" s="41" t="n"/>
      <c r="L196" s="48" t="n"/>
      <c r="M196" s="45" t="n"/>
      <c r="N196" s="39">
        <f>IF($B196="","",IF(SUMPRODUCT((LISTAS!$O$3:$O$42&lt;&gt;"")*ISNUMBER(SEARCH(LISTAS!$O$3:$O$42,$I196&amp;" "&amp;$K196)))&gt;0,"CERCANA","NACIONAL"))</f>
        <v/>
      </c>
      <c r="O196" s="39">
        <f>IF($B196="","",IF(COUNTIFS(NOVEDADES!$C$4:$C$2003,$B196)=0,"—","SÍ ("&amp;COUNTIFS(NOVEDADES!$C$4:$C$2003,$B196)&amp;")"))</f>
        <v/>
      </c>
    </row>
    <row r="197">
      <c r="A197" s="41" t="n"/>
      <c r="B197" s="41" t="n"/>
      <c r="C197" s="41" t="n"/>
      <c r="D197" s="41" t="n"/>
      <c r="E197" s="46" t="n"/>
      <c r="F197" s="41" t="n"/>
      <c r="G197" s="41" t="n"/>
      <c r="H197" s="41" t="n"/>
      <c r="I197" s="41" t="n"/>
      <c r="J197" s="47" t="n"/>
      <c r="K197" s="41" t="n"/>
      <c r="L197" s="48" t="n"/>
      <c r="M197" s="45" t="n"/>
      <c r="N197" s="39">
        <f>IF($B197="","",IF(SUMPRODUCT((LISTAS!$O$3:$O$42&lt;&gt;"")*ISNUMBER(SEARCH(LISTAS!$O$3:$O$42,$I197&amp;" "&amp;$K197)))&gt;0,"CERCANA","NACIONAL"))</f>
        <v/>
      </c>
      <c r="O197" s="39">
        <f>IF($B197="","",IF(COUNTIFS(NOVEDADES!$C$4:$C$2003,$B197)=0,"—","SÍ ("&amp;COUNTIFS(NOVEDADES!$C$4:$C$2003,$B197)&amp;")"))</f>
        <v/>
      </c>
    </row>
    <row r="198">
      <c r="A198" s="41" t="n"/>
      <c r="B198" s="41" t="n"/>
      <c r="C198" s="41" t="n"/>
      <c r="D198" s="41" t="n"/>
      <c r="E198" s="46" t="n"/>
      <c r="F198" s="41" t="n"/>
      <c r="G198" s="41" t="n"/>
      <c r="H198" s="41" t="n"/>
      <c r="I198" s="41" t="n"/>
      <c r="J198" s="47" t="n"/>
      <c r="K198" s="41" t="n"/>
      <c r="L198" s="48" t="n"/>
      <c r="M198" s="45" t="n"/>
      <c r="N198" s="39">
        <f>IF($B198="","",IF(SUMPRODUCT((LISTAS!$O$3:$O$42&lt;&gt;"")*ISNUMBER(SEARCH(LISTAS!$O$3:$O$42,$I198&amp;" "&amp;$K198)))&gt;0,"CERCANA","NACIONAL"))</f>
        <v/>
      </c>
      <c r="O198" s="39">
        <f>IF($B198="","",IF(COUNTIFS(NOVEDADES!$C$4:$C$2003,$B198)=0,"—","SÍ ("&amp;COUNTIFS(NOVEDADES!$C$4:$C$2003,$B198)&amp;")"))</f>
        <v/>
      </c>
    </row>
    <row r="199">
      <c r="A199" s="41" t="n"/>
      <c r="B199" s="41" t="n"/>
      <c r="C199" s="41" t="n"/>
      <c r="D199" s="41" t="n"/>
      <c r="E199" s="46" t="n"/>
      <c r="F199" s="41" t="n"/>
      <c r="G199" s="41" t="n"/>
      <c r="H199" s="41" t="n"/>
      <c r="I199" s="41" t="n"/>
      <c r="J199" s="47" t="n"/>
      <c r="K199" s="41" t="n"/>
      <c r="L199" s="48" t="n"/>
      <c r="M199" s="45" t="n"/>
      <c r="N199" s="39">
        <f>IF($B199="","",IF(SUMPRODUCT((LISTAS!$O$3:$O$42&lt;&gt;"")*ISNUMBER(SEARCH(LISTAS!$O$3:$O$42,$I199&amp;" "&amp;$K199)))&gt;0,"CERCANA","NACIONAL"))</f>
        <v/>
      </c>
      <c r="O199" s="39">
        <f>IF($B199="","",IF(COUNTIFS(NOVEDADES!$C$4:$C$2003,$B199)=0,"—","SÍ ("&amp;COUNTIFS(NOVEDADES!$C$4:$C$2003,$B199)&amp;")"))</f>
        <v/>
      </c>
    </row>
    <row r="200">
      <c r="A200" s="41" t="n"/>
      <c r="B200" s="41" t="n"/>
      <c r="C200" s="41" t="n"/>
      <c r="D200" s="41" t="n"/>
      <c r="E200" s="46" t="n"/>
      <c r="F200" s="41" t="n"/>
      <c r="G200" s="41" t="n"/>
      <c r="H200" s="41" t="n"/>
      <c r="I200" s="41" t="n"/>
      <c r="J200" s="47" t="n"/>
      <c r="K200" s="41" t="n"/>
      <c r="L200" s="48" t="n"/>
      <c r="M200" s="45" t="n"/>
      <c r="N200" s="39">
        <f>IF($B200="","",IF(SUMPRODUCT((LISTAS!$O$3:$O$42&lt;&gt;"")*ISNUMBER(SEARCH(LISTAS!$O$3:$O$42,$I200&amp;" "&amp;$K200)))&gt;0,"CERCANA","NACIONAL"))</f>
        <v/>
      </c>
      <c r="O200" s="39">
        <f>IF($B200="","",IF(COUNTIFS(NOVEDADES!$C$4:$C$2003,$B200)=0,"—","SÍ ("&amp;COUNTIFS(NOVEDADES!$C$4:$C$2003,$B200)&amp;")"))</f>
        <v/>
      </c>
    </row>
    <row r="201">
      <c r="A201" s="41" t="n"/>
      <c r="B201" s="41" t="n"/>
      <c r="C201" s="41" t="n"/>
      <c r="D201" s="41" t="n"/>
      <c r="E201" s="46" t="n"/>
      <c r="F201" s="41" t="n"/>
      <c r="G201" s="41" t="n"/>
      <c r="H201" s="41" t="n"/>
      <c r="I201" s="41" t="n"/>
      <c r="J201" s="47" t="n"/>
      <c r="K201" s="41" t="n"/>
      <c r="L201" s="48" t="n"/>
      <c r="M201" s="45" t="n"/>
      <c r="N201" s="39">
        <f>IF($B201="","",IF(SUMPRODUCT((LISTAS!$O$3:$O$42&lt;&gt;"")*ISNUMBER(SEARCH(LISTAS!$O$3:$O$42,$I201&amp;" "&amp;$K201)))&gt;0,"CERCANA","NACIONAL"))</f>
        <v/>
      </c>
      <c r="O201" s="39">
        <f>IF($B201="","",IF(COUNTIFS(NOVEDADES!$C$4:$C$2003,$B201)=0,"—","SÍ ("&amp;COUNTIFS(NOVEDADES!$C$4:$C$2003,$B201)&amp;")"))</f>
        <v/>
      </c>
    </row>
    <row r="202">
      <c r="A202" s="41" t="n"/>
      <c r="B202" s="41" t="n"/>
      <c r="C202" s="41" t="n"/>
      <c r="D202" s="41" t="n"/>
      <c r="E202" s="46" t="n"/>
      <c r="F202" s="41" t="n"/>
      <c r="G202" s="41" t="n"/>
      <c r="H202" s="41" t="n"/>
      <c r="I202" s="41" t="n"/>
      <c r="J202" s="47" t="n"/>
      <c r="K202" s="41" t="n"/>
      <c r="L202" s="48" t="n"/>
      <c r="M202" s="45" t="n"/>
      <c r="N202" s="39">
        <f>IF($B202="","",IF(SUMPRODUCT((LISTAS!$O$3:$O$42&lt;&gt;"")*ISNUMBER(SEARCH(LISTAS!$O$3:$O$42,$I202&amp;" "&amp;$K202)))&gt;0,"CERCANA","NACIONAL"))</f>
        <v/>
      </c>
      <c r="O202" s="39">
        <f>IF($B202="","",IF(COUNTIFS(NOVEDADES!$C$4:$C$2003,$B202)=0,"—","SÍ ("&amp;COUNTIFS(NOVEDADES!$C$4:$C$2003,$B202)&amp;")"))</f>
        <v/>
      </c>
    </row>
    <row r="203">
      <c r="A203" s="41" t="n"/>
      <c r="B203" s="41" t="n"/>
      <c r="C203" s="41" t="n"/>
      <c r="D203" s="41" t="n"/>
      <c r="E203" s="46" t="n"/>
      <c r="F203" s="41" t="n"/>
      <c r="G203" s="41" t="n"/>
      <c r="H203" s="41" t="n"/>
      <c r="I203" s="41" t="n"/>
      <c r="J203" s="47" t="n"/>
      <c r="K203" s="41" t="n"/>
      <c r="L203" s="48" t="n"/>
      <c r="M203" s="45" t="n"/>
      <c r="N203" s="39">
        <f>IF($B203="","",IF(SUMPRODUCT((LISTAS!$O$3:$O$42&lt;&gt;"")*ISNUMBER(SEARCH(LISTAS!$O$3:$O$42,$I203&amp;" "&amp;$K203)))&gt;0,"CERCANA","NACIONAL"))</f>
        <v/>
      </c>
      <c r="O203" s="39">
        <f>IF($B203="","",IF(COUNTIFS(NOVEDADES!$C$4:$C$2003,$B203)=0,"—","SÍ ("&amp;COUNTIFS(NOVEDADES!$C$4:$C$2003,$B203)&amp;")"))</f>
        <v/>
      </c>
    </row>
    <row r="204">
      <c r="A204" s="41" t="n"/>
      <c r="B204" s="41" t="n"/>
      <c r="C204" s="41" t="n"/>
      <c r="D204" s="41" t="n"/>
      <c r="E204" s="46" t="n"/>
      <c r="F204" s="41" t="n"/>
      <c r="G204" s="41" t="n"/>
      <c r="H204" s="41" t="n"/>
      <c r="I204" s="41" t="n"/>
      <c r="J204" s="47" t="n"/>
      <c r="K204" s="41" t="n"/>
      <c r="L204" s="48" t="n"/>
      <c r="M204" s="45" t="n"/>
      <c r="N204" s="39">
        <f>IF($B204="","",IF(SUMPRODUCT((LISTAS!$O$3:$O$42&lt;&gt;"")*ISNUMBER(SEARCH(LISTAS!$O$3:$O$42,$I204&amp;" "&amp;$K204)))&gt;0,"CERCANA","NACIONAL"))</f>
        <v/>
      </c>
      <c r="O204" s="39">
        <f>IF($B204="","",IF(COUNTIFS(NOVEDADES!$C$4:$C$2003,$B204)=0,"—","SÍ ("&amp;COUNTIFS(NOVEDADES!$C$4:$C$2003,$B204)&amp;")"))</f>
        <v/>
      </c>
    </row>
    <row r="205">
      <c r="A205" s="41" t="n"/>
      <c r="B205" s="41" t="n"/>
      <c r="C205" s="41" t="n"/>
      <c r="D205" s="41" t="n"/>
      <c r="E205" s="46" t="n"/>
      <c r="F205" s="41" t="n"/>
      <c r="G205" s="41" t="n"/>
      <c r="H205" s="41" t="n"/>
      <c r="I205" s="41" t="n"/>
      <c r="J205" s="47" t="n"/>
      <c r="K205" s="41" t="n"/>
      <c r="L205" s="48" t="n"/>
      <c r="M205" s="45" t="n"/>
      <c r="N205" s="39">
        <f>IF($B205="","",IF(SUMPRODUCT((LISTAS!$O$3:$O$42&lt;&gt;"")*ISNUMBER(SEARCH(LISTAS!$O$3:$O$42,$I205&amp;" "&amp;$K205)))&gt;0,"CERCANA","NACIONAL"))</f>
        <v/>
      </c>
      <c r="O205" s="39">
        <f>IF($B205="","",IF(COUNTIFS(NOVEDADES!$C$4:$C$2003,$B205)=0,"—","SÍ ("&amp;COUNTIFS(NOVEDADES!$C$4:$C$2003,$B205)&amp;")"))</f>
        <v/>
      </c>
    </row>
    <row r="206">
      <c r="A206" s="41" t="n"/>
      <c r="B206" s="41" t="n"/>
      <c r="C206" s="41" t="n"/>
      <c r="D206" s="41" t="n"/>
      <c r="E206" s="46" t="n"/>
      <c r="F206" s="41" t="n"/>
      <c r="G206" s="41" t="n"/>
      <c r="H206" s="41" t="n"/>
      <c r="I206" s="41" t="n"/>
      <c r="J206" s="47" t="n"/>
      <c r="K206" s="41" t="n"/>
      <c r="L206" s="48" t="n"/>
      <c r="M206" s="45" t="n"/>
      <c r="N206" s="39">
        <f>IF($B206="","",IF(SUMPRODUCT((LISTAS!$O$3:$O$42&lt;&gt;"")*ISNUMBER(SEARCH(LISTAS!$O$3:$O$42,$I206&amp;" "&amp;$K206)))&gt;0,"CERCANA","NACIONAL"))</f>
        <v/>
      </c>
      <c r="O206" s="39">
        <f>IF($B206="","",IF(COUNTIFS(NOVEDADES!$C$4:$C$2003,$B206)=0,"—","SÍ ("&amp;COUNTIFS(NOVEDADES!$C$4:$C$2003,$B206)&amp;")"))</f>
        <v/>
      </c>
    </row>
    <row r="207">
      <c r="A207" s="41" t="n"/>
      <c r="B207" s="41" t="n"/>
      <c r="C207" s="41" t="n"/>
      <c r="D207" s="41" t="n"/>
      <c r="E207" s="46" t="n"/>
      <c r="F207" s="41" t="n"/>
      <c r="G207" s="41" t="n"/>
      <c r="H207" s="41" t="n"/>
      <c r="I207" s="41" t="n"/>
      <c r="J207" s="47" t="n"/>
      <c r="K207" s="41" t="n"/>
      <c r="L207" s="48" t="n"/>
      <c r="M207" s="45" t="n"/>
      <c r="N207" s="39">
        <f>IF($B207="","",IF(SUMPRODUCT((LISTAS!$O$3:$O$42&lt;&gt;"")*ISNUMBER(SEARCH(LISTAS!$O$3:$O$42,$I207&amp;" "&amp;$K207)))&gt;0,"CERCANA","NACIONAL"))</f>
        <v/>
      </c>
      <c r="O207" s="39">
        <f>IF($B207="","",IF(COUNTIFS(NOVEDADES!$C$4:$C$2003,$B207)=0,"—","SÍ ("&amp;COUNTIFS(NOVEDADES!$C$4:$C$2003,$B207)&amp;")"))</f>
        <v/>
      </c>
    </row>
    <row r="208">
      <c r="A208" s="41" t="n"/>
      <c r="B208" s="41" t="n"/>
      <c r="C208" s="41" t="n"/>
      <c r="D208" s="41" t="n"/>
      <c r="E208" s="46" t="n"/>
      <c r="F208" s="41" t="n"/>
      <c r="G208" s="41" t="n"/>
      <c r="H208" s="41" t="n"/>
      <c r="I208" s="41" t="n"/>
      <c r="J208" s="47" t="n"/>
      <c r="K208" s="41" t="n"/>
      <c r="L208" s="48" t="n"/>
      <c r="M208" s="45" t="n"/>
      <c r="N208" s="39">
        <f>IF($B208="","",IF(SUMPRODUCT((LISTAS!$O$3:$O$42&lt;&gt;"")*ISNUMBER(SEARCH(LISTAS!$O$3:$O$42,$I208&amp;" "&amp;$K208)))&gt;0,"CERCANA","NACIONAL"))</f>
        <v/>
      </c>
      <c r="O208" s="39">
        <f>IF($B208="","",IF(COUNTIFS(NOVEDADES!$C$4:$C$2003,$B208)=0,"—","SÍ ("&amp;COUNTIFS(NOVEDADES!$C$4:$C$2003,$B208)&amp;")"))</f>
        <v/>
      </c>
    </row>
    <row r="209">
      <c r="A209" s="41" t="n"/>
      <c r="B209" s="41" t="n"/>
      <c r="C209" s="41" t="n"/>
      <c r="D209" s="41" t="n"/>
      <c r="E209" s="46" t="n"/>
      <c r="F209" s="41" t="n"/>
      <c r="G209" s="41" t="n"/>
      <c r="H209" s="41" t="n"/>
      <c r="I209" s="41" t="n"/>
      <c r="J209" s="47" t="n"/>
      <c r="K209" s="41" t="n"/>
      <c r="L209" s="48" t="n"/>
      <c r="M209" s="45" t="n"/>
      <c r="N209" s="39">
        <f>IF($B209="","",IF(SUMPRODUCT((LISTAS!$O$3:$O$42&lt;&gt;"")*ISNUMBER(SEARCH(LISTAS!$O$3:$O$42,$I209&amp;" "&amp;$K209)))&gt;0,"CERCANA","NACIONAL"))</f>
        <v/>
      </c>
      <c r="O209" s="39">
        <f>IF($B209="","",IF(COUNTIFS(NOVEDADES!$C$4:$C$2003,$B209)=0,"—","SÍ ("&amp;COUNTIFS(NOVEDADES!$C$4:$C$2003,$B209)&amp;")"))</f>
        <v/>
      </c>
    </row>
    <row r="210">
      <c r="A210" s="41" t="n"/>
      <c r="B210" s="41" t="n"/>
      <c r="C210" s="41" t="n"/>
      <c r="D210" s="41" t="n"/>
      <c r="E210" s="46" t="n"/>
      <c r="F210" s="41" t="n"/>
      <c r="G210" s="41" t="n"/>
      <c r="H210" s="41" t="n"/>
      <c r="I210" s="41" t="n"/>
      <c r="J210" s="47" t="n"/>
      <c r="K210" s="41" t="n"/>
      <c r="L210" s="48" t="n"/>
      <c r="M210" s="45" t="n"/>
      <c r="N210" s="39">
        <f>IF($B210="","",IF(SUMPRODUCT((LISTAS!$O$3:$O$42&lt;&gt;"")*ISNUMBER(SEARCH(LISTAS!$O$3:$O$42,$I210&amp;" "&amp;$K210)))&gt;0,"CERCANA","NACIONAL"))</f>
        <v/>
      </c>
      <c r="O210" s="39">
        <f>IF($B210="","",IF(COUNTIFS(NOVEDADES!$C$4:$C$2003,$B210)=0,"—","SÍ ("&amp;COUNTIFS(NOVEDADES!$C$4:$C$2003,$B210)&amp;")"))</f>
        <v/>
      </c>
    </row>
    <row r="211">
      <c r="A211" s="41" t="n"/>
      <c r="B211" s="41" t="n"/>
      <c r="C211" s="41" t="n"/>
      <c r="D211" s="41" t="n"/>
      <c r="E211" s="46" t="n"/>
      <c r="F211" s="41" t="n"/>
      <c r="G211" s="41" t="n"/>
      <c r="H211" s="41" t="n"/>
      <c r="I211" s="41" t="n"/>
      <c r="J211" s="47" t="n"/>
      <c r="K211" s="41" t="n"/>
      <c r="L211" s="48" t="n"/>
      <c r="M211" s="45" t="n"/>
      <c r="N211" s="39">
        <f>IF($B211="","",IF(SUMPRODUCT((LISTAS!$O$3:$O$42&lt;&gt;"")*ISNUMBER(SEARCH(LISTAS!$O$3:$O$42,$I211&amp;" "&amp;$K211)))&gt;0,"CERCANA","NACIONAL"))</f>
        <v/>
      </c>
      <c r="O211" s="39">
        <f>IF($B211="","",IF(COUNTIFS(NOVEDADES!$C$4:$C$2003,$B211)=0,"—","SÍ ("&amp;COUNTIFS(NOVEDADES!$C$4:$C$2003,$B211)&amp;")"))</f>
        <v/>
      </c>
    </row>
    <row r="212">
      <c r="A212" s="41" t="n"/>
      <c r="B212" s="41" t="n"/>
      <c r="C212" s="41" t="n"/>
      <c r="D212" s="41" t="n"/>
      <c r="E212" s="46" t="n"/>
      <c r="F212" s="41" t="n"/>
      <c r="G212" s="41" t="n"/>
      <c r="H212" s="41" t="n"/>
      <c r="I212" s="41" t="n"/>
      <c r="J212" s="47" t="n"/>
      <c r="K212" s="41" t="n"/>
      <c r="L212" s="48" t="n"/>
      <c r="M212" s="45" t="n"/>
      <c r="N212" s="39">
        <f>IF($B212="","",IF(SUMPRODUCT((LISTAS!$O$3:$O$42&lt;&gt;"")*ISNUMBER(SEARCH(LISTAS!$O$3:$O$42,$I212&amp;" "&amp;$K212)))&gt;0,"CERCANA","NACIONAL"))</f>
        <v/>
      </c>
      <c r="O212" s="39">
        <f>IF($B212="","",IF(COUNTIFS(NOVEDADES!$C$4:$C$2003,$B212)=0,"—","SÍ ("&amp;COUNTIFS(NOVEDADES!$C$4:$C$2003,$B212)&amp;")"))</f>
        <v/>
      </c>
    </row>
    <row r="213">
      <c r="A213" s="41" t="n"/>
      <c r="B213" s="41" t="n"/>
      <c r="C213" s="41" t="n"/>
      <c r="D213" s="41" t="n"/>
      <c r="E213" s="46" t="n"/>
      <c r="F213" s="41" t="n"/>
      <c r="G213" s="41" t="n"/>
      <c r="H213" s="41" t="n"/>
      <c r="I213" s="41" t="n"/>
      <c r="J213" s="47" t="n"/>
      <c r="K213" s="41" t="n"/>
      <c r="L213" s="48" t="n"/>
      <c r="M213" s="45" t="n"/>
      <c r="N213" s="39">
        <f>IF($B213="","",IF(SUMPRODUCT((LISTAS!$O$3:$O$42&lt;&gt;"")*ISNUMBER(SEARCH(LISTAS!$O$3:$O$42,$I213&amp;" "&amp;$K213)))&gt;0,"CERCANA","NACIONAL"))</f>
        <v/>
      </c>
      <c r="O213" s="39">
        <f>IF($B213="","",IF(COUNTIFS(NOVEDADES!$C$4:$C$2003,$B213)=0,"—","SÍ ("&amp;COUNTIFS(NOVEDADES!$C$4:$C$2003,$B213)&amp;")"))</f>
        <v/>
      </c>
    </row>
    <row r="214">
      <c r="A214" s="41" t="n"/>
      <c r="B214" s="41" t="n"/>
      <c r="C214" s="41" t="n"/>
      <c r="D214" s="41" t="n"/>
      <c r="E214" s="46" t="n"/>
      <c r="F214" s="41" t="n"/>
      <c r="G214" s="41" t="n"/>
      <c r="H214" s="41" t="n"/>
      <c r="I214" s="41" t="n"/>
      <c r="J214" s="47" t="n"/>
      <c r="K214" s="41" t="n"/>
      <c r="L214" s="48" t="n"/>
      <c r="M214" s="45" t="n"/>
      <c r="N214" s="39">
        <f>IF($B214="","",IF(SUMPRODUCT((LISTAS!$O$3:$O$42&lt;&gt;"")*ISNUMBER(SEARCH(LISTAS!$O$3:$O$42,$I214&amp;" "&amp;$K214)))&gt;0,"CERCANA","NACIONAL"))</f>
        <v/>
      </c>
      <c r="O214" s="39">
        <f>IF($B214="","",IF(COUNTIFS(NOVEDADES!$C$4:$C$2003,$B214)=0,"—","SÍ ("&amp;COUNTIFS(NOVEDADES!$C$4:$C$2003,$B214)&amp;")"))</f>
        <v/>
      </c>
    </row>
    <row r="215">
      <c r="A215" s="41" t="n"/>
      <c r="B215" s="41" t="n"/>
      <c r="C215" s="41" t="n"/>
      <c r="D215" s="41" t="n"/>
      <c r="E215" s="46" t="n"/>
      <c r="F215" s="41" t="n"/>
      <c r="G215" s="41" t="n"/>
      <c r="H215" s="41" t="n"/>
      <c r="I215" s="41" t="n"/>
      <c r="J215" s="47" t="n"/>
      <c r="K215" s="41" t="n"/>
      <c r="L215" s="48" t="n"/>
      <c r="M215" s="45" t="n"/>
      <c r="N215" s="39">
        <f>IF($B215="","",IF(SUMPRODUCT((LISTAS!$O$3:$O$42&lt;&gt;"")*ISNUMBER(SEARCH(LISTAS!$O$3:$O$42,$I215&amp;" "&amp;$K215)))&gt;0,"CERCANA","NACIONAL"))</f>
        <v/>
      </c>
      <c r="O215" s="39">
        <f>IF($B215="","",IF(COUNTIFS(NOVEDADES!$C$4:$C$2003,$B215)=0,"—","SÍ ("&amp;COUNTIFS(NOVEDADES!$C$4:$C$2003,$B215)&amp;")"))</f>
        <v/>
      </c>
    </row>
    <row r="216">
      <c r="A216" s="41" t="n"/>
      <c r="B216" s="41" t="n"/>
      <c r="C216" s="41" t="n"/>
      <c r="D216" s="41" t="n"/>
      <c r="E216" s="46" t="n"/>
      <c r="F216" s="41" t="n"/>
      <c r="G216" s="41" t="n"/>
      <c r="H216" s="41" t="n"/>
      <c r="I216" s="41" t="n"/>
      <c r="J216" s="47" t="n"/>
      <c r="K216" s="41" t="n"/>
      <c r="L216" s="48" t="n"/>
      <c r="M216" s="45" t="n"/>
      <c r="N216" s="39">
        <f>IF($B216="","",IF(SUMPRODUCT((LISTAS!$O$3:$O$42&lt;&gt;"")*ISNUMBER(SEARCH(LISTAS!$O$3:$O$42,$I216&amp;" "&amp;$K216)))&gt;0,"CERCANA","NACIONAL"))</f>
        <v/>
      </c>
      <c r="O216" s="39">
        <f>IF($B216="","",IF(COUNTIFS(NOVEDADES!$C$4:$C$2003,$B216)=0,"—","SÍ ("&amp;COUNTIFS(NOVEDADES!$C$4:$C$2003,$B216)&amp;")"))</f>
        <v/>
      </c>
    </row>
    <row r="217">
      <c r="A217" s="41" t="n"/>
      <c r="B217" s="41" t="n"/>
      <c r="C217" s="41" t="n"/>
      <c r="D217" s="41" t="n"/>
      <c r="E217" s="46" t="n"/>
      <c r="F217" s="41" t="n"/>
      <c r="G217" s="41" t="n"/>
      <c r="H217" s="41" t="n"/>
      <c r="I217" s="41" t="n"/>
      <c r="J217" s="47" t="n"/>
      <c r="K217" s="41" t="n"/>
      <c r="L217" s="48" t="n"/>
      <c r="M217" s="45" t="n"/>
      <c r="N217" s="39">
        <f>IF($B217="","",IF(SUMPRODUCT((LISTAS!$O$3:$O$42&lt;&gt;"")*ISNUMBER(SEARCH(LISTAS!$O$3:$O$42,$I217&amp;" "&amp;$K217)))&gt;0,"CERCANA","NACIONAL"))</f>
        <v/>
      </c>
      <c r="O217" s="39">
        <f>IF($B217="","",IF(COUNTIFS(NOVEDADES!$C$4:$C$2003,$B217)=0,"—","SÍ ("&amp;COUNTIFS(NOVEDADES!$C$4:$C$2003,$B217)&amp;")"))</f>
        <v/>
      </c>
    </row>
    <row r="218">
      <c r="A218" s="41" t="n"/>
      <c r="B218" s="41" t="n"/>
      <c r="C218" s="41" t="n"/>
      <c r="D218" s="41" t="n"/>
      <c r="E218" s="46" t="n"/>
      <c r="F218" s="41" t="n"/>
      <c r="G218" s="41" t="n"/>
      <c r="H218" s="41" t="n"/>
      <c r="I218" s="41" t="n"/>
      <c r="J218" s="47" t="n"/>
      <c r="K218" s="41" t="n"/>
      <c r="L218" s="48" t="n"/>
      <c r="M218" s="45" t="n"/>
      <c r="N218" s="39">
        <f>IF($B218="","",IF(SUMPRODUCT((LISTAS!$O$3:$O$42&lt;&gt;"")*ISNUMBER(SEARCH(LISTAS!$O$3:$O$42,$I218&amp;" "&amp;$K218)))&gt;0,"CERCANA","NACIONAL"))</f>
        <v/>
      </c>
      <c r="O218" s="39">
        <f>IF($B218="","",IF(COUNTIFS(NOVEDADES!$C$4:$C$2003,$B218)=0,"—","SÍ ("&amp;COUNTIFS(NOVEDADES!$C$4:$C$2003,$B218)&amp;")"))</f>
        <v/>
      </c>
    </row>
    <row r="219">
      <c r="A219" s="41" t="n"/>
      <c r="B219" s="41" t="n"/>
      <c r="C219" s="41" t="n"/>
      <c r="D219" s="41" t="n"/>
      <c r="E219" s="46" t="n"/>
      <c r="F219" s="41" t="n"/>
      <c r="G219" s="41" t="n"/>
      <c r="H219" s="41" t="n"/>
      <c r="I219" s="41" t="n"/>
      <c r="J219" s="47" t="n"/>
      <c r="K219" s="41" t="n"/>
      <c r="L219" s="48" t="n"/>
      <c r="M219" s="45" t="n"/>
      <c r="N219" s="39">
        <f>IF($B219="","",IF(SUMPRODUCT((LISTAS!$O$3:$O$42&lt;&gt;"")*ISNUMBER(SEARCH(LISTAS!$O$3:$O$42,$I219&amp;" "&amp;$K219)))&gt;0,"CERCANA","NACIONAL"))</f>
        <v/>
      </c>
      <c r="O219" s="39">
        <f>IF($B219="","",IF(COUNTIFS(NOVEDADES!$C$4:$C$2003,$B219)=0,"—","SÍ ("&amp;COUNTIFS(NOVEDADES!$C$4:$C$2003,$B219)&amp;")"))</f>
        <v/>
      </c>
    </row>
    <row r="220">
      <c r="A220" s="41" t="n"/>
      <c r="B220" s="41" t="n"/>
      <c r="C220" s="41" t="n"/>
      <c r="D220" s="41" t="n"/>
      <c r="E220" s="46" t="n"/>
      <c r="F220" s="41" t="n"/>
      <c r="G220" s="41" t="n"/>
      <c r="H220" s="41" t="n"/>
      <c r="I220" s="41" t="n"/>
      <c r="J220" s="47" t="n"/>
      <c r="K220" s="41" t="n"/>
      <c r="L220" s="48" t="n"/>
      <c r="M220" s="45" t="n"/>
      <c r="N220" s="39">
        <f>IF($B220="","",IF(SUMPRODUCT((LISTAS!$O$3:$O$42&lt;&gt;"")*ISNUMBER(SEARCH(LISTAS!$O$3:$O$42,$I220&amp;" "&amp;$K220)))&gt;0,"CERCANA","NACIONAL"))</f>
        <v/>
      </c>
      <c r="O220" s="39">
        <f>IF($B220="","",IF(COUNTIFS(NOVEDADES!$C$4:$C$2003,$B220)=0,"—","SÍ ("&amp;COUNTIFS(NOVEDADES!$C$4:$C$2003,$B220)&amp;")"))</f>
        <v/>
      </c>
    </row>
    <row r="221">
      <c r="A221" s="41" t="n"/>
      <c r="B221" s="41" t="n"/>
      <c r="C221" s="41" t="n"/>
      <c r="D221" s="41" t="n"/>
      <c r="E221" s="46" t="n"/>
      <c r="F221" s="41" t="n"/>
      <c r="G221" s="41" t="n"/>
      <c r="H221" s="41" t="n"/>
      <c r="I221" s="41" t="n"/>
      <c r="J221" s="47" t="n"/>
      <c r="K221" s="41" t="n"/>
      <c r="L221" s="48" t="n"/>
      <c r="M221" s="45" t="n"/>
      <c r="N221" s="39">
        <f>IF($B221="","",IF(SUMPRODUCT((LISTAS!$O$3:$O$42&lt;&gt;"")*ISNUMBER(SEARCH(LISTAS!$O$3:$O$42,$I221&amp;" "&amp;$K221)))&gt;0,"CERCANA","NACIONAL"))</f>
        <v/>
      </c>
      <c r="O221" s="39">
        <f>IF($B221="","",IF(COUNTIFS(NOVEDADES!$C$4:$C$2003,$B221)=0,"—","SÍ ("&amp;COUNTIFS(NOVEDADES!$C$4:$C$2003,$B221)&amp;")"))</f>
        <v/>
      </c>
    </row>
    <row r="222">
      <c r="A222" s="41" t="n"/>
      <c r="B222" s="41" t="n"/>
      <c r="C222" s="41" t="n"/>
      <c r="D222" s="41" t="n"/>
      <c r="E222" s="46" t="n"/>
      <c r="F222" s="41" t="n"/>
      <c r="G222" s="41" t="n"/>
      <c r="H222" s="41" t="n"/>
      <c r="I222" s="41" t="n"/>
      <c r="J222" s="47" t="n"/>
      <c r="K222" s="41" t="n"/>
      <c r="L222" s="48" t="n"/>
      <c r="M222" s="45" t="n"/>
      <c r="N222" s="39">
        <f>IF($B222="","",IF(SUMPRODUCT((LISTAS!$O$3:$O$42&lt;&gt;"")*ISNUMBER(SEARCH(LISTAS!$O$3:$O$42,$I222&amp;" "&amp;$K222)))&gt;0,"CERCANA","NACIONAL"))</f>
        <v/>
      </c>
      <c r="O222" s="39">
        <f>IF($B222="","",IF(COUNTIFS(NOVEDADES!$C$4:$C$2003,$B222)=0,"—","SÍ ("&amp;COUNTIFS(NOVEDADES!$C$4:$C$2003,$B222)&amp;")"))</f>
        <v/>
      </c>
    </row>
    <row r="223">
      <c r="A223" s="41" t="n"/>
      <c r="B223" s="41" t="n"/>
      <c r="C223" s="41" t="n"/>
      <c r="D223" s="41" t="n"/>
      <c r="E223" s="46" t="n"/>
      <c r="F223" s="41" t="n"/>
      <c r="G223" s="41" t="n"/>
      <c r="H223" s="41" t="n"/>
      <c r="I223" s="41" t="n"/>
      <c r="J223" s="47" t="n"/>
      <c r="K223" s="41" t="n"/>
      <c r="L223" s="48" t="n"/>
      <c r="M223" s="45" t="n"/>
      <c r="N223" s="39">
        <f>IF($B223="","",IF(SUMPRODUCT((LISTAS!$O$3:$O$42&lt;&gt;"")*ISNUMBER(SEARCH(LISTAS!$O$3:$O$42,$I223&amp;" "&amp;$K223)))&gt;0,"CERCANA","NACIONAL"))</f>
        <v/>
      </c>
      <c r="O223" s="39">
        <f>IF($B223="","",IF(COUNTIFS(NOVEDADES!$C$4:$C$2003,$B223)=0,"—","SÍ ("&amp;COUNTIFS(NOVEDADES!$C$4:$C$2003,$B223)&amp;")"))</f>
        <v/>
      </c>
    </row>
    <row r="224">
      <c r="A224" s="41" t="n"/>
      <c r="B224" s="41" t="n"/>
      <c r="C224" s="41" t="n"/>
      <c r="D224" s="41" t="n"/>
      <c r="E224" s="46" t="n"/>
      <c r="F224" s="41" t="n"/>
      <c r="G224" s="41" t="n"/>
      <c r="H224" s="41" t="n"/>
      <c r="I224" s="41" t="n"/>
      <c r="J224" s="47" t="n"/>
      <c r="K224" s="41" t="n"/>
      <c r="L224" s="48" t="n"/>
      <c r="M224" s="45" t="n"/>
      <c r="N224" s="39">
        <f>IF($B224="","",IF(SUMPRODUCT((LISTAS!$O$3:$O$42&lt;&gt;"")*ISNUMBER(SEARCH(LISTAS!$O$3:$O$42,$I224&amp;" "&amp;$K224)))&gt;0,"CERCANA","NACIONAL"))</f>
        <v/>
      </c>
      <c r="O224" s="39">
        <f>IF($B224="","",IF(COUNTIFS(NOVEDADES!$C$4:$C$2003,$B224)=0,"—","SÍ ("&amp;COUNTIFS(NOVEDADES!$C$4:$C$2003,$B224)&amp;")"))</f>
        <v/>
      </c>
    </row>
    <row r="225">
      <c r="A225" s="41" t="n"/>
      <c r="B225" s="41" t="n"/>
      <c r="C225" s="41" t="n"/>
      <c r="D225" s="41" t="n"/>
      <c r="E225" s="46" t="n"/>
      <c r="F225" s="41" t="n"/>
      <c r="G225" s="41" t="n"/>
      <c r="H225" s="41" t="n"/>
      <c r="I225" s="41" t="n"/>
      <c r="J225" s="47" t="n"/>
      <c r="K225" s="41" t="n"/>
      <c r="L225" s="48" t="n"/>
      <c r="M225" s="45" t="n"/>
      <c r="N225" s="39">
        <f>IF($B225="","",IF(SUMPRODUCT((LISTAS!$O$3:$O$42&lt;&gt;"")*ISNUMBER(SEARCH(LISTAS!$O$3:$O$42,$I225&amp;" "&amp;$K225)))&gt;0,"CERCANA","NACIONAL"))</f>
        <v/>
      </c>
      <c r="O225" s="39">
        <f>IF($B225="","",IF(COUNTIFS(NOVEDADES!$C$4:$C$2003,$B225)=0,"—","SÍ ("&amp;COUNTIFS(NOVEDADES!$C$4:$C$2003,$B225)&amp;")"))</f>
        <v/>
      </c>
    </row>
    <row r="226">
      <c r="A226" s="41" t="n"/>
      <c r="B226" s="41" t="n"/>
      <c r="C226" s="41" t="n"/>
      <c r="D226" s="41" t="n"/>
      <c r="E226" s="46" t="n"/>
      <c r="F226" s="41" t="n"/>
      <c r="G226" s="41" t="n"/>
      <c r="H226" s="41" t="n"/>
      <c r="I226" s="41" t="n"/>
      <c r="J226" s="47" t="n"/>
      <c r="K226" s="41" t="n"/>
      <c r="L226" s="48" t="n"/>
      <c r="M226" s="45" t="n"/>
      <c r="N226" s="39">
        <f>IF($B226="","",IF(SUMPRODUCT((LISTAS!$O$3:$O$42&lt;&gt;"")*ISNUMBER(SEARCH(LISTAS!$O$3:$O$42,$I226&amp;" "&amp;$K226)))&gt;0,"CERCANA","NACIONAL"))</f>
        <v/>
      </c>
      <c r="O226" s="39">
        <f>IF($B226="","",IF(COUNTIFS(NOVEDADES!$C$4:$C$2003,$B226)=0,"—","SÍ ("&amp;COUNTIFS(NOVEDADES!$C$4:$C$2003,$B226)&amp;")"))</f>
        <v/>
      </c>
    </row>
    <row r="227">
      <c r="A227" s="41" t="n"/>
      <c r="B227" s="41" t="n"/>
      <c r="C227" s="41" t="n"/>
      <c r="D227" s="41" t="n"/>
      <c r="E227" s="46" t="n"/>
      <c r="F227" s="41" t="n"/>
      <c r="G227" s="41" t="n"/>
      <c r="H227" s="41" t="n"/>
      <c r="I227" s="41" t="n"/>
      <c r="J227" s="47" t="n"/>
      <c r="K227" s="41" t="n"/>
      <c r="L227" s="48" t="n"/>
      <c r="M227" s="45" t="n"/>
      <c r="N227" s="39">
        <f>IF($B227="","",IF(SUMPRODUCT((LISTAS!$O$3:$O$42&lt;&gt;"")*ISNUMBER(SEARCH(LISTAS!$O$3:$O$42,$I227&amp;" "&amp;$K227)))&gt;0,"CERCANA","NACIONAL"))</f>
        <v/>
      </c>
      <c r="O227" s="39">
        <f>IF($B227="","",IF(COUNTIFS(NOVEDADES!$C$4:$C$2003,$B227)=0,"—","SÍ ("&amp;COUNTIFS(NOVEDADES!$C$4:$C$2003,$B227)&amp;")"))</f>
        <v/>
      </c>
    </row>
    <row r="228">
      <c r="A228" s="41" t="n"/>
      <c r="B228" s="41" t="n"/>
      <c r="C228" s="41" t="n"/>
      <c r="D228" s="41" t="n"/>
      <c r="E228" s="46" t="n"/>
      <c r="F228" s="41" t="n"/>
      <c r="G228" s="41" t="n"/>
      <c r="H228" s="41" t="n"/>
      <c r="I228" s="41" t="n"/>
      <c r="J228" s="47" t="n"/>
      <c r="K228" s="41" t="n"/>
      <c r="L228" s="48" t="n"/>
      <c r="M228" s="45" t="n"/>
      <c r="N228" s="39">
        <f>IF($B228="","",IF(SUMPRODUCT((LISTAS!$O$3:$O$42&lt;&gt;"")*ISNUMBER(SEARCH(LISTAS!$O$3:$O$42,$I228&amp;" "&amp;$K228)))&gt;0,"CERCANA","NACIONAL"))</f>
        <v/>
      </c>
      <c r="O228" s="39">
        <f>IF($B228="","",IF(COUNTIFS(NOVEDADES!$C$4:$C$2003,$B228)=0,"—","SÍ ("&amp;COUNTIFS(NOVEDADES!$C$4:$C$2003,$B228)&amp;")"))</f>
        <v/>
      </c>
    </row>
    <row r="229">
      <c r="A229" s="41" t="n"/>
      <c r="B229" s="41" t="n"/>
      <c r="C229" s="41" t="n"/>
      <c r="D229" s="41" t="n"/>
      <c r="E229" s="46" t="n"/>
      <c r="F229" s="41" t="n"/>
      <c r="G229" s="41" t="n"/>
      <c r="H229" s="41" t="n"/>
      <c r="I229" s="41" t="n"/>
      <c r="J229" s="47" t="n"/>
      <c r="K229" s="41" t="n"/>
      <c r="L229" s="48" t="n"/>
      <c r="M229" s="45" t="n"/>
      <c r="N229" s="39">
        <f>IF($B229="","",IF(SUMPRODUCT((LISTAS!$O$3:$O$42&lt;&gt;"")*ISNUMBER(SEARCH(LISTAS!$O$3:$O$42,$I229&amp;" "&amp;$K229)))&gt;0,"CERCANA","NACIONAL"))</f>
        <v/>
      </c>
      <c r="O229" s="39">
        <f>IF($B229="","",IF(COUNTIFS(NOVEDADES!$C$4:$C$2003,$B229)=0,"—","SÍ ("&amp;COUNTIFS(NOVEDADES!$C$4:$C$2003,$B229)&amp;")"))</f>
        <v/>
      </c>
    </row>
    <row r="230">
      <c r="A230" s="41" t="n"/>
      <c r="B230" s="41" t="n"/>
      <c r="C230" s="41" t="n"/>
      <c r="D230" s="41" t="n"/>
      <c r="E230" s="46" t="n"/>
      <c r="F230" s="41" t="n"/>
      <c r="G230" s="41" t="n"/>
      <c r="H230" s="41" t="n"/>
      <c r="I230" s="41" t="n"/>
      <c r="J230" s="47" t="n"/>
      <c r="K230" s="41" t="n"/>
      <c r="L230" s="48" t="n"/>
      <c r="M230" s="45" t="n"/>
      <c r="N230" s="39">
        <f>IF($B230="","",IF(SUMPRODUCT((LISTAS!$O$3:$O$42&lt;&gt;"")*ISNUMBER(SEARCH(LISTAS!$O$3:$O$42,$I230&amp;" "&amp;$K230)))&gt;0,"CERCANA","NACIONAL"))</f>
        <v/>
      </c>
      <c r="O230" s="39">
        <f>IF($B230="","",IF(COUNTIFS(NOVEDADES!$C$4:$C$2003,$B230)=0,"—","SÍ ("&amp;COUNTIFS(NOVEDADES!$C$4:$C$2003,$B230)&amp;")"))</f>
        <v/>
      </c>
    </row>
    <row r="231">
      <c r="A231" s="41" t="n"/>
      <c r="B231" s="41" t="n"/>
      <c r="C231" s="41" t="n"/>
      <c r="D231" s="41" t="n"/>
      <c r="E231" s="46" t="n"/>
      <c r="F231" s="41" t="n"/>
      <c r="G231" s="41" t="n"/>
      <c r="H231" s="41" t="n"/>
      <c r="I231" s="41" t="n"/>
      <c r="J231" s="47" t="n"/>
      <c r="K231" s="41" t="n"/>
      <c r="L231" s="48" t="n"/>
      <c r="M231" s="45" t="n"/>
      <c r="N231" s="39">
        <f>IF($B231="","",IF(SUMPRODUCT((LISTAS!$O$3:$O$42&lt;&gt;"")*ISNUMBER(SEARCH(LISTAS!$O$3:$O$42,$I231&amp;" "&amp;$K231)))&gt;0,"CERCANA","NACIONAL"))</f>
        <v/>
      </c>
      <c r="O231" s="39">
        <f>IF($B231="","",IF(COUNTIFS(NOVEDADES!$C$4:$C$2003,$B231)=0,"—","SÍ ("&amp;COUNTIFS(NOVEDADES!$C$4:$C$2003,$B231)&amp;")"))</f>
        <v/>
      </c>
    </row>
    <row r="232">
      <c r="A232" s="41" t="n"/>
      <c r="B232" s="41" t="n"/>
      <c r="C232" s="41" t="n"/>
      <c r="D232" s="41" t="n"/>
      <c r="E232" s="46" t="n"/>
      <c r="F232" s="41" t="n"/>
      <c r="G232" s="41" t="n"/>
      <c r="H232" s="41" t="n"/>
      <c r="I232" s="41" t="n"/>
      <c r="J232" s="47" t="n"/>
      <c r="K232" s="41" t="n"/>
      <c r="L232" s="48" t="n"/>
      <c r="M232" s="45" t="n"/>
      <c r="N232" s="39">
        <f>IF($B232="","",IF(SUMPRODUCT((LISTAS!$O$3:$O$42&lt;&gt;"")*ISNUMBER(SEARCH(LISTAS!$O$3:$O$42,$I232&amp;" "&amp;$K232)))&gt;0,"CERCANA","NACIONAL"))</f>
        <v/>
      </c>
      <c r="O232" s="39">
        <f>IF($B232="","",IF(COUNTIFS(NOVEDADES!$C$4:$C$2003,$B232)=0,"—","SÍ ("&amp;COUNTIFS(NOVEDADES!$C$4:$C$2003,$B232)&amp;")"))</f>
        <v/>
      </c>
    </row>
    <row r="233">
      <c r="A233" s="41" t="n"/>
      <c r="B233" s="41" t="n"/>
      <c r="C233" s="41" t="n"/>
      <c r="D233" s="41" t="n"/>
      <c r="E233" s="46" t="n"/>
      <c r="F233" s="41" t="n"/>
      <c r="G233" s="41" t="n"/>
      <c r="H233" s="41" t="n"/>
      <c r="I233" s="41" t="n"/>
      <c r="J233" s="47" t="n"/>
      <c r="K233" s="41" t="n"/>
      <c r="L233" s="48" t="n"/>
      <c r="M233" s="45" t="n"/>
      <c r="N233" s="39">
        <f>IF($B233="","",IF(SUMPRODUCT((LISTAS!$O$3:$O$42&lt;&gt;"")*ISNUMBER(SEARCH(LISTAS!$O$3:$O$42,$I233&amp;" "&amp;$K233)))&gt;0,"CERCANA","NACIONAL"))</f>
        <v/>
      </c>
      <c r="O233" s="39">
        <f>IF($B233="","",IF(COUNTIFS(NOVEDADES!$C$4:$C$2003,$B233)=0,"—","SÍ ("&amp;COUNTIFS(NOVEDADES!$C$4:$C$2003,$B233)&amp;")"))</f>
        <v/>
      </c>
    </row>
    <row r="234">
      <c r="A234" s="41" t="n"/>
      <c r="B234" s="41" t="n"/>
      <c r="C234" s="41" t="n"/>
      <c r="D234" s="41" t="n"/>
      <c r="E234" s="46" t="n"/>
      <c r="F234" s="41" t="n"/>
      <c r="G234" s="41" t="n"/>
      <c r="H234" s="41" t="n"/>
      <c r="I234" s="41" t="n"/>
      <c r="J234" s="47" t="n"/>
      <c r="K234" s="41" t="n"/>
      <c r="L234" s="48" t="n"/>
      <c r="M234" s="45" t="n"/>
      <c r="N234" s="39">
        <f>IF($B234="","",IF(SUMPRODUCT((LISTAS!$O$3:$O$42&lt;&gt;"")*ISNUMBER(SEARCH(LISTAS!$O$3:$O$42,$I234&amp;" "&amp;$K234)))&gt;0,"CERCANA","NACIONAL"))</f>
        <v/>
      </c>
      <c r="O234" s="39">
        <f>IF($B234="","",IF(COUNTIFS(NOVEDADES!$C$4:$C$2003,$B234)=0,"—","SÍ ("&amp;COUNTIFS(NOVEDADES!$C$4:$C$2003,$B234)&amp;")"))</f>
        <v/>
      </c>
    </row>
    <row r="235">
      <c r="A235" s="41" t="n"/>
      <c r="B235" s="41" t="n"/>
      <c r="C235" s="41" t="n"/>
      <c r="D235" s="41" t="n"/>
      <c r="E235" s="46" t="n"/>
      <c r="F235" s="41" t="n"/>
      <c r="G235" s="41" t="n"/>
      <c r="H235" s="41" t="n"/>
      <c r="I235" s="41" t="n"/>
      <c r="J235" s="47" t="n"/>
      <c r="K235" s="41" t="n"/>
      <c r="L235" s="48" t="n"/>
      <c r="M235" s="45" t="n"/>
      <c r="N235" s="39">
        <f>IF($B235="","",IF(SUMPRODUCT((LISTAS!$O$3:$O$42&lt;&gt;"")*ISNUMBER(SEARCH(LISTAS!$O$3:$O$42,$I235&amp;" "&amp;$K235)))&gt;0,"CERCANA","NACIONAL"))</f>
        <v/>
      </c>
      <c r="O235" s="39">
        <f>IF($B235="","",IF(COUNTIFS(NOVEDADES!$C$4:$C$2003,$B235)=0,"—","SÍ ("&amp;COUNTIFS(NOVEDADES!$C$4:$C$2003,$B235)&amp;")"))</f>
        <v/>
      </c>
    </row>
    <row r="236">
      <c r="A236" s="41" t="n"/>
      <c r="B236" s="41" t="n"/>
      <c r="C236" s="41" t="n"/>
      <c r="D236" s="41" t="n"/>
      <c r="E236" s="46" t="n"/>
      <c r="F236" s="41" t="n"/>
      <c r="G236" s="41" t="n"/>
      <c r="H236" s="41" t="n"/>
      <c r="I236" s="41" t="n"/>
      <c r="J236" s="47" t="n"/>
      <c r="K236" s="41" t="n"/>
      <c r="L236" s="48" t="n"/>
      <c r="M236" s="45" t="n"/>
      <c r="N236" s="39">
        <f>IF($B236="","",IF(SUMPRODUCT((LISTAS!$O$3:$O$42&lt;&gt;"")*ISNUMBER(SEARCH(LISTAS!$O$3:$O$42,$I236&amp;" "&amp;$K236)))&gt;0,"CERCANA","NACIONAL"))</f>
        <v/>
      </c>
      <c r="O236" s="39">
        <f>IF($B236="","",IF(COUNTIFS(NOVEDADES!$C$4:$C$2003,$B236)=0,"—","SÍ ("&amp;COUNTIFS(NOVEDADES!$C$4:$C$2003,$B236)&amp;")"))</f>
        <v/>
      </c>
    </row>
    <row r="237">
      <c r="A237" s="41" t="n"/>
      <c r="B237" s="41" t="n"/>
      <c r="C237" s="41" t="n"/>
      <c r="D237" s="41" t="n"/>
      <c r="E237" s="46" t="n"/>
      <c r="F237" s="41" t="n"/>
      <c r="G237" s="41" t="n"/>
      <c r="H237" s="41" t="n"/>
      <c r="I237" s="41" t="n"/>
      <c r="J237" s="47" t="n"/>
      <c r="K237" s="41" t="n"/>
      <c r="L237" s="48" t="n"/>
      <c r="M237" s="45" t="n"/>
      <c r="N237" s="39">
        <f>IF($B237="","",IF(SUMPRODUCT((LISTAS!$O$3:$O$42&lt;&gt;"")*ISNUMBER(SEARCH(LISTAS!$O$3:$O$42,$I237&amp;" "&amp;$K237)))&gt;0,"CERCANA","NACIONAL"))</f>
        <v/>
      </c>
      <c r="O237" s="39">
        <f>IF($B237="","",IF(COUNTIFS(NOVEDADES!$C$4:$C$2003,$B237)=0,"—","SÍ ("&amp;COUNTIFS(NOVEDADES!$C$4:$C$2003,$B237)&amp;")"))</f>
        <v/>
      </c>
    </row>
    <row r="238">
      <c r="A238" s="41" t="n"/>
      <c r="B238" s="41" t="n"/>
      <c r="C238" s="41" t="n"/>
      <c r="D238" s="41" t="n"/>
      <c r="E238" s="46" t="n"/>
      <c r="F238" s="41" t="n"/>
      <c r="G238" s="41" t="n"/>
      <c r="H238" s="41" t="n"/>
      <c r="I238" s="41" t="n"/>
      <c r="J238" s="47" t="n"/>
      <c r="K238" s="41" t="n"/>
      <c r="L238" s="48" t="n"/>
      <c r="M238" s="45" t="n"/>
      <c r="N238" s="39">
        <f>IF($B238="","",IF(SUMPRODUCT((LISTAS!$O$3:$O$42&lt;&gt;"")*ISNUMBER(SEARCH(LISTAS!$O$3:$O$42,$I238&amp;" "&amp;$K238)))&gt;0,"CERCANA","NACIONAL"))</f>
        <v/>
      </c>
      <c r="O238" s="39">
        <f>IF($B238="","",IF(COUNTIFS(NOVEDADES!$C$4:$C$2003,$B238)=0,"—","SÍ ("&amp;COUNTIFS(NOVEDADES!$C$4:$C$2003,$B238)&amp;")"))</f>
        <v/>
      </c>
    </row>
    <row r="239">
      <c r="A239" s="41" t="n"/>
      <c r="B239" s="41" t="n"/>
      <c r="C239" s="41" t="n"/>
      <c r="D239" s="41" t="n"/>
      <c r="E239" s="46" t="n"/>
      <c r="F239" s="41" t="n"/>
      <c r="G239" s="41" t="n"/>
      <c r="H239" s="41" t="n"/>
      <c r="I239" s="41" t="n"/>
      <c r="J239" s="47" t="n"/>
      <c r="K239" s="41" t="n"/>
      <c r="L239" s="48" t="n"/>
      <c r="M239" s="45" t="n"/>
      <c r="N239" s="39">
        <f>IF($B239="","",IF(SUMPRODUCT((LISTAS!$O$3:$O$42&lt;&gt;"")*ISNUMBER(SEARCH(LISTAS!$O$3:$O$42,$I239&amp;" "&amp;$K239)))&gt;0,"CERCANA","NACIONAL"))</f>
        <v/>
      </c>
      <c r="O239" s="39">
        <f>IF($B239="","",IF(COUNTIFS(NOVEDADES!$C$4:$C$2003,$B239)=0,"—","SÍ ("&amp;COUNTIFS(NOVEDADES!$C$4:$C$2003,$B239)&amp;")"))</f>
        <v/>
      </c>
    </row>
    <row r="240">
      <c r="A240" s="41" t="n"/>
      <c r="B240" s="41" t="n"/>
      <c r="C240" s="41" t="n"/>
      <c r="D240" s="41" t="n"/>
      <c r="E240" s="46" t="n"/>
      <c r="F240" s="41" t="n"/>
      <c r="G240" s="41" t="n"/>
      <c r="H240" s="41" t="n"/>
      <c r="I240" s="41" t="n"/>
      <c r="J240" s="47" t="n"/>
      <c r="K240" s="41" t="n"/>
      <c r="L240" s="48" t="n"/>
      <c r="M240" s="45" t="n"/>
      <c r="N240" s="39">
        <f>IF($B240="","",IF(SUMPRODUCT((LISTAS!$O$3:$O$42&lt;&gt;"")*ISNUMBER(SEARCH(LISTAS!$O$3:$O$42,$I240&amp;" "&amp;$K240)))&gt;0,"CERCANA","NACIONAL"))</f>
        <v/>
      </c>
      <c r="O240" s="39">
        <f>IF($B240="","",IF(COUNTIFS(NOVEDADES!$C$4:$C$2003,$B240)=0,"—","SÍ ("&amp;COUNTIFS(NOVEDADES!$C$4:$C$2003,$B240)&amp;")"))</f>
        <v/>
      </c>
    </row>
    <row r="241">
      <c r="A241" s="41" t="n"/>
      <c r="B241" s="41" t="n"/>
      <c r="C241" s="41" t="n"/>
      <c r="D241" s="41" t="n"/>
      <c r="E241" s="46" t="n"/>
      <c r="F241" s="41" t="n"/>
      <c r="G241" s="41" t="n"/>
      <c r="H241" s="41" t="n"/>
      <c r="I241" s="41" t="n"/>
      <c r="J241" s="47" t="n"/>
      <c r="K241" s="41" t="n"/>
      <c r="L241" s="48" t="n"/>
      <c r="M241" s="45" t="n"/>
      <c r="N241" s="39">
        <f>IF($B241="","",IF(SUMPRODUCT((LISTAS!$O$3:$O$42&lt;&gt;"")*ISNUMBER(SEARCH(LISTAS!$O$3:$O$42,$I241&amp;" "&amp;$K241)))&gt;0,"CERCANA","NACIONAL"))</f>
        <v/>
      </c>
      <c r="O241" s="39">
        <f>IF($B241="","",IF(COUNTIFS(NOVEDADES!$C$4:$C$2003,$B241)=0,"—","SÍ ("&amp;COUNTIFS(NOVEDADES!$C$4:$C$2003,$B241)&amp;")"))</f>
        <v/>
      </c>
    </row>
    <row r="242">
      <c r="A242" s="41" t="n"/>
      <c r="B242" s="41" t="n"/>
      <c r="C242" s="41" t="n"/>
      <c r="D242" s="41" t="n"/>
      <c r="E242" s="46" t="n"/>
      <c r="F242" s="41" t="n"/>
      <c r="G242" s="41" t="n"/>
      <c r="H242" s="41" t="n"/>
      <c r="I242" s="41" t="n"/>
      <c r="J242" s="47" t="n"/>
      <c r="K242" s="41" t="n"/>
      <c r="L242" s="48" t="n"/>
      <c r="M242" s="45" t="n"/>
      <c r="N242" s="39">
        <f>IF($B242="","",IF(SUMPRODUCT((LISTAS!$O$3:$O$42&lt;&gt;"")*ISNUMBER(SEARCH(LISTAS!$O$3:$O$42,$I242&amp;" "&amp;$K242)))&gt;0,"CERCANA","NACIONAL"))</f>
        <v/>
      </c>
      <c r="O242" s="39">
        <f>IF($B242="","",IF(COUNTIFS(NOVEDADES!$C$4:$C$2003,$B242)=0,"—","SÍ ("&amp;COUNTIFS(NOVEDADES!$C$4:$C$2003,$B242)&amp;")"))</f>
        <v/>
      </c>
    </row>
    <row r="243">
      <c r="A243" s="41" t="n"/>
      <c r="B243" s="41" t="n"/>
      <c r="C243" s="41" t="n"/>
      <c r="D243" s="41" t="n"/>
      <c r="E243" s="46" t="n"/>
      <c r="F243" s="41" t="n"/>
      <c r="G243" s="41" t="n"/>
      <c r="H243" s="41" t="n"/>
      <c r="I243" s="41" t="n"/>
      <c r="J243" s="47" t="n"/>
      <c r="K243" s="41" t="n"/>
      <c r="L243" s="48" t="n"/>
      <c r="M243" s="45" t="n"/>
      <c r="N243" s="39">
        <f>IF($B243="","",IF(SUMPRODUCT((LISTAS!$O$3:$O$42&lt;&gt;"")*ISNUMBER(SEARCH(LISTAS!$O$3:$O$42,$I243&amp;" "&amp;$K243)))&gt;0,"CERCANA","NACIONAL"))</f>
        <v/>
      </c>
      <c r="O243" s="39">
        <f>IF($B243="","",IF(COUNTIFS(NOVEDADES!$C$4:$C$2003,$B243)=0,"—","SÍ ("&amp;COUNTIFS(NOVEDADES!$C$4:$C$2003,$B243)&amp;")"))</f>
        <v/>
      </c>
    </row>
    <row r="244">
      <c r="A244" s="41" t="n"/>
      <c r="B244" s="41" t="n"/>
      <c r="C244" s="41" t="n"/>
      <c r="D244" s="41" t="n"/>
      <c r="E244" s="46" t="n"/>
      <c r="F244" s="41" t="n"/>
      <c r="G244" s="41" t="n"/>
      <c r="H244" s="41" t="n"/>
      <c r="I244" s="41" t="n"/>
      <c r="J244" s="47" t="n"/>
      <c r="K244" s="41" t="n"/>
      <c r="L244" s="48" t="n"/>
      <c r="M244" s="45" t="n"/>
      <c r="N244" s="39">
        <f>IF($B244="","",IF(SUMPRODUCT((LISTAS!$O$3:$O$42&lt;&gt;"")*ISNUMBER(SEARCH(LISTAS!$O$3:$O$42,$I244&amp;" "&amp;$K244)))&gt;0,"CERCANA","NACIONAL"))</f>
        <v/>
      </c>
      <c r="O244" s="39">
        <f>IF($B244="","",IF(COUNTIFS(NOVEDADES!$C$4:$C$2003,$B244)=0,"—","SÍ ("&amp;COUNTIFS(NOVEDADES!$C$4:$C$2003,$B244)&amp;")"))</f>
        <v/>
      </c>
    </row>
    <row r="245">
      <c r="A245" s="41" t="n"/>
      <c r="B245" s="41" t="n"/>
      <c r="C245" s="41" t="n"/>
      <c r="D245" s="41" t="n"/>
      <c r="E245" s="46" t="n"/>
      <c r="F245" s="41" t="n"/>
      <c r="G245" s="41" t="n"/>
      <c r="H245" s="41" t="n"/>
      <c r="I245" s="41" t="n"/>
      <c r="J245" s="47" t="n"/>
      <c r="K245" s="41" t="n"/>
      <c r="L245" s="48" t="n"/>
      <c r="M245" s="45" t="n"/>
      <c r="N245" s="39">
        <f>IF($B245="","",IF(SUMPRODUCT((LISTAS!$O$3:$O$42&lt;&gt;"")*ISNUMBER(SEARCH(LISTAS!$O$3:$O$42,$I245&amp;" "&amp;$K245)))&gt;0,"CERCANA","NACIONAL"))</f>
        <v/>
      </c>
      <c r="O245" s="39">
        <f>IF($B245="","",IF(COUNTIFS(NOVEDADES!$C$4:$C$2003,$B245)=0,"—","SÍ ("&amp;COUNTIFS(NOVEDADES!$C$4:$C$2003,$B245)&amp;")"))</f>
        <v/>
      </c>
    </row>
    <row r="246">
      <c r="A246" s="41" t="n"/>
      <c r="B246" s="41" t="n"/>
      <c r="C246" s="41" t="n"/>
      <c r="D246" s="41" t="n"/>
      <c r="E246" s="46" t="n"/>
      <c r="F246" s="41" t="n"/>
      <c r="G246" s="41" t="n"/>
      <c r="H246" s="41" t="n"/>
      <c r="I246" s="41" t="n"/>
      <c r="J246" s="47" t="n"/>
      <c r="K246" s="41" t="n"/>
      <c r="L246" s="48" t="n"/>
      <c r="M246" s="45" t="n"/>
      <c r="N246" s="39">
        <f>IF($B246="","",IF(SUMPRODUCT((LISTAS!$O$3:$O$42&lt;&gt;"")*ISNUMBER(SEARCH(LISTAS!$O$3:$O$42,$I246&amp;" "&amp;$K246)))&gt;0,"CERCANA","NACIONAL"))</f>
        <v/>
      </c>
      <c r="O246" s="39">
        <f>IF($B246="","",IF(COUNTIFS(NOVEDADES!$C$4:$C$2003,$B246)=0,"—","SÍ ("&amp;COUNTIFS(NOVEDADES!$C$4:$C$2003,$B246)&amp;")"))</f>
        <v/>
      </c>
    </row>
    <row r="247">
      <c r="A247" s="41" t="n"/>
      <c r="B247" s="41" t="n"/>
      <c r="C247" s="41" t="n"/>
      <c r="D247" s="41" t="n"/>
      <c r="E247" s="46" t="n"/>
      <c r="F247" s="41" t="n"/>
      <c r="G247" s="41" t="n"/>
      <c r="H247" s="41" t="n"/>
      <c r="I247" s="41" t="n"/>
      <c r="J247" s="47" t="n"/>
      <c r="K247" s="41" t="n"/>
      <c r="L247" s="48" t="n"/>
      <c r="M247" s="45" t="n"/>
      <c r="N247" s="39">
        <f>IF($B247="","",IF(SUMPRODUCT((LISTAS!$O$3:$O$42&lt;&gt;"")*ISNUMBER(SEARCH(LISTAS!$O$3:$O$42,$I247&amp;" "&amp;$K247)))&gt;0,"CERCANA","NACIONAL"))</f>
        <v/>
      </c>
      <c r="O247" s="39">
        <f>IF($B247="","",IF(COUNTIFS(NOVEDADES!$C$4:$C$2003,$B247)=0,"—","SÍ ("&amp;COUNTIFS(NOVEDADES!$C$4:$C$2003,$B247)&amp;")"))</f>
        <v/>
      </c>
    </row>
    <row r="248">
      <c r="A248" s="41" t="n"/>
      <c r="B248" s="41" t="n"/>
      <c r="C248" s="41" t="n"/>
      <c r="D248" s="41" t="n"/>
      <c r="E248" s="46" t="n"/>
      <c r="F248" s="41" t="n"/>
      <c r="G248" s="41" t="n"/>
      <c r="H248" s="41" t="n"/>
      <c r="I248" s="41" t="n"/>
      <c r="J248" s="47" t="n"/>
      <c r="K248" s="41" t="n"/>
      <c r="L248" s="48" t="n"/>
      <c r="M248" s="45" t="n"/>
      <c r="N248" s="39">
        <f>IF($B248="","",IF(SUMPRODUCT((LISTAS!$O$3:$O$42&lt;&gt;"")*ISNUMBER(SEARCH(LISTAS!$O$3:$O$42,$I248&amp;" "&amp;$K248)))&gt;0,"CERCANA","NACIONAL"))</f>
        <v/>
      </c>
      <c r="O248" s="39">
        <f>IF($B248="","",IF(COUNTIFS(NOVEDADES!$C$4:$C$2003,$B248)=0,"—","SÍ ("&amp;COUNTIFS(NOVEDADES!$C$4:$C$2003,$B248)&amp;")"))</f>
        <v/>
      </c>
    </row>
    <row r="249">
      <c r="A249" s="41" t="n"/>
      <c r="B249" s="41" t="n"/>
      <c r="C249" s="41" t="n"/>
      <c r="D249" s="41" t="n"/>
      <c r="E249" s="46" t="n"/>
      <c r="F249" s="41" t="n"/>
      <c r="G249" s="41" t="n"/>
      <c r="H249" s="41" t="n"/>
      <c r="I249" s="41" t="n"/>
      <c r="J249" s="47" t="n"/>
      <c r="K249" s="41" t="n"/>
      <c r="L249" s="48" t="n"/>
      <c r="M249" s="45" t="n"/>
      <c r="N249" s="39">
        <f>IF($B249="","",IF(SUMPRODUCT((LISTAS!$O$3:$O$42&lt;&gt;"")*ISNUMBER(SEARCH(LISTAS!$O$3:$O$42,$I249&amp;" "&amp;$K249)))&gt;0,"CERCANA","NACIONAL"))</f>
        <v/>
      </c>
      <c r="O249" s="39">
        <f>IF($B249="","",IF(COUNTIFS(NOVEDADES!$C$4:$C$2003,$B249)=0,"—","SÍ ("&amp;COUNTIFS(NOVEDADES!$C$4:$C$2003,$B249)&amp;")"))</f>
        <v/>
      </c>
    </row>
    <row r="250">
      <c r="A250" s="41" t="n"/>
      <c r="B250" s="41" t="n"/>
      <c r="C250" s="41" t="n"/>
      <c r="D250" s="41" t="n"/>
      <c r="E250" s="46" t="n"/>
      <c r="F250" s="41" t="n"/>
      <c r="G250" s="41" t="n"/>
      <c r="H250" s="41" t="n"/>
      <c r="I250" s="41" t="n"/>
      <c r="J250" s="47" t="n"/>
      <c r="K250" s="41" t="n"/>
      <c r="L250" s="48" t="n"/>
      <c r="M250" s="45" t="n"/>
      <c r="N250" s="39">
        <f>IF($B250="","",IF(SUMPRODUCT((LISTAS!$O$3:$O$42&lt;&gt;"")*ISNUMBER(SEARCH(LISTAS!$O$3:$O$42,$I250&amp;" "&amp;$K250)))&gt;0,"CERCANA","NACIONAL"))</f>
        <v/>
      </c>
      <c r="O250" s="39">
        <f>IF($B250="","",IF(COUNTIFS(NOVEDADES!$C$4:$C$2003,$B250)=0,"—","SÍ ("&amp;COUNTIFS(NOVEDADES!$C$4:$C$2003,$B250)&amp;")"))</f>
        <v/>
      </c>
    </row>
    <row r="251">
      <c r="A251" s="41" t="n"/>
      <c r="B251" s="41" t="n"/>
      <c r="C251" s="41" t="n"/>
      <c r="D251" s="41" t="n"/>
      <c r="E251" s="46" t="n"/>
      <c r="F251" s="41" t="n"/>
      <c r="G251" s="41" t="n"/>
      <c r="H251" s="41" t="n"/>
      <c r="I251" s="41" t="n"/>
      <c r="J251" s="47" t="n"/>
      <c r="K251" s="41" t="n"/>
      <c r="L251" s="48" t="n"/>
      <c r="M251" s="45" t="n"/>
      <c r="N251" s="39">
        <f>IF($B251="","",IF(SUMPRODUCT((LISTAS!$O$3:$O$42&lt;&gt;"")*ISNUMBER(SEARCH(LISTAS!$O$3:$O$42,$I251&amp;" "&amp;$K251)))&gt;0,"CERCANA","NACIONAL"))</f>
        <v/>
      </c>
      <c r="O251" s="39">
        <f>IF($B251="","",IF(COUNTIFS(NOVEDADES!$C$4:$C$2003,$B251)=0,"—","SÍ ("&amp;COUNTIFS(NOVEDADES!$C$4:$C$2003,$B251)&amp;")"))</f>
        <v/>
      </c>
    </row>
    <row r="252">
      <c r="A252" s="41" t="n"/>
      <c r="B252" s="41" t="n"/>
      <c r="C252" s="41" t="n"/>
      <c r="D252" s="41" t="n"/>
      <c r="E252" s="46" t="n"/>
      <c r="F252" s="41" t="n"/>
      <c r="G252" s="41" t="n"/>
      <c r="H252" s="41" t="n"/>
      <c r="I252" s="41" t="n"/>
      <c r="J252" s="47" t="n"/>
      <c r="K252" s="41" t="n"/>
      <c r="L252" s="48" t="n"/>
      <c r="M252" s="45" t="n"/>
      <c r="N252" s="39">
        <f>IF($B252="","",IF(SUMPRODUCT((LISTAS!$O$3:$O$42&lt;&gt;"")*ISNUMBER(SEARCH(LISTAS!$O$3:$O$42,$I252&amp;" "&amp;$K252)))&gt;0,"CERCANA","NACIONAL"))</f>
        <v/>
      </c>
      <c r="O252" s="39">
        <f>IF($B252="","",IF(COUNTIFS(NOVEDADES!$C$4:$C$2003,$B252)=0,"—","SÍ ("&amp;COUNTIFS(NOVEDADES!$C$4:$C$2003,$B252)&amp;")"))</f>
        <v/>
      </c>
    </row>
    <row r="253">
      <c r="A253" s="41" t="n"/>
      <c r="B253" s="41" t="n"/>
      <c r="C253" s="41" t="n"/>
      <c r="D253" s="41" t="n"/>
      <c r="E253" s="46" t="n"/>
      <c r="F253" s="41" t="n"/>
      <c r="G253" s="41" t="n"/>
      <c r="H253" s="41" t="n"/>
      <c r="I253" s="41" t="n"/>
      <c r="J253" s="47" t="n"/>
      <c r="K253" s="41" t="n"/>
      <c r="L253" s="48" t="n"/>
      <c r="M253" s="45" t="n"/>
      <c r="N253" s="39">
        <f>IF($B253="","",IF(SUMPRODUCT((LISTAS!$O$3:$O$42&lt;&gt;"")*ISNUMBER(SEARCH(LISTAS!$O$3:$O$42,$I253&amp;" "&amp;$K253)))&gt;0,"CERCANA","NACIONAL"))</f>
        <v/>
      </c>
      <c r="O253" s="39">
        <f>IF($B253="","",IF(COUNTIFS(NOVEDADES!$C$4:$C$2003,$B253)=0,"—","SÍ ("&amp;COUNTIFS(NOVEDADES!$C$4:$C$2003,$B253)&amp;")"))</f>
        <v/>
      </c>
    </row>
    <row r="254">
      <c r="A254" s="41" t="n"/>
      <c r="B254" s="41" t="n"/>
      <c r="C254" s="41" t="n"/>
      <c r="D254" s="41" t="n"/>
      <c r="E254" s="46" t="n"/>
      <c r="F254" s="41" t="n"/>
      <c r="G254" s="41" t="n"/>
      <c r="H254" s="41" t="n"/>
      <c r="I254" s="41" t="n"/>
      <c r="J254" s="47" t="n"/>
      <c r="K254" s="41" t="n"/>
      <c r="L254" s="48" t="n"/>
      <c r="M254" s="45" t="n"/>
      <c r="N254" s="39">
        <f>IF($B254="","",IF(SUMPRODUCT((LISTAS!$O$3:$O$42&lt;&gt;"")*ISNUMBER(SEARCH(LISTAS!$O$3:$O$42,$I254&amp;" "&amp;$K254)))&gt;0,"CERCANA","NACIONAL"))</f>
        <v/>
      </c>
      <c r="O254" s="39">
        <f>IF($B254="","",IF(COUNTIFS(NOVEDADES!$C$4:$C$2003,$B254)=0,"—","SÍ ("&amp;COUNTIFS(NOVEDADES!$C$4:$C$2003,$B254)&amp;")"))</f>
        <v/>
      </c>
    </row>
    <row r="255">
      <c r="A255" s="41" t="n"/>
      <c r="B255" s="41" t="n"/>
      <c r="C255" s="41" t="n"/>
      <c r="D255" s="41" t="n"/>
      <c r="E255" s="46" t="n"/>
      <c r="F255" s="41" t="n"/>
      <c r="G255" s="41" t="n"/>
      <c r="H255" s="41" t="n"/>
      <c r="I255" s="41" t="n"/>
      <c r="J255" s="47" t="n"/>
      <c r="K255" s="41" t="n"/>
      <c r="L255" s="48" t="n"/>
      <c r="M255" s="45" t="n"/>
      <c r="N255" s="39">
        <f>IF($B255="","",IF(SUMPRODUCT((LISTAS!$O$3:$O$42&lt;&gt;"")*ISNUMBER(SEARCH(LISTAS!$O$3:$O$42,$I255&amp;" "&amp;$K255)))&gt;0,"CERCANA","NACIONAL"))</f>
        <v/>
      </c>
      <c r="O255" s="39">
        <f>IF($B255="","",IF(COUNTIFS(NOVEDADES!$C$4:$C$2003,$B255)=0,"—","SÍ ("&amp;COUNTIFS(NOVEDADES!$C$4:$C$2003,$B255)&amp;")"))</f>
        <v/>
      </c>
    </row>
    <row r="256">
      <c r="A256" s="41" t="n"/>
      <c r="B256" s="41" t="n"/>
      <c r="C256" s="41" t="n"/>
      <c r="D256" s="41" t="n"/>
      <c r="E256" s="46" t="n"/>
      <c r="F256" s="41" t="n"/>
      <c r="G256" s="41" t="n"/>
      <c r="H256" s="41" t="n"/>
      <c r="I256" s="41" t="n"/>
      <c r="J256" s="47" t="n"/>
      <c r="K256" s="41" t="n"/>
      <c r="L256" s="48" t="n"/>
      <c r="M256" s="45" t="n"/>
      <c r="N256" s="39">
        <f>IF($B256="","",IF(SUMPRODUCT((LISTAS!$O$3:$O$42&lt;&gt;"")*ISNUMBER(SEARCH(LISTAS!$O$3:$O$42,$I256&amp;" "&amp;$K256)))&gt;0,"CERCANA","NACIONAL"))</f>
        <v/>
      </c>
      <c r="O256" s="39">
        <f>IF($B256="","",IF(COUNTIFS(NOVEDADES!$C$4:$C$2003,$B256)=0,"—","SÍ ("&amp;COUNTIFS(NOVEDADES!$C$4:$C$2003,$B256)&amp;")"))</f>
        <v/>
      </c>
    </row>
    <row r="257">
      <c r="A257" s="41" t="n"/>
      <c r="B257" s="41" t="n"/>
      <c r="C257" s="41" t="n"/>
      <c r="D257" s="41" t="n"/>
      <c r="E257" s="46" t="n"/>
      <c r="F257" s="41" t="n"/>
      <c r="G257" s="41" t="n"/>
      <c r="H257" s="41" t="n"/>
      <c r="I257" s="41" t="n"/>
      <c r="J257" s="47" t="n"/>
      <c r="K257" s="41" t="n"/>
      <c r="L257" s="48" t="n"/>
      <c r="M257" s="45" t="n"/>
      <c r="N257" s="39">
        <f>IF($B257="","",IF(SUMPRODUCT((LISTAS!$O$3:$O$42&lt;&gt;"")*ISNUMBER(SEARCH(LISTAS!$O$3:$O$42,$I257&amp;" "&amp;$K257)))&gt;0,"CERCANA","NACIONAL"))</f>
        <v/>
      </c>
      <c r="O257" s="39">
        <f>IF($B257="","",IF(COUNTIFS(NOVEDADES!$C$4:$C$2003,$B257)=0,"—","SÍ ("&amp;COUNTIFS(NOVEDADES!$C$4:$C$2003,$B257)&amp;")"))</f>
        <v/>
      </c>
    </row>
    <row r="258">
      <c r="A258" s="41" t="n"/>
      <c r="B258" s="41" t="n"/>
      <c r="C258" s="41" t="n"/>
      <c r="D258" s="41" t="n"/>
      <c r="E258" s="46" t="n"/>
      <c r="F258" s="41" t="n"/>
      <c r="G258" s="41" t="n"/>
      <c r="H258" s="41" t="n"/>
      <c r="I258" s="41" t="n"/>
      <c r="J258" s="47" t="n"/>
      <c r="K258" s="41" t="n"/>
      <c r="L258" s="48" t="n"/>
      <c r="M258" s="45" t="n"/>
      <c r="N258" s="39">
        <f>IF($B258="","",IF(SUMPRODUCT((LISTAS!$O$3:$O$42&lt;&gt;"")*ISNUMBER(SEARCH(LISTAS!$O$3:$O$42,$I258&amp;" "&amp;$K258)))&gt;0,"CERCANA","NACIONAL"))</f>
        <v/>
      </c>
      <c r="O258" s="39">
        <f>IF($B258="","",IF(COUNTIFS(NOVEDADES!$C$4:$C$2003,$B258)=0,"—","SÍ ("&amp;COUNTIFS(NOVEDADES!$C$4:$C$2003,$B258)&amp;")"))</f>
        <v/>
      </c>
    </row>
    <row r="259">
      <c r="A259" s="41" t="n"/>
      <c r="B259" s="41" t="n"/>
      <c r="C259" s="41" t="n"/>
      <c r="D259" s="41" t="n"/>
      <c r="E259" s="46" t="n"/>
      <c r="F259" s="41" t="n"/>
      <c r="G259" s="41" t="n"/>
      <c r="H259" s="41" t="n"/>
      <c r="I259" s="41" t="n"/>
      <c r="J259" s="47" t="n"/>
      <c r="K259" s="41" t="n"/>
      <c r="L259" s="48" t="n"/>
      <c r="M259" s="45" t="n"/>
      <c r="N259" s="39">
        <f>IF($B259="","",IF(SUMPRODUCT((LISTAS!$O$3:$O$42&lt;&gt;"")*ISNUMBER(SEARCH(LISTAS!$O$3:$O$42,$I259&amp;" "&amp;$K259)))&gt;0,"CERCANA","NACIONAL"))</f>
        <v/>
      </c>
      <c r="O259" s="39">
        <f>IF($B259="","",IF(COUNTIFS(NOVEDADES!$C$4:$C$2003,$B259)=0,"—","SÍ ("&amp;COUNTIFS(NOVEDADES!$C$4:$C$2003,$B259)&amp;")"))</f>
        <v/>
      </c>
    </row>
    <row r="260">
      <c r="A260" s="41" t="n"/>
      <c r="B260" s="41" t="n"/>
      <c r="C260" s="41" t="n"/>
      <c r="D260" s="41" t="n"/>
      <c r="E260" s="46" t="n"/>
      <c r="F260" s="41" t="n"/>
      <c r="G260" s="41" t="n"/>
      <c r="H260" s="41" t="n"/>
      <c r="I260" s="41" t="n"/>
      <c r="J260" s="47" t="n"/>
      <c r="K260" s="41" t="n"/>
      <c r="L260" s="48" t="n"/>
      <c r="M260" s="45" t="n"/>
      <c r="N260" s="39">
        <f>IF($B260="","",IF(SUMPRODUCT((LISTAS!$O$3:$O$42&lt;&gt;"")*ISNUMBER(SEARCH(LISTAS!$O$3:$O$42,$I260&amp;" "&amp;$K260)))&gt;0,"CERCANA","NACIONAL"))</f>
        <v/>
      </c>
      <c r="O260" s="39">
        <f>IF($B260="","",IF(COUNTIFS(NOVEDADES!$C$4:$C$2003,$B260)=0,"—","SÍ ("&amp;COUNTIFS(NOVEDADES!$C$4:$C$2003,$B260)&amp;")"))</f>
        <v/>
      </c>
    </row>
    <row r="261">
      <c r="A261" s="41" t="n"/>
      <c r="B261" s="41" t="n"/>
      <c r="C261" s="41" t="n"/>
      <c r="D261" s="41" t="n"/>
      <c r="E261" s="46" t="n"/>
      <c r="F261" s="41" t="n"/>
      <c r="G261" s="41" t="n"/>
      <c r="H261" s="41" t="n"/>
      <c r="I261" s="41" t="n"/>
      <c r="J261" s="47" t="n"/>
      <c r="K261" s="41" t="n"/>
      <c r="L261" s="48" t="n"/>
      <c r="M261" s="45" t="n"/>
      <c r="N261" s="39">
        <f>IF($B261="","",IF(SUMPRODUCT((LISTAS!$O$3:$O$42&lt;&gt;"")*ISNUMBER(SEARCH(LISTAS!$O$3:$O$42,$I261&amp;" "&amp;$K261)))&gt;0,"CERCANA","NACIONAL"))</f>
        <v/>
      </c>
      <c r="O261" s="39">
        <f>IF($B261="","",IF(COUNTIFS(NOVEDADES!$C$4:$C$2003,$B261)=0,"—","SÍ ("&amp;COUNTIFS(NOVEDADES!$C$4:$C$2003,$B261)&amp;")"))</f>
        <v/>
      </c>
    </row>
    <row r="262">
      <c r="A262" s="41" t="n"/>
      <c r="B262" s="41" t="n"/>
      <c r="C262" s="41" t="n"/>
      <c r="D262" s="41" t="n"/>
      <c r="E262" s="46" t="n"/>
      <c r="F262" s="41" t="n"/>
      <c r="G262" s="41" t="n"/>
      <c r="H262" s="41" t="n"/>
      <c r="I262" s="41" t="n"/>
      <c r="J262" s="47" t="n"/>
      <c r="K262" s="41" t="n"/>
      <c r="L262" s="48" t="n"/>
      <c r="M262" s="45" t="n"/>
      <c r="N262" s="39">
        <f>IF($B262="","",IF(SUMPRODUCT((LISTAS!$O$3:$O$42&lt;&gt;"")*ISNUMBER(SEARCH(LISTAS!$O$3:$O$42,$I262&amp;" "&amp;$K262)))&gt;0,"CERCANA","NACIONAL"))</f>
        <v/>
      </c>
      <c r="O262" s="39">
        <f>IF($B262="","",IF(COUNTIFS(NOVEDADES!$C$4:$C$2003,$B262)=0,"—","SÍ ("&amp;COUNTIFS(NOVEDADES!$C$4:$C$2003,$B262)&amp;")"))</f>
        <v/>
      </c>
    </row>
    <row r="263">
      <c r="A263" s="41" t="n"/>
      <c r="B263" s="41" t="n"/>
      <c r="C263" s="41" t="n"/>
      <c r="D263" s="41" t="n"/>
      <c r="E263" s="46" t="n"/>
      <c r="F263" s="41" t="n"/>
      <c r="G263" s="41" t="n"/>
      <c r="H263" s="41" t="n"/>
      <c r="I263" s="41" t="n"/>
      <c r="J263" s="47" t="n"/>
      <c r="K263" s="41" t="n"/>
      <c r="L263" s="48" t="n"/>
      <c r="M263" s="45" t="n"/>
      <c r="N263" s="39">
        <f>IF($B263="","",IF(SUMPRODUCT((LISTAS!$O$3:$O$42&lt;&gt;"")*ISNUMBER(SEARCH(LISTAS!$O$3:$O$42,$I263&amp;" "&amp;$K263)))&gt;0,"CERCANA","NACIONAL"))</f>
        <v/>
      </c>
      <c r="O263" s="39">
        <f>IF($B263="","",IF(COUNTIFS(NOVEDADES!$C$4:$C$2003,$B263)=0,"—","SÍ ("&amp;COUNTIFS(NOVEDADES!$C$4:$C$2003,$B263)&amp;")"))</f>
        <v/>
      </c>
    </row>
    <row r="264">
      <c r="A264" s="41" t="n"/>
      <c r="B264" s="41" t="n"/>
      <c r="C264" s="41" t="n"/>
      <c r="D264" s="41" t="n"/>
      <c r="E264" s="46" t="n"/>
      <c r="F264" s="41" t="n"/>
      <c r="G264" s="41" t="n"/>
      <c r="H264" s="41" t="n"/>
      <c r="I264" s="41" t="n"/>
      <c r="J264" s="47" t="n"/>
      <c r="K264" s="41" t="n"/>
      <c r="L264" s="48" t="n"/>
      <c r="M264" s="45" t="n"/>
      <c r="N264" s="39">
        <f>IF($B264="","",IF(SUMPRODUCT((LISTAS!$O$3:$O$42&lt;&gt;"")*ISNUMBER(SEARCH(LISTAS!$O$3:$O$42,$I264&amp;" "&amp;$K264)))&gt;0,"CERCANA","NACIONAL"))</f>
        <v/>
      </c>
      <c r="O264" s="39">
        <f>IF($B264="","",IF(COUNTIFS(NOVEDADES!$C$4:$C$2003,$B264)=0,"—","SÍ ("&amp;COUNTIFS(NOVEDADES!$C$4:$C$2003,$B264)&amp;")"))</f>
        <v/>
      </c>
    </row>
    <row r="265">
      <c r="A265" s="41" t="n"/>
      <c r="B265" s="41" t="n"/>
      <c r="C265" s="41" t="n"/>
      <c r="D265" s="41" t="n"/>
      <c r="E265" s="46" t="n"/>
      <c r="F265" s="41" t="n"/>
      <c r="G265" s="41" t="n"/>
      <c r="H265" s="41" t="n"/>
      <c r="I265" s="41" t="n"/>
      <c r="J265" s="47" t="n"/>
      <c r="K265" s="41" t="n"/>
      <c r="L265" s="48" t="n"/>
      <c r="M265" s="45" t="n"/>
      <c r="N265" s="39">
        <f>IF($B265="","",IF(SUMPRODUCT((LISTAS!$O$3:$O$42&lt;&gt;"")*ISNUMBER(SEARCH(LISTAS!$O$3:$O$42,$I265&amp;" "&amp;$K265)))&gt;0,"CERCANA","NACIONAL"))</f>
        <v/>
      </c>
      <c r="O265" s="39">
        <f>IF($B265="","",IF(COUNTIFS(NOVEDADES!$C$4:$C$2003,$B265)=0,"—","SÍ ("&amp;COUNTIFS(NOVEDADES!$C$4:$C$2003,$B265)&amp;")"))</f>
        <v/>
      </c>
    </row>
    <row r="266">
      <c r="A266" s="41" t="n"/>
      <c r="B266" s="41" t="n"/>
      <c r="C266" s="41" t="n"/>
      <c r="D266" s="41" t="n"/>
      <c r="E266" s="46" t="n"/>
      <c r="F266" s="41" t="n"/>
      <c r="G266" s="41" t="n"/>
      <c r="H266" s="41" t="n"/>
      <c r="I266" s="41" t="n"/>
      <c r="J266" s="47" t="n"/>
      <c r="K266" s="41" t="n"/>
      <c r="L266" s="48" t="n"/>
      <c r="M266" s="45" t="n"/>
      <c r="N266" s="39">
        <f>IF($B266="","",IF(SUMPRODUCT((LISTAS!$O$3:$O$42&lt;&gt;"")*ISNUMBER(SEARCH(LISTAS!$O$3:$O$42,$I266&amp;" "&amp;$K266)))&gt;0,"CERCANA","NACIONAL"))</f>
        <v/>
      </c>
      <c r="O266" s="39">
        <f>IF($B266="","",IF(COUNTIFS(NOVEDADES!$C$4:$C$2003,$B266)=0,"—","SÍ ("&amp;COUNTIFS(NOVEDADES!$C$4:$C$2003,$B266)&amp;")"))</f>
        <v/>
      </c>
    </row>
    <row r="267">
      <c r="A267" s="41" t="n"/>
      <c r="B267" s="41" t="n"/>
      <c r="C267" s="41" t="n"/>
      <c r="D267" s="41" t="n"/>
      <c r="E267" s="46" t="n"/>
      <c r="F267" s="41" t="n"/>
      <c r="G267" s="41" t="n"/>
      <c r="H267" s="41" t="n"/>
      <c r="I267" s="41" t="n"/>
      <c r="J267" s="47" t="n"/>
      <c r="K267" s="41" t="n"/>
      <c r="L267" s="48" t="n"/>
      <c r="M267" s="45" t="n"/>
      <c r="N267" s="39">
        <f>IF($B267="","",IF(SUMPRODUCT((LISTAS!$O$3:$O$42&lt;&gt;"")*ISNUMBER(SEARCH(LISTAS!$O$3:$O$42,$I267&amp;" "&amp;$K267)))&gt;0,"CERCANA","NACIONAL"))</f>
        <v/>
      </c>
      <c r="O267" s="39">
        <f>IF($B267="","",IF(COUNTIFS(NOVEDADES!$C$4:$C$2003,$B267)=0,"—","SÍ ("&amp;COUNTIFS(NOVEDADES!$C$4:$C$2003,$B267)&amp;")"))</f>
        <v/>
      </c>
    </row>
    <row r="268">
      <c r="A268" s="41" t="n"/>
      <c r="B268" s="41" t="n"/>
      <c r="C268" s="41" t="n"/>
      <c r="D268" s="41" t="n"/>
      <c r="E268" s="46" t="n"/>
      <c r="F268" s="41" t="n"/>
      <c r="G268" s="41" t="n"/>
      <c r="H268" s="41" t="n"/>
      <c r="I268" s="41" t="n"/>
      <c r="J268" s="47" t="n"/>
      <c r="K268" s="41" t="n"/>
      <c r="L268" s="48" t="n"/>
      <c r="M268" s="45" t="n"/>
      <c r="N268" s="39">
        <f>IF($B268="","",IF(SUMPRODUCT((LISTAS!$O$3:$O$42&lt;&gt;"")*ISNUMBER(SEARCH(LISTAS!$O$3:$O$42,$I268&amp;" "&amp;$K268)))&gt;0,"CERCANA","NACIONAL"))</f>
        <v/>
      </c>
      <c r="O268" s="39">
        <f>IF($B268="","",IF(COUNTIFS(NOVEDADES!$C$4:$C$2003,$B268)=0,"—","SÍ ("&amp;COUNTIFS(NOVEDADES!$C$4:$C$2003,$B268)&amp;")"))</f>
        <v/>
      </c>
    </row>
    <row r="269">
      <c r="A269" s="41" t="n"/>
      <c r="B269" s="41" t="n"/>
      <c r="C269" s="41" t="n"/>
      <c r="D269" s="41" t="n"/>
      <c r="E269" s="46" t="n"/>
      <c r="F269" s="41" t="n"/>
      <c r="G269" s="41" t="n"/>
      <c r="H269" s="41" t="n"/>
      <c r="I269" s="41" t="n"/>
      <c r="J269" s="47" t="n"/>
      <c r="K269" s="41" t="n"/>
      <c r="L269" s="48" t="n"/>
      <c r="M269" s="45" t="n"/>
      <c r="N269" s="39">
        <f>IF($B269="","",IF(SUMPRODUCT((LISTAS!$O$3:$O$42&lt;&gt;"")*ISNUMBER(SEARCH(LISTAS!$O$3:$O$42,$I269&amp;" "&amp;$K269)))&gt;0,"CERCANA","NACIONAL"))</f>
        <v/>
      </c>
      <c r="O269" s="39">
        <f>IF($B269="","",IF(COUNTIFS(NOVEDADES!$C$4:$C$2003,$B269)=0,"—","SÍ ("&amp;COUNTIFS(NOVEDADES!$C$4:$C$2003,$B269)&amp;")"))</f>
        <v/>
      </c>
    </row>
    <row r="270">
      <c r="A270" s="41" t="n"/>
      <c r="B270" s="41" t="n"/>
      <c r="C270" s="41" t="n"/>
      <c r="D270" s="41" t="n"/>
      <c r="E270" s="46" t="n"/>
      <c r="F270" s="41" t="n"/>
      <c r="G270" s="41" t="n"/>
      <c r="H270" s="41" t="n"/>
      <c r="I270" s="41" t="n"/>
      <c r="J270" s="47" t="n"/>
      <c r="K270" s="41" t="n"/>
      <c r="L270" s="48" t="n"/>
      <c r="M270" s="45" t="n"/>
      <c r="N270" s="39">
        <f>IF($B270="","",IF(SUMPRODUCT((LISTAS!$O$3:$O$42&lt;&gt;"")*ISNUMBER(SEARCH(LISTAS!$O$3:$O$42,$I270&amp;" "&amp;$K270)))&gt;0,"CERCANA","NACIONAL"))</f>
        <v/>
      </c>
      <c r="O270" s="39">
        <f>IF($B270="","",IF(COUNTIFS(NOVEDADES!$C$4:$C$2003,$B270)=0,"—","SÍ ("&amp;COUNTIFS(NOVEDADES!$C$4:$C$2003,$B270)&amp;")"))</f>
        <v/>
      </c>
    </row>
    <row r="271">
      <c r="A271" s="41" t="n"/>
      <c r="B271" s="41" t="n"/>
      <c r="C271" s="41" t="n"/>
      <c r="D271" s="41" t="n"/>
      <c r="E271" s="46" t="n"/>
      <c r="F271" s="41" t="n"/>
      <c r="G271" s="41" t="n"/>
      <c r="H271" s="41" t="n"/>
      <c r="I271" s="41" t="n"/>
      <c r="J271" s="47" t="n"/>
      <c r="K271" s="41" t="n"/>
      <c r="L271" s="48" t="n"/>
      <c r="M271" s="45" t="n"/>
      <c r="N271" s="39">
        <f>IF($B271="","",IF(SUMPRODUCT((LISTAS!$O$3:$O$42&lt;&gt;"")*ISNUMBER(SEARCH(LISTAS!$O$3:$O$42,$I271&amp;" "&amp;$K271)))&gt;0,"CERCANA","NACIONAL"))</f>
        <v/>
      </c>
      <c r="O271" s="39">
        <f>IF($B271="","",IF(COUNTIFS(NOVEDADES!$C$4:$C$2003,$B271)=0,"—","SÍ ("&amp;COUNTIFS(NOVEDADES!$C$4:$C$2003,$B271)&amp;")"))</f>
        <v/>
      </c>
    </row>
    <row r="272">
      <c r="A272" s="41" t="n"/>
      <c r="B272" s="41" t="n"/>
      <c r="C272" s="41" t="n"/>
      <c r="D272" s="41" t="n"/>
      <c r="E272" s="46" t="n"/>
      <c r="F272" s="41" t="n"/>
      <c r="G272" s="41" t="n"/>
      <c r="H272" s="41" t="n"/>
      <c r="I272" s="41" t="n"/>
      <c r="J272" s="47" t="n"/>
      <c r="K272" s="41" t="n"/>
      <c r="L272" s="48" t="n"/>
      <c r="M272" s="45" t="n"/>
      <c r="N272" s="39">
        <f>IF($B272="","",IF(SUMPRODUCT((LISTAS!$O$3:$O$42&lt;&gt;"")*ISNUMBER(SEARCH(LISTAS!$O$3:$O$42,$I272&amp;" "&amp;$K272)))&gt;0,"CERCANA","NACIONAL"))</f>
        <v/>
      </c>
      <c r="O272" s="39">
        <f>IF($B272="","",IF(COUNTIFS(NOVEDADES!$C$4:$C$2003,$B272)=0,"—","SÍ ("&amp;COUNTIFS(NOVEDADES!$C$4:$C$2003,$B272)&amp;")"))</f>
        <v/>
      </c>
    </row>
    <row r="273">
      <c r="A273" s="41" t="n"/>
      <c r="B273" s="41" t="n"/>
      <c r="C273" s="41" t="n"/>
      <c r="D273" s="41" t="n"/>
      <c r="E273" s="46" t="n"/>
      <c r="F273" s="41" t="n"/>
      <c r="G273" s="41" t="n"/>
      <c r="H273" s="41" t="n"/>
      <c r="I273" s="41" t="n"/>
      <c r="J273" s="47" t="n"/>
      <c r="K273" s="41" t="n"/>
      <c r="L273" s="48" t="n"/>
      <c r="M273" s="45" t="n"/>
      <c r="N273" s="39">
        <f>IF($B273="","",IF(SUMPRODUCT((LISTAS!$O$3:$O$42&lt;&gt;"")*ISNUMBER(SEARCH(LISTAS!$O$3:$O$42,$I273&amp;" "&amp;$K273)))&gt;0,"CERCANA","NACIONAL"))</f>
        <v/>
      </c>
      <c r="O273" s="39">
        <f>IF($B273="","",IF(COUNTIFS(NOVEDADES!$C$4:$C$2003,$B273)=0,"—","SÍ ("&amp;COUNTIFS(NOVEDADES!$C$4:$C$2003,$B273)&amp;")"))</f>
        <v/>
      </c>
    </row>
    <row r="274">
      <c r="A274" s="41" t="n"/>
      <c r="B274" s="41" t="n"/>
      <c r="C274" s="41" t="n"/>
      <c r="D274" s="41" t="n"/>
      <c r="E274" s="46" t="n"/>
      <c r="F274" s="41" t="n"/>
      <c r="G274" s="41" t="n"/>
      <c r="H274" s="41" t="n"/>
      <c r="I274" s="41" t="n"/>
      <c r="J274" s="47" t="n"/>
      <c r="K274" s="41" t="n"/>
      <c r="L274" s="48" t="n"/>
      <c r="M274" s="45" t="n"/>
      <c r="N274" s="39">
        <f>IF($B274="","",IF(SUMPRODUCT((LISTAS!$O$3:$O$42&lt;&gt;"")*ISNUMBER(SEARCH(LISTAS!$O$3:$O$42,$I274&amp;" "&amp;$K274)))&gt;0,"CERCANA","NACIONAL"))</f>
        <v/>
      </c>
      <c r="O274" s="39">
        <f>IF($B274="","",IF(COUNTIFS(NOVEDADES!$C$4:$C$2003,$B274)=0,"—","SÍ ("&amp;COUNTIFS(NOVEDADES!$C$4:$C$2003,$B274)&amp;")"))</f>
        <v/>
      </c>
    </row>
    <row r="275">
      <c r="A275" s="41" t="n"/>
      <c r="B275" s="41" t="n"/>
      <c r="C275" s="41" t="n"/>
      <c r="D275" s="41" t="n"/>
      <c r="E275" s="46" t="n"/>
      <c r="F275" s="41" t="n"/>
      <c r="G275" s="41" t="n"/>
      <c r="H275" s="41" t="n"/>
      <c r="I275" s="41" t="n"/>
      <c r="J275" s="47" t="n"/>
      <c r="K275" s="41" t="n"/>
      <c r="L275" s="48" t="n"/>
      <c r="M275" s="45" t="n"/>
      <c r="N275" s="39">
        <f>IF($B275="","",IF(SUMPRODUCT((LISTAS!$O$3:$O$42&lt;&gt;"")*ISNUMBER(SEARCH(LISTAS!$O$3:$O$42,$I275&amp;" "&amp;$K275)))&gt;0,"CERCANA","NACIONAL"))</f>
        <v/>
      </c>
      <c r="O275" s="39">
        <f>IF($B275="","",IF(COUNTIFS(NOVEDADES!$C$4:$C$2003,$B275)=0,"—","SÍ ("&amp;COUNTIFS(NOVEDADES!$C$4:$C$2003,$B275)&amp;")"))</f>
        <v/>
      </c>
    </row>
    <row r="276">
      <c r="A276" s="41" t="n"/>
      <c r="B276" s="41" t="n"/>
      <c r="C276" s="41" t="n"/>
      <c r="D276" s="41" t="n"/>
      <c r="E276" s="46" t="n"/>
      <c r="F276" s="41" t="n"/>
      <c r="G276" s="41" t="n"/>
      <c r="H276" s="41" t="n"/>
      <c r="I276" s="41" t="n"/>
      <c r="J276" s="47" t="n"/>
      <c r="K276" s="41" t="n"/>
      <c r="L276" s="48" t="n"/>
      <c r="M276" s="45" t="n"/>
      <c r="N276" s="39">
        <f>IF($B276="","",IF(SUMPRODUCT((LISTAS!$O$3:$O$42&lt;&gt;"")*ISNUMBER(SEARCH(LISTAS!$O$3:$O$42,$I276&amp;" "&amp;$K276)))&gt;0,"CERCANA","NACIONAL"))</f>
        <v/>
      </c>
      <c r="O276" s="39">
        <f>IF($B276="","",IF(COUNTIFS(NOVEDADES!$C$4:$C$2003,$B276)=0,"—","SÍ ("&amp;COUNTIFS(NOVEDADES!$C$4:$C$2003,$B276)&amp;")"))</f>
        <v/>
      </c>
    </row>
    <row r="277">
      <c r="A277" s="41" t="n"/>
      <c r="B277" s="41" t="n"/>
      <c r="C277" s="41" t="n"/>
      <c r="D277" s="41" t="n"/>
      <c r="E277" s="46" t="n"/>
      <c r="F277" s="41" t="n"/>
      <c r="G277" s="41" t="n"/>
      <c r="H277" s="41" t="n"/>
      <c r="I277" s="41" t="n"/>
      <c r="J277" s="47" t="n"/>
      <c r="K277" s="41" t="n"/>
      <c r="L277" s="48" t="n"/>
      <c r="M277" s="45" t="n"/>
      <c r="N277" s="39">
        <f>IF($B277="","",IF(SUMPRODUCT((LISTAS!$O$3:$O$42&lt;&gt;"")*ISNUMBER(SEARCH(LISTAS!$O$3:$O$42,$I277&amp;" "&amp;$K277)))&gt;0,"CERCANA","NACIONAL"))</f>
        <v/>
      </c>
      <c r="O277" s="39">
        <f>IF($B277="","",IF(COUNTIFS(NOVEDADES!$C$4:$C$2003,$B277)=0,"—","SÍ ("&amp;COUNTIFS(NOVEDADES!$C$4:$C$2003,$B277)&amp;")"))</f>
        <v/>
      </c>
    </row>
    <row r="278">
      <c r="A278" s="41" t="n"/>
      <c r="B278" s="41" t="n"/>
      <c r="C278" s="41" t="n"/>
      <c r="D278" s="41" t="n"/>
      <c r="E278" s="46" t="n"/>
      <c r="F278" s="41" t="n"/>
      <c r="G278" s="41" t="n"/>
      <c r="H278" s="41" t="n"/>
      <c r="I278" s="41" t="n"/>
      <c r="J278" s="47" t="n"/>
      <c r="K278" s="41" t="n"/>
      <c r="L278" s="48" t="n"/>
      <c r="M278" s="45" t="n"/>
      <c r="N278" s="39">
        <f>IF($B278="","",IF(SUMPRODUCT((LISTAS!$O$3:$O$42&lt;&gt;"")*ISNUMBER(SEARCH(LISTAS!$O$3:$O$42,$I278&amp;" "&amp;$K278)))&gt;0,"CERCANA","NACIONAL"))</f>
        <v/>
      </c>
      <c r="O278" s="39">
        <f>IF($B278="","",IF(COUNTIFS(NOVEDADES!$C$4:$C$2003,$B278)=0,"—","SÍ ("&amp;COUNTIFS(NOVEDADES!$C$4:$C$2003,$B278)&amp;")"))</f>
        <v/>
      </c>
    </row>
    <row r="279">
      <c r="A279" s="41" t="n"/>
      <c r="B279" s="41" t="n"/>
      <c r="C279" s="41" t="n"/>
      <c r="D279" s="41" t="n"/>
      <c r="E279" s="46" t="n"/>
      <c r="F279" s="41" t="n"/>
      <c r="G279" s="41" t="n"/>
      <c r="H279" s="41" t="n"/>
      <c r="I279" s="41" t="n"/>
      <c r="J279" s="47" t="n"/>
      <c r="K279" s="41" t="n"/>
      <c r="L279" s="48" t="n"/>
      <c r="M279" s="45" t="n"/>
      <c r="N279" s="39">
        <f>IF($B279="","",IF(SUMPRODUCT((LISTAS!$O$3:$O$42&lt;&gt;"")*ISNUMBER(SEARCH(LISTAS!$O$3:$O$42,$I279&amp;" "&amp;$K279)))&gt;0,"CERCANA","NACIONAL"))</f>
        <v/>
      </c>
      <c r="O279" s="39">
        <f>IF($B279="","",IF(COUNTIFS(NOVEDADES!$C$4:$C$2003,$B279)=0,"—","SÍ ("&amp;COUNTIFS(NOVEDADES!$C$4:$C$2003,$B279)&amp;")"))</f>
        <v/>
      </c>
    </row>
    <row r="280">
      <c r="A280" s="41" t="n"/>
      <c r="B280" s="41" t="n"/>
      <c r="C280" s="41" t="n"/>
      <c r="D280" s="41" t="n"/>
      <c r="E280" s="46" t="n"/>
      <c r="F280" s="41" t="n"/>
      <c r="G280" s="41" t="n"/>
      <c r="H280" s="41" t="n"/>
      <c r="I280" s="41" t="n"/>
      <c r="J280" s="47" t="n"/>
      <c r="K280" s="41" t="n"/>
      <c r="L280" s="48" t="n"/>
      <c r="M280" s="45" t="n"/>
      <c r="N280" s="39">
        <f>IF($B280="","",IF(SUMPRODUCT((LISTAS!$O$3:$O$42&lt;&gt;"")*ISNUMBER(SEARCH(LISTAS!$O$3:$O$42,$I280&amp;" "&amp;$K280)))&gt;0,"CERCANA","NACIONAL"))</f>
        <v/>
      </c>
      <c r="O280" s="39">
        <f>IF($B280="","",IF(COUNTIFS(NOVEDADES!$C$4:$C$2003,$B280)=0,"—","SÍ ("&amp;COUNTIFS(NOVEDADES!$C$4:$C$2003,$B280)&amp;")"))</f>
        <v/>
      </c>
    </row>
    <row r="281">
      <c r="A281" s="41" t="n"/>
      <c r="B281" s="41" t="n"/>
      <c r="C281" s="41" t="n"/>
      <c r="D281" s="41" t="n"/>
      <c r="E281" s="46" t="n"/>
      <c r="F281" s="41" t="n"/>
      <c r="G281" s="41" t="n"/>
      <c r="H281" s="41" t="n"/>
      <c r="I281" s="41" t="n"/>
      <c r="J281" s="47" t="n"/>
      <c r="K281" s="41" t="n"/>
      <c r="L281" s="48" t="n"/>
      <c r="M281" s="45" t="n"/>
      <c r="N281" s="39">
        <f>IF($B281="","",IF(SUMPRODUCT((LISTAS!$O$3:$O$42&lt;&gt;"")*ISNUMBER(SEARCH(LISTAS!$O$3:$O$42,$I281&amp;" "&amp;$K281)))&gt;0,"CERCANA","NACIONAL"))</f>
        <v/>
      </c>
      <c r="O281" s="39">
        <f>IF($B281="","",IF(COUNTIFS(NOVEDADES!$C$4:$C$2003,$B281)=0,"—","SÍ ("&amp;COUNTIFS(NOVEDADES!$C$4:$C$2003,$B281)&amp;")"))</f>
        <v/>
      </c>
    </row>
    <row r="282">
      <c r="A282" s="41" t="n"/>
      <c r="B282" s="41" t="n"/>
      <c r="C282" s="41" t="n"/>
      <c r="D282" s="41" t="n"/>
      <c r="E282" s="46" t="n"/>
      <c r="F282" s="41" t="n"/>
      <c r="G282" s="41" t="n"/>
      <c r="H282" s="41" t="n"/>
      <c r="I282" s="41" t="n"/>
      <c r="J282" s="47" t="n"/>
      <c r="K282" s="41" t="n"/>
      <c r="L282" s="48" t="n"/>
      <c r="M282" s="45" t="n"/>
      <c r="N282" s="39">
        <f>IF($B282="","",IF(SUMPRODUCT((LISTAS!$O$3:$O$42&lt;&gt;"")*ISNUMBER(SEARCH(LISTAS!$O$3:$O$42,$I282&amp;" "&amp;$K282)))&gt;0,"CERCANA","NACIONAL"))</f>
        <v/>
      </c>
      <c r="O282" s="39">
        <f>IF($B282="","",IF(COUNTIFS(NOVEDADES!$C$4:$C$2003,$B282)=0,"—","SÍ ("&amp;COUNTIFS(NOVEDADES!$C$4:$C$2003,$B282)&amp;")"))</f>
        <v/>
      </c>
    </row>
    <row r="283">
      <c r="A283" s="41" t="n"/>
      <c r="B283" s="41" t="n"/>
      <c r="C283" s="41" t="n"/>
      <c r="D283" s="41" t="n"/>
      <c r="E283" s="46" t="n"/>
      <c r="F283" s="41" t="n"/>
      <c r="G283" s="41" t="n"/>
      <c r="H283" s="41" t="n"/>
      <c r="I283" s="41" t="n"/>
      <c r="J283" s="47" t="n"/>
      <c r="K283" s="41" t="n"/>
      <c r="L283" s="48" t="n"/>
      <c r="M283" s="45" t="n"/>
      <c r="N283" s="39">
        <f>IF($B283="","",IF(SUMPRODUCT((LISTAS!$O$3:$O$42&lt;&gt;"")*ISNUMBER(SEARCH(LISTAS!$O$3:$O$42,$I283&amp;" "&amp;$K283)))&gt;0,"CERCANA","NACIONAL"))</f>
        <v/>
      </c>
      <c r="O283" s="39">
        <f>IF($B283="","",IF(COUNTIFS(NOVEDADES!$C$4:$C$2003,$B283)=0,"—","SÍ ("&amp;COUNTIFS(NOVEDADES!$C$4:$C$2003,$B283)&amp;")"))</f>
        <v/>
      </c>
    </row>
    <row r="284">
      <c r="A284" s="41" t="n"/>
      <c r="B284" s="41" t="n"/>
      <c r="C284" s="41" t="n"/>
      <c r="D284" s="41" t="n"/>
      <c r="E284" s="46" t="n"/>
      <c r="F284" s="41" t="n"/>
      <c r="G284" s="41" t="n"/>
      <c r="H284" s="41" t="n"/>
      <c r="I284" s="41" t="n"/>
      <c r="J284" s="47" t="n"/>
      <c r="K284" s="41" t="n"/>
      <c r="L284" s="48" t="n"/>
      <c r="M284" s="45" t="n"/>
      <c r="N284" s="39">
        <f>IF($B284="","",IF(SUMPRODUCT((LISTAS!$O$3:$O$42&lt;&gt;"")*ISNUMBER(SEARCH(LISTAS!$O$3:$O$42,$I284&amp;" "&amp;$K284)))&gt;0,"CERCANA","NACIONAL"))</f>
        <v/>
      </c>
      <c r="O284" s="39">
        <f>IF($B284="","",IF(COUNTIFS(NOVEDADES!$C$4:$C$2003,$B284)=0,"—","SÍ ("&amp;COUNTIFS(NOVEDADES!$C$4:$C$2003,$B284)&amp;")"))</f>
        <v/>
      </c>
    </row>
    <row r="285">
      <c r="A285" s="41" t="n"/>
      <c r="B285" s="41" t="n"/>
      <c r="C285" s="41" t="n"/>
      <c r="D285" s="41" t="n"/>
      <c r="E285" s="46" t="n"/>
      <c r="F285" s="41" t="n"/>
      <c r="G285" s="41" t="n"/>
      <c r="H285" s="41" t="n"/>
      <c r="I285" s="41" t="n"/>
      <c r="J285" s="47" t="n"/>
      <c r="K285" s="41" t="n"/>
      <c r="L285" s="48" t="n"/>
      <c r="M285" s="45" t="n"/>
      <c r="N285" s="39">
        <f>IF($B285="","",IF(SUMPRODUCT((LISTAS!$O$3:$O$42&lt;&gt;"")*ISNUMBER(SEARCH(LISTAS!$O$3:$O$42,$I285&amp;" "&amp;$K285)))&gt;0,"CERCANA","NACIONAL"))</f>
        <v/>
      </c>
      <c r="O285" s="39">
        <f>IF($B285="","",IF(COUNTIFS(NOVEDADES!$C$4:$C$2003,$B285)=0,"—","SÍ ("&amp;COUNTIFS(NOVEDADES!$C$4:$C$2003,$B285)&amp;")"))</f>
        <v/>
      </c>
    </row>
    <row r="286">
      <c r="A286" s="41" t="n"/>
      <c r="B286" s="41" t="n"/>
      <c r="C286" s="41" t="n"/>
      <c r="D286" s="41" t="n"/>
      <c r="E286" s="46" t="n"/>
      <c r="F286" s="41" t="n"/>
      <c r="G286" s="41" t="n"/>
      <c r="H286" s="41" t="n"/>
      <c r="I286" s="41" t="n"/>
      <c r="J286" s="47" t="n"/>
      <c r="K286" s="41" t="n"/>
      <c r="L286" s="48" t="n"/>
      <c r="M286" s="45" t="n"/>
      <c r="N286" s="39">
        <f>IF($B286="","",IF(SUMPRODUCT((LISTAS!$O$3:$O$42&lt;&gt;"")*ISNUMBER(SEARCH(LISTAS!$O$3:$O$42,$I286&amp;" "&amp;$K286)))&gt;0,"CERCANA","NACIONAL"))</f>
        <v/>
      </c>
      <c r="O286" s="39">
        <f>IF($B286="","",IF(COUNTIFS(NOVEDADES!$C$4:$C$2003,$B286)=0,"—","SÍ ("&amp;COUNTIFS(NOVEDADES!$C$4:$C$2003,$B286)&amp;")"))</f>
        <v/>
      </c>
    </row>
    <row r="287">
      <c r="A287" s="41" t="n"/>
      <c r="B287" s="41" t="n"/>
      <c r="C287" s="41" t="n"/>
      <c r="D287" s="41" t="n"/>
      <c r="E287" s="46" t="n"/>
      <c r="F287" s="41" t="n"/>
      <c r="G287" s="41" t="n"/>
      <c r="H287" s="41" t="n"/>
      <c r="I287" s="41" t="n"/>
      <c r="J287" s="47" t="n"/>
      <c r="K287" s="41" t="n"/>
      <c r="L287" s="48" t="n"/>
      <c r="M287" s="45" t="n"/>
      <c r="N287" s="39">
        <f>IF($B287="","",IF(SUMPRODUCT((LISTAS!$O$3:$O$42&lt;&gt;"")*ISNUMBER(SEARCH(LISTAS!$O$3:$O$42,$I287&amp;" "&amp;$K287)))&gt;0,"CERCANA","NACIONAL"))</f>
        <v/>
      </c>
      <c r="O287" s="39">
        <f>IF($B287="","",IF(COUNTIFS(NOVEDADES!$C$4:$C$2003,$B287)=0,"—","SÍ ("&amp;COUNTIFS(NOVEDADES!$C$4:$C$2003,$B287)&amp;")"))</f>
        <v/>
      </c>
    </row>
    <row r="288">
      <c r="A288" s="41" t="n"/>
      <c r="B288" s="41" t="n"/>
      <c r="C288" s="41" t="n"/>
      <c r="D288" s="41" t="n"/>
      <c r="E288" s="46" t="n"/>
      <c r="F288" s="41" t="n"/>
      <c r="G288" s="41" t="n"/>
      <c r="H288" s="41" t="n"/>
      <c r="I288" s="41" t="n"/>
      <c r="J288" s="47" t="n"/>
      <c r="K288" s="41" t="n"/>
      <c r="L288" s="48" t="n"/>
      <c r="M288" s="45" t="n"/>
      <c r="N288" s="39">
        <f>IF($B288="","",IF(SUMPRODUCT((LISTAS!$O$3:$O$42&lt;&gt;"")*ISNUMBER(SEARCH(LISTAS!$O$3:$O$42,$I288&amp;" "&amp;$K288)))&gt;0,"CERCANA","NACIONAL"))</f>
        <v/>
      </c>
      <c r="O288" s="39">
        <f>IF($B288="","",IF(COUNTIFS(NOVEDADES!$C$4:$C$2003,$B288)=0,"—","SÍ ("&amp;COUNTIFS(NOVEDADES!$C$4:$C$2003,$B288)&amp;")"))</f>
        <v/>
      </c>
    </row>
    <row r="289">
      <c r="A289" s="41" t="n"/>
      <c r="B289" s="41" t="n"/>
      <c r="C289" s="41" t="n"/>
      <c r="D289" s="41" t="n"/>
      <c r="E289" s="46" t="n"/>
      <c r="F289" s="41" t="n"/>
      <c r="G289" s="41" t="n"/>
      <c r="H289" s="41" t="n"/>
      <c r="I289" s="41" t="n"/>
      <c r="J289" s="47" t="n"/>
      <c r="K289" s="41" t="n"/>
      <c r="L289" s="48" t="n"/>
      <c r="M289" s="45" t="n"/>
      <c r="N289" s="39">
        <f>IF($B289="","",IF(SUMPRODUCT((LISTAS!$O$3:$O$42&lt;&gt;"")*ISNUMBER(SEARCH(LISTAS!$O$3:$O$42,$I289&amp;" "&amp;$K289)))&gt;0,"CERCANA","NACIONAL"))</f>
        <v/>
      </c>
      <c r="O289" s="39">
        <f>IF($B289="","",IF(COUNTIFS(NOVEDADES!$C$4:$C$2003,$B289)=0,"—","SÍ ("&amp;COUNTIFS(NOVEDADES!$C$4:$C$2003,$B289)&amp;")"))</f>
        <v/>
      </c>
    </row>
    <row r="290">
      <c r="A290" s="41" t="n"/>
      <c r="B290" s="41" t="n"/>
      <c r="C290" s="41" t="n"/>
      <c r="D290" s="41" t="n"/>
      <c r="E290" s="46" t="n"/>
      <c r="F290" s="41" t="n"/>
      <c r="G290" s="41" t="n"/>
      <c r="H290" s="41" t="n"/>
      <c r="I290" s="41" t="n"/>
      <c r="J290" s="47" t="n"/>
      <c r="K290" s="41" t="n"/>
      <c r="L290" s="48" t="n"/>
      <c r="M290" s="45" t="n"/>
      <c r="N290" s="39">
        <f>IF($B290="","",IF(SUMPRODUCT((LISTAS!$O$3:$O$42&lt;&gt;"")*ISNUMBER(SEARCH(LISTAS!$O$3:$O$42,$I290&amp;" "&amp;$K290)))&gt;0,"CERCANA","NACIONAL"))</f>
        <v/>
      </c>
      <c r="O290" s="39">
        <f>IF($B290="","",IF(COUNTIFS(NOVEDADES!$C$4:$C$2003,$B290)=0,"—","SÍ ("&amp;COUNTIFS(NOVEDADES!$C$4:$C$2003,$B290)&amp;")"))</f>
        <v/>
      </c>
    </row>
    <row r="291">
      <c r="A291" s="41" t="n"/>
      <c r="B291" s="41" t="n"/>
      <c r="C291" s="41" t="n"/>
      <c r="D291" s="41" t="n"/>
      <c r="E291" s="46" t="n"/>
      <c r="F291" s="41" t="n"/>
      <c r="G291" s="41" t="n"/>
      <c r="H291" s="41" t="n"/>
      <c r="I291" s="41" t="n"/>
      <c r="J291" s="47" t="n"/>
      <c r="K291" s="41" t="n"/>
      <c r="L291" s="48" t="n"/>
      <c r="M291" s="45" t="n"/>
      <c r="N291" s="39">
        <f>IF($B291="","",IF(SUMPRODUCT((LISTAS!$O$3:$O$42&lt;&gt;"")*ISNUMBER(SEARCH(LISTAS!$O$3:$O$42,$I291&amp;" "&amp;$K291)))&gt;0,"CERCANA","NACIONAL"))</f>
        <v/>
      </c>
      <c r="O291" s="39">
        <f>IF($B291="","",IF(COUNTIFS(NOVEDADES!$C$4:$C$2003,$B291)=0,"—","SÍ ("&amp;COUNTIFS(NOVEDADES!$C$4:$C$2003,$B291)&amp;")"))</f>
        <v/>
      </c>
    </row>
    <row r="292">
      <c r="A292" s="41" t="n"/>
      <c r="B292" s="41" t="n"/>
      <c r="C292" s="41" t="n"/>
      <c r="D292" s="41" t="n"/>
      <c r="E292" s="46" t="n"/>
      <c r="F292" s="41" t="n"/>
      <c r="G292" s="41" t="n"/>
      <c r="H292" s="41" t="n"/>
      <c r="I292" s="41" t="n"/>
      <c r="J292" s="47" t="n"/>
      <c r="K292" s="41" t="n"/>
      <c r="L292" s="48" t="n"/>
      <c r="M292" s="45" t="n"/>
      <c r="N292" s="39">
        <f>IF($B292="","",IF(SUMPRODUCT((LISTAS!$O$3:$O$42&lt;&gt;"")*ISNUMBER(SEARCH(LISTAS!$O$3:$O$42,$I292&amp;" "&amp;$K292)))&gt;0,"CERCANA","NACIONAL"))</f>
        <v/>
      </c>
      <c r="O292" s="39">
        <f>IF($B292="","",IF(COUNTIFS(NOVEDADES!$C$4:$C$2003,$B292)=0,"—","SÍ ("&amp;COUNTIFS(NOVEDADES!$C$4:$C$2003,$B292)&amp;")"))</f>
        <v/>
      </c>
    </row>
    <row r="293">
      <c r="A293" s="41" t="n"/>
      <c r="B293" s="41" t="n"/>
      <c r="C293" s="41" t="n"/>
      <c r="D293" s="41" t="n"/>
      <c r="E293" s="46" t="n"/>
      <c r="F293" s="41" t="n"/>
      <c r="G293" s="41" t="n"/>
      <c r="H293" s="41" t="n"/>
      <c r="I293" s="41" t="n"/>
      <c r="J293" s="47" t="n"/>
      <c r="K293" s="41" t="n"/>
      <c r="L293" s="48" t="n"/>
      <c r="M293" s="45" t="n"/>
      <c r="N293" s="39">
        <f>IF($B293="","",IF(SUMPRODUCT((LISTAS!$O$3:$O$42&lt;&gt;"")*ISNUMBER(SEARCH(LISTAS!$O$3:$O$42,$I293&amp;" "&amp;$K293)))&gt;0,"CERCANA","NACIONAL"))</f>
        <v/>
      </c>
      <c r="O293" s="39">
        <f>IF($B293="","",IF(COUNTIFS(NOVEDADES!$C$4:$C$2003,$B293)=0,"—","SÍ ("&amp;COUNTIFS(NOVEDADES!$C$4:$C$2003,$B293)&amp;")"))</f>
        <v/>
      </c>
    </row>
    <row r="294">
      <c r="A294" s="41" t="n"/>
      <c r="B294" s="41" t="n"/>
      <c r="C294" s="41" t="n"/>
      <c r="D294" s="41" t="n"/>
      <c r="E294" s="46" t="n"/>
      <c r="F294" s="41" t="n"/>
      <c r="G294" s="41" t="n"/>
      <c r="H294" s="41" t="n"/>
      <c r="I294" s="41" t="n"/>
      <c r="J294" s="47" t="n"/>
      <c r="K294" s="41" t="n"/>
      <c r="L294" s="48" t="n"/>
      <c r="M294" s="45" t="n"/>
      <c r="N294" s="39">
        <f>IF($B294="","",IF(SUMPRODUCT((LISTAS!$O$3:$O$42&lt;&gt;"")*ISNUMBER(SEARCH(LISTAS!$O$3:$O$42,$I294&amp;" "&amp;$K294)))&gt;0,"CERCANA","NACIONAL"))</f>
        <v/>
      </c>
      <c r="O294" s="39">
        <f>IF($B294="","",IF(COUNTIFS(NOVEDADES!$C$4:$C$2003,$B294)=0,"—","SÍ ("&amp;COUNTIFS(NOVEDADES!$C$4:$C$2003,$B294)&amp;")"))</f>
        <v/>
      </c>
    </row>
    <row r="295">
      <c r="A295" s="41" t="n"/>
      <c r="B295" s="41" t="n"/>
      <c r="C295" s="41" t="n"/>
      <c r="D295" s="41" t="n"/>
      <c r="E295" s="46" t="n"/>
      <c r="F295" s="41" t="n"/>
      <c r="G295" s="41" t="n"/>
      <c r="H295" s="41" t="n"/>
      <c r="I295" s="41" t="n"/>
      <c r="J295" s="47" t="n"/>
      <c r="K295" s="41" t="n"/>
      <c r="L295" s="48" t="n"/>
      <c r="M295" s="45" t="n"/>
      <c r="N295" s="39">
        <f>IF($B295="","",IF(SUMPRODUCT((LISTAS!$O$3:$O$42&lt;&gt;"")*ISNUMBER(SEARCH(LISTAS!$O$3:$O$42,$I295&amp;" "&amp;$K295)))&gt;0,"CERCANA","NACIONAL"))</f>
        <v/>
      </c>
      <c r="O295" s="39">
        <f>IF($B295="","",IF(COUNTIFS(NOVEDADES!$C$4:$C$2003,$B295)=0,"—","SÍ ("&amp;COUNTIFS(NOVEDADES!$C$4:$C$2003,$B295)&amp;")"))</f>
        <v/>
      </c>
    </row>
    <row r="296">
      <c r="A296" s="41" t="n"/>
      <c r="B296" s="41" t="n"/>
      <c r="C296" s="41" t="n"/>
      <c r="D296" s="41" t="n"/>
      <c r="E296" s="46" t="n"/>
      <c r="F296" s="41" t="n"/>
      <c r="G296" s="41" t="n"/>
      <c r="H296" s="41" t="n"/>
      <c r="I296" s="41" t="n"/>
      <c r="J296" s="47" t="n"/>
      <c r="K296" s="41" t="n"/>
      <c r="L296" s="48" t="n"/>
      <c r="M296" s="45" t="n"/>
      <c r="N296" s="39">
        <f>IF($B296="","",IF(SUMPRODUCT((LISTAS!$O$3:$O$42&lt;&gt;"")*ISNUMBER(SEARCH(LISTAS!$O$3:$O$42,$I296&amp;" "&amp;$K296)))&gt;0,"CERCANA","NACIONAL"))</f>
        <v/>
      </c>
      <c r="O296" s="39">
        <f>IF($B296="","",IF(COUNTIFS(NOVEDADES!$C$4:$C$2003,$B296)=0,"—","SÍ ("&amp;COUNTIFS(NOVEDADES!$C$4:$C$2003,$B296)&amp;")"))</f>
        <v/>
      </c>
    </row>
    <row r="297">
      <c r="A297" s="41" t="n"/>
      <c r="B297" s="41" t="n"/>
      <c r="C297" s="41" t="n"/>
      <c r="D297" s="41" t="n"/>
      <c r="E297" s="46" t="n"/>
      <c r="F297" s="41" t="n"/>
      <c r="G297" s="41" t="n"/>
      <c r="H297" s="41" t="n"/>
      <c r="I297" s="41" t="n"/>
      <c r="J297" s="47" t="n"/>
      <c r="K297" s="41" t="n"/>
      <c r="L297" s="48" t="n"/>
      <c r="M297" s="45" t="n"/>
      <c r="N297" s="39">
        <f>IF($B297="","",IF(SUMPRODUCT((LISTAS!$O$3:$O$42&lt;&gt;"")*ISNUMBER(SEARCH(LISTAS!$O$3:$O$42,$I297&amp;" "&amp;$K297)))&gt;0,"CERCANA","NACIONAL"))</f>
        <v/>
      </c>
      <c r="O297" s="39">
        <f>IF($B297="","",IF(COUNTIFS(NOVEDADES!$C$4:$C$2003,$B297)=0,"—","SÍ ("&amp;COUNTIFS(NOVEDADES!$C$4:$C$2003,$B297)&amp;")"))</f>
        <v/>
      </c>
    </row>
    <row r="298">
      <c r="A298" s="41" t="n"/>
      <c r="B298" s="41" t="n"/>
      <c r="C298" s="41" t="n"/>
      <c r="D298" s="41" t="n"/>
      <c r="E298" s="46" t="n"/>
      <c r="F298" s="41" t="n"/>
      <c r="G298" s="41" t="n"/>
      <c r="H298" s="41" t="n"/>
      <c r="I298" s="41" t="n"/>
      <c r="J298" s="47" t="n"/>
      <c r="K298" s="41" t="n"/>
      <c r="L298" s="48" t="n"/>
      <c r="M298" s="45" t="n"/>
      <c r="N298" s="39">
        <f>IF($B298="","",IF(SUMPRODUCT((LISTAS!$O$3:$O$42&lt;&gt;"")*ISNUMBER(SEARCH(LISTAS!$O$3:$O$42,$I298&amp;" "&amp;$K298)))&gt;0,"CERCANA","NACIONAL"))</f>
        <v/>
      </c>
      <c r="O298" s="39">
        <f>IF($B298="","",IF(COUNTIFS(NOVEDADES!$C$4:$C$2003,$B298)=0,"—","SÍ ("&amp;COUNTIFS(NOVEDADES!$C$4:$C$2003,$B298)&amp;")"))</f>
        <v/>
      </c>
    </row>
    <row r="299">
      <c r="A299" s="41" t="n"/>
      <c r="B299" s="41" t="n"/>
      <c r="C299" s="41" t="n"/>
      <c r="D299" s="41" t="n"/>
      <c r="E299" s="46" t="n"/>
      <c r="F299" s="41" t="n"/>
      <c r="G299" s="41" t="n"/>
      <c r="H299" s="41" t="n"/>
      <c r="I299" s="41" t="n"/>
      <c r="J299" s="47" t="n"/>
      <c r="K299" s="41" t="n"/>
      <c r="L299" s="48" t="n"/>
      <c r="M299" s="45" t="n"/>
      <c r="N299" s="39">
        <f>IF($B299="","",IF(SUMPRODUCT((LISTAS!$O$3:$O$42&lt;&gt;"")*ISNUMBER(SEARCH(LISTAS!$O$3:$O$42,$I299&amp;" "&amp;$K299)))&gt;0,"CERCANA","NACIONAL"))</f>
        <v/>
      </c>
      <c r="O299" s="39">
        <f>IF($B299="","",IF(COUNTIFS(NOVEDADES!$C$4:$C$2003,$B299)=0,"—","SÍ ("&amp;COUNTIFS(NOVEDADES!$C$4:$C$2003,$B299)&amp;")"))</f>
        <v/>
      </c>
    </row>
    <row r="300">
      <c r="A300" s="41" t="n"/>
      <c r="B300" s="41" t="n"/>
      <c r="C300" s="41" t="n"/>
      <c r="D300" s="41" t="n"/>
      <c r="E300" s="46" t="n"/>
      <c r="F300" s="41" t="n"/>
      <c r="G300" s="41" t="n"/>
      <c r="H300" s="41" t="n"/>
      <c r="I300" s="41" t="n"/>
      <c r="J300" s="47" t="n"/>
      <c r="K300" s="41" t="n"/>
      <c r="L300" s="48" t="n"/>
      <c r="M300" s="45" t="n"/>
      <c r="N300" s="39">
        <f>IF($B300="","",IF(SUMPRODUCT((LISTAS!$O$3:$O$42&lt;&gt;"")*ISNUMBER(SEARCH(LISTAS!$O$3:$O$42,$I300&amp;" "&amp;$K300)))&gt;0,"CERCANA","NACIONAL"))</f>
        <v/>
      </c>
      <c r="O300" s="39">
        <f>IF($B300="","",IF(COUNTIFS(NOVEDADES!$C$4:$C$2003,$B300)=0,"—","SÍ ("&amp;COUNTIFS(NOVEDADES!$C$4:$C$2003,$B300)&amp;")"))</f>
        <v/>
      </c>
    </row>
    <row r="301">
      <c r="A301" s="41" t="n"/>
      <c r="B301" s="41" t="n"/>
      <c r="C301" s="41" t="n"/>
      <c r="D301" s="41" t="n"/>
      <c r="E301" s="46" t="n"/>
      <c r="F301" s="41" t="n"/>
      <c r="G301" s="41" t="n"/>
      <c r="H301" s="41" t="n"/>
      <c r="I301" s="41" t="n"/>
      <c r="J301" s="47" t="n"/>
      <c r="K301" s="41" t="n"/>
      <c r="L301" s="48" t="n"/>
      <c r="M301" s="45" t="n"/>
      <c r="N301" s="39">
        <f>IF($B301="","",IF(SUMPRODUCT((LISTAS!$O$3:$O$42&lt;&gt;"")*ISNUMBER(SEARCH(LISTAS!$O$3:$O$42,$I301&amp;" "&amp;$K301)))&gt;0,"CERCANA","NACIONAL"))</f>
        <v/>
      </c>
      <c r="O301" s="39">
        <f>IF($B301="","",IF(COUNTIFS(NOVEDADES!$C$4:$C$2003,$B301)=0,"—","SÍ ("&amp;COUNTIFS(NOVEDADES!$C$4:$C$2003,$B301)&amp;")"))</f>
        <v/>
      </c>
    </row>
    <row r="302">
      <c r="A302" s="41" t="n"/>
      <c r="B302" s="41" t="n"/>
      <c r="C302" s="41" t="n"/>
      <c r="D302" s="41" t="n"/>
      <c r="E302" s="46" t="n"/>
      <c r="F302" s="41" t="n"/>
      <c r="G302" s="41" t="n"/>
      <c r="H302" s="41" t="n"/>
      <c r="I302" s="41" t="n"/>
      <c r="J302" s="47" t="n"/>
      <c r="K302" s="41" t="n"/>
      <c r="L302" s="48" t="n"/>
      <c r="M302" s="45" t="n"/>
      <c r="N302" s="39">
        <f>IF($B302="","",IF(SUMPRODUCT((LISTAS!$O$3:$O$42&lt;&gt;"")*ISNUMBER(SEARCH(LISTAS!$O$3:$O$42,$I302&amp;" "&amp;$K302)))&gt;0,"CERCANA","NACIONAL"))</f>
        <v/>
      </c>
      <c r="O302" s="39">
        <f>IF($B302="","",IF(COUNTIFS(NOVEDADES!$C$4:$C$2003,$B302)=0,"—","SÍ ("&amp;COUNTIFS(NOVEDADES!$C$4:$C$2003,$B302)&amp;")"))</f>
        <v/>
      </c>
    </row>
    <row r="303">
      <c r="A303" s="41" t="n"/>
      <c r="B303" s="41" t="n"/>
      <c r="C303" s="41" t="n"/>
      <c r="D303" s="41" t="n"/>
      <c r="E303" s="46" t="n"/>
      <c r="F303" s="41" t="n"/>
      <c r="G303" s="41" t="n"/>
      <c r="H303" s="41" t="n"/>
      <c r="I303" s="41" t="n"/>
      <c r="J303" s="47" t="n"/>
      <c r="K303" s="41" t="n"/>
      <c r="L303" s="48" t="n"/>
      <c r="M303" s="45" t="n"/>
      <c r="N303" s="39">
        <f>IF($B303="","",IF(SUMPRODUCT((LISTAS!$O$3:$O$42&lt;&gt;"")*ISNUMBER(SEARCH(LISTAS!$O$3:$O$42,$I303&amp;" "&amp;$K303)))&gt;0,"CERCANA","NACIONAL"))</f>
        <v/>
      </c>
      <c r="O303" s="39">
        <f>IF($B303="","",IF(COUNTIFS(NOVEDADES!$C$4:$C$2003,$B303)=0,"—","SÍ ("&amp;COUNTIFS(NOVEDADES!$C$4:$C$2003,$B303)&amp;")"))</f>
        <v/>
      </c>
    </row>
    <row r="304">
      <c r="A304" s="41" t="n"/>
      <c r="B304" s="41" t="n"/>
      <c r="C304" s="41" t="n"/>
      <c r="D304" s="41" t="n"/>
      <c r="E304" s="46" t="n"/>
      <c r="F304" s="41" t="n"/>
      <c r="G304" s="41" t="n"/>
      <c r="H304" s="41" t="n"/>
      <c r="I304" s="41" t="n"/>
      <c r="J304" s="47" t="n"/>
      <c r="K304" s="41" t="n"/>
      <c r="L304" s="48" t="n"/>
      <c r="M304" s="45" t="n"/>
      <c r="N304" s="39">
        <f>IF($B304="","",IF(SUMPRODUCT((LISTAS!$O$3:$O$42&lt;&gt;"")*ISNUMBER(SEARCH(LISTAS!$O$3:$O$42,$I304&amp;" "&amp;$K304)))&gt;0,"CERCANA","NACIONAL"))</f>
        <v/>
      </c>
      <c r="O304" s="39">
        <f>IF($B304="","",IF(COUNTIFS(NOVEDADES!$C$4:$C$2003,$B304)=0,"—","SÍ ("&amp;COUNTIFS(NOVEDADES!$C$4:$C$2003,$B304)&amp;")"))</f>
        <v/>
      </c>
    </row>
    <row r="305">
      <c r="A305" s="41" t="n"/>
      <c r="B305" s="41" t="n"/>
      <c r="C305" s="41" t="n"/>
      <c r="D305" s="41" t="n"/>
      <c r="E305" s="46" t="n"/>
      <c r="F305" s="41" t="n"/>
      <c r="G305" s="41" t="n"/>
      <c r="H305" s="41" t="n"/>
      <c r="I305" s="41" t="n"/>
      <c r="J305" s="47" t="n"/>
      <c r="K305" s="41" t="n"/>
      <c r="L305" s="48" t="n"/>
      <c r="M305" s="45" t="n"/>
      <c r="N305" s="39">
        <f>IF($B305="","",IF(SUMPRODUCT((LISTAS!$O$3:$O$42&lt;&gt;"")*ISNUMBER(SEARCH(LISTAS!$O$3:$O$42,$I305&amp;" "&amp;$K305)))&gt;0,"CERCANA","NACIONAL"))</f>
        <v/>
      </c>
      <c r="O305" s="39">
        <f>IF($B305="","",IF(COUNTIFS(NOVEDADES!$C$4:$C$2003,$B305)=0,"—","SÍ ("&amp;COUNTIFS(NOVEDADES!$C$4:$C$2003,$B305)&amp;")"))</f>
        <v/>
      </c>
    </row>
    <row r="306">
      <c r="A306" s="41" t="n"/>
      <c r="B306" s="41" t="n"/>
      <c r="C306" s="41" t="n"/>
      <c r="D306" s="41" t="n"/>
      <c r="E306" s="46" t="n"/>
      <c r="F306" s="41" t="n"/>
      <c r="G306" s="41" t="n"/>
      <c r="H306" s="41" t="n"/>
      <c r="I306" s="41" t="n"/>
      <c r="J306" s="47" t="n"/>
      <c r="K306" s="41" t="n"/>
      <c r="L306" s="48" t="n"/>
      <c r="M306" s="45" t="n"/>
      <c r="N306" s="39">
        <f>IF($B306="","",IF(SUMPRODUCT((LISTAS!$O$3:$O$42&lt;&gt;"")*ISNUMBER(SEARCH(LISTAS!$O$3:$O$42,$I306&amp;" "&amp;$K306)))&gt;0,"CERCANA","NACIONAL"))</f>
        <v/>
      </c>
      <c r="O306" s="39">
        <f>IF($B306="","",IF(COUNTIFS(NOVEDADES!$C$4:$C$2003,$B306)=0,"—","SÍ ("&amp;COUNTIFS(NOVEDADES!$C$4:$C$2003,$B306)&amp;")"))</f>
        <v/>
      </c>
    </row>
    <row r="307">
      <c r="A307" s="41" t="n"/>
      <c r="B307" s="41" t="n"/>
      <c r="C307" s="41" t="n"/>
      <c r="D307" s="41" t="n"/>
      <c r="E307" s="46" t="n"/>
      <c r="F307" s="41" t="n"/>
      <c r="G307" s="41" t="n"/>
      <c r="H307" s="41" t="n"/>
      <c r="I307" s="41" t="n"/>
      <c r="J307" s="47" t="n"/>
      <c r="K307" s="41" t="n"/>
      <c r="L307" s="48" t="n"/>
      <c r="M307" s="45" t="n"/>
      <c r="N307" s="39">
        <f>IF($B307="","",IF(SUMPRODUCT((LISTAS!$O$3:$O$42&lt;&gt;"")*ISNUMBER(SEARCH(LISTAS!$O$3:$O$42,$I307&amp;" "&amp;$K307)))&gt;0,"CERCANA","NACIONAL"))</f>
        <v/>
      </c>
      <c r="O307" s="39">
        <f>IF($B307="","",IF(COUNTIFS(NOVEDADES!$C$4:$C$2003,$B307)=0,"—","SÍ ("&amp;COUNTIFS(NOVEDADES!$C$4:$C$2003,$B307)&amp;")"))</f>
        <v/>
      </c>
    </row>
    <row r="308">
      <c r="A308" s="41" t="n"/>
      <c r="B308" s="41" t="n"/>
      <c r="C308" s="41" t="n"/>
      <c r="D308" s="41" t="n"/>
      <c r="E308" s="46" t="n"/>
      <c r="F308" s="41" t="n"/>
      <c r="G308" s="41" t="n"/>
      <c r="H308" s="41" t="n"/>
      <c r="I308" s="41" t="n"/>
      <c r="J308" s="47" t="n"/>
      <c r="K308" s="41" t="n"/>
      <c r="L308" s="48" t="n"/>
      <c r="M308" s="45" t="n"/>
      <c r="N308" s="39">
        <f>IF($B308="","",IF(SUMPRODUCT((LISTAS!$O$3:$O$42&lt;&gt;"")*ISNUMBER(SEARCH(LISTAS!$O$3:$O$42,$I308&amp;" "&amp;$K308)))&gt;0,"CERCANA","NACIONAL"))</f>
        <v/>
      </c>
      <c r="O308" s="39">
        <f>IF($B308="","",IF(COUNTIFS(NOVEDADES!$C$4:$C$2003,$B308)=0,"—","SÍ ("&amp;COUNTIFS(NOVEDADES!$C$4:$C$2003,$B308)&amp;")"))</f>
        <v/>
      </c>
    </row>
    <row r="309">
      <c r="A309" s="41" t="n"/>
      <c r="B309" s="41" t="n"/>
      <c r="C309" s="41" t="n"/>
      <c r="D309" s="41" t="n"/>
      <c r="E309" s="46" t="n"/>
      <c r="F309" s="41" t="n"/>
      <c r="G309" s="41" t="n"/>
      <c r="H309" s="41" t="n"/>
      <c r="I309" s="41" t="n"/>
      <c r="J309" s="47" t="n"/>
      <c r="K309" s="41" t="n"/>
      <c r="L309" s="48" t="n"/>
      <c r="M309" s="45" t="n"/>
      <c r="N309" s="39">
        <f>IF($B309="","",IF(SUMPRODUCT((LISTAS!$O$3:$O$42&lt;&gt;"")*ISNUMBER(SEARCH(LISTAS!$O$3:$O$42,$I309&amp;" "&amp;$K309)))&gt;0,"CERCANA","NACIONAL"))</f>
        <v/>
      </c>
      <c r="O309" s="39">
        <f>IF($B309="","",IF(COUNTIFS(NOVEDADES!$C$4:$C$2003,$B309)=0,"—","SÍ ("&amp;COUNTIFS(NOVEDADES!$C$4:$C$2003,$B309)&amp;")"))</f>
        <v/>
      </c>
    </row>
    <row r="310">
      <c r="A310" s="41" t="n"/>
      <c r="B310" s="41" t="n"/>
      <c r="C310" s="41" t="n"/>
      <c r="D310" s="41" t="n"/>
      <c r="E310" s="46" t="n"/>
      <c r="F310" s="41" t="n"/>
      <c r="G310" s="41" t="n"/>
      <c r="H310" s="41" t="n"/>
      <c r="I310" s="41" t="n"/>
      <c r="J310" s="47" t="n"/>
      <c r="K310" s="41" t="n"/>
      <c r="L310" s="48" t="n"/>
      <c r="M310" s="45" t="n"/>
      <c r="N310" s="39">
        <f>IF($B310="","",IF(SUMPRODUCT((LISTAS!$O$3:$O$42&lt;&gt;"")*ISNUMBER(SEARCH(LISTAS!$O$3:$O$42,$I310&amp;" "&amp;$K310)))&gt;0,"CERCANA","NACIONAL"))</f>
        <v/>
      </c>
      <c r="O310" s="39">
        <f>IF($B310="","",IF(COUNTIFS(NOVEDADES!$C$4:$C$2003,$B310)=0,"—","SÍ ("&amp;COUNTIFS(NOVEDADES!$C$4:$C$2003,$B310)&amp;")"))</f>
        <v/>
      </c>
    </row>
    <row r="311">
      <c r="A311" s="41" t="n"/>
      <c r="B311" s="41" t="n"/>
      <c r="C311" s="41" t="n"/>
      <c r="D311" s="41" t="n"/>
      <c r="E311" s="46" t="n"/>
      <c r="F311" s="41" t="n"/>
      <c r="G311" s="41" t="n"/>
      <c r="H311" s="41" t="n"/>
      <c r="I311" s="41" t="n"/>
      <c r="J311" s="47" t="n"/>
      <c r="K311" s="41" t="n"/>
      <c r="L311" s="48" t="n"/>
      <c r="M311" s="45" t="n"/>
      <c r="N311" s="39">
        <f>IF($B311="","",IF(SUMPRODUCT((LISTAS!$O$3:$O$42&lt;&gt;"")*ISNUMBER(SEARCH(LISTAS!$O$3:$O$42,$I311&amp;" "&amp;$K311)))&gt;0,"CERCANA","NACIONAL"))</f>
        <v/>
      </c>
      <c r="O311" s="39">
        <f>IF($B311="","",IF(COUNTIFS(NOVEDADES!$C$4:$C$2003,$B311)=0,"—","SÍ ("&amp;COUNTIFS(NOVEDADES!$C$4:$C$2003,$B311)&amp;")"))</f>
        <v/>
      </c>
    </row>
    <row r="312">
      <c r="A312" s="41" t="n"/>
      <c r="B312" s="41" t="n"/>
      <c r="C312" s="41" t="n"/>
      <c r="D312" s="41" t="n"/>
      <c r="E312" s="46" t="n"/>
      <c r="F312" s="41" t="n"/>
      <c r="G312" s="41" t="n"/>
      <c r="H312" s="41" t="n"/>
      <c r="I312" s="41" t="n"/>
      <c r="J312" s="47" t="n"/>
      <c r="K312" s="41" t="n"/>
      <c r="L312" s="48" t="n"/>
      <c r="M312" s="45" t="n"/>
      <c r="N312" s="39">
        <f>IF($B312="","",IF(SUMPRODUCT((LISTAS!$O$3:$O$42&lt;&gt;"")*ISNUMBER(SEARCH(LISTAS!$O$3:$O$42,$I312&amp;" "&amp;$K312)))&gt;0,"CERCANA","NACIONAL"))</f>
        <v/>
      </c>
      <c r="O312" s="39">
        <f>IF($B312="","",IF(COUNTIFS(NOVEDADES!$C$4:$C$2003,$B312)=0,"—","SÍ ("&amp;COUNTIFS(NOVEDADES!$C$4:$C$2003,$B312)&amp;")"))</f>
        <v/>
      </c>
    </row>
    <row r="313">
      <c r="A313" s="41" t="n"/>
      <c r="B313" s="41" t="n"/>
      <c r="C313" s="41" t="n"/>
      <c r="D313" s="41" t="n"/>
      <c r="E313" s="46" t="n"/>
      <c r="F313" s="41" t="n"/>
      <c r="G313" s="41" t="n"/>
      <c r="H313" s="41" t="n"/>
      <c r="I313" s="41" t="n"/>
      <c r="J313" s="47" t="n"/>
      <c r="K313" s="41" t="n"/>
      <c r="L313" s="48" t="n"/>
      <c r="M313" s="45" t="n"/>
      <c r="N313" s="39">
        <f>IF($B313="","",IF(SUMPRODUCT((LISTAS!$O$3:$O$42&lt;&gt;"")*ISNUMBER(SEARCH(LISTAS!$O$3:$O$42,$I313&amp;" "&amp;$K313)))&gt;0,"CERCANA","NACIONAL"))</f>
        <v/>
      </c>
      <c r="O313" s="39">
        <f>IF($B313="","",IF(COUNTIFS(NOVEDADES!$C$4:$C$2003,$B313)=0,"—","SÍ ("&amp;COUNTIFS(NOVEDADES!$C$4:$C$2003,$B313)&amp;")"))</f>
        <v/>
      </c>
    </row>
    <row r="314">
      <c r="A314" s="41" t="n"/>
      <c r="B314" s="41" t="n"/>
      <c r="C314" s="41" t="n"/>
      <c r="D314" s="41" t="n"/>
      <c r="E314" s="46" t="n"/>
      <c r="F314" s="41" t="n"/>
      <c r="G314" s="41" t="n"/>
      <c r="H314" s="41" t="n"/>
      <c r="I314" s="41" t="n"/>
      <c r="J314" s="47" t="n"/>
      <c r="K314" s="41" t="n"/>
      <c r="L314" s="48" t="n"/>
      <c r="M314" s="45" t="n"/>
      <c r="N314" s="39">
        <f>IF($B314="","",IF(SUMPRODUCT((LISTAS!$O$3:$O$42&lt;&gt;"")*ISNUMBER(SEARCH(LISTAS!$O$3:$O$42,$I314&amp;" "&amp;$K314)))&gt;0,"CERCANA","NACIONAL"))</f>
        <v/>
      </c>
      <c r="O314" s="39">
        <f>IF($B314="","",IF(COUNTIFS(NOVEDADES!$C$4:$C$2003,$B314)=0,"—","SÍ ("&amp;COUNTIFS(NOVEDADES!$C$4:$C$2003,$B314)&amp;")"))</f>
        <v/>
      </c>
    </row>
    <row r="315">
      <c r="A315" s="41" t="n"/>
      <c r="B315" s="41" t="n"/>
      <c r="C315" s="41" t="n"/>
      <c r="D315" s="41" t="n"/>
      <c r="E315" s="46" t="n"/>
      <c r="F315" s="41" t="n"/>
      <c r="G315" s="41" t="n"/>
      <c r="H315" s="41" t="n"/>
      <c r="I315" s="41" t="n"/>
      <c r="J315" s="47" t="n"/>
      <c r="K315" s="41" t="n"/>
      <c r="L315" s="48" t="n"/>
      <c r="M315" s="45" t="n"/>
      <c r="N315" s="39">
        <f>IF($B315="","",IF(SUMPRODUCT((LISTAS!$O$3:$O$42&lt;&gt;"")*ISNUMBER(SEARCH(LISTAS!$O$3:$O$42,$I315&amp;" "&amp;$K315)))&gt;0,"CERCANA","NACIONAL"))</f>
        <v/>
      </c>
      <c r="O315" s="39">
        <f>IF($B315="","",IF(COUNTIFS(NOVEDADES!$C$4:$C$2003,$B315)=0,"—","SÍ ("&amp;COUNTIFS(NOVEDADES!$C$4:$C$2003,$B315)&amp;")"))</f>
        <v/>
      </c>
    </row>
    <row r="316">
      <c r="A316" s="41" t="n"/>
      <c r="B316" s="41" t="n"/>
      <c r="C316" s="41" t="n"/>
      <c r="D316" s="41" t="n"/>
      <c r="E316" s="46" t="n"/>
      <c r="F316" s="41" t="n"/>
      <c r="G316" s="41" t="n"/>
      <c r="H316" s="41" t="n"/>
      <c r="I316" s="41" t="n"/>
      <c r="J316" s="47" t="n"/>
      <c r="K316" s="41" t="n"/>
      <c r="L316" s="48" t="n"/>
      <c r="M316" s="45" t="n"/>
      <c r="N316" s="39">
        <f>IF($B316="","",IF(SUMPRODUCT((LISTAS!$O$3:$O$42&lt;&gt;"")*ISNUMBER(SEARCH(LISTAS!$O$3:$O$42,$I316&amp;" "&amp;$K316)))&gt;0,"CERCANA","NACIONAL"))</f>
        <v/>
      </c>
      <c r="O316" s="39">
        <f>IF($B316="","",IF(COUNTIFS(NOVEDADES!$C$4:$C$2003,$B316)=0,"—","SÍ ("&amp;COUNTIFS(NOVEDADES!$C$4:$C$2003,$B316)&amp;")"))</f>
        <v/>
      </c>
    </row>
    <row r="317">
      <c r="A317" s="41" t="n"/>
      <c r="B317" s="41" t="n"/>
      <c r="C317" s="41" t="n"/>
      <c r="D317" s="41" t="n"/>
      <c r="E317" s="46" t="n"/>
      <c r="F317" s="41" t="n"/>
      <c r="G317" s="41" t="n"/>
      <c r="H317" s="41" t="n"/>
      <c r="I317" s="41" t="n"/>
      <c r="J317" s="47" t="n"/>
      <c r="K317" s="41" t="n"/>
      <c r="L317" s="48" t="n"/>
      <c r="M317" s="45" t="n"/>
      <c r="N317" s="39">
        <f>IF($B317="","",IF(SUMPRODUCT((LISTAS!$O$3:$O$42&lt;&gt;"")*ISNUMBER(SEARCH(LISTAS!$O$3:$O$42,$I317&amp;" "&amp;$K317)))&gt;0,"CERCANA","NACIONAL"))</f>
        <v/>
      </c>
      <c r="O317" s="39">
        <f>IF($B317="","",IF(COUNTIFS(NOVEDADES!$C$4:$C$2003,$B317)=0,"—","SÍ ("&amp;COUNTIFS(NOVEDADES!$C$4:$C$2003,$B317)&amp;")"))</f>
        <v/>
      </c>
    </row>
    <row r="318">
      <c r="A318" s="41" t="n"/>
      <c r="B318" s="41" t="n"/>
      <c r="C318" s="41" t="n"/>
      <c r="D318" s="41" t="n"/>
      <c r="E318" s="46" t="n"/>
      <c r="F318" s="41" t="n"/>
      <c r="G318" s="41" t="n"/>
      <c r="H318" s="41" t="n"/>
      <c r="I318" s="41" t="n"/>
      <c r="J318" s="47" t="n"/>
      <c r="K318" s="41" t="n"/>
      <c r="L318" s="48" t="n"/>
      <c r="M318" s="45" t="n"/>
      <c r="N318" s="39">
        <f>IF($B318="","",IF(SUMPRODUCT((LISTAS!$O$3:$O$42&lt;&gt;"")*ISNUMBER(SEARCH(LISTAS!$O$3:$O$42,$I318&amp;" "&amp;$K318)))&gt;0,"CERCANA","NACIONAL"))</f>
        <v/>
      </c>
      <c r="O318" s="39">
        <f>IF($B318="","",IF(COUNTIFS(NOVEDADES!$C$4:$C$2003,$B318)=0,"—","SÍ ("&amp;COUNTIFS(NOVEDADES!$C$4:$C$2003,$B318)&amp;")"))</f>
        <v/>
      </c>
    </row>
    <row r="319">
      <c r="A319" s="41" t="n"/>
      <c r="B319" s="41" t="n"/>
      <c r="C319" s="41" t="n"/>
      <c r="D319" s="41" t="n"/>
      <c r="E319" s="46" t="n"/>
      <c r="F319" s="41" t="n"/>
      <c r="G319" s="41" t="n"/>
      <c r="H319" s="41" t="n"/>
      <c r="I319" s="41" t="n"/>
      <c r="J319" s="47" t="n"/>
      <c r="K319" s="41" t="n"/>
      <c r="L319" s="48" t="n"/>
      <c r="M319" s="45" t="n"/>
      <c r="N319" s="39">
        <f>IF($B319="","",IF(SUMPRODUCT((LISTAS!$O$3:$O$42&lt;&gt;"")*ISNUMBER(SEARCH(LISTAS!$O$3:$O$42,$I319&amp;" "&amp;$K319)))&gt;0,"CERCANA","NACIONAL"))</f>
        <v/>
      </c>
      <c r="O319" s="39">
        <f>IF($B319="","",IF(COUNTIFS(NOVEDADES!$C$4:$C$2003,$B319)=0,"—","SÍ ("&amp;COUNTIFS(NOVEDADES!$C$4:$C$2003,$B319)&amp;")"))</f>
        <v/>
      </c>
    </row>
    <row r="320">
      <c r="A320" s="41" t="n"/>
      <c r="B320" s="41" t="n"/>
      <c r="C320" s="41" t="n"/>
      <c r="D320" s="41" t="n"/>
      <c r="E320" s="46" t="n"/>
      <c r="F320" s="41" t="n"/>
      <c r="G320" s="41" t="n"/>
      <c r="H320" s="41" t="n"/>
      <c r="I320" s="41" t="n"/>
      <c r="J320" s="47" t="n"/>
      <c r="K320" s="41" t="n"/>
      <c r="L320" s="48" t="n"/>
      <c r="M320" s="45" t="n"/>
      <c r="N320" s="39">
        <f>IF($B320="","",IF(SUMPRODUCT((LISTAS!$O$3:$O$42&lt;&gt;"")*ISNUMBER(SEARCH(LISTAS!$O$3:$O$42,$I320&amp;" "&amp;$K320)))&gt;0,"CERCANA","NACIONAL"))</f>
        <v/>
      </c>
      <c r="O320" s="39">
        <f>IF($B320="","",IF(COUNTIFS(NOVEDADES!$C$4:$C$2003,$B320)=0,"—","SÍ ("&amp;COUNTIFS(NOVEDADES!$C$4:$C$2003,$B320)&amp;")"))</f>
        <v/>
      </c>
    </row>
    <row r="321">
      <c r="A321" s="41" t="n"/>
      <c r="B321" s="41" t="n"/>
      <c r="C321" s="41" t="n"/>
      <c r="D321" s="41" t="n"/>
      <c r="E321" s="46" t="n"/>
      <c r="F321" s="41" t="n"/>
      <c r="G321" s="41" t="n"/>
      <c r="H321" s="41" t="n"/>
      <c r="I321" s="41" t="n"/>
      <c r="J321" s="47" t="n"/>
      <c r="K321" s="41" t="n"/>
      <c r="L321" s="48" t="n"/>
      <c r="M321" s="45" t="n"/>
      <c r="N321" s="39">
        <f>IF($B321="","",IF(SUMPRODUCT((LISTAS!$O$3:$O$42&lt;&gt;"")*ISNUMBER(SEARCH(LISTAS!$O$3:$O$42,$I321&amp;" "&amp;$K321)))&gt;0,"CERCANA","NACIONAL"))</f>
        <v/>
      </c>
      <c r="O321" s="39">
        <f>IF($B321="","",IF(COUNTIFS(NOVEDADES!$C$4:$C$2003,$B321)=0,"—","SÍ ("&amp;COUNTIFS(NOVEDADES!$C$4:$C$2003,$B321)&amp;")"))</f>
        <v/>
      </c>
    </row>
    <row r="322">
      <c r="A322" s="41" t="n"/>
      <c r="B322" s="41" t="n"/>
      <c r="C322" s="41" t="n"/>
      <c r="D322" s="41" t="n"/>
      <c r="E322" s="46" t="n"/>
      <c r="F322" s="41" t="n"/>
      <c r="G322" s="41" t="n"/>
      <c r="H322" s="41" t="n"/>
      <c r="I322" s="41" t="n"/>
      <c r="J322" s="47" t="n"/>
      <c r="K322" s="41" t="n"/>
      <c r="L322" s="48" t="n"/>
      <c r="M322" s="45" t="n"/>
      <c r="N322" s="39">
        <f>IF($B322="","",IF(SUMPRODUCT((LISTAS!$O$3:$O$42&lt;&gt;"")*ISNUMBER(SEARCH(LISTAS!$O$3:$O$42,$I322&amp;" "&amp;$K322)))&gt;0,"CERCANA","NACIONAL"))</f>
        <v/>
      </c>
      <c r="O322" s="39">
        <f>IF($B322="","",IF(COUNTIFS(NOVEDADES!$C$4:$C$2003,$B322)=0,"—","SÍ ("&amp;COUNTIFS(NOVEDADES!$C$4:$C$2003,$B322)&amp;")"))</f>
        <v/>
      </c>
    </row>
    <row r="323">
      <c r="A323" s="41" t="n"/>
      <c r="B323" s="41" t="n"/>
      <c r="C323" s="41" t="n"/>
      <c r="D323" s="41" t="n"/>
      <c r="E323" s="46" t="n"/>
      <c r="F323" s="41" t="n"/>
      <c r="G323" s="41" t="n"/>
      <c r="H323" s="41" t="n"/>
      <c r="I323" s="41" t="n"/>
      <c r="J323" s="47" t="n"/>
      <c r="K323" s="41" t="n"/>
      <c r="L323" s="48" t="n"/>
      <c r="M323" s="45" t="n"/>
      <c r="N323" s="39">
        <f>IF($B323="","",IF(SUMPRODUCT((LISTAS!$O$3:$O$42&lt;&gt;"")*ISNUMBER(SEARCH(LISTAS!$O$3:$O$42,$I323&amp;" "&amp;$K323)))&gt;0,"CERCANA","NACIONAL"))</f>
        <v/>
      </c>
      <c r="O323" s="39">
        <f>IF($B323="","",IF(COUNTIFS(NOVEDADES!$C$4:$C$2003,$B323)=0,"—","SÍ ("&amp;COUNTIFS(NOVEDADES!$C$4:$C$2003,$B323)&amp;")"))</f>
        <v/>
      </c>
    </row>
    <row r="324">
      <c r="A324" s="41" t="n"/>
      <c r="B324" s="41" t="n"/>
      <c r="C324" s="41" t="n"/>
      <c r="D324" s="41" t="n"/>
      <c r="E324" s="46" t="n"/>
      <c r="F324" s="41" t="n"/>
      <c r="G324" s="41" t="n"/>
      <c r="H324" s="41" t="n"/>
      <c r="I324" s="41" t="n"/>
      <c r="J324" s="47" t="n"/>
      <c r="K324" s="41" t="n"/>
      <c r="L324" s="48" t="n"/>
      <c r="M324" s="45" t="n"/>
      <c r="N324" s="39">
        <f>IF($B324="","",IF(SUMPRODUCT((LISTAS!$O$3:$O$42&lt;&gt;"")*ISNUMBER(SEARCH(LISTAS!$O$3:$O$42,$I324&amp;" "&amp;$K324)))&gt;0,"CERCANA","NACIONAL"))</f>
        <v/>
      </c>
      <c r="O324" s="39">
        <f>IF($B324="","",IF(COUNTIFS(NOVEDADES!$C$4:$C$2003,$B324)=0,"—","SÍ ("&amp;COUNTIFS(NOVEDADES!$C$4:$C$2003,$B324)&amp;")"))</f>
        <v/>
      </c>
    </row>
    <row r="325">
      <c r="A325" s="41" t="n"/>
      <c r="B325" s="41" t="n"/>
      <c r="C325" s="41" t="n"/>
      <c r="D325" s="41" t="n"/>
      <c r="E325" s="46" t="n"/>
      <c r="F325" s="41" t="n"/>
      <c r="G325" s="41" t="n"/>
      <c r="H325" s="41" t="n"/>
      <c r="I325" s="41" t="n"/>
      <c r="J325" s="47" t="n"/>
      <c r="K325" s="41" t="n"/>
      <c r="L325" s="48" t="n"/>
      <c r="M325" s="45" t="n"/>
      <c r="N325" s="39">
        <f>IF($B325="","",IF(SUMPRODUCT((LISTAS!$O$3:$O$42&lt;&gt;"")*ISNUMBER(SEARCH(LISTAS!$O$3:$O$42,$I325&amp;" "&amp;$K325)))&gt;0,"CERCANA","NACIONAL"))</f>
        <v/>
      </c>
      <c r="O325" s="39">
        <f>IF($B325="","",IF(COUNTIFS(NOVEDADES!$C$4:$C$2003,$B325)=0,"—","SÍ ("&amp;COUNTIFS(NOVEDADES!$C$4:$C$2003,$B325)&amp;")"))</f>
        <v/>
      </c>
    </row>
    <row r="326">
      <c r="A326" s="41" t="n"/>
      <c r="B326" s="41" t="n"/>
      <c r="C326" s="41" t="n"/>
      <c r="D326" s="41" t="n"/>
      <c r="E326" s="46" t="n"/>
      <c r="F326" s="41" t="n"/>
      <c r="G326" s="41" t="n"/>
      <c r="H326" s="41" t="n"/>
      <c r="I326" s="41" t="n"/>
      <c r="J326" s="47" t="n"/>
      <c r="K326" s="41" t="n"/>
      <c r="L326" s="48" t="n"/>
      <c r="M326" s="45" t="n"/>
      <c r="N326" s="39">
        <f>IF($B326="","",IF(SUMPRODUCT((LISTAS!$O$3:$O$42&lt;&gt;"")*ISNUMBER(SEARCH(LISTAS!$O$3:$O$42,$I326&amp;" "&amp;$K326)))&gt;0,"CERCANA","NACIONAL"))</f>
        <v/>
      </c>
      <c r="O326" s="39">
        <f>IF($B326="","",IF(COUNTIFS(NOVEDADES!$C$4:$C$2003,$B326)=0,"—","SÍ ("&amp;COUNTIFS(NOVEDADES!$C$4:$C$2003,$B326)&amp;")"))</f>
        <v/>
      </c>
    </row>
    <row r="327">
      <c r="A327" s="41" t="n"/>
      <c r="B327" s="41" t="n"/>
      <c r="C327" s="41" t="n"/>
      <c r="D327" s="41" t="n"/>
      <c r="E327" s="46" t="n"/>
      <c r="F327" s="41" t="n"/>
      <c r="G327" s="41" t="n"/>
      <c r="H327" s="41" t="n"/>
      <c r="I327" s="41" t="n"/>
      <c r="J327" s="47" t="n"/>
      <c r="K327" s="41" t="n"/>
      <c r="L327" s="48" t="n"/>
      <c r="M327" s="45" t="n"/>
      <c r="N327" s="39">
        <f>IF($B327="","",IF(SUMPRODUCT((LISTAS!$O$3:$O$42&lt;&gt;"")*ISNUMBER(SEARCH(LISTAS!$O$3:$O$42,$I327&amp;" "&amp;$K327)))&gt;0,"CERCANA","NACIONAL"))</f>
        <v/>
      </c>
      <c r="O327" s="39">
        <f>IF($B327="","",IF(COUNTIFS(NOVEDADES!$C$4:$C$2003,$B327)=0,"—","SÍ ("&amp;COUNTIFS(NOVEDADES!$C$4:$C$2003,$B327)&amp;")"))</f>
        <v/>
      </c>
    </row>
    <row r="328">
      <c r="A328" s="41" t="n"/>
      <c r="B328" s="41" t="n"/>
      <c r="C328" s="41" t="n"/>
      <c r="D328" s="41" t="n"/>
      <c r="E328" s="46" t="n"/>
      <c r="F328" s="41" t="n"/>
      <c r="G328" s="41" t="n"/>
      <c r="H328" s="41" t="n"/>
      <c r="I328" s="41" t="n"/>
      <c r="J328" s="47" t="n"/>
      <c r="K328" s="41" t="n"/>
      <c r="L328" s="48" t="n"/>
      <c r="M328" s="45" t="n"/>
      <c r="N328" s="39">
        <f>IF($B328="","",IF(SUMPRODUCT((LISTAS!$O$3:$O$42&lt;&gt;"")*ISNUMBER(SEARCH(LISTAS!$O$3:$O$42,$I328&amp;" "&amp;$K328)))&gt;0,"CERCANA","NACIONAL"))</f>
        <v/>
      </c>
      <c r="O328" s="39">
        <f>IF($B328="","",IF(COUNTIFS(NOVEDADES!$C$4:$C$2003,$B328)=0,"—","SÍ ("&amp;COUNTIFS(NOVEDADES!$C$4:$C$2003,$B328)&amp;")"))</f>
        <v/>
      </c>
    </row>
    <row r="329">
      <c r="A329" s="41" t="n"/>
      <c r="B329" s="41" t="n"/>
      <c r="C329" s="41" t="n"/>
      <c r="D329" s="41" t="n"/>
      <c r="E329" s="46" t="n"/>
      <c r="F329" s="41" t="n"/>
      <c r="G329" s="41" t="n"/>
      <c r="H329" s="41" t="n"/>
      <c r="I329" s="41" t="n"/>
      <c r="J329" s="47" t="n"/>
      <c r="K329" s="41" t="n"/>
      <c r="L329" s="48" t="n"/>
      <c r="M329" s="45" t="n"/>
      <c r="N329" s="39">
        <f>IF($B329="","",IF(SUMPRODUCT((LISTAS!$O$3:$O$42&lt;&gt;"")*ISNUMBER(SEARCH(LISTAS!$O$3:$O$42,$I329&amp;" "&amp;$K329)))&gt;0,"CERCANA","NACIONAL"))</f>
        <v/>
      </c>
      <c r="O329" s="39">
        <f>IF($B329="","",IF(COUNTIFS(NOVEDADES!$C$4:$C$2003,$B329)=0,"—","SÍ ("&amp;COUNTIFS(NOVEDADES!$C$4:$C$2003,$B329)&amp;")"))</f>
        <v/>
      </c>
    </row>
    <row r="330">
      <c r="A330" s="41" t="n"/>
      <c r="B330" s="41" t="n"/>
      <c r="C330" s="41" t="n"/>
      <c r="D330" s="41" t="n"/>
      <c r="E330" s="46" t="n"/>
      <c r="F330" s="41" t="n"/>
      <c r="G330" s="41" t="n"/>
      <c r="H330" s="41" t="n"/>
      <c r="I330" s="41" t="n"/>
      <c r="J330" s="47" t="n"/>
      <c r="K330" s="41" t="n"/>
      <c r="L330" s="48" t="n"/>
      <c r="M330" s="45" t="n"/>
      <c r="N330" s="39">
        <f>IF($B330="","",IF(SUMPRODUCT((LISTAS!$O$3:$O$42&lt;&gt;"")*ISNUMBER(SEARCH(LISTAS!$O$3:$O$42,$I330&amp;" "&amp;$K330)))&gt;0,"CERCANA","NACIONAL"))</f>
        <v/>
      </c>
      <c r="O330" s="39">
        <f>IF($B330="","",IF(COUNTIFS(NOVEDADES!$C$4:$C$2003,$B330)=0,"—","SÍ ("&amp;COUNTIFS(NOVEDADES!$C$4:$C$2003,$B330)&amp;")"))</f>
        <v/>
      </c>
    </row>
    <row r="331">
      <c r="A331" s="41" t="n"/>
      <c r="B331" s="41" t="n"/>
      <c r="C331" s="41" t="n"/>
      <c r="D331" s="41" t="n"/>
      <c r="E331" s="46" t="n"/>
      <c r="F331" s="41" t="n"/>
      <c r="G331" s="41" t="n"/>
      <c r="H331" s="41" t="n"/>
      <c r="I331" s="41" t="n"/>
      <c r="J331" s="47" t="n"/>
      <c r="K331" s="41" t="n"/>
      <c r="L331" s="48" t="n"/>
      <c r="M331" s="45" t="n"/>
      <c r="N331" s="39">
        <f>IF($B331="","",IF(SUMPRODUCT((LISTAS!$O$3:$O$42&lt;&gt;"")*ISNUMBER(SEARCH(LISTAS!$O$3:$O$42,$I331&amp;" "&amp;$K331)))&gt;0,"CERCANA","NACIONAL"))</f>
        <v/>
      </c>
      <c r="O331" s="39">
        <f>IF($B331="","",IF(COUNTIFS(NOVEDADES!$C$4:$C$2003,$B331)=0,"—","SÍ ("&amp;COUNTIFS(NOVEDADES!$C$4:$C$2003,$B331)&amp;")"))</f>
        <v/>
      </c>
    </row>
    <row r="332">
      <c r="A332" s="41" t="n"/>
      <c r="B332" s="41" t="n"/>
      <c r="C332" s="41" t="n"/>
      <c r="D332" s="41" t="n"/>
      <c r="E332" s="46" t="n"/>
      <c r="F332" s="41" t="n"/>
      <c r="G332" s="41" t="n"/>
      <c r="H332" s="41" t="n"/>
      <c r="I332" s="41" t="n"/>
      <c r="J332" s="47" t="n"/>
      <c r="K332" s="41" t="n"/>
      <c r="L332" s="48" t="n"/>
      <c r="M332" s="45" t="n"/>
      <c r="N332" s="39">
        <f>IF($B332="","",IF(SUMPRODUCT((LISTAS!$O$3:$O$42&lt;&gt;"")*ISNUMBER(SEARCH(LISTAS!$O$3:$O$42,$I332&amp;" "&amp;$K332)))&gt;0,"CERCANA","NACIONAL"))</f>
        <v/>
      </c>
      <c r="O332" s="39">
        <f>IF($B332="","",IF(COUNTIFS(NOVEDADES!$C$4:$C$2003,$B332)=0,"—","SÍ ("&amp;COUNTIFS(NOVEDADES!$C$4:$C$2003,$B332)&amp;")"))</f>
        <v/>
      </c>
    </row>
    <row r="333">
      <c r="A333" s="41" t="n"/>
      <c r="B333" s="41" t="n"/>
      <c r="C333" s="41" t="n"/>
      <c r="D333" s="41" t="n"/>
      <c r="E333" s="46" t="n"/>
      <c r="F333" s="41" t="n"/>
      <c r="G333" s="41" t="n"/>
      <c r="H333" s="41" t="n"/>
      <c r="I333" s="41" t="n"/>
      <c r="J333" s="47" t="n"/>
      <c r="K333" s="41" t="n"/>
      <c r="L333" s="48" t="n"/>
      <c r="M333" s="45" t="n"/>
      <c r="N333" s="39">
        <f>IF($B333="","",IF(SUMPRODUCT((LISTAS!$O$3:$O$42&lt;&gt;"")*ISNUMBER(SEARCH(LISTAS!$O$3:$O$42,$I333&amp;" "&amp;$K333)))&gt;0,"CERCANA","NACIONAL"))</f>
        <v/>
      </c>
      <c r="O333" s="39">
        <f>IF($B333="","",IF(COUNTIFS(NOVEDADES!$C$4:$C$2003,$B333)=0,"—","SÍ ("&amp;COUNTIFS(NOVEDADES!$C$4:$C$2003,$B333)&amp;")"))</f>
        <v/>
      </c>
    </row>
    <row r="334">
      <c r="A334" s="41" t="n"/>
      <c r="B334" s="41" t="n"/>
      <c r="C334" s="41" t="n"/>
      <c r="D334" s="41" t="n"/>
      <c r="E334" s="46" t="n"/>
      <c r="F334" s="41" t="n"/>
      <c r="G334" s="41" t="n"/>
      <c r="H334" s="41" t="n"/>
      <c r="I334" s="41" t="n"/>
      <c r="J334" s="47" t="n"/>
      <c r="K334" s="41" t="n"/>
      <c r="L334" s="48" t="n"/>
      <c r="M334" s="45" t="n"/>
      <c r="N334" s="39">
        <f>IF($B334="","",IF(SUMPRODUCT((LISTAS!$O$3:$O$42&lt;&gt;"")*ISNUMBER(SEARCH(LISTAS!$O$3:$O$42,$I334&amp;" "&amp;$K334)))&gt;0,"CERCANA","NACIONAL"))</f>
        <v/>
      </c>
      <c r="O334" s="39">
        <f>IF($B334="","",IF(COUNTIFS(NOVEDADES!$C$4:$C$2003,$B334)=0,"—","SÍ ("&amp;COUNTIFS(NOVEDADES!$C$4:$C$2003,$B334)&amp;")"))</f>
        <v/>
      </c>
    </row>
    <row r="335">
      <c r="A335" s="41" t="n"/>
      <c r="B335" s="41" t="n"/>
      <c r="C335" s="41" t="n"/>
      <c r="D335" s="41" t="n"/>
      <c r="E335" s="46" t="n"/>
      <c r="F335" s="41" t="n"/>
      <c r="G335" s="41" t="n"/>
      <c r="H335" s="41" t="n"/>
      <c r="I335" s="41" t="n"/>
      <c r="J335" s="47" t="n"/>
      <c r="K335" s="41" t="n"/>
      <c r="L335" s="48" t="n"/>
      <c r="M335" s="45" t="n"/>
      <c r="N335" s="39">
        <f>IF($B335="","",IF(SUMPRODUCT((LISTAS!$O$3:$O$42&lt;&gt;"")*ISNUMBER(SEARCH(LISTAS!$O$3:$O$42,$I335&amp;" "&amp;$K335)))&gt;0,"CERCANA","NACIONAL"))</f>
        <v/>
      </c>
      <c r="O335" s="39">
        <f>IF($B335="","",IF(COUNTIFS(NOVEDADES!$C$4:$C$2003,$B335)=0,"—","SÍ ("&amp;COUNTIFS(NOVEDADES!$C$4:$C$2003,$B335)&amp;")"))</f>
        <v/>
      </c>
    </row>
    <row r="336">
      <c r="A336" s="41" t="n"/>
      <c r="B336" s="41" t="n"/>
      <c r="C336" s="41" t="n"/>
      <c r="D336" s="41" t="n"/>
      <c r="E336" s="46" t="n"/>
      <c r="F336" s="41" t="n"/>
      <c r="G336" s="41" t="n"/>
      <c r="H336" s="41" t="n"/>
      <c r="I336" s="41" t="n"/>
      <c r="J336" s="47" t="n"/>
      <c r="K336" s="41" t="n"/>
      <c r="L336" s="48" t="n"/>
      <c r="M336" s="45" t="n"/>
      <c r="N336" s="39">
        <f>IF($B336="","",IF(SUMPRODUCT((LISTAS!$O$3:$O$42&lt;&gt;"")*ISNUMBER(SEARCH(LISTAS!$O$3:$O$42,$I336&amp;" "&amp;$K336)))&gt;0,"CERCANA","NACIONAL"))</f>
        <v/>
      </c>
      <c r="O336" s="39">
        <f>IF($B336="","",IF(COUNTIFS(NOVEDADES!$C$4:$C$2003,$B336)=0,"—","SÍ ("&amp;COUNTIFS(NOVEDADES!$C$4:$C$2003,$B336)&amp;")"))</f>
        <v/>
      </c>
    </row>
    <row r="337">
      <c r="A337" s="41" t="n"/>
      <c r="B337" s="41" t="n"/>
      <c r="C337" s="41" t="n"/>
      <c r="D337" s="41" t="n"/>
      <c r="E337" s="46" t="n"/>
      <c r="F337" s="41" t="n"/>
      <c r="G337" s="41" t="n"/>
      <c r="H337" s="41" t="n"/>
      <c r="I337" s="41" t="n"/>
      <c r="J337" s="47" t="n"/>
      <c r="K337" s="41" t="n"/>
      <c r="L337" s="48" t="n"/>
      <c r="M337" s="45" t="n"/>
      <c r="N337" s="39">
        <f>IF($B337="","",IF(SUMPRODUCT((LISTAS!$O$3:$O$42&lt;&gt;"")*ISNUMBER(SEARCH(LISTAS!$O$3:$O$42,$I337&amp;" "&amp;$K337)))&gt;0,"CERCANA","NACIONAL"))</f>
        <v/>
      </c>
      <c r="O337" s="39">
        <f>IF($B337="","",IF(COUNTIFS(NOVEDADES!$C$4:$C$2003,$B337)=0,"—","SÍ ("&amp;COUNTIFS(NOVEDADES!$C$4:$C$2003,$B337)&amp;")"))</f>
        <v/>
      </c>
    </row>
    <row r="338">
      <c r="A338" s="41" t="n"/>
      <c r="B338" s="41" t="n"/>
      <c r="C338" s="41" t="n"/>
      <c r="D338" s="41" t="n"/>
      <c r="E338" s="46" t="n"/>
      <c r="F338" s="41" t="n"/>
      <c r="G338" s="41" t="n"/>
      <c r="H338" s="41" t="n"/>
      <c r="I338" s="41" t="n"/>
      <c r="J338" s="47" t="n"/>
      <c r="K338" s="41" t="n"/>
      <c r="L338" s="48" t="n"/>
      <c r="M338" s="45" t="n"/>
      <c r="N338" s="39">
        <f>IF($B338="","",IF(SUMPRODUCT((LISTAS!$O$3:$O$42&lt;&gt;"")*ISNUMBER(SEARCH(LISTAS!$O$3:$O$42,$I338&amp;" "&amp;$K338)))&gt;0,"CERCANA","NACIONAL"))</f>
        <v/>
      </c>
      <c r="O338" s="39">
        <f>IF($B338="","",IF(COUNTIFS(NOVEDADES!$C$4:$C$2003,$B338)=0,"—","SÍ ("&amp;COUNTIFS(NOVEDADES!$C$4:$C$2003,$B338)&amp;")"))</f>
        <v/>
      </c>
    </row>
    <row r="339">
      <c r="A339" s="41" t="n"/>
      <c r="B339" s="41" t="n"/>
      <c r="C339" s="41" t="n"/>
      <c r="D339" s="41" t="n"/>
      <c r="E339" s="46" t="n"/>
      <c r="F339" s="41" t="n"/>
      <c r="G339" s="41" t="n"/>
      <c r="H339" s="41" t="n"/>
      <c r="I339" s="41" t="n"/>
      <c r="J339" s="47" t="n"/>
      <c r="K339" s="41" t="n"/>
      <c r="L339" s="48" t="n"/>
      <c r="M339" s="45" t="n"/>
      <c r="N339" s="39">
        <f>IF($B339="","",IF(SUMPRODUCT((LISTAS!$O$3:$O$42&lt;&gt;"")*ISNUMBER(SEARCH(LISTAS!$O$3:$O$42,$I339&amp;" "&amp;$K339)))&gt;0,"CERCANA","NACIONAL"))</f>
        <v/>
      </c>
      <c r="O339" s="39">
        <f>IF($B339="","",IF(COUNTIFS(NOVEDADES!$C$4:$C$2003,$B339)=0,"—","SÍ ("&amp;COUNTIFS(NOVEDADES!$C$4:$C$2003,$B339)&amp;")"))</f>
        <v/>
      </c>
    </row>
    <row r="340">
      <c r="A340" s="41" t="n"/>
      <c r="B340" s="41" t="n"/>
      <c r="C340" s="41" t="n"/>
      <c r="D340" s="41" t="n"/>
      <c r="E340" s="46" t="n"/>
      <c r="F340" s="41" t="n"/>
      <c r="G340" s="41" t="n"/>
      <c r="H340" s="41" t="n"/>
      <c r="I340" s="41" t="n"/>
      <c r="J340" s="47" t="n"/>
      <c r="K340" s="41" t="n"/>
      <c r="L340" s="48" t="n"/>
      <c r="M340" s="45" t="n"/>
      <c r="N340" s="39">
        <f>IF($B340="","",IF(SUMPRODUCT((LISTAS!$O$3:$O$42&lt;&gt;"")*ISNUMBER(SEARCH(LISTAS!$O$3:$O$42,$I340&amp;" "&amp;$K340)))&gt;0,"CERCANA","NACIONAL"))</f>
        <v/>
      </c>
      <c r="O340" s="39">
        <f>IF($B340="","",IF(COUNTIFS(NOVEDADES!$C$4:$C$2003,$B340)=0,"—","SÍ ("&amp;COUNTIFS(NOVEDADES!$C$4:$C$2003,$B340)&amp;")"))</f>
        <v/>
      </c>
    </row>
    <row r="341">
      <c r="A341" s="41" t="n"/>
      <c r="B341" s="41" t="n"/>
      <c r="C341" s="41" t="n"/>
      <c r="D341" s="41" t="n"/>
      <c r="E341" s="46" t="n"/>
      <c r="F341" s="41" t="n"/>
      <c r="G341" s="41" t="n"/>
      <c r="H341" s="41" t="n"/>
      <c r="I341" s="41" t="n"/>
      <c r="J341" s="47" t="n"/>
      <c r="K341" s="41" t="n"/>
      <c r="L341" s="48" t="n"/>
      <c r="M341" s="45" t="n"/>
      <c r="N341" s="39">
        <f>IF($B341="","",IF(SUMPRODUCT((LISTAS!$O$3:$O$42&lt;&gt;"")*ISNUMBER(SEARCH(LISTAS!$O$3:$O$42,$I341&amp;" "&amp;$K341)))&gt;0,"CERCANA","NACIONAL"))</f>
        <v/>
      </c>
      <c r="O341" s="39">
        <f>IF($B341="","",IF(COUNTIFS(NOVEDADES!$C$4:$C$2003,$B341)=0,"—","SÍ ("&amp;COUNTIFS(NOVEDADES!$C$4:$C$2003,$B341)&amp;")"))</f>
        <v/>
      </c>
    </row>
    <row r="342">
      <c r="A342" s="41" t="n"/>
      <c r="B342" s="41" t="n"/>
      <c r="C342" s="41" t="n"/>
      <c r="D342" s="41" t="n"/>
      <c r="E342" s="46" t="n"/>
      <c r="F342" s="41" t="n"/>
      <c r="G342" s="41" t="n"/>
      <c r="H342" s="41" t="n"/>
      <c r="I342" s="41" t="n"/>
      <c r="J342" s="47" t="n"/>
      <c r="K342" s="41" t="n"/>
      <c r="L342" s="48" t="n"/>
      <c r="M342" s="45" t="n"/>
      <c r="N342" s="39">
        <f>IF($B342="","",IF(SUMPRODUCT((LISTAS!$O$3:$O$42&lt;&gt;"")*ISNUMBER(SEARCH(LISTAS!$O$3:$O$42,$I342&amp;" "&amp;$K342)))&gt;0,"CERCANA","NACIONAL"))</f>
        <v/>
      </c>
      <c r="O342" s="39">
        <f>IF($B342="","",IF(COUNTIFS(NOVEDADES!$C$4:$C$2003,$B342)=0,"—","SÍ ("&amp;COUNTIFS(NOVEDADES!$C$4:$C$2003,$B342)&amp;")"))</f>
        <v/>
      </c>
    </row>
    <row r="343">
      <c r="A343" s="41" t="n"/>
      <c r="B343" s="41" t="n"/>
      <c r="C343" s="41" t="n"/>
      <c r="D343" s="41" t="n"/>
      <c r="E343" s="46" t="n"/>
      <c r="F343" s="41" t="n"/>
      <c r="G343" s="41" t="n"/>
      <c r="H343" s="41" t="n"/>
      <c r="I343" s="41" t="n"/>
      <c r="J343" s="47" t="n"/>
      <c r="K343" s="41" t="n"/>
      <c r="L343" s="48" t="n"/>
      <c r="M343" s="45" t="n"/>
      <c r="N343" s="39">
        <f>IF($B343="","",IF(SUMPRODUCT((LISTAS!$O$3:$O$42&lt;&gt;"")*ISNUMBER(SEARCH(LISTAS!$O$3:$O$42,$I343&amp;" "&amp;$K343)))&gt;0,"CERCANA","NACIONAL"))</f>
        <v/>
      </c>
      <c r="O343" s="39">
        <f>IF($B343="","",IF(COUNTIFS(NOVEDADES!$C$4:$C$2003,$B343)=0,"—","SÍ ("&amp;COUNTIFS(NOVEDADES!$C$4:$C$2003,$B343)&amp;")"))</f>
        <v/>
      </c>
    </row>
    <row r="344">
      <c r="A344" s="41" t="n"/>
      <c r="B344" s="41" t="n"/>
      <c r="C344" s="41" t="n"/>
      <c r="D344" s="41" t="n"/>
      <c r="E344" s="46" t="n"/>
      <c r="F344" s="41" t="n"/>
      <c r="G344" s="41" t="n"/>
      <c r="H344" s="41" t="n"/>
      <c r="I344" s="41" t="n"/>
      <c r="J344" s="47" t="n"/>
      <c r="K344" s="41" t="n"/>
      <c r="L344" s="48" t="n"/>
      <c r="M344" s="45" t="n"/>
      <c r="N344" s="39">
        <f>IF($B344="","",IF(SUMPRODUCT((LISTAS!$O$3:$O$42&lt;&gt;"")*ISNUMBER(SEARCH(LISTAS!$O$3:$O$42,$I344&amp;" "&amp;$K344)))&gt;0,"CERCANA","NACIONAL"))</f>
        <v/>
      </c>
      <c r="O344" s="39">
        <f>IF($B344="","",IF(COUNTIFS(NOVEDADES!$C$4:$C$2003,$B344)=0,"—","SÍ ("&amp;COUNTIFS(NOVEDADES!$C$4:$C$2003,$B344)&amp;")"))</f>
        <v/>
      </c>
    </row>
    <row r="345">
      <c r="A345" s="41" t="n"/>
      <c r="B345" s="41" t="n"/>
      <c r="C345" s="41" t="n"/>
      <c r="D345" s="41" t="n"/>
      <c r="E345" s="46" t="n"/>
      <c r="F345" s="41" t="n"/>
      <c r="G345" s="41" t="n"/>
      <c r="H345" s="41" t="n"/>
      <c r="I345" s="41" t="n"/>
      <c r="J345" s="47" t="n"/>
      <c r="K345" s="41" t="n"/>
      <c r="L345" s="48" t="n"/>
      <c r="M345" s="45" t="n"/>
      <c r="N345" s="39">
        <f>IF($B345="","",IF(SUMPRODUCT((LISTAS!$O$3:$O$42&lt;&gt;"")*ISNUMBER(SEARCH(LISTAS!$O$3:$O$42,$I345&amp;" "&amp;$K345)))&gt;0,"CERCANA","NACIONAL"))</f>
        <v/>
      </c>
      <c r="O345" s="39">
        <f>IF($B345="","",IF(COUNTIFS(NOVEDADES!$C$4:$C$2003,$B345)=0,"—","SÍ ("&amp;COUNTIFS(NOVEDADES!$C$4:$C$2003,$B345)&amp;")"))</f>
        <v/>
      </c>
    </row>
    <row r="346">
      <c r="A346" s="41" t="n"/>
      <c r="B346" s="41" t="n"/>
      <c r="C346" s="41" t="n"/>
      <c r="D346" s="41" t="n"/>
      <c r="E346" s="46" t="n"/>
      <c r="F346" s="41" t="n"/>
      <c r="G346" s="41" t="n"/>
      <c r="H346" s="41" t="n"/>
      <c r="I346" s="41" t="n"/>
      <c r="J346" s="47" t="n"/>
      <c r="K346" s="41" t="n"/>
      <c r="L346" s="48" t="n"/>
      <c r="M346" s="45" t="n"/>
      <c r="N346" s="39">
        <f>IF($B346="","",IF(SUMPRODUCT((LISTAS!$O$3:$O$42&lt;&gt;"")*ISNUMBER(SEARCH(LISTAS!$O$3:$O$42,$I346&amp;" "&amp;$K346)))&gt;0,"CERCANA","NACIONAL"))</f>
        <v/>
      </c>
      <c r="O346" s="39">
        <f>IF($B346="","",IF(COUNTIFS(NOVEDADES!$C$4:$C$2003,$B346)=0,"—","SÍ ("&amp;COUNTIFS(NOVEDADES!$C$4:$C$2003,$B346)&amp;")"))</f>
        <v/>
      </c>
    </row>
    <row r="347">
      <c r="A347" s="41" t="n"/>
      <c r="B347" s="41" t="n"/>
      <c r="C347" s="41" t="n"/>
      <c r="D347" s="41" t="n"/>
      <c r="E347" s="46" t="n"/>
      <c r="F347" s="41" t="n"/>
      <c r="G347" s="41" t="n"/>
      <c r="H347" s="41" t="n"/>
      <c r="I347" s="41" t="n"/>
      <c r="J347" s="47" t="n"/>
      <c r="K347" s="41" t="n"/>
      <c r="L347" s="48" t="n"/>
      <c r="M347" s="45" t="n"/>
      <c r="N347" s="39">
        <f>IF($B347="","",IF(SUMPRODUCT((LISTAS!$O$3:$O$42&lt;&gt;"")*ISNUMBER(SEARCH(LISTAS!$O$3:$O$42,$I347&amp;" "&amp;$K347)))&gt;0,"CERCANA","NACIONAL"))</f>
        <v/>
      </c>
      <c r="O347" s="39">
        <f>IF($B347="","",IF(COUNTIFS(NOVEDADES!$C$4:$C$2003,$B347)=0,"—","SÍ ("&amp;COUNTIFS(NOVEDADES!$C$4:$C$2003,$B347)&amp;")"))</f>
        <v/>
      </c>
    </row>
    <row r="348">
      <c r="A348" s="41" t="n"/>
      <c r="B348" s="41" t="n"/>
      <c r="C348" s="41" t="n"/>
      <c r="D348" s="41" t="n"/>
      <c r="E348" s="46" t="n"/>
      <c r="F348" s="41" t="n"/>
      <c r="G348" s="41" t="n"/>
      <c r="H348" s="41" t="n"/>
      <c r="I348" s="41" t="n"/>
      <c r="J348" s="47" t="n"/>
      <c r="K348" s="41" t="n"/>
      <c r="L348" s="48" t="n"/>
      <c r="M348" s="45" t="n"/>
      <c r="N348" s="39">
        <f>IF($B348="","",IF(SUMPRODUCT((LISTAS!$O$3:$O$42&lt;&gt;"")*ISNUMBER(SEARCH(LISTAS!$O$3:$O$42,$I348&amp;" "&amp;$K348)))&gt;0,"CERCANA","NACIONAL"))</f>
        <v/>
      </c>
      <c r="O348" s="39">
        <f>IF($B348="","",IF(COUNTIFS(NOVEDADES!$C$4:$C$2003,$B348)=0,"—","SÍ ("&amp;COUNTIFS(NOVEDADES!$C$4:$C$2003,$B348)&amp;")"))</f>
        <v/>
      </c>
    </row>
    <row r="349">
      <c r="A349" s="41" t="n"/>
      <c r="B349" s="41" t="n"/>
      <c r="C349" s="41" t="n"/>
      <c r="D349" s="41" t="n"/>
      <c r="E349" s="46" t="n"/>
      <c r="F349" s="41" t="n"/>
      <c r="G349" s="41" t="n"/>
      <c r="H349" s="41" t="n"/>
      <c r="I349" s="41" t="n"/>
      <c r="J349" s="47" t="n"/>
      <c r="K349" s="41" t="n"/>
      <c r="L349" s="48" t="n"/>
      <c r="M349" s="45" t="n"/>
      <c r="N349" s="39">
        <f>IF($B349="","",IF(SUMPRODUCT((LISTAS!$O$3:$O$42&lt;&gt;"")*ISNUMBER(SEARCH(LISTAS!$O$3:$O$42,$I349&amp;" "&amp;$K349)))&gt;0,"CERCANA","NACIONAL"))</f>
        <v/>
      </c>
      <c r="O349" s="39">
        <f>IF($B349="","",IF(COUNTIFS(NOVEDADES!$C$4:$C$2003,$B349)=0,"—","SÍ ("&amp;COUNTIFS(NOVEDADES!$C$4:$C$2003,$B349)&amp;")"))</f>
        <v/>
      </c>
    </row>
    <row r="350">
      <c r="A350" s="41" t="n"/>
      <c r="B350" s="41" t="n"/>
      <c r="C350" s="41" t="n"/>
      <c r="D350" s="41" t="n"/>
      <c r="E350" s="46" t="n"/>
      <c r="F350" s="41" t="n"/>
      <c r="G350" s="41" t="n"/>
      <c r="H350" s="41" t="n"/>
      <c r="I350" s="41" t="n"/>
      <c r="J350" s="47" t="n"/>
      <c r="K350" s="41" t="n"/>
      <c r="L350" s="48" t="n"/>
      <c r="M350" s="45" t="n"/>
      <c r="N350" s="39">
        <f>IF($B350="","",IF(SUMPRODUCT((LISTAS!$O$3:$O$42&lt;&gt;"")*ISNUMBER(SEARCH(LISTAS!$O$3:$O$42,$I350&amp;" "&amp;$K350)))&gt;0,"CERCANA","NACIONAL"))</f>
        <v/>
      </c>
      <c r="O350" s="39">
        <f>IF($B350="","",IF(COUNTIFS(NOVEDADES!$C$4:$C$2003,$B350)=0,"—","SÍ ("&amp;COUNTIFS(NOVEDADES!$C$4:$C$2003,$B350)&amp;")"))</f>
        <v/>
      </c>
    </row>
    <row r="351">
      <c r="A351" s="41" t="n"/>
      <c r="B351" s="41" t="n"/>
      <c r="C351" s="41" t="n"/>
      <c r="D351" s="41" t="n"/>
      <c r="E351" s="46" t="n"/>
      <c r="F351" s="41" t="n"/>
      <c r="G351" s="41" t="n"/>
      <c r="H351" s="41" t="n"/>
      <c r="I351" s="41" t="n"/>
      <c r="J351" s="47" t="n"/>
      <c r="K351" s="41" t="n"/>
      <c r="L351" s="48" t="n"/>
      <c r="M351" s="45" t="n"/>
      <c r="N351" s="39">
        <f>IF($B351="","",IF(SUMPRODUCT((LISTAS!$O$3:$O$42&lt;&gt;"")*ISNUMBER(SEARCH(LISTAS!$O$3:$O$42,$I351&amp;" "&amp;$K351)))&gt;0,"CERCANA","NACIONAL"))</f>
        <v/>
      </c>
      <c r="O351" s="39">
        <f>IF($B351="","",IF(COUNTIFS(NOVEDADES!$C$4:$C$2003,$B351)=0,"—","SÍ ("&amp;COUNTIFS(NOVEDADES!$C$4:$C$2003,$B351)&amp;")"))</f>
        <v/>
      </c>
    </row>
    <row r="352">
      <c r="A352" s="41" t="n"/>
      <c r="B352" s="41" t="n"/>
      <c r="C352" s="41" t="n"/>
      <c r="D352" s="41" t="n"/>
      <c r="E352" s="46" t="n"/>
      <c r="F352" s="41" t="n"/>
      <c r="G352" s="41" t="n"/>
      <c r="H352" s="41" t="n"/>
      <c r="I352" s="41" t="n"/>
      <c r="J352" s="47" t="n"/>
      <c r="K352" s="41" t="n"/>
      <c r="L352" s="48" t="n"/>
      <c r="M352" s="45" t="n"/>
      <c r="N352" s="39">
        <f>IF($B352="","",IF(SUMPRODUCT((LISTAS!$O$3:$O$42&lt;&gt;"")*ISNUMBER(SEARCH(LISTAS!$O$3:$O$42,$I352&amp;" "&amp;$K352)))&gt;0,"CERCANA","NACIONAL"))</f>
        <v/>
      </c>
      <c r="O352" s="39">
        <f>IF($B352="","",IF(COUNTIFS(NOVEDADES!$C$4:$C$2003,$B352)=0,"—","SÍ ("&amp;COUNTIFS(NOVEDADES!$C$4:$C$2003,$B352)&amp;")"))</f>
        <v/>
      </c>
    </row>
    <row r="353">
      <c r="A353" s="41" t="n"/>
      <c r="B353" s="41" t="n"/>
      <c r="C353" s="41" t="n"/>
      <c r="D353" s="41" t="n"/>
      <c r="E353" s="46" t="n"/>
      <c r="F353" s="41" t="n"/>
      <c r="G353" s="41" t="n"/>
      <c r="H353" s="41" t="n"/>
      <c r="I353" s="41" t="n"/>
      <c r="J353" s="47" t="n"/>
      <c r="K353" s="41" t="n"/>
      <c r="L353" s="48" t="n"/>
      <c r="M353" s="45" t="n"/>
      <c r="N353" s="39">
        <f>IF($B353="","",IF(SUMPRODUCT((LISTAS!$O$3:$O$42&lt;&gt;"")*ISNUMBER(SEARCH(LISTAS!$O$3:$O$42,$I353&amp;" "&amp;$K353)))&gt;0,"CERCANA","NACIONAL"))</f>
        <v/>
      </c>
      <c r="O353" s="39">
        <f>IF($B353="","",IF(COUNTIFS(NOVEDADES!$C$4:$C$2003,$B353)=0,"—","SÍ ("&amp;COUNTIFS(NOVEDADES!$C$4:$C$2003,$B353)&amp;")"))</f>
        <v/>
      </c>
    </row>
    <row r="354">
      <c r="A354" s="41" t="n"/>
      <c r="B354" s="41" t="n"/>
      <c r="C354" s="41" t="n"/>
      <c r="D354" s="41" t="n"/>
      <c r="E354" s="46" t="n"/>
      <c r="F354" s="41" t="n"/>
      <c r="G354" s="41" t="n"/>
      <c r="H354" s="41" t="n"/>
      <c r="I354" s="41" t="n"/>
      <c r="J354" s="47" t="n"/>
      <c r="K354" s="41" t="n"/>
      <c r="L354" s="48" t="n"/>
      <c r="M354" s="45" t="n"/>
      <c r="N354" s="39">
        <f>IF($B354="","",IF(SUMPRODUCT((LISTAS!$O$3:$O$42&lt;&gt;"")*ISNUMBER(SEARCH(LISTAS!$O$3:$O$42,$I354&amp;" "&amp;$K354)))&gt;0,"CERCANA","NACIONAL"))</f>
        <v/>
      </c>
      <c r="O354" s="39">
        <f>IF($B354="","",IF(COUNTIFS(NOVEDADES!$C$4:$C$2003,$B354)=0,"—","SÍ ("&amp;COUNTIFS(NOVEDADES!$C$4:$C$2003,$B354)&amp;")"))</f>
        <v/>
      </c>
    </row>
    <row r="355">
      <c r="A355" s="41" t="n"/>
      <c r="B355" s="41" t="n"/>
      <c r="C355" s="41" t="n"/>
      <c r="D355" s="41" t="n"/>
      <c r="E355" s="46" t="n"/>
      <c r="F355" s="41" t="n"/>
      <c r="G355" s="41" t="n"/>
      <c r="H355" s="41" t="n"/>
      <c r="I355" s="41" t="n"/>
      <c r="J355" s="47" t="n"/>
      <c r="K355" s="41" t="n"/>
      <c r="L355" s="48" t="n"/>
      <c r="M355" s="45" t="n"/>
      <c r="N355" s="39">
        <f>IF($B355="","",IF(SUMPRODUCT((LISTAS!$O$3:$O$42&lt;&gt;"")*ISNUMBER(SEARCH(LISTAS!$O$3:$O$42,$I355&amp;" "&amp;$K355)))&gt;0,"CERCANA","NACIONAL"))</f>
        <v/>
      </c>
      <c r="O355" s="39">
        <f>IF($B355="","",IF(COUNTIFS(NOVEDADES!$C$4:$C$2003,$B355)=0,"—","SÍ ("&amp;COUNTIFS(NOVEDADES!$C$4:$C$2003,$B355)&amp;")"))</f>
        <v/>
      </c>
    </row>
    <row r="356">
      <c r="A356" s="41" t="n"/>
      <c r="B356" s="41" t="n"/>
      <c r="C356" s="41" t="n"/>
      <c r="D356" s="41" t="n"/>
      <c r="E356" s="46" t="n"/>
      <c r="F356" s="41" t="n"/>
      <c r="G356" s="41" t="n"/>
      <c r="H356" s="41" t="n"/>
      <c r="I356" s="41" t="n"/>
      <c r="J356" s="47" t="n"/>
      <c r="K356" s="41" t="n"/>
      <c r="L356" s="48" t="n"/>
      <c r="M356" s="45" t="n"/>
      <c r="N356" s="39">
        <f>IF($B356="","",IF(SUMPRODUCT((LISTAS!$O$3:$O$42&lt;&gt;"")*ISNUMBER(SEARCH(LISTAS!$O$3:$O$42,$I356&amp;" "&amp;$K356)))&gt;0,"CERCANA","NACIONAL"))</f>
        <v/>
      </c>
      <c r="O356" s="39">
        <f>IF($B356="","",IF(COUNTIFS(NOVEDADES!$C$4:$C$2003,$B356)=0,"—","SÍ ("&amp;COUNTIFS(NOVEDADES!$C$4:$C$2003,$B356)&amp;")"))</f>
        <v/>
      </c>
    </row>
    <row r="357">
      <c r="A357" s="41" t="n"/>
      <c r="B357" s="41" t="n"/>
      <c r="C357" s="41" t="n"/>
      <c r="D357" s="41" t="n"/>
      <c r="E357" s="46" t="n"/>
      <c r="F357" s="41" t="n"/>
      <c r="G357" s="41" t="n"/>
      <c r="H357" s="41" t="n"/>
      <c r="I357" s="41" t="n"/>
      <c r="J357" s="47" t="n"/>
      <c r="K357" s="41" t="n"/>
      <c r="L357" s="48" t="n"/>
      <c r="M357" s="45" t="n"/>
      <c r="N357" s="39">
        <f>IF($B357="","",IF(SUMPRODUCT((LISTAS!$O$3:$O$42&lt;&gt;"")*ISNUMBER(SEARCH(LISTAS!$O$3:$O$42,$I357&amp;" "&amp;$K357)))&gt;0,"CERCANA","NACIONAL"))</f>
        <v/>
      </c>
      <c r="O357" s="39">
        <f>IF($B357="","",IF(COUNTIFS(NOVEDADES!$C$4:$C$2003,$B357)=0,"—","SÍ ("&amp;COUNTIFS(NOVEDADES!$C$4:$C$2003,$B357)&amp;")"))</f>
        <v/>
      </c>
    </row>
    <row r="358">
      <c r="A358" s="41" t="n"/>
      <c r="B358" s="41" t="n"/>
      <c r="C358" s="41" t="n"/>
      <c r="D358" s="41" t="n"/>
      <c r="E358" s="46" t="n"/>
      <c r="F358" s="41" t="n"/>
      <c r="G358" s="41" t="n"/>
      <c r="H358" s="41" t="n"/>
      <c r="I358" s="41" t="n"/>
      <c r="J358" s="47" t="n"/>
      <c r="K358" s="41" t="n"/>
      <c r="L358" s="48" t="n"/>
      <c r="M358" s="45" t="n"/>
      <c r="N358" s="39">
        <f>IF($B358="","",IF(SUMPRODUCT((LISTAS!$O$3:$O$42&lt;&gt;"")*ISNUMBER(SEARCH(LISTAS!$O$3:$O$42,$I358&amp;" "&amp;$K358)))&gt;0,"CERCANA","NACIONAL"))</f>
        <v/>
      </c>
      <c r="O358" s="39">
        <f>IF($B358="","",IF(COUNTIFS(NOVEDADES!$C$4:$C$2003,$B358)=0,"—","SÍ ("&amp;COUNTIFS(NOVEDADES!$C$4:$C$2003,$B358)&amp;")"))</f>
        <v/>
      </c>
    </row>
    <row r="359">
      <c r="A359" s="41" t="n"/>
      <c r="B359" s="41" t="n"/>
      <c r="C359" s="41" t="n"/>
      <c r="D359" s="41" t="n"/>
      <c r="E359" s="46" t="n"/>
      <c r="F359" s="41" t="n"/>
      <c r="G359" s="41" t="n"/>
      <c r="H359" s="41" t="n"/>
      <c r="I359" s="41" t="n"/>
      <c r="J359" s="47" t="n"/>
      <c r="K359" s="41" t="n"/>
      <c r="L359" s="48" t="n"/>
      <c r="M359" s="45" t="n"/>
      <c r="N359" s="39">
        <f>IF($B359="","",IF(SUMPRODUCT((LISTAS!$O$3:$O$42&lt;&gt;"")*ISNUMBER(SEARCH(LISTAS!$O$3:$O$42,$I359&amp;" "&amp;$K359)))&gt;0,"CERCANA","NACIONAL"))</f>
        <v/>
      </c>
      <c r="O359" s="39">
        <f>IF($B359="","",IF(COUNTIFS(NOVEDADES!$C$4:$C$2003,$B359)=0,"—","SÍ ("&amp;COUNTIFS(NOVEDADES!$C$4:$C$2003,$B359)&amp;")"))</f>
        <v/>
      </c>
    </row>
    <row r="360">
      <c r="A360" s="41" t="n"/>
      <c r="B360" s="41" t="n"/>
      <c r="C360" s="41" t="n"/>
      <c r="D360" s="41" t="n"/>
      <c r="E360" s="46" t="n"/>
      <c r="F360" s="41" t="n"/>
      <c r="G360" s="41" t="n"/>
      <c r="H360" s="41" t="n"/>
      <c r="I360" s="41" t="n"/>
      <c r="J360" s="47" t="n"/>
      <c r="K360" s="41" t="n"/>
      <c r="L360" s="48" t="n"/>
      <c r="M360" s="45" t="n"/>
      <c r="N360" s="39">
        <f>IF($B360="","",IF(SUMPRODUCT((LISTAS!$O$3:$O$42&lt;&gt;"")*ISNUMBER(SEARCH(LISTAS!$O$3:$O$42,$I360&amp;" "&amp;$K360)))&gt;0,"CERCANA","NACIONAL"))</f>
        <v/>
      </c>
      <c r="O360" s="39">
        <f>IF($B360="","",IF(COUNTIFS(NOVEDADES!$C$4:$C$2003,$B360)=0,"—","SÍ ("&amp;COUNTIFS(NOVEDADES!$C$4:$C$2003,$B360)&amp;")"))</f>
        <v/>
      </c>
    </row>
    <row r="361">
      <c r="A361" s="41" t="n"/>
      <c r="B361" s="41" t="n"/>
      <c r="C361" s="41" t="n"/>
      <c r="D361" s="41" t="n"/>
      <c r="E361" s="46" t="n"/>
      <c r="F361" s="41" t="n"/>
      <c r="G361" s="41" t="n"/>
      <c r="H361" s="41" t="n"/>
      <c r="I361" s="41" t="n"/>
      <c r="J361" s="47" t="n"/>
      <c r="K361" s="41" t="n"/>
      <c r="L361" s="48" t="n"/>
      <c r="M361" s="45" t="n"/>
      <c r="N361" s="39">
        <f>IF($B361="","",IF(SUMPRODUCT((LISTAS!$O$3:$O$42&lt;&gt;"")*ISNUMBER(SEARCH(LISTAS!$O$3:$O$42,$I361&amp;" "&amp;$K361)))&gt;0,"CERCANA","NACIONAL"))</f>
        <v/>
      </c>
      <c r="O361" s="39">
        <f>IF($B361="","",IF(COUNTIFS(NOVEDADES!$C$4:$C$2003,$B361)=0,"—","SÍ ("&amp;COUNTIFS(NOVEDADES!$C$4:$C$2003,$B361)&amp;")"))</f>
        <v/>
      </c>
    </row>
    <row r="362">
      <c r="A362" s="41" t="n"/>
      <c r="B362" s="41" t="n"/>
      <c r="C362" s="41" t="n"/>
      <c r="D362" s="41" t="n"/>
      <c r="E362" s="46" t="n"/>
      <c r="F362" s="41" t="n"/>
      <c r="G362" s="41" t="n"/>
      <c r="H362" s="41" t="n"/>
      <c r="I362" s="41" t="n"/>
      <c r="J362" s="47" t="n"/>
      <c r="K362" s="41" t="n"/>
      <c r="L362" s="48" t="n"/>
      <c r="M362" s="45" t="n"/>
      <c r="N362" s="39">
        <f>IF($B362="","",IF(SUMPRODUCT((LISTAS!$O$3:$O$42&lt;&gt;"")*ISNUMBER(SEARCH(LISTAS!$O$3:$O$42,$I362&amp;" "&amp;$K362)))&gt;0,"CERCANA","NACIONAL"))</f>
        <v/>
      </c>
      <c r="O362" s="39">
        <f>IF($B362="","",IF(COUNTIFS(NOVEDADES!$C$4:$C$2003,$B362)=0,"—","SÍ ("&amp;COUNTIFS(NOVEDADES!$C$4:$C$2003,$B362)&amp;")"))</f>
        <v/>
      </c>
    </row>
    <row r="363">
      <c r="A363" s="41" t="n"/>
      <c r="B363" s="41" t="n"/>
      <c r="C363" s="41" t="n"/>
      <c r="D363" s="41" t="n"/>
      <c r="E363" s="46" t="n"/>
      <c r="F363" s="41" t="n"/>
      <c r="G363" s="41" t="n"/>
      <c r="H363" s="41" t="n"/>
      <c r="I363" s="41" t="n"/>
      <c r="J363" s="47" t="n"/>
      <c r="K363" s="41" t="n"/>
      <c r="L363" s="48" t="n"/>
      <c r="M363" s="45" t="n"/>
      <c r="N363" s="39">
        <f>IF($B363="","",IF(SUMPRODUCT((LISTAS!$O$3:$O$42&lt;&gt;"")*ISNUMBER(SEARCH(LISTAS!$O$3:$O$42,$I363&amp;" "&amp;$K363)))&gt;0,"CERCANA","NACIONAL"))</f>
        <v/>
      </c>
      <c r="O363" s="39">
        <f>IF($B363="","",IF(COUNTIFS(NOVEDADES!$C$4:$C$2003,$B363)=0,"—","SÍ ("&amp;COUNTIFS(NOVEDADES!$C$4:$C$2003,$B363)&amp;")"))</f>
        <v/>
      </c>
    </row>
    <row r="364">
      <c r="A364" s="41" t="n"/>
      <c r="B364" s="41" t="n"/>
      <c r="C364" s="41" t="n"/>
      <c r="D364" s="41" t="n"/>
      <c r="E364" s="46" t="n"/>
      <c r="F364" s="41" t="n"/>
      <c r="G364" s="41" t="n"/>
      <c r="H364" s="41" t="n"/>
      <c r="I364" s="41" t="n"/>
      <c r="J364" s="47" t="n"/>
      <c r="K364" s="41" t="n"/>
      <c r="L364" s="48" t="n"/>
      <c r="M364" s="45" t="n"/>
      <c r="N364" s="39">
        <f>IF($B364="","",IF(SUMPRODUCT((LISTAS!$O$3:$O$42&lt;&gt;"")*ISNUMBER(SEARCH(LISTAS!$O$3:$O$42,$I364&amp;" "&amp;$K364)))&gt;0,"CERCANA","NACIONAL"))</f>
        <v/>
      </c>
      <c r="O364" s="39">
        <f>IF($B364="","",IF(COUNTIFS(NOVEDADES!$C$4:$C$2003,$B364)=0,"—","SÍ ("&amp;COUNTIFS(NOVEDADES!$C$4:$C$2003,$B364)&amp;")"))</f>
        <v/>
      </c>
    </row>
    <row r="365">
      <c r="A365" s="41" t="n"/>
      <c r="B365" s="41" t="n"/>
      <c r="C365" s="41" t="n"/>
      <c r="D365" s="41" t="n"/>
      <c r="E365" s="46" t="n"/>
      <c r="F365" s="41" t="n"/>
      <c r="G365" s="41" t="n"/>
      <c r="H365" s="41" t="n"/>
      <c r="I365" s="41" t="n"/>
      <c r="J365" s="47" t="n"/>
      <c r="K365" s="41" t="n"/>
      <c r="L365" s="48" t="n"/>
      <c r="M365" s="45" t="n"/>
      <c r="N365" s="39">
        <f>IF($B365="","",IF(SUMPRODUCT((LISTAS!$O$3:$O$42&lt;&gt;"")*ISNUMBER(SEARCH(LISTAS!$O$3:$O$42,$I365&amp;" "&amp;$K365)))&gt;0,"CERCANA","NACIONAL"))</f>
        <v/>
      </c>
      <c r="O365" s="39">
        <f>IF($B365="","",IF(COUNTIFS(NOVEDADES!$C$4:$C$2003,$B365)=0,"—","SÍ ("&amp;COUNTIFS(NOVEDADES!$C$4:$C$2003,$B365)&amp;")"))</f>
        <v/>
      </c>
    </row>
    <row r="366">
      <c r="A366" s="41" t="n"/>
      <c r="B366" s="41" t="n"/>
      <c r="C366" s="41" t="n"/>
      <c r="D366" s="41" t="n"/>
      <c r="E366" s="46" t="n"/>
      <c r="F366" s="41" t="n"/>
      <c r="G366" s="41" t="n"/>
      <c r="H366" s="41" t="n"/>
      <c r="I366" s="41" t="n"/>
      <c r="J366" s="47" t="n"/>
      <c r="K366" s="41" t="n"/>
      <c r="L366" s="48" t="n"/>
      <c r="M366" s="45" t="n"/>
      <c r="N366" s="39">
        <f>IF($B366="","",IF(SUMPRODUCT((LISTAS!$O$3:$O$42&lt;&gt;"")*ISNUMBER(SEARCH(LISTAS!$O$3:$O$42,$I366&amp;" "&amp;$K366)))&gt;0,"CERCANA","NACIONAL"))</f>
        <v/>
      </c>
      <c r="O366" s="39">
        <f>IF($B366="","",IF(COUNTIFS(NOVEDADES!$C$4:$C$2003,$B366)=0,"—","SÍ ("&amp;COUNTIFS(NOVEDADES!$C$4:$C$2003,$B366)&amp;")"))</f>
        <v/>
      </c>
    </row>
    <row r="367">
      <c r="A367" s="41" t="n"/>
      <c r="B367" s="41" t="n"/>
      <c r="C367" s="41" t="n"/>
      <c r="D367" s="41" t="n"/>
      <c r="E367" s="46" t="n"/>
      <c r="F367" s="41" t="n"/>
      <c r="G367" s="41" t="n"/>
      <c r="H367" s="41" t="n"/>
      <c r="I367" s="41" t="n"/>
      <c r="J367" s="47" t="n"/>
      <c r="K367" s="41" t="n"/>
      <c r="L367" s="48" t="n"/>
      <c r="M367" s="45" t="n"/>
      <c r="N367" s="39">
        <f>IF($B367="","",IF(SUMPRODUCT((LISTAS!$O$3:$O$42&lt;&gt;"")*ISNUMBER(SEARCH(LISTAS!$O$3:$O$42,$I367&amp;" "&amp;$K367)))&gt;0,"CERCANA","NACIONAL"))</f>
        <v/>
      </c>
      <c r="O367" s="39">
        <f>IF($B367="","",IF(COUNTIFS(NOVEDADES!$C$4:$C$2003,$B367)=0,"—","SÍ ("&amp;COUNTIFS(NOVEDADES!$C$4:$C$2003,$B367)&amp;")"))</f>
        <v/>
      </c>
    </row>
    <row r="368">
      <c r="A368" s="41" t="n"/>
      <c r="B368" s="41" t="n"/>
      <c r="C368" s="41" t="n"/>
      <c r="D368" s="41" t="n"/>
      <c r="E368" s="46" t="n"/>
      <c r="F368" s="41" t="n"/>
      <c r="G368" s="41" t="n"/>
      <c r="H368" s="41" t="n"/>
      <c r="I368" s="41" t="n"/>
      <c r="J368" s="47" t="n"/>
      <c r="K368" s="41" t="n"/>
      <c r="L368" s="48" t="n"/>
      <c r="M368" s="45" t="n"/>
      <c r="N368" s="39">
        <f>IF($B368="","",IF(SUMPRODUCT((LISTAS!$O$3:$O$42&lt;&gt;"")*ISNUMBER(SEARCH(LISTAS!$O$3:$O$42,$I368&amp;" "&amp;$K368)))&gt;0,"CERCANA","NACIONAL"))</f>
        <v/>
      </c>
      <c r="O368" s="39">
        <f>IF($B368="","",IF(COUNTIFS(NOVEDADES!$C$4:$C$2003,$B368)=0,"—","SÍ ("&amp;COUNTIFS(NOVEDADES!$C$4:$C$2003,$B368)&amp;")"))</f>
        <v/>
      </c>
    </row>
    <row r="369">
      <c r="A369" s="41" t="n"/>
      <c r="B369" s="41" t="n"/>
      <c r="C369" s="41" t="n"/>
      <c r="D369" s="41" t="n"/>
      <c r="E369" s="46" t="n"/>
      <c r="F369" s="41" t="n"/>
      <c r="G369" s="41" t="n"/>
      <c r="H369" s="41" t="n"/>
      <c r="I369" s="41" t="n"/>
      <c r="J369" s="47" t="n"/>
      <c r="K369" s="41" t="n"/>
      <c r="L369" s="48" t="n"/>
      <c r="M369" s="45" t="n"/>
      <c r="N369" s="39">
        <f>IF($B369="","",IF(SUMPRODUCT((LISTAS!$O$3:$O$42&lt;&gt;"")*ISNUMBER(SEARCH(LISTAS!$O$3:$O$42,$I369&amp;" "&amp;$K369)))&gt;0,"CERCANA","NACIONAL"))</f>
        <v/>
      </c>
      <c r="O369" s="39">
        <f>IF($B369="","",IF(COUNTIFS(NOVEDADES!$C$4:$C$2003,$B369)=0,"—","SÍ ("&amp;COUNTIFS(NOVEDADES!$C$4:$C$2003,$B369)&amp;")"))</f>
        <v/>
      </c>
    </row>
    <row r="370">
      <c r="A370" s="41" t="n"/>
      <c r="B370" s="41" t="n"/>
      <c r="C370" s="41" t="n"/>
      <c r="D370" s="41" t="n"/>
      <c r="E370" s="46" t="n"/>
      <c r="F370" s="41" t="n"/>
      <c r="G370" s="41" t="n"/>
      <c r="H370" s="41" t="n"/>
      <c r="I370" s="41" t="n"/>
      <c r="J370" s="47" t="n"/>
      <c r="K370" s="41" t="n"/>
      <c r="L370" s="48" t="n"/>
      <c r="M370" s="45" t="n"/>
      <c r="N370" s="39">
        <f>IF($B370="","",IF(SUMPRODUCT((LISTAS!$O$3:$O$42&lt;&gt;"")*ISNUMBER(SEARCH(LISTAS!$O$3:$O$42,$I370&amp;" "&amp;$K370)))&gt;0,"CERCANA","NACIONAL"))</f>
        <v/>
      </c>
      <c r="O370" s="39">
        <f>IF($B370="","",IF(COUNTIFS(NOVEDADES!$C$4:$C$2003,$B370)=0,"—","SÍ ("&amp;COUNTIFS(NOVEDADES!$C$4:$C$2003,$B370)&amp;")"))</f>
        <v/>
      </c>
    </row>
    <row r="371">
      <c r="A371" s="41" t="n"/>
      <c r="B371" s="41" t="n"/>
      <c r="C371" s="41" t="n"/>
      <c r="D371" s="41" t="n"/>
      <c r="E371" s="46" t="n"/>
      <c r="F371" s="41" t="n"/>
      <c r="G371" s="41" t="n"/>
      <c r="H371" s="41" t="n"/>
      <c r="I371" s="41" t="n"/>
      <c r="J371" s="47" t="n"/>
      <c r="K371" s="41" t="n"/>
      <c r="L371" s="48" t="n"/>
      <c r="M371" s="45" t="n"/>
      <c r="N371" s="39">
        <f>IF($B371="","",IF(SUMPRODUCT((LISTAS!$O$3:$O$42&lt;&gt;"")*ISNUMBER(SEARCH(LISTAS!$O$3:$O$42,$I371&amp;" "&amp;$K371)))&gt;0,"CERCANA","NACIONAL"))</f>
        <v/>
      </c>
      <c r="O371" s="39">
        <f>IF($B371="","",IF(COUNTIFS(NOVEDADES!$C$4:$C$2003,$B371)=0,"—","SÍ ("&amp;COUNTIFS(NOVEDADES!$C$4:$C$2003,$B371)&amp;")"))</f>
        <v/>
      </c>
    </row>
    <row r="372">
      <c r="A372" s="41" t="n"/>
      <c r="B372" s="41" t="n"/>
      <c r="C372" s="41" t="n"/>
      <c r="D372" s="41" t="n"/>
      <c r="E372" s="46" t="n"/>
      <c r="F372" s="41" t="n"/>
      <c r="G372" s="41" t="n"/>
      <c r="H372" s="41" t="n"/>
      <c r="I372" s="41" t="n"/>
      <c r="J372" s="47" t="n"/>
      <c r="K372" s="41" t="n"/>
      <c r="L372" s="48" t="n"/>
      <c r="M372" s="45" t="n"/>
      <c r="N372" s="39">
        <f>IF($B372="","",IF(SUMPRODUCT((LISTAS!$O$3:$O$42&lt;&gt;"")*ISNUMBER(SEARCH(LISTAS!$O$3:$O$42,$I372&amp;" "&amp;$K372)))&gt;0,"CERCANA","NACIONAL"))</f>
        <v/>
      </c>
      <c r="O372" s="39">
        <f>IF($B372="","",IF(COUNTIFS(NOVEDADES!$C$4:$C$2003,$B372)=0,"—","SÍ ("&amp;COUNTIFS(NOVEDADES!$C$4:$C$2003,$B372)&amp;")"))</f>
        <v/>
      </c>
    </row>
    <row r="373">
      <c r="A373" s="41" t="n"/>
      <c r="B373" s="41" t="n"/>
      <c r="C373" s="41" t="n"/>
      <c r="D373" s="41" t="n"/>
      <c r="E373" s="46" t="n"/>
      <c r="F373" s="41" t="n"/>
      <c r="G373" s="41" t="n"/>
      <c r="H373" s="41" t="n"/>
      <c r="I373" s="41" t="n"/>
      <c r="J373" s="47" t="n"/>
      <c r="K373" s="41" t="n"/>
      <c r="L373" s="48" t="n"/>
      <c r="M373" s="45" t="n"/>
      <c r="N373" s="39">
        <f>IF($B373="","",IF(SUMPRODUCT((LISTAS!$O$3:$O$42&lt;&gt;"")*ISNUMBER(SEARCH(LISTAS!$O$3:$O$42,$I373&amp;" "&amp;$K373)))&gt;0,"CERCANA","NACIONAL"))</f>
        <v/>
      </c>
      <c r="O373" s="39">
        <f>IF($B373="","",IF(COUNTIFS(NOVEDADES!$C$4:$C$2003,$B373)=0,"—","SÍ ("&amp;COUNTIFS(NOVEDADES!$C$4:$C$2003,$B373)&amp;")"))</f>
        <v/>
      </c>
    </row>
    <row r="374">
      <c r="A374" s="41" t="n"/>
      <c r="B374" s="41" t="n"/>
      <c r="C374" s="41" t="n"/>
      <c r="D374" s="41" t="n"/>
      <c r="E374" s="46" t="n"/>
      <c r="F374" s="41" t="n"/>
      <c r="G374" s="41" t="n"/>
      <c r="H374" s="41" t="n"/>
      <c r="I374" s="41" t="n"/>
      <c r="J374" s="47" t="n"/>
      <c r="K374" s="41" t="n"/>
      <c r="L374" s="48" t="n"/>
      <c r="M374" s="45" t="n"/>
      <c r="N374" s="39">
        <f>IF($B374="","",IF(SUMPRODUCT((LISTAS!$O$3:$O$42&lt;&gt;"")*ISNUMBER(SEARCH(LISTAS!$O$3:$O$42,$I374&amp;" "&amp;$K374)))&gt;0,"CERCANA","NACIONAL"))</f>
        <v/>
      </c>
      <c r="O374" s="39">
        <f>IF($B374="","",IF(COUNTIFS(NOVEDADES!$C$4:$C$2003,$B374)=0,"—","SÍ ("&amp;COUNTIFS(NOVEDADES!$C$4:$C$2003,$B374)&amp;")"))</f>
        <v/>
      </c>
    </row>
    <row r="375">
      <c r="A375" s="41" t="n"/>
      <c r="B375" s="41" t="n"/>
      <c r="C375" s="41" t="n"/>
      <c r="D375" s="41" t="n"/>
      <c r="E375" s="46" t="n"/>
      <c r="F375" s="41" t="n"/>
      <c r="G375" s="41" t="n"/>
      <c r="H375" s="41" t="n"/>
      <c r="I375" s="41" t="n"/>
      <c r="J375" s="47" t="n"/>
      <c r="K375" s="41" t="n"/>
      <c r="L375" s="48" t="n"/>
      <c r="M375" s="45" t="n"/>
      <c r="N375" s="39">
        <f>IF($B375="","",IF(SUMPRODUCT((LISTAS!$O$3:$O$42&lt;&gt;"")*ISNUMBER(SEARCH(LISTAS!$O$3:$O$42,$I375&amp;" "&amp;$K375)))&gt;0,"CERCANA","NACIONAL"))</f>
        <v/>
      </c>
      <c r="O375" s="39">
        <f>IF($B375="","",IF(COUNTIFS(NOVEDADES!$C$4:$C$2003,$B375)=0,"—","SÍ ("&amp;COUNTIFS(NOVEDADES!$C$4:$C$2003,$B375)&amp;")"))</f>
        <v/>
      </c>
    </row>
    <row r="376">
      <c r="A376" s="41" t="n"/>
      <c r="B376" s="41" t="n"/>
      <c r="C376" s="41" t="n"/>
      <c r="D376" s="41" t="n"/>
      <c r="E376" s="46" t="n"/>
      <c r="F376" s="41" t="n"/>
      <c r="G376" s="41" t="n"/>
      <c r="H376" s="41" t="n"/>
      <c r="I376" s="41" t="n"/>
      <c r="J376" s="47" t="n"/>
      <c r="K376" s="41" t="n"/>
      <c r="L376" s="48" t="n"/>
      <c r="M376" s="45" t="n"/>
      <c r="N376" s="39">
        <f>IF($B376="","",IF(SUMPRODUCT((LISTAS!$O$3:$O$42&lt;&gt;"")*ISNUMBER(SEARCH(LISTAS!$O$3:$O$42,$I376&amp;" "&amp;$K376)))&gt;0,"CERCANA","NACIONAL"))</f>
        <v/>
      </c>
      <c r="O376" s="39">
        <f>IF($B376="","",IF(COUNTIFS(NOVEDADES!$C$4:$C$2003,$B376)=0,"—","SÍ ("&amp;COUNTIFS(NOVEDADES!$C$4:$C$2003,$B376)&amp;")"))</f>
        <v/>
      </c>
    </row>
    <row r="377">
      <c r="A377" s="41" t="n"/>
      <c r="B377" s="41" t="n"/>
      <c r="C377" s="41" t="n"/>
      <c r="D377" s="41" t="n"/>
      <c r="E377" s="46" t="n"/>
      <c r="F377" s="41" t="n"/>
      <c r="G377" s="41" t="n"/>
      <c r="H377" s="41" t="n"/>
      <c r="I377" s="41" t="n"/>
      <c r="J377" s="47" t="n"/>
      <c r="K377" s="41" t="n"/>
      <c r="L377" s="48" t="n"/>
      <c r="M377" s="45" t="n"/>
      <c r="N377" s="39">
        <f>IF($B377="","",IF(SUMPRODUCT((LISTAS!$O$3:$O$42&lt;&gt;"")*ISNUMBER(SEARCH(LISTAS!$O$3:$O$42,$I377&amp;" "&amp;$K377)))&gt;0,"CERCANA","NACIONAL"))</f>
        <v/>
      </c>
      <c r="O377" s="39">
        <f>IF($B377="","",IF(COUNTIFS(NOVEDADES!$C$4:$C$2003,$B377)=0,"—","SÍ ("&amp;COUNTIFS(NOVEDADES!$C$4:$C$2003,$B377)&amp;")"))</f>
        <v/>
      </c>
    </row>
    <row r="378">
      <c r="A378" s="41" t="n"/>
      <c r="B378" s="41" t="n"/>
      <c r="C378" s="41" t="n"/>
      <c r="D378" s="41" t="n"/>
      <c r="E378" s="46" t="n"/>
      <c r="F378" s="41" t="n"/>
      <c r="G378" s="41" t="n"/>
      <c r="H378" s="41" t="n"/>
      <c r="I378" s="41" t="n"/>
      <c r="J378" s="47" t="n"/>
      <c r="K378" s="41" t="n"/>
      <c r="L378" s="48" t="n"/>
      <c r="M378" s="45" t="n"/>
      <c r="N378" s="39">
        <f>IF($B378="","",IF(SUMPRODUCT((LISTAS!$O$3:$O$42&lt;&gt;"")*ISNUMBER(SEARCH(LISTAS!$O$3:$O$42,$I378&amp;" "&amp;$K378)))&gt;0,"CERCANA","NACIONAL"))</f>
        <v/>
      </c>
      <c r="O378" s="39">
        <f>IF($B378="","",IF(COUNTIFS(NOVEDADES!$C$4:$C$2003,$B378)=0,"—","SÍ ("&amp;COUNTIFS(NOVEDADES!$C$4:$C$2003,$B378)&amp;")"))</f>
        <v/>
      </c>
    </row>
    <row r="379">
      <c r="A379" s="41" t="n"/>
      <c r="B379" s="41" t="n"/>
      <c r="C379" s="41" t="n"/>
      <c r="D379" s="41" t="n"/>
      <c r="E379" s="46" t="n"/>
      <c r="F379" s="41" t="n"/>
      <c r="G379" s="41" t="n"/>
      <c r="H379" s="41" t="n"/>
      <c r="I379" s="41" t="n"/>
      <c r="J379" s="47" t="n"/>
      <c r="K379" s="41" t="n"/>
      <c r="L379" s="48" t="n"/>
      <c r="M379" s="45" t="n"/>
      <c r="N379" s="39">
        <f>IF($B379="","",IF(SUMPRODUCT((LISTAS!$O$3:$O$42&lt;&gt;"")*ISNUMBER(SEARCH(LISTAS!$O$3:$O$42,$I379&amp;" "&amp;$K379)))&gt;0,"CERCANA","NACIONAL"))</f>
        <v/>
      </c>
      <c r="O379" s="39">
        <f>IF($B379="","",IF(COUNTIFS(NOVEDADES!$C$4:$C$2003,$B379)=0,"—","SÍ ("&amp;COUNTIFS(NOVEDADES!$C$4:$C$2003,$B379)&amp;")"))</f>
        <v/>
      </c>
    </row>
    <row r="380">
      <c r="A380" s="41" t="n"/>
      <c r="B380" s="41" t="n"/>
      <c r="C380" s="41" t="n"/>
      <c r="D380" s="41" t="n"/>
      <c r="E380" s="46" t="n"/>
      <c r="F380" s="41" t="n"/>
      <c r="G380" s="41" t="n"/>
      <c r="H380" s="41" t="n"/>
      <c r="I380" s="41" t="n"/>
      <c r="J380" s="47" t="n"/>
      <c r="K380" s="41" t="n"/>
      <c r="L380" s="48" t="n"/>
      <c r="M380" s="45" t="n"/>
      <c r="N380" s="39">
        <f>IF($B380="","",IF(SUMPRODUCT((LISTAS!$O$3:$O$42&lt;&gt;"")*ISNUMBER(SEARCH(LISTAS!$O$3:$O$42,$I380&amp;" "&amp;$K380)))&gt;0,"CERCANA","NACIONAL"))</f>
        <v/>
      </c>
      <c r="O380" s="39">
        <f>IF($B380="","",IF(COUNTIFS(NOVEDADES!$C$4:$C$2003,$B380)=0,"—","SÍ ("&amp;COUNTIFS(NOVEDADES!$C$4:$C$2003,$B380)&amp;")"))</f>
        <v/>
      </c>
    </row>
    <row r="381">
      <c r="A381" s="41" t="n"/>
      <c r="B381" s="41" t="n"/>
      <c r="C381" s="41" t="n"/>
      <c r="D381" s="41" t="n"/>
      <c r="E381" s="46" t="n"/>
      <c r="F381" s="41" t="n"/>
      <c r="G381" s="41" t="n"/>
      <c r="H381" s="41" t="n"/>
      <c r="I381" s="41" t="n"/>
      <c r="J381" s="47" t="n"/>
      <c r="K381" s="41" t="n"/>
      <c r="L381" s="48" t="n"/>
      <c r="M381" s="45" t="n"/>
      <c r="N381" s="39">
        <f>IF($B381="","",IF(SUMPRODUCT((LISTAS!$O$3:$O$42&lt;&gt;"")*ISNUMBER(SEARCH(LISTAS!$O$3:$O$42,$I381&amp;" "&amp;$K381)))&gt;0,"CERCANA","NACIONAL"))</f>
        <v/>
      </c>
      <c r="O381" s="39">
        <f>IF($B381="","",IF(COUNTIFS(NOVEDADES!$C$4:$C$2003,$B381)=0,"—","SÍ ("&amp;COUNTIFS(NOVEDADES!$C$4:$C$2003,$B381)&amp;")"))</f>
        <v/>
      </c>
    </row>
    <row r="382">
      <c r="A382" s="41" t="n"/>
      <c r="B382" s="41" t="n"/>
      <c r="C382" s="41" t="n"/>
      <c r="D382" s="41" t="n"/>
      <c r="E382" s="46" t="n"/>
      <c r="F382" s="41" t="n"/>
      <c r="G382" s="41" t="n"/>
      <c r="H382" s="41" t="n"/>
      <c r="I382" s="41" t="n"/>
      <c r="J382" s="47" t="n"/>
      <c r="K382" s="41" t="n"/>
      <c r="L382" s="48" t="n"/>
      <c r="M382" s="45" t="n"/>
      <c r="N382" s="39">
        <f>IF($B382="","",IF(SUMPRODUCT((LISTAS!$O$3:$O$42&lt;&gt;"")*ISNUMBER(SEARCH(LISTAS!$O$3:$O$42,$I382&amp;" "&amp;$K382)))&gt;0,"CERCANA","NACIONAL"))</f>
        <v/>
      </c>
      <c r="O382" s="39">
        <f>IF($B382="","",IF(COUNTIFS(NOVEDADES!$C$4:$C$2003,$B382)=0,"—","SÍ ("&amp;COUNTIFS(NOVEDADES!$C$4:$C$2003,$B382)&amp;")"))</f>
        <v/>
      </c>
    </row>
    <row r="383">
      <c r="A383" s="41" t="n"/>
      <c r="B383" s="41" t="n"/>
      <c r="C383" s="41" t="n"/>
      <c r="D383" s="41" t="n"/>
      <c r="E383" s="46" t="n"/>
      <c r="F383" s="41" t="n"/>
      <c r="G383" s="41" t="n"/>
      <c r="H383" s="41" t="n"/>
      <c r="I383" s="41" t="n"/>
      <c r="J383" s="47" t="n"/>
      <c r="K383" s="41" t="n"/>
      <c r="L383" s="48" t="n"/>
      <c r="M383" s="45" t="n"/>
      <c r="N383" s="39">
        <f>IF($B383="","",IF(SUMPRODUCT((LISTAS!$O$3:$O$42&lt;&gt;"")*ISNUMBER(SEARCH(LISTAS!$O$3:$O$42,$I383&amp;" "&amp;$K383)))&gt;0,"CERCANA","NACIONAL"))</f>
        <v/>
      </c>
      <c r="O383" s="39">
        <f>IF($B383="","",IF(COUNTIFS(NOVEDADES!$C$4:$C$2003,$B383)=0,"—","SÍ ("&amp;COUNTIFS(NOVEDADES!$C$4:$C$2003,$B383)&amp;")"))</f>
        <v/>
      </c>
    </row>
    <row r="384">
      <c r="A384" s="41" t="n"/>
      <c r="B384" s="41" t="n"/>
      <c r="C384" s="41" t="n"/>
      <c r="D384" s="41" t="n"/>
      <c r="E384" s="46" t="n"/>
      <c r="F384" s="41" t="n"/>
      <c r="G384" s="41" t="n"/>
      <c r="H384" s="41" t="n"/>
      <c r="I384" s="41" t="n"/>
      <c r="J384" s="47" t="n"/>
      <c r="K384" s="41" t="n"/>
      <c r="L384" s="48" t="n"/>
      <c r="M384" s="45" t="n"/>
      <c r="N384" s="39">
        <f>IF($B384="","",IF(SUMPRODUCT((LISTAS!$O$3:$O$42&lt;&gt;"")*ISNUMBER(SEARCH(LISTAS!$O$3:$O$42,$I384&amp;" "&amp;$K384)))&gt;0,"CERCANA","NACIONAL"))</f>
        <v/>
      </c>
      <c r="O384" s="39">
        <f>IF($B384="","",IF(COUNTIFS(NOVEDADES!$C$4:$C$2003,$B384)=0,"—","SÍ ("&amp;COUNTIFS(NOVEDADES!$C$4:$C$2003,$B384)&amp;")"))</f>
        <v/>
      </c>
    </row>
    <row r="385">
      <c r="A385" s="41" t="n"/>
      <c r="B385" s="41" t="n"/>
      <c r="C385" s="41" t="n"/>
      <c r="D385" s="41" t="n"/>
      <c r="E385" s="46" t="n"/>
      <c r="F385" s="41" t="n"/>
      <c r="G385" s="41" t="n"/>
      <c r="H385" s="41" t="n"/>
      <c r="I385" s="41" t="n"/>
      <c r="J385" s="47" t="n"/>
      <c r="K385" s="41" t="n"/>
      <c r="L385" s="48" t="n"/>
      <c r="M385" s="45" t="n"/>
      <c r="N385" s="39">
        <f>IF($B385="","",IF(SUMPRODUCT((LISTAS!$O$3:$O$42&lt;&gt;"")*ISNUMBER(SEARCH(LISTAS!$O$3:$O$42,$I385&amp;" "&amp;$K385)))&gt;0,"CERCANA","NACIONAL"))</f>
        <v/>
      </c>
      <c r="O385" s="39">
        <f>IF($B385="","",IF(COUNTIFS(NOVEDADES!$C$4:$C$2003,$B385)=0,"—","SÍ ("&amp;COUNTIFS(NOVEDADES!$C$4:$C$2003,$B385)&amp;")"))</f>
        <v/>
      </c>
    </row>
    <row r="386">
      <c r="A386" s="41" t="n"/>
      <c r="B386" s="41" t="n"/>
      <c r="C386" s="41" t="n"/>
      <c r="D386" s="41" t="n"/>
      <c r="E386" s="46" t="n"/>
      <c r="F386" s="41" t="n"/>
      <c r="G386" s="41" t="n"/>
      <c r="H386" s="41" t="n"/>
      <c r="I386" s="41" t="n"/>
      <c r="J386" s="47" t="n"/>
      <c r="K386" s="41" t="n"/>
      <c r="L386" s="48" t="n"/>
      <c r="M386" s="45" t="n"/>
      <c r="N386" s="39">
        <f>IF($B386="","",IF(SUMPRODUCT((LISTAS!$O$3:$O$42&lt;&gt;"")*ISNUMBER(SEARCH(LISTAS!$O$3:$O$42,$I386&amp;" "&amp;$K386)))&gt;0,"CERCANA","NACIONAL"))</f>
        <v/>
      </c>
      <c r="O386" s="39">
        <f>IF($B386="","",IF(COUNTIFS(NOVEDADES!$C$4:$C$2003,$B386)=0,"—","SÍ ("&amp;COUNTIFS(NOVEDADES!$C$4:$C$2003,$B386)&amp;")"))</f>
        <v/>
      </c>
    </row>
    <row r="387">
      <c r="A387" s="41" t="n"/>
      <c r="B387" s="41" t="n"/>
      <c r="C387" s="41" t="n"/>
      <c r="D387" s="41" t="n"/>
      <c r="E387" s="46" t="n"/>
      <c r="F387" s="41" t="n"/>
      <c r="G387" s="41" t="n"/>
      <c r="H387" s="41" t="n"/>
      <c r="I387" s="41" t="n"/>
      <c r="J387" s="47" t="n"/>
      <c r="K387" s="41" t="n"/>
      <c r="L387" s="48" t="n"/>
      <c r="M387" s="45" t="n"/>
      <c r="N387" s="39">
        <f>IF($B387="","",IF(SUMPRODUCT((LISTAS!$O$3:$O$42&lt;&gt;"")*ISNUMBER(SEARCH(LISTAS!$O$3:$O$42,$I387&amp;" "&amp;$K387)))&gt;0,"CERCANA","NACIONAL"))</f>
        <v/>
      </c>
      <c r="O387" s="39">
        <f>IF($B387="","",IF(COUNTIFS(NOVEDADES!$C$4:$C$2003,$B387)=0,"—","SÍ ("&amp;COUNTIFS(NOVEDADES!$C$4:$C$2003,$B387)&amp;")"))</f>
        <v/>
      </c>
    </row>
    <row r="388">
      <c r="A388" s="41" t="n"/>
      <c r="B388" s="41" t="n"/>
      <c r="C388" s="41" t="n"/>
      <c r="D388" s="41" t="n"/>
      <c r="E388" s="46" t="n"/>
      <c r="F388" s="41" t="n"/>
      <c r="G388" s="41" t="n"/>
      <c r="H388" s="41" t="n"/>
      <c r="I388" s="41" t="n"/>
      <c r="J388" s="47" t="n"/>
      <c r="K388" s="41" t="n"/>
      <c r="L388" s="48" t="n"/>
      <c r="M388" s="45" t="n"/>
      <c r="N388" s="39">
        <f>IF($B388="","",IF(SUMPRODUCT((LISTAS!$O$3:$O$42&lt;&gt;"")*ISNUMBER(SEARCH(LISTAS!$O$3:$O$42,$I388&amp;" "&amp;$K388)))&gt;0,"CERCANA","NACIONAL"))</f>
        <v/>
      </c>
      <c r="O388" s="39">
        <f>IF($B388="","",IF(COUNTIFS(NOVEDADES!$C$4:$C$2003,$B388)=0,"—","SÍ ("&amp;COUNTIFS(NOVEDADES!$C$4:$C$2003,$B388)&amp;")"))</f>
        <v/>
      </c>
    </row>
    <row r="389">
      <c r="A389" s="41" t="n"/>
      <c r="B389" s="41" t="n"/>
      <c r="C389" s="41" t="n"/>
      <c r="D389" s="41" t="n"/>
      <c r="E389" s="46" t="n"/>
      <c r="F389" s="41" t="n"/>
      <c r="G389" s="41" t="n"/>
      <c r="H389" s="41" t="n"/>
      <c r="I389" s="41" t="n"/>
      <c r="J389" s="47" t="n"/>
      <c r="K389" s="41" t="n"/>
      <c r="L389" s="48" t="n"/>
      <c r="M389" s="45" t="n"/>
      <c r="N389" s="39">
        <f>IF($B389="","",IF(SUMPRODUCT((LISTAS!$O$3:$O$42&lt;&gt;"")*ISNUMBER(SEARCH(LISTAS!$O$3:$O$42,$I389&amp;" "&amp;$K389)))&gt;0,"CERCANA","NACIONAL"))</f>
        <v/>
      </c>
      <c r="O389" s="39">
        <f>IF($B389="","",IF(COUNTIFS(NOVEDADES!$C$4:$C$2003,$B389)=0,"—","SÍ ("&amp;COUNTIFS(NOVEDADES!$C$4:$C$2003,$B389)&amp;")"))</f>
        <v/>
      </c>
    </row>
    <row r="390">
      <c r="A390" s="41" t="n"/>
      <c r="B390" s="41" t="n"/>
      <c r="C390" s="41" t="n"/>
      <c r="D390" s="41" t="n"/>
      <c r="E390" s="46" t="n"/>
      <c r="F390" s="41" t="n"/>
      <c r="G390" s="41" t="n"/>
      <c r="H390" s="41" t="n"/>
      <c r="I390" s="41" t="n"/>
      <c r="J390" s="47" t="n"/>
      <c r="K390" s="41" t="n"/>
      <c r="L390" s="48" t="n"/>
      <c r="M390" s="45" t="n"/>
      <c r="N390" s="39">
        <f>IF($B390="","",IF(SUMPRODUCT((LISTAS!$O$3:$O$42&lt;&gt;"")*ISNUMBER(SEARCH(LISTAS!$O$3:$O$42,$I390&amp;" "&amp;$K390)))&gt;0,"CERCANA","NACIONAL"))</f>
        <v/>
      </c>
      <c r="O390" s="39">
        <f>IF($B390="","",IF(COUNTIFS(NOVEDADES!$C$4:$C$2003,$B390)=0,"—","SÍ ("&amp;COUNTIFS(NOVEDADES!$C$4:$C$2003,$B390)&amp;")"))</f>
        <v/>
      </c>
    </row>
    <row r="391">
      <c r="A391" s="41" t="n"/>
      <c r="B391" s="41" t="n"/>
      <c r="C391" s="41" t="n"/>
      <c r="D391" s="41" t="n"/>
      <c r="E391" s="46" t="n"/>
      <c r="F391" s="41" t="n"/>
      <c r="G391" s="41" t="n"/>
      <c r="H391" s="41" t="n"/>
      <c r="I391" s="41" t="n"/>
      <c r="J391" s="47" t="n"/>
      <c r="K391" s="41" t="n"/>
      <c r="L391" s="48" t="n"/>
      <c r="M391" s="45" t="n"/>
      <c r="N391" s="39">
        <f>IF($B391="","",IF(SUMPRODUCT((LISTAS!$O$3:$O$42&lt;&gt;"")*ISNUMBER(SEARCH(LISTAS!$O$3:$O$42,$I391&amp;" "&amp;$K391)))&gt;0,"CERCANA","NACIONAL"))</f>
        <v/>
      </c>
      <c r="O391" s="39">
        <f>IF($B391="","",IF(COUNTIFS(NOVEDADES!$C$4:$C$2003,$B391)=0,"—","SÍ ("&amp;COUNTIFS(NOVEDADES!$C$4:$C$2003,$B391)&amp;")"))</f>
        <v/>
      </c>
    </row>
    <row r="392">
      <c r="A392" s="41" t="n"/>
      <c r="B392" s="41" t="n"/>
      <c r="C392" s="41" t="n"/>
      <c r="D392" s="41" t="n"/>
      <c r="E392" s="46" t="n"/>
      <c r="F392" s="41" t="n"/>
      <c r="G392" s="41" t="n"/>
      <c r="H392" s="41" t="n"/>
      <c r="I392" s="41" t="n"/>
      <c r="J392" s="47" t="n"/>
      <c r="K392" s="41" t="n"/>
      <c r="L392" s="48" t="n"/>
      <c r="M392" s="45" t="n"/>
      <c r="N392" s="39">
        <f>IF($B392="","",IF(SUMPRODUCT((LISTAS!$O$3:$O$42&lt;&gt;"")*ISNUMBER(SEARCH(LISTAS!$O$3:$O$42,$I392&amp;" "&amp;$K392)))&gt;0,"CERCANA","NACIONAL"))</f>
        <v/>
      </c>
      <c r="O392" s="39">
        <f>IF($B392="","",IF(COUNTIFS(NOVEDADES!$C$4:$C$2003,$B392)=0,"—","SÍ ("&amp;COUNTIFS(NOVEDADES!$C$4:$C$2003,$B392)&amp;")"))</f>
        <v/>
      </c>
    </row>
    <row r="393">
      <c r="A393" s="41" t="n"/>
      <c r="B393" s="41" t="n"/>
      <c r="C393" s="41" t="n"/>
      <c r="D393" s="41" t="n"/>
      <c r="E393" s="46" t="n"/>
      <c r="F393" s="41" t="n"/>
      <c r="G393" s="41" t="n"/>
      <c r="H393" s="41" t="n"/>
      <c r="I393" s="41" t="n"/>
      <c r="J393" s="47" t="n"/>
      <c r="K393" s="41" t="n"/>
      <c r="L393" s="48" t="n"/>
      <c r="M393" s="45" t="n"/>
      <c r="N393" s="39">
        <f>IF($B393="","",IF(SUMPRODUCT((LISTAS!$O$3:$O$42&lt;&gt;"")*ISNUMBER(SEARCH(LISTAS!$O$3:$O$42,$I393&amp;" "&amp;$K393)))&gt;0,"CERCANA","NACIONAL"))</f>
        <v/>
      </c>
      <c r="O393" s="39">
        <f>IF($B393="","",IF(COUNTIFS(NOVEDADES!$C$4:$C$2003,$B393)=0,"—","SÍ ("&amp;COUNTIFS(NOVEDADES!$C$4:$C$2003,$B393)&amp;")"))</f>
        <v/>
      </c>
    </row>
    <row r="394">
      <c r="A394" s="41" t="n"/>
      <c r="B394" s="41" t="n"/>
      <c r="C394" s="41" t="n"/>
      <c r="D394" s="41" t="n"/>
      <c r="E394" s="46" t="n"/>
      <c r="F394" s="41" t="n"/>
      <c r="G394" s="41" t="n"/>
      <c r="H394" s="41" t="n"/>
      <c r="I394" s="41" t="n"/>
      <c r="J394" s="47" t="n"/>
      <c r="K394" s="41" t="n"/>
      <c r="L394" s="48" t="n"/>
      <c r="M394" s="45" t="n"/>
      <c r="N394" s="39">
        <f>IF($B394="","",IF(SUMPRODUCT((LISTAS!$O$3:$O$42&lt;&gt;"")*ISNUMBER(SEARCH(LISTAS!$O$3:$O$42,$I394&amp;" "&amp;$K394)))&gt;0,"CERCANA","NACIONAL"))</f>
        <v/>
      </c>
      <c r="O394" s="39">
        <f>IF($B394="","",IF(COUNTIFS(NOVEDADES!$C$4:$C$2003,$B394)=0,"—","SÍ ("&amp;COUNTIFS(NOVEDADES!$C$4:$C$2003,$B394)&amp;")"))</f>
        <v/>
      </c>
    </row>
    <row r="395">
      <c r="A395" s="41" t="n"/>
      <c r="B395" s="41" t="n"/>
      <c r="C395" s="41" t="n"/>
      <c r="D395" s="41" t="n"/>
      <c r="E395" s="46" t="n"/>
      <c r="F395" s="41" t="n"/>
      <c r="G395" s="41" t="n"/>
      <c r="H395" s="41" t="n"/>
      <c r="I395" s="41" t="n"/>
      <c r="J395" s="47" t="n"/>
      <c r="K395" s="41" t="n"/>
      <c r="L395" s="48" t="n"/>
      <c r="M395" s="45" t="n"/>
      <c r="N395" s="39">
        <f>IF($B395="","",IF(SUMPRODUCT((LISTAS!$O$3:$O$42&lt;&gt;"")*ISNUMBER(SEARCH(LISTAS!$O$3:$O$42,$I395&amp;" "&amp;$K395)))&gt;0,"CERCANA","NACIONAL"))</f>
        <v/>
      </c>
      <c r="O395" s="39">
        <f>IF($B395="","",IF(COUNTIFS(NOVEDADES!$C$4:$C$2003,$B395)=0,"—","SÍ ("&amp;COUNTIFS(NOVEDADES!$C$4:$C$2003,$B395)&amp;")"))</f>
        <v/>
      </c>
    </row>
    <row r="396">
      <c r="A396" s="41" t="n"/>
      <c r="B396" s="41" t="n"/>
      <c r="C396" s="41" t="n"/>
      <c r="D396" s="41" t="n"/>
      <c r="E396" s="46" t="n"/>
      <c r="F396" s="41" t="n"/>
      <c r="G396" s="41" t="n"/>
      <c r="H396" s="41" t="n"/>
      <c r="I396" s="41" t="n"/>
      <c r="J396" s="47" t="n"/>
      <c r="K396" s="41" t="n"/>
      <c r="L396" s="48" t="n"/>
      <c r="M396" s="45" t="n"/>
      <c r="N396" s="39">
        <f>IF($B396="","",IF(SUMPRODUCT((LISTAS!$O$3:$O$42&lt;&gt;"")*ISNUMBER(SEARCH(LISTAS!$O$3:$O$42,$I396&amp;" "&amp;$K396)))&gt;0,"CERCANA","NACIONAL"))</f>
        <v/>
      </c>
      <c r="O396" s="39">
        <f>IF($B396="","",IF(COUNTIFS(NOVEDADES!$C$4:$C$2003,$B396)=0,"—","SÍ ("&amp;COUNTIFS(NOVEDADES!$C$4:$C$2003,$B396)&amp;")"))</f>
        <v/>
      </c>
    </row>
    <row r="397">
      <c r="A397" s="41" t="n"/>
      <c r="B397" s="41" t="n"/>
      <c r="C397" s="41" t="n"/>
      <c r="D397" s="41" t="n"/>
      <c r="E397" s="46" t="n"/>
      <c r="F397" s="41" t="n"/>
      <c r="G397" s="41" t="n"/>
      <c r="H397" s="41" t="n"/>
      <c r="I397" s="41" t="n"/>
      <c r="J397" s="47" t="n"/>
      <c r="K397" s="41" t="n"/>
      <c r="L397" s="48" t="n"/>
      <c r="M397" s="45" t="n"/>
      <c r="N397" s="39">
        <f>IF($B397="","",IF(SUMPRODUCT((LISTAS!$O$3:$O$42&lt;&gt;"")*ISNUMBER(SEARCH(LISTAS!$O$3:$O$42,$I397&amp;" "&amp;$K397)))&gt;0,"CERCANA","NACIONAL"))</f>
        <v/>
      </c>
      <c r="O397" s="39">
        <f>IF($B397="","",IF(COUNTIFS(NOVEDADES!$C$4:$C$2003,$B397)=0,"—","SÍ ("&amp;COUNTIFS(NOVEDADES!$C$4:$C$2003,$B397)&amp;")"))</f>
        <v/>
      </c>
    </row>
    <row r="398">
      <c r="A398" s="41" t="n"/>
      <c r="B398" s="41" t="n"/>
      <c r="C398" s="41" t="n"/>
      <c r="D398" s="41" t="n"/>
      <c r="E398" s="46" t="n"/>
      <c r="F398" s="41" t="n"/>
      <c r="G398" s="41" t="n"/>
      <c r="H398" s="41" t="n"/>
      <c r="I398" s="41" t="n"/>
      <c r="J398" s="47" t="n"/>
      <c r="K398" s="41" t="n"/>
      <c r="L398" s="48" t="n"/>
      <c r="M398" s="45" t="n"/>
      <c r="N398" s="39">
        <f>IF($B398="","",IF(SUMPRODUCT((LISTAS!$O$3:$O$42&lt;&gt;"")*ISNUMBER(SEARCH(LISTAS!$O$3:$O$42,$I398&amp;" "&amp;$K398)))&gt;0,"CERCANA","NACIONAL"))</f>
        <v/>
      </c>
      <c r="O398" s="39">
        <f>IF($B398="","",IF(COUNTIFS(NOVEDADES!$C$4:$C$2003,$B398)=0,"—","SÍ ("&amp;COUNTIFS(NOVEDADES!$C$4:$C$2003,$B398)&amp;")"))</f>
        <v/>
      </c>
    </row>
    <row r="399">
      <c r="A399" s="41" t="n"/>
      <c r="B399" s="41" t="n"/>
      <c r="C399" s="41" t="n"/>
      <c r="D399" s="41" t="n"/>
      <c r="E399" s="46" t="n"/>
      <c r="F399" s="41" t="n"/>
      <c r="G399" s="41" t="n"/>
      <c r="H399" s="41" t="n"/>
      <c r="I399" s="41" t="n"/>
      <c r="J399" s="47" t="n"/>
      <c r="K399" s="41" t="n"/>
      <c r="L399" s="48" t="n"/>
      <c r="M399" s="45" t="n"/>
      <c r="N399" s="39">
        <f>IF($B399="","",IF(SUMPRODUCT((LISTAS!$O$3:$O$42&lt;&gt;"")*ISNUMBER(SEARCH(LISTAS!$O$3:$O$42,$I399&amp;" "&amp;$K399)))&gt;0,"CERCANA","NACIONAL"))</f>
        <v/>
      </c>
      <c r="O399" s="39">
        <f>IF($B399="","",IF(COUNTIFS(NOVEDADES!$C$4:$C$2003,$B399)=0,"—","SÍ ("&amp;COUNTIFS(NOVEDADES!$C$4:$C$2003,$B399)&amp;")"))</f>
        <v/>
      </c>
    </row>
    <row r="400">
      <c r="A400" s="41" t="n"/>
      <c r="B400" s="41" t="n"/>
      <c r="C400" s="41" t="n"/>
      <c r="D400" s="41" t="n"/>
      <c r="E400" s="46" t="n"/>
      <c r="F400" s="41" t="n"/>
      <c r="G400" s="41" t="n"/>
      <c r="H400" s="41" t="n"/>
      <c r="I400" s="41" t="n"/>
      <c r="J400" s="47" t="n"/>
      <c r="K400" s="41" t="n"/>
      <c r="L400" s="48" t="n"/>
      <c r="M400" s="45" t="n"/>
      <c r="N400" s="39">
        <f>IF($B400="","",IF(SUMPRODUCT((LISTAS!$O$3:$O$42&lt;&gt;"")*ISNUMBER(SEARCH(LISTAS!$O$3:$O$42,$I400&amp;" "&amp;$K400)))&gt;0,"CERCANA","NACIONAL"))</f>
        <v/>
      </c>
      <c r="O400" s="39">
        <f>IF($B400="","",IF(COUNTIFS(NOVEDADES!$C$4:$C$2003,$B400)=0,"—","SÍ ("&amp;COUNTIFS(NOVEDADES!$C$4:$C$2003,$B400)&amp;")"))</f>
        <v/>
      </c>
    </row>
    <row r="401">
      <c r="A401" s="41" t="n"/>
      <c r="B401" s="41" t="n"/>
      <c r="C401" s="41" t="n"/>
      <c r="D401" s="41" t="n"/>
      <c r="E401" s="46" t="n"/>
      <c r="F401" s="41" t="n"/>
      <c r="G401" s="41" t="n"/>
      <c r="H401" s="41" t="n"/>
      <c r="I401" s="41" t="n"/>
      <c r="J401" s="47" t="n"/>
      <c r="K401" s="41" t="n"/>
      <c r="L401" s="48" t="n"/>
      <c r="M401" s="45" t="n"/>
      <c r="N401" s="39">
        <f>IF($B401="","",IF(SUMPRODUCT((LISTAS!$O$3:$O$42&lt;&gt;"")*ISNUMBER(SEARCH(LISTAS!$O$3:$O$42,$I401&amp;" "&amp;$K401)))&gt;0,"CERCANA","NACIONAL"))</f>
        <v/>
      </c>
      <c r="O401" s="39">
        <f>IF($B401="","",IF(COUNTIFS(NOVEDADES!$C$4:$C$2003,$B401)=0,"—","SÍ ("&amp;COUNTIFS(NOVEDADES!$C$4:$C$2003,$B401)&amp;")"))</f>
        <v/>
      </c>
    </row>
    <row r="402">
      <c r="A402" s="41" t="n"/>
      <c r="B402" s="41" t="n"/>
      <c r="C402" s="41" t="n"/>
      <c r="D402" s="41" t="n"/>
      <c r="E402" s="46" t="n"/>
      <c r="F402" s="41" t="n"/>
      <c r="G402" s="41" t="n"/>
      <c r="H402" s="41" t="n"/>
      <c r="I402" s="41" t="n"/>
      <c r="J402" s="47" t="n"/>
      <c r="K402" s="41" t="n"/>
      <c r="L402" s="48" t="n"/>
      <c r="M402" s="45" t="n"/>
      <c r="N402" s="39">
        <f>IF($B402="","",IF(SUMPRODUCT((LISTAS!$O$3:$O$42&lt;&gt;"")*ISNUMBER(SEARCH(LISTAS!$O$3:$O$42,$I402&amp;" "&amp;$K402)))&gt;0,"CERCANA","NACIONAL"))</f>
        <v/>
      </c>
      <c r="O402" s="39">
        <f>IF($B402="","",IF(COUNTIFS(NOVEDADES!$C$4:$C$2003,$B402)=0,"—","SÍ ("&amp;COUNTIFS(NOVEDADES!$C$4:$C$2003,$B402)&amp;")"))</f>
        <v/>
      </c>
    </row>
    <row r="403">
      <c r="A403" s="41" t="n"/>
      <c r="B403" s="41" t="n"/>
      <c r="C403" s="41" t="n"/>
      <c r="D403" s="41" t="n"/>
      <c r="E403" s="46" t="n"/>
      <c r="F403" s="41" t="n"/>
      <c r="G403" s="41" t="n"/>
      <c r="H403" s="41" t="n"/>
      <c r="I403" s="41" t="n"/>
      <c r="J403" s="47" t="n"/>
      <c r="K403" s="41" t="n"/>
      <c r="L403" s="48" t="n"/>
      <c r="M403" s="45" t="n"/>
      <c r="N403" s="39">
        <f>IF($B403="","",IF(SUMPRODUCT((LISTAS!$O$3:$O$42&lt;&gt;"")*ISNUMBER(SEARCH(LISTAS!$O$3:$O$42,$I403&amp;" "&amp;$K403)))&gt;0,"CERCANA","NACIONAL"))</f>
        <v/>
      </c>
      <c r="O403" s="39">
        <f>IF($B403="","",IF(COUNTIFS(NOVEDADES!$C$4:$C$2003,$B403)=0,"—","SÍ ("&amp;COUNTIFS(NOVEDADES!$C$4:$C$2003,$B403)&amp;")"))</f>
        <v/>
      </c>
    </row>
    <row r="404">
      <c r="A404" s="41" t="n"/>
      <c r="B404" s="41" t="n"/>
      <c r="C404" s="41" t="n"/>
      <c r="D404" s="41" t="n"/>
      <c r="E404" s="46" t="n"/>
      <c r="F404" s="41" t="n"/>
      <c r="G404" s="41" t="n"/>
      <c r="H404" s="41" t="n"/>
      <c r="I404" s="41" t="n"/>
      <c r="J404" s="47" t="n"/>
      <c r="K404" s="41" t="n"/>
      <c r="L404" s="48" t="n"/>
      <c r="M404" s="45" t="n"/>
      <c r="N404" s="39">
        <f>IF($B404="","",IF(SUMPRODUCT((LISTAS!$O$3:$O$42&lt;&gt;"")*ISNUMBER(SEARCH(LISTAS!$O$3:$O$42,$I404&amp;" "&amp;$K404)))&gt;0,"CERCANA","NACIONAL"))</f>
        <v/>
      </c>
      <c r="O404" s="39">
        <f>IF($B404="","",IF(COUNTIFS(NOVEDADES!$C$4:$C$2003,$B404)=0,"—","SÍ ("&amp;COUNTIFS(NOVEDADES!$C$4:$C$2003,$B404)&amp;")"))</f>
        <v/>
      </c>
    </row>
    <row r="405">
      <c r="A405" s="41" t="n"/>
      <c r="B405" s="41" t="n"/>
      <c r="C405" s="41" t="n"/>
      <c r="D405" s="41" t="n"/>
      <c r="E405" s="46" t="n"/>
      <c r="F405" s="41" t="n"/>
      <c r="G405" s="41" t="n"/>
      <c r="H405" s="41" t="n"/>
      <c r="I405" s="41" t="n"/>
      <c r="J405" s="47" t="n"/>
      <c r="K405" s="41" t="n"/>
      <c r="L405" s="48" t="n"/>
      <c r="M405" s="45" t="n"/>
      <c r="N405" s="39">
        <f>IF($B405="","",IF(SUMPRODUCT((LISTAS!$O$3:$O$42&lt;&gt;"")*ISNUMBER(SEARCH(LISTAS!$O$3:$O$42,$I405&amp;" "&amp;$K405)))&gt;0,"CERCANA","NACIONAL"))</f>
        <v/>
      </c>
      <c r="O405" s="39">
        <f>IF($B405="","",IF(COUNTIFS(NOVEDADES!$C$4:$C$2003,$B405)=0,"—","SÍ ("&amp;COUNTIFS(NOVEDADES!$C$4:$C$2003,$B405)&amp;")"))</f>
        <v/>
      </c>
    </row>
    <row r="406">
      <c r="A406" s="41" t="n"/>
      <c r="B406" s="41" t="n"/>
      <c r="C406" s="41" t="n"/>
      <c r="D406" s="41" t="n"/>
      <c r="E406" s="46" t="n"/>
      <c r="F406" s="41" t="n"/>
      <c r="G406" s="41" t="n"/>
      <c r="H406" s="41" t="n"/>
      <c r="I406" s="41" t="n"/>
      <c r="J406" s="47" t="n"/>
      <c r="K406" s="41" t="n"/>
      <c r="L406" s="48" t="n"/>
      <c r="M406" s="45" t="n"/>
      <c r="N406" s="39">
        <f>IF($B406="","",IF(SUMPRODUCT((LISTAS!$O$3:$O$42&lt;&gt;"")*ISNUMBER(SEARCH(LISTAS!$O$3:$O$42,$I406&amp;" "&amp;$K406)))&gt;0,"CERCANA","NACIONAL"))</f>
        <v/>
      </c>
      <c r="O406" s="39">
        <f>IF($B406="","",IF(COUNTIFS(NOVEDADES!$C$4:$C$2003,$B406)=0,"—","SÍ ("&amp;COUNTIFS(NOVEDADES!$C$4:$C$2003,$B406)&amp;")"))</f>
        <v/>
      </c>
    </row>
    <row r="407">
      <c r="A407" s="41" t="n"/>
      <c r="B407" s="41" t="n"/>
      <c r="C407" s="41" t="n"/>
      <c r="D407" s="41" t="n"/>
      <c r="E407" s="46" t="n"/>
      <c r="F407" s="41" t="n"/>
      <c r="G407" s="41" t="n"/>
      <c r="H407" s="41" t="n"/>
      <c r="I407" s="41" t="n"/>
      <c r="J407" s="47" t="n"/>
      <c r="K407" s="41" t="n"/>
      <c r="L407" s="48" t="n"/>
      <c r="M407" s="45" t="n"/>
      <c r="N407" s="39">
        <f>IF($B407="","",IF(SUMPRODUCT((LISTAS!$O$3:$O$42&lt;&gt;"")*ISNUMBER(SEARCH(LISTAS!$O$3:$O$42,$I407&amp;" "&amp;$K407)))&gt;0,"CERCANA","NACIONAL"))</f>
        <v/>
      </c>
      <c r="O407" s="39">
        <f>IF($B407="","",IF(COUNTIFS(NOVEDADES!$C$4:$C$2003,$B407)=0,"—","SÍ ("&amp;COUNTIFS(NOVEDADES!$C$4:$C$2003,$B407)&amp;")"))</f>
        <v/>
      </c>
    </row>
    <row r="408">
      <c r="A408" s="41" t="n"/>
      <c r="B408" s="41" t="n"/>
      <c r="C408" s="41" t="n"/>
      <c r="D408" s="41" t="n"/>
      <c r="E408" s="46" t="n"/>
      <c r="F408" s="41" t="n"/>
      <c r="G408" s="41" t="n"/>
      <c r="H408" s="41" t="n"/>
      <c r="I408" s="41" t="n"/>
      <c r="J408" s="47" t="n"/>
      <c r="K408" s="41" t="n"/>
      <c r="L408" s="48" t="n"/>
      <c r="M408" s="45" t="n"/>
      <c r="N408" s="39">
        <f>IF($B408="","",IF(SUMPRODUCT((LISTAS!$O$3:$O$42&lt;&gt;"")*ISNUMBER(SEARCH(LISTAS!$O$3:$O$42,$I408&amp;" "&amp;$K408)))&gt;0,"CERCANA","NACIONAL"))</f>
        <v/>
      </c>
      <c r="O408" s="39">
        <f>IF($B408="","",IF(COUNTIFS(NOVEDADES!$C$4:$C$2003,$B408)=0,"—","SÍ ("&amp;COUNTIFS(NOVEDADES!$C$4:$C$2003,$B408)&amp;")"))</f>
        <v/>
      </c>
    </row>
    <row r="409">
      <c r="A409" s="41" t="n"/>
      <c r="B409" s="41" t="n"/>
      <c r="C409" s="41" t="n"/>
      <c r="D409" s="41" t="n"/>
      <c r="E409" s="46" t="n"/>
      <c r="F409" s="41" t="n"/>
      <c r="G409" s="41" t="n"/>
      <c r="H409" s="41" t="n"/>
      <c r="I409" s="41" t="n"/>
      <c r="J409" s="47" t="n"/>
      <c r="K409" s="41" t="n"/>
      <c r="L409" s="48" t="n"/>
      <c r="M409" s="45" t="n"/>
      <c r="N409" s="39">
        <f>IF($B409="","",IF(SUMPRODUCT((LISTAS!$O$3:$O$42&lt;&gt;"")*ISNUMBER(SEARCH(LISTAS!$O$3:$O$42,$I409&amp;" "&amp;$K409)))&gt;0,"CERCANA","NACIONAL"))</f>
        <v/>
      </c>
      <c r="O409" s="39">
        <f>IF($B409="","",IF(COUNTIFS(NOVEDADES!$C$4:$C$2003,$B409)=0,"—","SÍ ("&amp;COUNTIFS(NOVEDADES!$C$4:$C$2003,$B409)&amp;")"))</f>
        <v/>
      </c>
    </row>
    <row r="410">
      <c r="A410" s="41" t="n"/>
      <c r="B410" s="41" t="n"/>
      <c r="C410" s="41" t="n"/>
      <c r="D410" s="41" t="n"/>
      <c r="E410" s="46" t="n"/>
      <c r="F410" s="41" t="n"/>
      <c r="G410" s="41" t="n"/>
      <c r="H410" s="41" t="n"/>
      <c r="I410" s="41" t="n"/>
      <c r="J410" s="47" t="n"/>
      <c r="K410" s="41" t="n"/>
      <c r="L410" s="48" t="n"/>
      <c r="M410" s="45" t="n"/>
      <c r="N410" s="39">
        <f>IF($B410="","",IF(SUMPRODUCT((LISTAS!$O$3:$O$42&lt;&gt;"")*ISNUMBER(SEARCH(LISTAS!$O$3:$O$42,$I410&amp;" "&amp;$K410)))&gt;0,"CERCANA","NACIONAL"))</f>
        <v/>
      </c>
      <c r="O410" s="39">
        <f>IF($B410="","",IF(COUNTIFS(NOVEDADES!$C$4:$C$2003,$B410)=0,"—","SÍ ("&amp;COUNTIFS(NOVEDADES!$C$4:$C$2003,$B410)&amp;")"))</f>
        <v/>
      </c>
    </row>
    <row r="411">
      <c r="A411" s="41" t="n"/>
      <c r="B411" s="41" t="n"/>
      <c r="C411" s="41" t="n"/>
      <c r="D411" s="41" t="n"/>
      <c r="E411" s="46" t="n"/>
      <c r="F411" s="41" t="n"/>
      <c r="G411" s="41" t="n"/>
      <c r="H411" s="41" t="n"/>
      <c r="I411" s="41" t="n"/>
      <c r="J411" s="47" t="n"/>
      <c r="K411" s="41" t="n"/>
      <c r="L411" s="48" t="n"/>
      <c r="M411" s="45" t="n"/>
      <c r="N411" s="39">
        <f>IF($B411="","",IF(SUMPRODUCT((LISTAS!$O$3:$O$42&lt;&gt;"")*ISNUMBER(SEARCH(LISTAS!$O$3:$O$42,$I411&amp;" "&amp;$K411)))&gt;0,"CERCANA","NACIONAL"))</f>
        <v/>
      </c>
      <c r="O411" s="39">
        <f>IF($B411="","",IF(COUNTIFS(NOVEDADES!$C$4:$C$2003,$B411)=0,"—","SÍ ("&amp;COUNTIFS(NOVEDADES!$C$4:$C$2003,$B411)&amp;")"))</f>
        <v/>
      </c>
    </row>
    <row r="412">
      <c r="A412" s="41" t="n"/>
      <c r="B412" s="41" t="n"/>
      <c r="C412" s="41" t="n"/>
      <c r="D412" s="41" t="n"/>
      <c r="E412" s="46" t="n"/>
      <c r="F412" s="41" t="n"/>
      <c r="G412" s="41" t="n"/>
      <c r="H412" s="41" t="n"/>
      <c r="I412" s="41" t="n"/>
      <c r="J412" s="47" t="n"/>
      <c r="K412" s="41" t="n"/>
      <c r="L412" s="48" t="n"/>
      <c r="M412" s="45" t="n"/>
      <c r="N412" s="39">
        <f>IF($B412="","",IF(SUMPRODUCT((LISTAS!$O$3:$O$42&lt;&gt;"")*ISNUMBER(SEARCH(LISTAS!$O$3:$O$42,$I412&amp;" "&amp;$K412)))&gt;0,"CERCANA","NACIONAL"))</f>
        <v/>
      </c>
      <c r="O412" s="39">
        <f>IF($B412="","",IF(COUNTIFS(NOVEDADES!$C$4:$C$2003,$B412)=0,"—","SÍ ("&amp;COUNTIFS(NOVEDADES!$C$4:$C$2003,$B412)&amp;")"))</f>
        <v/>
      </c>
    </row>
    <row r="413">
      <c r="A413" s="41" t="n"/>
      <c r="B413" s="41" t="n"/>
      <c r="C413" s="41" t="n"/>
      <c r="D413" s="41" t="n"/>
      <c r="E413" s="46" t="n"/>
      <c r="F413" s="41" t="n"/>
      <c r="G413" s="41" t="n"/>
      <c r="H413" s="41" t="n"/>
      <c r="I413" s="41" t="n"/>
      <c r="J413" s="47" t="n"/>
      <c r="K413" s="41" t="n"/>
      <c r="L413" s="48" t="n"/>
      <c r="M413" s="45" t="n"/>
      <c r="N413" s="39">
        <f>IF($B413="","",IF(SUMPRODUCT((LISTAS!$O$3:$O$42&lt;&gt;"")*ISNUMBER(SEARCH(LISTAS!$O$3:$O$42,$I413&amp;" "&amp;$K413)))&gt;0,"CERCANA","NACIONAL"))</f>
        <v/>
      </c>
      <c r="O413" s="39">
        <f>IF($B413="","",IF(COUNTIFS(NOVEDADES!$C$4:$C$2003,$B413)=0,"—","SÍ ("&amp;COUNTIFS(NOVEDADES!$C$4:$C$2003,$B413)&amp;")"))</f>
        <v/>
      </c>
    </row>
    <row r="414">
      <c r="A414" s="41" t="n"/>
      <c r="B414" s="41" t="n"/>
      <c r="C414" s="41" t="n"/>
      <c r="D414" s="41" t="n"/>
      <c r="E414" s="46" t="n"/>
      <c r="F414" s="41" t="n"/>
      <c r="G414" s="41" t="n"/>
      <c r="H414" s="41" t="n"/>
      <c r="I414" s="41" t="n"/>
      <c r="J414" s="47" t="n"/>
      <c r="K414" s="41" t="n"/>
      <c r="L414" s="48" t="n"/>
      <c r="M414" s="45" t="n"/>
      <c r="N414" s="39">
        <f>IF($B414="","",IF(SUMPRODUCT((LISTAS!$O$3:$O$42&lt;&gt;"")*ISNUMBER(SEARCH(LISTAS!$O$3:$O$42,$I414&amp;" "&amp;$K414)))&gt;0,"CERCANA","NACIONAL"))</f>
        <v/>
      </c>
      <c r="O414" s="39">
        <f>IF($B414="","",IF(COUNTIFS(NOVEDADES!$C$4:$C$2003,$B414)=0,"—","SÍ ("&amp;COUNTIFS(NOVEDADES!$C$4:$C$2003,$B414)&amp;")"))</f>
        <v/>
      </c>
    </row>
    <row r="415">
      <c r="A415" s="41" t="n"/>
      <c r="B415" s="41" t="n"/>
      <c r="C415" s="41" t="n"/>
      <c r="D415" s="41" t="n"/>
      <c r="E415" s="46" t="n"/>
      <c r="F415" s="41" t="n"/>
      <c r="G415" s="41" t="n"/>
      <c r="H415" s="41" t="n"/>
      <c r="I415" s="41" t="n"/>
      <c r="J415" s="47" t="n"/>
      <c r="K415" s="41" t="n"/>
      <c r="L415" s="48" t="n"/>
      <c r="M415" s="45" t="n"/>
      <c r="N415" s="39">
        <f>IF($B415="","",IF(SUMPRODUCT((LISTAS!$O$3:$O$42&lt;&gt;"")*ISNUMBER(SEARCH(LISTAS!$O$3:$O$42,$I415&amp;" "&amp;$K415)))&gt;0,"CERCANA","NACIONAL"))</f>
        <v/>
      </c>
      <c r="O415" s="39">
        <f>IF($B415="","",IF(COUNTIFS(NOVEDADES!$C$4:$C$2003,$B415)=0,"—","SÍ ("&amp;COUNTIFS(NOVEDADES!$C$4:$C$2003,$B415)&amp;")"))</f>
        <v/>
      </c>
    </row>
    <row r="416">
      <c r="A416" s="41" t="n"/>
      <c r="B416" s="41" t="n"/>
      <c r="C416" s="41" t="n"/>
      <c r="D416" s="41" t="n"/>
      <c r="E416" s="46" t="n"/>
      <c r="F416" s="41" t="n"/>
      <c r="G416" s="41" t="n"/>
      <c r="H416" s="41" t="n"/>
      <c r="I416" s="41" t="n"/>
      <c r="J416" s="47" t="n"/>
      <c r="K416" s="41" t="n"/>
      <c r="L416" s="48" t="n"/>
      <c r="M416" s="45" t="n"/>
      <c r="N416" s="39">
        <f>IF($B416="","",IF(SUMPRODUCT((LISTAS!$O$3:$O$42&lt;&gt;"")*ISNUMBER(SEARCH(LISTAS!$O$3:$O$42,$I416&amp;" "&amp;$K416)))&gt;0,"CERCANA","NACIONAL"))</f>
        <v/>
      </c>
      <c r="O416" s="39">
        <f>IF($B416="","",IF(COUNTIFS(NOVEDADES!$C$4:$C$2003,$B416)=0,"—","SÍ ("&amp;COUNTIFS(NOVEDADES!$C$4:$C$2003,$B416)&amp;")"))</f>
        <v/>
      </c>
    </row>
    <row r="417">
      <c r="A417" s="41" t="n"/>
      <c r="B417" s="41" t="n"/>
      <c r="C417" s="41" t="n"/>
      <c r="D417" s="41" t="n"/>
      <c r="E417" s="46" t="n"/>
      <c r="F417" s="41" t="n"/>
      <c r="G417" s="41" t="n"/>
      <c r="H417" s="41" t="n"/>
      <c r="I417" s="41" t="n"/>
      <c r="J417" s="47" t="n"/>
      <c r="K417" s="41" t="n"/>
      <c r="L417" s="48" t="n"/>
      <c r="M417" s="45" t="n"/>
      <c r="N417" s="39">
        <f>IF($B417="","",IF(SUMPRODUCT((LISTAS!$O$3:$O$42&lt;&gt;"")*ISNUMBER(SEARCH(LISTAS!$O$3:$O$42,$I417&amp;" "&amp;$K417)))&gt;0,"CERCANA","NACIONAL"))</f>
        <v/>
      </c>
      <c r="O417" s="39">
        <f>IF($B417="","",IF(COUNTIFS(NOVEDADES!$C$4:$C$2003,$B417)=0,"—","SÍ ("&amp;COUNTIFS(NOVEDADES!$C$4:$C$2003,$B417)&amp;")"))</f>
        <v/>
      </c>
    </row>
    <row r="418">
      <c r="A418" s="41" t="n"/>
      <c r="B418" s="41" t="n"/>
      <c r="C418" s="41" t="n"/>
      <c r="D418" s="41" t="n"/>
      <c r="E418" s="46" t="n"/>
      <c r="F418" s="41" t="n"/>
      <c r="G418" s="41" t="n"/>
      <c r="H418" s="41" t="n"/>
      <c r="I418" s="41" t="n"/>
      <c r="J418" s="47" t="n"/>
      <c r="K418" s="41" t="n"/>
      <c r="L418" s="48" t="n"/>
      <c r="M418" s="45" t="n"/>
      <c r="N418" s="39">
        <f>IF($B418="","",IF(SUMPRODUCT((LISTAS!$O$3:$O$42&lt;&gt;"")*ISNUMBER(SEARCH(LISTAS!$O$3:$O$42,$I418&amp;" "&amp;$K418)))&gt;0,"CERCANA","NACIONAL"))</f>
        <v/>
      </c>
      <c r="O418" s="39">
        <f>IF($B418="","",IF(COUNTIFS(NOVEDADES!$C$4:$C$2003,$B418)=0,"—","SÍ ("&amp;COUNTIFS(NOVEDADES!$C$4:$C$2003,$B418)&amp;")"))</f>
        <v/>
      </c>
    </row>
    <row r="419">
      <c r="A419" s="41" t="n"/>
      <c r="B419" s="41" t="n"/>
      <c r="C419" s="41" t="n"/>
      <c r="D419" s="41" t="n"/>
      <c r="E419" s="46" t="n"/>
      <c r="F419" s="41" t="n"/>
      <c r="G419" s="41" t="n"/>
      <c r="H419" s="41" t="n"/>
      <c r="I419" s="41" t="n"/>
      <c r="J419" s="47" t="n"/>
      <c r="K419" s="41" t="n"/>
      <c r="L419" s="48" t="n"/>
      <c r="M419" s="45" t="n"/>
      <c r="N419" s="39">
        <f>IF($B419="","",IF(SUMPRODUCT((LISTAS!$O$3:$O$42&lt;&gt;"")*ISNUMBER(SEARCH(LISTAS!$O$3:$O$42,$I419&amp;" "&amp;$K419)))&gt;0,"CERCANA","NACIONAL"))</f>
        <v/>
      </c>
      <c r="O419" s="39">
        <f>IF($B419="","",IF(COUNTIFS(NOVEDADES!$C$4:$C$2003,$B419)=0,"—","SÍ ("&amp;COUNTIFS(NOVEDADES!$C$4:$C$2003,$B419)&amp;")"))</f>
        <v/>
      </c>
    </row>
    <row r="420">
      <c r="A420" s="41" t="n"/>
      <c r="B420" s="41" t="n"/>
      <c r="C420" s="41" t="n"/>
      <c r="D420" s="41" t="n"/>
      <c r="E420" s="46" t="n"/>
      <c r="F420" s="41" t="n"/>
      <c r="G420" s="41" t="n"/>
      <c r="H420" s="41" t="n"/>
      <c r="I420" s="41" t="n"/>
      <c r="J420" s="47" t="n"/>
      <c r="K420" s="41" t="n"/>
      <c r="L420" s="48" t="n"/>
      <c r="M420" s="45" t="n"/>
      <c r="N420" s="39">
        <f>IF($B420="","",IF(SUMPRODUCT((LISTAS!$O$3:$O$42&lt;&gt;"")*ISNUMBER(SEARCH(LISTAS!$O$3:$O$42,$I420&amp;" "&amp;$K420)))&gt;0,"CERCANA","NACIONAL"))</f>
        <v/>
      </c>
      <c r="O420" s="39">
        <f>IF($B420="","",IF(COUNTIFS(NOVEDADES!$C$4:$C$2003,$B420)=0,"—","SÍ ("&amp;COUNTIFS(NOVEDADES!$C$4:$C$2003,$B420)&amp;")"))</f>
        <v/>
      </c>
    </row>
    <row r="421">
      <c r="A421" s="41" t="n"/>
      <c r="B421" s="41" t="n"/>
      <c r="C421" s="41" t="n"/>
      <c r="D421" s="41" t="n"/>
      <c r="E421" s="46" t="n"/>
      <c r="F421" s="41" t="n"/>
      <c r="G421" s="41" t="n"/>
      <c r="H421" s="41" t="n"/>
      <c r="I421" s="41" t="n"/>
      <c r="J421" s="47" t="n"/>
      <c r="K421" s="41" t="n"/>
      <c r="L421" s="48" t="n"/>
      <c r="M421" s="45" t="n"/>
      <c r="N421" s="39">
        <f>IF($B421="","",IF(SUMPRODUCT((LISTAS!$O$3:$O$42&lt;&gt;"")*ISNUMBER(SEARCH(LISTAS!$O$3:$O$42,$I421&amp;" "&amp;$K421)))&gt;0,"CERCANA","NACIONAL"))</f>
        <v/>
      </c>
      <c r="O421" s="39">
        <f>IF($B421="","",IF(COUNTIFS(NOVEDADES!$C$4:$C$2003,$B421)=0,"—","SÍ ("&amp;COUNTIFS(NOVEDADES!$C$4:$C$2003,$B421)&amp;")"))</f>
        <v/>
      </c>
    </row>
    <row r="422">
      <c r="A422" s="41" t="n"/>
      <c r="B422" s="41" t="n"/>
      <c r="C422" s="41" t="n"/>
      <c r="D422" s="41" t="n"/>
      <c r="E422" s="46" t="n"/>
      <c r="F422" s="41" t="n"/>
      <c r="G422" s="41" t="n"/>
      <c r="H422" s="41" t="n"/>
      <c r="I422" s="41" t="n"/>
      <c r="J422" s="47" t="n"/>
      <c r="K422" s="41" t="n"/>
      <c r="L422" s="48" t="n"/>
      <c r="M422" s="45" t="n"/>
      <c r="N422" s="39">
        <f>IF($B422="","",IF(SUMPRODUCT((LISTAS!$O$3:$O$42&lt;&gt;"")*ISNUMBER(SEARCH(LISTAS!$O$3:$O$42,$I422&amp;" "&amp;$K422)))&gt;0,"CERCANA","NACIONAL"))</f>
        <v/>
      </c>
      <c r="O422" s="39">
        <f>IF($B422="","",IF(COUNTIFS(NOVEDADES!$C$4:$C$2003,$B422)=0,"—","SÍ ("&amp;COUNTIFS(NOVEDADES!$C$4:$C$2003,$B422)&amp;")"))</f>
        <v/>
      </c>
    </row>
    <row r="423">
      <c r="A423" s="41" t="n"/>
      <c r="B423" s="41" t="n"/>
      <c r="C423" s="41" t="n"/>
      <c r="D423" s="41" t="n"/>
      <c r="E423" s="46" t="n"/>
      <c r="F423" s="41" t="n"/>
      <c r="G423" s="41" t="n"/>
      <c r="H423" s="41" t="n"/>
      <c r="I423" s="41" t="n"/>
      <c r="J423" s="47" t="n"/>
      <c r="K423" s="41" t="n"/>
      <c r="L423" s="48" t="n"/>
      <c r="M423" s="45" t="n"/>
      <c r="N423" s="39">
        <f>IF($B423="","",IF(SUMPRODUCT((LISTAS!$O$3:$O$42&lt;&gt;"")*ISNUMBER(SEARCH(LISTAS!$O$3:$O$42,$I423&amp;" "&amp;$K423)))&gt;0,"CERCANA","NACIONAL"))</f>
        <v/>
      </c>
      <c r="O423" s="39">
        <f>IF($B423="","",IF(COUNTIFS(NOVEDADES!$C$4:$C$2003,$B423)=0,"—","SÍ ("&amp;COUNTIFS(NOVEDADES!$C$4:$C$2003,$B423)&amp;")"))</f>
        <v/>
      </c>
    </row>
    <row r="424">
      <c r="A424" s="41" t="n"/>
      <c r="B424" s="41" t="n"/>
      <c r="C424" s="41" t="n"/>
      <c r="D424" s="41" t="n"/>
      <c r="E424" s="46" t="n"/>
      <c r="F424" s="41" t="n"/>
      <c r="G424" s="41" t="n"/>
      <c r="H424" s="41" t="n"/>
      <c r="I424" s="41" t="n"/>
      <c r="J424" s="47" t="n"/>
      <c r="K424" s="41" t="n"/>
      <c r="L424" s="48" t="n"/>
      <c r="M424" s="45" t="n"/>
      <c r="N424" s="39">
        <f>IF($B424="","",IF(SUMPRODUCT((LISTAS!$O$3:$O$42&lt;&gt;"")*ISNUMBER(SEARCH(LISTAS!$O$3:$O$42,$I424&amp;" "&amp;$K424)))&gt;0,"CERCANA","NACIONAL"))</f>
        <v/>
      </c>
      <c r="O424" s="39">
        <f>IF($B424="","",IF(COUNTIFS(NOVEDADES!$C$4:$C$2003,$B424)=0,"—","SÍ ("&amp;COUNTIFS(NOVEDADES!$C$4:$C$2003,$B424)&amp;")"))</f>
        <v/>
      </c>
    </row>
    <row r="425">
      <c r="A425" s="41" t="n"/>
      <c r="B425" s="41" t="n"/>
      <c r="C425" s="41" t="n"/>
      <c r="D425" s="41" t="n"/>
      <c r="E425" s="46" t="n"/>
      <c r="F425" s="41" t="n"/>
      <c r="G425" s="41" t="n"/>
      <c r="H425" s="41" t="n"/>
      <c r="I425" s="41" t="n"/>
      <c r="J425" s="47" t="n"/>
      <c r="K425" s="41" t="n"/>
      <c r="L425" s="48" t="n"/>
      <c r="M425" s="45" t="n"/>
      <c r="N425" s="39">
        <f>IF($B425="","",IF(SUMPRODUCT((LISTAS!$O$3:$O$42&lt;&gt;"")*ISNUMBER(SEARCH(LISTAS!$O$3:$O$42,$I425&amp;" "&amp;$K425)))&gt;0,"CERCANA","NACIONAL"))</f>
        <v/>
      </c>
      <c r="O425" s="39">
        <f>IF($B425="","",IF(COUNTIFS(NOVEDADES!$C$4:$C$2003,$B425)=0,"—","SÍ ("&amp;COUNTIFS(NOVEDADES!$C$4:$C$2003,$B425)&amp;")"))</f>
        <v/>
      </c>
    </row>
    <row r="426">
      <c r="A426" s="41" t="n"/>
      <c r="B426" s="41" t="n"/>
      <c r="C426" s="41" t="n"/>
      <c r="D426" s="41" t="n"/>
      <c r="E426" s="46" t="n"/>
      <c r="F426" s="41" t="n"/>
      <c r="G426" s="41" t="n"/>
      <c r="H426" s="41" t="n"/>
      <c r="I426" s="41" t="n"/>
      <c r="J426" s="47" t="n"/>
      <c r="K426" s="41" t="n"/>
      <c r="L426" s="48" t="n"/>
      <c r="M426" s="45" t="n"/>
      <c r="N426" s="39">
        <f>IF($B426="","",IF(SUMPRODUCT((LISTAS!$O$3:$O$42&lt;&gt;"")*ISNUMBER(SEARCH(LISTAS!$O$3:$O$42,$I426&amp;" "&amp;$K426)))&gt;0,"CERCANA","NACIONAL"))</f>
        <v/>
      </c>
      <c r="O426" s="39">
        <f>IF($B426="","",IF(COUNTIFS(NOVEDADES!$C$4:$C$2003,$B426)=0,"—","SÍ ("&amp;COUNTIFS(NOVEDADES!$C$4:$C$2003,$B426)&amp;")"))</f>
        <v/>
      </c>
    </row>
    <row r="427">
      <c r="A427" s="41" t="n"/>
      <c r="B427" s="41" t="n"/>
      <c r="C427" s="41" t="n"/>
      <c r="D427" s="41" t="n"/>
      <c r="E427" s="46" t="n"/>
      <c r="F427" s="41" t="n"/>
      <c r="G427" s="41" t="n"/>
      <c r="H427" s="41" t="n"/>
      <c r="I427" s="41" t="n"/>
      <c r="J427" s="47" t="n"/>
      <c r="K427" s="41" t="n"/>
      <c r="L427" s="48" t="n"/>
      <c r="M427" s="45" t="n"/>
      <c r="N427" s="39">
        <f>IF($B427="","",IF(SUMPRODUCT((LISTAS!$O$3:$O$42&lt;&gt;"")*ISNUMBER(SEARCH(LISTAS!$O$3:$O$42,$I427&amp;" "&amp;$K427)))&gt;0,"CERCANA","NACIONAL"))</f>
        <v/>
      </c>
      <c r="O427" s="39">
        <f>IF($B427="","",IF(COUNTIFS(NOVEDADES!$C$4:$C$2003,$B427)=0,"—","SÍ ("&amp;COUNTIFS(NOVEDADES!$C$4:$C$2003,$B427)&amp;")"))</f>
        <v/>
      </c>
    </row>
    <row r="428">
      <c r="A428" s="41" t="n"/>
      <c r="B428" s="41" t="n"/>
      <c r="C428" s="41" t="n"/>
      <c r="D428" s="41" t="n"/>
      <c r="E428" s="46" t="n"/>
      <c r="F428" s="41" t="n"/>
      <c r="G428" s="41" t="n"/>
      <c r="H428" s="41" t="n"/>
      <c r="I428" s="41" t="n"/>
      <c r="J428" s="47" t="n"/>
      <c r="K428" s="41" t="n"/>
      <c r="L428" s="48" t="n"/>
      <c r="M428" s="45" t="n"/>
      <c r="N428" s="39">
        <f>IF($B428="","",IF(SUMPRODUCT((LISTAS!$O$3:$O$42&lt;&gt;"")*ISNUMBER(SEARCH(LISTAS!$O$3:$O$42,$I428&amp;" "&amp;$K428)))&gt;0,"CERCANA","NACIONAL"))</f>
        <v/>
      </c>
      <c r="O428" s="39">
        <f>IF($B428="","",IF(COUNTIFS(NOVEDADES!$C$4:$C$2003,$B428)=0,"—","SÍ ("&amp;COUNTIFS(NOVEDADES!$C$4:$C$2003,$B428)&amp;")"))</f>
        <v/>
      </c>
    </row>
    <row r="429">
      <c r="A429" s="41" t="n"/>
      <c r="B429" s="41" t="n"/>
      <c r="C429" s="41" t="n"/>
      <c r="D429" s="41" t="n"/>
      <c r="E429" s="46" t="n"/>
      <c r="F429" s="41" t="n"/>
      <c r="G429" s="41" t="n"/>
      <c r="H429" s="41" t="n"/>
      <c r="I429" s="41" t="n"/>
      <c r="J429" s="47" t="n"/>
      <c r="K429" s="41" t="n"/>
      <c r="L429" s="48" t="n"/>
      <c r="M429" s="45" t="n"/>
      <c r="N429" s="39">
        <f>IF($B429="","",IF(SUMPRODUCT((LISTAS!$O$3:$O$42&lt;&gt;"")*ISNUMBER(SEARCH(LISTAS!$O$3:$O$42,$I429&amp;" "&amp;$K429)))&gt;0,"CERCANA","NACIONAL"))</f>
        <v/>
      </c>
      <c r="O429" s="39">
        <f>IF($B429="","",IF(COUNTIFS(NOVEDADES!$C$4:$C$2003,$B429)=0,"—","SÍ ("&amp;COUNTIFS(NOVEDADES!$C$4:$C$2003,$B429)&amp;")"))</f>
        <v/>
      </c>
    </row>
    <row r="430">
      <c r="A430" s="41" t="n"/>
      <c r="B430" s="41" t="n"/>
      <c r="C430" s="41" t="n"/>
      <c r="D430" s="41" t="n"/>
      <c r="E430" s="46" t="n"/>
      <c r="F430" s="41" t="n"/>
      <c r="G430" s="41" t="n"/>
      <c r="H430" s="41" t="n"/>
      <c r="I430" s="41" t="n"/>
      <c r="J430" s="47" t="n"/>
      <c r="K430" s="41" t="n"/>
      <c r="L430" s="48" t="n"/>
      <c r="M430" s="45" t="n"/>
      <c r="N430" s="39">
        <f>IF($B430="","",IF(SUMPRODUCT((LISTAS!$O$3:$O$42&lt;&gt;"")*ISNUMBER(SEARCH(LISTAS!$O$3:$O$42,$I430&amp;" "&amp;$K430)))&gt;0,"CERCANA","NACIONAL"))</f>
        <v/>
      </c>
      <c r="O430" s="39">
        <f>IF($B430="","",IF(COUNTIFS(NOVEDADES!$C$4:$C$2003,$B430)=0,"—","SÍ ("&amp;COUNTIFS(NOVEDADES!$C$4:$C$2003,$B430)&amp;")"))</f>
        <v/>
      </c>
    </row>
    <row r="431">
      <c r="A431" s="41" t="n"/>
      <c r="B431" s="41" t="n"/>
      <c r="C431" s="41" t="n"/>
      <c r="D431" s="41" t="n"/>
      <c r="E431" s="46" t="n"/>
      <c r="F431" s="41" t="n"/>
      <c r="G431" s="41" t="n"/>
      <c r="H431" s="41" t="n"/>
      <c r="I431" s="41" t="n"/>
      <c r="J431" s="47" t="n"/>
      <c r="K431" s="41" t="n"/>
      <c r="L431" s="48" t="n"/>
      <c r="M431" s="45" t="n"/>
      <c r="N431" s="39">
        <f>IF($B431="","",IF(SUMPRODUCT((LISTAS!$O$3:$O$42&lt;&gt;"")*ISNUMBER(SEARCH(LISTAS!$O$3:$O$42,$I431&amp;" "&amp;$K431)))&gt;0,"CERCANA","NACIONAL"))</f>
        <v/>
      </c>
      <c r="O431" s="39">
        <f>IF($B431="","",IF(COUNTIFS(NOVEDADES!$C$4:$C$2003,$B431)=0,"—","SÍ ("&amp;COUNTIFS(NOVEDADES!$C$4:$C$2003,$B431)&amp;")"))</f>
        <v/>
      </c>
    </row>
    <row r="432">
      <c r="A432" s="41" t="n"/>
      <c r="B432" s="41" t="n"/>
      <c r="C432" s="41" t="n"/>
      <c r="D432" s="41" t="n"/>
      <c r="E432" s="46" t="n"/>
      <c r="F432" s="41" t="n"/>
      <c r="G432" s="41" t="n"/>
      <c r="H432" s="41" t="n"/>
      <c r="I432" s="41" t="n"/>
      <c r="J432" s="47" t="n"/>
      <c r="K432" s="41" t="n"/>
      <c r="L432" s="48" t="n"/>
      <c r="M432" s="45" t="n"/>
      <c r="N432" s="39">
        <f>IF($B432="","",IF(SUMPRODUCT((LISTAS!$O$3:$O$42&lt;&gt;"")*ISNUMBER(SEARCH(LISTAS!$O$3:$O$42,$I432&amp;" "&amp;$K432)))&gt;0,"CERCANA","NACIONAL"))</f>
        <v/>
      </c>
      <c r="O432" s="39">
        <f>IF($B432="","",IF(COUNTIFS(NOVEDADES!$C$4:$C$2003,$B432)=0,"—","SÍ ("&amp;COUNTIFS(NOVEDADES!$C$4:$C$2003,$B432)&amp;")"))</f>
        <v/>
      </c>
    </row>
    <row r="433">
      <c r="A433" s="41" t="n"/>
      <c r="B433" s="41" t="n"/>
      <c r="C433" s="41" t="n"/>
      <c r="D433" s="41" t="n"/>
      <c r="E433" s="46" t="n"/>
      <c r="F433" s="41" t="n"/>
      <c r="G433" s="41" t="n"/>
      <c r="H433" s="41" t="n"/>
      <c r="I433" s="41" t="n"/>
      <c r="J433" s="47" t="n"/>
      <c r="K433" s="41" t="n"/>
      <c r="L433" s="48" t="n"/>
      <c r="M433" s="45" t="n"/>
      <c r="N433" s="39">
        <f>IF($B433="","",IF(SUMPRODUCT((LISTAS!$O$3:$O$42&lt;&gt;"")*ISNUMBER(SEARCH(LISTAS!$O$3:$O$42,$I433&amp;" "&amp;$K433)))&gt;0,"CERCANA","NACIONAL"))</f>
        <v/>
      </c>
      <c r="O433" s="39">
        <f>IF($B433="","",IF(COUNTIFS(NOVEDADES!$C$4:$C$2003,$B433)=0,"—","SÍ ("&amp;COUNTIFS(NOVEDADES!$C$4:$C$2003,$B433)&amp;")"))</f>
        <v/>
      </c>
    </row>
    <row r="434">
      <c r="A434" s="41" t="n"/>
      <c r="B434" s="41" t="n"/>
      <c r="C434" s="41" t="n"/>
      <c r="D434" s="41" t="n"/>
      <c r="E434" s="46" t="n"/>
      <c r="F434" s="41" t="n"/>
      <c r="G434" s="41" t="n"/>
      <c r="H434" s="41" t="n"/>
      <c r="I434" s="41" t="n"/>
      <c r="J434" s="47" t="n"/>
      <c r="K434" s="41" t="n"/>
      <c r="L434" s="48" t="n"/>
      <c r="M434" s="45" t="n"/>
      <c r="N434" s="39">
        <f>IF($B434="","",IF(SUMPRODUCT((LISTAS!$O$3:$O$42&lt;&gt;"")*ISNUMBER(SEARCH(LISTAS!$O$3:$O$42,$I434&amp;" "&amp;$K434)))&gt;0,"CERCANA","NACIONAL"))</f>
        <v/>
      </c>
      <c r="O434" s="39">
        <f>IF($B434="","",IF(COUNTIFS(NOVEDADES!$C$4:$C$2003,$B434)=0,"—","SÍ ("&amp;COUNTIFS(NOVEDADES!$C$4:$C$2003,$B434)&amp;")"))</f>
        <v/>
      </c>
    </row>
    <row r="435">
      <c r="A435" s="41" t="n"/>
      <c r="B435" s="41" t="n"/>
      <c r="C435" s="41" t="n"/>
      <c r="D435" s="41" t="n"/>
      <c r="E435" s="46" t="n"/>
      <c r="F435" s="41" t="n"/>
      <c r="G435" s="41" t="n"/>
      <c r="H435" s="41" t="n"/>
      <c r="I435" s="41" t="n"/>
      <c r="J435" s="47" t="n"/>
      <c r="K435" s="41" t="n"/>
      <c r="L435" s="48" t="n"/>
      <c r="M435" s="45" t="n"/>
      <c r="N435" s="39">
        <f>IF($B435="","",IF(SUMPRODUCT((LISTAS!$O$3:$O$42&lt;&gt;"")*ISNUMBER(SEARCH(LISTAS!$O$3:$O$42,$I435&amp;" "&amp;$K435)))&gt;0,"CERCANA","NACIONAL"))</f>
        <v/>
      </c>
      <c r="O435" s="39">
        <f>IF($B435="","",IF(COUNTIFS(NOVEDADES!$C$4:$C$2003,$B435)=0,"—","SÍ ("&amp;COUNTIFS(NOVEDADES!$C$4:$C$2003,$B435)&amp;")"))</f>
        <v/>
      </c>
    </row>
    <row r="436">
      <c r="A436" s="41" t="n"/>
      <c r="B436" s="41" t="n"/>
      <c r="C436" s="41" t="n"/>
      <c r="D436" s="41" t="n"/>
      <c r="E436" s="46" t="n"/>
      <c r="F436" s="41" t="n"/>
      <c r="G436" s="41" t="n"/>
      <c r="H436" s="41" t="n"/>
      <c r="I436" s="41" t="n"/>
      <c r="J436" s="47" t="n"/>
      <c r="K436" s="41" t="n"/>
      <c r="L436" s="48" t="n"/>
      <c r="M436" s="45" t="n"/>
      <c r="N436" s="39">
        <f>IF($B436="","",IF(SUMPRODUCT((LISTAS!$O$3:$O$42&lt;&gt;"")*ISNUMBER(SEARCH(LISTAS!$O$3:$O$42,$I436&amp;" "&amp;$K436)))&gt;0,"CERCANA","NACIONAL"))</f>
        <v/>
      </c>
      <c r="O436" s="39">
        <f>IF($B436="","",IF(COUNTIFS(NOVEDADES!$C$4:$C$2003,$B436)=0,"—","SÍ ("&amp;COUNTIFS(NOVEDADES!$C$4:$C$2003,$B436)&amp;")"))</f>
        <v/>
      </c>
    </row>
    <row r="437">
      <c r="A437" s="41" t="n"/>
      <c r="B437" s="41" t="n"/>
      <c r="C437" s="41" t="n"/>
      <c r="D437" s="41" t="n"/>
      <c r="E437" s="46" t="n"/>
      <c r="F437" s="41" t="n"/>
      <c r="G437" s="41" t="n"/>
      <c r="H437" s="41" t="n"/>
      <c r="I437" s="41" t="n"/>
      <c r="J437" s="47" t="n"/>
      <c r="K437" s="41" t="n"/>
      <c r="L437" s="48" t="n"/>
      <c r="M437" s="45" t="n"/>
      <c r="N437" s="39">
        <f>IF($B437="","",IF(SUMPRODUCT((LISTAS!$O$3:$O$42&lt;&gt;"")*ISNUMBER(SEARCH(LISTAS!$O$3:$O$42,$I437&amp;" "&amp;$K437)))&gt;0,"CERCANA","NACIONAL"))</f>
        <v/>
      </c>
      <c r="O437" s="39">
        <f>IF($B437="","",IF(COUNTIFS(NOVEDADES!$C$4:$C$2003,$B437)=0,"—","SÍ ("&amp;COUNTIFS(NOVEDADES!$C$4:$C$2003,$B437)&amp;")"))</f>
        <v/>
      </c>
    </row>
    <row r="438">
      <c r="A438" s="41" t="n"/>
      <c r="B438" s="41" t="n"/>
      <c r="C438" s="41" t="n"/>
      <c r="D438" s="41" t="n"/>
      <c r="E438" s="46" t="n"/>
      <c r="F438" s="41" t="n"/>
      <c r="G438" s="41" t="n"/>
      <c r="H438" s="41" t="n"/>
      <c r="I438" s="41" t="n"/>
      <c r="J438" s="47" t="n"/>
      <c r="K438" s="41" t="n"/>
      <c r="L438" s="48" t="n"/>
      <c r="M438" s="45" t="n"/>
      <c r="N438" s="39">
        <f>IF($B438="","",IF(SUMPRODUCT((LISTAS!$O$3:$O$42&lt;&gt;"")*ISNUMBER(SEARCH(LISTAS!$O$3:$O$42,$I438&amp;" "&amp;$K438)))&gt;0,"CERCANA","NACIONAL"))</f>
        <v/>
      </c>
      <c r="O438" s="39">
        <f>IF($B438="","",IF(COUNTIFS(NOVEDADES!$C$4:$C$2003,$B438)=0,"—","SÍ ("&amp;COUNTIFS(NOVEDADES!$C$4:$C$2003,$B438)&amp;")"))</f>
        <v/>
      </c>
    </row>
    <row r="439">
      <c r="A439" s="41" t="n"/>
      <c r="B439" s="41" t="n"/>
      <c r="C439" s="41" t="n"/>
      <c r="D439" s="41" t="n"/>
      <c r="E439" s="46" t="n"/>
      <c r="F439" s="41" t="n"/>
      <c r="G439" s="41" t="n"/>
      <c r="H439" s="41" t="n"/>
      <c r="I439" s="41" t="n"/>
      <c r="J439" s="47" t="n"/>
      <c r="K439" s="41" t="n"/>
      <c r="L439" s="48" t="n"/>
      <c r="M439" s="45" t="n"/>
      <c r="N439" s="39">
        <f>IF($B439="","",IF(SUMPRODUCT((LISTAS!$O$3:$O$42&lt;&gt;"")*ISNUMBER(SEARCH(LISTAS!$O$3:$O$42,$I439&amp;" "&amp;$K439)))&gt;0,"CERCANA","NACIONAL"))</f>
        <v/>
      </c>
      <c r="O439" s="39">
        <f>IF($B439="","",IF(COUNTIFS(NOVEDADES!$C$4:$C$2003,$B439)=0,"—","SÍ ("&amp;COUNTIFS(NOVEDADES!$C$4:$C$2003,$B439)&amp;")"))</f>
        <v/>
      </c>
    </row>
    <row r="440">
      <c r="A440" s="41" t="n"/>
      <c r="B440" s="41" t="n"/>
      <c r="C440" s="41" t="n"/>
      <c r="D440" s="41" t="n"/>
      <c r="E440" s="46" t="n"/>
      <c r="F440" s="41" t="n"/>
      <c r="G440" s="41" t="n"/>
      <c r="H440" s="41" t="n"/>
      <c r="I440" s="41" t="n"/>
      <c r="J440" s="47" t="n"/>
      <c r="K440" s="41" t="n"/>
      <c r="L440" s="48" t="n"/>
      <c r="M440" s="45" t="n"/>
      <c r="N440" s="39">
        <f>IF($B440="","",IF(SUMPRODUCT((LISTAS!$O$3:$O$42&lt;&gt;"")*ISNUMBER(SEARCH(LISTAS!$O$3:$O$42,$I440&amp;" "&amp;$K440)))&gt;0,"CERCANA","NACIONAL"))</f>
        <v/>
      </c>
      <c r="O440" s="39">
        <f>IF($B440="","",IF(COUNTIFS(NOVEDADES!$C$4:$C$2003,$B440)=0,"—","SÍ ("&amp;COUNTIFS(NOVEDADES!$C$4:$C$2003,$B440)&amp;")"))</f>
        <v/>
      </c>
    </row>
    <row r="441">
      <c r="A441" s="41" t="n"/>
      <c r="B441" s="41" t="n"/>
      <c r="C441" s="41" t="n"/>
      <c r="D441" s="41" t="n"/>
      <c r="E441" s="46" t="n"/>
      <c r="F441" s="41" t="n"/>
      <c r="G441" s="41" t="n"/>
      <c r="H441" s="41" t="n"/>
      <c r="I441" s="41" t="n"/>
      <c r="J441" s="47" t="n"/>
      <c r="K441" s="41" t="n"/>
      <c r="L441" s="48" t="n"/>
      <c r="M441" s="45" t="n"/>
      <c r="N441" s="39">
        <f>IF($B441="","",IF(SUMPRODUCT((LISTAS!$O$3:$O$42&lt;&gt;"")*ISNUMBER(SEARCH(LISTAS!$O$3:$O$42,$I441&amp;" "&amp;$K441)))&gt;0,"CERCANA","NACIONAL"))</f>
        <v/>
      </c>
      <c r="O441" s="39">
        <f>IF($B441="","",IF(COUNTIFS(NOVEDADES!$C$4:$C$2003,$B441)=0,"—","SÍ ("&amp;COUNTIFS(NOVEDADES!$C$4:$C$2003,$B441)&amp;")"))</f>
        <v/>
      </c>
    </row>
    <row r="442">
      <c r="A442" s="41" t="n"/>
      <c r="B442" s="41" t="n"/>
      <c r="C442" s="41" t="n"/>
      <c r="D442" s="41" t="n"/>
      <c r="E442" s="46" t="n"/>
      <c r="F442" s="41" t="n"/>
      <c r="G442" s="41" t="n"/>
      <c r="H442" s="41" t="n"/>
      <c r="I442" s="41" t="n"/>
      <c r="J442" s="47" t="n"/>
      <c r="K442" s="41" t="n"/>
      <c r="L442" s="48" t="n"/>
      <c r="M442" s="45" t="n"/>
      <c r="N442" s="39">
        <f>IF($B442="","",IF(SUMPRODUCT((LISTAS!$O$3:$O$42&lt;&gt;"")*ISNUMBER(SEARCH(LISTAS!$O$3:$O$42,$I442&amp;" "&amp;$K442)))&gt;0,"CERCANA","NACIONAL"))</f>
        <v/>
      </c>
      <c r="O442" s="39">
        <f>IF($B442="","",IF(COUNTIFS(NOVEDADES!$C$4:$C$2003,$B442)=0,"—","SÍ ("&amp;COUNTIFS(NOVEDADES!$C$4:$C$2003,$B442)&amp;")"))</f>
        <v/>
      </c>
    </row>
    <row r="443">
      <c r="A443" s="41" t="n"/>
      <c r="B443" s="41" t="n"/>
      <c r="C443" s="41" t="n"/>
      <c r="D443" s="41" t="n"/>
      <c r="E443" s="46" t="n"/>
      <c r="F443" s="41" t="n"/>
      <c r="G443" s="41" t="n"/>
      <c r="H443" s="41" t="n"/>
      <c r="I443" s="41" t="n"/>
      <c r="J443" s="47" t="n"/>
      <c r="K443" s="41" t="n"/>
      <c r="L443" s="48" t="n"/>
      <c r="M443" s="45" t="n"/>
      <c r="N443" s="39">
        <f>IF($B443="","",IF(SUMPRODUCT((LISTAS!$O$3:$O$42&lt;&gt;"")*ISNUMBER(SEARCH(LISTAS!$O$3:$O$42,$I443&amp;" "&amp;$K443)))&gt;0,"CERCANA","NACIONAL"))</f>
        <v/>
      </c>
      <c r="O443" s="39">
        <f>IF($B443="","",IF(COUNTIFS(NOVEDADES!$C$4:$C$2003,$B443)=0,"—","SÍ ("&amp;COUNTIFS(NOVEDADES!$C$4:$C$2003,$B443)&amp;")"))</f>
        <v/>
      </c>
    </row>
    <row r="444">
      <c r="A444" s="41" t="n"/>
      <c r="B444" s="41" t="n"/>
      <c r="C444" s="41" t="n"/>
      <c r="D444" s="41" t="n"/>
      <c r="E444" s="46" t="n"/>
      <c r="F444" s="41" t="n"/>
      <c r="G444" s="41" t="n"/>
      <c r="H444" s="41" t="n"/>
      <c r="I444" s="41" t="n"/>
      <c r="J444" s="47" t="n"/>
      <c r="K444" s="41" t="n"/>
      <c r="L444" s="48" t="n"/>
      <c r="M444" s="45" t="n"/>
      <c r="N444" s="39">
        <f>IF($B444="","",IF(SUMPRODUCT((LISTAS!$O$3:$O$42&lt;&gt;"")*ISNUMBER(SEARCH(LISTAS!$O$3:$O$42,$I444&amp;" "&amp;$K444)))&gt;0,"CERCANA","NACIONAL"))</f>
        <v/>
      </c>
      <c r="O444" s="39">
        <f>IF($B444="","",IF(COUNTIFS(NOVEDADES!$C$4:$C$2003,$B444)=0,"—","SÍ ("&amp;COUNTIFS(NOVEDADES!$C$4:$C$2003,$B444)&amp;")"))</f>
        <v/>
      </c>
    </row>
    <row r="445">
      <c r="A445" s="41" t="n"/>
      <c r="B445" s="41" t="n"/>
      <c r="C445" s="41" t="n"/>
      <c r="D445" s="41" t="n"/>
      <c r="E445" s="46" t="n"/>
      <c r="F445" s="41" t="n"/>
      <c r="G445" s="41" t="n"/>
      <c r="H445" s="41" t="n"/>
      <c r="I445" s="41" t="n"/>
      <c r="J445" s="47" t="n"/>
      <c r="K445" s="41" t="n"/>
      <c r="L445" s="48" t="n"/>
      <c r="M445" s="45" t="n"/>
      <c r="N445" s="39">
        <f>IF($B445="","",IF(SUMPRODUCT((LISTAS!$O$3:$O$42&lt;&gt;"")*ISNUMBER(SEARCH(LISTAS!$O$3:$O$42,$I445&amp;" "&amp;$K445)))&gt;0,"CERCANA","NACIONAL"))</f>
        <v/>
      </c>
      <c r="O445" s="39">
        <f>IF($B445="","",IF(COUNTIFS(NOVEDADES!$C$4:$C$2003,$B445)=0,"—","SÍ ("&amp;COUNTIFS(NOVEDADES!$C$4:$C$2003,$B445)&amp;")"))</f>
        <v/>
      </c>
    </row>
    <row r="446">
      <c r="A446" s="41" t="n"/>
      <c r="B446" s="41" t="n"/>
      <c r="C446" s="41" t="n"/>
      <c r="D446" s="41" t="n"/>
      <c r="E446" s="46" t="n"/>
      <c r="F446" s="41" t="n"/>
      <c r="G446" s="41" t="n"/>
      <c r="H446" s="41" t="n"/>
      <c r="I446" s="41" t="n"/>
      <c r="J446" s="47" t="n"/>
      <c r="K446" s="41" t="n"/>
      <c r="L446" s="48" t="n"/>
      <c r="M446" s="45" t="n"/>
      <c r="N446" s="39">
        <f>IF($B446="","",IF(SUMPRODUCT((LISTAS!$O$3:$O$42&lt;&gt;"")*ISNUMBER(SEARCH(LISTAS!$O$3:$O$42,$I446&amp;" "&amp;$K446)))&gt;0,"CERCANA","NACIONAL"))</f>
        <v/>
      </c>
      <c r="O446" s="39">
        <f>IF($B446="","",IF(COUNTIFS(NOVEDADES!$C$4:$C$2003,$B446)=0,"—","SÍ ("&amp;COUNTIFS(NOVEDADES!$C$4:$C$2003,$B446)&amp;")"))</f>
        <v/>
      </c>
    </row>
    <row r="447">
      <c r="A447" s="41" t="n"/>
      <c r="B447" s="41" t="n"/>
      <c r="C447" s="41" t="n"/>
      <c r="D447" s="41" t="n"/>
      <c r="E447" s="46" t="n"/>
      <c r="F447" s="41" t="n"/>
      <c r="G447" s="41" t="n"/>
      <c r="H447" s="41" t="n"/>
      <c r="I447" s="41" t="n"/>
      <c r="J447" s="47" t="n"/>
      <c r="K447" s="41" t="n"/>
      <c r="L447" s="48" t="n"/>
      <c r="M447" s="45" t="n"/>
      <c r="N447" s="39">
        <f>IF($B447="","",IF(SUMPRODUCT((LISTAS!$O$3:$O$42&lt;&gt;"")*ISNUMBER(SEARCH(LISTAS!$O$3:$O$42,$I447&amp;" "&amp;$K447)))&gt;0,"CERCANA","NACIONAL"))</f>
        <v/>
      </c>
      <c r="O447" s="39">
        <f>IF($B447="","",IF(COUNTIFS(NOVEDADES!$C$4:$C$2003,$B447)=0,"—","SÍ ("&amp;COUNTIFS(NOVEDADES!$C$4:$C$2003,$B447)&amp;")"))</f>
        <v/>
      </c>
    </row>
    <row r="448">
      <c r="A448" s="41" t="n"/>
      <c r="B448" s="41" t="n"/>
      <c r="C448" s="41" t="n"/>
      <c r="D448" s="41" t="n"/>
      <c r="E448" s="46" t="n"/>
      <c r="F448" s="41" t="n"/>
      <c r="G448" s="41" t="n"/>
      <c r="H448" s="41" t="n"/>
      <c r="I448" s="41" t="n"/>
      <c r="J448" s="47" t="n"/>
      <c r="K448" s="41" t="n"/>
      <c r="L448" s="48" t="n"/>
      <c r="M448" s="45" t="n"/>
      <c r="N448" s="39">
        <f>IF($B448="","",IF(SUMPRODUCT((LISTAS!$O$3:$O$42&lt;&gt;"")*ISNUMBER(SEARCH(LISTAS!$O$3:$O$42,$I448&amp;" "&amp;$K448)))&gt;0,"CERCANA","NACIONAL"))</f>
        <v/>
      </c>
      <c r="O448" s="39">
        <f>IF($B448="","",IF(COUNTIFS(NOVEDADES!$C$4:$C$2003,$B448)=0,"—","SÍ ("&amp;COUNTIFS(NOVEDADES!$C$4:$C$2003,$B448)&amp;")"))</f>
        <v/>
      </c>
    </row>
    <row r="449">
      <c r="A449" s="41" t="n"/>
      <c r="B449" s="41" t="n"/>
      <c r="C449" s="41" t="n"/>
      <c r="D449" s="41" t="n"/>
      <c r="E449" s="46" t="n"/>
      <c r="F449" s="41" t="n"/>
      <c r="G449" s="41" t="n"/>
      <c r="H449" s="41" t="n"/>
      <c r="I449" s="41" t="n"/>
      <c r="J449" s="47" t="n"/>
      <c r="K449" s="41" t="n"/>
      <c r="L449" s="48" t="n"/>
      <c r="M449" s="45" t="n"/>
      <c r="N449" s="39">
        <f>IF($B449="","",IF(SUMPRODUCT((LISTAS!$O$3:$O$42&lt;&gt;"")*ISNUMBER(SEARCH(LISTAS!$O$3:$O$42,$I449&amp;" "&amp;$K449)))&gt;0,"CERCANA","NACIONAL"))</f>
        <v/>
      </c>
      <c r="O449" s="39">
        <f>IF($B449="","",IF(COUNTIFS(NOVEDADES!$C$4:$C$2003,$B449)=0,"—","SÍ ("&amp;COUNTIFS(NOVEDADES!$C$4:$C$2003,$B449)&amp;")"))</f>
        <v/>
      </c>
    </row>
    <row r="450">
      <c r="A450" s="41" t="n"/>
      <c r="B450" s="41" t="n"/>
      <c r="C450" s="41" t="n"/>
      <c r="D450" s="41" t="n"/>
      <c r="E450" s="46" t="n"/>
      <c r="F450" s="41" t="n"/>
      <c r="G450" s="41" t="n"/>
      <c r="H450" s="41" t="n"/>
      <c r="I450" s="41" t="n"/>
      <c r="J450" s="47" t="n"/>
      <c r="K450" s="41" t="n"/>
      <c r="L450" s="48" t="n"/>
      <c r="M450" s="45" t="n"/>
      <c r="N450" s="39">
        <f>IF($B450="","",IF(SUMPRODUCT((LISTAS!$O$3:$O$42&lt;&gt;"")*ISNUMBER(SEARCH(LISTAS!$O$3:$O$42,$I450&amp;" "&amp;$K450)))&gt;0,"CERCANA","NACIONAL"))</f>
        <v/>
      </c>
      <c r="O450" s="39">
        <f>IF($B450="","",IF(COUNTIFS(NOVEDADES!$C$4:$C$2003,$B450)=0,"—","SÍ ("&amp;COUNTIFS(NOVEDADES!$C$4:$C$2003,$B450)&amp;")"))</f>
        <v/>
      </c>
    </row>
    <row r="451">
      <c r="A451" s="41" t="n"/>
      <c r="B451" s="41" t="n"/>
      <c r="C451" s="41" t="n"/>
      <c r="D451" s="41" t="n"/>
      <c r="E451" s="46" t="n"/>
      <c r="F451" s="41" t="n"/>
      <c r="G451" s="41" t="n"/>
      <c r="H451" s="41" t="n"/>
      <c r="I451" s="41" t="n"/>
      <c r="J451" s="47" t="n"/>
      <c r="K451" s="41" t="n"/>
      <c r="L451" s="48" t="n"/>
      <c r="M451" s="45" t="n"/>
      <c r="N451" s="39">
        <f>IF($B451="","",IF(SUMPRODUCT((LISTAS!$O$3:$O$42&lt;&gt;"")*ISNUMBER(SEARCH(LISTAS!$O$3:$O$42,$I451&amp;" "&amp;$K451)))&gt;0,"CERCANA","NACIONAL"))</f>
        <v/>
      </c>
      <c r="O451" s="39">
        <f>IF($B451="","",IF(COUNTIFS(NOVEDADES!$C$4:$C$2003,$B451)=0,"—","SÍ ("&amp;COUNTIFS(NOVEDADES!$C$4:$C$2003,$B451)&amp;")"))</f>
        <v/>
      </c>
    </row>
    <row r="452">
      <c r="A452" s="41" t="n"/>
      <c r="B452" s="41" t="n"/>
      <c r="C452" s="41" t="n"/>
      <c r="D452" s="41" t="n"/>
      <c r="E452" s="46" t="n"/>
      <c r="F452" s="41" t="n"/>
      <c r="G452" s="41" t="n"/>
      <c r="H452" s="41" t="n"/>
      <c r="I452" s="41" t="n"/>
      <c r="J452" s="47" t="n"/>
      <c r="K452" s="41" t="n"/>
      <c r="L452" s="48" t="n"/>
      <c r="M452" s="45" t="n"/>
      <c r="N452" s="39">
        <f>IF($B452="","",IF(SUMPRODUCT((LISTAS!$O$3:$O$42&lt;&gt;"")*ISNUMBER(SEARCH(LISTAS!$O$3:$O$42,$I452&amp;" "&amp;$K452)))&gt;0,"CERCANA","NACIONAL"))</f>
        <v/>
      </c>
      <c r="O452" s="39">
        <f>IF($B452="","",IF(COUNTIFS(NOVEDADES!$C$4:$C$2003,$B452)=0,"—","SÍ ("&amp;COUNTIFS(NOVEDADES!$C$4:$C$2003,$B452)&amp;")"))</f>
        <v/>
      </c>
    </row>
    <row r="453">
      <c r="A453" s="41" t="n"/>
      <c r="B453" s="41" t="n"/>
      <c r="C453" s="41" t="n"/>
      <c r="D453" s="41" t="n"/>
      <c r="E453" s="46" t="n"/>
      <c r="F453" s="41" t="n"/>
      <c r="G453" s="41" t="n"/>
      <c r="H453" s="41" t="n"/>
      <c r="I453" s="41" t="n"/>
      <c r="J453" s="47" t="n"/>
      <c r="K453" s="41" t="n"/>
      <c r="L453" s="48" t="n"/>
      <c r="M453" s="45" t="n"/>
      <c r="N453" s="39">
        <f>IF($B453="","",IF(SUMPRODUCT((LISTAS!$O$3:$O$42&lt;&gt;"")*ISNUMBER(SEARCH(LISTAS!$O$3:$O$42,$I453&amp;" "&amp;$K453)))&gt;0,"CERCANA","NACIONAL"))</f>
        <v/>
      </c>
      <c r="O453" s="39">
        <f>IF($B453="","",IF(COUNTIFS(NOVEDADES!$C$4:$C$2003,$B453)=0,"—","SÍ ("&amp;COUNTIFS(NOVEDADES!$C$4:$C$2003,$B453)&amp;")"))</f>
        <v/>
      </c>
    </row>
    <row r="454">
      <c r="A454" s="41" t="n"/>
      <c r="B454" s="41" t="n"/>
      <c r="C454" s="41" t="n"/>
      <c r="D454" s="41" t="n"/>
      <c r="E454" s="46" t="n"/>
      <c r="F454" s="41" t="n"/>
      <c r="G454" s="41" t="n"/>
      <c r="H454" s="41" t="n"/>
      <c r="I454" s="41" t="n"/>
      <c r="J454" s="47" t="n"/>
      <c r="K454" s="41" t="n"/>
      <c r="L454" s="48" t="n"/>
      <c r="M454" s="45" t="n"/>
      <c r="N454" s="39">
        <f>IF($B454="","",IF(SUMPRODUCT((LISTAS!$O$3:$O$42&lt;&gt;"")*ISNUMBER(SEARCH(LISTAS!$O$3:$O$42,$I454&amp;" "&amp;$K454)))&gt;0,"CERCANA","NACIONAL"))</f>
        <v/>
      </c>
      <c r="O454" s="39">
        <f>IF($B454="","",IF(COUNTIFS(NOVEDADES!$C$4:$C$2003,$B454)=0,"—","SÍ ("&amp;COUNTIFS(NOVEDADES!$C$4:$C$2003,$B454)&amp;")"))</f>
        <v/>
      </c>
    </row>
    <row r="455">
      <c r="A455" s="41" t="n"/>
      <c r="B455" s="41" t="n"/>
      <c r="C455" s="41" t="n"/>
      <c r="D455" s="41" t="n"/>
      <c r="E455" s="46" t="n"/>
      <c r="F455" s="41" t="n"/>
      <c r="G455" s="41" t="n"/>
      <c r="H455" s="41" t="n"/>
      <c r="I455" s="41" t="n"/>
      <c r="J455" s="47" t="n"/>
      <c r="K455" s="41" t="n"/>
      <c r="L455" s="48" t="n"/>
      <c r="M455" s="45" t="n"/>
      <c r="N455" s="39">
        <f>IF($B455="","",IF(SUMPRODUCT((LISTAS!$O$3:$O$42&lt;&gt;"")*ISNUMBER(SEARCH(LISTAS!$O$3:$O$42,$I455&amp;" "&amp;$K455)))&gt;0,"CERCANA","NACIONAL"))</f>
        <v/>
      </c>
      <c r="O455" s="39">
        <f>IF($B455="","",IF(COUNTIFS(NOVEDADES!$C$4:$C$2003,$B455)=0,"—","SÍ ("&amp;COUNTIFS(NOVEDADES!$C$4:$C$2003,$B455)&amp;")"))</f>
        <v/>
      </c>
    </row>
    <row r="456">
      <c r="A456" s="41" t="n"/>
      <c r="B456" s="41" t="n"/>
      <c r="C456" s="41" t="n"/>
      <c r="D456" s="41" t="n"/>
      <c r="E456" s="46" t="n"/>
      <c r="F456" s="41" t="n"/>
      <c r="G456" s="41" t="n"/>
      <c r="H456" s="41" t="n"/>
      <c r="I456" s="41" t="n"/>
      <c r="J456" s="47" t="n"/>
      <c r="K456" s="41" t="n"/>
      <c r="L456" s="48" t="n"/>
      <c r="M456" s="45" t="n"/>
      <c r="N456" s="39">
        <f>IF($B456="","",IF(SUMPRODUCT((LISTAS!$O$3:$O$42&lt;&gt;"")*ISNUMBER(SEARCH(LISTAS!$O$3:$O$42,$I456&amp;" "&amp;$K456)))&gt;0,"CERCANA","NACIONAL"))</f>
        <v/>
      </c>
      <c r="O456" s="39">
        <f>IF($B456="","",IF(COUNTIFS(NOVEDADES!$C$4:$C$2003,$B456)=0,"—","SÍ ("&amp;COUNTIFS(NOVEDADES!$C$4:$C$2003,$B456)&amp;")"))</f>
        <v/>
      </c>
    </row>
    <row r="457">
      <c r="A457" s="41" t="n"/>
      <c r="B457" s="41" t="n"/>
      <c r="C457" s="41" t="n"/>
      <c r="D457" s="41" t="n"/>
      <c r="E457" s="46" t="n"/>
      <c r="F457" s="41" t="n"/>
      <c r="G457" s="41" t="n"/>
      <c r="H457" s="41" t="n"/>
      <c r="I457" s="41" t="n"/>
      <c r="J457" s="47" t="n"/>
      <c r="K457" s="41" t="n"/>
      <c r="L457" s="48" t="n"/>
      <c r="M457" s="45" t="n"/>
      <c r="N457" s="39">
        <f>IF($B457="","",IF(SUMPRODUCT((LISTAS!$O$3:$O$42&lt;&gt;"")*ISNUMBER(SEARCH(LISTAS!$O$3:$O$42,$I457&amp;" "&amp;$K457)))&gt;0,"CERCANA","NACIONAL"))</f>
        <v/>
      </c>
      <c r="O457" s="39">
        <f>IF($B457="","",IF(COUNTIFS(NOVEDADES!$C$4:$C$2003,$B457)=0,"—","SÍ ("&amp;COUNTIFS(NOVEDADES!$C$4:$C$2003,$B457)&amp;")"))</f>
        <v/>
      </c>
    </row>
    <row r="458">
      <c r="A458" s="41" t="n"/>
      <c r="B458" s="41" t="n"/>
      <c r="C458" s="41" t="n"/>
      <c r="D458" s="41" t="n"/>
      <c r="E458" s="46" t="n"/>
      <c r="F458" s="41" t="n"/>
      <c r="G458" s="41" t="n"/>
      <c r="H458" s="41" t="n"/>
      <c r="I458" s="41" t="n"/>
      <c r="J458" s="47" t="n"/>
      <c r="K458" s="41" t="n"/>
      <c r="L458" s="48" t="n"/>
      <c r="M458" s="45" t="n"/>
      <c r="N458" s="39">
        <f>IF($B458="","",IF(SUMPRODUCT((LISTAS!$O$3:$O$42&lt;&gt;"")*ISNUMBER(SEARCH(LISTAS!$O$3:$O$42,$I458&amp;" "&amp;$K458)))&gt;0,"CERCANA","NACIONAL"))</f>
        <v/>
      </c>
      <c r="O458" s="39">
        <f>IF($B458="","",IF(COUNTIFS(NOVEDADES!$C$4:$C$2003,$B458)=0,"—","SÍ ("&amp;COUNTIFS(NOVEDADES!$C$4:$C$2003,$B458)&amp;")"))</f>
        <v/>
      </c>
    </row>
    <row r="459">
      <c r="A459" s="41" t="n"/>
      <c r="B459" s="41" t="n"/>
      <c r="C459" s="41" t="n"/>
      <c r="D459" s="41" t="n"/>
      <c r="E459" s="46" t="n"/>
      <c r="F459" s="41" t="n"/>
      <c r="G459" s="41" t="n"/>
      <c r="H459" s="41" t="n"/>
      <c r="I459" s="41" t="n"/>
      <c r="J459" s="47" t="n"/>
      <c r="K459" s="41" t="n"/>
      <c r="L459" s="48" t="n"/>
      <c r="M459" s="45" t="n"/>
      <c r="N459" s="39">
        <f>IF($B459="","",IF(SUMPRODUCT((LISTAS!$O$3:$O$42&lt;&gt;"")*ISNUMBER(SEARCH(LISTAS!$O$3:$O$42,$I459&amp;" "&amp;$K459)))&gt;0,"CERCANA","NACIONAL"))</f>
        <v/>
      </c>
      <c r="O459" s="39">
        <f>IF($B459="","",IF(COUNTIFS(NOVEDADES!$C$4:$C$2003,$B459)=0,"—","SÍ ("&amp;COUNTIFS(NOVEDADES!$C$4:$C$2003,$B459)&amp;")"))</f>
        <v/>
      </c>
    </row>
    <row r="460">
      <c r="A460" s="41" t="n"/>
      <c r="B460" s="41" t="n"/>
      <c r="C460" s="41" t="n"/>
      <c r="D460" s="41" t="n"/>
      <c r="E460" s="46" t="n"/>
      <c r="F460" s="41" t="n"/>
      <c r="G460" s="41" t="n"/>
      <c r="H460" s="41" t="n"/>
      <c r="I460" s="41" t="n"/>
      <c r="J460" s="47" t="n"/>
      <c r="K460" s="41" t="n"/>
      <c r="L460" s="48" t="n"/>
      <c r="M460" s="45" t="n"/>
      <c r="N460" s="39">
        <f>IF($B460="","",IF(SUMPRODUCT((LISTAS!$O$3:$O$42&lt;&gt;"")*ISNUMBER(SEARCH(LISTAS!$O$3:$O$42,$I460&amp;" "&amp;$K460)))&gt;0,"CERCANA","NACIONAL"))</f>
        <v/>
      </c>
      <c r="O460" s="39">
        <f>IF($B460="","",IF(COUNTIFS(NOVEDADES!$C$4:$C$2003,$B460)=0,"—","SÍ ("&amp;COUNTIFS(NOVEDADES!$C$4:$C$2003,$B460)&amp;")"))</f>
        <v/>
      </c>
    </row>
    <row r="461">
      <c r="A461" s="41" t="n"/>
      <c r="B461" s="41" t="n"/>
      <c r="C461" s="41" t="n"/>
      <c r="D461" s="41" t="n"/>
      <c r="E461" s="46" t="n"/>
      <c r="F461" s="41" t="n"/>
      <c r="G461" s="41" t="n"/>
      <c r="H461" s="41" t="n"/>
      <c r="I461" s="41" t="n"/>
      <c r="J461" s="47" t="n"/>
      <c r="K461" s="41" t="n"/>
      <c r="L461" s="48" t="n"/>
      <c r="M461" s="45" t="n"/>
      <c r="N461" s="39">
        <f>IF($B461="","",IF(SUMPRODUCT((LISTAS!$O$3:$O$42&lt;&gt;"")*ISNUMBER(SEARCH(LISTAS!$O$3:$O$42,$I461&amp;" "&amp;$K461)))&gt;0,"CERCANA","NACIONAL"))</f>
        <v/>
      </c>
      <c r="O461" s="39">
        <f>IF($B461="","",IF(COUNTIFS(NOVEDADES!$C$4:$C$2003,$B461)=0,"—","SÍ ("&amp;COUNTIFS(NOVEDADES!$C$4:$C$2003,$B461)&amp;")"))</f>
        <v/>
      </c>
    </row>
    <row r="462">
      <c r="A462" s="41" t="n"/>
      <c r="B462" s="41" t="n"/>
      <c r="C462" s="41" t="n"/>
      <c r="D462" s="41" t="n"/>
      <c r="E462" s="46" t="n"/>
      <c r="F462" s="41" t="n"/>
      <c r="G462" s="41" t="n"/>
      <c r="H462" s="41" t="n"/>
      <c r="I462" s="41" t="n"/>
      <c r="J462" s="47" t="n"/>
      <c r="K462" s="41" t="n"/>
      <c r="L462" s="48" t="n"/>
      <c r="M462" s="45" t="n"/>
      <c r="N462" s="39">
        <f>IF($B462="","",IF(SUMPRODUCT((LISTAS!$O$3:$O$42&lt;&gt;"")*ISNUMBER(SEARCH(LISTAS!$O$3:$O$42,$I462&amp;" "&amp;$K462)))&gt;0,"CERCANA","NACIONAL"))</f>
        <v/>
      </c>
      <c r="O462" s="39">
        <f>IF($B462="","",IF(COUNTIFS(NOVEDADES!$C$4:$C$2003,$B462)=0,"—","SÍ ("&amp;COUNTIFS(NOVEDADES!$C$4:$C$2003,$B462)&amp;")"))</f>
        <v/>
      </c>
    </row>
    <row r="463">
      <c r="A463" s="41" t="n"/>
      <c r="B463" s="41" t="n"/>
      <c r="C463" s="41" t="n"/>
      <c r="D463" s="41" t="n"/>
      <c r="E463" s="46" t="n"/>
      <c r="F463" s="41" t="n"/>
      <c r="G463" s="41" t="n"/>
      <c r="H463" s="41" t="n"/>
      <c r="I463" s="41" t="n"/>
      <c r="J463" s="47" t="n"/>
      <c r="K463" s="41" t="n"/>
      <c r="L463" s="48" t="n"/>
      <c r="M463" s="45" t="n"/>
      <c r="N463" s="39">
        <f>IF($B463="","",IF(SUMPRODUCT((LISTAS!$O$3:$O$42&lt;&gt;"")*ISNUMBER(SEARCH(LISTAS!$O$3:$O$42,$I463&amp;" "&amp;$K463)))&gt;0,"CERCANA","NACIONAL"))</f>
        <v/>
      </c>
      <c r="O463" s="39">
        <f>IF($B463="","",IF(COUNTIFS(NOVEDADES!$C$4:$C$2003,$B463)=0,"—","SÍ ("&amp;COUNTIFS(NOVEDADES!$C$4:$C$2003,$B463)&amp;")"))</f>
        <v/>
      </c>
    </row>
    <row r="464">
      <c r="A464" s="41" t="n"/>
      <c r="B464" s="41" t="n"/>
      <c r="C464" s="41" t="n"/>
      <c r="D464" s="41" t="n"/>
      <c r="E464" s="46" t="n"/>
      <c r="F464" s="41" t="n"/>
      <c r="G464" s="41" t="n"/>
      <c r="H464" s="41" t="n"/>
      <c r="I464" s="41" t="n"/>
      <c r="J464" s="47" t="n"/>
      <c r="K464" s="41" t="n"/>
      <c r="L464" s="48" t="n"/>
      <c r="M464" s="45" t="n"/>
      <c r="N464" s="39">
        <f>IF($B464="","",IF(SUMPRODUCT((LISTAS!$O$3:$O$42&lt;&gt;"")*ISNUMBER(SEARCH(LISTAS!$O$3:$O$42,$I464&amp;" "&amp;$K464)))&gt;0,"CERCANA","NACIONAL"))</f>
        <v/>
      </c>
      <c r="O464" s="39">
        <f>IF($B464="","",IF(COUNTIFS(NOVEDADES!$C$4:$C$2003,$B464)=0,"—","SÍ ("&amp;COUNTIFS(NOVEDADES!$C$4:$C$2003,$B464)&amp;")"))</f>
        <v/>
      </c>
    </row>
    <row r="465">
      <c r="A465" s="41" t="n"/>
      <c r="B465" s="41" t="n"/>
      <c r="C465" s="41" t="n"/>
      <c r="D465" s="41" t="n"/>
      <c r="E465" s="46" t="n"/>
      <c r="F465" s="41" t="n"/>
      <c r="G465" s="41" t="n"/>
      <c r="H465" s="41" t="n"/>
      <c r="I465" s="41" t="n"/>
      <c r="J465" s="47" t="n"/>
      <c r="K465" s="41" t="n"/>
      <c r="L465" s="48" t="n"/>
      <c r="M465" s="45" t="n"/>
      <c r="N465" s="39">
        <f>IF($B465="","",IF(SUMPRODUCT((LISTAS!$O$3:$O$42&lt;&gt;"")*ISNUMBER(SEARCH(LISTAS!$O$3:$O$42,$I465&amp;" "&amp;$K465)))&gt;0,"CERCANA","NACIONAL"))</f>
        <v/>
      </c>
      <c r="O465" s="39">
        <f>IF($B465="","",IF(COUNTIFS(NOVEDADES!$C$4:$C$2003,$B465)=0,"—","SÍ ("&amp;COUNTIFS(NOVEDADES!$C$4:$C$2003,$B465)&amp;")"))</f>
        <v/>
      </c>
    </row>
    <row r="466">
      <c r="A466" s="41" t="n"/>
      <c r="B466" s="41" t="n"/>
      <c r="C466" s="41" t="n"/>
      <c r="D466" s="41" t="n"/>
      <c r="E466" s="46" t="n"/>
      <c r="F466" s="41" t="n"/>
      <c r="G466" s="41" t="n"/>
      <c r="H466" s="41" t="n"/>
      <c r="I466" s="41" t="n"/>
      <c r="J466" s="47" t="n"/>
      <c r="K466" s="41" t="n"/>
      <c r="L466" s="48" t="n"/>
      <c r="M466" s="45" t="n"/>
      <c r="N466" s="39">
        <f>IF($B466="","",IF(SUMPRODUCT((LISTAS!$O$3:$O$42&lt;&gt;"")*ISNUMBER(SEARCH(LISTAS!$O$3:$O$42,$I466&amp;" "&amp;$K466)))&gt;0,"CERCANA","NACIONAL"))</f>
        <v/>
      </c>
      <c r="O466" s="39">
        <f>IF($B466="","",IF(COUNTIFS(NOVEDADES!$C$4:$C$2003,$B466)=0,"—","SÍ ("&amp;COUNTIFS(NOVEDADES!$C$4:$C$2003,$B466)&amp;")"))</f>
        <v/>
      </c>
    </row>
    <row r="467">
      <c r="A467" s="41" t="n"/>
      <c r="B467" s="41" t="n"/>
      <c r="C467" s="41" t="n"/>
      <c r="D467" s="41" t="n"/>
      <c r="E467" s="46" t="n"/>
      <c r="F467" s="41" t="n"/>
      <c r="G467" s="41" t="n"/>
      <c r="H467" s="41" t="n"/>
      <c r="I467" s="41" t="n"/>
      <c r="J467" s="47" t="n"/>
      <c r="K467" s="41" t="n"/>
      <c r="L467" s="48" t="n"/>
      <c r="M467" s="45" t="n"/>
      <c r="N467" s="39">
        <f>IF($B467="","",IF(SUMPRODUCT((LISTAS!$O$3:$O$42&lt;&gt;"")*ISNUMBER(SEARCH(LISTAS!$O$3:$O$42,$I467&amp;" "&amp;$K467)))&gt;0,"CERCANA","NACIONAL"))</f>
        <v/>
      </c>
      <c r="O467" s="39">
        <f>IF($B467="","",IF(COUNTIFS(NOVEDADES!$C$4:$C$2003,$B467)=0,"—","SÍ ("&amp;COUNTIFS(NOVEDADES!$C$4:$C$2003,$B467)&amp;")"))</f>
        <v/>
      </c>
    </row>
    <row r="468">
      <c r="A468" s="41" t="n"/>
      <c r="B468" s="41" t="n"/>
      <c r="C468" s="41" t="n"/>
      <c r="D468" s="41" t="n"/>
      <c r="E468" s="46" t="n"/>
      <c r="F468" s="41" t="n"/>
      <c r="G468" s="41" t="n"/>
      <c r="H468" s="41" t="n"/>
      <c r="I468" s="41" t="n"/>
      <c r="J468" s="47" t="n"/>
      <c r="K468" s="41" t="n"/>
      <c r="L468" s="48" t="n"/>
      <c r="M468" s="45" t="n"/>
      <c r="N468" s="39">
        <f>IF($B468="","",IF(SUMPRODUCT((LISTAS!$O$3:$O$42&lt;&gt;"")*ISNUMBER(SEARCH(LISTAS!$O$3:$O$42,$I468&amp;" "&amp;$K468)))&gt;0,"CERCANA","NACIONAL"))</f>
        <v/>
      </c>
      <c r="O468" s="39">
        <f>IF($B468="","",IF(COUNTIFS(NOVEDADES!$C$4:$C$2003,$B468)=0,"—","SÍ ("&amp;COUNTIFS(NOVEDADES!$C$4:$C$2003,$B468)&amp;")"))</f>
        <v/>
      </c>
    </row>
    <row r="469">
      <c r="A469" s="41" t="n"/>
      <c r="B469" s="41" t="n"/>
      <c r="C469" s="41" t="n"/>
      <c r="D469" s="41" t="n"/>
      <c r="E469" s="46" t="n"/>
      <c r="F469" s="41" t="n"/>
      <c r="G469" s="41" t="n"/>
      <c r="H469" s="41" t="n"/>
      <c r="I469" s="41" t="n"/>
      <c r="J469" s="47" t="n"/>
      <c r="K469" s="41" t="n"/>
      <c r="L469" s="48" t="n"/>
      <c r="M469" s="45" t="n"/>
      <c r="N469" s="39">
        <f>IF($B469="","",IF(SUMPRODUCT((LISTAS!$O$3:$O$42&lt;&gt;"")*ISNUMBER(SEARCH(LISTAS!$O$3:$O$42,$I469&amp;" "&amp;$K469)))&gt;0,"CERCANA","NACIONAL"))</f>
        <v/>
      </c>
      <c r="O469" s="39">
        <f>IF($B469="","",IF(COUNTIFS(NOVEDADES!$C$4:$C$2003,$B469)=0,"—","SÍ ("&amp;COUNTIFS(NOVEDADES!$C$4:$C$2003,$B469)&amp;")"))</f>
        <v/>
      </c>
    </row>
    <row r="470">
      <c r="A470" s="41" t="n"/>
      <c r="B470" s="41" t="n"/>
      <c r="C470" s="41" t="n"/>
      <c r="D470" s="41" t="n"/>
      <c r="E470" s="46" t="n"/>
      <c r="F470" s="41" t="n"/>
      <c r="G470" s="41" t="n"/>
      <c r="H470" s="41" t="n"/>
      <c r="I470" s="41" t="n"/>
      <c r="J470" s="47" t="n"/>
      <c r="K470" s="41" t="n"/>
      <c r="L470" s="48" t="n"/>
      <c r="M470" s="45" t="n"/>
      <c r="N470" s="39">
        <f>IF($B470="","",IF(SUMPRODUCT((LISTAS!$O$3:$O$42&lt;&gt;"")*ISNUMBER(SEARCH(LISTAS!$O$3:$O$42,$I470&amp;" "&amp;$K470)))&gt;0,"CERCANA","NACIONAL"))</f>
        <v/>
      </c>
      <c r="O470" s="39">
        <f>IF($B470="","",IF(COUNTIFS(NOVEDADES!$C$4:$C$2003,$B470)=0,"—","SÍ ("&amp;COUNTIFS(NOVEDADES!$C$4:$C$2003,$B470)&amp;")"))</f>
        <v/>
      </c>
    </row>
    <row r="471">
      <c r="A471" s="41" t="n"/>
      <c r="B471" s="41" t="n"/>
      <c r="C471" s="41" t="n"/>
      <c r="D471" s="41" t="n"/>
      <c r="E471" s="46" t="n"/>
      <c r="F471" s="41" t="n"/>
      <c r="G471" s="41" t="n"/>
      <c r="H471" s="41" t="n"/>
      <c r="I471" s="41" t="n"/>
      <c r="J471" s="47" t="n"/>
      <c r="K471" s="41" t="n"/>
      <c r="L471" s="48" t="n"/>
      <c r="M471" s="45" t="n"/>
      <c r="N471" s="39">
        <f>IF($B471="","",IF(SUMPRODUCT((LISTAS!$O$3:$O$42&lt;&gt;"")*ISNUMBER(SEARCH(LISTAS!$O$3:$O$42,$I471&amp;" "&amp;$K471)))&gt;0,"CERCANA","NACIONAL"))</f>
        <v/>
      </c>
      <c r="O471" s="39">
        <f>IF($B471="","",IF(COUNTIFS(NOVEDADES!$C$4:$C$2003,$B471)=0,"—","SÍ ("&amp;COUNTIFS(NOVEDADES!$C$4:$C$2003,$B471)&amp;")"))</f>
        <v/>
      </c>
    </row>
    <row r="472">
      <c r="A472" s="41" t="n"/>
      <c r="B472" s="41" t="n"/>
      <c r="C472" s="41" t="n"/>
      <c r="D472" s="41" t="n"/>
      <c r="E472" s="46" t="n"/>
      <c r="F472" s="41" t="n"/>
      <c r="G472" s="41" t="n"/>
      <c r="H472" s="41" t="n"/>
      <c r="I472" s="41" t="n"/>
      <c r="J472" s="47" t="n"/>
      <c r="K472" s="41" t="n"/>
      <c r="L472" s="48" t="n"/>
      <c r="M472" s="45" t="n"/>
      <c r="N472" s="39">
        <f>IF($B472="","",IF(SUMPRODUCT((LISTAS!$O$3:$O$42&lt;&gt;"")*ISNUMBER(SEARCH(LISTAS!$O$3:$O$42,$I472&amp;" "&amp;$K472)))&gt;0,"CERCANA","NACIONAL"))</f>
        <v/>
      </c>
      <c r="O472" s="39">
        <f>IF($B472="","",IF(COUNTIFS(NOVEDADES!$C$4:$C$2003,$B472)=0,"—","SÍ ("&amp;COUNTIFS(NOVEDADES!$C$4:$C$2003,$B472)&amp;")"))</f>
        <v/>
      </c>
    </row>
    <row r="473">
      <c r="A473" s="41" t="n"/>
      <c r="B473" s="41" t="n"/>
      <c r="C473" s="41" t="n"/>
      <c r="D473" s="41" t="n"/>
      <c r="E473" s="46" t="n"/>
      <c r="F473" s="41" t="n"/>
      <c r="G473" s="41" t="n"/>
      <c r="H473" s="41" t="n"/>
      <c r="I473" s="41" t="n"/>
      <c r="J473" s="47" t="n"/>
      <c r="K473" s="41" t="n"/>
      <c r="L473" s="48" t="n"/>
      <c r="M473" s="45" t="n"/>
      <c r="N473" s="39">
        <f>IF($B473="","",IF(SUMPRODUCT((LISTAS!$O$3:$O$42&lt;&gt;"")*ISNUMBER(SEARCH(LISTAS!$O$3:$O$42,$I473&amp;" "&amp;$K473)))&gt;0,"CERCANA","NACIONAL"))</f>
        <v/>
      </c>
      <c r="O473" s="39">
        <f>IF($B473="","",IF(COUNTIFS(NOVEDADES!$C$4:$C$2003,$B473)=0,"—","SÍ ("&amp;COUNTIFS(NOVEDADES!$C$4:$C$2003,$B473)&amp;")"))</f>
        <v/>
      </c>
    </row>
    <row r="474">
      <c r="A474" s="41" t="n"/>
      <c r="B474" s="41" t="n"/>
      <c r="C474" s="41" t="n"/>
      <c r="D474" s="41" t="n"/>
      <c r="E474" s="46" t="n"/>
      <c r="F474" s="41" t="n"/>
      <c r="G474" s="41" t="n"/>
      <c r="H474" s="41" t="n"/>
      <c r="I474" s="41" t="n"/>
      <c r="J474" s="47" t="n"/>
      <c r="K474" s="41" t="n"/>
      <c r="L474" s="48" t="n"/>
      <c r="M474" s="45" t="n"/>
      <c r="N474" s="39">
        <f>IF($B474="","",IF(SUMPRODUCT((LISTAS!$O$3:$O$42&lt;&gt;"")*ISNUMBER(SEARCH(LISTAS!$O$3:$O$42,$I474&amp;" "&amp;$K474)))&gt;0,"CERCANA","NACIONAL"))</f>
        <v/>
      </c>
      <c r="O474" s="39">
        <f>IF($B474="","",IF(COUNTIFS(NOVEDADES!$C$4:$C$2003,$B474)=0,"—","SÍ ("&amp;COUNTIFS(NOVEDADES!$C$4:$C$2003,$B474)&amp;")"))</f>
        <v/>
      </c>
    </row>
    <row r="475">
      <c r="A475" s="41" t="n"/>
      <c r="B475" s="41" t="n"/>
      <c r="C475" s="41" t="n"/>
      <c r="D475" s="41" t="n"/>
      <c r="E475" s="46" t="n"/>
      <c r="F475" s="41" t="n"/>
      <c r="G475" s="41" t="n"/>
      <c r="H475" s="41" t="n"/>
      <c r="I475" s="41" t="n"/>
      <c r="J475" s="47" t="n"/>
      <c r="K475" s="41" t="n"/>
      <c r="L475" s="48" t="n"/>
      <c r="M475" s="45" t="n"/>
      <c r="N475" s="39">
        <f>IF($B475="","",IF(SUMPRODUCT((LISTAS!$O$3:$O$42&lt;&gt;"")*ISNUMBER(SEARCH(LISTAS!$O$3:$O$42,$I475&amp;" "&amp;$K475)))&gt;0,"CERCANA","NACIONAL"))</f>
        <v/>
      </c>
      <c r="O475" s="39">
        <f>IF($B475="","",IF(COUNTIFS(NOVEDADES!$C$4:$C$2003,$B475)=0,"—","SÍ ("&amp;COUNTIFS(NOVEDADES!$C$4:$C$2003,$B475)&amp;")"))</f>
        <v/>
      </c>
    </row>
    <row r="476">
      <c r="A476" s="41" t="n"/>
      <c r="B476" s="41" t="n"/>
      <c r="C476" s="41" t="n"/>
      <c r="D476" s="41" t="n"/>
      <c r="E476" s="46" t="n"/>
      <c r="F476" s="41" t="n"/>
      <c r="G476" s="41" t="n"/>
      <c r="H476" s="41" t="n"/>
      <c r="I476" s="41" t="n"/>
      <c r="J476" s="47" t="n"/>
      <c r="K476" s="41" t="n"/>
      <c r="L476" s="48" t="n"/>
      <c r="M476" s="45" t="n"/>
      <c r="N476" s="39">
        <f>IF($B476="","",IF(SUMPRODUCT((LISTAS!$O$3:$O$42&lt;&gt;"")*ISNUMBER(SEARCH(LISTAS!$O$3:$O$42,$I476&amp;" "&amp;$K476)))&gt;0,"CERCANA","NACIONAL"))</f>
        <v/>
      </c>
      <c r="O476" s="39">
        <f>IF($B476="","",IF(COUNTIFS(NOVEDADES!$C$4:$C$2003,$B476)=0,"—","SÍ ("&amp;COUNTIFS(NOVEDADES!$C$4:$C$2003,$B476)&amp;")"))</f>
        <v/>
      </c>
    </row>
    <row r="477">
      <c r="A477" s="41" t="n"/>
      <c r="B477" s="41" t="n"/>
      <c r="C477" s="41" t="n"/>
      <c r="D477" s="41" t="n"/>
      <c r="E477" s="46" t="n"/>
      <c r="F477" s="41" t="n"/>
      <c r="G477" s="41" t="n"/>
      <c r="H477" s="41" t="n"/>
      <c r="I477" s="41" t="n"/>
      <c r="J477" s="47" t="n"/>
      <c r="K477" s="41" t="n"/>
      <c r="L477" s="48" t="n"/>
      <c r="M477" s="45" t="n"/>
      <c r="N477" s="39">
        <f>IF($B477="","",IF(SUMPRODUCT((LISTAS!$O$3:$O$42&lt;&gt;"")*ISNUMBER(SEARCH(LISTAS!$O$3:$O$42,$I477&amp;" "&amp;$K477)))&gt;0,"CERCANA","NACIONAL"))</f>
        <v/>
      </c>
      <c r="O477" s="39">
        <f>IF($B477="","",IF(COUNTIFS(NOVEDADES!$C$4:$C$2003,$B477)=0,"—","SÍ ("&amp;COUNTIFS(NOVEDADES!$C$4:$C$2003,$B477)&amp;")"))</f>
        <v/>
      </c>
    </row>
    <row r="478">
      <c r="A478" s="41" t="n"/>
      <c r="B478" s="41" t="n"/>
      <c r="C478" s="41" t="n"/>
      <c r="D478" s="41" t="n"/>
      <c r="E478" s="46" t="n"/>
      <c r="F478" s="41" t="n"/>
      <c r="G478" s="41" t="n"/>
      <c r="H478" s="41" t="n"/>
      <c r="I478" s="41" t="n"/>
      <c r="J478" s="47" t="n"/>
      <c r="K478" s="41" t="n"/>
      <c r="L478" s="48" t="n"/>
      <c r="M478" s="45" t="n"/>
      <c r="N478" s="39">
        <f>IF($B478="","",IF(SUMPRODUCT((LISTAS!$O$3:$O$42&lt;&gt;"")*ISNUMBER(SEARCH(LISTAS!$O$3:$O$42,$I478&amp;" "&amp;$K478)))&gt;0,"CERCANA","NACIONAL"))</f>
        <v/>
      </c>
      <c r="O478" s="39">
        <f>IF($B478="","",IF(COUNTIFS(NOVEDADES!$C$4:$C$2003,$B478)=0,"—","SÍ ("&amp;COUNTIFS(NOVEDADES!$C$4:$C$2003,$B478)&amp;")"))</f>
        <v/>
      </c>
    </row>
    <row r="479">
      <c r="A479" s="41" t="n"/>
      <c r="B479" s="41" t="n"/>
      <c r="C479" s="41" t="n"/>
      <c r="D479" s="41" t="n"/>
      <c r="E479" s="46" t="n"/>
      <c r="F479" s="41" t="n"/>
      <c r="G479" s="41" t="n"/>
      <c r="H479" s="41" t="n"/>
      <c r="I479" s="41" t="n"/>
      <c r="J479" s="47" t="n"/>
      <c r="K479" s="41" t="n"/>
      <c r="L479" s="48" t="n"/>
      <c r="M479" s="45" t="n"/>
      <c r="N479" s="39">
        <f>IF($B479="","",IF(SUMPRODUCT((LISTAS!$O$3:$O$42&lt;&gt;"")*ISNUMBER(SEARCH(LISTAS!$O$3:$O$42,$I479&amp;" "&amp;$K479)))&gt;0,"CERCANA","NACIONAL"))</f>
        <v/>
      </c>
      <c r="O479" s="39">
        <f>IF($B479="","",IF(COUNTIFS(NOVEDADES!$C$4:$C$2003,$B479)=0,"—","SÍ ("&amp;COUNTIFS(NOVEDADES!$C$4:$C$2003,$B479)&amp;")"))</f>
        <v/>
      </c>
    </row>
    <row r="480">
      <c r="A480" s="41" t="n"/>
      <c r="B480" s="41" t="n"/>
      <c r="C480" s="41" t="n"/>
      <c r="D480" s="41" t="n"/>
      <c r="E480" s="46" t="n"/>
      <c r="F480" s="41" t="n"/>
      <c r="G480" s="41" t="n"/>
      <c r="H480" s="41" t="n"/>
      <c r="I480" s="41" t="n"/>
      <c r="J480" s="47" t="n"/>
      <c r="K480" s="41" t="n"/>
      <c r="L480" s="48" t="n"/>
      <c r="M480" s="45" t="n"/>
      <c r="N480" s="39">
        <f>IF($B480="","",IF(SUMPRODUCT((LISTAS!$O$3:$O$42&lt;&gt;"")*ISNUMBER(SEARCH(LISTAS!$O$3:$O$42,$I480&amp;" "&amp;$K480)))&gt;0,"CERCANA","NACIONAL"))</f>
        <v/>
      </c>
      <c r="O480" s="39">
        <f>IF($B480="","",IF(COUNTIFS(NOVEDADES!$C$4:$C$2003,$B480)=0,"—","SÍ ("&amp;COUNTIFS(NOVEDADES!$C$4:$C$2003,$B480)&amp;")"))</f>
        <v/>
      </c>
    </row>
    <row r="481">
      <c r="A481" s="41" t="n"/>
      <c r="B481" s="41" t="n"/>
      <c r="C481" s="41" t="n"/>
      <c r="D481" s="41" t="n"/>
      <c r="E481" s="46" t="n"/>
      <c r="F481" s="41" t="n"/>
      <c r="G481" s="41" t="n"/>
      <c r="H481" s="41" t="n"/>
      <c r="I481" s="41" t="n"/>
      <c r="J481" s="47" t="n"/>
      <c r="K481" s="41" t="n"/>
      <c r="L481" s="48" t="n"/>
      <c r="M481" s="45" t="n"/>
      <c r="N481" s="39">
        <f>IF($B481="","",IF(SUMPRODUCT((LISTAS!$O$3:$O$42&lt;&gt;"")*ISNUMBER(SEARCH(LISTAS!$O$3:$O$42,$I481&amp;" "&amp;$K481)))&gt;0,"CERCANA","NACIONAL"))</f>
        <v/>
      </c>
      <c r="O481" s="39">
        <f>IF($B481="","",IF(COUNTIFS(NOVEDADES!$C$4:$C$2003,$B481)=0,"—","SÍ ("&amp;COUNTIFS(NOVEDADES!$C$4:$C$2003,$B481)&amp;")"))</f>
        <v/>
      </c>
    </row>
    <row r="482">
      <c r="A482" s="41" t="n"/>
      <c r="B482" s="41" t="n"/>
      <c r="C482" s="41" t="n"/>
      <c r="D482" s="41" t="n"/>
      <c r="E482" s="46" t="n"/>
      <c r="F482" s="41" t="n"/>
      <c r="G482" s="41" t="n"/>
      <c r="H482" s="41" t="n"/>
      <c r="I482" s="41" t="n"/>
      <c r="J482" s="47" t="n"/>
      <c r="K482" s="41" t="n"/>
      <c r="L482" s="48" t="n"/>
      <c r="M482" s="45" t="n"/>
      <c r="N482" s="39">
        <f>IF($B482="","",IF(SUMPRODUCT((LISTAS!$O$3:$O$42&lt;&gt;"")*ISNUMBER(SEARCH(LISTAS!$O$3:$O$42,$I482&amp;" "&amp;$K482)))&gt;0,"CERCANA","NACIONAL"))</f>
        <v/>
      </c>
      <c r="O482" s="39">
        <f>IF($B482="","",IF(COUNTIFS(NOVEDADES!$C$4:$C$2003,$B482)=0,"—","SÍ ("&amp;COUNTIFS(NOVEDADES!$C$4:$C$2003,$B482)&amp;")"))</f>
        <v/>
      </c>
    </row>
    <row r="483">
      <c r="A483" s="41" t="n"/>
      <c r="B483" s="41" t="n"/>
      <c r="C483" s="41" t="n"/>
      <c r="D483" s="41" t="n"/>
      <c r="E483" s="46" t="n"/>
      <c r="F483" s="41" t="n"/>
      <c r="G483" s="41" t="n"/>
      <c r="H483" s="41" t="n"/>
      <c r="I483" s="41" t="n"/>
      <c r="J483" s="47" t="n"/>
      <c r="K483" s="41" t="n"/>
      <c r="L483" s="48" t="n"/>
      <c r="M483" s="45" t="n"/>
      <c r="N483" s="39">
        <f>IF($B483="","",IF(SUMPRODUCT((LISTAS!$O$3:$O$42&lt;&gt;"")*ISNUMBER(SEARCH(LISTAS!$O$3:$O$42,$I483&amp;" "&amp;$K483)))&gt;0,"CERCANA","NACIONAL"))</f>
        <v/>
      </c>
      <c r="O483" s="39">
        <f>IF($B483="","",IF(COUNTIFS(NOVEDADES!$C$4:$C$2003,$B483)=0,"—","SÍ ("&amp;COUNTIFS(NOVEDADES!$C$4:$C$2003,$B483)&amp;")"))</f>
        <v/>
      </c>
    </row>
    <row r="484">
      <c r="A484" s="41" t="n"/>
      <c r="B484" s="41" t="n"/>
      <c r="C484" s="41" t="n"/>
      <c r="D484" s="41" t="n"/>
      <c r="E484" s="46" t="n"/>
      <c r="F484" s="41" t="n"/>
      <c r="G484" s="41" t="n"/>
      <c r="H484" s="41" t="n"/>
      <c r="I484" s="41" t="n"/>
      <c r="J484" s="47" t="n"/>
      <c r="K484" s="41" t="n"/>
      <c r="L484" s="48" t="n"/>
      <c r="M484" s="45" t="n"/>
      <c r="N484" s="39">
        <f>IF($B484="","",IF(SUMPRODUCT((LISTAS!$O$3:$O$42&lt;&gt;"")*ISNUMBER(SEARCH(LISTAS!$O$3:$O$42,$I484&amp;" "&amp;$K484)))&gt;0,"CERCANA","NACIONAL"))</f>
        <v/>
      </c>
      <c r="O484" s="39">
        <f>IF($B484="","",IF(COUNTIFS(NOVEDADES!$C$4:$C$2003,$B484)=0,"—","SÍ ("&amp;COUNTIFS(NOVEDADES!$C$4:$C$2003,$B484)&amp;")"))</f>
        <v/>
      </c>
    </row>
    <row r="485">
      <c r="A485" s="41" t="n"/>
      <c r="B485" s="41" t="n"/>
      <c r="C485" s="41" t="n"/>
      <c r="D485" s="41" t="n"/>
      <c r="E485" s="46" t="n"/>
      <c r="F485" s="41" t="n"/>
      <c r="G485" s="41" t="n"/>
      <c r="H485" s="41" t="n"/>
      <c r="I485" s="41" t="n"/>
      <c r="J485" s="47" t="n"/>
      <c r="K485" s="41" t="n"/>
      <c r="L485" s="48" t="n"/>
      <c r="M485" s="45" t="n"/>
      <c r="N485" s="39">
        <f>IF($B485="","",IF(SUMPRODUCT((LISTAS!$O$3:$O$42&lt;&gt;"")*ISNUMBER(SEARCH(LISTAS!$O$3:$O$42,$I485&amp;" "&amp;$K485)))&gt;0,"CERCANA","NACIONAL"))</f>
        <v/>
      </c>
      <c r="O485" s="39">
        <f>IF($B485="","",IF(COUNTIFS(NOVEDADES!$C$4:$C$2003,$B485)=0,"—","SÍ ("&amp;COUNTIFS(NOVEDADES!$C$4:$C$2003,$B485)&amp;")"))</f>
        <v/>
      </c>
    </row>
    <row r="486">
      <c r="A486" s="41" t="n"/>
      <c r="B486" s="41" t="n"/>
      <c r="C486" s="41" t="n"/>
      <c r="D486" s="41" t="n"/>
      <c r="E486" s="46" t="n"/>
      <c r="F486" s="41" t="n"/>
      <c r="G486" s="41" t="n"/>
      <c r="H486" s="41" t="n"/>
      <c r="I486" s="41" t="n"/>
      <c r="J486" s="47" t="n"/>
      <c r="K486" s="41" t="n"/>
      <c r="L486" s="48" t="n"/>
      <c r="M486" s="45" t="n"/>
      <c r="N486" s="39">
        <f>IF($B486="","",IF(SUMPRODUCT((LISTAS!$O$3:$O$42&lt;&gt;"")*ISNUMBER(SEARCH(LISTAS!$O$3:$O$42,$I486&amp;" "&amp;$K486)))&gt;0,"CERCANA","NACIONAL"))</f>
        <v/>
      </c>
      <c r="O486" s="39">
        <f>IF($B486="","",IF(COUNTIFS(NOVEDADES!$C$4:$C$2003,$B486)=0,"—","SÍ ("&amp;COUNTIFS(NOVEDADES!$C$4:$C$2003,$B486)&amp;")"))</f>
        <v/>
      </c>
    </row>
    <row r="487">
      <c r="A487" s="41" t="n"/>
      <c r="B487" s="41" t="n"/>
      <c r="C487" s="41" t="n"/>
      <c r="D487" s="41" t="n"/>
      <c r="E487" s="46" t="n"/>
      <c r="F487" s="41" t="n"/>
      <c r="G487" s="41" t="n"/>
      <c r="H487" s="41" t="n"/>
      <c r="I487" s="41" t="n"/>
      <c r="J487" s="47" t="n"/>
      <c r="K487" s="41" t="n"/>
      <c r="L487" s="48" t="n"/>
      <c r="M487" s="45" t="n"/>
      <c r="N487" s="39">
        <f>IF($B487="","",IF(SUMPRODUCT((LISTAS!$O$3:$O$42&lt;&gt;"")*ISNUMBER(SEARCH(LISTAS!$O$3:$O$42,$I487&amp;" "&amp;$K487)))&gt;0,"CERCANA","NACIONAL"))</f>
        <v/>
      </c>
      <c r="O487" s="39">
        <f>IF($B487="","",IF(COUNTIFS(NOVEDADES!$C$4:$C$2003,$B487)=0,"—","SÍ ("&amp;COUNTIFS(NOVEDADES!$C$4:$C$2003,$B487)&amp;")"))</f>
        <v/>
      </c>
    </row>
    <row r="488">
      <c r="A488" s="41" t="n"/>
      <c r="B488" s="41" t="n"/>
      <c r="C488" s="41" t="n"/>
      <c r="D488" s="41" t="n"/>
      <c r="E488" s="46" t="n"/>
      <c r="F488" s="41" t="n"/>
      <c r="G488" s="41" t="n"/>
      <c r="H488" s="41" t="n"/>
      <c r="I488" s="41" t="n"/>
      <c r="J488" s="47" t="n"/>
      <c r="K488" s="41" t="n"/>
      <c r="L488" s="48" t="n"/>
      <c r="M488" s="45" t="n"/>
      <c r="N488" s="39">
        <f>IF($B488="","",IF(SUMPRODUCT((LISTAS!$O$3:$O$42&lt;&gt;"")*ISNUMBER(SEARCH(LISTAS!$O$3:$O$42,$I488&amp;" "&amp;$K488)))&gt;0,"CERCANA","NACIONAL"))</f>
        <v/>
      </c>
      <c r="O488" s="39">
        <f>IF($B488="","",IF(COUNTIFS(NOVEDADES!$C$4:$C$2003,$B488)=0,"—","SÍ ("&amp;COUNTIFS(NOVEDADES!$C$4:$C$2003,$B488)&amp;")"))</f>
        <v/>
      </c>
    </row>
    <row r="489">
      <c r="A489" s="41" t="n"/>
      <c r="B489" s="41" t="n"/>
      <c r="C489" s="41" t="n"/>
      <c r="D489" s="41" t="n"/>
      <c r="E489" s="46" t="n"/>
      <c r="F489" s="41" t="n"/>
      <c r="G489" s="41" t="n"/>
      <c r="H489" s="41" t="n"/>
      <c r="I489" s="41" t="n"/>
      <c r="J489" s="47" t="n"/>
      <c r="K489" s="41" t="n"/>
      <c r="L489" s="48" t="n"/>
      <c r="M489" s="45" t="n"/>
      <c r="N489" s="39">
        <f>IF($B489="","",IF(SUMPRODUCT((LISTAS!$O$3:$O$42&lt;&gt;"")*ISNUMBER(SEARCH(LISTAS!$O$3:$O$42,$I489&amp;" "&amp;$K489)))&gt;0,"CERCANA","NACIONAL"))</f>
        <v/>
      </c>
      <c r="O489" s="39">
        <f>IF($B489="","",IF(COUNTIFS(NOVEDADES!$C$4:$C$2003,$B489)=0,"—","SÍ ("&amp;COUNTIFS(NOVEDADES!$C$4:$C$2003,$B489)&amp;")"))</f>
        <v/>
      </c>
    </row>
    <row r="490">
      <c r="A490" s="41" t="n"/>
      <c r="B490" s="41" t="n"/>
      <c r="C490" s="41" t="n"/>
      <c r="D490" s="41" t="n"/>
      <c r="E490" s="46" t="n"/>
      <c r="F490" s="41" t="n"/>
      <c r="G490" s="41" t="n"/>
      <c r="H490" s="41" t="n"/>
      <c r="I490" s="41" t="n"/>
      <c r="J490" s="47" t="n"/>
      <c r="K490" s="41" t="n"/>
      <c r="L490" s="48" t="n"/>
      <c r="M490" s="45" t="n"/>
      <c r="N490" s="39">
        <f>IF($B490="","",IF(SUMPRODUCT((LISTAS!$O$3:$O$42&lt;&gt;"")*ISNUMBER(SEARCH(LISTAS!$O$3:$O$42,$I490&amp;" "&amp;$K490)))&gt;0,"CERCANA","NACIONAL"))</f>
        <v/>
      </c>
      <c r="O490" s="39">
        <f>IF($B490="","",IF(COUNTIFS(NOVEDADES!$C$4:$C$2003,$B490)=0,"—","SÍ ("&amp;COUNTIFS(NOVEDADES!$C$4:$C$2003,$B490)&amp;")"))</f>
        <v/>
      </c>
    </row>
    <row r="491">
      <c r="A491" s="41" t="n"/>
      <c r="B491" s="41" t="n"/>
      <c r="C491" s="41" t="n"/>
      <c r="D491" s="41" t="n"/>
      <c r="E491" s="46" t="n"/>
      <c r="F491" s="41" t="n"/>
      <c r="G491" s="41" t="n"/>
      <c r="H491" s="41" t="n"/>
      <c r="I491" s="41" t="n"/>
      <c r="J491" s="47" t="n"/>
      <c r="K491" s="41" t="n"/>
      <c r="L491" s="48" t="n"/>
      <c r="M491" s="45" t="n"/>
      <c r="N491" s="39">
        <f>IF($B491="","",IF(SUMPRODUCT((LISTAS!$O$3:$O$42&lt;&gt;"")*ISNUMBER(SEARCH(LISTAS!$O$3:$O$42,$I491&amp;" "&amp;$K491)))&gt;0,"CERCANA","NACIONAL"))</f>
        <v/>
      </c>
      <c r="O491" s="39">
        <f>IF($B491="","",IF(COUNTIFS(NOVEDADES!$C$4:$C$2003,$B491)=0,"—","SÍ ("&amp;COUNTIFS(NOVEDADES!$C$4:$C$2003,$B491)&amp;")"))</f>
        <v/>
      </c>
    </row>
    <row r="492">
      <c r="A492" s="41" t="n"/>
      <c r="B492" s="41" t="n"/>
      <c r="C492" s="41" t="n"/>
      <c r="D492" s="41" t="n"/>
      <c r="E492" s="46" t="n"/>
      <c r="F492" s="41" t="n"/>
      <c r="G492" s="41" t="n"/>
      <c r="H492" s="41" t="n"/>
      <c r="I492" s="41" t="n"/>
      <c r="J492" s="47" t="n"/>
      <c r="K492" s="41" t="n"/>
      <c r="L492" s="48" t="n"/>
      <c r="M492" s="45" t="n"/>
      <c r="N492" s="39">
        <f>IF($B492="","",IF(SUMPRODUCT((LISTAS!$O$3:$O$42&lt;&gt;"")*ISNUMBER(SEARCH(LISTAS!$O$3:$O$42,$I492&amp;" "&amp;$K492)))&gt;0,"CERCANA","NACIONAL"))</f>
        <v/>
      </c>
      <c r="O492" s="39">
        <f>IF($B492="","",IF(COUNTIFS(NOVEDADES!$C$4:$C$2003,$B492)=0,"—","SÍ ("&amp;COUNTIFS(NOVEDADES!$C$4:$C$2003,$B492)&amp;")"))</f>
        <v/>
      </c>
    </row>
    <row r="493">
      <c r="A493" s="41" t="n"/>
      <c r="B493" s="41" t="n"/>
      <c r="C493" s="41" t="n"/>
      <c r="D493" s="41" t="n"/>
      <c r="E493" s="46" t="n"/>
      <c r="F493" s="41" t="n"/>
      <c r="G493" s="41" t="n"/>
      <c r="H493" s="41" t="n"/>
      <c r="I493" s="41" t="n"/>
      <c r="J493" s="47" t="n"/>
      <c r="K493" s="41" t="n"/>
      <c r="L493" s="48" t="n"/>
      <c r="M493" s="45" t="n"/>
      <c r="N493" s="39">
        <f>IF($B493="","",IF(SUMPRODUCT((LISTAS!$O$3:$O$42&lt;&gt;"")*ISNUMBER(SEARCH(LISTAS!$O$3:$O$42,$I493&amp;" "&amp;$K493)))&gt;0,"CERCANA","NACIONAL"))</f>
        <v/>
      </c>
      <c r="O493" s="39">
        <f>IF($B493="","",IF(COUNTIFS(NOVEDADES!$C$4:$C$2003,$B493)=0,"—","SÍ ("&amp;COUNTIFS(NOVEDADES!$C$4:$C$2003,$B493)&amp;")"))</f>
        <v/>
      </c>
    </row>
    <row r="494">
      <c r="A494" s="41" t="n"/>
      <c r="B494" s="41" t="n"/>
      <c r="C494" s="41" t="n"/>
      <c r="D494" s="41" t="n"/>
      <c r="E494" s="46" t="n"/>
      <c r="F494" s="41" t="n"/>
      <c r="G494" s="41" t="n"/>
      <c r="H494" s="41" t="n"/>
      <c r="I494" s="41" t="n"/>
      <c r="J494" s="47" t="n"/>
      <c r="K494" s="41" t="n"/>
      <c r="L494" s="48" t="n"/>
      <c r="M494" s="45" t="n"/>
      <c r="N494" s="39">
        <f>IF($B494="","",IF(SUMPRODUCT((LISTAS!$O$3:$O$42&lt;&gt;"")*ISNUMBER(SEARCH(LISTAS!$O$3:$O$42,$I494&amp;" "&amp;$K494)))&gt;0,"CERCANA","NACIONAL"))</f>
        <v/>
      </c>
      <c r="O494" s="39">
        <f>IF($B494="","",IF(COUNTIFS(NOVEDADES!$C$4:$C$2003,$B494)=0,"—","SÍ ("&amp;COUNTIFS(NOVEDADES!$C$4:$C$2003,$B494)&amp;")"))</f>
        <v/>
      </c>
    </row>
    <row r="495">
      <c r="A495" s="41" t="n"/>
      <c r="B495" s="41" t="n"/>
      <c r="C495" s="41" t="n"/>
      <c r="D495" s="41" t="n"/>
      <c r="E495" s="46" t="n"/>
      <c r="F495" s="41" t="n"/>
      <c r="G495" s="41" t="n"/>
      <c r="H495" s="41" t="n"/>
      <c r="I495" s="41" t="n"/>
      <c r="J495" s="47" t="n"/>
      <c r="K495" s="41" t="n"/>
      <c r="L495" s="48" t="n"/>
      <c r="M495" s="45" t="n"/>
      <c r="N495" s="39">
        <f>IF($B495="","",IF(SUMPRODUCT((LISTAS!$O$3:$O$42&lt;&gt;"")*ISNUMBER(SEARCH(LISTAS!$O$3:$O$42,$I495&amp;" "&amp;$K495)))&gt;0,"CERCANA","NACIONAL"))</f>
        <v/>
      </c>
      <c r="O495" s="39">
        <f>IF($B495="","",IF(COUNTIFS(NOVEDADES!$C$4:$C$2003,$B495)=0,"—","SÍ ("&amp;COUNTIFS(NOVEDADES!$C$4:$C$2003,$B495)&amp;")"))</f>
        <v/>
      </c>
    </row>
    <row r="496">
      <c r="A496" s="41" t="n"/>
      <c r="B496" s="41" t="n"/>
      <c r="C496" s="41" t="n"/>
      <c r="D496" s="41" t="n"/>
      <c r="E496" s="46" t="n"/>
      <c r="F496" s="41" t="n"/>
      <c r="G496" s="41" t="n"/>
      <c r="H496" s="41" t="n"/>
      <c r="I496" s="41" t="n"/>
      <c r="J496" s="47" t="n"/>
      <c r="K496" s="41" t="n"/>
      <c r="L496" s="48" t="n"/>
      <c r="M496" s="45" t="n"/>
      <c r="N496" s="39">
        <f>IF($B496="","",IF(SUMPRODUCT((LISTAS!$O$3:$O$42&lt;&gt;"")*ISNUMBER(SEARCH(LISTAS!$O$3:$O$42,$I496&amp;" "&amp;$K496)))&gt;0,"CERCANA","NACIONAL"))</f>
        <v/>
      </c>
      <c r="O496" s="39">
        <f>IF($B496="","",IF(COUNTIFS(NOVEDADES!$C$4:$C$2003,$B496)=0,"—","SÍ ("&amp;COUNTIFS(NOVEDADES!$C$4:$C$2003,$B496)&amp;")"))</f>
        <v/>
      </c>
    </row>
    <row r="497">
      <c r="A497" s="41" t="n"/>
      <c r="B497" s="41" t="n"/>
      <c r="C497" s="41" t="n"/>
      <c r="D497" s="41" t="n"/>
      <c r="E497" s="46" t="n"/>
      <c r="F497" s="41" t="n"/>
      <c r="G497" s="41" t="n"/>
      <c r="H497" s="41" t="n"/>
      <c r="I497" s="41" t="n"/>
      <c r="J497" s="47" t="n"/>
      <c r="K497" s="41" t="n"/>
      <c r="L497" s="48" t="n"/>
      <c r="M497" s="45" t="n"/>
      <c r="N497" s="39">
        <f>IF($B497="","",IF(SUMPRODUCT((LISTAS!$O$3:$O$42&lt;&gt;"")*ISNUMBER(SEARCH(LISTAS!$O$3:$O$42,$I497&amp;" "&amp;$K497)))&gt;0,"CERCANA","NACIONAL"))</f>
        <v/>
      </c>
      <c r="O497" s="39">
        <f>IF($B497="","",IF(COUNTIFS(NOVEDADES!$C$4:$C$2003,$B497)=0,"—","SÍ ("&amp;COUNTIFS(NOVEDADES!$C$4:$C$2003,$B497)&amp;")"))</f>
        <v/>
      </c>
    </row>
    <row r="498">
      <c r="A498" s="41" t="n"/>
      <c r="B498" s="41" t="n"/>
      <c r="C498" s="41" t="n"/>
      <c r="D498" s="41" t="n"/>
      <c r="E498" s="46" t="n"/>
      <c r="F498" s="41" t="n"/>
      <c r="G498" s="41" t="n"/>
      <c r="H498" s="41" t="n"/>
      <c r="I498" s="41" t="n"/>
      <c r="J498" s="47" t="n"/>
      <c r="K498" s="41" t="n"/>
      <c r="L498" s="48" t="n"/>
      <c r="M498" s="45" t="n"/>
      <c r="N498" s="39">
        <f>IF($B498="","",IF(SUMPRODUCT((LISTAS!$O$3:$O$42&lt;&gt;"")*ISNUMBER(SEARCH(LISTAS!$O$3:$O$42,$I498&amp;" "&amp;$K498)))&gt;0,"CERCANA","NACIONAL"))</f>
        <v/>
      </c>
      <c r="O498" s="39">
        <f>IF($B498="","",IF(COUNTIFS(NOVEDADES!$C$4:$C$2003,$B498)=0,"—","SÍ ("&amp;COUNTIFS(NOVEDADES!$C$4:$C$2003,$B498)&amp;")"))</f>
        <v/>
      </c>
    </row>
    <row r="499">
      <c r="A499" s="41" t="n"/>
      <c r="B499" s="41" t="n"/>
      <c r="C499" s="41" t="n"/>
      <c r="D499" s="41" t="n"/>
      <c r="E499" s="46" t="n"/>
      <c r="F499" s="41" t="n"/>
      <c r="G499" s="41" t="n"/>
      <c r="H499" s="41" t="n"/>
      <c r="I499" s="41" t="n"/>
      <c r="J499" s="47" t="n"/>
      <c r="K499" s="41" t="n"/>
      <c r="L499" s="48" t="n"/>
      <c r="M499" s="45" t="n"/>
      <c r="N499" s="39">
        <f>IF($B499="","",IF(SUMPRODUCT((LISTAS!$O$3:$O$42&lt;&gt;"")*ISNUMBER(SEARCH(LISTAS!$O$3:$O$42,$I499&amp;" "&amp;$K499)))&gt;0,"CERCANA","NACIONAL"))</f>
        <v/>
      </c>
      <c r="O499" s="39">
        <f>IF($B499="","",IF(COUNTIFS(NOVEDADES!$C$4:$C$2003,$B499)=0,"—","SÍ ("&amp;COUNTIFS(NOVEDADES!$C$4:$C$2003,$B499)&amp;")"))</f>
        <v/>
      </c>
    </row>
    <row r="500">
      <c r="A500" s="41" t="n"/>
      <c r="B500" s="41" t="n"/>
      <c r="C500" s="41" t="n"/>
      <c r="D500" s="41" t="n"/>
      <c r="E500" s="46" t="n"/>
      <c r="F500" s="41" t="n"/>
      <c r="G500" s="41" t="n"/>
      <c r="H500" s="41" t="n"/>
      <c r="I500" s="41" t="n"/>
      <c r="J500" s="47" t="n"/>
      <c r="K500" s="41" t="n"/>
      <c r="L500" s="48" t="n"/>
      <c r="M500" s="45" t="n"/>
      <c r="N500" s="39">
        <f>IF($B500="","",IF(SUMPRODUCT((LISTAS!$O$3:$O$42&lt;&gt;"")*ISNUMBER(SEARCH(LISTAS!$O$3:$O$42,$I500&amp;" "&amp;$K500)))&gt;0,"CERCANA","NACIONAL"))</f>
        <v/>
      </c>
      <c r="O500" s="39">
        <f>IF($B500="","",IF(COUNTIFS(NOVEDADES!$C$4:$C$2003,$B500)=0,"—","SÍ ("&amp;COUNTIFS(NOVEDADES!$C$4:$C$2003,$B500)&amp;")"))</f>
        <v/>
      </c>
    </row>
    <row r="501">
      <c r="A501" s="41" t="n"/>
      <c r="B501" s="41" t="n"/>
      <c r="C501" s="41" t="n"/>
      <c r="D501" s="41" t="n"/>
      <c r="E501" s="46" t="n"/>
      <c r="F501" s="41" t="n"/>
      <c r="G501" s="41" t="n"/>
      <c r="H501" s="41" t="n"/>
      <c r="I501" s="41" t="n"/>
      <c r="J501" s="47" t="n"/>
      <c r="K501" s="41" t="n"/>
      <c r="L501" s="48" t="n"/>
      <c r="M501" s="45" t="n"/>
      <c r="N501" s="39">
        <f>IF($B501="","",IF(SUMPRODUCT((LISTAS!$O$3:$O$42&lt;&gt;"")*ISNUMBER(SEARCH(LISTAS!$O$3:$O$42,$I501&amp;" "&amp;$K501)))&gt;0,"CERCANA","NACIONAL"))</f>
        <v/>
      </c>
      <c r="O501" s="39">
        <f>IF($B501="","",IF(COUNTIFS(NOVEDADES!$C$4:$C$2003,$B501)=0,"—","SÍ ("&amp;COUNTIFS(NOVEDADES!$C$4:$C$2003,$B501)&amp;")"))</f>
        <v/>
      </c>
    </row>
    <row r="502">
      <c r="A502" s="41" t="n"/>
      <c r="B502" s="41" t="n"/>
      <c r="C502" s="41" t="n"/>
      <c r="D502" s="41" t="n"/>
      <c r="E502" s="46" t="n"/>
      <c r="F502" s="41" t="n"/>
      <c r="G502" s="41" t="n"/>
      <c r="H502" s="41" t="n"/>
      <c r="I502" s="41" t="n"/>
      <c r="J502" s="47" t="n"/>
      <c r="K502" s="41" t="n"/>
      <c r="L502" s="48" t="n"/>
      <c r="M502" s="45" t="n"/>
      <c r="N502" s="39">
        <f>IF($B502="","",IF(SUMPRODUCT((LISTAS!$O$3:$O$42&lt;&gt;"")*ISNUMBER(SEARCH(LISTAS!$O$3:$O$42,$I502&amp;" "&amp;$K502)))&gt;0,"CERCANA","NACIONAL"))</f>
        <v/>
      </c>
      <c r="O502" s="39">
        <f>IF($B502="","",IF(COUNTIFS(NOVEDADES!$C$4:$C$2003,$B502)=0,"—","SÍ ("&amp;COUNTIFS(NOVEDADES!$C$4:$C$2003,$B502)&amp;")"))</f>
        <v/>
      </c>
    </row>
    <row r="503">
      <c r="A503" s="41" t="n"/>
      <c r="B503" s="41" t="n"/>
      <c r="C503" s="41" t="n"/>
      <c r="D503" s="41" t="n"/>
      <c r="E503" s="46" t="n"/>
      <c r="F503" s="41" t="n"/>
      <c r="G503" s="41" t="n"/>
      <c r="H503" s="41" t="n"/>
      <c r="I503" s="41" t="n"/>
      <c r="J503" s="47" t="n"/>
      <c r="K503" s="41" t="n"/>
      <c r="L503" s="48" t="n"/>
      <c r="M503" s="45" t="n"/>
      <c r="N503" s="39">
        <f>IF($B503="","",IF(SUMPRODUCT((LISTAS!$O$3:$O$42&lt;&gt;"")*ISNUMBER(SEARCH(LISTAS!$O$3:$O$42,$I503&amp;" "&amp;$K503)))&gt;0,"CERCANA","NACIONAL"))</f>
        <v/>
      </c>
      <c r="O503" s="39">
        <f>IF($B503="","",IF(COUNTIFS(NOVEDADES!$C$4:$C$2003,$B503)=0,"—","SÍ ("&amp;COUNTIFS(NOVEDADES!$C$4:$C$2003,$B503)&amp;")"))</f>
        <v/>
      </c>
    </row>
    <row r="504">
      <c r="A504" s="41" t="n"/>
      <c r="B504" s="41" t="n"/>
      <c r="C504" s="41" t="n"/>
      <c r="D504" s="41" t="n"/>
      <c r="E504" s="46" t="n"/>
      <c r="F504" s="41" t="n"/>
      <c r="G504" s="41" t="n"/>
      <c r="H504" s="41" t="n"/>
      <c r="I504" s="41" t="n"/>
      <c r="J504" s="47" t="n"/>
      <c r="K504" s="41" t="n"/>
      <c r="L504" s="48" t="n"/>
      <c r="M504" s="45" t="n"/>
      <c r="N504" s="39">
        <f>IF($B504="","",IF(SUMPRODUCT((LISTAS!$O$3:$O$42&lt;&gt;"")*ISNUMBER(SEARCH(LISTAS!$O$3:$O$42,$I504&amp;" "&amp;$K504)))&gt;0,"CERCANA","NACIONAL"))</f>
        <v/>
      </c>
      <c r="O504" s="39">
        <f>IF($B504="","",IF(COUNTIFS(NOVEDADES!$C$4:$C$2003,$B504)=0,"—","SÍ ("&amp;COUNTIFS(NOVEDADES!$C$4:$C$2003,$B504)&amp;")"))</f>
        <v/>
      </c>
    </row>
    <row r="505">
      <c r="A505" s="41" t="n"/>
      <c r="B505" s="41" t="n"/>
      <c r="C505" s="41" t="n"/>
      <c r="D505" s="41" t="n"/>
      <c r="E505" s="46" t="n"/>
      <c r="F505" s="41" t="n"/>
      <c r="G505" s="41" t="n"/>
      <c r="H505" s="41" t="n"/>
      <c r="I505" s="41" t="n"/>
      <c r="J505" s="47" t="n"/>
      <c r="K505" s="41" t="n"/>
      <c r="L505" s="48" t="n"/>
      <c r="M505" s="45" t="n"/>
      <c r="N505" s="39">
        <f>IF($B505="","",IF(SUMPRODUCT((LISTAS!$O$3:$O$42&lt;&gt;"")*ISNUMBER(SEARCH(LISTAS!$O$3:$O$42,$I505&amp;" "&amp;$K505)))&gt;0,"CERCANA","NACIONAL"))</f>
        <v/>
      </c>
      <c r="O505" s="39">
        <f>IF($B505="","",IF(COUNTIFS(NOVEDADES!$C$4:$C$2003,$B505)=0,"—","SÍ ("&amp;COUNTIFS(NOVEDADES!$C$4:$C$2003,$B505)&amp;")"))</f>
        <v/>
      </c>
    </row>
    <row r="506">
      <c r="A506" s="41" t="n"/>
      <c r="B506" s="41" t="n"/>
      <c r="C506" s="41" t="n"/>
      <c r="D506" s="41" t="n"/>
      <c r="E506" s="46" t="n"/>
      <c r="F506" s="41" t="n"/>
      <c r="G506" s="41" t="n"/>
      <c r="H506" s="41" t="n"/>
      <c r="I506" s="41" t="n"/>
      <c r="J506" s="47" t="n"/>
      <c r="K506" s="41" t="n"/>
      <c r="L506" s="48" t="n"/>
      <c r="M506" s="45" t="n"/>
      <c r="N506" s="39">
        <f>IF($B506="","",IF(SUMPRODUCT((LISTAS!$O$3:$O$42&lt;&gt;"")*ISNUMBER(SEARCH(LISTAS!$O$3:$O$42,$I506&amp;" "&amp;$K506)))&gt;0,"CERCANA","NACIONAL"))</f>
        <v/>
      </c>
      <c r="O506" s="39">
        <f>IF($B506="","",IF(COUNTIFS(NOVEDADES!$C$4:$C$2003,$B506)=0,"—","SÍ ("&amp;COUNTIFS(NOVEDADES!$C$4:$C$2003,$B506)&amp;")"))</f>
        <v/>
      </c>
    </row>
    <row r="507">
      <c r="A507" s="41" t="n"/>
      <c r="B507" s="41" t="n"/>
      <c r="C507" s="41" t="n"/>
      <c r="D507" s="41" t="n"/>
      <c r="E507" s="46" t="n"/>
      <c r="F507" s="41" t="n"/>
      <c r="G507" s="41" t="n"/>
      <c r="H507" s="41" t="n"/>
      <c r="I507" s="41" t="n"/>
      <c r="J507" s="47" t="n"/>
      <c r="K507" s="41" t="n"/>
      <c r="L507" s="48" t="n"/>
      <c r="M507" s="45" t="n"/>
      <c r="N507" s="39">
        <f>IF($B507="","",IF(SUMPRODUCT((LISTAS!$O$3:$O$42&lt;&gt;"")*ISNUMBER(SEARCH(LISTAS!$O$3:$O$42,$I507&amp;" "&amp;$K507)))&gt;0,"CERCANA","NACIONAL"))</f>
        <v/>
      </c>
      <c r="O507" s="39">
        <f>IF($B507="","",IF(COUNTIFS(NOVEDADES!$C$4:$C$2003,$B507)=0,"—","SÍ ("&amp;COUNTIFS(NOVEDADES!$C$4:$C$2003,$B507)&amp;")"))</f>
        <v/>
      </c>
    </row>
    <row r="508">
      <c r="A508" s="41" t="n"/>
      <c r="B508" s="41" t="n"/>
      <c r="C508" s="41" t="n"/>
      <c r="D508" s="41" t="n"/>
      <c r="E508" s="46" t="n"/>
      <c r="F508" s="41" t="n"/>
      <c r="G508" s="41" t="n"/>
      <c r="H508" s="41" t="n"/>
      <c r="I508" s="41" t="n"/>
      <c r="J508" s="47" t="n"/>
      <c r="K508" s="41" t="n"/>
      <c r="L508" s="48" t="n"/>
      <c r="M508" s="45" t="n"/>
      <c r="N508" s="39">
        <f>IF($B508="","",IF(SUMPRODUCT((LISTAS!$O$3:$O$42&lt;&gt;"")*ISNUMBER(SEARCH(LISTAS!$O$3:$O$42,$I508&amp;" "&amp;$K508)))&gt;0,"CERCANA","NACIONAL"))</f>
        <v/>
      </c>
      <c r="O508" s="39">
        <f>IF($B508="","",IF(COUNTIFS(NOVEDADES!$C$4:$C$2003,$B508)=0,"—","SÍ ("&amp;COUNTIFS(NOVEDADES!$C$4:$C$2003,$B508)&amp;")"))</f>
        <v/>
      </c>
    </row>
    <row r="509">
      <c r="A509" s="41" t="n"/>
      <c r="B509" s="41" t="n"/>
      <c r="C509" s="41" t="n"/>
      <c r="D509" s="41" t="n"/>
      <c r="E509" s="46" t="n"/>
      <c r="F509" s="41" t="n"/>
      <c r="G509" s="41" t="n"/>
      <c r="H509" s="41" t="n"/>
      <c r="I509" s="41" t="n"/>
      <c r="J509" s="47" t="n"/>
      <c r="K509" s="41" t="n"/>
      <c r="L509" s="48" t="n"/>
      <c r="M509" s="45" t="n"/>
      <c r="N509" s="39">
        <f>IF($B509="","",IF(SUMPRODUCT((LISTAS!$O$3:$O$42&lt;&gt;"")*ISNUMBER(SEARCH(LISTAS!$O$3:$O$42,$I509&amp;" "&amp;$K509)))&gt;0,"CERCANA","NACIONAL"))</f>
        <v/>
      </c>
      <c r="O509" s="39">
        <f>IF($B509="","",IF(COUNTIFS(NOVEDADES!$C$4:$C$2003,$B509)=0,"—","SÍ ("&amp;COUNTIFS(NOVEDADES!$C$4:$C$2003,$B509)&amp;")"))</f>
        <v/>
      </c>
    </row>
    <row r="510">
      <c r="A510" s="41" t="n"/>
      <c r="B510" s="41" t="n"/>
      <c r="C510" s="41" t="n"/>
      <c r="D510" s="41" t="n"/>
      <c r="E510" s="46" t="n"/>
      <c r="F510" s="41" t="n"/>
      <c r="G510" s="41" t="n"/>
      <c r="H510" s="41" t="n"/>
      <c r="I510" s="41" t="n"/>
      <c r="J510" s="47" t="n"/>
      <c r="K510" s="41" t="n"/>
      <c r="L510" s="48" t="n"/>
      <c r="M510" s="45" t="n"/>
      <c r="N510" s="39">
        <f>IF($B510="","",IF(SUMPRODUCT((LISTAS!$O$3:$O$42&lt;&gt;"")*ISNUMBER(SEARCH(LISTAS!$O$3:$O$42,$I510&amp;" "&amp;$K510)))&gt;0,"CERCANA","NACIONAL"))</f>
        <v/>
      </c>
      <c r="O510" s="39">
        <f>IF($B510="","",IF(COUNTIFS(NOVEDADES!$C$4:$C$2003,$B510)=0,"—","SÍ ("&amp;COUNTIFS(NOVEDADES!$C$4:$C$2003,$B510)&amp;")"))</f>
        <v/>
      </c>
    </row>
    <row r="511">
      <c r="A511" s="41" t="n"/>
      <c r="B511" s="41" t="n"/>
      <c r="C511" s="41" t="n"/>
      <c r="D511" s="41" t="n"/>
      <c r="E511" s="46" t="n"/>
      <c r="F511" s="41" t="n"/>
      <c r="G511" s="41" t="n"/>
      <c r="H511" s="41" t="n"/>
      <c r="I511" s="41" t="n"/>
      <c r="J511" s="47" t="n"/>
      <c r="K511" s="41" t="n"/>
      <c r="L511" s="48" t="n"/>
      <c r="M511" s="45" t="n"/>
      <c r="N511" s="39">
        <f>IF($B511="","",IF(SUMPRODUCT((LISTAS!$O$3:$O$42&lt;&gt;"")*ISNUMBER(SEARCH(LISTAS!$O$3:$O$42,$I511&amp;" "&amp;$K511)))&gt;0,"CERCANA","NACIONAL"))</f>
        <v/>
      </c>
      <c r="O511" s="39">
        <f>IF($B511="","",IF(COUNTIFS(NOVEDADES!$C$4:$C$2003,$B511)=0,"—","SÍ ("&amp;COUNTIFS(NOVEDADES!$C$4:$C$2003,$B511)&amp;")"))</f>
        <v/>
      </c>
    </row>
    <row r="512">
      <c r="A512" s="41" t="n"/>
      <c r="B512" s="41" t="n"/>
      <c r="C512" s="41" t="n"/>
      <c r="D512" s="41" t="n"/>
      <c r="E512" s="46" t="n"/>
      <c r="F512" s="41" t="n"/>
      <c r="G512" s="41" t="n"/>
      <c r="H512" s="41" t="n"/>
      <c r="I512" s="41" t="n"/>
      <c r="J512" s="47" t="n"/>
      <c r="K512" s="41" t="n"/>
      <c r="L512" s="48" t="n"/>
      <c r="M512" s="45" t="n"/>
      <c r="N512" s="39">
        <f>IF($B512="","",IF(SUMPRODUCT((LISTAS!$O$3:$O$42&lt;&gt;"")*ISNUMBER(SEARCH(LISTAS!$O$3:$O$42,$I512&amp;" "&amp;$K512)))&gt;0,"CERCANA","NACIONAL"))</f>
        <v/>
      </c>
      <c r="O512" s="39">
        <f>IF($B512="","",IF(COUNTIFS(NOVEDADES!$C$4:$C$2003,$B512)=0,"—","SÍ ("&amp;COUNTIFS(NOVEDADES!$C$4:$C$2003,$B512)&amp;")"))</f>
        <v/>
      </c>
    </row>
    <row r="513">
      <c r="A513" s="41" t="n"/>
      <c r="B513" s="41" t="n"/>
      <c r="C513" s="41" t="n"/>
      <c r="D513" s="41" t="n"/>
      <c r="E513" s="46" t="n"/>
      <c r="F513" s="41" t="n"/>
      <c r="G513" s="41" t="n"/>
      <c r="H513" s="41" t="n"/>
      <c r="I513" s="41" t="n"/>
      <c r="J513" s="47" t="n"/>
      <c r="K513" s="41" t="n"/>
      <c r="L513" s="48" t="n"/>
      <c r="M513" s="45" t="n"/>
      <c r="N513" s="39">
        <f>IF($B513="","",IF(SUMPRODUCT((LISTAS!$O$3:$O$42&lt;&gt;"")*ISNUMBER(SEARCH(LISTAS!$O$3:$O$42,$I513&amp;" "&amp;$K513)))&gt;0,"CERCANA","NACIONAL"))</f>
        <v/>
      </c>
      <c r="O513" s="39">
        <f>IF($B513="","",IF(COUNTIFS(NOVEDADES!$C$4:$C$2003,$B513)=0,"—","SÍ ("&amp;COUNTIFS(NOVEDADES!$C$4:$C$2003,$B513)&amp;")"))</f>
        <v/>
      </c>
    </row>
    <row r="514">
      <c r="A514" s="41" t="n"/>
      <c r="B514" s="41" t="n"/>
      <c r="C514" s="41" t="n"/>
      <c r="D514" s="41" t="n"/>
      <c r="E514" s="46" t="n"/>
      <c r="F514" s="41" t="n"/>
      <c r="G514" s="41" t="n"/>
      <c r="H514" s="41" t="n"/>
      <c r="I514" s="41" t="n"/>
      <c r="J514" s="47" t="n"/>
      <c r="K514" s="41" t="n"/>
      <c r="L514" s="48" t="n"/>
      <c r="M514" s="45" t="n"/>
      <c r="N514" s="39">
        <f>IF($B514="","",IF(SUMPRODUCT((LISTAS!$O$3:$O$42&lt;&gt;"")*ISNUMBER(SEARCH(LISTAS!$O$3:$O$42,$I514&amp;" "&amp;$K514)))&gt;0,"CERCANA","NACIONAL"))</f>
        <v/>
      </c>
      <c r="O514" s="39">
        <f>IF($B514="","",IF(COUNTIFS(NOVEDADES!$C$4:$C$2003,$B514)=0,"—","SÍ ("&amp;COUNTIFS(NOVEDADES!$C$4:$C$2003,$B514)&amp;")"))</f>
        <v/>
      </c>
    </row>
    <row r="515">
      <c r="A515" s="41" t="n"/>
      <c r="B515" s="41" t="n"/>
      <c r="C515" s="41" t="n"/>
      <c r="D515" s="41" t="n"/>
      <c r="E515" s="46" t="n"/>
      <c r="F515" s="41" t="n"/>
      <c r="G515" s="41" t="n"/>
      <c r="H515" s="41" t="n"/>
      <c r="I515" s="41" t="n"/>
      <c r="J515" s="47" t="n"/>
      <c r="K515" s="41" t="n"/>
      <c r="L515" s="48" t="n"/>
      <c r="M515" s="45" t="n"/>
      <c r="N515" s="39">
        <f>IF($B515="","",IF(SUMPRODUCT((LISTAS!$O$3:$O$42&lt;&gt;"")*ISNUMBER(SEARCH(LISTAS!$O$3:$O$42,$I515&amp;" "&amp;$K515)))&gt;0,"CERCANA","NACIONAL"))</f>
        <v/>
      </c>
      <c r="O515" s="39">
        <f>IF($B515="","",IF(COUNTIFS(NOVEDADES!$C$4:$C$2003,$B515)=0,"—","SÍ ("&amp;COUNTIFS(NOVEDADES!$C$4:$C$2003,$B515)&amp;")"))</f>
        <v/>
      </c>
    </row>
    <row r="516">
      <c r="A516" s="41" t="n"/>
      <c r="B516" s="41" t="n"/>
      <c r="C516" s="41" t="n"/>
      <c r="D516" s="41" t="n"/>
      <c r="E516" s="46" t="n"/>
      <c r="F516" s="41" t="n"/>
      <c r="G516" s="41" t="n"/>
      <c r="H516" s="41" t="n"/>
      <c r="I516" s="41" t="n"/>
      <c r="J516" s="47" t="n"/>
      <c r="K516" s="41" t="n"/>
      <c r="L516" s="48" t="n"/>
      <c r="M516" s="45" t="n"/>
      <c r="N516" s="39">
        <f>IF($B516="","",IF(SUMPRODUCT((LISTAS!$O$3:$O$42&lt;&gt;"")*ISNUMBER(SEARCH(LISTAS!$O$3:$O$42,$I516&amp;" "&amp;$K516)))&gt;0,"CERCANA","NACIONAL"))</f>
        <v/>
      </c>
      <c r="O516" s="39">
        <f>IF($B516="","",IF(COUNTIFS(NOVEDADES!$C$4:$C$2003,$B516)=0,"—","SÍ ("&amp;COUNTIFS(NOVEDADES!$C$4:$C$2003,$B516)&amp;")"))</f>
        <v/>
      </c>
    </row>
    <row r="517">
      <c r="A517" s="41" t="n"/>
      <c r="B517" s="41" t="n"/>
      <c r="C517" s="41" t="n"/>
      <c r="D517" s="41" t="n"/>
      <c r="E517" s="46" t="n"/>
      <c r="F517" s="41" t="n"/>
      <c r="G517" s="41" t="n"/>
      <c r="H517" s="41" t="n"/>
      <c r="I517" s="41" t="n"/>
      <c r="J517" s="47" t="n"/>
      <c r="K517" s="41" t="n"/>
      <c r="L517" s="48" t="n"/>
      <c r="M517" s="45" t="n"/>
      <c r="N517" s="39">
        <f>IF($B517="","",IF(SUMPRODUCT((LISTAS!$O$3:$O$42&lt;&gt;"")*ISNUMBER(SEARCH(LISTAS!$O$3:$O$42,$I517&amp;" "&amp;$K517)))&gt;0,"CERCANA","NACIONAL"))</f>
        <v/>
      </c>
      <c r="O517" s="39">
        <f>IF($B517="","",IF(COUNTIFS(NOVEDADES!$C$4:$C$2003,$B517)=0,"—","SÍ ("&amp;COUNTIFS(NOVEDADES!$C$4:$C$2003,$B517)&amp;")"))</f>
        <v/>
      </c>
    </row>
    <row r="518">
      <c r="A518" s="41" t="n"/>
      <c r="B518" s="41" t="n"/>
      <c r="C518" s="41" t="n"/>
      <c r="D518" s="41" t="n"/>
      <c r="E518" s="46" t="n"/>
      <c r="F518" s="41" t="n"/>
      <c r="G518" s="41" t="n"/>
      <c r="H518" s="41" t="n"/>
      <c r="I518" s="41" t="n"/>
      <c r="J518" s="47" t="n"/>
      <c r="K518" s="41" t="n"/>
      <c r="L518" s="48" t="n"/>
      <c r="M518" s="45" t="n"/>
      <c r="N518" s="39">
        <f>IF($B518="","",IF(SUMPRODUCT((LISTAS!$O$3:$O$42&lt;&gt;"")*ISNUMBER(SEARCH(LISTAS!$O$3:$O$42,$I518&amp;" "&amp;$K518)))&gt;0,"CERCANA","NACIONAL"))</f>
        <v/>
      </c>
      <c r="O518" s="39">
        <f>IF($B518="","",IF(COUNTIFS(NOVEDADES!$C$4:$C$2003,$B518)=0,"—","SÍ ("&amp;COUNTIFS(NOVEDADES!$C$4:$C$2003,$B518)&amp;")"))</f>
        <v/>
      </c>
    </row>
    <row r="519">
      <c r="A519" s="41" t="n"/>
      <c r="B519" s="41" t="n"/>
      <c r="C519" s="41" t="n"/>
      <c r="D519" s="41" t="n"/>
      <c r="E519" s="46" t="n"/>
      <c r="F519" s="41" t="n"/>
      <c r="G519" s="41" t="n"/>
      <c r="H519" s="41" t="n"/>
      <c r="I519" s="41" t="n"/>
      <c r="J519" s="47" t="n"/>
      <c r="K519" s="41" t="n"/>
      <c r="L519" s="48" t="n"/>
      <c r="M519" s="45" t="n"/>
      <c r="N519" s="39">
        <f>IF($B519="","",IF(SUMPRODUCT((LISTAS!$O$3:$O$42&lt;&gt;"")*ISNUMBER(SEARCH(LISTAS!$O$3:$O$42,$I519&amp;" "&amp;$K519)))&gt;0,"CERCANA","NACIONAL"))</f>
        <v/>
      </c>
      <c r="O519" s="39">
        <f>IF($B519="","",IF(COUNTIFS(NOVEDADES!$C$4:$C$2003,$B519)=0,"—","SÍ ("&amp;COUNTIFS(NOVEDADES!$C$4:$C$2003,$B519)&amp;")"))</f>
        <v/>
      </c>
    </row>
    <row r="520">
      <c r="A520" s="41" t="n"/>
      <c r="B520" s="41" t="n"/>
      <c r="C520" s="41" t="n"/>
      <c r="D520" s="41" t="n"/>
      <c r="E520" s="46" t="n"/>
      <c r="F520" s="41" t="n"/>
      <c r="G520" s="41" t="n"/>
      <c r="H520" s="41" t="n"/>
      <c r="I520" s="41" t="n"/>
      <c r="J520" s="47" t="n"/>
      <c r="K520" s="41" t="n"/>
      <c r="L520" s="48" t="n"/>
      <c r="M520" s="45" t="n"/>
      <c r="N520" s="39">
        <f>IF($B520="","",IF(SUMPRODUCT((LISTAS!$O$3:$O$42&lt;&gt;"")*ISNUMBER(SEARCH(LISTAS!$O$3:$O$42,$I520&amp;" "&amp;$K520)))&gt;0,"CERCANA","NACIONAL"))</f>
        <v/>
      </c>
      <c r="O520" s="39">
        <f>IF($B520="","",IF(COUNTIFS(NOVEDADES!$C$4:$C$2003,$B520)=0,"—","SÍ ("&amp;COUNTIFS(NOVEDADES!$C$4:$C$2003,$B520)&amp;")"))</f>
        <v/>
      </c>
    </row>
    <row r="521">
      <c r="A521" s="41" t="n"/>
      <c r="B521" s="41" t="n"/>
      <c r="C521" s="41" t="n"/>
      <c r="D521" s="41" t="n"/>
      <c r="E521" s="46" t="n"/>
      <c r="F521" s="41" t="n"/>
      <c r="G521" s="41" t="n"/>
      <c r="H521" s="41" t="n"/>
      <c r="I521" s="41" t="n"/>
      <c r="J521" s="47" t="n"/>
      <c r="K521" s="41" t="n"/>
      <c r="L521" s="48" t="n"/>
      <c r="M521" s="45" t="n"/>
      <c r="N521" s="39">
        <f>IF($B521="","",IF(SUMPRODUCT((LISTAS!$O$3:$O$42&lt;&gt;"")*ISNUMBER(SEARCH(LISTAS!$O$3:$O$42,$I521&amp;" "&amp;$K521)))&gt;0,"CERCANA","NACIONAL"))</f>
        <v/>
      </c>
      <c r="O521" s="39">
        <f>IF($B521="","",IF(COUNTIFS(NOVEDADES!$C$4:$C$2003,$B521)=0,"—","SÍ ("&amp;COUNTIFS(NOVEDADES!$C$4:$C$2003,$B521)&amp;")"))</f>
        <v/>
      </c>
    </row>
    <row r="522">
      <c r="A522" s="41" t="n"/>
      <c r="B522" s="41" t="n"/>
      <c r="C522" s="41" t="n"/>
      <c r="D522" s="41" t="n"/>
      <c r="E522" s="46" t="n"/>
      <c r="F522" s="41" t="n"/>
      <c r="G522" s="41" t="n"/>
      <c r="H522" s="41" t="n"/>
      <c r="I522" s="41" t="n"/>
      <c r="J522" s="47" t="n"/>
      <c r="K522" s="41" t="n"/>
      <c r="L522" s="48" t="n"/>
      <c r="M522" s="45" t="n"/>
      <c r="N522" s="39">
        <f>IF($B522="","",IF(SUMPRODUCT((LISTAS!$O$3:$O$42&lt;&gt;"")*ISNUMBER(SEARCH(LISTAS!$O$3:$O$42,$I522&amp;" "&amp;$K522)))&gt;0,"CERCANA","NACIONAL"))</f>
        <v/>
      </c>
      <c r="O522" s="39">
        <f>IF($B522="","",IF(COUNTIFS(NOVEDADES!$C$4:$C$2003,$B522)=0,"—","SÍ ("&amp;COUNTIFS(NOVEDADES!$C$4:$C$2003,$B522)&amp;")"))</f>
        <v/>
      </c>
    </row>
    <row r="523">
      <c r="A523" s="41" t="n"/>
      <c r="B523" s="41" t="n"/>
      <c r="C523" s="41" t="n"/>
      <c r="D523" s="41" t="n"/>
      <c r="E523" s="46" t="n"/>
      <c r="F523" s="41" t="n"/>
      <c r="G523" s="41" t="n"/>
      <c r="H523" s="41" t="n"/>
      <c r="I523" s="41" t="n"/>
      <c r="J523" s="47" t="n"/>
      <c r="K523" s="41" t="n"/>
      <c r="L523" s="48" t="n"/>
      <c r="M523" s="45" t="n"/>
      <c r="N523" s="39">
        <f>IF($B523="","",IF(SUMPRODUCT((LISTAS!$O$3:$O$42&lt;&gt;"")*ISNUMBER(SEARCH(LISTAS!$O$3:$O$42,$I523&amp;" "&amp;$K523)))&gt;0,"CERCANA","NACIONAL"))</f>
        <v/>
      </c>
      <c r="O523" s="39">
        <f>IF($B523="","",IF(COUNTIFS(NOVEDADES!$C$4:$C$2003,$B523)=0,"—","SÍ ("&amp;COUNTIFS(NOVEDADES!$C$4:$C$2003,$B523)&amp;")"))</f>
        <v/>
      </c>
    </row>
    <row r="524">
      <c r="A524" s="41" t="n"/>
      <c r="B524" s="41" t="n"/>
      <c r="C524" s="41" t="n"/>
      <c r="D524" s="41" t="n"/>
      <c r="E524" s="46" t="n"/>
      <c r="F524" s="41" t="n"/>
      <c r="G524" s="41" t="n"/>
      <c r="H524" s="41" t="n"/>
      <c r="I524" s="41" t="n"/>
      <c r="J524" s="47" t="n"/>
      <c r="K524" s="41" t="n"/>
      <c r="L524" s="48" t="n"/>
      <c r="M524" s="45" t="n"/>
      <c r="N524" s="39">
        <f>IF($B524="","",IF(SUMPRODUCT((LISTAS!$O$3:$O$42&lt;&gt;"")*ISNUMBER(SEARCH(LISTAS!$O$3:$O$42,$I524&amp;" "&amp;$K524)))&gt;0,"CERCANA","NACIONAL"))</f>
        <v/>
      </c>
      <c r="O524" s="39">
        <f>IF($B524="","",IF(COUNTIFS(NOVEDADES!$C$4:$C$2003,$B524)=0,"—","SÍ ("&amp;COUNTIFS(NOVEDADES!$C$4:$C$2003,$B524)&amp;")"))</f>
        <v/>
      </c>
    </row>
    <row r="525">
      <c r="A525" s="41" t="n"/>
      <c r="B525" s="41" t="n"/>
      <c r="C525" s="41" t="n"/>
      <c r="D525" s="41" t="n"/>
      <c r="E525" s="46" t="n"/>
      <c r="F525" s="41" t="n"/>
      <c r="G525" s="41" t="n"/>
      <c r="H525" s="41" t="n"/>
      <c r="I525" s="41" t="n"/>
      <c r="J525" s="47" t="n"/>
      <c r="K525" s="41" t="n"/>
      <c r="L525" s="48" t="n"/>
      <c r="M525" s="45" t="n"/>
      <c r="N525" s="39">
        <f>IF($B525="","",IF(SUMPRODUCT((LISTAS!$O$3:$O$42&lt;&gt;"")*ISNUMBER(SEARCH(LISTAS!$O$3:$O$42,$I525&amp;" "&amp;$K525)))&gt;0,"CERCANA","NACIONAL"))</f>
        <v/>
      </c>
      <c r="O525" s="39">
        <f>IF($B525="","",IF(COUNTIFS(NOVEDADES!$C$4:$C$2003,$B525)=0,"—","SÍ ("&amp;COUNTIFS(NOVEDADES!$C$4:$C$2003,$B525)&amp;")"))</f>
        <v/>
      </c>
    </row>
    <row r="526">
      <c r="A526" s="41" t="n"/>
      <c r="B526" s="41" t="n"/>
      <c r="C526" s="41" t="n"/>
      <c r="D526" s="41" t="n"/>
      <c r="E526" s="46" t="n"/>
      <c r="F526" s="41" t="n"/>
      <c r="G526" s="41" t="n"/>
      <c r="H526" s="41" t="n"/>
      <c r="I526" s="41" t="n"/>
      <c r="J526" s="47" t="n"/>
      <c r="K526" s="41" t="n"/>
      <c r="L526" s="48" t="n"/>
      <c r="M526" s="45" t="n"/>
      <c r="N526" s="39">
        <f>IF($B526="","",IF(SUMPRODUCT((LISTAS!$O$3:$O$42&lt;&gt;"")*ISNUMBER(SEARCH(LISTAS!$O$3:$O$42,$I526&amp;" "&amp;$K526)))&gt;0,"CERCANA","NACIONAL"))</f>
        <v/>
      </c>
      <c r="O526" s="39">
        <f>IF($B526="","",IF(COUNTIFS(NOVEDADES!$C$4:$C$2003,$B526)=0,"—","SÍ ("&amp;COUNTIFS(NOVEDADES!$C$4:$C$2003,$B526)&amp;")"))</f>
        <v/>
      </c>
    </row>
    <row r="527">
      <c r="A527" s="41" t="n"/>
      <c r="B527" s="41" t="n"/>
      <c r="C527" s="41" t="n"/>
      <c r="D527" s="41" t="n"/>
      <c r="E527" s="46" t="n"/>
      <c r="F527" s="41" t="n"/>
      <c r="G527" s="41" t="n"/>
      <c r="H527" s="41" t="n"/>
      <c r="I527" s="41" t="n"/>
      <c r="J527" s="47" t="n"/>
      <c r="K527" s="41" t="n"/>
      <c r="L527" s="48" t="n"/>
      <c r="M527" s="45" t="n"/>
      <c r="N527" s="39">
        <f>IF($B527="","",IF(SUMPRODUCT((LISTAS!$O$3:$O$42&lt;&gt;"")*ISNUMBER(SEARCH(LISTAS!$O$3:$O$42,$I527&amp;" "&amp;$K527)))&gt;0,"CERCANA","NACIONAL"))</f>
        <v/>
      </c>
      <c r="O527" s="39">
        <f>IF($B527="","",IF(COUNTIFS(NOVEDADES!$C$4:$C$2003,$B527)=0,"—","SÍ ("&amp;COUNTIFS(NOVEDADES!$C$4:$C$2003,$B527)&amp;")"))</f>
        <v/>
      </c>
    </row>
    <row r="528">
      <c r="A528" s="41" t="n"/>
      <c r="B528" s="41" t="n"/>
      <c r="C528" s="41" t="n"/>
      <c r="D528" s="41" t="n"/>
      <c r="E528" s="46" t="n"/>
      <c r="F528" s="41" t="n"/>
      <c r="G528" s="41" t="n"/>
      <c r="H528" s="41" t="n"/>
      <c r="I528" s="41" t="n"/>
      <c r="J528" s="47" t="n"/>
      <c r="K528" s="41" t="n"/>
      <c r="L528" s="48" t="n"/>
      <c r="M528" s="45" t="n"/>
      <c r="N528" s="39">
        <f>IF($B528="","",IF(SUMPRODUCT((LISTAS!$O$3:$O$42&lt;&gt;"")*ISNUMBER(SEARCH(LISTAS!$O$3:$O$42,$I528&amp;" "&amp;$K528)))&gt;0,"CERCANA","NACIONAL"))</f>
        <v/>
      </c>
      <c r="O528" s="39">
        <f>IF($B528="","",IF(COUNTIFS(NOVEDADES!$C$4:$C$2003,$B528)=0,"—","SÍ ("&amp;COUNTIFS(NOVEDADES!$C$4:$C$2003,$B528)&amp;")"))</f>
        <v/>
      </c>
    </row>
    <row r="529">
      <c r="A529" s="41" t="n"/>
      <c r="B529" s="41" t="n"/>
      <c r="C529" s="41" t="n"/>
      <c r="D529" s="41" t="n"/>
      <c r="E529" s="46" t="n"/>
      <c r="F529" s="41" t="n"/>
      <c r="G529" s="41" t="n"/>
      <c r="H529" s="41" t="n"/>
      <c r="I529" s="41" t="n"/>
      <c r="J529" s="47" t="n"/>
      <c r="K529" s="41" t="n"/>
      <c r="L529" s="48" t="n"/>
      <c r="M529" s="45" t="n"/>
      <c r="N529" s="39">
        <f>IF($B529="","",IF(SUMPRODUCT((LISTAS!$O$3:$O$42&lt;&gt;"")*ISNUMBER(SEARCH(LISTAS!$O$3:$O$42,$I529&amp;" "&amp;$K529)))&gt;0,"CERCANA","NACIONAL"))</f>
        <v/>
      </c>
      <c r="O529" s="39">
        <f>IF($B529="","",IF(COUNTIFS(NOVEDADES!$C$4:$C$2003,$B529)=0,"—","SÍ ("&amp;COUNTIFS(NOVEDADES!$C$4:$C$2003,$B529)&amp;")"))</f>
        <v/>
      </c>
    </row>
    <row r="530">
      <c r="A530" s="41" t="n"/>
      <c r="B530" s="41" t="n"/>
      <c r="C530" s="41" t="n"/>
      <c r="D530" s="41" t="n"/>
      <c r="E530" s="46" t="n"/>
      <c r="F530" s="41" t="n"/>
      <c r="G530" s="41" t="n"/>
      <c r="H530" s="41" t="n"/>
      <c r="I530" s="41" t="n"/>
      <c r="J530" s="47" t="n"/>
      <c r="K530" s="41" t="n"/>
      <c r="L530" s="48" t="n"/>
      <c r="M530" s="45" t="n"/>
      <c r="N530" s="39">
        <f>IF($B530="","",IF(SUMPRODUCT((LISTAS!$O$3:$O$42&lt;&gt;"")*ISNUMBER(SEARCH(LISTAS!$O$3:$O$42,$I530&amp;" "&amp;$K530)))&gt;0,"CERCANA","NACIONAL"))</f>
        <v/>
      </c>
      <c r="O530" s="39">
        <f>IF($B530="","",IF(COUNTIFS(NOVEDADES!$C$4:$C$2003,$B530)=0,"—","SÍ ("&amp;COUNTIFS(NOVEDADES!$C$4:$C$2003,$B530)&amp;")"))</f>
        <v/>
      </c>
    </row>
    <row r="531">
      <c r="A531" s="41" t="n"/>
      <c r="B531" s="41" t="n"/>
      <c r="C531" s="41" t="n"/>
      <c r="D531" s="41" t="n"/>
      <c r="E531" s="46" t="n"/>
      <c r="F531" s="41" t="n"/>
      <c r="G531" s="41" t="n"/>
      <c r="H531" s="41" t="n"/>
      <c r="I531" s="41" t="n"/>
      <c r="J531" s="47" t="n"/>
      <c r="K531" s="41" t="n"/>
      <c r="L531" s="48" t="n"/>
      <c r="M531" s="45" t="n"/>
      <c r="N531" s="39">
        <f>IF($B531="","",IF(SUMPRODUCT((LISTAS!$O$3:$O$42&lt;&gt;"")*ISNUMBER(SEARCH(LISTAS!$O$3:$O$42,$I531&amp;" "&amp;$K531)))&gt;0,"CERCANA","NACIONAL"))</f>
        <v/>
      </c>
      <c r="O531" s="39">
        <f>IF($B531="","",IF(COUNTIFS(NOVEDADES!$C$4:$C$2003,$B531)=0,"—","SÍ ("&amp;COUNTIFS(NOVEDADES!$C$4:$C$2003,$B531)&amp;")"))</f>
        <v/>
      </c>
    </row>
    <row r="532">
      <c r="A532" s="41" t="n"/>
      <c r="B532" s="41" t="n"/>
      <c r="C532" s="41" t="n"/>
      <c r="D532" s="41" t="n"/>
      <c r="E532" s="46" t="n"/>
      <c r="F532" s="41" t="n"/>
      <c r="G532" s="41" t="n"/>
      <c r="H532" s="41" t="n"/>
      <c r="I532" s="41" t="n"/>
      <c r="J532" s="47" t="n"/>
      <c r="K532" s="41" t="n"/>
      <c r="L532" s="48" t="n"/>
      <c r="M532" s="45" t="n"/>
      <c r="N532" s="39">
        <f>IF($B532="","",IF(SUMPRODUCT((LISTAS!$O$3:$O$42&lt;&gt;"")*ISNUMBER(SEARCH(LISTAS!$O$3:$O$42,$I532&amp;" "&amp;$K532)))&gt;0,"CERCANA","NACIONAL"))</f>
        <v/>
      </c>
      <c r="O532" s="39">
        <f>IF($B532="","",IF(COUNTIFS(NOVEDADES!$C$4:$C$2003,$B532)=0,"—","SÍ ("&amp;COUNTIFS(NOVEDADES!$C$4:$C$2003,$B532)&amp;")"))</f>
        <v/>
      </c>
    </row>
    <row r="533">
      <c r="A533" s="41" t="n"/>
      <c r="B533" s="41" t="n"/>
      <c r="C533" s="41" t="n"/>
      <c r="D533" s="41" t="n"/>
      <c r="E533" s="46" t="n"/>
      <c r="F533" s="41" t="n"/>
      <c r="G533" s="41" t="n"/>
      <c r="H533" s="41" t="n"/>
      <c r="I533" s="41" t="n"/>
      <c r="J533" s="47" t="n"/>
      <c r="K533" s="41" t="n"/>
      <c r="L533" s="48" t="n"/>
      <c r="M533" s="45" t="n"/>
      <c r="N533" s="39">
        <f>IF($B533="","",IF(SUMPRODUCT((LISTAS!$O$3:$O$42&lt;&gt;"")*ISNUMBER(SEARCH(LISTAS!$O$3:$O$42,$I533&amp;" "&amp;$K533)))&gt;0,"CERCANA","NACIONAL"))</f>
        <v/>
      </c>
      <c r="O533" s="39">
        <f>IF($B533="","",IF(COUNTIFS(NOVEDADES!$C$4:$C$2003,$B533)=0,"—","SÍ ("&amp;COUNTIFS(NOVEDADES!$C$4:$C$2003,$B533)&amp;")"))</f>
        <v/>
      </c>
    </row>
    <row r="534">
      <c r="A534" s="41" t="n"/>
      <c r="B534" s="41" t="n"/>
      <c r="C534" s="41" t="n"/>
      <c r="D534" s="41" t="n"/>
      <c r="E534" s="46" t="n"/>
      <c r="F534" s="41" t="n"/>
      <c r="G534" s="41" t="n"/>
      <c r="H534" s="41" t="n"/>
      <c r="I534" s="41" t="n"/>
      <c r="J534" s="47" t="n"/>
      <c r="K534" s="41" t="n"/>
      <c r="L534" s="48" t="n"/>
      <c r="M534" s="45" t="n"/>
      <c r="N534" s="39">
        <f>IF($B534="","",IF(SUMPRODUCT((LISTAS!$O$3:$O$42&lt;&gt;"")*ISNUMBER(SEARCH(LISTAS!$O$3:$O$42,$I534&amp;" "&amp;$K534)))&gt;0,"CERCANA","NACIONAL"))</f>
        <v/>
      </c>
      <c r="O534" s="39">
        <f>IF($B534="","",IF(COUNTIFS(NOVEDADES!$C$4:$C$2003,$B534)=0,"—","SÍ ("&amp;COUNTIFS(NOVEDADES!$C$4:$C$2003,$B534)&amp;")"))</f>
        <v/>
      </c>
    </row>
    <row r="535">
      <c r="A535" s="41" t="n"/>
      <c r="B535" s="41" t="n"/>
      <c r="C535" s="41" t="n"/>
      <c r="D535" s="41" t="n"/>
      <c r="E535" s="46" t="n"/>
      <c r="F535" s="41" t="n"/>
      <c r="G535" s="41" t="n"/>
      <c r="H535" s="41" t="n"/>
      <c r="I535" s="41" t="n"/>
      <c r="J535" s="47" t="n"/>
      <c r="K535" s="41" t="n"/>
      <c r="L535" s="48" t="n"/>
      <c r="M535" s="45" t="n"/>
      <c r="N535" s="39">
        <f>IF($B535="","",IF(SUMPRODUCT((LISTAS!$O$3:$O$42&lt;&gt;"")*ISNUMBER(SEARCH(LISTAS!$O$3:$O$42,$I535&amp;" "&amp;$K535)))&gt;0,"CERCANA","NACIONAL"))</f>
        <v/>
      </c>
      <c r="O535" s="39">
        <f>IF($B535="","",IF(COUNTIFS(NOVEDADES!$C$4:$C$2003,$B535)=0,"—","SÍ ("&amp;COUNTIFS(NOVEDADES!$C$4:$C$2003,$B535)&amp;")"))</f>
        <v/>
      </c>
    </row>
    <row r="536">
      <c r="A536" s="41" t="n"/>
      <c r="B536" s="41" t="n"/>
      <c r="C536" s="41" t="n"/>
      <c r="D536" s="41" t="n"/>
      <c r="E536" s="46" t="n"/>
      <c r="F536" s="41" t="n"/>
      <c r="G536" s="41" t="n"/>
      <c r="H536" s="41" t="n"/>
      <c r="I536" s="41" t="n"/>
      <c r="J536" s="47" t="n"/>
      <c r="K536" s="41" t="n"/>
      <c r="L536" s="48" t="n"/>
      <c r="M536" s="45" t="n"/>
      <c r="N536" s="39">
        <f>IF($B536="","",IF(SUMPRODUCT((LISTAS!$O$3:$O$42&lt;&gt;"")*ISNUMBER(SEARCH(LISTAS!$O$3:$O$42,$I536&amp;" "&amp;$K536)))&gt;0,"CERCANA","NACIONAL"))</f>
        <v/>
      </c>
      <c r="O536" s="39">
        <f>IF($B536="","",IF(COUNTIFS(NOVEDADES!$C$4:$C$2003,$B536)=0,"—","SÍ ("&amp;COUNTIFS(NOVEDADES!$C$4:$C$2003,$B536)&amp;")"))</f>
        <v/>
      </c>
    </row>
    <row r="537">
      <c r="A537" s="41" t="n"/>
      <c r="B537" s="41" t="n"/>
      <c r="C537" s="41" t="n"/>
      <c r="D537" s="41" t="n"/>
      <c r="E537" s="46" t="n"/>
      <c r="F537" s="41" t="n"/>
      <c r="G537" s="41" t="n"/>
      <c r="H537" s="41" t="n"/>
      <c r="I537" s="41" t="n"/>
      <c r="J537" s="47" t="n"/>
      <c r="K537" s="41" t="n"/>
      <c r="L537" s="48" t="n"/>
      <c r="M537" s="45" t="n"/>
      <c r="N537" s="39">
        <f>IF($B537="","",IF(SUMPRODUCT((LISTAS!$O$3:$O$42&lt;&gt;"")*ISNUMBER(SEARCH(LISTAS!$O$3:$O$42,$I537&amp;" "&amp;$K537)))&gt;0,"CERCANA","NACIONAL"))</f>
        <v/>
      </c>
      <c r="O537" s="39">
        <f>IF($B537="","",IF(COUNTIFS(NOVEDADES!$C$4:$C$2003,$B537)=0,"—","SÍ ("&amp;COUNTIFS(NOVEDADES!$C$4:$C$2003,$B537)&amp;")"))</f>
        <v/>
      </c>
    </row>
    <row r="538">
      <c r="A538" s="41" t="n"/>
      <c r="B538" s="41" t="n"/>
      <c r="C538" s="41" t="n"/>
      <c r="D538" s="41" t="n"/>
      <c r="E538" s="46" t="n"/>
      <c r="F538" s="41" t="n"/>
      <c r="G538" s="41" t="n"/>
      <c r="H538" s="41" t="n"/>
      <c r="I538" s="41" t="n"/>
      <c r="J538" s="47" t="n"/>
      <c r="K538" s="41" t="n"/>
      <c r="L538" s="48" t="n"/>
      <c r="M538" s="45" t="n"/>
      <c r="N538" s="39">
        <f>IF($B538="","",IF(SUMPRODUCT((LISTAS!$O$3:$O$42&lt;&gt;"")*ISNUMBER(SEARCH(LISTAS!$O$3:$O$42,$I538&amp;" "&amp;$K538)))&gt;0,"CERCANA","NACIONAL"))</f>
        <v/>
      </c>
      <c r="O538" s="39">
        <f>IF($B538="","",IF(COUNTIFS(NOVEDADES!$C$4:$C$2003,$B538)=0,"—","SÍ ("&amp;COUNTIFS(NOVEDADES!$C$4:$C$2003,$B538)&amp;")"))</f>
        <v/>
      </c>
    </row>
    <row r="539">
      <c r="A539" s="41" t="n"/>
      <c r="B539" s="41" t="n"/>
      <c r="C539" s="41" t="n"/>
      <c r="D539" s="41" t="n"/>
      <c r="E539" s="46" t="n"/>
      <c r="F539" s="41" t="n"/>
      <c r="G539" s="41" t="n"/>
      <c r="H539" s="41" t="n"/>
      <c r="I539" s="41" t="n"/>
      <c r="J539" s="47" t="n"/>
      <c r="K539" s="41" t="n"/>
      <c r="L539" s="48" t="n"/>
      <c r="M539" s="45" t="n"/>
      <c r="N539" s="39">
        <f>IF($B539="","",IF(SUMPRODUCT((LISTAS!$O$3:$O$42&lt;&gt;"")*ISNUMBER(SEARCH(LISTAS!$O$3:$O$42,$I539&amp;" "&amp;$K539)))&gt;0,"CERCANA","NACIONAL"))</f>
        <v/>
      </c>
      <c r="O539" s="39">
        <f>IF($B539="","",IF(COUNTIFS(NOVEDADES!$C$4:$C$2003,$B539)=0,"—","SÍ ("&amp;COUNTIFS(NOVEDADES!$C$4:$C$2003,$B539)&amp;")"))</f>
        <v/>
      </c>
    </row>
    <row r="540">
      <c r="A540" s="41" t="n"/>
      <c r="B540" s="41" t="n"/>
      <c r="C540" s="41" t="n"/>
      <c r="D540" s="41" t="n"/>
      <c r="E540" s="46" t="n"/>
      <c r="F540" s="41" t="n"/>
      <c r="G540" s="41" t="n"/>
      <c r="H540" s="41" t="n"/>
      <c r="I540" s="41" t="n"/>
      <c r="J540" s="47" t="n"/>
      <c r="K540" s="41" t="n"/>
      <c r="L540" s="48" t="n"/>
      <c r="M540" s="45" t="n"/>
      <c r="N540" s="39">
        <f>IF($B540="","",IF(SUMPRODUCT((LISTAS!$O$3:$O$42&lt;&gt;"")*ISNUMBER(SEARCH(LISTAS!$O$3:$O$42,$I540&amp;" "&amp;$K540)))&gt;0,"CERCANA","NACIONAL"))</f>
        <v/>
      </c>
      <c r="O540" s="39">
        <f>IF($B540="","",IF(COUNTIFS(NOVEDADES!$C$4:$C$2003,$B540)=0,"—","SÍ ("&amp;COUNTIFS(NOVEDADES!$C$4:$C$2003,$B540)&amp;")"))</f>
        <v/>
      </c>
    </row>
    <row r="541">
      <c r="A541" s="41" t="n"/>
      <c r="B541" s="41" t="n"/>
      <c r="C541" s="41" t="n"/>
      <c r="D541" s="41" t="n"/>
      <c r="E541" s="46" t="n"/>
      <c r="F541" s="41" t="n"/>
      <c r="G541" s="41" t="n"/>
      <c r="H541" s="41" t="n"/>
      <c r="I541" s="41" t="n"/>
      <c r="J541" s="47" t="n"/>
      <c r="K541" s="41" t="n"/>
      <c r="L541" s="48" t="n"/>
      <c r="M541" s="45" t="n"/>
      <c r="N541" s="39">
        <f>IF($B541="","",IF(SUMPRODUCT((LISTAS!$O$3:$O$42&lt;&gt;"")*ISNUMBER(SEARCH(LISTAS!$O$3:$O$42,$I541&amp;" "&amp;$K541)))&gt;0,"CERCANA","NACIONAL"))</f>
        <v/>
      </c>
      <c r="O541" s="39">
        <f>IF($B541="","",IF(COUNTIFS(NOVEDADES!$C$4:$C$2003,$B541)=0,"—","SÍ ("&amp;COUNTIFS(NOVEDADES!$C$4:$C$2003,$B541)&amp;")"))</f>
        <v/>
      </c>
    </row>
    <row r="542">
      <c r="A542" s="41" t="n"/>
      <c r="B542" s="41" t="n"/>
      <c r="C542" s="41" t="n"/>
      <c r="D542" s="41" t="n"/>
      <c r="E542" s="46" t="n"/>
      <c r="F542" s="41" t="n"/>
      <c r="G542" s="41" t="n"/>
      <c r="H542" s="41" t="n"/>
      <c r="I542" s="41" t="n"/>
      <c r="J542" s="47" t="n"/>
      <c r="K542" s="41" t="n"/>
      <c r="L542" s="48" t="n"/>
      <c r="M542" s="45" t="n"/>
      <c r="N542" s="39">
        <f>IF($B542="","",IF(SUMPRODUCT((LISTAS!$O$3:$O$42&lt;&gt;"")*ISNUMBER(SEARCH(LISTAS!$O$3:$O$42,$I542&amp;" "&amp;$K542)))&gt;0,"CERCANA","NACIONAL"))</f>
        <v/>
      </c>
      <c r="O542" s="39">
        <f>IF($B542="","",IF(COUNTIFS(NOVEDADES!$C$4:$C$2003,$B542)=0,"—","SÍ ("&amp;COUNTIFS(NOVEDADES!$C$4:$C$2003,$B542)&amp;")"))</f>
        <v/>
      </c>
    </row>
    <row r="543">
      <c r="A543" s="41" t="n"/>
      <c r="B543" s="41" t="n"/>
      <c r="C543" s="41" t="n"/>
      <c r="D543" s="41" t="n"/>
      <c r="E543" s="46" t="n"/>
      <c r="F543" s="41" t="n"/>
      <c r="G543" s="41" t="n"/>
      <c r="H543" s="41" t="n"/>
      <c r="I543" s="41" t="n"/>
      <c r="J543" s="47" t="n"/>
      <c r="K543" s="41" t="n"/>
      <c r="L543" s="48" t="n"/>
      <c r="M543" s="45" t="n"/>
      <c r="N543" s="39">
        <f>IF($B543="","",IF(SUMPRODUCT((LISTAS!$O$3:$O$42&lt;&gt;"")*ISNUMBER(SEARCH(LISTAS!$O$3:$O$42,$I543&amp;" "&amp;$K543)))&gt;0,"CERCANA","NACIONAL"))</f>
        <v/>
      </c>
      <c r="O543" s="39">
        <f>IF($B543="","",IF(COUNTIFS(NOVEDADES!$C$4:$C$2003,$B543)=0,"—","SÍ ("&amp;COUNTIFS(NOVEDADES!$C$4:$C$2003,$B543)&amp;")"))</f>
        <v/>
      </c>
    </row>
    <row r="544">
      <c r="A544" s="41" t="n"/>
      <c r="B544" s="41" t="n"/>
      <c r="C544" s="41" t="n"/>
      <c r="D544" s="41" t="n"/>
      <c r="E544" s="46" t="n"/>
      <c r="F544" s="41" t="n"/>
      <c r="G544" s="41" t="n"/>
      <c r="H544" s="41" t="n"/>
      <c r="I544" s="41" t="n"/>
      <c r="J544" s="47" t="n"/>
      <c r="K544" s="41" t="n"/>
      <c r="L544" s="48" t="n"/>
      <c r="M544" s="45" t="n"/>
      <c r="N544" s="39">
        <f>IF($B544="","",IF(SUMPRODUCT((LISTAS!$O$3:$O$42&lt;&gt;"")*ISNUMBER(SEARCH(LISTAS!$O$3:$O$42,$I544&amp;" "&amp;$K544)))&gt;0,"CERCANA","NACIONAL"))</f>
        <v/>
      </c>
      <c r="O544" s="39">
        <f>IF($B544="","",IF(COUNTIFS(NOVEDADES!$C$4:$C$2003,$B544)=0,"—","SÍ ("&amp;COUNTIFS(NOVEDADES!$C$4:$C$2003,$B544)&amp;")"))</f>
        <v/>
      </c>
    </row>
    <row r="545">
      <c r="A545" s="41" t="n"/>
      <c r="B545" s="41" t="n"/>
      <c r="C545" s="41" t="n"/>
      <c r="D545" s="41" t="n"/>
      <c r="E545" s="46" t="n"/>
      <c r="F545" s="41" t="n"/>
      <c r="G545" s="41" t="n"/>
      <c r="H545" s="41" t="n"/>
      <c r="I545" s="41" t="n"/>
      <c r="J545" s="47" t="n"/>
      <c r="K545" s="41" t="n"/>
      <c r="L545" s="48" t="n"/>
      <c r="M545" s="45" t="n"/>
      <c r="N545" s="39">
        <f>IF($B545="","",IF(SUMPRODUCT((LISTAS!$O$3:$O$42&lt;&gt;"")*ISNUMBER(SEARCH(LISTAS!$O$3:$O$42,$I545&amp;" "&amp;$K545)))&gt;0,"CERCANA","NACIONAL"))</f>
        <v/>
      </c>
      <c r="O545" s="39">
        <f>IF($B545="","",IF(COUNTIFS(NOVEDADES!$C$4:$C$2003,$B545)=0,"—","SÍ ("&amp;COUNTIFS(NOVEDADES!$C$4:$C$2003,$B545)&amp;")"))</f>
        <v/>
      </c>
    </row>
    <row r="546">
      <c r="A546" s="41" t="n"/>
      <c r="B546" s="41" t="n"/>
      <c r="C546" s="41" t="n"/>
      <c r="D546" s="41" t="n"/>
      <c r="E546" s="46" t="n"/>
      <c r="F546" s="41" t="n"/>
      <c r="G546" s="41" t="n"/>
      <c r="H546" s="41" t="n"/>
      <c r="I546" s="41" t="n"/>
      <c r="J546" s="47" t="n"/>
      <c r="K546" s="41" t="n"/>
      <c r="L546" s="48" t="n"/>
      <c r="M546" s="45" t="n"/>
      <c r="N546" s="39">
        <f>IF($B546="","",IF(SUMPRODUCT((LISTAS!$O$3:$O$42&lt;&gt;"")*ISNUMBER(SEARCH(LISTAS!$O$3:$O$42,$I546&amp;" "&amp;$K546)))&gt;0,"CERCANA","NACIONAL"))</f>
        <v/>
      </c>
      <c r="O546" s="39">
        <f>IF($B546="","",IF(COUNTIFS(NOVEDADES!$C$4:$C$2003,$B546)=0,"—","SÍ ("&amp;COUNTIFS(NOVEDADES!$C$4:$C$2003,$B546)&amp;")"))</f>
        <v/>
      </c>
    </row>
    <row r="547">
      <c r="A547" s="41" t="n"/>
      <c r="B547" s="41" t="n"/>
      <c r="C547" s="41" t="n"/>
      <c r="D547" s="41" t="n"/>
      <c r="E547" s="46" t="n"/>
      <c r="F547" s="41" t="n"/>
      <c r="G547" s="41" t="n"/>
      <c r="H547" s="41" t="n"/>
      <c r="I547" s="41" t="n"/>
      <c r="J547" s="47" t="n"/>
      <c r="K547" s="41" t="n"/>
      <c r="L547" s="48" t="n"/>
      <c r="M547" s="45" t="n"/>
      <c r="N547" s="39">
        <f>IF($B547="","",IF(SUMPRODUCT((LISTAS!$O$3:$O$42&lt;&gt;"")*ISNUMBER(SEARCH(LISTAS!$O$3:$O$42,$I547&amp;" "&amp;$K547)))&gt;0,"CERCANA","NACIONAL"))</f>
        <v/>
      </c>
      <c r="O547" s="39">
        <f>IF($B547="","",IF(COUNTIFS(NOVEDADES!$C$4:$C$2003,$B547)=0,"—","SÍ ("&amp;COUNTIFS(NOVEDADES!$C$4:$C$2003,$B547)&amp;")"))</f>
        <v/>
      </c>
    </row>
    <row r="548">
      <c r="A548" s="41" t="n"/>
      <c r="B548" s="41" t="n"/>
      <c r="C548" s="41" t="n"/>
      <c r="D548" s="41" t="n"/>
      <c r="E548" s="46" t="n"/>
      <c r="F548" s="41" t="n"/>
      <c r="G548" s="41" t="n"/>
      <c r="H548" s="41" t="n"/>
      <c r="I548" s="41" t="n"/>
      <c r="J548" s="47" t="n"/>
      <c r="K548" s="41" t="n"/>
      <c r="L548" s="48" t="n"/>
      <c r="M548" s="45" t="n"/>
      <c r="N548" s="39">
        <f>IF($B548="","",IF(SUMPRODUCT((LISTAS!$O$3:$O$42&lt;&gt;"")*ISNUMBER(SEARCH(LISTAS!$O$3:$O$42,$I548&amp;" "&amp;$K548)))&gt;0,"CERCANA","NACIONAL"))</f>
        <v/>
      </c>
      <c r="O548" s="39">
        <f>IF($B548="","",IF(COUNTIFS(NOVEDADES!$C$4:$C$2003,$B548)=0,"—","SÍ ("&amp;COUNTIFS(NOVEDADES!$C$4:$C$2003,$B548)&amp;")"))</f>
        <v/>
      </c>
    </row>
    <row r="549">
      <c r="A549" s="41" t="n"/>
      <c r="B549" s="41" t="n"/>
      <c r="C549" s="41" t="n"/>
      <c r="D549" s="41" t="n"/>
      <c r="E549" s="46" t="n"/>
      <c r="F549" s="41" t="n"/>
      <c r="G549" s="41" t="n"/>
      <c r="H549" s="41" t="n"/>
      <c r="I549" s="41" t="n"/>
      <c r="J549" s="47" t="n"/>
      <c r="K549" s="41" t="n"/>
      <c r="L549" s="48" t="n"/>
      <c r="M549" s="45" t="n"/>
      <c r="N549" s="39">
        <f>IF($B549="","",IF(SUMPRODUCT((LISTAS!$O$3:$O$42&lt;&gt;"")*ISNUMBER(SEARCH(LISTAS!$O$3:$O$42,$I549&amp;" "&amp;$K549)))&gt;0,"CERCANA","NACIONAL"))</f>
        <v/>
      </c>
      <c r="O549" s="39">
        <f>IF($B549="","",IF(COUNTIFS(NOVEDADES!$C$4:$C$2003,$B549)=0,"—","SÍ ("&amp;COUNTIFS(NOVEDADES!$C$4:$C$2003,$B549)&amp;")"))</f>
        <v/>
      </c>
    </row>
    <row r="550">
      <c r="A550" s="41" t="n"/>
      <c r="B550" s="41" t="n"/>
      <c r="C550" s="41" t="n"/>
      <c r="D550" s="41" t="n"/>
      <c r="E550" s="46" t="n"/>
      <c r="F550" s="41" t="n"/>
      <c r="G550" s="41" t="n"/>
      <c r="H550" s="41" t="n"/>
      <c r="I550" s="41" t="n"/>
      <c r="J550" s="47" t="n"/>
      <c r="K550" s="41" t="n"/>
      <c r="L550" s="48" t="n"/>
      <c r="M550" s="45" t="n"/>
      <c r="N550" s="39">
        <f>IF($B550="","",IF(SUMPRODUCT((LISTAS!$O$3:$O$42&lt;&gt;"")*ISNUMBER(SEARCH(LISTAS!$O$3:$O$42,$I550&amp;" "&amp;$K550)))&gt;0,"CERCANA","NACIONAL"))</f>
        <v/>
      </c>
      <c r="O550" s="39">
        <f>IF($B550="","",IF(COUNTIFS(NOVEDADES!$C$4:$C$2003,$B550)=0,"—","SÍ ("&amp;COUNTIFS(NOVEDADES!$C$4:$C$2003,$B550)&amp;")"))</f>
        <v/>
      </c>
    </row>
    <row r="551">
      <c r="A551" s="41" t="n"/>
      <c r="B551" s="41" t="n"/>
      <c r="C551" s="41" t="n"/>
      <c r="D551" s="41" t="n"/>
      <c r="E551" s="46" t="n"/>
      <c r="F551" s="41" t="n"/>
      <c r="G551" s="41" t="n"/>
      <c r="H551" s="41" t="n"/>
      <c r="I551" s="41" t="n"/>
      <c r="J551" s="47" t="n"/>
      <c r="K551" s="41" t="n"/>
      <c r="L551" s="48" t="n"/>
      <c r="M551" s="45" t="n"/>
      <c r="N551" s="39">
        <f>IF($B551="","",IF(SUMPRODUCT((LISTAS!$O$3:$O$42&lt;&gt;"")*ISNUMBER(SEARCH(LISTAS!$O$3:$O$42,$I551&amp;" "&amp;$K551)))&gt;0,"CERCANA","NACIONAL"))</f>
        <v/>
      </c>
      <c r="O551" s="39">
        <f>IF($B551="","",IF(COUNTIFS(NOVEDADES!$C$4:$C$2003,$B551)=0,"—","SÍ ("&amp;COUNTIFS(NOVEDADES!$C$4:$C$2003,$B551)&amp;")"))</f>
        <v/>
      </c>
    </row>
    <row r="552">
      <c r="A552" s="41" t="n"/>
      <c r="B552" s="41" t="n"/>
      <c r="C552" s="41" t="n"/>
      <c r="D552" s="41" t="n"/>
      <c r="E552" s="46" t="n"/>
      <c r="F552" s="41" t="n"/>
      <c r="G552" s="41" t="n"/>
      <c r="H552" s="41" t="n"/>
      <c r="I552" s="41" t="n"/>
      <c r="J552" s="47" t="n"/>
      <c r="K552" s="41" t="n"/>
      <c r="L552" s="48" t="n"/>
      <c r="M552" s="45" t="n"/>
      <c r="N552" s="39">
        <f>IF($B552="","",IF(SUMPRODUCT((LISTAS!$O$3:$O$42&lt;&gt;"")*ISNUMBER(SEARCH(LISTAS!$O$3:$O$42,$I552&amp;" "&amp;$K552)))&gt;0,"CERCANA","NACIONAL"))</f>
        <v/>
      </c>
      <c r="O552" s="39">
        <f>IF($B552="","",IF(COUNTIFS(NOVEDADES!$C$4:$C$2003,$B552)=0,"—","SÍ ("&amp;COUNTIFS(NOVEDADES!$C$4:$C$2003,$B552)&amp;")"))</f>
        <v/>
      </c>
    </row>
    <row r="553">
      <c r="A553" s="41" t="n"/>
      <c r="B553" s="41" t="n"/>
      <c r="C553" s="41" t="n"/>
      <c r="D553" s="41" t="n"/>
      <c r="E553" s="46" t="n"/>
      <c r="F553" s="41" t="n"/>
      <c r="G553" s="41" t="n"/>
      <c r="H553" s="41" t="n"/>
      <c r="I553" s="41" t="n"/>
      <c r="J553" s="47" t="n"/>
      <c r="K553" s="41" t="n"/>
      <c r="L553" s="48" t="n"/>
      <c r="M553" s="45" t="n"/>
      <c r="N553" s="39">
        <f>IF($B553="","",IF(SUMPRODUCT((LISTAS!$O$3:$O$42&lt;&gt;"")*ISNUMBER(SEARCH(LISTAS!$O$3:$O$42,$I553&amp;" "&amp;$K553)))&gt;0,"CERCANA","NACIONAL"))</f>
        <v/>
      </c>
      <c r="O553" s="39">
        <f>IF($B553="","",IF(COUNTIFS(NOVEDADES!$C$4:$C$2003,$B553)=0,"—","SÍ ("&amp;COUNTIFS(NOVEDADES!$C$4:$C$2003,$B553)&amp;")"))</f>
        <v/>
      </c>
    </row>
    <row r="554">
      <c r="A554" s="41" t="n"/>
      <c r="B554" s="41" t="n"/>
      <c r="C554" s="41" t="n"/>
      <c r="D554" s="41" t="n"/>
      <c r="E554" s="46" t="n"/>
      <c r="F554" s="41" t="n"/>
      <c r="G554" s="41" t="n"/>
      <c r="H554" s="41" t="n"/>
      <c r="I554" s="41" t="n"/>
      <c r="J554" s="47" t="n"/>
      <c r="K554" s="41" t="n"/>
      <c r="L554" s="48" t="n"/>
      <c r="M554" s="45" t="n"/>
      <c r="N554" s="39">
        <f>IF($B554="","",IF(SUMPRODUCT((LISTAS!$O$3:$O$42&lt;&gt;"")*ISNUMBER(SEARCH(LISTAS!$O$3:$O$42,$I554&amp;" "&amp;$K554)))&gt;0,"CERCANA","NACIONAL"))</f>
        <v/>
      </c>
      <c r="O554" s="39">
        <f>IF($B554="","",IF(COUNTIFS(NOVEDADES!$C$4:$C$2003,$B554)=0,"—","SÍ ("&amp;COUNTIFS(NOVEDADES!$C$4:$C$2003,$B554)&amp;")"))</f>
        <v/>
      </c>
    </row>
    <row r="555">
      <c r="A555" s="41" t="n"/>
      <c r="B555" s="41" t="n"/>
      <c r="C555" s="41" t="n"/>
      <c r="D555" s="41" t="n"/>
      <c r="E555" s="46" t="n"/>
      <c r="F555" s="41" t="n"/>
      <c r="G555" s="41" t="n"/>
      <c r="H555" s="41" t="n"/>
      <c r="I555" s="41" t="n"/>
      <c r="J555" s="47" t="n"/>
      <c r="K555" s="41" t="n"/>
      <c r="L555" s="48" t="n"/>
      <c r="M555" s="45" t="n"/>
      <c r="N555" s="39">
        <f>IF($B555="","",IF(SUMPRODUCT((LISTAS!$O$3:$O$42&lt;&gt;"")*ISNUMBER(SEARCH(LISTAS!$O$3:$O$42,$I555&amp;" "&amp;$K555)))&gt;0,"CERCANA","NACIONAL"))</f>
        <v/>
      </c>
      <c r="O555" s="39">
        <f>IF($B555="","",IF(COUNTIFS(NOVEDADES!$C$4:$C$2003,$B555)=0,"—","SÍ ("&amp;COUNTIFS(NOVEDADES!$C$4:$C$2003,$B555)&amp;")"))</f>
        <v/>
      </c>
    </row>
    <row r="556">
      <c r="A556" s="41" t="n"/>
      <c r="B556" s="41" t="n"/>
      <c r="C556" s="41" t="n"/>
      <c r="D556" s="41" t="n"/>
      <c r="E556" s="46" t="n"/>
      <c r="F556" s="41" t="n"/>
      <c r="G556" s="41" t="n"/>
      <c r="H556" s="41" t="n"/>
      <c r="I556" s="41" t="n"/>
      <c r="J556" s="47" t="n"/>
      <c r="K556" s="41" t="n"/>
      <c r="L556" s="48" t="n"/>
      <c r="M556" s="45" t="n"/>
      <c r="N556" s="39">
        <f>IF($B556="","",IF(SUMPRODUCT((LISTAS!$O$3:$O$42&lt;&gt;"")*ISNUMBER(SEARCH(LISTAS!$O$3:$O$42,$I556&amp;" "&amp;$K556)))&gt;0,"CERCANA","NACIONAL"))</f>
        <v/>
      </c>
      <c r="O556" s="39">
        <f>IF($B556="","",IF(COUNTIFS(NOVEDADES!$C$4:$C$2003,$B556)=0,"—","SÍ ("&amp;COUNTIFS(NOVEDADES!$C$4:$C$2003,$B556)&amp;")"))</f>
        <v/>
      </c>
    </row>
    <row r="557">
      <c r="A557" s="41" t="n"/>
      <c r="B557" s="41" t="n"/>
      <c r="C557" s="41" t="n"/>
      <c r="D557" s="41" t="n"/>
      <c r="E557" s="46" t="n"/>
      <c r="F557" s="41" t="n"/>
      <c r="G557" s="41" t="n"/>
      <c r="H557" s="41" t="n"/>
      <c r="I557" s="41" t="n"/>
      <c r="J557" s="47" t="n"/>
      <c r="K557" s="41" t="n"/>
      <c r="L557" s="48" t="n"/>
      <c r="M557" s="45" t="n"/>
      <c r="N557" s="39">
        <f>IF($B557="","",IF(SUMPRODUCT((LISTAS!$O$3:$O$42&lt;&gt;"")*ISNUMBER(SEARCH(LISTAS!$O$3:$O$42,$I557&amp;" "&amp;$K557)))&gt;0,"CERCANA","NACIONAL"))</f>
        <v/>
      </c>
      <c r="O557" s="39">
        <f>IF($B557="","",IF(COUNTIFS(NOVEDADES!$C$4:$C$2003,$B557)=0,"—","SÍ ("&amp;COUNTIFS(NOVEDADES!$C$4:$C$2003,$B557)&amp;")"))</f>
        <v/>
      </c>
    </row>
    <row r="558">
      <c r="A558" s="41" t="n"/>
      <c r="B558" s="41" t="n"/>
      <c r="C558" s="41" t="n"/>
      <c r="D558" s="41" t="n"/>
      <c r="E558" s="46" t="n"/>
      <c r="F558" s="41" t="n"/>
      <c r="G558" s="41" t="n"/>
      <c r="H558" s="41" t="n"/>
      <c r="I558" s="41" t="n"/>
      <c r="J558" s="47" t="n"/>
      <c r="K558" s="41" t="n"/>
      <c r="L558" s="48" t="n"/>
      <c r="M558" s="45" t="n"/>
      <c r="N558" s="39">
        <f>IF($B558="","",IF(SUMPRODUCT((LISTAS!$O$3:$O$42&lt;&gt;"")*ISNUMBER(SEARCH(LISTAS!$O$3:$O$42,$I558&amp;" "&amp;$K558)))&gt;0,"CERCANA","NACIONAL"))</f>
        <v/>
      </c>
      <c r="O558" s="39">
        <f>IF($B558="","",IF(COUNTIFS(NOVEDADES!$C$4:$C$2003,$B558)=0,"—","SÍ ("&amp;COUNTIFS(NOVEDADES!$C$4:$C$2003,$B558)&amp;")"))</f>
        <v/>
      </c>
    </row>
    <row r="559">
      <c r="A559" s="41" t="n"/>
      <c r="B559" s="41" t="n"/>
      <c r="C559" s="41" t="n"/>
      <c r="D559" s="41" t="n"/>
      <c r="E559" s="46" t="n"/>
      <c r="F559" s="41" t="n"/>
      <c r="G559" s="41" t="n"/>
      <c r="H559" s="41" t="n"/>
      <c r="I559" s="41" t="n"/>
      <c r="J559" s="47" t="n"/>
      <c r="K559" s="41" t="n"/>
      <c r="L559" s="48" t="n"/>
      <c r="M559" s="45" t="n"/>
      <c r="N559" s="39">
        <f>IF($B559="","",IF(SUMPRODUCT((LISTAS!$O$3:$O$42&lt;&gt;"")*ISNUMBER(SEARCH(LISTAS!$O$3:$O$42,$I559&amp;" "&amp;$K559)))&gt;0,"CERCANA","NACIONAL"))</f>
        <v/>
      </c>
      <c r="O559" s="39">
        <f>IF($B559="","",IF(COUNTIFS(NOVEDADES!$C$4:$C$2003,$B559)=0,"—","SÍ ("&amp;COUNTIFS(NOVEDADES!$C$4:$C$2003,$B559)&amp;")"))</f>
        <v/>
      </c>
    </row>
    <row r="560">
      <c r="A560" s="41" t="n"/>
      <c r="B560" s="41" t="n"/>
      <c r="C560" s="41" t="n"/>
      <c r="D560" s="41" t="n"/>
      <c r="E560" s="46" t="n"/>
      <c r="F560" s="41" t="n"/>
      <c r="G560" s="41" t="n"/>
      <c r="H560" s="41" t="n"/>
      <c r="I560" s="41" t="n"/>
      <c r="J560" s="47" t="n"/>
      <c r="K560" s="41" t="n"/>
      <c r="L560" s="48" t="n"/>
      <c r="M560" s="45" t="n"/>
      <c r="N560" s="39">
        <f>IF($B560="","",IF(SUMPRODUCT((LISTAS!$O$3:$O$42&lt;&gt;"")*ISNUMBER(SEARCH(LISTAS!$O$3:$O$42,$I560&amp;" "&amp;$K560)))&gt;0,"CERCANA","NACIONAL"))</f>
        <v/>
      </c>
      <c r="O560" s="39">
        <f>IF($B560="","",IF(COUNTIFS(NOVEDADES!$C$4:$C$2003,$B560)=0,"—","SÍ ("&amp;COUNTIFS(NOVEDADES!$C$4:$C$2003,$B560)&amp;")"))</f>
        <v/>
      </c>
    </row>
    <row r="561">
      <c r="A561" s="41" t="n"/>
      <c r="B561" s="41" t="n"/>
      <c r="C561" s="41" t="n"/>
      <c r="D561" s="41" t="n"/>
      <c r="E561" s="46" t="n"/>
      <c r="F561" s="41" t="n"/>
      <c r="G561" s="41" t="n"/>
      <c r="H561" s="41" t="n"/>
      <c r="I561" s="41" t="n"/>
      <c r="J561" s="47" t="n"/>
      <c r="K561" s="41" t="n"/>
      <c r="L561" s="48" t="n"/>
      <c r="M561" s="45" t="n"/>
      <c r="N561" s="39">
        <f>IF($B561="","",IF(SUMPRODUCT((LISTAS!$O$3:$O$42&lt;&gt;"")*ISNUMBER(SEARCH(LISTAS!$O$3:$O$42,$I561&amp;" "&amp;$K561)))&gt;0,"CERCANA","NACIONAL"))</f>
        <v/>
      </c>
      <c r="O561" s="39">
        <f>IF($B561="","",IF(COUNTIFS(NOVEDADES!$C$4:$C$2003,$B561)=0,"—","SÍ ("&amp;COUNTIFS(NOVEDADES!$C$4:$C$2003,$B561)&amp;")"))</f>
        <v/>
      </c>
    </row>
    <row r="562">
      <c r="A562" s="41" t="n"/>
      <c r="B562" s="41" t="n"/>
      <c r="C562" s="41" t="n"/>
      <c r="D562" s="41" t="n"/>
      <c r="E562" s="46" t="n"/>
      <c r="F562" s="41" t="n"/>
      <c r="G562" s="41" t="n"/>
      <c r="H562" s="41" t="n"/>
      <c r="I562" s="41" t="n"/>
      <c r="J562" s="47" t="n"/>
      <c r="K562" s="41" t="n"/>
      <c r="L562" s="48" t="n"/>
      <c r="M562" s="45" t="n"/>
      <c r="N562" s="39">
        <f>IF($B562="","",IF(SUMPRODUCT((LISTAS!$O$3:$O$42&lt;&gt;"")*ISNUMBER(SEARCH(LISTAS!$O$3:$O$42,$I562&amp;" "&amp;$K562)))&gt;0,"CERCANA","NACIONAL"))</f>
        <v/>
      </c>
      <c r="O562" s="39">
        <f>IF($B562="","",IF(COUNTIFS(NOVEDADES!$C$4:$C$2003,$B562)=0,"—","SÍ ("&amp;COUNTIFS(NOVEDADES!$C$4:$C$2003,$B562)&amp;")"))</f>
        <v/>
      </c>
    </row>
    <row r="563">
      <c r="A563" s="41" t="n"/>
      <c r="B563" s="41" t="n"/>
      <c r="C563" s="41" t="n"/>
      <c r="D563" s="41" t="n"/>
      <c r="E563" s="46" t="n"/>
      <c r="F563" s="41" t="n"/>
      <c r="G563" s="41" t="n"/>
      <c r="H563" s="41" t="n"/>
      <c r="I563" s="41" t="n"/>
      <c r="J563" s="47" t="n"/>
      <c r="K563" s="41" t="n"/>
      <c r="L563" s="48" t="n"/>
      <c r="M563" s="45" t="n"/>
      <c r="N563" s="39">
        <f>IF($B563="","",IF(SUMPRODUCT((LISTAS!$O$3:$O$42&lt;&gt;"")*ISNUMBER(SEARCH(LISTAS!$O$3:$O$42,$I563&amp;" "&amp;$K563)))&gt;0,"CERCANA","NACIONAL"))</f>
        <v/>
      </c>
      <c r="O563" s="39">
        <f>IF($B563="","",IF(COUNTIFS(NOVEDADES!$C$4:$C$2003,$B563)=0,"—","SÍ ("&amp;COUNTIFS(NOVEDADES!$C$4:$C$2003,$B563)&amp;")"))</f>
        <v/>
      </c>
    </row>
    <row r="564">
      <c r="A564" s="41" t="n"/>
      <c r="B564" s="41" t="n"/>
      <c r="C564" s="41" t="n"/>
      <c r="D564" s="41" t="n"/>
      <c r="E564" s="46" t="n"/>
      <c r="F564" s="41" t="n"/>
      <c r="G564" s="41" t="n"/>
      <c r="H564" s="41" t="n"/>
      <c r="I564" s="41" t="n"/>
      <c r="J564" s="47" t="n"/>
      <c r="K564" s="41" t="n"/>
      <c r="L564" s="48" t="n"/>
      <c r="M564" s="45" t="n"/>
      <c r="N564" s="39">
        <f>IF($B564="","",IF(SUMPRODUCT((LISTAS!$O$3:$O$42&lt;&gt;"")*ISNUMBER(SEARCH(LISTAS!$O$3:$O$42,$I564&amp;" "&amp;$K564)))&gt;0,"CERCANA","NACIONAL"))</f>
        <v/>
      </c>
      <c r="O564" s="39">
        <f>IF($B564="","",IF(COUNTIFS(NOVEDADES!$C$4:$C$2003,$B564)=0,"—","SÍ ("&amp;COUNTIFS(NOVEDADES!$C$4:$C$2003,$B564)&amp;")"))</f>
        <v/>
      </c>
    </row>
    <row r="565">
      <c r="A565" s="41" t="n"/>
      <c r="B565" s="41" t="n"/>
      <c r="C565" s="41" t="n"/>
      <c r="D565" s="41" t="n"/>
      <c r="E565" s="46" t="n"/>
      <c r="F565" s="41" t="n"/>
      <c r="G565" s="41" t="n"/>
      <c r="H565" s="41" t="n"/>
      <c r="I565" s="41" t="n"/>
      <c r="J565" s="47" t="n"/>
      <c r="K565" s="41" t="n"/>
      <c r="L565" s="48" t="n"/>
      <c r="M565" s="45" t="n"/>
      <c r="N565" s="39">
        <f>IF($B565="","",IF(SUMPRODUCT((LISTAS!$O$3:$O$42&lt;&gt;"")*ISNUMBER(SEARCH(LISTAS!$O$3:$O$42,$I565&amp;" "&amp;$K565)))&gt;0,"CERCANA","NACIONAL"))</f>
        <v/>
      </c>
      <c r="O565" s="39">
        <f>IF($B565="","",IF(COUNTIFS(NOVEDADES!$C$4:$C$2003,$B565)=0,"—","SÍ ("&amp;COUNTIFS(NOVEDADES!$C$4:$C$2003,$B565)&amp;")"))</f>
        <v/>
      </c>
    </row>
    <row r="566">
      <c r="A566" s="41" t="n"/>
      <c r="B566" s="41" t="n"/>
      <c r="C566" s="41" t="n"/>
      <c r="D566" s="41" t="n"/>
      <c r="E566" s="46" t="n"/>
      <c r="F566" s="41" t="n"/>
      <c r="G566" s="41" t="n"/>
      <c r="H566" s="41" t="n"/>
      <c r="I566" s="41" t="n"/>
      <c r="J566" s="47" t="n"/>
      <c r="K566" s="41" t="n"/>
      <c r="L566" s="48" t="n"/>
      <c r="M566" s="45" t="n"/>
      <c r="N566" s="39">
        <f>IF($B566="","",IF(SUMPRODUCT((LISTAS!$O$3:$O$42&lt;&gt;"")*ISNUMBER(SEARCH(LISTAS!$O$3:$O$42,$I566&amp;" "&amp;$K566)))&gt;0,"CERCANA","NACIONAL"))</f>
        <v/>
      </c>
      <c r="O566" s="39">
        <f>IF($B566="","",IF(COUNTIFS(NOVEDADES!$C$4:$C$2003,$B566)=0,"—","SÍ ("&amp;COUNTIFS(NOVEDADES!$C$4:$C$2003,$B566)&amp;")"))</f>
        <v/>
      </c>
    </row>
    <row r="567">
      <c r="A567" s="41" t="n"/>
      <c r="B567" s="41" t="n"/>
      <c r="C567" s="41" t="n"/>
      <c r="D567" s="41" t="n"/>
      <c r="E567" s="46" t="n"/>
      <c r="F567" s="41" t="n"/>
      <c r="G567" s="41" t="n"/>
      <c r="H567" s="41" t="n"/>
      <c r="I567" s="41" t="n"/>
      <c r="J567" s="47" t="n"/>
      <c r="K567" s="41" t="n"/>
      <c r="L567" s="48" t="n"/>
      <c r="M567" s="45" t="n"/>
      <c r="N567" s="39">
        <f>IF($B567="","",IF(SUMPRODUCT((LISTAS!$O$3:$O$42&lt;&gt;"")*ISNUMBER(SEARCH(LISTAS!$O$3:$O$42,$I567&amp;" "&amp;$K567)))&gt;0,"CERCANA","NACIONAL"))</f>
        <v/>
      </c>
      <c r="O567" s="39">
        <f>IF($B567="","",IF(COUNTIFS(NOVEDADES!$C$4:$C$2003,$B567)=0,"—","SÍ ("&amp;COUNTIFS(NOVEDADES!$C$4:$C$2003,$B567)&amp;")"))</f>
        <v/>
      </c>
    </row>
    <row r="568">
      <c r="A568" s="41" t="n"/>
      <c r="B568" s="41" t="n"/>
      <c r="C568" s="41" t="n"/>
      <c r="D568" s="41" t="n"/>
      <c r="E568" s="46" t="n"/>
      <c r="F568" s="41" t="n"/>
      <c r="G568" s="41" t="n"/>
      <c r="H568" s="41" t="n"/>
      <c r="I568" s="41" t="n"/>
      <c r="J568" s="47" t="n"/>
      <c r="K568" s="41" t="n"/>
      <c r="L568" s="48" t="n"/>
      <c r="M568" s="45" t="n"/>
      <c r="N568" s="39">
        <f>IF($B568="","",IF(SUMPRODUCT((LISTAS!$O$3:$O$42&lt;&gt;"")*ISNUMBER(SEARCH(LISTAS!$O$3:$O$42,$I568&amp;" "&amp;$K568)))&gt;0,"CERCANA","NACIONAL"))</f>
        <v/>
      </c>
      <c r="O568" s="39">
        <f>IF($B568="","",IF(COUNTIFS(NOVEDADES!$C$4:$C$2003,$B568)=0,"—","SÍ ("&amp;COUNTIFS(NOVEDADES!$C$4:$C$2003,$B568)&amp;")"))</f>
        <v/>
      </c>
    </row>
    <row r="569">
      <c r="A569" s="41" t="n"/>
      <c r="B569" s="41" t="n"/>
      <c r="C569" s="41" t="n"/>
      <c r="D569" s="41" t="n"/>
      <c r="E569" s="46" t="n"/>
      <c r="F569" s="41" t="n"/>
      <c r="G569" s="41" t="n"/>
      <c r="H569" s="41" t="n"/>
      <c r="I569" s="41" t="n"/>
      <c r="J569" s="47" t="n"/>
      <c r="K569" s="41" t="n"/>
      <c r="L569" s="48" t="n"/>
      <c r="M569" s="45" t="n"/>
      <c r="N569" s="39">
        <f>IF($B569="","",IF(SUMPRODUCT((LISTAS!$O$3:$O$42&lt;&gt;"")*ISNUMBER(SEARCH(LISTAS!$O$3:$O$42,$I569&amp;" "&amp;$K569)))&gt;0,"CERCANA","NACIONAL"))</f>
        <v/>
      </c>
      <c r="O569" s="39">
        <f>IF($B569="","",IF(COUNTIFS(NOVEDADES!$C$4:$C$2003,$B569)=0,"—","SÍ ("&amp;COUNTIFS(NOVEDADES!$C$4:$C$2003,$B569)&amp;")"))</f>
        <v/>
      </c>
    </row>
    <row r="570">
      <c r="A570" s="41" t="n"/>
      <c r="B570" s="41" t="n"/>
      <c r="C570" s="41" t="n"/>
      <c r="D570" s="41" t="n"/>
      <c r="E570" s="46" t="n"/>
      <c r="F570" s="41" t="n"/>
      <c r="G570" s="41" t="n"/>
      <c r="H570" s="41" t="n"/>
      <c r="I570" s="41" t="n"/>
      <c r="J570" s="47" t="n"/>
      <c r="K570" s="41" t="n"/>
      <c r="L570" s="48" t="n"/>
      <c r="M570" s="45" t="n"/>
      <c r="N570" s="39">
        <f>IF($B570="","",IF(SUMPRODUCT((LISTAS!$O$3:$O$42&lt;&gt;"")*ISNUMBER(SEARCH(LISTAS!$O$3:$O$42,$I570&amp;" "&amp;$K570)))&gt;0,"CERCANA","NACIONAL"))</f>
        <v/>
      </c>
      <c r="O570" s="39">
        <f>IF($B570="","",IF(COUNTIFS(NOVEDADES!$C$4:$C$2003,$B570)=0,"—","SÍ ("&amp;COUNTIFS(NOVEDADES!$C$4:$C$2003,$B570)&amp;")"))</f>
        <v/>
      </c>
    </row>
    <row r="571">
      <c r="A571" s="41" t="n"/>
      <c r="B571" s="41" t="n"/>
      <c r="C571" s="41" t="n"/>
      <c r="D571" s="41" t="n"/>
      <c r="E571" s="46" t="n"/>
      <c r="F571" s="41" t="n"/>
      <c r="G571" s="41" t="n"/>
      <c r="H571" s="41" t="n"/>
      <c r="I571" s="41" t="n"/>
      <c r="J571" s="47" t="n"/>
      <c r="K571" s="41" t="n"/>
      <c r="L571" s="48" t="n"/>
      <c r="M571" s="45" t="n"/>
      <c r="N571" s="39">
        <f>IF($B571="","",IF(SUMPRODUCT((LISTAS!$O$3:$O$42&lt;&gt;"")*ISNUMBER(SEARCH(LISTAS!$O$3:$O$42,$I571&amp;" "&amp;$K571)))&gt;0,"CERCANA","NACIONAL"))</f>
        <v/>
      </c>
      <c r="O571" s="39">
        <f>IF($B571="","",IF(COUNTIFS(NOVEDADES!$C$4:$C$2003,$B571)=0,"—","SÍ ("&amp;COUNTIFS(NOVEDADES!$C$4:$C$2003,$B571)&amp;")"))</f>
        <v/>
      </c>
    </row>
    <row r="572">
      <c r="A572" s="41" t="n"/>
      <c r="B572" s="41" t="n"/>
      <c r="C572" s="41" t="n"/>
      <c r="D572" s="41" t="n"/>
      <c r="E572" s="46" t="n"/>
      <c r="F572" s="41" t="n"/>
      <c r="G572" s="41" t="n"/>
      <c r="H572" s="41" t="n"/>
      <c r="I572" s="41" t="n"/>
      <c r="J572" s="47" t="n"/>
      <c r="K572" s="41" t="n"/>
      <c r="L572" s="48" t="n"/>
      <c r="M572" s="45" t="n"/>
      <c r="N572" s="39">
        <f>IF($B572="","",IF(SUMPRODUCT((LISTAS!$O$3:$O$42&lt;&gt;"")*ISNUMBER(SEARCH(LISTAS!$O$3:$O$42,$I572&amp;" "&amp;$K572)))&gt;0,"CERCANA","NACIONAL"))</f>
        <v/>
      </c>
      <c r="O572" s="39">
        <f>IF($B572="","",IF(COUNTIFS(NOVEDADES!$C$4:$C$2003,$B572)=0,"—","SÍ ("&amp;COUNTIFS(NOVEDADES!$C$4:$C$2003,$B572)&amp;")"))</f>
        <v/>
      </c>
    </row>
    <row r="573">
      <c r="A573" s="41" t="n"/>
      <c r="B573" s="41" t="n"/>
      <c r="C573" s="41" t="n"/>
      <c r="D573" s="41" t="n"/>
      <c r="E573" s="46" t="n"/>
      <c r="F573" s="41" t="n"/>
      <c r="G573" s="41" t="n"/>
      <c r="H573" s="41" t="n"/>
      <c r="I573" s="41" t="n"/>
      <c r="J573" s="47" t="n"/>
      <c r="K573" s="41" t="n"/>
      <c r="L573" s="48" t="n"/>
      <c r="M573" s="45" t="n"/>
      <c r="N573" s="39">
        <f>IF($B573="","",IF(SUMPRODUCT((LISTAS!$O$3:$O$42&lt;&gt;"")*ISNUMBER(SEARCH(LISTAS!$O$3:$O$42,$I573&amp;" "&amp;$K573)))&gt;0,"CERCANA","NACIONAL"))</f>
        <v/>
      </c>
      <c r="O573" s="39">
        <f>IF($B573="","",IF(COUNTIFS(NOVEDADES!$C$4:$C$2003,$B573)=0,"—","SÍ ("&amp;COUNTIFS(NOVEDADES!$C$4:$C$2003,$B573)&amp;")"))</f>
        <v/>
      </c>
    </row>
    <row r="574">
      <c r="A574" s="41" t="n"/>
      <c r="B574" s="41" t="n"/>
      <c r="C574" s="41" t="n"/>
      <c r="D574" s="41" t="n"/>
      <c r="E574" s="46" t="n"/>
      <c r="F574" s="41" t="n"/>
      <c r="G574" s="41" t="n"/>
      <c r="H574" s="41" t="n"/>
      <c r="I574" s="41" t="n"/>
      <c r="J574" s="47" t="n"/>
      <c r="K574" s="41" t="n"/>
      <c r="L574" s="48" t="n"/>
      <c r="M574" s="45" t="n"/>
      <c r="N574" s="39">
        <f>IF($B574="","",IF(SUMPRODUCT((LISTAS!$O$3:$O$42&lt;&gt;"")*ISNUMBER(SEARCH(LISTAS!$O$3:$O$42,$I574&amp;" "&amp;$K574)))&gt;0,"CERCANA","NACIONAL"))</f>
        <v/>
      </c>
      <c r="O574" s="39">
        <f>IF($B574="","",IF(COUNTIFS(NOVEDADES!$C$4:$C$2003,$B574)=0,"—","SÍ ("&amp;COUNTIFS(NOVEDADES!$C$4:$C$2003,$B574)&amp;")"))</f>
        <v/>
      </c>
    </row>
    <row r="575">
      <c r="A575" s="41" t="n"/>
      <c r="B575" s="41" t="n"/>
      <c r="C575" s="41" t="n"/>
      <c r="D575" s="41" t="n"/>
      <c r="E575" s="46" t="n"/>
      <c r="F575" s="41" t="n"/>
      <c r="G575" s="41" t="n"/>
      <c r="H575" s="41" t="n"/>
      <c r="I575" s="41" t="n"/>
      <c r="J575" s="47" t="n"/>
      <c r="K575" s="41" t="n"/>
      <c r="L575" s="48" t="n"/>
      <c r="M575" s="45" t="n"/>
      <c r="N575" s="39">
        <f>IF($B575="","",IF(SUMPRODUCT((LISTAS!$O$3:$O$42&lt;&gt;"")*ISNUMBER(SEARCH(LISTAS!$O$3:$O$42,$I575&amp;" "&amp;$K575)))&gt;0,"CERCANA","NACIONAL"))</f>
        <v/>
      </c>
      <c r="O575" s="39">
        <f>IF($B575="","",IF(COUNTIFS(NOVEDADES!$C$4:$C$2003,$B575)=0,"—","SÍ ("&amp;COUNTIFS(NOVEDADES!$C$4:$C$2003,$B575)&amp;")"))</f>
        <v/>
      </c>
    </row>
    <row r="576">
      <c r="A576" s="41" t="n"/>
      <c r="B576" s="41" t="n"/>
      <c r="C576" s="41" t="n"/>
      <c r="D576" s="41" t="n"/>
      <c r="E576" s="46" t="n"/>
      <c r="F576" s="41" t="n"/>
      <c r="G576" s="41" t="n"/>
      <c r="H576" s="41" t="n"/>
      <c r="I576" s="41" t="n"/>
      <c r="J576" s="47" t="n"/>
      <c r="K576" s="41" t="n"/>
      <c r="L576" s="48" t="n"/>
      <c r="M576" s="45" t="n"/>
      <c r="N576" s="39">
        <f>IF($B576="","",IF(SUMPRODUCT((LISTAS!$O$3:$O$42&lt;&gt;"")*ISNUMBER(SEARCH(LISTAS!$O$3:$O$42,$I576&amp;" "&amp;$K576)))&gt;0,"CERCANA","NACIONAL"))</f>
        <v/>
      </c>
      <c r="O576" s="39">
        <f>IF($B576="","",IF(COUNTIFS(NOVEDADES!$C$4:$C$2003,$B576)=0,"—","SÍ ("&amp;COUNTIFS(NOVEDADES!$C$4:$C$2003,$B576)&amp;")"))</f>
        <v/>
      </c>
    </row>
    <row r="577">
      <c r="A577" s="41" t="n"/>
      <c r="B577" s="41" t="n"/>
      <c r="C577" s="41" t="n"/>
      <c r="D577" s="41" t="n"/>
      <c r="E577" s="46" t="n"/>
      <c r="F577" s="41" t="n"/>
      <c r="G577" s="41" t="n"/>
      <c r="H577" s="41" t="n"/>
      <c r="I577" s="41" t="n"/>
      <c r="J577" s="47" t="n"/>
      <c r="K577" s="41" t="n"/>
      <c r="L577" s="48" t="n"/>
      <c r="M577" s="45" t="n"/>
      <c r="N577" s="39">
        <f>IF($B577="","",IF(SUMPRODUCT((LISTAS!$O$3:$O$42&lt;&gt;"")*ISNUMBER(SEARCH(LISTAS!$O$3:$O$42,$I577&amp;" "&amp;$K577)))&gt;0,"CERCANA","NACIONAL"))</f>
        <v/>
      </c>
      <c r="O577" s="39">
        <f>IF($B577="","",IF(COUNTIFS(NOVEDADES!$C$4:$C$2003,$B577)=0,"—","SÍ ("&amp;COUNTIFS(NOVEDADES!$C$4:$C$2003,$B577)&amp;")"))</f>
        <v/>
      </c>
    </row>
    <row r="578">
      <c r="A578" s="41" t="n"/>
      <c r="B578" s="41" t="n"/>
      <c r="C578" s="41" t="n"/>
      <c r="D578" s="41" t="n"/>
      <c r="E578" s="46" t="n"/>
      <c r="F578" s="41" t="n"/>
      <c r="G578" s="41" t="n"/>
      <c r="H578" s="41" t="n"/>
      <c r="I578" s="41" t="n"/>
      <c r="J578" s="47" t="n"/>
      <c r="K578" s="41" t="n"/>
      <c r="L578" s="48" t="n"/>
      <c r="M578" s="45" t="n"/>
      <c r="N578" s="39">
        <f>IF($B578="","",IF(SUMPRODUCT((LISTAS!$O$3:$O$42&lt;&gt;"")*ISNUMBER(SEARCH(LISTAS!$O$3:$O$42,$I578&amp;" "&amp;$K578)))&gt;0,"CERCANA","NACIONAL"))</f>
        <v/>
      </c>
      <c r="O578" s="39">
        <f>IF($B578="","",IF(COUNTIFS(NOVEDADES!$C$4:$C$2003,$B578)=0,"—","SÍ ("&amp;COUNTIFS(NOVEDADES!$C$4:$C$2003,$B578)&amp;")"))</f>
        <v/>
      </c>
    </row>
    <row r="579">
      <c r="A579" s="41" t="n"/>
      <c r="B579" s="41" t="n"/>
      <c r="C579" s="41" t="n"/>
      <c r="D579" s="41" t="n"/>
      <c r="E579" s="46" t="n"/>
      <c r="F579" s="41" t="n"/>
      <c r="G579" s="41" t="n"/>
      <c r="H579" s="41" t="n"/>
      <c r="I579" s="41" t="n"/>
      <c r="J579" s="47" t="n"/>
      <c r="K579" s="41" t="n"/>
      <c r="L579" s="48" t="n"/>
      <c r="M579" s="45" t="n"/>
      <c r="N579" s="39">
        <f>IF($B579="","",IF(SUMPRODUCT((LISTAS!$O$3:$O$42&lt;&gt;"")*ISNUMBER(SEARCH(LISTAS!$O$3:$O$42,$I579&amp;" "&amp;$K579)))&gt;0,"CERCANA","NACIONAL"))</f>
        <v/>
      </c>
      <c r="O579" s="39">
        <f>IF($B579="","",IF(COUNTIFS(NOVEDADES!$C$4:$C$2003,$B579)=0,"—","SÍ ("&amp;COUNTIFS(NOVEDADES!$C$4:$C$2003,$B579)&amp;")"))</f>
        <v/>
      </c>
    </row>
    <row r="580">
      <c r="A580" s="41" t="n"/>
      <c r="B580" s="41" t="n"/>
      <c r="C580" s="41" t="n"/>
      <c r="D580" s="41" t="n"/>
      <c r="E580" s="46" t="n"/>
      <c r="F580" s="41" t="n"/>
      <c r="G580" s="41" t="n"/>
      <c r="H580" s="41" t="n"/>
      <c r="I580" s="41" t="n"/>
      <c r="J580" s="47" t="n"/>
      <c r="K580" s="41" t="n"/>
      <c r="L580" s="48" t="n"/>
      <c r="M580" s="45" t="n"/>
      <c r="N580" s="39">
        <f>IF($B580="","",IF(SUMPRODUCT((LISTAS!$O$3:$O$42&lt;&gt;"")*ISNUMBER(SEARCH(LISTAS!$O$3:$O$42,$I580&amp;" "&amp;$K580)))&gt;0,"CERCANA","NACIONAL"))</f>
        <v/>
      </c>
      <c r="O580" s="39">
        <f>IF($B580="","",IF(COUNTIFS(NOVEDADES!$C$4:$C$2003,$B580)=0,"—","SÍ ("&amp;COUNTIFS(NOVEDADES!$C$4:$C$2003,$B580)&amp;")"))</f>
        <v/>
      </c>
    </row>
    <row r="581">
      <c r="A581" s="41" t="n"/>
      <c r="B581" s="41" t="n"/>
      <c r="C581" s="41" t="n"/>
      <c r="D581" s="41" t="n"/>
      <c r="E581" s="46" t="n"/>
      <c r="F581" s="41" t="n"/>
      <c r="G581" s="41" t="n"/>
      <c r="H581" s="41" t="n"/>
      <c r="I581" s="41" t="n"/>
      <c r="J581" s="47" t="n"/>
      <c r="K581" s="41" t="n"/>
      <c r="L581" s="48" t="n"/>
      <c r="M581" s="45" t="n"/>
      <c r="N581" s="39">
        <f>IF($B581="","",IF(SUMPRODUCT((LISTAS!$O$3:$O$42&lt;&gt;"")*ISNUMBER(SEARCH(LISTAS!$O$3:$O$42,$I581&amp;" "&amp;$K581)))&gt;0,"CERCANA","NACIONAL"))</f>
        <v/>
      </c>
      <c r="O581" s="39">
        <f>IF($B581="","",IF(COUNTIFS(NOVEDADES!$C$4:$C$2003,$B581)=0,"—","SÍ ("&amp;COUNTIFS(NOVEDADES!$C$4:$C$2003,$B581)&amp;")"))</f>
        <v/>
      </c>
    </row>
    <row r="582">
      <c r="A582" s="41" t="n"/>
      <c r="B582" s="41" t="n"/>
      <c r="C582" s="41" t="n"/>
      <c r="D582" s="41" t="n"/>
      <c r="E582" s="46" t="n"/>
      <c r="F582" s="41" t="n"/>
      <c r="G582" s="41" t="n"/>
      <c r="H582" s="41" t="n"/>
      <c r="I582" s="41" t="n"/>
      <c r="J582" s="47" t="n"/>
      <c r="K582" s="41" t="n"/>
      <c r="L582" s="48" t="n"/>
      <c r="M582" s="45" t="n"/>
      <c r="N582" s="39">
        <f>IF($B582="","",IF(SUMPRODUCT((LISTAS!$O$3:$O$42&lt;&gt;"")*ISNUMBER(SEARCH(LISTAS!$O$3:$O$42,$I582&amp;" "&amp;$K582)))&gt;0,"CERCANA","NACIONAL"))</f>
        <v/>
      </c>
      <c r="O582" s="39">
        <f>IF($B582="","",IF(COUNTIFS(NOVEDADES!$C$4:$C$2003,$B582)=0,"—","SÍ ("&amp;COUNTIFS(NOVEDADES!$C$4:$C$2003,$B582)&amp;")"))</f>
        <v/>
      </c>
    </row>
    <row r="583">
      <c r="A583" s="41" t="n"/>
      <c r="B583" s="41" t="n"/>
      <c r="C583" s="41" t="n"/>
      <c r="D583" s="41" t="n"/>
      <c r="E583" s="46" t="n"/>
      <c r="F583" s="41" t="n"/>
      <c r="G583" s="41" t="n"/>
      <c r="H583" s="41" t="n"/>
      <c r="I583" s="41" t="n"/>
      <c r="J583" s="47" t="n"/>
      <c r="K583" s="41" t="n"/>
      <c r="L583" s="48" t="n"/>
      <c r="M583" s="45" t="n"/>
      <c r="N583" s="39">
        <f>IF($B583="","",IF(SUMPRODUCT((LISTAS!$O$3:$O$42&lt;&gt;"")*ISNUMBER(SEARCH(LISTAS!$O$3:$O$42,$I583&amp;" "&amp;$K583)))&gt;0,"CERCANA","NACIONAL"))</f>
        <v/>
      </c>
      <c r="O583" s="39">
        <f>IF($B583="","",IF(COUNTIFS(NOVEDADES!$C$4:$C$2003,$B583)=0,"—","SÍ ("&amp;COUNTIFS(NOVEDADES!$C$4:$C$2003,$B583)&amp;")"))</f>
        <v/>
      </c>
    </row>
    <row r="584">
      <c r="A584" s="41" t="n"/>
      <c r="B584" s="41" t="n"/>
      <c r="C584" s="41" t="n"/>
      <c r="D584" s="41" t="n"/>
      <c r="E584" s="46" t="n"/>
      <c r="F584" s="41" t="n"/>
      <c r="G584" s="41" t="n"/>
      <c r="H584" s="41" t="n"/>
      <c r="I584" s="41" t="n"/>
      <c r="J584" s="47" t="n"/>
      <c r="K584" s="41" t="n"/>
      <c r="L584" s="48" t="n"/>
      <c r="M584" s="45" t="n"/>
      <c r="N584" s="39">
        <f>IF($B584="","",IF(SUMPRODUCT((LISTAS!$O$3:$O$42&lt;&gt;"")*ISNUMBER(SEARCH(LISTAS!$O$3:$O$42,$I584&amp;" "&amp;$K584)))&gt;0,"CERCANA","NACIONAL"))</f>
        <v/>
      </c>
      <c r="O584" s="39">
        <f>IF($B584="","",IF(COUNTIFS(NOVEDADES!$C$4:$C$2003,$B584)=0,"—","SÍ ("&amp;COUNTIFS(NOVEDADES!$C$4:$C$2003,$B584)&amp;")"))</f>
        <v/>
      </c>
    </row>
    <row r="585">
      <c r="A585" s="41" t="n"/>
      <c r="B585" s="41" t="n"/>
      <c r="C585" s="41" t="n"/>
      <c r="D585" s="41" t="n"/>
      <c r="E585" s="46" t="n"/>
      <c r="F585" s="41" t="n"/>
      <c r="G585" s="41" t="n"/>
      <c r="H585" s="41" t="n"/>
      <c r="I585" s="41" t="n"/>
      <c r="J585" s="47" t="n"/>
      <c r="K585" s="41" t="n"/>
      <c r="L585" s="48" t="n"/>
      <c r="M585" s="45" t="n"/>
      <c r="N585" s="39">
        <f>IF($B585="","",IF(SUMPRODUCT((LISTAS!$O$3:$O$42&lt;&gt;"")*ISNUMBER(SEARCH(LISTAS!$O$3:$O$42,$I585&amp;" "&amp;$K585)))&gt;0,"CERCANA","NACIONAL"))</f>
        <v/>
      </c>
      <c r="O585" s="39">
        <f>IF($B585="","",IF(COUNTIFS(NOVEDADES!$C$4:$C$2003,$B585)=0,"—","SÍ ("&amp;COUNTIFS(NOVEDADES!$C$4:$C$2003,$B585)&amp;")"))</f>
        <v/>
      </c>
    </row>
    <row r="586">
      <c r="A586" s="41" t="n"/>
      <c r="B586" s="41" t="n"/>
      <c r="C586" s="41" t="n"/>
      <c r="D586" s="41" t="n"/>
      <c r="E586" s="46" t="n"/>
      <c r="F586" s="41" t="n"/>
      <c r="G586" s="41" t="n"/>
      <c r="H586" s="41" t="n"/>
      <c r="I586" s="41" t="n"/>
      <c r="J586" s="47" t="n"/>
      <c r="K586" s="41" t="n"/>
      <c r="L586" s="48" t="n"/>
      <c r="M586" s="45" t="n"/>
      <c r="N586" s="39">
        <f>IF($B586="","",IF(SUMPRODUCT((LISTAS!$O$3:$O$42&lt;&gt;"")*ISNUMBER(SEARCH(LISTAS!$O$3:$O$42,$I586&amp;" "&amp;$K586)))&gt;0,"CERCANA","NACIONAL"))</f>
        <v/>
      </c>
      <c r="O586" s="39">
        <f>IF($B586="","",IF(COUNTIFS(NOVEDADES!$C$4:$C$2003,$B586)=0,"—","SÍ ("&amp;COUNTIFS(NOVEDADES!$C$4:$C$2003,$B586)&amp;")"))</f>
        <v/>
      </c>
    </row>
    <row r="587">
      <c r="A587" s="41" t="n"/>
      <c r="B587" s="41" t="n"/>
      <c r="C587" s="41" t="n"/>
      <c r="D587" s="41" t="n"/>
      <c r="E587" s="46" t="n"/>
      <c r="F587" s="41" t="n"/>
      <c r="G587" s="41" t="n"/>
      <c r="H587" s="41" t="n"/>
      <c r="I587" s="41" t="n"/>
      <c r="J587" s="47" t="n"/>
      <c r="K587" s="41" t="n"/>
      <c r="L587" s="48" t="n"/>
      <c r="M587" s="45" t="n"/>
      <c r="N587" s="39">
        <f>IF($B587="","",IF(SUMPRODUCT((LISTAS!$O$3:$O$42&lt;&gt;"")*ISNUMBER(SEARCH(LISTAS!$O$3:$O$42,$I587&amp;" "&amp;$K587)))&gt;0,"CERCANA","NACIONAL"))</f>
        <v/>
      </c>
      <c r="O587" s="39">
        <f>IF($B587="","",IF(COUNTIFS(NOVEDADES!$C$4:$C$2003,$B587)=0,"—","SÍ ("&amp;COUNTIFS(NOVEDADES!$C$4:$C$2003,$B587)&amp;")"))</f>
        <v/>
      </c>
    </row>
    <row r="588">
      <c r="A588" s="41" t="n"/>
      <c r="B588" s="41" t="n"/>
      <c r="C588" s="41" t="n"/>
      <c r="D588" s="41" t="n"/>
      <c r="E588" s="46" t="n"/>
      <c r="F588" s="41" t="n"/>
      <c r="G588" s="41" t="n"/>
      <c r="H588" s="41" t="n"/>
      <c r="I588" s="41" t="n"/>
      <c r="J588" s="47" t="n"/>
      <c r="K588" s="41" t="n"/>
      <c r="L588" s="48" t="n"/>
      <c r="M588" s="45" t="n"/>
      <c r="N588" s="39">
        <f>IF($B588="","",IF(SUMPRODUCT((LISTAS!$O$3:$O$42&lt;&gt;"")*ISNUMBER(SEARCH(LISTAS!$O$3:$O$42,$I588&amp;" "&amp;$K588)))&gt;0,"CERCANA","NACIONAL"))</f>
        <v/>
      </c>
      <c r="O588" s="39">
        <f>IF($B588="","",IF(COUNTIFS(NOVEDADES!$C$4:$C$2003,$B588)=0,"—","SÍ ("&amp;COUNTIFS(NOVEDADES!$C$4:$C$2003,$B588)&amp;")"))</f>
        <v/>
      </c>
    </row>
    <row r="589">
      <c r="A589" s="41" t="n"/>
      <c r="B589" s="41" t="n"/>
      <c r="C589" s="41" t="n"/>
      <c r="D589" s="41" t="n"/>
      <c r="E589" s="46" t="n"/>
      <c r="F589" s="41" t="n"/>
      <c r="G589" s="41" t="n"/>
      <c r="H589" s="41" t="n"/>
      <c r="I589" s="41" t="n"/>
      <c r="J589" s="47" t="n"/>
      <c r="K589" s="41" t="n"/>
      <c r="L589" s="48" t="n"/>
      <c r="M589" s="45" t="n"/>
      <c r="N589" s="39">
        <f>IF($B589="","",IF(SUMPRODUCT((LISTAS!$O$3:$O$42&lt;&gt;"")*ISNUMBER(SEARCH(LISTAS!$O$3:$O$42,$I589&amp;" "&amp;$K589)))&gt;0,"CERCANA","NACIONAL"))</f>
        <v/>
      </c>
      <c r="O589" s="39">
        <f>IF($B589="","",IF(COUNTIFS(NOVEDADES!$C$4:$C$2003,$B589)=0,"—","SÍ ("&amp;COUNTIFS(NOVEDADES!$C$4:$C$2003,$B589)&amp;")"))</f>
        <v/>
      </c>
    </row>
    <row r="590">
      <c r="A590" s="41" t="n"/>
      <c r="B590" s="41" t="n"/>
      <c r="C590" s="41" t="n"/>
      <c r="D590" s="41" t="n"/>
      <c r="E590" s="46" t="n"/>
      <c r="F590" s="41" t="n"/>
      <c r="G590" s="41" t="n"/>
      <c r="H590" s="41" t="n"/>
      <c r="I590" s="41" t="n"/>
      <c r="J590" s="47" t="n"/>
      <c r="K590" s="41" t="n"/>
      <c r="L590" s="48" t="n"/>
      <c r="M590" s="45" t="n"/>
      <c r="N590" s="39">
        <f>IF($B590="","",IF(SUMPRODUCT((LISTAS!$O$3:$O$42&lt;&gt;"")*ISNUMBER(SEARCH(LISTAS!$O$3:$O$42,$I590&amp;" "&amp;$K590)))&gt;0,"CERCANA","NACIONAL"))</f>
        <v/>
      </c>
      <c r="O590" s="39">
        <f>IF($B590="","",IF(COUNTIFS(NOVEDADES!$C$4:$C$2003,$B590)=0,"—","SÍ ("&amp;COUNTIFS(NOVEDADES!$C$4:$C$2003,$B590)&amp;")"))</f>
        <v/>
      </c>
    </row>
    <row r="591">
      <c r="A591" s="41" t="n"/>
      <c r="B591" s="41" t="n"/>
      <c r="C591" s="41" t="n"/>
      <c r="D591" s="41" t="n"/>
      <c r="E591" s="46" t="n"/>
      <c r="F591" s="41" t="n"/>
      <c r="G591" s="41" t="n"/>
      <c r="H591" s="41" t="n"/>
      <c r="I591" s="41" t="n"/>
      <c r="J591" s="47" t="n"/>
      <c r="K591" s="41" t="n"/>
      <c r="L591" s="48" t="n"/>
      <c r="M591" s="45" t="n"/>
      <c r="N591" s="39">
        <f>IF($B591="","",IF(SUMPRODUCT((LISTAS!$O$3:$O$42&lt;&gt;"")*ISNUMBER(SEARCH(LISTAS!$O$3:$O$42,$I591&amp;" "&amp;$K591)))&gt;0,"CERCANA","NACIONAL"))</f>
        <v/>
      </c>
      <c r="O591" s="39">
        <f>IF($B591="","",IF(COUNTIFS(NOVEDADES!$C$4:$C$2003,$B591)=0,"—","SÍ ("&amp;COUNTIFS(NOVEDADES!$C$4:$C$2003,$B591)&amp;")"))</f>
        <v/>
      </c>
    </row>
    <row r="592">
      <c r="A592" s="41" t="n"/>
      <c r="B592" s="41" t="n"/>
      <c r="C592" s="41" t="n"/>
      <c r="D592" s="41" t="n"/>
      <c r="E592" s="46" t="n"/>
      <c r="F592" s="41" t="n"/>
      <c r="G592" s="41" t="n"/>
      <c r="H592" s="41" t="n"/>
      <c r="I592" s="41" t="n"/>
      <c r="J592" s="47" t="n"/>
      <c r="K592" s="41" t="n"/>
      <c r="L592" s="48" t="n"/>
      <c r="M592" s="45" t="n"/>
      <c r="N592" s="39">
        <f>IF($B592="","",IF(SUMPRODUCT((LISTAS!$O$3:$O$42&lt;&gt;"")*ISNUMBER(SEARCH(LISTAS!$O$3:$O$42,$I592&amp;" "&amp;$K592)))&gt;0,"CERCANA","NACIONAL"))</f>
        <v/>
      </c>
      <c r="O592" s="39">
        <f>IF($B592="","",IF(COUNTIFS(NOVEDADES!$C$4:$C$2003,$B592)=0,"—","SÍ ("&amp;COUNTIFS(NOVEDADES!$C$4:$C$2003,$B592)&amp;")"))</f>
        <v/>
      </c>
    </row>
    <row r="593">
      <c r="A593" s="41" t="n"/>
      <c r="B593" s="41" t="n"/>
      <c r="C593" s="41" t="n"/>
      <c r="D593" s="41" t="n"/>
      <c r="E593" s="46" t="n"/>
      <c r="F593" s="41" t="n"/>
      <c r="G593" s="41" t="n"/>
      <c r="H593" s="41" t="n"/>
      <c r="I593" s="41" t="n"/>
      <c r="J593" s="47" t="n"/>
      <c r="K593" s="41" t="n"/>
      <c r="L593" s="48" t="n"/>
      <c r="M593" s="45" t="n"/>
      <c r="N593" s="39">
        <f>IF($B593="","",IF(SUMPRODUCT((LISTAS!$O$3:$O$42&lt;&gt;"")*ISNUMBER(SEARCH(LISTAS!$O$3:$O$42,$I593&amp;" "&amp;$K593)))&gt;0,"CERCANA","NACIONAL"))</f>
        <v/>
      </c>
      <c r="O593" s="39">
        <f>IF($B593="","",IF(COUNTIFS(NOVEDADES!$C$4:$C$2003,$B593)=0,"—","SÍ ("&amp;COUNTIFS(NOVEDADES!$C$4:$C$2003,$B593)&amp;")"))</f>
        <v/>
      </c>
    </row>
    <row r="594">
      <c r="A594" s="41" t="n"/>
      <c r="B594" s="41" t="n"/>
      <c r="C594" s="41" t="n"/>
      <c r="D594" s="41" t="n"/>
      <c r="E594" s="46" t="n"/>
      <c r="F594" s="41" t="n"/>
      <c r="G594" s="41" t="n"/>
      <c r="H594" s="41" t="n"/>
      <c r="I594" s="41" t="n"/>
      <c r="J594" s="47" t="n"/>
      <c r="K594" s="41" t="n"/>
      <c r="L594" s="48" t="n"/>
      <c r="M594" s="45" t="n"/>
      <c r="N594" s="39">
        <f>IF($B594="","",IF(SUMPRODUCT((LISTAS!$O$3:$O$42&lt;&gt;"")*ISNUMBER(SEARCH(LISTAS!$O$3:$O$42,$I594&amp;" "&amp;$K594)))&gt;0,"CERCANA","NACIONAL"))</f>
        <v/>
      </c>
      <c r="O594" s="39">
        <f>IF($B594="","",IF(COUNTIFS(NOVEDADES!$C$4:$C$2003,$B594)=0,"—","SÍ ("&amp;COUNTIFS(NOVEDADES!$C$4:$C$2003,$B594)&amp;")"))</f>
        <v/>
      </c>
    </row>
    <row r="595">
      <c r="A595" s="41" t="n"/>
      <c r="B595" s="41" t="n"/>
      <c r="C595" s="41" t="n"/>
      <c r="D595" s="41" t="n"/>
      <c r="E595" s="46" t="n"/>
      <c r="F595" s="41" t="n"/>
      <c r="G595" s="41" t="n"/>
      <c r="H595" s="41" t="n"/>
      <c r="I595" s="41" t="n"/>
      <c r="J595" s="47" t="n"/>
      <c r="K595" s="41" t="n"/>
      <c r="L595" s="48" t="n"/>
      <c r="M595" s="45" t="n"/>
      <c r="N595" s="39">
        <f>IF($B595="","",IF(SUMPRODUCT((LISTAS!$O$3:$O$42&lt;&gt;"")*ISNUMBER(SEARCH(LISTAS!$O$3:$O$42,$I595&amp;" "&amp;$K595)))&gt;0,"CERCANA","NACIONAL"))</f>
        <v/>
      </c>
      <c r="O595" s="39">
        <f>IF($B595="","",IF(COUNTIFS(NOVEDADES!$C$4:$C$2003,$B595)=0,"—","SÍ ("&amp;COUNTIFS(NOVEDADES!$C$4:$C$2003,$B595)&amp;")"))</f>
        <v/>
      </c>
    </row>
    <row r="596">
      <c r="A596" s="41" t="n"/>
      <c r="B596" s="41" t="n"/>
      <c r="C596" s="41" t="n"/>
      <c r="D596" s="41" t="n"/>
      <c r="E596" s="46" t="n"/>
      <c r="F596" s="41" t="n"/>
      <c r="G596" s="41" t="n"/>
      <c r="H596" s="41" t="n"/>
      <c r="I596" s="41" t="n"/>
      <c r="J596" s="47" t="n"/>
      <c r="K596" s="41" t="n"/>
      <c r="L596" s="48" t="n"/>
      <c r="M596" s="45" t="n"/>
      <c r="N596" s="39">
        <f>IF($B596="","",IF(SUMPRODUCT((LISTAS!$O$3:$O$42&lt;&gt;"")*ISNUMBER(SEARCH(LISTAS!$O$3:$O$42,$I596&amp;" "&amp;$K596)))&gt;0,"CERCANA","NACIONAL"))</f>
        <v/>
      </c>
      <c r="O596" s="39">
        <f>IF($B596="","",IF(COUNTIFS(NOVEDADES!$C$4:$C$2003,$B596)=0,"—","SÍ ("&amp;COUNTIFS(NOVEDADES!$C$4:$C$2003,$B596)&amp;")"))</f>
        <v/>
      </c>
    </row>
    <row r="597">
      <c r="A597" s="41" t="n"/>
      <c r="B597" s="41" t="n"/>
      <c r="C597" s="41" t="n"/>
      <c r="D597" s="41" t="n"/>
      <c r="E597" s="46" t="n"/>
      <c r="F597" s="41" t="n"/>
      <c r="G597" s="41" t="n"/>
      <c r="H597" s="41" t="n"/>
      <c r="I597" s="41" t="n"/>
      <c r="J597" s="47" t="n"/>
      <c r="K597" s="41" t="n"/>
      <c r="L597" s="48" t="n"/>
      <c r="M597" s="45" t="n"/>
      <c r="N597" s="39">
        <f>IF($B597="","",IF(SUMPRODUCT((LISTAS!$O$3:$O$42&lt;&gt;"")*ISNUMBER(SEARCH(LISTAS!$O$3:$O$42,$I597&amp;" "&amp;$K597)))&gt;0,"CERCANA","NACIONAL"))</f>
        <v/>
      </c>
      <c r="O597" s="39">
        <f>IF($B597="","",IF(COUNTIFS(NOVEDADES!$C$4:$C$2003,$B597)=0,"—","SÍ ("&amp;COUNTIFS(NOVEDADES!$C$4:$C$2003,$B597)&amp;")"))</f>
        <v/>
      </c>
    </row>
    <row r="598">
      <c r="A598" s="41" t="n"/>
      <c r="B598" s="41" t="n"/>
      <c r="C598" s="41" t="n"/>
      <c r="D598" s="41" t="n"/>
      <c r="E598" s="46" t="n"/>
      <c r="F598" s="41" t="n"/>
      <c r="G598" s="41" t="n"/>
      <c r="H598" s="41" t="n"/>
      <c r="I598" s="41" t="n"/>
      <c r="J598" s="47" t="n"/>
      <c r="K598" s="41" t="n"/>
      <c r="L598" s="48" t="n"/>
      <c r="M598" s="45" t="n"/>
      <c r="N598" s="39">
        <f>IF($B598="","",IF(SUMPRODUCT((LISTAS!$O$3:$O$42&lt;&gt;"")*ISNUMBER(SEARCH(LISTAS!$O$3:$O$42,$I598&amp;" "&amp;$K598)))&gt;0,"CERCANA","NACIONAL"))</f>
        <v/>
      </c>
      <c r="O598" s="39">
        <f>IF($B598="","",IF(COUNTIFS(NOVEDADES!$C$4:$C$2003,$B598)=0,"—","SÍ ("&amp;COUNTIFS(NOVEDADES!$C$4:$C$2003,$B598)&amp;")"))</f>
        <v/>
      </c>
    </row>
    <row r="599">
      <c r="A599" s="41" t="n"/>
      <c r="B599" s="41" t="n"/>
      <c r="C599" s="41" t="n"/>
      <c r="D599" s="41" t="n"/>
      <c r="E599" s="46" t="n"/>
      <c r="F599" s="41" t="n"/>
      <c r="G599" s="41" t="n"/>
      <c r="H599" s="41" t="n"/>
      <c r="I599" s="41" t="n"/>
      <c r="J599" s="47" t="n"/>
      <c r="K599" s="41" t="n"/>
      <c r="L599" s="48" t="n"/>
      <c r="M599" s="45" t="n"/>
      <c r="N599" s="39">
        <f>IF($B599="","",IF(SUMPRODUCT((LISTAS!$O$3:$O$42&lt;&gt;"")*ISNUMBER(SEARCH(LISTAS!$O$3:$O$42,$I599&amp;" "&amp;$K599)))&gt;0,"CERCANA","NACIONAL"))</f>
        <v/>
      </c>
      <c r="O599" s="39">
        <f>IF($B599="","",IF(COUNTIFS(NOVEDADES!$C$4:$C$2003,$B599)=0,"—","SÍ ("&amp;COUNTIFS(NOVEDADES!$C$4:$C$2003,$B599)&amp;")"))</f>
        <v/>
      </c>
    </row>
    <row r="600">
      <c r="A600" s="41" t="n"/>
      <c r="B600" s="41" t="n"/>
      <c r="C600" s="41" t="n"/>
      <c r="D600" s="41" t="n"/>
      <c r="E600" s="46" t="n"/>
      <c r="F600" s="41" t="n"/>
      <c r="G600" s="41" t="n"/>
      <c r="H600" s="41" t="n"/>
      <c r="I600" s="41" t="n"/>
      <c r="J600" s="47" t="n"/>
      <c r="K600" s="41" t="n"/>
      <c r="L600" s="48" t="n"/>
      <c r="M600" s="45" t="n"/>
      <c r="N600" s="39">
        <f>IF($B600="","",IF(SUMPRODUCT((LISTAS!$O$3:$O$42&lt;&gt;"")*ISNUMBER(SEARCH(LISTAS!$O$3:$O$42,$I600&amp;" "&amp;$K600)))&gt;0,"CERCANA","NACIONAL"))</f>
        <v/>
      </c>
      <c r="O600" s="39">
        <f>IF($B600="","",IF(COUNTIFS(NOVEDADES!$C$4:$C$2003,$B600)=0,"—","SÍ ("&amp;COUNTIFS(NOVEDADES!$C$4:$C$2003,$B600)&amp;")"))</f>
        <v/>
      </c>
    </row>
    <row r="601">
      <c r="A601" s="41" t="n"/>
      <c r="B601" s="41" t="n"/>
      <c r="C601" s="41" t="n"/>
      <c r="D601" s="41" t="n"/>
      <c r="E601" s="46" t="n"/>
      <c r="F601" s="41" t="n"/>
      <c r="G601" s="41" t="n"/>
      <c r="H601" s="41" t="n"/>
      <c r="I601" s="41" t="n"/>
      <c r="J601" s="47" t="n"/>
      <c r="K601" s="41" t="n"/>
      <c r="L601" s="48" t="n"/>
      <c r="M601" s="45" t="n"/>
      <c r="N601" s="39">
        <f>IF($B601="","",IF(SUMPRODUCT((LISTAS!$O$3:$O$42&lt;&gt;"")*ISNUMBER(SEARCH(LISTAS!$O$3:$O$42,$I601&amp;" "&amp;$K601)))&gt;0,"CERCANA","NACIONAL"))</f>
        <v/>
      </c>
      <c r="O601" s="39">
        <f>IF($B601="","",IF(COUNTIFS(NOVEDADES!$C$4:$C$2003,$B601)=0,"—","SÍ ("&amp;COUNTIFS(NOVEDADES!$C$4:$C$2003,$B601)&amp;")"))</f>
        <v/>
      </c>
    </row>
    <row r="602">
      <c r="A602" s="41" t="n"/>
      <c r="B602" s="41" t="n"/>
      <c r="C602" s="41" t="n"/>
      <c r="D602" s="41" t="n"/>
      <c r="E602" s="46" t="n"/>
      <c r="F602" s="41" t="n"/>
      <c r="G602" s="41" t="n"/>
      <c r="H602" s="41" t="n"/>
      <c r="I602" s="41" t="n"/>
      <c r="J602" s="47" t="n"/>
      <c r="K602" s="41" t="n"/>
      <c r="L602" s="48" t="n"/>
      <c r="M602" s="45" t="n"/>
      <c r="N602" s="39">
        <f>IF($B602="","",IF(SUMPRODUCT((LISTAS!$O$3:$O$42&lt;&gt;"")*ISNUMBER(SEARCH(LISTAS!$O$3:$O$42,$I602&amp;" "&amp;$K602)))&gt;0,"CERCANA","NACIONAL"))</f>
        <v/>
      </c>
      <c r="O602" s="39">
        <f>IF($B602="","",IF(COUNTIFS(NOVEDADES!$C$4:$C$2003,$B602)=0,"—","SÍ ("&amp;COUNTIFS(NOVEDADES!$C$4:$C$2003,$B602)&amp;")"))</f>
        <v/>
      </c>
    </row>
    <row r="603">
      <c r="A603" s="41" t="n"/>
      <c r="B603" s="41" t="n"/>
      <c r="C603" s="41" t="n"/>
      <c r="D603" s="41" t="n"/>
      <c r="E603" s="46" t="n"/>
      <c r="F603" s="41" t="n"/>
      <c r="G603" s="41" t="n"/>
      <c r="H603" s="41" t="n"/>
      <c r="I603" s="41" t="n"/>
      <c r="J603" s="47" t="n"/>
      <c r="K603" s="41" t="n"/>
      <c r="L603" s="48" t="n"/>
      <c r="M603" s="45" t="n"/>
      <c r="N603" s="39">
        <f>IF($B603="","",IF(SUMPRODUCT((LISTAS!$O$3:$O$42&lt;&gt;"")*ISNUMBER(SEARCH(LISTAS!$O$3:$O$42,$I603&amp;" "&amp;$K603)))&gt;0,"CERCANA","NACIONAL"))</f>
        <v/>
      </c>
      <c r="O603" s="39">
        <f>IF($B603="","",IF(COUNTIFS(NOVEDADES!$C$4:$C$2003,$B603)=0,"—","SÍ ("&amp;COUNTIFS(NOVEDADES!$C$4:$C$2003,$B603)&amp;")"))</f>
        <v/>
      </c>
    </row>
    <row r="604">
      <c r="A604" s="41" t="n"/>
      <c r="B604" s="41" t="n"/>
      <c r="C604" s="41" t="n"/>
      <c r="D604" s="41" t="n"/>
      <c r="E604" s="46" t="n"/>
      <c r="F604" s="41" t="n"/>
      <c r="G604" s="41" t="n"/>
      <c r="H604" s="41" t="n"/>
      <c r="I604" s="41" t="n"/>
      <c r="J604" s="47" t="n"/>
      <c r="K604" s="41" t="n"/>
      <c r="L604" s="48" t="n"/>
      <c r="M604" s="45" t="n"/>
      <c r="N604" s="39">
        <f>IF($B604="","",IF(SUMPRODUCT((LISTAS!$O$3:$O$42&lt;&gt;"")*ISNUMBER(SEARCH(LISTAS!$O$3:$O$42,$I604&amp;" "&amp;$K604)))&gt;0,"CERCANA","NACIONAL"))</f>
        <v/>
      </c>
      <c r="O604" s="39">
        <f>IF($B604="","",IF(COUNTIFS(NOVEDADES!$C$4:$C$2003,$B604)=0,"—","SÍ ("&amp;COUNTIFS(NOVEDADES!$C$4:$C$2003,$B604)&amp;")"))</f>
        <v/>
      </c>
    </row>
    <row r="605">
      <c r="A605" s="41" t="n"/>
      <c r="B605" s="41" t="n"/>
      <c r="C605" s="41" t="n"/>
      <c r="D605" s="41" t="n"/>
      <c r="E605" s="46" t="n"/>
      <c r="F605" s="41" t="n"/>
      <c r="G605" s="41" t="n"/>
      <c r="H605" s="41" t="n"/>
      <c r="I605" s="41" t="n"/>
      <c r="J605" s="47" t="n"/>
      <c r="K605" s="41" t="n"/>
      <c r="L605" s="48" t="n"/>
      <c r="M605" s="45" t="n"/>
      <c r="N605" s="39">
        <f>IF($B605="","",IF(SUMPRODUCT((LISTAS!$O$3:$O$42&lt;&gt;"")*ISNUMBER(SEARCH(LISTAS!$O$3:$O$42,$I605&amp;" "&amp;$K605)))&gt;0,"CERCANA","NACIONAL"))</f>
        <v/>
      </c>
      <c r="O605" s="39">
        <f>IF($B605="","",IF(COUNTIFS(NOVEDADES!$C$4:$C$2003,$B605)=0,"—","SÍ ("&amp;COUNTIFS(NOVEDADES!$C$4:$C$2003,$B605)&amp;")"))</f>
        <v/>
      </c>
    </row>
    <row r="606">
      <c r="A606" s="41" t="n"/>
      <c r="B606" s="41" t="n"/>
      <c r="C606" s="41" t="n"/>
      <c r="D606" s="41" t="n"/>
      <c r="E606" s="46" t="n"/>
      <c r="F606" s="41" t="n"/>
      <c r="G606" s="41" t="n"/>
      <c r="H606" s="41" t="n"/>
      <c r="I606" s="41" t="n"/>
      <c r="J606" s="47" t="n"/>
      <c r="K606" s="41" t="n"/>
      <c r="L606" s="48" t="n"/>
      <c r="M606" s="45" t="n"/>
      <c r="N606" s="39">
        <f>IF($B606="","",IF(SUMPRODUCT((LISTAS!$O$3:$O$42&lt;&gt;"")*ISNUMBER(SEARCH(LISTAS!$O$3:$O$42,$I606&amp;" "&amp;$K606)))&gt;0,"CERCANA","NACIONAL"))</f>
        <v/>
      </c>
      <c r="O606" s="39">
        <f>IF($B606="","",IF(COUNTIFS(NOVEDADES!$C$4:$C$2003,$B606)=0,"—","SÍ ("&amp;COUNTIFS(NOVEDADES!$C$4:$C$2003,$B606)&amp;")"))</f>
        <v/>
      </c>
    </row>
    <row r="607">
      <c r="A607" s="41" t="n"/>
      <c r="B607" s="41" t="n"/>
      <c r="C607" s="41" t="n"/>
      <c r="D607" s="41" t="n"/>
      <c r="E607" s="46" t="n"/>
      <c r="F607" s="41" t="n"/>
      <c r="G607" s="41" t="n"/>
      <c r="H607" s="41" t="n"/>
      <c r="I607" s="41" t="n"/>
      <c r="J607" s="47" t="n"/>
      <c r="K607" s="41" t="n"/>
      <c r="L607" s="48" t="n"/>
      <c r="M607" s="45" t="n"/>
      <c r="N607" s="39">
        <f>IF($B607="","",IF(SUMPRODUCT((LISTAS!$O$3:$O$42&lt;&gt;"")*ISNUMBER(SEARCH(LISTAS!$O$3:$O$42,$I607&amp;" "&amp;$K607)))&gt;0,"CERCANA","NACIONAL"))</f>
        <v/>
      </c>
      <c r="O607" s="39">
        <f>IF($B607="","",IF(COUNTIFS(NOVEDADES!$C$4:$C$2003,$B607)=0,"—","SÍ ("&amp;COUNTIFS(NOVEDADES!$C$4:$C$2003,$B607)&amp;")"))</f>
        <v/>
      </c>
    </row>
    <row r="608">
      <c r="A608" s="41" t="n"/>
      <c r="B608" s="41" t="n"/>
      <c r="C608" s="41" t="n"/>
      <c r="D608" s="41" t="n"/>
      <c r="E608" s="46" t="n"/>
      <c r="F608" s="41" t="n"/>
      <c r="G608" s="41" t="n"/>
      <c r="H608" s="41" t="n"/>
      <c r="I608" s="41" t="n"/>
      <c r="J608" s="47" t="n"/>
      <c r="K608" s="41" t="n"/>
      <c r="L608" s="48" t="n"/>
      <c r="M608" s="45" t="n"/>
      <c r="N608" s="39">
        <f>IF($B608="","",IF(SUMPRODUCT((LISTAS!$O$3:$O$42&lt;&gt;"")*ISNUMBER(SEARCH(LISTAS!$O$3:$O$42,$I608&amp;" "&amp;$K608)))&gt;0,"CERCANA","NACIONAL"))</f>
        <v/>
      </c>
      <c r="O608" s="39">
        <f>IF($B608="","",IF(COUNTIFS(NOVEDADES!$C$4:$C$2003,$B608)=0,"—","SÍ ("&amp;COUNTIFS(NOVEDADES!$C$4:$C$2003,$B608)&amp;")"))</f>
        <v/>
      </c>
    </row>
    <row r="609">
      <c r="A609" s="41" t="n"/>
      <c r="B609" s="41" t="n"/>
      <c r="C609" s="41" t="n"/>
      <c r="D609" s="41" t="n"/>
      <c r="E609" s="46" t="n"/>
      <c r="F609" s="41" t="n"/>
      <c r="G609" s="41" t="n"/>
      <c r="H609" s="41" t="n"/>
      <c r="I609" s="41" t="n"/>
      <c r="J609" s="47" t="n"/>
      <c r="K609" s="41" t="n"/>
      <c r="L609" s="48" t="n"/>
      <c r="M609" s="45" t="n"/>
      <c r="N609" s="39">
        <f>IF($B609="","",IF(SUMPRODUCT((LISTAS!$O$3:$O$42&lt;&gt;"")*ISNUMBER(SEARCH(LISTAS!$O$3:$O$42,$I609&amp;" "&amp;$K609)))&gt;0,"CERCANA","NACIONAL"))</f>
        <v/>
      </c>
      <c r="O609" s="39">
        <f>IF($B609="","",IF(COUNTIFS(NOVEDADES!$C$4:$C$2003,$B609)=0,"—","SÍ ("&amp;COUNTIFS(NOVEDADES!$C$4:$C$2003,$B609)&amp;")"))</f>
        <v/>
      </c>
    </row>
    <row r="610">
      <c r="A610" s="41" t="n"/>
      <c r="B610" s="41" t="n"/>
      <c r="C610" s="41" t="n"/>
      <c r="D610" s="41" t="n"/>
      <c r="E610" s="46" t="n"/>
      <c r="F610" s="41" t="n"/>
      <c r="G610" s="41" t="n"/>
      <c r="H610" s="41" t="n"/>
      <c r="I610" s="41" t="n"/>
      <c r="J610" s="47" t="n"/>
      <c r="K610" s="41" t="n"/>
      <c r="L610" s="48" t="n"/>
      <c r="M610" s="45" t="n"/>
      <c r="N610" s="39">
        <f>IF($B610="","",IF(SUMPRODUCT((LISTAS!$O$3:$O$42&lt;&gt;"")*ISNUMBER(SEARCH(LISTAS!$O$3:$O$42,$I610&amp;" "&amp;$K610)))&gt;0,"CERCANA","NACIONAL"))</f>
        <v/>
      </c>
      <c r="O610" s="39">
        <f>IF($B610="","",IF(COUNTIFS(NOVEDADES!$C$4:$C$2003,$B610)=0,"—","SÍ ("&amp;COUNTIFS(NOVEDADES!$C$4:$C$2003,$B610)&amp;")"))</f>
        <v/>
      </c>
    </row>
    <row r="611">
      <c r="A611" s="41" t="n"/>
      <c r="B611" s="41" t="n"/>
      <c r="C611" s="41" t="n"/>
      <c r="D611" s="41" t="n"/>
      <c r="E611" s="46" t="n"/>
      <c r="F611" s="41" t="n"/>
      <c r="G611" s="41" t="n"/>
      <c r="H611" s="41" t="n"/>
      <c r="I611" s="41" t="n"/>
      <c r="J611" s="47" t="n"/>
      <c r="K611" s="41" t="n"/>
      <c r="L611" s="48" t="n"/>
      <c r="M611" s="45" t="n"/>
      <c r="N611" s="39">
        <f>IF($B611="","",IF(SUMPRODUCT((LISTAS!$O$3:$O$42&lt;&gt;"")*ISNUMBER(SEARCH(LISTAS!$O$3:$O$42,$I611&amp;" "&amp;$K611)))&gt;0,"CERCANA","NACIONAL"))</f>
        <v/>
      </c>
      <c r="O611" s="39">
        <f>IF($B611="","",IF(COUNTIFS(NOVEDADES!$C$4:$C$2003,$B611)=0,"—","SÍ ("&amp;COUNTIFS(NOVEDADES!$C$4:$C$2003,$B611)&amp;")"))</f>
        <v/>
      </c>
    </row>
    <row r="612">
      <c r="A612" s="41" t="n"/>
      <c r="B612" s="41" t="n"/>
      <c r="C612" s="41" t="n"/>
      <c r="D612" s="41" t="n"/>
      <c r="E612" s="46" t="n"/>
      <c r="F612" s="41" t="n"/>
      <c r="G612" s="41" t="n"/>
      <c r="H612" s="41" t="n"/>
      <c r="I612" s="41" t="n"/>
      <c r="J612" s="47" t="n"/>
      <c r="K612" s="41" t="n"/>
      <c r="L612" s="48" t="n"/>
      <c r="M612" s="45" t="n"/>
      <c r="N612" s="39">
        <f>IF($B612="","",IF(SUMPRODUCT((LISTAS!$O$3:$O$42&lt;&gt;"")*ISNUMBER(SEARCH(LISTAS!$O$3:$O$42,$I612&amp;" "&amp;$K612)))&gt;0,"CERCANA","NACIONAL"))</f>
        <v/>
      </c>
      <c r="O612" s="39">
        <f>IF($B612="","",IF(COUNTIFS(NOVEDADES!$C$4:$C$2003,$B612)=0,"—","SÍ ("&amp;COUNTIFS(NOVEDADES!$C$4:$C$2003,$B612)&amp;")"))</f>
        <v/>
      </c>
    </row>
    <row r="613">
      <c r="A613" s="41" t="n"/>
      <c r="B613" s="41" t="n"/>
      <c r="C613" s="41" t="n"/>
      <c r="D613" s="41" t="n"/>
      <c r="E613" s="46" t="n"/>
      <c r="F613" s="41" t="n"/>
      <c r="G613" s="41" t="n"/>
      <c r="H613" s="41" t="n"/>
      <c r="I613" s="41" t="n"/>
      <c r="J613" s="47" t="n"/>
      <c r="K613" s="41" t="n"/>
      <c r="L613" s="48" t="n"/>
      <c r="M613" s="45" t="n"/>
      <c r="N613" s="39">
        <f>IF($B613="","",IF(SUMPRODUCT((LISTAS!$O$3:$O$42&lt;&gt;"")*ISNUMBER(SEARCH(LISTAS!$O$3:$O$42,$I613&amp;" "&amp;$K613)))&gt;0,"CERCANA","NACIONAL"))</f>
        <v/>
      </c>
      <c r="O613" s="39">
        <f>IF($B613="","",IF(COUNTIFS(NOVEDADES!$C$4:$C$2003,$B613)=0,"—","SÍ ("&amp;COUNTIFS(NOVEDADES!$C$4:$C$2003,$B613)&amp;")"))</f>
        <v/>
      </c>
    </row>
    <row r="614">
      <c r="A614" s="41" t="n"/>
      <c r="B614" s="41" t="n"/>
      <c r="C614" s="41" t="n"/>
      <c r="D614" s="41" t="n"/>
      <c r="E614" s="46" t="n"/>
      <c r="F614" s="41" t="n"/>
      <c r="G614" s="41" t="n"/>
      <c r="H614" s="41" t="n"/>
      <c r="I614" s="41" t="n"/>
      <c r="J614" s="47" t="n"/>
      <c r="K614" s="41" t="n"/>
      <c r="L614" s="48" t="n"/>
      <c r="M614" s="45" t="n"/>
      <c r="N614" s="39">
        <f>IF($B614="","",IF(SUMPRODUCT((LISTAS!$O$3:$O$42&lt;&gt;"")*ISNUMBER(SEARCH(LISTAS!$O$3:$O$42,$I614&amp;" "&amp;$K614)))&gt;0,"CERCANA","NACIONAL"))</f>
        <v/>
      </c>
      <c r="O614" s="39">
        <f>IF($B614="","",IF(COUNTIFS(NOVEDADES!$C$4:$C$2003,$B614)=0,"—","SÍ ("&amp;COUNTIFS(NOVEDADES!$C$4:$C$2003,$B614)&amp;")"))</f>
        <v/>
      </c>
    </row>
    <row r="615">
      <c r="A615" s="41" t="n"/>
      <c r="B615" s="41" t="n"/>
      <c r="C615" s="41" t="n"/>
      <c r="D615" s="41" t="n"/>
      <c r="E615" s="46" t="n"/>
      <c r="F615" s="41" t="n"/>
      <c r="G615" s="41" t="n"/>
      <c r="H615" s="41" t="n"/>
      <c r="I615" s="41" t="n"/>
      <c r="J615" s="47" t="n"/>
      <c r="K615" s="41" t="n"/>
      <c r="L615" s="48" t="n"/>
      <c r="M615" s="45" t="n"/>
      <c r="N615" s="39">
        <f>IF($B615="","",IF(SUMPRODUCT((LISTAS!$O$3:$O$42&lt;&gt;"")*ISNUMBER(SEARCH(LISTAS!$O$3:$O$42,$I615&amp;" "&amp;$K615)))&gt;0,"CERCANA","NACIONAL"))</f>
        <v/>
      </c>
      <c r="O615" s="39">
        <f>IF($B615="","",IF(COUNTIFS(NOVEDADES!$C$4:$C$2003,$B615)=0,"—","SÍ ("&amp;COUNTIFS(NOVEDADES!$C$4:$C$2003,$B615)&amp;")"))</f>
        <v/>
      </c>
    </row>
    <row r="616">
      <c r="A616" s="41" t="n"/>
      <c r="B616" s="41" t="n"/>
      <c r="C616" s="41" t="n"/>
      <c r="D616" s="41" t="n"/>
      <c r="E616" s="46" t="n"/>
      <c r="F616" s="41" t="n"/>
      <c r="G616" s="41" t="n"/>
      <c r="H616" s="41" t="n"/>
      <c r="I616" s="41" t="n"/>
      <c r="J616" s="47" t="n"/>
      <c r="K616" s="41" t="n"/>
      <c r="L616" s="48" t="n"/>
      <c r="M616" s="45" t="n"/>
      <c r="N616" s="39">
        <f>IF($B616="","",IF(SUMPRODUCT((LISTAS!$O$3:$O$42&lt;&gt;"")*ISNUMBER(SEARCH(LISTAS!$O$3:$O$42,$I616&amp;" "&amp;$K616)))&gt;0,"CERCANA","NACIONAL"))</f>
        <v/>
      </c>
      <c r="O616" s="39">
        <f>IF($B616="","",IF(COUNTIFS(NOVEDADES!$C$4:$C$2003,$B616)=0,"—","SÍ ("&amp;COUNTIFS(NOVEDADES!$C$4:$C$2003,$B616)&amp;")"))</f>
        <v/>
      </c>
    </row>
    <row r="617">
      <c r="A617" s="41" t="n"/>
      <c r="B617" s="41" t="n"/>
      <c r="C617" s="41" t="n"/>
      <c r="D617" s="41" t="n"/>
      <c r="E617" s="46" t="n"/>
      <c r="F617" s="41" t="n"/>
      <c r="G617" s="41" t="n"/>
      <c r="H617" s="41" t="n"/>
      <c r="I617" s="41" t="n"/>
      <c r="J617" s="47" t="n"/>
      <c r="K617" s="41" t="n"/>
      <c r="L617" s="48" t="n"/>
      <c r="M617" s="45" t="n"/>
      <c r="N617" s="39">
        <f>IF($B617="","",IF(SUMPRODUCT((LISTAS!$O$3:$O$42&lt;&gt;"")*ISNUMBER(SEARCH(LISTAS!$O$3:$O$42,$I617&amp;" "&amp;$K617)))&gt;0,"CERCANA","NACIONAL"))</f>
        <v/>
      </c>
      <c r="O617" s="39">
        <f>IF($B617="","",IF(COUNTIFS(NOVEDADES!$C$4:$C$2003,$B617)=0,"—","SÍ ("&amp;COUNTIFS(NOVEDADES!$C$4:$C$2003,$B617)&amp;")"))</f>
        <v/>
      </c>
    </row>
    <row r="618">
      <c r="A618" s="41" t="n"/>
      <c r="B618" s="41" t="n"/>
      <c r="C618" s="41" t="n"/>
      <c r="D618" s="41" t="n"/>
      <c r="E618" s="46" t="n"/>
      <c r="F618" s="41" t="n"/>
      <c r="G618" s="41" t="n"/>
      <c r="H618" s="41" t="n"/>
      <c r="I618" s="41" t="n"/>
      <c r="J618" s="47" t="n"/>
      <c r="K618" s="41" t="n"/>
      <c r="L618" s="48" t="n"/>
      <c r="M618" s="45" t="n"/>
      <c r="N618" s="39">
        <f>IF($B618="","",IF(SUMPRODUCT((LISTAS!$O$3:$O$42&lt;&gt;"")*ISNUMBER(SEARCH(LISTAS!$O$3:$O$42,$I618&amp;" "&amp;$K618)))&gt;0,"CERCANA","NACIONAL"))</f>
        <v/>
      </c>
      <c r="O618" s="39">
        <f>IF($B618="","",IF(COUNTIFS(NOVEDADES!$C$4:$C$2003,$B618)=0,"—","SÍ ("&amp;COUNTIFS(NOVEDADES!$C$4:$C$2003,$B618)&amp;")"))</f>
        <v/>
      </c>
    </row>
    <row r="619">
      <c r="A619" s="41" t="n"/>
      <c r="B619" s="41" t="n"/>
      <c r="C619" s="41" t="n"/>
      <c r="D619" s="41" t="n"/>
      <c r="E619" s="46" t="n"/>
      <c r="F619" s="41" t="n"/>
      <c r="G619" s="41" t="n"/>
      <c r="H619" s="41" t="n"/>
      <c r="I619" s="41" t="n"/>
      <c r="J619" s="47" t="n"/>
      <c r="K619" s="41" t="n"/>
      <c r="L619" s="48" t="n"/>
      <c r="M619" s="45" t="n"/>
      <c r="N619" s="39">
        <f>IF($B619="","",IF(SUMPRODUCT((LISTAS!$O$3:$O$42&lt;&gt;"")*ISNUMBER(SEARCH(LISTAS!$O$3:$O$42,$I619&amp;" "&amp;$K619)))&gt;0,"CERCANA","NACIONAL"))</f>
        <v/>
      </c>
      <c r="O619" s="39">
        <f>IF($B619="","",IF(COUNTIFS(NOVEDADES!$C$4:$C$2003,$B619)=0,"—","SÍ ("&amp;COUNTIFS(NOVEDADES!$C$4:$C$2003,$B619)&amp;")"))</f>
        <v/>
      </c>
    </row>
    <row r="620">
      <c r="A620" s="41" t="n"/>
      <c r="B620" s="41" t="n"/>
      <c r="C620" s="41" t="n"/>
      <c r="D620" s="41" t="n"/>
      <c r="E620" s="46" t="n"/>
      <c r="F620" s="41" t="n"/>
      <c r="G620" s="41" t="n"/>
      <c r="H620" s="41" t="n"/>
      <c r="I620" s="41" t="n"/>
      <c r="J620" s="47" t="n"/>
      <c r="K620" s="41" t="n"/>
      <c r="L620" s="48" t="n"/>
      <c r="M620" s="45" t="n"/>
      <c r="N620" s="39">
        <f>IF($B620="","",IF(SUMPRODUCT((LISTAS!$O$3:$O$42&lt;&gt;"")*ISNUMBER(SEARCH(LISTAS!$O$3:$O$42,$I620&amp;" "&amp;$K620)))&gt;0,"CERCANA","NACIONAL"))</f>
        <v/>
      </c>
      <c r="O620" s="39">
        <f>IF($B620="","",IF(COUNTIFS(NOVEDADES!$C$4:$C$2003,$B620)=0,"—","SÍ ("&amp;COUNTIFS(NOVEDADES!$C$4:$C$2003,$B620)&amp;")"))</f>
        <v/>
      </c>
    </row>
    <row r="621">
      <c r="A621" s="41" t="n"/>
      <c r="B621" s="41" t="n"/>
      <c r="C621" s="41" t="n"/>
      <c r="D621" s="41" t="n"/>
      <c r="E621" s="46" t="n"/>
      <c r="F621" s="41" t="n"/>
      <c r="G621" s="41" t="n"/>
      <c r="H621" s="41" t="n"/>
      <c r="I621" s="41" t="n"/>
      <c r="J621" s="47" t="n"/>
      <c r="K621" s="41" t="n"/>
      <c r="L621" s="48" t="n"/>
      <c r="M621" s="45" t="n"/>
      <c r="N621" s="39">
        <f>IF($B621="","",IF(SUMPRODUCT((LISTAS!$O$3:$O$42&lt;&gt;"")*ISNUMBER(SEARCH(LISTAS!$O$3:$O$42,$I621&amp;" "&amp;$K621)))&gt;0,"CERCANA","NACIONAL"))</f>
        <v/>
      </c>
      <c r="O621" s="39">
        <f>IF($B621="","",IF(COUNTIFS(NOVEDADES!$C$4:$C$2003,$B621)=0,"—","SÍ ("&amp;COUNTIFS(NOVEDADES!$C$4:$C$2003,$B621)&amp;")"))</f>
        <v/>
      </c>
    </row>
    <row r="622">
      <c r="A622" s="41" t="n"/>
      <c r="B622" s="41" t="n"/>
      <c r="C622" s="41" t="n"/>
      <c r="D622" s="41" t="n"/>
      <c r="E622" s="46" t="n"/>
      <c r="F622" s="41" t="n"/>
      <c r="G622" s="41" t="n"/>
      <c r="H622" s="41" t="n"/>
      <c r="I622" s="41" t="n"/>
      <c r="J622" s="47" t="n"/>
      <c r="K622" s="41" t="n"/>
      <c r="L622" s="48" t="n"/>
      <c r="M622" s="45" t="n"/>
      <c r="N622" s="39">
        <f>IF($B622="","",IF(SUMPRODUCT((LISTAS!$O$3:$O$42&lt;&gt;"")*ISNUMBER(SEARCH(LISTAS!$O$3:$O$42,$I622&amp;" "&amp;$K622)))&gt;0,"CERCANA","NACIONAL"))</f>
        <v/>
      </c>
      <c r="O622" s="39">
        <f>IF($B622="","",IF(COUNTIFS(NOVEDADES!$C$4:$C$2003,$B622)=0,"—","SÍ ("&amp;COUNTIFS(NOVEDADES!$C$4:$C$2003,$B622)&amp;")"))</f>
        <v/>
      </c>
    </row>
    <row r="623">
      <c r="A623" s="41" t="n"/>
      <c r="B623" s="41" t="n"/>
      <c r="C623" s="41" t="n"/>
      <c r="D623" s="41" t="n"/>
      <c r="E623" s="46" t="n"/>
      <c r="F623" s="41" t="n"/>
      <c r="G623" s="41" t="n"/>
      <c r="H623" s="41" t="n"/>
      <c r="I623" s="41" t="n"/>
      <c r="J623" s="47" t="n"/>
      <c r="K623" s="41" t="n"/>
      <c r="L623" s="48" t="n"/>
      <c r="M623" s="45" t="n"/>
      <c r="N623" s="39">
        <f>IF($B623="","",IF(SUMPRODUCT((LISTAS!$O$3:$O$42&lt;&gt;"")*ISNUMBER(SEARCH(LISTAS!$O$3:$O$42,$I623&amp;" "&amp;$K623)))&gt;0,"CERCANA","NACIONAL"))</f>
        <v/>
      </c>
      <c r="O623" s="39">
        <f>IF($B623="","",IF(COUNTIFS(NOVEDADES!$C$4:$C$2003,$B623)=0,"—","SÍ ("&amp;COUNTIFS(NOVEDADES!$C$4:$C$2003,$B623)&amp;")"))</f>
        <v/>
      </c>
    </row>
    <row r="624">
      <c r="A624" s="41" t="n"/>
      <c r="B624" s="41" t="n"/>
      <c r="C624" s="41" t="n"/>
      <c r="D624" s="41" t="n"/>
      <c r="E624" s="46" t="n"/>
      <c r="F624" s="41" t="n"/>
      <c r="G624" s="41" t="n"/>
      <c r="H624" s="41" t="n"/>
      <c r="I624" s="41" t="n"/>
      <c r="J624" s="47" t="n"/>
      <c r="K624" s="41" t="n"/>
      <c r="L624" s="48" t="n"/>
      <c r="M624" s="45" t="n"/>
      <c r="N624" s="39">
        <f>IF($B624="","",IF(SUMPRODUCT((LISTAS!$O$3:$O$42&lt;&gt;"")*ISNUMBER(SEARCH(LISTAS!$O$3:$O$42,$I624&amp;" "&amp;$K624)))&gt;0,"CERCANA","NACIONAL"))</f>
        <v/>
      </c>
      <c r="O624" s="39">
        <f>IF($B624="","",IF(COUNTIFS(NOVEDADES!$C$4:$C$2003,$B624)=0,"—","SÍ ("&amp;COUNTIFS(NOVEDADES!$C$4:$C$2003,$B624)&amp;")"))</f>
        <v/>
      </c>
    </row>
    <row r="625">
      <c r="A625" s="41" t="n"/>
      <c r="B625" s="41" t="n"/>
      <c r="C625" s="41" t="n"/>
      <c r="D625" s="41" t="n"/>
      <c r="E625" s="46" t="n"/>
      <c r="F625" s="41" t="n"/>
      <c r="G625" s="41" t="n"/>
      <c r="H625" s="41" t="n"/>
      <c r="I625" s="41" t="n"/>
      <c r="J625" s="47" t="n"/>
      <c r="K625" s="41" t="n"/>
      <c r="L625" s="48" t="n"/>
      <c r="M625" s="45" t="n"/>
      <c r="N625" s="39">
        <f>IF($B625="","",IF(SUMPRODUCT((LISTAS!$O$3:$O$42&lt;&gt;"")*ISNUMBER(SEARCH(LISTAS!$O$3:$O$42,$I625&amp;" "&amp;$K625)))&gt;0,"CERCANA","NACIONAL"))</f>
        <v/>
      </c>
      <c r="O625" s="39">
        <f>IF($B625="","",IF(COUNTIFS(NOVEDADES!$C$4:$C$2003,$B625)=0,"—","SÍ ("&amp;COUNTIFS(NOVEDADES!$C$4:$C$2003,$B625)&amp;")"))</f>
        <v/>
      </c>
    </row>
    <row r="626">
      <c r="A626" s="41" t="n"/>
      <c r="B626" s="41" t="n"/>
      <c r="C626" s="41" t="n"/>
      <c r="D626" s="41" t="n"/>
      <c r="E626" s="46" t="n"/>
      <c r="F626" s="41" t="n"/>
      <c r="G626" s="41" t="n"/>
      <c r="H626" s="41" t="n"/>
      <c r="I626" s="41" t="n"/>
      <c r="J626" s="47" t="n"/>
      <c r="K626" s="41" t="n"/>
      <c r="L626" s="48" t="n"/>
      <c r="M626" s="45" t="n"/>
      <c r="N626" s="39">
        <f>IF($B626="","",IF(SUMPRODUCT((LISTAS!$O$3:$O$42&lt;&gt;"")*ISNUMBER(SEARCH(LISTAS!$O$3:$O$42,$I626&amp;" "&amp;$K626)))&gt;0,"CERCANA","NACIONAL"))</f>
        <v/>
      </c>
      <c r="O626" s="39">
        <f>IF($B626="","",IF(COUNTIFS(NOVEDADES!$C$4:$C$2003,$B626)=0,"—","SÍ ("&amp;COUNTIFS(NOVEDADES!$C$4:$C$2003,$B626)&amp;")"))</f>
        <v/>
      </c>
    </row>
    <row r="627">
      <c r="A627" s="41" t="n"/>
      <c r="B627" s="41" t="n"/>
      <c r="C627" s="41" t="n"/>
      <c r="D627" s="41" t="n"/>
      <c r="E627" s="46" t="n"/>
      <c r="F627" s="41" t="n"/>
      <c r="G627" s="41" t="n"/>
      <c r="H627" s="41" t="n"/>
      <c r="I627" s="41" t="n"/>
      <c r="J627" s="47" t="n"/>
      <c r="K627" s="41" t="n"/>
      <c r="L627" s="48" t="n"/>
      <c r="M627" s="45" t="n"/>
      <c r="N627" s="39">
        <f>IF($B627="","",IF(SUMPRODUCT((LISTAS!$O$3:$O$42&lt;&gt;"")*ISNUMBER(SEARCH(LISTAS!$O$3:$O$42,$I627&amp;" "&amp;$K627)))&gt;0,"CERCANA","NACIONAL"))</f>
        <v/>
      </c>
      <c r="O627" s="39">
        <f>IF($B627="","",IF(COUNTIFS(NOVEDADES!$C$4:$C$2003,$B627)=0,"—","SÍ ("&amp;COUNTIFS(NOVEDADES!$C$4:$C$2003,$B627)&amp;")"))</f>
        <v/>
      </c>
    </row>
    <row r="628">
      <c r="A628" s="41" t="n"/>
      <c r="B628" s="41" t="n"/>
      <c r="C628" s="41" t="n"/>
      <c r="D628" s="41" t="n"/>
      <c r="E628" s="46" t="n"/>
      <c r="F628" s="41" t="n"/>
      <c r="G628" s="41" t="n"/>
      <c r="H628" s="41" t="n"/>
      <c r="I628" s="41" t="n"/>
      <c r="J628" s="47" t="n"/>
      <c r="K628" s="41" t="n"/>
      <c r="L628" s="48" t="n"/>
      <c r="M628" s="45" t="n"/>
      <c r="N628" s="39">
        <f>IF($B628="","",IF(SUMPRODUCT((LISTAS!$O$3:$O$42&lt;&gt;"")*ISNUMBER(SEARCH(LISTAS!$O$3:$O$42,$I628&amp;" "&amp;$K628)))&gt;0,"CERCANA","NACIONAL"))</f>
        <v/>
      </c>
      <c r="O628" s="39">
        <f>IF($B628="","",IF(COUNTIFS(NOVEDADES!$C$4:$C$2003,$B628)=0,"—","SÍ ("&amp;COUNTIFS(NOVEDADES!$C$4:$C$2003,$B628)&amp;")"))</f>
        <v/>
      </c>
    </row>
    <row r="629">
      <c r="A629" s="41" t="n"/>
      <c r="B629" s="41" t="n"/>
      <c r="C629" s="41" t="n"/>
      <c r="D629" s="41" t="n"/>
      <c r="E629" s="46" t="n"/>
      <c r="F629" s="41" t="n"/>
      <c r="G629" s="41" t="n"/>
      <c r="H629" s="41" t="n"/>
      <c r="I629" s="41" t="n"/>
      <c r="J629" s="47" t="n"/>
      <c r="K629" s="41" t="n"/>
      <c r="L629" s="48" t="n"/>
      <c r="M629" s="45" t="n"/>
      <c r="N629" s="39">
        <f>IF($B629="","",IF(SUMPRODUCT((LISTAS!$O$3:$O$42&lt;&gt;"")*ISNUMBER(SEARCH(LISTAS!$O$3:$O$42,$I629&amp;" "&amp;$K629)))&gt;0,"CERCANA","NACIONAL"))</f>
        <v/>
      </c>
      <c r="O629" s="39">
        <f>IF($B629="","",IF(COUNTIFS(NOVEDADES!$C$4:$C$2003,$B629)=0,"—","SÍ ("&amp;COUNTIFS(NOVEDADES!$C$4:$C$2003,$B629)&amp;")"))</f>
        <v/>
      </c>
    </row>
    <row r="630">
      <c r="A630" s="41" t="n"/>
      <c r="B630" s="41" t="n"/>
      <c r="C630" s="41" t="n"/>
      <c r="D630" s="41" t="n"/>
      <c r="E630" s="46" t="n"/>
      <c r="F630" s="41" t="n"/>
      <c r="G630" s="41" t="n"/>
      <c r="H630" s="41" t="n"/>
      <c r="I630" s="41" t="n"/>
      <c r="J630" s="47" t="n"/>
      <c r="K630" s="41" t="n"/>
      <c r="L630" s="48" t="n"/>
      <c r="M630" s="45" t="n"/>
      <c r="N630" s="39">
        <f>IF($B630="","",IF(SUMPRODUCT((LISTAS!$O$3:$O$42&lt;&gt;"")*ISNUMBER(SEARCH(LISTAS!$O$3:$O$42,$I630&amp;" "&amp;$K630)))&gt;0,"CERCANA","NACIONAL"))</f>
        <v/>
      </c>
      <c r="O630" s="39">
        <f>IF($B630="","",IF(COUNTIFS(NOVEDADES!$C$4:$C$2003,$B630)=0,"—","SÍ ("&amp;COUNTIFS(NOVEDADES!$C$4:$C$2003,$B630)&amp;")"))</f>
        <v/>
      </c>
    </row>
    <row r="631">
      <c r="A631" s="41" t="n"/>
      <c r="B631" s="41" t="n"/>
      <c r="C631" s="41" t="n"/>
      <c r="D631" s="41" t="n"/>
      <c r="E631" s="46" t="n"/>
      <c r="F631" s="41" t="n"/>
      <c r="G631" s="41" t="n"/>
      <c r="H631" s="41" t="n"/>
      <c r="I631" s="41" t="n"/>
      <c r="J631" s="47" t="n"/>
      <c r="K631" s="41" t="n"/>
      <c r="L631" s="48" t="n"/>
      <c r="M631" s="45" t="n"/>
      <c r="N631" s="39">
        <f>IF($B631="","",IF(SUMPRODUCT((LISTAS!$O$3:$O$42&lt;&gt;"")*ISNUMBER(SEARCH(LISTAS!$O$3:$O$42,$I631&amp;" "&amp;$K631)))&gt;0,"CERCANA","NACIONAL"))</f>
        <v/>
      </c>
      <c r="O631" s="39">
        <f>IF($B631="","",IF(COUNTIFS(NOVEDADES!$C$4:$C$2003,$B631)=0,"—","SÍ ("&amp;COUNTIFS(NOVEDADES!$C$4:$C$2003,$B631)&amp;")"))</f>
        <v/>
      </c>
    </row>
    <row r="632">
      <c r="A632" s="41" t="n"/>
      <c r="B632" s="41" t="n"/>
      <c r="C632" s="41" t="n"/>
      <c r="D632" s="41" t="n"/>
      <c r="E632" s="46" t="n"/>
      <c r="F632" s="41" t="n"/>
      <c r="G632" s="41" t="n"/>
      <c r="H632" s="41" t="n"/>
      <c r="I632" s="41" t="n"/>
      <c r="J632" s="47" t="n"/>
      <c r="K632" s="41" t="n"/>
      <c r="L632" s="48" t="n"/>
      <c r="M632" s="45" t="n"/>
      <c r="N632" s="39">
        <f>IF($B632="","",IF(SUMPRODUCT((LISTAS!$O$3:$O$42&lt;&gt;"")*ISNUMBER(SEARCH(LISTAS!$O$3:$O$42,$I632&amp;" "&amp;$K632)))&gt;0,"CERCANA","NACIONAL"))</f>
        <v/>
      </c>
      <c r="O632" s="39">
        <f>IF($B632="","",IF(COUNTIFS(NOVEDADES!$C$4:$C$2003,$B632)=0,"—","SÍ ("&amp;COUNTIFS(NOVEDADES!$C$4:$C$2003,$B632)&amp;")"))</f>
        <v/>
      </c>
    </row>
    <row r="633">
      <c r="A633" s="41" t="n"/>
      <c r="B633" s="41" t="n"/>
      <c r="C633" s="41" t="n"/>
      <c r="D633" s="41" t="n"/>
      <c r="E633" s="46" t="n"/>
      <c r="F633" s="41" t="n"/>
      <c r="G633" s="41" t="n"/>
      <c r="H633" s="41" t="n"/>
      <c r="I633" s="41" t="n"/>
      <c r="J633" s="47" t="n"/>
      <c r="K633" s="41" t="n"/>
      <c r="L633" s="48" t="n"/>
      <c r="M633" s="45" t="n"/>
      <c r="N633" s="39">
        <f>IF($B633="","",IF(SUMPRODUCT((LISTAS!$O$3:$O$42&lt;&gt;"")*ISNUMBER(SEARCH(LISTAS!$O$3:$O$42,$I633&amp;" "&amp;$K633)))&gt;0,"CERCANA","NACIONAL"))</f>
        <v/>
      </c>
      <c r="O633" s="39">
        <f>IF($B633="","",IF(COUNTIFS(NOVEDADES!$C$4:$C$2003,$B633)=0,"—","SÍ ("&amp;COUNTIFS(NOVEDADES!$C$4:$C$2003,$B633)&amp;")"))</f>
        <v/>
      </c>
    </row>
    <row r="634">
      <c r="A634" s="41" t="n"/>
      <c r="B634" s="41" t="n"/>
      <c r="C634" s="41" t="n"/>
      <c r="D634" s="41" t="n"/>
      <c r="E634" s="46" t="n"/>
      <c r="F634" s="41" t="n"/>
      <c r="G634" s="41" t="n"/>
      <c r="H634" s="41" t="n"/>
      <c r="I634" s="41" t="n"/>
      <c r="J634" s="47" t="n"/>
      <c r="K634" s="41" t="n"/>
      <c r="L634" s="48" t="n"/>
      <c r="M634" s="45" t="n"/>
      <c r="N634" s="39">
        <f>IF($B634="","",IF(SUMPRODUCT((LISTAS!$O$3:$O$42&lt;&gt;"")*ISNUMBER(SEARCH(LISTAS!$O$3:$O$42,$I634&amp;" "&amp;$K634)))&gt;0,"CERCANA","NACIONAL"))</f>
        <v/>
      </c>
      <c r="O634" s="39">
        <f>IF($B634="","",IF(COUNTIFS(NOVEDADES!$C$4:$C$2003,$B634)=0,"—","SÍ ("&amp;COUNTIFS(NOVEDADES!$C$4:$C$2003,$B634)&amp;")"))</f>
        <v/>
      </c>
    </row>
    <row r="635">
      <c r="A635" s="41" t="n"/>
      <c r="B635" s="41" t="n"/>
      <c r="C635" s="41" t="n"/>
      <c r="D635" s="41" t="n"/>
      <c r="E635" s="46" t="n"/>
      <c r="F635" s="41" t="n"/>
      <c r="G635" s="41" t="n"/>
      <c r="H635" s="41" t="n"/>
      <c r="I635" s="41" t="n"/>
      <c r="J635" s="47" t="n"/>
      <c r="K635" s="41" t="n"/>
      <c r="L635" s="48" t="n"/>
      <c r="M635" s="45" t="n"/>
      <c r="N635" s="39">
        <f>IF($B635="","",IF(SUMPRODUCT((LISTAS!$O$3:$O$42&lt;&gt;"")*ISNUMBER(SEARCH(LISTAS!$O$3:$O$42,$I635&amp;" "&amp;$K635)))&gt;0,"CERCANA","NACIONAL"))</f>
        <v/>
      </c>
      <c r="O635" s="39">
        <f>IF($B635="","",IF(COUNTIFS(NOVEDADES!$C$4:$C$2003,$B635)=0,"—","SÍ ("&amp;COUNTIFS(NOVEDADES!$C$4:$C$2003,$B635)&amp;")"))</f>
        <v/>
      </c>
    </row>
    <row r="636">
      <c r="A636" s="41" t="n"/>
      <c r="B636" s="41" t="n"/>
      <c r="C636" s="41" t="n"/>
      <c r="D636" s="41" t="n"/>
      <c r="E636" s="46" t="n"/>
      <c r="F636" s="41" t="n"/>
      <c r="G636" s="41" t="n"/>
      <c r="H636" s="41" t="n"/>
      <c r="I636" s="41" t="n"/>
      <c r="J636" s="47" t="n"/>
      <c r="K636" s="41" t="n"/>
      <c r="L636" s="48" t="n"/>
      <c r="M636" s="45" t="n"/>
      <c r="N636" s="39">
        <f>IF($B636="","",IF(SUMPRODUCT((LISTAS!$O$3:$O$42&lt;&gt;"")*ISNUMBER(SEARCH(LISTAS!$O$3:$O$42,$I636&amp;" "&amp;$K636)))&gt;0,"CERCANA","NACIONAL"))</f>
        <v/>
      </c>
      <c r="O636" s="39">
        <f>IF($B636="","",IF(COUNTIFS(NOVEDADES!$C$4:$C$2003,$B636)=0,"—","SÍ ("&amp;COUNTIFS(NOVEDADES!$C$4:$C$2003,$B636)&amp;")"))</f>
        <v/>
      </c>
    </row>
    <row r="637">
      <c r="A637" s="41" t="n"/>
      <c r="B637" s="41" t="n"/>
      <c r="C637" s="41" t="n"/>
      <c r="D637" s="41" t="n"/>
      <c r="E637" s="46" t="n"/>
      <c r="F637" s="41" t="n"/>
      <c r="G637" s="41" t="n"/>
      <c r="H637" s="41" t="n"/>
      <c r="I637" s="41" t="n"/>
      <c r="J637" s="47" t="n"/>
      <c r="K637" s="41" t="n"/>
      <c r="L637" s="48" t="n"/>
      <c r="M637" s="45" t="n"/>
      <c r="N637" s="39">
        <f>IF($B637="","",IF(SUMPRODUCT((LISTAS!$O$3:$O$42&lt;&gt;"")*ISNUMBER(SEARCH(LISTAS!$O$3:$O$42,$I637&amp;" "&amp;$K637)))&gt;0,"CERCANA","NACIONAL"))</f>
        <v/>
      </c>
      <c r="O637" s="39">
        <f>IF($B637="","",IF(COUNTIFS(NOVEDADES!$C$4:$C$2003,$B637)=0,"—","SÍ ("&amp;COUNTIFS(NOVEDADES!$C$4:$C$2003,$B637)&amp;")"))</f>
        <v/>
      </c>
    </row>
    <row r="638">
      <c r="A638" s="41" t="n"/>
      <c r="B638" s="41" t="n"/>
      <c r="C638" s="41" t="n"/>
      <c r="D638" s="41" t="n"/>
      <c r="E638" s="46" t="n"/>
      <c r="F638" s="41" t="n"/>
      <c r="G638" s="41" t="n"/>
      <c r="H638" s="41" t="n"/>
      <c r="I638" s="41" t="n"/>
      <c r="J638" s="47" t="n"/>
      <c r="K638" s="41" t="n"/>
      <c r="L638" s="48" t="n"/>
      <c r="M638" s="45" t="n"/>
      <c r="N638" s="39">
        <f>IF($B638="","",IF(SUMPRODUCT((LISTAS!$O$3:$O$42&lt;&gt;"")*ISNUMBER(SEARCH(LISTAS!$O$3:$O$42,$I638&amp;" "&amp;$K638)))&gt;0,"CERCANA","NACIONAL"))</f>
        <v/>
      </c>
      <c r="O638" s="39">
        <f>IF($B638="","",IF(COUNTIFS(NOVEDADES!$C$4:$C$2003,$B638)=0,"—","SÍ ("&amp;COUNTIFS(NOVEDADES!$C$4:$C$2003,$B638)&amp;")"))</f>
        <v/>
      </c>
    </row>
    <row r="639">
      <c r="A639" s="41" t="n"/>
      <c r="B639" s="41" t="n"/>
      <c r="C639" s="41" t="n"/>
      <c r="D639" s="41" t="n"/>
      <c r="E639" s="46" t="n"/>
      <c r="F639" s="41" t="n"/>
      <c r="G639" s="41" t="n"/>
      <c r="H639" s="41" t="n"/>
      <c r="I639" s="41" t="n"/>
      <c r="J639" s="47" t="n"/>
      <c r="K639" s="41" t="n"/>
      <c r="L639" s="48" t="n"/>
      <c r="M639" s="45" t="n"/>
      <c r="N639" s="39">
        <f>IF($B639="","",IF(SUMPRODUCT((LISTAS!$O$3:$O$42&lt;&gt;"")*ISNUMBER(SEARCH(LISTAS!$O$3:$O$42,$I639&amp;" "&amp;$K639)))&gt;0,"CERCANA","NACIONAL"))</f>
        <v/>
      </c>
      <c r="O639" s="39">
        <f>IF($B639="","",IF(COUNTIFS(NOVEDADES!$C$4:$C$2003,$B639)=0,"—","SÍ ("&amp;COUNTIFS(NOVEDADES!$C$4:$C$2003,$B639)&amp;")"))</f>
        <v/>
      </c>
    </row>
    <row r="640">
      <c r="A640" s="41" t="n"/>
      <c r="B640" s="41" t="n"/>
      <c r="C640" s="41" t="n"/>
      <c r="D640" s="41" t="n"/>
      <c r="E640" s="46" t="n"/>
      <c r="F640" s="41" t="n"/>
      <c r="G640" s="41" t="n"/>
      <c r="H640" s="41" t="n"/>
      <c r="I640" s="41" t="n"/>
      <c r="J640" s="47" t="n"/>
      <c r="K640" s="41" t="n"/>
      <c r="L640" s="48" t="n"/>
      <c r="M640" s="45" t="n"/>
      <c r="N640" s="39">
        <f>IF($B640="","",IF(SUMPRODUCT((LISTAS!$O$3:$O$42&lt;&gt;"")*ISNUMBER(SEARCH(LISTAS!$O$3:$O$42,$I640&amp;" "&amp;$K640)))&gt;0,"CERCANA","NACIONAL"))</f>
        <v/>
      </c>
      <c r="O640" s="39">
        <f>IF($B640="","",IF(COUNTIFS(NOVEDADES!$C$4:$C$2003,$B640)=0,"—","SÍ ("&amp;COUNTIFS(NOVEDADES!$C$4:$C$2003,$B640)&amp;")"))</f>
        <v/>
      </c>
    </row>
    <row r="641">
      <c r="A641" s="41" t="n"/>
      <c r="B641" s="41" t="n"/>
      <c r="C641" s="41" t="n"/>
      <c r="D641" s="41" t="n"/>
      <c r="E641" s="46" t="n"/>
      <c r="F641" s="41" t="n"/>
      <c r="G641" s="41" t="n"/>
      <c r="H641" s="41" t="n"/>
      <c r="I641" s="41" t="n"/>
      <c r="J641" s="47" t="n"/>
      <c r="K641" s="41" t="n"/>
      <c r="L641" s="48" t="n"/>
      <c r="M641" s="45" t="n"/>
      <c r="N641" s="39">
        <f>IF($B641="","",IF(SUMPRODUCT((LISTAS!$O$3:$O$42&lt;&gt;"")*ISNUMBER(SEARCH(LISTAS!$O$3:$O$42,$I641&amp;" "&amp;$K641)))&gt;0,"CERCANA","NACIONAL"))</f>
        <v/>
      </c>
      <c r="O641" s="39">
        <f>IF($B641="","",IF(COUNTIFS(NOVEDADES!$C$4:$C$2003,$B641)=0,"—","SÍ ("&amp;COUNTIFS(NOVEDADES!$C$4:$C$2003,$B641)&amp;")"))</f>
        <v/>
      </c>
    </row>
    <row r="642">
      <c r="A642" s="41" t="n"/>
      <c r="B642" s="41" t="n"/>
      <c r="C642" s="41" t="n"/>
      <c r="D642" s="41" t="n"/>
      <c r="E642" s="46" t="n"/>
      <c r="F642" s="41" t="n"/>
      <c r="G642" s="41" t="n"/>
      <c r="H642" s="41" t="n"/>
      <c r="I642" s="41" t="n"/>
      <c r="J642" s="47" t="n"/>
      <c r="K642" s="41" t="n"/>
      <c r="L642" s="48" t="n"/>
      <c r="M642" s="45" t="n"/>
      <c r="N642" s="39">
        <f>IF($B642="","",IF(SUMPRODUCT((LISTAS!$O$3:$O$42&lt;&gt;"")*ISNUMBER(SEARCH(LISTAS!$O$3:$O$42,$I642&amp;" "&amp;$K642)))&gt;0,"CERCANA","NACIONAL"))</f>
        <v/>
      </c>
      <c r="O642" s="39">
        <f>IF($B642="","",IF(COUNTIFS(NOVEDADES!$C$4:$C$2003,$B642)=0,"—","SÍ ("&amp;COUNTIFS(NOVEDADES!$C$4:$C$2003,$B642)&amp;")"))</f>
        <v/>
      </c>
    </row>
    <row r="643">
      <c r="A643" s="41" t="n"/>
      <c r="B643" s="41" t="n"/>
      <c r="C643" s="41" t="n"/>
      <c r="D643" s="41" t="n"/>
      <c r="E643" s="46" t="n"/>
      <c r="F643" s="41" t="n"/>
      <c r="G643" s="41" t="n"/>
      <c r="H643" s="41" t="n"/>
      <c r="I643" s="41" t="n"/>
      <c r="J643" s="47" t="n"/>
      <c r="K643" s="41" t="n"/>
      <c r="L643" s="48" t="n"/>
      <c r="M643" s="45" t="n"/>
      <c r="N643" s="39">
        <f>IF($B643="","",IF(SUMPRODUCT((LISTAS!$O$3:$O$42&lt;&gt;"")*ISNUMBER(SEARCH(LISTAS!$O$3:$O$42,$I643&amp;" "&amp;$K643)))&gt;0,"CERCANA","NACIONAL"))</f>
        <v/>
      </c>
      <c r="O643" s="39">
        <f>IF($B643="","",IF(COUNTIFS(NOVEDADES!$C$4:$C$2003,$B643)=0,"—","SÍ ("&amp;COUNTIFS(NOVEDADES!$C$4:$C$2003,$B643)&amp;")"))</f>
        <v/>
      </c>
    </row>
    <row r="644">
      <c r="A644" s="41" t="n"/>
      <c r="B644" s="41" t="n"/>
      <c r="C644" s="41" t="n"/>
      <c r="D644" s="41" t="n"/>
      <c r="E644" s="46" t="n"/>
      <c r="F644" s="41" t="n"/>
      <c r="G644" s="41" t="n"/>
      <c r="H644" s="41" t="n"/>
      <c r="I644" s="41" t="n"/>
      <c r="J644" s="47" t="n"/>
      <c r="K644" s="41" t="n"/>
      <c r="L644" s="48" t="n"/>
      <c r="M644" s="45" t="n"/>
      <c r="N644" s="39">
        <f>IF($B644="","",IF(SUMPRODUCT((LISTAS!$O$3:$O$42&lt;&gt;"")*ISNUMBER(SEARCH(LISTAS!$O$3:$O$42,$I644&amp;" "&amp;$K644)))&gt;0,"CERCANA","NACIONAL"))</f>
        <v/>
      </c>
      <c r="O644" s="39">
        <f>IF($B644="","",IF(COUNTIFS(NOVEDADES!$C$4:$C$2003,$B644)=0,"—","SÍ ("&amp;COUNTIFS(NOVEDADES!$C$4:$C$2003,$B644)&amp;")"))</f>
        <v/>
      </c>
    </row>
    <row r="645">
      <c r="A645" s="41" t="n"/>
      <c r="B645" s="41" t="n"/>
      <c r="C645" s="41" t="n"/>
      <c r="D645" s="41" t="n"/>
      <c r="E645" s="46" t="n"/>
      <c r="F645" s="41" t="n"/>
      <c r="G645" s="41" t="n"/>
      <c r="H645" s="41" t="n"/>
      <c r="I645" s="41" t="n"/>
      <c r="J645" s="47" t="n"/>
      <c r="K645" s="41" t="n"/>
      <c r="L645" s="48" t="n"/>
      <c r="M645" s="45" t="n"/>
      <c r="N645" s="39">
        <f>IF($B645="","",IF(SUMPRODUCT((LISTAS!$O$3:$O$42&lt;&gt;"")*ISNUMBER(SEARCH(LISTAS!$O$3:$O$42,$I645&amp;" "&amp;$K645)))&gt;0,"CERCANA","NACIONAL"))</f>
        <v/>
      </c>
      <c r="O645" s="39">
        <f>IF($B645="","",IF(COUNTIFS(NOVEDADES!$C$4:$C$2003,$B645)=0,"—","SÍ ("&amp;COUNTIFS(NOVEDADES!$C$4:$C$2003,$B645)&amp;")"))</f>
        <v/>
      </c>
    </row>
    <row r="646">
      <c r="A646" s="41" t="n"/>
      <c r="B646" s="41" t="n"/>
      <c r="C646" s="41" t="n"/>
      <c r="D646" s="41" t="n"/>
      <c r="E646" s="46" t="n"/>
      <c r="F646" s="41" t="n"/>
      <c r="G646" s="41" t="n"/>
      <c r="H646" s="41" t="n"/>
      <c r="I646" s="41" t="n"/>
      <c r="J646" s="47" t="n"/>
      <c r="K646" s="41" t="n"/>
      <c r="L646" s="48" t="n"/>
      <c r="M646" s="45" t="n"/>
      <c r="N646" s="39">
        <f>IF($B646="","",IF(SUMPRODUCT((LISTAS!$O$3:$O$42&lt;&gt;"")*ISNUMBER(SEARCH(LISTAS!$O$3:$O$42,$I646&amp;" "&amp;$K646)))&gt;0,"CERCANA","NACIONAL"))</f>
        <v/>
      </c>
      <c r="O646" s="39">
        <f>IF($B646="","",IF(COUNTIFS(NOVEDADES!$C$4:$C$2003,$B646)=0,"—","SÍ ("&amp;COUNTIFS(NOVEDADES!$C$4:$C$2003,$B646)&amp;")"))</f>
        <v/>
      </c>
    </row>
    <row r="647">
      <c r="A647" s="41" t="n"/>
      <c r="B647" s="41" t="n"/>
      <c r="C647" s="41" t="n"/>
      <c r="D647" s="41" t="n"/>
      <c r="E647" s="46" t="n"/>
      <c r="F647" s="41" t="n"/>
      <c r="G647" s="41" t="n"/>
      <c r="H647" s="41" t="n"/>
      <c r="I647" s="41" t="n"/>
      <c r="J647" s="47" t="n"/>
      <c r="K647" s="41" t="n"/>
      <c r="L647" s="48" t="n"/>
      <c r="M647" s="45" t="n"/>
      <c r="N647" s="39">
        <f>IF($B647="","",IF(SUMPRODUCT((LISTAS!$O$3:$O$42&lt;&gt;"")*ISNUMBER(SEARCH(LISTAS!$O$3:$O$42,$I647&amp;" "&amp;$K647)))&gt;0,"CERCANA","NACIONAL"))</f>
        <v/>
      </c>
      <c r="O647" s="39">
        <f>IF($B647="","",IF(COUNTIFS(NOVEDADES!$C$4:$C$2003,$B647)=0,"—","SÍ ("&amp;COUNTIFS(NOVEDADES!$C$4:$C$2003,$B647)&amp;")"))</f>
        <v/>
      </c>
    </row>
    <row r="648">
      <c r="A648" s="41" t="n"/>
      <c r="B648" s="41" t="n"/>
      <c r="C648" s="41" t="n"/>
      <c r="D648" s="41" t="n"/>
      <c r="E648" s="46" t="n"/>
      <c r="F648" s="41" t="n"/>
      <c r="G648" s="41" t="n"/>
      <c r="H648" s="41" t="n"/>
      <c r="I648" s="41" t="n"/>
      <c r="J648" s="47" t="n"/>
      <c r="K648" s="41" t="n"/>
      <c r="L648" s="48" t="n"/>
      <c r="M648" s="45" t="n"/>
      <c r="N648" s="39">
        <f>IF($B648="","",IF(SUMPRODUCT((LISTAS!$O$3:$O$42&lt;&gt;"")*ISNUMBER(SEARCH(LISTAS!$O$3:$O$42,$I648&amp;" "&amp;$K648)))&gt;0,"CERCANA","NACIONAL"))</f>
        <v/>
      </c>
      <c r="O648" s="39">
        <f>IF($B648="","",IF(COUNTIFS(NOVEDADES!$C$4:$C$2003,$B648)=0,"—","SÍ ("&amp;COUNTIFS(NOVEDADES!$C$4:$C$2003,$B648)&amp;")"))</f>
        <v/>
      </c>
    </row>
    <row r="649">
      <c r="A649" s="41" t="n"/>
      <c r="B649" s="41" t="n"/>
      <c r="C649" s="41" t="n"/>
      <c r="D649" s="41" t="n"/>
      <c r="E649" s="46" t="n"/>
      <c r="F649" s="41" t="n"/>
      <c r="G649" s="41" t="n"/>
      <c r="H649" s="41" t="n"/>
      <c r="I649" s="41" t="n"/>
      <c r="J649" s="47" t="n"/>
      <c r="K649" s="41" t="n"/>
      <c r="L649" s="48" t="n"/>
      <c r="M649" s="45" t="n"/>
      <c r="N649" s="39">
        <f>IF($B649="","",IF(SUMPRODUCT((LISTAS!$O$3:$O$42&lt;&gt;"")*ISNUMBER(SEARCH(LISTAS!$O$3:$O$42,$I649&amp;" "&amp;$K649)))&gt;0,"CERCANA","NACIONAL"))</f>
        <v/>
      </c>
      <c r="O649" s="39">
        <f>IF($B649="","",IF(COUNTIFS(NOVEDADES!$C$4:$C$2003,$B649)=0,"—","SÍ ("&amp;COUNTIFS(NOVEDADES!$C$4:$C$2003,$B649)&amp;")"))</f>
        <v/>
      </c>
    </row>
    <row r="650">
      <c r="A650" s="41" t="n"/>
      <c r="B650" s="41" t="n"/>
      <c r="C650" s="41" t="n"/>
      <c r="D650" s="41" t="n"/>
      <c r="E650" s="46" t="n"/>
      <c r="F650" s="41" t="n"/>
      <c r="G650" s="41" t="n"/>
      <c r="H650" s="41" t="n"/>
      <c r="I650" s="41" t="n"/>
      <c r="J650" s="47" t="n"/>
      <c r="K650" s="41" t="n"/>
      <c r="L650" s="48" t="n"/>
      <c r="M650" s="45" t="n"/>
      <c r="N650" s="39">
        <f>IF($B650="","",IF(SUMPRODUCT((LISTAS!$O$3:$O$42&lt;&gt;"")*ISNUMBER(SEARCH(LISTAS!$O$3:$O$42,$I650&amp;" "&amp;$K650)))&gt;0,"CERCANA","NACIONAL"))</f>
        <v/>
      </c>
      <c r="O650" s="39">
        <f>IF($B650="","",IF(COUNTIFS(NOVEDADES!$C$4:$C$2003,$B650)=0,"—","SÍ ("&amp;COUNTIFS(NOVEDADES!$C$4:$C$2003,$B650)&amp;")"))</f>
        <v/>
      </c>
    </row>
    <row r="651">
      <c r="A651" s="41" t="n"/>
      <c r="B651" s="41" t="n"/>
      <c r="C651" s="41" t="n"/>
      <c r="D651" s="41" t="n"/>
      <c r="E651" s="46" t="n"/>
      <c r="F651" s="41" t="n"/>
      <c r="G651" s="41" t="n"/>
      <c r="H651" s="41" t="n"/>
      <c r="I651" s="41" t="n"/>
      <c r="J651" s="47" t="n"/>
      <c r="K651" s="41" t="n"/>
      <c r="L651" s="48" t="n"/>
      <c r="M651" s="45" t="n"/>
      <c r="N651" s="39">
        <f>IF($B651="","",IF(SUMPRODUCT((LISTAS!$O$3:$O$42&lt;&gt;"")*ISNUMBER(SEARCH(LISTAS!$O$3:$O$42,$I651&amp;" "&amp;$K651)))&gt;0,"CERCANA","NACIONAL"))</f>
        <v/>
      </c>
      <c r="O651" s="39">
        <f>IF($B651="","",IF(COUNTIFS(NOVEDADES!$C$4:$C$2003,$B651)=0,"—","SÍ ("&amp;COUNTIFS(NOVEDADES!$C$4:$C$2003,$B651)&amp;")"))</f>
        <v/>
      </c>
    </row>
    <row r="652">
      <c r="A652" s="41" t="n"/>
      <c r="B652" s="41" t="n"/>
      <c r="C652" s="41" t="n"/>
      <c r="D652" s="41" t="n"/>
      <c r="E652" s="46" t="n"/>
      <c r="F652" s="41" t="n"/>
      <c r="G652" s="41" t="n"/>
      <c r="H652" s="41" t="n"/>
      <c r="I652" s="41" t="n"/>
      <c r="J652" s="47" t="n"/>
      <c r="K652" s="41" t="n"/>
      <c r="L652" s="48" t="n"/>
      <c r="M652" s="45" t="n"/>
      <c r="N652" s="39">
        <f>IF($B652="","",IF(SUMPRODUCT((LISTAS!$O$3:$O$42&lt;&gt;"")*ISNUMBER(SEARCH(LISTAS!$O$3:$O$42,$I652&amp;" "&amp;$K652)))&gt;0,"CERCANA","NACIONAL"))</f>
        <v/>
      </c>
      <c r="O652" s="39">
        <f>IF($B652="","",IF(COUNTIFS(NOVEDADES!$C$4:$C$2003,$B652)=0,"—","SÍ ("&amp;COUNTIFS(NOVEDADES!$C$4:$C$2003,$B652)&amp;")"))</f>
        <v/>
      </c>
    </row>
    <row r="653">
      <c r="A653" s="41" t="n"/>
      <c r="B653" s="41" t="n"/>
      <c r="C653" s="41" t="n"/>
      <c r="D653" s="41" t="n"/>
      <c r="E653" s="46" t="n"/>
      <c r="F653" s="41" t="n"/>
      <c r="G653" s="41" t="n"/>
      <c r="H653" s="41" t="n"/>
      <c r="I653" s="41" t="n"/>
      <c r="J653" s="47" t="n"/>
      <c r="K653" s="41" t="n"/>
      <c r="L653" s="48" t="n"/>
      <c r="M653" s="45" t="n"/>
      <c r="N653" s="39">
        <f>IF($B653="","",IF(SUMPRODUCT((LISTAS!$O$3:$O$42&lt;&gt;"")*ISNUMBER(SEARCH(LISTAS!$O$3:$O$42,$I653&amp;" "&amp;$K653)))&gt;0,"CERCANA","NACIONAL"))</f>
        <v/>
      </c>
      <c r="O653" s="39">
        <f>IF($B653="","",IF(COUNTIFS(NOVEDADES!$C$4:$C$2003,$B653)=0,"—","SÍ ("&amp;COUNTIFS(NOVEDADES!$C$4:$C$2003,$B653)&amp;")"))</f>
        <v/>
      </c>
    </row>
    <row r="654">
      <c r="A654" s="41" t="n"/>
      <c r="B654" s="41" t="n"/>
      <c r="C654" s="41" t="n"/>
      <c r="D654" s="41" t="n"/>
      <c r="E654" s="46" t="n"/>
      <c r="F654" s="41" t="n"/>
      <c r="G654" s="41" t="n"/>
      <c r="H654" s="41" t="n"/>
      <c r="I654" s="41" t="n"/>
      <c r="J654" s="47" t="n"/>
      <c r="K654" s="41" t="n"/>
      <c r="L654" s="48" t="n"/>
      <c r="M654" s="45" t="n"/>
      <c r="N654" s="39">
        <f>IF($B654="","",IF(SUMPRODUCT((LISTAS!$O$3:$O$42&lt;&gt;"")*ISNUMBER(SEARCH(LISTAS!$O$3:$O$42,$I654&amp;" "&amp;$K654)))&gt;0,"CERCANA","NACIONAL"))</f>
        <v/>
      </c>
      <c r="O654" s="39">
        <f>IF($B654="","",IF(COUNTIFS(NOVEDADES!$C$4:$C$2003,$B654)=0,"—","SÍ ("&amp;COUNTIFS(NOVEDADES!$C$4:$C$2003,$B654)&amp;")"))</f>
        <v/>
      </c>
    </row>
    <row r="655">
      <c r="A655" s="41" t="n"/>
      <c r="B655" s="41" t="n"/>
      <c r="C655" s="41" t="n"/>
      <c r="D655" s="41" t="n"/>
      <c r="E655" s="46" t="n"/>
      <c r="F655" s="41" t="n"/>
      <c r="G655" s="41" t="n"/>
      <c r="H655" s="41" t="n"/>
      <c r="I655" s="41" t="n"/>
      <c r="J655" s="47" t="n"/>
      <c r="K655" s="41" t="n"/>
      <c r="L655" s="48" t="n"/>
      <c r="M655" s="45" t="n"/>
      <c r="N655" s="39">
        <f>IF($B655="","",IF(SUMPRODUCT((LISTAS!$O$3:$O$42&lt;&gt;"")*ISNUMBER(SEARCH(LISTAS!$O$3:$O$42,$I655&amp;" "&amp;$K655)))&gt;0,"CERCANA","NACIONAL"))</f>
        <v/>
      </c>
      <c r="O655" s="39">
        <f>IF($B655="","",IF(COUNTIFS(NOVEDADES!$C$4:$C$2003,$B655)=0,"—","SÍ ("&amp;COUNTIFS(NOVEDADES!$C$4:$C$2003,$B655)&amp;")"))</f>
        <v/>
      </c>
    </row>
    <row r="656">
      <c r="A656" s="41" t="n"/>
      <c r="B656" s="41" t="n"/>
      <c r="C656" s="41" t="n"/>
      <c r="D656" s="41" t="n"/>
      <c r="E656" s="46" t="n"/>
      <c r="F656" s="41" t="n"/>
      <c r="G656" s="41" t="n"/>
      <c r="H656" s="41" t="n"/>
      <c r="I656" s="41" t="n"/>
      <c r="J656" s="47" t="n"/>
      <c r="K656" s="41" t="n"/>
      <c r="L656" s="48" t="n"/>
      <c r="M656" s="45" t="n"/>
      <c r="N656" s="39">
        <f>IF($B656="","",IF(SUMPRODUCT((LISTAS!$O$3:$O$42&lt;&gt;"")*ISNUMBER(SEARCH(LISTAS!$O$3:$O$42,$I656&amp;" "&amp;$K656)))&gt;0,"CERCANA","NACIONAL"))</f>
        <v/>
      </c>
      <c r="O656" s="39">
        <f>IF($B656="","",IF(COUNTIFS(NOVEDADES!$C$4:$C$2003,$B656)=0,"—","SÍ ("&amp;COUNTIFS(NOVEDADES!$C$4:$C$2003,$B656)&amp;")"))</f>
        <v/>
      </c>
    </row>
    <row r="657">
      <c r="A657" s="41" t="n"/>
      <c r="B657" s="41" t="n"/>
      <c r="C657" s="41" t="n"/>
      <c r="D657" s="41" t="n"/>
      <c r="E657" s="46" t="n"/>
      <c r="F657" s="41" t="n"/>
      <c r="G657" s="41" t="n"/>
      <c r="H657" s="41" t="n"/>
      <c r="I657" s="41" t="n"/>
      <c r="J657" s="47" t="n"/>
      <c r="K657" s="41" t="n"/>
      <c r="L657" s="48" t="n"/>
      <c r="M657" s="45" t="n"/>
      <c r="N657" s="39">
        <f>IF($B657="","",IF(SUMPRODUCT((LISTAS!$O$3:$O$42&lt;&gt;"")*ISNUMBER(SEARCH(LISTAS!$O$3:$O$42,$I657&amp;" "&amp;$K657)))&gt;0,"CERCANA","NACIONAL"))</f>
        <v/>
      </c>
      <c r="O657" s="39">
        <f>IF($B657="","",IF(COUNTIFS(NOVEDADES!$C$4:$C$2003,$B657)=0,"—","SÍ ("&amp;COUNTIFS(NOVEDADES!$C$4:$C$2003,$B657)&amp;")"))</f>
        <v/>
      </c>
    </row>
    <row r="658">
      <c r="A658" s="41" t="n"/>
      <c r="B658" s="41" t="n"/>
      <c r="C658" s="41" t="n"/>
      <c r="D658" s="41" t="n"/>
      <c r="E658" s="46" t="n"/>
      <c r="F658" s="41" t="n"/>
      <c r="G658" s="41" t="n"/>
      <c r="H658" s="41" t="n"/>
      <c r="I658" s="41" t="n"/>
      <c r="J658" s="47" t="n"/>
      <c r="K658" s="41" t="n"/>
      <c r="L658" s="48" t="n"/>
      <c r="M658" s="45" t="n"/>
      <c r="N658" s="39">
        <f>IF($B658="","",IF(SUMPRODUCT((LISTAS!$O$3:$O$42&lt;&gt;"")*ISNUMBER(SEARCH(LISTAS!$O$3:$O$42,$I658&amp;" "&amp;$K658)))&gt;0,"CERCANA","NACIONAL"))</f>
        <v/>
      </c>
      <c r="O658" s="39">
        <f>IF($B658="","",IF(COUNTIFS(NOVEDADES!$C$4:$C$2003,$B658)=0,"—","SÍ ("&amp;COUNTIFS(NOVEDADES!$C$4:$C$2003,$B658)&amp;")"))</f>
        <v/>
      </c>
    </row>
    <row r="659">
      <c r="A659" s="41" t="n"/>
      <c r="B659" s="41" t="n"/>
      <c r="C659" s="41" t="n"/>
      <c r="D659" s="41" t="n"/>
      <c r="E659" s="46" t="n"/>
      <c r="F659" s="41" t="n"/>
      <c r="G659" s="41" t="n"/>
      <c r="H659" s="41" t="n"/>
      <c r="I659" s="41" t="n"/>
      <c r="J659" s="47" t="n"/>
      <c r="K659" s="41" t="n"/>
      <c r="L659" s="48" t="n"/>
      <c r="M659" s="45" t="n"/>
      <c r="N659" s="39">
        <f>IF($B659="","",IF(SUMPRODUCT((LISTAS!$O$3:$O$42&lt;&gt;"")*ISNUMBER(SEARCH(LISTAS!$O$3:$O$42,$I659&amp;" "&amp;$K659)))&gt;0,"CERCANA","NACIONAL"))</f>
        <v/>
      </c>
      <c r="O659" s="39">
        <f>IF($B659="","",IF(COUNTIFS(NOVEDADES!$C$4:$C$2003,$B659)=0,"—","SÍ ("&amp;COUNTIFS(NOVEDADES!$C$4:$C$2003,$B659)&amp;")"))</f>
        <v/>
      </c>
    </row>
    <row r="660">
      <c r="A660" s="41" t="n"/>
      <c r="B660" s="41" t="n"/>
      <c r="C660" s="41" t="n"/>
      <c r="D660" s="41" t="n"/>
      <c r="E660" s="46" t="n"/>
      <c r="F660" s="41" t="n"/>
      <c r="G660" s="41" t="n"/>
      <c r="H660" s="41" t="n"/>
      <c r="I660" s="41" t="n"/>
      <c r="J660" s="47" t="n"/>
      <c r="K660" s="41" t="n"/>
      <c r="L660" s="48" t="n"/>
      <c r="M660" s="45" t="n"/>
      <c r="N660" s="39">
        <f>IF($B660="","",IF(SUMPRODUCT((LISTAS!$O$3:$O$42&lt;&gt;"")*ISNUMBER(SEARCH(LISTAS!$O$3:$O$42,$I660&amp;" "&amp;$K660)))&gt;0,"CERCANA","NACIONAL"))</f>
        <v/>
      </c>
      <c r="O660" s="39">
        <f>IF($B660="","",IF(COUNTIFS(NOVEDADES!$C$4:$C$2003,$B660)=0,"—","SÍ ("&amp;COUNTIFS(NOVEDADES!$C$4:$C$2003,$B660)&amp;")"))</f>
        <v/>
      </c>
    </row>
    <row r="661">
      <c r="A661" s="41" t="n"/>
      <c r="B661" s="41" t="n"/>
      <c r="C661" s="41" t="n"/>
      <c r="D661" s="41" t="n"/>
      <c r="E661" s="46" t="n"/>
      <c r="F661" s="41" t="n"/>
      <c r="G661" s="41" t="n"/>
      <c r="H661" s="41" t="n"/>
      <c r="I661" s="41" t="n"/>
      <c r="J661" s="47" t="n"/>
      <c r="K661" s="41" t="n"/>
      <c r="L661" s="48" t="n"/>
      <c r="M661" s="45" t="n"/>
      <c r="N661" s="39">
        <f>IF($B661="","",IF(SUMPRODUCT((LISTAS!$O$3:$O$42&lt;&gt;"")*ISNUMBER(SEARCH(LISTAS!$O$3:$O$42,$I661&amp;" "&amp;$K661)))&gt;0,"CERCANA","NACIONAL"))</f>
        <v/>
      </c>
      <c r="O661" s="39">
        <f>IF($B661="","",IF(COUNTIFS(NOVEDADES!$C$4:$C$2003,$B661)=0,"—","SÍ ("&amp;COUNTIFS(NOVEDADES!$C$4:$C$2003,$B661)&amp;")"))</f>
        <v/>
      </c>
    </row>
    <row r="662">
      <c r="A662" s="41" t="n"/>
      <c r="B662" s="41" t="n"/>
      <c r="C662" s="41" t="n"/>
      <c r="D662" s="41" t="n"/>
      <c r="E662" s="46" t="n"/>
      <c r="F662" s="41" t="n"/>
      <c r="G662" s="41" t="n"/>
      <c r="H662" s="41" t="n"/>
      <c r="I662" s="41" t="n"/>
      <c r="J662" s="47" t="n"/>
      <c r="K662" s="41" t="n"/>
      <c r="L662" s="48" t="n"/>
      <c r="M662" s="45" t="n"/>
      <c r="N662" s="39">
        <f>IF($B662="","",IF(SUMPRODUCT((LISTAS!$O$3:$O$42&lt;&gt;"")*ISNUMBER(SEARCH(LISTAS!$O$3:$O$42,$I662&amp;" "&amp;$K662)))&gt;0,"CERCANA","NACIONAL"))</f>
        <v/>
      </c>
      <c r="O662" s="39">
        <f>IF($B662="","",IF(COUNTIFS(NOVEDADES!$C$4:$C$2003,$B662)=0,"—","SÍ ("&amp;COUNTIFS(NOVEDADES!$C$4:$C$2003,$B662)&amp;")"))</f>
        <v/>
      </c>
    </row>
    <row r="663">
      <c r="A663" s="41" t="n"/>
      <c r="B663" s="41" t="n"/>
      <c r="C663" s="41" t="n"/>
      <c r="D663" s="41" t="n"/>
      <c r="E663" s="46" t="n"/>
      <c r="F663" s="41" t="n"/>
      <c r="G663" s="41" t="n"/>
      <c r="H663" s="41" t="n"/>
      <c r="I663" s="41" t="n"/>
      <c r="J663" s="47" t="n"/>
      <c r="K663" s="41" t="n"/>
      <c r="L663" s="48" t="n"/>
      <c r="M663" s="45" t="n"/>
      <c r="N663" s="39">
        <f>IF($B663="","",IF(SUMPRODUCT((LISTAS!$O$3:$O$42&lt;&gt;"")*ISNUMBER(SEARCH(LISTAS!$O$3:$O$42,$I663&amp;" "&amp;$K663)))&gt;0,"CERCANA","NACIONAL"))</f>
        <v/>
      </c>
      <c r="O663" s="39">
        <f>IF($B663="","",IF(COUNTIFS(NOVEDADES!$C$4:$C$2003,$B663)=0,"—","SÍ ("&amp;COUNTIFS(NOVEDADES!$C$4:$C$2003,$B663)&amp;")"))</f>
        <v/>
      </c>
    </row>
    <row r="664">
      <c r="A664" s="41" t="n"/>
      <c r="B664" s="41" t="n"/>
      <c r="C664" s="41" t="n"/>
      <c r="D664" s="41" t="n"/>
      <c r="E664" s="46" t="n"/>
      <c r="F664" s="41" t="n"/>
      <c r="G664" s="41" t="n"/>
      <c r="H664" s="41" t="n"/>
      <c r="I664" s="41" t="n"/>
      <c r="J664" s="47" t="n"/>
      <c r="K664" s="41" t="n"/>
      <c r="L664" s="48" t="n"/>
      <c r="M664" s="45" t="n"/>
      <c r="N664" s="39">
        <f>IF($B664="","",IF(SUMPRODUCT((LISTAS!$O$3:$O$42&lt;&gt;"")*ISNUMBER(SEARCH(LISTAS!$O$3:$O$42,$I664&amp;" "&amp;$K664)))&gt;0,"CERCANA","NACIONAL"))</f>
        <v/>
      </c>
      <c r="O664" s="39">
        <f>IF($B664="","",IF(COUNTIFS(NOVEDADES!$C$4:$C$2003,$B664)=0,"—","SÍ ("&amp;COUNTIFS(NOVEDADES!$C$4:$C$2003,$B664)&amp;")"))</f>
        <v/>
      </c>
    </row>
    <row r="665">
      <c r="A665" s="41" t="n"/>
      <c r="B665" s="41" t="n"/>
      <c r="C665" s="41" t="n"/>
      <c r="D665" s="41" t="n"/>
      <c r="E665" s="46" t="n"/>
      <c r="F665" s="41" t="n"/>
      <c r="G665" s="41" t="n"/>
      <c r="H665" s="41" t="n"/>
      <c r="I665" s="41" t="n"/>
      <c r="J665" s="47" t="n"/>
      <c r="K665" s="41" t="n"/>
      <c r="L665" s="48" t="n"/>
      <c r="M665" s="45" t="n"/>
      <c r="N665" s="39">
        <f>IF($B665="","",IF(SUMPRODUCT((LISTAS!$O$3:$O$42&lt;&gt;"")*ISNUMBER(SEARCH(LISTAS!$O$3:$O$42,$I665&amp;" "&amp;$K665)))&gt;0,"CERCANA","NACIONAL"))</f>
        <v/>
      </c>
      <c r="O665" s="39">
        <f>IF($B665="","",IF(COUNTIFS(NOVEDADES!$C$4:$C$2003,$B665)=0,"—","SÍ ("&amp;COUNTIFS(NOVEDADES!$C$4:$C$2003,$B665)&amp;")"))</f>
        <v/>
      </c>
    </row>
    <row r="666">
      <c r="A666" s="41" t="n"/>
      <c r="B666" s="41" t="n"/>
      <c r="C666" s="41" t="n"/>
      <c r="D666" s="41" t="n"/>
      <c r="E666" s="46" t="n"/>
      <c r="F666" s="41" t="n"/>
      <c r="G666" s="41" t="n"/>
      <c r="H666" s="41" t="n"/>
      <c r="I666" s="41" t="n"/>
      <c r="J666" s="47" t="n"/>
      <c r="K666" s="41" t="n"/>
      <c r="L666" s="48" t="n"/>
      <c r="M666" s="45" t="n"/>
      <c r="N666" s="39">
        <f>IF($B666="","",IF(SUMPRODUCT((LISTAS!$O$3:$O$42&lt;&gt;"")*ISNUMBER(SEARCH(LISTAS!$O$3:$O$42,$I666&amp;" "&amp;$K666)))&gt;0,"CERCANA","NACIONAL"))</f>
        <v/>
      </c>
      <c r="O666" s="39">
        <f>IF($B666="","",IF(COUNTIFS(NOVEDADES!$C$4:$C$2003,$B666)=0,"—","SÍ ("&amp;COUNTIFS(NOVEDADES!$C$4:$C$2003,$B666)&amp;")"))</f>
        <v/>
      </c>
    </row>
    <row r="667">
      <c r="A667" s="41" t="n"/>
      <c r="B667" s="41" t="n"/>
      <c r="C667" s="41" t="n"/>
      <c r="D667" s="41" t="n"/>
      <c r="E667" s="46" t="n"/>
      <c r="F667" s="41" t="n"/>
      <c r="G667" s="41" t="n"/>
      <c r="H667" s="41" t="n"/>
      <c r="I667" s="41" t="n"/>
      <c r="J667" s="47" t="n"/>
      <c r="K667" s="41" t="n"/>
      <c r="L667" s="48" t="n"/>
      <c r="M667" s="45" t="n"/>
      <c r="N667" s="39">
        <f>IF($B667="","",IF(SUMPRODUCT((LISTAS!$O$3:$O$42&lt;&gt;"")*ISNUMBER(SEARCH(LISTAS!$O$3:$O$42,$I667&amp;" "&amp;$K667)))&gt;0,"CERCANA","NACIONAL"))</f>
        <v/>
      </c>
      <c r="O667" s="39">
        <f>IF($B667="","",IF(COUNTIFS(NOVEDADES!$C$4:$C$2003,$B667)=0,"—","SÍ ("&amp;COUNTIFS(NOVEDADES!$C$4:$C$2003,$B667)&amp;")"))</f>
        <v/>
      </c>
    </row>
    <row r="668">
      <c r="A668" s="41" t="n"/>
      <c r="B668" s="41" t="n"/>
      <c r="C668" s="41" t="n"/>
      <c r="D668" s="41" t="n"/>
      <c r="E668" s="46" t="n"/>
      <c r="F668" s="41" t="n"/>
      <c r="G668" s="41" t="n"/>
      <c r="H668" s="41" t="n"/>
      <c r="I668" s="41" t="n"/>
      <c r="J668" s="47" t="n"/>
      <c r="K668" s="41" t="n"/>
      <c r="L668" s="48" t="n"/>
      <c r="M668" s="45" t="n"/>
      <c r="N668" s="39">
        <f>IF($B668="","",IF(SUMPRODUCT((LISTAS!$O$3:$O$42&lt;&gt;"")*ISNUMBER(SEARCH(LISTAS!$O$3:$O$42,$I668&amp;" "&amp;$K668)))&gt;0,"CERCANA","NACIONAL"))</f>
        <v/>
      </c>
      <c r="O668" s="39">
        <f>IF($B668="","",IF(COUNTIFS(NOVEDADES!$C$4:$C$2003,$B668)=0,"—","SÍ ("&amp;COUNTIFS(NOVEDADES!$C$4:$C$2003,$B668)&amp;")"))</f>
        <v/>
      </c>
    </row>
    <row r="669">
      <c r="A669" s="41" t="n"/>
      <c r="B669" s="41" t="n"/>
      <c r="C669" s="41" t="n"/>
      <c r="D669" s="41" t="n"/>
      <c r="E669" s="46" t="n"/>
      <c r="F669" s="41" t="n"/>
      <c r="G669" s="41" t="n"/>
      <c r="H669" s="41" t="n"/>
      <c r="I669" s="41" t="n"/>
      <c r="J669" s="47" t="n"/>
      <c r="K669" s="41" t="n"/>
      <c r="L669" s="48" t="n"/>
      <c r="M669" s="45" t="n"/>
      <c r="N669" s="39">
        <f>IF($B669="","",IF(SUMPRODUCT((LISTAS!$O$3:$O$42&lt;&gt;"")*ISNUMBER(SEARCH(LISTAS!$O$3:$O$42,$I669&amp;" "&amp;$K669)))&gt;0,"CERCANA","NACIONAL"))</f>
        <v/>
      </c>
      <c r="O669" s="39">
        <f>IF($B669="","",IF(COUNTIFS(NOVEDADES!$C$4:$C$2003,$B669)=0,"—","SÍ ("&amp;COUNTIFS(NOVEDADES!$C$4:$C$2003,$B669)&amp;")"))</f>
        <v/>
      </c>
    </row>
    <row r="670">
      <c r="A670" s="41" t="n"/>
      <c r="B670" s="41" t="n"/>
      <c r="C670" s="41" t="n"/>
      <c r="D670" s="41" t="n"/>
      <c r="E670" s="46" t="n"/>
      <c r="F670" s="41" t="n"/>
      <c r="G670" s="41" t="n"/>
      <c r="H670" s="41" t="n"/>
      <c r="I670" s="41" t="n"/>
      <c r="J670" s="47" t="n"/>
      <c r="K670" s="41" t="n"/>
      <c r="L670" s="48" t="n"/>
      <c r="M670" s="45" t="n"/>
      <c r="N670" s="39">
        <f>IF($B670="","",IF(SUMPRODUCT((LISTAS!$O$3:$O$42&lt;&gt;"")*ISNUMBER(SEARCH(LISTAS!$O$3:$O$42,$I670&amp;" "&amp;$K670)))&gt;0,"CERCANA","NACIONAL"))</f>
        <v/>
      </c>
      <c r="O670" s="39">
        <f>IF($B670="","",IF(COUNTIFS(NOVEDADES!$C$4:$C$2003,$B670)=0,"—","SÍ ("&amp;COUNTIFS(NOVEDADES!$C$4:$C$2003,$B670)&amp;")"))</f>
        <v/>
      </c>
    </row>
    <row r="671">
      <c r="A671" s="41" t="n"/>
      <c r="B671" s="41" t="n"/>
      <c r="C671" s="41" t="n"/>
      <c r="D671" s="41" t="n"/>
      <c r="E671" s="46" t="n"/>
      <c r="F671" s="41" t="n"/>
      <c r="G671" s="41" t="n"/>
      <c r="H671" s="41" t="n"/>
      <c r="I671" s="41" t="n"/>
      <c r="J671" s="47" t="n"/>
      <c r="K671" s="41" t="n"/>
      <c r="L671" s="48" t="n"/>
      <c r="M671" s="45" t="n"/>
      <c r="N671" s="39">
        <f>IF($B671="","",IF(SUMPRODUCT((LISTAS!$O$3:$O$42&lt;&gt;"")*ISNUMBER(SEARCH(LISTAS!$O$3:$O$42,$I671&amp;" "&amp;$K671)))&gt;0,"CERCANA","NACIONAL"))</f>
        <v/>
      </c>
      <c r="O671" s="39">
        <f>IF($B671="","",IF(COUNTIFS(NOVEDADES!$C$4:$C$2003,$B671)=0,"—","SÍ ("&amp;COUNTIFS(NOVEDADES!$C$4:$C$2003,$B671)&amp;")"))</f>
        <v/>
      </c>
    </row>
    <row r="672">
      <c r="A672" s="41" t="n"/>
      <c r="B672" s="41" t="n"/>
      <c r="C672" s="41" t="n"/>
      <c r="D672" s="41" t="n"/>
      <c r="E672" s="46" t="n"/>
      <c r="F672" s="41" t="n"/>
      <c r="G672" s="41" t="n"/>
      <c r="H672" s="41" t="n"/>
      <c r="I672" s="41" t="n"/>
      <c r="J672" s="47" t="n"/>
      <c r="K672" s="41" t="n"/>
      <c r="L672" s="48" t="n"/>
      <c r="M672" s="45" t="n"/>
      <c r="N672" s="39">
        <f>IF($B672="","",IF(SUMPRODUCT((LISTAS!$O$3:$O$42&lt;&gt;"")*ISNUMBER(SEARCH(LISTAS!$O$3:$O$42,$I672&amp;" "&amp;$K672)))&gt;0,"CERCANA","NACIONAL"))</f>
        <v/>
      </c>
      <c r="O672" s="39">
        <f>IF($B672="","",IF(COUNTIFS(NOVEDADES!$C$4:$C$2003,$B672)=0,"—","SÍ ("&amp;COUNTIFS(NOVEDADES!$C$4:$C$2003,$B672)&amp;")"))</f>
        <v/>
      </c>
    </row>
    <row r="673">
      <c r="A673" s="41" t="n"/>
      <c r="B673" s="41" t="n"/>
      <c r="C673" s="41" t="n"/>
      <c r="D673" s="41" t="n"/>
      <c r="E673" s="46" t="n"/>
      <c r="F673" s="41" t="n"/>
      <c r="G673" s="41" t="n"/>
      <c r="H673" s="41" t="n"/>
      <c r="I673" s="41" t="n"/>
      <c r="J673" s="47" t="n"/>
      <c r="K673" s="41" t="n"/>
      <c r="L673" s="48" t="n"/>
      <c r="M673" s="45" t="n"/>
      <c r="N673" s="39">
        <f>IF($B673="","",IF(SUMPRODUCT((LISTAS!$O$3:$O$42&lt;&gt;"")*ISNUMBER(SEARCH(LISTAS!$O$3:$O$42,$I673&amp;" "&amp;$K673)))&gt;0,"CERCANA","NACIONAL"))</f>
        <v/>
      </c>
      <c r="O673" s="39">
        <f>IF($B673="","",IF(COUNTIFS(NOVEDADES!$C$4:$C$2003,$B673)=0,"—","SÍ ("&amp;COUNTIFS(NOVEDADES!$C$4:$C$2003,$B673)&amp;")"))</f>
        <v/>
      </c>
    </row>
    <row r="674">
      <c r="A674" s="41" t="n"/>
      <c r="B674" s="41" t="n"/>
      <c r="C674" s="41" t="n"/>
      <c r="D674" s="41" t="n"/>
      <c r="E674" s="46" t="n"/>
      <c r="F674" s="41" t="n"/>
      <c r="G674" s="41" t="n"/>
      <c r="H674" s="41" t="n"/>
      <c r="I674" s="41" t="n"/>
      <c r="J674" s="47" t="n"/>
      <c r="K674" s="41" t="n"/>
      <c r="L674" s="48" t="n"/>
      <c r="M674" s="45" t="n"/>
      <c r="N674" s="39">
        <f>IF($B674="","",IF(SUMPRODUCT((LISTAS!$O$3:$O$42&lt;&gt;"")*ISNUMBER(SEARCH(LISTAS!$O$3:$O$42,$I674&amp;" "&amp;$K674)))&gt;0,"CERCANA","NACIONAL"))</f>
        <v/>
      </c>
      <c r="O674" s="39">
        <f>IF($B674="","",IF(COUNTIFS(NOVEDADES!$C$4:$C$2003,$B674)=0,"—","SÍ ("&amp;COUNTIFS(NOVEDADES!$C$4:$C$2003,$B674)&amp;")"))</f>
        <v/>
      </c>
    </row>
    <row r="675">
      <c r="A675" s="41" t="n"/>
      <c r="B675" s="41" t="n"/>
      <c r="C675" s="41" t="n"/>
      <c r="D675" s="41" t="n"/>
      <c r="E675" s="46" t="n"/>
      <c r="F675" s="41" t="n"/>
      <c r="G675" s="41" t="n"/>
      <c r="H675" s="41" t="n"/>
      <c r="I675" s="41" t="n"/>
      <c r="J675" s="47" t="n"/>
      <c r="K675" s="41" t="n"/>
      <c r="L675" s="48" t="n"/>
      <c r="M675" s="45" t="n"/>
      <c r="N675" s="39">
        <f>IF($B675="","",IF(SUMPRODUCT((LISTAS!$O$3:$O$42&lt;&gt;"")*ISNUMBER(SEARCH(LISTAS!$O$3:$O$42,$I675&amp;" "&amp;$K675)))&gt;0,"CERCANA","NACIONAL"))</f>
        <v/>
      </c>
      <c r="O675" s="39">
        <f>IF($B675="","",IF(COUNTIFS(NOVEDADES!$C$4:$C$2003,$B675)=0,"—","SÍ ("&amp;COUNTIFS(NOVEDADES!$C$4:$C$2003,$B675)&amp;")"))</f>
        <v/>
      </c>
    </row>
    <row r="676">
      <c r="A676" s="41" t="n"/>
      <c r="B676" s="41" t="n"/>
      <c r="C676" s="41" t="n"/>
      <c r="D676" s="41" t="n"/>
      <c r="E676" s="46" t="n"/>
      <c r="F676" s="41" t="n"/>
      <c r="G676" s="41" t="n"/>
      <c r="H676" s="41" t="n"/>
      <c r="I676" s="41" t="n"/>
      <c r="J676" s="47" t="n"/>
      <c r="K676" s="41" t="n"/>
      <c r="L676" s="48" t="n"/>
      <c r="M676" s="45" t="n"/>
      <c r="N676" s="39">
        <f>IF($B676="","",IF(SUMPRODUCT((LISTAS!$O$3:$O$42&lt;&gt;"")*ISNUMBER(SEARCH(LISTAS!$O$3:$O$42,$I676&amp;" "&amp;$K676)))&gt;0,"CERCANA","NACIONAL"))</f>
        <v/>
      </c>
      <c r="O676" s="39">
        <f>IF($B676="","",IF(COUNTIFS(NOVEDADES!$C$4:$C$2003,$B676)=0,"—","SÍ ("&amp;COUNTIFS(NOVEDADES!$C$4:$C$2003,$B676)&amp;")"))</f>
        <v/>
      </c>
    </row>
    <row r="677">
      <c r="A677" s="41" t="n"/>
      <c r="B677" s="41" t="n"/>
      <c r="C677" s="41" t="n"/>
      <c r="D677" s="41" t="n"/>
      <c r="E677" s="46" t="n"/>
      <c r="F677" s="41" t="n"/>
      <c r="G677" s="41" t="n"/>
      <c r="H677" s="41" t="n"/>
      <c r="I677" s="41" t="n"/>
      <c r="J677" s="47" t="n"/>
      <c r="K677" s="41" t="n"/>
      <c r="L677" s="48" t="n"/>
      <c r="M677" s="45" t="n"/>
      <c r="N677" s="39">
        <f>IF($B677="","",IF(SUMPRODUCT((LISTAS!$O$3:$O$42&lt;&gt;"")*ISNUMBER(SEARCH(LISTAS!$O$3:$O$42,$I677&amp;" "&amp;$K677)))&gt;0,"CERCANA","NACIONAL"))</f>
        <v/>
      </c>
      <c r="O677" s="39">
        <f>IF($B677="","",IF(COUNTIFS(NOVEDADES!$C$4:$C$2003,$B677)=0,"—","SÍ ("&amp;COUNTIFS(NOVEDADES!$C$4:$C$2003,$B677)&amp;")"))</f>
        <v/>
      </c>
    </row>
    <row r="678">
      <c r="A678" s="41" t="n"/>
      <c r="B678" s="41" t="n"/>
      <c r="C678" s="41" t="n"/>
      <c r="D678" s="41" t="n"/>
      <c r="E678" s="46" t="n"/>
      <c r="F678" s="41" t="n"/>
      <c r="G678" s="41" t="n"/>
      <c r="H678" s="41" t="n"/>
      <c r="I678" s="41" t="n"/>
      <c r="J678" s="47" t="n"/>
      <c r="K678" s="41" t="n"/>
      <c r="L678" s="48" t="n"/>
      <c r="M678" s="45" t="n"/>
      <c r="N678" s="39">
        <f>IF($B678="","",IF(SUMPRODUCT((LISTAS!$O$3:$O$42&lt;&gt;"")*ISNUMBER(SEARCH(LISTAS!$O$3:$O$42,$I678&amp;" "&amp;$K678)))&gt;0,"CERCANA","NACIONAL"))</f>
        <v/>
      </c>
      <c r="O678" s="39">
        <f>IF($B678="","",IF(COUNTIFS(NOVEDADES!$C$4:$C$2003,$B678)=0,"—","SÍ ("&amp;COUNTIFS(NOVEDADES!$C$4:$C$2003,$B678)&amp;")"))</f>
        <v/>
      </c>
    </row>
    <row r="679">
      <c r="A679" s="41" t="n"/>
      <c r="B679" s="41" t="n"/>
      <c r="C679" s="41" t="n"/>
      <c r="D679" s="41" t="n"/>
      <c r="E679" s="46" t="n"/>
      <c r="F679" s="41" t="n"/>
      <c r="G679" s="41" t="n"/>
      <c r="H679" s="41" t="n"/>
      <c r="I679" s="41" t="n"/>
      <c r="J679" s="47" t="n"/>
      <c r="K679" s="41" t="n"/>
      <c r="L679" s="48" t="n"/>
      <c r="M679" s="45" t="n"/>
      <c r="N679" s="39">
        <f>IF($B679="","",IF(SUMPRODUCT((LISTAS!$O$3:$O$42&lt;&gt;"")*ISNUMBER(SEARCH(LISTAS!$O$3:$O$42,$I679&amp;" "&amp;$K679)))&gt;0,"CERCANA","NACIONAL"))</f>
        <v/>
      </c>
      <c r="O679" s="39">
        <f>IF($B679="","",IF(COUNTIFS(NOVEDADES!$C$4:$C$2003,$B679)=0,"—","SÍ ("&amp;COUNTIFS(NOVEDADES!$C$4:$C$2003,$B679)&amp;")"))</f>
        <v/>
      </c>
    </row>
    <row r="680">
      <c r="A680" s="41" t="n"/>
      <c r="B680" s="41" t="n"/>
      <c r="C680" s="41" t="n"/>
      <c r="D680" s="41" t="n"/>
      <c r="E680" s="46" t="n"/>
      <c r="F680" s="41" t="n"/>
      <c r="G680" s="41" t="n"/>
      <c r="H680" s="41" t="n"/>
      <c r="I680" s="41" t="n"/>
      <c r="J680" s="47" t="n"/>
      <c r="K680" s="41" t="n"/>
      <c r="L680" s="48" t="n"/>
      <c r="M680" s="45" t="n"/>
      <c r="N680" s="39">
        <f>IF($B680="","",IF(SUMPRODUCT((LISTAS!$O$3:$O$42&lt;&gt;"")*ISNUMBER(SEARCH(LISTAS!$O$3:$O$42,$I680&amp;" "&amp;$K680)))&gt;0,"CERCANA","NACIONAL"))</f>
        <v/>
      </c>
      <c r="O680" s="39">
        <f>IF($B680="","",IF(COUNTIFS(NOVEDADES!$C$4:$C$2003,$B680)=0,"—","SÍ ("&amp;COUNTIFS(NOVEDADES!$C$4:$C$2003,$B680)&amp;")"))</f>
        <v/>
      </c>
    </row>
    <row r="681">
      <c r="A681" s="41" t="n"/>
      <c r="B681" s="41" t="n"/>
      <c r="C681" s="41" t="n"/>
      <c r="D681" s="41" t="n"/>
      <c r="E681" s="46" t="n"/>
      <c r="F681" s="41" t="n"/>
      <c r="G681" s="41" t="n"/>
      <c r="H681" s="41" t="n"/>
      <c r="I681" s="41" t="n"/>
      <c r="J681" s="47" t="n"/>
      <c r="K681" s="41" t="n"/>
      <c r="L681" s="48" t="n"/>
      <c r="M681" s="45" t="n"/>
      <c r="N681" s="39">
        <f>IF($B681="","",IF(SUMPRODUCT((LISTAS!$O$3:$O$42&lt;&gt;"")*ISNUMBER(SEARCH(LISTAS!$O$3:$O$42,$I681&amp;" "&amp;$K681)))&gt;0,"CERCANA","NACIONAL"))</f>
        <v/>
      </c>
      <c r="O681" s="39">
        <f>IF($B681="","",IF(COUNTIFS(NOVEDADES!$C$4:$C$2003,$B681)=0,"—","SÍ ("&amp;COUNTIFS(NOVEDADES!$C$4:$C$2003,$B681)&amp;")"))</f>
        <v/>
      </c>
    </row>
    <row r="682">
      <c r="A682" s="41" t="n"/>
      <c r="B682" s="41" t="n"/>
      <c r="C682" s="41" t="n"/>
      <c r="D682" s="41" t="n"/>
      <c r="E682" s="46" t="n"/>
      <c r="F682" s="41" t="n"/>
      <c r="G682" s="41" t="n"/>
      <c r="H682" s="41" t="n"/>
      <c r="I682" s="41" t="n"/>
      <c r="J682" s="47" t="n"/>
      <c r="K682" s="41" t="n"/>
      <c r="L682" s="48" t="n"/>
      <c r="M682" s="45" t="n"/>
      <c r="N682" s="39">
        <f>IF($B682="","",IF(SUMPRODUCT((LISTAS!$O$3:$O$42&lt;&gt;"")*ISNUMBER(SEARCH(LISTAS!$O$3:$O$42,$I682&amp;" "&amp;$K682)))&gt;0,"CERCANA","NACIONAL"))</f>
        <v/>
      </c>
      <c r="O682" s="39">
        <f>IF($B682="","",IF(COUNTIFS(NOVEDADES!$C$4:$C$2003,$B682)=0,"—","SÍ ("&amp;COUNTIFS(NOVEDADES!$C$4:$C$2003,$B682)&amp;")"))</f>
        <v/>
      </c>
    </row>
    <row r="683">
      <c r="A683" s="41" t="n"/>
      <c r="B683" s="41" t="n"/>
      <c r="C683" s="41" t="n"/>
      <c r="D683" s="41" t="n"/>
      <c r="E683" s="46" t="n"/>
      <c r="F683" s="41" t="n"/>
      <c r="G683" s="41" t="n"/>
      <c r="H683" s="41" t="n"/>
      <c r="I683" s="41" t="n"/>
      <c r="J683" s="47" t="n"/>
      <c r="K683" s="41" t="n"/>
      <c r="L683" s="48" t="n"/>
      <c r="M683" s="45" t="n"/>
      <c r="N683" s="39">
        <f>IF($B683="","",IF(SUMPRODUCT((LISTAS!$O$3:$O$42&lt;&gt;"")*ISNUMBER(SEARCH(LISTAS!$O$3:$O$42,$I683&amp;" "&amp;$K683)))&gt;0,"CERCANA","NACIONAL"))</f>
        <v/>
      </c>
      <c r="O683" s="39">
        <f>IF($B683="","",IF(COUNTIFS(NOVEDADES!$C$4:$C$2003,$B683)=0,"—","SÍ ("&amp;COUNTIFS(NOVEDADES!$C$4:$C$2003,$B683)&amp;")"))</f>
        <v/>
      </c>
    </row>
    <row r="684">
      <c r="A684" s="41" t="n"/>
      <c r="B684" s="41" t="n"/>
      <c r="C684" s="41" t="n"/>
      <c r="D684" s="41" t="n"/>
      <c r="E684" s="46" t="n"/>
      <c r="F684" s="41" t="n"/>
      <c r="G684" s="41" t="n"/>
      <c r="H684" s="41" t="n"/>
      <c r="I684" s="41" t="n"/>
      <c r="J684" s="47" t="n"/>
      <c r="K684" s="41" t="n"/>
      <c r="L684" s="48" t="n"/>
      <c r="M684" s="45" t="n"/>
      <c r="N684" s="39">
        <f>IF($B684="","",IF(SUMPRODUCT((LISTAS!$O$3:$O$42&lt;&gt;"")*ISNUMBER(SEARCH(LISTAS!$O$3:$O$42,$I684&amp;" "&amp;$K684)))&gt;0,"CERCANA","NACIONAL"))</f>
        <v/>
      </c>
      <c r="O684" s="39">
        <f>IF($B684="","",IF(COUNTIFS(NOVEDADES!$C$4:$C$2003,$B684)=0,"—","SÍ ("&amp;COUNTIFS(NOVEDADES!$C$4:$C$2003,$B684)&amp;")"))</f>
        <v/>
      </c>
    </row>
    <row r="685">
      <c r="A685" s="41" t="n"/>
      <c r="B685" s="41" t="n"/>
      <c r="C685" s="41" t="n"/>
      <c r="D685" s="41" t="n"/>
      <c r="E685" s="46" t="n"/>
      <c r="F685" s="41" t="n"/>
      <c r="G685" s="41" t="n"/>
      <c r="H685" s="41" t="n"/>
      <c r="I685" s="41" t="n"/>
      <c r="J685" s="47" t="n"/>
      <c r="K685" s="41" t="n"/>
      <c r="L685" s="48" t="n"/>
      <c r="M685" s="45" t="n"/>
      <c r="N685" s="39">
        <f>IF($B685="","",IF(SUMPRODUCT((LISTAS!$O$3:$O$42&lt;&gt;"")*ISNUMBER(SEARCH(LISTAS!$O$3:$O$42,$I685&amp;" "&amp;$K685)))&gt;0,"CERCANA","NACIONAL"))</f>
        <v/>
      </c>
      <c r="O685" s="39">
        <f>IF($B685="","",IF(COUNTIFS(NOVEDADES!$C$4:$C$2003,$B685)=0,"—","SÍ ("&amp;COUNTIFS(NOVEDADES!$C$4:$C$2003,$B685)&amp;")"))</f>
        <v/>
      </c>
    </row>
    <row r="686">
      <c r="A686" s="41" t="n"/>
      <c r="B686" s="41" t="n"/>
      <c r="C686" s="41" t="n"/>
      <c r="D686" s="41" t="n"/>
      <c r="E686" s="46" t="n"/>
      <c r="F686" s="41" t="n"/>
      <c r="G686" s="41" t="n"/>
      <c r="H686" s="41" t="n"/>
      <c r="I686" s="41" t="n"/>
      <c r="J686" s="47" t="n"/>
      <c r="K686" s="41" t="n"/>
      <c r="L686" s="48" t="n"/>
      <c r="M686" s="45" t="n"/>
      <c r="N686" s="39">
        <f>IF($B686="","",IF(SUMPRODUCT((LISTAS!$O$3:$O$42&lt;&gt;"")*ISNUMBER(SEARCH(LISTAS!$O$3:$O$42,$I686&amp;" "&amp;$K686)))&gt;0,"CERCANA","NACIONAL"))</f>
        <v/>
      </c>
      <c r="O686" s="39">
        <f>IF($B686="","",IF(COUNTIFS(NOVEDADES!$C$4:$C$2003,$B686)=0,"—","SÍ ("&amp;COUNTIFS(NOVEDADES!$C$4:$C$2003,$B686)&amp;")"))</f>
        <v/>
      </c>
    </row>
    <row r="687">
      <c r="A687" s="41" t="n"/>
      <c r="B687" s="41" t="n"/>
      <c r="C687" s="41" t="n"/>
      <c r="D687" s="41" t="n"/>
      <c r="E687" s="46" t="n"/>
      <c r="F687" s="41" t="n"/>
      <c r="G687" s="41" t="n"/>
      <c r="H687" s="41" t="n"/>
      <c r="I687" s="41" t="n"/>
      <c r="J687" s="47" t="n"/>
      <c r="K687" s="41" t="n"/>
      <c r="L687" s="48" t="n"/>
      <c r="M687" s="45" t="n"/>
      <c r="N687" s="39">
        <f>IF($B687="","",IF(SUMPRODUCT((LISTAS!$O$3:$O$42&lt;&gt;"")*ISNUMBER(SEARCH(LISTAS!$O$3:$O$42,$I687&amp;" "&amp;$K687)))&gt;0,"CERCANA","NACIONAL"))</f>
        <v/>
      </c>
      <c r="O687" s="39">
        <f>IF($B687="","",IF(COUNTIFS(NOVEDADES!$C$4:$C$2003,$B687)=0,"—","SÍ ("&amp;COUNTIFS(NOVEDADES!$C$4:$C$2003,$B687)&amp;")"))</f>
        <v/>
      </c>
    </row>
    <row r="688">
      <c r="A688" s="41" t="n"/>
      <c r="B688" s="41" t="n"/>
      <c r="C688" s="41" t="n"/>
      <c r="D688" s="41" t="n"/>
      <c r="E688" s="46" t="n"/>
      <c r="F688" s="41" t="n"/>
      <c r="G688" s="41" t="n"/>
      <c r="H688" s="41" t="n"/>
      <c r="I688" s="41" t="n"/>
      <c r="J688" s="47" t="n"/>
      <c r="K688" s="41" t="n"/>
      <c r="L688" s="48" t="n"/>
      <c r="M688" s="45" t="n"/>
      <c r="N688" s="39">
        <f>IF($B688="","",IF(SUMPRODUCT((LISTAS!$O$3:$O$42&lt;&gt;"")*ISNUMBER(SEARCH(LISTAS!$O$3:$O$42,$I688&amp;" "&amp;$K688)))&gt;0,"CERCANA","NACIONAL"))</f>
        <v/>
      </c>
      <c r="O688" s="39">
        <f>IF($B688="","",IF(COUNTIFS(NOVEDADES!$C$4:$C$2003,$B688)=0,"—","SÍ ("&amp;COUNTIFS(NOVEDADES!$C$4:$C$2003,$B688)&amp;")"))</f>
        <v/>
      </c>
    </row>
    <row r="689">
      <c r="A689" s="41" t="n"/>
      <c r="B689" s="41" t="n"/>
      <c r="C689" s="41" t="n"/>
      <c r="D689" s="41" t="n"/>
      <c r="E689" s="46" t="n"/>
      <c r="F689" s="41" t="n"/>
      <c r="G689" s="41" t="n"/>
      <c r="H689" s="41" t="n"/>
      <c r="I689" s="41" t="n"/>
      <c r="J689" s="47" t="n"/>
      <c r="K689" s="41" t="n"/>
      <c r="L689" s="48" t="n"/>
      <c r="M689" s="45" t="n"/>
      <c r="N689" s="39">
        <f>IF($B689="","",IF(SUMPRODUCT((LISTAS!$O$3:$O$42&lt;&gt;"")*ISNUMBER(SEARCH(LISTAS!$O$3:$O$42,$I689&amp;" "&amp;$K689)))&gt;0,"CERCANA","NACIONAL"))</f>
        <v/>
      </c>
      <c r="O689" s="39">
        <f>IF($B689="","",IF(COUNTIFS(NOVEDADES!$C$4:$C$2003,$B689)=0,"—","SÍ ("&amp;COUNTIFS(NOVEDADES!$C$4:$C$2003,$B689)&amp;")"))</f>
        <v/>
      </c>
    </row>
    <row r="690">
      <c r="A690" s="41" t="n"/>
      <c r="B690" s="41" t="n"/>
      <c r="C690" s="41" t="n"/>
      <c r="D690" s="41" t="n"/>
      <c r="E690" s="46" t="n"/>
      <c r="F690" s="41" t="n"/>
      <c r="G690" s="41" t="n"/>
      <c r="H690" s="41" t="n"/>
      <c r="I690" s="41" t="n"/>
      <c r="J690" s="47" t="n"/>
      <c r="K690" s="41" t="n"/>
      <c r="L690" s="48" t="n"/>
      <c r="M690" s="45" t="n"/>
      <c r="N690" s="39">
        <f>IF($B690="","",IF(SUMPRODUCT((LISTAS!$O$3:$O$42&lt;&gt;"")*ISNUMBER(SEARCH(LISTAS!$O$3:$O$42,$I690&amp;" "&amp;$K690)))&gt;0,"CERCANA","NACIONAL"))</f>
        <v/>
      </c>
      <c r="O690" s="39">
        <f>IF($B690="","",IF(COUNTIFS(NOVEDADES!$C$4:$C$2003,$B690)=0,"—","SÍ ("&amp;COUNTIFS(NOVEDADES!$C$4:$C$2003,$B690)&amp;")"))</f>
        <v/>
      </c>
    </row>
    <row r="691">
      <c r="A691" s="41" t="n"/>
      <c r="B691" s="41" t="n"/>
      <c r="C691" s="41" t="n"/>
      <c r="D691" s="41" t="n"/>
      <c r="E691" s="46" t="n"/>
      <c r="F691" s="41" t="n"/>
      <c r="G691" s="41" t="n"/>
      <c r="H691" s="41" t="n"/>
      <c r="I691" s="41" t="n"/>
      <c r="J691" s="47" t="n"/>
      <c r="K691" s="41" t="n"/>
      <c r="L691" s="48" t="n"/>
      <c r="M691" s="45" t="n"/>
      <c r="N691" s="39">
        <f>IF($B691="","",IF(SUMPRODUCT((LISTAS!$O$3:$O$42&lt;&gt;"")*ISNUMBER(SEARCH(LISTAS!$O$3:$O$42,$I691&amp;" "&amp;$K691)))&gt;0,"CERCANA","NACIONAL"))</f>
        <v/>
      </c>
      <c r="O691" s="39">
        <f>IF($B691="","",IF(COUNTIFS(NOVEDADES!$C$4:$C$2003,$B691)=0,"—","SÍ ("&amp;COUNTIFS(NOVEDADES!$C$4:$C$2003,$B691)&amp;")"))</f>
        <v/>
      </c>
    </row>
    <row r="692">
      <c r="A692" s="41" t="n"/>
      <c r="B692" s="41" t="n"/>
      <c r="C692" s="41" t="n"/>
      <c r="D692" s="41" t="n"/>
      <c r="E692" s="46" t="n"/>
      <c r="F692" s="41" t="n"/>
      <c r="G692" s="41" t="n"/>
      <c r="H692" s="41" t="n"/>
      <c r="I692" s="41" t="n"/>
      <c r="J692" s="47" t="n"/>
      <c r="K692" s="41" t="n"/>
      <c r="L692" s="48" t="n"/>
      <c r="M692" s="45" t="n"/>
      <c r="N692" s="39">
        <f>IF($B692="","",IF(SUMPRODUCT((LISTAS!$O$3:$O$42&lt;&gt;"")*ISNUMBER(SEARCH(LISTAS!$O$3:$O$42,$I692&amp;" "&amp;$K692)))&gt;0,"CERCANA","NACIONAL"))</f>
        <v/>
      </c>
      <c r="O692" s="39">
        <f>IF($B692="","",IF(COUNTIFS(NOVEDADES!$C$4:$C$2003,$B692)=0,"—","SÍ ("&amp;COUNTIFS(NOVEDADES!$C$4:$C$2003,$B692)&amp;")"))</f>
        <v/>
      </c>
    </row>
    <row r="693">
      <c r="A693" s="41" t="n"/>
      <c r="B693" s="41" t="n"/>
      <c r="C693" s="41" t="n"/>
      <c r="D693" s="41" t="n"/>
      <c r="E693" s="46" t="n"/>
      <c r="F693" s="41" t="n"/>
      <c r="G693" s="41" t="n"/>
      <c r="H693" s="41" t="n"/>
      <c r="I693" s="41" t="n"/>
      <c r="J693" s="47" t="n"/>
      <c r="K693" s="41" t="n"/>
      <c r="L693" s="48" t="n"/>
      <c r="M693" s="45" t="n"/>
      <c r="N693" s="39">
        <f>IF($B693="","",IF(SUMPRODUCT((LISTAS!$O$3:$O$42&lt;&gt;"")*ISNUMBER(SEARCH(LISTAS!$O$3:$O$42,$I693&amp;" "&amp;$K693)))&gt;0,"CERCANA","NACIONAL"))</f>
        <v/>
      </c>
      <c r="O693" s="39">
        <f>IF($B693="","",IF(COUNTIFS(NOVEDADES!$C$4:$C$2003,$B693)=0,"—","SÍ ("&amp;COUNTIFS(NOVEDADES!$C$4:$C$2003,$B693)&amp;")"))</f>
        <v/>
      </c>
    </row>
    <row r="694">
      <c r="A694" s="41" t="n"/>
      <c r="B694" s="41" t="n"/>
      <c r="C694" s="41" t="n"/>
      <c r="D694" s="41" t="n"/>
      <c r="E694" s="46" t="n"/>
      <c r="F694" s="41" t="n"/>
      <c r="G694" s="41" t="n"/>
      <c r="H694" s="41" t="n"/>
      <c r="I694" s="41" t="n"/>
      <c r="J694" s="47" t="n"/>
      <c r="K694" s="41" t="n"/>
      <c r="L694" s="48" t="n"/>
      <c r="M694" s="45" t="n"/>
      <c r="N694" s="39">
        <f>IF($B694="","",IF(SUMPRODUCT((LISTAS!$O$3:$O$42&lt;&gt;"")*ISNUMBER(SEARCH(LISTAS!$O$3:$O$42,$I694&amp;" "&amp;$K694)))&gt;0,"CERCANA","NACIONAL"))</f>
        <v/>
      </c>
      <c r="O694" s="39">
        <f>IF($B694="","",IF(COUNTIFS(NOVEDADES!$C$4:$C$2003,$B694)=0,"—","SÍ ("&amp;COUNTIFS(NOVEDADES!$C$4:$C$2003,$B694)&amp;")"))</f>
        <v/>
      </c>
    </row>
    <row r="695">
      <c r="A695" s="41" t="n"/>
      <c r="B695" s="41" t="n"/>
      <c r="C695" s="41" t="n"/>
      <c r="D695" s="41" t="n"/>
      <c r="E695" s="46" t="n"/>
      <c r="F695" s="41" t="n"/>
      <c r="G695" s="41" t="n"/>
      <c r="H695" s="41" t="n"/>
      <c r="I695" s="41" t="n"/>
      <c r="J695" s="47" t="n"/>
      <c r="K695" s="41" t="n"/>
      <c r="L695" s="48" t="n"/>
      <c r="M695" s="45" t="n"/>
      <c r="N695" s="39">
        <f>IF($B695="","",IF(SUMPRODUCT((LISTAS!$O$3:$O$42&lt;&gt;"")*ISNUMBER(SEARCH(LISTAS!$O$3:$O$42,$I695&amp;" "&amp;$K695)))&gt;0,"CERCANA","NACIONAL"))</f>
        <v/>
      </c>
      <c r="O695" s="39">
        <f>IF($B695="","",IF(COUNTIFS(NOVEDADES!$C$4:$C$2003,$B695)=0,"—","SÍ ("&amp;COUNTIFS(NOVEDADES!$C$4:$C$2003,$B695)&amp;")"))</f>
        <v/>
      </c>
    </row>
    <row r="696">
      <c r="A696" s="41" t="n"/>
      <c r="B696" s="41" t="n"/>
      <c r="C696" s="41" t="n"/>
      <c r="D696" s="41" t="n"/>
      <c r="E696" s="46" t="n"/>
      <c r="F696" s="41" t="n"/>
      <c r="G696" s="41" t="n"/>
      <c r="H696" s="41" t="n"/>
      <c r="I696" s="41" t="n"/>
      <c r="J696" s="47" t="n"/>
      <c r="K696" s="41" t="n"/>
      <c r="L696" s="48" t="n"/>
      <c r="M696" s="45" t="n"/>
      <c r="N696" s="39">
        <f>IF($B696="","",IF(SUMPRODUCT((LISTAS!$O$3:$O$42&lt;&gt;"")*ISNUMBER(SEARCH(LISTAS!$O$3:$O$42,$I696&amp;" "&amp;$K696)))&gt;0,"CERCANA","NACIONAL"))</f>
        <v/>
      </c>
      <c r="O696" s="39">
        <f>IF($B696="","",IF(COUNTIFS(NOVEDADES!$C$4:$C$2003,$B696)=0,"—","SÍ ("&amp;COUNTIFS(NOVEDADES!$C$4:$C$2003,$B696)&amp;")"))</f>
        <v/>
      </c>
    </row>
    <row r="697">
      <c r="A697" s="41" t="n"/>
      <c r="B697" s="41" t="n"/>
      <c r="C697" s="41" t="n"/>
      <c r="D697" s="41" t="n"/>
      <c r="E697" s="46" t="n"/>
      <c r="F697" s="41" t="n"/>
      <c r="G697" s="41" t="n"/>
      <c r="H697" s="41" t="n"/>
      <c r="I697" s="41" t="n"/>
      <c r="J697" s="47" t="n"/>
      <c r="K697" s="41" t="n"/>
      <c r="L697" s="48" t="n"/>
      <c r="M697" s="45" t="n"/>
      <c r="N697" s="39">
        <f>IF($B697="","",IF(SUMPRODUCT((LISTAS!$O$3:$O$42&lt;&gt;"")*ISNUMBER(SEARCH(LISTAS!$O$3:$O$42,$I697&amp;" "&amp;$K697)))&gt;0,"CERCANA","NACIONAL"))</f>
        <v/>
      </c>
      <c r="O697" s="39">
        <f>IF($B697="","",IF(COUNTIFS(NOVEDADES!$C$4:$C$2003,$B697)=0,"—","SÍ ("&amp;COUNTIFS(NOVEDADES!$C$4:$C$2003,$B697)&amp;")"))</f>
        <v/>
      </c>
    </row>
    <row r="698">
      <c r="A698" s="41" t="n"/>
      <c r="B698" s="41" t="n"/>
      <c r="C698" s="41" t="n"/>
      <c r="D698" s="41" t="n"/>
      <c r="E698" s="46" t="n"/>
      <c r="F698" s="41" t="n"/>
      <c r="G698" s="41" t="n"/>
      <c r="H698" s="41" t="n"/>
      <c r="I698" s="41" t="n"/>
      <c r="J698" s="47" t="n"/>
      <c r="K698" s="41" t="n"/>
      <c r="L698" s="48" t="n"/>
      <c r="M698" s="45" t="n"/>
      <c r="N698" s="39">
        <f>IF($B698="","",IF(SUMPRODUCT((LISTAS!$O$3:$O$42&lt;&gt;"")*ISNUMBER(SEARCH(LISTAS!$O$3:$O$42,$I698&amp;" "&amp;$K698)))&gt;0,"CERCANA","NACIONAL"))</f>
        <v/>
      </c>
      <c r="O698" s="39">
        <f>IF($B698="","",IF(COUNTIFS(NOVEDADES!$C$4:$C$2003,$B698)=0,"—","SÍ ("&amp;COUNTIFS(NOVEDADES!$C$4:$C$2003,$B698)&amp;")"))</f>
        <v/>
      </c>
    </row>
    <row r="699">
      <c r="A699" s="41" t="n"/>
      <c r="B699" s="41" t="n"/>
      <c r="C699" s="41" t="n"/>
      <c r="D699" s="41" t="n"/>
      <c r="E699" s="46" t="n"/>
      <c r="F699" s="41" t="n"/>
      <c r="G699" s="41" t="n"/>
      <c r="H699" s="41" t="n"/>
      <c r="I699" s="41" t="n"/>
      <c r="J699" s="47" t="n"/>
      <c r="K699" s="41" t="n"/>
      <c r="L699" s="48" t="n"/>
      <c r="M699" s="45" t="n"/>
      <c r="N699" s="39">
        <f>IF($B699="","",IF(SUMPRODUCT((LISTAS!$O$3:$O$42&lt;&gt;"")*ISNUMBER(SEARCH(LISTAS!$O$3:$O$42,$I699&amp;" "&amp;$K699)))&gt;0,"CERCANA","NACIONAL"))</f>
        <v/>
      </c>
      <c r="O699" s="39">
        <f>IF($B699="","",IF(COUNTIFS(NOVEDADES!$C$4:$C$2003,$B699)=0,"—","SÍ ("&amp;COUNTIFS(NOVEDADES!$C$4:$C$2003,$B699)&amp;")"))</f>
        <v/>
      </c>
    </row>
    <row r="700">
      <c r="A700" s="41" t="n"/>
      <c r="B700" s="41" t="n"/>
      <c r="C700" s="41" t="n"/>
      <c r="D700" s="41" t="n"/>
      <c r="E700" s="46" t="n"/>
      <c r="F700" s="41" t="n"/>
      <c r="G700" s="41" t="n"/>
      <c r="H700" s="41" t="n"/>
      <c r="I700" s="41" t="n"/>
      <c r="J700" s="47" t="n"/>
      <c r="K700" s="41" t="n"/>
      <c r="L700" s="48" t="n"/>
      <c r="M700" s="45" t="n"/>
      <c r="N700" s="39">
        <f>IF($B700="","",IF(SUMPRODUCT((LISTAS!$O$3:$O$42&lt;&gt;"")*ISNUMBER(SEARCH(LISTAS!$O$3:$O$42,$I700&amp;" "&amp;$K700)))&gt;0,"CERCANA","NACIONAL"))</f>
        <v/>
      </c>
      <c r="O700" s="39">
        <f>IF($B700="","",IF(COUNTIFS(NOVEDADES!$C$4:$C$2003,$B700)=0,"—","SÍ ("&amp;COUNTIFS(NOVEDADES!$C$4:$C$2003,$B700)&amp;")"))</f>
        <v/>
      </c>
    </row>
    <row r="701">
      <c r="A701" s="41" t="n"/>
      <c r="B701" s="41" t="n"/>
      <c r="C701" s="41" t="n"/>
      <c r="D701" s="41" t="n"/>
      <c r="E701" s="46" t="n"/>
      <c r="F701" s="41" t="n"/>
      <c r="G701" s="41" t="n"/>
      <c r="H701" s="41" t="n"/>
      <c r="I701" s="41" t="n"/>
      <c r="J701" s="47" t="n"/>
      <c r="K701" s="41" t="n"/>
      <c r="L701" s="48" t="n"/>
      <c r="M701" s="45" t="n"/>
      <c r="N701" s="39">
        <f>IF($B701="","",IF(SUMPRODUCT((LISTAS!$O$3:$O$42&lt;&gt;"")*ISNUMBER(SEARCH(LISTAS!$O$3:$O$42,$I701&amp;" "&amp;$K701)))&gt;0,"CERCANA","NACIONAL"))</f>
        <v/>
      </c>
      <c r="O701" s="39">
        <f>IF($B701="","",IF(COUNTIFS(NOVEDADES!$C$4:$C$2003,$B701)=0,"—","SÍ ("&amp;COUNTIFS(NOVEDADES!$C$4:$C$2003,$B701)&amp;")"))</f>
        <v/>
      </c>
    </row>
    <row r="702">
      <c r="A702" s="41" t="n"/>
      <c r="B702" s="41" t="n"/>
      <c r="C702" s="41" t="n"/>
      <c r="D702" s="41" t="n"/>
      <c r="E702" s="46" t="n"/>
      <c r="F702" s="41" t="n"/>
      <c r="G702" s="41" t="n"/>
      <c r="H702" s="41" t="n"/>
      <c r="I702" s="41" t="n"/>
      <c r="J702" s="47" t="n"/>
      <c r="K702" s="41" t="n"/>
      <c r="L702" s="48" t="n"/>
      <c r="M702" s="45" t="n"/>
      <c r="N702" s="39">
        <f>IF($B702="","",IF(SUMPRODUCT((LISTAS!$O$3:$O$42&lt;&gt;"")*ISNUMBER(SEARCH(LISTAS!$O$3:$O$42,$I702&amp;" "&amp;$K702)))&gt;0,"CERCANA","NACIONAL"))</f>
        <v/>
      </c>
      <c r="O702" s="39">
        <f>IF($B702="","",IF(COUNTIFS(NOVEDADES!$C$4:$C$2003,$B702)=0,"—","SÍ ("&amp;COUNTIFS(NOVEDADES!$C$4:$C$2003,$B702)&amp;")"))</f>
        <v/>
      </c>
    </row>
    <row r="703">
      <c r="A703" s="41" t="n"/>
      <c r="B703" s="41" t="n"/>
      <c r="C703" s="41" t="n"/>
      <c r="D703" s="41" t="n"/>
      <c r="E703" s="46" t="n"/>
      <c r="F703" s="41" t="n"/>
      <c r="G703" s="41" t="n"/>
      <c r="H703" s="41" t="n"/>
      <c r="I703" s="41" t="n"/>
      <c r="J703" s="47" t="n"/>
      <c r="K703" s="41" t="n"/>
      <c r="L703" s="48" t="n"/>
      <c r="M703" s="45" t="n"/>
      <c r="N703" s="39">
        <f>IF($B703="","",IF(SUMPRODUCT((LISTAS!$O$3:$O$42&lt;&gt;"")*ISNUMBER(SEARCH(LISTAS!$O$3:$O$42,$I703&amp;" "&amp;$K703)))&gt;0,"CERCANA","NACIONAL"))</f>
        <v/>
      </c>
      <c r="O703" s="39">
        <f>IF($B703="","",IF(COUNTIFS(NOVEDADES!$C$4:$C$2003,$B703)=0,"—","SÍ ("&amp;COUNTIFS(NOVEDADES!$C$4:$C$2003,$B703)&amp;")"))</f>
        <v/>
      </c>
    </row>
    <row r="704">
      <c r="A704" s="41" t="n"/>
      <c r="B704" s="41" t="n"/>
      <c r="C704" s="41" t="n"/>
      <c r="D704" s="41" t="n"/>
      <c r="E704" s="46" t="n"/>
      <c r="F704" s="41" t="n"/>
      <c r="G704" s="41" t="n"/>
      <c r="H704" s="41" t="n"/>
      <c r="I704" s="41" t="n"/>
      <c r="J704" s="47" t="n"/>
      <c r="K704" s="41" t="n"/>
      <c r="L704" s="48" t="n"/>
      <c r="M704" s="45" t="n"/>
      <c r="N704" s="39">
        <f>IF($B704="","",IF(SUMPRODUCT((LISTAS!$O$3:$O$42&lt;&gt;"")*ISNUMBER(SEARCH(LISTAS!$O$3:$O$42,$I704&amp;" "&amp;$K704)))&gt;0,"CERCANA","NACIONAL"))</f>
        <v/>
      </c>
      <c r="O704" s="39">
        <f>IF($B704="","",IF(COUNTIFS(NOVEDADES!$C$4:$C$2003,$B704)=0,"—","SÍ ("&amp;COUNTIFS(NOVEDADES!$C$4:$C$2003,$B704)&amp;")"))</f>
        <v/>
      </c>
    </row>
    <row r="705">
      <c r="A705" s="41" t="n"/>
      <c r="B705" s="41" t="n"/>
      <c r="C705" s="41" t="n"/>
      <c r="D705" s="41" t="n"/>
      <c r="E705" s="46" t="n"/>
      <c r="F705" s="41" t="n"/>
      <c r="G705" s="41" t="n"/>
      <c r="H705" s="41" t="n"/>
      <c r="I705" s="41" t="n"/>
      <c r="J705" s="47" t="n"/>
      <c r="K705" s="41" t="n"/>
      <c r="L705" s="48" t="n"/>
      <c r="M705" s="45" t="n"/>
      <c r="N705" s="39">
        <f>IF($B705="","",IF(SUMPRODUCT((LISTAS!$O$3:$O$42&lt;&gt;"")*ISNUMBER(SEARCH(LISTAS!$O$3:$O$42,$I705&amp;" "&amp;$K705)))&gt;0,"CERCANA","NACIONAL"))</f>
        <v/>
      </c>
      <c r="O705" s="39">
        <f>IF($B705="","",IF(COUNTIFS(NOVEDADES!$C$4:$C$2003,$B705)=0,"—","SÍ ("&amp;COUNTIFS(NOVEDADES!$C$4:$C$2003,$B705)&amp;")"))</f>
        <v/>
      </c>
    </row>
    <row r="706">
      <c r="A706" s="41" t="n"/>
      <c r="B706" s="41" t="n"/>
      <c r="C706" s="41" t="n"/>
      <c r="D706" s="41" t="n"/>
      <c r="E706" s="46" t="n"/>
      <c r="F706" s="41" t="n"/>
      <c r="G706" s="41" t="n"/>
      <c r="H706" s="41" t="n"/>
      <c r="I706" s="41" t="n"/>
      <c r="J706" s="47" t="n"/>
      <c r="K706" s="41" t="n"/>
      <c r="L706" s="48" t="n"/>
      <c r="M706" s="45" t="n"/>
      <c r="N706" s="39">
        <f>IF($B706="","",IF(SUMPRODUCT((LISTAS!$O$3:$O$42&lt;&gt;"")*ISNUMBER(SEARCH(LISTAS!$O$3:$O$42,$I706&amp;" "&amp;$K706)))&gt;0,"CERCANA","NACIONAL"))</f>
        <v/>
      </c>
      <c r="O706" s="39">
        <f>IF($B706="","",IF(COUNTIFS(NOVEDADES!$C$4:$C$2003,$B706)=0,"—","SÍ ("&amp;COUNTIFS(NOVEDADES!$C$4:$C$2003,$B706)&amp;")"))</f>
        <v/>
      </c>
    </row>
    <row r="707">
      <c r="A707" s="41" t="n"/>
      <c r="B707" s="41" t="n"/>
      <c r="C707" s="41" t="n"/>
      <c r="D707" s="41" t="n"/>
      <c r="E707" s="46" t="n"/>
      <c r="F707" s="41" t="n"/>
      <c r="G707" s="41" t="n"/>
      <c r="H707" s="41" t="n"/>
      <c r="I707" s="41" t="n"/>
      <c r="J707" s="47" t="n"/>
      <c r="K707" s="41" t="n"/>
      <c r="L707" s="48" t="n"/>
      <c r="M707" s="45" t="n"/>
      <c r="N707" s="39">
        <f>IF($B707="","",IF(SUMPRODUCT((LISTAS!$O$3:$O$42&lt;&gt;"")*ISNUMBER(SEARCH(LISTAS!$O$3:$O$42,$I707&amp;" "&amp;$K707)))&gt;0,"CERCANA","NACIONAL"))</f>
        <v/>
      </c>
      <c r="O707" s="39">
        <f>IF($B707="","",IF(COUNTIFS(NOVEDADES!$C$4:$C$2003,$B707)=0,"—","SÍ ("&amp;COUNTIFS(NOVEDADES!$C$4:$C$2003,$B707)&amp;")"))</f>
        <v/>
      </c>
    </row>
    <row r="708">
      <c r="A708" s="41" t="n"/>
      <c r="B708" s="41" t="n"/>
      <c r="C708" s="41" t="n"/>
      <c r="D708" s="41" t="n"/>
      <c r="E708" s="46" t="n"/>
      <c r="F708" s="41" t="n"/>
      <c r="G708" s="41" t="n"/>
      <c r="H708" s="41" t="n"/>
      <c r="I708" s="41" t="n"/>
      <c r="J708" s="47" t="n"/>
      <c r="K708" s="41" t="n"/>
      <c r="L708" s="48" t="n"/>
      <c r="M708" s="45" t="n"/>
      <c r="N708" s="39">
        <f>IF($B708="","",IF(SUMPRODUCT((LISTAS!$O$3:$O$42&lt;&gt;"")*ISNUMBER(SEARCH(LISTAS!$O$3:$O$42,$I708&amp;" "&amp;$K708)))&gt;0,"CERCANA","NACIONAL"))</f>
        <v/>
      </c>
      <c r="O708" s="39">
        <f>IF($B708="","",IF(COUNTIFS(NOVEDADES!$C$4:$C$2003,$B708)=0,"—","SÍ ("&amp;COUNTIFS(NOVEDADES!$C$4:$C$2003,$B708)&amp;")"))</f>
        <v/>
      </c>
    </row>
    <row r="709">
      <c r="A709" s="41" t="n"/>
      <c r="B709" s="41" t="n"/>
      <c r="C709" s="41" t="n"/>
      <c r="D709" s="41" t="n"/>
      <c r="E709" s="46" t="n"/>
      <c r="F709" s="41" t="n"/>
      <c r="G709" s="41" t="n"/>
      <c r="H709" s="41" t="n"/>
      <c r="I709" s="41" t="n"/>
      <c r="J709" s="47" t="n"/>
      <c r="K709" s="41" t="n"/>
      <c r="L709" s="48" t="n"/>
      <c r="M709" s="45" t="n"/>
      <c r="N709" s="39">
        <f>IF($B709="","",IF(SUMPRODUCT((LISTAS!$O$3:$O$42&lt;&gt;"")*ISNUMBER(SEARCH(LISTAS!$O$3:$O$42,$I709&amp;" "&amp;$K709)))&gt;0,"CERCANA","NACIONAL"))</f>
        <v/>
      </c>
      <c r="O709" s="39">
        <f>IF($B709="","",IF(COUNTIFS(NOVEDADES!$C$4:$C$2003,$B709)=0,"—","SÍ ("&amp;COUNTIFS(NOVEDADES!$C$4:$C$2003,$B709)&amp;")"))</f>
        <v/>
      </c>
    </row>
    <row r="710">
      <c r="A710" s="41" t="n"/>
      <c r="B710" s="41" t="n"/>
      <c r="C710" s="41" t="n"/>
      <c r="D710" s="41" t="n"/>
      <c r="E710" s="46" t="n"/>
      <c r="F710" s="41" t="n"/>
      <c r="G710" s="41" t="n"/>
      <c r="H710" s="41" t="n"/>
      <c r="I710" s="41" t="n"/>
      <c r="J710" s="47" t="n"/>
      <c r="K710" s="41" t="n"/>
      <c r="L710" s="48" t="n"/>
      <c r="M710" s="45" t="n"/>
      <c r="N710" s="39">
        <f>IF($B710="","",IF(SUMPRODUCT((LISTAS!$O$3:$O$42&lt;&gt;"")*ISNUMBER(SEARCH(LISTAS!$O$3:$O$42,$I710&amp;" "&amp;$K710)))&gt;0,"CERCANA","NACIONAL"))</f>
        <v/>
      </c>
      <c r="O710" s="39">
        <f>IF($B710="","",IF(COUNTIFS(NOVEDADES!$C$4:$C$2003,$B710)=0,"—","SÍ ("&amp;COUNTIFS(NOVEDADES!$C$4:$C$2003,$B710)&amp;")"))</f>
        <v/>
      </c>
    </row>
    <row r="711">
      <c r="A711" s="41" t="n"/>
      <c r="B711" s="41" t="n"/>
      <c r="C711" s="41" t="n"/>
      <c r="D711" s="41" t="n"/>
      <c r="E711" s="46" t="n"/>
      <c r="F711" s="41" t="n"/>
      <c r="G711" s="41" t="n"/>
      <c r="H711" s="41" t="n"/>
      <c r="I711" s="41" t="n"/>
      <c r="J711" s="47" t="n"/>
      <c r="K711" s="41" t="n"/>
      <c r="L711" s="48" t="n"/>
      <c r="M711" s="45" t="n"/>
      <c r="N711" s="39">
        <f>IF($B711="","",IF(SUMPRODUCT((LISTAS!$O$3:$O$42&lt;&gt;"")*ISNUMBER(SEARCH(LISTAS!$O$3:$O$42,$I711&amp;" "&amp;$K711)))&gt;0,"CERCANA","NACIONAL"))</f>
        <v/>
      </c>
      <c r="O711" s="39">
        <f>IF($B711="","",IF(COUNTIFS(NOVEDADES!$C$4:$C$2003,$B711)=0,"—","SÍ ("&amp;COUNTIFS(NOVEDADES!$C$4:$C$2003,$B711)&amp;")"))</f>
        <v/>
      </c>
    </row>
    <row r="712">
      <c r="A712" s="41" t="n"/>
      <c r="B712" s="41" t="n"/>
      <c r="C712" s="41" t="n"/>
      <c r="D712" s="41" t="n"/>
      <c r="E712" s="46" t="n"/>
      <c r="F712" s="41" t="n"/>
      <c r="G712" s="41" t="n"/>
      <c r="H712" s="41" t="n"/>
      <c r="I712" s="41" t="n"/>
      <c r="J712" s="47" t="n"/>
      <c r="K712" s="41" t="n"/>
      <c r="L712" s="48" t="n"/>
      <c r="M712" s="45" t="n"/>
      <c r="N712" s="39">
        <f>IF($B712="","",IF(SUMPRODUCT((LISTAS!$O$3:$O$42&lt;&gt;"")*ISNUMBER(SEARCH(LISTAS!$O$3:$O$42,$I712&amp;" "&amp;$K712)))&gt;0,"CERCANA","NACIONAL"))</f>
        <v/>
      </c>
      <c r="O712" s="39">
        <f>IF($B712="","",IF(COUNTIFS(NOVEDADES!$C$4:$C$2003,$B712)=0,"—","SÍ ("&amp;COUNTIFS(NOVEDADES!$C$4:$C$2003,$B712)&amp;")"))</f>
        <v/>
      </c>
    </row>
    <row r="713">
      <c r="A713" s="41" t="n"/>
      <c r="B713" s="41" t="n"/>
      <c r="C713" s="41" t="n"/>
      <c r="D713" s="41" t="n"/>
      <c r="E713" s="46" t="n"/>
      <c r="F713" s="41" t="n"/>
      <c r="G713" s="41" t="n"/>
      <c r="H713" s="41" t="n"/>
      <c r="I713" s="41" t="n"/>
      <c r="J713" s="47" t="n"/>
      <c r="K713" s="41" t="n"/>
      <c r="L713" s="48" t="n"/>
      <c r="M713" s="45" t="n"/>
      <c r="N713" s="39">
        <f>IF($B713="","",IF(SUMPRODUCT((LISTAS!$O$3:$O$42&lt;&gt;"")*ISNUMBER(SEARCH(LISTAS!$O$3:$O$42,$I713&amp;" "&amp;$K713)))&gt;0,"CERCANA","NACIONAL"))</f>
        <v/>
      </c>
      <c r="O713" s="39">
        <f>IF($B713="","",IF(COUNTIFS(NOVEDADES!$C$4:$C$2003,$B713)=0,"—","SÍ ("&amp;COUNTIFS(NOVEDADES!$C$4:$C$2003,$B713)&amp;")"))</f>
        <v/>
      </c>
    </row>
    <row r="714">
      <c r="A714" s="41" t="n"/>
      <c r="B714" s="41" t="n"/>
      <c r="C714" s="41" t="n"/>
      <c r="D714" s="41" t="n"/>
      <c r="E714" s="46" t="n"/>
      <c r="F714" s="41" t="n"/>
      <c r="G714" s="41" t="n"/>
      <c r="H714" s="41" t="n"/>
      <c r="I714" s="41" t="n"/>
      <c r="J714" s="47" t="n"/>
      <c r="K714" s="41" t="n"/>
      <c r="L714" s="48" t="n"/>
      <c r="M714" s="45" t="n"/>
      <c r="N714" s="39">
        <f>IF($B714="","",IF(SUMPRODUCT((LISTAS!$O$3:$O$42&lt;&gt;"")*ISNUMBER(SEARCH(LISTAS!$O$3:$O$42,$I714&amp;" "&amp;$K714)))&gt;0,"CERCANA","NACIONAL"))</f>
        <v/>
      </c>
      <c r="O714" s="39">
        <f>IF($B714="","",IF(COUNTIFS(NOVEDADES!$C$4:$C$2003,$B714)=0,"—","SÍ ("&amp;COUNTIFS(NOVEDADES!$C$4:$C$2003,$B714)&amp;")"))</f>
        <v/>
      </c>
    </row>
    <row r="715">
      <c r="A715" s="41" t="n"/>
      <c r="B715" s="41" t="n"/>
      <c r="C715" s="41" t="n"/>
      <c r="D715" s="41" t="n"/>
      <c r="E715" s="46" t="n"/>
      <c r="F715" s="41" t="n"/>
      <c r="G715" s="41" t="n"/>
      <c r="H715" s="41" t="n"/>
      <c r="I715" s="41" t="n"/>
      <c r="J715" s="47" t="n"/>
      <c r="K715" s="41" t="n"/>
      <c r="L715" s="48" t="n"/>
      <c r="M715" s="45" t="n"/>
      <c r="N715" s="39">
        <f>IF($B715="","",IF(SUMPRODUCT((LISTAS!$O$3:$O$42&lt;&gt;"")*ISNUMBER(SEARCH(LISTAS!$O$3:$O$42,$I715&amp;" "&amp;$K715)))&gt;0,"CERCANA","NACIONAL"))</f>
        <v/>
      </c>
      <c r="O715" s="39">
        <f>IF($B715="","",IF(COUNTIFS(NOVEDADES!$C$4:$C$2003,$B715)=0,"—","SÍ ("&amp;COUNTIFS(NOVEDADES!$C$4:$C$2003,$B715)&amp;")"))</f>
        <v/>
      </c>
    </row>
    <row r="716">
      <c r="A716" s="41" t="n"/>
      <c r="B716" s="41" t="n"/>
      <c r="C716" s="41" t="n"/>
      <c r="D716" s="41" t="n"/>
      <c r="E716" s="46" t="n"/>
      <c r="F716" s="41" t="n"/>
      <c r="G716" s="41" t="n"/>
      <c r="H716" s="41" t="n"/>
      <c r="I716" s="41" t="n"/>
      <c r="J716" s="47" t="n"/>
      <c r="K716" s="41" t="n"/>
      <c r="L716" s="48" t="n"/>
      <c r="M716" s="45" t="n"/>
      <c r="N716" s="39">
        <f>IF($B716="","",IF(SUMPRODUCT((LISTAS!$O$3:$O$42&lt;&gt;"")*ISNUMBER(SEARCH(LISTAS!$O$3:$O$42,$I716&amp;" "&amp;$K716)))&gt;0,"CERCANA","NACIONAL"))</f>
        <v/>
      </c>
      <c r="O716" s="39">
        <f>IF($B716="","",IF(COUNTIFS(NOVEDADES!$C$4:$C$2003,$B716)=0,"—","SÍ ("&amp;COUNTIFS(NOVEDADES!$C$4:$C$2003,$B716)&amp;")"))</f>
        <v/>
      </c>
    </row>
    <row r="717">
      <c r="A717" s="41" t="n"/>
      <c r="B717" s="41" t="n"/>
      <c r="C717" s="41" t="n"/>
      <c r="D717" s="41" t="n"/>
      <c r="E717" s="46" t="n"/>
      <c r="F717" s="41" t="n"/>
      <c r="G717" s="41" t="n"/>
      <c r="H717" s="41" t="n"/>
      <c r="I717" s="41" t="n"/>
      <c r="J717" s="47" t="n"/>
      <c r="K717" s="41" t="n"/>
      <c r="L717" s="48" t="n"/>
      <c r="M717" s="45" t="n"/>
      <c r="N717" s="39">
        <f>IF($B717="","",IF(SUMPRODUCT((LISTAS!$O$3:$O$42&lt;&gt;"")*ISNUMBER(SEARCH(LISTAS!$O$3:$O$42,$I717&amp;" "&amp;$K717)))&gt;0,"CERCANA","NACIONAL"))</f>
        <v/>
      </c>
      <c r="O717" s="39">
        <f>IF($B717="","",IF(COUNTIFS(NOVEDADES!$C$4:$C$2003,$B717)=0,"—","SÍ ("&amp;COUNTIFS(NOVEDADES!$C$4:$C$2003,$B717)&amp;")"))</f>
        <v/>
      </c>
    </row>
    <row r="718">
      <c r="A718" s="41" t="n"/>
      <c r="B718" s="41" t="n"/>
      <c r="C718" s="41" t="n"/>
      <c r="D718" s="41" t="n"/>
      <c r="E718" s="46" t="n"/>
      <c r="F718" s="41" t="n"/>
      <c r="G718" s="41" t="n"/>
      <c r="H718" s="41" t="n"/>
      <c r="I718" s="41" t="n"/>
      <c r="J718" s="47" t="n"/>
      <c r="K718" s="41" t="n"/>
      <c r="L718" s="48" t="n"/>
      <c r="M718" s="45" t="n"/>
      <c r="N718" s="39">
        <f>IF($B718="","",IF(SUMPRODUCT((LISTAS!$O$3:$O$42&lt;&gt;"")*ISNUMBER(SEARCH(LISTAS!$O$3:$O$42,$I718&amp;" "&amp;$K718)))&gt;0,"CERCANA","NACIONAL"))</f>
        <v/>
      </c>
      <c r="O718" s="39">
        <f>IF($B718="","",IF(COUNTIFS(NOVEDADES!$C$4:$C$2003,$B718)=0,"—","SÍ ("&amp;COUNTIFS(NOVEDADES!$C$4:$C$2003,$B718)&amp;")"))</f>
        <v/>
      </c>
    </row>
    <row r="719">
      <c r="A719" s="41" t="n"/>
      <c r="B719" s="41" t="n"/>
      <c r="C719" s="41" t="n"/>
      <c r="D719" s="41" t="n"/>
      <c r="E719" s="46" t="n"/>
      <c r="F719" s="41" t="n"/>
      <c r="G719" s="41" t="n"/>
      <c r="H719" s="41" t="n"/>
      <c r="I719" s="41" t="n"/>
      <c r="J719" s="47" t="n"/>
      <c r="K719" s="41" t="n"/>
      <c r="L719" s="48" t="n"/>
      <c r="M719" s="45" t="n"/>
      <c r="N719" s="39">
        <f>IF($B719="","",IF(SUMPRODUCT((LISTAS!$O$3:$O$42&lt;&gt;"")*ISNUMBER(SEARCH(LISTAS!$O$3:$O$42,$I719&amp;" "&amp;$K719)))&gt;0,"CERCANA","NACIONAL"))</f>
        <v/>
      </c>
      <c r="O719" s="39">
        <f>IF($B719="","",IF(COUNTIFS(NOVEDADES!$C$4:$C$2003,$B719)=0,"—","SÍ ("&amp;COUNTIFS(NOVEDADES!$C$4:$C$2003,$B719)&amp;")"))</f>
        <v/>
      </c>
    </row>
    <row r="720">
      <c r="A720" s="41" t="n"/>
      <c r="B720" s="41" t="n"/>
      <c r="C720" s="41" t="n"/>
      <c r="D720" s="41" t="n"/>
      <c r="E720" s="46" t="n"/>
      <c r="F720" s="41" t="n"/>
      <c r="G720" s="41" t="n"/>
      <c r="H720" s="41" t="n"/>
      <c r="I720" s="41" t="n"/>
      <c r="J720" s="47" t="n"/>
      <c r="K720" s="41" t="n"/>
      <c r="L720" s="48" t="n"/>
      <c r="M720" s="45" t="n"/>
      <c r="N720" s="39">
        <f>IF($B720="","",IF(SUMPRODUCT((LISTAS!$O$3:$O$42&lt;&gt;"")*ISNUMBER(SEARCH(LISTAS!$O$3:$O$42,$I720&amp;" "&amp;$K720)))&gt;0,"CERCANA","NACIONAL"))</f>
        <v/>
      </c>
      <c r="O720" s="39">
        <f>IF($B720="","",IF(COUNTIFS(NOVEDADES!$C$4:$C$2003,$B720)=0,"—","SÍ ("&amp;COUNTIFS(NOVEDADES!$C$4:$C$2003,$B720)&amp;")"))</f>
        <v/>
      </c>
    </row>
    <row r="721">
      <c r="A721" s="41" t="n"/>
      <c r="B721" s="41" t="n"/>
      <c r="C721" s="41" t="n"/>
      <c r="D721" s="41" t="n"/>
      <c r="E721" s="46" t="n"/>
      <c r="F721" s="41" t="n"/>
      <c r="G721" s="41" t="n"/>
      <c r="H721" s="41" t="n"/>
      <c r="I721" s="41" t="n"/>
      <c r="J721" s="47" t="n"/>
      <c r="K721" s="41" t="n"/>
      <c r="L721" s="48" t="n"/>
      <c r="M721" s="45" t="n"/>
      <c r="N721" s="39">
        <f>IF($B721="","",IF(SUMPRODUCT((LISTAS!$O$3:$O$42&lt;&gt;"")*ISNUMBER(SEARCH(LISTAS!$O$3:$O$42,$I721&amp;" "&amp;$K721)))&gt;0,"CERCANA","NACIONAL"))</f>
        <v/>
      </c>
      <c r="O721" s="39">
        <f>IF($B721="","",IF(COUNTIFS(NOVEDADES!$C$4:$C$2003,$B721)=0,"—","SÍ ("&amp;COUNTIFS(NOVEDADES!$C$4:$C$2003,$B721)&amp;")"))</f>
        <v/>
      </c>
    </row>
    <row r="722">
      <c r="A722" s="41" t="n"/>
      <c r="B722" s="41" t="n"/>
      <c r="C722" s="41" t="n"/>
      <c r="D722" s="41" t="n"/>
      <c r="E722" s="46" t="n"/>
      <c r="F722" s="41" t="n"/>
      <c r="G722" s="41" t="n"/>
      <c r="H722" s="41" t="n"/>
      <c r="I722" s="41" t="n"/>
      <c r="J722" s="47" t="n"/>
      <c r="K722" s="41" t="n"/>
      <c r="L722" s="48" t="n"/>
      <c r="M722" s="45" t="n"/>
      <c r="N722" s="39">
        <f>IF($B722="","",IF(SUMPRODUCT((LISTAS!$O$3:$O$42&lt;&gt;"")*ISNUMBER(SEARCH(LISTAS!$O$3:$O$42,$I722&amp;" "&amp;$K722)))&gt;0,"CERCANA","NACIONAL"))</f>
        <v/>
      </c>
      <c r="O722" s="39">
        <f>IF($B722="","",IF(COUNTIFS(NOVEDADES!$C$4:$C$2003,$B722)=0,"—","SÍ ("&amp;COUNTIFS(NOVEDADES!$C$4:$C$2003,$B722)&amp;")"))</f>
        <v/>
      </c>
    </row>
    <row r="723">
      <c r="A723" s="41" t="n"/>
      <c r="B723" s="41" t="n"/>
      <c r="C723" s="41" t="n"/>
      <c r="D723" s="41" t="n"/>
      <c r="E723" s="46" t="n"/>
      <c r="F723" s="41" t="n"/>
      <c r="G723" s="41" t="n"/>
      <c r="H723" s="41" t="n"/>
      <c r="I723" s="41" t="n"/>
      <c r="J723" s="47" t="n"/>
      <c r="K723" s="41" t="n"/>
      <c r="L723" s="48" t="n"/>
      <c r="M723" s="45" t="n"/>
      <c r="N723" s="39">
        <f>IF($B723="","",IF(SUMPRODUCT((LISTAS!$O$3:$O$42&lt;&gt;"")*ISNUMBER(SEARCH(LISTAS!$O$3:$O$42,$I723&amp;" "&amp;$K723)))&gt;0,"CERCANA","NACIONAL"))</f>
        <v/>
      </c>
      <c r="O723" s="39">
        <f>IF($B723="","",IF(COUNTIFS(NOVEDADES!$C$4:$C$2003,$B723)=0,"—","SÍ ("&amp;COUNTIFS(NOVEDADES!$C$4:$C$2003,$B723)&amp;")"))</f>
        <v/>
      </c>
    </row>
    <row r="724">
      <c r="A724" s="41" t="n"/>
      <c r="B724" s="41" t="n"/>
      <c r="C724" s="41" t="n"/>
      <c r="D724" s="41" t="n"/>
      <c r="E724" s="46" t="n"/>
      <c r="F724" s="41" t="n"/>
      <c r="G724" s="41" t="n"/>
      <c r="H724" s="41" t="n"/>
      <c r="I724" s="41" t="n"/>
      <c r="J724" s="47" t="n"/>
      <c r="K724" s="41" t="n"/>
      <c r="L724" s="48" t="n"/>
      <c r="M724" s="45" t="n"/>
      <c r="N724" s="39">
        <f>IF($B724="","",IF(SUMPRODUCT((LISTAS!$O$3:$O$42&lt;&gt;"")*ISNUMBER(SEARCH(LISTAS!$O$3:$O$42,$I724&amp;" "&amp;$K724)))&gt;0,"CERCANA","NACIONAL"))</f>
        <v/>
      </c>
      <c r="O724" s="39">
        <f>IF($B724="","",IF(COUNTIFS(NOVEDADES!$C$4:$C$2003,$B724)=0,"—","SÍ ("&amp;COUNTIFS(NOVEDADES!$C$4:$C$2003,$B724)&amp;")"))</f>
        <v/>
      </c>
    </row>
    <row r="725">
      <c r="A725" s="41" t="n"/>
      <c r="B725" s="41" t="n"/>
      <c r="C725" s="41" t="n"/>
      <c r="D725" s="41" t="n"/>
      <c r="E725" s="46" t="n"/>
      <c r="F725" s="41" t="n"/>
      <c r="G725" s="41" t="n"/>
      <c r="H725" s="41" t="n"/>
      <c r="I725" s="41" t="n"/>
      <c r="J725" s="47" t="n"/>
      <c r="K725" s="41" t="n"/>
      <c r="L725" s="48" t="n"/>
      <c r="M725" s="45" t="n"/>
      <c r="N725" s="39">
        <f>IF($B725="","",IF(SUMPRODUCT((LISTAS!$O$3:$O$42&lt;&gt;"")*ISNUMBER(SEARCH(LISTAS!$O$3:$O$42,$I725&amp;" "&amp;$K725)))&gt;0,"CERCANA","NACIONAL"))</f>
        <v/>
      </c>
      <c r="O725" s="39">
        <f>IF($B725="","",IF(COUNTIFS(NOVEDADES!$C$4:$C$2003,$B725)=0,"—","SÍ ("&amp;COUNTIFS(NOVEDADES!$C$4:$C$2003,$B725)&amp;")"))</f>
        <v/>
      </c>
    </row>
    <row r="726">
      <c r="A726" s="41" t="n"/>
      <c r="B726" s="41" t="n"/>
      <c r="C726" s="41" t="n"/>
      <c r="D726" s="41" t="n"/>
      <c r="E726" s="46" t="n"/>
      <c r="F726" s="41" t="n"/>
      <c r="G726" s="41" t="n"/>
      <c r="H726" s="41" t="n"/>
      <c r="I726" s="41" t="n"/>
      <c r="J726" s="47" t="n"/>
      <c r="K726" s="41" t="n"/>
      <c r="L726" s="48" t="n"/>
      <c r="M726" s="45" t="n"/>
      <c r="N726" s="39">
        <f>IF($B726="","",IF(SUMPRODUCT((LISTAS!$O$3:$O$42&lt;&gt;"")*ISNUMBER(SEARCH(LISTAS!$O$3:$O$42,$I726&amp;" "&amp;$K726)))&gt;0,"CERCANA","NACIONAL"))</f>
        <v/>
      </c>
      <c r="O726" s="39">
        <f>IF($B726="","",IF(COUNTIFS(NOVEDADES!$C$4:$C$2003,$B726)=0,"—","SÍ ("&amp;COUNTIFS(NOVEDADES!$C$4:$C$2003,$B726)&amp;")"))</f>
        <v/>
      </c>
    </row>
    <row r="727">
      <c r="A727" s="41" t="n"/>
      <c r="B727" s="41" t="n"/>
      <c r="C727" s="41" t="n"/>
      <c r="D727" s="41" t="n"/>
      <c r="E727" s="46" t="n"/>
      <c r="F727" s="41" t="n"/>
      <c r="G727" s="41" t="n"/>
      <c r="H727" s="41" t="n"/>
      <c r="I727" s="41" t="n"/>
      <c r="J727" s="47" t="n"/>
      <c r="K727" s="41" t="n"/>
      <c r="L727" s="48" t="n"/>
      <c r="M727" s="45" t="n"/>
      <c r="N727" s="39">
        <f>IF($B727="","",IF(SUMPRODUCT((LISTAS!$O$3:$O$42&lt;&gt;"")*ISNUMBER(SEARCH(LISTAS!$O$3:$O$42,$I727&amp;" "&amp;$K727)))&gt;0,"CERCANA","NACIONAL"))</f>
        <v/>
      </c>
      <c r="O727" s="39">
        <f>IF($B727="","",IF(COUNTIFS(NOVEDADES!$C$4:$C$2003,$B727)=0,"—","SÍ ("&amp;COUNTIFS(NOVEDADES!$C$4:$C$2003,$B727)&amp;")"))</f>
        <v/>
      </c>
    </row>
    <row r="728">
      <c r="A728" s="41" t="n"/>
      <c r="B728" s="41" t="n"/>
      <c r="C728" s="41" t="n"/>
      <c r="D728" s="41" t="n"/>
      <c r="E728" s="46" t="n"/>
      <c r="F728" s="41" t="n"/>
      <c r="G728" s="41" t="n"/>
      <c r="H728" s="41" t="n"/>
      <c r="I728" s="41" t="n"/>
      <c r="J728" s="47" t="n"/>
      <c r="K728" s="41" t="n"/>
      <c r="L728" s="48" t="n"/>
      <c r="M728" s="45" t="n"/>
      <c r="N728" s="39">
        <f>IF($B728="","",IF(SUMPRODUCT((LISTAS!$O$3:$O$42&lt;&gt;"")*ISNUMBER(SEARCH(LISTAS!$O$3:$O$42,$I728&amp;" "&amp;$K728)))&gt;0,"CERCANA","NACIONAL"))</f>
        <v/>
      </c>
      <c r="O728" s="39">
        <f>IF($B728="","",IF(COUNTIFS(NOVEDADES!$C$4:$C$2003,$B728)=0,"—","SÍ ("&amp;COUNTIFS(NOVEDADES!$C$4:$C$2003,$B728)&amp;")"))</f>
        <v/>
      </c>
    </row>
    <row r="729">
      <c r="A729" s="41" t="n"/>
      <c r="B729" s="41" t="n"/>
      <c r="C729" s="41" t="n"/>
      <c r="D729" s="41" t="n"/>
      <c r="E729" s="46" t="n"/>
      <c r="F729" s="41" t="n"/>
      <c r="G729" s="41" t="n"/>
      <c r="H729" s="41" t="n"/>
      <c r="I729" s="41" t="n"/>
      <c r="J729" s="47" t="n"/>
      <c r="K729" s="41" t="n"/>
      <c r="L729" s="48" t="n"/>
      <c r="M729" s="45" t="n"/>
      <c r="N729" s="39">
        <f>IF($B729="","",IF(SUMPRODUCT((LISTAS!$O$3:$O$42&lt;&gt;"")*ISNUMBER(SEARCH(LISTAS!$O$3:$O$42,$I729&amp;" "&amp;$K729)))&gt;0,"CERCANA","NACIONAL"))</f>
        <v/>
      </c>
      <c r="O729" s="39">
        <f>IF($B729="","",IF(COUNTIFS(NOVEDADES!$C$4:$C$2003,$B729)=0,"—","SÍ ("&amp;COUNTIFS(NOVEDADES!$C$4:$C$2003,$B729)&amp;")"))</f>
        <v/>
      </c>
    </row>
    <row r="730">
      <c r="A730" s="41" t="n"/>
      <c r="B730" s="41" t="n"/>
      <c r="C730" s="41" t="n"/>
      <c r="D730" s="41" t="n"/>
      <c r="E730" s="46" t="n"/>
      <c r="F730" s="41" t="n"/>
      <c r="G730" s="41" t="n"/>
      <c r="H730" s="41" t="n"/>
      <c r="I730" s="41" t="n"/>
      <c r="J730" s="47" t="n"/>
      <c r="K730" s="41" t="n"/>
      <c r="L730" s="48" t="n"/>
      <c r="M730" s="45" t="n"/>
      <c r="N730" s="39">
        <f>IF($B730="","",IF(SUMPRODUCT((LISTAS!$O$3:$O$42&lt;&gt;"")*ISNUMBER(SEARCH(LISTAS!$O$3:$O$42,$I730&amp;" "&amp;$K730)))&gt;0,"CERCANA","NACIONAL"))</f>
        <v/>
      </c>
      <c r="O730" s="39">
        <f>IF($B730="","",IF(COUNTIFS(NOVEDADES!$C$4:$C$2003,$B730)=0,"—","SÍ ("&amp;COUNTIFS(NOVEDADES!$C$4:$C$2003,$B730)&amp;")"))</f>
        <v/>
      </c>
    </row>
    <row r="731">
      <c r="A731" s="41" t="n"/>
      <c r="B731" s="41" t="n"/>
      <c r="C731" s="41" t="n"/>
      <c r="D731" s="41" t="n"/>
      <c r="E731" s="46" t="n"/>
      <c r="F731" s="41" t="n"/>
      <c r="G731" s="41" t="n"/>
      <c r="H731" s="41" t="n"/>
      <c r="I731" s="41" t="n"/>
      <c r="J731" s="47" t="n"/>
      <c r="K731" s="41" t="n"/>
      <c r="L731" s="48" t="n"/>
      <c r="M731" s="45" t="n"/>
      <c r="N731" s="39">
        <f>IF($B731="","",IF(SUMPRODUCT((LISTAS!$O$3:$O$42&lt;&gt;"")*ISNUMBER(SEARCH(LISTAS!$O$3:$O$42,$I731&amp;" "&amp;$K731)))&gt;0,"CERCANA","NACIONAL"))</f>
        <v/>
      </c>
      <c r="O731" s="39">
        <f>IF($B731="","",IF(COUNTIFS(NOVEDADES!$C$4:$C$2003,$B731)=0,"—","SÍ ("&amp;COUNTIFS(NOVEDADES!$C$4:$C$2003,$B731)&amp;")"))</f>
        <v/>
      </c>
    </row>
    <row r="732">
      <c r="A732" s="41" t="n"/>
      <c r="B732" s="41" t="n"/>
      <c r="C732" s="41" t="n"/>
      <c r="D732" s="41" t="n"/>
      <c r="E732" s="46" t="n"/>
      <c r="F732" s="41" t="n"/>
      <c r="G732" s="41" t="n"/>
      <c r="H732" s="41" t="n"/>
      <c r="I732" s="41" t="n"/>
      <c r="J732" s="47" t="n"/>
      <c r="K732" s="41" t="n"/>
      <c r="L732" s="48" t="n"/>
      <c r="M732" s="45" t="n"/>
      <c r="N732" s="39">
        <f>IF($B732="","",IF(SUMPRODUCT((LISTAS!$O$3:$O$42&lt;&gt;"")*ISNUMBER(SEARCH(LISTAS!$O$3:$O$42,$I732&amp;" "&amp;$K732)))&gt;0,"CERCANA","NACIONAL"))</f>
        <v/>
      </c>
      <c r="O732" s="39">
        <f>IF($B732="","",IF(COUNTIFS(NOVEDADES!$C$4:$C$2003,$B732)=0,"—","SÍ ("&amp;COUNTIFS(NOVEDADES!$C$4:$C$2003,$B732)&amp;")"))</f>
        <v/>
      </c>
    </row>
    <row r="733">
      <c r="A733" s="41" t="n"/>
      <c r="B733" s="41" t="n"/>
      <c r="C733" s="41" t="n"/>
      <c r="D733" s="41" t="n"/>
      <c r="E733" s="46" t="n"/>
      <c r="F733" s="41" t="n"/>
      <c r="G733" s="41" t="n"/>
      <c r="H733" s="41" t="n"/>
      <c r="I733" s="41" t="n"/>
      <c r="J733" s="47" t="n"/>
      <c r="K733" s="41" t="n"/>
      <c r="L733" s="48" t="n"/>
      <c r="M733" s="45" t="n"/>
      <c r="N733" s="39">
        <f>IF($B733="","",IF(SUMPRODUCT((LISTAS!$O$3:$O$42&lt;&gt;"")*ISNUMBER(SEARCH(LISTAS!$O$3:$O$42,$I733&amp;" "&amp;$K733)))&gt;0,"CERCANA","NACIONAL"))</f>
        <v/>
      </c>
      <c r="O733" s="39">
        <f>IF($B733="","",IF(COUNTIFS(NOVEDADES!$C$4:$C$2003,$B733)=0,"—","SÍ ("&amp;COUNTIFS(NOVEDADES!$C$4:$C$2003,$B733)&amp;")"))</f>
        <v/>
      </c>
    </row>
    <row r="734">
      <c r="A734" s="41" t="n"/>
      <c r="B734" s="41" t="n"/>
      <c r="C734" s="41" t="n"/>
      <c r="D734" s="41" t="n"/>
      <c r="E734" s="46" t="n"/>
      <c r="F734" s="41" t="n"/>
      <c r="G734" s="41" t="n"/>
      <c r="H734" s="41" t="n"/>
      <c r="I734" s="41" t="n"/>
      <c r="J734" s="47" t="n"/>
      <c r="K734" s="41" t="n"/>
      <c r="L734" s="48" t="n"/>
      <c r="M734" s="45" t="n"/>
      <c r="N734" s="39">
        <f>IF($B734="","",IF(SUMPRODUCT((LISTAS!$O$3:$O$42&lt;&gt;"")*ISNUMBER(SEARCH(LISTAS!$O$3:$O$42,$I734&amp;" "&amp;$K734)))&gt;0,"CERCANA","NACIONAL"))</f>
        <v/>
      </c>
      <c r="O734" s="39">
        <f>IF($B734="","",IF(COUNTIFS(NOVEDADES!$C$4:$C$2003,$B734)=0,"—","SÍ ("&amp;COUNTIFS(NOVEDADES!$C$4:$C$2003,$B734)&amp;")"))</f>
        <v/>
      </c>
    </row>
    <row r="735">
      <c r="A735" s="41" t="n"/>
      <c r="B735" s="41" t="n"/>
      <c r="C735" s="41" t="n"/>
      <c r="D735" s="41" t="n"/>
      <c r="E735" s="46" t="n"/>
      <c r="F735" s="41" t="n"/>
      <c r="G735" s="41" t="n"/>
      <c r="H735" s="41" t="n"/>
      <c r="I735" s="41" t="n"/>
      <c r="J735" s="47" t="n"/>
      <c r="K735" s="41" t="n"/>
      <c r="L735" s="48" t="n"/>
      <c r="M735" s="45" t="n"/>
      <c r="N735" s="39">
        <f>IF($B735="","",IF(SUMPRODUCT((LISTAS!$O$3:$O$42&lt;&gt;"")*ISNUMBER(SEARCH(LISTAS!$O$3:$O$42,$I735&amp;" "&amp;$K735)))&gt;0,"CERCANA","NACIONAL"))</f>
        <v/>
      </c>
      <c r="O735" s="39">
        <f>IF($B735="","",IF(COUNTIFS(NOVEDADES!$C$4:$C$2003,$B735)=0,"—","SÍ ("&amp;COUNTIFS(NOVEDADES!$C$4:$C$2003,$B735)&amp;")"))</f>
        <v/>
      </c>
    </row>
    <row r="736">
      <c r="A736" s="41" t="n"/>
      <c r="B736" s="41" t="n"/>
      <c r="C736" s="41" t="n"/>
      <c r="D736" s="41" t="n"/>
      <c r="E736" s="46" t="n"/>
      <c r="F736" s="41" t="n"/>
      <c r="G736" s="41" t="n"/>
      <c r="H736" s="41" t="n"/>
      <c r="I736" s="41" t="n"/>
      <c r="J736" s="47" t="n"/>
      <c r="K736" s="41" t="n"/>
      <c r="L736" s="48" t="n"/>
      <c r="M736" s="45" t="n"/>
      <c r="N736" s="39">
        <f>IF($B736="","",IF(SUMPRODUCT((LISTAS!$O$3:$O$42&lt;&gt;"")*ISNUMBER(SEARCH(LISTAS!$O$3:$O$42,$I736&amp;" "&amp;$K736)))&gt;0,"CERCANA","NACIONAL"))</f>
        <v/>
      </c>
      <c r="O736" s="39">
        <f>IF($B736="","",IF(COUNTIFS(NOVEDADES!$C$4:$C$2003,$B736)=0,"—","SÍ ("&amp;COUNTIFS(NOVEDADES!$C$4:$C$2003,$B736)&amp;")"))</f>
        <v/>
      </c>
    </row>
    <row r="737">
      <c r="A737" s="41" t="n"/>
      <c r="B737" s="41" t="n"/>
      <c r="C737" s="41" t="n"/>
      <c r="D737" s="41" t="n"/>
      <c r="E737" s="46" t="n"/>
      <c r="F737" s="41" t="n"/>
      <c r="G737" s="41" t="n"/>
      <c r="H737" s="41" t="n"/>
      <c r="I737" s="41" t="n"/>
      <c r="J737" s="47" t="n"/>
      <c r="K737" s="41" t="n"/>
      <c r="L737" s="48" t="n"/>
      <c r="M737" s="45" t="n"/>
      <c r="N737" s="39">
        <f>IF($B737="","",IF(SUMPRODUCT((LISTAS!$O$3:$O$42&lt;&gt;"")*ISNUMBER(SEARCH(LISTAS!$O$3:$O$42,$I737&amp;" "&amp;$K737)))&gt;0,"CERCANA","NACIONAL"))</f>
        <v/>
      </c>
      <c r="O737" s="39">
        <f>IF($B737="","",IF(COUNTIFS(NOVEDADES!$C$4:$C$2003,$B737)=0,"—","SÍ ("&amp;COUNTIFS(NOVEDADES!$C$4:$C$2003,$B737)&amp;")"))</f>
        <v/>
      </c>
    </row>
    <row r="738">
      <c r="A738" s="41" t="n"/>
      <c r="B738" s="41" t="n"/>
      <c r="C738" s="41" t="n"/>
      <c r="D738" s="41" t="n"/>
      <c r="E738" s="46" t="n"/>
      <c r="F738" s="41" t="n"/>
      <c r="G738" s="41" t="n"/>
      <c r="H738" s="41" t="n"/>
      <c r="I738" s="41" t="n"/>
      <c r="J738" s="47" t="n"/>
      <c r="K738" s="41" t="n"/>
      <c r="L738" s="48" t="n"/>
      <c r="M738" s="45" t="n"/>
      <c r="N738" s="39">
        <f>IF($B738="","",IF(SUMPRODUCT((LISTAS!$O$3:$O$42&lt;&gt;"")*ISNUMBER(SEARCH(LISTAS!$O$3:$O$42,$I738&amp;" "&amp;$K738)))&gt;0,"CERCANA","NACIONAL"))</f>
        <v/>
      </c>
      <c r="O738" s="39">
        <f>IF($B738="","",IF(COUNTIFS(NOVEDADES!$C$4:$C$2003,$B738)=0,"—","SÍ ("&amp;COUNTIFS(NOVEDADES!$C$4:$C$2003,$B738)&amp;")"))</f>
        <v/>
      </c>
    </row>
    <row r="739">
      <c r="A739" s="41" t="n"/>
      <c r="B739" s="41" t="n"/>
      <c r="C739" s="41" t="n"/>
      <c r="D739" s="41" t="n"/>
      <c r="E739" s="46" t="n"/>
      <c r="F739" s="41" t="n"/>
      <c r="G739" s="41" t="n"/>
      <c r="H739" s="41" t="n"/>
      <c r="I739" s="41" t="n"/>
      <c r="J739" s="47" t="n"/>
      <c r="K739" s="41" t="n"/>
      <c r="L739" s="48" t="n"/>
      <c r="M739" s="45" t="n"/>
      <c r="N739" s="39">
        <f>IF($B739="","",IF(SUMPRODUCT((LISTAS!$O$3:$O$42&lt;&gt;"")*ISNUMBER(SEARCH(LISTAS!$O$3:$O$42,$I739&amp;" "&amp;$K739)))&gt;0,"CERCANA","NACIONAL"))</f>
        <v/>
      </c>
      <c r="O739" s="39">
        <f>IF($B739="","",IF(COUNTIFS(NOVEDADES!$C$4:$C$2003,$B739)=0,"—","SÍ ("&amp;COUNTIFS(NOVEDADES!$C$4:$C$2003,$B739)&amp;")"))</f>
        <v/>
      </c>
    </row>
    <row r="740">
      <c r="A740" s="41" t="n"/>
      <c r="B740" s="41" t="n"/>
      <c r="C740" s="41" t="n"/>
      <c r="D740" s="41" t="n"/>
      <c r="E740" s="46" t="n"/>
      <c r="F740" s="41" t="n"/>
      <c r="G740" s="41" t="n"/>
      <c r="H740" s="41" t="n"/>
      <c r="I740" s="41" t="n"/>
      <c r="J740" s="47" t="n"/>
      <c r="K740" s="41" t="n"/>
      <c r="L740" s="48" t="n"/>
      <c r="M740" s="45" t="n"/>
      <c r="N740" s="39">
        <f>IF($B740="","",IF(SUMPRODUCT((LISTAS!$O$3:$O$42&lt;&gt;"")*ISNUMBER(SEARCH(LISTAS!$O$3:$O$42,$I740&amp;" "&amp;$K740)))&gt;0,"CERCANA","NACIONAL"))</f>
        <v/>
      </c>
      <c r="O740" s="39">
        <f>IF($B740="","",IF(COUNTIFS(NOVEDADES!$C$4:$C$2003,$B740)=0,"—","SÍ ("&amp;COUNTIFS(NOVEDADES!$C$4:$C$2003,$B740)&amp;")"))</f>
        <v/>
      </c>
    </row>
    <row r="741">
      <c r="A741" s="41" t="n"/>
      <c r="B741" s="41" t="n"/>
      <c r="C741" s="41" t="n"/>
      <c r="D741" s="41" t="n"/>
      <c r="E741" s="46" t="n"/>
      <c r="F741" s="41" t="n"/>
      <c r="G741" s="41" t="n"/>
      <c r="H741" s="41" t="n"/>
      <c r="I741" s="41" t="n"/>
      <c r="J741" s="47" t="n"/>
      <c r="K741" s="41" t="n"/>
      <c r="L741" s="48" t="n"/>
      <c r="M741" s="45" t="n"/>
      <c r="N741" s="39">
        <f>IF($B741="","",IF(SUMPRODUCT((LISTAS!$O$3:$O$42&lt;&gt;"")*ISNUMBER(SEARCH(LISTAS!$O$3:$O$42,$I741&amp;" "&amp;$K741)))&gt;0,"CERCANA","NACIONAL"))</f>
        <v/>
      </c>
      <c r="O741" s="39">
        <f>IF($B741="","",IF(COUNTIFS(NOVEDADES!$C$4:$C$2003,$B741)=0,"—","SÍ ("&amp;COUNTIFS(NOVEDADES!$C$4:$C$2003,$B741)&amp;")"))</f>
        <v/>
      </c>
    </row>
    <row r="742">
      <c r="A742" s="41" t="n"/>
      <c r="B742" s="41" t="n"/>
      <c r="C742" s="41" t="n"/>
      <c r="D742" s="41" t="n"/>
      <c r="E742" s="46" t="n"/>
      <c r="F742" s="41" t="n"/>
      <c r="G742" s="41" t="n"/>
      <c r="H742" s="41" t="n"/>
      <c r="I742" s="41" t="n"/>
      <c r="J742" s="47" t="n"/>
      <c r="K742" s="41" t="n"/>
      <c r="L742" s="48" t="n"/>
      <c r="M742" s="45" t="n"/>
      <c r="N742" s="39">
        <f>IF($B742="","",IF(SUMPRODUCT((LISTAS!$O$3:$O$42&lt;&gt;"")*ISNUMBER(SEARCH(LISTAS!$O$3:$O$42,$I742&amp;" "&amp;$K742)))&gt;0,"CERCANA","NACIONAL"))</f>
        <v/>
      </c>
      <c r="O742" s="39">
        <f>IF($B742="","",IF(COUNTIFS(NOVEDADES!$C$4:$C$2003,$B742)=0,"—","SÍ ("&amp;COUNTIFS(NOVEDADES!$C$4:$C$2003,$B742)&amp;")"))</f>
        <v/>
      </c>
    </row>
    <row r="743">
      <c r="A743" s="41" t="n"/>
      <c r="B743" s="41" t="n"/>
      <c r="C743" s="41" t="n"/>
      <c r="D743" s="41" t="n"/>
      <c r="E743" s="46" t="n"/>
      <c r="F743" s="41" t="n"/>
      <c r="G743" s="41" t="n"/>
      <c r="H743" s="41" t="n"/>
      <c r="I743" s="41" t="n"/>
      <c r="J743" s="47" t="n"/>
      <c r="K743" s="41" t="n"/>
      <c r="L743" s="48" t="n"/>
      <c r="M743" s="45" t="n"/>
      <c r="N743" s="39">
        <f>IF($B743="","",IF(SUMPRODUCT((LISTAS!$O$3:$O$42&lt;&gt;"")*ISNUMBER(SEARCH(LISTAS!$O$3:$O$42,$I743&amp;" "&amp;$K743)))&gt;0,"CERCANA","NACIONAL"))</f>
        <v/>
      </c>
      <c r="O743" s="39">
        <f>IF($B743="","",IF(COUNTIFS(NOVEDADES!$C$4:$C$2003,$B743)=0,"—","SÍ ("&amp;COUNTIFS(NOVEDADES!$C$4:$C$2003,$B743)&amp;")"))</f>
        <v/>
      </c>
    </row>
    <row r="744">
      <c r="A744" s="41" t="n"/>
      <c r="B744" s="41" t="n"/>
      <c r="C744" s="41" t="n"/>
      <c r="D744" s="41" t="n"/>
      <c r="E744" s="46" t="n"/>
      <c r="F744" s="41" t="n"/>
      <c r="G744" s="41" t="n"/>
      <c r="H744" s="41" t="n"/>
      <c r="I744" s="41" t="n"/>
      <c r="J744" s="47" t="n"/>
      <c r="K744" s="41" t="n"/>
      <c r="L744" s="48" t="n"/>
      <c r="M744" s="45" t="n"/>
      <c r="N744" s="39">
        <f>IF($B744="","",IF(SUMPRODUCT((LISTAS!$O$3:$O$42&lt;&gt;"")*ISNUMBER(SEARCH(LISTAS!$O$3:$O$42,$I744&amp;" "&amp;$K744)))&gt;0,"CERCANA","NACIONAL"))</f>
        <v/>
      </c>
      <c r="O744" s="39">
        <f>IF($B744="","",IF(COUNTIFS(NOVEDADES!$C$4:$C$2003,$B744)=0,"—","SÍ ("&amp;COUNTIFS(NOVEDADES!$C$4:$C$2003,$B744)&amp;")"))</f>
        <v/>
      </c>
    </row>
    <row r="745">
      <c r="A745" s="41" t="n"/>
      <c r="B745" s="41" t="n"/>
      <c r="C745" s="41" t="n"/>
      <c r="D745" s="41" t="n"/>
      <c r="E745" s="46" t="n"/>
      <c r="F745" s="41" t="n"/>
      <c r="G745" s="41" t="n"/>
      <c r="H745" s="41" t="n"/>
      <c r="I745" s="41" t="n"/>
      <c r="J745" s="47" t="n"/>
      <c r="K745" s="41" t="n"/>
      <c r="L745" s="48" t="n"/>
      <c r="M745" s="45" t="n"/>
      <c r="N745" s="39">
        <f>IF($B745="","",IF(SUMPRODUCT((LISTAS!$O$3:$O$42&lt;&gt;"")*ISNUMBER(SEARCH(LISTAS!$O$3:$O$42,$I745&amp;" "&amp;$K745)))&gt;0,"CERCANA","NACIONAL"))</f>
        <v/>
      </c>
      <c r="O745" s="39">
        <f>IF($B745="","",IF(COUNTIFS(NOVEDADES!$C$4:$C$2003,$B745)=0,"—","SÍ ("&amp;COUNTIFS(NOVEDADES!$C$4:$C$2003,$B745)&amp;")"))</f>
        <v/>
      </c>
    </row>
    <row r="746">
      <c r="A746" s="41" t="n"/>
      <c r="B746" s="41" t="n"/>
      <c r="C746" s="41" t="n"/>
      <c r="D746" s="41" t="n"/>
      <c r="E746" s="46" t="n"/>
      <c r="F746" s="41" t="n"/>
      <c r="G746" s="41" t="n"/>
      <c r="H746" s="41" t="n"/>
      <c r="I746" s="41" t="n"/>
      <c r="J746" s="47" t="n"/>
      <c r="K746" s="41" t="n"/>
      <c r="L746" s="48" t="n"/>
      <c r="M746" s="45" t="n"/>
      <c r="N746" s="39">
        <f>IF($B746="","",IF(SUMPRODUCT((LISTAS!$O$3:$O$42&lt;&gt;"")*ISNUMBER(SEARCH(LISTAS!$O$3:$O$42,$I746&amp;" "&amp;$K746)))&gt;0,"CERCANA","NACIONAL"))</f>
        <v/>
      </c>
      <c r="O746" s="39">
        <f>IF($B746="","",IF(COUNTIFS(NOVEDADES!$C$4:$C$2003,$B746)=0,"—","SÍ ("&amp;COUNTIFS(NOVEDADES!$C$4:$C$2003,$B746)&amp;")"))</f>
        <v/>
      </c>
    </row>
    <row r="747">
      <c r="A747" s="41" t="n"/>
      <c r="B747" s="41" t="n"/>
      <c r="C747" s="41" t="n"/>
      <c r="D747" s="41" t="n"/>
      <c r="E747" s="46" t="n"/>
      <c r="F747" s="41" t="n"/>
      <c r="G747" s="41" t="n"/>
      <c r="H747" s="41" t="n"/>
      <c r="I747" s="41" t="n"/>
      <c r="J747" s="47" t="n"/>
      <c r="K747" s="41" t="n"/>
      <c r="L747" s="48" t="n"/>
      <c r="M747" s="45" t="n"/>
      <c r="N747" s="39">
        <f>IF($B747="","",IF(SUMPRODUCT((LISTAS!$O$3:$O$42&lt;&gt;"")*ISNUMBER(SEARCH(LISTAS!$O$3:$O$42,$I747&amp;" "&amp;$K747)))&gt;0,"CERCANA","NACIONAL"))</f>
        <v/>
      </c>
      <c r="O747" s="39">
        <f>IF($B747="","",IF(COUNTIFS(NOVEDADES!$C$4:$C$2003,$B747)=0,"—","SÍ ("&amp;COUNTIFS(NOVEDADES!$C$4:$C$2003,$B747)&amp;")"))</f>
        <v/>
      </c>
    </row>
    <row r="748">
      <c r="A748" s="41" t="n"/>
      <c r="B748" s="41" t="n"/>
      <c r="C748" s="41" t="n"/>
      <c r="D748" s="41" t="n"/>
      <c r="E748" s="46" t="n"/>
      <c r="F748" s="41" t="n"/>
      <c r="G748" s="41" t="n"/>
      <c r="H748" s="41" t="n"/>
      <c r="I748" s="41" t="n"/>
      <c r="J748" s="47" t="n"/>
      <c r="K748" s="41" t="n"/>
      <c r="L748" s="48" t="n"/>
      <c r="M748" s="45" t="n"/>
      <c r="N748" s="39">
        <f>IF($B748="","",IF(SUMPRODUCT((LISTAS!$O$3:$O$42&lt;&gt;"")*ISNUMBER(SEARCH(LISTAS!$O$3:$O$42,$I748&amp;" "&amp;$K748)))&gt;0,"CERCANA","NACIONAL"))</f>
        <v/>
      </c>
      <c r="O748" s="39">
        <f>IF($B748="","",IF(COUNTIFS(NOVEDADES!$C$4:$C$2003,$B748)=0,"—","SÍ ("&amp;COUNTIFS(NOVEDADES!$C$4:$C$2003,$B748)&amp;")"))</f>
        <v/>
      </c>
    </row>
    <row r="749">
      <c r="A749" s="41" t="n"/>
      <c r="B749" s="41" t="n"/>
      <c r="C749" s="41" t="n"/>
      <c r="D749" s="41" t="n"/>
      <c r="E749" s="46" t="n"/>
      <c r="F749" s="41" t="n"/>
      <c r="G749" s="41" t="n"/>
      <c r="H749" s="41" t="n"/>
      <c r="I749" s="41" t="n"/>
      <c r="J749" s="47" t="n"/>
      <c r="K749" s="41" t="n"/>
      <c r="L749" s="48" t="n"/>
      <c r="M749" s="45" t="n"/>
      <c r="N749" s="39">
        <f>IF($B749="","",IF(SUMPRODUCT((LISTAS!$O$3:$O$42&lt;&gt;"")*ISNUMBER(SEARCH(LISTAS!$O$3:$O$42,$I749&amp;" "&amp;$K749)))&gt;0,"CERCANA","NACIONAL"))</f>
        <v/>
      </c>
      <c r="O749" s="39">
        <f>IF($B749="","",IF(COUNTIFS(NOVEDADES!$C$4:$C$2003,$B749)=0,"—","SÍ ("&amp;COUNTIFS(NOVEDADES!$C$4:$C$2003,$B749)&amp;")"))</f>
        <v/>
      </c>
    </row>
    <row r="750">
      <c r="A750" s="41" t="n"/>
      <c r="B750" s="41" t="n"/>
      <c r="C750" s="41" t="n"/>
      <c r="D750" s="41" t="n"/>
      <c r="E750" s="46" t="n"/>
      <c r="F750" s="41" t="n"/>
      <c r="G750" s="41" t="n"/>
      <c r="H750" s="41" t="n"/>
      <c r="I750" s="41" t="n"/>
      <c r="J750" s="47" t="n"/>
      <c r="K750" s="41" t="n"/>
      <c r="L750" s="48" t="n"/>
      <c r="M750" s="45" t="n"/>
      <c r="N750" s="39">
        <f>IF($B750="","",IF(SUMPRODUCT((LISTAS!$O$3:$O$42&lt;&gt;"")*ISNUMBER(SEARCH(LISTAS!$O$3:$O$42,$I750&amp;" "&amp;$K750)))&gt;0,"CERCANA","NACIONAL"))</f>
        <v/>
      </c>
      <c r="O750" s="39">
        <f>IF($B750="","",IF(COUNTIFS(NOVEDADES!$C$4:$C$2003,$B750)=0,"—","SÍ ("&amp;COUNTIFS(NOVEDADES!$C$4:$C$2003,$B750)&amp;")"))</f>
        <v/>
      </c>
    </row>
    <row r="751">
      <c r="A751" s="41" t="n"/>
      <c r="B751" s="41" t="n"/>
      <c r="C751" s="41" t="n"/>
      <c r="D751" s="41" t="n"/>
      <c r="E751" s="46" t="n"/>
      <c r="F751" s="41" t="n"/>
      <c r="G751" s="41" t="n"/>
      <c r="H751" s="41" t="n"/>
      <c r="I751" s="41" t="n"/>
      <c r="J751" s="47" t="n"/>
      <c r="K751" s="41" t="n"/>
      <c r="L751" s="48" t="n"/>
      <c r="M751" s="45" t="n"/>
      <c r="N751" s="39">
        <f>IF($B751="","",IF(SUMPRODUCT((LISTAS!$O$3:$O$42&lt;&gt;"")*ISNUMBER(SEARCH(LISTAS!$O$3:$O$42,$I751&amp;" "&amp;$K751)))&gt;0,"CERCANA","NACIONAL"))</f>
        <v/>
      </c>
      <c r="O751" s="39">
        <f>IF($B751="","",IF(COUNTIFS(NOVEDADES!$C$4:$C$2003,$B751)=0,"—","SÍ ("&amp;COUNTIFS(NOVEDADES!$C$4:$C$2003,$B751)&amp;")"))</f>
        <v/>
      </c>
    </row>
    <row r="752">
      <c r="A752" s="41" t="n"/>
      <c r="B752" s="41" t="n"/>
      <c r="C752" s="41" t="n"/>
      <c r="D752" s="41" t="n"/>
      <c r="E752" s="46" t="n"/>
      <c r="F752" s="41" t="n"/>
      <c r="G752" s="41" t="n"/>
      <c r="H752" s="41" t="n"/>
      <c r="I752" s="41" t="n"/>
      <c r="J752" s="47" t="n"/>
      <c r="K752" s="41" t="n"/>
      <c r="L752" s="48" t="n"/>
      <c r="M752" s="45" t="n"/>
      <c r="N752" s="39">
        <f>IF($B752="","",IF(SUMPRODUCT((LISTAS!$O$3:$O$42&lt;&gt;"")*ISNUMBER(SEARCH(LISTAS!$O$3:$O$42,$I752&amp;" "&amp;$K752)))&gt;0,"CERCANA","NACIONAL"))</f>
        <v/>
      </c>
      <c r="O752" s="39">
        <f>IF($B752="","",IF(COUNTIFS(NOVEDADES!$C$4:$C$2003,$B752)=0,"—","SÍ ("&amp;COUNTIFS(NOVEDADES!$C$4:$C$2003,$B752)&amp;")"))</f>
        <v/>
      </c>
    </row>
    <row r="753">
      <c r="A753" s="41" t="n"/>
      <c r="B753" s="41" t="n"/>
      <c r="C753" s="41" t="n"/>
      <c r="D753" s="41" t="n"/>
      <c r="E753" s="46" t="n"/>
      <c r="F753" s="41" t="n"/>
      <c r="G753" s="41" t="n"/>
      <c r="H753" s="41" t="n"/>
      <c r="I753" s="41" t="n"/>
      <c r="J753" s="47" t="n"/>
      <c r="K753" s="41" t="n"/>
      <c r="L753" s="48" t="n"/>
      <c r="M753" s="45" t="n"/>
      <c r="N753" s="39">
        <f>IF($B753="","",IF(SUMPRODUCT((LISTAS!$O$3:$O$42&lt;&gt;"")*ISNUMBER(SEARCH(LISTAS!$O$3:$O$42,$I753&amp;" "&amp;$K753)))&gt;0,"CERCANA","NACIONAL"))</f>
        <v/>
      </c>
      <c r="O753" s="39">
        <f>IF($B753="","",IF(COUNTIFS(NOVEDADES!$C$4:$C$2003,$B753)=0,"—","SÍ ("&amp;COUNTIFS(NOVEDADES!$C$4:$C$2003,$B753)&amp;")"))</f>
        <v/>
      </c>
    </row>
    <row r="754">
      <c r="A754" s="41" t="n"/>
      <c r="B754" s="41" t="n"/>
      <c r="C754" s="41" t="n"/>
      <c r="D754" s="41" t="n"/>
      <c r="E754" s="46" t="n"/>
      <c r="F754" s="41" t="n"/>
      <c r="G754" s="41" t="n"/>
      <c r="H754" s="41" t="n"/>
      <c r="I754" s="41" t="n"/>
      <c r="J754" s="47" t="n"/>
      <c r="K754" s="41" t="n"/>
      <c r="L754" s="48" t="n"/>
      <c r="M754" s="45" t="n"/>
      <c r="N754" s="39">
        <f>IF($B754="","",IF(SUMPRODUCT((LISTAS!$O$3:$O$42&lt;&gt;"")*ISNUMBER(SEARCH(LISTAS!$O$3:$O$42,$I754&amp;" "&amp;$K754)))&gt;0,"CERCANA","NACIONAL"))</f>
        <v/>
      </c>
      <c r="O754" s="39">
        <f>IF($B754="","",IF(COUNTIFS(NOVEDADES!$C$4:$C$2003,$B754)=0,"—","SÍ ("&amp;COUNTIFS(NOVEDADES!$C$4:$C$2003,$B754)&amp;")"))</f>
        <v/>
      </c>
    </row>
    <row r="755">
      <c r="A755" s="41" t="n"/>
      <c r="B755" s="41" t="n"/>
      <c r="C755" s="41" t="n"/>
      <c r="D755" s="41" t="n"/>
      <c r="E755" s="46" t="n"/>
      <c r="F755" s="41" t="n"/>
      <c r="G755" s="41" t="n"/>
      <c r="H755" s="41" t="n"/>
      <c r="I755" s="41" t="n"/>
      <c r="J755" s="47" t="n"/>
      <c r="K755" s="41" t="n"/>
      <c r="L755" s="48" t="n"/>
      <c r="M755" s="45" t="n"/>
      <c r="N755" s="39">
        <f>IF($B755="","",IF(SUMPRODUCT((LISTAS!$O$3:$O$42&lt;&gt;"")*ISNUMBER(SEARCH(LISTAS!$O$3:$O$42,$I755&amp;" "&amp;$K755)))&gt;0,"CERCANA","NACIONAL"))</f>
        <v/>
      </c>
      <c r="O755" s="39">
        <f>IF($B755="","",IF(COUNTIFS(NOVEDADES!$C$4:$C$2003,$B755)=0,"—","SÍ ("&amp;COUNTIFS(NOVEDADES!$C$4:$C$2003,$B755)&amp;")"))</f>
        <v/>
      </c>
    </row>
    <row r="756">
      <c r="A756" s="41" t="n"/>
      <c r="B756" s="41" t="n"/>
      <c r="C756" s="41" t="n"/>
      <c r="D756" s="41" t="n"/>
      <c r="E756" s="46" t="n"/>
      <c r="F756" s="41" t="n"/>
      <c r="G756" s="41" t="n"/>
      <c r="H756" s="41" t="n"/>
      <c r="I756" s="41" t="n"/>
      <c r="J756" s="47" t="n"/>
      <c r="K756" s="41" t="n"/>
      <c r="L756" s="48" t="n"/>
      <c r="M756" s="45" t="n"/>
      <c r="N756" s="39">
        <f>IF($B756="","",IF(SUMPRODUCT((LISTAS!$O$3:$O$42&lt;&gt;"")*ISNUMBER(SEARCH(LISTAS!$O$3:$O$42,$I756&amp;" "&amp;$K756)))&gt;0,"CERCANA","NACIONAL"))</f>
        <v/>
      </c>
      <c r="O756" s="39">
        <f>IF($B756="","",IF(COUNTIFS(NOVEDADES!$C$4:$C$2003,$B756)=0,"—","SÍ ("&amp;COUNTIFS(NOVEDADES!$C$4:$C$2003,$B756)&amp;")"))</f>
        <v/>
      </c>
    </row>
    <row r="757">
      <c r="A757" s="41" t="n"/>
      <c r="B757" s="41" t="n"/>
      <c r="C757" s="41" t="n"/>
      <c r="D757" s="41" t="n"/>
      <c r="E757" s="46" t="n"/>
      <c r="F757" s="41" t="n"/>
      <c r="G757" s="41" t="n"/>
      <c r="H757" s="41" t="n"/>
      <c r="I757" s="41" t="n"/>
      <c r="J757" s="47" t="n"/>
      <c r="K757" s="41" t="n"/>
      <c r="L757" s="48" t="n"/>
      <c r="M757" s="45" t="n"/>
      <c r="N757" s="39">
        <f>IF($B757="","",IF(SUMPRODUCT((LISTAS!$O$3:$O$42&lt;&gt;"")*ISNUMBER(SEARCH(LISTAS!$O$3:$O$42,$I757&amp;" "&amp;$K757)))&gt;0,"CERCANA","NACIONAL"))</f>
        <v/>
      </c>
      <c r="O757" s="39">
        <f>IF($B757="","",IF(COUNTIFS(NOVEDADES!$C$4:$C$2003,$B757)=0,"—","SÍ ("&amp;COUNTIFS(NOVEDADES!$C$4:$C$2003,$B757)&amp;")"))</f>
        <v/>
      </c>
    </row>
    <row r="758">
      <c r="A758" s="41" t="n"/>
      <c r="B758" s="41" t="n"/>
      <c r="C758" s="41" t="n"/>
      <c r="D758" s="41" t="n"/>
      <c r="E758" s="46" t="n"/>
      <c r="F758" s="41" t="n"/>
      <c r="G758" s="41" t="n"/>
      <c r="H758" s="41" t="n"/>
      <c r="I758" s="41" t="n"/>
      <c r="J758" s="47" t="n"/>
      <c r="K758" s="41" t="n"/>
      <c r="L758" s="48" t="n"/>
      <c r="M758" s="45" t="n"/>
      <c r="N758" s="39">
        <f>IF($B758="","",IF(SUMPRODUCT((LISTAS!$O$3:$O$42&lt;&gt;"")*ISNUMBER(SEARCH(LISTAS!$O$3:$O$42,$I758&amp;" "&amp;$K758)))&gt;0,"CERCANA","NACIONAL"))</f>
        <v/>
      </c>
      <c r="O758" s="39">
        <f>IF($B758="","",IF(COUNTIFS(NOVEDADES!$C$4:$C$2003,$B758)=0,"—","SÍ ("&amp;COUNTIFS(NOVEDADES!$C$4:$C$2003,$B758)&amp;")"))</f>
        <v/>
      </c>
    </row>
    <row r="759">
      <c r="A759" s="41" t="n"/>
      <c r="B759" s="41" t="n"/>
      <c r="C759" s="41" t="n"/>
      <c r="D759" s="41" t="n"/>
      <c r="E759" s="46" t="n"/>
      <c r="F759" s="41" t="n"/>
      <c r="G759" s="41" t="n"/>
      <c r="H759" s="41" t="n"/>
      <c r="I759" s="41" t="n"/>
      <c r="J759" s="47" t="n"/>
      <c r="K759" s="41" t="n"/>
      <c r="L759" s="48" t="n"/>
      <c r="M759" s="45" t="n"/>
      <c r="N759" s="39">
        <f>IF($B759="","",IF(SUMPRODUCT((LISTAS!$O$3:$O$42&lt;&gt;"")*ISNUMBER(SEARCH(LISTAS!$O$3:$O$42,$I759&amp;" "&amp;$K759)))&gt;0,"CERCANA","NACIONAL"))</f>
        <v/>
      </c>
      <c r="O759" s="39">
        <f>IF($B759="","",IF(COUNTIFS(NOVEDADES!$C$4:$C$2003,$B759)=0,"—","SÍ ("&amp;COUNTIFS(NOVEDADES!$C$4:$C$2003,$B759)&amp;")"))</f>
        <v/>
      </c>
    </row>
    <row r="760">
      <c r="A760" s="41" t="n"/>
      <c r="B760" s="41" t="n"/>
      <c r="C760" s="41" t="n"/>
      <c r="D760" s="41" t="n"/>
      <c r="E760" s="46" t="n"/>
      <c r="F760" s="41" t="n"/>
      <c r="G760" s="41" t="n"/>
      <c r="H760" s="41" t="n"/>
      <c r="I760" s="41" t="n"/>
      <c r="J760" s="47" t="n"/>
      <c r="K760" s="41" t="n"/>
      <c r="L760" s="48" t="n"/>
      <c r="M760" s="45" t="n"/>
      <c r="N760" s="39">
        <f>IF($B760="","",IF(SUMPRODUCT((LISTAS!$O$3:$O$42&lt;&gt;"")*ISNUMBER(SEARCH(LISTAS!$O$3:$O$42,$I760&amp;" "&amp;$K760)))&gt;0,"CERCANA","NACIONAL"))</f>
        <v/>
      </c>
      <c r="O760" s="39">
        <f>IF($B760="","",IF(COUNTIFS(NOVEDADES!$C$4:$C$2003,$B760)=0,"—","SÍ ("&amp;COUNTIFS(NOVEDADES!$C$4:$C$2003,$B760)&amp;")"))</f>
        <v/>
      </c>
    </row>
    <row r="761">
      <c r="A761" s="41" t="n"/>
      <c r="B761" s="41" t="n"/>
      <c r="C761" s="41" t="n"/>
      <c r="D761" s="41" t="n"/>
      <c r="E761" s="46" t="n"/>
      <c r="F761" s="41" t="n"/>
      <c r="G761" s="41" t="n"/>
      <c r="H761" s="41" t="n"/>
      <c r="I761" s="41" t="n"/>
      <c r="J761" s="47" t="n"/>
      <c r="K761" s="41" t="n"/>
      <c r="L761" s="48" t="n"/>
      <c r="M761" s="45" t="n"/>
      <c r="N761" s="39">
        <f>IF($B761="","",IF(SUMPRODUCT((LISTAS!$O$3:$O$42&lt;&gt;"")*ISNUMBER(SEARCH(LISTAS!$O$3:$O$42,$I761&amp;" "&amp;$K761)))&gt;0,"CERCANA","NACIONAL"))</f>
        <v/>
      </c>
      <c r="O761" s="39">
        <f>IF($B761="","",IF(COUNTIFS(NOVEDADES!$C$4:$C$2003,$B761)=0,"—","SÍ ("&amp;COUNTIFS(NOVEDADES!$C$4:$C$2003,$B761)&amp;")"))</f>
        <v/>
      </c>
    </row>
    <row r="762">
      <c r="A762" s="41" t="n"/>
      <c r="B762" s="41" t="n"/>
      <c r="C762" s="41" t="n"/>
      <c r="D762" s="41" t="n"/>
      <c r="E762" s="46" t="n"/>
      <c r="F762" s="41" t="n"/>
      <c r="G762" s="41" t="n"/>
      <c r="H762" s="41" t="n"/>
      <c r="I762" s="41" t="n"/>
      <c r="J762" s="47" t="n"/>
      <c r="K762" s="41" t="n"/>
      <c r="L762" s="48" t="n"/>
      <c r="M762" s="45" t="n"/>
      <c r="N762" s="39">
        <f>IF($B762="","",IF(SUMPRODUCT((LISTAS!$O$3:$O$42&lt;&gt;"")*ISNUMBER(SEARCH(LISTAS!$O$3:$O$42,$I762&amp;" "&amp;$K762)))&gt;0,"CERCANA","NACIONAL"))</f>
        <v/>
      </c>
      <c r="O762" s="39">
        <f>IF($B762="","",IF(COUNTIFS(NOVEDADES!$C$4:$C$2003,$B762)=0,"—","SÍ ("&amp;COUNTIFS(NOVEDADES!$C$4:$C$2003,$B762)&amp;")"))</f>
        <v/>
      </c>
    </row>
    <row r="763">
      <c r="A763" s="41" t="n"/>
      <c r="B763" s="41" t="n"/>
      <c r="C763" s="41" t="n"/>
      <c r="D763" s="41" t="n"/>
      <c r="E763" s="46" t="n"/>
      <c r="F763" s="41" t="n"/>
      <c r="G763" s="41" t="n"/>
      <c r="H763" s="41" t="n"/>
      <c r="I763" s="41" t="n"/>
      <c r="J763" s="47" t="n"/>
      <c r="K763" s="41" t="n"/>
      <c r="L763" s="48" t="n"/>
      <c r="M763" s="45" t="n"/>
      <c r="N763" s="39">
        <f>IF($B763="","",IF(SUMPRODUCT((LISTAS!$O$3:$O$42&lt;&gt;"")*ISNUMBER(SEARCH(LISTAS!$O$3:$O$42,$I763&amp;" "&amp;$K763)))&gt;0,"CERCANA","NACIONAL"))</f>
        <v/>
      </c>
      <c r="O763" s="39">
        <f>IF($B763="","",IF(COUNTIFS(NOVEDADES!$C$4:$C$2003,$B763)=0,"—","SÍ ("&amp;COUNTIFS(NOVEDADES!$C$4:$C$2003,$B763)&amp;")"))</f>
        <v/>
      </c>
    </row>
    <row r="764">
      <c r="A764" s="41" t="n"/>
      <c r="B764" s="41" t="n"/>
      <c r="C764" s="41" t="n"/>
      <c r="D764" s="41" t="n"/>
      <c r="E764" s="46" t="n"/>
      <c r="F764" s="41" t="n"/>
      <c r="G764" s="41" t="n"/>
      <c r="H764" s="41" t="n"/>
      <c r="I764" s="41" t="n"/>
      <c r="J764" s="47" t="n"/>
      <c r="K764" s="41" t="n"/>
      <c r="L764" s="48" t="n"/>
      <c r="M764" s="45" t="n"/>
      <c r="N764" s="39">
        <f>IF($B764="","",IF(SUMPRODUCT((LISTAS!$O$3:$O$42&lt;&gt;"")*ISNUMBER(SEARCH(LISTAS!$O$3:$O$42,$I764&amp;" "&amp;$K764)))&gt;0,"CERCANA","NACIONAL"))</f>
        <v/>
      </c>
      <c r="O764" s="39">
        <f>IF($B764="","",IF(COUNTIFS(NOVEDADES!$C$4:$C$2003,$B764)=0,"—","SÍ ("&amp;COUNTIFS(NOVEDADES!$C$4:$C$2003,$B764)&amp;")"))</f>
        <v/>
      </c>
    </row>
    <row r="765">
      <c r="A765" s="41" t="n"/>
      <c r="B765" s="41" t="n"/>
      <c r="C765" s="41" t="n"/>
      <c r="D765" s="41" t="n"/>
      <c r="E765" s="46" t="n"/>
      <c r="F765" s="41" t="n"/>
      <c r="G765" s="41" t="n"/>
      <c r="H765" s="41" t="n"/>
      <c r="I765" s="41" t="n"/>
      <c r="J765" s="47" t="n"/>
      <c r="K765" s="41" t="n"/>
      <c r="L765" s="48" t="n"/>
      <c r="M765" s="45" t="n"/>
      <c r="N765" s="39">
        <f>IF($B765="","",IF(SUMPRODUCT((LISTAS!$O$3:$O$42&lt;&gt;"")*ISNUMBER(SEARCH(LISTAS!$O$3:$O$42,$I765&amp;" "&amp;$K765)))&gt;0,"CERCANA","NACIONAL"))</f>
        <v/>
      </c>
      <c r="O765" s="39">
        <f>IF($B765="","",IF(COUNTIFS(NOVEDADES!$C$4:$C$2003,$B765)=0,"—","SÍ ("&amp;COUNTIFS(NOVEDADES!$C$4:$C$2003,$B765)&amp;")"))</f>
        <v/>
      </c>
    </row>
    <row r="766">
      <c r="A766" s="41" t="n"/>
      <c r="B766" s="41" t="n"/>
      <c r="C766" s="41" t="n"/>
      <c r="D766" s="41" t="n"/>
      <c r="E766" s="46" t="n"/>
      <c r="F766" s="41" t="n"/>
      <c r="G766" s="41" t="n"/>
      <c r="H766" s="41" t="n"/>
      <c r="I766" s="41" t="n"/>
      <c r="J766" s="47" t="n"/>
      <c r="K766" s="41" t="n"/>
      <c r="L766" s="48" t="n"/>
      <c r="M766" s="45" t="n"/>
      <c r="N766" s="39">
        <f>IF($B766="","",IF(SUMPRODUCT((LISTAS!$O$3:$O$42&lt;&gt;"")*ISNUMBER(SEARCH(LISTAS!$O$3:$O$42,$I766&amp;" "&amp;$K766)))&gt;0,"CERCANA","NACIONAL"))</f>
        <v/>
      </c>
      <c r="O766" s="39">
        <f>IF($B766="","",IF(COUNTIFS(NOVEDADES!$C$4:$C$2003,$B766)=0,"—","SÍ ("&amp;COUNTIFS(NOVEDADES!$C$4:$C$2003,$B766)&amp;")"))</f>
        <v/>
      </c>
    </row>
    <row r="767">
      <c r="A767" s="41" t="n"/>
      <c r="B767" s="41" t="n"/>
      <c r="C767" s="41" t="n"/>
      <c r="D767" s="41" t="n"/>
      <c r="E767" s="46" t="n"/>
      <c r="F767" s="41" t="n"/>
      <c r="G767" s="41" t="n"/>
      <c r="H767" s="41" t="n"/>
      <c r="I767" s="41" t="n"/>
      <c r="J767" s="47" t="n"/>
      <c r="K767" s="41" t="n"/>
      <c r="L767" s="48" t="n"/>
      <c r="M767" s="45" t="n"/>
      <c r="N767" s="39">
        <f>IF($B767="","",IF(SUMPRODUCT((LISTAS!$O$3:$O$42&lt;&gt;"")*ISNUMBER(SEARCH(LISTAS!$O$3:$O$42,$I767&amp;" "&amp;$K767)))&gt;0,"CERCANA","NACIONAL"))</f>
        <v/>
      </c>
      <c r="O767" s="39">
        <f>IF($B767="","",IF(COUNTIFS(NOVEDADES!$C$4:$C$2003,$B767)=0,"—","SÍ ("&amp;COUNTIFS(NOVEDADES!$C$4:$C$2003,$B767)&amp;")"))</f>
        <v/>
      </c>
    </row>
    <row r="768">
      <c r="A768" s="41" t="n"/>
      <c r="B768" s="41" t="n"/>
      <c r="C768" s="41" t="n"/>
      <c r="D768" s="41" t="n"/>
      <c r="E768" s="46" t="n"/>
      <c r="F768" s="41" t="n"/>
      <c r="G768" s="41" t="n"/>
      <c r="H768" s="41" t="n"/>
      <c r="I768" s="41" t="n"/>
      <c r="J768" s="47" t="n"/>
      <c r="K768" s="41" t="n"/>
      <c r="L768" s="48" t="n"/>
      <c r="M768" s="45" t="n"/>
      <c r="N768" s="39">
        <f>IF($B768="","",IF(SUMPRODUCT((LISTAS!$O$3:$O$42&lt;&gt;"")*ISNUMBER(SEARCH(LISTAS!$O$3:$O$42,$I768&amp;" "&amp;$K768)))&gt;0,"CERCANA","NACIONAL"))</f>
        <v/>
      </c>
      <c r="O768" s="39">
        <f>IF($B768="","",IF(COUNTIFS(NOVEDADES!$C$4:$C$2003,$B768)=0,"—","SÍ ("&amp;COUNTIFS(NOVEDADES!$C$4:$C$2003,$B768)&amp;")"))</f>
        <v/>
      </c>
    </row>
    <row r="769">
      <c r="A769" s="41" t="n"/>
      <c r="B769" s="41" t="n"/>
      <c r="C769" s="41" t="n"/>
      <c r="D769" s="41" t="n"/>
      <c r="E769" s="46" t="n"/>
      <c r="F769" s="41" t="n"/>
      <c r="G769" s="41" t="n"/>
      <c r="H769" s="41" t="n"/>
      <c r="I769" s="41" t="n"/>
      <c r="J769" s="47" t="n"/>
      <c r="K769" s="41" t="n"/>
      <c r="L769" s="48" t="n"/>
      <c r="M769" s="45" t="n"/>
      <c r="N769" s="39">
        <f>IF($B769="","",IF(SUMPRODUCT((LISTAS!$O$3:$O$42&lt;&gt;"")*ISNUMBER(SEARCH(LISTAS!$O$3:$O$42,$I769&amp;" "&amp;$K769)))&gt;0,"CERCANA","NACIONAL"))</f>
        <v/>
      </c>
      <c r="O769" s="39">
        <f>IF($B769="","",IF(COUNTIFS(NOVEDADES!$C$4:$C$2003,$B769)=0,"—","SÍ ("&amp;COUNTIFS(NOVEDADES!$C$4:$C$2003,$B769)&amp;")"))</f>
        <v/>
      </c>
    </row>
    <row r="770">
      <c r="A770" s="41" t="n"/>
      <c r="B770" s="41" t="n"/>
      <c r="C770" s="41" t="n"/>
      <c r="D770" s="41" t="n"/>
      <c r="E770" s="46" t="n"/>
      <c r="F770" s="41" t="n"/>
      <c r="G770" s="41" t="n"/>
      <c r="H770" s="41" t="n"/>
      <c r="I770" s="41" t="n"/>
      <c r="J770" s="47" t="n"/>
      <c r="K770" s="41" t="n"/>
      <c r="L770" s="48" t="n"/>
      <c r="M770" s="45" t="n"/>
      <c r="N770" s="39">
        <f>IF($B770="","",IF(SUMPRODUCT((LISTAS!$O$3:$O$42&lt;&gt;"")*ISNUMBER(SEARCH(LISTAS!$O$3:$O$42,$I770&amp;" "&amp;$K770)))&gt;0,"CERCANA","NACIONAL"))</f>
        <v/>
      </c>
      <c r="O770" s="39">
        <f>IF($B770="","",IF(COUNTIFS(NOVEDADES!$C$4:$C$2003,$B770)=0,"—","SÍ ("&amp;COUNTIFS(NOVEDADES!$C$4:$C$2003,$B770)&amp;")"))</f>
        <v/>
      </c>
    </row>
    <row r="771">
      <c r="A771" s="41" t="n"/>
      <c r="B771" s="41" t="n"/>
      <c r="C771" s="41" t="n"/>
      <c r="D771" s="41" t="n"/>
      <c r="E771" s="46" t="n"/>
      <c r="F771" s="41" t="n"/>
      <c r="G771" s="41" t="n"/>
      <c r="H771" s="41" t="n"/>
      <c r="I771" s="41" t="n"/>
      <c r="J771" s="47" t="n"/>
      <c r="K771" s="41" t="n"/>
      <c r="L771" s="48" t="n"/>
      <c r="M771" s="45" t="n"/>
      <c r="N771" s="39">
        <f>IF($B771="","",IF(SUMPRODUCT((LISTAS!$O$3:$O$42&lt;&gt;"")*ISNUMBER(SEARCH(LISTAS!$O$3:$O$42,$I771&amp;" "&amp;$K771)))&gt;0,"CERCANA","NACIONAL"))</f>
        <v/>
      </c>
      <c r="O771" s="39">
        <f>IF($B771="","",IF(COUNTIFS(NOVEDADES!$C$4:$C$2003,$B771)=0,"—","SÍ ("&amp;COUNTIFS(NOVEDADES!$C$4:$C$2003,$B771)&amp;")"))</f>
        <v/>
      </c>
    </row>
    <row r="772">
      <c r="A772" s="41" t="n"/>
      <c r="B772" s="41" t="n"/>
      <c r="C772" s="41" t="n"/>
      <c r="D772" s="41" t="n"/>
      <c r="E772" s="46" t="n"/>
      <c r="F772" s="41" t="n"/>
      <c r="G772" s="41" t="n"/>
      <c r="H772" s="41" t="n"/>
      <c r="I772" s="41" t="n"/>
      <c r="J772" s="47" t="n"/>
      <c r="K772" s="41" t="n"/>
      <c r="L772" s="48" t="n"/>
      <c r="M772" s="45" t="n"/>
      <c r="N772" s="39">
        <f>IF($B772="","",IF(SUMPRODUCT((LISTAS!$O$3:$O$42&lt;&gt;"")*ISNUMBER(SEARCH(LISTAS!$O$3:$O$42,$I772&amp;" "&amp;$K772)))&gt;0,"CERCANA","NACIONAL"))</f>
        <v/>
      </c>
      <c r="O772" s="39">
        <f>IF($B772="","",IF(COUNTIFS(NOVEDADES!$C$4:$C$2003,$B772)=0,"—","SÍ ("&amp;COUNTIFS(NOVEDADES!$C$4:$C$2003,$B772)&amp;")"))</f>
        <v/>
      </c>
    </row>
    <row r="773">
      <c r="A773" s="41" t="n"/>
      <c r="B773" s="41" t="n"/>
      <c r="C773" s="41" t="n"/>
      <c r="D773" s="41" t="n"/>
      <c r="E773" s="46" t="n"/>
      <c r="F773" s="41" t="n"/>
      <c r="G773" s="41" t="n"/>
      <c r="H773" s="41" t="n"/>
      <c r="I773" s="41" t="n"/>
      <c r="J773" s="47" t="n"/>
      <c r="K773" s="41" t="n"/>
      <c r="L773" s="48" t="n"/>
      <c r="M773" s="45" t="n"/>
      <c r="N773" s="39">
        <f>IF($B773="","",IF(SUMPRODUCT((LISTAS!$O$3:$O$42&lt;&gt;"")*ISNUMBER(SEARCH(LISTAS!$O$3:$O$42,$I773&amp;" "&amp;$K773)))&gt;0,"CERCANA","NACIONAL"))</f>
        <v/>
      </c>
      <c r="O773" s="39">
        <f>IF($B773="","",IF(COUNTIFS(NOVEDADES!$C$4:$C$2003,$B773)=0,"—","SÍ ("&amp;COUNTIFS(NOVEDADES!$C$4:$C$2003,$B773)&amp;")"))</f>
        <v/>
      </c>
    </row>
    <row r="774">
      <c r="A774" s="41" t="n"/>
      <c r="B774" s="41" t="n"/>
      <c r="C774" s="41" t="n"/>
      <c r="D774" s="41" t="n"/>
      <c r="E774" s="46" t="n"/>
      <c r="F774" s="41" t="n"/>
      <c r="G774" s="41" t="n"/>
      <c r="H774" s="41" t="n"/>
      <c r="I774" s="41" t="n"/>
      <c r="J774" s="47" t="n"/>
      <c r="K774" s="41" t="n"/>
      <c r="L774" s="48" t="n"/>
      <c r="M774" s="45" t="n"/>
      <c r="N774" s="39">
        <f>IF($B774="","",IF(SUMPRODUCT((LISTAS!$O$3:$O$42&lt;&gt;"")*ISNUMBER(SEARCH(LISTAS!$O$3:$O$42,$I774&amp;" "&amp;$K774)))&gt;0,"CERCANA","NACIONAL"))</f>
        <v/>
      </c>
      <c r="O774" s="39">
        <f>IF($B774="","",IF(COUNTIFS(NOVEDADES!$C$4:$C$2003,$B774)=0,"—","SÍ ("&amp;COUNTIFS(NOVEDADES!$C$4:$C$2003,$B774)&amp;")"))</f>
        <v/>
      </c>
    </row>
    <row r="775">
      <c r="A775" s="41" t="n"/>
      <c r="B775" s="41" t="n"/>
      <c r="C775" s="41" t="n"/>
      <c r="D775" s="41" t="n"/>
      <c r="E775" s="46" t="n"/>
      <c r="F775" s="41" t="n"/>
      <c r="G775" s="41" t="n"/>
      <c r="H775" s="41" t="n"/>
      <c r="I775" s="41" t="n"/>
      <c r="J775" s="47" t="n"/>
      <c r="K775" s="41" t="n"/>
      <c r="L775" s="48" t="n"/>
      <c r="M775" s="45" t="n"/>
      <c r="N775" s="39">
        <f>IF($B775="","",IF(SUMPRODUCT((LISTAS!$O$3:$O$42&lt;&gt;"")*ISNUMBER(SEARCH(LISTAS!$O$3:$O$42,$I775&amp;" "&amp;$K775)))&gt;0,"CERCANA","NACIONAL"))</f>
        <v/>
      </c>
      <c r="O775" s="39">
        <f>IF($B775="","",IF(COUNTIFS(NOVEDADES!$C$4:$C$2003,$B775)=0,"—","SÍ ("&amp;COUNTIFS(NOVEDADES!$C$4:$C$2003,$B775)&amp;")"))</f>
        <v/>
      </c>
    </row>
    <row r="776">
      <c r="A776" s="41" t="n"/>
      <c r="B776" s="41" t="n"/>
      <c r="C776" s="41" t="n"/>
      <c r="D776" s="41" t="n"/>
      <c r="E776" s="46" t="n"/>
      <c r="F776" s="41" t="n"/>
      <c r="G776" s="41" t="n"/>
      <c r="H776" s="41" t="n"/>
      <c r="I776" s="41" t="n"/>
      <c r="J776" s="47" t="n"/>
      <c r="K776" s="41" t="n"/>
      <c r="L776" s="48" t="n"/>
      <c r="M776" s="45" t="n"/>
      <c r="N776" s="39">
        <f>IF($B776="","",IF(SUMPRODUCT((LISTAS!$O$3:$O$42&lt;&gt;"")*ISNUMBER(SEARCH(LISTAS!$O$3:$O$42,$I776&amp;" "&amp;$K776)))&gt;0,"CERCANA","NACIONAL"))</f>
        <v/>
      </c>
      <c r="O776" s="39">
        <f>IF($B776="","",IF(COUNTIFS(NOVEDADES!$C$4:$C$2003,$B776)=0,"—","SÍ ("&amp;COUNTIFS(NOVEDADES!$C$4:$C$2003,$B776)&amp;")"))</f>
        <v/>
      </c>
    </row>
    <row r="777">
      <c r="A777" s="41" t="n"/>
      <c r="B777" s="41" t="n"/>
      <c r="C777" s="41" t="n"/>
      <c r="D777" s="41" t="n"/>
      <c r="E777" s="46" t="n"/>
      <c r="F777" s="41" t="n"/>
      <c r="G777" s="41" t="n"/>
      <c r="H777" s="41" t="n"/>
      <c r="I777" s="41" t="n"/>
      <c r="J777" s="47" t="n"/>
      <c r="K777" s="41" t="n"/>
      <c r="L777" s="48" t="n"/>
      <c r="M777" s="45" t="n"/>
      <c r="N777" s="39">
        <f>IF($B777="","",IF(SUMPRODUCT((LISTAS!$O$3:$O$42&lt;&gt;"")*ISNUMBER(SEARCH(LISTAS!$O$3:$O$42,$I777&amp;" "&amp;$K777)))&gt;0,"CERCANA","NACIONAL"))</f>
        <v/>
      </c>
      <c r="O777" s="39">
        <f>IF($B777="","",IF(COUNTIFS(NOVEDADES!$C$4:$C$2003,$B777)=0,"—","SÍ ("&amp;COUNTIFS(NOVEDADES!$C$4:$C$2003,$B777)&amp;")"))</f>
        <v/>
      </c>
    </row>
    <row r="778">
      <c r="A778" s="41" t="n"/>
      <c r="B778" s="41" t="n"/>
      <c r="C778" s="41" t="n"/>
      <c r="D778" s="41" t="n"/>
      <c r="E778" s="46" t="n"/>
      <c r="F778" s="41" t="n"/>
      <c r="G778" s="41" t="n"/>
      <c r="H778" s="41" t="n"/>
      <c r="I778" s="41" t="n"/>
      <c r="J778" s="47" t="n"/>
      <c r="K778" s="41" t="n"/>
      <c r="L778" s="48" t="n"/>
      <c r="M778" s="45" t="n"/>
      <c r="N778" s="39">
        <f>IF($B778="","",IF(SUMPRODUCT((LISTAS!$O$3:$O$42&lt;&gt;"")*ISNUMBER(SEARCH(LISTAS!$O$3:$O$42,$I778&amp;" "&amp;$K778)))&gt;0,"CERCANA","NACIONAL"))</f>
        <v/>
      </c>
      <c r="O778" s="39">
        <f>IF($B778="","",IF(COUNTIFS(NOVEDADES!$C$4:$C$2003,$B778)=0,"—","SÍ ("&amp;COUNTIFS(NOVEDADES!$C$4:$C$2003,$B778)&amp;")"))</f>
        <v/>
      </c>
    </row>
    <row r="779">
      <c r="A779" s="41" t="n"/>
      <c r="B779" s="41" t="n"/>
      <c r="C779" s="41" t="n"/>
      <c r="D779" s="41" t="n"/>
      <c r="E779" s="46" t="n"/>
      <c r="F779" s="41" t="n"/>
      <c r="G779" s="41" t="n"/>
      <c r="H779" s="41" t="n"/>
      <c r="I779" s="41" t="n"/>
      <c r="J779" s="47" t="n"/>
      <c r="K779" s="41" t="n"/>
      <c r="L779" s="48" t="n"/>
      <c r="M779" s="45" t="n"/>
      <c r="N779" s="39">
        <f>IF($B779="","",IF(SUMPRODUCT((LISTAS!$O$3:$O$42&lt;&gt;"")*ISNUMBER(SEARCH(LISTAS!$O$3:$O$42,$I779&amp;" "&amp;$K779)))&gt;0,"CERCANA","NACIONAL"))</f>
        <v/>
      </c>
      <c r="O779" s="39">
        <f>IF($B779="","",IF(COUNTIFS(NOVEDADES!$C$4:$C$2003,$B779)=0,"—","SÍ ("&amp;COUNTIFS(NOVEDADES!$C$4:$C$2003,$B779)&amp;")"))</f>
        <v/>
      </c>
    </row>
    <row r="780">
      <c r="A780" s="41" t="n"/>
      <c r="B780" s="41" t="n"/>
      <c r="C780" s="41" t="n"/>
      <c r="D780" s="41" t="n"/>
      <c r="E780" s="46" t="n"/>
      <c r="F780" s="41" t="n"/>
      <c r="G780" s="41" t="n"/>
      <c r="H780" s="41" t="n"/>
      <c r="I780" s="41" t="n"/>
      <c r="J780" s="47" t="n"/>
      <c r="K780" s="41" t="n"/>
      <c r="L780" s="48" t="n"/>
      <c r="M780" s="45" t="n"/>
      <c r="N780" s="39">
        <f>IF($B780="","",IF(SUMPRODUCT((LISTAS!$O$3:$O$42&lt;&gt;"")*ISNUMBER(SEARCH(LISTAS!$O$3:$O$42,$I780&amp;" "&amp;$K780)))&gt;0,"CERCANA","NACIONAL"))</f>
        <v/>
      </c>
      <c r="O780" s="39">
        <f>IF($B780="","",IF(COUNTIFS(NOVEDADES!$C$4:$C$2003,$B780)=0,"—","SÍ ("&amp;COUNTIFS(NOVEDADES!$C$4:$C$2003,$B780)&amp;")"))</f>
        <v/>
      </c>
    </row>
    <row r="781">
      <c r="A781" s="41" t="n"/>
      <c r="B781" s="41" t="n"/>
      <c r="C781" s="41" t="n"/>
      <c r="D781" s="41" t="n"/>
      <c r="E781" s="46" t="n"/>
      <c r="F781" s="41" t="n"/>
      <c r="G781" s="41" t="n"/>
      <c r="H781" s="41" t="n"/>
      <c r="I781" s="41" t="n"/>
      <c r="J781" s="47" t="n"/>
      <c r="K781" s="41" t="n"/>
      <c r="L781" s="48" t="n"/>
      <c r="M781" s="45" t="n"/>
      <c r="N781" s="39">
        <f>IF($B781="","",IF(SUMPRODUCT((LISTAS!$O$3:$O$42&lt;&gt;"")*ISNUMBER(SEARCH(LISTAS!$O$3:$O$42,$I781&amp;" "&amp;$K781)))&gt;0,"CERCANA","NACIONAL"))</f>
        <v/>
      </c>
      <c r="O781" s="39">
        <f>IF($B781="","",IF(COUNTIFS(NOVEDADES!$C$4:$C$2003,$B781)=0,"—","SÍ ("&amp;COUNTIFS(NOVEDADES!$C$4:$C$2003,$B781)&amp;")"))</f>
        <v/>
      </c>
    </row>
    <row r="782">
      <c r="A782" s="41" t="n"/>
      <c r="B782" s="41" t="n"/>
      <c r="C782" s="41" t="n"/>
      <c r="D782" s="41" t="n"/>
      <c r="E782" s="46" t="n"/>
      <c r="F782" s="41" t="n"/>
      <c r="G782" s="41" t="n"/>
      <c r="H782" s="41" t="n"/>
      <c r="I782" s="41" t="n"/>
      <c r="J782" s="47" t="n"/>
      <c r="K782" s="41" t="n"/>
      <c r="L782" s="48" t="n"/>
      <c r="M782" s="45" t="n"/>
      <c r="N782" s="39">
        <f>IF($B782="","",IF(SUMPRODUCT((LISTAS!$O$3:$O$42&lt;&gt;"")*ISNUMBER(SEARCH(LISTAS!$O$3:$O$42,$I782&amp;" "&amp;$K782)))&gt;0,"CERCANA","NACIONAL"))</f>
        <v/>
      </c>
      <c r="O782" s="39">
        <f>IF($B782="","",IF(COUNTIFS(NOVEDADES!$C$4:$C$2003,$B782)=0,"—","SÍ ("&amp;COUNTIFS(NOVEDADES!$C$4:$C$2003,$B782)&amp;")"))</f>
        <v/>
      </c>
    </row>
    <row r="783">
      <c r="A783" s="41" t="n"/>
      <c r="B783" s="41" t="n"/>
      <c r="C783" s="41" t="n"/>
      <c r="D783" s="41" t="n"/>
      <c r="E783" s="46" t="n"/>
      <c r="F783" s="41" t="n"/>
      <c r="G783" s="41" t="n"/>
      <c r="H783" s="41" t="n"/>
      <c r="I783" s="41" t="n"/>
      <c r="J783" s="47" t="n"/>
      <c r="K783" s="41" t="n"/>
      <c r="L783" s="48" t="n"/>
      <c r="M783" s="45" t="n"/>
      <c r="N783" s="39">
        <f>IF($B783="","",IF(SUMPRODUCT((LISTAS!$O$3:$O$42&lt;&gt;"")*ISNUMBER(SEARCH(LISTAS!$O$3:$O$42,$I783&amp;" "&amp;$K783)))&gt;0,"CERCANA","NACIONAL"))</f>
        <v/>
      </c>
      <c r="O783" s="39">
        <f>IF($B783="","",IF(COUNTIFS(NOVEDADES!$C$4:$C$2003,$B783)=0,"—","SÍ ("&amp;COUNTIFS(NOVEDADES!$C$4:$C$2003,$B783)&amp;")"))</f>
        <v/>
      </c>
    </row>
    <row r="784">
      <c r="A784" s="41" t="n"/>
      <c r="B784" s="41" t="n"/>
      <c r="C784" s="41" t="n"/>
      <c r="D784" s="41" t="n"/>
      <c r="E784" s="46" t="n"/>
      <c r="F784" s="41" t="n"/>
      <c r="G784" s="41" t="n"/>
      <c r="H784" s="41" t="n"/>
      <c r="I784" s="41" t="n"/>
      <c r="J784" s="47" t="n"/>
      <c r="K784" s="41" t="n"/>
      <c r="L784" s="48" t="n"/>
      <c r="M784" s="45" t="n"/>
      <c r="N784" s="39">
        <f>IF($B784="","",IF(SUMPRODUCT((LISTAS!$O$3:$O$42&lt;&gt;"")*ISNUMBER(SEARCH(LISTAS!$O$3:$O$42,$I784&amp;" "&amp;$K784)))&gt;0,"CERCANA","NACIONAL"))</f>
        <v/>
      </c>
      <c r="O784" s="39">
        <f>IF($B784="","",IF(COUNTIFS(NOVEDADES!$C$4:$C$2003,$B784)=0,"—","SÍ ("&amp;COUNTIFS(NOVEDADES!$C$4:$C$2003,$B784)&amp;")"))</f>
        <v/>
      </c>
    </row>
    <row r="785">
      <c r="A785" s="41" t="n"/>
      <c r="B785" s="41" t="n"/>
      <c r="C785" s="41" t="n"/>
      <c r="D785" s="41" t="n"/>
      <c r="E785" s="46" t="n"/>
      <c r="F785" s="41" t="n"/>
      <c r="G785" s="41" t="n"/>
      <c r="H785" s="41" t="n"/>
      <c r="I785" s="41" t="n"/>
      <c r="J785" s="47" t="n"/>
      <c r="K785" s="41" t="n"/>
      <c r="L785" s="48" t="n"/>
      <c r="M785" s="45" t="n"/>
      <c r="N785" s="39">
        <f>IF($B785="","",IF(SUMPRODUCT((LISTAS!$O$3:$O$42&lt;&gt;"")*ISNUMBER(SEARCH(LISTAS!$O$3:$O$42,$I785&amp;" "&amp;$K785)))&gt;0,"CERCANA","NACIONAL"))</f>
        <v/>
      </c>
      <c r="O785" s="39">
        <f>IF($B785="","",IF(COUNTIFS(NOVEDADES!$C$4:$C$2003,$B785)=0,"—","SÍ ("&amp;COUNTIFS(NOVEDADES!$C$4:$C$2003,$B785)&amp;")"))</f>
        <v/>
      </c>
    </row>
    <row r="786">
      <c r="A786" s="41" t="n"/>
      <c r="B786" s="41" t="n"/>
      <c r="C786" s="41" t="n"/>
      <c r="D786" s="41" t="n"/>
      <c r="E786" s="46" t="n"/>
      <c r="F786" s="41" t="n"/>
      <c r="G786" s="41" t="n"/>
      <c r="H786" s="41" t="n"/>
      <c r="I786" s="41" t="n"/>
      <c r="J786" s="47" t="n"/>
      <c r="K786" s="41" t="n"/>
      <c r="L786" s="48" t="n"/>
      <c r="M786" s="45" t="n"/>
      <c r="N786" s="39">
        <f>IF($B786="","",IF(SUMPRODUCT((LISTAS!$O$3:$O$42&lt;&gt;"")*ISNUMBER(SEARCH(LISTAS!$O$3:$O$42,$I786&amp;" "&amp;$K786)))&gt;0,"CERCANA","NACIONAL"))</f>
        <v/>
      </c>
      <c r="O786" s="39">
        <f>IF($B786="","",IF(COUNTIFS(NOVEDADES!$C$4:$C$2003,$B786)=0,"—","SÍ ("&amp;COUNTIFS(NOVEDADES!$C$4:$C$2003,$B786)&amp;")"))</f>
        <v/>
      </c>
    </row>
    <row r="787">
      <c r="A787" s="41" t="n"/>
      <c r="B787" s="41" t="n"/>
      <c r="C787" s="41" t="n"/>
      <c r="D787" s="41" t="n"/>
      <c r="E787" s="46" t="n"/>
      <c r="F787" s="41" t="n"/>
      <c r="G787" s="41" t="n"/>
      <c r="H787" s="41" t="n"/>
      <c r="I787" s="41" t="n"/>
      <c r="J787" s="47" t="n"/>
      <c r="K787" s="41" t="n"/>
      <c r="L787" s="48" t="n"/>
      <c r="M787" s="45" t="n"/>
      <c r="N787" s="39">
        <f>IF($B787="","",IF(SUMPRODUCT((LISTAS!$O$3:$O$42&lt;&gt;"")*ISNUMBER(SEARCH(LISTAS!$O$3:$O$42,$I787&amp;" "&amp;$K787)))&gt;0,"CERCANA","NACIONAL"))</f>
        <v/>
      </c>
      <c r="O787" s="39">
        <f>IF($B787="","",IF(COUNTIFS(NOVEDADES!$C$4:$C$2003,$B787)=0,"—","SÍ ("&amp;COUNTIFS(NOVEDADES!$C$4:$C$2003,$B787)&amp;")"))</f>
        <v/>
      </c>
    </row>
    <row r="788">
      <c r="A788" s="41" t="n"/>
      <c r="B788" s="41" t="n"/>
      <c r="C788" s="41" t="n"/>
      <c r="D788" s="41" t="n"/>
      <c r="E788" s="46" t="n"/>
      <c r="F788" s="41" t="n"/>
      <c r="G788" s="41" t="n"/>
      <c r="H788" s="41" t="n"/>
      <c r="I788" s="41" t="n"/>
      <c r="J788" s="47" t="n"/>
      <c r="K788" s="41" t="n"/>
      <c r="L788" s="48" t="n"/>
      <c r="M788" s="45" t="n"/>
      <c r="N788" s="39">
        <f>IF($B788="","",IF(SUMPRODUCT((LISTAS!$O$3:$O$42&lt;&gt;"")*ISNUMBER(SEARCH(LISTAS!$O$3:$O$42,$I788&amp;" "&amp;$K788)))&gt;0,"CERCANA","NACIONAL"))</f>
        <v/>
      </c>
      <c r="O788" s="39">
        <f>IF($B788="","",IF(COUNTIFS(NOVEDADES!$C$4:$C$2003,$B788)=0,"—","SÍ ("&amp;COUNTIFS(NOVEDADES!$C$4:$C$2003,$B788)&amp;")"))</f>
        <v/>
      </c>
    </row>
    <row r="789">
      <c r="A789" s="41" t="n"/>
      <c r="B789" s="41" t="n"/>
      <c r="C789" s="41" t="n"/>
      <c r="D789" s="41" t="n"/>
      <c r="E789" s="46" t="n"/>
      <c r="F789" s="41" t="n"/>
      <c r="G789" s="41" t="n"/>
      <c r="H789" s="41" t="n"/>
      <c r="I789" s="41" t="n"/>
      <c r="J789" s="47" t="n"/>
      <c r="K789" s="41" t="n"/>
      <c r="L789" s="48" t="n"/>
      <c r="M789" s="45" t="n"/>
      <c r="N789" s="39">
        <f>IF($B789="","",IF(SUMPRODUCT((LISTAS!$O$3:$O$42&lt;&gt;"")*ISNUMBER(SEARCH(LISTAS!$O$3:$O$42,$I789&amp;" "&amp;$K789)))&gt;0,"CERCANA","NACIONAL"))</f>
        <v/>
      </c>
      <c r="O789" s="39">
        <f>IF($B789="","",IF(COUNTIFS(NOVEDADES!$C$4:$C$2003,$B789)=0,"—","SÍ ("&amp;COUNTIFS(NOVEDADES!$C$4:$C$2003,$B789)&amp;")"))</f>
        <v/>
      </c>
    </row>
    <row r="790">
      <c r="A790" s="41" t="n"/>
      <c r="B790" s="41" t="n"/>
      <c r="C790" s="41" t="n"/>
      <c r="D790" s="41" t="n"/>
      <c r="E790" s="46" t="n"/>
      <c r="F790" s="41" t="n"/>
      <c r="G790" s="41" t="n"/>
      <c r="H790" s="41" t="n"/>
      <c r="I790" s="41" t="n"/>
      <c r="J790" s="47" t="n"/>
      <c r="K790" s="41" t="n"/>
      <c r="L790" s="48" t="n"/>
      <c r="M790" s="45" t="n"/>
      <c r="N790" s="39">
        <f>IF($B790="","",IF(SUMPRODUCT((LISTAS!$O$3:$O$42&lt;&gt;"")*ISNUMBER(SEARCH(LISTAS!$O$3:$O$42,$I790&amp;" "&amp;$K790)))&gt;0,"CERCANA","NACIONAL"))</f>
        <v/>
      </c>
      <c r="O790" s="39">
        <f>IF($B790="","",IF(COUNTIFS(NOVEDADES!$C$4:$C$2003,$B790)=0,"—","SÍ ("&amp;COUNTIFS(NOVEDADES!$C$4:$C$2003,$B790)&amp;")"))</f>
        <v/>
      </c>
    </row>
    <row r="791">
      <c r="A791" s="41" t="n"/>
      <c r="B791" s="41" t="n"/>
      <c r="C791" s="41" t="n"/>
      <c r="D791" s="41" t="n"/>
      <c r="E791" s="46" t="n"/>
      <c r="F791" s="41" t="n"/>
      <c r="G791" s="41" t="n"/>
      <c r="H791" s="41" t="n"/>
      <c r="I791" s="41" t="n"/>
      <c r="J791" s="47" t="n"/>
      <c r="K791" s="41" t="n"/>
      <c r="L791" s="48" t="n"/>
      <c r="M791" s="45" t="n"/>
      <c r="N791" s="39">
        <f>IF($B791="","",IF(SUMPRODUCT((LISTAS!$O$3:$O$42&lt;&gt;"")*ISNUMBER(SEARCH(LISTAS!$O$3:$O$42,$I791&amp;" "&amp;$K791)))&gt;0,"CERCANA","NACIONAL"))</f>
        <v/>
      </c>
      <c r="O791" s="39">
        <f>IF($B791="","",IF(COUNTIFS(NOVEDADES!$C$4:$C$2003,$B791)=0,"—","SÍ ("&amp;COUNTIFS(NOVEDADES!$C$4:$C$2003,$B791)&amp;")"))</f>
        <v/>
      </c>
    </row>
    <row r="792">
      <c r="A792" s="41" t="n"/>
      <c r="B792" s="41" t="n"/>
      <c r="C792" s="41" t="n"/>
      <c r="D792" s="41" t="n"/>
      <c r="E792" s="46" t="n"/>
      <c r="F792" s="41" t="n"/>
      <c r="G792" s="41" t="n"/>
      <c r="H792" s="41" t="n"/>
      <c r="I792" s="41" t="n"/>
      <c r="J792" s="47" t="n"/>
      <c r="K792" s="41" t="n"/>
      <c r="L792" s="48" t="n"/>
      <c r="M792" s="45" t="n"/>
      <c r="N792" s="39">
        <f>IF($B792="","",IF(SUMPRODUCT((LISTAS!$O$3:$O$42&lt;&gt;"")*ISNUMBER(SEARCH(LISTAS!$O$3:$O$42,$I792&amp;" "&amp;$K792)))&gt;0,"CERCANA","NACIONAL"))</f>
        <v/>
      </c>
      <c r="O792" s="39">
        <f>IF($B792="","",IF(COUNTIFS(NOVEDADES!$C$4:$C$2003,$B792)=0,"—","SÍ ("&amp;COUNTIFS(NOVEDADES!$C$4:$C$2003,$B792)&amp;")"))</f>
        <v/>
      </c>
    </row>
    <row r="793">
      <c r="A793" s="41" t="n"/>
      <c r="B793" s="41" t="n"/>
      <c r="C793" s="41" t="n"/>
      <c r="D793" s="41" t="n"/>
      <c r="E793" s="46" t="n"/>
      <c r="F793" s="41" t="n"/>
      <c r="G793" s="41" t="n"/>
      <c r="H793" s="41" t="n"/>
      <c r="I793" s="41" t="n"/>
      <c r="J793" s="47" t="n"/>
      <c r="K793" s="41" t="n"/>
      <c r="L793" s="48" t="n"/>
      <c r="M793" s="45" t="n"/>
      <c r="N793" s="39">
        <f>IF($B793="","",IF(SUMPRODUCT((LISTAS!$O$3:$O$42&lt;&gt;"")*ISNUMBER(SEARCH(LISTAS!$O$3:$O$42,$I793&amp;" "&amp;$K793)))&gt;0,"CERCANA","NACIONAL"))</f>
        <v/>
      </c>
      <c r="O793" s="39">
        <f>IF($B793="","",IF(COUNTIFS(NOVEDADES!$C$4:$C$2003,$B793)=0,"—","SÍ ("&amp;COUNTIFS(NOVEDADES!$C$4:$C$2003,$B793)&amp;")"))</f>
        <v/>
      </c>
    </row>
    <row r="794">
      <c r="A794" s="41" t="n"/>
      <c r="B794" s="41" t="n"/>
      <c r="C794" s="41" t="n"/>
      <c r="D794" s="41" t="n"/>
      <c r="E794" s="46" t="n"/>
      <c r="F794" s="41" t="n"/>
      <c r="G794" s="41" t="n"/>
      <c r="H794" s="41" t="n"/>
      <c r="I794" s="41" t="n"/>
      <c r="J794" s="47" t="n"/>
      <c r="K794" s="41" t="n"/>
      <c r="L794" s="48" t="n"/>
      <c r="M794" s="45" t="n"/>
      <c r="N794" s="39">
        <f>IF($B794="","",IF(SUMPRODUCT((LISTAS!$O$3:$O$42&lt;&gt;"")*ISNUMBER(SEARCH(LISTAS!$O$3:$O$42,$I794&amp;" "&amp;$K794)))&gt;0,"CERCANA","NACIONAL"))</f>
        <v/>
      </c>
      <c r="O794" s="39">
        <f>IF($B794="","",IF(COUNTIFS(NOVEDADES!$C$4:$C$2003,$B794)=0,"—","SÍ ("&amp;COUNTIFS(NOVEDADES!$C$4:$C$2003,$B794)&amp;")"))</f>
        <v/>
      </c>
    </row>
    <row r="795">
      <c r="A795" s="41" t="n"/>
      <c r="B795" s="41" t="n"/>
      <c r="C795" s="41" t="n"/>
      <c r="D795" s="41" t="n"/>
      <c r="E795" s="46" t="n"/>
      <c r="F795" s="41" t="n"/>
      <c r="G795" s="41" t="n"/>
      <c r="H795" s="41" t="n"/>
      <c r="I795" s="41" t="n"/>
      <c r="J795" s="47" t="n"/>
      <c r="K795" s="41" t="n"/>
      <c r="L795" s="48" t="n"/>
      <c r="M795" s="45" t="n"/>
      <c r="N795" s="39">
        <f>IF($B795="","",IF(SUMPRODUCT((LISTAS!$O$3:$O$42&lt;&gt;"")*ISNUMBER(SEARCH(LISTAS!$O$3:$O$42,$I795&amp;" "&amp;$K795)))&gt;0,"CERCANA","NACIONAL"))</f>
        <v/>
      </c>
      <c r="O795" s="39">
        <f>IF($B795="","",IF(COUNTIFS(NOVEDADES!$C$4:$C$2003,$B795)=0,"—","SÍ ("&amp;COUNTIFS(NOVEDADES!$C$4:$C$2003,$B795)&amp;")"))</f>
        <v/>
      </c>
    </row>
    <row r="796">
      <c r="A796" s="41" t="n"/>
      <c r="B796" s="41" t="n"/>
      <c r="C796" s="41" t="n"/>
      <c r="D796" s="41" t="n"/>
      <c r="E796" s="46" t="n"/>
      <c r="F796" s="41" t="n"/>
      <c r="G796" s="41" t="n"/>
      <c r="H796" s="41" t="n"/>
      <c r="I796" s="41" t="n"/>
      <c r="J796" s="47" t="n"/>
      <c r="K796" s="41" t="n"/>
      <c r="L796" s="48" t="n"/>
      <c r="M796" s="45" t="n"/>
      <c r="N796" s="39">
        <f>IF($B796="","",IF(SUMPRODUCT((LISTAS!$O$3:$O$42&lt;&gt;"")*ISNUMBER(SEARCH(LISTAS!$O$3:$O$42,$I796&amp;" "&amp;$K796)))&gt;0,"CERCANA","NACIONAL"))</f>
        <v/>
      </c>
      <c r="O796" s="39">
        <f>IF($B796="","",IF(COUNTIFS(NOVEDADES!$C$4:$C$2003,$B796)=0,"—","SÍ ("&amp;COUNTIFS(NOVEDADES!$C$4:$C$2003,$B796)&amp;")"))</f>
        <v/>
      </c>
    </row>
    <row r="797">
      <c r="A797" s="41" t="n"/>
      <c r="B797" s="41" t="n"/>
      <c r="C797" s="41" t="n"/>
      <c r="D797" s="41" t="n"/>
      <c r="E797" s="46" t="n"/>
      <c r="F797" s="41" t="n"/>
      <c r="G797" s="41" t="n"/>
      <c r="H797" s="41" t="n"/>
      <c r="I797" s="41" t="n"/>
      <c r="J797" s="47" t="n"/>
      <c r="K797" s="41" t="n"/>
      <c r="L797" s="48" t="n"/>
      <c r="M797" s="45" t="n"/>
      <c r="N797" s="39">
        <f>IF($B797="","",IF(SUMPRODUCT((LISTAS!$O$3:$O$42&lt;&gt;"")*ISNUMBER(SEARCH(LISTAS!$O$3:$O$42,$I797&amp;" "&amp;$K797)))&gt;0,"CERCANA","NACIONAL"))</f>
        <v/>
      </c>
      <c r="O797" s="39">
        <f>IF($B797="","",IF(COUNTIFS(NOVEDADES!$C$4:$C$2003,$B797)=0,"—","SÍ ("&amp;COUNTIFS(NOVEDADES!$C$4:$C$2003,$B797)&amp;")"))</f>
        <v/>
      </c>
    </row>
    <row r="798">
      <c r="A798" s="41" t="n"/>
      <c r="B798" s="41" t="n"/>
      <c r="C798" s="41" t="n"/>
      <c r="D798" s="41" t="n"/>
      <c r="E798" s="46" t="n"/>
      <c r="F798" s="41" t="n"/>
      <c r="G798" s="41" t="n"/>
      <c r="H798" s="41" t="n"/>
      <c r="I798" s="41" t="n"/>
      <c r="J798" s="47" t="n"/>
      <c r="K798" s="41" t="n"/>
      <c r="L798" s="48" t="n"/>
      <c r="M798" s="45" t="n"/>
      <c r="N798" s="39">
        <f>IF($B798="","",IF(SUMPRODUCT((LISTAS!$O$3:$O$42&lt;&gt;"")*ISNUMBER(SEARCH(LISTAS!$O$3:$O$42,$I798&amp;" "&amp;$K798)))&gt;0,"CERCANA","NACIONAL"))</f>
        <v/>
      </c>
      <c r="O798" s="39">
        <f>IF($B798="","",IF(COUNTIFS(NOVEDADES!$C$4:$C$2003,$B798)=0,"—","SÍ ("&amp;COUNTIFS(NOVEDADES!$C$4:$C$2003,$B798)&amp;")"))</f>
        <v/>
      </c>
    </row>
    <row r="799">
      <c r="A799" s="41" t="n"/>
      <c r="B799" s="41" t="n"/>
      <c r="C799" s="41" t="n"/>
      <c r="D799" s="41" t="n"/>
      <c r="E799" s="46" t="n"/>
      <c r="F799" s="41" t="n"/>
      <c r="G799" s="41" t="n"/>
      <c r="H799" s="41" t="n"/>
      <c r="I799" s="41" t="n"/>
      <c r="J799" s="47" t="n"/>
      <c r="K799" s="41" t="n"/>
      <c r="L799" s="48" t="n"/>
      <c r="M799" s="45" t="n"/>
      <c r="N799" s="39">
        <f>IF($B799="","",IF(SUMPRODUCT((LISTAS!$O$3:$O$42&lt;&gt;"")*ISNUMBER(SEARCH(LISTAS!$O$3:$O$42,$I799&amp;" "&amp;$K799)))&gt;0,"CERCANA","NACIONAL"))</f>
        <v/>
      </c>
      <c r="O799" s="39">
        <f>IF($B799="","",IF(COUNTIFS(NOVEDADES!$C$4:$C$2003,$B799)=0,"—","SÍ ("&amp;COUNTIFS(NOVEDADES!$C$4:$C$2003,$B799)&amp;")"))</f>
        <v/>
      </c>
    </row>
    <row r="800">
      <c r="A800" s="41" t="n"/>
      <c r="B800" s="41" t="n"/>
      <c r="C800" s="41" t="n"/>
      <c r="D800" s="41" t="n"/>
      <c r="E800" s="46" t="n"/>
      <c r="F800" s="41" t="n"/>
      <c r="G800" s="41" t="n"/>
      <c r="H800" s="41" t="n"/>
      <c r="I800" s="41" t="n"/>
      <c r="J800" s="47" t="n"/>
      <c r="K800" s="41" t="n"/>
      <c r="L800" s="48" t="n"/>
      <c r="M800" s="45" t="n"/>
      <c r="N800" s="39">
        <f>IF($B800="","",IF(SUMPRODUCT((LISTAS!$O$3:$O$42&lt;&gt;"")*ISNUMBER(SEARCH(LISTAS!$O$3:$O$42,$I800&amp;" "&amp;$K800)))&gt;0,"CERCANA","NACIONAL"))</f>
        <v/>
      </c>
      <c r="O800" s="39">
        <f>IF($B800="","",IF(COUNTIFS(NOVEDADES!$C$4:$C$2003,$B800)=0,"—","SÍ ("&amp;COUNTIFS(NOVEDADES!$C$4:$C$2003,$B800)&amp;")"))</f>
        <v/>
      </c>
    </row>
    <row r="801">
      <c r="A801" s="41" t="n"/>
      <c r="B801" s="41" t="n"/>
      <c r="C801" s="41" t="n"/>
      <c r="D801" s="41" t="n"/>
      <c r="E801" s="46" t="n"/>
      <c r="F801" s="41" t="n"/>
      <c r="G801" s="41" t="n"/>
      <c r="H801" s="41" t="n"/>
      <c r="I801" s="41" t="n"/>
      <c r="J801" s="47" t="n"/>
      <c r="K801" s="41" t="n"/>
      <c r="L801" s="48" t="n"/>
      <c r="M801" s="45" t="n"/>
      <c r="N801" s="39">
        <f>IF($B801="","",IF(SUMPRODUCT((LISTAS!$O$3:$O$42&lt;&gt;"")*ISNUMBER(SEARCH(LISTAS!$O$3:$O$42,$I801&amp;" "&amp;$K801)))&gt;0,"CERCANA","NACIONAL"))</f>
        <v/>
      </c>
      <c r="O801" s="39">
        <f>IF($B801="","",IF(COUNTIFS(NOVEDADES!$C$4:$C$2003,$B801)=0,"—","SÍ ("&amp;COUNTIFS(NOVEDADES!$C$4:$C$2003,$B801)&amp;")"))</f>
        <v/>
      </c>
    </row>
    <row r="802">
      <c r="A802" s="41" t="n"/>
      <c r="B802" s="41" t="n"/>
      <c r="C802" s="41" t="n"/>
      <c r="D802" s="41" t="n"/>
      <c r="E802" s="46" t="n"/>
      <c r="F802" s="41" t="n"/>
      <c r="G802" s="41" t="n"/>
      <c r="H802" s="41" t="n"/>
      <c r="I802" s="41" t="n"/>
      <c r="J802" s="47" t="n"/>
      <c r="K802" s="41" t="n"/>
      <c r="L802" s="48" t="n"/>
      <c r="M802" s="45" t="n"/>
      <c r="N802" s="39">
        <f>IF($B802="","",IF(SUMPRODUCT((LISTAS!$O$3:$O$42&lt;&gt;"")*ISNUMBER(SEARCH(LISTAS!$O$3:$O$42,$I802&amp;" "&amp;$K802)))&gt;0,"CERCANA","NACIONAL"))</f>
        <v/>
      </c>
      <c r="O802" s="39">
        <f>IF($B802="","",IF(COUNTIFS(NOVEDADES!$C$4:$C$2003,$B802)=0,"—","SÍ ("&amp;COUNTIFS(NOVEDADES!$C$4:$C$2003,$B802)&amp;")"))</f>
        <v/>
      </c>
    </row>
    <row r="803">
      <c r="A803" s="41" t="n"/>
      <c r="B803" s="41" t="n"/>
      <c r="C803" s="41" t="n"/>
      <c r="D803" s="41" t="n"/>
      <c r="E803" s="46" t="n"/>
      <c r="F803" s="41" t="n"/>
      <c r="G803" s="41" t="n"/>
      <c r="H803" s="41" t="n"/>
      <c r="I803" s="41" t="n"/>
      <c r="J803" s="47" t="n"/>
      <c r="K803" s="41" t="n"/>
      <c r="L803" s="48" t="n"/>
      <c r="M803" s="45" t="n"/>
      <c r="N803" s="39">
        <f>IF($B803="","",IF(SUMPRODUCT((LISTAS!$O$3:$O$42&lt;&gt;"")*ISNUMBER(SEARCH(LISTAS!$O$3:$O$42,$I803&amp;" "&amp;$K803)))&gt;0,"CERCANA","NACIONAL"))</f>
        <v/>
      </c>
      <c r="O803" s="39">
        <f>IF($B803="","",IF(COUNTIFS(NOVEDADES!$C$4:$C$2003,$B803)=0,"—","SÍ ("&amp;COUNTIFS(NOVEDADES!$C$4:$C$2003,$B803)&amp;")"))</f>
        <v/>
      </c>
    </row>
    <row r="804">
      <c r="A804" s="41" t="n"/>
      <c r="B804" s="41" t="n"/>
      <c r="C804" s="41" t="n"/>
      <c r="D804" s="41" t="n"/>
      <c r="E804" s="46" t="n"/>
      <c r="F804" s="41" t="n"/>
      <c r="G804" s="41" t="n"/>
      <c r="H804" s="41" t="n"/>
      <c r="I804" s="41" t="n"/>
      <c r="J804" s="47" t="n"/>
      <c r="K804" s="41" t="n"/>
      <c r="L804" s="48" t="n"/>
      <c r="M804" s="45" t="n"/>
      <c r="N804" s="39">
        <f>IF($B804="","",IF(SUMPRODUCT((LISTAS!$O$3:$O$42&lt;&gt;"")*ISNUMBER(SEARCH(LISTAS!$O$3:$O$42,$I804&amp;" "&amp;$K804)))&gt;0,"CERCANA","NACIONAL"))</f>
        <v/>
      </c>
      <c r="O804" s="39">
        <f>IF($B804="","",IF(COUNTIFS(NOVEDADES!$C$4:$C$2003,$B804)=0,"—","SÍ ("&amp;COUNTIFS(NOVEDADES!$C$4:$C$2003,$B804)&amp;")"))</f>
        <v/>
      </c>
    </row>
    <row r="805">
      <c r="A805" s="41" t="n"/>
      <c r="B805" s="41" t="n"/>
      <c r="C805" s="41" t="n"/>
      <c r="D805" s="41" t="n"/>
      <c r="E805" s="46" t="n"/>
      <c r="F805" s="41" t="n"/>
      <c r="G805" s="41" t="n"/>
      <c r="H805" s="41" t="n"/>
      <c r="I805" s="41" t="n"/>
      <c r="J805" s="47" t="n"/>
      <c r="K805" s="41" t="n"/>
      <c r="L805" s="48" t="n"/>
      <c r="M805" s="45" t="n"/>
      <c r="N805" s="39">
        <f>IF($B805="","",IF(SUMPRODUCT((LISTAS!$O$3:$O$42&lt;&gt;"")*ISNUMBER(SEARCH(LISTAS!$O$3:$O$42,$I805&amp;" "&amp;$K805)))&gt;0,"CERCANA","NACIONAL"))</f>
        <v/>
      </c>
      <c r="O805" s="39">
        <f>IF($B805="","",IF(COUNTIFS(NOVEDADES!$C$4:$C$2003,$B805)=0,"—","SÍ ("&amp;COUNTIFS(NOVEDADES!$C$4:$C$2003,$B805)&amp;")"))</f>
        <v/>
      </c>
    </row>
    <row r="806">
      <c r="A806" s="41" t="n"/>
      <c r="B806" s="41" t="n"/>
      <c r="C806" s="41" t="n"/>
      <c r="D806" s="41" t="n"/>
      <c r="E806" s="46" t="n"/>
      <c r="F806" s="41" t="n"/>
      <c r="G806" s="41" t="n"/>
      <c r="H806" s="41" t="n"/>
      <c r="I806" s="41" t="n"/>
      <c r="J806" s="47" t="n"/>
      <c r="K806" s="41" t="n"/>
      <c r="L806" s="48" t="n"/>
      <c r="M806" s="45" t="n"/>
      <c r="N806" s="39">
        <f>IF($B806="","",IF(SUMPRODUCT((LISTAS!$O$3:$O$42&lt;&gt;"")*ISNUMBER(SEARCH(LISTAS!$O$3:$O$42,$I806&amp;" "&amp;$K806)))&gt;0,"CERCANA","NACIONAL"))</f>
        <v/>
      </c>
      <c r="O806" s="39">
        <f>IF($B806="","",IF(COUNTIFS(NOVEDADES!$C$4:$C$2003,$B806)=0,"—","SÍ ("&amp;COUNTIFS(NOVEDADES!$C$4:$C$2003,$B806)&amp;")"))</f>
        <v/>
      </c>
    </row>
    <row r="807">
      <c r="A807" s="41" t="n"/>
      <c r="B807" s="41" t="n"/>
      <c r="C807" s="41" t="n"/>
      <c r="D807" s="41" t="n"/>
      <c r="E807" s="46" t="n"/>
      <c r="F807" s="41" t="n"/>
      <c r="G807" s="41" t="n"/>
      <c r="H807" s="41" t="n"/>
      <c r="I807" s="41" t="n"/>
      <c r="J807" s="47" t="n"/>
      <c r="K807" s="41" t="n"/>
      <c r="L807" s="48" t="n"/>
      <c r="M807" s="45" t="n"/>
      <c r="N807" s="39">
        <f>IF($B807="","",IF(SUMPRODUCT((LISTAS!$O$3:$O$42&lt;&gt;"")*ISNUMBER(SEARCH(LISTAS!$O$3:$O$42,$I807&amp;" "&amp;$K807)))&gt;0,"CERCANA","NACIONAL"))</f>
        <v/>
      </c>
      <c r="O807" s="39">
        <f>IF($B807="","",IF(COUNTIFS(NOVEDADES!$C$4:$C$2003,$B807)=0,"—","SÍ ("&amp;COUNTIFS(NOVEDADES!$C$4:$C$2003,$B807)&amp;")"))</f>
        <v/>
      </c>
    </row>
    <row r="808">
      <c r="A808" s="41" t="n"/>
      <c r="B808" s="41" t="n"/>
      <c r="C808" s="41" t="n"/>
      <c r="D808" s="41" t="n"/>
      <c r="E808" s="46" t="n"/>
      <c r="F808" s="41" t="n"/>
      <c r="G808" s="41" t="n"/>
      <c r="H808" s="41" t="n"/>
      <c r="I808" s="41" t="n"/>
      <c r="J808" s="47" t="n"/>
      <c r="K808" s="41" t="n"/>
      <c r="L808" s="48" t="n"/>
      <c r="M808" s="45" t="n"/>
      <c r="N808" s="39">
        <f>IF($B808="","",IF(SUMPRODUCT((LISTAS!$O$3:$O$42&lt;&gt;"")*ISNUMBER(SEARCH(LISTAS!$O$3:$O$42,$I808&amp;" "&amp;$K808)))&gt;0,"CERCANA","NACIONAL"))</f>
        <v/>
      </c>
      <c r="O808" s="39">
        <f>IF($B808="","",IF(COUNTIFS(NOVEDADES!$C$4:$C$2003,$B808)=0,"—","SÍ ("&amp;COUNTIFS(NOVEDADES!$C$4:$C$2003,$B808)&amp;")"))</f>
        <v/>
      </c>
    </row>
    <row r="809">
      <c r="A809" s="41" t="n"/>
      <c r="B809" s="41" t="n"/>
      <c r="C809" s="41" t="n"/>
      <c r="D809" s="41" t="n"/>
      <c r="E809" s="46" t="n"/>
      <c r="F809" s="41" t="n"/>
      <c r="G809" s="41" t="n"/>
      <c r="H809" s="41" t="n"/>
      <c r="I809" s="41" t="n"/>
      <c r="J809" s="47" t="n"/>
      <c r="K809" s="41" t="n"/>
      <c r="L809" s="48" t="n"/>
      <c r="M809" s="45" t="n"/>
      <c r="N809" s="39">
        <f>IF($B809="","",IF(SUMPRODUCT((LISTAS!$O$3:$O$42&lt;&gt;"")*ISNUMBER(SEARCH(LISTAS!$O$3:$O$42,$I809&amp;" "&amp;$K809)))&gt;0,"CERCANA","NACIONAL"))</f>
        <v/>
      </c>
      <c r="O809" s="39">
        <f>IF($B809="","",IF(COUNTIFS(NOVEDADES!$C$4:$C$2003,$B809)=0,"—","SÍ ("&amp;COUNTIFS(NOVEDADES!$C$4:$C$2003,$B809)&amp;")"))</f>
        <v/>
      </c>
    </row>
    <row r="810">
      <c r="A810" s="41" t="n"/>
      <c r="B810" s="41" t="n"/>
      <c r="C810" s="41" t="n"/>
      <c r="D810" s="41" t="n"/>
      <c r="E810" s="46" t="n"/>
      <c r="F810" s="41" t="n"/>
      <c r="G810" s="41" t="n"/>
      <c r="H810" s="41" t="n"/>
      <c r="I810" s="41" t="n"/>
      <c r="J810" s="47" t="n"/>
      <c r="K810" s="41" t="n"/>
      <c r="L810" s="48" t="n"/>
      <c r="M810" s="45" t="n"/>
      <c r="N810" s="39">
        <f>IF($B810="","",IF(SUMPRODUCT((LISTAS!$O$3:$O$42&lt;&gt;"")*ISNUMBER(SEARCH(LISTAS!$O$3:$O$42,$I810&amp;" "&amp;$K810)))&gt;0,"CERCANA","NACIONAL"))</f>
        <v/>
      </c>
      <c r="O810" s="39">
        <f>IF($B810="","",IF(COUNTIFS(NOVEDADES!$C$4:$C$2003,$B810)=0,"—","SÍ ("&amp;COUNTIFS(NOVEDADES!$C$4:$C$2003,$B810)&amp;")"))</f>
        <v/>
      </c>
    </row>
    <row r="811">
      <c r="A811" s="41" t="n"/>
      <c r="B811" s="41" t="n"/>
      <c r="C811" s="41" t="n"/>
      <c r="D811" s="41" t="n"/>
      <c r="E811" s="46" t="n"/>
      <c r="F811" s="41" t="n"/>
      <c r="G811" s="41" t="n"/>
      <c r="H811" s="41" t="n"/>
      <c r="I811" s="41" t="n"/>
      <c r="J811" s="47" t="n"/>
      <c r="K811" s="41" t="n"/>
      <c r="L811" s="48" t="n"/>
      <c r="M811" s="45" t="n"/>
      <c r="N811" s="39">
        <f>IF($B811="","",IF(SUMPRODUCT((LISTAS!$O$3:$O$42&lt;&gt;"")*ISNUMBER(SEARCH(LISTAS!$O$3:$O$42,$I811&amp;" "&amp;$K811)))&gt;0,"CERCANA","NACIONAL"))</f>
        <v/>
      </c>
      <c r="O811" s="39">
        <f>IF($B811="","",IF(COUNTIFS(NOVEDADES!$C$4:$C$2003,$B811)=0,"—","SÍ ("&amp;COUNTIFS(NOVEDADES!$C$4:$C$2003,$B811)&amp;")"))</f>
        <v/>
      </c>
    </row>
    <row r="812">
      <c r="A812" s="41" t="n"/>
      <c r="B812" s="41" t="n"/>
      <c r="C812" s="41" t="n"/>
      <c r="D812" s="41" t="n"/>
      <c r="E812" s="46" t="n"/>
      <c r="F812" s="41" t="n"/>
      <c r="G812" s="41" t="n"/>
      <c r="H812" s="41" t="n"/>
      <c r="I812" s="41" t="n"/>
      <c r="J812" s="47" t="n"/>
      <c r="K812" s="41" t="n"/>
      <c r="L812" s="48" t="n"/>
      <c r="M812" s="45" t="n"/>
      <c r="N812" s="39">
        <f>IF($B812="","",IF(SUMPRODUCT((LISTAS!$O$3:$O$42&lt;&gt;"")*ISNUMBER(SEARCH(LISTAS!$O$3:$O$42,$I812&amp;" "&amp;$K812)))&gt;0,"CERCANA","NACIONAL"))</f>
        <v/>
      </c>
      <c r="O812" s="39">
        <f>IF($B812="","",IF(COUNTIFS(NOVEDADES!$C$4:$C$2003,$B812)=0,"—","SÍ ("&amp;COUNTIFS(NOVEDADES!$C$4:$C$2003,$B812)&amp;")"))</f>
        <v/>
      </c>
    </row>
    <row r="813">
      <c r="A813" s="41" t="n"/>
      <c r="B813" s="41" t="n"/>
      <c r="C813" s="41" t="n"/>
      <c r="D813" s="41" t="n"/>
      <c r="E813" s="46" t="n"/>
      <c r="F813" s="41" t="n"/>
      <c r="G813" s="41" t="n"/>
      <c r="H813" s="41" t="n"/>
      <c r="I813" s="41" t="n"/>
      <c r="J813" s="47" t="n"/>
      <c r="K813" s="41" t="n"/>
      <c r="L813" s="48" t="n"/>
      <c r="M813" s="45" t="n"/>
      <c r="N813" s="39">
        <f>IF($B813="","",IF(SUMPRODUCT((LISTAS!$O$3:$O$42&lt;&gt;"")*ISNUMBER(SEARCH(LISTAS!$O$3:$O$42,$I813&amp;" "&amp;$K813)))&gt;0,"CERCANA","NACIONAL"))</f>
        <v/>
      </c>
      <c r="O813" s="39">
        <f>IF($B813="","",IF(COUNTIFS(NOVEDADES!$C$4:$C$2003,$B813)=0,"—","SÍ ("&amp;COUNTIFS(NOVEDADES!$C$4:$C$2003,$B813)&amp;")"))</f>
        <v/>
      </c>
    </row>
    <row r="814">
      <c r="A814" s="41" t="n"/>
      <c r="B814" s="41" t="n"/>
      <c r="C814" s="41" t="n"/>
      <c r="D814" s="41" t="n"/>
      <c r="E814" s="46" t="n"/>
      <c r="F814" s="41" t="n"/>
      <c r="G814" s="41" t="n"/>
      <c r="H814" s="41" t="n"/>
      <c r="I814" s="41" t="n"/>
      <c r="J814" s="47" t="n"/>
      <c r="K814" s="41" t="n"/>
      <c r="L814" s="48" t="n"/>
      <c r="M814" s="45" t="n"/>
      <c r="N814" s="39">
        <f>IF($B814="","",IF(SUMPRODUCT((LISTAS!$O$3:$O$42&lt;&gt;"")*ISNUMBER(SEARCH(LISTAS!$O$3:$O$42,$I814&amp;" "&amp;$K814)))&gt;0,"CERCANA","NACIONAL"))</f>
        <v/>
      </c>
      <c r="O814" s="39">
        <f>IF($B814="","",IF(COUNTIFS(NOVEDADES!$C$4:$C$2003,$B814)=0,"—","SÍ ("&amp;COUNTIFS(NOVEDADES!$C$4:$C$2003,$B814)&amp;")"))</f>
        <v/>
      </c>
    </row>
    <row r="815">
      <c r="A815" s="41" t="n"/>
      <c r="B815" s="41" t="n"/>
      <c r="C815" s="41" t="n"/>
      <c r="D815" s="41" t="n"/>
      <c r="E815" s="46" t="n"/>
      <c r="F815" s="41" t="n"/>
      <c r="G815" s="41" t="n"/>
      <c r="H815" s="41" t="n"/>
      <c r="I815" s="41" t="n"/>
      <c r="J815" s="47" t="n"/>
      <c r="K815" s="41" t="n"/>
      <c r="L815" s="48" t="n"/>
      <c r="M815" s="45" t="n"/>
      <c r="N815" s="39">
        <f>IF($B815="","",IF(SUMPRODUCT((LISTAS!$O$3:$O$42&lt;&gt;"")*ISNUMBER(SEARCH(LISTAS!$O$3:$O$42,$I815&amp;" "&amp;$K815)))&gt;0,"CERCANA","NACIONAL"))</f>
        <v/>
      </c>
      <c r="O815" s="39">
        <f>IF($B815="","",IF(COUNTIFS(NOVEDADES!$C$4:$C$2003,$B815)=0,"—","SÍ ("&amp;COUNTIFS(NOVEDADES!$C$4:$C$2003,$B815)&amp;")"))</f>
        <v/>
      </c>
    </row>
    <row r="816">
      <c r="A816" s="41" t="n"/>
      <c r="B816" s="41" t="n"/>
      <c r="C816" s="41" t="n"/>
      <c r="D816" s="41" t="n"/>
      <c r="E816" s="46" t="n"/>
      <c r="F816" s="41" t="n"/>
      <c r="G816" s="41" t="n"/>
      <c r="H816" s="41" t="n"/>
      <c r="I816" s="41" t="n"/>
      <c r="J816" s="47" t="n"/>
      <c r="K816" s="41" t="n"/>
      <c r="L816" s="48" t="n"/>
      <c r="M816" s="45" t="n"/>
      <c r="N816" s="39">
        <f>IF($B816="","",IF(SUMPRODUCT((LISTAS!$O$3:$O$42&lt;&gt;"")*ISNUMBER(SEARCH(LISTAS!$O$3:$O$42,$I816&amp;" "&amp;$K816)))&gt;0,"CERCANA","NACIONAL"))</f>
        <v/>
      </c>
      <c r="O816" s="39">
        <f>IF($B816="","",IF(COUNTIFS(NOVEDADES!$C$4:$C$2003,$B816)=0,"—","SÍ ("&amp;COUNTIFS(NOVEDADES!$C$4:$C$2003,$B816)&amp;")"))</f>
        <v/>
      </c>
    </row>
    <row r="817">
      <c r="A817" s="41" t="n"/>
      <c r="B817" s="41" t="n"/>
      <c r="C817" s="41" t="n"/>
      <c r="D817" s="41" t="n"/>
      <c r="E817" s="46" t="n"/>
      <c r="F817" s="41" t="n"/>
      <c r="G817" s="41" t="n"/>
      <c r="H817" s="41" t="n"/>
      <c r="I817" s="41" t="n"/>
      <c r="J817" s="47" t="n"/>
      <c r="K817" s="41" t="n"/>
      <c r="L817" s="48" t="n"/>
      <c r="M817" s="45" t="n"/>
      <c r="N817" s="39">
        <f>IF($B817="","",IF(SUMPRODUCT((LISTAS!$O$3:$O$42&lt;&gt;"")*ISNUMBER(SEARCH(LISTAS!$O$3:$O$42,$I817&amp;" "&amp;$K817)))&gt;0,"CERCANA","NACIONAL"))</f>
        <v/>
      </c>
      <c r="O817" s="39">
        <f>IF($B817="","",IF(COUNTIFS(NOVEDADES!$C$4:$C$2003,$B817)=0,"—","SÍ ("&amp;COUNTIFS(NOVEDADES!$C$4:$C$2003,$B817)&amp;")"))</f>
        <v/>
      </c>
    </row>
    <row r="818">
      <c r="A818" s="41" t="n"/>
      <c r="B818" s="41" t="n"/>
      <c r="C818" s="41" t="n"/>
      <c r="D818" s="41" t="n"/>
      <c r="E818" s="46" t="n"/>
      <c r="F818" s="41" t="n"/>
      <c r="G818" s="41" t="n"/>
      <c r="H818" s="41" t="n"/>
      <c r="I818" s="41" t="n"/>
      <c r="J818" s="47" t="n"/>
      <c r="K818" s="41" t="n"/>
      <c r="L818" s="48" t="n"/>
      <c r="M818" s="45" t="n"/>
      <c r="N818" s="39">
        <f>IF($B818="","",IF(SUMPRODUCT((LISTAS!$O$3:$O$42&lt;&gt;"")*ISNUMBER(SEARCH(LISTAS!$O$3:$O$42,$I818&amp;" "&amp;$K818)))&gt;0,"CERCANA","NACIONAL"))</f>
        <v/>
      </c>
      <c r="O818" s="39">
        <f>IF($B818="","",IF(COUNTIFS(NOVEDADES!$C$4:$C$2003,$B818)=0,"—","SÍ ("&amp;COUNTIFS(NOVEDADES!$C$4:$C$2003,$B818)&amp;")"))</f>
        <v/>
      </c>
    </row>
    <row r="819">
      <c r="A819" s="41" t="n"/>
      <c r="B819" s="41" t="n"/>
      <c r="C819" s="41" t="n"/>
      <c r="D819" s="41" t="n"/>
      <c r="E819" s="46" t="n"/>
      <c r="F819" s="41" t="n"/>
      <c r="G819" s="41" t="n"/>
      <c r="H819" s="41" t="n"/>
      <c r="I819" s="41" t="n"/>
      <c r="J819" s="47" t="n"/>
      <c r="K819" s="41" t="n"/>
      <c r="L819" s="48" t="n"/>
      <c r="M819" s="45" t="n"/>
      <c r="N819" s="39">
        <f>IF($B819="","",IF(SUMPRODUCT((LISTAS!$O$3:$O$42&lt;&gt;"")*ISNUMBER(SEARCH(LISTAS!$O$3:$O$42,$I819&amp;" "&amp;$K819)))&gt;0,"CERCANA","NACIONAL"))</f>
        <v/>
      </c>
      <c r="O819" s="39">
        <f>IF($B819="","",IF(COUNTIFS(NOVEDADES!$C$4:$C$2003,$B819)=0,"—","SÍ ("&amp;COUNTIFS(NOVEDADES!$C$4:$C$2003,$B819)&amp;")"))</f>
        <v/>
      </c>
    </row>
    <row r="820">
      <c r="A820" s="41" t="n"/>
      <c r="B820" s="41" t="n"/>
      <c r="C820" s="41" t="n"/>
      <c r="D820" s="41" t="n"/>
      <c r="E820" s="46" t="n"/>
      <c r="F820" s="41" t="n"/>
      <c r="G820" s="41" t="n"/>
      <c r="H820" s="41" t="n"/>
      <c r="I820" s="41" t="n"/>
      <c r="J820" s="47" t="n"/>
      <c r="K820" s="41" t="n"/>
      <c r="L820" s="48" t="n"/>
      <c r="M820" s="45" t="n"/>
      <c r="N820" s="39">
        <f>IF($B820="","",IF(SUMPRODUCT((LISTAS!$O$3:$O$42&lt;&gt;"")*ISNUMBER(SEARCH(LISTAS!$O$3:$O$42,$I820&amp;" "&amp;$K820)))&gt;0,"CERCANA","NACIONAL"))</f>
        <v/>
      </c>
      <c r="O820" s="39">
        <f>IF($B820="","",IF(COUNTIFS(NOVEDADES!$C$4:$C$2003,$B820)=0,"—","SÍ ("&amp;COUNTIFS(NOVEDADES!$C$4:$C$2003,$B820)&amp;")"))</f>
        <v/>
      </c>
    </row>
    <row r="821">
      <c r="A821" s="41" t="n"/>
      <c r="B821" s="41" t="n"/>
      <c r="C821" s="41" t="n"/>
      <c r="D821" s="41" t="n"/>
      <c r="E821" s="46" t="n"/>
      <c r="F821" s="41" t="n"/>
      <c r="G821" s="41" t="n"/>
      <c r="H821" s="41" t="n"/>
      <c r="I821" s="41" t="n"/>
      <c r="J821" s="47" t="n"/>
      <c r="K821" s="41" t="n"/>
      <c r="L821" s="48" t="n"/>
      <c r="M821" s="45" t="n"/>
      <c r="N821" s="39">
        <f>IF($B821="","",IF(SUMPRODUCT((LISTAS!$O$3:$O$42&lt;&gt;"")*ISNUMBER(SEARCH(LISTAS!$O$3:$O$42,$I821&amp;" "&amp;$K821)))&gt;0,"CERCANA","NACIONAL"))</f>
        <v/>
      </c>
      <c r="O821" s="39">
        <f>IF($B821="","",IF(COUNTIFS(NOVEDADES!$C$4:$C$2003,$B821)=0,"—","SÍ ("&amp;COUNTIFS(NOVEDADES!$C$4:$C$2003,$B821)&amp;")"))</f>
        <v/>
      </c>
    </row>
    <row r="822">
      <c r="A822" s="41" t="n"/>
      <c r="B822" s="41" t="n"/>
      <c r="C822" s="41" t="n"/>
      <c r="D822" s="41" t="n"/>
      <c r="E822" s="46" t="n"/>
      <c r="F822" s="41" t="n"/>
      <c r="G822" s="41" t="n"/>
      <c r="H822" s="41" t="n"/>
      <c r="I822" s="41" t="n"/>
      <c r="J822" s="47" t="n"/>
      <c r="K822" s="41" t="n"/>
      <c r="L822" s="48" t="n"/>
      <c r="M822" s="45" t="n"/>
      <c r="N822" s="39">
        <f>IF($B822="","",IF(SUMPRODUCT((LISTAS!$O$3:$O$42&lt;&gt;"")*ISNUMBER(SEARCH(LISTAS!$O$3:$O$42,$I822&amp;" "&amp;$K822)))&gt;0,"CERCANA","NACIONAL"))</f>
        <v/>
      </c>
      <c r="O822" s="39">
        <f>IF($B822="","",IF(COUNTIFS(NOVEDADES!$C$4:$C$2003,$B822)=0,"—","SÍ ("&amp;COUNTIFS(NOVEDADES!$C$4:$C$2003,$B822)&amp;")"))</f>
        <v/>
      </c>
    </row>
    <row r="823">
      <c r="A823" s="41" t="n"/>
      <c r="B823" s="41" t="n"/>
      <c r="C823" s="41" t="n"/>
      <c r="D823" s="41" t="n"/>
      <c r="E823" s="46" t="n"/>
      <c r="F823" s="41" t="n"/>
      <c r="G823" s="41" t="n"/>
      <c r="H823" s="41" t="n"/>
      <c r="I823" s="41" t="n"/>
      <c r="J823" s="47" t="n"/>
      <c r="K823" s="41" t="n"/>
      <c r="L823" s="48" t="n"/>
      <c r="M823" s="45" t="n"/>
      <c r="N823" s="39">
        <f>IF($B823="","",IF(SUMPRODUCT((LISTAS!$O$3:$O$42&lt;&gt;"")*ISNUMBER(SEARCH(LISTAS!$O$3:$O$42,$I823&amp;" "&amp;$K823)))&gt;0,"CERCANA","NACIONAL"))</f>
        <v/>
      </c>
      <c r="O823" s="39">
        <f>IF($B823="","",IF(COUNTIFS(NOVEDADES!$C$4:$C$2003,$B823)=0,"—","SÍ ("&amp;COUNTIFS(NOVEDADES!$C$4:$C$2003,$B823)&amp;")"))</f>
        <v/>
      </c>
    </row>
    <row r="824">
      <c r="A824" s="41" t="n"/>
      <c r="B824" s="41" t="n"/>
      <c r="C824" s="41" t="n"/>
      <c r="D824" s="41" t="n"/>
      <c r="E824" s="46" t="n"/>
      <c r="F824" s="41" t="n"/>
      <c r="G824" s="41" t="n"/>
      <c r="H824" s="41" t="n"/>
      <c r="I824" s="41" t="n"/>
      <c r="J824" s="47" t="n"/>
      <c r="K824" s="41" t="n"/>
      <c r="L824" s="48" t="n"/>
      <c r="M824" s="45" t="n"/>
      <c r="N824" s="39">
        <f>IF($B824="","",IF(SUMPRODUCT((LISTAS!$O$3:$O$42&lt;&gt;"")*ISNUMBER(SEARCH(LISTAS!$O$3:$O$42,$I824&amp;" "&amp;$K824)))&gt;0,"CERCANA","NACIONAL"))</f>
        <v/>
      </c>
      <c r="O824" s="39">
        <f>IF($B824="","",IF(COUNTIFS(NOVEDADES!$C$4:$C$2003,$B824)=0,"—","SÍ ("&amp;COUNTIFS(NOVEDADES!$C$4:$C$2003,$B824)&amp;")"))</f>
        <v/>
      </c>
    </row>
    <row r="825">
      <c r="A825" s="41" t="n"/>
      <c r="B825" s="41" t="n"/>
      <c r="C825" s="41" t="n"/>
      <c r="D825" s="41" t="n"/>
      <c r="E825" s="46" t="n"/>
      <c r="F825" s="41" t="n"/>
      <c r="G825" s="41" t="n"/>
      <c r="H825" s="41" t="n"/>
      <c r="I825" s="41" t="n"/>
      <c r="J825" s="47" t="n"/>
      <c r="K825" s="41" t="n"/>
      <c r="L825" s="48" t="n"/>
      <c r="M825" s="45" t="n"/>
      <c r="N825" s="39">
        <f>IF($B825="","",IF(SUMPRODUCT((LISTAS!$O$3:$O$42&lt;&gt;"")*ISNUMBER(SEARCH(LISTAS!$O$3:$O$42,$I825&amp;" "&amp;$K825)))&gt;0,"CERCANA","NACIONAL"))</f>
        <v/>
      </c>
      <c r="O825" s="39">
        <f>IF($B825="","",IF(COUNTIFS(NOVEDADES!$C$4:$C$2003,$B825)=0,"—","SÍ ("&amp;COUNTIFS(NOVEDADES!$C$4:$C$2003,$B825)&amp;")"))</f>
        <v/>
      </c>
    </row>
    <row r="826">
      <c r="A826" s="41" t="n"/>
      <c r="B826" s="41" t="n"/>
      <c r="C826" s="41" t="n"/>
      <c r="D826" s="41" t="n"/>
      <c r="E826" s="46" t="n"/>
      <c r="F826" s="41" t="n"/>
      <c r="G826" s="41" t="n"/>
      <c r="H826" s="41" t="n"/>
      <c r="I826" s="41" t="n"/>
      <c r="J826" s="47" t="n"/>
      <c r="K826" s="41" t="n"/>
      <c r="L826" s="48" t="n"/>
      <c r="M826" s="45" t="n"/>
      <c r="N826" s="39">
        <f>IF($B826="","",IF(SUMPRODUCT((LISTAS!$O$3:$O$42&lt;&gt;"")*ISNUMBER(SEARCH(LISTAS!$O$3:$O$42,$I826&amp;" "&amp;$K826)))&gt;0,"CERCANA","NACIONAL"))</f>
        <v/>
      </c>
      <c r="O826" s="39">
        <f>IF($B826="","",IF(COUNTIFS(NOVEDADES!$C$4:$C$2003,$B826)=0,"—","SÍ ("&amp;COUNTIFS(NOVEDADES!$C$4:$C$2003,$B826)&amp;")"))</f>
        <v/>
      </c>
    </row>
    <row r="827">
      <c r="A827" s="41" t="n"/>
      <c r="B827" s="41" t="n"/>
      <c r="C827" s="41" t="n"/>
      <c r="D827" s="41" t="n"/>
      <c r="E827" s="46" t="n"/>
      <c r="F827" s="41" t="n"/>
      <c r="G827" s="41" t="n"/>
      <c r="H827" s="41" t="n"/>
      <c r="I827" s="41" t="n"/>
      <c r="J827" s="47" t="n"/>
      <c r="K827" s="41" t="n"/>
      <c r="L827" s="48" t="n"/>
      <c r="M827" s="45" t="n"/>
      <c r="N827" s="39">
        <f>IF($B827="","",IF(SUMPRODUCT((LISTAS!$O$3:$O$42&lt;&gt;"")*ISNUMBER(SEARCH(LISTAS!$O$3:$O$42,$I827&amp;" "&amp;$K827)))&gt;0,"CERCANA","NACIONAL"))</f>
        <v/>
      </c>
      <c r="O827" s="39">
        <f>IF($B827="","",IF(COUNTIFS(NOVEDADES!$C$4:$C$2003,$B827)=0,"—","SÍ ("&amp;COUNTIFS(NOVEDADES!$C$4:$C$2003,$B827)&amp;")"))</f>
        <v/>
      </c>
    </row>
    <row r="828">
      <c r="A828" s="41" t="n"/>
      <c r="B828" s="41" t="n"/>
      <c r="C828" s="41" t="n"/>
      <c r="D828" s="41" t="n"/>
      <c r="E828" s="46" t="n"/>
      <c r="F828" s="41" t="n"/>
      <c r="G828" s="41" t="n"/>
      <c r="H828" s="41" t="n"/>
      <c r="I828" s="41" t="n"/>
      <c r="J828" s="47" t="n"/>
      <c r="K828" s="41" t="n"/>
      <c r="L828" s="48" t="n"/>
      <c r="M828" s="45" t="n"/>
      <c r="N828" s="39">
        <f>IF($B828="","",IF(SUMPRODUCT((LISTAS!$O$3:$O$42&lt;&gt;"")*ISNUMBER(SEARCH(LISTAS!$O$3:$O$42,$I828&amp;" "&amp;$K828)))&gt;0,"CERCANA","NACIONAL"))</f>
        <v/>
      </c>
      <c r="O828" s="39">
        <f>IF($B828="","",IF(COUNTIFS(NOVEDADES!$C$4:$C$2003,$B828)=0,"—","SÍ ("&amp;COUNTIFS(NOVEDADES!$C$4:$C$2003,$B828)&amp;")"))</f>
        <v/>
      </c>
    </row>
    <row r="829">
      <c r="A829" s="41" t="n"/>
      <c r="B829" s="41" t="n"/>
      <c r="C829" s="41" t="n"/>
      <c r="D829" s="41" t="n"/>
      <c r="E829" s="46" t="n"/>
      <c r="F829" s="41" t="n"/>
      <c r="G829" s="41" t="n"/>
      <c r="H829" s="41" t="n"/>
      <c r="I829" s="41" t="n"/>
      <c r="J829" s="47" t="n"/>
      <c r="K829" s="41" t="n"/>
      <c r="L829" s="48" t="n"/>
      <c r="M829" s="45" t="n"/>
      <c r="N829" s="39">
        <f>IF($B829="","",IF(SUMPRODUCT((LISTAS!$O$3:$O$42&lt;&gt;"")*ISNUMBER(SEARCH(LISTAS!$O$3:$O$42,$I829&amp;" "&amp;$K829)))&gt;0,"CERCANA","NACIONAL"))</f>
        <v/>
      </c>
      <c r="O829" s="39">
        <f>IF($B829="","",IF(COUNTIFS(NOVEDADES!$C$4:$C$2003,$B829)=0,"—","SÍ ("&amp;COUNTIFS(NOVEDADES!$C$4:$C$2003,$B829)&amp;")"))</f>
        <v/>
      </c>
    </row>
    <row r="830">
      <c r="A830" s="41" t="n"/>
      <c r="B830" s="41" t="n"/>
      <c r="C830" s="41" t="n"/>
      <c r="D830" s="41" t="n"/>
      <c r="E830" s="46" t="n"/>
      <c r="F830" s="41" t="n"/>
      <c r="G830" s="41" t="n"/>
      <c r="H830" s="41" t="n"/>
      <c r="I830" s="41" t="n"/>
      <c r="J830" s="47" t="n"/>
      <c r="K830" s="41" t="n"/>
      <c r="L830" s="48" t="n"/>
      <c r="M830" s="45" t="n"/>
      <c r="N830" s="39">
        <f>IF($B830="","",IF(SUMPRODUCT((LISTAS!$O$3:$O$42&lt;&gt;"")*ISNUMBER(SEARCH(LISTAS!$O$3:$O$42,$I830&amp;" "&amp;$K830)))&gt;0,"CERCANA","NACIONAL"))</f>
        <v/>
      </c>
      <c r="O830" s="39">
        <f>IF($B830="","",IF(COUNTIFS(NOVEDADES!$C$4:$C$2003,$B830)=0,"—","SÍ ("&amp;COUNTIFS(NOVEDADES!$C$4:$C$2003,$B830)&amp;")"))</f>
        <v/>
      </c>
    </row>
    <row r="831">
      <c r="A831" s="41" t="n"/>
      <c r="B831" s="41" t="n"/>
      <c r="C831" s="41" t="n"/>
      <c r="D831" s="41" t="n"/>
      <c r="E831" s="46" t="n"/>
      <c r="F831" s="41" t="n"/>
      <c r="G831" s="41" t="n"/>
      <c r="H831" s="41" t="n"/>
      <c r="I831" s="41" t="n"/>
      <c r="J831" s="47" t="n"/>
      <c r="K831" s="41" t="n"/>
      <c r="L831" s="48" t="n"/>
      <c r="M831" s="45" t="n"/>
      <c r="N831" s="39">
        <f>IF($B831="","",IF(SUMPRODUCT((LISTAS!$O$3:$O$42&lt;&gt;"")*ISNUMBER(SEARCH(LISTAS!$O$3:$O$42,$I831&amp;" "&amp;$K831)))&gt;0,"CERCANA","NACIONAL"))</f>
        <v/>
      </c>
      <c r="O831" s="39">
        <f>IF($B831="","",IF(COUNTIFS(NOVEDADES!$C$4:$C$2003,$B831)=0,"—","SÍ ("&amp;COUNTIFS(NOVEDADES!$C$4:$C$2003,$B831)&amp;")"))</f>
        <v/>
      </c>
    </row>
    <row r="832">
      <c r="A832" s="41" t="n"/>
      <c r="B832" s="41" t="n"/>
      <c r="C832" s="41" t="n"/>
      <c r="D832" s="41" t="n"/>
      <c r="E832" s="46" t="n"/>
      <c r="F832" s="41" t="n"/>
      <c r="G832" s="41" t="n"/>
      <c r="H832" s="41" t="n"/>
      <c r="I832" s="41" t="n"/>
      <c r="J832" s="47" t="n"/>
      <c r="K832" s="41" t="n"/>
      <c r="L832" s="48" t="n"/>
      <c r="M832" s="45" t="n"/>
      <c r="N832" s="39">
        <f>IF($B832="","",IF(SUMPRODUCT((LISTAS!$O$3:$O$42&lt;&gt;"")*ISNUMBER(SEARCH(LISTAS!$O$3:$O$42,$I832&amp;" "&amp;$K832)))&gt;0,"CERCANA","NACIONAL"))</f>
        <v/>
      </c>
      <c r="O832" s="39">
        <f>IF($B832="","",IF(COUNTIFS(NOVEDADES!$C$4:$C$2003,$B832)=0,"—","SÍ ("&amp;COUNTIFS(NOVEDADES!$C$4:$C$2003,$B832)&amp;")"))</f>
        <v/>
      </c>
    </row>
    <row r="833">
      <c r="A833" s="41" t="n"/>
      <c r="B833" s="41" t="n"/>
      <c r="C833" s="41" t="n"/>
      <c r="D833" s="41" t="n"/>
      <c r="E833" s="46" t="n"/>
      <c r="F833" s="41" t="n"/>
      <c r="G833" s="41" t="n"/>
      <c r="H833" s="41" t="n"/>
      <c r="I833" s="41" t="n"/>
      <c r="J833" s="47" t="n"/>
      <c r="K833" s="41" t="n"/>
      <c r="L833" s="48" t="n"/>
      <c r="M833" s="45" t="n"/>
      <c r="N833" s="39">
        <f>IF($B833="","",IF(SUMPRODUCT((LISTAS!$O$3:$O$42&lt;&gt;"")*ISNUMBER(SEARCH(LISTAS!$O$3:$O$42,$I833&amp;" "&amp;$K833)))&gt;0,"CERCANA","NACIONAL"))</f>
        <v/>
      </c>
      <c r="O833" s="39">
        <f>IF($B833="","",IF(COUNTIFS(NOVEDADES!$C$4:$C$2003,$B833)=0,"—","SÍ ("&amp;COUNTIFS(NOVEDADES!$C$4:$C$2003,$B833)&amp;")"))</f>
        <v/>
      </c>
    </row>
    <row r="834">
      <c r="A834" s="41" t="n"/>
      <c r="B834" s="41" t="n"/>
      <c r="C834" s="41" t="n"/>
      <c r="D834" s="41" t="n"/>
      <c r="E834" s="46" t="n"/>
      <c r="F834" s="41" t="n"/>
      <c r="G834" s="41" t="n"/>
      <c r="H834" s="41" t="n"/>
      <c r="I834" s="41" t="n"/>
      <c r="J834" s="47" t="n"/>
      <c r="K834" s="41" t="n"/>
      <c r="L834" s="48" t="n"/>
      <c r="M834" s="45" t="n"/>
      <c r="N834" s="39">
        <f>IF($B834="","",IF(SUMPRODUCT((LISTAS!$O$3:$O$42&lt;&gt;"")*ISNUMBER(SEARCH(LISTAS!$O$3:$O$42,$I834&amp;" "&amp;$K834)))&gt;0,"CERCANA","NACIONAL"))</f>
        <v/>
      </c>
      <c r="O834" s="39">
        <f>IF($B834="","",IF(COUNTIFS(NOVEDADES!$C$4:$C$2003,$B834)=0,"—","SÍ ("&amp;COUNTIFS(NOVEDADES!$C$4:$C$2003,$B834)&amp;")"))</f>
        <v/>
      </c>
    </row>
    <row r="835">
      <c r="A835" s="41" t="n"/>
      <c r="B835" s="41" t="n"/>
      <c r="C835" s="41" t="n"/>
      <c r="D835" s="41" t="n"/>
      <c r="E835" s="46" t="n"/>
      <c r="F835" s="41" t="n"/>
      <c r="G835" s="41" t="n"/>
      <c r="H835" s="41" t="n"/>
      <c r="I835" s="41" t="n"/>
      <c r="J835" s="47" t="n"/>
      <c r="K835" s="41" t="n"/>
      <c r="L835" s="48" t="n"/>
      <c r="M835" s="45" t="n"/>
      <c r="N835" s="39">
        <f>IF($B835="","",IF(SUMPRODUCT((LISTAS!$O$3:$O$42&lt;&gt;"")*ISNUMBER(SEARCH(LISTAS!$O$3:$O$42,$I835&amp;" "&amp;$K835)))&gt;0,"CERCANA","NACIONAL"))</f>
        <v/>
      </c>
      <c r="O835" s="39">
        <f>IF($B835="","",IF(COUNTIFS(NOVEDADES!$C$4:$C$2003,$B835)=0,"—","SÍ ("&amp;COUNTIFS(NOVEDADES!$C$4:$C$2003,$B835)&amp;")"))</f>
        <v/>
      </c>
    </row>
    <row r="836">
      <c r="A836" s="41" t="n"/>
      <c r="B836" s="41" t="n"/>
      <c r="C836" s="41" t="n"/>
      <c r="D836" s="41" t="n"/>
      <c r="E836" s="46" t="n"/>
      <c r="F836" s="41" t="n"/>
      <c r="G836" s="41" t="n"/>
      <c r="H836" s="41" t="n"/>
      <c r="I836" s="41" t="n"/>
      <c r="J836" s="47" t="n"/>
      <c r="K836" s="41" t="n"/>
      <c r="L836" s="48" t="n"/>
      <c r="M836" s="45" t="n"/>
      <c r="N836" s="39">
        <f>IF($B836="","",IF(SUMPRODUCT((LISTAS!$O$3:$O$42&lt;&gt;"")*ISNUMBER(SEARCH(LISTAS!$O$3:$O$42,$I836&amp;" "&amp;$K836)))&gt;0,"CERCANA","NACIONAL"))</f>
        <v/>
      </c>
      <c r="O836" s="39">
        <f>IF($B836="","",IF(COUNTIFS(NOVEDADES!$C$4:$C$2003,$B836)=0,"—","SÍ ("&amp;COUNTIFS(NOVEDADES!$C$4:$C$2003,$B836)&amp;")"))</f>
        <v/>
      </c>
    </row>
    <row r="837">
      <c r="A837" s="41" t="n"/>
      <c r="B837" s="41" t="n"/>
      <c r="C837" s="41" t="n"/>
      <c r="D837" s="41" t="n"/>
      <c r="E837" s="46" t="n"/>
      <c r="F837" s="41" t="n"/>
      <c r="G837" s="41" t="n"/>
      <c r="H837" s="41" t="n"/>
      <c r="I837" s="41" t="n"/>
      <c r="J837" s="47" t="n"/>
      <c r="K837" s="41" t="n"/>
      <c r="L837" s="48" t="n"/>
      <c r="M837" s="45" t="n"/>
      <c r="N837" s="39">
        <f>IF($B837="","",IF(SUMPRODUCT((LISTAS!$O$3:$O$42&lt;&gt;"")*ISNUMBER(SEARCH(LISTAS!$O$3:$O$42,$I837&amp;" "&amp;$K837)))&gt;0,"CERCANA","NACIONAL"))</f>
        <v/>
      </c>
      <c r="O837" s="39">
        <f>IF($B837="","",IF(COUNTIFS(NOVEDADES!$C$4:$C$2003,$B837)=0,"—","SÍ ("&amp;COUNTIFS(NOVEDADES!$C$4:$C$2003,$B837)&amp;")"))</f>
        <v/>
      </c>
    </row>
    <row r="838">
      <c r="A838" s="41" t="n"/>
      <c r="B838" s="41" t="n"/>
      <c r="C838" s="41" t="n"/>
      <c r="D838" s="41" t="n"/>
      <c r="E838" s="46" t="n"/>
      <c r="F838" s="41" t="n"/>
      <c r="G838" s="41" t="n"/>
      <c r="H838" s="41" t="n"/>
      <c r="I838" s="41" t="n"/>
      <c r="J838" s="47" t="n"/>
      <c r="K838" s="41" t="n"/>
      <c r="L838" s="48" t="n"/>
      <c r="M838" s="45" t="n"/>
      <c r="N838" s="39">
        <f>IF($B838="","",IF(SUMPRODUCT((LISTAS!$O$3:$O$42&lt;&gt;"")*ISNUMBER(SEARCH(LISTAS!$O$3:$O$42,$I838&amp;" "&amp;$K838)))&gt;0,"CERCANA","NACIONAL"))</f>
        <v/>
      </c>
      <c r="O838" s="39">
        <f>IF($B838="","",IF(COUNTIFS(NOVEDADES!$C$4:$C$2003,$B838)=0,"—","SÍ ("&amp;COUNTIFS(NOVEDADES!$C$4:$C$2003,$B838)&amp;")"))</f>
        <v/>
      </c>
    </row>
    <row r="839">
      <c r="A839" s="41" t="n"/>
      <c r="B839" s="41" t="n"/>
      <c r="C839" s="41" t="n"/>
      <c r="D839" s="41" t="n"/>
      <c r="E839" s="46" t="n"/>
      <c r="F839" s="41" t="n"/>
      <c r="G839" s="41" t="n"/>
      <c r="H839" s="41" t="n"/>
      <c r="I839" s="41" t="n"/>
      <c r="J839" s="47" t="n"/>
      <c r="K839" s="41" t="n"/>
      <c r="L839" s="48" t="n"/>
      <c r="M839" s="45" t="n"/>
      <c r="N839" s="39">
        <f>IF($B839="","",IF(SUMPRODUCT((LISTAS!$O$3:$O$42&lt;&gt;"")*ISNUMBER(SEARCH(LISTAS!$O$3:$O$42,$I839&amp;" "&amp;$K839)))&gt;0,"CERCANA","NACIONAL"))</f>
        <v/>
      </c>
      <c r="O839" s="39">
        <f>IF($B839="","",IF(COUNTIFS(NOVEDADES!$C$4:$C$2003,$B839)=0,"—","SÍ ("&amp;COUNTIFS(NOVEDADES!$C$4:$C$2003,$B839)&amp;")"))</f>
        <v/>
      </c>
    </row>
    <row r="840">
      <c r="A840" s="41" t="n"/>
      <c r="B840" s="41" t="n"/>
      <c r="C840" s="41" t="n"/>
      <c r="D840" s="41" t="n"/>
      <c r="E840" s="46" t="n"/>
      <c r="F840" s="41" t="n"/>
      <c r="G840" s="41" t="n"/>
      <c r="H840" s="41" t="n"/>
      <c r="I840" s="41" t="n"/>
      <c r="J840" s="47" t="n"/>
      <c r="K840" s="41" t="n"/>
      <c r="L840" s="48" t="n"/>
      <c r="M840" s="45" t="n"/>
      <c r="N840" s="39">
        <f>IF($B840="","",IF(SUMPRODUCT((LISTAS!$O$3:$O$42&lt;&gt;"")*ISNUMBER(SEARCH(LISTAS!$O$3:$O$42,$I840&amp;" "&amp;$K840)))&gt;0,"CERCANA","NACIONAL"))</f>
        <v/>
      </c>
      <c r="O840" s="39">
        <f>IF($B840="","",IF(COUNTIFS(NOVEDADES!$C$4:$C$2003,$B840)=0,"—","SÍ ("&amp;COUNTIFS(NOVEDADES!$C$4:$C$2003,$B840)&amp;")"))</f>
        <v/>
      </c>
    </row>
    <row r="841">
      <c r="A841" s="41" t="n"/>
      <c r="B841" s="41" t="n"/>
      <c r="C841" s="41" t="n"/>
      <c r="D841" s="41" t="n"/>
      <c r="E841" s="46" t="n"/>
      <c r="F841" s="41" t="n"/>
      <c r="G841" s="41" t="n"/>
      <c r="H841" s="41" t="n"/>
      <c r="I841" s="41" t="n"/>
      <c r="J841" s="47" t="n"/>
      <c r="K841" s="41" t="n"/>
      <c r="L841" s="48" t="n"/>
      <c r="M841" s="45" t="n"/>
      <c r="N841" s="39">
        <f>IF($B841="","",IF(SUMPRODUCT((LISTAS!$O$3:$O$42&lt;&gt;"")*ISNUMBER(SEARCH(LISTAS!$O$3:$O$42,$I841&amp;" "&amp;$K841)))&gt;0,"CERCANA","NACIONAL"))</f>
        <v/>
      </c>
      <c r="O841" s="39">
        <f>IF($B841="","",IF(COUNTIFS(NOVEDADES!$C$4:$C$2003,$B841)=0,"—","SÍ ("&amp;COUNTIFS(NOVEDADES!$C$4:$C$2003,$B841)&amp;")"))</f>
        <v/>
      </c>
    </row>
    <row r="842">
      <c r="A842" s="41" t="n"/>
      <c r="B842" s="41" t="n"/>
      <c r="C842" s="41" t="n"/>
      <c r="D842" s="41" t="n"/>
      <c r="E842" s="46" t="n"/>
      <c r="F842" s="41" t="n"/>
      <c r="G842" s="41" t="n"/>
      <c r="H842" s="41" t="n"/>
      <c r="I842" s="41" t="n"/>
      <c r="J842" s="47" t="n"/>
      <c r="K842" s="41" t="n"/>
      <c r="L842" s="48" t="n"/>
      <c r="M842" s="45" t="n"/>
      <c r="N842" s="39">
        <f>IF($B842="","",IF(SUMPRODUCT((LISTAS!$O$3:$O$42&lt;&gt;"")*ISNUMBER(SEARCH(LISTAS!$O$3:$O$42,$I842&amp;" "&amp;$K842)))&gt;0,"CERCANA","NACIONAL"))</f>
        <v/>
      </c>
      <c r="O842" s="39">
        <f>IF($B842="","",IF(COUNTIFS(NOVEDADES!$C$4:$C$2003,$B842)=0,"—","SÍ ("&amp;COUNTIFS(NOVEDADES!$C$4:$C$2003,$B842)&amp;")"))</f>
        <v/>
      </c>
    </row>
    <row r="843">
      <c r="A843" s="41" t="n"/>
      <c r="B843" s="41" t="n"/>
      <c r="C843" s="41" t="n"/>
      <c r="D843" s="41" t="n"/>
      <c r="E843" s="46" t="n"/>
      <c r="F843" s="41" t="n"/>
      <c r="G843" s="41" t="n"/>
      <c r="H843" s="41" t="n"/>
      <c r="I843" s="41" t="n"/>
      <c r="J843" s="47" t="n"/>
      <c r="K843" s="41" t="n"/>
      <c r="L843" s="48" t="n"/>
      <c r="M843" s="45" t="n"/>
      <c r="N843" s="39">
        <f>IF($B843="","",IF(SUMPRODUCT((LISTAS!$O$3:$O$42&lt;&gt;"")*ISNUMBER(SEARCH(LISTAS!$O$3:$O$42,$I843&amp;" "&amp;$K843)))&gt;0,"CERCANA","NACIONAL"))</f>
        <v/>
      </c>
      <c r="O843" s="39">
        <f>IF($B843="","",IF(COUNTIFS(NOVEDADES!$C$4:$C$2003,$B843)=0,"—","SÍ ("&amp;COUNTIFS(NOVEDADES!$C$4:$C$2003,$B843)&amp;")"))</f>
        <v/>
      </c>
    </row>
    <row r="844">
      <c r="A844" s="41" t="n"/>
      <c r="B844" s="41" t="n"/>
      <c r="C844" s="41" t="n"/>
      <c r="D844" s="41" t="n"/>
      <c r="E844" s="46" t="n"/>
      <c r="F844" s="41" t="n"/>
      <c r="G844" s="41" t="n"/>
      <c r="H844" s="41" t="n"/>
      <c r="I844" s="41" t="n"/>
      <c r="J844" s="47" t="n"/>
      <c r="K844" s="41" t="n"/>
      <c r="L844" s="48" t="n"/>
      <c r="M844" s="45" t="n"/>
      <c r="N844" s="39">
        <f>IF($B844="","",IF(SUMPRODUCT((LISTAS!$O$3:$O$42&lt;&gt;"")*ISNUMBER(SEARCH(LISTAS!$O$3:$O$42,$I844&amp;" "&amp;$K844)))&gt;0,"CERCANA","NACIONAL"))</f>
        <v/>
      </c>
      <c r="O844" s="39">
        <f>IF($B844="","",IF(COUNTIFS(NOVEDADES!$C$4:$C$2003,$B844)=0,"—","SÍ ("&amp;COUNTIFS(NOVEDADES!$C$4:$C$2003,$B844)&amp;")"))</f>
        <v/>
      </c>
    </row>
    <row r="845">
      <c r="A845" s="41" t="n"/>
      <c r="B845" s="41" t="n"/>
      <c r="C845" s="41" t="n"/>
      <c r="D845" s="41" t="n"/>
      <c r="E845" s="46" t="n"/>
      <c r="F845" s="41" t="n"/>
      <c r="G845" s="41" t="n"/>
      <c r="H845" s="41" t="n"/>
      <c r="I845" s="41" t="n"/>
      <c r="J845" s="47" t="n"/>
      <c r="K845" s="41" t="n"/>
      <c r="L845" s="48" t="n"/>
      <c r="M845" s="45" t="n"/>
      <c r="N845" s="39">
        <f>IF($B845="","",IF(SUMPRODUCT((LISTAS!$O$3:$O$42&lt;&gt;"")*ISNUMBER(SEARCH(LISTAS!$O$3:$O$42,$I845&amp;" "&amp;$K845)))&gt;0,"CERCANA","NACIONAL"))</f>
        <v/>
      </c>
      <c r="O845" s="39">
        <f>IF($B845="","",IF(COUNTIFS(NOVEDADES!$C$4:$C$2003,$B845)=0,"—","SÍ ("&amp;COUNTIFS(NOVEDADES!$C$4:$C$2003,$B845)&amp;")"))</f>
        <v/>
      </c>
    </row>
    <row r="846">
      <c r="A846" s="41" t="n"/>
      <c r="B846" s="41" t="n"/>
      <c r="C846" s="41" t="n"/>
      <c r="D846" s="41" t="n"/>
      <c r="E846" s="46" t="n"/>
      <c r="F846" s="41" t="n"/>
      <c r="G846" s="41" t="n"/>
      <c r="H846" s="41" t="n"/>
      <c r="I846" s="41" t="n"/>
      <c r="J846" s="47" t="n"/>
      <c r="K846" s="41" t="n"/>
      <c r="L846" s="48" t="n"/>
      <c r="M846" s="45" t="n"/>
      <c r="N846" s="39">
        <f>IF($B846="","",IF(SUMPRODUCT((LISTAS!$O$3:$O$42&lt;&gt;"")*ISNUMBER(SEARCH(LISTAS!$O$3:$O$42,$I846&amp;" "&amp;$K846)))&gt;0,"CERCANA","NACIONAL"))</f>
        <v/>
      </c>
      <c r="O846" s="39">
        <f>IF($B846="","",IF(COUNTIFS(NOVEDADES!$C$4:$C$2003,$B846)=0,"—","SÍ ("&amp;COUNTIFS(NOVEDADES!$C$4:$C$2003,$B846)&amp;")"))</f>
        <v/>
      </c>
    </row>
    <row r="847">
      <c r="A847" s="41" t="n"/>
      <c r="B847" s="41" t="n"/>
      <c r="C847" s="41" t="n"/>
      <c r="D847" s="41" t="n"/>
      <c r="E847" s="46" t="n"/>
      <c r="F847" s="41" t="n"/>
      <c r="G847" s="41" t="n"/>
      <c r="H847" s="41" t="n"/>
      <c r="I847" s="41" t="n"/>
      <c r="J847" s="47" t="n"/>
      <c r="K847" s="41" t="n"/>
      <c r="L847" s="48" t="n"/>
      <c r="M847" s="45" t="n"/>
      <c r="N847" s="39">
        <f>IF($B847="","",IF(SUMPRODUCT((LISTAS!$O$3:$O$42&lt;&gt;"")*ISNUMBER(SEARCH(LISTAS!$O$3:$O$42,$I847&amp;" "&amp;$K847)))&gt;0,"CERCANA","NACIONAL"))</f>
        <v/>
      </c>
      <c r="O847" s="39">
        <f>IF($B847="","",IF(COUNTIFS(NOVEDADES!$C$4:$C$2003,$B847)=0,"—","SÍ ("&amp;COUNTIFS(NOVEDADES!$C$4:$C$2003,$B847)&amp;")"))</f>
        <v/>
      </c>
    </row>
    <row r="848">
      <c r="A848" s="41" t="n"/>
      <c r="B848" s="41" t="n"/>
      <c r="C848" s="41" t="n"/>
      <c r="D848" s="41" t="n"/>
      <c r="E848" s="46" t="n"/>
      <c r="F848" s="41" t="n"/>
      <c r="G848" s="41" t="n"/>
      <c r="H848" s="41" t="n"/>
      <c r="I848" s="41" t="n"/>
      <c r="J848" s="47" t="n"/>
      <c r="K848" s="41" t="n"/>
      <c r="L848" s="48" t="n"/>
      <c r="M848" s="45" t="n"/>
      <c r="N848" s="39">
        <f>IF($B848="","",IF(SUMPRODUCT((LISTAS!$O$3:$O$42&lt;&gt;"")*ISNUMBER(SEARCH(LISTAS!$O$3:$O$42,$I848&amp;" "&amp;$K848)))&gt;0,"CERCANA","NACIONAL"))</f>
        <v/>
      </c>
      <c r="O848" s="39">
        <f>IF($B848="","",IF(COUNTIFS(NOVEDADES!$C$4:$C$2003,$B848)=0,"—","SÍ ("&amp;COUNTIFS(NOVEDADES!$C$4:$C$2003,$B848)&amp;")"))</f>
        <v/>
      </c>
    </row>
    <row r="849">
      <c r="A849" s="41" t="n"/>
      <c r="B849" s="41" t="n"/>
      <c r="C849" s="41" t="n"/>
      <c r="D849" s="41" t="n"/>
      <c r="E849" s="46" t="n"/>
      <c r="F849" s="41" t="n"/>
      <c r="G849" s="41" t="n"/>
      <c r="H849" s="41" t="n"/>
      <c r="I849" s="41" t="n"/>
      <c r="J849" s="47" t="n"/>
      <c r="K849" s="41" t="n"/>
      <c r="L849" s="48" t="n"/>
      <c r="M849" s="45" t="n"/>
      <c r="N849" s="39">
        <f>IF($B849="","",IF(SUMPRODUCT((LISTAS!$O$3:$O$42&lt;&gt;"")*ISNUMBER(SEARCH(LISTAS!$O$3:$O$42,$I849&amp;" "&amp;$K849)))&gt;0,"CERCANA","NACIONAL"))</f>
        <v/>
      </c>
      <c r="O849" s="39">
        <f>IF($B849="","",IF(COUNTIFS(NOVEDADES!$C$4:$C$2003,$B849)=0,"—","SÍ ("&amp;COUNTIFS(NOVEDADES!$C$4:$C$2003,$B849)&amp;")"))</f>
        <v/>
      </c>
    </row>
    <row r="850">
      <c r="A850" s="41" t="n"/>
      <c r="B850" s="41" t="n"/>
      <c r="C850" s="41" t="n"/>
      <c r="D850" s="41" t="n"/>
      <c r="E850" s="46" t="n"/>
      <c r="F850" s="41" t="n"/>
      <c r="G850" s="41" t="n"/>
      <c r="H850" s="41" t="n"/>
      <c r="I850" s="41" t="n"/>
      <c r="J850" s="47" t="n"/>
      <c r="K850" s="41" t="n"/>
      <c r="L850" s="48" t="n"/>
      <c r="M850" s="45" t="n"/>
      <c r="N850" s="39">
        <f>IF($B850="","",IF(SUMPRODUCT((LISTAS!$O$3:$O$42&lt;&gt;"")*ISNUMBER(SEARCH(LISTAS!$O$3:$O$42,$I850&amp;" "&amp;$K850)))&gt;0,"CERCANA","NACIONAL"))</f>
        <v/>
      </c>
      <c r="O850" s="39">
        <f>IF($B850="","",IF(COUNTIFS(NOVEDADES!$C$4:$C$2003,$B850)=0,"—","SÍ ("&amp;COUNTIFS(NOVEDADES!$C$4:$C$2003,$B850)&amp;")"))</f>
        <v/>
      </c>
    </row>
    <row r="851">
      <c r="A851" s="41" t="n"/>
      <c r="B851" s="41" t="n"/>
      <c r="C851" s="41" t="n"/>
      <c r="D851" s="41" t="n"/>
      <c r="E851" s="46" t="n"/>
      <c r="F851" s="41" t="n"/>
      <c r="G851" s="41" t="n"/>
      <c r="H851" s="41" t="n"/>
      <c r="I851" s="41" t="n"/>
      <c r="J851" s="47" t="n"/>
      <c r="K851" s="41" t="n"/>
      <c r="L851" s="48" t="n"/>
      <c r="M851" s="45" t="n"/>
      <c r="N851" s="39">
        <f>IF($B851="","",IF(SUMPRODUCT((LISTAS!$O$3:$O$42&lt;&gt;"")*ISNUMBER(SEARCH(LISTAS!$O$3:$O$42,$I851&amp;" "&amp;$K851)))&gt;0,"CERCANA","NACIONAL"))</f>
        <v/>
      </c>
      <c r="O851" s="39">
        <f>IF($B851="","",IF(COUNTIFS(NOVEDADES!$C$4:$C$2003,$B851)=0,"—","SÍ ("&amp;COUNTIFS(NOVEDADES!$C$4:$C$2003,$B851)&amp;")"))</f>
        <v/>
      </c>
    </row>
    <row r="852">
      <c r="A852" s="41" t="n"/>
      <c r="B852" s="41" t="n"/>
      <c r="C852" s="41" t="n"/>
      <c r="D852" s="41" t="n"/>
      <c r="E852" s="46" t="n"/>
      <c r="F852" s="41" t="n"/>
      <c r="G852" s="41" t="n"/>
      <c r="H852" s="41" t="n"/>
      <c r="I852" s="41" t="n"/>
      <c r="J852" s="47" t="n"/>
      <c r="K852" s="41" t="n"/>
      <c r="L852" s="48" t="n"/>
      <c r="M852" s="45" t="n"/>
      <c r="N852" s="39">
        <f>IF($B852="","",IF(SUMPRODUCT((LISTAS!$O$3:$O$42&lt;&gt;"")*ISNUMBER(SEARCH(LISTAS!$O$3:$O$42,$I852&amp;" "&amp;$K852)))&gt;0,"CERCANA","NACIONAL"))</f>
        <v/>
      </c>
      <c r="O852" s="39">
        <f>IF($B852="","",IF(COUNTIFS(NOVEDADES!$C$4:$C$2003,$B852)=0,"—","SÍ ("&amp;COUNTIFS(NOVEDADES!$C$4:$C$2003,$B852)&amp;")"))</f>
        <v/>
      </c>
    </row>
    <row r="853">
      <c r="A853" s="41" t="n"/>
      <c r="B853" s="41" t="n"/>
      <c r="C853" s="41" t="n"/>
      <c r="D853" s="41" t="n"/>
      <c r="E853" s="46" t="n"/>
      <c r="F853" s="41" t="n"/>
      <c r="G853" s="41" t="n"/>
      <c r="H853" s="41" t="n"/>
      <c r="I853" s="41" t="n"/>
      <c r="J853" s="47" t="n"/>
      <c r="K853" s="41" t="n"/>
      <c r="L853" s="48" t="n"/>
      <c r="M853" s="45" t="n"/>
      <c r="N853" s="39">
        <f>IF($B853="","",IF(SUMPRODUCT((LISTAS!$O$3:$O$42&lt;&gt;"")*ISNUMBER(SEARCH(LISTAS!$O$3:$O$42,$I853&amp;" "&amp;$K853)))&gt;0,"CERCANA","NACIONAL"))</f>
        <v/>
      </c>
      <c r="O853" s="39">
        <f>IF($B853="","",IF(COUNTIFS(NOVEDADES!$C$4:$C$2003,$B853)=0,"—","SÍ ("&amp;COUNTIFS(NOVEDADES!$C$4:$C$2003,$B853)&amp;")"))</f>
        <v/>
      </c>
    </row>
    <row r="854">
      <c r="A854" s="41" t="n"/>
      <c r="B854" s="41" t="n"/>
      <c r="C854" s="41" t="n"/>
      <c r="D854" s="41" t="n"/>
      <c r="E854" s="46" t="n"/>
      <c r="F854" s="41" t="n"/>
      <c r="G854" s="41" t="n"/>
      <c r="H854" s="41" t="n"/>
      <c r="I854" s="41" t="n"/>
      <c r="J854" s="47" t="n"/>
      <c r="K854" s="41" t="n"/>
      <c r="L854" s="48" t="n"/>
      <c r="M854" s="45" t="n"/>
      <c r="N854" s="39">
        <f>IF($B854="","",IF(SUMPRODUCT((LISTAS!$O$3:$O$42&lt;&gt;"")*ISNUMBER(SEARCH(LISTAS!$O$3:$O$42,$I854&amp;" "&amp;$K854)))&gt;0,"CERCANA","NACIONAL"))</f>
        <v/>
      </c>
      <c r="O854" s="39">
        <f>IF($B854="","",IF(COUNTIFS(NOVEDADES!$C$4:$C$2003,$B854)=0,"—","SÍ ("&amp;COUNTIFS(NOVEDADES!$C$4:$C$2003,$B854)&amp;")"))</f>
        <v/>
      </c>
    </row>
    <row r="855">
      <c r="A855" s="41" t="n"/>
      <c r="B855" s="41" t="n"/>
      <c r="C855" s="41" t="n"/>
      <c r="D855" s="41" t="n"/>
      <c r="E855" s="46" t="n"/>
      <c r="F855" s="41" t="n"/>
      <c r="G855" s="41" t="n"/>
      <c r="H855" s="41" t="n"/>
      <c r="I855" s="41" t="n"/>
      <c r="J855" s="47" t="n"/>
      <c r="K855" s="41" t="n"/>
      <c r="L855" s="48" t="n"/>
      <c r="M855" s="45" t="n"/>
      <c r="N855" s="39">
        <f>IF($B855="","",IF(SUMPRODUCT((LISTAS!$O$3:$O$42&lt;&gt;"")*ISNUMBER(SEARCH(LISTAS!$O$3:$O$42,$I855&amp;" "&amp;$K855)))&gt;0,"CERCANA","NACIONAL"))</f>
        <v/>
      </c>
      <c r="O855" s="39">
        <f>IF($B855="","",IF(COUNTIFS(NOVEDADES!$C$4:$C$2003,$B855)=0,"—","SÍ ("&amp;COUNTIFS(NOVEDADES!$C$4:$C$2003,$B855)&amp;")"))</f>
        <v/>
      </c>
    </row>
    <row r="856">
      <c r="A856" s="41" t="n"/>
      <c r="B856" s="41" t="n"/>
      <c r="C856" s="41" t="n"/>
      <c r="D856" s="41" t="n"/>
      <c r="E856" s="46" t="n"/>
      <c r="F856" s="41" t="n"/>
      <c r="G856" s="41" t="n"/>
      <c r="H856" s="41" t="n"/>
      <c r="I856" s="41" t="n"/>
      <c r="J856" s="47" t="n"/>
      <c r="K856" s="41" t="n"/>
      <c r="L856" s="48" t="n"/>
      <c r="M856" s="45" t="n"/>
      <c r="N856" s="39">
        <f>IF($B856="","",IF(SUMPRODUCT((LISTAS!$O$3:$O$42&lt;&gt;"")*ISNUMBER(SEARCH(LISTAS!$O$3:$O$42,$I856&amp;" "&amp;$K856)))&gt;0,"CERCANA","NACIONAL"))</f>
        <v/>
      </c>
      <c r="O856" s="39">
        <f>IF($B856="","",IF(COUNTIFS(NOVEDADES!$C$4:$C$2003,$B856)=0,"—","SÍ ("&amp;COUNTIFS(NOVEDADES!$C$4:$C$2003,$B856)&amp;")"))</f>
        <v/>
      </c>
    </row>
    <row r="857">
      <c r="A857" s="41" t="n"/>
      <c r="B857" s="41" t="n"/>
      <c r="C857" s="41" t="n"/>
      <c r="D857" s="41" t="n"/>
      <c r="E857" s="46" t="n"/>
      <c r="F857" s="41" t="n"/>
      <c r="G857" s="41" t="n"/>
      <c r="H857" s="41" t="n"/>
      <c r="I857" s="41" t="n"/>
      <c r="J857" s="47" t="n"/>
      <c r="K857" s="41" t="n"/>
      <c r="L857" s="48" t="n"/>
      <c r="M857" s="45" t="n"/>
      <c r="N857" s="39">
        <f>IF($B857="","",IF(SUMPRODUCT((LISTAS!$O$3:$O$42&lt;&gt;"")*ISNUMBER(SEARCH(LISTAS!$O$3:$O$42,$I857&amp;" "&amp;$K857)))&gt;0,"CERCANA","NACIONAL"))</f>
        <v/>
      </c>
      <c r="O857" s="39">
        <f>IF($B857="","",IF(COUNTIFS(NOVEDADES!$C$4:$C$2003,$B857)=0,"—","SÍ ("&amp;COUNTIFS(NOVEDADES!$C$4:$C$2003,$B857)&amp;")"))</f>
        <v/>
      </c>
    </row>
    <row r="858">
      <c r="A858" s="41" t="n"/>
      <c r="B858" s="41" t="n"/>
      <c r="C858" s="41" t="n"/>
      <c r="D858" s="41" t="n"/>
      <c r="E858" s="46" t="n"/>
      <c r="F858" s="41" t="n"/>
      <c r="G858" s="41" t="n"/>
      <c r="H858" s="41" t="n"/>
      <c r="I858" s="41" t="n"/>
      <c r="J858" s="47" t="n"/>
      <c r="K858" s="41" t="n"/>
      <c r="L858" s="48" t="n"/>
      <c r="M858" s="45" t="n"/>
      <c r="N858" s="39">
        <f>IF($B858="","",IF(SUMPRODUCT((LISTAS!$O$3:$O$42&lt;&gt;"")*ISNUMBER(SEARCH(LISTAS!$O$3:$O$42,$I858&amp;" "&amp;$K858)))&gt;0,"CERCANA","NACIONAL"))</f>
        <v/>
      </c>
      <c r="O858" s="39">
        <f>IF($B858="","",IF(COUNTIFS(NOVEDADES!$C$4:$C$2003,$B858)=0,"—","SÍ ("&amp;COUNTIFS(NOVEDADES!$C$4:$C$2003,$B858)&amp;")"))</f>
        <v/>
      </c>
    </row>
    <row r="859">
      <c r="A859" s="41" t="n"/>
      <c r="B859" s="41" t="n"/>
      <c r="C859" s="41" t="n"/>
      <c r="D859" s="41" t="n"/>
      <c r="E859" s="46" t="n"/>
      <c r="F859" s="41" t="n"/>
      <c r="G859" s="41" t="n"/>
      <c r="H859" s="41" t="n"/>
      <c r="I859" s="41" t="n"/>
      <c r="J859" s="47" t="n"/>
      <c r="K859" s="41" t="n"/>
      <c r="L859" s="48" t="n"/>
      <c r="M859" s="45" t="n"/>
      <c r="N859" s="39">
        <f>IF($B859="","",IF(SUMPRODUCT((LISTAS!$O$3:$O$42&lt;&gt;"")*ISNUMBER(SEARCH(LISTAS!$O$3:$O$42,$I859&amp;" "&amp;$K859)))&gt;0,"CERCANA","NACIONAL"))</f>
        <v/>
      </c>
      <c r="O859" s="39">
        <f>IF($B859="","",IF(COUNTIFS(NOVEDADES!$C$4:$C$2003,$B859)=0,"—","SÍ ("&amp;COUNTIFS(NOVEDADES!$C$4:$C$2003,$B859)&amp;")"))</f>
        <v/>
      </c>
    </row>
    <row r="860">
      <c r="A860" s="41" t="n"/>
      <c r="B860" s="41" t="n"/>
      <c r="C860" s="41" t="n"/>
      <c r="D860" s="41" t="n"/>
      <c r="E860" s="46" t="n"/>
      <c r="F860" s="41" t="n"/>
      <c r="G860" s="41" t="n"/>
      <c r="H860" s="41" t="n"/>
      <c r="I860" s="41" t="n"/>
      <c r="J860" s="47" t="n"/>
      <c r="K860" s="41" t="n"/>
      <c r="L860" s="48" t="n"/>
      <c r="M860" s="45" t="n"/>
      <c r="N860" s="39">
        <f>IF($B860="","",IF(SUMPRODUCT((LISTAS!$O$3:$O$42&lt;&gt;"")*ISNUMBER(SEARCH(LISTAS!$O$3:$O$42,$I860&amp;" "&amp;$K860)))&gt;0,"CERCANA","NACIONAL"))</f>
        <v/>
      </c>
      <c r="O860" s="39">
        <f>IF($B860="","",IF(COUNTIFS(NOVEDADES!$C$4:$C$2003,$B860)=0,"—","SÍ ("&amp;COUNTIFS(NOVEDADES!$C$4:$C$2003,$B860)&amp;")"))</f>
        <v/>
      </c>
    </row>
    <row r="861">
      <c r="A861" s="41" t="n"/>
      <c r="B861" s="41" t="n"/>
      <c r="C861" s="41" t="n"/>
      <c r="D861" s="41" t="n"/>
      <c r="E861" s="46" t="n"/>
      <c r="F861" s="41" t="n"/>
      <c r="G861" s="41" t="n"/>
      <c r="H861" s="41" t="n"/>
      <c r="I861" s="41" t="n"/>
      <c r="J861" s="47" t="n"/>
      <c r="K861" s="41" t="n"/>
      <c r="L861" s="48" t="n"/>
      <c r="M861" s="45" t="n"/>
      <c r="N861" s="39">
        <f>IF($B861="","",IF(SUMPRODUCT((LISTAS!$O$3:$O$42&lt;&gt;"")*ISNUMBER(SEARCH(LISTAS!$O$3:$O$42,$I861&amp;" "&amp;$K861)))&gt;0,"CERCANA","NACIONAL"))</f>
        <v/>
      </c>
      <c r="O861" s="39">
        <f>IF($B861="","",IF(COUNTIFS(NOVEDADES!$C$4:$C$2003,$B861)=0,"—","SÍ ("&amp;COUNTIFS(NOVEDADES!$C$4:$C$2003,$B861)&amp;")"))</f>
        <v/>
      </c>
    </row>
    <row r="862">
      <c r="A862" s="41" t="n"/>
      <c r="B862" s="41" t="n"/>
      <c r="C862" s="41" t="n"/>
      <c r="D862" s="41" t="n"/>
      <c r="E862" s="46" t="n"/>
      <c r="F862" s="41" t="n"/>
      <c r="G862" s="41" t="n"/>
      <c r="H862" s="41" t="n"/>
      <c r="I862" s="41" t="n"/>
      <c r="J862" s="47" t="n"/>
      <c r="K862" s="41" t="n"/>
      <c r="L862" s="48" t="n"/>
      <c r="M862" s="45" t="n"/>
      <c r="N862" s="39">
        <f>IF($B862="","",IF(SUMPRODUCT((LISTAS!$O$3:$O$42&lt;&gt;"")*ISNUMBER(SEARCH(LISTAS!$O$3:$O$42,$I862&amp;" "&amp;$K862)))&gt;0,"CERCANA","NACIONAL"))</f>
        <v/>
      </c>
      <c r="O862" s="39">
        <f>IF($B862="","",IF(COUNTIFS(NOVEDADES!$C$4:$C$2003,$B862)=0,"—","SÍ ("&amp;COUNTIFS(NOVEDADES!$C$4:$C$2003,$B862)&amp;")"))</f>
        <v/>
      </c>
    </row>
    <row r="863">
      <c r="A863" s="41" t="n"/>
      <c r="B863" s="41" t="n"/>
      <c r="C863" s="41" t="n"/>
      <c r="D863" s="41" t="n"/>
      <c r="E863" s="46" t="n"/>
      <c r="F863" s="41" t="n"/>
      <c r="G863" s="41" t="n"/>
      <c r="H863" s="41" t="n"/>
      <c r="I863" s="41" t="n"/>
      <c r="J863" s="47" t="n"/>
      <c r="K863" s="41" t="n"/>
      <c r="L863" s="48" t="n"/>
      <c r="M863" s="45" t="n"/>
      <c r="N863" s="39">
        <f>IF($B863="","",IF(SUMPRODUCT((LISTAS!$O$3:$O$42&lt;&gt;"")*ISNUMBER(SEARCH(LISTAS!$O$3:$O$42,$I863&amp;" "&amp;$K863)))&gt;0,"CERCANA","NACIONAL"))</f>
        <v/>
      </c>
      <c r="O863" s="39">
        <f>IF($B863="","",IF(COUNTIFS(NOVEDADES!$C$4:$C$2003,$B863)=0,"—","SÍ ("&amp;COUNTIFS(NOVEDADES!$C$4:$C$2003,$B863)&amp;")"))</f>
        <v/>
      </c>
    </row>
    <row r="864">
      <c r="A864" s="41" t="n"/>
      <c r="B864" s="41" t="n"/>
      <c r="C864" s="41" t="n"/>
      <c r="D864" s="41" t="n"/>
      <c r="E864" s="46" t="n"/>
      <c r="F864" s="41" t="n"/>
      <c r="G864" s="41" t="n"/>
      <c r="H864" s="41" t="n"/>
      <c r="I864" s="41" t="n"/>
      <c r="J864" s="47" t="n"/>
      <c r="K864" s="41" t="n"/>
      <c r="L864" s="48" t="n"/>
      <c r="M864" s="45" t="n"/>
      <c r="N864" s="39">
        <f>IF($B864="","",IF(SUMPRODUCT((LISTAS!$O$3:$O$42&lt;&gt;"")*ISNUMBER(SEARCH(LISTAS!$O$3:$O$42,$I864&amp;" "&amp;$K864)))&gt;0,"CERCANA","NACIONAL"))</f>
        <v/>
      </c>
      <c r="O864" s="39">
        <f>IF($B864="","",IF(COUNTIFS(NOVEDADES!$C$4:$C$2003,$B864)=0,"—","SÍ ("&amp;COUNTIFS(NOVEDADES!$C$4:$C$2003,$B864)&amp;")"))</f>
        <v/>
      </c>
    </row>
    <row r="865">
      <c r="A865" s="41" t="n"/>
      <c r="B865" s="41" t="n"/>
      <c r="C865" s="41" t="n"/>
      <c r="D865" s="41" t="n"/>
      <c r="E865" s="46" t="n"/>
      <c r="F865" s="41" t="n"/>
      <c r="G865" s="41" t="n"/>
      <c r="H865" s="41" t="n"/>
      <c r="I865" s="41" t="n"/>
      <c r="J865" s="47" t="n"/>
      <c r="K865" s="41" t="n"/>
      <c r="L865" s="48" t="n"/>
      <c r="M865" s="45" t="n"/>
      <c r="N865" s="39">
        <f>IF($B865="","",IF(SUMPRODUCT((LISTAS!$O$3:$O$42&lt;&gt;"")*ISNUMBER(SEARCH(LISTAS!$O$3:$O$42,$I865&amp;" "&amp;$K865)))&gt;0,"CERCANA","NACIONAL"))</f>
        <v/>
      </c>
      <c r="O865" s="39">
        <f>IF($B865="","",IF(COUNTIFS(NOVEDADES!$C$4:$C$2003,$B865)=0,"—","SÍ ("&amp;COUNTIFS(NOVEDADES!$C$4:$C$2003,$B865)&amp;")"))</f>
        <v/>
      </c>
    </row>
    <row r="866">
      <c r="A866" s="41" t="n"/>
      <c r="B866" s="41" t="n"/>
      <c r="C866" s="41" t="n"/>
      <c r="D866" s="41" t="n"/>
      <c r="E866" s="46" t="n"/>
      <c r="F866" s="41" t="n"/>
      <c r="G866" s="41" t="n"/>
      <c r="H866" s="41" t="n"/>
      <c r="I866" s="41" t="n"/>
      <c r="J866" s="47" t="n"/>
      <c r="K866" s="41" t="n"/>
      <c r="L866" s="48" t="n"/>
      <c r="M866" s="45" t="n"/>
      <c r="N866" s="39">
        <f>IF($B866="","",IF(SUMPRODUCT((LISTAS!$O$3:$O$42&lt;&gt;"")*ISNUMBER(SEARCH(LISTAS!$O$3:$O$42,$I866&amp;" "&amp;$K866)))&gt;0,"CERCANA","NACIONAL"))</f>
        <v/>
      </c>
      <c r="O866" s="39">
        <f>IF($B866="","",IF(COUNTIFS(NOVEDADES!$C$4:$C$2003,$B866)=0,"—","SÍ ("&amp;COUNTIFS(NOVEDADES!$C$4:$C$2003,$B866)&amp;")"))</f>
        <v/>
      </c>
    </row>
    <row r="867">
      <c r="A867" s="41" t="n"/>
      <c r="B867" s="41" t="n"/>
      <c r="C867" s="41" t="n"/>
      <c r="D867" s="41" t="n"/>
      <c r="E867" s="46" t="n"/>
      <c r="F867" s="41" t="n"/>
      <c r="G867" s="41" t="n"/>
      <c r="H867" s="41" t="n"/>
      <c r="I867" s="41" t="n"/>
      <c r="J867" s="47" t="n"/>
      <c r="K867" s="41" t="n"/>
      <c r="L867" s="48" t="n"/>
      <c r="M867" s="45" t="n"/>
      <c r="N867" s="39">
        <f>IF($B867="","",IF(SUMPRODUCT((LISTAS!$O$3:$O$42&lt;&gt;"")*ISNUMBER(SEARCH(LISTAS!$O$3:$O$42,$I867&amp;" "&amp;$K867)))&gt;0,"CERCANA","NACIONAL"))</f>
        <v/>
      </c>
      <c r="O867" s="39">
        <f>IF($B867="","",IF(COUNTIFS(NOVEDADES!$C$4:$C$2003,$B867)=0,"—","SÍ ("&amp;COUNTIFS(NOVEDADES!$C$4:$C$2003,$B867)&amp;")"))</f>
        <v/>
      </c>
    </row>
    <row r="868">
      <c r="A868" s="41" t="n"/>
      <c r="B868" s="41" t="n"/>
      <c r="C868" s="41" t="n"/>
      <c r="D868" s="41" t="n"/>
      <c r="E868" s="46" t="n"/>
      <c r="F868" s="41" t="n"/>
      <c r="G868" s="41" t="n"/>
      <c r="H868" s="41" t="n"/>
      <c r="I868" s="41" t="n"/>
      <c r="J868" s="47" t="n"/>
      <c r="K868" s="41" t="n"/>
      <c r="L868" s="48" t="n"/>
      <c r="M868" s="45" t="n"/>
      <c r="N868" s="39">
        <f>IF($B868="","",IF(SUMPRODUCT((LISTAS!$O$3:$O$42&lt;&gt;"")*ISNUMBER(SEARCH(LISTAS!$O$3:$O$42,$I868&amp;" "&amp;$K868)))&gt;0,"CERCANA","NACIONAL"))</f>
        <v/>
      </c>
      <c r="O868" s="39">
        <f>IF($B868="","",IF(COUNTIFS(NOVEDADES!$C$4:$C$2003,$B868)=0,"—","SÍ ("&amp;COUNTIFS(NOVEDADES!$C$4:$C$2003,$B868)&amp;")"))</f>
        <v/>
      </c>
    </row>
    <row r="869">
      <c r="A869" s="41" t="n"/>
      <c r="B869" s="41" t="n"/>
      <c r="C869" s="41" t="n"/>
      <c r="D869" s="41" t="n"/>
      <c r="E869" s="46" t="n"/>
      <c r="F869" s="41" t="n"/>
      <c r="G869" s="41" t="n"/>
      <c r="H869" s="41" t="n"/>
      <c r="I869" s="41" t="n"/>
      <c r="J869" s="47" t="n"/>
      <c r="K869" s="41" t="n"/>
      <c r="L869" s="48" t="n"/>
      <c r="M869" s="45" t="n"/>
      <c r="N869" s="39">
        <f>IF($B869="","",IF(SUMPRODUCT((LISTAS!$O$3:$O$42&lt;&gt;"")*ISNUMBER(SEARCH(LISTAS!$O$3:$O$42,$I869&amp;" "&amp;$K869)))&gt;0,"CERCANA","NACIONAL"))</f>
        <v/>
      </c>
      <c r="O869" s="39">
        <f>IF($B869="","",IF(COUNTIFS(NOVEDADES!$C$4:$C$2003,$B869)=0,"—","SÍ ("&amp;COUNTIFS(NOVEDADES!$C$4:$C$2003,$B869)&amp;")"))</f>
        <v/>
      </c>
    </row>
    <row r="870">
      <c r="A870" s="41" t="n"/>
      <c r="B870" s="41" t="n"/>
      <c r="C870" s="41" t="n"/>
      <c r="D870" s="41" t="n"/>
      <c r="E870" s="46" t="n"/>
      <c r="F870" s="41" t="n"/>
      <c r="G870" s="41" t="n"/>
      <c r="H870" s="41" t="n"/>
      <c r="I870" s="41" t="n"/>
      <c r="J870" s="47" t="n"/>
      <c r="K870" s="41" t="n"/>
      <c r="L870" s="48" t="n"/>
      <c r="M870" s="45" t="n"/>
      <c r="N870" s="39">
        <f>IF($B870="","",IF(SUMPRODUCT((LISTAS!$O$3:$O$42&lt;&gt;"")*ISNUMBER(SEARCH(LISTAS!$O$3:$O$42,$I870&amp;" "&amp;$K870)))&gt;0,"CERCANA","NACIONAL"))</f>
        <v/>
      </c>
      <c r="O870" s="39">
        <f>IF($B870="","",IF(COUNTIFS(NOVEDADES!$C$4:$C$2003,$B870)=0,"—","SÍ ("&amp;COUNTIFS(NOVEDADES!$C$4:$C$2003,$B870)&amp;")"))</f>
        <v/>
      </c>
    </row>
    <row r="871">
      <c r="A871" s="41" t="n"/>
      <c r="B871" s="41" t="n"/>
      <c r="C871" s="41" t="n"/>
      <c r="D871" s="41" t="n"/>
      <c r="E871" s="46" t="n"/>
      <c r="F871" s="41" t="n"/>
      <c r="G871" s="41" t="n"/>
      <c r="H871" s="41" t="n"/>
      <c r="I871" s="41" t="n"/>
      <c r="J871" s="47" t="n"/>
      <c r="K871" s="41" t="n"/>
      <c r="L871" s="48" t="n"/>
      <c r="M871" s="45" t="n"/>
      <c r="N871" s="39">
        <f>IF($B871="","",IF(SUMPRODUCT((LISTAS!$O$3:$O$42&lt;&gt;"")*ISNUMBER(SEARCH(LISTAS!$O$3:$O$42,$I871&amp;" "&amp;$K871)))&gt;0,"CERCANA","NACIONAL"))</f>
        <v/>
      </c>
      <c r="O871" s="39">
        <f>IF($B871="","",IF(COUNTIFS(NOVEDADES!$C$4:$C$2003,$B871)=0,"—","SÍ ("&amp;COUNTIFS(NOVEDADES!$C$4:$C$2003,$B871)&amp;")"))</f>
        <v/>
      </c>
    </row>
    <row r="872">
      <c r="A872" s="41" t="n"/>
      <c r="B872" s="41" t="n"/>
      <c r="C872" s="41" t="n"/>
      <c r="D872" s="41" t="n"/>
      <c r="E872" s="46" t="n"/>
      <c r="F872" s="41" t="n"/>
      <c r="G872" s="41" t="n"/>
      <c r="H872" s="41" t="n"/>
      <c r="I872" s="41" t="n"/>
      <c r="J872" s="47" t="n"/>
      <c r="K872" s="41" t="n"/>
      <c r="L872" s="48" t="n"/>
      <c r="M872" s="45" t="n"/>
      <c r="N872" s="39">
        <f>IF($B872="","",IF(SUMPRODUCT((LISTAS!$O$3:$O$42&lt;&gt;"")*ISNUMBER(SEARCH(LISTAS!$O$3:$O$42,$I872&amp;" "&amp;$K872)))&gt;0,"CERCANA","NACIONAL"))</f>
        <v/>
      </c>
      <c r="O872" s="39">
        <f>IF($B872="","",IF(COUNTIFS(NOVEDADES!$C$4:$C$2003,$B872)=0,"—","SÍ ("&amp;COUNTIFS(NOVEDADES!$C$4:$C$2003,$B872)&amp;")"))</f>
        <v/>
      </c>
    </row>
    <row r="873">
      <c r="A873" s="41" t="n"/>
      <c r="B873" s="41" t="n"/>
      <c r="C873" s="41" t="n"/>
      <c r="D873" s="41" t="n"/>
      <c r="E873" s="46" t="n"/>
      <c r="F873" s="41" t="n"/>
      <c r="G873" s="41" t="n"/>
      <c r="H873" s="41" t="n"/>
      <c r="I873" s="41" t="n"/>
      <c r="J873" s="47" t="n"/>
      <c r="K873" s="41" t="n"/>
      <c r="L873" s="48" t="n"/>
      <c r="M873" s="45" t="n"/>
      <c r="N873" s="39">
        <f>IF($B873="","",IF(SUMPRODUCT((LISTAS!$O$3:$O$42&lt;&gt;"")*ISNUMBER(SEARCH(LISTAS!$O$3:$O$42,$I873&amp;" "&amp;$K873)))&gt;0,"CERCANA","NACIONAL"))</f>
        <v/>
      </c>
      <c r="O873" s="39">
        <f>IF($B873="","",IF(COUNTIFS(NOVEDADES!$C$4:$C$2003,$B873)=0,"—","SÍ ("&amp;COUNTIFS(NOVEDADES!$C$4:$C$2003,$B873)&amp;")"))</f>
        <v/>
      </c>
    </row>
    <row r="874">
      <c r="A874" s="41" t="n"/>
      <c r="B874" s="41" t="n"/>
      <c r="C874" s="41" t="n"/>
      <c r="D874" s="41" t="n"/>
      <c r="E874" s="46" t="n"/>
      <c r="F874" s="41" t="n"/>
      <c r="G874" s="41" t="n"/>
      <c r="H874" s="41" t="n"/>
      <c r="I874" s="41" t="n"/>
      <c r="J874" s="47" t="n"/>
      <c r="K874" s="41" t="n"/>
      <c r="L874" s="48" t="n"/>
      <c r="M874" s="45" t="n"/>
      <c r="N874" s="39">
        <f>IF($B874="","",IF(SUMPRODUCT((LISTAS!$O$3:$O$42&lt;&gt;"")*ISNUMBER(SEARCH(LISTAS!$O$3:$O$42,$I874&amp;" "&amp;$K874)))&gt;0,"CERCANA","NACIONAL"))</f>
        <v/>
      </c>
      <c r="O874" s="39">
        <f>IF($B874="","",IF(COUNTIFS(NOVEDADES!$C$4:$C$2003,$B874)=0,"—","SÍ ("&amp;COUNTIFS(NOVEDADES!$C$4:$C$2003,$B874)&amp;")"))</f>
        <v/>
      </c>
    </row>
    <row r="875">
      <c r="A875" s="41" t="n"/>
      <c r="B875" s="41" t="n"/>
      <c r="C875" s="41" t="n"/>
      <c r="D875" s="41" t="n"/>
      <c r="E875" s="46" t="n"/>
      <c r="F875" s="41" t="n"/>
      <c r="G875" s="41" t="n"/>
      <c r="H875" s="41" t="n"/>
      <c r="I875" s="41" t="n"/>
      <c r="J875" s="47" t="n"/>
      <c r="K875" s="41" t="n"/>
      <c r="L875" s="48" t="n"/>
      <c r="M875" s="45" t="n"/>
      <c r="N875" s="39">
        <f>IF($B875="","",IF(SUMPRODUCT((LISTAS!$O$3:$O$42&lt;&gt;"")*ISNUMBER(SEARCH(LISTAS!$O$3:$O$42,$I875&amp;" "&amp;$K875)))&gt;0,"CERCANA","NACIONAL"))</f>
        <v/>
      </c>
      <c r="O875" s="39">
        <f>IF($B875="","",IF(COUNTIFS(NOVEDADES!$C$4:$C$2003,$B875)=0,"—","SÍ ("&amp;COUNTIFS(NOVEDADES!$C$4:$C$2003,$B875)&amp;")"))</f>
        <v/>
      </c>
    </row>
    <row r="876">
      <c r="A876" s="41" t="n"/>
      <c r="B876" s="41" t="n"/>
      <c r="C876" s="41" t="n"/>
      <c r="D876" s="41" t="n"/>
      <c r="E876" s="46" t="n"/>
      <c r="F876" s="41" t="n"/>
      <c r="G876" s="41" t="n"/>
      <c r="H876" s="41" t="n"/>
      <c r="I876" s="41" t="n"/>
      <c r="J876" s="47" t="n"/>
      <c r="K876" s="41" t="n"/>
      <c r="L876" s="48" t="n"/>
      <c r="M876" s="45" t="n"/>
      <c r="N876" s="39">
        <f>IF($B876="","",IF(SUMPRODUCT((LISTAS!$O$3:$O$42&lt;&gt;"")*ISNUMBER(SEARCH(LISTAS!$O$3:$O$42,$I876&amp;" "&amp;$K876)))&gt;0,"CERCANA","NACIONAL"))</f>
        <v/>
      </c>
      <c r="O876" s="39">
        <f>IF($B876="","",IF(COUNTIFS(NOVEDADES!$C$4:$C$2003,$B876)=0,"—","SÍ ("&amp;COUNTIFS(NOVEDADES!$C$4:$C$2003,$B876)&amp;")"))</f>
        <v/>
      </c>
    </row>
    <row r="877">
      <c r="A877" s="41" t="n"/>
      <c r="B877" s="41" t="n"/>
      <c r="C877" s="41" t="n"/>
      <c r="D877" s="41" t="n"/>
      <c r="E877" s="46" t="n"/>
      <c r="F877" s="41" t="n"/>
      <c r="G877" s="41" t="n"/>
      <c r="H877" s="41" t="n"/>
      <c r="I877" s="41" t="n"/>
      <c r="J877" s="47" t="n"/>
      <c r="K877" s="41" t="n"/>
      <c r="L877" s="48" t="n"/>
      <c r="M877" s="45" t="n"/>
      <c r="N877" s="39">
        <f>IF($B877="","",IF(SUMPRODUCT((LISTAS!$O$3:$O$42&lt;&gt;"")*ISNUMBER(SEARCH(LISTAS!$O$3:$O$42,$I877&amp;" "&amp;$K877)))&gt;0,"CERCANA","NACIONAL"))</f>
        <v/>
      </c>
      <c r="O877" s="39">
        <f>IF($B877="","",IF(COUNTIFS(NOVEDADES!$C$4:$C$2003,$B877)=0,"—","SÍ ("&amp;COUNTIFS(NOVEDADES!$C$4:$C$2003,$B877)&amp;")"))</f>
        <v/>
      </c>
    </row>
    <row r="878">
      <c r="A878" s="41" t="n"/>
      <c r="B878" s="41" t="n"/>
      <c r="C878" s="41" t="n"/>
      <c r="D878" s="41" t="n"/>
      <c r="E878" s="46" t="n"/>
      <c r="F878" s="41" t="n"/>
      <c r="G878" s="41" t="n"/>
      <c r="H878" s="41" t="n"/>
      <c r="I878" s="41" t="n"/>
      <c r="J878" s="47" t="n"/>
      <c r="K878" s="41" t="n"/>
      <c r="L878" s="48" t="n"/>
      <c r="M878" s="45" t="n"/>
      <c r="N878" s="39">
        <f>IF($B878="","",IF(SUMPRODUCT((LISTAS!$O$3:$O$42&lt;&gt;"")*ISNUMBER(SEARCH(LISTAS!$O$3:$O$42,$I878&amp;" "&amp;$K878)))&gt;0,"CERCANA","NACIONAL"))</f>
        <v/>
      </c>
      <c r="O878" s="39">
        <f>IF($B878="","",IF(COUNTIFS(NOVEDADES!$C$4:$C$2003,$B878)=0,"—","SÍ ("&amp;COUNTIFS(NOVEDADES!$C$4:$C$2003,$B878)&amp;")"))</f>
        <v/>
      </c>
    </row>
    <row r="879">
      <c r="A879" s="41" t="n"/>
      <c r="B879" s="41" t="n"/>
      <c r="C879" s="41" t="n"/>
      <c r="D879" s="41" t="n"/>
      <c r="E879" s="46" t="n"/>
      <c r="F879" s="41" t="n"/>
      <c r="G879" s="41" t="n"/>
      <c r="H879" s="41" t="n"/>
      <c r="I879" s="41" t="n"/>
      <c r="J879" s="47" t="n"/>
      <c r="K879" s="41" t="n"/>
      <c r="L879" s="48" t="n"/>
      <c r="M879" s="45" t="n"/>
      <c r="N879" s="39">
        <f>IF($B879="","",IF(SUMPRODUCT((LISTAS!$O$3:$O$42&lt;&gt;"")*ISNUMBER(SEARCH(LISTAS!$O$3:$O$42,$I879&amp;" "&amp;$K879)))&gt;0,"CERCANA","NACIONAL"))</f>
        <v/>
      </c>
      <c r="O879" s="39">
        <f>IF($B879="","",IF(COUNTIFS(NOVEDADES!$C$4:$C$2003,$B879)=0,"—","SÍ ("&amp;COUNTIFS(NOVEDADES!$C$4:$C$2003,$B879)&amp;")"))</f>
        <v/>
      </c>
    </row>
    <row r="880">
      <c r="A880" s="41" t="n"/>
      <c r="B880" s="41" t="n"/>
      <c r="C880" s="41" t="n"/>
      <c r="D880" s="41" t="n"/>
      <c r="E880" s="46" t="n"/>
      <c r="F880" s="41" t="n"/>
      <c r="G880" s="41" t="n"/>
      <c r="H880" s="41" t="n"/>
      <c r="I880" s="41" t="n"/>
      <c r="J880" s="47" t="n"/>
      <c r="K880" s="41" t="n"/>
      <c r="L880" s="48" t="n"/>
      <c r="M880" s="45" t="n"/>
      <c r="N880" s="39">
        <f>IF($B880="","",IF(SUMPRODUCT((LISTAS!$O$3:$O$42&lt;&gt;"")*ISNUMBER(SEARCH(LISTAS!$O$3:$O$42,$I880&amp;" "&amp;$K880)))&gt;0,"CERCANA","NACIONAL"))</f>
        <v/>
      </c>
      <c r="O880" s="39">
        <f>IF($B880="","",IF(COUNTIFS(NOVEDADES!$C$4:$C$2003,$B880)=0,"—","SÍ ("&amp;COUNTIFS(NOVEDADES!$C$4:$C$2003,$B880)&amp;")"))</f>
        <v/>
      </c>
    </row>
    <row r="881">
      <c r="A881" s="41" t="n"/>
      <c r="B881" s="41" t="n"/>
      <c r="C881" s="41" t="n"/>
      <c r="D881" s="41" t="n"/>
      <c r="E881" s="46" t="n"/>
      <c r="F881" s="41" t="n"/>
      <c r="G881" s="41" t="n"/>
      <c r="H881" s="41" t="n"/>
      <c r="I881" s="41" t="n"/>
      <c r="J881" s="47" t="n"/>
      <c r="K881" s="41" t="n"/>
      <c r="L881" s="48" t="n"/>
      <c r="M881" s="45" t="n"/>
      <c r="N881" s="39">
        <f>IF($B881="","",IF(SUMPRODUCT((LISTAS!$O$3:$O$42&lt;&gt;"")*ISNUMBER(SEARCH(LISTAS!$O$3:$O$42,$I881&amp;" "&amp;$K881)))&gt;0,"CERCANA","NACIONAL"))</f>
        <v/>
      </c>
      <c r="O881" s="39">
        <f>IF($B881="","",IF(COUNTIFS(NOVEDADES!$C$4:$C$2003,$B881)=0,"—","SÍ ("&amp;COUNTIFS(NOVEDADES!$C$4:$C$2003,$B881)&amp;")"))</f>
        <v/>
      </c>
    </row>
    <row r="882">
      <c r="A882" s="41" t="n"/>
      <c r="B882" s="41" t="n"/>
      <c r="C882" s="41" t="n"/>
      <c r="D882" s="41" t="n"/>
      <c r="E882" s="46" t="n"/>
      <c r="F882" s="41" t="n"/>
      <c r="G882" s="41" t="n"/>
      <c r="H882" s="41" t="n"/>
      <c r="I882" s="41" t="n"/>
      <c r="J882" s="47" t="n"/>
      <c r="K882" s="41" t="n"/>
      <c r="L882" s="48" t="n"/>
      <c r="M882" s="45" t="n"/>
      <c r="N882" s="39">
        <f>IF($B882="","",IF(SUMPRODUCT((LISTAS!$O$3:$O$42&lt;&gt;"")*ISNUMBER(SEARCH(LISTAS!$O$3:$O$42,$I882&amp;" "&amp;$K882)))&gt;0,"CERCANA","NACIONAL"))</f>
        <v/>
      </c>
      <c r="O882" s="39">
        <f>IF($B882="","",IF(COUNTIFS(NOVEDADES!$C$4:$C$2003,$B882)=0,"—","SÍ ("&amp;COUNTIFS(NOVEDADES!$C$4:$C$2003,$B882)&amp;")"))</f>
        <v/>
      </c>
    </row>
    <row r="883">
      <c r="A883" s="41" t="n"/>
      <c r="B883" s="41" t="n"/>
      <c r="C883" s="41" t="n"/>
      <c r="D883" s="41" t="n"/>
      <c r="E883" s="46" t="n"/>
      <c r="F883" s="41" t="n"/>
      <c r="G883" s="41" t="n"/>
      <c r="H883" s="41" t="n"/>
      <c r="I883" s="41" t="n"/>
      <c r="J883" s="47" t="n"/>
      <c r="K883" s="41" t="n"/>
      <c r="L883" s="48" t="n"/>
      <c r="M883" s="45" t="n"/>
      <c r="N883" s="39">
        <f>IF($B883="","",IF(SUMPRODUCT((LISTAS!$O$3:$O$42&lt;&gt;"")*ISNUMBER(SEARCH(LISTAS!$O$3:$O$42,$I883&amp;" "&amp;$K883)))&gt;0,"CERCANA","NACIONAL"))</f>
        <v/>
      </c>
      <c r="O883" s="39">
        <f>IF($B883="","",IF(COUNTIFS(NOVEDADES!$C$4:$C$2003,$B883)=0,"—","SÍ ("&amp;COUNTIFS(NOVEDADES!$C$4:$C$2003,$B883)&amp;")"))</f>
        <v/>
      </c>
    </row>
    <row r="884">
      <c r="A884" s="41" t="n"/>
      <c r="B884" s="41" t="n"/>
      <c r="C884" s="41" t="n"/>
      <c r="D884" s="41" t="n"/>
      <c r="E884" s="46" t="n"/>
      <c r="F884" s="41" t="n"/>
      <c r="G884" s="41" t="n"/>
      <c r="H884" s="41" t="n"/>
      <c r="I884" s="41" t="n"/>
      <c r="J884" s="47" t="n"/>
      <c r="K884" s="41" t="n"/>
      <c r="L884" s="48" t="n"/>
      <c r="M884" s="45" t="n"/>
      <c r="N884" s="39">
        <f>IF($B884="","",IF(SUMPRODUCT((LISTAS!$O$3:$O$42&lt;&gt;"")*ISNUMBER(SEARCH(LISTAS!$O$3:$O$42,$I884&amp;" "&amp;$K884)))&gt;0,"CERCANA","NACIONAL"))</f>
        <v/>
      </c>
      <c r="O884" s="39">
        <f>IF($B884="","",IF(COUNTIFS(NOVEDADES!$C$4:$C$2003,$B884)=0,"—","SÍ ("&amp;COUNTIFS(NOVEDADES!$C$4:$C$2003,$B884)&amp;")"))</f>
        <v/>
      </c>
    </row>
    <row r="885">
      <c r="A885" s="41" t="n"/>
      <c r="B885" s="41" t="n"/>
      <c r="C885" s="41" t="n"/>
      <c r="D885" s="41" t="n"/>
      <c r="E885" s="46" t="n"/>
      <c r="F885" s="41" t="n"/>
      <c r="G885" s="41" t="n"/>
      <c r="H885" s="41" t="n"/>
      <c r="I885" s="41" t="n"/>
      <c r="J885" s="47" t="n"/>
      <c r="K885" s="41" t="n"/>
      <c r="L885" s="48" t="n"/>
      <c r="M885" s="45" t="n"/>
      <c r="N885" s="39">
        <f>IF($B885="","",IF(SUMPRODUCT((LISTAS!$O$3:$O$42&lt;&gt;"")*ISNUMBER(SEARCH(LISTAS!$O$3:$O$42,$I885&amp;" "&amp;$K885)))&gt;0,"CERCANA","NACIONAL"))</f>
        <v/>
      </c>
      <c r="O885" s="39">
        <f>IF($B885="","",IF(COUNTIFS(NOVEDADES!$C$4:$C$2003,$B885)=0,"—","SÍ ("&amp;COUNTIFS(NOVEDADES!$C$4:$C$2003,$B885)&amp;")"))</f>
        <v/>
      </c>
    </row>
    <row r="886">
      <c r="A886" s="41" t="n"/>
      <c r="B886" s="41" t="n"/>
      <c r="C886" s="41" t="n"/>
      <c r="D886" s="41" t="n"/>
      <c r="E886" s="46" t="n"/>
      <c r="F886" s="41" t="n"/>
      <c r="G886" s="41" t="n"/>
      <c r="H886" s="41" t="n"/>
      <c r="I886" s="41" t="n"/>
      <c r="J886" s="47" t="n"/>
      <c r="K886" s="41" t="n"/>
      <c r="L886" s="48" t="n"/>
      <c r="M886" s="45" t="n"/>
      <c r="N886" s="39">
        <f>IF($B886="","",IF(SUMPRODUCT((LISTAS!$O$3:$O$42&lt;&gt;"")*ISNUMBER(SEARCH(LISTAS!$O$3:$O$42,$I886&amp;" "&amp;$K886)))&gt;0,"CERCANA","NACIONAL"))</f>
        <v/>
      </c>
      <c r="O886" s="39">
        <f>IF($B886="","",IF(COUNTIFS(NOVEDADES!$C$4:$C$2003,$B886)=0,"—","SÍ ("&amp;COUNTIFS(NOVEDADES!$C$4:$C$2003,$B886)&amp;")"))</f>
        <v/>
      </c>
    </row>
    <row r="887">
      <c r="A887" s="41" t="n"/>
      <c r="B887" s="41" t="n"/>
      <c r="C887" s="41" t="n"/>
      <c r="D887" s="41" t="n"/>
      <c r="E887" s="46" t="n"/>
      <c r="F887" s="41" t="n"/>
      <c r="G887" s="41" t="n"/>
      <c r="H887" s="41" t="n"/>
      <c r="I887" s="41" t="n"/>
      <c r="J887" s="47" t="n"/>
      <c r="K887" s="41" t="n"/>
      <c r="L887" s="48" t="n"/>
      <c r="M887" s="45" t="n"/>
      <c r="N887" s="39">
        <f>IF($B887="","",IF(SUMPRODUCT((LISTAS!$O$3:$O$42&lt;&gt;"")*ISNUMBER(SEARCH(LISTAS!$O$3:$O$42,$I887&amp;" "&amp;$K887)))&gt;0,"CERCANA","NACIONAL"))</f>
        <v/>
      </c>
      <c r="O887" s="39">
        <f>IF($B887="","",IF(COUNTIFS(NOVEDADES!$C$4:$C$2003,$B887)=0,"—","SÍ ("&amp;COUNTIFS(NOVEDADES!$C$4:$C$2003,$B887)&amp;")"))</f>
        <v/>
      </c>
    </row>
    <row r="888">
      <c r="A888" s="41" t="n"/>
      <c r="B888" s="41" t="n"/>
      <c r="C888" s="41" t="n"/>
      <c r="D888" s="41" t="n"/>
      <c r="E888" s="46" t="n"/>
      <c r="F888" s="41" t="n"/>
      <c r="G888" s="41" t="n"/>
      <c r="H888" s="41" t="n"/>
      <c r="I888" s="41" t="n"/>
      <c r="J888" s="47" t="n"/>
      <c r="K888" s="41" t="n"/>
      <c r="L888" s="48" t="n"/>
      <c r="M888" s="45" t="n"/>
      <c r="N888" s="39">
        <f>IF($B888="","",IF(SUMPRODUCT((LISTAS!$O$3:$O$42&lt;&gt;"")*ISNUMBER(SEARCH(LISTAS!$O$3:$O$42,$I888&amp;" "&amp;$K888)))&gt;0,"CERCANA","NACIONAL"))</f>
        <v/>
      </c>
      <c r="O888" s="39">
        <f>IF($B888="","",IF(COUNTIFS(NOVEDADES!$C$4:$C$2003,$B888)=0,"—","SÍ ("&amp;COUNTIFS(NOVEDADES!$C$4:$C$2003,$B888)&amp;")"))</f>
        <v/>
      </c>
    </row>
    <row r="889">
      <c r="A889" s="41" t="n"/>
      <c r="B889" s="41" t="n"/>
      <c r="C889" s="41" t="n"/>
      <c r="D889" s="41" t="n"/>
      <c r="E889" s="46" t="n"/>
      <c r="F889" s="41" t="n"/>
      <c r="G889" s="41" t="n"/>
      <c r="H889" s="41" t="n"/>
      <c r="I889" s="41" t="n"/>
      <c r="J889" s="47" t="n"/>
      <c r="K889" s="41" t="n"/>
      <c r="L889" s="48" t="n"/>
      <c r="M889" s="45" t="n"/>
      <c r="N889" s="39">
        <f>IF($B889="","",IF(SUMPRODUCT((LISTAS!$O$3:$O$42&lt;&gt;"")*ISNUMBER(SEARCH(LISTAS!$O$3:$O$42,$I889&amp;" "&amp;$K889)))&gt;0,"CERCANA","NACIONAL"))</f>
        <v/>
      </c>
      <c r="O889" s="39">
        <f>IF($B889="","",IF(COUNTIFS(NOVEDADES!$C$4:$C$2003,$B889)=0,"—","SÍ ("&amp;COUNTIFS(NOVEDADES!$C$4:$C$2003,$B889)&amp;")"))</f>
        <v/>
      </c>
    </row>
    <row r="890">
      <c r="A890" s="41" t="n"/>
      <c r="B890" s="41" t="n"/>
      <c r="C890" s="41" t="n"/>
      <c r="D890" s="41" t="n"/>
      <c r="E890" s="46" t="n"/>
      <c r="F890" s="41" t="n"/>
      <c r="G890" s="41" t="n"/>
      <c r="H890" s="41" t="n"/>
      <c r="I890" s="41" t="n"/>
      <c r="J890" s="47" t="n"/>
      <c r="K890" s="41" t="n"/>
      <c r="L890" s="48" t="n"/>
      <c r="M890" s="45" t="n"/>
      <c r="N890" s="39">
        <f>IF($B890="","",IF(SUMPRODUCT((LISTAS!$O$3:$O$42&lt;&gt;"")*ISNUMBER(SEARCH(LISTAS!$O$3:$O$42,$I890&amp;" "&amp;$K890)))&gt;0,"CERCANA","NACIONAL"))</f>
        <v/>
      </c>
      <c r="O890" s="39">
        <f>IF($B890="","",IF(COUNTIFS(NOVEDADES!$C$4:$C$2003,$B890)=0,"—","SÍ ("&amp;COUNTIFS(NOVEDADES!$C$4:$C$2003,$B890)&amp;")"))</f>
        <v/>
      </c>
    </row>
    <row r="891">
      <c r="A891" s="41" t="n"/>
      <c r="B891" s="41" t="n"/>
      <c r="C891" s="41" t="n"/>
      <c r="D891" s="41" t="n"/>
      <c r="E891" s="46" t="n"/>
      <c r="F891" s="41" t="n"/>
      <c r="G891" s="41" t="n"/>
      <c r="H891" s="41" t="n"/>
      <c r="I891" s="41" t="n"/>
      <c r="J891" s="47" t="n"/>
      <c r="K891" s="41" t="n"/>
      <c r="L891" s="48" t="n"/>
      <c r="M891" s="45" t="n"/>
      <c r="N891" s="39">
        <f>IF($B891="","",IF(SUMPRODUCT((LISTAS!$O$3:$O$42&lt;&gt;"")*ISNUMBER(SEARCH(LISTAS!$O$3:$O$42,$I891&amp;" "&amp;$K891)))&gt;0,"CERCANA","NACIONAL"))</f>
        <v/>
      </c>
      <c r="O891" s="39">
        <f>IF($B891="","",IF(COUNTIFS(NOVEDADES!$C$4:$C$2003,$B891)=0,"—","SÍ ("&amp;COUNTIFS(NOVEDADES!$C$4:$C$2003,$B891)&amp;")"))</f>
        <v/>
      </c>
    </row>
    <row r="892">
      <c r="A892" s="41" t="n"/>
      <c r="B892" s="41" t="n"/>
      <c r="C892" s="41" t="n"/>
      <c r="D892" s="41" t="n"/>
      <c r="E892" s="46" t="n"/>
      <c r="F892" s="41" t="n"/>
      <c r="G892" s="41" t="n"/>
      <c r="H892" s="41" t="n"/>
      <c r="I892" s="41" t="n"/>
      <c r="J892" s="47" t="n"/>
      <c r="K892" s="41" t="n"/>
      <c r="L892" s="48" t="n"/>
      <c r="M892" s="45" t="n"/>
      <c r="N892" s="39">
        <f>IF($B892="","",IF(SUMPRODUCT((LISTAS!$O$3:$O$42&lt;&gt;"")*ISNUMBER(SEARCH(LISTAS!$O$3:$O$42,$I892&amp;" "&amp;$K892)))&gt;0,"CERCANA","NACIONAL"))</f>
        <v/>
      </c>
      <c r="O892" s="39">
        <f>IF($B892="","",IF(COUNTIFS(NOVEDADES!$C$4:$C$2003,$B892)=0,"—","SÍ ("&amp;COUNTIFS(NOVEDADES!$C$4:$C$2003,$B892)&amp;")"))</f>
        <v/>
      </c>
    </row>
    <row r="893">
      <c r="A893" s="41" t="n"/>
      <c r="B893" s="41" t="n"/>
      <c r="C893" s="41" t="n"/>
      <c r="D893" s="41" t="n"/>
      <c r="E893" s="46" t="n"/>
      <c r="F893" s="41" t="n"/>
      <c r="G893" s="41" t="n"/>
      <c r="H893" s="41" t="n"/>
      <c r="I893" s="41" t="n"/>
      <c r="J893" s="47" t="n"/>
      <c r="K893" s="41" t="n"/>
      <c r="L893" s="48" t="n"/>
      <c r="M893" s="45" t="n"/>
      <c r="N893" s="39">
        <f>IF($B893="","",IF(SUMPRODUCT((LISTAS!$O$3:$O$42&lt;&gt;"")*ISNUMBER(SEARCH(LISTAS!$O$3:$O$42,$I893&amp;" "&amp;$K893)))&gt;0,"CERCANA","NACIONAL"))</f>
        <v/>
      </c>
      <c r="O893" s="39">
        <f>IF($B893="","",IF(COUNTIFS(NOVEDADES!$C$4:$C$2003,$B893)=0,"—","SÍ ("&amp;COUNTIFS(NOVEDADES!$C$4:$C$2003,$B893)&amp;")"))</f>
        <v/>
      </c>
    </row>
    <row r="894">
      <c r="A894" s="41" t="n"/>
      <c r="B894" s="41" t="n"/>
      <c r="C894" s="41" t="n"/>
      <c r="D894" s="41" t="n"/>
      <c r="E894" s="46" t="n"/>
      <c r="F894" s="41" t="n"/>
      <c r="G894" s="41" t="n"/>
      <c r="H894" s="41" t="n"/>
      <c r="I894" s="41" t="n"/>
      <c r="J894" s="47" t="n"/>
      <c r="K894" s="41" t="n"/>
      <c r="L894" s="48" t="n"/>
      <c r="M894" s="45" t="n"/>
      <c r="N894" s="39">
        <f>IF($B894="","",IF(SUMPRODUCT((LISTAS!$O$3:$O$42&lt;&gt;"")*ISNUMBER(SEARCH(LISTAS!$O$3:$O$42,$I894&amp;" "&amp;$K894)))&gt;0,"CERCANA","NACIONAL"))</f>
        <v/>
      </c>
      <c r="O894" s="39">
        <f>IF($B894="","",IF(COUNTIFS(NOVEDADES!$C$4:$C$2003,$B894)=0,"—","SÍ ("&amp;COUNTIFS(NOVEDADES!$C$4:$C$2003,$B894)&amp;")"))</f>
        <v/>
      </c>
    </row>
    <row r="895">
      <c r="A895" s="41" t="n"/>
      <c r="B895" s="41" t="n"/>
      <c r="C895" s="41" t="n"/>
      <c r="D895" s="41" t="n"/>
      <c r="E895" s="46" t="n"/>
      <c r="F895" s="41" t="n"/>
      <c r="G895" s="41" t="n"/>
      <c r="H895" s="41" t="n"/>
      <c r="I895" s="41" t="n"/>
      <c r="J895" s="47" t="n"/>
      <c r="K895" s="41" t="n"/>
      <c r="L895" s="48" t="n"/>
      <c r="M895" s="45" t="n"/>
      <c r="N895" s="39">
        <f>IF($B895="","",IF(SUMPRODUCT((LISTAS!$O$3:$O$42&lt;&gt;"")*ISNUMBER(SEARCH(LISTAS!$O$3:$O$42,$I895&amp;" "&amp;$K895)))&gt;0,"CERCANA","NACIONAL"))</f>
        <v/>
      </c>
      <c r="O895" s="39">
        <f>IF($B895="","",IF(COUNTIFS(NOVEDADES!$C$4:$C$2003,$B895)=0,"—","SÍ ("&amp;COUNTIFS(NOVEDADES!$C$4:$C$2003,$B895)&amp;")"))</f>
        <v/>
      </c>
    </row>
    <row r="896">
      <c r="A896" s="41" t="n"/>
      <c r="B896" s="41" t="n"/>
      <c r="C896" s="41" t="n"/>
      <c r="D896" s="41" t="n"/>
      <c r="E896" s="46" t="n"/>
      <c r="F896" s="41" t="n"/>
      <c r="G896" s="41" t="n"/>
      <c r="H896" s="41" t="n"/>
      <c r="I896" s="41" t="n"/>
      <c r="J896" s="47" t="n"/>
      <c r="K896" s="41" t="n"/>
      <c r="L896" s="48" t="n"/>
      <c r="M896" s="45" t="n"/>
      <c r="N896" s="39">
        <f>IF($B896="","",IF(SUMPRODUCT((LISTAS!$O$3:$O$42&lt;&gt;"")*ISNUMBER(SEARCH(LISTAS!$O$3:$O$42,$I896&amp;" "&amp;$K896)))&gt;0,"CERCANA","NACIONAL"))</f>
        <v/>
      </c>
      <c r="O896" s="39">
        <f>IF($B896="","",IF(COUNTIFS(NOVEDADES!$C$4:$C$2003,$B896)=0,"—","SÍ ("&amp;COUNTIFS(NOVEDADES!$C$4:$C$2003,$B896)&amp;")"))</f>
        <v/>
      </c>
    </row>
    <row r="897">
      <c r="A897" s="41" t="n"/>
      <c r="B897" s="41" t="n"/>
      <c r="C897" s="41" t="n"/>
      <c r="D897" s="41" t="n"/>
      <c r="E897" s="46" t="n"/>
      <c r="F897" s="41" t="n"/>
      <c r="G897" s="41" t="n"/>
      <c r="H897" s="41" t="n"/>
      <c r="I897" s="41" t="n"/>
      <c r="J897" s="47" t="n"/>
      <c r="K897" s="41" t="n"/>
      <c r="L897" s="48" t="n"/>
      <c r="M897" s="45" t="n"/>
      <c r="N897" s="39">
        <f>IF($B897="","",IF(SUMPRODUCT((LISTAS!$O$3:$O$42&lt;&gt;"")*ISNUMBER(SEARCH(LISTAS!$O$3:$O$42,$I897&amp;" "&amp;$K897)))&gt;0,"CERCANA","NACIONAL"))</f>
        <v/>
      </c>
      <c r="O897" s="39">
        <f>IF($B897="","",IF(COUNTIFS(NOVEDADES!$C$4:$C$2003,$B897)=0,"—","SÍ ("&amp;COUNTIFS(NOVEDADES!$C$4:$C$2003,$B897)&amp;")"))</f>
        <v/>
      </c>
    </row>
    <row r="898">
      <c r="A898" s="41" t="n"/>
      <c r="B898" s="41" t="n"/>
      <c r="C898" s="41" t="n"/>
      <c r="D898" s="41" t="n"/>
      <c r="E898" s="46" t="n"/>
      <c r="F898" s="41" t="n"/>
      <c r="G898" s="41" t="n"/>
      <c r="H898" s="41" t="n"/>
      <c r="I898" s="41" t="n"/>
      <c r="J898" s="47" t="n"/>
      <c r="K898" s="41" t="n"/>
      <c r="L898" s="48" t="n"/>
      <c r="M898" s="45" t="n"/>
      <c r="N898" s="39">
        <f>IF($B898="","",IF(SUMPRODUCT((LISTAS!$O$3:$O$42&lt;&gt;"")*ISNUMBER(SEARCH(LISTAS!$O$3:$O$42,$I898&amp;" "&amp;$K898)))&gt;0,"CERCANA","NACIONAL"))</f>
        <v/>
      </c>
      <c r="O898" s="39">
        <f>IF($B898="","",IF(COUNTIFS(NOVEDADES!$C$4:$C$2003,$B898)=0,"—","SÍ ("&amp;COUNTIFS(NOVEDADES!$C$4:$C$2003,$B898)&amp;")"))</f>
        <v/>
      </c>
    </row>
    <row r="899">
      <c r="A899" s="41" t="n"/>
      <c r="B899" s="41" t="n"/>
      <c r="C899" s="41" t="n"/>
      <c r="D899" s="41" t="n"/>
      <c r="E899" s="46" t="n"/>
      <c r="F899" s="41" t="n"/>
      <c r="G899" s="41" t="n"/>
      <c r="H899" s="41" t="n"/>
      <c r="I899" s="41" t="n"/>
      <c r="J899" s="47" t="n"/>
      <c r="K899" s="41" t="n"/>
      <c r="L899" s="48" t="n"/>
      <c r="M899" s="45" t="n"/>
      <c r="N899" s="39">
        <f>IF($B899="","",IF(SUMPRODUCT((LISTAS!$O$3:$O$42&lt;&gt;"")*ISNUMBER(SEARCH(LISTAS!$O$3:$O$42,$I899&amp;" "&amp;$K899)))&gt;0,"CERCANA","NACIONAL"))</f>
        <v/>
      </c>
      <c r="O899" s="39">
        <f>IF($B899="","",IF(COUNTIFS(NOVEDADES!$C$4:$C$2003,$B899)=0,"—","SÍ ("&amp;COUNTIFS(NOVEDADES!$C$4:$C$2003,$B899)&amp;")"))</f>
        <v/>
      </c>
    </row>
    <row r="900">
      <c r="A900" s="41" t="n"/>
      <c r="B900" s="41" t="n"/>
      <c r="C900" s="41" t="n"/>
      <c r="D900" s="41" t="n"/>
      <c r="E900" s="46" t="n"/>
      <c r="F900" s="41" t="n"/>
      <c r="G900" s="41" t="n"/>
      <c r="H900" s="41" t="n"/>
      <c r="I900" s="41" t="n"/>
      <c r="J900" s="47" t="n"/>
      <c r="K900" s="41" t="n"/>
      <c r="L900" s="48" t="n"/>
      <c r="M900" s="45" t="n"/>
      <c r="N900" s="39">
        <f>IF($B900="","",IF(SUMPRODUCT((LISTAS!$O$3:$O$42&lt;&gt;"")*ISNUMBER(SEARCH(LISTAS!$O$3:$O$42,$I900&amp;" "&amp;$K900)))&gt;0,"CERCANA","NACIONAL"))</f>
        <v/>
      </c>
      <c r="O900" s="39">
        <f>IF($B900="","",IF(COUNTIFS(NOVEDADES!$C$4:$C$2003,$B900)=0,"—","SÍ ("&amp;COUNTIFS(NOVEDADES!$C$4:$C$2003,$B900)&amp;")"))</f>
        <v/>
      </c>
    </row>
    <row r="901">
      <c r="A901" s="41" t="n"/>
      <c r="B901" s="41" t="n"/>
      <c r="C901" s="41" t="n"/>
      <c r="D901" s="41" t="n"/>
      <c r="E901" s="46" t="n"/>
      <c r="F901" s="41" t="n"/>
      <c r="G901" s="41" t="n"/>
      <c r="H901" s="41" t="n"/>
      <c r="I901" s="41" t="n"/>
      <c r="J901" s="47" t="n"/>
      <c r="K901" s="41" t="n"/>
      <c r="L901" s="48" t="n"/>
      <c r="M901" s="45" t="n"/>
      <c r="N901" s="39">
        <f>IF($B901="","",IF(SUMPRODUCT((LISTAS!$O$3:$O$42&lt;&gt;"")*ISNUMBER(SEARCH(LISTAS!$O$3:$O$42,$I901&amp;" "&amp;$K901)))&gt;0,"CERCANA","NACIONAL"))</f>
        <v/>
      </c>
      <c r="O901" s="39">
        <f>IF($B901="","",IF(COUNTIFS(NOVEDADES!$C$4:$C$2003,$B901)=0,"—","SÍ ("&amp;COUNTIFS(NOVEDADES!$C$4:$C$2003,$B901)&amp;")"))</f>
        <v/>
      </c>
    </row>
    <row r="902">
      <c r="A902" s="41" t="n"/>
      <c r="B902" s="41" t="n"/>
      <c r="C902" s="41" t="n"/>
      <c r="D902" s="41" t="n"/>
      <c r="E902" s="46" t="n"/>
      <c r="F902" s="41" t="n"/>
      <c r="G902" s="41" t="n"/>
      <c r="H902" s="41" t="n"/>
      <c r="I902" s="41" t="n"/>
      <c r="J902" s="47" t="n"/>
      <c r="K902" s="41" t="n"/>
      <c r="L902" s="48" t="n"/>
      <c r="M902" s="45" t="n"/>
      <c r="N902" s="39">
        <f>IF($B902="","",IF(SUMPRODUCT((LISTAS!$O$3:$O$42&lt;&gt;"")*ISNUMBER(SEARCH(LISTAS!$O$3:$O$42,$I902&amp;" "&amp;$K902)))&gt;0,"CERCANA","NACIONAL"))</f>
        <v/>
      </c>
      <c r="O902" s="39">
        <f>IF($B902="","",IF(COUNTIFS(NOVEDADES!$C$4:$C$2003,$B902)=0,"—","SÍ ("&amp;COUNTIFS(NOVEDADES!$C$4:$C$2003,$B902)&amp;")"))</f>
        <v/>
      </c>
    </row>
    <row r="903">
      <c r="A903" s="41" t="n"/>
      <c r="B903" s="41" t="n"/>
      <c r="C903" s="41" t="n"/>
      <c r="D903" s="41" t="n"/>
      <c r="E903" s="46" t="n"/>
      <c r="F903" s="41" t="n"/>
      <c r="G903" s="41" t="n"/>
      <c r="H903" s="41" t="n"/>
      <c r="I903" s="41" t="n"/>
      <c r="J903" s="47" t="n"/>
      <c r="K903" s="41" t="n"/>
      <c r="L903" s="48" t="n"/>
      <c r="M903" s="45" t="n"/>
      <c r="N903" s="39">
        <f>IF($B903="","",IF(SUMPRODUCT((LISTAS!$O$3:$O$42&lt;&gt;"")*ISNUMBER(SEARCH(LISTAS!$O$3:$O$42,$I903&amp;" "&amp;$K903)))&gt;0,"CERCANA","NACIONAL"))</f>
        <v/>
      </c>
      <c r="O903" s="39">
        <f>IF($B903="","",IF(COUNTIFS(NOVEDADES!$C$4:$C$2003,$B903)=0,"—","SÍ ("&amp;COUNTIFS(NOVEDADES!$C$4:$C$2003,$B903)&amp;")"))</f>
        <v/>
      </c>
    </row>
    <row r="904">
      <c r="A904" s="41" t="n"/>
      <c r="B904" s="41" t="n"/>
      <c r="C904" s="41" t="n"/>
      <c r="D904" s="41" t="n"/>
      <c r="E904" s="46" t="n"/>
      <c r="F904" s="41" t="n"/>
      <c r="G904" s="41" t="n"/>
      <c r="H904" s="41" t="n"/>
      <c r="I904" s="41" t="n"/>
      <c r="J904" s="47" t="n"/>
      <c r="K904" s="41" t="n"/>
      <c r="L904" s="48" t="n"/>
      <c r="M904" s="45" t="n"/>
      <c r="N904" s="39">
        <f>IF($B904="","",IF(SUMPRODUCT((LISTAS!$O$3:$O$42&lt;&gt;"")*ISNUMBER(SEARCH(LISTAS!$O$3:$O$42,$I904&amp;" "&amp;$K904)))&gt;0,"CERCANA","NACIONAL"))</f>
        <v/>
      </c>
      <c r="O904" s="39">
        <f>IF($B904="","",IF(COUNTIFS(NOVEDADES!$C$4:$C$2003,$B904)=0,"—","SÍ ("&amp;COUNTIFS(NOVEDADES!$C$4:$C$2003,$B904)&amp;")"))</f>
        <v/>
      </c>
    </row>
    <row r="905">
      <c r="A905" s="41" t="n"/>
      <c r="B905" s="41" t="n"/>
      <c r="C905" s="41" t="n"/>
      <c r="D905" s="41" t="n"/>
      <c r="E905" s="46" t="n"/>
      <c r="F905" s="41" t="n"/>
      <c r="G905" s="41" t="n"/>
      <c r="H905" s="41" t="n"/>
      <c r="I905" s="41" t="n"/>
      <c r="J905" s="47" t="n"/>
      <c r="K905" s="41" t="n"/>
      <c r="L905" s="48" t="n"/>
      <c r="M905" s="45" t="n"/>
      <c r="N905" s="39">
        <f>IF($B905="","",IF(SUMPRODUCT((LISTAS!$O$3:$O$42&lt;&gt;"")*ISNUMBER(SEARCH(LISTAS!$O$3:$O$42,$I905&amp;" "&amp;$K905)))&gt;0,"CERCANA","NACIONAL"))</f>
        <v/>
      </c>
      <c r="O905" s="39">
        <f>IF($B905="","",IF(COUNTIFS(NOVEDADES!$C$4:$C$2003,$B905)=0,"—","SÍ ("&amp;COUNTIFS(NOVEDADES!$C$4:$C$2003,$B905)&amp;")"))</f>
        <v/>
      </c>
    </row>
    <row r="906">
      <c r="A906" s="41" t="n"/>
      <c r="B906" s="41" t="n"/>
      <c r="C906" s="41" t="n"/>
      <c r="D906" s="41" t="n"/>
      <c r="E906" s="46" t="n"/>
      <c r="F906" s="41" t="n"/>
      <c r="G906" s="41" t="n"/>
      <c r="H906" s="41" t="n"/>
      <c r="I906" s="41" t="n"/>
      <c r="J906" s="47" t="n"/>
      <c r="K906" s="41" t="n"/>
      <c r="L906" s="48" t="n"/>
      <c r="M906" s="45" t="n"/>
      <c r="N906" s="39">
        <f>IF($B906="","",IF(SUMPRODUCT((LISTAS!$O$3:$O$42&lt;&gt;"")*ISNUMBER(SEARCH(LISTAS!$O$3:$O$42,$I906&amp;" "&amp;$K906)))&gt;0,"CERCANA","NACIONAL"))</f>
        <v/>
      </c>
      <c r="O906" s="39">
        <f>IF($B906="","",IF(COUNTIFS(NOVEDADES!$C$4:$C$2003,$B906)=0,"—","SÍ ("&amp;COUNTIFS(NOVEDADES!$C$4:$C$2003,$B906)&amp;")"))</f>
        <v/>
      </c>
    </row>
    <row r="907">
      <c r="A907" s="41" t="n"/>
      <c r="B907" s="41" t="n"/>
      <c r="C907" s="41" t="n"/>
      <c r="D907" s="41" t="n"/>
      <c r="E907" s="46" t="n"/>
      <c r="F907" s="41" t="n"/>
      <c r="G907" s="41" t="n"/>
      <c r="H907" s="41" t="n"/>
      <c r="I907" s="41" t="n"/>
      <c r="J907" s="47" t="n"/>
      <c r="K907" s="41" t="n"/>
      <c r="L907" s="48" t="n"/>
      <c r="M907" s="45" t="n"/>
      <c r="N907" s="39">
        <f>IF($B907="","",IF(SUMPRODUCT((LISTAS!$O$3:$O$42&lt;&gt;"")*ISNUMBER(SEARCH(LISTAS!$O$3:$O$42,$I907&amp;" "&amp;$K907)))&gt;0,"CERCANA","NACIONAL"))</f>
        <v/>
      </c>
      <c r="O907" s="39">
        <f>IF($B907="","",IF(COUNTIFS(NOVEDADES!$C$4:$C$2003,$B907)=0,"—","SÍ ("&amp;COUNTIFS(NOVEDADES!$C$4:$C$2003,$B907)&amp;")"))</f>
        <v/>
      </c>
    </row>
    <row r="908">
      <c r="A908" s="41" t="n"/>
      <c r="B908" s="41" t="n"/>
      <c r="C908" s="41" t="n"/>
      <c r="D908" s="41" t="n"/>
      <c r="E908" s="46" t="n"/>
      <c r="F908" s="41" t="n"/>
      <c r="G908" s="41" t="n"/>
      <c r="H908" s="41" t="n"/>
      <c r="I908" s="41" t="n"/>
      <c r="J908" s="47" t="n"/>
      <c r="K908" s="41" t="n"/>
      <c r="L908" s="48" t="n"/>
      <c r="M908" s="45" t="n"/>
      <c r="N908" s="39">
        <f>IF($B908="","",IF(SUMPRODUCT((LISTAS!$O$3:$O$42&lt;&gt;"")*ISNUMBER(SEARCH(LISTAS!$O$3:$O$42,$I908&amp;" "&amp;$K908)))&gt;0,"CERCANA","NACIONAL"))</f>
        <v/>
      </c>
      <c r="O908" s="39">
        <f>IF($B908="","",IF(COUNTIFS(NOVEDADES!$C$4:$C$2003,$B908)=0,"—","SÍ ("&amp;COUNTIFS(NOVEDADES!$C$4:$C$2003,$B908)&amp;")"))</f>
        <v/>
      </c>
    </row>
    <row r="909">
      <c r="A909" s="41" t="n"/>
      <c r="B909" s="41" t="n"/>
      <c r="C909" s="41" t="n"/>
      <c r="D909" s="41" t="n"/>
      <c r="E909" s="46" t="n"/>
      <c r="F909" s="41" t="n"/>
      <c r="G909" s="41" t="n"/>
      <c r="H909" s="41" t="n"/>
      <c r="I909" s="41" t="n"/>
      <c r="J909" s="47" t="n"/>
      <c r="K909" s="41" t="n"/>
      <c r="L909" s="48" t="n"/>
      <c r="M909" s="45" t="n"/>
      <c r="N909" s="39">
        <f>IF($B909="","",IF(SUMPRODUCT((LISTAS!$O$3:$O$42&lt;&gt;"")*ISNUMBER(SEARCH(LISTAS!$O$3:$O$42,$I909&amp;" "&amp;$K909)))&gt;0,"CERCANA","NACIONAL"))</f>
        <v/>
      </c>
      <c r="O909" s="39">
        <f>IF($B909="","",IF(COUNTIFS(NOVEDADES!$C$4:$C$2003,$B909)=0,"—","SÍ ("&amp;COUNTIFS(NOVEDADES!$C$4:$C$2003,$B909)&amp;")"))</f>
        <v/>
      </c>
    </row>
    <row r="910">
      <c r="A910" s="41" t="n"/>
      <c r="B910" s="41" t="n"/>
      <c r="C910" s="41" t="n"/>
      <c r="D910" s="41" t="n"/>
      <c r="E910" s="46" t="n"/>
      <c r="F910" s="41" t="n"/>
      <c r="G910" s="41" t="n"/>
      <c r="H910" s="41" t="n"/>
      <c r="I910" s="41" t="n"/>
      <c r="J910" s="47" t="n"/>
      <c r="K910" s="41" t="n"/>
      <c r="L910" s="48" t="n"/>
      <c r="M910" s="45" t="n"/>
      <c r="N910" s="39">
        <f>IF($B910="","",IF(SUMPRODUCT((LISTAS!$O$3:$O$42&lt;&gt;"")*ISNUMBER(SEARCH(LISTAS!$O$3:$O$42,$I910&amp;" "&amp;$K910)))&gt;0,"CERCANA","NACIONAL"))</f>
        <v/>
      </c>
      <c r="O910" s="39">
        <f>IF($B910="","",IF(COUNTIFS(NOVEDADES!$C$4:$C$2003,$B910)=0,"—","SÍ ("&amp;COUNTIFS(NOVEDADES!$C$4:$C$2003,$B910)&amp;")"))</f>
        <v/>
      </c>
    </row>
    <row r="911">
      <c r="A911" s="41" t="n"/>
      <c r="B911" s="41" t="n"/>
      <c r="C911" s="41" t="n"/>
      <c r="D911" s="41" t="n"/>
      <c r="E911" s="46" t="n"/>
      <c r="F911" s="41" t="n"/>
      <c r="G911" s="41" t="n"/>
      <c r="H911" s="41" t="n"/>
      <c r="I911" s="41" t="n"/>
      <c r="J911" s="47" t="n"/>
      <c r="K911" s="41" t="n"/>
      <c r="L911" s="48" t="n"/>
      <c r="M911" s="45" t="n"/>
      <c r="N911" s="39">
        <f>IF($B911="","",IF(SUMPRODUCT((LISTAS!$O$3:$O$42&lt;&gt;"")*ISNUMBER(SEARCH(LISTAS!$O$3:$O$42,$I911&amp;" "&amp;$K911)))&gt;0,"CERCANA","NACIONAL"))</f>
        <v/>
      </c>
      <c r="O911" s="39">
        <f>IF($B911="","",IF(COUNTIFS(NOVEDADES!$C$4:$C$2003,$B911)=0,"—","SÍ ("&amp;COUNTIFS(NOVEDADES!$C$4:$C$2003,$B911)&amp;")"))</f>
        <v/>
      </c>
    </row>
    <row r="912">
      <c r="A912" s="41" t="n"/>
      <c r="B912" s="41" t="n"/>
      <c r="C912" s="41" t="n"/>
      <c r="D912" s="41" t="n"/>
      <c r="E912" s="46" t="n"/>
      <c r="F912" s="41" t="n"/>
      <c r="G912" s="41" t="n"/>
      <c r="H912" s="41" t="n"/>
      <c r="I912" s="41" t="n"/>
      <c r="J912" s="47" t="n"/>
      <c r="K912" s="41" t="n"/>
      <c r="L912" s="48" t="n"/>
      <c r="M912" s="45" t="n"/>
      <c r="N912" s="39">
        <f>IF($B912="","",IF(SUMPRODUCT((LISTAS!$O$3:$O$42&lt;&gt;"")*ISNUMBER(SEARCH(LISTAS!$O$3:$O$42,$I912&amp;" "&amp;$K912)))&gt;0,"CERCANA","NACIONAL"))</f>
        <v/>
      </c>
      <c r="O912" s="39">
        <f>IF($B912="","",IF(COUNTIFS(NOVEDADES!$C$4:$C$2003,$B912)=0,"—","SÍ ("&amp;COUNTIFS(NOVEDADES!$C$4:$C$2003,$B912)&amp;")"))</f>
        <v/>
      </c>
    </row>
    <row r="913">
      <c r="A913" s="41" t="n"/>
      <c r="B913" s="41" t="n"/>
      <c r="C913" s="41" t="n"/>
      <c r="D913" s="41" t="n"/>
      <c r="E913" s="46" t="n"/>
      <c r="F913" s="41" t="n"/>
      <c r="G913" s="41" t="n"/>
      <c r="H913" s="41" t="n"/>
      <c r="I913" s="41" t="n"/>
      <c r="J913" s="47" t="n"/>
      <c r="K913" s="41" t="n"/>
      <c r="L913" s="48" t="n"/>
      <c r="M913" s="45" t="n"/>
      <c r="N913" s="39">
        <f>IF($B913="","",IF(SUMPRODUCT((LISTAS!$O$3:$O$42&lt;&gt;"")*ISNUMBER(SEARCH(LISTAS!$O$3:$O$42,$I913&amp;" "&amp;$K913)))&gt;0,"CERCANA","NACIONAL"))</f>
        <v/>
      </c>
      <c r="O913" s="39">
        <f>IF($B913="","",IF(COUNTIFS(NOVEDADES!$C$4:$C$2003,$B913)=0,"—","SÍ ("&amp;COUNTIFS(NOVEDADES!$C$4:$C$2003,$B913)&amp;")"))</f>
        <v/>
      </c>
    </row>
    <row r="914">
      <c r="A914" s="41" t="n"/>
      <c r="B914" s="41" t="n"/>
      <c r="C914" s="41" t="n"/>
      <c r="D914" s="41" t="n"/>
      <c r="E914" s="46" t="n"/>
      <c r="F914" s="41" t="n"/>
      <c r="G914" s="41" t="n"/>
      <c r="H914" s="41" t="n"/>
      <c r="I914" s="41" t="n"/>
      <c r="J914" s="47" t="n"/>
      <c r="K914" s="41" t="n"/>
      <c r="L914" s="48" t="n"/>
      <c r="M914" s="45" t="n"/>
      <c r="N914" s="39">
        <f>IF($B914="","",IF(SUMPRODUCT((LISTAS!$O$3:$O$42&lt;&gt;"")*ISNUMBER(SEARCH(LISTAS!$O$3:$O$42,$I914&amp;" "&amp;$K914)))&gt;0,"CERCANA","NACIONAL"))</f>
        <v/>
      </c>
      <c r="O914" s="39">
        <f>IF($B914="","",IF(COUNTIFS(NOVEDADES!$C$4:$C$2003,$B914)=0,"—","SÍ ("&amp;COUNTIFS(NOVEDADES!$C$4:$C$2003,$B914)&amp;")"))</f>
        <v/>
      </c>
    </row>
    <row r="915">
      <c r="A915" s="41" t="n"/>
      <c r="B915" s="41" t="n"/>
      <c r="C915" s="41" t="n"/>
      <c r="D915" s="41" t="n"/>
      <c r="E915" s="46" t="n"/>
      <c r="F915" s="41" t="n"/>
      <c r="G915" s="41" t="n"/>
      <c r="H915" s="41" t="n"/>
      <c r="I915" s="41" t="n"/>
      <c r="J915" s="47" t="n"/>
      <c r="K915" s="41" t="n"/>
      <c r="L915" s="48" t="n"/>
      <c r="M915" s="45" t="n"/>
      <c r="N915" s="39">
        <f>IF($B915="","",IF(SUMPRODUCT((LISTAS!$O$3:$O$42&lt;&gt;"")*ISNUMBER(SEARCH(LISTAS!$O$3:$O$42,$I915&amp;" "&amp;$K915)))&gt;0,"CERCANA","NACIONAL"))</f>
        <v/>
      </c>
      <c r="O915" s="39">
        <f>IF($B915="","",IF(COUNTIFS(NOVEDADES!$C$4:$C$2003,$B915)=0,"—","SÍ ("&amp;COUNTIFS(NOVEDADES!$C$4:$C$2003,$B915)&amp;")"))</f>
        <v/>
      </c>
    </row>
    <row r="916">
      <c r="A916" s="41" t="n"/>
      <c r="B916" s="41" t="n"/>
      <c r="C916" s="41" t="n"/>
      <c r="D916" s="41" t="n"/>
      <c r="E916" s="46" t="n"/>
      <c r="F916" s="41" t="n"/>
      <c r="G916" s="41" t="n"/>
      <c r="H916" s="41" t="n"/>
      <c r="I916" s="41" t="n"/>
      <c r="J916" s="47" t="n"/>
      <c r="K916" s="41" t="n"/>
      <c r="L916" s="48" t="n"/>
      <c r="M916" s="45" t="n"/>
      <c r="N916" s="39">
        <f>IF($B916="","",IF(SUMPRODUCT((LISTAS!$O$3:$O$42&lt;&gt;"")*ISNUMBER(SEARCH(LISTAS!$O$3:$O$42,$I916&amp;" "&amp;$K916)))&gt;0,"CERCANA","NACIONAL"))</f>
        <v/>
      </c>
      <c r="O916" s="39">
        <f>IF($B916="","",IF(COUNTIFS(NOVEDADES!$C$4:$C$2003,$B916)=0,"—","SÍ ("&amp;COUNTIFS(NOVEDADES!$C$4:$C$2003,$B916)&amp;")"))</f>
        <v/>
      </c>
    </row>
    <row r="917">
      <c r="A917" s="41" t="n"/>
      <c r="B917" s="41" t="n"/>
      <c r="C917" s="41" t="n"/>
      <c r="D917" s="41" t="n"/>
      <c r="E917" s="46" t="n"/>
      <c r="F917" s="41" t="n"/>
      <c r="G917" s="41" t="n"/>
      <c r="H917" s="41" t="n"/>
      <c r="I917" s="41" t="n"/>
      <c r="J917" s="47" t="n"/>
      <c r="K917" s="41" t="n"/>
      <c r="L917" s="48" t="n"/>
      <c r="M917" s="45" t="n"/>
      <c r="N917" s="39">
        <f>IF($B917="","",IF(SUMPRODUCT((LISTAS!$O$3:$O$42&lt;&gt;"")*ISNUMBER(SEARCH(LISTAS!$O$3:$O$42,$I917&amp;" "&amp;$K917)))&gt;0,"CERCANA","NACIONAL"))</f>
        <v/>
      </c>
      <c r="O917" s="39">
        <f>IF($B917="","",IF(COUNTIFS(NOVEDADES!$C$4:$C$2003,$B917)=0,"—","SÍ ("&amp;COUNTIFS(NOVEDADES!$C$4:$C$2003,$B917)&amp;")"))</f>
        <v/>
      </c>
    </row>
    <row r="918">
      <c r="A918" s="41" t="n"/>
      <c r="B918" s="41" t="n"/>
      <c r="C918" s="41" t="n"/>
      <c r="D918" s="41" t="n"/>
      <c r="E918" s="46" t="n"/>
      <c r="F918" s="41" t="n"/>
      <c r="G918" s="41" t="n"/>
      <c r="H918" s="41" t="n"/>
      <c r="I918" s="41" t="n"/>
      <c r="J918" s="47" t="n"/>
      <c r="K918" s="41" t="n"/>
      <c r="L918" s="48" t="n"/>
      <c r="M918" s="45" t="n"/>
      <c r="N918" s="39">
        <f>IF($B918="","",IF(SUMPRODUCT((LISTAS!$O$3:$O$42&lt;&gt;"")*ISNUMBER(SEARCH(LISTAS!$O$3:$O$42,$I918&amp;" "&amp;$K918)))&gt;0,"CERCANA","NACIONAL"))</f>
        <v/>
      </c>
      <c r="O918" s="39">
        <f>IF($B918="","",IF(COUNTIFS(NOVEDADES!$C$4:$C$2003,$B918)=0,"—","SÍ ("&amp;COUNTIFS(NOVEDADES!$C$4:$C$2003,$B918)&amp;")"))</f>
        <v/>
      </c>
    </row>
    <row r="919">
      <c r="A919" s="41" t="n"/>
      <c r="B919" s="41" t="n"/>
      <c r="C919" s="41" t="n"/>
      <c r="D919" s="41" t="n"/>
      <c r="E919" s="46" t="n"/>
      <c r="F919" s="41" t="n"/>
      <c r="G919" s="41" t="n"/>
      <c r="H919" s="41" t="n"/>
      <c r="I919" s="41" t="n"/>
      <c r="J919" s="47" t="n"/>
      <c r="K919" s="41" t="n"/>
      <c r="L919" s="48" t="n"/>
      <c r="M919" s="45" t="n"/>
      <c r="N919" s="39">
        <f>IF($B919="","",IF(SUMPRODUCT((LISTAS!$O$3:$O$42&lt;&gt;"")*ISNUMBER(SEARCH(LISTAS!$O$3:$O$42,$I919&amp;" "&amp;$K919)))&gt;0,"CERCANA","NACIONAL"))</f>
        <v/>
      </c>
      <c r="O919" s="39">
        <f>IF($B919="","",IF(COUNTIFS(NOVEDADES!$C$4:$C$2003,$B919)=0,"—","SÍ ("&amp;COUNTIFS(NOVEDADES!$C$4:$C$2003,$B919)&amp;")"))</f>
        <v/>
      </c>
    </row>
    <row r="920">
      <c r="A920" s="41" t="n"/>
      <c r="B920" s="41" t="n"/>
      <c r="C920" s="41" t="n"/>
      <c r="D920" s="41" t="n"/>
      <c r="E920" s="46" t="n"/>
      <c r="F920" s="41" t="n"/>
      <c r="G920" s="41" t="n"/>
      <c r="H920" s="41" t="n"/>
      <c r="I920" s="41" t="n"/>
      <c r="J920" s="47" t="n"/>
      <c r="K920" s="41" t="n"/>
      <c r="L920" s="48" t="n"/>
      <c r="M920" s="45" t="n"/>
      <c r="N920" s="39">
        <f>IF($B920="","",IF(SUMPRODUCT((LISTAS!$O$3:$O$42&lt;&gt;"")*ISNUMBER(SEARCH(LISTAS!$O$3:$O$42,$I920&amp;" "&amp;$K920)))&gt;0,"CERCANA","NACIONAL"))</f>
        <v/>
      </c>
      <c r="O920" s="39">
        <f>IF($B920="","",IF(COUNTIFS(NOVEDADES!$C$4:$C$2003,$B920)=0,"—","SÍ ("&amp;COUNTIFS(NOVEDADES!$C$4:$C$2003,$B920)&amp;")"))</f>
        <v/>
      </c>
    </row>
    <row r="921">
      <c r="A921" s="41" t="n"/>
      <c r="B921" s="41" t="n"/>
      <c r="C921" s="41" t="n"/>
      <c r="D921" s="41" t="n"/>
      <c r="E921" s="46" t="n"/>
      <c r="F921" s="41" t="n"/>
      <c r="G921" s="41" t="n"/>
      <c r="H921" s="41" t="n"/>
      <c r="I921" s="41" t="n"/>
      <c r="J921" s="47" t="n"/>
      <c r="K921" s="41" t="n"/>
      <c r="L921" s="48" t="n"/>
      <c r="M921" s="45" t="n"/>
      <c r="N921" s="39">
        <f>IF($B921="","",IF(SUMPRODUCT((LISTAS!$O$3:$O$42&lt;&gt;"")*ISNUMBER(SEARCH(LISTAS!$O$3:$O$42,$I921&amp;" "&amp;$K921)))&gt;0,"CERCANA","NACIONAL"))</f>
        <v/>
      </c>
      <c r="O921" s="39">
        <f>IF($B921="","",IF(COUNTIFS(NOVEDADES!$C$4:$C$2003,$B921)=0,"—","SÍ ("&amp;COUNTIFS(NOVEDADES!$C$4:$C$2003,$B921)&amp;")"))</f>
        <v/>
      </c>
    </row>
    <row r="922">
      <c r="A922" s="41" t="n"/>
      <c r="B922" s="41" t="n"/>
      <c r="C922" s="41" t="n"/>
      <c r="D922" s="41" t="n"/>
      <c r="E922" s="46" t="n"/>
      <c r="F922" s="41" t="n"/>
      <c r="G922" s="41" t="n"/>
      <c r="H922" s="41" t="n"/>
      <c r="I922" s="41" t="n"/>
      <c r="J922" s="47" t="n"/>
      <c r="K922" s="41" t="n"/>
      <c r="L922" s="48" t="n"/>
      <c r="M922" s="45" t="n"/>
      <c r="N922" s="39">
        <f>IF($B922="","",IF(SUMPRODUCT((LISTAS!$O$3:$O$42&lt;&gt;"")*ISNUMBER(SEARCH(LISTAS!$O$3:$O$42,$I922&amp;" "&amp;$K922)))&gt;0,"CERCANA","NACIONAL"))</f>
        <v/>
      </c>
      <c r="O922" s="39">
        <f>IF($B922="","",IF(COUNTIFS(NOVEDADES!$C$4:$C$2003,$B922)=0,"—","SÍ ("&amp;COUNTIFS(NOVEDADES!$C$4:$C$2003,$B922)&amp;")"))</f>
        <v/>
      </c>
    </row>
    <row r="923">
      <c r="A923" s="41" t="n"/>
      <c r="B923" s="41" t="n"/>
      <c r="C923" s="41" t="n"/>
      <c r="D923" s="41" t="n"/>
      <c r="E923" s="46" t="n"/>
      <c r="F923" s="41" t="n"/>
      <c r="G923" s="41" t="n"/>
      <c r="H923" s="41" t="n"/>
      <c r="I923" s="41" t="n"/>
      <c r="J923" s="47" t="n"/>
      <c r="K923" s="41" t="n"/>
      <c r="L923" s="48" t="n"/>
      <c r="M923" s="45" t="n"/>
      <c r="N923" s="39">
        <f>IF($B923="","",IF(SUMPRODUCT((LISTAS!$O$3:$O$42&lt;&gt;"")*ISNUMBER(SEARCH(LISTAS!$O$3:$O$42,$I923&amp;" "&amp;$K923)))&gt;0,"CERCANA","NACIONAL"))</f>
        <v/>
      </c>
      <c r="O923" s="39">
        <f>IF($B923="","",IF(COUNTIFS(NOVEDADES!$C$4:$C$2003,$B923)=0,"—","SÍ ("&amp;COUNTIFS(NOVEDADES!$C$4:$C$2003,$B923)&amp;")"))</f>
        <v/>
      </c>
    </row>
    <row r="924">
      <c r="A924" s="41" t="n"/>
      <c r="B924" s="41" t="n"/>
      <c r="C924" s="41" t="n"/>
      <c r="D924" s="41" t="n"/>
      <c r="E924" s="46" t="n"/>
      <c r="F924" s="41" t="n"/>
      <c r="G924" s="41" t="n"/>
      <c r="H924" s="41" t="n"/>
      <c r="I924" s="41" t="n"/>
      <c r="J924" s="47" t="n"/>
      <c r="K924" s="41" t="n"/>
      <c r="L924" s="48" t="n"/>
      <c r="M924" s="45" t="n"/>
      <c r="N924" s="39">
        <f>IF($B924="","",IF(SUMPRODUCT((LISTAS!$O$3:$O$42&lt;&gt;"")*ISNUMBER(SEARCH(LISTAS!$O$3:$O$42,$I924&amp;" "&amp;$K924)))&gt;0,"CERCANA","NACIONAL"))</f>
        <v/>
      </c>
      <c r="O924" s="39">
        <f>IF($B924="","",IF(COUNTIFS(NOVEDADES!$C$4:$C$2003,$B924)=0,"—","SÍ ("&amp;COUNTIFS(NOVEDADES!$C$4:$C$2003,$B924)&amp;")"))</f>
        <v/>
      </c>
    </row>
    <row r="925">
      <c r="A925" s="41" t="n"/>
      <c r="B925" s="41" t="n"/>
      <c r="C925" s="41" t="n"/>
      <c r="D925" s="41" t="n"/>
      <c r="E925" s="46" t="n"/>
      <c r="F925" s="41" t="n"/>
      <c r="G925" s="41" t="n"/>
      <c r="H925" s="41" t="n"/>
      <c r="I925" s="41" t="n"/>
      <c r="J925" s="47" t="n"/>
      <c r="K925" s="41" t="n"/>
      <c r="L925" s="48" t="n"/>
      <c r="M925" s="45" t="n"/>
      <c r="N925" s="39">
        <f>IF($B925="","",IF(SUMPRODUCT((LISTAS!$O$3:$O$42&lt;&gt;"")*ISNUMBER(SEARCH(LISTAS!$O$3:$O$42,$I925&amp;" "&amp;$K925)))&gt;0,"CERCANA","NACIONAL"))</f>
        <v/>
      </c>
      <c r="O925" s="39">
        <f>IF($B925="","",IF(COUNTIFS(NOVEDADES!$C$4:$C$2003,$B925)=0,"—","SÍ ("&amp;COUNTIFS(NOVEDADES!$C$4:$C$2003,$B925)&amp;")"))</f>
        <v/>
      </c>
    </row>
    <row r="926">
      <c r="A926" s="41" t="n"/>
      <c r="B926" s="41" t="n"/>
      <c r="C926" s="41" t="n"/>
      <c r="D926" s="41" t="n"/>
      <c r="E926" s="46" t="n"/>
      <c r="F926" s="41" t="n"/>
      <c r="G926" s="41" t="n"/>
      <c r="H926" s="41" t="n"/>
      <c r="I926" s="41" t="n"/>
      <c r="J926" s="47" t="n"/>
      <c r="K926" s="41" t="n"/>
      <c r="L926" s="48" t="n"/>
      <c r="M926" s="45" t="n"/>
      <c r="N926" s="39">
        <f>IF($B926="","",IF(SUMPRODUCT((LISTAS!$O$3:$O$42&lt;&gt;"")*ISNUMBER(SEARCH(LISTAS!$O$3:$O$42,$I926&amp;" "&amp;$K926)))&gt;0,"CERCANA","NACIONAL"))</f>
        <v/>
      </c>
      <c r="O926" s="39">
        <f>IF($B926="","",IF(COUNTIFS(NOVEDADES!$C$4:$C$2003,$B926)=0,"—","SÍ ("&amp;COUNTIFS(NOVEDADES!$C$4:$C$2003,$B926)&amp;")"))</f>
        <v/>
      </c>
    </row>
    <row r="927">
      <c r="A927" s="41" t="n"/>
      <c r="B927" s="41" t="n"/>
      <c r="C927" s="41" t="n"/>
      <c r="D927" s="41" t="n"/>
      <c r="E927" s="46" t="n"/>
      <c r="F927" s="41" t="n"/>
      <c r="G927" s="41" t="n"/>
      <c r="H927" s="41" t="n"/>
      <c r="I927" s="41" t="n"/>
      <c r="J927" s="47" t="n"/>
      <c r="K927" s="41" t="n"/>
      <c r="L927" s="48" t="n"/>
      <c r="M927" s="45" t="n"/>
      <c r="N927" s="39">
        <f>IF($B927="","",IF(SUMPRODUCT((LISTAS!$O$3:$O$42&lt;&gt;"")*ISNUMBER(SEARCH(LISTAS!$O$3:$O$42,$I927&amp;" "&amp;$K927)))&gt;0,"CERCANA","NACIONAL"))</f>
        <v/>
      </c>
      <c r="O927" s="39">
        <f>IF($B927="","",IF(COUNTIFS(NOVEDADES!$C$4:$C$2003,$B927)=0,"—","SÍ ("&amp;COUNTIFS(NOVEDADES!$C$4:$C$2003,$B927)&amp;")"))</f>
        <v/>
      </c>
    </row>
    <row r="928">
      <c r="A928" s="41" t="n"/>
      <c r="B928" s="41" t="n"/>
      <c r="C928" s="41" t="n"/>
      <c r="D928" s="41" t="n"/>
      <c r="E928" s="46" t="n"/>
      <c r="F928" s="41" t="n"/>
      <c r="G928" s="41" t="n"/>
      <c r="H928" s="41" t="n"/>
      <c r="I928" s="41" t="n"/>
      <c r="J928" s="47" t="n"/>
      <c r="K928" s="41" t="n"/>
      <c r="L928" s="48" t="n"/>
      <c r="M928" s="45" t="n"/>
      <c r="N928" s="39">
        <f>IF($B928="","",IF(SUMPRODUCT((LISTAS!$O$3:$O$42&lt;&gt;"")*ISNUMBER(SEARCH(LISTAS!$O$3:$O$42,$I928&amp;" "&amp;$K928)))&gt;0,"CERCANA","NACIONAL"))</f>
        <v/>
      </c>
      <c r="O928" s="39">
        <f>IF($B928="","",IF(COUNTIFS(NOVEDADES!$C$4:$C$2003,$B928)=0,"—","SÍ ("&amp;COUNTIFS(NOVEDADES!$C$4:$C$2003,$B928)&amp;")"))</f>
        <v/>
      </c>
    </row>
    <row r="929">
      <c r="A929" s="41" t="n"/>
      <c r="B929" s="41" t="n"/>
      <c r="C929" s="41" t="n"/>
      <c r="D929" s="41" t="n"/>
      <c r="E929" s="46" t="n"/>
      <c r="F929" s="41" t="n"/>
      <c r="G929" s="41" t="n"/>
      <c r="H929" s="41" t="n"/>
      <c r="I929" s="41" t="n"/>
      <c r="J929" s="47" t="n"/>
      <c r="K929" s="41" t="n"/>
      <c r="L929" s="48" t="n"/>
      <c r="M929" s="45" t="n"/>
      <c r="N929" s="39">
        <f>IF($B929="","",IF(SUMPRODUCT((LISTAS!$O$3:$O$42&lt;&gt;"")*ISNUMBER(SEARCH(LISTAS!$O$3:$O$42,$I929&amp;" "&amp;$K929)))&gt;0,"CERCANA","NACIONAL"))</f>
        <v/>
      </c>
      <c r="O929" s="39">
        <f>IF($B929="","",IF(COUNTIFS(NOVEDADES!$C$4:$C$2003,$B929)=0,"—","SÍ ("&amp;COUNTIFS(NOVEDADES!$C$4:$C$2003,$B929)&amp;")"))</f>
        <v/>
      </c>
    </row>
    <row r="930">
      <c r="A930" s="41" t="n"/>
      <c r="B930" s="41" t="n"/>
      <c r="C930" s="41" t="n"/>
      <c r="D930" s="41" t="n"/>
      <c r="E930" s="46" t="n"/>
      <c r="F930" s="41" t="n"/>
      <c r="G930" s="41" t="n"/>
      <c r="H930" s="41" t="n"/>
      <c r="I930" s="41" t="n"/>
      <c r="J930" s="47" t="n"/>
      <c r="K930" s="41" t="n"/>
      <c r="L930" s="48" t="n"/>
      <c r="M930" s="45" t="n"/>
      <c r="N930" s="39">
        <f>IF($B930="","",IF(SUMPRODUCT((LISTAS!$O$3:$O$42&lt;&gt;"")*ISNUMBER(SEARCH(LISTAS!$O$3:$O$42,$I930&amp;" "&amp;$K930)))&gt;0,"CERCANA","NACIONAL"))</f>
        <v/>
      </c>
      <c r="O930" s="39">
        <f>IF($B930="","",IF(COUNTIFS(NOVEDADES!$C$4:$C$2003,$B930)=0,"—","SÍ ("&amp;COUNTIFS(NOVEDADES!$C$4:$C$2003,$B930)&amp;")"))</f>
        <v/>
      </c>
    </row>
    <row r="931">
      <c r="A931" s="41" t="n"/>
      <c r="B931" s="41" t="n"/>
      <c r="C931" s="41" t="n"/>
      <c r="D931" s="41" t="n"/>
      <c r="E931" s="46" t="n"/>
      <c r="F931" s="41" t="n"/>
      <c r="G931" s="41" t="n"/>
      <c r="H931" s="41" t="n"/>
      <c r="I931" s="41" t="n"/>
      <c r="J931" s="47" t="n"/>
      <c r="K931" s="41" t="n"/>
      <c r="L931" s="48" t="n"/>
      <c r="M931" s="45" t="n"/>
      <c r="N931" s="39">
        <f>IF($B931="","",IF(SUMPRODUCT((LISTAS!$O$3:$O$42&lt;&gt;"")*ISNUMBER(SEARCH(LISTAS!$O$3:$O$42,$I931&amp;" "&amp;$K931)))&gt;0,"CERCANA","NACIONAL"))</f>
        <v/>
      </c>
      <c r="O931" s="39">
        <f>IF($B931="","",IF(COUNTIFS(NOVEDADES!$C$4:$C$2003,$B931)=0,"—","SÍ ("&amp;COUNTIFS(NOVEDADES!$C$4:$C$2003,$B931)&amp;")"))</f>
        <v/>
      </c>
    </row>
    <row r="932">
      <c r="A932" s="41" t="n"/>
      <c r="B932" s="41" t="n"/>
      <c r="C932" s="41" t="n"/>
      <c r="D932" s="41" t="n"/>
      <c r="E932" s="46" t="n"/>
      <c r="F932" s="41" t="n"/>
      <c r="G932" s="41" t="n"/>
      <c r="H932" s="41" t="n"/>
      <c r="I932" s="41" t="n"/>
      <c r="J932" s="47" t="n"/>
      <c r="K932" s="41" t="n"/>
      <c r="L932" s="48" t="n"/>
      <c r="M932" s="45" t="n"/>
      <c r="N932" s="39">
        <f>IF($B932="","",IF(SUMPRODUCT((LISTAS!$O$3:$O$42&lt;&gt;"")*ISNUMBER(SEARCH(LISTAS!$O$3:$O$42,$I932&amp;" "&amp;$K932)))&gt;0,"CERCANA","NACIONAL"))</f>
        <v/>
      </c>
      <c r="O932" s="39">
        <f>IF($B932="","",IF(COUNTIFS(NOVEDADES!$C$4:$C$2003,$B932)=0,"—","SÍ ("&amp;COUNTIFS(NOVEDADES!$C$4:$C$2003,$B932)&amp;")"))</f>
        <v/>
      </c>
    </row>
    <row r="933">
      <c r="A933" s="41" t="n"/>
      <c r="B933" s="41" t="n"/>
      <c r="C933" s="41" t="n"/>
      <c r="D933" s="41" t="n"/>
      <c r="E933" s="46" t="n"/>
      <c r="F933" s="41" t="n"/>
      <c r="G933" s="41" t="n"/>
      <c r="H933" s="41" t="n"/>
      <c r="I933" s="41" t="n"/>
      <c r="J933" s="47" t="n"/>
      <c r="K933" s="41" t="n"/>
      <c r="L933" s="48" t="n"/>
      <c r="M933" s="45" t="n"/>
      <c r="N933" s="39">
        <f>IF($B933="","",IF(SUMPRODUCT((LISTAS!$O$3:$O$42&lt;&gt;"")*ISNUMBER(SEARCH(LISTAS!$O$3:$O$42,$I933&amp;" "&amp;$K933)))&gt;0,"CERCANA","NACIONAL"))</f>
        <v/>
      </c>
      <c r="O933" s="39">
        <f>IF($B933="","",IF(COUNTIFS(NOVEDADES!$C$4:$C$2003,$B933)=0,"—","SÍ ("&amp;COUNTIFS(NOVEDADES!$C$4:$C$2003,$B933)&amp;")"))</f>
        <v/>
      </c>
    </row>
    <row r="934">
      <c r="A934" s="41" t="n"/>
      <c r="B934" s="41" t="n"/>
      <c r="C934" s="41" t="n"/>
      <c r="D934" s="41" t="n"/>
      <c r="E934" s="46" t="n"/>
      <c r="F934" s="41" t="n"/>
      <c r="G934" s="41" t="n"/>
      <c r="H934" s="41" t="n"/>
      <c r="I934" s="41" t="n"/>
      <c r="J934" s="47" t="n"/>
      <c r="K934" s="41" t="n"/>
      <c r="L934" s="48" t="n"/>
      <c r="M934" s="45" t="n"/>
      <c r="N934" s="39">
        <f>IF($B934="","",IF(SUMPRODUCT((LISTAS!$O$3:$O$42&lt;&gt;"")*ISNUMBER(SEARCH(LISTAS!$O$3:$O$42,$I934&amp;" "&amp;$K934)))&gt;0,"CERCANA","NACIONAL"))</f>
        <v/>
      </c>
      <c r="O934" s="39">
        <f>IF($B934="","",IF(COUNTIFS(NOVEDADES!$C$4:$C$2003,$B934)=0,"—","SÍ ("&amp;COUNTIFS(NOVEDADES!$C$4:$C$2003,$B934)&amp;")"))</f>
        <v/>
      </c>
    </row>
    <row r="935">
      <c r="A935" s="41" t="n"/>
      <c r="B935" s="41" t="n"/>
      <c r="C935" s="41" t="n"/>
      <c r="D935" s="41" t="n"/>
      <c r="E935" s="46" t="n"/>
      <c r="F935" s="41" t="n"/>
      <c r="G935" s="41" t="n"/>
      <c r="H935" s="41" t="n"/>
      <c r="I935" s="41" t="n"/>
      <c r="J935" s="47" t="n"/>
      <c r="K935" s="41" t="n"/>
      <c r="L935" s="48" t="n"/>
      <c r="M935" s="45" t="n"/>
      <c r="N935" s="39">
        <f>IF($B935="","",IF(SUMPRODUCT((LISTAS!$O$3:$O$42&lt;&gt;"")*ISNUMBER(SEARCH(LISTAS!$O$3:$O$42,$I935&amp;" "&amp;$K935)))&gt;0,"CERCANA","NACIONAL"))</f>
        <v/>
      </c>
      <c r="O935" s="39">
        <f>IF($B935="","",IF(COUNTIFS(NOVEDADES!$C$4:$C$2003,$B935)=0,"—","SÍ ("&amp;COUNTIFS(NOVEDADES!$C$4:$C$2003,$B935)&amp;")"))</f>
        <v/>
      </c>
    </row>
    <row r="936">
      <c r="A936" s="41" t="n"/>
      <c r="B936" s="41" t="n"/>
      <c r="C936" s="41" t="n"/>
      <c r="D936" s="41" t="n"/>
      <c r="E936" s="46" t="n"/>
      <c r="F936" s="41" t="n"/>
      <c r="G936" s="41" t="n"/>
      <c r="H936" s="41" t="n"/>
      <c r="I936" s="41" t="n"/>
      <c r="J936" s="47" t="n"/>
      <c r="K936" s="41" t="n"/>
      <c r="L936" s="48" t="n"/>
      <c r="M936" s="45" t="n"/>
      <c r="N936" s="39">
        <f>IF($B936="","",IF(SUMPRODUCT((LISTAS!$O$3:$O$42&lt;&gt;"")*ISNUMBER(SEARCH(LISTAS!$O$3:$O$42,$I936&amp;" "&amp;$K936)))&gt;0,"CERCANA","NACIONAL"))</f>
        <v/>
      </c>
      <c r="O936" s="39">
        <f>IF($B936="","",IF(COUNTIFS(NOVEDADES!$C$4:$C$2003,$B936)=0,"—","SÍ ("&amp;COUNTIFS(NOVEDADES!$C$4:$C$2003,$B936)&amp;")"))</f>
        <v/>
      </c>
    </row>
    <row r="937">
      <c r="A937" s="41" t="n"/>
      <c r="B937" s="41" t="n"/>
      <c r="C937" s="41" t="n"/>
      <c r="D937" s="41" t="n"/>
      <c r="E937" s="46" t="n"/>
      <c r="F937" s="41" t="n"/>
      <c r="G937" s="41" t="n"/>
      <c r="H937" s="41" t="n"/>
      <c r="I937" s="41" t="n"/>
      <c r="J937" s="47" t="n"/>
      <c r="K937" s="41" t="n"/>
      <c r="L937" s="48" t="n"/>
      <c r="M937" s="45" t="n"/>
      <c r="N937" s="39">
        <f>IF($B937="","",IF(SUMPRODUCT((LISTAS!$O$3:$O$42&lt;&gt;"")*ISNUMBER(SEARCH(LISTAS!$O$3:$O$42,$I937&amp;" "&amp;$K937)))&gt;0,"CERCANA","NACIONAL"))</f>
        <v/>
      </c>
      <c r="O937" s="39">
        <f>IF($B937="","",IF(COUNTIFS(NOVEDADES!$C$4:$C$2003,$B937)=0,"—","SÍ ("&amp;COUNTIFS(NOVEDADES!$C$4:$C$2003,$B937)&amp;")"))</f>
        <v/>
      </c>
    </row>
    <row r="938">
      <c r="A938" s="41" t="n"/>
      <c r="B938" s="41" t="n"/>
      <c r="C938" s="41" t="n"/>
      <c r="D938" s="41" t="n"/>
      <c r="E938" s="46" t="n"/>
      <c r="F938" s="41" t="n"/>
      <c r="G938" s="41" t="n"/>
      <c r="H938" s="41" t="n"/>
      <c r="I938" s="41" t="n"/>
      <c r="J938" s="47" t="n"/>
      <c r="K938" s="41" t="n"/>
      <c r="L938" s="48" t="n"/>
      <c r="M938" s="45" t="n"/>
      <c r="N938" s="39">
        <f>IF($B938="","",IF(SUMPRODUCT((LISTAS!$O$3:$O$42&lt;&gt;"")*ISNUMBER(SEARCH(LISTAS!$O$3:$O$42,$I938&amp;" "&amp;$K938)))&gt;0,"CERCANA","NACIONAL"))</f>
        <v/>
      </c>
      <c r="O938" s="39">
        <f>IF($B938="","",IF(COUNTIFS(NOVEDADES!$C$4:$C$2003,$B938)=0,"—","SÍ ("&amp;COUNTIFS(NOVEDADES!$C$4:$C$2003,$B938)&amp;")"))</f>
        <v/>
      </c>
    </row>
    <row r="939">
      <c r="A939" s="41" t="n"/>
      <c r="B939" s="41" t="n"/>
      <c r="C939" s="41" t="n"/>
      <c r="D939" s="41" t="n"/>
      <c r="E939" s="46" t="n"/>
      <c r="F939" s="41" t="n"/>
      <c r="G939" s="41" t="n"/>
      <c r="H939" s="41" t="n"/>
      <c r="I939" s="41" t="n"/>
      <c r="J939" s="47" t="n"/>
      <c r="K939" s="41" t="n"/>
      <c r="L939" s="48" t="n"/>
      <c r="M939" s="45" t="n"/>
      <c r="N939" s="39">
        <f>IF($B939="","",IF(SUMPRODUCT((LISTAS!$O$3:$O$42&lt;&gt;"")*ISNUMBER(SEARCH(LISTAS!$O$3:$O$42,$I939&amp;" "&amp;$K939)))&gt;0,"CERCANA","NACIONAL"))</f>
        <v/>
      </c>
      <c r="O939" s="39">
        <f>IF($B939="","",IF(COUNTIFS(NOVEDADES!$C$4:$C$2003,$B939)=0,"—","SÍ ("&amp;COUNTIFS(NOVEDADES!$C$4:$C$2003,$B939)&amp;")"))</f>
        <v/>
      </c>
    </row>
    <row r="940">
      <c r="A940" s="41" t="n"/>
      <c r="B940" s="41" t="n"/>
      <c r="C940" s="41" t="n"/>
      <c r="D940" s="41" t="n"/>
      <c r="E940" s="46" t="n"/>
      <c r="F940" s="41" t="n"/>
      <c r="G940" s="41" t="n"/>
      <c r="H940" s="41" t="n"/>
      <c r="I940" s="41" t="n"/>
      <c r="J940" s="47" t="n"/>
      <c r="K940" s="41" t="n"/>
      <c r="L940" s="48" t="n"/>
      <c r="M940" s="45" t="n"/>
      <c r="N940" s="39">
        <f>IF($B940="","",IF(SUMPRODUCT((LISTAS!$O$3:$O$42&lt;&gt;"")*ISNUMBER(SEARCH(LISTAS!$O$3:$O$42,$I940&amp;" "&amp;$K940)))&gt;0,"CERCANA","NACIONAL"))</f>
        <v/>
      </c>
      <c r="O940" s="39">
        <f>IF($B940="","",IF(COUNTIFS(NOVEDADES!$C$4:$C$2003,$B940)=0,"—","SÍ ("&amp;COUNTIFS(NOVEDADES!$C$4:$C$2003,$B940)&amp;")"))</f>
        <v/>
      </c>
    </row>
    <row r="941">
      <c r="A941" s="41" t="n"/>
      <c r="B941" s="41" t="n"/>
      <c r="C941" s="41" t="n"/>
      <c r="D941" s="41" t="n"/>
      <c r="E941" s="46" t="n"/>
      <c r="F941" s="41" t="n"/>
      <c r="G941" s="41" t="n"/>
      <c r="H941" s="41" t="n"/>
      <c r="I941" s="41" t="n"/>
      <c r="J941" s="47" t="n"/>
      <c r="K941" s="41" t="n"/>
      <c r="L941" s="48" t="n"/>
      <c r="M941" s="45" t="n"/>
      <c r="N941" s="39">
        <f>IF($B941="","",IF(SUMPRODUCT((LISTAS!$O$3:$O$42&lt;&gt;"")*ISNUMBER(SEARCH(LISTAS!$O$3:$O$42,$I941&amp;" "&amp;$K941)))&gt;0,"CERCANA","NACIONAL"))</f>
        <v/>
      </c>
      <c r="O941" s="39">
        <f>IF($B941="","",IF(COUNTIFS(NOVEDADES!$C$4:$C$2003,$B941)=0,"—","SÍ ("&amp;COUNTIFS(NOVEDADES!$C$4:$C$2003,$B941)&amp;")"))</f>
        <v/>
      </c>
    </row>
    <row r="942">
      <c r="A942" s="41" t="n"/>
      <c r="B942" s="41" t="n"/>
      <c r="C942" s="41" t="n"/>
      <c r="D942" s="41" t="n"/>
      <c r="E942" s="46" t="n"/>
      <c r="F942" s="41" t="n"/>
      <c r="G942" s="41" t="n"/>
      <c r="H942" s="41" t="n"/>
      <c r="I942" s="41" t="n"/>
      <c r="J942" s="47" t="n"/>
      <c r="K942" s="41" t="n"/>
      <c r="L942" s="48" t="n"/>
      <c r="M942" s="45" t="n"/>
      <c r="N942" s="39">
        <f>IF($B942="","",IF(SUMPRODUCT((LISTAS!$O$3:$O$42&lt;&gt;"")*ISNUMBER(SEARCH(LISTAS!$O$3:$O$42,$I942&amp;" "&amp;$K942)))&gt;0,"CERCANA","NACIONAL"))</f>
        <v/>
      </c>
      <c r="O942" s="39">
        <f>IF($B942="","",IF(COUNTIFS(NOVEDADES!$C$4:$C$2003,$B942)=0,"—","SÍ ("&amp;COUNTIFS(NOVEDADES!$C$4:$C$2003,$B942)&amp;")"))</f>
        <v/>
      </c>
    </row>
    <row r="943">
      <c r="A943" s="41" t="n"/>
      <c r="B943" s="41" t="n"/>
      <c r="C943" s="41" t="n"/>
      <c r="D943" s="41" t="n"/>
      <c r="E943" s="46" t="n"/>
      <c r="F943" s="41" t="n"/>
      <c r="G943" s="41" t="n"/>
      <c r="H943" s="41" t="n"/>
      <c r="I943" s="41" t="n"/>
      <c r="J943" s="47" t="n"/>
      <c r="K943" s="41" t="n"/>
      <c r="L943" s="48" t="n"/>
      <c r="M943" s="45" t="n"/>
      <c r="N943" s="39">
        <f>IF($B943="","",IF(SUMPRODUCT((LISTAS!$O$3:$O$42&lt;&gt;"")*ISNUMBER(SEARCH(LISTAS!$O$3:$O$42,$I943&amp;" "&amp;$K943)))&gt;0,"CERCANA","NACIONAL"))</f>
        <v/>
      </c>
      <c r="O943" s="39">
        <f>IF($B943="","",IF(COUNTIFS(NOVEDADES!$C$4:$C$2003,$B943)=0,"—","SÍ ("&amp;COUNTIFS(NOVEDADES!$C$4:$C$2003,$B943)&amp;")"))</f>
        <v/>
      </c>
    </row>
    <row r="944">
      <c r="A944" s="41" t="n"/>
      <c r="B944" s="41" t="n"/>
      <c r="C944" s="41" t="n"/>
      <c r="D944" s="41" t="n"/>
      <c r="E944" s="46" t="n"/>
      <c r="F944" s="41" t="n"/>
      <c r="G944" s="41" t="n"/>
      <c r="H944" s="41" t="n"/>
      <c r="I944" s="41" t="n"/>
      <c r="J944" s="47" t="n"/>
      <c r="K944" s="41" t="n"/>
      <c r="L944" s="48" t="n"/>
      <c r="M944" s="45" t="n"/>
      <c r="N944" s="39">
        <f>IF($B944="","",IF(SUMPRODUCT((LISTAS!$O$3:$O$42&lt;&gt;"")*ISNUMBER(SEARCH(LISTAS!$O$3:$O$42,$I944&amp;" "&amp;$K944)))&gt;0,"CERCANA","NACIONAL"))</f>
        <v/>
      </c>
      <c r="O944" s="39">
        <f>IF($B944="","",IF(COUNTIFS(NOVEDADES!$C$4:$C$2003,$B944)=0,"—","SÍ ("&amp;COUNTIFS(NOVEDADES!$C$4:$C$2003,$B944)&amp;")"))</f>
        <v/>
      </c>
    </row>
    <row r="945">
      <c r="A945" s="41" t="n"/>
      <c r="B945" s="41" t="n"/>
      <c r="C945" s="41" t="n"/>
      <c r="D945" s="41" t="n"/>
      <c r="E945" s="46" t="n"/>
      <c r="F945" s="41" t="n"/>
      <c r="G945" s="41" t="n"/>
      <c r="H945" s="41" t="n"/>
      <c r="I945" s="41" t="n"/>
      <c r="J945" s="47" t="n"/>
      <c r="K945" s="41" t="n"/>
      <c r="L945" s="48" t="n"/>
      <c r="M945" s="45" t="n"/>
      <c r="N945" s="39">
        <f>IF($B945="","",IF(SUMPRODUCT((LISTAS!$O$3:$O$42&lt;&gt;"")*ISNUMBER(SEARCH(LISTAS!$O$3:$O$42,$I945&amp;" "&amp;$K945)))&gt;0,"CERCANA","NACIONAL"))</f>
        <v/>
      </c>
      <c r="O945" s="39">
        <f>IF($B945="","",IF(COUNTIFS(NOVEDADES!$C$4:$C$2003,$B945)=0,"—","SÍ ("&amp;COUNTIFS(NOVEDADES!$C$4:$C$2003,$B945)&amp;")"))</f>
        <v/>
      </c>
    </row>
    <row r="946">
      <c r="A946" s="41" t="n"/>
      <c r="B946" s="41" t="n"/>
      <c r="C946" s="41" t="n"/>
      <c r="D946" s="41" t="n"/>
      <c r="E946" s="46" t="n"/>
      <c r="F946" s="41" t="n"/>
      <c r="G946" s="41" t="n"/>
      <c r="H946" s="41" t="n"/>
      <c r="I946" s="41" t="n"/>
      <c r="J946" s="47" t="n"/>
      <c r="K946" s="41" t="n"/>
      <c r="L946" s="48" t="n"/>
      <c r="M946" s="45" t="n"/>
      <c r="N946" s="39">
        <f>IF($B946="","",IF(SUMPRODUCT((LISTAS!$O$3:$O$42&lt;&gt;"")*ISNUMBER(SEARCH(LISTAS!$O$3:$O$42,$I946&amp;" "&amp;$K946)))&gt;0,"CERCANA","NACIONAL"))</f>
        <v/>
      </c>
      <c r="O946" s="39">
        <f>IF($B946="","",IF(COUNTIFS(NOVEDADES!$C$4:$C$2003,$B946)=0,"—","SÍ ("&amp;COUNTIFS(NOVEDADES!$C$4:$C$2003,$B946)&amp;")"))</f>
        <v/>
      </c>
    </row>
    <row r="947">
      <c r="A947" s="41" t="n"/>
      <c r="B947" s="41" t="n"/>
      <c r="C947" s="41" t="n"/>
      <c r="D947" s="41" t="n"/>
      <c r="E947" s="46" t="n"/>
      <c r="F947" s="41" t="n"/>
      <c r="G947" s="41" t="n"/>
      <c r="H947" s="41" t="n"/>
      <c r="I947" s="41" t="n"/>
      <c r="J947" s="47" t="n"/>
      <c r="K947" s="41" t="n"/>
      <c r="L947" s="48" t="n"/>
      <c r="M947" s="45" t="n"/>
      <c r="N947" s="39">
        <f>IF($B947="","",IF(SUMPRODUCT((LISTAS!$O$3:$O$42&lt;&gt;"")*ISNUMBER(SEARCH(LISTAS!$O$3:$O$42,$I947&amp;" "&amp;$K947)))&gt;0,"CERCANA","NACIONAL"))</f>
        <v/>
      </c>
      <c r="O947" s="39">
        <f>IF($B947="","",IF(COUNTIFS(NOVEDADES!$C$4:$C$2003,$B947)=0,"—","SÍ ("&amp;COUNTIFS(NOVEDADES!$C$4:$C$2003,$B947)&amp;")"))</f>
        <v/>
      </c>
    </row>
    <row r="948">
      <c r="A948" s="41" t="n"/>
      <c r="B948" s="41" t="n"/>
      <c r="C948" s="41" t="n"/>
      <c r="D948" s="41" t="n"/>
      <c r="E948" s="46" t="n"/>
      <c r="F948" s="41" t="n"/>
      <c r="G948" s="41" t="n"/>
      <c r="H948" s="41" t="n"/>
      <c r="I948" s="41" t="n"/>
      <c r="J948" s="47" t="n"/>
      <c r="K948" s="41" t="n"/>
      <c r="L948" s="48" t="n"/>
      <c r="M948" s="45" t="n"/>
      <c r="N948" s="39">
        <f>IF($B948="","",IF(SUMPRODUCT((LISTAS!$O$3:$O$42&lt;&gt;"")*ISNUMBER(SEARCH(LISTAS!$O$3:$O$42,$I948&amp;" "&amp;$K948)))&gt;0,"CERCANA","NACIONAL"))</f>
        <v/>
      </c>
      <c r="O948" s="39">
        <f>IF($B948="","",IF(COUNTIFS(NOVEDADES!$C$4:$C$2003,$B948)=0,"—","SÍ ("&amp;COUNTIFS(NOVEDADES!$C$4:$C$2003,$B948)&amp;")"))</f>
        <v/>
      </c>
    </row>
    <row r="949">
      <c r="A949" s="41" t="n"/>
      <c r="B949" s="41" t="n"/>
      <c r="C949" s="41" t="n"/>
      <c r="D949" s="41" t="n"/>
      <c r="E949" s="46" t="n"/>
      <c r="F949" s="41" t="n"/>
      <c r="G949" s="41" t="n"/>
      <c r="H949" s="41" t="n"/>
      <c r="I949" s="41" t="n"/>
      <c r="J949" s="47" t="n"/>
      <c r="K949" s="41" t="n"/>
      <c r="L949" s="48" t="n"/>
      <c r="M949" s="45" t="n"/>
      <c r="N949" s="39">
        <f>IF($B949="","",IF(SUMPRODUCT((LISTAS!$O$3:$O$42&lt;&gt;"")*ISNUMBER(SEARCH(LISTAS!$O$3:$O$42,$I949&amp;" "&amp;$K949)))&gt;0,"CERCANA","NACIONAL"))</f>
        <v/>
      </c>
      <c r="O949" s="39">
        <f>IF($B949="","",IF(COUNTIFS(NOVEDADES!$C$4:$C$2003,$B949)=0,"—","SÍ ("&amp;COUNTIFS(NOVEDADES!$C$4:$C$2003,$B949)&amp;")"))</f>
        <v/>
      </c>
    </row>
    <row r="950">
      <c r="A950" s="41" t="n"/>
      <c r="B950" s="41" t="n"/>
      <c r="C950" s="41" t="n"/>
      <c r="D950" s="41" t="n"/>
      <c r="E950" s="46" t="n"/>
      <c r="F950" s="41" t="n"/>
      <c r="G950" s="41" t="n"/>
      <c r="H950" s="41" t="n"/>
      <c r="I950" s="41" t="n"/>
      <c r="J950" s="47" t="n"/>
      <c r="K950" s="41" t="n"/>
      <c r="L950" s="48" t="n"/>
      <c r="M950" s="45" t="n"/>
      <c r="N950" s="39">
        <f>IF($B950="","",IF(SUMPRODUCT((LISTAS!$O$3:$O$42&lt;&gt;"")*ISNUMBER(SEARCH(LISTAS!$O$3:$O$42,$I950&amp;" "&amp;$K950)))&gt;0,"CERCANA","NACIONAL"))</f>
        <v/>
      </c>
      <c r="O950" s="39">
        <f>IF($B950="","",IF(COUNTIFS(NOVEDADES!$C$4:$C$2003,$B950)=0,"—","SÍ ("&amp;COUNTIFS(NOVEDADES!$C$4:$C$2003,$B950)&amp;")"))</f>
        <v/>
      </c>
    </row>
    <row r="951">
      <c r="A951" s="41" t="n"/>
      <c r="B951" s="41" t="n"/>
      <c r="C951" s="41" t="n"/>
      <c r="D951" s="41" t="n"/>
      <c r="E951" s="46" t="n"/>
      <c r="F951" s="41" t="n"/>
      <c r="G951" s="41" t="n"/>
      <c r="H951" s="41" t="n"/>
      <c r="I951" s="41" t="n"/>
      <c r="J951" s="47" t="n"/>
      <c r="K951" s="41" t="n"/>
      <c r="L951" s="48" t="n"/>
      <c r="M951" s="45" t="n"/>
      <c r="N951" s="39">
        <f>IF($B951="","",IF(SUMPRODUCT((LISTAS!$O$3:$O$42&lt;&gt;"")*ISNUMBER(SEARCH(LISTAS!$O$3:$O$42,$I951&amp;" "&amp;$K951)))&gt;0,"CERCANA","NACIONAL"))</f>
        <v/>
      </c>
      <c r="O951" s="39">
        <f>IF($B951="","",IF(COUNTIFS(NOVEDADES!$C$4:$C$2003,$B951)=0,"—","SÍ ("&amp;COUNTIFS(NOVEDADES!$C$4:$C$2003,$B951)&amp;")"))</f>
        <v/>
      </c>
    </row>
    <row r="952">
      <c r="A952" s="41" t="n"/>
      <c r="B952" s="41" t="n"/>
      <c r="C952" s="41" t="n"/>
      <c r="D952" s="41" t="n"/>
      <c r="E952" s="46" t="n"/>
      <c r="F952" s="41" t="n"/>
      <c r="G952" s="41" t="n"/>
      <c r="H952" s="41" t="n"/>
      <c r="I952" s="41" t="n"/>
      <c r="J952" s="47" t="n"/>
      <c r="K952" s="41" t="n"/>
      <c r="L952" s="48" t="n"/>
      <c r="M952" s="45" t="n"/>
      <c r="N952" s="39">
        <f>IF($B952="","",IF(SUMPRODUCT((LISTAS!$O$3:$O$42&lt;&gt;"")*ISNUMBER(SEARCH(LISTAS!$O$3:$O$42,$I952&amp;" "&amp;$K952)))&gt;0,"CERCANA","NACIONAL"))</f>
        <v/>
      </c>
      <c r="O952" s="39">
        <f>IF($B952="","",IF(COUNTIFS(NOVEDADES!$C$4:$C$2003,$B952)=0,"—","SÍ ("&amp;COUNTIFS(NOVEDADES!$C$4:$C$2003,$B952)&amp;")"))</f>
        <v/>
      </c>
    </row>
    <row r="953">
      <c r="A953" s="41" t="n"/>
      <c r="B953" s="41" t="n"/>
      <c r="C953" s="41" t="n"/>
      <c r="D953" s="41" t="n"/>
      <c r="E953" s="46" t="n"/>
      <c r="F953" s="41" t="n"/>
      <c r="G953" s="41" t="n"/>
      <c r="H953" s="41" t="n"/>
      <c r="I953" s="41" t="n"/>
      <c r="J953" s="47" t="n"/>
      <c r="K953" s="41" t="n"/>
      <c r="L953" s="48" t="n"/>
      <c r="M953" s="45" t="n"/>
      <c r="N953" s="39">
        <f>IF($B953="","",IF(SUMPRODUCT((LISTAS!$O$3:$O$42&lt;&gt;"")*ISNUMBER(SEARCH(LISTAS!$O$3:$O$42,$I953&amp;" "&amp;$K953)))&gt;0,"CERCANA","NACIONAL"))</f>
        <v/>
      </c>
      <c r="O953" s="39">
        <f>IF($B953="","",IF(COUNTIFS(NOVEDADES!$C$4:$C$2003,$B953)=0,"—","SÍ ("&amp;COUNTIFS(NOVEDADES!$C$4:$C$2003,$B953)&amp;")"))</f>
        <v/>
      </c>
    </row>
    <row r="954">
      <c r="A954" s="41" t="n"/>
      <c r="B954" s="41" t="n"/>
      <c r="C954" s="41" t="n"/>
      <c r="D954" s="41" t="n"/>
      <c r="E954" s="46" t="n"/>
      <c r="F954" s="41" t="n"/>
      <c r="G954" s="41" t="n"/>
      <c r="H954" s="41" t="n"/>
      <c r="I954" s="41" t="n"/>
      <c r="J954" s="47" t="n"/>
      <c r="K954" s="41" t="n"/>
      <c r="L954" s="48" t="n"/>
      <c r="M954" s="45" t="n"/>
      <c r="N954" s="39">
        <f>IF($B954="","",IF(SUMPRODUCT((LISTAS!$O$3:$O$42&lt;&gt;"")*ISNUMBER(SEARCH(LISTAS!$O$3:$O$42,$I954&amp;" "&amp;$K954)))&gt;0,"CERCANA","NACIONAL"))</f>
        <v/>
      </c>
      <c r="O954" s="39">
        <f>IF($B954="","",IF(COUNTIFS(NOVEDADES!$C$4:$C$2003,$B954)=0,"—","SÍ ("&amp;COUNTIFS(NOVEDADES!$C$4:$C$2003,$B954)&amp;")"))</f>
        <v/>
      </c>
    </row>
    <row r="955">
      <c r="A955" s="41" t="n"/>
      <c r="B955" s="41" t="n"/>
      <c r="C955" s="41" t="n"/>
      <c r="D955" s="41" t="n"/>
      <c r="E955" s="46" t="n"/>
      <c r="F955" s="41" t="n"/>
      <c r="G955" s="41" t="n"/>
      <c r="H955" s="41" t="n"/>
      <c r="I955" s="41" t="n"/>
      <c r="J955" s="47" t="n"/>
      <c r="K955" s="41" t="n"/>
      <c r="L955" s="48" t="n"/>
      <c r="M955" s="45" t="n"/>
      <c r="N955" s="39">
        <f>IF($B955="","",IF(SUMPRODUCT((LISTAS!$O$3:$O$42&lt;&gt;"")*ISNUMBER(SEARCH(LISTAS!$O$3:$O$42,$I955&amp;" "&amp;$K955)))&gt;0,"CERCANA","NACIONAL"))</f>
        <v/>
      </c>
      <c r="O955" s="39">
        <f>IF($B955="","",IF(COUNTIFS(NOVEDADES!$C$4:$C$2003,$B955)=0,"—","SÍ ("&amp;COUNTIFS(NOVEDADES!$C$4:$C$2003,$B955)&amp;")"))</f>
        <v/>
      </c>
    </row>
    <row r="956">
      <c r="A956" s="41" t="n"/>
      <c r="B956" s="41" t="n"/>
      <c r="C956" s="41" t="n"/>
      <c r="D956" s="41" t="n"/>
      <c r="E956" s="46" t="n"/>
      <c r="F956" s="41" t="n"/>
      <c r="G956" s="41" t="n"/>
      <c r="H956" s="41" t="n"/>
      <c r="I956" s="41" t="n"/>
      <c r="J956" s="47" t="n"/>
      <c r="K956" s="41" t="n"/>
      <c r="L956" s="48" t="n"/>
      <c r="M956" s="45" t="n"/>
      <c r="N956" s="39">
        <f>IF($B956="","",IF(SUMPRODUCT((LISTAS!$O$3:$O$42&lt;&gt;"")*ISNUMBER(SEARCH(LISTAS!$O$3:$O$42,$I956&amp;" "&amp;$K956)))&gt;0,"CERCANA","NACIONAL"))</f>
        <v/>
      </c>
      <c r="O956" s="39">
        <f>IF($B956="","",IF(COUNTIFS(NOVEDADES!$C$4:$C$2003,$B956)=0,"—","SÍ ("&amp;COUNTIFS(NOVEDADES!$C$4:$C$2003,$B956)&amp;")"))</f>
        <v/>
      </c>
    </row>
    <row r="957">
      <c r="A957" s="41" t="n"/>
      <c r="B957" s="41" t="n"/>
      <c r="C957" s="41" t="n"/>
      <c r="D957" s="41" t="n"/>
      <c r="E957" s="46" t="n"/>
      <c r="F957" s="41" t="n"/>
      <c r="G957" s="41" t="n"/>
      <c r="H957" s="41" t="n"/>
      <c r="I957" s="41" t="n"/>
      <c r="J957" s="47" t="n"/>
      <c r="K957" s="41" t="n"/>
      <c r="L957" s="48" t="n"/>
      <c r="M957" s="45" t="n"/>
      <c r="N957" s="39">
        <f>IF($B957="","",IF(SUMPRODUCT((LISTAS!$O$3:$O$42&lt;&gt;"")*ISNUMBER(SEARCH(LISTAS!$O$3:$O$42,$I957&amp;" "&amp;$K957)))&gt;0,"CERCANA","NACIONAL"))</f>
        <v/>
      </c>
      <c r="O957" s="39">
        <f>IF($B957="","",IF(COUNTIFS(NOVEDADES!$C$4:$C$2003,$B957)=0,"—","SÍ ("&amp;COUNTIFS(NOVEDADES!$C$4:$C$2003,$B957)&amp;")"))</f>
        <v/>
      </c>
    </row>
    <row r="958">
      <c r="A958" s="41" t="n"/>
      <c r="B958" s="41" t="n"/>
      <c r="C958" s="41" t="n"/>
      <c r="D958" s="41" t="n"/>
      <c r="E958" s="46" t="n"/>
      <c r="F958" s="41" t="n"/>
      <c r="G958" s="41" t="n"/>
      <c r="H958" s="41" t="n"/>
      <c r="I958" s="41" t="n"/>
      <c r="J958" s="47" t="n"/>
      <c r="K958" s="41" t="n"/>
      <c r="L958" s="48" t="n"/>
      <c r="M958" s="45" t="n"/>
      <c r="N958" s="39">
        <f>IF($B958="","",IF(SUMPRODUCT((LISTAS!$O$3:$O$42&lt;&gt;"")*ISNUMBER(SEARCH(LISTAS!$O$3:$O$42,$I958&amp;" "&amp;$K958)))&gt;0,"CERCANA","NACIONAL"))</f>
        <v/>
      </c>
      <c r="O958" s="39">
        <f>IF($B958="","",IF(COUNTIFS(NOVEDADES!$C$4:$C$2003,$B958)=0,"—","SÍ ("&amp;COUNTIFS(NOVEDADES!$C$4:$C$2003,$B958)&amp;")"))</f>
        <v/>
      </c>
    </row>
    <row r="959">
      <c r="A959" s="41" t="n"/>
      <c r="B959" s="41" t="n"/>
      <c r="C959" s="41" t="n"/>
      <c r="D959" s="41" t="n"/>
      <c r="E959" s="46" t="n"/>
      <c r="F959" s="41" t="n"/>
      <c r="G959" s="41" t="n"/>
      <c r="H959" s="41" t="n"/>
      <c r="I959" s="41" t="n"/>
      <c r="J959" s="47" t="n"/>
      <c r="K959" s="41" t="n"/>
      <c r="L959" s="48" t="n"/>
      <c r="M959" s="45" t="n"/>
      <c r="N959" s="39">
        <f>IF($B959="","",IF(SUMPRODUCT((LISTAS!$O$3:$O$42&lt;&gt;"")*ISNUMBER(SEARCH(LISTAS!$O$3:$O$42,$I959&amp;" "&amp;$K959)))&gt;0,"CERCANA","NACIONAL"))</f>
        <v/>
      </c>
      <c r="O959" s="39">
        <f>IF($B959="","",IF(COUNTIFS(NOVEDADES!$C$4:$C$2003,$B959)=0,"—","SÍ ("&amp;COUNTIFS(NOVEDADES!$C$4:$C$2003,$B959)&amp;")"))</f>
        <v/>
      </c>
    </row>
    <row r="960">
      <c r="A960" s="41" t="n"/>
      <c r="B960" s="41" t="n"/>
      <c r="C960" s="41" t="n"/>
      <c r="D960" s="41" t="n"/>
      <c r="E960" s="46" t="n"/>
      <c r="F960" s="41" t="n"/>
      <c r="G960" s="41" t="n"/>
      <c r="H960" s="41" t="n"/>
      <c r="I960" s="41" t="n"/>
      <c r="J960" s="47" t="n"/>
      <c r="K960" s="41" t="n"/>
      <c r="L960" s="48" t="n"/>
      <c r="M960" s="45" t="n"/>
      <c r="N960" s="39">
        <f>IF($B960="","",IF(SUMPRODUCT((LISTAS!$O$3:$O$42&lt;&gt;"")*ISNUMBER(SEARCH(LISTAS!$O$3:$O$42,$I960&amp;" "&amp;$K960)))&gt;0,"CERCANA","NACIONAL"))</f>
        <v/>
      </c>
      <c r="O960" s="39">
        <f>IF($B960="","",IF(COUNTIFS(NOVEDADES!$C$4:$C$2003,$B960)=0,"—","SÍ ("&amp;COUNTIFS(NOVEDADES!$C$4:$C$2003,$B960)&amp;")"))</f>
        <v/>
      </c>
    </row>
    <row r="961">
      <c r="A961" s="41" t="n"/>
      <c r="B961" s="41" t="n"/>
      <c r="C961" s="41" t="n"/>
      <c r="D961" s="41" t="n"/>
      <c r="E961" s="46" t="n"/>
      <c r="F961" s="41" t="n"/>
      <c r="G961" s="41" t="n"/>
      <c r="H961" s="41" t="n"/>
      <c r="I961" s="41" t="n"/>
      <c r="J961" s="47" t="n"/>
      <c r="K961" s="41" t="n"/>
      <c r="L961" s="48" t="n"/>
      <c r="M961" s="45" t="n"/>
      <c r="N961" s="39">
        <f>IF($B961="","",IF(SUMPRODUCT((LISTAS!$O$3:$O$42&lt;&gt;"")*ISNUMBER(SEARCH(LISTAS!$O$3:$O$42,$I961&amp;" "&amp;$K961)))&gt;0,"CERCANA","NACIONAL"))</f>
        <v/>
      </c>
      <c r="O961" s="39">
        <f>IF($B961="","",IF(COUNTIFS(NOVEDADES!$C$4:$C$2003,$B961)=0,"—","SÍ ("&amp;COUNTIFS(NOVEDADES!$C$4:$C$2003,$B961)&amp;")"))</f>
        <v/>
      </c>
    </row>
    <row r="962">
      <c r="A962" s="41" t="n"/>
      <c r="B962" s="41" t="n"/>
      <c r="C962" s="41" t="n"/>
      <c r="D962" s="41" t="n"/>
      <c r="E962" s="46" t="n"/>
      <c r="F962" s="41" t="n"/>
      <c r="G962" s="41" t="n"/>
      <c r="H962" s="41" t="n"/>
      <c r="I962" s="41" t="n"/>
      <c r="J962" s="47" t="n"/>
      <c r="K962" s="41" t="n"/>
      <c r="L962" s="48" t="n"/>
      <c r="M962" s="45" t="n"/>
      <c r="N962" s="39">
        <f>IF($B962="","",IF(SUMPRODUCT((LISTAS!$O$3:$O$42&lt;&gt;"")*ISNUMBER(SEARCH(LISTAS!$O$3:$O$42,$I962&amp;" "&amp;$K962)))&gt;0,"CERCANA","NACIONAL"))</f>
        <v/>
      </c>
      <c r="O962" s="39">
        <f>IF($B962="","",IF(COUNTIFS(NOVEDADES!$C$4:$C$2003,$B962)=0,"—","SÍ ("&amp;COUNTIFS(NOVEDADES!$C$4:$C$2003,$B962)&amp;")"))</f>
        <v/>
      </c>
    </row>
    <row r="963">
      <c r="A963" s="41" t="n"/>
      <c r="B963" s="41" t="n"/>
      <c r="C963" s="41" t="n"/>
      <c r="D963" s="41" t="n"/>
      <c r="E963" s="46" t="n"/>
      <c r="F963" s="41" t="n"/>
      <c r="G963" s="41" t="n"/>
      <c r="H963" s="41" t="n"/>
      <c r="I963" s="41" t="n"/>
      <c r="J963" s="47" t="n"/>
      <c r="K963" s="41" t="n"/>
      <c r="L963" s="48" t="n"/>
      <c r="M963" s="45" t="n"/>
      <c r="N963" s="39">
        <f>IF($B963="","",IF(SUMPRODUCT((LISTAS!$O$3:$O$42&lt;&gt;"")*ISNUMBER(SEARCH(LISTAS!$O$3:$O$42,$I963&amp;" "&amp;$K963)))&gt;0,"CERCANA","NACIONAL"))</f>
        <v/>
      </c>
      <c r="O963" s="39">
        <f>IF($B963="","",IF(COUNTIFS(NOVEDADES!$C$4:$C$2003,$B963)=0,"—","SÍ ("&amp;COUNTIFS(NOVEDADES!$C$4:$C$2003,$B963)&amp;")"))</f>
        <v/>
      </c>
    </row>
    <row r="964">
      <c r="A964" s="41" t="n"/>
      <c r="B964" s="41" t="n"/>
      <c r="C964" s="41" t="n"/>
      <c r="D964" s="41" t="n"/>
      <c r="E964" s="46" t="n"/>
      <c r="F964" s="41" t="n"/>
      <c r="G964" s="41" t="n"/>
      <c r="H964" s="41" t="n"/>
      <c r="I964" s="41" t="n"/>
      <c r="J964" s="47" t="n"/>
      <c r="K964" s="41" t="n"/>
      <c r="L964" s="48" t="n"/>
      <c r="M964" s="45" t="n"/>
      <c r="N964" s="39">
        <f>IF($B964="","",IF(SUMPRODUCT((LISTAS!$O$3:$O$42&lt;&gt;"")*ISNUMBER(SEARCH(LISTAS!$O$3:$O$42,$I964&amp;" "&amp;$K964)))&gt;0,"CERCANA","NACIONAL"))</f>
        <v/>
      </c>
      <c r="O964" s="39">
        <f>IF($B964="","",IF(COUNTIFS(NOVEDADES!$C$4:$C$2003,$B964)=0,"—","SÍ ("&amp;COUNTIFS(NOVEDADES!$C$4:$C$2003,$B964)&amp;")"))</f>
        <v/>
      </c>
    </row>
    <row r="965">
      <c r="A965" s="41" t="n"/>
      <c r="B965" s="41" t="n"/>
      <c r="C965" s="41" t="n"/>
      <c r="D965" s="41" t="n"/>
      <c r="E965" s="46" t="n"/>
      <c r="F965" s="41" t="n"/>
      <c r="G965" s="41" t="n"/>
      <c r="H965" s="41" t="n"/>
      <c r="I965" s="41" t="n"/>
      <c r="J965" s="47" t="n"/>
      <c r="K965" s="41" t="n"/>
      <c r="L965" s="48" t="n"/>
      <c r="M965" s="45" t="n"/>
      <c r="N965" s="39">
        <f>IF($B965="","",IF(SUMPRODUCT((LISTAS!$O$3:$O$42&lt;&gt;"")*ISNUMBER(SEARCH(LISTAS!$O$3:$O$42,$I965&amp;" "&amp;$K965)))&gt;0,"CERCANA","NACIONAL"))</f>
        <v/>
      </c>
      <c r="O965" s="39">
        <f>IF($B965="","",IF(COUNTIFS(NOVEDADES!$C$4:$C$2003,$B965)=0,"—","SÍ ("&amp;COUNTIFS(NOVEDADES!$C$4:$C$2003,$B965)&amp;")"))</f>
        <v/>
      </c>
    </row>
    <row r="966">
      <c r="A966" s="41" t="n"/>
      <c r="B966" s="41" t="n"/>
      <c r="C966" s="41" t="n"/>
      <c r="D966" s="41" t="n"/>
      <c r="E966" s="46" t="n"/>
      <c r="F966" s="41" t="n"/>
      <c r="G966" s="41" t="n"/>
      <c r="H966" s="41" t="n"/>
      <c r="I966" s="41" t="n"/>
      <c r="J966" s="47" t="n"/>
      <c r="K966" s="41" t="n"/>
      <c r="L966" s="48" t="n"/>
      <c r="M966" s="45" t="n"/>
      <c r="N966" s="39">
        <f>IF($B966="","",IF(SUMPRODUCT((LISTAS!$O$3:$O$42&lt;&gt;"")*ISNUMBER(SEARCH(LISTAS!$O$3:$O$42,$I966&amp;" "&amp;$K966)))&gt;0,"CERCANA","NACIONAL"))</f>
        <v/>
      </c>
      <c r="O966" s="39">
        <f>IF($B966="","",IF(COUNTIFS(NOVEDADES!$C$4:$C$2003,$B966)=0,"—","SÍ ("&amp;COUNTIFS(NOVEDADES!$C$4:$C$2003,$B966)&amp;")"))</f>
        <v/>
      </c>
    </row>
    <row r="967">
      <c r="A967" s="41" t="n"/>
      <c r="B967" s="41" t="n"/>
      <c r="C967" s="41" t="n"/>
      <c r="D967" s="41" t="n"/>
      <c r="E967" s="46" t="n"/>
      <c r="F967" s="41" t="n"/>
      <c r="G967" s="41" t="n"/>
      <c r="H967" s="41" t="n"/>
      <c r="I967" s="41" t="n"/>
      <c r="J967" s="47" t="n"/>
      <c r="K967" s="41" t="n"/>
      <c r="L967" s="48" t="n"/>
      <c r="M967" s="45" t="n"/>
      <c r="N967" s="39">
        <f>IF($B967="","",IF(SUMPRODUCT((LISTAS!$O$3:$O$42&lt;&gt;"")*ISNUMBER(SEARCH(LISTAS!$O$3:$O$42,$I967&amp;" "&amp;$K967)))&gt;0,"CERCANA","NACIONAL"))</f>
        <v/>
      </c>
      <c r="O967" s="39">
        <f>IF($B967="","",IF(COUNTIFS(NOVEDADES!$C$4:$C$2003,$B967)=0,"—","SÍ ("&amp;COUNTIFS(NOVEDADES!$C$4:$C$2003,$B967)&amp;")"))</f>
        <v/>
      </c>
    </row>
    <row r="968">
      <c r="A968" s="41" t="n"/>
      <c r="B968" s="41" t="n"/>
      <c r="C968" s="41" t="n"/>
      <c r="D968" s="41" t="n"/>
      <c r="E968" s="46" t="n"/>
      <c r="F968" s="41" t="n"/>
      <c r="G968" s="41" t="n"/>
      <c r="H968" s="41" t="n"/>
      <c r="I968" s="41" t="n"/>
      <c r="J968" s="47" t="n"/>
      <c r="K968" s="41" t="n"/>
      <c r="L968" s="48" t="n"/>
      <c r="M968" s="45" t="n"/>
      <c r="N968" s="39">
        <f>IF($B968="","",IF(SUMPRODUCT((LISTAS!$O$3:$O$42&lt;&gt;"")*ISNUMBER(SEARCH(LISTAS!$O$3:$O$42,$I968&amp;" "&amp;$K968)))&gt;0,"CERCANA","NACIONAL"))</f>
        <v/>
      </c>
      <c r="O968" s="39">
        <f>IF($B968="","",IF(COUNTIFS(NOVEDADES!$C$4:$C$2003,$B968)=0,"—","SÍ ("&amp;COUNTIFS(NOVEDADES!$C$4:$C$2003,$B968)&amp;")"))</f>
        <v/>
      </c>
    </row>
    <row r="969">
      <c r="A969" s="41" t="n"/>
      <c r="B969" s="41" t="n"/>
      <c r="C969" s="41" t="n"/>
      <c r="D969" s="41" t="n"/>
      <c r="E969" s="46" t="n"/>
      <c r="F969" s="41" t="n"/>
      <c r="G969" s="41" t="n"/>
      <c r="H969" s="41" t="n"/>
      <c r="I969" s="41" t="n"/>
      <c r="J969" s="47" t="n"/>
      <c r="K969" s="41" t="n"/>
      <c r="L969" s="48" t="n"/>
      <c r="M969" s="45" t="n"/>
      <c r="N969" s="39">
        <f>IF($B969="","",IF(SUMPRODUCT((LISTAS!$O$3:$O$42&lt;&gt;"")*ISNUMBER(SEARCH(LISTAS!$O$3:$O$42,$I969&amp;" "&amp;$K969)))&gt;0,"CERCANA","NACIONAL"))</f>
        <v/>
      </c>
      <c r="O969" s="39">
        <f>IF($B969="","",IF(COUNTIFS(NOVEDADES!$C$4:$C$2003,$B969)=0,"—","SÍ ("&amp;COUNTIFS(NOVEDADES!$C$4:$C$2003,$B969)&amp;")"))</f>
        <v/>
      </c>
    </row>
    <row r="970">
      <c r="A970" s="41" t="n"/>
      <c r="B970" s="41" t="n"/>
      <c r="C970" s="41" t="n"/>
      <c r="D970" s="41" t="n"/>
      <c r="E970" s="46" t="n"/>
      <c r="F970" s="41" t="n"/>
      <c r="G970" s="41" t="n"/>
      <c r="H970" s="41" t="n"/>
      <c r="I970" s="41" t="n"/>
      <c r="J970" s="47" t="n"/>
      <c r="K970" s="41" t="n"/>
      <c r="L970" s="48" t="n"/>
      <c r="M970" s="45" t="n"/>
      <c r="N970" s="39">
        <f>IF($B970="","",IF(SUMPRODUCT((LISTAS!$O$3:$O$42&lt;&gt;"")*ISNUMBER(SEARCH(LISTAS!$O$3:$O$42,$I970&amp;" "&amp;$K970)))&gt;0,"CERCANA","NACIONAL"))</f>
        <v/>
      </c>
      <c r="O970" s="39">
        <f>IF($B970="","",IF(COUNTIFS(NOVEDADES!$C$4:$C$2003,$B970)=0,"—","SÍ ("&amp;COUNTIFS(NOVEDADES!$C$4:$C$2003,$B970)&amp;")"))</f>
        <v/>
      </c>
    </row>
    <row r="971">
      <c r="A971" s="41" t="n"/>
      <c r="B971" s="41" t="n"/>
      <c r="C971" s="41" t="n"/>
      <c r="D971" s="41" t="n"/>
      <c r="E971" s="46" t="n"/>
      <c r="F971" s="41" t="n"/>
      <c r="G971" s="41" t="n"/>
      <c r="H971" s="41" t="n"/>
      <c r="I971" s="41" t="n"/>
      <c r="J971" s="47" t="n"/>
      <c r="K971" s="41" t="n"/>
      <c r="L971" s="48" t="n"/>
      <c r="M971" s="45" t="n"/>
      <c r="N971" s="39">
        <f>IF($B971="","",IF(SUMPRODUCT((LISTAS!$O$3:$O$42&lt;&gt;"")*ISNUMBER(SEARCH(LISTAS!$O$3:$O$42,$I971&amp;" "&amp;$K971)))&gt;0,"CERCANA","NACIONAL"))</f>
        <v/>
      </c>
      <c r="O971" s="39">
        <f>IF($B971="","",IF(COUNTIFS(NOVEDADES!$C$4:$C$2003,$B971)=0,"—","SÍ ("&amp;COUNTIFS(NOVEDADES!$C$4:$C$2003,$B971)&amp;")"))</f>
        <v/>
      </c>
    </row>
    <row r="972">
      <c r="A972" s="41" t="n"/>
      <c r="B972" s="41" t="n"/>
      <c r="C972" s="41" t="n"/>
      <c r="D972" s="41" t="n"/>
      <c r="E972" s="46" t="n"/>
      <c r="F972" s="41" t="n"/>
      <c r="G972" s="41" t="n"/>
      <c r="H972" s="41" t="n"/>
      <c r="I972" s="41" t="n"/>
      <c r="J972" s="47" t="n"/>
      <c r="K972" s="41" t="n"/>
      <c r="L972" s="48" t="n"/>
      <c r="M972" s="45" t="n"/>
      <c r="N972" s="39">
        <f>IF($B972="","",IF(SUMPRODUCT((LISTAS!$O$3:$O$42&lt;&gt;"")*ISNUMBER(SEARCH(LISTAS!$O$3:$O$42,$I972&amp;" "&amp;$K972)))&gt;0,"CERCANA","NACIONAL"))</f>
        <v/>
      </c>
      <c r="O972" s="39">
        <f>IF($B972="","",IF(COUNTIFS(NOVEDADES!$C$4:$C$2003,$B972)=0,"—","SÍ ("&amp;COUNTIFS(NOVEDADES!$C$4:$C$2003,$B972)&amp;")"))</f>
        <v/>
      </c>
    </row>
    <row r="973">
      <c r="A973" s="41" t="n"/>
      <c r="B973" s="41" t="n"/>
      <c r="C973" s="41" t="n"/>
      <c r="D973" s="41" t="n"/>
      <c r="E973" s="46" t="n"/>
      <c r="F973" s="41" t="n"/>
      <c r="G973" s="41" t="n"/>
      <c r="H973" s="41" t="n"/>
      <c r="I973" s="41" t="n"/>
      <c r="J973" s="47" t="n"/>
      <c r="K973" s="41" t="n"/>
      <c r="L973" s="48" t="n"/>
      <c r="M973" s="45" t="n"/>
      <c r="N973" s="39">
        <f>IF($B973="","",IF(SUMPRODUCT((LISTAS!$O$3:$O$42&lt;&gt;"")*ISNUMBER(SEARCH(LISTAS!$O$3:$O$42,$I973&amp;" "&amp;$K973)))&gt;0,"CERCANA","NACIONAL"))</f>
        <v/>
      </c>
      <c r="O973" s="39">
        <f>IF($B973="","",IF(COUNTIFS(NOVEDADES!$C$4:$C$2003,$B973)=0,"—","SÍ ("&amp;COUNTIFS(NOVEDADES!$C$4:$C$2003,$B973)&amp;")"))</f>
        <v/>
      </c>
    </row>
    <row r="974">
      <c r="A974" s="41" t="n"/>
      <c r="B974" s="41" t="n"/>
      <c r="C974" s="41" t="n"/>
      <c r="D974" s="41" t="n"/>
      <c r="E974" s="46" t="n"/>
      <c r="F974" s="41" t="n"/>
      <c r="G974" s="41" t="n"/>
      <c r="H974" s="41" t="n"/>
      <c r="I974" s="41" t="n"/>
      <c r="J974" s="47" t="n"/>
      <c r="K974" s="41" t="n"/>
      <c r="L974" s="48" t="n"/>
      <c r="M974" s="45" t="n"/>
      <c r="N974" s="39">
        <f>IF($B974="","",IF(SUMPRODUCT((LISTAS!$O$3:$O$42&lt;&gt;"")*ISNUMBER(SEARCH(LISTAS!$O$3:$O$42,$I974&amp;" "&amp;$K974)))&gt;0,"CERCANA","NACIONAL"))</f>
        <v/>
      </c>
      <c r="O974" s="39">
        <f>IF($B974="","",IF(COUNTIFS(NOVEDADES!$C$4:$C$2003,$B974)=0,"—","SÍ ("&amp;COUNTIFS(NOVEDADES!$C$4:$C$2003,$B974)&amp;")"))</f>
        <v/>
      </c>
    </row>
    <row r="975">
      <c r="A975" s="41" t="n"/>
      <c r="B975" s="41" t="n"/>
      <c r="C975" s="41" t="n"/>
      <c r="D975" s="41" t="n"/>
      <c r="E975" s="46" t="n"/>
      <c r="F975" s="41" t="n"/>
      <c r="G975" s="41" t="n"/>
      <c r="H975" s="41" t="n"/>
      <c r="I975" s="41" t="n"/>
      <c r="J975" s="47" t="n"/>
      <c r="K975" s="41" t="n"/>
      <c r="L975" s="48" t="n"/>
      <c r="M975" s="45" t="n"/>
      <c r="N975" s="39">
        <f>IF($B975="","",IF(SUMPRODUCT((LISTAS!$O$3:$O$42&lt;&gt;"")*ISNUMBER(SEARCH(LISTAS!$O$3:$O$42,$I975&amp;" "&amp;$K975)))&gt;0,"CERCANA","NACIONAL"))</f>
        <v/>
      </c>
      <c r="O975" s="39">
        <f>IF($B975="","",IF(COUNTIFS(NOVEDADES!$C$4:$C$2003,$B975)=0,"—","SÍ ("&amp;COUNTIFS(NOVEDADES!$C$4:$C$2003,$B975)&amp;")"))</f>
        <v/>
      </c>
    </row>
    <row r="976">
      <c r="A976" s="41" t="n"/>
      <c r="B976" s="41" t="n"/>
      <c r="C976" s="41" t="n"/>
      <c r="D976" s="41" t="n"/>
      <c r="E976" s="46" t="n"/>
      <c r="F976" s="41" t="n"/>
      <c r="G976" s="41" t="n"/>
      <c r="H976" s="41" t="n"/>
      <c r="I976" s="41" t="n"/>
      <c r="J976" s="47" t="n"/>
      <c r="K976" s="41" t="n"/>
      <c r="L976" s="48" t="n"/>
      <c r="M976" s="45" t="n"/>
      <c r="N976" s="39">
        <f>IF($B976="","",IF(SUMPRODUCT((LISTAS!$O$3:$O$42&lt;&gt;"")*ISNUMBER(SEARCH(LISTAS!$O$3:$O$42,$I976&amp;" "&amp;$K976)))&gt;0,"CERCANA","NACIONAL"))</f>
        <v/>
      </c>
      <c r="O976" s="39">
        <f>IF($B976="","",IF(COUNTIFS(NOVEDADES!$C$4:$C$2003,$B976)=0,"—","SÍ ("&amp;COUNTIFS(NOVEDADES!$C$4:$C$2003,$B976)&amp;")"))</f>
        <v/>
      </c>
    </row>
    <row r="977">
      <c r="A977" s="41" t="n"/>
      <c r="B977" s="41" t="n"/>
      <c r="C977" s="41" t="n"/>
      <c r="D977" s="41" t="n"/>
      <c r="E977" s="46" t="n"/>
      <c r="F977" s="41" t="n"/>
      <c r="G977" s="41" t="n"/>
      <c r="H977" s="41" t="n"/>
      <c r="I977" s="41" t="n"/>
      <c r="J977" s="47" t="n"/>
      <c r="K977" s="41" t="n"/>
      <c r="L977" s="48" t="n"/>
      <c r="M977" s="45" t="n"/>
      <c r="N977" s="39">
        <f>IF($B977="","",IF(SUMPRODUCT((LISTAS!$O$3:$O$42&lt;&gt;"")*ISNUMBER(SEARCH(LISTAS!$O$3:$O$42,$I977&amp;" "&amp;$K977)))&gt;0,"CERCANA","NACIONAL"))</f>
        <v/>
      </c>
      <c r="O977" s="39">
        <f>IF($B977="","",IF(COUNTIFS(NOVEDADES!$C$4:$C$2003,$B977)=0,"—","SÍ ("&amp;COUNTIFS(NOVEDADES!$C$4:$C$2003,$B977)&amp;")"))</f>
        <v/>
      </c>
    </row>
    <row r="978">
      <c r="A978" s="41" t="n"/>
      <c r="B978" s="41" t="n"/>
      <c r="C978" s="41" t="n"/>
      <c r="D978" s="41" t="n"/>
      <c r="E978" s="46" t="n"/>
      <c r="F978" s="41" t="n"/>
      <c r="G978" s="41" t="n"/>
      <c r="H978" s="41" t="n"/>
      <c r="I978" s="41" t="n"/>
      <c r="J978" s="47" t="n"/>
      <c r="K978" s="41" t="n"/>
      <c r="L978" s="48" t="n"/>
      <c r="M978" s="45" t="n"/>
      <c r="N978" s="39">
        <f>IF($B978="","",IF(SUMPRODUCT((LISTAS!$O$3:$O$42&lt;&gt;"")*ISNUMBER(SEARCH(LISTAS!$O$3:$O$42,$I978&amp;" "&amp;$K978)))&gt;0,"CERCANA","NACIONAL"))</f>
        <v/>
      </c>
      <c r="O978" s="39">
        <f>IF($B978="","",IF(COUNTIFS(NOVEDADES!$C$4:$C$2003,$B978)=0,"—","SÍ ("&amp;COUNTIFS(NOVEDADES!$C$4:$C$2003,$B978)&amp;")"))</f>
        <v/>
      </c>
    </row>
    <row r="979">
      <c r="A979" s="41" t="n"/>
      <c r="B979" s="41" t="n"/>
      <c r="C979" s="41" t="n"/>
      <c r="D979" s="41" t="n"/>
      <c r="E979" s="46" t="n"/>
      <c r="F979" s="41" t="n"/>
      <c r="G979" s="41" t="n"/>
      <c r="H979" s="41" t="n"/>
      <c r="I979" s="41" t="n"/>
      <c r="J979" s="47" t="n"/>
      <c r="K979" s="41" t="n"/>
      <c r="L979" s="48" t="n"/>
      <c r="M979" s="45" t="n"/>
      <c r="N979" s="39">
        <f>IF($B979="","",IF(SUMPRODUCT((LISTAS!$O$3:$O$42&lt;&gt;"")*ISNUMBER(SEARCH(LISTAS!$O$3:$O$42,$I979&amp;" "&amp;$K979)))&gt;0,"CERCANA","NACIONAL"))</f>
        <v/>
      </c>
      <c r="O979" s="39">
        <f>IF($B979="","",IF(COUNTIFS(NOVEDADES!$C$4:$C$2003,$B979)=0,"—","SÍ ("&amp;COUNTIFS(NOVEDADES!$C$4:$C$2003,$B979)&amp;")"))</f>
        <v/>
      </c>
    </row>
    <row r="980">
      <c r="A980" s="41" t="n"/>
      <c r="B980" s="41" t="n"/>
      <c r="C980" s="41" t="n"/>
      <c r="D980" s="41" t="n"/>
      <c r="E980" s="46" t="n"/>
      <c r="F980" s="41" t="n"/>
      <c r="G980" s="41" t="n"/>
      <c r="H980" s="41" t="n"/>
      <c r="I980" s="41" t="n"/>
      <c r="J980" s="47" t="n"/>
      <c r="K980" s="41" t="n"/>
      <c r="L980" s="48" t="n"/>
      <c r="M980" s="45" t="n"/>
      <c r="N980" s="39">
        <f>IF($B980="","",IF(SUMPRODUCT((LISTAS!$O$3:$O$42&lt;&gt;"")*ISNUMBER(SEARCH(LISTAS!$O$3:$O$42,$I980&amp;" "&amp;$K980)))&gt;0,"CERCANA","NACIONAL"))</f>
        <v/>
      </c>
      <c r="O980" s="39">
        <f>IF($B980="","",IF(COUNTIFS(NOVEDADES!$C$4:$C$2003,$B980)=0,"—","SÍ ("&amp;COUNTIFS(NOVEDADES!$C$4:$C$2003,$B980)&amp;")"))</f>
        <v/>
      </c>
    </row>
    <row r="981">
      <c r="A981" s="41" t="n"/>
      <c r="B981" s="41" t="n"/>
      <c r="C981" s="41" t="n"/>
      <c r="D981" s="41" t="n"/>
      <c r="E981" s="46" t="n"/>
      <c r="F981" s="41" t="n"/>
      <c r="G981" s="41" t="n"/>
      <c r="H981" s="41" t="n"/>
      <c r="I981" s="41" t="n"/>
      <c r="J981" s="47" t="n"/>
      <c r="K981" s="41" t="n"/>
      <c r="L981" s="48" t="n"/>
      <c r="M981" s="45" t="n"/>
      <c r="N981" s="39">
        <f>IF($B981="","",IF(SUMPRODUCT((LISTAS!$O$3:$O$42&lt;&gt;"")*ISNUMBER(SEARCH(LISTAS!$O$3:$O$42,$I981&amp;" "&amp;$K981)))&gt;0,"CERCANA","NACIONAL"))</f>
        <v/>
      </c>
      <c r="O981" s="39">
        <f>IF($B981="","",IF(COUNTIFS(NOVEDADES!$C$4:$C$2003,$B981)=0,"—","SÍ ("&amp;COUNTIFS(NOVEDADES!$C$4:$C$2003,$B981)&amp;")"))</f>
        <v/>
      </c>
    </row>
    <row r="982">
      <c r="A982" s="41" t="n"/>
      <c r="B982" s="41" t="n"/>
      <c r="C982" s="41" t="n"/>
      <c r="D982" s="41" t="n"/>
      <c r="E982" s="46" t="n"/>
      <c r="F982" s="41" t="n"/>
      <c r="G982" s="41" t="n"/>
      <c r="H982" s="41" t="n"/>
      <c r="I982" s="41" t="n"/>
      <c r="J982" s="47" t="n"/>
      <c r="K982" s="41" t="n"/>
      <c r="L982" s="48" t="n"/>
      <c r="M982" s="45" t="n"/>
      <c r="N982" s="39">
        <f>IF($B982="","",IF(SUMPRODUCT((LISTAS!$O$3:$O$42&lt;&gt;"")*ISNUMBER(SEARCH(LISTAS!$O$3:$O$42,$I982&amp;" "&amp;$K982)))&gt;0,"CERCANA","NACIONAL"))</f>
        <v/>
      </c>
      <c r="O982" s="39">
        <f>IF($B982="","",IF(COUNTIFS(NOVEDADES!$C$4:$C$2003,$B982)=0,"—","SÍ ("&amp;COUNTIFS(NOVEDADES!$C$4:$C$2003,$B982)&amp;")"))</f>
        <v/>
      </c>
    </row>
    <row r="983">
      <c r="A983" s="41" t="n"/>
      <c r="B983" s="41" t="n"/>
      <c r="C983" s="41" t="n"/>
      <c r="D983" s="41" t="n"/>
      <c r="E983" s="46" t="n"/>
      <c r="F983" s="41" t="n"/>
      <c r="G983" s="41" t="n"/>
      <c r="H983" s="41" t="n"/>
      <c r="I983" s="41" t="n"/>
      <c r="J983" s="47" t="n"/>
      <c r="K983" s="41" t="n"/>
      <c r="L983" s="48" t="n"/>
      <c r="M983" s="45" t="n"/>
      <c r="N983" s="39">
        <f>IF($B983="","",IF(SUMPRODUCT((LISTAS!$O$3:$O$42&lt;&gt;"")*ISNUMBER(SEARCH(LISTAS!$O$3:$O$42,$I983&amp;" "&amp;$K983)))&gt;0,"CERCANA","NACIONAL"))</f>
        <v/>
      </c>
      <c r="O983" s="39">
        <f>IF($B983="","",IF(COUNTIFS(NOVEDADES!$C$4:$C$2003,$B983)=0,"—","SÍ ("&amp;COUNTIFS(NOVEDADES!$C$4:$C$2003,$B983)&amp;")"))</f>
        <v/>
      </c>
    </row>
    <row r="984">
      <c r="A984" s="41" t="n"/>
      <c r="B984" s="41" t="n"/>
      <c r="C984" s="41" t="n"/>
      <c r="D984" s="41" t="n"/>
      <c r="E984" s="46" t="n"/>
      <c r="F984" s="41" t="n"/>
      <c r="G984" s="41" t="n"/>
      <c r="H984" s="41" t="n"/>
      <c r="I984" s="41" t="n"/>
      <c r="J984" s="47" t="n"/>
      <c r="K984" s="41" t="n"/>
      <c r="L984" s="48" t="n"/>
      <c r="M984" s="45" t="n"/>
      <c r="N984" s="39">
        <f>IF($B984="","",IF(SUMPRODUCT((LISTAS!$O$3:$O$42&lt;&gt;"")*ISNUMBER(SEARCH(LISTAS!$O$3:$O$42,$I984&amp;" "&amp;$K984)))&gt;0,"CERCANA","NACIONAL"))</f>
        <v/>
      </c>
      <c r="O984" s="39">
        <f>IF($B984="","",IF(COUNTIFS(NOVEDADES!$C$4:$C$2003,$B984)=0,"—","SÍ ("&amp;COUNTIFS(NOVEDADES!$C$4:$C$2003,$B984)&amp;")"))</f>
        <v/>
      </c>
    </row>
    <row r="985">
      <c r="A985" s="41" t="n"/>
      <c r="B985" s="41" t="n"/>
      <c r="C985" s="41" t="n"/>
      <c r="D985" s="41" t="n"/>
      <c r="E985" s="46" t="n"/>
      <c r="F985" s="41" t="n"/>
      <c r="G985" s="41" t="n"/>
      <c r="H985" s="41" t="n"/>
      <c r="I985" s="41" t="n"/>
      <c r="J985" s="47" t="n"/>
      <c r="K985" s="41" t="n"/>
      <c r="L985" s="48" t="n"/>
      <c r="M985" s="45" t="n"/>
      <c r="N985" s="39">
        <f>IF($B985="","",IF(SUMPRODUCT((LISTAS!$O$3:$O$42&lt;&gt;"")*ISNUMBER(SEARCH(LISTAS!$O$3:$O$42,$I985&amp;" "&amp;$K985)))&gt;0,"CERCANA","NACIONAL"))</f>
        <v/>
      </c>
      <c r="O985" s="39">
        <f>IF($B985="","",IF(COUNTIFS(NOVEDADES!$C$4:$C$2003,$B985)=0,"—","SÍ ("&amp;COUNTIFS(NOVEDADES!$C$4:$C$2003,$B985)&amp;")"))</f>
        <v/>
      </c>
    </row>
    <row r="986">
      <c r="A986" s="41" t="n"/>
      <c r="B986" s="41" t="n"/>
      <c r="C986" s="41" t="n"/>
      <c r="D986" s="41" t="n"/>
      <c r="E986" s="46" t="n"/>
      <c r="F986" s="41" t="n"/>
      <c r="G986" s="41" t="n"/>
      <c r="H986" s="41" t="n"/>
      <c r="I986" s="41" t="n"/>
      <c r="J986" s="47" t="n"/>
      <c r="K986" s="41" t="n"/>
      <c r="L986" s="48" t="n"/>
      <c r="M986" s="45" t="n"/>
      <c r="N986" s="39">
        <f>IF($B986="","",IF(SUMPRODUCT((LISTAS!$O$3:$O$42&lt;&gt;"")*ISNUMBER(SEARCH(LISTAS!$O$3:$O$42,$I986&amp;" "&amp;$K986)))&gt;0,"CERCANA","NACIONAL"))</f>
        <v/>
      </c>
      <c r="O986" s="39">
        <f>IF($B986="","",IF(COUNTIFS(NOVEDADES!$C$4:$C$2003,$B986)=0,"—","SÍ ("&amp;COUNTIFS(NOVEDADES!$C$4:$C$2003,$B986)&amp;")"))</f>
        <v/>
      </c>
    </row>
    <row r="987">
      <c r="A987" s="41" t="n"/>
      <c r="B987" s="41" t="n"/>
      <c r="C987" s="41" t="n"/>
      <c r="D987" s="41" t="n"/>
      <c r="E987" s="46" t="n"/>
      <c r="F987" s="41" t="n"/>
      <c r="G987" s="41" t="n"/>
      <c r="H987" s="41" t="n"/>
      <c r="I987" s="41" t="n"/>
      <c r="J987" s="47" t="n"/>
      <c r="K987" s="41" t="n"/>
      <c r="L987" s="48" t="n"/>
      <c r="M987" s="45" t="n"/>
      <c r="N987" s="39">
        <f>IF($B987="","",IF(SUMPRODUCT((LISTAS!$O$3:$O$42&lt;&gt;"")*ISNUMBER(SEARCH(LISTAS!$O$3:$O$42,$I987&amp;" "&amp;$K987)))&gt;0,"CERCANA","NACIONAL"))</f>
        <v/>
      </c>
      <c r="O987" s="39">
        <f>IF($B987="","",IF(COUNTIFS(NOVEDADES!$C$4:$C$2003,$B987)=0,"—","SÍ ("&amp;COUNTIFS(NOVEDADES!$C$4:$C$2003,$B987)&amp;")"))</f>
        <v/>
      </c>
    </row>
    <row r="988">
      <c r="A988" s="41" t="n"/>
      <c r="B988" s="41" t="n"/>
      <c r="C988" s="41" t="n"/>
      <c r="D988" s="41" t="n"/>
      <c r="E988" s="46" t="n"/>
      <c r="F988" s="41" t="n"/>
      <c r="G988" s="41" t="n"/>
      <c r="H988" s="41" t="n"/>
      <c r="I988" s="41" t="n"/>
      <c r="J988" s="47" t="n"/>
      <c r="K988" s="41" t="n"/>
      <c r="L988" s="48" t="n"/>
      <c r="M988" s="45" t="n"/>
      <c r="N988" s="39">
        <f>IF($B988="","",IF(SUMPRODUCT((LISTAS!$O$3:$O$42&lt;&gt;"")*ISNUMBER(SEARCH(LISTAS!$O$3:$O$42,$I988&amp;" "&amp;$K988)))&gt;0,"CERCANA","NACIONAL"))</f>
        <v/>
      </c>
      <c r="O988" s="39">
        <f>IF($B988="","",IF(COUNTIFS(NOVEDADES!$C$4:$C$2003,$B988)=0,"—","SÍ ("&amp;COUNTIFS(NOVEDADES!$C$4:$C$2003,$B988)&amp;")"))</f>
        <v/>
      </c>
    </row>
    <row r="989">
      <c r="A989" s="41" t="n"/>
      <c r="B989" s="41" t="n"/>
      <c r="C989" s="41" t="n"/>
      <c r="D989" s="41" t="n"/>
      <c r="E989" s="46" t="n"/>
      <c r="F989" s="41" t="n"/>
      <c r="G989" s="41" t="n"/>
      <c r="H989" s="41" t="n"/>
      <c r="I989" s="41" t="n"/>
      <c r="J989" s="47" t="n"/>
      <c r="K989" s="41" t="n"/>
      <c r="L989" s="48" t="n"/>
      <c r="M989" s="45" t="n"/>
      <c r="N989" s="39">
        <f>IF($B989="","",IF(SUMPRODUCT((LISTAS!$O$3:$O$42&lt;&gt;"")*ISNUMBER(SEARCH(LISTAS!$O$3:$O$42,$I989&amp;" "&amp;$K989)))&gt;0,"CERCANA","NACIONAL"))</f>
        <v/>
      </c>
      <c r="O989" s="39">
        <f>IF($B989="","",IF(COUNTIFS(NOVEDADES!$C$4:$C$2003,$B989)=0,"—","SÍ ("&amp;COUNTIFS(NOVEDADES!$C$4:$C$2003,$B989)&amp;")"))</f>
        <v/>
      </c>
    </row>
    <row r="990">
      <c r="A990" s="41" t="n"/>
      <c r="B990" s="41" t="n"/>
      <c r="C990" s="41" t="n"/>
      <c r="D990" s="41" t="n"/>
      <c r="E990" s="46" t="n"/>
      <c r="F990" s="41" t="n"/>
      <c r="G990" s="41" t="n"/>
      <c r="H990" s="41" t="n"/>
      <c r="I990" s="41" t="n"/>
      <c r="J990" s="47" t="n"/>
      <c r="K990" s="41" t="n"/>
      <c r="L990" s="48" t="n"/>
      <c r="M990" s="45" t="n"/>
      <c r="N990" s="39">
        <f>IF($B990="","",IF(SUMPRODUCT((LISTAS!$O$3:$O$42&lt;&gt;"")*ISNUMBER(SEARCH(LISTAS!$O$3:$O$42,$I990&amp;" "&amp;$K990)))&gt;0,"CERCANA","NACIONAL"))</f>
        <v/>
      </c>
      <c r="O990" s="39">
        <f>IF($B990="","",IF(COUNTIFS(NOVEDADES!$C$4:$C$2003,$B990)=0,"—","SÍ ("&amp;COUNTIFS(NOVEDADES!$C$4:$C$2003,$B990)&amp;")"))</f>
        <v/>
      </c>
    </row>
    <row r="991">
      <c r="A991" s="41" t="n"/>
      <c r="B991" s="41" t="n"/>
      <c r="C991" s="41" t="n"/>
      <c r="D991" s="41" t="n"/>
      <c r="E991" s="46" t="n"/>
      <c r="F991" s="41" t="n"/>
      <c r="G991" s="41" t="n"/>
      <c r="H991" s="41" t="n"/>
      <c r="I991" s="41" t="n"/>
      <c r="J991" s="47" t="n"/>
      <c r="K991" s="41" t="n"/>
      <c r="L991" s="48" t="n"/>
      <c r="M991" s="45" t="n"/>
      <c r="N991" s="39">
        <f>IF($B991="","",IF(SUMPRODUCT((LISTAS!$O$3:$O$42&lt;&gt;"")*ISNUMBER(SEARCH(LISTAS!$O$3:$O$42,$I991&amp;" "&amp;$K991)))&gt;0,"CERCANA","NACIONAL"))</f>
        <v/>
      </c>
      <c r="O991" s="39">
        <f>IF($B991="","",IF(COUNTIFS(NOVEDADES!$C$4:$C$2003,$B991)=0,"—","SÍ ("&amp;COUNTIFS(NOVEDADES!$C$4:$C$2003,$B991)&amp;")"))</f>
        <v/>
      </c>
    </row>
    <row r="992">
      <c r="A992" s="41" t="n"/>
      <c r="B992" s="41" t="n"/>
      <c r="C992" s="41" t="n"/>
      <c r="D992" s="41" t="n"/>
      <c r="E992" s="46" t="n"/>
      <c r="F992" s="41" t="n"/>
      <c r="G992" s="41" t="n"/>
      <c r="H992" s="41" t="n"/>
      <c r="I992" s="41" t="n"/>
      <c r="J992" s="47" t="n"/>
      <c r="K992" s="41" t="n"/>
      <c r="L992" s="48" t="n"/>
      <c r="M992" s="45" t="n"/>
      <c r="N992" s="39">
        <f>IF($B992="","",IF(SUMPRODUCT((LISTAS!$O$3:$O$42&lt;&gt;"")*ISNUMBER(SEARCH(LISTAS!$O$3:$O$42,$I992&amp;" "&amp;$K992)))&gt;0,"CERCANA","NACIONAL"))</f>
        <v/>
      </c>
      <c r="O992" s="39">
        <f>IF($B992="","",IF(COUNTIFS(NOVEDADES!$C$4:$C$2003,$B992)=0,"—","SÍ ("&amp;COUNTIFS(NOVEDADES!$C$4:$C$2003,$B992)&amp;")"))</f>
        <v/>
      </c>
    </row>
    <row r="993">
      <c r="A993" s="41" t="n"/>
      <c r="B993" s="41" t="n"/>
      <c r="C993" s="41" t="n"/>
      <c r="D993" s="41" t="n"/>
      <c r="E993" s="46" t="n"/>
      <c r="F993" s="41" t="n"/>
      <c r="G993" s="41" t="n"/>
      <c r="H993" s="41" t="n"/>
      <c r="I993" s="41" t="n"/>
      <c r="J993" s="47" t="n"/>
      <c r="K993" s="41" t="n"/>
      <c r="L993" s="48" t="n"/>
      <c r="M993" s="45" t="n"/>
      <c r="N993" s="39">
        <f>IF($B993="","",IF(SUMPRODUCT((LISTAS!$O$3:$O$42&lt;&gt;"")*ISNUMBER(SEARCH(LISTAS!$O$3:$O$42,$I993&amp;" "&amp;$K993)))&gt;0,"CERCANA","NACIONAL"))</f>
        <v/>
      </c>
      <c r="O993" s="39">
        <f>IF($B993="","",IF(COUNTIFS(NOVEDADES!$C$4:$C$2003,$B993)=0,"—","SÍ ("&amp;COUNTIFS(NOVEDADES!$C$4:$C$2003,$B993)&amp;")"))</f>
        <v/>
      </c>
    </row>
    <row r="994">
      <c r="A994" s="41" t="n"/>
      <c r="B994" s="41" t="n"/>
      <c r="C994" s="41" t="n"/>
      <c r="D994" s="41" t="n"/>
      <c r="E994" s="46" t="n"/>
      <c r="F994" s="41" t="n"/>
      <c r="G994" s="41" t="n"/>
      <c r="H994" s="41" t="n"/>
      <c r="I994" s="41" t="n"/>
      <c r="J994" s="47" t="n"/>
      <c r="K994" s="41" t="n"/>
      <c r="L994" s="48" t="n"/>
      <c r="M994" s="45" t="n"/>
      <c r="N994" s="39">
        <f>IF($B994="","",IF(SUMPRODUCT((LISTAS!$O$3:$O$42&lt;&gt;"")*ISNUMBER(SEARCH(LISTAS!$O$3:$O$42,$I994&amp;" "&amp;$K994)))&gt;0,"CERCANA","NACIONAL"))</f>
        <v/>
      </c>
      <c r="O994" s="39">
        <f>IF($B994="","",IF(COUNTIFS(NOVEDADES!$C$4:$C$2003,$B994)=0,"—","SÍ ("&amp;COUNTIFS(NOVEDADES!$C$4:$C$2003,$B994)&amp;")"))</f>
        <v/>
      </c>
    </row>
    <row r="995">
      <c r="A995" s="41" t="n"/>
      <c r="B995" s="41" t="n"/>
      <c r="C995" s="41" t="n"/>
      <c r="D995" s="41" t="n"/>
      <c r="E995" s="46" t="n"/>
      <c r="F995" s="41" t="n"/>
      <c r="G995" s="41" t="n"/>
      <c r="H995" s="41" t="n"/>
      <c r="I995" s="41" t="n"/>
      <c r="J995" s="47" t="n"/>
      <c r="K995" s="41" t="n"/>
      <c r="L995" s="48" t="n"/>
      <c r="M995" s="45" t="n"/>
      <c r="N995" s="39">
        <f>IF($B995="","",IF(SUMPRODUCT((LISTAS!$O$3:$O$42&lt;&gt;"")*ISNUMBER(SEARCH(LISTAS!$O$3:$O$42,$I995&amp;" "&amp;$K995)))&gt;0,"CERCANA","NACIONAL"))</f>
        <v/>
      </c>
      <c r="O995" s="39">
        <f>IF($B995="","",IF(COUNTIFS(NOVEDADES!$C$4:$C$2003,$B995)=0,"—","SÍ ("&amp;COUNTIFS(NOVEDADES!$C$4:$C$2003,$B995)&amp;")"))</f>
        <v/>
      </c>
    </row>
    <row r="996">
      <c r="A996" s="41" t="n"/>
      <c r="B996" s="41" t="n"/>
      <c r="C996" s="41" t="n"/>
      <c r="D996" s="41" t="n"/>
      <c r="E996" s="46" t="n"/>
      <c r="F996" s="41" t="n"/>
      <c r="G996" s="41" t="n"/>
      <c r="H996" s="41" t="n"/>
      <c r="I996" s="41" t="n"/>
      <c r="J996" s="47" t="n"/>
      <c r="K996" s="41" t="n"/>
      <c r="L996" s="48" t="n"/>
      <c r="M996" s="45" t="n"/>
      <c r="N996" s="39">
        <f>IF($B996="","",IF(SUMPRODUCT((LISTAS!$O$3:$O$42&lt;&gt;"")*ISNUMBER(SEARCH(LISTAS!$O$3:$O$42,$I996&amp;" "&amp;$K996)))&gt;0,"CERCANA","NACIONAL"))</f>
        <v/>
      </c>
      <c r="O996" s="39">
        <f>IF($B996="","",IF(COUNTIFS(NOVEDADES!$C$4:$C$2003,$B996)=0,"—","SÍ ("&amp;COUNTIFS(NOVEDADES!$C$4:$C$2003,$B996)&amp;")"))</f>
        <v/>
      </c>
    </row>
    <row r="997">
      <c r="A997" s="41" t="n"/>
      <c r="B997" s="41" t="n"/>
      <c r="C997" s="41" t="n"/>
      <c r="D997" s="41" t="n"/>
      <c r="E997" s="46" t="n"/>
      <c r="F997" s="41" t="n"/>
      <c r="G997" s="41" t="n"/>
      <c r="H997" s="41" t="n"/>
      <c r="I997" s="41" t="n"/>
      <c r="J997" s="47" t="n"/>
      <c r="K997" s="41" t="n"/>
      <c r="L997" s="48" t="n"/>
      <c r="M997" s="45" t="n"/>
      <c r="N997" s="39">
        <f>IF($B997="","",IF(SUMPRODUCT((LISTAS!$O$3:$O$42&lt;&gt;"")*ISNUMBER(SEARCH(LISTAS!$O$3:$O$42,$I997&amp;" "&amp;$K997)))&gt;0,"CERCANA","NACIONAL"))</f>
        <v/>
      </c>
      <c r="O997" s="39">
        <f>IF($B997="","",IF(COUNTIFS(NOVEDADES!$C$4:$C$2003,$B997)=0,"—","SÍ ("&amp;COUNTIFS(NOVEDADES!$C$4:$C$2003,$B997)&amp;")"))</f>
        <v/>
      </c>
    </row>
    <row r="998">
      <c r="A998" s="41" t="n"/>
      <c r="B998" s="41" t="n"/>
      <c r="C998" s="41" t="n"/>
      <c r="D998" s="41" t="n"/>
      <c r="E998" s="46" t="n"/>
      <c r="F998" s="41" t="n"/>
      <c r="G998" s="41" t="n"/>
      <c r="H998" s="41" t="n"/>
      <c r="I998" s="41" t="n"/>
      <c r="J998" s="47" t="n"/>
      <c r="K998" s="41" t="n"/>
      <c r="L998" s="48" t="n"/>
      <c r="M998" s="45" t="n"/>
      <c r="N998" s="39">
        <f>IF($B998="","",IF(SUMPRODUCT((LISTAS!$O$3:$O$42&lt;&gt;"")*ISNUMBER(SEARCH(LISTAS!$O$3:$O$42,$I998&amp;" "&amp;$K998)))&gt;0,"CERCANA","NACIONAL"))</f>
        <v/>
      </c>
      <c r="O998" s="39">
        <f>IF($B998="","",IF(COUNTIFS(NOVEDADES!$C$4:$C$2003,$B998)=0,"—","SÍ ("&amp;COUNTIFS(NOVEDADES!$C$4:$C$2003,$B998)&amp;")"))</f>
        <v/>
      </c>
    </row>
    <row r="999">
      <c r="A999" s="41" t="n"/>
      <c r="B999" s="41" t="n"/>
      <c r="C999" s="41" t="n"/>
      <c r="D999" s="41" t="n"/>
      <c r="E999" s="46" t="n"/>
      <c r="F999" s="41" t="n"/>
      <c r="G999" s="41" t="n"/>
      <c r="H999" s="41" t="n"/>
      <c r="I999" s="41" t="n"/>
      <c r="J999" s="47" t="n"/>
      <c r="K999" s="41" t="n"/>
      <c r="L999" s="48" t="n"/>
      <c r="M999" s="45" t="n"/>
      <c r="N999" s="39">
        <f>IF($B999="","",IF(SUMPRODUCT((LISTAS!$O$3:$O$42&lt;&gt;"")*ISNUMBER(SEARCH(LISTAS!$O$3:$O$42,$I999&amp;" "&amp;$K999)))&gt;0,"CERCANA","NACIONAL"))</f>
        <v/>
      </c>
      <c r="O999" s="39">
        <f>IF($B999="","",IF(COUNTIFS(NOVEDADES!$C$4:$C$2003,$B999)=0,"—","SÍ ("&amp;COUNTIFS(NOVEDADES!$C$4:$C$2003,$B999)&amp;")"))</f>
        <v/>
      </c>
    </row>
    <row r="1000">
      <c r="A1000" s="41" t="n"/>
      <c r="B1000" s="41" t="n"/>
      <c r="C1000" s="41" t="n"/>
      <c r="D1000" s="41" t="n"/>
      <c r="E1000" s="46" t="n"/>
      <c r="F1000" s="41" t="n"/>
      <c r="G1000" s="41" t="n"/>
      <c r="H1000" s="41" t="n"/>
      <c r="I1000" s="41" t="n"/>
      <c r="J1000" s="47" t="n"/>
      <c r="K1000" s="41" t="n"/>
      <c r="L1000" s="48" t="n"/>
      <c r="M1000" s="45" t="n"/>
      <c r="N1000" s="39">
        <f>IF($B1000="","",IF(SUMPRODUCT((LISTAS!$O$3:$O$42&lt;&gt;"")*ISNUMBER(SEARCH(LISTAS!$O$3:$O$42,$I1000&amp;" "&amp;$K1000)))&gt;0,"CERCANA","NACIONAL"))</f>
        <v/>
      </c>
      <c r="O1000" s="39">
        <f>IF($B1000="","",IF(COUNTIFS(NOVEDADES!$C$4:$C$2003,$B1000)=0,"—","SÍ ("&amp;COUNTIFS(NOVEDADES!$C$4:$C$2003,$B1000)&amp;")"))</f>
        <v/>
      </c>
    </row>
    <row r="1001">
      <c r="A1001" s="41" t="n"/>
      <c r="B1001" s="41" t="n"/>
      <c r="C1001" s="41" t="n"/>
      <c r="D1001" s="41" t="n"/>
      <c r="E1001" s="46" t="n"/>
      <c r="F1001" s="41" t="n"/>
      <c r="G1001" s="41" t="n"/>
      <c r="H1001" s="41" t="n"/>
      <c r="I1001" s="41" t="n"/>
      <c r="J1001" s="47" t="n"/>
      <c r="K1001" s="41" t="n"/>
      <c r="L1001" s="48" t="n"/>
      <c r="M1001" s="45" t="n"/>
      <c r="N1001" s="39">
        <f>IF($B1001="","",IF(SUMPRODUCT((LISTAS!$O$3:$O$42&lt;&gt;"")*ISNUMBER(SEARCH(LISTAS!$O$3:$O$42,$I1001&amp;" "&amp;$K1001)))&gt;0,"CERCANA","NACIONAL"))</f>
        <v/>
      </c>
      <c r="O1001" s="39">
        <f>IF($B1001="","",IF(COUNTIFS(NOVEDADES!$C$4:$C$2003,$B1001)=0,"—","SÍ ("&amp;COUNTIFS(NOVEDADES!$C$4:$C$2003,$B1001)&amp;")"))</f>
        <v/>
      </c>
    </row>
    <row r="1002">
      <c r="A1002" s="41" t="n"/>
      <c r="B1002" s="41" t="n"/>
      <c r="C1002" s="41" t="n"/>
      <c r="D1002" s="41" t="n"/>
      <c r="E1002" s="46" t="n"/>
      <c r="F1002" s="41" t="n"/>
      <c r="G1002" s="41" t="n"/>
      <c r="H1002" s="41" t="n"/>
      <c r="I1002" s="41" t="n"/>
      <c r="J1002" s="47" t="n"/>
      <c r="K1002" s="41" t="n"/>
      <c r="L1002" s="48" t="n"/>
      <c r="M1002" s="45" t="n"/>
      <c r="N1002" s="39">
        <f>IF($B1002="","",IF(SUMPRODUCT((LISTAS!$O$3:$O$42&lt;&gt;"")*ISNUMBER(SEARCH(LISTAS!$O$3:$O$42,$I1002&amp;" "&amp;$K1002)))&gt;0,"CERCANA","NACIONAL"))</f>
        <v/>
      </c>
      <c r="O1002" s="39">
        <f>IF($B1002="","",IF(COUNTIFS(NOVEDADES!$C$4:$C$2003,$B1002)=0,"—","SÍ ("&amp;COUNTIFS(NOVEDADES!$C$4:$C$2003,$B1002)&amp;")"))</f>
        <v/>
      </c>
    </row>
    <row r="1003">
      <c r="A1003" s="41" t="n"/>
      <c r="B1003" s="41" t="n"/>
      <c r="C1003" s="41" t="n"/>
      <c r="D1003" s="41" t="n"/>
      <c r="E1003" s="46" t="n"/>
      <c r="F1003" s="41" t="n"/>
      <c r="G1003" s="41" t="n"/>
      <c r="H1003" s="41" t="n"/>
      <c r="I1003" s="41" t="n"/>
      <c r="J1003" s="47" t="n"/>
      <c r="K1003" s="41" t="n"/>
      <c r="L1003" s="48" t="n"/>
      <c r="M1003" s="45" t="n"/>
      <c r="N1003" s="39">
        <f>IF($B1003="","",IF(SUMPRODUCT((LISTAS!$O$3:$O$42&lt;&gt;"")*ISNUMBER(SEARCH(LISTAS!$O$3:$O$42,$I1003&amp;" "&amp;$K1003)))&gt;0,"CERCANA","NACIONAL"))</f>
        <v/>
      </c>
      <c r="O1003" s="39">
        <f>IF($B1003="","",IF(COUNTIFS(NOVEDADES!$C$4:$C$2003,$B1003)=0,"—","SÍ ("&amp;COUNTIFS(NOVEDADES!$C$4:$C$2003,$B1003)&amp;")"))</f>
        <v/>
      </c>
    </row>
    <row r="1004">
      <c r="A1004" s="41" t="n"/>
      <c r="B1004" s="41" t="n"/>
      <c r="C1004" s="41" t="n"/>
      <c r="D1004" s="41" t="n"/>
      <c r="E1004" s="46" t="n"/>
      <c r="F1004" s="41" t="n"/>
      <c r="G1004" s="41" t="n"/>
      <c r="H1004" s="41" t="n"/>
      <c r="I1004" s="41" t="n"/>
      <c r="J1004" s="47" t="n"/>
      <c r="K1004" s="41" t="n"/>
      <c r="L1004" s="48" t="n"/>
      <c r="M1004" s="45" t="n"/>
      <c r="N1004" s="39">
        <f>IF($B1004="","",IF(SUMPRODUCT((LISTAS!$O$3:$O$42&lt;&gt;"")*ISNUMBER(SEARCH(LISTAS!$O$3:$O$42,$I1004&amp;" "&amp;$K1004)))&gt;0,"CERCANA","NACIONAL"))</f>
        <v/>
      </c>
      <c r="O1004" s="39">
        <f>IF($B1004="","",IF(COUNTIFS(NOVEDADES!$C$4:$C$2003,$B1004)=0,"—","SÍ ("&amp;COUNTIFS(NOVEDADES!$C$4:$C$2003,$B1004)&amp;")"))</f>
        <v/>
      </c>
    </row>
    <row r="1005">
      <c r="A1005" s="41" t="n"/>
      <c r="B1005" s="41" t="n"/>
      <c r="C1005" s="41" t="n"/>
      <c r="D1005" s="41" t="n"/>
      <c r="E1005" s="46" t="n"/>
      <c r="F1005" s="41" t="n"/>
      <c r="G1005" s="41" t="n"/>
      <c r="H1005" s="41" t="n"/>
      <c r="I1005" s="41" t="n"/>
      <c r="J1005" s="47" t="n"/>
      <c r="K1005" s="41" t="n"/>
      <c r="L1005" s="48" t="n"/>
      <c r="M1005" s="45" t="n"/>
      <c r="N1005" s="39">
        <f>IF($B1005="","",IF(SUMPRODUCT((LISTAS!$O$3:$O$42&lt;&gt;"")*ISNUMBER(SEARCH(LISTAS!$O$3:$O$42,$I1005&amp;" "&amp;$K1005)))&gt;0,"CERCANA","NACIONAL"))</f>
        <v/>
      </c>
      <c r="O1005" s="39">
        <f>IF($B1005="","",IF(COUNTIFS(NOVEDADES!$C$4:$C$2003,$B1005)=0,"—","SÍ ("&amp;COUNTIFS(NOVEDADES!$C$4:$C$2003,$B1005)&amp;")"))</f>
        <v/>
      </c>
    </row>
    <row r="1006">
      <c r="A1006" s="41" t="n"/>
      <c r="B1006" s="41" t="n"/>
      <c r="C1006" s="41" t="n"/>
      <c r="D1006" s="41" t="n"/>
      <c r="E1006" s="46" t="n"/>
      <c r="F1006" s="41" t="n"/>
      <c r="G1006" s="41" t="n"/>
      <c r="H1006" s="41" t="n"/>
      <c r="I1006" s="41" t="n"/>
      <c r="J1006" s="47" t="n"/>
      <c r="K1006" s="41" t="n"/>
      <c r="L1006" s="48" t="n"/>
      <c r="M1006" s="45" t="n"/>
      <c r="N1006" s="39">
        <f>IF($B1006="","",IF(SUMPRODUCT((LISTAS!$O$3:$O$42&lt;&gt;"")*ISNUMBER(SEARCH(LISTAS!$O$3:$O$42,$I1006&amp;" "&amp;$K1006)))&gt;0,"CERCANA","NACIONAL"))</f>
        <v/>
      </c>
      <c r="O1006" s="39">
        <f>IF($B1006="","",IF(COUNTIFS(NOVEDADES!$C$4:$C$2003,$B1006)=0,"—","SÍ ("&amp;COUNTIFS(NOVEDADES!$C$4:$C$2003,$B1006)&amp;")"))</f>
        <v/>
      </c>
    </row>
    <row r="1007">
      <c r="A1007" s="41" t="n"/>
      <c r="B1007" s="41" t="n"/>
      <c r="C1007" s="41" t="n"/>
      <c r="D1007" s="41" t="n"/>
      <c r="E1007" s="46" t="n"/>
      <c r="F1007" s="41" t="n"/>
      <c r="G1007" s="41" t="n"/>
      <c r="H1007" s="41" t="n"/>
      <c r="I1007" s="41" t="n"/>
      <c r="J1007" s="47" t="n"/>
      <c r="K1007" s="41" t="n"/>
      <c r="L1007" s="48" t="n"/>
      <c r="M1007" s="45" t="n"/>
      <c r="N1007" s="39">
        <f>IF($B1007="","",IF(SUMPRODUCT((LISTAS!$O$3:$O$42&lt;&gt;"")*ISNUMBER(SEARCH(LISTAS!$O$3:$O$42,$I1007&amp;" "&amp;$K1007)))&gt;0,"CERCANA","NACIONAL"))</f>
        <v/>
      </c>
      <c r="O1007" s="39">
        <f>IF($B1007="","",IF(COUNTIFS(NOVEDADES!$C$4:$C$2003,$B1007)=0,"—","SÍ ("&amp;COUNTIFS(NOVEDADES!$C$4:$C$2003,$B1007)&amp;")"))</f>
        <v/>
      </c>
    </row>
    <row r="1008">
      <c r="A1008" s="41" t="n"/>
      <c r="B1008" s="41" t="n"/>
      <c r="C1008" s="41" t="n"/>
      <c r="D1008" s="41" t="n"/>
      <c r="E1008" s="46" t="n"/>
      <c r="F1008" s="41" t="n"/>
      <c r="G1008" s="41" t="n"/>
      <c r="H1008" s="41" t="n"/>
      <c r="I1008" s="41" t="n"/>
      <c r="J1008" s="47" t="n"/>
      <c r="K1008" s="41" t="n"/>
      <c r="L1008" s="48" t="n"/>
      <c r="M1008" s="45" t="n"/>
      <c r="N1008" s="39">
        <f>IF($B1008="","",IF(SUMPRODUCT((LISTAS!$O$3:$O$42&lt;&gt;"")*ISNUMBER(SEARCH(LISTAS!$O$3:$O$42,$I1008&amp;" "&amp;$K1008)))&gt;0,"CERCANA","NACIONAL"))</f>
        <v/>
      </c>
      <c r="O1008" s="39">
        <f>IF($B1008="","",IF(COUNTIFS(NOVEDADES!$C$4:$C$2003,$B1008)=0,"—","SÍ ("&amp;COUNTIFS(NOVEDADES!$C$4:$C$2003,$B1008)&amp;")"))</f>
        <v/>
      </c>
    </row>
    <row r="1009">
      <c r="A1009" s="41" t="n"/>
      <c r="B1009" s="41" t="n"/>
      <c r="C1009" s="41" t="n"/>
      <c r="D1009" s="41" t="n"/>
      <c r="E1009" s="46" t="n"/>
      <c r="F1009" s="41" t="n"/>
      <c r="G1009" s="41" t="n"/>
      <c r="H1009" s="41" t="n"/>
      <c r="I1009" s="41" t="n"/>
      <c r="J1009" s="47" t="n"/>
      <c r="K1009" s="41" t="n"/>
      <c r="L1009" s="48" t="n"/>
      <c r="M1009" s="45" t="n"/>
      <c r="N1009" s="39">
        <f>IF($B1009="","",IF(SUMPRODUCT((LISTAS!$O$3:$O$42&lt;&gt;"")*ISNUMBER(SEARCH(LISTAS!$O$3:$O$42,$I1009&amp;" "&amp;$K1009)))&gt;0,"CERCANA","NACIONAL"))</f>
        <v/>
      </c>
      <c r="O1009" s="39">
        <f>IF($B1009="","",IF(COUNTIFS(NOVEDADES!$C$4:$C$2003,$B1009)=0,"—","SÍ ("&amp;COUNTIFS(NOVEDADES!$C$4:$C$2003,$B1009)&amp;")"))</f>
        <v/>
      </c>
    </row>
    <row r="1010">
      <c r="A1010" s="41" t="n"/>
      <c r="B1010" s="41" t="n"/>
      <c r="C1010" s="41" t="n"/>
      <c r="D1010" s="41" t="n"/>
      <c r="E1010" s="46" t="n"/>
      <c r="F1010" s="41" t="n"/>
      <c r="G1010" s="41" t="n"/>
      <c r="H1010" s="41" t="n"/>
      <c r="I1010" s="41" t="n"/>
      <c r="J1010" s="47" t="n"/>
      <c r="K1010" s="41" t="n"/>
      <c r="L1010" s="48" t="n"/>
      <c r="M1010" s="45" t="n"/>
      <c r="N1010" s="39">
        <f>IF($B1010="","",IF(SUMPRODUCT((LISTAS!$O$3:$O$42&lt;&gt;"")*ISNUMBER(SEARCH(LISTAS!$O$3:$O$42,$I1010&amp;" "&amp;$K1010)))&gt;0,"CERCANA","NACIONAL"))</f>
        <v/>
      </c>
      <c r="O1010" s="39">
        <f>IF($B1010="","",IF(COUNTIFS(NOVEDADES!$C$4:$C$2003,$B1010)=0,"—","SÍ ("&amp;COUNTIFS(NOVEDADES!$C$4:$C$2003,$B1010)&amp;")"))</f>
        <v/>
      </c>
    </row>
    <row r="1011">
      <c r="A1011" s="41" t="n"/>
      <c r="B1011" s="41" t="n"/>
      <c r="C1011" s="41" t="n"/>
      <c r="D1011" s="41" t="n"/>
      <c r="E1011" s="46" t="n"/>
      <c r="F1011" s="41" t="n"/>
      <c r="G1011" s="41" t="n"/>
      <c r="H1011" s="41" t="n"/>
      <c r="I1011" s="41" t="n"/>
      <c r="J1011" s="47" t="n"/>
      <c r="K1011" s="41" t="n"/>
      <c r="L1011" s="48" t="n"/>
      <c r="M1011" s="45" t="n"/>
      <c r="N1011" s="39">
        <f>IF($B1011="","",IF(SUMPRODUCT((LISTAS!$O$3:$O$42&lt;&gt;"")*ISNUMBER(SEARCH(LISTAS!$O$3:$O$42,$I1011&amp;" "&amp;$K1011)))&gt;0,"CERCANA","NACIONAL"))</f>
        <v/>
      </c>
      <c r="O1011" s="39">
        <f>IF($B1011="","",IF(COUNTIFS(NOVEDADES!$C$4:$C$2003,$B1011)=0,"—","SÍ ("&amp;COUNTIFS(NOVEDADES!$C$4:$C$2003,$B1011)&amp;")"))</f>
        <v/>
      </c>
    </row>
    <row r="1012">
      <c r="A1012" s="41" t="n"/>
      <c r="B1012" s="41" t="n"/>
      <c r="C1012" s="41" t="n"/>
      <c r="D1012" s="41" t="n"/>
      <c r="E1012" s="46" t="n"/>
      <c r="F1012" s="41" t="n"/>
      <c r="G1012" s="41" t="n"/>
      <c r="H1012" s="41" t="n"/>
      <c r="I1012" s="41" t="n"/>
      <c r="J1012" s="47" t="n"/>
      <c r="K1012" s="41" t="n"/>
      <c r="L1012" s="48" t="n"/>
      <c r="M1012" s="45" t="n"/>
      <c r="N1012" s="39">
        <f>IF($B1012="","",IF(SUMPRODUCT((LISTAS!$O$3:$O$42&lt;&gt;"")*ISNUMBER(SEARCH(LISTAS!$O$3:$O$42,$I1012&amp;" "&amp;$K1012)))&gt;0,"CERCANA","NACIONAL"))</f>
        <v/>
      </c>
      <c r="O1012" s="39">
        <f>IF($B1012="","",IF(COUNTIFS(NOVEDADES!$C$4:$C$2003,$B1012)=0,"—","SÍ ("&amp;COUNTIFS(NOVEDADES!$C$4:$C$2003,$B1012)&amp;")"))</f>
        <v/>
      </c>
    </row>
    <row r="1013">
      <c r="A1013" s="41" t="n"/>
      <c r="B1013" s="41" t="n"/>
      <c r="C1013" s="41" t="n"/>
      <c r="D1013" s="41" t="n"/>
      <c r="E1013" s="46" t="n"/>
      <c r="F1013" s="41" t="n"/>
      <c r="G1013" s="41" t="n"/>
      <c r="H1013" s="41" t="n"/>
      <c r="I1013" s="41" t="n"/>
      <c r="J1013" s="47" t="n"/>
      <c r="K1013" s="41" t="n"/>
      <c r="L1013" s="48" t="n"/>
      <c r="M1013" s="45" t="n"/>
      <c r="N1013" s="39">
        <f>IF($B1013="","",IF(SUMPRODUCT((LISTAS!$O$3:$O$42&lt;&gt;"")*ISNUMBER(SEARCH(LISTAS!$O$3:$O$42,$I1013&amp;" "&amp;$K1013)))&gt;0,"CERCANA","NACIONAL"))</f>
        <v/>
      </c>
      <c r="O1013" s="39">
        <f>IF($B1013="","",IF(COUNTIFS(NOVEDADES!$C$4:$C$2003,$B1013)=0,"—","SÍ ("&amp;COUNTIFS(NOVEDADES!$C$4:$C$2003,$B1013)&amp;")"))</f>
        <v/>
      </c>
    </row>
    <row r="1014">
      <c r="A1014" s="41" t="n"/>
      <c r="B1014" s="41" t="n"/>
      <c r="C1014" s="41" t="n"/>
      <c r="D1014" s="41" t="n"/>
      <c r="E1014" s="46" t="n"/>
      <c r="F1014" s="41" t="n"/>
      <c r="G1014" s="41" t="n"/>
      <c r="H1014" s="41" t="n"/>
      <c r="I1014" s="41" t="n"/>
      <c r="J1014" s="47" t="n"/>
      <c r="K1014" s="41" t="n"/>
      <c r="L1014" s="48" t="n"/>
      <c r="M1014" s="45" t="n"/>
      <c r="N1014" s="39">
        <f>IF($B1014="","",IF(SUMPRODUCT((LISTAS!$O$3:$O$42&lt;&gt;"")*ISNUMBER(SEARCH(LISTAS!$O$3:$O$42,$I1014&amp;" "&amp;$K1014)))&gt;0,"CERCANA","NACIONAL"))</f>
        <v/>
      </c>
      <c r="O1014" s="39">
        <f>IF($B1014="","",IF(COUNTIFS(NOVEDADES!$C$4:$C$2003,$B1014)=0,"—","SÍ ("&amp;COUNTIFS(NOVEDADES!$C$4:$C$2003,$B1014)&amp;")"))</f>
        <v/>
      </c>
    </row>
    <row r="1015">
      <c r="A1015" s="41" t="n"/>
      <c r="B1015" s="41" t="n"/>
      <c r="C1015" s="41" t="n"/>
      <c r="D1015" s="41" t="n"/>
      <c r="E1015" s="46" t="n"/>
      <c r="F1015" s="41" t="n"/>
      <c r="G1015" s="41" t="n"/>
      <c r="H1015" s="41" t="n"/>
      <c r="I1015" s="41" t="n"/>
      <c r="J1015" s="47" t="n"/>
      <c r="K1015" s="41" t="n"/>
      <c r="L1015" s="48" t="n"/>
      <c r="M1015" s="45" t="n"/>
      <c r="N1015" s="39">
        <f>IF($B1015="","",IF(SUMPRODUCT((LISTAS!$O$3:$O$42&lt;&gt;"")*ISNUMBER(SEARCH(LISTAS!$O$3:$O$42,$I1015&amp;" "&amp;$K1015)))&gt;0,"CERCANA","NACIONAL"))</f>
        <v/>
      </c>
      <c r="O1015" s="39">
        <f>IF($B1015="","",IF(COUNTIFS(NOVEDADES!$C$4:$C$2003,$B1015)=0,"—","SÍ ("&amp;COUNTIFS(NOVEDADES!$C$4:$C$2003,$B1015)&amp;")"))</f>
        <v/>
      </c>
    </row>
    <row r="1016">
      <c r="A1016" s="41" t="n"/>
      <c r="B1016" s="41" t="n"/>
      <c r="C1016" s="41" t="n"/>
      <c r="D1016" s="41" t="n"/>
      <c r="E1016" s="46" t="n"/>
      <c r="F1016" s="41" t="n"/>
      <c r="G1016" s="41" t="n"/>
      <c r="H1016" s="41" t="n"/>
      <c r="I1016" s="41" t="n"/>
      <c r="J1016" s="47" t="n"/>
      <c r="K1016" s="41" t="n"/>
      <c r="L1016" s="48" t="n"/>
      <c r="M1016" s="45" t="n"/>
      <c r="N1016" s="39">
        <f>IF($B1016="","",IF(SUMPRODUCT((LISTAS!$O$3:$O$42&lt;&gt;"")*ISNUMBER(SEARCH(LISTAS!$O$3:$O$42,$I1016&amp;" "&amp;$K1016)))&gt;0,"CERCANA","NACIONAL"))</f>
        <v/>
      </c>
      <c r="O1016" s="39">
        <f>IF($B1016="","",IF(COUNTIFS(NOVEDADES!$C$4:$C$2003,$B1016)=0,"—","SÍ ("&amp;COUNTIFS(NOVEDADES!$C$4:$C$2003,$B1016)&amp;")"))</f>
        <v/>
      </c>
    </row>
    <row r="1017">
      <c r="A1017" s="41" t="n"/>
      <c r="B1017" s="41" t="n"/>
      <c r="C1017" s="41" t="n"/>
      <c r="D1017" s="41" t="n"/>
      <c r="E1017" s="46" t="n"/>
      <c r="F1017" s="41" t="n"/>
      <c r="G1017" s="41" t="n"/>
      <c r="H1017" s="41" t="n"/>
      <c r="I1017" s="41" t="n"/>
      <c r="J1017" s="47" t="n"/>
      <c r="K1017" s="41" t="n"/>
      <c r="L1017" s="48" t="n"/>
      <c r="M1017" s="45" t="n"/>
      <c r="N1017" s="39">
        <f>IF($B1017="","",IF(SUMPRODUCT((LISTAS!$O$3:$O$42&lt;&gt;"")*ISNUMBER(SEARCH(LISTAS!$O$3:$O$42,$I1017&amp;" "&amp;$K1017)))&gt;0,"CERCANA","NACIONAL"))</f>
        <v/>
      </c>
      <c r="O1017" s="39">
        <f>IF($B1017="","",IF(COUNTIFS(NOVEDADES!$C$4:$C$2003,$B1017)=0,"—","SÍ ("&amp;COUNTIFS(NOVEDADES!$C$4:$C$2003,$B1017)&amp;")"))</f>
        <v/>
      </c>
    </row>
    <row r="1018">
      <c r="A1018" s="41" t="n"/>
      <c r="B1018" s="41" t="n"/>
      <c r="C1018" s="41" t="n"/>
      <c r="D1018" s="41" t="n"/>
      <c r="E1018" s="46" t="n"/>
      <c r="F1018" s="41" t="n"/>
      <c r="G1018" s="41" t="n"/>
      <c r="H1018" s="41" t="n"/>
      <c r="I1018" s="41" t="n"/>
      <c r="J1018" s="47" t="n"/>
      <c r="K1018" s="41" t="n"/>
      <c r="L1018" s="48" t="n"/>
      <c r="M1018" s="45" t="n"/>
      <c r="N1018" s="39">
        <f>IF($B1018="","",IF(SUMPRODUCT((LISTAS!$O$3:$O$42&lt;&gt;"")*ISNUMBER(SEARCH(LISTAS!$O$3:$O$42,$I1018&amp;" "&amp;$K1018)))&gt;0,"CERCANA","NACIONAL"))</f>
        <v/>
      </c>
      <c r="O1018" s="39">
        <f>IF($B1018="","",IF(COUNTIFS(NOVEDADES!$C$4:$C$2003,$B1018)=0,"—","SÍ ("&amp;COUNTIFS(NOVEDADES!$C$4:$C$2003,$B1018)&amp;")"))</f>
        <v/>
      </c>
    </row>
    <row r="1019">
      <c r="A1019" s="41" t="n"/>
      <c r="B1019" s="41" t="n"/>
      <c r="C1019" s="41" t="n"/>
      <c r="D1019" s="41" t="n"/>
      <c r="E1019" s="46" t="n"/>
      <c r="F1019" s="41" t="n"/>
      <c r="G1019" s="41" t="n"/>
      <c r="H1019" s="41" t="n"/>
      <c r="I1019" s="41" t="n"/>
      <c r="J1019" s="47" t="n"/>
      <c r="K1019" s="41" t="n"/>
      <c r="L1019" s="48" t="n"/>
      <c r="M1019" s="45" t="n"/>
      <c r="N1019" s="39">
        <f>IF($B1019="","",IF(SUMPRODUCT((LISTAS!$O$3:$O$42&lt;&gt;"")*ISNUMBER(SEARCH(LISTAS!$O$3:$O$42,$I1019&amp;" "&amp;$K1019)))&gt;0,"CERCANA","NACIONAL"))</f>
        <v/>
      </c>
      <c r="O1019" s="39">
        <f>IF($B1019="","",IF(COUNTIFS(NOVEDADES!$C$4:$C$2003,$B1019)=0,"—","SÍ ("&amp;COUNTIFS(NOVEDADES!$C$4:$C$2003,$B1019)&amp;")"))</f>
        <v/>
      </c>
    </row>
    <row r="1020">
      <c r="A1020" s="41" t="n"/>
      <c r="B1020" s="41" t="n"/>
      <c r="C1020" s="41" t="n"/>
      <c r="D1020" s="41" t="n"/>
      <c r="E1020" s="46" t="n"/>
      <c r="F1020" s="41" t="n"/>
      <c r="G1020" s="41" t="n"/>
      <c r="H1020" s="41" t="n"/>
      <c r="I1020" s="41" t="n"/>
      <c r="J1020" s="47" t="n"/>
      <c r="K1020" s="41" t="n"/>
      <c r="L1020" s="48" t="n"/>
      <c r="M1020" s="45" t="n"/>
      <c r="N1020" s="39">
        <f>IF($B1020="","",IF(SUMPRODUCT((LISTAS!$O$3:$O$42&lt;&gt;"")*ISNUMBER(SEARCH(LISTAS!$O$3:$O$42,$I1020&amp;" "&amp;$K1020)))&gt;0,"CERCANA","NACIONAL"))</f>
        <v/>
      </c>
      <c r="O1020" s="39">
        <f>IF($B1020="","",IF(COUNTIFS(NOVEDADES!$C$4:$C$2003,$B1020)=0,"—","SÍ ("&amp;COUNTIFS(NOVEDADES!$C$4:$C$2003,$B1020)&amp;")"))</f>
        <v/>
      </c>
    </row>
    <row r="1021">
      <c r="A1021" s="41" t="n"/>
      <c r="B1021" s="41" t="n"/>
      <c r="C1021" s="41" t="n"/>
      <c r="D1021" s="41" t="n"/>
      <c r="E1021" s="46" t="n"/>
      <c r="F1021" s="41" t="n"/>
      <c r="G1021" s="41" t="n"/>
      <c r="H1021" s="41" t="n"/>
      <c r="I1021" s="41" t="n"/>
      <c r="J1021" s="47" t="n"/>
      <c r="K1021" s="41" t="n"/>
      <c r="L1021" s="48" t="n"/>
      <c r="M1021" s="45" t="n"/>
      <c r="N1021" s="39">
        <f>IF($B1021="","",IF(SUMPRODUCT((LISTAS!$O$3:$O$42&lt;&gt;"")*ISNUMBER(SEARCH(LISTAS!$O$3:$O$42,$I1021&amp;" "&amp;$K1021)))&gt;0,"CERCANA","NACIONAL"))</f>
        <v/>
      </c>
      <c r="O1021" s="39">
        <f>IF($B1021="","",IF(COUNTIFS(NOVEDADES!$C$4:$C$2003,$B1021)=0,"—","SÍ ("&amp;COUNTIFS(NOVEDADES!$C$4:$C$2003,$B1021)&amp;")"))</f>
        <v/>
      </c>
    </row>
    <row r="1022">
      <c r="A1022" s="41" t="n"/>
      <c r="B1022" s="41" t="n"/>
      <c r="C1022" s="41" t="n"/>
      <c r="D1022" s="41" t="n"/>
      <c r="E1022" s="46" t="n"/>
      <c r="F1022" s="41" t="n"/>
      <c r="G1022" s="41" t="n"/>
      <c r="H1022" s="41" t="n"/>
      <c r="I1022" s="41" t="n"/>
      <c r="J1022" s="47" t="n"/>
      <c r="K1022" s="41" t="n"/>
      <c r="L1022" s="48" t="n"/>
      <c r="M1022" s="45" t="n"/>
      <c r="N1022" s="39">
        <f>IF($B1022="","",IF(SUMPRODUCT((LISTAS!$O$3:$O$42&lt;&gt;"")*ISNUMBER(SEARCH(LISTAS!$O$3:$O$42,$I1022&amp;" "&amp;$K1022)))&gt;0,"CERCANA","NACIONAL"))</f>
        <v/>
      </c>
      <c r="O1022" s="39">
        <f>IF($B1022="","",IF(COUNTIFS(NOVEDADES!$C$4:$C$2003,$B1022)=0,"—","SÍ ("&amp;COUNTIFS(NOVEDADES!$C$4:$C$2003,$B1022)&amp;")"))</f>
        <v/>
      </c>
    </row>
    <row r="1023">
      <c r="A1023" s="41" t="n"/>
      <c r="B1023" s="41" t="n"/>
      <c r="C1023" s="41" t="n"/>
      <c r="D1023" s="41" t="n"/>
      <c r="E1023" s="46" t="n"/>
      <c r="F1023" s="41" t="n"/>
      <c r="G1023" s="41" t="n"/>
      <c r="H1023" s="41" t="n"/>
      <c r="I1023" s="41" t="n"/>
      <c r="J1023" s="47" t="n"/>
      <c r="K1023" s="41" t="n"/>
      <c r="L1023" s="48" t="n"/>
      <c r="M1023" s="45" t="n"/>
      <c r="N1023" s="39">
        <f>IF($B1023="","",IF(SUMPRODUCT((LISTAS!$O$3:$O$42&lt;&gt;"")*ISNUMBER(SEARCH(LISTAS!$O$3:$O$42,$I1023&amp;" "&amp;$K1023)))&gt;0,"CERCANA","NACIONAL"))</f>
        <v/>
      </c>
      <c r="O1023" s="39">
        <f>IF($B1023="","",IF(COUNTIFS(NOVEDADES!$C$4:$C$2003,$B1023)=0,"—","SÍ ("&amp;COUNTIFS(NOVEDADES!$C$4:$C$2003,$B1023)&amp;")"))</f>
        <v/>
      </c>
    </row>
    <row r="1024">
      <c r="A1024" s="41" t="n"/>
      <c r="B1024" s="41" t="n"/>
      <c r="C1024" s="41" t="n"/>
      <c r="D1024" s="41" t="n"/>
      <c r="E1024" s="46" t="n"/>
      <c r="F1024" s="41" t="n"/>
      <c r="G1024" s="41" t="n"/>
      <c r="H1024" s="41" t="n"/>
      <c r="I1024" s="41" t="n"/>
      <c r="J1024" s="47" t="n"/>
      <c r="K1024" s="41" t="n"/>
      <c r="L1024" s="48" t="n"/>
      <c r="M1024" s="45" t="n"/>
      <c r="N1024" s="39">
        <f>IF($B1024="","",IF(SUMPRODUCT((LISTAS!$O$3:$O$42&lt;&gt;"")*ISNUMBER(SEARCH(LISTAS!$O$3:$O$42,$I1024&amp;" "&amp;$K1024)))&gt;0,"CERCANA","NACIONAL"))</f>
        <v/>
      </c>
      <c r="O1024" s="39">
        <f>IF($B1024="","",IF(COUNTIFS(NOVEDADES!$C$4:$C$2003,$B1024)=0,"—","SÍ ("&amp;COUNTIFS(NOVEDADES!$C$4:$C$2003,$B1024)&amp;")"))</f>
        <v/>
      </c>
    </row>
    <row r="1025">
      <c r="A1025" s="41" t="n"/>
      <c r="B1025" s="41" t="n"/>
      <c r="C1025" s="41" t="n"/>
      <c r="D1025" s="41" t="n"/>
      <c r="E1025" s="46" t="n"/>
      <c r="F1025" s="41" t="n"/>
      <c r="G1025" s="41" t="n"/>
      <c r="H1025" s="41" t="n"/>
      <c r="I1025" s="41" t="n"/>
      <c r="J1025" s="47" t="n"/>
      <c r="K1025" s="41" t="n"/>
      <c r="L1025" s="48" t="n"/>
      <c r="M1025" s="45" t="n"/>
      <c r="N1025" s="39">
        <f>IF($B1025="","",IF(SUMPRODUCT((LISTAS!$O$3:$O$42&lt;&gt;"")*ISNUMBER(SEARCH(LISTAS!$O$3:$O$42,$I1025&amp;" "&amp;$K1025)))&gt;0,"CERCANA","NACIONAL"))</f>
        <v/>
      </c>
      <c r="O1025" s="39">
        <f>IF($B1025="","",IF(COUNTIFS(NOVEDADES!$C$4:$C$2003,$B1025)=0,"—","SÍ ("&amp;COUNTIFS(NOVEDADES!$C$4:$C$2003,$B1025)&amp;")"))</f>
        <v/>
      </c>
    </row>
    <row r="1026">
      <c r="A1026" s="41" t="n"/>
      <c r="B1026" s="41" t="n"/>
      <c r="C1026" s="41" t="n"/>
      <c r="D1026" s="41" t="n"/>
      <c r="E1026" s="46" t="n"/>
      <c r="F1026" s="41" t="n"/>
      <c r="G1026" s="41" t="n"/>
      <c r="H1026" s="41" t="n"/>
      <c r="I1026" s="41" t="n"/>
      <c r="J1026" s="47" t="n"/>
      <c r="K1026" s="41" t="n"/>
      <c r="L1026" s="48" t="n"/>
      <c r="M1026" s="45" t="n"/>
      <c r="N1026" s="39">
        <f>IF($B1026="","",IF(SUMPRODUCT((LISTAS!$O$3:$O$42&lt;&gt;"")*ISNUMBER(SEARCH(LISTAS!$O$3:$O$42,$I1026&amp;" "&amp;$K1026)))&gt;0,"CERCANA","NACIONAL"))</f>
        <v/>
      </c>
      <c r="O1026" s="39">
        <f>IF($B1026="","",IF(COUNTIFS(NOVEDADES!$C$4:$C$2003,$B1026)=0,"—","SÍ ("&amp;COUNTIFS(NOVEDADES!$C$4:$C$2003,$B1026)&amp;")"))</f>
        <v/>
      </c>
    </row>
    <row r="1027">
      <c r="A1027" s="41" t="n"/>
      <c r="B1027" s="41" t="n"/>
      <c r="C1027" s="41" t="n"/>
      <c r="D1027" s="41" t="n"/>
      <c r="E1027" s="46" t="n"/>
      <c r="F1027" s="41" t="n"/>
      <c r="G1027" s="41" t="n"/>
      <c r="H1027" s="41" t="n"/>
      <c r="I1027" s="41" t="n"/>
      <c r="J1027" s="47" t="n"/>
      <c r="K1027" s="41" t="n"/>
      <c r="L1027" s="48" t="n"/>
      <c r="M1027" s="45" t="n"/>
      <c r="N1027" s="39">
        <f>IF($B1027="","",IF(SUMPRODUCT((LISTAS!$O$3:$O$42&lt;&gt;"")*ISNUMBER(SEARCH(LISTAS!$O$3:$O$42,$I1027&amp;" "&amp;$K1027)))&gt;0,"CERCANA","NACIONAL"))</f>
        <v/>
      </c>
      <c r="O1027" s="39">
        <f>IF($B1027="","",IF(COUNTIFS(NOVEDADES!$C$4:$C$2003,$B1027)=0,"—","SÍ ("&amp;COUNTIFS(NOVEDADES!$C$4:$C$2003,$B1027)&amp;")"))</f>
        <v/>
      </c>
    </row>
    <row r="1028">
      <c r="A1028" s="41" t="n"/>
      <c r="B1028" s="41" t="n"/>
      <c r="C1028" s="41" t="n"/>
      <c r="D1028" s="41" t="n"/>
      <c r="E1028" s="46" t="n"/>
      <c r="F1028" s="41" t="n"/>
      <c r="G1028" s="41" t="n"/>
      <c r="H1028" s="41" t="n"/>
      <c r="I1028" s="41" t="n"/>
      <c r="J1028" s="47" t="n"/>
      <c r="K1028" s="41" t="n"/>
      <c r="L1028" s="48" t="n"/>
      <c r="M1028" s="45" t="n"/>
      <c r="N1028" s="39">
        <f>IF($B1028="","",IF(SUMPRODUCT((LISTAS!$O$3:$O$42&lt;&gt;"")*ISNUMBER(SEARCH(LISTAS!$O$3:$O$42,$I1028&amp;" "&amp;$K1028)))&gt;0,"CERCANA","NACIONAL"))</f>
        <v/>
      </c>
      <c r="O1028" s="39">
        <f>IF($B1028="","",IF(COUNTIFS(NOVEDADES!$C$4:$C$2003,$B1028)=0,"—","SÍ ("&amp;COUNTIFS(NOVEDADES!$C$4:$C$2003,$B1028)&amp;")"))</f>
        <v/>
      </c>
    </row>
    <row r="1029">
      <c r="A1029" s="41" t="n"/>
      <c r="B1029" s="41" t="n"/>
      <c r="C1029" s="41" t="n"/>
      <c r="D1029" s="41" t="n"/>
      <c r="E1029" s="46" t="n"/>
      <c r="F1029" s="41" t="n"/>
      <c r="G1029" s="41" t="n"/>
      <c r="H1029" s="41" t="n"/>
      <c r="I1029" s="41" t="n"/>
      <c r="J1029" s="47" t="n"/>
      <c r="K1029" s="41" t="n"/>
      <c r="L1029" s="48" t="n"/>
      <c r="M1029" s="45" t="n"/>
      <c r="N1029" s="39">
        <f>IF($B1029="","",IF(SUMPRODUCT((LISTAS!$O$3:$O$42&lt;&gt;"")*ISNUMBER(SEARCH(LISTAS!$O$3:$O$42,$I1029&amp;" "&amp;$K1029)))&gt;0,"CERCANA","NACIONAL"))</f>
        <v/>
      </c>
      <c r="O1029" s="39">
        <f>IF($B1029="","",IF(COUNTIFS(NOVEDADES!$C$4:$C$2003,$B1029)=0,"—","SÍ ("&amp;COUNTIFS(NOVEDADES!$C$4:$C$2003,$B1029)&amp;")"))</f>
        <v/>
      </c>
    </row>
    <row r="1030">
      <c r="A1030" s="41" t="n"/>
      <c r="B1030" s="41" t="n"/>
      <c r="C1030" s="41" t="n"/>
      <c r="D1030" s="41" t="n"/>
      <c r="E1030" s="46" t="n"/>
      <c r="F1030" s="41" t="n"/>
      <c r="G1030" s="41" t="n"/>
      <c r="H1030" s="41" t="n"/>
      <c r="I1030" s="41" t="n"/>
      <c r="J1030" s="47" t="n"/>
      <c r="K1030" s="41" t="n"/>
      <c r="L1030" s="48" t="n"/>
      <c r="M1030" s="45" t="n"/>
      <c r="N1030" s="39">
        <f>IF($B1030="","",IF(SUMPRODUCT((LISTAS!$O$3:$O$42&lt;&gt;"")*ISNUMBER(SEARCH(LISTAS!$O$3:$O$42,$I1030&amp;" "&amp;$K1030)))&gt;0,"CERCANA","NACIONAL"))</f>
        <v/>
      </c>
      <c r="O1030" s="39">
        <f>IF($B1030="","",IF(COUNTIFS(NOVEDADES!$C$4:$C$2003,$B1030)=0,"—","SÍ ("&amp;COUNTIFS(NOVEDADES!$C$4:$C$2003,$B1030)&amp;")"))</f>
        <v/>
      </c>
    </row>
    <row r="1031">
      <c r="A1031" s="41" t="n"/>
      <c r="B1031" s="41" t="n"/>
      <c r="C1031" s="41" t="n"/>
      <c r="D1031" s="41" t="n"/>
      <c r="E1031" s="46" t="n"/>
      <c r="F1031" s="41" t="n"/>
      <c r="G1031" s="41" t="n"/>
      <c r="H1031" s="41" t="n"/>
      <c r="I1031" s="41" t="n"/>
      <c r="J1031" s="47" t="n"/>
      <c r="K1031" s="41" t="n"/>
      <c r="L1031" s="48" t="n"/>
      <c r="M1031" s="45" t="n"/>
      <c r="N1031" s="39">
        <f>IF($B1031="","",IF(SUMPRODUCT((LISTAS!$O$3:$O$42&lt;&gt;"")*ISNUMBER(SEARCH(LISTAS!$O$3:$O$42,$I1031&amp;" "&amp;$K1031)))&gt;0,"CERCANA","NACIONAL"))</f>
        <v/>
      </c>
      <c r="O1031" s="39">
        <f>IF($B1031="","",IF(COUNTIFS(NOVEDADES!$C$4:$C$2003,$B1031)=0,"—","SÍ ("&amp;COUNTIFS(NOVEDADES!$C$4:$C$2003,$B1031)&amp;")"))</f>
        <v/>
      </c>
    </row>
    <row r="1032">
      <c r="A1032" s="41" t="n"/>
      <c r="B1032" s="41" t="n"/>
      <c r="C1032" s="41" t="n"/>
      <c r="D1032" s="41" t="n"/>
      <c r="E1032" s="46" t="n"/>
      <c r="F1032" s="41" t="n"/>
      <c r="G1032" s="41" t="n"/>
      <c r="H1032" s="41" t="n"/>
      <c r="I1032" s="41" t="n"/>
      <c r="J1032" s="47" t="n"/>
      <c r="K1032" s="41" t="n"/>
      <c r="L1032" s="48" t="n"/>
      <c r="M1032" s="45" t="n"/>
      <c r="N1032" s="39">
        <f>IF($B1032="","",IF(SUMPRODUCT((LISTAS!$O$3:$O$42&lt;&gt;"")*ISNUMBER(SEARCH(LISTAS!$O$3:$O$42,$I1032&amp;" "&amp;$K1032)))&gt;0,"CERCANA","NACIONAL"))</f>
        <v/>
      </c>
      <c r="O1032" s="39">
        <f>IF($B1032="","",IF(COUNTIFS(NOVEDADES!$C$4:$C$2003,$B1032)=0,"—","SÍ ("&amp;COUNTIFS(NOVEDADES!$C$4:$C$2003,$B1032)&amp;")"))</f>
        <v/>
      </c>
    </row>
    <row r="1033">
      <c r="A1033" s="41" t="n"/>
      <c r="B1033" s="41" t="n"/>
      <c r="C1033" s="41" t="n"/>
      <c r="D1033" s="41" t="n"/>
      <c r="E1033" s="46" t="n"/>
      <c r="F1033" s="41" t="n"/>
      <c r="G1033" s="41" t="n"/>
      <c r="H1033" s="41" t="n"/>
      <c r="I1033" s="41" t="n"/>
      <c r="J1033" s="47" t="n"/>
      <c r="K1033" s="41" t="n"/>
      <c r="L1033" s="48" t="n"/>
      <c r="M1033" s="45" t="n"/>
      <c r="N1033" s="39">
        <f>IF($B1033="","",IF(SUMPRODUCT((LISTAS!$O$3:$O$42&lt;&gt;"")*ISNUMBER(SEARCH(LISTAS!$O$3:$O$42,$I1033&amp;" "&amp;$K1033)))&gt;0,"CERCANA","NACIONAL"))</f>
        <v/>
      </c>
      <c r="O1033" s="39">
        <f>IF($B1033="","",IF(COUNTIFS(NOVEDADES!$C$4:$C$2003,$B1033)=0,"—","SÍ ("&amp;COUNTIFS(NOVEDADES!$C$4:$C$2003,$B1033)&amp;")"))</f>
        <v/>
      </c>
    </row>
    <row r="1034">
      <c r="A1034" s="41" t="n"/>
      <c r="B1034" s="41" t="n"/>
      <c r="C1034" s="41" t="n"/>
      <c r="D1034" s="41" t="n"/>
      <c r="E1034" s="46" t="n"/>
      <c r="F1034" s="41" t="n"/>
      <c r="G1034" s="41" t="n"/>
      <c r="H1034" s="41" t="n"/>
      <c r="I1034" s="41" t="n"/>
      <c r="J1034" s="47" t="n"/>
      <c r="K1034" s="41" t="n"/>
      <c r="L1034" s="48" t="n"/>
      <c r="M1034" s="45" t="n"/>
      <c r="N1034" s="39">
        <f>IF($B1034="","",IF(SUMPRODUCT((LISTAS!$O$3:$O$42&lt;&gt;"")*ISNUMBER(SEARCH(LISTAS!$O$3:$O$42,$I1034&amp;" "&amp;$K1034)))&gt;0,"CERCANA","NACIONAL"))</f>
        <v/>
      </c>
      <c r="O1034" s="39">
        <f>IF($B1034="","",IF(COUNTIFS(NOVEDADES!$C$4:$C$2003,$B1034)=0,"—","SÍ ("&amp;COUNTIFS(NOVEDADES!$C$4:$C$2003,$B1034)&amp;")"))</f>
        <v/>
      </c>
    </row>
    <row r="1035">
      <c r="A1035" s="41" t="n"/>
      <c r="B1035" s="41" t="n"/>
      <c r="C1035" s="41" t="n"/>
      <c r="D1035" s="41" t="n"/>
      <c r="E1035" s="46" t="n"/>
      <c r="F1035" s="41" t="n"/>
      <c r="G1035" s="41" t="n"/>
      <c r="H1035" s="41" t="n"/>
      <c r="I1035" s="41" t="n"/>
      <c r="J1035" s="47" t="n"/>
      <c r="K1035" s="41" t="n"/>
      <c r="L1035" s="48" t="n"/>
      <c r="M1035" s="45" t="n"/>
      <c r="N1035" s="39">
        <f>IF($B1035="","",IF(SUMPRODUCT((LISTAS!$O$3:$O$42&lt;&gt;"")*ISNUMBER(SEARCH(LISTAS!$O$3:$O$42,$I1035&amp;" "&amp;$K1035)))&gt;0,"CERCANA","NACIONAL"))</f>
        <v/>
      </c>
      <c r="O1035" s="39">
        <f>IF($B1035="","",IF(COUNTIFS(NOVEDADES!$C$4:$C$2003,$B1035)=0,"—","SÍ ("&amp;COUNTIFS(NOVEDADES!$C$4:$C$2003,$B1035)&amp;")"))</f>
        <v/>
      </c>
    </row>
    <row r="1036">
      <c r="A1036" s="41" t="n"/>
      <c r="B1036" s="41" t="n"/>
      <c r="C1036" s="41" t="n"/>
      <c r="D1036" s="41" t="n"/>
      <c r="E1036" s="46" t="n"/>
      <c r="F1036" s="41" t="n"/>
      <c r="G1036" s="41" t="n"/>
      <c r="H1036" s="41" t="n"/>
      <c r="I1036" s="41" t="n"/>
      <c r="J1036" s="47" t="n"/>
      <c r="K1036" s="41" t="n"/>
      <c r="L1036" s="48" t="n"/>
      <c r="M1036" s="45" t="n"/>
      <c r="N1036" s="39">
        <f>IF($B1036="","",IF(SUMPRODUCT((LISTAS!$O$3:$O$42&lt;&gt;"")*ISNUMBER(SEARCH(LISTAS!$O$3:$O$42,$I1036&amp;" "&amp;$K1036)))&gt;0,"CERCANA","NACIONAL"))</f>
        <v/>
      </c>
      <c r="O1036" s="39">
        <f>IF($B1036="","",IF(COUNTIFS(NOVEDADES!$C$4:$C$2003,$B1036)=0,"—","SÍ ("&amp;COUNTIFS(NOVEDADES!$C$4:$C$2003,$B1036)&amp;")"))</f>
        <v/>
      </c>
    </row>
    <row r="1037">
      <c r="A1037" s="41" t="n"/>
      <c r="B1037" s="41" t="n"/>
      <c r="C1037" s="41" t="n"/>
      <c r="D1037" s="41" t="n"/>
      <c r="E1037" s="46" t="n"/>
      <c r="F1037" s="41" t="n"/>
      <c r="G1037" s="41" t="n"/>
      <c r="H1037" s="41" t="n"/>
      <c r="I1037" s="41" t="n"/>
      <c r="J1037" s="47" t="n"/>
      <c r="K1037" s="41" t="n"/>
      <c r="L1037" s="48" t="n"/>
      <c r="M1037" s="45" t="n"/>
      <c r="N1037" s="39">
        <f>IF($B1037="","",IF(SUMPRODUCT((LISTAS!$O$3:$O$42&lt;&gt;"")*ISNUMBER(SEARCH(LISTAS!$O$3:$O$42,$I1037&amp;" "&amp;$K1037)))&gt;0,"CERCANA","NACIONAL"))</f>
        <v/>
      </c>
      <c r="O1037" s="39">
        <f>IF($B1037="","",IF(COUNTIFS(NOVEDADES!$C$4:$C$2003,$B1037)=0,"—","SÍ ("&amp;COUNTIFS(NOVEDADES!$C$4:$C$2003,$B1037)&amp;")"))</f>
        <v/>
      </c>
    </row>
    <row r="1038">
      <c r="A1038" s="41" t="n"/>
      <c r="B1038" s="41" t="n"/>
      <c r="C1038" s="41" t="n"/>
      <c r="D1038" s="41" t="n"/>
      <c r="E1038" s="46" t="n"/>
      <c r="F1038" s="41" t="n"/>
      <c r="G1038" s="41" t="n"/>
      <c r="H1038" s="41" t="n"/>
      <c r="I1038" s="41" t="n"/>
      <c r="J1038" s="47" t="n"/>
      <c r="K1038" s="41" t="n"/>
      <c r="L1038" s="48" t="n"/>
      <c r="M1038" s="45" t="n"/>
      <c r="N1038" s="39">
        <f>IF($B1038="","",IF(SUMPRODUCT((LISTAS!$O$3:$O$42&lt;&gt;"")*ISNUMBER(SEARCH(LISTAS!$O$3:$O$42,$I1038&amp;" "&amp;$K1038)))&gt;0,"CERCANA","NACIONAL"))</f>
        <v/>
      </c>
      <c r="O1038" s="39">
        <f>IF($B1038="","",IF(COUNTIFS(NOVEDADES!$C$4:$C$2003,$B1038)=0,"—","SÍ ("&amp;COUNTIFS(NOVEDADES!$C$4:$C$2003,$B1038)&amp;")"))</f>
        <v/>
      </c>
    </row>
    <row r="1039">
      <c r="A1039" s="41" t="n"/>
      <c r="B1039" s="41" t="n"/>
      <c r="C1039" s="41" t="n"/>
      <c r="D1039" s="41" t="n"/>
      <c r="E1039" s="46" t="n"/>
      <c r="F1039" s="41" t="n"/>
      <c r="G1039" s="41" t="n"/>
      <c r="H1039" s="41" t="n"/>
      <c r="I1039" s="41" t="n"/>
      <c r="J1039" s="47" t="n"/>
      <c r="K1039" s="41" t="n"/>
      <c r="L1039" s="48" t="n"/>
      <c r="M1039" s="45" t="n"/>
      <c r="N1039" s="39">
        <f>IF($B1039="","",IF(SUMPRODUCT((LISTAS!$O$3:$O$42&lt;&gt;"")*ISNUMBER(SEARCH(LISTAS!$O$3:$O$42,$I1039&amp;" "&amp;$K1039)))&gt;0,"CERCANA","NACIONAL"))</f>
        <v/>
      </c>
      <c r="O1039" s="39">
        <f>IF($B1039="","",IF(COUNTIFS(NOVEDADES!$C$4:$C$2003,$B1039)=0,"—","SÍ ("&amp;COUNTIFS(NOVEDADES!$C$4:$C$2003,$B1039)&amp;")"))</f>
        <v/>
      </c>
    </row>
    <row r="1040">
      <c r="A1040" s="41" t="n"/>
      <c r="B1040" s="41" t="n"/>
      <c r="C1040" s="41" t="n"/>
      <c r="D1040" s="41" t="n"/>
      <c r="E1040" s="46" t="n"/>
      <c r="F1040" s="41" t="n"/>
      <c r="G1040" s="41" t="n"/>
      <c r="H1040" s="41" t="n"/>
      <c r="I1040" s="41" t="n"/>
      <c r="J1040" s="47" t="n"/>
      <c r="K1040" s="41" t="n"/>
      <c r="L1040" s="48" t="n"/>
      <c r="M1040" s="45" t="n"/>
      <c r="N1040" s="39">
        <f>IF($B1040="","",IF(SUMPRODUCT((LISTAS!$O$3:$O$42&lt;&gt;"")*ISNUMBER(SEARCH(LISTAS!$O$3:$O$42,$I1040&amp;" "&amp;$K1040)))&gt;0,"CERCANA","NACIONAL"))</f>
        <v/>
      </c>
      <c r="O1040" s="39">
        <f>IF($B1040="","",IF(COUNTIFS(NOVEDADES!$C$4:$C$2003,$B1040)=0,"—","SÍ ("&amp;COUNTIFS(NOVEDADES!$C$4:$C$2003,$B1040)&amp;")"))</f>
        <v/>
      </c>
    </row>
    <row r="1041">
      <c r="A1041" s="41" t="n"/>
      <c r="B1041" s="41" t="n"/>
      <c r="C1041" s="41" t="n"/>
      <c r="D1041" s="41" t="n"/>
      <c r="E1041" s="46" t="n"/>
      <c r="F1041" s="41" t="n"/>
      <c r="G1041" s="41" t="n"/>
      <c r="H1041" s="41" t="n"/>
      <c r="I1041" s="41" t="n"/>
      <c r="J1041" s="47" t="n"/>
      <c r="K1041" s="41" t="n"/>
      <c r="L1041" s="48" t="n"/>
      <c r="M1041" s="45" t="n"/>
      <c r="N1041" s="39">
        <f>IF($B1041="","",IF(SUMPRODUCT((LISTAS!$O$3:$O$42&lt;&gt;"")*ISNUMBER(SEARCH(LISTAS!$O$3:$O$42,$I1041&amp;" "&amp;$K1041)))&gt;0,"CERCANA","NACIONAL"))</f>
        <v/>
      </c>
      <c r="O1041" s="39">
        <f>IF($B1041="","",IF(COUNTIFS(NOVEDADES!$C$4:$C$2003,$B1041)=0,"—","SÍ ("&amp;COUNTIFS(NOVEDADES!$C$4:$C$2003,$B1041)&amp;")"))</f>
        <v/>
      </c>
    </row>
    <row r="1042">
      <c r="A1042" s="41" t="n"/>
      <c r="B1042" s="41" t="n"/>
      <c r="C1042" s="41" t="n"/>
      <c r="D1042" s="41" t="n"/>
      <c r="E1042" s="46" t="n"/>
      <c r="F1042" s="41" t="n"/>
      <c r="G1042" s="41" t="n"/>
      <c r="H1042" s="41" t="n"/>
      <c r="I1042" s="41" t="n"/>
      <c r="J1042" s="47" t="n"/>
      <c r="K1042" s="41" t="n"/>
      <c r="L1042" s="48" t="n"/>
      <c r="M1042" s="45" t="n"/>
      <c r="N1042" s="39">
        <f>IF($B1042="","",IF(SUMPRODUCT((LISTAS!$O$3:$O$42&lt;&gt;"")*ISNUMBER(SEARCH(LISTAS!$O$3:$O$42,$I1042&amp;" "&amp;$K1042)))&gt;0,"CERCANA","NACIONAL"))</f>
        <v/>
      </c>
      <c r="O1042" s="39">
        <f>IF($B1042="","",IF(COUNTIFS(NOVEDADES!$C$4:$C$2003,$B1042)=0,"—","SÍ ("&amp;COUNTIFS(NOVEDADES!$C$4:$C$2003,$B1042)&amp;")"))</f>
        <v/>
      </c>
    </row>
    <row r="1043">
      <c r="A1043" s="41" t="n"/>
      <c r="B1043" s="41" t="n"/>
      <c r="C1043" s="41" t="n"/>
      <c r="D1043" s="41" t="n"/>
      <c r="E1043" s="46" t="n"/>
      <c r="F1043" s="41" t="n"/>
      <c r="G1043" s="41" t="n"/>
      <c r="H1043" s="41" t="n"/>
      <c r="I1043" s="41" t="n"/>
      <c r="J1043" s="47" t="n"/>
      <c r="K1043" s="41" t="n"/>
      <c r="L1043" s="48" t="n"/>
      <c r="M1043" s="45" t="n"/>
      <c r="N1043" s="39">
        <f>IF($B1043="","",IF(SUMPRODUCT((LISTAS!$O$3:$O$42&lt;&gt;"")*ISNUMBER(SEARCH(LISTAS!$O$3:$O$42,$I1043&amp;" "&amp;$K1043)))&gt;0,"CERCANA","NACIONAL"))</f>
        <v/>
      </c>
      <c r="O1043" s="39">
        <f>IF($B1043="","",IF(COUNTIFS(NOVEDADES!$C$4:$C$2003,$B1043)=0,"—","SÍ ("&amp;COUNTIFS(NOVEDADES!$C$4:$C$2003,$B1043)&amp;")"))</f>
        <v/>
      </c>
    </row>
    <row r="1044">
      <c r="A1044" s="41" t="n"/>
      <c r="B1044" s="41" t="n"/>
      <c r="C1044" s="41" t="n"/>
      <c r="D1044" s="41" t="n"/>
      <c r="E1044" s="46" t="n"/>
      <c r="F1044" s="41" t="n"/>
      <c r="G1044" s="41" t="n"/>
      <c r="H1044" s="41" t="n"/>
      <c r="I1044" s="41" t="n"/>
      <c r="J1044" s="47" t="n"/>
      <c r="K1044" s="41" t="n"/>
      <c r="L1044" s="48" t="n"/>
      <c r="M1044" s="45" t="n"/>
      <c r="N1044" s="39">
        <f>IF($B1044="","",IF(SUMPRODUCT((LISTAS!$O$3:$O$42&lt;&gt;"")*ISNUMBER(SEARCH(LISTAS!$O$3:$O$42,$I1044&amp;" "&amp;$K1044)))&gt;0,"CERCANA","NACIONAL"))</f>
        <v/>
      </c>
      <c r="O1044" s="39">
        <f>IF($B1044="","",IF(COUNTIFS(NOVEDADES!$C$4:$C$2003,$B1044)=0,"—","SÍ ("&amp;COUNTIFS(NOVEDADES!$C$4:$C$2003,$B1044)&amp;")"))</f>
        <v/>
      </c>
    </row>
    <row r="1045">
      <c r="A1045" s="41" t="n"/>
      <c r="B1045" s="41" t="n"/>
      <c r="C1045" s="41" t="n"/>
      <c r="D1045" s="41" t="n"/>
      <c r="E1045" s="46" t="n"/>
      <c r="F1045" s="41" t="n"/>
      <c r="G1045" s="41" t="n"/>
      <c r="H1045" s="41" t="n"/>
      <c r="I1045" s="41" t="n"/>
      <c r="J1045" s="47" t="n"/>
      <c r="K1045" s="41" t="n"/>
      <c r="L1045" s="48" t="n"/>
      <c r="M1045" s="45" t="n"/>
      <c r="N1045" s="39">
        <f>IF($B1045="","",IF(SUMPRODUCT((LISTAS!$O$3:$O$42&lt;&gt;"")*ISNUMBER(SEARCH(LISTAS!$O$3:$O$42,$I1045&amp;" "&amp;$K1045)))&gt;0,"CERCANA","NACIONAL"))</f>
        <v/>
      </c>
      <c r="O1045" s="39">
        <f>IF($B1045="","",IF(COUNTIFS(NOVEDADES!$C$4:$C$2003,$B1045)=0,"—","SÍ ("&amp;COUNTIFS(NOVEDADES!$C$4:$C$2003,$B1045)&amp;")"))</f>
        <v/>
      </c>
    </row>
    <row r="1046">
      <c r="A1046" s="41" t="n"/>
      <c r="B1046" s="41" t="n"/>
      <c r="C1046" s="41" t="n"/>
      <c r="D1046" s="41" t="n"/>
      <c r="E1046" s="46" t="n"/>
      <c r="F1046" s="41" t="n"/>
      <c r="G1046" s="41" t="n"/>
      <c r="H1046" s="41" t="n"/>
      <c r="I1046" s="41" t="n"/>
      <c r="J1046" s="47" t="n"/>
      <c r="K1046" s="41" t="n"/>
      <c r="L1046" s="48" t="n"/>
      <c r="M1046" s="45" t="n"/>
      <c r="N1046" s="39">
        <f>IF($B1046="","",IF(SUMPRODUCT((LISTAS!$O$3:$O$42&lt;&gt;"")*ISNUMBER(SEARCH(LISTAS!$O$3:$O$42,$I1046&amp;" "&amp;$K1046)))&gt;0,"CERCANA","NACIONAL"))</f>
        <v/>
      </c>
      <c r="O1046" s="39">
        <f>IF($B1046="","",IF(COUNTIFS(NOVEDADES!$C$4:$C$2003,$B1046)=0,"—","SÍ ("&amp;COUNTIFS(NOVEDADES!$C$4:$C$2003,$B1046)&amp;")"))</f>
        <v/>
      </c>
    </row>
    <row r="1047">
      <c r="A1047" s="41" t="n"/>
      <c r="B1047" s="41" t="n"/>
      <c r="C1047" s="41" t="n"/>
      <c r="D1047" s="41" t="n"/>
      <c r="E1047" s="46" t="n"/>
      <c r="F1047" s="41" t="n"/>
      <c r="G1047" s="41" t="n"/>
      <c r="H1047" s="41" t="n"/>
      <c r="I1047" s="41" t="n"/>
      <c r="J1047" s="47" t="n"/>
      <c r="K1047" s="41" t="n"/>
      <c r="L1047" s="48" t="n"/>
      <c r="M1047" s="45" t="n"/>
      <c r="N1047" s="39">
        <f>IF($B1047="","",IF(SUMPRODUCT((LISTAS!$O$3:$O$42&lt;&gt;"")*ISNUMBER(SEARCH(LISTAS!$O$3:$O$42,$I1047&amp;" "&amp;$K1047)))&gt;0,"CERCANA","NACIONAL"))</f>
        <v/>
      </c>
      <c r="O1047" s="39">
        <f>IF($B1047="","",IF(COUNTIFS(NOVEDADES!$C$4:$C$2003,$B1047)=0,"—","SÍ ("&amp;COUNTIFS(NOVEDADES!$C$4:$C$2003,$B1047)&amp;")"))</f>
        <v/>
      </c>
    </row>
    <row r="1048">
      <c r="A1048" s="41" t="n"/>
      <c r="B1048" s="41" t="n"/>
      <c r="C1048" s="41" t="n"/>
      <c r="D1048" s="41" t="n"/>
      <c r="E1048" s="46" t="n"/>
      <c r="F1048" s="41" t="n"/>
      <c r="G1048" s="41" t="n"/>
      <c r="H1048" s="41" t="n"/>
      <c r="I1048" s="41" t="n"/>
      <c r="J1048" s="47" t="n"/>
      <c r="K1048" s="41" t="n"/>
      <c r="L1048" s="48" t="n"/>
      <c r="M1048" s="45" t="n"/>
      <c r="N1048" s="39">
        <f>IF($B1048="","",IF(SUMPRODUCT((LISTAS!$O$3:$O$42&lt;&gt;"")*ISNUMBER(SEARCH(LISTAS!$O$3:$O$42,$I1048&amp;" "&amp;$K1048)))&gt;0,"CERCANA","NACIONAL"))</f>
        <v/>
      </c>
      <c r="O1048" s="39">
        <f>IF($B1048="","",IF(COUNTIFS(NOVEDADES!$C$4:$C$2003,$B1048)=0,"—","SÍ ("&amp;COUNTIFS(NOVEDADES!$C$4:$C$2003,$B1048)&amp;")"))</f>
        <v/>
      </c>
    </row>
    <row r="1049">
      <c r="A1049" s="41" t="n"/>
      <c r="B1049" s="41" t="n"/>
      <c r="C1049" s="41" t="n"/>
      <c r="D1049" s="41" t="n"/>
      <c r="E1049" s="46" t="n"/>
      <c r="F1049" s="41" t="n"/>
      <c r="G1049" s="41" t="n"/>
      <c r="H1049" s="41" t="n"/>
      <c r="I1049" s="41" t="n"/>
      <c r="J1049" s="47" t="n"/>
      <c r="K1049" s="41" t="n"/>
      <c r="L1049" s="48" t="n"/>
      <c r="M1049" s="45" t="n"/>
      <c r="N1049" s="39">
        <f>IF($B1049="","",IF(SUMPRODUCT((LISTAS!$O$3:$O$42&lt;&gt;"")*ISNUMBER(SEARCH(LISTAS!$O$3:$O$42,$I1049&amp;" "&amp;$K1049)))&gt;0,"CERCANA","NACIONAL"))</f>
        <v/>
      </c>
      <c r="O1049" s="39">
        <f>IF($B1049="","",IF(COUNTIFS(NOVEDADES!$C$4:$C$2003,$B1049)=0,"—","SÍ ("&amp;COUNTIFS(NOVEDADES!$C$4:$C$2003,$B1049)&amp;")"))</f>
        <v/>
      </c>
    </row>
    <row r="1050">
      <c r="A1050" s="41" t="n"/>
      <c r="B1050" s="41" t="n"/>
      <c r="C1050" s="41" t="n"/>
      <c r="D1050" s="41" t="n"/>
      <c r="E1050" s="46" t="n"/>
      <c r="F1050" s="41" t="n"/>
      <c r="G1050" s="41" t="n"/>
      <c r="H1050" s="41" t="n"/>
      <c r="I1050" s="41" t="n"/>
      <c r="J1050" s="47" t="n"/>
      <c r="K1050" s="41" t="n"/>
      <c r="L1050" s="48" t="n"/>
      <c r="M1050" s="45" t="n"/>
      <c r="N1050" s="39">
        <f>IF($B1050="","",IF(SUMPRODUCT((LISTAS!$O$3:$O$42&lt;&gt;"")*ISNUMBER(SEARCH(LISTAS!$O$3:$O$42,$I1050&amp;" "&amp;$K1050)))&gt;0,"CERCANA","NACIONAL"))</f>
        <v/>
      </c>
      <c r="O1050" s="39">
        <f>IF($B1050="","",IF(COUNTIFS(NOVEDADES!$C$4:$C$2003,$B1050)=0,"—","SÍ ("&amp;COUNTIFS(NOVEDADES!$C$4:$C$2003,$B1050)&amp;")"))</f>
        <v/>
      </c>
    </row>
    <row r="1051">
      <c r="A1051" s="41" t="n"/>
      <c r="B1051" s="41" t="n"/>
      <c r="C1051" s="41" t="n"/>
      <c r="D1051" s="41" t="n"/>
      <c r="E1051" s="46" t="n"/>
      <c r="F1051" s="41" t="n"/>
      <c r="G1051" s="41" t="n"/>
      <c r="H1051" s="41" t="n"/>
      <c r="I1051" s="41" t="n"/>
      <c r="J1051" s="47" t="n"/>
      <c r="K1051" s="41" t="n"/>
      <c r="L1051" s="48" t="n"/>
      <c r="M1051" s="45" t="n"/>
      <c r="N1051" s="39">
        <f>IF($B1051="","",IF(SUMPRODUCT((LISTAS!$O$3:$O$42&lt;&gt;"")*ISNUMBER(SEARCH(LISTAS!$O$3:$O$42,$I1051&amp;" "&amp;$K1051)))&gt;0,"CERCANA","NACIONAL"))</f>
        <v/>
      </c>
      <c r="O1051" s="39">
        <f>IF($B1051="","",IF(COUNTIFS(NOVEDADES!$C$4:$C$2003,$B1051)=0,"—","SÍ ("&amp;COUNTIFS(NOVEDADES!$C$4:$C$2003,$B1051)&amp;")"))</f>
        <v/>
      </c>
    </row>
    <row r="1052">
      <c r="A1052" s="41" t="n"/>
      <c r="B1052" s="41" t="n"/>
      <c r="C1052" s="41" t="n"/>
      <c r="D1052" s="41" t="n"/>
      <c r="E1052" s="46" t="n"/>
      <c r="F1052" s="41" t="n"/>
      <c r="G1052" s="41" t="n"/>
      <c r="H1052" s="41" t="n"/>
      <c r="I1052" s="41" t="n"/>
      <c r="J1052" s="47" t="n"/>
      <c r="K1052" s="41" t="n"/>
      <c r="L1052" s="48" t="n"/>
      <c r="M1052" s="45" t="n"/>
      <c r="N1052" s="39">
        <f>IF($B1052="","",IF(SUMPRODUCT((LISTAS!$O$3:$O$42&lt;&gt;"")*ISNUMBER(SEARCH(LISTAS!$O$3:$O$42,$I1052&amp;" "&amp;$K1052)))&gt;0,"CERCANA","NACIONAL"))</f>
        <v/>
      </c>
      <c r="O1052" s="39">
        <f>IF($B1052="","",IF(COUNTIFS(NOVEDADES!$C$4:$C$2003,$B1052)=0,"—","SÍ ("&amp;COUNTIFS(NOVEDADES!$C$4:$C$2003,$B1052)&amp;")"))</f>
        <v/>
      </c>
    </row>
    <row r="1053">
      <c r="A1053" s="41" t="n"/>
      <c r="B1053" s="41" t="n"/>
      <c r="C1053" s="41" t="n"/>
      <c r="D1053" s="41" t="n"/>
      <c r="E1053" s="46" t="n"/>
      <c r="F1053" s="41" t="n"/>
      <c r="G1053" s="41" t="n"/>
      <c r="H1053" s="41" t="n"/>
      <c r="I1053" s="41" t="n"/>
      <c r="J1053" s="47" t="n"/>
      <c r="K1053" s="41" t="n"/>
      <c r="L1053" s="48" t="n"/>
      <c r="M1053" s="45" t="n"/>
      <c r="N1053" s="39">
        <f>IF($B1053="","",IF(SUMPRODUCT((LISTAS!$O$3:$O$42&lt;&gt;"")*ISNUMBER(SEARCH(LISTAS!$O$3:$O$42,$I1053&amp;" "&amp;$K1053)))&gt;0,"CERCANA","NACIONAL"))</f>
        <v/>
      </c>
      <c r="O1053" s="39">
        <f>IF($B1053="","",IF(COUNTIFS(NOVEDADES!$C$4:$C$2003,$B1053)=0,"—","SÍ ("&amp;COUNTIFS(NOVEDADES!$C$4:$C$2003,$B1053)&amp;")"))</f>
        <v/>
      </c>
    </row>
    <row r="1054">
      <c r="A1054" s="41" t="n"/>
      <c r="B1054" s="41" t="n"/>
      <c r="C1054" s="41" t="n"/>
      <c r="D1054" s="41" t="n"/>
      <c r="E1054" s="46" t="n"/>
      <c r="F1054" s="41" t="n"/>
      <c r="G1054" s="41" t="n"/>
      <c r="H1054" s="41" t="n"/>
      <c r="I1054" s="41" t="n"/>
      <c r="J1054" s="47" t="n"/>
      <c r="K1054" s="41" t="n"/>
      <c r="L1054" s="48" t="n"/>
      <c r="M1054" s="45" t="n"/>
      <c r="N1054" s="39">
        <f>IF($B1054="","",IF(SUMPRODUCT((LISTAS!$O$3:$O$42&lt;&gt;"")*ISNUMBER(SEARCH(LISTAS!$O$3:$O$42,$I1054&amp;" "&amp;$K1054)))&gt;0,"CERCANA","NACIONAL"))</f>
        <v/>
      </c>
      <c r="O1054" s="39">
        <f>IF($B1054="","",IF(COUNTIFS(NOVEDADES!$C$4:$C$2003,$B1054)=0,"—","SÍ ("&amp;COUNTIFS(NOVEDADES!$C$4:$C$2003,$B1054)&amp;")"))</f>
        <v/>
      </c>
    </row>
    <row r="1055">
      <c r="A1055" s="41" t="n"/>
      <c r="B1055" s="41" t="n"/>
      <c r="C1055" s="41" t="n"/>
      <c r="D1055" s="41" t="n"/>
      <c r="E1055" s="46" t="n"/>
      <c r="F1055" s="41" t="n"/>
      <c r="G1055" s="41" t="n"/>
      <c r="H1055" s="41" t="n"/>
      <c r="I1055" s="41" t="n"/>
      <c r="J1055" s="47" t="n"/>
      <c r="K1055" s="41" t="n"/>
      <c r="L1055" s="48" t="n"/>
      <c r="M1055" s="45" t="n"/>
      <c r="N1055" s="39">
        <f>IF($B1055="","",IF(SUMPRODUCT((LISTAS!$O$3:$O$42&lt;&gt;"")*ISNUMBER(SEARCH(LISTAS!$O$3:$O$42,$I1055&amp;" "&amp;$K1055)))&gt;0,"CERCANA","NACIONAL"))</f>
        <v/>
      </c>
      <c r="O1055" s="39">
        <f>IF($B1055="","",IF(COUNTIFS(NOVEDADES!$C$4:$C$2003,$B1055)=0,"—","SÍ ("&amp;COUNTIFS(NOVEDADES!$C$4:$C$2003,$B1055)&amp;")"))</f>
        <v/>
      </c>
    </row>
    <row r="1056">
      <c r="A1056" s="41" t="n"/>
      <c r="B1056" s="41" t="n"/>
      <c r="C1056" s="41" t="n"/>
      <c r="D1056" s="41" t="n"/>
      <c r="E1056" s="46" t="n"/>
      <c r="F1056" s="41" t="n"/>
      <c r="G1056" s="41" t="n"/>
      <c r="H1056" s="41" t="n"/>
      <c r="I1056" s="41" t="n"/>
      <c r="J1056" s="47" t="n"/>
      <c r="K1056" s="41" t="n"/>
      <c r="L1056" s="48" t="n"/>
      <c r="M1056" s="45" t="n"/>
      <c r="N1056" s="39">
        <f>IF($B1056="","",IF(SUMPRODUCT((LISTAS!$O$3:$O$42&lt;&gt;"")*ISNUMBER(SEARCH(LISTAS!$O$3:$O$42,$I1056&amp;" "&amp;$K1056)))&gt;0,"CERCANA","NACIONAL"))</f>
        <v/>
      </c>
      <c r="O1056" s="39">
        <f>IF($B1056="","",IF(COUNTIFS(NOVEDADES!$C$4:$C$2003,$B1056)=0,"—","SÍ ("&amp;COUNTIFS(NOVEDADES!$C$4:$C$2003,$B1056)&amp;")"))</f>
        <v/>
      </c>
    </row>
    <row r="1057">
      <c r="A1057" s="41" t="n"/>
      <c r="B1057" s="41" t="n"/>
      <c r="C1057" s="41" t="n"/>
      <c r="D1057" s="41" t="n"/>
      <c r="E1057" s="46" t="n"/>
      <c r="F1057" s="41" t="n"/>
      <c r="G1057" s="41" t="n"/>
      <c r="H1057" s="41" t="n"/>
      <c r="I1057" s="41" t="n"/>
      <c r="J1057" s="47" t="n"/>
      <c r="K1057" s="41" t="n"/>
      <c r="L1057" s="48" t="n"/>
      <c r="M1057" s="45" t="n"/>
      <c r="N1057" s="39">
        <f>IF($B1057="","",IF(SUMPRODUCT((LISTAS!$O$3:$O$42&lt;&gt;"")*ISNUMBER(SEARCH(LISTAS!$O$3:$O$42,$I1057&amp;" "&amp;$K1057)))&gt;0,"CERCANA","NACIONAL"))</f>
        <v/>
      </c>
      <c r="O1057" s="39">
        <f>IF($B1057="","",IF(COUNTIFS(NOVEDADES!$C$4:$C$2003,$B1057)=0,"—","SÍ ("&amp;COUNTIFS(NOVEDADES!$C$4:$C$2003,$B1057)&amp;")"))</f>
        <v/>
      </c>
    </row>
    <row r="1058">
      <c r="A1058" s="41" t="n"/>
      <c r="B1058" s="41" t="n"/>
      <c r="C1058" s="41" t="n"/>
      <c r="D1058" s="41" t="n"/>
      <c r="E1058" s="46" t="n"/>
      <c r="F1058" s="41" t="n"/>
      <c r="G1058" s="41" t="n"/>
      <c r="H1058" s="41" t="n"/>
      <c r="I1058" s="41" t="n"/>
      <c r="J1058" s="47" t="n"/>
      <c r="K1058" s="41" t="n"/>
      <c r="L1058" s="48" t="n"/>
      <c r="M1058" s="45" t="n"/>
      <c r="N1058" s="39">
        <f>IF($B1058="","",IF(SUMPRODUCT((LISTAS!$O$3:$O$42&lt;&gt;"")*ISNUMBER(SEARCH(LISTAS!$O$3:$O$42,$I1058&amp;" "&amp;$K1058)))&gt;0,"CERCANA","NACIONAL"))</f>
        <v/>
      </c>
      <c r="O1058" s="39">
        <f>IF($B1058="","",IF(COUNTIFS(NOVEDADES!$C$4:$C$2003,$B1058)=0,"—","SÍ ("&amp;COUNTIFS(NOVEDADES!$C$4:$C$2003,$B1058)&amp;")"))</f>
        <v/>
      </c>
    </row>
    <row r="1059">
      <c r="A1059" s="41" t="n"/>
      <c r="B1059" s="41" t="n"/>
      <c r="C1059" s="41" t="n"/>
      <c r="D1059" s="41" t="n"/>
      <c r="E1059" s="46" t="n"/>
      <c r="F1059" s="41" t="n"/>
      <c r="G1059" s="41" t="n"/>
      <c r="H1059" s="41" t="n"/>
      <c r="I1059" s="41" t="n"/>
      <c r="J1059" s="47" t="n"/>
      <c r="K1059" s="41" t="n"/>
      <c r="L1059" s="48" t="n"/>
      <c r="M1059" s="45" t="n"/>
      <c r="N1059" s="39">
        <f>IF($B1059="","",IF(SUMPRODUCT((LISTAS!$O$3:$O$42&lt;&gt;"")*ISNUMBER(SEARCH(LISTAS!$O$3:$O$42,$I1059&amp;" "&amp;$K1059)))&gt;0,"CERCANA","NACIONAL"))</f>
        <v/>
      </c>
      <c r="O1059" s="39">
        <f>IF($B1059="","",IF(COUNTIFS(NOVEDADES!$C$4:$C$2003,$B1059)=0,"—","SÍ ("&amp;COUNTIFS(NOVEDADES!$C$4:$C$2003,$B1059)&amp;")"))</f>
        <v/>
      </c>
    </row>
    <row r="1060">
      <c r="A1060" s="41" t="n"/>
      <c r="B1060" s="41" t="n"/>
      <c r="C1060" s="41" t="n"/>
      <c r="D1060" s="41" t="n"/>
      <c r="E1060" s="46" t="n"/>
      <c r="F1060" s="41" t="n"/>
      <c r="G1060" s="41" t="n"/>
      <c r="H1060" s="41" t="n"/>
      <c r="I1060" s="41" t="n"/>
      <c r="J1060" s="47" t="n"/>
      <c r="K1060" s="41" t="n"/>
      <c r="L1060" s="48" t="n"/>
      <c r="M1060" s="45" t="n"/>
      <c r="N1060" s="39">
        <f>IF($B1060="","",IF(SUMPRODUCT((LISTAS!$O$3:$O$42&lt;&gt;"")*ISNUMBER(SEARCH(LISTAS!$O$3:$O$42,$I1060&amp;" "&amp;$K1060)))&gt;0,"CERCANA","NACIONAL"))</f>
        <v/>
      </c>
      <c r="O1060" s="39">
        <f>IF($B1060="","",IF(COUNTIFS(NOVEDADES!$C$4:$C$2003,$B1060)=0,"—","SÍ ("&amp;COUNTIFS(NOVEDADES!$C$4:$C$2003,$B1060)&amp;")"))</f>
        <v/>
      </c>
    </row>
    <row r="1061">
      <c r="A1061" s="41" t="n"/>
      <c r="B1061" s="41" t="n"/>
      <c r="C1061" s="41" t="n"/>
      <c r="D1061" s="41" t="n"/>
      <c r="E1061" s="46" t="n"/>
      <c r="F1061" s="41" t="n"/>
      <c r="G1061" s="41" t="n"/>
      <c r="H1061" s="41" t="n"/>
      <c r="I1061" s="41" t="n"/>
      <c r="J1061" s="47" t="n"/>
      <c r="K1061" s="41" t="n"/>
      <c r="L1061" s="48" t="n"/>
      <c r="M1061" s="45" t="n"/>
      <c r="N1061" s="39">
        <f>IF($B1061="","",IF(SUMPRODUCT((LISTAS!$O$3:$O$42&lt;&gt;"")*ISNUMBER(SEARCH(LISTAS!$O$3:$O$42,$I1061&amp;" "&amp;$K1061)))&gt;0,"CERCANA","NACIONAL"))</f>
        <v/>
      </c>
      <c r="O1061" s="39">
        <f>IF($B1061="","",IF(COUNTIFS(NOVEDADES!$C$4:$C$2003,$B1061)=0,"—","SÍ ("&amp;COUNTIFS(NOVEDADES!$C$4:$C$2003,$B1061)&amp;")"))</f>
        <v/>
      </c>
    </row>
    <row r="1062">
      <c r="A1062" s="41" t="n"/>
      <c r="B1062" s="41" t="n"/>
      <c r="C1062" s="41" t="n"/>
      <c r="D1062" s="41" t="n"/>
      <c r="E1062" s="46" t="n"/>
      <c r="F1062" s="41" t="n"/>
      <c r="G1062" s="41" t="n"/>
      <c r="H1062" s="41" t="n"/>
      <c r="I1062" s="41" t="n"/>
      <c r="J1062" s="47" t="n"/>
      <c r="K1062" s="41" t="n"/>
      <c r="L1062" s="48" t="n"/>
      <c r="M1062" s="45" t="n"/>
      <c r="N1062" s="39">
        <f>IF($B1062="","",IF(SUMPRODUCT((LISTAS!$O$3:$O$42&lt;&gt;"")*ISNUMBER(SEARCH(LISTAS!$O$3:$O$42,$I1062&amp;" "&amp;$K1062)))&gt;0,"CERCANA","NACIONAL"))</f>
        <v/>
      </c>
      <c r="O1062" s="39">
        <f>IF($B1062="","",IF(COUNTIFS(NOVEDADES!$C$4:$C$2003,$B1062)=0,"—","SÍ ("&amp;COUNTIFS(NOVEDADES!$C$4:$C$2003,$B1062)&amp;")"))</f>
        <v/>
      </c>
    </row>
    <row r="1063">
      <c r="A1063" s="41" t="n"/>
      <c r="B1063" s="41" t="n"/>
      <c r="C1063" s="41" t="n"/>
      <c r="D1063" s="41" t="n"/>
      <c r="E1063" s="46" t="n"/>
      <c r="F1063" s="41" t="n"/>
      <c r="G1063" s="41" t="n"/>
      <c r="H1063" s="41" t="n"/>
      <c r="I1063" s="41" t="n"/>
      <c r="J1063" s="47" t="n"/>
      <c r="K1063" s="41" t="n"/>
      <c r="L1063" s="48" t="n"/>
      <c r="M1063" s="45" t="n"/>
      <c r="N1063" s="39">
        <f>IF($B1063="","",IF(SUMPRODUCT((LISTAS!$O$3:$O$42&lt;&gt;"")*ISNUMBER(SEARCH(LISTAS!$O$3:$O$42,$I1063&amp;" "&amp;$K1063)))&gt;0,"CERCANA","NACIONAL"))</f>
        <v/>
      </c>
      <c r="O1063" s="39">
        <f>IF($B1063="","",IF(COUNTIFS(NOVEDADES!$C$4:$C$2003,$B1063)=0,"—","SÍ ("&amp;COUNTIFS(NOVEDADES!$C$4:$C$2003,$B1063)&amp;")"))</f>
        <v/>
      </c>
    </row>
    <row r="1064">
      <c r="A1064" s="41" t="n"/>
      <c r="B1064" s="41" t="n"/>
      <c r="C1064" s="41" t="n"/>
      <c r="D1064" s="41" t="n"/>
      <c r="E1064" s="46" t="n"/>
      <c r="F1064" s="41" t="n"/>
      <c r="G1064" s="41" t="n"/>
      <c r="H1064" s="41" t="n"/>
      <c r="I1064" s="41" t="n"/>
      <c r="J1064" s="47" t="n"/>
      <c r="K1064" s="41" t="n"/>
      <c r="L1064" s="48" t="n"/>
      <c r="M1064" s="45" t="n"/>
      <c r="N1064" s="39">
        <f>IF($B1064="","",IF(SUMPRODUCT((LISTAS!$O$3:$O$42&lt;&gt;"")*ISNUMBER(SEARCH(LISTAS!$O$3:$O$42,$I1064&amp;" "&amp;$K1064)))&gt;0,"CERCANA","NACIONAL"))</f>
        <v/>
      </c>
      <c r="O1064" s="39">
        <f>IF($B1064="","",IF(COUNTIFS(NOVEDADES!$C$4:$C$2003,$B1064)=0,"—","SÍ ("&amp;COUNTIFS(NOVEDADES!$C$4:$C$2003,$B1064)&amp;")"))</f>
        <v/>
      </c>
    </row>
    <row r="1065">
      <c r="A1065" s="41" t="n"/>
      <c r="B1065" s="41" t="n"/>
      <c r="C1065" s="41" t="n"/>
      <c r="D1065" s="41" t="n"/>
      <c r="E1065" s="46" t="n"/>
      <c r="F1065" s="41" t="n"/>
      <c r="G1065" s="41" t="n"/>
      <c r="H1065" s="41" t="n"/>
      <c r="I1065" s="41" t="n"/>
      <c r="J1065" s="47" t="n"/>
      <c r="K1065" s="41" t="n"/>
      <c r="L1065" s="48" t="n"/>
      <c r="M1065" s="45" t="n"/>
      <c r="N1065" s="39">
        <f>IF($B1065="","",IF(SUMPRODUCT((LISTAS!$O$3:$O$42&lt;&gt;"")*ISNUMBER(SEARCH(LISTAS!$O$3:$O$42,$I1065&amp;" "&amp;$K1065)))&gt;0,"CERCANA","NACIONAL"))</f>
        <v/>
      </c>
      <c r="O1065" s="39">
        <f>IF($B1065="","",IF(COUNTIFS(NOVEDADES!$C$4:$C$2003,$B1065)=0,"—","SÍ ("&amp;COUNTIFS(NOVEDADES!$C$4:$C$2003,$B1065)&amp;")"))</f>
        <v/>
      </c>
    </row>
    <row r="1066">
      <c r="A1066" s="41" t="n"/>
      <c r="B1066" s="41" t="n"/>
      <c r="C1066" s="41" t="n"/>
      <c r="D1066" s="41" t="n"/>
      <c r="E1066" s="46" t="n"/>
      <c r="F1066" s="41" t="n"/>
      <c r="G1066" s="41" t="n"/>
      <c r="H1066" s="41" t="n"/>
      <c r="I1066" s="41" t="n"/>
      <c r="J1066" s="47" t="n"/>
      <c r="K1066" s="41" t="n"/>
      <c r="L1066" s="48" t="n"/>
      <c r="M1066" s="45" t="n"/>
      <c r="N1066" s="39">
        <f>IF($B1066="","",IF(SUMPRODUCT((LISTAS!$O$3:$O$42&lt;&gt;"")*ISNUMBER(SEARCH(LISTAS!$O$3:$O$42,$I1066&amp;" "&amp;$K1066)))&gt;0,"CERCANA","NACIONAL"))</f>
        <v/>
      </c>
      <c r="O1066" s="39">
        <f>IF($B1066="","",IF(COUNTIFS(NOVEDADES!$C$4:$C$2003,$B1066)=0,"—","SÍ ("&amp;COUNTIFS(NOVEDADES!$C$4:$C$2003,$B1066)&amp;")"))</f>
        <v/>
      </c>
    </row>
    <row r="1067">
      <c r="A1067" s="41" t="n"/>
      <c r="B1067" s="41" t="n"/>
      <c r="C1067" s="41" t="n"/>
      <c r="D1067" s="41" t="n"/>
      <c r="E1067" s="46" t="n"/>
      <c r="F1067" s="41" t="n"/>
      <c r="G1067" s="41" t="n"/>
      <c r="H1067" s="41" t="n"/>
      <c r="I1067" s="41" t="n"/>
      <c r="J1067" s="47" t="n"/>
      <c r="K1067" s="41" t="n"/>
      <c r="L1067" s="48" t="n"/>
      <c r="M1067" s="45" t="n"/>
      <c r="N1067" s="39">
        <f>IF($B1067="","",IF(SUMPRODUCT((LISTAS!$O$3:$O$42&lt;&gt;"")*ISNUMBER(SEARCH(LISTAS!$O$3:$O$42,$I1067&amp;" "&amp;$K1067)))&gt;0,"CERCANA","NACIONAL"))</f>
        <v/>
      </c>
      <c r="O1067" s="39">
        <f>IF($B1067="","",IF(COUNTIFS(NOVEDADES!$C$4:$C$2003,$B1067)=0,"—","SÍ ("&amp;COUNTIFS(NOVEDADES!$C$4:$C$2003,$B1067)&amp;")"))</f>
        <v/>
      </c>
    </row>
    <row r="1068">
      <c r="A1068" s="41" t="n"/>
      <c r="B1068" s="41" t="n"/>
      <c r="C1068" s="41" t="n"/>
      <c r="D1068" s="41" t="n"/>
      <c r="E1068" s="46" t="n"/>
      <c r="F1068" s="41" t="n"/>
      <c r="G1068" s="41" t="n"/>
      <c r="H1068" s="41" t="n"/>
      <c r="I1068" s="41" t="n"/>
      <c r="J1068" s="47" t="n"/>
      <c r="K1068" s="41" t="n"/>
      <c r="L1068" s="48" t="n"/>
      <c r="M1068" s="45" t="n"/>
      <c r="N1068" s="39">
        <f>IF($B1068="","",IF(SUMPRODUCT((LISTAS!$O$3:$O$42&lt;&gt;"")*ISNUMBER(SEARCH(LISTAS!$O$3:$O$42,$I1068&amp;" "&amp;$K1068)))&gt;0,"CERCANA","NACIONAL"))</f>
        <v/>
      </c>
      <c r="O1068" s="39">
        <f>IF($B1068="","",IF(COUNTIFS(NOVEDADES!$C$4:$C$2003,$B1068)=0,"—","SÍ ("&amp;COUNTIFS(NOVEDADES!$C$4:$C$2003,$B1068)&amp;")"))</f>
        <v/>
      </c>
    </row>
    <row r="1069">
      <c r="A1069" s="41" t="n"/>
      <c r="B1069" s="41" t="n"/>
      <c r="C1069" s="41" t="n"/>
      <c r="D1069" s="41" t="n"/>
      <c r="E1069" s="46" t="n"/>
      <c r="F1069" s="41" t="n"/>
      <c r="G1069" s="41" t="n"/>
      <c r="H1069" s="41" t="n"/>
      <c r="I1069" s="41" t="n"/>
      <c r="J1069" s="47" t="n"/>
      <c r="K1069" s="41" t="n"/>
      <c r="L1069" s="48" t="n"/>
      <c r="M1069" s="45" t="n"/>
      <c r="N1069" s="39">
        <f>IF($B1069="","",IF(SUMPRODUCT((LISTAS!$O$3:$O$42&lt;&gt;"")*ISNUMBER(SEARCH(LISTAS!$O$3:$O$42,$I1069&amp;" "&amp;$K1069)))&gt;0,"CERCANA","NACIONAL"))</f>
        <v/>
      </c>
      <c r="O1069" s="39">
        <f>IF($B1069="","",IF(COUNTIFS(NOVEDADES!$C$4:$C$2003,$B1069)=0,"—","SÍ ("&amp;COUNTIFS(NOVEDADES!$C$4:$C$2003,$B1069)&amp;")"))</f>
        <v/>
      </c>
    </row>
    <row r="1070">
      <c r="A1070" s="41" t="n"/>
      <c r="B1070" s="41" t="n"/>
      <c r="C1070" s="41" t="n"/>
      <c r="D1070" s="41" t="n"/>
      <c r="E1070" s="46" t="n"/>
      <c r="F1070" s="41" t="n"/>
      <c r="G1070" s="41" t="n"/>
      <c r="H1070" s="41" t="n"/>
      <c r="I1070" s="41" t="n"/>
      <c r="J1070" s="47" t="n"/>
      <c r="K1070" s="41" t="n"/>
      <c r="L1070" s="48" t="n"/>
      <c r="M1070" s="45" t="n"/>
      <c r="N1070" s="39">
        <f>IF($B1070="","",IF(SUMPRODUCT((LISTAS!$O$3:$O$42&lt;&gt;"")*ISNUMBER(SEARCH(LISTAS!$O$3:$O$42,$I1070&amp;" "&amp;$K1070)))&gt;0,"CERCANA","NACIONAL"))</f>
        <v/>
      </c>
      <c r="O1070" s="39">
        <f>IF($B1070="","",IF(COUNTIFS(NOVEDADES!$C$4:$C$2003,$B1070)=0,"—","SÍ ("&amp;COUNTIFS(NOVEDADES!$C$4:$C$2003,$B1070)&amp;")"))</f>
        <v/>
      </c>
    </row>
    <row r="1071">
      <c r="A1071" s="41" t="n"/>
      <c r="B1071" s="41" t="n"/>
      <c r="C1071" s="41" t="n"/>
      <c r="D1071" s="41" t="n"/>
      <c r="E1071" s="46" t="n"/>
      <c r="F1071" s="41" t="n"/>
      <c r="G1071" s="41" t="n"/>
      <c r="H1071" s="41" t="n"/>
      <c r="I1071" s="41" t="n"/>
      <c r="J1071" s="47" t="n"/>
      <c r="K1071" s="41" t="n"/>
      <c r="L1071" s="48" t="n"/>
      <c r="M1071" s="45" t="n"/>
      <c r="N1071" s="39">
        <f>IF($B1071="","",IF(SUMPRODUCT((LISTAS!$O$3:$O$42&lt;&gt;"")*ISNUMBER(SEARCH(LISTAS!$O$3:$O$42,$I1071&amp;" "&amp;$K1071)))&gt;0,"CERCANA","NACIONAL"))</f>
        <v/>
      </c>
      <c r="O1071" s="39">
        <f>IF($B1071="","",IF(COUNTIFS(NOVEDADES!$C$4:$C$2003,$B1071)=0,"—","SÍ ("&amp;COUNTIFS(NOVEDADES!$C$4:$C$2003,$B1071)&amp;")"))</f>
        <v/>
      </c>
    </row>
    <row r="1072">
      <c r="A1072" s="41" t="n"/>
      <c r="B1072" s="41" t="n"/>
      <c r="C1072" s="41" t="n"/>
      <c r="D1072" s="41" t="n"/>
      <c r="E1072" s="46" t="n"/>
      <c r="F1072" s="41" t="n"/>
      <c r="G1072" s="41" t="n"/>
      <c r="H1072" s="41" t="n"/>
      <c r="I1072" s="41" t="n"/>
      <c r="J1072" s="47" t="n"/>
      <c r="K1072" s="41" t="n"/>
      <c r="L1072" s="48" t="n"/>
      <c r="M1072" s="45" t="n"/>
      <c r="N1072" s="39">
        <f>IF($B1072="","",IF(SUMPRODUCT((LISTAS!$O$3:$O$42&lt;&gt;"")*ISNUMBER(SEARCH(LISTAS!$O$3:$O$42,$I1072&amp;" "&amp;$K1072)))&gt;0,"CERCANA","NACIONAL"))</f>
        <v/>
      </c>
      <c r="O1072" s="39">
        <f>IF($B1072="","",IF(COUNTIFS(NOVEDADES!$C$4:$C$2003,$B1072)=0,"—","SÍ ("&amp;COUNTIFS(NOVEDADES!$C$4:$C$2003,$B1072)&amp;")"))</f>
        <v/>
      </c>
    </row>
    <row r="1073">
      <c r="A1073" s="41" t="n"/>
      <c r="B1073" s="41" t="n"/>
      <c r="C1073" s="41" t="n"/>
      <c r="D1073" s="41" t="n"/>
      <c r="E1073" s="46" t="n"/>
      <c r="F1073" s="41" t="n"/>
      <c r="G1073" s="41" t="n"/>
      <c r="H1073" s="41" t="n"/>
      <c r="I1073" s="41" t="n"/>
      <c r="J1073" s="47" t="n"/>
      <c r="K1073" s="41" t="n"/>
      <c r="L1073" s="48" t="n"/>
      <c r="M1073" s="45" t="n"/>
      <c r="N1073" s="39">
        <f>IF($B1073="","",IF(SUMPRODUCT((LISTAS!$O$3:$O$42&lt;&gt;"")*ISNUMBER(SEARCH(LISTAS!$O$3:$O$42,$I1073&amp;" "&amp;$K1073)))&gt;0,"CERCANA","NACIONAL"))</f>
        <v/>
      </c>
      <c r="O1073" s="39">
        <f>IF($B1073="","",IF(COUNTIFS(NOVEDADES!$C$4:$C$2003,$B1073)=0,"—","SÍ ("&amp;COUNTIFS(NOVEDADES!$C$4:$C$2003,$B1073)&amp;")"))</f>
        <v/>
      </c>
    </row>
    <row r="1074">
      <c r="A1074" s="41" t="n"/>
      <c r="B1074" s="41" t="n"/>
      <c r="C1074" s="41" t="n"/>
      <c r="D1074" s="41" t="n"/>
      <c r="E1074" s="46" t="n"/>
      <c r="F1074" s="41" t="n"/>
      <c r="G1074" s="41" t="n"/>
      <c r="H1074" s="41" t="n"/>
      <c r="I1074" s="41" t="n"/>
      <c r="J1074" s="47" t="n"/>
      <c r="K1074" s="41" t="n"/>
      <c r="L1074" s="48" t="n"/>
      <c r="M1074" s="45" t="n"/>
      <c r="N1074" s="39">
        <f>IF($B1074="","",IF(SUMPRODUCT((LISTAS!$O$3:$O$42&lt;&gt;"")*ISNUMBER(SEARCH(LISTAS!$O$3:$O$42,$I1074&amp;" "&amp;$K1074)))&gt;0,"CERCANA","NACIONAL"))</f>
        <v/>
      </c>
      <c r="O1074" s="39">
        <f>IF($B1074="","",IF(COUNTIFS(NOVEDADES!$C$4:$C$2003,$B1074)=0,"—","SÍ ("&amp;COUNTIFS(NOVEDADES!$C$4:$C$2003,$B1074)&amp;")"))</f>
        <v/>
      </c>
    </row>
    <row r="1075">
      <c r="A1075" s="41" t="n"/>
      <c r="B1075" s="41" t="n"/>
      <c r="C1075" s="41" t="n"/>
      <c r="D1075" s="41" t="n"/>
      <c r="E1075" s="46" t="n"/>
      <c r="F1075" s="41" t="n"/>
      <c r="G1075" s="41" t="n"/>
      <c r="H1075" s="41" t="n"/>
      <c r="I1075" s="41" t="n"/>
      <c r="J1075" s="47" t="n"/>
      <c r="K1075" s="41" t="n"/>
      <c r="L1075" s="48" t="n"/>
      <c r="M1075" s="45" t="n"/>
      <c r="N1075" s="39">
        <f>IF($B1075="","",IF(SUMPRODUCT((LISTAS!$O$3:$O$42&lt;&gt;"")*ISNUMBER(SEARCH(LISTAS!$O$3:$O$42,$I1075&amp;" "&amp;$K1075)))&gt;0,"CERCANA","NACIONAL"))</f>
        <v/>
      </c>
      <c r="O1075" s="39">
        <f>IF($B1075="","",IF(COUNTIFS(NOVEDADES!$C$4:$C$2003,$B1075)=0,"—","SÍ ("&amp;COUNTIFS(NOVEDADES!$C$4:$C$2003,$B1075)&amp;")"))</f>
        <v/>
      </c>
    </row>
    <row r="1076">
      <c r="A1076" s="41" t="n"/>
      <c r="B1076" s="41" t="n"/>
      <c r="C1076" s="41" t="n"/>
      <c r="D1076" s="41" t="n"/>
      <c r="E1076" s="46" t="n"/>
      <c r="F1076" s="41" t="n"/>
      <c r="G1076" s="41" t="n"/>
      <c r="H1076" s="41" t="n"/>
      <c r="I1076" s="41" t="n"/>
      <c r="J1076" s="47" t="n"/>
      <c r="K1076" s="41" t="n"/>
      <c r="L1076" s="48" t="n"/>
      <c r="M1076" s="45" t="n"/>
      <c r="N1076" s="39">
        <f>IF($B1076="","",IF(SUMPRODUCT((LISTAS!$O$3:$O$42&lt;&gt;"")*ISNUMBER(SEARCH(LISTAS!$O$3:$O$42,$I1076&amp;" "&amp;$K1076)))&gt;0,"CERCANA","NACIONAL"))</f>
        <v/>
      </c>
      <c r="O1076" s="39">
        <f>IF($B1076="","",IF(COUNTIFS(NOVEDADES!$C$4:$C$2003,$B1076)=0,"—","SÍ ("&amp;COUNTIFS(NOVEDADES!$C$4:$C$2003,$B1076)&amp;")"))</f>
        <v/>
      </c>
    </row>
    <row r="1077">
      <c r="A1077" s="41" t="n"/>
      <c r="B1077" s="41" t="n"/>
      <c r="C1077" s="41" t="n"/>
      <c r="D1077" s="41" t="n"/>
      <c r="E1077" s="46" t="n"/>
      <c r="F1077" s="41" t="n"/>
      <c r="G1077" s="41" t="n"/>
      <c r="H1077" s="41" t="n"/>
      <c r="I1077" s="41" t="n"/>
      <c r="J1077" s="47" t="n"/>
      <c r="K1077" s="41" t="n"/>
      <c r="L1077" s="48" t="n"/>
      <c r="M1077" s="45" t="n"/>
      <c r="N1077" s="39">
        <f>IF($B1077="","",IF(SUMPRODUCT((LISTAS!$O$3:$O$42&lt;&gt;"")*ISNUMBER(SEARCH(LISTAS!$O$3:$O$42,$I1077&amp;" "&amp;$K1077)))&gt;0,"CERCANA","NACIONAL"))</f>
        <v/>
      </c>
      <c r="O1077" s="39">
        <f>IF($B1077="","",IF(COUNTIFS(NOVEDADES!$C$4:$C$2003,$B1077)=0,"—","SÍ ("&amp;COUNTIFS(NOVEDADES!$C$4:$C$2003,$B1077)&amp;")"))</f>
        <v/>
      </c>
    </row>
    <row r="1078">
      <c r="A1078" s="41" t="n"/>
      <c r="B1078" s="41" t="n"/>
      <c r="C1078" s="41" t="n"/>
      <c r="D1078" s="41" t="n"/>
      <c r="E1078" s="46" t="n"/>
      <c r="F1078" s="41" t="n"/>
      <c r="G1078" s="41" t="n"/>
      <c r="H1078" s="41" t="n"/>
      <c r="I1078" s="41" t="n"/>
      <c r="J1078" s="47" t="n"/>
      <c r="K1078" s="41" t="n"/>
      <c r="L1078" s="48" t="n"/>
      <c r="M1078" s="45" t="n"/>
      <c r="N1078" s="39">
        <f>IF($B1078="","",IF(SUMPRODUCT((LISTAS!$O$3:$O$42&lt;&gt;"")*ISNUMBER(SEARCH(LISTAS!$O$3:$O$42,$I1078&amp;" "&amp;$K1078)))&gt;0,"CERCANA","NACIONAL"))</f>
        <v/>
      </c>
      <c r="O1078" s="39">
        <f>IF($B1078="","",IF(COUNTIFS(NOVEDADES!$C$4:$C$2003,$B1078)=0,"—","SÍ ("&amp;COUNTIFS(NOVEDADES!$C$4:$C$2003,$B1078)&amp;")"))</f>
        <v/>
      </c>
    </row>
    <row r="1079">
      <c r="A1079" s="41" t="n"/>
      <c r="B1079" s="41" t="n"/>
      <c r="C1079" s="41" t="n"/>
      <c r="D1079" s="41" t="n"/>
      <c r="E1079" s="46" t="n"/>
      <c r="F1079" s="41" t="n"/>
      <c r="G1079" s="41" t="n"/>
      <c r="H1079" s="41" t="n"/>
      <c r="I1079" s="41" t="n"/>
      <c r="J1079" s="47" t="n"/>
      <c r="K1079" s="41" t="n"/>
      <c r="L1079" s="48" t="n"/>
      <c r="M1079" s="45" t="n"/>
      <c r="N1079" s="39">
        <f>IF($B1079="","",IF(SUMPRODUCT((LISTAS!$O$3:$O$42&lt;&gt;"")*ISNUMBER(SEARCH(LISTAS!$O$3:$O$42,$I1079&amp;" "&amp;$K1079)))&gt;0,"CERCANA","NACIONAL"))</f>
        <v/>
      </c>
      <c r="O1079" s="39">
        <f>IF($B1079="","",IF(COUNTIFS(NOVEDADES!$C$4:$C$2003,$B1079)=0,"—","SÍ ("&amp;COUNTIFS(NOVEDADES!$C$4:$C$2003,$B1079)&amp;")"))</f>
        <v/>
      </c>
    </row>
    <row r="1080">
      <c r="A1080" s="41" t="n"/>
      <c r="B1080" s="41" t="n"/>
      <c r="C1080" s="41" t="n"/>
      <c r="D1080" s="41" t="n"/>
      <c r="E1080" s="46" t="n"/>
      <c r="F1080" s="41" t="n"/>
      <c r="G1080" s="41" t="n"/>
      <c r="H1080" s="41" t="n"/>
      <c r="I1080" s="41" t="n"/>
      <c r="J1080" s="47" t="n"/>
      <c r="K1080" s="41" t="n"/>
      <c r="L1080" s="48" t="n"/>
      <c r="M1080" s="45" t="n"/>
      <c r="N1080" s="39">
        <f>IF($B1080="","",IF(SUMPRODUCT((LISTAS!$O$3:$O$42&lt;&gt;"")*ISNUMBER(SEARCH(LISTAS!$O$3:$O$42,$I1080&amp;" "&amp;$K1080)))&gt;0,"CERCANA","NACIONAL"))</f>
        <v/>
      </c>
      <c r="O1080" s="39">
        <f>IF($B1080="","",IF(COUNTIFS(NOVEDADES!$C$4:$C$2003,$B1080)=0,"—","SÍ ("&amp;COUNTIFS(NOVEDADES!$C$4:$C$2003,$B1080)&amp;")"))</f>
        <v/>
      </c>
    </row>
    <row r="1081">
      <c r="A1081" s="41" t="n"/>
      <c r="B1081" s="41" t="n"/>
      <c r="C1081" s="41" t="n"/>
      <c r="D1081" s="41" t="n"/>
      <c r="E1081" s="46" t="n"/>
      <c r="F1081" s="41" t="n"/>
      <c r="G1081" s="41" t="n"/>
      <c r="H1081" s="41" t="n"/>
      <c r="I1081" s="41" t="n"/>
      <c r="J1081" s="47" t="n"/>
      <c r="K1081" s="41" t="n"/>
      <c r="L1081" s="48" t="n"/>
      <c r="M1081" s="45" t="n"/>
      <c r="N1081" s="39">
        <f>IF($B1081="","",IF(SUMPRODUCT((LISTAS!$O$3:$O$42&lt;&gt;"")*ISNUMBER(SEARCH(LISTAS!$O$3:$O$42,$I1081&amp;" "&amp;$K1081)))&gt;0,"CERCANA","NACIONAL"))</f>
        <v/>
      </c>
      <c r="O1081" s="39">
        <f>IF($B1081="","",IF(COUNTIFS(NOVEDADES!$C$4:$C$2003,$B1081)=0,"—","SÍ ("&amp;COUNTIFS(NOVEDADES!$C$4:$C$2003,$B1081)&amp;")"))</f>
        <v/>
      </c>
    </row>
    <row r="1082">
      <c r="A1082" s="41" t="n"/>
      <c r="B1082" s="41" t="n"/>
      <c r="C1082" s="41" t="n"/>
      <c r="D1082" s="41" t="n"/>
      <c r="E1082" s="46" t="n"/>
      <c r="F1082" s="41" t="n"/>
      <c r="G1082" s="41" t="n"/>
      <c r="H1082" s="41" t="n"/>
      <c r="I1082" s="41" t="n"/>
      <c r="J1082" s="47" t="n"/>
      <c r="K1082" s="41" t="n"/>
      <c r="L1082" s="48" t="n"/>
      <c r="M1082" s="45" t="n"/>
      <c r="N1082" s="39">
        <f>IF($B1082="","",IF(SUMPRODUCT((LISTAS!$O$3:$O$42&lt;&gt;"")*ISNUMBER(SEARCH(LISTAS!$O$3:$O$42,$I1082&amp;" "&amp;$K1082)))&gt;0,"CERCANA","NACIONAL"))</f>
        <v/>
      </c>
      <c r="O1082" s="39">
        <f>IF($B1082="","",IF(COUNTIFS(NOVEDADES!$C$4:$C$2003,$B1082)=0,"—","SÍ ("&amp;COUNTIFS(NOVEDADES!$C$4:$C$2003,$B1082)&amp;")"))</f>
        <v/>
      </c>
    </row>
    <row r="1083">
      <c r="A1083" s="41" t="n"/>
      <c r="B1083" s="41" t="n"/>
      <c r="C1083" s="41" t="n"/>
      <c r="D1083" s="41" t="n"/>
      <c r="E1083" s="46" t="n"/>
      <c r="F1083" s="41" t="n"/>
      <c r="G1083" s="41" t="n"/>
      <c r="H1083" s="41" t="n"/>
      <c r="I1083" s="41" t="n"/>
      <c r="J1083" s="47" t="n"/>
      <c r="K1083" s="41" t="n"/>
      <c r="L1083" s="48" t="n"/>
      <c r="M1083" s="45" t="n"/>
      <c r="N1083" s="39">
        <f>IF($B1083="","",IF(SUMPRODUCT((LISTAS!$O$3:$O$42&lt;&gt;"")*ISNUMBER(SEARCH(LISTAS!$O$3:$O$42,$I1083&amp;" "&amp;$K1083)))&gt;0,"CERCANA","NACIONAL"))</f>
        <v/>
      </c>
      <c r="O1083" s="39">
        <f>IF($B1083="","",IF(COUNTIFS(NOVEDADES!$C$4:$C$2003,$B1083)=0,"—","SÍ ("&amp;COUNTIFS(NOVEDADES!$C$4:$C$2003,$B1083)&amp;")"))</f>
        <v/>
      </c>
    </row>
    <row r="1084">
      <c r="A1084" s="41" t="n"/>
      <c r="B1084" s="41" t="n"/>
      <c r="C1084" s="41" t="n"/>
      <c r="D1084" s="41" t="n"/>
      <c r="E1084" s="46" t="n"/>
      <c r="F1084" s="41" t="n"/>
      <c r="G1084" s="41" t="n"/>
      <c r="H1084" s="41" t="n"/>
      <c r="I1084" s="41" t="n"/>
      <c r="J1084" s="47" t="n"/>
      <c r="K1084" s="41" t="n"/>
      <c r="L1084" s="48" t="n"/>
      <c r="M1084" s="45" t="n"/>
      <c r="N1084" s="39">
        <f>IF($B1084="","",IF(SUMPRODUCT((LISTAS!$O$3:$O$42&lt;&gt;"")*ISNUMBER(SEARCH(LISTAS!$O$3:$O$42,$I1084&amp;" "&amp;$K1084)))&gt;0,"CERCANA","NACIONAL"))</f>
        <v/>
      </c>
      <c r="O1084" s="39">
        <f>IF($B1084="","",IF(COUNTIFS(NOVEDADES!$C$4:$C$2003,$B1084)=0,"—","SÍ ("&amp;COUNTIFS(NOVEDADES!$C$4:$C$2003,$B1084)&amp;")"))</f>
        <v/>
      </c>
    </row>
    <row r="1085">
      <c r="A1085" s="41" t="n"/>
      <c r="B1085" s="41" t="n"/>
      <c r="C1085" s="41" t="n"/>
      <c r="D1085" s="41" t="n"/>
      <c r="E1085" s="46" t="n"/>
      <c r="F1085" s="41" t="n"/>
      <c r="G1085" s="41" t="n"/>
      <c r="H1085" s="41" t="n"/>
      <c r="I1085" s="41" t="n"/>
      <c r="J1085" s="47" t="n"/>
      <c r="K1085" s="41" t="n"/>
      <c r="L1085" s="48" t="n"/>
      <c r="M1085" s="45" t="n"/>
      <c r="N1085" s="39">
        <f>IF($B1085="","",IF(SUMPRODUCT((LISTAS!$O$3:$O$42&lt;&gt;"")*ISNUMBER(SEARCH(LISTAS!$O$3:$O$42,$I1085&amp;" "&amp;$K1085)))&gt;0,"CERCANA","NACIONAL"))</f>
        <v/>
      </c>
      <c r="O1085" s="39">
        <f>IF($B1085="","",IF(COUNTIFS(NOVEDADES!$C$4:$C$2003,$B1085)=0,"—","SÍ ("&amp;COUNTIFS(NOVEDADES!$C$4:$C$2003,$B1085)&amp;")"))</f>
        <v/>
      </c>
    </row>
    <row r="1086">
      <c r="A1086" s="41" t="n"/>
      <c r="B1086" s="41" t="n"/>
      <c r="C1086" s="41" t="n"/>
      <c r="D1086" s="41" t="n"/>
      <c r="E1086" s="46" t="n"/>
      <c r="F1086" s="41" t="n"/>
      <c r="G1086" s="41" t="n"/>
      <c r="H1086" s="41" t="n"/>
      <c r="I1086" s="41" t="n"/>
      <c r="J1086" s="47" t="n"/>
      <c r="K1086" s="41" t="n"/>
      <c r="L1086" s="48" t="n"/>
      <c r="M1086" s="45" t="n"/>
      <c r="N1086" s="39">
        <f>IF($B1086="","",IF(SUMPRODUCT((LISTAS!$O$3:$O$42&lt;&gt;"")*ISNUMBER(SEARCH(LISTAS!$O$3:$O$42,$I1086&amp;" "&amp;$K1086)))&gt;0,"CERCANA","NACIONAL"))</f>
        <v/>
      </c>
      <c r="O1086" s="39">
        <f>IF($B1086="","",IF(COUNTIFS(NOVEDADES!$C$4:$C$2003,$B1086)=0,"—","SÍ ("&amp;COUNTIFS(NOVEDADES!$C$4:$C$2003,$B1086)&amp;")"))</f>
        <v/>
      </c>
    </row>
    <row r="1087">
      <c r="A1087" s="41" t="n"/>
      <c r="B1087" s="41" t="n"/>
      <c r="C1087" s="41" t="n"/>
      <c r="D1087" s="41" t="n"/>
      <c r="E1087" s="46" t="n"/>
      <c r="F1087" s="41" t="n"/>
      <c r="G1087" s="41" t="n"/>
      <c r="H1087" s="41" t="n"/>
      <c r="I1087" s="41" t="n"/>
      <c r="J1087" s="47" t="n"/>
      <c r="K1087" s="41" t="n"/>
      <c r="L1087" s="48" t="n"/>
      <c r="M1087" s="45" t="n"/>
      <c r="N1087" s="39">
        <f>IF($B1087="","",IF(SUMPRODUCT((LISTAS!$O$3:$O$42&lt;&gt;"")*ISNUMBER(SEARCH(LISTAS!$O$3:$O$42,$I1087&amp;" "&amp;$K1087)))&gt;0,"CERCANA","NACIONAL"))</f>
        <v/>
      </c>
      <c r="O1087" s="39">
        <f>IF($B1087="","",IF(COUNTIFS(NOVEDADES!$C$4:$C$2003,$B1087)=0,"—","SÍ ("&amp;COUNTIFS(NOVEDADES!$C$4:$C$2003,$B1087)&amp;")"))</f>
        <v/>
      </c>
    </row>
    <row r="1088">
      <c r="A1088" s="41" t="n"/>
      <c r="B1088" s="41" t="n"/>
      <c r="C1088" s="41" t="n"/>
      <c r="D1088" s="41" t="n"/>
      <c r="E1088" s="46" t="n"/>
      <c r="F1088" s="41" t="n"/>
      <c r="G1088" s="41" t="n"/>
      <c r="H1088" s="41" t="n"/>
      <c r="I1088" s="41" t="n"/>
      <c r="J1088" s="47" t="n"/>
      <c r="K1088" s="41" t="n"/>
      <c r="L1088" s="48" t="n"/>
      <c r="M1088" s="45" t="n"/>
      <c r="N1088" s="39">
        <f>IF($B1088="","",IF(SUMPRODUCT((LISTAS!$O$3:$O$42&lt;&gt;"")*ISNUMBER(SEARCH(LISTAS!$O$3:$O$42,$I1088&amp;" "&amp;$K1088)))&gt;0,"CERCANA","NACIONAL"))</f>
        <v/>
      </c>
      <c r="O1088" s="39">
        <f>IF($B1088="","",IF(COUNTIFS(NOVEDADES!$C$4:$C$2003,$B1088)=0,"—","SÍ ("&amp;COUNTIFS(NOVEDADES!$C$4:$C$2003,$B1088)&amp;")"))</f>
        <v/>
      </c>
    </row>
    <row r="1089">
      <c r="A1089" s="41" t="n"/>
      <c r="B1089" s="41" t="n"/>
      <c r="C1089" s="41" t="n"/>
      <c r="D1089" s="41" t="n"/>
      <c r="E1089" s="46" t="n"/>
      <c r="F1089" s="41" t="n"/>
      <c r="G1089" s="41" t="n"/>
      <c r="H1089" s="41" t="n"/>
      <c r="I1089" s="41" t="n"/>
      <c r="J1089" s="47" t="n"/>
      <c r="K1089" s="41" t="n"/>
      <c r="L1089" s="48" t="n"/>
      <c r="M1089" s="45" t="n"/>
      <c r="N1089" s="39">
        <f>IF($B1089="","",IF(SUMPRODUCT((LISTAS!$O$3:$O$42&lt;&gt;"")*ISNUMBER(SEARCH(LISTAS!$O$3:$O$42,$I1089&amp;" "&amp;$K1089)))&gt;0,"CERCANA","NACIONAL"))</f>
        <v/>
      </c>
      <c r="O1089" s="39">
        <f>IF($B1089="","",IF(COUNTIFS(NOVEDADES!$C$4:$C$2003,$B1089)=0,"—","SÍ ("&amp;COUNTIFS(NOVEDADES!$C$4:$C$2003,$B1089)&amp;")"))</f>
        <v/>
      </c>
    </row>
    <row r="1090">
      <c r="A1090" s="41" t="n"/>
      <c r="B1090" s="41" t="n"/>
      <c r="C1090" s="41" t="n"/>
      <c r="D1090" s="41" t="n"/>
      <c r="E1090" s="46" t="n"/>
      <c r="F1090" s="41" t="n"/>
      <c r="G1090" s="41" t="n"/>
      <c r="H1090" s="41" t="n"/>
      <c r="I1090" s="41" t="n"/>
      <c r="J1090" s="47" t="n"/>
      <c r="K1090" s="41" t="n"/>
      <c r="L1090" s="48" t="n"/>
      <c r="M1090" s="45" t="n"/>
      <c r="N1090" s="39">
        <f>IF($B1090="","",IF(SUMPRODUCT((LISTAS!$O$3:$O$42&lt;&gt;"")*ISNUMBER(SEARCH(LISTAS!$O$3:$O$42,$I1090&amp;" "&amp;$K1090)))&gt;0,"CERCANA","NACIONAL"))</f>
        <v/>
      </c>
      <c r="O1090" s="39">
        <f>IF($B1090="","",IF(COUNTIFS(NOVEDADES!$C$4:$C$2003,$B1090)=0,"—","SÍ ("&amp;COUNTIFS(NOVEDADES!$C$4:$C$2003,$B1090)&amp;")"))</f>
        <v/>
      </c>
    </row>
    <row r="1091">
      <c r="A1091" s="41" t="n"/>
      <c r="B1091" s="41" t="n"/>
      <c r="C1091" s="41" t="n"/>
      <c r="D1091" s="41" t="n"/>
      <c r="E1091" s="46" t="n"/>
      <c r="F1091" s="41" t="n"/>
      <c r="G1091" s="41" t="n"/>
      <c r="H1091" s="41" t="n"/>
      <c r="I1091" s="41" t="n"/>
      <c r="J1091" s="47" t="n"/>
      <c r="K1091" s="41" t="n"/>
      <c r="L1091" s="48" t="n"/>
      <c r="M1091" s="45" t="n"/>
      <c r="N1091" s="39">
        <f>IF($B1091="","",IF(SUMPRODUCT((LISTAS!$O$3:$O$42&lt;&gt;"")*ISNUMBER(SEARCH(LISTAS!$O$3:$O$42,$I1091&amp;" "&amp;$K1091)))&gt;0,"CERCANA","NACIONAL"))</f>
        <v/>
      </c>
      <c r="O1091" s="39">
        <f>IF($B1091="","",IF(COUNTIFS(NOVEDADES!$C$4:$C$2003,$B1091)=0,"—","SÍ ("&amp;COUNTIFS(NOVEDADES!$C$4:$C$2003,$B1091)&amp;")"))</f>
        <v/>
      </c>
    </row>
    <row r="1092">
      <c r="A1092" s="41" t="n"/>
      <c r="B1092" s="41" t="n"/>
      <c r="C1092" s="41" t="n"/>
      <c r="D1092" s="41" t="n"/>
      <c r="E1092" s="46" t="n"/>
      <c r="F1092" s="41" t="n"/>
      <c r="G1092" s="41" t="n"/>
      <c r="H1092" s="41" t="n"/>
      <c r="I1092" s="41" t="n"/>
      <c r="J1092" s="47" t="n"/>
      <c r="K1092" s="41" t="n"/>
      <c r="L1092" s="48" t="n"/>
      <c r="M1092" s="45" t="n"/>
      <c r="N1092" s="39">
        <f>IF($B1092="","",IF(SUMPRODUCT((LISTAS!$O$3:$O$42&lt;&gt;"")*ISNUMBER(SEARCH(LISTAS!$O$3:$O$42,$I1092&amp;" "&amp;$K1092)))&gt;0,"CERCANA","NACIONAL"))</f>
        <v/>
      </c>
      <c r="O1092" s="39">
        <f>IF($B1092="","",IF(COUNTIFS(NOVEDADES!$C$4:$C$2003,$B1092)=0,"—","SÍ ("&amp;COUNTIFS(NOVEDADES!$C$4:$C$2003,$B1092)&amp;")"))</f>
        <v/>
      </c>
    </row>
    <row r="1093">
      <c r="A1093" s="41" t="n"/>
      <c r="B1093" s="41" t="n"/>
      <c r="C1093" s="41" t="n"/>
      <c r="D1093" s="41" t="n"/>
      <c r="E1093" s="46" t="n"/>
      <c r="F1093" s="41" t="n"/>
      <c r="G1093" s="41" t="n"/>
      <c r="H1093" s="41" t="n"/>
      <c r="I1093" s="41" t="n"/>
      <c r="J1093" s="47" t="n"/>
      <c r="K1093" s="41" t="n"/>
      <c r="L1093" s="48" t="n"/>
      <c r="M1093" s="45" t="n"/>
      <c r="N1093" s="39">
        <f>IF($B1093="","",IF(SUMPRODUCT((LISTAS!$O$3:$O$42&lt;&gt;"")*ISNUMBER(SEARCH(LISTAS!$O$3:$O$42,$I1093&amp;" "&amp;$K1093)))&gt;0,"CERCANA","NACIONAL"))</f>
        <v/>
      </c>
      <c r="O1093" s="39">
        <f>IF($B1093="","",IF(COUNTIFS(NOVEDADES!$C$4:$C$2003,$B1093)=0,"—","SÍ ("&amp;COUNTIFS(NOVEDADES!$C$4:$C$2003,$B1093)&amp;")"))</f>
        <v/>
      </c>
    </row>
    <row r="1094">
      <c r="A1094" s="41" t="n"/>
      <c r="B1094" s="41" t="n"/>
      <c r="C1094" s="41" t="n"/>
      <c r="D1094" s="41" t="n"/>
      <c r="E1094" s="46" t="n"/>
      <c r="F1094" s="41" t="n"/>
      <c r="G1094" s="41" t="n"/>
      <c r="H1094" s="41" t="n"/>
      <c r="I1094" s="41" t="n"/>
      <c r="J1094" s="47" t="n"/>
      <c r="K1094" s="41" t="n"/>
      <c r="L1094" s="48" t="n"/>
      <c r="M1094" s="45" t="n"/>
      <c r="N1094" s="39">
        <f>IF($B1094="","",IF(SUMPRODUCT((LISTAS!$O$3:$O$42&lt;&gt;"")*ISNUMBER(SEARCH(LISTAS!$O$3:$O$42,$I1094&amp;" "&amp;$K1094)))&gt;0,"CERCANA","NACIONAL"))</f>
        <v/>
      </c>
      <c r="O1094" s="39">
        <f>IF($B1094="","",IF(COUNTIFS(NOVEDADES!$C$4:$C$2003,$B1094)=0,"—","SÍ ("&amp;COUNTIFS(NOVEDADES!$C$4:$C$2003,$B1094)&amp;")"))</f>
        <v/>
      </c>
    </row>
    <row r="1095">
      <c r="A1095" s="41" t="n"/>
      <c r="B1095" s="41" t="n"/>
      <c r="C1095" s="41" t="n"/>
      <c r="D1095" s="41" t="n"/>
      <c r="E1095" s="46" t="n"/>
      <c r="F1095" s="41" t="n"/>
      <c r="G1095" s="41" t="n"/>
      <c r="H1095" s="41" t="n"/>
      <c r="I1095" s="41" t="n"/>
      <c r="J1095" s="47" t="n"/>
      <c r="K1095" s="41" t="n"/>
      <c r="L1095" s="48" t="n"/>
      <c r="M1095" s="45" t="n"/>
      <c r="N1095" s="39">
        <f>IF($B1095="","",IF(SUMPRODUCT((LISTAS!$O$3:$O$42&lt;&gt;"")*ISNUMBER(SEARCH(LISTAS!$O$3:$O$42,$I1095&amp;" "&amp;$K1095)))&gt;0,"CERCANA","NACIONAL"))</f>
        <v/>
      </c>
      <c r="O1095" s="39">
        <f>IF($B1095="","",IF(COUNTIFS(NOVEDADES!$C$4:$C$2003,$B1095)=0,"—","SÍ ("&amp;COUNTIFS(NOVEDADES!$C$4:$C$2003,$B1095)&amp;")"))</f>
        <v/>
      </c>
    </row>
    <row r="1096">
      <c r="A1096" s="41" t="n"/>
      <c r="B1096" s="41" t="n"/>
      <c r="C1096" s="41" t="n"/>
      <c r="D1096" s="41" t="n"/>
      <c r="E1096" s="46" t="n"/>
      <c r="F1096" s="41" t="n"/>
      <c r="G1096" s="41" t="n"/>
      <c r="H1096" s="41" t="n"/>
      <c r="I1096" s="41" t="n"/>
      <c r="J1096" s="47" t="n"/>
      <c r="K1096" s="41" t="n"/>
      <c r="L1096" s="48" t="n"/>
      <c r="M1096" s="45" t="n"/>
      <c r="N1096" s="39">
        <f>IF($B1096="","",IF(SUMPRODUCT((LISTAS!$O$3:$O$42&lt;&gt;"")*ISNUMBER(SEARCH(LISTAS!$O$3:$O$42,$I1096&amp;" "&amp;$K1096)))&gt;0,"CERCANA","NACIONAL"))</f>
        <v/>
      </c>
      <c r="O1096" s="39">
        <f>IF($B1096="","",IF(COUNTIFS(NOVEDADES!$C$4:$C$2003,$B1096)=0,"—","SÍ ("&amp;COUNTIFS(NOVEDADES!$C$4:$C$2003,$B1096)&amp;")"))</f>
        <v/>
      </c>
    </row>
    <row r="1097">
      <c r="A1097" s="41" t="n"/>
      <c r="B1097" s="41" t="n"/>
      <c r="C1097" s="41" t="n"/>
      <c r="D1097" s="41" t="n"/>
      <c r="E1097" s="46" t="n"/>
      <c r="F1097" s="41" t="n"/>
      <c r="G1097" s="41" t="n"/>
      <c r="H1097" s="41" t="n"/>
      <c r="I1097" s="41" t="n"/>
      <c r="J1097" s="47" t="n"/>
      <c r="K1097" s="41" t="n"/>
      <c r="L1097" s="48" t="n"/>
      <c r="M1097" s="45" t="n"/>
      <c r="N1097" s="39">
        <f>IF($B1097="","",IF(SUMPRODUCT((LISTAS!$O$3:$O$42&lt;&gt;"")*ISNUMBER(SEARCH(LISTAS!$O$3:$O$42,$I1097&amp;" "&amp;$K1097)))&gt;0,"CERCANA","NACIONAL"))</f>
        <v/>
      </c>
      <c r="O1097" s="39">
        <f>IF($B1097="","",IF(COUNTIFS(NOVEDADES!$C$4:$C$2003,$B1097)=0,"—","SÍ ("&amp;COUNTIFS(NOVEDADES!$C$4:$C$2003,$B1097)&amp;")"))</f>
        <v/>
      </c>
    </row>
    <row r="1098">
      <c r="A1098" s="41" t="n"/>
      <c r="B1098" s="41" t="n"/>
      <c r="C1098" s="41" t="n"/>
      <c r="D1098" s="41" t="n"/>
      <c r="E1098" s="46" t="n"/>
      <c r="F1098" s="41" t="n"/>
      <c r="G1098" s="41" t="n"/>
      <c r="H1098" s="41" t="n"/>
      <c r="I1098" s="41" t="n"/>
      <c r="J1098" s="47" t="n"/>
      <c r="K1098" s="41" t="n"/>
      <c r="L1098" s="48" t="n"/>
      <c r="M1098" s="45" t="n"/>
      <c r="N1098" s="39">
        <f>IF($B1098="","",IF(SUMPRODUCT((LISTAS!$O$3:$O$42&lt;&gt;"")*ISNUMBER(SEARCH(LISTAS!$O$3:$O$42,$I1098&amp;" "&amp;$K1098)))&gt;0,"CERCANA","NACIONAL"))</f>
        <v/>
      </c>
      <c r="O1098" s="39">
        <f>IF($B1098="","",IF(COUNTIFS(NOVEDADES!$C$4:$C$2003,$B1098)=0,"—","SÍ ("&amp;COUNTIFS(NOVEDADES!$C$4:$C$2003,$B1098)&amp;")"))</f>
        <v/>
      </c>
    </row>
    <row r="1099">
      <c r="A1099" s="41" t="n"/>
      <c r="B1099" s="41" t="n"/>
      <c r="C1099" s="41" t="n"/>
      <c r="D1099" s="41" t="n"/>
      <c r="E1099" s="46" t="n"/>
      <c r="F1099" s="41" t="n"/>
      <c r="G1099" s="41" t="n"/>
      <c r="H1099" s="41" t="n"/>
      <c r="I1099" s="41" t="n"/>
      <c r="J1099" s="47" t="n"/>
      <c r="K1099" s="41" t="n"/>
      <c r="L1099" s="48" t="n"/>
      <c r="M1099" s="45" t="n"/>
      <c r="N1099" s="39">
        <f>IF($B1099="","",IF(SUMPRODUCT((LISTAS!$O$3:$O$42&lt;&gt;"")*ISNUMBER(SEARCH(LISTAS!$O$3:$O$42,$I1099&amp;" "&amp;$K1099)))&gt;0,"CERCANA","NACIONAL"))</f>
        <v/>
      </c>
      <c r="O1099" s="39">
        <f>IF($B1099="","",IF(COUNTIFS(NOVEDADES!$C$4:$C$2003,$B1099)=0,"—","SÍ ("&amp;COUNTIFS(NOVEDADES!$C$4:$C$2003,$B1099)&amp;")"))</f>
        <v/>
      </c>
    </row>
    <row r="1100">
      <c r="A1100" s="41" t="n"/>
      <c r="B1100" s="41" t="n"/>
      <c r="C1100" s="41" t="n"/>
      <c r="D1100" s="41" t="n"/>
      <c r="E1100" s="46" t="n"/>
      <c r="F1100" s="41" t="n"/>
      <c r="G1100" s="41" t="n"/>
      <c r="H1100" s="41" t="n"/>
      <c r="I1100" s="41" t="n"/>
      <c r="J1100" s="47" t="n"/>
      <c r="K1100" s="41" t="n"/>
      <c r="L1100" s="48" t="n"/>
      <c r="M1100" s="45" t="n"/>
      <c r="N1100" s="39">
        <f>IF($B1100="","",IF(SUMPRODUCT((LISTAS!$O$3:$O$42&lt;&gt;"")*ISNUMBER(SEARCH(LISTAS!$O$3:$O$42,$I1100&amp;" "&amp;$K1100)))&gt;0,"CERCANA","NACIONAL"))</f>
        <v/>
      </c>
      <c r="O1100" s="39">
        <f>IF($B1100="","",IF(COUNTIFS(NOVEDADES!$C$4:$C$2003,$B1100)=0,"—","SÍ ("&amp;COUNTIFS(NOVEDADES!$C$4:$C$2003,$B1100)&amp;")"))</f>
        <v/>
      </c>
    </row>
    <row r="1101">
      <c r="A1101" s="41" t="n"/>
      <c r="B1101" s="41" t="n"/>
      <c r="C1101" s="41" t="n"/>
      <c r="D1101" s="41" t="n"/>
      <c r="E1101" s="46" t="n"/>
      <c r="F1101" s="41" t="n"/>
      <c r="G1101" s="41" t="n"/>
      <c r="H1101" s="41" t="n"/>
      <c r="I1101" s="41" t="n"/>
      <c r="J1101" s="47" t="n"/>
      <c r="K1101" s="41" t="n"/>
      <c r="L1101" s="48" t="n"/>
      <c r="M1101" s="45" t="n"/>
      <c r="N1101" s="39">
        <f>IF($B1101="","",IF(SUMPRODUCT((LISTAS!$O$3:$O$42&lt;&gt;"")*ISNUMBER(SEARCH(LISTAS!$O$3:$O$42,$I1101&amp;" "&amp;$K1101)))&gt;0,"CERCANA","NACIONAL"))</f>
        <v/>
      </c>
      <c r="O1101" s="39">
        <f>IF($B1101="","",IF(COUNTIFS(NOVEDADES!$C$4:$C$2003,$B1101)=0,"—","SÍ ("&amp;COUNTIFS(NOVEDADES!$C$4:$C$2003,$B1101)&amp;")"))</f>
        <v/>
      </c>
    </row>
    <row r="1102">
      <c r="A1102" s="41" t="n"/>
      <c r="B1102" s="41" t="n"/>
      <c r="C1102" s="41" t="n"/>
      <c r="D1102" s="41" t="n"/>
      <c r="E1102" s="46" t="n"/>
      <c r="F1102" s="41" t="n"/>
      <c r="G1102" s="41" t="n"/>
      <c r="H1102" s="41" t="n"/>
      <c r="I1102" s="41" t="n"/>
      <c r="J1102" s="47" t="n"/>
      <c r="K1102" s="41" t="n"/>
      <c r="L1102" s="48" t="n"/>
      <c r="M1102" s="45" t="n"/>
      <c r="N1102" s="39">
        <f>IF($B1102="","",IF(SUMPRODUCT((LISTAS!$O$3:$O$42&lt;&gt;"")*ISNUMBER(SEARCH(LISTAS!$O$3:$O$42,$I1102&amp;" "&amp;$K1102)))&gt;0,"CERCANA","NACIONAL"))</f>
        <v/>
      </c>
      <c r="O1102" s="39">
        <f>IF($B1102="","",IF(COUNTIFS(NOVEDADES!$C$4:$C$2003,$B1102)=0,"—","SÍ ("&amp;COUNTIFS(NOVEDADES!$C$4:$C$2003,$B1102)&amp;")"))</f>
        <v/>
      </c>
    </row>
    <row r="1103">
      <c r="A1103" s="41" t="n"/>
      <c r="B1103" s="41" t="n"/>
      <c r="C1103" s="41" t="n"/>
      <c r="D1103" s="41" t="n"/>
      <c r="E1103" s="46" t="n"/>
      <c r="F1103" s="41" t="n"/>
      <c r="G1103" s="41" t="n"/>
      <c r="H1103" s="41" t="n"/>
      <c r="I1103" s="41" t="n"/>
      <c r="J1103" s="47" t="n"/>
      <c r="K1103" s="41" t="n"/>
      <c r="L1103" s="48" t="n"/>
      <c r="M1103" s="45" t="n"/>
      <c r="N1103" s="39">
        <f>IF($B1103="","",IF(SUMPRODUCT((LISTAS!$O$3:$O$42&lt;&gt;"")*ISNUMBER(SEARCH(LISTAS!$O$3:$O$42,$I1103&amp;" "&amp;$K1103)))&gt;0,"CERCANA","NACIONAL"))</f>
        <v/>
      </c>
      <c r="O1103" s="39">
        <f>IF($B1103="","",IF(COUNTIFS(NOVEDADES!$C$4:$C$2003,$B1103)=0,"—","SÍ ("&amp;COUNTIFS(NOVEDADES!$C$4:$C$2003,$B1103)&amp;")"))</f>
        <v/>
      </c>
    </row>
    <row r="1104">
      <c r="A1104" s="41" t="n"/>
      <c r="B1104" s="41" t="n"/>
      <c r="C1104" s="41" t="n"/>
      <c r="D1104" s="41" t="n"/>
      <c r="E1104" s="46" t="n"/>
      <c r="F1104" s="41" t="n"/>
      <c r="G1104" s="41" t="n"/>
      <c r="H1104" s="41" t="n"/>
      <c r="I1104" s="41" t="n"/>
      <c r="J1104" s="47" t="n"/>
      <c r="K1104" s="41" t="n"/>
      <c r="L1104" s="48" t="n"/>
      <c r="M1104" s="45" t="n"/>
      <c r="N1104" s="39">
        <f>IF($B1104="","",IF(SUMPRODUCT((LISTAS!$O$3:$O$42&lt;&gt;"")*ISNUMBER(SEARCH(LISTAS!$O$3:$O$42,$I1104&amp;" "&amp;$K1104)))&gt;0,"CERCANA","NACIONAL"))</f>
        <v/>
      </c>
      <c r="O1104" s="39">
        <f>IF($B1104="","",IF(COUNTIFS(NOVEDADES!$C$4:$C$2003,$B1104)=0,"—","SÍ ("&amp;COUNTIFS(NOVEDADES!$C$4:$C$2003,$B1104)&amp;")"))</f>
        <v/>
      </c>
    </row>
    <row r="1105">
      <c r="A1105" s="41" t="n"/>
      <c r="B1105" s="41" t="n"/>
      <c r="C1105" s="41" t="n"/>
      <c r="D1105" s="41" t="n"/>
      <c r="E1105" s="46" t="n"/>
      <c r="F1105" s="41" t="n"/>
      <c r="G1105" s="41" t="n"/>
      <c r="H1105" s="41" t="n"/>
      <c r="I1105" s="41" t="n"/>
      <c r="J1105" s="47" t="n"/>
      <c r="K1105" s="41" t="n"/>
      <c r="L1105" s="48" t="n"/>
      <c r="M1105" s="45" t="n"/>
      <c r="N1105" s="39">
        <f>IF($B1105="","",IF(SUMPRODUCT((LISTAS!$O$3:$O$42&lt;&gt;"")*ISNUMBER(SEARCH(LISTAS!$O$3:$O$42,$I1105&amp;" "&amp;$K1105)))&gt;0,"CERCANA","NACIONAL"))</f>
        <v/>
      </c>
      <c r="O1105" s="39">
        <f>IF($B1105="","",IF(COUNTIFS(NOVEDADES!$C$4:$C$2003,$B1105)=0,"—","SÍ ("&amp;COUNTIFS(NOVEDADES!$C$4:$C$2003,$B1105)&amp;")"))</f>
        <v/>
      </c>
    </row>
    <row r="1106">
      <c r="A1106" s="41" t="n"/>
      <c r="B1106" s="41" t="n"/>
      <c r="C1106" s="41" t="n"/>
      <c r="D1106" s="41" t="n"/>
      <c r="E1106" s="46" t="n"/>
      <c r="F1106" s="41" t="n"/>
      <c r="G1106" s="41" t="n"/>
      <c r="H1106" s="41" t="n"/>
      <c r="I1106" s="41" t="n"/>
      <c r="J1106" s="47" t="n"/>
      <c r="K1106" s="41" t="n"/>
      <c r="L1106" s="48" t="n"/>
      <c r="M1106" s="45" t="n"/>
      <c r="N1106" s="39">
        <f>IF($B1106="","",IF(SUMPRODUCT((LISTAS!$O$3:$O$42&lt;&gt;"")*ISNUMBER(SEARCH(LISTAS!$O$3:$O$42,$I1106&amp;" "&amp;$K1106)))&gt;0,"CERCANA","NACIONAL"))</f>
        <v/>
      </c>
      <c r="O1106" s="39">
        <f>IF($B1106="","",IF(COUNTIFS(NOVEDADES!$C$4:$C$2003,$B1106)=0,"—","SÍ ("&amp;COUNTIFS(NOVEDADES!$C$4:$C$2003,$B1106)&amp;")"))</f>
        <v/>
      </c>
    </row>
    <row r="1107">
      <c r="A1107" s="41" t="n"/>
      <c r="B1107" s="41" t="n"/>
      <c r="C1107" s="41" t="n"/>
      <c r="D1107" s="41" t="n"/>
      <c r="E1107" s="46" t="n"/>
      <c r="F1107" s="41" t="n"/>
      <c r="G1107" s="41" t="n"/>
      <c r="H1107" s="41" t="n"/>
      <c r="I1107" s="41" t="n"/>
      <c r="J1107" s="47" t="n"/>
      <c r="K1107" s="41" t="n"/>
      <c r="L1107" s="48" t="n"/>
      <c r="M1107" s="45" t="n"/>
      <c r="N1107" s="39">
        <f>IF($B1107="","",IF(SUMPRODUCT((LISTAS!$O$3:$O$42&lt;&gt;"")*ISNUMBER(SEARCH(LISTAS!$O$3:$O$42,$I1107&amp;" "&amp;$K1107)))&gt;0,"CERCANA","NACIONAL"))</f>
        <v/>
      </c>
      <c r="O1107" s="39">
        <f>IF($B1107="","",IF(COUNTIFS(NOVEDADES!$C$4:$C$2003,$B1107)=0,"—","SÍ ("&amp;COUNTIFS(NOVEDADES!$C$4:$C$2003,$B1107)&amp;")"))</f>
        <v/>
      </c>
    </row>
    <row r="1108">
      <c r="A1108" s="41" t="n"/>
      <c r="B1108" s="41" t="n"/>
      <c r="C1108" s="41" t="n"/>
      <c r="D1108" s="41" t="n"/>
      <c r="E1108" s="46" t="n"/>
      <c r="F1108" s="41" t="n"/>
      <c r="G1108" s="41" t="n"/>
      <c r="H1108" s="41" t="n"/>
      <c r="I1108" s="41" t="n"/>
      <c r="J1108" s="47" t="n"/>
      <c r="K1108" s="41" t="n"/>
      <c r="L1108" s="48" t="n"/>
      <c r="M1108" s="45" t="n"/>
      <c r="N1108" s="39">
        <f>IF($B1108="","",IF(SUMPRODUCT((LISTAS!$O$3:$O$42&lt;&gt;"")*ISNUMBER(SEARCH(LISTAS!$O$3:$O$42,$I1108&amp;" "&amp;$K1108)))&gt;0,"CERCANA","NACIONAL"))</f>
        <v/>
      </c>
      <c r="O1108" s="39">
        <f>IF($B1108="","",IF(COUNTIFS(NOVEDADES!$C$4:$C$2003,$B1108)=0,"—","SÍ ("&amp;COUNTIFS(NOVEDADES!$C$4:$C$2003,$B1108)&amp;")"))</f>
        <v/>
      </c>
    </row>
    <row r="1109">
      <c r="A1109" s="41" t="n"/>
      <c r="B1109" s="41" t="n"/>
      <c r="C1109" s="41" t="n"/>
      <c r="D1109" s="41" t="n"/>
      <c r="E1109" s="46" t="n"/>
      <c r="F1109" s="41" t="n"/>
      <c r="G1109" s="41" t="n"/>
      <c r="H1109" s="41" t="n"/>
      <c r="I1109" s="41" t="n"/>
      <c r="J1109" s="47" t="n"/>
      <c r="K1109" s="41" t="n"/>
      <c r="L1109" s="48" t="n"/>
      <c r="M1109" s="45" t="n"/>
      <c r="N1109" s="39">
        <f>IF($B1109="","",IF(SUMPRODUCT((LISTAS!$O$3:$O$42&lt;&gt;"")*ISNUMBER(SEARCH(LISTAS!$O$3:$O$42,$I1109&amp;" "&amp;$K1109)))&gt;0,"CERCANA","NACIONAL"))</f>
        <v/>
      </c>
      <c r="O1109" s="39">
        <f>IF($B1109="","",IF(COUNTIFS(NOVEDADES!$C$4:$C$2003,$B1109)=0,"—","SÍ ("&amp;COUNTIFS(NOVEDADES!$C$4:$C$2003,$B1109)&amp;")"))</f>
        <v/>
      </c>
    </row>
    <row r="1110">
      <c r="A1110" s="41" t="n"/>
      <c r="B1110" s="41" t="n"/>
      <c r="C1110" s="41" t="n"/>
      <c r="D1110" s="41" t="n"/>
      <c r="E1110" s="46" t="n"/>
      <c r="F1110" s="41" t="n"/>
      <c r="G1110" s="41" t="n"/>
      <c r="H1110" s="41" t="n"/>
      <c r="I1110" s="41" t="n"/>
      <c r="J1110" s="47" t="n"/>
      <c r="K1110" s="41" t="n"/>
      <c r="L1110" s="48" t="n"/>
      <c r="M1110" s="45" t="n"/>
      <c r="N1110" s="39">
        <f>IF($B1110="","",IF(SUMPRODUCT((LISTAS!$O$3:$O$42&lt;&gt;"")*ISNUMBER(SEARCH(LISTAS!$O$3:$O$42,$I1110&amp;" "&amp;$K1110)))&gt;0,"CERCANA","NACIONAL"))</f>
        <v/>
      </c>
      <c r="O1110" s="39">
        <f>IF($B1110="","",IF(COUNTIFS(NOVEDADES!$C$4:$C$2003,$B1110)=0,"—","SÍ ("&amp;COUNTIFS(NOVEDADES!$C$4:$C$2003,$B1110)&amp;")"))</f>
        <v/>
      </c>
    </row>
    <row r="1111">
      <c r="A1111" s="41" t="n"/>
      <c r="B1111" s="41" t="n"/>
      <c r="C1111" s="41" t="n"/>
      <c r="D1111" s="41" t="n"/>
      <c r="E1111" s="46" t="n"/>
      <c r="F1111" s="41" t="n"/>
      <c r="G1111" s="41" t="n"/>
      <c r="H1111" s="41" t="n"/>
      <c r="I1111" s="41" t="n"/>
      <c r="J1111" s="47" t="n"/>
      <c r="K1111" s="41" t="n"/>
      <c r="L1111" s="48" t="n"/>
      <c r="M1111" s="45" t="n"/>
      <c r="N1111" s="39">
        <f>IF($B1111="","",IF(SUMPRODUCT((LISTAS!$O$3:$O$42&lt;&gt;"")*ISNUMBER(SEARCH(LISTAS!$O$3:$O$42,$I1111&amp;" "&amp;$K1111)))&gt;0,"CERCANA","NACIONAL"))</f>
        <v/>
      </c>
      <c r="O1111" s="39">
        <f>IF($B1111="","",IF(COUNTIFS(NOVEDADES!$C$4:$C$2003,$B1111)=0,"—","SÍ ("&amp;COUNTIFS(NOVEDADES!$C$4:$C$2003,$B1111)&amp;")"))</f>
        <v/>
      </c>
    </row>
    <row r="1112">
      <c r="A1112" s="41" t="n"/>
      <c r="B1112" s="41" t="n"/>
      <c r="C1112" s="41" t="n"/>
      <c r="D1112" s="41" t="n"/>
      <c r="E1112" s="46" t="n"/>
      <c r="F1112" s="41" t="n"/>
      <c r="G1112" s="41" t="n"/>
      <c r="H1112" s="41" t="n"/>
      <c r="I1112" s="41" t="n"/>
      <c r="J1112" s="47" t="n"/>
      <c r="K1112" s="41" t="n"/>
      <c r="L1112" s="48" t="n"/>
      <c r="M1112" s="45" t="n"/>
      <c r="N1112" s="39">
        <f>IF($B1112="","",IF(SUMPRODUCT((LISTAS!$O$3:$O$42&lt;&gt;"")*ISNUMBER(SEARCH(LISTAS!$O$3:$O$42,$I1112&amp;" "&amp;$K1112)))&gt;0,"CERCANA","NACIONAL"))</f>
        <v/>
      </c>
      <c r="O1112" s="39">
        <f>IF($B1112="","",IF(COUNTIFS(NOVEDADES!$C$4:$C$2003,$B1112)=0,"—","SÍ ("&amp;COUNTIFS(NOVEDADES!$C$4:$C$2003,$B1112)&amp;")"))</f>
        <v/>
      </c>
    </row>
    <row r="1113">
      <c r="A1113" s="41" t="n"/>
      <c r="B1113" s="41" t="n"/>
      <c r="C1113" s="41" t="n"/>
      <c r="D1113" s="41" t="n"/>
      <c r="E1113" s="46" t="n"/>
      <c r="F1113" s="41" t="n"/>
      <c r="G1113" s="41" t="n"/>
      <c r="H1113" s="41" t="n"/>
      <c r="I1113" s="41" t="n"/>
      <c r="J1113" s="47" t="n"/>
      <c r="K1113" s="41" t="n"/>
      <c r="L1113" s="48" t="n"/>
      <c r="M1113" s="45" t="n"/>
      <c r="N1113" s="39">
        <f>IF($B1113="","",IF(SUMPRODUCT((LISTAS!$O$3:$O$42&lt;&gt;"")*ISNUMBER(SEARCH(LISTAS!$O$3:$O$42,$I1113&amp;" "&amp;$K1113)))&gt;0,"CERCANA","NACIONAL"))</f>
        <v/>
      </c>
      <c r="O1113" s="39">
        <f>IF($B1113="","",IF(COUNTIFS(NOVEDADES!$C$4:$C$2003,$B1113)=0,"—","SÍ ("&amp;COUNTIFS(NOVEDADES!$C$4:$C$2003,$B1113)&amp;")"))</f>
        <v/>
      </c>
    </row>
    <row r="1114">
      <c r="A1114" s="41" t="n"/>
      <c r="B1114" s="41" t="n"/>
      <c r="C1114" s="41" t="n"/>
      <c r="D1114" s="41" t="n"/>
      <c r="E1114" s="46" t="n"/>
      <c r="F1114" s="41" t="n"/>
      <c r="G1114" s="41" t="n"/>
      <c r="H1114" s="41" t="n"/>
      <c r="I1114" s="41" t="n"/>
      <c r="J1114" s="47" t="n"/>
      <c r="K1114" s="41" t="n"/>
      <c r="L1114" s="48" t="n"/>
      <c r="M1114" s="45" t="n"/>
      <c r="N1114" s="39">
        <f>IF($B1114="","",IF(SUMPRODUCT((LISTAS!$O$3:$O$42&lt;&gt;"")*ISNUMBER(SEARCH(LISTAS!$O$3:$O$42,$I1114&amp;" "&amp;$K1114)))&gt;0,"CERCANA","NACIONAL"))</f>
        <v/>
      </c>
      <c r="O1114" s="39">
        <f>IF($B1114="","",IF(COUNTIFS(NOVEDADES!$C$4:$C$2003,$B1114)=0,"—","SÍ ("&amp;COUNTIFS(NOVEDADES!$C$4:$C$2003,$B1114)&amp;")"))</f>
        <v/>
      </c>
    </row>
    <row r="1115">
      <c r="A1115" s="41" t="n"/>
      <c r="B1115" s="41" t="n"/>
      <c r="C1115" s="41" t="n"/>
      <c r="D1115" s="41" t="n"/>
      <c r="E1115" s="46" t="n"/>
      <c r="F1115" s="41" t="n"/>
      <c r="G1115" s="41" t="n"/>
      <c r="H1115" s="41" t="n"/>
      <c r="I1115" s="41" t="n"/>
      <c r="J1115" s="47" t="n"/>
      <c r="K1115" s="41" t="n"/>
      <c r="L1115" s="48" t="n"/>
      <c r="M1115" s="45" t="n"/>
      <c r="N1115" s="39">
        <f>IF($B1115="","",IF(SUMPRODUCT((LISTAS!$O$3:$O$42&lt;&gt;"")*ISNUMBER(SEARCH(LISTAS!$O$3:$O$42,$I1115&amp;" "&amp;$K1115)))&gt;0,"CERCANA","NACIONAL"))</f>
        <v/>
      </c>
      <c r="O1115" s="39">
        <f>IF($B1115="","",IF(COUNTIFS(NOVEDADES!$C$4:$C$2003,$B1115)=0,"—","SÍ ("&amp;COUNTIFS(NOVEDADES!$C$4:$C$2003,$B1115)&amp;")"))</f>
        <v/>
      </c>
    </row>
    <row r="1116">
      <c r="A1116" s="41" t="n"/>
      <c r="B1116" s="41" t="n"/>
      <c r="C1116" s="41" t="n"/>
      <c r="D1116" s="41" t="n"/>
      <c r="E1116" s="46" t="n"/>
      <c r="F1116" s="41" t="n"/>
      <c r="G1116" s="41" t="n"/>
      <c r="H1116" s="41" t="n"/>
      <c r="I1116" s="41" t="n"/>
      <c r="J1116" s="47" t="n"/>
      <c r="K1116" s="41" t="n"/>
      <c r="L1116" s="48" t="n"/>
      <c r="M1116" s="45" t="n"/>
      <c r="N1116" s="39">
        <f>IF($B1116="","",IF(SUMPRODUCT((LISTAS!$O$3:$O$42&lt;&gt;"")*ISNUMBER(SEARCH(LISTAS!$O$3:$O$42,$I1116&amp;" "&amp;$K1116)))&gt;0,"CERCANA","NACIONAL"))</f>
        <v/>
      </c>
      <c r="O1116" s="39">
        <f>IF($B1116="","",IF(COUNTIFS(NOVEDADES!$C$4:$C$2003,$B1116)=0,"—","SÍ ("&amp;COUNTIFS(NOVEDADES!$C$4:$C$2003,$B1116)&amp;")"))</f>
        <v/>
      </c>
    </row>
    <row r="1117">
      <c r="A1117" s="41" t="n"/>
      <c r="B1117" s="41" t="n"/>
      <c r="C1117" s="41" t="n"/>
      <c r="D1117" s="41" t="n"/>
      <c r="E1117" s="46" t="n"/>
      <c r="F1117" s="41" t="n"/>
      <c r="G1117" s="41" t="n"/>
      <c r="H1117" s="41" t="n"/>
      <c r="I1117" s="41" t="n"/>
      <c r="J1117" s="47" t="n"/>
      <c r="K1117" s="41" t="n"/>
      <c r="L1117" s="48" t="n"/>
      <c r="M1117" s="45" t="n"/>
      <c r="N1117" s="39">
        <f>IF($B1117="","",IF(SUMPRODUCT((LISTAS!$O$3:$O$42&lt;&gt;"")*ISNUMBER(SEARCH(LISTAS!$O$3:$O$42,$I1117&amp;" "&amp;$K1117)))&gt;0,"CERCANA","NACIONAL"))</f>
        <v/>
      </c>
      <c r="O1117" s="39">
        <f>IF($B1117="","",IF(COUNTIFS(NOVEDADES!$C$4:$C$2003,$B1117)=0,"—","SÍ ("&amp;COUNTIFS(NOVEDADES!$C$4:$C$2003,$B1117)&amp;")"))</f>
        <v/>
      </c>
    </row>
    <row r="1118">
      <c r="A1118" s="41" t="n"/>
      <c r="B1118" s="41" t="n"/>
      <c r="C1118" s="41" t="n"/>
      <c r="D1118" s="41" t="n"/>
      <c r="E1118" s="46" t="n"/>
      <c r="F1118" s="41" t="n"/>
      <c r="G1118" s="41" t="n"/>
      <c r="H1118" s="41" t="n"/>
      <c r="I1118" s="41" t="n"/>
      <c r="J1118" s="47" t="n"/>
      <c r="K1118" s="41" t="n"/>
      <c r="L1118" s="48" t="n"/>
      <c r="M1118" s="45" t="n"/>
      <c r="N1118" s="39">
        <f>IF($B1118="","",IF(SUMPRODUCT((LISTAS!$O$3:$O$42&lt;&gt;"")*ISNUMBER(SEARCH(LISTAS!$O$3:$O$42,$I1118&amp;" "&amp;$K1118)))&gt;0,"CERCANA","NACIONAL"))</f>
        <v/>
      </c>
      <c r="O1118" s="39">
        <f>IF($B1118="","",IF(COUNTIFS(NOVEDADES!$C$4:$C$2003,$B1118)=0,"—","SÍ ("&amp;COUNTIFS(NOVEDADES!$C$4:$C$2003,$B1118)&amp;")"))</f>
        <v/>
      </c>
    </row>
    <row r="1119">
      <c r="A1119" s="41" t="n"/>
      <c r="B1119" s="41" t="n"/>
      <c r="C1119" s="41" t="n"/>
      <c r="D1119" s="41" t="n"/>
      <c r="E1119" s="46" t="n"/>
      <c r="F1119" s="41" t="n"/>
      <c r="G1119" s="41" t="n"/>
      <c r="H1119" s="41" t="n"/>
      <c r="I1119" s="41" t="n"/>
      <c r="J1119" s="47" t="n"/>
      <c r="K1119" s="41" t="n"/>
      <c r="L1119" s="48" t="n"/>
      <c r="M1119" s="45" t="n"/>
      <c r="N1119" s="39">
        <f>IF($B1119="","",IF(SUMPRODUCT((LISTAS!$O$3:$O$42&lt;&gt;"")*ISNUMBER(SEARCH(LISTAS!$O$3:$O$42,$I1119&amp;" "&amp;$K1119)))&gt;0,"CERCANA","NACIONAL"))</f>
        <v/>
      </c>
      <c r="O1119" s="39">
        <f>IF($B1119="","",IF(COUNTIFS(NOVEDADES!$C$4:$C$2003,$B1119)=0,"—","SÍ ("&amp;COUNTIFS(NOVEDADES!$C$4:$C$2003,$B1119)&amp;")"))</f>
        <v/>
      </c>
    </row>
    <row r="1120">
      <c r="A1120" s="41" t="n"/>
      <c r="B1120" s="41" t="n"/>
      <c r="C1120" s="41" t="n"/>
      <c r="D1120" s="41" t="n"/>
      <c r="E1120" s="46" t="n"/>
      <c r="F1120" s="41" t="n"/>
      <c r="G1120" s="41" t="n"/>
      <c r="H1120" s="41" t="n"/>
      <c r="I1120" s="41" t="n"/>
      <c r="J1120" s="47" t="n"/>
      <c r="K1120" s="41" t="n"/>
      <c r="L1120" s="48" t="n"/>
      <c r="M1120" s="45" t="n"/>
      <c r="N1120" s="39">
        <f>IF($B1120="","",IF(SUMPRODUCT((LISTAS!$O$3:$O$42&lt;&gt;"")*ISNUMBER(SEARCH(LISTAS!$O$3:$O$42,$I1120&amp;" "&amp;$K1120)))&gt;0,"CERCANA","NACIONAL"))</f>
        <v/>
      </c>
      <c r="O1120" s="39">
        <f>IF($B1120="","",IF(COUNTIFS(NOVEDADES!$C$4:$C$2003,$B1120)=0,"—","SÍ ("&amp;COUNTIFS(NOVEDADES!$C$4:$C$2003,$B1120)&amp;")"))</f>
        <v/>
      </c>
    </row>
    <row r="1121">
      <c r="A1121" s="41" t="n"/>
      <c r="B1121" s="41" t="n"/>
      <c r="C1121" s="41" t="n"/>
      <c r="D1121" s="41" t="n"/>
      <c r="E1121" s="46" t="n"/>
      <c r="F1121" s="41" t="n"/>
      <c r="G1121" s="41" t="n"/>
      <c r="H1121" s="41" t="n"/>
      <c r="I1121" s="41" t="n"/>
      <c r="J1121" s="47" t="n"/>
      <c r="K1121" s="41" t="n"/>
      <c r="L1121" s="48" t="n"/>
      <c r="M1121" s="45" t="n"/>
      <c r="N1121" s="39">
        <f>IF($B1121="","",IF(SUMPRODUCT((LISTAS!$O$3:$O$42&lt;&gt;"")*ISNUMBER(SEARCH(LISTAS!$O$3:$O$42,$I1121&amp;" "&amp;$K1121)))&gt;0,"CERCANA","NACIONAL"))</f>
        <v/>
      </c>
      <c r="O1121" s="39">
        <f>IF($B1121="","",IF(COUNTIFS(NOVEDADES!$C$4:$C$2003,$B1121)=0,"—","SÍ ("&amp;COUNTIFS(NOVEDADES!$C$4:$C$2003,$B1121)&amp;")"))</f>
        <v/>
      </c>
    </row>
    <row r="1122">
      <c r="A1122" s="41" t="n"/>
      <c r="B1122" s="41" t="n"/>
      <c r="C1122" s="41" t="n"/>
      <c r="D1122" s="41" t="n"/>
      <c r="E1122" s="46" t="n"/>
      <c r="F1122" s="41" t="n"/>
      <c r="G1122" s="41" t="n"/>
      <c r="H1122" s="41" t="n"/>
      <c r="I1122" s="41" t="n"/>
      <c r="J1122" s="47" t="n"/>
      <c r="K1122" s="41" t="n"/>
      <c r="L1122" s="48" t="n"/>
      <c r="M1122" s="45" t="n"/>
      <c r="N1122" s="39">
        <f>IF($B1122="","",IF(SUMPRODUCT((LISTAS!$O$3:$O$42&lt;&gt;"")*ISNUMBER(SEARCH(LISTAS!$O$3:$O$42,$I1122&amp;" "&amp;$K1122)))&gt;0,"CERCANA","NACIONAL"))</f>
        <v/>
      </c>
      <c r="O1122" s="39">
        <f>IF($B1122="","",IF(COUNTIFS(NOVEDADES!$C$4:$C$2003,$B1122)=0,"—","SÍ ("&amp;COUNTIFS(NOVEDADES!$C$4:$C$2003,$B1122)&amp;")"))</f>
        <v/>
      </c>
    </row>
    <row r="1123">
      <c r="A1123" s="41" t="n"/>
      <c r="B1123" s="41" t="n"/>
      <c r="C1123" s="41" t="n"/>
      <c r="D1123" s="41" t="n"/>
      <c r="E1123" s="46" t="n"/>
      <c r="F1123" s="41" t="n"/>
      <c r="G1123" s="41" t="n"/>
      <c r="H1123" s="41" t="n"/>
      <c r="I1123" s="41" t="n"/>
      <c r="J1123" s="47" t="n"/>
      <c r="K1123" s="41" t="n"/>
      <c r="L1123" s="48" t="n"/>
      <c r="M1123" s="45" t="n"/>
      <c r="N1123" s="39">
        <f>IF($B1123="","",IF(SUMPRODUCT((LISTAS!$O$3:$O$42&lt;&gt;"")*ISNUMBER(SEARCH(LISTAS!$O$3:$O$42,$I1123&amp;" "&amp;$K1123)))&gt;0,"CERCANA","NACIONAL"))</f>
        <v/>
      </c>
      <c r="O1123" s="39">
        <f>IF($B1123="","",IF(COUNTIFS(NOVEDADES!$C$4:$C$2003,$B1123)=0,"—","SÍ ("&amp;COUNTIFS(NOVEDADES!$C$4:$C$2003,$B1123)&amp;")"))</f>
        <v/>
      </c>
    </row>
    <row r="1124">
      <c r="A1124" s="41" t="n"/>
      <c r="B1124" s="41" t="n"/>
      <c r="C1124" s="41" t="n"/>
      <c r="D1124" s="41" t="n"/>
      <c r="E1124" s="46" t="n"/>
      <c r="F1124" s="41" t="n"/>
      <c r="G1124" s="41" t="n"/>
      <c r="H1124" s="41" t="n"/>
      <c r="I1124" s="41" t="n"/>
      <c r="J1124" s="47" t="n"/>
      <c r="K1124" s="41" t="n"/>
      <c r="L1124" s="48" t="n"/>
      <c r="M1124" s="45" t="n"/>
      <c r="N1124" s="39">
        <f>IF($B1124="","",IF(SUMPRODUCT((LISTAS!$O$3:$O$42&lt;&gt;"")*ISNUMBER(SEARCH(LISTAS!$O$3:$O$42,$I1124&amp;" "&amp;$K1124)))&gt;0,"CERCANA","NACIONAL"))</f>
        <v/>
      </c>
      <c r="O1124" s="39">
        <f>IF($B1124="","",IF(COUNTIFS(NOVEDADES!$C$4:$C$2003,$B1124)=0,"—","SÍ ("&amp;COUNTIFS(NOVEDADES!$C$4:$C$2003,$B1124)&amp;")"))</f>
        <v/>
      </c>
    </row>
    <row r="1125">
      <c r="A1125" s="41" t="n"/>
      <c r="B1125" s="41" t="n"/>
      <c r="C1125" s="41" t="n"/>
      <c r="D1125" s="41" t="n"/>
      <c r="E1125" s="46" t="n"/>
      <c r="F1125" s="41" t="n"/>
      <c r="G1125" s="41" t="n"/>
      <c r="H1125" s="41" t="n"/>
      <c r="I1125" s="41" t="n"/>
      <c r="J1125" s="47" t="n"/>
      <c r="K1125" s="41" t="n"/>
      <c r="L1125" s="48" t="n"/>
      <c r="M1125" s="45" t="n"/>
      <c r="N1125" s="39">
        <f>IF($B1125="","",IF(SUMPRODUCT((LISTAS!$O$3:$O$42&lt;&gt;"")*ISNUMBER(SEARCH(LISTAS!$O$3:$O$42,$I1125&amp;" "&amp;$K1125)))&gt;0,"CERCANA","NACIONAL"))</f>
        <v/>
      </c>
      <c r="O1125" s="39">
        <f>IF($B1125="","",IF(COUNTIFS(NOVEDADES!$C$4:$C$2003,$B1125)=0,"—","SÍ ("&amp;COUNTIFS(NOVEDADES!$C$4:$C$2003,$B1125)&amp;")"))</f>
        <v/>
      </c>
    </row>
    <row r="1126">
      <c r="A1126" s="41" t="n"/>
      <c r="B1126" s="41" t="n"/>
      <c r="C1126" s="41" t="n"/>
      <c r="D1126" s="41" t="n"/>
      <c r="E1126" s="46" t="n"/>
      <c r="F1126" s="41" t="n"/>
      <c r="G1126" s="41" t="n"/>
      <c r="H1126" s="41" t="n"/>
      <c r="I1126" s="41" t="n"/>
      <c r="J1126" s="47" t="n"/>
      <c r="K1126" s="41" t="n"/>
      <c r="L1126" s="48" t="n"/>
      <c r="M1126" s="45" t="n"/>
      <c r="N1126" s="39">
        <f>IF($B1126="","",IF(SUMPRODUCT((LISTAS!$O$3:$O$42&lt;&gt;"")*ISNUMBER(SEARCH(LISTAS!$O$3:$O$42,$I1126&amp;" "&amp;$K1126)))&gt;0,"CERCANA","NACIONAL"))</f>
        <v/>
      </c>
      <c r="O1126" s="39">
        <f>IF($B1126="","",IF(COUNTIFS(NOVEDADES!$C$4:$C$2003,$B1126)=0,"—","SÍ ("&amp;COUNTIFS(NOVEDADES!$C$4:$C$2003,$B1126)&amp;")"))</f>
        <v/>
      </c>
    </row>
    <row r="1127">
      <c r="A1127" s="41" t="n"/>
      <c r="B1127" s="41" t="n"/>
      <c r="C1127" s="41" t="n"/>
      <c r="D1127" s="41" t="n"/>
      <c r="E1127" s="46" t="n"/>
      <c r="F1127" s="41" t="n"/>
      <c r="G1127" s="41" t="n"/>
      <c r="H1127" s="41" t="n"/>
      <c r="I1127" s="41" t="n"/>
      <c r="J1127" s="47" t="n"/>
      <c r="K1127" s="41" t="n"/>
      <c r="L1127" s="48" t="n"/>
      <c r="M1127" s="45" t="n"/>
      <c r="N1127" s="39">
        <f>IF($B1127="","",IF(SUMPRODUCT((LISTAS!$O$3:$O$42&lt;&gt;"")*ISNUMBER(SEARCH(LISTAS!$O$3:$O$42,$I1127&amp;" "&amp;$K1127)))&gt;0,"CERCANA","NACIONAL"))</f>
        <v/>
      </c>
      <c r="O1127" s="39">
        <f>IF($B1127="","",IF(COUNTIFS(NOVEDADES!$C$4:$C$2003,$B1127)=0,"—","SÍ ("&amp;COUNTIFS(NOVEDADES!$C$4:$C$2003,$B1127)&amp;")"))</f>
        <v/>
      </c>
    </row>
    <row r="1128">
      <c r="A1128" s="41" t="n"/>
      <c r="B1128" s="41" t="n"/>
      <c r="C1128" s="41" t="n"/>
      <c r="D1128" s="41" t="n"/>
      <c r="E1128" s="46" t="n"/>
      <c r="F1128" s="41" t="n"/>
      <c r="G1128" s="41" t="n"/>
      <c r="H1128" s="41" t="n"/>
      <c r="I1128" s="41" t="n"/>
      <c r="J1128" s="47" t="n"/>
      <c r="K1128" s="41" t="n"/>
      <c r="L1128" s="48" t="n"/>
      <c r="M1128" s="45" t="n"/>
      <c r="N1128" s="39">
        <f>IF($B1128="","",IF(SUMPRODUCT((LISTAS!$O$3:$O$42&lt;&gt;"")*ISNUMBER(SEARCH(LISTAS!$O$3:$O$42,$I1128&amp;" "&amp;$K1128)))&gt;0,"CERCANA","NACIONAL"))</f>
        <v/>
      </c>
      <c r="O1128" s="39">
        <f>IF($B1128="","",IF(COUNTIFS(NOVEDADES!$C$4:$C$2003,$B1128)=0,"—","SÍ ("&amp;COUNTIFS(NOVEDADES!$C$4:$C$2003,$B1128)&amp;")"))</f>
        <v/>
      </c>
    </row>
    <row r="1129">
      <c r="A1129" s="41" t="n"/>
      <c r="B1129" s="41" t="n"/>
      <c r="C1129" s="41" t="n"/>
      <c r="D1129" s="41" t="n"/>
      <c r="E1129" s="46" t="n"/>
      <c r="F1129" s="41" t="n"/>
      <c r="G1129" s="41" t="n"/>
      <c r="H1129" s="41" t="n"/>
      <c r="I1129" s="41" t="n"/>
      <c r="J1129" s="47" t="n"/>
      <c r="K1129" s="41" t="n"/>
      <c r="L1129" s="48" t="n"/>
      <c r="M1129" s="45" t="n"/>
      <c r="N1129" s="39">
        <f>IF($B1129="","",IF(SUMPRODUCT((LISTAS!$O$3:$O$42&lt;&gt;"")*ISNUMBER(SEARCH(LISTAS!$O$3:$O$42,$I1129&amp;" "&amp;$K1129)))&gt;0,"CERCANA","NACIONAL"))</f>
        <v/>
      </c>
      <c r="O1129" s="39">
        <f>IF($B1129="","",IF(COUNTIFS(NOVEDADES!$C$4:$C$2003,$B1129)=0,"—","SÍ ("&amp;COUNTIFS(NOVEDADES!$C$4:$C$2003,$B1129)&amp;")"))</f>
        <v/>
      </c>
    </row>
    <row r="1130">
      <c r="A1130" s="41" t="n"/>
      <c r="B1130" s="41" t="n"/>
      <c r="C1130" s="41" t="n"/>
      <c r="D1130" s="41" t="n"/>
      <c r="E1130" s="46" t="n"/>
      <c r="F1130" s="41" t="n"/>
      <c r="G1130" s="41" t="n"/>
      <c r="H1130" s="41" t="n"/>
      <c r="I1130" s="41" t="n"/>
      <c r="J1130" s="47" t="n"/>
      <c r="K1130" s="41" t="n"/>
      <c r="L1130" s="48" t="n"/>
      <c r="M1130" s="45" t="n"/>
      <c r="N1130" s="39">
        <f>IF($B1130="","",IF(SUMPRODUCT((LISTAS!$O$3:$O$42&lt;&gt;"")*ISNUMBER(SEARCH(LISTAS!$O$3:$O$42,$I1130&amp;" "&amp;$K1130)))&gt;0,"CERCANA","NACIONAL"))</f>
        <v/>
      </c>
      <c r="O1130" s="39">
        <f>IF($B1130="","",IF(COUNTIFS(NOVEDADES!$C$4:$C$2003,$B1130)=0,"—","SÍ ("&amp;COUNTIFS(NOVEDADES!$C$4:$C$2003,$B1130)&amp;")"))</f>
        <v/>
      </c>
    </row>
    <row r="1131">
      <c r="A1131" s="41" t="n"/>
      <c r="B1131" s="41" t="n"/>
      <c r="C1131" s="41" t="n"/>
      <c r="D1131" s="41" t="n"/>
      <c r="E1131" s="46" t="n"/>
      <c r="F1131" s="41" t="n"/>
      <c r="G1131" s="41" t="n"/>
      <c r="H1131" s="41" t="n"/>
      <c r="I1131" s="41" t="n"/>
      <c r="J1131" s="47" t="n"/>
      <c r="K1131" s="41" t="n"/>
      <c r="L1131" s="48" t="n"/>
      <c r="M1131" s="45" t="n"/>
      <c r="N1131" s="39">
        <f>IF($B1131="","",IF(SUMPRODUCT((LISTAS!$O$3:$O$42&lt;&gt;"")*ISNUMBER(SEARCH(LISTAS!$O$3:$O$42,$I1131&amp;" "&amp;$K1131)))&gt;0,"CERCANA","NACIONAL"))</f>
        <v/>
      </c>
      <c r="O1131" s="39">
        <f>IF($B1131="","",IF(COUNTIFS(NOVEDADES!$C$4:$C$2003,$B1131)=0,"—","SÍ ("&amp;COUNTIFS(NOVEDADES!$C$4:$C$2003,$B1131)&amp;")"))</f>
        <v/>
      </c>
    </row>
    <row r="1132">
      <c r="A1132" s="41" t="n"/>
      <c r="B1132" s="41" t="n"/>
      <c r="C1132" s="41" t="n"/>
      <c r="D1132" s="41" t="n"/>
      <c r="E1132" s="46" t="n"/>
      <c r="F1132" s="41" t="n"/>
      <c r="G1132" s="41" t="n"/>
      <c r="H1132" s="41" t="n"/>
      <c r="I1132" s="41" t="n"/>
      <c r="J1132" s="47" t="n"/>
      <c r="K1132" s="41" t="n"/>
      <c r="L1132" s="48" t="n"/>
      <c r="M1132" s="45" t="n"/>
      <c r="N1132" s="39">
        <f>IF($B1132="","",IF(SUMPRODUCT((LISTAS!$O$3:$O$42&lt;&gt;"")*ISNUMBER(SEARCH(LISTAS!$O$3:$O$42,$I1132&amp;" "&amp;$K1132)))&gt;0,"CERCANA","NACIONAL"))</f>
        <v/>
      </c>
      <c r="O1132" s="39">
        <f>IF($B1132="","",IF(COUNTIFS(NOVEDADES!$C$4:$C$2003,$B1132)=0,"—","SÍ ("&amp;COUNTIFS(NOVEDADES!$C$4:$C$2003,$B1132)&amp;")"))</f>
        <v/>
      </c>
    </row>
    <row r="1133">
      <c r="A1133" s="41" t="n"/>
      <c r="B1133" s="41" t="n"/>
      <c r="C1133" s="41" t="n"/>
      <c r="D1133" s="41" t="n"/>
      <c r="E1133" s="46" t="n"/>
      <c r="F1133" s="41" t="n"/>
      <c r="G1133" s="41" t="n"/>
      <c r="H1133" s="41" t="n"/>
      <c r="I1133" s="41" t="n"/>
      <c r="J1133" s="47" t="n"/>
      <c r="K1133" s="41" t="n"/>
      <c r="L1133" s="48" t="n"/>
      <c r="M1133" s="45" t="n"/>
      <c r="N1133" s="39">
        <f>IF($B1133="","",IF(SUMPRODUCT((LISTAS!$O$3:$O$42&lt;&gt;"")*ISNUMBER(SEARCH(LISTAS!$O$3:$O$42,$I1133&amp;" "&amp;$K1133)))&gt;0,"CERCANA","NACIONAL"))</f>
        <v/>
      </c>
      <c r="O1133" s="39">
        <f>IF($B1133="","",IF(COUNTIFS(NOVEDADES!$C$4:$C$2003,$B1133)=0,"—","SÍ ("&amp;COUNTIFS(NOVEDADES!$C$4:$C$2003,$B1133)&amp;")"))</f>
        <v/>
      </c>
    </row>
    <row r="1134">
      <c r="A1134" s="41" t="n"/>
      <c r="B1134" s="41" t="n"/>
      <c r="C1134" s="41" t="n"/>
      <c r="D1134" s="41" t="n"/>
      <c r="E1134" s="46" t="n"/>
      <c r="F1134" s="41" t="n"/>
      <c r="G1134" s="41" t="n"/>
      <c r="H1134" s="41" t="n"/>
      <c r="I1134" s="41" t="n"/>
      <c r="J1134" s="47" t="n"/>
      <c r="K1134" s="41" t="n"/>
      <c r="L1134" s="48" t="n"/>
      <c r="M1134" s="45" t="n"/>
      <c r="N1134" s="39">
        <f>IF($B1134="","",IF(SUMPRODUCT((LISTAS!$O$3:$O$42&lt;&gt;"")*ISNUMBER(SEARCH(LISTAS!$O$3:$O$42,$I1134&amp;" "&amp;$K1134)))&gt;0,"CERCANA","NACIONAL"))</f>
        <v/>
      </c>
      <c r="O1134" s="39">
        <f>IF($B1134="","",IF(COUNTIFS(NOVEDADES!$C$4:$C$2003,$B1134)=0,"—","SÍ ("&amp;COUNTIFS(NOVEDADES!$C$4:$C$2003,$B1134)&amp;")"))</f>
        <v/>
      </c>
    </row>
    <row r="1135">
      <c r="A1135" s="41" t="n"/>
      <c r="B1135" s="41" t="n"/>
      <c r="C1135" s="41" t="n"/>
      <c r="D1135" s="41" t="n"/>
      <c r="E1135" s="46" t="n"/>
      <c r="F1135" s="41" t="n"/>
      <c r="G1135" s="41" t="n"/>
      <c r="H1135" s="41" t="n"/>
      <c r="I1135" s="41" t="n"/>
      <c r="J1135" s="47" t="n"/>
      <c r="K1135" s="41" t="n"/>
      <c r="L1135" s="48" t="n"/>
      <c r="M1135" s="45" t="n"/>
      <c r="N1135" s="39">
        <f>IF($B1135="","",IF(SUMPRODUCT((LISTAS!$O$3:$O$42&lt;&gt;"")*ISNUMBER(SEARCH(LISTAS!$O$3:$O$42,$I1135&amp;" "&amp;$K1135)))&gt;0,"CERCANA","NACIONAL"))</f>
        <v/>
      </c>
      <c r="O1135" s="39">
        <f>IF($B1135="","",IF(COUNTIFS(NOVEDADES!$C$4:$C$2003,$B1135)=0,"—","SÍ ("&amp;COUNTIFS(NOVEDADES!$C$4:$C$2003,$B1135)&amp;")"))</f>
        <v/>
      </c>
    </row>
    <row r="1136">
      <c r="A1136" s="41" t="n"/>
      <c r="B1136" s="41" t="n"/>
      <c r="C1136" s="41" t="n"/>
      <c r="D1136" s="41" t="n"/>
      <c r="E1136" s="46" t="n"/>
      <c r="F1136" s="41" t="n"/>
      <c r="G1136" s="41" t="n"/>
      <c r="H1136" s="41" t="n"/>
      <c r="I1136" s="41" t="n"/>
      <c r="J1136" s="47" t="n"/>
      <c r="K1136" s="41" t="n"/>
      <c r="L1136" s="48" t="n"/>
      <c r="M1136" s="45" t="n"/>
      <c r="N1136" s="39">
        <f>IF($B1136="","",IF(SUMPRODUCT((LISTAS!$O$3:$O$42&lt;&gt;"")*ISNUMBER(SEARCH(LISTAS!$O$3:$O$42,$I1136&amp;" "&amp;$K1136)))&gt;0,"CERCANA","NACIONAL"))</f>
        <v/>
      </c>
      <c r="O1136" s="39">
        <f>IF($B1136="","",IF(COUNTIFS(NOVEDADES!$C$4:$C$2003,$B1136)=0,"—","SÍ ("&amp;COUNTIFS(NOVEDADES!$C$4:$C$2003,$B1136)&amp;")"))</f>
        <v/>
      </c>
    </row>
    <row r="1137">
      <c r="A1137" s="41" t="n"/>
      <c r="B1137" s="41" t="n"/>
      <c r="C1137" s="41" t="n"/>
      <c r="D1137" s="41" t="n"/>
      <c r="E1137" s="46" t="n"/>
      <c r="F1137" s="41" t="n"/>
      <c r="G1137" s="41" t="n"/>
      <c r="H1137" s="41" t="n"/>
      <c r="I1137" s="41" t="n"/>
      <c r="J1137" s="47" t="n"/>
      <c r="K1137" s="41" t="n"/>
      <c r="L1137" s="48" t="n"/>
      <c r="M1137" s="45" t="n"/>
      <c r="N1137" s="39">
        <f>IF($B1137="","",IF(SUMPRODUCT((LISTAS!$O$3:$O$42&lt;&gt;"")*ISNUMBER(SEARCH(LISTAS!$O$3:$O$42,$I1137&amp;" "&amp;$K1137)))&gt;0,"CERCANA","NACIONAL"))</f>
        <v/>
      </c>
      <c r="O1137" s="39">
        <f>IF($B1137="","",IF(COUNTIFS(NOVEDADES!$C$4:$C$2003,$B1137)=0,"—","SÍ ("&amp;COUNTIFS(NOVEDADES!$C$4:$C$2003,$B1137)&amp;")"))</f>
        <v/>
      </c>
    </row>
    <row r="1138">
      <c r="A1138" s="41" t="n"/>
      <c r="B1138" s="41" t="n"/>
      <c r="C1138" s="41" t="n"/>
      <c r="D1138" s="41" t="n"/>
      <c r="E1138" s="46" t="n"/>
      <c r="F1138" s="41" t="n"/>
      <c r="G1138" s="41" t="n"/>
      <c r="H1138" s="41" t="n"/>
      <c r="I1138" s="41" t="n"/>
      <c r="J1138" s="47" t="n"/>
      <c r="K1138" s="41" t="n"/>
      <c r="L1138" s="48" t="n"/>
      <c r="M1138" s="45" t="n"/>
      <c r="N1138" s="39">
        <f>IF($B1138="","",IF(SUMPRODUCT((LISTAS!$O$3:$O$42&lt;&gt;"")*ISNUMBER(SEARCH(LISTAS!$O$3:$O$42,$I1138&amp;" "&amp;$K1138)))&gt;0,"CERCANA","NACIONAL"))</f>
        <v/>
      </c>
      <c r="O1138" s="39">
        <f>IF($B1138="","",IF(COUNTIFS(NOVEDADES!$C$4:$C$2003,$B1138)=0,"—","SÍ ("&amp;COUNTIFS(NOVEDADES!$C$4:$C$2003,$B1138)&amp;")"))</f>
        <v/>
      </c>
    </row>
    <row r="1139">
      <c r="A1139" s="41" t="n"/>
      <c r="B1139" s="41" t="n"/>
      <c r="C1139" s="41" t="n"/>
      <c r="D1139" s="41" t="n"/>
      <c r="E1139" s="46" t="n"/>
      <c r="F1139" s="41" t="n"/>
      <c r="G1139" s="41" t="n"/>
      <c r="H1139" s="41" t="n"/>
      <c r="I1139" s="41" t="n"/>
      <c r="J1139" s="47" t="n"/>
      <c r="K1139" s="41" t="n"/>
      <c r="L1139" s="48" t="n"/>
      <c r="M1139" s="45" t="n"/>
      <c r="N1139" s="39">
        <f>IF($B1139="","",IF(SUMPRODUCT((LISTAS!$O$3:$O$42&lt;&gt;"")*ISNUMBER(SEARCH(LISTAS!$O$3:$O$42,$I1139&amp;" "&amp;$K1139)))&gt;0,"CERCANA","NACIONAL"))</f>
        <v/>
      </c>
      <c r="O1139" s="39">
        <f>IF($B1139="","",IF(COUNTIFS(NOVEDADES!$C$4:$C$2003,$B1139)=0,"—","SÍ ("&amp;COUNTIFS(NOVEDADES!$C$4:$C$2003,$B1139)&amp;")"))</f>
        <v/>
      </c>
    </row>
    <row r="1140">
      <c r="A1140" s="41" t="n"/>
      <c r="B1140" s="41" t="n"/>
      <c r="C1140" s="41" t="n"/>
      <c r="D1140" s="41" t="n"/>
      <c r="E1140" s="46" t="n"/>
      <c r="F1140" s="41" t="n"/>
      <c r="G1140" s="41" t="n"/>
      <c r="H1140" s="41" t="n"/>
      <c r="I1140" s="41" t="n"/>
      <c r="J1140" s="47" t="n"/>
      <c r="K1140" s="41" t="n"/>
      <c r="L1140" s="48" t="n"/>
      <c r="M1140" s="45" t="n"/>
      <c r="N1140" s="39">
        <f>IF($B1140="","",IF(SUMPRODUCT((LISTAS!$O$3:$O$42&lt;&gt;"")*ISNUMBER(SEARCH(LISTAS!$O$3:$O$42,$I1140&amp;" "&amp;$K1140)))&gt;0,"CERCANA","NACIONAL"))</f>
        <v/>
      </c>
      <c r="O1140" s="39">
        <f>IF($B1140="","",IF(COUNTIFS(NOVEDADES!$C$4:$C$2003,$B1140)=0,"—","SÍ ("&amp;COUNTIFS(NOVEDADES!$C$4:$C$2003,$B1140)&amp;")"))</f>
        <v/>
      </c>
    </row>
    <row r="1141">
      <c r="A1141" s="41" t="n"/>
      <c r="B1141" s="41" t="n"/>
      <c r="C1141" s="41" t="n"/>
      <c r="D1141" s="41" t="n"/>
      <c r="E1141" s="46" t="n"/>
      <c r="F1141" s="41" t="n"/>
      <c r="G1141" s="41" t="n"/>
      <c r="H1141" s="41" t="n"/>
      <c r="I1141" s="41" t="n"/>
      <c r="J1141" s="47" t="n"/>
      <c r="K1141" s="41" t="n"/>
      <c r="L1141" s="48" t="n"/>
      <c r="M1141" s="45" t="n"/>
      <c r="N1141" s="39">
        <f>IF($B1141="","",IF(SUMPRODUCT((LISTAS!$O$3:$O$42&lt;&gt;"")*ISNUMBER(SEARCH(LISTAS!$O$3:$O$42,$I1141&amp;" "&amp;$K1141)))&gt;0,"CERCANA","NACIONAL"))</f>
        <v/>
      </c>
      <c r="O1141" s="39">
        <f>IF($B1141="","",IF(COUNTIFS(NOVEDADES!$C$4:$C$2003,$B1141)=0,"—","SÍ ("&amp;COUNTIFS(NOVEDADES!$C$4:$C$2003,$B1141)&amp;")"))</f>
        <v/>
      </c>
    </row>
    <row r="1142">
      <c r="A1142" s="41" t="n"/>
      <c r="B1142" s="41" t="n"/>
      <c r="C1142" s="41" t="n"/>
      <c r="D1142" s="41" t="n"/>
      <c r="E1142" s="46" t="n"/>
      <c r="F1142" s="41" t="n"/>
      <c r="G1142" s="41" t="n"/>
      <c r="H1142" s="41" t="n"/>
      <c r="I1142" s="41" t="n"/>
      <c r="J1142" s="47" t="n"/>
      <c r="K1142" s="41" t="n"/>
      <c r="L1142" s="48" t="n"/>
      <c r="M1142" s="45" t="n"/>
      <c r="N1142" s="39">
        <f>IF($B1142="","",IF(SUMPRODUCT((LISTAS!$O$3:$O$42&lt;&gt;"")*ISNUMBER(SEARCH(LISTAS!$O$3:$O$42,$I1142&amp;" "&amp;$K1142)))&gt;0,"CERCANA","NACIONAL"))</f>
        <v/>
      </c>
      <c r="O1142" s="39">
        <f>IF($B1142="","",IF(COUNTIFS(NOVEDADES!$C$4:$C$2003,$B1142)=0,"—","SÍ ("&amp;COUNTIFS(NOVEDADES!$C$4:$C$2003,$B1142)&amp;")"))</f>
        <v/>
      </c>
    </row>
    <row r="1143">
      <c r="A1143" s="41" t="n"/>
      <c r="B1143" s="41" t="n"/>
      <c r="C1143" s="41" t="n"/>
      <c r="D1143" s="41" t="n"/>
      <c r="E1143" s="46" t="n"/>
      <c r="F1143" s="41" t="n"/>
      <c r="G1143" s="41" t="n"/>
      <c r="H1143" s="41" t="n"/>
      <c r="I1143" s="41" t="n"/>
      <c r="J1143" s="47" t="n"/>
      <c r="K1143" s="41" t="n"/>
      <c r="L1143" s="48" t="n"/>
      <c r="M1143" s="45" t="n"/>
      <c r="N1143" s="39">
        <f>IF($B1143="","",IF(SUMPRODUCT((LISTAS!$O$3:$O$42&lt;&gt;"")*ISNUMBER(SEARCH(LISTAS!$O$3:$O$42,$I1143&amp;" "&amp;$K1143)))&gt;0,"CERCANA","NACIONAL"))</f>
        <v/>
      </c>
      <c r="O1143" s="39">
        <f>IF($B1143="","",IF(COUNTIFS(NOVEDADES!$C$4:$C$2003,$B1143)=0,"—","SÍ ("&amp;COUNTIFS(NOVEDADES!$C$4:$C$2003,$B1143)&amp;")"))</f>
        <v/>
      </c>
    </row>
    <row r="1144">
      <c r="A1144" s="41" t="n"/>
      <c r="B1144" s="41" t="n"/>
      <c r="C1144" s="41" t="n"/>
      <c r="D1144" s="41" t="n"/>
      <c r="E1144" s="46" t="n"/>
      <c r="F1144" s="41" t="n"/>
      <c r="G1144" s="41" t="n"/>
      <c r="H1144" s="41" t="n"/>
      <c r="I1144" s="41" t="n"/>
      <c r="J1144" s="47" t="n"/>
      <c r="K1144" s="41" t="n"/>
      <c r="L1144" s="48" t="n"/>
      <c r="M1144" s="45" t="n"/>
      <c r="N1144" s="39">
        <f>IF($B1144="","",IF(SUMPRODUCT((LISTAS!$O$3:$O$42&lt;&gt;"")*ISNUMBER(SEARCH(LISTAS!$O$3:$O$42,$I1144&amp;" "&amp;$K1144)))&gt;0,"CERCANA","NACIONAL"))</f>
        <v/>
      </c>
      <c r="O1144" s="39">
        <f>IF($B1144="","",IF(COUNTIFS(NOVEDADES!$C$4:$C$2003,$B1144)=0,"—","SÍ ("&amp;COUNTIFS(NOVEDADES!$C$4:$C$2003,$B1144)&amp;")"))</f>
        <v/>
      </c>
    </row>
    <row r="1145">
      <c r="A1145" s="41" t="n"/>
      <c r="B1145" s="41" t="n"/>
      <c r="C1145" s="41" t="n"/>
      <c r="D1145" s="41" t="n"/>
      <c r="E1145" s="46" t="n"/>
      <c r="F1145" s="41" t="n"/>
      <c r="G1145" s="41" t="n"/>
      <c r="H1145" s="41" t="n"/>
      <c r="I1145" s="41" t="n"/>
      <c r="J1145" s="47" t="n"/>
      <c r="K1145" s="41" t="n"/>
      <c r="L1145" s="48" t="n"/>
      <c r="M1145" s="45" t="n"/>
      <c r="N1145" s="39">
        <f>IF($B1145="","",IF(SUMPRODUCT((LISTAS!$O$3:$O$42&lt;&gt;"")*ISNUMBER(SEARCH(LISTAS!$O$3:$O$42,$I1145&amp;" "&amp;$K1145)))&gt;0,"CERCANA","NACIONAL"))</f>
        <v/>
      </c>
      <c r="O1145" s="39">
        <f>IF($B1145="","",IF(COUNTIFS(NOVEDADES!$C$4:$C$2003,$B1145)=0,"—","SÍ ("&amp;COUNTIFS(NOVEDADES!$C$4:$C$2003,$B1145)&amp;")"))</f>
        <v/>
      </c>
    </row>
    <row r="1146">
      <c r="A1146" s="41" t="n"/>
      <c r="B1146" s="41" t="n"/>
      <c r="C1146" s="41" t="n"/>
      <c r="D1146" s="41" t="n"/>
      <c r="E1146" s="46" t="n"/>
      <c r="F1146" s="41" t="n"/>
      <c r="G1146" s="41" t="n"/>
      <c r="H1146" s="41" t="n"/>
      <c r="I1146" s="41" t="n"/>
      <c r="J1146" s="47" t="n"/>
      <c r="K1146" s="41" t="n"/>
      <c r="L1146" s="48" t="n"/>
      <c r="M1146" s="45" t="n"/>
      <c r="N1146" s="39">
        <f>IF($B1146="","",IF(SUMPRODUCT((LISTAS!$O$3:$O$42&lt;&gt;"")*ISNUMBER(SEARCH(LISTAS!$O$3:$O$42,$I1146&amp;" "&amp;$K1146)))&gt;0,"CERCANA","NACIONAL"))</f>
        <v/>
      </c>
      <c r="O1146" s="39">
        <f>IF($B1146="","",IF(COUNTIFS(NOVEDADES!$C$4:$C$2003,$B1146)=0,"—","SÍ ("&amp;COUNTIFS(NOVEDADES!$C$4:$C$2003,$B1146)&amp;")"))</f>
        <v/>
      </c>
    </row>
    <row r="1147">
      <c r="A1147" s="41" t="n"/>
      <c r="B1147" s="41" t="n"/>
      <c r="C1147" s="41" t="n"/>
      <c r="D1147" s="41" t="n"/>
      <c r="E1147" s="46" t="n"/>
      <c r="F1147" s="41" t="n"/>
      <c r="G1147" s="41" t="n"/>
      <c r="H1147" s="41" t="n"/>
      <c r="I1147" s="41" t="n"/>
      <c r="J1147" s="47" t="n"/>
      <c r="K1147" s="41" t="n"/>
      <c r="L1147" s="48" t="n"/>
      <c r="M1147" s="45" t="n"/>
      <c r="N1147" s="39">
        <f>IF($B1147="","",IF(SUMPRODUCT((LISTAS!$O$3:$O$42&lt;&gt;"")*ISNUMBER(SEARCH(LISTAS!$O$3:$O$42,$I1147&amp;" "&amp;$K1147)))&gt;0,"CERCANA","NACIONAL"))</f>
        <v/>
      </c>
      <c r="O1147" s="39">
        <f>IF($B1147="","",IF(COUNTIFS(NOVEDADES!$C$4:$C$2003,$B1147)=0,"—","SÍ ("&amp;COUNTIFS(NOVEDADES!$C$4:$C$2003,$B1147)&amp;")"))</f>
        <v/>
      </c>
    </row>
    <row r="1148">
      <c r="A1148" s="41" t="n"/>
      <c r="B1148" s="41" t="n"/>
      <c r="C1148" s="41" t="n"/>
      <c r="D1148" s="41" t="n"/>
      <c r="E1148" s="46" t="n"/>
      <c r="F1148" s="41" t="n"/>
      <c r="G1148" s="41" t="n"/>
      <c r="H1148" s="41" t="n"/>
      <c r="I1148" s="41" t="n"/>
      <c r="J1148" s="47" t="n"/>
      <c r="K1148" s="41" t="n"/>
      <c r="L1148" s="48" t="n"/>
      <c r="M1148" s="45" t="n"/>
      <c r="N1148" s="39">
        <f>IF($B1148="","",IF(SUMPRODUCT((LISTAS!$O$3:$O$42&lt;&gt;"")*ISNUMBER(SEARCH(LISTAS!$O$3:$O$42,$I1148&amp;" "&amp;$K1148)))&gt;0,"CERCANA","NACIONAL"))</f>
        <v/>
      </c>
      <c r="O1148" s="39">
        <f>IF($B1148="","",IF(COUNTIFS(NOVEDADES!$C$4:$C$2003,$B1148)=0,"—","SÍ ("&amp;COUNTIFS(NOVEDADES!$C$4:$C$2003,$B1148)&amp;")"))</f>
        <v/>
      </c>
    </row>
    <row r="1149">
      <c r="A1149" s="41" t="n"/>
      <c r="B1149" s="41" t="n"/>
      <c r="C1149" s="41" t="n"/>
      <c r="D1149" s="41" t="n"/>
      <c r="E1149" s="46" t="n"/>
      <c r="F1149" s="41" t="n"/>
      <c r="G1149" s="41" t="n"/>
      <c r="H1149" s="41" t="n"/>
      <c r="I1149" s="41" t="n"/>
      <c r="J1149" s="47" t="n"/>
      <c r="K1149" s="41" t="n"/>
      <c r="L1149" s="48" t="n"/>
      <c r="M1149" s="45" t="n"/>
      <c r="N1149" s="39">
        <f>IF($B1149="","",IF(SUMPRODUCT((LISTAS!$O$3:$O$42&lt;&gt;"")*ISNUMBER(SEARCH(LISTAS!$O$3:$O$42,$I1149&amp;" "&amp;$K1149)))&gt;0,"CERCANA","NACIONAL"))</f>
        <v/>
      </c>
      <c r="O1149" s="39">
        <f>IF($B1149="","",IF(COUNTIFS(NOVEDADES!$C$4:$C$2003,$B1149)=0,"—","SÍ ("&amp;COUNTIFS(NOVEDADES!$C$4:$C$2003,$B1149)&amp;")"))</f>
        <v/>
      </c>
    </row>
    <row r="1150">
      <c r="A1150" s="41" t="n"/>
      <c r="B1150" s="41" t="n"/>
      <c r="C1150" s="41" t="n"/>
      <c r="D1150" s="41" t="n"/>
      <c r="E1150" s="46" t="n"/>
      <c r="F1150" s="41" t="n"/>
      <c r="G1150" s="41" t="n"/>
      <c r="H1150" s="41" t="n"/>
      <c r="I1150" s="41" t="n"/>
      <c r="J1150" s="47" t="n"/>
      <c r="K1150" s="41" t="n"/>
      <c r="L1150" s="48" t="n"/>
      <c r="M1150" s="45" t="n"/>
      <c r="N1150" s="39">
        <f>IF($B1150="","",IF(SUMPRODUCT((LISTAS!$O$3:$O$42&lt;&gt;"")*ISNUMBER(SEARCH(LISTAS!$O$3:$O$42,$I1150&amp;" "&amp;$K1150)))&gt;0,"CERCANA","NACIONAL"))</f>
        <v/>
      </c>
      <c r="O1150" s="39">
        <f>IF($B1150="","",IF(COUNTIFS(NOVEDADES!$C$4:$C$2003,$B1150)=0,"—","SÍ ("&amp;COUNTIFS(NOVEDADES!$C$4:$C$2003,$B1150)&amp;")"))</f>
        <v/>
      </c>
    </row>
    <row r="1151">
      <c r="A1151" s="41" t="n"/>
      <c r="B1151" s="41" t="n"/>
      <c r="C1151" s="41" t="n"/>
      <c r="D1151" s="41" t="n"/>
      <c r="E1151" s="46" t="n"/>
      <c r="F1151" s="41" t="n"/>
      <c r="G1151" s="41" t="n"/>
      <c r="H1151" s="41" t="n"/>
      <c r="I1151" s="41" t="n"/>
      <c r="J1151" s="47" t="n"/>
      <c r="K1151" s="41" t="n"/>
      <c r="L1151" s="48" t="n"/>
      <c r="M1151" s="45" t="n"/>
      <c r="N1151" s="39">
        <f>IF($B1151="","",IF(SUMPRODUCT((LISTAS!$O$3:$O$42&lt;&gt;"")*ISNUMBER(SEARCH(LISTAS!$O$3:$O$42,$I1151&amp;" "&amp;$K1151)))&gt;0,"CERCANA","NACIONAL"))</f>
        <v/>
      </c>
      <c r="O1151" s="39">
        <f>IF($B1151="","",IF(COUNTIFS(NOVEDADES!$C$4:$C$2003,$B1151)=0,"—","SÍ ("&amp;COUNTIFS(NOVEDADES!$C$4:$C$2003,$B1151)&amp;")"))</f>
        <v/>
      </c>
    </row>
    <row r="1152">
      <c r="A1152" s="41" t="n"/>
      <c r="B1152" s="41" t="n"/>
      <c r="C1152" s="41" t="n"/>
      <c r="D1152" s="41" t="n"/>
      <c r="E1152" s="46" t="n"/>
      <c r="F1152" s="41" t="n"/>
      <c r="G1152" s="41" t="n"/>
      <c r="H1152" s="41" t="n"/>
      <c r="I1152" s="41" t="n"/>
      <c r="J1152" s="47" t="n"/>
      <c r="K1152" s="41" t="n"/>
      <c r="L1152" s="48" t="n"/>
      <c r="M1152" s="45" t="n"/>
      <c r="N1152" s="39">
        <f>IF($B1152="","",IF(SUMPRODUCT((LISTAS!$O$3:$O$42&lt;&gt;"")*ISNUMBER(SEARCH(LISTAS!$O$3:$O$42,$I1152&amp;" "&amp;$K1152)))&gt;0,"CERCANA","NACIONAL"))</f>
        <v/>
      </c>
      <c r="O1152" s="39">
        <f>IF($B1152="","",IF(COUNTIFS(NOVEDADES!$C$4:$C$2003,$B1152)=0,"—","SÍ ("&amp;COUNTIFS(NOVEDADES!$C$4:$C$2003,$B1152)&amp;")"))</f>
        <v/>
      </c>
    </row>
    <row r="1153">
      <c r="A1153" s="41" t="n"/>
      <c r="B1153" s="41" t="n"/>
      <c r="C1153" s="41" t="n"/>
      <c r="D1153" s="41" t="n"/>
      <c r="E1153" s="46" t="n"/>
      <c r="F1153" s="41" t="n"/>
      <c r="G1153" s="41" t="n"/>
      <c r="H1153" s="41" t="n"/>
      <c r="I1153" s="41" t="n"/>
      <c r="J1153" s="47" t="n"/>
      <c r="K1153" s="41" t="n"/>
      <c r="L1153" s="48" t="n"/>
      <c r="M1153" s="45" t="n"/>
      <c r="N1153" s="39">
        <f>IF($B1153="","",IF(SUMPRODUCT((LISTAS!$O$3:$O$42&lt;&gt;"")*ISNUMBER(SEARCH(LISTAS!$O$3:$O$42,$I1153&amp;" "&amp;$K1153)))&gt;0,"CERCANA","NACIONAL"))</f>
        <v/>
      </c>
      <c r="O1153" s="39">
        <f>IF($B1153="","",IF(COUNTIFS(NOVEDADES!$C$4:$C$2003,$B1153)=0,"—","SÍ ("&amp;COUNTIFS(NOVEDADES!$C$4:$C$2003,$B1153)&amp;")"))</f>
        <v/>
      </c>
    </row>
    <row r="1154">
      <c r="A1154" s="41" t="n"/>
      <c r="B1154" s="41" t="n"/>
      <c r="C1154" s="41" t="n"/>
      <c r="D1154" s="41" t="n"/>
      <c r="E1154" s="46" t="n"/>
      <c r="F1154" s="41" t="n"/>
      <c r="G1154" s="41" t="n"/>
      <c r="H1154" s="41" t="n"/>
      <c r="I1154" s="41" t="n"/>
      <c r="J1154" s="47" t="n"/>
      <c r="K1154" s="41" t="n"/>
      <c r="L1154" s="48" t="n"/>
      <c r="M1154" s="45" t="n"/>
      <c r="N1154" s="39">
        <f>IF($B1154="","",IF(SUMPRODUCT((LISTAS!$O$3:$O$42&lt;&gt;"")*ISNUMBER(SEARCH(LISTAS!$O$3:$O$42,$I1154&amp;" "&amp;$K1154)))&gt;0,"CERCANA","NACIONAL"))</f>
        <v/>
      </c>
      <c r="O1154" s="39">
        <f>IF($B1154="","",IF(COUNTIFS(NOVEDADES!$C$4:$C$2003,$B1154)=0,"—","SÍ ("&amp;COUNTIFS(NOVEDADES!$C$4:$C$2003,$B1154)&amp;")"))</f>
        <v/>
      </c>
    </row>
    <row r="1155">
      <c r="A1155" s="41" t="n"/>
      <c r="B1155" s="41" t="n"/>
      <c r="C1155" s="41" t="n"/>
      <c r="D1155" s="41" t="n"/>
      <c r="E1155" s="46" t="n"/>
      <c r="F1155" s="41" t="n"/>
      <c r="G1155" s="41" t="n"/>
      <c r="H1155" s="41" t="n"/>
      <c r="I1155" s="41" t="n"/>
      <c r="J1155" s="47" t="n"/>
      <c r="K1155" s="41" t="n"/>
      <c r="L1155" s="48" t="n"/>
      <c r="M1155" s="45" t="n"/>
      <c r="N1155" s="39">
        <f>IF($B1155="","",IF(SUMPRODUCT((LISTAS!$O$3:$O$42&lt;&gt;"")*ISNUMBER(SEARCH(LISTAS!$O$3:$O$42,$I1155&amp;" "&amp;$K1155)))&gt;0,"CERCANA","NACIONAL"))</f>
        <v/>
      </c>
      <c r="O1155" s="39">
        <f>IF($B1155="","",IF(COUNTIFS(NOVEDADES!$C$4:$C$2003,$B1155)=0,"—","SÍ ("&amp;COUNTIFS(NOVEDADES!$C$4:$C$2003,$B1155)&amp;")"))</f>
        <v/>
      </c>
    </row>
    <row r="1156">
      <c r="A1156" s="41" t="n"/>
      <c r="B1156" s="41" t="n"/>
      <c r="C1156" s="41" t="n"/>
      <c r="D1156" s="41" t="n"/>
      <c r="E1156" s="46" t="n"/>
      <c r="F1156" s="41" t="n"/>
      <c r="G1156" s="41" t="n"/>
      <c r="H1156" s="41" t="n"/>
      <c r="I1156" s="41" t="n"/>
      <c r="J1156" s="47" t="n"/>
      <c r="K1156" s="41" t="n"/>
      <c r="L1156" s="48" t="n"/>
      <c r="M1156" s="45" t="n"/>
      <c r="N1156" s="39">
        <f>IF($B1156="","",IF(SUMPRODUCT((LISTAS!$O$3:$O$42&lt;&gt;"")*ISNUMBER(SEARCH(LISTAS!$O$3:$O$42,$I1156&amp;" "&amp;$K1156)))&gt;0,"CERCANA","NACIONAL"))</f>
        <v/>
      </c>
      <c r="O1156" s="39">
        <f>IF($B1156="","",IF(COUNTIFS(NOVEDADES!$C$4:$C$2003,$B1156)=0,"—","SÍ ("&amp;COUNTIFS(NOVEDADES!$C$4:$C$2003,$B1156)&amp;")"))</f>
        <v/>
      </c>
    </row>
    <row r="1157">
      <c r="A1157" s="41" t="n"/>
      <c r="B1157" s="41" t="n"/>
      <c r="C1157" s="41" t="n"/>
      <c r="D1157" s="41" t="n"/>
      <c r="E1157" s="46" t="n"/>
      <c r="F1157" s="41" t="n"/>
      <c r="G1157" s="41" t="n"/>
      <c r="H1157" s="41" t="n"/>
      <c r="I1157" s="41" t="n"/>
      <c r="J1157" s="47" t="n"/>
      <c r="K1157" s="41" t="n"/>
      <c r="L1157" s="48" t="n"/>
      <c r="M1157" s="45" t="n"/>
      <c r="N1157" s="39">
        <f>IF($B1157="","",IF(SUMPRODUCT((LISTAS!$O$3:$O$42&lt;&gt;"")*ISNUMBER(SEARCH(LISTAS!$O$3:$O$42,$I1157&amp;" "&amp;$K1157)))&gt;0,"CERCANA","NACIONAL"))</f>
        <v/>
      </c>
      <c r="O1157" s="39">
        <f>IF($B1157="","",IF(COUNTIFS(NOVEDADES!$C$4:$C$2003,$B1157)=0,"—","SÍ ("&amp;COUNTIFS(NOVEDADES!$C$4:$C$2003,$B1157)&amp;")"))</f>
        <v/>
      </c>
    </row>
    <row r="1158">
      <c r="A1158" s="41" t="n"/>
      <c r="B1158" s="41" t="n"/>
      <c r="C1158" s="41" t="n"/>
      <c r="D1158" s="41" t="n"/>
      <c r="E1158" s="46" t="n"/>
      <c r="F1158" s="41" t="n"/>
      <c r="G1158" s="41" t="n"/>
      <c r="H1158" s="41" t="n"/>
      <c r="I1158" s="41" t="n"/>
      <c r="J1158" s="47" t="n"/>
      <c r="K1158" s="41" t="n"/>
      <c r="L1158" s="48" t="n"/>
      <c r="M1158" s="45" t="n"/>
      <c r="N1158" s="39">
        <f>IF($B1158="","",IF(SUMPRODUCT((LISTAS!$O$3:$O$42&lt;&gt;"")*ISNUMBER(SEARCH(LISTAS!$O$3:$O$42,$I1158&amp;" "&amp;$K1158)))&gt;0,"CERCANA","NACIONAL"))</f>
        <v/>
      </c>
      <c r="O1158" s="39">
        <f>IF($B1158="","",IF(COUNTIFS(NOVEDADES!$C$4:$C$2003,$B1158)=0,"—","SÍ ("&amp;COUNTIFS(NOVEDADES!$C$4:$C$2003,$B1158)&amp;")"))</f>
        <v/>
      </c>
    </row>
    <row r="1159">
      <c r="A1159" s="41" t="n"/>
      <c r="B1159" s="41" t="n"/>
      <c r="C1159" s="41" t="n"/>
      <c r="D1159" s="41" t="n"/>
      <c r="E1159" s="46" t="n"/>
      <c r="F1159" s="41" t="n"/>
      <c r="G1159" s="41" t="n"/>
      <c r="H1159" s="41" t="n"/>
      <c r="I1159" s="41" t="n"/>
      <c r="J1159" s="47" t="n"/>
      <c r="K1159" s="41" t="n"/>
      <c r="L1159" s="48" t="n"/>
      <c r="M1159" s="45" t="n"/>
      <c r="N1159" s="39">
        <f>IF($B1159="","",IF(SUMPRODUCT((LISTAS!$O$3:$O$42&lt;&gt;"")*ISNUMBER(SEARCH(LISTAS!$O$3:$O$42,$I1159&amp;" "&amp;$K1159)))&gt;0,"CERCANA","NACIONAL"))</f>
        <v/>
      </c>
      <c r="O1159" s="39">
        <f>IF($B1159="","",IF(COUNTIFS(NOVEDADES!$C$4:$C$2003,$B1159)=0,"—","SÍ ("&amp;COUNTIFS(NOVEDADES!$C$4:$C$2003,$B1159)&amp;")"))</f>
        <v/>
      </c>
    </row>
    <row r="1160">
      <c r="A1160" s="41" t="n"/>
      <c r="B1160" s="41" t="n"/>
      <c r="C1160" s="41" t="n"/>
      <c r="D1160" s="41" t="n"/>
      <c r="E1160" s="46" t="n"/>
      <c r="F1160" s="41" t="n"/>
      <c r="G1160" s="41" t="n"/>
      <c r="H1160" s="41" t="n"/>
      <c r="I1160" s="41" t="n"/>
      <c r="J1160" s="47" t="n"/>
      <c r="K1160" s="41" t="n"/>
      <c r="L1160" s="48" t="n"/>
      <c r="M1160" s="45" t="n"/>
      <c r="N1160" s="39">
        <f>IF($B1160="","",IF(SUMPRODUCT((LISTAS!$O$3:$O$42&lt;&gt;"")*ISNUMBER(SEARCH(LISTAS!$O$3:$O$42,$I1160&amp;" "&amp;$K1160)))&gt;0,"CERCANA","NACIONAL"))</f>
        <v/>
      </c>
      <c r="O1160" s="39">
        <f>IF($B1160="","",IF(COUNTIFS(NOVEDADES!$C$4:$C$2003,$B1160)=0,"—","SÍ ("&amp;COUNTIFS(NOVEDADES!$C$4:$C$2003,$B1160)&amp;")"))</f>
        <v/>
      </c>
    </row>
    <row r="1161">
      <c r="A1161" s="41" t="n"/>
      <c r="B1161" s="41" t="n"/>
      <c r="C1161" s="41" t="n"/>
      <c r="D1161" s="41" t="n"/>
      <c r="E1161" s="46" t="n"/>
      <c r="F1161" s="41" t="n"/>
      <c r="G1161" s="41" t="n"/>
      <c r="H1161" s="41" t="n"/>
      <c r="I1161" s="41" t="n"/>
      <c r="J1161" s="47" t="n"/>
      <c r="K1161" s="41" t="n"/>
      <c r="L1161" s="48" t="n"/>
      <c r="M1161" s="45" t="n"/>
      <c r="N1161" s="39">
        <f>IF($B1161="","",IF(SUMPRODUCT((LISTAS!$O$3:$O$42&lt;&gt;"")*ISNUMBER(SEARCH(LISTAS!$O$3:$O$42,$I1161&amp;" "&amp;$K1161)))&gt;0,"CERCANA","NACIONAL"))</f>
        <v/>
      </c>
      <c r="O1161" s="39">
        <f>IF($B1161="","",IF(COUNTIFS(NOVEDADES!$C$4:$C$2003,$B1161)=0,"—","SÍ ("&amp;COUNTIFS(NOVEDADES!$C$4:$C$2003,$B1161)&amp;")"))</f>
        <v/>
      </c>
    </row>
    <row r="1162">
      <c r="A1162" s="41" t="n"/>
      <c r="B1162" s="41" t="n"/>
      <c r="C1162" s="41" t="n"/>
      <c r="D1162" s="41" t="n"/>
      <c r="E1162" s="46" t="n"/>
      <c r="F1162" s="41" t="n"/>
      <c r="G1162" s="41" t="n"/>
      <c r="H1162" s="41" t="n"/>
      <c r="I1162" s="41" t="n"/>
      <c r="J1162" s="47" t="n"/>
      <c r="K1162" s="41" t="n"/>
      <c r="L1162" s="48" t="n"/>
      <c r="M1162" s="45" t="n"/>
      <c r="N1162" s="39">
        <f>IF($B1162="","",IF(SUMPRODUCT((LISTAS!$O$3:$O$42&lt;&gt;"")*ISNUMBER(SEARCH(LISTAS!$O$3:$O$42,$I1162&amp;" "&amp;$K1162)))&gt;0,"CERCANA","NACIONAL"))</f>
        <v/>
      </c>
      <c r="O1162" s="39">
        <f>IF($B1162="","",IF(COUNTIFS(NOVEDADES!$C$4:$C$2003,$B1162)=0,"—","SÍ ("&amp;COUNTIFS(NOVEDADES!$C$4:$C$2003,$B1162)&amp;")"))</f>
        <v/>
      </c>
    </row>
    <row r="1163">
      <c r="A1163" s="41" t="n"/>
      <c r="B1163" s="41" t="n"/>
      <c r="C1163" s="41" t="n"/>
      <c r="D1163" s="41" t="n"/>
      <c r="E1163" s="46" t="n"/>
      <c r="F1163" s="41" t="n"/>
      <c r="G1163" s="41" t="n"/>
      <c r="H1163" s="41" t="n"/>
      <c r="I1163" s="41" t="n"/>
      <c r="J1163" s="47" t="n"/>
      <c r="K1163" s="41" t="n"/>
      <c r="L1163" s="48" t="n"/>
      <c r="M1163" s="45" t="n"/>
      <c r="N1163" s="39">
        <f>IF($B1163="","",IF(SUMPRODUCT((LISTAS!$O$3:$O$42&lt;&gt;"")*ISNUMBER(SEARCH(LISTAS!$O$3:$O$42,$I1163&amp;" "&amp;$K1163)))&gt;0,"CERCANA","NACIONAL"))</f>
        <v/>
      </c>
      <c r="O1163" s="39">
        <f>IF($B1163="","",IF(COUNTIFS(NOVEDADES!$C$4:$C$2003,$B1163)=0,"—","SÍ ("&amp;COUNTIFS(NOVEDADES!$C$4:$C$2003,$B1163)&amp;")"))</f>
        <v/>
      </c>
    </row>
    <row r="1164">
      <c r="A1164" s="41" t="n"/>
      <c r="B1164" s="41" t="n"/>
      <c r="C1164" s="41" t="n"/>
      <c r="D1164" s="41" t="n"/>
      <c r="E1164" s="46" t="n"/>
      <c r="F1164" s="41" t="n"/>
      <c r="G1164" s="41" t="n"/>
      <c r="H1164" s="41" t="n"/>
      <c r="I1164" s="41" t="n"/>
      <c r="J1164" s="47" t="n"/>
      <c r="K1164" s="41" t="n"/>
      <c r="L1164" s="48" t="n"/>
      <c r="M1164" s="45" t="n"/>
      <c r="N1164" s="39">
        <f>IF($B1164="","",IF(SUMPRODUCT((LISTAS!$O$3:$O$42&lt;&gt;"")*ISNUMBER(SEARCH(LISTAS!$O$3:$O$42,$I1164&amp;" "&amp;$K1164)))&gt;0,"CERCANA","NACIONAL"))</f>
        <v/>
      </c>
      <c r="O1164" s="39">
        <f>IF($B1164="","",IF(COUNTIFS(NOVEDADES!$C$4:$C$2003,$B1164)=0,"—","SÍ ("&amp;COUNTIFS(NOVEDADES!$C$4:$C$2003,$B1164)&amp;")"))</f>
        <v/>
      </c>
    </row>
    <row r="1165">
      <c r="A1165" s="41" t="n"/>
      <c r="B1165" s="41" t="n"/>
      <c r="C1165" s="41" t="n"/>
      <c r="D1165" s="41" t="n"/>
      <c r="E1165" s="46" t="n"/>
      <c r="F1165" s="41" t="n"/>
      <c r="G1165" s="41" t="n"/>
      <c r="H1165" s="41" t="n"/>
      <c r="I1165" s="41" t="n"/>
      <c r="J1165" s="47" t="n"/>
      <c r="K1165" s="41" t="n"/>
      <c r="L1165" s="48" t="n"/>
      <c r="M1165" s="45" t="n"/>
      <c r="N1165" s="39">
        <f>IF($B1165="","",IF(SUMPRODUCT((LISTAS!$O$3:$O$42&lt;&gt;"")*ISNUMBER(SEARCH(LISTAS!$O$3:$O$42,$I1165&amp;" "&amp;$K1165)))&gt;0,"CERCANA","NACIONAL"))</f>
        <v/>
      </c>
      <c r="O1165" s="39">
        <f>IF($B1165="","",IF(COUNTIFS(NOVEDADES!$C$4:$C$2003,$B1165)=0,"—","SÍ ("&amp;COUNTIFS(NOVEDADES!$C$4:$C$2003,$B1165)&amp;")"))</f>
        <v/>
      </c>
    </row>
    <row r="1166">
      <c r="A1166" s="41" t="n"/>
      <c r="B1166" s="41" t="n"/>
      <c r="C1166" s="41" t="n"/>
      <c r="D1166" s="41" t="n"/>
      <c r="E1166" s="46" t="n"/>
      <c r="F1166" s="41" t="n"/>
      <c r="G1166" s="41" t="n"/>
      <c r="H1166" s="41" t="n"/>
      <c r="I1166" s="41" t="n"/>
      <c r="J1166" s="47" t="n"/>
      <c r="K1166" s="41" t="n"/>
      <c r="L1166" s="48" t="n"/>
      <c r="M1166" s="45" t="n"/>
      <c r="N1166" s="39">
        <f>IF($B1166="","",IF(SUMPRODUCT((LISTAS!$O$3:$O$42&lt;&gt;"")*ISNUMBER(SEARCH(LISTAS!$O$3:$O$42,$I1166&amp;" "&amp;$K1166)))&gt;0,"CERCANA","NACIONAL"))</f>
        <v/>
      </c>
      <c r="O1166" s="39">
        <f>IF($B1166="","",IF(COUNTIFS(NOVEDADES!$C$4:$C$2003,$B1166)=0,"—","SÍ ("&amp;COUNTIFS(NOVEDADES!$C$4:$C$2003,$B1166)&amp;")"))</f>
        <v/>
      </c>
    </row>
    <row r="1167">
      <c r="A1167" s="41" t="n"/>
      <c r="B1167" s="41" t="n"/>
      <c r="C1167" s="41" t="n"/>
      <c r="D1167" s="41" t="n"/>
      <c r="E1167" s="46" t="n"/>
      <c r="F1167" s="41" t="n"/>
      <c r="G1167" s="41" t="n"/>
      <c r="H1167" s="41" t="n"/>
      <c r="I1167" s="41" t="n"/>
      <c r="J1167" s="47" t="n"/>
      <c r="K1167" s="41" t="n"/>
      <c r="L1167" s="48" t="n"/>
      <c r="M1167" s="45" t="n"/>
      <c r="N1167" s="39">
        <f>IF($B1167="","",IF(SUMPRODUCT((LISTAS!$O$3:$O$42&lt;&gt;"")*ISNUMBER(SEARCH(LISTAS!$O$3:$O$42,$I1167&amp;" "&amp;$K1167)))&gt;0,"CERCANA","NACIONAL"))</f>
        <v/>
      </c>
      <c r="O1167" s="39">
        <f>IF($B1167="","",IF(COUNTIFS(NOVEDADES!$C$4:$C$2003,$B1167)=0,"—","SÍ ("&amp;COUNTIFS(NOVEDADES!$C$4:$C$2003,$B1167)&amp;")"))</f>
        <v/>
      </c>
    </row>
    <row r="1168">
      <c r="A1168" s="41" t="n"/>
      <c r="B1168" s="41" t="n"/>
      <c r="C1168" s="41" t="n"/>
      <c r="D1168" s="41" t="n"/>
      <c r="E1168" s="46" t="n"/>
      <c r="F1168" s="41" t="n"/>
      <c r="G1168" s="41" t="n"/>
      <c r="H1168" s="41" t="n"/>
      <c r="I1168" s="41" t="n"/>
      <c r="J1168" s="47" t="n"/>
      <c r="K1168" s="41" t="n"/>
      <c r="L1168" s="48" t="n"/>
      <c r="M1168" s="45" t="n"/>
      <c r="N1168" s="39">
        <f>IF($B1168="","",IF(SUMPRODUCT((LISTAS!$O$3:$O$42&lt;&gt;"")*ISNUMBER(SEARCH(LISTAS!$O$3:$O$42,$I1168&amp;" "&amp;$K1168)))&gt;0,"CERCANA","NACIONAL"))</f>
        <v/>
      </c>
      <c r="O1168" s="39">
        <f>IF($B1168="","",IF(COUNTIFS(NOVEDADES!$C$4:$C$2003,$B1168)=0,"—","SÍ ("&amp;COUNTIFS(NOVEDADES!$C$4:$C$2003,$B1168)&amp;")"))</f>
        <v/>
      </c>
    </row>
    <row r="1169">
      <c r="A1169" s="41" t="n"/>
      <c r="B1169" s="41" t="n"/>
      <c r="C1169" s="41" t="n"/>
      <c r="D1169" s="41" t="n"/>
      <c r="E1169" s="46" t="n"/>
      <c r="F1169" s="41" t="n"/>
      <c r="G1169" s="41" t="n"/>
      <c r="H1169" s="41" t="n"/>
      <c r="I1169" s="41" t="n"/>
      <c r="J1169" s="47" t="n"/>
      <c r="K1169" s="41" t="n"/>
      <c r="L1169" s="48" t="n"/>
      <c r="M1169" s="45" t="n"/>
      <c r="N1169" s="39">
        <f>IF($B1169="","",IF(SUMPRODUCT((LISTAS!$O$3:$O$42&lt;&gt;"")*ISNUMBER(SEARCH(LISTAS!$O$3:$O$42,$I1169&amp;" "&amp;$K1169)))&gt;0,"CERCANA","NACIONAL"))</f>
        <v/>
      </c>
      <c r="O1169" s="39">
        <f>IF($B1169="","",IF(COUNTIFS(NOVEDADES!$C$4:$C$2003,$B1169)=0,"—","SÍ ("&amp;COUNTIFS(NOVEDADES!$C$4:$C$2003,$B1169)&amp;")"))</f>
        <v/>
      </c>
    </row>
    <row r="1170">
      <c r="A1170" s="41" t="n"/>
      <c r="B1170" s="41" t="n"/>
      <c r="C1170" s="41" t="n"/>
      <c r="D1170" s="41" t="n"/>
      <c r="E1170" s="46" t="n"/>
      <c r="F1170" s="41" t="n"/>
      <c r="G1170" s="41" t="n"/>
      <c r="H1170" s="41" t="n"/>
      <c r="I1170" s="41" t="n"/>
      <c r="J1170" s="47" t="n"/>
      <c r="K1170" s="41" t="n"/>
      <c r="L1170" s="48" t="n"/>
      <c r="M1170" s="45" t="n"/>
      <c r="N1170" s="39">
        <f>IF($B1170="","",IF(SUMPRODUCT((LISTAS!$O$3:$O$42&lt;&gt;"")*ISNUMBER(SEARCH(LISTAS!$O$3:$O$42,$I1170&amp;" "&amp;$K1170)))&gt;0,"CERCANA","NACIONAL"))</f>
        <v/>
      </c>
      <c r="O1170" s="39">
        <f>IF($B1170="","",IF(COUNTIFS(NOVEDADES!$C$4:$C$2003,$B1170)=0,"—","SÍ ("&amp;COUNTIFS(NOVEDADES!$C$4:$C$2003,$B1170)&amp;")"))</f>
        <v/>
      </c>
    </row>
    <row r="1171">
      <c r="A1171" s="41" t="n"/>
      <c r="B1171" s="41" t="n"/>
      <c r="C1171" s="41" t="n"/>
      <c r="D1171" s="41" t="n"/>
      <c r="E1171" s="46" t="n"/>
      <c r="F1171" s="41" t="n"/>
      <c r="G1171" s="41" t="n"/>
      <c r="H1171" s="41" t="n"/>
      <c r="I1171" s="41" t="n"/>
      <c r="J1171" s="47" t="n"/>
      <c r="K1171" s="41" t="n"/>
      <c r="L1171" s="48" t="n"/>
      <c r="M1171" s="45" t="n"/>
      <c r="N1171" s="39">
        <f>IF($B1171="","",IF(SUMPRODUCT((LISTAS!$O$3:$O$42&lt;&gt;"")*ISNUMBER(SEARCH(LISTAS!$O$3:$O$42,$I1171&amp;" "&amp;$K1171)))&gt;0,"CERCANA","NACIONAL"))</f>
        <v/>
      </c>
      <c r="O1171" s="39">
        <f>IF($B1171="","",IF(COUNTIFS(NOVEDADES!$C$4:$C$2003,$B1171)=0,"—","SÍ ("&amp;COUNTIFS(NOVEDADES!$C$4:$C$2003,$B1171)&amp;")"))</f>
        <v/>
      </c>
    </row>
    <row r="1172">
      <c r="A1172" s="41" t="n"/>
      <c r="B1172" s="41" t="n"/>
      <c r="C1172" s="41" t="n"/>
      <c r="D1172" s="41" t="n"/>
      <c r="E1172" s="46" t="n"/>
      <c r="F1172" s="41" t="n"/>
      <c r="G1172" s="41" t="n"/>
      <c r="H1172" s="41" t="n"/>
      <c r="I1172" s="41" t="n"/>
      <c r="J1172" s="47" t="n"/>
      <c r="K1172" s="41" t="n"/>
      <c r="L1172" s="48" t="n"/>
      <c r="M1172" s="45" t="n"/>
      <c r="N1172" s="39">
        <f>IF($B1172="","",IF(SUMPRODUCT((LISTAS!$O$3:$O$42&lt;&gt;"")*ISNUMBER(SEARCH(LISTAS!$O$3:$O$42,$I1172&amp;" "&amp;$K1172)))&gt;0,"CERCANA","NACIONAL"))</f>
        <v/>
      </c>
      <c r="O1172" s="39">
        <f>IF($B1172="","",IF(COUNTIFS(NOVEDADES!$C$4:$C$2003,$B1172)=0,"—","SÍ ("&amp;COUNTIFS(NOVEDADES!$C$4:$C$2003,$B1172)&amp;")"))</f>
        <v/>
      </c>
    </row>
    <row r="1173">
      <c r="A1173" s="41" t="n"/>
      <c r="B1173" s="41" t="n"/>
      <c r="C1173" s="41" t="n"/>
      <c r="D1173" s="41" t="n"/>
      <c r="E1173" s="46" t="n"/>
      <c r="F1173" s="41" t="n"/>
      <c r="G1173" s="41" t="n"/>
      <c r="H1173" s="41" t="n"/>
      <c r="I1173" s="41" t="n"/>
      <c r="J1173" s="47" t="n"/>
      <c r="K1173" s="41" t="n"/>
      <c r="L1173" s="48" t="n"/>
      <c r="M1173" s="45" t="n"/>
      <c r="N1173" s="39">
        <f>IF($B1173="","",IF(SUMPRODUCT((LISTAS!$O$3:$O$42&lt;&gt;"")*ISNUMBER(SEARCH(LISTAS!$O$3:$O$42,$I1173&amp;" "&amp;$K1173)))&gt;0,"CERCANA","NACIONAL"))</f>
        <v/>
      </c>
      <c r="O1173" s="39">
        <f>IF($B1173="","",IF(COUNTIFS(NOVEDADES!$C$4:$C$2003,$B1173)=0,"—","SÍ ("&amp;COUNTIFS(NOVEDADES!$C$4:$C$2003,$B1173)&amp;")"))</f>
        <v/>
      </c>
    </row>
    <row r="1174">
      <c r="A1174" s="41" t="n"/>
      <c r="B1174" s="41" t="n"/>
      <c r="C1174" s="41" t="n"/>
      <c r="D1174" s="41" t="n"/>
      <c r="E1174" s="46" t="n"/>
      <c r="F1174" s="41" t="n"/>
      <c r="G1174" s="41" t="n"/>
      <c r="H1174" s="41" t="n"/>
      <c r="I1174" s="41" t="n"/>
      <c r="J1174" s="47" t="n"/>
      <c r="K1174" s="41" t="n"/>
      <c r="L1174" s="48" t="n"/>
      <c r="M1174" s="45" t="n"/>
      <c r="N1174" s="39">
        <f>IF($B1174="","",IF(SUMPRODUCT((LISTAS!$O$3:$O$42&lt;&gt;"")*ISNUMBER(SEARCH(LISTAS!$O$3:$O$42,$I1174&amp;" "&amp;$K1174)))&gt;0,"CERCANA","NACIONAL"))</f>
        <v/>
      </c>
      <c r="O1174" s="39">
        <f>IF($B1174="","",IF(COUNTIFS(NOVEDADES!$C$4:$C$2003,$B1174)=0,"—","SÍ ("&amp;COUNTIFS(NOVEDADES!$C$4:$C$2003,$B1174)&amp;")"))</f>
        <v/>
      </c>
    </row>
    <row r="1175">
      <c r="A1175" s="41" t="n"/>
      <c r="B1175" s="41" t="n"/>
      <c r="C1175" s="41" t="n"/>
      <c r="D1175" s="41" t="n"/>
      <c r="E1175" s="46" t="n"/>
      <c r="F1175" s="41" t="n"/>
      <c r="G1175" s="41" t="n"/>
      <c r="H1175" s="41" t="n"/>
      <c r="I1175" s="41" t="n"/>
      <c r="J1175" s="47" t="n"/>
      <c r="K1175" s="41" t="n"/>
      <c r="L1175" s="48" t="n"/>
      <c r="M1175" s="45" t="n"/>
      <c r="N1175" s="39">
        <f>IF($B1175="","",IF(SUMPRODUCT((LISTAS!$O$3:$O$42&lt;&gt;"")*ISNUMBER(SEARCH(LISTAS!$O$3:$O$42,$I1175&amp;" "&amp;$K1175)))&gt;0,"CERCANA","NACIONAL"))</f>
        <v/>
      </c>
      <c r="O1175" s="39">
        <f>IF($B1175="","",IF(COUNTIFS(NOVEDADES!$C$4:$C$2003,$B1175)=0,"—","SÍ ("&amp;COUNTIFS(NOVEDADES!$C$4:$C$2003,$B1175)&amp;")"))</f>
        <v/>
      </c>
    </row>
    <row r="1176">
      <c r="A1176" s="41" t="n"/>
      <c r="B1176" s="41" t="n"/>
      <c r="C1176" s="41" t="n"/>
      <c r="D1176" s="41" t="n"/>
      <c r="E1176" s="46" t="n"/>
      <c r="F1176" s="41" t="n"/>
      <c r="G1176" s="41" t="n"/>
      <c r="H1176" s="41" t="n"/>
      <c r="I1176" s="41" t="n"/>
      <c r="J1176" s="47" t="n"/>
      <c r="K1176" s="41" t="n"/>
      <c r="L1176" s="48" t="n"/>
      <c r="M1176" s="45" t="n"/>
      <c r="N1176" s="39">
        <f>IF($B1176="","",IF(SUMPRODUCT((LISTAS!$O$3:$O$42&lt;&gt;"")*ISNUMBER(SEARCH(LISTAS!$O$3:$O$42,$I1176&amp;" "&amp;$K1176)))&gt;0,"CERCANA","NACIONAL"))</f>
        <v/>
      </c>
      <c r="O1176" s="39">
        <f>IF($B1176="","",IF(COUNTIFS(NOVEDADES!$C$4:$C$2003,$B1176)=0,"—","SÍ ("&amp;COUNTIFS(NOVEDADES!$C$4:$C$2003,$B1176)&amp;")"))</f>
        <v/>
      </c>
    </row>
    <row r="1177">
      <c r="A1177" s="41" t="n"/>
      <c r="B1177" s="41" t="n"/>
      <c r="C1177" s="41" t="n"/>
      <c r="D1177" s="41" t="n"/>
      <c r="E1177" s="46" t="n"/>
      <c r="F1177" s="41" t="n"/>
      <c r="G1177" s="41" t="n"/>
      <c r="H1177" s="41" t="n"/>
      <c r="I1177" s="41" t="n"/>
      <c r="J1177" s="47" t="n"/>
      <c r="K1177" s="41" t="n"/>
      <c r="L1177" s="48" t="n"/>
      <c r="M1177" s="45" t="n"/>
      <c r="N1177" s="39">
        <f>IF($B1177="","",IF(SUMPRODUCT((LISTAS!$O$3:$O$42&lt;&gt;"")*ISNUMBER(SEARCH(LISTAS!$O$3:$O$42,$I1177&amp;" "&amp;$K1177)))&gt;0,"CERCANA","NACIONAL"))</f>
        <v/>
      </c>
      <c r="O1177" s="39">
        <f>IF($B1177="","",IF(COUNTIFS(NOVEDADES!$C$4:$C$2003,$B1177)=0,"—","SÍ ("&amp;COUNTIFS(NOVEDADES!$C$4:$C$2003,$B1177)&amp;")"))</f>
        <v/>
      </c>
    </row>
    <row r="1178">
      <c r="A1178" s="41" t="n"/>
      <c r="B1178" s="41" t="n"/>
      <c r="C1178" s="41" t="n"/>
      <c r="D1178" s="41" t="n"/>
      <c r="E1178" s="46" t="n"/>
      <c r="F1178" s="41" t="n"/>
      <c r="G1178" s="41" t="n"/>
      <c r="H1178" s="41" t="n"/>
      <c r="I1178" s="41" t="n"/>
      <c r="J1178" s="47" t="n"/>
      <c r="K1178" s="41" t="n"/>
      <c r="L1178" s="48" t="n"/>
      <c r="M1178" s="45" t="n"/>
      <c r="N1178" s="39">
        <f>IF($B1178="","",IF(SUMPRODUCT((LISTAS!$O$3:$O$42&lt;&gt;"")*ISNUMBER(SEARCH(LISTAS!$O$3:$O$42,$I1178&amp;" "&amp;$K1178)))&gt;0,"CERCANA","NACIONAL"))</f>
        <v/>
      </c>
      <c r="O1178" s="39">
        <f>IF($B1178="","",IF(COUNTIFS(NOVEDADES!$C$4:$C$2003,$B1178)=0,"—","SÍ ("&amp;COUNTIFS(NOVEDADES!$C$4:$C$2003,$B1178)&amp;")"))</f>
        <v/>
      </c>
    </row>
    <row r="1179">
      <c r="A1179" s="41" t="n"/>
      <c r="B1179" s="41" t="n"/>
      <c r="C1179" s="41" t="n"/>
      <c r="D1179" s="41" t="n"/>
      <c r="E1179" s="46" t="n"/>
      <c r="F1179" s="41" t="n"/>
      <c r="G1179" s="41" t="n"/>
      <c r="H1179" s="41" t="n"/>
      <c r="I1179" s="41" t="n"/>
      <c r="J1179" s="47" t="n"/>
      <c r="K1179" s="41" t="n"/>
      <c r="L1179" s="48" t="n"/>
      <c r="M1179" s="45" t="n"/>
      <c r="N1179" s="39">
        <f>IF($B1179="","",IF(SUMPRODUCT((LISTAS!$O$3:$O$42&lt;&gt;"")*ISNUMBER(SEARCH(LISTAS!$O$3:$O$42,$I1179&amp;" "&amp;$K1179)))&gt;0,"CERCANA","NACIONAL"))</f>
        <v/>
      </c>
      <c r="O1179" s="39">
        <f>IF($B1179="","",IF(COUNTIFS(NOVEDADES!$C$4:$C$2003,$B1179)=0,"—","SÍ ("&amp;COUNTIFS(NOVEDADES!$C$4:$C$2003,$B1179)&amp;")"))</f>
        <v/>
      </c>
    </row>
    <row r="1180">
      <c r="A1180" s="41" t="n"/>
      <c r="B1180" s="41" t="n"/>
      <c r="C1180" s="41" t="n"/>
      <c r="D1180" s="41" t="n"/>
      <c r="E1180" s="46" t="n"/>
      <c r="F1180" s="41" t="n"/>
      <c r="G1180" s="41" t="n"/>
      <c r="H1180" s="41" t="n"/>
      <c r="I1180" s="41" t="n"/>
      <c r="J1180" s="47" t="n"/>
      <c r="K1180" s="41" t="n"/>
      <c r="L1180" s="48" t="n"/>
      <c r="M1180" s="45" t="n"/>
      <c r="N1180" s="39">
        <f>IF($B1180="","",IF(SUMPRODUCT((LISTAS!$O$3:$O$42&lt;&gt;"")*ISNUMBER(SEARCH(LISTAS!$O$3:$O$42,$I1180&amp;" "&amp;$K1180)))&gt;0,"CERCANA","NACIONAL"))</f>
        <v/>
      </c>
      <c r="O1180" s="39">
        <f>IF($B1180="","",IF(COUNTIFS(NOVEDADES!$C$4:$C$2003,$B1180)=0,"—","SÍ ("&amp;COUNTIFS(NOVEDADES!$C$4:$C$2003,$B1180)&amp;")"))</f>
        <v/>
      </c>
    </row>
    <row r="1181">
      <c r="A1181" s="41" t="n"/>
      <c r="B1181" s="41" t="n"/>
      <c r="C1181" s="41" t="n"/>
      <c r="D1181" s="41" t="n"/>
      <c r="E1181" s="46" t="n"/>
      <c r="F1181" s="41" t="n"/>
      <c r="G1181" s="41" t="n"/>
      <c r="H1181" s="41" t="n"/>
      <c r="I1181" s="41" t="n"/>
      <c r="J1181" s="47" t="n"/>
      <c r="K1181" s="41" t="n"/>
      <c r="L1181" s="48" t="n"/>
      <c r="M1181" s="45" t="n"/>
      <c r="N1181" s="39">
        <f>IF($B1181="","",IF(SUMPRODUCT((LISTAS!$O$3:$O$42&lt;&gt;"")*ISNUMBER(SEARCH(LISTAS!$O$3:$O$42,$I1181&amp;" "&amp;$K1181)))&gt;0,"CERCANA","NACIONAL"))</f>
        <v/>
      </c>
      <c r="O1181" s="39">
        <f>IF($B1181="","",IF(COUNTIFS(NOVEDADES!$C$4:$C$2003,$B1181)=0,"—","SÍ ("&amp;COUNTIFS(NOVEDADES!$C$4:$C$2003,$B1181)&amp;")"))</f>
        <v/>
      </c>
    </row>
    <row r="1182">
      <c r="A1182" s="41" t="n"/>
      <c r="B1182" s="41" t="n"/>
      <c r="C1182" s="41" t="n"/>
      <c r="D1182" s="41" t="n"/>
      <c r="E1182" s="46" t="n"/>
      <c r="F1182" s="41" t="n"/>
      <c r="G1182" s="41" t="n"/>
      <c r="H1182" s="41" t="n"/>
      <c r="I1182" s="41" t="n"/>
      <c r="J1182" s="47" t="n"/>
      <c r="K1182" s="41" t="n"/>
      <c r="L1182" s="48" t="n"/>
      <c r="M1182" s="45" t="n"/>
      <c r="N1182" s="39">
        <f>IF($B1182="","",IF(SUMPRODUCT((LISTAS!$O$3:$O$42&lt;&gt;"")*ISNUMBER(SEARCH(LISTAS!$O$3:$O$42,$I1182&amp;" "&amp;$K1182)))&gt;0,"CERCANA","NACIONAL"))</f>
        <v/>
      </c>
      <c r="O1182" s="39">
        <f>IF($B1182="","",IF(COUNTIFS(NOVEDADES!$C$4:$C$2003,$B1182)=0,"—","SÍ ("&amp;COUNTIFS(NOVEDADES!$C$4:$C$2003,$B1182)&amp;")"))</f>
        <v/>
      </c>
    </row>
    <row r="1183">
      <c r="A1183" s="41" t="n"/>
      <c r="B1183" s="41" t="n"/>
      <c r="C1183" s="41" t="n"/>
      <c r="D1183" s="41" t="n"/>
      <c r="E1183" s="46" t="n"/>
      <c r="F1183" s="41" t="n"/>
      <c r="G1183" s="41" t="n"/>
      <c r="H1183" s="41" t="n"/>
      <c r="I1183" s="41" t="n"/>
      <c r="J1183" s="47" t="n"/>
      <c r="K1183" s="41" t="n"/>
      <c r="L1183" s="48" t="n"/>
      <c r="M1183" s="45" t="n"/>
      <c r="N1183" s="39">
        <f>IF($B1183="","",IF(SUMPRODUCT((LISTAS!$O$3:$O$42&lt;&gt;"")*ISNUMBER(SEARCH(LISTAS!$O$3:$O$42,$I1183&amp;" "&amp;$K1183)))&gt;0,"CERCANA","NACIONAL"))</f>
        <v/>
      </c>
      <c r="O1183" s="39">
        <f>IF($B1183="","",IF(COUNTIFS(NOVEDADES!$C$4:$C$2003,$B1183)=0,"—","SÍ ("&amp;COUNTIFS(NOVEDADES!$C$4:$C$2003,$B1183)&amp;")"))</f>
        <v/>
      </c>
    </row>
    <row r="1184">
      <c r="A1184" s="41" t="n"/>
      <c r="B1184" s="41" t="n"/>
      <c r="C1184" s="41" t="n"/>
      <c r="D1184" s="41" t="n"/>
      <c r="E1184" s="46" t="n"/>
      <c r="F1184" s="41" t="n"/>
      <c r="G1184" s="41" t="n"/>
      <c r="H1184" s="41" t="n"/>
      <c r="I1184" s="41" t="n"/>
      <c r="J1184" s="47" t="n"/>
      <c r="K1184" s="41" t="n"/>
      <c r="L1184" s="48" t="n"/>
      <c r="M1184" s="45" t="n"/>
      <c r="N1184" s="39">
        <f>IF($B1184="","",IF(SUMPRODUCT((LISTAS!$O$3:$O$42&lt;&gt;"")*ISNUMBER(SEARCH(LISTAS!$O$3:$O$42,$I1184&amp;" "&amp;$K1184)))&gt;0,"CERCANA","NACIONAL"))</f>
        <v/>
      </c>
      <c r="O1184" s="39">
        <f>IF($B1184="","",IF(COUNTIFS(NOVEDADES!$C$4:$C$2003,$B1184)=0,"—","SÍ ("&amp;COUNTIFS(NOVEDADES!$C$4:$C$2003,$B1184)&amp;")"))</f>
        <v/>
      </c>
    </row>
    <row r="1185">
      <c r="A1185" s="41" t="n"/>
      <c r="B1185" s="41" t="n"/>
      <c r="C1185" s="41" t="n"/>
      <c r="D1185" s="41" t="n"/>
      <c r="E1185" s="46" t="n"/>
      <c r="F1185" s="41" t="n"/>
      <c r="G1185" s="41" t="n"/>
      <c r="H1185" s="41" t="n"/>
      <c r="I1185" s="41" t="n"/>
      <c r="J1185" s="47" t="n"/>
      <c r="K1185" s="41" t="n"/>
      <c r="L1185" s="48" t="n"/>
      <c r="M1185" s="45" t="n"/>
      <c r="N1185" s="39">
        <f>IF($B1185="","",IF(SUMPRODUCT((LISTAS!$O$3:$O$42&lt;&gt;"")*ISNUMBER(SEARCH(LISTAS!$O$3:$O$42,$I1185&amp;" "&amp;$K1185)))&gt;0,"CERCANA","NACIONAL"))</f>
        <v/>
      </c>
      <c r="O1185" s="39">
        <f>IF($B1185="","",IF(COUNTIFS(NOVEDADES!$C$4:$C$2003,$B1185)=0,"—","SÍ ("&amp;COUNTIFS(NOVEDADES!$C$4:$C$2003,$B1185)&amp;")"))</f>
        <v/>
      </c>
    </row>
    <row r="1186">
      <c r="A1186" s="41" t="n"/>
      <c r="B1186" s="41" t="n"/>
      <c r="C1186" s="41" t="n"/>
      <c r="D1186" s="41" t="n"/>
      <c r="E1186" s="46" t="n"/>
      <c r="F1186" s="41" t="n"/>
      <c r="G1186" s="41" t="n"/>
      <c r="H1186" s="41" t="n"/>
      <c r="I1186" s="41" t="n"/>
      <c r="J1186" s="47" t="n"/>
      <c r="K1186" s="41" t="n"/>
      <c r="L1186" s="48" t="n"/>
      <c r="M1186" s="45" t="n"/>
      <c r="N1186" s="39">
        <f>IF($B1186="","",IF(SUMPRODUCT((LISTAS!$O$3:$O$42&lt;&gt;"")*ISNUMBER(SEARCH(LISTAS!$O$3:$O$42,$I1186&amp;" "&amp;$K1186)))&gt;0,"CERCANA","NACIONAL"))</f>
        <v/>
      </c>
      <c r="O1186" s="39">
        <f>IF($B1186="","",IF(COUNTIFS(NOVEDADES!$C$4:$C$2003,$B1186)=0,"—","SÍ ("&amp;COUNTIFS(NOVEDADES!$C$4:$C$2003,$B1186)&amp;")"))</f>
        <v/>
      </c>
    </row>
    <row r="1187">
      <c r="A1187" s="41" t="n"/>
      <c r="B1187" s="41" t="n"/>
      <c r="C1187" s="41" t="n"/>
      <c r="D1187" s="41" t="n"/>
      <c r="E1187" s="46" t="n"/>
      <c r="F1187" s="41" t="n"/>
      <c r="G1187" s="41" t="n"/>
      <c r="H1187" s="41" t="n"/>
      <c r="I1187" s="41" t="n"/>
      <c r="J1187" s="47" t="n"/>
      <c r="K1187" s="41" t="n"/>
      <c r="L1187" s="48" t="n"/>
      <c r="M1187" s="45" t="n"/>
      <c r="N1187" s="39">
        <f>IF($B1187="","",IF(SUMPRODUCT((LISTAS!$O$3:$O$42&lt;&gt;"")*ISNUMBER(SEARCH(LISTAS!$O$3:$O$42,$I1187&amp;" "&amp;$K1187)))&gt;0,"CERCANA","NACIONAL"))</f>
        <v/>
      </c>
      <c r="O1187" s="39">
        <f>IF($B1187="","",IF(COUNTIFS(NOVEDADES!$C$4:$C$2003,$B1187)=0,"—","SÍ ("&amp;COUNTIFS(NOVEDADES!$C$4:$C$2003,$B1187)&amp;")"))</f>
        <v/>
      </c>
    </row>
    <row r="1188">
      <c r="A1188" s="41" t="n"/>
      <c r="B1188" s="41" t="n"/>
      <c r="C1188" s="41" t="n"/>
      <c r="D1188" s="41" t="n"/>
      <c r="E1188" s="46" t="n"/>
      <c r="F1188" s="41" t="n"/>
      <c r="G1188" s="41" t="n"/>
      <c r="H1188" s="41" t="n"/>
      <c r="I1188" s="41" t="n"/>
      <c r="J1188" s="47" t="n"/>
      <c r="K1188" s="41" t="n"/>
      <c r="L1188" s="48" t="n"/>
      <c r="M1188" s="45" t="n"/>
      <c r="N1188" s="39">
        <f>IF($B1188="","",IF(SUMPRODUCT((LISTAS!$O$3:$O$42&lt;&gt;"")*ISNUMBER(SEARCH(LISTAS!$O$3:$O$42,$I1188&amp;" "&amp;$K1188)))&gt;0,"CERCANA","NACIONAL"))</f>
        <v/>
      </c>
      <c r="O1188" s="39">
        <f>IF($B1188="","",IF(COUNTIFS(NOVEDADES!$C$4:$C$2003,$B1188)=0,"—","SÍ ("&amp;COUNTIFS(NOVEDADES!$C$4:$C$2003,$B1188)&amp;")"))</f>
        <v/>
      </c>
    </row>
    <row r="1189">
      <c r="A1189" s="41" t="n"/>
      <c r="B1189" s="41" t="n"/>
      <c r="C1189" s="41" t="n"/>
      <c r="D1189" s="41" t="n"/>
      <c r="E1189" s="46" t="n"/>
      <c r="F1189" s="41" t="n"/>
      <c r="G1189" s="41" t="n"/>
      <c r="H1189" s="41" t="n"/>
      <c r="I1189" s="41" t="n"/>
      <c r="J1189" s="47" t="n"/>
      <c r="K1189" s="41" t="n"/>
      <c r="L1189" s="48" t="n"/>
      <c r="M1189" s="45" t="n"/>
      <c r="N1189" s="39">
        <f>IF($B1189="","",IF(SUMPRODUCT((LISTAS!$O$3:$O$42&lt;&gt;"")*ISNUMBER(SEARCH(LISTAS!$O$3:$O$42,$I1189&amp;" "&amp;$K1189)))&gt;0,"CERCANA","NACIONAL"))</f>
        <v/>
      </c>
      <c r="O1189" s="39">
        <f>IF($B1189="","",IF(COUNTIFS(NOVEDADES!$C$4:$C$2003,$B1189)=0,"—","SÍ ("&amp;COUNTIFS(NOVEDADES!$C$4:$C$2003,$B1189)&amp;")"))</f>
        <v/>
      </c>
    </row>
    <row r="1190">
      <c r="A1190" s="41" t="n"/>
      <c r="B1190" s="41" t="n"/>
      <c r="C1190" s="41" t="n"/>
      <c r="D1190" s="41" t="n"/>
      <c r="E1190" s="46" t="n"/>
      <c r="F1190" s="41" t="n"/>
      <c r="G1190" s="41" t="n"/>
      <c r="H1190" s="41" t="n"/>
      <c r="I1190" s="41" t="n"/>
      <c r="J1190" s="47" t="n"/>
      <c r="K1190" s="41" t="n"/>
      <c r="L1190" s="48" t="n"/>
      <c r="M1190" s="45" t="n"/>
      <c r="N1190" s="39">
        <f>IF($B1190="","",IF(SUMPRODUCT((LISTAS!$O$3:$O$42&lt;&gt;"")*ISNUMBER(SEARCH(LISTAS!$O$3:$O$42,$I1190&amp;" "&amp;$K1190)))&gt;0,"CERCANA","NACIONAL"))</f>
        <v/>
      </c>
      <c r="O1190" s="39">
        <f>IF($B1190="","",IF(COUNTIFS(NOVEDADES!$C$4:$C$2003,$B1190)=0,"—","SÍ ("&amp;COUNTIFS(NOVEDADES!$C$4:$C$2003,$B1190)&amp;")"))</f>
        <v/>
      </c>
    </row>
    <row r="1191">
      <c r="A1191" s="41" t="n"/>
      <c r="B1191" s="41" t="n"/>
      <c r="C1191" s="41" t="n"/>
      <c r="D1191" s="41" t="n"/>
      <c r="E1191" s="46" t="n"/>
      <c r="F1191" s="41" t="n"/>
      <c r="G1191" s="41" t="n"/>
      <c r="H1191" s="41" t="n"/>
      <c r="I1191" s="41" t="n"/>
      <c r="J1191" s="47" t="n"/>
      <c r="K1191" s="41" t="n"/>
      <c r="L1191" s="48" t="n"/>
      <c r="M1191" s="45" t="n"/>
      <c r="N1191" s="39">
        <f>IF($B1191="","",IF(SUMPRODUCT((LISTAS!$O$3:$O$42&lt;&gt;"")*ISNUMBER(SEARCH(LISTAS!$O$3:$O$42,$I1191&amp;" "&amp;$K1191)))&gt;0,"CERCANA","NACIONAL"))</f>
        <v/>
      </c>
      <c r="O1191" s="39">
        <f>IF($B1191="","",IF(COUNTIFS(NOVEDADES!$C$4:$C$2003,$B1191)=0,"—","SÍ ("&amp;COUNTIFS(NOVEDADES!$C$4:$C$2003,$B1191)&amp;")"))</f>
        <v/>
      </c>
    </row>
    <row r="1192">
      <c r="A1192" s="41" t="n"/>
      <c r="B1192" s="41" t="n"/>
      <c r="C1192" s="41" t="n"/>
      <c r="D1192" s="41" t="n"/>
      <c r="E1192" s="46" t="n"/>
      <c r="F1192" s="41" t="n"/>
      <c r="G1192" s="41" t="n"/>
      <c r="H1192" s="41" t="n"/>
      <c r="I1192" s="41" t="n"/>
      <c r="J1192" s="47" t="n"/>
      <c r="K1192" s="41" t="n"/>
      <c r="L1192" s="48" t="n"/>
      <c r="M1192" s="45" t="n"/>
      <c r="N1192" s="39">
        <f>IF($B1192="","",IF(SUMPRODUCT((LISTAS!$O$3:$O$42&lt;&gt;"")*ISNUMBER(SEARCH(LISTAS!$O$3:$O$42,$I1192&amp;" "&amp;$K1192)))&gt;0,"CERCANA","NACIONAL"))</f>
        <v/>
      </c>
      <c r="O1192" s="39">
        <f>IF($B1192="","",IF(COUNTIFS(NOVEDADES!$C$4:$C$2003,$B1192)=0,"—","SÍ ("&amp;COUNTIFS(NOVEDADES!$C$4:$C$2003,$B1192)&amp;")"))</f>
        <v/>
      </c>
    </row>
    <row r="1193">
      <c r="A1193" s="41" t="n"/>
      <c r="B1193" s="41" t="n"/>
      <c r="C1193" s="41" t="n"/>
      <c r="D1193" s="41" t="n"/>
      <c r="E1193" s="46" t="n"/>
      <c r="F1193" s="41" t="n"/>
      <c r="G1193" s="41" t="n"/>
      <c r="H1193" s="41" t="n"/>
      <c r="I1193" s="41" t="n"/>
      <c r="J1193" s="47" t="n"/>
      <c r="K1193" s="41" t="n"/>
      <c r="L1193" s="48" t="n"/>
      <c r="M1193" s="45" t="n"/>
      <c r="N1193" s="39">
        <f>IF($B1193="","",IF(SUMPRODUCT((LISTAS!$O$3:$O$42&lt;&gt;"")*ISNUMBER(SEARCH(LISTAS!$O$3:$O$42,$I1193&amp;" "&amp;$K1193)))&gt;0,"CERCANA","NACIONAL"))</f>
        <v/>
      </c>
      <c r="O1193" s="39">
        <f>IF($B1193="","",IF(COUNTIFS(NOVEDADES!$C$4:$C$2003,$B1193)=0,"—","SÍ ("&amp;COUNTIFS(NOVEDADES!$C$4:$C$2003,$B1193)&amp;")"))</f>
        <v/>
      </c>
    </row>
    <row r="1194">
      <c r="A1194" s="41" t="n"/>
      <c r="B1194" s="41" t="n"/>
      <c r="C1194" s="41" t="n"/>
      <c r="D1194" s="41" t="n"/>
      <c r="E1194" s="46" t="n"/>
      <c r="F1194" s="41" t="n"/>
      <c r="G1194" s="41" t="n"/>
      <c r="H1194" s="41" t="n"/>
      <c r="I1194" s="41" t="n"/>
      <c r="J1194" s="47" t="n"/>
      <c r="K1194" s="41" t="n"/>
      <c r="L1194" s="48" t="n"/>
      <c r="M1194" s="45" t="n"/>
      <c r="N1194" s="39">
        <f>IF($B1194="","",IF(SUMPRODUCT((LISTAS!$O$3:$O$42&lt;&gt;"")*ISNUMBER(SEARCH(LISTAS!$O$3:$O$42,$I1194&amp;" "&amp;$K1194)))&gt;0,"CERCANA","NACIONAL"))</f>
        <v/>
      </c>
      <c r="O1194" s="39">
        <f>IF($B1194="","",IF(COUNTIFS(NOVEDADES!$C$4:$C$2003,$B1194)=0,"—","SÍ ("&amp;COUNTIFS(NOVEDADES!$C$4:$C$2003,$B1194)&amp;")"))</f>
        <v/>
      </c>
    </row>
    <row r="1195">
      <c r="A1195" s="41" t="n"/>
      <c r="B1195" s="41" t="n"/>
      <c r="C1195" s="41" t="n"/>
      <c r="D1195" s="41" t="n"/>
      <c r="E1195" s="46" t="n"/>
      <c r="F1195" s="41" t="n"/>
      <c r="G1195" s="41" t="n"/>
      <c r="H1195" s="41" t="n"/>
      <c r="I1195" s="41" t="n"/>
      <c r="J1195" s="47" t="n"/>
      <c r="K1195" s="41" t="n"/>
      <c r="L1195" s="48" t="n"/>
      <c r="M1195" s="45" t="n"/>
      <c r="N1195" s="39">
        <f>IF($B1195="","",IF(SUMPRODUCT((LISTAS!$O$3:$O$42&lt;&gt;"")*ISNUMBER(SEARCH(LISTAS!$O$3:$O$42,$I1195&amp;" "&amp;$K1195)))&gt;0,"CERCANA","NACIONAL"))</f>
        <v/>
      </c>
      <c r="O1195" s="39">
        <f>IF($B1195="","",IF(COUNTIFS(NOVEDADES!$C$4:$C$2003,$B1195)=0,"—","SÍ ("&amp;COUNTIFS(NOVEDADES!$C$4:$C$2003,$B1195)&amp;")"))</f>
        <v/>
      </c>
    </row>
    <row r="1196">
      <c r="A1196" s="41" t="n"/>
      <c r="B1196" s="41" t="n"/>
      <c r="C1196" s="41" t="n"/>
      <c r="D1196" s="41" t="n"/>
      <c r="E1196" s="46" t="n"/>
      <c r="F1196" s="41" t="n"/>
      <c r="G1196" s="41" t="n"/>
      <c r="H1196" s="41" t="n"/>
      <c r="I1196" s="41" t="n"/>
      <c r="J1196" s="47" t="n"/>
      <c r="K1196" s="41" t="n"/>
      <c r="L1196" s="48" t="n"/>
      <c r="M1196" s="45" t="n"/>
      <c r="N1196" s="39">
        <f>IF($B1196="","",IF(SUMPRODUCT((LISTAS!$O$3:$O$42&lt;&gt;"")*ISNUMBER(SEARCH(LISTAS!$O$3:$O$42,$I1196&amp;" "&amp;$K1196)))&gt;0,"CERCANA","NACIONAL"))</f>
        <v/>
      </c>
      <c r="O1196" s="39">
        <f>IF($B1196="","",IF(COUNTIFS(NOVEDADES!$C$4:$C$2003,$B1196)=0,"—","SÍ ("&amp;COUNTIFS(NOVEDADES!$C$4:$C$2003,$B1196)&amp;")"))</f>
        <v/>
      </c>
    </row>
    <row r="1197">
      <c r="A1197" s="41" t="n"/>
      <c r="B1197" s="41" t="n"/>
      <c r="C1197" s="41" t="n"/>
      <c r="D1197" s="41" t="n"/>
      <c r="E1197" s="46" t="n"/>
      <c r="F1197" s="41" t="n"/>
      <c r="G1197" s="41" t="n"/>
      <c r="H1197" s="41" t="n"/>
      <c r="I1197" s="41" t="n"/>
      <c r="J1197" s="47" t="n"/>
      <c r="K1197" s="41" t="n"/>
      <c r="L1197" s="48" t="n"/>
      <c r="M1197" s="45" t="n"/>
      <c r="N1197" s="39">
        <f>IF($B1197="","",IF(SUMPRODUCT((LISTAS!$O$3:$O$42&lt;&gt;"")*ISNUMBER(SEARCH(LISTAS!$O$3:$O$42,$I1197&amp;" "&amp;$K1197)))&gt;0,"CERCANA","NACIONAL"))</f>
        <v/>
      </c>
      <c r="O1197" s="39">
        <f>IF($B1197="","",IF(COUNTIFS(NOVEDADES!$C$4:$C$2003,$B1197)=0,"—","SÍ ("&amp;COUNTIFS(NOVEDADES!$C$4:$C$2003,$B1197)&amp;")"))</f>
        <v/>
      </c>
    </row>
    <row r="1198">
      <c r="A1198" s="41" t="n"/>
      <c r="B1198" s="41" t="n"/>
      <c r="C1198" s="41" t="n"/>
      <c r="D1198" s="41" t="n"/>
      <c r="E1198" s="46" t="n"/>
      <c r="F1198" s="41" t="n"/>
      <c r="G1198" s="41" t="n"/>
      <c r="H1198" s="41" t="n"/>
      <c r="I1198" s="41" t="n"/>
      <c r="J1198" s="47" t="n"/>
      <c r="K1198" s="41" t="n"/>
      <c r="L1198" s="48" t="n"/>
      <c r="M1198" s="45" t="n"/>
      <c r="N1198" s="39">
        <f>IF($B1198="","",IF(SUMPRODUCT((LISTAS!$O$3:$O$42&lt;&gt;"")*ISNUMBER(SEARCH(LISTAS!$O$3:$O$42,$I1198&amp;" "&amp;$K1198)))&gt;0,"CERCANA","NACIONAL"))</f>
        <v/>
      </c>
      <c r="O1198" s="39">
        <f>IF($B1198="","",IF(COUNTIFS(NOVEDADES!$C$4:$C$2003,$B1198)=0,"—","SÍ ("&amp;COUNTIFS(NOVEDADES!$C$4:$C$2003,$B1198)&amp;")"))</f>
        <v/>
      </c>
    </row>
    <row r="1199">
      <c r="A1199" s="41" t="n"/>
      <c r="B1199" s="41" t="n"/>
      <c r="C1199" s="41" t="n"/>
      <c r="D1199" s="41" t="n"/>
      <c r="E1199" s="46" t="n"/>
      <c r="F1199" s="41" t="n"/>
      <c r="G1199" s="41" t="n"/>
      <c r="H1199" s="41" t="n"/>
      <c r="I1199" s="41" t="n"/>
      <c r="J1199" s="47" t="n"/>
      <c r="K1199" s="41" t="n"/>
      <c r="L1199" s="48" t="n"/>
      <c r="M1199" s="45" t="n"/>
      <c r="N1199" s="39">
        <f>IF($B1199="","",IF(SUMPRODUCT((LISTAS!$O$3:$O$42&lt;&gt;"")*ISNUMBER(SEARCH(LISTAS!$O$3:$O$42,$I1199&amp;" "&amp;$K1199)))&gt;0,"CERCANA","NACIONAL"))</f>
        <v/>
      </c>
      <c r="O1199" s="39">
        <f>IF($B1199="","",IF(COUNTIFS(NOVEDADES!$C$4:$C$2003,$B1199)=0,"—","SÍ ("&amp;COUNTIFS(NOVEDADES!$C$4:$C$2003,$B1199)&amp;")"))</f>
        <v/>
      </c>
    </row>
    <row r="1200">
      <c r="A1200" s="41" t="n"/>
      <c r="B1200" s="41" t="n"/>
      <c r="C1200" s="41" t="n"/>
      <c r="D1200" s="41" t="n"/>
      <c r="E1200" s="46" t="n"/>
      <c r="F1200" s="41" t="n"/>
      <c r="G1200" s="41" t="n"/>
      <c r="H1200" s="41" t="n"/>
      <c r="I1200" s="41" t="n"/>
      <c r="J1200" s="47" t="n"/>
      <c r="K1200" s="41" t="n"/>
      <c r="L1200" s="48" t="n"/>
      <c r="M1200" s="45" t="n"/>
      <c r="N1200" s="39">
        <f>IF($B1200="","",IF(SUMPRODUCT((LISTAS!$O$3:$O$42&lt;&gt;"")*ISNUMBER(SEARCH(LISTAS!$O$3:$O$42,$I1200&amp;" "&amp;$K1200)))&gt;0,"CERCANA","NACIONAL"))</f>
        <v/>
      </c>
      <c r="O1200" s="39">
        <f>IF($B1200="","",IF(COUNTIFS(NOVEDADES!$C$4:$C$2003,$B1200)=0,"—","SÍ ("&amp;COUNTIFS(NOVEDADES!$C$4:$C$2003,$B1200)&amp;")"))</f>
        <v/>
      </c>
    </row>
    <row r="1201">
      <c r="A1201" s="41" t="n"/>
      <c r="B1201" s="41" t="n"/>
      <c r="C1201" s="41" t="n"/>
      <c r="D1201" s="41" t="n"/>
      <c r="E1201" s="46" t="n"/>
      <c r="F1201" s="41" t="n"/>
      <c r="G1201" s="41" t="n"/>
      <c r="H1201" s="41" t="n"/>
      <c r="I1201" s="41" t="n"/>
      <c r="J1201" s="47" t="n"/>
      <c r="K1201" s="41" t="n"/>
      <c r="L1201" s="48" t="n"/>
      <c r="M1201" s="45" t="n"/>
      <c r="N1201" s="39">
        <f>IF($B1201="","",IF(SUMPRODUCT((LISTAS!$O$3:$O$42&lt;&gt;"")*ISNUMBER(SEARCH(LISTAS!$O$3:$O$42,$I1201&amp;" "&amp;$K1201)))&gt;0,"CERCANA","NACIONAL"))</f>
        <v/>
      </c>
      <c r="O1201" s="39">
        <f>IF($B1201="","",IF(COUNTIFS(NOVEDADES!$C$4:$C$2003,$B1201)=0,"—","SÍ ("&amp;COUNTIFS(NOVEDADES!$C$4:$C$2003,$B1201)&amp;")"))</f>
        <v/>
      </c>
    </row>
    <row r="1202">
      <c r="A1202" s="41" t="n"/>
      <c r="B1202" s="41" t="n"/>
      <c r="C1202" s="41" t="n"/>
      <c r="D1202" s="41" t="n"/>
      <c r="E1202" s="46" t="n"/>
      <c r="F1202" s="41" t="n"/>
      <c r="G1202" s="41" t="n"/>
      <c r="H1202" s="41" t="n"/>
      <c r="I1202" s="41" t="n"/>
      <c r="J1202" s="47" t="n"/>
      <c r="K1202" s="41" t="n"/>
      <c r="L1202" s="48" t="n"/>
      <c r="M1202" s="45" t="n"/>
      <c r="N1202" s="39">
        <f>IF($B1202="","",IF(SUMPRODUCT((LISTAS!$O$3:$O$42&lt;&gt;"")*ISNUMBER(SEARCH(LISTAS!$O$3:$O$42,$I1202&amp;" "&amp;$K1202)))&gt;0,"CERCANA","NACIONAL"))</f>
        <v/>
      </c>
      <c r="O1202" s="39">
        <f>IF($B1202="","",IF(COUNTIFS(NOVEDADES!$C$4:$C$2003,$B1202)=0,"—","SÍ ("&amp;COUNTIFS(NOVEDADES!$C$4:$C$2003,$B1202)&amp;")"))</f>
        <v/>
      </c>
    </row>
    <row r="1203">
      <c r="A1203" s="41" t="n"/>
      <c r="B1203" s="41" t="n"/>
      <c r="C1203" s="41" t="n"/>
      <c r="D1203" s="41" t="n"/>
      <c r="E1203" s="46" t="n"/>
      <c r="F1203" s="41" t="n"/>
      <c r="G1203" s="41" t="n"/>
      <c r="H1203" s="41" t="n"/>
      <c r="I1203" s="41" t="n"/>
      <c r="J1203" s="47" t="n"/>
      <c r="K1203" s="41" t="n"/>
      <c r="L1203" s="48" t="n"/>
      <c r="M1203" s="45" t="n"/>
      <c r="N1203" s="39">
        <f>IF($B1203="","",IF(SUMPRODUCT((LISTAS!$O$3:$O$42&lt;&gt;"")*ISNUMBER(SEARCH(LISTAS!$O$3:$O$42,$I1203&amp;" "&amp;$K1203)))&gt;0,"CERCANA","NACIONAL"))</f>
        <v/>
      </c>
      <c r="O1203" s="39">
        <f>IF($B1203="","",IF(COUNTIFS(NOVEDADES!$C$4:$C$2003,$B1203)=0,"—","SÍ ("&amp;COUNTIFS(NOVEDADES!$C$4:$C$2003,$B1203)&amp;")"))</f>
        <v/>
      </c>
    </row>
    <row r="1204">
      <c r="A1204" s="41" t="n"/>
      <c r="B1204" s="41" t="n"/>
      <c r="C1204" s="41" t="n"/>
      <c r="D1204" s="41" t="n"/>
      <c r="E1204" s="46" t="n"/>
      <c r="F1204" s="41" t="n"/>
      <c r="G1204" s="41" t="n"/>
      <c r="H1204" s="41" t="n"/>
      <c r="I1204" s="41" t="n"/>
      <c r="J1204" s="47" t="n"/>
      <c r="K1204" s="41" t="n"/>
      <c r="L1204" s="48" t="n"/>
      <c r="M1204" s="45" t="n"/>
      <c r="N1204" s="39">
        <f>IF($B1204="","",IF(SUMPRODUCT((LISTAS!$O$3:$O$42&lt;&gt;"")*ISNUMBER(SEARCH(LISTAS!$O$3:$O$42,$I1204&amp;" "&amp;$K1204)))&gt;0,"CERCANA","NACIONAL"))</f>
        <v/>
      </c>
      <c r="O1204" s="39">
        <f>IF($B1204="","",IF(COUNTIFS(NOVEDADES!$C$4:$C$2003,$B1204)=0,"—","SÍ ("&amp;COUNTIFS(NOVEDADES!$C$4:$C$2003,$B1204)&amp;")"))</f>
        <v/>
      </c>
    </row>
    <row r="1205">
      <c r="A1205" s="41" t="n"/>
      <c r="B1205" s="41" t="n"/>
      <c r="C1205" s="41" t="n"/>
      <c r="D1205" s="41" t="n"/>
      <c r="E1205" s="46" t="n"/>
      <c r="F1205" s="41" t="n"/>
      <c r="G1205" s="41" t="n"/>
      <c r="H1205" s="41" t="n"/>
      <c r="I1205" s="41" t="n"/>
      <c r="J1205" s="47" t="n"/>
      <c r="K1205" s="41" t="n"/>
      <c r="L1205" s="48" t="n"/>
      <c r="M1205" s="45" t="n"/>
      <c r="N1205" s="39">
        <f>IF($B1205="","",IF(SUMPRODUCT((LISTAS!$O$3:$O$42&lt;&gt;"")*ISNUMBER(SEARCH(LISTAS!$O$3:$O$42,$I1205&amp;" "&amp;$K1205)))&gt;0,"CERCANA","NACIONAL"))</f>
        <v/>
      </c>
      <c r="O1205" s="39">
        <f>IF($B1205="","",IF(COUNTIFS(NOVEDADES!$C$4:$C$2003,$B1205)=0,"—","SÍ ("&amp;COUNTIFS(NOVEDADES!$C$4:$C$2003,$B1205)&amp;")"))</f>
        <v/>
      </c>
    </row>
    <row r="1206">
      <c r="A1206" s="41" t="n"/>
      <c r="B1206" s="41" t="n"/>
      <c r="C1206" s="41" t="n"/>
      <c r="D1206" s="41" t="n"/>
      <c r="E1206" s="46" t="n"/>
      <c r="F1206" s="41" t="n"/>
      <c r="G1206" s="41" t="n"/>
      <c r="H1206" s="41" t="n"/>
      <c r="I1206" s="41" t="n"/>
      <c r="J1206" s="47" t="n"/>
      <c r="K1206" s="41" t="n"/>
      <c r="L1206" s="48" t="n"/>
      <c r="M1206" s="45" t="n"/>
      <c r="N1206" s="39">
        <f>IF($B1206="","",IF(SUMPRODUCT((LISTAS!$O$3:$O$42&lt;&gt;"")*ISNUMBER(SEARCH(LISTAS!$O$3:$O$42,$I1206&amp;" "&amp;$K1206)))&gt;0,"CERCANA","NACIONAL"))</f>
        <v/>
      </c>
      <c r="O1206" s="39">
        <f>IF($B1206="","",IF(COUNTIFS(NOVEDADES!$C$4:$C$2003,$B1206)=0,"—","SÍ ("&amp;COUNTIFS(NOVEDADES!$C$4:$C$2003,$B1206)&amp;")"))</f>
        <v/>
      </c>
    </row>
    <row r="1207">
      <c r="A1207" s="41" t="n"/>
      <c r="B1207" s="41" t="n"/>
      <c r="C1207" s="41" t="n"/>
      <c r="D1207" s="41" t="n"/>
      <c r="E1207" s="46" t="n"/>
      <c r="F1207" s="41" t="n"/>
      <c r="G1207" s="41" t="n"/>
      <c r="H1207" s="41" t="n"/>
      <c r="I1207" s="41" t="n"/>
      <c r="J1207" s="47" t="n"/>
      <c r="K1207" s="41" t="n"/>
      <c r="L1207" s="48" t="n"/>
      <c r="M1207" s="45" t="n"/>
      <c r="N1207" s="39">
        <f>IF($B1207="","",IF(SUMPRODUCT((LISTAS!$O$3:$O$42&lt;&gt;"")*ISNUMBER(SEARCH(LISTAS!$O$3:$O$42,$I1207&amp;" "&amp;$K1207)))&gt;0,"CERCANA","NACIONAL"))</f>
        <v/>
      </c>
      <c r="O1207" s="39">
        <f>IF($B1207="","",IF(COUNTIFS(NOVEDADES!$C$4:$C$2003,$B1207)=0,"—","SÍ ("&amp;COUNTIFS(NOVEDADES!$C$4:$C$2003,$B1207)&amp;")"))</f>
        <v/>
      </c>
    </row>
    <row r="1208">
      <c r="A1208" s="41" t="n"/>
      <c r="B1208" s="41" t="n"/>
      <c r="C1208" s="41" t="n"/>
      <c r="D1208" s="41" t="n"/>
      <c r="E1208" s="46" t="n"/>
      <c r="F1208" s="41" t="n"/>
      <c r="G1208" s="41" t="n"/>
      <c r="H1208" s="41" t="n"/>
      <c r="I1208" s="41" t="n"/>
      <c r="J1208" s="47" t="n"/>
      <c r="K1208" s="41" t="n"/>
      <c r="L1208" s="48" t="n"/>
      <c r="M1208" s="45" t="n"/>
      <c r="N1208" s="39">
        <f>IF($B1208="","",IF(SUMPRODUCT((LISTAS!$O$3:$O$42&lt;&gt;"")*ISNUMBER(SEARCH(LISTAS!$O$3:$O$42,$I1208&amp;" "&amp;$K1208)))&gt;0,"CERCANA","NACIONAL"))</f>
        <v/>
      </c>
      <c r="O1208" s="39">
        <f>IF($B1208="","",IF(COUNTIFS(NOVEDADES!$C$4:$C$2003,$B1208)=0,"—","SÍ ("&amp;COUNTIFS(NOVEDADES!$C$4:$C$2003,$B1208)&amp;")"))</f>
        <v/>
      </c>
    </row>
    <row r="1209">
      <c r="A1209" s="41" t="n"/>
      <c r="B1209" s="41" t="n"/>
      <c r="C1209" s="41" t="n"/>
      <c r="D1209" s="41" t="n"/>
      <c r="E1209" s="46" t="n"/>
      <c r="F1209" s="41" t="n"/>
      <c r="G1209" s="41" t="n"/>
      <c r="H1209" s="41" t="n"/>
      <c r="I1209" s="41" t="n"/>
      <c r="J1209" s="47" t="n"/>
      <c r="K1209" s="41" t="n"/>
      <c r="L1209" s="48" t="n"/>
      <c r="M1209" s="45" t="n"/>
      <c r="N1209" s="39">
        <f>IF($B1209="","",IF(SUMPRODUCT((LISTAS!$O$3:$O$42&lt;&gt;"")*ISNUMBER(SEARCH(LISTAS!$O$3:$O$42,$I1209&amp;" "&amp;$K1209)))&gt;0,"CERCANA","NACIONAL"))</f>
        <v/>
      </c>
      <c r="O1209" s="39">
        <f>IF($B1209="","",IF(COUNTIFS(NOVEDADES!$C$4:$C$2003,$B1209)=0,"—","SÍ ("&amp;COUNTIFS(NOVEDADES!$C$4:$C$2003,$B1209)&amp;")"))</f>
        <v/>
      </c>
    </row>
    <row r="1210">
      <c r="A1210" s="41" t="n"/>
      <c r="B1210" s="41" t="n"/>
      <c r="C1210" s="41" t="n"/>
      <c r="D1210" s="41" t="n"/>
      <c r="E1210" s="46" t="n"/>
      <c r="F1210" s="41" t="n"/>
      <c r="G1210" s="41" t="n"/>
      <c r="H1210" s="41" t="n"/>
      <c r="I1210" s="41" t="n"/>
      <c r="J1210" s="47" t="n"/>
      <c r="K1210" s="41" t="n"/>
      <c r="L1210" s="48" t="n"/>
      <c r="M1210" s="45" t="n"/>
      <c r="N1210" s="39">
        <f>IF($B1210="","",IF(SUMPRODUCT((LISTAS!$O$3:$O$42&lt;&gt;"")*ISNUMBER(SEARCH(LISTAS!$O$3:$O$42,$I1210&amp;" "&amp;$K1210)))&gt;0,"CERCANA","NACIONAL"))</f>
        <v/>
      </c>
      <c r="O1210" s="39">
        <f>IF($B1210="","",IF(COUNTIFS(NOVEDADES!$C$4:$C$2003,$B1210)=0,"—","SÍ ("&amp;COUNTIFS(NOVEDADES!$C$4:$C$2003,$B1210)&amp;")"))</f>
        <v/>
      </c>
    </row>
    <row r="1211">
      <c r="A1211" s="41" t="n"/>
      <c r="B1211" s="41" t="n"/>
      <c r="C1211" s="41" t="n"/>
      <c r="D1211" s="41" t="n"/>
      <c r="E1211" s="46" t="n"/>
      <c r="F1211" s="41" t="n"/>
      <c r="G1211" s="41" t="n"/>
      <c r="H1211" s="41" t="n"/>
      <c r="I1211" s="41" t="n"/>
      <c r="J1211" s="47" t="n"/>
      <c r="K1211" s="41" t="n"/>
      <c r="L1211" s="48" t="n"/>
      <c r="M1211" s="45" t="n"/>
      <c r="N1211" s="39">
        <f>IF($B1211="","",IF(SUMPRODUCT((LISTAS!$O$3:$O$42&lt;&gt;"")*ISNUMBER(SEARCH(LISTAS!$O$3:$O$42,$I1211&amp;" "&amp;$K1211)))&gt;0,"CERCANA","NACIONAL"))</f>
        <v/>
      </c>
      <c r="O1211" s="39">
        <f>IF($B1211="","",IF(COUNTIFS(NOVEDADES!$C$4:$C$2003,$B1211)=0,"—","SÍ ("&amp;COUNTIFS(NOVEDADES!$C$4:$C$2003,$B1211)&amp;")"))</f>
        <v/>
      </c>
    </row>
    <row r="1212">
      <c r="A1212" s="41" t="n"/>
      <c r="B1212" s="41" t="n"/>
      <c r="C1212" s="41" t="n"/>
      <c r="D1212" s="41" t="n"/>
      <c r="E1212" s="46" t="n"/>
      <c r="F1212" s="41" t="n"/>
      <c r="G1212" s="41" t="n"/>
      <c r="H1212" s="41" t="n"/>
      <c r="I1212" s="41" t="n"/>
      <c r="J1212" s="47" t="n"/>
      <c r="K1212" s="41" t="n"/>
      <c r="L1212" s="48" t="n"/>
      <c r="M1212" s="45" t="n"/>
      <c r="N1212" s="39">
        <f>IF($B1212="","",IF(SUMPRODUCT((LISTAS!$O$3:$O$42&lt;&gt;"")*ISNUMBER(SEARCH(LISTAS!$O$3:$O$42,$I1212&amp;" "&amp;$K1212)))&gt;0,"CERCANA","NACIONAL"))</f>
        <v/>
      </c>
      <c r="O1212" s="39">
        <f>IF($B1212="","",IF(COUNTIFS(NOVEDADES!$C$4:$C$2003,$B1212)=0,"—","SÍ ("&amp;COUNTIFS(NOVEDADES!$C$4:$C$2003,$B1212)&amp;")"))</f>
        <v/>
      </c>
    </row>
    <row r="1213">
      <c r="A1213" s="41" t="n"/>
      <c r="B1213" s="41" t="n"/>
      <c r="C1213" s="41" t="n"/>
      <c r="D1213" s="41" t="n"/>
      <c r="E1213" s="46" t="n"/>
      <c r="F1213" s="41" t="n"/>
      <c r="G1213" s="41" t="n"/>
      <c r="H1213" s="41" t="n"/>
      <c r="I1213" s="41" t="n"/>
      <c r="J1213" s="47" t="n"/>
      <c r="K1213" s="41" t="n"/>
      <c r="L1213" s="48" t="n"/>
      <c r="M1213" s="45" t="n"/>
      <c r="N1213" s="39">
        <f>IF($B1213="","",IF(SUMPRODUCT((LISTAS!$O$3:$O$42&lt;&gt;"")*ISNUMBER(SEARCH(LISTAS!$O$3:$O$42,$I1213&amp;" "&amp;$K1213)))&gt;0,"CERCANA","NACIONAL"))</f>
        <v/>
      </c>
      <c r="O1213" s="39">
        <f>IF($B1213="","",IF(COUNTIFS(NOVEDADES!$C$4:$C$2003,$B1213)=0,"—","SÍ ("&amp;COUNTIFS(NOVEDADES!$C$4:$C$2003,$B1213)&amp;")"))</f>
        <v/>
      </c>
    </row>
    <row r="1214">
      <c r="A1214" s="41" t="n"/>
      <c r="B1214" s="41" t="n"/>
      <c r="C1214" s="41" t="n"/>
      <c r="D1214" s="41" t="n"/>
      <c r="E1214" s="46" t="n"/>
      <c r="F1214" s="41" t="n"/>
      <c r="G1214" s="41" t="n"/>
      <c r="H1214" s="41" t="n"/>
      <c r="I1214" s="41" t="n"/>
      <c r="J1214" s="47" t="n"/>
      <c r="K1214" s="41" t="n"/>
      <c r="L1214" s="48" t="n"/>
      <c r="M1214" s="45" t="n"/>
      <c r="N1214" s="39">
        <f>IF($B1214="","",IF(SUMPRODUCT((LISTAS!$O$3:$O$42&lt;&gt;"")*ISNUMBER(SEARCH(LISTAS!$O$3:$O$42,$I1214&amp;" "&amp;$K1214)))&gt;0,"CERCANA","NACIONAL"))</f>
        <v/>
      </c>
      <c r="O1214" s="39">
        <f>IF($B1214="","",IF(COUNTIFS(NOVEDADES!$C$4:$C$2003,$B1214)=0,"—","SÍ ("&amp;COUNTIFS(NOVEDADES!$C$4:$C$2003,$B1214)&amp;")"))</f>
        <v/>
      </c>
    </row>
    <row r="1215">
      <c r="A1215" s="41" t="n"/>
      <c r="B1215" s="41" t="n"/>
      <c r="C1215" s="41" t="n"/>
      <c r="D1215" s="41" t="n"/>
      <c r="E1215" s="46" t="n"/>
      <c r="F1215" s="41" t="n"/>
      <c r="G1215" s="41" t="n"/>
      <c r="H1215" s="41" t="n"/>
      <c r="I1215" s="41" t="n"/>
      <c r="J1215" s="47" t="n"/>
      <c r="K1215" s="41" t="n"/>
      <c r="L1215" s="48" t="n"/>
      <c r="M1215" s="45" t="n"/>
      <c r="N1215" s="39">
        <f>IF($B1215="","",IF(SUMPRODUCT((LISTAS!$O$3:$O$42&lt;&gt;"")*ISNUMBER(SEARCH(LISTAS!$O$3:$O$42,$I1215&amp;" "&amp;$K1215)))&gt;0,"CERCANA","NACIONAL"))</f>
        <v/>
      </c>
      <c r="O1215" s="39">
        <f>IF($B1215="","",IF(COUNTIFS(NOVEDADES!$C$4:$C$2003,$B1215)=0,"—","SÍ ("&amp;COUNTIFS(NOVEDADES!$C$4:$C$2003,$B1215)&amp;")"))</f>
        <v/>
      </c>
    </row>
    <row r="1216">
      <c r="A1216" s="41" t="n"/>
      <c r="B1216" s="41" t="n"/>
      <c r="C1216" s="41" t="n"/>
      <c r="D1216" s="41" t="n"/>
      <c r="E1216" s="46" t="n"/>
      <c r="F1216" s="41" t="n"/>
      <c r="G1216" s="41" t="n"/>
      <c r="H1216" s="41" t="n"/>
      <c r="I1216" s="41" t="n"/>
      <c r="J1216" s="47" t="n"/>
      <c r="K1216" s="41" t="n"/>
      <c r="L1216" s="48" t="n"/>
      <c r="M1216" s="45" t="n"/>
      <c r="N1216" s="39">
        <f>IF($B1216="","",IF(SUMPRODUCT((LISTAS!$O$3:$O$42&lt;&gt;"")*ISNUMBER(SEARCH(LISTAS!$O$3:$O$42,$I1216&amp;" "&amp;$K1216)))&gt;0,"CERCANA","NACIONAL"))</f>
        <v/>
      </c>
      <c r="O1216" s="39">
        <f>IF($B1216="","",IF(COUNTIFS(NOVEDADES!$C$4:$C$2003,$B1216)=0,"—","SÍ ("&amp;COUNTIFS(NOVEDADES!$C$4:$C$2003,$B1216)&amp;")"))</f>
        <v/>
      </c>
    </row>
    <row r="1217">
      <c r="A1217" s="41" t="n"/>
      <c r="B1217" s="41" t="n"/>
      <c r="C1217" s="41" t="n"/>
      <c r="D1217" s="41" t="n"/>
      <c r="E1217" s="46" t="n"/>
      <c r="F1217" s="41" t="n"/>
      <c r="G1217" s="41" t="n"/>
      <c r="H1217" s="41" t="n"/>
      <c r="I1217" s="41" t="n"/>
      <c r="J1217" s="47" t="n"/>
      <c r="K1217" s="41" t="n"/>
      <c r="L1217" s="48" t="n"/>
      <c r="M1217" s="45" t="n"/>
      <c r="N1217" s="39">
        <f>IF($B1217="","",IF(SUMPRODUCT((LISTAS!$O$3:$O$42&lt;&gt;"")*ISNUMBER(SEARCH(LISTAS!$O$3:$O$42,$I1217&amp;" "&amp;$K1217)))&gt;0,"CERCANA","NACIONAL"))</f>
        <v/>
      </c>
      <c r="O1217" s="39">
        <f>IF($B1217="","",IF(COUNTIFS(NOVEDADES!$C$4:$C$2003,$B1217)=0,"—","SÍ ("&amp;COUNTIFS(NOVEDADES!$C$4:$C$2003,$B1217)&amp;")"))</f>
        <v/>
      </c>
    </row>
    <row r="1218">
      <c r="A1218" s="41" t="n"/>
      <c r="B1218" s="41" t="n"/>
      <c r="C1218" s="41" t="n"/>
      <c r="D1218" s="41" t="n"/>
      <c r="E1218" s="46" t="n"/>
      <c r="F1218" s="41" t="n"/>
      <c r="G1218" s="41" t="n"/>
      <c r="H1218" s="41" t="n"/>
      <c r="I1218" s="41" t="n"/>
      <c r="J1218" s="47" t="n"/>
      <c r="K1218" s="41" t="n"/>
      <c r="L1218" s="48" t="n"/>
      <c r="M1218" s="45" t="n"/>
      <c r="N1218" s="39">
        <f>IF($B1218="","",IF(SUMPRODUCT((LISTAS!$O$3:$O$42&lt;&gt;"")*ISNUMBER(SEARCH(LISTAS!$O$3:$O$42,$I1218&amp;" "&amp;$K1218)))&gt;0,"CERCANA","NACIONAL"))</f>
        <v/>
      </c>
      <c r="O1218" s="39">
        <f>IF($B1218="","",IF(COUNTIFS(NOVEDADES!$C$4:$C$2003,$B1218)=0,"—","SÍ ("&amp;COUNTIFS(NOVEDADES!$C$4:$C$2003,$B1218)&amp;")"))</f>
        <v/>
      </c>
    </row>
    <row r="1219">
      <c r="A1219" s="41" t="n"/>
      <c r="B1219" s="41" t="n"/>
      <c r="C1219" s="41" t="n"/>
      <c r="D1219" s="41" t="n"/>
      <c r="E1219" s="46" t="n"/>
      <c r="F1219" s="41" t="n"/>
      <c r="G1219" s="41" t="n"/>
      <c r="H1219" s="41" t="n"/>
      <c r="I1219" s="41" t="n"/>
      <c r="J1219" s="47" t="n"/>
      <c r="K1219" s="41" t="n"/>
      <c r="L1219" s="48" t="n"/>
      <c r="M1219" s="45" t="n"/>
      <c r="N1219" s="39">
        <f>IF($B1219="","",IF(SUMPRODUCT((LISTAS!$O$3:$O$42&lt;&gt;"")*ISNUMBER(SEARCH(LISTAS!$O$3:$O$42,$I1219&amp;" "&amp;$K1219)))&gt;0,"CERCANA","NACIONAL"))</f>
        <v/>
      </c>
      <c r="O1219" s="39">
        <f>IF($B1219="","",IF(COUNTIFS(NOVEDADES!$C$4:$C$2003,$B1219)=0,"—","SÍ ("&amp;COUNTIFS(NOVEDADES!$C$4:$C$2003,$B1219)&amp;")"))</f>
        <v/>
      </c>
    </row>
    <row r="1220">
      <c r="A1220" s="41" t="n"/>
      <c r="B1220" s="41" t="n"/>
      <c r="C1220" s="41" t="n"/>
      <c r="D1220" s="41" t="n"/>
      <c r="E1220" s="46" t="n"/>
      <c r="F1220" s="41" t="n"/>
      <c r="G1220" s="41" t="n"/>
      <c r="H1220" s="41" t="n"/>
      <c r="I1220" s="41" t="n"/>
      <c r="J1220" s="47" t="n"/>
      <c r="K1220" s="41" t="n"/>
      <c r="L1220" s="48" t="n"/>
      <c r="M1220" s="45" t="n"/>
      <c r="N1220" s="39">
        <f>IF($B1220="","",IF(SUMPRODUCT((LISTAS!$O$3:$O$42&lt;&gt;"")*ISNUMBER(SEARCH(LISTAS!$O$3:$O$42,$I1220&amp;" "&amp;$K1220)))&gt;0,"CERCANA","NACIONAL"))</f>
        <v/>
      </c>
      <c r="O1220" s="39">
        <f>IF($B1220="","",IF(COUNTIFS(NOVEDADES!$C$4:$C$2003,$B1220)=0,"—","SÍ ("&amp;COUNTIFS(NOVEDADES!$C$4:$C$2003,$B1220)&amp;")"))</f>
        <v/>
      </c>
    </row>
    <row r="1221">
      <c r="A1221" s="41" t="n"/>
      <c r="B1221" s="41" t="n"/>
      <c r="C1221" s="41" t="n"/>
      <c r="D1221" s="41" t="n"/>
      <c r="E1221" s="46" t="n"/>
      <c r="F1221" s="41" t="n"/>
      <c r="G1221" s="41" t="n"/>
      <c r="H1221" s="41" t="n"/>
      <c r="I1221" s="41" t="n"/>
      <c r="J1221" s="47" t="n"/>
      <c r="K1221" s="41" t="n"/>
      <c r="L1221" s="48" t="n"/>
      <c r="M1221" s="45" t="n"/>
      <c r="N1221" s="39">
        <f>IF($B1221="","",IF(SUMPRODUCT((LISTAS!$O$3:$O$42&lt;&gt;"")*ISNUMBER(SEARCH(LISTAS!$O$3:$O$42,$I1221&amp;" "&amp;$K1221)))&gt;0,"CERCANA","NACIONAL"))</f>
        <v/>
      </c>
      <c r="O1221" s="39">
        <f>IF($B1221="","",IF(COUNTIFS(NOVEDADES!$C$4:$C$2003,$B1221)=0,"—","SÍ ("&amp;COUNTIFS(NOVEDADES!$C$4:$C$2003,$B1221)&amp;")"))</f>
        <v/>
      </c>
    </row>
    <row r="1222">
      <c r="A1222" s="41" t="n"/>
      <c r="B1222" s="41" t="n"/>
      <c r="C1222" s="41" t="n"/>
      <c r="D1222" s="41" t="n"/>
      <c r="E1222" s="46" t="n"/>
      <c r="F1222" s="41" t="n"/>
      <c r="G1222" s="41" t="n"/>
      <c r="H1222" s="41" t="n"/>
      <c r="I1222" s="41" t="n"/>
      <c r="J1222" s="47" t="n"/>
      <c r="K1222" s="41" t="n"/>
      <c r="L1222" s="48" t="n"/>
      <c r="M1222" s="45" t="n"/>
      <c r="N1222" s="39">
        <f>IF($B1222="","",IF(SUMPRODUCT((LISTAS!$O$3:$O$42&lt;&gt;"")*ISNUMBER(SEARCH(LISTAS!$O$3:$O$42,$I1222&amp;" "&amp;$K1222)))&gt;0,"CERCANA","NACIONAL"))</f>
        <v/>
      </c>
      <c r="O1222" s="39">
        <f>IF($B1222="","",IF(COUNTIFS(NOVEDADES!$C$4:$C$2003,$B1222)=0,"—","SÍ ("&amp;COUNTIFS(NOVEDADES!$C$4:$C$2003,$B1222)&amp;")"))</f>
        <v/>
      </c>
    </row>
    <row r="1223">
      <c r="A1223" s="41" t="n"/>
      <c r="B1223" s="41" t="n"/>
      <c r="C1223" s="41" t="n"/>
      <c r="D1223" s="41" t="n"/>
      <c r="E1223" s="46" t="n"/>
      <c r="F1223" s="41" t="n"/>
      <c r="G1223" s="41" t="n"/>
      <c r="H1223" s="41" t="n"/>
      <c r="I1223" s="41" t="n"/>
      <c r="J1223" s="47" t="n"/>
      <c r="K1223" s="41" t="n"/>
      <c r="L1223" s="48" t="n"/>
      <c r="M1223" s="45" t="n"/>
      <c r="N1223" s="39">
        <f>IF($B1223="","",IF(SUMPRODUCT((LISTAS!$O$3:$O$42&lt;&gt;"")*ISNUMBER(SEARCH(LISTAS!$O$3:$O$42,$I1223&amp;" "&amp;$K1223)))&gt;0,"CERCANA","NACIONAL"))</f>
        <v/>
      </c>
      <c r="O1223" s="39">
        <f>IF($B1223="","",IF(COUNTIFS(NOVEDADES!$C$4:$C$2003,$B1223)=0,"—","SÍ ("&amp;COUNTIFS(NOVEDADES!$C$4:$C$2003,$B1223)&amp;")"))</f>
        <v/>
      </c>
    </row>
    <row r="1224">
      <c r="A1224" s="41" t="n"/>
      <c r="B1224" s="41" t="n"/>
      <c r="C1224" s="41" t="n"/>
      <c r="D1224" s="41" t="n"/>
      <c r="E1224" s="46" t="n"/>
      <c r="F1224" s="41" t="n"/>
      <c r="G1224" s="41" t="n"/>
      <c r="H1224" s="41" t="n"/>
      <c r="I1224" s="41" t="n"/>
      <c r="J1224" s="47" t="n"/>
      <c r="K1224" s="41" t="n"/>
      <c r="L1224" s="48" t="n"/>
      <c r="M1224" s="45" t="n"/>
      <c r="N1224" s="39">
        <f>IF($B1224="","",IF(SUMPRODUCT((LISTAS!$O$3:$O$42&lt;&gt;"")*ISNUMBER(SEARCH(LISTAS!$O$3:$O$42,$I1224&amp;" "&amp;$K1224)))&gt;0,"CERCANA","NACIONAL"))</f>
        <v/>
      </c>
      <c r="O1224" s="39">
        <f>IF($B1224="","",IF(COUNTIFS(NOVEDADES!$C$4:$C$2003,$B1224)=0,"—","SÍ ("&amp;COUNTIFS(NOVEDADES!$C$4:$C$2003,$B1224)&amp;")"))</f>
        <v/>
      </c>
    </row>
    <row r="1225">
      <c r="A1225" s="41" t="n"/>
      <c r="B1225" s="41" t="n"/>
      <c r="C1225" s="41" t="n"/>
      <c r="D1225" s="41" t="n"/>
      <c r="E1225" s="46" t="n"/>
      <c r="F1225" s="41" t="n"/>
      <c r="G1225" s="41" t="n"/>
      <c r="H1225" s="41" t="n"/>
      <c r="I1225" s="41" t="n"/>
      <c r="J1225" s="47" t="n"/>
      <c r="K1225" s="41" t="n"/>
      <c r="L1225" s="48" t="n"/>
      <c r="M1225" s="45" t="n"/>
      <c r="N1225" s="39">
        <f>IF($B1225="","",IF(SUMPRODUCT((LISTAS!$O$3:$O$42&lt;&gt;"")*ISNUMBER(SEARCH(LISTAS!$O$3:$O$42,$I1225&amp;" "&amp;$K1225)))&gt;0,"CERCANA","NACIONAL"))</f>
        <v/>
      </c>
      <c r="O1225" s="39">
        <f>IF($B1225="","",IF(COUNTIFS(NOVEDADES!$C$4:$C$2003,$B1225)=0,"—","SÍ ("&amp;COUNTIFS(NOVEDADES!$C$4:$C$2003,$B1225)&amp;")"))</f>
        <v/>
      </c>
    </row>
    <row r="1226">
      <c r="A1226" s="41" t="n"/>
      <c r="B1226" s="41" t="n"/>
      <c r="C1226" s="41" t="n"/>
      <c r="D1226" s="41" t="n"/>
      <c r="E1226" s="46" t="n"/>
      <c r="F1226" s="41" t="n"/>
      <c r="G1226" s="41" t="n"/>
      <c r="H1226" s="41" t="n"/>
      <c r="I1226" s="41" t="n"/>
      <c r="J1226" s="47" t="n"/>
      <c r="K1226" s="41" t="n"/>
      <c r="L1226" s="48" t="n"/>
      <c r="M1226" s="45" t="n"/>
      <c r="N1226" s="39">
        <f>IF($B1226="","",IF(SUMPRODUCT((LISTAS!$O$3:$O$42&lt;&gt;"")*ISNUMBER(SEARCH(LISTAS!$O$3:$O$42,$I1226&amp;" "&amp;$K1226)))&gt;0,"CERCANA","NACIONAL"))</f>
        <v/>
      </c>
      <c r="O1226" s="39">
        <f>IF($B1226="","",IF(COUNTIFS(NOVEDADES!$C$4:$C$2003,$B1226)=0,"—","SÍ ("&amp;COUNTIFS(NOVEDADES!$C$4:$C$2003,$B1226)&amp;")"))</f>
        <v/>
      </c>
    </row>
    <row r="1227">
      <c r="A1227" s="41" t="n"/>
      <c r="B1227" s="41" t="n"/>
      <c r="C1227" s="41" t="n"/>
      <c r="D1227" s="41" t="n"/>
      <c r="E1227" s="46" t="n"/>
      <c r="F1227" s="41" t="n"/>
      <c r="G1227" s="41" t="n"/>
      <c r="H1227" s="41" t="n"/>
      <c r="I1227" s="41" t="n"/>
      <c r="J1227" s="47" t="n"/>
      <c r="K1227" s="41" t="n"/>
      <c r="L1227" s="48" t="n"/>
      <c r="M1227" s="45" t="n"/>
      <c r="N1227" s="39">
        <f>IF($B1227="","",IF(SUMPRODUCT((LISTAS!$O$3:$O$42&lt;&gt;"")*ISNUMBER(SEARCH(LISTAS!$O$3:$O$42,$I1227&amp;" "&amp;$K1227)))&gt;0,"CERCANA","NACIONAL"))</f>
        <v/>
      </c>
      <c r="O1227" s="39">
        <f>IF($B1227="","",IF(COUNTIFS(NOVEDADES!$C$4:$C$2003,$B1227)=0,"—","SÍ ("&amp;COUNTIFS(NOVEDADES!$C$4:$C$2003,$B1227)&amp;")"))</f>
        <v/>
      </c>
    </row>
    <row r="1228">
      <c r="A1228" s="41" t="n"/>
      <c r="B1228" s="41" t="n"/>
      <c r="C1228" s="41" t="n"/>
      <c r="D1228" s="41" t="n"/>
      <c r="E1228" s="46" t="n"/>
      <c r="F1228" s="41" t="n"/>
      <c r="G1228" s="41" t="n"/>
      <c r="H1228" s="41" t="n"/>
      <c r="I1228" s="41" t="n"/>
      <c r="J1228" s="47" t="n"/>
      <c r="K1228" s="41" t="n"/>
      <c r="L1228" s="48" t="n"/>
      <c r="M1228" s="45" t="n"/>
      <c r="N1228" s="39">
        <f>IF($B1228="","",IF(SUMPRODUCT((LISTAS!$O$3:$O$42&lt;&gt;"")*ISNUMBER(SEARCH(LISTAS!$O$3:$O$42,$I1228&amp;" "&amp;$K1228)))&gt;0,"CERCANA","NACIONAL"))</f>
        <v/>
      </c>
      <c r="O1228" s="39">
        <f>IF($B1228="","",IF(COUNTIFS(NOVEDADES!$C$4:$C$2003,$B1228)=0,"—","SÍ ("&amp;COUNTIFS(NOVEDADES!$C$4:$C$2003,$B1228)&amp;")"))</f>
        <v/>
      </c>
    </row>
    <row r="1229">
      <c r="A1229" s="41" t="n"/>
      <c r="B1229" s="41" t="n"/>
      <c r="C1229" s="41" t="n"/>
      <c r="D1229" s="41" t="n"/>
      <c r="E1229" s="46" t="n"/>
      <c r="F1229" s="41" t="n"/>
      <c r="G1229" s="41" t="n"/>
      <c r="H1229" s="41" t="n"/>
      <c r="I1229" s="41" t="n"/>
      <c r="J1229" s="47" t="n"/>
      <c r="K1229" s="41" t="n"/>
      <c r="L1229" s="48" t="n"/>
      <c r="M1229" s="45" t="n"/>
      <c r="N1229" s="39">
        <f>IF($B1229="","",IF(SUMPRODUCT((LISTAS!$O$3:$O$42&lt;&gt;"")*ISNUMBER(SEARCH(LISTAS!$O$3:$O$42,$I1229&amp;" "&amp;$K1229)))&gt;0,"CERCANA","NACIONAL"))</f>
        <v/>
      </c>
      <c r="O1229" s="39">
        <f>IF($B1229="","",IF(COUNTIFS(NOVEDADES!$C$4:$C$2003,$B1229)=0,"—","SÍ ("&amp;COUNTIFS(NOVEDADES!$C$4:$C$2003,$B1229)&amp;")"))</f>
        <v/>
      </c>
    </row>
    <row r="1230">
      <c r="A1230" s="41" t="n"/>
      <c r="B1230" s="41" t="n"/>
      <c r="C1230" s="41" t="n"/>
      <c r="D1230" s="41" t="n"/>
      <c r="E1230" s="46" t="n"/>
      <c r="F1230" s="41" t="n"/>
      <c r="G1230" s="41" t="n"/>
      <c r="H1230" s="41" t="n"/>
      <c r="I1230" s="41" t="n"/>
      <c r="J1230" s="47" t="n"/>
      <c r="K1230" s="41" t="n"/>
      <c r="L1230" s="48" t="n"/>
      <c r="M1230" s="45" t="n"/>
      <c r="N1230" s="39">
        <f>IF($B1230="","",IF(SUMPRODUCT((LISTAS!$O$3:$O$42&lt;&gt;"")*ISNUMBER(SEARCH(LISTAS!$O$3:$O$42,$I1230&amp;" "&amp;$K1230)))&gt;0,"CERCANA","NACIONAL"))</f>
        <v/>
      </c>
      <c r="O1230" s="39">
        <f>IF($B1230="","",IF(COUNTIFS(NOVEDADES!$C$4:$C$2003,$B1230)=0,"—","SÍ ("&amp;COUNTIFS(NOVEDADES!$C$4:$C$2003,$B1230)&amp;")"))</f>
        <v/>
      </c>
    </row>
    <row r="1231">
      <c r="A1231" s="41" t="n"/>
      <c r="B1231" s="41" t="n"/>
      <c r="C1231" s="41" t="n"/>
      <c r="D1231" s="41" t="n"/>
      <c r="E1231" s="46" t="n"/>
      <c r="F1231" s="41" t="n"/>
      <c r="G1231" s="41" t="n"/>
      <c r="H1231" s="41" t="n"/>
      <c r="I1231" s="41" t="n"/>
      <c r="J1231" s="47" t="n"/>
      <c r="K1231" s="41" t="n"/>
      <c r="L1231" s="48" t="n"/>
      <c r="M1231" s="45" t="n"/>
      <c r="N1231" s="39">
        <f>IF($B1231="","",IF(SUMPRODUCT((LISTAS!$O$3:$O$42&lt;&gt;"")*ISNUMBER(SEARCH(LISTAS!$O$3:$O$42,$I1231&amp;" "&amp;$K1231)))&gt;0,"CERCANA","NACIONAL"))</f>
        <v/>
      </c>
      <c r="O1231" s="39">
        <f>IF($B1231="","",IF(COUNTIFS(NOVEDADES!$C$4:$C$2003,$B1231)=0,"—","SÍ ("&amp;COUNTIFS(NOVEDADES!$C$4:$C$2003,$B1231)&amp;")"))</f>
        <v/>
      </c>
    </row>
    <row r="1232">
      <c r="A1232" s="41" t="n"/>
      <c r="B1232" s="41" t="n"/>
      <c r="C1232" s="41" t="n"/>
      <c r="D1232" s="41" t="n"/>
      <c r="E1232" s="46" t="n"/>
      <c r="F1232" s="41" t="n"/>
      <c r="G1232" s="41" t="n"/>
      <c r="H1232" s="41" t="n"/>
      <c r="I1232" s="41" t="n"/>
      <c r="J1232" s="47" t="n"/>
      <c r="K1232" s="41" t="n"/>
      <c r="L1232" s="48" t="n"/>
      <c r="M1232" s="45" t="n"/>
      <c r="N1232" s="39">
        <f>IF($B1232="","",IF(SUMPRODUCT((LISTAS!$O$3:$O$42&lt;&gt;"")*ISNUMBER(SEARCH(LISTAS!$O$3:$O$42,$I1232&amp;" "&amp;$K1232)))&gt;0,"CERCANA","NACIONAL"))</f>
        <v/>
      </c>
      <c r="O1232" s="39">
        <f>IF($B1232="","",IF(COUNTIFS(NOVEDADES!$C$4:$C$2003,$B1232)=0,"—","SÍ ("&amp;COUNTIFS(NOVEDADES!$C$4:$C$2003,$B1232)&amp;")"))</f>
        <v/>
      </c>
    </row>
    <row r="1233">
      <c r="A1233" s="41" t="n"/>
      <c r="B1233" s="41" t="n"/>
      <c r="C1233" s="41" t="n"/>
      <c r="D1233" s="41" t="n"/>
      <c r="E1233" s="46" t="n"/>
      <c r="F1233" s="41" t="n"/>
      <c r="G1233" s="41" t="n"/>
      <c r="H1233" s="41" t="n"/>
      <c r="I1233" s="41" t="n"/>
      <c r="J1233" s="47" t="n"/>
      <c r="K1233" s="41" t="n"/>
      <c r="L1233" s="48" t="n"/>
      <c r="M1233" s="45" t="n"/>
      <c r="N1233" s="39">
        <f>IF($B1233="","",IF(SUMPRODUCT((LISTAS!$O$3:$O$42&lt;&gt;"")*ISNUMBER(SEARCH(LISTAS!$O$3:$O$42,$I1233&amp;" "&amp;$K1233)))&gt;0,"CERCANA","NACIONAL"))</f>
        <v/>
      </c>
      <c r="O1233" s="39">
        <f>IF($B1233="","",IF(COUNTIFS(NOVEDADES!$C$4:$C$2003,$B1233)=0,"—","SÍ ("&amp;COUNTIFS(NOVEDADES!$C$4:$C$2003,$B1233)&amp;")"))</f>
        <v/>
      </c>
    </row>
    <row r="1234">
      <c r="A1234" s="41" t="n"/>
      <c r="B1234" s="41" t="n"/>
      <c r="C1234" s="41" t="n"/>
      <c r="D1234" s="41" t="n"/>
      <c r="E1234" s="46" t="n"/>
      <c r="F1234" s="41" t="n"/>
      <c r="G1234" s="41" t="n"/>
      <c r="H1234" s="41" t="n"/>
      <c r="I1234" s="41" t="n"/>
      <c r="J1234" s="47" t="n"/>
      <c r="K1234" s="41" t="n"/>
      <c r="L1234" s="48" t="n"/>
      <c r="M1234" s="45" t="n"/>
      <c r="N1234" s="39">
        <f>IF($B1234="","",IF(SUMPRODUCT((LISTAS!$O$3:$O$42&lt;&gt;"")*ISNUMBER(SEARCH(LISTAS!$O$3:$O$42,$I1234&amp;" "&amp;$K1234)))&gt;0,"CERCANA","NACIONAL"))</f>
        <v/>
      </c>
      <c r="O1234" s="39">
        <f>IF($B1234="","",IF(COUNTIFS(NOVEDADES!$C$4:$C$2003,$B1234)=0,"—","SÍ ("&amp;COUNTIFS(NOVEDADES!$C$4:$C$2003,$B1234)&amp;")"))</f>
        <v/>
      </c>
    </row>
    <row r="1235">
      <c r="A1235" s="41" t="n"/>
      <c r="B1235" s="41" t="n"/>
      <c r="C1235" s="41" t="n"/>
      <c r="D1235" s="41" t="n"/>
      <c r="E1235" s="46" t="n"/>
      <c r="F1235" s="41" t="n"/>
      <c r="G1235" s="41" t="n"/>
      <c r="H1235" s="41" t="n"/>
      <c r="I1235" s="41" t="n"/>
      <c r="J1235" s="47" t="n"/>
      <c r="K1235" s="41" t="n"/>
      <c r="L1235" s="48" t="n"/>
      <c r="M1235" s="45" t="n"/>
      <c r="N1235" s="39">
        <f>IF($B1235="","",IF(SUMPRODUCT((LISTAS!$O$3:$O$42&lt;&gt;"")*ISNUMBER(SEARCH(LISTAS!$O$3:$O$42,$I1235&amp;" "&amp;$K1235)))&gt;0,"CERCANA","NACIONAL"))</f>
        <v/>
      </c>
      <c r="O1235" s="39">
        <f>IF($B1235="","",IF(COUNTIFS(NOVEDADES!$C$4:$C$2003,$B1235)=0,"—","SÍ ("&amp;COUNTIFS(NOVEDADES!$C$4:$C$2003,$B1235)&amp;")"))</f>
        <v/>
      </c>
    </row>
    <row r="1236">
      <c r="A1236" s="41" t="n"/>
      <c r="B1236" s="41" t="n"/>
      <c r="C1236" s="41" t="n"/>
      <c r="D1236" s="41" t="n"/>
      <c r="E1236" s="46" t="n"/>
      <c r="F1236" s="41" t="n"/>
      <c r="G1236" s="41" t="n"/>
      <c r="H1236" s="41" t="n"/>
      <c r="I1236" s="41" t="n"/>
      <c r="J1236" s="47" t="n"/>
      <c r="K1236" s="41" t="n"/>
      <c r="L1236" s="48" t="n"/>
      <c r="M1236" s="45" t="n"/>
      <c r="N1236" s="39">
        <f>IF($B1236="","",IF(SUMPRODUCT((LISTAS!$O$3:$O$42&lt;&gt;"")*ISNUMBER(SEARCH(LISTAS!$O$3:$O$42,$I1236&amp;" "&amp;$K1236)))&gt;0,"CERCANA","NACIONAL"))</f>
        <v/>
      </c>
      <c r="O1236" s="39">
        <f>IF($B1236="","",IF(COUNTIFS(NOVEDADES!$C$4:$C$2003,$B1236)=0,"—","SÍ ("&amp;COUNTIFS(NOVEDADES!$C$4:$C$2003,$B1236)&amp;")"))</f>
        <v/>
      </c>
    </row>
    <row r="1237">
      <c r="A1237" s="41" t="n"/>
      <c r="B1237" s="41" t="n"/>
      <c r="C1237" s="41" t="n"/>
      <c r="D1237" s="41" t="n"/>
      <c r="E1237" s="46" t="n"/>
      <c r="F1237" s="41" t="n"/>
      <c r="G1237" s="41" t="n"/>
      <c r="H1237" s="41" t="n"/>
      <c r="I1237" s="41" t="n"/>
      <c r="J1237" s="47" t="n"/>
      <c r="K1237" s="41" t="n"/>
      <c r="L1237" s="48" t="n"/>
      <c r="M1237" s="45" t="n"/>
      <c r="N1237" s="39">
        <f>IF($B1237="","",IF(SUMPRODUCT((LISTAS!$O$3:$O$42&lt;&gt;"")*ISNUMBER(SEARCH(LISTAS!$O$3:$O$42,$I1237&amp;" "&amp;$K1237)))&gt;0,"CERCANA","NACIONAL"))</f>
        <v/>
      </c>
      <c r="O1237" s="39">
        <f>IF($B1237="","",IF(COUNTIFS(NOVEDADES!$C$4:$C$2003,$B1237)=0,"—","SÍ ("&amp;COUNTIFS(NOVEDADES!$C$4:$C$2003,$B1237)&amp;")"))</f>
        <v/>
      </c>
    </row>
    <row r="1238">
      <c r="A1238" s="41" t="n"/>
      <c r="B1238" s="41" t="n"/>
      <c r="C1238" s="41" t="n"/>
      <c r="D1238" s="41" t="n"/>
      <c r="E1238" s="46" t="n"/>
      <c r="F1238" s="41" t="n"/>
      <c r="G1238" s="41" t="n"/>
      <c r="H1238" s="41" t="n"/>
      <c r="I1238" s="41" t="n"/>
      <c r="J1238" s="47" t="n"/>
      <c r="K1238" s="41" t="n"/>
      <c r="L1238" s="48" t="n"/>
      <c r="M1238" s="45" t="n"/>
      <c r="N1238" s="39">
        <f>IF($B1238="","",IF(SUMPRODUCT((LISTAS!$O$3:$O$42&lt;&gt;"")*ISNUMBER(SEARCH(LISTAS!$O$3:$O$42,$I1238&amp;" "&amp;$K1238)))&gt;0,"CERCANA","NACIONAL"))</f>
        <v/>
      </c>
      <c r="O1238" s="39">
        <f>IF($B1238="","",IF(COUNTIFS(NOVEDADES!$C$4:$C$2003,$B1238)=0,"—","SÍ ("&amp;COUNTIFS(NOVEDADES!$C$4:$C$2003,$B1238)&amp;")"))</f>
        <v/>
      </c>
    </row>
    <row r="1239">
      <c r="A1239" s="41" t="n"/>
      <c r="B1239" s="41" t="n"/>
      <c r="C1239" s="41" t="n"/>
      <c r="D1239" s="41" t="n"/>
      <c r="E1239" s="46" t="n"/>
      <c r="F1239" s="41" t="n"/>
      <c r="G1239" s="41" t="n"/>
      <c r="H1239" s="41" t="n"/>
      <c r="I1239" s="41" t="n"/>
      <c r="J1239" s="47" t="n"/>
      <c r="K1239" s="41" t="n"/>
      <c r="L1239" s="48" t="n"/>
      <c r="M1239" s="45" t="n"/>
      <c r="N1239" s="39">
        <f>IF($B1239="","",IF(SUMPRODUCT((LISTAS!$O$3:$O$42&lt;&gt;"")*ISNUMBER(SEARCH(LISTAS!$O$3:$O$42,$I1239&amp;" "&amp;$K1239)))&gt;0,"CERCANA","NACIONAL"))</f>
        <v/>
      </c>
      <c r="O1239" s="39">
        <f>IF($B1239="","",IF(COUNTIFS(NOVEDADES!$C$4:$C$2003,$B1239)=0,"—","SÍ ("&amp;COUNTIFS(NOVEDADES!$C$4:$C$2003,$B1239)&amp;")"))</f>
        <v/>
      </c>
    </row>
    <row r="1240">
      <c r="A1240" s="41" t="n"/>
      <c r="B1240" s="41" t="n"/>
      <c r="C1240" s="41" t="n"/>
      <c r="D1240" s="41" t="n"/>
      <c r="E1240" s="46" t="n"/>
      <c r="F1240" s="41" t="n"/>
      <c r="G1240" s="41" t="n"/>
      <c r="H1240" s="41" t="n"/>
      <c r="I1240" s="41" t="n"/>
      <c r="J1240" s="47" t="n"/>
      <c r="K1240" s="41" t="n"/>
      <c r="L1240" s="48" t="n"/>
      <c r="M1240" s="45" t="n"/>
      <c r="N1240" s="39">
        <f>IF($B1240="","",IF(SUMPRODUCT((LISTAS!$O$3:$O$42&lt;&gt;"")*ISNUMBER(SEARCH(LISTAS!$O$3:$O$42,$I1240&amp;" "&amp;$K1240)))&gt;0,"CERCANA","NACIONAL"))</f>
        <v/>
      </c>
      <c r="O1240" s="39">
        <f>IF($B1240="","",IF(COUNTIFS(NOVEDADES!$C$4:$C$2003,$B1240)=0,"—","SÍ ("&amp;COUNTIFS(NOVEDADES!$C$4:$C$2003,$B1240)&amp;")"))</f>
        <v/>
      </c>
    </row>
    <row r="1241">
      <c r="A1241" s="41" t="n"/>
      <c r="B1241" s="41" t="n"/>
      <c r="C1241" s="41" t="n"/>
      <c r="D1241" s="41" t="n"/>
      <c r="E1241" s="46" t="n"/>
      <c r="F1241" s="41" t="n"/>
      <c r="G1241" s="41" t="n"/>
      <c r="H1241" s="41" t="n"/>
      <c r="I1241" s="41" t="n"/>
      <c r="J1241" s="47" t="n"/>
      <c r="K1241" s="41" t="n"/>
      <c r="L1241" s="48" t="n"/>
      <c r="M1241" s="45" t="n"/>
      <c r="N1241" s="39">
        <f>IF($B1241="","",IF(SUMPRODUCT((LISTAS!$O$3:$O$42&lt;&gt;"")*ISNUMBER(SEARCH(LISTAS!$O$3:$O$42,$I1241&amp;" "&amp;$K1241)))&gt;0,"CERCANA","NACIONAL"))</f>
        <v/>
      </c>
      <c r="O1241" s="39">
        <f>IF($B1241="","",IF(COUNTIFS(NOVEDADES!$C$4:$C$2003,$B1241)=0,"—","SÍ ("&amp;COUNTIFS(NOVEDADES!$C$4:$C$2003,$B1241)&amp;")"))</f>
        <v/>
      </c>
    </row>
    <row r="1242">
      <c r="A1242" s="41" t="n"/>
      <c r="B1242" s="41" t="n"/>
      <c r="C1242" s="41" t="n"/>
      <c r="D1242" s="41" t="n"/>
      <c r="E1242" s="46" t="n"/>
      <c r="F1242" s="41" t="n"/>
      <c r="G1242" s="41" t="n"/>
      <c r="H1242" s="41" t="n"/>
      <c r="I1242" s="41" t="n"/>
      <c r="J1242" s="47" t="n"/>
      <c r="K1242" s="41" t="n"/>
      <c r="L1242" s="48" t="n"/>
      <c r="M1242" s="45" t="n"/>
      <c r="N1242" s="39">
        <f>IF($B1242="","",IF(SUMPRODUCT((LISTAS!$O$3:$O$42&lt;&gt;"")*ISNUMBER(SEARCH(LISTAS!$O$3:$O$42,$I1242&amp;" "&amp;$K1242)))&gt;0,"CERCANA","NACIONAL"))</f>
        <v/>
      </c>
      <c r="O1242" s="39">
        <f>IF($B1242="","",IF(COUNTIFS(NOVEDADES!$C$4:$C$2003,$B1242)=0,"—","SÍ ("&amp;COUNTIFS(NOVEDADES!$C$4:$C$2003,$B1242)&amp;")"))</f>
        <v/>
      </c>
    </row>
    <row r="1243">
      <c r="A1243" s="41" t="n"/>
      <c r="B1243" s="41" t="n"/>
      <c r="C1243" s="41" t="n"/>
      <c r="D1243" s="41" t="n"/>
      <c r="E1243" s="46" t="n"/>
      <c r="F1243" s="41" t="n"/>
      <c r="G1243" s="41" t="n"/>
      <c r="H1243" s="41" t="n"/>
      <c r="I1243" s="41" t="n"/>
      <c r="J1243" s="47" t="n"/>
      <c r="K1243" s="41" t="n"/>
      <c r="L1243" s="48" t="n"/>
      <c r="M1243" s="45" t="n"/>
      <c r="N1243" s="39">
        <f>IF($B1243="","",IF(SUMPRODUCT((LISTAS!$O$3:$O$42&lt;&gt;"")*ISNUMBER(SEARCH(LISTAS!$O$3:$O$42,$I1243&amp;" "&amp;$K1243)))&gt;0,"CERCANA","NACIONAL"))</f>
        <v/>
      </c>
      <c r="O1243" s="39">
        <f>IF($B1243="","",IF(COUNTIFS(NOVEDADES!$C$4:$C$2003,$B1243)=0,"—","SÍ ("&amp;COUNTIFS(NOVEDADES!$C$4:$C$2003,$B1243)&amp;")"))</f>
        <v/>
      </c>
    </row>
    <row r="1244">
      <c r="A1244" s="41" t="n"/>
      <c r="B1244" s="41" t="n"/>
      <c r="C1244" s="41" t="n"/>
      <c r="D1244" s="41" t="n"/>
      <c r="E1244" s="46" t="n"/>
      <c r="F1244" s="41" t="n"/>
      <c r="G1244" s="41" t="n"/>
      <c r="H1244" s="41" t="n"/>
      <c r="I1244" s="41" t="n"/>
      <c r="J1244" s="47" t="n"/>
      <c r="K1244" s="41" t="n"/>
      <c r="L1244" s="48" t="n"/>
      <c r="M1244" s="45" t="n"/>
      <c r="N1244" s="39">
        <f>IF($B1244="","",IF(SUMPRODUCT((LISTAS!$O$3:$O$42&lt;&gt;"")*ISNUMBER(SEARCH(LISTAS!$O$3:$O$42,$I1244&amp;" "&amp;$K1244)))&gt;0,"CERCANA","NACIONAL"))</f>
        <v/>
      </c>
      <c r="O1244" s="39">
        <f>IF($B1244="","",IF(COUNTIFS(NOVEDADES!$C$4:$C$2003,$B1244)=0,"—","SÍ ("&amp;COUNTIFS(NOVEDADES!$C$4:$C$2003,$B1244)&amp;")"))</f>
        <v/>
      </c>
    </row>
    <row r="1245">
      <c r="A1245" s="41" t="n"/>
      <c r="B1245" s="41" t="n"/>
      <c r="C1245" s="41" t="n"/>
      <c r="D1245" s="41" t="n"/>
      <c r="E1245" s="46" t="n"/>
      <c r="F1245" s="41" t="n"/>
      <c r="G1245" s="41" t="n"/>
      <c r="H1245" s="41" t="n"/>
      <c r="I1245" s="41" t="n"/>
      <c r="J1245" s="47" t="n"/>
      <c r="K1245" s="41" t="n"/>
      <c r="L1245" s="48" t="n"/>
      <c r="M1245" s="45" t="n"/>
      <c r="N1245" s="39">
        <f>IF($B1245="","",IF(SUMPRODUCT((LISTAS!$O$3:$O$42&lt;&gt;"")*ISNUMBER(SEARCH(LISTAS!$O$3:$O$42,$I1245&amp;" "&amp;$K1245)))&gt;0,"CERCANA","NACIONAL"))</f>
        <v/>
      </c>
      <c r="O1245" s="39">
        <f>IF($B1245="","",IF(COUNTIFS(NOVEDADES!$C$4:$C$2003,$B1245)=0,"—","SÍ ("&amp;COUNTIFS(NOVEDADES!$C$4:$C$2003,$B1245)&amp;")"))</f>
        <v/>
      </c>
    </row>
    <row r="1246">
      <c r="A1246" s="41" t="n"/>
      <c r="B1246" s="41" t="n"/>
      <c r="C1246" s="41" t="n"/>
      <c r="D1246" s="41" t="n"/>
      <c r="E1246" s="46" t="n"/>
      <c r="F1246" s="41" t="n"/>
      <c r="G1246" s="41" t="n"/>
      <c r="H1246" s="41" t="n"/>
      <c r="I1246" s="41" t="n"/>
      <c r="J1246" s="47" t="n"/>
      <c r="K1246" s="41" t="n"/>
      <c r="L1246" s="48" t="n"/>
      <c r="M1246" s="45" t="n"/>
      <c r="N1246" s="39">
        <f>IF($B1246="","",IF(SUMPRODUCT((LISTAS!$O$3:$O$42&lt;&gt;"")*ISNUMBER(SEARCH(LISTAS!$O$3:$O$42,$I1246&amp;" "&amp;$K1246)))&gt;0,"CERCANA","NACIONAL"))</f>
        <v/>
      </c>
      <c r="O1246" s="39">
        <f>IF($B1246="","",IF(COUNTIFS(NOVEDADES!$C$4:$C$2003,$B1246)=0,"—","SÍ ("&amp;COUNTIFS(NOVEDADES!$C$4:$C$2003,$B1246)&amp;")"))</f>
        <v/>
      </c>
    </row>
    <row r="1247">
      <c r="A1247" s="41" t="n"/>
      <c r="B1247" s="41" t="n"/>
      <c r="C1247" s="41" t="n"/>
      <c r="D1247" s="41" t="n"/>
      <c r="E1247" s="46" t="n"/>
      <c r="F1247" s="41" t="n"/>
      <c r="G1247" s="41" t="n"/>
      <c r="H1247" s="41" t="n"/>
      <c r="I1247" s="41" t="n"/>
      <c r="J1247" s="47" t="n"/>
      <c r="K1247" s="41" t="n"/>
      <c r="L1247" s="48" t="n"/>
      <c r="M1247" s="45" t="n"/>
      <c r="N1247" s="39">
        <f>IF($B1247="","",IF(SUMPRODUCT((LISTAS!$O$3:$O$42&lt;&gt;"")*ISNUMBER(SEARCH(LISTAS!$O$3:$O$42,$I1247&amp;" "&amp;$K1247)))&gt;0,"CERCANA","NACIONAL"))</f>
        <v/>
      </c>
      <c r="O1247" s="39">
        <f>IF($B1247="","",IF(COUNTIFS(NOVEDADES!$C$4:$C$2003,$B1247)=0,"—","SÍ ("&amp;COUNTIFS(NOVEDADES!$C$4:$C$2003,$B1247)&amp;")"))</f>
        <v/>
      </c>
    </row>
    <row r="1248">
      <c r="A1248" s="41" t="n"/>
      <c r="B1248" s="41" t="n"/>
      <c r="C1248" s="41" t="n"/>
      <c r="D1248" s="41" t="n"/>
      <c r="E1248" s="46" t="n"/>
      <c r="F1248" s="41" t="n"/>
      <c r="G1248" s="41" t="n"/>
      <c r="H1248" s="41" t="n"/>
      <c r="I1248" s="41" t="n"/>
      <c r="J1248" s="47" t="n"/>
      <c r="K1248" s="41" t="n"/>
      <c r="L1248" s="48" t="n"/>
      <c r="M1248" s="45" t="n"/>
      <c r="N1248" s="39">
        <f>IF($B1248="","",IF(SUMPRODUCT((LISTAS!$O$3:$O$42&lt;&gt;"")*ISNUMBER(SEARCH(LISTAS!$O$3:$O$42,$I1248&amp;" "&amp;$K1248)))&gt;0,"CERCANA","NACIONAL"))</f>
        <v/>
      </c>
      <c r="O1248" s="39">
        <f>IF($B1248="","",IF(COUNTIFS(NOVEDADES!$C$4:$C$2003,$B1248)=0,"—","SÍ ("&amp;COUNTIFS(NOVEDADES!$C$4:$C$2003,$B1248)&amp;")"))</f>
        <v/>
      </c>
    </row>
    <row r="1249">
      <c r="A1249" s="41" t="n"/>
      <c r="B1249" s="41" t="n"/>
      <c r="C1249" s="41" t="n"/>
      <c r="D1249" s="41" t="n"/>
      <c r="E1249" s="46" t="n"/>
      <c r="F1249" s="41" t="n"/>
      <c r="G1249" s="41" t="n"/>
      <c r="H1249" s="41" t="n"/>
      <c r="I1249" s="41" t="n"/>
      <c r="J1249" s="47" t="n"/>
      <c r="K1249" s="41" t="n"/>
      <c r="L1249" s="48" t="n"/>
      <c r="M1249" s="45" t="n"/>
      <c r="N1249" s="39">
        <f>IF($B1249="","",IF(SUMPRODUCT((LISTAS!$O$3:$O$42&lt;&gt;"")*ISNUMBER(SEARCH(LISTAS!$O$3:$O$42,$I1249&amp;" "&amp;$K1249)))&gt;0,"CERCANA","NACIONAL"))</f>
        <v/>
      </c>
      <c r="O1249" s="39">
        <f>IF($B1249="","",IF(COUNTIFS(NOVEDADES!$C$4:$C$2003,$B1249)=0,"—","SÍ ("&amp;COUNTIFS(NOVEDADES!$C$4:$C$2003,$B1249)&amp;")"))</f>
        <v/>
      </c>
    </row>
    <row r="1250">
      <c r="A1250" s="41" t="n"/>
      <c r="B1250" s="41" t="n"/>
      <c r="C1250" s="41" t="n"/>
      <c r="D1250" s="41" t="n"/>
      <c r="E1250" s="46" t="n"/>
      <c r="F1250" s="41" t="n"/>
      <c r="G1250" s="41" t="n"/>
      <c r="H1250" s="41" t="n"/>
      <c r="I1250" s="41" t="n"/>
      <c r="J1250" s="47" t="n"/>
      <c r="K1250" s="41" t="n"/>
      <c r="L1250" s="48" t="n"/>
      <c r="M1250" s="45" t="n"/>
      <c r="N1250" s="39">
        <f>IF($B1250="","",IF(SUMPRODUCT((LISTAS!$O$3:$O$42&lt;&gt;"")*ISNUMBER(SEARCH(LISTAS!$O$3:$O$42,$I1250&amp;" "&amp;$K1250)))&gt;0,"CERCANA","NACIONAL"))</f>
        <v/>
      </c>
      <c r="O1250" s="39">
        <f>IF($B1250="","",IF(COUNTIFS(NOVEDADES!$C$4:$C$2003,$B1250)=0,"—","SÍ ("&amp;COUNTIFS(NOVEDADES!$C$4:$C$2003,$B1250)&amp;")"))</f>
        <v/>
      </c>
    </row>
    <row r="1251">
      <c r="A1251" s="41" t="n"/>
      <c r="B1251" s="41" t="n"/>
      <c r="C1251" s="41" t="n"/>
      <c r="D1251" s="41" t="n"/>
      <c r="E1251" s="46" t="n"/>
      <c r="F1251" s="41" t="n"/>
      <c r="G1251" s="41" t="n"/>
      <c r="H1251" s="41" t="n"/>
      <c r="I1251" s="41" t="n"/>
      <c r="J1251" s="47" t="n"/>
      <c r="K1251" s="41" t="n"/>
      <c r="L1251" s="48" t="n"/>
      <c r="M1251" s="45" t="n"/>
      <c r="N1251" s="39">
        <f>IF($B1251="","",IF(SUMPRODUCT((LISTAS!$O$3:$O$42&lt;&gt;"")*ISNUMBER(SEARCH(LISTAS!$O$3:$O$42,$I1251&amp;" "&amp;$K1251)))&gt;0,"CERCANA","NACIONAL"))</f>
        <v/>
      </c>
      <c r="O1251" s="39">
        <f>IF($B1251="","",IF(COUNTIFS(NOVEDADES!$C$4:$C$2003,$B1251)=0,"—","SÍ ("&amp;COUNTIFS(NOVEDADES!$C$4:$C$2003,$B1251)&amp;")"))</f>
        <v/>
      </c>
    </row>
    <row r="1252">
      <c r="A1252" s="41" t="n"/>
      <c r="B1252" s="41" t="n"/>
      <c r="C1252" s="41" t="n"/>
      <c r="D1252" s="41" t="n"/>
      <c r="E1252" s="46" t="n"/>
      <c r="F1252" s="41" t="n"/>
      <c r="G1252" s="41" t="n"/>
      <c r="H1252" s="41" t="n"/>
      <c r="I1252" s="41" t="n"/>
      <c r="J1252" s="47" t="n"/>
      <c r="K1252" s="41" t="n"/>
      <c r="L1252" s="48" t="n"/>
      <c r="M1252" s="45" t="n"/>
      <c r="N1252" s="39">
        <f>IF($B1252="","",IF(SUMPRODUCT((LISTAS!$O$3:$O$42&lt;&gt;"")*ISNUMBER(SEARCH(LISTAS!$O$3:$O$42,$I1252&amp;" "&amp;$K1252)))&gt;0,"CERCANA","NACIONAL"))</f>
        <v/>
      </c>
      <c r="O1252" s="39">
        <f>IF($B1252="","",IF(COUNTIFS(NOVEDADES!$C$4:$C$2003,$B1252)=0,"—","SÍ ("&amp;COUNTIFS(NOVEDADES!$C$4:$C$2003,$B1252)&amp;")"))</f>
        <v/>
      </c>
    </row>
    <row r="1253">
      <c r="A1253" s="41" t="n"/>
      <c r="B1253" s="41" t="n"/>
      <c r="C1253" s="41" t="n"/>
      <c r="D1253" s="41" t="n"/>
      <c r="E1253" s="46" t="n"/>
      <c r="F1253" s="41" t="n"/>
      <c r="G1253" s="41" t="n"/>
      <c r="H1253" s="41" t="n"/>
      <c r="I1253" s="41" t="n"/>
      <c r="J1253" s="47" t="n"/>
      <c r="K1253" s="41" t="n"/>
      <c r="L1253" s="48" t="n"/>
      <c r="M1253" s="45" t="n"/>
      <c r="N1253" s="39">
        <f>IF($B1253="","",IF(SUMPRODUCT((LISTAS!$O$3:$O$42&lt;&gt;"")*ISNUMBER(SEARCH(LISTAS!$O$3:$O$42,$I1253&amp;" "&amp;$K1253)))&gt;0,"CERCANA","NACIONAL"))</f>
        <v/>
      </c>
      <c r="O1253" s="39">
        <f>IF($B1253="","",IF(COUNTIFS(NOVEDADES!$C$4:$C$2003,$B1253)=0,"—","SÍ ("&amp;COUNTIFS(NOVEDADES!$C$4:$C$2003,$B1253)&amp;")"))</f>
        <v/>
      </c>
    </row>
    <row r="1254">
      <c r="A1254" s="41" t="n"/>
      <c r="B1254" s="41" t="n"/>
      <c r="C1254" s="41" t="n"/>
      <c r="D1254" s="41" t="n"/>
      <c r="E1254" s="46" t="n"/>
      <c r="F1254" s="41" t="n"/>
      <c r="G1254" s="41" t="n"/>
      <c r="H1254" s="41" t="n"/>
      <c r="I1254" s="41" t="n"/>
      <c r="J1254" s="47" t="n"/>
      <c r="K1254" s="41" t="n"/>
      <c r="L1254" s="48" t="n"/>
      <c r="M1254" s="45" t="n"/>
      <c r="N1254" s="39">
        <f>IF($B1254="","",IF(SUMPRODUCT((LISTAS!$O$3:$O$42&lt;&gt;"")*ISNUMBER(SEARCH(LISTAS!$O$3:$O$42,$I1254&amp;" "&amp;$K1254)))&gt;0,"CERCANA","NACIONAL"))</f>
        <v/>
      </c>
      <c r="O1254" s="39">
        <f>IF($B1254="","",IF(COUNTIFS(NOVEDADES!$C$4:$C$2003,$B1254)=0,"—","SÍ ("&amp;COUNTIFS(NOVEDADES!$C$4:$C$2003,$B1254)&amp;")"))</f>
        <v/>
      </c>
    </row>
    <row r="1255">
      <c r="A1255" s="41" t="n"/>
      <c r="B1255" s="41" t="n"/>
      <c r="C1255" s="41" t="n"/>
      <c r="D1255" s="41" t="n"/>
      <c r="E1255" s="46" t="n"/>
      <c r="F1255" s="41" t="n"/>
      <c r="G1255" s="41" t="n"/>
      <c r="H1255" s="41" t="n"/>
      <c r="I1255" s="41" t="n"/>
      <c r="J1255" s="47" t="n"/>
      <c r="K1255" s="41" t="n"/>
      <c r="L1255" s="48" t="n"/>
      <c r="M1255" s="45" t="n"/>
      <c r="N1255" s="39">
        <f>IF($B1255="","",IF(SUMPRODUCT((LISTAS!$O$3:$O$42&lt;&gt;"")*ISNUMBER(SEARCH(LISTAS!$O$3:$O$42,$I1255&amp;" "&amp;$K1255)))&gt;0,"CERCANA","NACIONAL"))</f>
        <v/>
      </c>
      <c r="O1255" s="39">
        <f>IF($B1255="","",IF(COUNTIFS(NOVEDADES!$C$4:$C$2003,$B1255)=0,"—","SÍ ("&amp;COUNTIFS(NOVEDADES!$C$4:$C$2003,$B1255)&amp;")"))</f>
        <v/>
      </c>
    </row>
    <row r="1256">
      <c r="A1256" s="41" t="n"/>
      <c r="B1256" s="41" t="n"/>
      <c r="C1256" s="41" t="n"/>
      <c r="D1256" s="41" t="n"/>
      <c r="E1256" s="46" t="n"/>
      <c r="F1256" s="41" t="n"/>
      <c r="G1256" s="41" t="n"/>
      <c r="H1256" s="41" t="n"/>
      <c r="I1256" s="41" t="n"/>
      <c r="J1256" s="47" t="n"/>
      <c r="K1256" s="41" t="n"/>
      <c r="L1256" s="48" t="n"/>
      <c r="M1256" s="45" t="n"/>
      <c r="N1256" s="39">
        <f>IF($B1256="","",IF(SUMPRODUCT((LISTAS!$O$3:$O$42&lt;&gt;"")*ISNUMBER(SEARCH(LISTAS!$O$3:$O$42,$I1256&amp;" "&amp;$K1256)))&gt;0,"CERCANA","NACIONAL"))</f>
        <v/>
      </c>
      <c r="O1256" s="39">
        <f>IF($B1256="","",IF(COUNTIFS(NOVEDADES!$C$4:$C$2003,$B1256)=0,"—","SÍ ("&amp;COUNTIFS(NOVEDADES!$C$4:$C$2003,$B1256)&amp;")"))</f>
        <v/>
      </c>
    </row>
    <row r="1257">
      <c r="A1257" s="41" t="n"/>
      <c r="B1257" s="41" t="n"/>
      <c r="C1257" s="41" t="n"/>
      <c r="D1257" s="41" t="n"/>
      <c r="E1257" s="46" t="n"/>
      <c r="F1257" s="41" t="n"/>
      <c r="G1257" s="41" t="n"/>
      <c r="H1257" s="41" t="n"/>
      <c r="I1257" s="41" t="n"/>
      <c r="J1257" s="47" t="n"/>
      <c r="K1257" s="41" t="n"/>
      <c r="L1257" s="48" t="n"/>
      <c r="M1257" s="45" t="n"/>
      <c r="N1257" s="39">
        <f>IF($B1257="","",IF(SUMPRODUCT((LISTAS!$O$3:$O$42&lt;&gt;"")*ISNUMBER(SEARCH(LISTAS!$O$3:$O$42,$I1257&amp;" "&amp;$K1257)))&gt;0,"CERCANA","NACIONAL"))</f>
        <v/>
      </c>
      <c r="O1257" s="39">
        <f>IF($B1257="","",IF(COUNTIFS(NOVEDADES!$C$4:$C$2003,$B1257)=0,"—","SÍ ("&amp;COUNTIFS(NOVEDADES!$C$4:$C$2003,$B1257)&amp;")"))</f>
        <v/>
      </c>
    </row>
    <row r="1258">
      <c r="A1258" s="41" t="n"/>
      <c r="B1258" s="41" t="n"/>
      <c r="C1258" s="41" t="n"/>
      <c r="D1258" s="41" t="n"/>
      <c r="E1258" s="46" t="n"/>
      <c r="F1258" s="41" t="n"/>
      <c r="G1258" s="41" t="n"/>
      <c r="H1258" s="41" t="n"/>
      <c r="I1258" s="41" t="n"/>
      <c r="J1258" s="47" t="n"/>
      <c r="K1258" s="41" t="n"/>
      <c r="L1258" s="48" t="n"/>
      <c r="M1258" s="45" t="n"/>
      <c r="N1258" s="39">
        <f>IF($B1258="","",IF(SUMPRODUCT((LISTAS!$O$3:$O$42&lt;&gt;"")*ISNUMBER(SEARCH(LISTAS!$O$3:$O$42,$I1258&amp;" "&amp;$K1258)))&gt;0,"CERCANA","NACIONAL"))</f>
        <v/>
      </c>
      <c r="O1258" s="39">
        <f>IF($B1258="","",IF(COUNTIFS(NOVEDADES!$C$4:$C$2003,$B1258)=0,"—","SÍ ("&amp;COUNTIFS(NOVEDADES!$C$4:$C$2003,$B1258)&amp;")"))</f>
        <v/>
      </c>
    </row>
    <row r="1259">
      <c r="A1259" s="41" t="n"/>
      <c r="B1259" s="41" t="n"/>
      <c r="C1259" s="41" t="n"/>
      <c r="D1259" s="41" t="n"/>
      <c r="E1259" s="46" t="n"/>
      <c r="F1259" s="41" t="n"/>
      <c r="G1259" s="41" t="n"/>
      <c r="H1259" s="41" t="n"/>
      <c r="I1259" s="41" t="n"/>
      <c r="J1259" s="47" t="n"/>
      <c r="K1259" s="41" t="n"/>
      <c r="L1259" s="48" t="n"/>
      <c r="M1259" s="45" t="n"/>
      <c r="N1259" s="39">
        <f>IF($B1259="","",IF(SUMPRODUCT((LISTAS!$O$3:$O$42&lt;&gt;"")*ISNUMBER(SEARCH(LISTAS!$O$3:$O$42,$I1259&amp;" "&amp;$K1259)))&gt;0,"CERCANA","NACIONAL"))</f>
        <v/>
      </c>
      <c r="O1259" s="39">
        <f>IF($B1259="","",IF(COUNTIFS(NOVEDADES!$C$4:$C$2003,$B1259)=0,"—","SÍ ("&amp;COUNTIFS(NOVEDADES!$C$4:$C$2003,$B1259)&amp;")"))</f>
        <v/>
      </c>
    </row>
    <row r="1260">
      <c r="A1260" s="41" t="n"/>
      <c r="B1260" s="41" t="n"/>
      <c r="C1260" s="41" t="n"/>
      <c r="D1260" s="41" t="n"/>
      <c r="E1260" s="46" t="n"/>
      <c r="F1260" s="41" t="n"/>
      <c r="G1260" s="41" t="n"/>
      <c r="H1260" s="41" t="n"/>
      <c r="I1260" s="41" t="n"/>
      <c r="J1260" s="47" t="n"/>
      <c r="K1260" s="41" t="n"/>
      <c r="L1260" s="48" t="n"/>
      <c r="M1260" s="45" t="n"/>
      <c r="N1260" s="39">
        <f>IF($B1260="","",IF(SUMPRODUCT((LISTAS!$O$3:$O$42&lt;&gt;"")*ISNUMBER(SEARCH(LISTAS!$O$3:$O$42,$I1260&amp;" "&amp;$K1260)))&gt;0,"CERCANA","NACIONAL"))</f>
        <v/>
      </c>
      <c r="O1260" s="39">
        <f>IF($B1260="","",IF(COUNTIFS(NOVEDADES!$C$4:$C$2003,$B1260)=0,"—","SÍ ("&amp;COUNTIFS(NOVEDADES!$C$4:$C$2003,$B1260)&amp;")"))</f>
        <v/>
      </c>
    </row>
    <row r="1261">
      <c r="A1261" s="41" t="n"/>
      <c r="B1261" s="41" t="n"/>
      <c r="C1261" s="41" t="n"/>
      <c r="D1261" s="41" t="n"/>
      <c r="E1261" s="46" t="n"/>
      <c r="F1261" s="41" t="n"/>
      <c r="G1261" s="41" t="n"/>
      <c r="H1261" s="41" t="n"/>
      <c r="I1261" s="41" t="n"/>
      <c r="J1261" s="47" t="n"/>
      <c r="K1261" s="41" t="n"/>
      <c r="L1261" s="48" t="n"/>
      <c r="M1261" s="45" t="n"/>
      <c r="N1261" s="39">
        <f>IF($B1261="","",IF(SUMPRODUCT((LISTAS!$O$3:$O$42&lt;&gt;"")*ISNUMBER(SEARCH(LISTAS!$O$3:$O$42,$I1261&amp;" "&amp;$K1261)))&gt;0,"CERCANA","NACIONAL"))</f>
        <v/>
      </c>
      <c r="O1261" s="39">
        <f>IF($B1261="","",IF(COUNTIFS(NOVEDADES!$C$4:$C$2003,$B1261)=0,"—","SÍ ("&amp;COUNTIFS(NOVEDADES!$C$4:$C$2003,$B1261)&amp;")"))</f>
        <v/>
      </c>
    </row>
    <row r="1262">
      <c r="A1262" s="41" t="n"/>
      <c r="B1262" s="41" t="n"/>
      <c r="C1262" s="41" t="n"/>
      <c r="D1262" s="41" t="n"/>
      <c r="E1262" s="46" t="n"/>
      <c r="F1262" s="41" t="n"/>
      <c r="G1262" s="41" t="n"/>
      <c r="H1262" s="41" t="n"/>
      <c r="I1262" s="41" t="n"/>
      <c r="J1262" s="47" t="n"/>
      <c r="K1262" s="41" t="n"/>
      <c r="L1262" s="48" t="n"/>
      <c r="M1262" s="45" t="n"/>
      <c r="N1262" s="39">
        <f>IF($B1262="","",IF(SUMPRODUCT((LISTAS!$O$3:$O$42&lt;&gt;"")*ISNUMBER(SEARCH(LISTAS!$O$3:$O$42,$I1262&amp;" "&amp;$K1262)))&gt;0,"CERCANA","NACIONAL"))</f>
        <v/>
      </c>
      <c r="O1262" s="39">
        <f>IF($B1262="","",IF(COUNTIFS(NOVEDADES!$C$4:$C$2003,$B1262)=0,"—","SÍ ("&amp;COUNTIFS(NOVEDADES!$C$4:$C$2003,$B1262)&amp;")"))</f>
        <v/>
      </c>
    </row>
    <row r="1263">
      <c r="A1263" s="41" t="n"/>
      <c r="B1263" s="41" t="n"/>
      <c r="C1263" s="41" t="n"/>
      <c r="D1263" s="41" t="n"/>
      <c r="E1263" s="46" t="n"/>
      <c r="F1263" s="41" t="n"/>
      <c r="G1263" s="41" t="n"/>
      <c r="H1263" s="41" t="n"/>
      <c r="I1263" s="41" t="n"/>
      <c r="J1263" s="47" t="n"/>
      <c r="K1263" s="41" t="n"/>
      <c r="L1263" s="48" t="n"/>
      <c r="M1263" s="45" t="n"/>
      <c r="N1263" s="39">
        <f>IF($B1263="","",IF(SUMPRODUCT((LISTAS!$O$3:$O$42&lt;&gt;"")*ISNUMBER(SEARCH(LISTAS!$O$3:$O$42,$I1263&amp;" "&amp;$K1263)))&gt;0,"CERCANA","NACIONAL"))</f>
        <v/>
      </c>
      <c r="O1263" s="39">
        <f>IF($B1263="","",IF(COUNTIFS(NOVEDADES!$C$4:$C$2003,$B1263)=0,"—","SÍ ("&amp;COUNTIFS(NOVEDADES!$C$4:$C$2003,$B1263)&amp;")"))</f>
        <v/>
      </c>
    </row>
    <row r="1264">
      <c r="A1264" s="41" t="n"/>
      <c r="B1264" s="41" t="n"/>
      <c r="C1264" s="41" t="n"/>
      <c r="D1264" s="41" t="n"/>
      <c r="E1264" s="46" t="n"/>
      <c r="F1264" s="41" t="n"/>
      <c r="G1264" s="41" t="n"/>
      <c r="H1264" s="41" t="n"/>
      <c r="I1264" s="41" t="n"/>
      <c r="J1264" s="47" t="n"/>
      <c r="K1264" s="41" t="n"/>
      <c r="L1264" s="48" t="n"/>
      <c r="M1264" s="45" t="n"/>
      <c r="N1264" s="39">
        <f>IF($B1264="","",IF(SUMPRODUCT((LISTAS!$O$3:$O$42&lt;&gt;"")*ISNUMBER(SEARCH(LISTAS!$O$3:$O$42,$I1264&amp;" "&amp;$K1264)))&gt;0,"CERCANA","NACIONAL"))</f>
        <v/>
      </c>
      <c r="O1264" s="39">
        <f>IF($B1264="","",IF(COUNTIFS(NOVEDADES!$C$4:$C$2003,$B1264)=0,"—","SÍ ("&amp;COUNTIFS(NOVEDADES!$C$4:$C$2003,$B1264)&amp;")"))</f>
        <v/>
      </c>
    </row>
    <row r="1265">
      <c r="A1265" s="41" t="n"/>
      <c r="B1265" s="41" t="n"/>
      <c r="C1265" s="41" t="n"/>
      <c r="D1265" s="41" t="n"/>
      <c r="E1265" s="46" t="n"/>
      <c r="F1265" s="41" t="n"/>
      <c r="G1265" s="41" t="n"/>
      <c r="H1265" s="41" t="n"/>
      <c r="I1265" s="41" t="n"/>
      <c r="J1265" s="47" t="n"/>
      <c r="K1265" s="41" t="n"/>
      <c r="L1265" s="48" t="n"/>
      <c r="M1265" s="45" t="n"/>
      <c r="N1265" s="39">
        <f>IF($B1265="","",IF(SUMPRODUCT((LISTAS!$O$3:$O$42&lt;&gt;"")*ISNUMBER(SEARCH(LISTAS!$O$3:$O$42,$I1265&amp;" "&amp;$K1265)))&gt;0,"CERCANA","NACIONAL"))</f>
        <v/>
      </c>
      <c r="O1265" s="39">
        <f>IF($B1265="","",IF(COUNTIFS(NOVEDADES!$C$4:$C$2003,$B1265)=0,"—","SÍ ("&amp;COUNTIFS(NOVEDADES!$C$4:$C$2003,$B1265)&amp;")"))</f>
        <v/>
      </c>
    </row>
    <row r="1266">
      <c r="A1266" s="41" t="n"/>
      <c r="B1266" s="41" t="n"/>
      <c r="C1266" s="41" t="n"/>
      <c r="D1266" s="41" t="n"/>
      <c r="E1266" s="46" t="n"/>
      <c r="F1266" s="41" t="n"/>
      <c r="G1266" s="41" t="n"/>
      <c r="H1266" s="41" t="n"/>
      <c r="I1266" s="41" t="n"/>
      <c r="J1266" s="47" t="n"/>
      <c r="K1266" s="41" t="n"/>
      <c r="L1266" s="48" t="n"/>
      <c r="M1266" s="45" t="n"/>
      <c r="N1266" s="39">
        <f>IF($B1266="","",IF(SUMPRODUCT((LISTAS!$O$3:$O$42&lt;&gt;"")*ISNUMBER(SEARCH(LISTAS!$O$3:$O$42,$I1266&amp;" "&amp;$K1266)))&gt;0,"CERCANA","NACIONAL"))</f>
        <v/>
      </c>
      <c r="O1266" s="39">
        <f>IF($B1266="","",IF(COUNTIFS(NOVEDADES!$C$4:$C$2003,$B1266)=0,"—","SÍ ("&amp;COUNTIFS(NOVEDADES!$C$4:$C$2003,$B1266)&amp;")"))</f>
        <v/>
      </c>
    </row>
    <row r="1267">
      <c r="A1267" s="41" t="n"/>
      <c r="B1267" s="41" t="n"/>
      <c r="C1267" s="41" t="n"/>
      <c r="D1267" s="41" t="n"/>
      <c r="E1267" s="46" t="n"/>
      <c r="F1267" s="41" t="n"/>
      <c r="G1267" s="41" t="n"/>
      <c r="H1267" s="41" t="n"/>
      <c r="I1267" s="41" t="n"/>
      <c r="J1267" s="47" t="n"/>
      <c r="K1267" s="41" t="n"/>
      <c r="L1267" s="48" t="n"/>
      <c r="M1267" s="45" t="n"/>
      <c r="N1267" s="39">
        <f>IF($B1267="","",IF(SUMPRODUCT((LISTAS!$O$3:$O$42&lt;&gt;"")*ISNUMBER(SEARCH(LISTAS!$O$3:$O$42,$I1267&amp;" "&amp;$K1267)))&gt;0,"CERCANA","NACIONAL"))</f>
        <v/>
      </c>
      <c r="O1267" s="39">
        <f>IF($B1267="","",IF(COUNTIFS(NOVEDADES!$C$4:$C$2003,$B1267)=0,"—","SÍ ("&amp;COUNTIFS(NOVEDADES!$C$4:$C$2003,$B1267)&amp;")"))</f>
        <v/>
      </c>
    </row>
    <row r="1268">
      <c r="A1268" s="41" t="n"/>
      <c r="B1268" s="41" t="n"/>
      <c r="C1268" s="41" t="n"/>
      <c r="D1268" s="41" t="n"/>
      <c r="E1268" s="46" t="n"/>
      <c r="F1268" s="41" t="n"/>
      <c r="G1268" s="41" t="n"/>
      <c r="H1268" s="41" t="n"/>
      <c r="I1268" s="41" t="n"/>
      <c r="J1268" s="47" t="n"/>
      <c r="K1268" s="41" t="n"/>
      <c r="L1268" s="48" t="n"/>
      <c r="M1268" s="45" t="n"/>
      <c r="N1268" s="39">
        <f>IF($B1268="","",IF(SUMPRODUCT((LISTAS!$O$3:$O$42&lt;&gt;"")*ISNUMBER(SEARCH(LISTAS!$O$3:$O$42,$I1268&amp;" "&amp;$K1268)))&gt;0,"CERCANA","NACIONAL"))</f>
        <v/>
      </c>
      <c r="O1268" s="39">
        <f>IF($B1268="","",IF(COUNTIFS(NOVEDADES!$C$4:$C$2003,$B1268)=0,"—","SÍ ("&amp;COUNTIFS(NOVEDADES!$C$4:$C$2003,$B1268)&amp;")"))</f>
        <v/>
      </c>
    </row>
    <row r="1269">
      <c r="A1269" s="41" t="n"/>
      <c r="B1269" s="41" t="n"/>
      <c r="C1269" s="41" t="n"/>
      <c r="D1269" s="41" t="n"/>
      <c r="E1269" s="46" t="n"/>
      <c r="F1269" s="41" t="n"/>
      <c r="G1269" s="41" t="n"/>
      <c r="H1269" s="41" t="n"/>
      <c r="I1269" s="41" t="n"/>
      <c r="J1269" s="47" t="n"/>
      <c r="K1269" s="41" t="n"/>
      <c r="L1269" s="48" t="n"/>
      <c r="M1269" s="45" t="n"/>
      <c r="N1269" s="39">
        <f>IF($B1269="","",IF(SUMPRODUCT((LISTAS!$O$3:$O$42&lt;&gt;"")*ISNUMBER(SEARCH(LISTAS!$O$3:$O$42,$I1269&amp;" "&amp;$K1269)))&gt;0,"CERCANA","NACIONAL"))</f>
        <v/>
      </c>
      <c r="O1269" s="39">
        <f>IF($B1269="","",IF(COUNTIFS(NOVEDADES!$C$4:$C$2003,$B1269)=0,"—","SÍ ("&amp;COUNTIFS(NOVEDADES!$C$4:$C$2003,$B1269)&amp;")"))</f>
        <v/>
      </c>
    </row>
    <row r="1270">
      <c r="A1270" s="41" t="n"/>
      <c r="B1270" s="41" t="n"/>
      <c r="C1270" s="41" t="n"/>
      <c r="D1270" s="41" t="n"/>
      <c r="E1270" s="46" t="n"/>
      <c r="F1270" s="41" t="n"/>
      <c r="G1270" s="41" t="n"/>
      <c r="H1270" s="41" t="n"/>
      <c r="I1270" s="41" t="n"/>
      <c r="J1270" s="47" t="n"/>
      <c r="K1270" s="41" t="n"/>
      <c r="L1270" s="48" t="n"/>
      <c r="M1270" s="45" t="n"/>
      <c r="N1270" s="39">
        <f>IF($B1270="","",IF(SUMPRODUCT((LISTAS!$O$3:$O$42&lt;&gt;"")*ISNUMBER(SEARCH(LISTAS!$O$3:$O$42,$I1270&amp;" "&amp;$K1270)))&gt;0,"CERCANA","NACIONAL"))</f>
        <v/>
      </c>
      <c r="O1270" s="39">
        <f>IF($B1270="","",IF(COUNTIFS(NOVEDADES!$C$4:$C$2003,$B1270)=0,"—","SÍ ("&amp;COUNTIFS(NOVEDADES!$C$4:$C$2003,$B1270)&amp;")"))</f>
        <v/>
      </c>
    </row>
    <row r="1271">
      <c r="A1271" s="41" t="n"/>
      <c r="B1271" s="41" t="n"/>
      <c r="C1271" s="41" t="n"/>
      <c r="D1271" s="41" t="n"/>
      <c r="E1271" s="46" t="n"/>
      <c r="F1271" s="41" t="n"/>
      <c r="G1271" s="41" t="n"/>
      <c r="H1271" s="41" t="n"/>
      <c r="I1271" s="41" t="n"/>
      <c r="J1271" s="47" t="n"/>
      <c r="K1271" s="41" t="n"/>
      <c r="L1271" s="48" t="n"/>
      <c r="M1271" s="45" t="n"/>
      <c r="N1271" s="39">
        <f>IF($B1271="","",IF(SUMPRODUCT((LISTAS!$O$3:$O$42&lt;&gt;"")*ISNUMBER(SEARCH(LISTAS!$O$3:$O$42,$I1271&amp;" "&amp;$K1271)))&gt;0,"CERCANA","NACIONAL"))</f>
        <v/>
      </c>
      <c r="O1271" s="39">
        <f>IF($B1271="","",IF(COUNTIFS(NOVEDADES!$C$4:$C$2003,$B1271)=0,"—","SÍ ("&amp;COUNTIFS(NOVEDADES!$C$4:$C$2003,$B1271)&amp;")"))</f>
        <v/>
      </c>
    </row>
    <row r="1272">
      <c r="A1272" s="41" t="n"/>
      <c r="B1272" s="41" t="n"/>
      <c r="C1272" s="41" t="n"/>
      <c r="D1272" s="41" t="n"/>
      <c r="E1272" s="46" t="n"/>
      <c r="F1272" s="41" t="n"/>
      <c r="G1272" s="41" t="n"/>
      <c r="H1272" s="41" t="n"/>
      <c r="I1272" s="41" t="n"/>
      <c r="J1272" s="47" t="n"/>
      <c r="K1272" s="41" t="n"/>
      <c r="L1272" s="48" t="n"/>
      <c r="M1272" s="45" t="n"/>
      <c r="N1272" s="39">
        <f>IF($B1272="","",IF(SUMPRODUCT((LISTAS!$O$3:$O$42&lt;&gt;"")*ISNUMBER(SEARCH(LISTAS!$O$3:$O$42,$I1272&amp;" "&amp;$K1272)))&gt;0,"CERCANA","NACIONAL"))</f>
        <v/>
      </c>
      <c r="O1272" s="39">
        <f>IF($B1272="","",IF(COUNTIFS(NOVEDADES!$C$4:$C$2003,$B1272)=0,"—","SÍ ("&amp;COUNTIFS(NOVEDADES!$C$4:$C$2003,$B1272)&amp;")"))</f>
        <v/>
      </c>
    </row>
    <row r="1273">
      <c r="A1273" s="41" t="n"/>
      <c r="B1273" s="41" t="n"/>
      <c r="C1273" s="41" t="n"/>
      <c r="D1273" s="41" t="n"/>
      <c r="E1273" s="46" t="n"/>
      <c r="F1273" s="41" t="n"/>
      <c r="G1273" s="41" t="n"/>
      <c r="H1273" s="41" t="n"/>
      <c r="I1273" s="41" t="n"/>
      <c r="J1273" s="47" t="n"/>
      <c r="K1273" s="41" t="n"/>
      <c r="L1273" s="48" t="n"/>
      <c r="M1273" s="45" t="n"/>
      <c r="N1273" s="39">
        <f>IF($B1273="","",IF(SUMPRODUCT((LISTAS!$O$3:$O$42&lt;&gt;"")*ISNUMBER(SEARCH(LISTAS!$O$3:$O$42,$I1273&amp;" "&amp;$K1273)))&gt;0,"CERCANA","NACIONAL"))</f>
        <v/>
      </c>
      <c r="O1273" s="39">
        <f>IF($B1273="","",IF(COUNTIFS(NOVEDADES!$C$4:$C$2003,$B1273)=0,"—","SÍ ("&amp;COUNTIFS(NOVEDADES!$C$4:$C$2003,$B1273)&amp;")"))</f>
        <v/>
      </c>
    </row>
    <row r="1274">
      <c r="A1274" s="41" t="n"/>
      <c r="B1274" s="41" t="n"/>
      <c r="C1274" s="41" t="n"/>
      <c r="D1274" s="41" t="n"/>
      <c r="E1274" s="46" t="n"/>
      <c r="F1274" s="41" t="n"/>
      <c r="G1274" s="41" t="n"/>
      <c r="H1274" s="41" t="n"/>
      <c r="I1274" s="41" t="n"/>
      <c r="J1274" s="47" t="n"/>
      <c r="K1274" s="41" t="n"/>
      <c r="L1274" s="48" t="n"/>
      <c r="M1274" s="45" t="n"/>
      <c r="N1274" s="39">
        <f>IF($B1274="","",IF(SUMPRODUCT((LISTAS!$O$3:$O$42&lt;&gt;"")*ISNUMBER(SEARCH(LISTAS!$O$3:$O$42,$I1274&amp;" "&amp;$K1274)))&gt;0,"CERCANA","NACIONAL"))</f>
        <v/>
      </c>
      <c r="O1274" s="39">
        <f>IF($B1274="","",IF(COUNTIFS(NOVEDADES!$C$4:$C$2003,$B1274)=0,"—","SÍ ("&amp;COUNTIFS(NOVEDADES!$C$4:$C$2003,$B1274)&amp;")"))</f>
        <v/>
      </c>
    </row>
    <row r="1275">
      <c r="A1275" s="41" t="n"/>
      <c r="B1275" s="41" t="n"/>
      <c r="C1275" s="41" t="n"/>
      <c r="D1275" s="41" t="n"/>
      <c r="E1275" s="46" t="n"/>
      <c r="F1275" s="41" t="n"/>
      <c r="G1275" s="41" t="n"/>
      <c r="H1275" s="41" t="n"/>
      <c r="I1275" s="41" t="n"/>
      <c r="J1275" s="47" t="n"/>
      <c r="K1275" s="41" t="n"/>
      <c r="L1275" s="48" t="n"/>
      <c r="M1275" s="45" t="n"/>
      <c r="N1275" s="39">
        <f>IF($B1275="","",IF(SUMPRODUCT((LISTAS!$O$3:$O$42&lt;&gt;"")*ISNUMBER(SEARCH(LISTAS!$O$3:$O$42,$I1275&amp;" "&amp;$K1275)))&gt;0,"CERCANA","NACIONAL"))</f>
        <v/>
      </c>
      <c r="O1275" s="39">
        <f>IF($B1275="","",IF(COUNTIFS(NOVEDADES!$C$4:$C$2003,$B1275)=0,"—","SÍ ("&amp;COUNTIFS(NOVEDADES!$C$4:$C$2003,$B1275)&amp;")"))</f>
        <v/>
      </c>
    </row>
    <row r="1276">
      <c r="A1276" s="41" t="n"/>
      <c r="B1276" s="41" t="n"/>
      <c r="C1276" s="41" t="n"/>
      <c r="D1276" s="41" t="n"/>
      <c r="E1276" s="46" t="n"/>
      <c r="F1276" s="41" t="n"/>
      <c r="G1276" s="41" t="n"/>
      <c r="H1276" s="41" t="n"/>
      <c r="I1276" s="41" t="n"/>
      <c r="J1276" s="47" t="n"/>
      <c r="K1276" s="41" t="n"/>
      <c r="L1276" s="48" t="n"/>
      <c r="M1276" s="45" t="n"/>
      <c r="N1276" s="39">
        <f>IF($B1276="","",IF(SUMPRODUCT((LISTAS!$O$3:$O$42&lt;&gt;"")*ISNUMBER(SEARCH(LISTAS!$O$3:$O$42,$I1276&amp;" "&amp;$K1276)))&gt;0,"CERCANA","NACIONAL"))</f>
        <v/>
      </c>
      <c r="O1276" s="39">
        <f>IF($B1276="","",IF(COUNTIFS(NOVEDADES!$C$4:$C$2003,$B1276)=0,"—","SÍ ("&amp;COUNTIFS(NOVEDADES!$C$4:$C$2003,$B1276)&amp;")"))</f>
        <v/>
      </c>
    </row>
    <row r="1277">
      <c r="A1277" s="41" t="n"/>
      <c r="B1277" s="41" t="n"/>
      <c r="C1277" s="41" t="n"/>
      <c r="D1277" s="41" t="n"/>
      <c r="E1277" s="46" t="n"/>
      <c r="F1277" s="41" t="n"/>
      <c r="G1277" s="41" t="n"/>
      <c r="H1277" s="41" t="n"/>
      <c r="I1277" s="41" t="n"/>
      <c r="J1277" s="47" t="n"/>
      <c r="K1277" s="41" t="n"/>
      <c r="L1277" s="48" t="n"/>
      <c r="M1277" s="45" t="n"/>
      <c r="N1277" s="39">
        <f>IF($B1277="","",IF(SUMPRODUCT((LISTAS!$O$3:$O$42&lt;&gt;"")*ISNUMBER(SEARCH(LISTAS!$O$3:$O$42,$I1277&amp;" "&amp;$K1277)))&gt;0,"CERCANA","NACIONAL"))</f>
        <v/>
      </c>
      <c r="O1277" s="39">
        <f>IF($B1277="","",IF(COUNTIFS(NOVEDADES!$C$4:$C$2003,$B1277)=0,"—","SÍ ("&amp;COUNTIFS(NOVEDADES!$C$4:$C$2003,$B1277)&amp;")"))</f>
        <v/>
      </c>
    </row>
    <row r="1278">
      <c r="A1278" s="41" t="n"/>
      <c r="B1278" s="41" t="n"/>
      <c r="C1278" s="41" t="n"/>
      <c r="D1278" s="41" t="n"/>
      <c r="E1278" s="46" t="n"/>
      <c r="F1278" s="41" t="n"/>
      <c r="G1278" s="41" t="n"/>
      <c r="H1278" s="41" t="n"/>
      <c r="I1278" s="41" t="n"/>
      <c r="J1278" s="47" t="n"/>
      <c r="K1278" s="41" t="n"/>
      <c r="L1278" s="48" t="n"/>
      <c r="M1278" s="45" t="n"/>
      <c r="N1278" s="39">
        <f>IF($B1278="","",IF(SUMPRODUCT((LISTAS!$O$3:$O$42&lt;&gt;"")*ISNUMBER(SEARCH(LISTAS!$O$3:$O$42,$I1278&amp;" "&amp;$K1278)))&gt;0,"CERCANA","NACIONAL"))</f>
        <v/>
      </c>
      <c r="O1278" s="39">
        <f>IF($B1278="","",IF(COUNTIFS(NOVEDADES!$C$4:$C$2003,$B1278)=0,"—","SÍ ("&amp;COUNTIFS(NOVEDADES!$C$4:$C$2003,$B1278)&amp;")"))</f>
        <v/>
      </c>
    </row>
    <row r="1279">
      <c r="A1279" s="41" t="n"/>
      <c r="B1279" s="41" t="n"/>
      <c r="C1279" s="41" t="n"/>
      <c r="D1279" s="41" t="n"/>
      <c r="E1279" s="46" t="n"/>
      <c r="F1279" s="41" t="n"/>
      <c r="G1279" s="41" t="n"/>
      <c r="H1279" s="41" t="n"/>
      <c r="I1279" s="41" t="n"/>
      <c r="J1279" s="47" t="n"/>
      <c r="K1279" s="41" t="n"/>
      <c r="L1279" s="48" t="n"/>
      <c r="M1279" s="45" t="n"/>
      <c r="N1279" s="39">
        <f>IF($B1279="","",IF(SUMPRODUCT((LISTAS!$O$3:$O$42&lt;&gt;"")*ISNUMBER(SEARCH(LISTAS!$O$3:$O$42,$I1279&amp;" "&amp;$K1279)))&gt;0,"CERCANA","NACIONAL"))</f>
        <v/>
      </c>
      <c r="O1279" s="39">
        <f>IF($B1279="","",IF(COUNTIFS(NOVEDADES!$C$4:$C$2003,$B1279)=0,"—","SÍ ("&amp;COUNTIFS(NOVEDADES!$C$4:$C$2003,$B1279)&amp;")"))</f>
        <v/>
      </c>
    </row>
    <row r="1280">
      <c r="A1280" s="41" t="n"/>
      <c r="B1280" s="41" t="n"/>
      <c r="C1280" s="41" t="n"/>
      <c r="D1280" s="41" t="n"/>
      <c r="E1280" s="46" t="n"/>
      <c r="F1280" s="41" t="n"/>
      <c r="G1280" s="41" t="n"/>
      <c r="H1280" s="41" t="n"/>
      <c r="I1280" s="41" t="n"/>
      <c r="J1280" s="47" t="n"/>
      <c r="K1280" s="41" t="n"/>
      <c r="L1280" s="48" t="n"/>
      <c r="M1280" s="45" t="n"/>
      <c r="N1280" s="39">
        <f>IF($B1280="","",IF(SUMPRODUCT((LISTAS!$O$3:$O$42&lt;&gt;"")*ISNUMBER(SEARCH(LISTAS!$O$3:$O$42,$I1280&amp;" "&amp;$K1280)))&gt;0,"CERCANA","NACIONAL"))</f>
        <v/>
      </c>
      <c r="O1280" s="39">
        <f>IF($B1280="","",IF(COUNTIFS(NOVEDADES!$C$4:$C$2003,$B1280)=0,"—","SÍ ("&amp;COUNTIFS(NOVEDADES!$C$4:$C$2003,$B1280)&amp;")"))</f>
        <v/>
      </c>
    </row>
    <row r="1281">
      <c r="A1281" s="41" t="n"/>
      <c r="B1281" s="41" t="n"/>
      <c r="C1281" s="41" t="n"/>
      <c r="D1281" s="41" t="n"/>
      <c r="E1281" s="46" t="n"/>
      <c r="F1281" s="41" t="n"/>
      <c r="G1281" s="41" t="n"/>
      <c r="H1281" s="41" t="n"/>
      <c r="I1281" s="41" t="n"/>
      <c r="J1281" s="47" t="n"/>
      <c r="K1281" s="41" t="n"/>
      <c r="L1281" s="48" t="n"/>
      <c r="M1281" s="45" t="n"/>
      <c r="N1281" s="39">
        <f>IF($B1281="","",IF(SUMPRODUCT((LISTAS!$O$3:$O$42&lt;&gt;"")*ISNUMBER(SEARCH(LISTAS!$O$3:$O$42,$I1281&amp;" "&amp;$K1281)))&gt;0,"CERCANA","NACIONAL"))</f>
        <v/>
      </c>
      <c r="O1281" s="39">
        <f>IF($B1281="","",IF(COUNTIFS(NOVEDADES!$C$4:$C$2003,$B1281)=0,"—","SÍ ("&amp;COUNTIFS(NOVEDADES!$C$4:$C$2003,$B1281)&amp;")"))</f>
        <v/>
      </c>
    </row>
    <row r="1282">
      <c r="A1282" s="41" t="n"/>
      <c r="B1282" s="41" t="n"/>
      <c r="C1282" s="41" t="n"/>
      <c r="D1282" s="41" t="n"/>
      <c r="E1282" s="46" t="n"/>
      <c r="F1282" s="41" t="n"/>
      <c r="G1282" s="41" t="n"/>
      <c r="H1282" s="41" t="n"/>
      <c r="I1282" s="41" t="n"/>
      <c r="J1282" s="47" t="n"/>
      <c r="K1282" s="41" t="n"/>
      <c r="L1282" s="48" t="n"/>
      <c r="M1282" s="45" t="n"/>
      <c r="N1282" s="39">
        <f>IF($B1282="","",IF(SUMPRODUCT((LISTAS!$O$3:$O$42&lt;&gt;"")*ISNUMBER(SEARCH(LISTAS!$O$3:$O$42,$I1282&amp;" "&amp;$K1282)))&gt;0,"CERCANA","NACIONAL"))</f>
        <v/>
      </c>
      <c r="O1282" s="39">
        <f>IF($B1282="","",IF(COUNTIFS(NOVEDADES!$C$4:$C$2003,$B1282)=0,"—","SÍ ("&amp;COUNTIFS(NOVEDADES!$C$4:$C$2003,$B1282)&amp;")"))</f>
        <v/>
      </c>
    </row>
    <row r="1283">
      <c r="A1283" s="41" t="n"/>
      <c r="B1283" s="41" t="n"/>
      <c r="C1283" s="41" t="n"/>
      <c r="D1283" s="41" t="n"/>
      <c r="E1283" s="46" t="n"/>
      <c r="F1283" s="41" t="n"/>
      <c r="G1283" s="41" t="n"/>
      <c r="H1283" s="41" t="n"/>
      <c r="I1283" s="41" t="n"/>
      <c r="J1283" s="47" t="n"/>
      <c r="K1283" s="41" t="n"/>
      <c r="L1283" s="48" t="n"/>
      <c r="M1283" s="45" t="n"/>
      <c r="N1283" s="39">
        <f>IF($B1283="","",IF(SUMPRODUCT((LISTAS!$O$3:$O$42&lt;&gt;"")*ISNUMBER(SEARCH(LISTAS!$O$3:$O$42,$I1283&amp;" "&amp;$K1283)))&gt;0,"CERCANA","NACIONAL"))</f>
        <v/>
      </c>
      <c r="O1283" s="39">
        <f>IF($B1283="","",IF(COUNTIFS(NOVEDADES!$C$4:$C$2003,$B1283)=0,"—","SÍ ("&amp;COUNTIFS(NOVEDADES!$C$4:$C$2003,$B1283)&amp;")"))</f>
        <v/>
      </c>
    </row>
    <row r="1284">
      <c r="A1284" s="41" t="n"/>
      <c r="B1284" s="41" t="n"/>
      <c r="C1284" s="41" t="n"/>
      <c r="D1284" s="41" t="n"/>
      <c r="E1284" s="46" t="n"/>
      <c r="F1284" s="41" t="n"/>
      <c r="G1284" s="41" t="n"/>
      <c r="H1284" s="41" t="n"/>
      <c r="I1284" s="41" t="n"/>
      <c r="J1284" s="47" t="n"/>
      <c r="K1284" s="41" t="n"/>
      <c r="L1284" s="48" t="n"/>
      <c r="M1284" s="45" t="n"/>
      <c r="N1284" s="39">
        <f>IF($B1284="","",IF(SUMPRODUCT((LISTAS!$O$3:$O$42&lt;&gt;"")*ISNUMBER(SEARCH(LISTAS!$O$3:$O$42,$I1284&amp;" "&amp;$K1284)))&gt;0,"CERCANA","NACIONAL"))</f>
        <v/>
      </c>
      <c r="O1284" s="39">
        <f>IF($B1284="","",IF(COUNTIFS(NOVEDADES!$C$4:$C$2003,$B1284)=0,"—","SÍ ("&amp;COUNTIFS(NOVEDADES!$C$4:$C$2003,$B1284)&amp;")"))</f>
        <v/>
      </c>
    </row>
    <row r="1285">
      <c r="A1285" s="41" t="n"/>
      <c r="B1285" s="41" t="n"/>
      <c r="C1285" s="41" t="n"/>
      <c r="D1285" s="41" t="n"/>
      <c r="E1285" s="46" t="n"/>
      <c r="F1285" s="41" t="n"/>
      <c r="G1285" s="41" t="n"/>
      <c r="H1285" s="41" t="n"/>
      <c r="I1285" s="41" t="n"/>
      <c r="J1285" s="47" t="n"/>
      <c r="K1285" s="41" t="n"/>
      <c r="L1285" s="48" t="n"/>
      <c r="M1285" s="45" t="n"/>
      <c r="N1285" s="39">
        <f>IF($B1285="","",IF(SUMPRODUCT((LISTAS!$O$3:$O$42&lt;&gt;"")*ISNUMBER(SEARCH(LISTAS!$O$3:$O$42,$I1285&amp;" "&amp;$K1285)))&gt;0,"CERCANA","NACIONAL"))</f>
        <v/>
      </c>
      <c r="O1285" s="39">
        <f>IF($B1285="","",IF(COUNTIFS(NOVEDADES!$C$4:$C$2003,$B1285)=0,"—","SÍ ("&amp;COUNTIFS(NOVEDADES!$C$4:$C$2003,$B1285)&amp;")"))</f>
        <v/>
      </c>
    </row>
    <row r="1286">
      <c r="A1286" s="41" t="n"/>
      <c r="B1286" s="41" t="n"/>
      <c r="C1286" s="41" t="n"/>
      <c r="D1286" s="41" t="n"/>
      <c r="E1286" s="46" t="n"/>
      <c r="F1286" s="41" t="n"/>
      <c r="G1286" s="41" t="n"/>
      <c r="H1286" s="41" t="n"/>
      <c r="I1286" s="41" t="n"/>
      <c r="J1286" s="47" t="n"/>
      <c r="K1286" s="41" t="n"/>
      <c r="L1286" s="48" t="n"/>
      <c r="M1286" s="45" t="n"/>
      <c r="N1286" s="39">
        <f>IF($B1286="","",IF(SUMPRODUCT((LISTAS!$O$3:$O$42&lt;&gt;"")*ISNUMBER(SEARCH(LISTAS!$O$3:$O$42,$I1286&amp;" "&amp;$K1286)))&gt;0,"CERCANA","NACIONAL"))</f>
        <v/>
      </c>
      <c r="O1286" s="39">
        <f>IF($B1286="","",IF(COUNTIFS(NOVEDADES!$C$4:$C$2003,$B1286)=0,"—","SÍ ("&amp;COUNTIFS(NOVEDADES!$C$4:$C$2003,$B1286)&amp;")"))</f>
        <v/>
      </c>
    </row>
    <row r="1287">
      <c r="A1287" s="41" t="n"/>
      <c r="B1287" s="41" t="n"/>
      <c r="C1287" s="41" t="n"/>
      <c r="D1287" s="41" t="n"/>
      <c r="E1287" s="46" t="n"/>
      <c r="F1287" s="41" t="n"/>
      <c r="G1287" s="41" t="n"/>
      <c r="H1287" s="41" t="n"/>
      <c r="I1287" s="41" t="n"/>
      <c r="J1287" s="47" t="n"/>
      <c r="K1287" s="41" t="n"/>
      <c r="L1287" s="48" t="n"/>
      <c r="M1287" s="45" t="n"/>
      <c r="N1287" s="39">
        <f>IF($B1287="","",IF(SUMPRODUCT((LISTAS!$O$3:$O$42&lt;&gt;"")*ISNUMBER(SEARCH(LISTAS!$O$3:$O$42,$I1287&amp;" "&amp;$K1287)))&gt;0,"CERCANA","NACIONAL"))</f>
        <v/>
      </c>
      <c r="O1287" s="39">
        <f>IF($B1287="","",IF(COUNTIFS(NOVEDADES!$C$4:$C$2003,$B1287)=0,"—","SÍ ("&amp;COUNTIFS(NOVEDADES!$C$4:$C$2003,$B1287)&amp;")"))</f>
        <v/>
      </c>
    </row>
    <row r="1288">
      <c r="A1288" s="41" t="n"/>
      <c r="B1288" s="41" t="n"/>
      <c r="C1288" s="41" t="n"/>
      <c r="D1288" s="41" t="n"/>
      <c r="E1288" s="46" t="n"/>
      <c r="F1288" s="41" t="n"/>
      <c r="G1288" s="41" t="n"/>
      <c r="H1288" s="41" t="n"/>
      <c r="I1288" s="41" t="n"/>
      <c r="J1288" s="47" t="n"/>
      <c r="K1288" s="41" t="n"/>
      <c r="L1288" s="48" t="n"/>
      <c r="M1288" s="45" t="n"/>
      <c r="N1288" s="39">
        <f>IF($B1288="","",IF(SUMPRODUCT((LISTAS!$O$3:$O$42&lt;&gt;"")*ISNUMBER(SEARCH(LISTAS!$O$3:$O$42,$I1288&amp;" "&amp;$K1288)))&gt;0,"CERCANA","NACIONAL"))</f>
        <v/>
      </c>
      <c r="O1288" s="39">
        <f>IF($B1288="","",IF(COUNTIFS(NOVEDADES!$C$4:$C$2003,$B1288)=0,"—","SÍ ("&amp;COUNTIFS(NOVEDADES!$C$4:$C$2003,$B1288)&amp;")"))</f>
        <v/>
      </c>
    </row>
    <row r="1289">
      <c r="A1289" s="41" t="n"/>
      <c r="B1289" s="41" t="n"/>
      <c r="C1289" s="41" t="n"/>
      <c r="D1289" s="41" t="n"/>
      <c r="E1289" s="46" t="n"/>
      <c r="F1289" s="41" t="n"/>
      <c r="G1289" s="41" t="n"/>
      <c r="H1289" s="41" t="n"/>
      <c r="I1289" s="41" t="n"/>
      <c r="J1289" s="47" t="n"/>
      <c r="K1289" s="41" t="n"/>
      <c r="L1289" s="48" t="n"/>
      <c r="M1289" s="45" t="n"/>
      <c r="N1289" s="39">
        <f>IF($B1289="","",IF(SUMPRODUCT((LISTAS!$O$3:$O$42&lt;&gt;"")*ISNUMBER(SEARCH(LISTAS!$O$3:$O$42,$I1289&amp;" "&amp;$K1289)))&gt;0,"CERCANA","NACIONAL"))</f>
        <v/>
      </c>
      <c r="O1289" s="39">
        <f>IF($B1289="","",IF(COUNTIFS(NOVEDADES!$C$4:$C$2003,$B1289)=0,"—","SÍ ("&amp;COUNTIFS(NOVEDADES!$C$4:$C$2003,$B1289)&amp;")"))</f>
        <v/>
      </c>
    </row>
    <row r="1290">
      <c r="A1290" s="41" t="n"/>
      <c r="B1290" s="41" t="n"/>
      <c r="C1290" s="41" t="n"/>
      <c r="D1290" s="41" t="n"/>
      <c r="E1290" s="46" t="n"/>
      <c r="F1290" s="41" t="n"/>
      <c r="G1290" s="41" t="n"/>
      <c r="H1290" s="41" t="n"/>
      <c r="I1290" s="41" t="n"/>
      <c r="J1290" s="47" t="n"/>
      <c r="K1290" s="41" t="n"/>
      <c r="L1290" s="48" t="n"/>
      <c r="M1290" s="45" t="n"/>
      <c r="N1290" s="39">
        <f>IF($B1290="","",IF(SUMPRODUCT((LISTAS!$O$3:$O$42&lt;&gt;"")*ISNUMBER(SEARCH(LISTAS!$O$3:$O$42,$I1290&amp;" "&amp;$K1290)))&gt;0,"CERCANA","NACIONAL"))</f>
        <v/>
      </c>
      <c r="O1290" s="39">
        <f>IF($B1290="","",IF(COUNTIFS(NOVEDADES!$C$4:$C$2003,$B1290)=0,"—","SÍ ("&amp;COUNTIFS(NOVEDADES!$C$4:$C$2003,$B1290)&amp;")"))</f>
        <v/>
      </c>
    </row>
    <row r="1291">
      <c r="A1291" s="41" t="n"/>
      <c r="B1291" s="41" t="n"/>
      <c r="C1291" s="41" t="n"/>
      <c r="D1291" s="41" t="n"/>
      <c r="E1291" s="46" t="n"/>
      <c r="F1291" s="41" t="n"/>
      <c r="G1291" s="41" t="n"/>
      <c r="H1291" s="41" t="n"/>
      <c r="I1291" s="41" t="n"/>
      <c r="J1291" s="47" t="n"/>
      <c r="K1291" s="41" t="n"/>
      <c r="L1291" s="48" t="n"/>
      <c r="M1291" s="45" t="n"/>
      <c r="N1291" s="39">
        <f>IF($B1291="","",IF(SUMPRODUCT((LISTAS!$O$3:$O$42&lt;&gt;"")*ISNUMBER(SEARCH(LISTAS!$O$3:$O$42,$I1291&amp;" "&amp;$K1291)))&gt;0,"CERCANA","NACIONAL"))</f>
        <v/>
      </c>
      <c r="O1291" s="39">
        <f>IF($B1291="","",IF(COUNTIFS(NOVEDADES!$C$4:$C$2003,$B1291)=0,"—","SÍ ("&amp;COUNTIFS(NOVEDADES!$C$4:$C$2003,$B1291)&amp;")"))</f>
        <v/>
      </c>
    </row>
    <row r="1292">
      <c r="A1292" s="41" t="n"/>
      <c r="B1292" s="41" t="n"/>
      <c r="C1292" s="41" t="n"/>
      <c r="D1292" s="41" t="n"/>
      <c r="E1292" s="46" t="n"/>
      <c r="F1292" s="41" t="n"/>
      <c r="G1292" s="41" t="n"/>
      <c r="H1292" s="41" t="n"/>
      <c r="I1292" s="41" t="n"/>
      <c r="J1292" s="47" t="n"/>
      <c r="K1292" s="41" t="n"/>
      <c r="L1292" s="48" t="n"/>
      <c r="M1292" s="45" t="n"/>
      <c r="N1292" s="39">
        <f>IF($B1292="","",IF(SUMPRODUCT((LISTAS!$O$3:$O$42&lt;&gt;"")*ISNUMBER(SEARCH(LISTAS!$O$3:$O$42,$I1292&amp;" "&amp;$K1292)))&gt;0,"CERCANA","NACIONAL"))</f>
        <v/>
      </c>
      <c r="O1292" s="39">
        <f>IF($B1292="","",IF(COUNTIFS(NOVEDADES!$C$4:$C$2003,$B1292)=0,"—","SÍ ("&amp;COUNTIFS(NOVEDADES!$C$4:$C$2003,$B1292)&amp;")"))</f>
        <v/>
      </c>
    </row>
    <row r="1293">
      <c r="A1293" s="41" t="n"/>
      <c r="B1293" s="41" t="n"/>
      <c r="C1293" s="41" t="n"/>
      <c r="D1293" s="41" t="n"/>
      <c r="E1293" s="46" t="n"/>
      <c r="F1293" s="41" t="n"/>
      <c r="G1293" s="41" t="n"/>
      <c r="H1293" s="41" t="n"/>
      <c r="I1293" s="41" t="n"/>
      <c r="J1293" s="47" t="n"/>
      <c r="K1293" s="41" t="n"/>
      <c r="L1293" s="48" t="n"/>
      <c r="M1293" s="45" t="n"/>
      <c r="N1293" s="39">
        <f>IF($B1293="","",IF(SUMPRODUCT((LISTAS!$O$3:$O$42&lt;&gt;"")*ISNUMBER(SEARCH(LISTAS!$O$3:$O$42,$I1293&amp;" "&amp;$K1293)))&gt;0,"CERCANA","NACIONAL"))</f>
        <v/>
      </c>
      <c r="O1293" s="39">
        <f>IF($B1293="","",IF(COUNTIFS(NOVEDADES!$C$4:$C$2003,$B1293)=0,"—","SÍ ("&amp;COUNTIFS(NOVEDADES!$C$4:$C$2003,$B1293)&amp;")"))</f>
        <v/>
      </c>
    </row>
    <row r="1294">
      <c r="A1294" s="41" t="n"/>
      <c r="B1294" s="41" t="n"/>
      <c r="C1294" s="41" t="n"/>
      <c r="D1294" s="41" t="n"/>
      <c r="E1294" s="46" t="n"/>
      <c r="F1294" s="41" t="n"/>
      <c r="G1294" s="41" t="n"/>
      <c r="H1294" s="41" t="n"/>
      <c r="I1294" s="41" t="n"/>
      <c r="J1294" s="47" t="n"/>
      <c r="K1294" s="41" t="n"/>
      <c r="L1294" s="48" t="n"/>
      <c r="M1294" s="45" t="n"/>
      <c r="N1294" s="39">
        <f>IF($B1294="","",IF(SUMPRODUCT((LISTAS!$O$3:$O$42&lt;&gt;"")*ISNUMBER(SEARCH(LISTAS!$O$3:$O$42,$I1294&amp;" "&amp;$K1294)))&gt;0,"CERCANA","NACIONAL"))</f>
        <v/>
      </c>
      <c r="O1294" s="39">
        <f>IF($B1294="","",IF(COUNTIFS(NOVEDADES!$C$4:$C$2003,$B1294)=0,"—","SÍ ("&amp;COUNTIFS(NOVEDADES!$C$4:$C$2003,$B1294)&amp;")"))</f>
        <v/>
      </c>
    </row>
    <row r="1295">
      <c r="A1295" s="41" t="n"/>
      <c r="B1295" s="41" t="n"/>
      <c r="C1295" s="41" t="n"/>
      <c r="D1295" s="41" t="n"/>
      <c r="E1295" s="46" t="n"/>
      <c r="F1295" s="41" t="n"/>
      <c r="G1295" s="41" t="n"/>
      <c r="H1295" s="41" t="n"/>
      <c r="I1295" s="41" t="n"/>
      <c r="J1295" s="47" t="n"/>
      <c r="K1295" s="41" t="n"/>
      <c r="L1295" s="48" t="n"/>
      <c r="M1295" s="45" t="n"/>
      <c r="N1295" s="39">
        <f>IF($B1295="","",IF(SUMPRODUCT((LISTAS!$O$3:$O$42&lt;&gt;"")*ISNUMBER(SEARCH(LISTAS!$O$3:$O$42,$I1295&amp;" "&amp;$K1295)))&gt;0,"CERCANA","NACIONAL"))</f>
        <v/>
      </c>
      <c r="O1295" s="39">
        <f>IF($B1295="","",IF(COUNTIFS(NOVEDADES!$C$4:$C$2003,$B1295)=0,"—","SÍ ("&amp;COUNTIFS(NOVEDADES!$C$4:$C$2003,$B1295)&amp;")"))</f>
        <v/>
      </c>
    </row>
    <row r="1296">
      <c r="A1296" s="41" t="n"/>
      <c r="B1296" s="41" t="n"/>
      <c r="C1296" s="41" t="n"/>
      <c r="D1296" s="41" t="n"/>
      <c r="E1296" s="46" t="n"/>
      <c r="F1296" s="41" t="n"/>
      <c r="G1296" s="41" t="n"/>
      <c r="H1296" s="41" t="n"/>
      <c r="I1296" s="41" t="n"/>
      <c r="J1296" s="47" t="n"/>
      <c r="K1296" s="41" t="n"/>
      <c r="L1296" s="48" t="n"/>
      <c r="M1296" s="45" t="n"/>
      <c r="N1296" s="39">
        <f>IF($B1296="","",IF(SUMPRODUCT((LISTAS!$O$3:$O$42&lt;&gt;"")*ISNUMBER(SEARCH(LISTAS!$O$3:$O$42,$I1296&amp;" "&amp;$K1296)))&gt;0,"CERCANA","NACIONAL"))</f>
        <v/>
      </c>
      <c r="O1296" s="39">
        <f>IF($B1296="","",IF(COUNTIFS(NOVEDADES!$C$4:$C$2003,$B1296)=0,"—","SÍ ("&amp;COUNTIFS(NOVEDADES!$C$4:$C$2003,$B1296)&amp;")"))</f>
        <v/>
      </c>
    </row>
    <row r="1297">
      <c r="A1297" s="41" t="n"/>
      <c r="B1297" s="41" t="n"/>
      <c r="C1297" s="41" t="n"/>
      <c r="D1297" s="41" t="n"/>
      <c r="E1297" s="46" t="n"/>
      <c r="F1297" s="41" t="n"/>
      <c r="G1297" s="41" t="n"/>
      <c r="H1297" s="41" t="n"/>
      <c r="I1297" s="41" t="n"/>
      <c r="J1297" s="47" t="n"/>
      <c r="K1297" s="41" t="n"/>
      <c r="L1297" s="48" t="n"/>
      <c r="M1297" s="45" t="n"/>
      <c r="N1297" s="39">
        <f>IF($B1297="","",IF(SUMPRODUCT((LISTAS!$O$3:$O$42&lt;&gt;"")*ISNUMBER(SEARCH(LISTAS!$O$3:$O$42,$I1297&amp;" "&amp;$K1297)))&gt;0,"CERCANA","NACIONAL"))</f>
        <v/>
      </c>
      <c r="O1297" s="39">
        <f>IF($B1297="","",IF(COUNTIFS(NOVEDADES!$C$4:$C$2003,$B1297)=0,"—","SÍ ("&amp;COUNTIFS(NOVEDADES!$C$4:$C$2003,$B1297)&amp;")"))</f>
        <v/>
      </c>
    </row>
    <row r="1298">
      <c r="A1298" s="41" t="n"/>
      <c r="B1298" s="41" t="n"/>
      <c r="C1298" s="41" t="n"/>
      <c r="D1298" s="41" t="n"/>
      <c r="E1298" s="46" t="n"/>
      <c r="F1298" s="41" t="n"/>
      <c r="G1298" s="41" t="n"/>
      <c r="H1298" s="41" t="n"/>
      <c r="I1298" s="41" t="n"/>
      <c r="J1298" s="47" t="n"/>
      <c r="K1298" s="41" t="n"/>
      <c r="L1298" s="48" t="n"/>
      <c r="M1298" s="45" t="n"/>
      <c r="N1298" s="39">
        <f>IF($B1298="","",IF(SUMPRODUCT((LISTAS!$O$3:$O$42&lt;&gt;"")*ISNUMBER(SEARCH(LISTAS!$O$3:$O$42,$I1298&amp;" "&amp;$K1298)))&gt;0,"CERCANA","NACIONAL"))</f>
        <v/>
      </c>
      <c r="O1298" s="39">
        <f>IF($B1298="","",IF(COUNTIFS(NOVEDADES!$C$4:$C$2003,$B1298)=0,"—","SÍ ("&amp;COUNTIFS(NOVEDADES!$C$4:$C$2003,$B1298)&amp;")"))</f>
        <v/>
      </c>
    </row>
    <row r="1299">
      <c r="A1299" s="41" t="n"/>
      <c r="B1299" s="41" t="n"/>
      <c r="C1299" s="41" t="n"/>
      <c r="D1299" s="41" t="n"/>
      <c r="E1299" s="46" t="n"/>
      <c r="F1299" s="41" t="n"/>
      <c r="G1299" s="41" t="n"/>
      <c r="H1299" s="41" t="n"/>
      <c r="I1299" s="41" t="n"/>
      <c r="J1299" s="47" t="n"/>
      <c r="K1299" s="41" t="n"/>
      <c r="L1299" s="48" t="n"/>
      <c r="M1299" s="45" t="n"/>
      <c r="N1299" s="39">
        <f>IF($B1299="","",IF(SUMPRODUCT((LISTAS!$O$3:$O$42&lt;&gt;"")*ISNUMBER(SEARCH(LISTAS!$O$3:$O$42,$I1299&amp;" "&amp;$K1299)))&gt;0,"CERCANA","NACIONAL"))</f>
        <v/>
      </c>
      <c r="O1299" s="39">
        <f>IF($B1299="","",IF(COUNTIFS(NOVEDADES!$C$4:$C$2003,$B1299)=0,"—","SÍ ("&amp;COUNTIFS(NOVEDADES!$C$4:$C$2003,$B1299)&amp;")"))</f>
        <v/>
      </c>
    </row>
    <row r="1300">
      <c r="A1300" s="41" t="n"/>
      <c r="B1300" s="41" t="n"/>
      <c r="C1300" s="41" t="n"/>
      <c r="D1300" s="41" t="n"/>
      <c r="E1300" s="46" t="n"/>
      <c r="F1300" s="41" t="n"/>
      <c r="G1300" s="41" t="n"/>
      <c r="H1300" s="41" t="n"/>
      <c r="I1300" s="41" t="n"/>
      <c r="J1300" s="47" t="n"/>
      <c r="K1300" s="41" t="n"/>
      <c r="L1300" s="48" t="n"/>
      <c r="M1300" s="45" t="n"/>
      <c r="N1300" s="39">
        <f>IF($B1300="","",IF(SUMPRODUCT((LISTAS!$O$3:$O$42&lt;&gt;"")*ISNUMBER(SEARCH(LISTAS!$O$3:$O$42,$I1300&amp;" "&amp;$K1300)))&gt;0,"CERCANA","NACIONAL"))</f>
        <v/>
      </c>
      <c r="O1300" s="39">
        <f>IF($B1300="","",IF(COUNTIFS(NOVEDADES!$C$4:$C$2003,$B1300)=0,"—","SÍ ("&amp;COUNTIFS(NOVEDADES!$C$4:$C$2003,$B1300)&amp;")"))</f>
        <v/>
      </c>
    </row>
    <row r="1301">
      <c r="A1301" s="41" t="n"/>
      <c r="B1301" s="41" t="n"/>
      <c r="C1301" s="41" t="n"/>
      <c r="D1301" s="41" t="n"/>
      <c r="E1301" s="46" t="n"/>
      <c r="F1301" s="41" t="n"/>
      <c r="G1301" s="41" t="n"/>
      <c r="H1301" s="41" t="n"/>
      <c r="I1301" s="41" t="n"/>
      <c r="J1301" s="47" t="n"/>
      <c r="K1301" s="41" t="n"/>
      <c r="L1301" s="48" t="n"/>
      <c r="M1301" s="45" t="n"/>
      <c r="N1301" s="39">
        <f>IF($B1301="","",IF(SUMPRODUCT((LISTAS!$O$3:$O$42&lt;&gt;"")*ISNUMBER(SEARCH(LISTAS!$O$3:$O$42,$I1301&amp;" "&amp;$K1301)))&gt;0,"CERCANA","NACIONAL"))</f>
        <v/>
      </c>
      <c r="O1301" s="39">
        <f>IF($B1301="","",IF(COUNTIFS(NOVEDADES!$C$4:$C$2003,$B1301)=0,"—","SÍ ("&amp;COUNTIFS(NOVEDADES!$C$4:$C$2003,$B1301)&amp;")"))</f>
        <v/>
      </c>
    </row>
    <row r="1302">
      <c r="A1302" s="41" t="n"/>
      <c r="B1302" s="41" t="n"/>
      <c r="C1302" s="41" t="n"/>
      <c r="D1302" s="41" t="n"/>
      <c r="E1302" s="46" t="n"/>
      <c r="F1302" s="41" t="n"/>
      <c r="G1302" s="41" t="n"/>
      <c r="H1302" s="41" t="n"/>
      <c r="I1302" s="41" t="n"/>
      <c r="J1302" s="47" t="n"/>
      <c r="K1302" s="41" t="n"/>
      <c r="L1302" s="48" t="n"/>
      <c r="M1302" s="45" t="n"/>
      <c r="N1302" s="39">
        <f>IF($B1302="","",IF(SUMPRODUCT((LISTAS!$O$3:$O$42&lt;&gt;"")*ISNUMBER(SEARCH(LISTAS!$O$3:$O$42,$I1302&amp;" "&amp;$K1302)))&gt;0,"CERCANA","NACIONAL"))</f>
        <v/>
      </c>
      <c r="O1302" s="39">
        <f>IF($B1302="","",IF(COUNTIFS(NOVEDADES!$C$4:$C$2003,$B1302)=0,"—","SÍ ("&amp;COUNTIFS(NOVEDADES!$C$4:$C$2003,$B1302)&amp;")"))</f>
        <v/>
      </c>
    </row>
    <row r="1303">
      <c r="A1303" s="41" t="n"/>
      <c r="B1303" s="41" t="n"/>
      <c r="C1303" s="41" t="n"/>
      <c r="D1303" s="41" t="n"/>
      <c r="E1303" s="46" t="n"/>
      <c r="F1303" s="41" t="n"/>
      <c r="G1303" s="41" t="n"/>
      <c r="H1303" s="41" t="n"/>
      <c r="I1303" s="41" t="n"/>
      <c r="J1303" s="47" t="n"/>
      <c r="K1303" s="41" t="n"/>
      <c r="L1303" s="48" t="n"/>
      <c r="M1303" s="45" t="n"/>
      <c r="N1303" s="39">
        <f>IF($B1303="","",IF(SUMPRODUCT((LISTAS!$O$3:$O$42&lt;&gt;"")*ISNUMBER(SEARCH(LISTAS!$O$3:$O$42,$I1303&amp;" "&amp;$K1303)))&gt;0,"CERCANA","NACIONAL"))</f>
        <v/>
      </c>
      <c r="O1303" s="39">
        <f>IF($B1303="","",IF(COUNTIFS(NOVEDADES!$C$4:$C$2003,$B1303)=0,"—","SÍ ("&amp;COUNTIFS(NOVEDADES!$C$4:$C$2003,$B1303)&amp;")"))</f>
        <v/>
      </c>
    </row>
    <row r="1304">
      <c r="A1304" s="41" t="n"/>
      <c r="B1304" s="41" t="n"/>
      <c r="C1304" s="41" t="n"/>
      <c r="D1304" s="41" t="n"/>
      <c r="E1304" s="46" t="n"/>
      <c r="F1304" s="41" t="n"/>
      <c r="G1304" s="41" t="n"/>
      <c r="H1304" s="41" t="n"/>
      <c r="I1304" s="41" t="n"/>
      <c r="J1304" s="47" t="n"/>
      <c r="K1304" s="41" t="n"/>
      <c r="L1304" s="48" t="n"/>
      <c r="M1304" s="45" t="n"/>
      <c r="N1304" s="39">
        <f>IF($B1304="","",IF(SUMPRODUCT((LISTAS!$O$3:$O$42&lt;&gt;"")*ISNUMBER(SEARCH(LISTAS!$O$3:$O$42,$I1304&amp;" "&amp;$K1304)))&gt;0,"CERCANA","NACIONAL"))</f>
        <v/>
      </c>
      <c r="O1304" s="39">
        <f>IF($B1304="","",IF(COUNTIFS(NOVEDADES!$C$4:$C$2003,$B1304)=0,"—","SÍ ("&amp;COUNTIFS(NOVEDADES!$C$4:$C$2003,$B1304)&amp;")"))</f>
        <v/>
      </c>
    </row>
    <row r="1305">
      <c r="A1305" s="41" t="n"/>
      <c r="B1305" s="41" t="n"/>
      <c r="C1305" s="41" t="n"/>
      <c r="D1305" s="41" t="n"/>
      <c r="E1305" s="46" t="n"/>
      <c r="F1305" s="41" t="n"/>
      <c r="G1305" s="41" t="n"/>
      <c r="H1305" s="41" t="n"/>
      <c r="I1305" s="41" t="n"/>
      <c r="J1305" s="47" t="n"/>
      <c r="K1305" s="41" t="n"/>
      <c r="L1305" s="48" t="n"/>
      <c r="M1305" s="45" t="n"/>
      <c r="N1305" s="39">
        <f>IF($B1305="","",IF(SUMPRODUCT((LISTAS!$O$3:$O$42&lt;&gt;"")*ISNUMBER(SEARCH(LISTAS!$O$3:$O$42,$I1305&amp;" "&amp;$K1305)))&gt;0,"CERCANA","NACIONAL"))</f>
        <v/>
      </c>
      <c r="O1305" s="39">
        <f>IF($B1305="","",IF(COUNTIFS(NOVEDADES!$C$4:$C$2003,$B1305)=0,"—","SÍ ("&amp;COUNTIFS(NOVEDADES!$C$4:$C$2003,$B1305)&amp;")"))</f>
        <v/>
      </c>
    </row>
    <row r="1306">
      <c r="A1306" s="41" t="n"/>
      <c r="B1306" s="41" t="n"/>
      <c r="C1306" s="41" t="n"/>
      <c r="D1306" s="41" t="n"/>
      <c r="E1306" s="46" t="n"/>
      <c r="F1306" s="41" t="n"/>
      <c r="G1306" s="41" t="n"/>
      <c r="H1306" s="41" t="n"/>
      <c r="I1306" s="41" t="n"/>
      <c r="J1306" s="47" t="n"/>
      <c r="K1306" s="41" t="n"/>
      <c r="L1306" s="48" t="n"/>
      <c r="M1306" s="45" t="n"/>
      <c r="N1306" s="39">
        <f>IF($B1306="","",IF(SUMPRODUCT((LISTAS!$O$3:$O$42&lt;&gt;"")*ISNUMBER(SEARCH(LISTAS!$O$3:$O$42,$I1306&amp;" "&amp;$K1306)))&gt;0,"CERCANA","NACIONAL"))</f>
        <v/>
      </c>
      <c r="O1306" s="39">
        <f>IF($B1306="","",IF(COUNTIFS(NOVEDADES!$C$4:$C$2003,$B1306)=0,"—","SÍ ("&amp;COUNTIFS(NOVEDADES!$C$4:$C$2003,$B1306)&amp;")"))</f>
        <v/>
      </c>
    </row>
    <row r="1307">
      <c r="A1307" s="41" t="n"/>
      <c r="B1307" s="41" t="n"/>
      <c r="C1307" s="41" t="n"/>
      <c r="D1307" s="41" t="n"/>
      <c r="E1307" s="46" t="n"/>
      <c r="F1307" s="41" t="n"/>
      <c r="G1307" s="41" t="n"/>
      <c r="H1307" s="41" t="n"/>
      <c r="I1307" s="41" t="n"/>
      <c r="J1307" s="47" t="n"/>
      <c r="K1307" s="41" t="n"/>
      <c r="L1307" s="48" t="n"/>
      <c r="M1307" s="45" t="n"/>
      <c r="N1307" s="39">
        <f>IF($B1307="","",IF(SUMPRODUCT((LISTAS!$O$3:$O$42&lt;&gt;"")*ISNUMBER(SEARCH(LISTAS!$O$3:$O$42,$I1307&amp;" "&amp;$K1307)))&gt;0,"CERCANA","NACIONAL"))</f>
        <v/>
      </c>
      <c r="O1307" s="39">
        <f>IF($B1307="","",IF(COUNTIFS(NOVEDADES!$C$4:$C$2003,$B1307)=0,"—","SÍ ("&amp;COUNTIFS(NOVEDADES!$C$4:$C$2003,$B1307)&amp;")"))</f>
        <v/>
      </c>
    </row>
    <row r="1308">
      <c r="A1308" s="41" t="n"/>
      <c r="B1308" s="41" t="n"/>
      <c r="C1308" s="41" t="n"/>
      <c r="D1308" s="41" t="n"/>
      <c r="E1308" s="46" t="n"/>
      <c r="F1308" s="41" t="n"/>
      <c r="G1308" s="41" t="n"/>
      <c r="H1308" s="41" t="n"/>
      <c r="I1308" s="41" t="n"/>
      <c r="J1308" s="47" t="n"/>
      <c r="K1308" s="41" t="n"/>
      <c r="L1308" s="48" t="n"/>
      <c r="M1308" s="45" t="n"/>
      <c r="N1308" s="39">
        <f>IF($B1308="","",IF(SUMPRODUCT((LISTAS!$O$3:$O$42&lt;&gt;"")*ISNUMBER(SEARCH(LISTAS!$O$3:$O$42,$I1308&amp;" "&amp;$K1308)))&gt;0,"CERCANA","NACIONAL"))</f>
        <v/>
      </c>
      <c r="O1308" s="39">
        <f>IF($B1308="","",IF(COUNTIFS(NOVEDADES!$C$4:$C$2003,$B1308)=0,"—","SÍ ("&amp;COUNTIFS(NOVEDADES!$C$4:$C$2003,$B1308)&amp;")"))</f>
        <v/>
      </c>
    </row>
    <row r="1309">
      <c r="A1309" s="41" t="n"/>
      <c r="B1309" s="41" t="n"/>
      <c r="C1309" s="41" t="n"/>
      <c r="D1309" s="41" t="n"/>
      <c r="E1309" s="46" t="n"/>
      <c r="F1309" s="41" t="n"/>
      <c r="G1309" s="41" t="n"/>
      <c r="H1309" s="41" t="n"/>
      <c r="I1309" s="41" t="n"/>
      <c r="J1309" s="47" t="n"/>
      <c r="K1309" s="41" t="n"/>
      <c r="L1309" s="48" t="n"/>
      <c r="M1309" s="45" t="n"/>
      <c r="N1309" s="39">
        <f>IF($B1309="","",IF(SUMPRODUCT((LISTAS!$O$3:$O$42&lt;&gt;"")*ISNUMBER(SEARCH(LISTAS!$O$3:$O$42,$I1309&amp;" "&amp;$K1309)))&gt;0,"CERCANA","NACIONAL"))</f>
        <v/>
      </c>
      <c r="O1309" s="39">
        <f>IF($B1309="","",IF(COUNTIFS(NOVEDADES!$C$4:$C$2003,$B1309)=0,"—","SÍ ("&amp;COUNTIFS(NOVEDADES!$C$4:$C$2003,$B1309)&amp;")"))</f>
        <v/>
      </c>
    </row>
    <row r="1310">
      <c r="A1310" s="41" t="n"/>
      <c r="B1310" s="41" t="n"/>
      <c r="C1310" s="41" t="n"/>
      <c r="D1310" s="41" t="n"/>
      <c r="E1310" s="46" t="n"/>
      <c r="F1310" s="41" t="n"/>
      <c r="G1310" s="41" t="n"/>
      <c r="H1310" s="41" t="n"/>
      <c r="I1310" s="41" t="n"/>
      <c r="J1310" s="47" t="n"/>
      <c r="K1310" s="41" t="n"/>
      <c r="L1310" s="48" t="n"/>
      <c r="M1310" s="45" t="n"/>
      <c r="N1310" s="39">
        <f>IF($B1310="","",IF(SUMPRODUCT((LISTAS!$O$3:$O$42&lt;&gt;"")*ISNUMBER(SEARCH(LISTAS!$O$3:$O$42,$I1310&amp;" "&amp;$K1310)))&gt;0,"CERCANA","NACIONAL"))</f>
        <v/>
      </c>
      <c r="O1310" s="39">
        <f>IF($B1310="","",IF(COUNTIFS(NOVEDADES!$C$4:$C$2003,$B1310)=0,"—","SÍ ("&amp;COUNTIFS(NOVEDADES!$C$4:$C$2003,$B1310)&amp;")"))</f>
        <v/>
      </c>
    </row>
    <row r="1311">
      <c r="A1311" s="41" t="n"/>
      <c r="B1311" s="41" t="n"/>
      <c r="C1311" s="41" t="n"/>
      <c r="D1311" s="41" t="n"/>
      <c r="E1311" s="46" t="n"/>
      <c r="F1311" s="41" t="n"/>
      <c r="G1311" s="41" t="n"/>
      <c r="H1311" s="41" t="n"/>
      <c r="I1311" s="41" t="n"/>
      <c r="J1311" s="47" t="n"/>
      <c r="K1311" s="41" t="n"/>
      <c r="L1311" s="48" t="n"/>
      <c r="M1311" s="45" t="n"/>
      <c r="N1311" s="39">
        <f>IF($B1311="","",IF(SUMPRODUCT((LISTAS!$O$3:$O$42&lt;&gt;"")*ISNUMBER(SEARCH(LISTAS!$O$3:$O$42,$I1311&amp;" "&amp;$K1311)))&gt;0,"CERCANA","NACIONAL"))</f>
        <v/>
      </c>
      <c r="O1311" s="39">
        <f>IF($B1311="","",IF(COUNTIFS(NOVEDADES!$C$4:$C$2003,$B1311)=0,"—","SÍ ("&amp;COUNTIFS(NOVEDADES!$C$4:$C$2003,$B1311)&amp;")"))</f>
        <v/>
      </c>
    </row>
    <row r="1312">
      <c r="A1312" s="41" t="n"/>
      <c r="B1312" s="41" t="n"/>
      <c r="C1312" s="41" t="n"/>
      <c r="D1312" s="41" t="n"/>
      <c r="E1312" s="46" t="n"/>
      <c r="F1312" s="41" t="n"/>
      <c r="G1312" s="41" t="n"/>
      <c r="H1312" s="41" t="n"/>
      <c r="I1312" s="41" t="n"/>
      <c r="J1312" s="47" t="n"/>
      <c r="K1312" s="41" t="n"/>
      <c r="L1312" s="48" t="n"/>
      <c r="M1312" s="45" t="n"/>
      <c r="N1312" s="39">
        <f>IF($B1312="","",IF(SUMPRODUCT((LISTAS!$O$3:$O$42&lt;&gt;"")*ISNUMBER(SEARCH(LISTAS!$O$3:$O$42,$I1312&amp;" "&amp;$K1312)))&gt;0,"CERCANA","NACIONAL"))</f>
        <v/>
      </c>
      <c r="O1312" s="39">
        <f>IF($B1312="","",IF(COUNTIFS(NOVEDADES!$C$4:$C$2003,$B1312)=0,"—","SÍ ("&amp;COUNTIFS(NOVEDADES!$C$4:$C$2003,$B1312)&amp;")"))</f>
        <v/>
      </c>
    </row>
    <row r="1313">
      <c r="A1313" s="41" t="n"/>
      <c r="B1313" s="41" t="n"/>
      <c r="C1313" s="41" t="n"/>
      <c r="D1313" s="41" t="n"/>
      <c r="E1313" s="46" t="n"/>
      <c r="F1313" s="41" t="n"/>
      <c r="G1313" s="41" t="n"/>
      <c r="H1313" s="41" t="n"/>
      <c r="I1313" s="41" t="n"/>
      <c r="J1313" s="47" t="n"/>
      <c r="K1313" s="41" t="n"/>
      <c r="L1313" s="48" t="n"/>
      <c r="M1313" s="45" t="n"/>
      <c r="N1313" s="39">
        <f>IF($B1313="","",IF(SUMPRODUCT((LISTAS!$O$3:$O$42&lt;&gt;"")*ISNUMBER(SEARCH(LISTAS!$O$3:$O$42,$I1313&amp;" "&amp;$K1313)))&gt;0,"CERCANA","NACIONAL"))</f>
        <v/>
      </c>
      <c r="O1313" s="39">
        <f>IF($B1313="","",IF(COUNTIFS(NOVEDADES!$C$4:$C$2003,$B1313)=0,"—","SÍ ("&amp;COUNTIFS(NOVEDADES!$C$4:$C$2003,$B1313)&amp;")"))</f>
        <v/>
      </c>
    </row>
    <row r="1314">
      <c r="A1314" s="41" t="n"/>
      <c r="B1314" s="41" t="n"/>
      <c r="C1314" s="41" t="n"/>
      <c r="D1314" s="41" t="n"/>
      <c r="E1314" s="46" t="n"/>
      <c r="F1314" s="41" t="n"/>
      <c r="G1314" s="41" t="n"/>
      <c r="H1314" s="41" t="n"/>
      <c r="I1314" s="41" t="n"/>
      <c r="J1314" s="47" t="n"/>
      <c r="K1314" s="41" t="n"/>
      <c r="L1314" s="48" t="n"/>
      <c r="M1314" s="45" t="n"/>
      <c r="N1314" s="39">
        <f>IF($B1314="","",IF(SUMPRODUCT((LISTAS!$O$3:$O$42&lt;&gt;"")*ISNUMBER(SEARCH(LISTAS!$O$3:$O$42,$I1314&amp;" "&amp;$K1314)))&gt;0,"CERCANA","NACIONAL"))</f>
        <v/>
      </c>
      <c r="O1314" s="39">
        <f>IF($B1314="","",IF(COUNTIFS(NOVEDADES!$C$4:$C$2003,$B1314)=0,"—","SÍ ("&amp;COUNTIFS(NOVEDADES!$C$4:$C$2003,$B1314)&amp;")"))</f>
        <v/>
      </c>
    </row>
    <row r="1315">
      <c r="A1315" s="41" t="n"/>
      <c r="B1315" s="41" t="n"/>
      <c r="C1315" s="41" t="n"/>
      <c r="D1315" s="41" t="n"/>
      <c r="E1315" s="46" t="n"/>
      <c r="F1315" s="41" t="n"/>
      <c r="G1315" s="41" t="n"/>
      <c r="H1315" s="41" t="n"/>
      <c r="I1315" s="41" t="n"/>
      <c r="J1315" s="47" t="n"/>
      <c r="K1315" s="41" t="n"/>
      <c r="L1315" s="48" t="n"/>
      <c r="M1315" s="45" t="n"/>
      <c r="N1315" s="39">
        <f>IF($B1315="","",IF(SUMPRODUCT((LISTAS!$O$3:$O$42&lt;&gt;"")*ISNUMBER(SEARCH(LISTAS!$O$3:$O$42,$I1315&amp;" "&amp;$K1315)))&gt;0,"CERCANA","NACIONAL"))</f>
        <v/>
      </c>
      <c r="O1315" s="39">
        <f>IF($B1315="","",IF(COUNTIFS(NOVEDADES!$C$4:$C$2003,$B1315)=0,"—","SÍ ("&amp;COUNTIFS(NOVEDADES!$C$4:$C$2003,$B1315)&amp;")"))</f>
        <v/>
      </c>
    </row>
    <row r="1316">
      <c r="A1316" s="41" t="n"/>
      <c r="B1316" s="41" t="n"/>
      <c r="C1316" s="41" t="n"/>
      <c r="D1316" s="41" t="n"/>
      <c r="E1316" s="46" t="n"/>
      <c r="F1316" s="41" t="n"/>
      <c r="G1316" s="41" t="n"/>
      <c r="H1316" s="41" t="n"/>
      <c r="I1316" s="41" t="n"/>
      <c r="J1316" s="47" t="n"/>
      <c r="K1316" s="41" t="n"/>
      <c r="L1316" s="48" t="n"/>
      <c r="M1316" s="45" t="n"/>
      <c r="N1316" s="39">
        <f>IF($B1316="","",IF(SUMPRODUCT((LISTAS!$O$3:$O$42&lt;&gt;"")*ISNUMBER(SEARCH(LISTAS!$O$3:$O$42,$I1316&amp;" "&amp;$K1316)))&gt;0,"CERCANA","NACIONAL"))</f>
        <v/>
      </c>
      <c r="O1316" s="39">
        <f>IF($B1316="","",IF(COUNTIFS(NOVEDADES!$C$4:$C$2003,$B1316)=0,"—","SÍ ("&amp;COUNTIFS(NOVEDADES!$C$4:$C$2003,$B1316)&amp;")"))</f>
        <v/>
      </c>
    </row>
    <row r="1317">
      <c r="A1317" s="41" t="n"/>
      <c r="B1317" s="41" t="n"/>
      <c r="C1317" s="41" t="n"/>
      <c r="D1317" s="41" t="n"/>
      <c r="E1317" s="46" t="n"/>
      <c r="F1317" s="41" t="n"/>
      <c r="G1317" s="41" t="n"/>
      <c r="H1317" s="41" t="n"/>
      <c r="I1317" s="41" t="n"/>
      <c r="J1317" s="47" t="n"/>
      <c r="K1317" s="41" t="n"/>
      <c r="L1317" s="48" t="n"/>
      <c r="M1317" s="45" t="n"/>
      <c r="N1317" s="39">
        <f>IF($B1317="","",IF(SUMPRODUCT((LISTAS!$O$3:$O$42&lt;&gt;"")*ISNUMBER(SEARCH(LISTAS!$O$3:$O$42,$I1317&amp;" "&amp;$K1317)))&gt;0,"CERCANA","NACIONAL"))</f>
        <v/>
      </c>
      <c r="O1317" s="39">
        <f>IF($B1317="","",IF(COUNTIFS(NOVEDADES!$C$4:$C$2003,$B1317)=0,"—","SÍ ("&amp;COUNTIFS(NOVEDADES!$C$4:$C$2003,$B1317)&amp;")"))</f>
        <v/>
      </c>
    </row>
    <row r="1318">
      <c r="A1318" s="41" t="n"/>
      <c r="B1318" s="41" t="n"/>
      <c r="C1318" s="41" t="n"/>
      <c r="D1318" s="41" t="n"/>
      <c r="E1318" s="46" t="n"/>
      <c r="F1318" s="41" t="n"/>
      <c r="G1318" s="41" t="n"/>
      <c r="H1318" s="41" t="n"/>
      <c r="I1318" s="41" t="n"/>
      <c r="J1318" s="47" t="n"/>
      <c r="K1318" s="41" t="n"/>
      <c r="L1318" s="48" t="n"/>
      <c r="M1318" s="45" t="n"/>
      <c r="N1318" s="39">
        <f>IF($B1318="","",IF(SUMPRODUCT((LISTAS!$O$3:$O$42&lt;&gt;"")*ISNUMBER(SEARCH(LISTAS!$O$3:$O$42,$I1318&amp;" "&amp;$K1318)))&gt;0,"CERCANA","NACIONAL"))</f>
        <v/>
      </c>
      <c r="O1318" s="39">
        <f>IF($B1318="","",IF(COUNTIFS(NOVEDADES!$C$4:$C$2003,$B1318)=0,"—","SÍ ("&amp;COUNTIFS(NOVEDADES!$C$4:$C$2003,$B1318)&amp;")"))</f>
        <v/>
      </c>
    </row>
    <row r="1319">
      <c r="A1319" s="41" t="n"/>
      <c r="B1319" s="41" t="n"/>
      <c r="C1319" s="41" t="n"/>
      <c r="D1319" s="41" t="n"/>
      <c r="E1319" s="46" t="n"/>
      <c r="F1319" s="41" t="n"/>
      <c r="G1319" s="41" t="n"/>
      <c r="H1319" s="41" t="n"/>
      <c r="I1319" s="41" t="n"/>
      <c r="J1319" s="47" t="n"/>
      <c r="K1319" s="41" t="n"/>
      <c r="L1319" s="48" t="n"/>
      <c r="M1319" s="45" t="n"/>
      <c r="N1319" s="39">
        <f>IF($B1319="","",IF(SUMPRODUCT((LISTAS!$O$3:$O$42&lt;&gt;"")*ISNUMBER(SEARCH(LISTAS!$O$3:$O$42,$I1319&amp;" "&amp;$K1319)))&gt;0,"CERCANA","NACIONAL"))</f>
        <v/>
      </c>
      <c r="O1319" s="39">
        <f>IF($B1319="","",IF(COUNTIFS(NOVEDADES!$C$4:$C$2003,$B1319)=0,"—","SÍ ("&amp;COUNTIFS(NOVEDADES!$C$4:$C$2003,$B1319)&amp;")"))</f>
        <v/>
      </c>
    </row>
    <row r="1320">
      <c r="A1320" s="41" t="n"/>
      <c r="B1320" s="41" t="n"/>
      <c r="C1320" s="41" t="n"/>
      <c r="D1320" s="41" t="n"/>
      <c r="E1320" s="46" t="n"/>
      <c r="F1320" s="41" t="n"/>
      <c r="G1320" s="41" t="n"/>
      <c r="H1320" s="41" t="n"/>
      <c r="I1320" s="41" t="n"/>
      <c r="J1320" s="47" t="n"/>
      <c r="K1320" s="41" t="n"/>
      <c r="L1320" s="48" t="n"/>
      <c r="M1320" s="45" t="n"/>
      <c r="N1320" s="39">
        <f>IF($B1320="","",IF(SUMPRODUCT((LISTAS!$O$3:$O$42&lt;&gt;"")*ISNUMBER(SEARCH(LISTAS!$O$3:$O$42,$I1320&amp;" "&amp;$K1320)))&gt;0,"CERCANA","NACIONAL"))</f>
        <v/>
      </c>
      <c r="O1320" s="39">
        <f>IF($B1320="","",IF(COUNTIFS(NOVEDADES!$C$4:$C$2003,$B1320)=0,"—","SÍ ("&amp;COUNTIFS(NOVEDADES!$C$4:$C$2003,$B1320)&amp;")"))</f>
        <v/>
      </c>
    </row>
    <row r="1321">
      <c r="A1321" s="41" t="n"/>
      <c r="B1321" s="41" t="n"/>
      <c r="C1321" s="41" t="n"/>
      <c r="D1321" s="41" t="n"/>
      <c r="E1321" s="46" t="n"/>
      <c r="F1321" s="41" t="n"/>
      <c r="G1321" s="41" t="n"/>
      <c r="H1321" s="41" t="n"/>
      <c r="I1321" s="41" t="n"/>
      <c r="J1321" s="47" t="n"/>
      <c r="K1321" s="41" t="n"/>
      <c r="L1321" s="48" t="n"/>
      <c r="M1321" s="45" t="n"/>
      <c r="N1321" s="39">
        <f>IF($B1321="","",IF(SUMPRODUCT((LISTAS!$O$3:$O$42&lt;&gt;"")*ISNUMBER(SEARCH(LISTAS!$O$3:$O$42,$I1321&amp;" "&amp;$K1321)))&gt;0,"CERCANA","NACIONAL"))</f>
        <v/>
      </c>
      <c r="O1321" s="39">
        <f>IF($B1321="","",IF(COUNTIFS(NOVEDADES!$C$4:$C$2003,$B1321)=0,"—","SÍ ("&amp;COUNTIFS(NOVEDADES!$C$4:$C$2003,$B1321)&amp;")"))</f>
        <v/>
      </c>
    </row>
    <row r="1322">
      <c r="A1322" s="41" t="n"/>
      <c r="B1322" s="41" t="n"/>
      <c r="C1322" s="41" t="n"/>
      <c r="D1322" s="41" t="n"/>
      <c r="E1322" s="46" t="n"/>
      <c r="F1322" s="41" t="n"/>
      <c r="G1322" s="41" t="n"/>
      <c r="H1322" s="41" t="n"/>
      <c r="I1322" s="41" t="n"/>
      <c r="J1322" s="47" t="n"/>
      <c r="K1322" s="41" t="n"/>
      <c r="L1322" s="48" t="n"/>
      <c r="M1322" s="45" t="n"/>
      <c r="N1322" s="39">
        <f>IF($B1322="","",IF(SUMPRODUCT((LISTAS!$O$3:$O$42&lt;&gt;"")*ISNUMBER(SEARCH(LISTAS!$O$3:$O$42,$I1322&amp;" "&amp;$K1322)))&gt;0,"CERCANA","NACIONAL"))</f>
        <v/>
      </c>
      <c r="O1322" s="39">
        <f>IF($B1322="","",IF(COUNTIFS(NOVEDADES!$C$4:$C$2003,$B1322)=0,"—","SÍ ("&amp;COUNTIFS(NOVEDADES!$C$4:$C$2003,$B1322)&amp;")"))</f>
        <v/>
      </c>
    </row>
    <row r="1323">
      <c r="A1323" s="41" t="n"/>
      <c r="B1323" s="41" t="n"/>
      <c r="C1323" s="41" t="n"/>
      <c r="D1323" s="41" t="n"/>
      <c r="E1323" s="46" t="n"/>
      <c r="F1323" s="41" t="n"/>
      <c r="G1323" s="41" t="n"/>
      <c r="H1323" s="41" t="n"/>
      <c r="I1323" s="41" t="n"/>
      <c r="J1323" s="47" t="n"/>
      <c r="K1323" s="41" t="n"/>
      <c r="L1323" s="48" t="n"/>
      <c r="M1323" s="45" t="n"/>
      <c r="N1323" s="39">
        <f>IF($B1323="","",IF(SUMPRODUCT((LISTAS!$O$3:$O$42&lt;&gt;"")*ISNUMBER(SEARCH(LISTAS!$O$3:$O$42,$I1323&amp;" "&amp;$K1323)))&gt;0,"CERCANA","NACIONAL"))</f>
        <v/>
      </c>
      <c r="O1323" s="39">
        <f>IF($B1323="","",IF(COUNTIFS(NOVEDADES!$C$4:$C$2003,$B1323)=0,"—","SÍ ("&amp;COUNTIFS(NOVEDADES!$C$4:$C$2003,$B1323)&amp;")"))</f>
        <v/>
      </c>
    </row>
    <row r="1324">
      <c r="A1324" s="41" t="n"/>
      <c r="B1324" s="41" t="n"/>
      <c r="C1324" s="41" t="n"/>
      <c r="D1324" s="41" t="n"/>
      <c r="E1324" s="46" t="n"/>
      <c r="F1324" s="41" t="n"/>
      <c r="G1324" s="41" t="n"/>
      <c r="H1324" s="41" t="n"/>
      <c r="I1324" s="41" t="n"/>
      <c r="J1324" s="47" t="n"/>
      <c r="K1324" s="41" t="n"/>
      <c r="L1324" s="48" t="n"/>
      <c r="M1324" s="45" t="n"/>
      <c r="N1324" s="39">
        <f>IF($B1324="","",IF(SUMPRODUCT((LISTAS!$O$3:$O$42&lt;&gt;"")*ISNUMBER(SEARCH(LISTAS!$O$3:$O$42,$I1324&amp;" "&amp;$K1324)))&gt;0,"CERCANA","NACIONAL"))</f>
        <v/>
      </c>
      <c r="O1324" s="39">
        <f>IF($B1324="","",IF(COUNTIFS(NOVEDADES!$C$4:$C$2003,$B1324)=0,"—","SÍ ("&amp;COUNTIFS(NOVEDADES!$C$4:$C$2003,$B1324)&amp;")"))</f>
        <v/>
      </c>
    </row>
    <row r="1325">
      <c r="A1325" s="41" t="n"/>
      <c r="B1325" s="41" t="n"/>
      <c r="C1325" s="41" t="n"/>
      <c r="D1325" s="41" t="n"/>
      <c r="E1325" s="46" t="n"/>
      <c r="F1325" s="41" t="n"/>
      <c r="G1325" s="41" t="n"/>
      <c r="H1325" s="41" t="n"/>
      <c r="I1325" s="41" t="n"/>
      <c r="J1325" s="47" t="n"/>
      <c r="K1325" s="41" t="n"/>
      <c r="L1325" s="48" t="n"/>
      <c r="M1325" s="45" t="n"/>
      <c r="N1325" s="39">
        <f>IF($B1325="","",IF(SUMPRODUCT((LISTAS!$O$3:$O$42&lt;&gt;"")*ISNUMBER(SEARCH(LISTAS!$O$3:$O$42,$I1325&amp;" "&amp;$K1325)))&gt;0,"CERCANA","NACIONAL"))</f>
        <v/>
      </c>
      <c r="O1325" s="39">
        <f>IF($B1325="","",IF(COUNTIFS(NOVEDADES!$C$4:$C$2003,$B1325)=0,"—","SÍ ("&amp;COUNTIFS(NOVEDADES!$C$4:$C$2003,$B1325)&amp;")"))</f>
        <v/>
      </c>
    </row>
    <row r="1326">
      <c r="A1326" s="41" t="n"/>
      <c r="B1326" s="41" t="n"/>
      <c r="C1326" s="41" t="n"/>
      <c r="D1326" s="41" t="n"/>
      <c r="E1326" s="46" t="n"/>
      <c r="F1326" s="41" t="n"/>
      <c r="G1326" s="41" t="n"/>
      <c r="H1326" s="41" t="n"/>
      <c r="I1326" s="41" t="n"/>
      <c r="J1326" s="47" t="n"/>
      <c r="K1326" s="41" t="n"/>
      <c r="L1326" s="48" t="n"/>
      <c r="M1326" s="45" t="n"/>
      <c r="N1326" s="39">
        <f>IF($B1326="","",IF(SUMPRODUCT((LISTAS!$O$3:$O$42&lt;&gt;"")*ISNUMBER(SEARCH(LISTAS!$O$3:$O$42,$I1326&amp;" "&amp;$K1326)))&gt;0,"CERCANA","NACIONAL"))</f>
        <v/>
      </c>
      <c r="O1326" s="39">
        <f>IF($B1326="","",IF(COUNTIFS(NOVEDADES!$C$4:$C$2003,$B1326)=0,"—","SÍ ("&amp;COUNTIFS(NOVEDADES!$C$4:$C$2003,$B1326)&amp;")"))</f>
        <v/>
      </c>
    </row>
    <row r="1327">
      <c r="A1327" s="41" t="n"/>
      <c r="B1327" s="41" t="n"/>
      <c r="C1327" s="41" t="n"/>
      <c r="D1327" s="41" t="n"/>
      <c r="E1327" s="46" t="n"/>
      <c r="F1327" s="41" t="n"/>
      <c r="G1327" s="41" t="n"/>
      <c r="H1327" s="41" t="n"/>
      <c r="I1327" s="41" t="n"/>
      <c r="J1327" s="47" t="n"/>
      <c r="K1327" s="41" t="n"/>
      <c r="L1327" s="48" t="n"/>
      <c r="M1327" s="45" t="n"/>
      <c r="N1327" s="39">
        <f>IF($B1327="","",IF(SUMPRODUCT((LISTAS!$O$3:$O$42&lt;&gt;"")*ISNUMBER(SEARCH(LISTAS!$O$3:$O$42,$I1327&amp;" "&amp;$K1327)))&gt;0,"CERCANA","NACIONAL"))</f>
        <v/>
      </c>
      <c r="O1327" s="39">
        <f>IF($B1327="","",IF(COUNTIFS(NOVEDADES!$C$4:$C$2003,$B1327)=0,"—","SÍ ("&amp;COUNTIFS(NOVEDADES!$C$4:$C$2003,$B1327)&amp;")"))</f>
        <v/>
      </c>
    </row>
    <row r="1328">
      <c r="A1328" s="41" t="n"/>
      <c r="B1328" s="41" t="n"/>
      <c r="C1328" s="41" t="n"/>
      <c r="D1328" s="41" t="n"/>
      <c r="E1328" s="46" t="n"/>
      <c r="F1328" s="41" t="n"/>
      <c r="G1328" s="41" t="n"/>
      <c r="H1328" s="41" t="n"/>
      <c r="I1328" s="41" t="n"/>
      <c r="J1328" s="47" t="n"/>
      <c r="K1328" s="41" t="n"/>
      <c r="L1328" s="48" t="n"/>
      <c r="M1328" s="45" t="n"/>
      <c r="N1328" s="39">
        <f>IF($B1328="","",IF(SUMPRODUCT((LISTAS!$O$3:$O$42&lt;&gt;"")*ISNUMBER(SEARCH(LISTAS!$O$3:$O$42,$I1328&amp;" "&amp;$K1328)))&gt;0,"CERCANA","NACIONAL"))</f>
        <v/>
      </c>
      <c r="O1328" s="39">
        <f>IF($B1328="","",IF(COUNTIFS(NOVEDADES!$C$4:$C$2003,$B1328)=0,"—","SÍ ("&amp;COUNTIFS(NOVEDADES!$C$4:$C$2003,$B1328)&amp;")"))</f>
        <v/>
      </c>
    </row>
    <row r="1329">
      <c r="A1329" s="41" t="n"/>
      <c r="B1329" s="41" t="n"/>
      <c r="C1329" s="41" t="n"/>
      <c r="D1329" s="41" t="n"/>
      <c r="E1329" s="46" t="n"/>
      <c r="F1329" s="41" t="n"/>
      <c r="G1329" s="41" t="n"/>
      <c r="H1329" s="41" t="n"/>
      <c r="I1329" s="41" t="n"/>
      <c r="J1329" s="47" t="n"/>
      <c r="K1329" s="41" t="n"/>
      <c r="L1329" s="48" t="n"/>
      <c r="M1329" s="45" t="n"/>
      <c r="N1329" s="39">
        <f>IF($B1329="","",IF(SUMPRODUCT((LISTAS!$O$3:$O$42&lt;&gt;"")*ISNUMBER(SEARCH(LISTAS!$O$3:$O$42,$I1329&amp;" "&amp;$K1329)))&gt;0,"CERCANA","NACIONAL"))</f>
        <v/>
      </c>
      <c r="O1329" s="39">
        <f>IF($B1329="","",IF(COUNTIFS(NOVEDADES!$C$4:$C$2003,$B1329)=0,"—","SÍ ("&amp;COUNTIFS(NOVEDADES!$C$4:$C$2003,$B1329)&amp;")"))</f>
        <v/>
      </c>
    </row>
    <row r="1330">
      <c r="A1330" s="41" t="n"/>
      <c r="B1330" s="41" t="n"/>
      <c r="C1330" s="41" t="n"/>
      <c r="D1330" s="41" t="n"/>
      <c r="E1330" s="46" t="n"/>
      <c r="F1330" s="41" t="n"/>
      <c r="G1330" s="41" t="n"/>
      <c r="H1330" s="41" t="n"/>
      <c r="I1330" s="41" t="n"/>
      <c r="J1330" s="47" t="n"/>
      <c r="K1330" s="41" t="n"/>
      <c r="L1330" s="48" t="n"/>
      <c r="M1330" s="45" t="n"/>
      <c r="N1330" s="39">
        <f>IF($B1330="","",IF(SUMPRODUCT((LISTAS!$O$3:$O$42&lt;&gt;"")*ISNUMBER(SEARCH(LISTAS!$O$3:$O$42,$I1330&amp;" "&amp;$K1330)))&gt;0,"CERCANA","NACIONAL"))</f>
        <v/>
      </c>
      <c r="O1330" s="39">
        <f>IF($B1330="","",IF(COUNTIFS(NOVEDADES!$C$4:$C$2003,$B1330)=0,"—","SÍ ("&amp;COUNTIFS(NOVEDADES!$C$4:$C$2003,$B1330)&amp;")"))</f>
        <v/>
      </c>
    </row>
    <row r="1331">
      <c r="A1331" s="41" t="n"/>
      <c r="B1331" s="41" t="n"/>
      <c r="C1331" s="41" t="n"/>
      <c r="D1331" s="41" t="n"/>
      <c r="E1331" s="46" t="n"/>
      <c r="F1331" s="41" t="n"/>
      <c r="G1331" s="41" t="n"/>
      <c r="H1331" s="41" t="n"/>
      <c r="I1331" s="41" t="n"/>
      <c r="J1331" s="47" t="n"/>
      <c r="K1331" s="41" t="n"/>
      <c r="L1331" s="48" t="n"/>
      <c r="M1331" s="45" t="n"/>
      <c r="N1331" s="39">
        <f>IF($B1331="","",IF(SUMPRODUCT((LISTAS!$O$3:$O$42&lt;&gt;"")*ISNUMBER(SEARCH(LISTAS!$O$3:$O$42,$I1331&amp;" "&amp;$K1331)))&gt;0,"CERCANA","NACIONAL"))</f>
        <v/>
      </c>
      <c r="O1331" s="39">
        <f>IF($B1331="","",IF(COUNTIFS(NOVEDADES!$C$4:$C$2003,$B1331)=0,"—","SÍ ("&amp;COUNTIFS(NOVEDADES!$C$4:$C$2003,$B1331)&amp;")"))</f>
        <v/>
      </c>
    </row>
    <row r="1332">
      <c r="A1332" s="41" t="n"/>
      <c r="B1332" s="41" t="n"/>
      <c r="C1332" s="41" t="n"/>
      <c r="D1332" s="41" t="n"/>
      <c r="E1332" s="46" t="n"/>
      <c r="F1332" s="41" t="n"/>
      <c r="G1332" s="41" t="n"/>
      <c r="H1332" s="41" t="n"/>
      <c r="I1332" s="41" t="n"/>
      <c r="J1332" s="47" t="n"/>
      <c r="K1332" s="41" t="n"/>
      <c r="L1332" s="48" t="n"/>
      <c r="M1332" s="45" t="n"/>
      <c r="N1332" s="39">
        <f>IF($B1332="","",IF(SUMPRODUCT((LISTAS!$O$3:$O$42&lt;&gt;"")*ISNUMBER(SEARCH(LISTAS!$O$3:$O$42,$I1332&amp;" "&amp;$K1332)))&gt;0,"CERCANA","NACIONAL"))</f>
        <v/>
      </c>
      <c r="O1332" s="39">
        <f>IF($B1332="","",IF(COUNTIFS(NOVEDADES!$C$4:$C$2003,$B1332)=0,"—","SÍ ("&amp;COUNTIFS(NOVEDADES!$C$4:$C$2003,$B1332)&amp;")"))</f>
        <v/>
      </c>
    </row>
    <row r="1333">
      <c r="A1333" s="41" t="n"/>
      <c r="B1333" s="41" t="n"/>
      <c r="C1333" s="41" t="n"/>
      <c r="D1333" s="41" t="n"/>
      <c r="E1333" s="46" t="n"/>
      <c r="F1333" s="41" t="n"/>
      <c r="G1333" s="41" t="n"/>
      <c r="H1333" s="41" t="n"/>
      <c r="I1333" s="41" t="n"/>
      <c r="J1333" s="47" t="n"/>
      <c r="K1333" s="41" t="n"/>
      <c r="L1333" s="48" t="n"/>
      <c r="M1333" s="45" t="n"/>
      <c r="N1333" s="39">
        <f>IF($B1333="","",IF(SUMPRODUCT((LISTAS!$O$3:$O$42&lt;&gt;"")*ISNUMBER(SEARCH(LISTAS!$O$3:$O$42,$I1333&amp;" "&amp;$K1333)))&gt;0,"CERCANA","NACIONAL"))</f>
        <v/>
      </c>
      <c r="O1333" s="39">
        <f>IF($B1333="","",IF(COUNTIFS(NOVEDADES!$C$4:$C$2003,$B1333)=0,"—","SÍ ("&amp;COUNTIFS(NOVEDADES!$C$4:$C$2003,$B1333)&amp;")"))</f>
        <v/>
      </c>
    </row>
    <row r="1334">
      <c r="A1334" s="41" t="n"/>
      <c r="B1334" s="41" t="n"/>
      <c r="C1334" s="41" t="n"/>
      <c r="D1334" s="41" t="n"/>
      <c r="E1334" s="46" t="n"/>
      <c r="F1334" s="41" t="n"/>
      <c r="G1334" s="41" t="n"/>
      <c r="H1334" s="41" t="n"/>
      <c r="I1334" s="41" t="n"/>
      <c r="J1334" s="47" t="n"/>
      <c r="K1334" s="41" t="n"/>
      <c r="L1334" s="48" t="n"/>
      <c r="M1334" s="45" t="n"/>
      <c r="N1334" s="39">
        <f>IF($B1334="","",IF(SUMPRODUCT((LISTAS!$O$3:$O$42&lt;&gt;"")*ISNUMBER(SEARCH(LISTAS!$O$3:$O$42,$I1334&amp;" "&amp;$K1334)))&gt;0,"CERCANA","NACIONAL"))</f>
        <v/>
      </c>
      <c r="O1334" s="39">
        <f>IF($B1334="","",IF(COUNTIFS(NOVEDADES!$C$4:$C$2003,$B1334)=0,"—","SÍ ("&amp;COUNTIFS(NOVEDADES!$C$4:$C$2003,$B1334)&amp;")"))</f>
        <v/>
      </c>
    </row>
    <row r="1335">
      <c r="A1335" s="41" t="n"/>
      <c r="B1335" s="41" t="n"/>
      <c r="C1335" s="41" t="n"/>
      <c r="D1335" s="41" t="n"/>
      <c r="E1335" s="46" t="n"/>
      <c r="F1335" s="41" t="n"/>
      <c r="G1335" s="41" t="n"/>
      <c r="H1335" s="41" t="n"/>
      <c r="I1335" s="41" t="n"/>
      <c r="J1335" s="47" t="n"/>
      <c r="K1335" s="41" t="n"/>
      <c r="L1335" s="48" t="n"/>
      <c r="M1335" s="45" t="n"/>
      <c r="N1335" s="39">
        <f>IF($B1335="","",IF(SUMPRODUCT((LISTAS!$O$3:$O$42&lt;&gt;"")*ISNUMBER(SEARCH(LISTAS!$O$3:$O$42,$I1335&amp;" "&amp;$K1335)))&gt;0,"CERCANA","NACIONAL"))</f>
        <v/>
      </c>
      <c r="O1335" s="39">
        <f>IF($B1335="","",IF(COUNTIFS(NOVEDADES!$C$4:$C$2003,$B1335)=0,"—","SÍ ("&amp;COUNTIFS(NOVEDADES!$C$4:$C$2003,$B1335)&amp;")"))</f>
        <v/>
      </c>
    </row>
    <row r="1336">
      <c r="A1336" s="41" t="n"/>
      <c r="B1336" s="41" t="n"/>
      <c r="C1336" s="41" t="n"/>
      <c r="D1336" s="41" t="n"/>
      <c r="E1336" s="46" t="n"/>
      <c r="F1336" s="41" t="n"/>
      <c r="G1336" s="41" t="n"/>
      <c r="H1336" s="41" t="n"/>
      <c r="I1336" s="41" t="n"/>
      <c r="J1336" s="47" t="n"/>
      <c r="K1336" s="41" t="n"/>
      <c r="L1336" s="48" t="n"/>
      <c r="M1336" s="45" t="n"/>
      <c r="N1336" s="39">
        <f>IF($B1336="","",IF(SUMPRODUCT((LISTAS!$O$3:$O$42&lt;&gt;"")*ISNUMBER(SEARCH(LISTAS!$O$3:$O$42,$I1336&amp;" "&amp;$K1336)))&gt;0,"CERCANA","NACIONAL"))</f>
        <v/>
      </c>
      <c r="O1336" s="39">
        <f>IF($B1336="","",IF(COUNTIFS(NOVEDADES!$C$4:$C$2003,$B1336)=0,"—","SÍ ("&amp;COUNTIFS(NOVEDADES!$C$4:$C$2003,$B1336)&amp;")"))</f>
        <v/>
      </c>
    </row>
    <row r="1337">
      <c r="A1337" s="41" t="n"/>
      <c r="B1337" s="41" t="n"/>
      <c r="C1337" s="41" t="n"/>
      <c r="D1337" s="41" t="n"/>
      <c r="E1337" s="46" t="n"/>
      <c r="F1337" s="41" t="n"/>
      <c r="G1337" s="41" t="n"/>
      <c r="H1337" s="41" t="n"/>
      <c r="I1337" s="41" t="n"/>
      <c r="J1337" s="47" t="n"/>
      <c r="K1337" s="41" t="n"/>
      <c r="L1337" s="48" t="n"/>
      <c r="M1337" s="45" t="n"/>
      <c r="N1337" s="39">
        <f>IF($B1337="","",IF(SUMPRODUCT((LISTAS!$O$3:$O$42&lt;&gt;"")*ISNUMBER(SEARCH(LISTAS!$O$3:$O$42,$I1337&amp;" "&amp;$K1337)))&gt;0,"CERCANA","NACIONAL"))</f>
        <v/>
      </c>
      <c r="O1337" s="39">
        <f>IF($B1337="","",IF(COUNTIFS(NOVEDADES!$C$4:$C$2003,$B1337)=0,"—","SÍ ("&amp;COUNTIFS(NOVEDADES!$C$4:$C$2003,$B1337)&amp;")"))</f>
        <v/>
      </c>
    </row>
    <row r="1338">
      <c r="A1338" s="41" t="n"/>
      <c r="B1338" s="41" t="n"/>
      <c r="C1338" s="41" t="n"/>
      <c r="D1338" s="41" t="n"/>
      <c r="E1338" s="46" t="n"/>
      <c r="F1338" s="41" t="n"/>
      <c r="G1338" s="41" t="n"/>
      <c r="H1338" s="41" t="n"/>
      <c r="I1338" s="41" t="n"/>
      <c r="J1338" s="47" t="n"/>
      <c r="K1338" s="41" t="n"/>
      <c r="L1338" s="48" t="n"/>
      <c r="M1338" s="45" t="n"/>
      <c r="N1338" s="39">
        <f>IF($B1338="","",IF(SUMPRODUCT((LISTAS!$O$3:$O$42&lt;&gt;"")*ISNUMBER(SEARCH(LISTAS!$O$3:$O$42,$I1338&amp;" "&amp;$K1338)))&gt;0,"CERCANA","NACIONAL"))</f>
        <v/>
      </c>
      <c r="O1338" s="39">
        <f>IF($B1338="","",IF(COUNTIFS(NOVEDADES!$C$4:$C$2003,$B1338)=0,"—","SÍ ("&amp;COUNTIFS(NOVEDADES!$C$4:$C$2003,$B1338)&amp;")"))</f>
        <v/>
      </c>
    </row>
    <row r="1339">
      <c r="A1339" s="41" t="n"/>
      <c r="B1339" s="41" t="n"/>
      <c r="C1339" s="41" t="n"/>
      <c r="D1339" s="41" t="n"/>
      <c r="E1339" s="46" t="n"/>
      <c r="F1339" s="41" t="n"/>
      <c r="G1339" s="41" t="n"/>
      <c r="H1339" s="41" t="n"/>
      <c r="I1339" s="41" t="n"/>
      <c r="J1339" s="47" t="n"/>
      <c r="K1339" s="41" t="n"/>
      <c r="L1339" s="48" t="n"/>
      <c r="M1339" s="45" t="n"/>
      <c r="N1339" s="39">
        <f>IF($B1339="","",IF(SUMPRODUCT((LISTAS!$O$3:$O$42&lt;&gt;"")*ISNUMBER(SEARCH(LISTAS!$O$3:$O$42,$I1339&amp;" "&amp;$K1339)))&gt;0,"CERCANA","NACIONAL"))</f>
        <v/>
      </c>
      <c r="O1339" s="39">
        <f>IF($B1339="","",IF(COUNTIFS(NOVEDADES!$C$4:$C$2003,$B1339)=0,"—","SÍ ("&amp;COUNTIFS(NOVEDADES!$C$4:$C$2003,$B1339)&amp;")"))</f>
        <v/>
      </c>
    </row>
    <row r="1340">
      <c r="A1340" s="41" t="n"/>
      <c r="B1340" s="41" t="n"/>
      <c r="C1340" s="41" t="n"/>
      <c r="D1340" s="41" t="n"/>
      <c r="E1340" s="46" t="n"/>
      <c r="F1340" s="41" t="n"/>
      <c r="G1340" s="41" t="n"/>
      <c r="H1340" s="41" t="n"/>
      <c r="I1340" s="41" t="n"/>
      <c r="J1340" s="47" t="n"/>
      <c r="K1340" s="41" t="n"/>
      <c r="L1340" s="48" t="n"/>
      <c r="M1340" s="45" t="n"/>
      <c r="N1340" s="39">
        <f>IF($B1340="","",IF(SUMPRODUCT((LISTAS!$O$3:$O$42&lt;&gt;"")*ISNUMBER(SEARCH(LISTAS!$O$3:$O$42,$I1340&amp;" "&amp;$K1340)))&gt;0,"CERCANA","NACIONAL"))</f>
        <v/>
      </c>
      <c r="O1340" s="39">
        <f>IF($B1340="","",IF(COUNTIFS(NOVEDADES!$C$4:$C$2003,$B1340)=0,"—","SÍ ("&amp;COUNTIFS(NOVEDADES!$C$4:$C$2003,$B1340)&amp;")"))</f>
        <v/>
      </c>
    </row>
    <row r="1341">
      <c r="A1341" s="41" t="n"/>
      <c r="B1341" s="41" t="n"/>
      <c r="C1341" s="41" t="n"/>
      <c r="D1341" s="41" t="n"/>
      <c r="E1341" s="46" t="n"/>
      <c r="F1341" s="41" t="n"/>
      <c r="G1341" s="41" t="n"/>
      <c r="H1341" s="41" t="n"/>
      <c r="I1341" s="41" t="n"/>
      <c r="J1341" s="47" t="n"/>
      <c r="K1341" s="41" t="n"/>
      <c r="L1341" s="48" t="n"/>
      <c r="M1341" s="45" t="n"/>
      <c r="N1341" s="39">
        <f>IF($B1341="","",IF(SUMPRODUCT((LISTAS!$O$3:$O$42&lt;&gt;"")*ISNUMBER(SEARCH(LISTAS!$O$3:$O$42,$I1341&amp;" "&amp;$K1341)))&gt;0,"CERCANA","NACIONAL"))</f>
        <v/>
      </c>
      <c r="O1341" s="39">
        <f>IF($B1341="","",IF(COUNTIFS(NOVEDADES!$C$4:$C$2003,$B1341)=0,"—","SÍ ("&amp;COUNTIFS(NOVEDADES!$C$4:$C$2003,$B1341)&amp;")"))</f>
        <v/>
      </c>
    </row>
    <row r="1342">
      <c r="A1342" s="41" t="n"/>
      <c r="B1342" s="41" t="n"/>
      <c r="C1342" s="41" t="n"/>
      <c r="D1342" s="41" t="n"/>
      <c r="E1342" s="46" t="n"/>
      <c r="F1342" s="41" t="n"/>
      <c r="G1342" s="41" t="n"/>
      <c r="H1342" s="41" t="n"/>
      <c r="I1342" s="41" t="n"/>
      <c r="J1342" s="47" t="n"/>
      <c r="K1342" s="41" t="n"/>
      <c r="L1342" s="48" t="n"/>
      <c r="M1342" s="45" t="n"/>
      <c r="N1342" s="39">
        <f>IF($B1342="","",IF(SUMPRODUCT((LISTAS!$O$3:$O$42&lt;&gt;"")*ISNUMBER(SEARCH(LISTAS!$O$3:$O$42,$I1342&amp;" "&amp;$K1342)))&gt;0,"CERCANA","NACIONAL"))</f>
        <v/>
      </c>
      <c r="O1342" s="39">
        <f>IF($B1342="","",IF(COUNTIFS(NOVEDADES!$C$4:$C$2003,$B1342)=0,"—","SÍ ("&amp;COUNTIFS(NOVEDADES!$C$4:$C$2003,$B1342)&amp;")"))</f>
        <v/>
      </c>
    </row>
    <row r="1343">
      <c r="A1343" s="41" t="n"/>
      <c r="B1343" s="41" t="n"/>
      <c r="C1343" s="41" t="n"/>
      <c r="D1343" s="41" t="n"/>
      <c r="E1343" s="46" t="n"/>
      <c r="F1343" s="41" t="n"/>
      <c r="G1343" s="41" t="n"/>
      <c r="H1343" s="41" t="n"/>
      <c r="I1343" s="41" t="n"/>
      <c r="J1343" s="47" t="n"/>
      <c r="K1343" s="41" t="n"/>
      <c r="L1343" s="48" t="n"/>
      <c r="M1343" s="45" t="n"/>
      <c r="N1343" s="39">
        <f>IF($B1343="","",IF(SUMPRODUCT((LISTAS!$O$3:$O$42&lt;&gt;"")*ISNUMBER(SEARCH(LISTAS!$O$3:$O$42,$I1343&amp;" "&amp;$K1343)))&gt;0,"CERCANA","NACIONAL"))</f>
        <v/>
      </c>
      <c r="O1343" s="39">
        <f>IF($B1343="","",IF(COUNTIFS(NOVEDADES!$C$4:$C$2003,$B1343)=0,"—","SÍ ("&amp;COUNTIFS(NOVEDADES!$C$4:$C$2003,$B1343)&amp;")"))</f>
        <v/>
      </c>
    </row>
    <row r="1344">
      <c r="A1344" s="41" t="n"/>
      <c r="B1344" s="41" t="n"/>
      <c r="C1344" s="41" t="n"/>
      <c r="D1344" s="41" t="n"/>
      <c r="E1344" s="46" t="n"/>
      <c r="F1344" s="41" t="n"/>
      <c r="G1344" s="41" t="n"/>
      <c r="H1344" s="41" t="n"/>
      <c r="I1344" s="41" t="n"/>
      <c r="J1344" s="47" t="n"/>
      <c r="K1344" s="41" t="n"/>
      <c r="L1344" s="48" t="n"/>
      <c r="M1344" s="45" t="n"/>
      <c r="N1344" s="39">
        <f>IF($B1344="","",IF(SUMPRODUCT((LISTAS!$O$3:$O$42&lt;&gt;"")*ISNUMBER(SEARCH(LISTAS!$O$3:$O$42,$I1344&amp;" "&amp;$K1344)))&gt;0,"CERCANA","NACIONAL"))</f>
        <v/>
      </c>
      <c r="O1344" s="39">
        <f>IF($B1344="","",IF(COUNTIFS(NOVEDADES!$C$4:$C$2003,$B1344)=0,"—","SÍ ("&amp;COUNTIFS(NOVEDADES!$C$4:$C$2003,$B1344)&amp;")"))</f>
        <v/>
      </c>
    </row>
    <row r="1345">
      <c r="A1345" s="41" t="n"/>
      <c r="B1345" s="41" t="n"/>
      <c r="C1345" s="41" t="n"/>
      <c r="D1345" s="41" t="n"/>
      <c r="E1345" s="46" t="n"/>
      <c r="F1345" s="41" t="n"/>
      <c r="G1345" s="41" t="n"/>
      <c r="H1345" s="41" t="n"/>
      <c r="I1345" s="41" t="n"/>
      <c r="J1345" s="47" t="n"/>
      <c r="K1345" s="41" t="n"/>
      <c r="L1345" s="48" t="n"/>
      <c r="M1345" s="45" t="n"/>
      <c r="N1345" s="39">
        <f>IF($B1345="","",IF(SUMPRODUCT((LISTAS!$O$3:$O$42&lt;&gt;"")*ISNUMBER(SEARCH(LISTAS!$O$3:$O$42,$I1345&amp;" "&amp;$K1345)))&gt;0,"CERCANA","NACIONAL"))</f>
        <v/>
      </c>
      <c r="O1345" s="39">
        <f>IF($B1345="","",IF(COUNTIFS(NOVEDADES!$C$4:$C$2003,$B1345)=0,"—","SÍ ("&amp;COUNTIFS(NOVEDADES!$C$4:$C$2003,$B1345)&amp;")"))</f>
        <v/>
      </c>
    </row>
    <row r="1346">
      <c r="A1346" s="41" t="n"/>
      <c r="B1346" s="41" t="n"/>
      <c r="C1346" s="41" t="n"/>
      <c r="D1346" s="41" t="n"/>
      <c r="E1346" s="46" t="n"/>
      <c r="F1346" s="41" t="n"/>
      <c r="G1346" s="41" t="n"/>
      <c r="H1346" s="41" t="n"/>
      <c r="I1346" s="41" t="n"/>
      <c r="J1346" s="47" t="n"/>
      <c r="K1346" s="41" t="n"/>
      <c r="L1346" s="48" t="n"/>
      <c r="M1346" s="45" t="n"/>
      <c r="N1346" s="39">
        <f>IF($B1346="","",IF(SUMPRODUCT((LISTAS!$O$3:$O$42&lt;&gt;"")*ISNUMBER(SEARCH(LISTAS!$O$3:$O$42,$I1346&amp;" "&amp;$K1346)))&gt;0,"CERCANA","NACIONAL"))</f>
        <v/>
      </c>
      <c r="O1346" s="39">
        <f>IF($B1346="","",IF(COUNTIFS(NOVEDADES!$C$4:$C$2003,$B1346)=0,"—","SÍ ("&amp;COUNTIFS(NOVEDADES!$C$4:$C$2003,$B1346)&amp;")"))</f>
        <v/>
      </c>
    </row>
    <row r="1347">
      <c r="A1347" s="41" t="n"/>
      <c r="B1347" s="41" t="n"/>
      <c r="C1347" s="41" t="n"/>
      <c r="D1347" s="41" t="n"/>
      <c r="E1347" s="46" t="n"/>
      <c r="F1347" s="41" t="n"/>
      <c r="G1347" s="41" t="n"/>
      <c r="H1347" s="41" t="n"/>
      <c r="I1347" s="41" t="n"/>
      <c r="J1347" s="47" t="n"/>
      <c r="K1347" s="41" t="n"/>
      <c r="L1347" s="48" t="n"/>
      <c r="M1347" s="45" t="n"/>
      <c r="N1347" s="39">
        <f>IF($B1347="","",IF(SUMPRODUCT((LISTAS!$O$3:$O$42&lt;&gt;"")*ISNUMBER(SEARCH(LISTAS!$O$3:$O$42,$I1347&amp;" "&amp;$K1347)))&gt;0,"CERCANA","NACIONAL"))</f>
        <v/>
      </c>
      <c r="O1347" s="39">
        <f>IF($B1347="","",IF(COUNTIFS(NOVEDADES!$C$4:$C$2003,$B1347)=0,"—","SÍ ("&amp;COUNTIFS(NOVEDADES!$C$4:$C$2003,$B1347)&amp;")"))</f>
        <v/>
      </c>
    </row>
    <row r="1348">
      <c r="A1348" s="41" t="n"/>
      <c r="B1348" s="41" t="n"/>
      <c r="C1348" s="41" t="n"/>
      <c r="D1348" s="41" t="n"/>
      <c r="E1348" s="46" t="n"/>
      <c r="F1348" s="41" t="n"/>
      <c r="G1348" s="41" t="n"/>
      <c r="H1348" s="41" t="n"/>
      <c r="I1348" s="41" t="n"/>
      <c r="J1348" s="47" t="n"/>
      <c r="K1348" s="41" t="n"/>
      <c r="L1348" s="48" t="n"/>
      <c r="M1348" s="45" t="n"/>
      <c r="N1348" s="39">
        <f>IF($B1348="","",IF(SUMPRODUCT((LISTAS!$O$3:$O$42&lt;&gt;"")*ISNUMBER(SEARCH(LISTAS!$O$3:$O$42,$I1348&amp;" "&amp;$K1348)))&gt;0,"CERCANA","NACIONAL"))</f>
        <v/>
      </c>
      <c r="O1348" s="39">
        <f>IF($B1348="","",IF(COUNTIFS(NOVEDADES!$C$4:$C$2003,$B1348)=0,"—","SÍ ("&amp;COUNTIFS(NOVEDADES!$C$4:$C$2003,$B1348)&amp;")"))</f>
        <v/>
      </c>
    </row>
    <row r="1349">
      <c r="A1349" s="41" t="n"/>
      <c r="B1349" s="41" t="n"/>
      <c r="C1349" s="41" t="n"/>
      <c r="D1349" s="41" t="n"/>
      <c r="E1349" s="46" t="n"/>
      <c r="F1349" s="41" t="n"/>
      <c r="G1349" s="41" t="n"/>
      <c r="H1349" s="41" t="n"/>
      <c r="I1349" s="41" t="n"/>
      <c r="J1349" s="47" t="n"/>
      <c r="K1349" s="41" t="n"/>
      <c r="L1349" s="48" t="n"/>
      <c r="M1349" s="45" t="n"/>
      <c r="N1349" s="39">
        <f>IF($B1349="","",IF(SUMPRODUCT((LISTAS!$O$3:$O$42&lt;&gt;"")*ISNUMBER(SEARCH(LISTAS!$O$3:$O$42,$I1349&amp;" "&amp;$K1349)))&gt;0,"CERCANA","NACIONAL"))</f>
        <v/>
      </c>
      <c r="O1349" s="39">
        <f>IF($B1349="","",IF(COUNTIFS(NOVEDADES!$C$4:$C$2003,$B1349)=0,"—","SÍ ("&amp;COUNTIFS(NOVEDADES!$C$4:$C$2003,$B1349)&amp;")"))</f>
        <v/>
      </c>
    </row>
    <row r="1350">
      <c r="A1350" s="41" t="n"/>
      <c r="B1350" s="41" t="n"/>
      <c r="C1350" s="41" t="n"/>
      <c r="D1350" s="41" t="n"/>
      <c r="E1350" s="46" t="n"/>
      <c r="F1350" s="41" t="n"/>
      <c r="G1350" s="41" t="n"/>
      <c r="H1350" s="41" t="n"/>
      <c r="I1350" s="41" t="n"/>
      <c r="J1350" s="47" t="n"/>
      <c r="K1350" s="41" t="n"/>
      <c r="L1350" s="48" t="n"/>
      <c r="M1350" s="45" t="n"/>
      <c r="N1350" s="39">
        <f>IF($B1350="","",IF(SUMPRODUCT((LISTAS!$O$3:$O$42&lt;&gt;"")*ISNUMBER(SEARCH(LISTAS!$O$3:$O$42,$I1350&amp;" "&amp;$K1350)))&gt;0,"CERCANA","NACIONAL"))</f>
        <v/>
      </c>
      <c r="O1350" s="39">
        <f>IF($B1350="","",IF(COUNTIFS(NOVEDADES!$C$4:$C$2003,$B1350)=0,"—","SÍ ("&amp;COUNTIFS(NOVEDADES!$C$4:$C$2003,$B1350)&amp;")"))</f>
        <v/>
      </c>
    </row>
    <row r="1351">
      <c r="A1351" s="41" t="n"/>
      <c r="B1351" s="41" t="n"/>
      <c r="C1351" s="41" t="n"/>
      <c r="D1351" s="41" t="n"/>
      <c r="E1351" s="46" t="n"/>
      <c r="F1351" s="41" t="n"/>
      <c r="G1351" s="41" t="n"/>
      <c r="H1351" s="41" t="n"/>
      <c r="I1351" s="41" t="n"/>
      <c r="J1351" s="47" t="n"/>
      <c r="K1351" s="41" t="n"/>
      <c r="L1351" s="48" t="n"/>
      <c r="M1351" s="45" t="n"/>
      <c r="N1351" s="39">
        <f>IF($B1351="","",IF(SUMPRODUCT((LISTAS!$O$3:$O$42&lt;&gt;"")*ISNUMBER(SEARCH(LISTAS!$O$3:$O$42,$I1351&amp;" "&amp;$K1351)))&gt;0,"CERCANA","NACIONAL"))</f>
        <v/>
      </c>
      <c r="O1351" s="39">
        <f>IF($B1351="","",IF(COUNTIFS(NOVEDADES!$C$4:$C$2003,$B1351)=0,"—","SÍ ("&amp;COUNTIFS(NOVEDADES!$C$4:$C$2003,$B1351)&amp;")"))</f>
        <v/>
      </c>
    </row>
    <row r="1352">
      <c r="A1352" s="41" t="n"/>
      <c r="B1352" s="41" t="n"/>
      <c r="C1352" s="41" t="n"/>
      <c r="D1352" s="41" t="n"/>
      <c r="E1352" s="46" t="n"/>
      <c r="F1352" s="41" t="n"/>
      <c r="G1352" s="41" t="n"/>
      <c r="H1352" s="41" t="n"/>
      <c r="I1352" s="41" t="n"/>
      <c r="J1352" s="47" t="n"/>
      <c r="K1352" s="41" t="n"/>
      <c r="L1352" s="48" t="n"/>
      <c r="M1352" s="45" t="n"/>
      <c r="N1352" s="39">
        <f>IF($B1352="","",IF(SUMPRODUCT((LISTAS!$O$3:$O$42&lt;&gt;"")*ISNUMBER(SEARCH(LISTAS!$O$3:$O$42,$I1352&amp;" "&amp;$K1352)))&gt;0,"CERCANA","NACIONAL"))</f>
        <v/>
      </c>
      <c r="O1352" s="39">
        <f>IF($B1352="","",IF(COUNTIFS(NOVEDADES!$C$4:$C$2003,$B1352)=0,"—","SÍ ("&amp;COUNTIFS(NOVEDADES!$C$4:$C$2003,$B1352)&amp;")"))</f>
        <v/>
      </c>
    </row>
    <row r="1353">
      <c r="A1353" s="41" t="n"/>
      <c r="B1353" s="41" t="n"/>
      <c r="C1353" s="41" t="n"/>
      <c r="D1353" s="41" t="n"/>
      <c r="E1353" s="46" t="n"/>
      <c r="F1353" s="41" t="n"/>
      <c r="G1353" s="41" t="n"/>
      <c r="H1353" s="41" t="n"/>
      <c r="I1353" s="41" t="n"/>
      <c r="J1353" s="47" t="n"/>
      <c r="K1353" s="41" t="n"/>
      <c r="L1353" s="48" t="n"/>
      <c r="M1353" s="45" t="n"/>
      <c r="N1353" s="39">
        <f>IF($B1353="","",IF(SUMPRODUCT((LISTAS!$O$3:$O$42&lt;&gt;"")*ISNUMBER(SEARCH(LISTAS!$O$3:$O$42,$I1353&amp;" "&amp;$K1353)))&gt;0,"CERCANA","NACIONAL"))</f>
        <v/>
      </c>
      <c r="O1353" s="39">
        <f>IF($B1353="","",IF(COUNTIFS(NOVEDADES!$C$4:$C$2003,$B1353)=0,"—","SÍ ("&amp;COUNTIFS(NOVEDADES!$C$4:$C$2003,$B1353)&amp;")"))</f>
        <v/>
      </c>
    </row>
    <row r="1354">
      <c r="A1354" s="41" t="n"/>
      <c r="B1354" s="41" t="n"/>
      <c r="C1354" s="41" t="n"/>
      <c r="D1354" s="41" t="n"/>
      <c r="E1354" s="46" t="n"/>
      <c r="F1354" s="41" t="n"/>
      <c r="G1354" s="41" t="n"/>
      <c r="H1354" s="41" t="n"/>
      <c r="I1354" s="41" t="n"/>
      <c r="J1354" s="47" t="n"/>
      <c r="K1354" s="41" t="n"/>
      <c r="L1354" s="48" t="n"/>
      <c r="M1354" s="45" t="n"/>
      <c r="N1354" s="39">
        <f>IF($B1354="","",IF(SUMPRODUCT((LISTAS!$O$3:$O$42&lt;&gt;"")*ISNUMBER(SEARCH(LISTAS!$O$3:$O$42,$I1354&amp;" "&amp;$K1354)))&gt;0,"CERCANA","NACIONAL"))</f>
        <v/>
      </c>
      <c r="O1354" s="39">
        <f>IF($B1354="","",IF(COUNTIFS(NOVEDADES!$C$4:$C$2003,$B1354)=0,"—","SÍ ("&amp;COUNTIFS(NOVEDADES!$C$4:$C$2003,$B1354)&amp;")"))</f>
        <v/>
      </c>
    </row>
    <row r="1355">
      <c r="A1355" s="41" t="n"/>
      <c r="B1355" s="41" t="n"/>
      <c r="C1355" s="41" t="n"/>
      <c r="D1355" s="41" t="n"/>
      <c r="E1355" s="46" t="n"/>
      <c r="F1355" s="41" t="n"/>
      <c r="G1355" s="41" t="n"/>
      <c r="H1355" s="41" t="n"/>
      <c r="I1355" s="41" t="n"/>
      <c r="J1355" s="47" t="n"/>
      <c r="K1355" s="41" t="n"/>
      <c r="L1355" s="48" t="n"/>
      <c r="M1355" s="45" t="n"/>
      <c r="N1355" s="39">
        <f>IF($B1355="","",IF(SUMPRODUCT((LISTAS!$O$3:$O$42&lt;&gt;"")*ISNUMBER(SEARCH(LISTAS!$O$3:$O$42,$I1355&amp;" "&amp;$K1355)))&gt;0,"CERCANA","NACIONAL"))</f>
        <v/>
      </c>
      <c r="O1355" s="39">
        <f>IF($B1355="","",IF(COUNTIFS(NOVEDADES!$C$4:$C$2003,$B1355)=0,"—","SÍ ("&amp;COUNTIFS(NOVEDADES!$C$4:$C$2003,$B1355)&amp;")"))</f>
        <v/>
      </c>
    </row>
    <row r="1356">
      <c r="A1356" s="41" t="n"/>
      <c r="B1356" s="41" t="n"/>
      <c r="C1356" s="41" t="n"/>
      <c r="D1356" s="41" t="n"/>
      <c r="E1356" s="46" t="n"/>
      <c r="F1356" s="41" t="n"/>
      <c r="G1356" s="41" t="n"/>
      <c r="H1356" s="41" t="n"/>
      <c r="I1356" s="41" t="n"/>
      <c r="J1356" s="47" t="n"/>
      <c r="K1356" s="41" t="n"/>
      <c r="L1356" s="48" t="n"/>
      <c r="M1356" s="45" t="n"/>
      <c r="N1356" s="39">
        <f>IF($B1356="","",IF(SUMPRODUCT((LISTAS!$O$3:$O$42&lt;&gt;"")*ISNUMBER(SEARCH(LISTAS!$O$3:$O$42,$I1356&amp;" "&amp;$K1356)))&gt;0,"CERCANA","NACIONAL"))</f>
        <v/>
      </c>
      <c r="O1356" s="39">
        <f>IF($B1356="","",IF(COUNTIFS(NOVEDADES!$C$4:$C$2003,$B1356)=0,"—","SÍ ("&amp;COUNTIFS(NOVEDADES!$C$4:$C$2003,$B1356)&amp;")"))</f>
        <v/>
      </c>
    </row>
    <row r="1357">
      <c r="A1357" s="41" t="n"/>
      <c r="B1357" s="41" t="n"/>
      <c r="C1357" s="41" t="n"/>
      <c r="D1357" s="41" t="n"/>
      <c r="E1357" s="46" t="n"/>
      <c r="F1357" s="41" t="n"/>
      <c r="G1357" s="41" t="n"/>
      <c r="H1357" s="41" t="n"/>
      <c r="I1357" s="41" t="n"/>
      <c r="J1357" s="47" t="n"/>
      <c r="K1357" s="41" t="n"/>
      <c r="L1357" s="48" t="n"/>
      <c r="M1357" s="45" t="n"/>
      <c r="N1357" s="39">
        <f>IF($B1357="","",IF(SUMPRODUCT((LISTAS!$O$3:$O$42&lt;&gt;"")*ISNUMBER(SEARCH(LISTAS!$O$3:$O$42,$I1357&amp;" "&amp;$K1357)))&gt;0,"CERCANA","NACIONAL"))</f>
        <v/>
      </c>
      <c r="O1357" s="39">
        <f>IF($B1357="","",IF(COUNTIFS(NOVEDADES!$C$4:$C$2003,$B1357)=0,"—","SÍ ("&amp;COUNTIFS(NOVEDADES!$C$4:$C$2003,$B1357)&amp;")"))</f>
        <v/>
      </c>
    </row>
    <row r="1358">
      <c r="A1358" s="41" t="n"/>
      <c r="B1358" s="41" t="n"/>
      <c r="C1358" s="41" t="n"/>
      <c r="D1358" s="41" t="n"/>
      <c r="E1358" s="46" t="n"/>
      <c r="F1358" s="41" t="n"/>
      <c r="G1358" s="41" t="n"/>
      <c r="H1358" s="41" t="n"/>
      <c r="I1358" s="41" t="n"/>
      <c r="J1358" s="47" t="n"/>
      <c r="K1358" s="41" t="n"/>
      <c r="L1358" s="48" t="n"/>
      <c r="M1358" s="45" t="n"/>
      <c r="N1358" s="39">
        <f>IF($B1358="","",IF(SUMPRODUCT((LISTAS!$O$3:$O$42&lt;&gt;"")*ISNUMBER(SEARCH(LISTAS!$O$3:$O$42,$I1358&amp;" "&amp;$K1358)))&gt;0,"CERCANA","NACIONAL"))</f>
        <v/>
      </c>
      <c r="O1358" s="39">
        <f>IF($B1358="","",IF(COUNTIFS(NOVEDADES!$C$4:$C$2003,$B1358)=0,"—","SÍ ("&amp;COUNTIFS(NOVEDADES!$C$4:$C$2003,$B1358)&amp;")"))</f>
        <v/>
      </c>
    </row>
    <row r="1359">
      <c r="A1359" s="41" t="n"/>
      <c r="B1359" s="41" t="n"/>
      <c r="C1359" s="41" t="n"/>
      <c r="D1359" s="41" t="n"/>
      <c r="E1359" s="46" t="n"/>
      <c r="F1359" s="41" t="n"/>
      <c r="G1359" s="41" t="n"/>
      <c r="H1359" s="41" t="n"/>
      <c r="I1359" s="41" t="n"/>
      <c r="J1359" s="47" t="n"/>
      <c r="K1359" s="41" t="n"/>
      <c r="L1359" s="48" t="n"/>
      <c r="M1359" s="45" t="n"/>
      <c r="N1359" s="39">
        <f>IF($B1359="","",IF(SUMPRODUCT((LISTAS!$O$3:$O$42&lt;&gt;"")*ISNUMBER(SEARCH(LISTAS!$O$3:$O$42,$I1359&amp;" "&amp;$K1359)))&gt;0,"CERCANA","NACIONAL"))</f>
        <v/>
      </c>
      <c r="O1359" s="39">
        <f>IF($B1359="","",IF(COUNTIFS(NOVEDADES!$C$4:$C$2003,$B1359)=0,"—","SÍ ("&amp;COUNTIFS(NOVEDADES!$C$4:$C$2003,$B1359)&amp;")"))</f>
        <v/>
      </c>
    </row>
    <row r="1360">
      <c r="A1360" s="41" t="n"/>
      <c r="B1360" s="41" t="n"/>
      <c r="C1360" s="41" t="n"/>
      <c r="D1360" s="41" t="n"/>
      <c r="E1360" s="46" t="n"/>
      <c r="F1360" s="41" t="n"/>
      <c r="G1360" s="41" t="n"/>
      <c r="H1360" s="41" t="n"/>
      <c r="I1360" s="41" t="n"/>
      <c r="J1360" s="47" t="n"/>
      <c r="K1360" s="41" t="n"/>
      <c r="L1360" s="48" t="n"/>
      <c r="M1360" s="45" t="n"/>
      <c r="N1360" s="39">
        <f>IF($B1360="","",IF(SUMPRODUCT((LISTAS!$O$3:$O$42&lt;&gt;"")*ISNUMBER(SEARCH(LISTAS!$O$3:$O$42,$I1360&amp;" "&amp;$K1360)))&gt;0,"CERCANA","NACIONAL"))</f>
        <v/>
      </c>
      <c r="O1360" s="39">
        <f>IF($B1360="","",IF(COUNTIFS(NOVEDADES!$C$4:$C$2003,$B1360)=0,"—","SÍ ("&amp;COUNTIFS(NOVEDADES!$C$4:$C$2003,$B1360)&amp;")"))</f>
        <v/>
      </c>
    </row>
    <row r="1361">
      <c r="A1361" s="41" t="n"/>
      <c r="B1361" s="41" t="n"/>
      <c r="C1361" s="41" t="n"/>
      <c r="D1361" s="41" t="n"/>
      <c r="E1361" s="46" t="n"/>
      <c r="F1361" s="41" t="n"/>
      <c r="G1361" s="41" t="n"/>
      <c r="H1361" s="41" t="n"/>
      <c r="I1361" s="41" t="n"/>
      <c r="J1361" s="47" t="n"/>
      <c r="K1361" s="41" t="n"/>
      <c r="L1361" s="48" t="n"/>
      <c r="M1361" s="45" t="n"/>
      <c r="N1361" s="39">
        <f>IF($B1361="","",IF(SUMPRODUCT((LISTAS!$O$3:$O$42&lt;&gt;"")*ISNUMBER(SEARCH(LISTAS!$O$3:$O$42,$I1361&amp;" "&amp;$K1361)))&gt;0,"CERCANA","NACIONAL"))</f>
        <v/>
      </c>
      <c r="O1361" s="39">
        <f>IF($B1361="","",IF(COUNTIFS(NOVEDADES!$C$4:$C$2003,$B1361)=0,"—","SÍ ("&amp;COUNTIFS(NOVEDADES!$C$4:$C$2003,$B1361)&amp;")"))</f>
        <v/>
      </c>
    </row>
    <row r="1362">
      <c r="A1362" s="41" t="n"/>
      <c r="B1362" s="41" t="n"/>
      <c r="C1362" s="41" t="n"/>
      <c r="D1362" s="41" t="n"/>
      <c r="E1362" s="46" t="n"/>
      <c r="F1362" s="41" t="n"/>
      <c r="G1362" s="41" t="n"/>
      <c r="H1362" s="41" t="n"/>
      <c r="I1362" s="41" t="n"/>
      <c r="J1362" s="47" t="n"/>
      <c r="K1362" s="41" t="n"/>
      <c r="L1362" s="48" t="n"/>
      <c r="M1362" s="45" t="n"/>
      <c r="N1362" s="39">
        <f>IF($B1362="","",IF(SUMPRODUCT((LISTAS!$O$3:$O$42&lt;&gt;"")*ISNUMBER(SEARCH(LISTAS!$O$3:$O$42,$I1362&amp;" "&amp;$K1362)))&gt;0,"CERCANA","NACIONAL"))</f>
        <v/>
      </c>
      <c r="O1362" s="39">
        <f>IF($B1362="","",IF(COUNTIFS(NOVEDADES!$C$4:$C$2003,$B1362)=0,"—","SÍ ("&amp;COUNTIFS(NOVEDADES!$C$4:$C$2003,$B1362)&amp;")"))</f>
        <v/>
      </c>
    </row>
    <row r="1363">
      <c r="A1363" s="41" t="n"/>
      <c r="B1363" s="41" t="n"/>
      <c r="C1363" s="41" t="n"/>
      <c r="D1363" s="41" t="n"/>
      <c r="E1363" s="46" t="n"/>
      <c r="F1363" s="41" t="n"/>
      <c r="G1363" s="41" t="n"/>
      <c r="H1363" s="41" t="n"/>
      <c r="I1363" s="41" t="n"/>
      <c r="J1363" s="47" t="n"/>
      <c r="K1363" s="41" t="n"/>
      <c r="L1363" s="48" t="n"/>
      <c r="M1363" s="45" t="n"/>
      <c r="N1363" s="39">
        <f>IF($B1363="","",IF(SUMPRODUCT((LISTAS!$O$3:$O$42&lt;&gt;"")*ISNUMBER(SEARCH(LISTAS!$O$3:$O$42,$I1363&amp;" "&amp;$K1363)))&gt;0,"CERCANA","NACIONAL"))</f>
        <v/>
      </c>
      <c r="O1363" s="39">
        <f>IF($B1363="","",IF(COUNTIFS(NOVEDADES!$C$4:$C$2003,$B1363)=0,"—","SÍ ("&amp;COUNTIFS(NOVEDADES!$C$4:$C$2003,$B1363)&amp;")"))</f>
        <v/>
      </c>
    </row>
    <row r="1364">
      <c r="A1364" s="41" t="n"/>
      <c r="B1364" s="41" t="n"/>
      <c r="C1364" s="41" t="n"/>
      <c r="D1364" s="41" t="n"/>
      <c r="E1364" s="46" t="n"/>
      <c r="F1364" s="41" t="n"/>
      <c r="G1364" s="41" t="n"/>
      <c r="H1364" s="41" t="n"/>
      <c r="I1364" s="41" t="n"/>
      <c r="J1364" s="47" t="n"/>
      <c r="K1364" s="41" t="n"/>
      <c r="L1364" s="48" t="n"/>
      <c r="M1364" s="45" t="n"/>
      <c r="N1364" s="39">
        <f>IF($B1364="","",IF(SUMPRODUCT((LISTAS!$O$3:$O$42&lt;&gt;"")*ISNUMBER(SEARCH(LISTAS!$O$3:$O$42,$I1364&amp;" "&amp;$K1364)))&gt;0,"CERCANA","NACIONAL"))</f>
        <v/>
      </c>
      <c r="O1364" s="39">
        <f>IF($B1364="","",IF(COUNTIFS(NOVEDADES!$C$4:$C$2003,$B1364)=0,"—","SÍ ("&amp;COUNTIFS(NOVEDADES!$C$4:$C$2003,$B1364)&amp;")"))</f>
        <v/>
      </c>
    </row>
    <row r="1365">
      <c r="A1365" s="41" t="n"/>
      <c r="B1365" s="41" t="n"/>
      <c r="C1365" s="41" t="n"/>
      <c r="D1365" s="41" t="n"/>
      <c r="E1365" s="46" t="n"/>
      <c r="F1365" s="41" t="n"/>
      <c r="G1365" s="41" t="n"/>
      <c r="H1365" s="41" t="n"/>
      <c r="I1365" s="41" t="n"/>
      <c r="J1365" s="47" t="n"/>
      <c r="K1365" s="41" t="n"/>
      <c r="L1365" s="48" t="n"/>
      <c r="M1365" s="45" t="n"/>
      <c r="N1365" s="39">
        <f>IF($B1365="","",IF(SUMPRODUCT((LISTAS!$O$3:$O$42&lt;&gt;"")*ISNUMBER(SEARCH(LISTAS!$O$3:$O$42,$I1365&amp;" "&amp;$K1365)))&gt;0,"CERCANA","NACIONAL"))</f>
        <v/>
      </c>
      <c r="O1365" s="39">
        <f>IF($B1365="","",IF(COUNTIFS(NOVEDADES!$C$4:$C$2003,$B1365)=0,"—","SÍ ("&amp;COUNTIFS(NOVEDADES!$C$4:$C$2003,$B1365)&amp;")"))</f>
        <v/>
      </c>
    </row>
    <row r="1366">
      <c r="A1366" s="41" t="n"/>
      <c r="B1366" s="41" t="n"/>
      <c r="C1366" s="41" t="n"/>
      <c r="D1366" s="41" t="n"/>
      <c r="E1366" s="46" t="n"/>
      <c r="F1366" s="41" t="n"/>
      <c r="G1366" s="41" t="n"/>
      <c r="H1366" s="41" t="n"/>
      <c r="I1366" s="41" t="n"/>
      <c r="J1366" s="47" t="n"/>
      <c r="K1366" s="41" t="n"/>
      <c r="L1366" s="48" t="n"/>
      <c r="M1366" s="45" t="n"/>
      <c r="N1366" s="39">
        <f>IF($B1366="","",IF(SUMPRODUCT((LISTAS!$O$3:$O$42&lt;&gt;"")*ISNUMBER(SEARCH(LISTAS!$O$3:$O$42,$I1366&amp;" "&amp;$K1366)))&gt;0,"CERCANA","NACIONAL"))</f>
        <v/>
      </c>
      <c r="O1366" s="39">
        <f>IF($B1366="","",IF(COUNTIFS(NOVEDADES!$C$4:$C$2003,$B1366)=0,"—","SÍ ("&amp;COUNTIFS(NOVEDADES!$C$4:$C$2003,$B1366)&amp;")"))</f>
        <v/>
      </c>
    </row>
    <row r="1367">
      <c r="A1367" s="41" t="n"/>
      <c r="B1367" s="41" t="n"/>
      <c r="C1367" s="41" t="n"/>
      <c r="D1367" s="41" t="n"/>
      <c r="E1367" s="46" t="n"/>
      <c r="F1367" s="41" t="n"/>
      <c r="G1367" s="41" t="n"/>
      <c r="H1367" s="41" t="n"/>
      <c r="I1367" s="41" t="n"/>
      <c r="J1367" s="47" t="n"/>
      <c r="K1367" s="41" t="n"/>
      <c r="L1367" s="48" t="n"/>
      <c r="M1367" s="45" t="n"/>
      <c r="N1367" s="39">
        <f>IF($B1367="","",IF(SUMPRODUCT((LISTAS!$O$3:$O$42&lt;&gt;"")*ISNUMBER(SEARCH(LISTAS!$O$3:$O$42,$I1367&amp;" "&amp;$K1367)))&gt;0,"CERCANA","NACIONAL"))</f>
        <v/>
      </c>
      <c r="O1367" s="39">
        <f>IF($B1367="","",IF(COUNTIFS(NOVEDADES!$C$4:$C$2003,$B1367)=0,"—","SÍ ("&amp;COUNTIFS(NOVEDADES!$C$4:$C$2003,$B1367)&amp;")"))</f>
        <v/>
      </c>
    </row>
    <row r="1368">
      <c r="A1368" s="41" t="n"/>
      <c r="B1368" s="41" t="n"/>
      <c r="C1368" s="41" t="n"/>
      <c r="D1368" s="41" t="n"/>
      <c r="E1368" s="46" t="n"/>
      <c r="F1368" s="41" t="n"/>
      <c r="G1368" s="41" t="n"/>
      <c r="H1368" s="41" t="n"/>
      <c r="I1368" s="41" t="n"/>
      <c r="J1368" s="47" t="n"/>
      <c r="K1368" s="41" t="n"/>
      <c r="L1368" s="48" t="n"/>
      <c r="M1368" s="45" t="n"/>
      <c r="N1368" s="39">
        <f>IF($B1368="","",IF(SUMPRODUCT((LISTAS!$O$3:$O$42&lt;&gt;"")*ISNUMBER(SEARCH(LISTAS!$O$3:$O$42,$I1368&amp;" "&amp;$K1368)))&gt;0,"CERCANA","NACIONAL"))</f>
        <v/>
      </c>
      <c r="O1368" s="39">
        <f>IF($B1368="","",IF(COUNTIFS(NOVEDADES!$C$4:$C$2003,$B1368)=0,"—","SÍ ("&amp;COUNTIFS(NOVEDADES!$C$4:$C$2003,$B1368)&amp;")"))</f>
        <v/>
      </c>
    </row>
    <row r="1369">
      <c r="A1369" s="41" t="n"/>
      <c r="B1369" s="41" t="n"/>
      <c r="C1369" s="41" t="n"/>
      <c r="D1369" s="41" t="n"/>
      <c r="E1369" s="46" t="n"/>
      <c r="F1369" s="41" t="n"/>
      <c r="G1369" s="41" t="n"/>
      <c r="H1369" s="41" t="n"/>
      <c r="I1369" s="41" t="n"/>
      <c r="J1369" s="47" t="n"/>
      <c r="K1369" s="41" t="n"/>
      <c r="L1369" s="48" t="n"/>
      <c r="M1369" s="45" t="n"/>
      <c r="N1369" s="39">
        <f>IF($B1369="","",IF(SUMPRODUCT((LISTAS!$O$3:$O$42&lt;&gt;"")*ISNUMBER(SEARCH(LISTAS!$O$3:$O$42,$I1369&amp;" "&amp;$K1369)))&gt;0,"CERCANA","NACIONAL"))</f>
        <v/>
      </c>
      <c r="O1369" s="39">
        <f>IF($B1369="","",IF(COUNTIFS(NOVEDADES!$C$4:$C$2003,$B1369)=0,"—","SÍ ("&amp;COUNTIFS(NOVEDADES!$C$4:$C$2003,$B1369)&amp;")"))</f>
        <v/>
      </c>
    </row>
    <row r="1370">
      <c r="A1370" s="41" t="n"/>
      <c r="B1370" s="41" t="n"/>
      <c r="C1370" s="41" t="n"/>
      <c r="D1370" s="41" t="n"/>
      <c r="E1370" s="46" t="n"/>
      <c r="F1370" s="41" t="n"/>
      <c r="G1370" s="41" t="n"/>
      <c r="H1370" s="41" t="n"/>
      <c r="I1370" s="41" t="n"/>
      <c r="J1370" s="47" t="n"/>
      <c r="K1370" s="41" t="n"/>
      <c r="L1370" s="48" t="n"/>
      <c r="M1370" s="45" t="n"/>
      <c r="N1370" s="39">
        <f>IF($B1370="","",IF(SUMPRODUCT((LISTAS!$O$3:$O$42&lt;&gt;"")*ISNUMBER(SEARCH(LISTAS!$O$3:$O$42,$I1370&amp;" "&amp;$K1370)))&gt;0,"CERCANA","NACIONAL"))</f>
        <v/>
      </c>
      <c r="O1370" s="39">
        <f>IF($B1370="","",IF(COUNTIFS(NOVEDADES!$C$4:$C$2003,$B1370)=0,"—","SÍ ("&amp;COUNTIFS(NOVEDADES!$C$4:$C$2003,$B1370)&amp;")"))</f>
        <v/>
      </c>
    </row>
    <row r="1371">
      <c r="A1371" s="41" t="n"/>
      <c r="B1371" s="41" t="n"/>
      <c r="C1371" s="41" t="n"/>
      <c r="D1371" s="41" t="n"/>
      <c r="E1371" s="46" t="n"/>
      <c r="F1371" s="41" t="n"/>
      <c r="G1371" s="41" t="n"/>
      <c r="H1371" s="41" t="n"/>
      <c r="I1371" s="41" t="n"/>
      <c r="J1371" s="47" t="n"/>
      <c r="K1371" s="41" t="n"/>
      <c r="L1371" s="48" t="n"/>
      <c r="M1371" s="45" t="n"/>
      <c r="N1371" s="39">
        <f>IF($B1371="","",IF(SUMPRODUCT((LISTAS!$O$3:$O$42&lt;&gt;"")*ISNUMBER(SEARCH(LISTAS!$O$3:$O$42,$I1371&amp;" "&amp;$K1371)))&gt;0,"CERCANA","NACIONAL"))</f>
        <v/>
      </c>
      <c r="O1371" s="39">
        <f>IF($B1371="","",IF(COUNTIFS(NOVEDADES!$C$4:$C$2003,$B1371)=0,"—","SÍ ("&amp;COUNTIFS(NOVEDADES!$C$4:$C$2003,$B1371)&amp;")"))</f>
        <v/>
      </c>
    </row>
    <row r="1372">
      <c r="A1372" s="41" t="n"/>
      <c r="B1372" s="41" t="n"/>
      <c r="C1372" s="41" t="n"/>
      <c r="D1372" s="41" t="n"/>
      <c r="E1372" s="46" t="n"/>
      <c r="F1372" s="41" t="n"/>
      <c r="G1372" s="41" t="n"/>
      <c r="H1372" s="41" t="n"/>
      <c r="I1372" s="41" t="n"/>
      <c r="J1372" s="47" t="n"/>
      <c r="K1372" s="41" t="n"/>
      <c r="L1372" s="48" t="n"/>
      <c r="M1372" s="45" t="n"/>
      <c r="N1372" s="39">
        <f>IF($B1372="","",IF(SUMPRODUCT((LISTAS!$O$3:$O$42&lt;&gt;"")*ISNUMBER(SEARCH(LISTAS!$O$3:$O$42,$I1372&amp;" "&amp;$K1372)))&gt;0,"CERCANA","NACIONAL"))</f>
        <v/>
      </c>
      <c r="O1372" s="39">
        <f>IF($B1372="","",IF(COUNTIFS(NOVEDADES!$C$4:$C$2003,$B1372)=0,"—","SÍ ("&amp;COUNTIFS(NOVEDADES!$C$4:$C$2003,$B1372)&amp;")"))</f>
        <v/>
      </c>
    </row>
    <row r="1373">
      <c r="A1373" s="41" t="n"/>
      <c r="B1373" s="41" t="n"/>
      <c r="C1373" s="41" t="n"/>
      <c r="D1373" s="41" t="n"/>
      <c r="E1373" s="46" t="n"/>
      <c r="F1373" s="41" t="n"/>
      <c r="G1373" s="41" t="n"/>
      <c r="H1373" s="41" t="n"/>
      <c r="I1373" s="41" t="n"/>
      <c r="J1373" s="47" t="n"/>
      <c r="K1373" s="41" t="n"/>
      <c r="L1373" s="48" t="n"/>
      <c r="M1373" s="45" t="n"/>
      <c r="N1373" s="39">
        <f>IF($B1373="","",IF(SUMPRODUCT((LISTAS!$O$3:$O$42&lt;&gt;"")*ISNUMBER(SEARCH(LISTAS!$O$3:$O$42,$I1373&amp;" "&amp;$K1373)))&gt;0,"CERCANA","NACIONAL"))</f>
        <v/>
      </c>
      <c r="O1373" s="39">
        <f>IF($B1373="","",IF(COUNTIFS(NOVEDADES!$C$4:$C$2003,$B1373)=0,"—","SÍ ("&amp;COUNTIFS(NOVEDADES!$C$4:$C$2003,$B1373)&amp;")"))</f>
        <v/>
      </c>
    </row>
    <row r="1374">
      <c r="A1374" s="41" t="n"/>
      <c r="B1374" s="41" t="n"/>
      <c r="C1374" s="41" t="n"/>
      <c r="D1374" s="41" t="n"/>
      <c r="E1374" s="46" t="n"/>
      <c r="F1374" s="41" t="n"/>
      <c r="G1374" s="41" t="n"/>
      <c r="H1374" s="41" t="n"/>
      <c r="I1374" s="41" t="n"/>
      <c r="J1374" s="47" t="n"/>
      <c r="K1374" s="41" t="n"/>
      <c r="L1374" s="48" t="n"/>
      <c r="M1374" s="45" t="n"/>
      <c r="N1374" s="39">
        <f>IF($B1374="","",IF(SUMPRODUCT((LISTAS!$O$3:$O$42&lt;&gt;"")*ISNUMBER(SEARCH(LISTAS!$O$3:$O$42,$I1374&amp;" "&amp;$K1374)))&gt;0,"CERCANA","NACIONAL"))</f>
        <v/>
      </c>
      <c r="O1374" s="39">
        <f>IF($B1374="","",IF(COUNTIFS(NOVEDADES!$C$4:$C$2003,$B1374)=0,"—","SÍ ("&amp;COUNTIFS(NOVEDADES!$C$4:$C$2003,$B1374)&amp;")"))</f>
        <v/>
      </c>
    </row>
    <row r="1375">
      <c r="A1375" s="41" t="n"/>
      <c r="B1375" s="41" t="n"/>
      <c r="C1375" s="41" t="n"/>
      <c r="D1375" s="41" t="n"/>
      <c r="E1375" s="46" t="n"/>
      <c r="F1375" s="41" t="n"/>
      <c r="G1375" s="41" t="n"/>
      <c r="H1375" s="41" t="n"/>
      <c r="I1375" s="41" t="n"/>
      <c r="J1375" s="47" t="n"/>
      <c r="K1375" s="41" t="n"/>
      <c r="L1375" s="48" t="n"/>
      <c r="M1375" s="45" t="n"/>
      <c r="N1375" s="39">
        <f>IF($B1375="","",IF(SUMPRODUCT((LISTAS!$O$3:$O$42&lt;&gt;"")*ISNUMBER(SEARCH(LISTAS!$O$3:$O$42,$I1375&amp;" "&amp;$K1375)))&gt;0,"CERCANA","NACIONAL"))</f>
        <v/>
      </c>
      <c r="O1375" s="39">
        <f>IF($B1375="","",IF(COUNTIFS(NOVEDADES!$C$4:$C$2003,$B1375)=0,"—","SÍ ("&amp;COUNTIFS(NOVEDADES!$C$4:$C$2003,$B1375)&amp;")"))</f>
        <v/>
      </c>
    </row>
    <row r="1376">
      <c r="A1376" s="41" t="n"/>
      <c r="B1376" s="41" t="n"/>
      <c r="C1376" s="41" t="n"/>
      <c r="D1376" s="41" t="n"/>
      <c r="E1376" s="46" t="n"/>
      <c r="F1376" s="41" t="n"/>
      <c r="G1376" s="41" t="n"/>
      <c r="H1376" s="41" t="n"/>
      <c r="I1376" s="41" t="n"/>
      <c r="J1376" s="47" t="n"/>
      <c r="K1376" s="41" t="n"/>
      <c r="L1376" s="48" t="n"/>
      <c r="M1376" s="45" t="n"/>
      <c r="N1376" s="39">
        <f>IF($B1376="","",IF(SUMPRODUCT((LISTAS!$O$3:$O$42&lt;&gt;"")*ISNUMBER(SEARCH(LISTAS!$O$3:$O$42,$I1376&amp;" "&amp;$K1376)))&gt;0,"CERCANA","NACIONAL"))</f>
        <v/>
      </c>
      <c r="O1376" s="39">
        <f>IF($B1376="","",IF(COUNTIFS(NOVEDADES!$C$4:$C$2003,$B1376)=0,"—","SÍ ("&amp;COUNTIFS(NOVEDADES!$C$4:$C$2003,$B1376)&amp;")"))</f>
        <v/>
      </c>
    </row>
    <row r="1377">
      <c r="A1377" s="41" t="n"/>
      <c r="B1377" s="41" t="n"/>
      <c r="C1377" s="41" t="n"/>
      <c r="D1377" s="41" t="n"/>
      <c r="E1377" s="46" t="n"/>
      <c r="F1377" s="41" t="n"/>
      <c r="G1377" s="41" t="n"/>
      <c r="H1377" s="41" t="n"/>
      <c r="I1377" s="41" t="n"/>
      <c r="J1377" s="47" t="n"/>
      <c r="K1377" s="41" t="n"/>
      <c r="L1377" s="48" t="n"/>
      <c r="M1377" s="45" t="n"/>
      <c r="N1377" s="39">
        <f>IF($B1377="","",IF(SUMPRODUCT((LISTAS!$O$3:$O$42&lt;&gt;"")*ISNUMBER(SEARCH(LISTAS!$O$3:$O$42,$I1377&amp;" "&amp;$K1377)))&gt;0,"CERCANA","NACIONAL"))</f>
        <v/>
      </c>
      <c r="O1377" s="39">
        <f>IF($B1377="","",IF(COUNTIFS(NOVEDADES!$C$4:$C$2003,$B1377)=0,"—","SÍ ("&amp;COUNTIFS(NOVEDADES!$C$4:$C$2003,$B1377)&amp;")"))</f>
        <v/>
      </c>
    </row>
    <row r="1378">
      <c r="A1378" s="41" t="n"/>
      <c r="B1378" s="41" t="n"/>
      <c r="C1378" s="41" t="n"/>
      <c r="D1378" s="41" t="n"/>
      <c r="E1378" s="46" t="n"/>
      <c r="F1378" s="41" t="n"/>
      <c r="G1378" s="41" t="n"/>
      <c r="H1378" s="41" t="n"/>
      <c r="I1378" s="41" t="n"/>
      <c r="J1378" s="47" t="n"/>
      <c r="K1378" s="41" t="n"/>
      <c r="L1378" s="48" t="n"/>
      <c r="M1378" s="45" t="n"/>
      <c r="N1378" s="39">
        <f>IF($B1378="","",IF(SUMPRODUCT((LISTAS!$O$3:$O$42&lt;&gt;"")*ISNUMBER(SEARCH(LISTAS!$O$3:$O$42,$I1378&amp;" "&amp;$K1378)))&gt;0,"CERCANA","NACIONAL"))</f>
        <v/>
      </c>
      <c r="O1378" s="39">
        <f>IF($B1378="","",IF(COUNTIFS(NOVEDADES!$C$4:$C$2003,$B1378)=0,"—","SÍ ("&amp;COUNTIFS(NOVEDADES!$C$4:$C$2003,$B1378)&amp;")"))</f>
        <v/>
      </c>
    </row>
    <row r="1379">
      <c r="A1379" s="41" t="n"/>
      <c r="B1379" s="41" t="n"/>
      <c r="C1379" s="41" t="n"/>
      <c r="D1379" s="41" t="n"/>
      <c r="E1379" s="46" t="n"/>
      <c r="F1379" s="41" t="n"/>
      <c r="G1379" s="41" t="n"/>
      <c r="H1379" s="41" t="n"/>
      <c r="I1379" s="41" t="n"/>
      <c r="J1379" s="47" t="n"/>
      <c r="K1379" s="41" t="n"/>
      <c r="L1379" s="48" t="n"/>
      <c r="M1379" s="45" t="n"/>
      <c r="N1379" s="39">
        <f>IF($B1379="","",IF(SUMPRODUCT((LISTAS!$O$3:$O$42&lt;&gt;"")*ISNUMBER(SEARCH(LISTAS!$O$3:$O$42,$I1379&amp;" "&amp;$K1379)))&gt;0,"CERCANA","NACIONAL"))</f>
        <v/>
      </c>
      <c r="O1379" s="39">
        <f>IF($B1379="","",IF(COUNTIFS(NOVEDADES!$C$4:$C$2003,$B1379)=0,"—","SÍ ("&amp;COUNTIFS(NOVEDADES!$C$4:$C$2003,$B1379)&amp;")"))</f>
        <v/>
      </c>
    </row>
    <row r="1380">
      <c r="A1380" s="41" t="n"/>
      <c r="B1380" s="41" t="n"/>
      <c r="C1380" s="41" t="n"/>
      <c r="D1380" s="41" t="n"/>
      <c r="E1380" s="46" t="n"/>
      <c r="F1380" s="41" t="n"/>
      <c r="G1380" s="41" t="n"/>
      <c r="H1380" s="41" t="n"/>
      <c r="I1380" s="41" t="n"/>
      <c r="J1380" s="47" t="n"/>
      <c r="K1380" s="41" t="n"/>
      <c r="L1380" s="48" t="n"/>
      <c r="M1380" s="45" t="n"/>
      <c r="N1380" s="39">
        <f>IF($B1380="","",IF(SUMPRODUCT((LISTAS!$O$3:$O$42&lt;&gt;"")*ISNUMBER(SEARCH(LISTAS!$O$3:$O$42,$I1380&amp;" "&amp;$K1380)))&gt;0,"CERCANA","NACIONAL"))</f>
        <v/>
      </c>
      <c r="O1380" s="39">
        <f>IF($B1380="","",IF(COUNTIFS(NOVEDADES!$C$4:$C$2003,$B1380)=0,"—","SÍ ("&amp;COUNTIFS(NOVEDADES!$C$4:$C$2003,$B1380)&amp;")"))</f>
        <v/>
      </c>
    </row>
    <row r="1381">
      <c r="A1381" s="41" t="n"/>
      <c r="B1381" s="41" t="n"/>
      <c r="C1381" s="41" t="n"/>
      <c r="D1381" s="41" t="n"/>
      <c r="E1381" s="46" t="n"/>
      <c r="F1381" s="41" t="n"/>
      <c r="G1381" s="41" t="n"/>
      <c r="H1381" s="41" t="n"/>
      <c r="I1381" s="41" t="n"/>
      <c r="J1381" s="47" t="n"/>
      <c r="K1381" s="41" t="n"/>
      <c r="L1381" s="48" t="n"/>
      <c r="M1381" s="45" t="n"/>
      <c r="N1381" s="39">
        <f>IF($B1381="","",IF(SUMPRODUCT((LISTAS!$O$3:$O$42&lt;&gt;"")*ISNUMBER(SEARCH(LISTAS!$O$3:$O$42,$I1381&amp;" "&amp;$K1381)))&gt;0,"CERCANA","NACIONAL"))</f>
        <v/>
      </c>
      <c r="O1381" s="39">
        <f>IF($B1381="","",IF(COUNTIFS(NOVEDADES!$C$4:$C$2003,$B1381)=0,"—","SÍ ("&amp;COUNTIFS(NOVEDADES!$C$4:$C$2003,$B1381)&amp;")"))</f>
        <v/>
      </c>
    </row>
    <row r="1382">
      <c r="A1382" s="41" t="n"/>
      <c r="B1382" s="41" t="n"/>
      <c r="C1382" s="41" t="n"/>
      <c r="D1382" s="41" t="n"/>
      <c r="E1382" s="46" t="n"/>
      <c r="F1382" s="41" t="n"/>
      <c r="G1382" s="41" t="n"/>
      <c r="H1382" s="41" t="n"/>
      <c r="I1382" s="41" t="n"/>
      <c r="J1382" s="47" t="n"/>
      <c r="K1382" s="41" t="n"/>
      <c r="L1382" s="48" t="n"/>
      <c r="M1382" s="45" t="n"/>
      <c r="N1382" s="39">
        <f>IF($B1382="","",IF(SUMPRODUCT((LISTAS!$O$3:$O$42&lt;&gt;"")*ISNUMBER(SEARCH(LISTAS!$O$3:$O$42,$I1382&amp;" "&amp;$K1382)))&gt;0,"CERCANA","NACIONAL"))</f>
        <v/>
      </c>
      <c r="O1382" s="39">
        <f>IF($B1382="","",IF(COUNTIFS(NOVEDADES!$C$4:$C$2003,$B1382)=0,"—","SÍ ("&amp;COUNTIFS(NOVEDADES!$C$4:$C$2003,$B1382)&amp;")"))</f>
        <v/>
      </c>
    </row>
    <row r="1383">
      <c r="A1383" s="41" t="n"/>
      <c r="B1383" s="41" t="n"/>
      <c r="C1383" s="41" t="n"/>
      <c r="D1383" s="41" t="n"/>
      <c r="E1383" s="46" t="n"/>
      <c r="F1383" s="41" t="n"/>
      <c r="G1383" s="41" t="n"/>
      <c r="H1383" s="41" t="n"/>
      <c r="I1383" s="41" t="n"/>
      <c r="J1383" s="47" t="n"/>
      <c r="K1383" s="41" t="n"/>
      <c r="L1383" s="48" t="n"/>
      <c r="M1383" s="45" t="n"/>
      <c r="N1383" s="39">
        <f>IF($B1383="","",IF(SUMPRODUCT((LISTAS!$O$3:$O$42&lt;&gt;"")*ISNUMBER(SEARCH(LISTAS!$O$3:$O$42,$I1383&amp;" "&amp;$K1383)))&gt;0,"CERCANA","NACIONAL"))</f>
        <v/>
      </c>
      <c r="O1383" s="39">
        <f>IF($B1383="","",IF(COUNTIFS(NOVEDADES!$C$4:$C$2003,$B1383)=0,"—","SÍ ("&amp;COUNTIFS(NOVEDADES!$C$4:$C$2003,$B1383)&amp;")"))</f>
        <v/>
      </c>
    </row>
    <row r="1384">
      <c r="A1384" s="41" t="n"/>
      <c r="B1384" s="41" t="n"/>
      <c r="C1384" s="41" t="n"/>
      <c r="D1384" s="41" t="n"/>
      <c r="E1384" s="46" t="n"/>
      <c r="F1384" s="41" t="n"/>
      <c r="G1384" s="41" t="n"/>
      <c r="H1384" s="41" t="n"/>
      <c r="I1384" s="41" t="n"/>
      <c r="J1384" s="47" t="n"/>
      <c r="K1384" s="41" t="n"/>
      <c r="L1384" s="48" t="n"/>
      <c r="M1384" s="45" t="n"/>
      <c r="N1384" s="39">
        <f>IF($B1384="","",IF(SUMPRODUCT((LISTAS!$O$3:$O$42&lt;&gt;"")*ISNUMBER(SEARCH(LISTAS!$O$3:$O$42,$I1384&amp;" "&amp;$K1384)))&gt;0,"CERCANA","NACIONAL"))</f>
        <v/>
      </c>
      <c r="O1384" s="39">
        <f>IF($B1384="","",IF(COUNTIFS(NOVEDADES!$C$4:$C$2003,$B1384)=0,"—","SÍ ("&amp;COUNTIFS(NOVEDADES!$C$4:$C$2003,$B1384)&amp;")"))</f>
        <v/>
      </c>
    </row>
    <row r="1385">
      <c r="A1385" s="41" t="n"/>
      <c r="B1385" s="41" t="n"/>
      <c r="C1385" s="41" t="n"/>
      <c r="D1385" s="41" t="n"/>
      <c r="E1385" s="46" t="n"/>
      <c r="F1385" s="41" t="n"/>
      <c r="G1385" s="41" t="n"/>
      <c r="H1385" s="41" t="n"/>
      <c r="I1385" s="41" t="n"/>
      <c r="J1385" s="47" t="n"/>
      <c r="K1385" s="41" t="n"/>
      <c r="L1385" s="48" t="n"/>
      <c r="M1385" s="45" t="n"/>
      <c r="N1385" s="39">
        <f>IF($B1385="","",IF(SUMPRODUCT((LISTAS!$O$3:$O$42&lt;&gt;"")*ISNUMBER(SEARCH(LISTAS!$O$3:$O$42,$I1385&amp;" "&amp;$K1385)))&gt;0,"CERCANA","NACIONAL"))</f>
        <v/>
      </c>
      <c r="O1385" s="39">
        <f>IF($B1385="","",IF(COUNTIFS(NOVEDADES!$C$4:$C$2003,$B1385)=0,"—","SÍ ("&amp;COUNTIFS(NOVEDADES!$C$4:$C$2003,$B1385)&amp;")"))</f>
        <v/>
      </c>
    </row>
    <row r="1386">
      <c r="A1386" s="41" t="n"/>
      <c r="B1386" s="41" t="n"/>
      <c r="C1386" s="41" t="n"/>
      <c r="D1386" s="41" t="n"/>
      <c r="E1386" s="46" t="n"/>
      <c r="F1386" s="41" t="n"/>
      <c r="G1386" s="41" t="n"/>
      <c r="H1386" s="41" t="n"/>
      <c r="I1386" s="41" t="n"/>
      <c r="J1386" s="47" t="n"/>
      <c r="K1386" s="41" t="n"/>
      <c r="L1386" s="48" t="n"/>
      <c r="M1386" s="45" t="n"/>
      <c r="N1386" s="39">
        <f>IF($B1386="","",IF(SUMPRODUCT((LISTAS!$O$3:$O$42&lt;&gt;"")*ISNUMBER(SEARCH(LISTAS!$O$3:$O$42,$I1386&amp;" "&amp;$K1386)))&gt;0,"CERCANA","NACIONAL"))</f>
        <v/>
      </c>
      <c r="O1386" s="39">
        <f>IF($B1386="","",IF(COUNTIFS(NOVEDADES!$C$4:$C$2003,$B1386)=0,"—","SÍ ("&amp;COUNTIFS(NOVEDADES!$C$4:$C$2003,$B1386)&amp;")"))</f>
        <v/>
      </c>
    </row>
    <row r="1387">
      <c r="A1387" s="41" t="n"/>
      <c r="B1387" s="41" t="n"/>
      <c r="C1387" s="41" t="n"/>
      <c r="D1387" s="41" t="n"/>
      <c r="E1387" s="46" t="n"/>
      <c r="F1387" s="41" t="n"/>
      <c r="G1387" s="41" t="n"/>
      <c r="H1387" s="41" t="n"/>
      <c r="I1387" s="41" t="n"/>
      <c r="J1387" s="47" t="n"/>
      <c r="K1387" s="41" t="n"/>
      <c r="L1387" s="48" t="n"/>
      <c r="M1387" s="45" t="n"/>
      <c r="N1387" s="39">
        <f>IF($B1387="","",IF(SUMPRODUCT((LISTAS!$O$3:$O$42&lt;&gt;"")*ISNUMBER(SEARCH(LISTAS!$O$3:$O$42,$I1387&amp;" "&amp;$K1387)))&gt;0,"CERCANA","NACIONAL"))</f>
        <v/>
      </c>
      <c r="O1387" s="39">
        <f>IF($B1387="","",IF(COUNTIFS(NOVEDADES!$C$4:$C$2003,$B1387)=0,"—","SÍ ("&amp;COUNTIFS(NOVEDADES!$C$4:$C$2003,$B1387)&amp;")"))</f>
        <v/>
      </c>
    </row>
    <row r="1388">
      <c r="A1388" s="41" t="n"/>
      <c r="B1388" s="41" t="n"/>
      <c r="C1388" s="41" t="n"/>
      <c r="D1388" s="41" t="n"/>
      <c r="E1388" s="46" t="n"/>
      <c r="F1388" s="41" t="n"/>
      <c r="G1388" s="41" t="n"/>
      <c r="H1388" s="41" t="n"/>
      <c r="I1388" s="41" t="n"/>
      <c r="J1388" s="47" t="n"/>
      <c r="K1388" s="41" t="n"/>
      <c r="L1388" s="48" t="n"/>
      <c r="M1388" s="45" t="n"/>
      <c r="N1388" s="39">
        <f>IF($B1388="","",IF(SUMPRODUCT((LISTAS!$O$3:$O$42&lt;&gt;"")*ISNUMBER(SEARCH(LISTAS!$O$3:$O$42,$I1388&amp;" "&amp;$K1388)))&gt;0,"CERCANA","NACIONAL"))</f>
        <v/>
      </c>
      <c r="O1388" s="39">
        <f>IF($B1388="","",IF(COUNTIFS(NOVEDADES!$C$4:$C$2003,$B1388)=0,"—","SÍ ("&amp;COUNTIFS(NOVEDADES!$C$4:$C$2003,$B1388)&amp;")"))</f>
        <v/>
      </c>
    </row>
    <row r="1389">
      <c r="A1389" s="41" t="n"/>
      <c r="B1389" s="41" t="n"/>
      <c r="C1389" s="41" t="n"/>
      <c r="D1389" s="41" t="n"/>
      <c r="E1389" s="46" t="n"/>
      <c r="F1389" s="41" t="n"/>
      <c r="G1389" s="41" t="n"/>
      <c r="H1389" s="41" t="n"/>
      <c r="I1389" s="41" t="n"/>
      <c r="J1389" s="47" t="n"/>
      <c r="K1389" s="41" t="n"/>
      <c r="L1389" s="48" t="n"/>
      <c r="M1389" s="45" t="n"/>
      <c r="N1389" s="39">
        <f>IF($B1389="","",IF(SUMPRODUCT((LISTAS!$O$3:$O$42&lt;&gt;"")*ISNUMBER(SEARCH(LISTAS!$O$3:$O$42,$I1389&amp;" "&amp;$K1389)))&gt;0,"CERCANA","NACIONAL"))</f>
        <v/>
      </c>
      <c r="O1389" s="39">
        <f>IF($B1389="","",IF(COUNTIFS(NOVEDADES!$C$4:$C$2003,$B1389)=0,"—","SÍ ("&amp;COUNTIFS(NOVEDADES!$C$4:$C$2003,$B1389)&amp;")"))</f>
        <v/>
      </c>
    </row>
    <row r="1390">
      <c r="A1390" s="41" t="n"/>
      <c r="B1390" s="41" t="n"/>
      <c r="C1390" s="41" t="n"/>
      <c r="D1390" s="41" t="n"/>
      <c r="E1390" s="46" t="n"/>
      <c r="F1390" s="41" t="n"/>
      <c r="G1390" s="41" t="n"/>
      <c r="H1390" s="41" t="n"/>
      <c r="I1390" s="41" t="n"/>
      <c r="J1390" s="47" t="n"/>
      <c r="K1390" s="41" t="n"/>
      <c r="L1390" s="48" t="n"/>
      <c r="M1390" s="45" t="n"/>
      <c r="N1390" s="39">
        <f>IF($B1390="","",IF(SUMPRODUCT((LISTAS!$O$3:$O$42&lt;&gt;"")*ISNUMBER(SEARCH(LISTAS!$O$3:$O$42,$I1390&amp;" "&amp;$K1390)))&gt;0,"CERCANA","NACIONAL"))</f>
        <v/>
      </c>
      <c r="O1390" s="39">
        <f>IF($B1390="","",IF(COUNTIFS(NOVEDADES!$C$4:$C$2003,$B1390)=0,"—","SÍ ("&amp;COUNTIFS(NOVEDADES!$C$4:$C$2003,$B1390)&amp;")"))</f>
        <v/>
      </c>
    </row>
    <row r="1391">
      <c r="A1391" s="41" t="n"/>
      <c r="B1391" s="41" t="n"/>
      <c r="C1391" s="41" t="n"/>
      <c r="D1391" s="41" t="n"/>
      <c r="E1391" s="46" t="n"/>
      <c r="F1391" s="41" t="n"/>
      <c r="G1391" s="41" t="n"/>
      <c r="H1391" s="41" t="n"/>
      <c r="I1391" s="41" t="n"/>
      <c r="J1391" s="47" t="n"/>
      <c r="K1391" s="41" t="n"/>
      <c r="L1391" s="48" t="n"/>
      <c r="M1391" s="45" t="n"/>
      <c r="N1391" s="39">
        <f>IF($B1391="","",IF(SUMPRODUCT((LISTAS!$O$3:$O$42&lt;&gt;"")*ISNUMBER(SEARCH(LISTAS!$O$3:$O$42,$I1391&amp;" "&amp;$K1391)))&gt;0,"CERCANA","NACIONAL"))</f>
        <v/>
      </c>
      <c r="O1391" s="39">
        <f>IF($B1391="","",IF(COUNTIFS(NOVEDADES!$C$4:$C$2003,$B1391)=0,"—","SÍ ("&amp;COUNTIFS(NOVEDADES!$C$4:$C$2003,$B1391)&amp;")"))</f>
        <v/>
      </c>
    </row>
    <row r="1392">
      <c r="A1392" s="41" t="n"/>
      <c r="B1392" s="41" t="n"/>
      <c r="C1392" s="41" t="n"/>
      <c r="D1392" s="41" t="n"/>
      <c r="E1392" s="46" t="n"/>
      <c r="F1392" s="41" t="n"/>
      <c r="G1392" s="41" t="n"/>
      <c r="H1392" s="41" t="n"/>
      <c r="I1392" s="41" t="n"/>
      <c r="J1392" s="47" t="n"/>
      <c r="K1392" s="41" t="n"/>
      <c r="L1392" s="48" t="n"/>
      <c r="M1392" s="45" t="n"/>
      <c r="N1392" s="39">
        <f>IF($B1392="","",IF(SUMPRODUCT((LISTAS!$O$3:$O$42&lt;&gt;"")*ISNUMBER(SEARCH(LISTAS!$O$3:$O$42,$I1392&amp;" "&amp;$K1392)))&gt;0,"CERCANA","NACIONAL"))</f>
        <v/>
      </c>
      <c r="O1392" s="39">
        <f>IF($B1392="","",IF(COUNTIFS(NOVEDADES!$C$4:$C$2003,$B1392)=0,"—","SÍ ("&amp;COUNTIFS(NOVEDADES!$C$4:$C$2003,$B1392)&amp;")"))</f>
        <v/>
      </c>
    </row>
    <row r="1393">
      <c r="A1393" s="41" t="n"/>
      <c r="B1393" s="41" t="n"/>
      <c r="C1393" s="41" t="n"/>
      <c r="D1393" s="41" t="n"/>
      <c r="E1393" s="46" t="n"/>
      <c r="F1393" s="41" t="n"/>
      <c r="G1393" s="41" t="n"/>
      <c r="H1393" s="41" t="n"/>
      <c r="I1393" s="41" t="n"/>
      <c r="J1393" s="47" t="n"/>
      <c r="K1393" s="41" t="n"/>
      <c r="L1393" s="48" t="n"/>
      <c r="M1393" s="45" t="n"/>
      <c r="N1393" s="39">
        <f>IF($B1393="","",IF(SUMPRODUCT((LISTAS!$O$3:$O$42&lt;&gt;"")*ISNUMBER(SEARCH(LISTAS!$O$3:$O$42,$I1393&amp;" "&amp;$K1393)))&gt;0,"CERCANA","NACIONAL"))</f>
        <v/>
      </c>
      <c r="O1393" s="39">
        <f>IF($B1393="","",IF(COUNTIFS(NOVEDADES!$C$4:$C$2003,$B1393)=0,"—","SÍ ("&amp;COUNTIFS(NOVEDADES!$C$4:$C$2003,$B1393)&amp;")"))</f>
        <v/>
      </c>
    </row>
    <row r="1394">
      <c r="A1394" s="41" t="n"/>
      <c r="B1394" s="41" t="n"/>
      <c r="C1394" s="41" t="n"/>
      <c r="D1394" s="41" t="n"/>
      <c r="E1394" s="46" t="n"/>
      <c r="F1394" s="41" t="n"/>
      <c r="G1394" s="41" t="n"/>
      <c r="H1394" s="41" t="n"/>
      <c r="I1394" s="41" t="n"/>
      <c r="J1394" s="47" t="n"/>
      <c r="K1394" s="41" t="n"/>
      <c r="L1394" s="48" t="n"/>
      <c r="M1394" s="45" t="n"/>
      <c r="N1394" s="39">
        <f>IF($B1394="","",IF(SUMPRODUCT((LISTAS!$O$3:$O$42&lt;&gt;"")*ISNUMBER(SEARCH(LISTAS!$O$3:$O$42,$I1394&amp;" "&amp;$K1394)))&gt;0,"CERCANA","NACIONAL"))</f>
        <v/>
      </c>
      <c r="O1394" s="39">
        <f>IF($B1394="","",IF(COUNTIFS(NOVEDADES!$C$4:$C$2003,$B1394)=0,"—","SÍ ("&amp;COUNTIFS(NOVEDADES!$C$4:$C$2003,$B1394)&amp;")"))</f>
        <v/>
      </c>
    </row>
    <row r="1395">
      <c r="A1395" s="41" t="n"/>
      <c r="B1395" s="41" t="n"/>
      <c r="C1395" s="41" t="n"/>
      <c r="D1395" s="41" t="n"/>
      <c r="E1395" s="46" t="n"/>
      <c r="F1395" s="41" t="n"/>
      <c r="G1395" s="41" t="n"/>
      <c r="H1395" s="41" t="n"/>
      <c r="I1395" s="41" t="n"/>
      <c r="J1395" s="47" t="n"/>
      <c r="K1395" s="41" t="n"/>
      <c r="L1395" s="48" t="n"/>
      <c r="M1395" s="45" t="n"/>
      <c r="N1395" s="39">
        <f>IF($B1395="","",IF(SUMPRODUCT((LISTAS!$O$3:$O$42&lt;&gt;"")*ISNUMBER(SEARCH(LISTAS!$O$3:$O$42,$I1395&amp;" "&amp;$K1395)))&gt;0,"CERCANA","NACIONAL"))</f>
        <v/>
      </c>
      <c r="O1395" s="39">
        <f>IF($B1395="","",IF(COUNTIFS(NOVEDADES!$C$4:$C$2003,$B1395)=0,"—","SÍ ("&amp;COUNTIFS(NOVEDADES!$C$4:$C$2003,$B1395)&amp;")"))</f>
        <v/>
      </c>
    </row>
    <row r="1396">
      <c r="A1396" s="41" t="n"/>
      <c r="B1396" s="41" t="n"/>
      <c r="C1396" s="41" t="n"/>
      <c r="D1396" s="41" t="n"/>
      <c r="E1396" s="46" t="n"/>
      <c r="F1396" s="41" t="n"/>
      <c r="G1396" s="41" t="n"/>
      <c r="H1396" s="41" t="n"/>
      <c r="I1396" s="41" t="n"/>
      <c r="J1396" s="47" t="n"/>
      <c r="K1396" s="41" t="n"/>
      <c r="L1396" s="48" t="n"/>
      <c r="M1396" s="45" t="n"/>
      <c r="N1396" s="39">
        <f>IF($B1396="","",IF(SUMPRODUCT((LISTAS!$O$3:$O$42&lt;&gt;"")*ISNUMBER(SEARCH(LISTAS!$O$3:$O$42,$I1396&amp;" "&amp;$K1396)))&gt;0,"CERCANA","NACIONAL"))</f>
        <v/>
      </c>
      <c r="O1396" s="39">
        <f>IF($B1396="","",IF(COUNTIFS(NOVEDADES!$C$4:$C$2003,$B1396)=0,"—","SÍ ("&amp;COUNTIFS(NOVEDADES!$C$4:$C$2003,$B1396)&amp;")"))</f>
        <v/>
      </c>
    </row>
    <row r="1397">
      <c r="A1397" s="41" t="n"/>
      <c r="B1397" s="41" t="n"/>
      <c r="C1397" s="41" t="n"/>
      <c r="D1397" s="41" t="n"/>
      <c r="E1397" s="46" t="n"/>
      <c r="F1397" s="41" t="n"/>
      <c r="G1397" s="41" t="n"/>
      <c r="H1397" s="41" t="n"/>
      <c r="I1397" s="41" t="n"/>
      <c r="J1397" s="47" t="n"/>
      <c r="K1397" s="41" t="n"/>
      <c r="L1397" s="48" t="n"/>
      <c r="M1397" s="45" t="n"/>
      <c r="N1397" s="39">
        <f>IF($B1397="","",IF(SUMPRODUCT((LISTAS!$O$3:$O$42&lt;&gt;"")*ISNUMBER(SEARCH(LISTAS!$O$3:$O$42,$I1397&amp;" "&amp;$K1397)))&gt;0,"CERCANA","NACIONAL"))</f>
        <v/>
      </c>
      <c r="O1397" s="39">
        <f>IF($B1397="","",IF(COUNTIFS(NOVEDADES!$C$4:$C$2003,$B1397)=0,"—","SÍ ("&amp;COUNTIFS(NOVEDADES!$C$4:$C$2003,$B1397)&amp;")"))</f>
        <v/>
      </c>
    </row>
    <row r="1398">
      <c r="A1398" s="41" t="n"/>
      <c r="B1398" s="41" t="n"/>
      <c r="C1398" s="41" t="n"/>
      <c r="D1398" s="41" t="n"/>
      <c r="E1398" s="46" t="n"/>
      <c r="F1398" s="41" t="n"/>
      <c r="G1398" s="41" t="n"/>
      <c r="H1398" s="41" t="n"/>
      <c r="I1398" s="41" t="n"/>
      <c r="J1398" s="47" t="n"/>
      <c r="K1398" s="41" t="n"/>
      <c r="L1398" s="48" t="n"/>
      <c r="M1398" s="45" t="n"/>
      <c r="N1398" s="39">
        <f>IF($B1398="","",IF(SUMPRODUCT((LISTAS!$O$3:$O$42&lt;&gt;"")*ISNUMBER(SEARCH(LISTAS!$O$3:$O$42,$I1398&amp;" "&amp;$K1398)))&gt;0,"CERCANA","NACIONAL"))</f>
        <v/>
      </c>
      <c r="O1398" s="39">
        <f>IF($B1398="","",IF(COUNTIFS(NOVEDADES!$C$4:$C$2003,$B1398)=0,"—","SÍ ("&amp;COUNTIFS(NOVEDADES!$C$4:$C$2003,$B1398)&amp;")"))</f>
        <v/>
      </c>
    </row>
    <row r="1399">
      <c r="A1399" s="41" t="n"/>
      <c r="B1399" s="41" t="n"/>
      <c r="C1399" s="41" t="n"/>
      <c r="D1399" s="41" t="n"/>
      <c r="E1399" s="46" t="n"/>
      <c r="F1399" s="41" t="n"/>
      <c r="G1399" s="41" t="n"/>
      <c r="H1399" s="41" t="n"/>
      <c r="I1399" s="41" t="n"/>
      <c r="J1399" s="47" t="n"/>
      <c r="K1399" s="41" t="n"/>
      <c r="L1399" s="48" t="n"/>
      <c r="M1399" s="45" t="n"/>
      <c r="N1399" s="39">
        <f>IF($B1399="","",IF(SUMPRODUCT((LISTAS!$O$3:$O$42&lt;&gt;"")*ISNUMBER(SEARCH(LISTAS!$O$3:$O$42,$I1399&amp;" "&amp;$K1399)))&gt;0,"CERCANA","NACIONAL"))</f>
        <v/>
      </c>
      <c r="O1399" s="39">
        <f>IF($B1399="","",IF(COUNTIFS(NOVEDADES!$C$4:$C$2003,$B1399)=0,"—","SÍ ("&amp;COUNTIFS(NOVEDADES!$C$4:$C$2003,$B1399)&amp;")"))</f>
        <v/>
      </c>
    </row>
    <row r="1400">
      <c r="A1400" s="41" t="n"/>
      <c r="B1400" s="41" t="n"/>
      <c r="C1400" s="41" t="n"/>
      <c r="D1400" s="41" t="n"/>
      <c r="E1400" s="46" t="n"/>
      <c r="F1400" s="41" t="n"/>
      <c r="G1400" s="41" t="n"/>
      <c r="H1400" s="41" t="n"/>
      <c r="I1400" s="41" t="n"/>
      <c r="J1400" s="47" t="n"/>
      <c r="K1400" s="41" t="n"/>
      <c r="L1400" s="48" t="n"/>
      <c r="M1400" s="45" t="n"/>
      <c r="N1400" s="39">
        <f>IF($B1400="","",IF(SUMPRODUCT((LISTAS!$O$3:$O$42&lt;&gt;"")*ISNUMBER(SEARCH(LISTAS!$O$3:$O$42,$I1400&amp;" "&amp;$K1400)))&gt;0,"CERCANA","NACIONAL"))</f>
        <v/>
      </c>
      <c r="O1400" s="39">
        <f>IF($B1400="","",IF(COUNTIFS(NOVEDADES!$C$4:$C$2003,$B1400)=0,"—","SÍ ("&amp;COUNTIFS(NOVEDADES!$C$4:$C$2003,$B1400)&amp;")"))</f>
        <v/>
      </c>
    </row>
    <row r="1401">
      <c r="A1401" s="41" t="n"/>
      <c r="B1401" s="41" t="n"/>
      <c r="C1401" s="41" t="n"/>
      <c r="D1401" s="41" t="n"/>
      <c r="E1401" s="46" t="n"/>
      <c r="F1401" s="41" t="n"/>
      <c r="G1401" s="41" t="n"/>
      <c r="H1401" s="41" t="n"/>
      <c r="I1401" s="41" t="n"/>
      <c r="J1401" s="47" t="n"/>
      <c r="K1401" s="41" t="n"/>
      <c r="L1401" s="48" t="n"/>
      <c r="M1401" s="45" t="n"/>
      <c r="N1401" s="39">
        <f>IF($B1401="","",IF(SUMPRODUCT((LISTAS!$O$3:$O$42&lt;&gt;"")*ISNUMBER(SEARCH(LISTAS!$O$3:$O$42,$I1401&amp;" "&amp;$K1401)))&gt;0,"CERCANA","NACIONAL"))</f>
        <v/>
      </c>
      <c r="O1401" s="39">
        <f>IF($B1401="","",IF(COUNTIFS(NOVEDADES!$C$4:$C$2003,$B1401)=0,"—","SÍ ("&amp;COUNTIFS(NOVEDADES!$C$4:$C$2003,$B1401)&amp;")"))</f>
        <v/>
      </c>
    </row>
    <row r="1402">
      <c r="A1402" s="41" t="n"/>
      <c r="B1402" s="41" t="n"/>
      <c r="C1402" s="41" t="n"/>
      <c r="D1402" s="41" t="n"/>
      <c r="E1402" s="46" t="n"/>
      <c r="F1402" s="41" t="n"/>
      <c r="G1402" s="41" t="n"/>
      <c r="H1402" s="41" t="n"/>
      <c r="I1402" s="41" t="n"/>
      <c r="J1402" s="47" t="n"/>
      <c r="K1402" s="41" t="n"/>
      <c r="L1402" s="48" t="n"/>
      <c r="M1402" s="45" t="n"/>
      <c r="N1402" s="39">
        <f>IF($B1402="","",IF(SUMPRODUCT((LISTAS!$O$3:$O$42&lt;&gt;"")*ISNUMBER(SEARCH(LISTAS!$O$3:$O$42,$I1402&amp;" "&amp;$K1402)))&gt;0,"CERCANA","NACIONAL"))</f>
        <v/>
      </c>
      <c r="O1402" s="39">
        <f>IF($B1402="","",IF(COUNTIFS(NOVEDADES!$C$4:$C$2003,$B1402)=0,"—","SÍ ("&amp;COUNTIFS(NOVEDADES!$C$4:$C$2003,$B1402)&amp;")"))</f>
        <v/>
      </c>
    </row>
    <row r="1403">
      <c r="A1403" s="41" t="n"/>
      <c r="B1403" s="41" t="n"/>
      <c r="C1403" s="41" t="n"/>
      <c r="D1403" s="41" t="n"/>
      <c r="E1403" s="46" t="n"/>
      <c r="F1403" s="41" t="n"/>
      <c r="G1403" s="41" t="n"/>
      <c r="H1403" s="41" t="n"/>
      <c r="I1403" s="41" t="n"/>
      <c r="J1403" s="47" t="n"/>
      <c r="K1403" s="41" t="n"/>
      <c r="L1403" s="48" t="n"/>
      <c r="M1403" s="45" t="n"/>
      <c r="N1403" s="39">
        <f>IF($B1403="","",IF(SUMPRODUCT((LISTAS!$O$3:$O$42&lt;&gt;"")*ISNUMBER(SEARCH(LISTAS!$O$3:$O$42,$I1403&amp;" "&amp;$K1403)))&gt;0,"CERCANA","NACIONAL"))</f>
        <v/>
      </c>
      <c r="O1403" s="39">
        <f>IF($B1403="","",IF(COUNTIFS(NOVEDADES!$C$4:$C$2003,$B1403)=0,"—","SÍ ("&amp;COUNTIFS(NOVEDADES!$C$4:$C$2003,$B1403)&amp;")"))</f>
        <v/>
      </c>
    </row>
    <row r="1404">
      <c r="A1404" s="41" t="n"/>
      <c r="B1404" s="41" t="n"/>
      <c r="C1404" s="41" t="n"/>
      <c r="D1404" s="41" t="n"/>
      <c r="E1404" s="46" t="n"/>
      <c r="F1404" s="41" t="n"/>
      <c r="G1404" s="41" t="n"/>
      <c r="H1404" s="41" t="n"/>
      <c r="I1404" s="41" t="n"/>
      <c r="J1404" s="47" t="n"/>
      <c r="K1404" s="41" t="n"/>
      <c r="L1404" s="48" t="n"/>
      <c r="M1404" s="45" t="n"/>
      <c r="N1404" s="39">
        <f>IF($B1404="","",IF(SUMPRODUCT((LISTAS!$O$3:$O$42&lt;&gt;"")*ISNUMBER(SEARCH(LISTAS!$O$3:$O$42,$I1404&amp;" "&amp;$K1404)))&gt;0,"CERCANA","NACIONAL"))</f>
        <v/>
      </c>
      <c r="O1404" s="39">
        <f>IF($B1404="","",IF(COUNTIFS(NOVEDADES!$C$4:$C$2003,$B1404)=0,"—","SÍ ("&amp;COUNTIFS(NOVEDADES!$C$4:$C$2003,$B1404)&amp;")"))</f>
        <v/>
      </c>
    </row>
    <row r="1405">
      <c r="A1405" s="41" t="n"/>
      <c r="B1405" s="41" t="n"/>
      <c r="C1405" s="41" t="n"/>
      <c r="D1405" s="41" t="n"/>
      <c r="E1405" s="46" t="n"/>
      <c r="F1405" s="41" t="n"/>
      <c r="G1405" s="41" t="n"/>
      <c r="H1405" s="41" t="n"/>
      <c r="I1405" s="41" t="n"/>
      <c r="J1405" s="47" t="n"/>
      <c r="K1405" s="41" t="n"/>
      <c r="L1405" s="48" t="n"/>
      <c r="M1405" s="45" t="n"/>
      <c r="N1405" s="39">
        <f>IF($B1405="","",IF(SUMPRODUCT((LISTAS!$O$3:$O$42&lt;&gt;"")*ISNUMBER(SEARCH(LISTAS!$O$3:$O$42,$I1405&amp;" "&amp;$K1405)))&gt;0,"CERCANA","NACIONAL"))</f>
        <v/>
      </c>
      <c r="O1405" s="39">
        <f>IF($B1405="","",IF(COUNTIFS(NOVEDADES!$C$4:$C$2003,$B1405)=0,"—","SÍ ("&amp;COUNTIFS(NOVEDADES!$C$4:$C$2003,$B1405)&amp;")"))</f>
        <v/>
      </c>
    </row>
    <row r="1406">
      <c r="A1406" s="41" t="n"/>
      <c r="B1406" s="41" t="n"/>
      <c r="C1406" s="41" t="n"/>
      <c r="D1406" s="41" t="n"/>
      <c r="E1406" s="46" t="n"/>
      <c r="F1406" s="41" t="n"/>
      <c r="G1406" s="41" t="n"/>
      <c r="H1406" s="41" t="n"/>
      <c r="I1406" s="41" t="n"/>
      <c r="J1406" s="47" t="n"/>
      <c r="K1406" s="41" t="n"/>
      <c r="L1406" s="48" t="n"/>
      <c r="M1406" s="45" t="n"/>
      <c r="N1406" s="39">
        <f>IF($B1406="","",IF(SUMPRODUCT((LISTAS!$O$3:$O$42&lt;&gt;"")*ISNUMBER(SEARCH(LISTAS!$O$3:$O$42,$I1406&amp;" "&amp;$K1406)))&gt;0,"CERCANA","NACIONAL"))</f>
        <v/>
      </c>
      <c r="O1406" s="39">
        <f>IF($B1406="","",IF(COUNTIFS(NOVEDADES!$C$4:$C$2003,$B1406)=0,"—","SÍ ("&amp;COUNTIFS(NOVEDADES!$C$4:$C$2003,$B1406)&amp;")"))</f>
        <v/>
      </c>
    </row>
    <row r="1407">
      <c r="A1407" s="41" t="n"/>
      <c r="B1407" s="41" t="n"/>
      <c r="C1407" s="41" t="n"/>
      <c r="D1407" s="41" t="n"/>
      <c r="E1407" s="46" t="n"/>
      <c r="F1407" s="41" t="n"/>
      <c r="G1407" s="41" t="n"/>
      <c r="H1407" s="41" t="n"/>
      <c r="I1407" s="41" t="n"/>
      <c r="J1407" s="47" t="n"/>
      <c r="K1407" s="41" t="n"/>
      <c r="L1407" s="48" t="n"/>
      <c r="M1407" s="45" t="n"/>
      <c r="N1407" s="39">
        <f>IF($B1407="","",IF(SUMPRODUCT((LISTAS!$O$3:$O$42&lt;&gt;"")*ISNUMBER(SEARCH(LISTAS!$O$3:$O$42,$I1407&amp;" "&amp;$K1407)))&gt;0,"CERCANA","NACIONAL"))</f>
        <v/>
      </c>
      <c r="O1407" s="39">
        <f>IF($B1407="","",IF(COUNTIFS(NOVEDADES!$C$4:$C$2003,$B1407)=0,"—","SÍ ("&amp;COUNTIFS(NOVEDADES!$C$4:$C$2003,$B1407)&amp;")"))</f>
        <v/>
      </c>
    </row>
    <row r="1408">
      <c r="A1408" s="41" t="n"/>
      <c r="B1408" s="41" t="n"/>
      <c r="C1408" s="41" t="n"/>
      <c r="D1408" s="41" t="n"/>
      <c r="E1408" s="46" t="n"/>
      <c r="F1408" s="41" t="n"/>
      <c r="G1408" s="41" t="n"/>
      <c r="H1408" s="41" t="n"/>
      <c r="I1408" s="41" t="n"/>
      <c r="J1408" s="47" t="n"/>
      <c r="K1408" s="41" t="n"/>
      <c r="L1408" s="48" t="n"/>
      <c r="M1408" s="45" t="n"/>
      <c r="N1408" s="39">
        <f>IF($B1408="","",IF(SUMPRODUCT((LISTAS!$O$3:$O$42&lt;&gt;"")*ISNUMBER(SEARCH(LISTAS!$O$3:$O$42,$I1408&amp;" "&amp;$K1408)))&gt;0,"CERCANA","NACIONAL"))</f>
        <v/>
      </c>
      <c r="O1408" s="39">
        <f>IF($B1408="","",IF(COUNTIFS(NOVEDADES!$C$4:$C$2003,$B1408)=0,"—","SÍ ("&amp;COUNTIFS(NOVEDADES!$C$4:$C$2003,$B1408)&amp;")"))</f>
        <v/>
      </c>
    </row>
    <row r="1409">
      <c r="A1409" s="41" t="n"/>
      <c r="B1409" s="41" t="n"/>
      <c r="C1409" s="41" t="n"/>
      <c r="D1409" s="41" t="n"/>
      <c r="E1409" s="46" t="n"/>
      <c r="F1409" s="41" t="n"/>
      <c r="G1409" s="41" t="n"/>
      <c r="H1409" s="41" t="n"/>
      <c r="I1409" s="41" t="n"/>
      <c r="J1409" s="47" t="n"/>
      <c r="K1409" s="41" t="n"/>
      <c r="L1409" s="48" t="n"/>
      <c r="M1409" s="45" t="n"/>
      <c r="N1409" s="39">
        <f>IF($B1409="","",IF(SUMPRODUCT((LISTAS!$O$3:$O$42&lt;&gt;"")*ISNUMBER(SEARCH(LISTAS!$O$3:$O$42,$I1409&amp;" "&amp;$K1409)))&gt;0,"CERCANA","NACIONAL"))</f>
        <v/>
      </c>
      <c r="O1409" s="39">
        <f>IF($B1409="","",IF(COUNTIFS(NOVEDADES!$C$4:$C$2003,$B1409)=0,"—","SÍ ("&amp;COUNTIFS(NOVEDADES!$C$4:$C$2003,$B1409)&amp;")"))</f>
        <v/>
      </c>
    </row>
    <row r="1410">
      <c r="A1410" s="41" t="n"/>
      <c r="B1410" s="41" t="n"/>
      <c r="C1410" s="41" t="n"/>
      <c r="D1410" s="41" t="n"/>
      <c r="E1410" s="46" t="n"/>
      <c r="F1410" s="41" t="n"/>
      <c r="G1410" s="41" t="n"/>
      <c r="H1410" s="41" t="n"/>
      <c r="I1410" s="41" t="n"/>
      <c r="J1410" s="47" t="n"/>
      <c r="K1410" s="41" t="n"/>
      <c r="L1410" s="48" t="n"/>
      <c r="M1410" s="45" t="n"/>
      <c r="N1410" s="39">
        <f>IF($B1410="","",IF(SUMPRODUCT((LISTAS!$O$3:$O$42&lt;&gt;"")*ISNUMBER(SEARCH(LISTAS!$O$3:$O$42,$I1410&amp;" "&amp;$K1410)))&gt;0,"CERCANA","NACIONAL"))</f>
        <v/>
      </c>
      <c r="O1410" s="39">
        <f>IF($B1410="","",IF(COUNTIFS(NOVEDADES!$C$4:$C$2003,$B1410)=0,"—","SÍ ("&amp;COUNTIFS(NOVEDADES!$C$4:$C$2003,$B1410)&amp;")"))</f>
        <v/>
      </c>
    </row>
    <row r="1411">
      <c r="A1411" s="41" t="n"/>
      <c r="B1411" s="41" t="n"/>
      <c r="C1411" s="41" t="n"/>
      <c r="D1411" s="41" t="n"/>
      <c r="E1411" s="46" t="n"/>
      <c r="F1411" s="41" t="n"/>
      <c r="G1411" s="41" t="n"/>
      <c r="H1411" s="41" t="n"/>
      <c r="I1411" s="41" t="n"/>
      <c r="J1411" s="47" t="n"/>
      <c r="K1411" s="41" t="n"/>
      <c r="L1411" s="48" t="n"/>
      <c r="M1411" s="45" t="n"/>
      <c r="N1411" s="39">
        <f>IF($B1411="","",IF(SUMPRODUCT((LISTAS!$O$3:$O$42&lt;&gt;"")*ISNUMBER(SEARCH(LISTAS!$O$3:$O$42,$I1411&amp;" "&amp;$K1411)))&gt;0,"CERCANA","NACIONAL"))</f>
        <v/>
      </c>
      <c r="O1411" s="39">
        <f>IF($B1411="","",IF(COUNTIFS(NOVEDADES!$C$4:$C$2003,$B1411)=0,"—","SÍ ("&amp;COUNTIFS(NOVEDADES!$C$4:$C$2003,$B1411)&amp;")"))</f>
        <v/>
      </c>
    </row>
    <row r="1412">
      <c r="A1412" s="41" t="n"/>
      <c r="B1412" s="41" t="n"/>
      <c r="C1412" s="41" t="n"/>
      <c r="D1412" s="41" t="n"/>
      <c r="E1412" s="46" t="n"/>
      <c r="F1412" s="41" t="n"/>
      <c r="G1412" s="41" t="n"/>
      <c r="H1412" s="41" t="n"/>
      <c r="I1412" s="41" t="n"/>
      <c r="J1412" s="47" t="n"/>
      <c r="K1412" s="41" t="n"/>
      <c r="L1412" s="48" t="n"/>
      <c r="M1412" s="45" t="n"/>
      <c r="N1412" s="39">
        <f>IF($B1412="","",IF(SUMPRODUCT((LISTAS!$O$3:$O$42&lt;&gt;"")*ISNUMBER(SEARCH(LISTAS!$O$3:$O$42,$I1412&amp;" "&amp;$K1412)))&gt;0,"CERCANA","NACIONAL"))</f>
        <v/>
      </c>
      <c r="O1412" s="39">
        <f>IF($B1412="","",IF(COUNTIFS(NOVEDADES!$C$4:$C$2003,$B1412)=0,"—","SÍ ("&amp;COUNTIFS(NOVEDADES!$C$4:$C$2003,$B1412)&amp;")"))</f>
        <v/>
      </c>
    </row>
    <row r="1413">
      <c r="A1413" s="41" t="n"/>
      <c r="B1413" s="41" t="n"/>
      <c r="C1413" s="41" t="n"/>
      <c r="D1413" s="41" t="n"/>
      <c r="E1413" s="46" t="n"/>
      <c r="F1413" s="41" t="n"/>
      <c r="G1413" s="41" t="n"/>
      <c r="H1413" s="41" t="n"/>
      <c r="I1413" s="41" t="n"/>
      <c r="J1413" s="47" t="n"/>
      <c r="K1413" s="41" t="n"/>
      <c r="L1413" s="48" t="n"/>
      <c r="M1413" s="45" t="n"/>
      <c r="N1413" s="39">
        <f>IF($B1413="","",IF(SUMPRODUCT((LISTAS!$O$3:$O$42&lt;&gt;"")*ISNUMBER(SEARCH(LISTAS!$O$3:$O$42,$I1413&amp;" "&amp;$K1413)))&gt;0,"CERCANA","NACIONAL"))</f>
        <v/>
      </c>
      <c r="O1413" s="39">
        <f>IF($B1413="","",IF(COUNTIFS(NOVEDADES!$C$4:$C$2003,$B1413)=0,"—","SÍ ("&amp;COUNTIFS(NOVEDADES!$C$4:$C$2003,$B1413)&amp;")"))</f>
        <v/>
      </c>
    </row>
    <row r="1414">
      <c r="A1414" s="41" t="n"/>
      <c r="B1414" s="41" t="n"/>
      <c r="C1414" s="41" t="n"/>
      <c r="D1414" s="41" t="n"/>
      <c r="E1414" s="46" t="n"/>
      <c r="F1414" s="41" t="n"/>
      <c r="G1414" s="41" t="n"/>
      <c r="H1414" s="41" t="n"/>
      <c r="I1414" s="41" t="n"/>
      <c r="J1414" s="47" t="n"/>
      <c r="K1414" s="41" t="n"/>
      <c r="L1414" s="48" t="n"/>
      <c r="M1414" s="45" t="n"/>
      <c r="N1414" s="39">
        <f>IF($B1414="","",IF(SUMPRODUCT((LISTAS!$O$3:$O$42&lt;&gt;"")*ISNUMBER(SEARCH(LISTAS!$O$3:$O$42,$I1414&amp;" "&amp;$K1414)))&gt;0,"CERCANA","NACIONAL"))</f>
        <v/>
      </c>
      <c r="O1414" s="39">
        <f>IF($B1414="","",IF(COUNTIFS(NOVEDADES!$C$4:$C$2003,$B1414)=0,"—","SÍ ("&amp;COUNTIFS(NOVEDADES!$C$4:$C$2003,$B1414)&amp;")"))</f>
        <v/>
      </c>
    </row>
    <row r="1415">
      <c r="A1415" s="41" t="n"/>
      <c r="B1415" s="41" t="n"/>
      <c r="C1415" s="41" t="n"/>
      <c r="D1415" s="41" t="n"/>
      <c r="E1415" s="46" t="n"/>
      <c r="F1415" s="41" t="n"/>
      <c r="G1415" s="41" t="n"/>
      <c r="H1415" s="41" t="n"/>
      <c r="I1415" s="41" t="n"/>
      <c r="J1415" s="47" t="n"/>
      <c r="K1415" s="41" t="n"/>
      <c r="L1415" s="48" t="n"/>
      <c r="M1415" s="45" t="n"/>
      <c r="N1415" s="39">
        <f>IF($B1415="","",IF(SUMPRODUCT((LISTAS!$O$3:$O$42&lt;&gt;"")*ISNUMBER(SEARCH(LISTAS!$O$3:$O$42,$I1415&amp;" "&amp;$K1415)))&gt;0,"CERCANA","NACIONAL"))</f>
        <v/>
      </c>
      <c r="O1415" s="39">
        <f>IF($B1415="","",IF(COUNTIFS(NOVEDADES!$C$4:$C$2003,$B1415)=0,"—","SÍ ("&amp;COUNTIFS(NOVEDADES!$C$4:$C$2003,$B1415)&amp;")"))</f>
        <v/>
      </c>
    </row>
    <row r="1416">
      <c r="A1416" s="41" t="n"/>
      <c r="B1416" s="41" t="n"/>
      <c r="C1416" s="41" t="n"/>
      <c r="D1416" s="41" t="n"/>
      <c r="E1416" s="46" t="n"/>
      <c r="F1416" s="41" t="n"/>
      <c r="G1416" s="41" t="n"/>
      <c r="H1416" s="41" t="n"/>
      <c r="I1416" s="41" t="n"/>
      <c r="J1416" s="47" t="n"/>
      <c r="K1416" s="41" t="n"/>
      <c r="L1416" s="48" t="n"/>
      <c r="M1416" s="45" t="n"/>
      <c r="N1416" s="39">
        <f>IF($B1416="","",IF(SUMPRODUCT((LISTAS!$O$3:$O$42&lt;&gt;"")*ISNUMBER(SEARCH(LISTAS!$O$3:$O$42,$I1416&amp;" "&amp;$K1416)))&gt;0,"CERCANA","NACIONAL"))</f>
        <v/>
      </c>
      <c r="O1416" s="39">
        <f>IF($B1416="","",IF(COUNTIFS(NOVEDADES!$C$4:$C$2003,$B1416)=0,"—","SÍ ("&amp;COUNTIFS(NOVEDADES!$C$4:$C$2003,$B1416)&amp;")"))</f>
        <v/>
      </c>
    </row>
    <row r="1417">
      <c r="A1417" s="41" t="n"/>
      <c r="B1417" s="41" t="n"/>
      <c r="C1417" s="41" t="n"/>
      <c r="D1417" s="41" t="n"/>
      <c r="E1417" s="46" t="n"/>
      <c r="F1417" s="41" t="n"/>
      <c r="G1417" s="41" t="n"/>
      <c r="H1417" s="41" t="n"/>
      <c r="I1417" s="41" t="n"/>
      <c r="J1417" s="47" t="n"/>
      <c r="K1417" s="41" t="n"/>
      <c r="L1417" s="48" t="n"/>
      <c r="M1417" s="45" t="n"/>
      <c r="N1417" s="39">
        <f>IF($B1417="","",IF(SUMPRODUCT((LISTAS!$O$3:$O$42&lt;&gt;"")*ISNUMBER(SEARCH(LISTAS!$O$3:$O$42,$I1417&amp;" "&amp;$K1417)))&gt;0,"CERCANA","NACIONAL"))</f>
        <v/>
      </c>
      <c r="O1417" s="39">
        <f>IF($B1417="","",IF(COUNTIFS(NOVEDADES!$C$4:$C$2003,$B1417)=0,"—","SÍ ("&amp;COUNTIFS(NOVEDADES!$C$4:$C$2003,$B1417)&amp;")"))</f>
        <v/>
      </c>
    </row>
    <row r="1418">
      <c r="A1418" s="41" t="n"/>
      <c r="B1418" s="41" t="n"/>
      <c r="C1418" s="41" t="n"/>
      <c r="D1418" s="41" t="n"/>
      <c r="E1418" s="46" t="n"/>
      <c r="F1418" s="41" t="n"/>
      <c r="G1418" s="41" t="n"/>
      <c r="H1418" s="41" t="n"/>
      <c r="I1418" s="41" t="n"/>
      <c r="J1418" s="47" t="n"/>
      <c r="K1418" s="41" t="n"/>
      <c r="L1418" s="48" t="n"/>
      <c r="M1418" s="45" t="n"/>
      <c r="N1418" s="39">
        <f>IF($B1418="","",IF(SUMPRODUCT((LISTAS!$O$3:$O$42&lt;&gt;"")*ISNUMBER(SEARCH(LISTAS!$O$3:$O$42,$I1418&amp;" "&amp;$K1418)))&gt;0,"CERCANA","NACIONAL"))</f>
        <v/>
      </c>
      <c r="O1418" s="39">
        <f>IF($B1418="","",IF(COUNTIFS(NOVEDADES!$C$4:$C$2003,$B1418)=0,"—","SÍ ("&amp;COUNTIFS(NOVEDADES!$C$4:$C$2003,$B1418)&amp;")"))</f>
        <v/>
      </c>
    </row>
    <row r="1419">
      <c r="A1419" s="41" t="n"/>
      <c r="B1419" s="41" t="n"/>
      <c r="C1419" s="41" t="n"/>
      <c r="D1419" s="41" t="n"/>
      <c r="E1419" s="46" t="n"/>
      <c r="F1419" s="41" t="n"/>
      <c r="G1419" s="41" t="n"/>
      <c r="H1419" s="41" t="n"/>
      <c r="I1419" s="41" t="n"/>
      <c r="J1419" s="47" t="n"/>
      <c r="K1419" s="41" t="n"/>
      <c r="L1419" s="48" t="n"/>
      <c r="M1419" s="45" t="n"/>
      <c r="N1419" s="39">
        <f>IF($B1419="","",IF(SUMPRODUCT((LISTAS!$O$3:$O$42&lt;&gt;"")*ISNUMBER(SEARCH(LISTAS!$O$3:$O$42,$I1419&amp;" "&amp;$K1419)))&gt;0,"CERCANA","NACIONAL"))</f>
        <v/>
      </c>
      <c r="O1419" s="39">
        <f>IF($B1419="","",IF(COUNTIFS(NOVEDADES!$C$4:$C$2003,$B1419)=0,"—","SÍ ("&amp;COUNTIFS(NOVEDADES!$C$4:$C$2003,$B1419)&amp;")"))</f>
        <v/>
      </c>
    </row>
    <row r="1420">
      <c r="A1420" s="41" t="n"/>
      <c r="B1420" s="41" t="n"/>
      <c r="C1420" s="41" t="n"/>
      <c r="D1420" s="41" t="n"/>
      <c r="E1420" s="46" t="n"/>
      <c r="F1420" s="41" t="n"/>
      <c r="G1420" s="41" t="n"/>
      <c r="H1420" s="41" t="n"/>
      <c r="I1420" s="41" t="n"/>
      <c r="J1420" s="47" t="n"/>
      <c r="K1420" s="41" t="n"/>
      <c r="L1420" s="48" t="n"/>
      <c r="M1420" s="45" t="n"/>
      <c r="N1420" s="39">
        <f>IF($B1420="","",IF(SUMPRODUCT((LISTAS!$O$3:$O$42&lt;&gt;"")*ISNUMBER(SEARCH(LISTAS!$O$3:$O$42,$I1420&amp;" "&amp;$K1420)))&gt;0,"CERCANA","NACIONAL"))</f>
        <v/>
      </c>
      <c r="O1420" s="39">
        <f>IF($B1420="","",IF(COUNTIFS(NOVEDADES!$C$4:$C$2003,$B1420)=0,"—","SÍ ("&amp;COUNTIFS(NOVEDADES!$C$4:$C$2003,$B1420)&amp;")"))</f>
        <v/>
      </c>
    </row>
    <row r="1421">
      <c r="A1421" s="41" t="n"/>
      <c r="B1421" s="41" t="n"/>
      <c r="C1421" s="41" t="n"/>
      <c r="D1421" s="41" t="n"/>
      <c r="E1421" s="46" t="n"/>
      <c r="F1421" s="41" t="n"/>
      <c r="G1421" s="41" t="n"/>
      <c r="H1421" s="41" t="n"/>
      <c r="I1421" s="41" t="n"/>
      <c r="J1421" s="47" t="n"/>
      <c r="K1421" s="41" t="n"/>
      <c r="L1421" s="48" t="n"/>
      <c r="M1421" s="45" t="n"/>
      <c r="N1421" s="39">
        <f>IF($B1421="","",IF(SUMPRODUCT((LISTAS!$O$3:$O$42&lt;&gt;"")*ISNUMBER(SEARCH(LISTAS!$O$3:$O$42,$I1421&amp;" "&amp;$K1421)))&gt;0,"CERCANA","NACIONAL"))</f>
        <v/>
      </c>
      <c r="O1421" s="39">
        <f>IF($B1421="","",IF(COUNTIFS(NOVEDADES!$C$4:$C$2003,$B1421)=0,"—","SÍ ("&amp;COUNTIFS(NOVEDADES!$C$4:$C$2003,$B1421)&amp;")"))</f>
        <v/>
      </c>
    </row>
    <row r="1422">
      <c r="A1422" s="41" t="n"/>
      <c r="B1422" s="41" t="n"/>
      <c r="C1422" s="41" t="n"/>
      <c r="D1422" s="41" t="n"/>
      <c r="E1422" s="46" t="n"/>
      <c r="F1422" s="41" t="n"/>
      <c r="G1422" s="41" t="n"/>
      <c r="H1422" s="41" t="n"/>
      <c r="I1422" s="41" t="n"/>
      <c r="J1422" s="47" t="n"/>
      <c r="K1422" s="41" t="n"/>
      <c r="L1422" s="48" t="n"/>
      <c r="M1422" s="45" t="n"/>
      <c r="N1422" s="39">
        <f>IF($B1422="","",IF(SUMPRODUCT((LISTAS!$O$3:$O$42&lt;&gt;"")*ISNUMBER(SEARCH(LISTAS!$O$3:$O$42,$I1422&amp;" "&amp;$K1422)))&gt;0,"CERCANA","NACIONAL"))</f>
        <v/>
      </c>
      <c r="O1422" s="39">
        <f>IF($B1422="","",IF(COUNTIFS(NOVEDADES!$C$4:$C$2003,$B1422)=0,"—","SÍ ("&amp;COUNTIFS(NOVEDADES!$C$4:$C$2003,$B1422)&amp;")"))</f>
        <v/>
      </c>
    </row>
    <row r="1423">
      <c r="A1423" s="41" t="n"/>
      <c r="B1423" s="41" t="n"/>
      <c r="C1423" s="41" t="n"/>
      <c r="D1423" s="41" t="n"/>
      <c r="E1423" s="46" t="n"/>
      <c r="F1423" s="41" t="n"/>
      <c r="G1423" s="41" t="n"/>
      <c r="H1423" s="41" t="n"/>
      <c r="I1423" s="41" t="n"/>
      <c r="J1423" s="47" t="n"/>
      <c r="K1423" s="41" t="n"/>
      <c r="L1423" s="48" t="n"/>
      <c r="M1423" s="45" t="n"/>
      <c r="N1423" s="39">
        <f>IF($B1423="","",IF(SUMPRODUCT((LISTAS!$O$3:$O$42&lt;&gt;"")*ISNUMBER(SEARCH(LISTAS!$O$3:$O$42,$I1423&amp;" "&amp;$K1423)))&gt;0,"CERCANA","NACIONAL"))</f>
        <v/>
      </c>
      <c r="O1423" s="39">
        <f>IF($B1423="","",IF(COUNTIFS(NOVEDADES!$C$4:$C$2003,$B1423)=0,"—","SÍ ("&amp;COUNTIFS(NOVEDADES!$C$4:$C$2003,$B1423)&amp;")"))</f>
        <v/>
      </c>
    </row>
    <row r="1424">
      <c r="A1424" s="41" t="n"/>
      <c r="B1424" s="41" t="n"/>
      <c r="C1424" s="41" t="n"/>
      <c r="D1424" s="41" t="n"/>
      <c r="E1424" s="46" t="n"/>
      <c r="F1424" s="41" t="n"/>
      <c r="G1424" s="41" t="n"/>
      <c r="H1424" s="41" t="n"/>
      <c r="I1424" s="41" t="n"/>
      <c r="J1424" s="47" t="n"/>
      <c r="K1424" s="41" t="n"/>
      <c r="L1424" s="48" t="n"/>
      <c r="M1424" s="45" t="n"/>
      <c r="N1424" s="39">
        <f>IF($B1424="","",IF(SUMPRODUCT((LISTAS!$O$3:$O$42&lt;&gt;"")*ISNUMBER(SEARCH(LISTAS!$O$3:$O$42,$I1424&amp;" "&amp;$K1424)))&gt;0,"CERCANA","NACIONAL"))</f>
        <v/>
      </c>
      <c r="O1424" s="39">
        <f>IF($B1424="","",IF(COUNTIFS(NOVEDADES!$C$4:$C$2003,$B1424)=0,"—","SÍ ("&amp;COUNTIFS(NOVEDADES!$C$4:$C$2003,$B1424)&amp;")"))</f>
        <v/>
      </c>
    </row>
    <row r="1425">
      <c r="A1425" s="41" t="n"/>
      <c r="B1425" s="41" t="n"/>
      <c r="C1425" s="41" t="n"/>
      <c r="D1425" s="41" t="n"/>
      <c r="E1425" s="46" t="n"/>
      <c r="F1425" s="41" t="n"/>
      <c r="G1425" s="41" t="n"/>
      <c r="H1425" s="41" t="n"/>
      <c r="I1425" s="41" t="n"/>
      <c r="J1425" s="47" t="n"/>
      <c r="K1425" s="41" t="n"/>
      <c r="L1425" s="48" t="n"/>
      <c r="M1425" s="45" t="n"/>
      <c r="N1425" s="39">
        <f>IF($B1425="","",IF(SUMPRODUCT((LISTAS!$O$3:$O$42&lt;&gt;"")*ISNUMBER(SEARCH(LISTAS!$O$3:$O$42,$I1425&amp;" "&amp;$K1425)))&gt;0,"CERCANA","NACIONAL"))</f>
        <v/>
      </c>
      <c r="O1425" s="39">
        <f>IF($B1425="","",IF(COUNTIFS(NOVEDADES!$C$4:$C$2003,$B1425)=0,"—","SÍ ("&amp;COUNTIFS(NOVEDADES!$C$4:$C$2003,$B1425)&amp;")"))</f>
        <v/>
      </c>
    </row>
    <row r="1426">
      <c r="A1426" s="41" t="n"/>
      <c r="B1426" s="41" t="n"/>
      <c r="C1426" s="41" t="n"/>
      <c r="D1426" s="41" t="n"/>
      <c r="E1426" s="46" t="n"/>
      <c r="F1426" s="41" t="n"/>
      <c r="G1426" s="41" t="n"/>
      <c r="H1426" s="41" t="n"/>
      <c r="I1426" s="41" t="n"/>
      <c r="J1426" s="47" t="n"/>
      <c r="K1426" s="41" t="n"/>
      <c r="L1426" s="48" t="n"/>
      <c r="M1426" s="45" t="n"/>
      <c r="N1426" s="39">
        <f>IF($B1426="","",IF(SUMPRODUCT((LISTAS!$O$3:$O$42&lt;&gt;"")*ISNUMBER(SEARCH(LISTAS!$O$3:$O$42,$I1426&amp;" "&amp;$K1426)))&gt;0,"CERCANA","NACIONAL"))</f>
        <v/>
      </c>
      <c r="O1426" s="39">
        <f>IF($B1426="","",IF(COUNTIFS(NOVEDADES!$C$4:$C$2003,$B1426)=0,"—","SÍ ("&amp;COUNTIFS(NOVEDADES!$C$4:$C$2003,$B1426)&amp;")"))</f>
        <v/>
      </c>
    </row>
    <row r="1427">
      <c r="A1427" s="41" t="n"/>
      <c r="B1427" s="41" t="n"/>
      <c r="C1427" s="41" t="n"/>
      <c r="D1427" s="41" t="n"/>
      <c r="E1427" s="46" t="n"/>
      <c r="F1427" s="41" t="n"/>
      <c r="G1427" s="41" t="n"/>
      <c r="H1427" s="41" t="n"/>
      <c r="I1427" s="41" t="n"/>
      <c r="J1427" s="47" t="n"/>
      <c r="K1427" s="41" t="n"/>
      <c r="L1427" s="48" t="n"/>
      <c r="M1427" s="45" t="n"/>
      <c r="N1427" s="39">
        <f>IF($B1427="","",IF(SUMPRODUCT((LISTAS!$O$3:$O$42&lt;&gt;"")*ISNUMBER(SEARCH(LISTAS!$O$3:$O$42,$I1427&amp;" "&amp;$K1427)))&gt;0,"CERCANA","NACIONAL"))</f>
        <v/>
      </c>
      <c r="O1427" s="39">
        <f>IF($B1427="","",IF(COUNTIFS(NOVEDADES!$C$4:$C$2003,$B1427)=0,"—","SÍ ("&amp;COUNTIFS(NOVEDADES!$C$4:$C$2003,$B1427)&amp;")"))</f>
        <v/>
      </c>
    </row>
    <row r="1428">
      <c r="A1428" s="41" t="n"/>
      <c r="B1428" s="41" t="n"/>
      <c r="C1428" s="41" t="n"/>
      <c r="D1428" s="41" t="n"/>
      <c r="E1428" s="46" t="n"/>
      <c r="F1428" s="41" t="n"/>
      <c r="G1428" s="41" t="n"/>
      <c r="H1428" s="41" t="n"/>
      <c r="I1428" s="41" t="n"/>
      <c r="J1428" s="47" t="n"/>
      <c r="K1428" s="41" t="n"/>
      <c r="L1428" s="48" t="n"/>
      <c r="M1428" s="45" t="n"/>
      <c r="N1428" s="39">
        <f>IF($B1428="","",IF(SUMPRODUCT((LISTAS!$O$3:$O$42&lt;&gt;"")*ISNUMBER(SEARCH(LISTAS!$O$3:$O$42,$I1428&amp;" "&amp;$K1428)))&gt;0,"CERCANA","NACIONAL"))</f>
        <v/>
      </c>
      <c r="O1428" s="39">
        <f>IF($B1428="","",IF(COUNTIFS(NOVEDADES!$C$4:$C$2003,$B1428)=0,"—","SÍ ("&amp;COUNTIFS(NOVEDADES!$C$4:$C$2003,$B1428)&amp;")"))</f>
        <v/>
      </c>
    </row>
    <row r="1429">
      <c r="A1429" s="41" t="n"/>
      <c r="B1429" s="41" t="n"/>
      <c r="C1429" s="41" t="n"/>
      <c r="D1429" s="41" t="n"/>
      <c r="E1429" s="46" t="n"/>
      <c r="F1429" s="41" t="n"/>
      <c r="G1429" s="41" t="n"/>
      <c r="H1429" s="41" t="n"/>
      <c r="I1429" s="41" t="n"/>
      <c r="J1429" s="47" t="n"/>
      <c r="K1429" s="41" t="n"/>
      <c r="L1429" s="48" t="n"/>
      <c r="M1429" s="45" t="n"/>
      <c r="N1429" s="39">
        <f>IF($B1429="","",IF(SUMPRODUCT((LISTAS!$O$3:$O$42&lt;&gt;"")*ISNUMBER(SEARCH(LISTAS!$O$3:$O$42,$I1429&amp;" "&amp;$K1429)))&gt;0,"CERCANA","NACIONAL"))</f>
        <v/>
      </c>
      <c r="O1429" s="39">
        <f>IF($B1429="","",IF(COUNTIFS(NOVEDADES!$C$4:$C$2003,$B1429)=0,"—","SÍ ("&amp;COUNTIFS(NOVEDADES!$C$4:$C$2003,$B1429)&amp;")"))</f>
        <v/>
      </c>
    </row>
    <row r="1430">
      <c r="A1430" s="41" t="n"/>
      <c r="B1430" s="41" t="n"/>
      <c r="C1430" s="41" t="n"/>
      <c r="D1430" s="41" t="n"/>
      <c r="E1430" s="46" t="n"/>
      <c r="F1430" s="41" t="n"/>
      <c r="G1430" s="41" t="n"/>
      <c r="H1430" s="41" t="n"/>
      <c r="I1430" s="41" t="n"/>
      <c r="J1430" s="47" t="n"/>
      <c r="K1430" s="41" t="n"/>
      <c r="L1430" s="48" t="n"/>
      <c r="M1430" s="45" t="n"/>
      <c r="N1430" s="39">
        <f>IF($B1430="","",IF(SUMPRODUCT((LISTAS!$O$3:$O$42&lt;&gt;"")*ISNUMBER(SEARCH(LISTAS!$O$3:$O$42,$I1430&amp;" "&amp;$K1430)))&gt;0,"CERCANA","NACIONAL"))</f>
        <v/>
      </c>
      <c r="O1430" s="39">
        <f>IF($B1430="","",IF(COUNTIFS(NOVEDADES!$C$4:$C$2003,$B1430)=0,"—","SÍ ("&amp;COUNTIFS(NOVEDADES!$C$4:$C$2003,$B1430)&amp;")"))</f>
        <v/>
      </c>
    </row>
    <row r="1431">
      <c r="A1431" s="41" t="n"/>
      <c r="B1431" s="41" t="n"/>
      <c r="C1431" s="41" t="n"/>
      <c r="D1431" s="41" t="n"/>
      <c r="E1431" s="46" t="n"/>
      <c r="F1431" s="41" t="n"/>
      <c r="G1431" s="41" t="n"/>
      <c r="H1431" s="41" t="n"/>
      <c r="I1431" s="41" t="n"/>
      <c r="J1431" s="47" t="n"/>
      <c r="K1431" s="41" t="n"/>
      <c r="L1431" s="48" t="n"/>
      <c r="M1431" s="45" t="n"/>
      <c r="N1431" s="39">
        <f>IF($B1431="","",IF(SUMPRODUCT((LISTAS!$O$3:$O$42&lt;&gt;"")*ISNUMBER(SEARCH(LISTAS!$O$3:$O$42,$I1431&amp;" "&amp;$K1431)))&gt;0,"CERCANA","NACIONAL"))</f>
        <v/>
      </c>
      <c r="O1431" s="39">
        <f>IF($B1431="","",IF(COUNTIFS(NOVEDADES!$C$4:$C$2003,$B1431)=0,"—","SÍ ("&amp;COUNTIFS(NOVEDADES!$C$4:$C$2003,$B1431)&amp;")"))</f>
        <v/>
      </c>
    </row>
    <row r="1432">
      <c r="A1432" s="41" t="n"/>
      <c r="B1432" s="41" t="n"/>
      <c r="C1432" s="41" t="n"/>
      <c r="D1432" s="41" t="n"/>
      <c r="E1432" s="46" t="n"/>
      <c r="F1432" s="41" t="n"/>
      <c r="G1432" s="41" t="n"/>
      <c r="H1432" s="41" t="n"/>
      <c r="I1432" s="41" t="n"/>
      <c r="J1432" s="47" t="n"/>
      <c r="K1432" s="41" t="n"/>
      <c r="L1432" s="48" t="n"/>
      <c r="M1432" s="45" t="n"/>
      <c r="N1432" s="39">
        <f>IF($B1432="","",IF(SUMPRODUCT((LISTAS!$O$3:$O$42&lt;&gt;"")*ISNUMBER(SEARCH(LISTAS!$O$3:$O$42,$I1432&amp;" "&amp;$K1432)))&gt;0,"CERCANA","NACIONAL"))</f>
        <v/>
      </c>
      <c r="O1432" s="39">
        <f>IF($B1432="","",IF(COUNTIFS(NOVEDADES!$C$4:$C$2003,$B1432)=0,"—","SÍ ("&amp;COUNTIFS(NOVEDADES!$C$4:$C$2003,$B1432)&amp;")"))</f>
        <v/>
      </c>
    </row>
    <row r="1433">
      <c r="A1433" s="41" t="n"/>
      <c r="B1433" s="41" t="n"/>
      <c r="C1433" s="41" t="n"/>
      <c r="D1433" s="41" t="n"/>
      <c r="E1433" s="46" t="n"/>
      <c r="F1433" s="41" t="n"/>
      <c r="G1433" s="41" t="n"/>
      <c r="H1433" s="41" t="n"/>
      <c r="I1433" s="41" t="n"/>
      <c r="J1433" s="47" t="n"/>
      <c r="K1433" s="41" t="n"/>
      <c r="L1433" s="48" t="n"/>
      <c r="M1433" s="45" t="n"/>
      <c r="N1433" s="39">
        <f>IF($B1433="","",IF(SUMPRODUCT((LISTAS!$O$3:$O$42&lt;&gt;"")*ISNUMBER(SEARCH(LISTAS!$O$3:$O$42,$I1433&amp;" "&amp;$K1433)))&gt;0,"CERCANA","NACIONAL"))</f>
        <v/>
      </c>
      <c r="O1433" s="39">
        <f>IF($B1433="","",IF(COUNTIFS(NOVEDADES!$C$4:$C$2003,$B1433)=0,"—","SÍ ("&amp;COUNTIFS(NOVEDADES!$C$4:$C$2003,$B1433)&amp;")"))</f>
        <v/>
      </c>
    </row>
    <row r="1434">
      <c r="A1434" s="41" t="n"/>
      <c r="B1434" s="41" t="n"/>
      <c r="C1434" s="41" t="n"/>
      <c r="D1434" s="41" t="n"/>
      <c r="E1434" s="46" t="n"/>
      <c r="F1434" s="41" t="n"/>
      <c r="G1434" s="41" t="n"/>
      <c r="H1434" s="41" t="n"/>
      <c r="I1434" s="41" t="n"/>
      <c r="J1434" s="47" t="n"/>
      <c r="K1434" s="41" t="n"/>
      <c r="L1434" s="48" t="n"/>
      <c r="M1434" s="45" t="n"/>
      <c r="N1434" s="39">
        <f>IF($B1434="","",IF(SUMPRODUCT((LISTAS!$O$3:$O$42&lt;&gt;"")*ISNUMBER(SEARCH(LISTAS!$O$3:$O$42,$I1434&amp;" "&amp;$K1434)))&gt;0,"CERCANA","NACIONAL"))</f>
        <v/>
      </c>
      <c r="O1434" s="39">
        <f>IF($B1434="","",IF(COUNTIFS(NOVEDADES!$C$4:$C$2003,$B1434)=0,"—","SÍ ("&amp;COUNTIFS(NOVEDADES!$C$4:$C$2003,$B1434)&amp;")"))</f>
        <v/>
      </c>
    </row>
    <row r="1435">
      <c r="A1435" s="41" t="n"/>
      <c r="B1435" s="41" t="n"/>
      <c r="C1435" s="41" t="n"/>
      <c r="D1435" s="41" t="n"/>
      <c r="E1435" s="46" t="n"/>
      <c r="F1435" s="41" t="n"/>
      <c r="G1435" s="41" t="n"/>
      <c r="H1435" s="41" t="n"/>
      <c r="I1435" s="41" t="n"/>
      <c r="J1435" s="47" t="n"/>
      <c r="K1435" s="41" t="n"/>
      <c r="L1435" s="48" t="n"/>
      <c r="M1435" s="45" t="n"/>
      <c r="N1435" s="39">
        <f>IF($B1435="","",IF(SUMPRODUCT((LISTAS!$O$3:$O$42&lt;&gt;"")*ISNUMBER(SEARCH(LISTAS!$O$3:$O$42,$I1435&amp;" "&amp;$K1435)))&gt;0,"CERCANA","NACIONAL"))</f>
        <v/>
      </c>
      <c r="O1435" s="39">
        <f>IF($B1435="","",IF(COUNTIFS(NOVEDADES!$C$4:$C$2003,$B1435)=0,"—","SÍ ("&amp;COUNTIFS(NOVEDADES!$C$4:$C$2003,$B1435)&amp;")"))</f>
        <v/>
      </c>
    </row>
    <row r="1436">
      <c r="A1436" s="41" t="n"/>
      <c r="B1436" s="41" t="n"/>
      <c r="C1436" s="41" t="n"/>
      <c r="D1436" s="41" t="n"/>
      <c r="E1436" s="46" t="n"/>
      <c r="F1436" s="41" t="n"/>
      <c r="G1436" s="41" t="n"/>
      <c r="H1436" s="41" t="n"/>
      <c r="I1436" s="41" t="n"/>
      <c r="J1436" s="47" t="n"/>
      <c r="K1436" s="41" t="n"/>
      <c r="L1436" s="48" t="n"/>
      <c r="M1436" s="45" t="n"/>
      <c r="N1436" s="39">
        <f>IF($B1436="","",IF(SUMPRODUCT((LISTAS!$O$3:$O$42&lt;&gt;"")*ISNUMBER(SEARCH(LISTAS!$O$3:$O$42,$I1436&amp;" "&amp;$K1436)))&gt;0,"CERCANA","NACIONAL"))</f>
        <v/>
      </c>
      <c r="O1436" s="39">
        <f>IF($B1436="","",IF(COUNTIFS(NOVEDADES!$C$4:$C$2003,$B1436)=0,"—","SÍ ("&amp;COUNTIFS(NOVEDADES!$C$4:$C$2003,$B1436)&amp;")"))</f>
        <v/>
      </c>
    </row>
    <row r="1437">
      <c r="A1437" s="41" t="n"/>
      <c r="B1437" s="41" t="n"/>
      <c r="C1437" s="41" t="n"/>
      <c r="D1437" s="41" t="n"/>
      <c r="E1437" s="46" t="n"/>
      <c r="F1437" s="41" t="n"/>
      <c r="G1437" s="41" t="n"/>
      <c r="H1437" s="41" t="n"/>
      <c r="I1437" s="41" t="n"/>
      <c r="J1437" s="47" t="n"/>
      <c r="K1437" s="41" t="n"/>
      <c r="L1437" s="48" t="n"/>
      <c r="M1437" s="45" t="n"/>
      <c r="N1437" s="39">
        <f>IF($B1437="","",IF(SUMPRODUCT((LISTAS!$O$3:$O$42&lt;&gt;"")*ISNUMBER(SEARCH(LISTAS!$O$3:$O$42,$I1437&amp;" "&amp;$K1437)))&gt;0,"CERCANA","NACIONAL"))</f>
        <v/>
      </c>
      <c r="O1437" s="39">
        <f>IF($B1437="","",IF(COUNTIFS(NOVEDADES!$C$4:$C$2003,$B1437)=0,"—","SÍ ("&amp;COUNTIFS(NOVEDADES!$C$4:$C$2003,$B1437)&amp;")"))</f>
        <v/>
      </c>
    </row>
    <row r="1438">
      <c r="A1438" s="41" t="n"/>
      <c r="B1438" s="41" t="n"/>
      <c r="C1438" s="41" t="n"/>
      <c r="D1438" s="41" t="n"/>
      <c r="E1438" s="46" t="n"/>
      <c r="F1438" s="41" t="n"/>
      <c r="G1438" s="41" t="n"/>
      <c r="H1438" s="41" t="n"/>
      <c r="I1438" s="41" t="n"/>
      <c r="J1438" s="47" t="n"/>
      <c r="K1438" s="41" t="n"/>
      <c r="L1438" s="48" t="n"/>
      <c r="M1438" s="45" t="n"/>
      <c r="N1438" s="39">
        <f>IF($B1438="","",IF(SUMPRODUCT((LISTAS!$O$3:$O$42&lt;&gt;"")*ISNUMBER(SEARCH(LISTAS!$O$3:$O$42,$I1438&amp;" "&amp;$K1438)))&gt;0,"CERCANA","NACIONAL"))</f>
        <v/>
      </c>
      <c r="O1438" s="39">
        <f>IF($B1438="","",IF(COUNTIFS(NOVEDADES!$C$4:$C$2003,$B1438)=0,"—","SÍ ("&amp;COUNTIFS(NOVEDADES!$C$4:$C$2003,$B1438)&amp;")"))</f>
        <v/>
      </c>
    </row>
    <row r="1439">
      <c r="A1439" s="41" t="n"/>
      <c r="B1439" s="41" t="n"/>
      <c r="C1439" s="41" t="n"/>
      <c r="D1439" s="41" t="n"/>
      <c r="E1439" s="46" t="n"/>
      <c r="F1439" s="41" t="n"/>
      <c r="G1439" s="41" t="n"/>
      <c r="H1439" s="41" t="n"/>
      <c r="I1439" s="41" t="n"/>
      <c r="J1439" s="47" t="n"/>
      <c r="K1439" s="41" t="n"/>
      <c r="L1439" s="48" t="n"/>
      <c r="M1439" s="45" t="n"/>
      <c r="N1439" s="39">
        <f>IF($B1439="","",IF(SUMPRODUCT((LISTAS!$O$3:$O$42&lt;&gt;"")*ISNUMBER(SEARCH(LISTAS!$O$3:$O$42,$I1439&amp;" "&amp;$K1439)))&gt;0,"CERCANA","NACIONAL"))</f>
        <v/>
      </c>
      <c r="O1439" s="39">
        <f>IF($B1439="","",IF(COUNTIFS(NOVEDADES!$C$4:$C$2003,$B1439)=0,"—","SÍ ("&amp;COUNTIFS(NOVEDADES!$C$4:$C$2003,$B1439)&amp;")"))</f>
        <v/>
      </c>
    </row>
    <row r="1440">
      <c r="A1440" s="41" t="n"/>
      <c r="B1440" s="41" t="n"/>
      <c r="C1440" s="41" t="n"/>
      <c r="D1440" s="41" t="n"/>
      <c r="E1440" s="46" t="n"/>
      <c r="F1440" s="41" t="n"/>
      <c r="G1440" s="41" t="n"/>
      <c r="H1440" s="41" t="n"/>
      <c r="I1440" s="41" t="n"/>
      <c r="J1440" s="47" t="n"/>
      <c r="K1440" s="41" t="n"/>
      <c r="L1440" s="48" t="n"/>
      <c r="M1440" s="45" t="n"/>
      <c r="N1440" s="39">
        <f>IF($B1440="","",IF(SUMPRODUCT((LISTAS!$O$3:$O$42&lt;&gt;"")*ISNUMBER(SEARCH(LISTAS!$O$3:$O$42,$I1440&amp;" "&amp;$K1440)))&gt;0,"CERCANA","NACIONAL"))</f>
        <v/>
      </c>
      <c r="O1440" s="39">
        <f>IF($B1440="","",IF(COUNTIFS(NOVEDADES!$C$4:$C$2003,$B1440)=0,"—","SÍ ("&amp;COUNTIFS(NOVEDADES!$C$4:$C$2003,$B1440)&amp;")"))</f>
        <v/>
      </c>
    </row>
    <row r="1441">
      <c r="A1441" s="41" t="n"/>
      <c r="B1441" s="41" t="n"/>
      <c r="C1441" s="41" t="n"/>
      <c r="D1441" s="41" t="n"/>
      <c r="E1441" s="46" t="n"/>
      <c r="F1441" s="41" t="n"/>
      <c r="G1441" s="41" t="n"/>
      <c r="H1441" s="41" t="n"/>
      <c r="I1441" s="41" t="n"/>
      <c r="J1441" s="47" t="n"/>
      <c r="K1441" s="41" t="n"/>
      <c r="L1441" s="48" t="n"/>
      <c r="M1441" s="45" t="n"/>
      <c r="N1441" s="39">
        <f>IF($B1441="","",IF(SUMPRODUCT((LISTAS!$O$3:$O$42&lt;&gt;"")*ISNUMBER(SEARCH(LISTAS!$O$3:$O$42,$I1441&amp;" "&amp;$K1441)))&gt;0,"CERCANA","NACIONAL"))</f>
        <v/>
      </c>
      <c r="O1441" s="39">
        <f>IF($B1441="","",IF(COUNTIFS(NOVEDADES!$C$4:$C$2003,$B1441)=0,"—","SÍ ("&amp;COUNTIFS(NOVEDADES!$C$4:$C$2003,$B1441)&amp;")"))</f>
        <v/>
      </c>
    </row>
    <row r="1442">
      <c r="A1442" s="41" t="n"/>
      <c r="B1442" s="41" t="n"/>
      <c r="C1442" s="41" t="n"/>
      <c r="D1442" s="41" t="n"/>
      <c r="E1442" s="46" t="n"/>
      <c r="F1442" s="41" t="n"/>
      <c r="G1442" s="41" t="n"/>
      <c r="H1442" s="41" t="n"/>
      <c r="I1442" s="41" t="n"/>
      <c r="J1442" s="47" t="n"/>
      <c r="K1442" s="41" t="n"/>
      <c r="L1442" s="48" t="n"/>
      <c r="M1442" s="45" t="n"/>
      <c r="N1442" s="39">
        <f>IF($B1442="","",IF(SUMPRODUCT((LISTAS!$O$3:$O$42&lt;&gt;"")*ISNUMBER(SEARCH(LISTAS!$O$3:$O$42,$I1442&amp;" "&amp;$K1442)))&gt;0,"CERCANA","NACIONAL"))</f>
        <v/>
      </c>
      <c r="O1442" s="39">
        <f>IF($B1442="","",IF(COUNTIFS(NOVEDADES!$C$4:$C$2003,$B1442)=0,"—","SÍ ("&amp;COUNTIFS(NOVEDADES!$C$4:$C$2003,$B1442)&amp;")"))</f>
        <v/>
      </c>
    </row>
    <row r="1443">
      <c r="A1443" s="41" t="n"/>
      <c r="B1443" s="41" t="n"/>
      <c r="C1443" s="41" t="n"/>
      <c r="D1443" s="41" t="n"/>
      <c r="E1443" s="46" t="n"/>
      <c r="F1443" s="41" t="n"/>
      <c r="G1443" s="41" t="n"/>
      <c r="H1443" s="41" t="n"/>
      <c r="I1443" s="41" t="n"/>
      <c r="J1443" s="47" t="n"/>
      <c r="K1443" s="41" t="n"/>
      <c r="L1443" s="48" t="n"/>
      <c r="M1443" s="45" t="n"/>
      <c r="N1443" s="39">
        <f>IF($B1443="","",IF(SUMPRODUCT((LISTAS!$O$3:$O$42&lt;&gt;"")*ISNUMBER(SEARCH(LISTAS!$O$3:$O$42,$I1443&amp;" "&amp;$K1443)))&gt;0,"CERCANA","NACIONAL"))</f>
        <v/>
      </c>
      <c r="O1443" s="39">
        <f>IF($B1443="","",IF(COUNTIFS(NOVEDADES!$C$4:$C$2003,$B1443)=0,"—","SÍ ("&amp;COUNTIFS(NOVEDADES!$C$4:$C$2003,$B1443)&amp;")"))</f>
        <v/>
      </c>
    </row>
    <row r="1444">
      <c r="A1444" s="41" t="n"/>
      <c r="B1444" s="41" t="n"/>
      <c r="C1444" s="41" t="n"/>
      <c r="D1444" s="41" t="n"/>
      <c r="E1444" s="46" t="n"/>
      <c r="F1444" s="41" t="n"/>
      <c r="G1444" s="41" t="n"/>
      <c r="H1444" s="41" t="n"/>
      <c r="I1444" s="41" t="n"/>
      <c r="J1444" s="47" t="n"/>
      <c r="K1444" s="41" t="n"/>
      <c r="L1444" s="48" t="n"/>
      <c r="M1444" s="45" t="n"/>
      <c r="N1444" s="39">
        <f>IF($B1444="","",IF(SUMPRODUCT((LISTAS!$O$3:$O$42&lt;&gt;"")*ISNUMBER(SEARCH(LISTAS!$O$3:$O$42,$I1444&amp;" "&amp;$K1444)))&gt;0,"CERCANA","NACIONAL"))</f>
        <v/>
      </c>
      <c r="O1444" s="39">
        <f>IF($B1444="","",IF(COUNTIFS(NOVEDADES!$C$4:$C$2003,$B1444)=0,"—","SÍ ("&amp;COUNTIFS(NOVEDADES!$C$4:$C$2003,$B1444)&amp;")"))</f>
        <v/>
      </c>
    </row>
    <row r="1445">
      <c r="A1445" s="41" t="n"/>
      <c r="B1445" s="41" t="n"/>
      <c r="C1445" s="41" t="n"/>
      <c r="D1445" s="41" t="n"/>
      <c r="E1445" s="46" t="n"/>
      <c r="F1445" s="41" t="n"/>
      <c r="G1445" s="41" t="n"/>
      <c r="H1445" s="41" t="n"/>
      <c r="I1445" s="41" t="n"/>
      <c r="J1445" s="47" t="n"/>
      <c r="K1445" s="41" t="n"/>
      <c r="L1445" s="48" t="n"/>
      <c r="M1445" s="45" t="n"/>
      <c r="N1445" s="39">
        <f>IF($B1445="","",IF(SUMPRODUCT((LISTAS!$O$3:$O$42&lt;&gt;"")*ISNUMBER(SEARCH(LISTAS!$O$3:$O$42,$I1445&amp;" "&amp;$K1445)))&gt;0,"CERCANA","NACIONAL"))</f>
        <v/>
      </c>
      <c r="O1445" s="39">
        <f>IF($B1445="","",IF(COUNTIFS(NOVEDADES!$C$4:$C$2003,$B1445)=0,"—","SÍ ("&amp;COUNTIFS(NOVEDADES!$C$4:$C$2003,$B1445)&amp;")"))</f>
        <v/>
      </c>
    </row>
    <row r="1446">
      <c r="A1446" s="41" t="n"/>
      <c r="B1446" s="41" t="n"/>
      <c r="C1446" s="41" t="n"/>
      <c r="D1446" s="41" t="n"/>
      <c r="E1446" s="46" t="n"/>
      <c r="F1446" s="41" t="n"/>
      <c r="G1446" s="41" t="n"/>
      <c r="H1446" s="41" t="n"/>
      <c r="I1446" s="41" t="n"/>
      <c r="J1446" s="47" t="n"/>
      <c r="K1446" s="41" t="n"/>
      <c r="L1446" s="48" t="n"/>
      <c r="M1446" s="45" t="n"/>
      <c r="N1446" s="39">
        <f>IF($B1446="","",IF(SUMPRODUCT((LISTAS!$O$3:$O$42&lt;&gt;"")*ISNUMBER(SEARCH(LISTAS!$O$3:$O$42,$I1446&amp;" "&amp;$K1446)))&gt;0,"CERCANA","NACIONAL"))</f>
        <v/>
      </c>
      <c r="O1446" s="39">
        <f>IF($B1446="","",IF(COUNTIFS(NOVEDADES!$C$4:$C$2003,$B1446)=0,"—","SÍ ("&amp;COUNTIFS(NOVEDADES!$C$4:$C$2003,$B1446)&amp;")"))</f>
        <v/>
      </c>
    </row>
    <row r="1447">
      <c r="A1447" s="41" t="n"/>
      <c r="B1447" s="41" t="n"/>
      <c r="C1447" s="41" t="n"/>
      <c r="D1447" s="41" t="n"/>
      <c r="E1447" s="46" t="n"/>
      <c r="F1447" s="41" t="n"/>
      <c r="G1447" s="41" t="n"/>
      <c r="H1447" s="41" t="n"/>
      <c r="I1447" s="41" t="n"/>
      <c r="J1447" s="47" t="n"/>
      <c r="K1447" s="41" t="n"/>
      <c r="L1447" s="48" t="n"/>
      <c r="M1447" s="45" t="n"/>
      <c r="N1447" s="39">
        <f>IF($B1447="","",IF(SUMPRODUCT((LISTAS!$O$3:$O$42&lt;&gt;"")*ISNUMBER(SEARCH(LISTAS!$O$3:$O$42,$I1447&amp;" "&amp;$K1447)))&gt;0,"CERCANA","NACIONAL"))</f>
        <v/>
      </c>
      <c r="O1447" s="39">
        <f>IF($B1447="","",IF(COUNTIFS(NOVEDADES!$C$4:$C$2003,$B1447)=0,"—","SÍ ("&amp;COUNTIFS(NOVEDADES!$C$4:$C$2003,$B1447)&amp;")"))</f>
        <v/>
      </c>
    </row>
    <row r="1448">
      <c r="A1448" s="41" t="n"/>
      <c r="B1448" s="41" t="n"/>
      <c r="C1448" s="41" t="n"/>
      <c r="D1448" s="41" t="n"/>
      <c r="E1448" s="46" t="n"/>
      <c r="F1448" s="41" t="n"/>
      <c r="G1448" s="41" t="n"/>
      <c r="H1448" s="41" t="n"/>
      <c r="I1448" s="41" t="n"/>
      <c r="J1448" s="47" t="n"/>
      <c r="K1448" s="41" t="n"/>
      <c r="L1448" s="48" t="n"/>
      <c r="M1448" s="45" t="n"/>
      <c r="N1448" s="39">
        <f>IF($B1448="","",IF(SUMPRODUCT((LISTAS!$O$3:$O$42&lt;&gt;"")*ISNUMBER(SEARCH(LISTAS!$O$3:$O$42,$I1448&amp;" "&amp;$K1448)))&gt;0,"CERCANA","NACIONAL"))</f>
        <v/>
      </c>
      <c r="O1448" s="39">
        <f>IF($B1448="","",IF(COUNTIFS(NOVEDADES!$C$4:$C$2003,$B1448)=0,"—","SÍ ("&amp;COUNTIFS(NOVEDADES!$C$4:$C$2003,$B1448)&amp;")"))</f>
        <v/>
      </c>
    </row>
    <row r="1449">
      <c r="A1449" s="41" t="n"/>
      <c r="B1449" s="41" t="n"/>
      <c r="C1449" s="41" t="n"/>
      <c r="D1449" s="41" t="n"/>
      <c r="E1449" s="46" t="n"/>
      <c r="F1449" s="41" t="n"/>
      <c r="G1449" s="41" t="n"/>
      <c r="H1449" s="41" t="n"/>
      <c r="I1449" s="41" t="n"/>
      <c r="J1449" s="47" t="n"/>
      <c r="K1449" s="41" t="n"/>
      <c r="L1449" s="48" t="n"/>
      <c r="M1449" s="45" t="n"/>
      <c r="N1449" s="39">
        <f>IF($B1449="","",IF(SUMPRODUCT((LISTAS!$O$3:$O$42&lt;&gt;"")*ISNUMBER(SEARCH(LISTAS!$O$3:$O$42,$I1449&amp;" "&amp;$K1449)))&gt;0,"CERCANA","NACIONAL"))</f>
        <v/>
      </c>
      <c r="O1449" s="39">
        <f>IF($B1449="","",IF(COUNTIFS(NOVEDADES!$C$4:$C$2003,$B1449)=0,"—","SÍ ("&amp;COUNTIFS(NOVEDADES!$C$4:$C$2003,$B1449)&amp;")"))</f>
        <v/>
      </c>
    </row>
    <row r="1450">
      <c r="A1450" s="41" t="n"/>
      <c r="B1450" s="41" t="n"/>
      <c r="C1450" s="41" t="n"/>
      <c r="D1450" s="41" t="n"/>
      <c r="E1450" s="46" t="n"/>
      <c r="F1450" s="41" t="n"/>
      <c r="G1450" s="41" t="n"/>
      <c r="H1450" s="41" t="n"/>
      <c r="I1450" s="41" t="n"/>
      <c r="J1450" s="47" t="n"/>
      <c r="K1450" s="41" t="n"/>
      <c r="L1450" s="48" t="n"/>
      <c r="M1450" s="45" t="n"/>
      <c r="N1450" s="39">
        <f>IF($B1450="","",IF(SUMPRODUCT((LISTAS!$O$3:$O$42&lt;&gt;"")*ISNUMBER(SEARCH(LISTAS!$O$3:$O$42,$I1450&amp;" "&amp;$K1450)))&gt;0,"CERCANA","NACIONAL"))</f>
        <v/>
      </c>
      <c r="O1450" s="39">
        <f>IF($B1450="","",IF(COUNTIFS(NOVEDADES!$C$4:$C$2003,$B1450)=0,"—","SÍ ("&amp;COUNTIFS(NOVEDADES!$C$4:$C$2003,$B1450)&amp;")"))</f>
        <v/>
      </c>
    </row>
    <row r="1451">
      <c r="A1451" s="41" t="n"/>
      <c r="B1451" s="41" t="n"/>
      <c r="C1451" s="41" t="n"/>
      <c r="D1451" s="41" t="n"/>
      <c r="E1451" s="46" t="n"/>
      <c r="F1451" s="41" t="n"/>
      <c r="G1451" s="41" t="n"/>
      <c r="H1451" s="41" t="n"/>
      <c r="I1451" s="41" t="n"/>
      <c r="J1451" s="47" t="n"/>
      <c r="K1451" s="41" t="n"/>
      <c r="L1451" s="48" t="n"/>
      <c r="M1451" s="45" t="n"/>
      <c r="N1451" s="39">
        <f>IF($B1451="","",IF(SUMPRODUCT((LISTAS!$O$3:$O$42&lt;&gt;"")*ISNUMBER(SEARCH(LISTAS!$O$3:$O$42,$I1451&amp;" "&amp;$K1451)))&gt;0,"CERCANA","NACIONAL"))</f>
        <v/>
      </c>
      <c r="O1451" s="39">
        <f>IF($B1451="","",IF(COUNTIFS(NOVEDADES!$C$4:$C$2003,$B1451)=0,"—","SÍ ("&amp;COUNTIFS(NOVEDADES!$C$4:$C$2003,$B1451)&amp;")"))</f>
        <v/>
      </c>
    </row>
    <row r="1452">
      <c r="A1452" s="41" t="n"/>
      <c r="B1452" s="41" t="n"/>
      <c r="C1452" s="41" t="n"/>
      <c r="D1452" s="41" t="n"/>
      <c r="E1452" s="46" t="n"/>
      <c r="F1452" s="41" t="n"/>
      <c r="G1452" s="41" t="n"/>
      <c r="H1452" s="41" t="n"/>
      <c r="I1452" s="41" t="n"/>
      <c r="J1452" s="47" t="n"/>
      <c r="K1452" s="41" t="n"/>
      <c r="L1452" s="48" t="n"/>
      <c r="M1452" s="45" t="n"/>
      <c r="N1452" s="39">
        <f>IF($B1452="","",IF(SUMPRODUCT((LISTAS!$O$3:$O$42&lt;&gt;"")*ISNUMBER(SEARCH(LISTAS!$O$3:$O$42,$I1452&amp;" "&amp;$K1452)))&gt;0,"CERCANA","NACIONAL"))</f>
        <v/>
      </c>
      <c r="O1452" s="39">
        <f>IF($B1452="","",IF(COUNTIFS(NOVEDADES!$C$4:$C$2003,$B1452)=0,"—","SÍ ("&amp;COUNTIFS(NOVEDADES!$C$4:$C$2003,$B1452)&amp;")"))</f>
        <v/>
      </c>
    </row>
    <row r="1453">
      <c r="A1453" s="41" t="n"/>
      <c r="B1453" s="41" t="n"/>
      <c r="C1453" s="41" t="n"/>
      <c r="D1453" s="41" t="n"/>
      <c r="E1453" s="46" t="n"/>
      <c r="F1453" s="41" t="n"/>
      <c r="G1453" s="41" t="n"/>
      <c r="H1453" s="41" t="n"/>
      <c r="I1453" s="41" t="n"/>
      <c r="J1453" s="47" t="n"/>
      <c r="K1453" s="41" t="n"/>
      <c r="L1453" s="48" t="n"/>
      <c r="M1453" s="45" t="n"/>
      <c r="N1453" s="39">
        <f>IF($B1453="","",IF(SUMPRODUCT((LISTAS!$O$3:$O$42&lt;&gt;"")*ISNUMBER(SEARCH(LISTAS!$O$3:$O$42,$I1453&amp;" "&amp;$K1453)))&gt;0,"CERCANA","NACIONAL"))</f>
        <v/>
      </c>
      <c r="O1453" s="39">
        <f>IF($B1453="","",IF(COUNTIFS(NOVEDADES!$C$4:$C$2003,$B1453)=0,"—","SÍ ("&amp;COUNTIFS(NOVEDADES!$C$4:$C$2003,$B1453)&amp;")"))</f>
        <v/>
      </c>
    </row>
    <row r="1454">
      <c r="A1454" s="41" t="n"/>
      <c r="B1454" s="41" t="n"/>
      <c r="C1454" s="41" t="n"/>
      <c r="D1454" s="41" t="n"/>
      <c r="E1454" s="46" t="n"/>
      <c r="F1454" s="41" t="n"/>
      <c r="G1454" s="41" t="n"/>
      <c r="H1454" s="41" t="n"/>
      <c r="I1454" s="41" t="n"/>
      <c r="J1454" s="47" t="n"/>
      <c r="K1454" s="41" t="n"/>
      <c r="L1454" s="48" t="n"/>
      <c r="M1454" s="45" t="n"/>
      <c r="N1454" s="39">
        <f>IF($B1454="","",IF(SUMPRODUCT((LISTAS!$O$3:$O$42&lt;&gt;"")*ISNUMBER(SEARCH(LISTAS!$O$3:$O$42,$I1454&amp;" "&amp;$K1454)))&gt;0,"CERCANA","NACIONAL"))</f>
        <v/>
      </c>
      <c r="O1454" s="39">
        <f>IF($B1454="","",IF(COUNTIFS(NOVEDADES!$C$4:$C$2003,$B1454)=0,"—","SÍ ("&amp;COUNTIFS(NOVEDADES!$C$4:$C$2003,$B1454)&amp;")"))</f>
        <v/>
      </c>
    </row>
    <row r="1455">
      <c r="A1455" s="41" t="n"/>
      <c r="B1455" s="41" t="n"/>
      <c r="C1455" s="41" t="n"/>
      <c r="D1455" s="41" t="n"/>
      <c r="E1455" s="46" t="n"/>
      <c r="F1455" s="41" t="n"/>
      <c r="G1455" s="41" t="n"/>
      <c r="H1455" s="41" t="n"/>
      <c r="I1455" s="41" t="n"/>
      <c r="J1455" s="47" t="n"/>
      <c r="K1455" s="41" t="n"/>
      <c r="L1455" s="48" t="n"/>
      <c r="M1455" s="45" t="n"/>
      <c r="N1455" s="39">
        <f>IF($B1455="","",IF(SUMPRODUCT((LISTAS!$O$3:$O$42&lt;&gt;"")*ISNUMBER(SEARCH(LISTAS!$O$3:$O$42,$I1455&amp;" "&amp;$K1455)))&gt;0,"CERCANA","NACIONAL"))</f>
        <v/>
      </c>
      <c r="O1455" s="39">
        <f>IF($B1455="","",IF(COUNTIFS(NOVEDADES!$C$4:$C$2003,$B1455)=0,"—","SÍ ("&amp;COUNTIFS(NOVEDADES!$C$4:$C$2003,$B1455)&amp;")"))</f>
        <v/>
      </c>
    </row>
    <row r="1456">
      <c r="A1456" s="41" t="n"/>
      <c r="B1456" s="41" t="n"/>
      <c r="C1456" s="41" t="n"/>
      <c r="D1456" s="41" t="n"/>
      <c r="E1456" s="46" t="n"/>
      <c r="F1456" s="41" t="n"/>
      <c r="G1456" s="41" t="n"/>
      <c r="H1456" s="41" t="n"/>
      <c r="I1456" s="41" t="n"/>
      <c r="J1456" s="47" t="n"/>
      <c r="K1456" s="41" t="n"/>
      <c r="L1456" s="48" t="n"/>
      <c r="M1456" s="45" t="n"/>
      <c r="N1456" s="39">
        <f>IF($B1456="","",IF(SUMPRODUCT((LISTAS!$O$3:$O$42&lt;&gt;"")*ISNUMBER(SEARCH(LISTAS!$O$3:$O$42,$I1456&amp;" "&amp;$K1456)))&gt;0,"CERCANA","NACIONAL"))</f>
        <v/>
      </c>
      <c r="O1456" s="39">
        <f>IF($B1456="","",IF(COUNTIFS(NOVEDADES!$C$4:$C$2003,$B1456)=0,"—","SÍ ("&amp;COUNTIFS(NOVEDADES!$C$4:$C$2003,$B1456)&amp;")"))</f>
        <v/>
      </c>
    </row>
    <row r="1457">
      <c r="A1457" s="41" t="n"/>
      <c r="B1457" s="41" t="n"/>
      <c r="C1457" s="41" t="n"/>
      <c r="D1457" s="41" t="n"/>
      <c r="E1457" s="46" t="n"/>
      <c r="F1457" s="41" t="n"/>
      <c r="G1457" s="41" t="n"/>
      <c r="H1457" s="41" t="n"/>
      <c r="I1457" s="41" t="n"/>
      <c r="J1457" s="47" t="n"/>
      <c r="K1457" s="41" t="n"/>
      <c r="L1457" s="48" t="n"/>
      <c r="M1457" s="45" t="n"/>
      <c r="N1457" s="39">
        <f>IF($B1457="","",IF(SUMPRODUCT((LISTAS!$O$3:$O$42&lt;&gt;"")*ISNUMBER(SEARCH(LISTAS!$O$3:$O$42,$I1457&amp;" "&amp;$K1457)))&gt;0,"CERCANA","NACIONAL"))</f>
        <v/>
      </c>
      <c r="O1457" s="39">
        <f>IF($B1457="","",IF(COUNTIFS(NOVEDADES!$C$4:$C$2003,$B1457)=0,"—","SÍ ("&amp;COUNTIFS(NOVEDADES!$C$4:$C$2003,$B1457)&amp;")"))</f>
        <v/>
      </c>
    </row>
    <row r="1458">
      <c r="A1458" s="41" t="n"/>
      <c r="B1458" s="41" t="n"/>
      <c r="C1458" s="41" t="n"/>
      <c r="D1458" s="41" t="n"/>
      <c r="E1458" s="46" t="n"/>
      <c r="F1458" s="41" t="n"/>
      <c r="G1458" s="41" t="n"/>
      <c r="H1458" s="41" t="n"/>
      <c r="I1458" s="41" t="n"/>
      <c r="J1458" s="47" t="n"/>
      <c r="K1458" s="41" t="n"/>
      <c r="L1458" s="48" t="n"/>
      <c r="M1458" s="45" t="n"/>
      <c r="N1458" s="39">
        <f>IF($B1458="","",IF(SUMPRODUCT((LISTAS!$O$3:$O$42&lt;&gt;"")*ISNUMBER(SEARCH(LISTAS!$O$3:$O$42,$I1458&amp;" "&amp;$K1458)))&gt;0,"CERCANA","NACIONAL"))</f>
        <v/>
      </c>
      <c r="O1458" s="39">
        <f>IF($B1458="","",IF(COUNTIFS(NOVEDADES!$C$4:$C$2003,$B1458)=0,"—","SÍ ("&amp;COUNTIFS(NOVEDADES!$C$4:$C$2003,$B1458)&amp;")"))</f>
        <v/>
      </c>
    </row>
    <row r="1459">
      <c r="A1459" s="41" t="n"/>
      <c r="B1459" s="41" t="n"/>
      <c r="C1459" s="41" t="n"/>
      <c r="D1459" s="41" t="n"/>
      <c r="E1459" s="46" t="n"/>
      <c r="F1459" s="41" t="n"/>
      <c r="G1459" s="41" t="n"/>
      <c r="H1459" s="41" t="n"/>
      <c r="I1459" s="41" t="n"/>
      <c r="J1459" s="47" t="n"/>
      <c r="K1459" s="41" t="n"/>
      <c r="L1459" s="48" t="n"/>
      <c r="M1459" s="45" t="n"/>
      <c r="N1459" s="39">
        <f>IF($B1459="","",IF(SUMPRODUCT((LISTAS!$O$3:$O$42&lt;&gt;"")*ISNUMBER(SEARCH(LISTAS!$O$3:$O$42,$I1459&amp;" "&amp;$K1459)))&gt;0,"CERCANA","NACIONAL"))</f>
        <v/>
      </c>
      <c r="O1459" s="39">
        <f>IF($B1459="","",IF(COUNTIFS(NOVEDADES!$C$4:$C$2003,$B1459)=0,"—","SÍ ("&amp;COUNTIFS(NOVEDADES!$C$4:$C$2003,$B1459)&amp;")"))</f>
        <v/>
      </c>
    </row>
    <row r="1460">
      <c r="A1460" s="41" t="n"/>
      <c r="B1460" s="41" t="n"/>
      <c r="C1460" s="41" t="n"/>
      <c r="D1460" s="41" t="n"/>
      <c r="E1460" s="46" t="n"/>
      <c r="F1460" s="41" t="n"/>
      <c r="G1460" s="41" t="n"/>
      <c r="H1460" s="41" t="n"/>
      <c r="I1460" s="41" t="n"/>
      <c r="J1460" s="47" t="n"/>
      <c r="K1460" s="41" t="n"/>
      <c r="L1460" s="48" t="n"/>
      <c r="M1460" s="45" t="n"/>
      <c r="N1460" s="39">
        <f>IF($B1460="","",IF(SUMPRODUCT((LISTAS!$O$3:$O$42&lt;&gt;"")*ISNUMBER(SEARCH(LISTAS!$O$3:$O$42,$I1460&amp;" "&amp;$K1460)))&gt;0,"CERCANA","NACIONAL"))</f>
        <v/>
      </c>
      <c r="O1460" s="39">
        <f>IF($B1460="","",IF(COUNTIFS(NOVEDADES!$C$4:$C$2003,$B1460)=0,"—","SÍ ("&amp;COUNTIFS(NOVEDADES!$C$4:$C$2003,$B1460)&amp;")"))</f>
        <v/>
      </c>
    </row>
    <row r="1461">
      <c r="A1461" s="41" t="n"/>
      <c r="B1461" s="41" t="n"/>
      <c r="C1461" s="41" t="n"/>
      <c r="D1461" s="41" t="n"/>
      <c r="E1461" s="46" t="n"/>
      <c r="F1461" s="41" t="n"/>
      <c r="G1461" s="41" t="n"/>
      <c r="H1461" s="41" t="n"/>
      <c r="I1461" s="41" t="n"/>
      <c r="J1461" s="47" t="n"/>
      <c r="K1461" s="41" t="n"/>
      <c r="L1461" s="48" t="n"/>
      <c r="M1461" s="45" t="n"/>
      <c r="N1461" s="39">
        <f>IF($B1461="","",IF(SUMPRODUCT((LISTAS!$O$3:$O$42&lt;&gt;"")*ISNUMBER(SEARCH(LISTAS!$O$3:$O$42,$I1461&amp;" "&amp;$K1461)))&gt;0,"CERCANA","NACIONAL"))</f>
        <v/>
      </c>
      <c r="O1461" s="39">
        <f>IF($B1461="","",IF(COUNTIFS(NOVEDADES!$C$4:$C$2003,$B1461)=0,"—","SÍ ("&amp;COUNTIFS(NOVEDADES!$C$4:$C$2003,$B1461)&amp;")"))</f>
        <v/>
      </c>
    </row>
    <row r="1462">
      <c r="A1462" s="41" t="n"/>
      <c r="B1462" s="41" t="n"/>
      <c r="C1462" s="41" t="n"/>
      <c r="D1462" s="41" t="n"/>
      <c r="E1462" s="46" t="n"/>
      <c r="F1462" s="41" t="n"/>
      <c r="G1462" s="41" t="n"/>
      <c r="H1462" s="41" t="n"/>
      <c r="I1462" s="41" t="n"/>
      <c r="J1462" s="47" t="n"/>
      <c r="K1462" s="41" t="n"/>
      <c r="L1462" s="48" t="n"/>
      <c r="M1462" s="45" t="n"/>
      <c r="N1462" s="39">
        <f>IF($B1462="","",IF(SUMPRODUCT((LISTAS!$O$3:$O$42&lt;&gt;"")*ISNUMBER(SEARCH(LISTAS!$O$3:$O$42,$I1462&amp;" "&amp;$K1462)))&gt;0,"CERCANA","NACIONAL"))</f>
        <v/>
      </c>
      <c r="O1462" s="39">
        <f>IF($B1462="","",IF(COUNTIFS(NOVEDADES!$C$4:$C$2003,$B1462)=0,"—","SÍ ("&amp;COUNTIFS(NOVEDADES!$C$4:$C$2003,$B1462)&amp;")"))</f>
        <v/>
      </c>
    </row>
    <row r="1463">
      <c r="A1463" s="41" t="n"/>
      <c r="B1463" s="41" t="n"/>
      <c r="C1463" s="41" t="n"/>
      <c r="D1463" s="41" t="n"/>
      <c r="E1463" s="46" t="n"/>
      <c r="F1463" s="41" t="n"/>
      <c r="G1463" s="41" t="n"/>
      <c r="H1463" s="41" t="n"/>
      <c r="I1463" s="41" t="n"/>
      <c r="J1463" s="47" t="n"/>
      <c r="K1463" s="41" t="n"/>
      <c r="L1463" s="48" t="n"/>
      <c r="M1463" s="45" t="n"/>
      <c r="N1463" s="39">
        <f>IF($B1463="","",IF(SUMPRODUCT((LISTAS!$O$3:$O$42&lt;&gt;"")*ISNUMBER(SEARCH(LISTAS!$O$3:$O$42,$I1463&amp;" "&amp;$K1463)))&gt;0,"CERCANA","NACIONAL"))</f>
        <v/>
      </c>
      <c r="O1463" s="39">
        <f>IF($B1463="","",IF(COUNTIFS(NOVEDADES!$C$4:$C$2003,$B1463)=0,"—","SÍ ("&amp;COUNTIFS(NOVEDADES!$C$4:$C$2003,$B1463)&amp;")"))</f>
        <v/>
      </c>
    </row>
    <row r="1464">
      <c r="A1464" s="41" t="n"/>
      <c r="B1464" s="41" t="n"/>
      <c r="C1464" s="41" t="n"/>
      <c r="D1464" s="41" t="n"/>
      <c r="E1464" s="46" t="n"/>
      <c r="F1464" s="41" t="n"/>
      <c r="G1464" s="41" t="n"/>
      <c r="H1464" s="41" t="n"/>
      <c r="I1464" s="41" t="n"/>
      <c r="J1464" s="47" t="n"/>
      <c r="K1464" s="41" t="n"/>
      <c r="L1464" s="48" t="n"/>
      <c r="M1464" s="45" t="n"/>
      <c r="N1464" s="39">
        <f>IF($B1464="","",IF(SUMPRODUCT((LISTAS!$O$3:$O$42&lt;&gt;"")*ISNUMBER(SEARCH(LISTAS!$O$3:$O$42,$I1464&amp;" "&amp;$K1464)))&gt;0,"CERCANA","NACIONAL"))</f>
        <v/>
      </c>
      <c r="O1464" s="39">
        <f>IF($B1464="","",IF(COUNTIFS(NOVEDADES!$C$4:$C$2003,$B1464)=0,"—","SÍ ("&amp;COUNTIFS(NOVEDADES!$C$4:$C$2003,$B1464)&amp;")"))</f>
        <v/>
      </c>
    </row>
    <row r="1465">
      <c r="A1465" s="41" t="n"/>
      <c r="B1465" s="41" t="n"/>
      <c r="C1465" s="41" t="n"/>
      <c r="D1465" s="41" t="n"/>
      <c r="E1465" s="46" t="n"/>
      <c r="F1465" s="41" t="n"/>
      <c r="G1465" s="41" t="n"/>
      <c r="H1465" s="41" t="n"/>
      <c r="I1465" s="41" t="n"/>
      <c r="J1465" s="47" t="n"/>
      <c r="K1465" s="41" t="n"/>
      <c r="L1465" s="48" t="n"/>
      <c r="M1465" s="45" t="n"/>
      <c r="N1465" s="39">
        <f>IF($B1465="","",IF(SUMPRODUCT((LISTAS!$O$3:$O$42&lt;&gt;"")*ISNUMBER(SEARCH(LISTAS!$O$3:$O$42,$I1465&amp;" "&amp;$K1465)))&gt;0,"CERCANA","NACIONAL"))</f>
        <v/>
      </c>
      <c r="O1465" s="39">
        <f>IF($B1465="","",IF(COUNTIFS(NOVEDADES!$C$4:$C$2003,$B1465)=0,"—","SÍ ("&amp;COUNTIFS(NOVEDADES!$C$4:$C$2003,$B1465)&amp;")"))</f>
        <v/>
      </c>
    </row>
    <row r="1466">
      <c r="A1466" s="41" t="n"/>
      <c r="B1466" s="41" t="n"/>
      <c r="C1466" s="41" t="n"/>
      <c r="D1466" s="41" t="n"/>
      <c r="E1466" s="46" t="n"/>
      <c r="F1466" s="41" t="n"/>
      <c r="G1466" s="41" t="n"/>
      <c r="H1466" s="41" t="n"/>
      <c r="I1466" s="41" t="n"/>
      <c r="J1466" s="47" t="n"/>
      <c r="K1466" s="41" t="n"/>
      <c r="L1466" s="48" t="n"/>
      <c r="M1466" s="45" t="n"/>
      <c r="N1466" s="39">
        <f>IF($B1466="","",IF(SUMPRODUCT((LISTAS!$O$3:$O$42&lt;&gt;"")*ISNUMBER(SEARCH(LISTAS!$O$3:$O$42,$I1466&amp;" "&amp;$K1466)))&gt;0,"CERCANA","NACIONAL"))</f>
        <v/>
      </c>
      <c r="O1466" s="39">
        <f>IF($B1466="","",IF(COUNTIFS(NOVEDADES!$C$4:$C$2003,$B1466)=0,"—","SÍ ("&amp;COUNTIFS(NOVEDADES!$C$4:$C$2003,$B1466)&amp;")"))</f>
        <v/>
      </c>
    </row>
    <row r="1467">
      <c r="A1467" s="41" t="n"/>
      <c r="B1467" s="41" t="n"/>
      <c r="C1467" s="41" t="n"/>
      <c r="D1467" s="41" t="n"/>
      <c r="E1467" s="46" t="n"/>
      <c r="F1467" s="41" t="n"/>
      <c r="G1467" s="41" t="n"/>
      <c r="H1467" s="41" t="n"/>
      <c r="I1467" s="41" t="n"/>
      <c r="J1467" s="47" t="n"/>
      <c r="K1467" s="41" t="n"/>
      <c r="L1467" s="48" t="n"/>
      <c r="M1467" s="45" t="n"/>
      <c r="N1467" s="39">
        <f>IF($B1467="","",IF(SUMPRODUCT((LISTAS!$O$3:$O$42&lt;&gt;"")*ISNUMBER(SEARCH(LISTAS!$O$3:$O$42,$I1467&amp;" "&amp;$K1467)))&gt;0,"CERCANA","NACIONAL"))</f>
        <v/>
      </c>
      <c r="O1467" s="39">
        <f>IF($B1467="","",IF(COUNTIFS(NOVEDADES!$C$4:$C$2003,$B1467)=0,"—","SÍ ("&amp;COUNTIFS(NOVEDADES!$C$4:$C$2003,$B1467)&amp;")"))</f>
        <v/>
      </c>
    </row>
    <row r="1468">
      <c r="A1468" s="41" t="n"/>
      <c r="B1468" s="41" t="n"/>
      <c r="C1468" s="41" t="n"/>
      <c r="D1468" s="41" t="n"/>
      <c r="E1468" s="46" t="n"/>
      <c r="F1468" s="41" t="n"/>
      <c r="G1468" s="41" t="n"/>
      <c r="H1468" s="41" t="n"/>
      <c r="I1468" s="41" t="n"/>
      <c r="J1468" s="47" t="n"/>
      <c r="K1468" s="41" t="n"/>
      <c r="L1468" s="48" t="n"/>
      <c r="M1468" s="45" t="n"/>
      <c r="N1468" s="39">
        <f>IF($B1468="","",IF(SUMPRODUCT((LISTAS!$O$3:$O$42&lt;&gt;"")*ISNUMBER(SEARCH(LISTAS!$O$3:$O$42,$I1468&amp;" "&amp;$K1468)))&gt;0,"CERCANA","NACIONAL"))</f>
        <v/>
      </c>
      <c r="O1468" s="39">
        <f>IF($B1468="","",IF(COUNTIFS(NOVEDADES!$C$4:$C$2003,$B1468)=0,"—","SÍ ("&amp;COUNTIFS(NOVEDADES!$C$4:$C$2003,$B1468)&amp;")"))</f>
        <v/>
      </c>
    </row>
    <row r="1469">
      <c r="A1469" s="41" t="n"/>
      <c r="B1469" s="41" t="n"/>
      <c r="C1469" s="41" t="n"/>
      <c r="D1469" s="41" t="n"/>
      <c r="E1469" s="46" t="n"/>
      <c r="F1469" s="41" t="n"/>
      <c r="G1469" s="41" t="n"/>
      <c r="H1469" s="41" t="n"/>
      <c r="I1469" s="41" t="n"/>
      <c r="J1469" s="47" t="n"/>
      <c r="K1469" s="41" t="n"/>
      <c r="L1469" s="48" t="n"/>
      <c r="M1469" s="45" t="n"/>
      <c r="N1469" s="39">
        <f>IF($B1469="","",IF(SUMPRODUCT((LISTAS!$O$3:$O$42&lt;&gt;"")*ISNUMBER(SEARCH(LISTAS!$O$3:$O$42,$I1469&amp;" "&amp;$K1469)))&gt;0,"CERCANA","NACIONAL"))</f>
        <v/>
      </c>
      <c r="O1469" s="39">
        <f>IF($B1469="","",IF(COUNTIFS(NOVEDADES!$C$4:$C$2003,$B1469)=0,"—","SÍ ("&amp;COUNTIFS(NOVEDADES!$C$4:$C$2003,$B1469)&amp;")"))</f>
        <v/>
      </c>
    </row>
    <row r="1470">
      <c r="A1470" s="41" t="n"/>
      <c r="B1470" s="41" t="n"/>
      <c r="C1470" s="41" t="n"/>
      <c r="D1470" s="41" t="n"/>
      <c r="E1470" s="46" t="n"/>
      <c r="F1470" s="41" t="n"/>
      <c r="G1470" s="41" t="n"/>
      <c r="H1470" s="41" t="n"/>
      <c r="I1470" s="41" t="n"/>
      <c r="J1470" s="47" t="n"/>
      <c r="K1470" s="41" t="n"/>
      <c r="L1470" s="48" t="n"/>
      <c r="M1470" s="45" t="n"/>
      <c r="N1470" s="39">
        <f>IF($B1470="","",IF(SUMPRODUCT((LISTAS!$O$3:$O$42&lt;&gt;"")*ISNUMBER(SEARCH(LISTAS!$O$3:$O$42,$I1470&amp;" "&amp;$K1470)))&gt;0,"CERCANA","NACIONAL"))</f>
        <v/>
      </c>
      <c r="O1470" s="39">
        <f>IF($B1470="","",IF(COUNTIFS(NOVEDADES!$C$4:$C$2003,$B1470)=0,"—","SÍ ("&amp;COUNTIFS(NOVEDADES!$C$4:$C$2003,$B1470)&amp;")"))</f>
        <v/>
      </c>
    </row>
    <row r="1471">
      <c r="A1471" s="41" t="n"/>
      <c r="B1471" s="41" t="n"/>
      <c r="C1471" s="41" t="n"/>
      <c r="D1471" s="41" t="n"/>
      <c r="E1471" s="46" t="n"/>
      <c r="F1471" s="41" t="n"/>
      <c r="G1471" s="41" t="n"/>
      <c r="H1471" s="41" t="n"/>
      <c r="I1471" s="41" t="n"/>
      <c r="J1471" s="47" t="n"/>
      <c r="K1471" s="41" t="n"/>
      <c r="L1471" s="48" t="n"/>
      <c r="M1471" s="45" t="n"/>
      <c r="N1471" s="39">
        <f>IF($B1471="","",IF(SUMPRODUCT((LISTAS!$O$3:$O$42&lt;&gt;"")*ISNUMBER(SEARCH(LISTAS!$O$3:$O$42,$I1471&amp;" "&amp;$K1471)))&gt;0,"CERCANA","NACIONAL"))</f>
        <v/>
      </c>
      <c r="O1471" s="39">
        <f>IF($B1471="","",IF(COUNTIFS(NOVEDADES!$C$4:$C$2003,$B1471)=0,"—","SÍ ("&amp;COUNTIFS(NOVEDADES!$C$4:$C$2003,$B1471)&amp;")"))</f>
        <v/>
      </c>
    </row>
    <row r="1472">
      <c r="A1472" s="41" t="n"/>
      <c r="B1472" s="41" t="n"/>
      <c r="C1472" s="41" t="n"/>
      <c r="D1472" s="41" t="n"/>
      <c r="E1472" s="46" t="n"/>
      <c r="F1472" s="41" t="n"/>
      <c r="G1472" s="41" t="n"/>
      <c r="H1472" s="41" t="n"/>
      <c r="I1472" s="41" t="n"/>
      <c r="J1472" s="47" t="n"/>
      <c r="K1472" s="41" t="n"/>
      <c r="L1472" s="48" t="n"/>
      <c r="M1472" s="45" t="n"/>
      <c r="N1472" s="39">
        <f>IF($B1472="","",IF(SUMPRODUCT((LISTAS!$O$3:$O$42&lt;&gt;"")*ISNUMBER(SEARCH(LISTAS!$O$3:$O$42,$I1472&amp;" "&amp;$K1472)))&gt;0,"CERCANA","NACIONAL"))</f>
        <v/>
      </c>
      <c r="O1472" s="39">
        <f>IF($B1472="","",IF(COUNTIFS(NOVEDADES!$C$4:$C$2003,$B1472)=0,"—","SÍ ("&amp;COUNTIFS(NOVEDADES!$C$4:$C$2003,$B1472)&amp;")"))</f>
        <v/>
      </c>
    </row>
    <row r="1473">
      <c r="A1473" s="41" t="n"/>
      <c r="B1473" s="41" t="n"/>
      <c r="C1473" s="41" t="n"/>
      <c r="D1473" s="41" t="n"/>
      <c r="E1473" s="46" t="n"/>
      <c r="F1473" s="41" t="n"/>
      <c r="G1473" s="41" t="n"/>
      <c r="H1473" s="41" t="n"/>
      <c r="I1473" s="41" t="n"/>
      <c r="J1473" s="47" t="n"/>
      <c r="K1473" s="41" t="n"/>
      <c r="L1473" s="48" t="n"/>
      <c r="M1473" s="45" t="n"/>
      <c r="N1473" s="39">
        <f>IF($B1473="","",IF(SUMPRODUCT((LISTAS!$O$3:$O$42&lt;&gt;"")*ISNUMBER(SEARCH(LISTAS!$O$3:$O$42,$I1473&amp;" "&amp;$K1473)))&gt;0,"CERCANA","NACIONAL"))</f>
        <v/>
      </c>
      <c r="O1473" s="39">
        <f>IF($B1473="","",IF(COUNTIFS(NOVEDADES!$C$4:$C$2003,$B1473)=0,"—","SÍ ("&amp;COUNTIFS(NOVEDADES!$C$4:$C$2003,$B1473)&amp;")"))</f>
        <v/>
      </c>
    </row>
    <row r="1474">
      <c r="A1474" s="41" t="n"/>
      <c r="B1474" s="41" t="n"/>
      <c r="C1474" s="41" t="n"/>
      <c r="D1474" s="41" t="n"/>
      <c r="E1474" s="46" t="n"/>
      <c r="F1474" s="41" t="n"/>
      <c r="G1474" s="41" t="n"/>
      <c r="H1474" s="41" t="n"/>
      <c r="I1474" s="41" t="n"/>
      <c r="J1474" s="47" t="n"/>
      <c r="K1474" s="41" t="n"/>
      <c r="L1474" s="48" t="n"/>
      <c r="M1474" s="45" t="n"/>
      <c r="N1474" s="39">
        <f>IF($B1474="","",IF(SUMPRODUCT((LISTAS!$O$3:$O$42&lt;&gt;"")*ISNUMBER(SEARCH(LISTAS!$O$3:$O$42,$I1474&amp;" "&amp;$K1474)))&gt;0,"CERCANA","NACIONAL"))</f>
        <v/>
      </c>
      <c r="O1474" s="39">
        <f>IF($B1474="","",IF(COUNTIFS(NOVEDADES!$C$4:$C$2003,$B1474)=0,"—","SÍ ("&amp;COUNTIFS(NOVEDADES!$C$4:$C$2003,$B1474)&amp;")"))</f>
        <v/>
      </c>
    </row>
    <row r="1475">
      <c r="A1475" s="41" t="n"/>
      <c r="B1475" s="41" t="n"/>
      <c r="C1475" s="41" t="n"/>
      <c r="D1475" s="41" t="n"/>
      <c r="E1475" s="46" t="n"/>
      <c r="F1475" s="41" t="n"/>
      <c r="G1475" s="41" t="n"/>
      <c r="H1475" s="41" t="n"/>
      <c r="I1475" s="41" t="n"/>
      <c r="J1475" s="47" t="n"/>
      <c r="K1475" s="41" t="n"/>
      <c r="L1475" s="48" t="n"/>
      <c r="M1475" s="45" t="n"/>
      <c r="N1475" s="39">
        <f>IF($B1475="","",IF(SUMPRODUCT((LISTAS!$O$3:$O$42&lt;&gt;"")*ISNUMBER(SEARCH(LISTAS!$O$3:$O$42,$I1475&amp;" "&amp;$K1475)))&gt;0,"CERCANA","NACIONAL"))</f>
        <v/>
      </c>
      <c r="O1475" s="39">
        <f>IF($B1475="","",IF(COUNTIFS(NOVEDADES!$C$4:$C$2003,$B1475)=0,"—","SÍ ("&amp;COUNTIFS(NOVEDADES!$C$4:$C$2003,$B1475)&amp;")"))</f>
        <v/>
      </c>
    </row>
    <row r="1476">
      <c r="A1476" s="41" t="n"/>
      <c r="B1476" s="41" t="n"/>
      <c r="C1476" s="41" t="n"/>
      <c r="D1476" s="41" t="n"/>
      <c r="E1476" s="46" t="n"/>
      <c r="F1476" s="41" t="n"/>
      <c r="G1476" s="41" t="n"/>
      <c r="H1476" s="41" t="n"/>
      <c r="I1476" s="41" t="n"/>
      <c r="J1476" s="47" t="n"/>
      <c r="K1476" s="41" t="n"/>
      <c r="L1476" s="48" t="n"/>
      <c r="M1476" s="45" t="n"/>
      <c r="N1476" s="39">
        <f>IF($B1476="","",IF(SUMPRODUCT((LISTAS!$O$3:$O$42&lt;&gt;"")*ISNUMBER(SEARCH(LISTAS!$O$3:$O$42,$I1476&amp;" "&amp;$K1476)))&gt;0,"CERCANA","NACIONAL"))</f>
        <v/>
      </c>
      <c r="O1476" s="39">
        <f>IF($B1476="","",IF(COUNTIFS(NOVEDADES!$C$4:$C$2003,$B1476)=0,"—","SÍ ("&amp;COUNTIFS(NOVEDADES!$C$4:$C$2003,$B1476)&amp;")"))</f>
        <v/>
      </c>
    </row>
    <row r="1477">
      <c r="A1477" s="41" t="n"/>
      <c r="B1477" s="41" t="n"/>
      <c r="C1477" s="41" t="n"/>
      <c r="D1477" s="41" t="n"/>
      <c r="E1477" s="46" t="n"/>
      <c r="F1477" s="41" t="n"/>
      <c r="G1477" s="41" t="n"/>
      <c r="H1477" s="41" t="n"/>
      <c r="I1477" s="41" t="n"/>
      <c r="J1477" s="47" t="n"/>
      <c r="K1477" s="41" t="n"/>
      <c r="L1477" s="48" t="n"/>
      <c r="M1477" s="45" t="n"/>
      <c r="N1477" s="39">
        <f>IF($B1477="","",IF(SUMPRODUCT((LISTAS!$O$3:$O$42&lt;&gt;"")*ISNUMBER(SEARCH(LISTAS!$O$3:$O$42,$I1477&amp;" "&amp;$K1477)))&gt;0,"CERCANA","NACIONAL"))</f>
        <v/>
      </c>
      <c r="O1477" s="39">
        <f>IF($B1477="","",IF(COUNTIFS(NOVEDADES!$C$4:$C$2003,$B1477)=0,"—","SÍ ("&amp;COUNTIFS(NOVEDADES!$C$4:$C$2003,$B1477)&amp;")"))</f>
        <v/>
      </c>
    </row>
    <row r="1478">
      <c r="A1478" s="41" t="n"/>
      <c r="B1478" s="41" t="n"/>
      <c r="C1478" s="41" t="n"/>
      <c r="D1478" s="41" t="n"/>
      <c r="E1478" s="46" t="n"/>
      <c r="F1478" s="41" t="n"/>
      <c r="G1478" s="41" t="n"/>
      <c r="H1478" s="41" t="n"/>
      <c r="I1478" s="41" t="n"/>
      <c r="J1478" s="47" t="n"/>
      <c r="K1478" s="41" t="n"/>
      <c r="L1478" s="48" t="n"/>
      <c r="M1478" s="45" t="n"/>
      <c r="N1478" s="39">
        <f>IF($B1478="","",IF(SUMPRODUCT((LISTAS!$O$3:$O$42&lt;&gt;"")*ISNUMBER(SEARCH(LISTAS!$O$3:$O$42,$I1478&amp;" "&amp;$K1478)))&gt;0,"CERCANA","NACIONAL"))</f>
        <v/>
      </c>
      <c r="O1478" s="39">
        <f>IF($B1478="","",IF(COUNTIFS(NOVEDADES!$C$4:$C$2003,$B1478)=0,"—","SÍ ("&amp;COUNTIFS(NOVEDADES!$C$4:$C$2003,$B1478)&amp;")"))</f>
        <v/>
      </c>
    </row>
    <row r="1479">
      <c r="A1479" s="41" t="n"/>
      <c r="B1479" s="41" t="n"/>
      <c r="C1479" s="41" t="n"/>
      <c r="D1479" s="41" t="n"/>
      <c r="E1479" s="46" t="n"/>
      <c r="F1479" s="41" t="n"/>
      <c r="G1479" s="41" t="n"/>
      <c r="H1479" s="41" t="n"/>
      <c r="I1479" s="41" t="n"/>
      <c r="J1479" s="47" t="n"/>
      <c r="K1479" s="41" t="n"/>
      <c r="L1479" s="48" t="n"/>
      <c r="M1479" s="45" t="n"/>
      <c r="N1479" s="39">
        <f>IF($B1479="","",IF(SUMPRODUCT((LISTAS!$O$3:$O$42&lt;&gt;"")*ISNUMBER(SEARCH(LISTAS!$O$3:$O$42,$I1479&amp;" "&amp;$K1479)))&gt;0,"CERCANA","NACIONAL"))</f>
        <v/>
      </c>
      <c r="O1479" s="39">
        <f>IF($B1479="","",IF(COUNTIFS(NOVEDADES!$C$4:$C$2003,$B1479)=0,"—","SÍ ("&amp;COUNTIFS(NOVEDADES!$C$4:$C$2003,$B1479)&amp;")"))</f>
        <v/>
      </c>
    </row>
    <row r="1480">
      <c r="A1480" s="41" t="n"/>
      <c r="B1480" s="41" t="n"/>
      <c r="C1480" s="41" t="n"/>
      <c r="D1480" s="41" t="n"/>
      <c r="E1480" s="46" t="n"/>
      <c r="F1480" s="41" t="n"/>
      <c r="G1480" s="41" t="n"/>
      <c r="H1480" s="41" t="n"/>
      <c r="I1480" s="41" t="n"/>
      <c r="J1480" s="47" t="n"/>
      <c r="K1480" s="41" t="n"/>
      <c r="L1480" s="48" t="n"/>
      <c r="M1480" s="45" t="n"/>
      <c r="N1480" s="39">
        <f>IF($B1480="","",IF(SUMPRODUCT((LISTAS!$O$3:$O$42&lt;&gt;"")*ISNUMBER(SEARCH(LISTAS!$O$3:$O$42,$I1480&amp;" "&amp;$K1480)))&gt;0,"CERCANA","NACIONAL"))</f>
        <v/>
      </c>
      <c r="O1480" s="39">
        <f>IF($B1480="","",IF(COUNTIFS(NOVEDADES!$C$4:$C$2003,$B1480)=0,"—","SÍ ("&amp;COUNTIFS(NOVEDADES!$C$4:$C$2003,$B1480)&amp;")"))</f>
        <v/>
      </c>
    </row>
    <row r="1481">
      <c r="A1481" s="41" t="n"/>
      <c r="B1481" s="41" t="n"/>
      <c r="C1481" s="41" t="n"/>
      <c r="D1481" s="41" t="n"/>
      <c r="E1481" s="46" t="n"/>
      <c r="F1481" s="41" t="n"/>
      <c r="G1481" s="41" t="n"/>
      <c r="H1481" s="41" t="n"/>
      <c r="I1481" s="41" t="n"/>
      <c r="J1481" s="47" t="n"/>
      <c r="K1481" s="41" t="n"/>
      <c r="L1481" s="48" t="n"/>
      <c r="M1481" s="45" t="n"/>
      <c r="N1481" s="39">
        <f>IF($B1481="","",IF(SUMPRODUCT((LISTAS!$O$3:$O$42&lt;&gt;"")*ISNUMBER(SEARCH(LISTAS!$O$3:$O$42,$I1481&amp;" "&amp;$K1481)))&gt;0,"CERCANA","NACIONAL"))</f>
        <v/>
      </c>
      <c r="O1481" s="39">
        <f>IF($B1481="","",IF(COUNTIFS(NOVEDADES!$C$4:$C$2003,$B1481)=0,"—","SÍ ("&amp;COUNTIFS(NOVEDADES!$C$4:$C$2003,$B1481)&amp;")"))</f>
        <v/>
      </c>
    </row>
    <row r="1482">
      <c r="A1482" s="41" t="n"/>
      <c r="B1482" s="41" t="n"/>
      <c r="C1482" s="41" t="n"/>
      <c r="D1482" s="41" t="n"/>
      <c r="E1482" s="46" t="n"/>
      <c r="F1482" s="41" t="n"/>
      <c r="G1482" s="41" t="n"/>
      <c r="H1482" s="41" t="n"/>
      <c r="I1482" s="41" t="n"/>
      <c r="J1482" s="47" t="n"/>
      <c r="K1482" s="41" t="n"/>
      <c r="L1482" s="48" t="n"/>
      <c r="M1482" s="45" t="n"/>
      <c r="N1482" s="39">
        <f>IF($B1482="","",IF(SUMPRODUCT((LISTAS!$O$3:$O$42&lt;&gt;"")*ISNUMBER(SEARCH(LISTAS!$O$3:$O$42,$I1482&amp;" "&amp;$K1482)))&gt;0,"CERCANA","NACIONAL"))</f>
        <v/>
      </c>
      <c r="O1482" s="39">
        <f>IF($B1482="","",IF(COUNTIFS(NOVEDADES!$C$4:$C$2003,$B1482)=0,"—","SÍ ("&amp;COUNTIFS(NOVEDADES!$C$4:$C$2003,$B1482)&amp;")"))</f>
        <v/>
      </c>
    </row>
    <row r="1483">
      <c r="A1483" s="41" t="n"/>
      <c r="B1483" s="41" t="n"/>
      <c r="C1483" s="41" t="n"/>
      <c r="D1483" s="41" t="n"/>
      <c r="E1483" s="46" t="n"/>
      <c r="F1483" s="41" t="n"/>
      <c r="G1483" s="41" t="n"/>
      <c r="H1483" s="41" t="n"/>
      <c r="I1483" s="41" t="n"/>
      <c r="J1483" s="47" t="n"/>
      <c r="K1483" s="41" t="n"/>
      <c r="L1483" s="48" t="n"/>
      <c r="M1483" s="45" t="n"/>
      <c r="N1483" s="39">
        <f>IF($B1483="","",IF(SUMPRODUCT((LISTAS!$O$3:$O$42&lt;&gt;"")*ISNUMBER(SEARCH(LISTAS!$O$3:$O$42,$I1483&amp;" "&amp;$K1483)))&gt;0,"CERCANA","NACIONAL"))</f>
        <v/>
      </c>
      <c r="O1483" s="39">
        <f>IF($B1483="","",IF(COUNTIFS(NOVEDADES!$C$4:$C$2003,$B1483)=0,"—","SÍ ("&amp;COUNTIFS(NOVEDADES!$C$4:$C$2003,$B1483)&amp;")"))</f>
        <v/>
      </c>
    </row>
    <row r="1484">
      <c r="A1484" s="41" t="n"/>
      <c r="B1484" s="41" t="n"/>
      <c r="C1484" s="41" t="n"/>
      <c r="D1484" s="41" t="n"/>
      <c r="E1484" s="46" t="n"/>
      <c r="F1484" s="41" t="n"/>
      <c r="G1484" s="41" t="n"/>
      <c r="H1484" s="41" t="n"/>
      <c r="I1484" s="41" t="n"/>
      <c r="J1484" s="47" t="n"/>
      <c r="K1484" s="41" t="n"/>
      <c r="L1484" s="48" t="n"/>
      <c r="M1484" s="45" t="n"/>
      <c r="N1484" s="39">
        <f>IF($B1484="","",IF(SUMPRODUCT((LISTAS!$O$3:$O$42&lt;&gt;"")*ISNUMBER(SEARCH(LISTAS!$O$3:$O$42,$I1484&amp;" "&amp;$K1484)))&gt;0,"CERCANA","NACIONAL"))</f>
        <v/>
      </c>
      <c r="O1484" s="39">
        <f>IF($B1484="","",IF(COUNTIFS(NOVEDADES!$C$4:$C$2003,$B1484)=0,"—","SÍ ("&amp;COUNTIFS(NOVEDADES!$C$4:$C$2003,$B1484)&amp;")"))</f>
        <v/>
      </c>
    </row>
    <row r="1485">
      <c r="A1485" s="41" t="n"/>
      <c r="B1485" s="41" t="n"/>
      <c r="C1485" s="41" t="n"/>
      <c r="D1485" s="41" t="n"/>
      <c r="E1485" s="46" t="n"/>
      <c r="F1485" s="41" t="n"/>
      <c r="G1485" s="41" t="n"/>
      <c r="H1485" s="41" t="n"/>
      <c r="I1485" s="41" t="n"/>
      <c r="J1485" s="47" t="n"/>
      <c r="K1485" s="41" t="n"/>
      <c r="L1485" s="48" t="n"/>
      <c r="M1485" s="45" t="n"/>
      <c r="N1485" s="39">
        <f>IF($B1485="","",IF(SUMPRODUCT((LISTAS!$O$3:$O$42&lt;&gt;"")*ISNUMBER(SEARCH(LISTAS!$O$3:$O$42,$I1485&amp;" "&amp;$K1485)))&gt;0,"CERCANA","NACIONAL"))</f>
        <v/>
      </c>
      <c r="O1485" s="39">
        <f>IF($B1485="","",IF(COUNTIFS(NOVEDADES!$C$4:$C$2003,$B1485)=0,"—","SÍ ("&amp;COUNTIFS(NOVEDADES!$C$4:$C$2003,$B1485)&amp;")"))</f>
        <v/>
      </c>
    </row>
    <row r="1486">
      <c r="A1486" s="41" t="n"/>
      <c r="B1486" s="41" t="n"/>
      <c r="C1486" s="41" t="n"/>
      <c r="D1486" s="41" t="n"/>
      <c r="E1486" s="46" t="n"/>
      <c r="F1486" s="41" t="n"/>
      <c r="G1486" s="41" t="n"/>
      <c r="H1486" s="41" t="n"/>
      <c r="I1486" s="41" t="n"/>
      <c r="J1486" s="47" t="n"/>
      <c r="K1486" s="41" t="n"/>
      <c r="L1486" s="48" t="n"/>
      <c r="M1486" s="45" t="n"/>
      <c r="N1486" s="39">
        <f>IF($B1486="","",IF(SUMPRODUCT((LISTAS!$O$3:$O$42&lt;&gt;"")*ISNUMBER(SEARCH(LISTAS!$O$3:$O$42,$I1486&amp;" "&amp;$K1486)))&gt;0,"CERCANA","NACIONAL"))</f>
        <v/>
      </c>
      <c r="O1486" s="39">
        <f>IF($B1486="","",IF(COUNTIFS(NOVEDADES!$C$4:$C$2003,$B1486)=0,"—","SÍ ("&amp;COUNTIFS(NOVEDADES!$C$4:$C$2003,$B1486)&amp;")"))</f>
        <v/>
      </c>
    </row>
    <row r="1487">
      <c r="A1487" s="41" t="n"/>
      <c r="B1487" s="41" t="n"/>
      <c r="C1487" s="41" t="n"/>
      <c r="D1487" s="41" t="n"/>
      <c r="E1487" s="46" t="n"/>
      <c r="F1487" s="41" t="n"/>
      <c r="G1487" s="41" t="n"/>
      <c r="H1487" s="41" t="n"/>
      <c r="I1487" s="41" t="n"/>
      <c r="J1487" s="47" t="n"/>
      <c r="K1487" s="41" t="n"/>
      <c r="L1487" s="48" t="n"/>
      <c r="M1487" s="45" t="n"/>
      <c r="N1487" s="39">
        <f>IF($B1487="","",IF(SUMPRODUCT((LISTAS!$O$3:$O$42&lt;&gt;"")*ISNUMBER(SEARCH(LISTAS!$O$3:$O$42,$I1487&amp;" "&amp;$K1487)))&gt;0,"CERCANA","NACIONAL"))</f>
        <v/>
      </c>
      <c r="O1487" s="39">
        <f>IF($B1487="","",IF(COUNTIFS(NOVEDADES!$C$4:$C$2003,$B1487)=0,"—","SÍ ("&amp;COUNTIFS(NOVEDADES!$C$4:$C$2003,$B1487)&amp;")"))</f>
        <v/>
      </c>
    </row>
    <row r="1488">
      <c r="A1488" s="41" t="n"/>
      <c r="B1488" s="41" t="n"/>
      <c r="C1488" s="41" t="n"/>
      <c r="D1488" s="41" t="n"/>
      <c r="E1488" s="46" t="n"/>
      <c r="F1488" s="41" t="n"/>
      <c r="G1488" s="41" t="n"/>
      <c r="H1488" s="41" t="n"/>
      <c r="I1488" s="41" t="n"/>
      <c r="J1488" s="47" t="n"/>
      <c r="K1488" s="41" t="n"/>
      <c r="L1488" s="48" t="n"/>
      <c r="M1488" s="45" t="n"/>
      <c r="N1488" s="39">
        <f>IF($B1488="","",IF(SUMPRODUCT((LISTAS!$O$3:$O$42&lt;&gt;"")*ISNUMBER(SEARCH(LISTAS!$O$3:$O$42,$I1488&amp;" "&amp;$K1488)))&gt;0,"CERCANA","NACIONAL"))</f>
        <v/>
      </c>
      <c r="O1488" s="39">
        <f>IF($B1488="","",IF(COUNTIFS(NOVEDADES!$C$4:$C$2003,$B1488)=0,"—","SÍ ("&amp;COUNTIFS(NOVEDADES!$C$4:$C$2003,$B1488)&amp;")"))</f>
        <v/>
      </c>
    </row>
    <row r="1489">
      <c r="A1489" s="41" t="n"/>
      <c r="B1489" s="41" t="n"/>
      <c r="C1489" s="41" t="n"/>
      <c r="D1489" s="41" t="n"/>
      <c r="E1489" s="46" t="n"/>
      <c r="F1489" s="41" t="n"/>
      <c r="G1489" s="41" t="n"/>
      <c r="H1489" s="41" t="n"/>
      <c r="I1489" s="41" t="n"/>
      <c r="J1489" s="47" t="n"/>
      <c r="K1489" s="41" t="n"/>
      <c r="L1489" s="48" t="n"/>
      <c r="M1489" s="45" t="n"/>
      <c r="N1489" s="39">
        <f>IF($B1489="","",IF(SUMPRODUCT((LISTAS!$O$3:$O$42&lt;&gt;"")*ISNUMBER(SEARCH(LISTAS!$O$3:$O$42,$I1489&amp;" "&amp;$K1489)))&gt;0,"CERCANA","NACIONAL"))</f>
        <v/>
      </c>
      <c r="O1489" s="39">
        <f>IF($B1489="","",IF(COUNTIFS(NOVEDADES!$C$4:$C$2003,$B1489)=0,"—","SÍ ("&amp;COUNTIFS(NOVEDADES!$C$4:$C$2003,$B1489)&amp;")"))</f>
        <v/>
      </c>
    </row>
    <row r="1490">
      <c r="A1490" s="41" t="n"/>
      <c r="B1490" s="41" t="n"/>
      <c r="C1490" s="41" t="n"/>
      <c r="D1490" s="41" t="n"/>
      <c r="E1490" s="46" t="n"/>
      <c r="F1490" s="41" t="n"/>
      <c r="G1490" s="41" t="n"/>
      <c r="H1490" s="41" t="n"/>
      <c r="I1490" s="41" t="n"/>
      <c r="J1490" s="47" t="n"/>
      <c r="K1490" s="41" t="n"/>
      <c r="L1490" s="48" t="n"/>
      <c r="M1490" s="45" t="n"/>
      <c r="N1490" s="39">
        <f>IF($B1490="","",IF(SUMPRODUCT((LISTAS!$O$3:$O$42&lt;&gt;"")*ISNUMBER(SEARCH(LISTAS!$O$3:$O$42,$I1490&amp;" "&amp;$K1490)))&gt;0,"CERCANA","NACIONAL"))</f>
        <v/>
      </c>
      <c r="O1490" s="39">
        <f>IF($B1490="","",IF(COUNTIFS(NOVEDADES!$C$4:$C$2003,$B1490)=0,"—","SÍ ("&amp;COUNTIFS(NOVEDADES!$C$4:$C$2003,$B1490)&amp;")"))</f>
        <v/>
      </c>
    </row>
    <row r="1491">
      <c r="A1491" s="41" t="n"/>
      <c r="B1491" s="41" t="n"/>
      <c r="C1491" s="41" t="n"/>
      <c r="D1491" s="41" t="n"/>
      <c r="E1491" s="46" t="n"/>
      <c r="F1491" s="41" t="n"/>
      <c r="G1491" s="41" t="n"/>
      <c r="H1491" s="41" t="n"/>
      <c r="I1491" s="41" t="n"/>
      <c r="J1491" s="47" t="n"/>
      <c r="K1491" s="41" t="n"/>
      <c r="L1491" s="48" t="n"/>
      <c r="M1491" s="45" t="n"/>
      <c r="N1491" s="39">
        <f>IF($B1491="","",IF(SUMPRODUCT((LISTAS!$O$3:$O$42&lt;&gt;"")*ISNUMBER(SEARCH(LISTAS!$O$3:$O$42,$I1491&amp;" "&amp;$K1491)))&gt;0,"CERCANA","NACIONAL"))</f>
        <v/>
      </c>
      <c r="O1491" s="39">
        <f>IF($B1491="","",IF(COUNTIFS(NOVEDADES!$C$4:$C$2003,$B1491)=0,"—","SÍ ("&amp;COUNTIFS(NOVEDADES!$C$4:$C$2003,$B1491)&amp;")"))</f>
        <v/>
      </c>
    </row>
    <row r="1492">
      <c r="A1492" s="41" t="n"/>
      <c r="B1492" s="41" t="n"/>
      <c r="C1492" s="41" t="n"/>
      <c r="D1492" s="41" t="n"/>
      <c r="E1492" s="46" t="n"/>
      <c r="F1492" s="41" t="n"/>
      <c r="G1492" s="41" t="n"/>
      <c r="H1492" s="41" t="n"/>
      <c r="I1492" s="41" t="n"/>
      <c r="J1492" s="47" t="n"/>
      <c r="K1492" s="41" t="n"/>
      <c r="L1492" s="48" t="n"/>
      <c r="M1492" s="45" t="n"/>
      <c r="N1492" s="39">
        <f>IF($B1492="","",IF(SUMPRODUCT((LISTAS!$O$3:$O$42&lt;&gt;"")*ISNUMBER(SEARCH(LISTAS!$O$3:$O$42,$I1492&amp;" "&amp;$K1492)))&gt;0,"CERCANA","NACIONAL"))</f>
        <v/>
      </c>
      <c r="O1492" s="39">
        <f>IF($B1492="","",IF(COUNTIFS(NOVEDADES!$C$4:$C$2003,$B1492)=0,"—","SÍ ("&amp;COUNTIFS(NOVEDADES!$C$4:$C$2003,$B1492)&amp;")"))</f>
        <v/>
      </c>
    </row>
    <row r="1493">
      <c r="A1493" s="41" t="n"/>
      <c r="B1493" s="41" t="n"/>
      <c r="C1493" s="41" t="n"/>
      <c r="D1493" s="41" t="n"/>
      <c r="E1493" s="46" t="n"/>
      <c r="F1493" s="41" t="n"/>
      <c r="G1493" s="41" t="n"/>
      <c r="H1493" s="41" t="n"/>
      <c r="I1493" s="41" t="n"/>
      <c r="J1493" s="47" t="n"/>
      <c r="K1493" s="41" t="n"/>
      <c r="L1493" s="48" t="n"/>
      <c r="M1493" s="45" t="n"/>
      <c r="N1493" s="39">
        <f>IF($B1493="","",IF(SUMPRODUCT((LISTAS!$O$3:$O$42&lt;&gt;"")*ISNUMBER(SEARCH(LISTAS!$O$3:$O$42,$I1493&amp;" "&amp;$K1493)))&gt;0,"CERCANA","NACIONAL"))</f>
        <v/>
      </c>
      <c r="O1493" s="39">
        <f>IF($B1493="","",IF(COUNTIFS(NOVEDADES!$C$4:$C$2003,$B1493)=0,"—","SÍ ("&amp;COUNTIFS(NOVEDADES!$C$4:$C$2003,$B1493)&amp;")"))</f>
        <v/>
      </c>
    </row>
    <row r="1494">
      <c r="A1494" s="41" t="n"/>
      <c r="B1494" s="41" t="n"/>
      <c r="C1494" s="41" t="n"/>
      <c r="D1494" s="41" t="n"/>
      <c r="E1494" s="46" t="n"/>
      <c r="F1494" s="41" t="n"/>
      <c r="G1494" s="41" t="n"/>
      <c r="H1494" s="41" t="n"/>
      <c r="I1494" s="41" t="n"/>
      <c r="J1494" s="47" t="n"/>
      <c r="K1494" s="41" t="n"/>
      <c r="L1494" s="48" t="n"/>
      <c r="M1494" s="45" t="n"/>
      <c r="N1494" s="39">
        <f>IF($B1494="","",IF(SUMPRODUCT((LISTAS!$O$3:$O$42&lt;&gt;"")*ISNUMBER(SEARCH(LISTAS!$O$3:$O$42,$I1494&amp;" "&amp;$K1494)))&gt;0,"CERCANA","NACIONAL"))</f>
        <v/>
      </c>
      <c r="O1494" s="39">
        <f>IF($B1494="","",IF(COUNTIFS(NOVEDADES!$C$4:$C$2003,$B1494)=0,"—","SÍ ("&amp;COUNTIFS(NOVEDADES!$C$4:$C$2003,$B1494)&amp;")"))</f>
        <v/>
      </c>
    </row>
    <row r="1495">
      <c r="A1495" s="41" t="n"/>
      <c r="B1495" s="41" t="n"/>
      <c r="C1495" s="41" t="n"/>
      <c r="D1495" s="41" t="n"/>
      <c r="E1495" s="46" t="n"/>
      <c r="F1495" s="41" t="n"/>
      <c r="G1495" s="41" t="n"/>
      <c r="H1495" s="41" t="n"/>
      <c r="I1495" s="41" t="n"/>
      <c r="J1495" s="47" t="n"/>
      <c r="K1495" s="41" t="n"/>
      <c r="L1495" s="48" t="n"/>
      <c r="M1495" s="45" t="n"/>
      <c r="N1495" s="39">
        <f>IF($B1495="","",IF(SUMPRODUCT((LISTAS!$O$3:$O$42&lt;&gt;"")*ISNUMBER(SEARCH(LISTAS!$O$3:$O$42,$I1495&amp;" "&amp;$K1495)))&gt;0,"CERCANA","NACIONAL"))</f>
        <v/>
      </c>
      <c r="O1495" s="39">
        <f>IF($B1495="","",IF(COUNTIFS(NOVEDADES!$C$4:$C$2003,$B1495)=0,"—","SÍ ("&amp;COUNTIFS(NOVEDADES!$C$4:$C$2003,$B1495)&amp;")"))</f>
        <v/>
      </c>
    </row>
    <row r="1496">
      <c r="A1496" s="41" t="n"/>
      <c r="B1496" s="41" t="n"/>
      <c r="C1496" s="41" t="n"/>
      <c r="D1496" s="41" t="n"/>
      <c r="E1496" s="46" t="n"/>
      <c r="F1496" s="41" t="n"/>
      <c r="G1496" s="41" t="n"/>
      <c r="H1496" s="41" t="n"/>
      <c r="I1496" s="41" t="n"/>
      <c r="J1496" s="47" t="n"/>
      <c r="K1496" s="41" t="n"/>
      <c r="L1496" s="48" t="n"/>
      <c r="M1496" s="45" t="n"/>
      <c r="N1496" s="39">
        <f>IF($B1496="","",IF(SUMPRODUCT((LISTAS!$O$3:$O$42&lt;&gt;"")*ISNUMBER(SEARCH(LISTAS!$O$3:$O$42,$I1496&amp;" "&amp;$K1496)))&gt;0,"CERCANA","NACIONAL"))</f>
        <v/>
      </c>
      <c r="O1496" s="39">
        <f>IF($B1496="","",IF(COUNTIFS(NOVEDADES!$C$4:$C$2003,$B1496)=0,"—","SÍ ("&amp;COUNTIFS(NOVEDADES!$C$4:$C$2003,$B1496)&amp;")"))</f>
        <v/>
      </c>
    </row>
    <row r="1497">
      <c r="A1497" s="41" t="n"/>
      <c r="B1497" s="41" t="n"/>
      <c r="C1497" s="41" t="n"/>
      <c r="D1497" s="41" t="n"/>
      <c r="E1497" s="46" t="n"/>
      <c r="F1497" s="41" t="n"/>
      <c r="G1497" s="41" t="n"/>
      <c r="H1497" s="41" t="n"/>
      <c r="I1497" s="41" t="n"/>
      <c r="J1497" s="47" t="n"/>
      <c r="K1497" s="41" t="n"/>
      <c r="L1497" s="48" t="n"/>
      <c r="M1497" s="45" t="n"/>
      <c r="N1497" s="39">
        <f>IF($B1497="","",IF(SUMPRODUCT((LISTAS!$O$3:$O$42&lt;&gt;"")*ISNUMBER(SEARCH(LISTAS!$O$3:$O$42,$I1497&amp;" "&amp;$K1497)))&gt;0,"CERCANA","NACIONAL"))</f>
        <v/>
      </c>
      <c r="O1497" s="39">
        <f>IF($B1497="","",IF(COUNTIFS(NOVEDADES!$C$4:$C$2003,$B1497)=0,"—","SÍ ("&amp;COUNTIFS(NOVEDADES!$C$4:$C$2003,$B1497)&amp;")"))</f>
        <v/>
      </c>
    </row>
    <row r="1498">
      <c r="A1498" s="41" t="n"/>
      <c r="B1498" s="41" t="n"/>
      <c r="C1498" s="41" t="n"/>
      <c r="D1498" s="41" t="n"/>
      <c r="E1498" s="46" t="n"/>
      <c r="F1498" s="41" t="n"/>
      <c r="G1498" s="41" t="n"/>
      <c r="H1498" s="41" t="n"/>
      <c r="I1498" s="41" t="n"/>
      <c r="J1498" s="47" t="n"/>
      <c r="K1498" s="41" t="n"/>
      <c r="L1498" s="48" t="n"/>
      <c r="M1498" s="45" t="n"/>
      <c r="N1498" s="39">
        <f>IF($B1498="","",IF(SUMPRODUCT((LISTAS!$O$3:$O$42&lt;&gt;"")*ISNUMBER(SEARCH(LISTAS!$O$3:$O$42,$I1498&amp;" "&amp;$K1498)))&gt;0,"CERCANA","NACIONAL"))</f>
        <v/>
      </c>
      <c r="O1498" s="39">
        <f>IF($B1498="","",IF(COUNTIFS(NOVEDADES!$C$4:$C$2003,$B1498)=0,"—","SÍ ("&amp;COUNTIFS(NOVEDADES!$C$4:$C$2003,$B1498)&amp;")"))</f>
        <v/>
      </c>
    </row>
    <row r="1499">
      <c r="A1499" s="41" t="n"/>
      <c r="B1499" s="41" t="n"/>
      <c r="C1499" s="41" t="n"/>
      <c r="D1499" s="41" t="n"/>
      <c r="E1499" s="46" t="n"/>
      <c r="F1499" s="41" t="n"/>
      <c r="G1499" s="41" t="n"/>
      <c r="H1499" s="41" t="n"/>
      <c r="I1499" s="41" t="n"/>
      <c r="J1499" s="47" t="n"/>
      <c r="K1499" s="41" t="n"/>
      <c r="L1499" s="48" t="n"/>
      <c r="M1499" s="45" t="n"/>
      <c r="N1499" s="39">
        <f>IF($B1499="","",IF(SUMPRODUCT((LISTAS!$O$3:$O$42&lt;&gt;"")*ISNUMBER(SEARCH(LISTAS!$O$3:$O$42,$I1499&amp;" "&amp;$K1499)))&gt;0,"CERCANA","NACIONAL"))</f>
        <v/>
      </c>
      <c r="O1499" s="39">
        <f>IF($B1499="","",IF(COUNTIFS(NOVEDADES!$C$4:$C$2003,$B1499)=0,"—","SÍ ("&amp;COUNTIFS(NOVEDADES!$C$4:$C$2003,$B1499)&amp;")"))</f>
        <v/>
      </c>
    </row>
    <row r="1500">
      <c r="A1500" s="41" t="n"/>
      <c r="B1500" s="41" t="n"/>
      <c r="C1500" s="41" t="n"/>
      <c r="D1500" s="41" t="n"/>
      <c r="E1500" s="46" t="n"/>
      <c r="F1500" s="41" t="n"/>
      <c r="G1500" s="41" t="n"/>
      <c r="H1500" s="41" t="n"/>
      <c r="I1500" s="41" t="n"/>
      <c r="J1500" s="47" t="n"/>
      <c r="K1500" s="41" t="n"/>
      <c r="L1500" s="48" t="n"/>
      <c r="M1500" s="45" t="n"/>
      <c r="N1500" s="39">
        <f>IF($B1500="","",IF(SUMPRODUCT((LISTAS!$O$3:$O$42&lt;&gt;"")*ISNUMBER(SEARCH(LISTAS!$O$3:$O$42,$I1500&amp;" "&amp;$K1500)))&gt;0,"CERCANA","NACIONAL"))</f>
        <v/>
      </c>
      <c r="O1500" s="39">
        <f>IF($B1500="","",IF(COUNTIFS(NOVEDADES!$C$4:$C$2003,$B1500)=0,"—","SÍ ("&amp;COUNTIFS(NOVEDADES!$C$4:$C$2003,$B1500)&amp;")"))</f>
        <v/>
      </c>
    </row>
    <row r="1501">
      <c r="A1501" s="41" t="n"/>
      <c r="B1501" s="41" t="n"/>
      <c r="C1501" s="41" t="n"/>
      <c r="D1501" s="41" t="n"/>
      <c r="E1501" s="46" t="n"/>
      <c r="F1501" s="41" t="n"/>
      <c r="G1501" s="41" t="n"/>
      <c r="H1501" s="41" t="n"/>
      <c r="I1501" s="41" t="n"/>
      <c r="J1501" s="47" t="n"/>
      <c r="K1501" s="41" t="n"/>
      <c r="L1501" s="48" t="n"/>
      <c r="M1501" s="45" t="n"/>
      <c r="N1501" s="39">
        <f>IF($B1501="","",IF(SUMPRODUCT((LISTAS!$O$3:$O$42&lt;&gt;"")*ISNUMBER(SEARCH(LISTAS!$O$3:$O$42,$I1501&amp;" "&amp;$K1501)))&gt;0,"CERCANA","NACIONAL"))</f>
        <v/>
      </c>
      <c r="O1501" s="39">
        <f>IF($B1501="","",IF(COUNTIFS(NOVEDADES!$C$4:$C$2003,$B1501)=0,"—","SÍ ("&amp;COUNTIFS(NOVEDADES!$C$4:$C$2003,$B1501)&amp;")"))</f>
        <v/>
      </c>
    </row>
    <row r="1502">
      <c r="A1502" s="41" t="n"/>
      <c r="B1502" s="41" t="n"/>
      <c r="C1502" s="41" t="n"/>
      <c r="D1502" s="41" t="n"/>
      <c r="E1502" s="46" t="n"/>
      <c r="F1502" s="41" t="n"/>
      <c r="G1502" s="41" t="n"/>
      <c r="H1502" s="41" t="n"/>
      <c r="I1502" s="41" t="n"/>
      <c r="J1502" s="47" t="n"/>
      <c r="K1502" s="41" t="n"/>
      <c r="L1502" s="48" t="n"/>
      <c r="M1502" s="45" t="n"/>
      <c r="N1502" s="39">
        <f>IF($B1502="","",IF(SUMPRODUCT((LISTAS!$O$3:$O$42&lt;&gt;"")*ISNUMBER(SEARCH(LISTAS!$O$3:$O$42,$I1502&amp;" "&amp;$K1502)))&gt;0,"CERCANA","NACIONAL"))</f>
        <v/>
      </c>
      <c r="O1502" s="39">
        <f>IF($B1502="","",IF(COUNTIFS(NOVEDADES!$C$4:$C$2003,$B1502)=0,"—","SÍ ("&amp;COUNTIFS(NOVEDADES!$C$4:$C$2003,$B1502)&amp;")"))</f>
        <v/>
      </c>
    </row>
    <row r="1503">
      <c r="A1503" s="41" t="n"/>
      <c r="B1503" s="41" t="n"/>
      <c r="C1503" s="41" t="n"/>
      <c r="D1503" s="41" t="n"/>
      <c r="E1503" s="46" t="n"/>
      <c r="F1503" s="41" t="n"/>
      <c r="G1503" s="41" t="n"/>
      <c r="H1503" s="41" t="n"/>
      <c r="I1503" s="41" t="n"/>
      <c r="J1503" s="47" t="n"/>
      <c r="K1503" s="41" t="n"/>
      <c r="L1503" s="48" t="n"/>
      <c r="M1503" s="45" t="n"/>
      <c r="N1503" s="39">
        <f>IF($B1503="","",IF(SUMPRODUCT((LISTAS!$O$3:$O$42&lt;&gt;"")*ISNUMBER(SEARCH(LISTAS!$O$3:$O$42,$I1503&amp;" "&amp;$K1503)))&gt;0,"CERCANA","NACIONAL"))</f>
        <v/>
      </c>
      <c r="O1503" s="39">
        <f>IF($B1503="","",IF(COUNTIFS(NOVEDADES!$C$4:$C$2003,$B1503)=0,"—","SÍ ("&amp;COUNTIFS(NOVEDADES!$C$4:$C$2003,$B1503)&amp;")"))</f>
        <v/>
      </c>
    </row>
    <row r="1504">
      <c r="A1504" s="41" t="n"/>
      <c r="B1504" s="41" t="n"/>
      <c r="C1504" s="41" t="n"/>
      <c r="D1504" s="41" t="n"/>
      <c r="E1504" s="46" t="n"/>
      <c r="F1504" s="41" t="n"/>
      <c r="G1504" s="41" t="n"/>
      <c r="H1504" s="41" t="n"/>
      <c r="I1504" s="41" t="n"/>
      <c r="J1504" s="47" t="n"/>
      <c r="K1504" s="41" t="n"/>
      <c r="L1504" s="48" t="n"/>
      <c r="M1504" s="45" t="n"/>
      <c r="N1504" s="39">
        <f>IF($B1504="","",IF(SUMPRODUCT((LISTAS!$O$3:$O$42&lt;&gt;"")*ISNUMBER(SEARCH(LISTAS!$O$3:$O$42,$I1504&amp;" "&amp;$K1504)))&gt;0,"CERCANA","NACIONAL"))</f>
        <v/>
      </c>
      <c r="O1504" s="39">
        <f>IF($B1504="","",IF(COUNTIFS(NOVEDADES!$C$4:$C$2003,$B1504)=0,"—","SÍ ("&amp;COUNTIFS(NOVEDADES!$C$4:$C$2003,$B1504)&amp;")"))</f>
        <v/>
      </c>
    </row>
    <row r="1505">
      <c r="A1505" s="41" t="n"/>
      <c r="B1505" s="41" t="n"/>
      <c r="C1505" s="41" t="n"/>
      <c r="D1505" s="41" t="n"/>
      <c r="E1505" s="46" t="n"/>
      <c r="F1505" s="41" t="n"/>
      <c r="G1505" s="41" t="n"/>
      <c r="H1505" s="41" t="n"/>
      <c r="I1505" s="41" t="n"/>
      <c r="J1505" s="47" t="n"/>
      <c r="K1505" s="41" t="n"/>
      <c r="L1505" s="48" t="n"/>
      <c r="M1505" s="45" t="n"/>
      <c r="N1505" s="39">
        <f>IF($B1505="","",IF(SUMPRODUCT((LISTAS!$O$3:$O$42&lt;&gt;"")*ISNUMBER(SEARCH(LISTAS!$O$3:$O$42,$I1505&amp;" "&amp;$K1505)))&gt;0,"CERCANA","NACIONAL"))</f>
        <v/>
      </c>
      <c r="O1505" s="39">
        <f>IF($B1505="","",IF(COUNTIFS(NOVEDADES!$C$4:$C$2003,$B1505)=0,"—","SÍ ("&amp;COUNTIFS(NOVEDADES!$C$4:$C$2003,$B1505)&amp;")"))</f>
        <v/>
      </c>
    </row>
    <row r="1506">
      <c r="A1506" s="41" t="n"/>
      <c r="B1506" s="41" t="n"/>
      <c r="C1506" s="41" t="n"/>
      <c r="D1506" s="41" t="n"/>
      <c r="E1506" s="46" t="n"/>
      <c r="F1506" s="41" t="n"/>
      <c r="G1506" s="41" t="n"/>
      <c r="H1506" s="41" t="n"/>
      <c r="I1506" s="41" t="n"/>
      <c r="J1506" s="47" t="n"/>
      <c r="K1506" s="41" t="n"/>
      <c r="L1506" s="48" t="n"/>
      <c r="M1506" s="45" t="n"/>
      <c r="N1506" s="39">
        <f>IF($B1506="","",IF(SUMPRODUCT((LISTAS!$O$3:$O$42&lt;&gt;"")*ISNUMBER(SEARCH(LISTAS!$O$3:$O$42,$I1506&amp;" "&amp;$K1506)))&gt;0,"CERCANA","NACIONAL"))</f>
        <v/>
      </c>
      <c r="O1506" s="39">
        <f>IF($B1506="","",IF(COUNTIFS(NOVEDADES!$C$4:$C$2003,$B1506)=0,"—","SÍ ("&amp;COUNTIFS(NOVEDADES!$C$4:$C$2003,$B1506)&amp;")"))</f>
        <v/>
      </c>
    </row>
    <row r="1507">
      <c r="A1507" s="41" t="n"/>
      <c r="B1507" s="41" t="n"/>
      <c r="C1507" s="41" t="n"/>
      <c r="D1507" s="41" t="n"/>
      <c r="E1507" s="46" t="n"/>
      <c r="F1507" s="41" t="n"/>
      <c r="G1507" s="41" t="n"/>
      <c r="H1507" s="41" t="n"/>
      <c r="I1507" s="41" t="n"/>
      <c r="J1507" s="47" t="n"/>
      <c r="K1507" s="41" t="n"/>
      <c r="L1507" s="48" t="n"/>
      <c r="M1507" s="45" t="n"/>
      <c r="N1507" s="39">
        <f>IF($B1507="","",IF(SUMPRODUCT((LISTAS!$O$3:$O$42&lt;&gt;"")*ISNUMBER(SEARCH(LISTAS!$O$3:$O$42,$I1507&amp;" "&amp;$K1507)))&gt;0,"CERCANA","NACIONAL"))</f>
        <v/>
      </c>
      <c r="O1507" s="39">
        <f>IF($B1507="","",IF(COUNTIFS(NOVEDADES!$C$4:$C$2003,$B1507)=0,"—","SÍ ("&amp;COUNTIFS(NOVEDADES!$C$4:$C$2003,$B1507)&amp;")"))</f>
        <v/>
      </c>
    </row>
    <row r="1508">
      <c r="A1508" s="41" t="n"/>
      <c r="B1508" s="41" t="n"/>
      <c r="C1508" s="41" t="n"/>
      <c r="D1508" s="41" t="n"/>
      <c r="E1508" s="46" t="n"/>
      <c r="F1508" s="41" t="n"/>
      <c r="G1508" s="41" t="n"/>
      <c r="H1508" s="41" t="n"/>
      <c r="I1508" s="41" t="n"/>
      <c r="J1508" s="47" t="n"/>
      <c r="K1508" s="41" t="n"/>
      <c r="L1508" s="48" t="n"/>
      <c r="M1508" s="45" t="n"/>
      <c r="N1508" s="39">
        <f>IF($B1508="","",IF(SUMPRODUCT((LISTAS!$O$3:$O$42&lt;&gt;"")*ISNUMBER(SEARCH(LISTAS!$O$3:$O$42,$I1508&amp;" "&amp;$K1508)))&gt;0,"CERCANA","NACIONAL"))</f>
        <v/>
      </c>
      <c r="O1508" s="39">
        <f>IF($B1508="","",IF(COUNTIFS(NOVEDADES!$C$4:$C$2003,$B1508)=0,"—","SÍ ("&amp;COUNTIFS(NOVEDADES!$C$4:$C$2003,$B1508)&amp;")"))</f>
        <v/>
      </c>
    </row>
    <row r="1509">
      <c r="A1509" s="41" t="n"/>
      <c r="B1509" s="41" t="n"/>
      <c r="C1509" s="41" t="n"/>
      <c r="D1509" s="41" t="n"/>
      <c r="E1509" s="46" t="n"/>
      <c r="F1509" s="41" t="n"/>
      <c r="G1509" s="41" t="n"/>
      <c r="H1509" s="41" t="n"/>
      <c r="I1509" s="41" t="n"/>
      <c r="J1509" s="47" t="n"/>
      <c r="K1509" s="41" t="n"/>
      <c r="L1509" s="48" t="n"/>
      <c r="M1509" s="45" t="n"/>
      <c r="N1509" s="39">
        <f>IF($B1509="","",IF(SUMPRODUCT((LISTAS!$O$3:$O$42&lt;&gt;"")*ISNUMBER(SEARCH(LISTAS!$O$3:$O$42,$I1509&amp;" "&amp;$K1509)))&gt;0,"CERCANA","NACIONAL"))</f>
        <v/>
      </c>
      <c r="O1509" s="39">
        <f>IF($B1509="","",IF(COUNTIFS(NOVEDADES!$C$4:$C$2003,$B1509)=0,"—","SÍ ("&amp;COUNTIFS(NOVEDADES!$C$4:$C$2003,$B1509)&amp;")"))</f>
        <v/>
      </c>
    </row>
    <row r="1510">
      <c r="A1510" s="41" t="n"/>
      <c r="B1510" s="41" t="n"/>
      <c r="C1510" s="41" t="n"/>
      <c r="D1510" s="41" t="n"/>
      <c r="E1510" s="46" t="n"/>
      <c r="F1510" s="41" t="n"/>
      <c r="G1510" s="41" t="n"/>
      <c r="H1510" s="41" t="n"/>
      <c r="I1510" s="41" t="n"/>
      <c r="J1510" s="47" t="n"/>
      <c r="K1510" s="41" t="n"/>
      <c r="L1510" s="48" t="n"/>
      <c r="M1510" s="45" t="n"/>
      <c r="N1510" s="39">
        <f>IF($B1510="","",IF(SUMPRODUCT((LISTAS!$O$3:$O$42&lt;&gt;"")*ISNUMBER(SEARCH(LISTAS!$O$3:$O$42,$I1510&amp;" "&amp;$K1510)))&gt;0,"CERCANA","NACIONAL"))</f>
        <v/>
      </c>
      <c r="O1510" s="39">
        <f>IF($B1510="","",IF(COUNTIFS(NOVEDADES!$C$4:$C$2003,$B1510)=0,"—","SÍ ("&amp;COUNTIFS(NOVEDADES!$C$4:$C$2003,$B1510)&amp;")"))</f>
        <v/>
      </c>
    </row>
    <row r="1511">
      <c r="A1511" s="41" t="n"/>
      <c r="B1511" s="41" t="n"/>
      <c r="C1511" s="41" t="n"/>
      <c r="D1511" s="41" t="n"/>
      <c r="E1511" s="46" t="n"/>
      <c r="F1511" s="41" t="n"/>
      <c r="G1511" s="41" t="n"/>
      <c r="H1511" s="41" t="n"/>
      <c r="I1511" s="41" t="n"/>
      <c r="J1511" s="47" t="n"/>
      <c r="K1511" s="41" t="n"/>
      <c r="L1511" s="48" t="n"/>
      <c r="M1511" s="45" t="n"/>
      <c r="N1511" s="39">
        <f>IF($B1511="","",IF(SUMPRODUCT((LISTAS!$O$3:$O$42&lt;&gt;"")*ISNUMBER(SEARCH(LISTAS!$O$3:$O$42,$I1511&amp;" "&amp;$K1511)))&gt;0,"CERCANA","NACIONAL"))</f>
        <v/>
      </c>
      <c r="O1511" s="39">
        <f>IF($B1511="","",IF(COUNTIFS(NOVEDADES!$C$4:$C$2003,$B1511)=0,"—","SÍ ("&amp;COUNTIFS(NOVEDADES!$C$4:$C$2003,$B1511)&amp;")"))</f>
        <v/>
      </c>
    </row>
    <row r="1512">
      <c r="A1512" s="41" t="n"/>
      <c r="B1512" s="41" t="n"/>
      <c r="C1512" s="41" t="n"/>
      <c r="D1512" s="41" t="n"/>
      <c r="E1512" s="46" t="n"/>
      <c r="F1512" s="41" t="n"/>
      <c r="G1512" s="41" t="n"/>
      <c r="H1512" s="41" t="n"/>
      <c r="I1512" s="41" t="n"/>
      <c r="J1512" s="47" t="n"/>
      <c r="K1512" s="41" t="n"/>
      <c r="L1512" s="48" t="n"/>
      <c r="M1512" s="45" t="n"/>
      <c r="N1512" s="39">
        <f>IF($B1512="","",IF(SUMPRODUCT((LISTAS!$O$3:$O$42&lt;&gt;"")*ISNUMBER(SEARCH(LISTAS!$O$3:$O$42,$I1512&amp;" "&amp;$K1512)))&gt;0,"CERCANA","NACIONAL"))</f>
        <v/>
      </c>
      <c r="O1512" s="39">
        <f>IF($B1512="","",IF(COUNTIFS(NOVEDADES!$C$4:$C$2003,$B1512)=0,"—","SÍ ("&amp;COUNTIFS(NOVEDADES!$C$4:$C$2003,$B1512)&amp;")"))</f>
        <v/>
      </c>
    </row>
    <row r="1513">
      <c r="A1513" s="41" t="n"/>
      <c r="B1513" s="41" t="n"/>
      <c r="C1513" s="41" t="n"/>
      <c r="D1513" s="41" t="n"/>
      <c r="E1513" s="46" t="n"/>
      <c r="F1513" s="41" t="n"/>
      <c r="G1513" s="41" t="n"/>
      <c r="H1513" s="41" t="n"/>
      <c r="I1513" s="41" t="n"/>
      <c r="J1513" s="47" t="n"/>
      <c r="K1513" s="41" t="n"/>
      <c r="L1513" s="48" t="n"/>
      <c r="M1513" s="45" t="n"/>
      <c r="N1513" s="39">
        <f>IF($B1513="","",IF(SUMPRODUCT((LISTAS!$O$3:$O$42&lt;&gt;"")*ISNUMBER(SEARCH(LISTAS!$O$3:$O$42,$I1513&amp;" "&amp;$K1513)))&gt;0,"CERCANA","NACIONAL"))</f>
        <v/>
      </c>
      <c r="O1513" s="39">
        <f>IF($B1513="","",IF(COUNTIFS(NOVEDADES!$C$4:$C$2003,$B1513)=0,"—","SÍ ("&amp;COUNTIFS(NOVEDADES!$C$4:$C$2003,$B1513)&amp;")"))</f>
        <v/>
      </c>
    </row>
    <row r="1514">
      <c r="A1514" s="41" t="n"/>
      <c r="B1514" s="41" t="n"/>
      <c r="C1514" s="41" t="n"/>
      <c r="D1514" s="41" t="n"/>
      <c r="E1514" s="46" t="n"/>
      <c r="F1514" s="41" t="n"/>
      <c r="G1514" s="41" t="n"/>
      <c r="H1514" s="41" t="n"/>
      <c r="I1514" s="41" t="n"/>
      <c r="J1514" s="47" t="n"/>
      <c r="K1514" s="41" t="n"/>
      <c r="L1514" s="48" t="n"/>
      <c r="M1514" s="45" t="n"/>
      <c r="N1514" s="39">
        <f>IF($B1514="","",IF(SUMPRODUCT((LISTAS!$O$3:$O$42&lt;&gt;"")*ISNUMBER(SEARCH(LISTAS!$O$3:$O$42,$I1514&amp;" "&amp;$K1514)))&gt;0,"CERCANA","NACIONAL"))</f>
        <v/>
      </c>
      <c r="O1514" s="39">
        <f>IF($B1514="","",IF(COUNTIFS(NOVEDADES!$C$4:$C$2003,$B1514)=0,"—","SÍ ("&amp;COUNTIFS(NOVEDADES!$C$4:$C$2003,$B1514)&amp;")"))</f>
        <v/>
      </c>
    </row>
    <row r="1515">
      <c r="A1515" s="41" t="n"/>
      <c r="B1515" s="41" t="n"/>
      <c r="C1515" s="41" t="n"/>
      <c r="D1515" s="41" t="n"/>
      <c r="E1515" s="46" t="n"/>
      <c r="F1515" s="41" t="n"/>
      <c r="G1515" s="41" t="n"/>
      <c r="H1515" s="41" t="n"/>
      <c r="I1515" s="41" t="n"/>
      <c r="J1515" s="47" t="n"/>
      <c r="K1515" s="41" t="n"/>
      <c r="L1515" s="48" t="n"/>
      <c r="M1515" s="45" t="n"/>
      <c r="N1515" s="39">
        <f>IF($B1515="","",IF(SUMPRODUCT((LISTAS!$O$3:$O$42&lt;&gt;"")*ISNUMBER(SEARCH(LISTAS!$O$3:$O$42,$I1515&amp;" "&amp;$K1515)))&gt;0,"CERCANA","NACIONAL"))</f>
        <v/>
      </c>
      <c r="O1515" s="39">
        <f>IF($B1515="","",IF(COUNTIFS(NOVEDADES!$C$4:$C$2003,$B1515)=0,"—","SÍ ("&amp;COUNTIFS(NOVEDADES!$C$4:$C$2003,$B1515)&amp;")"))</f>
        <v/>
      </c>
    </row>
    <row r="1516">
      <c r="A1516" s="41" t="n"/>
      <c r="B1516" s="41" t="n"/>
      <c r="C1516" s="41" t="n"/>
      <c r="D1516" s="41" t="n"/>
      <c r="E1516" s="46" t="n"/>
      <c r="F1516" s="41" t="n"/>
      <c r="G1516" s="41" t="n"/>
      <c r="H1516" s="41" t="n"/>
      <c r="I1516" s="41" t="n"/>
      <c r="J1516" s="47" t="n"/>
      <c r="K1516" s="41" t="n"/>
      <c r="L1516" s="48" t="n"/>
      <c r="M1516" s="45" t="n"/>
      <c r="N1516" s="39">
        <f>IF($B1516="","",IF(SUMPRODUCT((LISTAS!$O$3:$O$42&lt;&gt;"")*ISNUMBER(SEARCH(LISTAS!$O$3:$O$42,$I1516&amp;" "&amp;$K1516)))&gt;0,"CERCANA","NACIONAL"))</f>
        <v/>
      </c>
      <c r="O1516" s="39">
        <f>IF($B1516="","",IF(COUNTIFS(NOVEDADES!$C$4:$C$2003,$B1516)=0,"—","SÍ ("&amp;COUNTIFS(NOVEDADES!$C$4:$C$2003,$B1516)&amp;")"))</f>
        <v/>
      </c>
    </row>
    <row r="1517">
      <c r="A1517" s="41" t="n"/>
      <c r="B1517" s="41" t="n"/>
      <c r="C1517" s="41" t="n"/>
      <c r="D1517" s="41" t="n"/>
      <c r="E1517" s="46" t="n"/>
      <c r="F1517" s="41" t="n"/>
      <c r="G1517" s="41" t="n"/>
      <c r="H1517" s="41" t="n"/>
      <c r="I1517" s="41" t="n"/>
      <c r="J1517" s="47" t="n"/>
      <c r="K1517" s="41" t="n"/>
      <c r="L1517" s="48" t="n"/>
      <c r="M1517" s="45" t="n"/>
      <c r="N1517" s="39">
        <f>IF($B1517="","",IF(SUMPRODUCT((LISTAS!$O$3:$O$42&lt;&gt;"")*ISNUMBER(SEARCH(LISTAS!$O$3:$O$42,$I1517&amp;" "&amp;$K1517)))&gt;0,"CERCANA","NACIONAL"))</f>
        <v/>
      </c>
      <c r="O1517" s="39">
        <f>IF($B1517="","",IF(COUNTIFS(NOVEDADES!$C$4:$C$2003,$B1517)=0,"—","SÍ ("&amp;COUNTIFS(NOVEDADES!$C$4:$C$2003,$B1517)&amp;")"))</f>
        <v/>
      </c>
    </row>
    <row r="1518">
      <c r="A1518" s="41" t="n"/>
      <c r="B1518" s="41" t="n"/>
      <c r="C1518" s="41" t="n"/>
      <c r="D1518" s="41" t="n"/>
      <c r="E1518" s="46" t="n"/>
      <c r="F1518" s="41" t="n"/>
      <c r="G1518" s="41" t="n"/>
      <c r="H1518" s="41" t="n"/>
      <c r="I1518" s="41" t="n"/>
      <c r="J1518" s="47" t="n"/>
      <c r="K1518" s="41" t="n"/>
      <c r="L1518" s="48" t="n"/>
      <c r="M1518" s="45" t="n"/>
      <c r="N1518" s="39">
        <f>IF($B1518="","",IF(SUMPRODUCT((LISTAS!$O$3:$O$42&lt;&gt;"")*ISNUMBER(SEARCH(LISTAS!$O$3:$O$42,$I1518&amp;" "&amp;$K1518)))&gt;0,"CERCANA","NACIONAL"))</f>
        <v/>
      </c>
      <c r="O1518" s="39">
        <f>IF($B1518="","",IF(COUNTIFS(NOVEDADES!$C$4:$C$2003,$B1518)=0,"—","SÍ ("&amp;COUNTIFS(NOVEDADES!$C$4:$C$2003,$B1518)&amp;")"))</f>
        <v/>
      </c>
    </row>
    <row r="1519">
      <c r="A1519" s="41" t="n"/>
      <c r="B1519" s="41" t="n"/>
      <c r="C1519" s="41" t="n"/>
      <c r="D1519" s="41" t="n"/>
      <c r="E1519" s="46" t="n"/>
      <c r="F1519" s="41" t="n"/>
      <c r="G1519" s="41" t="n"/>
      <c r="H1519" s="41" t="n"/>
      <c r="I1519" s="41" t="n"/>
      <c r="J1519" s="47" t="n"/>
      <c r="K1519" s="41" t="n"/>
      <c r="L1519" s="48" t="n"/>
      <c r="M1519" s="45" t="n"/>
      <c r="N1519" s="39">
        <f>IF($B1519="","",IF(SUMPRODUCT((LISTAS!$O$3:$O$42&lt;&gt;"")*ISNUMBER(SEARCH(LISTAS!$O$3:$O$42,$I1519&amp;" "&amp;$K1519)))&gt;0,"CERCANA","NACIONAL"))</f>
        <v/>
      </c>
      <c r="O1519" s="39">
        <f>IF($B1519="","",IF(COUNTIFS(NOVEDADES!$C$4:$C$2003,$B1519)=0,"—","SÍ ("&amp;COUNTIFS(NOVEDADES!$C$4:$C$2003,$B1519)&amp;")"))</f>
        <v/>
      </c>
    </row>
    <row r="1520">
      <c r="A1520" s="41" t="n"/>
      <c r="B1520" s="41" t="n"/>
      <c r="C1520" s="41" t="n"/>
      <c r="D1520" s="41" t="n"/>
      <c r="E1520" s="46" t="n"/>
      <c r="F1520" s="41" t="n"/>
      <c r="G1520" s="41" t="n"/>
      <c r="H1520" s="41" t="n"/>
      <c r="I1520" s="41" t="n"/>
      <c r="J1520" s="47" t="n"/>
      <c r="K1520" s="41" t="n"/>
      <c r="L1520" s="48" t="n"/>
      <c r="M1520" s="45" t="n"/>
      <c r="N1520" s="39">
        <f>IF($B1520="","",IF(SUMPRODUCT((LISTAS!$O$3:$O$42&lt;&gt;"")*ISNUMBER(SEARCH(LISTAS!$O$3:$O$42,$I1520&amp;" "&amp;$K1520)))&gt;0,"CERCANA","NACIONAL"))</f>
        <v/>
      </c>
      <c r="O1520" s="39">
        <f>IF($B1520="","",IF(COUNTIFS(NOVEDADES!$C$4:$C$2003,$B1520)=0,"—","SÍ ("&amp;COUNTIFS(NOVEDADES!$C$4:$C$2003,$B1520)&amp;")"))</f>
        <v/>
      </c>
    </row>
    <row r="1521">
      <c r="A1521" s="41" t="n"/>
      <c r="B1521" s="41" t="n"/>
      <c r="C1521" s="41" t="n"/>
      <c r="D1521" s="41" t="n"/>
      <c r="E1521" s="46" t="n"/>
      <c r="F1521" s="41" t="n"/>
      <c r="G1521" s="41" t="n"/>
      <c r="H1521" s="41" t="n"/>
      <c r="I1521" s="41" t="n"/>
      <c r="J1521" s="47" t="n"/>
      <c r="K1521" s="41" t="n"/>
      <c r="L1521" s="48" t="n"/>
      <c r="M1521" s="45" t="n"/>
      <c r="N1521" s="39">
        <f>IF($B1521="","",IF(SUMPRODUCT((LISTAS!$O$3:$O$42&lt;&gt;"")*ISNUMBER(SEARCH(LISTAS!$O$3:$O$42,$I1521&amp;" "&amp;$K1521)))&gt;0,"CERCANA","NACIONAL"))</f>
        <v/>
      </c>
      <c r="O1521" s="39">
        <f>IF($B1521="","",IF(COUNTIFS(NOVEDADES!$C$4:$C$2003,$B1521)=0,"—","SÍ ("&amp;COUNTIFS(NOVEDADES!$C$4:$C$2003,$B1521)&amp;")"))</f>
        <v/>
      </c>
    </row>
    <row r="1522">
      <c r="A1522" s="41" t="n"/>
      <c r="B1522" s="41" t="n"/>
      <c r="C1522" s="41" t="n"/>
      <c r="D1522" s="41" t="n"/>
      <c r="E1522" s="46" t="n"/>
      <c r="F1522" s="41" t="n"/>
      <c r="G1522" s="41" t="n"/>
      <c r="H1522" s="41" t="n"/>
      <c r="I1522" s="41" t="n"/>
      <c r="J1522" s="47" t="n"/>
      <c r="K1522" s="41" t="n"/>
      <c r="L1522" s="48" t="n"/>
      <c r="M1522" s="45" t="n"/>
      <c r="N1522" s="39">
        <f>IF($B1522="","",IF(SUMPRODUCT((LISTAS!$O$3:$O$42&lt;&gt;"")*ISNUMBER(SEARCH(LISTAS!$O$3:$O$42,$I1522&amp;" "&amp;$K1522)))&gt;0,"CERCANA","NACIONAL"))</f>
        <v/>
      </c>
      <c r="O1522" s="39">
        <f>IF($B1522="","",IF(COUNTIFS(NOVEDADES!$C$4:$C$2003,$B1522)=0,"—","SÍ ("&amp;COUNTIFS(NOVEDADES!$C$4:$C$2003,$B1522)&amp;")"))</f>
        <v/>
      </c>
    </row>
    <row r="1523">
      <c r="A1523" s="41" t="n"/>
      <c r="B1523" s="41" t="n"/>
      <c r="C1523" s="41" t="n"/>
      <c r="D1523" s="41" t="n"/>
      <c r="E1523" s="46" t="n"/>
      <c r="F1523" s="41" t="n"/>
      <c r="G1523" s="41" t="n"/>
      <c r="H1523" s="41" t="n"/>
      <c r="I1523" s="41" t="n"/>
      <c r="J1523" s="47" t="n"/>
      <c r="K1523" s="41" t="n"/>
      <c r="L1523" s="48" t="n"/>
      <c r="M1523" s="45" t="n"/>
      <c r="N1523" s="39">
        <f>IF($B1523="","",IF(SUMPRODUCT((LISTAS!$O$3:$O$42&lt;&gt;"")*ISNUMBER(SEARCH(LISTAS!$O$3:$O$42,$I1523&amp;" "&amp;$K1523)))&gt;0,"CERCANA","NACIONAL"))</f>
        <v/>
      </c>
      <c r="O1523" s="39">
        <f>IF($B1523="","",IF(COUNTIFS(NOVEDADES!$C$4:$C$2003,$B1523)=0,"—","SÍ ("&amp;COUNTIFS(NOVEDADES!$C$4:$C$2003,$B1523)&amp;")"))</f>
        <v/>
      </c>
    </row>
    <row r="1524">
      <c r="A1524" s="41" t="n"/>
      <c r="B1524" s="41" t="n"/>
      <c r="C1524" s="41" t="n"/>
      <c r="D1524" s="41" t="n"/>
      <c r="E1524" s="46" t="n"/>
      <c r="F1524" s="41" t="n"/>
      <c r="G1524" s="41" t="n"/>
      <c r="H1524" s="41" t="n"/>
      <c r="I1524" s="41" t="n"/>
      <c r="J1524" s="47" t="n"/>
      <c r="K1524" s="41" t="n"/>
      <c r="L1524" s="48" t="n"/>
      <c r="M1524" s="45" t="n"/>
      <c r="N1524" s="39">
        <f>IF($B1524="","",IF(SUMPRODUCT((LISTAS!$O$3:$O$42&lt;&gt;"")*ISNUMBER(SEARCH(LISTAS!$O$3:$O$42,$I1524&amp;" "&amp;$K1524)))&gt;0,"CERCANA","NACIONAL"))</f>
        <v/>
      </c>
      <c r="O1524" s="39">
        <f>IF($B1524="","",IF(COUNTIFS(NOVEDADES!$C$4:$C$2003,$B1524)=0,"—","SÍ ("&amp;COUNTIFS(NOVEDADES!$C$4:$C$2003,$B1524)&amp;")"))</f>
        <v/>
      </c>
    </row>
    <row r="1525">
      <c r="A1525" s="41" t="n"/>
      <c r="B1525" s="41" t="n"/>
      <c r="C1525" s="41" t="n"/>
      <c r="D1525" s="41" t="n"/>
      <c r="E1525" s="46" t="n"/>
      <c r="F1525" s="41" t="n"/>
      <c r="G1525" s="41" t="n"/>
      <c r="H1525" s="41" t="n"/>
      <c r="I1525" s="41" t="n"/>
      <c r="J1525" s="47" t="n"/>
      <c r="K1525" s="41" t="n"/>
      <c r="L1525" s="48" t="n"/>
      <c r="M1525" s="45" t="n"/>
      <c r="N1525" s="39">
        <f>IF($B1525="","",IF(SUMPRODUCT((LISTAS!$O$3:$O$42&lt;&gt;"")*ISNUMBER(SEARCH(LISTAS!$O$3:$O$42,$I1525&amp;" "&amp;$K1525)))&gt;0,"CERCANA","NACIONAL"))</f>
        <v/>
      </c>
      <c r="O1525" s="39">
        <f>IF($B1525="","",IF(COUNTIFS(NOVEDADES!$C$4:$C$2003,$B1525)=0,"—","SÍ ("&amp;COUNTIFS(NOVEDADES!$C$4:$C$2003,$B1525)&amp;")"))</f>
        <v/>
      </c>
    </row>
    <row r="1526">
      <c r="A1526" s="41" t="n"/>
      <c r="B1526" s="41" t="n"/>
      <c r="C1526" s="41" t="n"/>
      <c r="D1526" s="41" t="n"/>
      <c r="E1526" s="46" t="n"/>
      <c r="F1526" s="41" t="n"/>
      <c r="G1526" s="41" t="n"/>
      <c r="H1526" s="41" t="n"/>
      <c r="I1526" s="41" t="n"/>
      <c r="J1526" s="47" t="n"/>
      <c r="K1526" s="41" t="n"/>
      <c r="L1526" s="48" t="n"/>
      <c r="M1526" s="45" t="n"/>
      <c r="N1526" s="39">
        <f>IF($B1526="","",IF(SUMPRODUCT((LISTAS!$O$3:$O$42&lt;&gt;"")*ISNUMBER(SEARCH(LISTAS!$O$3:$O$42,$I1526&amp;" "&amp;$K1526)))&gt;0,"CERCANA","NACIONAL"))</f>
        <v/>
      </c>
      <c r="O1526" s="39">
        <f>IF($B1526="","",IF(COUNTIFS(NOVEDADES!$C$4:$C$2003,$B1526)=0,"—","SÍ ("&amp;COUNTIFS(NOVEDADES!$C$4:$C$2003,$B1526)&amp;")"))</f>
        <v/>
      </c>
    </row>
    <row r="1527">
      <c r="A1527" s="41" t="n"/>
      <c r="B1527" s="41" t="n"/>
      <c r="C1527" s="41" t="n"/>
      <c r="D1527" s="41" t="n"/>
      <c r="E1527" s="46" t="n"/>
      <c r="F1527" s="41" t="n"/>
      <c r="G1527" s="41" t="n"/>
      <c r="H1527" s="41" t="n"/>
      <c r="I1527" s="41" t="n"/>
      <c r="J1527" s="47" t="n"/>
      <c r="K1527" s="41" t="n"/>
      <c r="L1527" s="48" t="n"/>
      <c r="M1527" s="45" t="n"/>
      <c r="N1527" s="39">
        <f>IF($B1527="","",IF(SUMPRODUCT((LISTAS!$O$3:$O$42&lt;&gt;"")*ISNUMBER(SEARCH(LISTAS!$O$3:$O$42,$I1527&amp;" "&amp;$K1527)))&gt;0,"CERCANA","NACIONAL"))</f>
        <v/>
      </c>
      <c r="O1527" s="39">
        <f>IF($B1527="","",IF(COUNTIFS(NOVEDADES!$C$4:$C$2003,$B1527)=0,"—","SÍ ("&amp;COUNTIFS(NOVEDADES!$C$4:$C$2003,$B1527)&amp;")"))</f>
        <v/>
      </c>
    </row>
    <row r="1528">
      <c r="A1528" s="41" t="n"/>
      <c r="B1528" s="41" t="n"/>
      <c r="C1528" s="41" t="n"/>
      <c r="D1528" s="41" t="n"/>
      <c r="E1528" s="46" t="n"/>
      <c r="F1528" s="41" t="n"/>
      <c r="G1528" s="41" t="n"/>
      <c r="H1528" s="41" t="n"/>
      <c r="I1528" s="41" t="n"/>
      <c r="J1528" s="47" t="n"/>
      <c r="K1528" s="41" t="n"/>
      <c r="L1528" s="48" t="n"/>
      <c r="M1528" s="45" t="n"/>
      <c r="N1528" s="39">
        <f>IF($B1528="","",IF(SUMPRODUCT((LISTAS!$O$3:$O$42&lt;&gt;"")*ISNUMBER(SEARCH(LISTAS!$O$3:$O$42,$I1528&amp;" "&amp;$K1528)))&gt;0,"CERCANA","NACIONAL"))</f>
        <v/>
      </c>
      <c r="O1528" s="39">
        <f>IF($B1528="","",IF(COUNTIFS(NOVEDADES!$C$4:$C$2003,$B1528)=0,"—","SÍ ("&amp;COUNTIFS(NOVEDADES!$C$4:$C$2003,$B1528)&amp;")"))</f>
        <v/>
      </c>
    </row>
    <row r="1529">
      <c r="A1529" s="41" t="n"/>
      <c r="B1529" s="41" t="n"/>
      <c r="C1529" s="41" t="n"/>
      <c r="D1529" s="41" t="n"/>
      <c r="E1529" s="46" t="n"/>
      <c r="F1529" s="41" t="n"/>
      <c r="G1529" s="41" t="n"/>
      <c r="H1529" s="41" t="n"/>
      <c r="I1529" s="41" t="n"/>
      <c r="J1529" s="47" t="n"/>
      <c r="K1529" s="41" t="n"/>
      <c r="L1529" s="48" t="n"/>
      <c r="M1529" s="45" t="n"/>
      <c r="N1529" s="39">
        <f>IF($B1529="","",IF(SUMPRODUCT((LISTAS!$O$3:$O$42&lt;&gt;"")*ISNUMBER(SEARCH(LISTAS!$O$3:$O$42,$I1529&amp;" "&amp;$K1529)))&gt;0,"CERCANA","NACIONAL"))</f>
        <v/>
      </c>
      <c r="O1529" s="39">
        <f>IF($B1529="","",IF(COUNTIFS(NOVEDADES!$C$4:$C$2003,$B1529)=0,"—","SÍ ("&amp;COUNTIFS(NOVEDADES!$C$4:$C$2003,$B1529)&amp;")"))</f>
        <v/>
      </c>
    </row>
    <row r="1530">
      <c r="A1530" s="41" t="n"/>
      <c r="B1530" s="41" t="n"/>
      <c r="C1530" s="41" t="n"/>
      <c r="D1530" s="41" t="n"/>
      <c r="E1530" s="46" t="n"/>
      <c r="F1530" s="41" t="n"/>
      <c r="G1530" s="41" t="n"/>
      <c r="H1530" s="41" t="n"/>
      <c r="I1530" s="41" t="n"/>
      <c r="J1530" s="47" t="n"/>
      <c r="K1530" s="41" t="n"/>
      <c r="L1530" s="48" t="n"/>
      <c r="M1530" s="45" t="n"/>
      <c r="N1530" s="39">
        <f>IF($B1530="","",IF(SUMPRODUCT((LISTAS!$O$3:$O$42&lt;&gt;"")*ISNUMBER(SEARCH(LISTAS!$O$3:$O$42,$I1530&amp;" "&amp;$K1530)))&gt;0,"CERCANA","NACIONAL"))</f>
        <v/>
      </c>
      <c r="O1530" s="39">
        <f>IF($B1530="","",IF(COUNTIFS(NOVEDADES!$C$4:$C$2003,$B1530)=0,"—","SÍ ("&amp;COUNTIFS(NOVEDADES!$C$4:$C$2003,$B1530)&amp;")"))</f>
        <v/>
      </c>
    </row>
    <row r="1531">
      <c r="A1531" s="41" t="n"/>
      <c r="B1531" s="41" t="n"/>
      <c r="C1531" s="41" t="n"/>
      <c r="D1531" s="41" t="n"/>
      <c r="E1531" s="46" t="n"/>
      <c r="F1531" s="41" t="n"/>
      <c r="G1531" s="41" t="n"/>
      <c r="H1531" s="41" t="n"/>
      <c r="I1531" s="41" t="n"/>
      <c r="J1531" s="47" t="n"/>
      <c r="K1531" s="41" t="n"/>
      <c r="L1531" s="48" t="n"/>
      <c r="M1531" s="45" t="n"/>
      <c r="N1531" s="39">
        <f>IF($B1531="","",IF(SUMPRODUCT((LISTAS!$O$3:$O$42&lt;&gt;"")*ISNUMBER(SEARCH(LISTAS!$O$3:$O$42,$I1531&amp;" "&amp;$K1531)))&gt;0,"CERCANA","NACIONAL"))</f>
        <v/>
      </c>
      <c r="O1531" s="39">
        <f>IF($B1531="","",IF(COUNTIFS(NOVEDADES!$C$4:$C$2003,$B1531)=0,"—","SÍ ("&amp;COUNTIFS(NOVEDADES!$C$4:$C$2003,$B1531)&amp;")"))</f>
        <v/>
      </c>
    </row>
    <row r="1532">
      <c r="A1532" s="41" t="n"/>
      <c r="B1532" s="41" t="n"/>
      <c r="C1532" s="41" t="n"/>
      <c r="D1532" s="41" t="n"/>
      <c r="E1532" s="46" t="n"/>
      <c r="F1532" s="41" t="n"/>
      <c r="G1532" s="41" t="n"/>
      <c r="H1532" s="41" t="n"/>
      <c r="I1532" s="41" t="n"/>
      <c r="J1532" s="47" t="n"/>
      <c r="K1532" s="41" t="n"/>
      <c r="L1532" s="48" t="n"/>
      <c r="M1532" s="45" t="n"/>
      <c r="N1532" s="39">
        <f>IF($B1532="","",IF(SUMPRODUCT((LISTAS!$O$3:$O$42&lt;&gt;"")*ISNUMBER(SEARCH(LISTAS!$O$3:$O$42,$I1532&amp;" "&amp;$K1532)))&gt;0,"CERCANA","NACIONAL"))</f>
        <v/>
      </c>
      <c r="O1532" s="39">
        <f>IF($B1532="","",IF(COUNTIFS(NOVEDADES!$C$4:$C$2003,$B1532)=0,"—","SÍ ("&amp;COUNTIFS(NOVEDADES!$C$4:$C$2003,$B1532)&amp;")"))</f>
        <v/>
      </c>
    </row>
    <row r="1533">
      <c r="A1533" s="41" t="n"/>
      <c r="B1533" s="41" t="n"/>
      <c r="C1533" s="41" t="n"/>
      <c r="D1533" s="41" t="n"/>
      <c r="E1533" s="46" t="n"/>
      <c r="F1533" s="41" t="n"/>
      <c r="G1533" s="41" t="n"/>
      <c r="H1533" s="41" t="n"/>
      <c r="I1533" s="41" t="n"/>
      <c r="J1533" s="47" t="n"/>
      <c r="K1533" s="41" t="n"/>
      <c r="L1533" s="48" t="n"/>
      <c r="M1533" s="45" t="n"/>
      <c r="N1533" s="39">
        <f>IF($B1533="","",IF(SUMPRODUCT((LISTAS!$O$3:$O$42&lt;&gt;"")*ISNUMBER(SEARCH(LISTAS!$O$3:$O$42,$I1533&amp;" "&amp;$K1533)))&gt;0,"CERCANA","NACIONAL"))</f>
        <v/>
      </c>
      <c r="O1533" s="39">
        <f>IF($B1533="","",IF(COUNTIFS(NOVEDADES!$C$4:$C$2003,$B1533)=0,"—","SÍ ("&amp;COUNTIFS(NOVEDADES!$C$4:$C$2003,$B1533)&amp;")"))</f>
        <v/>
      </c>
    </row>
    <row r="1534">
      <c r="A1534" s="41" t="n"/>
      <c r="B1534" s="41" t="n"/>
      <c r="C1534" s="41" t="n"/>
      <c r="D1534" s="41" t="n"/>
      <c r="E1534" s="46" t="n"/>
      <c r="F1534" s="41" t="n"/>
      <c r="G1534" s="41" t="n"/>
      <c r="H1534" s="41" t="n"/>
      <c r="I1534" s="41" t="n"/>
      <c r="J1534" s="47" t="n"/>
      <c r="K1534" s="41" t="n"/>
      <c r="L1534" s="48" t="n"/>
      <c r="M1534" s="45" t="n"/>
      <c r="N1534" s="39">
        <f>IF($B1534="","",IF(SUMPRODUCT((LISTAS!$O$3:$O$42&lt;&gt;"")*ISNUMBER(SEARCH(LISTAS!$O$3:$O$42,$I1534&amp;" "&amp;$K1534)))&gt;0,"CERCANA","NACIONAL"))</f>
        <v/>
      </c>
      <c r="O1534" s="39">
        <f>IF($B1534="","",IF(COUNTIFS(NOVEDADES!$C$4:$C$2003,$B1534)=0,"—","SÍ ("&amp;COUNTIFS(NOVEDADES!$C$4:$C$2003,$B1534)&amp;")"))</f>
        <v/>
      </c>
    </row>
    <row r="1535">
      <c r="A1535" s="41" t="n"/>
      <c r="B1535" s="41" t="n"/>
      <c r="C1535" s="41" t="n"/>
      <c r="D1535" s="41" t="n"/>
      <c r="E1535" s="46" t="n"/>
      <c r="F1535" s="41" t="n"/>
      <c r="G1535" s="41" t="n"/>
      <c r="H1535" s="41" t="n"/>
      <c r="I1535" s="41" t="n"/>
      <c r="J1535" s="47" t="n"/>
      <c r="K1535" s="41" t="n"/>
      <c r="L1535" s="48" t="n"/>
      <c r="M1535" s="45" t="n"/>
      <c r="N1535" s="39">
        <f>IF($B1535="","",IF(SUMPRODUCT((LISTAS!$O$3:$O$42&lt;&gt;"")*ISNUMBER(SEARCH(LISTAS!$O$3:$O$42,$I1535&amp;" "&amp;$K1535)))&gt;0,"CERCANA","NACIONAL"))</f>
        <v/>
      </c>
      <c r="O1535" s="39">
        <f>IF($B1535="","",IF(COUNTIFS(NOVEDADES!$C$4:$C$2003,$B1535)=0,"—","SÍ ("&amp;COUNTIFS(NOVEDADES!$C$4:$C$2003,$B1535)&amp;")"))</f>
        <v/>
      </c>
    </row>
    <row r="1536">
      <c r="A1536" s="41" t="n"/>
      <c r="B1536" s="41" t="n"/>
      <c r="C1536" s="41" t="n"/>
      <c r="D1536" s="41" t="n"/>
      <c r="E1536" s="46" t="n"/>
      <c r="F1536" s="41" t="n"/>
      <c r="G1536" s="41" t="n"/>
      <c r="H1536" s="41" t="n"/>
      <c r="I1536" s="41" t="n"/>
      <c r="J1536" s="47" t="n"/>
      <c r="K1536" s="41" t="n"/>
      <c r="L1536" s="48" t="n"/>
      <c r="M1536" s="45" t="n"/>
      <c r="N1536" s="39">
        <f>IF($B1536="","",IF(SUMPRODUCT((LISTAS!$O$3:$O$42&lt;&gt;"")*ISNUMBER(SEARCH(LISTAS!$O$3:$O$42,$I1536&amp;" "&amp;$K1536)))&gt;0,"CERCANA","NACIONAL"))</f>
        <v/>
      </c>
      <c r="O1536" s="39">
        <f>IF($B1536="","",IF(COUNTIFS(NOVEDADES!$C$4:$C$2003,$B1536)=0,"—","SÍ ("&amp;COUNTIFS(NOVEDADES!$C$4:$C$2003,$B1536)&amp;")"))</f>
        <v/>
      </c>
    </row>
    <row r="1537">
      <c r="A1537" s="41" t="n"/>
      <c r="B1537" s="41" t="n"/>
      <c r="C1537" s="41" t="n"/>
      <c r="D1537" s="41" t="n"/>
      <c r="E1537" s="46" t="n"/>
      <c r="F1537" s="41" t="n"/>
      <c r="G1537" s="41" t="n"/>
      <c r="H1537" s="41" t="n"/>
      <c r="I1537" s="41" t="n"/>
      <c r="J1537" s="47" t="n"/>
      <c r="K1537" s="41" t="n"/>
      <c r="L1537" s="48" t="n"/>
      <c r="M1537" s="45" t="n"/>
      <c r="N1537" s="39">
        <f>IF($B1537="","",IF(SUMPRODUCT((LISTAS!$O$3:$O$42&lt;&gt;"")*ISNUMBER(SEARCH(LISTAS!$O$3:$O$42,$I1537&amp;" "&amp;$K1537)))&gt;0,"CERCANA","NACIONAL"))</f>
        <v/>
      </c>
      <c r="O1537" s="39">
        <f>IF($B1537="","",IF(COUNTIFS(NOVEDADES!$C$4:$C$2003,$B1537)=0,"—","SÍ ("&amp;COUNTIFS(NOVEDADES!$C$4:$C$2003,$B1537)&amp;")"))</f>
        <v/>
      </c>
    </row>
    <row r="1538">
      <c r="A1538" s="41" t="n"/>
      <c r="B1538" s="41" t="n"/>
      <c r="C1538" s="41" t="n"/>
      <c r="D1538" s="41" t="n"/>
      <c r="E1538" s="46" t="n"/>
      <c r="F1538" s="41" t="n"/>
      <c r="G1538" s="41" t="n"/>
      <c r="H1538" s="41" t="n"/>
      <c r="I1538" s="41" t="n"/>
      <c r="J1538" s="47" t="n"/>
      <c r="K1538" s="41" t="n"/>
      <c r="L1538" s="48" t="n"/>
      <c r="M1538" s="45" t="n"/>
      <c r="N1538" s="39">
        <f>IF($B1538="","",IF(SUMPRODUCT((LISTAS!$O$3:$O$42&lt;&gt;"")*ISNUMBER(SEARCH(LISTAS!$O$3:$O$42,$I1538&amp;" "&amp;$K1538)))&gt;0,"CERCANA","NACIONAL"))</f>
        <v/>
      </c>
      <c r="O1538" s="39">
        <f>IF($B1538="","",IF(COUNTIFS(NOVEDADES!$C$4:$C$2003,$B1538)=0,"—","SÍ ("&amp;COUNTIFS(NOVEDADES!$C$4:$C$2003,$B1538)&amp;")"))</f>
        <v/>
      </c>
    </row>
    <row r="1539">
      <c r="A1539" s="41" t="n"/>
      <c r="B1539" s="41" t="n"/>
      <c r="C1539" s="41" t="n"/>
      <c r="D1539" s="41" t="n"/>
      <c r="E1539" s="46" t="n"/>
      <c r="F1539" s="41" t="n"/>
      <c r="G1539" s="41" t="n"/>
      <c r="H1539" s="41" t="n"/>
      <c r="I1539" s="41" t="n"/>
      <c r="J1539" s="47" t="n"/>
      <c r="K1539" s="41" t="n"/>
      <c r="L1539" s="48" t="n"/>
      <c r="M1539" s="45" t="n"/>
      <c r="N1539" s="39">
        <f>IF($B1539="","",IF(SUMPRODUCT((LISTAS!$O$3:$O$42&lt;&gt;"")*ISNUMBER(SEARCH(LISTAS!$O$3:$O$42,$I1539&amp;" "&amp;$K1539)))&gt;0,"CERCANA","NACIONAL"))</f>
        <v/>
      </c>
      <c r="O1539" s="39">
        <f>IF($B1539="","",IF(COUNTIFS(NOVEDADES!$C$4:$C$2003,$B1539)=0,"—","SÍ ("&amp;COUNTIFS(NOVEDADES!$C$4:$C$2003,$B1539)&amp;")"))</f>
        <v/>
      </c>
    </row>
    <row r="1540">
      <c r="A1540" s="41" t="n"/>
      <c r="B1540" s="41" t="n"/>
      <c r="C1540" s="41" t="n"/>
      <c r="D1540" s="41" t="n"/>
      <c r="E1540" s="46" t="n"/>
      <c r="F1540" s="41" t="n"/>
      <c r="G1540" s="41" t="n"/>
      <c r="H1540" s="41" t="n"/>
      <c r="I1540" s="41" t="n"/>
      <c r="J1540" s="47" t="n"/>
      <c r="K1540" s="41" t="n"/>
      <c r="L1540" s="48" t="n"/>
      <c r="M1540" s="45" t="n"/>
      <c r="N1540" s="39">
        <f>IF($B1540="","",IF(SUMPRODUCT((LISTAS!$O$3:$O$42&lt;&gt;"")*ISNUMBER(SEARCH(LISTAS!$O$3:$O$42,$I1540&amp;" "&amp;$K1540)))&gt;0,"CERCANA","NACIONAL"))</f>
        <v/>
      </c>
      <c r="O1540" s="39">
        <f>IF($B1540="","",IF(COUNTIFS(NOVEDADES!$C$4:$C$2003,$B1540)=0,"—","SÍ ("&amp;COUNTIFS(NOVEDADES!$C$4:$C$2003,$B1540)&amp;")"))</f>
        <v/>
      </c>
    </row>
    <row r="1541">
      <c r="A1541" s="41" t="n"/>
      <c r="B1541" s="41" t="n"/>
      <c r="C1541" s="41" t="n"/>
      <c r="D1541" s="41" t="n"/>
      <c r="E1541" s="46" t="n"/>
      <c r="F1541" s="41" t="n"/>
      <c r="G1541" s="41" t="n"/>
      <c r="H1541" s="41" t="n"/>
      <c r="I1541" s="41" t="n"/>
      <c r="J1541" s="47" t="n"/>
      <c r="K1541" s="41" t="n"/>
      <c r="L1541" s="48" t="n"/>
      <c r="M1541" s="45" t="n"/>
      <c r="N1541" s="39">
        <f>IF($B1541="","",IF(SUMPRODUCT((LISTAS!$O$3:$O$42&lt;&gt;"")*ISNUMBER(SEARCH(LISTAS!$O$3:$O$42,$I1541&amp;" "&amp;$K1541)))&gt;0,"CERCANA","NACIONAL"))</f>
        <v/>
      </c>
      <c r="O1541" s="39">
        <f>IF($B1541="","",IF(COUNTIFS(NOVEDADES!$C$4:$C$2003,$B1541)=0,"—","SÍ ("&amp;COUNTIFS(NOVEDADES!$C$4:$C$2003,$B1541)&amp;")"))</f>
        <v/>
      </c>
    </row>
    <row r="1542">
      <c r="A1542" s="41" t="n"/>
      <c r="B1542" s="41" t="n"/>
      <c r="C1542" s="41" t="n"/>
      <c r="D1542" s="41" t="n"/>
      <c r="E1542" s="46" t="n"/>
      <c r="F1542" s="41" t="n"/>
      <c r="G1542" s="41" t="n"/>
      <c r="H1542" s="41" t="n"/>
      <c r="I1542" s="41" t="n"/>
      <c r="J1542" s="47" t="n"/>
      <c r="K1542" s="41" t="n"/>
      <c r="L1542" s="48" t="n"/>
      <c r="M1542" s="45" t="n"/>
      <c r="N1542" s="39">
        <f>IF($B1542="","",IF(SUMPRODUCT((LISTAS!$O$3:$O$42&lt;&gt;"")*ISNUMBER(SEARCH(LISTAS!$O$3:$O$42,$I1542&amp;" "&amp;$K1542)))&gt;0,"CERCANA","NACIONAL"))</f>
        <v/>
      </c>
      <c r="O1542" s="39">
        <f>IF($B1542="","",IF(COUNTIFS(NOVEDADES!$C$4:$C$2003,$B1542)=0,"—","SÍ ("&amp;COUNTIFS(NOVEDADES!$C$4:$C$2003,$B1542)&amp;")"))</f>
        <v/>
      </c>
    </row>
    <row r="1543">
      <c r="A1543" s="41" t="n"/>
      <c r="B1543" s="41" t="n"/>
      <c r="C1543" s="41" t="n"/>
      <c r="D1543" s="41" t="n"/>
      <c r="E1543" s="46" t="n"/>
      <c r="F1543" s="41" t="n"/>
      <c r="G1543" s="41" t="n"/>
      <c r="H1543" s="41" t="n"/>
      <c r="I1543" s="41" t="n"/>
      <c r="J1543" s="47" t="n"/>
      <c r="K1543" s="41" t="n"/>
      <c r="L1543" s="48" t="n"/>
      <c r="M1543" s="45" t="n"/>
      <c r="N1543" s="39">
        <f>IF($B1543="","",IF(SUMPRODUCT((LISTAS!$O$3:$O$42&lt;&gt;"")*ISNUMBER(SEARCH(LISTAS!$O$3:$O$42,$I1543&amp;" "&amp;$K1543)))&gt;0,"CERCANA","NACIONAL"))</f>
        <v/>
      </c>
      <c r="O1543" s="39">
        <f>IF($B1543="","",IF(COUNTIFS(NOVEDADES!$C$4:$C$2003,$B1543)=0,"—","SÍ ("&amp;COUNTIFS(NOVEDADES!$C$4:$C$2003,$B1543)&amp;")"))</f>
        <v/>
      </c>
    </row>
    <row r="1544">
      <c r="A1544" s="41" t="n"/>
      <c r="B1544" s="41" t="n"/>
      <c r="C1544" s="41" t="n"/>
      <c r="D1544" s="41" t="n"/>
      <c r="E1544" s="46" t="n"/>
      <c r="F1544" s="41" t="n"/>
      <c r="G1544" s="41" t="n"/>
      <c r="H1544" s="41" t="n"/>
      <c r="I1544" s="41" t="n"/>
      <c r="J1544" s="47" t="n"/>
      <c r="K1544" s="41" t="n"/>
      <c r="L1544" s="48" t="n"/>
      <c r="M1544" s="45" t="n"/>
      <c r="N1544" s="39">
        <f>IF($B1544="","",IF(SUMPRODUCT((LISTAS!$O$3:$O$42&lt;&gt;"")*ISNUMBER(SEARCH(LISTAS!$O$3:$O$42,$I1544&amp;" "&amp;$K1544)))&gt;0,"CERCANA","NACIONAL"))</f>
        <v/>
      </c>
      <c r="O1544" s="39">
        <f>IF($B1544="","",IF(COUNTIFS(NOVEDADES!$C$4:$C$2003,$B1544)=0,"—","SÍ ("&amp;COUNTIFS(NOVEDADES!$C$4:$C$2003,$B1544)&amp;")"))</f>
        <v/>
      </c>
    </row>
    <row r="1545">
      <c r="A1545" s="41" t="n"/>
      <c r="B1545" s="41" t="n"/>
      <c r="C1545" s="41" t="n"/>
      <c r="D1545" s="41" t="n"/>
      <c r="E1545" s="46" t="n"/>
      <c r="F1545" s="41" t="n"/>
      <c r="G1545" s="41" t="n"/>
      <c r="H1545" s="41" t="n"/>
      <c r="I1545" s="41" t="n"/>
      <c r="J1545" s="47" t="n"/>
      <c r="K1545" s="41" t="n"/>
      <c r="L1545" s="48" t="n"/>
      <c r="M1545" s="45" t="n"/>
      <c r="N1545" s="39">
        <f>IF($B1545="","",IF(SUMPRODUCT((LISTAS!$O$3:$O$42&lt;&gt;"")*ISNUMBER(SEARCH(LISTAS!$O$3:$O$42,$I1545&amp;" "&amp;$K1545)))&gt;0,"CERCANA","NACIONAL"))</f>
        <v/>
      </c>
      <c r="O1545" s="39">
        <f>IF($B1545="","",IF(COUNTIFS(NOVEDADES!$C$4:$C$2003,$B1545)=0,"—","SÍ ("&amp;COUNTIFS(NOVEDADES!$C$4:$C$2003,$B1545)&amp;")"))</f>
        <v/>
      </c>
    </row>
    <row r="1546">
      <c r="A1546" s="41" t="n"/>
      <c r="B1546" s="41" t="n"/>
      <c r="C1546" s="41" t="n"/>
      <c r="D1546" s="41" t="n"/>
      <c r="E1546" s="46" t="n"/>
      <c r="F1546" s="41" t="n"/>
      <c r="G1546" s="41" t="n"/>
      <c r="H1546" s="41" t="n"/>
      <c r="I1546" s="41" t="n"/>
      <c r="J1546" s="47" t="n"/>
      <c r="K1546" s="41" t="n"/>
      <c r="L1546" s="48" t="n"/>
      <c r="M1546" s="45" t="n"/>
      <c r="N1546" s="39">
        <f>IF($B1546="","",IF(SUMPRODUCT((LISTAS!$O$3:$O$42&lt;&gt;"")*ISNUMBER(SEARCH(LISTAS!$O$3:$O$42,$I1546&amp;" "&amp;$K1546)))&gt;0,"CERCANA","NACIONAL"))</f>
        <v/>
      </c>
      <c r="O1546" s="39">
        <f>IF($B1546="","",IF(COUNTIFS(NOVEDADES!$C$4:$C$2003,$B1546)=0,"—","SÍ ("&amp;COUNTIFS(NOVEDADES!$C$4:$C$2003,$B1546)&amp;")"))</f>
        <v/>
      </c>
    </row>
    <row r="1547">
      <c r="A1547" s="41" t="n"/>
      <c r="B1547" s="41" t="n"/>
      <c r="C1547" s="41" t="n"/>
      <c r="D1547" s="41" t="n"/>
      <c r="E1547" s="46" t="n"/>
      <c r="F1547" s="41" t="n"/>
      <c r="G1547" s="41" t="n"/>
      <c r="H1547" s="41" t="n"/>
      <c r="I1547" s="41" t="n"/>
      <c r="J1547" s="47" t="n"/>
      <c r="K1547" s="41" t="n"/>
      <c r="L1547" s="48" t="n"/>
      <c r="M1547" s="45" t="n"/>
      <c r="N1547" s="39">
        <f>IF($B1547="","",IF(SUMPRODUCT((LISTAS!$O$3:$O$42&lt;&gt;"")*ISNUMBER(SEARCH(LISTAS!$O$3:$O$42,$I1547&amp;" "&amp;$K1547)))&gt;0,"CERCANA","NACIONAL"))</f>
        <v/>
      </c>
      <c r="O1547" s="39">
        <f>IF($B1547="","",IF(COUNTIFS(NOVEDADES!$C$4:$C$2003,$B1547)=0,"—","SÍ ("&amp;COUNTIFS(NOVEDADES!$C$4:$C$2003,$B1547)&amp;")"))</f>
        <v/>
      </c>
    </row>
    <row r="1548">
      <c r="A1548" s="41" t="n"/>
      <c r="B1548" s="41" t="n"/>
      <c r="C1548" s="41" t="n"/>
      <c r="D1548" s="41" t="n"/>
      <c r="E1548" s="46" t="n"/>
      <c r="F1548" s="41" t="n"/>
      <c r="G1548" s="41" t="n"/>
      <c r="H1548" s="41" t="n"/>
      <c r="I1548" s="41" t="n"/>
      <c r="J1548" s="47" t="n"/>
      <c r="K1548" s="41" t="n"/>
      <c r="L1548" s="48" t="n"/>
      <c r="M1548" s="45" t="n"/>
      <c r="N1548" s="39">
        <f>IF($B1548="","",IF(SUMPRODUCT((LISTAS!$O$3:$O$42&lt;&gt;"")*ISNUMBER(SEARCH(LISTAS!$O$3:$O$42,$I1548&amp;" "&amp;$K1548)))&gt;0,"CERCANA","NACIONAL"))</f>
        <v/>
      </c>
      <c r="O1548" s="39">
        <f>IF($B1548="","",IF(COUNTIFS(NOVEDADES!$C$4:$C$2003,$B1548)=0,"—","SÍ ("&amp;COUNTIFS(NOVEDADES!$C$4:$C$2003,$B1548)&amp;")"))</f>
        <v/>
      </c>
    </row>
    <row r="1549">
      <c r="A1549" s="41" t="n"/>
      <c r="B1549" s="41" t="n"/>
      <c r="C1549" s="41" t="n"/>
      <c r="D1549" s="41" t="n"/>
      <c r="E1549" s="46" t="n"/>
      <c r="F1549" s="41" t="n"/>
      <c r="G1549" s="41" t="n"/>
      <c r="H1549" s="41" t="n"/>
      <c r="I1549" s="41" t="n"/>
      <c r="J1549" s="47" t="n"/>
      <c r="K1549" s="41" t="n"/>
      <c r="L1549" s="48" t="n"/>
      <c r="M1549" s="45" t="n"/>
      <c r="N1549" s="39">
        <f>IF($B1549="","",IF(SUMPRODUCT((LISTAS!$O$3:$O$42&lt;&gt;"")*ISNUMBER(SEARCH(LISTAS!$O$3:$O$42,$I1549&amp;" "&amp;$K1549)))&gt;0,"CERCANA","NACIONAL"))</f>
        <v/>
      </c>
      <c r="O1549" s="39">
        <f>IF($B1549="","",IF(COUNTIFS(NOVEDADES!$C$4:$C$2003,$B1549)=0,"—","SÍ ("&amp;COUNTIFS(NOVEDADES!$C$4:$C$2003,$B1549)&amp;")"))</f>
        <v/>
      </c>
    </row>
    <row r="1550">
      <c r="A1550" s="41" t="n"/>
      <c r="B1550" s="41" t="n"/>
      <c r="C1550" s="41" t="n"/>
      <c r="D1550" s="41" t="n"/>
      <c r="E1550" s="46" t="n"/>
      <c r="F1550" s="41" t="n"/>
      <c r="G1550" s="41" t="n"/>
      <c r="H1550" s="41" t="n"/>
      <c r="I1550" s="41" t="n"/>
      <c r="J1550" s="47" t="n"/>
      <c r="K1550" s="41" t="n"/>
      <c r="L1550" s="48" t="n"/>
      <c r="M1550" s="45" t="n"/>
      <c r="N1550" s="39">
        <f>IF($B1550="","",IF(SUMPRODUCT((LISTAS!$O$3:$O$42&lt;&gt;"")*ISNUMBER(SEARCH(LISTAS!$O$3:$O$42,$I1550&amp;" "&amp;$K1550)))&gt;0,"CERCANA","NACIONAL"))</f>
        <v/>
      </c>
      <c r="O1550" s="39">
        <f>IF($B1550="","",IF(COUNTIFS(NOVEDADES!$C$4:$C$2003,$B1550)=0,"—","SÍ ("&amp;COUNTIFS(NOVEDADES!$C$4:$C$2003,$B1550)&amp;")"))</f>
        <v/>
      </c>
    </row>
    <row r="1551">
      <c r="A1551" s="41" t="n"/>
      <c r="B1551" s="41" t="n"/>
      <c r="C1551" s="41" t="n"/>
      <c r="D1551" s="41" t="n"/>
      <c r="E1551" s="46" t="n"/>
      <c r="F1551" s="41" t="n"/>
      <c r="G1551" s="41" t="n"/>
      <c r="H1551" s="41" t="n"/>
      <c r="I1551" s="41" t="n"/>
      <c r="J1551" s="47" t="n"/>
      <c r="K1551" s="41" t="n"/>
      <c r="L1551" s="48" t="n"/>
      <c r="M1551" s="45" t="n"/>
      <c r="N1551" s="39">
        <f>IF($B1551="","",IF(SUMPRODUCT((LISTAS!$O$3:$O$42&lt;&gt;"")*ISNUMBER(SEARCH(LISTAS!$O$3:$O$42,$I1551&amp;" "&amp;$K1551)))&gt;0,"CERCANA","NACIONAL"))</f>
        <v/>
      </c>
      <c r="O1551" s="39">
        <f>IF($B1551="","",IF(COUNTIFS(NOVEDADES!$C$4:$C$2003,$B1551)=0,"—","SÍ ("&amp;COUNTIFS(NOVEDADES!$C$4:$C$2003,$B1551)&amp;")"))</f>
        <v/>
      </c>
    </row>
    <row r="1552">
      <c r="A1552" s="41" t="n"/>
      <c r="B1552" s="41" t="n"/>
      <c r="C1552" s="41" t="n"/>
      <c r="D1552" s="41" t="n"/>
      <c r="E1552" s="46" t="n"/>
      <c r="F1552" s="41" t="n"/>
      <c r="G1552" s="41" t="n"/>
      <c r="H1552" s="41" t="n"/>
      <c r="I1552" s="41" t="n"/>
      <c r="J1552" s="47" t="n"/>
      <c r="K1552" s="41" t="n"/>
      <c r="L1552" s="48" t="n"/>
      <c r="M1552" s="45" t="n"/>
      <c r="N1552" s="39">
        <f>IF($B1552="","",IF(SUMPRODUCT((LISTAS!$O$3:$O$42&lt;&gt;"")*ISNUMBER(SEARCH(LISTAS!$O$3:$O$42,$I1552&amp;" "&amp;$K1552)))&gt;0,"CERCANA","NACIONAL"))</f>
        <v/>
      </c>
      <c r="O1552" s="39">
        <f>IF($B1552="","",IF(COUNTIFS(NOVEDADES!$C$4:$C$2003,$B1552)=0,"—","SÍ ("&amp;COUNTIFS(NOVEDADES!$C$4:$C$2003,$B1552)&amp;")"))</f>
        <v/>
      </c>
    </row>
    <row r="1553">
      <c r="A1553" s="41" t="n"/>
      <c r="B1553" s="41" t="n"/>
      <c r="C1553" s="41" t="n"/>
      <c r="D1553" s="41" t="n"/>
      <c r="E1553" s="46" t="n"/>
      <c r="F1553" s="41" t="n"/>
      <c r="G1553" s="41" t="n"/>
      <c r="H1553" s="41" t="n"/>
      <c r="I1553" s="41" t="n"/>
      <c r="J1553" s="47" t="n"/>
      <c r="K1553" s="41" t="n"/>
      <c r="L1553" s="48" t="n"/>
      <c r="M1553" s="45" t="n"/>
      <c r="N1553" s="39">
        <f>IF($B1553="","",IF(SUMPRODUCT((LISTAS!$O$3:$O$42&lt;&gt;"")*ISNUMBER(SEARCH(LISTAS!$O$3:$O$42,$I1553&amp;" "&amp;$K1553)))&gt;0,"CERCANA","NACIONAL"))</f>
        <v/>
      </c>
      <c r="O1553" s="39">
        <f>IF($B1553="","",IF(COUNTIFS(NOVEDADES!$C$4:$C$2003,$B1553)=0,"—","SÍ ("&amp;COUNTIFS(NOVEDADES!$C$4:$C$2003,$B1553)&amp;")"))</f>
        <v/>
      </c>
    </row>
    <row r="1554">
      <c r="A1554" s="41" t="n"/>
      <c r="B1554" s="41" t="n"/>
      <c r="C1554" s="41" t="n"/>
      <c r="D1554" s="41" t="n"/>
      <c r="E1554" s="46" t="n"/>
      <c r="F1554" s="41" t="n"/>
      <c r="G1554" s="41" t="n"/>
      <c r="H1554" s="41" t="n"/>
      <c r="I1554" s="41" t="n"/>
      <c r="J1554" s="47" t="n"/>
      <c r="K1554" s="41" t="n"/>
      <c r="L1554" s="48" t="n"/>
      <c r="M1554" s="45" t="n"/>
      <c r="N1554" s="39">
        <f>IF($B1554="","",IF(SUMPRODUCT((LISTAS!$O$3:$O$42&lt;&gt;"")*ISNUMBER(SEARCH(LISTAS!$O$3:$O$42,$I1554&amp;" "&amp;$K1554)))&gt;0,"CERCANA","NACIONAL"))</f>
        <v/>
      </c>
      <c r="O1554" s="39">
        <f>IF($B1554="","",IF(COUNTIFS(NOVEDADES!$C$4:$C$2003,$B1554)=0,"—","SÍ ("&amp;COUNTIFS(NOVEDADES!$C$4:$C$2003,$B1554)&amp;")"))</f>
        <v/>
      </c>
    </row>
    <row r="1555">
      <c r="A1555" s="41" t="n"/>
      <c r="B1555" s="41" t="n"/>
      <c r="C1555" s="41" t="n"/>
      <c r="D1555" s="41" t="n"/>
      <c r="E1555" s="46" t="n"/>
      <c r="F1555" s="41" t="n"/>
      <c r="G1555" s="41" t="n"/>
      <c r="H1555" s="41" t="n"/>
      <c r="I1555" s="41" t="n"/>
      <c r="J1555" s="47" t="n"/>
      <c r="K1555" s="41" t="n"/>
      <c r="L1555" s="48" t="n"/>
      <c r="M1555" s="45" t="n"/>
      <c r="N1555" s="39">
        <f>IF($B1555="","",IF(SUMPRODUCT((LISTAS!$O$3:$O$42&lt;&gt;"")*ISNUMBER(SEARCH(LISTAS!$O$3:$O$42,$I1555&amp;" "&amp;$K1555)))&gt;0,"CERCANA","NACIONAL"))</f>
        <v/>
      </c>
      <c r="O1555" s="39">
        <f>IF($B1555="","",IF(COUNTIFS(NOVEDADES!$C$4:$C$2003,$B1555)=0,"—","SÍ ("&amp;COUNTIFS(NOVEDADES!$C$4:$C$2003,$B1555)&amp;")"))</f>
        <v/>
      </c>
    </row>
    <row r="1556">
      <c r="A1556" s="41" t="n"/>
      <c r="B1556" s="41" t="n"/>
      <c r="C1556" s="41" t="n"/>
      <c r="D1556" s="41" t="n"/>
      <c r="E1556" s="46" t="n"/>
      <c r="F1556" s="41" t="n"/>
      <c r="G1556" s="41" t="n"/>
      <c r="H1556" s="41" t="n"/>
      <c r="I1556" s="41" t="n"/>
      <c r="J1556" s="47" t="n"/>
      <c r="K1556" s="41" t="n"/>
      <c r="L1556" s="48" t="n"/>
      <c r="M1556" s="45" t="n"/>
      <c r="N1556" s="39">
        <f>IF($B1556="","",IF(SUMPRODUCT((LISTAS!$O$3:$O$42&lt;&gt;"")*ISNUMBER(SEARCH(LISTAS!$O$3:$O$42,$I1556&amp;" "&amp;$K1556)))&gt;0,"CERCANA","NACIONAL"))</f>
        <v/>
      </c>
      <c r="O1556" s="39">
        <f>IF($B1556="","",IF(COUNTIFS(NOVEDADES!$C$4:$C$2003,$B1556)=0,"—","SÍ ("&amp;COUNTIFS(NOVEDADES!$C$4:$C$2003,$B1556)&amp;")"))</f>
        <v/>
      </c>
    </row>
    <row r="1557">
      <c r="A1557" s="41" t="n"/>
      <c r="B1557" s="41" t="n"/>
      <c r="C1557" s="41" t="n"/>
      <c r="D1557" s="41" t="n"/>
      <c r="E1557" s="46" t="n"/>
      <c r="F1557" s="41" t="n"/>
      <c r="G1557" s="41" t="n"/>
      <c r="H1557" s="41" t="n"/>
      <c r="I1557" s="41" t="n"/>
      <c r="J1557" s="47" t="n"/>
      <c r="K1557" s="41" t="n"/>
      <c r="L1557" s="48" t="n"/>
      <c r="M1557" s="45" t="n"/>
      <c r="N1557" s="39">
        <f>IF($B1557="","",IF(SUMPRODUCT((LISTAS!$O$3:$O$42&lt;&gt;"")*ISNUMBER(SEARCH(LISTAS!$O$3:$O$42,$I1557&amp;" "&amp;$K1557)))&gt;0,"CERCANA","NACIONAL"))</f>
        <v/>
      </c>
      <c r="O1557" s="39">
        <f>IF($B1557="","",IF(COUNTIFS(NOVEDADES!$C$4:$C$2003,$B1557)=0,"—","SÍ ("&amp;COUNTIFS(NOVEDADES!$C$4:$C$2003,$B1557)&amp;")"))</f>
        <v/>
      </c>
    </row>
    <row r="1558">
      <c r="A1558" s="41" t="n"/>
      <c r="B1558" s="41" t="n"/>
      <c r="C1558" s="41" t="n"/>
      <c r="D1558" s="41" t="n"/>
      <c r="E1558" s="46" t="n"/>
      <c r="F1558" s="41" t="n"/>
      <c r="G1558" s="41" t="n"/>
      <c r="H1558" s="41" t="n"/>
      <c r="I1558" s="41" t="n"/>
      <c r="J1558" s="47" t="n"/>
      <c r="K1558" s="41" t="n"/>
      <c r="L1558" s="48" t="n"/>
      <c r="M1558" s="45" t="n"/>
      <c r="N1558" s="39">
        <f>IF($B1558="","",IF(SUMPRODUCT((LISTAS!$O$3:$O$42&lt;&gt;"")*ISNUMBER(SEARCH(LISTAS!$O$3:$O$42,$I1558&amp;" "&amp;$K1558)))&gt;0,"CERCANA","NACIONAL"))</f>
        <v/>
      </c>
      <c r="O1558" s="39">
        <f>IF($B1558="","",IF(COUNTIFS(NOVEDADES!$C$4:$C$2003,$B1558)=0,"—","SÍ ("&amp;COUNTIFS(NOVEDADES!$C$4:$C$2003,$B1558)&amp;")"))</f>
        <v/>
      </c>
    </row>
    <row r="1559">
      <c r="A1559" s="41" t="n"/>
      <c r="B1559" s="41" t="n"/>
      <c r="C1559" s="41" t="n"/>
      <c r="D1559" s="41" t="n"/>
      <c r="E1559" s="46" t="n"/>
      <c r="F1559" s="41" t="n"/>
      <c r="G1559" s="41" t="n"/>
      <c r="H1559" s="41" t="n"/>
      <c r="I1559" s="41" t="n"/>
      <c r="J1559" s="47" t="n"/>
      <c r="K1559" s="41" t="n"/>
      <c r="L1559" s="48" t="n"/>
      <c r="M1559" s="45" t="n"/>
      <c r="N1559" s="39">
        <f>IF($B1559="","",IF(SUMPRODUCT((LISTAS!$O$3:$O$42&lt;&gt;"")*ISNUMBER(SEARCH(LISTAS!$O$3:$O$42,$I1559&amp;" "&amp;$K1559)))&gt;0,"CERCANA","NACIONAL"))</f>
        <v/>
      </c>
      <c r="O1559" s="39">
        <f>IF($B1559="","",IF(COUNTIFS(NOVEDADES!$C$4:$C$2003,$B1559)=0,"—","SÍ ("&amp;COUNTIFS(NOVEDADES!$C$4:$C$2003,$B1559)&amp;")"))</f>
        <v/>
      </c>
    </row>
    <row r="1560">
      <c r="A1560" s="41" t="n"/>
      <c r="B1560" s="41" t="n"/>
      <c r="C1560" s="41" t="n"/>
      <c r="D1560" s="41" t="n"/>
      <c r="E1560" s="46" t="n"/>
      <c r="F1560" s="41" t="n"/>
      <c r="G1560" s="41" t="n"/>
      <c r="H1560" s="41" t="n"/>
      <c r="I1560" s="41" t="n"/>
      <c r="J1560" s="47" t="n"/>
      <c r="K1560" s="41" t="n"/>
      <c r="L1560" s="48" t="n"/>
      <c r="M1560" s="45" t="n"/>
      <c r="N1560" s="39">
        <f>IF($B1560="","",IF(SUMPRODUCT((LISTAS!$O$3:$O$42&lt;&gt;"")*ISNUMBER(SEARCH(LISTAS!$O$3:$O$42,$I1560&amp;" "&amp;$K1560)))&gt;0,"CERCANA","NACIONAL"))</f>
        <v/>
      </c>
      <c r="O1560" s="39">
        <f>IF($B1560="","",IF(COUNTIFS(NOVEDADES!$C$4:$C$2003,$B1560)=0,"—","SÍ ("&amp;COUNTIFS(NOVEDADES!$C$4:$C$2003,$B1560)&amp;")"))</f>
        <v/>
      </c>
    </row>
    <row r="1561">
      <c r="A1561" s="41" t="n"/>
      <c r="B1561" s="41" t="n"/>
      <c r="C1561" s="41" t="n"/>
      <c r="D1561" s="41" t="n"/>
      <c r="E1561" s="46" t="n"/>
      <c r="F1561" s="41" t="n"/>
      <c r="G1561" s="41" t="n"/>
      <c r="H1561" s="41" t="n"/>
      <c r="I1561" s="41" t="n"/>
      <c r="J1561" s="47" t="n"/>
      <c r="K1561" s="41" t="n"/>
      <c r="L1561" s="48" t="n"/>
      <c r="M1561" s="45" t="n"/>
      <c r="N1561" s="39">
        <f>IF($B1561="","",IF(SUMPRODUCT((LISTAS!$O$3:$O$42&lt;&gt;"")*ISNUMBER(SEARCH(LISTAS!$O$3:$O$42,$I1561&amp;" "&amp;$K1561)))&gt;0,"CERCANA","NACIONAL"))</f>
        <v/>
      </c>
      <c r="O1561" s="39">
        <f>IF($B1561="","",IF(COUNTIFS(NOVEDADES!$C$4:$C$2003,$B1561)=0,"—","SÍ ("&amp;COUNTIFS(NOVEDADES!$C$4:$C$2003,$B1561)&amp;")"))</f>
        <v/>
      </c>
    </row>
    <row r="1562">
      <c r="A1562" s="41" t="n"/>
      <c r="B1562" s="41" t="n"/>
      <c r="C1562" s="41" t="n"/>
      <c r="D1562" s="41" t="n"/>
      <c r="E1562" s="46" t="n"/>
      <c r="F1562" s="41" t="n"/>
      <c r="G1562" s="41" t="n"/>
      <c r="H1562" s="41" t="n"/>
      <c r="I1562" s="41" t="n"/>
      <c r="J1562" s="47" t="n"/>
      <c r="K1562" s="41" t="n"/>
      <c r="L1562" s="48" t="n"/>
      <c r="M1562" s="45" t="n"/>
      <c r="N1562" s="39">
        <f>IF($B1562="","",IF(SUMPRODUCT((LISTAS!$O$3:$O$42&lt;&gt;"")*ISNUMBER(SEARCH(LISTAS!$O$3:$O$42,$I1562&amp;" "&amp;$K1562)))&gt;0,"CERCANA","NACIONAL"))</f>
        <v/>
      </c>
      <c r="O1562" s="39">
        <f>IF($B1562="","",IF(COUNTIFS(NOVEDADES!$C$4:$C$2003,$B1562)=0,"—","SÍ ("&amp;COUNTIFS(NOVEDADES!$C$4:$C$2003,$B1562)&amp;")"))</f>
        <v/>
      </c>
    </row>
    <row r="1563">
      <c r="A1563" s="41" t="n"/>
      <c r="B1563" s="41" t="n"/>
      <c r="C1563" s="41" t="n"/>
      <c r="D1563" s="41" t="n"/>
      <c r="E1563" s="46" t="n"/>
      <c r="F1563" s="41" t="n"/>
      <c r="G1563" s="41" t="n"/>
      <c r="H1563" s="41" t="n"/>
      <c r="I1563" s="41" t="n"/>
      <c r="J1563" s="47" t="n"/>
      <c r="K1563" s="41" t="n"/>
      <c r="L1563" s="48" t="n"/>
      <c r="M1563" s="45" t="n"/>
      <c r="N1563" s="39">
        <f>IF($B1563="","",IF(SUMPRODUCT((LISTAS!$O$3:$O$42&lt;&gt;"")*ISNUMBER(SEARCH(LISTAS!$O$3:$O$42,$I1563&amp;" "&amp;$K1563)))&gt;0,"CERCANA","NACIONAL"))</f>
        <v/>
      </c>
      <c r="O1563" s="39">
        <f>IF($B1563="","",IF(COUNTIFS(NOVEDADES!$C$4:$C$2003,$B1563)=0,"—","SÍ ("&amp;COUNTIFS(NOVEDADES!$C$4:$C$2003,$B1563)&amp;")"))</f>
        <v/>
      </c>
    </row>
    <row r="1564">
      <c r="A1564" s="41" t="n"/>
      <c r="B1564" s="41" t="n"/>
      <c r="C1564" s="41" t="n"/>
      <c r="D1564" s="41" t="n"/>
      <c r="E1564" s="46" t="n"/>
      <c r="F1564" s="41" t="n"/>
      <c r="G1564" s="41" t="n"/>
      <c r="H1564" s="41" t="n"/>
      <c r="I1564" s="41" t="n"/>
      <c r="J1564" s="47" t="n"/>
      <c r="K1564" s="41" t="n"/>
      <c r="L1564" s="48" t="n"/>
      <c r="M1564" s="45" t="n"/>
      <c r="N1564" s="39">
        <f>IF($B1564="","",IF(SUMPRODUCT((LISTAS!$O$3:$O$42&lt;&gt;"")*ISNUMBER(SEARCH(LISTAS!$O$3:$O$42,$I1564&amp;" "&amp;$K1564)))&gt;0,"CERCANA","NACIONAL"))</f>
        <v/>
      </c>
      <c r="O1564" s="39">
        <f>IF($B1564="","",IF(COUNTIFS(NOVEDADES!$C$4:$C$2003,$B1564)=0,"—","SÍ ("&amp;COUNTIFS(NOVEDADES!$C$4:$C$2003,$B1564)&amp;")"))</f>
        <v/>
      </c>
    </row>
    <row r="1565">
      <c r="A1565" s="41" t="n"/>
      <c r="B1565" s="41" t="n"/>
      <c r="C1565" s="41" t="n"/>
      <c r="D1565" s="41" t="n"/>
      <c r="E1565" s="46" t="n"/>
      <c r="F1565" s="41" t="n"/>
      <c r="G1565" s="41" t="n"/>
      <c r="H1565" s="41" t="n"/>
      <c r="I1565" s="41" t="n"/>
      <c r="J1565" s="47" t="n"/>
      <c r="K1565" s="41" t="n"/>
      <c r="L1565" s="48" t="n"/>
      <c r="M1565" s="45" t="n"/>
      <c r="N1565" s="39">
        <f>IF($B1565="","",IF(SUMPRODUCT((LISTAS!$O$3:$O$42&lt;&gt;"")*ISNUMBER(SEARCH(LISTAS!$O$3:$O$42,$I1565&amp;" "&amp;$K1565)))&gt;0,"CERCANA","NACIONAL"))</f>
        <v/>
      </c>
      <c r="O1565" s="39">
        <f>IF($B1565="","",IF(COUNTIFS(NOVEDADES!$C$4:$C$2003,$B1565)=0,"—","SÍ ("&amp;COUNTIFS(NOVEDADES!$C$4:$C$2003,$B1565)&amp;")"))</f>
        <v/>
      </c>
    </row>
    <row r="1566">
      <c r="A1566" s="41" t="n"/>
      <c r="B1566" s="41" t="n"/>
      <c r="C1566" s="41" t="n"/>
      <c r="D1566" s="41" t="n"/>
      <c r="E1566" s="46" t="n"/>
      <c r="F1566" s="41" t="n"/>
      <c r="G1566" s="41" t="n"/>
      <c r="H1566" s="41" t="n"/>
      <c r="I1566" s="41" t="n"/>
      <c r="J1566" s="47" t="n"/>
      <c r="K1566" s="41" t="n"/>
      <c r="L1566" s="48" t="n"/>
      <c r="M1566" s="45" t="n"/>
      <c r="N1566" s="39">
        <f>IF($B1566="","",IF(SUMPRODUCT((LISTAS!$O$3:$O$42&lt;&gt;"")*ISNUMBER(SEARCH(LISTAS!$O$3:$O$42,$I1566&amp;" "&amp;$K1566)))&gt;0,"CERCANA","NACIONAL"))</f>
        <v/>
      </c>
      <c r="O1566" s="39">
        <f>IF($B1566="","",IF(COUNTIFS(NOVEDADES!$C$4:$C$2003,$B1566)=0,"—","SÍ ("&amp;COUNTIFS(NOVEDADES!$C$4:$C$2003,$B1566)&amp;")"))</f>
        <v/>
      </c>
    </row>
    <row r="1567">
      <c r="A1567" s="41" t="n"/>
      <c r="B1567" s="41" t="n"/>
      <c r="C1567" s="41" t="n"/>
      <c r="D1567" s="41" t="n"/>
      <c r="E1567" s="46" t="n"/>
      <c r="F1567" s="41" t="n"/>
      <c r="G1567" s="41" t="n"/>
      <c r="H1567" s="41" t="n"/>
      <c r="I1567" s="41" t="n"/>
      <c r="J1567" s="47" t="n"/>
      <c r="K1567" s="41" t="n"/>
      <c r="L1567" s="48" t="n"/>
      <c r="M1567" s="45" t="n"/>
      <c r="N1567" s="39">
        <f>IF($B1567="","",IF(SUMPRODUCT((LISTAS!$O$3:$O$42&lt;&gt;"")*ISNUMBER(SEARCH(LISTAS!$O$3:$O$42,$I1567&amp;" "&amp;$K1567)))&gt;0,"CERCANA","NACIONAL"))</f>
        <v/>
      </c>
      <c r="O1567" s="39">
        <f>IF($B1567="","",IF(COUNTIFS(NOVEDADES!$C$4:$C$2003,$B1567)=0,"—","SÍ ("&amp;COUNTIFS(NOVEDADES!$C$4:$C$2003,$B1567)&amp;")"))</f>
        <v/>
      </c>
    </row>
    <row r="1568">
      <c r="A1568" s="41" t="n"/>
      <c r="B1568" s="41" t="n"/>
      <c r="C1568" s="41" t="n"/>
      <c r="D1568" s="41" t="n"/>
      <c r="E1568" s="46" t="n"/>
      <c r="F1568" s="41" t="n"/>
      <c r="G1568" s="41" t="n"/>
      <c r="H1568" s="41" t="n"/>
      <c r="I1568" s="41" t="n"/>
      <c r="J1568" s="47" t="n"/>
      <c r="K1568" s="41" t="n"/>
      <c r="L1568" s="48" t="n"/>
      <c r="M1568" s="45" t="n"/>
      <c r="N1568" s="39">
        <f>IF($B1568="","",IF(SUMPRODUCT((LISTAS!$O$3:$O$42&lt;&gt;"")*ISNUMBER(SEARCH(LISTAS!$O$3:$O$42,$I1568&amp;" "&amp;$K1568)))&gt;0,"CERCANA","NACIONAL"))</f>
        <v/>
      </c>
      <c r="O1568" s="39">
        <f>IF($B1568="","",IF(COUNTIFS(NOVEDADES!$C$4:$C$2003,$B1568)=0,"—","SÍ ("&amp;COUNTIFS(NOVEDADES!$C$4:$C$2003,$B1568)&amp;")"))</f>
        <v/>
      </c>
    </row>
    <row r="1569">
      <c r="A1569" s="41" t="n"/>
      <c r="B1569" s="41" t="n"/>
      <c r="C1569" s="41" t="n"/>
      <c r="D1569" s="41" t="n"/>
      <c r="E1569" s="46" t="n"/>
      <c r="F1569" s="41" t="n"/>
      <c r="G1569" s="41" t="n"/>
      <c r="H1569" s="41" t="n"/>
      <c r="I1569" s="41" t="n"/>
      <c r="J1569" s="47" t="n"/>
      <c r="K1569" s="41" t="n"/>
      <c r="L1569" s="48" t="n"/>
      <c r="M1569" s="45" t="n"/>
      <c r="N1569" s="39">
        <f>IF($B1569="","",IF(SUMPRODUCT((LISTAS!$O$3:$O$42&lt;&gt;"")*ISNUMBER(SEARCH(LISTAS!$O$3:$O$42,$I1569&amp;" "&amp;$K1569)))&gt;0,"CERCANA","NACIONAL"))</f>
        <v/>
      </c>
      <c r="O1569" s="39">
        <f>IF($B1569="","",IF(COUNTIFS(NOVEDADES!$C$4:$C$2003,$B1569)=0,"—","SÍ ("&amp;COUNTIFS(NOVEDADES!$C$4:$C$2003,$B1569)&amp;")"))</f>
        <v/>
      </c>
    </row>
    <row r="1570">
      <c r="A1570" s="41" t="n"/>
      <c r="B1570" s="41" t="n"/>
      <c r="C1570" s="41" t="n"/>
      <c r="D1570" s="41" t="n"/>
      <c r="E1570" s="46" t="n"/>
      <c r="F1570" s="41" t="n"/>
      <c r="G1570" s="41" t="n"/>
      <c r="H1570" s="41" t="n"/>
      <c r="I1570" s="41" t="n"/>
      <c r="J1570" s="47" t="n"/>
      <c r="K1570" s="41" t="n"/>
      <c r="L1570" s="48" t="n"/>
      <c r="M1570" s="45" t="n"/>
      <c r="N1570" s="39">
        <f>IF($B1570="","",IF(SUMPRODUCT((LISTAS!$O$3:$O$42&lt;&gt;"")*ISNUMBER(SEARCH(LISTAS!$O$3:$O$42,$I1570&amp;" "&amp;$K1570)))&gt;0,"CERCANA","NACIONAL"))</f>
        <v/>
      </c>
      <c r="O1570" s="39">
        <f>IF($B1570="","",IF(COUNTIFS(NOVEDADES!$C$4:$C$2003,$B1570)=0,"—","SÍ ("&amp;COUNTIFS(NOVEDADES!$C$4:$C$2003,$B1570)&amp;")"))</f>
        <v/>
      </c>
    </row>
    <row r="1571">
      <c r="A1571" s="41" t="n"/>
      <c r="B1571" s="41" t="n"/>
      <c r="C1571" s="41" t="n"/>
      <c r="D1571" s="41" t="n"/>
      <c r="E1571" s="46" t="n"/>
      <c r="F1571" s="41" t="n"/>
      <c r="G1571" s="41" t="n"/>
      <c r="H1571" s="41" t="n"/>
      <c r="I1571" s="41" t="n"/>
      <c r="J1571" s="47" t="n"/>
      <c r="K1571" s="41" t="n"/>
      <c r="L1571" s="48" t="n"/>
      <c r="M1571" s="45" t="n"/>
      <c r="N1571" s="39">
        <f>IF($B1571="","",IF(SUMPRODUCT((LISTAS!$O$3:$O$42&lt;&gt;"")*ISNUMBER(SEARCH(LISTAS!$O$3:$O$42,$I1571&amp;" "&amp;$K1571)))&gt;0,"CERCANA","NACIONAL"))</f>
        <v/>
      </c>
      <c r="O1571" s="39">
        <f>IF($B1571="","",IF(COUNTIFS(NOVEDADES!$C$4:$C$2003,$B1571)=0,"—","SÍ ("&amp;COUNTIFS(NOVEDADES!$C$4:$C$2003,$B1571)&amp;")"))</f>
        <v/>
      </c>
    </row>
    <row r="1572">
      <c r="A1572" s="41" t="n"/>
      <c r="B1572" s="41" t="n"/>
      <c r="C1572" s="41" t="n"/>
      <c r="D1572" s="41" t="n"/>
      <c r="E1572" s="46" t="n"/>
      <c r="F1572" s="41" t="n"/>
      <c r="G1572" s="41" t="n"/>
      <c r="H1572" s="41" t="n"/>
      <c r="I1572" s="41" t="n"/>
      <c r="J1572" s="47" t="n"/>
      <c r="K1572" s="41" t="n"/>
      <c r="L1572" s="48" t="n"/>
      <c r="M1572" s="45" t="n"/>
      <c r="N1572" s="39">
        <f>IF($B1572="","",IF(SUMPRODUCT((LISTAS!$O$3:$O$42&lt;&gt;"")*ISNUMBER(SEARCH(LISTAS!$O$3:$O$42,$I1572&amp;" "&amp;$K1572)))&gt;0,"CERCANA","NACIONAL"))</f>
        <v/>
      </c>
      <c r="O1572" s="39">
        <f>IF($B1572="","",IF(COUNTIFS(NOVEDADES!$C$4:$C$2003,$B1572)=0,"—","SÍ ("&amp;COUNTIFS(NOVEDADES!$C$4:$C$2003,$B1572)&amp;")"))</f>
        <v/>
      </c>
    </row>
    <row r="1573">
      <c r="A1573" s="41" t="n"/>
      <c r="B1573" s="41" t="n"/>
      <c r="C1573" s="41" t="n"/>
      <c r="D1573" s="41" t="n"/>
      <c r="E1573" s="46" t="n"/>
      <c r="F1573" s="41" t="n"/>
      <c r="G1573" s="41" t="n"/>
      <c r="H1573" s="41" t="n"/>
      <c r="I1573" s="41" t="n"/>
      <c r="J1573" s="47" t="n"/>
      <c r="K1573" s="41" t="n"/>
      <c r="L1573" s="48" t="n"/>
      <c r="M1573" s="45" t="n"/>
      <c r="N1573" s="39">
        <f>IF($B1573="","",IF(SUMPRODUCT((LISTAS!$O$3:$O$42&lt;&gt;"")*ISNUMBER(SEARCH(LISTAS!$O$3:$O$42,$I1573&amp;" "&amp;$K1573)))&gt;0,"CERCANA","NACIONAL"))</f>
        <v/>
      </c>
      <c r="O1573" s="39">
        <f>IF($B1573="","",IF(COUNTIFS(NOVEDADES!$C$4:$C$2003,$B1573)=0,"—","SÍ ("&amp;COUNTIFS(NOVEDADES!$C$4:$C$2003,$B1573)&amp;")"))</f>
        <v/>
      </c>
    </row>
    <row r="1574">
      <c r="A1574" s="41" t="n"/>
      <c r="B1574" s="41" t="n"/>
      <c r="C1574" s="41" t="n"/>
      <c r="D1574" s="41" t="n"/>
      <c r="E1574" s="46" t="n"/>
      <c r="F1574" s="41" t="n"/>
      <c r="G1574" s="41" t="n"/>
      <c r="H1574" s="41" t="n"/>
      <c r="I1574" s="41" t="n"/>
      <c r="J1574" s="47" t="n"/>
      <c r="K1574" s="41" t="n"/>
      <c r="L1574" s="48" t="n"/>
      <c r="M1574" s="45" t="n"/>
      <c r="N1574" s="39">
        <f>IF($B1574="","",IF(SUMPRODUCT((LISTAS!$O$3:$O$42&lt;&gt;"")*ISNUMBER(SEARCH(LISTAS!$O$3:$O$42,$I1574&amp;" "&amp;$K1574)))&gt;0,"CERCANA","NACIONAL"))</f>
        <v/>
      </c>
      <c r="O1574" s="39">
        <f>IF($B1574="","",IF(COUNTIFS(NOVEDADES!$C$4:$C$2003,$B1574)=0,"—","SÍ ("&amp;COUNTIFS(NOVEDADES!$C$4:$C$2003,$B1574)&amp;")"))</f>
        <v/>
      </c>
    </row>
    <row r="1575">
      <c r="A1575" s="41" t="n"/>
      <c r="B1575" s="41" t="n"/>
      <c r="C1575" s="41" t="n"/>
      <c r="D1575" s="41" t="n"/>
      <c r="E1575" s="46" t="n"/>
      <c r="F1575" s="41" t="n"/>
      <c r="G1575" s="41" t="n"/>
      <c r="H1575" s="41" t="n"/>
      <c r="I1575" s="41" t="n"/>
      <c r="J1575" s="47" t="n"/>
      <c r="K1575" s="41" t="n"/>
      <c r="L1575" s="48" t="n"/>
      <c r="M1575" s="45" t="n"/>
      <c r="N1575" s="39">
        <f>IF($B1575="","",IF(SUMPRODUCT((LISTAS!$O$3:$O$42&lt;&gt;"")*ISNUMBER(SEARCH(LISTAS!$O$3:$O$42,$I1575&amp;" "&amp;$K1575)))&gt;0,"CERCANA","NACIONAL"))</f>
        <v/>
      </c>
      <c r="O1575" s="39">
        <f>IF($B1575="","",IF(COUNTIFS(NOVEDADES!$C$4:$C$2003,$B1575)=0,"—","SÍ ("&amp;COUNTIFS(NOVEDADES!$C$4:$C$2003,$B1575)&amp;")"))</f>
        <v/>
      </c>
    </row>
    <row r="1576">
      <c r="A1576" s="41" t="n"/>
      <c r="B1576" s="41" t="n"/>
      <c r="C1576" s="41" t="n"/>
      <c r="D1576" s="41" t="n"/>
      <c r="E1576" s="46" t="n"/>
      <c r="F1576" s="41" t="n"/>
      <c r="G1576" s="41" t="n"/>
      <c r="H1576" s="41" t="n"/>
      <c r="I1576" s="41" t="n"/>
      <c r="J1576" s="47" t="n"/>
      <c r="K1576" s="41" t="n"/>
      <c r="L1576" s="48" t="n"/>
      <c r="M1576" s="45" t="n"/>
      <c r="N1576" s="39">
        <f>IF($B1576="","",IF(SUMPRODUCT((LISTAS!$O$3:$O$42&lt;&gt;"")*ISNUMBER(SEARCH(LISTAS!$O$3:$O$42,$I1576&amp;" "&amp;$K1576)))&gt;0,"CERCANA","NACIONAL"))</f>
        <v/>
      </c>
      <c r="O1576" s="39">
        <f>IF($B1576="","",IF(COUNTIFS(NOVEDADES!$C$4:$C$2003,$B1576)=0,"—","SÍ ("&amp;COUNTIFS(NOVEDADES!$C$4:$C$2003,$B1576)&amp;")"))</f>
        <v/>
      </c>
    </row>
    <row r="1577">
      <c r="A1577" s="41" t="n"/>
      <c r="B1577" s="41" t="n"/>
      <c r="C1577" s="41" t="n"/>
      <c r="D1577" s="41" t="n"/>
      <c r="E1577" s="46" t="n"/>
      <c r="F1577" s="41" t="n"/>
      <c r="G1577" s="41" t="n"/>
      <c r="H1577" s="41" t="n"/>
      <c r="I1577" s="41" t="n"/>
      <c r="J1577" s="47" t="n"/>
      <c r="K1577" s="41" t="n"/>
      <c r="L1577" s="48" t="n"/>
      <c r="M1577" s="45" t="n"/>
      <c r="N1577" s="39">
        <f>IF($B1577="","",IF(SUMPRODUCT((LISTAS!$O$3:$O$42&lt;&gt;"")*ISNUMBER(SEARCH(LISTAS!$O$3:$O$42,$I1577&amp;" "&amp;$K1577)))&gt;0,"CERCANA","NACIONAL"))</f>
        <v/>
      </c>
      <c r="O1577" s="39">
        <f>IF($B1577="","",IF(COUNTIFS(NOVEDADES!$C$4:$C$2003,$B1577)=0,"—","SÍ ("&amp;COUNTIFS(NOVEDADES!$C$4:$C$2003,$B1577)&amp;")"))</f>
        <v/>
      </c>
    </row>
    <row r="1578">
      <c r="A1578" s="41" t="n"/>
      <c r="B1578" s="41" t="n"/>
      <c r="C1578" s="41" t="n"/>
      <c r="D1578" s="41" t="n"/>
      <c r="E1578" s="46" t="n"/>
      <c r="F1578" s="41" t="n"/>
      <c r="G1578" s="41" t="n"/>
      <c r="H1578" s="41" t="n"/>
      <c r="I1578" s="41" t="n"/>
      <c r="J1578" s="47" t="n"/>
      <c r="K1578" s="41" t="n"/>
      <c r="L1578" s="48" t="n"/>
      <c r="M1578" s="45" t="n"/>
      <c r="N1578" s="39">
        <f>IF($B1578="","",IF(SUMPRODUCT((LISTAS!$O$3:$O$42&lt;&gt;"")*ISNUMBER(SEARCH(LISTAS!$O$3:$O$42,$I1578&amp;" "&amp;$K1578)))&gt;0,"CERCANA","NACIONAL"))</f>
        <v/>
      </c>
      <c r="O1578" s="39">
        <f>IF($B1578="","",IF(COUNTIFS(NOVEDADES!$C$4:$C$2003,$B1578)=0,"—","SÍ ("&amp;COUNTIFS(NOVEDADES!$C$4:$C$2003,$B1578)&amp;")"))</f>
        <v/>
      </c>
    </row>
    <row r="1579">
      <c r="A1579" s="41" t="n"/>
      <c r="B1579" s="41" t="n"/>
      <c r="C1579" s="41" t="n"/>
      <c r="D1579" s="41" t="n"/>
      <c r="E1579" s="46" t="n"/>
      <c r="F1579" s="41" t="n"/>
      <c r="G1579" s="41" t="n"/>
      <c r="H1579" s="41" t="n"/>
      <c r="I1579" s="41" t="n"/>
      <c r="J1579" s="47" t="n"/>
      <c r="K1579" s="41" t="n"/>
      <c r="L1579" s="48" t="n"/>
      <c r="M1579" s="45" t="n"/>
      <c r="N1579" s="39">
        <f>IF($B1579="","",IF(SUMPRODUCT((LISTAS!$O$3:$O$42&lt;&gt;"")*ISNUMBER(SEARCH(LISTAS!$O$3:$O$42,$I1579&amp;" "&amp;$K1579)))&gt;0,"CERCANA","NACIONAL"))</f>
        <v/>
      </c>
      <c r="O1579" s="39">
        <f>IF($B1579="","",IF(COUNTIFS(NOVEDADES!$C$4:$C$2003,$B1579)=0,"—","SÍ ("&amp;COUNTIFS(NOVEDADES!$C$4:$C$2003,$B1579)&amp;")"))</f>
        <v/>
      </c>
    </row>
    <row r="1580">
      <c r="A1580" s="41" t="n"/>
      <c r="B1580" s="41" t="n"/>
      <c r="C1580" s="41" t="n"/>
      <c r="D1580" s="41" t="n"/>
      <c r="E1580" s="46" t="n"/>
      <c r="F1580" s="41" t="n"/>
      <c r="G1580" s="41" t="n"/>
      <c r="H1580" s="41" t="n"/>
      <c r="I1580" s="41" t="n"/>
      <c r="J1580" s="47" t="n"/>
      <c r="K1580" s="41" t="n"/>
      <c r="L1580" s="48" t="n"/>
      <c r="M1580" s="45" t="n"/>
      <c r="N1580" s="39">
        <f>IF($B1580="","",IF(SUMPRODUCT((LISTAS!$O$3:$O$42&lt;&gt;"")*ISNUMBER(SEARCH(LISTAS!$O$3:$O$42,$I1580&amp;" "&amp;$K1580)))&gt;0,"CERCANA","NACIONAL"))</f>
        <v/>
      </c>
      <c r="O1580" s="39">
        <f>IF($B1580="","",IF(COUNTIFS(NOVEDADES!$C$4:$C$2003,$B1580)=0,"—","SÍ ("&amp;COUNTIFS(NOVEDADES!$C$4:$C$2003,$B1580)&amp;")"))</f>
        <v/>
      </c>
    </row>
    <row r="1581">
      <c r="A1581" s="41" t="n"/>
      <c r="B1581" s="41" t="n"/>
      <c r="C1581" s="41" t="n"/>
      <c r="D1581" s="41" t="n"/>
      <c r="E1581" s="46" t="n"/>
      <c r="F1581" s="41" t="n"/>
      <c r="G1581" s="41" t="n"/>
      <c r="H1581" s="41" t="n"/>
      <c r="I1581" s="41" t="n"/>
      <c r="J1581" s="47" t="n"/>
      <c r="K1581" s="41" t="n"/>
      <c r="L1581" s="48" t="n"/>
      <c r="M1581" s="45" t="n"/>
      <c r="N1581" s="39">
        <f>IF($B1581="","",IF(SUMPRODUCT((LISTAS!$O$3:$O$42&lt;&gt;"")*ISNUMBER(SEARCH(LISTAS!$O$3:$O$42,$I1581&amp;" "&amp;$K1581)))&gt;0,"CERCANA","NACIONAL"))</f>
        <v/>
      </c>
      <c r="O1581" s="39">
        <f>IF($B1581="","",IF(COUNTIFS(NOVEDADES!$C$4:$C$2003,$B1581)=0,"—","SÍ ("&amp;COUNTIFS(NOVEDADES!$C$4:$C$2003,$B1581)&amp;")"))</f>
        <v/>
      </c>
    </row>
    <row r="1582">
      <c r="A1582" s="41" t="n"/>
      <c r="B1582" s="41" t="n"/>
      <c r="C1582" s="41" t="n"/>
      <c r="D1582" s="41" t="n"/>
      <c r="E1582" s="46" t="n"/>
      <c r="F1582" s="41" t="n"/>
      <c r="G1582" s="41" t="n"/>
      <c r="H1582" s="41" t="n"/>
      <c r="I1582" s="41" t="n"/>
      <c r="J1582" s="47" t="n"/>
      <c r="K1582" s="41" t="n"/>
      <c r="L1582" s="48" t="n"/>
      <c r="M1582" s="45" t="n"/>
      <c r="N1582" s="39">
        <f>IF($B1582="","",IF(SUMPRODUCT((LISTAS!$O$3:$O$42&lt;&gt;"")*ISNUMBER(SEARCH(LISTAS!$O$3:$O$42,$I1582&amp;" "&amp;$K1582)))&gt;0,"CERCANA","NACIONAL"))</f>
        <v/>
      </c>
      <c r="O1582" s="39">
        <f>IF($B1582="","",IF(COUNTIFS(NOVEDADES!$C$4:$C$2003,$B1582)=0,"—","SÍ ("&amp;COUNTIFS(NOVEDADES!$C$4:$C$2003,$B1582)&amp;")"))</f>
        <v/>
      </c>
    </row>
    <row r="1583">
      <c r="A1583" s="41" t="n"/>
      <c r="B1583" s="41" t="n"/>
      <c r="C1583" s="41" t="n"/>
      <c r="D1583" s="41" t="n"/>
      <c r="E1583" s="46" t="n"/>
      <c r="F1583" s="41" t="n"/>
      <c r="G1583" s="41" t="n"/>
      <c r="H1583" s="41" t="n"/>
      <c r="I1583" s="41" t="n"/>
      <c r="J1583" s="47" t="n"/>
      <c r="K1583" s="41" t="n"/>
      <c r="L1583" s="48" t="n"/>
      <c r="M1583" s="45" t="n"/>
      <c r="N1583" s="39">
        <f>IF($B1583="","",IF(SUMPRODUCT((LISTAS!$O$3:$O$42&lt;&gt;"")*ISNUMBER(SEARCH(LISTAS!$O$3:$O$42,$I1583&amp;" "&amp;$K1583)))&gt;0,"CERCANA","NACIONAL"))</f>
        <v/>
      </c>
      <c r="O1583" s="39">
        <f>IF($B1583="","",IF(COUNTIFS(NOVEDADES!$C$4:$C$2003,$B1583)=0,"—","SÍ ("&amp;COUNTIFS(NOVEDADES!$C$4:$C$2003,$B1583)&amp;")"))</f>
        <v/>
      </c>
    </row>
    <row r="1584">
      <c r="A1584" s="41" t="n"/>
      <c r="B1584" s="41" t="n"/>
      <c r="C1584" s="41" t="n"/>
      <c r="D1584" s="41" t="n"/>
      <c r="E1584" s="46" t="n"/>
      <c r="F1584" s="41" t="n"/>
      <c r="G1584" s="41" t="n"/>
      <c r="H1584" s="41" t="n"/>
      <c r="I1584" s="41" t="n"/>
      <c r="J1584" s="47" t="n"/>
      <c r="K1584" s="41" t="n"/>
      <c r="L1584" s="48" t="n"/>
      <c r="M1584" s="45" t="n"/>
      <c r="N1584" s="39">
        <f>IF($B1584="","",IF(SUMPRODUCT((LISTAS!$O$3:$O$42&lt;&gt;"")*ISNUMBER(SEARCH(LISTAS!$O$3:$O$42,$I1584&amp;" "&amp;$K1584)))&gt;0,"CERCANA","NACIONAL"))</f>
        <v/>
      </c>
      <c r="O1584" s="39">
        <f>IF($B1584="","",IF(COUNTIFS(NOVEDADES!$C$4:$C$2003,$B1584)=0,"—","SÍ ("&amp;COUNTIFS(NOVEDADES!$C$4:$C$2003,$B1584)&amp;")"))</f>
        <v/>
      </c>
    </row>
    <row r="1585">
      <c r="A1585" s="41" t="n"/>
      <c r="B1585" s="41" t="n"/>
      <c r="C1585" s="41" t="n"/>
      <c r="D1585" s="41" t="n"/>
      <c r="E1585" s="46" t="n"/>
      <c r="F1585" s="41" t="n"/>
      <c r="G1585" s="41" t="n"/>
      <c r="H1585" s="41" t="n"/>
      <c r="I1585" s="41" t="n"/>
      <c r="J1585" s="47" t="n"/>
      <c r="K1585" s="41" t="n"/>
      <c r="L1585" s="48" t="n"/>
      <c r="M1585" s="45" t="n"/>
      <c r="N1585" s="39">
        <f>IF($B1585="","",IF(SUMPRODUCT((LISTAS!$O$3:$O$42&lt;&gt;"")*ISNUMBER(SEARCH(LISTAS!$O$3:$O$42,$I1585&amp;" "&amp;$K1585)))&gt;0,"CERCANA","NACIONAL"))</f>
        <v/>
      </c>
      <c r="O1585" s="39">
        <f>IF($B1585="","",IF(COUNTIFS(NOVEDADES!$C$4:$C$2003,$B1585)=0,"—","SÍ ("&amp;COUNTIFS(NOVEDADES!$C$4:$C$2003,$B1585)&amp;")"))</f>
        <v/>
      </c>
    </row>
    <row r="1586">
      <c r="A1586" s="41" t="n"/>
      <c r="B1586" s="41" t="n"/>
      <c r="C1586" s="41" t="n"/>
      <c r="D1586" s="41" t="n"/>
      <c r="E1586" s="46" t="n"/>
      <c r="F1586" s="41" t="n"/>
      <c r="G1586" s="41" t="n"/>
      <c r="H1586" s="41" t="n"/>
      <c r="I1586" s="41" t="n"/>
      <c r="J1586" s="47" t="n"/>
      <c r="K1586" s="41" t="n"/>
      <c r="L1586" s="48" t="n"/>
      <c r="M1586" s="45" t="n"/>
      <c r="N1586" s="39">
        <f>IF($B1586="","",IF(SUMPRODUCT((LISTAS!$O$3:$O$42&lt;&gt;"")*ISNUMBER(SEARCH(LISTAS!$O$3:$O$42,$I1586&amp;" "&amp;$K1586)))&gt;0,"CERCANA","NACIONAL"))</f>
        <v/>
      </c>
      <c r="O1586" s="39">
        <f>IF($B1586="","",IF(COUNTIFS(NOVEDADES!$C$4:$C$2003,$B1586)=0,"—","SÍ ("&amp;COUNTIFS(NOVEDADES!$C$4:$C$2003,$B1586)&amp;")"))</f>
        <v/>
      </c>
    </row>
    <row r="1587">
      <c r="A1587" s="41" t="n"/>
      <c r="B1587" s="41" t="n"/>
      <c r="C1587" s="41" t="n"/>
      <c r="D1587" s="41" t="n"/>
      <c r="E1587" s="46" t="n"/>
      <c r="F1587" s="41" t="n"/>
      <c r="G1587" s="41" t="n"/>
      <c r="H1587" s="41" t="n"/>
      <c r="I1587" s="41" t="n"/>
      <c r="J1587" s="47" t="n"/>
      <c r="K1587" s="41" t="n"/>
      <c r="L1587" s="48" t="n"/>
      <c r="M1587" s="45" t="n"/>
      <c r="N1587" s="39">
        <f>IF($B1587="","",IF(SUMPRODUCT((LISTAS!$O$3:$O$42&lt;&gt;"")*ISNUMBER(SEARCH(LISTAS!$O$3:$O$42,$I1587&amp;" "&amp;$K1587)))&gt;0,"CERCANA","NACIONAL"))</f>
        <v/>
      </c>
      <c r="O1587" s="39">
        <f>IF($B1587="","",IF(COUNTIFS(NOVEDADES!$C$4:$C$2003,$B1587)=0,"—","SÍ ("&amp;COUNTIFS(NOVEDADES!$C$4:$C$2003,$B1587)&amp;")"))</f>
        <v/>
      </c>
    </row>
    <row r="1588">
      <c r="A1588" s="41" t="n"/>
      <c r="B1588" s="41" t="n"/>
      <c r="C1588" s="41" t="n"/>
      <c r="D1588" s="41" t="n"/>
      <c r="E1588" s="46" t="n"/>
      <c r="F1588" s="41" t="n"/>
      <c r="G1588" s="41" t="n"/>
      <c r="H1588" s="41" t="n"/>
      <c r="I1588" s="41" t="n"/>
      <c r="J1588" s="47" t="n"/>
      <c r="K1588" s="41" t="n"/>
      <c r="L1588" s="48" t="n"/>
      <c r="M1588" s="45" t="n"/>
      <c r="N1588" s="39">
        <f>IF($B1588="","",IF(SUMPRODUCT((LISTAS!$O$3:$O$42&lt;&gt;"")*ISNUMBER(SEARCH(LISTAS!$O$3:$O$42,$I1588&amp;" "&amp;$K1588)))&gt;0,"CERCANA","NACIONAL"))</f>
        <v/>
      </c>
      <c r="O1588" s="39">
        <f>IF($B1588="","",IF(COUNTIFS(NOVEDADES!$C$4:$C$2003,$B1588)=0,"—","SÍ ("&amp;COUNTIFS(NOVEDADES!$C$4:$C$2003,$B1588)&amp;")"))</f>
        <v/>
      </c>
    </row>
    <row r="1589">
      <c r="A1589" s="41" t="n"/>
      <c r="B1589" s="41" t="n"/>
      <c r="C1589" s="41" t="n"/>
      <c r="D1589" s="41" t="n"/>
      <c r="E1589" s="46" t="n"/>
      <c r="F1589" s="41" t="n"/>
      <c r="G1589" s="41" t="n"/>
      <c r="H1589" s="41" t="n"/>
      <c r="I1589" s="41" t="n"/>
      <c r="J1589" s="47" t="n"/>
      <c r="K1589" s="41" t="n"/>
      <c r="L1589" s="48" t="n"/>
      <c r="M1589" s="45" t="n"/>
      <c r="N1589" s="39">
        <f>IF($B1589="","",IF(SUMPRODUCT((LISTAS!$O$3:$O$42&lt;&gt;"")*ISNUMBER(SEARCH(LISTAS!$O$3:$O$42,$I1589&amp;" "&amp;$K1589)))&gt;0,"CERCANA","NACIONAL"))</f>
        <v/>
      </c>
      <c r="O1589" s="39">
        <f>IF($B1589="","",IF(COUNTIFS(NOVEDADES!$C$4:$C$2003,$B1589)=0,"—","SÍ ("&amp;COUNTIFS(NOVEDADES!$C$4:$C$2003,$B1589)&amp;")"))</f>
        <v/>
      </c>
    </row>
    <row r="1590">
      <c r="A1590" s="41" t="n"/>
      <c r="B1590" s="41" t="n"/>
      <c r="C1590" s="41" t="n"/>
      <c r="D1590" s="41" t="n"/>
      <c r="E1590" s="46" t="n"/>
      <c r="F1590" s="41" t="n"/>
      <c r="G1590" s="41" t="n"/>
      <c r="H1590" s="41" t="n"/>
      <c r="I1590" s="41" t="n"/>
      <c r="J1590" s="47" t="n"/>
      <c r="K1590" s="41" t="n"/>
      <c r="L1590" s="48" t="n"/>
      <c r="M1590" s="45" t="n"/>
      <c r="N1590" s="39">
        <f>IF($B1590="","",IF(SUMPRODUCT((LISTAS!$O$3:$O$42&lt;&gt;"")*ISNUMBER(SEARCH(LISTAS!$O$3:$O$42,$I1590&amp;" "&amp;$K1590)))&gt;0,"CERCANA","NACIONAL"))</f>
        <v/>
      </c>
      <c r="O1590" s="39">
        <f>IF($B1590="","",IF(COUNTIFS(NOVEDADES!$C$4:$C$2003,$B1590)=0,"—","SÍ ("&amp;COUNTIFS(NOVEDADES!$C$4:$C$2003,$B1590)&amp;")"))</f>
        <v/>
      </c>
    </row>
    <row r="1591">
      <c r="A1591" s="41" t="n"/>
      <c r="B1591" s="41" t="n"/>
      <c r="C1591" s="41" t="n"/>
      <c r="D1591" s="41" t="n"/>
      <c r="E1591" s="46" t="n"/>
      <c r="F1591" s="41" t="n"/>
      <c r="G1591" s="41" t="n"/>
      <c r="H1591" s="41" t="n"/>
      <c r="I1591" s="41" t="n"/>
      <c r="J1591" s="47" t="n"/>
      <c r="K1591" s="41" t="n"/>
      <c r="L1591" s="48" t="n"/>
      <c r="M1591" s="45" t="n"/>
      <c r="N1591" s="39">
        <f>IF($B1591="","",IF(SUMPRODUCT((LISTAS!$O$3:$O$42&lt;&gt;"")*ISNUMBER(SEARCH(LISTAS!$O$3:$O$42,$I1591&amp;" "&amp;$K1591)))&gt;0,"CERCANA","NACIONAL"))</f>
        <v/>
      </c>
      <c r="O1591" s="39">
        <f>IF($B1591="","",IF(COUNTIFS(NOVEDADES!$C$4:$C$2003,$B1591)=0,"—","SÍ ("&amp;COUNTIFS(NOVEDADES!$C$4:$C$2003,$B1591)&amp;")"))</f>
        <v/>
      </c>
    </row>
    <row r="1592">
      <c r="A1592" s="41" t="n"/>
      <c r="B1592" s="41" t="n"/>
      <c r="C1592" s="41" t="n"/>
      <c r="D1592" s="41" t="n"/>
      <c r="E1592" s="46" t="n"/>
      <c r="F1592" s="41" t="n"/>
      <c r="G1592" s="41" t="n"/>
      <c r="H1592" s="41" t="n"/>
      <c r="I1592" s="41" t="n"/>
      <c r="J1592" s="47" t="n"/>
      <c r="K1592" s="41" t="n"/>
      <c r="L1592" s="48" t="n"/>
      <c r="M1592" s="45" t="n"/>
      <c r="N1592" s="39">
        <f>IF($B1592="","",IF(SUMPRODUCT((LISTAS!$O$3:$O$42&lt;&gt;"")*ISNUMBER(SEARCH(LISTAS!$O$3:$O$42,$I1592&amp;" "&amp;$K1592)))&gt;0,"CERCANA","NACIONAL"))</f>
        <v/>
      </c>
      <c r="O1592" s="39">
        <f>IF($B1592="","",IF(COUNTIFS(NOVEDADES!$C$4:$C$2003,$B1592)=0,"—","SÍ ("&amp;COUNTIFS(NOVEDADES!$C$4:$C$2003,$B1592)&amp;")"))</f>
        <v/>
      </c>
    </row>
    <row r="1593">
      <c r="A1593" s="41" t="n"/>
      <c r="B1593" s="41" t="n"/>
      <c r="C1593" s="41" t="n"/>
      <c r="D1593" s="41" t="n"/>
      <c r="E1593" s="46" t="n"/>
      <c r="F1593" s="41" t="n"/>
      <c r="G1593" s="41" t="n"/>
      <c r="H1593" s="41" t="n"/>
      <c r="I1593" s="41" t="n"/>
      <c r="J1593" s="47" t="n"/>
      <c r="K1593" s="41" t="n"/>
      <c r="L1593" s="48" t="n"/>
      <c r="M1593" s="45" t="n"/>
      <c r="N1593" s="39">
        <f>IF($B1593="","",IF(SUMPRODUCT((LISTAS!$O$3:$O$42&lt;&gt;"")*ISNUMBER(SEARCH(LISTAS!$O$3:$O$42,$I1593&amp;" "&amp;$K1593)))&gt;0,"CERCANA","NACIONAL"))</f>
        <v/>
      </c>
      <c r="O1593" s="39">
        <f>IF($B1593="","",IF(COUNTIFS(NOVEDADES!$C$4:$C$2003,$B1593)=0,"—","SÍ ("&amp;COUNTIFS(NOVEDADES!$C$4:$C$2003,$B1593)&amp;")"))</f>
        <v/>
      </c>
    </row>
    <row r="1594">
      <c r="A1594" s="41" t="n"/>
      <c r="B1594" s="41" t="n"/>
      <c r="C1594" s="41" t="n"/>
      <c r="D1594" s="41" t="n"/>
      <c r="E1594" s="46" t="n"/>
      <c r="F1594" s="41" t="n"/>
      <c r="G1594" s="41" t="n"/>
      <c r="H1594" s="41" t="n"/>
      <c r="I1594" s="41" t="n"/>
      <c r="J1594" s="47" t="n"/>
      <c r="K1594" s="41" t="n"/>
      <c r="L1594" s="48" t="n"/>
      <c r="M1594" s="45" t="n"/>
      <c r="N1594" s="39">
        <f>IF($B1594="","",IF(SUMPRODUCT((LISTAS!$O$3:$O$42&lt;&gt;"")*ISNUMBER(SEARCH(LISTAS!$O$3:$O$42,$I1594&amp;" "&amp;$K1594)))&gt;0,"CERCANA","NACIONAL"))</f>
        <v/>
      </c>
      <c r="O1594" s="39">
        <f>IF($B1594="","",IF(COUNTIFS(NOVEDADES!$C$4:$C$2003,$B1594)=0,"—","SÍ ("&amp;COUNTIFS(NOVEDADES!$C$4:$C$2003,$B1594)&amp;")"))</f>
        <v/>
      </c>
    </row>
    <row r="1595">
      <c r="A1595" s="41" t="n"/>
      <c r="B1595" s="41" t="n"/>
      <c r="C1595" s="41" t="n"/>
      <c r="D1595" s="41" t="n"/>
      <c r="E1595" s="46" t="n"/>
      <c r="F1595" s="41" t="n"/>
      <c r="G1595" s="41" t="n"/>
      <c r="H1595" s="41" t="n"/>
      <c r="I1595" s="41" t="n"/>
      <c r="J1595" s="47" t="n"/>
      <c r="K1595" s="41" t="n"/>
      <c r="L1595" s="48" t="n"/>
      <c r="M1595" s="45" t="n"/>
      <c r="N1595" s="39">
        <f>IF($B1595="","",IF(SUMPRODUCT((LISTAS!$O$3:$O$42&lt;&gt;"")*ISNUMBER(SEARCH(LISTAS!$O$3:$O$42,$I1595&amp;" "&amp;$K1595)))&gt;0,"CERCANA","NACIONAL"))</f>
        <v/>
      </c>
      <c r="O1595" s="39">
        <f>IF($B1595="","",IF(COUNTIFS(NOVEDADES!$C$4:$C$2003,$B1595)=0,"—","SÍ ("&amp;COUNTIFS(NOVEDADES!$C$4:$C$2003,$B1595)&amp;")"))</f>
        <v/>
      </c>
    </row>
    <row r="1596">
      <c r="A1596" s="41" t="n"/>
      <c r="B1596" s="41" t="n"/>
      <c r="C1596" s="41" t="n"/>
      <c r="D1596" s="41" t="n"/>
      <c r="E1596" s="46" t="n"/>
      <c r="F1596" s="41" t="n"/>
      <c r="G1596" s="41" t="n"/>
      <c r="H1596" s="41" t="n"/>
      <c r="I1596" s="41" t="n"/>
      <c r="J1596" s="47" t="n"/>
      <c r="K1596" s="41" t="n"/>
      <c r="L1596" s="48" t="n"/>
      <c r="M1596" s="45" t="n"/>
      <c r="N1596" s="39">
        <f>IF($B1596="","",IF(SUMPRODUCT((LISTAS!$O$3:$O$42&lt;&gt;"")*ISNUMBER(SEARCH(LISTAS!$O$3:$O$42,$I1596&amp;" "&amp;$K1596)))&gt;0,"CERCANA","NACIONAL"))</f>
        <v/>
      </c>
      <c r="O1596" s="39">
        <f>IF($B1596="","",IF(COUNTIFS(NOVEDADES!$C$4:$C$2003,$B1596)=0,"—","SÍ ("&amp;COUNTIFS(NOVEDADES!$C$4:$C$2003,$B1596)&amp;")"))</f>
        <v/>
      </c>
    </row>
    <row r="1597">
      <c r="A1597" s="41" t="n"/>
      <c r="B1597" s="41" t="n"/>
      <c r="C1597" s="41" t="n"/>
      <c r="D1597" s="41" t="n"/>
      <c r="E1597" s="46" t="n"/>
      <c r="F1597" s="41" t="n"/>
      <c r="G1597" s="41" t="n"/>
      <c r="H1597" s="41" t="n"/>
      <c r="I1597" s="41" t="n"/>
      <c r="J1597" s="47" t="n"/>
      <c r="K1597" s="41" t="n"/>
      <c r="L1597" s="48" t="n"/>
      <c r="M1597" s="45" t="n"/>
      <c r="N1597" s="39">
        <f>IF($B1597="","",IF(SUMPRODUCT((LISTAS!$O$3:$O$42&lt;&gt;"")*ISNUMBER(SEARCH(LISTAS!$O$3:$O$42,$I1597&amp;" "&amp;$K1597)))&gt;0,"CERCANA","NACIONAL"))</f>
        <v/>
      </c>
      <c r="O1597" s="39">
        <f>IF($B1597="","",IF(COUNTIFS(NOVEDADES!$C$4:$C$2003,$B1597)=0,"—","SÍ ("&amp;COUNTIFS(NOVEDADES!$C$4:$C$2003,$B1597)&amp;")"))</f>
        <v/>
      </c>
    </row>
    <row r="1598">
      <c r="A1598" s="41" t="n"/>
      <c r="B1598" s="41" t="n"/>
      <c r="C1598" s="41" t="n"/>
      <c r="D1598" s="41" t="n"/>
      <c r="E1598" s="46" t="n"/>
      <c r="F1598" s="41" t="n"/>
      <c r="G1598" s="41" t="n"/>
      <c r="H1598" s="41" t="n"/>
      <c r="I1598" s="41" t="n"/>
      <c r="J1598" s="47" t="n"/>
      <c r="K1598" s="41" t="n"/>
      <c r="L1598" s="48" t="n"/>
      <c r="M1598" s="45" t="n"/>
      <c r="N1598" s="39">
        <f>IF($B1598="","",IF(SUMPRODUCT((LISTAS!$O$3:$O$42&lt;&gt;"")*ISNUMBER(SEARCH(LISTAS!$O$3:$O$42,$I1598&amp;" "&amp;$K1598)))&gt;0,"CERCANA","NACIONAL"))</f>
        <v/>
      </c>
      <c r="O1598" s="39">
        <f>IF($B1598="","",IF(COUNTIFS(NOVEDADES!$C$4:$C$2003,$B1598)=0,"—","SÍ ("&amp;COUNTIFS(NOVEDADES!$C$4:$C$2003,$B1598)&amp;")"))</f>
        <v/>
      </c>
    </row>
    <row r="1599">
      <c r="A1599" s="41" t="n"/>
      <c r="B1599" s="41" t="n"/>
      <c r="C1599" s="41" t="n"/>
      <c r="D1599" s="41" t="n"/>
      <c r="E1599" s="46" t="n"/>
      <c r="F1599" s="41" t="n"/>
      <c r="G1599" s="41" t="n"/>
      <c r="H1599" s="41" t="n"/>
      <c r="I1599" s="41" t="n"/>
      <c r="J1599" s="47" t="n"/>
      <c r="K1599" s="41" t="n"/>
      <c r="L1599" s="48" t="n"/>
      <c r="M1599" s="45" t="n"/>
      <c r="N1599" s="39">
        <f>IF($B1599="","",IF(SUMPRODUCT((LISTAS!$O$3:$O$42&lt;&gt;"")*ISNUMBER(SEARCH(LISTAS!$O$3:$O$42,$I1599&amp;" "&amp;$K1599)))&gt;0,"CERCANA","NACIONAL"))</f>
        <v/>
      </c>
      <c r="O1599" s="39">
        <f>IF($B1599="","",IF(COUNTIFS(NOVEDADES!$C$4:$C$2003,$B1599)=0,"—","SÍ ("&amp;COUNTIFS(NOVEDADES!$C$4:$C$2003,$B1599)&amp;")"))</f>
        <v/>
      </c>
    </row>
    <row r="1600">
      <c r="A1600" s="41" t="n"/>
      <c r="B1600" s="41" t="n"/>
      <c r="C1600" s="41" t="n"/>
      <c r="D1600" s="41" t="n"/>
      <c r="E1600" s="46" t="n"/>
      <c r="F1600" s="41" t="n"/>
      <c r="G1600" s="41" t="n"/>
      <c r="H1600" s="41" t="n"/>
      <c r="I1600" s="41" t="n"/>
      <c r="J1600" s="47" t="n"/>
      <c r="K1600" s="41" t="n"/>
      <c r="L1600" s="48" t="n"/>
      <c r="M1600" s="45" t="n"/>
      <c r="N1600" s="39">
        <f>IF($B1600="","",IF(SUMPRODUCT((LISTAS!$O$3:$O$42&lt;&gt;"")*ISNUMBER(SEARCH(LISTAS!$O$3:$O$42,$I1600&amp;" "&amp;$K1600)))&gt;0,"CERCANA","NACIONAL"))</f>
        <v/>
      </c>
      <c r="O1600" s="39">
        <f>IF($B1600="","",IF(COUNTIFS(NOVEDADES!$C$4:$C$2003,$B1600)=0,"—","SÍ ("&amp;COUNTIFS(NOVEDADES!$C$4:$C$2003,$B1600)&amp;")"))</f>
        <v/>
      </c>
    </row>
    <row r="1601">
      <c r="A1601" s="41" t="n"/>
      <c r="B1601" s="41" t="n"/>
      <c r="C1601" s="41" t="n"/>
      <c r="D1601" s="41" t="n"/>
      <c r="E1601" s="46" t="n"/>
      <c r="F1601" s="41" t="n"/>
      <c r="G1601" s="41" t="n"/>
      <c r="H1601" s="41" t="n"/>
      <c r="I1601" s="41" t="n"/>
      <c r="J1601" s="47" t="n"/>
      <c r="K1601" s="41" t="n"/>
      <c r="L1601" s="48" t="n"/>
      <c r="M1601" s="45" t="n"/>
      <c r="N1601" s="39">
        <f>IF($B1601="","",IF(SUMPRODUCT((LISTAS!$O$3:$O$42&lt;&gt;"")*ISNUMBER(SEARCH(LISTAS!$O$3:$O$42,$I1601&amp;" "&amp;$K1601)))&gt;0,"CERCANA","NACIONAL"))</f>
        <v/>
      </c>
      <c r="O1601" s="39">
        <f>IF($B1601="","",IF(COUNTIFS(NOVEDADES!$C$4:$C$2003,$B1601)=0,"—","SÍ ("&amp;COUNTIFS(NOVEDADES!$C$4:$C$2003,$B1601)&amp;")"))</f>
        <v/>
      </c>
    </row>
    <row r="1602">
      <c r="A1602" s="41" t="n"/>
      <c r="B1602" s="41" t="n"/>
      <c r="C1602" s="41" t="n"/>
      <c r="D1602" s="41" t="n"/>
      <c r="E1602" s="46" t="n"/>
      <c r="F1602" s="41" t="n"/>
      <c r="G1602" s="41" t="n"/>
      <c r="H1602" s="41" t="n"/>
      <c r="I1602" s="41" t="n"/>
      <c r="J1602" s="47" t="n"/>
      <c r="K1602" s="41" t="n"/>
      <c r="L1602" s="48" t="n"/>
      <c r="M1602" s="45" t="n"/>
      <c r="N1602" s="39">
        <f>IF($B1602="","",IF(SUMPRODUCT((LISTAS!$O$3:$O$42&lt;&gt;"")*ISNUMBER(SEARCH(LISTAS!$O$3:$O$42,$I1602&amp;" "&amp;$K1602)))&gt;0,"CERCANA","NACIONAL"))</f>
        <v/>
      </c>
      <c r="O1602" s="39">
        <f>IF($B1602="","",IF(COUNTIFS(NOVEDADES!$C$4:$C$2003,$B1602)=0,"—","SÍ ("&amp;COUNTIFS(NOVEDADES!$C$4:$C$2003,$B1602)&amp;")"))</f>
        <v/>
      </c>
    </row>
    <row r="1603">
      <c r="A1603" s="41" t="n"/>
      <c r="B1603" s="41" t="n"/>
      <c r="C1603" s="41" t="n"/>
      <c r="D1603" s="41" t="n"/>
      <c r="E1603" s="46" t="n"/>
      <c r="F1603" s="41" t="n"/>
      <c r="G1603" s="41" t="n"/>
      <c r="H1603" s="41" t="n"/>
      <c r="I1603" s="41" t="n"/>
      <c r="J1603" s="47" t="n"/>
      <c r="K1603" s="41" t="n"/>
      <c r="L1603" s="48" t="n"/>
      <c r="M1603" s="45" t="n"/>
      <c r="N1603" s="39">
        <f>IF($B1603="","",IF(SUMPRODUCT((LISTAS!$O$3:$O$42&lt;&gt;"")*ISNUMBER(SEARCH(LISTAS!$O$3:$O$42,$I1603&amp;" "&amp;$K1603)))&gt;0,"CERCANA","NACIONAL"))</f>
        <v/>
      </c>
      <c r="O1603" s="39">
        <f>IF($B1603="","",IF(COUNTIFS(NOVEDADES!$C$4:$C$2003,$B1603)=0,"—","SÍ ("&amp;COUNTIFS(NOVEDADES!$C$4:$C$2003,$B1603)&amp;")"))</f>
        <v/>
      </c>
    </row>
    <row r="1604">
      <c r="A1604" s="41" t="n"/>
      <c r="B1604" s="41" t="n"/>
      <c r="C1604" s="41" t="n"/>
      <c r="D1604" s="41" t="n"/>
      <c r="E1604" s="46" t="n"/>
      <c r="F1604" s="41" t="n"/>
      <c r="G1604" s="41" t="n"/>
      <c r="H1604" s="41" t="n"/>
      <c r="I1604" s="41" t="n"/>
      <c r="J1604" s="47" t="n"/>
      <c r="K1604" s="41" t="n"/>
      <c r="L1604" s="48" t="n"/>
      <c r="M1604" s="45" t="n"/>
      <c r="N1604" s="39">
        <f>IF($B1604="","",IF(SUMPRODUCT((LISTAS!$O$3:$O$42&lt;&gt;"")*ISNUMBER(SEARCH(LISTAS!$O$3:$O$42,$I1604&amp;" "&amp;$K1604)))&gt;0,"CERCANA","NACIONAL"))</f>
        <v/>
      </c>
      <c r="O1604" s="39">
        <f>IF($B1604="","",IF(COUNTIFS(NOVEDADES!$C$4:$C$2003,$B1604)=0,"—","SÍ ("&amp;COUNTIFS(NOVEDADES!$C$4:$C$2003,$B1604)&amp;")"))</f>
        <v/>
      </c>
    </row>
    <row r="1605">
      <c r="A1605" s="41" t="n"/>
      <c r="B1605" s="41" t="n"/>
      <c r="C1605" s="41" t="n"/>
      <c r="D1605" s="41" t="n"/>
      <c r="E1605" s="46" t="n"/>
      <c r="F1605" s="41" t="n"/>
      <c r="G1605" s="41" t="n"/>
      <c r="H1605" s="41" t="n"/>
      <c r="I1605" s="41" t="n"/>
      <c r="J1605" s="47" t="n"/>
      <c r="K1605" s="41" t="n"/>
      <c r="L1605" s="48" t="n"/>
      <c r="M1605" s="45" t="n"/>
      <c r="N1605" s="39">
        <f>IF($B1605="","",IF(SUMPRODUCT((LISTAS!$O$3:$O$42&lt;&gt;"")*ISNUMBER(SEARCH(LISTAS!$O$3:$O$42,$I1605&amp;" "&amp;$K1605)))&gt;0,"CERCANA","NACIONAL"))</f>
        <v/>
      </c>
      <c r="O1605" s="39">
        <f>IF($B1605="","",IF(COUNTIFS(NOVEDADES!$C$4:$C$2003,$B1605)=0,"—","SÍ ("&amp;COUNTIFS(NOVEDADES!$C$4:$C$2003,$B1605)&amp;")"))</f>
        <v/>
      </c>
    </row>
    <row r="1606">
      <c r="A1606" s="41" t="n"/>
      <c r="B1606" s="41" t="n"/>
      <c r="C1606" s="41" t="n"/>
      <c r="D1606" s="41" t="n"/>
      <c r="E1606" s="46" t="n"/>
      <c r="F1606" s="41" t="n"/>
      <c r="G1606" s="41" t="n"/>
      <c r="H1606" s="41" t="n"/>
      <c r="I1606" s="41" t="n"/>
      <c r="J1606" s="47" t="n"/>
      <c r="K1606" s="41" t="n"/>
      <c r="L1606" s="48" t="n"/>
      <c r="M1606" s="45" t="n"/>
      <c r="N1606" s="39">
        <f>IF($B1606="","",IF(SUMPRODUCT((LISTAS!$O$3:$O$42&lt;&gt;"")*ISNUMBER(SEARCH(LISTAS!$O$3:$O$42,$I1606&amp;" "&amp;$K1606)))&gt;0,"CERCANA","NACIONAL"))</f>
        <v/>
      </c>
      <c r="O1606" s="39">
        <f>IF($B1606="","",IF(COUNTIFS(NOVEDADES!$C$4:$C$2003,$B1606)=0,"—","SÍ ("&amp;COUNTIFS(NOVEDADES!$C$4:$C$2003,$B1606)&amp;")"))</f>
        <v/>
      </c>
    </row>
    <row r="1607">
      <c r="A1607" s="41" t="n"/>
      <c r="B1607" s="41" t="n"/>
      <c r="C1607" s="41" t="n"/>
      <c r="D1607" s="41" t="n"/>
      <c r="E1607" s="46" t="n"/>
      <c r="F1607" s="41" t="n"/>
      <c r="G1607" s="41" t="n"/>
      <c r="H1607" s="41" t="n"/>
      <c r="I1607" s="41" t="n"/>
      <c r="J1607" s="47" t="n"/>
      <c r="K1607" s="41" t="n"/>
      <c r="L1607" s="48" t="n"/>
      <c r="M1607" s="45" t="n"/>
      <c r="N1607" s="39">
        <f>IF($B1607="","",IF(SUMPRODUCT((LISTAS!$O$3:$O$42&lt;&gt;"")*ISNUMBER(SEARCH(LISTAS!$O$3:$O$42,$I1607&amp;" "&amp;$K1607)))&gt;0,"CERCANA","NACIONAL"))</f>
        <v/>
      </c>
      <c r="O1607" s="39">
        <f>IF($B1607="","",IF(COUNTIFS(NOVEDADES!$C$4:$C$2003,$B1607)=0,"—","SÍ ("&amp;COUNTIFS(NOVEDADES!$C$4:$C$2003,$B1607)&amp;")"))</f>
        <v/>
      </c>
    </row>
    <row r="1608">
      <c r="A1608" s="41" t="n"/>
      <c r="B1608" s="41" t="n"/>
      <c r="C1608" s="41" t="n"/>
      <c r="D1608" s="41" t="n"/>
      <c r="E1608" s="46" t="n"/>
      <c r="F1608" s="41" t="n"/>
      <c r="G1608" s="41" t="n"/>
      <c r="H1608" s="41" t="n"/>
      <c r="I1608" s="41" t="n"/>
      <c r="J1608" s="47" t="n"/>
      <c r="K1608" s="41" t="n"/>
      <c r="L1608" s="48" t="n"/>
      <c r="M1608" s="45" t="n"/>
      <c r="N1608" s="39">
        <f>IF($B1608="","",IF(SUMPRODUCT((LISTAS!$O$3:$O$42&lt;&gt;"")*ISNUMBER(SEARCH(LISTAS!$O$3:$O$42,$I1608&amp;" "&amp;$K1608)))&gt;0,"CERCANA","NACIONAL"))</f>
        <v/>
      </c>
      <c r="O1608" s="39">
        <f>IF($B1608="","",IF(COUNTIFS(NOVEDADES!$C$4:$C$2003,$B1608)=0,"—","SÍ ("&amp;COUNTIFS(NOVEDADES!$C$4:$C$2003,$B1608)&amp;")"))</f>
        <v/>
      </c>
    </row>
    <row r="1609">
      <c r="A1609" s="41" t="n"/>
      <c r="B1609" s="41" t="n"/>
      <c r="C1609" s="41" t="n"/>
      <c r="D1609" s="41" t="n"/>
      <c r="E1609" s="46" t="n"/>
      <c r="F1609" s="41" t="n"/>
      <c r="G1609" s="41" t="n"/>
      <c r="H1609" s="41" t="n"/>
      <c r="I1609" s="41" t="n"/>
      <c r="J1609" s="47" t="n"/>
      <c r="K1609" s="41" t="n"/>
      <c r="L1609" s="48" t="n"/>
      <c r="M1609" s="45" t="n"/>
      <c r="N1609" s="39">
        <f>IF($B1609="","",IF(SUMPRODUCT((LISTAS!$O$3:$O$42&lt;&gt;"")*ISNUMBER(SEARCH(LISTAS!$O$3:$O$42,$I1609&amp;" "&amp;$K1609)))&gt;0,"CERCANA","NACIONAL"))</f>
        <v/>
      </c>
      <c r="O1609" s="39">
        <f>IF($B1609="","",IF(COUNTIFS(NOVEDADES!$C$4:$C$2003,$B1609)=0,"—","SÍ ("&amp;COUNTIFS(NOVEDADES!$C$4:$C$2003,$B1609)&amp;")"))</f>
        <v/>
      </c>
    </row>
    <row r="1610">
      <c r="A1610" s="41" t="n"/>
      <c r="B1610" s="41" t="n"/>
      <c r="C1610" s="41" t="n"/>
      <c r="D1610" s="41" t="n"/>
      <c r="E1610" s="46" t="n"/>
      <c r="F1610" s="41" t="n"/>
      <c r="G1610" s="41" t="n"/>
      <c r="H1610" s="41" t="n"/>
      <c r="I1610" s="41" t="n"/>
      <c r="J1610" s="47" t="n"/>
      <c r="K1610" s="41" t="n"/>
      <c r="L1610" s="48" t="n"/>
      <c r="M1610" s="45" t="n"/>
      <c r="N1610" s="39">
        <f>IF($B1610="","",IF(SUMPRODUCT((LISTAS!$O$3:$O$42&lt;&gt;"")*ISNUMBER(SEARCH(LISTAS!$O$3:$O$42,$I1610&amp;" "&amp;$K1610)))&gt;0,"CERCANA","NACIONAL"))</f>
        <v/>
      </c>
      <c r="O1610" s="39">
        <f>IF($B1610="","",IF(COUNTIFS(NOVEDADES!$C$4:$C$2003,$B1610)=0,"—","SÍ ("&amp;COUNTIFS(NOVEDADES!$C$4:$C$2003,$B1610)&amp;")"))</f>
        <v/>
      </c>
    </row>
    <row r="1611">
      <c r="A1611" s="41" t="n"/>
      <c r="B1611" s="41" t="n"/>
      <c r="C1611" s="41" t="n"/>
      <c r="D1611" s="41" t="n"/>
      <c r="E1611" s="46" t="n"/>
      <c r="F1611" s="41" t="n"/>
      <c r="G1611" s="41" t="n"/>
      <c r="H1611" s="41" t="n"/>
      <c r="I1611" s="41" t="n"/>
      <c r="J1611" s="47" t="n"/>
      <c r="K1611" s="41" t="n"/>
      <c r="L1611" s="48" t="n"/>
      <c r="M1611" s="45" t="n"/>
      <c r="N1611" s="39">
        <f>IF($B1611="","",IF(SUMPRODUCT((LISTAS!$O$3:$O$42&lt;&gt;"")*ISNUMBER(SEARCH(LISTAS!$O$3:$O$42,$I1611&amp;" "&amp;$K1611)))&gt;0,"CERCANA","NACIONAL"))</f>
        <v/>
      </c>
      <c r="O1611" s="39">
        <f>IF($B1611="","",IF(COUNTIFS(NOVEDADES!$C$4:$C$2003,$B1611)=0,"—","SÍ ("&amp;COUNTIFS(NOVEDADES!$C$4:$C$2003,$B1611)&amp;")"))</f>
        <v/>
      </c>
    </row>
    <row r="1612">
      <c r="A1612" s="41" t="n"/>
      <c r="B1612" s="41" t="n"/>
      <c r="C1612" s="41" t="n"/>
      <c r="D1612" s="41" t="n"/>
      <c r="E1612" s="46" t="n"/>
      <c r="F1612" s="41" t="n"/>
      <c r="G1612" s="41" t="n"/>
      <c r="H1612" s="41" t="n"/>
      <c r="I1612" s="41" t="n"/>
      <c r="J1612" s="47" t="n"/>
      <c r="K1612" s="41" t="n"/>
      <c r="L1612" s="48" t="n"/>
      <c r="M1612" s="45" t="n"/>
      <c r="N1612" s="39">
        <f>IF($B1612="","",IF(SUMPRODUCT((LISTAS!$O$3:$O$42&lt;&gt;"")*ISNUMBER(SEARCH(LISTAS!$O$3:$O$42,$I1612&amp;" "&amp;$K1612)))&gt;0,"CERCANA","NACIONAL"))</f>
        <v/>
      </c>
      <c r="O1612" s="39">
        <f>IF($B1612="","",IF(COUNTIFS(NOVEDADES!$C$4:$C$2003,$B1612)=0,"—","SÍ ("&amp;COUNTIFS(NOVEDADES!$C$4:$C$2003,$B1612)&amp;")"))</f>
        <v/>
      </c>
    </row>
    <row r="1613">
      <c r="A1613" s="41" t="n"/>
      <c r="B1613" s="41" t="n"/>
      <c r="C1613" s="41" t="n"/>
      <c r="D1613" s="41" t="n"/>
      <c r="E1613" s="46" t="n"/>
      <c r="F1613" s="41" t="n"/>
      <c r="G1613" s="41" t="n"/>
      <c r="H1613" s="41" t="n"/>
      <c r="I1613" s="41" t="n"/>
      <c r="J1613" s="47" t="n"/>
      <c r="K1613" s="41" t="n"/>
      <c r="L1613" s="48" t="n"/>
      <c r="M1613" s="45" t="n"/>
      <c r="N1613" s="39">
        <f>IF($B1613="","",IF(SUMPRODUCT((LISTAS!$O$3:$O$42&lt;&gt;"")*ISNUMBER(SEARCH(LISTAS!$O$3:$O$42,$I1613&amp;" "&amp;$K1613)))&gt;0,"CERCANA","NACIONAL"))</f>
        <v/>
      </c>
      <c r="O1613" s="39">
        <f>IF($B1613="","",IF(COUNTIFS(NOVEDADES!$C$4:$C$2003,$B1613)=0,"—","SÍ ("&amp;COUNTIFS(NOVEDADES!$C$4:$C$2003,$B1613)&amp;")"))</f>
        <v/>
      </c>
    </row>
    <row r="1614">
      <c r="A1614" s="41" t="n"/>
      <c r="B1614" s="41" t="n"/>
      <c r="C1614" s="41" t="n"/>
      <c r="D1614" s="41" t="n"/>
      <c r="E1614" s="46" t="n"/>
      <c r="F1614" s="41" t="n"/>
      <c r="G1614" s="41" t="n"/>
      <c r="H1614" s="41" t="n"/>
      <c r="I1614" s="41" t="n"/>
      <c r="J1614" s="47" t="n"/>
      <c r="K1614" s="41" t="n"/>
      <c r="L1614" s="48" t="n"/>
      <c r="M1614" s="45" t="n"/>
      <c r="N1614" s="39">
        <f>IF($B1614="","",IF(SUMPRODUCT((LISTAS!$O$3:$O$42&lt;&gt;"")*ISNUMBER(SEARCH(LISTAS!$O$3:$O$42,$I1614&amp;" "&amp;$K1614)))&gt;0,"CERCANA","NACIONAL"))</f>
        <v/>
      </c>
      <c r="O1614" s="39">
        <f>IF($B1614="","",IF(COUNTIFS(NOVEDADES!$C$4:$C$2003,$B1614)=0,"—","SÍ ("&amp;COUNTIFS(NOVEDADES!$C$4:$C$2003,$B1614)&amp;")"))</f>
        <v/>
      </c>
    </row>
    <row r="1615">
      <c r="A1615" s="41" t="n"/>
      <c r="B1615" s="41" t="n"/>
      <c r="C1615" s="41" t="n"/>
      <c r="D1615" s="41" t="n"/>
      <c r="E1615" s="46" t="n"/>
      <c r="F1615" s="41" t="n"/>
      <c r="G1615" s="41" t="n"/>
      <c r="H1615" s="41" t="n"/>
      <c r="I1615" s="41" t="n"/>
      <c r="J1615" s="47" t="n"/>
      <c r="K1615" s="41" t="n"/>
      <c r="L1615" s="48" t="n"/>
      <c r="M1615" s="45" t="n"/>
      <c r="N1615" s="39">
        <f>IF($B1615="","",IF(SUMPRODUCT((LISTAS!$O$3:$O$42&lt;&gt;"")*ISNUMBER(SEARCH(LISTAS!$O$3:$O$42,$I1615&amp;" "&amp;$K1615)))&gt;0,"CERCANA","NACIONAL"))</f>
        <v/>
      </c>
      <c r="O1615" s="39">
        <f>IF($B1615="","",IF(COUNTIFS(NOVEDADES!$C$4:$C$2003,$B1615)=0,"—","SÍ ("&amp;COUNTIFS(NOVEDADES!$C$4:$C$2003,$B1615)&amp;")"))</f>
        <v/>
      </c>
    </row>
    <row r="1616">
      <c r="A1616" s="41" t="n"/>
      <c r="B1616" s="41" t="n"/>
      <c r="C1616" s="41" t="n"/>
      <c r="D1616" s="41" t="n"/>
      <c r="E1616" s="46" t="n"/>
      <c r="F1616" s="41" t="n"/>
      <c r="G1616" s="41" t="n"/>
      <c r="H1616" s="41" t="n"/>
      <c r="I1616" s="41" t="n"/>
      <c r="J1616" s="47" t="n"/>
      <c r="K1616" s="41" t="n"/>
      <c r="L1616" s="48" t="n"/>
      <c r="M1616" s="45" t="n"/>
      <c r="N1616" s="39">
        <f>IF($B1616="","",IF(SUMPRODUCT((LISTAS!$O$3:$O$42&lt;&gt;"")*ISNUMBER(SEARCH(LISTAS!$O$3:$O$42,$I1616&amp;" "&amp;$K1616)))&gt;0,"CERCANA","NACIONAL"))</f>
        <v/>
      </c>
      <c r="O1616" s="39">
        <f>IF($B1616="","",IF(COUNTIFS(NOVEDADES!$C$4:$C$2003,$B1616)=0,"—","SÍ ("&amp;COUNTIFS(NOVEDADES!$C$4:$C$2003,$B1616)&amp;")"))</f>
        <v/>
      </c>
    </row>
    <row r="1617">
      <c r="A1617" s="41" t="n"/>
      <c r="B1617" s="41" t="n"/>
      <c r="C1617" s="41" t="n"/>
      <c r="D1617" s="41" t="n"/>
      <c r="E1617" s="46" t="n"/>
      <c r="F1617" s="41" t="n"/>
      <c r="G1617" s="41" t="n"/>
      <c r="H1617" s="41" t="n"/>
      <c r="I1617" s="41" t="n"/>
      <c r="J1617" s="47" t="n"/>
      <c r="K1617" s="41" t="n"/>
      <c r="L1617" s="48" t="n"/>
      <c r="M1617" s="45" t="n"/>
      <c r="N1617" s="39">
        <f>IF($B1617="","",IF(SUMPRODUCT((LISTAS!$O$3:$O$42&lt;&gt;"")*ISNUMBER(SEARCH(LISTAS!$O$3:$O$42,$I1617&amp;" "&amp;$K1617)))&gt;0,"CERCANA","NACIONAL"))</f>
        <v/>
      </c>
      <c r="O1617" s="39">
        <f>IF($B1617="","",IF(COUNTIFS(NOVEDADES!$C$4:$C$2003,$B1617)=0,"—","SÍ ("&amp;COUNTIFS(NOVEDADES!$C$4:$C$2003,$B1617)&amp;")"))</f>
        <v/>
      </c>
    </row>
    <row r="1618">
      <c r="A1618" s="41" t="n"/>
      <c r="B1618" s="41" t="n"/>
      <c r="C1618" s="41" t="n"/>
      <c r="D1618" s="41" t="n"/>
      <c r="E1618" s="46" t="n"/>
      <c r="F1618" s="41" t="n"/>
      <c r="G1618" s="41" t="n"/>
      <c r="H1618" s="41" t="n"/>
      <c r="I1618" s="41" t="n"/>
      <c r="J1618" s="47" t="n"/>
      <c r="K1618" s="41" t="n"/>
      <c r="L1618" s="48" t="n"/>
      <c r="M1618" s="45" t="n"/>
      <c r="N1618" s="39">
        <f>IF($B1618="","",IF(SUMPRODUCT((LISTAS!$O$3:$O$42&lt;&gt;"")*ISNUMBER(SEARCH(LISTAS!$O$3:$O$42,$I1618&amp;" "&amp;$K1618)))&gt;0,"CERCANA","NACIONAL"))</f>
        <v/>
      </c>
      <c r="O1618" s="39">
        <f>IF($B1618="","",IF(COUNTIFS(NOVEDADES!$C$4:$C$2003,$B1618)=0,"—","SÍ ("&amp;COUNTIFS(NOVEDADES!$C$4:$C$2003,$B1618)&amp;")"))</f>
        <v/>
      </c>
    </row>
    <row r="1619">
      <c r="A1619" s="41" t="n"/>
      <c r="B1619" s="41" t="n"/>
      <c r="C1619" s="41" t="n"/>
      <c r="D1619" s="41" t="n"/>
      <c r="E1619" s="46" t="n"/>
      <c r="F1619" s="41" t="n"/>
      <c r="G1619" s="41" t="n"/>
      <c r="H1619" s="41" t="n"/>
      <c r="I1619" s="41" t="n"/>
      <c r="J1619" s="47" t="n"/>
      <c r="K1619" s="41" t="n"/>
      <c r="L1619" s="48" t="n"/>
      <c r="M1619" s="45" t="n"/>
      <c r="N1619" s="39">
        <f>IF($B1619="","",IF(SUMPRODUCT((LISTAS!$O$3:$O$42&lt;&gt;"")*ISNUMBER(SEARCH(LISTAS!$O$3:$O$42,$I1619&amp;" "&amp;$K1619)))&gt;0,"CERCANA","NACIONAL"))</f>
        <v/>
      </c>
      <c r="O1619" s="39">
        <f>IF($B1619="","",IF(COUNTIFS(NOVEDADES!$C$4:$C$2003,$B1619)=0,"—","SÍ ("&amp;COUNTIFS(NOVEDADES!$C$4:$C$2003,$B1619)&amp;")"))</f>
        <v/>
      </c>
    </row>
    <row r="1620">
      <c r="A1620" s="41" t="n"/>
      <c r="B1620" s="41" t="n"/>
      <c r="C1620" s="41" t="n"/>
      <c r="D1620" s="41" t="n"/>
      <c r="E1620" s="46" t="n"/>
      <c r="F1620" s="41" t="n"/>
      <c r="G1620" s="41" t="n"/>
      <c r="H1620" s="41" t="n"/>
      <c r="I1620" s="41" t="n"/>
      <c r="J1620" s="47" t="n"/>
      <c r="K1620" s="41" t="n"/>
      <c r="L1620" s="48" t="n"/>
      <c r="M1620" s="45" t="n"/>
      <c r="N1620" s="39">
        <f>IF($B1620="","",IF(SUMPRODUCT((LISTAS!$O$3:$O$42&lt;&gt;"")*ISNUMBER(SEARCH(LISTAS!$O$3:$O$42,$I1620&amp;" "&amp;$K1620)))&gt;0,"CERCANA","NACIONAL"))</f>
        <v/>
      </c>
      <c r="O1620" s="39">
        <f>IF($B1620="","",IF(COUNTIFS(NOVEDADES!$C$4:$C$2003,$B1620)=0,"—","SÍ ("&amp;COUNTIFS(NOVEDADES!$C$4:$C$2003,$B1620)&amp;")"))</f>
        <v/>
      </c>
    </row>
    <row r="1621">
      <c r="A1621" s="41" t="n"/>
      <c r="B1621" s="41" t="n"/>
      <c r="C1621" s="41" t="n"/>
      <c r="D1621" s="41" t="n"/>
      <c r="E1621" s="46" t="n"/>
      <c r="F1621" s="41" t="n"/>
      <c r="G1621" s="41" t="n"/>
      <c r="H1621" s="41" t="n"/>
      <c r="I1621" s="41" t="n"/>
      <c r="J1621" s="47" t="n"/>
      <c r="K1621" s="41" t="n"/>
      <c r="L1621" s="48" t="n"/>
      <c r="M1621" s="45" t="n"/>
      <c r="N1621" s="39">
        <f>IF($B1621="","",IF(SUMPRODUCT((LISTAS!$O$3:$O$42&lt;&gt;"")*ISNUMBER(SEARCH(LISTAS!$O$3:$O$42,$I1621&amp;" "&amp;$K1621)))&gt;0,"CERCANA","NACIONAL"))</f>
        <v/>
      </c>
      <c r="O1621" s="39">
        <f>IF($B1621="","",IF(COUNTIFS(NOVEDADES!$C$4:$C$2003,$B1621)=0,"—","SÍ ("&amp;COUNTIFS(NOVEDADES!$C$4:$C$2003,$B1621)&amp;")"))</f>
        <v/>
      </c>
    </row>
    <row r="1622">
      <c r="A1622" s="41" t="n"/>
      <c r="B1622" s="41" t="n"/>
      <c r="C1622" s="41" t="n"/>
      <c r="D1622" s="41" t="n"/>
      <c r="E1622" s="46" t="n"/>
      <c r="F1622" s="41" t="n"/>
      <c r="G1622" s="41" t="n"/>
      <c r="H1622" s="41" t="n"/>
      <c r="I1622" s="41" t="n"/>
      <c r="J1622" s="47" t="n"/>
      <c r="K1622" s="41" t="n"/>
      <c r="L1622" s="48" t="n"/>
      <c r="M1622" s="45" t="n"/>
      <c r="N1622" s="39">
        <f>IF($B1622="","",IF(SUMPRODUCT((LISTAS!$O$3:$O$42&lt;&gt;"")*ISNUMBER(SEARCH(LISTAS!$O$3:$O$42,$I1622&amp;" "&amp;$K1622)))&gt;0,"CERCANA","NACIONAL"))</f>
        <v/>
      </c>
      <c r="O1622" s="39">
        <f>IF($B1622="","",IF(COUNTIFS(NOVEDADES!$C$4:$C$2003,$B1622)=0,"—","SÍ ("&amp;COUNTIFS(NOVEDADES!$C$4:$C$2003,$B1622)&amp;")"))</f>
        <v/>
      </c>
    </row>
    <row r="1623">
      <c r="A1623" s="41" t="n"/>
      <c r="B1623" s="41" t="n"/>
      <c r="C1623" s="41" t="n"/>
      <c r="D1623" s="41" t="n"/>
      <c r="E1623" s="46" t="n"/>
      <c r="F1623" s="41" t="n"/>
      <c r="G1623" s="41" t="n"/>
      <c r="H1623" s="41" t="n"/>
      <c r="I1623" s="41" t="n"/>
      <c r="J1623" s="47" t="n"/>
      <c r="K1623" s="41" t="n"/>
      <c r="L1623" s="48" t="n"/>
      <c r="M1623" s="45" t="n"/>
      <c r="N1623" s="39">
        <f>IF($B1623="","",IF(SUMPRODUCT((LISTAS!$O$3:$O$42&lt;&gt;"")*ISNUMBER(SEARCH(LISTAS!$O$3:$O$42,$I1623&amp;" "&amp;$K1623)))&gt;0,"CERCANA","NACIONAL"))</f>
        <v/>
      </c>
      <c r="O1623" s="39">
        <f>IF($B1623="","",IF(COUNTIFS(NOVEDADES!$C$4:$C$2003,$B1623)=0,"—","SÍ ("&amp;COUNTIFS(NOVEDADES!$C$4:$C$2003,$B1623)&amp;")"))</f>
        <v/>
      </c>
    </row>
    <row r="1624">
      <c r="A1624" s="41" t="n"/>
      <c r="B1624" s="41" t="n"/>
      <c r="C1624" s="41" t="n"/>
      <c r="D1624" s="41" t="n"/>
      <c r="E1624" s="46" t="n"/>
      <c r="F1624" s="41" t="n"/>
      <c r="G1624" s="41" t="n"/>
      <c r="H1624" s="41" t="n"/>
      <c r="I1624" s="41" t="n"/>
      <c r="J1624" s="47" t="n"/>
      <c r="K1624" s="41" t="n"/>
      <c r="L1624" s="48" t="n"/>
      <c r="M1624" s="45" t="n"/>
      <c r="N1624" s="39">
        <f>IF($B1624="","",IF(SUMPRODUCT((LISTAS!$O$3:$O$42&lt;&gt;"")*ISNUMBER(SEARCH(LISTAS!$O$3:$O$42,$I1624&amp;" "&amp;$K1624)))&gt;0,"CERCANA","NACIONAL"))</f>
        <v/>
      </c>
      <c r="O1624" s="39">
        <f>IF($B1624="","",IF(COUNTIFS(NOVEDADES!$C$4:$C$2003,$B1624)=0,"—","SÍ ("&amp;COUNTIFS(NOVEDADES!$C$4:$C$2003,$B1624)&amp;")"))</f>
        <v/>
      </c>
    </row>
    <row r="1625">
      <c r="A1625" s="41" t="n"/>
      <c r="B1625" s="41" t="n"/>
      <c r="C1625" s="41" t="n"/>
      <c r="D1625" s="41" t="n"/>
      <c r="E1625" s="46" t="n"/>
      <c r="F1625" s="41" t="n"/>
      <c r="G1625" s="41" t="n"/>
      <c r="H1625" s="41" t="n"/>
      <c r="I1625" s="41" t="n"/>
      <c r="J1625" s="47" t="n"/>
      <c r="K1625" s="41" t="n"/>
      <c r="L1625" s="48" t="n"/>
      <c r="M1625" s="45" t="n"/>
      <c r="N1625" s="39">
        <f>IF($B1625="","",IF(SUMPRODUCT((LISTAS!$O$3:$O$42&lt;&gt;"")*ISNUMBER(SEARCH(LISTAS!$O$3:$O$42,$I1625&amp;" "&amp;$K1625)))&gt;0,"CERCANA","NACIONAL"))</f>
        <v/>
      </c>
      <c r="O1625" s="39">
        <f>IF($B1625="","",IF(COUNTIFS(NOVEDADES!$C$4:$C$2003,$B1625)=0,"—","SÍ ("&amp;COUNTIFS(NOVEDADES!$C$4:$C$2003,$B1625)&amp;")"))</f>
        <v/>
      </c>
    </row>
    <row r="1626">
      <c r="A1626" s="41" t="n"/>
      <c r="B1626" s="41" t="n"/>
      <c r="C1626" s="41" t="n"/>
      <c r="D1626" s="41" t="n"/>
      <c r="E1626" s="46" t="n"/>
      <c r="F1626" s="41" t="n"/>
      <c r="G1626" s="41" t="n"/>
      <c r="H1626" s="41" t="n"/>
      <c r="I1626" s="41" t="n"/>
      <c r="J1626" s="47" t="n"/>
      <c r="K1626" s="41" t="n"/>
      <c r="L1626" s="48" t="n"/>
      <c r="M1626" s="45" t="n"/>
      <c r="N1626" s="39">
        <f>IF($B1626="","",IF(SUMPRODUCT((LISTAS!$O$3:$O$42&lt;&gt;"")*ISNUMBER(SEARCH(LISTAS!$O$3:$O$42,$I1626&amp;" "&amp;$K1626)))&gt;0,"CERCANA","NACIONAL"))</f>
        <v/>
      </c>
      <c r="O1626" s="39">
        <f>IF($B1626="","",IF(COUNTIFS(NOVEDADES!$C$4:$C$2003,$B1626)=0,"—","SÍ ("&amp;COUNTIFS(NOVEDADES!$C$4:$C$2003,$B1626)&amp;")"))</f>
        <v/>
      </c>
    </row>
    <row r="1627">
      <c r="A1627" s="41" t="n"/>
      <c r="B1627" s="41" t="n"/>
      <c r="C1627" s="41" t="n"/>
      <c r="D1627" s="41" t="n"/>
      <c r="E1627" s="46" t="n"/>
      <c r="F1627" s="41" t="n"/>
      <c r="G1627" s="41" t="n"/>
      <c r="H1627" s="41" t="n"/>
      <c r="I1627" s="41" t="n"/>
      <c r="J1627" s="47" t="n"/>
      <c r="K1627" s="41" t="n"/>
      <c r="L1627" s="48" t="n"/>
      <c r="M1627" s="45" t="n"/>
      <c r="N1627" s="39">
        <f>IF($B1627="","",IF(SUMPRODUCT((LISTAS!$O$3:$O$42&lt;&gt;"")*ISNUMBER(SEARCH(LISTAS!$O$3:$O$42,$I1627&amp;" "&amp;$K1627)))&gt;0,"CERCANA","NACIONAL"))</f>
        <v/>
      </c>
      <c r="O1627" s="39">
        <f>IF($B1627="","",IF(COUNTIFS(NOVEDADES!$C$4:$C$2003,$B1627)=0,"—","SÍ ("&amp;COUNTIFS(NOVEDADES!$C$4:$C$2003,$B1627)&amp;")"))</f>
        <v/>
      </c>
    </row>
    <row r="1628">
      <c r="A1628" s="41" t="n"/>
      <c r="B1628" s="41" t="n"/>
      <c r="C1628" s="41" t="n"/>
      <c r="D1628" s="41" t="n"/>
      <c r="E1628" s="46" t="n"/>
      <c r="F1628" s="41" t="n"/>
      <c r="G1628" s="41" t="n"/>
      <c r="H1628" s="41" t="n"/>
      <c r="I1628" s="41" t="n"/>
      <c r="J1628" s="47" t="n"/>
      <c r="K1628" s="41" t="n"/>
      <c r="L1628" s="48" t="n"/>
      <c r="M1628" s="45" t="n"/>
      <c r="N1628" s="39">
        <f>IF($B1628="","",IF(SUMPRODUCT((LISTAS!$O$3:$O$42&lt;&gt;"")*ISNUMBER(SEARCH(LISTAS!$O$3:$O$42,$I1628&amp;" "&amp;$K1628)))&gt;0,"CERCANA","NACIONAL"))</f>
        <v/>
      </c>
      <c r="O1628" s="39">
        <f>IF($B1628="","",IF(COUNTIFS(NOVEDADES!$C$4:$C$2003,$B1628)=0,"—","SÍ ("&amp;COUNTIFS(NOVEDADES!$C$4:$C$2003,$B1628)&amp;")"))</f>
        <v/>
      </c>
    </row>
    <row r="1629">
      <c r="A1629" s="41" t="n"/>
      <c r="B1629" s="41" t="n"/>
      <c r="C1629" s="41" t="n"/>
      <c r="D1629" s="41" t="n"/>
      <c r="E1629" s="46" t="n"/>
      <c r="F1629" s="41" t="n"/>
      <c r="G1629" s="41" t="n"/>
      <c r="H1629" s="41" t="n"/>
      <c r="I1629" s="41" t="n"/>
      <c r="J1629" s="47" t="n"/>
      <c r="K1629" s="41" t="n"/>
      <c r="L1629" s="48" t="n"/>
      <c r="M1629" s="45" t="n"/>
      <c r="N1629" s="39">
        <f>IF($B1629="","",IF(SUMPRODUCT((LISTAS!$O$3:$O$42&lt;&gt;"")*ISNUMBER(SEARCH(LISTAS!$O$3:$O$42,$I1629&amp;" "&amp;$K1629)))&gt;0,"CERCANA","NACIONAL"))</f>
        <v/>
      </c>
      <c r="O1629" s="39">
        <f>IF($B1629="","",IF(COUNTIFS(NOVEDADES!$C$4:$C$2003,$B1629)=0,"—","SÍ ("&amp;COUNTIFS(NOVEDADES!$C$4:$C$2003,$B1629)&amp;")"))</f>
        <v/>
      </c>
    </row>
    <row r="1630">
      <c r="A1630" s="41" t="n"/>
      <c r="B1630" s="41" t="n"/>
      <c r="C1630" s="41" t="n"/>
      <c r="D1630" s="41" t="n"/>
      <c r="E1630" s="46" t="n"/>
      <c r="F1630" s="41" t="n"/>
      <c r="G1630" s="41" t="n"/>
      <c r="H1630" s="41" t="n"/>
      <c r="I1630" s="41" t="n"/>
      <c r="J1630" s="47" t="n"/>
      <c r="K1630" s="41" t="n"/>
      <c r="L1630" s="48" t="n"/>
      <c r="M1630" s="45" t="n"/>
      <c r="N1630" s="39">
        <f>IF($B1630="","",IF(SUMPRODUCT((LISTAS!$O$3:$O$42&lt;&gt;"")*ISNUMBER(SEARCH(LISTAS!$O$3:$O$42,$I1630&amp;" "&amp;$K1630)))&gt;0,"CERCANA","NACIONAL"))</f>
        <v/>
      </c>
      <c r="O1630" s="39">
        <f>IF($B1630="","",IF(COUNTIFS(NOVEDADES!$C$4:$C$2003,$B1630)=0,"—","SÍ ("&amp;COUNTIFS(NOVEDADES!$C$4:$C$2003,$B1630)&amp;")"))</f>
        <v/>
      </c>
    </row>
    <row r="1631">
      <c r="A1631" s="41" t="n"/>
      <c r="B1631" s="41" t="n"/>
      <c r="C1631" s="41" t="n"/>
      <c r="D1631" s="41" t="n"/>
      <c r="E1631" s="46" t="n"/>
      <c r="F1631" s="41" t="n"/>
      <c r="G1631" s="41" t="n"/>
      <c r="H1631" s="41" t="n"/>
      <c r="I1631" s="41" t="n"/>
      <c r="J1631" s="47" t="n"/>
      <c r="K1631" s="41" t="n"/>
      <c r="L1631" s="48" t="n"/>
      <c r="M1631" s="45" t="n"/>
      <c r="N1631" s="39">
        <f>IF($B1631="","",IF(SUMPRODUCT((LISTAS!$O$3:$O$42&lt;&gt;"")*ISNUMBER(SEARCH(LISTAS!$O$3:$O$42,$I1631&amp;" "&amp;$K1631)))&gt;0,"CERCANA","NACIONAL"))</f>
        <v/>
      </c>
      <c r="O1631" s="39">
        <f>IF($B1631="","",IF(COUNTIFS(NOVEDADES!$C$4:$C$2003,$B1631)=0,"—","SÍ ("&amp;COUNTIFS(NOVEDADES!$C$4:$C$2003,$B1631)&amp;")"))</f>
        <v/>
      </c>
    </row>
    <row r="1632">
      <c r="A1632" s="41" t="n"/>
      <c r="B1632" s="41" t="n"/>
      <c r="C1632" s="41" t="n"/>
      <c r="D1632" s="41" t="n"/>
      <c r="E1632" s="46" t="n"/>
      <c r="F1632" s="41" t="n"/>
      <c r="G1632" s="41" t="n"/>
      <c r="H1632" s="41" t="n"/>
      <c r="I1632" s="41" t="n"/>
      <c r="J1632" s="47" t="n"/>
      <c r="K1632" s="41" t="n"/>
      <c r="L1632" s="48" t="n"/>
      <c r="M1632" s="45" t="n"/>
      <c r="N1632" s="39">
        <f>IF($B1632="","",IF(SUMPRODUCT((LISTAS!$O$3:$O$42&lt;&gt;"")*ISNUMBER(SEARCH(LISTAS!$O$3:$O$42,$I1632&amp;" "&amp;$K1632)))&gt;0,"CERCANA","NACIONAL"))</f>
        <v/>
      </c>
      <c r="O1632" s="39">
        <f>IF($B1632="","",IF(COUNTIFS(NOVEDADES!$C$4:$C$2003,$B1632)=0,"—","SÍ ("&amp;COUNTIFS(NOVEDADES!$C$4:$C$2003,$B1632)&amp;")"))</f>
        <v/>
      </c>
    </row>
    <row r="1633">
      <c r="A1633" s="41" t="n"/>
      <c r="B1633" s="41" t="n"/>
      <c r="C1633" s="41" t="n"/>
      <c r="D1633" s="41" t="n"/>
      <c r="E1633" s="46" t="n"/>
      <c r="F1633" s="41" t="n"/>
      <c r="G1633" s="41" t="n"/>
      <c r="H1633" s="41" t="n"/>
      <c r="I1633" s="41" t="n"/>
      <c r="J1633" s="47" t="n"/>
      <c r="K1633" s="41" t="n"/>
      <c r="L1633" s="48" t="n"/>
      <c r="M1633" s="45" t="n"/>
      <c r="N1633" s="39">
        <f>IF($B1633="","",IF(SUMPRODUCT((LISTAS!$O$3:$O$42&lt;&gt;"")*ISNUMBER(SEARCH(LISTAS!$O$3:$O$42,$I1633&amp;" "&amp;$K1633)))&gt;0,"CERCANA","NACIONAL"))</f>
        <v/>
      </c>
      <c r="O1633" s="39">
        <f>IF($B1633="","",IF(COUNTIFS(NOVEDADES!$C$4:$C$2003,$B1633)=0,"—","SÍ ("&amp;COUNTIFS(NOVEDADES!$C$4:$C$2003,$B1633)&amp;")"))</f>
        <v/>
      </c>
    </row>
    <row r="1634">
      <c r="A1634" s="41" t="n"/>
      <c r="B1634" s="41" t="n"/>
      <c r="C1634" s="41" t="n"/>
      <c r="D1634" s="41" t="n"/>
      <c r="E1634" s="46" t="n"/>
      <c r="F1634" s="41" t="n"/>
      <c r="G1634" s="41" t="n"/>
      <c r="H1634" s="41" t="n"/>
      <c r="I1634" s="41" t="n"/>
      <c r="J1634" s="47" t="n"/>
      <c r="K1634" s="41" t="n"/>
      <c r="L1634" s="48" t="n"/>
      <c r="M1634" s="45" t="n"/>
      <c r="N1634" s="39">
        <f>IF($B1634="","",IF(SUMPRODUCT((LISTAS!$O$3:$O$42&lt;&gt;"")*ISNUMBER(SEARCH(LISTAS!$O$3:$O$42,$I1634&amp;" "&amp;$K1634)))&gt;0,"CERCANA","NACIONAL"))</f>
        <v/>
      </c>
      <c r="O1634" s="39">
        <f>IF($B1634="","",IF(COUNTIFS(NOVEDADES!$C$4:$C$2003,$B1634)=0,"—","SÍ ("&amp;COUNTIFS(NOVEDADES!$C$4:$C$2003,$B1634)&amp;")"))</f>
        <v/>
      </c>
    </row>
    <row r="1635">
      <c r="A1635" s="41" t="n"/>
      <c r="B1635" s="41" t="n"/>
      <c r="C1635" s="41" t="n"/>
      <c r="D1635" s="41" t="n"/>
      <c r="E1635" s="46" t="n"/>
      <c r="F1635" s="41" t="n"/>
      <c r="G1635" s="41" t="n"/>
      <c r="H1635" s="41" t="n"/>
      <c r="I1635" s="41" t="n"/>
      <c r="J1635" s="47" t="n"/>
      <c r="K1635" s="41" t="n"/>
      <c r="L1635" s="48" t="n"/>
      <c r="M1635" s="45" t="n"/>
      <c r="N1635" s="39">
        <f>IF($B1635="","",IF(SUMPRODUCT((LISTAS!$O$3:$O$42&lt;&gt;"")*ISNUMBER(SEARCH(LISTAS!$O$3:$O$42,$I1635&amp;" "&amp;$K1635)))&gt;0,"CERCANA","NACIONAL"))</f>
        <v/>
      </c>
      <c r="O1635" s="39">
        <f>IF($B1635="","",IF(COUNTIFS(NOVEDADES!$C$4:$C$2003,$B1635)=0,"—","SÍ ("&amp;COUNTIFS(NOVEDADES!$C$4:$C$2003,$B1635)&amp;")"))</f>
        <v/>
      </c>
    </row>
    <row r="1636">
      <c r="A1636" s="41" t="n"/>
      <c r="B1636" s="41" t="n"/>
      <c r="C1636" s="41" t="n"/>
      <c r="D1636" s="41" t="n"/>
      <c r="E1636" s="46" t="n"/>
      <c r="F1636" s="41" t="n"/>
      <c r="G1636" s="41" t="n"/>
      <c r="H1636" s="41" t="n"/>
      <c r="I1636" s="41" t="n"/>
      <c r="J1636" s="47" t="n"/>
      <c r="K1636" s="41" t="n"/>
      <c r="L1636" s="48" t="n"/>
      <c r="M1636" s="45" t="n"/>
      <c r="N1636" s="39">
        <f>IF($B1636="","",IF(SUMPRODUCT((LISTAS!$O$3:$O$42&lt;&gt;"")*ISNUMBER(SEARCH(LISTAS!$O$3:$O$42,$I1636&amp;" "&amp;$K1636)))&gt;0,"CERCANA","NACIONAL"))</f>
        <v/>
      </c>
      <c r="O1636" s="39">
        <f>IF($B1636="","",IF(COUNTIFS(NOVEDADES!$C$4:$C$2003,$B1636)=0,"—","SÍ ("&amp;COUNTIFS(NOVEDADES!$C$4:$C$2003,$B1636)&amp;")"))</f>
        <v/>
      </c>
    </row>
    <row r="1637">
      <c r="A1637" s="41" t="n"/>
      <c r="B1637" s="41" t="n"/>
      <c r="C1637" s="41" t="n"/>
      <c r="D1637" s="41" t="n"/>
      <c r="E1637" s="46" t="n"/>
      <c r="F1637" s="41" t="n"/>
      <c r="G1637" s="41" t="n"/>
      <c r="H1637" s="41" t="n"/>
      <c r="I1637" s="41" t="n"/>
      <c r="J1637" s="47" t="n"/>
      <c r="K1637" s="41" t="n"/>
      <c r="L1637" s="48" t="n"/>
      <c r="M1637" s="45" t="n"/>
      <c r="N1637" s="39">
        <f>IF($B1637="","",IF(SUMPRODUCT((LISTAS!$O$3:$O$42&lt;&gt;"")*ISNUMBER(SEARCH(LISTAS!$O$3:$O$42,$I1637&amp;" "&amp;$K1637)))&gt;0,"CERCANA","NACIONAL"))</f>
        <v/>
      </c>
      <c r="O1637" s="39">
        <f>IF($B1637="","",IF(COUNTIFS(NOVEDADES!$C$4:$C$2003,$B1637)=0,"—","SÍ ("&amp;COUNTIFS(NOVEDADES!$C$4:$C$2003,$B1637)&amp;")"))</f>
        <v/>
      </c>
    </row>
    <row r="1638">
      <c r="A1638" s="41" t="n"/>
      <c r="B1638" s="41" t="n"/>
      <c r="C1638" s="41" t="n"/>
      <c r="D1638" s="41" t="n"/>
      <c r="E1638" s="46" t="n"/>
      <c r="F1638" s="41" t="n"/>
      <c r="G1638" s="41" t="n"/>
      <c r="H1638" s="41" t="n"/>
      <c r="I1638" s="41" t="n"/>
      <c r="J1638" s="47" t="n"/>
      <c r="K1638" s="41" t="n"/>
      <c r="L1638" s="48" t="n"/>
      <c r="M1638" s="45" t="n"/>
      <c r="N1638" s="39">
        <f>IF($B1638="","",IF(SUMPRODUCT((LISTAS!$O$3:$O$42&lt;&gt;"")*ISNUMBER(SEARCH(LISTAS!$O$3:$O$42,$I1638&amp;" "&amp;$K1638)))&gt;0,"CERCANA","NACIONAL"))</f>
        <v/>
      </c>
      <c r="O1638" s="39">
        <f>IF($B1638="","",IF(COUNTIFS(NOVEDADES!$C$4:$C$2003,$B1638)=0,"—","SÍ ("&amp;COUNTIFS(NOVEDADES!$C$4:$C$2003,$B1638)&amp;")"))</f>
        <v/>
      </c>
    </row>
    <row r="1639">
      <c r="A1639" s="41" t="n"/>
      <c r="B1639" s="41" t="n"/>
      <c r="C1639" s="41" t="n"/>
      <c r="D1639" s="41" t="n"/>
      <c r="E1639" s="46" t="n"/>
      <c r="F1639" s="41" t="n"/>
      <c r="G1639" s="41" t="n"/>
      <c r="H1639" s="41" t="n"/>
      <c r="I1639" s="41" t="n"/>
      <c r="J1639" s="47" t="n"/>
      <c r="K1639" s="41" t="n"/>
      <c r="L1639" s="48" t="n"/>
      <c r="M1639" s="45" t="n"/>
      <c r="N1639" s="39">
        <f>IF($B1639="","",IF(SUMPRODUCT((LISTAS!$O$3:$O$42&lt;&gt;"")*ISNUMBER(SEARCH(LISTAS!$O$3:$O$42,$I1639&amp;" "&amp;$K1639)))&gt;0,"CERCANA","NACIONAL"))</f>
        <v/>
      </c>
      <c r="O1639" s="39">
        <f>IF($B1639="","",IF(COUNTIFS(NOVEDADES!$C$4:$C$2003,$B1639)=0,"—","SÍ ("&amp;COUNTIFS(NOVEDADES!$C$4:$C$2003,$B1639)&amp;")"))</f>
        <v/>
      </c>
    </row>
    <row r="1640">
      <c r="A1640" s="41" t="n"/>
      <c r="B1640" s="41" t="n"/>
      <c r="C1640" s="41" t="n"/>
      <c r="D1640" s="41" t="n"/>
      <c r="E1640" s="46" t="n"/>
      <c r="F1640" s="41" t="n"/>
      <c r="G1640" s="41" t="n"/>
      <c r="H1640" s="41" t="n"/>
      <c r="I1640" s="41" t="n"/>
      <c r="J1640" s="47" t="n"/>
      <c r="K1640" s="41" t="n"/>
      <c r="L1640" s="48" t="n"/>
      <c r="M1640" s="45" t="n"/>
      <c r="N1640" s="39">
        <f>IF($B1640="","",IF(SUMPRODUCT((LISTAS!$O$3:$O$42&lt;&gt;"")*ISNUMBER(SEARCH(LISTAS!$O$3:$O$42,$I1640&amp;" "&amp;$K1640)))&gt;0,"CERCANA","NACIONAL"))</f>
        <v/>
      </c>
      <c r="O1640" s="39">
        <f>IF($B1640="","",IF(COUNTIFS(NOVEDADES!$C$4:$C$2003,$B1640)=0,"—","SÍ ("&amp;COUNTIFS(NOVEDADES!$C$4:$C$2003,$B1640)&amp;")"))</f>
        <v/>
      </c>
    </row>
    <row r="1641">
      <c r="A1641" s="41" t="n"/>
      <c r="B1641" s="41" t="n"/>
      <c r="C1641" s="41" t="n"/>
      <c r="D1641" s="41" t="n"/>
      <c r="E1641" s="46" t="n"/>
      <c r="F1641" s="41" t="n"/>
      <c r="G1641" s="41" t="n"/>
      <c r="H1641" s="41" t="n"/>
      <c r="I1641" s="41" t="n"/>
      <c r="J1641" s="47" t="n"/>
      <c r="K1641" s="41" t="n"/>
      <c r="L1641" s="48" t="n"/>
      <c r="M1641" s="45" t="n"/>
      <c r="N1641" s="39">
        <f>IF($B1641="","",IF(SUMPRODUCT((LISTAS!$O$3:$O$42&lt;&gt;"")*ISNUMBER(SEARCH(LISTAS!$O$3:$O$42,$I1641&amp;" "&amp;$K1641)))&gt;0,"CERCANA","NACIONAL"))</f>
        <v/>
      </c>
      <c r="O1641" s="39">
        <f>IF($B1641="","",IF(COUNTIFS(NOVEDADES!$C$4:$C$2003,$B1641)=0,"—","SÍ ("&amp;COUNTIFS(NOVEDADES!$C$4:$C$2003,$B1641)&amp;")"))</f>
        <v/>
      </c>
    </row>
    <row r="1642">
      <c r="A1642" s="41" t="n"/>
      <c r="B1642" s="41" t="n"/>
      <c r="C1642" s="41" t="n"/>
      <c r="D1642" s="41" t="n"/>
      <c r="E1642" s="46" t="n"/>
      <c r="F1642" s="41" t="n"/>
      <c r="G1642" s="41" t="n"/>
      <c r="H1642" s="41" t="n"/>
      <c r="I1642" s="41" t="n"/>
      <c r="J1642" s="47" t="n"/>
      <c r="K1642" s="41" t="n"/>
      <c r="L1642" s="48" t="n"/>
      <c r="M1642" s="45" t="n"/>
      <c r="N1642" s="39">
        <f>IF($B1642="","",IF(SUMPRODUCT((LISTAS!$O$3:$O$42&lt;&gt;"")*ISNUMBER(SEARCH(LISTAS!$O$3:$O$42,$I1642&amp;" "&amp;$K1642)))&gt;0,"CERCANA","NACIONAL"))</f>
        <v/>
      </c>
      <c r="O1642" s="39">
        <f>IF($B1642="","",IF(COUNTIFS(NOVEDADES!$C$4:$C$2003,$B1642)=0,"—","SÍ ("&amp;COUNTIFS(NOVEDADES!$C$4:$C$2003,$B1642)&amp;")"))</f>
        <v/>
      </c>
    </row>
    <row r="1643">
      <c r="A1643" s="41" t="n"/>
      <c r="B1643" s="41" t="n"/>
      <c r="C1643" s="41" t="n"/>
      <c r="D1643" s="41" t="n"/>
      <c r="E1643" s="46" t="n"/>
      <c r="F1643" s="41" t="n"/>
      <c r="G1643" s="41" t="n"/>
      <c r="H1643" s="41" t="n"/>
      <c r="I1643" s="41" t="n"/>
      <c r="J1643" s="47" t="n"/>
      <c r="K1643" s="41" t="n"/>
      <c r="L1643" s="48" t="n"/>
      <c r="M1643" s="45" t="n"/>
      <c r="N1643" s="39">
        <f>IF($B1643="","",IF(SUMPRODUCT((LISTAS!$O$3:$O$42&lt;&gt;"")*ISNUMBER(SEARCH(LISTAS!$O$3:$O$42,$I1643&amp;" "&amp;$K1643)))&gt;0,"CERCANA","NACIONAL"))</f>
        <v/>
      </c>
      <c r="O1643" s="39">
        <f>IF($B1643="","",IF(COUNTIFS(NOVEDADES!$C$4:$C$2003,$B1643)=0,"—","SÍ ("&amp;COUNTIFS(NOVEDADES!$C$4:$C$2003,$B1643)&amp;")"))</f>
        <v/>
      </c>
    </row>
    <row r="1644">
      <c r="A1644" s="41" t="n"/>
      <c r="B1644" s="41" t="n"/>
      <c r="C1644" s="41" t="n"/>
      <c r="D1644" s="41" t="n"/>
      <c r="E1644" s="46" t="n"/>
      <c r="F1644" s="41" t="n"/>
      <c r="G1644" s="41" t="n"/>
      <c r="H1644" s="41" t="n"/>
      <c r="I1644" s="41" t="n"/>
      <c r="J1644" s="47" t="n"/>
      <c r="K1644" s="41" t="n"/>
      <c r="L1644" s="48" t="n"/>
      <c r="M1644" s="45" t="n"/>
      <c r="N1644" s="39">
        <f>IF($B1644="","",IF(SUMPRODUCT((LISTAS!$O$3:$O$42&lt;&gt;"")*ISNUMBER(SEARCH(LISTAS!$O$3:$O$42,$I1644&amp;" "&amp;$K1644)))&gt;0,"CERCANA","NACIONAL"))</f>
        <v/>
      </c>
      <c r="O1644" s="39">
        <f>IF($B1644="","",IF(COUNTIFS(NOVEDADES!$C$4:$C$2003,$B1644)=0,"—","SÍ ("&amp;COUNTIFS(NOVEDADES!$C$4:$C$2003,$B1644)&amp;")"))</f>
        <v/>
      </c>
    </row>
    <row r="1645">
      <c r="A1645" s="41" t="n"/>
      <c r="B1645" s="41" t="n"/>
      <c r="C1645" s="41" t="n"/>
      <c r="D1645" s="41" t="n"/>
      <c r="E1645" s="46" t="n"/>
      <c r="F1645" s="41" t="n"/>
      <c r="G1645" s="41" t="n"/>
      <c r="H1645" s="41" t="n"/>
      <c r="I1645" s="41" t="n"/>
      <c r="J1645" s="47" t="n"/>
      <c r="K1645" s="41" t="n"/>
      <c r="L1645" s="48" t="n"/>
      <c r="M1645" s="45" t="n"/>
      <c r="N1645" s="39">
        <f>IF($B1645="","",IF(SUMPRODUCT((LISTAS!$O$3:$O$42&lt;&gt;"")*ISNUMBER(SEARCH(LISTAS!$O$3:$O$42,$I1645&amp;" "&amp;$K1645)))&gt;0,"CERCANA","NACIONAL"))</f>
        <v/>
      </c>
      <c r="O1645" s="39">
        <f>IF($B1645="","",IF(COUNTIFS(NOVEDADES!$C$4:$C$2003,$B1645)=0,"—","SÍ ("&amp;COUNTIFS(NOVEDADES!$C$4:$C$2003,$B1645)&amp;")"))</f>
        <v/>
      </c>
    </row>
    <row r="1646">
      <c r="A1646" s="41" t="n"/>
      <c r="B1646" s="41" t="n"/>
      <c r="C1646" s="41" t="n"/>
      <c r="D1646" s="41" t="n"/>
      <c r="E1646" s="46" t="n"/>
      <c r="F1646" s="41" t="n"/>
      <c r="G1646" s="41" t="n"/>
      <c r="H1646" s="41" t="n"/>
      <c r="I1646" s="41" t="n"/>
      <c r="J1646" s="47" t="n"/>
      <c r="K1646" s="41" t="n"/>
      <c r="L1646" s="48" t="n"/>
      <c r="M1646" s="45" t="n"/>
      <c r="N1646" s="39">
        <f>IF($B1646="","",IF(SUMPRODUCT((LISTAS!$O$3:$O$42&lt;&gt;"")*ISNUMBER(SEARCH(LISTAS!$O$3:$O$42,$I1646&amp;" "&amp;$K1646)))&gt;0,"CERCANA","NACIONAL"))</f>
        <v/>
      </c>
      <c r="O1646" s="39">
        <f>IF($B1646="","",IF(COUNTIFS(NOVEDADES!$C$4:$C$2003,$B1646)=0,"—","SÍ ("&amp;COUNTIFS(NOVEDADES!$C$4:$C$2003,$B1646)&amp;")"))</f>
        <v/>
      </c>
    </row>
    <row r="1647">
      <c r="A1647" s="41" t="n"/>
      <c r="B1647" s="41" t="n"/>
      <c r="C1647" s="41" t="n"/>
      <c r="D1647" s="41" t="n"/>
      <c r="E1647" s="46" t="n"/>
      <c r="F1647" s="41" t="n"/>
      <c r="G1647" s="41" t="n"/>
      <c r="H1647" s="41" t="n"/>
      <c r="I1647" s="41" t="n"/>
      <c r="J1647" s="47" t="n"/>
      <c r="K1647" s="41" t="n"/>
      <c r="L1647" s="48" t="n"/>
      <c r="M1647" s="45" t="n"/>
      <c r="N1647" s="39">
        <f>IF($B1647="","",IF(SUMPRODUCT((LISTAS!$O$3:$O$42&lt;&gt;"")*ISNUMBER(SEARCH(LISTAS!$O$3:$O$42,$I1647&amp;" "&amp;$K1647)))&gt;0,"CERCANA","NACIONAL"))</f>
        <v/>
      </c>
      <c r="O1647" s="39">
        <f>IF($B1647="","",IF(COUNTIFS(NOVEDADES!$C$4:$C$2003,$B1647)=0,"—","SÍ ("&amp;COUNTIFS(NOVEDADES!$C$4:$C$2003,$B1647)&amp;")"))</f>
        <v/>
      </c>
    </row>
    <row r="1648">
      <c r="A1648" s="41" t="n"/>
      <c r="B1648" s="41" t="n"/>
      <c r="C1648" s="41" t="n"/>
      <c r="D1648" s="41" t="n"/>
      <c r="E1648" s="46" t="n"/>
      <c r="F1648" s="41" t="n"/>
      <c r="G1648" s="41" t="n"/>
      <c r="H1648" s="41" t="n"/>
      <c r="I1648" s="41" t="n"/>
      <c r="J1648" s="47" t="n"/>
      <c r="K1648" s="41" t="n"/>
      <c r="L1648" s="48" t="n"/>
      <c r="M1648" s="45" t="n"/>
      <c r="N1648" s="39">
        <f>IF($B1648="","",IF(SUMPRODUCT((LISTAS!$O$3:$O$42&lt;&gt;"")*ISNUMBER(SEARCH(LISTAS!$O$3:$O$42,$I1648&amp;" "&amp;$K1648)))&gt;0,"CERCANA","NACIONAL"))</f>
        <v/>
      </c>
      <c r="O1648" s="39">
        <f>IF($B1648="","",IF(COUNTIFS(NOVEDADES!$C$4:$C$2003,$B1648)=0,"—","SÍ ("&amp;COUNTIFS(NOVEDADES!$C$4:$C$2003,$B1648)&amp;")"))</f>
        <v/>
      </c>
    </row>
    <row r="1649">
      <c r="A1649" s="41" t="n"/>
      <c r="B1649" s="41" t="n"/>
      <c r="C1649" s="41" t="n"/>
      <c r="D1649" s="41" t="n"/>
      <c r="E1649" s="46" t="n"/>
      <c r="F1649" s="41" t="n"/>
      <c r="G1649" s="41" t="n"/>
      <c r="H1649" s="41" t="n"/>
      <c r="I1649" s="41" t="n"/>
      <c r="J1649" s="47" t="n"/>
      <c r="K1649" s="41" t="n"/>
      <c r="L1649" s="48" t="n"/>
      <c r="M1649" s="45" t="n"/>
      <c r="N1649" s="39">
        <f>IF($B1649="","",IF(SUMPRODUCT((LISTAS!$O$3:$O$42&lt;&gt;"")*ISNUMBER(SEARCH(LISTAS!$O$3:$O$42,$I1649&amp;" "&amp;$K1649)))&gt;0,"CERCANA","NACIONAL"))</f>
        <v/>
      </c>
      <c r="O1649" s="39">
        <f>IF($B1649="","",IF(COUNTIFS(NOVEDADES!$C$4:$C$2003,$B1649)=0,"—","SÍ ("&amp;COUNTIFS(NOVEDADES!$C$4:$C$2003,$B1649)&amp;")"))</f>
        <v/>
      </c>
    </row>
    <row r="1650">
      <c r="A1650" s="41" t="n"/>
      <c r="B1650" s="41" t="n"/>
      <c r="C1650" s="41" t="n"/>
      <c r="D1650" s="41" t="n"/>
      <c r="E1650" s="46" t="n"/>
      <c r="F1650" s="41" t="n"/>
      <c r="G1650" s="41" t="n"/>
      <c r="H1650" s="41" t="n"/>
      <c r="I1650" s="41" t="n"/>
      <c r="J1650" s="47" t="n"/>
      <c r="K1650" s="41" t="n"/>
      <c r="L1650" s="48" t="n"/>
      <c r="M1650" s="45" t="n"/>
      <c r="N1650" s="39">
        <f>IF($B1650="","",IF(SUMPRODUCT((LISTAS!$O$3:$O$42&lt;&gt;"")*ISNUMBER(SEARCH(LISTAS!$O$3:$O$42,$I1650&amp;" "&amp;$K1650)))&gt;0,"CERCANA","NACIONAL"))</f>
        <v/>
      </c>
      <c r="O1650" s="39">
        <f>IF($B1650="","",IF(COUNTIFS(NOVEDADES!$C$4:$C$2003,$B1650)=0,"—","SÍ ("&amp;COUNTIFS(NOVEDADES!$C$4:$C$2003,$B1650)&amp;")"))</f>
        <v/>
      </c>
    </row>
    <row r="1651">
      <c r="A1651" s="41" t="n"/>
      <c r="B1651" s="41" t="n"/>
      <c r="C1651" s="41" t="n"/>
      <c r="D1651" s="41" t="n"/>
      <c r="E1651" s="46" t="n"/>
      <c r="F1651" s="41" t="n"/>
      <c r="G1651" s="41" t="n"/>
      <c r="H1651" s="41" t="n"/>
      <c r="I1651" s="41" t="n"/>
      <c r="J1651" s="47" t="n"/>
      <c r="K1651" s="41" t="n"/>
      <c r="L1651" s="48" t="n"/>
      <c r="M1651" s="45" t="n"/>
      <c r="N1651" s="39">
        <f>IF($B1651="","",IF(SUMPRODUCT((LISTAS!$O$3:$O$42&lt;&gt;"")*ISNUMBER(SEARCH(LISTAS!$O$3:$O$42,$I1651&amp;" "&amp;$K1651)))&gt;0,"CERCANA","NACIONAL"))</f>
        <v/>
      </c>
      <c r="O1651" s="39">
        <f>IF($B1651="","",IF(COUNTIFS(NOVEDADES!$C$4:$C$2003,$B1651)=0,"—","SÍ ("&amp;COUNTIFS(NOVEDADES!$C$4:$C$2003,$B1651)&amp;")"))</f>
        <v/>
      </c>
    </row>
    <row r="1652">
      <c r="A1652" s="41" t="n"/>
      <c r="B1652" s="41" t="n"/>
      <c r="C1652" s="41" t="n"/>
      <c r="D1652" s="41" t="n"/>
      <c r="E1652" s="46" t="n"/>
      <c r="F1652" s="41" t="n"/>
      <c r="G1652" s="41" t="n"/>
      <c r="H1652" s="41" t="n"/>
      <c r="I1652" s="41" t="n"/>
      <c r="J1652" s="47" t="n"/>
      <c r="K1652" s="41" t="n"/>
      <c r="L1652" s="48" t="n"/>
      <c r="M1652" s="45" t="n"/>
      <c r="N1652" s="39">
        <f>IF($B1652="","",IF(SUMPRODUCT((LISTAS!$O$3:$O$42&lt;&gt;"")*ISNUMBER(SEARCH(LISTAS!$O$3:$O$42,$I1652&amp;" "&amp;$K1652)))&gt;0,"CERCANA","NACIONAL"))</f>
        <v/>
      </c>
      <c r="O1652" s="39">
        <f>IF($B1652="","",IF(COUNTIFS(NOVEDADES!$C$4:$C$2003,$B1652)=0,"—","SÍ ("&amp;COUNTIFS(NOVEDADES!$C$4:$C$2003,$B1652)&amp;")"))</f>
        <v/>
      </c>
    </row>
    <row r="1653">
      <c r="A1653" s="41" t="n"/>
      <c r="B1653" s="41" t="n"/>
      <c r="C1653" s="41" t="n"/>
      <c r="D1653" s="41" t="n"/>
      <c r="E1653" s="46" t="n"/>
      <c r="F1653" s="41" t="n"/>
      <c r="G1653" s="41" t="n"/>
      <c r="H1653" s="41" t="n"/>
      <c r="I1653" s="41" t="n"/>
      <c r="J1653" s="47" t="n"/>
      <c r="K1653" s="41" t="n"/>
      <c r="L1653" s="48" t="n"/>
      <c r="M1653" s="45" t="n"/>
      <c r="N1653" s="39">
        <f>IF($B1653="","",IF(SUMPRODUCT((LISTAS!$O$3:$O$42&lt;&gt;"")*ISNUMBER(SEARCH(LISTAS!$O$3:$O$42,$I1653&amp;" "&amp;$K1653)))&gt;0,"CERCANA","NACIONAL"))</f>
        <v/>
      </c>
      <c r="O1653" s="39">
        <f>IF($B1653="","",IF(COUNTIFS(NOVEDADES!$C$4:$C$2003,$B1653)=0,"—","SÍ ("&amp;COUNTIFS(NOVEDADES!$C$4:$C$2003,$B1653)&amp;")"))</f>
        <v/>
      </c>
    </row>
    <row r="1654">
      <c r="A1654" s="41" t="n"/>
      <c r="B1654" s="41" t="n"/>
      <c r="C1654" s="41" t="n"/>
      <c r="D1654" s="41" t="n"/>
      <c r="E1654" s="46" t="n"/>
      <c r="F1654" s="41" t="n"/>
      <c r="G1654" s="41" t="n"/>
      <c r="H1654" s="41" t="n"/>
      <c r="I1654" s="41" t="n"/>
      <c r="J1654" s="47" t="n"/>
      <c r="K1654" s="41" t="n"/>
      <c r="L1654" s="48" t="n"/>
      <c r="M1654" s="45" t="n"/>
      <c r="N1654" s="39">
        <f>IF($B1654="","",IF(SUMPRODUCT((LISTAS!$O$3:$O$42&lt;&gt;"")*ISNUMBER(SEARCH(LISTAS!$O$3:$O$42,$I1654&amp;" "&amp;$K1654)))&gt;0,"CERCANA","NACIONAL"))</f>
        <v/>
      </c>
      <c r="O1654" s="39">
        <f>IF($B1654="","",IF(COUNTIFS(NOVEDADES!$C$4:$C$2003,$B1654)=0,"—","SÍ ("&amp;COUNTIFS(NOVEDADES!$C$4:$C$2003,$B1654)&amp;")"))</f>
        <v/>
      </c>
    </row>
    <row r="1655">
      <c r="A1655" s="41" t="n"/>
      <c r="B1655" s="41" t="n"/>
      <c r="C1655" s="41" t="n"/>
      <c r="D1655" s="41" t="n"/>
      <c r="E1655" s="46" t="n"/>
      <c r="F1655" s="41" t="n"/>
      <c r="G1655" s="41" t="n"/>
      <c r="H1655" s="41" t="n"/>
      <c r="I1655" s="41" t="n"/>
      <c r="J1655" s="47" t="n"/>
      <c r="K1655" s="41" t="n"/>
      <c r="L1655" s="48" t="n"/>
      <c r="M1655" s="45" t="n"/>
      <c r="N1655" s="39">
        <f>IF($B1655="","",IF(SUMPRODUCT((LISTAS!$O$3:$O$42&lt;&gt;"")*ISNUMBER(SEARCH(LISTAS!$O$3:$O$42,$I1655&amp;" "&amp;$K1655)))&gt;0,"CERCANA","NACIONAL"))</f>
        <v/>
      </c>
      <c r="O1655" s="39">
        <f>IF($B1655="","",IF(COUNTIFS(NOVEDADES!$C$4:$C$2003,$B1655)=0,"—","SÍ ("&amp;COUNTIFS(NOVEDADES!$C$4:$C$2003,$B1655)&amp;")"))</f>
        <v/>
      </c>
    </row>
    <row r="1656">
      <c r="A1656" s="41" t="n"/>
      <c r="B1656" s="41" t="n"/>
      <c r="C1656" s="41" t="n"/>
      <c r="D1656" s="41" t="n"/>
      <c r="E1656" s="46" t="n"/>
      <c r="F1656" s="41" t="n"/>
      <c r="G1656" s="41" t="n"/>
      <c r="H1656" s="41" t="n"/>
      <c r="I1656" s="41" t="n"/>
      <c r="J1656" s="47" t="n"/>
      <c r="K1656" s="41" t="n"/>
      <c r="L1656" s="48" t="n"/>
      <c r="M1656" s="45" t="n"/>
      <c r="N1656" s="39">
        <f>IF($B1656="","",IF(SUMPRODUCT((LISTAS!$O$3:$O$42&lt;&gt;"")*ISNUMBER(SEARCH(LISTAS!$O$3:$O$42,$I1656&amp;" "&amp;$K1656)))&gt;0,"CERCANA","NACIONAL"))</f>
        <v/>
      </c>
      <c r="O1656" s="39">
        <f>IF($B1656="","",IF(COUNTIFS(NOVEDADES!$C$4:$C$2003,$B1656)=0,"—","SÍ ("&amp;COUNTIFS(NOVEDADES!$C$4:$C$2003,$B1656)&amp;")"))</f>
        <v/>
      </c>
    </row>
    <row r="1657">
      <c r="A1657" s="41" t="n"/>
      <c r="B1657" s="41" t="n"/>
      <c r="C1657" s="41" t="n"/>
      <c r="D1657" s="41" t="n"/>
      <c r="E1657" s="46" t="n"/>
      <c r="F1657" s="41" t="n"/>
      <c r="G1657" s="41" t="n"/>
      <c r="H1657" s="41" t="n"/>
      <c r="I1657" s="41" t="n"/>
      <c r="J1657" s="47" t="n"/>
      <c r="K1657" s="41" t="n"/>
      <c r="L1657" s="48" t="n"/>
      <c r="M1657" s="45" t="n"/>
      <c r="N1657" s="39">
        <f>IF($B1657="","",IF(SUMPRODUCT((LISTAS!$O$3:$O$42&lt;&gt;"")*ISNUMBER(SEARCH(LISTAS!$O$3:$O$42,$I1657&amp;" "&amp;$K1657)))&gt;0,"CERCANA","NACIONAL"))</f>
        <v/>
      </c>
      <c r="O1657" s="39">
        <f>IF($B1657="","",IF(COUNTIFS(NOVEDADES!$C$4:$C$2003,$B1657)=0,"—","SÍ ("&amp;COUNTIFS(NOVEDADES!$C$4:$C$2003,$B1657)&amp;")"))</f>
        <v/>
      </c>
    </row>
    <row r="1658">
      <c r="A1658" s="41" t="n"/>
      <c r="B1658" s="41" t="n"/>
      <c r="C1658" s="41" t="n"/>
      <c r="D1658" s="41" t="n"/>
      <c r="E1658" s="46" t="n"/>
      <c r="F1658" s="41" t="n"/>
      <c r="G1658" s="41" t="n"/>
      <c r="H1658" s="41" t="n"/>
      <c r="I1658" s="41" t="n"/>
      <c r="J1658" s="47" t="n"/>
      <c r="K1658" s="41" t="n"/>
      <c r="L1658" s="48" t="n"/>
      <c r="M1658" s="45" t="n"/>
      <c r="N1658" s="39">
        <f>IF($B1658="","",IF(SUMPRODUCT((LISTAS!$O$3:$O$42&lt;&gt;"")*ISNUMBER(SEARCH(LISTAS!$O$3:$O$42,$I1658&amp;" "&amp;$K1658)))&gt;0,"CERCANA","NACIONAL"))</f>
        <v/>
      </c>
      <c r="O1658" s="39">
        <f>IF($B1658="","",IF(COUNTIFS(NOVEDADES!$C$4:$C$2003,$B1658)=0,"—","SÍ ("&amp;COUNTIFS(NOVEDADES!$C$4:$C$2003,$B1658)&amp;")"))</f>
        <v/>
      </c>
    </row>
    <row r="1659">
      <c r="A1659" s="41" t="n"/>
      <c r="B1659" s="41" t="n"/>
      <c r="C1659" s="41" t="n"/>
      <c r="D1659" s="41" t="n"/>
      <c r="E1659" s="46" t="n"/>
      <c r="F1659" s="41" t="n"/>
      <c r="G1659" s="41" t="n"/>
      <c r="H1659" s="41" t="n"/>
      <c r="I1659" s="41" t="n"/>
      <c r="J1659" s="47" t="n"/>
      <c r="K1659" s="41" t="n"/>
      <c r="L1659" s="48" t="n"/>
      <c r="M1659" s="45" t="n"/>
      <c r="N1659" s="39">
        <f>IF($B1659="","",IF(SUMPRODUCT((LISTAS!$O$3:$O$42&lt;&gt;"")*ISNUMBER(SEARCH(LISTAS!$O$3:$O$42,$I1659&amp;" "&amp;$K1659)))&gt;0,"CERCANA","NACIONAL"))</f>
        <v/>
      </c>
      <c r="O1659" s="39">
        <f>IF($B1659="","",IF(COUNTIFS(NOVEDADES!$C$4:$C$2003,$B1659)=0,"—","SÍ ("&amp;COUNTIFS(NOVEDADES!$C$4:$C$2003,$B1659)&amp;")"))</f>
        <v/>
      </c>
    </row>
    <row r="1660">
      <c r="A1660" s="41" t="n"/>
      <c r="B1660" s="41" t="n"/>
      <c r="C1660" s="41" t="n"/>
      <c r="D1660" s="41" t="n"/>
      <c r="E1660" s="46" t="n"/>
      <c r="F1660" s="41" t="n"/>
      <c r="G1660" s="41" t="n"/>
      <c r="H1660" s="41" t="n"/>
      <c r="I1660" s="41" t="n"/>
      <c r="J1660" s="47" t="n"/>
      <c r="K1660" s="41" t="n"/>
      <c r="L1660" s="48" t="n"/>
      <c r="M1660" s="45" t="n"/>
      <c r="N1660" s="39">
        <f>IF($B1660="","",IF(SUMPRODUCT((LISTAS!$O$3:$O$42&lt;&gt;"")*ISNUMBER(SEARCH(LISTAS!$O$3:$O$42,$I1660&amp;" "&amp;$K1660)))&gt;0,"CERCANA","NACIONAL"))</f>
        <v/>
      </c>
      <c r="O1660" s="39">
        <f>IF($B1660="","",IF(COUNTIFS(NOVEDADES!$C$4:$C$2003,$B1660)=0,"—","SÍ ("&amp;COUNTIFS(NOVEDADES!$C$4:$C$2003,$B1660)&amp;")"))</f>
        <v/>
      </c>
    </row>
    <row r="1661">
      <c r="A1661" s="41" t="n"/>
      <c r="B1661" s="41" t="n"/>
      <c r="C1661" s="41" t="n"/>
      <c r="D1661" s="41" t="n"/>
      <c r="E1661" s="46" t="n"/>
      <c r="F1661" s="41" t="n"/>
      <c r="G1661" s="41" t="n"/>
      <c r="H1661" s="41" t="n"/>
      <c r="I1661" s="41" t="n"/>
      <c r="J1661" s="47" t="n"/>
      <c r="K1661" s="41" t="n"/>
      <c r="L1661" s="48" t="n"/>
      <c r="M1661" s="45" t="n"/>
      <c r="N1661" s="39">
        <f>IF($B1661="","",IF(SUMPRODUCT((LISTAS!$O$3:$O$42&lt;&gt;"")*ISNUMBER(SEARCH(LISTAS!$O$3:$O$42,$I1661&amp;" "&amp;$K1661)))&gt;0,"CERCANA","NACIONAL"))</f>
        <v/>
      </c>
      <c r="O1661" s="39">
        <f>IF($B1661="","",IF(COUNTIFS(NOVEDADES!$C$4:$C$2003,$B1661)=0,"—","SÍ ("&amp;COUNTIFS(NOVEDADES!$C$4:$C$2003,$B1661)&amp;")"))</f>
        <v/>
      </c>
    </row>
    <row r="1662">
      <c r="A1662" s="41" t="n"/>
      <c r="B1662" s="41" t="n"/>
      <c r="C1662" s="41" t="n"/>
      <c r="D1662" s="41" t="n"/>
      <c r="E1662" s="46" t="n"/>
      <c r="F1662" s="41" t="n"/>
      <c r="G1662" s="41" t="n"/>
      <c r="H1662" s="41" t="n"/>
      <c r="I1662" s="41" t="n"/>
      <c r="J1662" s="47" t="n"/>
      <c r="K1662" s="41" t="n"/>
      <c r="L1662" s="48" t="n"/>
      <c r="M1662" s="45" t="n"/>
      <c r="N1662" s="39">
        <f>IF($B1662="","",IF(SUMPRODUCT((LISTAS!$O$3:$O$42&lt;&gt;"")*ISNUMBER(SEARCH(LISTAS!$O$3:$O$42,$I1662&amp;" "&amp;$K1662)))&gt;0,"CERCANA","NACIONAL"))</f>
        <v/>
      </c>
      <c r="O1662" s="39">
        <f>IF($B1662="","",IF(COUNTIFS(NOVEDADES!$C$4:$C$2003,$B1662)=0,"—","SÍ ("&amp;COUNTIFS(NOVEDADES!$C$4:$C$2003,$B1662)&amp;")"))</f>
        <v/>
      </c>
    </row>
    <row r="1663">
      <c r="A1663" s="41" t="n"/>
      <c r="B1663" s="41" t="n"/>
      <c r="C1663" s="41" t="n"/>
      <c r="D1663" s="41" t="n"/>
      <c r="E1663" s="46" t="n"/>
      <c r="F1663" s="41" t="n"/>
      <c r="G1663" s="41" t="n"/>
      <c r="H1663" s="41" t="n"/>
      <c r="I1663" s="41" t="n"/>
      <c r="J1663" s="47" t="n"/>
      <c r="K1663" s="41" t="n"/>
      <c r="L1663" s="48" t="n"/>
      <c r="M1663" s="45" t="n"/>
      <c r="N1663" s="39">
        <f>IF($B1663="","",IF(SUMPRODUCT((LISTAS!$O$3:$O$42&lt;&gt;"")*ISNUMBER(SEARCH(LISTAS!$O$3:$O$42,$I1663&amp;" "&amp;$K1663)))&gt;0,"CERCANA","NACIONAL"))</f>
        <v/>
      </c>
      <c r="O1663" s="39">
        <f>IF($B1663="","",IF(COUNTIFS(NOVEDADES!$C$4:$C$2003,$B1663)=0,"—","SÍ ("&amp;COUNTIFS(NOVEDADES!$C$4:$C$2003,$B1663)&amp;")"))</f>
        <v/>
      </c>
    </row>
    <row r="1664">
      <c r="A1664" s="41" t="n"/>
      <c r="B1664" s="41" t="n"/>
      <c r="C1664" s="41" t="n"/>
      <c r="D1664" s="41" t="n"/>
      <c r="E1664" s="46" t="n"/>
      <c r="F1664" s="41" t="n"/>
      <c r="G1664" s="41" t="n"/>
      <c r="H1664" s="41" t="n"/>
      <c r="I1664" s="41" t="n"/>
      <c r="J1664" s="47" t="n"/>
      <c r="K1664" s="41" t="n"/>
      <c r="L1664" s="48" t="n"/>
      <c r="M1664" s="45" t="n"/>
      <c r="N1664" s="39">
        <f>IF($B1664="","",IF(SUMPRODUCT((LISTAS!$O$3:$O$42&lt;&gt;"")*ISNUMBER(SEARCH(LISTAS!$O$3:$O$42,$I1664&amp;" "&amp;$K1664)))&gt;0,"CERCANA","NACIONAL"))</f>
        <v/>
      </c>
      <c r="O1664" s="39">
        <f>IF($B1664="","",IF(COUNTIFS(NOVEDADES!$C$4:$C$2003,$B1664)=0,"—","SÍ ("&amp;COUNTIFS(NOVEDADES!$C$4:$C$2003,$B1664)&amp;")"))</f>
        <v/>
      </c>
    </row>
    <row r="1665">
      <c r="A1665" s="41" t="n"/>
      <c r="B1665" s="41" t="n"/>
      <c r="C1665" s="41" t="n"/>
      <c r="D1665" s="41" t="n"/>
      <c r="E1665" s="46" t="n"/>
      <c r="F1665" s="41" t="n"/>
      <c r="G1665" s="41" t="n"/>
      <c r="H1665" s="41" t="n"/>
      <c r="I1665" s="41" t="n"/>
      <c r="J1665" s="47" t="n"/>
      <c r="K1665" s="41" t="n"/>
      <c r="L1665" s="48" t="n"/>
      <c r="M1665" s="45" t="n"/>
      <c r="N1665" s="39">
        <f>IF($B1665="","",IF(SUMPRODUCT((LISTAS!$O$3:$O$42&lt;&gt;"")*ISNUMBER(SEARCH(LISTAS!$O$3:$O$42,$I1665&amp;" "&amp;$K1665)))&gt;0,"CERCANA","NACIONAL"))</f>
        <v/>
      </c>
      <c r="O1665" s="39">
        <f>IF($B1665="","",IF(COUNTIFS(NOVEDADES!$C$4:$C$2003,$B1665)=0,"—","SÍ ("&amp;COUNTIFS(NOVEDADES!$C$4:$C$2003,$B1665)&amp;")"))</f>
        <v/>
      </c>
    </row>
    <row r="1666">
      <c r="A1666" s="41" t="n"/>
      <c r="B1666" s="41" t="n"/>
      <c r="C1666" s="41" t="n"/>
      <c r="D1666" s="41" t="n"/>
      <c r="E1666" s="46" t="n"/>
      <c r="F1666" s="41" t="n"/>
      <c r="G1666" s="41" t="n"/>
      <c r="H1666" s="41" t="n"/>
      <c r="I1666" s="41" t="n"/>
      <c r="J1666" s="47" t="n"/>
      <c r="K1666" s="41" t="n"/>
      <c r="L1666" s="48" t="n"/>
      <c r="M1666" s="45" t="n"/>
      <c r="N1666" s="39">
        <f>IF($B1666="","",IF(SUMPRODUCT((LISTAS!$O$3:$O$42&lt;&gt;"")*ISNUMBER(SEARCH(LISTAS!$O$3:$O$42,$I1666&amp;" "&amp;$K1666)))&gt;0,"CERCANA","NACIONAL"))</f>
        <v/>
      </c>
      <c r="O1666" s="39">
        <f>IF($B1666="","",IF(COUNTIFS(NOVEDADES!$C$4:$C$2003,$B1666)=0,"—","SÍ ("&amp;COUNTIFS(NOVEDADES!$C$4:$C$2003,$B1666)&amp;")"))</f>
        <v/>
      </c>
    </row>
    <row r="1667">
      <c r="A1667" s="41" t="n"/>
      <c r="B1667" s="41" t="n"/>
      <c r="C1667" s="41" t="n"/>
      <c r="D1667" s="41" t="n"/>
      <c r="E1667" s="46" t="n"/>
      <c r="F1667" s="41" t="n"/>
      <c r="G1667" s="41" t="n"/>
      <c r="H1667" s="41" t="n"/>
      <c r="I1667" s="41" t="n"/>
      <c r="J1667" s="47" t="n"/>
      <c r="K1667" s="41" t="n"/>
      <c r="L1667" s="48" t="n"/>
      <c r="M1667" s="45" t="n"/>
      <c r="N1667" s="39">
        <f>IF($B1667="","",IF(SUMPRODUCT((LISTAS!$O$3:$O$42&lt;&gt;"")*ISNUMBER(SEARCH(LISTAS!$O$3:$O$42,$I1667&amp;" "&amp;$K1667)))&gt;0,"CERCANA","NACIONAL"))</f>
        <v/>
      </c>
      <c r="O1667" s="39">
        <f>IF($B1667="","",IF(COUNTIFS(NOVEDADES!$C$4:$C$2003,$B1667)=0,"—","SÍ ("&amp;COUNTIFS(NOVEDADES!$C$4:$C$2003,$B1667)&amp;")"))</f>
        <v/>
      </c>
    </row>
    <row r="1668">
      <c r="A1668" s="41" t="n"/>
      <c r="B1668" s="41" t="n"/>
      <c r="C1668" s="41" t="n"/>
      <c r="D1668" s="41" t="n"/>
      <c r="E1668" s="46" t="n"/>
      <c r="F1668" s="41" t="n"/>
      <c r="G1668" s="41" t="n"/>
      <c r="H1668" s="41" t="n"/>
      <c r="I1668" s="41" t="n"/>
      <c r="J1668" s="47" t="n"/>
      <c r="K1668" s="41" t="n"/>
      <c r="L1668" s="48" t="n"/>
      <c r="M1668" s="45" t="n"/>
      <c r="N1668" s="39">
        <f>IF($B1668="","",IF(SUMPRODUCT((LISTAS!$O$3:$O$42&lt;&gt;"")*ISNUMBER(SEARCH(LISTAS!$O$3:$O$42,$I1668&amp;" "&amp;$K1668)))&gt;0,"CERCANA","NACIONAL"))</f>
        <v/>
      </c>
      <c r="O1668" s="39">
        <f>IF($B1668="","",IF(COUNTIFS(NOVEDADES!$C$4:$C$2003,$B1668)=0,"—","SÍ ("&amp;COUNTIFS(NOVEDADES!$C$4:$C$2003,$B1668)&amp;")"))</f>
        <v/>
      </c>
    </row>
    <row r="1669">
      <c r="A1669" s="41" t="n"/>
      <c r="B1669" s="41" t="n"/>
      <c r="C1669" s="41" t="n"/>
      <c r="D1669" s="41" t="n"/>
      <c r="E1669" s="46" t="n"/>
      <c r="F1669" s="41" t="n"/>
      <c r="G1669" s="41" t="n"/>
      <c r="H1669" s="41" t="n"/>
      <c r="I1669" s="41" t="n"/>
      <c r="J1669" s="47" t="n"/>
      <c r="K1669" s="41" t="n"/>
      <c r="L1669" s="48" t="n"/>
      <c r="M1669" s="45" t="n"/>
      <c r="N1669" s="39">
        <f>IF($B1669="","",IF(SUMPRODUCT((LISTAS!$O$3:$O$42&lt;&gt;"")*ISNUMBER(SEARCH(LISTAS!$O$3:$O$42,$I1669&amp;" "&amp;$K1669)))&gt;0,"CERCANA","NACIONAL"))</f>
        <v/>
      </c>
      <c r="O1669" s="39">
        <f>IF($B1669="","",IF(COUNTIFS(NOVEDADES!$C$4:$C$2003,$B1669)=0,"—","SÍ ("&amp;COUNTIFS(NOVEDADES!$C$4:$C$2003,$B1669)&amp;")"))</f>
        <v/>
      </c>
    </row>
    <row r="1670">
      <c r="A1670" s="41" t="n"/>
      <c r="B1670" s="41" t="n"/>
      <c r="C1670" s="41" t="n"/>
      <c r="D1670" s="41" t="n"/>
      <c r="E1670" s="46" t="n"/>
      <c r="F1670" s="41" t="n"/>
      <c r="G1670" s="41" t="n"/>
      <c r="H1670" s="41" t="n"/>
      <c r="I1670" s="41" t="n"/>
      <c r="J1670" s="47" t="n"/>
      <c r="K1670" s="41" t="n"/>
      <c r="L1670" s="48" t="n"/>
      <c r="M1670" s="45" t="n"/>
      <c r="N1670" s="39">
        <f>IF($B1670="","",IF(SUMPRODUCT((LISTAS!$O$3:$O$42&lt;&gt;"")*ISNUMBER(SEARCH(LISTAS!$O$3:$O$42,$I1670&amp;" "&amp;$K1670)))&gt;0,"CERCANA","NACIONAL"))</f>
        <v/>
      </c>
      <c r="O1670" s="39">
        <f>IF($B1670="","",IF(COUNTIFS(NOVEDADES!$C$4:$C$2003,$B1670)=0,"—","SÍ ("&amp;COUNTIFS(NOVEDADES!$C$4:$C$2003,$B1670)&amp;")"))</f>
        <v/>
      </c>
    </row>
    <row r="1671">
      <c r="A1671" s="41" t="n"/>
      <c r="B1671" s="41" t="n"/>
      <c r="C1671" s="41" t="n"/>
      <c r="D1671" s="41" t="n"/>
      <c r="E1671" s="46" t="n"/>
      <c r="F1671" s="41" t="n"/>
      <c r="G1671" s="41" t="n"/>
      <c r="H1671" s="41" t="n"/>
      <c r="I1671" s="41" t="n"/>
      <c r="J1671" s="47" t="n"/>
      <c r="K1671" s="41" t="n"/>
      <c r="L1671" s="48" t="n"/>
      <c r="M1671" s="45" t="n"/>
      <c r="N1671" s="39">
        <f>IF($B1671="","",IF(SUMPRODUCT((LISTAS!$O$3:$O$42&lt;&gt;"")*ISNUMBER(SEARCH(LISTAS!$O$3:$O$42,$I1671&amp;" "&amp;$K1671)))&gt;0,"CERCANA","NACIONAL"))</f>
        <v/>
      </c>
      <c r="O1671" s="39">
        <f>IF($B1671="","",IF(COUNTIFS(NOVEDADES!$C$4:$C$2003,$B1671)=0,"—","SÍ ("&amp;COUNTIFS(NOVEDADES!$C$4:$C$2003,$B1671)&amp;")"))</f>
        <v/>
      </c>
    </row>
    <row r="1672">
      <c r="A1672" s="41" t="n"/>
      <c r="B1672" s="41" t="n"/>
      <c r="C1672" s="41" t="n"/>
      <c r="D1672" s="41" t="n"/>
      <c r="E1672" s="46" t="n"/>
      <c r="F1672" s="41" t="n"/>
      <c r="G1672" s="41" t="n"/>
      <c r="H1672" s="41" t="n"/>
      <c r="I1672" s="41" t="n"/>
      <c r="J1672" s="47" t="n"/>
      <c r="K1672" s="41" t="n"/>
      <c r="L1672" s="48" t="n"/>
      <c r="M1672" s="45" t="n"/>
      <c r="N1672" s="39">
        <f>IF($B1672="","",IF(SUMPRODUCT((LISTAS!$O$3:$O$42&lt;&gt;"")*ISNUMBER(SEARCH(LISTAS!$O$3:$O$42,$I1672&amp;" "&amp;$K1672)))&gt;0,"CERCANA","NACIONAL"))</f>
        <v/>
      </c>
      <c r="O1672" s="39">
        <f>IF($B1672="","",IF(COUNTIFS(NOVEDADES!$C$4:$C$2003,$B1672)=0,"—","SÍ ("&amp;COUNTIFS(NOVEDADES!$C$4:$C$2003,$B1672)&amp;")"))</f>
        <v/>
      </c>
    </row>
    <row r="1673">
      <c r="A1673" s="41" t="n"/>
      <c r="B1673" s="41" t="n"/>
      <c r="C1673" s="41" t="n"/>
      <c r="D1673" s="41" t="n"/>
      <c r="E1673" s="46" t="n"/>
      <c r="F1673" s="41" t="n"/>
      <c r="G1673" s="41" t="n"/>
      <c r="H1673" s="41" t="n"/>
      <c r="I1673" s="41" t="n"/>
      <c r="J1673" s="47" t="n"/>
      <c r="K1673" s="41" t="n"/>
      <c r="L1673" s="48" t="n"/>
      <c r="M1673" s="45" t="n"/>
      <c r="N1673" s="39">
        <f>IF($B1673="","",IF(SUMPRODUCT((LISTAS!$O$3:$O$42&lt;&gt;"")*ISNUMBER(SEARCH(LISTAS!$O$3:$O$42,$I1673&amp;" "&amp;$K1673)))&gt;0,"CERCANA","NACIONAL"))</f>
        <v/>
      </c>
      <c r="O1673" s="39">
        <f>IF($B1673="","",IF(COUNTIFS(NOVEDADES!$C$4:$C$2003,$B1673)=0,"—","SÍ ("&amp;COUNTIFS(NOVEDADES!$C$4:$C$2003,$B1673)&amp;")"))</f>
        <v/>
      </c>
    </row>
    <row r="1674">
      <c r="A1674" s="41" t="n"/>
      <c r="B1674" s="41" t="n"/>
      <c r="C1674" s="41" t="n"/>
      <c r="D1674" s="41" t="n"/>
      <c r="E1674" s="46" t="n"/>
      <c r="F1674" s="41" t="n"/>
      <c r="G1674" s="41" t="n"/>
      <c r="H1674" s="41" t="n"/>
      <c r="I1674" s="41" t="n"/>
      <c r="J1674" s="47" t="n"/>
      <c r="K1674" s="41" t="n"/>
      <c r="L1674" s="48" t="n"/>
      <c r="M1674" s="45" t="n"/>
      <c r="N1674" s="39">
        <f>IF($B1674="","",IF(SUMPRODUCT((LISTAS!$O$3:$O$42&lt;&gt;"")*ISNUMBER(SEARCH(LISTAS!$O$3:$O$42,$I1674&amp;" "&amp;$K1674)))&gt;0,"CERCANA","NACIONAL"))</f>
        <v/>
      </c>
      <c r="O1674" s="39">
        <f>IF($B1674="","",IF(COUNTIFS(NOVEDADES!$C$4:$C$2003,$B1674)=0,"—","SÍ ("&amp;COUNTIFS(NOVEDADES!$C$4:$C$2003,$B1674)&amp;")"))</f>
        <v/>
      </c>
    </row>
    <row r="1675">
      <c r="A1675" s="41" t="n"/>
      <c r="B1675" s="41" t="n"/>
      <c r="C1675" s="41" t="n"/>
      <c r="D1675" s="41" t="n"/>
      <c r="E1675" s="46" t="n"/>
      <c r="F1675" s="41" t="n"/>
      <c r="G1675" s="41" t="n"/>
      <c r="H1675" s="41" t="n"/>
      <c r="I1675" s="41" t="n"/>
      <c r="J1675" s="47" t="n"/>
      <c r="K1675" s="41" t="n"/>
      <c r="L1675" s="48" t="n"/>
      <c r="M1675" s="45" t="n"/>
      <c r="N1675" s="39">
        <f>IF($B1675="","",IF(SUMPRODUCT((LISTAS!$O$3:$O$42&lt;&gt;"")*ISNUMBER(SEARCH(LISTAS!$O$3:$O$42,$I1675&amp;" "&amp;$K1675)))&gt;0,"CERCANA","NACIONAL"))</f>
        <v/>
      </c>
      <c r="O1675" s="39">
        <f>IF($B1675="","",IF(COUNTIFS(NOVEDADES!$C$4:$C$2003,$B1675)=0,"—","SÍ ("&amp;COUNTIFS(NOVEDADES!$C$4:$C$2003,$B1675)&amp;")"))</f>
        <v/>
      </c>
    </row>
    <row r="1676">
      <c r="A1676" s="41" t="n"/>
      <c r="B1676" s="41" t="n"/>
      <c r="C1676" s="41" t="n"/>
      <c r="D1676" s="41" t="n"/>
      <c r="E1676" s="46" t="n"/>
      <c r="F1676" s="41" t="n"/>
      <c r="G1676" s="41" t="n"/>
      <c r="H1676" s="41" t="n"/>
      <c r="I1676" s="41" t="n"/>
      <c r="J1676" s="47" t="n"/>
      <c r="K1676" s="41" t="n"/>
      <c r="L1676" s="48" t="n"/>
      <c r="M1676" s="45" t="n"/>
      <c r="N1676" s="39">
        <f>IF($B1676="","",IF(SUMPRODUCT((LISTAS!$O$3:$O$42&lt;&gt;"")*ISNUMBER(SEARCH(LISTAS!$O$3:$O$42,$I1676&amp;" "&amp;$K1676)))&gt;0,"CERCANA","NACIONAL"))</f>
        <v/>
      </c>
      <c r="O1676" s="39">
        <f>IF($B1676="","",IF(COUNTIFS(NOVEDADES!$C$4:$C$2003,$B1676)=0,"—","SÍ ("&amp;COUNTIFS(NOVEDADES!$C$4:$C$2003,$B1676)&amp;")"))</f>
        <v/>
      </c>
    </row>
    <row r="1677">
      <c r="A1677" s="41" t="n"/>
      <c r="B1677" s="41" t="n"/>
      <c r="C1677" s="41" t="n"/>
      <c r="D1677" s="41" t="n"/>
      <c r="E1677" s="46" t="n"/>
      <c r="F1677" s="41" t="n"/>
      <c r="G1677" s="41" t="n"/>
      <c r="H1677" s="41" t="n"/>
      <c r="I1677" s="41" t="n"/>
      <c r="J1677" s="47" t="n"/>
      <c r="K1677" s="41" t="n"/>
      <c r="L1677" s="48" t="n"/>
      <c r="M1677" s="45" t="n"/>
      <c r="N1677" s="39">
        <f>IF($B1677="","",IF(SUMPRODUCT((LISTAS!$O$3:$O$42&lt;&gt;"")*ISNUMBER(SEARCH(LISTAS!$O$3:$O$42,$I1677&amp;" "&amp;$K1677)))&gt;0,"CERCANA","NACIONAL"))</f>
        <v/>
      </c>
      <c r="O1677" s="39">
        <f>IF($B1677="","",IF(COUNTIFS(NOVEDADES!$C$4:$C$2003,$B1677)=0,"—","SÍ ("&amp;COUNTIFS(NOVEDADES!$C$4:$C$2003,$B1677)&amp;")"))</f>
        <v/>
      </c>
    </row>
    <row r="1678">
      <c r="A1678" s="41" t="n"/>
      <c r="B1678" s="41" t="n"/>
      <c r="C1678" s="41" t="n"/>
      <c r="D1678" s="41" t="n"/>
      <c r="E1678" s="46" t="n"/>
      <c r="F1678" s="41" t="n"/>
      <c r="G1678" s="41" t="n"/>
      <c r="H1678" s="41" t="n"/>
      <c r="I1678" s="41" t="n"/>
      <c r="J1678" s="47" t="n"/>
      <c r="K1678" s="41" t="n"/>
      <c r="L1678" s="48" t="n"/>
      <c r="M1678" s="45" t="n"/>
      <c r="N1678" s="39">
        <f>IF($B1678="","",IF(SUMPRODUCT((LISTAS!$O$3:$O$42&lt;&gt;"")*ISNUMBER(SEARCH(LISTAS!$O$3:$O$42,$I1678&amp;" "&amp;$K1678)))&gt;0,"CERCANA","NACIONAL"))</f>
        <v/>
      </c>
      <c r="O1678" s="39">
        <f>IF($B1678="","",IF(COUNTIFS(NOVEDADES!$C$4:$C$2003,$B1678)=0,"—","SÍ ("&amp;COUNTIFS(NOVEDADES!$C$4:$C$2003,$B1678)&amp;")"))</f>
        <v/>
      </c>
    </row>
    <row r="1679">
      <c r="A1679" s="41" t="n"/>
      <c r="B1679" s="41" t="n"/>
      <c r="C1679" s="41" t="n"/>
      <c r="D1679" s="41" t="n"/>
      <c r="E1679" s="46" t="n"/>
      <c r="F1679" s="41" t="n"/>
      <c r="G1679" s="41" t="n"/>
      <c r="H1679" s="41" t="n"/>
      <c r="I1679" s="41" t="n"/>
      <c r="J1679" s="47" t="n"/>
      <c r="K1679" s="41" t="n"/>
      <c r="L1679" s="48" t="n"/>
      <c r="M1679" s="45" t="n"/>
      <c r="N1679" s="39">
        <f>IF($B1679="","",IF(SUMPRODUCT((LISTAS!$O$3:$O$42&lt;&gt;"")*ISNUMBER(SEARCH(LISTAS!$O$3:$O$42,$I1679&amp;" "&amp;$K1679)))&gt;0,"CERCANA","NACIONAL"))</f>
        <v/>
      </c>
      <c r="O1679" s="39">
        <f>IF($B1679="","",IF(COUNTIFS(NOVEDADES!$C$4:$C$2003,$B1679)=0,"—","SÍ ("&amp;COUNTIFS(NOVEDADES!$C$4:$C$2003,$B1679)&amp;")"))</f>
        <v/>
      </c>
    </row>
    <row r="1680">
      <c r="A1680" s="41" t="n"/>
      <c r="B1680" s="41" t="n"/>
      <c r="C1680" s="41" t="n"/>
      <c r="D1680" s="41" t="n"/>
      <c r="E1680" s="46" t="n"/>
      <c r="F1680" s="41" t="n"/>
      <c r="G1680" s="41" t="n"/>
      <c r="H1680" s="41" t="n"/>
      <c r="I1680" s="41" t="n"/>
      <c r="J1680" s="47" t="n"/>
      <c r="K1680" s="41" t="n"/>
      <c r="L1680" s="48" t="n"/>
      <c r="M1680" s="45" t="n"/>
      <c r="N1680" s="39">
        <f>IF($B1680="","",IF(SUMPRODUCT((LISTAS!$O$3:$O$42&lt;&gt;"")*ISNUMBER(SEARCH(LISTAS!$O$3:$O$42,$I1680&amp;" "&amp;$K1680)))&gt;0,"CERCANA","NACIONAL"))</f>
        <v/>
      </c>
      <c r="O1680" s="39">
        <f>IF($B1680="","",IF(COUNTIFS(NOVEDADES!$C$4:$C$2003,$B1680)=0,"—","SÍ ("&amp;COUNTIFS(NOVEDADES!$C$4:$C$2003,$B1680)&amp;")"))</f>
        <v/>
      </c>
    </row>
    <row r="1681">
      <c r="A1681" s="41" t="n"/>
      <c r="B1681" s="41" t="n"/>
      <c r="C1681" s="41" t="n"/>
      <c r="D1681" s="41" t="n"/>
      <c r="E1681" s="46" t="n"/>
      <c r="F1681" s="41" t="n"/>
      <c r="G1681" s="41" t="n"/>
      <c r="H1681" s="41" t="n"/>
      <c r="I1681" s="41" t="n"/>
      <c r="J1681" s="47" t="n"/>
      <c r="K1681" s="41" t="n"/>
      <c r="L1681" s="48" t="n"/>
      <c r="M1681" s="45" t="n"/>
      <c r="N1681" s="39">
        <f>IF($B1681="","",IF(SUMPRODUCT((LISTAS!$O$3:$O$42&lt;&gt;"")*ISNUMBER(SEARCH(LISTAS!$O$3:$O$42,$I1681&amp;" "&amp;$K1681)))&gt;0,"CERCANA","NACIONAL"))</f>
        <v/>
      </c>
      <c r="O1681" s="39">
        <f>IF($B1681="","",IF(COUNTIFS(NOVEDADES!$C$4:$C$2003,$B1681)=0,"—","SÍ ("&amp;COUNTIFS(NOVEDADES!$C$4:$C$2003,$B1681)&amp;")"))</f>
        <v/>
      </c>
    </row>
    <row r="1682">
      <c r="A1682" s="41" t="n"/>
      <c r="B1682" s="41" t="n"/>
      <c r="C1682" s="41" t="n"/>
      <c r="D1682" s="41" t="n"/>
      <c r="E1682" s="46" t="n"/>
      <c r="F1682" s="41" t="n"/>
      <c r="G1682" s="41" t="n"/>
      <c r="H1682" s="41" t="n"/>
      <c r="I1682" s="41" t="n"/>
      <c r="J1682" s="47" t="n"/>
      <c r="K1682" s="41" t="n"/>
      <c r="L1682" s="48" t="n"/>
      <c r="M1682" s="45" t="n"/>
      <c r="N1682" s="39">
        <f>IF($B1682="","",IF(SUMPRODUCT((LISTAS!$O$3:$O$42&lt;&gt;"")*ISNUMBER(SEARCH(LISTAS!$O$3:$O$42,$I1682&amp;" "&amp;$K1682)))&gt;0,"CERCANA","NACIONAL"))</f>
        <v/>
      </c>
      <c r="O1682" s="39">
        <f>IF($B1682="","",IF(COUNTIFS(NOVEDADES!$C$4:$C$2003,$B1682)=0,"—","SÍ ("&amp;COUNTIFS(NOVEDADES!$C$4:$C$2003,$B1682)&amp;")"))</f>
        <v/>
      </c>
    </row>
    <row r="1683">
      <c r="A1683" s="41" t="n"/>
      <c r="B1683" s="41" t="n"/>
      <c r="C1683" s="41" t="n"/>
      <c r="D1683" s="41" t="n"/>
      <c r="E1683" s="46" t="n"/>
      <c r="F1683" s="41" t="n"/>
      <c r="G1683" s="41" t="n"/>
      <c r="H1683" s="41" t="n"/>
      <c r="I1683" s="41" t="n"/>
      <c r="J1683" s="47" t="n"/>
      <c r="K1683" s="41" t="n"/>
      <c r="L1683" s="48" t="n"/>
      <c r="M1683" s="45" t="n"/>
      <c r="N1683" s="39">
        <f>IF($B1683="","",IF(SUMPRODUCT((LISTAS!$O$3:$O$42&lt;&gt;"")*ISNUMBER(SEARCH(LISTAS!$O$3:$O$42,$I1683&amp;" "&amp;$K1683)))&gt;0,"CERCANA","NACIONAL"))</f>
        <v/>
      </c>
      <c r="O1683" s="39">
        <f>IF($B1683="","",IF(COUNTIFS(NOVEDADES!$C$4:$C$2003,$B1683)=0,"—","SÍ ("&amp;COUNTIFS(NOVEDADES!$C$4:$C$2003,$B1683)&amp;")"))</f>
        <v/>
      </c>
    </row>
    <row r="1684">
      <c r="A1684" s="41" t="n"/>
      <c r="B1684" s="41" t="n"/>
      <c r="C1684" s="41" t="n"/>
      <c r="D1684" s="41" t="n"/>
      <c r="E1684" s="46" t="n"/>
      <c r="F1684" s="41" t="n"/>
      <c r="G1684" s="41" t="n"/>
      <c r="H1684" s="41" t="n"/>
      <c r="I1684" s="41" t="n"/>
      <c r="J1684" s="47" t="n"/>
      <c r="K1684" s="41" t="n"/>
      <c r="L1684" s="48" t="n"/>
      <c r="M1684" s="45" t="n"/>
      <c r="N1684" s="39">
        <f>IF($B1684="","",IF(SUMPRODUCT((LISTAS!$O$3:$O$42&lt;&gt;"")*ISNUMBER(SEARCH(LISTAS!$O$3:$O$42,$I1684&amp;" "&amp;$K1684)))&gt;0,"CERCANA","NACIONAL"))</f>
        <v/>
      </c>
      <c r="O1684" s="39">
        <f>IF($B1684="","",IF(COUNTIFS(NOVEDADES!$C$4:$C$2003,$B1684)=0,"—","SÍ ("&amp;COUNTIFS(NOVEDADES!$C$4:$C$2003,$B1684)&amp;")"))</f>
        <v/>
      </c>
    </row>
    <row r="1685">
      <c r="A1685" s="41" t="n"/>
      <c r="B1685" s="41" t="n"/>
      <c r="C1685" s="41" t="n"/>
      <c r="D1685" s="41" t="n"/>
      <c r="E1685" s="46" t="n"/>
      <c r="F1685" s="41" t="n"/>
      <c r="G1685" s="41" t="n"/>
      <c r="H1685" s="41" t="n"/>
      <c r="I1685" s="41" t="n"/>
      <c r="J1685" s="47" t="n"/>
      <c r="K1685" s="41" t="n"/>
      <c r="L1685" s="48" t="n"/>
      <c r="M1685" s="45" t="n"/>
      <c r="N1685" s="39">
        <f>IF($B1685="","",IF(SUMPRODUCT((LISTAS!$O$3:$O$42&lt;&gt;"")*ISNUMBER(SEARCH(LISTAS!$O$3:$O$42,$I1685&amp;" "&amp;$K1685)))&gt;0,"CERCANA","NACIONAL"))</f>
        <v/>
      </c>
      <c r="O1685" s="39">
        <f>IF($B1685="","",IF(COUNTIFS(NOVEDADES!$C$4:$C$2003,$B1685)=0,"—","SÍ ("&amp;COUNTIFS(NOVEDADES!$C$4:$C$2003,$B1685)&amp;")"))</f>
        <v/>
      </c>
    </row>
    <row r="1686">
      <c r="A1686" s="41" t="n"/>
      <c r="B1686" s="41" t="n"/>
      <c r="C1686" s="41" t="n"/>
      <c r="D1686" s="41" t="n"/>
      <c r="E1686" s="46" t="n"/>
      <c r="F1686" s="41" t="n"/>
      <c r="G1686" s="41" t="n"/>
      <c r="H1686" s="41" t="n"/>
      <c r="I1686" s="41" t="n"/>
      <c r="J1686" s="47" t="n"/>
      <c r="K1686" s="41" t="n"/>
      <c r="L1686" s="48" t="n"/>
      <c r="M1686" s="45" t="n"/>
      <c r="N1686" s="39">
        <f>IF($B1686="","",IF(SUMPRODUCT((LISTAS!$O$3:$O$42&lt;&gt;"")*ISNUMBER(SEARCH(LISTAS!$O$3:$O$42,$I1686&amp;" "&amp;$K1686)))&gt;0,"CERCANA","NACIONAL"))</f>
        <v/>
      </c>
      <c r="O1686" s="39">
        <f>IF($B1686="","",IF(COUNTIFS(NOVEDADES!$C$4:$C$2003,$B1686)=0,"—","SÍ ("&amp;COUNTIFS(NOVEDADES!$C$4:$C$2003,$B1686)&amp;")"))</f>
        <v/>
      </c>
    </row>
    <row r="1687">
      <c r="A1687" s="41" t="n"/>
      <c r="B1687" s="41" t="n"/>
      <c r="C1687" s="41" t="n"/>
      <c r="D1687" s="41" t="n"/>
      <c r="E1687" s="46" t="n"/>
      <c r="F1687" s="41" t="n"/>
      <c r="G1687" s="41" t="n"/>
      <c r="H1687" s="41" t="n"/>
      <c r="I1687" s="41" t="n"/>
      <c r="J1687" s="47" t="n"/>
      <c r="K1687" s="41" t="n"/>
      <c r="L1687" s="48" t="n"/>
      <c r="M1687" s="45" t="n"/>
      <c r="N1687" s="39">
        <f>IF($B1687="","",IF(SUMPRODUCT((LISTAS!$O$3:$O$42&lt;&gt;"")*ISNUMBER(SEARCH(LISTAS!$O$3:$O$42,$I1687&amp;" "&amp;$K1687)))&gt;0,"CERCANA","NACIONAL"))</f>
        <v/>
      </c>
      <c r="O1687" s="39">
        <f>IF($B1687="","",IF(COUNTIFS(NOVEDADES!$C$4:$C$2003,$B1687)=0,"—","SÍ ("&amp;COUNTIFS(NOVEDADES!$C$4:$C$2003,$B1687)&amp;")"))</f>
        <v/>
      </c>
    </row>
    <row r="1688">
      <c r="A1688" s="41" t="n"/>
      <c r="B1688" s="41" t="n"/>
      <c r="C1688" s="41" t="n"/>
      <c r="D1688" s="41" t="n"/>
      <c r="E1688" s="46" t="n"/>
      <c r="F1688" s="41" t="n"/>
      <c r="G1688" s="41" t="n"/>
      <c r="H1688" s="41" t="n"/>
      <c r="I1688" s="41" t="n"/>
      <c r="J1688" s="47" t="n"/>
      <c r="K1688" s="41" t="n"/>
      <c r="L1688" s="48" t="n"/>
      <c r="M1688" s="45" t="n"/>
      <c r="N1688" s="39">
        <f>IF($B1688="","",IF(SUMPRODUCT((LISTAS!$O$3:$O$42&lt;&gt;"")*ISNUMBER(SEARCH(LISTAS!$O$3:$O$42,$I1688&amp;" "&amp;$K1688)))&gt;0,"CERCANA","NACIONAL"))</f>
        <v/>
      </c>
      <c r="O1688" s="39">
        <f>IF($B1688="","",IF(COUNTIFS(NOVEDADES!$C$4:$C$2003,$B1688)=0,"—","SÍ ("&amp;COUNTIFS(NOVEDADES!$C$4:$C$2003,$B1688)&amp;")"))</f>
        <v/>
      </c>
    </row>
    <row r="1689">
      <c r="A1689" s="41" t="n"/>
      <c r="B1689" s="41" t="n"/>
      <c r="C1689" s="41" t="n"/>
      <c r="D1689" s="41" t="n"/>
      <c r="E1689" s="46" t="n"/>
      <c r="F1689" s="41" t="n"/>
      <c r="G1689" s="41" t="n"/>
      <c r="H1689" s="41" t="n"/>
      <c r="I1689" s="41" t="n"/>
      <c r="J1689" s="47" t="n"/>
      <c r="K1689" s="41" t="n"/>
      <c r="L1689" s="48" t="n"/>
      <c r="M1689" s="45" t="n"/>
      <c r="N1689" s="39">
        <f>IF($B1689="","",IF(SUMPRODUCT((LISTAS!$O$3:$O$42&lt;&gt;"")*ISNUMBER(SEARCH(LISTAS!$O$3:$O$42,$I1689&amp;" "&amp;$K1689)))&gt;0,"CERCANA","NACIONAL"))</f>
        <v/>
      </c>
      <c r="O1689" s="39">
        <f>IF($B1689="","",IF(COUNTIFS(NOVEDADES!$C$4:$C$2003,$B1689)=0,"—","SÍ ("&amp;COUNTIFS(NOVEDADES!$C$4:$C$2003,$B1689)&amp;")"))</f>
        <v/>
      </c>
    </row>
    <row r="1690">
      <c r="A1690" s="41" t="n"/>
      <c r="B1690" s="41" t="n"/>
      <c r="C1690" s="41" t="n"/>
      <c r="D1690" s="41" t="n"/>
      <c r="E1690" s="46" t="n"/>
      <c r="F1690" s="41" t="n"/>
      <c r="G1690" s="41" t="n"/>
      <c r="H1690" s="41" t="n"/>
      <c r="I1690" s="41" t="n"/>
      <c r="J1690" s="47" t="n"/>
      <c r="K1690" s="41" t="n"/>
      <c r="L1690" s="48" t="n"/>
      <c r="M1690" s="45" t="n"/>
      <c r="N1690" s="39">
        <f>IF($B1690="","",IF(SUMPRODUCT((LISTAS!$O$3:$O$42&lt;&gt;"")*ISNUMBER(SEARCH(LISTAS!$O$3:$O$42,$I1690&amp;" "&amp;$K1690)))&gt;0,"CERCANA","NACIONAL"))</f>
        <v/>
      </c>
      <c r="O1690" s="39">
        <f>IF($B1690="","",IF(COUNTIFS(NOVEDADES!$C$4:$C$2003,$B1690)=0,"—","SÍ ("&amp;COUNTIFS(NOVEDADES!$C$4:$C$2003,$B1690)&amp;")"))</f>
        <v/>
      </c>
    </row>
    <row r="1691">
      <c r="A1691" s="41" t="n"/>
      <c r="B1691" s="41" t="n"/>
      <c r="C1691" s="41" t="n"/>
      <c r="D1691" s="41" t="n"/>
      <c r="E1691" s="46" t="n"/>
      <c r="F1691" s="41" t="n"/>
      <c r="G1691" s="41" t="n"/>
      <c r="H1691" s="41" t="n"/>
      <c r="I1691" s="41" t="n"/>
      <c r="J1691" s="47" t="n"/>
      <c r="K1691" s="41" t="n"/>
      <c r="L1691" s="48" t="n"/>
      <c r="M1691" s="45" t="n"/>
      <c r="N1691" s="39">
        <f>IF($B1691="","",IF(SUMPRODUCT((LISTAS!$O$3:$O$42&lt;&gt;"")*ISNUMBER(SEARCH(LISTAS!$O$3:$O$42,$I1691&amp;" "&amp;$K1691)))&gt;0,"CERCANA","NACIONAL"))</f>
        <v/>
      </c>
      <c r="O1691" s="39">
        <f>IF($B1691="","",IF(COUNTIFS(NOVEDADES!$C$4:$C$2003,$B1691)=0,"—","SÍ ("&amp;COUNTIFS(NOVEDADES!$C$4:$C$2003,$B1691)&amp;")"))</f>
        <v/>
      </c>
    </row>
    <row r="1692">
      <c r="A1692" s="41" t="n"/>
      <c r="B1692" s="41" t="n"/>
      <c r="C1692" s="41" t="n"/>
      <c r="D1692" s="41" t="n"/>
      <c r="E1692" s="46" t="n"/>
      <c r="F1692" s="41" t="n"/>
      <c r="G1692" s="41" t="n"/>
      <c r="H1692" s="41" t="n"/>
      <c r="I1692" s="41" t="n"/>
      <c r="J1692" s="47" t="n"/>
      <c r="K1692" s="41" t="n"/>
      <c r="L1692" s="48" t="n"/>
      <c r="M1692" s="45" t="n"/>
      <c r="N1692" s="39">
        <f>IF($B1692="","",IF(SUMPRODUCT((LISTAS!$O$3:$O$42&lt;&gt;"")*ISNUMBER(SEARCH(LISTAS!$O$3:$O$42,$I1692&amp;" "&amp;$K1692)))&gt;0,"CERCANA","NACIONAL"))</f>
        <v/>
      </c>
      <c r="O1692" s="39">
        <f>IF($B1692="","",IF(COUNTIFS(NOVEDADES!$C$4:$C$2003,$B1692)=0,"—","SÍ ("&amp;COUNTIFS(NOVEDADES!$C$4:$C$2003,$B1692)&amp;")"))</f>
        <v/>
      </c>
    </row>
    <row r="1693">
      <c r="A1693" s="41" t="n"/>
      <c r="B1693" s="41" t="n"/>
      <c r="C1693" s="41" t="n"/>
      <c r="D1693" s="41" t="n"/>
      <c r="E1693" s="46" t="n"/>
      <c r="F1693" s="41" t="n"/>
      <c r="G1693" s="41" t="n"/>
      <c r="H1693" s="41" t="n"/>
      <c r="I1693" s="41" t="n"/>
      <c r="J1693" s="47" t="n"/>
      <c r="K1693" s="41" t="n"/>
      <c r="L1693" s="48" t="n"/>
      <c r="M1693" s="45" t="n"/>
      <c r="N1693" s="39">
        <f>IF($B1693="","",IF(SUMPRODUCT((LISTAS!$O$3:$O$42&lt;&gt;"")*ISNUMBER(SEARCH(LISTAS!$O$3:$O$42,$I1693&amp;" "&amp;$K1693)))&gt;0,"CERCANA","NACIONAL"))</f>
        <v/>
      </c>
      <c r="O1693" s="39">
        <f>IF($B1693="","",IF(COUNTIFS(NOVEDADES!$C$4:$C$2003,$B1693)=0,"—","SÍ ("&amp;COUNTIFS(NOVEDADES!$C$4:$C$2003,$B1693)&amp;")"))</f>
        <v/>
      </c>
    </row>
    <row r="1694">
      <c r="A1694" s="41" t="n"/>
      <c r="B1694" s="41" t="n"/>
      <c r="C1694" s="41" t="n"/>
      <c r="D1694" s="41" t="n"/>
      <c r="E1694" s="46" t="n"/>
      <c r="F1694" s="41" t="n"/>
      <c r="G1694" s="41" t="n"/>
      <c r="H1694" s="41" t="n"/>
      <c r="I1694" s="41" t="n"/>
      <c r="J1694" s="47" t="n"/>
      <c r="K1694" s="41" t="n"/>
      <c r="L1694" s="48" t="n"/>
      <c r="M1694" s="45" t="n"/>
      <c r="N1694" s="39">
        <f>IF($B1694="","",IF(SUMPRODUCT((LISTAS!$O$3:$O$42&lt;&gt;"")*ISNUMBER(SEARCH(LISTAS!$O$3:$O$42,$I1694&amp;" "&amp;$K1694)))&gt;0,"CERCANA","NACIONAL"))</f>
        <v/>
      </c>
      <c r="O1694" s="39">
        <f>IF($B1694="","",IF(COUNTIFS(NOVEDADES!$C$4:$C$2003,$B1694)=0,"—","SÍ ("&amp;COUNTIFS(NOVEDADES!$C$4:$C$2003,$B1694)&amp;")"))</f>
        <v/>
      </c>
    </row>
    <row r="1695">
      <c r="A1695" s="41" t="n"/>
      <c r="B1695" s="41" t="n"/>
      <c r="C1695" s="41" t="n"/>
      <c r="D1695" s="41" t="n"/>
      <c r="E1695" s="46" t="n"/>
      <c r="F1695" s="41" t="n"/>
      <c r="G1695" s="41" t="n"/>
      <c r="H1695" s="41" t="n"/>
      <c r="I1695" s="41" t="n"/>
      <c r="J1695" s="47" t="n"/>
      <c r="K1695" s="41" t="n"/>
      <c r="L1695" s="48" t="n"/>
      <c r="M1695" s="45" t="n"/>
      <c r="N1695" s="39">
        <f>IF($B1695="","",IF(SUMPRODUCT((LISTAS!$O$3:$O$42&lt;&gt;"")*ISNUMBER(SEARCH(LISTAS!$O$3:$O$42,$I1695&amp;" "&amp;$K1695)))&gt;0,"CERCANA","NACIONAL"))</f>
        <v/>
      </c>
      <c r="O1695" s="39">
        <f>IF($B1695="","",IF(COUNTIFS(NOVEDADES!$C$4:$C$2003,$B1695)=0,"—","SÍ ("&amp;COUNTIFS(NOVEDADES!$C$4:$C$2003,$B1695)&amp;")"))</f>
        <v/>
      </c>
    </row>
    <row r="1696">
      <c r="A1696" s="41" t="n"/>
      <c r="B1696" s="41" t="n"/>
      <c r="C1696" s="41" t="n"/>
      <c r="D1696" s="41" t="n"/>
      <c r="E1696" s="46" t="n"/>
      <c r="F1696" s="41" t="n"/>
      <c r="G1696" s="41" t="n"/>
      <c r="H1696" s="41" t="n"/>
      <c r="I1696" s="41" t="n"/>
      <c r="J1696" s="47" t="n"/>
      <c r="K1696" s="41" t="n"/>
      <c r="L1696" s="48" t="n"/>
      <c r="M1696" s="45" t="n"/>
      <c r="N1696" s="39">
        <f>IF($B1696="","",IF(SUMPRODUCT((LISTAS!$O$3:$O$42&lt;&gt;"")*ISNUMBER(SEARCH(LISTAS!$O$3:$O$42,$I1696&amp;" "&amp;$K1696)))&gt;0,"CERCANA","NACIONAL"))</f>
        <v/>
      </c>
      <c r="O1696" s="39">
        <f>IF($B1696="","",IF(COUNTIFS(NOVEDADES!$C$4:$C$2003,$B1696)=0,"—","SÍ ("&amp;COUNTIFS(NOVEDADES!$C$4:$C$2003,$B1696)&amp;")"))</f>
        <v/>
      </c>
    </row>
    <row r="1697">
      <c r="A1697" s="41" t="n"/>
      <c r="B1697" s="41" t="n"/>
      <c r="C1697" s="41" t="n"/>
      <c r="D1697" s="41" t="n"/>
      <c r="E1697" s="46" t="n"/>
      <c r="F1697" s="41" t="n"/>
      <c r="G1697" s="41" t="n"/>
      <c r="H1697" s="41" t="n"/>
      <c r="I1697" s="41" t="n"/>
      <c r="J1697" s="47" t="n"/>
      <c r="K1697" s="41" t="n"/>
      <c r="L1697" s="48" t="n"/>
      <c r="M1697" s="45" t="n"/>
      <c r="N1697" s="39">
        <f>IF($B1697="","",IF(SUMPRODUCT((LISTAS!$O$3:$O$42&lt;&gt;"")*ISNUMBER(SEARCH(LISTAS!$O$3:$O$42,$I1697&amp;" "&amp;$K1697)))&gt;0,"CERCANA","NACIONAL"))</f>
        <v/>
      </c>
      <c r="O1697" s="39">
        <f>IF($B1697="","",IF(COUNTIFS(NOVEDADES!$C$4:$C$2003,$B1697)=0,"—","SÍ ("&amp;COUNTIFS(NOVEDADES!$C$4:$C$2003,$B1697)&amp;")"))</f>
        <v/>
      </c>
    </row>
    <row r="1698">
      <c r="A1698" s="41" t="n"/>
      <c r="B1698" s="41" t="n"/>
      <c r="C1698" s="41" t="n"/>
      <c r="D1698" s="41" t="n"/>
      <c r="E1698" s="46" t="n"/>
      <c r="F1698" s="41" t="n"/>
      <c r="G1698" s="41" t="n"/>
      <c r="H1698" s="41" t="n"/>
      <c r="I1698" s="41" t="n"/>
      <c r="J1698" s="47" t="n"/>
      <c r="K1698" s="41" t="n"/>
      <c r="L1698" s="48" t="n"/>
      <c r="M1698" s="45" t="n"/>
      <c r="N1698" s="39">
        <f>IF($B1698="","",IF(SUMPRODUCT((LISTAS!$O$3:$O$42&lt;&gt;"")*ISNUMBER(SEARCH(LISTAS!$O$3:$O$42,$I1698&amp;" "&amp;$K1698)))&gt;0,"CERCANA","NACIONAL"))</f>
        <v/>
      </c>
      <c r="O1698" s="39">
        <f>IF($B1698="","",IF(COUNTIFS(NOVEDADES!$C$4:$C$2003,$B1698)=0,"—","SÍ ("&amp;COUNTIFS(NOVEDADES!$C$4:$C$2003,$B1698)&amp;")"))</f>
        <v/>
      </c>
    </row>
    <row r="1699">
      <c r="A1699" s="41" t="n"/>
      <c r="B1699" s="41" t="n"/>
      <c r="C1699" s="41" t="n"/>
      <c r="D1699" s="41" t="n"/>
      <c r="E1699" s="46" t="n"/>
      <c r="F1699" s="41" t="n"/>
      <c r="G1699" s="41" t="n"/>
      <c r="H1699" s="41" t="n"/>
      <c r="I1699" s="41" t="n"/>
      <c r="J1699" s="47" t="n"/>
      <c r="K1699" s="41" t="n"/>
      <c r="L1699" s="48" t="n"/>
      <c r="M1699" s="45" t="n"/>
      <c r="N1699" s="39">
        <f>IF($B1699="","",IF(SUMPRODUCT((LISTAS!$O$3:$O$42&lt;&gt;"")*ISNUMBER(SEARCH(LISTAS!$O$3:$O$42,$I1699&amp;" "&amp;$K1699)))&gt;0,"CERCANA","NACIONAL"))</f>
        <v/>
      </c>
      <c r="O1699" s="39">
        <f>IF($B1699="","",IF(COUNTIFS(NOVEDADES!$C$4:$C$2003,$B1699)=0,"—","SÍ ("&amp;COUNTIFS(NOVEDADES!$C$4:$C$2003,$B1699)&amp;")"))</f>
        <v/>
      </c>
    </row>
    <row r="1700">
      <c r="A1700" s="41" t="n"/>
      <c r="B1700" s="41" t="n"/>
      <c r="C1700" s="41" t="n"/>
      <c r="D1700" s="41" t="n"/>
      <c r="E1700" s="46" t="n"/>
      <c r="F1700" s="41" t="n"/>
      <c r="G1700" s="41" t="n"/>
      <c r="H1700" s="41" t="n"/>
      <c r="I1700" s="41" t="n"/>
      <c r="J1700" s="47" t="n"/>
      <c r="K1700" s="41" t="n"/>
      <c r="L1700" s="48" t="n"/>
      <c r="M1700" s="45" t="n"/>
      <c r="N1700" s="39">
        <f>IF($B1700="","",IF(SUMPRODUCT((LISTAS!$O$3:$O$42&lt;&gt;"")*ISNUMBER(SEARCH(LISTAS!$O$3:$O$42,$I1700&amp;" "&amp;$K1700)))&gt;0,"CERCANA","NACIONAL"))</f>
        <v/>
      </c>
      <c r="O1700" s="39">
        <f>IF($B1700="","",IF(COUNTIFS(NOVEDADES!$C$4:$C$2003,$B1700)=0,"—","SÍ ("&amp;COUNTIFS(NOVEDADES!$C$4:$C$2003,$B1700)&amp;")"))</f>
        <v/>
      </c>
    </row>
    <row r="1701">
      <c r="A1701" s="41" t="n"/>
      <c r="B1701" s="41" t="n"/>
      <c r="C1701" s="41" t="n"/>
      <c r="D1701" s="41" t="n"/>
      <c r="E1701" s="46" t="n"/>
      <c r="F1701" s="41" t="n"/>
      <c r="G1701" s="41" t="n"/>
      <c r="H1701" s="41" t="n"/>
      <c r="I1701" s="41" t="n"/>
      <c r="J1701" s="47" t="n"/>
      <c r="K1701" s="41" t="n"/>
      <c r="L1701" s="48" t="n"/>
      <c r="M1701" s="45" t="n"/>
      <c r="N1701" s="39">
        <f>IF($B1701="","",IF(SUMPRODUCT((LISTAS!$O$3:$O$42&lt;&gt;"")*ISNUMBER(SEARCH(LISTAS!$O$3:$O$42,$I1701&amp;" "&amp;$K1701)))&gt;0,"CERCANA","NACIONAL"))</f>
        <v/>
      </c>
      <c r="O1701" s="39">
        <f>IF($B1701="","",IF(COUNTIFS(NOVEDADES!$C$4:$C$2003,$B1701)=0,"—","SÍ ("&amp;COUNTIFS(NOVEDADES!$C$4:$C$2003,$B1701)&amp;")"))</f>
        <v/>
      </c>
    </row>
    <row r="1702">
      <c r="A1702" s="41" t="n"/>
      <c r="B1702" s="41" t="n"/>
      <c r="C1702" s="41" t="n"/>
      <c r="D1702" s="41" t="n"/>
      <c r="E1702" s="46" t="n"/>
      <c r="F1702" s="41" t="n"/>
      <c r="G1702" s="41" t="n"/>
      <c r="H1702" s="41" t="n"/>
      <c r="I1702" s="41" t="n"/>
      <c r="J1702" s="47" t="n"/>
      <c r="K1702" s="41" t="n"/>
      <c r="L1702" s="48" t="n"/>
      <c r="M1702" s="45" t="n"/>
      <c r="N1702" s="39">
        <f>IF($B1702="","",IF(SUMPRODUCT((LISTAS!$O$3:$O$42&lt;&gt;"")*ISNUMBER(SEARCH(LISTAS!$O$3:$O$42,$I1702&amp;" "&amp;$K1702)))&gt;0,"CERCANA","NACIONAL"))</f>
        <v/>
      </c>
      <c r="O1702" s="39">
        <f>IF($B1702="","",IF(COUNTIFS(NOVEDADES!$C$4:$C$2003,$B1702)=0,"—","SÍ ("&amp;COUNTIFS(NOVEDADES!$C$4:$C$2003,$B1702)&amp;")"))</f>
        <v/>
      </c>
    </row>
    <row r="1703">
      <c r="A1703" s="41" t="n"/>
      <c r="B1703" s="41" t="n"/>
      <c r="C1703" s="41" t="n"/>
      <c r="D1703" s="41" t="n"/>
      <c r="E1703" s="46" t="n"/>
      <c r="F1703" s="41" t="n"/>
      <c r="G1703" s="41" t="n"/>
      <c r="H1703" s="41" t="n"/>
      <c r="I1703" s="41" t="n"/>
      <c r="J1703" s="47" t="n"/>
      <c r="K1703" s="41" t="n"/>
      <c r="L1703" s="48" t="n"/>
      <c r="M1703" s="45" t="n"/>
      <c r="N1703" s="39">
        <f>IF($B1703="","",IF(SUMPRODUCT((LISTAS!$O$3:$O$42&lt;&gt;"")*ISNUMBER(SEARCH(LISTAS!$O$3:$O$42,$I1703&amp;" "&amp;$K1703)))&gt;0,"CERCANA","NACIONAL"))</f>
        <v/>
      </c>
      <c r="O1703" s="39">
        <f>IF($B1703="","",IF(COUNTIFS(NOVEDADES!$C$4:$C$2003,$B1703)=0,"—","SÍ ("&amp;COUNTIFS(NOVEDADES!$C$4:$C$2003,$B1703)&amp;")"))</f>
        <v/>
      </c>
    </row>
    <row r="1704">
      <c r="A1704" s="41" t="n"/>
      <c r="B1704" s="41" t="n"/>
      <c r="C1704" s="41" t="n"/>
      <c r="D1704" s="41" t="n"/>
      <c r="E1704" s="46" t="n"/>
      <c r="F1704" s="41" t="n"/>
      <c r="G1704" s="41" t="n"/>
      <c r="H1704" s="41" t="n"/>
      <c r="I1704" s="41" t="n"/>
      <c r="J1704" s="47" t="n"/>
      <c r="K1704" s="41" t="n"/>
      <c r="L1704" s="48" t="n"/>
      <c r="M1704" s="45" t="n"/>
      <c r="N1704" s="39">
        <f>IF($B1704="","",IF(SUMPRODUCT((LISTAS!$O$3:$O$42&lt;&gt;"")*ISNUMBER(SEARCH(LISTAS!$O$3:$O$42,$I1704&amp;" "&amp;$K1704)))&gt;0,"CERCANA","NACIONAL"))</f>
        <v/>
      </c>
      <c r="O1704" s="39">
        <f>IF($B1704="","",IF(COUNTIFS(NOVEDADES!$C$4:$C$2003,$B1704)=0,"—","SÍ ("&amp;COUNTIFS(NOVEDADES!$C$4:$C$2003,$B1704)&amp;")"))</f>
        <v/>
      </c>
    </row>
    <row r="1705">
      <c r="A1705" s="41" t="n"/>
      <c r="B1705" s="41" t="n"/>
      <c r="C1705" s="41" t="n"/>
      <c r="D1705" s="41" t="n"/>
      <c r="E1705" s="46" t="n"/>
      <c r="F1705" s="41" t="n"/>
      <c r="G1705" s="41" t="n"/>
      <c r="H1705" s="41" t="n"/>
      <c r="I1705" s="41" t="n"/>
      <c r="J1705" s="47" t="n"/>
      <c r="K1705" s="41" t="n"/>
      <c r="L1705" s="48" t="n"/>
      <c r="M1705" s="45" t="n"/>
      <c r="N1705" s="39">
        <f>IF($B1705="","",IF(SUMPRODUCT((LISTAS!$O$3:$O$42&lt;&gt;"")*ISNUMBER(SEARCH(LISTAS!$O$3:$O$42,$I1705&amp;" "&amp;$K1705)))&gt;0,"CERCANA","NACIONAL"))</f>
        <v/>
      </c>
      <c r="O1705" s="39">
        <f>IF($B1705="","",IF(COUNTIFS(NOVEDADES!$C$4:$C$2003,$B1705)=0,"—","SÍ ("&amp;COUNTIFS(NOVEDADES!$C$4:$C$2003,$B1705)&amp;")"))</f>
        <v/>
      </c>
    </row>
    <row r="1706">
      <c r="A1706" s="41" t="n"/>
      <c r="B1706" s="41" t="n"/>
      <c r="C1706" s="41" t="n"/>
      <c r="D1706" s="41" t="n"/>
      <c r="E1706" s="46" t="n"/>
      <c r="F1706" s="41" t="n"/>
      <c r="G1706" s="41" t="n"/>
      <c r="H1706" s="41" t="n"/>
      <c r="I1706" s="41" t="n"/>
      <c r="J1706" s="47" t="n"/>
      <c r="K1706" s="41" t="n"/>
      <c r="L1706" s="48" t="n"/>
      <c r="M1706" s="45" t="n"/>
      <c r="N1706" s="39">
        <f>IF($B1706="","",IF(SUMPRODUCT((LISTAS!$O$3:$O$42&lt;&gt;"")*ISNUMBER(SEARCH(LISTAS!$O$3:$O$42,$I1706&amp;" "&amp;$K1706)))&gt;0,"CERCANA","NACIONAL"))</f>
        <v/>
      </c>
      <c r="O1706" s="39">
        <f>IF($B1706="","",IF(COUNTIFS(NOVEDADES!$C$4:$C$2003,$B1706)=0,"—","SÍ ("&amp;COUNTIFS(NOVEDADES!$C$4:$C$2003,$B1706)&amp;")"))</f>
        <v/>
      </c>
    </row>
    <row r="1707">
      <c r="A1707" s="41" t="n"/>
      <c r="B1707" s="41" t="n"/>
      <c r="C1707" s="41" t="n"/>
      <c r="D1707" s="41" t="n"/>
      <c r="E1707" s="46" t="n"/>
      <c r="F1707" s="41" t="n"/>
      <c r="G1707" s="41" t="n"/>
      <c r="H1707" s="41" t="n"/>
      <c r="I1707" s="41" t="n"/>
      <c r="J1707" s="47" t="n"/>
      <c r="K1707" s="41" t="n"/>
      <c r="L1707" s="48" t="n"/>
      <c r="M1707" s="45" t="n"/>
      <c r="N1707" s="39">
        <f>IF($B1707="","",IF(SUMPRODUCT((LISTAS!$O$3:$O$42&lt;&gt;"")*ISNUMBER(SEARCH(LISTAS!$O$3:$O$42,$I1707&amp;" "&amp;$K1707)))&gt;0,"CERCANA","NACIONAL"))</f>
        <v/>
      </c>
      <c r="O1707" s="39">
        <f>IF($B1707="","",IF(COUNTIFS(NOVEDADES!$C$4:$C$2003,$B1707)=0,"—","SÍ ("&amp;COUNTIFS(NOVEDADES!$C$4:$C$2003,$B1707)&amp;")"))</f>
        <v/>
      </c>
    </row>
    <row r="1708">
      <c r="A1708" s="41" t="n"/>
      <c r="B1708" s="41" t="n"/>
      <c r="C1708" s="41" t="n"/>
      <c r="D1708" s="41" t="n"/>
      <c r="E1708" s="46" t="n"/>
      <c r="F1708" s="41" t="n"/>
      <c r="G1708" s="41" t="n"/>
      <c r="H1708" s="41" t="n"/>
      <c r="I1708" s="41" t="n"/>
      <c r="J1708" s="47" t="n"/>
      <c r="K1708" s="41" t="n"/>
      <c r="L1708" s="48" t="n"/>
      <c r="M1708" s="45" t="n"/>
      <c r="N1708" s="39">
        <f>IF($B1708="","",IF(SUMPRODUCT((LISTAS!$O$3:$O$42&lt;&gt;"")*ISNUMBER(SEARCH(LISTAS!$O$3:$O$42,$I1708&amp;" "&amp;$K1708)))&gt;0,"CERCANA","NACIONAL"))</f>
        <v/>
      </c>
      <c r="O1708" s="39">
        <f>IF($B1708="","",IF(COUNTIFS(NOVEDADES!$C$4:$C$2003,$B1708)=0,"—","SÍ ("&amp;COUNTIFS(NOVEDADES!$C$4:$C$2003,$B1708)&amp;")"))</f>
        <v/>
      </c>
    </row>
    <row r="1709">
      <c r="A1709" s="41" t="n"/>
      <c r="B1709" s="41" t="n"/>
      <c r="C1709" s="41" t="n"/>
      <c r="D1709" s="41" t="n"/>
      <c r="E1709" s="46" t="n"/>
      <c r="F1709" s="41" t="n"/>
      <c r="G1709" s="41" t="n"/>
      <c r="H1709" s="41" t="n"/>
      <c r="I1709" s="41" t="n"/>
      <c r="J1709" s="47" t="n"/>
      <c r="K1709" s="41" t="n"/>
      <c r="L1709" s="48" t="n"/>
      <c r="M1709" s="45" t="n"/>
      <c r="N1709" s="39">
        <f>IF($B1709="","",IF(SUMPRODUCT((LISTAS!$O$3:$O$42&lt;&gt;"")*ISNUMBER(SEARCH(LISTAS!$O$3:$O$42,$I1709&amp;" "&amp;$K1709)))&gt;0,"CERCANA","NACIONAL"))</f>
        <v/>
      </c>
      <c r="O1709" s="39">
        <f>IF($B1709="","",IF(COUNTIFS(NOVEDADES!$C$4:$C$2003,$B1709)=0,"—","SÍ ("&amp;COUNTIFS(NOVEDADES!$C$4:$C$2003,$B1709)&amp;")"))</f>
        <v/>
      </c>
    </row>
    <row r="1710">
      <c r="A1710" s="41" t="n"/>
      <c r="B1710" s="41" t="n"/>
      <c r="C1710" s="41" t="n"/>
      <c r="D1710" s="41" t="n"/>
      <c r="E1710" s="46" t="n"/>
      <c r="F1710" s="41" t="n"/>
      <c r="G1710" s="41" t="n"/>
      <c r="H1710" s="41" t="n"/>
      <c r="I1710" s="41" t="n"/>
      <c r="J1710" s="47" t="n"/>
      <c r="K1710" s="41" t="n"/>
      <c r="L1710" s="48" t="n"/>
      <c r="M1710" s="45" t="n"/>
      <c r="N1710" s="39">
        <f>IF($B1710="","",IF(SUMPRODUCT((LISTAS!$O$3:$O$42&lt;&gt;"")*ISNUMBER(SEARCH(LISTAS!$O$3:$O$42,$I1710&amp;" "&amp;$K1710)))&gt;0,"CERCANA","NACIONAL"))</f>
        <v/>
      </c>
      <c r="O1710" s="39">
        <f>IF($B1710="","",IF(COUNTIFS(NOVEDADES!$C$4:$C$2003,$B1710)=0,"—","SÍ ("&amp;COUNTIFS(NOVEDADES!$C$4:$C$2003,$B1710)&amp;")"))</f>
        <v/>
      </c>
    </row>
    <row r="1711">
      <c r="A1711" s="41" t="n"/>
      <c r="B1711" s="41" t="n"/>
      <c r="C1711" s="41" t="n"/>
      <c r="D1711" s="41" t="n"/>
      <c r="E1711" s="46" t="n"/>
      <c r="F1711" s="41" t="n"/>
      <c r="G1711" s="41" t="n"/>
      <c r="H1711" s="41" t="n"/>
      <c r="I1711" s="41" t="n"/>
      <c r="J1711" s="47" t="n"/>
      <c r="K1711" s="41" t="n"/>
      <c r="L1711" s="48" t="n"/>
      <c r="M1711" s="45" t="n"/>
      <c r="N1711" s="39">
        <f>IF($B1711="","",IF(SUMPRODUCT((LISTAS!$O$3:$O$42&lt;&gt;"")*ISNUMBER(SEARCH(LISTAS!$O$3:$O$42,$I1711&amp;" "&amp;$K1711)))&gt;0,"CERCANA","NACIONAL"))</f>
        <v/>
      </c>
      <c r="O1711" s="39">
        <f>IF($B1711="","",IF(COUNTIFS(NOVEDADES!$C$4:$C$2003,$B1711)=0,"—","SÍ ("&amp;COUNTIFS(NOVEDADES!$C$4:$C$2003,$B1711)&amp;")"))</f>
        <v/>
      </c>
    </row>
    <row r="1712">
      <c r="A1712" s="41" t="n"/>
      <c r="B1712" s="41" t="n"/>
      <c r="C1712" s="41" t="n"/>
      <c r="D1712" s="41" t="n"/>
      <c r="E1712" s="46" t="n"/>
      <c r="F1712" s="41" t="n"/>
      <c r="G1712" s="41" t="n"/>
      <c r="H1712" s="41" t="n"/>
      <c r="I1712" s="41" t="n"/>
      <c r="J1712" s="47" t="n"/>
      <c r="K1712" s="41" t="n"/>
      <c r="L1712" s="48" t="n"/>
      <c r="M1712" s="45" t="n"/>
      <c r="N1712" s="39">
        <f>IF($B1712="","",IF(SUMPRODUCT((LISTAS!$O$3:$O$42&lt;&gt;"")*ISNUMBER(SEARCH(LISTAS!$O$3:$O$42,$I1712&amp;" "&amp;$K1712)))&gt;0,"CERCANA","NACIONAL"))</f>
        <v/>
      </c>
      <c r="O1712" s="39">
        <f>IF($B1712="","",IF(COUNTIFS(NOVEDADES!$C$4:$C$2003,$B1712)=0,"—","SÍ ("&amp;COUNTIFS(NOVEDADES!$C$4:$C$2003,$B1712)&amp;")"))</f>
        <v/>
      </c>
    </row>
    <row r="1713">
      <c r="A1713" s="41" t="n"/>
      <c r="B1713" s="41" t="n"/>
      <c r="C1713" s="41" t="n"/>
      <c r="D1713" s="41" t="n"/>
      <c r="E1713" s="46" t="n"/>
      <c r="F1713" s="41" t="n"/>
      <c r="G1713" s="41" t="n"/>
      <c r="H1713" s="41" t="n"/>
      <c r="I1713" s="41" t="n"/>
      <c r="J1713" s="47" t="n"/>
      <c r="K1713" s="41" t="n"/>
      <c r="L1713" s="48" t="n"/>
      <c r="M1713" s="45" t="n"/>
      <c r="N1713" s="39">
        <f>IF($B1713="","",IF(SUMPRODUCT((LISTAS!$O$3:$O$42&lt;&gt;"")*ISNUMBER(SEARCH(LISTAS!$O$3:$O$42,$I1713&amp;" "&amp;$K1713)))&gt;0,"CERCANA","NACIONAL"))</f>
        <v/>
      </c>
      <c r="O1713" s="39">
        <f>IF($B1713="","",IF(COUNTIFS(NOVEDADES!$C$4:$C$2003,$B1713)=0,"—","SÍ ("&amp;COUNTIFS(NOVEDADES!$C$4:$C$2003,$B1713)&amp;")"))</f>
        <v/>
      </c>
    </row>
    <row r="1714">
      <c r="A1714" s="41" t="n"/>
      <c r="B1714" s="41" t="n"/>
      <c r="C1714" s="41" t="n"/>
      <c r="D1714" s="41" t="n"/>
      <c r="E1714" s="46" t="n"/>
      <c r="F1714" s="41" t="n"/>
      <c r="G1714" s="41" t="n"/>
      <c r="H1714" s="41" t="n"/>
      <c r="I1714" s="41" t="n"/>
      <c r="J1714" s="47" t="n"/>
      <c r="K1714" s="41" t="n"/>
      <c r="L1714" s="48" t="n"/>
      <c r="M1714" s="45" t="n"/>
      <c r="N1714" s="39">
        <f>IF($B1714="","",IF(SUMPRODUCT((LISTAS!$O$3:$O$42&lt;&gt;"")*ISNUMBER(SEARCH(LISTAS!$O$3:$O$42,$I1714&amp;" "&amp;$K1714)))&gt;0,"CERCANA","NACIONAL"))</f>
        <v/>
      </c>
      <c r="O1714" s="39">
        <f>IF($B1714="","",IF(COUNTIFS(NOVEDADES!$C$4:$C$2003,$B1714)=0,"—","SÍ ("&amp;COUNTIFS(NOVEDADES!$C$4:$C$2003,$B1714)&amp;")"))</f>
        <v/>
      </c>
    </row>
    <row r="1715">
      <c r="A1715" s="41" t="n"/>
      <c r="B1715" s="41" t="n"/>
      <c r="C1715" s="41" t="n"/>
      <c r="D1715" s="41" t="n"/>
      <c r="E1715" s="46" t="n"/>
      <c r="F1715" s="41" t="n"/>
      <c r="G1715" s="41" t="n"/>
      <c r="H1715" s="41" t="n"/>
      <c r="I1715" s="41" t="n"/>
      <c r="J1715" s="47" t="n"/>
      <c r="K1715" s="41" t="n"/>
      <c r="L1715" s="48" t="n"/>
      <c r="M1715" s="45" t="n"/>
      <c r="N1715" s="39">
        <f>IF($B1715="","",IF(SUMPRODUCT((LISTAS!$O$3:$O$42&lt;&gt;"")*ISNUMBER(SEARCH(LISTAS!$O$3:$O$42,$I1715&amp;" "&amp;$K1715)))&gt;0,"CERCANA","NACIONAL"))</f>
        <v/>
      </c>
      <c r="O1715" s="39">
        <f>IF($B1715="","",IF(COUNTIFS(NOVEDADES!$C$4:$C$2003,$B1715)=0,"—","SÍ ("&amp;COUNTIFS(NOVEDADES!$C$4:$C$2003,$B1715)&amp;")"))</f>
        <v/>
      </c>
    </row>
    <row r="1716">
      <c r="A1716" s="41" t="n"/>
      <c r="B1716" s="41" t="n"/>
      <c r="C1716" s="41" t="n"/>
      <c r="D1716" s="41" t="n"/>
      <c r="E1716" s="46" t="n"/>
      <c r="F1716" s="41" t="n"/>
      <c r="G1716" s="41" t="n"/>
      <c r="H1716" s="41" t="n"/>
      <c r="I1716" s="41" t="n"/>
      <c r="J1716" s="47" t="n"/>
      <c r="K1716" s="41" t="n"/>
      <c r="L1716" s="48" t="n"/>
      <c r="M1716" s="45" t="n"/>
      <c r="N1716" s="39">
        <f>IF($B1716="","",IF(SUMPRODUCT((LISTAS!$O$3:$O$42&lt;&gt;"")*ISNUMBER(SEARCH(LISTAS!$O$3:$O$42,$I1716&amp;" "&amp;$K1716)))&gt;0,"CERCANA","NACIONAL"))</f>
        <v/>
      </c>
      <c r="O1716" s="39">
        <f>IF($B1716="","",IF(COUNTIFS(NOVEDADES!$C$4:$C$2003,$B1716)=0,"—","SÍ ("&amp;COUNTIFS(NOVEDADES!$C$4:$C$2003,$B1716)&amp;")"))</f>
        <v/>
      </c>
    </row>
    <row r="1717">
      <c r="A1717" s="41" t="n"/>
      <c r="B1717" s="41" t="n"/>
      <c r="C1717" s="41" t="n"/>
      <c r="D1717" s="41" t="n"/>
      <c r="E1717" s="46" t="n"/>
      <c r="F1717" s="41" t="n"/>
      <c r="G1717" s="41" t="n"/>
      <c r="H1717" s="41" t="n"/>
      <c r="I1717" s="41" t="n"/>
      <c r="J1717" s="47" t="n"/>
      <c r="K1717" s="41" t="n"/>
      <c r="L1717" s="48" t="n"/>
      <c r="M1717" s="45" t="n"/>
      <c r="N1717" s="39">
        <f>IF($B1717="","",IF(SUMPRODUCT((LISTAS!$O$3:$O$42&lt;&gt;"")*ISNUMBER(SEARCH(LISTAS!$O$3:$O$42,$I1717&amp;" "&amp;$K1717)))&gt;0,"CERCANA","NACIONAL"))</f>
        <v/>
      </c>
      <c r="O1717" s="39">
        <f>IF($B1717="","",IF(COUNTIFS(NOVEDADES!$C$4:$C$2003,$B1717)=0,"—","SÍ ("&amp;COUNTIFS(NOVEDADES!$C$4:$C$2003,$B1717)&amp;")"))</f>
        <v/>
      </c>
    </row>
    <row r="1718">
      <c r="A1718" s="41" t="n"/>
      <c r="B1718" s="41" t="n"/>
      <c r="C1718" s="41" t="n"/>
      <c r="D1718" s="41" t="n"/>
      <c r="E1718" s="46" t="n"/>
      <c r="F1718" s="41" t="n"/>
      <c r="G1718" s="41" t="n"/>
      <c r="H1718" s="41" t="n"/>
      <c r="I1718" s="41" t="n"/>
      <c r="J1718" s="47" t="n"/>
      <c r="K1718" s="41" t="n"/>
      <c r="L1718" s="48" t="n"/>
      <c r="M1718" s="45" t="n"/>
      <c r="N1718" s="39">
        <f>IF($B1718="","",IF(SUMPRODUCT((LISTAS!$O$3:$O$42&lt;&gt;"")*ISNUMBER(SEARCH(LISTAS!$O$3:$O$42,$I1718&amp;" "&amp;$K1718)))&gt;0,"CERCANA","NACIONAL"))</f>
        <v/>
      </c>
      <c r="O1718" s="39">
        <f>IF($B1718="","",IF(COUNTIFS(NOVEDADES!$C$4:$C$2003,$B1718)=0,"—","SÍ ("&amp;COUNTIFS(NOVEDADES!$C$4:$C$2003,$B1718)&amp;")"))</f>
        <v/>
      </c>
    </row>
    <row r="1719">
      <c r="A1719" s="41" t="n"/>
      <c r="B1719" s="41" t="n"/>
      <c r="C1719" s="41" t="n"/>
      <c r="D1719" s="41" t="n"/>
      <c r="E1719" s="46" t="n"/>
      <c r="F1719" s="41" t="n"/>
      <c r="G1719" s="41" t="n"/>
      <c r="H1719" s="41" t="n"/>
      <c r="I1719" s="41" t="n"/>
      <c r="J1719" s="47" t="n"/>
      <c r="K1719" s="41" t="n"/>
      <c r="L1719" s="48" t="n"/>
      <c r="M1719" s="45" t="n"/>
      <c r="N1719" s="39">
        <f>IF($B1719="","",IF(SUMPRODUCT((LISTAS!$O$3:$O$42&lt;&gt;"")*ISNUMBER(SEARCH(LISTAS!$O$3:$O$42,$I1719&amp;" "&amp;$K1719)))&gt;0,"CERCANA","NACIONAL"))</f>
        <v/>
      </c>
      <c r="O1719" s="39">
        <f>IF($B1719="","",IF(COUNTIFS(NOVEDADES!$C$4:$C$2003,$B1719)=0,"—","SÍ ("&amp;COUNTIFS(NOVEDADES!$C$4:$C$2003,$B1719)&amp;")"))</f>
        <v/>
      </c>
    </row>
    <row r="1720">
      <c r="A1720" s="41" t="n"/>
      <c r="B1720" s="41" t="n"/>
      <c r="C1720" s="41" t="n"/>
      <c r="D1720" s="41" t="n"/>
      <c r="E1720" s="46" t="n"/>
      <c r="F1720" s="41" t="n"/>
      <c r="G1720" s="41" t="n"/>
      <c r="H1720" s="41" t="n"/>
      <c r="I1720" s="41" t="n"/>
      <c r="J1720" s="47" t="n"/>
      <c r="K1720" s="41" t="n"/>
      <c r="L1720" s="48" t="n"/>
      <c r="M1720" s="45" t="n"/>
      <c r="N1720" s="39">
        <f>IF($B1720="","",IF(SUMPRODUCT((LISTAS!$O$3:$O$42&lt;&gt;"")*ISNUMBER(SEARCH(LISTAS!$O$3:$O$42,$I1720&amp;" "&amp;$K1720)))&gt;0,"CERCANA","NACIONAL"))</f>
        <v/>
      </c>
      <c r="O1720" s="39">
        <f>IF($B1720="","",IF(COUNTIFS(NOVEDADES!$C$4:$C$2003,$B1720)=0,"—","SÍ ("&amp;COUNTIFS(NOVEDADES!$C$4:$C$2003,$B1720)&amp;")"))</f>
        <v/>
      </c>
    </row>
    <row r="1721">
      <c r="A1721" s="41" t="n"/>
      <c r="B1721" s="41" t="n"/>
      <c r="C1721" s="41" t="n"/>
      <c r="D1721" s="41" t="n"/>
      <c r="E1721" s="46" t="n"/>
      <c r="F1721" s="41" t="n"/>
      <c r="G1721" s="41" t="n"/>
      <c r="H1721" s="41" t="n"/>
      <c r="I1721" s="41" t="n"/>
      <c r="J1721" s="47" t="n"/>
      <c r="K1721" s="41" t="n"/>
      <c r="L1721" s="48" t="n"/>
      <c r="M1721" s="45" t="n"/>
      <c r="N1721" s="39">
        <f>IF($B1721="","",IF(SUMPRODUCT((LISTAS!$O$3:$O$42&lt;&gt;"")*ISNUMBER(SEARCH(LISTAS!$O$3:$O$42,$I1721&amp;" "&amp;$K1721)))&gt;0,"CERCANA","NACIONAL"))</f>
        <v/>
      </c>
      <c r="O1721" s="39">
        <f>IF($B1721="","",IF(COUNTIFS(NOVEDADES!$C$4:$C$2003,$B1721)=0,"—","SÍ ("&amp;COUNTIFS(NOVEDADES!$C$4:$C$2003,$B1721)&amp;")"))</f>
        <v/>
      </c>
    </row>
    <row r="1722">
      <c r="A1722" s="41" t="n"/>
      <c r="B1722" s="41" t="n"/>
      <c r="C1722" s="41" t="n"/>
      <c r="D1722" s="41" t="n"/>
      <c r="E1722" s="46" t="n"/>
      <c r="F1722" s="41" t="n"/>
      <c r="G1722" s="41" t="n"/>
      <c r="H1722" s="41" t="n"/>
      <c r="I1722" s="41" t="n"/>
      <c r="J1722" s="47" t="n"/>
      <c r="K1722" s="41" t="n"/>
      <c r="L1722" s="48" t="n"/>
      <c r="M1722" s="45" t="n"/>
      <c r="N1722" s="39">
        <f>IF($B1722="","",IF(SUMPRODUCT((LISTAS!$O$3:$O$42&lt;&gt;"")*ISNUMBER(SEARCH(LISTAS!$O$3:$O$42,$I1722&amp;" "&amp;$K1722)))&gt;0,"CERCANA","NACIONAL"))</f>
        <v/>
      </c>
      <c r="O1722" s="39">
        <f>IF($B1722="","",IF(COUNTIFS(NOVEDADES!$C$4:$C$2003,$B1722)=0,"—","SÍ ("&amp;COUNTIFS(NOVEDADES!$C$4:$C$2003,$B1722)&amp;")"))</f>
        <v/>
      </c>
    </row>
    <row r="1723">
      <c r="A1723" s="41" t="n"/>
      <c r="B1723" s="41" t="n"/>
      <c r="C1723" s="41" t="n"/>
      <c r="D1723" s="41" t="n"/>
      <c r="E1723" s="46" t="n"/>
      <c r="F1723" s="41" t="n"/>
      <c r="G1723" s="41" t="n"/>
      <c r="H1723" s="41" t="n"/>
      <c r="I1723" s="41" t="n"/>
      <c r="J1723" s="47" t="n"/>
      <c r="K1723" s="41" t="n"/>
      <c r="L1723" s="48" t="n"/>
      <c r="M1723" s="45" t="n"/>
      <c r="N1723" s="39">
        <f>IF($B1723="","",IF(SUMPRODUCT((LISTAS!$O$3:$O$42&lt;&gt;"")*ISNUMBER(SEARCH(LISTAS!$O$3:$O$42,$I1723&amp;" "&amp;$K1723)))&gt;0,"CERCANA","NACIONAL"))</f>
        <v/>
      </c>
      <c r="O1723" s="39">
        <f>IF($B1723="","",IF(COUNTIFS(NOVEDADES!$C$4:$C$2003,$B1723)=0,"—","SÍ ("&amp;COUNTIFS(NOVEDADES!$C$4:$C$2003,$B1723)&amp;")"))</f>
        <v/>
      </c>
    </row>
    <row r="1724">
      <c r="A1724" s="41" t="n"/>
      <c r="B1724" s="41" t="n"/>
      <c r="C1724" s="41" t="n"/>
      <c r="D1724" s="41" t="n"/>
      <c r="E1724" s="46" t="n"/>
      <c r="F1724" s="41" t="n"/>
      <c r="G1724" s="41" t="n"/>
      <c r="H1724" s="41" t="n"/>
      <c r="I1724" s="41" t="n"/>
      <c r="J1724" s="47" t="n"/>
      <c r="K1724" s="41" t="n"/>
      <c r="L1724" s="48" t="n"/>
      <c r="M1724" s="45" t="n"/>
      <c r="N1724" s="39">
        <f>IF($B1724="","",IF(SUMPRODUCT((LISTAS!$O$3:$O$42&lt;&gt;"")*ISNUMBER(SEARCH(LISTAS!$O$3:$O$42,$I1724&amp;" "&amp;$K1724)))&gt;0,"CERCANA","NACIONAL"))</f>
        <v/>
      </c>
      <c r="O1724" s="39">
        <f>IF($B1724="","",IF(COUNTIFS(NOVEDADES!$C$4:$C$2003,$B1724)=0,"—","SÍ ("&amp;COUNTIFS(NOVEDADES!$C$4:$C$2003,$B1724)&amp;")"))</f>
        <v/>
      </c>
    </row>
    <row r="1725">
      <c r="A1725" s="41" t="n"/>
      <c r="B1725" s="41" t="n"/>
      <c r="C1725" s="41" t="n"/>
      <c r="D1725" s="41" t="n"/>
      <c r="E1725" s="46" t="n"/>
      <c r="F1725" s="41" t="n"/>
      <c r="G1725" s="41" t="n"/>
      <c r="H1725" s="41" t="n"/>
      <c r="I1725" s="41" t="n"/>
      <c r="J1725" s="47" t="n"/>
      <c r="K1725" s="41" t="n"/>
      <c r="L1725" s="48" t="n"/>
      <c r="M1725" s="45" t="n"/>
      <c r="N1725" s="39">
        <f>IF($B1725="","",IF(SUMPRODUCT((LISTAS!$O$3:$O$42&lt;&gt;"")*ISNUMBER(SEARCH(LISTAS!$O$3:$O$42,$I1725&amp;" "&amp;$K1725)))&gt;0,"CERCANA","NACIONAL"))</f>
        <v/>
      </c>
      <c r="O1725" s="39">
        <f>IF($B1725="","",IF(COUNTIFS(NOVEDADES!$C$4:$C$2003,$B1725)=0,"—","SÍ ("&amp;COUNTIFS(NOVEDADES!$C$4:$C$2003,$B1725)&amp;")"))</f>
        <v/>
      </c>
    </row>
    <row r="1726">
      <c r="A1726" s="41" t="n"/>
      <c r="B1726" s="41" t="n"/>
      <c r="C1726" s="41" t="n"/>
      <c r="D1726" s="41" t="n"/>
      <c r="E1726" s="46" t="n"/>
      <c r="F1726" s="41" t="n"/>
      <c r="G1726" s="41" t="n"/>
      <c r="H1726" s="41" t="n"/>
      <c r="I1726" s="41" t="n"/>
      <c r="J1726" s="47" t="n"/>
      <c r="K1726" s="41" t="n"/>
      <c r="L1726" s="48" t="n"/>
      <c r="M1726" s="45" t="n"/>
      <c r="N1726" s="39">
        <f>IF($B1726="","",IF(SUMPRODUCT((LISTAS!$O$3:$O$42&lt;&gt;"")*ISNUMBER(SEARCH(LISTAS!$O$3:$O$42,$I1726&amp;" "&amp;$K1726)))&gt;0,"CERCANA","NACIONAL"))</f>
        <v/>
      </c>
      <c r="O1726" s="39">
        <f>IF($B1726="","",IF(COUNTIFS(NOVEDADES!$C$4:$C$2003,$B1726)=0,"—","SÍ ("&amp;COUNTIFS(NOVEDADES!$C$4:$C$2003,$B1726)&amp;")"))</f>
        <v/>
      </c>
    </row>
    <row r="1727">
      <c r="A1727" s="41" t="n"/>
      <c r="B1727" s="41" t="n"/>
      <c r="C1727" s="41" t="n"/>
      <c r="D1727" s="41" t="n"/>
      <c r="E1727" s="46" t="n"/>
      <c r="F1727" s="41" t="n"/>
      <c r="G1727" s="41" t="n"/>
      <c r="H1727" s="41" t="n"/>
      <c r="I1727" s="41" t="n"/>
      <c r="J1727" s="47" t="n"/>
      <c r="K1727" s="41" t="n"/>
      <c r="L1727" s="48" t="n"/>
      <c r="M1727" s="45" t="n"/>
      <c r="N1727" s="39">
        <f>IF($B1727="","",IF(SUMPRODUCT((LISTAS!$O$3:$O$42&lt;&gt;"")*ISNUMBER(SEARCH(LISTAS!$O$3:$O$42,$I1727&amp;" "&amp;$K1727)))&gt;0,"CERCANA","NACIONAL"))</f>
        <v/>
      </c>
      <c r="O1727" s="39">
        <f>IF($B1727="","",IF(COUNTIFS(NOVEDADES!$C$4:$C$2003,$B1727)=0,"—","SÍ ("&amp;COUNTIFS(NOVEDADES!$C$4:$C$2003,$B1727)&amp;")"))</f>
        <v/>
      </c>
    </row>
    <row r="1728">
      <c r="A1728" s="41" t="n"/>
      <c r="B1728" s="41" t="n"/>
      <c r="C1728" s="41" t="n"/>
      <c r="D1728" s="41" t="n"/>
      <c r="E1728" s="46" t="n"/>
      <c r="F1728" s="41" t="n"/>
      <c r="G1728" s="41" t="n"/>
      <c r="H1728" s="41" t="n"/>
      <c r="I1728" s="41" t="n"/>
      <c r="J1728" s="47" t="n"/>
      <c r="K1728" s="41" t="n"/>
      <c r="L1728" s="48" t="n"/>
      <c r="M1728" s="45" t="n"/>
      <c r="N1728" s="39">
        <f>IF($B1728="","",IF(SUMPRODUCT((LISTAS!$O$3:$O$42&lt;&gt;"")*ISNUMBER(SEARCH(LISTAS!$O$3:$O$42,$I1728&amp;" "&amp;$K1728)))&gt;0,"CERCANA","NACIONAL"))</f>
        <v/>
      </c>
      <c r="O1728" s="39">
        <f>IF($B1728="","",IF(COUNTIFS(NOVEDADES!$C$4:$C$2003,$B1728)=0,"—","SÍ ("&amp;COUNTIFS(NOVEDADES!$C$4:$C$2003,$B1728)&amp;")"))</f>
        <v/>
      </c>
    </row>
    <row r="1729">
      <c r="A1729" s="41" t="n"/>
      <c r="B1729" s="41" t="n"/>
      <c r="C1729" s="41" t="n"/>
      <c r="D1729" s="41" t="n"/>
      <c r="E1729" s="46" t="n"/>
      <c r="F1729" s="41" t="n"/>
      <c r="G1729" s="41" t="n"/>
      <c r="H1729" s="41" t="n"/>
      <c r="I1729" s="41" t="n"/>
      <c r="J1729" s="47" t="n"/>
      <c r="K1729" s="41" t="n"/>
      <c r="L1729" s="48" t="n"/>
      <c r="M1729" s="45" t="n"/>
      <c r="N1729" s="39">
        <f>IF($B1729="","",IF(SUMPRODUCT((LISTAS!$O$3:$O$42&lt;&gt;"")*ISNUMBER(SEARCH(LISTAS!$O$3:$O$42,$I1729&amp;" "&amp;$K1729)))&gt;0,"CERCANA","NACIONAL"))</f>
        <v/>
      </c>
      <c r="O1729" s="39">
        <f>IF($B1729="","",IF(COUNTIFS(NOVEDADES!$C$4:$C$2003,$B1729)=0,"—","SÍ ("&amp;COUNTIFS(NOVEDADES!$C$4:$C$2003,$B1729)&amp;")"))</f>
        <v/>
      </c>
    </row>
    <row r="1730">
      <c r="A1730" s="41" t="n"/>
      <c r="B1730" s="41" t="n"/>
      <c r="C1730" s="41" t="n"/>
      <c r="D1730" s="41" t="n"/>
      <c r="E1730" s="46" t="n"/>
      <c r="F1730" s="41" t="n"/>
      <c r="G1730" s="41" t="n"/>
      <c r="H1730" s="41" t="n"/>
      <c r="I1730" s="41" t="n"/>
      <c r="J1730" s="47" t="n"/>
      <c r="K1730" s="41" t="n"/>
      <c r="L1730" s="48" t="n"/>
      <c r="M1730" s="45" t="n"/>
      <c r="N1730" s="39">
        <f>IF($B1730="","",IF(SUMPRODUCT((LISTAS!$O$3:$O$42&lt;&gt;"")*ISNUMBER(SEARCH(LISTAS!$O$3:$O$42,$I1730&amp;" "&amp;$K1730)))&gt;0,"CERCANA","NACIONAL"))</f>
        <v/>
      </c>
      <c r="O1730" s="39">
        <f>IF($B1730="","",IF(COUNTIFS(NOVEDADES!$C$4:$C$2003,$B1730)=0,"—","SÍ ("&amp;COUNTIFS(NOVEDADES!$C$4:$C$2003,$B1730)&amp;")"))</f>
        <v/>
      </c>
    </row>
    <row r="1731">
      <c r="A1731" s="41" t="n"/>
      <c r="B1731" s="41" t="n"/>
      <c r="C1731" s="41" t="n"/>
      <c r="D1731" s="41" t="n"/>
      <c r="E1731" s="46" t="n"/>
      <c r="F1731" s="41" t="n"/>
      <c r="G1731" s="41" t="n"/>
      <c r="H1731" s="41" t="n"/>
      <c r="I1731" s="41" t="n"/>
      <c r="J1731" s="47" t="n"/>
      <c r="K1731" s="41" t="n"/>
      <c r="L1731" s="48" t="n"/>
      <c r="M1731" s="45" t="n"/>
      <c r="N1731" s="39">
        <f>IF($B1731="","",IF(SUMPRODUCT((LISTAS!$O$3:$O$42&lt;&gt;"")*ISNUMBER(SEARCH(LISTAS!$O$3:$O$42,$I1731&amp;" "&amp;$K1731)))&gt;0,"CERCANA","NACIONAL"))</f>
        <v/>
      </c>
      <c r="O1731" s="39">
        <f>IF($B1731="","",IF(COUNTIFS(NOVEDADES!$C$4:$C$2003,$B1731)=0,"—","SÍ ("&amp;COUNTIFS(NOVEDADES!$C$4:$C$2003,$B1731)&amp;")"))</f>
        <v/>
      </c>
    </row>
    <row r="1732">
      <c r="A1732" s="41" t="n"/>
      <c r="B1732" s="41" t="n"/>
      <c r="C1732" s="41" t="n"/>
      <c r="D1732" s="41" t="n"/>
      <c r="E1732" s="46" t="n"/>
      <c r="F1732" s="41" t="n"/>
      <c r="G1732" s="41" t="n"/>
      <c r="H1732" s="41" t="n"/>
      <c r="I1732" s="41" t="n"/>
      <c r="J1732" s="47" t="n"/>
      <c r="K1732" s="41" t="n"/>
      <c r="L1732" s="48" t="n"/>
      <c r="M1732" s="45" t="n"/>
      <c r="N1732" s="39">
        <f>IF($B1732="","",IF(SUMPRODUCT((LISTAS!$O$3:$O$42&lt;&gt;"")*ISNUMBER(SEARCH(LISTAS!$O$3:$O$42,$I1732&amp;" "&amp;$K1732)))&gt;0,"CERCANA","NACIONAL"))</f>
        <v/>
      </c>
      <c r="O1732" s="39">
        <f>IF($B1732="","",IF(COUNTIFS(NOVEDADES!$C$4:$C$2003,$B1732)=0,"—","SÍ ("&amp;COUNTIFS(NOVEDADES!$C$4:$C$2003,$B1732)&amp;")"))</f>
        <v/>
      </c>
    </row>
    <row r="1733">
      <c r="A1733" s="41" t="n"/>
      <c r="B1733" s="41" t="n"/>
      <c r="C1733" s="41" t="n"/>
      <c r="D1733" s="41" t="n"/>
      <c r="E1733" s="46" t="n"/>
      <c r="F1733" s="41" t="n"/>
      <c r="G1733" s="41" t="n"/>
      <c r="H1733" s="41" t="n"/>
      <c r="I1733" s="41" t="n"/>
      <c r="J1733" s="47" t="n"/>
      <c r="K1733" s="41" t="n"/>
      <c r="L1733" s="48" t="n"/>
      <c r="M1733" s="45" t="n"/>
      <c r="N1733" s="39">
        <f>IF($B1733="","",IF(SUMPRODUCT((LISTAS!$O$3:$O$42&lt;&gt;"")*ISNUMBER(SEARCH(LISTAS!$O$3:$O$42,$I1733&amp;" "&amp;$K1733)))&gt;0,"CERCANA","NACIONAL"))</f>
        <v/>
      </c>
      <c r="O1733" s="39">
        <f>IF($B1733="","",IF(COUNTIFS(NOVEDADES!$C$4:$C$2003,$B1733)=0,"—","SÍ ("&amp;COUNTIFS(NOVEDADES!$C$4:$C$2003,$B1733)&amp;")"))</f>
        <v/>
      </c>
    </row>
    <row r="1734">
      <c r="A1734" s="41" t="n"/>
      <c r="B1734" s="41" t="n"/>
      <c r="C1734" s="41" t="n"/>
      <c r="D1734" s="41" t="n"/>
      <c r="E1734" s="46" t="n"/>
      <c r="F1734" s="41" t="n"/>
      <c r="G1734" s="41" t="n"/>
      <c r="H1734" s="41" t="n"/>
      <c r="I1734" s="41" t="n"/>
      <c r="J1734" s="47" t="n"/>
      <c r="K1734" s="41" t="n"/>
      <c r="L1734" s="48" t="n"/>
      <c r="M1734" s="45" t="n"/>
      <c r="N1734" s="39">
        <f>IF($B1734="","",IF(SUMPRODUCT((LISTAS!$O$3:$O$42&lt;&gt;"")*ISNUMBER(SEARCH(LISTAS!$O$3:$O$42,$I1734&amp;" "&amp;$K1734)))&gt;0,"CERCANA","NACIONAL"))</f>
        <v/>
      </c>
      <c r="O1734" s="39">
        <f>IF($B1734="","",IF(COUNTIFS(NOVEDADES!$C$4:$C$2003,$B1734)=0,"—","SÍ ("&amp;COUNTIFS(NOVEDADES!$C$4:$C$2003,$B1734)&amp;")"))</f>
        <v/>
      </c>
    </row>
    <row r="1735">
      <c r="A1735" s="41" t="n"/>
      <c r="B1735" s="41" t="n"/>
      <c r="C1735" s="41" t="n"/>
      <c r="D1735" s="41" t="n"/>
      <c r="E1735" s="46" t="n"/>
      <c r="F1735" s="41" t="n"/>
      <c r="G1735" s="41" t="n"/>
      <c r="H1735" s="41" t="n"/>
      <c r="I1735" s="41" t="n"/>
      <c r="J1735" s="47" t="n"/>
      <c r="K1735" s="41" t="n"/>
      <c r="L1735" s="48" t="n"/>
      <c r="M1735" s="45" t="n"/>
      <c r="N1735" s="39">
        <f>IF($B1735="","",IF(SUMPRODUCT((LISTAS!$O$3:$O$42&lt;&gt;"")*ISNUMBER(SEARCH(LISTAS!$O$3:$O$42,$I1735&amp;" "&amp;$K1735)))&gt;0,"CERCANA","NACIONAL"))</f>
        <v/>
      </c>
      <c r="O1735" s="39">
        <f>IF($B1735="","",IF(COUNTIFS(NOVEDADES!$C$4:$C$2003,$B1735)=0,"—","SÍ ("&amp;COUNTIFS(NOVEDADES!$C$4:$C$2003,$B1735)&amp;")"))</f>
        <v/>
      </c>
    </row>
    <row r="1736">
      <c r="A1736" s="41" t="n"/>
      <c r="B1736" s="41" t="n"/>
      <c r="C1736" s="41" t="n"/>
      <c r="D1736" s="41" t="n"/>
      <c r="E1736" s="46" t="n"/>
      <c r="F1736" s="41" t="n"/>
      <c r="G1736" s="41" t="n"/>
      <c r="H1736" s="41" t="n"/>
      <c r="I1736" s="41" t="n"/>
      <c r="J1736" s="47" t="n"/>
      <c r="K1736" s="41" t="n"/>
      <c r="L1736" s="48" t="n"/>
      <c r="M1736" s="45" t="n"/>
      <c r="N1736" s="39">
        <f>IF($B1736="","",IF(SUMPRODUCT((LISTAS!$O$3:$O$42&lt;&gt;"")*ISNUMBER(SEARCH(LISTAS!$O$3:$O$42,$I1736&amp;" "&amp;$K1736)))&gt;0,"CERCANA","NACIONAL"))</f>
        <v/>
      </c>
      <c r="O1736" s="39">
        <f>IF($B1736="","",IF(COUNTIFS(NOVEDADES!$C$4:$C$2003,$B1736)=0,"—","SÍ ("&amp;COUNTIFS(NOVEDADES!$C$4:$C$2003,$B1736)&amp;")"))</f>
        <v/>
      </c>
    </row>
    <row r="1737">
      <c r="A1737" s="41" t="n"/>
      <c r="B1737" s="41" t="n"/>
      <c r="C1737" s="41" t="n"/>
      <c r="D1737" s="41" t="n"/>
      <c r="E1737" s="46" t="n"/>
      <c r="F1737" s="41" t="n"/>
      <c r="G1737" s="41" t="n"/>
      <c r="H1737" s="41" t="n"/>
      <c r="I1737" s="41" t="n"/>
      <c r="J1737" s="47" t="n"/>
      <c r="K1737" s="41" t="n"/>
      <c r="L1737" s="48" t="n"/>
      <c r="M1737" s="45" t="n"/>
      <c r="N1737" s="39">
        <f>IF($B1737="","",IF(SUMPRODUCT((LISTAS!$O$3:$O$42&lt;&gt;"")*ISNUMBER(SEARCH(LISTAS!$O$3:$O$42,$I1737&amp;" "&amp;$K1737)))&gt;0,"CERCANA","NACIONAL"))</f>
        <v/>
      </c>
      <c r="O1737" s="39">
        <f>IF($B1737="","",IF(COUNTIFS(NOVEDADES!$C$4:$C$2003,$B1737)=0,"—","SÍ ("&amp;COUNTIFS(NOVEDADES!$C$4:$C$2003,$B1737)&amp;")"))</f>
        <v/>
      </c>
    </row>
    <row r="1738">
      <c r="A1738" s="41" t="n"/>
      <c r="B1738" s="41" t="n"/>
      <c r="C1738" s="41" t="n"/>
      <c r="D1738" s="41" t="n"/>
      <c r="E1738" s="46" t="n"/>
      <c r="F1738" s="41" t="n"/>
      <c r="G1738" s="41" t="n"/>
      <c r="H1738" s="41" t="n"/>
      <c r="I1738" s="41" t="n"/>
      <c r="J1738" s="47" t="n"/>
      <c r="K1738" s="41" t="n"/>
      <c r="L1738" s="48" t="n"/>
      <c r="M1738" s="45" t="n"/>
      <c r="N1738" s="39">
        <f>IF($B1738="","",IF(SUMPRODUCT((LISTAS!$O$3:$O$42&lt;&gt;"")*ISNUMBER(SEARCH(LISTAS!$O$3:$O$42,$I1738&amp;" "&amp;$K1738)))&gt;0,"CERCANA","NACIONAL"))</f>
        <v/>
      </c>
      <c r="O1738" s="39">
        <f>IF($B1738="","",IF(COUNTIFS(NOVEDADES!$C$4:$C$2003,$B1738)=0,"—","SÍ ("&amp;COUNTIFS(NOVEDADES!$C$4:$C$2003,$B1738)&amp;")"))</f>
        <v/>
      </c>
    </row>
    <row r="1739">
      <c r="A1739" s="41" t="n"/>
      <c r="B1739" s="41" t="n"/>
      <c r="C1739" s="41" t="n"/>
      <c r="D1739" s="41" t="n"/>
      <c r="E1739" s="46" t="n"/>
      <c r="F1739" s="41" t="n"/>
      <c r="G1739" s="41" t="n"/>
      <c r="H1739" s="41" t="n"/>
      <c r="I1739" s="41" t="n"/>
      <c r="J1739" s="47" t="n"/>
      <c r="K1739" s="41" t="n"/>
      <c r="L1739" s="48" t="n"/>
      <c r="M1739" s="45" t="n"/>
      <c r="N1739" s="39">
        <f>IF($B1739="","",IF(SUMPRODUCT((LISTAS!$O$3:$O$42&lt;&gt;"")*ISNUMBER(SEARCH(LISTAS!$O$3:$O$42,$I1739&amp;" "&amp;$K1739)))&gt;0,"CERCANA","NACIONAL"))</f>
        <v/>
      </c>
      <c r="O1739" s="39">
        <f>IF($B1739="","",IF(COUNTIFS(NOVEDADES!$C$4:$C$2003,$B1739)=0,"—","SÍ ("&amp;COUNTIFS(NOVEDADES!$C$4:$C$2003,$B1739)&amp;")"))</f>
        <v/>
      </c>
    </row>
    <row r="1740">
      <c r="A1740" s="41" t="n"/>
      <c r="B1740" s="41" t="n"/>
      <c r="C1740" s="41" t="n"/>
      <c r="D1740" s="41" t="n"/>
      <c r="E1740" s="46" t="n"/>
      <c r="F1740" s="41" t="n"/>
      <c r="G1740" s="41" t="n"/>
      <c r="H1740" s="41" t="n"/>
      <c r="I1740" s="41" t="n"/>
      <c r="J1740" s="47" t="n"/>
      <c r="K1740" s="41" t="n"/>
      <c r="L1740" s="48" t="n"/>
      <c r="M1740" s="45" t="n"/>
      <c r="N1740" s="39">
        <f>IF($B1740="","",IF(SUMPRODUCT((LISTAS!$O$3:$O$42&lt;&gt;"")*ISNUMBER(SEARCH(LISTAS!$O$3:$O$42,$I1740&amp;" "&amp;$K1740)))&gt;0,"CERCANA","NACIONAL"))</f>
        <v/>
      </c>
      <c r="O1740" s="39">
        <f>IF($B1740="","",IF(COUNTIFS(NOVEDADES!$C$4:$C$2003,$B1740)=0,"—","SÍ ("&amp;COUNTIFS(NOVEDADES!$C$4:$C$2003,$B1740)&amp;")"))</f>
        <v/>
      </c>
    </row>
    <row r="1741">
      <c r="A1741" s="41" t="n"/>
      <c r="B1741" s="41" t="n"/>
      <c r="C1741" s="41" t="n"/>
      <c r="D1741" s="41" t="n"/>
      <c r="E1741" s="46" t="n"/>
      <c r="F1741" s="41" t="n"/>
      <c r="G1741" s="41" t="n"/>
      <c r="H1741" s="41" t="n"/>
      <c r="I1741" s="41" t="n"/>
      <c r="J1741" s="47" t="n"/>
      <c r="K1741" s="41" t="n"/>
      <c r="L1741" s="48" t="n"/>
      <c r="M1741" s="45" t="n"/>
      <c r="N1741" s="39">
        <f>IF($B1741="","",IF(SUMPRODUCT((LISTAS!$O$3:$O$42&lt;&gt;"")*ISNUMBER(SEARCH(LISTAS!$O$3:$O$42,$I1741&amp;" "&amp;$K1741)))&gt;0,"CERCANA","NACIONAL"))</f>
        <v/>
      </c>
      <c r="O1741" s="39">
        <f>IF($B1741="","",IF(COUNTIFS(NOVEDADES!$C$4:$C$2003,$B1741)=0,"—","SÍ ("&amp;COUNTIFS(NOVEDADES!$C$4:$C$2003,$B1741)&amp;")"))</f>
        <v/>
      </c>
    </row>
    <row r="1742">
      <c r="A1742" s="41" t="n"/>
      <c r="B1742" s="41" t="n"/>
      <c r="C1742" s="41" t="n"/>
      <c r="D1742" s="41" t="n"/>
      <c r="E1742" s="46" t="n"/>
      <c r="F1742" s="41" t="n"/>
      <c r="G1742" s="41" t="n"/>
      <c r="H1742" s="41" t="n"/>
      <c r="I1742" s="41" t="n"/>
      <c r="J1742" s="47" t="n"/>
      <c r="K1742" s="41" t="n"/>
      <c r="L1742" s="48" t="n"/>
      <c r="M1742" s="45" t="n"/>
      <c r="N1742" s="39">
        <f>IF($B1742="","",IF(SUMPRODUCT((LISTAS!$O$3:$O$42&lt;&gt;"")*ISNUMBER(SEARCH(LISTAS!$O$3:$O$42,$I1742&amp;" "&amp;$K1742)))&gt;0,"CERCANA","NACIONAL"))</f>
        <v/>
      </c>
      <c r="O1742" s="39">
        <f>IF($B1742="","",IF(COUNTIFS(NOVEDADES!$C$4:$C$2003,$B1742)=0,"—","SÍ ("&amp;COUNTIFS(NOVEDADES!$C$4:$C$2003,$B1742)&amp;")"))</f>
        <v/>
      </c>
    </row>
    <row r="1743">
      <c r="A1743" s="41" t="n"/>
      <c r="B1743" s="41" t="n"/>
      <c r="C1743" s="41" t="n"/>
      <c r="D1743" s="41" t="n"/>
      <c r="E1743" s="46" t="n"/>
      <c r="F1743" s="41" t="n"/>
      <c r="G1743" s="41" t="n"/>
      <c r="H1743" s="41" t="n"/>
      <c r="I1743" s="41" t="n"/>
      <c r="J1743" s="47" t="n"/>
      <c r="K1743" s="41" t="n"/>
      <c r="L1743" s="48" t="n"/>
      <c r="M1743" s="45" t="n"/>
      <c r="N1743" s="39">
        <f>IF($B1743="","",IF(SUMPRODUCT((LISTAS!$O$3:$O$42&lt;&gt;"")*ISNUMBER(SEARCH(LISTAS!$O$3:$O$42,$I1743&amp;" "&amp;$K1743)))&gt;0,"CERCANA","NACIONAL"))</f>
        <v/>
      </c>
      <c r="O1743" s="39">
        <f>IF($B1743="","",IF(COUNTIFS(NOVEDADES!$C$4:$C$2003,$B1743)=0,"—","SÍ ("&amp;COUNTIFS(NOVEDADES!$C$4:$C$2003,$B1743)&amp;")"))</f>
        <v/>
      </c>
    </row>
    <row r="1744">
      <c r="A1744" s="41" t="n"/>
      <c r="B1744" s="41" t="n"/>
      <c r="C1744" s="41" t="n"/>
      <c r="D1744" s="41" t="n"/>
      <c r="E1744" s="46" t="n"/>
      <c r="F1744" s="41" t="n"/>
      <c r="G1744" s="41" t="n"/>
      <c r="H1744" s="41" t="n"/>
      <c r="I1744" s="41" t="n"/>
      <c r="J1744" s="47" t="n"/>
      <c r="K1744" s="41" t="n"/>
      <c r="L1744" s="48" t="n"/>
      <c r="M1744" s="45" t="n"/>
      <c r="N1744" s="39">
        <f>IF($B1744="","",IF(SUMPRODUCT((LISTAS!$O$3:$O$42&lt;&gt;"")*ISNUMBER(SEARCH(LISTAS!$O$3:$O$42,$I1744&amp;" "&amp;$K1744)))&gt;0,"CERCANA","NACIONAL"))</f>
        <v/>
      </c>
      <c r="O1744" s="39">
        <f>IF($B1744="","",IF(COUNTIFS(NOVEDADES!$C$4:$C$2003,$B1744)=0,"—","SÍ ("&amp;COUNTIFS(NOVEDADES!$C$4:$C$2003,$B1744)&amp;")"))</f>
        <v/>
      </c>
    </row>
    <row r="1745">
      <c r="A1745" s="41" t="n"/>
      <c r="B1745" s="41" t="n"/>
      <c r="C1745" s="41" t="n"/>
      <c r="D1745" s="41" t="n"/>
      <c r="E1745" s="46" t="n"/>
      <c r="F1745" s="41" t="n"/>
      <c r="G1745" s="41" t="n"/>
      <c r="H1745" s="41" t="n"/>
      <c r="I1745" s="41" t="n"/>
      <c r="J1745" s="47" t="n"/>
      <c r="K1745" s="41" t="n"/>
      <c r="L1745" s="48" t="n"/>
      <c r="M1745" s="45" t="n"/>
      <c r="N1745" s="39">
        <f>IF($B1745="","",IF(SUMPRODUCT((LISTAS!$O$3:$O$42&lt;&gt;"")*ISNUMBER(SEARCH(LISTAS!$O$3:$O$42,$I1745&amp;" "&amp;$K1745)))&gt;0,"CERCANA","NACIONAL"))</f>
        <v/>
      </c>
      <c r="O1745" s="39">
        <f>IF($B1745="","",IF(COUNTIFS(NOVEDADES!$C$4:$C$2003,$B1745)=0,"—","SÍ ("&amp;COUNTIFS(NOVEDADES!$C$4:$C$2003,$B1745)&amp;")"))</f>
        <v/>
      </c>
    </row>
    <row r="1746">
      <c r="A1746" s="41" t="n"/>
      <c r="B1746" s="41" t="n"/>
      <c r="C1746" s="41" t="n"/>
      <c r="D1746" s="41" t="n"/>
      <c r="E1746" s="46" t="n"/>
      <c r="F1746" s="41" t="n"/>
      <c r="G1746" s="41" t="n"/>
      <c r="H1746" s="41" t="n"/>
      <c r="I1746" s="41" t="n"/>
      <c r="J1746" s="47" t="n"/>
      <c r="K1746" s="41" t="n"/>
      <c r="L1746" s="48" t="n"/>
      <c r="M1746" s="45" t="n"/>
      <c r="N1746" s="39">
        <f>IF($B1746="","",IF(SUMPRODUCT((LISTAS!$O$3:$O$42&lt;&gt;"")*ISNUMBER(SEARCH(LISTAS!$O$3:$O$42,$I1746&amp;" "&amp;$K1746)))&gt;0,"CERCANA","NACIONAL"))</f>
        <v/>
      </c>
      <c r="O1746" s="39">
        <f>IF($B1746="","",IF(COUNTIFS(NOVEDADES!$C$4:$C$2003,$B1746)=0,"—","SÍ ("&amp;COUNTIFS(NOVEDADES!$C$4:$C$2003,$B1746)&amp;")"))</f>
        <v/>
      </c>
    </row>
    <row r="1747">
      <c r="A1747" s="41" t="n"/>
      <c r="B1747" s="41" t="n"/>
      <c r="C1747" s="41" t="n"/>
      <c r="D1747" s="41" t="n"/>
      <c r="E1747" s="46" t="n"/>
      <c r="F1747" s="41" t="n"/>
      <c r="G1747" s="41" t="n"/>
      <c r="H1747" s="41" t="n"/>
      <c r="I1747" s="41" t="n"/>
      <c r="J1747" s="47" t="n"/>
      <c r="K1747" s="41" t="n"/>
      <c r="L1747" s="48" t="n"/>
      <c r="M1747" s="45" t="n"/>
      <c r="N1747" s="39">
        <f>IF($B1747="","",IF(SUMPRODUCT((LISTAS!$O$3:$O$42&lt;&gt;"")*ISNUMBER(SEARCH(LISTAS!$O$3:$O$42,$I1747&amp;" "&amp;$K1747)))&gt;0,"CERCANA","NACIONAL"))</f>
        <v/>
      </c>
      <c r="O1747" s="39">
        <f>IF($B1747="","",IF(COUNTIFS(NOVEDADES!$C$4:$C$2003,$B1747)=0,"—","SÍ ("&amp;COUNTIFS(NOVEDADES!$C$4:$C$2003,$B1747)&amp;")"))</f>
        <v/>
      </c>
    </row>
    <row r="1748">
      <c r="A1748" s="41" t="n"/>
      <c r="B1748" s="41" t="n"/>
      <c r="C1748" s="41" t="n"/>
      <c r="D1748" s="41" t="n"/>
      <c r="E1748" s="46" t="n"/>
      <c r="F1748" s="41" t="n"/>
      <c r="G1748" s="41" t="n"/>
      <c r="H1748" s="41" t="n"/>
      <c r="I1748" s="41" t="n"/>
      <c r="J1748" s="47" t="n"/>
      <c r="K1748" s="41" t="n"/>
      <c r="L1748" s="48" t="n"/>
      <c r="M1748" s="45" t="n"/>
      <c r="N1748" s="39">
        <f>IF($B1748="","",IF(SUMPRODUCT((LISTAS!$O$3:$O$42&lt;&gt;"")*ISNUMBER(SEARCH(LISTAS!$O$3:$O$42,$I1748&amp;" "&amp;$K1748)))&gt;0,"CERCANA","NACIONAL"))</f>
        <v/>
      </c>
      <c r="O1748" s="39">
        <f>IF($B1748="","",IF(COUNTIFS(NOVEDADES!$C$4:$C$2003,$B1748)=0,"—","SÍ ("&amp;COUNTIFS(NOVEDADES!$C$4:$C$2003,$B1748)&amp;")"))</f>
        <v/>
      </c>
    </row>
    <row r="1749">
      <c r="A1749" s="41" t="n"/>
      <c r="B1749" s="41" t="n"/>
      <c r="C1749" s="41" t="n"/>
      <c r="D1749" s="41" t="n"/>
      <c r="E1749" s="46" t="n"/>
      <c r="F1749" s="41" t="n"/>
      <c r="G1749" s="41" t="n"/>
      <c r="H1749" s="41" t="n"/>
      <c r="I1749" s="41" t="n"/>
      <c r="J1749" s="47" t="n"/>
      <c r="K1749" s="41" t="n"/>
      <c r="L1749" s="48" t="n"/>
      <c r="M1749" s="45" t="n"/>
      <c r="N1749" s="39">
        <f>IF($B1749="","",IF(SUMPRODUCT((LISTAS!$O$3:$O$42&lt;&gt;"")*ISNUMBER(SEARCH(LISTAS!$O$3:$O$42,$I1749&amp;" "&amp;$K1749)))&gt;0,"CERCANA","NACIONAL"))</f>
        <v/>
      </c>
      <c r="O1749" s="39">
        <f>IF($B1749="","",IF(COUNTIFS(NOVEDADES!$C$4:$C$2003,$B1749)=0,"—","SÍ ("&amp;COUNTIFS(NOVEDADES!$C$4:$C$2003,$B1749)&amp;")"))</f>
        <v/>
      </c>
    </row>
    <row r="1750">
      <c r="A1750" s="41" t="n"/>
      <c r="B1750" s="41" t="n"/>
      <c r="C1750" s="41" t="n"/>
      <c r="D1750" s="41" t="n"/>
      <c r="E1750" s="46" t="n"/>
      <c r="F1750" s="41" t="n"/>
      <c r="G1750" s="41" t="n"/>
      <c r="H1750" s="41" t="n"/>
      <c r="I1750" s="41" t="n"/>
      <c r="J1750" s="47" t="n"/>
      <c r="K1750" s="41" t="n"/>
      <c r="L1750" s="48" t="n"/>
      <c r="M1750" s="45" t="n"/>
      <c r="N1750" s="39">
        <f>IF($B1750="","",IF(SUMPRODUCT((LISTAS!$O$3:$O$42&lt;&gt;"")*ISNUMBER(SEARCH(LISTAS!$O$3:$O$42,$I1750&amp;" "&amp;$K1750)))&gt;0,"CERCANA","NACIONAL"))</f>
        <v/>
      </c>
      <c r="O1750" s="39">
        <f>IF($B1750="","",IF(COUNTIFS(NOVEDADES!$C$4:$C$2003,$B1750)=0,"—","SÍ ("&amp;COUNTIFS(NOVEDADES!$C$4:$C$2003,$B1750)&amp;")"))</f>
        <v/>
      </c>
    </row>
    <row r="1751">
      <c r="A1751" s="41" t="n"/>
      <c r="B1751" s="41" t="n"/>
      <c r="C1751" s="41" t="n"/>
      <c r="D1751" s="41" t="n"/>
      <c r="E1751" s="46" t="n"/>
      <c r="F1751" s="41" t="n"/>
      <c r="G1751" s="41" t="n"/>
      <c r="H1751" s="41" t="n"/>
      <c r="I1751" s="41" t="n"/>
      <c r="J1751" s="47" t="n"/>
      <c r="K1751" s="41" t="n"/>
      <c r="L1751" s="48" t="n"/>
      <c r="M1751" s="45" t="n"/>
      <c r="N1751" s="39">
        <f>IF($B1751="","",IF(SUMPRODUCT((LISTAS!$O$3:$O$42&lt;&gt;"")*ISNUMBER(SEARCH(LISTAS!$O$3:$O$42,$I1751&amp;" "&amp;$K1751)))&gt;0,"CERCANA","NACIONAL"))</f>
        <v/>
      </c>
      <c r="O1751" s="39">
        <f>IF($B1751="","",IF(COUNTIFS(NOVEDADES!$C$4:$C$2003,$B1751)=0,"—","SÍ ("&amp;COUNTIFS(NOVEDADES!$C$4:$C$2003,$B1751)&amp;")"))</f>
        <v/>
      </c>
    </row>
    <row r="1752">
      <c r="A1752" s="41" t="n"/>
      <c r="B1752" s="41" t="n"/>
      <c r="C1752" s="41" t="n"/>
      <c r="D1752" s="41" t="n"/>
      <c r="E1752" s="46" t="n"/>
      <c r="F1752" s="41" t="n"/>
      <c r="G1752" s="41" t="n"/>
      <c r="H1752" s="41" t="n"/>
      <c r="I1752" s="41" t="n"/>
      <c r="J1752" s="47" t="n"/>
      <c r="K1752" s="41" t="n"/>
      <c r="L1752" s="48" t="n"/>
      <c r="M1752" s="45" t="n"/>
      <c r="N1752" s="39">
        <f>IF($B1752="","",IF(SUMPRODUCT((LISTAS!$O$3:$O$42&lt;&gt;"")*ISNUMBER(SEARCH(LISTAS!$O$3:$O$42,$I1752&amp;" "&amp;$K1752)))&gt;0,"CERCANA","NACIONAL"))</f>
        <v/>
      </c>
      <c r="O1752" s="39">
        <f>IF($B1752="","",IF(COUNTIFS(NOVEDADES!$C$4:$C$2003,$B1752)=0,"—","SÍ ("&amp;COUNTIFS(NOVEDADES!$C$4:$C$2003,$B1752)&amp;")"))</f>
        <v/>
      </c>
    </row>
    <row r="1753">
      <c r="A1753" s="41" t="n"/>
      <c r="B1753" s="41" t="n"/>
      <c r="C1753" s="41" t="n"/>
      <c r="D1753" s="41" t="n"/>
      <c r="E1753" s="46" t="n"/>
      <c r="F1753" s="41" t="n"/>
      <c r="G1753" s="41" t="n"/>
      <c r="H1753" s="41" t="n"/>
      <c r="I1753" s="41" t="n"/>
      <c r="J1753" s="47" t="n"/>
      <c r="K1753" s="41" t="n"/>
      <c r="L1753" s="48" t="n"/>
      <c r="M1753" s="45" t="n"/>
      <c r="N1753" s="39">
        <f>IF($B1753="","",IF(SUMPRODUCT((LISTAS!$O$3:$O$42&lt;&gt;"")*ISNUMBER(SEARCH(LISTAS!$O$3:$O$42,$I1753&amp;" "&amp;$K1753)))&gt;0,"CERCANA","NACIONAL"))</f>
        <v/>
      </c>
      <c r="O1753" s="39">
        <f>IF($B1753="","",IF(COUNTIFS(NOVEDADES!$C$4:$C$2003,$B1753)=0,"—","SÍ ("&amp;COUNTIFS(NOVEDADES!$C$4:$C$2003,$B1753)&amp;")"))</f>
        <v/>
      </c>
    </row>
    <row r="1754">
      <c r="A1754" s="41" t="n"/>
      <c r="B1754" s="41" t="n"/>
      <c r="C1754" s="41" t="n"/>
      <c r="D1754" s="41" t="n"/>
      <c r="E1754" s="46" t="n"/>
      <c r="F1754" s="41" t="n"/>
      <c r="G1754" s="41" t="n"/>
      <c r="H1754" s="41" t="n"/>
      <c r="I1754" s="41" t="n"/>
      <c r="J1754" s="47" t="n"/>
      <c r="K1754" s="41" t="n"/>
      <c r="L1754" s="48" t="n"/>
      <c r="M1754" s="45" t="n"/>
      <c r="N1754" s="39">
        <f>IF($B1754="","",IF(SUMPRODUCT((LISTAS!$O$3:$O$42&lt;&gt;"")*ISNUMBER(SEARCH(LISTAS!$O$3:$O$42,$I1754&amp;" "&amp;$K1754)))&gt;0,"CERCANA","NACIONAL"))</f>
        <v/>
      </c>
      <c r="O1754" s="39">
        <f>IF($B1754="","",IF(COUNTIFS(NOVEDADES!$C$4:$C$2003,$B1754)=0,"—","SÍ ("&amp;COUNTIFS(NOVEDADES!$C$4:$C$2003,$B1754)&amp;")"))</f>
        <v/>
      </c>
    </row>
    <row r="1755">
      <c r="A1755" s="41" t="n"/>
      <c r="B1755" s="41" t="n"/>
      <c r="C1755" s="41" t="n"/>
      <c r="D1755" s="41" t="n"/>
      <c r="E1755" s="46" t="n"/>
      <c r="F1755" s="41" t="n"/>
      <c r="G1755" s="41" t="n"/>
      <c r="H1755" s="41" t="n"/>
      <c r="I1755" s="41" t="n"/>
      <c r="J1755" s="47" t="n"/>
      <c r="K1755" s="41" t="n"/>
      <c r="L1755" s="48" t="n"/>
      <c r="M1755" s="45" t="n"/>
      <c r="N1755" s="39">
        <f>IF($B1755="","",IF(SUMPRODUCT((LISTAS!$O$3:$O$42&lt;&gt;"")*ISNUMBER(SEARCH(LISTAS!$O$3:$O$42,$I1755&amp;" "&amp;$K1755)))&gt;0,"CERCANA","NACIONAL"))</f>
        <v/>
      </c>
      <c r="O1755" s="39">
        <f>IF($B1755="","",IF(COUNTIFS(NOVEDADES!$C$4:$C$2003,$B1755)=0,"—","SÍ ("&amp;COUNTIFS(NOVEDADES!$C$4:$C$2003,$B1755)&amp;")"))</f>
        <v/>
      </c>
    </row>
    <row r="1756">
      <c r="A1756" s="41" t="n"/>
      <c r="B1756" s="41" t="n"/>
      <c r="C1756" s="41" t="n"/>
      <c r="D1756" s="41" t="n"/>
      <c r="E1756" s="46" t="n"/>
      <c r="F1756" s="41" t="n"/>
      <c r="G1756" s="41" t="n"/>
      <c r="H1756" s="41" t="n"/>
      <c r="I1756" s="41" t="n"/>
      <c r="J1756" s="47" t="n"/>
      <c r="K1756" s="41" t="n"/>
      <c r="L1756" s="48" t="n"/>
      <c r="M1756" s="45" t="n"/>
      <c r="N1756" s="39">
        <f>IF($B1756="","",IF(SUMPRODUCT((LISTAS!$O$3:$O$42&lt;&gt;"")*ISNUMBER(SEARCH(LISTAS!$O$3:$O$42,$I1756&amp;" "&amp;$K1756)))&gt;0,"CERCANA","NACIONAL"))</f>
        <v/>
      </c>
      <c r="O1756" s="39">
        <f>IF($B1756="","",IF(COUNTIFS(NOVEDADES!$C$4:$C$2003,$B1756)=0,"—","SÍ ("&amp;COUNTIFS(NOVEDADES!$C$4:$C$2003,$B1756)&amp;")"))</f>
        <v/>
      </c>
    </row>
    <row r="1757">
      <c r="A1757" s="41" t="n"/>
      <c r="B1757" s="41" t="n"/>
      <c r="C1757" s="41" t="n"/>
      <c r="D1757" s="41" t="n"/>
      <c r="E1757" s="46" t="n"/>
      <c r="F1757" s="41" t="n"/>
      <c r="G1757" s="41" t="n"/>
      <c r="H1757" s="41" t="n"/>
      <c r="I1757" s="41" t="n"/>
      <c r="J1757" s="47" t="n"/>
      <c r="K1757" s="41" t="n"/>
      <c r="L1757" s="48" t="n"/>
      <c r="M1757" s="45" t="n"/>
      <c r="N1757" s="39">
        <f>IF($B1757="","",IF(SUMPRODUCT((LISTAS!$O$3:$O$42&lt;&gt;"")*ISNUMBER(SEARCH(LISTAS!$O$3:$O$42,$I1757&amp;" "&amp;$K1757)))&gt;0,"CERCANA","NACIONAL"))</f>
        <v/>
      </c>
      <c r="O1757" s="39">
        <f>IF($B1757="","",IF(COUNTIFS(NOVEDADES!$C$4:$C$2003,$B1757)=0,"—","SÍ ("&amp;COUNTIFS(NOVEDADES!$C$4:$C$2003,$B1757)&amp;")"))</f>
        <v/>
      </c>
    </row>
    <row r="1758">
      <c r="A1758" s="41" t="n"/>
      <c r="B1758" s="41" t="n"/>
      <c r="C1758" s="41" t="n"/>
      <c r="D1758" s="41" t="n"/>
      <c r="E1758" s="46" t="n"/>
      <c r="F1758" s="41" t="n"/>
      <c r="G1758" s="41" t="n"/>
      <c r="H1758" s="41" t="n"/>
      <c r="I1758" s="41" t="n"/>
      <c r="J1758" s="47" t="n"/>
      <c r="K1758" s="41" t="n"/>
      <c r="L1758" s="48" t="n"/>
      <c r="M1758" s="45" t="n"/>
      <c r="N1758" s="39">
        <f>IF($B1758="","",IF(SUMPRODUCT((LISTAS!$O$3:$O$42&lt;&gt;"")*ISNUMBER(SEARCH(LISTAS!$O$3:$O$42,$I1758&amp;" "&amp;$K1758)))&gt;0,"CERCANA","NACIONAL"))</f>
        <v/>
      </c>
      <c r="O1758" s="39">
        <f>IF($B1758="","",IF(COUNTIFS(NOVEDADES!$C$4:$C$2003,$B1758)=0,"—","SÍ ("&amp;COUNTIFS(NOVEDADES!$C$4:$C$2003,$B1758)&amp;")"))</f>
        <v/>
      </c>
    </row>
    <row r="1759">
      <c r="A1759" s="41" t="n"/>
      <c r="B1759" s="41" t="n"/>
      <c r="C1759" s="41" t="n"/>
      <c r="D1759" s="41" t="n"/>
      <c r="E1759" s="46" t="n"/>
      <c r="F1759" s="41" t="n"/>
      <c r="G1759" s="41" t="n"/>
      <c r="H1759" s="41" t="n"/>
      <c r="I1759" s="41" t="n"/>
      <c r="J1759" s="47" t="n"/>
      <c r="K1759" s="41" t="n"/>
      <c r="L1759" s="48" t="n"/>
      <c r="M1759" s="45" t="n"/>
      <c r="N1759" s="39">
        <f>IF($B1759="","",IF(SUMPRODUCT((LISTAS!$O$3:$O$42&lt;&gt;"")*ISNUMBER(SEARCH(LISTAS!$O$3:$O$42,$I1759&amp;" "&amp;$K1759)))&gt;0,"CERCANA","NACIONAL"))</f>
        <v/>
      </c>
      <c r="O1759" s="39">
        <f>IF($B1759="","",IF(COUNTIFS(NOVEDADES!$C$4:$C$2003,$B1759)=0,"—","SÍ ("&amp;COUNTIFS(NOVEDADES!$C$4:$C$2003,$B1759)&amp;")"))</f>
        <v/>
      </c>
    </row>
    <row r="1760">
      <c r="A1760" s="41" t="n"/>
      <c r="B1760" s="41" t="n"/>
      <c r="C1760" s="41" t="n"/>
      <c r="D1760" s="41" t="n"/>
      <c r="E1760" s="46" t="n"/>
      <c r="F1760" s="41" t="n"/>
      <c r="G1760" s="41" t="n"/>
      <c r="H1760" s="41" t="n"/>
      <c r="I1760" s="41" t="n"/>
      <c r="J1760" s="47" t="n"/>
      <c r="K1760" s="41" t="n"/>
      <c r="L1760" s="48" t="n"/>
      <c r="M1760" s="45" t="n"/>
      <c r="N1760" s="39">
        <f>IF($B1760="","",IF(SUMPRODUCT((LISTAS!$O$3:$O$42&lt;&gt;"")*ISNUMBER(SEARCH(LISTAS!$O$3:$O$42,$I1760&amp;" "&amp;$K1760)))&gt;0,"CERCANA","NACIONAL"))</f>
        <v/>
      </c>
      <c r="O1760" s="39">
        <f>IF($B1760="","",IF(COUNTIFS(NOVEDADES!$C$4:$C$2003,$B1760)=0,"—","SÍ ("&amp;COUNTIFS(NOVEDADES!$C$4:$C$2003,$B1760)&amp;")"))</f>
        <v/>
      </c>
    </row>
    <row r="1761">
      <c r="A1761" s="41" t="n"/>
      <c r="B1761" s="41" t="n"/>
      <c r="C1761" s="41" t="n"/>
      <c r="D1761" s="41" t="n"/>
      <c r="E1761" s="46" t="n"/>
      <c r="F1761" s="41" t="n"/>
      <c r="G1761" s="41" t="n"/>
      <c r="H1761" s="41" t="n"/>
      <c r="I1761" s="41" t="n"/>
      <c r="J1761" s="47" t="n"/>
      <c r="K1761" s="41" t="n"/>
      <c r="L1761" s="48" t="n"/>
      <c r="M1761" s="45" t="n"/>
      <c r="N1761" s="39">
        <f>IF($B1761="","",IF(SUMPRODUCT((LISTAS!$O$3:$O$42&lt;&gt;"")*ISNUMBER(SEARCH(LISTAS!$O$3:$O$42,$I1761&amp;" "&amp;$K1761)))&gt;0,"CERCANA","NACIONAL"))</f>
        <v/>
      </c>
      <c r="O1761" s="39">
        <f>IF($B1761="","",IF(COUNTIFS(NOVEDADES!$C$4:$C$2003,$B1761)=0,"—","SÍ ("&amp;COUNTIFS(NOVEDADES!$C$4:$C$2003,$B1761)&amp;")"))</f>
        <v/>
      </c>
    </row>
    <row r="1762">
      <c r="A1762" s="41" t="n"/>
      <c r="B1762" s="41" t="n"/>
      <c r="C1762" s="41" t="n"/>
      <c r="D1762" s="41" t="n"/>
      <c r="E1762" s="46" t="n"/>
      <c r="F1762" s="41" t="n"/>
      <c r="G1762" s="41" t="n"/>
      <c r="H1762" s="41" t="n"/>
      <c r="I1762" s="41" t="n"/>
      <c r="J1762" s="47" t="n"/>
      <c r="K1762" s="41" t="n"/>
      <c r="L1762" s="48" t="n"/>
      <c r="M1762" s="45" t="n"/>
      <c r="N1762" s="39">
        <f>IF($B1762="","",IF(SUMPRODUCT((LISTAS!$O$3:$O$42&lt;&gt;"")*ISNUMBER(SEARCH(LISTAS!$O$3:$O$42,$I1762&amp;" "&amp;$K1762)))&gt;0,"CERCANA","NACIONAL"))</f>
        <v/>
      </c>
      <c r="O1762" s="39">
        <f>IF($B1762="","",IF(COUNTIFS(NOVEDADES!$C$4:$C$2003,$B1762)=0,"—","SÍ ("&amp;COUNTIFS(NOVEDADES!$C$4:$C$2003,$B1762)&amp;")"))</f>
        <v/>
      </c>
    </row>
    <row r="1763">
      <c r="A1763" s="41" t="n"/>
      <c r="B1763" s="41" t="n"/>
      <c r="C1763" s="41" t="n"/>
      <c r="D1763" s="41" t="n"/>
      <c r="E1763" s="46" t="n"/>
      <c r="F1763" s="41" t="n"/>
      <c r="G1763" s="41" t="n"/>
      <c r="H1763" s="41" t="n"/>
      <c r="I1763" s="41" t="n"/>
      <c r="J1763" s="47" t="n"/>
      <c r="K1763" s="41" t="n"/>
      <c r="L1763" s="48" t="n"/>
      <c r="M1763" s="45" t="n"/>
      <c r="N1763" s="39">
        <f>IF($B1763="","",IF(SUMPRODUCT((LISTAS!$O$3:$O$42&lt;&gt;"")*ISNUMBER(SEARCH(LISTAS!$O$3:$O$42,$I1763&amp;" "&amp;$K1763)))&gt;0,"CERCANA","NACIONAL"))</f>
        <v/>
      </c>
      <c r="O1763" s="39">
        <f>IF($B1763="","",IF(COUNTIFS(NOVEDADES!$C$4:$C$2003,$B1763)=0,"—","SÍ ("&amp;COUNTIFS(NOVEDADES!$C$4:$C$2003,$B1763)&amp;")"))</f>
        <v/>
      </c>
    </row>
    <row r="1764">
      <c r="A1764" s="41" t="n"/>
      <c r="B1764" s="41" t="n"/>
      <c r="C1764" s="41" t="n"/>
      <c r="D1764" s="41" t="n"/>
      <c r="E1764" s="46" t="n"/>
      <c r="F1764" s="41" t="n"/>
      <c r="G1764" s="41" t="n"/>
      <c r="H1764" s="41" t="n"/>
      <c r="I1764" s="41" t="n"/>
      <c r="J1764" s="47" t="n"/>
      <c r="K1764" s="41" t="n"/>
      <c r="L1764" s="48" t="n"/>
      <c r="M1764" s="45" t="n"/>
      <c r="N1764" s="39">
        <f>IF($B1764="","",IF(SUMPRODUCT((LISTAS!$O$3:$O$42&lt;&gt;"")*ISNUMBER(SEARCH(LISTAS!$O$3:$O$42,$I1764&amp;" "&amp;$K1764)))&gt;0,"CERCANA","NACIONAL"))</f>
        <v/>
      </c>
      <c r="O1764" s="39">
        <f>IF($B1764="","",IF(COUNTIFS(NOVEDADES!$C$4:$C$2003,$B1764)=0,"—","SÍ ("&amp;COUNTIFS(NOVEDADES!$C$4:$C$2003,$B1764)&amp;")"))</f>
        <v/>
      </c>
    </row>
    <row r="1765">
      <c r="A1765" s="41" t="n"/>
      <c r="B1765" s="41" t="n"/>
      <c r="C1765" s="41" t="n"/>
      <c r="D1765" s="41" t="n"/>
      <c r="E1765" s="46" t="n"/>
      <c r="F1765" s="41" t="n"/>
      <c r="G1765" s="41" t="n"/>
      <c r="H1765" s="41" t="n"/>
      <c r="I1765" s="41" t="n"/>
      <c r="J1765" s="47" t="n"/>
      <c r="K1765" s="41" t="n"/>
      <c r="L1765" s="48" t="n"/>
      <c r="M1765" s="45" t="n"/>
      <c r="N1765" s="39">
        <f>IF($B1765="","",IF(SUMPRODUCT((LISTAS!$O$3:$O$42&lt;&gt;"")*ISNUMBER(SEARCH(LISTAS!$O$3:$O$42,$I1765&amp;" "&amp;$K1765)))&gt;0,"CERCANA","NACIONAL"))</f>
        <v/>
      </c>
      <c r="O1765" s="39">
        <f>IF($B1765="","",IF(COUNTIFS(NOVEDADES!$C$4:$C$2003,$B1765)=0,"—","SÍ ("&amp;COUNTIFS(NOVEDADES!$C$4:$C$2003,$B1765)&amp;")"))</f>
        <v/>
      </c>
    </row>
    <row r="1766">
      <c r="A1766" s="41" t="n"/>
      <c r="B1766" s="41" t="n"/>
      <c r="C1766" s="41" t="n"/>
      <c r="D1766" s="41" t="n"/>
      <c r="E1766" s="46" t="n"/>
      <c r="F1766" s="41" t="n"/>
      <c r="G1766" s="41" t="n"/>
      <c r="H1766" s="41" t="n"/>
      <c r="I1766" s="41" t="n"/>
      <c r="J1766" s="47" t="n"/>
      <c r="K1766" s="41" t="n"/>
      <c r="L1766" s="48" t="n"/>
      <c r="M1766" s="45" t="n"/>
      <c r="N1766" s="39">
        <f>IF($B1766="","",IF(SUMPRODUCT((LISTAS!$O$3:$O$42&lt;&gt;"")*ISNUMBER(SEARCH(LISTAS!$O$3:$O$42,$I1766&amp;" "&amp;$K1766)))&gt;0,"CERCANA","NACIONAL"))</f>
        <v/>
      </c>
      <c r="O1766" s="39">
        <f>IF($B1766="","",IF(COUNTIFS(NOVEDADES!$C$4:$C$2003,$B1766)=0,"—","SÍ ("&amp;COUNTIFS(NOVEDADES!$C$4:$C$2003,$B1766)&amp;")"))</f>
        <v/>
      </c>
    </row>
    <row r="1767">
      <c r="A1767" s="41" t="n"/>
      <c r="B1767" s="41" t="n"/>
      <c r="C1767" s="41" t="n"/>
      <c r="D1767" s="41" t="n"/>
      <c r="E1767" s="46" t="n"/>
      <c r="F1767" s="41" t="n"/>
      <c r="G1767" s="41" t="n"/>
      <c r="H1767" s="41" t="n"/>
      <c r="I1767" s="41" t="n"/>
      <c r="J1767" s="47" t="n"/>
      <c r="K1767" s="41" t="n"/>
      <c r="L1767" s="48" t="n"/>
      <c r="M1767" s="45" t="n"/>
      <c r="N1767" s="39">
        <f>IF($B1767="","",IF(SUMPRODUCT((LISTAS!$O$3:$O$42&lt;&gt;"")*ISNUMBER(SEARCH(LISTAS!$O$3:$O$42,$I1767&amp;" "&amp;$K1767)))&gt;0,"CERCANA","NACIONAL"))</f>
        <v/>
      </c>
      <c r="O1767" s="39">
        <f>IF($B1767="","",IF(COUNTIFS(NOVEDADES!$C$4:$C$2003,$B1767)=0,"—","SÍ ("&amp;COUNTIFS(NOVEDADES!$C$4:$C$2003,$B1767)&amp;")"))</f>
        <v/>
      </c>
    </row>
    <row r="1768">
      <c r="A1768" s="41" t="n"/>
      <c r="B1768" s="41" t="n"/>
      <c r="C1768" s="41" t="n"/>
      <c r="D1768" s="41" t="n"/>
      <c r="E1768" s="46" t="n"/>
      <c r="F1768" s="41" t="n"/>
      <c r="G1768" s="41" t="n"/>
      <c r="H1768" s="41" t="n"/>
      <c r="I1768" s="41" t="n"/>
      <c r="J1768" s="47" t="n"/>
      <c r="K1768" s="41" t="n"/>
      <c r="L1768" s="48" t="n"/>
      <c r="M1768" s="45" t="n"/>
      <c r="N1768" s="39">
        <f>IF($B1768="","",IF(SUMPRODUCT((LISTAS!$O$3:$O$42&lt;&gt;"")*ISNUMBER(SEARCH(LISTAS!$O$3:$O$42,$I1768&amp;" "&amp;$K1768)))&gt;0,"CERCANA","NACIONAL"))</f>
        <v/>
      </c>
      <c r="O1768" s="39">
        <f>IF($B1768="","",IF(COUNTIFS(NOVEDADES!$C$4:$C$2003,$B1768)=0,"—","SÍ ("&amp;COUNTIFS(NOVEDADES!$C$4:$C$2003,$B1768)&amp;")"))</f>
        <v/>
      </c>
    </row>
    <row r="1769">
      <c r="A1769" s="41" t="n"/>
      <c r="B1769" s="41" t="n"/>
      <c r="C1769" s="41" t="n"/>
      <c r="D1769" s="41" t="n"/>
      <c r="E1769" s="46" t="n"/>
      <c r="F1769" s="41" t="n"/>
      <c r="G1769" s="41" t="n"/>
      <c r="H1769" s="41" t="n"/>
      <c r="I1769" s="41" t="n"/>
      <c r="J1769" s="47" t="n"/>
      <c r="K1769" s="41" t="n"/>
      <c r="L1769" s="48" t="n"/>
      <c r="M1769" s="45" t="n"/>
      <c r="N1769" s="39">
        <f>IF($B1769="","",IF(SUMPRODUCT((LISTAS!$O$3:$O$42&lt;&gt;"")*ISNUMBER(SEARCH(LISTAS!$O$3:$O$42,$I1769&amp;" "&amp;$K1769)))&gt;0,"CERCANA","NACIONAL"))</f>
        <v/>
      </c>
      <c r="O1769" s="39">
        <f>IF($B1769="","",IF(COUNTIFS(NOVEDADES!$C$4:$C$2003,$B1769)=0,"—","SÍ ("&amp;COUNTIFS(NOVEDADES!$C$4:$C$2003,$B1769)&amp;")"))</f>
        <v/>
      </c>
    </row>
    <row r="1770">
      <c r="A1770" s="41" t="n"/>
      <c r="B1770" s="41" t="n"/>
      <c r="C1770" s="41" t="n"/>
      <c r="D1770" s="41" t="n"/>
      <c r="E1770" s="46" t="n"/>
      <c r="F1770" s="41" t="n"/>
      <c r="G1770" s="41" t="n"/>
      <c r="H1770" s="41" t="n"/>
      <c r="I1770" s="41" t="n"/>
      <c r="J1770" s="47" t="n"/>
      <c r="K1770" s="41" t="n"/>
      <c r="L1770" s="48" t="n"/>
      <c r="M1770" s="45" t="n"/>
      <c r="N1770" s="39">
        <f>IF($B1770="","",IF(SUMPRODUCT((LISTAS!$O$3:$O$42&lt;&gt;"")*ISNUMBER(SEARCH(LISTAS!$O$3:$O$42,$I1770&amp;" "&amp;$K1770)))&gt;0,"CERCANA","NACIONAL"))</f>
        <v/>
      </c>
      <c r="O1770" s="39">
        <f>IF($B1770="","",IF(COUNTIFS(NOVEDADES!$C$4:$C$2003,$B1770)=0,"—","SÍ ("&amp;COUNTIFS(NOVEDADES!$C$4:$C$2003,$B1770)&amp;")"))</f>
        <v/>
      </c>
    </row>
    <row r="1771">
      <c r="A1771" s="41" t="n"/>
      <c r="B1771" s="41" t="n"/>
      <c r="C1771" s="41" t="n"/>
      <c r="D1771" s="41" t="n"/>
      <c r="E1771" s="46" t="n"/>
      <c r="F1771" s="41" t="n"/>
      <c r="G1771" s="41" t="n"/>
      <c r="H1771" s="41" t="n"/>
      <c r="I1771" s="41" t="n"/>
      <c r="J1771" s="47" t="n"/>
      <c r="K1771" s="41" t="n"/>
      <c r="L1771" s="48" t="n"/>
      <c r="M1771" s="45" t="n"/>
      <c r="N1771" s="39">
        <f>IF($B1771="","",IF(SUMPRODUCT((LISTAS!$O$3:$O$42&lt;&gt;"")*ISNUMBER(SEARCH(LISTAS!$O$3:$O$42,$I1771&amp;" "&amp;$K1771)))&gt;0,"CERCANA","NACIONAL"))</f>
        <v/>
      </c>
      <c r="O1771" s="39">
        <f>IF($B1771="","",IF(COUNTIFS(NOVEDADES!$C$4:$C$2003,$B1771)=0,"—","SÍ ("&amp;COUNTIFS(NOVEDADES!$C$4:$C$2003,$B1771)&amp;")"))</f>
        <v/>
      </c>
    </row>
    <row r="1772">
      <c r="A1772" s="41" t="n"/>
      <c r="B1772" s="41" t="n"/>
      <c r="C1772" s="41" t="n"/>
      <c r="D1772" s="41" t="n"/>
      <c r="E1772" s="46" t="n"/>
      <c r="F1772" s="41" t="n"/>
      <c r="G1772" s="41" t="n"/>
      <c r="H1772" s="41" t="n"/>
      <c r="I1772" s="41" t="n"/>
      <c r="J1772" s="47" t="n"/>
      <c r="K1772" s="41" t="n"/>
      <c r="L1772" s="48" t="n"/>
      <c r="M1772" s="45" t="n"/>
      <c r="N1772" s="39">
        <f>IF($B1772="","",IF(SUMPRODUCT((LISTAS!$O$3:$O$42&lt;&gt;"")*ISNUMBER(SEARCH(LISTAS!$O$3:$O$42,$I1772&amp;" "&amp;$K1772)))&gt;0,"CERCANA","NACIONAL"))</f>
        <v/>
      </c>
      <c r="O1772" s="39">
        <f>IF($B1772="","",IF(COUNTIFS(NOVEDADES!$C$4:$C$2003,$B1772)=0,"—","SÍ ("&amp;COUNTIFS(NOVEDADES!$C$4:$C$2003,$B1772)&amp;")"))</f>
        <v/>
      </c>
    </row>
    <row r="1773">
      <c r="A1773" s="41" t="n"/>
      <c r="B1773" s="41" t="n"/>
      <c r="C1773" s="41" t="n"/>
      <c r="D1773" s="41" t="n"/>
      <c r="E1773" s="46" t="n"/>
      <c r="F1773" s="41" t="n"/>
      <c r="G1773" s="41" t="n"/>
      <c r="H1773" s="41" t="n"/>
      <c r="I1773" s="41" t="n"/>
      <c r="J1773" s="47" t="n"/>
      <c r="K1773" s="41" t="n"/>
      <c r="L1773" s="48" t="n"/>
      <c r="M1773" s="45" t="n"/>
      <c r="N1773" s="39">
        <f>IF($B1773="","",IF(SUMPRODUCT((LISTAS!$O$3:$O$42&lt;&gt;"")*ISNUMBER(SEARCH(LISTAS!$O$3:$O$42,$I1773&amp;" "&amp;$K1773)))&gt;0,"CERCANA","NACIONAL"))</f>
        <v/>
      </c>
      <c r="O1773" s="39">
        <f>IF($B1773="","",IF(COUNTIFS(NOVEDADES!$C$4:$C$2003,$B1773)=0,"—","SÍ ("&amp;COUNTIFS(NOVEDADES!$C$4:$C$2003,$B1773)&amp;")"))</f>
        <v/>
      </c>
    </row>
    <row r="1774">
      <c r="A1774" s="41" t="n"/>
      <c r="B1774" s="41" t="n"/>
      <c r="C1774" s="41" t="n"/>
      <c r="D1774" s="41" t="n"/>
      <c r="E1774" s="46" t="n"/>
      <c r="F1774" s="41" t="n"/>
      <c r="G1774" s="41" t="n"/>
      <c r="H1774" s="41" t="n"/>
      <c r="I1774" s="41" t="n"/>
      <c r="J1774" s="47" t="n"/>
      <c r="K1774" s="41" t="n"/>
      <c r="L1774" s="48" t="n"/>
      <c r="M1774" s="45" t="n"/>
      <c r="N1774" s="39">
        <f>IF($B1774="","",IF(SUMPRODUCT((LISTAS!$O$3:$O$42&lt;&gt;"")*ISNUMBER(SEARCH(LISTAS!$O$3:$O$42,$I1774&amp;" "&amp;$K1774)))&gt;0,"CERCANA","NACIONAL"))</f>
        <v/>
      </c>
      <c r="O1774" s="39">
        <f>IF($B1774="","",IF(COUNTIFS(NOVEDADES!$C$4:$C$2003,$B1774)=0,"—","SÍ ("&amp;COUNTIFS(NOVEDADES!$C$4:$C$2003,$B1774)&amp;")"))</f>
        <v/>
      </c>
    </row>
    <row r="1775">
      <c r="A1775" s="41" t="n"/>
      <c r="B1775" s="41" t="n"/>
      <c r="C1775" s="41" t="n"/>
      <c r="D1775" s="41" t="n"/>
      <c r="E1775" s="46" t="n"/>
      <c r="F1775" s="41" t="n"/>
      <c r="G1775" s="41" t="n"/>
      <c r="H1775" s="41" t="n"/>
      <c r="I1775" s="41" t="n"/>
      <c r="J1775" s="47" t="n"/>
      <c r="K1775" s="41" t="n"/>
      <c r="L1775" s="48" t="n"/>
      <c r="M1775" s="45" t="n"/>
      <c r="N1775" s="39">
        <f>IF($B1775="","",IF(SUMPRODUCT((LISTAS!$O$3:$O$42&lt;&gt;"")*ISNUMBER(SEARCH(LISTAS!$O$3:$O$42,$I1775&amp;" "&amp;$K1775)))&gt;0,"CERCANA","NACIONAL"))</f>
        <v/>
      </c>
      <c r="O1775" s="39">
        <f>IF($B1775="","",IF(COUNTIFS(NOVEDADES!$C$4:$C$2003,$B1775)=0,"—","SÍ ("&amp;COUNTIFS(NOVEDADES!$C$4:$C$2003,$B1775)&amp;")"))</f>
        <v/>
      </c>
    </row>
    <row r="1776">
      <c r="A1776" s="41" t="n"/>
      <c r="B1776" s="41" t="n"/>
      <c r="C1776" s="41" t="n"/>
      <c r="D1776" s="41" t="n"/>
      <c r="E1776" s="46" t="n"/>
      <c r="F1776" s="41" t="n"/>
      <c r="G1776" s="41" t="n"/>
      <c r="H1776" s="41" t="n"/>
      <c r="I1776" s="41" t="n"/>
      <c r="J1776" s="47" t="n"/>
      <c r="K1776" s="41" t="n"/>
      <c r="L1776" s="48" t="n"/>
      <c r="M1776" s="45" t="n"/>
      <c r="N1776" s="39">
        <f>IF($B1776="","",IF(SUMPRODUCT((LISTAS!$O$3:$O$42&lt;&gt;"")*ISNUMBER(SEARCH(LISTAS!$O$3:$O$42,$I1776&amp;" "&amp;$K1776)))&gt;0,"CERCANA","NACIONAL"))</f>
        <v/>
      </c>
      <c r="O1776" s="39">
        <f>IF($B1776="","",IF(COUNTIFS(NOVEDADES!$C$4:$C$2003,$B1776)=0,"—","SÍ ("&amp;COUNTIFS(NOVEDADES!$C$4:$C$2003,$B1776)&amp;")"))</f>
        <v/>
      </c>
    </row>
    <row r="1777">
      <c r="A1777" s="41" t="n"/>
      <c r="B1777" s="41" t="n"/>
      <c r="C1777" s="41" t="n"/>
      <c r="D1777" s="41" t="n"/>
      <c r="E1777" s="46" t="n"/>
      <c r="F1777" s="41" t="n"/>
      <c r="G1777" s="41" t="n"/>
      <c r="H1777" s="41" t="n"/>
      <c r="I1777" s="41" t="n"/>
      <c r="J1777" s="47" t="n"/>
      <c r="K1777" s="41" t="n"/>
      <c r="L1777" s="48" t="n"/>
      <c r="M1777" s="45" t="n"/>
      <c r="N1777" s="39">
        <f>IF($B1777="","",IF(SUMPRODUCT((LISTAS!$O$3:$O$42&lt;&gt;"")*ISNUMBER(SEARCH(LISTAS!$O$3:$O$42,$I1777&amp;" "&amp;$K1777)))&gt;0,"CERCANA","NACIONAL"))</f>
        <v/>
      </c>
      <c r="O1777" s="39">
        <f>IF($B1777="","",IF(COUNTIFS(NOVEDADES!$C$4:$C$2003,$B1777)=0,"—","SÍ ("&amp;COUNTIFS(NOVEDADES!$C$4:$C$2003,$B1777)&amp;")"))</f>
        <v/>
      </c>
    </row>
    <row r="1778">
      <c r="A1778" s="41" t="n"/>
      <c r="B1778" s="41" t="n"/>
      <c r="C1778" s="41" t="n"/>
      <c r="D1778" s="41" t="n"/>
      <c r="E1778" s="46" t="n"/>
      <c r="F1778" s="41" t="n"/>
      <c r="G1778" s="41" t="n"/>
      <c r="H1778" s="41" t="n"/>
      <c r="I1778" s="41" t="n"/>
      <c r="J1778" s="47" t="n"/>
      <c r="K1778" s="41" t="n"/>
      <c r="L1778" s="48" t="n"/>
      <c r="M1778" s="45" t="n"/>
      <c r="N1778" s="39">
        <f>IF($B1778="","",IF(SUMPRODUCT((LISTAS!$O$3:$O$42&lt;&gt;"")*ISNUMBER(SEARCH(LISTAS!$O$3:$O$42,$I1778&amp;" "&amp;$K1778)))&gt;0,"CERCANA","NACIONAL"))</f>
        <v/>
      </c>
      <c r="O1778" s="39">
        <f>IF($B1778="","",IF(COUNTIFS(NOVEDADES!$C$4:$C$2003,$B1778)=0,"—","SÍ ("&amp;COUNTIFS(NOVEDADES!$C$4:$C$2003,$B1778)&amp;")"))</f>
        <v/>
      </c>
    </row>
    <row r="1779">
      <c r="A1779" s="41" t="n"/>
      <c r="B1779" s="41" t="n"/>
      <c r="C1779" s="41" t="n"/>
      <c r="D1779" s="41" t="n"/>
      <c r="E1779" s="46" t="n"/>
      <c r="F1779" s="41" t="n"/>
      <c r="G1779" s="41" t="n"/>
      <c r="H1779" s="41" t="n"/>
      <c r="I1779" s="41" t="n"/>
      <c r="J1779" s="47" t="n"/>
      <c r="K1779" s="41" t="n"/>
      <c r="L1779" s="48" t="n"/>
      <c r="M1779" s="45" t="n"/>
      <c r="N1779" s="39">
        <f>IF($B1779="","",IF(SUMPRODUCT((LISTAS!$O$3:$O$42&lt;&gt;"")*ISNUMBER(SEARCH(LISTAS!$O$3:$O$42,$I1779&amp;" "&amp;$K1779)))&gt;0,"CERCANA","NACIONAL"))</f>
        <v/>
      </c>
      <c r="O1779" s="39">
        <f>IF($B1779="","",IF(COUNTIFS(NOVEDADES!$C$4:$C$2003,$B1779)=0,"—","SÍ ("&amp;COUNTIFS(NOVEDADES!$C$4:$C$2003,$B1779)&amp;")"))</f>
        <v/>
      </c>
    </row>
    <row r="1780">
      <c r="A1780" s="41" t="n"/>
      <c r="B1780" s="41" t="n"/>
      <c r="C1780" s="41" t="n"/>
      <c r="D1780" s="41" t="n"/>
      <c r="E1780" s="46" t="n"/>
      <c r="F1780" s="41" t="n"/>
      <c r="G1780" s="41" t="n"/>
      <c r="H1780" s="41" t="n"/>
      <c r="I1780" s="41" t="n"/>
      <c r="J1780" s="47" t="n"/>
      <c r="K1780" s="41" t="n"/>
      <c r="L1780" s="48" t="n"/>
      <c r="M1780" s="45" t="n"/>
      <c r="N1780" s="39">
        <f>IF($B1780="","",IF(SUMPRODUCT((LISTAS!$O$3:$O$42&lt;&gt;"")*ISNUMBER(SEARCH(LISTAS!$O$3:$O$42,$I1780&amp;" "&amp;$K1780)))&gt;0,"CERCANA","NACIONAL"))</f>
        <v/>
      </c>
      <c r="O1780" s="39">
        <f>IF($B1780="","",IF(COUNTIFS(NOVEDADES!$C$4:$C$2003,$B1780)=0,"—","SÍ ("&amp;COUNTIFS(NOVEDADES!$C$4:$C$2003,$B1780)&amp;")"))</f>
        <v/>
      </c>
    </row>
    <row r="1781">
      <c r="A1781" s="41" t="n"/>
      <c r="B1781" s="41" t="n"/>
      <c r="C1781" s="41" t="n"/>
      <c r="D1781" s="41" t="n"/>
      <c r="E1781" s="46" t="n"/>
      <c r="F1781" s="41" t="n"/>
      <c r="G1781" s="41" t="n"/>
      <c r="H1781" s="41" t="n"/>
      <c r="I1781" s="41" t="n"/>
      <c r="J1781" s="47" t="n"/>
      <c r="K1781" s="41" t="n"/>
      <c r="L1781" s="48" t="n"/>
      <c r="M1781" s="45" t="n"/>
      <c r="N1781" s="39">
        <f>IF($B1781="","",IF(SUMPRODUCT((LISTAS!$O$3:$O$42&lt;&gt;"")*ISNUMBER(SEARCH(LISTAS!$O$3:$O$42,$I1781&amp;" "&amp;$K1781)))&gt;0,"CERCANA","NACIONAL"))</f>
        <v/>
      </c>
      <c r="O1781" s="39">
        <f>IF($B1781="","",IF(COUNTIFS(NOVEDADES!$C$4:$C$2003,$B1781)=0,"—","SÍ ("&amp;COUNTIFS(NOVEDADES!$C$4:$C$2003,$B1781)&amp;")"))</f>
        <v/>
      </c>
    </row>
    <row r="1782">
      <c r="A1782" s="41" t="n"/>
      <c r="B1782" s="41" t="n"/>
      <c r="C1782" s="41" t="n"/>
      <c r="D1782" s="41" t="n"/>
      <c r="E1782" s="46" t="n"/>
      <c r="F1782" s="41" t="n"/>
      <c r="G1782" s="41" t="n"/>
      <c r="H1782" s="41" t="n"/>
      <c r="I1782" s="41" t="n"/>
      <c r="J1782" s="47" t="n"/>
      <c r="K1782" s="41" t="n"/>
      <c r="L1782" s="48" t="n"/>
      <c r="M1782" s="45" t="n"/>
      <c r="N1782" s="39">
        <f>IF($B1782="","",IF(SUMPRODUCT((LISTAS!$O$3:$O$42&lt;&gt;"")*ISNUMBER(SEARCH(LISTAS!$O$3:$O$42,$I1782&amp;" "&amp;$K1782)))&gt;0,"CERCANA","NACIONAL"))</f>
        <v/>
      </c>
      <c r="O1782" s="39">
        <f>IF($B1782="","",IF(COUNTIFS(NOVEDADES!$C$4:$C$2003,$B1782)=0,"—","SÍ ("&amp;COUNTIFS(NOVEDADES!$C$4:$C$2003,$B1782)&amp;")"))</f>
        <v/>
      </c>
    </row>
    <row r="1783">
      <c r="A1783" s="41" t="n"/>
      <c r="B1783" s="41" t="n"/>
      <c r="C1783" s="41" t="n"/>
      <c r="D1783" s="41" t="n"/>
      <c r="E1783" s="46" t="n"/>
      <c r="F1783" s="41" t="n"/>
      <c r="G1783" s="41" t="n"/>
      <c r="H1783" s="41" t="n"/>
      <c r="I1783" s="41" t="n"/>
      <c r="J1783" s="47" t="n"/>
      <c r="K1783" s="41" t="n"/>
      <c r="L1783" s="48" t="n"/>
      <c r="M1783" s="45" t="n"/>
      <c r="N1783" s="39">
        <f>IF($B1783="","",IF(SUMPRODUCT((LISTAS!$O$3:$O$42&lt;&gt;"")*ISNUMBER(SEARCH(LISTAS!$O$3:$O$42,$I1783&amp;" "&amp;$K1783)))&gt;0,"CERCANA","NACIONAL"))</f>
        <v/>
      </c>
      <c r="O1783" s="39">
        <f>IF($B1783="","",IF(COUNTIFS(NOVEDADES!$C$4:$C$2003,$B1783)=0,"—","SÍ ("&amp;COUNTIFS(NOVEDADES!$C$4:$C$2003,$B1783)&amp;")"))</f>
        <v/>
      </c>
    </row>
    <row r="1784">
      <c r="A1784" s="41" t="n"/>
      <c r="B1784" s="41" t="n"/>
      <c r="C1784" s="41" t="n"/>
      <c r="D1784" s="41" t="n"/>
      <c r="E1784" s="46" t="n"/>
      <c r="F1784" s="41" t="n"/>
      <c r="G1784" s="41" t="n"/>
      <c r="H1784" s="41" t="n"/>
      <c r="I1784" s="41" t="n"/>
      <c r="J1784" s="47" t="n"/>
      <c r="K1784" s="41" t="n"/>
      <c r="L1784" s="48" t="n"/>
      <c r="M1784" s="45" t="n"/>
      <c r="N1784" s="39">
        <f>IF($B1784="","",IF(SUMPRODUCT((LISTAS!$O$3:$O$42&lt;&gt;"")*ISNUMBER(SEARCH(LISTAS!$O$3:$O$42,$I1784&amp;" "&amp;$K1784)))&gt;0,"CERCANA","NACIONAL"))</f>
        <v/>
      </c>
      <c r="O1784" s="39">
        <f>IF($B1784="","",IF(COUNTIFS(NOVEDADES!$C$4:$C$2003,$B1784)=0,"—","SÍ ("&amp;COUNTIFS(NOVEDADES!$C$4:$C$2003,$B1784)&amp;")"))</f>
        <v/>
      </c>
    </row>
    <row r="1785">
      <c r="A1785" s="41" t="n"/>
      <c r="B1785" s="41" t="n"/>
      <c r="C1785" s="41" t="n"/>
      <c r="D1785" s="41" t="n"/>
      <c r="E1785" s="46" t="n"/>
      <c r="F1785" s="41" t="n"/>
      <c r="G1785" s="41" t="n"/>
      <c r="H1785" s="41" t="n"/>
      <c r="I1785" s="41" t="n"/>
      <c r="J1785" s="47" t="n"/>
      <c r="K1785" s="41" t="n"/>
      <c r="L1785" s="48" t="n"/>
      <c r="M1785" s="45" t="n"/>
      <c r="N1785" s="39">
        <f>IF($B1785="","",IF(SUMPRODUCT((LISTAS!$O$3:$O$42&lt;&gt;"")*ISNUMBER(SEARCH(LISTAS!$O$3:$O$42,$I1785&amp;" "&amp;$K1785)))&gt;0,"CERCANA","NACIONAL"))</f>
        <v/>
      </c>
      <c r="O1785" s="39">
        <f>IF($B1785="","",IF(COUNTIFS(NOVEDADES!$C$4:$C$2003,$B1785)=0,"—","SÍ ("&amp;COUNTIFS(NOVEDADES!$C$4:$C$2003,$B1785)&amp;")"))</f>
        <v/>
      </c>
    </row>
    <row r="1786">
      <c r="A1786" s="41" t="n"/>
      <c r="B1786" s="41" t="n"/>
      <c r="C1786" s="41" t="n"/>
      <c r="D1786" s="41" t="n"/>
      <c r="E1786" s="46" t="n"/>
      <c r="F1786" s="41" t="n"/>
      <c r="G1786" s="41" t="n"/>
      <c r="H1786" s="41" t="n"/>
      <c r="I1786" s="41" t="n"/>
      <c r="J1786" s="47" t="n"/>
      <c r="K1786" s="41" t="n"/>
      <c r="L1786" s="48" t="n"/>
      <c r="M1786" s="45" t="n"/>
      <c r="N1786" s="39">
        <f>IF($B1786="","",IF(SUMPRODUCT((LISTAS!$O$3:$O$42&lt;&gt;"")*ISNUMBER(SEARCH(LISTAS!$O$3:$O$42,$I1786&amp;" "&amp;$K1786)))&gt;0,"CERCANA","NACIONAL"))</f>
        <v/>
      </c>
      <c r="O1786" s="39">
        <f>IF($B1786="","",IF(COUNTIFS(NOVEDADES!$C$4:$C$2003,$B1786)=0,"—","SÍ ("&amp;COUNTIFS(NOVEDADES!$C$4:$C$2003,$B1786)&amp;")"))</f>
        <v/>
      </c>
    </row>
    <row r="1787">
      <c r="A1787" s="41" t="n"/>
      <c r="B1787" s="41" t="n"/>
      <c r="C1787" s="41" t="n"/>
      <c r="D1787" s="41" t="n"/>
      <c r="E1787" s="46" t="n"/>
      <c r="F1787" s="41" t="n"/>
      <c r="G1787" s="41" t="n"/>
      <c r="H1787" s="41" t="n"/>
      <c r="I1787" s="41" t="n"/>
      <c r="J1787" s="47" t="n"/>
      <c r="K1787" s="41" t="n"/>
      <c r="L1787" s="48" t="n"/>
      <c r="M1787" s="45" t="n"/>
      <c r="N1787" s="39">
        <f>IF($B1787="","",IF(SUMPRODUCT((LISTAS!$O$3:$O$42&lt;&gt;"")*ISNUMBER(SEARCH(LISTAS!$O$3:$O$42,$I1787&amp;" "&amp;$K1787)))&gt;0,"CERCANA","NACIONAL"))</f>
        <v/>
      </c>
      <c r="O1787" s="39">
        <f>IF($B1787="","",IF(COUNTIFS(NOVEDADES!$C$4:$C$2003,$B1787)=0,"—","SÍ ("&amp;COUNTIFS(NOVEDADES!$C$4:$C$2003,$B1787)&amp;")"))</f>
        <v/>
      </c>
    </row>
    <row r="1788">
      <c r="A1788" s="41" t="n"/>
      <c r="B1788" s="41" t="n"/>
      <c r="C1788" s="41" t="n"/>
      <c r="D1788" s="41" t="n"/>
      <c r="E1788" s="46" t="n"/>
      <c r="F1788" s="41" t="n"/>
      <c r="G1788" s="41" t="n"/>
      <c r="H1788" s="41" t="n"/>
      <c r="I1788" s="41" t="n"/>
      <c r="J1788" s="47" t="n"/>
      <c r="K1788" s="41" t="n"/>
      <c r="L1788" s="48" t="n"/>
      <c r="M1788" s="45" t="n"/>
      <c r="N1788" s="39">
        <f>IF($B1788="","",IF(SUMPRODUCT((LISTAS!$O$3:$O$42&lt;&gt;"")*ISNUMBER(SEARCH(LISTAS!$O$3:$O$42,$I1788&amp;" "&amp;$K1788)))&gt;0,"CERCANA","NACIONAL"))</f>
        <v/>
      </c>
      <c r="O1788" s="39">
        <f>IF($B1788="","",IF(COUNTIFS(NOVEDADES!$C$4:$C$2003,$B1788)=0,"—","SÍ ("&amp;COUNTIFS(NOVEDADES!$C$4:$C$2003,$B1788)&amp;")"))</f>
        <v/>
      </c>
    </row>
    <row r="1789">
      <c r="A1789" s="41" t="n"/>
      <c r="B1789" s="41" t="n"/>
      <c r="C1789" s="41" t="n"/>
      <c r="D1789" s="41" t="n"/>
      <c r="E1789" s="46" t="n"/>
      <c r="F1789" s="41" t="n"/>
      <c r="G1789" s="41" t="n"/>
      <c r="H1789" s="41" t="n"/>
      <c r="I1789" s="41" t="n"/>
      <c r="J1789" s="47" t="n"/>
      <c r="K1789" s="41" t="n"/>
      <c r="L1789" s="48" t="n"/>
      <c r="M1789" s="45" t="n"/>
      <c r="N1789" s="39">
        <f>IF($B1789="","",IF(SUMPRODUCT((LISTAS!$O$3:$O$42&lt;&gt;"")*ISNUMBER(SEARCH(LISTAS!$O$3:$O$42,$I1789&amp;" "&amp;$K1789)))&gt;0,"CERCANA","NACIONAL"))</f>
        <v/>
      </c>
      <c r="O1789" s="39">
        <f>IF($B1789="","",IF(COUNTIFS(NOVEDADES!$C$4:$C$2003,$B1789)=0,"—","SÍ ("&amp;COUNTIFS(NOVEDADES!$C$4:$C$2003,$B1789)&amp;")"))</f>
        <v/>
      </c>
    </row>
    <row r="1790">
      <c r="A1790" s="41" t="n"/>
      <c r="B1790" s="41" t="n"/>
      <c r="C1790" s="41" t="n"/>
      <c r="D1790" s="41" t="n"/>
      <c r="E1790" s="46" t="n"/>
      <c r="F1790" s="41" t="n"/>
      <c r="G1790" s="41" t="n"/>
      <c r="H1790" s="41" t="n"/>
      <c r="I1790" s="41" t="n"/>
      <c r="J1790" s="47" t="n"/>
      <c r="K1790" s="41" t="n"/>
      <c r="L1790" s="48" t="n"/>
      <c r="M1790" s="45" t="n"/>
      <c r="N1790" s="39">
        <f>IF($B1790="","",IF(SUMPRODUCT((LISTAS!$O$3:$O$42&lt;&gt;"")*ISNUMBER(SEARCH(LISTAS!$O$3:$O$42,$I1790&amp;" "&amp;$K1790)))&gt;0,"CERCANA","NACIONAL"))</f>
        <v/>
      </c>
      <c r="O1790" s="39">
        <f>IF($B1790="","",IF(COUNTIFS(NOVEDADES!$C$4:$C$2003,$B1790)=0,"—","SÍ ("&amp;COUNTIFS(NOVEDADES!$C$4:$C$2003,$B1790)&amp;")"))</f>
        <v/>
      </c>
    </row>
    <row r="1791">
      <c r="A1791" s="41" t="n"/>
      <c r="B1791" s="41" t="n"/>
      <c r="C1791" s="41" t="n"/>
      <c r="D1791" s="41" t="n"/>
      <c r="E1791" s="46" t="n"/>
      <c r="F1791" s="41" t="n"/>
      <c r="G1791" s="41" t="n"/>
      <c r="H1791" s="41" t="n"/>
      <c r="I1791" s="41" t="n"/>
      <c r="J1791" s="47" t="n"/>
      <c r="K1791" s="41" t="n"/>
      <c r="L1791" s="48" t="n"/>
      <c r="M1791" s="45" t="n"/>
      <c r="N1791" s="39">
        <f>IF($B1791="","",IF(SUMPRODUCT((LISTAS!$O$3:$O$42&lt;&gt;"")*ISNUMBER(SEARCH(LISTAS!$O$3:$O$42,$I1791&amp;" "&amp;$K1791)))&gt;0,"CERCANA","NACIONAL"))</f>
        <v/>
      </c>
      <c r="O1791" s="39">
        <f>IF($B1791="","",IF(COUNTIFS(NOVEDADES!$C$4:$C$2003,$B1791)=0,"—","SÍ ("&amp;COUNTIFS(NOVEDADES!$C$4:$C$2003,$B1791)&amp;")"))</f>
        <v/>
      </c>
    </row>
    <row r="1792">
      <c r="A1792" s="41" t="n"/>
      <c r="B1792" s="41" t="n"/>
      <c r="C1792" s="41" t="n"/>
      <c r="D1792" s="41" t="n"/>
      <c r="E1792" s="46" t="n"/>
      <c r="F1792" s="41" t="n"/>
      <c r="G1792" s="41" t="n"/>
      <c r="H1792" s="41" t="n"/>
      <c r="I1792" s="41" t="n"/>
      <c r="J1792" s="47" t="n"/>
      <c r="K1792" s="41" t="n"/>
      <c r="L1792" s="48" t="n"/>
      <c r="M1792" s="45" t="n"/>
      <c r="N1792" s="39">
        <f>IF($B1792="","",IF(SUMPRODUCT((LISTAS!$O$3:$O$42&lt;&gt;"")*ISNUMBER(SEARCH(LISTAS!$O$3:$O$42,$I1792&amp;" "&amp;$K1792)))&gt;0,"CERCANA","NACIONAL"))</f>
        <v/>
      </c>
      <c r="O1792" s="39">
        <f>IF($B1792="","",IF(COUNTIFS(NOVEDADES!$C$4:$C$2003,$B1792)=0,"—","SÍ ("&amp;COUNTIFS(NOVEDADES!$C$4:$C$2003,$B1792)&amp;")"))</f>
        <v/>
      </c>
    </row>
    <row r="1793">
      <c r="A1793" s="41" t="n"/>
      <c r="B1793" s="41" t="n"/>
      <c r="C1793" s="41" t="n"/>
      <c r="D1793" s="41" t="n"/>
      <c r="E1793" s="46" t="n"/>
      <c r="F1793" s="41" t="n"/>
      <c r="G1793" s="41" t="n"/>
      <c r="H1793" s="41" t="n"/>
      <c r="I1793" s="41" t="n"/>
      <c r="J1793" s="47" t="n"/>
      <c r="K1793" s="41" t="n"/>
      <c r="L1793" s="48" t="n"/>
      <c r="M1793" s="45" t="n"/>
      <c r="N1793" s="39">
        <f>IF($B1793="","",IF(SUMPRODUCT((LISTAS!$O$3:$O$42&lt;&gt;"")*ISNUMBER(SEARCH(LISTAS!$O$3:$O$42,$I1793&amp;" "&amp;$K1793)))&gt;0,"CERCANA","NACIONAL"))</f>
        <v/>
      </c>
      <c r="O1793" s="39">
        <f>IF($B1793="","",IF(COUNTIFS(NOVEDADES!$C$4:$C$2003,$B1793)=0,"—","SÍ ("&amp;COUNTIFS(NOVEDADES!$C$4:$C$2003,$B1793)&amp;")"))</f>
        <v/>
      </c>
    </row>
    <row r="1794">
      <c r="A1794" s="41" t="n"/>
      <c r="B1794" s="41" t="n"/>
      <c r="C1794" s="41" t="n"/>
      <c r="D1794" s="41" t="n"/>
      <c r="E1794" s="46" t="n"/>
      <c r="F1794" s="41" t="n"/>
      <c r="G1794" s="41" t="n"/>
      <c r="H1794" s="41" t="n"/>
      <c r="I1794" s="41" t="n"/>
      <c r="J1794" s="47" t="n"/>
      <c r="K1794" s="41" t="n"/>
      <c r="L1794" s="48" t="n"/>
      <c r="M1794" s="45" t="n"/>
      <c r="N1794" s="39">
        <f>IF($B1794="","",IF(SUMPRODUCT((LISTAS!$O$3:$O$42&lt;&gt;"")*ISNUMBER(SEARCH(LISTAS!$O$3:$O$42,$I1794&amp;" "&amp;$K1794)))&gt;0,"CERCANA","NACIONAL"))</f>
        <v/>
      </c>
      <c r="O1794" s="39">
        <f>IF($B1794="","",IF(COUNTIFS(NOVEDADES!$C$4:$C$2003,$B1794)=0,"—","SÍ ("&amp;COUNTIFS(NOVEDADES!$C$4:$C$2003,$B1794)&amp;")"))</f>
        <v/>
      </c>
    </row>
    <row r="1795">
      <c r="A1795" s="41" t="n"/>
      <c r="B1795" s="41" t="n"/>
      <c r="C1795" s="41" t="n"/>
      <c r="D1795" s="41" t="n"/>
      <c r="E1795" s="46" t="n"/>
      <c r="F1795" s="41" t="n"/>
      <c r="G1795" s="41" t="n"/>
      <c r="H1795" s="41" t="n"/>
      <c r="I1795" s="41" t="n"/>
      <c r="J1795" s="47" t="n"/>
      <c r="K1795" s="41" t="n"/>
      <c r="L1795" s="48" t="n"/>
      <c r="M1795" s="45" t="n"/>
      <c r="N1795" s="39">
        <f>IF($B1795="","",IF(SUMPRODUCT((LISTAS!$O$3:$O$42&lt;&gt;"")*ISNUMBER(SEARCH(LISTAS!$O$3:$O$42,$I1795&amp;" "&amp;$K1795)))&gt;0,"CERCANA","NACIONAL"))</f>
        <v/>
      </c>
      <c r="O1795" s="39">
        <f>IF($B1795="","",IF(COUNTIFS(NOVEDADES!$C$4:$C$2003,$B1795)=0,"—","SÍ ("&amp;COUNTIFS(NOVEDADES!$C$4:$C$2003,$B1795)&amp;")"))</f>
        <v/>
      </c>
    </row>
    <row r="1796">
      <c r="A1796" s="41" t="n"/>
      <c r="B1796" s="41" t="n"/>
      <c r="C1796" s="41" t="n"/>
      <c r="D1796" s="41" t="n"/>
      <c r="E1796" s="46" t="n"/>
      <c r="F1796" s="41" t="n"/>
      <c r="G1796" s="41" t="n"/>
      <c r="H1796" s="41" t="n"/>
      <c r="I1796" s="41" t="n"/>
      <c r="J1796" s="47" t="n"/>
      <c r="K1796" s="41" t="n"/>
      <c r="L1796" s="48" t="n"/>
      <c r="M1796" s="45" t="n"/>
      <c r="N1796" s="39">
        <f>IF($B1796="","",IF(SUMPRODUCT((LISTAS!$O$3:$O$42&lt;&gt;"")*ISNUMBER(SEARCH(LISTAS!$O$3:$O$42,$I1796&amp;" "&amp;$K1796)))&gt;0,"CERCANA","NACIONAL"))</f>
        <v/>
      </c>
      <c r="O1796" s="39">
        <f>IF($B1796="","",IF(COUNTIFS(NOVEDADES!$C$4:$C$2003,$B1796)=0,"—","SÍ ("&amp;COUNTIFS(NOVEDADES!$C$4:$C$2003,$B1796)&amp;")"))</f>
        <v/>
      </c>
    </row>
    <row r="1797">
      <c r="A1797" s="41" t="n"/>
      <c r="B1797" s="41" t="n"/>
      <c r="C1797" s="41" t="n"/>
      <c r="D1797" s="41" t="n"/>
      <c r="E1797" s="46" t="n"/>
      <c r="F1797" s="41" t="n"/>
      <c r="G1797" s="41" t="n"/>
      <c r="H1797" s="41" t="n"/>
      <c r="I1797" s="41" t="n"/>
      <c r="J1797" s="47" t="n"/>
      <c r="K1797" s="41" t="n"/>
      <c r="L1797" s="48" t="n"/>
      <c r="M1797" s="45" t="n"/>
      <c r="N1797" s="39">
        <f>IF($B1797="","",IF(SUMPRODUCT((LISTAS!$O$3:$O$42&lt;&gt;"")*ISNUMBER(SEARCH(LISTAS!$O$3:$O$42,$I1797&amp;" "&amp;$K1797)))&gt;0,"CERCANA","NACIONAL"))</f>
        <v/>
      </c>
      <c r="O1797" s="39">
        <f>IF($B1797="","",IF(COUNTIFS(NOVEDADES!$C$4:$C$2003,$B1797)=0,"—","SÍ ("&amp;COUNTIFS(NOVEDADES!$C$4:$C$2003,$B1797)&amp;")"))</f>
        <v/>
      </c>
    </row>
    <row r="1798">
      <c r="A1798" s="41" t="n"/>
      <c r="B1798" s="41" t="n"/>
      <c r="C1798" s="41" t="n"/>
      <c r="D1798" s="41" t="n"/>
      <c r="E1798" s="46" t="n"/>
      <c r="F1798" s="41" t="n"/>
      <c r="G1798" s="41" t="n"/>
      <c r="H1798" s="41" t="n"/>
      <c r="I1798" s="41" t="n"/>
      <c r="J1798" s="47" t="n"/>
      <c r="K1798" s="41" t="n"/>
      <c r="L1798" s="48" t="n"/>
      <c r="M1798" s="45" t="n"/>
      <c r="N1798" s="39">
        <f>IF($B1798="","",IF(SUMPRODUCT((LISTAS!$O$3:$O$42&lt;&gt;"")*ISNUMBER(SEARCH(LISTAS!$O$3:$O$42,$I1798&amp;" "&amp;$K1798)))&gt;0,"CERCANA","NACIONAL"))</f>
        <v/>
      </c>
      <c r="O1798" s="39">
        <f>IF($B1798="","",IF(COUNTIFS(NOVEDADES!$C$4:$C$2003,$B1798)=0,"—","SÍ ("&amp;COUNTIFS(NOVEDADES!$C$4:$C$2003,$B1798)&amp;")"))</f>
        <v/>
      </c>
    </row>
    <row r="1799">
      <c r="A1799" s="41" t="n"/>
      <c r="B1799" s="41" t="n"/>
      <c r="C1799" s="41" t="n"/>
      <c r="D1799" s="41" t="n"/>
      <c r="E1799" s="46" t="n"/>
      <c r="F1799" s="41" t="n"/>
      <c r="G1799" s="41" t="n"/>
      <c r="H1799" s="41" t="n"/>
      <c r="I1799" s="41" t="n"/>
      <c r="J1799" s="47" t="n"/>
      <c r="K1799" s="41" t="n"/>
      <c r="L1799" s="48" t="n"/>
      <c r="M1799" s="45" t="n"/>
      <c r="N1799" s="39">
        <f>IF($B1799="","",IF(SUMPRODUCT((LISTAS!$O$3:$O$42&lt;&gt;"")*ISNUMBER(SEARCH(LISTAS!$O$3:$O$42,$I1799&amp;" "&amp;$K1799)))&gt;0,"CERCANA","NACIONAL"))</f>
        <v/>
      </c>
      <c r="O1799" s="39">
        <f>IF($B1799="","",IF(COUNTIFS(NOVEDADES!$C$4:$C$2003,$B1799)=0,"—","SÍ ("&amp;COUNTIFS(NOVEDADES!$C$4:$C$2003,$B1799)&amp;")"))</f>
        <v/>
      </c>
    </row>
    <row r="1800">
      <c r="A1800" s="41" t="n"/>
      <c r="B1800" s="41" t="n"/>
      <c r="C1800" s="41" t="n"/>
      <c r="D1800" s="41" t="n"/>
      <c r="E1800" s="46" t="n"/>
      <c r="F1800" s="41" t="n"/>
      <c r="G1800" s="41" t="n"/>
      <c r="H1800" s="41" t="n"/>
      <c r="I1800" s="41" t="n"/>
      <c r="J1800" s="47" t="n"/>
      <c r="K1800" s="41" t="n"/>
      <c r="L1800" s="48" t="n"/>
      <c r="M1800" s="45" t="n"/>
      <c r="N1800" s="39">
        <f>IF($B1800="","",IF(SUMPRODUCT((LISTAS!$O$3:$O$42&lt;&gt;"")*ISNUMBER(SEARCH(LISTAS!$O$3:$O$42,$I1800&amp;" "&amp;$K1800)))&gt;0,"CERCANA","NACIONAL"))</f>
        <v/>
      </c>
      <c r="O1800" s="39">
        <f>IF($B1800="","",IF(COUNTIFS(NOVEDADES!$C$4:$C$2003,$B1800)=0,"—","SÍ ("&amp;COUNTIFS(NOVEDADES!$C$4:$C$2003,$B1800)&amp;")"))</f>
        <v/>
      </c>
    </row>
    <row r="1801">
      <c r="A1801" s="41" t="n"/>
      <c r="B1801" s="41" t="n"/>
      <c r="C1801" s="41" t="n"/>
      <c r="D1801" s="41" t="n"/>
      <c r="E1801" s="46" t="n"/>
      <c r="F1801" s="41" t="n"/>
      <c r="G1801" s="41" t="n"/>
      <c r="H1801" s="41" t="n"/>
      <c r="I1801" s="41" t="n"/>
      <c r="J1801" s="47" t="n"/>
      <c r="K1801" s="41" t="n"/>
      <c r="L1801" s="48" t="n"/>
      <c r="M1801" s="45" t="n"/>
      <c r="N1801" s="39">
        <f>IF($B1801="","",IF(SUMPRODUCT((LISTAS!$O$3:$O$42&lt;&gt;"")*ISNUMBER(SEARCH(LISTAS!$O$3:$O$42,$I1801&amp;" "&amp;$K1801)))&gt;0,"CERCANA","NACIONAL"))</f>
        <v/>
      </c>
      <c r="O1801" s="39">
        <f>IF($B1801="","",IF(COUNTIFS(NOVEDADES!$C$4:$C$2003,$B1801)=0,"—","SÍ ("&amp;COUNTIFS(NOVEDADES!$C$4:$C$2003,$B1801)&amp;")"))</f>
        <v/>
      </c>
    </row>
    <row r="1802">
      <c r="A1802" s="41" t="n"/>
      <c r="B1802" s="41" t="n"/>
      <c r="C1802" s="41" t="n"/>
      <c r="D1802" s="41" t="n"/>
      <c r="E1802" s="46" t="n"/>
      <c r="F1802" s="41" t="n"/>
      <c r="G1802" s="41" t="n"/>
      <c r="H1802" s="41" t="n"/>
      <c r="I1802" s="41" t="n"/>
      <c r="J1802" s="47" t="n"/>
      <c r="K1802" s="41" t="n"/>
      <c r="L1802" s="48" t="n"/>
      <c r="M1802" s="45" t="n"/>
      <c r="N1802" s="39">
        <f>IF($B1802="","",IF(SUMPRODUCT((LISTAS!$O$3:$O$42&lt;&gt;"")*ISNUMBER(SEARCH(LISTAS!$O$3:$O$42,$I1802&amp;" "&amp;$K1802)))&gt;0,"CERCANA","NACIONAL"))</f>
        <v/>
      </c>
      <c r="O1802" s="39">
        <f>IF($B1802="","",IF(COUNTIFS(NOVEDADES!$C$4:$C$2003,$B1802)=0,"—","SÍ ("&amp;COUNTIFS(NOVEDADES!$C$4:$C$2003,$B1802)&amp;")"))</f>
        <v/>
      </c>
    </row>
    <row r="1803">
      <c r="A1803" s="41" t="n"/>
      <c r="B1803" s="41" t="n"/>
      <c r="C1803" s="41" t="n"/>
      <c r="D1803" s="41" t="n"/>
      <c r="E1803" s="46" t="n"/>
      <c r="F1803" s="41" t="n"/>
      <c r="G1803" s="41" t="n"/>
      <c r="H1803" s="41" t="n"/>
      <c r="I1803" s="41" t="n"/>
      <c r="J1803" s="47" t="n"/>
      <c r="K1803" s="41" t="n"/>
      <c r="L1803" s="48" t="n"/>
      <c r="M1803" s="45" t="n"/>
      <c r="N1803" s="39">
        <f>IF($B1803="","",IF(SUMPRODUCT((LISTAS!$O$3:$O$42&lt;&gt;"")*ISNUMBER(SEARCH(LISTAS!$O$3:$O$42,$I1803&amp;" "&amp;$K1803)))&gt;0,"CERCANA","NACIONAL"))</f>
        <v/>
      </c>
      <c r="O1803" s="39">
        <f>IF($B1803="","",IF(COUNTIFS(NOVEDADES!$C$4:$C$2003,$B1803)=0,"—","SÍ ("&amp;COUNTIFS(NOVEDADES!$C$4:$C$2003,$B1803)&amp;")"))</f>
        <v/>
      </c>
    </row>
    <row r="1804">
      <c r="A1804" s="41" t="n"/>
      <c r="B1804" s="41" t="n"/>
      <c r="C1804" s="41" t="n"/>
      <c r="D1804" s="41" t="n"/>
      <c r="E1804" s="46" t="n"/>
      <c r="F1804" s="41" t="n"/>
      <c r="G1804" s="41" t="n"/>
      <c r="H1804" s="41" t="n"/>
      <c r="I1804" s="41" t="n"/>
      <c r="J1804" s="47" t="n"/>
      <c r="K1804" s="41" t="n"/>
      <c r="L1804" s="48" t="n"/>
      <c r="M1804" s="45" t="n"/>
      <c r="N1804" s="39">
        <f>IF($B1804="","",IF(SUMPRODUCT((LISTAS!$O$3:$O$42&lt;&gt;"")*ISNUMBER(SEARCH(LISTAS!$O$3:$O$42,$I1804&amp;" "&amp;$K1804)))&gt;0,"CERCANA","NACIONAL"))</f>
        <v/>
      </c>
      <c r="O1804" s="39">
        <f>IF($B1804="","",IF(COUNTIFS(NOVEDADES!$C$4:$C$2003,$B1804)=0,"—","SÍ ("&amp;COUNTIFS(NOVEDADES!$C$4:$C$2003,$B1804)&amp;")"))</f>
        <v/>
      </c>
    </row>
    <row r="1805">
      <c r="A1805" s="41" t="n"/>
      <c r="B1805" s="41" t="n"/>
      <c r="C1805" s="41" t="n"/>
      <c r="D1805" s="41" t="n"/>
      <c r="E1805" s="46" t="n"/>
      <c r="F1805" s="41" t="n"/>
      <c r="G1805" s="41" t="n"/>
      <c r="H1805" s="41" t="n"/>
      <c r="I1805" s="41" t="n"/>
      <c r="J1805" s="47" t="n"/>
      <c r="K1805" s="41" t="n"/>
      <c r="L1805" s="48" t="n"/>
      <c r="M1805" s="45" t="n"/>
      <c r="N1805" s="39">
        <f>IF($B1805="","",IF(SUMPRODUCT((LISTAS!$O$3:$O$42&lt;&gt;"")*ISNUMBER(SEARCH(LISTAS!$O$3:$O$42,$I1805&amp;" "&amp;$K1805)))&gt;0,"CERCANA","NACIONAL"))</f>
        <v/>
      </c>
      <c r="O1805" s="39">
        <f>IF($B1805="","",IF(COUNTIFS(NOVEDADES!$C$4:$C$2003,$B1805)=0,"—","SÍ ("&amp;COUNTIFS(NOVEDADES!$C$4:$C$2003,$B1805)&amp;")"))</f>
        <v/>
      </c>
    </row>
    <row r="1806">
      <c r="A1806" s="41" t="n"/>
      <c r="B1806" s="41" t="n"/>
      <c r="C1806" s="41" t="n"/>
      <c r="D1806" s="41" t="n"/>
      <c r="E1806" s="46" t="n"/>
      <c r="F1806" s="41" t="n"/>
      <c r="G1806" s="41" t="n"/>
      <c r="H1806" s="41" t="n"/>
      <c r="I1806" s="41" t="n"/>
      <c r="J1806" s="47" t="n"/>
      <c r="K1806" s="41" t="n"/>
      <c r="L1806" s="48" t="n"/>
      <c r="M1806" s="45" t="n"/>
      <c r="N1806" s="39">
        <f>IF($B1806="","",IF(SUMPRODUCT((LISTAS!$O$3:$O$42&lt;&gt;"")*ISNUMBER(SEARCH(LISTAS!$O$3:$O$42,$I1806&amp;" "&amp;$K1806)))&gt;0,"CERCANA","NACIONAL"))</f>
        <v/>
      </c>
      <c r="O1806" s="39">
        <f>IF($B1806="","",IF(COUNTIFS(NOVEDADES!$C$4:$C$2003,$B1806)=0,"—","SÍ ("&amp;COUNTIFS(NOVEDADES!$C$4:$C$2003,$B1806)&amp;")"))</f>
        <v/>
      </c>
    </row>
    <row r="1807">
      <c r="A1807" s="41" t="n"/>
      <c r="B1807" s="41" t="n"/>
      <c r="C1807" s="41" t="n"/>
      <c r="D1807" s="41" t="n"/>
      <c r="E1807" s="46" t="n"/>
      <c r="F1807" s="41" t="n"/>
      <c r="G1807" s="41" t="n"/>
      <c r="H1807" s="41" t="n"/>
      <c r="I1807" s="41" t="n"/>
      <c r="J1807" s="47" t="n"/>
      <c r="K1807" s="41" t="n"/>
      <c r="L1807" s="48" t="n"/>
      <c r="M1807" s="45" t="n"/>
      <c r="N1807" s="39">
        <f>IF($B1807="","",IF(SUMPRODUCT((LISTAS!$O$3:$O$42&lt;&gt;"")*ISNUMBER(SEARCH(LISTAS!$O$3:$O$42,$I1807&amp;" "&amp;$K1807)))&gt;0,"CERCANA","NACIONAL"))</f>
        <v/>
      </c>
      <c r="O1807" s="39">
        <f>IF($B1807="","",IF(COUNTIFS(NOVEDADES!$C$4:$C$2003,$B1807)=0,"—","SÍ ("&amp;COUNTIFS(NOVEDADES!$C$4:$C$2003,$B1807)&amp;")"))</f>
        <v/>
      </c>
    </row>
    <row r="1808">
      <c r="A1808" s="41" t="n"/>
      <c r="B1808" s="41" t="n"/>
      <c r="C1808" s="41" t="n"/>
      <c r="D1808" s="41" t="n"/>
      <c r="E1808" s="46" t="n"/>
      <c r="F1808" s="41" t="n"/>
      <c r="G1808" s="41" t="n"/>
      <c r="H1808" s="41" t="n"/>
      <c r="I1808" s="41" t="n"/>
      <c r="J1808" s="47" t="n"/>
      <c r="K1808" s="41" t="n"/>
      <c r="L1808" s="48" t="n"/>
      <c r="M1808" s="45" t="n"/>
      <c r="N1808" s="39">
        <f>IF($B1808="","",IF(SUMPRODUCT((LISTAS!$O$3:$O$42&lt;&gt;"")*ISNUMBER(SEARCH(LISTAS!$O$3:$O$42,$I1808&amp;" "&amp;$K1808)))&gt;0,"CERCANA","NACIONAL"))</f>
        <v/>
      </c>
      <c r="O1808" s="39">
        <f>IF($B1808="","",IF(COUNTIFS(NOVEDADES!$C$4:$C$2003,$B1808)=0,"—","SÍ ("&amp;COUNTIFS(NOVEDADES!$C$4:$C$2003,$B1808)&amp;")"))</f>
        <v/>
      </c>
    </row>
    <row r="1809">
      <c r="A1809" s="41" t="n"/>
      <c r="B1809" s="41" t="n"/>
      <c r="C1809" s="41" t="n"/>
      <c r="D1809" s="41" t="n"/>
      <c r="E1809" s="46" t="n"/>
      <c r="F1809" s="41" t="n"/>
      <c r="G1809" s="41" t="n"/>
      <c r="H1809" s="41" t="n"/>
      <c r="I1809" s="41" t="n"/>
      <c r="J1809" s="47" t="n"/>
      <c r="K1809" s="41" t="n"/>
      <c r="L1809" s="48" t="n"/>
      <c r="M1809" s="45" t="n"/>
      <c r="N1809" s="39">
        <f>IF($B1809="","",IF(SUMPRODUCT((LISTAS!$O$3:$O$42&lt;&gt;"")*ISNUMBER(SEARCH(LISTAS!$O$3:$O$42,$I1809&amp;" "&amp;$K1809)))&gt;0,"CERCANA","NACIONAL"))</f>
        <v/>
      </c>
      <c r="O1809" s="39">
        <f>IF($B1809="","",IF(COUNTIFS(NOVEDADES!$C$4:$C$2003,$B1809)=0,"—","SÍ ("&amp;COUNTIFS(NOVEDADES!$C$4:$C$2003,$B1809)&amp;")"))</f>
        <v/>
      </c>
    </row>
    <row r="1810">
      <c r="A1810" s="41" t="n"/>
      <c r="B1810" s="41" t="n"/>
      <c r="C1810" s="41" t="n"/>
      <c r="D1810" s="41" t="n"/>
      <c r="E1810" s="46" t="n"/>
      <c r="F1810" s="41" t="n"/>
      <c r="G1810" s="41" t="n"/>
      <c r="H1810" s="41" t="n"/>
      <c r="I1810" s="41" t="n"/>
      <c r="J1810" s="47" t="n"/>
      <c r="K1810" s="41" t="n"/>
      <c r="L1810" s="48" t="n"/>
      <c r="M1810" s="45" t="n"/>
      <c r="N1810" s="39">
        <f>IF($B1810="","",IF(SUMPRODUCT((LISTAS!$O$3:$O$42&lt;&gt;"")*ISNUMBER(SEARCH(LISTAS!$O$3:$O$42,$I1810&amp;" "&amp;$K1810)))&gt;0,"CERCANA","NACIONAL"))</f>
        <v/>
      </c>
      <c r="O1810" s="39">
        <f>IF($B1810="","",IF(COUNTIFS(NOVEDADES!$C$4:$C$2003,$B1810)=0,"—","SÍ ("&amp;COUNTIFS(NOVEDADES!$C$4:$C$2003,$B1810)&amp;")"))</f>
        <v/>
      </c>
    </row>
    <row r="1811">
      <c r="A1811" s="41" t="n"/>
      <c r="B1811" s="41" t="n"/>
      <c r="C1811" s="41" t="n"/>
      <c r="D1811" s="41" t="n"/>
      <c r="E1811" s="46" t="n"/>
      <c r="F1811" s="41" t="n"/>
      <c r="G1811" s="41" t="n"/>
      <c r="H1811" s="41" t="n"/>
      <c r="I1811" s="41" t="n"/>
      <c r="J1811" s="47" t="n"/>
      <c r="K1811" s="41" t="n"/>
      <c r="L1811" s="48" t="n"/>
      <c r="M1811" s="45" t="n"/>
      <c r="N1811" s="39">
        <f>IF($B1811="","",IF(SUMPRODUCT((LISTAS!$O$3:$O$42&lt;&gt;"")*ISNUMBER(SEARCH(LISTAS!$O$3:$O$42,$I1811&amp;" "&amp;$K1811)))&gt;0,"CERCANA","NACIONAL"))</f>
        <v/>
      </c>
      <c r="O1811" s="39">
        <f>IF($B1811="","",IF(COUNTIFS(NOVEDADES!$C$4:$C$2003,$B1811)=0,"—","SÍ ("&amp;COUNTIFS(NOVEDADES!$C$4:$C$2003,$B1811)&amp;")"))</f>
        <v/>
      </c>
    </row>
    <row r="1812">
      <c r="A1812" s="41" t="n"/>
      <c r="B1812" s="41" t="n"/>
      <c r="C1812" s="41" t="n"/>
      <c r="D1812" s="41" t="n"/>
      <c r="E1812" s="46" t="n"/>
      <c r="F1812" s="41" t="n"/>
      <c r="G1812" s="41" t="n"/>
      <c r="H1812" s="41" t="n"/>
      <c r="I1812" s="41" t="n"/>
      <c r="J1812" s="47" t="n"/>
      <c r="K1812" s="41" t="n"/>
      <c r="L1812" s="48" t="n"/>
      <c r="M1812" s="45" t="n"/>
      <c r="N1812" s="39">
        <f>IF($B1812="","",IF(SUMPRODUCT((LISTAS!$O$3:$O$42&lt;&gt;"")*ISNUMBER(SEARCH(LISTAS!$O$3:$O$42,$I1812&amp;" "&amp;$K1812)))&gt;0,"CERCANA","NACIONAL"))</f>
        <v/>
      </c>
      <c r="O1812" s="39">
        <f>IF($B1812="","",IF(COUNTIFS(NOVEDADES!$C$4:$C$2003,$B1812)=0,"—","SÍ ("&amp;COUNTIFS(NOVEDADES!$C$4:$C$2003,$B1812)&amp;")"))</f>
        <v/>
      </c>
    </row>
    <row r="1813">
      <c r="A1813" s="41" t="n"/>
      <c r="B1813" s="41" t="n"/>
      <c r="C1813" s="41" t="n"/>
      <c r="D1813" s="41" t="n"/>
      <c r="E1813" s="46" t="n"/>
      <c r="F1813" s="41" t="n"/>
      <c r="G1813" s="41" t="n"/>
      <c r="H1813" s="41" t="n"/>
      <c r="I1813" s="41" t="n"/>
      <c r="J1813" s="47" t="n"/>
      <c r="K1813" s="41" t="n"/>
      <c r="L1813" s="48" t="n"/>
      <c r="M1813" s="45" t="n"/>
      <c r="N1813" s="39">
        <f>IF($B1813="","",IF(SUMPRODUCT((LISTAS!$O$3:$O$42&lt;&gt;"")*ISNUMBER(SEARCH(LISTAS!$O$3:$O$42,$I1813&amp;" "&amp;$K1813)))&gt;0,"CERCANA","NACIONAL"))</f>
        <v/>
      </c>
      <c r="O1813" s="39">
        <f>IF($B1813="","",IF(COUNTIFS(NOVEDADES!$C$4:$C$2003,$B1813)=0,"—","SÍ ("&amp;COUNTIFS(NOVEDADES!$C$4:$C$2003,$B1813)&amp;")"))</f>
        <v/>
      </c>
    </row>
    <row r="1814">
      <c r="A1814" s="41" t="n"/>
      <c r="B1814" s="41" t="n"/>
      <c r="C1814" s="41" t="n"/>
      <c r="D1814" s="41" t="n"/>
      <c r="E1814" s="46" t="n"/>
      <c r="F1814" s="41" t="n"/>
      <c r="G1814" s="41" t="n"/>
      <c r="H1814" s="41" t="n"/>
      <c r="I1814" s="41" t="n"/>
      <c r="J1814" s="47" t="n"/>
      <c r="K1814" s="41" t="n"/>
      <c r="L1814" s="48" t="n"/>
      <c r="M1814" s="45" t="n"/>
      <c r="N1814" s="39">
        <f>IF($B1814="","",IF(SUMPRODUCT((LISTAS!$O$3:$O$42&lt;&gt;"")*ISNUMBER(SEARCH(LISTAS!$O$3:$O$42,$I1814&amp;" "&amp;$K1814)))&gt;0,"CERCANA","NACIONAL"))</f>
        <v/>
      </c>
      <c r="O1814" s="39">
        <f>IF($B1814="","",IF(COUNTIFS(NOVEDADES!$C$4:$C$2003,$B1814)=0,"—","SÍ ("&amp;COUNTIFS(NOVEDADES!$C$4:$C$2003,$B1814)&amp;")"))</f>
        <v/>
      </c>
    </row>
    <row r="1815">
      <c r="A1815" s="41" t="n"/>
      <c r="B1815" s="41" t="n"/>
      <c r="C1815" s="41" t="n"/>
      <c r="D1815" s="41" t="n"/>
      <c r="E1815" s="46" t="n"/>
      <c r="F1815" s="41" t="n"/>
      <c r="G1815" s="41" t="n"/>
      <c r="H1815" s="41" t="n"/>
      <c r="I1815" s="41" t="n"/>
      <c r="J1815" s="47" t="n"/>
      <c r="K1815" s="41" t="n"/>
      <c r="L1815" s="48" t="n"/>
      <c r="M1815" s="45" t="n"/>
      <c r="N1815" s="39">
        <f>IF($B1815="","",IF(SUMPRODUCT((LISTAS!$O$3:$O$42&lt;&gt;"")*ISNUMBER(SEARCH(LISTAS!$O$3:$O$42,$I1815&amp;" "&amp;$K1815)))&gt;0,"CERCANA","NACIONAL"))</f>
        <v/>
      </c>
      <c r="O1815" s="39">
        <f>IF($B1815="","",IF(COUNTIFS(NOVEDADES!$C$4:$C$2003,$B1815)=0,"—","SÍ ("&amp;COUNTIFS(NOVEDADES!$C$4:$C$2003,$B1815)&amp;")"))</f>
        <v/>
      </c>
    </row>
    <row r="1816">
      <c r="A1816" s="41" t="n"/>
      <c r="B1816" s="41" t="n"/>
      <c r="C1816" s="41" t="n"/>
      <c r="D1816" s="41" t="n"/>
      <c r="E1816" s="46" t="n"/>
      <c r="F1816" s="41" t="n"/>
      <c r="G1816" s="41" t="n"/>
      <c r="H1816" s="41" t="n"/>
      <c r="I1816" s="41" t="n"/>
      <c r="J1816" s="47" t="n"/>
      <c r="K1816" s="41" t="n"/>
      <c r="L1816" s="48" t="n"/>
      <c r="M1816" s="45" t="n"/>
      <c r="N1816" s="39">
        <f>IF($B1816="","",IF(SUMPRODUCT((LISTAS!$O$3:$O$42&lt;&gt;"")*ISNUMBER(SEARCH(LISTAS!$O$3:$O$42,$I1816&amp;" "&amp;$K1816)))&gt;0,"CERCANA","NACIONAL"))</f>
        <v/>
      </c>
      <c r="O1816" s="39">
        <f>IF($B1816="","",IF(COUNTIFS(NOVEDADES!$C$4:$C$2003,$B1816)=0,"—","SÍ ("&amp;COUNTIFS(NOVEDADES!$C$4:$C$2003,$B1816)&amp;")"))</f>
        <v/>
      </c>
    </row>
    <row r="1817">
      <c r="A1817" s="41" t="n"/>
      <c r="B1817" s="41" t="n"/>
      <c r="C1817" s="41" t="n"/>
      <c r="D1817" s="41" t="n"/>
      <c r="E1817" s="46" t="n"/>
      <c r="F1817" s="41" t="n"/>
      <c r="G1817" s="41" t="n"/>
      <c r="H1817" s="41" t="n"/>
      <c r="I1817" s="41" t="n"/>
      <c r="J1817" s="47" t="n"/>
      <c r="K1817" s="41" t="n"/>
      <c r="L1817" s="48" t="n"/>
      <c r="M1817" s="45" t="n"/>
      <c r="N1817" s="39">
        <f>IF($B1817="","",IF(SUMPRODUCT((LISTAS!$O$3:$O$42&lt;&gt;"")*ISNUMBER(SEARCH(LISTAS!$O$3:$O$42,$I1817&amp;" "&amp;$K1817)))&gt;0,"CERCANA","NACIONAL"))</f>
        <v/>
      </c>
      <c r="O1817" s="39">
        <f>IF($B1817="","",IF(COUNTIFS(NOVEDADES!$C$4:$C$2003,$B1817)=0,"—","SÍ ("&amp;COUNTIFS(NOVEDADES!$C$4:$C$2003,$B1817)&amp;")"))</f>
        <v/>
      </c>
    </row>
    <row r="1818">
      <c r="A1818" s="41" t="n"/>
      <c r="B1818" s="41" t="n"/>
      <c r="C1818" s="41" t="n"/>
      <c r="D1818" s="41" t="n"/>
      <c r="E1818" s="46" t="n"/>
      <c r="F1818" s="41" t="n"/>
      <c r="G1818" s="41" t="n"/>
      <c r="H1818" s="41" t="n"/>
      <c r="I1818" s="41" t="n"/>
      <c r="J1818" s="47" t="n"/>
      <c r="K1818" s="41" t="n"/>
      <c r="L1818" s="48" t="n"/>
      <c r="M1818" s="45" t="n"/>
      <c r="N1818" s="39">
        <f>IF($B1818="","",IF(SUMPRODUCT((LISTAS!$O$3:$O$42&lt;&gt;"")*ISNUMBER(SEARCH(LISTAS!$O$3:$O$42,$I1818&amp;" "&amp;$K1818)))&gt;0,"CERCANA","NACIONAL"))</f>
        <v/>
      </c>
      <c r="O1818" s="39">
        <f>IF($B1818="","",IF(COUNTIFS(NOVEDADES!$C$4:$C$2003,$B1818)=0,"—","SÍ ("&amp;COUNTIFS(NOVEDADES!$C$4:$C$2003,$B1818)&amp;")"))</f>
        <v/>
      </c>
    </row>
    <row r="1819">
      <c r="A1819" s="41" t="n"/>
      <c r="B1819" s="41" t="n"/>
      <c r="C1819" s="41" t="n"/>
      <c r="D1819" s="41" t="n"/>
      <c r="E1819" s="46" t="n"/>
      <c r="F1819" s="41" t="n"/>
      <c r="G1819" s="41" t="n"/>
      <c r="H1819" s="41" t="n"/>
      <c r="I1819" s="41" t="n"/>
      <c r="J1819" s="47" t="n"/>
      <c r="K1819" s="41" t="n"/>
      <c r="L1819" s="48" t="n"/>
      <c r="M1819" s="45" t="n"/>
      <c r="N1819" s="39">
        <f>IF($B1819="","",IF(SUMPRODUCT((LISTAS!$O$3:$O$42&lt;&gt;"")*ISNUMBER(SEARCH(LISTAS!$O$3:$O$42,$I1819&amp;" "&amp;$K1819)))&gt;0,"CERCANA","NACIONAL"))</f>
        <v/>
      </c>
      <c r="O1819" s="39">
        <f>IF($B1819="","",IF(COUNTIFS(NOVEDADES!$C$4:$C$2003,$B1819)=0,"—","SÍ ("&amp;COUNTIFS(NOVEDADES!$C$4:$C$2003,$B1819)&amp;")"))</f>
        <v/>
      </c>
    </row>
    <row r="1820">
      <c r="A1820" s="41" t="n"/>
      <c r="B1820" s="41" t="n"/>
      <c r="C1820" s="41" t="n"/>
      <c r="D1820" s="41" t="n"/>
      <c r="E1820" s="46" t="n"/>
      <c r="F1820" s="41" t="n"/>
      <c r="G1820" s="41" t="n"/>
      <c r="H1820" s="41" t="n"/>
      <c r="I1820" s="41" t="n"/>
      <c r="J1820" s="47" t="n"/>
      <c r="K1820" s="41" t="n"/>
      <c r="L1820" s="48" t="n"/>
      <c r="M1820" s="45" t="n"/>
      <c r="N1820" s="39">
        <f>IF($B1820="","",IF(SUMPRODUCT((LISTAS!$O$3:$O$42&lt;&gt;"")*ISNUMBER(SEARCH(LISTAS!$O$3:$O$42,$I1820&amp;" "&amp;$K1820)))&gt;0,"CERCANA","NACIONAL"))</f>
        <v/>
      </c>
      <c r="O1820" s="39">
        <f>IF($B1820="","",IF(COUNTIFS(NOVEDADES!$C$4:$C$2003,$B1820)=0,"—","SÍ ("&amp;COUNTIFS(NOVEDADES!$C$4:$C$2003,$B1820)&amp;")"))</f>
        <v/>
      </c>
    </row>
    <row r="1821">
      <c r="A1821" s="41" t="n"/>
      <c r="B1821" s="41" t="n"/>
      <c r="C1821" s="41" t="n"/>
      <c r="D1821" s="41" t="n"/>
      <c r="E1821" s="46" t="n"/>
      <c r="F1821" s="41" t="n"/>
      <c r="G1821" s="41" t="n"/>
      <c r="H1821" s="41" t="n"/>
      <c r="I1821" s="41" t="n"/>
      <c r="J1821" s="47" t="n"/>
      <c r="K1821" s="41" t="n"/>
      <c r="L1821" s="48" t="n"/>
      <c r="M1821" s="45" t="n"/>
      <c r="N1821" s="39">
        <f>IF($B1821="","",IF(SUMPRODUCT((LISTAS!$O$3:$O$42&lt;&gt;"")*ISNUMBER(SEARCH(LISTAS!$O$3:$O$42,$I1821&amp;" "&amp;$K1821)))&gt;0,"CERCANA","NACIONAL"))</f>
        <v/>
      </c>
      <c r="O1821" s="39">
        <f>IF($B1821="","",IF(COUNTIFS(NOVEDADES!$C$4:$C$2003,$B1821)=0,"—","SÍ ("&amp;COUNTIFS(NOVEDADES!$C$4:$C$2003,$B1821)&amp;")"))</f>
        <v/>
      </c>
    </row>
    <row r="1822">
      <c r="A1822" s="41" t="n"/>
      <c r="B1822" s="41" t="n"/>
      <c r="C1822" s="41" t="n"/>
      <c r="D1822" s="41" t="n"/>
      <c r="E1822" s="46" t="n"/>
      <c r="F1822" s="41" t="n"/>
      <c r="G1822" s="41" t="n"/>
      <c r="H1822" s="41" t="n"/>
      <c r="I1822" s="41" t="n"/>
      <c r="J1822" s="47" t="n"/>
      <c r="K1822" s="41" t="n"/>
      <c r="L1822" s="48" t="n"/>
      <c r="M1822" s="45" t="n"/>
      <c r="N1822" s="39">
        <f>IF($B1822="","",IF(SUMPRODUCT((LISTAS!$O$3:$O$42&lt;&gt;"")*ISNUMBER(SEARCH(LISTAS!$O$3:$O$42,$I1822&amp;" "&amp;$K1822)))&gt;0,"CERCANA","NACIONAL"))</f>
        <v/>
      </c>
      <c r="O1822" s="39">
        <f>IF($B1822="","",IF(COUNTIFS(NOVEDADES!$C$4:$C$2003,$B1822)=0,"—","SÍ ("&amp;COUNTIFS(NOVEDADES!$C$4:$C$2003,$B1822)&amp;")"))</f>
        <v/>
      </c>
    </row>
    <row r="1823">
      <c r="A1823" s="41" t="n"/>
      <c r="B1823" s="41" t="n"/>
      <c r="C1823" s="41" t="n"/>
      <c r="D1823" s="41" t="n"/>
      <c r="E1823" s="46" t="n"/>
      <c r="F1823" s="41" t="n"/>
      <c r="G1823" s="41" t="n"/>
      <c r="H1823" s="41" t="n"/>
      <c r="I1823" s="41" t="n"/>
      <c r="J1823" s="47" t="n"/>
      <c r="K1823" s="41" t="n"/>
      <c r="L1823" s="48" t="n"/>
      <c r="M1823" s="45" t="n"/>
      <c r="N1823" s="39">
        <f>IF($B1823="","",IF(SUMPRODUCT((LISTAS!$O$3:$O$42&lt;&gt;"")*ISNUMBER(SEARCH(LISTAS!$O$3:$O$42,$I1823&amp;" "&amp;$K1823)))&gt;0,"CERCANA","NACIONAL"))</f>
        <v/>
      </c>
      <c r="O1823" s="39">
        <f>IF($B1823="","",IF(COUNTIFS(NOVEDADES!$C$4:$C$2003,$B1823)=0,"—","SÍ ("&amp;COUNTIFS(NOVEDADES!$C$4:$C$2003,$B1823)&amp;")"))</f>
        <v/>
      </c>
    </row>
    <row r="1824">
      <c r="A1824" s="41" t="n"/>
      <c r="B1824" s="41" t="n"/>
      <c r="C1824" s="41" t="n"/>
      <c r="D1824" s="41" t="n"/>
      <c r="E1824" s="46" t="n"/>
      <c r="F1824" s="41" t="n"/>
      <c r="G1824" s="41" t="n"/>
      <c r="H1824" s="41" t="n"/>
      <c r="I1824" s="41" t="n"/>
      <c r="J1824" s="47" t="n"/>
      <c r="K1824" s="41" t="n"/>
      <c r="L1824" s="48" t="n"/>
      <c r="M1824" s="45" t="n"/>
      <c r="N1824" s="39">
        <f>IF($B1824="","",IF(SUMPRODUCT((LISTAS!$O$3:$O$42&lt;&gt;"")*ISNUMBER(SEARCH(LISTAS!$O$3:$O$42,$I1824&amp;" "&amp;$K1824)))&gt;0,"CERCANA","NACIONAL"))</f>
        <v/>
      </c>
      <c r="O1824" s="39">
        <f>IF($B1824="","",IF(COUNTIFS(NOVEDADES!$C$4:$C$2003,$B1824)=0,"—","SÍ ("&amp;COUNTIFS(NOVEDADES!$C$4:$C$2003,$B1824)&amp;")"))</f>
        <v/>
      </c>
    </row>
    <row r="1825">
      <c r="A1825" s="41" t="n"/>
      <c r="B1825" s="41" t="n"/>
      <c r="C1825" s="41" t="n"/>
      <c r="D1825" s="41" t="n"/>
      <c r="E1825" s="46" t="n"/>
      <c r="F1825" s="41" t="n"/>
      <c r="G1825" s="41" t="n"/>
      <c r="H1825" s="41" t="n"/>
      <c r="I1825" s="41" t="n"/>
      <c r="J1825" s="47" t="n"/>
      <c r="K1825" s="41" t="n"/>
      <c r="L1825" s="48" t="n"/>
      <c r="M1825" s="45" t="n"/>
      <c r="N1825" s="39">
        <f>IF($B1825="","",IF(SUMPRODUCT((LISTAS!$O$3:$O$42&lt;&gt;"")*ISNUMBER(SEARCH(LISTAS!$O$3:$O$42,$I1825&amp;" "&amp;$K1825)))&gt;0,"CERCANA","NACIONAL"))</f>
        <v/>
      </c>
      <c r="O1825" s="39">
        <f>IF($B1825="","",IF(COUNTIFS(NOVEDADES!$C$4:$C$2003,$B1825)=0,"—","SÍ ("&amp;COUNTIFS(NOVEDADES!$C$4:$C$2003,$B1825)&amp;")"))</f>
        <v/>
      </c>
    </row>
    <row r="1826">
      <c r="A1826" s="41" t="n"/>
      <c r="B1826" s="41" t="n"/>
      <c r="C1826" s="41" t="n"/>
      <c r="D1826" s="41" t="n"/>
      <c r="E1826" s="46" t="n"/>
      <c r="F1826" s="41" t="n"/>
      <c r="G1826" s="41" t="n"/>
      <c r="H1826" s="41" t="n"/>
      <c r="I1826" s="41" t="n"/>
      <c r="J1826" s="47" t="n"/>
      <c r="K1826" s="41" t="n"/>
      <c r="L1826" s="48" t="n"/>
      <c r="M1826" s="45" t="n"/>
      <c r="N1826" s="39">
        <f>IF($B1826="","",IF(SUMPRODUCT((LISTAS!$O$3:$O$42&lt;&gt;"")*ISNUMBER(SEARCH(LISTAS!$O$3:$O$42,$I1826&amp;" "&amp;$K1826)))&gt;0,"CERCANA","NACIONAL"))</f>
        <v/>
      </c>
      <c r="O1826" s="39">
        <f>IF($B1826="","",IF(COUNTIFS(NOVEDADES!$C$4:$C$2003,$B1826)=0,"—","SÍ ("&amp;COUNTIFS(NOVEDADES!$C$4:$C$2003,$B1826)&amp;")"))</f>
        <v/>
      </c>
    </row>
    <row r="1827">
      <c r="A1827" s="41" t="n"/>
      <c r="B1827" s="41" t="n"/>
      <c r="C1827" s="41" t="n"/>
      <c r="D1827" s="41" t="n"/>
      <c r="E1827" s="46" t="n"/>
      <c r="F1827" s="41" t="n"/>
      <c r="G1827" s="41" t="n"/>
      <c r="H1827" s="41" t="n"/>
      <c r="I1827" s="41" t="n"/>
      <c r="J1827" s="47" t="n"/>
      <c r="K1827" s="41" t="n"/>
      <c r="L1827" s="48" t="n"/>
      <c r="M1827" s="45" t="n"/>
      <c r="N1827" s="39">
        <f>IF($B1827="","",IF(SUMPRODUCT((LISTAS!$O$3:$O$42&lt;&gt;"")*ISNUMBER(SEARCH(LISTAS!$O$3:$O$42,$I1827&amp;" "&amp;$K1827)))&gt;0,"CERCANA","NACIONAL"))</f>
        <v/>
      </c>
      <c r="O1827" s="39">
        <f>IF($B1827="","",IF(COUNTIFS(NOVEDADES!$C$4:$C$2003,$B1827)=0,"—","SÍ ("&amp;COUNTIFS(NOVEDADES!$C$4:$C$2003,$B1827)&amp;")"))</f>
        <v/>
      </c>
    </row>
    <row r="1828">
      <c r="A1828" s="41" t="n"/>
      <c r="B1828" s="41" t="n"/>
      <c r="C1828" s="41" t="n"/>
      <c r="D1828" s="41" t="n"/>
      <c r="E1828" s="46" t="n"/>
      <c r="F1828" s="41" t="n"/>
      <c r="G1828" s="41" t="n"/>
      <c r="H1828" s="41" t="n"/>
      <c r="I1828" s="41" t="n"/>
      <c r="J1828" s="47" t="n"/>
      <c r="K1828" s="41" t="n"/>
      <c r="L1828" s="48" t="n"/>
      <c r="M1828" s="45" t="n"/>
      <c r="N1828" s="39">
        <f>IF($B1828="","",IF(SUMPRODUCT((LISTAS!$O$3:$O$42&lt;&gt;"")*ISNUMBER(SEARCH(LISTAS!$O$3:$O$42,$I1828&amp;" "&amp;$K1828)))&gt;0,"CERCANA","NACIONAL"))</f>
        <v/>
      </c>
      <c r="O1828" s="39">
        <f>IF($B1828="","",IF(COUNTIFS(NOVEDADES!$C$4:$C$2003,$B1828)=0,"—","SÍ ("&amp;COUNTIFS(NOVEDADES!$C$4:$C$2003,$B1828)&amp;")"))</f>
        <v/>
      </c>
    </row>
    <row r="1829">
      <c r="A1829" s="41" t="n"/>
      <c r="B1829" s="41" t="n"/>
      <c r="C1829" s="41" t="n"/>
      <c r="D1829" s="41" t="n"/>
      <c r="E1829" s="46" t="n"/>
      <c r="F1829" s="41" t="n"/>
      <c r="G1829" s="41" t="n"/>
      <c r="H1829" s="41" t="n"/>
      <c r="I1829" s="41" t="n"/>
      <c r="J1829" s="47" t="n"/>
      <c r="K1829" s="41" t="n"/>
      <c r="L1829" s="48" t="n"/>
      <c r="M1829" s="45" t="n"/>
      <c r="N1829" s="39">
        <f>IF($B1829="","",IF(SUMPRODUCT((LISTAS!$O$3:$O$42&lt;&gt;"")*ISNUMBER(SEARCH(LISTAS!$O$3:$O$42,$I1829&amp;" "&amp;$K1829)))&gt;0,"CERCANA","NACIONAL"))</f>
        <v/>
      </c>
      <c r="O1829" s="39">
        <f>IF($B1829="","",IF(COUNTIFS(NOVEDADES!$C$4:$C$2003,$B1829)=0,"—","SÍ ("&amp;COUNTIFS(NOVEDADES!$C$4:$C$2003,$B1829)&amp;")"))</f>
        <v/>
      </c>
    </row>
    <row r="1830">
      <c r="A1830" s="41" t="n"/>
      <c r="B1830" s="41" t="n"/>
      <c r="C1830" s="41" t="n"/>
      <c r="D1830" s="41" t="n"/>
      <c r="E1830" s="46" t="n"/>
      <c r="F1830" s="41" t="n"/>
      <c r="G1830" s="41" t="n"/>
      <c r="H1830" s="41" t="n"/>
      <c r="I1830" s="41" t="n"/>
      <c r="J1830" s="47" t="n"/>
      <c r="K1830" s="41" t="n"/>
      <c r="L1830" s="48" t="n"/>
      <c r="M1830" s="45" t="n"/>
      <c r="N1830" s="39">
        <f>IF($B1830="","",IF(SUMPRODUCT((LISTAS!$O$3:$O$42&lt;&gt;"")*ISNUMBER(SEARCH(LISTAS!$O$3:$O$42,$I1830&amp;" "&amp;$K1830)))&gt;0,"CERCANA","NACIONAL"))</f>
        <v/>
      </c>
      <c r="O1830" s="39">
        <f>IF($B1830="","",IF(COUNTIFS(NOVEDADES!$C$4:$C$2003,$B1830)=0,"—","SÍ ("&amp;COUNTIFS(NOVEDADES!$C$4:$C$2003,$B1830)&amp;")"))</f>
        <v/>
      </c>
    </row>
    <row r="1831">
      <c r="A1831" s="41" t="n"/>
      <c r="B1831" s="41" t="n"/>
      <c r="C1831" s="41" t="n"/>
      <c r="D1831" s="41" t="n"/>
      <c r="E1831" s="46" t="n"/>
      <c r="F1831" s="41" t="n"/>
      <c r="G1831" s="41" t="n"/>
      <c r="H1831" s="41" t="n"/>
      <c r="I1831" s="41" t="n"/>
      <c r="J1831" s="47" t="n"/>
      <c r="K1831" s="41" t="n"/>
      <c r="L1831" s="48" t="n"/>
      <c r="M1831" s="45" t="n"/>
      <c r="N1831" s="39">
        <f>IF($B1831="","",IF(SUMPRODUCT((LISTAS!$O$3:$O$42&lt;&gt;"")*ISNUMBER(SEARCH(LISTAS!$O$3:$O$42,$I1831&amp;" "&amp;$K1831)))&gt;0,"CERCANA","NACIONAL"))</f>
        <v/>
      </c>
      <c r="O1831" s="39">
        <f>IF($B1831="","",IF(COUNTIFS(NOVEDADES!$C$4:$C$2003,$B1831)=0,"—","SÍ ("&amp;COUNTIFS(NOVEDADES!$C$4:$C$2003,$B1831)&amp;")"))</f>
        <v/>
      </c>
    </row>
    <row r="1832">
      <c r="A1832" s="41" t="n"/>
      <c r="B1832" s="41" t="n"/>
      <c r="C1832" s="41" t="n"/>
      <c r="D1832" s="41" t="n"/>
      <c r="E1832" s="46" t="n"/>
      <c r="F1832" s="41" t="n"/>
      <c r="G1832" s="41" t="n"/>
      <c r="H1832" s="41" t="n"/>
      <c r="I1832" s="41" t="n"/>
      <c r="J1832" s="47" t="n"/>
      <c r="K1832" s="41" t="n"/>
      <c r="L1832" s="48" t="n"/>
      <c r="M1832" s="45" t="n"/>
      <c r="N1832" s="39">
        <f>IF($B1832="","",IF(SUMPRODUCT((LISTAS!$O$3:$O$42&lt;&gt;"")*ISNUMBER(SEARCH(LISTAS!$O$3:$O$42,$I1832&amp;" "&amp;$K1832)))&gt;0,"CERCANA","NACIONAL"))</f>
        <v/>
      </c>
      <c r="O1832" s="39">
        <f>IF($B1832="","",IF(COUNTIFS(NOVEDADES!$C$4:$C$2003,$B1832)=0,"—","SÍ ("&amp;COUNTIFS(NOVEDADES!$C$4:$C$2003,$B1832)&amp;")"))</f>
        <v/>
      </c>
    </row>
    <row r="1833">
      <c r="A1833" s="41" t="n"/>
      <c r="B1833" s="41" t="n"/>
      <c r="C1833" s="41" t="n"/>
      <c r="D1833" s="41" t="n"/>
      <c r="E1833" s="46" t="n"/>
      <c r="F1833" s="41" t="n"/>
      <c r="G1833" s="41" t="n"/>
      <c r="H1833" s="41" t="n"/>
      <c r="I1833" s="41" t="n"/>
      <c r="J1833" s="47" t="n"/>
      <c r="K1833" s="41" t="n"/>
      <c r="L1833" s="48" t="n"/>
      <c r="M1833" s="45" t="n"/>
      <c r="N1833" s="39">
        <f>IF($B1833="","",IF(SUMPRODUCT((LISTAS!$O$3:$O$42&lt;&gt;"")*ISNUMBER(SEARCH(LISTAS!$O$3:$O$42,$I1833&amp;" "&amp;$K1833)))&gt;0,"CERCANA","NACIONAL"))</f>
        <v/>
      </c>
      <c r="O1833" s="39">
        <f>IF($B1833="","",IF(COUNTIFS(NOVEDADES!$C$4:$C$2003,$B1833)=0,"—","SÍ ("&amp;COUNTIFS(NOVEDADES!$C$4:$C$2003,$B1833)&amp;")"))</f>
        <v/>
      </c>
    </row>
    <row r="1834">
      <c r="A1834" s="41" t="n"/>
      <c r="B1834" s="41" t="n"/>
      <c r="C1834" s="41" t="n"/>
      <c r="D1834" s="41" t="n"/>
      <c r="E1834" s="46" t="n"/>
      <c r="F1834" s="41" t="n"/>
      <c r="G1834" s="41" t="n"/>
      <c r="H1834" s="41" t="n"/>
      <c r="I1834" s="41" t="n"/>
      <c r="J1834" s="47" t="n"/>
      <c r="K1834" s="41" t="n"/>
      <c r="L1834" s="48" t="n"/>
      <c r="M1834" s="45" t="n"/>
      <c r="N1834" s="39">
        <f>IF($B1834="","",IF(SUMPRODUCT((LISTAS!$O$3:$O$42&lt;&gt;"")*ISNUMBER(SEARCH(LISTAS!$O$3:$O$42,$I1834&amp;" "&amp;$K1834)))&gt;0,"CERCANA","NACIONAL"))</f>
        <v/>
      </c>
      <c r="O1834" s="39">
        <f>IF($B1834="","",IF(COUNTIFS(NOVEDADES!$C$4:$C$2003,$B1834)=0,"—","SÍ ("&amp;COUNTIFS(NOVEDADES!$C$4:$C$2003,$B1834)&amp;")"))</f>
        <v/>
      </c>
    </row>
    <row r="1835">
      <c r="A1835" s="41" t="n"/>
      <c r="B1835" s="41" t="n"/>
      <c r="C1835" s="41" t="n"/>
      <c r="D1835" s="41" t="n"/>
      <c r="E1835" s="46" t="n"/>
      <c r="F1835" s="41" t="n"/>
      <c r="G1835" s="41" t="n"/>
      <c r="H1835" s="41" t="n"/>
      <c r="I1835" s="41" t="n"/>
      <c r="J1835" s="47" t="n"/>
      <c r="K1835" s="41" t="n"/>
      <c r="L1835" s="48" t="n"/>
      <c r="M1835" s="45" t="n"/>
      <c r="N1835" s="39">
        <f>IF($B1835="","",IF(SUMPRODUCT((LISTAS!$O$3:$O$42&lt;&gt;"")*ISNUMBER(SEARCH(LISTAS!$O$3:$O$42,$I1835&amp;" "&amp;$K1835)))&gt;0,"CERCANA","NACIONAL"))</f>
        <v/>
      </c>
      <c r="O1835" s="39">
        <f>IF($B1835="","",IF(COUNTIFS(NOVEDADES!$C$4:$C$2003,$B1835)=0,"—","SÍ ("&amp;COUNTIFS(NOVEDADES!$C$4:$C$2003,$B1835)&amp;")"))</f>
        <v/>
      </c>
    </row>
    <row r="1836">
      <c r="A1836" s="41" t="n"/>
      <c r="B1836" s="41" t="n"/>
      <c r="C1836" s="41" t="n"/>
      <c r="D1836" s="41" t="n"/>
      <c r="E1836" s="46" t="n"/>
      <c r="F1836" s="41" t="n"/>
      <c r="G1836" s="41" t="n"/>
      <c r="H1836" s="41" t="n"/>
      <c r="I1836" s="41" t="n"/>
      <c r="J1836" s="47" t="n"/>
      <c r="K1836" s="41" t="n"/>
      <c r="L1836" s="48" t="n"/>
      <c r="M1836" s="45" t="n"/>
      <c r="N1836" s="39">
        <f>IF($B1836="","",IF(SUMPRODUCT((LISTAS!$O$3:$O$42&lt;&gt;"")*ISNUMBER(SEARCH(LISTAS!$O$3:$O$42,$I1836&amp;" "&amp;$K1836)))&gt;0,"CERCANA","NACIONAL"))</f>
        <v/>
      </c>
      <c r="O1836" s="39">
        <f>IF($B1836="","",IF(COUNTIFS(NOVEDADES!$C$4:$C$2003,$B1836)=0,"—","SÍ ("&amp;COUNTIFS(NOVEDADES!$C$4:$C$2003,$B1836)&amp;")"))</f>
        <v/>
      </c>
    </row>
    <row r="1837">
      <c r="A1837" s="41" t="n"/>
      <c r="B1837" s="41" t="n"/>
      <c r="C1837" s="41" t="n"/>
      <c r="D1837" s="41" t="n"/>
      <c r="E1837" s="46" t="n"/>
      <c r="F1837" s="41" t="n"/>
      <c r="G1837" s="41" t="n"/>
      <c r="H1837" s="41" t="n"/>
      <c r="I1837" s="41" t="n"/>
      <c r="J1837" s="47" t="n"/>
      <c r="K1837" s="41" t="n"/>
      <c r="L1837" s="48" t="n"/>
      <c r="M1837" s="45" t="n"/>
      <c r="N1837" s="39">
        <f>IF($B1837="","",IF(SUMPRODUCT((LISTAS!$O$3:$O$42&lt;&gt;"")*ISNUMBER(SEARCH(LISTAS!$O$3:$O$42,$I1837&amp;" "&amp;$K1837)))&gt;0,"CERCANA","NACIONAL"))</f>
        <v/>
      </c>
      <c r="O1837" s="39">
        <f>IF($B1837="","",IF(COUNTIFS(NOVEDADES!$C$4:$C$2003,$B1837)=0,"—","SÍ ("&amp;COUNTIFS(NOVEDADES!$C$4:$C$2003,$B1837)&amp;")"))</f>
        <v/>
      </c>
    </row>
    <row r="1838">
      <c r="A1838" s="41" t="n"/>
      <c r="B1838" s="41" t="n"/>
      <c r="C1838" s="41" t="n"/>
      <c r="D1838" s="41" t="n"/>
      <c r="E1838" s="46" t="n"/>
      <c r="F1838" s="41" t="n"/>
      <c r="G1838" s="41" t="n"/>
      <c r="H1838" s="41" t="n"/>
      <c r="I1838" s="41" t="n"/>
      <c r="J1838" s="47" t="n"/>
      <c r="K1838" s="41" t="n"/>
      <c r="L1838" s="48" t="n"/>
      <c r="M1838" s="45" t="n"/>
      <c r="N1838" s="39">
        <f>IF($B1838="","",IF(SUMPRODUCT((LISTAS!$O$3:$O$42&lt;&gt;"")*ISNUMBER(SEARCH(LISTAS!$O$3:$O$42,$I1838&amp;" "&amp;$K1838)))&gt;0,"CERCANA","NACIONAL"))</f>
        <v/>
      </c>
      <c r="O1838" s="39">
        <f>IF($B1838="","",IF(COUNTIFS(NOVEDADES!$C$4:$C$2003,$B1838)=0,"—","SÍ ("&amp;COUNTIFS(NOVEDADES!$C$4:$C$2003,$B1838)&amp;")"))</f>
        <v/>
      </c>
    </row>
    <row r="1839">
      <c r="A1839" s="41" t="n"/>
      <c r="B1839" s="41" t="n"/>
      <c r="C1839" s="41" t="n"/>
      <c r="D1839" s="41" t="n"/>
      <c r="E1839" s="46" t="n"/>
      <c r="F1839" s="41" t="n"/>
      <c r="G1839" s="41" t="n"/>
      <c r="H1839" s="41" t="n"/>
      <c r="I1839" s="41" t="n"/>
      <c r="J1839" s="47" t="n"/>
      <c r="K1839" s="41" t="n"/>
      <c r="L1839" s="48" t="n"/>
      <c r="M1839" s="45" t="n"/>
      <c r="N1839" s="39">
        <f>IF($B1839="","",IF(SUMPRODUCT((LISTAS!$O$3:$O$42&lt;&gt;"")*ISNUMBER(SEARCH(LISTAS!$O$3:$O$42,$I1839&amp;" "&amp;$K1839)))&gt;0,"CERCANA","NACIONAL"))</f>
        <v/>
      </c>
      <c r="O1839" s="39">
        <f>IF($B1839="","",IF(COUNTIFS(NOVEDADES!$C$4:$C$2003,$B1839)=0,"—","SÍ ("&amp;COUNTIFS(NOVEDADES!$C$4:$C$2003,$B1839)&amp;")"))</f>
        <v/>
      </c>
    </row>
    <row r="1840">
      <c r="A1840" s="41" t="n"/>
      <c r="B1840" s="41" t="n"/>
      <c r="C1840" s="41" t="n"/>
      <c r="D1840" s="41" t="n"/>
      <c r="E1840" s="46" t="n"/>
      <c r="F1840" s="41" t="n"/>
      <c r="G1840" s="41" t="n"/>
      <c r="H1840" s="41" t="n"/>
      <c r="I1840" s="41" t="n"/>
      <c r="J1840" s="47" t="n"/>
      <c r="K1840" s="41" t="n"/>
      <c r="L1840" s="48" t="n"/>
      <c r="M1840" s="45" t="n"/>
      <c r="N1840" s="39">
        <f>IF($B1840="","",IF(SUMPRODUCT((LISTAS!$O$3:$O$42&lt;&gt;"")*ISNUMBER(SEARCH(LISTAS!$O$3:$O$42,$I1840&amp;" "&amp;$K1840)))&gt;0,"CERCANA","NACIONAL"))</f>
        <v/>
      </c>
      <c r="O1840" s="39">
        <f>IF($B1840="","",IF(COUNTIFS(NOVEDADES!$C$4:$C$2003,$B1840)=0,"—","SÍ ("&amp;COUNTIFS(NOVEDADES!$C$4:$C$2003,$B1840)&amp;")"))</f>
        <v/>
      </c>
    </row>
    <row r="1841">
      <c r="A1841" s="41" t="n"/>
      <c r="B1841" s="41" t="n"/>
      <c r="C1841" s="41" t="n"/>
      <c r="D1841" s="41" t="n"/>
      <c r="E1841" s="46" t="n"/>
      <c r="F1841" s="41" t="n"/>
      <c r="G1841" s="41" t="n"/>
      <c r="H1841" s="41" t="n"/>
      <c r="I1841" s="41" t="n"/>
      <c r="J1841" s="47" t="n"/>
      <c r="K1841" s="41" t="n"/>
      <c r="L1841" s="48" t="n"/>
      <c r="M1841" s="45" t="n"/>
      <c r="N1841" s="39">
        <f>IF($B1841="","",IF(SUMPRODUCT((LISTAS!$O$3:$O$42&lt;&gt;"")*ISNUMBER(SEARCH(LISTAS!$O$3:$O$42,$I1841&amp;" "&amp;$K1841)))&gt;0,"CERCANA","NACIONAL"))</f>
        <v/>
      </c>
      <c r="O1841" s="39">
        <f>IF($B1841="","",IF(COUNTIFS(NOVEDADES!$C$4:$C$2003,$B1841)=0,"—","SÍ ("&amp;COUNTIFS(NOVEDADES!$C$4:$C$2003,$B1841)&amp;")"))</f>
        <v/>
      </c>
    </row>
    <row r="1842">
      <c r="A1842" s="41" t="n"/>
      <c r="B1842" s="41" t="n"/>
      <c r="C1842" s="41" t="n"/>
      <c r="D1842" s="41" t="n"/>
      <c r="E1842" s="46" t="n"/>
      <c r="F1842" s="41" t="n"/>
      <c r="G1842" s="41" t="n"/>
      <c r="H1842" s="41" t="n"/>
      <c r="I1842" s="41" t="n"/>
      <c r="J1842" s="47" t="n"/>
      <c r="K1842" s="41" t="n"/>
      <c r="L1842" s="48" t="n"/>
      <c r="M1842" s="45" t="n"/>
      <c r="N1842" s="39">
        <f>IF($B1842="","",IF(SUMPRODUCT((LISTAS!$O$3:$O$42&lt;&gt;"")*ISNUMBER(SEARCH(LISTAS!$O$3:$O$42,$I1842&amp;" "&amp;$K1842)))&gt;0,"CERCANA","NACIONAL"))</f>
        <v/>
      </c>
      <c r="O1842" s="39">
        <f>IF($B1842="","",IF(COUNTIFS(NOVEDADES!$C$4:$C$2003,$B1842)=0,"—","SÍ ("&amp;COUNTIFS(NOVEDADES!$C$4:$C$2003,$B1842)&amp;")"))</f>
        <v/>
      </c>
    </row>
    <row r="1843">
      <c r="A1843" s="41" t="n"/>
      <c r="B1843" s="41" t="n"/>
      <c r="C1843" s="41" t="n"/>
      <c r="D1843" s="41" t="n"/>
      <c r="E1843" s="46" t="n"/>
      <c r="F1843" s="41" t="n"/>
      <c r="G1843" s="41" t="n"/>
      <c r="H1843" s="41" t="n"/>
      <c r="I1843" s="41" t="n"/>
      <c r="J1843" s="47" t="n"/>
      <c r="K1843" s="41" t="n"/>
      <c r="L1843" s="48" t="n"/>
      <c r="M1843" s="45" t="n"/>
      <c r="N1843" s="39">
        <f>IF($B1843="","",IF(SUMPRODUCT((LISTAS!$O$3:$O$42&lt;&gt;"")*ISNUMBER(SEARCH(LISTAS!$O$3:$O$42,$I1843&amp;" "&amp;$K1843)))&gt;0,"CERCANA","NACIONAL"))</f>
        <v/>
      </c>
      <c r="O1843" s="39">
        <f>IF($B1843="","",IF(COUNTIFS(NOVEDADES!$C$4:$C$2003,$B1843)=0,"—","SÍ ("&amp;COUNTIFS(NOVEDADES!$C$4:$C$2003,$B1843)&amp;")"))</f>
        <v/>
      </c>
    </row>
    <row r="1844">
      <c r="A1844" s="41" t="n"/>
      <c r="B1844" s="41" t="n"/>
      <c r="C1844" s="41" t="n"/>
      <c r="D1844" s="41" t="n"/>
      <c r="E1844" s="46" t="n"/>
      <c r="F1844" s="41" t="n"/>
      <c r="G1844" s="41" t="n"/>
      <c r="H1844" s="41" t="n"/>
      <c r="I1844" s="41" t="n"/>
      <c r="J1844" s="47" t="n"/>
      <c r="K1844" s="41" t="n"/>
      <c r="L1844" s="48" t="n"/>
      <c r="M1844" s="45" t="n"/>
      <c r="N1844" s="39">
        <f>IF($B1844="","",IF(SUMPRODUCT((LISTAS!$O$3:$O$42&lt;&gt;"")*ISNUMBER(SEARCH(LISTAS!$O$3:$O$42,$I1844&amp;" "&amp;$K1844)))&gt;0,"CERCANA","NACIONAL"))</f>
        <v/>
      </c>
      <c r="O1844" s="39">
        <f>IF($B1844="","",IF(COUNTIFS(NOVEDADES!$C$4:$C$2003,$B1844)=0,"—","SÍ ("&amp;COUNTIFS(NOVEDADES!$C$4:$C$2003,$B1844)&amp;")"))</f>
        <v/>
      </c>
    </row>
    <row r="1845">
      <c r="A1845" s="41" t="n"/>
      <c r="B1845" s="41" t="n"/>
      <c r="C1845" s="41" t="n"/>
      <c r="D1845" s="41" t="n"/>
      <c r="E1845" s="46" t="n"/>
      <c r="F1845" s="41" t="n"/>
      <c r="G1845" s="41" t="n"/>
      <c r="H1845" s="41" t="n"/>
      <c r="I1845" s="41" t="n"/>
      <c r="J1845" s="47" t="n"/>
      <c r="K1845" s="41" t="n"/>
      <c r="L1845" s="48" t="n"/>
      <c r="M1845" s="45" t="n"/>
      <c r="N1845" s="39">
        <f>IF($B1845="","",IF(SUMPRODUCT((LISTAS!$O$3:$O$42&lt;&gt;"")*ISNUMBER(SEARCH(LISTAS!$O$3:$O$42,$I1845&amp;" "&amp;$K1845)))&gt;0,"CERCANA","NACIONAL"))</f>
        <v/>
      </c>
      <c r="O1845" s="39">
        <f>IF($B1845="","",IF(COUNTIFS(NOVEDADES!$C$4:$C$2003,$B1845)=0,"—","SÍ ("&amp;COUNTIFS(NOVEDADES!$C$4:$C$2003,$B1845)&amp;")"))</f>
        <v/>
      </c>
    </row>
    <row r="1846">
      <c r="A1846" s="41" t="n"/>
      <c r="B1846" s="41" t="n"/>
      <c r="C1846" s="41" t="n"/>
      <c r="D1846" s="41" t="n"/>
      <c r="E1846" s="46" t="n"/>
      <c r="F1846" s="41" t="n"/>
      <c r="G1846" s="41" t="n"/>
      <c r="H1846" s="41" t="n"/>
      <c r="I1846" s="41" t="n"/>
      <c r="J1846" s="47" t="n"/>
      <c r="K1846" s="41" t="n"/>
      <c r="L1846" s="48" t="n"/>
      <c r="M1846" s="45" t="n"/>
      <c r="N1846" s="39">
        <f>IF($B1846="","",IF(SUMPRODUCT((LISTAS!$O$3:$O$42&lt;&gt;"")*ISNUMBER(SEARCH(LISTAS!$O$3:$O$42,$I1846&amp;" "&amp;$K1846)))&gt;0,"CERCANA","NACIONAL"))</f>
        <v/>
      </c>
      <c r="O1846" s="39">
        <f>IF($B1846="","",IF(COUNTIFS(NOVEDADES!$C$4:$C$2003,$B1846)=0,"—","SÍ ("&amp;COUNTIFS(NOVEDADES!$C$4:$C$2003,$B1846)&amp;")"))</f>
        <v/>
      </c>
    </row>
    <row r="1847">
      <c r="A1847" s="41" t="n"/>
      <c r="B1847" s="41" t="n"/>
      <c r="C1847" s="41" t="n"/>
      <c r="D1847" s="41" t="n"/>
      <c r="E1847" s="46" t="n"/>
      <c r="F1847" s="41" t="n"/>
      <c r="G1847" s="41" t="n"/>
      <c r="H1847" s="41" t="n"/>
      <c r="I1847" s="41" t="n"/>
      <c r="J1847" s="47" t="n"/>
      <c r="K1847" s="41" t="n"/>
      <c r="L1847" s="48" t="n"/>
      <c r="M1847" s="45" t="n"/>
      <c r="N1847" s="39">
        <f>IF($B1847="","",IF(SUMPRODUCT((LISTAS!$O$3:$O$42&lt;&gt;"")*ISNUMBER(SEARCH(LISTAS!$O$3:$O$42,$I1847&amp;" "&amp;$K1847)))&gt;0,"CERCANA","NACIONAL"))</f>
        <v/>
      </c>
      <c r="O1847" s="39">
        <f>IF($B1847="","",IF(COUNTIFS(NOVEDADES!$C$4:$C$2003,$B1847)=0,"—","SÍ ("&amp;COUNTIFS(NOVEDADES!$C$4:$C$2003,$B1847)&amp;")"))</f>
        <v/>
      </c>
    </row>
    <row r="1848">
      <c r="A1848" s="41" t="n"/>
      <c r="B1848" s="41" t="n"/>
      <c r="C1848" s="41" t="n"/>
      <c r="D1848" s="41" t="n"/>
      <c r="E1848" s="46" t="n"/>
      <c r="F1848" s="41" t="n"/>
      <c r="G1848" s="41" t="n"/>
      <c r="H1848" s="41" t="n"/>
      <c r="I1848" s="41" t="n"/>
      <c r="J1848" s="47" t="n"/>
      <c r="K1848" s="41" t="n"/>
      <c r="L1848" s="48" t="n"/>
      <c r="M1848" s="45" t="n"/>
      <c r="N1848" s="39">
        <f>IF($B1848="","",IF(SUMPRODUCT((LISTAS!$O$3:$O$42&lt;&gt;"")*ISNUMBER(SEARCH(LISTAS!$O$3:$O$42,$I1848&amp;" "&amp;$K1848)))&gt;0,"CERCANA","NACIONAL"))</f>
        <v/>
      </c>
      <c r="O1848" s="39">
        <f>IF($B1848="","",IF(COUNTIFS(NOVEDADES!$C$4:$C$2003,$B1848)=0,"—","SÍ ("&amp;COUNTIFS(NOVEDADES!$C$4:$C$2003,$B1848)&amp;")"))</f>
        <v/>
      </c>
    </row>
    <row r="1849">
      <c r="A1849" s="41" t="n"/>
      <c r="B1849" s="41" t="n"/>
      <c r="C1849" s="41" t="n"/>
      <c r="D1849" s="41" t="n"/>
      <c r="E1849" s="46" t="n"/>
      <c r="F1849" s="41" t="n"/>
      <c r="G1849" s="41" t="n"/>
      <c r="H1849" s="41" t="n"/>
      <c r="I1849" s="41" t="n"/>
      <c r="J1849" s="47" t="n"/>
      <c r="K1849" s="41" t="n"/>
      <c r="L1849" s="48" t="n"/>
      <c r="M1849" s="45" t="n"/>
      <c r="N1849" s="39">
        <f>IF($B1849="","",IF(SUMPRODUCT((LISTAS!$O$3:$O$42&lt;&gt;"")*ISNUMBER(SEARCH(LISTAS!$O$3:$O$42,$I1849&amp;" "&amp;$K1849)))&gt;0,"CERCANA","NACIONAL"))</f>
        <v/>
      </c>
      <c r="O1849" s="39">
        <f>IF($B1849="","",IF(COUNTIFS(NOVEDADES!$C$4:$C$2003,$B1849)=0,"—","SÍ ("&amp;COUNTIFS(NOVEDADES!$C$4:$C$2003,$B1849)&amp;")"))</f>
        <v/>
      </c>
    </row>
    <row r="1850">
      <c r="A1850" s="41" t="n"/>
      <c r="B1850" s="41" t="n"/>
      <c r="C1850" s="41" t="n"/>
      <c r="D1850" s="41" t="n"/>
      <c r="E1850" s="46" t="n"/>
      <c r="F1850" s="41" t="n"/>
      <c r="G1850" s="41" t="n"/>
      <c r="H1850" s="41" t="n"/>
      <c r="I1850" s="41" t="n"/>
      <c r="J1850" s="47" t="n"/>
      <c r="K1850" s="41" t="n"/>
      <c r="L1850" s="48" t="n"/>
      <c r="M1850" s="45" t="n"/>
      <c r="N1850" s="39">
        <f>IF($B1850="","",IF(SUMPRODUCT((LISTAS!$O$3:$O$42&lt;&gt;"")*ISNUMBER(SEARCH(LISTAS!$O$3:$O$42,$I1850&amp;" "&amp;$K1850)))&gt;0,"CERCANA","NACIONAL"))</f>
        <v/>
      </c>
      <c r="O1850" s="39">
        <f>IF($B1850="","",IF(COUNTIFS(NOVEDADES!$C$4:$C$2003,$B1850)=0,"—","SÍ ("&amp;COUNTIFS(NOVEDADES!$C$4:$C$2003,$B1850)&amp;")"))</f>
        <v/>
      </c>
    </row>
    <row r="1851">
      <c r="A1851" s="41" t="n"/>
      <c r="B1851" s="41" t="n"/>
      <c r="C1851" s="41" t="n"/>
      <c r="D1851" s="41" t="n"/>
      <c r="E1851" s="46" t="n"/>
      <c r="F1851" s="41" t="n"/>
      <c r="G1851" s="41" t="n"/>
      <c r="H1851" s="41" t="n"/>
      <c r="I1851" s="41" t="n"/>
      <c r="J1851" s="47" t="n"/>
      <c r="K1851" s="41" t="n"/>
      <c r="L1851" s="48" t="n"/>
      <c r="M1851" s="45" t="n"/>
      <c r="N1851" s="39">
        <f>IF($B1851="","",IF(SUMPRODUCT((LISTAS!$O$3:$O$42&lt;&gt;"")*ISNUMBER(SEARCH(LISTAS!$O$3:$O$42,$I1851&amp;" "&amp;$K1851)))&gt;0,"CERCANA","NACIONAL"))</f>
        <v/>
      </c>
      <c r="O1851" s="39">
        <f>IF($B1851="","",IF(COUNTIFS(NOVEDADES!$C$4:$C$2003,$B1851)=0,"—","SÍ ("&amp;COUNTIFS(NOVEDADES!$C$4:$C$2003,$B1851)&amp;")"))</f>
        <v/>
      </c>
    </row>
    <row r="1852">
      <c r="A1852" s="41" t="n"/>
      <c r="B1852" s="41" t="n"/>
      <c r="C1852" s="41" t="n"/>
      <c r="D1852" s="41" t="n"/>
      <c r="E1852" s="46" t="n"/>
      <c r="F1852" s="41" t="n"/>
      <c r="G1852" s="41" t="n"/>
      <c r="H1852" s="41" t="n"/>
      <c r="I1852" s="41" t="n"/>
      <c r="J1852" s="47" t="n"/>
      <c r="K1852" s="41" t="n"/>
      <c r="L1852" s="48" t="n"/>
      <c r="M1852" s="45" t="n"/>
      <c r="N1852" s="39">
        <f>IF($B1852="","",IF(SUMPRODUCT((LISTAS!$O$3:$O$42&lt;&gt;"")*ISNUMBER(SEARCH(LISTAS!$O$3:$O$42,$I1852&amp;" "&amp;$K1852)))&gt;0,"CERCANA","NACIONAL"))</f>
        <v/>
      </c>
      <c r="O1852" s="39">
        <f>IF($B1852="","",IF(COUNTIFS(NOVEDADES!$C$4:$C$2003,$B1852)=0,"—","SÍ ("&amp;COUNTIFS(NOVEDADES!$C$4:$C$2003,$B1852)&amp;")"))</f>
        <v/>
      </c>
    </row>
    <row r="1853">
      <c r="A1853" s="41" t="n"/>
      <c r="B1853" s="41" t="n"/>
      <c r="C1853" s="41" t="n"/>
      <c r="D1853" s="41" t="n"/>
      <c r="E1853" s="46" t="n"/>
      <c r="F1853" s="41" t="n"/>
      <c r="G1853" s="41" t="n"/>
      <c r="H1853" s="41" t="n"/>
      <c r="I1853" s="41" t="n"/>
      <c r="J1853" s="47" t="n"/>
      <c r="K1853" s="41" t="n"/>
      <c r="L1853" s="48" t="n"/>
      <c r="M1853" s="45" t="n"/>
      <c r="N1853" s="39">
        <f>IF($B1853="","",IF(SUMPRODUCT((LISTAS!$O$3:$O$42&lt;&gt;"")*ISNUMBER(SEARCH(LISTAS!$O$3:$O$42,$I1853&amp;" "&amp;$K1853)))&gt;0,"CERCANA","NACIONAL"))</f>
        <v/>
      </c>
      <c r="O1853" s="39">
        <f>IF($B1853="","",IF(COUNTIFS(NOVEDADES!$C$4:$C$2003,$B1853)=0,"—","SÍ ("&amp;COUNTIFS(NOVEDADES!$C$4:$C$2003,$B1853)&amp;")"))</f>
        <v/>
      </c>
    </row>
    <row r="1854">
      <c r="A1854" s="41" t="n"/>
      <c r="B1854" s="41" t="n"/>
      <c r="C1854" s="41" t="n"/>
      <c r="D1854" s="41" t="n"/>
      <c r="E1854" s="46" t="n"/>
      <c r="F1854" s="41" t="n"/>
      <c r="G1854" s="41" t="n"/>
      <c r="H1854" s="41" t="n"/>
      <c r="I1854" s="41" t="n"/>
      <c r="J1854" s="47" t="n"/>
      <c r="K1854" s="41" t="n"/>
      <c r="L1854" s="48" t="n"/>
      <c r="M1854" s="45" t="n"/>
      <c r="N1854" s="39">
        <f>IF($B1854="","",IF(SUMPRODUCT((LISTAS!$O$3:$O$42&lt;&gt;"")*ISNUMBER(SEARCH(LISTAS!$O$3:$O$42,$I1854&amp;" "&amp;$K1854)))&gt;0,"CERCANA","NACIONAL"))</f>
        <v/>
      </c>
      <c r="O1854" s="39">
        <f>IF($B1854="","",IF(COUNTIFS(NOVEDADES!$C$4:$C$2003,$B1854)=0,"—","SÍ ("&amp;COUNTIFS(NOVEDADES!$C$4:$C$2003,$B1854)&amp;")"))</f>
        <v/>
      </c>
    </row>
    <row r="1855">
      <c r="A1855" s="41" t="n"/>
      <c r="B1855" s="41" t="n"/>
      <c r="C1855" s="41" t="n"/>
      <c r="D1855" s="41" t="n"/>
      <c r="E1855" s="46" t="n"/>
      <c r="F1855" s="41" t="n"/>
      <c r="G1855" s="41" t="n"/>
      <c r="H1855" s="41" t="n"/>
      <c r="I1855" s="41" t="n"/>
      <c r="J1855" s="47" t="n"/>
      <c r="K1855" s="41" t="n"/>
      <c r="L1855" s="48" t="n"/>
      <c r="M1855" s="45" t="n"/>
      <c r="N1855" s="39">
        <f>IF($B1855="","",IF(SUMPRODUCT((LISTAS!$O$3:$O$42&lt;&gt;"")*ISNUMBER(SEARCH(LISTAS!$O$3:$O$42,$I1855&amp;" "&amp;$K1855)))&gt;0,"CERCANA","NACIONAL"))</f>
        <v/>
      </c>
      <c r="O1855" s="39">
        <f>IF($B1855="","",IF(COUNTIFS(NOVEDADES!$C$4:$C$2003,$B1855)=0,"—","SÍ ("&amp;COUNTIFS(NOVEDADES!$C$4:$C$2003,$B1855)&amp;")"))</f>
        <v/>
      </c>
    </row>
    <row r="1856">
      <c r="A1856" s="41" t="n"/>
      <c r="B1856" s="41" t="n"/>
      <c r="C1856" s="41" t="n"/>
      <c r="D1856" s="41" t="n"/>
      <c r="E1856" s="46" t="n"/>
      <c r="F1856" s="41" t="n"/>
      <c r="G1856" s="41" t="n"/>
      <c r="H1856" s="41" t="n"/>
      <c r="I1856" s="41" t="n"/>
      <c r="J1856" s="47" t="n"/>
      <c r="K1856" s="41" t="n"/>
      <c r="L1856" s="48" t="n"/>
      <c r="M1856" s="45" t="n"/>
      <c r="N1856" s="39">
        <f>IF($B1856="","",IF(SUMPRODUCT((LISTAS!$O$3:$O$42&lt;&gt;"")*ISNUMBER(SEARCH(LISTAS!$O$3:$O$42,$I1856&amp;" "&amp;$K1856)))&gt;0,"CERCANA","NACIONAL"))</f>
        <v/>
      </c>
      <c r="O1856" s="39">
        <f>IF($B1856="","",IF(COUNTIFS(NOVEDADES!$C$4:$C$2003,$B1856)=0,"—","SÍ ("&amp;COUNTIFS(NOVEDADES!$C$4:$C$2003,$B1856)&amp;")"))</f>
        <v/>
      </c>
    </row>
    <row r="1857">
      <c r="A1857" s="41" t="n"/>
      <c r="B1857" s="41" t="n"/>
      <c r="C1857" s="41" t="n"/>
      <c r="D1857" s="41" t="n"/>
      <c r="E1857" s="46" t="n"/>
      <c r="F1857" s="41" t="n"/>
      <c r="G1857" s="41" t="n"/>
      <c r="H1857" s="41" t="n"/>
      <c r="I1857" s="41" t="n"/>
      <c r="J1857" s="47" t="n"/>
      <c r="K1857" s="41" t="n"/>
      <c r="L1857" s="48" t="n"/>
      <c r="M1857" s="45" t="n"/>
      <c r="N1857" s="39">
        <f>IF($B1857="","",IF(SUMPRODUCT((LISTAS!$O$3:$O$42&lt;&gt;"")*ISNUMBER(SEARCH(LISTAS!$O$3:$O$42,$I1857&amp;" "&amp;$K1857)))&gt;0,"CERCANA","NACIONAL"))</f>
        <v/>
      </c>
      <c r="O1857" s="39">
        <f>IF($B1857="","",IF(COUNTIFS(NOVEDADES!$C$4:$C$2003,$B1857)=0,"—","SÍ ("&amp;COUNTIFS(NOVEDADES!$C$4:$C$2003,$B1857)&amp;")"))</f>
        <v/>
      </c>
    </row>
    <row r="1858">
      <c r="A1858" s="41" t="n"/>
      <c r="B1858" s="41" t="n"/>
      <c r="C1858" s="41" t="n"/>
      <c r="D1858" s="41" t="n"/>
      <c r="E1858" s="46" t="n"/>
      <c r="F1858" s="41" t="n"/>
      <c r="G1858" s="41" t="n"/>
      <c r="H1858" s="41" t="n"/>
      <c r="I1858" s="41" t="n"/>
      <c r="J1858" s="47" t="n"/>
      <c r="K1858" s="41" t="n"/>
      <c r="L1858" s="48" t="n"/>
      <c r="M1858" s="45" t="n"/>
      <c r="N1858" s="39">
        <f>IF($B1858="","",IF(SUMPRODUCT((LISTAS!$O$3:$O$42&lt;&gt;"")*ISNUMBER(SEARCH(LISTAS!$O$3:$O$42,$I1858&amp;" "&amp;$K1858)))&gt;0,"CERCANA","NACIONAL"))</f>
        <v/>
      </c>
      <c r="O1858" s="39">
        <f>IF($B1858="","",IF(COUNTIFS(NOVEDADES!$C$4:$C$2003,$B1858)=0,"—","SÍ ("&amp;COUNTIFS(NOVEDADES!$C$4:$C$2003,$B1858)&amp;")"))</f>
        <v/>
      </c>
    </row>
    <row r="1859">
      <c r="A1859" s="41" t="n"/>
      <c r="B1859" s="41" t="n"/>
      <c r="C1859" s="41" t="n"/>
      <c r="D1859" s="41" t="n"/>
      <c r="E1859" s="46" t="n"/>
      <c r="F1859" s="41" t="n"/>
      <c r="G1859" s="41" t="n"/>
      <c r="H1859" s="41" t="n"/>
      <c r="I1859" s="41" t="n"/>
      <c r="J1859" s="47" t="n"/>
      <c r="K1859" s="41" t="n"/>
      <c r="L1859" s="48" t="n"/>
      <c r="M1859" s="45" t="n"/>
      <c r="N1859" s="39">
        <f>IF($B1859="","",IF(SUMPRODUCT((LISTAS!$O$3:$O$42&lt;&gt;"")*ISNUMBER(SEARCH(LISTAS!$O$3:$O$42,$I1859&amp;" "&amp;$K1859)))&gt;0,"CERCANA","NACIONAL"))</f>
        <v/>
      </c>
      <c r="O1859" s="39">
        <f>IF($B1859="","",IF(COUNTIFS(NOVEDADES!$C$4:$C$2003,$B1859)=0,"—","SÍ ("&amp;COUNTIFS(NOVEDADES!$C$4:$C$2003,$B1859)&amp;")"))</f>
        <v/>
      </c>
    </row>
    <row r="1860">
      <c r="A1860" s="41" t="n"/>
      <c r="B1860" s="41" t="n"/>
      <c r="C1860" s="41" t="n"/>
      <c r="D1860" s="41" t="n"/>
      <c r="E1860" s="46" t="n"/>
      <c r="F1860" s="41" t="n"/>
      <c r="G1860" s="41" t="n"/>
      <c r="H1860" s="41" t="n"/>
      <c r="I1860" s="41" t="n"/>
      <c r="J1860" s="47" t="n"/>
      <c r="K1860" s="41" t="n"/>
      <c r="L1860" s="48" t="n"/>
      <c r="M1860" s="45" t="n"/>
      <c r="N1860" s="39">
        <f>IF($B1860="","",IF(SUMPRODUCT((LISTAS!$O$3:$O$42&lt;&gt;"")*ISNUMBER(SEARCH(LISTAS!$O$3:$O$42,$I1860&amp;" "&amp;$K1860)))&gt;0,"CERCANA","NACIONAL"))</f>
        <v/>
      </c>
      <c r="O1860" s="39">
        <f>IF($B1860="","",IF(COUNTIFS(NOVEDADES!$C$4:$C$2003,$B1860)=0,"—","SÍ ("&amp;COUNTIFS(NOVEDADES!$C$4:$C$2003,$B1860)&amp;")"))</f>
        <v/>
      </c>
    </row>
    <row r="1861">
      <c r="A1861" s="41" t="n"/>
      <c r="B1861" s="41" t="n"/>
      <c r="C1861" s="41" t="n"/>
      <c r="D1861" s="41" t="n"/>
      <c r="E1861" s="46" t="n"/>
      <c r="F1861" s="41" t="n"/>
      <c r="G1861" s="41" t="n"/>
      <c r="H1861" s="41" t="n"/>
      <c r="I1861" s="41" t="n"/>
      <c r="J1861" s="47" t="n"/>
      <c r="K1861" s="41" t="n"/>
      <c r="L1861" s="48" t="n"/>
      <c r="M1861" s="45" t="n"/>
      <c r="N1861" s="39">
        <f>IF($B1861="","",IF(SUMPRODUCT((LISTAS!$O$3:$O$42&lt;&gt;"")*ISNUMBER(SEARCH(LISTAS!$O$3:$O$42,$I1861&amp;" "&amp;$K1861)))&gt;0,"CERCANA","NACIONAL"))</f>
        <v/>
      </c>
      <c r="O1861" s="39">
        <f>IF($B1861="","",IF(COUNTIFS(NOVEDADES!$C$4:$C$2003,$B1861)=0,"—","SÍ ("&amp;COUNTIFS(NOVEDADES!$C$4:$C$2003,$B1861)&amp;")"))</f>
        <v/>
      </c>
    </row>
    <row r="1862">
      <c r="A1862" s="41" t="n"/>
      <c r="B1862" s="41" t="n"/>
      <c r="C1862" s="41" t="n"/>
      <c r="D1862" s="41" t="n"/>
      <c r="E1862" s="46" t="n"/>
      <c r="F1862" s="41" t="n"/>
      <c r="G1862" s="41" t="n"/>
      <c r="H1862" s="41" t="n"/>
      <c r="I1862" s="41" t="n"/>
      <c r="J1862" s="47" t="n"/>
      <c r="K1862" s="41" t="n"/>
      <c r="L1862" s="48" t="n"/>
      <c r="M1862" s="45" t="n"/>
      <c r="N1862" s="39">
        <f>IF($B1862="","",IF(SUMPRODUCT((LISTAS!$O$3:$O$42&lt;&gt;"")*ISNUMBER(SEARCH(LISTAS!$O$3:$O$42,$I1862&amp;" "&amp;$K1862)))&gt;0,"CERCANA","NACIONAL"))</f>
        <v/>
      </c>
      <c r="O1862" s="39">
        <f>IF($B1862="","",IF(COUNTIFS(NOVEDADES!$C$4:$C$2003,$B1862)=0,"—","SÍ ("&amp;COUNTIFS(NOVEDADES!$C$4:$C$2003,$B1862)&amp;")"))</f>
        <v/>
      </c>
    </row>
    <row r="1863">
      <c r="A1863" s="41" t="n"/>
      <c r="B1863" s="41" t="n"/>
      <c r="C1863" s="41" t="n"/>
      <c r="D1863" s="41" t="n"/>
      <c r="E1863" s="46" t="n"/>
      <c r="F1863" s="41" t="n"/>
      <c r="G1863" s="41" t="n"/>
      <c r="H1863" s="41" t="n"/>
      <c r="I1863" s="41" t="n"/>
      <c r="J1863" s="47" t="n"/>
      <c r="K1863" s="41" t="n"/>
      <c r="L1863" s="48" t="n"/>
      <c r="M1863" s="45" t="n"/>
      <c r="N1863" s="39">
        <f>IF($B1863="","",IF(SUMPRODUCT((LISTAS!$O$3:$O$42&lt;&gt;"")*ISNUMBER(SEARCH(LISTAS!$O$3:$O$42,$I1863&amp;" "&amp;$K1863)))&gt;0,"CERCANA","NACIONAL"))</f>
        <v/>
      </c>
      <c r="O1863" s="39">
        <f>IF($B1863="","",IF(COUNTIFS(NOVEDADES!$C$4:$C$2003,$B1863)=0,"—","SÍ ("&amp;COUNTIFS(NOVEDADES!$C$4:$C$2003,$B1863)&amp;")"))</f>
        <v/>
      </c>
    </row>
    <row r="1864">
      <c r="A1864" s="41" t="n"/>
      <c r="B1864" s="41" t="n"/>
      <c r="C1864" s="41" t="n"/>
      <c r="D1864" s="41" t="n"/>
      <c r="E1864" s="46" t="n"/>
      <c r="F1864" s="41" t="n"/>
      <c r="G1864" s="41" t="n"/>
      <c r="H1864" s="41" t="n"/>
      <c r="I1864" s="41" t="n"/>
      <c r="J1864" s="47" t="n"/>
      <c r="K1864" s="41" t="n"/>
      <c r="L1864" s="48" t="n"/>
      <c r="M1864" s="45" t="n"/>
      <c r="N1864" s="39">
        <f>IF($B1864="","",IF(SUMPRODUCT((LISTAS!$O$3:$O$42&lt;&gt;"")*ISNUMBER(SEARCH(LISTAS!$O$3:$O$42,$I1864&amp;" "&amp;$K1864)))&gt;0,"CERCANA","NACIONAL"))</f>
        <v/>
      </c>
      <c r="O1864" s="39">
        <f>IF($B1864="","",IF(COUNTIFS(NOVEDADES!$C$4:$C$2003,$B1864)=0,"—","SÍ ("&amp;COUNTIFS(NOVEDADES!$C$4:$C$2003,$B1864)&amp;")"))</f>
        <v/>
      </c>
    </row>
    <row r="1865">
      <c r="A1865" s="41" t="n"/>
      <c r="B1865" s="41" t="n"/>
      <c r="C1865" s="41" t="n"/>
      <c r="D1865" s="41" t="n"/>
      <c r="E1865" s="46" t="n"/>
      <c r="F1865" s="41" t="n"/>
      <c r="G1865" s="41" t="n"/>
      <c r="H1865" s="41" t="n"/>
      <c r="I1865" s="41" t="n"/>
      <c r="J1865" s="47" t="n"/>
      <c r="K1865" s="41" t="n"/>
      <c r="L1865" s="48" t="n"/>
      <c r="M1865" s="45" t="n"/>
      <c r="N1865" s="39">
        <f>IF($B1865="","",IF(SUMPRODUCT((LISTAS!$O$3:$O$42&lt;&gt;"")*ISNUMBER(SEARCH(LISTAS!$O$3:$O$42,$I1865&amp;" "&amp;$K1865)))&gt;0,"CERCANA","NACIONAL"))</f>
        <v/>
      </c>
      <c r="O1865" s="39">
        <f>IF($B1865="","",IF(COUNTIFS(NOVEDADES!$C$4:$C$2003,$B1865)=0,"—","SÍ ("&amp;COUNTIFS(NOVEDADES!$C$4:$C$2003,$B1865)&amp;")"))</f>
        <v/>
      </c>
    </row>
    <row r="1866">
      <c r="A1866" s="41" t="n"/>
      <c r="B1866" s="41" t="n"/>
      <c r="C1866" s="41" t="n"/>
      <c r="D1866" s="41" t="n"/>
      <c r="E1866" s="46" t="n"/>
      <c r="F1866" s="41" t="n"/>
      <c r="G1866" s="41" t="n"/>
      <c r="H1866" s="41" t="n"/>
      <c r="I1866" s="41" t="n"/>
      <c r="J1866" s="47" t="n"/>
      <c r="K1866" s="41" t="n"/>
      <c r="L1866" s="48" t="n"/>
      <c r="M1866" s="45" t="n"/>
      <c r="N1866" s="39">
        <f>IF($B1866="","",IF(SUMPRODUCT((LISTAS!$O$3:$O$42&lt;&gt;"")*ISNUMBER(SEARCH(LISTAS!$O$3:$O$42,$I1866&amp;" "&amp;$K1866)))&gt;0,"CERCANA","NACIONAL"))</f>
        <v/>
      </c>
      <c r="O1866" s="39">
        <f>IF($B1866="","",IF(COUNTIFS(NOVEDADES!$C$4:$C$2003,$B1866)=0,"—","SÍ ("&amp;COUNTIFS(NOVEDADES!$C$4:$C$2003,$B1866)&amp;")"))</f>
        <v/>
      </c>
    </row>
    <row r="1867">
      <c r="A1867" s="41" t="n"/>
      <c r="B1867" s="41" t="n"/>
      <c r="C1867" s="41" t="n"/>
      <c r="D1867" s="41" t="n"/>
      <c r="E1867" s="46" t="n"/>
      <c r="F1867" s="41" t="n"/>
      <c r="G1867" s="41" t="n"/>
      <c r="H1867" s="41" t="n"/>
      <c r="I1867" s="41" t="n"/>
      <c r="J1867" s="47" t="n"/>
      <c r="K1867" s="41" t="n"/>
      <c r="L1867" s="48" t="n"/>
      <c r="M1867" s="45" t="n"/>
      <c r="N1867" s="39">
        <f>IF($B1867="","",IF(SUMPRODUCT((LISTAS!$O$3:$O$42&lt;&gt;"")*ISNUMBER(SEARCH(LISTAS!$O$3:$O$42,$I1867&amp;" "&amp;$K1867)))&gt;0,"CERCANA","NACIONAL"))</f>
        <v/>
      </c>
      <c r="O1867" s="39">
        <f>IF($B1867="","",IF(COUNTIFS(NOVEDADES!$C$4:$C$2003,$B1867)=0,"—","SÍ ("&amp;COUNTIFS(NOVEDADES!$C$4:$C$2003,$B1867)&amp;")"))</f>
        <v/>
      </c>
    </row>
    <row r="1868">
      <c r="A1868" s="41" t="n"/>
      <c r="B1868" s="41" t="n"/>
      <c r="C1868" s="41" t="n"/>
      <c r="D1868" s="41" t="n"/>
      <c r="E1868" s="46" t="n"/>
      <c r="F1868" s="41" t="n"/>
      <c r="G1868" s="41" t="n"/>
      <c r="H1868" s="41" t="n"/>
      <c r="I1868" s="41" t="n"/>
      <c r="J1868" s="47" t="n"/>
      <c r="K1868" s="41" t="n"/>
      <c r="L1868" s="48" t="n"/>
      <c r="M1868" s="45" t="n"/>
      <c r="N1868" s="39">
        <f>IF($B1868="","",IF(SUMPRODUCT((LISTAS!$O$3:$O$42&lt;&gt;"")*ISNUMBER(SEARCH(LISTAS!$O$3:$O$42,$I1868&amp;" "&amp;$K1868)))&gt;0,"CERCANA","NACIONAL"))</f>
        <v/>
      </c>
      <c r="O1868" s="39">
        <f>IF($B1868="","",IF(COUNTIFS(NOVEDADES!$C$4:$C$2003,$B1868)=0,"—","SÍ ("&amp;COUNTIFS(NOVEDADES!$C$4:$C$2003,$B1868)&amp;")"))</f>
        <v/>
      </c>
    </row>
    <row r="1869">
      <c r="A1869" s="41" t="n"/>
      <c r="B1869" s="41" t="n"/>
      <c r="C1869" s="41" t="n"/>
      <c r="D1869" s="41" t="n"/>
      <c r="E1869" s="46" t="n"/>
      <c r="F1869" s="41" t="n"/>
      <c r="G1869" s="41" t="n"/>
      <c r="H1869" s="41" t="n"/>
      <c r="I1869" s="41" t="n"/>
      <c r="J1869" s="47" t="n"/>
      <c r="K1869" s="41" t="n"/>
      <c r="L1869" s="48" t="n"/>
      <c r="M1869" s="45" t="n"/>
      <c r="N1869" s="39">
        <f>IF($B1869="","",IF(SUMPRODUCT((LISTAS!$O$3:$O$42&lt;&gt;"")*ISNUMBER(SEARCH(LISTAS!$O$3:$O$42,$I1869&amp;" "&amp;$K1869)))&gt;0,"CERCANA","NACIONAL"))</f>
        <v/>
      </c>
      <c r="O1869" s="39">
        <f>IF($B1869="","",IF(COUNTIFS(NOVEDADES!$C$4:$C$2003,$B1869)=0,"—","SÍ ("&amp;COUNTIFS(NOVEDADES!$C$4:$C$2003,$B1869)&amp;")"))</f>
        <v/>
      </c>
    </row>
    <row r="1870">
      <c r="A1870" s="41" t="n"/>
      <c r="B1870" s="41" t="n"/>
      <c r="C1870" s="41" t="n"/>
      <c r="D1870" s="41" t="n"/>
      <c r="E1870" s="46" t="n"/>
      <c r="F1870" s="41" t="n"/>
      <c r="G1870" s="41" t="n"/>
      <c r="H1870" s="41" t="n"/>
      <c r="I1870" s="41" t="n"/>
      <c r="J1870" s="47" t="n"/>
      <c r="K1870" s="41" t="n"/>
      <c r="L1870" s="48" t="n"/>
      <c r="M1870" s="45" t="n"/>
      <c r="N1870" s="39">
        <f>IF($B1870="","",IF(SUMPRODUCT((LISTAS!$O$3:$O$42&lt;&gt;"")*ISNUMBER(SEARCH(LISTAS!$O$3:$O$42,$I1870&amp;" "&amp;$K1870)))&gt;0,"CERCANA","NACIONAL"))</f>
        <v/>
      </c>
      <c r="O1870" s="39">
        <f>IF($B1870="","",IF(COUNTIFS(NOVEDADES!$C$4:$C$2003,$B1870)=0,"—","SÍ ("&amp;COUNTIFS(NOVEDADES!$C$4:$C$2003,$B1870)&amp;")"))</f>
        <v/>
      </c>
    </row>
    <row r="1871">
      <c r="A1871" s="41" t="n"/>
      <c r="B1871" s="41" t="n"/>
      <c r="C1871" s="41" t="n"/>
      <c r="D1871" s="41" t="n"/>
      <c r="E1871" s="46" t="n"/>
      <c r="F1871" s="41" t="n"/>
      <c r="G1871" s="41" t="n"/>
      <c r="H1871" s="41" t="n"/>
      <c r="I1871" s="41" t="n"/>
      <c r="J1871" s="47" t="n"/>
      <c r="K1871" s="41" t="n"/>
      <c r="L1871" s="48" t="n"/>
      <c r="M1871" s="45" t="n"/>
      <c r="N1871" s="39">
        <f>IF($B1871="","",IF(SUMPRODUCT((LISTAS!$O$3:$O$42&lt;&gt;"")*ISNUMBER(SEARCH(LISTAS!$O$3:$O$42,$I1871&amp;" "&amp;$K1871)))&gt;0,"CERCANA","NACIONAL"))</f>
        <v/>
      </c>
      <c r="O1871" s="39">
        <f>IF($B1871="","",IF(COUNTIFS(NOVEDADES!$C$4:$C$2003,$B1871)=0,"—","SÍ ("&amp;COUNTIFS(NOVEDADES!$C$4:$C$2003,$B1871)&amp;")"))</f>
        <v/>
      </c>
    </row>
    <row r="1872">
      <c r="A1872" s="41" t="n"/>
      <c r="B1872" s="41" t="n"/>
      <c r="C1872" s="41" t="n"/>
      <c r="D1872" s="41" t="n"/>
      <c r="E1872" s="46" t="n"/>
      <c r="F1872" s="41" t="n"/>
      <c r="G1872" s="41" t="n"/>
      <c r="H1872" s="41" t="n"/>
      <c r="I1872" s="41" t="n"/>
      <c r="J1872" s="47" t="n"/>
      <c r="K1872" s="41" t="n"/>
      <c r="L1872" s="48" t="n"/>
      <c r="M1872" s="45" t="n"/>
      <c r="N1872" s="39">
        <f>IF($B1872="","",IF(SUMPRODUCT((LISTAS!$O$3:$O$42&lt;&gt;"")*ISNUMBER(SEARCH(LISTAS!$O$3:$O$42,$I1872&amp;" "&amp;$K1872)))&gt;0,"CERCANA","NACIONAL"))</f>
        <v/>
      </c>
      <c r="O1872" s="39">
        <f>IF($B1872="","",IF(COUNTIFS(NOVEDADES!$C$4:$C$2003,$B1872)=0,"—","SÍ ("&amp;COUNTIFS(NOVEDADES!$C$4:$C$2003,$B1872)&amp;")"))</f>
        <v/>
      </c>
    </row>
    <row r="1873">
      <c r="A1873" s="41" t="n"/>
      <c r="B1873" s="41" t="n"/>
      <c r="C1873" s="41" t="n"/>
      <c r="D1873" s="41" t="n"/>
      <c r="E1873" s="46" t="n"/>
      <c r="F1873" s="41" t="n"/>
      <c r="G1873" s="41" t="n"/>
      <c r="H1873" s="41" t="n"/>
      <c r="I1873" s="41" t="n"/>
      <c r="J1873" s="47" t="n"/>
      <c r="K1873" s="41" t="n"/>
      <c r="L1873" s="48" t="n"/>
      <c r="M1873" s="45" t="n"/>
      <c r="N1873" s="39">
        <f>IF($B1873="","",IF(SUMPRODUCT((LISTAS!$O$3:$O$42&lt;&gt;"")*ISNUMBER(SEARCH(LISTAS!$O$3:$O$42,$I1873&amp;" "&amp;$K1873)))&gt;0,"CERCANA","NACIONAL"))</f>
        <v/>
      </c>
      <c r="O1873" s="39">
        <f>IF($B1873="","",IF(COUNTIFS(NOVEDADES!$C$4:$C$2003,$B1873)=0,"—","SÍ ("&amp;COUNTIFS(NOVEDADES!$C$4:$C$2003,$B1873)&amp;")"))</f>
        <v/>
      </c>
    </row>
    <row r="1874">
      <c r="A1874" s="41" t="n"/>
      <c r="B1874" s="41" t="n"/>
      <c r="C1874" s="41" t="n"/>
      <c r="D1874" s="41" t="n"/>
      <c r="E1874" s="46" t="n"/>
      <c r="F1874" s="41" t="n"/>
      <c r="G1874" s="41" t="n"/>
      <c r="H1874" s="41" t="n"/>
      <c r="I1874" s="41" t="n"/>
      <c r="J1874" s="47" t="n"/>
      <c r="K1874" s="41" t="n"/>
      <c r="L1874" s="48" t="n"/>
      <c r="M1874" s="45" t="n"/>
      <c r="N1874" s="39">
        <f>IF($B1874="","",IF(SUMPRODUCT((LISTAS!$O$3:$O$42&lt;&gt;"")*ISNUMBER(SEARCH(LISTAS!$O$3:$O$42,$I1874&amp;" "&amp;$K1874)))&gt;0,"CERCANA","NACIONAL"))</f>
        <v/>
      </c>
      <c r="O1874" s="39">
        <f>IF($B1874="","",IF(COUNTIFS(NOVEDADES!$C$4:$C$2003,$B1874)=0,"—","SÍ ("&amp;COUNTIFS(NOVEDADES!$C$4:$C$2003,$B1874)&amp;")"))</f>
        <v/>
      </c>
    </row>
    <row r="1875">
      <c r="A1875" s="41" t="n"/>
      <c r="B1875" s="41" t="n"/>
      <c r="C1875" s="41" t="n"/>
      <c r="D1875" s="41" t="n"/>
      <c r="E1875" s="46" t="n"/>
      <c r="F1875" s="41" t="n"/>
      <c r="G1875" s="41" t="n"/>
      <c r="H1875" s="41" t="n"/>
      <c r="I1875" s="41" t="n"/>
      <c r="J1875" s="47" t="n"/>
      <c r="K1875" s="41" t="n"/>
      <c r="L1875" s="48" t="n"/>
      <c r="M1875" s="45" t="n"/>
      <c r="N1875" s="39">
        <f>IF($B1875="","",IF(SUMPRODUCT((LISTAS!$O$3:$O$42&lt;&gt;"")*ISNUMBER(SEARCH(LISTAS!$O$3:$O$42,$I1875&amp;" "&amp;$K1875)))&gt;0,"CERCANA","NACIONAL"))</f>
        <v/>
      </c>
      <c r="O1875" s="39">
        <f>IF($B1875="","",IF(COUNTIFS(NOVEDADES!$C$4:$C$2003,$B1875)=0,"—","SÍ ("&amp;COUNTIFS(NOVEDADES!$C$4:$C$2003,$B1875)&amp;")"))</f>
        <v/>
      </c>
    </row>
    <row r="1876">
      <c r="A1876" s="41" t="n"/>
      <c r="B1876" s="41" t="n"/>
      <c r="C1876" s="41" t="n"/>
      <c r="D1876" s="41" t="n"/>
      <c r="E1876" s="46" t="n"/>
      <c r="F1876" s="41" t="n"/>
      <c r="G1876" s="41" t="n"/>
      <c r="H1876" s="41" t="n"/>
      <c r="I1876" s="41" t="n"/>
      <c r="J1876" s="47" t="n"/>
      <c r="K1876" s="41" t="n"/>
      <c r="L1876" s="48" t="n"/>
      <c r="M1876" s="45" t="n"/>
      <c r="N1876" s="39">
        <f>IF($B1876="","",IF(SUMPRODUCT((LISTAS!$O$3:$O$42&lt;&gt;"")*ISNUMBER(SEARCH(LISTAS!$O$3:$O$42,$I1876&amp;" "&amp;$K1876)))&gt;0,"CERCANA","NACIONAL"))</f>
        <v/>
      </c>
      <c r="O1876" s="39">
        <f>IF($B1876="","",IF(COUNTIFS(NOVEDADES!$C$4:$C$2003,$B1876)=0,"—","SÍ ("&amp;COUNTIFS(NOVEDADES!$C$4:$C$2003,$B1876)&amp;")"))</f>
        <v/>
      </c>
    </row>
    <row r="1877">
      <c r="A1877" s="41" t="n"/>
      <c r="B1877" s="41" t="n"/>
      <c r="C1877" s="41" t="n"/>
      <c r="D1877" s="41" t="n"/>
      <c r="E1877" s="46" t="n"/>
      <c r="F1877" s="41" t="n"/>
      <c r="G1877" s="41" t="n"/>
      <c r="H1877" s="41" t="n"/>
      <c r="I1877" s="41" t="n"/>
      <c r="J1877" s="47" t="n"/>
      <c r="K1877" s="41" t="n"/>
      <c r="L1877" s="48" t="n"/>
      <c r="M1877" s="45" t="n"/>
      <c r="N1877" s="39">
        <f>IF($B1877="","",IF(SUMPRODUCT((LISTAS!$O$3:$O$42&lt;&gt;"")*ISNUMBER(SEARCH(LISTAS!$O$3:$O$42,$I1877&amp;" "&amp;$K1877)))&gt;0,"CERCANA","NACIONAL"))</f>
        <v/>
      </c>
      <c r="O1877" s="39">
        <f>IF($B1877="","",IF(COUNTIFS(NOVEDADES!$C$4:$C$2003,$B1877)=0,"—","SÍ ("&amp;COUNTIFS(NOVEDADES!$C$4:$C$2003,$B1877)&amp;")"))</f>
        <v/>
      </c>
    </row>
    <row r="1878">
      <c r="A1878" s="41" t="n"/>
      <c r="B1878" s="41" t="n"/>
      <c r="C1878" s="41" t="n"/>
      <c r="D1878" s="41" t="n"/>
      <c r="E1878" s="46" t="n"/>
      <c r="F1878" s="41" t="n"/>
      <c r="G1878" s="41" t="n"/>
      <c r="H1878" s="41" t="n"/>
      <c r="I1878" s="41" t="n"/>
      <c r="J1878" s="47" t="n"/>
      <c r="K1878" s="41" t="n"/>
      <c r="L1878" s="48" t="n"/>
      <c r="M1878" s="45" t="n"/>
      <c r="N1878" s="39">
        <f>IF($B1878="","",IF(SUMPRODUCT((LISTAS!$O$3:$O$42&lt;&gt;"")*ISNUMBER(SEARCH(LISTAS!$O$3:$O$42,$I1878&amp;" "&amp;$K1878)))&gt;0,"CERCANA","NACIONAL"))</f>
        <v/>
      </c>
      <c r="O1878" s="39">
        <f>IF($B1878="","",IF(COUNTIFS(NOVEDADES!$C$4:$C$2003,$B1878)=0,"—","SÍ ("&amp;COUNTIFS(NOVEDADES!$C$4:$C$2003,$B1878)&amp;")"))</f>
        <v/>
      </c>
    </row>
    <row r="1879">
      <c r="A1879" s="41" t="n"/>
      <c r="B1879" s="41" t="n"/>
      <c r="C1879" s="41" t="n"/>
      <c r="D1879" s="41" t="n"/>
      <c r="E1879" s="46" t="n"/>
      <c r="F1879" s="41" t="n"/>
      <c r="G1879" s="41" t="n"/>
      <c r="H1879" s="41" t="n"/>
      <c r="I1879" s="41" t="n"/>
      <c r="J1879" s="47" t="n"/>
      <c r="K1879" s="41" t="n"/>
      <c r="L1879" s="48" t="n"/>
      <c r="M1879" s="45" t="n"/>
      <c r="N1879" s="39">
        <f>IF($B1879="","",IF(SUMPRODUCT((LISTAS!$O$3:$O$42&lt;&gt;"")*ISNUMBER(SEARCH(LISTAS!$O$3:$O$42,$I1879&amp;" "&amp;$K1879)))&gt;0,"CERCANA","NACIONAL"))</f>
        <v/>
      </c>
      <c r="O1879" s="39">
        <f>IF($B1879="","",IF(COUNTIFS(NOVEDADES!$C$4:$C$2003,$B1879)=0,"—","SÍ ("&amp;COUNTIFS(NOVEDADES!$C$4:$C$2003,$B1879)&amp;")"))</f>
        <v/>
      </c>
    </row>
    <row r="1880">
      <c r="A1880" s="41" t="n"/>
      <c r="B1880" s="41" t="n"/>
      <c r="C1880" s="41" t="n"/>
      <c r="D1880" s="41" t="n"/>
      <c r="E1880" s="46" t="n"/>
      <c r="F1880" s="41" t="n"/>
      <c r="G1880" s="41" t="n"/>
      <c r="H1880" s="41" t="n"/>
      <c r="I1880" s="41" t="n"/>
      <c r="J1880" s="47" t="n"/>
      <c r="K1880" s="41" t="n"/>
      <c r="L1880" s="48" t="n"/>
      <c r="M1880" s="45" t="n"/>
      <c r="N1880" s="39">
        <f>IF($B1880="","",IF(SUMPRODUCT((LISTAS!$O$3:$O$42&lt;&gt;"")*ISNUMBER(SEARCH(LISTAS!$O$3:$O$42,$I1880&amp;" "&amp;$K1880)))&gt;0,"CERCANA","NACIONAL"))</f>
        <v/>
      </c>
      <c r="O1880" s="39">
        <f>IF($B1880="","",IF(COUNTIFS(NOVEDADES!$C$4:$C$2003,$B1880)=0,"—","SÍ ("&amp;COUNTIFS(NOVEDADES!$C$4:$C$2003,$B1880)&amp;")"))</f>
        <v/>
      </c>
    </row>
    <row r="1881">
      <c r="A1881" s="41" t="n"/>
      <c r="B1881" s="41" t="n"/>
      <c r="C1881" s="41" t="n"/>
      <c r="D1881" s="41" t="n"/>
      <c r="E1881" s="46" t="n"/>
      <c r="F1881" s="41" t="n"/>
      <c r="G1881" s="41" t="n"/>
      <c r="H1881" s="41" t="n"/>
      <c r="I1881" s="41" t="n"/>
      <c r="J1881" s="47" t="n"/>
      <c r="K1881" s="41" t="n"/>
      <c r="L1881" s="48" t="n"/>
      <c r="M1881" s="45" t="n"/>
      <c r="N1881" s="39">
        <f>IF($B1881="","",IF(SUMPRODUCT((LISTAS!$O$3:$O$42&lt;&gt;"")*ISNUMBER(SEARCH(LISTAS!$O$3:$O$42,$I1881&amp;" "&amp;$K1881)))&gt;0,"CERCANA","NACIONAL"))</f>
        <v/>
      </c>
      <c r="O1881" s="39">
        <f>IF($B1881="","",IF(COUNTIFS(NOVEDADES!$C$4:$C$2003,$B1881)=0,"—","SÍ ("&amp;COUNTIFS(NOVEDADES!$C$4:$C$2003,$B1881)&amp;")"))</f>
        <v/>
      </c>
    </row>
    <row r="1882">
      <c r="A1882" s="41" t="n"/>
      <c r="B1882" s="41" t="n"/>
      <c r="C1882" s="41" t="n"/>
      <c r="D1882" s="41" t="n"/>
      <c r="E1882" s="46" t="n"/>
      <c r="F1882" s="41" t="n"/>
      <c r="G1882" s="41" t="n"/>
      <c r="H1882" s="41" t="n"/>
      <c r="I1882" s="41" t="n"/>
      <c r="J1882" s="47" t="n"/>
      <c r="K1882" s="41" t="n"/>
      <c r="L1882" s="48" t="n"/>
      <c r="M1882" s="45" t="n"/>
      <c r="N1882" s="39">
        <f>IF($B1882="","",IF(SUMPRODUCT((LISTAS!$O$3:$O$42&lt;&gt;"")*ISNUMBER(SEARCH(LISTAS!$O$3:$O$42,$I1882&amp;" "&amp;$K1882)))&gt;0,"CERCANA","NACIONAL"))</f>
        <v/>
      </c>
      <c r="O1882" s="39">
        <f>IF($B1882="","",IF(COUNTIFS(NOVEDADES!$C$4:$C$2003,$B1882)=0,"—","SÍ ("&amp;COUNTIFS(NOVEDADES!$C$4:$C$2003,$B1882)&amp;")"))</f>
        <v/>
      </c>
    </row>
    <row r="1883">
      <c r="A1883" s="41" t="n"/>
      <c r="B1883" s="41" t="n"/>
      <c r="C1883" s="41" t="n"/>
      <c r="D1883" s="41" t="n"/>
      <c r="E1883" s="46" t="n"/>
      <c r="F1883" s="41" t="n"/>
      <c r="G1883" s="41" t="n"/>
      <c r="H1883" s="41" t="n"/>
      <c r="I1883" s="41" t="n"/>
      <c r="J1883" s="47" t="n"/>
      <c r="K1883" s="41" t="n"/>
      <c r="L1883" s="48" t="n"/>
      <c r="M1883" s="45" t="n"/>
      <c r="N1883" s="39">
        <f>IF($B1883="","",IF(SUMPRODUCT((LISTAS!$O$3:$O$42&lt;&gt;"")*ISNUMBER(SEARCH(LISTAS!$O$3:$O$42,$I1883&amp;" "&amp;$K1883)))&gt;0,"CERCANA","NACIONAL"))</f>
        <v/>
      </c>
      <c r="O1883" s="39">
        <f>IF($B1883="","",IF(COUNTIFS(NOVEDADES!$C$4:$C$2003,$B1883)=0,"—","SÍ ("&amp;COUNTIFS(NOVEDADES!$C$4:$C$2003,$B1883)&amp;")"))</f>
        <v/>
      </c>
    </row>
    <row r="1884">
      <c r="A1884" s="41" t="n"/>
      <c r="B1884" s="41" t="n"/>
      <c r="C1884" s="41" t="n"/>
      <c r="D1884" s="41" t="n"/>
      <c r="E1884" s="46" t="n"/>
      <c r="F1884" s="41" t="n"/>
      <c r="G1884" s="41" t="n"/>
      <c r="H1884" s="41" t="n"/>
      <c r="I1884" s="41" t="n"/>
      <c r="J1884" s="47" t="n"/>
      <c r="K1884" s="41" t="n"/>
      <c r="L1884" s="48" t="n"/>
      <c r="M1884" s="45" t="n"/>
      <c r="N1884" s="39">
        <f>IF($B1884="","",IF(SUMPRODUCT((LISTAS!$O$3:$O$42&lt;&gt;"")*ISNUMBER(SEARCH(LISTAS!$O$3:$O$42,$I1884&amp;" "&amp;$K1884)))&gt;0,"CERCANA","NACIONAL"))</f>
        <v/>
      </c>
      <c r="O1884" s="39">
        <f>IF($B1884="","",IF(COUNTIFS(NOVEDADES!$C$4:$C$2003,$B1884)=0,"—","SÍ ("&amp;COUNTIFS(NOVEDADES!$C$4:$C$2003,$B1884)&amp;")"))</f>
        <v/>
      </c>
    </row>
    <row r="1885">
      <c r="A1885" s="41" t="n"/>
      <c r="B1885" s="41" t="n"/>
      <c r="C1885" s="41" t="n"/>
      <c r="D1885" s="41" t="n"/>
      <c r="E1885" s="46" t="n"/>
      <c r="F1885" s="41" t="n"/>
      <c r="G1885" s="41" t="n"/>
      <c r="H1885" s="41" t="n"/>
      <c r="I1885" s="41" t="n"/>
      <c r="J1885" s="47" t="n"/>
      <c r="K1885" s="41" t="n"/>
      <c r="L1885" s="48" t="n"/>
      <c r="M1885" s="45" t="n"/>
      <c r="N1885" s="39">
        <f>IF($B1885="","",IF(SUMPRODUCT((LISTAS!$O$3:$O$42&lt;&gt;"")*ISNUMBER(SEARCH(LISTAS!$O$3:$O$42,$I1885&amp;" "&amp;$K1885)))&gt;0,"CERCANA","NACIONAL"))</f>
        <v/>
      </c>
      <c r="O1885" s="39">
        <f>IF($B1885="","",IF(COUNTIFS(NOVEDADES!$C$4:$C$2003,$B1885)=0,"—","SÍ ("&amp;COUNTIFS(NOVEDADES!$C$4:$C$2003,$B1885)&amp;")"))</f>
        <v/>
      </c>
    </row>
    <row r="1886">
      <c r="A1886" s="41" t="n"/>
      <c r="B1886" s="41" t="n"/>
      <c r="C1886" s="41" t="n"/>
      <c r="D1886" s="41" t="n"/>
      <c r="E1886" s="46" t="n"/>
      <c r="F1886" s="41" t="n"/>
      <c r="G1886" s="41" t="n"/>
      <c r="H1886" s="41" t="n"/>
      <c r="I1886" s="41" t="n"/>
      <c r="J1886" s="47" t="n"/>
      <c r="K1886" s="41" t="n"/>
      <c r="L1886" s="48" t="n"/>
      <c r="M1886" s="45" t="n"/>
      <c r="N1886" s="39">
        <f>IF($B1886="","",IF(SUMPRODUCT((LISTAS!$O$3:$O$42&lt;&gt;"")*ISNUMBER(SEARCH(LISTAS!$O$3:$O$42,$I1886&amp;" "&amp;$K1886)))&gt;0,"CERCANA","NACIONAL"))</f>
        <v/>
      </c>
      <c r="O1886" s="39">
        <f>IF($B1886="","",IF(COUNTIFS(NOVEDADES!$C$4:$C$2003,$B1886)=0,"—","SÍ ("&amp;COUNTIFS(NOVEDADES!$C$4:$C$2003,$B1886)&amp;")"))</f>
        <v/>
      </c>
    </row>
    <row r="1887">
      <c r="A1887" s="41" t="n"/>
      <c r="B1887" s="41" t="n"/>
      <c r="C1887" s="41" t="n"/>
      <c r="D1887" s="41" t="n"/>
      <c r="E1887" s="46" t="n"/>
      <c r="F1887" s="41" t="n"/>
      <c r="G1887" s="41" t="n"/>
      <c r="H1887" s="41" t="n"/>
      <c r="I1887" s="41" t="n"/>
      <c r="J1887" s="47" t="n"/>
      <c r="K1887" s="41" t="n"/>
      <c r="L1887" s="48" t="n"/>
      <c r="M1887" s="45" t="n"/>
      <c r="N1887" s="39">
        <f>IF($B1887="","",IF(SUMPRODUCT((LISTAS!$O$3:$O$42&lt;&gt;"")*ISNUMBER(SEARCH(LISTAS!$O$3:$O$42,$I1887&amp;" "&amp;$K1887)))&gt;0,"CERCANA","NACIONAL"))</f>
        <v/>
      </c>
      <c r="O1887" s="39">
        <f>IF($B1887="","",IF(COUNTIFS(NOVEDADES!$C$4:$C$2003,$B1887)=0,"—","SÍ ("&amp;COUNTIFS(NOVEDADES!$C$4:$C$2003,$B1887)&amp;")"))</f>
        <v/>
      </c>
    </row>
    <row r="1888">
      <c r="A1888" s="41" t="n"/>
      <c r="B1888" s="41" t="n"/>
      <c r="C1888" s="41" t="n"/>
      <c r="D1888" s="41" t="n"/>
      <c r="E1888" s="46" t="n"/>
      <c r="F1888" s="41" t="n"/>
      <c r="G1888" s="41" t="n"/>
      <c r="H1888" s="41" t="n"/>
      <c r="I1888" s="41" t="n"/>
      <c r="J1888" s="47" t="n"/>
      <c r="K1888" s="41" t="n"/>
      <c r="L1888" s="48" t="n"/>
      <c r="M1888" s="45" t="n"/>
      <c r="N1888" s="39">
        <f>IF($B1888="","",IF(SUMPRODUCT((LISTAS!$O$3:$O$42&lt;&gt;"")*ISNUMBER(SEARCH(LISTAS!$O$3:$O$42,$I1888&amp;" "&amp;$K1888)))&gt;0,"CERCANA","NACIONAL"))</f>
        <v/>
      </c>
      <c r="O1888" s="39">
        <f>IF($B1888="","",IF(COUNTIFS(NOVEDADES!$C$4:$C$2003,$B1888)=0,"—","SÍ ("&amp;COUNTIFS(NOVEDADES!$C$4:$C$2003,$B1888)&amp;")"))</f>
        <v/>
      </c>
    </row>
    <row r="1889">
      <c r="A1889" s="41" t="n"/>
      <c r="B1889" s="41" t="n"/>
      <c r="C1889" s="41" t="n"/>
      <c r="D1889" s="41" t="n"/>
      <c r="E1889" s="46" t="n"/>
      <c r="F1889" s="41" t="n"/>
      <c r="G1889" s="41" t="n"/>
      <c r="H1889" s="41" t="n"/>
      <c r="I1889" s="41" t="n"/>
      <c r="J1889" s="47" t="n"/>
      <c r="K1889" s="41" t="n"/>
      <c r="L1889" s="48" t="n"/>
      <c r="M1889" s="45" t="n"/>
      <c r="N1889" s="39">
        <f>IF($B1889="","",IF(SUMPRODUCT((LISTAS!$O$3:$O$42&lt;&gt;"")*ISNUMBER(SEARCH(LISTAS!$O$3:$O$42,$I1889&amp;" "&amp;$K1889)))&gt;0,"CERCANA","NACIONAL"))</f>
        <v/>
      </c>
      <c r="O1889" s="39">
        <f>IF($B1889="","",IF(COUNTIFS(NOVEDADES!$C$4:$C$2003,$B1889)=0,"—","SÍ ("&amp;COUNTIFS(NOVEDADES!$C$4:$C$2003,$B1889)&amp;")"))</f>
        <v/>
      </c>
    </row>
    <row r="1890">
      <c r="A1890" s="41" t="n"/>
      <c r="B1890" s="41" t="n"/>
      <c r="C1890" s="41" t="n"/>
      <c r="D1890" s="41" t="n"/>
      <c r="E1890" s="46" t="n"/>
      <c r="F1890" s="41" t="n"/>
      <c r="G1890" s="41" t="n"/>
      <c r="H1890" s="41" t="n"/>
      <c r="I1890" s="41" t="n"/>
      <c r="J1890" s="47" t="n"/>
      <c r="K1890" s="41" t="n"/>
      <c r="L1890" s="48" t="n"/>
      <c r="M1890" s="45" t="n"/>
      <c r="N1890" s="39">
        <f>IF($B1890="","",IF(SUMPRODUCT((LISTAS!$O$3:$O$42&lt;&gt;"")*ISNUMBER(SEARCH(LISTAS!$O$3:$O$42,$I1890&amp;" "&amp;$K1890)))&gt;0,"CERCANA","NACIONAL"))</f>
        <v/>
      </c>
      <c r="O1890" s="39">
        <f>IF($B1890="","",IF(COUNTIFS(NOVEDADES!$C$4:$C$2003,$B1890)=0,"—","SÍ ("&amp;COUNTIFS(NOVEDADES!$C$4:$C$2003,$B1890)&amp;")"))</f>
        <v/>
      </c>
    </row>
    <row r="1891">
      <c r="A1891" s="41" t="n"/>
      <c r="B1891" s="41" t="n"/>
      <c r="C1891" s="41" t="n"/>
      <c r="D1891" s="41" t="n"/>
      <c r="E1891" s="46" t="n"/>
      <c r="F1891" s="41" t="n"/>
      <c r="G1891" s="41" t="n"/>
      <c r="H1891" s="41" t="n"/>
      <c r="I1891" s="41" t="n"/>
      <c r="J1891" s="47" t="n"/>
      <c r="K1891" s="41" t="n"/>
      <c r="L1891" s="48" t="n"/>
      <c r="M1891" s="45" t="n"/>
      <c r="N1891" s="39">
        <f>IF($B1891="","",IF(SUMPRODUCT((LISTAS!$O$3:$O$42&lt;&gt;"")*ISNUMBER(SEARCH(LISTAS!$O$3:$O$42,$I1891&amp;" "&amp;$K1891)))&gt;0,"CERCANA","NACIONAL"))</f>
        <v/>
      </c>
      <c r="O1891" s="39">
        <f>IF($B1891="","",IF(COUNTIFS(NOVEDADES!$C$4:$C$2003,$B1891)=0,"—","SÍ ("&amp;COUNTIFS(NOVEDADES!$C$4:$C$2003,$B1891)&amp;")"))</f>
        <v/>
      </c>
    </row>
    <row r="1892">
      <c r="A1892" s="41" t="n"/>
      <c r="B1892" s="41" t="n"/>
      <c r="C1892" s="41" t="n"/>
      <c r="D1892" s="41" t="n"/>
      <c r="E1892" s="46" t="n"/>
      <c r="F1892" s="41" t="n"/>
      <c r="G1892" s="41" t="n"/>
      <c r="H1892" s="41" t="n"/>
      <c r="I1892" s="41" t="n"/>
      <c r="J1892" s="47" t="n"/>
      <c r="K1892" s="41" t="n"/>
      <c r="L1892" s="48" t="n"/>
      <c r="M1892" s="45" t="n"/>
      <c r="N1892" s="39">
        <f>IF($B1892="","",IF(SUMPRODUCT((LISTAS!$O$3:$O$42&lt;&gt;"")*ISNUMBER(SEARCH(LISTAS!$O$3:$O$42,$I1892&amp;" "&amp;$K1892)))&gt;0,"CERCANA","NACIONAL"))</f>
        <v/>
      </c>
      <c r="O1892" s="39">
        <f>IF($B1892="","",IF(COUNTIFS(NOVEDADES!$C$4:$C$2003,$B1892)=0,"—","SÍ ("&amp;COUNTIFS(NOVEDADES!$C$4:$C$2003,$B1892)&amp;")"))</f>
        <v/>
      </c>
    </row>
    <row r="1893">
      <c r="A1893" s="41" t="n"/>
      <c r="B1893" s="41" t="n"/>
      <c r="C1893" s="41" t="n"/>
      <c r="D1893" s="41" t="n"/>
      <c r="E1893" s="46" t="n"/>
      <c r="F1893" s="41" t="n"/>
      <c r="G1893" s="41" t="n"/>
      <c r="H1893" s="41" t="n"/>
      <c r="I1893" s="41" t="n"/>
      <c r="J1893" s="47" t="n"/>
      <c r="K1893" s="41" t="n"/>
      <c r="L1893" s="48" t="n"/>
      <c r="M1893" s="45" t="n"/>
      <c r="N1893" s="39">
        <f>IF($B1893="","",IF(SUMPRODUCT((LISTAS!$O$3:$O$42&lt;&gt;"")*ISNUMBER(SEARCH(LISTAS!$O$3:$O$42,$I1893&amp;" "&amp;$K1893)))&gt;0,"CERCANA","NACIONAL"))</f>
        <v/>
      </c>
      <c r="O1893" s="39">
        <f>IF($B1893="","",IF(COUNTIFS(NOVEDADES!$C$4:$C$2003,$B1893)=0,"—","SÍ ("&amp;COUNTIFS(NOVEDADES!$C$4:$C$2003,$B1893)&amp;")"))</f>
        <v/>
      </c>
    </row>
    <row r="1894">
      <c r="A1894" s="41" t="n"/>
      <c r="B1894" s="41" t="n"/>
      <c r="C1894" s="41" t="n"/>
      <c r="D1894" s="41" t="n"/>
      <c r="E1894" s="46" t="n"/>
      <c r="F1894" s="41" t="n"/>
      <c r="G1894" s="41" t="n"/>
      <c r="H1894" s="41" t="n"/>
      <c r="I1894" s="41" t="n"/>
      <c r="J1894" s="47" t="n"/>
      <c r="K1894" s="41" t="n"/>
      <c r="L1894" s="48" t="n"/>
      <c r="M1894" s="45" t="n"/>
      <c r="N1894" s="39">
        <f>IF($B1894="","",IF(SUMPRODUCT((LISTAS!$O$3:$O$42&lt;&gt;"")*ISNUMBER(SEARCH(LISTAS!$O$3:$O$42,$I1894&amp;" "&amp;$K1894)))&gt;0,"CERCANA","NACIONAL"))</f>
        <v/>
      </c>
      <c r="O1894" s="39">
        <f>IF($B1894="","",IF(COUNTIFS(NOVEDADES!$C$4:$C$2003,$B1894)=0,"—","SÍ ("&amp;COUNTIFS(NOVEDADES!$C$4:$C$2003,$B1894)&amp;")"))</f>
        <v/>
      </c>
    </row>
    <row r="1895">
      <c r="A1895" s="41" t="n"/>
      <c r="B1895" s="41" t="n"/>
      <c r="C1895" s="41" t="n"/>
      <c r="D1895" s="41" t="n"/>
      <c r="E1895" s="46" t="n"/>
      <c r="F1895" s="41" t="n"/>
      <c r="G1895" s="41" t="n"/>
      <c r="H1895" s="41" t="n"/>
      <c r="I1895" s="41" t="n"/>
      <c r="J1895" s="47" t="n"/>
      <c r="K1895" s="41" t="n"/>
      <c r="L1895" s="48" t="n"/>
      <c r="M1895" s="45" t="n"/>
      <c r="N1895" s="39">
        <f>IF($B1895="","",IF(SUMPRODUCT((LISTAS!$O$3:$O$42&lt;&gt;"")*ISNUMBER(SEARCH(LISTAS!$O$3:$O$42,$I1895&amp;" "&amp;$K1895)))&gt;0,"CERCANA","NACIONAL"))</f>
        <v/>
      </c>
      <c r="O1895" s="39">
        <f>IF($B1895="","",IF(COUNTIFS(NOVEDADES!$C$4:$C$2003,$B1895)=0,"—","SÍ ("&amp;COUNTIFS(NOVEDADES!$C$4:$C$2003,$B1895)&amp;")"))</f>
        <v/>
      </c>
    </row>
    <row r="1896">
      <c r="A1896" s="41" t="n"/>
      <c r="B1896" s="41" t="n"/>
      <c r="C1896" s="41" t="n"/>
      <c r="D1896" s="41" t="n"/>
      <c r="E1896" s="46" t="n"/>
      <c r="F1896" s="41" t="n"/>
      <c r="G1896" s="41" t="n"/>
      <c r="H1896" s="41" t="n"/>
      <c r="I1896" s="41" t="n"/>
      <c r="J1896" s="47" t="n"/>
      <c r="K1896" s="41" t="n"/>
      <c r="L1896" s="48" t="n"/>
      <c r="M1896" s="45" t="n"/>
      <c r="N1896" s="39">
        <f>IF($B1896="","",IF(SUMPRODUCT((LISTAS!$O$3:$O$42&lt;&gt;"")*ISNUMBER(SEARCH(LISTAS!$O$3:$O$42,$I1896&amp;" "&amp;$K1896)))&gt;0,"CERCANA","NACIONAL"))</f>
        <v/>
      </c>
      <c r="O1896" s="39">
        <f>IF($B1896="","",IF(COUNTIFS(NOVEDADES!$C$4:$C$2003,$B1896)=0,"—","SÍ ("&amp;COUNTIFS(NOVEDADES!$C$4:$C$2003,$B1896)&amp;")"))</f>
        <v/>
      </c>
    </row>
    <row r="1897">
      <c r="A1897" s="41" t="n"/>
      <c r="B1897" s="41" t="n"/>
      <c r="C1897" s="41" t="n"/>
      <c r="D1897" s="41" t="n"/>
      <c r="E1897" s="46" t="n"/>
      <c r="F1897" s="41" t="n"/>
      <c r="G1897" s="41" t="n"/>
      <c r="H1897" s="41" t="n"/>
      <c r="I1897" s="41" t="n"/>
      <c r="J1897" s="47" t="n"/>
      <c r="K1897" s="41" t="n"/>
      <c r="L1897" s="48" t="n"/>
      <c r="M1897" s="45" t="n"/>
      <c r="N1897" s="39">
        <f>IF($B1897="","",IF(SUMPRODUCT((LISTAS!$O$3:$O$42&lt;&gt;"")*ISNUMBER(SEARCH(LISTAS!$O$3:$O$42,$I1897&amp;" "&amp;$K1897)))&gt;0,"CERCANA","NACIONAL"))</f>
        <v/>
      </c>
      <c r="O1897" s="39">
        <f>IF($B1897="","",IF(COUNTIFS(NOVEDADES!$C$4:$C$2003,$B1897)=0,"—","SÍ ("&amp;COUNTIFS(NOVEDADES!$C$4:$C$2003,$B1897)&amp;")"))</f>
        <v/>
      </c>
    </row>
    <row r="1898">
      <c r="A1898" s="41" t="n"/>
      <c r="B1898" s="41" t="n"/>
      <c r="C1898" s="41" t="n"/>
      <c r="D1898" s="41" t="n"/>
      <c r="E1898" s="46" t="n"/>
      <c r="F1898" s="41" t="n"/>
      <c r="G1898" s="41" t="n"/>
      <c r="H1898" s="41" t="n"/>
      <c r="I1898" s="41" t="n"/>
      <c r="J1898" s="47" t="n"/>
      <c r="K1898" s="41" t="n"/>
      <c r="L1898" s="48" t="n"/>
      <c r="M1898" s="45" t="n"/>
      <c r="N1898" s="39">
        <f>IF($B1898="","",IF(SUMPRODUCT((LISTAS!$O$3:$O$42&lt;&gt;"")*ISNUMBER(SEARCH(LISTAS!$O$3:$O$42,$I1898&amp;" "&amp;$K1898)))&gt;0,"CERCANA","NACIONAL"))</f>
        <v/>
      </c>
      <c r="O1898" s="39">
        <f>IF($B1898="","",IF(COUNTIFS(NOVEDADES!$C$4:$C$2003,$B1898)=0,"—","SÍ ("&amp;COUNTIFS(NOVEDADES!$C$4:$C$2003,$B1898)&amp;")"))</f>
        <v/>
      </c>
    </row>
    <row r="1899">
      <c r="A1899" s="41" t="n"/>
      <c r="B1899" s="41" t="n"/>
      <c r="C1899" s="41" t="n"/>
      <c r="D1899" s="41" t="n"/>
      <c r="E1899" s="46" t="n"/>
      <c r="F1899" s="41" t="n"/>
      <c r="G1899" s="41" t="n"/>
      <c r="H1899" s="41" t="n"/>
      <c r="I1899" s="41" t="n"/>
      <c r="J1899" s="47" t="n"/>
      <c r="K1899" s="41" t="n"/>
      <c r="L1899" s="48" t="n"/>
      <c r="M1899" s="45" t="n"/>
      <c r="N1899" s="39">
        <f>IF($B1899="","",IF(SUMPRODUCT((LISTAS!$O$3:$O$42&lt;&gt;"")*ISNUMBER(SEARCH(LISTAS!$O$3:$O$42,$I1899&amp;" "&amp;$K1899)))&gt;0,"CERCANA","NACIONAL"))</f>
        <v/>
      </c>
      <c r="O1899" s="39">
        <f>IF($B1899="","",IF(COUNTIFS(NOVEDADES!$C$4:$C$2003,$B1899)=0,"—","SÍ ("&amp;COUNTIFS(NOVEDADES!$C$4:$C$2003,$B1899)&amp;")"))</f>
        <v/>
      </c>
    </row>
    <row r="1900">
      <c r="A1900" s="41" t="n"/>
      <c r="B1900" s="41" t="n"/>
      <c r="C1900" s="41" t="n"/>
      <c r="D1900" s="41" t="n"/>
      <c r="E1900" s="46" t="n"/>
      <c r="F1900" s="41" t="n"/>
      <c r="G1900" s="41" t="n"/>
      <c r="H1900" s="41" t="n"/>
      <c r="I1900" s="41" t="n"/>
      <c r="J1900" s="47" t="n"/>
      <c r="K1900" s="41" t="n"/>
      <c r="L1900" s="48" t="n"/>
      <c r="M1900" s="45" t="n"/>
      <c r="N1900" s="39">
        <f>IF($B1900="","",IF(SUMPRODUCT((LISTAS!$O$3:$O$42&lt;&gt;"")*ISNUMBER(SEARCH(LISTAS!$O$3:$O$42,$I1900&amp;" "&amp;$K1900)))&gt;0,"CERCANA","NACIONAL"))</f>
        <v/>
      </c>
      <c r="O1900" s="39">
        <f>IF($B1900="","",IF(COUNTIFS(NOVEDADES!$C$4:$C$2003,$B1900)=0,"—","SÍ ("&amp;COUNTIFS(NOVEDADES!$C$4:$C$2003,$B1900)&amp;")"))</f>
        <v/>
      </c>
    </row>
    <row r="1901">
      <c r="A1901" s="41" t="n"/>
      <c r="B1901" s="41" t="n"/>
      <c r="C1901" s="41" t="n"/>
      <c r="D1901" s="41" t="n"/>
      <c r="E1901" s="46" t="n"/>
      <c r="F1901" s="41" t="n"/>
      <c r="G1901" s="41" t="n"/>
      <c r="H1901" s="41" t="n"/>
      <c r="I1901" s="41" t="n"/>
      <c r="J1901" s="47" t="n"/>
      <c r="K1901" s="41" t="n"/>
      <c r="L1901" s="48" t="n"/>
      <c r="M1901" s="45" t="n"/>
      <c r="N1901" s="39">
        <f>IF($B1901="","",IF(SUMPRODUCT((LISTAS!$O$3:$O$42&lt;&gt;"")*ISNUMBER(SEARCH(LISTAS!$O$3:$O$42,$I1901&amp;" "&amp;$K1901)))&gt;0,"CERCANA","NACIONAL"))</f>
        <v/>
      </c>
      <c r="O1901" s="39">
        <f>IF($B1901="","",IF(COUNTIFS(NOVEDADES!$C$4:$C$2003,$B1901)=0,"—","SÍ ("&amp;COUNTIFS(NOVEDADES!$C$4:$C$2003,$B1901)&amp;")"))</f>
        <v/>
      </c>
    </row>
    <row r="1902">
      <c r="A1902" s="41" t="n"/>
      <c r="B1902" s="41" t="n"/>
      <c r="C1902" s="41" t="n"/>
      <c r="D1902" s="41" t="n"/>
      <c r="E1902" s="46" t="n"/>
      <c r="F1902" s="41" t="n"/>
      <c r="G1902" s="41" t="n"/>
      <c r="H1902" s="41" t="n"/>
      <c r="I1902" s="41" t="n"/>
      <c r="J1902" s="47" t="n"/>
      <c r="K1902" s="41" t="n"/>
      <c r="L1902" s="48" t="n"/>
      <c r="M1902" s="45" t="n"/>
      <c r="N1902" s="39">
        <f>IF($B1902="","",IF(SUMPRODUCT((LISTAS!$O$3:$O$42&lt;&gt;"")*ISNUMBER(SEARCH(LISTAS!$O$3:$O$42,$I1902&amp;" "&amp;$K1902)))&gt;0,"CERCANA","NACIONAL"))</f>
        <v/>
      </c>
      <c r="O1902" s="39">
        <f>IF($B1902="","",IF(COUNTIFS(NOVEDADES!$C$4:$C$2003,$B1902)=0,"—","SÍ ("&amp;COUNTIFS(NOVEDADES!$C$4:$C$2003,$B1902)&amp;")"))</f>
        <v/>
      </c>
    </row>
    <row r="1903">
      <c r="A1903" s="41" t="n"/>
      <c r="B1903" s="41" t="n"/>
      <c r="C1903" s="41" t="n"/>
      <c r="D1903" s="41" t="n"/>
      <c r="E1903" s="46" t="n"/>
      <c r="F1903" s="41" t="n"/>
      <c r="G1903" s="41" t="n"/>
      <c r="H1903" s="41" t="n"/>
      <c r="I1903" s="41" t="n"/>
      <c r="J1903" s="47" t="n"/>
      <c r="K1903" s="41" t="n"/>
      <c r="L1903" s="48" t="n"/>
      <c r="M1903" s="45" t="n"/>
      <c r="N1903" s="39">
        <f>IF($B1903="","",IF(SUMPRODUCT((LISTAS!$O$3:$O$42&lt;&gt;"")*ISNUMBER(SEARCH(LISTAS!$O$3:$O$42,$I1903&amp;" "&amp;$K1903)))&gt;0,"CERCANA","NACIONAL"))</f>
        <v/>
      </c>
      <c r="O1903" s="39">
        <f>IF($B1903="","",IF(COUNTIFS(NOVEDADES!$C$4:$C$2003,$B1903)=0,"—","SÍ ("&amp;COUNTIFS(NOVEDADES!$C$4:$C$2003,$B1903)&amp;")"))</f>
        <v/>
      </c>
    </row>
    <row r="1904">
      <c r="A1904" s="41" t="n"/>
      <c r="B1904" s="41" t="n"/>
      <c r="C1904" s="41" t="n"/>
      <c r="D1904" s="41" t="n"/>
      <c r="E1904" s="46" t="n"/>
      <c r="F1904" s="41" t="n"/>
      <c r="G1904" s="41" t="n"/>
      <c r="H1904" s="41" t="n"/>
      <c r="I1904" s="41" t="n"/>
      <c r="J1904" s="47" t="n"/>
      <c r="K1904" s="41" t="n"/>
      <c r="L1904" s="48" t="n"/>
      <c r="M1904" s="45" t="n"/>
      <c r="N1904" s="39">
        <f>IF($B1904="","",IF(SUMPRODUCT((LISTAS!$O$3:$O$42&lt;&gt;"")*ISNUMBER(SEARCH(LISTAS!$O$3:$O$42,$I1904&amp;" "&amp;$K1904)))&gt;0,"CERCANA","NACIONAL"))</f>
        <v/>
      </c>
      <c r="O1904" s="39">
        <f>IF($B1904="","",IF(COUNTIFS(NOVEDADES!$C$4:$C$2003,$B1904)=0,"—","SÍ ("&amp;COUNTIFS(NOVEDADES!$C$4:$C$2003,$B1904)&amp;")"))</f>
        <v/>
      </c>
    </row>
    <row r="1905">
      <c r="A1905" s="41" t="n"/>
      <c r="B1905" s="41" t="n"/>
      <c r="C1905" s="41" t="n"/>
      <c r="D1905" s="41" t="n"/>
      <c r="E1905" s="46" t="n"/>
      <c r="F1905" s="41" t="n"/>
      <c r="G1905" s="41" t="n"/>
      <c r="H1905" s="41" t="n"/>
      <c r="I1905" s="41" t="n"/>
      <c r="J1905" s="47" t="n"/>
      <c r="K1905" s="41" t="n"/>
      <c r="L1905" s="48" t="n"/>
      <c r="M1905" s="45" t="n"/>
      <c r="N1905" s="39">
        <f>IF($B1905="","",IF(SUMPRODUCT((LISTAS!$O$3:$O$42&lt;&gt;"")*ISNUMBER(SEARCH(LISTAS!$O$3:$O$42,$I1905&amp;" "&amp;$K1905)))&gt;0,"CERCANA","NACIONAL"))</f>
        <v/>
      </c>
      <c r="O1905" s="39">
        <f>IF($B1905="","",IF(COUNTIFS(NOVEDADES!$C$4:$C$2003,$B1905)=0,"—","SÍ ("&amp;COUNTIFS(NOVEDADES!$C$4:$C$2003,$B1905)&amp;")"))</f>
        <v/>
      </c>
    </row>
    <row r="1906">
      <c r="A1906" s="41" t="n"/>
      <c r="B1906" s="41" t="n"/>
      <c r="C1906" s="41" t="n"/>
      <c r="D1906" s="41" t="n"/>
      <c r="E1906" s="46" t="n"/>
      <c r="F1906" s="41" t="n"/>
      <c r="G1906" s="41" t="n"/>
      <c r="H1906" s="41" t="n"/>
      <c r="I1906" s="41" t="n"/>
      <c r="J1906" s="47" t="n"/>
      <c r="K1906" s="41" t="n"/>
      <c r="L1906" s="48" t="n"/>
      <c r="M1906" s="45" t="n"/>
      <c r="N1906" s="39">
        <f>IF($B1906="","",IF(SUMPRODUCT((LISTAS!$O$3:$O$42&lt;&gt;"")*ISNUMBER(SEARCH(LISTAS!$O$3:$O$42,$I1906&amp;" "&amp;$K1906)))&gt;0,"CERCANA","NACIONAL"))</f>
        <v/>
      </c>
      <c r="O1906" s="39">
        <f>IF($B1906="","",IF(COUNTIFS(NOVEDADES!$C$4:$C$2003,$B1906)=0,"—","SÍ ("&amp;COUNTIFS(NOVEDADES!$C$4:$C$2003,$B1906)&amp;")"))</f>
        <v/>
      </c>
    </row>
    <row r="1907">
      <c r="A1907" s="41" t="n"/>
      <c r="B1907" s="41" t="n"/>
      <c r="C1907" s="41" t="n"/>
      <c r="D1907" s="41" t="n"/>
      <c r="E1907" s="46" t="n"/>
      <c r="F1907" s="41" t="n"/>
      <c r="G1907" s="41" t="n"/>
      <c r="H1907" s="41" t="n"/>
      <c r="I1907" s="41" t="n"/>
      <c r="J1907" s="47" t="n"/>
      <c r="K1907" s="41" t="n"/>
      <c r="L1907" s="48" t="n"/>
      <c r="M1907" s="45" t="n"/>
      <c r="N1907" s="39">
        <f>IF($B1907="","",IF(SUMPRODUCT((LISTAS!$O$3:$O$42&lt;&gt;"")*ISNUMBER(SEARCH(LISTAS!$O$3:$O$42,$I1907&amp;" "&amp;$K1907)))&gt;0,"CERCANA","NACIONAL"))</f>
        <v/>
      </c>
      <c r="O1907" s="39">
        <f>IF($B1907="","",IF(COUNTIFS(NOVEDADES!$C$4:$C$2003,$B1907)=0,"—","SÍ ("&amp;COUNTIFS(NOVEDADES!$C$4:$C$2003,$B1907)&amp;")"))</f>
        <v/>
      </c>
    </row>
    <row r="1908">
      <c r="A1908" s="41" t="n"/>
      <c r="B1908" s="41" t="n"/>
      <c r="C1908" s="41" t="n"/>
      <c r="D1908" s="41" t="n"/>
      <c r="E1908" s="46" t="n"/>
      <c r="F1908" s="41" t="n"/>
      <c r="G1908" s="41" t="n"/>
      <c r="H1908" s="41" t="n"/>
      <c r="I1908" s="41" t="n"/>
      <c r="J1908" s="47" t="n"/>
      <c r="K1908" s="41" t="n"/>
      <c r="L1908" s="48" t="n"/>
      <c r="M1908" s="45" t="n"/>
      <c r="N1908" s="39">
        <f>IF($B1908="","",IF(SUMPRODUCT((LISTAS!$O$3:$O$42&lt;&gt;"")*ISNUMBER(SEARCH(LISTAS!$O$3:$O$42,$I1908&amp;" "&amp;$K1908)))&gt;0,"CERCANA","NACIONAL"))</f>
        <v/>
      </c>
      <c r="O1908" s="39">
        <f>IF($B1908="","",IF(COUNTIFS(NOVEDADES!$C$4:$C$2003,$B1908)=0,"—","SÍ ("&amp;COUNTIFS(NOVEDADES!$C$4:$C$2003,$B1908)&amp;")"))</f>
        <v/>
      </c>
    </row>
    <row r="1909">
      <c r="A1909" s="41" t="n"/>
      <c r="B1909" s="41" t="n"/>
      <c r="C1909" s="41" t="n"/>
      <c r="D1909" s="41" t="n"/>
      <c r="E1909" s="46" t="n"/>
      <c r="F1909" s="41" t="n"/>
      <c r="G1909" s="41" t="n"/>
      <c r="H1909" s="41" t="n"/>
      <c r="I1909" s="41" t="n"/>
      <c r="J1909" s="47" t="n"/>
      <c r="K1909" s="41" t="n"/>
      <c r="L1909" s="48" t="n"/>
      <c r="M1909" s="45" t="n"/>
      <c r="N1909" s="39">
        <f>IF($B1909="","",IF(SUMPRODUCT((LISTAS!$O$3:$O$42&lt;&gt;"")*ISNUMBER(SEARCH(LISTAS!$O$3:$O$42,$I1909&amp;" "&amp;$K1909)))&gt;0,"CERCANA","NACIONAL"))</f>
        <v/>
      </c>
      <c r="O1909" s="39">
        <f>IF($B1909="","",IF(COUNTIFS(NOVEDADES!$C$4:$C$2003,$B1909)=0,"—","SÍ ("&amp;COUNTIFS(NOVEDADES!$C$4:$C$2003,$B1909)&amp;")"))</f>
        <v/>
      </c>
    </row>
    <row r="1910">
      <c r="A1910" s="41" t="n"/>
      <c r="B1910" s="41" t="n"/>
      <c r="C1910" s="41" t="n"/>
      <c r="D1910" s="41" t="n"/>
      <c r="E1910" s="46" t="n"/>
      <c r="F1910" s="41" t="n"/>
      <c r="G1910" s="41" t="n"/>
      <c r="H1910" s="41" t="n"/>
      <c r="I1910" s="41" t="n"/>
      <c r="J1910" s="47" t="n"/>
      <c r="K1910" s="41" t="n"/>
      <c r="L1910" s="48" t="n"/>
      <c r="M1910" s="45" t="n"/>
      <c r="N1910" s="39">
        <f>IF($B1910="","",IF(SUMPRODUCT((LISTAS!$O$3:$O$42&lt;&gt;"")*ISNUMBER(SEARCH(LISTAS!$O$3:$O$42,$I1910&amp;" "&amp;$K1910)))&gt;0,"CERCANA","NACIONAL"))</f>
        <v/>
      </c>
      <c r="O1910" s="39">
        <f>IF($B1910="","",IF(COUNTIFS(NOVEDADES!$C$4:$C$2003,$B1910)=0,"—","SÍ ("&amp;COUNTIFS(NOVEDADES!$C$4:$C$2003,$B1910)&amp;")"))</f>
        <v/>
      </c>
    </row>
    <row r="1911">
      <c r="A1911" s="41" t="n"/>
      <c r="B1911" s="41" t="n"/>
      <c r="C1911" s="41" t="n"/>
      <c r="D1911" s="41" t="n"/>
      <c r="E1911" s="46" t="n"/>
      <c r="F1911" s="41" t="n"/>
      <c r="G1911" s="41" t="n"/>
      <c r="H1911" s="41" t="n"/>
      <c r="I1911" s="41" t="n"/>
      <c r="J1911" s="47" t="n"/>
      <c r="K1911" s="41" t="n"/>
      <c r="L1911" s="48" t="n"/>
      <c r="M1911" s="45" t="n"/>
      <c r="N1911" s="39">
        <f>IF($B1911="","",IF(SUMPRODUCT((LISTAS!$O$3:$O$42&lt;&gt;"")*ISNUMBER(SEARCH(LISTAS!$O$3:$O$42,$I1911&amp;" "&amp;$K1911)))&gt;0,"CERCANA","NACIONAL"))</f>
        <v/>
      </c>
      <c r="O1911" s="39">
        <f>IF($B1911="","",IF(COUNTIFS(NOVEDADES!$C$4:$C$2003,$B1911)=0,"—","SÍ ("&amp;COUNTIFS(NOVEDADES!$C$4:$C$2003,$B1911)&amp;")"))</f>
        <v/>
      </c>
    </row>
    <row r="1912">
      <c r="A1912" s="41" t="n"/>
      <c r="B1912" s="41" t="n"/>
      <c r="C1912" s="41" t="n"/>
      <c r="D1912" s="41" t="n"/>
      <c r="E1912" s="46" t="n"/>
      <c r="F1912" s="41" t="n"/>
      <c r="G1912" s="41" t="n"/>
      <c r="H1912" s="41" t="n"/>
      <c r="I1912" s="41" t="n"/>
      <c r="J1912" s="47" t="n"/>
      <c r="K1912" s="41" t="n"/>
      <c r="L1912" s="48" t="n"/>
      <c r="M1912" s="45" t="n"/>
      <c r="N1912" s="39">
        <f>IF($B1912="","",IF(SUMPRODUCT((LISTAS!$O$3:$O$42&lt;&gt;"")*ISNUMBER(SEARCH(LISTAS!$O$3:$O$42,$I1912&amp;" "&amp;$K1912)))&gt;0,"CERCANA","NACIONAL"))</f>
        <v/>
      </c>
      <c r="O1912" s="39">
        <f>IF($B1912="","",IF(COUNTIFS(NOVEDADES!$C$4:$C$2003,$B1912)=0,"—","SÍ ("&amp;COUNTIFS(NOVEDADES!$C$4:$C$2003,$B1912)&amp;")"))</f>
        <v/>
      </c>
    </row>
    <row r="1913">
      <c r="A1913" s="41" t="n"/>
      <c r="B1913" s="41" t="n"/>
      <c r="C1913" s="41" t="n"/>
      <c r="D1913" s="41" t="n"/>
      <c r="E1913" s="46" t="n"/>
      <c r="F1913" s="41" t="n"/>
      <c r="G1913" s="41" t="n"/>
      <c r="H1913" s="41" t="n"/>
      <c r="I1913" s="41" t="n"/>
      <c r="J1913" s="47" t="n"/>
      <c r="K1913" s="41" t="n"/>
      <c r="L1913" s="48" t="n"/>
      <c r="M1913" s="45" t="n"/>
      <c r="N1913" s="39">
        <f>IF($B1913="","",IF(SUMPRODUCT((LISTAS!$O$3:$O$42&lt;&gt;"")*ISNUMBER(SEARCH(LISTAS!$O$3:$O$42,$I1913&amp;" "&amp;$K1913)))&gt;0,"CERCANA","NACIONAL"))</f>
        <v/>
      </c>
      <c r="O1913" s="39">
        <f>IF($B1913="","",IF(COUNTIFS(NOVEDADES!$C$4:$C$2003,$B1913)=0,"—","SÍ ("&amp;COUNTIFS(NOVEDADES!$C$4:$C$2003,$B1913)&amp;")"))</f>
        <v/>
      </c>
    </row>
    <row r="1914">
      <c r="A1914" s="41" t="n"/>
      <c r="B1914" s="41" t="n"/>
      <c r="C1914" s="41" t="n"/>
      <c r="D1914" s="41" t="n"/>
      <c r="E1914" s="46" t="n"/>
      <c r="F1914" s="41" t="n"/>
      <c r="G1914" s="41" t="n"/>
      <c r="H1914" s="41" t="n"/>
      <c r="I1914" s="41" t="n"/>
      <c r="J1914" s="47" t="n"/>
      <c r="K1914" s="41" t="n"/>
      <c r="L1914" s="48" t="n"/>
      <c r="M1914" s="45" t="n"/>
      <c r="N1914" s="39">
        <f>IF($B1914="","",IF(SUMPRODUCT((LISTAS!$O$3:$O$42&lt;&gt;"")*ISNUMBER(SEARCH(LISTAS!$O$3:$O$42,$I1914&amp;" "&amp;$K1914)))&gt;0,"CERCANA","NACIONAL"))</f>
        <v/>
      </c>
      <c r="O1914" s="39">
        <f>IF($B1914="","",IF(COUNTIFS(NOVEDADES!$C$4:$C$2003,$B1914)=0,"—","SÍ ("&amp;COUNTIFS(NOVEDADES!$C$4:$C$2003,$B1914)&amp;")"))</f>
        <v/>
      </c>
    </row>
    <row r="1915">
      <c r="A1915" s="41" t="n"/>
      <c r="B1915" s="41" t="n"/>
      <c r="C1915" s="41" t="n"/>
      <c r="D1915" s="41" t="n"/>
      <c r="E1915" s="46" t="n"/>
      <c r="F1915" s="41" t="n"/>
      <c r="G1915" s="41" t="n"/>
      <c r="H1915" s="41" t="n"/>
      <c r="I1915" s="41" t="n"/>
      <c r="J1915" s="47" t="n"/>
      <c r="K1915" s="41" t="n"/>
      <c r="L1915" s="48" t="n"/>
      <c r="M1915" s="45" t="n"/>
      <c r="N1915" s="39">
        <f>IF($B1915="","",IF(SUMPRODUCT((LISTAS!$O$3:$O$42&lt;&gt;"")*ISNUMBER(SEARCH(LISTAS!$O$3:$O$42,$I1915&amp;" "&amp;$K1915)))&gt;0,"CERCANA","NACIONAL"))</f>
        <v/>
      </c>
      <c r="O1915" s="39">
        <f>IF($B1915="","",IF(COUNTIFS(NOVEDADES!$C$4:$C$2003,$B1915)=0,"—","SÍ ("&amp;COUNTIFS(NOVEDADES!$C$4:$C$2003,$B1915)&amp;")"))</f>
        <v/>
      </c>
    </row>
    <row r="1916">
      <c r="A1916" s="41" t="n"/>
      <c r="B1916" s="41" t="n"/>
      <c r="C1916" s="41" t="n"/>
      <c r="D1916" s="41" t="n"/>
      <c r="E1916" s="46" t="n"/>
      <c r="F1916" s="41" t="n"/>
      <c r="G1916" s="41" t="n"/>
      <c r="H1916" s="41" t="n"/>
      <c r="I1916" s="41" t="n"/>
      <c r="J1916" s="47" t="n"/>
      <c r="K1916" s="41" t="n"/>
      <c r="L1916" s="48" t="n"/>
      <c r="M1916" s="45" t="n"/>
      <c r="N1916" s="39">
        <f>IF($B1916="","",IF(SUMPRODUCT((LISTAS!$O$3:$O$42&lt;&gt;"")*ISNUMBER(SEARCH(LISTAS!$O$3:$O$42,$I1916&amp;" "&amp;$K1916)))&gt;0,"CERCANA","NACIONAL"))</f>
        <v/>
      </c>
      <c r="O1916" s="39">
        <f>IF($B1916="","",IF(COUNTIFS(NOVEDADES!$C$4:$C$2003,$B1916)=0,"—","SÍ ("&amp;COUNTIFS(NOVEDADES!$C$4:$C$2003,$B1916)&amp;")"))</f>
        <v/>
      </c>
    </row>
    <row r="1917">
      <c r="A1917" s="41" t="n"/>
      <c r="B1917" s="41" t="n"/>
      <c r="C1917" s="41" t="n"/>
      <c r="D1917" s="41" t="n"/>
      <c r="E1917" s="46" t="n"/>
      <c r="F1917" s="41" t="n"/>
      <c r="G1917" s="41" t="n"/>
      <c r="H1917" s="41" t="n"/>
      <c r="I1917" s="41" t="n"/>
      <c r="J1917" s="47" t="n"/>
      <c r="K1917" s="41" t="n"/>
      <c r="L1917" s="48" t="n"/>
      <c r="M1917" s="45" t="n"/>
      <c r="N1917" s="39">
        <f>IF($B1917="","",IF(SUMPRODUCT((LISTAS!$O$3:$O$42&lt;&gt;"")*ISNUMBER(SEARCH(LISTAS!$O$3:$O$42,$I1917&amp;" "&amp;$K1917)))&gt;0,"CERCANA","NACIONAL"))</f>
        <v/>
      </c>
      <c r="O1917" s="39">
        <f>IF($B1917="","",IF(COUNTIFS(NOVEDADES!$C$4:$C$2003,$B1917)=0,"—","SÍ ("&amp;COUNTIFS(NOVEDADES!$C$4:$C$2003,$B1917)&amp;")"))</f>
        <v/>
      </c>
    </row>
    <row r="1918">
      <c r="A1918" s="41" t="n"/>
      <c r="B1918" s="41" t="n"/>
      <c r="C1918" s="41" t="n"/>
      <c r="D1918" s="41" t="n"/>
      <c r="E1918" s="46" t="n"/>
      <c r="F1918" s="41" t="n"/>
      <c r="G1918" s="41" t="n"/>
      <c r="H1918" s="41" t="n"/>
      <c r="I1918" s="41" t="n"/>
      <c r="J1918" s="47" t="n"/>
      <c r="K1918" s="41" t="n"/>
      <c r="L1918" s="48" t="n"/>
      <c r="M1918" s="45" t="n"/>
      <c r="N1918" s="39">
        <f>IF($B1918="","",IF(SUMPRODUCT((LISTAS!$O$3:$O$42&lt;&gt;"")*ISNUMBER(SEARCH(LISTAS!$O$3:$O$42,$I1918&amp;" "&amp;$K1918)))&gt;0,"CERCANA","NACIONAL"))</f>
        <v/>
      </c>
      <c r="O1918" s="39">
        <f>IF($B1918="","",IF(COUNTIFS(NOVEDADES!$C$4:$C$2003,$B1918)=0,"—","SÍ ("&amp;COUNTIFS(NOVEDADES!$C$4:$C$2003,$B1918)&amp;")"))</f>
        <v/>
      </c>
    </row>
    <row r="1919">
      <c r="A1919" s="41" t="n"/>
      <c r="B1919" s="41" t="n"/>
      <c r="C1919" s="41" t="n"/>
      <c r="D1919" s="41" t="n"/>
      <c r="E1919" s="46" t="n"/>
      <c r="F1919" s="41" t="n"/>
      <c r="G1919" s="41" t="n"/>
      <c r="H1919" s="41" t="n"/>
      <c r="I1919" s="41" t="n"/>
      <c r="J1919" s="47" t="n"/>
      <c r="K1919" s="41" t="n"/>
      <c r="L1919" s="48" t="n"/>
      <c r="M1919" s="45" t="n"/>
      <c r="N1919" s="39">
        <f>IF($B1919="","",IF(SUMPRODUCT((LISTAS!$O$3:$O$42&lt;&gt;"")*ISNUMBER(SEARCH(LISTAS!$O$3:$O$42,$I1919&amp;" "&amp;$K1919)))&gt;0,"CERCANA","NACIONAL"))</f>
        <v/>
      </c>
      <c r="O1919" s="39">
        <f>IF($B1919="","",IF(COUNTIFS(NOVEDADES!$C$4:$C$2003,$B1919)=0,"—","SÍ ("&amp;COUNTIFS(NOVEDADES!$C$4:$C$2003,$B1919)&amp;")"))</f>
        <v/>
      </c>
    </row>
    <row r="1920">
      <c r="A1920" s="41" t="n"/>
      <c r="B1920" s="41" t="n"/>
      <c r="C1920" s="41" t="n"/>
      <c r="D1920" s="41" t="n"/>
      <c r="E1920" s="46" t="n"/>
      <c r="F1920" s="41" t="n"/>
      <c r="G1920" s="41" t="n"/>
      <c r="H1920" s="41" t="n"/>
      <c r="I1920" s="41" t="n"/>
      <c r="J1920" s="47" t="n"/>
      <c r="K1920" s="41" t="n"/>
      <c r="L1920" s="48" t="n"/>
      <c r="M1920" s="45" t="n"/>
      <c r="N1920" s="39">
        <f>IF($B1920="","",IF(SUMPRODUCT((LISTAS!$O$3:$O$42&lt;&gt;"")*ISNUMBER(SEARCH(LISTAS!$O$3:$O$42,$I1920&amp;" "&amp;$K1920)))&gt;0,"CERCANA","NACIONAL"))</f>
        <v/>
      </c>
      <c r="O1920" s="39">
        <f>IF($B1920="","",IF(COUNTIFS(NOVEDADES!$C$4:$C$2003,$B1920)=0,"—","SÍ ("&amp;COUNTIFS(NOVEDADES!$C$4:$C$2003,$B1920)&amp;")"))</f>
        <v/>
      </c>
    </row>
    <row r="1921">
      <c r="A1921" s="41" t="n"/>
      <c r="B1921" s="41" t="n"/>
      <c r="C1921" s="41" t="n"/>
      <c r="D1921" s="41" t="n"/>
      <c r="E1921" s="46" t="n"/>
      <c r="F1921" s="41" t="n"/>
      <c r="G1921" s="41" t="n"/>
      <c r="H1921" s="41" t="n"/>
      <c r="I1921" s="41" t="n"/>
      <c r="J1921" s="47" t="n"/>
      <c r="K1921" s="41" t="n"/>
      <c r="L1921" s="48" t="n"/>
      <c r="M1921" s="45" t="n"/>
      <c r="N1921" s="39">
        <f>IF($B1921="","",IF(SUMPRODUCT((LISTAS!$O$3:$O$42&lt;&gt;"")*ISNUMBER(SEARCH(LISTAS!$O$3:$O$42,$I1921&amp;" "&amp;$K1921)))&gt;0,"CERCANA","NACIONAL"))</f>
        <v/>
      </c>
      <c r="O1921" s="39">
        <f>IF($B1921="","",IF(COUNTIFS(NOVEDADES!$C$4:$C$2003,$B1921)=0,"—","SÍ ("&amp;COUNTIFS(NOVEDADES!$C$4:$C$2003,$B1921)&amp;")"))</f>
        <v/>
      </c>
    </row>
    <row r="1922">
      <c r="A1922" s="41" t="n"/>
      <c r="B1922" s="41" t="n"/>
      <c r="C1922" s="41" t="n"/>
      <c r="D1922" s="41" t="n"/>
      <c r="E1922" s="46" t="n"/>
      <c r="F1922" s="41" t="n"/>
      <c r="G1922" s="41" t="n"/>
      <c r="H1922" s="41" t="n"/>
      <c r="I1922" s="41" t="n"/>
      <c r="J1922" s="47" t="n"/>
      <c r="K1922" s="41" t="n"/>
      <c r="L1922" s="48" t="n"/>
      <c r="M1922" s="45" t="n"/>
      <c r="N1922" s="39">
        <f>IF($B1922="","",IF(SUMPRODUCT((LISTAS!$O$3:$O$42&lt;&gt;"")*ISNUMBER(SEARCH(LISTAS!$O$3:$O$42,$I1922&amp;" "&amp;$K1922)))&gt;0,"CERCANA","NACIONAL"))</f>
        <v/>
      </c>
      <c r="O1922" s="39">
        <f>IF($B1922="","",IF(COUNTIFS(NOVEDADES!$C$4:$C$2003,$B1922)=0,"—","SÍ ("&amp;COUNTIFS(NOVEDADES!$C$4:$C$2003,$B1922)&amp;")"))</f>
        <v/>
      </c>
    </row>
    <row r="1923">
      <c r="A1923" s="41" t="n"/>
      <c r="B1923" s="41" t="n"/>
      <c r="C1923" s="41" t="n"/>
      <c r="D1923" s="41" t="n"/>
      <c r="E1923" s="46" t="n"/>
      <c r="F1923" s="41" t="n"/>
      <c r="G1923" s="41" t="n"/>
      <c r="H1923" s="41" t="n"/>
      <c r="I1923" s="41" t="n"/>
      <c r="J1923" s="47" t="n"/>
      <c r="K1923" s="41" t="n"/>
      <c r="L1923" s="48" t="n"/>
      <c r="M1923" s="45" t="n"/>
      <c r="N1923" s="39">
        <f>IF($B1923="","",IF(SUMPRODUCT((LISTAS!$O$3:$O$42&lt;&gt;"")*ISNUMBER(SEARCH(LISTAS!$O$3:$O$42,$I1923&amp;" "&amp;$K1923)))&gt;0,"CERCANA","NACIONAL"))</f>
        <v/>
      </c>
      <c r="O1923" s="39">
        <f>IF($B1923="","",IF(COUNTIFS(NOVEDADES!$C$4:$C$2003,$B1923)=0,"—","SÍ ("&amp;COUNTIFS(NOVEDADES!$C$4:$C$2003,$B1923)&amp;")"))</f>
        <v/>
      </c>
    </row>
    <row r="1924">
      <c r="A1924" s="41" t="n"/>
      <c r="B1924" s="41" t="n"/>
      <c r="C1924" s="41" t="n"/>
      <c r="D1924" s="41" t="n"/>
      <c r="E1924" s="46" t="n"/>
      <c r="F1924" s="41" t="n"/>
      <c r="G1924" s="41" t="n"/>
      <c r="H1924" s="41" t="n"/>
      <c r="I1924" s="41" t="n"/>
      <c r="J1924" s="47" t="n"/>
      <c r="K1924" s="41" t="n"/>
      <c r="L1924" s="48" t="n"/>
      <c r="M1924" s="45" t="n"/>
      <c r="N1924" s="39">
        <f>IF($B1924="","",IF(SUMPRODUCT((LISTAS!$O$3:$O$42&lt;&gt;"")*ISNUMBER(SEARCH(LISTAS!$O$3:$O$42,$I1924&amp;" "&amp;$K1924)))&gt;0,"CERCANA","NACIONAL"))</f>
        <v/>
      </c>
      <c r="O1924" s="39">
        <f>IF($B1924="","",IF(COUNTIFS(NOVEDADES!$C$4:$C$2003,$B1924)=0,"—","SÍ ("&amp;COUNTIFS(NOVEDADES!$C$4:$C$2003,$B1924)&amp;")"))</f>
        <v/>
      </c>
    </row>
    <row r="1925">
      <c r="A1925" s="41" t="n"/>
      <c r="B1925" s="41" t="n"/>
      <c r="C1925" s="41" t="n"/>
      <c r="D1925" s="41" t="n"/>
      <c r="E1925" s="46" t="n"/>
      <c r="F1925" s="41" t="n"/>
      <c r="G1925" s="41" t="n"/>
      <c r="H1925" s="41" t="n"/>
      <c r="I1925" s="41" t="n"/>
      <c r="J1925" s="47" t="n"/>
      <c r="K1925" s="41" t="n"/>
      <c r="L1925" s="48" t="n"/>
      <c r="M1925" s="45" t="n"/>
      <c r="N1925" s="39">
        <f>IF($B1925="","",IF(SUMPRODUCT((LISTAS!$O$3:$O$42&lt;&gt;"")*ISNUMBER(SEARCH(LISTAS!$O$3:$O$42,$I1925&amp;" "&amp;$K1925)))&gt;0,"CERCANA","NACIONAL"))</f>
        <v/>
      </c>
      <c r="O1925" s="39">
        <f>IF($B1925="","",IF(COUNTIFS(NOVEDADES!$C$4:$C$2003,$B1925)=0,"—","SÍ ("&amp;COUNTIFS(NOVEDADES!$C$4:$C$2003,$B1925)&amp;")"))</f>
        <v/>
      </c>
    </row>
    <row r="1926">
      <c r="A1926" s="41" t="n"/>
      <c r="B1926" s="41" t="n"/>
      <c r="C1926" s="41" t="n"/>
      <c r="D1926" s="41" t="n"/>
      <c r="E1926" s="46" t="n"/>
      <c r="F1926" s="41" t="n"/>
      <c r="G1926" s="41" t="n"/>
      <c r="H1926" s="41" t="n"/>
      <c r="I1926" s="41" t="n"/>
      <c r="J1926" s="47" t="n"/>
      <c r="K1926" s="41" t="n"/>
      <c r="L1926" s="48" t="n"/>
      <c r="M1926" s="45" t="n"/>
      <c r="N1926" s="39">
        <f>IF($B1926="","",IF(SUMPRODUCT((LISTAS!$O$3:$O$42&lt;&gt;"")*ISNUMBER(SEARCH(LISTAS!$O$3:$O$42,$I1926&amp;" "&amp;$K1926)))&gt;0,"CERCANA","NACIONAL"))</f>
        <v/>
      </c>
      <c r="O1926" s="39">
        <f>IF($B1926="","",IF(COUNTIFS(NOVEDADES!$C$4:$C$2003,$B1926)=0,"—","SÍ ("&amp;COUNTIFS(NOVEDADES!$C$4:$C$2003,$B1926)&amp;")"))</f>
        <v/>
      </c>
    </row>
    <row r="1927">
      <c r="A1927" s="41" t="n"/>
      <c r="B1927" s="41" t="n"/>
      <c r="C1927" s="41" t="n"/>
      <c r="D1927" s="41" t="n"/>
      <c r="E1927" s="46" t="n"/>
      <c r="F1927" s="41" t="n"/>
      <c r="G1927" s="41" t="n"/>
      <c r="H1927" s="41" t="n"/>
      <c r="I1927" s="41" t="n"/>
      <c r="J1927" s="47" t="n"/>
      <c r="K1927" s="41" t="n"/>
      <c r="L1927" s="48" t="n"/>
      <c r="M1927" s="45" t="n"/>
      <c r="N1927" s="39">
        <f>IF($B1927="","",IF(SUMPRODUCT((LISTAS!$O$3:$O$42&lt;&gt;"")*ISNUMBER(SEARCH(LISTAS!$O$3:$O$42,$I1927&amp;" "&amp;$K1927)))&gt;0,"CERCANA","NACIONAL"))</f>
        <v/>
      </c>
      <c r="O1927" s="39">
        <f>IF($B1927="","",IF(COUNTIFS(NOVEDADES!$C$4:$C$2003,$B1927)=0,"—","SÍ ("&amp;COUNTIFS(NOVEDADES!$C$4:$C$2003,$B1927)&amp;")"))</f>
        <v/>
      </c>
    </row>
    <row r="1928">
      <c r="A1928" s="41" t="n"/>
      <c r="B1928" s="41" t="n"/>
      <c r="C1928" s="41" t="n"/>
      <c r="D1928" s="41" t="n"/>
      <c r="E1928" s="46" t="n"/>
      <c r="F1928" s="41" t="n"/>
      <c r="G1928" s="41" t="n"/>
      <c r="H1928" s="41" t="n"/>
      <c r="I1928" s="41" t="n"/>
      <c r="J1928" s="47" t="n"/>
      <c r="K1928" s="41" t="n"/>
      <c r="L1928" s="48" t="n"/>
      <c r="M1928" s="45" t="n"/>
      <c r="N1928" s="39">
        <f>IF($B1928="","",IF(SUMPRODUCT((LISTAS!$O$3:$O$42&lt;&gt;"")*ISNUMBER(SEARCH(LISTAS!$O$3:$O$42,$I1928&amp;" "&amp;$K1928)))&gt;0,"CERCANA","NACIONAL"))</f>
        <v/>
      </c>
      <c r="O1928" s="39">
        <f>IF($B1928="","",IF(COUNTIFS(NOVEDADES!$C$4:$C$2003,$B1928)=0,"—","SÍ ("&amp;COUNTIFS(NOVEDADES!$C$4:$C$2003,$B1928)&amp;")"))</f>
        <v/>
      </c>
    </row>
    <row r="1929">
      <c r="A1929" s="41" t="n"/>
      <c r="B1929" s="41" t="n"/>
      <c r="C1929" s="41" t="n"/>
      <c r="D1929" s="41" t="n"/>
      <c r="E1929" s="46" t="n"/>
      <c r="F1929" s="41" t="n"/>
      <c r="G1929" s="41" t="n"/>
      <c r="H1929" s="41" t="n"/>
      <c r="I1929" s="41" t="n"/>
      <c r="J1929" s="47" t="n"/>
      <c r="K1929" s="41" t="n"/>
      <c r="L1929" s="48" t="n"/>
      <c r="M1929" s="45" t="n"/>
      <c r="N1929" s="39">
        <f>IF($B1929="","",IF(SUMPRODUCT((LISTAS!$O$3:$O$42&lt;&gt;"")*ISNUMBER(SEARCH(LISTAS!$O$3:$O$42,$I1929&amp;" "&amp;$K1929)))&gt;0,"CERCANA","NACIONAL"))</f>
        <v/>
      </c>
      <c r="O1929" s="39">
        <f>IF($B1929="","",IF(COUNTIFS(NOVEDADES!$C$4:$C$2003,$B1929)=0,"—","SÍ ("&amp;COUNTIFS(NOVEDADES!$C$4:$C$2003,$B1929)&amp;")"))</f>
        <v/>
      </c>
    </row>
    <row r="1930">
      <c r="A1930" s="41" t="n"/>
      <c r="B1930" s="41" t="n"/>
      <c r="C1930" s="41" t="n"/>
      <c r="D1930" s="41" t="n"/>
      <c r="E1930" s="46" t="n"/>
      <c r="F1930" s="41" t="n"/>
      <c r="G1930" s="41" t="n"/>
      <c r="H1930" s="41" t="n"/>
      <c r="I1930" s="41" t="n"/>
      <c r="J1930" s="47" t="n"/>
      <c r="K1930" s="41" t="n"/>
      <c r="L1930" s="48" t="n"/>
      <c r="M1930" s="45" t="n"/>
      <c r="N1930" s="39">
        <f>IF($B1930="","",IF(SUMPRODUCT((LISTAS!$O$3:$O$42&lt;&gt;"")*ISNUMBER(SEARCH(LISTAS!$O$3:$O$42,$I1930&amp;" "&amp;$K1930)))&gt;0,"CERCANA","NACIONAL"))</f>
        <v/>
      </c>
      <c r="O1930" s="39">
        <f>IF($B1930="","",IF(COUNTIFS(NOVEDADES!$C$4:$C$2003,$B1930)=0,"—","SÍ ("&amp;COUNTIFS(NOVEDADES!$C$4:$C$2003,$B1930)&amp;")"))</f>
        <v/>
      </c>
    </row>
    <row r="1931">
      <c r="A1931" s="41" t="n"/>
      <c r="B1931" s="41" t="n"/>
      <c r="C1931" s="41" t="n"/>
      <c r="D1931" s="41" t="n"/>
      <c r="E1931" s="46" t="n"/>
      <c r="F1931" s="41" t="n"/>
      <c r="G1931" s="41" t="n"/>
      <c r="H1931" s="41" t="n"/>
      <c r="I1931" s="41" t="n"/>
      <c r="J1931" s="47" t="n"/>
      <c r="K1931" s="41" t="n"/>
      <c r="L1931" s="48" t="n"/>
      <c r="M1931" s="45" t="n"/>
      <c r="N1931" s="39">
        <f>IF($B1931="","",IF(SUMPRODUCT((LISTAS!$O$3:$O$42&lt;&gt;"")*ISNUMBER(SEARCH(LISTAS!$O$3:$O$42,$I1931&amp;" "&amp;$K1931)))&gt;0,"CERCANA","NACIONAL"))</f>
        <v/>
      </c>
      <c r="O1931" s="39">
        <f>IF($B1931="","",IF(COUNTIFS(NOVEDADES!$C$4:$C$2003,$B1931)=0,"—","SÍ ("&amp;COUNTIFS(NOVEDADES!$C$4:$C$2003,$B1931)&amp;")"))</f>
        <v/>
      </c>
    </row>
    <row r="1932">
      <c r="A1932" s="41" t="n"/>
      <c r="B1932" s="41" t="n"/>
      <c r="C1932" s="41" t="n"/>
      <c r="D1932" s="41" t="n"/>
      <c r="E1932" s="46" t="n"/>
      <c r="F1932" s="41" t="n"/>
      <c r="G1932" s="41" t="n"/>
      <c r="H1932" s="41" t="n"/>
      <c r="I1932" s="41" t="n"/>
      <c r="J1932" s="47" t="n"/>
      <c r="K1932" s="41" t="n"/>
      <c r="L1932" s="48" t="n"/>
      <c r="M1932" s="45" t="n"/>
      <c r="N1932" s="39">
        <f>IF($B1932="","",IF(SUMPRODUCT((LISTAS!$O$3:$O$42&lt;&gt;"")*ISNUMBER(SEARCH(LISTAS!$O$3:$O$42,$I1932&amp;" "&amp;$K1932)))&gt;0,"CERCANA","NACIONAL"))</f>
        <v/>
      </c>
      <c r="O1932" s="39">
        <f>IF($B1932="","",IF(COUNTIFS(NOVEDADES!$C$4:$C$2003,$B1932)=0,"—","SÍ ("&amp;COUNTIFS(NOVEDADES!$C$4:$C$2003,$B1932)&amp;")"))</f>
        <v/>
      </c>
    </row>
    <row r="1933">
      <c r="A1933" s="41" t="n"/>
      <c r="B1933" s="41" t="n"/>
      <c r="C1933" s="41" t="n"/>
      <c r="D1933" s="41" t="n"/>
      <c r="E1933" s="46" t="n"/>
      <c r="F1933" s="41" t="n"/>
      <c r="G1933" s="41" t="n"/>
      <c r="H1933" s="41" t="n"/>
      <c r="I1933" s="41" t="n"/>
      <c r="J1933" s="47" t="n"/>
      <c r="K1933" s="41" t="n"/>
      <c r="L1933" s="48" t="n"/>
      <c r="M1933" s="45" t="n"/>
      <c r="N1933" s="39">
        <f>IF($B1933="","",IF(SUMPRODUCT((LISTAS!$O$3:$O$42&lt;&gt;"")*ISNUMBER(SEARCH(LISTAS!$O$3:$O$42,$I1933&amp;" "&amp;$K1933)))&gt;0,"CERCANA","NACIONAL"))</f>
        <v/>
      </c>
      <c r="O1933" s="39">
        <f>IF($B1933="","",IF(COUNTIFS(NOVEDADES!$C$4:$C$2003,$B1933)=0,"—","SÍ ("&amp;COUNTIFS(NOVEDADES!$C$4:$C$2003,$B1933)&amp;")"))</f>
        <v/>
      </c>
    </row>
    <row r="1934">
      <c r="A1934" s="41" t="n"/>
      <c r="B1934" s="41" t="n"/>
      <c r="C1934" s="41" t="n"/>
      <c r="D1934" s="41" t="n"/>
      <c r="E1934" s="46" t="n"/>
      <c r="F1934" s="41" t="n"/>
      <c r="G1934" s="41" t="n"/>
      <c r="H1934" s="41" t="n"/>
      <c r="I1934" s="41" t="n"/>
      <c r="J1934" s="47" t="n"/>
      <c r="K1934" s="41" t="n"/>
      <c r="L1934" s="48" t="n"/>
      <c r="M1934" s="45" t="n"/>
      <c r="N1934" s="39">
        <f>IF($B1934="","",IF(SUMPRODUCT((LISTAS!$O$3:$O$42&lt;&gt;"")*ISNUMBER(SEARCH(LISTAS!$O$3:$O$42,$I1934&amp;" "&amp;$K1934)))&gt;0,"CERCANA","NACIONAL"))</f>
        <v/>
      </c>
      <c r="O1934" s="39">
        <f>IF($B1934="","",IF(COUNTIFS(NOVEDADES!$C$4:$C$2003,$B1934)=0,"—","SÍ ("&amp;COUNTIFS(NOVEDADES!$C$4:$C$2003,$B1934)&amp;")"))</f>
        <v/>
      </c>
    </row>
    <row r="1935">
      <c r="A1935" s="41" t="n"/>
      <c r="B1935" s="41" t="n"/>
      <c r="C1935" s="41" t="n"/>
      <c r="D1935" s="41" t="n"/>
      <c r="E1935" s="46" t="n"/>
      <c r="F1935" s="41" t="n"/>
      <c r="G1935" s="41" t="n"/>
      <c r="H1935" s="41" t="n"/>
      <c r="I1935" s="41" t="n"/>
      <c r="J1935" s="47" t="n"/>
      <c r="K1935" s="41" t="n"/>
      <c r="L1935" s="48" t="n"/>
      <c r="M1935" s="45" t="n"/>
      <c r="N1935" s="39">
        <f>IF($B1935="","",IF(SUMPRODUCT((LISTAS!$O$3:$O$42&lt;&gt;"")*ISNUMBER(SEARCH(LISTAS!$O$3:$O$42,$I1935&amp;" "&amp;$K1935)))&gt;0,"CERCANA","NACIONAL"))</f>
        <v/>
      </c>
      <c r="O1935" s="39">
        <f>IF($B1935="","",IF(COUNTIFS(NOVEDADES!$C$4:$C$2003,$B1935)=0,"—","SÍ ("&amp;COUNTIFS(NOVEDADES!$C$4:$C$2003,$B1935)&amp;")"))</f>
        <v/>
      </c>
    </row>
    <row r="1936">
      <c r="A1936" s="41" t="n"/>
      <c r="B1936" s="41" t="n"/>
      <c r="C1936" s="41" t="n"/>
      <c r="D1936" s="41" t="n"/>
      <c r="E1936" s="46" t="n"/>
      <c r="F1936" s="41" t="n"/>
      <c r="G1936" s="41" t="n"/>
      <c r="H1936" s="41" t="n"/>
      <c r="I1936" s="41" t="n"/>
      <c r="J1936" s="47" t="n"/>
      <c r="K1936" s="41" t="n"/>
      <c r="L1936" s="48" t="n"/>
      <c r="M1936" s="45" t="n"/>
      <c r="N1936" s="39">
        <f>IF($B1936="","",IF(SUMPRODUCT((LISTAS!$O$3:$O$42&lt;&gt;"")*ISNUMBER(SEARCH(LISTAS!$O$3:$O$42,$I1936&amp;" "&amp;$K1936)))&gt;0,"CERCANA","NACIONAL"))</f>
        <v/>
      </c>
      <c r="O1936" s="39">
        <f>IF($B1936="","",IF(COUNTIFS(NOVEDADES!$C$4:$C$2003,$B1936)=0,"—","SÍ ("&amp;COUNTIFS(NOVEDADES!$C$4:$C$2003,$B1936)&amp;")"))</f>
        <v/>
      </c>
    </row>
    <row r="1937">
      <c r="A1937" s="41" t="n"/>
      <c r="B1937" s="41" t="n"/>
      <c r="C1937" s="41" t="n"/>
      <c r="D1937" s="41" t="n"/>
      <c r="E1937" s="46" t="n"/>
      <c r="F1937" s="41" t="n"/>
      <c r="G1937" s="41" t="n"/>
      <c r="H1937" s="41" t="n"/>
      <c r="I1937" s="41" t="n"/>
      <c r="J1937" s="47" t="n"/>
      <c r="K1937" s="41" t="n"/>
      <c r="L1937" s="48" t="n"/>
      <c r="M1937" s="45" t="n"/>
      <c r="N1937" s="39">
        <f>IF($B1937="","",IF(SUMPRODUCT((LISTAS!$O$3:$O$42&lt;&gt;"")*ISNUMBER(SEARCH(LISTAS!$O$3:$O$42,$I1937&amp;" "&amp;$K1937)))&gt;0,"CERCANA","NACIONAL"))</f>
        <v/>
      </c>
      <c r="O1937" s="39">
        <f>IF($B1937="","",IF(COUNTIFS(NOVEDADES!$C$4:$C$2003,$B1937)=0,"—","SÍ ("&amp;COUNTIFS(NOVEDADES!$C$4:$C$2003,$B1937)&amp;")"))</f>
        <v/>
      </c>
    </row>
    <row r="1938">
      <c r="A1938" s="41" t="n"/>
      <c r="B1938" s="41" t="n"/>
      <c r="C1938" s="41" t="n"/>
      <c r="D1938" s="41" t="n"/>
      <c r="E1938" s="46" t="n"/>
      <c r="F1938" s="41" t="n"/>
      <c r="G1938" s="41" t="n"/>
      <c r="H1938" s="41" t="n"/>
      <c r="I1938" s="41" t="n"/>
      <c r="J1938" s="47" t="n"/>
      <c r="K1938" s="41" t="n"/>
      <c r="L1938" s="48" t="n"/>
      <c r="M1938" s="45" t="n"/>
      <c r="N1938" s="39">
        <f>IF($B1938="","",IF(SUMPRODUCT((LISTAS!$O$3:$O$42&lt;&gt;"")*ISNUMBER(SEARCH(LISTAS!$O$3:$O$42,$I1938&amp;" "&amp;$K1938)))&gt;0,"CERCANA","NACIONAL"))</f>
        <v/>
      </c>
      <c r="O1938" s="39">
        <f>IF($B1938="","",IF(COUNTIFS(NOVEDADES!$C$4:$C$2003,$B1938)=0,"—","SÍ ("&amp;COUNTIFS(NOVEDADES!$C$4:$C$2003,$B1938)&amp;")"))</f>
        <v/>
      </c>
    </row>
    <row r="1939">
      <c r="A1939" s="41" t="n"/>
      <c r="B1939" s="41" t="n"/>
      <c r="C1939" s="41" t="n"/>
      <c r="D1939" s="41" t="n"/>
      <c r="E1939" s="46" t="n"/>
      <c r="F1939" s="41" t="n"/>
      <c r="G1939" s="41" t="n"/>
      <c r="H1939" s="41" t="n"/>
      <c r="I1939" s="41" t="n"/>
      <c r="J1939" s="47" t="n"/>
      <c r="K1939" s="41" t="n"/>
      <c r="L1939" s="48" t="n"/>
      <c r="M1939" s="45" t="n"/>
      <c r="N1939" s="39">
        <f>IF($B1939="","",IF(SUMPRODUCT((LISTAS!$O$3:$O$42&lt;&gt;"")*ISNUMBER(SEARCH(LISTAS!$O$3:$O$42,$I1939&amp;" "&amp;$K1939)))&gt;0,"CERCANA","NACIONAL"))</f>
        <v/>
      </c>
      <c r="O1939" s="39">
        <f>IF($B1939="","",IF(COUNTIFS(NOVEDADES!$C$4:$C$2003,$B1939)=0,"—","SÍ ("&amp;COUNTIFS(NOVEDADES!$C$4:$C$2003,$B1939)&amp;")"))</f>
        <v/>
      </c>
    </row>
    <row r="1940">
      <c r="A1940" s="41" t="n"/>
      <c r="B1940" s="41" t="n"/>
      <c r="C1940" s="41" t="n"/>
      <c r="D1940" s="41" t="n"/>
      <c r="E1940" s="46" t="n"/>
      <c r="F1940" s="41" t="n"/>
      <c r="G1940" s="41" t="n"/>
      <c r="H1940" s="41" t="n"/>
      <c r="I1940" s="41" t="n"/>
      <c r="J1940" s="47" t="n"/>
      <c r="K1940" s="41" t="n"/>
      <c r="L1940" s="48" t="n"/>
      <c r="M1940" s="45" t="n"/>
      <c r="N1940" s="39">
        <f>IF($B1940="","",IF(SUMPRODUCT((LISTAS!$O$3:$O$42&lt;&gt;"")*ISNUMBER(SEARCH(LISTAS!$O$3:$O$42,$I1940&amp;" "&amp;$K1940)))&gt;0,"CERCANA","NACIONAL"))</f>
        <v/>
      </c>
      <c r="O1940" s="39">
        <f>IF($B1940="","",IF(COUNTIFS(NOVEDADES!$C$4:$C$2003,$B1940)=0,"—","SÍ ("&amp;COUNTIFS(NOVEDADES!$C$4:$C$2003,$B1940)&amp;")"))</f>
        <v/>
      </c>
    </row>
    <row r="1941">
      <c r="A1941" s="41" t="n"/>
      <c r="B1941" s="41" t="n"/>
      <c r="C1941" s="41" t="n"/>
      <c r="D1941" s="41" t="n"/>
      <c r="E1941" s="46" t="n"/>
      <c r="F1941" s="41" t="n"/>
      <c r="G1941" s="41" t="n"/>
      <c r="H1941" s="41" t="n"/>
      <c r="I1941" s="41" t="n"/>
      <c r="J1941" s="47" t="n"/>
      <c r="K1941" s="41" t="n"/>
      <c r="L1941" s="48" t="n"/>
      <c r="M1941" s="45" t="n"/>
      <c r="N1941" s="39">
        <f>IF($B1941="","",IF(SUMPRODUCT((LISTAS!$O$3:$O$42&lt;&gt;"")*ISNUMBER(SEARCH(LISTAS!$O$3:$O$42,$I1941&amp;" "&amp;$K1941)))&gt;0,"CERCANA","NACIONAL"))</f>
        <v/>
      </c>
      <c r="O1941" s="39">
        <f>IF($B1941="","",IF(COUNTIFS(NOVEDADES!$C$4:$C$2003,$B1941)=0,"—","SÍ ("&amp;COUNTIFS(NOVEDADES!$C$4:$C$2003,$B1941)&amp;")"))</f>
        <v/>
      </c>
    </row>
    <row r="1942">
      <c r="A1942" s="41" t="n"/>
      <c r="B1942" s="41" t="n"/>
      <c r="C1942" s="41" t="n"/>
      <c r="D1942" s="41" t="n"/>
      <c r="E1942" s="46" t="n"/>
      <c r="F1942" s="41" t="n"/>
      <c r="G1942" s="41" t="n"/>
      <c r="H1942" s="41" t="n"/>
      <c r="I1942" s="41" t="n"/>
      <c r="J1942" s="47" t="n"/>
      <c r="K1942" s="41" t="n"/>
      <c r="L1942" s="48" t="n"/>
      <c r="M1942" s="45" t="n"/>
      <c r="N1942" s="39">
        <f>IF($B1942="","",IF(SUMPRODUCT((LISTAS!$O$3:$O$42&lt;&gt;"")*ISNUMBER(SEARCH(LISTAS!$O$3:$O$42,$I1942&amp;" "&amp;$K1942)))&gt;0,"CERCANA","NACIONAL"))</f>
        <v/>
      </c>
      <c r="O1942" s="39">
        <f>IF($B1942="","",IF(COUNTIFS(NOVEDADES!$C$4:$C$2003,$B1942)=0,"—","SÍ ("&amp;COUNTIFS(NOVEDADES!$C$4:$C$2003,$B1942)&amp;")"))</f>
        <v/>
      </c>
    </row>
    <row r="1943">
      <c r="A1943" s="41" t="n"/>
      <c r="B1943" s="41" t="n"/>
      <c r="C1943" s="41" t="n"/>
      <c r="D1943" s="41" t="n"/>
      <c r="E1943" s="46" t="n"/>
      <c r="F1943" s="41" t="n"/>
      <c r="G1943" s="41" t="n"/>
      <c r="H1943" s="41" t="n"/>
      <c r="I1943" s="41" t="n"/>
      <c r="J1943" s="47" t="n"/>
      <c r="K1943" s="41" t="n"/>
      <c r="L1943" s="48" t="n"/>
      <c r="M1943" s="45" t="n"/>
      <c r="N1943" s="39">
        <f>IF($B1943="","",IF(SUMPRODUCT((LISTAS!$O$3:$O$42&lt;&gt;"")*ISNUMBER(SEARCH(LISTAS!$O$3:$O$42,$I1943&amp;" "&amp;$K1943)))&gt;0,"CERCANA","NACIONAL"))</f>
        <v/>
      </c>
      <c r="O1943" s="39">
        <f>IF($B1943="","",IF(COUNTIFS(NOVEDADES!$C$4:$C$2003,$B1943)=0,"—","SÍ ("&amp;COUNTIFS(NOVEDADES!$C$4:$C$2003,$B1943)&amp;")"))</f>
        <v/>
      </c>
    </row>
    <row r="1944">
      <c r="A1944" s="41" t="n"/>
      <c r="B1944" s="41" t="n"/>
      <c r="C1944" s="41" t="n"/>
      <c r="D1944" s="41" t="n"/>
      <c r="E1944" s="46" t="n"/>
      <c r="F1944" s="41" t="n"/>
      <c r="G1944" s="41" t="n"/>
      <c r="H1944" s="41" t="n"/>
      <c r="I1944" s="41" t="n"/>
      <c r="J1944" s="47" t="n"/>
      <c r="K1944" s="41" t="n"/>
      <c r="L1944" s="48" t="n"/>
      <c r="M1944" s="45" t="n"/>
      <c r="N1944" s="39">
        <f>IF($B1944="","",IF(SUMPRODUCT((LISTAS!$O$3:$O$42&lt;&gt;"")*ISNUMBER(SEARCH(LISTAS!$O$3:$O$42,$I1944&amp;" "&amp;$K1944)))&gt;0,"CERCANA","NACIONAL"))</f>
        <v/>
      </c>
      <c r="O1944" s="39">
        <f>IF($B1944="","",IF(COUNTIFS(NOVEDADES!$C$4:$C$2003,$B1944)=0,"—","SÍ ("&amp;COUNTIFS(NOVEDADES!$C$4:$C$2003,$B1944)&amp;")"))</f>
        <v/>
      </c>
    </row>
    <row r="1945">
      <c r="A1945" s="41" t="n"/>
      <c r="B1945" s="41" t="n"/>
      <c r="C1945" s="41" t="n"/>
      <c r="D1945" s="41" t="n"/>
      <c r="E1945" s="46" t="n"/>
      <c r="F1945" s="41" t="n"/>
      <c r="G1945" s="41" t="n"/>
      <c r="H1945" s="41" t="n"/>
      <c r="I1945" s="41" t="n"/>
      <c r="J1945" s="47" t="n"/>
      <c r="K1945" s="41" t="n"/>
      <c r="L1945" s="48" t="n"/>
      <c r="M1945" s="45" t="n"/>
      <c r="N1945" s="39">
        <f>IF($B1945="","",IF(SUMPRODUCT((LISTAS!$O$3:$O$42&lt;&gt;"")*ISNUMBER(SEARCH(LISTAS!$O$3:$O$42,$I1945&amp;" "&amp;$K1945)))&gt;0,"CERCANA","NACIONAL"))</f>
        <v/>
      </c>
      <c r="O1945" s="39">
        <f>IF($B1945="","",IF(COUNTIFS(NOVEDADES!$C$4:$C$2003,$B1945)=0,"—","SÍ ("&amp;COUNTIFS(NOVEDADES!$C$4:$C$2003,$B1945)&amp;")"))</f>
        <v/>
      </c>
    </row>
    <row r="1946">
      <c r="A1946" s="41" t="n"/>
      <c r="B1946" s="41" t="n"/>
      <c r="C1946" s="41" t="n"/>
      <c r="D1946" s="41" t="n"/>
      <c r="E1946" s="46" t="n"/>
      <c r="F1946" s="41" t="n"/>
      <c r="G1946" s="41" t="n"/>
      <c r="H1946" s="41" t="n"/>
      <c r="I1946" s="41" t="n"/>
      <c r="J1946" s="47" t="n"/>
      <c r="K1946" s="41" t="n"/>
      <c r="L1946" s="48" t="n"/>
      <c r="M1946" s="45" t="n"/>
      <c r="N1946" s="39">
        <f>IF($B1946="","",IF(SUMPRODUCT((LISTAS!$O$3:$O$42&lt;&gt;"")*ISNUMBER(SEARCH(LISTAS!$O$3:$O$42,$I1946&amp;" "&amp;$K1946)))&gt;0,"CERCANA","NACIONAL"))</f>
        <v/>
      </c>
      <c r="O1946" s="39">
        <f>IF($B1946="","",IF(COUNTIFS(NOVEDADES!$C$4:$C$2003,$B1946)=0,"—","SÍ ("&amp;COUNTIFS(NOVEDADES!$C$4:$C$2003,$B1946)&amp;")"))</f>
        <v/>
      </c>
    </row>
    <row r="1947">
      <c r="A1947" s="41" t="n"/>
      <c r="B1947" s="41" t="n"/>
      <c r="C1947" s="41" t="n"/>
      <c r="D1947" s="41" t="n"/>
      <c r="E1947" s="46" t="n"/>
      <c r="F1947" s="41" t="n"/>
      <c r="G1947" s="41" t="n"/>
      <c r="H1947" s="41" t="n"/>
      <c r="I1947" s="41" t="n"/>
      <c r="J1947" s="47" t="n"/>
      <c r="K1947" s="41" t="n"/>
      <c r="L1947" s="48" t="n"/>
      <c r="M1947" s="45" t="n"/>
      <c r="N1947" s="39">
        <f>IF($B1947="","",IF(SUMPRODUCT((LISTAS!$O$3:$O$42&lt;&gt;"")*ISNUMBER(SEARCH(LISTAS!$O$3:$O$42,$I1947&amp;" "&amp;$K1947)))&gt;0,"CERCANA","NACIONAL"))</f>
        <v/>
      </c>
      <c r="O1947" s="39">
        <f>IF($B1947="","",IF(COUNTIFS(NOVEDADES!$C$4:$C$2003,$B1947)=0,"—","SÍ ("&amp;COUNTIFS(NOVEDADES!$C$4:$C$2003,$B1947)&amp;")"))</f>
        <v/>
      </c>
    </row>
    <row r="1948">
      <c r="A1948" s="41" t="n"/>
      <c r="B1948" s="41" t="n"/>
      <c r="C1948" s="41" t="n"/>
      <c r="D1948" s="41" t="n"/>
      <c r="E1948" s="46" t="n"/>
      <c r="F1948" s="41" t="n"/>
      <c r="G1948" s="41" t="n"/>
      <c r="H1948" s="41" t="n"/>
      <c r="I1948" s="41" t="n"/>
      <c r="J1948" s="47" t="n"/>
      <c r="K1948" s="41" t="n"/>
      <c r="L1948" s="48" t="n"/>
      <c r="M1948" s="45" t="n"/>
      <c r="N1948" s="39">
        <f>IF($B1948="","",IF(SUMPRODUCT((LISTAS!$O$3:$O$42&lt;&gt;"")*ISNUMBER(SEARCH(LISTAS!$O$3:$O$42,$I1948&amp;" "&amp;$K1948)))&gt;0,"CERCANA","NACIONAL"))</f>
        <v/>
      </c>
      <c r="O1948" s="39">
        <f>IF($B1948="","",IF(COUNTIFS(NOVEDADES!$C$4:$C$2003,$B1948)=0,"—","SÍ ("&amp;COUNTIFS(NOVEDADES!$C$4:$C$2003,$B1948)&amp;")"))</f>
        <v/>
      </c>
    </row>
    <row r="1949">
      <c r="A1949" s="41" t="n"/>
      <c r="B1949" s="41" t="n"/>
      <c r="C1949" s="41" t="n"/>
      <c r="D1949" s="41" t="n"/>
      <c r="E1949" s="46" t="n"/>
      <c r="F1949" s="41" t="n"/>
      <c r="G1949" s="41" t="n"/>
      <c r="H1949" s="41" t="n"/>
      <c r="I1949" s="41" t="n"/>
      <c r="J1949" s="47" t="n"/>
      <c r="K1949" s="41" t="n"/>
      <c r="L1949" s="48" t="n"/>
      <c r="M1949" s="45" t="n"/>
      <c r="N1949" s="39">
        <f>IF($B1949="","",IF(SUMPRODUCT((LISTAS!$O$3:$O$42&lt;&gt;"")*ISNUMBER(SEARCH(LISTAS!$O$3:$O$42,$I1949&amp;" "&amp;$K1949)))&gt;0,"CERCANA","NACIONAL"))</f>
        <v/>
      </c>
      <c r="O1949" s="39">
        <f>IF($B1949="","",IF(COUNTIFS(NOVEDADES!$C$4:$C$2003,$B1949)=0,"—","SÍ ("&amp;COUNTIFS(NOVEDADES!$C$4:$C$2003,$B1949)&amp;")"))</f>
        <v/>
      </c>
    </row>
    <row r="1950">
      <c r="A1950" s="41" t="n"/>
      <c r="B1950" s="41" t="n"/>
      <c r="C1950" s="41" t="n"/>
      <c r="D1950" s="41" t="n"/>
      <c r="E1950" s="46" t="n"/>
      <c r="F1950" s="41" t="n"/>
      <c r="G1950" s="41" t="n"/>
      <c r="H1950" s="41" t="n"/>
      <c r="I1950" s="41" t="n"/>
      <c r="J1950" s="47" t="n"/>
      <c r="K1950" s="41" t="n"/>
      <c r="L1950" s="48" t="n"/>
      <c r="M1950" s="45" t="n"/>
      <c r="N1950" s="39">
        <f>IF($B1950="","",IF(SUMPRODUCT((LISTAS!$O$3:$O$42&lt;&gt;"")*ISNUMBER(SEARCH(LISTAS!$O$3:$O$42,$I1950&amp;" "&amp;$K1950)))&gt;0,"CERCANA","NACIONAL"))</f>
        <v/>
      </c>
      <c r="O1950" s="39">
        <f>IF($B1950="","",IF(COUNTIFS(NOVEDADES!$C$4:$C$2003,$B1950)=0,"—","SÍ ("&amp;COUNTIFS(NOVEDADES!$C$4:$C$2003,$B1950)&amp;")"))</f>
        <v/>
      </c>
    </row>
    <row r="1951">
      <c r="A1951" s="41" t="n"/>
      <c r="B1951" s="41" t="n"/>
      <c r="C1951" s="41" t="n"/>
      <c r="D1951" s="41" t="n"/>
      <c r="E1951" s="46" t="n"/>
      <c r="F1951" s="41" t="n"/>
      <c r="G1951" s="41" t="n"/>
      <c r="H1951" s="41" t="n"/>
      <c r="I1951" s="41" t="n"/>
      <c r="J1951" s="47" t="n"/>
      <c r="K1951" s="41" t="n"/>
      <c r="L1951" s="48" t="n"/>
      <c r="M1951" s="45" t="n"/>
      <c r="N1951" s="39">
        <f>IF($B1951="","",IF(SUMPRODUCT((LISTAS!$O$3:$O$42&lt;&gt;"")*ISNUMBER(SEARCH(LISTAS!$O$3:$O$42,$I1951&amp;" "&amp;$K1951)))&gt;0,"CERCANA","NACIONAL"))</f>
        <v/>
      </c>
      <c r="O1951" s="39">
        <f>IF($B1951="","",IF(COUNTIFS(NOVEDADES!$C$4:$C$2003,$B1951)=0,"—","SÍ ("&amp;COUNTIFS(NOVEDADES!$C$4:$C$2003,$B1951)&amp;")"))</f>
        <v/>
      </c>
    </row>
    <row r="1952">
      <c r="A1952" s="41" t="n"/>
      <c r="B1952" s="41" t="n"/>
      <c r="C1952" s="41" t="n"/>
      <c r="D1952" s="41" t="n"/>
      <c r="E1952" s="46" t="n"/>
      <c r="F1952" s="41" t="n"/>
      <c r="G1952" s="41" t="n"/>
      <c r="H1952" s="41" t="n"/>
      <c r="I1952" s="41" t="n"/>
      <c r="J1952" s="47" t="n"/>
      <c r="K1952" s="41" t="n"/>
      <c r="L1952" s="48" t="n"/>
      <c r="M1952" s="45" t="n"/>
      <c r="N1952" s="39">
        <f>IF($B1952="","",IF(SUMPRODUCT((LISTAS!$O$3:$O$42&lt;&gt;"")*ISNUMBER(SEARCH(LISTAS!$O$3:$O$42,$I1952&amp;" "&amp;$K1952)))&gt;0,"CERCANA","NACIONAL"))</f>
        <v/>
      </c>
      <c r="O1952" s="39">
        <f>IF($B1952="","",IF(COUNTIFS(NOVEDADES!$C$4:$C$2003,$B1952)=0,"—","SÍ ("&amp;COUNTIFS(NOVEDADES!$C$4:$C$2003,$B1952)&amp;")"))</f>
        <v/>
      </c>
    </row>
    <row r="1953">
      <c r="A1953" s="41" t="n"/>
      <c r="B1953" s="41" t="n"/>
      <c r="C1953" s="41" t="n"/>
      <c r="D1953" s="41" t="n"/>
      <c r="E1953" s="46" t="n"/>
      <c r="F1953" s="41" t="n"/>
      <c r="G1953" s="41" t="n"/>
      <c r="H1953" s="41" t="n"/>
      <c r="I1953" s="41" t="n"/>
      <c r="J1953" s="47" t="n"/>
      <c r="K1953" s="41" t="n"/>
      <c r="L1953" s="48" t="n"/>
      <c r="M1953" s="45" t="n"/>
      <c r="N1953" s="39">
        <f>IF($B1953="","",IF(SUMPRODUCT((LISTAS!$O$3:$O$42&lt;&gt;"")*ISNUMBER(SEARCH(LISTAS!$O$3:$O$42,$I1953&amp;" "&amp;$K1953)))&gt;0,"CERCANA","NACIONAL"))</f>
        <v/>
      </c>
      <c r="O1953" s="39">
        <f>IF($B1953="","",IF(COUNTIFS(NOVEDADES!$C$4:$C$2003,$B1953)=0,"—","SÍ ("&amp;COUNTIFS(NOVEDADES!$C$4:$C$2003,$B1953)&amp;")"))</f>
        <v/>
      </c>
    </row>
    <row r="1954">
      <c r="A1954" s="41" t="n"/>
      <c r="B1954" s="41" t="n"/>
      <c r="C1954" s="41" t="n"/>
      <c r="D1954" s="41" t="n"/>
      <c r="E1954" s="46" t="n"/>
      <c r="F1954" s="41" t="n"/>
      <c r="G1954" s="41" t="n"/>
      <c r="H1954" s="41" t="n"/>
      <c r="I1954" s="41" t="n"/>
      <c r="J1954" s="47" t="n"/>
      <c r="K1954" s="41" t="n"/>
      <c r="L1954" s="48" t="n"/>
      <c r="M1954" s="45" t="n"/>
      <c r="N1954" s="39">
        <f>IF($B1954="","",IF(SUMPRODUCT((LISTAS!$O$3:$O$42&lt;&gt;"")*ISNUMBER(SEARCH(LISTAS!$O$3:$O$42,$I1954&amp;" "&amp;$K1954)))&gt;0,"CERCANA","NACIONAL"))</f>
        <v/>
      </c>
      <c r="O1954" s="39">
        <f>IF($B1954="","",IF(COUNTIFS(NOVEDADES!$C$4:$C$2003,$B1954)=0,"—","SÍ ("&amp;COUNTIFS(NOVEDADES!$C$4:$C$2003,$B1954)&amp;")"))</f>
        <v/>
      </c>
    </row>
    <row r="1955">
      <c r="A1955" s="41" t="n"/>
      <c r="B1955" s="41" t="n"/>
      <c r="C1955" s="41" t="n"/>
      <c r="D1955" s="41" t="n"/>
      <c r="E1955" s="46" t="n"/>
      <c r="F1955" s="41" t="n"/>
      <c r="G1955" s="41" t="n"/>
      <c r="H1955" s="41" t="n"/>
      <c r="I1955" s="41" t="n"/>
      <c r="J1955" s="47" t="n"/>
      <c r="K1955" s="41" t="n"/>
      <c r="L1955" s="48" t="n"/>
      <c r="M1955" s="45" t="n"/>
      <c r="N1955" s="39">
        <f>IF($B1955="","",IF(SUMPRODUCT((LISTAS!$O$3:$O$42&lt;&gt;"")*ISNUMBER(SEARCH(LISTAS!$O$3:$O$42,$I1955&amp;" "&amp;$K1955)))&gt;0,"CERCANA","NACIONAL"))</f>
        <v/>
      </c>
      <c r="O1955" s="39">
        <f>IF($B1955="","",IF(COUNTIFS(NOVEDADES!$C$4:$C$2003,$B1955)=0,"—","SÍ ("&amp;COUNTIFS(NOVEDADES!$C$4:$C$2003,$B1955)&amp;")"))</f>
        <v/>
      </c>
    </row>
    <row r="1956">
      <c r="A1956" s="41" t="n"/>
      <c r="B1956" s="41" t="n"/>
      <c r="C1956" s="41" t="n"/>
      <c r="D1956" s="41" t="n"/>
      <c r="E1956" s="46" t="n"/>
      <c r="F1956" s="41" t="n"/>
      <c r="G1956" s="41" t="n"/>
      <c r="H1956" s="41" t="n"/>
      <c r="I1956" s="41" t="n"/>
      <c r="J1956" s="47" t="n"/>
      <c r="K1956" s="41" t="n"/>
      <c r="L1956" s="48" t="n"/>
      <c r="M1956" s="45" t="n"/>
      <c r="N1956" s="39">
        <f>IF($B1956="","",IF(SUMPRODUCT((LISTAS!$O$3:$O$42&lt;&gt;"")*ISNUMBER(SEARCH(LISTAS!$O$3:$O$42,$I1956&amp;" "&amp;$K1956)))&gt;0,"CERCANA","NACIONAL"))</f>
        <v/>
      </c>
      <c r="O1956" s="39">
        <f>IF($B1956="","",IF(COUNTIFS(NOVEDADES!$C$4:$C$2003,$B1956)=0,"—","SÍ ("&amp;COUNTIFS(NOVEDADES!$C$4:$C$2003,$B1956)&amp;")"))</f>
        <v/>
      </c>
    </row>
    <row r="1957">
      <c r="A1957" s="41" t="n"/>
      <c r="B1957" s="41" t="n"/>
      <c r="C1957" s="41" t="n"/>
      <c r="D1957" s="41" t="n"/>
      <c r="E1957" s="46" t="n"/>
      <c r="F1957" s="41" t="n"/>
      <c r="G1957" s="41" t="n"/>
      <c r="H1957" s="41" t="n"/>
      <c r="I1957" s="41" t="n"/>
      <c r="J1957" s="47" t="n"/>
      <c r="K1957" s="41" t="n"/>
      <c r="L1957" s="48" t="n"/>
      <c r="M1957" s="45" t="n"/>
      <c r="N1957" s="39">
        <f>IF($B1957="","",IF(SUMPRODUCT((LISTAS!$O$3:$O$42&lt;&gt;"")*ISNUMBER(SEARCH(LISTAS!$O$3:$O$42,$I1957&amp;" "&amp;$K1957)))&gt;0,"CERCANA","NACIONAL"))</f>
        <v/>
      </c>
      <c r="O1957" s="39">
        <f>IF($B1957="","",IF(COUNTIFS(NOVEDADES!$C$4:$C$2003,$B1957)=0,"—","SÍ ("&amp;COUNTIFS(NOVEDADES!$C$4:$C$2003,$B1957)&amp;")"))</f>
        <v/>
      </c>
    </row>
    <row r="1958">
      <c r="A1958" s="41" t="n"/>
      <c r="B1958" s="41" t="n"/>
      <c r="C1958" s="41" t="n"/>
      <c r="D1958" s="41" t="n"/>
      <c r="E1958" s="46" t="n"/>
      <c r="F1958" s="41" t="n"/>
      <c r="G1958" s="41" t="n"/>
      <c r="H1958" s="41" t="n"/>
      <c r="I1958" s="41" t="n"/>
      <c r="J1958" s="47" t="n"/>
      <c r="K1958" s="41" t="n"/>
      <c r="L1958" s="48" t="n"/>
      <c r="M1958" s="45" t="n"/>
      <c r="N1958" s="39">
        <f>IF($B1958="","",IF(SUMPRODUCT((LISTAS!$O$3:$O$42&lt;&gt;"")*ISNUMBER(SEARCH(LISTAS!$O$3:$O$42,$I1958&amp;" "&amp;$K1958)))&gt;0,"CERCANA","NACIONAL"))</f>
        <v/>
      </c>
      <c r="O1958" s="39">
        <f>IF($B1958="","",IF(COUNTIFS(NOVEDADES!$C$4:$C$2003,$B1958)=0,"—","SÍ ("&amp;COUNTIFS(NOVEDADES!$C$4:$C$2003,$B1958)&amp;")"))</f>
        <v/>
      </c>
    </row>
    <row r="1959">
      <c r="A1959" s="41" t="n"/>
      <c r="B1959" s="41" t="n"/>
      <c r="C1959" s="41" t="n"/>
      <c r="D1959" s="41" t="n"/>
      <c r="E1959" s="46" t="n"/>
      <c r="F1959" s="41" t="n"/>
      <c r="G1959" s="41" t="n"/>
      <c r="H1959" s="41" t="n"/>
      <c r="I1959" s="41" t="n"/>
      <c r="J1959" s="47" t="n"/>
      <c r="K1959" s="41" t="n"/>
      <c r="L1959" s="48" t="n"/>
      <c r="M1959" s="45" t="n"/>
      <c r="N1959" s="39">
        <f>IF($B1959="","",IF(SUMPRODUCT((LISTAS!$O$3:$O$42&lt;&gt;"")*ISNUMBER(SEARCH(LISTAS!$O$3:$O$42,$I1959&amp;" "&amp;$K1959)))&gt;0,"CERCANA","NACIONAL"))</f>
        <v/>
      </c>
      <c r="O1959" s="39">
        <f>IF($B1959="","",IF(COUNTIFS(NOVEDADES!$C$4:$C$2003,$B1959)=0,"—","SÍ ("&amp;COUNTIFS(NOVEDADES!$C$4:$C$2003,$B1959)&amp;")"))</f>
        <v/>
      </c>
    </row>
    <row r="1960">
      <c r="A1960" s="41" t="n"/>
      <c r="B1960" s="41" t="n"/>
      <c r="C1960" s="41" t="n"/>
      <c r="D1960" s="41" t="n"/>
      <c r="E1960" s="46" t="n"/>
      <c r="F1960" s="41" t="n"/>
      <c r="G1960" s="41" t="n"/>
      <c r="H1960" s="41" t="n"/>
      <c r="I1960" s="41" t="n"/>
      <c r="J1960" s="47" t="n"/>
      <c r="K1960" s="41" t="n"/>
      <c r="L1960" s="48" t="n"/>
      <c r="M1960" s="45" t="n"/>
      <c r="N1960" s="39">
        <f>IF($B1960="","",IF(SUMPRODUCT((LISTAS!$O$3:$O$42&lt;&gt;"")*ISNUMBER(SEARCH(LISTAS!$O$3:$O$42,$I1960&amp;" "&amp;$K1960)))&gt;0,"CERCANA","NACIONAL"))</f>
        <v/>
      </c>
      <c r="O1960" s="39">
        <f>IF($B1960="","",IF(COUNTIFS(NOVEDADES!$C$4:$C$2003,$B1960)=0,"—","SÍ ("&amp;COUNTIFS(NOVEDADES!$C$4:$C$2003,$B1960)&amp;")"))</f>
        <v/>
      </c>
    </row>
    <row r="1961">
      <c r="A1961" s="41" t="n"/>
      <c r="B1961" s="41" t="n"/>
      <c r="C1961" s="41" t="n"/>
      <c r="D1961" s="41" t="n"/>
      <c r="E1961" s="46" t="n"/>
      <c r="F1961" s="41" t="n"/>
      <c r="G1961" s="41" t="n"/>
      <c r="H1961" s="41" t="n"/>
      <c r="I1961" s="41" t="n"/>
      <c r="J1961" s="47" t="n"/>
      <c r="K1961" s="41" t="n"/>
      <c r="L1961" s="48" t="n"/>
      <c r="M1961" s="45" t="n"/>
      <c r="N1961" s="39">
        <f>IF($B1961="","",IF(SUMPRODUCT((LISTAS!$O$3:$O$42&lt;&gt;"")*ISNUMBER(SEARCH(LISTAS!$O$3:$O$42,$I1961&amp;" "&amp;$K1961)))&gt;0,"CERCANA","NACIONAL"))</f>
        <v/>
      </c>
      <c r="O1961" s="39">
        <f>IF($B1961="","",IF(COUNTIFS(NOVEDADES!$C$4:$C$2003,$B1961)=0,"—","SÍ ("&amp;COUNTIFS(NOVEDADES!$C$4:$C$2003,$B1961)&amp;")"))</f>
        <v/>
      </c>
    </row>
    <row r="1962">
      <c r="A1962" s="41" t="n"/>
      <c r="B1962" s="41" t="n"/>
      <c r="C1962" s="41" t="n"/>
      <c r="D1962" s="41" t="n"/>
      <c r="E1962" s="46" t="n"/>
      <c r="F1962" s="41" t="n"/>
      <c r="G1962" s="41" t="n"/>
      <c r="H1962" s="41" t="n"/>
      <c r="I1962" s="41" t="n"/>
      <c r="J1962" s="47" t="n"/>
      <c r="K1962" s="41" t="n"/>
      <c r="L1962" s="48" t="n"/>
      <c r="M1962" s="45" t="n"/>
      <c r="N1962" s="39">
        <f>IF($B1962="","",IF(SUMPRODUCT((LISTAS!$O$3:$O$42&lt;&gt;"")*ISNUMBER(SEARCH(LISTAS!$O$3:$O$42,$I1962&amp;" "&amp;$K1962)))&gt;0,"CERCANA","NACIONAL"))</f>
        <v/>
      </c>
      <c r="O1962" s="39">
        <f>IF($B1962="","",IF(COUNTIFS(NOVEDADES!$C$4:$C$2003,$B1962)=0,"—","SÍ ("&amp;COUNTIFS(NOVEDADES!$C$4:$C$2003,$B1962)&amp;")"))</f>
        <v/>
      </c>
    </row>
    <row r="1963">
      <c r="A1963" s="41" t="n"/>
      <c r="B1963" s="41" t="n"/>
      <c r="C1963" s="41" t="n"/>
      <c r="D1963" s="41" t="n"/>
      <c r="E1963" s="46" t="n"/>
      <c r="F1963" s="41" t="n"/>
      <c r="G1963" s="41" t="n"/>
      <c r="H1963" s="41" t="n"/>
      <c r="I1963" s="41" t="n"/>
      <c r="J1963" s="47" t="n"/>
      <c r="K1963" s="41" t="n"/>
      <c r="L1963" s="48" t="n"/>
      <c r="M1963" s="45" t="n"/>
      <c r="N1963" s="39">
        <f>IF($B1963="","",IF(SUMPRODUCT((LISTAS!$O$3:$O$42&lt;&gt;"")*ISNUMBER(SEARCH(LISTAS!$O$3:$O$42,$I1963&amp;" "&amp;$K1963)))&gt;0,"CERCANA","NACIONAL"))</f>
        <v/>
      </c>
      <c r="O1963" s="39">
        <f>IF($B1963="","",IF(COUNTIFS(NOVEDADES!$C$4:$C$2003,$B1963)=0,"—","SÍ ("&amp;COUNTIFS(NOVEDADES!$C$4:$C$2003,$B1963)&amp;")"))</f>
        <v/>
      </c>
    </row>
    <row r="1964">
      <c r="A1964" s="41" t="n"/>
      <c r="B1964" s="41" t="n"/>
      <c r="C1964" s="41" t="n"/>
      <c r="D1964" s="41" t="n"/>
      <c r="E1964" s="46" t="n"/>
      <c r="F1964" s="41" t="n"/>
      <c r="G1964" s="41" t="n"/>
      <c r="H1964" s="41" t="n"/>
      <c r="I1964" s="41" t="n"/>
      <c r="J1964" s="47" t="n"/>
      <c r="K1964" s="41" t="n"/>
      <c r="L1964" s="48" t="n"/>
      <c r="M1964" s="45" t="n"/>
      <c r="N1964" s="39">
        <f>IF($B1964="","",IF(SUMPRODUCT((LISTAS!$O$3:$O$42&lt;&gt;"")*ISNUMBER(SEARCH(LISTAS!$O$3:$O$42,$I1964&amp;" "&amp;$K1964)))&gt;0,"CERCANA","NACIONAL"))</f>
        <v/>
      </c>
      <c r="O1964" s="39">
        <f>IF($B1964="","",IF(COUNTIFS(NOVEDADES!$C$4:$C$2003,$B1964)=0,"—","SÍ ("&amp;COUNTIFS(NOVEDADES!$C$4:$C$2003,$B1964)&amp;")"))</f>
        <v/>
      </c>
    </row>
    <row r="1965">
      <c r="A1965" s="41" t="n"/>
      <c r="B1965" s="41" t="n"/>
      <c r="C1965" s="41" t="n"/>
      <c r="D1965" s="41" t="n"/>
      <c r="E1965" s="46" t="n"/>
      <c r="F1965" s="41" t="n"/>
      <c r="G1965" s="41" t="n"/>
      <c r="H1965" s="41" t="n"/>
      <c r="I1965" s="41" t="n"/>
      <c r="J1965" s="47" t="n"/>
      <c r="K1965" s="41" t="n"/>
      <c r="L1965" s="48" t="n"/>
      <c r="M1965" s="45" t="n"/>
      <c r="N1965" s="39">
        <f>IF($B1965="","",IF(SUMPRODUCT((LISTAS!$O$3:$O$42&lt;&gt;"")*ISNUMBER(SEARCH(LISTAS!$O$3:$O$42,$I1965&amp;" "&amp;$K1965)))&gt;0,"CERCANA","NACIONAL"))</f>
        <v/>
      </c>
      <c r="O1965" s="39">
        <f>IF($B1965="","",IF(COUNTIFS(NOVEDADES!$C$4:$C$2003,$B1965)=0,"—","SÍ ("&amp;COUNTIFS(NOVEDADES!$C$4:$C$2003,$B1965)&amp;")"))</f>
        <v/>
      </c>
    </row>
    <row r="1966">
      <c r="A1966" s="41" t="n"/>
      <c r="B1966" s="41" t="n"/>
      <c r="C1966" s="41" t="n"/>
      <c r="D1966" s="41" t="n"/>
      <c r="E1966" s="46" t="n"/>
      <c r="F1966" s="41" t="n"/>
      <c r="G1966" s="41" t="n"/>
      <c r="H1966" s="41" t="n"/>
      <c r="I1966" s="41" t="n"/>
      <c r="J1966" s="47" t="n"/>
      <c r="K1966" s="41" t="n"/>
      <c r="L1966" s="48" t="n"/>
      <c r="M1966" s="45" t="n"/>
      <c r="N1966" s="39">
        <f>IF($B1966="","",IF(SUMPRODUCT((LISTAS!$O$3:$O$42&lt;&gt;"")*ISNUMBER(SEARCH(LISTAS!$O$3:$O$42,$I1966&amp;" "&amp;$K1966)))&gt;0,"CERCANA","NACIONAL"))</f>
        <v/>
      </c>
      <c r="O1966" s="39">
        <f>IF($B1966="","",IF(COUNTIFS(NOVEDADES!$C$4:$C$2003,$B1966)=0,"—","SÍ ("&amp;COUNTIFS(NOVEDADES!$C$4:$C$2003,$B1966)&amp;")"))</f>
        <v/>
      </c>
    </row>
    <row r="1967">
      <c r="A1967" s="41" t="n"/>
      <c r="B1967" s="41" t="n"/>
      <c r="C1967" s="41" t="n"/>
      <c r="D1967" s="41" t="n"/>
      <c r="E1967" s="46" t="n"/>
      <c r="F1967" s="41" t="n"/>
      <c r="G1967" s="41" t="n"/>
      <c r="H1967" s="41" t="n"/>
      <c r="I1967" s="41" t="n"/>
      <c r="J1967" s="47" t="n"/>
      <c r="K1967" s="41" t="n"/>
      <c r="L1967" s="48" t="n"/>
      <c r="M1967" s="45" t="n"/>
      <c r="N1967" s="39">
        <f>IF($B1967="","",IF(SUMPRODUCT((LISTAS!$O$3:$O$42&lt;&gt;"")*ISNUMBER(SEARCH(LISTAS!$O$3:$O$42,$I1967&amp;" "&amp;$K1967)))&gt;0,"CERCANA","NACIONAL"))</f>
        <v/>
      </c>
      <c r="O1967" s="39">
        <f>IF($B1967="","",IF(COUNTIFS(NOVEDADES!$C$4:$C$2003,$B1967)=0,"—","SÍ ("&amp;COUNTIFS(NOVEDADES!$C$4:$C$2003,$B1967)&amp;")"))</f>
        <v/>
      </c>
    </row>
    <row r="1968">
      <c r="A1968" s="41" t="n"/>
      <c r="B1968" s="41" t="n"/>
      <c r="C1968" s="41" t="n"/>
      <c r="D1968" s="41" t="n"/>
      <c r="E1968" s="46" t="n"/>
      <c r="F1968" s="41" t="n"/>
      <c r="G1968" s="41" t="n"/>
      <c r="H1968" s="41" t="n"/>
      <c r="I1968" s="41" t="n"/>
      <c r="J1968" s="47" t="n"/>
      <c r="K1968" s="41" t="n"/>
      <c r="L1968" s="48" t="n"/>
      <c r="M1968" s="45" t="n"/>
      <c r="N1968" s="39">
        <f>IF($B1968="","",IF(SUMPRODUCT((LISTAS!$O$3:$O$42&lt;&gt;"")*ISNUMBER(SEARCH(LISTAS!$O$3:$O$42,$I1968&amp;" "&amp;$K1968)))&gt;0,"CERCANA","NACIONAL"))</f>
        <v/>
      </c>
      <c r="O1968" s="39">
        <f>IF($B1968="","",IF(COUNTIFS(NOVEDADES!$C$4:$C$2003,$B1968)=0,"—","SÍ ("&amp;COUNTIFS(NOVEDADES!$C$4:$C$2003,$B1968)&amp;")"))</f>
        <v/>
      </c>
    </row>
    <row r="1969">
      <c r="A1969" s="41" t="n"/>
      <c r="B1969" s="41" t="n"/>
      <c r="C1969" s="41" t="n"/>
      <c r="D1969" s="41" t="n"/>
      <c r="E1969" s="46" t="n"/>
      <c r="F1969" s="41" t="n"/>
      <c r="G1969" s="41" t="n"/>
      <c r="H1969" s="41" t="n"/>
      <c r="I1969" s="41" t="n"/>
      <c r="J1969" s="47" t="n"/>
      <c r="K1969" s="41" t="n"/>
      <c r="L1969" s="48" t="n"/>
      <c r="M1969" s="45" t="n"/>
      <c r="N1969" s="39">
        <f>IF($B1969="","",IF(SUMPRODUCT((LISTAS!$O$3:$O$42&lt;&gt;"")*ISNUMBER(SEARCH(LISTAS!$O$3:$O$42,$I1969&amp;" "&amp;$K1969)))&gt;0,"CERCANA","NACIONAL"))</f>
        <v/>
      </c>
      <c r="O1969" s="39">
        <f>IF($B1969="","",IF(COUNTIFS(NOVEDADES!$C$4:$C$2003,$B1969)=0,"—","SÍ ("&amp;COUNTIFS(NOVEDADES!$C$4:$C$2003,$B1969)&amp;")"))</f>
        <v/>
      </c>
    </row>
    <row r="1970">
      <c r="A1970" s="41" t="n"/>
      <c r="B1970" s="41" t="n"/>
      <c r="C1970" s="41" t="n"/>
      <c r="D1970" s="41" t="n"/>
      <c r="E1970" s="46" t="n"/>
      <c r="F1970" s="41" t="n"/>
      <c r="G1970" s="41" t="n"/>
      <c r="H1970" s="41" t="n"/>
      <c r="I1970" s="41" t="n"/>
      <c r="J1970" s="47" t="n"/>
      <c r="K1970" s="41" t="n"/>
      <c r="L1970" s="48" t="n"/>
      <c r="M1970" s="45" t="n"/>
      <c r="N1970" s="39">
        <f>IF($B1970="","",IF(SUMPRODUCT((LISTAS!$O$3:$O$42&lt;&gt;"")*ISNUMBER(SEARCH(LISTAS!$O$3:$O$42,$I1970&amp;" "&amp;$K1970)))&gt;0,"CERCANA","NACIONAL"))</f>
        <v/>
      </c>
      <c r="O1970" s="39">
        <f>IF($B1970="","",IF(COUNTIFS(NOVEDADES!$C$4:$C$2003,$B1970)=0,"—","SÍ ("&amp;COUNTIFS(NOVEDADES!$C$4:$C$2003,$B1970)&amp;")"))</f>
        <v/>
      </c>
    </row>
    <row r="1971">
      <c r="A1971" s="41" t="n"/>
      <c r="B1971" s="41" t="n"/>
      <c r="C1971" s="41" t="n"/>
      <c r="D1971" s="41" t="n"/>
      <c r="E1971" s="46" t="n"/>
      <c r="F1971" s="41" t="n"/>
      <c r="G1971" s="41" t="n"/>
      <c r="H1971" s="41" t="n"/>
      <c r="I1971" s="41" t="n"/>
      <c r="J1971" s="47" t="n"/>
      <c r="K1971" s="41" t="n"/>
      <c r="L1971" s="48" t="n"/>
      <c r="M1971" s="45" t="n"/>
      <c r="N1971" s="39">
        <f>IF($B1971="","",IF(SUMPRODUCT((LISTAS!$O$3:$O$42&lt;&gt;"")*ISNUMBER(SEARCH(LISTAS!$O$3:$O$42,$I1971&amp;" "&amp;$K1971)))&gt;0,"CERCANA","NACIONAL"))</f>
        <v/>
      </c>
      <c r="O1971" s="39">
        <f>IF($B1971="","",IF(COUNTIFS(NOVEDADES!$C$4:$C$2003,$B1971)=0,"—","SÍ ("&amp;COUNTIFS(NOVEDADES!$C$4:$C$2003,$B1971)&amp;")"))</f>
        <v/>
      </c>
    </row>
    <row r="1972">
      <c r="A1972" s="41" t="n"/>
      <c r="B1972" s="41" t="n"/>
      <c r="C1972" s="41" t="n"/>
      <c r="D1972" s="41" t="n"/>
      <c r="E1972" s="46" t="n"/>
      <c r="F1972" s="41" t="n"/>
      <c r="G1972" s="41" t="n"/>
      <c r="H1972" s="41" t="n"/>
      <c r="I1972" s="41" t="n"/>
      <c r="J1972" s="47" t="n"/>
      <c r="K1972" s="41" t="n"/>
      <c r="L1972" s="48" t="n"/>
      <c r="M1972" s="45" t="n"/>
      <c r="N1972" s="39">
        <f>IF($B1972="","",IF(SUMPRODUCT((LISTAS!$O$3:$O$42&lt;&gt;"")*ISNUMBER(SEARCH(LISTAS!$O$3:$O$42,$I1972&amp;" "&amp;$K1972)))&gt;0,"CERCANA","NACIONAL"))</f>
        <v/>
      </c>
      <c r="O1972" s="39">
        <f>IF($B1972="","",IF(COUNTIFS(NOVEDADES!$C$4:$C$2003,$B1972)=0,"—","SÍ ("&amp;COUNTIFS(NOVEDADES!$C$4:$C$2003,$B1972)&amp;")"))</f>
        <v/>
      </c>
    </row>
    <row r="1973">
      <c r="A1973" s="41" t="n"/>
      <c r="B1973" s="41" t="n"/>
      <c r="C1973" s="41" t="n"/>
      <c r="D1973" s="41" t="n"/>
      <c r="E1973" s="46" t="n"/>
      <c r="F1973" s="41" t="n"/>
      <c r="G1973" s="41" t="n"/>
      <c r="H1973" s="41" t="n"/>
      <c r="I1973" s="41" t="n"/>
      <c r="J1973" s="47" t="n"/>
      <c r="K1973" s="41" t="n"/>
      <c r="L1973" s="48" t="n"/>
      <c r="M1973" s="45" t="n"/>
      <c r="N1973" s="39">
        <f>IF($B1973="","",IF(SUMPRODUCT((LISTAS!$O$3:$O$42&lt;&gt;"")*ISNUMBER(SEARCH(LISTAS!$O$3:$O$42,$I1973&amp;" "&amp;$K1973)))&gt;0,"CERCANA","NACIONAL"))</f>
        <v/>
      </c>
      <c r="O1973" s="39">
        <f>IF($B1973="","",IF(COUNTIFS(NOVEDADES!$C$4:$C$2003,$B1973)=0,"—","SÍ ("&amp;COUNTIFS(NOVEDADES!$C$4:$C$2003,$B1973)&amp;")"))</f>
        <v/>
      </c>
    </row>
    <row r="1974">
      <c r="A1974" s="41" t="n"/>
      <c r="B1974" s="41" t="n"/>
      <c r="C1974" s="41" t="n"/>
      <c r="D1974" s="41" t="n"/>
      <c r="E1974" s="46" t="n"/>
      <c r="F1974" s="41" t="n"/>
      <c r="G1974" s="41" t="n"/>
      <c r="H1974" s="41" t="n"/>
      <c r="I1974" s="41" t="n"/>
      <c r="J1974" s="47" t="n"/>
      <c r="K1974" s="41" t="n"/>
      <c r="L1974" s="48" t="n"/>
      <c r="M1974" s="45" t="n"/>
      <c r="N1974" s="39">
        <f>IF($B1974="","",IF(SUMPRODUCT((LISTAS!$O$3:$O$42&lt;&gt;"")*ISNUMBER(SEARCH(LISTAS!$O$3:$O$42,$I1974&amp;" "&amp;$K1974)))&gt;0,"CERCANA","NACIONAL"))</f>
        <v/>
      </c>
      <c r="O1974" s="39">
        <f>IF($B1974="","",IF(COUNTIFS(NOVEDADES!$C$4:$C$2003,$B1974)=0,"—","SÍ ("&amp;COUNTIFS(NOVEDADES!$C$4:$C$2003,$B1974)&amp;")"))</f>
        <v/>
      </c>
    </row>
    <row r="1975">
      <c r="A1975" s="41" t="n"/>
      <c r="B1975" s="41" t="n"/>
      <c r="C1975" s="41" t="n"/>
      <c r="D1975" s="41" t="n"/>
      <c r="E1975" s="46" t="n"/>
      <c r="F1975" s="41" t="n"/>
      <c r="G1975" s="41" t="n"/>
      <c r="H1975" s="41" t="n"/>
      <c r="I1975" s="41" t="n"/>
      <c r="J1975" s="47" t="n"/>
      <c r="K1975" s="41" t="n"/>
      <c r="L1975" s="48" t="n"/>
      <c r="M1975" s="45" t="n"/>
      <c r="N1975" s="39">
        <f>IF($B1975="","",IF(SUMPRODUCT((LISTAS!$O$3:$O$42&lt;&gt;"")*ISNUMBER(SEARCH(LISTAS!$O$3:$O$42,$I1975&amp;" "&amp;$K1975)))&gt;0,"CERCANA","NACIONAL"))</f>
        <v/>
      </c>
      <c r="O1975" s="39">
        <f>IF($B1975="","",IF(COUNTIFS(NOVEDADES!$C$4:$C$2003,$B1975)=0,"—","SÍ ("&amp;COUNTIFS(NOVEDADES!$C$4:$C$2003,$B1975)&amp;")"))</f>
        <v/>
      </c>
    </row>
    <row r="1976">
      <c r="A1976" s="41" t="n"/>
      <c r="B1976" s="41" t="n"/>
      <c r="C1976" s="41" t="n"/>
      <c r="D1976" s="41" t="n"/>
      <c r="E1976" s="46" t="n"/>
      <c r="F1976" s="41" t="n"/>
      <c r="G1976" s="41" t="n"/>
      <c r="H1976" s="41" t="n"/>
      <c r="I1976" s="41" t="n"/>
      <c r="J1976" s="47" t="n"/>
      <c r="K1976" s="41" t="n"/>
      <c r="L1976" s="48" t="n"/>
      <c r="M1976" s="45" t="n"/>
      <c r="N1976" s="39">
        <f>IF($B1976="","",IF(SUMPRODUCT((LISTAS!$O$3:$O$42&lt;&gt;"")*ISNUMBER(SEARCH(LISTAS!$O$3:$O$42,$I1976&amp;" "&amp;$K1976)))&gt;0,"CERCANA","NACIONAL"))</f>
        <v/>
      </c>
      <c r="O1976" s="39">
        <f>IF($B1976="","",IF(COUNTIFS(NOVEDADES!$C$4:$C$2003,$B1976)=0,"—","SÍ ("&amp;COUNTIFS(NOVEDADES!$C$4:$C$2003,$B1976)&amp;")"))</f>
        <v/>
      </c>
    </row>
    <row r="1977">
      <c r="A1977" s="41" t="n"/>
      <c r="B1977" s="41" t="n"/>
      <c r="C1977" s="41" t="n"/>
      <c r="D1977" s="41" t="n"/>
      <c r="E1977" s="46" t="n"/>
      <c r="F1977" s="41" t="n"/>
      <c r="G1977" s="41" t="n"/>
      <c r="H1977" s="41" t="n"/>
      <c r="I1977" s="41" t="n"/>
      <c r="J1977" s="47" t="n"/>
      <c r="K1977" s="41" t="n"/>
      <c r="L1977" s="48" t="n"/>
      <c r="M1977" s="45" t="n"/>
      <c r="N1977" s="39">
        <f>IF($B1977="","",IF(SUMPRODUCT((LISTAS!$O$3:$O$42&lt;&gt;"")*ISNUMBER(SEARCH(LISTAS!$O$3:$O$42,$I1977&amp;" "&amp;$K1977)))&gt;0,"CERCANA","NACIONAL"))</f>
        <v/>
      </c>
      <c r="O1977" s="39">
        <f>IF($B1977="","",IF(COUNTIFS(NOVEDADES!$C$4:$C$2003,$B1977)=0,"—","SÍ ("&amp;COUNTIFS(NOVEDADES!$C$4:$C$2003,$B1977)&amp;")"))</f>
        <v/>
      </c>
    </row>
    <row r="1978">
      <c r="A1978" s="41" t="n"/>
      <c r="B1978" s="41" t="n"/>
      <c r="C1978" s="41" t="n"/>
      <c r="D1978" s="41" t="n"/>
      <c r="E1978" s="46" t="n"/>
      <c r="F1978" s="41" t="n"/>
      <c r="G1978" s="41" t="n"/>
      <c r="H1978" s="41" t="n"/>
      <c r="I1978" s="41" t="n"/>
      <c r="J1978" s="47" t="n"/>
      <c r="K1978" s="41" t="n"/>
      <c r="L1978" s="48" t="n"/>
      <c r="M1978" s="45" t="n"/>
      <c r="N1978" s="39">
        <f>IF($B1978="","",IF(SUMPRODUCT((LISTAS!$O$3:$O$42&lt;&gt;"")*ISNUMBER(SEARCH(LISTAS!$O$3:$O$42,$I1978&amp;" "&amp;$K1978)))&gt;0,"CERCANA","NACIONAL"))</f>
        <v/>
      </c>
      <c r="O1978" s="39">
        <f>IF($B1978="","",IF(COUNTIFS(NOVEDADES!$C$4:$C$2003,$B1978)=0,"—","SÍ ("&amp;COUNTIFS(NOVEDADES!$C$4:$C$2003,$B1978)&amp;")"))</f>
        <v/>
      </c>
    </row>
    <row r="1979">
      <c r="A1979" s="41" t="n"/>
      <c r="B1979" s="41" t="n"/>
      <c r="C1979" s="41" t="n"/>
      <c r="D1979" s="41" t="n"/>
      <c r="E1979" s="46" t="n"/>
      <c r="F1979" s="41" t="n"/>
      <c r="G1979" s="41" t="n"/>
      <c r="H1979" s="41" t="n"/>
      <c r="I1979" s="41" t="n"/>
      <c r="J1979" s="47" t="n"/>
      <c r="K1979" s="41" t="n"/>
      <c r="L1979" s="48" t="n"/>
      <c r="M1979" s="45" t="n"/>
      <c r="N1979" s="39">
        <f>IF($B1979="","",IF(SUMPRODUCT((LISTAS!$O$3:$O$42&lt;&gt;"")*ISNUMBER(SEARCH(LISTAS!$O$3:$O$42,$I1979&amp;" "&amp;$K1979)))&gt;0,"CERCANA","NACIONAL"))</f>
        <v/>
      </c>
      <c r="O1979" s="39">
        <f>IF($B1979="","",IF(COUNTIFS(NOVEDADES!$C$4:$C$2003,$B1979)=0,"—","SÍ ("&amp;COUNTIFS(NOVEDADES!$C$4:$C$2003,$B1979)&amp;")"))</f>
        <v/>
      </c>
    </row>
    <row r="1980">
      <c r="A1980" s="41" t="n"/>
      <c r="B1980" s="41" t="n"/>
      <c r="C1980" s="41" t="n"/>
      <c r="D1980" s="41" t="n"/>
      <c r="E1980" s="46" t="n"/>
      <c r="F1980" s="41" t="n"/>
      <c r="G1980" s="41" t="n"/>
      <c r="H1980" s="41" t="n"/>
      <c r="I1980" s="41" t="n"/>
      <c r="J1980" s="47" t="n"/>
      <c r="K1980" s="41" t="n"/>
      <c r="L1980" s="48" t="n"/>
      <c r="M1980" s="45" t="n"/>
      <c r="N1980" s="39">
        <f>IF($B1980="","",IF(SUMPRODUCT((LISTAS!$O$3:$O$42&lt;&gt;"")*ISNUMBER(SEARCH(LISTAS!$O$3:$O$42,$I1980&amp;" "&amp;$K1980)))&gt;0,"CERCANA","NACIONAL"))</f>
        <v/>
      </c>
      <c r="O1980" s="39">
        <f>IF($B1980="","",IF(COUNTIFS(NOVEDADES!$C$4:$C$2003,$B1980)=0,"—","SÍ ("&amp;COUNTIFS(NOVEDADES!$C$4:$C$2003,$B1980)&amp;")"))</f>
        <v/>
      </c>
    </row>
    <row r="1981">
      <c r="A1981" s="41" t="n"/>
      <c r="B1981" s="41" t="n"/>
      <c r="C1981" s="41" t="n"/>
      <c r="D1981" s="41" t="n"/>
      <c r="E1981" s="46" t="n"/>
      <c r="F1981" s="41" t="n"/>
      <c r="G1981" s="41" t="n"/>
      <c r="H1981" s="41" t="n"/>
      <c r="I1981" s="41" t="n"/>
      <c r="J1981" s="47" t="n"/>
      <c r="K1981" s="41" t="n"/>
      <c r="L1981" s="48" t="n"/>
      <c r="M1981" s="45" t="n"/>
      <c r="N1981" s="39">
        <f>IF($B1981="","",IF(SUMPRODUCT((LISTAS!$O$3:$O$42&lt;&gt;"")*ISNUMBER(SEARCH(LISTAS!$O$3:$O$42,$I1981&amp;" "&amp;$K1981)))&gt;0,"CERCANA","NACIONAL"))</f>
        <v/>
      </c>
      <c r="O1981" s="39">
        <f>IF($B1981="","",IF(COUNTIFS(NOVEDADES!$C$4:$C$2003,$B1981)=0,"—","SÍ ("&amp;COUNTIFS(NOVEDADES!$C$4:$C$2003,$B1981)&amp;")"))</f>
        <v/>
      </c>
    </row>
    <row r="1982">
      <c r="A1982" s="41" t="n"/>
      <c r="B1982" s="41" t="n"/>
      <c r="C1982" s="41" t="n"/>
      <c r="D1982" s="41" t="n"/>
      <c r="E1982" s="46" t="n"/>
      <c r="F1982" s="41" t="n"/>
      <c r="G1982" s="41" t="n"/>
      <c r="H1982" s="41" t="n"/>
      <c r="I1982" s="41" t="n"/>
      <c r="J1982" s="47" t="n"/>
      <c r="K1982" s="41" t="n"/>
      <c r="L1982" s="48" t="n"/>
      <c r="M1982" s="45" t="n"/>
      <c r="N1982" s="39">
        <f>IF($B1982="","",IF(SUMPRODUCT((LISTAS!$O$3:$O$42&lt;&gt;"")*ISNUMBER(SEARCH(LISTAS!$O$3:$O$42,$I1982&amp;" "&amp;$K1982)))&gt;0,"CERCANA","NACIONAL"))</f>
        <v/>
      </c>
      <c r="O1982" s="39">
        <f>IF($B1982="","",IF(COUNTIFS(NOVEDADES!$C$4:$C$2003,$B1982)=0,"—","SÍ ("&amp;COUNTIFS(NOVEDADES!$C$4:$C$2003,$B1982)&amp;")"))</f>
        <v/>
      </c>
    </row>
    <row r="1983">
      <c r="A1983" s="41" t="n"/>
      <c r="B1983" s="41" t="n"/>
      <c r="C1983" s="41" t="n"/>
      <c r="D1983" s="41" t="n"/>
      <c r="E1983" s="46" t="n"/>
      <c r="F1983" s="41" t="n"/>
      <c r="G1983" s="41" t="n"/>
      <c r="H1983" s="41" t="n"/>
      <c r="I1983" s="41" t="n"/>
      <c r="J1983" s="47" t="n"/>
      <c r="K1983" s="41" t="n"/>
      <c r="L1983" s="48" t="n"/>
      <c r="M1983" s="45" t="n"/>
      <c r="N1983" s="39">
        <f>IF($B1983="","",IF(SUMPRODUCT((LISTAS!$O$3:$O$42&lt;&gt;"")*ISNUMBER(SEARCH(LISTAS!$O$3:$O$42,$I1983&amp;" "&amp;$K1983)))&gt;0,"CERCANA","NACIONAL"))</f>
        <v/>
      </c>
      <c r="O1983" s="39">
        <f>IF($B1983="","",IF(COUNTIFS(NOVEDADES!$C$4:$C$2003,$B1983)=0,"—","SÍ ("&amp;COUNTIFS(NOVEDADES!$C$4:$C$2003,$B1983)&amp;")"))</f>
        <v/>
      </c>
    </row>
    <row r="1984">
      <c r="A1984" s="41" t="n"/>
      <c r="B1984" s="41" t="n"/>
      <c r="C1984" s="41" t="n"/>
      <c r="D1984" s="41" t="n"/>
      <c r="E1984" s="46" t="n"/>
      <c r="F1984" s="41" t="n"/>
      <c r="G1984" s="41" t="n"/>
      <c r="H1984" s="41" t="n"/>
      <c r="I1984" s="41" t="n"/>
      <c r="J1984" s="47" t="n"/>
      <c r="K1984" s="41" t="n"/>
      <c r="L1984" s="48" t="n"/>
      <c r="M1984" s="45" t="n"/>
      <c r="N1984" s="39">
        <f>IF($B1984="","",IF(SUMPRODUCT((LISTAS!$O$3:$O$42&lt;&gt;"")*ISNUMBER(SEARCH(LISTAS!$O$3:$O$42,$I1984&amp;" "&amp;$K1984)))&gt;0,"CERCANA","NACIONAL"))</f>
        <v/>
      </c>
      <c r="O1984" s="39">
        <f>IF($B1984="","",IF(COUNTIFS(NOVEDADES!$C$4:$C$2003,$B1984)=0,"—","SÍ ("&amp;COUNTIFS(NOVEDADES!$C$4:$C$2003,$B1984)&amp;")"))</f>
        <v/>
      </c>
    </row>
    <row r="1985">
      <c r="A1985" s="41" t="n"/>
      <c r="B1985" s="41" t="n"/>
      <c r="C1985" s="41" t="n"/>
      <c r="D1985" s="41" t="n"/>
      <c r="E1985" s="46" t="n"/>
      <c r="F1985" s="41" t="n"/>
      <c r="G1985" s="41" t="n"/>
      <c r="H1985" s="41" t="n"/>
      <c r="I1985" s="41" t="n"/>
      <c r="J1985" s="47" t="n"/>
      <c r="K1985" s="41" t="n"/>
      <c r="L1985" s="48" t="n"/>
      <c r="M1985" s="45" t="n"/>
      <c r="N1985" s="39">
        <f>IF($B1985="","",IF(SUMPRODUCT((LISTAS!$O$3:$O$42&lt;&gt;"")*ISNUMBER(SEARCH(LISTAS!$O$3:$O$42,$I1985&amp;" "&amp;$K1985)))&gt;0,"CERCANA","NACIONAL"))</f>
        <v/>
      </c>
      <c r="O1985" s="39">
        <f>IF($B1985="","",IF(COUNTIFS(NOVEDADES!$C$4:$C$2003,$B1985)=0,"—","SÍ ("&amp;COUNTIFS(NOVEDADES!$C$4:$C$2003,$B1985)&amp;")"))</f>
        <v/>
      </c>
    </row>
    <row r="1986">
      <c r="A1986" s="41" t="n"/>
      <c r="B1986" s="41" t="n"/>
      <c r="C1986" s="41" t="n"/>
      <c r="D1986" s="41" t="n"/>
      <c r="E1986" s="46" t="n"/>
      <c r="F1986" s="41" t="n"/>
      <c r="G1986" s="41" t="n"/>
      <c r="H1986" s="41" t="n"/>
      <c r="I1986" s="41" t="n"/>
      <c r="J1986" s="47" t="n"/>
      <c r="K1986" s="41" t="n"/>
      <c r="L1986" s="48" t="n"/>
      <c r="M1986" s="45" t="n"/>
      <c r="N1986" s="39">
        <f>IF($B1986="","",IF(SUMPRODUCT((LISTAS!$O$3:$O$42&lt;&gt;"")*ISNUMBER(SEARCH(LISTAS!$O$3:$O$42,$I1986&amp;" "&amp;$K1986)))&gt;0,"CERCANA","NACIONAL"))</f>
        <v/>
      </c>
      <c r="O1986" s="39">
        <f>IF($B1986="","",IF(COUNTIFS(NOVEDADES!$C$4:$C$2003,$B1986)=0,"—","SÍ ("&amp;COUNTIFS(NOVEDADES!$C$4:$C$2003,$B1986)&amp;")"))</f>
        <v/>
      </c>
    </row>
    <row r="1987">
      <c r="A1987" s="41" t="n"/>
      <c r="B1987" s="41" t="n"/>
      <c r="C1987" s="41" t="n"/>
      <c r="D1987" s="41" t="n"/>
      <c r="E1987" s="46" t="n"/>
      <c r="F1987" s="41" t="n"/>
      <c r="G1987" s="41" t="n"/>
      <c r="H1987" s="41" t="n"/>
      <c r="I1987" s="41" t="n"/>
      <c r="J1987" s="47" t="n"/>
      <c r="K1987" s="41" t="n"/>
      <c r="L1987" s="48" t="n"/>
      <c r="M1987" s="45" t="n"/>
      <c r="N1987" s="39">
        <f>IF($B1987="","",IF(SUMPRODUCT((LISTAS!$O$3:$O$42&lt;&gt;"")*ISNUMBER(SEARCH(LISTAS!$O$3:$O$42,$I1987&amp;" "&amp;$K1987)))&gt;0,"CERCANA","NACIONAL"))</f>
        <v/>
      </c>
      <c r="O1987" s="39">
        <f>IF($B1987="","",IF(COUNTIFS(NOVEDADES!$C$4:$C$2003,$B1987)=0,"—","SÍ ("&amp;COUNTIFS(NOVEDADES!$C$4:$C$2003,$B1987)&amp;")"))</f>
        <v/>
      </c>
    </row>
    <row r="1988">
      <c r="A1988" s="41" t="n"/>
      <c r="B1988" s="41" t="n"/>
      <c r="C1988" s="41" t="n"/>
      <c r="D1988" s="41" t="n"/>
      <c r="E1988" s="46" t="n"/>
      <c r="F1988" s="41" t="n"/>
      <c r="G1988" s="41" t="n"/>
      <c r="H1988" s="41" t="n"/>
      <c r="I1988" s="41" t="n"/>
      <c r="J1988" s="47" t="n"/>
      <c r="K1988" s="41" t="n"/>
      <c r="L1988" s="48" t="n"/>
      <c r="M1988" s="45" t="n"/>
      <c r="N1988" s="39">
        <f>IF($B1988="","",IF(SUMPRODUCT((LISTAS!$O$3:$O$42&lt;&gt;"")*ISNUMBER(SEARCH(LISTAS!$O$3:$O$42,$I1988&amp;" "&amp;$K1988)))&gt;0,"CERCANA","NACIONAL"))</f>
        <v/>
      </c>
      <c r="O1988" s="39">
        <f>IF($B1988="","",IF(COUNTIFS(NOVEDADES!$C$4:$C$2003,$B1988)=0,"—","SÍ ("&amp;COUNTIFS(NOVEDADES!$C$4:$C$2003,$B1988)&amp;")"))</f>
        <v/>
      </c>
    </row>
    <row r="1989">
      <c r="A1989" s="41" t="n"/>
      <c r="B1989" s="41" t="n"/>
      <c r="C1989" s="41" t="n"/>
      <c r="D1989" s="41" t="n"/>
      <c r="E1989" s="46" t="n"/>
      <c r="F1989" s="41" t="n"/>
      <c r="G1989" s="41" t="n"/>
      <c r="H1989" s="41" t="n"/>
      <c r="I1989" s="41" t="n"/>
      <c r="J1989" s="47" t="n"/>
      <c r="K1989" s="41" t="n"/>
      <c r="L1989" s="48" t="n"/>
      <c r="M1989" s="45" t="n"/>
      <c r="N1989" s="39">
        <f>IF($B1989="","",IF(SUMPRODUCT((LISTAS!$O$3:$O$42&lt;&gt;"")*ISNUMBER(SEARCH(LISTAS!$O$3:$O$42,$I1989&amp;" "&amp;$K1989)))&gt;0,"CERCANA","NACIONAL"))</f>
        <v/>
      </c>
      <c r="O1989" s="39">
        <f>IF($B1989="","",IF(COUNTIFS(NOVEDADES!$C$4:$C$2003,$B1989)=0,"—","SÍ ("&amp;COUNTIFS(NOVEDADES!$C$4:$C$2003,$B1989)&amp;")"))</f>
        <v/>
      </c>
    </row>
    <row r="1990">
      <c r="A1990" s="41" t="n"/>
      <c r="B1990" s="41" t="n"/>
      <c r="C1990" s="41" t="n"/>
      <c r="D1990" s="41" t="n"/>
      <c r="E1990" s="46" t="n"/>
      <c r="F1990" s="41" t="n"/>
      <c r="G1990" s="41" t="n"/>
      <c r="H1990" s="41" t="n"/>
      <c r="I1990" s="41" t="n"/>
      <c r="J1990" s="47" t="n"/>
      <c r="K1990" s="41" t="n"/>
      <c r="L1990" s="48" t="n"/>
      <c r="M1990" s="45" t="n"/>
      <c r="N1990" s="39">
        <f>IF($B1990="","",IF(SUMPRODUCT((LISTAS!$O$3:$O$42&lt;&gt;"")*ISNUMBER(SEARCH(LISTAS!$O$3:$O$42,$I1990&amp;" "&amp;$K1990)))&gt;0,"CERCANA","NACIONAL"))</f>
        <v/>
      </c>
      <c r="O1990" s="39">
        <f>IF($B1990="","",IF(COUNTIFS(NOVEDADES!$C$4:$C$2003,$B1990)=0,"—","SÍ ("&amp;COUNTIFS(NOVEDADES!$C$4:$C$2003,$B1990)&amp;")"))</f>
        <v/>
      </c>
    </row>
    <row r="1991">
      <c r="A1991" s="41" t="n"/>
      <c r="B1991" s="41" t="n"/>
      <c r="C1991" s="41" t="n"/>
      <c r="D1991" s="41" t="n"/>
      <c r="E1991" s="46" t="n"/>
      <c r="F1991" s="41" t="n"/>
      <c r="G1991" s="41" t="n"/>
      <c r="H1991" s="41" t="n"/>
      <c r="I1991" s="41" t="n"/>
      <c r="J1991" s="47" t="n"/>
      <c r="K1991" s="41" t="n"/>
      <c r="L1991" s="48" t="n"/>
      <c r="M1991" s="45" t="n"/>
      <c r="N1991" s="39">
        <f>IF($B1991="","",IF(SUMPRODUCT((LISTAS!$O$3:$O$42&lt;&gt;"")*ISNUMBER(SEARCH(LISTAS!$O$3:$O$42,$I1991&amp;" "&amp;$K1991)))&gt;0,"CERCANA","NACIONAL"))</f>
        <v/>
      </c>
      <c r="O1991" s="39">
        <f>IF($B1991="","",IF(COUNTIFS(NOVEDADES!$C$4:$C$2003,$B1991)=0,"—","SÍ ("&amp;COUNTIFS(NOVEDADES!$C$4:$C$2003,$B1991)&amp;")"))</f>
        <v/>
      </c>
    </row>
    <row r="1992">
      <c r="A1992" s="41" t="n"/>
      <c r="B1992" s="41" t="n"/>
      <c r="C1992" s="41" t="n"/>
      <c r="D1992" s="41" t="n"/>
      <c r="E1992" s="46" t="n"/>
      <c r="F1992" s="41" t="n"/>
      <c r="G1992" s="41" t="n"/>
      <c r="H1992" s="41" t="n"/>
      <c r="I1992" s="41" t="n"/>
      <c r="J1992" s="47" t="n"/>
      <c r="K1992" s="41" t="n"/>
      <c r="L1992" s="48" t="n"/>
      <c r="M1992" s="45" t="n"/>
      <c r="N1992" s="39">
        <f>IF($B1992="","",IF(SUMPRODUCT((LISTAS!$O$3:$O$42&lt;&gt;"")*ISNUMBER(SEARCH(LISTAS!$O$3:$O$42,$I1992&amp;" "&amp;$K1992)))&gt;0,"CERCANA","NACIONAL"))</f>
        <v/>
      </c>
      <c r="O1992" s="39">
        <f>IF($B1992="","",IF(COUNTIFS(NOVEDADES!$C$4:$C$2003,$B1992)=0,"—","SÍ ("&amp;COUNTIFS(NOVEDADES!$C$4:$C$2003,$B1992)&amp;")"))</f>
        <v/>
      </c>
    </row>
    <row r="1993">
      <c r="A1993" s="41" t="n"/>
      <c r="B1993" s="41" t="n"/>
      <c r="C1993" s="41" t="n"/>
      <c r="D1993" s="41" t="n"/>
      <c r="E1993" s="46" t="n"/>
      <c r="F1993" s="41" t="n"/>
      <c r="G1993" s="41" t="n"/>
      <c r="H1993" s="41" t="n"/>
      <c r="I1993" s="41" t="n"/>
      <c r="J1993" s="47" t="n"/>
      <c r="K1993" s="41" t="n"/>
      <c r="L1993" s="48" t="n"/>
      <c r="M1993" s="45" t="n"/>
      <c r="N1993" s="39">
        <f>IF($B1993="","",IF(SUMPRODUCT((LISTAS!$O$3:$O$42&lt;&gt;"")*ISNUMBER(SEARCH(LISTAS!$O$3:$O$42,$I1993&amp;" "&amp;$K1993)))&gt;0,"CERCANA","NACIONAL"))</f>
        <v/>
      </c>
      <c r="O1993" s="39">
        <f>IF($B1993="","",IF(COUNTIFS(NOVEDADES!$C$4:$C$2003,$B1993)=0,"—","SÍ ("&amp;COUNTIFS(NOVEDADES!$C$4:$C$2003,$B1993)&amp;")"))</f>
        <v/>
      </c>
    </row>
    <row r="1994">
      <c r="A1994" s="41" t="n"/>
      <c r="B1994" s="41" t="n"/>
      <c r="C1994" s="41" t="n"/>
      <c r="D1994" s="41" t="n"/>
      <c r="E1994" s="46" t="n"/>
      <c r="F1994" s="41" t="n"/>
      <c r="G1994" s="41" t="n"/>
      <c r="H1994" s="41" t="n"/>
      <c r="I1994" s="41" t="n"/>
      <c r="J1994" s="47" t="n"/>
      <c r="K1994" s="41" t="n"/>
      <c r="L1994" s="48" t="n"/>
      <c r="M1994" s="45" t="n"/>
      <c r="N1994" s="39">
        <f>IF($B1994="","",IF(SUMPRODUCT((LISTAS!$O$3:$O$42&lt;&gt;"")*ISNUMBER(SEARCH(LISTAS!$O$3:$O$42,$I1994&amp;" "&amp;$K1994)))&gt;0,"CERCANA","NACIONAL"))</f>
        <v/>
      </c>
      <c r="O1994" s="39">
        <f>IF($B1994="","",IF(COUNTIFS(NOVEDADES!$C$4:$C$2003,$B1994)=0,"—","SÍ ("&amp;COUNTIFS(NOVEDADES!$C$4:$C$2003,$B1994)&amp;")"))</f>
        <v/>
      </c>
    </row>
    <row r="1995">
      <c r="A1995" s="41" t="n"/>
      <c r="B1995" s="41" t="n"/>
      <c r="C1995" s="41" t="n"/>
      <c r="D1995" s="41" t="n"/>
      <c r="E1995" s="46" t="n"/>
      <c r="F1995" s="41" t="n"/>
      <c r="G1995" s="41" t="n"/>
      <c r="H1995" s="41" t="n"/>
      <c r="I1995" s="41" t="n"/>
      <c r="J1995" s="47" t="n"/>
      <c r="K1995" s="41" t="n"/>
      <c r="L1995" s="48" t="n"/>
      <c r="M1995" s="45" t="n"/>
      <c r="N1995" s="39">
        <f>IF($B1995="","",IF(SUMPRODUCT((LISTAS!$O$3:$O$42&lt;&gt;"")*ISNUMBER(SEARCH(LISTAS!$O$3:$O$42,$I1995&amp;" "&amp;$K1995)))&gt;0,"CERCANA","NACIONAL"))</f>
        <v/>
      </c>
      <c r="O1995" s="39">
        <f>IF($B1995="","",IF(COUNTIFS(NOVEDADES!$C$4:$C$2003,$B1995)=0,"—","SÍ ("&amp;COUNTIFS(NOVEDADES!$C$4:$C$2003,$B1995)&amp;")"))</f>
        <v/>
      </c>
    </row>
    <row r="1996">
      <c r="A1996" s="41" t="n"/>
      <c r="B1996" s="41" t="n"/>
      <c r="C1996" s="41" t="n"/>
      <c r="D1996" s="41" t="n"/>
      <c r="E1996" s="46" t="n"/>
      <c r="F1996" s="41" t="n"/>
      <c r="G1996" s="41" t="n"/>
      <c r="H1996" s="41" t="n"/>
      <c r="I1996" s="41" t="n"/>
      <c r="J1996" s="47" t="n"/>
      <c r="K1996" s="41" t="n"/>
      <c r="L1996" s="48" t="n"/>
      <c r="M1996" s="45" t="n"/>
      <c r="N1996" s="39">
        <f>IF($B1996="","",IF(SUMPRODUCT((LISTAS!$O$3:$O$42&lt;&gt;"")*ISNUMBER(SEARCH(LISTAS!$O$3:$O$42,$I1996&amp;" "&amp;$K1996)))&gt;0,"CERCANA","NACIONAL"))</f>
        <v/>
      </c>
      <c r="O1996" s="39">
        <f>IF($B1996="","",IF(COUNTIFS(NOVEDADES!$C$4:$C$2003,$B1996)=0,"—","SÍ ("&amp;COUNTIFS(NOVEDADES!$C$4:$C$2003,$B1996)&amp;")"))</f>
        <v/>
      </c>
    </row>
    <row r="1997">
      <c r="A1997" s="41" t="n"/>
      <c r="B1997" s="41" t="n"/>
      <c r="C1997" s="41" t="n"/>
      <c r="D1997" s="41" t="n"/>
      <c r="E1997" s="46" t="n"/>
      <c r="F1997" s="41" t="n"/>
      <c r="G1997" s="41" t="n"/>
      <c r="H1997" s="41" t="n"/>
      <c r="I1997" s="41" t="n"/>
      <c r="J1997" s="47" t="n"/>
      <c r="K1997" s="41" t="n"/>
      <c r="L1997" s="48" t="n"/>
      <c r="M1997" s="45" t="n"/>
      <c r="N1997" s="39">
        <f>IF($B1997="","",IF(SUMPRODUCT((LISTAS!$O$3:$O$42&lt;&gt;"")*ISNUMBER(SEARCH(LISTAS!$O$3:$O$42,$I1997&amp;" "&amp;$K1997)))&gt;0,"CERCANA","NACIONAL"))</f>
        <v/>
      </c>
      <c r="O1997" s="39">
        <f>IF($B1997="","",IF(COUNTIFS(NOVEDADES!$C$4:$C$2003,$B1997)=0,"—","SÍ ("&amp;COUNTIFS(NOVEDADES!$C$4:$C$2003,$B1997)&amp;")"))</f>
        <v/>
      </c>
    </row>
    <row r="1998">
      <c r="A1998" s="41" t="n"/>
      <c r="B1998" s="41" t="n"/>
      <c r="C1998" s="41" t="n"/>
      <c r="D1998" s="41" t="n"/>
      <c r="E1998" s="46" t="n"/>
      <c r="F1998" s="41" t="n"/>
      <c r="G1998" s="41" t="n"/>
      <c r="H1998" s="41" t="n"/>
      <c r="I1998" s="41" t="n"/>
      <c r="J1998" s="47" t="n"/>
      <c r="K1998" s="41" t="n"/>
      <c r="L1998" s="48" t="n"/>
      <c r="M1998" s="45" t="n"/>
      <c r="N1998" s="39">
        <f>IF($B1998="","",IF(SUMPRODUCT((LISTAS!$O$3:$O$42&lt;&gt;"")*ISNUMBER(SEARCH(LISTAS!$O$3:$O$42,$I1998&amp;" "&amp;$K1998)))&gt;0,"CERCANA","NACIONAL"))</f>
        <v/>
      </c>
      <c r="O1998" s="39">
        <f>IF($B1998="","",IF(COUNTIFS(NOVEDADES!$C$4:$C$2003,$B1998)=0,"—","SÍ ("&amp;COUNTIFS(NOVEDADES!$C$4:$C$2003,$B1998)&amp;")"))</f>
        <v/>
      </c>
    </row>
    <row r="1999">
      <c r="A1999" s="41" t="n"/>
      <c r="B1999" s="41" t="n"/>
      <c r="C1999" s="41" t="n"/>
      <c r="D1999" s="41" t="n"/>
      <c r="E1999" s="46" t="n"/>
      <c r="F1999" s="41" t="n"/>
      <c r="G1999" s="41" t="n"/>
      <c r="H1999" s="41" t="n"/>
      <c r="I1999" s="41" t="n"/>
      <c r="J1999" s="47" t="n"/>
      <c r="K1999" s="41" t="n"/>
      <c r="L1999" s="48" t="n"/>
      <c r="M1999" s="45" t="n"/>
      <c r="N1999" s="39">
        <f>IF($B1999="","",IF(SUMPRODUCT((LISTAS!$O$3:$O$42&lt;&gt;"")*ISNUMBER(SEARCH(LISTAS!$O$3:$O$42,$I1999&amp;" "&amp;$K1999)))&gt;0,"CERCANA","NACIONAL"))</f>
        <v/>
      </c>
      <c r="O1999" s="39">
        <f>IF($B1999="","",IF(COUNTIFS(NOVEDADES!$C$4:$C$2003,$B1999)=0,"—","SÍ ("&amp;COUNTIFS(NOVEDADES!$C$4:$C$2003,$B1999)&amp;")"))</f>
        <v/>
      </c>
    </row>
    <row r="2000">
      <c r="A2000" s="41" t="n"/>
      <c r="B2000" s="41" t="n"/>
      <c r="C2000" s="41" t="n"/>
      <c r="D2000" s="41" t="n"/>
      <c r="E2000" s="46" t="n"/>
      <c r="F2000" s="41" t="n"/>
      <c r="G2000" s="41" t="n"/>
      <c r="H2000" s="41" t="n"/>
      <c r="I2000" s="41" t="n"/>
      <c r="J2000" s="47" t="n"/>
      <c r="K2000" s="41" t="n"/>
      <c r="L2000" s="48" t="n"/>
      <c r="M2000" s="45" t="n"/>
      <c r="N2000" s="39">
        <f>IF($B2000="","",IF(SUMPRODUCT((LISTAS!$O$3:$O$42&lt;&gt;"")*ISNUMBER(SEARCH(LISTAS!$O$3:$O$42,$I2000&amp;" "&amp;$K2000)))&gt;0,"CERCANA","NACIONAL"))</f>
        <v/>
      </c>
      <c r="O2000" s="39">
        <f>IF($B2000="","",IF(COUNTIFS(NOVEDADES!$C$4:$C$2003,$B2000)=0,"—","SÍ ("&amp;COUNTIFS(NOVEDADES!$C$4:$C$2003,$B2000)&amp;")"))</f>
        <v/>
      </c>
    </row>
    <row r="2001">
      <c r="A2001" s="41" t="n"/>
      <c r="B2001" s="41" t="n"/>
      <c r="C2001" s="41" t="n"/>
      <c r="D2001" s="41" t="n"/>
      <c r="E2001" s="46" t="n"/>
      <c r="F2001" s="41" t="n"/>
      <c r="G2001" s="41" t="n"/>
      <c r="H2001" s="41" t="n"/>
      <c r="I2001" s="41" t="n"/>
      <c r="J2001" s="47" t="n"/>
      <c r="K2001" s="41" t="n"/>
      <c r="L2001" s="48" t="n"/>
      <c r="M2001" s="45" t="n"/>
      <c r="N2001" s="39">
        <f>IF($B2001="","",IF(SUMPRODUCT((LISTAS!$O$3:$O$42&lt;&gt;"")*ISNUMBER(SEARCH(LISTAS!$O$3:$O$42,$I2001&amp;" "&amp;$K2001)))&gt;0,"CERCANA","NACIONAL"))</f>
        <v/>
      </c>
      <c r="O2001" s="39">
        <f>IF($B2001="","",IF(COUNTIFS(NOVEDADES!$C$4:$C$2003,$B2001)=0,"—","SÍ ("&amp;COUNTIFS(NOVEDADES!$C$4:$C$2003,$B2001)&amp;")"))</f>
        <v/>
      </c>
    </row>
    <row r="2002">
      <c r="A2002" s="41" t="n"/>
      <c r="B2002" s="41" t="n"/>
      <c r="C2002" s="41" t="n"/>
      <c r="D2002" s="41" t="n"/>
      <c r="E2002" s="46" t="n"/>
      <c r="F2002" s="41" t="n"/>
      <c r="G2002" s="41" t="n"/>
      <c r="H2002" s="41" t="n"/>
      <c r="I2002" s="41" t="n"/>
      <c r="J2002" s="47" t="n"/>
      <c r="K2002" s="41" t="n"/>
      <c r="L2002" s="48" t="n"/>
      <c r="M2002" s="45" t="n"/>
      <c r="N2002" s="39">
        <f>IF($B2002="","",IF(SUMPRODUCT((LISTAS!$O$3:$O$42&lt;&gt;"")*ISNUMBER(SEARCH(LISTAS!$O$3:$O$42,$I2002&amp;" "&amp;$K2002)))&gt;0,"CERCANA","NACIONAL"))</f>
        <v/>
      </c>
      <c r="O2002" s="39">
        <f>IF($B2002="","",IF(COUNTIFS(NOVEDADES!$C$4:$C$2003,$B2002)=0,"—","SÍ ("&amp;COUNTIFS(NOVEDADES!$C$4:$C$2003,$B2002)&amp;")"))</f>
        <v/>
      </c>
    </row>
    <row r="2003">
      <c r="A2003" s="41" t="n"/>
      <c r="B2003" s="41" t="n"/>
      <c r="C2003" s="41" t="n"/>
      <c r="D2003" s="41" t="n"/>
      <c r="E2003" s="46" t="n"/>
      <c r="F2003" s="41" t="n"/>
      <c r="G2003" s="41" t="n"/>
      <c r="H2003" s="41" t="n"/>
      <c r="I2003" s="41" t="n"/>
      <c r="J2003" s="47" t="n"/>
      <c r="K2003" s="41" t="n"/>
      <c r="L2003" s="48" t="n"/>
      <c r="M2003" s="45" t="n"/>
      <c r="N2003" s="39">
        <f>IF($B2003="","",IF(SUMPRODUCT((LISTAS!$O$3:$O$42&lt;&gt;"")*ISNUMBER(SEARCH(LISTAS!$O$3:$O$42,$I2003&amp;" "&amp;$K2003)))&gt;0,"CERCANA","NACIONAL"))</f>
        <v/>
      </c>
      <c r="O2003" s="39">
        <f>IF($B2003="","",IF(COUNTIFS(NOVEDADES!$C$4:$C$2003,$B2003)=0,"—","SÍ ("&amp;COUNTIFS(NOVEDADES!$C$4:$C$2003,$B2003)&amp;")"))</f>
        <v/>
      </c>
    </row>
    <row r="2004">
      <c r="A2004" s="41" t="n"/>
      <c r="B2004" s="41" t="n"/>
      <c r="C2004" s="41" t="n"/>
      <c r="D2004" s="41" t="n"/>
      <c r="E2004" s="46" t="n"/>
      <c r="F2004" s="41" t="n"/>
      <c r="G2004" s="41" t="n"/>
      <c r="H2004" s="41" t="n"/>
      <c r="I2004" s="41" t="n"/>
      <c r="J2004" s="47" t="n"/>
      <c r="K2004" s="41" t="n"/>
      <c r="L2004" s="48" t="n"/>
      <c r="M2004" s="45" t="n"/>
      <c r="N2004" s="39">
        <f>IF($B2004="","",IF(SUMPRODUCT((LISTAS!$O$3:$O$42&lt;&gt;"")*ISNUMBER(SEARCH(LISTAS!$O$3:$O$42,$I2004&amp;" "&amp;$K2004)))&gt;0,"CERCANA","NACIONAL"))</f>
        <v/>
      </c>
      <c r="O2004" s="39">
        <f>IF($B2004="","",IF(COUNTIFS(NOVEDADES!$C$4:$C$2003,$B2004)=0,"—","SÍ ("&amp;COUNTIFS(NOVEDADES!$C$4:$C$2003,$B2004)&amp;")"))</f>
        <v/>
      </c>
    </row>
    <row r="2005">
      <c r="A2005" s="41" t="n"/>
      <c r="B2005" s="41" t="n"/>
      <c r="C2005" s="41" t="n"/>
      <c r="D2005" s="41" t="n"/>
      <c r="E2005" s="46" t="n"/>
      <c r="F2005" s="41" t="n"/>
      <c r="G2005" s="41" t="n"/>
      <c r="H2005" s="41" t="n"/>
      <c r="I2005" s="41" t="n"/>
      <c r="J2005" s="47" t="n"/>
      <c r="K2005" s="41" t="n"/>
      <c r="L2005" s="48" t="n"/>
      <c r="M2005" s="45" t="n"/>
      <c r="N2005" s="39">
        <f>IF($B2005="","",IF(SUMPRODUCT((LISTAS!$O$3:$O$42&lt;&gt;"")*ISNUMBER(SEARCH(LISTAS!$O$3:$O$42,$I2005&amp;" "&amp;$K2005)))&gt;0,"CERCANA","NACIONAL"))</f>
        <v/>
      </c>
      <c r="O2005" s="39">
        <f>IF($B2005="","",IF(COUNTIFS(NOVEDADES!$C$4:$C$2003,$B2005)=0,"—","SÍ ("&amp;COUNTIFS(NOVEDADES!$C$4:$C$2003,$B2005)&amp;")"))</f>
        <v/>
      </c>
    </row>
    <row r="2006">
      <c r="A2006" s="41" t="n"/>
      <c r="B2006" s="41" t="n"/>
      <c r="C2006" s="41" t="n"/>
      <c r="D2006" s="41" t="n"/>
      <c r="E2006" s="46" t="n"/>
      <c r="F2006" s="41" t="n"/>
      <c r="G2006" s="41" t="n"/>
      <c r="H2006" s="41" t="n"/>
      <c r="I2006" s="41" t="n"/>
      <c r="J2006" s="47" t="n"/>
      <c r="K2006" s="41" t="n"/>
      <c r="L2006" s="48" t="n"/>
      <c r="M2006" s="45" t="n"/>
      <c r="N2006" s="39">
        <f>IF($B2006="","",IF(SUMPRODUCT((LISTAS!$O$3:$O$42&lt;&gt;"")*ISNUMBER(SEARCH(LISTAS!$O$3:$O$42,$I2006&amp;" "&amp;$K2006)))&gt;0,"CERCANA","NACIONAL"))</f>
        <v/>
      </c>
      <c r="O2006" s="39">
        <f>IF($B2006="","",IF(COUNTIFS(NOVEDADES!$C$4:$C$2003,$B2006)=0,"—","SÍ ("&amp;COUNTIFS(NOVEDADES!$C$4:$C$2003,$B2006)&amp;")"))</f>
        <v/>
      </c>
    </row>
    <row r="2007">
      <c r="A2007" s="41" t="n"/>
      <c r="B2007" s="41" t="n"/>
      <c r="C2007" s="41" t="n"/>
      <c r="D2007" s="41" t="n"/>
      <c r="E2007" s="46" t="n"/>
      <c r="F2007" s="41" t="n"/>
      <c r="G2007" s="41" t="n"/>
      <c r="H2007" s="41" t="n"/>
      <c r="I2007" s="41" t="n"/>
      <c r="J2007" s="47" t="n"/>
      <c r="K2007" s="41" t="n"/>
      <c r="L2007" s="48" t="n"/>
      <c r="M2007" s="45" t="n"/>
      <c r="N2007" s="39">
        <f>IF($B2007="","",IF(SUMPRODUCT((LISTAS!$O$3:$O$42&lt;&gt;"")*ISNUMBER(SEARCH(LISTAS!$O$3:$O$42,$I2007&amp;" "&amp;$K2007)))&gt;0,"CERCANA","NACIONAL"))</f>
        <v/>
      </c>
      <c r="O2007" s="39">
        <f>IF($B2007="","",IF(COUNTIFS(NOVEDADES!$C$4:$C$2003,$B2007)=0,"—","SÍ ("&amp;COUNTIFS(NOVEDADES!$C$4:$C$2003,$B2007)&amp;")"))</f>
        <v/>
      </c>
    </row>
    <row r="2008">
      <c r="A2008" s="41" t="n"/>
      <c r="B2008" s="41" t="n"/>
      <c r="C2008" s="41" t="n"/>
      <c r="D2008" s="41" t="n"/>
      <c r="E2008" s="46" t="n"/>
      <c r="F2008" s="41" t="n"/>
      <c r="G2008" s="41" t="n"/>
      <c r="H2008" s="41" t="n"/>
      <c r="I2008" s="41" t="n"/>
      <c r="J2008" s="47" t="n"/>
      <c r="K2008" s="41" t="n"/>
      <c r="L2008" s="48" t="n"/>
      <c r="M2008" s="45" t="n"/>
      <c r="N2008" s="39">
        <f>IF($B2008="","",IF(SUMPRODUCT((LISTAS!$O$3:$O$42&lt;&gt;"")*ISNUMBER(SEARCH(LISTAS!$O$3:$O$42,$I2008&amp;" "&amp;$K2008)))&gt;0,"CERCANA","NACIONAL"))</f>
        <v/>
      </c>
      <c r="O2008" s="39">
        <f>IF($B2008="","",IF(COUNTIFS(NOVEDADES!$C$4:$C$2003,$B2008)=0,"—","SÍ ("&amp;COUNTIFS(NOVEDADES!$C$4:$C$2003,$B2008)&amp;")"))</f>
        <v/>
      </c>
    </row>
    <row r="2009">
      <c r="A2009" s="41" t="n"/>
      <c r="B2009" s="41" t="n"/>
      <c r="C2009" s="41" t="n"/>
      <c r="D2009" s="41" t="n"/>
      <c r="E2009" s="46" t="n"/>
      <c r="F2009" s="41" t="n"/>
      <c r="G2009" s="41" t="n"/>
      <c r="H2009" s="41" t="n"/>
      <c r="I2009" s="41" t="n"/>
      <c r="J2009" s="47" t="n"/>
      <c r="K2009" s="41" t="n"/>
      <c r="L2009" s="48" t="n"/>
      <c r="M2009" s="45" t="n"/>
      <c r="N2009" s="39">
        <f>IF($B2009="","",IF(SUMPRODUCT((LISTAS!$O$3:$O$42&lt;&gt;"")*ISNUMBER(SEARCH(LISTAS!$O$3:$O$42,$I2009&amp;" "&amp;$K2009)))&gt;0,"CERCANA","NACIONAL"))</f>
        <v/>
      </c>
      <c r="O2009" s="39">
        <f>IF($B2009="","",IF(COUNTIFS(NOVEDADES!$C$4:$C$2003,$B2009)=0,"—","SÍ ("&amp;COUNTIFS(NOVEDADES!$C$4:$C$2003,$B2009)&amp;")"))</f>
        <v/>
      </c>
    </row>
    <row r="2010">
      <c r="A2010" s="41" t="n"/>
      <c r="B2010" s="41" t="n"/>
      <c r="C2010" s="41" t="n"/>
      <c r="D2010" s="41" t="n"/>
      <c r="E2010" s="46" t="n"/>
      <c r="F2010" s="41" t="n"/>
      <c r="G2010" s="41" t="n"/>
      <c r="H2010" s="41" t="n"/>
      <c r="I2010" s="41" t="n"/>
      <c r="J2010" s="47" t="n"/>
      <c r="K2010" s="41" t="n"/>
      <c r="L2010" s="48" t="n"/>
      <c r="M2010" s="45" t="n"/>
      <c r="N2010" s="39">
        <f>IF($B2010="","",IF(SUMPRODUCT((LISTAS!$O$3:$O$42&lt;&gt;"")*ISNUMBER(SEARCH(LISTAS!$O$3:$O$42,$I2010&amp;" "&amp;$K2010)))&gt;0,"CERCANA","NACIONAL"))</f>
        <v/>
      </c>
      <c r="O2010" s="39">
        <f>IF($B2010="","",IF(COUNTIFS(NOVEDADES!$C$4:$C$2003,$B2010)=0,"—","SÍ ("&amp;COUNTIFS(NOVEDADES!$C$4:$C$2003,$B2010)&amp;")"))</f>
        <v/>
      </c>
    </row>
    <row r="2011">
      <c r="A2011" s="41" t="n"/>
      <c r="B2011" s="41" t="n"/>
      <c r="C2011" s="41" t="n"/>
      <c r="D2011" s="41" t="n"/>
      <c r="E2011" s="46" t="n"/>
      <c r="F2011" s="41" t="n"/>
      <c r="G2011" s="41" t="n"/>
      <c r="H2011" s="41" t="n"/>
      <c r="I2011" s="41" t="n"/>
      <c r="J2011" s="47" t="n"/>
      <c r="K2011" s="41" t="n"/>
      <c r="L2011" s="48" t="n"/>
      <c r="M2011" s="45" t="n"/>
      <c r="N2011" s="39">
        <f>IF($B2011="","",IF(SUMPRODUCT((LISTAS!$O$3:$O$42&lt;&gt;"")*ISNUMBER(SEARCH(LISTAS!$O$3:$O$42,$I2011&amp;" "&amp;$K2011)))&gt;0,"CERCANA","NACIONAL"))</f>
        <v/>
      </c>
      <c r="O2011" s="39">
        <f>IF($B2011="","",IF(COUNTIFS(NOVEDADES!$C$4:$C$2003,$B2011)=0,"—","SÍ ("&amp;COUNTIFS(NOVEDADES!$C$4:$C$2003,$B2011)&amp;")"))</f>
        <v/>
      </c>
    </row>
    <row r="2012">
      <c r="A2012" s="41" t="n"/>
      <c r="B2012" s="41" t="n"/>
      <c r="C2012" s="41" t="n"/>
      <c r="D2012" s="41" t="n"/>
      <c r="E2012" s="46" t="n"/>
      <c r="F2012" s="41" t="n"/>
      <c r="G2012" s="41" t="n"/>
      <c r="H2012" s="41" t="n"/>
      <c r="I2012" s="41" t="n"/>
      <c r="J2012" s="47" t="n"/>
      <c r="K2012" s="41" t="n"/>
      <c r="L2012" s="48" t="n"/>
      <c r="M2012" s="45" t="n"/>
      <c r="N2012" s="39">
        <f>IF($B2012="","",IF(SUMPRODUCT((LISTAS!$O$3:$O$42&lt;&gt;"")*ISNUMBER(SEARCH(LISTAS!$O$3:$O$42,$I2012&amp;" "&amp;$K2012)))&gt;0,"CERCANA","NACIONAL"))</f>
        <v/>
      </c>
      <c r="O2012" s="39">
        <f>IF($B2012="","",IF(COUNTIFS(NOVEDADES!$C$4:$C$2003,$B2012)=0,"—","SÍ ("&amp;COUNTIFS(NOVEDADES!$C$4:$C$2003,$B2012)&amp;")"))</f>
        <v/>
      </c>
    </row>
    <row r="2013">
      <c r="A2013" s="41" t="n"/>
      <c r="B2013" s="41" t="n"/>
      <c r="C2013" s="41" t="n"/>
      <c r="D2013" s="41" t="n"/>
      <c r="E2013" s="46" t="n"/>
      <c r="F2013" s="41" t="n"/>
      <c r="G2013" s="41" t="n"/>
      <c r="H2013" s="41" t="n"/>
      <c r="I2013" s="41" t="n"/>
      <c r="J2013" s="47" t="n"/>
      <c r="K2013" s="41" t="n"/>
      <c r="L2013" s="48" t="n"/>
      <c r="M2013" s="45" t="n"/>
      <c r="N2013" s="39">
        <f>IF($B2013="","",IF(SUMPRODUCT((LISTAS!$O$3:$O$42&lt;&gt;"")*ISNUMBER(SEARCH(LISTAS!$O$3:$O$42,$I2013&amp;" "&amp;$K2013)))&gt;0,"CERCANA","NACIONAL"))</f>
        <v/>
      </c>
      <c r="O2013" s="39">
        <f>IF($B2013="","",IF(COUNTIFS(NOVEDADES!$C$4:$C$2003,$B2013)=0,"—","SÍ ("&amp;COUNTIFS(NOVEDADES!$C$4:$C$2003,$B2013)&amp;")"))</f>
        <v/>
      </c>
    </row>
    <row r="2014">
      <c r="A2014" s="41" t="n"/>
      <c r="B2014" s="41" t="n"/>
      <c r="C2014" s="41" t="n"/>
      <c r="D2014" s="41" t="n"/>
      <c r="E2014" s="46" t="n"/>
      <c r="F2014" s="41" t="n"/>
      <c r="G2014" s="41" t="n"/>
      <c r="H2014" s="41" t="n"/>
      <c r="I2014" s="41" t="n"/>
      <c r="J2014" s="47" t="n"/>
      <c r="K2014" s="41" t="n"/>
      <c r="L2014" s="48" t="n"/>
      <c r="M2014" s="45" t="n"/>
      <c r="N2014" s="39">
        <f>IF($B2014="","",IF(SUMPRODUCT((LISTAS!$O$3:$O$42&lt;&gt;"")*ISNUMBER(SEARCH(LISTAS!$O$3:$O$42,$I2014&amp;" "&amp;$K2014)))&gt;0,"CERCANA","NACIONAL"))</f>
        <v/>
      </c>
      <c r="O2014" s="39">
        <f>IF($B2014="","",IF(COUNTIFS(NOVEDADES!$C$4:$C$2003,$B2014)=0,"—","SÍ ("&amp;COUNTIFS(NOVEDADES!$C$4:$C$2003,$B2014)&amp;")"))</f>
        <v/>
      </c>
    </row>
    <row r="2015">
      <c r="A2015" s="41" t="n"/>
      <c r="B2015" s="41" t="n"/>
      <c r="C2015" s="41" t="n"/>
      <c r="D2015" s="41" t="n"/>
      <c r="E2015" s="46" t="n"/>
      <c r="F2015" s="41" t="n"/>
      <c r="G2015" s="41" t="n"/>
      <c r="H2015" s="41" t="n"/>
      <c r="I2015" s="41" t="n"/>
      <c r="J2015" s="47" t="n"/>
      <c r="K2015" s="41" t="n"/>
      <c r="L2015" s="48" t="n"/>
      <c r="M2015" s="45" t="n"/>
      <c r="N2015" s="39">
        <f>IF($B2015="","",IF(SUMPRODUCT((LISTAS!$O$3:$O$42&lt;&gt;"")*ISNUMBER(SEARCH(LISTAS!$O$3:$O$42,$I2015&amp;" "&amp;$K2015)))&gt;0,"CERCANA","NACIONAL"))</f>
        <v/>
      </c>
      <c r="O2015" s="39">
        <f>IF($B2015="","",IF(COUNTIFS(NOVEDADES!$C$4:$C$2003,$B2015)=0,"—","SÍ ("&amp;COUNTIFS(NOVEDADES!$C$4:$C$2003,$B2015)&amp;")"))</f>
        <v/>
      </c>
    </row>
    <row r="2016">
      <c r="A2016" s="41" t="n"/>
      <c r="B2016" s="41" t="n"/>
      <c r="C2016" s="41" t="n"/>
      <c r="D2016" s="41" t="n"/>
      <c r="E2016" s="46" t="n"/>
      <c r="F2016" s="41" t="n"/>
      <c r="G2016" s="41" t="n"/>
      <c r="H2016" s="41" t="n"/>
      <c r="I2016" s="41" t="n"/>
      <c r="J2016" s="47" t="n"/>
      <c r="K2016" s="41" t="n"/>
      <c r="L2016" s="48" t="n"/>
      <c r="M2016" s="45" t="n"/>
      <c r="N2016" s="39">
        <f>IF($B2016="","",IF(SUMPRODUCT((LISTAS!$O$3:$O$42&lt;&gt;"")*ISNUMBER(SEARCH(LISTAS!$O$3:$O$42,$I2016&amp;" "&amp;$K2016)))&gt;0,"CERCANA","NACIONAL"))</f>
        <v/>
      </c>
      <c r="O2016" s="39">
        <f>IF($B2016="","",IF(COUNTIFS(NOVEDADES!$C$4:$C$2003,$B2016)=0,"—","SÍ ("&amp;COUNTIFS(NOVEDADES!$C$4:$C$2003,$B2016)&amp;")"))</f>
        <v/>
      </c>
    </row>
    <row r="2017">
      <c r="A2017" s="41" t="n"/>
      <c r="B2017" s="41" t="n"/>
      <c r="C2017" s="41" t="n"/>
      <c r="D2017" s="41" t="n"/>
      <c r="E2017" s="46" t="n"/>
      <c r="F2017" s="41" t="n"/>
      <c r="G2017" s="41" t="n"/>
      <c r="H2017" s="41" t="n"/>
      <c r="I2017" s="41" t="n"/>
      <c r="J2017" s="47" t="n"/>
      <c r="K2017" s="41" t="n"/>
      <c r="L2017" s="48" t="n"/>
      <c r="M2017" s="45" t="n"/>
      <c r="N2017" s="39">
        <f>IF($B2017="","",IF(SUMPRODUCT((LISTAS!$O$3:$O$42&lt;&gt;"")*ISNUMBER(SEARCH(LISTAS!$O$3:$O$42,$I2017&amp;" "&amp;$K2017)))&gt;0,"CERCANA","NACIONAL"))</f>
        <v/>
      </c>
      <c r="O2017" s="39">
        <f>IF($B2017="","",IF(COUNTIFS(NOVEDADES!$C$4:$C$2003,$B2017)=0,"—","SÍ ("&amp;COUNTIFS(NOVEDADES!$C$4:$C$2003,$B2017)&amp;")"))</f>
        <v/>
      </c>
    </row>
    <row r="2018">
      <c r="A2018" s="41" t="n"/>
      <c r="B2018" s="41" t="n"/>
      <c r="C2018" s="41" t="n"/>
      <c r="D2018" s="41" t="n"/>
      <c r="E2018" s="46" t="n"/>
      <c r="F2018" s="41" t="n"/>
      <c r="G2018" s="41" t="n"/>
      <c r="H2018" s="41" t="n"/>
      <c r="I2018" s="41" t="n"/>
      <c r="J2018" s="47" t="n"/>
      <c r="K2018" s="41" t="n"/>
      <c r="L2018" s="48" t="n"/>
      <c r="M2018" s="45" t="n"/>
      <c r="N2018" s="39">
        <f>IF($B2018="","",IF(SUMPRODUCT((LISTAS!$O$3:$O$42&lt;&gt;"")*ISNUMBER(SEARCH(LISTAS!$O$3:$O$42,$I2018&amp;" "&amp;$K2018)))&gt;0,"CERCANA","NACIONAL"))</f>
        <v/>
      </c>
      <c r="O2018" s="39">
        <f>IF($B2018="","",IF(COUNTIFS(NOVEDADES!$C$4:$C$2003,$B2018)=0,"—","SÍ ("&amp;COUNTIFS(NOVEDADES!$C$4:$C$2003,$B2018)&amp;")"))</f>
        <v/>
      </c>
    </row>
    <row r="2019">
      <c r="A2019" s="41" t="n"/>
      <c r="B2019" s="41" t="n"/>
      <c r="C2019" s="41" t="n"/>
      <c r="D2019" s="41" t="n"/>
      <c r="E2019" s="46" t="n"/>
      <c r="F2019" s="41" t="n"/>
      <c r="G2019" s="41" t="n"/>
      <c r="H2019" s="41" t="n"/>
      <c r="I2019" s="41" t="n"/>
      <c r="J2019" s="47" t="n"/>
      <c r="K2019" s="41" t="n"/>
      <c r="L2019" s="48" t="n"/>
      <c r="M2019" s="45" t="n"/>
      <c r="N2019" s="39">
        <f>IF($B2019="","",IF(SUMPRODUCT((LISTAS!$O$3:$O$42&lt;&gt;"")*ISNUMBER(SEARCH(LISTAS!$O$3:$O$42,$I2019&amp;" "&amp;$K2019)))&gt;0,"CERCANA","NACIONAL"))</f>
        <v/>
      </c>
      <c r="O2019" s="39">
        <f>IF($B2019="","",IF(COUNTIFS(NOVEDADES!$C$4:$C$2003,$B2019)=0,"—","SÍ ("&amp;COUNTIFS(NOVEDADES!$C$4:$C$2003,$B2019)&amp;")"))</f>
        <v/>
      </c>
    </row>
    <row r="2020">
      <c r="A2020" s="41" t="n"/>
      <c r="B2020" s="41" t="n"/>
      <c r="C2020" s="41" t="n"/>
      <c r="D2020" s="41" t="n"/>
      <c r="E2020" s="46" t="n"/>
      <c r="F2020" s="41" t="n"/>
      <c r="G2020" s="41" t="n"/>
      <c r="H2020" s="41" t="n"/>
      <c r="I2020" s="41" t="n"/>
      <c r="J2020" s="47" t="n"/>
      <c r="K2020" s="41" t="n"/>
      <c r="L2020" s="48" t="n"/>
      <c r="M2020" s="45" t="n"/>
      <c r="N2020" s="39">
        <f>IF($B2020="","",IF(SUMPRODUCT((LISTAS!$O$3:$O$42&lt;&gt;"")*ISNUMBER(SEARCH(LISTAS!$O$3:$O$42,$I2020&amp;" "&amp;$K2020)))&gt;0,"CERCANA","NACIONAL"))</f>
        <v/>
      </c>
      <c r="O2020" s="39">
        <f>IF($B2020="","",IF(COUNTIFS(NOVEDADES!$C$4:$C$2003,$B2020)=0,"—","SÍ ("&amp;COUNTIFS(NOVEDADES!$C$4:$C$2003,$B2020)&amp;")"))</f>
        <v/>
      </c>
    </row>
    <row r="2021">
      <c r="A2021" s="41" t="n"/>
      <c r="B2021" s="41" t="n"/>
      <c r="C2021" s="41" t="n"/>
      <c r="D2021" s="41" t="n"/>
      <c r="E2021" s="46" t="n"/>
      <c r="F2021" s="41" t="n"/>
      <c r="G2021" s="41" t="n"/>
      <c r="H2021" s="41" t="n"/>
      <c r="I2021" s="41" t="n"/>
      <c r="J2021" s="47" t="n"/>
      <c r="K2021" s="41" t="n"/>
      <c r="L2021" s="48" t="n"/>
      <c r="M2021" s="45" t="n"/>
      <c r="N2021" s="39">
        <f>IF($B2021="","",IF(SUMPRODUCT((LISTAS!$O$3:$O$42&lt;&gt;"")*ISNUMBER(SEARCH(LISTAS!$O$3:$O$42,$I2021&amp;" "&amp;$K2021)))&gt;0,"CERCANA","NACIONAL"))</f>
        <v/>
      </c>
      <c r="O2021" s="39">
        <f>IF($B2021="","",IF(COUNTIFS(NOVEDADES!$C$4:$C$2003,$B2021)=0,"—","SÍ ("&amp;COUNTIFS(NOVEDADES!$C$4:$C$2003,$B2021)&amp;")"))</f>
        <v/>
      </c>
    </row>
    <row r="2022">
      <c r="A2022" s="41" t="n"/>
      <c r="B2022" s="41" t="n"/>
      <c r="C2022" s="41" t="n"/>
      <c r="D2022" s="41" t="n"/>
      <c r="E2022" s="46" t="n"/>
      <c r="F2022" s="41" t="n"/>
      <c r="G2022" s="41" t="n"/>
      <c r="H2022" s="41" t="n"/>
      <c r="I2022" s="41" t="n"/>
      <c r="J2022" s="47" t="n"/>
      <c r="K2022" s="41" t="n"/>
      <c r="L2022" s="48" t="n"/>
      <c r="M2022" s="45" t="n"/>
      <c r="N2022" s="39">
        <f>IF($B2022="","",IF(SUMPRODUCT((LISTAS!$O$3:$O$42&lt;&gt;"")*ISNUMBER(SEARCH(LISTAS!$O$3:$O$42,$I2022&amp;" "&amp;$K2022)))&gt;0,"CERCANA","NACIONAL"))</f>
        <v/>
      </c>
      <c r="O2022" s="39">
        <f>IF($B2022="","",IF(COUNTIFS(NOVEDADES!$C$4:$C$2003,$B2022)=0,"—","SÍ ("&amp;COUNTIFS(NOVEDADES!$C$4:$C$2003,$B2022)&amp;")"))</f>
        <v/>
      </c>
    </row>
    <row r="2023">
      <c r="A2023" s="41" t="n"/>
      <c r="B2023" s="41" t="n"/>
      <c r="C2023" s="41" t="n"/>
      <c r="D2023" s="41" t="n"/>
      <c r="E2023" s="46" t="n"/>
      <c r="F2023" s="41" t="n"/>
      <c r="G2023" s="41" t="n"/>
      <c r="H2023" s="41" t="n"/>
      <c r="I2023" s="41" t="n"/>
      <c r="J2023" s="47" t="n"/>
      <c r="K2023" s="41" t="n"/>
      <c r="L2023" s="48" t="n"/>
      <c r="M2023" s="45" t="n"/>
      <c r="N2023" s="39">
        <f>IF($B2023="","",IF(SUMPRODUCT((LISTAS!$O$3:$O$42&lt;&gt;"")*ISNUMBER(SEARCH(LISTAS!$O$3:$O$42,$I2023&amp;" "&amp;$K2023)))&gt;0,"CERCANA","NACIONAL"))</f>
        <v/>
      </c>
      <c r="O2023" s="39">
        <f>IF($B2023="","",IF(COUNTIFS(NOVEDADES!$C$4:$C$2003,$B2023)=0,"—","SÍ ("&amp;COUNTIFS(NOVEDADES!$C$4:$C$2003,$B2023)&amp;")"))</f>
        <v/>
      </c>
    </row>
    <row r="2024">
      <c r="A2024" s="41" t="n"/>
      <c r="B2024" s="41" t="n"/>
      <c r="C2024" s="41" t="n"/>
      <c r="D2024" s="41" t="n"/>
      <c r="E2024" s="46" t="n"/>
      <c r="F2024" s="41" t="n"/>
      <c r="G2024" s="41" t="n"/>
      <c r="H2024" s="41" t="n"/>
      <c r="I2024" s="41" t="n"/>
      <c r="J2024" s="47" t="n"/>
      <c r="K2024" s="41" t="n"/>
      <c r="L2024" s="48" t="n"/>
      <c r="M2024" s="45" t="n"/>
      <c r="N2024" s="39">
        <f>IF($B2024="","",IF(SUMPRODUCT((LISTAS!$O$3:$O$42&lt;&gt;"")*ISNUMBER(SEARCH(LISTAS!$O$3:$O$42,$I2024&amp;" "&amp;$K2024)))&gt;0,"CERCANA","NACIONAL"))</f>
        <v/>
      </c>
      <c r="O2024" s="39">
        <f>IF($B2024="","",IF(COUNTIFS(NOVEDADES!$C$4:$C$2003,$B2024)=0,"—","SÍ ("&amp;COUNTIFS(NOVEDADES!$C$4:$C$2003,$B2024)&amp;")"))</f>
        <v/>
      </c>
    </row>
    <row r="2025">
      <c r="A2025" s="41" t="n"/>
      <c r="B2025" s="41" t="n"/>
      <c r="C2025" s="41" t="n"/>
      <c r="D2025" s="41" t="n"/>
      <c r="E2025" s="46" t="n"/>
      <c r="F2025" s="41" t="n"/>
      <c r="G2025" s="41" t="n"/>
      <c r="H2025" s="41" t="n"/>
      <c r="I2025" s="41" t="n"/>
      <c r="J2025" s="47" t="n"/>
      <c r="K2025" s="41" t="n"/>
      <c r="L2025" s="48" t="n"/>
      <c r="M2025" s="45" t="n"/>
      <c r="N2025" s="39">
        <f>IF($B2025="","",IF(SUMPRODUCT((LISTAS!$O$3:$O$42&lt;&gt;"")*ISNUMBER(SEARCH(LISTAS!$O$3:$O$42,$I2025&amp;" "&amp;$K2025)))&gt;0,"CERCANA","NACIONAL"))</f>
        <v/>
      </c>
      <c r="O2025" s="39">
        <f>IF($B2025="","",IF(COUNTIFS(NOVEDADES!$C$4:$C$2003,$B2025)=0,"—","SÍ ("&amp;COUNTIFS(NOVEDADES!$C$4:$C$2003,$B2025)&amp;")"))</f>
        <v/>
      </c>
    </row>
    <row r="2026">
      <c r="A2026" s="41" t="n"/>
      <c r="B2026" s="41" t="n"/>
      <c r="C2026" s="41" t="n"/>
      <c r="D2026" s="41" t="n"/>
      <c r="E2026" s="46" t="n"/>
      <c r="F2026" s="41" t="n"/>
      <c r="G2026" s="41" t="n"/>
      <c r="H2026" s="41" t="n"/>
      <c r="I2026" s="41" t="n"/>
      <c r="J2026" s="47" t="n"/>
      <c r="K2026" s="41" t="n"/>
      <c r="L2026" s="48" t="n"/>
      <c r="M2026" s="45" t="n"/>
      <c r="N2026" s="39">
        <f>IF($B2026="","",IF(SUMPRODUCT((LISTAS!$O$3:$O$42&lt;&gt;"")*ISNUMBER(SEARCH(LISTAS!$O$3:$O$42,$I2026&amp;" "&amp;$K2026)))&gt;0,"CERCANA","NACIONAL"))</f>
        <v/>
      </c>
      <c r="O2026" s="39">
        <f>IF($B2026="","",IF(COUNTIFS(NOVEDADES!$C$4:$C$2003,$B2026)=0,"—","SÍ ("&amp;COUNTIFS(NOVEDADES!$C$4:$C$2003,$B2026)&amp;")"))</f>
        <v/>
      </c>
    </row>
    <row r="2027">
      <c r="A2027" s="41" t="n"/>
      <c r="B2027" s="41" t="n"/>
      <c r="C2027" s="41" t="n"/>
      <c r="D2027" s="41" t="n"/>
      <c r="E2027" s="46" t="n"/>
      <c r="F2027" s="41" t="n"/>
      <c r="G2027" s="41" t="n"/>
      <c r="H2027" s="41" t="n"/>
      <c r="I2027" s="41" t="n"/>
      <c r="J2027" s="47" t="n"/>
      <c r="K2027" s="41" t="n"/>
      <c r="L2027" s="48" t="n"/>
      <c r="M2027" s="45" t="n"/>
      <c r="N2027" s="39">
        <f>IF($B2027="","",IF(SUMPRODUCT((LISTAS!$O$3:$O$42&lt;&gt;"")*ISNUMBER(SEARCH(LISTAS!$O$3:$O$42,$I2027&amp;" "&amp;$K2027)))&gt;0,"CERCANA","NACIONAL"))</f>
        <v/>
      </c>
      <c r="O2027" s="39">
        <f>IF($B2027="","",IF(COUNTIFS(NOVEDADES!$C$4:$C$2003,$B2027)=0,"—","SÍ ("&amp;COUNTIFS(NOVEDADES!$C$4:$C$2003,$B2027)&amp;")"))</f>
        <v/>
      </c>
    </row>
    <row r="2028">
      <c r="A2028" s="41" t="n"/>
      <c r="B2028" s="41" t="n"/>
      <c r="C2028" s="41" t="n"/>
      <c r="D2028" s="41" t="n"/>
      <c r="E2028" s="46" t="n"/>
      <c r="F2028" s="41" t="n"/>
      <c r="G2028" s="41" t="n"/>
      <c r="H2028" s="41" t="n"/>
      <c r="I2028" s="41" t="n"/>
      <c r="J2028" s="47" t="n"/>
      <c r="K2028" s="41" t="n"/>
      <c r="L2028" s="48" t="n"/>
      <c r="M2028" s="45" t="n"/>
      <c r="N2028" s="39">
        <f>IF($B2028="","",IF(SUMPRODUCT((LISTAS!$O$3:$O$42&lt;&gt;"")*ISNUMBER(SEARCH(LISTAS!$O$3:$O$42,$I2028&amp;" "&amp;$K2028)))&gt;0,"CERCANA","NACIONAL"))</f>
        <v/>
      </c>
      <c r="O2028" s="39">
        <f>IF($B2028="","",IF(COUNTIFS(NOVEDADES!$C$4:$C$2003,$B2028)=0,"—","SÍ ("&amp;COUNTIFS(NOVEDADES!$C$4:$C$2003,$B2028)&amp;")"))</f>
        <v/>
      </c>
    </row>
    <row r="2029">
      <c r="A2029" s="41" t="n"/>
      <c r="B2029" s="41" t="n"/>
      <c r="C2029" s="41" t="n"/>
      <c r="D2029" s="41" t="n"/>
      <c r="E2029" s="46" t="n"/>
      <c r="F2029" s="41" t="n"/>
      <c r="G2029" s="41" t="n"/>
      <c r="H2029" s="41" t="n"/>
      <c r="I2029" s="41" t="n"/>
      <c r="J2029" s="47" t="n"/>
      <c r="K2029" s="41" t="n"/>
      <c r="L2029" s="48" t="n"/>
      <c r="M2029" s="45" t="n"/>
      <c r="N2029" s="39">
        <f>IF($B2029="","",IF(SUMPRODUCT((LISTAS!$O$3:$O$42&lt;&gt;"")*ISNUMBER(SEARCH(LISTAS!$O$3:$O$42,$I2029&amp;" "&amp;$K2029)))&gt;0,"CERCANA","NACIONAL"))</f>
        <v/>
      </c>
      <c r="O2029" s="39">
        <f>IF($B2029="","",IF(COUNTIFS(NOVEDADES!$C$4:$C$2003,$B2029)=0,"—","SÍ ("&amp;COUNTIFS(NOVEDADES!$C$4:$C$2003,$B2029)&amp;")"))</f>
        <v/>
      </c>
    </row>
    <row r="2030">
      <c r="A2030" s="41" t="n"/>
      <c r="B2030" s="41" t="n"/>
      <c r="C2030" s="41" t="n"/>
      <c r="D2030" s="41" t="n"/>
      <c r="E2030" s="46" t="n"/>
      <c r="F2030" s="41" t="n"/>
      <c r="G2030" s="41" t="n"/>
      <c r="H2030" s="41" t="n"/>
      <c r="I2030" s="41" t="n"/>
      <c r="J2030" s="47" t="n"/>
      <c r="K2030" s="41" t="n"/>
      <c r="L2030" s="48" t="n"/>
      <c r="M2030" s="45" t="n"/>
      <c r="N2030" s="39">
        <f>IF($B2030="","",IF(SUMPRODUCT((LISTAS!$O$3:$O$42&lt;&gt;"")*ISNUMBER(SEARCH(LISTAS!$O$3:$O$42,$I2030&amp;" "&amp;$K2030)))&gt;0,"CERCANA","NACIONAL"))</f>
        <v/>
      </c>
      <c r="O2030" s="39">
        <f>IF($B2030="","",IF(COUNTIFS(NOVEDADES!$C$4:$C$2003,$B2030)=0,"—","SÍ ("&amp;COUNTIFS(NOVEDADES!$C$4:$C$2003,$B2030)&amp;")"))</f>
        <v/>
      </c>
    </row>
    <row r="2031">
      <c r="A2031" s="41" t="n"/>
      <c r="B2031" s="41" t="n"/>
      <c r="C2031" s="41" t="n"/>
      <c r="D2031" s="41" t="n"/>
      <c r="E2031" s="46" t="n"/>
      <c r="F2031" s="41" t="n"/>
      <c r="G2031" s="41" t="n"/>
      <c r="H2031" s="41" t="n"/>
      <c r="I2031" s="41" t="n"/>
      <c r="J2031" s="47" t="n"/>
      <c r="K2031" s="41" t="n"/>
      <c r="L2031" s="48" t="n"/>
      <c r="M2031" s="45" t="n"/>
      <c r="N2031" s="39">
        <f>IF($B2031="","",IF(SUMPRODUCT((LISTAS!$O$3:$O$42&lt;&gt;"")*ISNUMBER(SEARCH(LISTAS!$O$3:$O$42,$I2031&amp;" "&amp;$K2031)))&gt;0,"CERCANA","NACIONAL"))</f>
        <v/>
      </c>
      <c r="O2031" s="39">
        <f>IF($B2031="","",IF(COUNTIFS(NOVEDADES!$C$4:$C$2003,$B2031)=0,"—","SÍ ("&amp;COUNTIFS(NOVEDADES!$C$4:$C$2003,$B2031)&amp;")"))</f>
        <v/>
      </c>
    </row>
    <row r="2032">
      <c r="A2032" s="41" t="n"/>
      <c r="B2032" s="41" t="n"/>
      <c r="C2032" s="41" t="n"/>
      <c r="D2032" s="41" t="n"/>
      <c r="E2032" s="46" t="n"/>
      <c r="F2032" s="41" t="n"/>
      <c r="G2032" s="41" t="n"/>
      <c r="H2032" s="41" t="n"/>
      <c r="I2032" s="41" t="n"/>
      <c r="J2032" s="47" t="n"/>
      <c r="K2032" s="41" t="n"/>
      <c r="L2032" s="48" t="n"/>
      <c r="M2032" s="45" t="n"/>
      <c r="N2032" s="39">
        <f>IF($B2032="","",IF(SUMPRODUCT((LISTAS!$O$3:$O$42&lt;&gt;"")*ISNUMBER(SEARCH(LISTAS!$O$3:$O$42,$I2032&amp;" "&amp;$K2032)))&gt;0,"CERCANA","NACIONAL"))</f>
        <v/>
      </c>
      <c r="O2032" s="39">
        <f>IF($B2032="","",IF(COUNTIFS(NOVEDADES!$C$4:$C$2003,$B2032)=0,"—","SÍ ("&amp;COUNTIFS(NOVEDADES!$C$4:$C$2003,$B2032)&amp;")"))</f>
        <v/>
      </c>
    </row>
    <row r="2033">
      <c r="A2033" s="41" t="n"/>
      <c r="B2033" s="41" t="n"/>
      <c r="C2033" s="41" t="n"/>
      <c r="D2033" s="41" t="n"/>
      <c r="E2033" s="46" t="n"/>
      <c r="F2033" s="41" t="n"/>
      <c r="G2033" s="41" t="n"/>
      <c r="H2033" s="41" t="n"/>
      <c r="I2033" s="41" t="n"/>
      <c r="J2033" s="47" t="n"/>
      <c r="K2033" s="41" t="n"/>
      <c r="L2033" s="48" t="n"/>
      <c r="M2033" s="45" t="n"/>
      <c r="N2033" s="39">
        <f>IF($B2033="","",IF(SUMPRODUCT((LISTAS!$O$3:$O$42&lt;&gt;"")*ISNUMBER(SEARCH(LISTAS!$O$3:$O$42,$I2033&amp;" "&amp;$K2033)))&gt;0,"CERCANA","NACIONAL"))</f>
        <v/>
      </c>
      <c r="O2033" s="39">
        <f>IF($B2033="","",IF(COUNTIFS(NOVEDADES!$C$4:$C$2003,$B2033)=0,"—","SÍ ("&amp;COUNTIFS(NOVEDADES!$C$4:$C$2003,$B2033)&amp;")"))</f>
        <v/>
      </c>
    </row>
    <row r="2034">
      <c r="A2034" s="41" t="n"/>
      <c r="B2034" s="41" t="n"/>
      <c r="C2034" s="41" t="n"/>
      <c r="D2034" s="41" t="n"/>
      <c r="E2034" s="46" t="n"/>
      <c r="F2034" s="41" t="n"/>
      <c r="G2034" s="41" t="n"/>
      <c r="H2034" s="41" t="n"/>
      <c r="I2034" s="41" t="n"/>
      <c r="J2034" s="47" t="n"/>
      <c r="K2034" s="41" t="n"/>
      <c r="L2034" s="48" t="n"/>
      <c r="M2034" s="45" t="n"/>
      <c r="N2034" s="39">
        <f>IF($B2034="","",IF(SUMPRODUCT((LISTAS!$O$3:$O$42&lt;&gt;"")*ISNUMBER(SEARCH(LISTAS!$O$3:$O$42,$I2034&amp;" "&amp;$K2034)))&gt;0,"CERCANA","NACIONAL"))</f>
        <v/>
      </c>
      <c r="O2034" s="39">
        <f>IF($B2034="","",IF(COUNTIFS(NOVEDADES!$C$4:$C$2003,$B2034)=0,"—","SÍ ("&amp;COUNTIFS(NOVEDADES!$C$4:$C$2003,$B2034)&amp;")"))</f>
        <v/>
      </c>
    </row>
    <row r="2035">
      <c r="A2035" s="41" t="n"/>
      <c r="B2035" s="41" t="n"/>
      <c r="C2035" s="41" t="n"/>
      <c r="D2035" s="41" t="n"/>
      <c r="E2035" s="46" t="n"/>
      <c r="F2035" s="41" t="n"/>
      <c r="G2035" s="41" t="n"/>
      <c r="H2035" s="41" t="n"/>
      <c r="I2035" s="41" t="n"/>
      <c r="J2035" s="47" t="n"/>
      <c r="K2035" s="41" t="n"/>
      <c r="L2035" s="48" t="n"/>
      <c r="M2035" s="45" t="n"/>
      <c r="N2035" s="39">
        <f>IF($B2035="","",IF(SUMPRODUCT((LISTAS!$O$3:$O$42&lt;&gt;"")*ISNUMBER(SEARCH(LISTAS!$O$3:$O$42,$I2035&amp;" "&amp;$K2035)))&gt;0,"CERCANA","NACIONAL"))</f>
        <v/>
      </c>
      <c r="O2035" s="39">
        <f>IF($B2035="","",IF(COUNTIFS(NOVEDADES!$C$4:$C$2003,$B2035)=0,"—","SÍ ("&amp;COUNTIFS(NOVEDADES!$C$4:$C$2003,$B2035)&amp;")"))</f>
        <v/>
      </c>
    </row>
    <row r="2036">
      <c r="A2036" s="41" t="n"/>
      <c r="B2036" s="41" t="n"/>
      <c r="C2036" s="41" t="n"/>
      <c r="D2036" s="41" t="n"/>
      <c r="E2036" s="46" t="n"/>
      <c r="F2036" s="41" t="n"/>
      <c r="G2036" s="41" t="n"/>
      <c r="H2036" s="41" t="n"/>
      <c r="I2036" s="41" t="n"/>
      <c r="J2036" s="47" t="n"/>
      <c r="K2036" s="41" t="n"/>
      <c r="L2036" s="48" t="n"/>
      <c r="M2036" s="45" t="n"/>
      <c r="N2036" s="39">
        <f>IF($B2036="","",IF(SUMPRODUCT((LISTAS!$O$3:$O$42&lt;&gt;"")*ISNUMBER(SEARCH(LISTAS!$O$3:$O$42,$I2036&amp;" "&amp;$K2036)))&gt;0,"CERCANA","NACIONAL"))</f>
        <v/>
      </c>
      <c r="O2036" s="39">
        <f>IF($B2036="","",IF(COUNTIFS(NOVEDADES!$C$4:$C$2003,$B2036)=0,"—","SÍ ("&amp;COUNTIFS(NOVEDADES!$C$4:$C$2003,$B2036)&amp;")"))</f>
        <v/>
      </c>
    </row>
    <row r="2037">
      <c r="A2037" s="41" t="n"/>
      <c r="B2037" s="41" t="n"/>
      <c r="C2037" s="41" t="n"/>
      <c r="D2037" s="41" t="n"/>
      <c r="E2037" s="46" t="n"/>
      <c r="F2037" s="41" t="n"/>
      <c r="G2037" s="41" t="n"/>
      <c r="H2037" s="41" t="n"/>
      <c r="I2037" s="41" t="n"/>
      <c r="J2037" s="47" t="n"/>
      <c r="K2037" s="41" t="n"/>
      <c r="L2037" s="48" t="n"/>
      <c r="M2037" s="45" t="n"/>
      <c r="N2037" s="39">
        <f>IF($B2037="","",IF(SUMPRODUCT((LISTAS!$O$3:$O$42&lt;&gt;"")*ISNUMBER(SEARCH(LISTAS!$O$3:$O$42,$I2037&amp;" "&amp;$K2037)))&gt;0,"CERCANA","NACIONAL"))</f>
        <v/>
      </c>
      <c r="O2037" s="39">
        <f>IF($B2037="","",IF(COUNTIFS(NOVEDADES!$C$4:$C$2003,$B2037)=0,"—","SÍ ("&amp;COUNTIFS(NOVEDADES!$C$4:$C$2003,$B2037)&amp;")"))</f>
        <v/>
      </c>
    </row>
    <row r="2038">
      <c r="A2038" s="41" t="n"/>
      <c r="B2038" s="41" t="n"/>
      <c r="C2038" s="41" t="n"/>
      <c r="D2038" s="41" t="n"/>
      <c r="E2038" s="46" t="n"/>
      <c r="F2038" s="41" t="n"/>
      <c r="G2038" s="41" t="n"/>
      <c r="H2038" s="41" t="n"/>
      <c r="I2038" s="41" t="n"/>
      <c r="J2038" s="47" t="n"/>
      <c r="K2038" s="41" t="n"/>
      <c r="L2038" s="48" t="n"/>
      <c r="M2038" s="45" t="n"/>
      <c r="N2038" s="39">
        <f>IF($B2038="","",IF(SUMPRODUCT((LISTAS!$O$3:$O$42&lt;&gt;"")*ISNUMBER(SEARCH(LISTAS!$O$3:$O$42,$I2038&amp;" "&amp;$K2038)))&gt;0,"CERCANA","NACIONAL"))</f>
        <v/>
      </c>
      <c r="O2038" s="39">
        <f>IF($B2038="","",IF(COUNTIFS(NOVEDADES!$C$4:$C$2003,$B2038)=0,"—","SÍ ("&amp;COUNTIFS(NOVEDADES!$C$4:$C$2003,$B2038)&amp;")"))</f>
        <v/>
      </c>
    </row>
    <row r="2039">
      <c r="A2039" s="41" t="n"/>
      <c r="B2039" s="41" t="n"/>
      <c r="C2039" s="41" t="n"/>
      <c r="D2039" s="41" t="n"/>
      <c r="E2039" s="46" t="n"/>
      <c r="F2039" s="41" t="n"/>
      <c r="G2039" s="41" t="n"/>
      <c r="H2039" s="41" t="n"/>
      <c r="I2039" s="41" t="n"/>
      <c r="J2039" s="47" t="n"/>
      <c r="K2039" s="41" t="n"/>
      <c r="L2039" s="48" t="n"/>
      <c r="M2039" s="45" t="n"/>
      <c r="N2039" s="39">
        <f>IF($B2039="","",IF(SUMPRODUCT((LISTAS!$O$3:$O$42&lt;&gt;"")*ISNUMBER(SEARCH(LISTAS!$O$3:$O$42,$I2039&amp;" "&amp;$K2039)))&gt;0,"CERCANA","NACIONAL"))</f>
        <v/>
      </c>
      <c r="O2039" s="39">
        <f>IF($B2039="","",IF(COUNTIFS(NOVEDADES!$C$4:$C$2003,$B2039)=0,"—","SÍ ("&amp;COUNTIFS(NOVEDADES!$C$4:$C$2003,$B2039)&amp;")"))</f>
        <v/>
      </c>
    </row>
    <row r="2040">
      <c r="A2040" s="41" t="n"/>
      <c r="B2040" s="41" t="n"/>
      <c r="C2040" s="41" t="n"/>
      <c r="D2040" s="41" t="n"/>
      <c r="E2040" s="46" t="n"/>
      <c r="F2040" s="41" t="n"/>
      <c r="G2040" s="41" t="n"/>
      <c r="H2040" s="41" t="n"/>
      <c r="I2040" s="41" t="n"/>
      <c r="J2040" s="47" t="n"/>
      <c r="K2040" s="41" t="n"/>
      <c r="L2040" s="48" t="n"/>
      <c r="M2040" s="45" t="n"/>
      <c r="N2040" s="39">
        <f>IF($B2040="","",IF(SUMPRODUCT((LISTAS!$O$3:$O$42&lt;&gt;"")*ISNUMBER(SEARCH(LISTAS!$O$3:$O$42,$I2040&amp;" "&amp;$K2040)))&gt;0,"CERCANA","NACIONAL"))</f>
        <v/>
      </c>
      <c r="O2040" s="39">
        <f>IF($B2040="","",IF(COUNTIFS(NOVEDADES!$C$4:$C$2003,$B2040)=0,"—","SÍ ("&amp;COUNTIFS(NOVEDADES!$C$4:$C$2003,$B2040)&amp;")"))</f>
        <v/>
      </c>
    </row>
    <row r="2041">
      <c r="A2041" s="41" t="n"/>
      <c r="B2041" s="41" t="n"/>
      <c r="C2041" s="41" t="n"/>
      <c r="D2041" s="41" t="n"/>
      <c r="E2041" s="46" t="n"/>
      <c r="F2041" s="41" t="n"/>
      <c r="G2041" s="41" t="n"/>
      <c r="H2041" s="41" t="n"/>
      <c r="I2041" s="41" t="n"/>
      <c r="J2041" s="47" t="n"/>
      <c r="K2041" s="41" t="n"/>
      <c r="L2041" s="48" t="n"/>
      <c r="M2041" s="45" t="n"/>
      <c r="N2041" s="39">
        <f>IF($B2041="","",IF(SUMPRODUCT((LISTAS!$O$3:$O$42&lt;&gt;"")*ISNUMBER(SEARCH(LISTAS!$O$3:$O$42,$I2041&amp;" "&amp;$K2041)))&gt;0,"CERCANA","NACIONAL"))</f>
        <v/>
      </c>
      <c r="O2041" s="39">
        <f>IF($B2041="","",IF(COUNTIFS(NOVEDADES!$C$4:$C$2003,$B2041)=0,"—","SÍ ("&amp;COUNTIFS(NOVEDADES!$C$4:$C$2003,$B2041)&amp;")"))</f>
        <v/>
      </c>
    </row>
    <row r="2042">
      <c r="A2042" s="41" t="n"/>
      <c r="B2042" s="41" t="n"/>
      <c r="C2042" s="41" t="n"/>
      <c r="D2042" s="41" t="n"/>
      <c r="E2042" s="46" t="n"/>
      <c r="F2042" s="41" t="n"/>
      <c r="G2042" s="41" t="n"/>
      <c r="H2042" s="41" t="n"/>
      <c r="I2042" s="41" t="n"/>
      <c r="J2042" s="47" t="n"/>
      <c r="K2042" s="41" t="n"/>
      <c r="L2042" s="48" t="n"/>
      <c r="M2042" s="45" t="n"/>
      <c r="N2042" s="39">
        <f>IF($B2042="","",IF(SUMPRODUCT((LISTAS!$O$3:$O$42&lt;&gt;"")*ISNUMBER(SEARCH(LISTAS!$O$3:$O$42,$I2042&amp;" "&amp;$K2042)))&gt;0,"CERCANA","NACIONAL"))</f>
        <v/>
      </c>
      <c r="O2042" s="39">
        <f>IF($B2042="","",IF(COUNTIFS(NOVEDADES!$C$4:$C$2003,$B2042)=0,"—","SÍ ("&amp;COUNTIFS(NOVEDADES!$C$4:$C$2003,$B2042)&amp;")"))</f>
        <v/>
      </c>
    </row>
    <row r="2043">
      <c r="A2043" s="41" t="n"/>
      <c r="B2043" s="41" t="n"/>
      <c r="C2043" s="41" t="n"/>
      <c r="D2043" s="41" t="n"/>
      <c r="E2043" s="46" t="n"/>
      <c r="F2043" s="41" t="n"/>
      <c r="G2043" s="41" t="n"/>
      <c r="H2043" s="41" t="n"/>
      <c r="I2043" s="41" t="n"/>
      <c r="J2043" s="47" t="n"/>
      <c r="K2043" s="41" t="n"/>
      <c r="L2043" s="48" t="n"/>
      <c r="M2043" s="45" t="n"/>
      <c r="N2043" s="39">
        <f>IF($B2043="","",IF(SUMPRODUCT((LISTAS!$O$3:$O$42&lt;&gt;"")*ISNUMBER(SEARCH(LISTAS!$O$3:$O$42,$I2043&amp;" "&amp;$K2043)))&gt;0,"CERCANA","NACIONAL"))</f>
        <v/>
      </c>
      <c r="O2043" s="39">
        <f>IF($B2043="","",IF(COUNTIFS(NOVEDADES!$C$4:$C$2003,$B2043)=0,"—","SÍ ("&amp;COUNTIFS(NOVEDADES!$C$4:$C$2003,$B2043)&amp;")"))</f>
        <v/>
      </c>
    </row>
    <row r="2044">
      <c r="A2044" s="41" t="n"/>
      <c r="B2044" s="41" t="n"/>
      <c r="C2044" s="41" t="n"/>
      <c r="D2044" s="41" t="n"/>
      <c r="E2044" s="46" t="n"/>
      <c r="F2044" s="41" t="n"/>
      <c r="G2044" s="41" t="n"/>
      <c r="H2044" s="41" t="n"/>
      <c r="I2044" s="41" t="n"/>
      <c r="J2044" s="47" t="n"/>
      <c r="K2044" s="41" t="n"/>
      <c r="L2044" s="48" t="n"/>
      <c r="M2044" s="45" t="n"/>
      <c r="N2044" s="39">
        <f>IF($B2044="","",IF(SUMPRODUCT((LISTAS!$O$3:$O$42&lt;&gt;"")*ISNUMBER(SEARCH(LISTAS!$O$3:$O$42,$I2044&amp;" "&amp;$K2044)))&gt;0,"CERCANA","NACIONAL"))</f>
        <v/>
      </c>
      <c r="O2044" s="39">
        <f>IF($B2044="","",IF(COUNTIFS(NOVEDADES!$C$4:$C$2003,$B2044)=0,"—","SÍ ("&amp;COUNTIFS(NOVEDADES!$C$4:$C$2003,$B2044)&amp;")"))</f>
        <v/>
      </c>
    </row>
    <row r="2045">
      <c r="A2045" s="41" t="n"/>
      <c r="B2045" s="41" t="n"/>
      <c r="C2045" s="41" t="n"/>
      <c r="D2045" s="41" t="n"/>
      <c r="E2045" s="46" t="n"/>
      <c r="F2045" s="41" t="n"/>
      <c r="G2045" s="41" t="n"/>
      <c r="H2045" s="41" t="n"/>
      <c r="I2045" s="41" t="n"/>
      <c r="J2045" s="47" t="n"/>
      <c r="K2045" s="41" t="n"/>
      <c r="L2045" s="48" t="n"/>
      <c r="M2045" s="45" t="n"/>
      <c r="N2045" s="39">
        <f>IF($B2045="","",IF(SUMPRODUCT((LISTAS!$O$3:$O$42&lt;&gt;"")*ISNUMBER(SEARCH(LISTAS!$O$3:$O$42,$I2045&amp;" "&amp;$K2045)))&gt;0,"CERCANA","NACIONAL"))</f>
        <v/>
      </c>
      <c r="O2045" s="39">
        <f>IF($B2045="","",IF(COUNTIFS(NOVEDADES!$C$4:$C$2003,$B2045)=0,"—","SÍ ("&amp;COUNTIFS(NOVEDADES!$C$4:$C$2003,$B2045)&amp;")"))</f>
        <v/>
      </c>
    </row>
    <row r="2046">
      <c r="A2046" s="41" t="n"/>
      <c r="B2046" s="41" t="n"/>
      <c r="C2046" s="41" t="n"/>
      <c r="D2046" s="41" t="n"/>
      <c r="E2046" s="46" t="n"/>
      <c r="F2046" s="41" t="n"/>
      <c r="G2046" s="41" t="n"/>
      <c r="H2046" s="41" t="n"/>
      <c r="I2046" s="41" t="n"/>
      <c r="J2046" s="47" t="n"/>
      <c r="K2046" s="41" t="n"/>
      <c r="L2046" s="48" t="n"/>
      <c r="M2046" s="45" t="n"/>
      <c r="N2046" s="39">
        <f>IF($B2046="","",IF(SUMPRODUCT((LISTAS!$O$3:$O$42&lt;&gt;"")*ISNUMBER(SEARCH(LISTAS!$O$3:$O$42,$I2046&amp;" "&amp;$K2046)))&gt;0,"CERCANA","NACIONAL"))</f>
        <v/>
      </c>
      <c r="O2046" s="39">
        <f>IF($B2046="","",IF(COUNTIFS(NOVEDADES!$C$4:$C$2003,$B2046)=0,"—","SÍ ("&amp;COUNTIFS(NOVEDADES!$C$4:$C$2003,$B2046)&amp;")"))</f>
        <v/>
      </c>
    </row>
    <row r="2047">
      <c r="A2047" s="41" t="n"/>
      <c r="B2047" s="41" t="n"/>
      <c r="C2047" s="41" t="n"/>
      <c r="D2047" s="41" t="n"/>
      <c r="E2047" s="46" t="n"/>
      <c r="F2047" s="41" t="n"/>
      <c r="G2047" s="41" t="n"/>
      <c r="H2047" s="41" t="n"/>
      <c r="I2047" s="41" t="n"/>
      <c r="J2047" s="47" t="n"/>
      <c r="K2047" s="41" t="n"/>
      <c r="L2047" s="48" t="n"/>
      <c r="M2047" s="45" t="n"/>
      <c r="N2047" s="39">
        <f>IF($B2047="","",IF(SUMPRODUCT((LISTAS!$O$3:$O$42&lt;&gt;"")*ISNUMBER(SEARCH(LISTAS!$O$3:$O$42,$I2047&amp;" "&amp;$K2047)))&gt;0,"CERCANA","NACIONAL"))</f>
        <v/>
      </c>
      <c r="O2047" s="39">
        <f>IF($B2047="","",IF(COUNTIFS(NOVEDADES!$C$4:$C$2003,$B2047)=0,"—","SÍ ("&amp;COUNTIFS(NOVEDADES!$C$4:$C$2003,$B2047)&amp;")"))</f>
        <v/>
      </c>
    </row>
    <row r="2048">
      <c r="A2048" s="41" t="n"/>
      <c r="B2048" s="41" t="n"/>
      <c r="C2048" s="41" t="n"/>
      <c r="D2048" s="41" t="n"/>
      <c r="E2048" s="46" t="n"/>
      <c r="F2048" s="41" t="n"/>
      <c r="G2048" s="41" t="n"/>
      <c r="H2048" s="41" t="n"/>
      <c r="I2048" s="41" t="n"/>
      <c r="J2048" s="47" t="n"/>
      <c r="K2048" s="41" t="n"/>
      <c r="L2048" s="48" t="n"/>
      <c r="M2048" s="45" t="n"/>
      <c r="N2048" s="39">
        <f>IF($B2048="","",IF(SUMPRODUCT((LISTAS!$O$3:$O$42&lt;&gt;"")*ISNUMBER(SEARCH(LISTAS!$O$3:$O$42,$I2048&amp;" "&amp;$K2048)))&gt;0,"CERCANA","NACIONAL"))</f>
        <v/>
      </c>
      <c r="O2048" s="39">
        <f>IF($B2048="","",IF(COUNTIFS(NOVEDADES!$C$4:$C$2003,$B2048)=0,"—","SÍ ("&amp;COUNTIFS(NOVEDADES!$C$4:$C$2003,$B2048)&amp;")"))</f>
        <v/>
      </c>
    </row>
    <row r="2049">
      <c r="A2049" s="41" t="n"/>
      <c r="B2049" s="41" t="n"/>
      <c r="C2049" s="41" t="n"/>
      <c r="D2049" s="41" t="n"/>
      <c r="E2049" s="46" t="n"/>
      <c r="F2049" s="41" t="n"/>
      <c r="G2049" s="41" t="n"/>
      <c r="H2049" s="41" t="n"/>
      <c r="I2049" s="41" t="n"/>
      <c r="J2049" s="47" t="n"/>
      <c r="K2049" s="41" t="n"/>
      <c r="L2049" s="48" t="n"/>
      <c r="M2049" s="45" t="n"/>
      <c r="N2049" s="39">
        <f>IF($B2049="","",IF(SUMPRODUCT((LISTAS!$O$3:$O$42&lt;&gt;"")*ISNUMBER(SEARCH(LISTAS!$O$3:$O$42,$I2049&amp;" "&amp;$K2049)))&gt;0,"CERCANA","NACIONAL"))</f>
        <v/>
      </c>
      <c r="O2049" s="39">
        <f>IF($B2049="","",IF(COUNTIFS(NOVEDADES!$C$4:$C$2003,$B2049)=0,"—","SÍ ("&amp;COUNTIFS(NOVEDADES!$C$4:$C$2003,$B2049)&amp;")"))</f>
        <v/>
      </c>
    </row>
    <row r="2050">
      <c r="A2050" s="41" t="n"/>
      <c r="B2050" s="41" t="n"/>
      <c r="C2050" s="41" t="n"/>
      <c r="D2050" s="41" t="n"/>
      <c r="E2050" s="46" t="n"/>
      <c r="F2050" s="41" t="n"/>
      <c r="G2050" s="41" t="n"/>
      <c r="H2050" s="41" t="n"/>
      <c r="I2050" s="41" t="n"/>
      <c r="J2050" s="47" t="n"/>
      <c r="K2050" s="41" t="n"/>
      <c r="L2050" s="48" t="n"/>
      <c r="M2050" s="45" t="n"/>
      <c r="N2050" s="39">
        <f>IF($B2050="","",IF(SUMPRODUCT((LISTAS!$O$3:$O$42&lt;&gt;"")*ISNUMBER(SEARCH(LISTAS!$O$3:$O$42,$I2050&amp;" "&amp;$K2050)))&gt;0,"CERCANA","NACIONAL"))</f>
        <v/>
      </c>
      <c r="O2050" s="39">
        <f>IF($B2050="","",IF(COUNTIFS(NOVEDADES!$C$4:$C$2003,$B2050)=0,"—","SÍ ("&amp;COUNTIFS(NOVEDADES!$C$4:$C$2003,$B2050)&amp;")"))</f>
        <v/>
      </c>
    </row>
    <row r="2051">
      <c r="A2051" s="41" t="n"/>
      <c r="B2051" s="41" t="n"/>
      <c r="C2051" s="41" t="n"/>
      <c r="D2051" s="41" t="n"/>
      <c r="E2051" s="46" t="n"/>
      <c r="F2051" s="41" t="n"/>
      <c r="G2051" s="41" t="n"/>
      <c r="H2051" s="41" t="n"/>
      <c r="I2051" s="41" t="n"/>
      <c r="J2051" s="47" t="n"/>
      <c r="K2051" s="41" t="n"/>
      <c r="L2051" s="48" t="n"/>
      <c r="M2051" s="45" t="n"/>
      <c r="N2051" s="39">
        <f>IF($B2051="","",IF(SUMPRODUCT((LISTAS!$O$3:$O$42&lt;&gt;"")*ISNUMBER(SEARCH(LISTAS!$O$3:$O$42,$I2051&amp;" "&amp;$K2051)))&gt;0,"CERCANA","NACIONAL"))</f>
        <v/>
      </c>
      <c r="O2051" s="39">
        <f>IF($B2051="","",IF(COUNTIFS(NOVEDADES!$C$4:$C$2003,$B2051)=0,"—","SÍ ("&amp;COUNTIFS(NOVEDADES!$C$4:$C$2003,$B2051)&amp;")"))</f>
        <v/>
      </c>
    </row>
    <row r="2052">
      <c r="A2052" s="41" t="n"/>
      <c r="B2052" s="41" t="n"/>
      <c r="C2052" s="41" t="n"/>
      <c r="D2052" s="41" t="n"/>
      <c r="E2052" s="46" t="n"/>
      <c r="F2052" s="41" t="n"/>
      <c r="G2052" s="41" t="n"/>
      <c r="H2052" s="41" t="n"/>
      <c r="I2052" s="41" t="n"/>
      <c r="J2052" s="47" t="n"/>
      <c r="K2052" s="41" t="n"/>
      <c r="L2052" s="48" t="n"/>
      <c r="M2052" s="45" t="n"/>
      <c r="N2052" s="39">
        <f>IF($B2052="","",IF(SUMPRODUCT((LISTAS!$O$3:$O$42&lt;&gt;"")*ISNUMBER(SEARCH(LISTAS!$O$3:$O$42,$I2052&amp;" "&amp;$K2052)))&gt;0,"CERCANA","NACIONAL"))</f>
        <v/>
      </c>
      <c r="O2052" s="39">
        <f>IF($B2052="","",IF(COUNTIFS(NOVEDADES!$C$4:$C$2003,$B2052)=0,"—","SÍ ("&amp;COUNTIFS(NOVEDADES!$C$4:$C$2003,$B2052)&amp;")"))</f>
        <v/>
      </c>
    </row>
    <row r="2053">
      <c r="A2053" s="41" t="n"/>
      <c r="B2053" s="41" t="n"/>
      <c r="C2053" s="41" t="n"/>
      <c r="D2053" s="41" t="n"/>
      <c r="E2053" s="46" t="n"/>
      <c r="F2053" s="41" t="n"/>
      <c r="G2053" s="41" t="n"/>
      <c r="H2053" s="41" t="n"/>
      <c r="I2053" s="41" t="n"/>
      <c r="J2053" s="47" t="n"/>
      <c r="K2053" s="41" t="n"/>
      <c r="L2053" s="48" t="n"/>
      <c r="M2053" s="45" t="n"/>
      <c r="N2053" s="39">
        <f>IF($B2053="","",IF(SUMPRODUCT((LISTAS!$O$3:$O$42&lt;&gt;"")*ISNUMBER(SEARCH(LISTAS!$O$3:$O$42,$I2053&amp;" "&amp;$K2053)))&gt;0,"CERCANA","NACIONAL"))</f>
        <v/>
      </c>
      <c r="O2053" s="39">
        <f>IF($B2053="","",IF(COUNTIFS(NOVEDADES!$C$4:$C$2003,$B2053)=0,"—","SÍ ("&amp;COUNTIFS(NOVEDADES!$C$4:$C$2003,$B2053)&amp;")"))</f>
        <v/>
      </c>
    </row>
    <row r="2054">
      <c r="A2054" s="41" t="n"/>
      <c r="B2054" s="41" t="n"/>
      <c r="C2054" s="41" t="n"/>
      <c r="D2054" s="41" t="n"/>
      <c r="E2054" s="46" t="n"/>
      <c r="F2054" s="41" t="n"/>
      <c r="G2054" s="41" t="n"/>
      <c r="H2054" s="41" t="n"/>
      <c r="I2054" s="41" t="n"/>
      <c r="J2054" s="47" t="n"/>
      <c r="K2054" s="41" t="n"/>
      <c r="L2054" s="48" t="n"/>
      <c r="M2054" s="45" t="n"/>
      <c r="N2054" s="39">
        <f>IF($B2054="","",IF(SUMPRODUCT((LISTAS!$O$3:$O$42&lt;&gt;"")*ISNUMBER(SEARCH(LISTAS!$O$3:$O$42,$I2054&amp;" "&amp;$K2054)))&gt;0,"CERCANA","NACIONAL"))</f>
        <v/>
      </c>
      <c r="O2054" s="39">
        <f>IF($B2054="","",IF(COUNTIFS(NOVEDADES!$C$4:$C$2003,$B2054)=0,"—","SÍ ("&amp;COUNTIFS(NOVEDADES!$C$4:$C$2003,$B2054)&amp;")"))</f>
        <v/>
      </c>
    </row>
    <row r="2055">
      <c r="A2055" s="41" t="n"/>
      <c r="B2055" s="41" t="n"/>
      <c r="C2055" s="41" t="n"/>
      <c r="D2055" s="41" t="n"/>
      <c r="E2055" s="46" t="n"/>
      <c r="F2055" s="41" t="n"/>
      <c r="G2055" s="41" t="n"/>
      <c r="H2055" s="41" t="n"/>
      <c r="I2055" s="41" t="n"/>
      <c r="J2055" s="47" t="n"/>
      <c r="K2055" s="41" t="n"/>
      <c r="L2055" s="48" t="n"/>
      <c r="M2055" s="45" t="n"/>
      <c r="N2055" s="39">
        <f>IF($B2055="","",IF(SUMPRODUCT((LISTAS!$O$3:$O$42&lt;&gt;"")*ISNUMBER(SEARCH(LISTAS!$O$3:$O$42,$I2055&amp;" "&amp;$K2055)))&gt;0,"CERCANA","NACIONAL"))</f>
        <v/>
      </c>
      <c r="O2055" s="39">
        <f>IF($B2055="","",IF(COUNTIFS(NOVEDADES!$C$4:$C$2003,$B2055)=0,"—","SÍ ("&amp;COUNTIFS(NOVEDADES!$C$4:$C$2003,$B2055)&amp;")"))</f>
        <v/>
      </c>
    </row>
    <row r="2056">
      <c r="A2056" s="41" t="n"/>
      <c r="B2056" s="41" t="n"/>
      <c r="C2056" s="41" t="n"/>
      <c r="D2056" s="41" t="n"/>
      <c r="E2056" s="46" t="n"/>
      <c r="F2056" s="41" t="n"/>
      <c r="G2056" s="41" t="n"/>
      <c r="H2056" s="41" t="n"/>
      <c r="I2056" s="41" t="n"/>
      <c r="J2056" s="47" t="n"/>
      <c r="K2056" s="41" t="n"/>
      <c r="L2056" s="48" t="n"/>
      <c r="M2056" s="45" t="n"/>
      <c r="N2056" s="39">
        <f>IF($B2056="","",IF(SUMPRODUCT((LISTAS!$O$3:$O$42&lt;&gt;"")*ISNUMBER(SEARCH(LISTAS!$O$3:$O$42,$I2056&amp;" "&amp;$K2056)))&gt;0,"CERCANA","NACIONAL"))</f>
        <v/>
      </c>
      <c r="O2056" s="39">
        <f>IF($B2056="","",IF(COUNTIFS(NOVEDADES!$C$4:$C$2003,$B2056)=0,"—","SÍ ("&amp;COUNTIFS(NOVEDADES!$C$4:$C$2003,$B2056)&amp;")"))</f>
        <v/>
      </c>
    </row>
    <row r="2057">
      <c r="A2057" s="41" t="n"/>
      <c r="B2057" s="41" t="n"/>
      <c r="C2057" s="41" t="n"/>
      <c r="D2057" s="41" t="n"/>
      <c r="E2057" s="46" t="n"/>
      <c r="F2057" s="41" t="n"/>
      <c r="G2057" s="41" t="n"/>
      <c r="H2057" s="41" t="n"/>
      <c r="I2057" s="41" t="n"/>
      <c r="J2057" s="47" t="n"/>
      <c r="K2057" s="41" t="n"/>
      <c r="L2057" s="48" t="n"/>
      <c r="M2057" s="45" t="n"/>
      <c r="N2057" s="39">
        <f>IF($B2057="","",IF(SUMPRODUCT((LISTAS!$O$3:$O$42&lt;&gt;"")*ISNUMBER(SEARCH(LISTAS!$O$3:$O$42,$I2057&amp;" "&amp;$K2057)))&gt;0,"CERCANA","NACIONAL"))</f>
        <v/>
      </c>
      <c r="O2057" s="39">
        <f>IF($B2057="","",IF(COUNTIFS(NOVEDADES!$C$4:$C$2003,$B2057)=0,"—","SÍ ("&amp;COUNTIFS(NOVEDADES!$C$4:$C$2003,$B2057)&amp;")"))</f>
        <v/>
      </c>
    </row>
    <row r="2058">
      <c r="A2058" s="41" t="n"/>
      <c r="B2058" s="41" t="n"/>
      <c r="C2058" s="41" t="n"/>
      <c r="D2058" s="41" t="n"/>
      <c r="E2058" s="46" t="n"/>
      <c r="F2058" s="41" t="n"/>
      <c r="G2058" s="41" t="n"/>
      <c r="H2058" s="41" t="n"/>
      <c r="I2058" s="41" t="n"/>
      <c r="J2058" s="47" t="n"/>
      <c r="K2058" s="41" t="n"/>
      <c r="L2058" s="48" t="n"/>
      <c r="M2058" s="45" t="n"/>
      <c r="N2058" s="39">
        <f>IF($B2058="","",IF(SUMPRODUCT((LISTAS!$O$3:$O$42&lt;&gt;"")*ISNUMBER(SEARCH(LISTAS!$O$3:$O$42,$I2058&amp;" "&amp;$K2058)))&gt;0,"CERCANA","NACIONAL"))</f>
        <v/>
      </c>
      <c r="O2058" s="39">
        <f>IF($B2058="","",IF(COUNTIFS(NOVEDADES!$C$4:$C$2003,$B2058)=0,"—","SÍ ("&amp;COUNTIFS(NOVEDADES!$C$4:$C$2003,$B2058)&amp;")"))</f>
        <v/>
      </c>
    </row>
    <row r="2059">
      <c r="A2059" s="41" t="n"/>
      <c r="B2059" s="41" t="n"/>
      <c r="C2059" s="41" t="n"/>
      <c r="D2059" s="41" t="n"/>
      <c r="E2059" s="46" t="n"/>
      <c r="F2059" s="41" t="n"/>
      <c r="G2059" s="41" t="n"/>
      <c r="H2059" s="41" t="n"/>
      <c r="I2059" s="41" t="n"/>
      <c r="J2059" s="47" t="n"/>
      <c r="K2059" s="41" t="n"/>
      <c r="L2059" s="48" t="n"/>
      <c r="M2059" s="45" t="n"/>
      <c r="N2059" s="39">
        <f>IF($B2059="","",IF(SUMPRODUCT((LISTAS!$O$3:$O$42&lt;&gt;"")*ISNUMBER(SEARCH(LISTAS!$O$3:$O$42,$I2059&amp;" "&amp;$K2059)))&gt;0,"CERCANA","NACIONAL"))</f>
        <v/>
      </c>
      <c r="O2059" s="39">
        <f>IF($B2059="","",IF(COUNTIFS(NOVEDADES!$C$4:$C$2003,$B2059)=0,"—","SÍ ("&amp;COUNTIFS(NOVEDADES!$C$4:$C$2003,$B2059)&amp;")"))</f>
        <v/>
      </c>
    </row>
    <row r="2060">
      <c r="A2060" s="41" t="n"/>
      <c r="B2060" s="41" t="n"/>
      <c r="C2060" s="41" t="n"/>
      <c r="D2060" s="41" t="n"/>
      <c r="E2060" s="46" t="n"/>
      <c r="F2060" s="41" t="n"/>
      <c r="G2060" s="41" t="n"/>
      <c r="H2060" s="41" t="n"/>
      <c r="I2060" s="41" t="n"/>
      <c r="J2060" s="47" t="n"/>
      <c r="K2060" s="41" t="n"/>
      <c r="L2060" s="48" t="n"/>
      <c r="M2060" s="45" t="n"/>
      <c r="N2060" s="39">
        <f>IF($B2060="","",IF(SUMPRODUCT((LISTAS!$O$3:$O$42&lt;&gt;"")*ISNUMBER(SEARCH(LISTAS!$O$3:$O$42,$I2060&amp;" "&amp;$K2060)))&gt;0,"CERCANA","NACIONAL"))</f>
        <v/>
      </c>
      <c r="O2060" s="39">
        <f>IF($B2060="","",IF(COUNTIFS(NOVEDADES!$C$4:$C$2003,$B2060)=0,"—","SÍ ("&amp;COUNTIFS(NOVEDADES!$C$4:$C$2003,$B2060)&amp;")"))</f>
        <v/>
      </c>
    </row>
    <row r="2061">
      <c r="A2061" s="41" t="n"/>
      <c r="B2061" s="41" t="n"/>
      <c r="C2061" s="41" t="n"/>
      <c r="D2061" s="41" t="n"/>
      <c r="E2061" s="46" t="n"/>
      <c r="F2061" s="41" t="n"/>
      <c r="G2061" s="41" t="n"/>
      <c r="H2061" s="41" t="n"/>
      <c r="I2061" s="41" t="n"/>
      <c r="J2061" s="47" t="n"/>
      <c r="K2061" s="41" t="n"/>
      <c r="L2061" s="48" t="n"/>
      <c r="M2061" s="45" t="n"/>
      <c r="N2061" s="39">
        <f>IF($B2061="","",IF(SUMPRODUCT((LISTAS!$O$3:$O$42&lt;&gt;"")*ISNUMBER(SEARCH(LISTAS!$O$3:$O$42,$I2061&amp;" "&amp;$K2061)))&gt;0,"CERCANA","NACIONAL"))</f>
        <v/>
      </c>
      <c r="O2061" s="39">
        <f>IF($B2061="","",IF(COUNTIFS(NOVEDADES!$C$4:$C$2003,$B2061)=0,"—","SÍ ("&amp;COUNTIFS(NOVEDADES!$C$4:$C$2003,$B2061)&amp;")"))</f>
        <v/>
      </c>
    </row>
    <row r="2062">
      <c r="A2062" s="41" t="n"/>
      <c r="B2062" s="41" t="n"/>
      <c r="C2062" s="41" t="n"/>
      <c r="D2062" s="41" t="n"/>
      <c r="E2062" s="46" t="n"/>
      <c r="F2062" s="41" t="n"/>
      <c r="G2062" s="41" t="n"/>
      <c r="H2062" s="41" t="n"/>
      <c r="I2062" s="41" t="n"/>
      <c r="J2062" s="47" t="n"/>
      <c r="K2062" s="41" t="n"/>
      <c r="L2062" s="48" t="n"/>
      <c r="M2062" s="45" t="n"/>
      <c r="N2062" s="39">
        <f>IF($B2062="","",IF(SUMPRODUCT((LISTAS!$O$3:$O$42&lt;&gt;"")*ISNUMBER(SEARCH(LISTAS!$O$3:$O$42,$I2062&amp;" "&amp;$K2062)))&gt;0,"CERCANA","NACIONAL"))</f>
        <v/>
      </c>
      <c r="O2062" s="39">
        <f>IF($B2062="","",IF(COUNTIFS(NOVEDADES!$C$4:$C$2003,$B2062)=0,"—","SÍ ("&amp;COUNTIFS(NOVEDADES!$C$4:$C$2003,$B2062)&amp;")"))</f>
        <v/>
      </c>
    </row>
    <row r="2063">
      <c r="A2063" s="41" t="n"/>
      <c r="B2063" s="41" t="n"/>
      <c r="C2063" s="41" t="n"/>
      <c r="D2063" s="41" t="n"/>
      <c r="E2063" s="46" t="n"/>
      <c r="F2063" s="41" t="n"/>
      <c r="G2063" s="41" t="n"/>
      <c r="H2063" s="41" t="n"/>
      <c r="I2063" s="41" t="n"/>
      <c r="J2063" s="47" t="n"/>
      <c r="K2063" s="41" t="n"/>
      <c r="L2063" s="48" t="n"/>
      <c r="M2063" s="45" t="n"/>
      <c r="N2063" s="39">
        <f>IF($B2063="","",IF(SUMPRODUCT((LISTAS!$O$3:$O$42&lt;&gt;"")*ISNUMBER(SEARCH(LISTAS!$O$3:$O$42,$I2063&amp;" "&amp;$K2063)))&gt;0,"CERCANA","NACIONAL"))</f>
        <v/>
      </c>
      <c r="O2063" s="39">
        <f>IF($B2063="","",IF(COUNTIFS(NOVEDADES!$C$4:$C$2003,$B2063)=0,"—","SÍ ("&amp;COUNTIFS(NOVEDADES!$C$4:$C$2003,$B2063)&amp;")"))</f>
        <v/>
      </c>
    </row>
    <row r="2064">
      <c r="A2064" s="41" t="n"/>
      <c r="B2064" s="41" t="n"/>
      <c r="C2064" s="41" t="n"/>
      <c r="D2064" s="41" t="n"/>
      <c r="E2064" s="46" t="n"/>
      <c r="F2064" s="41" t="n"/>
      <c r="G2064" s="41" t="n"/>
      <c r="H2064" s="41" t="n"/>
      <c r="I2064" s="41" t="n"/>
      <c r="J2064" s="47" t="n"/>
      <c r="K2064" s="41" t="n"/>
      <c r="L2064" s="48" t="n"/>
      <c r="M2064" s="45" t="n"/>
      <c r="N2064" s="39">
        <f>IF($B2064="","",IF(SUMPRODUCT((LISTAS!$O$3:$O$42&lt;&gt;"")*ISNUMBER(SEARCH(LISTAS!$O$3:$O$42,$I2064&amp;" "&amp;$K2064)))&gt;0,"CERCANA","NACIONAL"))</f>
        <v/>
      </c>
      <c r="O2064" s="39">
        <f>IF($B2064="","",IF(COUNTIFS(NOVEDADES!$C$4:$C$2003,$B2064)=0,"—","SÍ ("&amp;COUNTIFS(NOVEDADES!$C$4:$C$2003,$B2064)&amp;")"))</f>
        <v/>
      </c>
    </row>
    <row r="2065">
      <c r="A2065" s="41" t="n"/>
      <c r="B2065" s="41" t="n"/>
      <c r="C2065" s="41" t="n"/>
      <c r="D2065" s="41" t="n"/>
      <c r="E2065" s="46" t="n"/>
      <c r="F2065" s="41" t="n"/>
      <c r="G2065" s="41" t="n"/>
      <c r="H2065" s="41" t="n"/>
      <c r="I2065" s="41" t="n"/>
      <c r="J2065" s="47" t="n"/>
      <c r="K2065" s="41" t="n"/>
      <c r="L2065" s="48" t="n"/>
      <c r="M2065" s="45" t="n"/>
      <c r="N2065" s="39">
        <f>IF($B2065="","",IF(SUMPRODUCT((LISTAS!$O$3:$O$42&lt;&gt;"")*ISNUMBER(SEARCH(LISTAS!$O$3:$O$42,$I2065&amp;" "&amp;$K2065)))&gt;0,"CERCANA","NACIONAL"))</f>
        <v/>
      </c>
      <c r="O2065" s="39">
        <f>IF($B2065="","",IF(COUNTIFS(NOVEDADES!$C$4:$C$2003,$B2065)=0,"—","SÍ ("&amp;COUNTIFS(NOVEDADES!$C$4:$C$2003,$B2065)&amp;")"))</f>
        <v/>
      </c>
    </row>
    <row r="2066">
      <c r="A2066" s="41" t="n"/>
      <c r="B2066" s="41" t="n"/>
      <c r="C2066" s="41" t="n"/>
      <c r="D2066" s="41" t="n"/>
      <c r="E2066" s="46" t="n"/>
      <c r="F2066" s="41" t="n"/>
      <c r="G2066" s="41" t="n"/>
      <c r="H2066" s="41" t="n"/>
      <c r="I2066" s="41" t="n"/>
      <c r="J2066" s="47" t="n"/>
      <c r="K2066" s="41" t="n"/>
      <c r="L2066" s="48" t="n"/>
      <c r="M2066" s="45" t="n"/>
      <c r="N2066" s="39">
        <f>IF($B2066="","",IF(SUMPRODUCT((LISTAS!$O$3:$O$42&lt;&gt;"")*ISNUMBER(SEARCH(LISTAS!$O$3:$O$42,$I2066&amp;" "&amp;$K2066)))&gt;0,"CERCANA","NACIONAL"))</f>
        <v/>
      </c>
      <c r="O2066" s="39">
        <f>IF($B2066="","",IF(COUNTIFS(NOVEDADES!$C$4:$C$2003,$B2066)=0,"—","SÍ ("&amp;COUNTIFS(NOVEDADES!$C$4:$C$2003,$B2066)&amp;")"))</f>
        <v/>
      </c>
    </row>
    <row r="2067">
      <c r="A2067" s="41" t="n"/>
      <c r="B2067" s="41" t="n"/>
      <c r="C2067" s="41" t="n"/>
      <c r="D2067" s="41" t="n"/>
      <c r="E2067" s="46" t="n"/>
      <c r="F2067" s="41" t="n"/>
      <c r="G2067" s="41" t="n"/>
      <c r="H2067" s="41" t="n"/>
      <c r="I2067" s="41" t="n"/>
      <c r="J2067" s="47" t="n"/>
      <c r="K2067" s="41" t="n"/>
      <c r="L2067" s="48" t="n"/>
      <c r="M2067" s="45" t="n"/>
      <c r="N2067" s="39">
        <f>IF($B2067="","",IF(SUMPRODUCT((LISTAS!$O$3:$O$42&lt;&gt;"")*ISNUMBER(SEARCH(LISTAS!$O$3:$O$42,$I2067&amp;" "&amp;$K2067)))&gt;0,"CERCANA","NACIONAL"))</f>
        <v/>
      </c>
      <c r="O2067" s="39">
        <f>IF($B2067="","",IF(COUNTIFS(NOVEDADES!$C$4:$C$2003,$B2067)=0,"—","SÍ ("&amp;COUNTIFS(NOVEDADES!$C$4:$C$2003,$B2067)&amp;")"))</f>
        <v/>
      </c>
    </row>
    <row r="2068">
      <c r="A2068" s="41" t="n"/>
      <c r="B2068" s="41" t="n"/>
      <c r="C2068" s="41" t="n"/>
      <c r="D2068" s="41" t="n"/>
      <c r="E2068" s="46" t="n"/>
      <c r="F2068" s="41" t="n"/>
      <c r="G2068" s="41" t="n"/>
      <c r="H2068" s="41" t="n"/>
      <c r="I2068" s="41" t="n"/>
      <c r="J2068" s="47" t="n"/>
      <c r="K2068" s="41" t="n"/>
      <c r="L2068" s="48" t="n"/>
      <c r="M2068" s="45" t="n"/>
      <c r="N2068" s="39">
        <f>IF($B2068="","",IF(SUMPRODUCT((LISTAS!$O$3:$O$42&lt;&gt;"")*ISNUMBER(SEARCH(LISTAS!$O$3:$O$42,$I2068&amp;" "&amp;$K2068)))&gt;0,"CERCANA","NACIONAL"))</f>
        <v/>
      </c>
      <c r="O2068" s="39">
        <f>IF($B2068="","",IF(COUNTIFS(NOVEDADES!$C$4:$C$2003,$B2068)=0,"—","SÍ ("&amp;COUNTIFS(NOVEDADES!$C$4:$C$2003,$B2068)&amp;")"))</f>
        <v/>
      </c>
    </row>
    <row r="2069">
      <c r="A2069" s="41" t="n"/>
      <c r="B2069" s="41" t="n"/>
      <c r="C2069" s="41" t="n"/>
      <c r="D2069" s="41" t="n"/>
      <c r="E2069" s="46" t="n"/>
      <c r="F2069" s="41" t="n"/>
      <c r="G2069" s="41" t="n"/>
      <c r="H2069" s="41" t="n"/>
      <c r="I2069" s="41" t="n"/>
      <c r="J2069" s="47" t="n"/>
      <c r="K2069" s="41" t="n"/>
      <c r="L2069" s="48" t="n"/>
      <c r="M2069" s="45" t="n"/>
      <c r="N2069" s="39">
        <f>IF($B2069="","",IF(SUMPRODUCT((LISTAS!$O$3:$O$42&lt;&gt;"")*ISNUMBER(SEARCH(LISTAS!$O$3:$O$42,$I2069&amp;" "&amp;$K2069)))&gt;0,"CERCANA","NACIONAL"))</f>
        <v/>
      </c>
      <c r="O2069" s="39">
        <f>IF($B2069="","",IF(COUNTIFS(NOVEDADES!$C$4:$C$2003,$B2069)=0,"—","SÍ ("&amp;COUNTIFS(NOVEDADES!$C$4:$C$2003,$B2069)&amp;")"))</f>
        <v/>
      </c>
    </row>
    <row r="2070">
      <c r="A2070" s="41" t="n"/>
      <c r="B2070" s="41" t="n"/>
      <c r="C2070" s="41" t="n"/>
      <c r="D2070" s="41" t="n"/>
      <c r="E2070" s="46" t="n"/>
      <c r="F2070" s="41" t="n"/>
      <c r="G2070" s="41" t="n"/>
      <c r="H2070" s="41" t="n"/>
      <c r="I2070" s="41" t="n"/>
      <c r="J2070" s="47" t="n"/>
      <c r="K2070" s="41" t="n"/>
      <c r="L2070" s="48" t="n"/>
      <c r="M2070" s="45" t="n"/>
      <c r="N2070" s="39">
        <f>IF($B2070="","",IF(SUMPRODUCT((LISTAS!$O$3:$O$42&lt;&gt;"")*ISNUMBER(SEARCH(LISTAS!$O$3:$O$42,$I2070&amp;" "&amp;$K2070)))&gt;0,"CERCANA","NACIONAL"))</f>
        <v/>
      </c>
      <c r="O2070" s="39">
        <f>IF($B2070="","",IF(COUNTIFS(NOVEDADES!$C$4:$C$2003,$B2070)=0,"—","SÍ ("&amp;COUNTIFS(NOVEDADES!$C$4:$C$2003,$B2070)&amp;")"))</f>
        <v/>
      </c>
    </row>
    <row r="2071">
      <c r="A2071" s="41" t="n"/>
      <c r="B2071" s="41" t="n"/>
      <c r="C2071" s="41" t="n"/>
      <c r="D2071" s="41" t="n"/>
      <c r="E2071" s="46" t="n"/>
      <c r="F2071" s="41" t="n"/>
      <c r="G2071" s="41" t="n"/>
      <c r="H2071" s="41" t="n"/>
      <c r="I2071" s="41" t="n"/>
      <c r="J2071" s="47" t="n"/>
      <c r="K2071" s="41" t="n"/>
      <c r="L2071" s="48" t="n"/>
      <c r="M2071" s="45" t="n"/>
      <c r="N2071" s="39">
        <f>IF($B2071="","",IF(SUMPRODUCT((LISTAS!$O$3:$O$42&lt;&gt;"")*ISNUMBER(SEARCH(LISTAS!$O$3:$O$42,$I2071&amp;" "&amp;$K2071)))&gt;0,"CERCANA","NACIONAL"))</f>
        <v/>
      </c>
      <c r="O2071" s="39">
        <f>IF($B2071="","",IF(COUNTIFS(NOVEDADES!$C$4:$C$2003,$B2071)=0,"—","SÍ ("&amp;COUNTIFS(NOVEDADES!$C$4:$C$2003,$B2071)&amp;")"))</f>
        <v/>
      </c>
    </row>
    <row r="2072">
      <c r="A2072" s="41" t="n"/>
      <c r="B2072" s="41" t="n"/>
      <c r="C2072" s="41" t="n"/>
      <c r="D2072" s="41" t="n"/>
      <c r="E2072" s="46" t="n"/>
      <c r="F2072" s="41" t="n"/>
      <c r="G2072" s="41" t="n"/>
      <c r="H2072" s="41" t="n"/>
      <c r="I2072" s="41" t="n"/>
      <c r="J2072" s="47" t="n"/>
      <c r="K2072" s="41" t="n"/>
      <c r="L2072" s="48" t="n"/>
      <c r="M2072" s="45" t="n"/>
      <c r="N2072" s="39">
        <f>IF($B2072="","",IF(SUMPRODUCT((LISTAS!$O$3:$O$42&lt;&gt;"")*ISNUMBER(SEARCH(LISTAS!$O$3:$O$42,$I2072&amp;" "&amp;$K2072)))&gt;0,"CERCANA","NACIONAL"))</f>
        <v/>
      </c>
      <c r="O2072" s="39">
        <f>IF($B2072="","",IF(COUNTIFS(NOVEDADES!$C$4:$C$2003,$B2072)=0,"—","SÍ ("&amp;COUNTIFS(NOVEDADES!$C$4:$C$2003,$B2072)&amp;")"))</f>
        <v/>
      </c>
    </row>
    <row r="2073">
      <c r="A2073" s="41" t="n"/>
      <c r="B2073" s="41" t="n"/>
      <c r="C2073" s="41" t="n"/>
      <c r="D2073" s="41" t="n"/>
      <c r="E2073" s="46" t="n"/>
      <c r="F2073" s="41" t="n"/>
      <c r="G2073" s="41" t="n"/>
      <c r="H2073" s="41" t="n"/>
      <c r="I2073" s="41" t="n"/>
      <c r="J2073" s="47" t="n"/>
      <c r="K2073" s="41" t="n"/>
      <c r="L2073" s="48" t="n"/>
      <c r="M2073" s="45" t="n"/>
      <c r="N2073" s="39">
        <f>IF($B2073="","",IF(SUMPRODUCT((LISTAS!$O$3:$O$42&lt;&gt;"")*ISNUMBER(SEARCH(LISTAS!$O$3:$O$42,$I2073&amp;" "&amp;$K2073)))&gt;0,"CERCANA","NACIONAL"))</f>
        <v/>
      </c>
      <c r="O2073" s="39">
        <f>IF($B2073="","",IF(COUNTIFS(NOVEDADES!$C$4:$C$2003,$B2073)=0,"—","SÍ ("&amp;COUNTIFS(NOVEDADES!$C$4:$C$2003,$B2073)&amp;")"))</f>
        <v/>
      </c>
    </row>
    <row r="2074">
      <c r="A2074" s="41" t="n"/>
      <c r="B2074" s="41" t="n"/>
      <c r="C2074" s="41" t="n"/>
      <c r="D2074" s="41" t="n"/>
      <c r="E2074" s="46" t="n"/>
      <c r="F2074" s="41" t="n"/>
      <c r="G2074" s="41" t="n"/>
      <c r="H2074" s="41" t="n"/>
      <c r="I2074" s="41" t="n"/>
      <c r="J2074" s="47" t="n"/>
      <c r="K2074" s="41" t="n"/>
      <c r="L2074" s="48" t="n"/>
      <c r="M2074" s="45" t="n"/>
      <c r="N2074" s="39">
        <f>IF($B2074="","",IF(SUMPRODUCT((LISTAS!$O$3:$O$42&lt;&gt;"")*ISNUMBER(SEARCH(LISTAS!$O$3:$O$42,$I2074&amp;" "&amp;$K2074)))&gt;0,"CERCANA","NACIONAL"))</f>
        <v/>
      </c>
      <c r="O2074" s="39">
        <f>IF($B2074="","",IF(COUNTIFS(NOVEDADES!$C$4:$C$2003,$B2074)=0,"—","SÍ ("&amp;COUNTIFS(NOVEDADES!$C$4:$C$2003,$B2074)&amp;")"))</f>
        <v/>
      </c>
    </row>
    <row r="2075">
      <c r="A2075" s="41" t="n"/>
      <c r="B2075" s="41" t="n"/>
      <c r="C2075" s="41" t="n"/>
      <c r="D2075" s="41" t="n"/>
      <c r="E2075" s="46" t="n"/>
      <c r="F2075" s="41" t="n"/>
      <c r="G2075" s="41" t="n"/>
      <c r="H2075" s="41" t="n"/>
      <c r="I2075" s="41" t="n"/>
      <c r="J2075" s="47" t="n"/>
      <c r="K2075" s="41" t="n"/>
      <c r="L2075" s="48" t="n"/>
      <c r="M2075" s="45" t="n"/>
      <c r="N2075" s="39">
        <f>IF($B2075="","",IF(SUMPRODUCT((LISTAS!$O$3:$O$42&lt;&gt;"")*ISNUMBER(SEARCH(LISTAS!$O$3:$O$42,$I2075&amp;" "&amp;$K2075)))&gt;0,"CERCANA","NACIONAL"))</f>
        <v/>
      </c>
      <c r="O2075" s="39">
        <f>IF($B2075="","",IF(COUNTIFS(NOVEDADES!$C$4:$C$2003,$B2075)=0,"—","SÍ ("&amp;COUNTIFS(NOVEDADES!$C$4:$C$2003,$B2075)&amp;")"))</f>
        <v/>
      </c>
    </row>
    <row r="2076">
      <c r="A2076" s="41" t="n"/>
      <c r="B2076" s="41" t="n"/>
      <c r="C2076" s="41" t="n"/>
      <c r="D2076" s="41" t="n"/>
      <c r="E2076" s="46" t="n"/>
      <c r="F2076" s="41" t="n"/>
      <c r="G2076" s="41" t="n"/>
      <c r="H2076" s="41" t="n"/>
      <c r="I2076" s="41" t="n"/>
      <c r="J2076" s="47" t="n"/>
      <c r="K2076" s="41" t="n"/>
      <c r="L2076" s="48" t="n"/>
      <c r="M2076" s="45" t="n"/>
      <c r="N2076" s="39">
        <f>IF($B2076="","",IF(SUMPRODUCT((LISTAS!$O$3:$O$42&lt;&gt;"")*ISNUMBER(SEARCH(LISTAS!$O$3:$O$42,$I2076&amp;" "&amp;$K2076)))&gt;0,"CERCANA","NACIONAL"))</f>
        <v/>
      </c>
      <c r="O2076" s="39">
        <f>IF($B2076="","",IF(COUNTIFS(NOVEDADES!$C$4:$C$2003,$B2076)=0,"—","SÍ ("&amp;COUNTIFS(NOVEDADES!$C$4:$C$2003,$B2076)&amp;")"))</f>
        <v/>
      </c>
    </row>
    <row r="2077">
      <c r="A2077" s="41" t="n"/>
      <c r="B2077" s="41" t="n"/>
      <c r="C2077" s="41" t="n"/>
      <c r="D2077" s="41" t="n"/>
      <c r="E2077" s="46" t="n"/>
      <c r="F2077" s="41" t="n"/>
      <c r="G2077" s="41" t="n"/>
      <c r="H2077" s="41" t="n"/>
      <c r="I2077" s="41" t="n"/>
      <c r="J2077" s="47" t="n"/>
      <c r="K2077" s="41" t="n"/>
      <c r="L2077" s="48" t="n"/>
      <c r="M2077" s="45" t="n"/>
      <c r="N2077" s="39">
        <f>IF($B2077="","",IF(SUMPRODUCT((LISTAS!$O$3:$O$42&lt;&gt;"")*ISNUMBER(SEARCH(LISTAS!$O$3:$O$42,$I2077&amp;" "&amp;$K2077)))&gt;0,"CERCANA","NACIONAL"))</f>
        <v/>
      </c>
      <c r="O2077" s="39">
        <f>IF($B2077="","",IF(COUNTIFS(NOVEDADES!$C$4:$C$2003,$B2077)=0,"—","SÍ ("&amp;COUNTIFS(NOVEDADES!$C$4:$C$2003,$B2077)&amp;")"))</f>
        <v/>
      </c>
    </row>
    <row r="2078">
      <c r="A2078" s="41" t="n"/>
      <c r="B2078" s="41" t="n"/>
      <c r="C2078" s="41" t="n"/>
      <c r="D2078" s="41" t="n"/>
      <c r="E2078" s="46" t="n"/>
      <c r="F2078" s="41" t="n"/>
      <c r="G2078" s="41" t="n"/>
      <c r="H2078" s="41" t="n"/>
      <c r="I2078" s="41" t="n"/>
      <c r="J2078" s="47" t="n"/>
      <c r="K2078" s="41" t="n"/>
      <c r="L2078" s="48" t="n"/>
      <c r="M2078" s="45" t="n"/>
      <c r="N2078" s="39">
        <f>IF($B2078="","",IF(SUMPRODUCT((LISTAS!$O$3:$O$42&lt;&gt;"")*ISNUMBER(SEARCH(LISTAS!$O$3:$O$42,$I2078&amp;" "&amp;$K2078)))&gt;0,"CERCANA","NACIONAL"))</f>
        <v/>
      </c>
      <c r="O2078" s="39">
        <f>IF($B2078="","",IF(COUNTIFS(NOVEDADES!$C$4:$C$2003,$B2078)=0,"—","SÍ ("&amp;COUNTIFS(NOVEDADES!$C$4:$C$2003,$B2078)&amp;")"))</f>
        <v/>
      </c>
    </row>
    <row r="2079">
      <c r="A2079" s="41" t="n"/>
      <c r="B2079" s="41" t="n"/>
      <c r="C2079" s="41" t="n"/>
      <c r="D2079" s="41" t="n"/>
      <c r="E2079" s="46" t="n"/>
      <c r="F2079" s="41" t="n"/>
      <c r="G2079" s="41" t="n"/>
      <c r="H2079" s="41" t="n"/>
      <c r="I2079" s="41" t="n"/>
      <c r="J2079" s="47" t="n"/>
      <c r="K2079" s="41" t="n"/>
      <c r="L2079" s="48" t="n"/>
      <c r="M2079" s="45" t="n"/>
      <c r="N2079" s="39">
        <f>IF($B2079="","",IF(SUMPRODUCT((LISTAS!$O$3:$O$42&lt;&gt;"")*ISNUMBER(SEARCH(LISTAS!$O$3:$O$42,$I2079&amp;" "&amp;$K2079)))&gt;0,"CERCANA","NACIONAL"))</f>
        <v/>
      </c>
      <c r="O2079" s="39">
        <f>IF($B2079="","",IF(COUNTIFS(NOVEDADES!$C$4:$C$2003,$B2079)=0,"—","SÍ ("&amp;COUNTIFS(NOVEDADES!$C$4:$C$2003,$B2079)&amp;")"))</f>
        <v/>
      </c>
    </row>
    <row r="2080">
      <c r="A2080" s="41" t="n"/>
      <c r="B2080" s="41" t="n"/>
      <c r="C2080" s="41" t="n"/>
      <c r="D2080" s="41" t="n"/>
      <c r="E2080" s="46" t="n"/>
      <c r="F2080" s="41" t="n"/>
      <c r="G2080" s="41" t="n"/>
      <c r="H2080" s="41" t="n"/>
      <c r="I2080" s="41" t="n"/>
      <c r="J2080" s="47" t="n"/>
      <c r="K2080" s="41" t="n"/>
      <c r="L2080" s="48" t="n"/>
      <c r="M2080" s="45" t="n"/>
      <c r="N2080" s="39">
        <f>IF($B2080="","",IF(SUMPRODUCT((LISTAS!$O$3:$O$42&lt;&gt;"")*ISNUMBER(SEARCH(LISTAS!$O$3:$O$42,$I2080&amp;" "&amp;$K2080)))&gt;0,"CERCANA","NACIONAL"))</f>
        <v/>
      </c>
      <c r="O2080" s="39">
        <f>IF($B2080="","",IF(COUNTIFS(NOVEDADES!$C$4:$C$2003,$B2080)=0,"—","SÍ ("&amp;COUNTIFS(NOVEDADES!$C$4:$C$2003,$B2080)&amp;")"))</f>
        <v/>
      </c>
    </row>
    <row r="2081">
      <c r="A2081" s="41" t="n"/>
      <c r="B2081" s="41" t="n"/>
      <c r="C2081" s="41" t="n"/>
      <c r="D2081" s="41" t="n"/>
      <c r="E2081" s="46" t="n"/>
      <c r="F2081" s="41" t="n"/>
      <c r="G2081" s="41" t="n"/>
      <c r="H2081" s="41" t="n"/>
      <c r="I2081" s="41" t="n"/>
      <c r="J2081" s="47" t="n"/>
      <c r="K2081" s="41" t="n"/>
      <c r="L2081" s="48" t="n"/>
      <c r="M2081" s="45" t="n"/>
      <c r="N2081" s="39">
        <f>IF($B2081="","",IF(SUMPRODUCT((LISTAS!$O$3:$O$42&lt;&gt;"")*ISNUMBER(SEARCH(LISTAS!$O$3:$O$42,$I2081&amp;" "&amp;$K2081)))&gt;0,"CERCANA","NACIONAL"))</f>
        <v/>
      </c>
      <c r="O2081" s="39">
        <f>IF($B2081="","",IF(COUNTIFS(NOVEDADES!$C$4:$C$2003,$B2081)=0,"—","SÍ ("&amp;COUNTIFS(NOVEDADES!$C$4:$C$2003,$B2081)&amp;")"))</f>
        <v/>
      </c>
    </row>
    <row r="2082">
      <c r="A2082" s="41" t="n"/>
      <c r="B2082" s="41" t="n"/>
      <c r="C2082" s="41" t="n"/>
      <c r="D2082" s="41" t="n"/>
      <c r="E2082" s="46" t="n"/>
      <c r="F2082" s="41" t="n"/>
      <c r="G2082" s="41" t="n"/>
      <c r="H2082" s="41" t="n"/>
      <c r="I2082" s="41" t="n"/>
      <c r="J2082" s="47" t="n"/>
      <c r="K2082" s="41" t="n"/>
      <c r="L2082" s="48" t="n"/>
      <c r="M2082" s="45" t="n"/>
      <c r="N2082" s="39">
        <f>IF($B2082="","",IF(SUMPRODUCT((LISTAS!$O$3:$O$42&lt;&gt;"")*ISNUMBER(SEARCH(LISTAS!$O$3:$O$42,$I2082&amp;" "&amp;$K2082)))&gt;0,"CERCANA","NACIONAL"))</f>
        <v/>
      </c>
      <c r="O2082" s="39">
        <f>IF($B2082="","",IF(COUNTIFS(NOVEDADES!$C$4:$C$2003,$B2082)=0,"—","SÍ ("&amp;COUNTIFS(NOVEDADES!$C$4:$C$2003,$B2082)&amp;")"))</f>
        <v/>
      </c>
    </row>
    <row r="2083">
      <c r="A2083" s="41" t="n"/>
      <c r="B2083" s="41" t="n"/>
      <c r="C2083" s="41" t="n"/>
      <c r="D2083" s="41" t="n"/>
      <c r="E2083" s="46" t="n"/>
      <c r="F2083" s="41" t="n"/>
      <c r="G2083" s="41" t="n"/>
      <c r="H2083" s="41" t="n"/>
      <c r="I2083" s="41" t="n"/>
      <c r="J2083" s="47" t="n"/>
      <c r="K2083" s="41" t="n"/>
      <c r="L2083" s="48" t="n"/>
      <c r="M2083" s="45" t="n"/>
      <c r="N2083" s="39">
        <f>IF($B2083="","",IF(SUMPRODUCT((LISTAS!$O$3:$O$42&lt;&gt;"")*ISNUMBER(SEARCH(LISTAS!$O$3:$O$42,$I2083&amp;" "&amp;$K2083)))&gt;0,"CERCANA","NACIONAL"))</f>
        <v/>
      </c>
      <c r="O2083" s="39">
        <f>IF($B2083="","",IF(COUNTIFS(NOVEDADES!$C$4:$C$2003,$B2083)=0,"—","SÍ ("&amp;COUNTIFS(NOVEDADES!$C$4:$C$2003,$B2083)&amp;")"))</f>
        <v/>
      </c>
    </row>
    <row r="2084">
      <c r="A2084" s="41" t="n"/>
      <c r="B2084" s="41" t="n"/>
      <c r="C2084" s="41" t="n"/>
      <c r="D2084" s="41" t="n"/>
      <c r="E2084" s="46" t="n"/>
      <c r="F2084" s="41" t="n"/>
      <c r="G2084" s="41" t="n"/>
      <c r="H2084" s="41" t="n"/>
      <c r="I2084" s="41" t="n"/>
      <c r="J2084" s="47" t="n"/>
      <c r="K2084" s="41" t="n"/>
      <c r="L2084" s="48" t="n"/>
      <c r="M2084" s="45" t="n"/>
      <c r="N2084" s="39">
        <f>IF($B2084="","",IF(SUMPRODUCT((LISTAS!$O$3:$O$42&lt;&gt;"")*ISNUMBER(SEARCH(LISTAS!$O$3:$O$42,$I2084&amp;" "&amp;$K2084)))&gt;0,"CERCANA","NACIONAL"))</f>
        <v/>
      </c>
      <c r="O2084" s="39">
        <f>IF($B2084="","",IF(COUNTIFS(NOVEDADES!$C$4:$C$2003,$B2084)=0,"—","SÍ ("&amp;COUNTIFS(NOVEDADES!$C$4:$C$2003,$B2084)&amp;")"))</f>
        <v/>
      </c>
    </row>
    <row r="2085">
      <c r="A2085" s="41" t="n"/>
      <c r="B2085" s="41" t="n"/>
      <c r="C2085" s="41" t="n"/>
      <c r="D2085" s="41" t="n"/>
      <c r="E2085" s="46" t="n"/>
      <c r="F2085" s="41" t="n"/>
      <c r="G2085" s="41" t="n"/>
      <c r="H2085" s="41" t="n"/>
      <c r="I2085" s="41" t="n"/>
      <c r="J2085" s="47" t="n"/>
      <c r="K2085" s="41" t="n"/>
      <c r="L2085" s="48" t="n"/>
      <c r="M2085" s="45" t="n"/>
      <c r="N2085" s="39">
        <f>IF($B2085="","",IF(SUMPRODUCT((LISTAS!$O$3:$O$42&lt;&gt;"")*ISNUMBER(SEARCH(LISTAS!$O$3:$O$42,$I2085&amp;" "&amp;$K2085)))&gt;0,"CERCANA","NACIONAL"))</f>
        <v/>
      </c>
      <c r="O2085" s="39">
        <f>IF($B2085="","",IF(COUNTIFS(NOVEDADES!$C$4:$C$2003,$B2085)=0,"—","SÍ ("&amp;COUNTIFS(NOVEDADES!$C$4:$C$2003,$B2085)&amp;")"))</f>
        <v/>
      </c>
    </row>
    <row r="2086">
      <c r="A2086" s="41" t="n"/>
      <c r="B2086" s="41" t="n"/>
      <c r="C2086" s="41" t="n"/>
      <c r="D2086" s="41" t="n"/>
      <c r="E2086" s="46" t="n"/>
      <c r="F2086" s="41" t="n"/>
      <c r="G2086" s="41" t="n"/>
      <c r="H2086" s="41" t="n"/>
      <c r="I2086" s="41" t="n"/>
      <c r="J2086" s="47" t="n"/>
      <c r="K2086" s="41" t="n"/>
      <c r="L2086" s="48" t="n"/>
      <c r="M2086" s="45" t="n"/>
      <c r="N2086" s="39">
        <f>IF($B2086="","",IF(SUMPRODUCT((LISTAS!$O$3:$O$42&lt;&gt;"")*ISNUMBER(SEARCH(LISTAS!$O$3:$O$42,$I2086&amp;" "&amp;$K2086)))&gt;0,"CERCANA","NACIONAL"))</f>
        <v/>
      </c>
      <c r="O2086" s="39">
        <f>IF($B2086="","",IF(COUNTIFS(NOVEDADES!$C$4:$C$2003,$B2086)=0,"—","SÍ ("&amp;COUNTIFS(NOVEDADES!$C$4:$C$2003,$B2086)&amp;")"))</f>
        <v/>
      </c>
    </row>
    <row r="2087">
      <c r="A2087" s="41" t="n"/>
      <c r="B2087" s="41" t="n"/>
      <c r="C2087" s="41" t="n"/>
      <c r="D2087" s="41" t="n"/>
      <c r="E2087" s="46" t="n"/>
      <c r="F2087" s="41" t="n"/>
      <c r="G2087" s="41" t="n"/>
      <c r="H2087" s="41" t="n"/>
      <c r="I2087" s="41" t="n"/>
      <c r="J2087" s="47" t="n"/>
      <c r="K2087" s="41" t="n"/>
      <c r="L2087" s="48" t="n"/>
      <c r="M2087" s="45" t="n"/>
      <c r="N2087" s="39">
        <f>IF($B2087="","",IF(SUMPRODUCT((LISTAS!$O$3:$O$42&lt;&gt;"")*ISNUMBER(SEARCH(LISTAS!$O$3:$O$42,$I2087&amp;" "&amp;$K2087)))&gt;0,"CERCANA","NACIONAL"))</f>
        <v/>
      </c>
      <c r="O2087" s="39">
        <f>IF($B2087="","",IF(COUNTIFS(NOVEDADES!$C$4:$C$2003,$B2087)=0,"—","SÍ ("&amp;COUNTIFS(NOVEDADES!$C$4:$C$2003,$B2087)&amp;")"))</f>
        <v/>
      </c>
    </row>
    <row r="2088">
      <c r="A2088" s="41" t="n"/>
      <c r="B2088" s="41" t="n"/>
      <c r="C2088" s="41" t="n"/>
      <c r="D2088" s="41" t="n"/>
      <c r="E2088" s="46" t="n"/>
      <c r="F2088" s="41" t="n"/>
      <c r="G2088" s="41" t="n"/>
      <c r="H2088" s="41" t="n"/>
      <c r="I2088" s="41" t="n"/>
      <c r="J2088" s="47" t="n"/>
      <c r="K2088" s="41" t="n"/>
      <c r="L2088" s="48" t="n"/>
      <c r="M2088" s="45" t="n"/>
      <c r="N2088" s="39">
        <f>IF($B2088="","",IF(SUMPRODUCT((LISTAS!$O$3:$O$42&lt;&gt;"")*ISNUMBER(SEARCH(LISTAS!$O$3:$O$42,$I2088&amp;" "&amp;$K2088)))&gt;0,"CERCANA","NACIONAL"))</f>
        <v/>
      </c>
      <c r="O2088" s="39">
        <f>IF($B2088="","",IF(COUNTIFS(NOVEDADES!$C$4:$C$2003,$B2088)=0,"—","SÍ ("&amp;COUNTIFS(NOVEDADES!$C$4:$C$2003,$B2088)&amp;")"))</f>
        <v/>
      </c>
    </row>
    <row r="2089">
      <c r="A2089" s="41" t="n"/>
      <c r="B2089" s="41" t="n"/>
      <c r="C2089" s="41" t="n"/>
      <c r="D2089" s="41" t="n"/>
      <c r="E2089" s="46" t="n"/>
      <c r="F2089" s="41" t="n"/>
      <c r="G2089" s="41" t="n"/>
      <c r="H2089" s="41" t="n"/>
      <c r="I2089" s="41" t="n"/>
      <c r="J2089" s="47" t="n"/>
      <c r="K2089" s="41" t="n"/>
      <c r="L2089" s="48" t="n"/>
      <c r="M2089" s="45" t="n"/>
      <c r="N2089" s="39">
        <f>IF($B2089="","",IF(SUMPRODUCT((LISTAS!$O$3:$O$42&lt;&gt;"")*ISNUMBER(SEARCH(LISTAS!$O$3:$O$42,$I2089&amp;" "&amp;$K2089)))&gt;0,"CERCANA","NACIONAL"))</f>
        <v/>
      </c>
      <c r="O2089" s="39">
        <f>IF($B2089="","",IF(COUNTIFS(NOVEDADES!$C$4:$C$2003,$B2089)=0,"—","SÍ ("&amp;COUNTIFS(NOVEDADES!$C$4:$C$2003,$B2089)&amp;")"))</f>
        <v/>
      </c>
    </row>
    <row r="2090">
      <c r="A2090" s="41" t="n"/>
      <c r="B2090" s="41" t="n"/>
      <c r="C2090" s="41" t="n"/>
      <c r="D2090" s="41" t="n"/>
      <c r="E2090" s="46" t="n"/>
      <c r="F2090" s="41" t="n"/>
      <c r="G2090" s="41" t="n"/>
      <c r="H2090" s="41" t="n"/>
      <c r="I2090" s="41" t="n"/>
      <c r="J2090" s="47" t="n"/>
      <c r="K2090" s="41" t="n"/>
      <c r="L2090" s="48" t="n"/>
      <c r="M2090" s="45" t="n"/>
      <c r="N2090" s="39">
        <f>IF($B2090="","",IF(SUMPRODUCT((LISTAS!$O$3:$O$42&lt;&gt;"")*ISNUMBER(SEARCH(LISTAS!$O$3:$O$42,$I2090&amp;" "&amp;$K2090)))&gt;0,"CERCANA","NACIONAL"))</f>
        <v/>
      </c>
      <c r="O2090" s="39">
        <f>IF($B2090="","",IF(COUNTIFS(NOVEDADES!$C$4:$C$2003,$B2090)=0,"—","SÍ ("&amp;COUNTIFS(NOVEDADES!$C$4:$C$2003,$B2090)&amp;")"))</f>
        <v/>
      </c>
    </row>
    <row r="2091">
      <c r="A2091" s="41" t="n"/>
      <c r="B2091" s="41" t="n"/>
      <c r="C2091" s="41" t="n"/>
      <c r="D2091" s="41" t="n"/>
      <c r="E2091" s="46" t="n"/>
      <c r="F2091" s="41" t="n"/>
      <c r="G2091" s="41" t="n"/>
      <c r="H2091" s="41" t="n"/>
      <c r="I2091" s="41" t="n"/>
      <c r="J2091" s="47" t="n"/>
      <c r="K2091" s="41" t="n"/>
      <c r="L2091" s="48" t="n"/>
      <c r="M2091" s="45" t="n"/>
      <c r="N2091" s="39">
        <f>IF($B2091="","",IF(SUMPRODUCT((LISTAS!$O$3:$O$42&lt;&gt;"")*ISNUMBER(SEARCH(LISTAS!$O$3:$O$42,$I2091&amp;" "&amp;$K2091)))&gt;0,"CERCANA","NACIONAL"))</f>
        <v/>
      </c>
      <c r="O2091" s="39">
        <f>IF($B2091="","",IF(COUNTIFS(NOVEDADES!$C$4:$C$2003,$B2091)=0,"—","SÍ ("&amp;COUNTIFS(NOVEDADES!$C$4:$C$2003,$B2091)&amp;")"))</f>
        <v/>
      </c>
    </row>
    <row r="2092">
      <c r="A2092" s="41" t="n"/>
      <c r="B2092" s="41" t="n"/>
      <c r="C2092" s="41" t="n"/>
      <c r="D2092" s="41" t="n"/>
      <c r="E2092" s="46" t="n"/>
      <c r="F2092" s="41" t="n"/>
      <c r="G2092" s="41" t="n"/>
      <c r="H2092" s="41" t="n"/>
      <c r="I2092" s="41" t="n"/>
      <c r="J2092" s="47" t="n"/>
      <c r="K2092" s="41" t="n"/>
      <c r="L2092" s="48" t="n"/>
      <c r="M2092" s="45" t="n"/>
      <c r="N2092" s="39">
        <f>IF($B2092="","",IF(SUMPRODUCT((LISTAS!$O$3:$O$42&lt;&gt;"")*ISNUMBER(SEARCH(LISTAS!$O$3:$O$42,$I2092&amp;" "&amp;$K2092)))&gt;0,"CERCANA","NACIONAL"))</f>
        <v/>
      </c>
      <c r="O2092" s="39">
        <f>IF($B2092="","",IF(COUNTIFS(NOVEDADES!$C$4:$C$2003,$B2092)=0,"—","SÍ ("&amp;COUNTIFS(NOVEDADES!$C$4:$C$2003,$B2092)&amp;")"))</f>
        <v/>
      </c>
    </row>
    <row r="2093">
      <c r="A2093" s="41" t="n"/>
      <c r="B2093" s="41" t="n"/>
      <c r="C2093" s="41" t="n"/>
      <c r="D2093" s="41" t="n"/>
      <c r="E2093" s="46" t="n"/>
      <c r="F2093" s="41" t="n"/>
      <c r="G2093" s="41" t="n"/>
      <c r="H2093" s="41" t="n"/>
      <c r="I2093" s="41" t="n"/>
      <c r="J2093" s="47" t="n"/>
      <c r="K2093" s="41" t="n"/>
      <c r="L2093" s="48" t="n"/>
      <c r="M2093" s="45" t="n"/>
      <c r="N2093" s="39">
        <f>IF($B2093="","",IF(SUMPRODUCT((LISTAS!$O$3:$O$42&lt;&gt;"")*ISNUMBER(SEARCH(LISTAS!$O$3:$O$42,$I2093&amp;" "&amp;$K2093)))&gt;0,"CERCANA","NACIONAL"))</f>
        <v/>
      </c>
      <c r="O2093" s="39">
        <f>IF($B2093="","",IF(COUNTIFS(NOVEDADES!$C$4:$C$2003,$B2093)=0,"—","SÍ ("&amp;COUNTIFS(NOVEDADES!$C$4:$C$2003,$B2093)&amp;")"))</f>
        <v/>
      </c>
    </row>
    <row r="2094">
      <c r="A2094" s="41" t="n"/>
      <c r="B2094" s="41" t="n"/>
      <c r="C2094" s="41" t="n"/>
      <c r="D2094" s="41" t="n"/>
      <c r="E2094" s="46" t="n"/>
      <c r="F2094" s="41" t="n"/>
      <c r="G2094" s="41" t="n"/>
      <c r="H2094" s="41" t="n"/>
      <c r="I2094" s="41" t="n"/>
      <c r="J2094" s="47" t="n"/>
      <c r="K2094" s="41" t="n"/>
      <c r="L2094" s="48" t="n"/>
      <c r="M2094" s="45" t="n"/>
      <c r="N2094" s="39">
        <f>IF($B2094="","",IF(SUMPRODUCT((LISTAS!$O$3:$O$42&lt;&gt;"")*ISNUMBER(SEARCH(LISTAS!$O$3:$O$42,$I2094&amp;" "&amp;$K2094)))&gt;0,"CERCANA","NACIONAL"))</f>
        <v/>
      </c>
      <c r="O2094" s="39">
        <f>IF($B2094="","",IF(COUNTIFS(NOVEDADES!$C$4:$C$2003,$B2094)=0,"—","SÍ ("&amp;COUNTIFS(NOVEDADES!$C$4:$C$2003,$B2094)&amp;")"))</f>
        <v/>
      </c>
    </row>
    <row r="2095">
      <c r="A2095" s="41" t="n"/>
      <c r="B2095" s="41" t="n"/>
      <c r="C2095" s="41" t="n"/>
      <c r="D2095" s="41" t="n"/>
      <c r="E2095" s="46" t="n"/>
      <c r="F2095" s="41" t="n"/>
      <c r="G2095" s="41" t="n"/>
      <c r="H2095" s="41" t="n"/>
      <c r="I2095" s="41" t="n"/>
      <c r="J2095" s="47" t="n"/>
      <c r="K2095" s="41" t="n"/>
      <c r="L2095" s="48" t="n"/>
      <c r="M2095" s="45" t="n"/>
      <c r="N2095" s="39">
        <f>IF($B2095="","",IF(SUMPRODUCT((LISTAS!$O$3:$O$42&lt;&gt;"")*ISNUMBER(SEARCH(LISTAS!$O$3:$O$42,$I2095&amp;" "&amp;$K2095)))&gt;0,"CERCANA","NACIONAL"))</f>
        <v/>
      </c>
      <c r="O2095" s="39">
        <f>IF($B2095="","",IF(COUNTIFS(NOVEDADES!$C$4:$C$2003,$B2095)=0,"—","SÍ ("&amp;COUNTIFS(NOVEDADES!$C$4:$C$2003,$B2095)&amp;")"))</f>
        <v/>
      </c>
    </row>
    <row r="2096">
      <c r="A2096" s="41" t="n"/>
      <c r="B2096" s="41" t="n"/>
      <c r="C2096" s="41" t="n"/>
      <c r="D2096" s="41" t="n"/>
      <c r="E2096" s="46" t="n"/>
      <c r="F2096" s="41" t="n"/>
      <c r="G2096" s="41" t="n"/>
      <c r="H2096" s="41" t="n"/>
      <c r="I2096" s="41" t="n"/>
      <c r="J2096" s="47" t="n"/>
      <c r="K2096" s="41" t="n"/>
      <c r="L2096" s="48" t="n"/>
      <c r="M2096" s="45" t="n"/>
      <c r="N2096" s="39">
        <f>IF($B2096="","",IF(SUMPRODUCT((LISTAS!$O$3:$O$42&lt;&gt;"")*ISNUMBER(SEARCH(LISTAS!$O$3:$O$42,$I2096&amp;" "&amp;$K2096)))&gt;0,"CERCANA","NACIONAL"))</f>
        <v/>
      </c>
      <c r="O2096" s="39">
        <f>IF($B2096="","",IF(COUNTIFS(NOVEDADES!$C$4:$C$2003,$B2096)=0,"—","SÍ ("&amp;COUNTIFS(NOVEDADES!$C$4:$C$2003,$B2096)&amp;")"))</f>
        <v/>
      </c>
    </row>
    <row r="2097">
      <c r="A2097" s="41" t="n"/>
      <c r="B2097" s="41" t="n"/>
      <c r="C2097" s="41" t="n"/>
      <c r="D2097" s="41" t="n"/>
      <c r="E2097" s="46" t="n"/>
      <c r="F2097" s="41" t="n"/>
      <c r="G2097" s="41" t="n"/>
      <c r="H2097" s="41" t="n"/>
      <c r="I2097" s="41" t="n"/>
      <c r="J2097" s="47" t="n"/>
      <c r="K2097" s="41" t="n"/>
      <c r="L2097" s="48" t="n"/>
      <c r="M2097" s="45" t="n"/>
      <c r="N2097" s="39">
        <f>IF($B2097="","",IF(SUMPRODUCT((LISTAS!$O$3:$O$42&lt;&gt;"")*ISNUMBER(SEARCH(LISTAS!$O$3:$O$42,$I2097&amp;" "&amp;$K2097)))&gt;0,"CERCANA","NACIONAL"))</f>
        <v/>
      </c>
      <c r="O2097" s="39">
        <f>IF($B2097="","",IF(COUNTIFS(NOVEDADES!$C$4:$C$2003,$B2097)=0,"—","SÍ ("&amp;COUNTIFS(NOVEDADES!$C$4:$C$2003,$B2097)&amp;")"))</f>
        <v/>
      </c>
    </row>
    <row r="2098">
      <c r="A2098" s="41" t="n"/>
      <c r="B2098" s="41" t="n"/>
      <c r="C2098" s="41" t="n"/>
      <c r="D2098" s="41" t="n"/>
      <c r="E2098" s="46" t="n"/>
      <c r="F2098" s="41" t="n"/>
      <c r="G2098" s="41" t="n"/>
      <c r="H2098" s="41" t="n"/>
      <c r="I2098" s="41" t="n"/>
      <c r="J2098" s="47" t="n"/>
      <c r="K2098" s="41" t="n"/>
      <c r="L2098" s="48" t="n"/>
      <c r="M2098" s="45" t="n"/>
      <c r="N2098" s="39">
        <f>IF($B2098="","",IF(SUMPRODUCT((LISTAS!$O$3:$O$42&lt;&gt;"")*ISNUMBER(SEARCH(LISTAS!$O$3:$O$42,$I2098&amp;" "&amp;$K2098)))&gt;0,"CERCANA","NACIONAL"))</f>
        <v/>
      </c>
      <c r="O2098" s="39">
        <f>IF($B2098="","",IF(COUNTIFS(NOVEDADES!$C$4:$C$2003,$B2098)=0,"—","SÍ ("&amp;COUNTIFS(NOVEDADES!$C$4:$C$2003,$B2098)&amp;")"))</f>
        <v/>
      </c>
    </row>
    <row r="2099">
      <c r="A2099" s="41" t="n"/>
      <c r="B2099" s="41" t="n"/>
      <c r="C2099" s="41" t="n"/>
      <c r="D2099" s="41" t="n"/>
      <c r="E2099" s="46" t="n"/>
      <c r="F2099" s="41" t="n"/>
      <c r="G2099" s="41" t="n"/>
      <c r="H2099" s="41" t="n"/>
      <c r="I2099" s="41" t="n"/>
      <c r="J2099" s="47" t="n"/>
      <c r="K2099" s="41" t="n"/>
      <c r="L2099" s="48" t="n"/>
      <c r="M2099" s="45" t="n"/>
      <c r="N2099" s="39">
        <f>IF($B2099="","",IF(SUMPRODUCT((LISTAS!$O$3:$O$42&lt;&gt;"")*ISNUMBER(SEARCH(LISTAS!$O$3:$O$42,$I2099&amp;" "&amp;$K2099)))&gt;0,"CERCANA","NACIONAL"))</f>
        <v/>
      </c>
      <c r="O2099" s="39">
        <f>IF($B2099="","",IF(COUNTIFS(NOVEDADES!$C$4:$C$2003,$B2099)=0,"—","SÍ ("&amp;COUNTIFS(NOVEDADES!$C$4:$C$2003,$B2099)&amp;")"))</f>
        <v/>
      </c>
    </row>
    <row r="2100">
      <c r="A2100" s="41" t="n"/>
      <c r="B2100" s="41" t="n"/>
      <c r="C2100" s="41" t="n"/>
      <c r="D2100" s="41" t="n"/>
      <c r="E2100" s="46" t="n"/>
      <c r="F2100" s="41" t="n"/>
      <c r="G2100" s="41" t="n"/>
      <c r="H2100" s="41" t="n"/>
      <c r="I2100" s="41" t="n"/>
      <c r="J2100" s="47" t="n"/>
      <c r="K2100" s="41" t="n"/>
      <c r="L2100" s="48" t="n"/>
      <c r="M2100" s="45" t="n"/>
      <c r="N2100" s="39">
        <f>IF($B2100="","",IF(SUMPRODUCT((LISTAS!$O$3:$O$42&lt;&gt;"")*ISNUMBER(SEARCH(LISTAS!$O$3:$O$42,$I2100&amp;" "&amp;$K2100)))&gt;0,"CERCANA","NACIONAL"))</f>
        <v/>
      </c>
      <c r="O2100" s="39">
        <f>IF($B2100="","",IF(COUNTIFS(NOVEDADES!$C$4:$C$2003,$B2100)=0,"—","SÍ ("&amp;COUNTIFS(NOVEDADES!$C$4:$C$2003,$B2100)&amp;")"))</f>
        <v/>
      </c>
    </row>
    <row r="2101">
      <c r="A2101" s="41" t="n"/>
      <c r="B2101" s="41" t="n"/>
      <c r="C2101" s="41" t="n"/>
      <c r="D2101" s="41" t="n"/>
      <c r="E2101" s="46" t="n"/>
      <c r="F2101" s="41" t="n"/>
      <c r="G2101" s="41" t="n"/>
      <c r="H2101" s="41" t="n"/>
      <c r="I2101" s="41" t="n"/>
      <c r="J2101" s="47" t="n"/>
      <c r="K2101" s="41" t="n"/>
      <c r="L2101" s="48" t="n"/>
      <c r="M2101" s="45" t="n"/>
      <c r="N2101" s="39">
        <f>IF($B2101="","",IF(SUMPRODUCT((LISTAS!$O$3:$O$42&lt;&gt;"")*ISNUMBER(SEARCH(LISTAS!$O$3:$O$42,$I2101&amp;" "&amp;$K2101)))&gt;0,"CERCANA","NACIONAL"))</f>
        <v/>
      </c>
      <c r="O2101" s="39">
        <f>IF($B2101="","",IF(COUNTIFS(NOVEDADES!$C$4:$C$2003,$B2101)=0,"—","SÍ ("&amp;COUNTIFS(NOVEDADES!$C$4:$C$2003,$B2101)&amp;")"))</f>
        <v/>
      </c>
    </row>
    <row r="2102">
      <c r="A2102" s="41" t="n"/>
      <c r="B2102" s="41" t="n"/>
      <c r="C2102" s="41" t="n"/>
      <c r="D2102" s="41" t="n"/>
      <c r="E2102" s="46" t="n"/>
      <c r="F2102" s="41" t="n"/>
      <c r="G2102" s="41" t="n"/>
      <c r="H2102" s="41" t="n"/>
      <c r="I2102" s="41" t="n"/>
      <c r="J2102" s="47" t="n"/>
      <c r="K2102" s="41" t="n"/>
      <c r="L2102" s="48" t="n"/>
      <c r="M2102" s="45" t="n"/>
      <c r="N2102" s="39">
        <f>IF($B2102="","",IF(SUMPRODUCT((LISTAS!$O$3:$O$42&lt;&gt;"")*ISNUMBER(SEARCH(LISTAS!$O$3:$O$42,$I2102&amp;" "&amp;$K2102)))&gt;0,"CERCANA","NACIONAL"))</f>
        <v/>
      </c>
      <c r="O2102" s="39">
        <f>IF($B2102="","",IF(COUNTIFS(NOVEDADES!$C$4:$C$2003,$B2102)=0,"—","SÍ ("&amp;COUNTIFS(NOVEDADES!$C$4:$C$2003,$B2102)&amp;")"))</f>
        <v/>
      </c>
    </row>
    <row r="2103">
      <c r="A2103" s="41" t="n"/>
      <c r="B2103" s="41" t="n"/>
      <c r="C2103" s="41" t="n"/>
      <c r="D2103" s="41" t="n"/>
      <c r="E2103" s="46" t="n"/>
      <c r="F2103" s="41" t="n"/>
      <c r="G2103" s="41" t="n"/>
      <c r="H2103" s="41" t="n"/>
      <c r="I2103" s="41" t="n"/>
      <c r="J2103" s="47" t="n"/>
      <c r="K2103" s="41" t="n"/>
      <c r="L2103" s="48" t="n"/>
      <c r="M2103" s="45" t="n"/>
      <c r="N2103" s="39">
        <f>IF($B2103="","",IF(SUMPRODUCT((LISTAS!$O$3:$O$42&lt;&gt;"")*ISNUMBER(SEARCH(LISTAS!$O$3:$O$42,$I2103&amp;" "&amp;$K2103)))&gt;0,"CERCANA","NACIONAL"))</f>
        <v/>
      </c>
      <c r="O2103" s="39">
        <f>IF($B2103="","",IF(COUNTIFS(NOVEDADES!$C$4:$C$2003,$B2103)=0,"—","SÍ ("&amp;COUNTIFS(NOVEDADES!$C$4:$C$2003,$B2103)&amp;")"))</f>
        <v/>
      </c>
    </row>
    <row r="2104">
      <c r="A2104" s="41" t="n"/>
      <c r="B2104" s="41" t="n"/>
      <c r="C2104" s="41" t="n"/>
      <c r="D2104" s="41" t="n"/>
      <c r="E2104" s="46" t="n"/>
      <c r="F2104" s="41" t="n"/>
      <c r="G2104" s="41" t="n"/>
      <c r="H2104" s="41" t="n"/>
      <c r="I2104" s="41" t="n"/>
      <c r="J2104" s="47" t="n"/>
      <c r="K2104" s="41" t="n"/>
      <c r="L2104" s="48" t="n"/>
      <c r="M2104" s="45" t="n"/>
      <c r="N2104" s="39">
        <f>IF($B2104="","",IF(SUMPRODUCT((LISTAS!$O$3:$O$42&lt;&gt;"")*ISNUMBER(SEARCH(LISTAS!$O$3:$O$42,$I2104&amp;" "&amp;$K2104)))&gt;0,"CERCANA","NACIONAL"))</f>
        <v/>
      </c>
      <c r="O2104" s="39">
        <f>IF($B2104="","",IF(COUNTIFS(NOVEDADES!$C$4:$C$2003,$B2104)=0,"—","SÍ ("&amp;COUNTIFS(NOVEDADES!$C$4:$C$2003,$B2104)&amp;")"))</f>
        <v/>
      </c>
    </row>
    <row r="2105">
      <c r="A2105" s="41" t="n"/>
      <c r="B2105" s="41" t="n"/>
      <c r="C2105" s="41" t="n"/>
      <c r="D2105" s="41" t="n"/>
      <c r="E2105" s="46" t="n"/>
      <c r="F2105" s="41" t="n"/>
      <c r="G2105" s="41" t="n"/>
      <c r="H2105" s="41" t="n"/>
      <c r="I2105" s="41" t="n"/>
      <c r="J2105" s="47" t="n"/>
      <c r="K2105" s="41" t="n"/>
      <c r="L2105" s="48" t="n"/>
      <c r="M2105" s="45" t="n"/>
      <c r="N2105" s="39">
        <f>IF($B2105="","",IF(SUMPRODUCT((LISTAS!$O$3:$O$42&lt;&gt;"")*ISNUMBER(SEARCH(LISTAS!$O$3:$O$42,$I2105&amp;" "&amp;$K2105)))&gt;0,"CERCANA","NACIONAL"))</f>
        <v/>
      </c>
      <c r="O2105" s="39">
        <f>IF($B2105="","",IF(COUNTIFS(NOVEDADES!$C$4:$C$2003,$B2105)=0,"—","SÍ ("&amp;COUNTIFS(NOVEDADES!$C$4:$C$2003,$B2105)&amp;")"))</f>
        <v/>
      </c>
    </row>
    <row r="2106">
      <c r="A2106" s="41" t="n"/>
      <c r="B2106" s="41" t="n"/>
      <c r="C2106" s="41" t="n"/>
      <c r="D2106" s="41" t="n"/>
      <c r="E2106" s="46" t="n"/>
      <c r="F2106" s="41" t="n"/>
      <c r="G2106" s="41" t="n"/>
      <c r="H2106" s="41" t="n"/>
      <c r="I2106" s="41" t="n"/>
      <c r="J2106" s="47" t="n"/>
      <c r="K2106" s="41" t="n"/>
      <c r="L2106" s="48" t="n"/>
      <c r="M2106" s="45" t="n"/>
      <c r="N2106" s="39">
        <f>IF($B2106="","",IF(SUMPRODUCT((LISTAS!$O$3:$O$42&lt;&gt;"")*ISNUMBER(SEARCH(LISTAS!$O$3:$O$42,$I2106&amp;" "&amp;$K2106)))&gt;0,"CERCANA","NACIONAL"))</f>
        <v/>
      </c>
      <c r="O2106" s="39">
        <f>IF($B2106="","",IF(COUNTIFS(NOVEDADES!$C$4:$C$2003,$B2106)=0,"—","SÍ ("&amp;COUNTIFS(NOVEDADES!$C$4:$C$2003,$B2106)&amp;")"))</f>
        <v/>
      </c>
    </row>
    <row r="2107">
      <c r="A2107" s="41" t="n"/>
      <c r="B2107" s="41" t="n"/>
      <c r="C2107" s="41" t="n"/>
      <c r="D2107" s="41" t="n"/>
      <c r="E2107" s="46" t="n"/>
      <c r="F2107" s="41" t="n"/>
      <c r="G2107" s="41" t="n"/>
      <c r="H2107" s="41" t="n"/>
      <c r="I2107" s="41" t="n"/>
      <c r="J2107" s="47" t="n"/>
      <c r="K2107" s="41" t="n"/>
      <c r="L2107" s="48" t="n"/>
      <c r="M2107" s="45" t="n"/>
      <c r="N2107" s="39">
        <f>IF($B2107="","",IF(SUMPRODUCT((LISTAS!$O$3:$O$42&lt;&gt;"")*ISNUMBER(SEARCH(LISTAS!$O$3:$O$42,$I2107&amp;" "&amp;$K2107)))&gt;0,"CERCANA","NACIONAL"))</f>
        <v/>
      </c>
      <c r="O2107" s="39">
        <f>IF($B2107="","",IF(COUNTIFS(NOVEDADES!$C$4:$C$2003,$B2107)=0,"—","SÍ ("&amp;COUNTIFS(NOVEDADES!$C$4:$C$2003,$B2107)&amp;")"))</f>
        <v/>
      </c>
    </row>
    <row r="2108">
      <c r="A2108" s="41" t="n"/>
      <c r="B2108" s="41" t="n"/>
      <c r="C2108" s="41" t="n"/>
      <c r="D2108" s="41" t="n"/>
      <c r="E2108" s="46" t="n"/>
      <c r="F2108" s="41" t="n"/>
      <c r="G2108" s="41" t="n"/>
      <c r="H2108" s="41" t="n"/>
      <c r="I2108" s="41" t="n"/>
      <c r="J2108" s="47" t="n"/>
      <c r="K2108" s="41" t="n"/>
      <c r="L2108" s="48" t="n"/>
      <c r="M2108" s="45" t="n"/>
      <c r="N2108" s="39">
        <f>IF($B2108="","",IF(SUMPRODUCT((LISTAS!$O$3:$O$42&lt;&gt;"")*ISNUMBER(SEARCH(LISTAS!$O$3:$O$42,$I2108&amp;" "&amp;$K2108)))&gt;0,"CERCANA","NACIONAL"))</f>
        <v/>
      </c>
      <c r="O2108" s="39">
        <f>IF($B2108="","",IF(COUNTIFS(NOVEDADES!$C$4:$C$2003,$B2108)=0,"—","SÍ ("&amp;COUNTIFS(NOVEDADES!$C$4:$C$2003,$B2108)&amp;")"))</f>
        <v/>
      </c>
    </row>
    <row r="2109">
      <c r="A2109" s="41" t="n"/>
      <c r="B2109" s="41" t="n"/>
      <c r="C2109" s="41" t="n"/>
      <c r="D2109" s="41" t="n"/>
      <c r="E2109" s="46" t="n"/>
      <c r="F2109" s="41" t="n"/>
      <c r="G2109" s="41" t="n"/>
      <c r="H2109" s="41" t="n"/>
      <c r="I2109" s="41" t="n"/>
      <c r="J2109" s="47" t="n"/>
      <c r="K2109" s="41" t="n"/>
      <c r="L2109" s="48" t="n"/>
      <c r="M2109" s="45" t="n"/>
      <c r="N2109" s="39">
        <f>IF($B2109="","",IF(SUMPRODUCT((LISTAS!$O$3:$O$42&lt;&gt;"")*ISNUMBER(SEARCH(LISTAS!$O$3:$O$42,$I2109&amp;" "&amp;$K2109)))&gt;0,"CERCANA","NACIONAL"))</f>
        <v/>
      </c>
      <c r="O2109" s="39">
        <f>IF($B2109="","",IF(COUNTIFS(NOVEDADES!$C$4:$C$2003,$B2109)=0,"—","SÍ ("&amp;COUNTIFS(NOVEDADES!$C$4:$C$2003,$B2109)&amp;")"))</f>
        <v/>
      </c>
    </row>
    <row r="2110">
      <c r="A2110" s="41" t="n"/>
      <c r="B2110" s="41" t="n"/>
      <c r="C2110" s="41" t="n"/>
      <c r="D2110" s="41" t="n"/>
      <c r="E2110" s="46" t="n"/>
      <c r="F2110" s="41" t="n"/>
      <c r="G2110" s="41" t="n"/>
      <c r="H2110" s="41" t="n"/>
      <c r="I2110" s="41" t="n"/>
      <c r="J2110" s="47" t="n"/>
      <c r="K2110" s="41" t="n"/>
      <c r="L2110" s="48" t="n"/>
      <c r="M2110" s="45" t="n"/>
      <c r="N2110" s="39">
        <f>IF($B2110="","",IF(SUMPRODUCT((LISTAS!$O$3:$O$42&lt;&gt;"")*ISNUMBER(SEARCH(LISTAS!$O$3:$O$42,$I2110&amp;" "&amp;$K2110)))&gt;0,"CERCANA","NACIONAL"))</f>
        <v/>
      </c>
      <c r="O2110" s="39">
        <f>IF($B2110="","",IF(COUNTIFS(NOVEDADES!$C$4:$C$2003,$B2110)=0,"—","SÍ ("&amp;COUNTIFS(NOVEDADES!$C$4:$C$2003,$B2110)&amp;")"))</f>
        <v/>
      </c>
    </row>
    <row r="2111">
      <c r="A2111" s="41" t="n"/>
      <c r="B2111" s="41" t="n"/>
      <c r="C2111" s="41" t="n"/>
      <c r="D2111" s="41" t="n"/>
      <c r="E2111" s="46" t="n"/>
      <c r="F2111" s="41" t="n"/>
      <c r="G2111" s="41" t="n"/>
      <c r="H2111" s="41" t="n"/>
      <c r="I2111" s="41" t="n"/>
      <c r="J2111" s="47" t="n"/>
      <c r="K2111" s="41" t="n"/>
      <c r="L2111" s="48" t="n"/>
      <c r="M2111" s="45" t="n"/>
      <c r="N2111" s="39">
        <f>IF($B2111="","",IF(SUMPRODUCT((LISTAS!$O$3:$O$42&lt;&gt;"")*ISNUMBER(SEARCH(LISTAS!$O$3:$O$42,$I2111&amp;" "&amp;$K2111)))&gt;0,"CERCANA","NACIONAL"))</f>
        <v/>
      </c>
      <c r="O2111" s="39">
        <f>IF($B2111="","",IF(COUNTIFS(NOVEDADES!$C$4:$C$2003,$B2111)=0,"—","SÍ ("&amp;COUNTIFS(NOVEDADES!$C$4:$C$2003,$B2111)&amp;")"))</f>
        <v/>
      </c>
    </row>
    <row r="2112">
      <c r="A2112" s="41" t="n"/>
      <c r="B2112" s="41" t="n"/>
      <c r="C2112" s="41" t="n"/>
      <c r="D2112" s="41" t="n"/>
      <c r="E2112" s="46" t="n"/>
      <c r="F2112" s="41" t="n"/>
      <c r="G2112" s="41" t="n"/>
      <c r="H2112" s="41" t="n"/>
      <c r="I2112" s="41" t="n"/>
      <c r="J2112" s="47" t="n"/>
      <c r="K2112" s="41" t="n"/>
      <c r="L2112" s="48" t="n"/>
      <c r="M2112" s="45" t="n"/>
      <c r="N2112" s="39">
        <f>IF($B2112="","",IF(SUMPRODUCT((LISTAS!$O$3:$O$42&lt;&gt;"")*ISNUMBER(SEARCH(LISTAS!$O$3:$O$42,$I2112&amp;" "&amp;$K2112)))&gt;0,"CERCANA","NACIONAL"))</f>
        <v/>
      </c>
      <c r="O2112" s="39">
        <f>IF($B2112="","",IF(COUNTIFS(NOVEDADES!$C$4:$C$2003,$B2112)=0,"—","SÍ ("&amp;COUNTIFS(NOVEDADES!$C$4:$C$2003,$B2112)&amp;")"))</f>
        <v/>
      </c>
    </row>
    <row r="2113">
      <c r="A2113" s="41" t="n"/>
      <c r="B2113" s="41" t="n"/>
      <c r="C2113" s="41" t="n"/>
      <c r="D2113" s="41" t="n"/>
      <c r="E2113" s="46" t="n"/>
      <c r="F2113" s="41" t="n"/>
      <c r="G2113" s="41" t="n"/>
      <c r="H2113" s="41" t="n"/>
      <c r="I2113" s="41" t="n"/>
      <c r="J2113" s="47" t="n"/>
      <c r="K2113" s="41" t="n"/>
      <c r="L2113" s="48" t="n"/>
      <c r="M2113" s="45" t="n"/>
      <c r="N2113" s="39">
        <f>IF($B2113="","",IF(SUMPRODUCT((LISTAS!$O$3:$O$42&lt;&gt;"")*ISNUMBER(SEARCH(LISTAS!$O$3:$O$42,$I2113&amp;" "&amp;$K2113)))&gt;0,"CERCANA","NACIONAL"))</f>
        <v/>
      </c>
      <c r="O2113" s="39">
        <f>IF($B2113="","",IF(COUNTIFS(NOVEDADES!$C$4:$C$2003,$B2113)=0,"—","SÍ ("&amp;COUNTIFS(NOVEDADES!$C$4:$C$2003,$B2113)&amp;")"))</f>
        <v/>
      </c>
    </row>
    <row r="2114">
      <c r="A2114" s="41" t="n"/>
      <c r="B2114" s="41" t="n"/>
      <c r="C2114" s="41" t="n"/>
      <c r="D2114" s="41" t="n"/>
      <c r="E2114" s="46" t="n"/>
      <c r="F2114" s="41" t="n"/>
      <c r="G2114" s="41" t="n"/>
      <c r="H2114" s="41" t="n"/>
      <c r="I2114" s="41" t="n"/>
      <c r="J2114" s="47" t="n"/>
      <c r="K2114" s="41" t="n"/>
      <c r="L2114" s="48" t="n"/>
      <c r="M2114" s="45" t="n"/>
      <c r="N2114" s="39">
        <f>IF($B2114="","",IF(SUMPRODUCT((LISTAS!$O$3:$O$42&lt;&gt;"")*ISNUMBER(SEARCH(LISTAS!$O$3:$O$42,$I2114&amp;" "&amp;$K2114)))&gt;0,"CERCANA","NACIONAL"))</f>
        <v/>
      </c>
      <c r="O2114" s="39">
        <f>IF($B2114="","",IF(COUNTIFS(NOVEDADES!$C$4:$C$2003,$B2114)=0,"—","SÍ ("&amp;COUNTIFS(NOVEDADES!$C$4:$C$2003,$B2114)&amp;")"))</f>
        <v/>
      </c>
    </row>
    <row r="2115">
      <c r="A2115" s="41" t="n"/>
      <c r="B2115" s="41" t="n"/>
      <c r="C2115" s="41" t="n"/>
      <c r="D2115" s="41" t="n"/>
      <c r="E2115" s="46" t="n"/>
      <c r="F2115" s="41" t="n"/>
      <c r="G2115" s="41" t="n"/>
      <c r="H2115" s="41" t="n"/>
      <c r="I2115" s="41" t="n"/>
      <c r="J2115" s="47" t="n"/>
      <c r="K2115" s="41" t="n"/>
      <c r="L2115" s="48" t="n"/>
      <c r="M2115" s="45" t="n"/>
      <c r="N2115" s="39">
        <f>IF($B2115="","",IF(SUMPRODUCT((LISTAS!$O$3:$O$42&lt;&gt;"")*ISNUMBER(SEARCH(LISTAS!$O$3:$O$42,$I2115&amp;" "&amp;$K2115)))&gt;0,"CERCANA","NACIONAL"))</f>
        <v/>
      </c>
      <c r="O2115" s="39">
        <f>IF($B2115="","",IF(COUNTIFS(NOVEDADES!$C$4:$C$2003,$B2115)=0,"—","SÍ ("&amp;COUNTIFS(NOVEDADES!$C$4:$C$2003,$B2115)&amp;")"))</f>
        <v/>
      </c>
    </row>
    <row r="2116">
      <c r="A2116" s="41" t="n"/>
      <c r="B2116" s="41" t="n"/>
      <c r="C2116" s="41" t="n"/>
      <c r="D2116" s="41" t="n"/>
      <c r="E2116" s="46" t="n"/>
      <c r="F2116" s="41" t="n"/>
      <c r="G2116" s="41" t="n"/>
      <c r="H2116" s="41" t="n"/>
      <c r="I2116" s="41" t="n"/>
      <c r="J2116" s="47" t="n"/>
      <c r="K2116" s="41" t="n"/>
      <c r="L2116" s="48" t="n"/>
      <c r="M2116" s="45" t="n"/>
      <c r="N2116" s="39">
        <f>IF($B2116="","",IF(SUMPRODUCT((LISTAS!$O$3:$O$42&lt;&gt;"")*ISNUMBER(SEARCH(LISTAS!$O$3:$O$42,$I2116&amp;" "&amp;$K2116)))&gt;0,"CERCANA","NACIONAL"))</f>
        <v/>
      </c>
      <c r="O2116" s="39">
        <f>IF($B2116="","",IF(COUNTIFS(NOVEDADES!$C$4:$C$2003,$B2116)=0,"—","SÍ ("&amp;COUNTIFS(NOVEDADES!$C$4:$C$2003,$B2116)&amp;")"))</f>
        <v/>
      </c>
    </row>
    <row r="2117">
      <c r="A2117" s="41" t="n"/>
      <c r="B2117" s="41" t="n"/>
      <c r="C2117" s="41" t="n"/>
      <c r="D2117" s="41" t="n"/>
      <c r="E2117" s="46" t="n"/>
      <c r="F2117" s="41" t="n"/>
      <c r="G2117" s="41" t="n"/>
      <c r="H2117" s="41" t="n"/>
      <c r="I2117" s="41" t="n"/>
      <c r="J2117" s="47" t="n"/>
      <c r="K2117" s="41" t="n"/>
      <c r="L2117" s="48" t="n"/>
      <c r="M2117" s="45" t="n"/>
      <c r="N2117" s="39">
        <f>IF($B2117="","",IF(SUMPRODUCT((LISTAS!$O$3:$O$42&lt;&gt;"")*ISNUMBER(SEARCH(LISTAS!$O$3:$O$42,$I2117&amp;" "&amp;$K2117)))&gt;0,"CERCANA","NACIONAL"))</f>
        <v/>
      </c>
      <c r="O2117" s="39">
        <f>IF($B2117="","",IF(COUNTIFS(NOVEDADES!$C$4:$C$2003,$B2117)=0,"—","SÍ ("&amp;COUNTIFS(NOVEDADES!$C$4:$C$2003,$B2117)&amp;")"))</f>
        <v/>
      </c>
    </row>
    <row r="2118">
      <c r="A2118" s="41" t="n"/>
      <c r="B2118" s="41" t="n"/>
      <c r="C2118" s="41" t="n"/>
      <c r="D2118" s="41" t="n"/>
      <c r="E2118" s="46" t="n"/>
      <c r="F2118" s="41" t="n"/>
      <c r="G2118" s="41" t="n"/>
      <c r="H2118" s="41" t="n"/>
      <c r="I2118" s="41" t="n"/>
      <c r="J2118" s="47" t="n"/>
      <c r="K2118" s="41" t="n"/>
      <c r="L2118" s="48" t="n"/>
      <c r="M2118" s="45" t="n"/>
      <c r="N2118" s="39">
        <f>IF($B2118="","",IF(SUMPRODUCT((LISTAS!$O$3:$O$42&lt;&gt;"")*ISNUMBER(SEARCH(LISTAS!$O$3:$O$42,$I2118&amp;" "&amp;$K2118)))&gt;0,"CERCANA","NACIONAL"))</f>
        <v/>
      </c>
      <c r="O2118" s="39">
        <f>IF($B2118="","",IF(COUNTIFS(NOVEDADES!$C$4:$C$2003,$B2118)=0,"—","SÍ ("&amp;COUNTIFS(NOVEDADES!$C$4:$C$2003,$B2118)&amp;")"))</f>
        <v/>
      </c>
    </row>
    <row r="2119">
      <c r="A2119" s="41" t="n"/>
      <c r="B2119" s="41" t="n"/>
      <c r="C2119" s="41" t="n"/>
      <c r="D2119" s="41" t="n"/>
      <c r="E2119" s="46" t="n"/>
      <c r="F2119" s="41" t="n"/>
      <c r="G2119" s="41" t="n"/>
      <c r="H2119" s="41" t="n"/>
      <c r="I2119" s="41" t="n"/>
      <c r="J2119" s="47" t="n"/>
      <c r="K2119" s="41" t="n"/>
      <c r="L2119" s="48" t="n"/>
      <c r="M2119" s="45" t="n"/>
      <c r="N2119" s="39">
        <f>IF($B2119="","",IF(SUMPRODUCT((LISTAS!$O$3:$O$42&lt;&gt;"")*ISNUMBER(SEARCH(LISTAS!$O$3:$O$42,$I2119&amp;" "&amp;$K2119)))&gt;0,"CERCANA","NACIONAL"))</f>
        <v/>
      </c>
      <c r="O2119" s="39">
        <f>IF($B2119="","",IF(COUNTIFS(NOVEDADES!$C$4:$C$2003,$B2119)=0,"—","SÍ ("&amp;COUNTIFS(NOVEDADES!$C$4:$C$2003,$B2119)&amp;")"))</f>
        <v/>
      </c>
    </row>
    <row r="2120">
      <c r="A2120" s="41" t="n"/>
      <c r="B2120" s="41" t="n"/>
      <c r="C2120" s="41" t="n"/>
      <c r="D2120" s="41" t="n"/>
      <c r="E2120" s="46" t="n"/>
      <c r="F2120" s="41" t="n"/>
      <c r="G2120" s="41" t="n"/>
      <c r="H2120" s="41" t="n"/>
      <c r="I2120" s="41" t="n"/>
      <c r="J2120" s="47" t="n"/>
      <c r="K2120" s="41" t="n"/>
      <c r="L2120" s="48" t="n"/>
      <c r="M2120" s="45" t="n"/>
      <c r="N2120" s="39">
        <f>IF($B2120="","",IF(SUMPRODUCT((LISTAS!$O$3:$O$42&lt;&gt;"")*ISNUMBER(SEARCH(LISTAS!$O$3:$O$42,$I2120&amp;" "&amp;$K2120)))&gt;0,"CERCANA","NACIONAL"))</f>
        <v/>
      </c>
      <c r="O2120" s="39">
        <f>IF($B2120="","",IF(COUNTIFS(NOVEDADES!$C$4:$C$2003,$B2120)=0,"—","SÍ ("&amp;COUNTIFS(NOVEDADES!$C$4:$C$2003,$B2120)&amp;")"))</f>
        <v/>
      </c>
    </row>
    <row r="2121">
      <c r="A2121" s="41" t="n"/>
      <c r="B2121" s="41" t="n"/>
      <c r="C2121" s="41" t="n"/>
      <c r="D2121" s="41" t="n"/>
      <c r="E2121" s="46" t="n"/>
      <c r="F2121" s="41" t="n"/>
      <c r="G2121" s="41" t="n"/>
      <c r="H2121" s="41" t="n"/>
      <c r="I2121" s="41" t="n"/>
      <c r="J2121" s="47" t="n"/>
      <c r="K2121" s="41" t="n"/>
      <c r="L2121" s="48" t="n"/>
      <c r="M2121" s="45" t="n"/>
      <c r="N2121" s="39">
        <f>IF($B2121="","",IF(SUMPRODUCT((LISTAS!$O$3:$O$42&lt;&gt;"")*ISNUMBER(SEARCH(LISTAS!$O$3:$O$42,$I2121&amp;" "&amp;$K2121)))&gt;0,"CERCANA","NACIONAL"))</f>
        <v/>
      </c>
      <c r="O2121" s="39">
        <f>IF($B2121="","",IF(COUNTIFS(NOVEDADES!$C$4:$C$2003,$B2121)=0,"—","SÍ ("&amp;COUNTIFS(NOVEDADES!$C$4:$C$2003,$B2121)&amp;")"))</f>
        <v/>
      </c>
    </row>
    <row r="2122">
      <c r="A2122" s="41" t="n"/>
      <c r="B2122" s="41" t="n"/>
      <c r="C2122" s="41" t="n"/>
      <c r="D2122" s="41" t="n"/>
      <c r="E2122" s="46" t="n"/>
      <c r="F2122" s="41" t="n"/>
      <c r="G2122" s="41" t="n"/>
      <c r="H2122" s="41" t="n"/>
      <c r="I2122" s="41" t="n"/>
      <c r="J2122" s="47" t="n"/>
      <c r="K2122" s="41" t="n"/>
      <c r="L2122" s="48" t="n"/>
      <c r="M2122" s="45" t="n"/>
      <c r="N2122" s="39">
        <f>IF($B2122="","",IF(SUMPRODUCT((LISTAS!$O$3:$O$42&lt;&gt;"")*ISNUMBER(SEARCH(LISTAS!$O$3:$O$42,$I2122&amp;" "&amp;$K2122)))&gt;0,"CERCANA","NACIONAL"))</f>
        <v/>
      </c>
      <c r="O2122" s="39">
        <f>IF($B2122="","",IF(COUNTIFS(NOVEDADES!$C$4:$C$2003,$B2122)=0,"—","SÍ ("&amp;COUNTIFS(NOVEDADES!$C$4:$C$2003,$B2122)&amp;")"))</f>
        <v/>
      </c>
    </row>
    <row r="2123">
      <c r="A2123" s="41" t="n"/>
      <c r="B2123" s="41" t="n"/>
      <c r="C2123" s="41" t="n"/>
      <c r="D2123" s="41" t="n"/>
      <c r="E2123" s="46" t="n"/>
      <c r="F2123" s="41" t="n"/>
      <c r="G2123" s="41" t="n"/>
      <c r="H2123" s="41" t="n"/>
      <c r="I2123" s="41" t="n"/>
      <c r="J2123" s="47" t="n"/>
      <c r="K2123" s="41" t="n"/>
      <c r="L2123" s="48" t="n"/>
      <c r="M2123" s="45" t="n"/>
      <c r="N2123" s="39">
        <f>IF($B2123="","",IF(SUMPRODUCT((LISTAS!$O$3:$O$42&lt;&gt;"")*ISNUMBER(SEARCH(LISTAS!$O$3:$O$42,$I2123&amp;" "&amp;$K2123)))&gt;0,"CERCANA","NACIONAL"))</f>
        <v/>
      </c>
      <c r="O2123" s="39">
        <f>IF($B2123="","",IF(COUNTIFS(NOVEDADES!$C$4:$C$2003,$B2123)=0,"—","SÍ ("&amp;COUNTIFS(NOVEDADES!$C$4:$C$2003,$B2123)&amp;")"))</f>
        <v/>
      </c>
    </row>
    <row r="2124">
      <c r="A2124" s="41" t="n"/>
      <c r="B2124" s="41" t="n"/>
      <c r="C2124" s="41" t="n"/>
      <c r="D2124" s="41" t="n"/>
      <c r="E2124" s="46" t="n"/>
      <c r="F2124" s="41" t="n"/>
      <c r="G2124" s="41" t="n"/>
      <c r="H2124" s="41" t="n"/>
      <c r="I2124" s="41" t="n"/>
      <c r="J2124" s="47" t="n"/>
      <c r="K2124" s="41" t="n"/>
      <c r="L2124" s="48" t="n"/>
      <c r="M2124" s="45" t="n"/>
      <c r="N2124" s="39">
        <f>IF($B2124="","",IF(SUMPRODUCT((LISTAS!$O$3:$O$42&lt;&gt;"")*ISNUMBER(SEARCH(LISTAS!$O$3:$O$42,$I2124&amp;" "&amp;$K2124)))&gt;0,"CERCANA","NACIONAL"))</f>
        <v/>
      </c>
      <c r="O2124" s="39">
        <f>IF($B2124="","",IF(COUNTIFS(NOVEDADES!$C$4:$C$2003,$B2124)=0,"—","SÍ ("&amp;COUNTIFS(NOVEDADES!$C$4:$C$2003,$B2124)&amp;")"))</f>
        <v/>
      </c>
    </row>
    <row r="2125">
      <c r="A2125" s="41" t="n"/>
      <c r="B2125" s="41" t="n"/>
      <c r="C2125" s="41" t="n"/>
      <c r="D2125" s="41" t="n"/>
      <c r="E2125" s="46" t="n"/>
      <c r="F2125" s="41" t="n"/>
      <c r="G2125" s="41" t="n"/>
      <c r="H2125" s="41" t="n"/>
      <c r="I2125" s="41" t="n"/>
      <c r="J2125" s="47" t="n"/>
      <c r="K2125" s="41" t="n"/>
      <c r="L2125" s="48" t="n"/>
      <c r="M2125" s="45" t="n"/>
      <c r="N2125" s="39">
        <f>IF($B2125="","",IF(SUMPRODUCT((LISTAS!$O$3:$O$42&lt;&gt;"")*ISNUMBER(SEARCH(LISTAS!$O$3:$O$42,$I2125&amp;" "&amp;$K2125)))&gt;0,"CERCANA","NACIONAL"))</f>
        <v/>
      </c>
      <c r="O2125" s="39">
        <f>IF($B2125="","",IF(COUNTIFS(NOVEDADES!$C$4:$C$2003,$B2125)=0,"—","SÍ ("&amp;COUNTIFS(NOVEDADES!$C$4:$C$2003,$B2125)&amp;")"))</f>
        <v/>
      </c>
    </row>
    <row r="2126">
      <c r="A2126" s="41" t="n"/>
      <c r="B2126" s="41" t="n"/>
      <c r="C2126" s="41" t="n"/>
      <c r="D2126" s="41" t="n"/>
      <c r="E2126" s="46" t="n"/>
      <c r="F2126" s="41" t="n"/>
      <c r="G2126" s="41" t="n"/>
      <c r="H2126" s="41" t="n"/>
      <c r="I2126" s="41" t="n"/>
      <c r="J2126" s="47" t="n"/>
      <c r="K2126" s="41" t="n"/>
      <c r="L2126" s="48" t="n"/>
      <c r="M2126" s="45" t="n"/>
      <c r="N2126" s="39">
        <f>IF($B2126="","",IF(SUMPRODUCT((LISTAS!$O$3:$O$42&lt;&gt;"")*ISNUMBER(SEARCH(LISTAS!$O$3:$O$42,$I2126&amp;" "&amp;$K2126)))&gt;0,"CERCANA","NACIONAL"))</f>
        <v/>
      </c>
      <c r="O2126" s="39">
        <f>IF($B2126="","",IF(COUNTIFS(NOVEDADES!$C$4:$C$2003,$B2126)=0,"—","SÍ ("&amp;COUNTIFS(NOVEDADES!$C$4:$C$2003,$B2126)&amp;")"))</f>
        <v/>
      </c>
    </row>
    <row r="2127">
      <c r="A2127" s="41" t="n"/>
      <c r="B2127" s="41" t="n"/>
      <c r="C2127" s="41" t="n"/>
      <c r="D2127" s="41" t="n"/>
      <c r="E2127" s="46" t="n"/>
      <c r="F2127" s="41" t="n"/>
      <c r="G2127" s="41" t="n"/>
      <c r="H2127" s="41" t="n"/>
      <c r="I2127" s="41" t="n"/>
      <c r="J2127" s="47" t="n"/>
      <c r="K2127" s="41" t="n"/>
      <c r="L2127" s="48" t="n"/>
      <c r="M2127" s="45" t="n"/>
      <c r="N2127" s="39">
        <f>IF($B2127="","",IF(SUMPRODUCT((LISTAS!$O$3:$O$42&lt;&gt;"")*ISNUMBER(SEARCH(LISTAS!$O$3:$O$42,$I2127&amp;" "&amp;$K2127)))&gt;0,"CERCANA","NACIONAL"))</f>
        <v/>
      </c>
      <c r="O2127" s="39">
        <f>IF($B2127="","",IF(COUNTIFS(NOVEDADES!$C$4:$C$2003,$B2127)=0,"—","SÍ ("&amp;COUNTIFS(NOVEDADES!$C$4:$C$2003,$B2127)&amp;")"))</f>
        <v/>
      </c>
    </row>
    <row r="2128">
      <c r="A2128" s="41" t="n"/>
      <c r="B2128" s="41" t="n"/>
      <c r="C2128" s="41" t="n"/>
      <c r="D2128" s="41" t="n"/>
      <c r="E2128" s="46" t="n"/>
      <c r="F2128" s="41" t="n"/>
      <c r="G2128" s="41" t="n"/>
      <c r="H2128" s="41" t="n"/>
      <c r="I2128" s="41" t="n"/>
      <c r="J2128" s="47" t="n"/>
      <c r="K2128" s="41" t="n"/>
      <c r="L2128" s="48" t="n"/>
      <c r="M2128" s="45" t="n"/>
      <c r="N2128" s="39">
        <f>IF($B2128="","",IF(SUMPRODUCT((LISTAS!$O$3:$O$42&lt;&gt;"")*ISNUMBER(SEARCH(LISTAS!$O$3:$O$42,$I2128&amp;" "&amp;$K2128)))&gt;0,"CERCANA","NACIONAL"))</f>
        <v/>
      </c>
      <c r="O2128" s="39">
        <f>IF($B2128="","",IF(COUNTIFS(NOVEDADES!$C$4:$C$2003,$B2128)=0,"—","SÍ ("&amp;COUNTIFS(NOVEDADES!$C$4:$C$2003,$B2128)&amp;")"))</f>
        <v/>
      </c>
    </row>
    <row r="2129">
      <c r="A2129" s="41" t="n"/>
      <c r="B2129" s="41" t="n"/>
      <c r="C2129" s="41" t="n"/>
      <c r="D2129" s="41" t="n"/>
      <c r="E2129" s="46" t="n"/>
      <c r="F2129" s="41" t="n"/>
      <c r="G2129" s="41" t="n"/>
      <c r="H2129" s="41" t="n"/>
      <c r="I2129" s="41" t="n"/>
      <c r="J2129" s="47" t="n"/>
      <c r="K2129" s="41" t="n"/>
      <c r="L2129" s="48" t="n"/>
      <c r="M2129" s="45" t="n"/>
      <c r="N2129" s="39">
        <f>IF($B2129="","",IF(SUMPRODUCT((LISTAS!$O$3:$O$42&lt;&gt;"")*ISNUMBER(SEARCH(LISTAS!$O$3:$O$42,$I2129&amp;" "&amp;$K2129)))&gt;0,"CERCANA","NACIONAL"))</f>
        <v/>
      </c>
      <c r="O2129" s="39">
        <f>IF($B2129="","",IF(COUNTIFS(NOVEDADES!$C$4:$C$2003,$B2129)=0,"—","SÍ ("&amp;COUNTIFS(NOVEDADES!$C$4:$C$2003,$B2129)&amp;")"))</f>
        <v/>
      </c>
    </row>
    <row r="2130">
      <c r="A2130" s="41" t="n"/>
      <c r="B2130" s="41" t="n"/>
      <c r="C2130" s="41" t="n"/>
      <c r="D2130" s="41" t="n"/>
      <c r="E2130" s="46" t="n"/>
      <c r="F2130" s="41" t="n"/>
      <c r="G2130" s="41" t="n"/>
      <c r="H2130" s="41" t="n"/>
      <c r="I2130" s="41" t="n"/>
      <c r="J2130" s="47" t="n"/>
      <c r="K2130" s="41" t="n"/>
      <c r="L2130" s="48" t="n"/>
      <c r="M2130" s="45" t="n"/>
      <c r="N2130" s="39">
        <f>IF($B2130="","",IF(SUMPRODUCT((LISTAS!$O$3:$O$42&lt;&gt;"")*ISNUMBER(SEARCH(LISTAS!$O$3:$O$42,$I2130&amp;" "&amp;$K2130)))&gt;0,"CERCANA","NACIONAL"))</f>
        <v/>
      </c>
      <c r="O2130" s="39">
        <f>IF($B2130="","",IF(COUNTIFS(NOVEDADES!$C$4:$C$2003,$B2130)=0,"—","SÍ ("&amp;COUNTIFS(NOVEDADES!$C$4:$C$2003,$B2130)&amp;")"))</f>
        <v/>
      </c>
    </row>
    <row r="2131">
      <c r="A2131" s="41" t="n"/>
      <c r="B2131" s="41" t="n"/>
      <c r="C2131" s="41" t="n"/>
      <c r="D2131" s="41" t="n"/>
      <c r="E2131" s="46" t="n"/>
      <c r="F2131" s="41" t="n"/>
      <c r="G2131" s="41" t="n"/>
      <c r="H2131" s="41" t="n"/>
      <c r="I2131" s="41" t="n"/>
      <c r="J2131" s="47" t="n"/>
      <c r="K2131" s="41" t="n"/>
      <c r="L2131" s="48" t="n"/>
      <c r="M2131" s="45" t="n"/>
      <c r="N2131" s="39">
        <f>IF($B2131="","",IF(SUMPRODUCT((LISTAS!$O$3:$O$42&lt;&gt;"")*ISNUMBER(SEARCH(LISTAS!$O$3:$O$42,$I2131&amp;" "&amp;$K2131)))&gt;0,"CERCANA","NACIONAL"))</f>
        <v/>
      </c>
      <c r="O2131" s="39">
        <f>IF($B2131="","",IF(COUNTIFS(NOVEDADES!$C$4:$C$2003,$B2131)=0,"—","SÍ ("&amp;COUNTIFS(NOVEDADES!$C$4:$C$2003,$B2131)&amp;")"))</f>
        <v/>
      </c>
    </row>
    <row r="2132">
      <c r="A2132" s="41" t="n"/>
      <c r="B2132" s="41" t="n"/>
      <c r="C2132" s="41" t="n"/>
      <c r="D2132" s="41" t="n"/>
      <c r="E2132" s="46" t="n"/>
      <c r="F2132" s="41" t="n"/>
      <c r="G2132" s="41" t="n"/>
      <c r="H2132" s="41" t="n"/>
      <c r="I2132" s="41" t="n"/>
      <c r="J2132" s="47" t="n"/>
      <c r="K2132" s="41" t="n"/>
      <c r="L2132" s="48" t="n"/>
      <c r="M2132" s="45" t="n"/>
      <c r="N2132" s="39">
        <f>IF($B2132="","",IF(SUMPRODUCT((LISTAS!$O$3:$O$42&lt;&gt;"")*ISNUMBER(SEARCH(LISTAS!$O$3:$O$42,$I2132&amp;" "&amp;$K2132)))&gt;0,"CERCANA","NACIONAL"))</f>
        <v/>
      </c>
      <c r="O2132" s="39">
        <f>IF($B2132="","",IF(COUNTIFS(NOVEDADES!$C$4:$C$2003,$B2132)=0,"—","SÍ ("&amp;COUNTIFS(NOVEDADES!$C$4:$C$2003,$B2132)&amp;")"))</f>
        <v/>
      </c>
    </row>
    <row r="2133">
      <c r="A2133" s="41" t="n"/>
      <c r="B2133" s="41" t="n"/>
      <c r="C2133" s="41" t="n"/>
      <c r="D2133" s="41" t="n"/>
      <c r="E2133" s="46" t="n"/>
      <c r="F2133" s="41" t="n"/>
      <c r="G2133" s="41" t="n"/>
      <c r="H2133" s="41" t="n"/>
      <c r="I2133" s="41" t="n"/>
      <c r="J2133" s="47" t="n"/>
      <c r="K2133" s="41" t="n"/>
      <c r="L2133" s="48" t="n"/>
      <c r="M2133" s="45" t="n"/>
      <c r="N2133" s="39">
        <f>IF($B2133="","",IF(SUMPRODUCT((LISTAS!$O$3:$O$42&lt;&gt;"")*ISNUMBER(SEARCH(LISTAS!$O$3:$O$42,$I2133&amp;" "&amp;$K2133)))&gt;0,"CERCANA","NACIONAL"))</f>
        <v/>
      </c>
      <c r="O2133" s="39">
        <f>IF($B2133="","",IF(COUNTIFS(NOVEDADES!$C$4:$C$2003,$B2133)=0,"—","SÍ ("&amp;COUNTIFS(NOVEDADES!$C$4:$C$2003,$B2133)&amp;")"))</f>
        <v/>
      </c>
    </row>
    <row r="2134">
      <c r="A2134" s="41" t="n"/>
      <c r="B2134" s="41" t="n"/>
      <c r="C2134" s="41" t="n"/>
      <c r="D2134" s="41" t="n"/>
      <c r="E2134" s="46" t="n"/>
      <c r="F2134" s="41" t="n"/>
      <c r="G2134" s="41" t="n"/>
      <c r="H2134" s="41" t="n"/>
      <c r="I2134" s="41" t="n"/>
      <c r="J2134" s="47" t="n"/>
      <c r="K2134" s="41" t="n"/>
      <c r="L2134" s="48" t="n"/>
      <c r="M2134" s="45" t="n"/>
      <c r="N2134" s="39">
        <f>IF($B2134="","",IF(SUMPRODUCT((LISTAS!$O$3:$O$42&lt;&gt;"")*ISNUMBER(SEARCH(LISTAS!$O$3:$O$42,$I2134&amp;" "&amp;$K2134)))&gt;0,"CERCANA","NACIONAL"))</f>
        <v/>
      </c>
      <c r="O2134" s="39">
        <f>IF($B2134="","",IF(COUNTIFS(NOVEDADES!$C$4:$C$2003,$B2134)=0,"—","SÍ ("&amp;COUNTIFS(NOVEDADES!$C$4:$C$2003,$B2134)&amp;")"))</f>
        <v/>
      </c>
    </row>
    <row r="2135">
      <c r="A2135" s="41" t="n"/>
      <c r="B2135" s="41" t="n"/>
      <c r="C2135" s="41" t="n"/>
      <c r="D2135" s="41" t="n"/>
      <c r="E2135" s="46" t="n"/>
      <c r="F2135" s="41" t="n"/>
      <c r="G2135" s="41" t="n"/>
      <c r="H2135" s="41" t="n"/>
      <c r="I2135" s="41" t="n"/>
      <c r="J2135" s="47" t="n"/>
      <c r="K2135" s="41" t="n"/>
      <c r="L2135" s="48" t="n"/>
      <c r="M2135" s="45" t="n"/>
      <c r="N2135" s="39">
        <f>IF($B2135="","",IF(SUMPRODUCT((LISTAS!$O$3:$O$42&lt;&gt;"")*ISNUMBER(SEARCH(LISTAS!$O$3:$O$42,$I2135&amp;" "&amp;$K2135)))&gt;0,"CERCANA","NACIONAL"))</f>
        <v/>
      </c>
      <c r="O2135" s="39">
        <f>IF($B2135="","",IF(COUNTIFS(NOVEDADES!$C$4:$C$2003,$B2135)=0,"—","SÍ ("&amp;COUNTIFS(NOVEDADES!$C$4:$C$2003,$B2135)&amp;")"))</f>
        <v/>
      </c>
    </row>
    <row r="2136">
      <c r="A2136" s="41" t="n"/>
      <c r="B2136" s="41" t="n"/>
      <c r="C2136" s="41" t="n"/>
      <c r="D2136" s="41" t="n"/>
      <c r="E2136" s="46" t="n"/>
      <c r="F2136" s="41" t="n"/>
      <c r="G2136" s="41" t="n"/>
      <c r="H2136" s="41" t="n"/>
      <c r="I2136" s="41" t="n"/>
      <c r="J2136" s="47" t="n"/>
      <c r="K2136" s="41" t="n"/>
      <c r="L2136" s="48" t="n"/>
      <c r="M2136" s="45" t="n"/>
      <c r="N2136" s="39">
        <f>IF($B2136="","",IF(SUMPRODUCT((LISTAS!$O$3:$O$42&lt;&gt;"")*ISNUMBER(SEARCH(LISTAS!$O$3:$O$42,$I2136&amp;" "&amp;$K2136)))&gt;0,"CERCANA","NACIONAL"))</f>
        <v/>
      </c>
      <c r="O2136" s="39">
        <f>IF($B2136="","",IF(COUNTIFS(NOVEDADES!$C$4:$C$2003,$B2136)=0,"—","SÍ ("&amp;COUNTIFS(NOVEDADES!$C$4:$C$2003,$B2136)&amp;")"))</f>
        <v/>
      </c>
    </row>
    <row r="2137">
      <c r="A2137" s="41" t="n"/>
      <c r="B2137" s="41" t="n"/>
      <c r="C2137" s="41" t="n"/>
      <c r="D2137" s="41" t="n"/>
      <c r="E2137" s="46" t="n"/>
      <c r="F2137" s="41" t="n"/>
      <c r="G2137" s="41" t="n"/>
      <c r="H2137" s="41" t="n"/>
      <c r="I2137" s="41" t="n"/>
      <c r="J2137" s="47" t="n"/>
      <c r="K2137" s="41" t="n"/>
      <c r="L2137" s="48" t="n"/>
      <c r="M2137" s="45" t="n"/>
      <c r="N2137" s="39">
        <f>IF($B2137="","",IF(SUMPRODUCT((LISTAS!$O$3:$O$42&lt;&gt;"")*ISNUMBER(SEARCH(LISTAS!$O$3:$O$42,$I2137&amp;" "&amp;$K2137)))&gt;0,"CERCANA","NACIONAL"))</f>
        <v/>
      </c>
      <c r="O2137" s="39">
        <f>IF($B2137="","",IF(COUNTIFS(NOVEDADES!$C$4:$C$2003,$B2137)=0,"—","SÍ ("&amp;COUNTIFS(NOVEDADES!$C$4:$C$2003,$B2137)&amp;")"))</f>
        <v/>
      </c>
    </row>
    <row r="2138">
      <c r="A2138" s="41" t="n"/>
      <c r="B2138" s="41" t="n"/>
      <c r="C2138" s="41" t="n"/>
      <c r="D2138" s="41" t="n"/>
      <c r="E2138" s="46" t="n"/>
      <c r="F2138" s="41" t="n"/>
      <c r="G2138" s="41" t="n"/>
      <c r="H2138" s="41" t="n"/>
      <c r="I2138" s="41" t="n"/>
      <c r="J2138" s="47" t="n"/>
      <c r="K2138" s="41" t="n"/>
      <c r="L2138" s="48" t="n"/>
      <c r="M2138" s="45" t="n"/>
      <c r="N2138" s="39">
        <f>IF($B2138="","",IF(SUMPRODUCT((LISTAS!$O$3:$O$42&lt;&gt;"")*ISNUMBER(SEARCH(LISTAS!$O$3:$O$42,$I2138&amp;" "&amp;$K2138)))&gt;0,"CERCANA","NACIONAL"))</f>
        <v/>
      </c>
      <c r="O2138" s="39">
        <f>IF($B2138="","",IF(COUNTIFS(NOVEDADES!$C$4:$C$2003,$B2138)=0,"—","SÍ ("&amp;COUNTIFS(NOVEDADES!$C$4:$C$2003,$B2138)&amp;")"))</f>
        <v/>
      </c>
    </row>
    <row r="2139">
      <c r="A2139" s="41" t="n"/>
      <c r="B2139" s="41" t="n"/>
      <c r="C2139" s="41" t="n"/>
      <c r="D2139" s="41" t="n"/>
      <c r="E2139" s="46" t="n"/>
      <c r="F2139" s="41" t="n"/>
      <c r="G2139" s="41" t="n"/>
      <c r="H2139" s="41" t="n"/>
      <c r="I2139" s="41" t="n"/>
      <c r="J2139" s="47" t="n"/>
      <c r="K2139" s="41" t="n"/>
      <c r="L2139" s="48" t="n"/>
      <c r="M2139" s="45" t="n"/>
      <c r="N2139" s="39">
        <f>IF($B2139="","",IF(SUMPRODUCT((LISTAS!$O$3:$O$42&lt;&gt;"")*ISNUMBER(SEARCH(LISTAS!$O$3:$O$42,$I2139&amp;" "&amp;$K2139)))&gt;0,"CERCANA","NACIONAL"))</f>
        <v/>
      </c>
      <c r="O2139" s="39">
        <f>IF($B2139="","",IF(COUNTIFS(NOVEDADES!$C$4:$C$2003,$B2139)=0,"—","SÍ ("&amp;COUNTIFS(NOVEDADES!$C$4:$C$2003,$B2139)&amp;")"))</f>
        <v/>
      </c>
    </row>
    <row r="2140">
      <c r="A2140" s="41" t="n"/>
      <c r="B2140" s="41" t="n"/>
      <c r="C2140" s="41" t="n"/>
      <c r="D2140" s="41" t="n"/>
      <c r="E2140" s="46" t="n"/>
      <c r="F2140" s="41" t="n"/>
      <c r="G2140" s="41" t="n"/>
      <c r="H2140" s="41" t="n"/>
      <c r="I2140" s="41" t="n"/>
      <c r="J2140" s="47" t="n"/>
      <c r="K2140" s="41" t="n"/>
      <c r="L2140" s="48" t="n"/>
      <c r="M2140" s="45" t="n"/>
      <c r="N2140" s="39">
        <f>IF($B2140="","",IF(SUMPRODUCT((LISTAS!$O$3:$O$42&lt;&gt;"")*ISNUMBER(SEARCH(LISTAS!$O$3:$O$42,$I2140&amp;" "&amp;$K2140)))&gt;0,"CERCANA","NACIONAL"))</f>
        <v/>
      </c>
      <c r="O2140" s="39">
        <f>IF($B2140="","",IF(COUNTIFS(NOVEDADES!$C$4:$C$2003,$B2140)=0,"—","SÍ ("&amp;COUNTIFS(NOVEDADES!$C$4:$C$2003,$B2140)&amp;")"))</f>
        <v/>
      </c>
    </row>
    <row r="2141">
      <c r="A2141" s="41" t="n"/>
      <c r="B2141" s="41" t="n"/>
      <c r="C2141" s="41" t="n"/>
      <c r="D2141" s="41" t="n"/>
      <c r="E2141" s="46" t="n"/>
      <c r="F2141" s="41" t="n"/>
      <c r="G2141" s="41" t="n"/>
      <c r="H2141" s="41" t="n"/>
      <c r="I2141" s="41" t="n"/>
      <c r="J2141" s="47" t="n"/>
      <c r="K2141" s="41" t="n"/>
      <c r="L2141" s="48" t="n"/>
      <c r="M2141" s="45" t="n"/>
      <c r="N2141" s="39">
        <f>IF($B2141="","",IF(SUMPRODUCT((LISTAS!$O$3:$O$42&lt;&gt;"")*ISNUMBER(SEARCH(LISTAS!$O$3:$O$42,$I2141&amp;" "&amp;$K2141)))&gt;0,"CERCANA","NACIONAL"))</f>
        <v/>
      </c>
      <c r="O2141" s="39">
        <f>IF($B2141="","",IF(COUNTIFS(NOVEDADES!$C$4:$C$2003,$B2141)=0,"—","SÍ ("&amp;COUNTIFS(NOVEDADES!$C$4:$C$2003,$B2141)&amp;")"))</f>
        <v/>
      </c>
    </row>
    <row r="2142">
      <c r="A2142" s="41" t="n"/>
      <c r="B2142" s="41" t="n"/>
      <c r="C2142" s="41" t="n"/>
      <c r="D2142" s="41" t="n"/>
      <c r="E2142" s="46" t="n"/>
      <c r="F2142" s="41" t="n"/>
      <c r="G2142" s="41" t="n"/>
      <c r="H2142" s="41" t="n"/>
      <c r="I2142" s="41" t="n"/>
      <c r="J2142" s="47" t="n"/>
      <c r="K2142" s="41" t="n"/>
      <c r="L2142" s="48" t="n"/>
      <c r="M2142" s="45" t="n"/>
      <c r="N2142" s="39">
        <f>IF($B2142="","",IF(SUMPRODUCT((LISTAS!$O$3:$O$42&lt;&gt;"")*ISNUMBER(SEARCH(LISTAS!$O$3:$O$42,$I2142&amp;" "&amp;$K2142)))&gt;0,"CERCANA","NACIONAL"))</f>
        <v/>
      </c>
      <c r="O2142" s="39">
        <f>IF($B2142="","",IF(COUNTIFS(NOVEDADES!$C$4:$C$2003,$B2142)=0,"—","SÍ ("&amp;COUNTIFS(NOVEDADES!$C$4:$C$2003,$B2142)&amp;")"))</f>
        <v/>
      </c>
    </row>
    <row r="2143">
      <c r="A2143" s="41" t="n"/>
      <c r="B2143" s="41" t="n"/>
      <c r="C2143" s="41" t="n"/>
      <c r="D2143" s="41" t="n"/>
      <c r="E2143" s="46" t="n"/>
      <c r="F2143" s="41" t="n"/>
      <c r="G2143" s="41" t="n"/>
      <c r="H2143" s="41" t="n"/>
      <c r="I2143" s="41" t="n"/>
      <c r="J2143" s="47" t="n"/>
      <c r="K2143" s="41" t="n"/>
      <c r="L2143" s="48" t="n"/>
      <c r="M2143" s="45" t="n"/>
      <c r="N2143" s="39">
        <f>IF($B2143="","",IF(SUMPRODUCT((LISTAS!$O$3:$O$42&lt;&gt;"")*ISNUMBER(SEARCH(LISTAS!$O$3:$O$42,$I2143&amp;" "&amp;$K2143)))&gt;0,"CERCANA","NACIONAL"))</f>
        <v/>
      </c>
      <c r="O2143" s="39">
        <f>IF($B2143="","",IF(COUNTIFS(NOVEDADES!$C$4:$C$2003,$B2143)=0,"—","SÍ ("&amp;COUNTIFS(NOVEDADES!$C$4:$C$2003,$B2143)&amp;")"))</f>
        <v/>
      </c>
    </row>
    <row r="2144">
      <c r="A2144" s="41" t="n"/>
      <c r="B2144" s="41" t="n"/>
      <c r="C2144" s="41" t="n"/>
      <c r="D2144" s="41" t="n"/>
      <c r="E2144" s="46" t="n"/>
      <c r="F2144" s="41" t="n"/>
      <c r="G2144" s="41" t="n"/>
      <c r="H2144" s="41" t="n"/>
      <c r="I2144" s="41" t="n"/>
      <c r="J2144" s="47" t="n"/>
      <c r="K2144" s="41" t="n"/>
      <c r="L2144" s="48" t="n"/>
      <c r="M2144" s="45" t="n"/>
      <c r="N2144" s="39">
        <f>IF($B2144="","",IF(SUMPRODUCT((LISTAS!$O$3:$O$42&lt;&gt;"")*ISNUMBER(SEARCH(LISTAS!$O$3:$O$42,$I2144&amp;" "&amp;$K2144)))&gt;0,"CERCANA","NACIONAL"))</f>
        <v/>
      </c>
      <c r="O2144" s="39">
        <f>IF($B2144="","",IF(COUNTIFS(NOVEDADES!$C$4:$C$2003,$B2144)=0,"—","SÍ ("&amp;COUNTIFS(NOVEDADES!$C$4:$C$2003,$B2144)&amp;")"))</f>
        <v/>
      </c>
    </row>
    <row r="2145">
      <c r="A2145" s="41" t="n"/>
      <c r="B2145" s="41" t="n"/>
      <c r="C2145" s="41" t="n"/>
      <c r="D2145" s="41" t="n"/>
      <c r="E2145" s="46" t="n"/>
      <c r="F2145" s="41" t="n"/>
      <c r="G2145" s="41" t="n"/>
      <c r="H2145" s="41" t="n"/>
      <c r="I2145" s="41" t="n"/>
      <c r="J2145" s="47" t="n"/>
      <c r="K2145" s="41" t="n"/>
      <c r="L2145" s="48" t="n"/>
      <c r="M2145" s="45" t="n"/>
      <c r="N2145" s="39">
        <f>IF($B2145="","",IF(SUMPRODUCT((LISTAS!$O$3:$O$42&lt;&gt;"")*ISNUMBER(SEARCH(LISTAS!$O$3:$O$42,$I2145&amp;" "&amp;$K2145)))&gt;0,"CERCANA","NACIONAL"))</f>
        <v/>
      </c>
      <c r="O2145" s="39">
        <f>IF($B2145="","",IF(COUNTIFS(NOVEDADES!$C$4:$C$2003,$B2145)=0,"—","SÍ ("&amp;COUNTIFS(NOVEDADES!$C$4:$C$2003,$B2145)&amp;")"))</f>
        <v/>
      </c>
    </row>
    <row r="2146">
      <c r="A2146" s="41" t="n"/>
      <c r="B2146" s="41" t="n"/>
      <c r="C2146" s="41" t="n"/>
      <c r="D2146" s="41" t="n"/>
      <c r="E2146" s="46" t="n"/>
      <c r="F2146" s="41" t="n"/>
      <c r="G2146" s="41" t="n"/>
      <c r="H2146" s="41" t="n"/>
      <c r="I2146" s="41" t="n"/>
      <c r="J2146" s="47" t="n"/>
      <c r="K2146" s="41" t="n"/>
      <c r="L2146" s="48" t="n"/>
      <c r="M2146" s="45" t="n"/>
      <c r="N2146" s="39">
        <f>IF($B2146="","",IF(SUMPRODUCT((LISTAS!$O$3:$O$42&lt;&gt;"")*ISNUMBER(SEARCH(LISTAS!$O$3:$O$42,$I2146&amp;" "&amp;$K2146)))&gt;0,"CERCANA","NACIONAL"))</f>
        <v/>
      </c>
      <c r="O2146" s="39">
        <f>IF($B2146="","",IF(COUNTIFS(NOVEDADES!$C$4:$C$2003,$B2146)=0,"—","SÍ ("&amp;COUNTIFS(NOVEDADES!$C$4:$C$2003,$B2146)&amp;")"))</f>
        <v/>
      </c>
    </row>
    <row r="2147">
      <c r="A2147" s="41" t="n"/>
      <c r="B2147" s="41" t="n"/>
      <c r="C2147" s="41" t="n"/>
      <c r="D2147" s="41" t="n"/>
      <c r="E2147" s="46" t="n"/>
      <c r="F2147" s="41" t="n"/>
      <c r="G2147" s="41" t="n"/>
      <c r="H2147" s="41" t="n"/>
      <c r="I2147" s="41" t="n"/>
      <c r="J2147" s="47" t="n"/>
      <c r="K2147" s="41" t="n"/>
      <c r="L2147" s="48" t="n"/>
      <c r="M2147" s="45" t="n"/>
      <c r="N2147" s="39">
        <f>IF($B2147="","",IF(SUMPRODUCT((LISTAS!$O$3:$O$42&lt;&gt;"")*ISNUMBER(SEARCH(LISTAS!$O$3:$O$42,$I2147&amp;" "&amp;$K2147)))&gt;0,"CERCANA","NACIONAL"))</f>
        <v/>
      </c>
      <c r="O2147" s="39">
        <f>IF($B2147="","",IF(COUNTIFS(NOVEDADES!$C$4:$C$2003,$B2147)=0,"—","SÍ ("&amp;COUNTIFS(NOVEDADES!$C$4:$C$2003,$B2147)&amp;")"))</f>
        <v/>
      </c>
    </row>
    <row r="2148">
      <c r="A2148" s="41" t="n"/>
      <c r="B2148" s="41" t="n"/>
      <c r="C2148" s="41" t="n"/>
      <c r="D2148" s="41" t="n"/>
      <c r="E2148" s="46" t="n"/>
      <c r="F2148" s="41" t="n"/>
      <c r="G2148" s="41" t="n"/>
      <c r="H2148" s="41" t="n"/>
      <c r="I2148" s="41" t="n"/>
      <c r="J2148" s="47" t="n"/>
      <c r="K2148" s="41" t="n"/>
      <c r="L2148" s="48" t="n"/>
      <c r="M2148" s="45" t="n"/>
      <c r="N2148" s="39">
        <f>IF($B2148="","",IF(SUMPRODUCT((LISTAS!$O$3:$O$42&lt;&gt;"")*ISNUMBER(SEARCH(LISTAS!$O$3:$O$42,$I2148&amp;" "&amp;$K2148)))&gt;0,"CERCANA","NACIONAL"))</f>
        <v/>
      </c>
      <c r="O2148" s="39">
        <f>IF($B2148="","",IF(COUNTIFS(NOVEDADES!$C$4:$C$2003,$B2148)=0,"—","SÍ ("&amp;COUNTIFS(NOVEDADES!$C$4:$C$2003,$B2148)&amp;")"))</f>
        <v/>
      </c>
    </row>
    <row r="2149">
      <c r="A2149" s="41" t="n"/>
      <c r="B2149" s="41" t="n"/>
      <c r="C2149" s="41" t="n"/>
      <c r="D2149" s="41" t="n"/>
      <c r="E2149" s="46" t="n"/>
      <c r="F2149" s="41" t="n"/>
      <c r="G2149" s="41" t="n"/>
      <c r="H2149" s="41" t="n"/>
      <c r="I2149" s="41" t="n"/>
      <c r="J2149" s="47" t="n"/>
      <c r="K2149" s="41" t="n"/>
      <c r="L2149" s="48" t="n"/>
      <c r="M2149" s="45" t="n"/>
      <c r="N2149" s="39">
        <f>IF($B2149="","",IF(SUMPRODUCT((LISTAS!$O$3:$O$42&lt;&gt;"")*ISNUMBER(SEARCH(LISTAS!$O$3:$O$42,$I2149&amp;" "&amp;$K2149)))&gt;0,"CERCANA","NACIONAL"))</f>
        <v/>
      </c>
      <c r="O2149" s="39">
        <f>IF($B2149="","",IF(COUNTIFS(NOVEDADES!$C$4:$C$2003,$B2149)=0,"—","SÍ ("&amp;COUNTIFS(NOVEDADES!$C$4:$C$2003,$B2149)&amp;")"))</f>
        <v/>
      </c>
    </row>
    <row r="2150">
      <c r="A2150" s="41" t="n"/>
      <c r="B2150" s="41" t="n"/>
      <c r="C2150" s="41" t="n"/>
      <c r="D2150" s="41" t="n"/>
      <c r="E2150" s="46" t="n"/>
      <c r="F2150" s="41" t="n"/>
      <c r="G2150" s="41" t="n"/>
      <c r="H2150" s="41" t="n"/>
      <c r="I2150" s="41" t="n"/>
      <c r="J2150" s="47" t="n"/>
      <c r="K2150" s="41" t="n"/>
      <c r="L2150" s="48" t="n"/>
      <c r="M2150" s="45" t="n"/>
      <c r="N2150" s="39">
        <f>IF($B2150="","",IF(SUMPRODUCT((LISTAS!$O$3:$O$42&lt;&gt;"")*ISNUMBER(SEARCH(LISTAS!$O$3:$O$42,$I2150&amp;" "&amp;$K2150)))&gt;0,"CERCANA","NACIONAL"))</f>
        <v/>
      </c>
      <c r="O2150" s="39">
        <f>IF($B2150="","",IF(COUNTIFS(NOVEDADES!$C$4:$C$2003,$B2150)=0,"—","SÍ ("&amp;COUNTIFS(NOVEDADES!$C$4:$C$2003,$B2150)&amp;")"))</f>
        <v/>
      </c>
    </row>
    <row r="2151">
      <c r="A2151" s="41" t="n"/>
      <c r="B2151" s="41" t="n"/>
      <c r="C2151" s="41" t="n"/>
      <c r="D2151" s="41" t="n"/>
      <c r="E2151" s="46" t="n"/>
      <c r="F2151" s="41" t="n"/>
      <c r="G2151" s="41" t="n"/>
      <c r="H2151" s="41" t="n"/>
      <c r="I2151" s="41" t="n"/>
      <c r="J2151" s="47" t="n"/>
      <c r="K2151" s="41" t="n"/>
      <c r="L2151" s="48" t="n"/>
      <c r="M2151" s="45" t="n"/>
      <c r="N2151" s="39">
        <f>IF($B2151="","",IF(SUMPRODUCT((LISTAS!$O$3:$O$42&lt;&gt;"")*ISNUMBER(SEARCH(LISTAS!$O$3:$O$42,$I2151&amp;" "&amp;$K2151)))&gt;0,"CERCANA","NACIONAL"))</f>
        <v/>
      </c>
      <c r="O2151" s="39">
        <f>IF($B2151="","",IF(COUNTIFS(NOVEDADES!$C$4:$C$2003,$B2151)=0,"—","SÍ ("&amp;COUNTIFS(NOVEDADES!$C$4:$C$2003,$B2151)&amp;")"))</f>
        <v/>
      </c>
    </row>
    <row r="2152">
      <c r="A2152" s="41" t="n"/>
      <c r="B2152" s="41" t="n"/>
      <c r="C2152" s="41" t="n"/>
      <c r="D2152" s="41" t="n"/>
      <c r="E2152" s="46" t="n"/>
      <c r="F2152" s="41" t="n"/>
      <c r="G2152" s="41" t="n"/>
      <c r="H2152" s="41" t="n"/>
      <c r="I2152" s="41" t="n"/>
      <c r="J2152" s="47" t="n"/>
      <c r="K2152" s="41" t="n"/>
      <c r="L2152" s="48" t="n"/>
      <c r="M2152" s="45" t="n"/>
      <c r="N2152" s="39">
        <f>IF($B2152="","",IF(SUMPRODUCT((LISTAS!$O$3:$O$42&lt;&gt;"")*ISNUMBER(SEARCH(LISTAS!$O$3:$O$42,$I2152&amp;" "&amp;$K2152)))&gt;0,"CERCANA","NACIONAL"))</f>
        <v/>
      </c>
      <c r="O2152" s="39">
        <f>IF($B2152="","",IF(COUNTIFS(NOVEDADES!$C$4:$C$2003,$B2152)=0,"—","SÍ ("&amp;COUNTIFS(NOVEDADES!$C$4:$C$2003,$B2152)&amp;")"))</f>
        <v/>
      </c>
    </row>
    <row r="2153">
      <c r="A2153" s="41" t="n"/>
      <c r="B2153" s="41" t="n"/>
      <c r="C2153" s="41" t="n"/>
      <c r="D2153" s="41" t="n"/>
      <c r="E2153" s="46" t="n"/>
      <c r="F2153" s="41" t="n"/>
      <c r="G2153" s="41" t="n"/>
      <c r="H2153" s="41" t="n"/>
      <c r="I2153" s="41" t="n"/>
      <c r="J2153" s="47" t="n"/>
      <c r="K2153" s="41" t="n"/>
      <c r="L2153" s="48" t="n"/>
      <c r="M2153" s="45" t="n"/>
      <c r="N2153" s="39">
        <f>IF($B2153="","",IF(SUMPRODUCT((LISTAS!$O$3:$O$42&lt;&gt;"")*ISNUMBER(SEARCH(LISTAS!$O$3:$O$42,$I2153&amp;" "&amp;$K2153)))&gt;0,"CERCANA","NACIONAL"))</f>
        <v/>
      </c>
      <c r="O2153" s="39">
        <f>IF($B2153="","",IF(COUNTIFS(NOVEDADES!$C$4:$C$2003,$B2153)=0,"—","SÍ ("&amp;COUNTIFS(NOVEDADES!$C$4:$C$2003,$B2153)&amp;")"))</f>
        <v/>
      </c>
    </row>
    <row r="2154">
      <c r="A2154" s="41" t="n"/>
      <c r="B2154" s="41" t="n"/>
      <c r="C2154" s="41" t="n"/>
      <c r="D2154" s="41" t="n"/>
      <c r="E2154" s="46" t="n"/>
      <c r="F2154" s="41" t="n"/>
      <c r="G2154" s="41" t="n"/>
      <c r="H2154" s="41" t="n"/>
      <c r="I2154" s="41" t="n"/>
      <c r="J2154" s="47" t="n"/>
      <c r="K2154" s="41" t="n"/>
      <c r="L2154" s="48" t="n"/>
      <c r="M2154" s="45" t="n"/>
      <c r="N2154" s="39">
        <f>IF($B2154="","",IF(SUMPRODUCT((LISTAS!$O$3:$O$42&lt;&gt;"")*ISNUMBER(SEARCH(LISTAS!$O$3:$O$42,$I2154&amp;" "&amp;$K2154)))&gt;0,"CERCANA","NACIONAL"))</f>
        <v/>
      </c>
      <c r="O2154" s="39">
        <f>IF($B2154="","",IF(COUNTIFS(NOVEDADES!$C$4:$C$2003,$B2154)=0,"—","SÍ ("&amp;COUNTIFS(NOVEDADES!$C$4:$C$2003,$B2154)&amp;")"))</f>
        <v/>
      </c>
    </row>
    <row r="2155">
      <c r="A2155" s="41" t="n"/>
      <c r="B2155" s="41" t="n"/>
      <c r="C2155" s="41" t="n"/>
      <c r="D2155" s="41" t="n"/>
      <c r="E2155" s="46" t="n"/>
      <c r="F2155" s="41" t="n"/>
      <c r="G2155" s="41" t="n"/>
      <c r="H2155" s="41" t="n"/>
      <c r="I2155" s="41" t="n"/>
      <c r="J2155" s="47" t="n"/>
      <c r="K2155" s="41" t="n"/>
      <c r="L2155" s="48" t="n"/>
      <c r="M2155" s="45" t="n"/>
      <c r="N2155" s="39">
        <f>IF($B2155="","",IF(SUMPRODUCT((LISTAS!$O$3:$O$42&lt;&gt;"")*ISNUMBER(SEARCH(LISTAS!$O$3:$O$42,$I2155&amp;" "&amp;$K2155)))&gt;0,"CERCANA","NACIONAL"))</f>
        <v/>
      </c>
      <c r="O2155" s="39">
        <f>IF($B2155="","",IF(COUNTIFS(NOVEDADES!$C$4:$C$2003,$B2155)=0,"—","SÍ ("&amp;COUNTIFS(NOVEDADES!$C$4:$C$2003,$B2155)&amp;")"))</f>
        <v/>
      </c>
    </row>
    <row r="2156">
      <c r="A2156" s="41" t="n"/>
      <c r="B2156" s="41" t="n"/>
      <c r="C2156" s="41" t="n"/>
      <c r="D2156" s="41" t="n"/>
      <c r="E2156" s="46" t="n"/>
      <c r="F2156" s="41" t="n"/>
      <c r="G2156" s="41" t="n"/>
      <c r="H2156" s="41" t="n"/>
      <c r="I2156" s="41" t="n"/>
      <c r="J2156" s="47" t="n"/>
      <c r="K2156" s="41" t="n"/>
      <c r="L2156" s="48" t="n"/>
      <c r="M2156" s="45" t="n"/>
      <c r="N2156" s="39">
        <f>IF($B2156="","",IF(SUMPRODUCT((LISTAS!$O$3:$O$42&lt;&gt;"")*ISNUMBER(SEARCH(LISTAS!$O$3:$O$42,$I2156&amp;" "&amp;$K2156)))&gt;0,"CERCANA","NACIONAL"))</f>
        <v/>
      </c>
      <c r="O2156" s="39">
        <f>IF($B2156="","",IF(COUNTIFS(NOVEDADES!$C$4:$C$2003,$B2156)=0,"—","SÍ ("&amp;COUNTIFS(NOVEDADES!$C$4:$C$2003,$B2156)&amp;")"))</f>
        <v/>
      </c>
    </row>
    <row r="2157">
      <c r="A2157" s="41" t="n"/>
      <c r="B2157" s="41" t="n"/>
      <c r="C2157" s="41" t="n"/>
      <c r="D2157" s="41" t="n"/>
      <c r="E2157" s="46" t="n"/>
      <c r="F2157" s="41" t="n"/>
      <c r="G2157" s="41" t="n"/>
      <c r="H2157" s="41" t="n"/>
      <c r="I2157" s="41" t="n"/>
      <c r="J2157" s="47" t="n"/>
      <c r="K2157" s="41" t="n"/>
      <c r="L2157" s="48" t="n"/>
      <c r="M2157" s="45" t="n"/>
      <c r="N2157" s="39">
        <f>IF($B2157="","",IF(SUMPRODUCT((LISTAS!$O$3:$O$42&lt;&gt;"")*ISNUMBER(SEARCH(LISTAS!$O$3:$O$42,$I2157&amp;" "&amp;$K2157)))&gt;0,"CERCANA","NACIONAL"))</f>
        <v/>
      </c>
      <c r="O2157" s="39">
        <f>IF($B2157="","",IF(COUNTIFS(NOVEDADES!$C$4:$C$2003,$B2157)=0,"—","SÍ ("&amp;COUNTIFS(NOVEDADES!$C$4:$C$2003,$B2157)&amp;")"))</f>
        <v/>
      </c>
    </row>
    <row r="2158">
      <c r="A2158" s="41" t="n"/>
      <c r="B2158" s="41" t="n"/>
      <c r="C2158" s="41" t="n"/>
      <c r="D2158" s="41" t="n"/>
      <c r="E2158" s="46" t="n"/>
      <c r="F2158" s="41" t="n"/>
      <c r="G2158" s="41" t="n"/>
      <c r="H2158" s="41" t="n"/>
      <c r="I2158" s="41" t="n"/>
      <c r="J2158" s="47" t="n"/>
      <c r="K2158" s="41" t="n"/>
      <c r="L2158" s="48" t="n"/>
      <c r="M2158" s="45" t="n"/>
      <c r="N2158" s="39">
        <f>IF($B2158="","",IF(SUMPRODUCT((LISTAS!$O$3:$O$42&lt;&gt;"")*ISNUMBER(SEARCH(LISTAS!$O$3:$O$42,$I2158&amp;" "&amp;$K2158)))&gt;0,"CERCANA","NACIONAL"))</f>
        <v/>
      </c>
      <c r="O2158" s="39">
        <f>IF($B2158="","",IF(COUNTIFS(NOVEDADES!$C$4:$C$2003,$B2158)=0,"—","SÍ ("&amp;COUNTIFS(NOVEDADES!$C$4:$C$2003,$B2158)&amp;")"))</f>
        <v/>
      </c>
    </row>
    <row r="2159">
      <c r="A2159" s="41" t="n"/>
      <c r="B2159" s="41" t="n"/>
      <c r="C2159" s="41" t="n"/>
      <c r="D2159" s="41" t="n"/>
      <c r="E2159" s="46" t="n"/>
      <c r="F2159" s="41" t="n"/>
      <c r="G2159" s="41" t="n"/>
      <c r="H2159" s="41" t="n"/>
      <c r="I2159" s="41" t="n"/>
      <c r="J2159" s="47" t="n"/>
      <c r="K2159" s="41" t="n"/>
      <c r="L2159" s="48" t="n"/>
      <c r="M2159" s="45" t="n"/>
      <c r="N2159" s="39">
        <f>IF($B2159="","",IF(SUMPRODUCT((LISTAS!$O$3:$O$42&lt;&gt;"")*ISNUMBER(SEARCH(LISTAS!$O$3:$O$42,$I2159&amp;" "&amp;$K2159)))&gt;0,"CERCANA","NACIONAL"))</f>
        <v/>
      </c>
      <c r="O2159" s="39">
        <f>IF($B2159="","",IF(COUNTIFS(NOVEDADES!$C$4:$C$2003,$B2159)=0,"—","SÍ ("&amp;COUNTIFS(NOVEDADES!$C$4:$C$2003,$B2159)&amp;")"))</f>
        <v/>
      </c>
    </row>
    <row r="2160">
      <c r="A2160" s="41" t="n"/>
      <c r="B2160" s="41" t="n"/>
      <c r="C2160" s="41" t="n"/>
      <c r="D2160" s="41" t="n"/>
      <c r="E2160" s="46" t="n"/>
      <c r="F2160" s="41" t="n"/>
      <c r="G2160" s="41" t="n"/>
      <c r="H2160" s="41" t="n"/>
      <c r="I2160" s="41" t="n"/>
      <c r="J2160" s="47" t="n"/>
      <c r="K2160" s="41" t="n"/>
      <c r="L2160" s="48" t="n"/>
      <c r="M2160" s="45" t="n"/>
      <c r="N2160" s="39">
        <f>IF($B2160="","",IF(SUMPRODUCT((LISTAS!$O$3:$O$42&lt;&gt;"")*ISNUMBER(SEARCH(LISTAS!$O$3:$O$42,$I2160&amp;" "&amp;$K2160)))&gt;0,"CERCANA","NACIONAL"))</f>
        <v/>
      </c>
      <c r="O2160" s="39">
        <f>IF($B2160="","",IF(COUNTIFS(NOVEDADES!$C$4:$C$2003,$B2160)=0,"—","SÍ ("&amp;COUNTIFS(NOVEDADES!$C$4:$C$2003,$B2160)&amp;")"))</f>
        <v/>
      </c>
    </row>
    <row r="2161">
      <c r="A2161" s="41" t="n"/>
      <c r="B2161" s="41" t="n"/>
      <c r="C2161" s="41" t="n"/>
      <c r="D2161" s="41" t="n"/>
      <c r="E2161" s="46" t="n"/>
      <c r="F2161" s="41" t="n"/>
      <c r="G2161" s="41" t="n"/>
      <c r="H2161" s="41" t="n"/>
      <c r="I2161" s="41" t="n"/>
      <c r="J2161" s="47" t="n"/>
      <c r="K2161" s="41" t="n"/>
      <c r="L2161" s="48" t="n"/>
      <c r="M2161" s="45" t="n"/>
      <c r="N2161" s="39">
        <f>IF($B2161="","",IF(SUMPRODUCT((LISTAS!$O$3:$O$42&lt;&gt;"")*ISNUMBER(SEARCH(LISTAS!$O$3:$O$42,$I2161&amp;" "&amp;$K2161)))&gt;0,"CERCANA","NACIONAL"))</f>
        <v/>
      </c>
      <c r="O2161" s="39">
        <f>IF($B2161="","",IF(COUNTIFS(NOVEDADES!$C$4:$C$2003,$B2161)=0,"—","SÍ ("&amp;COUNTIFS(NOVEDADES!$C$4:$C$2003,$B2161)&amp;")"))</f>
        <v/>
      </c>
    </row>
    <row r="2162">
      <c r="A2162" s="41" t="n"/>
      <c r="B2162" s="41" t="n"/>
      <c r="C2162" s="41" t="n"/>
      <c r="D2162" s="41" t="n"/>
      <c r="E2162" s="46" t="n"/>
      <c r="F2162" s="41" t="n"/>
      <c r="G2162" s="41" t="n"/>
      <c r="H2162" s="41" t="n"/>
      <c r="I2162" s="41" t="n"/>
      <c r="J2162" s="47" t="n"/>
      <c r="K2162" s="41" t="n"/>
      <c r="L2162" s="48" t="n"/>
      <c r="M2162" s="45" t="n"/>
      <c r="N2162" s="39">
        <f>IF($B2162="","",IF(SUMPRODUCT((LISTAS!$O$3:$O$42&lt;&gt;"")*ISNUMBER(SEARCH(LISTAS!$O$3:$O$42,$I2162&amp;" "&amp;$K2162)))&gt;0,"CERCANA","NACIONAL"))</f>
        <v/>
      </c>
      <c r="O2162" s="39">
        <f>IF($B2162="","",IF(COUNTIFS(NOVEDADES!$C$4:$C$2003,$B2162)=0,"—","SÍ ("&amp;COUNTIFS(NOVEDADES!$C$4:$C$2003,$B2162)&amp;")"))</f>
        <v/>
      </c>
    </row>
    <row r="2163">
      <c r="A2163" s="41" t="n"/>
      <c r="B2163" s="41" t="n"/>
      <c r="C2163" s="41" t="n"/>
      <c r="D2163" s="41" t="n"/>
      <c r="E2163" s="46" t="n"/>
      <c r="F2163" s="41" t="n"/>
      <c r="G2163" s="41" t="n"/>
      <c r="H2163" s="41" t="n"/>
      <c r="I2163" s="41" t="n"/>
      <c r="J2163" s="47" t="n"/>
      <c r="K2163" s="41" t="n"/>
      <c r="L2163" s="48" t="n"/>
      <c r="M2163" s="45" t="n"/>
      <c r="N2163" s="39">
        <f>IF($B2163="","",IF(SUMPRODUCT((LISTAS!$O$3:$O$42&lt;&gt;"")*ISNUMBER(SEARCH(LISTAS!$O$3:$O$42,$I2163&amp;" "&amp;$K2163)))&gt;0,"CERCANA","NACIONAL"))</f>
        <v/>
      </c>
      <c r="O2163" s="39">
        <f>IF($B2163="","",IF(COUNTIFS(NOVEDADES!$C$4:$C$2003,$B2163)=0,"—","SÍ ("&amp;COUNTIFS(NOVEDADES!$C$4:$C$2003,$B2163)&amp;")"))</f>
        <v/>
      </c>
    </row>
    <row r="2164">
      <c r="A2164" s="41" t="n"/>
      <c r="B2164" s="41" t="n"/>
      <c r="C2164" s="41" t="n"/>
      <c r="D2164" s="41" t="n"/>
      <c r="E2164" s="46" t="n"/>
      <c r="F2164" s="41" t="n"/>
      <c r="G2164" s="41" t="n"/>
      <c r="H2164" s="41" t="n"/>
      <c r="I2164" s="41" t="n"/>
      <c r="J2164" s="47" t="n"/>
      <c r="K2164" s="41" t="n"/>
      <c r="L2164" s="48" t="n"/>
      <c r="M2164" s="45" t="n"/>
      <c r="N2164" s="39">
        <f>IF($B2164="","",IF(SUMPRODUCT((LISTAS!$O$3:$O$42&lt;&gt;"")*ISNUMBER(SEARCH(LISTAS!$O$3:$O$42,$I2164&amp;" "&amp;$K2164)))&gt;0,"CERCANA","NACIONAL"))</f>
        <v/>
      </c>
      <c r="O2164" s="39">
        <f>IF($B2164="","",IF(COUNTIFS(NOVEDADES!$C$4:$C$2003,$B2164)=0,"—","SÍ ("&amp;COUNTIFS(NOVEDADES!$C$4:$C$2003,$B2164)&amp;")"))</f>
        <v/>
      </c>
    </row>
    <row r="2165">
      <c r="A2165" s="41" t="n"/>
      <c r="B2165" s="41" t="n"/>
      <c r="C2165" s="41" t="n"/>
      <c r="D2165" s="41" t="n"/>
      <c r="E2165" s="46" t="n"/>
      <c r="F2165" s="41" t="n"/>
      <c r="G2165" s="41" t="n"/>
      <c r="H2165" s="41" t="n"/>
      <c r="I2165" s="41" t="n"/>
      <c r="J2165" s="47" t="n"/>
      <c r="K2165" s="41" t="n"/>
      <c r="L2165" s="48" t="n"/>
      <c r="M2165" s="45" t="n"/>
      <c r="N2165" s="39">
        <f>IF($B2165="","",IF(SUMPRODUCT((LISTAS!$O$3:$O$42&lt;&gt;"")*ISNUMBER(SEARCH(LISTAS!$O$3:$O$42,$I2165&amp;" "&amp;$K2165)))&gt;0,"CERCANA","NACIONAL"))</f>
        <v/>
      </c>
      <c r="O2165" s="39">
        <f>IF($B2165="","",IF(COUNTIFS(NOVEDADES!$C$4:$C$2003,$B2165)=0,"—","SÍ ("&amp;COUNTIFS(NOVEDADES!$C$4:$C$2003,$B2165)&amp;")"))</f>
        <v/>
      </c>
    </row>
    <row r="2166">
      <c r="A2166" s="41" t="n"/>
      <c r="B2166" s="41" t="n"/>
      <c r="C2166" s="41" t="n"/>
      <c r="D2166" s="41" t="n"/>
      <c r="E2166" s="46" t="n"/>
      <c r="F2166" s="41" t="n"/>
      <c r="G2166" s="41" t="n"/>
      <c r="H2166" s="41" t="n"/>
      <c r="I2166" s="41" t="n"/>
      <c r="J2166" s="47" t="n"/>
      <c r="K2166" s="41" t="n"/>
      <c r="L2166" s="48" t="n"/>
      <c r="M2166" s="45" t="n"/>
      <c r="N2166" s="39">
        <f>IF($B2166="","",IF(SUMPRODUCT((LISTAS!$O$3:$O$42&lt;&gt;"")*ISNUMBER(SEARCH(LISTAS!$O$3:$O$42,$I2166&amp;" "&amp;$K2166)))&gt;0,"CERCANA","NACIONAL"))</f>
        <v/>
      </c>
      <c r="O2166" s="39">
        <f>IF($B2166="","",IF(COUNTIFS(NOVEDADES!$C$4:$C$2003,$B2166)=0,"—","SÍ ("&amp;COUNTIFS(NOVEDADES!$C$4:$C$2003,$B2166)&amp;")"))</f>
        <v/>
      </c>
    </row>
    <row r="2167">
      <c r="A2167" s="41" t="n"/>
      <c r="B2167" s="41" t="n"/>
      <c r="C2167" s="41" t="n"/>
      <c r="D2167" s="41" t="n"/>
      <c r="E2167" s="46" t="n"/>
      <c r="F2167" s="41" t="n"/>
      <c r="G2167" s="41" t="n"/>
      <c r="H2167" s="41" t="n"/>
      <c r="I2167" s="41" t="n"/>
      <c r="J2167" s="47" t="n"/>
      <c r="K2167" s="41" t="n"/>
      <c r="L2167" s="48" t="n"/>
      <c r="M2167" s="45" t="n"/>
      <c r="N2167" s="39">
        <f>IF($B2167="","",IF(SUMPRODUCT((LISTAS!$O$3:$O$42&lt;&gt;"")*ISNUMBER(SEARCH(LISTAS!$O$3:$O$42,$I2167&amp;" "&amp;$K2167)))&gt;0,"CERCANA","NACIONAL"))</f>
        <v/>
      </c>
      <c r="O2167" s="39">
        <f>IF($B2167="","",IF(COUNTIFS(NOVEDADES!$C$4:$C$2003,$B2167)=0,"—","SÍ ("&amp;COUNTIFS(NOVEDADES!$C$4:$C$2003,$B2167)&amp;")"))</f>
        <v/>
      </c>
    </row>
    <row r="2168">
      <c r="A2168" s="41" t="n"/>
      <c r="B2168" s="41" t="n"/>
      <c r="C2168" s="41" t="n"/>
      <c r="D2168" s="41" t="n"/>
      <c r="E2168" s="46" t="n"/>
      <c r="F2168" s="41" t="n"/>
      <c r="G2168" s="41" t="n"/>
      <c r="H2168" s="41" t="n"/>
      <c r="I2168" s="41" t="n"/>
      <c r="J2168" s="47" t="n"/>
      <c r="K2168" s="41" t="n"/>
      <c r="L2168" s="48" t="n"/>
      <c r="M2168" s="45" t="n"/>
      <c r="N2168" s="39">
        <f>IF($B2168="","",IF(SUMPRODUCT((LISTAS!$O$3:$O$42&lt;&gt;"")*ISNUMBER(SEARCH(LISTAS!$O$3:$O$42,$I2168&amp;" "&amp;$K2168)))&gt;0,"CERCANA","NACIONAL"))</f>
        <v/>
      </c>
      <c r="O2168" s="39">
        <f>IF($B2168="","",IF(COUNTIFS(NOVEDADES!$C$4:$C$2003,$B2168)=0,"—","SÍ ("&amp;COUNTIFS(NOVEDADES!$C$4:$C$2003,$B2168)&amp;")"))</f>
        <v/>
      </c>
    </row>
    <row r="2169">
      <c r="A2169" s="41" t="n"/>
      <c r="B2169" s="41" t="n"/>
      <c r="C2169" s="41" t="n"/>
      <c r="D2169" s="41" t="n"/>
      <c r="E2169" s="46" t="n"/>
      <c r="F2169" s="41" t="n"/>
      <c r="G2169" s="41" t="n"/>
      <c r="H2169" s="41" t="n"/>
      <c r="I2169" s="41" t="n"/>
      <c r="J2169" s="47" t="n"/>
      <c r="K2169" s="41" t="n"/>
      <c r="L2169" s="48" t="n"/>
      <c r="M2169" s="45" t="n"/>
      <c r="N2169" s="39">
        <f>IF($B2169="","",IF(SUMPRODUCT((LISTAS!$O$3:$O$42&lt;&gt;"")*ISNUMBER(SEARCH(LISTAS!$O$3:$O$42,$I2169&amp;" "&amp;$K2169)))&gt;0,"CERCANA","NACIONAL"))</f>
        <v/>
      </c>
      <c r="O2169" s="39">
        <f>IF($B2169="","",IF(COUNTIFS(NOVEDADES!$C$4:$C$2003,$B2169)=0,"—","SÍ ("&amp;COUNTIFS(NOVEDADES!$C$4:$C$2003,$B2169)&amp;")"))</f>
        <v/>
      </c>
    </row>
    <row r="2170">
      <c r="A2170" s="41" t="n"/>
      <c r="B2170" s="41" t="n"/>
      <c r="C2170" s="41" t="n"/>
      <c r="D2170" s="41" t="n"/>
      <c r="E2170" s="46" t="n"/>
      <c r="F2170" s="41" t="n"/>
      <c r="G2170" s="41" t="n"/>
      <c r="H2170" s="41" t="n"/>
      <c r="I2170" s="41" t="n"/>
      <c r="J2170" s="47" t="n"/>
      <c r="K2170" s="41" t="n"/>
      <c r="L2170" s="48" t="n"/>
      <c r="M2170" s="45" t="n"/>
      <c r="N2170" s="39">
        <f>IF($B2170="","",IF(SUMPRODUCT((LISTAS!$O$3:$O$42&lt;&gt;"")*ISNUMBER(SEARCH(LISTAS!$O$3:$O$42,$I2170&amp;" "&amp;$K2170)))&gt;0,"CERCANA","NACIONAL"))</f>
        <v/>
      </c>
      <c r="O2170" s="39">
        <f>IF($B2170="","",IF(COUNTIFS(NOVEDADES!$C$4:$C$2003,$B2170)=0,"—","SÍ ("&amp;COUNTIFS(NOVEDADES!$C$4:$C$2003,$B2170)&amp;")"))</f>
        <v/>
      </c>
    </row>
    <row r="2171">
      <c r="A2171" s="41" t="n"/>
      <c r="B2171" s="41" t="n"/>
      <c r="C2171" s="41" t="n"/>
      <c r="D2171" s="41" t="n"/>
      <c r="E2171" s="46" t="n"/>
      <c r="F2171" s="41" t="n"/>
      <c r="G2171" s="41" t="n"/>
      <c r="H2171" s="41" t="n"/>
      <c r="I2171" s="41" t="n"/>
      <c r="J2171" s="47" t="n"/>
      <c r="K2171" s="41" t="n"/>
      <c r="L2171" s="48" t="n"/>
      <c r="M2171" s="45" t="n"/>
      <c r="N2171" s="39">
        <f>IF($B2171="","",IF(SUMPRODUCT((LISTAS!$O$3:$O$42&lt;&gt;"")*ISNUMBER(SEARCH(LISTAS!$O$3:$O$42,$I2171&amp;" "&amp;$K2171)))&gt;0,"CERCANA","NACIONAL"))</f>
        <v/>
      </c>
      <c r="O2171" s="39">
        <f>IF($B2171="","",IF(COUNTIFS(NOVEDADES!$C$4:$C$2003,$B2171)=0,"—","SÍ ("&amp;COUNTIFS(NOVEDADES!$C$4:$C$2003,$B2171)&amp;")"))</f>
        <v/>
      </c>
    </row>
    <row r="2172">
      <c r="A2172" s="41" t="n"/>
      <c r="B2172" s="41" t="n"/>
      <c r="C2172" s="41" t="n"/>
      <c r="D2172" s="41" t="n"/>
      <c r="E2172" s="46" t="n"/>
      <c r="F2172" s="41" t="n"/>
      <c r="G2172" s="41" t="n"/>
      <c r="H2172" s="41" t="n"/>
      <c r="I2172" s="41" t="n"/>
      <c r="J2172" s="47" t="n"/>
      <c r="K2172" s="41" t="n"/>
      <c r="L2172" s="48" t="n"/>
      <c r="M2172" s="45" t="n"/>
      <c r="N2172" s="39">
        <f>IF($B2172="","",IF(SUMPRODUCT((LISTAS!$O$3:$O$42&lt;&gt;"")*ISNUMBER(SEARCH(LISTAS!$O$3:$O$42,$I2172&amp;" "&amp;$K2172)))&gt;0,"CERCANA","NACIONAL"))</f>
        <v/>
      </c>
      <c r="O2172" s="39">
        <f>IF($B2172="","",IF(COUNTIFS(NOVEDADES!$C$4:$C$2003,$B2172)=0,"—","SÍ ("&amp;COUNTIFS(NOVEDADES!$C$4:$C$2003,$B2172)&amp;")"))</f>
        <v/>
      </c>
    </row>
    <row r="2173">
      <c r="A2173" s="41" t="n"/>
      <c r="B2173" s="41" t="n"/>
      <c r="C2173" s="41" t="n"/>
      <c r="D2173" s="41" t="n"/>
      <c r="E2173" s="46" t="n"/>
      <c r="F2173" s="41" t="n"/>
      <c r="G2173" s="41" t="n"/>
      <c r="H2173" s="41" t="n"/>
      <c r="I2173" s="41" t="n"/>
      <c r="J2173" s="47" t="n"/>
      <c r="K2173" s="41" t="n"/>
      <c r="L2173" s="48" t="n"/>
      <c r="M2173" s="45" t="n"/>
      <c r="N2173" s="39">
        <f>IF($B2173="","",IF(SUMPRODUCT((LISTAS!$O$3:$O$42&lt;&gt;"")*ISNUMBER(SEARCH(LISTAS!$O$3:$O$42,$I2173&amp;" "&amp;$K2173)))&gt;0,"CERCANA","NACIONAL"))</f>
        <v/>
      </c>
      <c r="O2173" s="39">
        <f>IF($B2173="","",IF(COUNTIFS(NOVEDADES!$C$4:$C$2003,$B2173)=0,"—","SÍ ("&amp;COUNTIFS(NOVEDADES!$C$4:$C$2003,$B2173)&amp;")"))</f>
        <v/>
      </c>
    </row>
    <row r="2174">
      <c r="A2174" s="41" t="n"/>
      <c r="B2174" s="41" t="n"/>
      <c r="C2174" s="41" t="n"/>
      <c r="D2174" s="41" t="n"/>
      <c r="E2174" s="46" t="n"/>
      <c r="F2174" s="41" t="n"/>
      <c r="G2174" s="41" t="n"/>
      <c r="H2174" s="41" t="n"/>
      <c r="I2174" s="41" t="n"/>
      <c r="J2174" s="47" t="n"/>
      <c r="K2174" s="41" t="n"/>
      <c r="L2174" s="48" t="n"/>
      <c r="M2174" s="45" t="n"/>
      <c r="N2174" s="39">
        <f>IF($B2174="","",IF(SUMPRODUCT((LISTAS!$O$3:$O$42&lt;&gt;"")*ISNUMBER(SEARCH(LISTAS!$O$3:$O$42,$I2174&amp;" "&amp;$K2174)))&gt;0,"CERCANA","NACIONAL"))</f>
        <v/>
      </c>
      <c r="O2174" s="39">
        <f>IF($B2174="","",IF(COUNTIFS(NOVEDADES!$C$4:$C$2003,$B2174)=0,"—","SÍ ("&amp;COUNTIFS(NOVEDADES!$C$4:$C$2003,$B2174)&amp;")"))</f>
        <v/>
      </c>
    </row>
    <row r="2175">
      <c r="A2175" s="41" t="n"/>
      <c r="B2175" s="41" t="n"/>
      <c r="C2175" s="41" t="n"/>
      <c r="D2175" s="41" t="n"/>
      <c r="E2175" s="46" t="n"/>
      <c r="F2175" s="41" t="n"/>
      <c r="G2175" s="41" t="n"/>
      <c r="H2175" s="41" t="n"/>
      <c r="I2175" s="41" t="n"/>
      <c r="J2175" s="47" t="n"/>
      <c r="K2175" s="41" t="n"/>
      <c r="L2175" s="48" t="n"/>
      <c r="M2175" s="45" t="n"/>
      <c r="N2175" s="39">
        <f>IF($B2175="","",IF(SUMPRODUCT((LISTAS!$O$3:$O$42&lt;&gt;"")*ISNUMBER(SEARCH(LISTAS!$O$3:$O$42,$I2175&amp;" "&amp;$K2175)))&gt;0,"CERCANA","NACIONAL"))</f>
        <v/>
      </c>
      <c r="O2175" s="39">
        <f>IF($B2175="","",IF(COUNTIFS(NOVEDADES!$C$4:$C$2003,$B2175)=0,"—","SÍ ("&amp;COUNTIFS(NOVEDADES!$C$4:$C$2003,$B2175)&amp;")"))</f>
        <v/>
      </c>
    </row>
    <row r="2176">
      <c r="A2176" s="41" t="n"/>
      <c r="B2176" s="41" t="n"/>
      <c r="C2176" s="41" t="n"/>
      <c r="D2176" s="41" t="n"/>
      <c r="E2176" s="46" t="n"/>
      <c r="F2176" s="41" t="n"/>
      <c r="G2176" s="41" t="n"/>
      <c r="H2176" s="41" t="n"/>
      <c r="I2176" s="41" t="n"/>
      <c r="J2176" s="47" t="n"/>
      <c r="K2176" s="41" t="n"/>
      <c r="L2176" s="48" t="n"/>
      <c r="M2176" s="45" t="n"/>
      <c r="N2176" s="39">
        <f>IF($B2176="","",IF(SUMPRODUCT((LISTAS!$O$3:$O$42&lt;&gt;"")*ISNUMBER(SEARCH(LISTAS!$O$3:$O$42,$I2176&amp;" "&amp;$K2176)))&gt;0,"CERCANA","NACIONAL"))</f>
        <v/>
      </c>
      <c r="O2176" s="39">
        <f>IF($B2176="","",IF(COUNTIFS(NOVEDADES!$C$4:$C$2003,$B2176)=0,"—","SÍ ("&amp;COUNTIFS(NOVEDADES!$C$4:$C$2003,$B2176)&amp;")"))</f>
        <v/>
      </c>
    </row>
    <row r="2177">
      <c r="A2177" s="41" t="n"/>
      <c r="B2177" s="41" t="n"/>
      <c r="C2177" s="41" t="n"/>
      <c r="D2177" s="41" t="n"/>
      <c r="E2177" s="46" t="n"/>
      <c r="F2177" s="41" t="n"/>
      <c r="G2177" s="41" t="n"/>
      <c r="H2177" s="41" t="n"/>
      <c r="I2177" s="41" t="n"/>
      <c r="J2177" s="47" t="n"/>
      <c r="K2177" s="41" t="n"/>
      <c r="L2177" s="48" t="n"/>
      <c r="M2177" s="45" t="n"/>
      <c r="N2177" s="39">
        <f>IF($B2177="","",IF(SUMPRODUCT((LISTAS!$O$3:$O$42&lt;&gt;"")*ISNUMBER(SEARCH(LISTAS!$O$3:$O$42,$I2177&amp;" "&amp;$K2177)))&gt;0,"CERCANA","NACIONAL"))</f>
        <v/>
      </c>
      <c r="O2177" s="39">
        <f>IF($B2177="","",IF(COUNTIFS(NOVEDADES!$C$4:$C$2003,$B2177)=0,"—","SÍ ("&amp;COUNTIFS(NOVEDADES!$C$4:$C$2003,$B2177)&amp;")"))</f>
        <v/>
      </c>
    </row>
    <row r="2178">
      <c r="A2178" s="41" t="n"/>
      <c r="B2178" s="41" t="n"/>
      <c r="C2178" s="41" t="n"/>
      <c r="D2178" s="41" t="n"/>
      <c r="E2178" s="46" t="n"/>
      <c r="F2178" s="41" t="n"/>
      <c r="G2178" s="41" t="n"/>
      <c r="H2178" s="41" t="n"/>
      <c r="I2178" s="41" t="n"/>
      <c r="J2178" s="47" t="n"/>
      <c r="K2178" s="41" t="n"/>
      <c r="L2178" s="48" t="n"/>
      <c r="M2178" s="45" t="n"/>
      <c r="N2178" s="39">
        <f>IF($B2178="","",IF(SUMPRODUCT((LISTAS!$O$3:$O$42&lt;&gt;"")*ISNUMBER(SEARCH(LISTAS!$O$3:$O$42,$I2178&amp;" "&amp;$K2178)))&gt;0,"CERCANA","NACIONAL"))</f>
        <v/>
      </c>
      <c r="O2178" s="39">
        <f>IF($B2178="","",IF(COUNTIFS(NOVEDADES!$C$4:$C$2003,$B2178)=0,"—","SÍ ("&amp;COUNTIFS(NOVEDADES!$C$4:$C$2003,$B2178)&amp;")"))</f>
        <v/>
      </c>
    </row>
    <row r="2179">
      <c r="A2179" s="41" t="n"/>
      <c r="B2179" s="41" t="n"/>
      <c r="C2179" s="41" t="n"/>
      <c r="D2179" s="41" t="n"/>
      <c r="E2179" s="46" t="n"/>
      <c r="F2179" s="41" t="n"/>
      <c r="G2179" s="41" t="n"/>
      <c r="H2179" s="41" t="n"/>
      <c r="I2179" s="41" t="n"/>
      <c r="J2179" s="47" t="n"/>
      <c r="K2179" s="41" t="n"/>
      <c r="L2179" s="48" t="n"/>
      <c r="M2179" s="45" t="n"/>
      <c r="N2179" s="39">
        <f>IF($B2179="","",IF(SUMPRODUCT((LISTAS!$O$3:$O$42&lt;&gt;"")*ISNUMBER(SEARCH(LISTAS!$O$3:$O$42,$I2179&amp;" "&amp;$K2179)))&gt;0,"CERCANA","NACIONAL"))</f>
        <v/>
      </c>
      <c r="O2179" s="39">
        <f>IF($B2179="","",IF(COUNTIFS(NOVEDADES!$C$4:$C$2003,$B2179)=0,"—","SÍ ("&amp;COUNTIFS(NOVEDADES!$C$4:$C$2003,$B2179)&amp;")"))</f>
        <v/>
      </c>
    </row>
    <row r="2180">
      <c r="A2180" s="41" t="n"/>
      <c r="B2180" s="41" t="n"/>
      <c r="C2180" s="41" t="n"/>
      <c r="D2180" s="41" t="n"/>
      <c r="E2180" s="46" t="n"/>
      <c r="F2180" s="41" t="n"/>
      <c r="G2180" s="41" t="n"/>
      <c r="H2180" s="41" t="n"/>
      <c r="I2180" s="41" t="n"/>
      <c r="J2180" s="47" t="n"/>
      <c r="K2180" s="41" t="n"/>
      <c r="L2180" s="48" t="n"/>
      <c r="M2180" s="45" t="n"/>
      <c r="N2180" s="39">
        <f>IF($B2180="","",IF(SUMPRODUCT((LISTAS!$O$3:$O$42&lt;&gt;"")*ISNUMBER(SEARCH(LISTAS!$O$3:$O$42,$I2180&amp;" "&amp;$K2180)))&gt;0,"CERCANA","NACIONAL"))</f>
        <v/>
      </c>
      <c r="O2180" s="39">
        <f>IF($B2180="","",IF(COUNTIFS(NOVEDADES!$C$4:$C$2003,$B2180)=0,"—","SÍ ("&amp;COUNTIFS(NOVEDADES!$C$4:$C$2003,$B2180)&amp;")"))</f>
        <v/>
      </c>
    </row>
    <row r="2181">
      <c r="A2181" s="41" t="n"/>
      <c r="B2181" s="41" t="n"/>
      <c r="C2181" s="41" t="n"/>
      <c r="D2181" s="41" t="n"/>
      <c r="E2181" s="46" t="n"/>
      <c r="F2181" s="41" t="n"/>
      <c r="G2181" s="41" t="n"/>
      <c r="H2181" s="41" t="n"/>
      <c r="I2181" s="41" t="n"/>
      <c r="J2181" s="47" t="n"/>
      <c r="K2181" s="41" t="n"/>
      <c r="L2181" s="48" t="n"/>
      <c r="M2181" s="45" t="n"/>
      <c r="N2181" s="39">
        <f>IF($B2181="","",IF(SUMPRODUCT((LISTAS!$O$3:$O$42&lt;&gt;"")*ISNUMBER(SEARCH(LISTAS!$O$3:$O$42,$I2181&amp;" "&amp;$K2181)))&gt;0,"CERCANA","NACIONAL"))</f>
        <v/>
      </c>
      <c r="O2181" s="39">
        <f>IF($B2181="","",IF(COUNTIFS(NOVEDADES!$C$4:$C$2003,$B2181)=0,"—","SÍ ("&amp;COUNTIFS(NOVEDADES!$C$4:$C$2003,$B2181)&amp;")"))</f>
        <v/>
      </c>
    </row>
    <row r="2182">
      <c r="A2182" s="41" t="n"/>
      <c r="B2182" s="41" t="n"/>
      <c r="C2182" s="41" t="n"/>
      <c r="D2182" s="41" t="n"/>
      <c r="E2182" s="46" t="n"/>
      <c r="F2182" s="41" t="n"/>
      <c r="G2182" s="41" t="n"/>
      <c r="H2182" s="41" t="n"/>
      <c r="I2182" s="41" t="n"/>
      <c r="J2182" s="47" t="n"/>
      <c r="K2182" s="41" t="n"/>
      <c r="L2182" s="48" t="n"/>
      <c r="M2182" s="45" t="n"/>
      <c r="N2182" s="39">
        <f>IF($B2182="","",IF(SUMPRODUCT((LISTAS!$O$3:$O$42&lt;&gt;"")*ISNUMBER(SEARCH(LISTAS!$O$3:$O$42,$I2182&amp;" "&amp;$K2182)))&gt;0,"CERCANA","NACIONAL"))</f>
        <v/>
      </c>
      <c r="O2182" s="39">
        <f>IF($B2182="","",IF(COUNTIFS(NOVEDADES!$C$4:$C$2003,$B2182)=0,"—","SÍ ("&amp;COUNTIFS(NOVEDADES!$C$4:$C$2003,$B2182)&amp;")"))</f>
        <v/>
      </c>
    </row>
    <row r="2183">
      <c r="A2183" s="41" t="n"/>
      <c r="B2183" s="41" t="n"/>
      <c r="C2183" s="41" t="n"/>
      <c r="D2183" s="41" t="n"/>
      <c r="E2183" s="46" t="n"/>
      <c r="F2183" s="41" t="n"/>
      <c r="G2183" s="41" t="n"/>
      <c r="H2183" s="41" t="n"/>
      <c r="I2183" s="41" t="n"/>
      <c r="J2183" s="47" t="n"/>
      <c r="K2183" s="41" t="n"/>
      <c r="L2183" s="48" t="n"/>
      <c r="M2183" s="45" t="n"/>
      <c r="N2183" s="39">
        <f>IF($B2183="","",IF(SUMPRODUCT((LISTAS!$O$3:$O$42&lt;&gt;"")*ISNUMBER(SEARCH(LISTAS!$O$3:$O$42,$I2183&amp;" "&amp;$K2183)))&gt;0,"CERCANA","NACIONAL"))</f>
        <v/>
      </c>
      <c r="O2183" s="39">
        <f>IF($B2183="","",IF(COUNTIFS(NOVEDADES!$C$4:$C$2003,$B2183)=0,"—","SÍ ("&amp;COUNTIFS(NOVEDADES!$C$4:$C$2003,$B2183)&amp;")"))</f>
        <v/>
      </c>
    </row>
    <row r="2184">
      <c r="A2184" s="41" t="n"/>
      <c r="B2184" s="41" t="n"/>
      <c r="C2184" s="41" t="n"/>
      <c r="D2184" s="41" t="n"/>
      <c r="E2184" s="46" t="n"/>
      <c r="F2184" s="41" t="n"/>
      <c r="G2184" s="41" t="n"/>
      <c r="H2184" s="41" t="n"/>
      <c r="I2184" s="41" t="n"/>
      <c r="J2184" s="47" t="n"/>
      <c r="K2184" s="41" t="n"/>
      <c r="L2184" s="48" t="n"/>
      <c r="M2184" s="45" t="n"/>
      <c r="N2184" s="39">
        <f>IF($B2184="","",IF(SUMPRODUCT((LISTAS!$O$3:$O$42&lt;&gt;"")*ISNUMBER(SEARCH(LISTAS!$O$3:$O$42,$I2184&amp;" "&amp;$K2184)))&gt;0,"CERCANA","NACIONAL"))</f>
        <v/>
      </c>
      <c r="O2184" s="39">
        <f>IF($B2184="","",IF(COUNTIFS(NOVEDADES!$C$4:$C$2003,$B2184)=0,"—","SÍ ("&amp;COUNTIFS(NOVEDADES!$C$4:$C$2003,$B2184)&amp;")"))</f>
        <v/>
      </c>
    </row>
    <row r="2185">
      <c r="A2185" s="41" t="n"/>
      <c r="B2185" s="41" t="n"/>
      <c r="C2185" s="41" t="n"/>
      <c r="D2185" s="41" t="n"/>
      <c r="E2185" s="46" t="n"/>
      <c r="F2185" s="41" t="n"/>
      <c r="G2185" s="41" t="n"/>
      <c r="H2185" s="41" t="n"/>
      <c r="I2185" s="41" t="n"/>
      <c r="J2185" s="47" t="n"/>
      <c r="K2185" s="41" t="n"/>
      <c r="L2185" s="48" t="n"/>
      <c r="M2185" s="45" t="n"/>
      <c r="N2185" s="39">
        <f>IF($B2185="","",IF(SUMPRODUCT((LISTAS!$O$3:$O$42&lt;&gt;"")*ISNUMBER(SEARCH(LISTAS!$O$3:$O$42,$I2185&amp;" "&amp;$K2185)))&gt;0,"CERCANA","NACIONAL"))</f>
        <v/>
      </c>
      <c r="O2185" s="39">
        <f>IF($B2185="","",IF(COUNTIFS(NOVEDADES!$C$4:$C$2003,$B2185)=0,"—","SÍ ("&amp;COUNTIFS(NOVEDADES!$C$4:$C$2003,$B2185)&amp;")"))</f>
        <v/>
      </c>
    </row>
    <row r="2186">
      <c r="A2186" s="41" t="n"/>
      <c r="B2186" s="41" t="n"/>
      <c r="C2186" s="41" t="n"/>
      <c r="D2186" s="41" t="n"/>
      <c r="E2186" s="46" t="n"/>
      <c r="F2186" s="41" t="n"/>
      <c r="G2186" s="41" t="n"/>
      <c r="H2186" s="41" t="n"/>
      <c r="I2186" s="41" t="n"/>
      <c r="J2186" s="47" t="n"/>
      <c r="K2186" s="41" t="n"/>
      <c r="L2186" s="48" t="n"/>
      <c r="M2186" s="45" t="n"/>
      <c r="N2186" s="39">
        <f>IF($B2186="","",IF(SUMPRODUCT((LISTAS!$O$3:$O$42&lt;&gt;"")*ISNUMBER(SEARCH(LISTAS!$O$3:$O$42,$I2186&amp;" "&amp;$K2186)))&gt;0,"CERCANA","NACIONAL"))</f>
        <v/>
      </c>
      <c r="O2186" s="39">
        <f>IF($B2186="","",IF(COUNTIFS(NOVEDADES!$C$4:$C$2003,$B2186)=0,"—","SÍ ("&amp;COUNTIFS(NOVEDADES!$C$4:$C$2003,$B2186)&amp;")"))</f>
        <v/>
      </c>
    </row>
    <row r="2187">
      <c r="A2187" s="41" t="n"/>
      <c r="B2187" s="41" t="n"/>
      <c r="C2187" s="41" t="n"/>
      <c r="D2187" s="41" t="n"/>
      <c r="E2187" s="46" t="n"/>
      <c r="F2187" s="41" t="n"/>
      <c r="G2187" s="41" t="n"/>
      <c r="H2187" s="41" t="n"/>
      <c r="I2187" s="41" t="n"/>
      <c r="J2187" s="47" t="n"/>
      <c r="K2187" s="41" t="n"/>
      <c r="L2187" s="48" t="n"/>
      <c r="M2187" s="45" t="n"/>
      <c r="N2187" s="39">
        <f>IF($B2187="","",IF(SUMPRODUCT((LISTAS!$O$3:$O$42&lt;&gt;"")*ISNUMBER(SEARCH(LISTAS!$O$3:$O$42,$I2187&amp;" "&amp;$K2187)))&gt;0,"CERCANA","NACIONAL"))</f>
        <v/>
      </c>
      <c r="O2187" s="39">
        <f>IF($B2187="","",IF(COUNTIFS(NOVEDADES!$C$4:$C$2003,$B2187)=0,"—","SÍ ("&amp;COUNTIFS(NOVEDADES!$C$4:$C$2003,$B2187)&amp;")"))</f>
        <v/>
      </c>
    </row>
    <row r="2188">
      <c r="A2188" s="41" t="n"/>
      <c r="B2188" s="41" t="n"/>
      <c r="C2188" s="41" t="n"/>
      <c r="D2188" s="41" t="n"/>
      <c r="E2188" s="46" t="n"/>
      <c r="F2188" s="41" t="n"/>
      <c r="G2188" s="41" t="n"/>
      <c r="H2188" s="41" t="n"/>
      <c r="I2188" s="41" t="n"/>
      <c r="J2188" s="47" t="n"/>
      <c r="K2188" s="41" t="n"/>
      <c r="L2188" s="48" t="n"/>
      <c r="M2188" s="45" t="n"/>
      <c r="N2188" s="39">
        <f>IF($B2188="","",IF(SUMPRODUCT((LISTAS!$O$3:$O$42&lt;&gt;"")*ISNUMBER(SEARCH(LISTAS!$O$3:$O$42,$I2188&amp;" "&amp;$K2188)))&gt;0,"CERCANA","NACIONAL"))</f>
        <v/>
      </c>
      <c r="O2188" s="39">
        <f>IF($B2188="","",IF(COUNTIFS(NOVEDADES!$C$4:$C$2003,$B2188)=0,"—","SÍ ("&amp;COUNTIFS(NOVEDADES!$C$4:$C$2003,$B2188)&amp;")"))</f>
        <v/>
      </c>
    </row>
    <row r="2189">
      <c r="A2189" s="41" t="n"/>
      <c r="B2189" s="41" t="n"/>
      <c r="C2189" s="41" t="n"/>
      <c r="D2189" s="41" t="n"/>
      <c r="E2189" s="46" t="n"/>
      <c r="F2189" s="41" t="n"/>
      <c r="G2189" s="41" t="n"/>
      <c r="H2189" s="41" t="n"/>
      <c r="I2189" s="41" t="n"/>
      <c r="J2189" s="47" t="n"/>
      <c r="K2189" s="41" t="n"/>
      <c r="L2189" s="48" t="n"/>
      <c r="M2189" s="45" t="n"/>
      <c r="N2189" s="39">
        <f>IF($B2189="","",IF(SUMPRODUCT((LISTAS!$O$3:$O$42&lt;&gt;"")*ISNUMBER(SEARCH(LISTAS!$O$3:$O$42,$I2189&amp;" "&amp;$K2189)))&gt;0,"CERCANA","NACIONAL"))</f>
        <v/>
      </c>
      <c r="O2189" s="39">
        <f>IF($B2189="","",IF(COUNTIFS(NOVEDADES!$C$4:$C$2003,$B2189)=0,"—","SÍ ("&amp;COUNTIFS(NOVEDADES!$C$4:$C$2003,$B2189)&amp;")"))</f>
        <v/>
      </c>
    </row>
    <row r="2190">
      <c r="A2190" s="41" t="n"/>
      <c r="B2190" s="41" t="n"/>
      <c r="C2190" s="41" t="n"/>
      <c r="D2190" s="41" t="n"/>
      <c r="E2190" s="46" t="n"/>
      <c r="F2190" s="41" t="n"/>
      <c r="G2190" s="41" t="n"/>
      <c r="H2190" s="41" t="n"/>
      <c r="I2190" s="41" t="n"/>
      <c r="J2190" s="47" t="n"/>
      <c r="K2190" s="41" t="n"/>
      <c r="L2190" s="48" t="n"/>
      <c r="M2190" s="45" t="n"/>
      <c r="N2190" s="39">
        <f>IF($B2190="","",IF(SUMPRODUCT((LISTAS!$O$3:$O$42&lt;&gt;"")*ISNUMBER(SEARCH(LISTAS!$O$3:$O$42,$I2190&amp;" "&amp;$K2190)))&gt;0,"CERCANA","NACIONAL"))</f>
        <v/>
      </c>
      <c r="O2190" s="39">
        <f>IF($B2190="","",IF(COUNTIFS(NOVEDADES!$C$4:$C$2003,$B2190)=0,"—","SÍ ("&amp;COUNTIFS(NOVEDADES!$C$4:$C$2003,$B2190)&amp;")"))</f>
        <v/>
      </c>
    </row>
    <row r="2191">
      <c r="A2191" s="41" t="n"/>
      <c r="B2191" s="41" t="n"/>
      <c r="C2191" s="41" t="n"/>
      <c r="D2191" s="41" t="n"/>
      <c r="E2191" s="46" t="n"/>
      <c r="F2191" s="41" t="n"/>
      <c r="G2191" s="41" t="n"/>
      <c r="H2191" s="41" t="n"/>
      <c r="I2191" s="41" t="n"/>
      <c r="J2191" s="47" t="n"/>
      <c r="K2191" s="41" t="n"/>
      <c r="L2191" s="48" t="n"/>
      <c r="M2191" s="45" t="n"/>
      <c r="N2191" s="39">
        <f>IF($B2191="","",IF(SUMPRODUCT((LISTAS!$O$3:$O$42&lt;&gt;"")*ISNUMBER(SEARCH(LISTAS!$O$3:$O$42,$I2191&amp;" "&amp;$K2191)))&gt;0,"CERCANA","NACIONAL"))</f>
        <v/>
      </c>
      <c r="O2191" s="39">
        <f>IF($B2191="","",IF(COUNTIFS(NOVEDADES!$C$4:$C$2003,$B2191)=0,"—","SÍ ("&amp;COUNTIFS(NOVEDADES!$C$4:$C$2003,$B2191)&amp;")"))</f>
        <v/>
      </c>
    </row>
    <row r="2192">
      <c r="A2192" s="41" t="n"/>
      <c r="B2192" s="41" t="n"/>
      <c r="C2192" s="41" t="n"/>
      <c r="D2192" s="41" t="n"/>
      <c r="E2192" s="46" t="n"/>
      <c r="F2192" s="41" t="n"/>
      <c r="G2192" s="41" t="n"/>
      <c r="H2192" s="41" t="n"/>
      <c r="I2192" s="41" t="n"/>
      <c r="J2192" s="47" t="n"/>
      <c r="K2192" s="41" t="n"/>
      <c r="L2192" s="48" t="n"/>
      <c r="M2192" s="45" t="n"/>
      <c r="N2192" s="39">
        <f>IF($B2192="","",IF(SUMPRODUCT((LISTAS!$O$3:$O$42&lt;&gt;"")*ISNUMBER(SEARCH(LISTAS!$O$3:$O$42,$I2192&amp;" "&amp;$K2192)))&gt;0,"CERCANA","NACIONAL"))</f>
        <v/>
      </c>
      <c r="O2192" s="39">
        <f>IF($B2192="","",IF(COUNTIFS(NOVEDADES!$C$4:$C$2003,$B2192)=0,"—","SÍ ("&amp;COUNTIFS(NOVEDADES!$C$4:$C$2003,$B2192)&amp;")"))</f>
        <v/>
      </c>
    </row>
    <row r="2193">
      <c r="A2193" s="41" t="n"/>
      <c r="B2193" s="41" t="n"/>
      <c r="C2193" s="41" t="n"/>
      <c r="D2193" s="41" t="n"/>
      <c r="E2193" s="46" t="n"/>
      <c r="F2193" s="41" t="n"/>
      <c r="G2193" s="41" t="n"/>
      <c r="H2193" s="41" t="n"/>
      <c r="I2193" s="41" t="n"/>
      <c r="J2193" s="47" t="n"/>
      <c r="K2193" s="41" t="n"/>
      <c r="L2193" s="48" t="n"/>
      <c r="M2193" s="45" t="n"/>
      <c r="N2193" s="39">
        <f>IF($B2193="","",IF(SUMPRODUCT((LISTAS!$O$3:$O$42&lt;&gt;"")*ISNUMBER(SEARCH(LISTAS!$O$3:$O$42,$I2193&amp;" "&amp;$K2193)))&gt;0,"CERCANA","NACIONAL"))</f>
        <v/>
      </c>
      <c r="O2193" s="39">
        <f>IF($B2193="","",IF(COUNTIFS(NOVEDADES!$C$4:$C$2003,$B2193)=0,"—","SÍ ("&amp;COUNTIFS(NOVEDADES!$C$4:$C$2003,$B2193)&amp;")"))</f>
        <v/>
      </c>
    </row>
    <row r="2194">
      <c r="A2194" s="41" t="n"/>
      <c r="B2194" s="41" t="n"/>
      <c r="C2194" s="41" t="n"/>
      <c r="D2194" s="41" t="n"/>
      <c r="E2194" s="46" t="n"/>
      <c r="F2194" s="41" t="n"/>
      <c r="G2194" s="41" t="n"/>
      <c r="H2194" s="41" t="n"/>
      <c r="I2194" s="41" t="n"/>
      <c r="J2194" s="47" t="n"/>
      <c r="K2194" s="41" t="n"/>
      <c r="L2194" s="48" t="n"/>
      <c r="M2194" s="45" t="n"/>
      <c r="N2194" s="39">
        <f>IF($B2194="","",IF(SUMPRODUCT((LISTAS!$O$3:$O$42&lt;&gt;"")*ISNUMBER(SEARCH(LISTAS!$O$3:$O$42,$I2194&amp;" "&amp;$K2194)))&gt;0,"CERCANA","NACIONAL"))</f>
        <v/>
      </c>
      <c r="O2194" s="39">
        <f>IF($B2194="","",IF(COUNTIFS(NOVEDADES!$C$4:$C$2003,$B2194)=0,"—","SÍ ("&amp;COUNTIFS(NOVEDADES!$C$4:$C$2003,$B2194)&amp;")"))</f>
        <v/>
      </c>
    </row>
    <row r="2195">
      <c r="A2195" s="41" t="n"/>
      <c r="B2195" s="41" t="n"/>
      <c r="C2195" s="41" t="n"/>
      <c r="D2195" s="41" t="n"/>
      <c r="E2195" s="46" t="n"/>
      <c r="F2195" s="41" t="n"/>
      <c r="G2195" s="41" t="n"/>
      <c r="H2195" s="41" t="n"/>
      <c r="I2195" s="41" t="n"/>
      <c r="J2195" s="47" t="n"/>
      <c r="K2195" s="41" t="n"/>
      <c r="L2195" s="48" t="n"/>
      <c r="M2195" s="45" t="n"/>
      <c r="N2195" s="39">
        <f>IF($B2195="","",IF(SUMPRODUCT((LISTAS!$O$3:$O$42&lt;&gt;"")*ISNUMBER(SEARCH(LISTAS!$O$3:$O$42,$I2195&amp;" "&amp;$K2195)))&gt;0,"CERCANA","NACIONAL"))</f>
        <v/>
      </c>
      <c r="O2195" s="39">
        <f>IF($B2195="","",IF(COUNTIFS(NOVEDADES!$C$4:$C$2003,$B2195)=0,"—","SÍ ("&amp;COUNTIFS(NOVEDADES!$C$4:$C$2003,$B2195)&amp;")"))</f>
        <v/>
      </c>
    </row>
    <row r="2196">
      <c r="A2196" s="41" t="n"/>
      <c r="B2196" s="41" t="n"/>
      <c r="C2196" s="41" t="n"/>
      <c r="D2196" s="41" t="n"/>
      <c r="E2196" s="46" t="n"/>
      <c r="F2196" s="41" t="n"/>
      <c r="G2196" s="41" t="n"/>
      <c r="H2196" s="41" t="n"/>
      <c r="I2196" s="41" t="n"/>
      <c r="J2196" s="47" t="n"/>
      <c r="K2196" s="41" t="n"/>
      <c r="L2196" s="48" t="n"/>
      <c r="M2196" s="45" t="n"/>
      <c r="N2196" s="39">
        <f>IF($B2196="","",IF(SUMPRODUCT((LISTAS!$O$3:$O$42&lt;&gt;"")*ISNUMBER(SEARCH(LISTAS!$O$3:$O$42,$I2196&amp;" "&amp;$K2196)))&gt;0,"CERCANA","NACIONAL"))</f>
        <v/>
      </c>
      <c r="O2196" s="39">
        <f>IF($B2196="","",IF(COUNTIFS(NOVEDADES!$C$4:$C$2003,$B2196)=0,"—","SÍ ("&amp;COUNTIFS(NOVEDADES!$C$4:$C$2003,$B2196)&amp;")"))</f>
        <v/>
      </c>
    </row>
    <row r="2197">
      <c r="A2197" s="41" t="n"/>
      <c r="B2197" s="41" t="n"/>
      <c r="C2197" s="41" t="n"/>
      <c r="D2197" s="41" t="n"/>
      <c r="E2197" s="46" t="n"/>
      <c r="F2197" s="41" t="n"/>
      <c r="G2197" s="41" t="n"/>
      <c r="H2197" s="41" t="n"/>
      <c r="I2197" s="41" t="n"/>
      <c r="J2197" s="47" t="n"/>
      <c r="K2197" s="41" t="n"/>
      <c r="L2197" s="48" t="n"/>
      <c r="M2197" s="45" t="n"/>
      <c r="N2197" s="39">
        <f>IF($B2197="","",IF(SUMPRODUCT((LISTAS!$O$3:$O$42&lt;&gt;"")*ISNUMBER(SEARCH(LISTAS!$O$3:$O$42,$I2197&amp;" "&amp;$K2197)))&gt;0,"CERCANA","NACIONAL"))</f>
        <v/>
      </c>
      <c r="O2197" s="39">
        <f>IF($B2197="","",IF(COUNTIFS(NOVEDADES!$C$4:$C$2003,$B2197)=0,"—","SÍ ("&amp;COUNTIFS(NOVEDADES!$C$4:$C$2003,$B2197)&amp;")"))</f>
        <v/>
      </c>
    </row>
    <row r="2198">
      <c r="A2198" s="41" t="n"/>
      <c r="B2198" s="41" t="n"/>
      <c r="C2198" s="41" t="n"/>
      <c r="D2198" s="41" t="n"/>
      <c r="E2198" s="46" t="n"/>
      <c r="F2198" s="41" t="n"/>
      <c r="G2198" s="41" t="n"/>
      <c r="H2198" s="41" t="n"/>
      <c r="I2198" s="41" t="n"/>
      <c r="J2198" s="47" t="n"/>
      <c r="K2198" s="41" t="n"/>
      <c r="L2198" s="48" t="n"/>
      <c r="M2198" s="45" t="n"/>
      <c r="N2198" s="39">
        <f>IF($B2198="","",IF(SUMPRODUCT((LISTAS!$O$3:$O$42&lt;&gt;"")*ISNUMBER(SEARCH(LISTAS!$O$3:$O$42,$I2198&amp;" "&amp;$K2198)))&gt;0,"CERCANA","NACIONAL"))</f>
        <v/>
      </c>
      <c r="O2198" s="39">
        <f>IF($B2198="","",IF(COUNTIFS(NOVEDADES!$C$4:$C$2003,$B2198)=0,"—","SÍ ("&amp;COUNTIFS(NOVEDADES!$C$4:$C$2003,$B2198)&amp;")"))</f>
        <v/>
      </c>
    </row>
    <row r="2199">
      <c r="A2199" s="41" t="n"/>
      <c r="B2199" s="41" t="n"/>
      <c r="C2199" s="41" t="n"/>
      <c r="D2199" s="41" t="n"/>
      <c r="E2199" s="46" t="n"/>
      <c r="F2199" s="41" t="n"/>
      <c r="G2199" s="41" t="n"/>
      <c r="H2199" s="41" t="n"/>
      <c r="I2199" s="41" t="n"/>
      <c r="J2199" s="47" t="n"/>
      <c r="K2199" s="41" t="n"/>
      <c r="L2199" s="48" t="n"/>
      <c r="M2199" s="45" t="n"/>
      <c r="N2199" s="39">
        <f>IF($B2199="","",IF(SUMPRODUCT((LISTAS!$O$3:$O$42&lt;&gt;"")*ISNUMBER(SEARCH(LISTAS!$O$3:$O$42,$I2199&amp;" "&amp;$K2199)))&gt;0,"CERCANA","NACIONAL"))</f>
        <v/>
      </c>
      <c r="O2199" s="39">
        <f>IF($B2199="","",IF(COUNTIFS(NOVEDADES!$C$4:$C$2003,$B2199)=0,"—","SÍ ("&amp;COUNTIFS(NOVEDADES!$C$4:$C$2003,$B2199)&amp;")"))</f>
        <v/>
      </c>
    </row>
    <row r="2200">
      <c r="A2200" s="41" t="n"/>
      <c r="B2200" s="41" t="n"/>
      <c r="C2200" s="41" t="n"/>
      <c r="D2200" s="41" t="n"/>
      <c r="E2200" s="46" t="n"/>
      <c r="F2200" s="41" t="n"/>
      <c r="G2200" s="41" t="n"/>
      <c r="H2200" s="41" t="n"/>
      <c r="I2200" s="41" t="n"/>
      <c r="J2200" s="47" t="n"/>
      <c r="K2200" s="41" t="n"/>
      <c r="L2200" s="48" t="n"/>
      <c r="M2200" s="45" t="n"/>
      <c r="N2200" s="39">
        <f>IF($B2200="","",IF(SUMPRODUCT((LISTAS!$O$3:$O$42&lt;&gt;"")*ISNUMBER(SEARCH(LISTAS!$O$3:$O$42,$I2200&amp;" "&amp;$K2200)))&gt;0,"CERCANA","NACIONAL"))</f>
        <v/>
      </c>
      <c r="O2200" s="39">
        <f>IF($B2200="","",IF(COUNTIFS(NOVEDADES!$C$4:$C$2003,$B2200)=0,"—","SÍ ("&amp;COUNTIFS(NOVEDADES!$C$4:$C$2003,$B2200)&amp;")"))</f>
        <v/>
      </c>
    </row>
    <row r="2201">
      <c r="A2201" s="41" t="n"/>
      <c r="B2201" s="41" t="n"/>
      <c r="C2201" s="41" t="n"/>
      <c r="D2201" s="41" t="n"/>
      <c r="E2201" s="46" t="n"/>
      <c r="F2201" s="41" t="n"/>
      <c r="G2201" s="41" t="n"/>
      <c r="H2201" s="41" t="n"/>
      <c r="I2201" s="41" t="n"/>
      <c r="J2201" s="47" t="n"/>
      <c r="K2201" s="41" t="n"/>
      <c r="L2201" s="48" t="n"/>
      <c r="M2201" s="45" t="n"/>
      <c r="N2201" s="39">
        <f>IF($B2201="","",IF(SUMPRODUCT((LISTAS!$O$3:$O$42&lt;&gt;"")*ISNUMBER(SEARCH(LISTAS!$O$3:$O$42,$I2201&amp;" "&amp;$K2201)))&gt;0,"CERCANA","NACIONAL"))</f>
        <v/>
      </c>
      <c r="O2201" s="39">
        <f>IF($B2201="","",IF(COUNTIFS(NOVEDADES!$C$4:$C$2003,$B2201)=0,"—","SÍ ("&amp;COUNTIFS(NOVEDADES!$C$4:$C$2003,$B2201)&amp;")"))</f>
        <v/>
      </c>
    </row>
    <row r="2202">
      <c r="A2202" s="41" t="n"/>
      <c r="B2202" s="41" t="n"/>
      <c r="C2202" s="41" t="n"/>
      <c r="D2202" s="41" t="n"/>
      <c r="E2202" s="46" t="n"/>
      <c r="F2202" s="41" t="n"/>
      <c r="G2202" s="41" t="n"/>
      <c r="H2202" s="41" t="n"/>
      <c r="I2202" s="41" t="n"/>
      <c r="J2202" s="47" t="n"/>
      <c r="K2202" s="41" t="n"/>
      <c r="L2202" s="48" t="n"/>
      <c r="M2202" s="45" t="n"/>
      <c r="N2202" s="39">
        <f>IF($B2202="","",IF(SUMPRODUCT((LISTAS!$O$3:$O$42&lt;&gt;"")*ISNUMBER(SEARCH(LISTAS!$O$3:$O$42,$I2202&amp;" "&amp;$K2202)))&gt;0,"CERCANA","NACIONAL"))</f>
        <v/>
      </c>
      <c r="O2202" s="39">
        <f>IF($B2202="","",IF(COUNTIFS(NOVEDADES!$C$4:$C$2003,$B2202)=0,"—","SÍ ("&amp;COUNTIFS(NOVEDADES!$C$4:$C$2003,$B2202)&amp;")"))</f>
        <v/>
      </c>
    </row>
    <row r="2203">
      <c r="A2203" s="41" t="n"/>
      <c r="B2203" s="41" t="n"/>
      <c r="C2203" s="41" t="n"/>
      <c r="D2203" s="41" t="n"/>
      <c r="E2203" s="46" t="n"/>
      <c r="F2203" s="41" t="n"/>
      <c r="G2203" s="41" t="n"/>
      <c r="H2203" s="41" t="n"/>
      <c r="I2203" s="41" t="n"/>
      <c r="J2203" s="47" t="n"/>
      <c r="K2203" s="41" t="n"/>
      <c r="L2203" s="48" t="n"/>
      <c r="M2203" s="45" t="n"/>
      <c r="N2203" s="39">
        <f>IF($B2203="","",IF(SUMPRODUCT((LISTAS!$O$3:$O$42&lt;&gt;"")*ISNUMBER(SEARCH(LISTAS!$O$3:$O$42,$I2203&amp;" "&amp;$K2203)))&gt;0,"CERCANA","NACIONAL"))</f>
        <v/>
      </c>
      <c r="O2203" s="39">
        <f>IF($B2203="","",IF(COUNTIFS(NOVEDADES!$C$4:$C$2003,$B2203)=0,"—","SÍ ("&amp;COUNTIFS(NOVEDADES!$C$4:$C$2003,$B2203)&amp;")"))</f>
        <v/>
      </c>
    </row>
    <row r="2204">
      <c r="A2204" s="41" t="n"/>
      <c r="B2204" s="41" t="n"/>
      <c r="C2204" s="41" t="n"/>
      <c r="D2204" s="41" t="n"/>
      <c r="E2204" s="46" t="n"/>
      <c r="F2204" s="41" t="n"/>
      <c r="G2204" s="41" t="n"/>
      <c r="H2204" s="41" t="n"/>
      <c r="I2204" s="41" t="n"/>
      <c r="J2204" s="47" t="n"/>
      <c r="K2204" s="41" t="n"/>
      <c r="L2204" s="48" t="n"/>
      <c r="M2204" s="45" t="n"/>
      <c r="N2204" s="39">
        <f>IF($B2204="","",IF(SUMPRODUCT((LISTAS!$O$3:$O$42&lt;&gt;"")*ISNUMBER(SEARCH(LISTAS!$O$3:$O$42,$I2204&amp;" "&amp;$K2204)))&gt;0,"CERCANA","NACIONAL"))</f>
        <v/>
      </c>
      <c r="O2204" s="39">
        <f>IF($B2204="","",IF(COUNTIFS(NOVEDADES!$C$4:$C$2003,$B2204)=0,"—","SÍ ("&amp;COUNTIFS(NOVEDADES!$C$4:$C$2003,$B2204)&amp;")"))</f>
        <v/>
      </c>
    </row>
    <row r="2205">
      <c r="A2205" s="41" t="n"/>
      <c r="B2205" s="41" t="n"/>
      <c r="C2205" s="41" t="n"/>
      <c r="D2205" s="41" t="n"/>
      <c r="E2205" s="46" t="n"/>
      <c r="F2205" s="41" t="n"/>
      <c r="G2205" s="41" t="n"/>
      <c r="H2205" s="41" t="n"/>
      <c r="I2205" s="41" t="n"/>
      <c r="J2205" s="47" t="n"/>
      <c r="K2205" s="41" t="n"/>
      <c r="L2205" s="48" t="n"/>
      <c r="M2205" s="45" t="n"/>
      <c r="N2205" s="39">
        <f>IF($B2205="","",IF(SUMPRODUCT((LISTAS!$O$3:$O$42&lt;&gt;"")*ISNUMBER(SEARCH(LISTAS!$O$3:$O$42,$I2205&amp;" "&amp;$K2205)))&gt;0,"CERCANA","NACIONAL"))</f>
        <v/>
      </c>
      <c r="O2205" s="39">
        <f>IF($B2205="","",IF(COUNTIFS(NOVEDADES!$C$4:$C$2003,$B2205)=0,"—","SÍ ("&amp;COUNTIFS(NOVEDADES!$C$4:$C$2003,$B2205)&amp;")"))</f>
        <v/>
      </c>
    </row>
    <row r="2206">
      <c r="A2206" s="41" t="n"/>
      <c r="B2206" s="41" t="n"/>
      <c r="C2206" s="41" t="n"/>
      <c r="D2206" s="41" t="n"/>
      <c r="E2206" s="46" t="n"/>
      <c r="F2206" s="41" t="n"/>
      <c r="G2206" s="41" t="n"/>
      <c r="H2206" s="41" t="n"/>
      <c r="I2206" s="41" t="n"/>
      <c r="J2206" s="47" t="n"/>
      <c r="K2206" s="41" t="n"/>
      <c r="L2206" s="48" t="n"/>
      <c r="M2206" s="45" t="n"/>
      <c r="N2206" s="39">
        <f>IF($B2206="","",IF(SUMPRODUCT((LISTAS!$O$3:$O$42&lt;&gt;"")*ISNUMBER(SEARCH(LISTAS!$O$3:$O$42,$I2206&amp;" "&amp;$K2206)))&gt;0,"CERCANA","NACIONAL"))</f>
        <v/>
      </c>
      <c r="O2206" s="39">
        <f>IF($B2206="","",IF(COUNTIFS(NOVEDADES!$C$4:$C$2003,$B2206)=0,"—","SÍ ("&amp;COUNTIFS(NOVEDADES!$C$4:$C$2003,$B2206)&amp;")"))</f>
        <v/>
      </c>
    </row>
    <row r="2207">
      <c r="A2207" s="41" t="n"/>
      <c r="B2207" s="41" t="n"/>
      <c r="C2207" s="41" t="n"/>
      <c r="D2207" s="41" t="n"/>
      <c r="E2207" s="46" t="n"/>
      <c r="F2207" s="41" t="n"/>
      <c r="G2207" s="41" t="n"/>
      <c r="H2207" s="41" t="n"/>
      <c r="I2207" s="41" t="n"/>
      <c r="J2207" s="47" t="n"/>
      <c r="K2207" s="41" t="n"/>
      <c r="L2207" s="48" t="n"/>
      <c r="M2207" s="45" t="n"/>
      <c r="N2207" s="39">
        <f>IF($B2207="","",IF(SUMPRODUCT((LISTAS!$O$3:$O$42&lt;&gt;"")*ISNUMBER(SEARCH(LISTAS!$O$3:$O$42,$I2207&amp;" "&amp;$K2207)))&gt;0,"CERCANA","NACIONAL"))</f>
        <v/>
      </c>
      <c r="O2207" s="39">
        <f>IF($B2207="","",IF(COUNTIFS(NOVEDADES!$C$4:$C$2003,$B2207)=0,"—","SÍ ("&amp;COUNTIFS(NOVEDADES!$C$4:$C$2003,$B2207)&amp;")"))</f>
        <v/>
      </c>
    </row>
    <row r="2208">
      <c r="A2208" s="41" t="n"/>
      <c r="B2208" s="41" t="n"/>
      <c r="C2208" s="41" t="n"/>
      <c r="D2208" s="41" t="n"/>
      <c r="E2208" s="46" t="n"/>
      <c r="F2208" s="41" t="n"/>
      <c r="G2208" s="41" t="n"/>
      <c r="H2208" s="41" t="n"/>
      <c r="I2208" s="41" t="n"/>
      <c r="J2208" s="47" t="n"/>
      <c r="K2208" s="41" t="n"/>
      <c r="L2208" s="48" t="n"/>
      <c r="M2208" s="45" t="n"/>
      <c r="N2208" s="39">
        <f>IF($B2208="","",IF(SUMPRODUCT((LISTAS!$O$3:$O$42&lt;&gt;"")*ISNUMBER(SEARCH(LISTAS!$O$3:$O$42,$I2208&amp;" "&amp;$K2208)))&gt;0,"CERCANA","NACIONAL"))</f>
        <v/>
      </c>
      <c r="O2208" s="39">
        <f>IF($B2208="","",IF(COUNTIFS(NOVEDADES!$C$4:$C$2003,$B2208)=0,"—","SÍ ("&amp;COUNTIFS(NOVEDADES!$C$4:$C$2003,$B2208)&amp;")"))</f>
        <v/>
      </c>
    </row>
    <row r="2209">
      <c r="A2209" s="41" t="n"/>
      <c r="B2209" s="41" t="n"/>
      <c r="C2209" s="41" t="n"/>
      <c r="D2209" s="41" t="n"/>
      <c r="E2209" s="46" t="n"/>
      <c r="F2209" s="41" t="n"/>
      <c r="G2209" s="41" t="n"/>
      <c r="H2209" s="41" t="n"/>
      <c r="I2209" s="41" t="n"/>
      <c r="J2209" s="47" t="n"/>
      <c r="K2209" s="41" t="n"/>
      <c r="L2209" s="48" t="n"/>
      <c r="M2209" s="45" t="n"/>
      <c r="N2209" s="39">
        <f>IF($B2209="","",IF(SUMPRODUCT((LISTAS!$O$3:$O$42&lt;&gt;"")*ISNUMBER(SEARCH(LISTAS!$O$3:$O$42,$I2209&amp;" "&amp;$K2209)))&gt;0,"CERCANA","NACIONAL"))</f>
        <v/>
      </c>
      <c r="O2209" s="39">
        <f>IF($B2209="","",IF(COUNTIFS(NOVEDADES!$C$4:$C$2003,$B2209)=0,"—","SÍ ("&amp;COUNTIFS(NOVEDADES!$C$4:$C$2003,$B2209)&amp;")"))</f>
        <v/>
      </c>
    </row>
    <row r="2210">
      <c r="A2210" s="41" t="n"/>
      <c r="B2210" s="41" t="n"/>
      <c r="C2210" s="41" t="n"/>
      <c r="D2210" s="41" t="n"/>
      <c r="E2210" s="46" t="n"/>
      <c r="F2210" s="41" t="n"/>
      <c r="G2210" s="41" t="n"/>
      <c r="H2210" s="41" t="n"/>
      <c r="I2210" s="41" t="n"/>
      <c r="J2210" s="47" t="n"/>
      <c r="K2210" s="41" t="n"/>
      <c r="L2210" s="48" t="n"/>
      <c r="M2210" s="45" t="n"/>
      <c r="N2210" s="39">
        <f>IF($B2210="","",IF(SUMPRODUCT((LISTAS!$O$3:$O$42&lt;&gt;"")*ISNUMBER(SEARCH(LISTAS!$O$3:$O$42,$I2210&amp;" "&amp;$K2210)))&gt;0,"CERCANA","NACIONAL"))</f>
        <v/>
      </c>
      <c r="O2210" s="39">
        <f>IF($B2210="","",IF(COUNTIFS(NOVEDADES!$C$4:$C$2003,$B2210)=0,"—","SÍ ("&amp;COUNTIFS(NOVEDADES!$C$4:$C$2003,$B2210)&amp;")"))</f>
        <v/>
      </c>
    </row>
    <row r="2211">
      <c r="A2211" s="41" t="n"/>
      <c r="B2211" s="41" t="n"/>
      <c r="C2211" s="41" t="n"/>
      <c r="D2211" s="41" t="n"/>
      <c r="E2211" s="46" t="n"/>
      <c r="F2211" s="41" t="n"/>
      <c r="G2211" s="41" t="n"/>
      <c r="H2211" s="41" t="n"/>
      <c r="I2211" s="41" t="n"/>
      <c r="J2211" s="47" t="n"/>
      <c r="K2211" s="41" t="n"/>
      <c r="L2211" s="48" t="n"/>
      <c r="M2211" s="45" t="n"/>
      <c r="N2211" s="39">
        <f>IF($B2211="","",IF(SUMPRODUCT((LISTAS!$O$3:$O$42&lt;&gt;"")*ISNUMBER(SEARCH(LISTAS!$O$3:$O$42,$I2211&amp;" "&amp;$K2211)))&gt;0,"CERCANA","NACIONAL"))</f>
        <v/>
      </c>
      <c r="O2211" s="39">
        <f>IF($B2211="","",IF(COUNTIFS(NOVEDADES!$C$4:$C$2003,$B2211)=0,"—","SÍ ("&amp;COUNTIFS(NOVEDADES!$C$4:$C$2003,$B2211)&amp;")"))</f>
        <v/>
      </c>
    </row>
    <row r="2212">
      <c r="A2212" s="41" t="n"/>
      <c r="B2212" s="41" t="n"/>
      <c r="C2212" s="41" t="n"/>
      <c r="D2212" s="41" t="n"/>
      <c r="E2212" s="46" t="n"/>
      <c r="F2212" s="41" t="n"/>
      <c r="G2212" s="41" t="n"/>
      <c r="H2212" s="41" t="n"/>
      <c r="I2212" s="41" t="n"/>
      <c r="J2212" s="47" t="n"/>
      <c r="K2212" s="41" t="n"/>
      <c r="L2212" s="48" t="n"/>
      <c r="M2212" s="45" t="n"/>
      <c r="N2212" s="39">
        <f>IF($B2212="","",IF(SUMPRODUCT((LISTAS!$O$3:$O$42&lt;&gt;"")*ISNUMBER(SEARCH(LISTAS!$O$3:$O$42,$I2212&amp;" "&amp;$K2212)))&gt;0,"CERCANA","NACIONAL"))</f>
        <v/>
      </c>
      <c r="O2212" s="39">
        <f>IF($B2212="","",IF(COUNTIFS(NOVEDADES!$C$4:$C$2003,$B2212)=0,"—","SÍ ("&amp;COUNTIFS(NOVEDADES!$C$4:$C$2003,$B2212)&amp;")"))</f>
        <v/>
      </c>
    </row>
    <row r="2213">
      <c r="A2213" s="41" t="n"/>
      <c r="B2213" s="41" t="n"/>
      <c r="C2213" s="41" t="n"/>
      <c r="D2213" s="41" t="n"/>
      <c r="E2213" s="46" t="n"/>
      <c r="F2213" s="41" t="n"/>
      <c r="G2213" s="41" t="n"/>
      <c r="H2213" s="41" t="n"/>
      <c r="I2213" s="41" t="n"/>
      <c r="J2213" s="47" t="n"/>
      <c r="K2213" s="41" t="n"/>
      <c r="L2213" s="48" t="n"/>
      <c r="M2213" s="45" t="n"/>
      <c r="N2213" s="39">
        <f>IF($B2213="","",IF(SUMPRODUCT((LISTAS!$O$3:$O$42&lt;&gt;"")*ISNUMBER(SEARCH(LISTAS!$O$3:$O$42,$I2213&amp;" "&amp;$K2213)))&gt;0,"CERCANA","NACIONAL"))</f>
        <v/>
      </c>
      <c r="O2213" s="39">
        <f>IF($B2213="","",IF(COUNTIFS(NOVEDADES!$C$4:$C$2003,$B2213)=0,"—","SÍ ("&amp;COUNTIFS(NOVEDADES!$C$4:$C$2003,$B2213)&amp;")"))</f>
        <v/>
      </c>
    </row>
    <row r="2214">
      <c r="A2214" s="41" t="n"/>
      <c r="B2214" s="41" t="n"/>
      <c r="C2214" s="41" t="n"/>
      <c r="D2214" s="41" t="n"/>
      <c r="E2214" s="46" t="n"/>
      <c r="F2214" s="41" t="n"/>
      <c r="G2214" s="41" t="n"/>
      <c r="H2214" s="41" t="n"/>
      <c r="I2214" s="41" t="n"/>
      <c r="J2214" s="47" t="n"/>
      <c r="K2214" s="41" t="n"/>
      <c r="L2214" s="48" t="n"/>
      <c r="M2214" s="45" t="n"/>
      <c r="N2214" s="39">
        <f>IF($B2214="","",IF(SUMPRODUCT((LISTAS!$O$3:$O$42&lt;&gt;"")*ISNUMBER(SEARCH(LISTAS!$O$3:$O$42,$I2214&amp;" "&amp;$K2214)))&gt;0,"CERCANA","NACIONAL"))</f>
        <v/>
      </c>
      <c r="O2214" s="39">
        <f>IF($B2214="","",IF(COUNTIFS(NOVEDADES!$C$4:$C$2003,$B2214)=0,"—","SÍ ("&amp;COUNTIFS(NOVEDADES!$C$4:$C$2003,$B2214)&amp;")"))</f>
        <v/>
      </c>
    </row>
    <row r="2215">
      <c r="A2215" s="41" t="n"/>
      <c r="B2215" s="41" t="n"/>
      <c r="C2215" s="41" t="n"/>
      <c r="D2215" s="41" t="n"/>
      <c r="E2215" s="46" t="n"/>
      <c r="F2215" s="41" t="n"/>
      <c r="G2215" s="41" t="n"/>
      <c r="H2215" s="41" t="n"/>
      <c r="I2215" s="41" t="n"/>
      <c r="J2215" s="47" t="n"/>
      <c r="K2215" s="41" t="n"/>
      <c r="L2215" s="48" t="n"/>
      <c r="M2215" s="45" t="n"/>
      <c r="N2215" s="39">
        <f>IF($B2215="","",IF(SUMPRODUCT((LISTAS!$O$3:$O$42&lt;&gt;"")*ISNUMBER(SEARCH(LISTAS!$O$3:$O$42,$I2215&amp;" "&amp;$K2215)))&gt;0,"CERCANA","NACIONAL"))</f>
        <v/>
      </c>
      <c r="O2215" s="39">
        <f>IF($B2215="","",IF(COUNTIFS(NOVEDADES!$C$4:$C$2003,$B2215)=0,"—","SÍ ("&amp;COUNTIFS(NOVEDADES!$C$4:$C$2003,$B2215)&amp;")"))</f>
        <v/>
      </c>
    </row>
    <row r="2216">
      <c r="A2216" s="41" t="n"/>
      <c r="B2216" s="41" t="n"/>
      <c r="C2216" s="41" t="n"/>
      <c r="D2216" s="41" t="n"/>
      <c r="E2216" s="46" t="n"/>
      <c r="F2216" s="41" t="n"/>
      <c r="G2216" s="41" t="n"/>
      <c r="H2216" s="41" t="n"/>
      <c r="I2216" s="41" t="n"/>
      <c r="J2216" s="47" t="n"/>
      <c r="K2216" s="41" t="n"/>
      <c r="L2216" s="48" t="n"/>
      <c r="M2216" s="45" t="n"/>
      <c r="N2216" s="39">
        <f>IF($B2216="","",IF(SUMPRODUCT((LISTAS!$O$3:$O$42&lt;&gt;"")*ISNUMBER(SEARCH(LISTAS!$O$3:$O$42,$I2216&amp;" "&amp;$K2216)))&gt;0,"CERCANA","NACIONAL"))</f>
        <v/>
      </c>
      <c r="O2216" s="39">
        <f>IF($B2216="","",IF(COUNTIFS(NOVEDADES!$C$4:$C$2003,$B2216)=0,"—","SÍ ("&amp;COUNTIFS(NOVEDADES!$C$4:$C$2003,$B2216)&amp;")"))</f>
        <v/>
      </c>
    </row>
    <row r="2217">
      <c r="A2217" s="41" t="n"/>
      <c r="B2217" s="41" t="n"/>
      <c r="C2217" s="41" t="n"/>
      <c r="D2217" s="41" t="n"/>
      <c r="E2217" s="46" t="n"/>
      <c r="F2217" s="41" t="n"/>
      <c r="G2217" s="41" t="n"/>
      <c r="H2217" s="41" t="n"/>
      <c r="I2217" s="41" t="n"/>
      <c r="J2217" s="47" t="n"/>
      <c r="K2217" s="41" t="n"/>
      <c r="L2217" s="48" t="n"/>
      <c r="M2217" s="45" t="n"/>
      <c r="N2217" s="39">
        <f>IF($B2217="","",IF(SUMPRODUCT((LISTAS!$O$3:$O$42&lt;&gt;"")*ISNUMBER(SEARCH(LISTAS!$O$3:$O$42,$I2217&amp;" "&amp;$K2217)))&gt;0,"CERCANA","NACIONAL"))</f>
        <v/>
      </c>
      <c r="O2217" s="39">
        <f>IF($B2217="","",IF(COUNTIFS(NOVEDADES!$C$4:$C$2003,$B2217)=0,"—","SÍ ("&amp;COUNTIFS(NOVEDADES!$C$4:$C$2003,$B2217)&amp;")"))</f>
        <v/>
      </c>
    </row>
    <row r="2218">
      <c r="A2218" s="41" t="n"/>
      <c r="B2218" s="41" t="n"/>
      <c r="C2218" s="41" t="n"/>
      <c r="D2218" s="41" t="n"/>
      <c r="E2218" s="46" t="n"/>
      <c r="F2218" s="41" t="n"/>
      <c r="G2218" s="41" t="n"/>
      <c r="H2218" s="41" t="n"/>
      <c r="I2218" s="41" t="n"/>
      <c r="J2218" s="47" t="n"/>
      <c r="K2218" s="41" t="n"/>
      <c r="L2218" s="48" t="n"/>
      <c r="M2218" s="45" t="n"/>
      <c r="N2218" s="39">
        <f>IF($B2218="","",IF(SUMPRODUCT((LISTAS!$O$3:$O$42&lt;&gt;"")*ISNUMBER(SEARCH(LISTAS!$O$3:$O$42,$I2218&amp;" "&amp;$K2218)))&gt;0,"CERCANA","NACIONAL"))</f>
        <v/>
      </c>
      <c r="O2218" s="39">
        <f>IF($B2218="","",IF(COUNTIFS(NOVEDADES!$C$4:$C$2003,$B2218)=0,"—","SÍ ("&amp;COUNTIFS(NOVEDADES!$C$4:$C$2003,$B2218)&amp;")"))</f>
        <v/>
      </c>
    </row>
    <row r="2219">
      <c r="A2219" s="41" t="n"/>
      <c r="B2219" s="41" t="n"/>
      <c r="C2219" s="41" t="n"/>
      <c r="D2219" s="41" t="n"/>
      <c r="E2219" s="46" t="n"/>
      <c r="F2219" s="41" t="n"/>
      <c r="G2219" s="41" t="n"/>
      <c r="H2219" s="41" t="n"/>
      <c r="I2219" s="41" t="n"/>
      <c r="J2219" s="47" t="n"/>
      <c r="K2219" s="41" t="n"/>
      <c r="L2219" s="48" t="n"/>
      <c r="M2219" s="45" t="n"/>
      <c r="N2219" s="39">
        <f>IF($B2219="","",IF(SUMPRODUCT((LISTAS!$O$3:$O$42&lt;&gt;"")*ISNUMBER(SEARCH(LISTAS!$O$3:$O$42,$I2219&amp;" "&amp;$K2219)))&gt;0,"CERCANA","NACIONAL"))</f>
        <v/>
      </c>
      <c r="O2219" s="39">
        <f>IF($B2219="","",IF(COUNTIFS(NOVEDADES!$C$4:$C$2003,$B2219)=0,"—","SÍ ("&amp;COUNTIFS(NOVEDADES!$C$4:$C$2003,$B2219)&amp;")"))</f>
        <v/>
      </c>
    </row>
    <row r="2220">
      <c r="A2220" s="41" t="n"/>
      <c r="B2220" s="41" t="n"/>
      <c r="C2220" s="41" t="n"/>
      <c r="D2220" s="41" t="n"/>
      <c r="E2220" s="46" t="n"/>
      <c r="F2220" s="41" t="n"/>
      <c r="G2220" s="41" t="n"/>
      <c r="H2220" s="41" t="n"/>
      <c r="I2220" s="41" t="n"/>
      <c r="J2220" s="47" t="n"/>
      <c r="K2220" s="41" t="n"/>
      <c r="L2220" s="48" t="n"/>
      <c r="M2220" s="45" t="n"/>
      <c r="N2220" s="39">
        <f>IF($B2220="","",IF(SUMPRODUCT((LISTAS!$O$3:$O$42&lt;&gt;"")*ISNUMBER(SEARCH(LISTAS!$O$3:$O$42,$I2220&amp;" "&amp;$K2220)))&gt;0,"CERCANA","NACIONAL"))</f>
        <v/>
      </c>
      <c r="O2220" s="39">
        <f>IF($B2220="","",IF(COUNTIFS(NOVEDADES!$C$4:$C$2003,$B2220)=0,"—","SÍ ("&amp;COUNTIFS(NOVEDADES!$C$4:$C$2003,$B2220)&amp;")"))</f>
        <v/>
      </c>
    </row>
    <row r="2221">
      <c r="A2221" s="41" t="n"/>
      <c r="B2221" s="41" t="n"/>
      <c r="C2221" s="41" t="n"/>
      <c r="D2221" s="41" t="n"/>
      <c r="E2221" s="46" t="n"/>
      <c r="F2221" s="41" t="n"/>
      <c r="G2221" s="41" t="n"/>
      <c r="H2221" s="41" t="n"/>
      <c r="I2221" s="41" t="n"/>
      <c r="J2221" s="47" t="n"/>
      <c r="K2221" s="41" t="n"/>
      <c r="L2221" s="48" t="n"/>
      <c r="M2221" s="45" t="n"/>
      <c r="N2221" s="39">
        <f>IF($B2221="","",IF(SUMPRODUCT((LISTAS!$O$3:$O$42&lt;&gt;"")*ISNUMBER(SEARCH(LISTAS!$O$3:$O$42,$I2221&amp;" "&amp;$K2221)))&gt;0,"CERCANA","NACIONAL"))</f>
        <v/>
      </c>
      <c r="O2221" s="39">
        <f>IF($B2221="","",IF(COUNTIFS(NOVEDADES!$C$4:$C$2003,$B2221)=0,"—","SÍ ("&amp;COUNTIFS(NOVEDADES!$C$4:$C$2003,$B2221)&amp;")"))</f>
        <v/>
      </c>
    </row>
    <row r="2222">
      <c r="A2222" s="41" t="n"/>
      <c r="B2222" s="41" t="n"/>
      <c r="C2222" s="41" t="n"/>
      <c r="D2222" s="41" t="n"/>
      <c r="E2222" s="46" t="n"/>
      <c r="F2222" s="41" t="n"/>
      <c r="G2222" s="41" t="n"/>
      <c r="H2222" s="41" t="n"/>
      <c r="I2222" s="41" t="n"/>
      <c r="J2222" s="47" t="n"/>
      <c r="K2222" s="41" t="n"/>
      <c r="L2222" s="48" t="n"/>
      <c r="M2222" s="45" t="n"/>
      <c r="N2222" s="39">
        <f>IF($B2222="","",IF(SUMPRODUCT((LISTAS!$O$3:$O$42&lt;&gt;"")*ISNUMBER(SEARCH(LISTAS!$O$3:$O$42,$I2222&amp;" "&amp;$K2222)))&gt;0,"CERCANA","NACIONAL"))</f>
        <v/>
      </c>
      <c r="O2222" s="39">
        <f>IF($B2222="","",IF(COUNTIFS(NOVEDADES!$C$4:$C$2003,$B2222)=0,"—","SÍ ("&amp;COUNTIFS(NOVEDADES!$C$4:$C$2003,$B2222)&amp;")"))</f>
        <v/>
      </c>
    </row>
    <row r="2223">
      <c r="A2223" s="41" t="n"/>
      <c r="B2223" s="41" t="n"/>
      <c r="C2223" s="41" t="n"/>
      <c r="D2223" s="41" t="n"/>
      <c r="E2223" s="46" t="n"/>
      <c r="F2223" s="41" t="n"/>
      <c r="G2223" s="41" t="n"/>
      <c r="H2223" s="41" t="n"/>
      <c r="I2223" s="41" t="n"/>
      <c r="J2223" s="47" t="n"/>
      <c r="K2223" s="41" t="n"/>
      <c r="L2223" s="48" t="n"/>
      <c r="M2223" s="45" t="n"/>
      <c r="N2223" s="39">
        <f>IF($B2223="","",IF(SUMPRODUCT((LISTAS!$O$3:$O$42&lt;&gt;"")*ISNUMBER(SEARCH(LISTAS!$O$3:$O$42,$I2223&amp;" "&amp;$K2223)))&gt;0,"CERCANA","NACIONAL"))</f>
        <v/>
      </c>
      <c r="O2223" s="39">
        <f>IF($B2223="","",IF(COUNTIFS(NOVEDADES!$C$4:$C$2003,$B2223)=0,"—","SÍ ("&amp;COUNTIFS(NOVEDADES!$C$4:$C$2003,$B2223)&amp;")"))</f>
        <v/>
      </c>
    </row>
    <row r="2224">
      <c r="A2224" s="41" t="n"/>
      <c r="B2224" s="41" t="n"/>
      <c r="C2224" s="41" t="n"/>
      <c r="D2224" s="41" t="n"/>
      <c r="E2224" s="46" t="n"/>
      <c r="F2224" s="41" t="n"/>
      <c r="G2224" s="41" t="n"/>
      <c r="H2224" s="41" t="n"/>
      <c r="I2224" s="41" t="n"/>
      <c r="J2224" s="47" t="n"/>
      <c r="K2224" s="41" t="n"/>
      <c r="L2224" s="48" t="n"/>
      <c r="M2224" s="45" t="n"/>
      <c r="N2224" s="39">
        <f>IF($B2224="","",IF(SUMPRODUCT((LISTAS!$O$3:$O$42&lt;&gt;"")*ISNUMBER(SEARCH(LISTAS!$O$3:$O$42,$I2224&amp;" "&amp;$K2224)))&gt;0,"CERCANA","NACIONAL"))</f>
        <v/>
      </c>
      <c r="O2224" s="39">
        <f>IF($B2224="","",IF(COUNTIFS(NOVEDADES!$C$4:$C$2003,$B2224)=0,"—","SÍ ("&amp;COUNTIFS(NOVEDADES!$C$4:$C$2003,$B2224)&amp;")"))</f>
        <v/>
      </c>
    </row>
    <row r="2225">
      <c r="A2225" s="41" t="n"/>
      <c r="B2225" s="41" t="n"/>
      <c r="C2225" s="41" t="n"/>
      <c r="D2225" s="41" t="n"/>
      <c r="E2225" s="46" t="n"/>
      <c r="F2225" s="41" t="n"/>
      <c r="G2225" s="41" t="n"/>
      <c r="H2225" s="41" t="n"/>
      <c r="I2225" s="41" t="n"/>
      <c r="J2225" s="47" t="n"/>
      <c r="K2225" s="41" t="n"/>
      <c r="L2225" s="48" t="n"/>
      <c r="M2225" s="45" t="n"/>
      <c r="N2225" s="39">
        <f>IF($B2225="","",IF(SUMPRODUCT((LISTAS!$O$3:$O$42&lt;&gt;"")*ISNUMBER(SEARCH(LISTAS!$O$3:$O$42,$I2225&amp;" "&amp;$K2225)))&gt;0,"CERCANA","NACIONAL"))</f>
        <v/>
      </c>
      <c r="O2225" s="39">
        <f>IF($B2225="","",IF(COUNTIFS(NOVEDADES!$C$4:$C$2003,$B2225)=0,"—","SÍ ("&amp;COUNTIFS(NOVEDADES!$C$4:$C$2003,$B2225)&amp;")"))</f>
        <v/>
      </c>
    </row>
    <row r="2226">
      <c r="A2226" s="41" t="n"/>
      <c r="B2226" s="41" t="n"/>
      <c r="C2226" s="41" t="n"/>
      <c r="D2226" s="41" t="n"/>
      <c r="E2226" s="46" t="n"/>
      <c r="F2226" s="41" t="n"/>
      <c r="G2226" s="41" t="n"/>
      <c r="H2226" s="41" t="n"/>
      <c r="I2226" s="41" t="n"/>
      <c r="J2226" s="47" t="n"/>
      <c r="K2226" s="41" t="n"/>
      <c r="L2226" s="48" t="n"/>
      <c r="M2226" s="45" t="n"/>
      <c r="N2226" s="39">
        <f>IF($B2226="","",IF(SUMPRODUCT((LISTAS!$O$3:$O$42&lt;&gt;"")*ISNUMBER(SEARCH(LISTAS!$O$3:$O$42,$I2226&amp;" "&amp;$K2226)))&gt;0,"CERCANA","NACIONAL"))</f>
        <v/>
      </c>
      <c r="O2226" s="39">
        <f>IF($B2226="","",IF(COUNTIFS(NOVEDADES!$C$4:$C$2003,$B2226)=0,"—","SÍ ("&amp;COUNTIFS(NOVEDADES!$C$4:$C$2003,$B2226)&amp;")"))</f>
        <v/>
      </c>
    </row>
    <row r="2227">
      <c r="A2227" s="41" t="n"/>
      <c r="B2227" s="41" t="n"/>
      <c r="C2227" s="41" t="n"/>
      <c r="D2227" s="41" t="n"/>
      <c r="E2227" s="46" t="n"/>
      <c r="F2227" s="41" t="n"/>
      <c r="G2227" s="41" t="n"/>
      <c r="H2227" s="41" t="n"/>
      <c r="I2227" s="41" t="n"/>
      <c r="J2227" s="47" t="n"/>
      <c r="K2227" s="41" t="n"/>
      <c r="L2227" s="48" t="n"/>
      <c r="M2227" s="45" t="n"/>
      <c r="N2227" s="39">
        <f>IF($B2227="","",IF(SUMPRODUCT((LISTAS!$O$3:$O$42&lt;&gt;"")*ISNUMBER(SEARCH(LISTAS!$O$3:$O$42,$I2227&amp;" "&amp;$K2227)))&gt;0,"CERCANA","NACIONAL"))</f>
        <v/>
      </c>
      <c r="O2227" s="39">
        <f>IF($B2227="","",IF(COUNTIFS(NOVEDADES!$C$4:$C$2003,$B2227)=0,"—","SÍ ("&amp;COUNTIFS(NOVEDADES!$C$4:$C$2003,$B2227)&amp;")"))</f>
        <v/>
      </c>
    </row>
    <row r="2228">
      <c r="A2228" s="41" t="n"/>
      <c r="B2228" s="41" t="n"/>
      <c r="C2228" s="41" t="n"/>
      <c r="D2228" s="41" t="n"/>
      <c r="E2228" s="46" t="n"/>
      <c r="F2228" s="41" t="n"/>
      <c r="G2228" s="41" t="n"/>
      <c r="H2228" s="41" t="n"/>
      <c r="I2228" s="41" t="n"/>
      <c r="J2228" s="47" t="n"/>
      <c r="K2228" s="41" t="n"/>
      <c r="L2228" s="48" t="n"/>
      <c r="M2228" s="45" t="n"/>
      <c r="N2228" s="39">
        <f>IF($B2228="","",IF(SUMPRODUCT((LISTAS!$O$3:$O$42&lt;&gt;"")*ISNUMBER(SEARCH(LISTAS!$O$3:$O$42,$I2228&amp;" "&amp;$K2228)))&gt;0,"CERCANA","NACIONAL"))</f>
        <v/>
      </c>
      <c r="O2228" s="39">
        <f>IF($B2228="","",IF(COUNTIFS(NOVEDADES!$C$4:$C$2003,$B2228)=0,"—","SÍ ("&amp;COUNTIFS(NOVEDADES!$C$4:$C$2003,$B2228)&amp;")"))</f>
        <v/>
      </c>
    </row>
    <row r="2229">
      <c r="A2229" s="41" t="n"/>
      <c r="B2229" s="41" t="n"/>
      <c r="C2229" s="41" t="n"/>
      <c r="D2229" s="41" t="n"/>
      <c r="E2229" s="46" t="n"/>
      <c r="F2229" s="41" t="n"/>
      <c r="G2229" s="41" t="n"/>
      <c r="H2229" s="41" t="n"/>
      <c r="I2229" s="41" t="n"/>
      <c r="J2229" s="47" t="n"/>
      <c r="K2229" s="41" t="n"/>
      <c r="L2229" s="48" t="n"/>
      <c r="M2229" s="45" t="n"/>
      <c r="N2229" s="39">
        <f>IF($B2229="","",IF(SUMPRODUCT((LISTAS!$O$3:$O$42&lt;&gt;"")*ISNUMBER(SEARCH(LISTAS!$O$3:$O$42,$I2229&amp;" "&amp;$K2229)))&gt;0,"CERCANA","NACIONAL"))</f>
        <v/>
      </c>
      <c r="O2229" s="39">
        <f>IF($B2229="","",IF(COUNTIFS(NOVEDADES!$C$4:$C$2003,$B2229)=0,"—","SÍ ("&amp;COUNTIFS(NOVEDADES!$C$4:$C$2003,$B2229)&amp;")"))</f>
        <v/>
      </c>
    </row>
    <row r="2230">
      <c r="A2230" s="41" t="n"/>
      <c r="B2230" s="41" t="n"/>
      <c r="C2230" s="41" t="n"/>
      <c r="D2230" s="41" t="n"/>
      <c r="E2230" s="46" t="n"/>
      <c r="F2230" s="41" t="n"/>
      <c r="G2230" s="41" t="n"/>
      <c r="H2230" s="41" t="n"/>
      <c r="I2230" s="41" t="n"/>
      <c r="J2230" s="47" t="n"/>
      <c r="K2230" s="41" t="n"/>
      <c r="L2230" s="48" t="n"/>
      <c r="M2230" s="45" t="n"/>
      <c r="N2230" s="39">
        <f>IF($B2230="","",IF(SUMPRODUCT((LISTAS!$O$3:$O$42&lt;&gt;"")*ISNUMBER(SEARCH(LISTAS!$O$3:$O$42,$I2230&amp;" "&amp;$K2230)))&gt;0,"CERCANA","NACIONAL"))</f>
        <v/>
      </c>
      <c r="O2230" s="39">
        <f>IF($B2230="","",IF(COUNTIFS(NOVEDADES!$C$4:$C$2003,$B2230)=0,"—","SÍ ("&amp;COUNTIFS(NOVEDADES!$C$4:$C$2003,$B2230)&amp;")"))</f>
        <v/>
      </c>
    </row>
    <row r="2231">
      <c r="A2231" s="41" t="n"/>
      <c r="B2231" s="41" t="n"/>
      <c r="C2231" s="41" t="n"/>
      <c r="D2231" s="41" t="n"/>
      <c r="E2231" s="46" t="n"/>
      <c r="F2231" s="41" t="n"/>
      <c r="G2231" s="41" t="n"/>
      <c r="H2231" s="41" t="n"/>
      <c r="I2231" s="41" t="n"/>
      <c r="J2231" s="47" t="n"/>
      <c r="K2231" s="41" t="n"/>
      <c r="L2231" s="48" t="n"/>
      <c r="M2231" s="45" t="n"/>
      <c r="N2231" s="39">
        <f>IF($B2231="","",IF(SUMPRODUCT((LISTAS!$O$3:$O$42&lt;&gt;"")*ISNUMBER(SEARCH(LISTAS!$O$3:$O$42,$I2231&amp;" "&amp;$K2231)))&gt;0,"CERCANA","NACIONAL"))</f>
        <v/>
      </c>
      <c r="O2231" s="39">
        <f>IF($B2231="","",IF(COUNTIFS(NOVEDADES!$C$4:$C$2003,$B2231)=0,"—","SÍ ("&amp;COUNTIFS(NOVEDADES!$C$4:$C$2003,$B2231)&amp;")"))</f>
        <v/>
      </c>
    </row>
    <row r="2232">
      <c r="A2232" s="41" t="n"/>
      <c r="B2232" s="41" t="n"/>
      <c r="C2232" s="41" t="n"/>
      <c r="D2232" s="41" t="n"/>
      <c r="E2232" s="46" t="n"/>
      <c r="F2232" s="41" t="n"/>
      <c r="G2232" s="41" t="n"/>
      <c r="H2232" s="41" t="n"/>
      <c r="I2232" s="41" t="n"/>
      <c r="J2232" s="47" t="n"/>
      <c r="K2232" s="41" t="n"/>
      <c r="L2232" s="48" t="n"/>
      <c r="M2232" s="45" t="n"/>
      <c r="N2232" s="39">
        <f>IF($B2232="","",IF(SUMPRODUCT((LISTAS!$O$3:$O$42&lt;&gt;"")*ISNUMBER(SEARCH(LISTAS!$O$3:$O$42,$I2232&amp;" "&amp;$K2232)))&gt;0,"CERCANA","NACIONAL"))</f>
        <v/>
      </c>
      <c r="O2232" s="39">
        <f>IF($B2232="","",IF(COUNTIFS(NOVEDADES!$C$4:$C$2003,$B2232)=0,"—","SÍ ("&amp;COUNTIFS(NOVEDADES!$C$4:$C$2003,$B2232)&amp;")"))</f>
        <v/>
      </c>
    </row>
    <row r="2233">
      <c r="A2233" s="41" t="n"/>
      <c r="B2233" s="41" t="n"/>
      <c r="C2233" s="41" t="n"/>
      <c r="D2233" s="41" t="n"/>
      <c r="E2233" s="46" t="n"/>
      <c r="F2233" s="41" t="n"/>
      <c r="G2233" s="41" t="n"/>
      <c r="H2233" s="41" t="n"/>
      <c r="I2233" s="41" t="n"/>
      <c r="J2233" s="47" t="n"/>
      <c r="K2233" s="41" t="n"/>
      <c r="L2233" s="48" t="n"/>
      <c r="M2233" s="45" t="n"/>
      <c r="N2233" s="39">
        <f>IF($B2233="","",IF(SUMPRODUCT((LISTAS!$O$3:$O$42&lt;&gt;"")*ISNUMBER(SEARCH(LISTAS!$O$3:$O$42,$I2233&amp;" "&amp;$K2233)))&gt;0,"CERCANA","NACIONAL"))</f>
        <v/>
      </c>
      <c r="O2233" s="39">
        <f>IF($B2233="","",IF(COUNTIFS(NOVEDADES!$C$4:$C$2003,$B2233)=0,"—","SÍ ("&amp;COUNTIFS(NOVEDADES!$C$4:$C$2003,$B2233)&amp;")"))</f>
        <v/>
      </c>
    </row>
    <row r="2234">
      <c r="A2234" s="41" t="n"/>
      <c r="B2234" s="41" t="n"/>
      <c r="C2234" s="41" t="n"/>
      <c r="D2234" s="41" t="n"/>
      <c r="E2234" s="46" t="n"/>
      <c r="F2234" s="41" t="n"/>
      <c r="G2234" s="41" t="n"/>
      <c r="H2234" s="41" t="n"/>
      <c r="I2234" s="41" t="n"/>
      <c r="J2234" s="47" t="n"/>
      <c r="K2234" s="41" t="n"/>
      <c r="L2234" s="48" t="n"/>
      <c r="M2234" s="45" t="n"/>
      <c r="N2234" s="39">
        <f>IF($B2234="","",IF(SUMPRODUCT((LISTAS!$O$3:$O$42&lt;&gt;"")*ISNUMBER(SEARCH(LISTAS!$O$3:$O$42,$I2234&amp;" "&amp;$K2234)))&gt;0,"CERCANA","NACIONAL"))</f>
        <v/>
      </c>
      <c r="O2234" s="39">
        <f>IF($B2234="","",IF(COUNTIFS(NOVEDADES!$C$4:$C$2003,$B2234)=0,"—","SÍ ("&amp;COUNTIFS(NOVEDADES!$C$4:$C$2003,$B2234)&amp;")"))</f>
        <v/>
      </c>
    </row>
    <row r="2235">
      <c r="A2235" s="41" t="n"/>
      <c r="B2235" s="41" t="n"/>
      <c r="C2235" s="41" t="n"/>
      <c r="D2235" s="41" t="n"/>
      <c r="E2235" s="46" t="n"/>
      <c r="F2235" s="41" t="n"/>
      <c r="G2235" s="41" t="n"/>
      <c r="H2235" s="41" t="n"/>
      <c r="I2235" s="41" t="n"/>
      <c r="J2235" s="47" t="n"/>
      <c r="K2235" s="41" t="n"/>
      <c r="L2235" s="48" t="n"/>
      <c r="M2235" s="45" t="n"/>
      <c r="N2235" s="39">
        <f>IF($B2235="","",IF(SUMPRODUCT((LISTAS!$O$3:$O$42&lt;&gt;"")*ISNUMBER(SEARCH(LISTAS!$O$3:$O$42,$I2235&amp;" "&amp;$K2235)))&gt;0,"CERCANA","NACIONAL"))</f>
        <v/>
      </c>
      <c r="O2235" s="39">
        <f>IF($B2235="","",IF(COUNTIFS(NOVEDADES!$C$4:$C$2003,$B2235)=0,"—","SÍ ("&amp;COUNTIFS(NOVEDADES!$C$4:$C$2003,$B2235)&amp;")"))</f>
        <v/>
      </c>
    </row>
    <row r="2236">
      <c r="A2236" s="41" t="n"/>
      <c r="B2236" s="41" t="n"/>
      <c r="C2236" s="41" t="n"/>
      <c r="D2236" s="41" t="n"/>
      <c r="E2236" s="46" t="n"/>
      <c r="F2236" s="41" t="n"/>
      <c r="G2236" s="41" t="n"/>
      <c r="H2236" s="41" t="n"/>
      <c r="I2236" s="41" t="n"/>
      <c r="J2236" s="47" t="n"/>
      <c r="K2236" s="41" t="n"/>
      <c r="L2236" s="48" t="n"/>
      <c r="M2236" s="45" t="n"/>
      <c r="N2236" s="39">
        <f>IF($B2236="","",IF(SUMPRODUCT((LISTAS!$O$3:$O$42&lt;&gt;"")*ISNUMBER(SEARCH(LISTAS!$O$3:$O$42,$I2236&amp;" "&amp;$K2236)))&gt;0,"CERCANA","NACIONAL"))</f>
        <v/>
      </c>
      <c r="O2236" s="39">
        <f>IF($B2236="","",IF(COUNTIFS(NOVEDADES!$C$4:$C$2003,$B2236)=0,"—","SÍ ("&amp;COUNTIFS(NOVEDADES!$C$4:$C$2003,$B2236)&amp;")"))</f>
        <v/>
      </c>
    </row>
    <row r="2237">
      <c r="A2237" s="41" t="n"/>
      <c r="B2237" s="41" t="n"/>
      <c r="C2237" s="41" t="n"/>
      <c r="D2237" s="41" t="n"/>
      <c r="E2237" s="46" t="n"/>
      <c r="F2237" s="41" t="n"/>
      <c r="G2237" s="41" t="n"/>
      <c r="H2237" s="41" t="n"/>
      <c r="I2237" s="41" t="n"/>
      <c r="J2237" s="47" t="n"/>
      <c r="K2237" s="41" t="n"/>
      <c r="L2237" s="48" t="n"/>
      <c r="M2237" s="45" t="n"/>
      <c r="N2237" s="39">
        <f>IF($B2237="","",IF(SUMPRODUCT((LISTAS!$O$3:$O$42&lt;&gt;"")*ISNUMBER(SEARCH(LISTAS!$O$3:$O$42,$I2237&amp;" "&amp;$K2237)))&gt;0,"CERCANA","NACIONAL"))</f>
        <v/>
      </c>
      <c r="O2237" s="39">
        <f>IF($B2237="","",IF(COUNTIFS(NOVEDADES!$C$4:$C$2003,$B2237)=0,"—","SÍ ("&amp;COUNTIFS(NOVEDADES!$C$4:$C$2003,$B2237)&amp;")"))</f>
        <v/>
      </c>
    </row>
    <row r="2238">
      <c r="A2238" s="41" t="n"/>
      <c r="B2238" s="41" t="n"/>
      <c r="C2238" s="41" t="n"/>
      <c r="D2238" s="41" t="n"/>
      <c r="E2238" s="46" t="n"/>
      <c r="F2238" s="41" t="n"/>
      <c r="G2238" s="41" t="n"/>
      <c r="H2238" s="41" t="n"/>
      <c r="I2238" s="41" t="n"/>
      <c r="J2238" s="47" t="n"/>
      <c r="K2238" s="41" t="n"/>
      <c r="L2238" s="48" t="n"/>
      <c r="M2238" s="45" t="n"/>
      <c r="N2238" s="39">
        <f>IF($B2238="","",IF(SUMPRODUCT((LISTAS!$O$3:$O$42&lt;&gt;"")*ISNUMBER(SEARCH(LISTAS!$O$3:$O$42,$I2238&amp;" "&amp;$K2238)))&gt;0,"CERCANA","NACIONAL"))</f>
        <v/>
      </c>
      <c r="O2238" s="39">
        <f>IF($B2238="","",IF(COUNTIFS(NOVEDADES!$C$4:$C$2003,$B2238)=0,"—","SÍ ("&amp;COUNTIFS(NOVEDADES!$C$4:$C$2003,$B2238)&amp;")"))</f>
        <v/>
      </c>
    </row>
    <row r="2239">
      <c r="A2239" s="41" t="n"/>
      <c r="B2239" s="41" t="n"/>
      <c r="C2239" s="41" t="n"/>
      <c r="D2239" s="41" t="n"/>
      <c r="E2239" s="46" t="n"/>
      <c r="F2239" s="41" t="n"/>
      <c r="G2239" s="41" t="n"/>
      <c r="H2239" s="41" t="n"/>
      <c r="I2239" s="41" t="n"/>
      <c r="J2239" s="47" t="n"/>
      <c r="K2239" s="41" t="n"/>
      <c r="L2239" s="48" t="n"/>
      <c r="M2239" s="45" t="n"/>
      <c r="N2239" s="39">
        <f>IF($B2239="","",IF(SUMPRODUCT((LISTAS!$O$3:$O$42&lt;&gt;"")*ISNUMBER(SEARCH(LISTAS!$O$3:$O$42,$I2239&amp;" "&amp;$K2239)))&gt;0,"CERCANA","NACIONAL"))</f>
        <v/>
      </c>
      <c r="O2239" s="39">
        <f>IF($B2239="","",IF(COUNTIFS(NOVEDADES!$C$4:$C$2003,$B2239)=0,"—","SÍ ("&amp;COUNTIFS(NOVEDADES!$C$4:$C$2003,$B2239)&amp;")"))</f>
        <v/>
      </c>
    </row>
    <row r="2240">
      <c r="A2240" s="41" t="n"/>
      <c r="B2240" s="41" t="n"/>
      <c r="C2240" s="41" t="n"/>
      <c r="D2240" s="41" t="n"/>
      <c r="E2240" s="46" t="n"/>
      <c r="F2240" s="41" t="n"/>
      <c r="G2240" s="41" t="n"/>
      <c r="H2240" s="41" t="n"/>
      <c r="I2240" s="41" t="n"/>
      <c r="J2240" s="47" t="n"/>
      <c r="K2240" s="41" t="n"/>
      <c r="L2240" s="48" t="n"/>
      <c r="M2240" s="45" t="n"/>
      <c r="N2240" s="39">
        <f>IF($B2240="","",IF(SUMPRODUCT((LISTAS!$O$3:$O$42&lt;&gt;"")*ISNUMBER(SEARCH(LISTAS!$O$3:$O$42,$I2240&amp;" "&amp;$K2240)))&gt;0,"CERCANA","NACIONAL"))</f>
        <v/>
      </c>
      <c r="O2240" s="39">
        <f>IF($B2240="","",IF(COUNTIFS(NOVEDADES!$C$4:$C$2003,$B2240)=0,"—","SÍ ("&amp;COUNTIFS(NOVEDADES!$C$4:$C$2003,$B2240)&amp;")"))</f>
        <v/>
      </c>
    </row>
    <row r="2241">
      <c r="A2241" s="41" t="n"/>
      <c r="B2241" s="41" t="n"/>
      <c r="C2241" s="41" t="n"/>
      <c r="D2241" s="41" t="n"/>
      <c r="E2241" s="46" t="n"/>
      <c r="F2241" s="41" t="n"/>
      <c r="G2241" s="41" t="n"/>
      <c r="H2241" s="41" t="n"/>
      <c r="I2241" s="41" t="n"/>
      <c r="J2241" s="47" t="n"/>
      <c r="K2241" s="41" t="n"/>
      <c r="L2241" s="48" t="n"/>
      <c r="M2241" s="45" t="n"/>
      <c r="N2241" s="39">
        <f>IF($B2241="","",IF(SUMPRODUCT((LISTAS!$O$3:$O$42&lt;&gt;"")*ISNUMBER(SEARCH(LISTAS!$O$3:$O$42,$I2241&amp;" "&amp;$K2241)))&gt;0,"CERCANA","NACIONAL"))</f>
        <v/>
      </c>
      <c r="O2241" s="39">
        <f>IF($B2241="","",IF(COUNTIFS(NOVEDADES!$C$4:$C$2003,$B2241)=0,"—","SÍ ("&amp;COUNTIFS(NOVEDADES!$C$4:$C$2003,$B2241)&amp;")"))</f>
        <v/>
      </c>
    </row>
    <row r="2242">
      <c r="A2242" s="41" t="n"/>
      <c r="B2242" s="41" t="n"/>
      <c r="C2242" s="41" t="n"/>
      <c r="D2242" s="41" t="n"/>
      <c r="E2242" s="46" t="n"/>
      <c r="F2242" s="41" t="n"/>
      <c r="G2242" s="41" t="n"/>
      <c r="H2242" s="41" t="n"/>
      <c r="I2242" s="41" t="n"/>
      <c r="J2242" s="47" t="n"/>
      <c r="K2242" s="41" t="n"/>
      <c r="L2242" s="48" t="n"/>
      <c r="M2242" s="45" t="n"/>
      <c r="N2242" s="39">
        <f>IF($B2242="","",IF(SUMPRODUCT((LISTAS!$O$3:$O$42&lt;&gt;"")*ISNUMBER(SEARCH(LISTAS!$O$3:$O$42,$I2242&amp;" "&amp;$K2242)))&gt;0,"CERCANA","NACIONAL"))</f>
        <v/>
      </c>
      <c r="O2242" s="39">
        <f>IF($B2242="","",IF(COUNTIFS(NOVEDADES!$C$4:$C$2003,$B2242)=0,"—","SÍ ("&amp;COUNTIFS(NOVEDADES!$C$4:$C$2003,$B2242)&amp;")"))</f>
        <v/>
      </c>
    </row>
    <row r="2243">
      <c r="A2243" s="41" t="n"/>
      <c r="B2243" s="41" t="n"/>
      <c r="C2243" s="41" t="n"/>
      <c r="D2243" s="41" t="n"/>
      <c r="E2243" s="46" t="n"/>
      <c r="F2243" s="41" t="n"/>
      <c r="G2243" s="41" t="n"/>
      <c r="H2243" s="41" t="n"/>
      <c r="I2243" s="41" t="n"/>
      <c r="J2243" s="47" t="n"/>
      <c r="K2243" s="41" t="n"/>
      <c r="L2243" s="48" t="n"/>
      <c r="M2243" s="45" t="n"/>
      <c r="N2243" s="39">
        <f>IF($B2243="","",IF(SUMPRODUCT((LISTAS!$O$3:$O$42&lt;&gt;"")*ISNUMBER(SEARCH(LISTAS!$O$3:$O$42,$I2243&amp;" "&amp;$K2243)))&gt;0,"CERCANA","NACIONAL"))</f>
        <v/>
      </c>
      <c r="O2243" s="39">
        <f>IF($B2243="","",IF(COUNTIFS(NOVEDADES!$C$4:$C$2003,$B2243)=0,"—","SÍ ("&amp;COUNTIFS(NOVEDADES!$C$4:$C$2003,$B2243)&amp;")"))</f>
        <v/>
      </c>
    </row>
    <row r="2244">
      <c r="A2244" s="41" t="n"/>
      <c r="B2244" s="41" t="n"/>
      <c r="C2244" s="41" t="n"/>
      <c r="D2244" s="41" t="n"/>
      <c r="E2244" s="46" t="n"/>
      <c r="F2244" s="41" t="n"/>
      <c r="G2244" s="41" t="n"/>
      <c r="H2244" s="41" t="n"/>
      <c r="I2244" s="41" t="n"/>
      <c r="J2244" s="47" t="n"/>
      <c r="K2244" s="41" t="n"/>
      <c r="L2244" s="48" t="n"/>
      <c r="M2244" s="45" t="n"/>
      <c r="N2244" s="39">
        <f>IF($B2244="","",IF(SUMPRODUCT((LISTAS!$O$3:$O$42&lt;&gt;"")*ISNUMBER(SEARCH(LISTAS!$O$3:$O$42,$I2244&amp;" "&amp;$K2244)))&gt;0,"CERCANA","NACIONAL"))</f>
        <v/>
      </c>
      <c r="O2244" s="39">
        <f>IF($B2244="","",IF(COUNTIFS(NOVEDADES!$C$4:$C$2003,$B2244)=0,"—","SÍ ("&amp;COUNTIFS(NOVEDADES!$C$4:$C$2003,$B2244)&amp;")"))</f>
        <v/>
      </c>
    </row>
    <row r="2245">
      <c r="A2245" s="41" t="n"/>
      <c r="B2245" s="41" t="n"/>
      <c r="C2245" s="41" t="n"/>
      <c r="D2245" s="41" t="n"/>
      <c r="E2245" s="46" t="n"/>
      <c r="F2245" s="41" t="n"/>
      <c r="G2245" s="41" t="n"/>
      <c r="H2245" s="41" t="n"/>
      <c r="I2245" s="41" t="n"/>
      <c r="J2245" s="47" t="n"/>
      <c r="K2245" s="41" t="n"/>
      <c r="L2245" s="48" t="n"/>
      <c r="M2245" s="45" t="n"/>
      <c r="N2245" s="39">
        <f>IF($B2245="","",IF(SUMPRODUCT((LISTAS!$O$3:$O$42&lt;&gt;"")*ISNUMBER(SEARCH(LISTAS!$O$3:$O$42,$I2245&amp;" "&amp;$K2245)))&gt;0,"CERCANA","NACIONAL"))</f>
        <v/>
      </c>
      <c r="O2245" s="39">
        <f>IF($B2245="","",IF(COUNTIFS(NOVEDADES!$C$4:$C$2003,$B2245)=0,"—","SÍ ("&amp;COUNTIFS(NOVEDADES!$C$4:$C$2003,$B2245)&amp;")"))</f>
        <v/>
      </c>
    </row>
    <row r="2246">
      <c r="A2246" s="41" t="n"/>
      <c r="B2246" s="41" t="n"/>
      <c r="C2246" s="41" t="n"/>
      <c r="D2246" s="41" t="n"/>
      <c r="E2246" s="46" t="n"/>
      <c r="F2246" s="41" t="n"/>
      <c r="G2246" s="41" t="n"/>
      <c r="H2246" s="41" t="n"/>
      <c r="I2246" s="41" t="n"/>
      <c r="J2246" s="47" t="n"/>
      <c r="K2246" s="41" t="n"/>
      <c r="L2246" s="48" t="n"/>
      <c r="M2246" s="45" t="n"/>
      <c r="N2246" s="39">
        <f>IF($B2246="","",IF(SUMPRODUCT((LISTAS!$O$3:$O$42&lt;&gt;"")*ISNUMBER(SEARCH(LISTAS!$O$3:$O$42,$I2246&amp;" "&amp;$K2246)))&gt;0,"CERCANA","NACIONAL"))</f>
        <v/>
      </c>
      <c r="O2246" s="39">
        <f>IF($B2246="","",IF(COUNTIFS(NOVEDADES!$C$4:$C$2003,$B2246)=0,"—","SÍ ("&amp;COUNTIFS(NOVEDADES!$C$4:$C$2003,$B2246)&amp;")"))</f>
        <v/>
      </c>
    </row>
    <row r="2247">
      <c r="A2247" s="41" t="n"/>
      <c r="B2247" s="41" t="n"/>
      <c r="C2247" s="41" t="n"/>
      <c r="D2247" s="41" t="n"/>
      <c r="E2247" s="46" t="n"/>
      <c r="F2247" s="41" t="n"/>
      <c r="G2247" s="41" t="n"/>
      <c r="H2247" s="41" t="n"/>
      <c r="I2247" s="41" t="n"/>
      <c r="J2247" s="47" t="n"/>
      <c r="K2247" s="41" t="n"/>
      <c r="L2247" s="48" t="n"/>
      <c r="M2247" s="45" t="n"/>
      <c r="N2247" s="39">
        <f>IF($B2247="","",IF(SUMPRODUCT((LISTAS!$O$3:$O$42&lt;&gt;"")*ISNUMBER(SEARCH(LISTAS!$O$3:$O$42,$I2247&amp;" "&amp;$K2247)))&gt;0,"CERCANA","NACIONAL"))</f>
        <v/>
      </c>
      <c r="O2247" s="39">
        <f>IF($B2247="","",IF(COUNTIFS(NOVEDADES!$C$4:$C$2003,$B2247)=0,"—","SÍ ("&amp;COUNTIFS(NOVEDADES!$C$4:$C$2003,$B2247)&amp;")"))</f>
        <v/>
      </c>
    </row>
    <row r="2248">
      <c r="A2248" s="41" t="n"/>
      <c r="B2248" s="41" t="n"/>
      <c r="C2248" s="41" t="n"/>
      <c r="D2248" s="41" t="n"/>
      <c r="E2248" s="46" t="n"/>
      <c r="F2248" s="41" t="n"/>
      <c r="G2248" s="41" t="n"/>
      <c r="H2248" s="41" t="n"/>
      <c r="I2248" s="41" t="n"/>
      <c r="J2248" s="47" t="n"/>
      <c r="K2248" s="41" t="n"/>
      <c r="L2248" s="48" t="n"/>
      <c r="M2248" s="45" t="n"/>
      <c r="N2248" s="39">
        <f>IF($B2248="","",IF(SUMPRODUCT((LISTAS!$O$3:$O$42&lt;&gt;"")*ISNUMBER(SEARCH(LISTAS!$O$3:$O$42,$I2248&amp;" "&amp;$K2248)))&gt;0,"CERCANA","NACIONAL"))</f>
        <v/>
      </c>
      <c r="O2248" s="39">
        <f>IF($B2248="","",IF(COUNTIFS(NOVEDADES!$C$4:$C$2003,$B2248)=0,"—","SÍ ("&amp;COUNTIFS(NOVEDADES!$C$4:$C$2003,$B2248)&amp;")"))</f>
        <v/>
      </c>
    </row>
    <row r="2249">
      <c r="A2249" s="41" t="n"/>
      <c r="B2249" s="41" t="n"/>
      <c r="C2249" s="41" t="n"/>
      <c r="D2249" s="41" t="n"/>
      <c r="E2249" s="46" t="n"/>
      <c r="F2249" s="41" t="n"/>
      <c r="G2249" s="41" t="n"/>
      <c r="H2249" s="41" t="n"/>
      <c r="I2249" s="41" t="n"/>
      <c r="J2249" s="47" t="n"/>
      <c r="K2249" s="41" t="n"/>
      <c r="L2249" s="48" t="n"/>
      <c r="M2249" s="45" t="n"/>
      <c r="N2249" s="39">
        <f>IF($B2249="","",IF(SUMPRODUCT((LISTAS!$O$3:$O$42&lt;&gt;"")*ISNUMBER(SEARCH(LISTAS!$O$3:$O$42,$I2249&amp;" "&amp;$K2249)))&gt;0,"CERCANA","NACIONAL"))</f>
        <v/>
      </c>
      <c r="O2249" s="39">
        <f>IF($B2249="","",IF(COUNTIFS(NOVEDADES!$C$4:$C$2003,$B2249)=0,"—","SÍ ("&amp;COUNTIFS(NOVEDADES!$C$4:$C$2003,$B2249)&amp;")"))</f>
        <v/>
      </c>
    </row>
    <row r="2250">
      <c r="A2250" s="41" t="n"/>
      <c r="B2250" s="41" t="n"/>
      <c r="C2250" s="41" t="n"/>
      <c r="D2250" s="41" t="n"/>
      <c r="E2250" s="46" t="n"/>
      <c r="F2250" s="41" t="n"/>
      <c r="G2250" s="41" t="n"/>
      <c r="H2250" s="41" t="n"/>
      <c r="I2250" s="41" t="n"/>
      <c r="J2250" s="47" t="n"/>
      <c r="K2250" s="41" t="n"/>
      <c r="L2250" s="48" t="n"/>
      <c r="M2250" s="45" t="n"/>
      <c r="N2250" s="39">
        <f>IF($B2250="","",IF(SUMPRODUCT((LISTAS!$O$3:$O$42&lt;&gt;"")*ISNUMBER(SEARCH(LISTAS!$O$3:$O$42,$I2250&amp;" "&amp;$K2250)))&gt;0,"CERCANA","NACIONAL"))</f>
        <v/>
      </c>
      <c r="O2250" s="39">
        <f>IF($B2250="","",IF(COUNTIFS(NOVEDADES!$C$4:$C$2003,$B2250)=0,"—","SÍ ("&amp;COUNTIFS(NOVEDADES!$C$4:$C$2003,$B2250)&amp;")"))</f>
        <v/>
      </c>
    </row>
    <row r="2251">
      <c r="A2251" s="41" t="n"/>
      <c r="B2251" s="41" t="n"/>
      <c r="C2251" s="41" t="n"/>
      <c r="D2251" s="41" t="n"/>
      <c r="E2251" s="46" t="n"/>
      <c r="F2251" s="41" t="n"/>
      <c r="G2251" s="41" t="n"/>
      <c r="H2251" s="41" t="n"/>
      <c r="I2251" s="41" t="n"/>
      <c r="J2251" s="47" t="n"/>
      <c r="K2251" s="41" t="n"/>
      <c r="L2251" s="48" t="n"/>
      <c r="M2251" s="45" t="n"/>
      <c r="N2251" s="39">
        <f>IF($B2251="","",IF(SUMPRODUCT((LISTAS!$O$3:$O$42&lt;&gt;"")*ISNUMBER(SEARCH(LISTAS!$O$3:$O$42,$I2251&amp;" "&amp;$K2251)))&gt;0,"CERCANA","NACIONAL"))</f>
        <v/>
      </c>
      <c r="O2251" s="39">
        <f>IF($B2251="","",IF(COUNTIFS(NOVEDADES!$C$4:$C$2003,$B2251)=0,"—","SÍ ("&amp;COUNTIFS(NOVEDADES!$C$4:$C$2003,$B2251)&amp;")"))</f>
        <v/>
      </c>
    </row>
    <row r="2252">
      <c r="A2252" s="41" t="n"/>
      <c r="B2252" s="41" t="n"/>
      <c r="C2252" s="41" t="n"/>
      <c r="D2252" s="41" t="n"/>
      <c r="E2252" s="46" t="n"/>
      <c r="F2252" s="41" t="n"/>
      <c r="G2252" s="41" t="n"/>
      <c r="H2252" s="41" t="n"/>
      <c r="I2252" s="41" t="n"/>
      <c r="J2252" s="47" t="n"/>
      <c r="K2252" s="41" t="n"/>
      <c r="L2252" s="48" t="n"/>
      <c r="M2252" s="45" t="n"/>
      <c r="N2252" s="39">
        <f>IF($B2252="","",IF(SUMPRODUCT((LISTAS!$O$3:$O$42&lt;&gt;"")*ISNUMBER(SEARCH(LISTAS!$O$3:$O$42,$I2252&amp;" "&amp;$K2252)))&gt;0,"CERCANA","NACIONAL"))</f>
        <v/>
      </c>
      <c r="O2252" s="39">
        <f>IF($B2252="","",IF(COUNTIFS(NOVEDADES!$C$4:$C$2003,$B2252)=0,"—","SÍ ("&amp;COUNTIFS(NOVEDADES!$C$4:$C$2003,$B2252)&amp;")"))</f>
        <v/>
      </c>
    </row>
    <row r="2253">
      <c r="A2253" s="41" t="n"/>
      <c r="B2253" s="41" t="n"/>
      <c r="C2253" s="41" t="n"/>
      <c r="D2253" s="41" t="n"/>
      <c r="E2253" s="46" t="n"/>
      <c r="F2253" s="41" t="n"/>
      <c r="G2253" s="41" t="n"/>
      <c r="H2253" s="41" t="n"/>
      <c r="I2253" s="41" t="n"/>
      <c r="J2253" s="47" t="n"/>
      <c r="K2253" s="41" t="n"/>
      <c r="L2253" s="48" t="n"/>
      <c r="M2253" s="45" t="n"/>
      <c r="N2253" s="39">
        <f>IF($B2253="","",IF(SUMPRODUCT((LISTAS!$O$3:$O$42&lt;&gt;"")*ISNUMBER(SEARCH(LISTAS!$O$3:$O$42,$I2253&amp;" "&amp;$K2253)))&gt;0,"CERCANA","NACIONAL"))</f>
        <v/>
      </c>
      <c r="O2253" s="39">
        <f>IF($B2253="","",IF(COUNTIFS(NOVEDADES!$C$4:$C$2003,$B2253)=0,"—","SÍ ("&amp;COUNTIFS(NOVEDADES!$C$4:$C$2003,$B2253)&amp;")"))</f>
        <v/>
      </c>
    </row>
    <row r="2254">
      <c r="A2254" s="41" t="n"/>
      <c r="B2254" s="41" t="n"/>
      <c r="C2254" s="41" t="n"/>
      <c r="D2254" s="41" t="n"/>
      <c r="E2254" s="46" t="n"/>
      <c r="F2254" s="41" t="n"/>
      <c r="G2254" s="41" t="n"/>
      <c r="H2254" s="41" t="n"/>
      <c r="I2254" s="41" t="n"/>
      <c r="J2254" s="47" t="n"/>
      <c r="K2254" s="41" t="n"/>
      <c r="L2254" s="48" t="n"/>
      <c r="M2254" s="45" t="n"/>
      <c r="N2254" s="39">
        <f>IF($B2254="","",IF(SUMPRODUCT((LISTAS!$O$3:$O$42&lt;&gt;"")*ISNUMBER(SEARCH(LISTAS!$O$3:$O$42,$I2254&amp;" "&amp;$K2254)))&gt;0,"CERCANA","NACIONAL"))</f>
        <v/>
      </c>
      <c r="O2254" s="39">
        <f>IF($B2254="","",IF(COUNTIFS(NOVEDADES!$C$4:$C$2003,$B2254)=0,"—","SÍ ("&amp;COUNTIFS(NOVEDADES!$C$4:$C$2003,$B2254)&amp;")"))</f>
        <v/>
      </c>
    </row>
    <row r="2255">
      <c r="A2255" s="41" t="n"/>
      <c r="B2255" s="41" t="n"/>
      <c r="C2255" s="41" t="n"/>
      <c r="D2255" s="41" t="n"/>
      <c r="E2255" s="46" t="n"/>
      <c r="F2255" s="41" t="n"/>
      <c r="G2255" s="41" t="n"/>
      <c r="H2255" s="41" t="n"/>
      <c r="I2255" s="41" t="n"/>
      <c r="J2255" s="47" t="n"/>
      <c r="K2255" s="41" t="n"/>
      <c r="L2255" s="48" t="n"/>
      <c r="M2255" s="45" t="n"/>
      <c r="N2255" s="39">
        <f>IF($B2255="","",IF(SUMPRODUCT((LISTAS!$O$3:$O$42&lt;&gt;"")*ISNUMBER(SEARCH(LISTAS!$O$3:$O$42,$I2255&amp;" "&amp;$K2255)))&gt;0,"CERCANA","NACIONAL"))</f>
        <v/>
      </c>
      <c r="O2255" s="39">
        <f>IF($B2255="","",IF(COUNTIFS(NOVEDADES!$C$4:$C$2003,$B2255)=0,"—","SÍ ("&amp;COUNTIFS(NOVEDADES!$C$4:$C$2003,$B2255)&amp;")"))</f>
        <v/>
      </c>
    </row>
    <row r="2256">
      <c r="A2256" s="41" t="n"/>
      <c r="B2256" s="41" t="n"/>
      <c r="C2256" s="41" t="n"/>
      <c r="D2256" s="41" t="n"/>
      <c r="E2256" s="46" t="n"/>
      <c r="F2256" s="41" t="n"/>
      <c r="G2256" s="41" t="n"/>
      <c r="H2256" s="41" t="n"/>
      <c r="I2256" s="41" t="n"/>
      <c r="J2256" s="47" t="n"/>
      <c r="K2256" s="41" t="n"/>
      <c r="L2256" s="48" t="n"/>
      <c r="M2256" s="45" t="n"/>
      <c r="N2256" s="39">
        <f>IF($B2256="","",IF(SUMPRODUCT((LISTAS!$O$3:$O$42&lt;&gt;"")*ISNUMBER(SEARCH(LISTAS!$O$3:$O$42,$I2256&amp;" "&amp;$K2256)))&gt;0,"CERCANA","NACIONAL"))</f>
        <v/>
      </c>
      <c r="O2256" s="39">
        <f>IF($B2256="","",IF(COUNTIFS(NOVEDADES!$C$4:$C$2003,$B2256)=0,"—","SÍ ("&amp;COUNTIFS(NOVEDADES!$C$4:$C$2003,$B2256)&amp;")"))</f>
        <v/>
      </c>
    </row>
    <row r="2257">
      <c r="A2257" s="41" t="n"/>
      <c r="B2257" s="41" t="n"/>
      <c r="C2257" s="41" t="n"/>
      <c r="D2257" s="41" t="n"/>
      <c r="E2257" s="46" t="n"/>
      <c r="F2257" s="41" t="n"/>
      <c r="G2257" s="41" t="n"/>
      <c r="H2257" s="41" t="n"/>
      <c r="I2257" s="41" t="n"/>
      <c r="J2257" s="47" t="n"/>
      <c r="K2257" s="41" t="n"/>
      <c r="L2257" s="48" t="n"/>
      <c r="M2257" s="45" t="n"/>
      <c r="N2257" s="39">
        <f>IF($B2257="","",IF(SUMPRODUCT((LISTAS!$O$3:$O$42&lt;&gt;"")*ISNUMBER(SEARCH(LISTAS!$O$3:$O$42,$I2257&amp;" "&amp;$K2257)))&gt;0,"CERCANA","NACIONAL"))</f>
        <v/>
      </c>
      <c r="O2257" s="39">
        <f>IF($B2257="","",IF(COUNTIFS(NOVEDADES!$C$4:$C$2003,$B2257)=0,"—","SÍ ("&amp;COUNTIFS(NOVEDADES!$C$4:$C$2003,$B2257)&amp;")"))</f>
        <v/>
      </c>
    </row>
    <row r="2258">
      <c r="A2258" s="41" t="n"/>
      <c r="B2258" s="41" t="n"/>
      <c r="C2258" s="41" t="n"/>
      <c r="D2258" s="41" t="n"/>
      <c r="E2258" s="46" t="n"/>
      <c r="F2258" s="41" t="n"/>
      <c r="G2258" s="41" t="n"/>
      <c r="H2258" s="41" t="n"/>
      <c r="I2258" s="41" t="n"/>
      <c r="J2258" s="47" t="n"/>
      <c r="K2258" s="41" t="n"/>
      <c r="L2258" s="48" t="n"/>
      <c r="M2258" s="45" t="n"/>
      <c r="N2258" s="39">
        <f>IF($B2258="","",IF(SUMPRODUCT((LISTAS!$O$3:$O$42&lt;&gt;"")*ISNUMBER(SEARCH(LISTAS!$O$3:$O$42,$I2258&amp;" "&amp;$K2258)))&gt;0,"CERCANA","NACIONAL"))</f>
        <v/>
      </c>
      <c r="O2258" s="39">
        <f>IF($B2258="","",IF(COUNTIFS(NOVEDADES!$C$4:$C$2003,$B2258)=0,"—","SÍ ("&amp;COUNTIFS(NOVEDADES!$C$4:$C$2003,$B2258)&amp;")"))</f>
        <v/>
      </c>
    </row>
    <row r="2259">
      <c r="A2259" s="41" t="n"/>
      <c r="B2259" s="41" t="n"/>
      <c r="C2259" s="41" t="n"/>
      <c r="D2259" s="41" t="n"/>
      <c r="E2259" s="46" t="n"/>
      <c r="F2259" s="41" t="n"/>
      <c r="G2259" s="41" t="n"/>
      <c r="H2259" s="41" t="n"/>
      <c r="I2259" s="41" t="n"/>
      <c r="J2259" s="47" t="n"/>
      <c r="K2259" s="41" t="n"/>
      <c r="L2259" s="48" t="n"/>
      <c r="M2259" s="45" t="n"/>
      <c r="N2259" s="39">
        <f>IF($B2259="","",IF(SUMPRODUCT((LISTAS!$O$3:$O$42&lt;&gt;"")*ISNUMBER(SEARCH(LISTAS!$O$3:$O$42,$I2259&amp;" "&amp;$K2259)))&gt;0,"CERCANA","NACIONAL"))</f>
        <v/>
      </c>
      <c r="O2259" s="39">
        <f>IF($B2259="","",IF(COUNTIFS(NOVEDADES!$C$4:$C$2003,$B2259)=0,"—","SÍ ("&amp;COUNTIFS(NOVEDADES!$C$4:$C$2003,$B2259)&amp;")"))</f>
        <v/>
      </c>
    </row>
    <row r="2260">
      <c r="A2260" s="41" t="n"/>
      <c r="B2260" s="41" t="n"/>
      <c r="C2260" s="41" t="n"/>
      <c r="D2260" s="41" t="n"/>
      <c r="E2260" s="46" t="n"/>
      <c r="F2260" s="41" t="n"/>
      <c r="G2260" s="41" t="n"/>
      <c r="H2260" s="41" t="n"/>
      <c r="I2260" s="41" t="n"/>
      <c r="J2260" s="47" t="n"/>
      <c r="K2260" s="41" t="n"/>
      <c r="L2260" s="48" t="n"/>
      <c r="M2260" s="45" t="n"/>
      <c r="N2260" s="39">
        <f>IF($B2260="","",IF(SUMPRODUCT((LISTAS!$O$3:$O$42&lt;&gt;"")*ISNUMBER(SEARCH(LISTAS!$O$3:$O$42,$I2260&amp;" "&amp;$K2260)))&gt;0,"CERCANA","NACIONAL"))</f>
        <v/>
      </c>
      <c r="O2260" s="39">
        <f>IF($B2260="","",IF(COUNTIFS(NOVEDADES!$C$4:$C$2003,$B2260)=0,"—","SÍ ("&amp;COUNTIFS(NOVEDADES!$C$4:$C$2003,$B2260)&amp;")"))</f>
        <v/>
      </c>
    </row>
    <row r="2261">
      <c r="A2261" s="41" t="n"/>
      <c r="B2261" s="41" t="n"/>
      <c r="C2261" s="41" t="n"/>
      <c r="D2261" s="41" t="n"/>
      <c r="E2261" s="46" t="n"/>
      <c r="F2261" s="41" t="n"/>
      <c r="G2261" s="41" t="n"/>
      <c r="H2261" s="41" t="n"/>
      <c r="I2261" s="41" t="n"/>
      <c r="J2261" s="47" t="n"/>
      <c r="K2261" s="41" t="n"/>
      <c r="L2261" s="48" t="n"/>
      <c r="M2261" s="45" t="n"/>
      <c r="N2261" s="39">
        <f>IF($B2261="","",IF(SUMPRODUCT((LISTAS!$O$3:$O$42&lt;&gt;"")*ISNUMBER(SEARCH(LISTAS!$O$3:$O$42,$I2261&amp;" "&amp;$K2261)))&gt;0,"CERCANA","NACIONAL"))</f>
        <v/>
      </c>
      <c r="O2261" s="39">
        <f>IF($B2261="","",IF(COUNTIFS(NOVEDADES!$C$4:$C$2003,$B2261)=0,"—","SÍ ("&amp;COUNTIFS(NOVEDADES!$C$4:$C$2003,$B2261)&amp;")"))</f>
        <v/>
      </c>
    </row>
    <row r="2262">
      <c r="A2262" s="41" t="n"/>
      <c r="B2262" s="41" t="n"/>
      <c r="C2262" s="41" t="n"/>
      <c r="D2262" s="41" t="n"/>
      <c r="E2262" s="46" t="n"/>
      <c r="F2262" s="41" t="n"/>
      <c r="G2262" s="41" t="n"/>
      <c r="H2262" s="41" t="n"/>
      <c r="I2262" s="41" t="n"/>
      <c r="J2262" s="47" t="n"/>
      <c r="K2262" s="41" t="n"/>
      <c r="L2262" s="48" t="n"/>
      <c r="M2262" s="45" t="n"/>
      <c r="N2262" s="39">
        <f>IF($B2262="","",IF(SUMPRODUCT((LISTAS!$O$3:$O$42&lt;&gt;"")*ISNUMBER(SEARCH(LISTAS!$O$3:$O$42,$I2262&amp;" "&amp;$K2262)))&gt;0,"CERCANA","NACIONAL"))</f>
        <v/>
      </c>
      <c r="O2262" s="39">
        <f>IF($B2262="","",IF(COUNTIFS(NOVEDADES!$C$4:$C$2003,$B2262)=0,"—","SÍ ("&amp;COUNTIFS(NOVEDADES!$C$4:$C$2003,$B2262)&amp;")"))</f>
        <v/>
      </c>
    </row>
    <row r="2263">
      <c r="A2263" s="41" t="n"/>
      <c r="B2263" s="41" t="n"/>
      <c r="C2263" s="41" t="n"/>
      <c r="D2263" s="41" t="n"/>
      <c r="E2263" s="46" t="n"/>
      <c r="F2263" s="41" t="n"/>
      <c r="G2263" s="41" t="n"/>
      <c r="H2263" s="41" t="n"/>
      <c r="I2263" s="41" t="n"/>
      <c r="J2263" s="47" t="n"/>
      <c r="K2263" s="41" t="n"/>
      <c r="L2263" s="48" t="n"/>
      <c r="M2263" s="45" t="n"/>
      <c r="N2263" s="39">
        <f>IF($B2263="","",IF(SUMPRODUCT((LISTAS!$O$3:$O$42&lt;&gt;"")*ISNUMBER(SEARCH(LISTAS!$O$3:$O$42,$I2263&amp;" "&amp;$K2263)))&gt;0,"CERCANA","NACIONAL"))</f>
        <v/>
      </c>
      <c r="O2263" s="39">
        <f>IF($B2263="","",IF(COUNTIFS(NOVEDADES!$C$4:$C$2003,$B2263)=0,"—","SÍ ("&amp;COUNTIFS(NOVEDADES!$C$4:$C$2003,$B2263)&amp;")"))</f>
        <v/>
      </c>
    </row>
    <row r="2264">
      <c r="A2264" s="41" t="n"/>
      <c r="B2264" s="41" t="n"/>
      <c r="C2264" s="41" t="n"/>
      <c r="D2264" s="41" t="n"/>
      <c r="E2264" s="46" t="n"/>
      <c r="F2264" s="41" t="n"/>
      <c r="G2264" s="41" t="n"/>
      <c r="H2264" s="41" t="n"/>
      <c r="I2264" s="41" t="n"/>
      <c r="J2264" s="47" t="n"/>
      <c r="K2264" s="41" t="n"/>
      <c r="L2264" s="48" t="n"/>
      <c r="M2264" s="45" t="n"/>
      <c r="N2264" s="39">
        <f>IF($B2264="","",IF(SUMPRODUCT((LISTAS!$O$3:$O$42&lt;&gt;"")*ISNUMBER(SEARCH(LISTAS!$O$3:$O$42,$I2264&amp;" "&amp;$K2264)))&gt;0,"CERCANA","NACIONAL"))</f>
        <v/>
      </c>
      <c r="O2264" s="39">
        <f>IF($B2264="","",IF(COUNTIFS(NOVEDADES!$C$4:$C$2003,$B2264)=0,"—","SÍ ("&amp;COUNTIFS(NOVEDADES!$C$4:$C$2003,$B2264)&amp;")"))</f>
        <v/>
      </c>
    </row>
    <row r="2265">
      <c r="A2265" s="41" t="n"/>
      <c r="B2265" s="41" t="n"/>
      <c r="C2265" s="41" t="n"/>
      <c r="D2265" s="41" t="n"/>
      <c r="E2265" s="46" t="n"/>
      <c r="F2265" s="41" t="n"/>
      <c r="G2265" s="41" t="n"/>
      <c r="H2265" s="41" t="n"/>
      <c r="I2265" s="41" t="n"/>
      <c r="J2265" s="47" t="n"/>
      <c r="K2265" s="41" t="n"/>
      <c r="L2265" s="48" t="n"/>
      <c r="M2265" s="45" t="n"/>
      <c r="N2265" s="39">
        <f>IF($B2265="","",IF(SUMPRODUCT((LISTAS!$O$3:$O$42&lt;&gt;"")*ISNUMBER(SEARCH(LISTAS!$O$3:$O$42,$I2265&amp;" "&amp;$K2265)))&gt;0,"CERCANA","NACIONAL"))</f>
        <v/>
      </c>
      <c r="O2265" s="39">
        <f>IF($B2265="","",IF(COUNTIFS(NOVEDADES!$C$4:$C$2003,$B2265)=0,"—","SÍ ("&amp;COUNTIFS(NOVEDADES!$C$4:$C$2003,$B2265)&amp;")"))</f>
        <v/>
      </c>
    </row>
    <row r="2266">
      <c r="A2266" s="41" t="n"/>
      <c r="B2266" s="41" t="n"/>
      <c r="C2266" s="41" t="n"/>
      <c r="D2266" s="41" t="n"/>
      <c r="E2266" s="46" t="n"/>
      <c r="F2266" s="41" t="n"/>
      <c r="G2266" s="41" t="n"/>
      <c r="H2266" s="41" t="n"/>
      <c r="I2266" s="41" t="n"/>
      <c r="J2266" s="47" t="n"/>
      <c r="K2266" s="41" t="n"/>
      <c r="L2266" s="48" t="n"/>
      <c r="M2266" s="45" t="n"/>
      <c r="N2266" s="39">
        <f>IF($B2266="","",IF(SUMPRODUCT((LISTAS!$O$3:$O$42&lt;&gt;"")*ISNUMBER(SEARCH(LISTAS!$O$3:$O$42,$I2266&amp;" "&amp;$K2266)))&gt;0,"CERCANA","NACIONAL"))</f>
        <v/>
      </c>
      <c r="O2266" s="39">
        <f>IF($B2266="","",IF(COUNTIFS(NOVEDADES!$C$4:$C$2003,$B2266)=0,"—","SÍ ("&amp;COUNTIFS(NOVEDADES!$C$4:$C$2003,$B2266)&amp;")"))</f>
        <v/>
      </c>
    </row>
    <row r="2267">
      <c r="A2267" s="41" t="n"/>
      <c r="B2267" s="41" t="n"/>
      <c r="C2267" s="41" t="n"/>
      <c r="D2267" s="41" t="n"/>
      <c r="E2267" s="46" t="n"/>
      <c r="F2267" s="41" t="n"/>
      <c r="G2267" s="41" t="n"/>
      <c r="H2267" s="41" t="n"/>
      <c r="I2267" s="41" t="n"/>
      <c r="J2267" s="47" t="n"/>
      <c r="K2267" s="41" t="n"/>
      <c r="L2267" s="48" t="n"/>
      <c r="M2267" s="45" t="n"/>
      <c r="N2267" s="39">
        <f>IF($B2267="","",IF(SUMPRODUCT((LISTAS!$O$3:$O$42&lt;&gt;"")*ISNUMBER(SEARCH(LISTAS!$O$3:$O$42,$I2267&amp;" "&amp;$K2267)))&gt;0,"CERCANA","NACIONAL"))</f>
        <v/>
      </c>
      <c r="O2267" s="39">
        <f>IF($B2267="","",IF(COUNTIFS(NOVEDADES!$C$4:$C$2003,$B2267)=0,"—","SÍ ("&amp;COUNTIFS(NOVEDADES!$C$4:$C$2003,$B2267)&amp;")"))</f>
        <v/>
      </c>
    </row>
    <row r="2268">
      <c r="A2268" s="41" t="n"/>
      <c r="B2268" s="41" t="n"/>
      <c r="C2268" s="41" t="n"/>
      <c r="D2268" s="41" t="n"/>
      <c r="E2268" s="46" t="n"/>
      <c r="F2268" s="41" t="n"/>
      <c r="G2268" s="41" t="n"/>
      <c r="H2268" s="41" t="n"/>
      <c r="I2268" s="41" t="n"/>
      <c r="J2268" s="47" t="n"/>
      <c r="K2268" s="41" t="n"/>
      <c r="L2268" s="48" t="n"/>
      <c r="M2268" s="45" t="n"/>
      <c r="N2268" s="39">
        <f>IF($B2268="","",IF(SUMPRODUCT((LISTAS!$O$3:$O$42&lt;&gt;"")*ISNUMBER(SEARCH(LISTAS!$O$3:$O$42,$I2268&amp;" "&amp;$K2268)))&gt;0,"CERCANA","NACIONAL"))</f>
        <v/>
      </c>
      <c r="O2268" s="39">
        <f>IF($B2268="","",IF(COUNTIFS(NOVEDADES!$C$4:$C$2003,$B2268)=0,"—","SÍ ("&amp;COUNTIFS(NOVEDADES!$C$4:$C$2003,$B2268)&amp;")"))</f>
        <v/>
      </c>
    </row>
    <row r="2269">
      <c r="A2269" s="41" t="n"/>
      <c r="B2269" s="41" t="n"/>
      <c r="C2269" s="41" t="n"/>
      <c r="D2269" s="41" t="n"/>
      <c r="E2269" s="46" t="n"/>
      <c r="F2269" s="41" t="n"/>
      <c r="G2269" s="41" t="n"/>
      <c r="H2269" s="41" t="n"/>
      <c r="I2269" s="41" t="n"/>
      <c r="J2269" s="47" t="n"/>
      <c r="K2269" s="41" t="n"/>
      <c r="L2269" s="48" t="n"/>
      <c r="M2269" s="45" t="n"/>
      <c r="N2269" s="39">
        <f>IF($B2269="","",IF(SUMPRODUCT((LISTAS!$O$3:$O$42&lt;&gt;"")*ISNUMBER(SEARCH(LISTAS!$O$3:$O$42,$I2269&amp;" "&amp;$K2269)))&gt;0,"CERCANA","NACIONAL"))</f>
        <v/>
      </c>
      <c r="O2269" s="39">
        <f>IF($B2269="","",IF(COUNTIFS(NOVEDADES!$C$4:$C$2003,$B2269)=0,"—","SÍ ("&amp;COUNTIFS(NOVEDADES!$C$4:$C$2003,$B2269)&amp;")"))</f>
        <v/>
      </c>
    </row>
    <row r="2270">
      <c r="A2270" s="41" t="n"/>
      <c r="B2270" s="41" t="n"/>
      <c r="C2270" s="41" t="n"/>
      <c r="D2270" s="41" t="n"/>
      <c r="E2270" s="46" t="n"/>
      <c r="F2270" s="41" t="n"/>
      <c r="G2270" s="41" t="n"/>
      <c r="H2270" s="41" t="n"/>
      <c r="I2270" s="41" t="n"/>
      <c r="J2270" s="47" t="n"/>
      <c r="K2270" s="41" t="n"/>
      <c r="L2270" s="48" t="n"/>
      <c r="M2270" s="45" t="n"/>
      <c r="N2270" s="39">
        <f>IF($B2270="","",IF(SUMPRODUCT((LISTAS!$O$3:$O$42&lt;&gt;"")*ISNUMBER(SEARCH(LISTAS!$O$3:$O$42,$I2270&amp;" "&amp;$K2270)))&gt;0,"CERCANA","NACIONAL"))</f>
        <v/>
      </c>
      <c r="O2270" s="39">
        <f>IF($B2270="","",IF(COUNTIFS(NOVEDADES!$C$4:$C$2003,$B2270)=0,"—","SÍ ("&amp;COUNTIFS(NOVEDADES!$C$4:$C$2003,$B2270)&amp;")"))</f>
        <v/>
      </c>
    </row>
    <row r="2271">
      <c r="A2271" s="41" t="n"/>
      <c r="B2271" s="41" t="n"/>
      <c r="C2271" s="41" t="n"/>
      <c r="D2271" s="41" t="n"/>
      <c r="E2271" s="46" t="n"/>
      <c r="F2271" s="41" t="n"/>
      <c r="G2271" s="41" t="n"/>
      <c r="H2271" s="41" t="n"/>
      <c r="I2271" s="41" t="n"/>
      <c r="J2271" s="47" t="n"/>
      <c r="K2271" s="41" t="n"/>
      <c r="L2271" s="48" t="n"/>
      <c r="M2271" s="45" t="n"/>
      <c r="N2271" s="39">
        <f>IF($B2271="","",IF(SUMPRODUCT((LISTAS!$O$3:$O$42&lt;&gt;"")*ISNUMBER(SEARCH(LISTAS!$O$3:$O$42,$I2271&amp;" "&amp;$K2271)))&gt;0,"CERCANA","NACIONAL"))</f>
        <v/>
      </c>
      <c r="O2271" s="39">
        <f>IF($B2271="","",IF(COUNTIFS(NOVEDADES!$C$4:$C$2003,$B2271)=0,"—","SÍ ("&amp;COUNTIFS(NOVEDADES!$C$4:$C$2003,$B2271)&amp;")"))</f>
        <v/>
      </c>
    </row>
    <row r="2272">
      <c r="A2272" s="41" t="n"/>
      <c r="B2272" s="41" t="n"/>
      <c r="C2272" s="41" t="n"/>
      <c r="D2272" s="41" t="n"/>
      <c r="E2272" s="46" t="n"/>
      <c r="F2272" s="41" t="n"/>
      <c r="G2272" s="41" t="n"/>
      <c r="H2272" s="41" t="n"/>
      <c r="I2272" s="41" t="n"/>
      <c r="J2272" s="47" t="n"/>
      <c r="K2272" s="41" t="n"/>
      <c r="L2272" s="48" t="n"/>
      <c r="M2272" s="45" t="n"/>
      <c r="N2272" s="39">
        <f>IF($B2272="","",IF(SUMPRODUCT((LISTAS!$O$3:$O$42&lt;&gt;"")*ISNUMBER(SEARCH(LISTAS!$O$3:$O$42,$I2272&amp;" "&amp;$K2272)))&gt;0,"CERCANA","NACIONAL"))</f>
        <v/>
      </c>
      <c r="O2272" s="39">
        <f>IF($B2272="","",IF(COUNTIFS(NOVEDADES!$C$4:$C$2003,$B2272)=0,"—","SÍ ("&amp;COUNTIFS(NOVEDADES!$C$4:$C$2003,$B2272)&amp;")"))</f>
        <v/>
      </c>
    </row>
    <row r="2273">
      <c r="A2273" s="41" t="n"/>
      <c r="B2273" s="41" t="n"/>
      <c r="C2273" s="41" t="n"/>
      <c r="D2273" s="41" t="n"/>
      <c r="E2273" s="46" t="n"/>
      <c r="F2273" s="41" t="n"/>
      <c r="G2273" s="41" t="n"/>
      <c r="H2273" s="41" t="n"/>
      <c r="I2273" s="41" t="n"/>
      <c r="J2273" s="47" t="n"/>
      <c r="K2273" s="41" t="n"/>
      <c r="L2273" s="48" t="n"/>
      <c r="M2273" s="45" t="n"/>
      <c r="N2273" s="39">
        <f>IF($B2273="","",IF(SUMPRODUCT((LISTAS!$O$3:$O$42&lt;&gt;"")*ISNUMBER(SEARCH(LISTAS!$O$3:$O$42,$I2273&amp;" "&amp;$K2273)))&gt;0,"CERCANA","NACIONAL"))</f>
        <v/>
      </c>
      <c r="O2273" s="39">
        <f>IF($B2273="","",IF(COUNTIFS(NOVEDADES!$C$4:$C$2003,$B2273)=0,"—","SÍ ("&amp;COUNTIFS(NOVEDADES!$C$4:$C$2003,$B2273)&amp;")"))</f>
        <v/>
      </c>
    </row>
    <row r="2274">
      <c r="A2274" s="41" t="n"/>
      <c r="B2274" s="41" t="n"/>
      <c r="C2274" s="41" t="n"/>
      <c r="D2274" s="41" t="n"/>
      <c r="E2274" s="46" t="n"/>
      <c r="F2274" s="41" t="n"/>
      <c r="G2274" s="41" t="n"/>
      <c r="H2274" s="41" t="n"/>
      <c r="I2274" s="41" t="n"/>
      <c r="J2274" s="47" t="n"/>
      <c r="K2274" s="41" t="n"/>
      <c r="L2274" s="48" t="n"/>
      <c r="M2274" s="45" t="n"/>
      <c r="N2274" s="39">
        <f>IF($B2274="","",IF(SUMPRODUCT((LISTAS!$O$3:$O$42&lt;&gt;"")*ISNUMBER(SEARCH(LISTAS!$O$3:$O$42,$I2274&amp;" "&amp;$K2274)))&gt;0,"CERCANA","NACIONAL"))</f>
        <v/>
      </c>
      <c r="O2274" s="39">
        <f>IF($B2274="","",IF(COUNTIFS(NOVEDADES!$C$4:$C$2003,$B2274)=0,"—","SÍ ("&amp;COUNTIFS(NOVEDADES!$C$4:$C$2003,$B2274)&amp;")"))</f>
        <v/>
      </c>
    </row>
    <row r="2275">
      <c r="A2275" s="41" t="n"/>
      <c r="B2275" s="41" t="n"/>
      <c r="C2275" s="41" t="n"/>
      <c r="D2275" s="41" t="n"/>
      <c r="E2275" s="46" t="n"/>
      <c r="F2275" s="41" t="n"/>
      <c r="G2275" s="41" t="n"/>
      <c r="H2275" s="41" t="n"/>
      <c r="I2275" s="41" t="n"/>
      <c r="J2275" s="47" t="n"/>
      <c r="K2275" s="41" t="n"/>
      <c r="L2275" s="48" t="n"/>
      <c r="M2275" s="45" t="n"/>
      <c r="N2275" s="39">
        <f>IF($B2275="","",IF(SUMPRODUCT((LISTAS!$O$3:$O$42&lt;&gt;"")*ISNUMBER(SEARCH(LISTAS!$O$3:$O$42,$I2275&amp;" "&amp;$K2275)))&gt;0,"CERCANA","NACIONAL"))</f>
        <v/>
      </c>
      <c r="O2275" s="39">
        <f>IF($B2275="","",IF(COUNTIFS(NOVEDADES!$C$4:$C$2003,$B2275)=0,"—","SÍ ("&amp;COUNTIFS(NOVEDADES!$C$4:$C$2003,$B2275)&amp;")"))</f>
        <v/>
      </c>
    </row>
    <row r="2276">
      <c r="A2276" s="41" t="n"/>
      <c r="B2276" s="41" t="n"/>
      <c r="C2276" s="41" t="n"/>
      <c r="D2276" s="41" t="n"/>
      <c r="E2276" s="46" t="n"/>
      <c r="F2276" s="41" t="n"/>
      <c r="G2276" s="41" t="n"/>
      <c r="H2276" s="41" t="n"/>
      <c r="I2276" s="41" t="n"/>
      <c r="J2276" s="47" t="n"/>
      <c r="K2276" s="41" t="n"/>
      <c r="L2276" s="48" t="n"/>
      <c r="M2276" s="45" t="n"/>
      <c r="N2276" s="39">
        <f>IF($B2276="","",IF(SUMPRODUCT((LISTAS!$O$3:$O$42&lt;&gt;"")*ISNUMBER(SEARCH(LISTAS!$O$3:$O$42,$I2276&amp;" "&amp;$K2276)))&gt;0,"CERCANA","NACIONAL"))</f>
        <v/>
      </c>
      <c r="O2276" s="39">
        <f>IF($B2276="","",IF(COUNTIFS(NOVEDADES!$C$4:$C$2003,$B2276)=0,"—","SÍ ("&amp;COUNTIFS(NOVEDADES!$C$4:$C$2003,$B2276)&amp;")"))</f>
        <v/>
      </c>
    </row>
    <row r="2277">
      <c r="A2277" s="41" t="n"/>
      <c r="B2277" s="41" t="n"/>
      <c r="C2277" s="41" t="n"/>
      <c r="D2277" s="41" t="n"/>
      <c r="E2277" s="46" t="n"/>
      <c r="F2277" s="41" t="n"/>
      <c r="G2277" s="41" t="n"/>
      <c r="H2277" s="41" t="n"/>
      <c r="I2277" s="41" t="n"/>
      <c r="J2277" s="47" t="n"/>
      <c r="K2277" s="41" t="n"/>
      <c r="L2277" s="48" t="n"/>
      <c r="M2277" s="45" t="n"/>
      <c r="N2277" s="39">
        <f>IF($B2277="","",IF(SUMPRODUCT((LISTAS!$O$3:$O$42&lt;&gt;"")*ISNUMBER(SEARCH(LISTAS!$O$3:$O$42,$I2277&amp;" "&amp;$K2277)))&gt;0,"CERCANA","NACIONAL"))</f>
        <v/>
      </c>
      <c r="O2277" s="39">
        <f>IF($B2277="","",IF(COUNTIFS(NOVEDADES!$C$4:$C$2003,$B2277)=0,"—","SÍ ("&amp;COUNTIFS(NOVEDADES!$C$4:$C$2003,$B2277)&amp;")"))</f>
        <v/>
      </c>
    </row>
    <row r="2278">
      <c r="A2278" s="41" t="n"/>
      <c r="B2278" s="41" t="n"/>
      <c r="C2278" s="41" t="n"/>
      <c r="D2278" s="41" t="n"/>
      <c r="E2278" s="46" t="n"/>
      <c r="F2278" s="41" t="n"/>
      <c r="G2278" s="41" t="n"/>
      <c r="H2278" s="41" t="n"/>
      <c r="I2278" s="41" t="n"/>
      <c r="J2278" s="47" t="n"/>
      <c r="K2278" s="41" t="n"/>
      <c r="L2278" s="48" t="n"/>
      <c r="M2278" s="45" t="n"/>
      <c r="N2278" s="39">
        <f>IF($B2278="","",IF(SUMPRODUCT((LISTAS!$O$3:$O$42&lt;&gt;"")*ISNUMBER(SEARCH(LISTAS!$O$3:$O$42,$I2278&amp;" "&amp;$K2278)))&gt;0,"CERCANA","NACIONAL"))</f>
        <v/>
      </c>
      <c r="O2278" s="39">
        <f>IF($B2278="","",IF(COUNTIFS(NOVEDADES!$C$4:$C$2003,$B2278)=0,"—","SÍ ("&amp;COUNTIFS(NOVEDADES!$C$4:$C$2003,$B2278)&amp;")"))</f>
        <v/>
      </c>
    </row>
    <row r="2279">
      <c r="A2279" s="41" t="n"/>
      <c r="B2279" s="41" t="n"/>
      <c r="C2279" s="41" t="n"/>
      <c r="D2279" s="41" t="n"/>
      <c r="E2279" s="46" t="n"/>
      <c r="F2279" s="41" t="n"/>
      <c r="G2279" s="41" t="n"/>
      <c r="H2279" s="41" t="n"/>
      <c r="I2279" s="41" t="n"/>
      <c r="J2279" s="47" t="n"/>
      <c r="K2279" s="41" t="n"/>
      <c r="L2279" s="48" t="n"/>
      <c r="M2279" s="45" t="n"/>
      <c r="N2279" s="39">
        <f>IF($B2279="","",IF(SUMPRODUCT((LISTAS!$O$3:$O$42&lt;&gt;"")*ISNUMBER(SEARCH(LISTAS!$O$3:$O$42,$I2279&amp;" "&amp;$K2279)))&gt;0,"CERCANA","NACIONAL"))</f>
        <v/>
      </c>
      <c r="O2279" s="39">
        <f>IF($B2279="","",IF(COUNTIFS(NOVEDADES!$C$4:$C$2003,$B2279)=0,"—","SÍ ("&amp;COUNTIFS(NOVEDADES!$C$4:$C$2003,$B2279)&amp;")"))</f>
        <v/>
      </c>
    </row>
    <row r="2280">
      <c r="A2280" s="41" t="n"/>
      <c r="B2280" s="41" t="n"/>
      <c r="C2280" s="41" t="n"/>
      <c r="D2280" s="41" t="n"/>
      <c r="E2280" s="46" t="n"/>
      <c r="F2280" s="41" t="n"/>
      <c r="G2280" s="41" t="n"/>
      <c r="H2280" s="41" t="n"/>
      <c r="I2280" s="41" t="n"/>
      <c r="J2280" s="47" t="n"/>
      <c r="K2280" s="41" t="n"/>
      <c r="L2280" s="48" t="n"/>
      <c r="M2280" s="45" t="n"/>
      <c r="N2280" s="39">
        <f>IF($B2280="","",IF(SUMPRODUCT((LISTAS!$O$3:$O$42&lt;&gt;"")*ISNUMBER(SEARCH(LISTAS!$O$3:$O$42,$I2280&amp;" "&amp;$K2280)))&gt;0,"CERCANA","NACIONAL"))</f>
        <v/>
      </c>
      <c r="O2280" s="39">
        <f>IF($B2280="","",IF(COUNTIFS(NOVEDADES!$C$4:$C$2003,$B2280)=0,"—","SÍ ("&amp;COUNTIFS(NOVEDADES!$C$4:$C$2003,$B2280)&amp;")"))</f>
        <v/>
      </c>
    </row>
    <row r="2281">
      <c r="A2281" s="41" t="n"/>
      <c r="B2281" s="41" t="n"/>
      <c r="C2281" s="41" t="n"/>
      <c r="D2281" s="41" t="n"/>
      <c r="E2281" s="46" t="n"/>
      <c r="F2281" s="41" t="n"/>
      <c r="G2281" s="41" t="n"/>
      <c r="H2281" s="41" t="n"/>
      <c r="I2281" s="41" t="n"/>
      <c r="J2281" s="47" t="n"/>
      <c r="K2281" s="41" t="n"/>
      <c r="L2281" s="48" t="n"/>
      <c r="M2281" s="45" t="n"/>
      <c r="N2281" s="39">
        <f>IF($B2281="","",IF(SUMPRODUCT((LISTAS!$O$3:$O$42&lt;&gt;"")*ISNUMBER(SEARCH(LISTAS!$O$3:$O$42,$I2281&amp;" "&amp;$K2281)))&gt;0,"CERCANA","NACIONAL"))</f>
        <v/>
      </c>
      <c r="O2281" s="39">
        <f>IF($B2281="","",IF(COUNTIFS(NOVEDADES!$C$4:$C$2003,$B2281)=0,"—","SÍ ("&amp;COUNTIFS(NOVEDADES!$C$4:$C$2003,$B2281)&amp;")"))</f>
        <v/>
      </c>
    </row>
    <row r="2282">
      <c r="A2282" s="41" t="n"/>
      <c r="B2282" s="41" t="n"/>
      <c r="C2282" s="41" t="n"/>
      <c r="D2282" s="41" t="n"/>
      <c r="E2282" s="46" t="n"/>
      <c r="F2282" s="41" t="n"/>
      <c r="G2282" s="41" t="n"/>
      <c r="H2282" s="41" t="n"/>
      <c r="I2282" s="41" t="n"/>
      <c r="J2282" s="47" t="n"/>
      <c r="K2282" s="41" t="n"/>
      <c r="L2282" s="48" t="n"/>
      <c r="M2282" s="45" t="n"/>
      <c r="N2282" s="39">
        <f>IF($B2282="","",IF(SUMPRODUCT((LISTAS!$O$3:$O$42&lt;&gt;"")*ISNUMBER(SEARCH(LISTAS!$O$3:$O$42,$I2282&amp;" "&amp;$K2282)))&gt;0,"CERCANA","NACIONAL"))</f>
        <v/>
      </c>
      <c r="O2282" s="39">
        <f>IF($B2282="","",IF(COUNTIFS(NOVEDADES!$C$4:$C$2003,$B2282)=0,"—","SÍ ("&amp;COUNTIFS(NOVEDADES!$C$4:$C$2003,$B2282)&amp;")"))</f>
        <v/>
      </c>
    </row>
    <row r="2283">
      <c r="A2283" s="41" t="n"/>
      <c r="B2283" s="41" t="n"/>
      <c r="C2283" s="41" t="n"/>
      <c r="D2283" s="41" t="n"/>
      <c r="E2283" s="46" t="n"/>
      <c r="F2283" s="41" t="n"/>
      <c r="G2283" s="41" t="n"/>
      <c r="H2283" s="41" t="n"/>
      <c r="I2283" s="41" t="n"/>
      <c r="J2283" s="47" t="n"/>
      <c r="K2283" s="41" t="n"/>
      <c r="L2283" s="48" t="n"/>
      <c r="M2283" s="45" t="n"/>
      <c r="N2283" s="39">
        <f>IF($B2283="","",IF(SUMPRODUCT((LISTAS!$O$3:$O$42&lt;&gt;"")*ISNUMBER(SEARCH(LISTAS!$O$3:$O$42,$I2283&amp;" "&amp;$K2283)))&gt;0,"CERCANA","NACIONAL"))</f>
        <v/>
      </c>
      <c r="O2283" s="39">
        <f>IF($B2283="","",IF(COUNTIFS(NOVEDADES!$C$4:$C$2003,$B2283)=0,"—","SÍ ("&amp;COUNTIFS(NOVEDADES!$C$4:$C$2003,$B2283)&amp;")"))</f>
        <v/>
      </c>
    </row>
    <row r="2284">
      <c r="A2284" s="41" t="n"/>
      <c r="B2284" s="41" t="n"/>
      <c r="C2284" s="41" t="n"/>
      <c r="D2284" s="41" t="n"/>
      <c r="E2284" s="46" t="n"/>
      <c r="F2284" s="41" t="n"/>
      <c r="G2284" s="41" t="n"/>
      <c r="H2284" s="41" t="n"/>
      <c r="I2284" s="41" t="n"/>
      <c r="J2284" s="47" t="n"/>
      <c r="K2284" s="41" t="n"/>
      <c r="L2284" s="48" t="n"/>
      <c r="M2284" s="45" t="n"/>
      <c r="N2284" s="39">
        <f>IF($B2284="","",IF(SUMPRODUCT((LISTAS!$O$3:$O$42&lt;&gt;"")*ISNUMBER(SEARCH(LISTAS!$O$3:$O$42,$I2284&amp;" "&amp;$K2284)))&gt;0,"CERCANA","NACIONAL"))</f>
        <v/>
      </c>
      <c r="O2284" s="39">
        <f>IF($B2284="","",IF(COUNTIFS(NOVEDADES!$C$4:$C$2003,$B2284)=0,"—","SÍ ("&amp;COUNTIFS(NOVEDADES!$C$4:$C$2003,$B2284)&amp;")"))</f>
        <v/>
      </c>
    </row>
    <row r="2285">
      <c r="A2285" s="41" t="n"/>
      <c r="B2285" s="41" t="n"/>
      <c r="C2285" s="41" t="n"/>
      <c r="D2285" s="41" t="n"/>
      <c r="E2285" s="46" t="n"/>
      <c r="F2285" s="41" t="n"/>
      <c r="G2285" s="41" t="n"/>
      <c r="H2285" s="41" t="n"/>
      <c r="I2285" s="41" t="n"/>
      <c r="J2285" s="47" t="n"/>
      <c r="K2285" s="41" t="n"/>
      <c r="L2285" s="48" t="n"/>
      <c r="M2285" s="45" t="n"/>
      <c r="N2285" s="39">
        <f>IF($B2285="","",IF(SUMPRODUCT((LISTAS!$O$3:$O$42&lt;&gt;"")*ISNUMBER(SEARCH(LISTAS!$O$3:$O$42,$I2285&amp;" "&amp;$K2285)))&gt;0,"CERCANA","NACIONAL"))</f>
        <v/>
      </c>
      <c r="O2285" s="39">
        <f>IF($B2285="","",IF(COUNTIFS(NOVEDADES!$C$4:$C$2003,$B2285)=0,"—","SÍ ("&amp;COUNTIFS(NOVEDADES!$C$4:$C$2003,$B2285)&amp;")"))</f>
        <v/>
      </c>
    </row>
    <row r="2286">
      <c r="A2286" s="41" t="n"/>
      <c r="B2286" s="41" t="n"/>
      <c r="C2286" s="41" t="n"/>
      <c r="D2286" s="41" t="n"/>
      <c r="E2286" s="46" t="n"/>
      <c r="F2286" s="41" t="n"/>
      <c r="G2286" s="41" t="n"/>
      <c r="H2286" s="41" t="n"/>
      <c r="I2286" s="41" t="n"/>
      <c r="J2286" s="47" t="n"/>
      <c r="K2286" s="41" t="n"/>
      <c r="L2286" s="48" t="n"/>
      <c r="M2286" s="45" t="n"/>
      <c r="N2286" s="39">
        <f>IF($B2286="","",IF(SUMPRODUCT((LISTAS!$O$3:$O$42&lt;&gt;"")*ISNUMBER(SEARCH(LISTAS!$O$3:$O$42,$I2286&amp;" "&amp;$K2286)))&gt;0,"CERCANA","NACIONAL"))</f>
        <v/>
      </c>
      <c r="O2286" s="39">
        <f>IF($B2286="","",IF(COUNTIFS(NOVEDADES!$C$4:$C$2003,$B2286)=0,"—","SÍ ("&amp;COUNTIFS(NOVEDADES!$C$4:$C$2003,$B2286)&amp;")"))</f>
        <v/>
      </c>
    </row>
    <row r="2287">
      <c r="A2287" s="41" t="n"/>
      <c r="B2287" s="41" t="n"/>
      <c r="C2287" s="41" t="n"/>
      <c r="D2287" s="41" t="n"/>
      <c r="E2287" s="46" t="n"/>
      <c r="F2287" s="41" t="n"/>
      <c r="G2287" s="41" t="n"/>
      <c r="H2287" s="41" t="n"/>
      <c r="I2287" s="41" t="n"/>
      <c r="J2287" s="47" t="n"/>
      <c r="K2287" s="41" t="n"/>
      <c r="L2287" s="48" t="n"/>
      <c r="M2287" s="45" t="n"/>
      <c r="N2287" s="39">
        <f>IF($B2287="","",IF(SUMPRODUCT((LISTAS!$O$3:$O$42&lt;&gt;"")*ISNUMBER(SEARCH(LISTAS!$O$3:$O$42,$I2287&amp;" "&amp;$K2287)))&gt;0,"CERCANA","NACIONAL"))</f>
        <v/>
      </c>
      <c r="O2287" s="39">
        <f>IF($B2287="","",IF(COUNTIFS(NOVEDADES!$C$4:$C$2003,$B2287)=0,"—","SÍ ("&amp;COUNTIFS(NOVEDADES!$C$4:$C$2003,$B2287)&amp;")"))</f>
        <v/>
      </c>
    </row>
    <row r="2288">
      <c r="A2288" s="41" t="n"/>
      <c r="B2288" s="41" t="n"/>
      <c r="C2288" s="41" t="n"/>
      <c r="D2288" s="41" t="n"/>
      <c r="E2288" s="46" t="n"/>
      <c r="F2288" s="41" t="n"/>
      <c r="G2288" s="41" t="n"/>
      <c r="H2288" s="41" t="n"/>
      <c r="I2288" s="41" t="n"/>
      <c r="J2288" s="47" t="n"/>
      <c r="K2288" s="41" t="n"/>
      <c r="L2288" s="48" t="n"/>
      <c r="M2288" s="45" t="n"/>
      <c r="N2288" s="39">
        <f>IF($B2288="","",IF(SUMPRODUCT((LISTAS!$O$3:$O$42&lt;&gt;"")*ISNUMBER(SEARCH(LISTAS!$O$3:$O$42,$I2288&amp;" "&amp;$K2288)))&gt;0,"CERCANA","NACIONAL"))</f>
        <v/>
      </c>
      <c r="O2288" s="39">
        <f>IF($B2288="","",IF(COUNTIFS(NOVEDADES!$C$4:$C$2003,$B2288)=0,"—","SÍ ("&amp;COUNTIFS(NOVEDADES!$C$4:$C$2003,$B2288)&amp;")"))</f>
        <v/>
      </c>
    </row>
    <row r="2289">
      <c r="A2289" s="41" t="n"/>
      <c r="B2289" s="41" t="n"/>
      <c r="C2289" s="41" t="n"/>
      <c r="D2289" s="41" t="n"/>
      <c r="E2289" s="46" t="n"/>
      <c r="F2289" s="41" t="n"/>
      <c r="G2289" s="41" t="n"/>
      <c r="H2289" s="41" t="n"/>
      <c r="I2289" s="41" t="n"/>
      <c r="J2289" s="47" t="n"/>
      <c r="K2289" s="41" t="n"/>
      <c r="L2289" s="48" t="n"/>
      <c r="M2289" s="45" t="n"/>
      <c r="N2289" s="39">
        <f>IF($B2289="","",IF(SUMPRODUCT((LISTAS!$O$3:$O$42&lt;&gt;"")*ISNUMBER(SEARCH(LISTAS!$O$3:$O$42,$I2289&amp;" "&amp;$K2289)))&gt;0,"CERCANA","NACIONAL"))</f>
        <v/>
      </c>
      <c r="O2289" s="39">
        <f>IF($B2289="","",IF(COUNTIFS(NOVEDADES!$C$4:$C$2003,$B2289)=0,"—","SÍ ("&amp;COUNTIFS(NOVEDADES!$C$4:$C$2003,$B2289)&amp;")"))</f>
        <v/>
      </c>
    </row>
    <row r="2290">
      <c r="A2290" s="41" t="n"/>
      <c r="B2290" s="41" t="n"/>
      <c r="C2290" s="41" t="n"/>
      <c r="D2290" s="41" t="n"/>
      <c r="E2290" s="46" t="n"/>
      <c r="F2290" s="41" t="n"/>
      <c r="G2290" s="41" t="n"/>
      <c r="H2290" s="41" t="n"/>
      <c r="I2290" s="41" t="n"/>
      <c r="J2290" s="47" t="n"/>
      <c r="K2290" s="41" t="n"/>
      <c r="L2290" s="48" t="n"/>
      <c r="M2290" s="45" t="n"/>
      <c r="N2290" s="39">
        <f>IF($B2290="","",IF(SUMPRODUCT((LISTAS!$O$3:$O$42&lt;&gt;"")*ISNUMBER(SEARCH(LISTAS!$O$3:$O$42,$I2290&amp;" "&amp;$K2290)))&gt;0,"CERCANA","NACIONAL"))</f>
        <v/>
      </c>
      <c r="O2290" s="39">
        <f>IF($B2290="","",IF(COUNTIFS(NOVEDADES!$C$4:$C$2003,$B2290)=0,"—","SÍ ("&amp;COUNTIFS(NOVEDADES!$C$4:$C$2003,$B2290)&amp;")"))</f>
        <v/>
      </c>
    </row>
    <row r="2291">
      <c r="A2291" s="41" t="n"/>
      <c r="B2291" s="41" t="n"/>
      <c r="C2291" s="41" t="n"/>
      <c r="D2291" s="41" t="n"/>
      <c r="E2291" s="46" t="n"/>
      <c r="F2291" s="41" t="n"/>
      <c r="G2291" s="41" t="n"/>
      <c r="H2291" s="41" t="n"/>
      <c r="I2291" s="41" t="n"/>
      <c r="J2291" s="47" t="n"/>
      <c r="K2291" s="41" t="n"/>
      <c r="L2291" s="48" t="n"/>
      <c r="M2291" s="45" t="n"/>
      <c r="N2291" s="39">
        <f>IF($B2291="","",IF(SUMPRODUCT((LISTAS!$O$3:$O$42&lt;&gt;"")*ISNUMBER(SEARCH(LISTAS!$O$3:$O$42,$I2291&amp;" "&amp;$K2291)))&gt;0,"CERCANA","NACIONAL"))</f>
        <v/>
      </c>
      <c r="O2291" s="39">
        <f>IF($B2291="","",IF(COUNTIFS(NOVEDADES!$C$4:$C$2003,$B2291)=0,"—","SÍ ("&amp;COUNTIFS(NOVEDADES!$C$4:$C$2003,$B2291)&amp;")"))</f>
        <v/>
      </c>
    </row>
    <row r="2292">
      <c r="A2292" s="41" t="n"/>
      <c r="B2292" s="41" t="n"/>
      <c r="C2292" s="41" t="n"/>
      <c r="D2292" s="41" t="n"/>
      <c r="E2292" s="46" t="n"/>
      <c r="F2292" s="41" t="n"/>
      <c r="G2292" s="41" t="n"/>
      <c r="H2292" s="41" t="n"/>
      <c r="I2292" s="41" t="n"/>
      <c r="J2292" s="47" t="n"/>
      <c r="K2292" s="41" t="n"/>
      <c r="L2292" s="48" t="n"/>
      <c r="M2292" s="45" t="n"/>
      <c r="N2292" s="39">
        <f>IF($B2292="","",IF(SUMPRODUCT((LISTAS!$O$3:$O$42&lt;&gt;"")*ISNUMBER(SEARCH(LISTAS!$O$3:$O$42,$I2292&amp;" "&amp;$K2292)))&gt;0,"CERCANA","NACIONAL"))</f>
        <v/>
      </c>
      <c r="O2292" s="39">
        <f>IF($B2292="","",IF(COUNTIFS(NOVEDADES!$C$4:$C$2003,$B2292)=0,"—","SÍ ("&amp;COUNTIFS(NOVEDADES!$C$4:$C$2003,$B2292)&amp;")"))</f>
        <v/>
      </c>
    </row>
    <row r="2293">
      <c r="A2293" s="41" t="n"/>
      <c r="B2293" s="41" t="n"/>
      <c r="C2293" s="41" t="n"/>
      <c r="D2293" s="41" t="n"/>
      <c r="E2293" s="46" t="n"/>
      <c r="F2293" s="41" t="n"/>
      <c r="G2293" s="41" t="n"/>
      <c r="H2293" s="41" t="n"/>
      <c r="I2293" s="41" t="n"/>
      <c r="J2293" s="47" t="n"/>
      <c r="K2293" s="41" t="n"/>
      <c r="L2293" s="48" t="n"/>
      <c r="M2293" s="45" t="n"/>
      <c r="N2293" s="39">
        <f>IF($B2293="","",IF(SUMPRODUCT((LISTAS!$O$3:$O$42&lt;&gt;"")*ISNUMBER(SEARCH(LISTAS!$O$3:$O$42,$I2293&amp;" "&amp;$K2293)))&gt;0,"CERCANA","NACIONAL"))</f>
        <v/>
      </c>
      <c r="O2293" s="39">
        <f>IF($B2293="","",IF(COUNTIFS(NOVEDADES!$C$4:$C$2003,$B2293)=0,"—","SÍ ("&amp;COUNTIFS(NOVEDADES!$C$4:$C$2003,$B2293)&amp;")"))</f>
        <v/>
      </c>
    </row>
    <row r="2294">
      <c r="A2294" s="41" t="n"/>
      <c r="B2294" s="41" t="n"/>
      <c r="C2294" s="41" t="n"/>
      <c r="D2294" s="41" t="n"/>
      <c r="E2294" s="46" t="n"/>
      <c r="F2294" s="41" t="n"/>
      <c r="G2294" s="41" t="n"/>
      <c r="H2294" s="41" t="n"/>
      <c r="I2294" s="41" t="n"/>
      <c r="J2294" s="47" t="n"/>
      <c r="K2294" s="41" t="n"/>
      <c r="L2294" s="48" t="n"/>
      <c r="M2294" s="45" t="n"/>
      <c r="N2294" s="39">
        <f>IF($B2294="","",IF(SUMPRODUCT((LISTAS!$O$3:$O$42&lt;&gt;"")*ISNUMBER(SEARCH(LISTAS!$O$3:$O$42,$I2294&amp;" "&amp;$K2294)))&gt;0,"CERCANA","NACIONAL"))</f>
        <v/>
      </c>
      <c r="O2294" s="39">
        <f>IF($B2294="","",IF(COUNTIFS(NOVEDADES!$C$4:$C$2003,$B2294)=0,"—","SÍ ("&amp;COUNTIFS(NOVEDADES!$C$4:$C$2003,$B2294)&amp;")"))</f>
        <v/>
      </c>
    </row>
    <row r="2295">
      <c r="A2295" s="41" t="n"/>
      <c r="B2295" s="41" t="n"/>
      <c r="C2295" s="41" t="n"/>
      <c r="D2295" s="41" t="n"/>
      <c r="E2295" s="46" t="n"/>
      <c r="F2295" s="41" t="n"/>
      <c r="G2295" s="41" t="n"/>
      <c r="H2295" s="41" t="n"/>
      <c r="I2295" s="41" t="n"/>
      <c r="J2295" s="47" t="n"/>
      <c r="K2295" s="41" t="n"/>
      <c r="L2295" s="48" t="n"/>
      <c r="M2295" s="45" t="n"/>
      <c r="N2295" s="39">
        <f>IF($B2295="","",IF(SUMPRODUCT((LISTAS!$O$3:$O$42&lt;&gt;"")*ISNUMBER(SEARCH(LISTAS!$O$3:$O$42,$I2295&amp;" "&amp;$K2295)))&gt;0,"CERCANA","NACIONAL"))</f>
        <v/>
      </c>
      <c r="O2295" s="39">
        <f>IF($B2295="","",IF(COUNTIFS(NOVEDADES!$C$4:$C$2003,$B2295)=0,"—","SÍ ("&amp;COUNTIFS(NOVEDADES!$C$4:$C$2003,$B2295)&amp;")"))</f>
        <v/>
      </c>
    </row>
    <row r="2296">
      <c r="A2296" s="41" t="n"/>
      <c r="B2296" s="41" t="n"/>
      <c r="C2296" s="41" t="n"/>
      <c r="D2296" s="41" t="n"/>
      <c r="E2296" s="46" t="n"/>
      <c r="F2296" s="41" t="n"/>
      <c r="G2296" s="41" t="n"/>
      <c r="H2296" s="41" t="n"/>
      <c r="I2296" s="41" t="n"/>
      <c r="J2296" s="47" t="n"/>
      <c r="K2296" s="41" t="n"/>
      <c r="L2296" s="48" t="n"/>
      <c r="M2296" s="45" t="n"/>
      <c r="N2296" s="39">
        <f>IF($B2296="","",IF(SUMPRODUCT((LISTAS!$O$3:$O$42&lt;&gt;"")*ISNUMBER(SEARCH(LISTAS!$O$3:$O$42,$I2296&amp;" "&amp;$K2296)))&gt;0,"CERCANA","NACIONAL"))</f>
        <v/>
      </c>
      <c r="O2296" s="39">
        <f>IF($B2296="","",IF(COUNTIFS(NOVEDADES!$C$4:$C$2003,$B2296)=0,"—","SÍ ("&amp;COUNTIFS(NOVEDADES!$C$4:$C$2003,$B2296)&amp;")"))</f>
        <v/>
      </c>
    </row>
    <row r="2297">
      <c r="A2297" s="41" t="n"/>
      <c r="B2297" s="41" t="n"/>
      <c r="C2297" s="41" t="n"/>
      <c r="D2297" s="41" t="n"/>
      <c r="E2297" s="46" t="n"/>
      <c r="F2297" s="41" t="n"/>
      <c r="G2297" s="41" t="n"/>
      <c r="H2297" s="41" t="n"/>
      <c r="I2297" s="41" t="n"/>
      <c r="J2297" s="47" t="n"/>
      <c r="K2297" s="41" t="n"/>
      <c r="L2297" s="48" t="n"/>
      <c r="M2297" s="45" t="n"/>
      <c r="N2297" s="39">
        <f>IF($B2297="","",IF(SUMPRODUCT((LISTAS!$O$3:$O$42&lt;&gt;"")*ISNUMBER(SEARCH(LISTAS!$O$3:$O$42,$I2297&amp;" "&amp;$K2297)))&gt;0,"CERCANA","NACIONAL"))</f>
        <v/>
      </c>
      <c r="O2297" s="39">
        <f>IF($B2297="","",IF(COUNTIFS(NOVEDADES!$C$4:$C$2003,$B2297)=0,"—","SÍ ("&amp;COUNTIFS(NOVEDADES!$C$4:$C$2003,$B2297)&amp;")"))</f>
        <v/>
      </c>
    </row>
    <row r="2298">
      <c r="A2298" s="41" t="n"/>
      <c r="B2298" s="41" t="n"/>
      <c r="C2298" s="41" t="n"/>
      <c r="D2298" s="41" t="n"/>
      <c r="E2298" s="46" t="n"/>
      <c r="F2298" s="41" t="n"/>
      <c r="G2298" s="41" t="n"/>
      <c r="H2298" s="41" t="n"/>
      <c r="I2298" s="41" t="n"/>
      <c r="J2298" s="47" t="n"/>
      <c r="K2298" s="41" t="n"/>
      <c r="L2298" s="48" t="n"/>
      <c r="M2298" s="45" t="n"/>
      <c r="N2298" s="39">
        <f>IF($B2298="","",IF(SUMPRODUCT((LISTAS!$O$3:$O$42&lt;&gt;"")*ISNUMBER(SEARCH(LISTAS!$O$3:$O$42,$I2298&amp;" "&amp;$K2298)))&gt;0,"CERCANA","NACIONAL"))</f>
        <v/>
      </c>
      <c r="O2298" s="39">
        <f>IF($B2298="","",IF(COUNTIFS(NOVEDADES!$C$4:$C$2003,$B2298)=0,"—","SÍ ("&amp;COUNTIFS(NOVEDADES!$C$4:$C$2003,$B2298)&amp;")"))</f>
        <v/>
      </c>
    </row>
    <row r="2299">
      <c r="A2299" s="41" t="n"/>
      <c r="B2299" s="41" t="n"/>
      <c r="C2299" s="41" t="n"/>
      <c r="D2299" s="41" t="n"/>
      <c r="E2299" s="46" t="n"/>
      <c r="F2299" s="41" t="n"/>
      <c r="G2299" s="41" t="n"/>
      <c r="H2299" s="41" t="n"/>
      <c r="I2299" s="41" t="n"/>
      <c r="J2299" s="47" t="n"/>
      <c r="K2299" s="41" t="n"/>
      <c r="L2299" s="48" t="n"/>
      <c r="M2299" s="45" t="n"/>
      <c r="N2299" s="39">
        <f>IF($B2299="","",IF(SUMPRODUCT((LISTAS!$O$3:$O$42&lt;&gt;"")*ISNUMBER(SEARCH(LISTAS!$O$3:$O$42,$I2299&amp;" "&amp;$K2299)))&gt;0,"CERCANA","NACIONAL"))</f>
        <v/>
      </c>
      <c r="O2299" s="39">
        <f>IF($B2299="","",IF(COUNTIFS(NOVEDADES!$C$4:$C$2003,$B2299)=0,"—","SÍ ("&amp;COUNTIFS(NOVEDADES!$C$4:$C$2003,$B2299)&amp;")"))</f>
        <v/>
      </c>
    </row>
    <row r="2300">
      <c r="A2300" s="41" t="n"/>
      <c r="B2300" s="41" t="n"/>
      <c r="C2300" s="41" t="n"/>
      <c r="D2300" s="41" t="n"/>
      <c r="E2300" s="46" t="n"/>
      <c r="F2300" s="41" t="n"/>
      <c r="G2300" s="41" t="n"/>
      <c r="H2300" s="41" t="n"/>
      <c r="I2300" s="41" t="n"/>
      <c r="J2300" s="47" t="n"/>
      <c r="K2300" s="41" t="n"/>
      <c r="L2300" s="48" t="n"/>
      <c r="M2300" s="45" t="n"/>
      <c r="N2300" s="39">
        <f>IF($B2300="","",IF(SUMPRODUCT((LISTAS!$O$3:$O$42&lt;&gt;"")*ISNUMBER(SEARCH(LISTAS!$O$3:$O$42,$I2300&amp;" "&amp;$K2300)))&gt;0,"CERCANA","NACIONAL"))</f>
        <v/>
      </c>
      <c r="O2300" s="39">
        <f>IF($B2300="","",IF(COUNTIFS(NOVEDADES!$C$4:$C$2003,$B2300)=0,"—","SÍ ("&amp;COUNTIFS(NOVEDADES!$C$4:$C$2003,$B2300)&amp;")"))</f>
        <v/>
      </c>
    </row>
    <row r="2301">
      <c r="A2301" s="41" t="n"/>
      <c r="B2301" s="41" t="n"/>
      <c r="C2301" s="41" t="n"/>
      <c r="D2301" s="41" t="n"/>
      <c r="E2301" s="46" t="n"/>
      <c r="F2301" s="41" t="n"/>
      <c r="G2301" s="41" t="n"/>
      <c r="H2301" s="41" t="n"/>
      <c r="I2301" s="41" t="n"/>
      <c r="J2301" s="47" t="n"/>
      <c r="K2301" s="41" t="n"/>
      <c r="L2301" s="48" t="n"/>
      <c r="M2301" s="45" t="n"/>
      <c r="N2301" s="39">
        <f>IF($B2301="","",IF(SUMPRODUCT((LISTAS!$O$3:$O$42&lt;&gt;"")*ISNUMBER(SEARCH(LISTAS!$O$3:$O$42,$I2301&amp;" "&amp;$K2301)))&gt;0,"CERCANA","NACIONAL"))</f>
        <v/>
      </c>
      <c r="O2301" s="39">
        <f>IF($B2301="","",IF(COUNTIFS(NOVEDADES!$C$4:$C$2003,$B2301)=0,"—","SÍ ("&amp;COUNTIFS(NOVEDADES!$C$4:$C$2003,$B2301)&amp;")"))</f>
        <v/>
      </c>
    </row>
    <row r="2302">
      <c r="A2302" s="41" t="n"/>
      <c r="B2302" s="41" t="n"/>
      <c r="C2302" s="41" t="n"/>
      <c r="D2302" s="41" t="n"/>
      <c r="E2302" s="46" t="n"/>
      <c r="F2302" s="41" t="n"/>
      <c r="G2302" s="41" t="n"/>
      <c r="H2302" s="41" t="n"/>
      <c r="I2302" s="41" t="n"/>
      <c r="J2302" s="47" t="n"/>
      <c r="K2302" s="41" t="n"/>
      <c r="L2302" s="48" t="n"/>
      <c r="M2302" s="45" t="n"/>
      <c r="N2302" s="39">
        <f>IF($B2302="","",IF(SUMPRODUCT((LISTAS!$O$3:$O$42&lt;&gt;"")*ISNUMBER(SEARCH(LISTAS!$O$3:$O$42,$I2302&amp;" "&amp;$K2302)))&gt;0,"CERCANA","NACIONAL"))</f>
        <v/>
      </c>
      <c r="O2302" s="39">
        <f>IF($B2302="","",IF(COUNTIFS(NOVEDADES!$C$4:$C$2003,$B2302)=0,"—","SÍ ("&amp;COUNTIFS(NOVEDADES!$C$4:$C$2003,$B2302)&amp;")"))</f>
        <v/>
      </c>
    </row>
    <row r="2303">
      <c r="A2303" s="41" t="n"/>
      <c r="B2303" s="41" t="n"/>
      <c r="C2303" s="41" t="n"/>
      <c r="D2303" s="41" t="n"/>
      <c r="E2303" s="46" t="n"/>
      <c r="F2303" s="41" t="n"/>
      <c r="G2303" s="41" t="n"/>
      <c r="H2303" s="41" t="n"/>
      <c r="I2303" s="41" t="n"/>
      <c r="J2303" s="47" t="n"/>
      <c r="K2303" s="41" t="n"/>
      <c r="L2303" s="48" t="n"/>
      <c r="M2303" s="45" t="n"/>
      <c r="N2303" s="39">
        <f>IF($B2303="","",IF(SUMPRODUCT((LISTAS!$O$3:$O$42&lt;&gt;"")*ISNUMBER(SEARCH(LISTAS!$O$3:$O$42,$I2303&amp;" "&amp;$K2303)))&gt;0,"CERCANA","NACIONAL"))</f>
        <v/>
      </c>
      <c r="O2303" s="39">
        <f>IF($B2303="","",IF(COUNTIFS(NOVEDADES!$C$4:$C$2003,$B2303)=0,"—","SÍ ("&amp;COUNTIFS(NOVEDADES!$C$4:$C$2003,$B2303)&amp;")"))</f>
        <v/>
      </c>
    </row>
    <row r="2304">
      <c r="A2304" s="41" t="n"/>
      <c r="B2304" s="41" t="n"/>
      <c r="C2304" s="41" t="n"/>
      <c r="D2304" s="41" t="n"/>
      <c r="E2304" s="46" t="n"/>
      <c r="F2304" s="41" t="n"/>
      <c r="G2304" s="41" t="n"/>
      <c r="H2304" s="41" t="n"/>
      <c r="I2304" s="41" t="n"/>
      <c r="J2304" s="47" t="n"/>
      <c r="K2304" s="41" t="n"/>
      <c r="L2304" s="48" t="n"/>
      <c r="M2304" s="45" t="n"/>
      <c r="N2304" s="39">
        <f>IF($B2304="","",IF(SUMPRODUCT((LISTAS!$O$3:$O$42&lt;&gt;"")*ISNUMBER(SEARCH(LISTAS!$O$3:$O$42,$I2304&amp;" "&amp;$K2304)))&gt;0,"CERCANA","NACIONAL"))</f>
        <v/>
      </c>
      <c r="O2304" s="39">
        <f>IF($B2304="","",IF(COUNTIFS(NOVEDADES!$C$4:$C$2003,$B2304)=0,"—","SÍ ("&amp;COUNTIFS(NOVEDADES!$C$4:$C$2003,$B2304)&amp;")"))</f>
        <v/>
      </c>
    </row>
    <row r="2305">
      <c r="A2305" s="41" t="n"/>
      <c r="B2305" s="41" t="n"/>
      <c r="C2305" s="41" t="n"/>
      <c r="D2305" s="41" t="n"/>
      <c r="E2305" s="46" t="n"/>
      <c r="F2305" s="41" t="n"/>
      <c r="G2305" s="41" t="n"/>
      <c r="H2305" s="41" t="n"/>
      <c r="I2305" s="41" t="n"/>
      <c r="J2305" s="47" t="n"/>
      <c r="K2305" s="41" t="n"/>
      <c r="L2305" s="48" t="n"/>
      <c r="M2305" s="45" t="n"/>
      <c r="N2305" s="39">
        <f>IF($B2305="","",IF(SUMPRODUCT((LISTAS!$O$3:$O$42&lt;&gt;"")*ISNUMBER(SEARCH(LISTAS!$O$3:$O$42,$I2305&amp;" "&amp;$K2305)))&gt;0,"CERCANA","NACIONAL"))</f>
        <v/>
      </c>
      <c r="O2305" s="39">
        <f>IF($B2305="","",IF(COUNTIFS(NOVEDADES!$C$4:$C$2003,$B2305)=0,"—","SÍ ("&amp;COUNTIFS(NOVEDADES!$C$4:$C$2003,$B2305)&amp;")"))</f>
        <v/>
      </c>
    </row>
    <row r="2306">
      <c r="A2306" s="41" t="n"/>
      <c r="B2306" s="41" t="n"/>
      <c r="C2306" s="41" t="n"/>
      <c r="D2306" s="41" t="n"/>
      <c r="E2306" s="46" t="n"/>
      <c r="F2306" s="41" t="n"/>
      <c r="G2306" s="41" t="n"/>
      <c r="H2306" s="41" t="n"/>
      <c r="I2306" s="41" t="n"/>
      <c r="J2306" s="47" t="n"/>
      <c r="K2306" s="41" t="n"/>
      <c r="L2306" s="48" t="n"/>
      <c r="M2306" s="45" t="n"/>
      <c r="N2306" s="39">
        <f>IF($B2306="","",IF(SUMPRODUCT((LISTAS!$O$3:$O$42&lt;&gt;"")*ISNUMBER(SEARCH(LISTAS!$O$3:$O$42,$I2306&amp;" "&amp;$K2306)))&gt;0,"CERCANA","NACIONAL"))</f>
        <v/>
      </c>
      <c r="O2306" s="39">
        <f>IF($B2306="","",IF(COUNTIFS(NOVEDADES!$C$4:$C$2003,$B2306)=0,"—","SÍ ("&amp;COUNTIFS(NOVEDADES!$C$4:$C$2003,$B2306)&amp;")"))</f>
        <v/>
      </c>
    </row>
    <row r="2307">
      <c r="A2307" s="41" t="n"/>
      <c r="B2307" s="41" t="n"/>
      <c r="C2307" s="41" t="n"/>
      <c r="D2307" s="41" t="n"/>
      <c r="E2307" s="46" t="n"/>
      <c r="F2307" s="41" t="n"/>
      <c r="G2307" s="41" t="n"/>
      <c r="H2307" s="41" t="n"/>
      <c r="I2307" s="41" t="n"/>
      <c r="J2307" s="47" t="n"/>
      <c r="K2307" s="41" t="n"/>
      <c r="L2307" s="48" t="n"/>
      <c r="M2307" s="45" t="n"/>
      <c r="N2307" s="39">
        <f>IF($B2307="","",IF(SUMPRODUCT((LISTAS!$O$3:$O$42&lt;&gt;"")*ISNUMBER(SEARCH(LISTAS!$O$3:$O$42,$I2307&amp;" "&amp;$K2307)))&gt;0,"CERCANA","NACIONAL"))</f>
        <v/>
      </c>
      <c r="O2307" s="39">
        <f>IF($B2307="","",IF(COUNTIFS(NOVEDADES!$C$4:$C$2003,$B2307)=0,"—","SÍ ("&amp;COUNTIFS(NOVEDADES!$C$4:$C$2003,$B2307)&amp;")"))</f>
        <v/>
      </c>
    </row>
    <row r="2308">
      <c r="A2308" s="41" t="n"/>
      <c r="B2308" s="41" t="n"/>
      <c r="C2308" s="41" t="n"/>
      <c r="D2308" s="41" t="n"/>
      <c r="E2308" s="46" t="n"/>
      <c r="F2308" s="41" t="n"/>
      <c r="G2308" s="41" t="n"/>
      <c r="H2308" s="41" t="n"/>
      <c r="I2308" s="41" t="n"/>
      <c r="J2308" s="47" t="n"/>
      <c r="K2308" s="41" t="n"/>
      <c r="L2308" s="48" t="n"/>
      <c r="M2308" s="45" t="n"/>
      <c r="N2308" s="39">
        <f>IF($B2308="","",IF(SUMPRODUCT((LISTAS!$O$3:$O$42&lt;&gt;"")*ISNUMBER(SEARCH(LISTAS!$O$3:$O$42,$I2308&amp;" "&amp;$K2308)))&gt;0,"CERCANA","NACIONAL"))</f>
        <v/>
      </c>
      <c r="O2308" s="39">
        <f>IF($B2308="","",IF(COUNTIFS(NOVEDADES!$C$4:$C$2003,$B2308)=0,"—","SÍ ("&amp;COUNTIFS(NOVEDADES!$C$4:$C$2003,$B2308)&amp;")"))</f>
        <v/>
      </c>
    </row>
    <row r="2309">
      <c r="A2309" s="41" t="n"/>
      <c r="B2309" s="41" t="n"/>
      <c r="C2309" s="41" t="n"/>
      <c r="D2309" s="41" t="n"/>
      <c r="E2309" s="46" t="n"/>
      <c r="F2309" s="41" t="n"/>
      <c r="G2309" s="41" t="n"/>
      <c r="H2309" s="41" t="n"/>
      <c r="I2309" s="41" t="n"/>
      <c r="J2309" s="47" t="n"/>
      <c r="K2309" s="41" t="n"/>
      <c r="L2309" s="48" t="n"/>
      <c r="M2309" s="45" t="n"/>
      <c r="N2309" s="39">
        <f>IF($B2309="","",IF(SUMPRODUCT((LISTAS!$O$3:$O$42&lt;&gt;"")*ISNUMBER(SEARCH(LISTAS!$O$3:$O$42,$I2309&amp;" "&amp;$K2309)))&gt;0,"CERCANA","NACIONAL"))</f>
        <v/>
      </c>
      <c r="O2309" s="39">
        <f>IF($B2309="","",IF(COUNTIFS(NOVEDADES!$C$4:$C$2003,$B2309)=0,"—","SÍ ("&amp;COUNTIFS(NOVEDADES!$C$4:$C$2003,$B2309)&amp;")"))</f>
        <v/>
      </c>
    </row>
    <row r="2310">
      <c r="A2310" s="41" t="n"/>
      <c r="B2310" s="41" t="n"/>
      <c r="C2310" s="41" t="n"/>
      <c r="D2310" s="41" t="n"/>
      <c r="E2310" s="46" t="n"/>
      <c r="F2310" s="41" t="n"/>
      <c r="G2310" s="41" t="n"/>
      <c r="H2310" s="41" t="n"/>
      <c r="I2310" s="41" t="n"/>
      <c r="J2310" s="47" t="n"/>
      <c r="K2310" s="41" t="n"/>
      <c r="L2310" s="48" t="n"/>
      <c r="M2310" s="45" t="n"/>
      <c r="N2310" s="39">
        <f>IF($B2310="","",IF(SUMPRODUCT((LISTAS!$O$3:$O$42&lt;&gt;"")*ISNUMBER(SEARCH(LISTAS!$O$3:$O$42,$I2310&amp;" "&amp;$K2310)))&gt;0,"CERCANA","NACIONAL"))</f>
        <v/>
      </c>
      <c r="O2310" s="39">
        <f>IF($B2310="","",IF(COUNTIFS(NOVEDADES!$C$4:$C$2003,$B2310)=0,"—","SÍ ("&amp;COUNTIFS(NOVEDADES!$C$4:$C$2003,$B2310)&amp;")"))</f>
        <v/>
      </c>
    </row>
    <row r="2311">
      <c r="A2311" s="41" t="n"/>
      <c r="B2311" s="41" t="n"/>
      <c r="C2311" s="41" t="n"/>
      <c r="D2311" s="41" t="n"/>
      <c r="E2311" s="46" t="n"/>
      <c r="F2311" s="41" t="n"/>
      <c r="G2311" s="41" t="n"/>
      <c r="H2311" s="41" t="n"/>
      <c r="I2311" s="41" t="n"/>
      <c r="J2311" s="47" t="n"/>
      <c r="K2311" s="41" t="n"/>
      <c r="L2311" s="48" t="n"/>
      <c r="M2311" s="45" t="n"/>
      <c r="N2311" s="39">
        <f>IF($B2311="","",IF(SUMPRODUCT((LISTAS!$O$3:$O$42&lt;&gt;"")*ISNUMBER(SEARCH(LISTAS!$O$3:$O$42,$I2311&amp;" "&amp;$K2311)))&gt;0,"CERCANA","NACIONAL"))</f>
        <v/>
      </c>
      <c r="O2311" s="39">
        <f>IF($B2311="","",IF(COUNTIFS(NOVEDADES!$C$4:$C$2003,$B2311)=0,"—","SÍ ("&amp;COUNTIFS(NOVEDADES!$C$4:$C$2003,$B2311)&amp;")"))</f>
        <v/>
      </c>
    </row>
    <row r="2312">
      <c r="A2312" s="41" t="n"/>
      <c r="B2312" s="41" t="n"/>
      <c r="C2312" s="41" t="n"/>
      <c r="D2312" s="41" t="n"/>
      <c r="E2312" s="46" t="n"/>
      <c r="F2312" s="41" t="n"/>
      <c r="G2312" s="41" t="n"/>
      <c r="H2312" s="41" t="n"/>
      <c r="I2312" s="41" t="n"/>
      <c r="J2312" s="47" t="n"/>
      <c r="K2312" s="41" t="n"/>
      <c r="L2312" s="48" t="n"/>
      <c r="M2312" s="45" t="n"/>
      <c r="N2312" s="39">
        <f>IF($B2312="","",IF(SUMPRODUCT((LISTAS!$O$3:$O$42&lt;&gt;"")*ISNUMBER(SEARCH(LISTAS!$O$3:$O$42,$I2312&amp;" "&amp;$K2312)))&gt;0,"CERCANA","NACIONAL"))</f>
        <v/>
      </c>
      <c r="O2312" s="39">
        <f>IF($B2312="","",IF(COUNTIFS(NOVEDADES!$C$4:$C$2003,$B2312)=0,"—","SÍ ("&amp;COUNTIFS(NOVEDADES!$C$4:$C$2003,$B2312)&amp;")"))</f>
        <v/>
      </c>
    </row>
    <row r="2313">
      <c r="A2313" s="41" t="n"/>
      <c r="B2313" s="41" t="n"/>
      <c r="C2313" s="41" t="n"/>
      <c r="D2313" s="41" t="n"/>
      <c r="E2313" s="46" t="n"/>
      <c r="F2313" s="41" t="n"/>
      <c r="G2313" s="41" t="n"/>
      <c r="H2313" s="41" t="n"/>
      <c r="I2313" s="41" t="n"/>
      <c r="J2313" s="47" t="n"/>
      <c r="K2313" s="41" t="n"/>
      <c r="L2313" s="48" t="n"/>
      <c r="M2313" s="45" t="n"/>
      <c r="N2313" s="39">
        <f>IF($B2313="","",IF(SUMPRODUCT((LISTAS!$O$3:$O$42&lt;&gt;"")*ISNUMBER(SEARCH(LISTAS!$O$3:$O$42,$I2313&amp;" "&amp;$K2313)))&gt;0,"CERCANA","NACIONAL"))</f>
        <v/>
      </c>
      <c r="O2313" s="39">
        <f>IF($B2313="","",IF(COUNTIFS(NOVEDADES!$C$4:$C$2003,$B2313)=0,"—","SÍ ("&amp;COUNTIFS(NOVEDADES!$C$4:$C$2003,$B2313)&amp;")"))</f>
        <v/>
      </c>
    </row>
    <row r="2314">
      <c r="A2314" s="41" t="n"/>
      <c r="B2314" s="41" t="n"/>
      <c r="C2314" s="41" t="n"/>
      <c r="D2314" s="41" t="n"/>
      <c r="E2314" s="46" t="n"/>
      <c r="F2314" s="41" t="n"/>
      <c r="G2314" s="41" t="n"/>
      <c r="H2314" s="41" t="n"/>
      <c r="I2314" s="41" t="n"/>
      <c r="J2314" s="47" t="n"/>
      <c r="K2314" s="41" t="n"/>
      <c r="L2314" s="48" t="n"/>
      <c r="M2314" s="45" t="n"/>
      <c r="N2314" s="39">
        <f>IF($B2314="","",IF(SUMPRODUCT((LISTAS!$O$3:$O$42&lt;&gt;"")*ISNUMBER(SEARCH(LISTAS!$O$3:$O$42,$I2314&amp;" "&amp;$K2314)))&gt;0,"CERCANA","NACIONAL"))</f>
        <v/>
      </c>
      <c r="O2314" s="39">
        <f>IF($B2314="","",IF(COUNTIFS(NOVEDADES!$C$4:$C$2003,$B2314)=0,"—","SÍ ("&amp;COUNTIFS(NOVEDADES!$C$4:$C$2003,$B2314)&amp;")"))</f>
        <v/>
      </c>
    </row>
    <row r="2315">
      <c r="A2315" s="41" t="n"/>
      <c r="B2315" s="41" t="n"/>
      <c r="C2315" s="41" t="n"/>
      <c r="D2315" s="41" t="n"/>
      <c r="E2315" s="46" t="n"/>
      <c r="F2315" s="41" t="n"/>
      <c r="G2315" s="41" t="n"/>
      <c r="H2315" s="41" t="n"/>
      <c r="I2315" s="41" t="n"/>
      <c r="J2315" s="47" t="n"/>
      <c r="K2315" s="41" t="n"/>
      <c r="L2315" s="48" t="n"/>
      <c r="M2315" s="45" t="n"/>
      <c r="N2315" s="39">
        <f>IF($B2315="","",IF(SUMPRODUCT((LISTAS!$O$3:$O$42&lt;&gt;"")*ISNUMBER(SEARCH(LISTAS!$O$3:$O$42,$I2315&amp;" "&amp;$K2315)))&gt;0,"CERCANA","NACIONAL"))</f>
        <v/>
      </c>
      <c r="O2315" s="39">
        <f>IF($B2315="","",IF(COUNTIFS(NOVEDADES!$C$4:$C$2003,$B2315)=0,"—","SÍ ("&amp;COUNTIFS(NOVEDADES!$C$4:$C$2003,$B2315)&amp;")"))</f>
        <v/>
      </c>
    </row>
    <row r="2316">
      <c r="A2316" s="41" t="n"/>
      <c r="B2316" s="41" t="n"/>
      <c r="C2316" s="41" t="n"/>
      <c r="D2316" s="41" t="n"/>
      <c r="E2316" s="46" t="n"/>
      <c r="F2316" s="41" t="n"/>
      <c r="G2316" s="41" t="n"/>
      <c r="H2316" s="41" t="n"/>
      <c r="I2316" s="41" t="n"/>
      <c r="J2316" s="47" t="n"/>
      <c r="K2316" s="41" t="n"/>
      <c r="L2316" s="48" t="n"/>
      <c r="M2316" s="45" t="n"/>
      <c r="N2316" s="39">
        <f>IF($B2316="","",IF(SUMPRODUCT((LISTAS!$O$3:$O$42&lt;&gt;"")*ISNUMBER(SEARCH(LISTAS!$O$3:$O$42,$I2316&amp;" "&amp;$K2316)))&gt;0,"CERCANA","NACIONAL"))</f>
        <v/>
      </c>
      <c r="O2316" s="39">
        <f>IF($B2316="","",IF(COUNTIFS(NOVEDADES!$C$4:$C$2003,$B2316)=0,"—","SÍ ("&amp;COUNTIFS(NOVEDADES!$C$4:$C$2003,$B2316)&amp;")"))</f>
        <v/>
      </c>
    </row>
    <row r="2317">
      <c r="A2317" s="41" t="n"/>
      <c r="B2317" s="41" t="n"/>
      <c r="C2317" s="41" t="n"/>
      <c r="D2317" s="41" t="n"/>
      <c r="E2317" s="46" t="n"/>
      <c r="F2317" s="41" t="n"/>
      <c r="G2317" s="41" t="n"/>
      <c r="H2317" s="41" t="n"/>
      <c r="I2317" s="41" t="n"/>
      <c r="J2317" s="47" t="n"/>
      <c r="K2317" s="41" t="n"/>
      <c r="L2317" s="48" t="n"/>
      <c r="M2317" s="45" t="n"/>
      <c r="N2317" s="39">
        <f>IF($B2317="","",IF(SUMPRODUCT((LISTAS!$O$3:$O$42&lt;&gt;"")*ISNUMBER(SEARCH(LISTAS!$O$3:$O$42,$I2317&amp;" "&amp;$K2317)))&gt;0,"CERCANA","NACIONAL"))</f>
        <v/>
      </c>
      <c r="O2317" s="39">
        <f>IF($B2317="","",IF(COUNTIFS(NOVEDADES!$C$4:$C$2003,$B2317)=0,"—","SÍ ("&amp;COUNTIFS(NOVEDADES!$C$4:$C$2003,$B2317)&amp;")"))</f>
        <v/>
      </c>
    </row>
    <row r="2318">
      <c r="A2318" s="41" t="n"/>
      <c r="B2318" s="41" t="n"/>
      <c r="C2318" s="41" t="n"/>
      <c r="D2318" s="41" t="n"/>
      <c r="E2318" s="46" t="n"/>
      <c r="F2318" s="41" t="n"/>
      <c r="G2318" s="41" t="n"/>
      <c r="H2318" s="41" t="n"/>
      <c r="I2318" s="41" t="n"/>
      <c r="J2318" s="47" t="n"/>
      <c r="K2318" s="41" t="n"/>
      <c r="L2318" s="48" t="n"/>
      <c r="M2318" s="45" t="n"/>
      <c r="N2318" s="39">
        <f>IF($B2318="","",IF(SUMPRODUCT((LISTAS!$O$3:$O$42&lt;&gt;"")*ISNUMBER(SEARCH(LISTAS!$O$3:$O$42,$I2318&amp;" "&amp;$K2318)))&gt;0,"CERCANA","NACIONAL"))</f>
        <v/>
      </c>
      <c r="O2318" s="39">
        <f>IF($B2318="","",IF(COUNTIFS(NOVEDADES!$C$4:$C$2003,$B2318)=0,"—","SÍ ("&amp;COUNTIFS(NOVEDADES!$C$4:$C$2003,$B2318)&amp;")"))</f>
        <v/>
      </c>
    </row>
    <row r="2319">
      <c r="A2319" s="41" t="n"/>
      <c r="B2319" s="41" t="n"/>
      <c r="C2319" s="41" t="n"/>
      <c r="D2319" s="41" t="n"/>
      <c r="E2319" s="46" t="n"/>
      <c r="F2319" s="41" t="n"/>
      <c r="G2319" s="41" t="n"/>
      <c r="H2319" s="41" t="n"/>
      <c r="I2319" s="41" t="n"/>
      <c r="J2319" s="47" t="n"/>
      <c r="K2319" s="41" t="n"/>
      <c r="L2319" s="48" t="n"/>
      <c r="M2319" s="45" t="n"/>
      <c r="N2319" s="39">
        <f>IF($B2319="","",IF(SUMPRODUCT((LISTAS!$O$3:$O$42&lt;&gt;"")*ISNUMBER(SEARCH(LISTAS!$O$3:$O$42,$I2319&amp;" "&amp;$K2319)))&gt;0,"CERCANA","NACIONAL"))</f>
        <v/>
      </c>
      <c r="O2319" s="39">
        <f>IF($B2319="","",IF(COUNTIFS(NOVEDADES!$C$4:$C$2003,$B2319)=0,"—","SÍ ("&amp;COUNTIFS(NOVEDADES!$C$4:$C$2003,$B2319)&amp;")"))</f>
        <v/>
      </c>
    </row>
    <row r="2320">
      <c r="A2320" s="41" t="n"/>
      <c r="B2320" s="41" t="n"/>
      <c r="C2320" s="41" t="n"/>
      <c r="D2320" s="41" t="n"/>
      <c r="E2320" s="46" t="n"/>
      <c r="F2320" s="41" t="n"/>
      <c r="G2320" s="41" t="n"/>
      <c r="H2320" s="41" t="n"/>
      <c r="I2320" s="41" t="n"/>
      <c r="J2320" s="47" t="n"/>
      <c r="K2320" s="41" t="n"/>
      <c r="L2320" s="48" t="n"/>
      <c r="M2320" s="45" t="n"/>
      <c r="N2320" s="39">
        <f>IF($B2320="","",IF(SUMPRODUCT((LISTAS!$O$3:$O$42&lt;&gt;"")*ISNUMBER(SEARCH(LISTAS!$O$3:$O$42,$I2320&amp;" "&amp;$K2320)))&gt;0,"CERCANA","NACIONAL"))</f>
        <v/>
      </c>
      <c r="O2320" s="39">
        <f>IF($B2320="","",IF(COUNTIFS(NOVEDADES!$C$4:$C$2003,$B2320)=0,"—","SÍ ("&amp;COUNTIFS(NOVEDADES!$C$4:$C$2003,$B2320)&amp;")"))</f>
        <v/>
      </c>
    </row>
    <row r="2321">
      <c r="A2321" s="41" t="n"/>
      <c r="B2321" s="41" t="n"/>
      <c r="C2321" s="41" t="n"/>
      <c r="D2321" s="41" t="n"/>
      <c r="E2321" s="46" t="n"/>
      <c r="F2321" s="41" t="n"/>
      <c r="G2321" s="41" t="n"/>
      <c r="H2321" s="41" t="n"/>
      <c r="I2321" s="41" t="n"/>
      <c r="J2321" s="47" t="n"/>
      <c r="K2321" s="41" t="n"/>
      <c r="L2321" s="48" t="n"/>
      <c r="M2321" s="45" t="n"/>
      <c r="N2321" s="39">
        <f>IF($B2321="","",IF(SUMPRODUCT((LISTAS!$O$3:$O$42&lt;&gt;"")*ISNUMBER(SEARCH(LISTAS!$O$3:$O$42,$I2321&amp;" "&amp;$K2321)))&gt;0,"CERCANA","NACIONAL"))</f>
        <v/>
      </c>
      <c r="O2321" s="39">
        <f>IF($B2321="","",IF(COUNTIFS(NOVEDADES!$C$4:$C$2003,$B2321)=0,"—","SÍ ("&amp;COUNTIFS(NOVEDADES!$C$4:$C$2003,$B2321)&amp;")"))</f>
        <v/>
      </c>
    </row>
    <row r="2322">
      <c r="A2322" s="41" t="n"/>
      <c r="B2322" s="41" t="n"/>
      <c r="C2322" s="41" t="n"/>
      <c r="D2322" s="41" t="n"/>
      <c r="E2322" s="46" t="n"/>
      <c r="F2322" s="41" t="n"/>
      <c r="G2322" s="41" t="n"/>
      <c r="H2322" s="41" t="n"/>
      <c r="I2322" s="41" t="n"/>
      <c r="J2322" s="47" t="n"/>
      <c r="K2322" s="41" t="n"/>
      <c r="L2322" s="48" t="n"/>
      <c r="M2322" s="45" t="n"/>
      <c r="N2322" s="39">
        <f>IF($B2322="","",IF(SUMPRODUCT((LISTAS!$O$3:$O$42&lt;&gt;"")*ISNUMBER(SEARCH(LISTAS!$O$3:$O$42,$I2322&amp;" "&amp;$K2322)))&gt;0,"CERCANA","NACIONAL"))</f>
        <v/>
      </c>
      <c r="O2322" s="39">
        <f>IF($B2322="","",IF(COUNTIFS(NOVEDADES!$C$4:$C$2003,$B2322)=0,"—","SÍ ("&amp;COUNTIFS(NOVEDADES!$C$4:$C$2003,$B2322)&amp;")"))</f>
        <v/>
      </c>
    </row>
    <row r="2323">
      <c r="A2323" s="41" t="n"/>
      <c r="B2323" s="41" t="n"/>
      <c r="C2323" s="41" t="n"/>
      <c r="D2323" s="41" t="n"/>
      <c r="E2323" s="46" t="n"/>
      <c r="F2323" s="41" t="n"/>
      <c r="G2323" s="41" t="n"/>
      <c r="H2323" s="41" t="n"/>
      <c r="I2323" s="41" t="n"/>
      <c r="J2323" s="47" t="n"/>
      <c r="K2323" s="41" t="n"/>
      <c r="L2323" s="48" t="n"/>
      <c r="M2323" s="45" t="n"/>
      <c r="N2323" s="39">
        <f>IF($B2323="","",IF(SUMPRODUCT((LISTAS!$O$3:$O$42&lt;&gt;"")*ISNUMBER(SEARCH(LISTAS!$O$3:$O$42,$I2323&amp;" "&amp;$K2323)))&gt;0,"CERCANA","NACIONAL"))</f>
        <v/>
      </c>
      <c r="O2323" s="39">
        <f>IF($B2323="","",IF(COUNTIFS(NOVEDADES!$C$4:$C$2003,$B2323)=0,"—","SÍ ("&amp;COUNTIFS(NOVEDADES!$C$4:$C$2003,$B2323)&amp;")"))</f>
        <v/>
      </c>
    </row>
    <row r="2324">
      <c r="A2324" s="41" t="n"/>
      <c r="B2324" s="41" t="n"/>
      <c r="C2324" s="41" t="n"/>
      <c r="D2324" s="41" t="n"/>
      <c r="E2324" s="46" t="n"/>
      <c r="F2324" s="41" t="n"/>
      <c r="G2324" s="41" t="n"/>
      <c r="H2324" s="41" t="n"/>
      <c r="I2324" s="41" t="n"/>
      <c r="J2324" s="47" t="n"/>
      <c r="K2324" s="41" t="n"/>
      <c r="L2324" s="48" t="n"/>
      <c r="M2324" s="45" t="n"/>
      <c r="N2324" s="39">
        <f>IF($B2324="","",IF(SUMPRODUCT((LISTAS!$O$3:$O$42&lt;&gt;"")*ISNUMBER(SEARCH(LISTAS!$O$3:$O$42,$I2324&amp;" "&amp;$K2324)))&gt;0,"CERCANA","NACIONAL"))</f>
        <v/>
      </c>
      <c r="O2324" s="39">
        <f>IF($B2324="","",IF(COUNTIFS(NOVEDADES!$C$4:$C$2003,$B2324)=0,"—","SÍ ("&amp;COUNTIFS(NOVEDADES!$C$4:$C$2003,$B2324)&amp;")"))</f>
        <v/>
      </c>
    </row>
    <row r="2325">
      <c r="A2325" s="41" t="n"/>
      <c r="B2325" s="41" t="n"/>
      <c r="C2325" s="41" t="n"/>
      <c r="D2325" s="41" t="n"/>
      <c r="E2325" s="46" t="n"/>
      <c r="F2325" s="41" t="n"/>
      <c r="G2325" s="41" t="n"/>
      <c r="H2325" s="41" t="n"/>
      <c r="I2325" s="41" t="n"/>
      <c r="J2325" s="47" t="n"/>
      <c r="K2325" s="41" t="n"/>
      <c r="L2325" s="48" t="n"/>
      <c r="M2325" s="45" t="n"/>
      <c r="N2325" s="39">
        <f>IF($B2325="","",IF(SUMPRODUCT((LISTAS!$O$3:$O$42&lt;&gt;"")*ISNUMBER(SEARCH(LISTAS!$O$3:$O$42,$I2325&amp;" "&amp;$K2325)))&gt;0,"CERCANA","NACIONAL"))</f>
        <v/>
      </c>
      <c r="O2325" s="39">
        <f>IF($B2325="","",IF(COUNTIFS(NOVEDADES!$C$4:$C$2003,$B2325)=0,"—","SÍ ("&amp;COUNTIFS(NOVEDADES!$C$4:$C$2003,$B2325)&amp;")"))</f>
        <v/>
      </c>
    </row>
    <row r="2326">
      <c r="A2326" s="41" t="n"/>
      <c r="B2326" s="41" t="n"/>
      <c r="C2326" s="41" t="n"/>
      <c r="D2326" s="41" t="n"/>
      <c r="E2326" s="46" t="n"/>
      <c r="F2326" s="41" t="n"/>
      <c r="G2326" s="41" t="n"/>
      <c r="H2326" s="41" t="n"/>
      <c r="I2326" s="41" t="n"/>
      <c r="J2326" s="47" t="n"/>
      <c r="K2326" s="41" t="n"/>
      <c r="L2326" s="48" t="n"/>
      <c r="M2326" s="45" t="n"/>
      <c r="N2326" s="39">
        <f>IF($B2326="","",IF(SUMPRODUCT((LISTAS!$O$3:$O$42&lt;&gt;"")*ISNUMBER(SEARCH(LISTAS!$O$3:$O$42,$I2326&amp;" "&amp;$K2326)))&gt;0,"CERCANA","NACIONAL"))</f>
        <v/>
      </c>
      <c r="O2326" s="39">
        <f>IF($B2326="","",IF(COUNTIFS(NOVEDADES!$C$4:$C$2003,$B2326)=0,"—","SÍ ("&amp;COUNTIFS(NOVEDADES!$C$4:$C$2003,$B2326)&amp;")"))</f>
        <v/>
      </c>
    </row>
    <row r="2327">
      <c r="A2327" s="41" t="n"/>
      <c r="B2327" s="41" t="n"/>
      <c r="C2327" s="41" t="n"/>
      <c r="D2327" s="41" t="n"/>
      <c r="E2327" s="46" t="n"/>
      <c r="F2327" s="41" t="n"/>
      <c r="G2327" s="41" t="n"/>
      <c r="H2327" s="41" t="n"/>
      <c r="I2327" s="41" t="n"/>
      <c r="J2327" s="47" t="n"/>
      <c r="K2327" s="41" t="n"/>
      <c r="L2327" s="48" t="n"/>
      <c r="M2327" s="45" t="n"/>
      <c r="N2327" s="39">
        <f>IF($B2327="","",IF(SUMPRODUCT((LISTAS!$O$3:$O$42&lt;&gt;"")*ISNUMBER(SEARCH(LISTAS!$O$3:$O$42,$I2327&amp;" "&amp;$K2327)))&gt;0,"CERCANA","NACIONAL"))</f>
        <v/>
      </c>
      <c r="O2327" s="39">
        <f>IF($B2327="","",IF(COUNTIFS(NOVEDADES!$C$4:$C$2003,$B2327)=0,"—","SÍ ("&amp;COUNTIFS(NOVEDADES!$C$4:$C$2003,$B2327)&amp;")"))</f>
        <v/>
      </c>
    </row>
    <row r="2328">
      <c r="A2328" s="41" t="n"/>
      <c r="B2328" s="41" t="n"/>
      <c r="C2328" s="41" t="n"/>
      <c r="D2328" s="41" t="n"/>
      <c r="E2328" s="46" t="n"/>
      <c r="F2328" s="41" t="n"/>
      <c r="G2328" s="41" t="n"/>
      <c r="H2328" s="41" t="n"/>
      <c r="I2328" s="41" t="n"/>
      <c r="J2328" s="47" t="n"/>
      <c r="K2328" s="41" t="n"/>
      <c r="L2328" s="48" t="n"/>
      <c r="M2328" s="45" t="n"/>
      <c r="N2328" s="39">
        <f>IF($B2328="","",IF(SUMPRODUCT((LISTAS!$O$3:$O$42&lt;&gt;"")*ISNUMBER(SEARCH(LISTAS!$O$3:$O$42,$I2328&amp;" "&amp;$K2328)))&gt;0,"CERCANA","NACIONAL"))</f>
        <v/>
      </c>
      <c r="O2328" s="39">
        <f>IF($B2328="","",IF(COUNTIFS(NOVEDADES!$C$4:$C$2003,$B2328)=0,"—","SÍ ("&amp;COUNTIFS(NOVEDADES!$C$4:$C$2003,$B2328)&amp;")"))</f>
        <v/>
      </c>
    </row>
    <row r="2329">
      <c r="A2329" s="41" t="n"/>
      <c r="B2329" s="41" t="n"/>
      <c r="C2329" s="41" t="n"/>
      <c r="D2329" s="41" t="n"/>
      <c r="E2329" s="46" t="n"/>
      <c r="F2329" s="41" t="n"/>
      <c r="G2329" s="41" t="n"/>
      <c r="H2329" s="41" t="n"/>
      <c r="I2329" s="41" t="n"/>
      <c r="J2329" s="47" t="n"/>
      <c r="K2329" s="41" t="n"/>
      <c r="L2329" s="48" t="n"/>
      <c r="M2329" s="45" t="n"/>
      <c r="N2329" s="39">
        <f>IF($B2329="","",IF(SUMPRODUCT((LISTAS!$O$3:$O$42&lt;&gt;"")*ISNUMBER(SEARCH(LISTAS!$O$3:$O$42,$I2329&amp;" "&amp;$K2329)))&gt;0,"CERCANA","NACIONAL"))</f>
        <v/>
      </c>
      <c r="O2329" s="39">
        <f>IF($B2329="","",IF(COUNTIFS(NOVEDADES!$C$4:$C$2003,$B2329)=0,"—","SÍ ("&amp;COUNTIFS(NOVEDADES!$C$4:$C$2003,$B2329)&amp;")"))</f>
        <v/>
      </c>
    </row>
    <row r="2330">
      <c r="A2330" s="41" t="n"/>
      <c r="B2330" s="41" t="n"/>
      <c r="C2330" s="41" t="n"/>
      <c r="D2330" s="41" t="n"/>
      <c r="E2330" s="46" t="n"/>
      <c r="F2330" s="41" t="n"/>
      <c r="G2330" s="41" t="n"/>
      <c r="H2330" s="41" t="n"/>
      <c r="I2330" s="41" t="n"/>
      <c r="J2330" s="47" t="n"/>
      <c r="K2330" s="41" t="n"/>
      <c r="L2330" s="48" t="n"/>
      <c r="M2330" s="45" t="n"/>
      <c r="N2330" s="39">
        <f>IF($B2330="","",IF(SUMPRODUCT((LISTAS!$O$3:$O$42&lt;&gt;"")*ISNUMBER(SEARCH(LISTAS!$O$3:$O$42,$I2330&amp;" "&amp;$K2330)))&gt;0,"CERCANA","NACIONAL"))</f>
        <v/>
      </c>
      <c r="O2330" s="39">
        <f>IF($B2330="","",IF(COUNTIFS(NOVEDADES!$C$4:$C$2003,$B2330)=0,"—","SÍ ("&amp;COUNTIFS(NOVEDADES!$C$4:$C$2003,$B2330)&amp;")"))</f>
        <v/>
      </c>
    </row>
    <row r="2331">
      <c r="A2331" s="41" t="n"/>
      <c r="B2331" s="41" t="n"/>
      <c r="C2331" s="41" t="n"/>
      <c r="D2331" s="41" t="n"/>
      <c r="E2331" s="46" t="n"/>
      <c r="F2331" s="41" t="n"/>
      <c r="G2331" s="41" t="n"/>
      <c r="H2331" s="41" t="n"/>
      <c r="I2331" s="41" t="n"/>
      <c r="J2331" s="47" t="n"/>
      <c r="K2331" s="41" t="n"/>
      <c r="L2331" s="48" t="n"/>
      <c r="M2331" s="45" t="n"/>
      <c r="N2331" s="39">
        <f>IF($B2331="","",IF(SUMPRODUCT((LISTAS!$O$3:$O$42&lt;&gt;"")*ISNUMBER(SEARCH(LISTAS!$O$3:$O$42,$I2331&amp;" "&amp;$K2331)))&gt;0,"CERCANA","NACIONAL"))</f>
        <v/>
      </c>
      <c r="O2331" s="39">
        <f>IF($B2331="","",IF(COUNTIFS(NOVEDADES!$C$4:$C$2003,$B2331)=0,"—","SÍ ("&amp;COUNTIFS(NOVEDADES!$C$4:$C$2003,$B2331)&amp;")"))</f>
        <v/>
      </c>
    </row>
    <row r="2332">
      <c r="A2332" s="41" t="n"/>
      <c r="B2332" s="41" t="n"/>
      <c r="C2332" s="41" t="n"/>
      <c r="D2332" s="41" t="n"/>
      <c r="E2332" s="46" t="n"/>
      <c r="F2332" s="41" t="n"/>
      <c r="G2332" s="41" t="n"/>
      <c r="H2332" s="41" t="n"/>
      <c r="I2332" s="41" t="n"/>
      <c r="J2332" s="47" t="n"/>
      <c r="K2332" s="41" t="n"/>
      <c r="L2332" s="48" t="n"/>
      <c r="M2332" s="45" t="n"/>
      <c r="N2332" s="39">
        <f>IF($B2332="","",IF(SUMPRODUCT((LISTAS!$O$3:$O$42&lt;&gt;"")*ISNUMBER(SEARCH(LISTAS!$O$3:$O$42,$I2332&amp;" "&amp;$K2332)))&gt;0,"CERCANA","NACIONAL"))</f>
        <v/>
      </c>
      <c r="O2332" s="39">
        <f>IF($B2332="","",IF(COUNTIFS(NOVEDADES!$C$4:$C$2003,$B2332)=0,"—","SÍ ("&amp;COUNTIFS(NOVEDADES!$C$4:$C$2003,$B2332)&amp;")"))</f>
        <v/>
      </c>
    </row>
    <row r="2333">
      <c r="A2333" s="41" t="n"/>
      <c r="B2333" s="41" t="n"/>
      <c r="C2333" s="41" t="n"/>
      <c r="D2333" s="41" t="n"/>
      <c r="E2333" s="46" t="n"/>
      <c r="F2333" s="41" t="n"/>
      <c r="G2333" s="41" t="n"/>
      <c r="H2333" s="41" t="n"/>
      <c r="I2333" s="41" t="n"/>
      <c r="J2333" s="47" t="n"/>
      <c r="K2333" s="41" t="n"/>
      <c r="L2333" s="48" t="n"/>
      <c r="M2333" s="45" t="n"/>
      <c r="N2333" s="39">
        <f>IF($B2333="","",IF(SUMPRODUCT((LISTAS!$O$3:$O$42&lt;&gt;"")*ISNUMBER(SEARCH(LISTAS!$O$3:$O$42,$I2333&amp;" "&amp;$K2333)))&gt;0,"CERCANA","NACIONAL"))</f>
        <v/>
      </c>
      <c r="O2333" s="39">
        <f>IF($B2333="","",IF(COUNTIFS(NOVEDADES!$C$4:$C$2003,$B2333)=0,"—","SÍ ("&amp;COUNTIFS(NOVEDADES!$C$4:$C$2003,$B2333)&amp;")"))</f>
        <v/>
      </c>
    </row>
    <row r="2334">
      <c r="A2334" s="41" t="n"/>
      <c r="B2334" s="41" t="n"/>
      <c r="C2334" s="41" t="n"/>
      <c r="D2334" s="41" t="n"/>
      <c r="E2334" s="46" t="n"/>
      <c r="F2334" s="41" t="n"/>
      <c r="G2334" s="41" t="n"/>
      <c r="H2334" s="41" t="n"/>
      <c r="I2334" s="41" t="n"/>
      <c r="J2334" s="47" t="n"/>
      <c r="K2334" s="41" t="n"/>
      <c r="L2334" s="48" t="n"/>
      <c r="M2334" s="45" t="n"/>
      <c r="N2334" s="39">
        <f>IF($B2334="","",IF(SUMPRODUCT((LISTAS!$O$3:$O$42&lt;&gt;"")*ISNUMBER(SEARCH(LISTAS!$O$3:$O$42,$I2334&amp;" "&amp;$K2334)))&gt;0,"CERCANA","NACIONAL"))</f>
        <v/>
      </c>
      <c r="O2334" s="39">
        <f>IF($B2334="","",IF(COUNTIFS(NOVEDADES!$C$4:$C$2003,$B2334)=0,"—","SÍ ("&amp;COUNTIFS(NOVEDADES!$C$4:$C$2003,$B2334)&amp;")"))</f>
        <v/>
      </c>
    </row>
    <row r="2335">
      <c r="A2335" s="41" t="n"/>
      <c r="B2335" s="41" t="n"/>
      <c r="C2335" s="41" t="n"/>
      <c r="D2335" s="41" t="n"/>
      <c r="E2335" s="46" t="n"/>
      <c r="F2335" s="41" t="n"/>
      <c r="G2335" s="41" t="n"/>
      <c r="H2335" s="41" t="n"/>
      <c r="I2335" s="41" t="n"/>
      <c r="J2335" s="47" t="n"/>
      <c r="K2335" s="41" t="n"/>
      <c r="L2335" s="48" t="n"/>
      <c r="M2335" s="45" t="n"/>
      <c r="N2335" s="39">
        <f>IF($B2335="","",IF(SUMPRODUCT((LISTAS!$O$3:$O$42&lt;&gt;"")*ISNUMBER(SEARCH(LISTAS!$O$3:$O$42,$I2335&amp;" "&amp;$K2335)))&gt;0,"CERCANA","NACIONAL"))</f>
        <v/>
      </c>
      <c r="O2335" s="39">
        <f>IF($B2335="","",IF(COUNTIFS(NOVEDADES!$C$4:$C$2003,$B2335)=0,"—","SÍ ("&amp;COUNTIFS(NOVEDADES!$C$4:$C$2003,$B2335)&amp;")"))</f>
        <v/>
      </c>
    </row>
    <row r="2336">
      <c r="A2336" s="41" t="n"/>
      <c r="B2336" s="41" t="n"/>
      <c r="C2336" s="41" t="n"/>
      <c r="D2336" s="41" t="n"/>
      <c r="E2336" s="46" t="n"/>
      <c r="F2336" s="41" t="n"/>
      <c r="G2336" s="41" t="n"/>
      <c r="H2336" s="41" t="n"/>
      <c r="I2336" s="41" t="n"/>
      <c r="J2336" s="47" t="n"/>
      <c r="K2336" s="41" t="n"/>
      <c r="L2336" s="48" t="n"/>
      <c r="M2336" s="45" t="n"/>
      <c r="N2336" s="39">
        <f>IF($B2336="","",IF(SUMPRODUCT((LISTAS!$O$3:$O$42&lt;&gt;"")*ISNUMBER(SEARCH(LISTAS!$O$3:$O$42,$I2336&amp;" "&amp;$K2336)))&gt;0,"CERCANA","NACIONAL"))</f>
        <v/>
      </c>
      <c r="O2336" s="39">
        <f>IF($B2336="","",IF(COUNTIFS(NOVEDADES!$C$4:$C$2003,$B2336)=0,"—","SÍ ("&amp;COUNTIFS(NOVEDADES!$C$4:$C$2003,$B2336)&amp;")"))</f>
        <v/>
      </c>
    </row>
    <row r="2337">
      <c r="A2337" s="41" t="n"/>
      <c r="B2337" s="41" t="n"/>
      <c r="C2337" s="41" t="n"/>
      <c r="D2337" s="41" t="n"/>
      <c r="E2337" s="46" t="n"/>
      <c r="F2337" s="41" t="n"/>
      <c r="G2337" s="41" t="n"/>
      <c r="H2337" s="41" t="n"/>
      <c r="I2337" s="41" t="n"/>
      <c r="J2337" s="47" t="n"/>
      <c r="K2337" s="41" t="n"/>
      <c r="L2337" s="48" t="n"/>
      <c r="M2337" s="45" t="n"/>
      <c r="N2337" s="39">
        <f>IF($B2337="","",IF(SUMPRODUCT((LISTAS!$O$3:$O$42&lt;&gt;"")*ISNUMBER(SEARCH(LISTAS!$O$3:$O$42,$I2337&amp;" "&amp;$K2337)))&gt;0,"CERCANA","NACIONAL"))</f>
        <v/>
      </c>
      <c r="O2337" s="39">
        <f>IF($B2337="","",IF(COUNTIFS(NOVEDADES!$C$4:$C$2003,$B2337)=0,"—","SÍ ("&amp;COUNTIFS(NOVEDADES!$C$4:$C$2003,$B2337)&amp;")"))</f>
        <v/>
      </c>
    </row>
    <row r="2338">
      <c r="A2338" s="41" t="n"/>
      <c r="B2338" s="41" t="n"/>
      <c r="C2338" s="41" t="n"/>
      <c r="D2338" s="41" t="n"/>
      <c r="E2338" s="46" t="n"/>
      <c r="F2338" s="41" t="n"/>
      <c r="G2338" s="41" t="n"/>
      <c r="H2338" s="41" t="n"/>
      <c r="I2338" s="41" t="n"/>
      <c r="J2338" s="47" t="n"/>
      <c r="K2338" s="41" t="n"/>
      <c r="L2338" s="48" t="n"/>
      <c r="M2338" s="45" t="n"/>
      <c r="N2338" s="39">
        <f>IF($B2338="","",IF(SUMPRODUCT((LISTAS!$O$3:$O$42&lt;&gt;"")*ISNUMBER(SEARCH(LISTAS!$O$3:$O$42,$I2338&amp;" "&amp;$K2338)))&gt;0,"CERCANA","NACIONAL"))</f>
        <v/>
      </c>
      <c r="O2338" s="39">
        <f>IF($B2338="","",IF(COUNTIFS(NOVEDADES!$C$4:$C$2003,$B2338)=0,"—","SÍ ("&amp;COUNTIFS(NOVEDADES!$C$4:$C$2003,$B2338)&amp;")"))</f>
        <v/>
      </c>
    </row>
    <row r="2339">
      <c r="A2339" s="41" t="n"/>
      <c r="B2339" s="41" t="n"/>
      <c r="C2339" s="41" t="n"/>
      <c r="D2339" s="41" t="n"/>
      <c r="E2339" s="46" t="n"/>
      <c r="F2339" s="41" t="n"/>
      <c r="G2339" s="41" t="n"/>
      <c r="H2339" s="41" t="n"/>
      <c r="I2339" s="41" t="n"/>
      <c r="J2339" s="47" t="n"/>
      <c r="K2339" s="41" t="n"/>
      <c r="L2339" s="48" t="n"/>
      <c r="M2339" s="45" t="n"/>
      <c r="N2339" s="39">
        <f>IF($B2339="","",IF(SUMPRODUCT((LISTAS!$O$3:$O$42&lt;&gt;"")*ISNUMBER(SEARCH(LISTAS!$O$3:$O$42,$I2339&amp;" "&amp;$K2339)))&gt;0,"CERCANA","NACIONAL"))</f>
        <v/>
      </c>
      <c r="O2339" s="39">
        <f>IF($B2339="","",IF(COUNTIFS(NOVEDADES!$C$4:$C$2003,$B2339)=0,"—","SÍ ("&amp;COUNTIFS(NOVEDADES!$C$4:$C$2003,$B2339)&amp;")"))</f>
        <v/>
      </c>
    </row>
    <row r="2340">
      <c r="A2340" s="41" t="n"/>
      <c r="B2340" s="41" t="n"/>
      <c r="C2340" s="41" t="n"/>
      <c r="D2340" s="41" t="n"/>
      <c r="E2340" s="46" t="n"/>
      <c r="F2340" s="41" t="n"/>
      <c r="G2340" s="41" t="n"/>
      <c r="H2340" s="41" t="n"/>
      <c r="I2340" s="41" t="n"/>
      <c r="J2340" s="47" t="n"/>
      <c r="K2340" s="41" t="n"/>
      <c r="L2340" s="48" t="n"/>
      <c r="M2340" s="45" t="n"/>
      <c r="N2340" s="39">
        <f>IF($B2340="","",IF(SUMPRODUCT((LISTAS!$O$3:$O$42&lt;&gt;"")*ISNUMBER(SEARCH(LISTAS!$O$3:$O$42,$I2340&amp;" "&amp;$K2340)))&gt;0,"CERCANA","NACIONAL"))</f>
        <v/>
      </c>
      <c r="O2340" s="39">
        <f>IF($B2340="","",IF(COUNTIFS(NOVEDADES!$C$4:$C$2003,$B2340)=0,"—","SÍ ("&amp;COUNTIFS(NOVEDADES!$C$4:$C$2003,$B2340)&amp;")"))</f>
        <v/>
      </c>
    </row>
    <row r="2341">
      <c r="A2341" s="41" t="n"/>
      <c r="B2341" s="41" t="n"/>
      <c r="C2341" s="41" t="n"/>
      <c r="D2341" s="41" t="n"/>
      <c r="E2341" s="46" t="n"/>
      <c r="F2341" s="41" t="n"/>
      <c r="G2341" s="41" t="n"/>
      <c r="H2341" s="41" t="n"/>
      <c r="I2341" s="41" t="n"/>
      <c r="J2341" s="47" t="n"/>
      <c r="K2341" s="41" t="n"/>
      <c r="L2341" s="48" t="n"/>
      <c r="M2341" s="45" t="n"/>
      <c r="N2341" s="39">
        <f>IF($B2341="","",IF(SUMPRODUCT((LISTAS!$O$3:$O$42&lt;&gt;"")*ISNUMBER(SEARCH(LISTAS!$O$3:$O$42,$I2341&amp;" "&amp;$K2341)))&gt;0,"CERCANA","NACIONAL"))</f>
        <v/>
      </c>
      <c r="O2341" s="39">
        <f>IF($B2341="","",IF(COUNTIFS(NOVEDADES!$C$4:$C$2003,$B2341)=0,"—","SÍ ("&amp;COUNTIFS(NOVEDADES!$C$4:$C$2003,$B2341)&amp;")"))</f>
        <v/>
      </c>
    </row>
    <row r="2342">
      <c r="A2342" s="41" t="n"/>
      <c r="B2342" s="41" t="n"/>
      <c r="C2342" s="41" t="n"/>
      <c r="D2342" s="41" t="n"/>
      <c r="E2342" s="46" t="n"/>
      <c r="F2342" s="41" t="n"/>
      <c r="G2342" s="41" t="n"/>
      <c r="H2342" s="41" t="n"/>
      <c r="I2342" s="41" t="n"/>
      <c r="J2342" s="47" t="n"/>
      <c r="K2342" s="41" t="n"/>
      <c r="L2342" s="48" t="n"/>
      <c r="M2342" s="45" t="n"/>
      <c r="N2342" s="39">
        <f>IF($B2342="","",IF(SUMPRODUCT((LISTAS!$O$3:$O$42&lt;&gt;"")*ISNUMBER(SEARCH(LISTAS!$O$3:$O$42,$I2342&amp;" "&amp;$K2342)))&gt;0,"CERCANA","NACIONAL"))</f>
        <v/>
      </c>
      <c r="O2342" s="39">
        <f>IF($B2342="","",IF(COUNTIFS(NOVEDADES!$C$4:$C$2003,$B2342)=0,"—","SÍ ("&amp;COUNTIFS(NOVEDADES!$C$4:$C$2003,$B2342)&amp;")"))</f>
        <v/>
      </c>
    </row>
    <row r="2343">
      <c r="A2343" s="41" t="n"/>
      <c r="B2343" s="41" t="n"/>
      <c r="C2343" s="41" t="n"/>
      <c r="D2343" s="41" t="n"/>
      <c r="E2343" s="46" t="n"/>
      <c r="F2343" s="41" t="n"/>
      <c r="G2343" s="41" t="n"/>
      <c r="H2343" s="41" t="n"/>
      <c r="I2343" s="41" t="n"/>
      <c r="J2343" s="47" t="n"/>
      <c r="K2343" s="41" t="n"/>
      <c r="L2343" s="48" t="n"/>
      <c r="M2343" s="45" t="n"/>
      <c r="N2343" s="39">
        <f>IF($B2343="","",IF(SUMPRODUCT((LISTAS!$O$3:$O$42&lt;&gt;"")*ISNUMBER(SEARCH(LISTAS!$O$3:$O$42,$I2343&amp;" "&amp;$K2343)))&gt;0,"CERCANA","NACIONAL"))</f>
        <v/>
      </c>
      <c r="O2343" s="39">
        <f>IF($B2343="","",IF(COUNTIFS(NOVEDADES!$C$4:$C$2003,$B2343)=0,"—","SÍ ("&amp;COUNTIFS(NOVEDADES!$C$4:$C$2003,$B2343)&amp;")"))</f>
        <v/>
      </c>
    </row>
    <row r="2344">
      <c r="A2344" s="41" t="n"/>
      <c r="B2344" s="41" t="n"/>
      <c r="C2344" s="41" t="n"/>
      <c r="D2344" s="41" t="n"/>
      <c r="E2344" s="46" t="n"/>
      <c r="F2344" s="41" t="n"/>
      <c r="G2344" s="41" t="n"/>
      <c r="H2344" s="41" t="n"/>
      <c r="I2344" s="41" t="n"/>
      <c r="J2344" s="47" t="n"/>
      <c r="K2344" s="41" t="n"/>
      <c r="L2344" s="48" t="n"/>
      <c r="M2344" s="45" t="n"/>
      <c r="N2344" s="39">
        <f>IF($B2344="","",IF(SUMPRODUCT((LISTAS!$O$3:$O$42&lt;&gt;"")*ISNUMBER(SEARCH(LISTAS!$O$3:$O$42,$I2344&amp;" "&amp;$K2344)))&gt;0,"CERCANA","NACIONAL"))</f>
        <v/>
      </c>
      <c r="O2344" s="39">
        <f>IF($B2344="","",IF(COUNTIFS(NOVEDADES!$C$4:$C$2003,$B2344)=0,"—","SÍ ("&amp;COUNTIFS(NOVEDADES!$C$4:$C$2003,$B2344)&amp;")"))</f>
        <v/>
      </c>
    </row>
    <row r="2345">
      <c r="A2345" s="41" t="n"/>
      <c r="B2345" s="41" t="n"/>
      <c r="C2345" s="41" t="n"/>
      <c r="D2345" s="41" t="n"/>
      <c r="E2345" s="46" t="n"/>
      <c r="F2345" s="41" t="n"/>
      <c r="G2345" s="41" t="n"/>
      <c r="H2345" s="41" t="n"/>
      <c r="I2345" s="41" t="n"/>
      <c r="J2345" s="47" t="n"/>
      <c r="K2345" s="41" t="n"/>
      <c r="L2345" s="48" t="n"/>
      <c r="M2345" s="45" t="n"/>
      <c r="N2345" s="39">
        <f>IF($B2345="","",IF(SUMPRODUCT((LISTAS!$O$3:$O$42&lt;&gt;"")*ISNUMBER(SEARCH(LISTAS!$O$3:$O$42,$I2345&amp;" "&amp;$K2345)))&gt;0,"CERCANA","NACIONAL"))</f>
        <v/>
      </c>
      <c r="O2345" s="39">
        <f>IF($B2345="","",IF(COUNTIFS(NOVEDADES!$C$4:$C$2003,$B2345)=0,"—","SÍ ("&amp;COUNTIFS(NOVEDADES!$C$4:$C$2003,$B2345)&amp;")"))</f>
        <v/>
      </c>
    </row>
    <row r="2346">
      <c r="A2346" s="41" t="n"/>
      <c r="B2346" s="41" t="n"/>
      <c r="C2346" s="41" t="n"/>
      <c r="D2346" s="41" t="n"/>
      <c r="E2346" s="46" t="n"/>
      <c r="F2346" s="41" t="n"/>
      <c r="G2346" s="41" t="n"/>
      <c r="H2346" s="41" t="n"/>
      <c r="I2346" s="41" t="n"/>
      <c r="J2346" s="47" t="n"/>
      <c r="K2346" s="41" t="n"/>
      <c r="L2346" s="48" t="n"/>
      <c r="M2346" s="45" t="n"/>
      <c r="N2346" s="39">
        <f>IF($B2346="","",IF(SUMPRODUCT((LISTAS!$O$3:$O$42&lt;&gt;"")*ISNUMBER(SEARCH(LISTAS!$O$3:$O$42,$I2346&amp;" "&amp;$K2346)))&gt;0,"CERCANA","NACIONAL"))</f>
        <v/>
      </c>
      <c r="O2346" s="39">
        <f>IF($B2346="","",IF(COUNTIFS(NOVEDADES!$C$4:$C$2003,$B2346)=0,"—","SÍ ("&amp;COUNTIFS(NOVEDADES!$C$4:$C$2003,$B2346)&amp;")"))</f>
        <v/>
      </c>
    </row>
    <row r="2347">
      <c r="A2347" s="41" t="n"/>
      <c r="B2347" s="41" t="n"/>
      <c r="C2347" s="41" t="n"/>
      <c r="D2347" s="41" t="n"/>
      <c r="E2347" s="46" t="n"/>
      <c r="F2347" s="41" t="n"/>
      <c r="G2347" s="41" t="n"/>
      <c r="H2347" s="41" t="n"/>
      <c r="I2347" s="41" t="n"/>
      <c r="J2347" s="47" t="n"/>
      <c r="K2347" s="41" t="n"/>
      <c r="L2347" s="48" t="n"/>
      <c r="M2347" s="45" t="n"/>
      <c r="N2347" s="39">
        <f>IF($B2347="","",IF(SUMPRODUCT((LISTAS!$O$3:$O$42&lt;&gt;"")*ISNUMBER(SEARCH(LISTAS!$O$3:$O$42,$I2347&amp;" "&amp;$K2347)))&gt;0,"CERCANA","NACIONAL"))</f>
        <v/>
      </c>
      <c r="O2347" s="39">
        <f>IF($B2347="","",IF(COUNTIFS(NOVEDADES!$C$4:$C$2003,$B2347)=0,"—","SÍ ("&amp;COUNTIFS(NOVEDADES!$C$4:$C$2003,$B2347)&amp;")"))</f>
        <v/>
      </c>
    </row>
    <row r="2348">
      <c r="A2348" s="41" t="n"/>
      <c r="B2348" s="41" t="n"/>
      <c r="C2348" s="41" t="n"/>
      <c r="D2348" s="41" t="n"/>
      <c r="E2348" s="46" t="n"/>
      <c r="F2348" s="41" t="n"/>
      <c r="G2348" s="41" t="n"/>
      <c r="H2348" s="41" t="n"/>
      <c r="I2348" s="41" t="n"/>
      <c r="J2348" s="47" t="n"/>
      <c r="K2348" s="41" t="n"/>
      <c r="L2348" s="48" t="n"/>
      <c r="M2348" s="45" t="n"/>
      <c r="N2348" s="39">
        <f>IF($B2348="","",IF(SUMPRODUCT((LISTAS!$O$3:$O$42&lt;&gt;"")*ISNUMBER(SEARCH(LISTAS!$O$3:$O$42,$I2348&amp;" "&amp;$K2348)))&gt;0,"CERCANA","NACIONAL"))</f>
        <v/>
      </c>
      <c r="O2348" s="39">
        <f>IF($B2348="","",IF(COUNTIFS(NOVEDADES!$C$4:$C$2003,$B2348)=0,"—","SÍ ("&amp;COUNTIFS(NOVEDADES!$C$4:$C$2003,$B2348)&amp;")"))</f>
        <v/>
      </c>
    </row>
    <row r="2349">
      <c r="A2349" s="41" t="n"/>
      <c r="B2349" s="41" t="n"/>
      <c r="C2349" s="41" t="n"/>
      <c r="D2349" s="41" t="n"/>
      <c r="E2349" s="46" t="n"/>
      <c r="F2349" s="41" t="n"/>
      <c r="G2349" s="41" t="n"/>
      <c r="H2349" s="41" t="n"/>
      <c r="I2349" s="41" t="n"/>
      <c r="J2349" s="47" t="n"/>
      <c r="K2349" s="41" t="n"/>
      <c r="L2349" s="48" t="n"/>
      <c r="M2349" s="45" t="n"/>
      <c r="N2349" s="39">
        <f>IF($B2349="","",IF(SUMPRODUCT((LISTAS!$O$3:$O$42&lt;&gt;"")*ISNUMBER(SEARCH(LISTAS!$O$3:$O$42,$I2349&amp;" "&amp;$K2349)))&gt;0,"CERCANA","NACIONAL"))</f>
        <v/>
      </c>
      <c r="O2349" s="39">
        <f>IF($B2349="","",IF(COUNTIFS(NOVEDADES!$C$4:$C$2003,$B2349)=0,"—","SÍ ("&amp;COUNTIFS(NOVEDADES!$C$4:$C$2003,$B2349)&amp;")"))</f>
        <v/>
      </c>
    </row>
    <row r="2350">
      <c r="A2350" s="41" t="n"/>
      <c r="B2350" s="41" t="n"/>
      <c r="C2350" s="41" t="n"/>
      <c r="D2350" s="41" t="n"/>
      <c r="E2350" s="46" t="n"/>
      <c r="F2350" s="41" t="n"/>
      <c r="G2350" s="41" t="n"/>
      <c r="H2350" s="41" t="n"/>
      <c r="I2350" s="41" t="n"/>
      <c r="J2350" s="47" t="n"/>
      <c r="K2350" s="41" t="n"/>
      <c r="L2350" s="48" t="n"/>
      <c r="M2350" s="45" t="n"/>
      <c r="N2350" s="39">
        <f>IF($B2350="","",IF(SUMPRODUCT((LISTAS!$O$3:$O$42&lt;&gt;"")*ISNUMBER(SEARCH(LISTAS!$O$3:$O$42,$I2350&amp;" "&amp;$K2350)))&gt;0,"CERCANA","NACIONAL"))</f>
        <v/>
      </c>
      <c r="O2350" s="39">
        <f>IF($B2350="","",IF(COUNTIFS(NOVEDADES!$C$4:$C$2003,$B2350)=0,"—","SÍ ("&amp;COUNTIFS(NOVEDADES!$C$4:$C$2003,$B2350)&amp;")"))</f>
        <v/>
      </c>
    </row>
    <row r="2351">
      <c r="A2351" s="41" t="n"/>
      <c r="B2351" s="41" t="n"/>
      <c r="C2351" s="41" t="n"/>
      <c r="D2351" s="41" t="n"/>
      <c r="E2351" s="46" t="n"/>
      <c r="F2351" s="41" t="n"/>
      <c r="G2351" s="41" t="n"/>
      <c r="H2351" s="41" t="n"/>
      <c r="I2351" s="41" t="n"/>
      <c r="J2351" s="47" t="n"/>
      <c r="K2351" s="41" t="n"/>
      <c r="L2351" s="48" t="n"/>
      <c r="M2351" s="45" t="n"/>
      <c r="N2351" s="39">
        <f>IF($B2351="","",IF(SUMPRODUCT((LISTAS!$O$3:$O$42&lt;&gt;"")*ISNUMBER(SEARCH(LISTAS!$O$3:$O$42,$I2351&amp;" "&amp;$K2351)))&gt;0,"CERCANA","NACIONAL"))</f>
        <v/>
      </c>
      <c r="O2351" s="39">
        <f>IF($B2351="","",IF(COUNTIFS(NOVEDADES!$C$4:$C$2003,$B2351)=0,"—","SÍ ("&amp;COUNTIFS(NOVEDADES!$C$4:$C$2003,$B2351)&amp;")"))</f>
        <v/>
      </c>
    </row>
    <row r="2352">
      <c r="A2352" s="41" t="n"/>
      <c r="B2352" s="41" t="n"/>
      <c r="C2352" s="41" t="n"/>
      <c r="D2352" s="41" t="n"/>
      <c r="E2352" s="46" t="n"/>
      <c r="F2352" s="41" t="n"/>
      <c r="G2352" s="41" t="n"/>
      <c r="H2352" s="41" t="n"/>
      <c r="I2352" s="41" t="n"/>
      <c r="J2352" s="47" t="n"/>
      <c r="K2352" s="41" t="n"/>
      <c r="L2352" s="48" t="n"/>
      <c r="M2352" s="45" t="n"/>
      <c r="N2352" s="39">
        <f>IF($B2352="","",IF(SUMPRODUCT((LISTAS!$O$3:$O$42&lt;&gt;"")*ISNUMBER(SEARCH(LISTAS!$O$3:$O$42,$I2352&amp;" "&amp;$K2352)))&gt;0,"CERCANA","NACIONAL"))</f>
        <v/>
      </c>
      <c r="O2352" s="39">
        <f>IF($B2352="","",IF(COUNTIFS(NOVEDADES!$C$4:$C$2003,$B2352)=0,"—","SÍ ("&amp;COUNTIFS(NOVEDADES!$C$4:$C$2003,$B2352)&amp;")"))</f>
        <v/>
      </c>
    </row>
    <row r="2353">
      <c r="A2353" s="41" t="n"/>
      <c r="B2353" s="41" t="n"/>
      <c r="C2353" s="41" t="n"/>
      <c r="D2353" s="41" t="n"/>
      <c r="E2353" s="46" t="n"/>
      <c r="F2353" s="41" t="n"/>
      <c r="G2353" s="41" t="n"/>
      <c r="H2353" s="41" t="n"/>
      <c r="I2353" s="41" t="n"/>
      <c r="J2353" s="47" t="n"/>
      <c r="K2353" s="41" t="n"/>
      <c r="L2353" s="48" t="n"/>
      <c r="M2353" s="45" t="n"/>
      <c r="N2353" s="39">
        <f>IF($B2353="","",IF(SUMPRODUCT((LISTAS!$O$3:$O$42&lt;&gt;"")*ISNUMBER(SEARCH(LISTAS!$O$3:$O$42,$I2353&amp;" "&amp;$K2353)))&gt;0,"CERCANA","NACIONAL"))</f>
        <v/>
      </c>
      <c r="O2353" s="39">
        <f>IF($B2353="","",IF(COUNTIFS(NOVEDADES!$C$4:$C$2003,$B2353)=0,"—","SÍ ("&amp;COUNTIFS(NOVEDADES!$C$4:$C$2003,$B2353)&amp;")"))</f>
        <v/>
      </c>
    </row>
    <row r="2354">
      <c r="A2354" s="41" t="n"/>
      <c r="B2354" s="41" t="n"/>
      <c r="C2354" s="41" t="n"/>
      <c r="D2354" s="41" t="n"/>
      <c r="E2354" s="46" t="n"/>
      <c r="F2354" s="41" t="n"/>
      <c r="G2354" s="41" t="n"/>
      <c r="H2354" s="41" t="n"/>
      <c r="I2354" s="41" t="n"/>
      <c r="J2354" s="47" t="n"/>
      <c r="K2354" s="41" t="n"/>
      <c r="L2354" s="48" t="n"/>
      <c r="M2354" s="45" t="n"/>
      <c r="N2354" s="39">
        <f>IF($B2354="","",IF(SUMPRODUCT((LISTAS!$O$3:$O$42&lt;&gt;"")*ISNUMBER(SEARCH(LISTAS!$O$3:$O$42,$I2354&amp;" "&amp;$K2354)))&gt;0,"CERCANA","NACIONAL"))</f>
        <v/>
      </c>
      <c r="O2354" s="39">
        <f>IF($B2354="","",IF(COUNTIFS(NOVEDADES!$C$4:$C$2003,$B2354)=0,"—","SÍ ("&amp;COUNTIFS(NOVEDADES!$C$4:$C$2003,$B2354)&amp;")"))</f>
        <v/>
      </c>
    </row>
    <row r="2355">
      <c r="A2355" s="41" t="n"/>
      <c r="B2355" s="41" t="n"/>
      <c r="C2355" s="41" t="n"/>
      <c r="D2355" s="41" t="n"/>
      <c r="E2355" s="46" t="n"/>
      <c r="F2355" s="41" t="n"/>
      <c r="G2355" s="41" t="n"/>
      <c r="H2355" s="41" t="n"/>
      <c r="I2355" s="41" t="n"/>
      <c r="J2355" s="47" t="n"/>
      <c r="K2355" s="41" t="n"/>
      <c r="L2355" s="48" t="n"/>
      <c r="M2355" s="45" t="n"/>
      <c r="N2355" s="39">
        <f>IF($B2355="","",IF(SUMPRODUCT((LISTAS!$O$3:$O$42&lt;&gt;"")*ISNUMBER(SEARCH(LISTAS!$O$3:$O$42,$I2355&amp;" "&amp;$K2355)))&gt;0,"CERCANA","NACIONAL"))</f>
        <v/>
      </c>
      <c r="O2355" s="39">
        <f>IF($B2355="","",IF(COUNTIFS(NOVEDADES!$C$4:$C$2003,$B2355)=0,"—","SÍ ("&amp;COUNTIFS(NOVEDADES!$C$4:$C$2003,$B2355)&amp;")"))</f>
        <v/>
      </c>
    </row>
    <row r="2356">
      <c r="A2356" s="41" t="n"/>
      <c r="B2356" s="41" t="n"/>
      <c r="C2356" s="41" t="n"/>
      <c r="D2356" s="41" t="n"/>
      <c r="E2356" s="46" t="n"/>
      <c r="F2356" s="41" t="n"/>
      <c r="G2356" s="41" t="n"/>
      <c r="H2356" s="41" t="n"/>
      <c r="I2356" s="41" t="n"/>
      <c r="J2356" s="47" t="n"/>
      <c r="K2356" s="41" t="n"/>
      <c r="L2356" s="48" t="n"/>
      <c r="M2356" s="45" t="n"/>
      <c r="N2356" s="39">
        <f>IF($B2356="","",IF(SUMPRODUCT((LISTAS!$O$3:$O$42&lt;&gt;"")*ISNUMBER(SEARCH(LISTAS!$O$3:$O$42,$I2356&amp;" "&amp;$K2356)))&gt;0,"CERCANA","NACIONAL"))</f>
        <v/>
      </c>
      <c r="O2356" s="39">
        <f>IF($B2356="","",IF(COUNTIFS(NOVEDADES!$C$4:$C$2003,$B2356)=0,"—","SÍ ("&amp;COUNTIFS(NOVEDADES!$C$4:$C$2003,$B2356)&amp;")"))</f>
        <v/>
      </c>
    </row>
    <row r="2357">
      <c r="A2357" s="41" t="n"/>
      <c r="B2357" s="41" t="n"/>
      <c r="C2357" s="41" t="n"/>
      <c r="D2357" s="41" t="n"/>
      <c r="E2357" s="46" t="n"/>
      <c r="F2357" s="41" t="n"/>
      <c r="G2357" s="41" t="n"/>
      <c r="H2357" s="41" t="n"/>
      <c r="I2357" s="41" t="n"/>
      <c r="J2357" s="47" t="n"/>
      <c r="K2357" s="41" t="n"/>
      <c r="L2357" s="48" t="n"/>
      <c r="M2357" s="45" t="n"/>
      <c r="N2357" s="39">
        <f>IF($B2357="","",IF(SUMPRODUCT((LISTAS!$O$3:$O$42&lt;&gt;"")*ISNUMBER(SEARCH(LISTAS!$O$3:$O$42,$I2357&amp;" "&amp;$K2357)))&gt;0,"CERCANA","NACIONAL"))</f>
        <v/>
      </c>
      <c r="O2357" s="39">
        <f>IF($B2357="","",IF(COUNTIFS(NOVEDADES!$C$4:$C$2003,$B2357)=0,"—","SÍ ("&amp;COUNTIFS(NOVEDADES!$C$4:$C$2003,$B2357)&amp;")"))</f>
        <v/>
      </c>
    </row>
    <row r="2358">
      <c r="A2358" s="41" t="n"/>
      <c r="B2358" s="41" t="n"/>
      <c r="C2358" s="41" t="n"/>
      <c r="D2358" s="41" t="n"/>
      <c r="E2358" s="46" t="n"/>
      <c r="F2358" s="41" t="n"/>
      <c r="G2358" s="41" t="n"/>
      <c r="H2358" s="41" t="n"/>
      <c r="I2358" s="41" t="n"/>
      <c r="J2358" s="47" t="n"/>
      <c r="K2358" s="41" t="n"/>
      <c r="L2358" s="48" t="n"/>
      <c r="M2358" s="45" t="n"/>
      <c r="N2358" s="39">
        <f>IF($B2358="","",IF(SUMPRODUCT((LISTAS!$O$3:$O$42&lt;&gt;"")*ISNUMBER(SEARCH(LISTAS!$O$3:$O$42,$I2358&amp;" "&amp;$K2358)))&gt;0,"CERCANA","NACIONAL"))</f>
        <v/>
      </c>
      <c r="O2358" s="39">
        <f>IF($B2358="","",IF(COUNTIFS(NOVEDADES!$C$4:$C$2003,$B2358)=0,"—","SÍ ("&amp;COUNTIFS(NOVEDADES!$C$4:$C$2003,$B2358)&amp;")"))</f>
        <v/>
      </c>
    </row>
    <row r="2359">
      <c r="A2359" s="41" t="n"/>
      <c r="B2359" s="41" t="n"/>
      <c r="C2359" s="41" t="n"/>
      <c r="D2359" s="41" t="n"/>
      <c r="E2359" s="46" t="n"/>
      <c r="F2359" s="41" t="n"/>
      <c r="G2359" s="41" t="n"/>
      <c r="H2359" s="41" t="n"/>
      <c r="I2359" s="41" t="n"/>
      <c r="J2359" s="47" t="n"/>
      <c r="K2359" s="41" t="n"/>
      <c r="L2359" s="48" t="n"/>
      <c r="M2359" s="45" t="n"/>
      <c r="N2359" s="39">
        <f>IF($B2359="","",IF(SUMPRODUCT((LISTAS!$O$3:$O$42&lt;&gt;"")*ISNUMBER(SEARCH(LISTAS!$O$3:$O$42,$I2359&amp;" "&amp;$K2359)))&gt;0,"CERCANA","NACIONAL"))</f>
        <v/>
      </c>
      <c r="O2359" s="39">
        <f>IF($B2359="","",IF(COUNTIFS(NOVEDADES!$C$4:$C$2003,$B2359)=0,"—","SÍ ("&amp;COUNTIFS(NOVEDADES!$C$4:$C$2003,$B2359)&amp;")"))</f>
        <v/>
      </c>
    </row>
    <row r="2360">
      <c r="A2360" s="41" t="n"/>
      <c r="B2360" s="41" t="n"/>
      <c r="C2360" s="41" t="n"/>
      <c r="D2360" s="41" t="n"/>
      <c r="E2360" s="46" t="n"/>
      <c r="F2360" s="41" t="n"/>
      <c r="G2360" s="41" t="n"/>
      <c r="H2360" s="41" t="n"/>
      <c r="I2360" s="41" t="n"/>
      <c r="J2360" s="47" t="n"/>
      <c r="K2360" s="41" t="n"/>
      <c r="L2360" s="48" t="n"/>
      <c r="M2360" s="45" t="n"/>
      <c r="N2360" s="39">
        <f>IF($B2360="","",IF(SUMPRODUCT((LISTAS!$O$3:$O$42&lt;&gt;"")*ISNUMBER(SEARCH(LISTAS!$O$3:$O$42,$I2360&amp;" "&amp;$K2360)))&gt;0,"CERCANA","NACIONAL"))</f>
        <v/>
      </c>
      <c r="O2360" s="39">
        <f>IF($B2360="","",IF(COUNTIFS(NOVEDADES!$C$4:$C$2003,$B2360)=0,"—","SÍ ("&amp;COUNTIFS(NOVEDADES!$C$4:$C$2003,$B2360)&amp;")"))</f>
        <v/>
      </c>
    </row>
    <row r="2361">
      <c r="A2361" s="41" t="n"/>
      <c r="B2361" s="41" t="n"/>
      <c r="C2361" s="41" t="n"/>
      <c r="D2361" s="41" t="n"/>
      <c r="E2361" s="46" t="n"/>
      <c r="F2361" s="41" t="n"/>
      <c r="G2361" s="41" t="n"/>
      <c r="H2361" s="41" t="n"/>
      <c r="I2361" s="41" t="n"/>
      <c r="J2361" s="47" t="n"/>
      <c r="K2361" s="41" t="n"/>
      <c r="L2361" s="48" t="n"/>
      <c r="M2361" s="45" t="n"/>
      <c r="N2361" s="39">
        <f>IF($B2361="","",IF(SUMPRODUCT((LISTAS!$O$3:$O$42&lt;&gt;"")*ISNUMBER(SEARCH(LISTAS!$O$3:$O$42,$I2361&amp;" "&amp;$K2361)))&gt;0,"CERCANA","NACIONAL"))</f>
        <v/>
      </c>
      <c r="O2361" s="39">
        <f>IF($B2361="","",IF(COUNTIFS(NOVEDADES!$C$4:$C$2003,$B2361)=0,"—","SÍ ("&amp;COUNTIFS(NOVEDADES!$C$4:$C$2003,$B2361)&amp;")"))</f>
        <v/>
      </c>
    </row>
    <row r="2362">
      <c r="A2362" s="41" t="n"/>
      <c r="B2362" s="41" t="n"/>
      <c r="C2362" s="41" t="n"/>
      <c r="D2362" s="41" t="n"/>
      <c r="E2362" s="46" t="n"/>
      <c r="F2362" s="41" t="n"/>
      <c r="G2362" s="41" t="n"/>
      <c r="H2362" s="41" t="n"/>
      <c r="I2362" s="41" t="n"/>
      <c r="J2362" s="47" t="n"/>
      <c r="K2362" s="41" t="n"/>
      <c r="L2362" s="48" t="n"/>
      <c r="M2362" s="45" t="n"/>
      <c r="N2362" s="39">
        <f>IF($B2362="","",IF(SUMPRODUCT((LISTAS!$O$3:$O$42&lt;&gt;"")*ISNUMBER(SEARCH(LISTAS!$O$3:$O$42,$I2362&amp;" "&amp;$K2362)))&gt;0,"CERCANA","NACIONAL"))</f>
        <v/>
      </c>
      <c r="O2362" s="39">
        <f>IF($B2362="","",IF(COUNTIFS(NOVEDADES!$C$4:$C$2003,$B2362)=0,"—","SÍ ("&amp;COUNTIFS(NOVEDADES!$C$4:$C$2003,$B2362)&amp;")"))</f>
        <v/>
      </c>
    </row>
    <row r="2363">
      <c r="A2363" s="41" t="n"/>
      <c r="B2363" s="41" t="n"/>
      <c r="C2363" s="41" t="n"/>
      <c r="D2363" s="41" t="n"/>
      <c r="E2363" s="46" t="n"/>
      <c r="F2363" s="41" t="n"/>
      <c r="G2363" s="41" t="n"/>
      <c r="H2363" s="41" t="n"/>
      <c r="I2363" s="41" t="n"/>
      <c r="J2363" s="47" t="n"/>
      <c r="K2363" s="41" t="n"/>
      <c r="L2363" s="48" t="n"/>
      <c r="M2363" s="45" t="n"/>
      <c r="N2363" s="39">
        <f>IF($B2363="","",IF(SUMPRODUCT((LISTAS!$O$3:$O$42&lt;&gt;"")*ISNUMBER(SEARCH(LISTAS!$O$3:$O$42,$I2363&amp;" "&amp;$K2363)))&gt;0,"CERCANA","NACIONAL"))</f>
        <v/>
      </c>
      <c r="O2363" s="39">
        <f>IF($B2363="","",IF(COUNTIFS(NOVEDADES!$C$4:$C$2003,$B2363)=0,"—","SÍ ("&amp;COUNTIFS(NOVEDADES!$C$4:$C$2003,$B2363)&amp;")"))</f>
        <v/>
      </c>
    </row>
    <row r="2364">
      <c r="A2364" s="41" t="n"/>
      <c r="B2364" s="41" t="n"/>
      <c r="C2364" s="41" t="n"/>
      <c r="D2364" s="41" t="n"/>
      <c r="E2364" s="46" t="n"/>
      <c r="F2364" s="41" t="n"/>
      <c r="G2364" s="41" t="n"/>
      <c r="H2364" s="41" t="n"/>
      <c r="I2364" s="41" t="n"/>
      <c r="J2364" s="47" t="n"/>
      <c r="K2364" s="41" t="n"/>
      <c r="L2364" s="48" t="n"/>
      <c r="M2364" s="45" t="n"/>
      <c r="N2364" s="39">
        <f>IF($B2364="","",IF(SUMPRODUCT((LISTAS!$O$3:$O$42&lt;&gt;"")*ISNUMBER(SEARCH(LISTAS!$O$3:$O$42,$I2364&amp;" "&amp;$K2364)))&gt;0,"CERCANA","NACIONAL"))</f>
        <v/>
      </c>
      <c r="O2364" s="39">
        <f>IF($B2364="","",IF(COUNTIFS(NOVEDADES!$C$4:$C$2003,$B2364)=0,"—","SÍ ("&amp;COUNTIFS(NOVEDADES!$C$4:$C$2003,$B2364)&amp;")"))</f>
        <v/>
      </c>
    </row>
    <row r="2365">
      <c r="A2365" s="41" t="n"/>
      <c r="B2365" s="41" t="n"/>
      <c r="C2365" s="41" t="n"/>
      <c r="D2365" s="41" t="n"/>
      <c r="E2365" s="46" t="n"/>
      <c r="F2365" s="41" t="n"/>
      <c r="G2365" s="41" t="n"/>
      <c r="H2365" s="41" t="n"/>
      <c r="I2365" s="41" t="n"/>
      <c r="J2365" s="47" t="n"/>
      <c r="K2365" s="41" t="n"/>
      <c r="L2365" s="48" t="n"/>
      <c r="M2365" s="45" t="n"/>
      <c r="N2365" s="39">
        <f>IF($B2365="","",IF(SUMPRODUCT((LISTAS!$O$3:$O$42&lt;&gt;"")*ISNUMBER(SEARCH(LISTAS!$O$3:$O$42,$I2365&amp;" "&amp;$K2365)))&gt;0,"CERCANA","NACIONAL"))</f>
        <v/>
      </c>
      <c r="O2365" s="39">
        <f>IF($B2365="","",IF(COUNTIFS(NOVEDADES!$C$4:$C$2003,$B2365)=0,"—","SÍ ("&amp;COUNTIFS(NOVEDADES!$C$4:$C$2003,$B2365)&amp;")"))</f>
        <v/>
      </c>
    </row>
    <row r="2366">
      <c r="A2366" s="41" t="n"/>
      <c r="B2366" s="41" t="n"/>
      <c r="C2366" s="41" t="n"/>
      <c r="D2366" s="41" t="n"/>
      <c r="E2366" s="46" t="n"/>
      <c r="F2366" s="41" t="n"/>
      <c r="G2366" s="41" t="n"/>
      <c r="H2366" s="41" t="n"/>
      <c r="I2366" s="41" t="n"/>
      <c r="J2366" s="47" t="n"/>
      <c r="K2366" s="41" t="n"/>
      <c r="L2366" s="48" t="n"/>
      <c r="M2366" s="45" t="n"/>
      <c r="N2366" s="39">
        <f>IF($B2366="","",IF(SUMPRODUCT((LISTAS!$O$3:$O$42&lt;&gt;"")*ISNUMBER(SEARCH(LISTAS!$O$3:$O$42,$I2366&amp;" "&amp;$K2366)))&gt;0,"CERCANA","NACIONAL"))</f>
        <v/>
      </c>
      <c r="O2366" s="39">
        <f>IF($B2366="","",IF(COUNTIFS(NOVEDADES!$C$4:$C$2003,$B2366)=0,"—","SÍ ("&amp;COUNTIFS(NOVEDADES!$C$4:$C$2003,$B2366)&amp;")"))</f>
        <v/>
      </c>
    </row>
    <row r="2367">
      <c r="A2367" s="41" t="n"/>
      <c r="B2367" s="41" t="n"/>
      <c r="C2367" s="41" t="n"/>
      <c r="D2367" s="41" t="n"/>
      <c r="E2367" s="46" t="n"/>
      <c r="F2367" s="41" t="n"/>
      <c r="G2367" s="41" t="n"/>
      <c r="H2367" s="41" t="n"/>
      <c r="I2367" s="41" t="n"/>
      <c r="J2367" s="47" t="n"/>
      <c r="K2367" s="41" t="n"/>
      <c r="L2367" s="48" t="n"/>
      <c r="M2367" s="45" t="n"/>
      <c r="N2367" s="39">
        <f>IF($B2367="","",IF(SUMPRODUCT((LISTAS!$O$3:$O$42&lt;&gt;"")*ISNUMBER(SEARCH(LISTAS!$O$3:$O$42,$I2367&amp;" "&amp;$K2367)))&gt;0,"CERCANA","NACIONAL"))</f>
        <v/>
      </c>
      <c r="O2367" s="39">
        <f>IF($B2367="","",IF(COUNTIFS(NOVEDADES!$C$4:$C$2003,$B2367)=0,"—","SÍ ("&amp;COUNTIFS(NOVEDADES!$C$4:$C$2003,$B2367)&amp;")"))</f>
        <v/>
      </c>
    </row>
    <row r="2368">
      <c r="A2368" s="41" t="n"/>
      <c r="B2368" s="41" t="n"/>
      <c r="C2368" s="41" t="n"/>
      <c r="D2368" s="41" t="n"/>
      <c r="E2368" s="46" t="n"/>
      <c r="F2368" s="41" t="n"/>
      <c r="G2368" s="41" t="n"/>
      <c r="H2368" s="41" t="n"/>
      <c r="I2368" s="41" t="n"/>
      <c r="J2368" s="47" t="n"/>
      <c r="K2368" s="41" t="n"/>
      <c r="L2368" s="48" t="n"/>
      <c r="M2368" s="45" t="n"/>
      <c r="N2368" s="39">
        <f>IF($B2368="","",IF(SUMPRODUCT((LISTAS!$O$3:$O$42&lt;&gt;"")*ISNUMBER(SEARCH(LISTAS!$O$3:$O$42,$I2368&amp;" "&amp;$K2368)))&gt;0,"CERCANA","NACIONAL"))</f>
        <v/>
      </c>
      <c r="O2368" s="39">
        <f>IF($B2368="","",IF(COUNTIFS(NOVEDADES!$C$4:$C$2003,$B2368)=0,"—","SÍ ("&amp;COUNTIFS(NOVEDADES!$C$4:$C$2003,$B2368)&amp;")"))</f>
        <v/>
      </c>
    </row>
    <row r="2369">
      <c r="A2369" s="41" t="n"/>
      <c r="B2369" s="41" t="n"/>
      <c r="C2369" s="41" t="n"/>
      <c r="D2369" s="41" t="n"/>
      <c r="E2369" s="46" t="n"/>
      <c r="F2369" s="41" t="n"/>
      <c r="G2369" s="41" t="n"/>
      <c r="H2369" s="41" t="n"/>
      <c r="I2369" s="41" t="n"/>
      <c r="J2369" s="47" t="n"/>
      <c r="K2369" s="41" t="n"/>
      <c r="L2369" s="48" t="n"/>
      <c r="M2369" s="45" t="n"/>
      <c r="N2369" s="39">
        <f>IF($B2369="","",IF(SUMPRODUCT((LISTAS!$O$3:$O$42&lt;&gt;"")*ISNUMBER(SEARCH(LISTAS!$O$3:$O$42,$I2369&amp;" "&amp;$K2369)))&gt;0,"CERCANA","NACIONAL"))</f>
        <v/>
      </c>
      <c r="O2369" s="39">
        <f>IF($B2369="","",IF(COUNTIFS(NOVEDADES!$C$4:$C$2003,$B2369)=0,"—","SÍ ("&amp;COUNTIFS(NOVEDADES!$C$4:$C$2003,$B2369)&amp;")"))</f>
        <v/>
      </c>
    </row>
    <row r="2370">
      <c r="A2370" s="41" t="n"/>
      <c r="B2370" s="41" t="n"/>
      <c r="C2370" s="41" t="n"/>
      <c r="D2370" s="41" t="n"/>
      <c r="E2370" s="46" t="n"/>
      <c r="F2370" s="41" t="n"/>
      <c r="G2370" s="41" t="n"/>
      <c r="H2370" s="41" t="n"/>
      <c r="I2370" s="41" t="n"/>
      <c r="J2370" s="47" t="n"/>
      <c r="K2370" s="41" t="n"/>
      <c r="L2370" s="48" t="n"/>
      <c r="M2370" s="45" t="n"/>
      <c r="N2370" s="39">
        <f>IF($B2370="","",IF(SUMPRODUCT((LISTAS!$O$3:$O$42&lt;&gt;"")*ISNUMBER(SEARCH(LISTAS!$O$3:$O$42,$I2370&amp;" "&amp;$K2370)))&gt;0,"CERCANA","NACIONAL"))</f>
        <v/>
      </c>
      <c r="O2370" s="39">
        <f>IF($B2370="","",IF(COUNTIFS(NOVEDADES!$C$4:$C$2003,$B2370)=0,"—","SÍ ("&amp;COUNTIFS(NOVEDADES!$C$4:$C$2003,$B2370)&amp;")"))</f>
        <v/>
      </c>
    </row>
    <row r="2371">
      <c r="A2371" s="41" t="n"/>
      <c r="B2371" s="41" t="n"/>
      <c r="C2371" s="41" t="n"/>
      <c r="D2371" s="41" t="n"/>
      <c r="E2371" s="46" t="n"/>
      <c r="F2371" s="41" t="n"/>
      <c r="G2371" s="41" t="n"/>
      <c r="H2371" s="41" t="n"/>
      <c r="I2371" s="41" t="n"/>
      <c r="J2371" s="47" t="n"/>
      <c r="K2371" s="41" t="n"/>
      <c r="L2371" s="48" t="n"/>
      <c r="M2371" s="45" t="n"/>
      <c r="N2371" s="39">
        <f>IF($B2371="","",IF(SUMPRODUCT((LISTAS!$O$3:$O$42&lt;&gt;"")*ISNUMBER(SEARCH(LISTAS!$O$3:$O$42,$I2371&amp;" "&amp;$K2371)))&gt;0,"CERCANA","NACIONAL"))</f>
        <v/>
      </c>
      <c r="O2371" s="39">
        <f>IF($B2371="","",IF(COUNTIFS(NOVEDADES!$C$4:$C$2003,$B2371)=0,"—","SÍ ("&amp;COUNTIFS(NOVEDADES!$C$4:$C$2003,$B2371)&amp;")"))</f>
        <v/>
      </c>
    </row>
    <row r="2372">
      <c r="A2372" s="41" t="n"/>
      <c r="B2372" s="41" t="n"/>
      <c r="C2372" s="41" t="n"/>
      <c r="D2372" s="41" t="n"/>
      <c r="E2372" s="46" t="n"/>
      <c r="F2372" s="41" t="n"/>
      <c r="G2372" s="41" t="n"/>
      <c r="H2372" s="41" t="n"/>
      <c r="I2372" s="41" t="n"/>
      <c r="J2372" s="47" t="n"/>
      <c r="K2372" s="41" t="n"/>
      <c r="L2372" s="48" t="n"/>
      <c r="M2372" s="45" t="n"/>
      <c r="N2372" s="39">
        <f>IF($B2372="","",IF(SUMPRODUCT((LISTAS!$O$3:$O$42&lt;&gt;"")*ISNUMBER(SEARCH(LISTAS!$O$3:$O$42,$I2372&amp;" "&amp;$K2372)))&gt;0,"CERCANA","NACIONAL"))</f>
        <v/>
      </c>
      <c r="O2372" s="39">
        <f>IF($B2372="","",IF(COUNTIFS(NOVEDADES!$C$4:$C$2003,$B2372)=0,"—","SÍ ("&amp;COUNTIFS(NOVEDADES!$C$4:$C$2003,$B2372)&amp;")"))</f>
        <v/>
      </c>
    </row>
    <row r="2373">
      <c r="A2373" s="41" t="n"/>
      <c r="B2373" s="41" t="n"/>
      <c r="C2373" s="41" t="n"/>
      <c r="D2373" s="41" t="n"/>
      <c r="E2373" s="46" t="n"/>
      <c r="F2373" s="41" t="n"/>
      <c r="G2373" s="41" t="n"/>
      <c r="H2373" s="41" t="n"/>
      <c r="I2373" s="41" t="n"/>
      <c r="J2373" s="47" t="n"/>
      <c r="K2373" s="41" t="n"/>
      <c r="L2373" s="48" t="n"/>
      <c r="M2373" s="45" t="n"/>
      <c r="N2373" s="39">
        <f>IF($B2373="","",IF(SUMPRODUCT((LISTAS!$O$3:$O$42&lt;&gt;"")*ISNUMBER(SEARCH(LISTAS!$O$3:$O$42,$I2373&amp;" "&amp;$K2373)))&gt;0,"CERCANA","NACIONAL"))</f>
        <v/>
      </c>
      <c r="O2373" s="39">
        <f>IF($B2373="","",IF(COUNTIFS(NOVEDADES!$C$4:$C$2003,$B2373)=0,"—","SÍ ("&amp;COUNTIFS(NOVEDADES!$C$4:$C$2003,$B2373)&amp;")"))</f>
        <v/>
      </c>
    </row>
    <row r="2374">
      <c r="A2374" s="41" t="n"/>
      <c r="B2374" s="41" t="n"/>
      <c r="C2374" s="41" t="n"/>
      <c r="D2374" s="41" t="n"/>
      <c r="E2374" s="46" t="n"/>
      <c r="F2374" s="41" t="n"/>
      <c r="G2374" s="41" t="n"/>
      <c r="H2374" s="41" t="n"/>
      <c r="I2374" s="41" t="n"/>
      <c r="J2374" s="47" t="n"/>
      <c r="K2374" s="41" t="n"/>
      <c r="L2374" s="48" t="n"/>
      <c r="M2374" s="45" t="n"/>
      <c r="N2374" s="39">
        <f>IF($B2374="","",IF(SUMPRODUCT((LISTAS!$O$3:$O$42&lt;&gt;"")*ISNUMBER(SEARCH(LISTAS!$O$3:$O$42,$I2374&amp;" "&amp;$K2374)))&gt;0,"CERCANA","NACIONAL"))</f>
        <v/>
      </c>
      <c r="O2374" s="39">
        <f>IF($B2374="","",IF(COUNTIFS(NOVEDADES!$C$4:$C$2003,$B2374)=0,"—","SÍ ("&amp;COUNTIFS(NOVEDADES!$C$4:$C$2003,$B2374)&amp;")"))</f>
        <v/>
      </c>
    </row>
    <row r="2375">
      <c r="A2375" s="41" t="n"/>
      <c r="B2375" s="41" t="n"/>
      <c r="C2375" s="41" t="n"/>
      <c r="D2375" s="41" t="n"/>
      <c r="E2375" s="46" t="n"/>
      <c r="F2375" s="41" t="n"/>
      <c r="G2375" s="41" t="n"/>
      <c r="H2375" s="41" t="n"/>
      <c r="I2375" s="41" t="n"/>
      <c r="J2375" s="47" t="n"/>
      <c r="K2375" s="41" t="n"/>
      <c r="L2375" s="48" t="n"/>
      <c r="M2375" s="45" t="n"/>
      <c r="N2375" s="39">
        <f>IF($B2375="","",IF(SUMPRODUCT((LISTAS!$O$3:$O$42&lt;&gt;"")*ISNUMBER(SEARCH(LISTAS!$O$3:$O$42,$I2375&amp;" "&amp;$K2375)))&gt;0,"CERCANA","NACIONAL"))</f>
        <v/>
      </c>
      <c r="O2375" s="39">
        <f>IF($B2375="","",IF(COUNTIFS(NOVEDADES!$C$4:$C$2003,$B2375)=0,"—","SÍ ("&amp;COUNTIFS(NOVEDADES!$C$4:$C$2003,$B2375)&amp;")"))</f>
        <v/>
      </c>
    </row>
    <row r="2376">
      <c r="A2376" s="41" t="n"/>
      <c r="B2376" s="41" t="n"/>
      <c r="C2376" s="41" t="n"/>
      <c r="D2376" s="41" t="n"/>
      <c r="E2376" s="46" t="n"/>
      <c r="F2376" s="41" t="n"/>
      <c r="G2376" s="41" t="n"/>
      <c r="H2376" s="41" t="n"/>
      <c r="I2376" s="41" t="n"/>
      <c r="J2376" s="47" t="n"/>
      <c r="K2376" s="41" t="n"/>
      <c r="L2376" s="48" t="n"/>
      <c r="M2376" s="45" t="n"/>
      <c r="N2376" s="39">
        <f>IF($B2376="","",IF(SUMPRODUCT((LISTAS!$O$3:$O$42&lt;&gt;"")*ISNUMBER(SEARCH(LISTAS!$O$3:$O$42,$I2376&amp;" "&amp;$K2376)))&gt;0,"CERCANA","NACIONAL"))</f>
        <v/>
      </c>
      <c r="O2376" s="39">
        <f>IF($B2376="","",IF(COUNTIFS(NOVEDADES!$C$4:$C$2003,$B2376)=0,"—","SÍ ("&amp;COUNTIFS(NOVEDADES!$C$4:$C$2003,$B2376)&amp;")"))</f>
        <v/>
      </c>
    </row>
    <row r="2377">
      <c r="A2377" s="41" t="n"/>
      <c r="B2377" s="41" t="n"/>
      <c r="C2377" s="41" t="n"/>
      <c r="D2377" s="41" t="n"/>
      <c r="E2377" s="46" t="n"/>
      <c r="F2377" s="41" t="n"/>
      <c r="G2377" s="41" t="n"/>
      <c r="H2377" s="41" t="n"/>
      <c r="I2377" s="41" t="n"/>
      <c r="J2377" s="47" t="n"/>
      <c r="K2377" s="41" t="n"/>
      <c r="L2377" s="48" t="n"/>
      <c r="M2377" s="45" t="n"/>
      <c r="N2377" s="39">
        <f>IF($B2377="","",IF(SUMPRODUCT((LISTAS!$O$3:$O$42&lt;&gt;"")*ISNUMBER(SEARCH(LISTAS!$O$3:$O$42,$I2377&amp;" "&amp;$K2377)))&gt;0,"CERCANA","NACIONAL"))</f>
        <v/>
      </c>
      <c r="O2377" s="39">
        <f>IF($B2377="","",IF(COUNTIFS(NOVEDADES!$C$4:$C$2003,$B2377)=0,"—","SÍ ("&amp;COUNTIFS(NOVEDADES!$C$4:$C$2003,$B2377)&amp;")"))</f>
        <v/>
      </c>
    </row>
    <row r="2378">
      <c r="A2378" s="41" t="n"/>
      <c r="B2378" s="41" t="n"/>
      <c r="C2378" s="41" t="n"/>
      <c r="D2378" s="41" t="n"/>
      <c r="E2378" s="46" t="n"/>
      <c r="F2378" s="41" t="n"/>
      <c r="G2378" s="41" t="n"/>
      <c r="H2378" s="41" t="n"/>
      <c r="I2378" s="41" t="n"/>
      <c r="J2378" s="47" t="n"/>
      <c r="K2378" s="41" t="n"/>
      <c r="L2378" s="48" t="n"/>
      <c r="M2378" s="45" t="n"/>
      <c r="N2378" s="39">
        <f>IF($B2378="","",IF(SUMPRODUCT((LISTAS!$O$3:$O$42&lt;&gt;"")*ISNUMBER(SEARCH(LISTAS!$O$3:$O$42,$I2378&amp;" "&amp;$K2378)))&gt;0,"CERCANA","NACIONAL"))</f>
        <v/>
      </c>
      <c r="O2378" s="39">
        <f>IF($B2378="","",IF(COUNTIFS(NOVEDADES!$C$4:$C$2003,$B2378)=0,"—","SÍ ("&amp;COUNTIFS(NOVEDADES!$C$4:$C$2003,$B2378)&amp;")"))</f>
        <v/>
      </c>
    </row>
    <row r="2379">
      <c r="A2379" s="41" t="n"/>
      <c r="B2379" s="41" t="n"/>
      <c r="C2379" s="41" t="n"/>
      <c r="D2379" s="41" t="n"/>
      <c r="E2379" s="46" t="n"/>
      <c r="F2379" s="41" t="n"/>
      <c r="G2379" s="41" t="n"/>
      <c r="H2379" s="41" t="n"/>
      <c r="I2379" s="41" t="n"/>
      <c r="J2379" s="47" t="n"/>
      <c r="K2379" s="41" t="n"/>
      <c r="L2379" s="48" t="n"/>
      <c r="M2379" s="45" t="n"/>
      <c r="N2379" s="39">
        <f>IF($B2379="","",IF(SUMPRODUCT((LISTAS!$O$3:$O$42&lt;&gt;"")*ISNUMBER(SEARCH(LISTAS!$O$3:$O$42,$I2379&amp;" "&amp;$K2379)))&gt;0,"CERCANA","NACIONAL"))</f>
        <v/>
      </c>
      <c r="O2379" s="39">
        <f>IF($B2379="","",IF(COUNTIFS(NOVEDADES!$C$4:$C$2003,$B2379)=0,"—","SÍ ("&amp;COUNTIFS(NOVEDADES!$C$4:$C$2003,$B2379)&amp;")"))</f>
        <v/>
      </c>
    </row>
    <row r="2380">
      <c r="A2380" s="41" t="n"/>
      <c r="B2380" s="41" t="n"/>
      <c r="C2380" s="41" t="n"/>
      <c r="D2380" s="41" t="n"/>
      <c r="E2380" s="46" t="n"/>
      <c r="F2380" s="41" t="n"/>
      <c r="G2380" s="41" t="n"/>
      <c r="H2380" s="41" t="n"/>
      <c r="I2380" s="41" t="n"/>
      <c r="J2380" s="47" t="n"/>
      <c r="K2380" s="41" t="n"/>
      <c r="L2380" s="48" t="n"/>
      <c r="M2380" s="45" t="n"/>
      <c r="N2380" s="39">
        <f>IF($B2380="","",IF(SUMPRODUCT((LISTAS!$O$3:$O$42&lt;&gt;"")*ISNUMBER(SEARCH(LISTAS!$O$3:$O$42,$I2380&amp;" "&amp;$K2380)))&gt;0,"CERCANA","NACIONAL"))</f>
        <v/>
      </c>
      <c r="O2380" s="39">
        <f>IF($B2380="","",IF(COUNTIFS(NOVEDADES!$C$4:$C$2003,$B2380)=0,"—","SÍ ("&amp;COUNTIFS(NOVEDADES!$C$4:$C$2003,$B2380)&amp;")"))</f>
        <v/>
      </c>
    </row>
    <row r="2381">
      <c r="A2381" s="41" t="n"/>
      <c r="B2381" s="41" t="n"/>
      <c r="C2381" s="41" t="n"/>
      <c r="D2381" s="41" t="n"/>
      <c r="E2381" s="46" t="n"/>
      <c r="F2381" s="41" t="n"/>
      <c r="G2381" s="41" t="n"/>
      <c r="H2381" s="41" t="n"/>
      <c r="I2381" s="41" t="n"/>
      <c r="J2381" s="47" t="n"/>
      <c r="K2381" s="41" t="n"/>
      <c r="L2381" s="48" t="n"/>
      <c r="M2381" s="45" t="n"/>
      <c r="N2381" s="39">
        <f>IF($B2381="","",IF(SUMPRODUCT((LISTAS!$O$3:$O$42&lt;&gt;"")*ISNUMBER(SEARCH(LISTAS!$O$3:$O$42,$I2381&amp;" "&amp;$K2381)))&gt;0,"CERCANA","NACIONAL"))</f>
        <v/>
      </c>
      <c r="O2381" s="39">
        <f>IF($B2381="","",IF(COUNTIFS(NOVEDADES!$C$4:$C$2003,$B2381)=0,"—","SÍ ("&amp;COUNTIFS(NOVEDADES!$C$4:$C$2003,$B2381)&amp;")"))</f>
        <v/>
      </c>
    </row>
    <row r="2382">
      <c r="A2382" s="41" t="n"/>
      <c r="B2382" s="41" t="n"/>
      <c r="C2382" s="41" t="n"/>
      <c r="D2382" s="41" t="n"/>
      <c r="E2382" s="46" t="n"/>
      <c r="F2382" s="41" t="n"/>
      <c r="G2382" s="41" t="n"/>
      <c r="H2382" s="41" t="n"/>
      <c r="I2382" s="41" t="n"/>
      <c r="J2382" s="47" t="n"/>
      <c r="K2382" s="41" t="n"/>
      <c r="L2382" s="48" t="n"/>
      <c r="M2382" s="45" t="n"/>
      <c r="N2382" s="39">
        <f>IF($B2382="","",IF(SUMPRODUCT((LISTAS!$O$3:$O$42&lt;&gt;"")*ISNUMBER(SEARCH(LISTAS!$O$3:$O$42,$I2382&amp;" "&amp;$K2382)))&gt;0,"CERCANA","NACIONAL"))</f>
        <v/>
      </c>
      <c r="O2382" s="39">
        <f>IF($B2382="","",IF(COUNTIFS(NOVEDADES!$C$4:$C$2003,$B2382)=0,"—","SÍ ("&amp;COUNTIFS(NOVEDADES!$C$4:$C$2003,$B2382)&amp;")"))</f>
        <v/>
      </c>
    </row>
    <row r="2383">
      <c r="A2383" s="41" t="n"/>
      <c r="B2383" s="41" t="n"/>
      <c r="C2383" s="41" t="n"/>
      <c r="D2383" s="41" t="n"/>
      <c r="E2383" s="46" t="n"/>
      <c r="F2383" s="41" t="n"/>
      <c r="G2383" s="41" t="n"/>
      <c r="H2383" s="41" t="n"/>
      <c r="I2383" s="41" t="n"/>
      <c r="J2383" s="47" t="n"/>
      <c r="K2383" s="41" t="n"/>
      <c r="L2383" s="48" t="n"/>
      <c r="M2383" s="45" t="n"/>
      <c r="N2383" s="39">
        <f>IF($B2383="","",IF(SUMPRODUCT((LISTAS!$O$3:$O$42&lt;&gt;"")*ISNUMBER(SEARCH(LISTAS!$O$3:$O$42,$I2383&amp;" "&amp;$K2383)))&gt;0,"CERCANA","NACIONAL"))</f>
        <v/>
      </c>
      <c r="O2383" s="39">
        <f>IF($B2383="","",IF(COUNTIFS(NOVEDADES!$C$4:$C$2003,$B2383)=0,"—","SÍ ("&amp;COUNTIFS(NOVEDADES!$C$4:$C$2003,$B2383)&amp;")"))</f>
        <v/>
      </c>
    </row>
    <row r="2384">
      <c r="A2384" s="41" t="n"/>
      <c r="B2384" s="41" t="n"/>
      <c r="C2384" s="41" t="n"/>
      <c r="D2384" s="41" t="n"/>
      <c r="E2384" s="46" t="n"/>
      <c r="F2384" s="41" t="n"/>
      <c r="G2384" s="41" t="n"/>
      <c r="H2384" s="41" t="n"/>
      <c r="I2384" s="41" t="n"/>
      <c r="J2384" s="47" t="n"/>
      <c r="K2384" s="41" t="n"/>
      <c r="L2384" s="48" t="n"/>
      <c r="M2384" s="45" t="n"/>
      <c r="N2384" s="39">
        <f>IF($B2384="","",IF(SUMPRODUCT((LISTAS!$O$3:$O$42&lt;&gt;"")*ISNUMBER(SEARCH(LISTAS!$O$3:$O$42,$I2384&amp;" "&amp;$K2384)))&gt;0,"CERCANA","NACIONAL"))</f>
        <v/>
      </c>
      <c r="O2384" s="39">
        <f>IF($B2384="","",IF(COUNTIFS(NOVEDADES!$C$4:$C$2003,$B2384)=0,"—","SÍ ("&amp;COUNTIFS(NOVEDADES!$C$4:$C$2003,$B2384)&amp;")"))</f>
        <v/>
      </c>
    </row>
    <row r="2385">
      <c r="A2385" s="41" t="n"/>
      <c r="B2385" s="41" t="n"/>
      <c r="C2385" s="41" t="n"/>
      <c r="D2385" s="41" t="n"/>
      <c r="E2385" s="46" t="n"/>
      <c r="F2385" s="41" t="n"/>
      <c r="G2385" s="41" t="n"/>
      <c r="H2385" s="41" t="n"/>
      <c r="I2385" s="41" t="n"/>
      <c r="J2385" s="47" t="n"/>
      <c r="K2385" s="41" t="n"/>
      <c r="L2385" s="48" t="n"/>
      <c r="M2385" s="45" t="n"/>
      <c r="N2385" s="39">
        <f>IF($B2385="","",IF(SUMPRODUCT((LISTAS!$O$3:$O$42&lt;&gt;"")*ISNUMBER(SEARCH(LISTAS!$O$3:$O$42,$I2385&amp;" "&amp;$K2385)))&gt;0,"CERCANA","NACIONAL"))</f>
        <v/>
      </c>
      <c r="O2385" s="39">
        <f>IF($B2385="","",IF(COUNTIFS(NOVEDADES!$C$4:$C$2003,$B2385)=0,"—","SÍ ("&amp;COUNTIFS(NOVEDADES!$C$4:$C$2003,$B2385)&amp;")"))</f>
        <v/>
      </c>
    </row>
    <row r="2386">
      <c r="A2386" s="41" t="n"/>
      <c r="B2386" s="41" t="n"/>
      <c r="C2386" s="41" t="n"/>
      <c r="D2386" s="41" t="n"/>
      <c r="E2386" s="46" t="n"/>
      <c r="F2386" s="41" t="n"/>
      <c r="G2386" s="41" t="n"/>
      <c r="H2386" s="41" t="n"/>
      <c r="I2386" s="41" t="n"/>
      <c r="J2386" s="47" t="n"/>
      <c r="K2386" s="41" t="n"/>
      <c r="L2386" s="48" t="n"/>
      <c r="M2386" s="45" t="n"/>
      <c r="N2386" s="39">
        <f>IF($B2386="","",IF(SUMPRODUCT((LISTAS!$O$3:$O$42&lt;&gt;"")*ISNUMBER(SEARCH(LISTAS!$O$3:$O$42,$I2386&amp;" "&amp;$K2386)))&gt;0,"CERCANA","NACIONAL"))</f>
        <v/>
      </c>
      <c r="O2386" s="39">
        <f>IF($B2386="","",IF(COUNTIFS(NOVEDADES!$C$4:$C$2003,$B2386)=0,"—","SÍ ("&amp;COUNTIFS(NOVEDADES!$C$4:$C$2003,$B2386)&amp;")"))</f>
        <v/>
      </c>
    </row>
    <row r="2387">
      <c r="A2387" s="41" t="n"/>
      <c r="B2387" s="41" t="n"/>
      <c r="C2387" s="41" t="n"/>
      <c r="D2387" s="41" t="n"/>
      <c r="E2387" s="46" t="n"/>
      <c r="F2387" s="41" t="n"/>
      <c r="G2387" s="41" t="n"/>
      <c r="H2387" s="41" t="n"/>
      <c r="I2387" s="41" t="n"/>
      <c r="J2387" s="47" t="n"/>
      <c r="K2387" s="41" t="n"/>
      <c r="L2387" s="48" t="n"/>
      <c r="M2387" s="45" t="n"/>
      <c r="N2387" s="39">
        <f>IF($B2387="","",IF(SUMPRODUCT((LISTAS!$O$3:$O$42&lt;&gt;"")*ISNUMBER(SEARCH(LISTAS!$O$3:$O$42,$I2387&amp;" "&amp;$K2387)))&gt;0,"CERCANA","NACIONAL"))</f>
        <v/>
      </c>
      <c r="O2387" s="39">
        <f>IF($B2387="","",IF(COUNTIFS(NOVEDADES!$C$4:$C$2003,$B2387)=0,"—","SÍ ("&amp;COUNTIFS(NOVEDADES!$C$4:$C$2003,$B2387)&amp;")"))</f>
        <v/>
      </c>
    </row>
    <row r="2388">
      <c r="A2388" s="41" t="n"/>
      <c r="B2388" s="41" t="n"/>
      <c r="C2388" s="41" t="n"/>
      <c r="D2388" s="41" t="n"/>
      <c r="E2388" s="46" t="n"/>
      <c r="F2388" s="41" t="n"/>
      <c r="G2388" s="41" t="n"/>
      <c r="H2388" s="41" t="n"/>
      <c r="I2388" s="41" t="n"/>
      <c r="J2388" s="47" t="n"/>
      <c r="K2388" s="41" t="n"/>
      <c r="L2388" s="48" t="n"/>
      <c r="M2388" s="45" t="n"/>
      <c r="N2388" s="39">
        <f>IF($B2388="","",IF(SUMPRODUCT((LISTAS!$O$3:$O$42&lt;&gt;"")*ISNUMBER(SEARCH(LISTAS!$O$3:$O$42,$I2388&amp;" "&amp;$K2388)))&gt;0,"CERCANA","NACIONAL"))</f>
        <v/>
      </c>
      <c r="O2388" s="39">
        <f>IF($B2388="","",IF(COUNTIFS(NOVEDADES!$C$4:$C$2003,$B2388)=0,"—","SÍ ("&amp;COUNTIFS(NOVEDADES!$C$4:$C$2003,$B2388)&amp;")"))</f>
        <v/>
      </c>
    </row>
    <row r="2389">
      <c r="A2389" s="41" t="n"/>
      <c r="B2389" s="41" t="n"/>
      <c r="C2389" s="41" t="n"/>
      <c r="D2389" s="41" t="n"/>
      <c r="E2389" s="46" t="n"/>
      <c r="F2389" s="41" t="n"/>
      <c r="G2389" s="41" t="n"/>
      <c r="H2389" s="41" t="n"/>
      <c r="I2389" s="41" t="n"/>
      <c r="J2389" s="47" t="n"/>
      <c r="K2389" s="41" t="n"/>
      <c r="L2389" s="48" t="n"/>
      <c r="M2389" s="45" t="n"/>
      <c r="N2389" s="39">
        <f>IF($B2389="","",IF(SUMPRODUCT((LISTAS!$O$3:$O$42&lt;&gt;"")*ISNUMBER(SEARCH(LISTAS!$O$3:$O$42,$I2389&amp;" "&amp;$K2389)))&gt;0,"CERCANA","NACIONAL"))</f>
        <v/>
      </c>
      <c r="O2389" s="39">
        <f>IF($B2389="","",IF(COUNTIFS(NOVEDADES!$C$4:$C$2003,$B2389)=0,"—","SÍ ("&amp;COUNTIFS(NOVEDADES!$C$4:$C$2003,$B2389)&amp;")"))</f>
        <v/>
      </c>
    </row>
    <row r="2390">
      <c r="A2390" s="41" t="n"/>
      <c r="B2390" s="41" t="n"/>
      <c r="C2390" s="41" t="n"/>
      <c r="D2390" s="41" t="n"/>
      <c r="E2390" s="46" t="n"/>
      <c r="F2390" s="41" t="n"/>
      <c r="G2390" s="41" t="n"/>
      <c r="H2390" s="41" t="n"/>
      <c r="I2390" s="41" t="n"/>
      <c r="J2390" s="47" t="n"/>
      <c r="K2390" s="41" t="n"/>
      <c r="L2390" s="48" t="n"/>
      <c r="M2390" s="45" t="n"/>
      <c r="N2390" s="39">
        <f>IF($B2390="","",IF(SUMPRODUCT((LISTAS!$O$3:$O$42&lt;&gt;"")*ISNUMBER(SEARCH(LISTAS!$O$3:$O$42,$I2390&amp;" "&amp;$K2390)))&gt;0,"CERCANA","NACIONAL"))</f>
        <v/>
      </c>
      <c r="O2390" s="39">
        <f>IF($B2390="","",IF(COUNTIFS(NOVEDADES!$C$4:$C$2003,$B2390)=0,"—","SÍ ("&amp;COUNTIFS(NOVEDADES!$C$4:$C$2003,$B2390)&amp;")"))</f>
        <v/>
      </c>
    </row>
    <row r="2391">
      <c r="A2391" s="41" t="n"/>
      <c r="B2391" s="41" t="n"/>
      <c r="C2391" s="41" t="n"/>
      <c r="D2391" s="41" t="n"/>
      <c r="E2391" s="46" t="n"/>
      <c r="F2391" s="41" t="n"/>
      <c r="G2391" s="41" t="n"/>
      <c r="H2391" s="41" t="n"/>
      <c r="I2391" s="41" t="n"/>
      <c r="J2391" s="47" t="n"/>
      <c r="K2391" s="41" t="n"/>
      <c r="L2391" s="48" t="n"/>
      <c r="M2391" s="45" t="n"/>
      <c r="N2391" s="39">
        <f>IF($B2391="","",IF(SUMPRODUCT((LISTAS!$O$3:$O$42&lt;&gt;"")*ISNUMBER(SEARCH(LISTAS!$O$3:$O$42,$I2391&amp;" "&amp;$K2391)))&gt;0,"CERCANA","NACIONAL"))</f>
        <v/>
      </c>
      <c r="O2391" s="39">
        <f>IF($B2391="","",IF(COUNTIFS(NOVEDADES!$C$4:$C$2003,$B2391)=0,"—","SÍ ("&amp;COUNTIFS(NOVEDADES!$C$4:$C$2003,$B2391)&amp;")"))</f>
        <v/>
      </c>
    </row>
    <row r="2392">
      <c r="A2392" s="41" t="n"/>
      <c r="B2392" s="41" t="n"/>
      <c r="C2392" s="41" t="n"/>
      <c r="D2392" s="41" t="n"/>
      <c r="E2392" s="46" t="n"/>
      <c r="F2392" s="41" t="n"/>
      <c r="G2392" s="41" t="n"/>
      <c r="H2392" s="41" t="n"/>
      <c r="I2392" s="41" t="n"/>
      <c r="J2392" s="47" t="n"/>
      <c r="K2392" s="41" t="n"/>
      <c r="L2392" s="48" t="n"/>
      <c r="M2392" s="45" t="n"/>
      <c r="N2392" s="39">
        <f>IF($B2392="","",IF(SUMPRODUCT((LISTAS!$O$3:$O$42&lt;&gt;"")*ISNUMBER(SEARCH(LISTAS!$O$3:$O$42,$I2392&amp;" "&amp;$K2392)))&gt;0,"CERCANA","NACIONAL"))</f>
        <v/>
      </c>
      <c r="O2392" s="39">
        <f>IF($B2392="","",IF(COUNTIFS(NOVEDADES!$C$4:$C$2003,$B2392)=0,"—","SÍ ("&amp;COUNTIFS(NOVEDADES!$C$4:$C$2003,$B2392)&amp;")"))</f>
        <v/>
      </c>
    </row>
    <row r="2393">
      <c r="A2393" s="41" t="n"/>
      <c r="B2393" s="41" t="n"/>
      <c r="C2393" s="41" t="n"/>
      <c r="D2393" s="41" t="n"/>
      <c r="E2393" s="46" t="n"/>
      <c r="F2393" s="41" t="n"/>
      <c r="G2393" s="41" t="n"/>
      <c r="H2393" s="41" t="n"/>
      <c r="I2393" s="41" t="n"/>
      <c r="J2393" s="47" t="n"/>
      <c r="K2393" s="41" t="n"/>
      <c r="L2393" s="48" t="n"/>
      <c r="M2393" s="45" t="n"/>
      <c r="N2393" s="39">
        <f>IF($B2393="","",IF(SUMPRODUCT((LISTAS!$O$3:$O$42&lt;&gt;"")*ISNUMBER(SEARCH(LISTAS!$O$3:$O$42,$I2393&amp;" "&amp;$K2393)))&gt;0,"CERCANA","NACIONAL"))</f>
        <v/>
      </c>
      <c r="O2393" s="39">
        <f>IF($B2393="","",IF(COUNTIFS(NOVEDADES!$C$4:$C$2003,$B2393)=0,"—","SÍ ("&amp;COUNTIFS(NOVEDADES!$C$4:$C$2003,$B2393)&amp;")"))</f>
        <v/>
      </c>
    </row>
    <row r="2394">
      <c r="A2394" s="41" t="n"/>
      <c r="B2394" s="41" t="n"/>
      <c r="C2394" s="41" t="n"/>
      <c r="D2394" s="41" t="n"/>
      <c r="E2394" s="46" t="n"/>
      <c r="F2394" s="41" t="n"/>
      <c r="G2394" s="41" t="n"/>
      <c r="H2394" s="41" t="n"/>
      <c r="I2394" s="41" t="n"/>
      <c r="J2394" s="47" t="n"/>
      <c r="K2394" s="41" t="n"/>
      <c r="L2394" s="48" t="n"/>
      <c r="M2394" s="45" t="n"/>
      <c r="N2394" s="39">
        <f>IF($B2394="","",IF(SUMPRODUCT((LISTAS!$O$3:$O$42&lt;&gt;"")*ISNUMBER(SEARCH(LISTAS!$O$3:$O$42,$I2394&amp;" "&amp;$K2394)))&gt;0,"CERCANA","NACIONAL"))</f>
        <v/>
      </c>
      <c r="O2394" s="39">
        <f>IF($B2394="","",IF(COUNTIFS(NOVEDADES!$C$4:$C$2003,$B2394)=0,"—","SÍ ("&amp;COUNTIFS(NOVEDADES!$C$4:$C$2003,$B2394)&amp;")"))</f>
        <v/>
      </c>
    </row>
    <row r="2395">
      <c r="A2395" s="41" t="n"/>
      <c r="B2395" s="41" t="n"/>
      <c r="C2395" s="41" t="n"/>
      <c r="D2395" s="41" t="n"/>
      <c r="E2395" s="46" t="n"/>
      <c r="F2395" s="41" t="n"/>
      <c r="G2395" s="41" t="n"/>
      <c r="H2395" s="41" t="n"/>
      <c r="I2395" s="41" t="n"/>
      <c r="J2395" s="47" t="n"/>
      <c r="K2395" s="41" t="n"/>
      <c r="L2395" s="48" t="n"/>
      <c r="M2395" s="45" t="n"/>
      <c r="N2395" s="39">
        <f>IF($B2395="","",IF(SUMPRODUCT((LISTAS!$O$3:$O$42&lt;&gt;"")*ISNUMBER(SEARCH(LISTAS!$O$3:$O$42,$I2395&amp;" "&amp;$K2395)))&gt;0,"CERCANA","NACIONAL"))</f>
        <v/>
      </c>
      <c r="O2395" s="39">
        <f>IF($B2395="","",IF(COUNTIFS(NOVEDADES!$C$4:$C$2003,$B2395)=0,"—","SÍ ("&amp;COUNTIFS(NOVEDADES!$C$4:$C$2003,$B2395)&amp;")"))</f>
        <v/>
      </c>
    </row>
    <row r="2396">
      <c r="A2396" s="41" t="n"/>
      <c r="B2396" s="41" t="n"/>
      <c r="C2396" s="41" t="n"/>
      <c r="D2396" s="41" t="n"/>
      <c r="E2396" s="46" t="n"/>
      <c r="F2396" s="41" t="n"/>
      <c r="G2396" s="41" t="n"/>
      <c r="H2396" s="41" t="n"/>
      <c r="I2396" s="41" t="n"/>
      <c r="J2396" s="47" t="n"/>
      <c r="K2396" s="41" t="n"/>
      <c r="L2396" s="48" t="n"/>
      <c r="M2396" s="45" t="n"/>
      <c r="N2396" s="39">
        <f>IF($B2396="","",IF(SUMPRODUCT((LISTAS!$O$3:$O$42&lt;&gt;"")*ISNUMBER(SEARCH(LISTAS!$O$3:$O$42,$I2396&amp;" "&amp;$K2396)))&gt;0,"CERCANA","NACIONAL"))</f>
        <v/>
      </c>
      <c r="O2396" s="39">
        <f>IF($B2396="","",IF(COUNTIFS(NOVEDADES!$C$4:$C$2003,$B2396)=0,"—","SÍ ("&amp;COUNTIFS(NOVEDADES!$C$4:$C$2003,$B2396)&amp;")"))</f>
        <v/>
      </c>
    </row>
    <row r="2397">
      <c r="A2397" s="41" t="n"/>
      <c r="B2397" s="41" t="n"/>
      <c r="C2397" s="41" t="n"/>
      <c r="D2397" s="41" t="n"/>
      <c r="E2397" s="46" t="n"/>
      <c r="F2397" s="41" t="n"/>
      <c r="G2397" s="41" t="n"/>
      <c r="H2397" s="41" t="n"/>
      <c r="I2397" s="41" t="n"/>
      <c r="J2397" s="47" t="n"/>
      <c r="K2397" s="41" t="n"/>
      <c r="L2397" s="48" t="n"/>
      <c r="M2397" s="45" t="n"/>
      <c r="N2397" s="39">
        <f>IF($B2397="","",IF(SUMPRODUCT((LISTAS!$O$3:$O$42&lt;&gt;"")*ISNUMBER(SEARCH(LISTAS!$O$3:$O$42,$I2397&amp;" "&amp;$K2397)))&gt;0,"CERCANA","NACIONAL"))</f>
        <v/>
      </c>
      <c r="O2397" s="39">
        <f>IF($B2397="","",IF(COUNTIFS(NOVEDADES!$C$4:$C$2003,$B2397)=0,"—","SÍ ("&amp;COUNTIFS(NOVEDADES!$C$4:$C$2003,$B2397)&amp;")"))</f>
        <v/>
      </c>
    </row>
    <row r="2398">
      <c r="A2398" s="41" t="n"/>
      <c r="B2398" s="41" t="n"/>
      <c r="C2398" s="41" t="n"/>
      <c r="D2398" s="41" t="n"/>
      <c r="E2398" s="46" t="n"/>
      <c r="F2398" s="41" t="n"/>
      <c r="G2398" s="41" t="n"/>
      <c r="H2398" s="41" t="n"/>
      <c r="I2398" s="41" t="n"/>
      <c r="J2398" s="47" t="n"/>
      <c r="K2398" s="41" t="n"/>
      <c r="L2398" s="48" t="n"/>
      <c r="M2398" s="45" t="n"/>
      <c r="N2398" s="39">
        <f>IF($B2398="","",IF(SUMPRODUCT((LISTAS!$O$3:$O$42&lt;&gt;"")*ISNUMBER(SEARCH(LISTAS!$O$3:$O$42,$I2398&amp;" "&amp;$K2398)))&gt;0,"CERCANA","NACIONAL"))</f>
        <v/>
      </c>
      <c r="O2398" s="39">
        <f>IF($B2398="","",IF(COUNTIFS(NOVEDADES!$C$4:$C$2003,$B2398)=0,"—","SÍ ("&amp;COUNTIFS(NOVEDADES!$C$4:$C$2003,$B2398)&amp;")"))</f>
        <v/>
      </c>
    </row>
    <row r="2399">
      <c r="A2399" s="41" t="n"/>
      <c r="B2399" s="41" t="n"/>
      <c r="C2399" s="41" t="n"/>
      <c r="D2399" s="41" t="n"/>
      <c r="E2399" s="46" t="n"/>
      <c r="F2399" s="41" t="n"/>
      <c r="G2399" s="41" t="n"/>
      <c r="H2399" s="41" t="n"/>
      <c r="I2399" s="41" t="n"/>
      <c r="J2399" s="47" t="n"/>
      <c r="K2399" s="41" t="n"/>
      <c r="L2399" s="48" t="n"/>
      <c r="M2399" s="45" t="n"/>
      <c r="N2399" s="39">
        <f>IF($B2399="","",IF(SUMPRODUCT((LISTAS!$O$3:$O$42&lt;&gt;"")*ISNUMBER(SEARCH(LISTAS!$O$3:$O$42,$I2399&amp;" "&amp;$K2399)))&gt;0,"CERCANA","NACIONAL"))</f>
        <v/>
      </c>
      <c r="O2399" s="39">
        <f>IF($B2399="","",IF(COUNTIFS(NOVEDADES!$C$4:$C$2003,$B2399)=0,"—","SÍ ("&amp;COUNTIFS(NOVEDADES!$C$4:$C$2003,$B2399)&amp;")"))</f>
        <v/>
      </c>
    </row>
    <row r="2400">
      <c r="A2400" s="41" t="n"/>
      <c r="B2400" s="41" t="n"/>
      <c r="C2400" s="41" t="n"/>
      <c r="D2400" s="41" t="n"/>
      <c r="E2400" s="46" t="n"/>
      <c r="F2400" s="41" t="n"/>
      <c r="G2400" s="41" t="n"/>
      <c r="H2400" s="41" t="n"/>
      <c r="I2400" s="41" t="n"/>
      <c r="J2400" s="47" t="n"/>
      <c r="K2400" s="41" t="n"/>
      <c r="L2400" s="48" t="n"/>
      <c r="M2400" s="45" t="n"/>
      <c r="N2400" s="39">
        <f>IF($B2400="","",IF(SUMPRODUCT((LISTAS!$O$3:$O$42&lt;&gt;"")*ISNUMBER(SEARCH(LISTAS!$O$3:$O$42,$I2400&amp;" "&amp;$K2400)))&gt;0,"CERCANA","NACIONAL"))</f>
        <v/>
      </c>
      <c r="O2400" s="39">
        <f>IF($B2400="","",IF(COUNTIFS(NOVEDADES!$C$4:$C$2003,$B2400)=0,"—","SÍ ("&amp;COUNTIFS(NOVEDADES!$C$4:$C$2003,$B2400)&amp;")"))</f>
        <v/>
      </c>
    </row>
    <row r="2401">
      <c r="A2401" s="41" t="n"/>
      <c r="B2401" s="41" t="n"/>
      <c r="C2401" s="41" t="n"/>
      <c r="D2401" s="41" t="n"/>
      <c r="E2401" s="46" t="n"/>
      <c r="F2401" s="41" t="n"/>
      <c r="G2401" s="41" t="n"/>
      <c r="H2401" s="41" t="n"/>
      <c r="I2401" s="41" t="n"/>
      <c r="J2401" s="47" t="n"/>
      <c r="K2401" s="41" t="n"/>
      <c r="L2401" s="48" t="n"/>
      <c r="M2401" s="45" t="n"/>
      <c r="N2401" s="39">
        <f>IF($B2401="","",IF(SUMPRODUCT((LISTAS!$O$3:$O$42&lt;&gt;"")*ISNUMBER(SEARCH(LISTAS!$O$3:$O$42,$I2401&amp;" "&amp;$K2401)))&gt;0,"CERCANA","NACIONAL"))</f>
        <v/>
      </c>
      <c r="O2401" s="39">
        <f>IF($B2401="","",IF(COUNTIFS(NOVEDADES!$C$4:$C$2003,$B2401)=0,"—","SÍ ("&amp;COUNTIFS(NOVEDADES!$C$4:$C$2003,$B2401)&amp;")"))</f>
        <v/>
      </c>
    </row>
    <row r="2402">
      <c r="A2402" s="41" t="n"/>
      <c r="B2402" s="41" t="n"/>
      <c r="C2402" s="41" t="n"/>
      <c r="D2402" s="41" t="n"/>
      <c r="E2402" s="46" t="n"/>
      <c r="F2402" s="41" t="n"/>
      <c r="G2402" s="41" t="n"/>
      <c r="H2402" s="41" t="n"/>
      <c r="I2402" s="41" t="n"/>
      <c r="J2402" s="47" t="n"/>
      <c r="K2402" s="41" t="n"/>
      <c r="L2402" s="48" t="n"/>
      <c r="M2402" s="45" t="n"/>
      <c r="N2402" s="39">
        <f>IF($B2402="","",IF(SUMPRODUCT((LISTAS!$O$3:$O$42&lt;&gt;"")*ISNUMBER(SEARCH(LISTAS!$O$3:$O$42,$I2402&amp;" "&amp;$K2402)))&gt;0,"CERCANA","NACIONAL"))</f>
        <v/>
      </c>
      <c r="O2402" s="39">
        <f>IF($B2402="","",IF(COUNTIFS(NOVEDADES!$C$4:$C$2003,$B2402)=0,"—","SÍ ("&amp;COUNTIFS(NOVEDADES!$C$4:$C$2003,$B2402)&amp;")"))</f>
        <v/>
      </c>
    </row>
    <row r="2403">
      <c r="A2403" s="41" t="n"/>
      <c r="B2403" s="41" t="n"/>
      <c r="C2403" s="41" t="n"/>
      <c r="D2403" s="41" t="n"/>
      <c r="E2403" s="46" t="n"/>
      <c r="F2403" s="41" t="n"/>
      <c r="G2403" s="41" t="n"/>
      <c r="H2403" s="41" t="n"/>
      <c r="I2403" s="41" t="n"/>
      <c r="J2403" s="47" t="n"/>
      <c r="K2403" s="41" t="n"/>
      <c r="L2403" s="48" t="n"/>
      <c r="M2403" s="45" t="n"/>
      <c r="N2403" s="39">
        <f>IF($B2403="","",IF(SUMPRODUCT((LISTAS!$O$3:$O$42&lt;&gt;"")*ISNUMBER(SEARCH(LISTAS!$O$3:$O$42,$I2403&amp;" "&amp;$K2403)))&gt;0,"CERCANA","NACIONAL"))</f>
        <v/>
      </c>
      <c r="O2403" s="39">
        <f>IF($B2403="","",IF(COUNTIFS(NOVEDADES!$C$4:$C$2003,$B2403)=0,"—","SÍ ("&amp;COUNTIFS(NOVEDADES!$C$4:$C$2003,$B2403)&amp;")"))</f>
        <v/>
      </c>
    </row>
    <row r="2404">
      <c r="A2404" s="41" t="n"/>
      <c r="B2404" s="41" t="n"/>
      <c r="C2404" s="41" t="n"/>
      <c r="D2404" s="41" t="n"/>
      <c r="E2404" s="46" t="n"/>
      <c r="F2404" s="41" t="n"/>
      <c r="G2404" s="41" t="n"/>
      <c r="H2404" s="41" t="n"/>
      <c r="I2404" s="41" t="n"/>
      <c r="J2404" s="47" t="n"/>
      <c r="K2404" s="41" t="n"/>
      <c r="L2404" s="48" t="n"/>
      <c r="M2404" s="45" t="n"/>
      <c r="N2404" s="39">
        <f>IF($B2404="","",IF(SUMPRODUCT((LISTAS!$O$3:$O$42&lt;&gt;"")*ISNUMBER(SEARCH(LISTAS!$O$3:$O$42,$I2404&amp;" "&amp;$K2404)))&gt;0,"CERCANA","NACIONAL"))</f>
        <v/>
      </c>
      <c r="O2404" s="39">
        <f>IF($B2404="","",IF(COUNTIFS(NOVEDADES!$C$4:$C$2003,$B2404)=0,"—","SÍ ("&amp;COUNTIFS(NOVEDADES!$C$4:$C$2003,$B2404)&amp;")"))</f>
        <v/>
      </c>
    </row>
    <row r="2405">
      <c r="A2405" s="41" t="n"/>
      <c r="B2405" s="41" t="n"/>
      <c r="C2405" s="41" t="n"/>
      <c r="D2405" s="41" t="n"/>
      <c r="E2405" s="46" t="n"/>
      <c r="F2405" s="41" t="n"/>
      <c r="G2405" s="41" t="n"/>
      <c r="H2405" s="41" t="n"/>
      <c r="I2405" s="41" t="n"/>
      <c r="J2405" s="47" t="n"/>
      <c r="K2405" s="41" t="n"/>
      <c r="L2405" s="48" t="n"/>
      <c r="M2405" s="45" t="n"/>
      <c r="N2405" s="39">
        <f>IF($B2405="","",IF(SUMPRODUCT((LISTAS!$O$3:$O$42&lt;&gt;"")*ISNUMBER(SEARCH(LISTAS!$O$3:$O$42,$I2405&amp;" "&amp;$K2405)))&gt;0,"CERCANA","NACIONAL"))</f>
        <v/>
      </c>
      <c r="O2405" s="39">
        <f>IF($B2405="","",IF(COUNTIFS(NOVEDADES!$C$4:$C$2003,$B2405)=0,"—","SÍ ("&amp;COUNTIFS(NOVEDADES!$C$4:$C$2003,$B2405)&amp;")"))</f>
        <v/>
      </c>
    </row>
    <row r="2406">
      <c r="A2406" s="41" t="n"/>
      <c r="B2406" s="41" t="n"/>
      <c r="C2406" s="41" t="n"/>
      <c r="D2406" s="41" t="n"/>
      <c r="E2406" s="46" t="n"/>
      <c r="F2406" s="41" t="n"/>
      <c r="G2406" s="41" t="n"/>
      <c r="H2406" s="41" t="n"/>
      <c r="I2406" s="41" t="n"/>
      <c r="J2406" s="47" t="n"/>
      <c r="K2406" s="41" t="n"/>
      <c r="L2406" s="48" t="n"/>
      <c r="M2406" s="45" t="n"/>
      <c r="N2406" s="39">
        <f>IF($B2406="","",IF(SUMPRODUCT((LISTAS!$O$3:$O$42&lt;&gt;"")*ISNUMBER(SEARCH(LISTAS!$O$3:$O$42,$I2406&amp;" "&amp;$K2406)))&gt;0,"CERCANA","NACIONAL"))</f>
        <v/>
      </c>
      <c r="O2406" s="39">
        <f>IF($B2406="","",IF(COUNTIFS(NOVEDADES!$C$4:$C$2003,$B2406)=0,"—","SÍ ("&amp;COUNTIFS(NOVEDADES!$C$4:$C$2003,$B2406)&amp;")"))</f>
        <v/>
      </c>
    </row>
    <row r="2407">
      <c r="A2407" s="41" t="n"/>
      <c r="B2407" s="41" t="n"/>
      <c r="C2407" s="41" t="n"/>
      <c r="D2407" s="41" t="n"/>
      <c r="E2407" s="46" t="n"/>
      <c r="F2407" s="41" t="n"/>
      <c r="G2407" s="41" t="n"/>
      <c r="H2407" s="41" t="n"/>
      <c r="I2407" s="41" t="n"/>
      <c r="J2407" s="47" t="n"/>
      <c r="K2407" s="41" t="n"/>
      <c r="L2407" s="48" t="n"/>
      <c r="M2407" s="45" t="n"/>
      <c r="N2407" s="39">
        <f>IF($B2407="","",IF(SUMPRODUCT((LISTAS!$O$3:$O$42&lt;&gt;"")*ISNUMBER(SEARCH(LISTAS!$O$3:$O$42,$I2407&amp;" "&amp;$K2407)))&gt;0,"CERCANA","NACIONAL"))</f>
        <v/>
      </c>
      <c r="O2407" s="39">
        <f>IF($B2407="","",IF(COUNTIFS(NOVEDADES!$C$4:$C$2003,$B2407)=0,"—","SÍ ("&amp;COUNTIFS(NOVEDADES!$C$4:$C$2003,$B2407)&amp;")"))</f>
        <v/>
      </c>
    </row>
    <row r="2408">
      <c r="A2408" s="41" t="n"/>
      <c r="B2408" s="41" t="n"/>
      <c r="C2408" s="41" t="n"/>
      <c r="D2408" s="41" t="n"/>
      <c r="E2408" s="46" t="n"/>
      <c r="F2408" s="41" t="n"/>
      <c r="G2408" s="41" t="n"/>
      <c r="H2408" s="41" t="n"/>
      <c r="I2408" s="41" t="n"/>
      <c r="J2408" s="47" t="n"/>
      <c r="K2408" s="41" t="n"/>
      <c r="L2408" s="48" t="n"/>
      <c r="M2408" s="45" t="n"/>
      <c r="N2408" s="39">
        <f>IF($B2408="","",IF(SUMPRODUCT((LISTAS!$O$3:$O$42&lt;&gt;"")*ISNUMBER(SEARCH(LISTAS!$O$3:$O$42,$I2408&amp;" "&amp;$K2408)))&gt;0,"CERCANA","NACIONAL"))</f>
        <v/>
      </c>
      <c r="O2408" s="39">
        <f>IF($B2408="","",IF(COUNTIFS(NOVEDADES!$C$4:$C$2003,$B2408)=0,"—","SÍ ("&amp;COUNTIFS(NOVEDADES!$C$4:$C$2003,$B2408)&amp;")"))</f>
        <v/>
      </c>
    </row>
    <row r="2409">
      <c r="A2409" s="41" t="n"/>
      <c r="B2409" s="41" t="n"/>
      <c r="C2409" s="41" t="n"/>
      <c r="D2409" s="41" t="n"/>
      <c r="E2409" s="46" t="n"/>
      <c r="F2409" s="41" t="n"/>
      <c r="G2409" s="41" t="n"/>
      <c r="H2409" s="41" t="n"/>
      <c r="I2409" s="41" t="n"/>
      <c r="J2409" s="47" t="n"/>
      <c r="K2409" s="41" t="n"/>
      <c r="L2409" s="48" t="n"/>
      <c r="M2409" s="45" t="n"/>
      <c r="N2409" s="39">
        <f>IF($B2409="","",IF(SUMPRODUCT((LISTAS!$O$3:$O$42&lt;&gt;"")*ISNUMBER(SEARCH(LISTAS!$O$3:$O$42,$I2409&amp;" "&amp;$K2409)))&gt;0,"CERCANA","NACIONAL"))</f>
        <v/>
      </c>
      <c r="O2409" s="39">
        <f>IF($B2409="","",IF(COUNTIFS(NOVEDADES!$C$4:$C$2003,$B2409)=0,"—","SÍ ("&amp;COUNTIFS(NOVEDADES!$C$4:$C$2003,$B2409)&amp;")"))</f>
        <v/>
      </c>
    </row>
    <row r="2410">
      <c r="A2410" s="41" t="n"/>
      <c r="B2410" s="41" t="n"/>
      <c r="C2410" s="41" t="n"/>
      <c r="D2410" s="41" t="n"/>
      <c r="E2410" s="46" t="n"/>
      <c r="F2410" s="41" t="n"/>
      <c r="G2410" s="41" t="n"/>
      <c r="H2410" s="41" t="n"/>
      <c r="I2410" s="41" t="n"/>
      <c r="J2410" s="47" t="n"/>
      <c r="K2410" s="41" t="n"/>
      <c r="L2410" s="48" t="n"/>
      <c r="M2410" s="45" t="n"/>
      <c r="N2410" s="39">
        <f>IF($B2410="","",IF(SUMPRODUCT((LISTAS!$O$3:$O$42&lt;&gt;"")*ISNUMBER(SEARCH(LISTAS!$O$3:$O$42,$I2410&amp;" "&amp;$K2410)))&gt;0,"CERCANA","NACIONAL"))</f>
        <v/>
      </c>
      <c r="O2410" s="39">
        <f>IF($B2410="","",IF(COUNTIFS(NOVEDADES!$C$4:$C$2003,$B2410)=0,"—","SÍ ("&amp;COUNTIFS(NOVEDADES!$C$4:$C$2003,$B2410)&amp;")"))</f>
        <v/>
      </c>
    </row>
    <row r="2411">
      <c r="A2411" s="41" t="n"/>
      <c r="B2411" s="41" t="n"/>
      <c r="C2411" s="41" t="n"/>
      <c r="D2411" s="41" t="n"/>
      <c r="E2411" s="46" t="n"/>
      <c r="F2411" s="41" t="n"/>
      <c r="G2411" s="41" t="n"/>
      <c r="H2411" s="41" t="n"/>
      <c r="I2411" s="41" t="n"/>
      <c r="J2411" s="47" t="n"/>
      <c r="K2411" s="41" t="n"/>
      <c r="L2411" s="48" t="n"/>
      <c r="M2411" s="45" t="n"/>
      <c r="N2411" s="39">
        <f>IF($B2411="","",IF(SUMPRODUCT((LISTAS!$O$3:$O$42&lt;&gt;"")*ISNUMBER(SEARCH(LISTAS!$O$3:$O$42,$I2411&amp;" "&amp;$K2411)))&gt;0,"CERCANA","NACIONAL"))</f>
        <v/>
      </c>
      <c r="O2411" s="39">
        <f>IF($B2411="","",IF(COUNTIFS(NOVEDADES!$C$4:$C$2003,$B2411)=0,"—","SÍ ("&amp;COUNTIFS(NOVEDADES!$C$4:$C$2003,$B2411)&amp;")"))</f>
        <v/>
      </c>
    </row>
    <row r="2412">
      <c r="A2412" s="41" t="n"/>
      <c r="B2412" s="41" t="n"/>
      <c r="C2412" s="41" t="n"/>
      <c r="D2412" s="41" t="n"/>
      <c r="E2412" s="46" t="n"/>
      <c r="F2412" s="41" t="n"/>
      <c r="G2412" s="41" t="n"/>
      <c r="H2412" s="41" t="n"/>
      <c r="I2412" s="41" t="n"/>
      <c r="J2412" s="47" t="n"/>
      <c r="K2412" s="41" t="n"/>
      <c r="L2412" s="48" t="n"/>
      <c r="M2412" s="45" t="n"/>
      <c r="N2412" s="39">
        <f>IF($B2412="","",IF(SUMPRODUCT((LISTAS!$O$3:$O$42&lt;&gt;"")*ISNUMBER(SEARCH(LISTAS!$O$3:$O$42,$I2412&amp;" "&amp;$K2412)))&gt;0,"CERCANA","NACIONAL"))</f>
        <v/>
      </c>
      <c r="O2412" s="39">
        <f>IF($B2412="","",IF(COUNTIFS(NOVEDADES!$C$4:$C$2003,$B2412)=0,"—","SÍ ("&amp;COUNTIFS(NOVEDADES!$C$4:$C$2003,$B2412)&amp;")"))</f>
        <v/>
      </c>
    </row>
    <row r="2413">
      <c r="A2413" s="41" t="n"/>
      <c r="B2413" s="41" t="n"/>
      <c r="C2413" s="41" t="n"/>
      <c r="D2413" s="41" t="n"/>
      <c r="E2413" s="46" t="n"/>
      <c r="F2413" s="41" t="n"/>
      <c r="G2413" s="41" t="n"/>
      <c r="H2413" s="41" t="n"/>
      <c r="I2413" s="41" t="n"/>
      <c r="J2413" s="47" t="n"/>
      <c r="K2413" s="41" t="n"/>
      <c r="L2413" s="48" t="n"/>
      <c r="M2413" s="45" t="n"/>
      <c r="N2413" s="39">
        <f>IF($B2413="","",IF(SUMPRODUCT((LISTAS!$O$3:$O$42&lt;&gt;"")*ISNUMBER(SEARCH(LISTAS!$O$3:$O$42,$I2413&amp;" "&amp;$K2413)))&gt;0,"CERCANA","NACIONAL"))</f>
        <v/>
      </c>
      <c r="O2413" s="39">
        <f>IF($B2413="","",IF(COUNTIFS(NOVEDADES!$C$4:$C$2003,$B2413)=0,"—","SÍ ("&amp;COUNTIFS(NOVEDADES!$C$4:$C$2003,$B2413)&amp;")"))</f>
        <v/>
      </c>
    </row>
    <row r="2414">
      <c r="A2414" s="41" t="n"/>
      <c r="B2414" s="41" t="n"/>
      <c r="C2414" s="41" t="n"/>
      <c r="D2414" s="41" t="n"/>
      <c r="E2414" s="46" t="n"/>
      <c r="F2414" s="41" t="n"/>
      <c r="G2414" s="41" t="n"/>
      <c r="H2414" s="41" t="n"/>
      <c r="I2414" s="41" t="n"/>
      <c r="J2414" s="47" t="n"/>
      <c r="K2414" s="41" t="n"/>
      <c r="L2414" s="48" t="n"/>
      <c r="M2414" s="45" t="n"/>
      <c r="N2414" s="39">
        <f>IF($B2414="","",IF(SUMPRODUCT((LISTAS!$O$3:$O$42&lt;&gt;"")*ISNUMBER(SEARCH(LISTAS!$O$3:$O$42,$I2414&amp;" "&amp;$K2414)))&gt;0,"CERCANA","NACIONAL"))</f>
        <v/>
      </c>
      <c r="O2414" s="39">
        <f>IF($B2414="","",IF(COUNTIFS(NOVEDADES!$C$4:$C$2003,$B2414)=0,"—","SÍ ("&amp;COUNTIFS(NOVEDADES!$C$4:$C$2003,$B2414)&amp;")"))</f>
        <v/>
      </c>
    </row>
    <row r="2415">
      <c r="A2415" s="41" t="n"/>
      <c r="B2415" s="41" t="n"/>
      <c r="C2415" s="41" t="n"/>
      <c r="D2415" s="41" t="n"/>
      <c r="E2415" s="46" t="n"/>
      <c r="F2415" s="41" t="n"/>
      <c r="G2415" s="41" t="n"/>
      <c r="H2415" s="41" t="n"/>
      <c r="I2415" s="41" t="n"/>
      <c r="J2415" s="47" t="n"/>
      <c r="K2415" s="41" t="n"/>
      <c r="L2415" s="48" t="n"/>
      <c r="M2415" s="45" t="n"/>
      <c r="N2415" s="39">
        <f>IF($B2415="","",IF(SUMPRODUCT((LISTAS!$O$3:$O$42&lt;&gt;"")*ISNUMBER(SEARCH(LISTAS!$O$3:$O$42,$I2415&amp;" "&amp;$K2415)))&gt;0,"CERCANA","NACIONAL"))</f>
        <v/>
      </c>
      <c r="O2415" s="39">
        <f>IF($B2415="","",IF(COUNTIFS(NOVEDADES!$C$4:$C$2003,$B2415)=0,"—","SÍ ("&amp;COUNTIFS(NOVEDADES!$C$4:$C$2003,$B2415)&amp;")"))</f>
        <v/>
      </c>
    </row>
    <row r="2416">
      <c r="A2416" s="41" t="n"/>
      <c r="B2416" s="41" t="n"/>
      <c r="C2416" s="41" t="n"/>
      <c r="D2416" s="41" t="n"/>
      <c r="E2416" s="46" t="n"/>
      <c r="F2416" s="41" t="n"/>
      <c r="G2416" s="41" t="n"/>
      <c r="H2416" s="41" t="n"/>
      <c r="I2416" s="41" t="n"/>
      <c r="J2416" s="47" t="n"/>
      <c r="K2416" s="41" t="n"/>
      <c r="L2416" s="48" t="n"/>
      <c r="M2416" s="45" t="n"/>
      <c r="N2416" s="39">
        <f>IF($B2416="","",IF(SUMPRODUCT((LISTAS!$O$3:$O$42&lt;&gt;"")*ISNUMBER(SEARCH(LISTAS!$O$3:$O$42,$I2416&amp;" "&amp;$K2416)))&gt;0,"CERCANA","NACIONAL"))</f>
        <v/>
      </c>
      <c r="O2416" s="39">
        <f>IF($B2416="","",IF(COUNTIFS(NOVEDADES!$C$4:$C$2003,$B2416)=0,"—","SÍ ("&amp;COUNTIFS(NOVEDADES!$C$4:$C$2003,$B2416)&amp;")"))</f>
        <v/>
      </c>
    </row>
    <row r="2417">
      <c r="A2417" s="41" t="n"/>
      <c r="B2417" s="41" t="n"/>
      <c r="C2417" s="41" t="n"/>
      <c r="D2417" s="41" t="n"/>
      <c r="E2417" s="46" t="n"/>
      <c r="F2417" s="41" t="n"/>
      <c r="G2417" s="41" t="n"/>
      <c r="H2417" s="41" t="n"/>
      <c r="I2417" s="41" t="n"/>
      <c r="J2417" s="47" t="n"/>
      <c r="K2417" s="41" t="n"/>
      <c r="L2417" s="48" t="n"/>
      <c r="M2417" s="45" t="n"/>
      <c r="N2417" s="39">
        <f>IF($B2417="","",IF(SUMPRODUCT((LISTAS!$O$3:$O$42&lt;&gt;"")*ISNUMBER(SEARCH(LISTAS!$O$3:$O$42,$I2417&amp;" "&amp;$K2417)))&gt;0,"CERCANA","NACIONAL"))</f>
        <v/>
      </c>
      <c r="O2417" s="39">
        <f>IF($B2417="","",IF(COUNTIFS(NOVEDADES!$C$4:$C$2003,$B2417)=0,"—","SÍ ("&amp;COUNTIFS(NOVEDADES!$C$4:$C$2003,$B2417)&amp;")"))</f>
        <v/>
      </c>
    </row>
    <row r="2418">
      <c r="A2418" s="41" t="n"/>
      <c r="B2418" s="41" t="n"/>
      <c r="C2418" s="41" t="n"/>
      <c r="D2418" s="41" t="n"/>
      <c r="E2418" s="46" t="n"/>
      <c r="F2418" s="41" t="n"/>
      <c r="G2418" s="41" t="n"/>
      <c r="H2418" s="41" t="n"/>
      <c r="I2418" s="41" t="n"/>
      <c r="J2418" s="47" t="n"/>
      <c r="K2418" s="41" t="n"/>
      <c r="L2418" s="48" t="n"/>
      <c r="M2418" s="45" t="n"/>
      <c r="N2418" s="39">
        <f>IF($B2418="","",IF(SUMPRODUCT((LISTAS!$O$3:$O$42&lt;&gt;"")*ISNUMBER(SEARCH(LISTAS!$O$3:$O$42,$I2418&amp;" "&amp;$K2418)))&gt;0,"CERCANA","NACIONAL"))</f>
        <v/>
      </c>
      <c r="O2418" s="39">
        <f>IF($B2418="","",IF(COUNTIFS(NOVEDADES!$C$4:$C$2003,$B2418)=0,"—","SÍ ("&amp;COUNTIFS(NOVEDADES!$C$4:$C$2003,$B2418)&amp;")"))</f>
        <v/>
      </c>
    </row>
    <row r="2419">
      <c r="A2419" s="41" t="n"/>
      <c r="B2419" s="41" t="n"/>
      <c r="C2419" s="41" t="n"/>
      <c r="D2419" s="41" t="n"/>
      <c r="E2419" s="46" t="n"/>
      <c r="F2419" s="41" t="n"/>
      <c r="G2419" s="41" t="n"/>
      <c r="H2419" s="41" t="n"/>
      <c r="I2419" s="41" t="n"/>
      <c r="J2419" s="47" t="n"/>
      <c r="K2419" s="41" t="n"/>
      <c r="L2419" s="48" t="n"/>
      <c r="M2419" s="45" t="n"/>
      <c r="N2419" s="39">
        <f>IF($B2419="","",IF(SUMPRODUCT((LISTAS!$O$3:$O$42&lt;&gt;"")*ISNUMBER(SEARCH(LISTAS!$O$3:$O$42,$I2419&amp;" "&amp;$K2419)))&gt;0,"CERCANA","NACIONAL"))</f>
        <v/>
      </c>
      <c r="O2419" s="39">
        <f>IF($B2419="","",IF(COUNTIFS(NOVEDADES!$C$4:$C$2003,$B2419)=0,"—","SÍ ("&amp;COUNTIFS(NOVEDADES!$C$4:$C$2003,$B2419)&amp;")"))</f>
        <v/>
      </c>
    </row>
    <row r="2420">
      <c r="A2420" s="41" t="n"/>
      <c r="B2420" s="41" t="n"/>
      <c r="C2420" s="41" t="n"/>
      <c r="D2420" s="41" t="n"/>
      <c r="E2420" s="46" t="n"/>
      <c r="F2420" s="41" t="n"/>
      <c r="G2420" s="41" t="n"/>
      <c r="H2420" s="41" t="n"/>
      <c r="I2420" s="41" t="n"/>
      <c r="J2420" s="47" t="n"/>
      <c r="K2420" s="41" t="n"/>
      <c r="L2420" s="48" t="n"/>
      <c r="M2420" s="45" t="n"/>
      <c r="N2420" s="39">
        <f>IF($B2420="","",IF(SUMPRODUCT((LISTAS!$O$3:$O$42&lt;&gt;"")*ISNUMBER(SEARCH(LISTAS!$O$3:$O$42,$I2420&amp;" "&amp;$K2420)))&gt;0,"CERCANA","NACIONAL"))</f>
        <v/>
      </c>
      <c r="O2420" s="39">
        <f>IF($B2420="","",IF(COUNTIFS(NOVEDADES!$C$4:$C$2003,$B2420)=0,"—","SÍ ("&amp;COUNTIFS(NOVEDADES!$C$4:$C$2003,$B2420)&amp;")"))</f>
        <v/>
      </c>
    </row>
    <row r="2421">
      <c r="A2421" s="41" t="n"/>
      <c r="B2421" s="41" t="n"/>
      <c r="C2421" s="41" t="n"/>
      <c r="D2421" s="41" t="n"/>
      <c r="E2421" s="46" t="n"/>
      <c r="F2421" s="41" t="n"/>
      <c r="G2421" s="41" t="n"/>
      <c r="H2421" s="41" t="n"/>
      <c r="I2421" s="41" t="n"/>
      <c r="J2421" s="47" t="n"/>
      <c r="K2421" s="41" t="n"/>
      <c r="L2421" s="48" t="n"/>
      <c r="M2421" s="45" t="n"/>
      <c r="N2421" s="39">
        <f>IF($B2421="","",IF(SUMPRODUCT((LISTAS!$O$3:$O$42&lt;&gt;"")*ISNUMBER(SEARCH(LISTAS!$O$3:$O$42,$I2421&amp;" "&amp;$K2421)))&gt;0,"CERCANA","NACIONAL"))</f>
        <v/>
      </c>
      <c r="O2421" s="39">
        <f>IF($B2421="","",IF(COUNTIFS(NOVEDADES!$C$4:$C$2003,$B2421)=0,"—","SÍ ("&amp;COUNTIFS(NOVEDADES!$C$4:$C$2003,$B2421)&amp;")"))</f>
        <v/>
      </c>
    </row>
    <row r="2422">
      <c r="A2422" s="41" t="n"/>
      <c r="B2422" s="41" t="n"/>
      <c r="C2422" s="41" t="n"/>
      <c r="D2422" s="41" t="n"/>
      <c r="E2422" s="46" t="n"/>
      <c r="F2422" s="41" t="n"/>
      <c r="G2422" s="41" t="n"/>
      <c r="H2422" s="41" t="n"/>
      <c r="I2422" s="41" t="n"/>
      <c r="J2422" s="47" t="n"/>
      <c r="K2422" s="41" t="n"/>
      <c r="L2422" s="48" t="n"/>
      <c r="M2422" s="45" t="n"/>
      <c r="N2422" s="39">
        <f>IF($B2422="","",IF(SUMPRODUCT((LISTAS!$O$3:$O$42&lt;&gt;"")*ISNUMBER(SEARCH(LISTAS!$O$3:$O$42,$I2422&amp;" "&amp;$K2422)))&gt;0,"CERCANA","NACIONAL"))</f>
        <v/>
      </c>
      <c r="O2422" s="39">
        <f>IF($B2422="","",IF(COUNTIFS(NOVEDADES!$C$4:$C$2003,$B2422)=0,"—","SÍ ("&amp;COUNTIFS(NOVEDADES!$C$4:$C$2003,$B2422)&amp;")"))</f>
        <v/>
      </c>
    </row>
    <row r="2423">
      <c r="A2423" s="41" t="n"/>
      <c r="B2423" s="41" t="n"/>
      <c r="C2423" s="41" t="n"/>
      <c r="D2423" s="41" t="n"/>
      <c r="E2423" s="46" t="n"/>
      <c r="F2423" s="41" t="n"/>
      <c r="G2423" s="41" t="n"/>
      <c r="H2423" s="41" t="n"/>
      <c r="I2423" s="41" t="n"/>
      <c r="J2423" s="47" t="n"/>
      <c r="K2423" s="41" t="n"/>
      <c r="L2423" s="48" t="n"/>
      <c r="M2423" s="45" t="n"/>
      <c r="N2423" s="39">
        <f>IF($B2423="","",IF(SUMPRODUCT((LISTAS!$O$3:$O$42&lt;&gt;"")*ISNUMBER(SEARCH(LISTAS!$O$3:$O$42,$I2423&amp;" "&amp;$K2423)))&gt;0,"CERCANA","NACIONAL"))</f>
        <v/>
      </c>
      <c r="O2423" s="39">
        <f>IF($B2423="","",IF(COUNTIFS(NOVEDADES!$C$4:$C$2003,$B2423)=0,"—","SÍ ("&amp;COUNTIFS(NOVEDADES!$C$4:$C$2003,$B2423)&amp;")"))</f>
        <v/>
      </c>
    </row>
    <row r="2424">
      <c r="A2424" s="41" t="n"/>
      <c r="B2424" s="41" t="n"/>
      <c r="C2424" s="41" t="n"/>
      <c r="D2424" s="41" t="n"/>
      <c r="E2424" s="46" t="n"/>
      <c r="F2424" s="41" t="n"/>
      <c r="G2424" s="41" t="n"/>
      <c r="H2424" s="41" t="n"/>
      <c r="I2424" s="41" t="n"/>
      <c r="J2424" s="47" t="n"/>
      <c r="K2424" s="41" t="n"/>
      <c r="L2424" s="48" t="n"/>
      <c r="M2424" s="45" t="n"/>
      <c r="N2424" s="39">
        <f>IF($B2424="","",IF(SUMPRODUCT((LISTAS!$O$3:$O$42&lt;&gt;"")*ISNUMBER(SEARCH(LISTAS!$O$3:$O$42,$I2424&amp;" "&amp;$K2424)))&gt;0,"CERCANA","NACIONAL"))</f>
        <v/>
      </c>
      <c r="O2424" s="39">
        <f>IF($B2424="","",IF(COUNTIFS(NOVEDADES!$C$4:$C$2003,$B2424)=0,"—","SÍ ("&amp;COUNTIFS(NOVEDADES!$C$4:$C$2003,$B2424)&amp;")"))</f>
        <v/>
      </c>
    </row>
    <row r="2425">
      <c r="A2425" s="41" t="n"/>
      <c r="B2425" s="41" t="n"/>
      <c r="C2425" s="41" t="n"/>
      <c r="D2425" s="41" t="n"/>
      <c r="E2425" s="46" t="n"/>
      <c r="F2425" s="41" t="n"/>
      <c r="G2425" s="41" t="n"/>
      <c r="H2425" s="41" t="n"/>
      <c r="I2425" s="41" t="n"/>
      <c r="J2425" s="47" t="n"/>
      <c r="K2425" s="41" t="n"/>
      <c r="L2425" s="48" t="n"/>
      <c r="M2425" s="45" t="n"/>
      <c r="N2425" s="39">
        <f>IF($B2425="","",IF(SUMPRODUCT((LISTAS!$O$3:$O$42&lt;&gt;"")*ISNUMBER(SEARCH(LISTAS!$O$3:$O$42,$I2425&amp;" "&amp;$K2425)))&gt;0,"CERCANA","NACIONAL"))</f>
        <v/>
      </c>
      <c r="O2425" s="39">
        <f>IF($B2425="","",IF(COUNTIFS(NOVEDADES!$C$4:$C$2003,$B2425)=0,"—","SÍ ("&amp;COUNTIFS(NOVEDADES!$C$4:$C$2003,$B2425)&amp;")"))</f>
        <v/>
      </c>
    </row>
    <row r="2426">
      <c r="A2426" s="41" t="n"/>
      <c r="B2426" s="41" t="n"/>
      <c r="C2426" s="41" t="n"/>
      <c r="D2426" s="41" t="n"/>
      <c r="E2426" s="46" t="n"/>
      <c r="F2426" s="41" t="n"/>
      <c r="G2426" s="41" t="n"/>
      <c r="H2426" s="41" t="n"/>
      <c r="I2426" s="41" t="n"/>
      <c r="J2426" s="47" t="n"/>
      <c r="K2426" s="41" t="n"/>
      <c r="L2426" s="48" t="n"/>
      <c r="M2426" s="45" t="n"/>
      <c r="N2426" s="39">
        <f>IF($B2426="","",IF(SUMPRODUCT((LISTAS!$O$3:$O$42&lt;&gt;"")*ISNUMBER(SEARCH(LISTAS!$O$3:$O$42,$I2426&amp;" "&amp;$K2426)))&gt;0,"CERCANA","NACIONAL"))</f>
        <v/>
      </c>
      <c r="O2426" s="39">
        <f>IF($B2426="","",IF(COUNTIFS(NOVEDADES!$C$4:$C$2003,$B2426)=0,"—","SÍ ("&amp;COUNTIFS(NOVEDADES!$C$4:$C$2003,$B2426)&amp;")"))</f>
        <v/>
      </c>
    </row>
    <row r="2427">
      <c r="A2427" s="41" t="n"/>
      <c r="B2427" s="41" t="n"/>
      <c r="C2427" s="41" t="n"/>
      <c r="D2427" s="41" t="n"/>
      <c r="E2427" s="46" t="n"/>
      <c r="F2427" s="41" t="n"/>
      <c r="G2427" s="41" t="n"/>
      <c r="H2427" s="41" t="n"/>
      <c r="I2427" s="41" t="n"/>
      <c r="J2427" s="47" t="n"/>
      <c r="K2427" s="41" t="n"/>
      <c r="L2427" s="48" t="n"/>
      <c r="M2427" s="45" t="n"/>
      <c r="N2427" s="39">
        <f>IF($B2427="","",IF(SUMPRODUCT((LISTAS!$O$3:$O$42&lt;&gt;"")*ISNUMBER(SEARCH(LISTAS!$O$3:$O$42,$I2427&amp;" "&amp;$K2427)))&gt;0,"CERCANA","NACIONAL"))</f>
        <v/>
      </c>
      <c r="O2427" s="39">
        <f>IF($B2427="","",IF(COUNTIFS(NOVEDADES!$C$4:$C$2003,$B2427)=0,"—","SÍ ("&amp;COUNTIFS(NOVEDADES!$C$4:$C$2003,$B2427)&amp;")"))</f>
        <v/>
      </c>
    </row>
    <row r="2428">
      <c r="A2428" s="41" t="n"/>
      <c r="B2428" s="41" t="n"/>
      <c r="C2428" s="41" t="n"/>
      <c r="D2428" s="41" t="n"/>
      <c r="E2428" s="46" t="n"/>
      <c r="F2428" s="41" t="n"/>
      <c r="G2428" s="41" t="n"/>
      <c r="H2428" s="41" t="n"/>
      <c r="I2428" s="41" t="n"/>
      <c r="J2428" s="47" t="n"/>
      <c r="K2428" s="41" t="n"/>
      <c r="L2428" s="48" t="n"/>
      <c r="M2428" s="45" t="n"/>
      <c r="N2428" s="39">
        <f>IF($B2428="","",IF(SUMPRODUCT((LISTAS!$O$3:$O$42&lt;&gt;"")*ISNUMBER(SEARCH(LISTAS!$O$3:$O$42,$I2428&amp;" "&amp;$K2428)))&gt;0,"CERCANA","NACIONAL"))</f>
        <v/>
      </c>
      <c r="O2428" s="39">
        <f>IF($B2428="","",IF(COUNTIFS(NOVEDADES!$C$4:$C$2003,$B2428)=0,"—","SÍ ("&amp;COUNTIFS(NOVEDADES!$C$4:$C$2003,$B2428)&amp;")"))</f>
        <v/>
      </c>
    </row>
    <row r="2429">
      <c r="A2429" s="41" t="n"/>
      <c r="B2429" s="41" t="n"/>
      <c r="C2429" s="41" t="n"/>
      <c r="D2429" s="41" t="n"/>
      <c r="E2429" s="46" t="n"/>
      <c r="F2429" s="41" t="n"/>
      <c r="G2429" s="41" t="n"/>
      <c r="H2429" s="41" t="n"/>
      <c r="I2429" s="41" t="n"/>
      <c r="J2429" s="47" t="n"/>
      <c r="K2429" s="41" t="n"/>
      <c r="L2429" s="48" t="n"/>
      <c r="M2429" s="45" t="n"/>
      <c r="N2429" s="39">
        <f>IF($B2429="","",IF(SUMPRODUCT((LISTAS!$O$3:$O$42&lt;&gt;"")*ISNUMBER(SEARCH(LISTAS!$O$3:$O$42,$I2429&amp;" "&amp;$K2429)))&gt;0,"CERCANA","NACIONAL"))</f>
        <v/>
      </c>
      <c r="O2429" s="39">
        <f>IF($B2429="","",IF(COUNTIFS(NOVEDADES!$C$4:$C$2003,$B2429)=0,"—","SÍ ("&amp;COUNTIFS(NOVEDADES!$C$4:$C$2003,$B2429)&amp;")"))</f>
        <v/>
      </c>
    </row>
    <row r="2430">
      <c r="A2430" s="41" t="n"/>
      <c r="B2430" s="41" t="n"/>
      <c r="C2430" s="41" t="n"/>
      <c r="D2430" s="41" t="n"/>
      <c r="E2430" s="46" t="n"/>
      <c r="F2430" s="41" t="n"/>
      <c r="G2430" s="41" t="n"/>
      <c r="H2430" s="41" t="n"/>
      <c r="I2430" s="41" t="n"/>
      <c r="J2430" s="47" t="n"/>
      <c r="K2430" s="41" t="n"/>
      <c r="L2430" s="48" t="n"/>
      <c r="M2430" s="45" t="n"/>
      <c r="N2430" s="39">
        <f>IF($B2430="","",IF(SUMPRODUCT((LISTAS!$O$3:$O$42&lt;&gt;"")*ISNUMBER(SEARCH(LISTAS!$O$3:$O$42,$I2430&amp;" "&amp;$K2430)))&gt;0,"CERCANA","NACIONAL"))</f>
        <v/>
      </c>
      <c r="O2430" s="39">
        <f>IF($B2430="","",IF(COUNTIFS(NOVEDADES!$C$4:$C$2003,$B2430)=0,"—","SÍ ("&amp;COUNTIFS(NOVEDADES!$C$4:$C$2003,$B2430)&amp;")"))</f>
        <v/>
      </c>
    </row>
    <row r="2431">
      <c r="A2431" s="41" t="n"/>
      <c r="B2431" s="41" t="n"/>
      <c r="C2431" s="41" t="n"/>
      <c r="D2431" s="41" t="n"/>
      <c r="E2431" s="46" t="n"/>
      <c r="F2431" s="41" t="n"/>
      <c r="G2431" s="41" t="n"/>
      <c r="H2431" s="41" t="n"/>
      <c r="I2431" s="41" t="n"/>
      <c r="J2431" s="47" t="n"/>
      <c r="K2431" s="41" t="n"/>
      <c r="L2431" s="48" t="n"/>
      <c r="M2431" s="45" t="n"/>
      <c r="N2431" s="39">
        <f>IF($B2431="","",IF(SUMPRODUCT((LISTAS!$O$3:$O$42&lt;&gt;"")*ISNUMBER(SEARCH(LISTAS!$O$3:$O$42,$I2431&amp;" "&amp;$K2431)))&gt;0,"CERCANA","NACIONAL"))</f>
        <v/>
      </c>
      <c r="O2431" s="39">
        <f>IF($B2431="","",IF(COUNTIFS(NOVEDADES!$C$4:$C$2003,$B2431)=0,"—","SÍ ("&amp;COUNTIFS(NOVEDADES!$C$4:$C$2003,$B2431)&amp;")"))</f>
        <v/>
      </c>
    </row>
    <row r="2432">
      <c r="A2432" s="41" t="n"/>
      <c r="B2432" s="41" t="n"/>
      <c r="C2432" s="41" t="n"/>
      <c r="D2432" s="41" t="n"/>
      <c r="E2432" s="46" t="n"/>
      <c r="F2432" s="41" t="n"/>
      <c r="G2432" s="41" t="n"/>
      <c r="H2432" s="41" t="n"/>
      <c r="I2432" s="41" t="n"/>
      <c r="J2432" s="47" t="n"/>
      <c r="K2432" s="41" t="n"/>
      <c r="L2432" s="48" t="n"/>
      <c r="M2432" s="45" t="n"/>
      <c r="N2432" s="39">
        <f>IF($B2432="","",IF(SUMPRODUCT((LISTAS!$O$3:$O$42&lt;&gt;"")*ISNUMBER(SEARCH(LISTAS!$O$3:$O$42,$I2432&amp;" "&amp;$K2432)))&gt;0,"CERCANA","NACIONAL"))</f>
        <v/>
      </c>
      <c r="O2432" s="39">
        <f>IF($B2432="","",IF(COUNTIFS(NOVEDADES!$C$4:$C$2003,$B2432)=0,"—","SÍ ("&amp;COUNTIFS(NOVEDADES!$C$4:$C$2003,$B2432)&amp;")"))</f>
        <v/>
      </c>
    </row>
    <row r="2433">
      <c r="A2433" s="41" t="n"/>
      <c r="B2433" s="41" t="n"/>
      <c r="C2433" s="41" t="n"/>
      <c r="D2433" s="41" t="n"/>
      <c r="E2433" s="46" t="n"/>
      <c r="F2433" s="41" t="n"/>
      <c r="G2433" s="41" t="n"/>
      <c r="H2433" s="41" t="n"/>
      <c r="I2433" s="41" t="n"/>
      <c r="J2433" s="47" t="n"/>
      <c r="K2433" s="41" t="n"/>
      <c r="L2433" s="48" t="n"/>
      <c r="M2433" s="45" t="n"/>
      <c r="N2433" s="39">
        <f>IF($B2433="","",IF(SUMPRODUCT((LISTAS!$O$3:$O$42&lt;&gt;"")*ISNUMBER(SEARCH(LISTAS!$O$3:$O$42,$I2433&amp;" "&amp;$K2433)))&gt;0,"CERCANA","NACIONAL"))</f>
        <v/>
      </c>
      <c r="O2433" s="39">
        <f>IF($B2433="","",IF(COUNTIFS(NOVEDADES!$C$4:$C$2003,$B2433)=0,"—","SÍ ("&amp;COUNTIFS(NOVEDADES!$C$4:$C$2003,$B2433)&amp;")"))</f>
        <v/>
      </c>
    </row>
    <row r="2434">
      <c r="A2434" s="41" t="n"/>
      <c r="B2434" s="41" t="n"/>
      <c r="C2434" s="41" t="n"/>
      <c r="D2434" s="41" t="n"/>
      <c r="E2434" s="46" t="n"/>
      <c r="F2434" s="41" t="n"/>
      <c r="G2434" s="41" t="n"/>
      <c r="H2434" s="41" t="n"/>
      <c r="I2434" s="41" t="n"/>
      <c r="J2434" s="47" t="n"/>
      <c r="K2434" s="41" t="n"/>
      <c r="L2434" s="48" t="n"/>
      <c r="M2434" s="45" t="n"/>
      <c r="N2434" s="39">
        <f>IF($B2434="","",IF(SUMPRODUCT((LISTAS!$O$3:$O$42&lt;&gt;"")*ISNUMBER(SEARCH(LISTAS!$O$3:$O$42,$I2434&amp;" "&amp;$K2434)))&gt;0,"CERCANA","NACIONAL"))</f>
        <v/>
      </c>
      <c r="O2434" s="39">
        <f>IF($B2434="","",IF(COUNTIFS(NOVEDADES!$C$4:$C$2003,$B2434)=0,"—","SÍ ("&amp;COUNTIFS(NOVEDADES!$C$4:$C$2003,$B2434)&amp;")"))</f>
        <v/>
      </c>
    </row>
    <row r="2435">
      <c r="A2435" s="41" t="n"/>
      <c r="B2435" s="41" t="n"/>
      <c r="C2435" s="41" t="n"/>
      <c r="D2435" s="41" t="n"/>
      <c r="E2435" s="46" t="n"/>
      <c r="F2435" s="41" t="n"/>
      <c r="G2435" s="41" t="n"/>
      <c r="H2435" s="41" t="n"/>
      <c r="I2435" s="41" t="n"/>
      <c r="J2435" s="47" t="n"/>
      <c r="K2435" s="41" t="n"/>
      <c r="L2435" s="48" t="n"/>
      <c r="M2435" s="45" t="n"/>
      <c r="N2435" s="39">
        <f>IF($B2435="","",IF(SUMPRODUCT((LISTAS!$O$3:$O$42&lt;&gt;"")*ISNUMBER(SEARCH(LISTAS!$O$3:$O$42,$I2435&amp;" "&amp;$K2435)))&gt;0,"CERCANA","NACIONAL"))</f>
        <v/>
      </c>
      <c r="O2435" s="39">
        <f>IF($B2435="","",IF(COUNTIFS(NOVEDADES!$C$4:$C$2003,$B2435)=0,"—","SÍ ("&amp;COUNTIFS(NOVEDADES!$C$4:$C$2003,$B2435)&amp;")"))</f>
        <v/>
      </c>
    </row>
    <row r="2436">
      <c r="A2436" s="41" t="n"/>
      <c r="B2436" s="41" t="n"/>
      <c r="C2436" s="41" t="n"/>
      <c r="D2436" s="41" t="n"/>
      <c r="E2436" s="46" t="n"/>
      <c r="F2436" s="41" t="n"/>
      <c r="G2436" s="41" t="n"/>
      <c r="H2436" s="41" t="n"/>
      <c r="I2436" s="41" t="n"/>
      <c r="J2436" s="47" t="n"/>
      <c r="K2436" s="41" t="n"/>
      <c r="L2436" s="48" t="n"/>
      <c r="M2436" s="45" t="n"/>
      <c r="N2436" s="39">
        <f>IF($B2436="","",IF(SUMPRODUCT((LISTAS!$O$3:$O$42&lt;&gt;"")*ISNUMBER(SEARCH(LISTAS!$O$3:$O$42,$I2436&amp;" "&amp;$K2436)))&gt;0,"CERCANA","NACIONAL"))</f>
        <v/>
      </c>
      <c r="O2436" s="39">
        <f>IF($B2436="","",IF(COUNTIFS(NOVEDADES!$C$4:$C$2003,$B2436)=0,"—","SÍ ("&amp;COUNTIFS(NOVEDADES!$C$4:$C$2003,$B2436)&amp;")"))</f>
        <v/>
      </c>
    </row>
    <row r="2437">
      <c r="A2437" s="41" t="n"/>
      <c r="B2437" s="41" t="n"/>
      <c r="C2437" s="41" t="n"/>
      <c r="D2437" s="41" t="n"/>
      <c r="E2437" s="46" t="n"/>
      <c r="F2437" s="41" t="n"/>
      <c r="G2437" s="41" t="n"/>
      <c r="H2437" s="41" t="n"/>
      <c r="I2437" s="41" t="n"/>
      <c r="J2437" s="47" t="n"/>
      <c r="K2437" s="41" t="n"/>
      <c r="L2437" s="48" t="n"/>
      <c r="M2437" s="45" t="n"/>
      <c r="N2437" s="39">
        <f>IF($B2437="","",IF(SUMPRODUCT((LISTAS!$O$3:$O$42&lt;&gt;"")*ISNUMBER(SEARCH(LISTAS!$O$3:$O$42,$I2437&amp;" "&amp;$K2437)))&gt;0,"CERCANA","NACIONAL"))</f>
        <v/>
      </c>
      <c r="O2437" s="39">
        <f>IF($B2437="","",IF(COUNTIFS(NOVEDADES!$C$4:$C$2003,$B2437)=0,"—","SÍ ("&amp;COUNTIFS(NOVEDADES!$C$4:$C$2003,$B2437)&amp;")"))</f>
        <v/>
      </c>
    </row>
    <row r="2438">
      <c r="A2438" s="41" t="n"/>
      <c r="B2438" s="41" t="n"/>
      <c r="C2438" s="41" t="n"/>
      <c r="D2438" s="41" t="n"/>
      <c r="E2438" s="46" t="n"/>
      <c r="F2438" s="41" t="n"/>
      <c r="G2438" s="41" t="n"/>
      <c r="H2438" s="41" t="n"/>
      <c r="I2438" s="41" t="n"/>
      <c r="J2438" s="47" t="n"/>
      <c r="K2438" s="41" t="n"/>
      <c r="L2438" s="48" t="n"/>
      <c r="M2438" s="45" t="n"/>
      <c r="N2438" s="39">
        <f>IF($B2438="","",IF(SUMPRODUCT((LISTAS!$O$3:$O$42&lt;&gt;"")*ISNUMBER(SEARCH(LISTAS!$O$3:$O$42,$I2438&amp;" "&amp;$K2438)))&gt;0,"CERCANA","NACIONAL"))</f>
        <v/>
      </c>
      <c r="O2438" s="39">
        <f>IF($B2438="","",IF(COUNTIFS(NOVEDADES!$C$4:$C$2003,$B2438)=0,"—","SÍ ("&amp;COUNTIFS(NOVEDADES!$C$4:$C$2003,$B2438)&amp;")"))</f>
        <v/>
      </c>
    </row>
    <row r="2439">
      <c r="A2439" s="41" t="n"/>
      <c r="B2439" s="41" t="n"/>
      <c r="C2439" s="41" t="n"/>
      <c r="D2439" s="41" t="n"/>
      <c r="E2439" s="46" t="n"/>
      <c r="F2439" s="41" t="n"/>
      <c r="G2439" s="41" t="n"/>
      <c r="H2439" s="41" t="n"/>
      <c r="I2439" s="41" t="n"/>
      <c r="J2439" s="47" t="n"/>
      <c r="K2439" s="41" t="n"/>
      <c r="L2439" s="48" t="n"/>
      <c r="M2439" s="45" t="n"/>
      <c r="N2439" s="39">
        <f>IF($B2439="","",IF(SUMPRODUCT((LISTAS!$O$3:$O$42&lt;&gt;"")*ISNUMBER(SEARCH(LISTAS!$O$3:$O$42,$I2439&amp;" "&amp;$K2439)))&gt;0,"CERCANA","NACIONAL"))</f>
        <v/>
      </c>
      <c r="O2439" s="39">
        <f>IF($B2439="","",IF(COUNTIFS(NOVEDADES!$C$4:$C$2003,$B2439)=0,"—","SÍ ("&amp;COUNTIFS(NOVEDADES!$C$4:$C$2003,$B2439)&amp;")"))</f>
        <v/>
      </c>
    </row>
    <row r="2440">
      <c r="A2440" s="41" t="n"/>
      <c r="B2440" s="41" t="n"/>
      <c r="C2440" s="41" t="n"/>
      <c r="D2440" s="41" t="n"/>
      <c r="E2440" s="46" t="n"/>
      <c r="F2440" s="41" t="n"/>
      <c r="G2440" s="41" t="n"/>
      <c r="H2440" s="41" t="n"/>
      <c r="I2440" s="41" t="n"/>
      <c r="J2440" s="47" t="n"/>
      <c r="K2440" s="41" t="n"/>
      <c r="L2440" s="48" t="n"/>
      <c r="M2440" s="45" t="n"/>
      <c r="N2440" s="39">
        <f>IF($B2440="","",IF(SUMPRODUCT((LISTAS!$O$3:$O$42&lt;&gt;"")*ISNUMBER(SEARCH(LISTAS!$O$3:$O$42,$I2440&amp;" "&amp;$K2440)))&gt;0,"CERCANA","NACIONAL"))</f>
        <v/>
      </c>
      <c r="O2440" s="39">
        <f>IF($B2440="","",IF(COUNTIFS(NOVEDADES!$C$4:$C$2003,$B2440)=0,"—","SÍ ("&amp;COUNTIFS(NOVEDADES!$C$4:$C$2003,$B2440)&amp;")"))</f>
        <v/>
      </c>
    </row>
    <row r="2441">
      <c r="A2441" s="41" t="n"/>
      <c r="B2441" s="41" t="n"/>
      <c r="C2441" s="41" t="n"/>
      <c r="D2441" s="41" t="n"/>
      <c r="E2441" s="46" t="n"/>
      <c r="F2441" s="41" t="n"/>
      <c r="G2441" s="41" t="n"/>
      <c r="H2441" s="41" t="n"/>
      <c r="I2441" s="41" t="n"/>
      <c r="J2441" s="47" t="n"/>
      <c r="K2441" s="41" t="n"/>
      <c r="L2441" s="48" t="n"/>
      <c r="M2441" s="45" t="n"/>
      <c r="N2441" s="39">
        <f>IF($B2441="","",IF(SUMPRODUCT((LISTAS!$O$3:$O$42&lt;&gt;"")*ISNUMBER(SEARCH(LISTAS!$O$3:$O$42,$I2441&amp;" "&amp;$K2441)))&gt;0,"CERCANA","NACIONAL"))</f>
        <v/>
      </c>
      <c r="O2441" s="39">
        <f>IF($B2441="","",IF(COUNTIFS(NOVEDADES!$C$4:$C$2003,$B2441)=0,"—","SÍ ("&amp;COUNTIFS(NOVEDADES!$C$4:$C$2003,$B2441)&amp;")"))</f>
        <v/>
      </c>
    </row>
    <row r="2442">
      <c r="A2442" s="41" t="n"/>
      <c r="B2442" s="41" t="n"/>
      <c r="C2442" s="41" t="n"/>
      <c r="D2442" s="41" t="n"/>
      <c r="E2442" s="46" t="n"/>
      <c r="F2442" s="41" t="n"/>
      <c r="G2442" s="41" t="n"/>
      <c r="H2442" s="41" t="n"/>
      <c r="I2442" s="41" t="n"/>
      <c r="J2442" s="47" t="n"/>
      <c r="K2442" s="41" t="n"/>
      <c r="L2442" s="48" t="n"/>
      <c r="M2442" s="45" t="n"/>
      <c r="N2442" s="39">
        <f>IF($B2442="","",IF(SUMPRODUCT((LISTAS!$O$3:$O$42&lt;&gt;"")*ISNUMBER(SEARCH(LISTAS!$O$3:$O$42,$I2442&amp;" "&amp;$K2442)))&gt;0,"CERCANA","NACIONAL"))</f>
        <v/>
      </c>
      <c r="O2442" s="39">
        <f>IF($B2442="","",IF(COUNTIFS(NOVEDADES!$C$4:$C$2003,$B2442)=0,"—","SÍ ("&amp;COUNTIFS(NOVEDADES!$C$4:$C$2003,$B2442)&amp;")"))</f>
        <v/>
      </c>
    </row>
    <row r="2443">
      <c r="A2443" s="41" t="n"/>
      <c r="B2443" s="41" t="n"/>
      <c r="C2443" s="41" t="n"/>
      <c r="D2443" s="41" t="n"/>
      <c r="E2443" s="46" t="n"/>
      <c r="F2443" s="41" t="n"/>
      <c r="G2443" s="41" t="n"/>
      <c r="H2443" s="41" t="n"/>
      <c r="I2443" s="41" t="n"/>
      <c r="J2443" s="47" t="n"/>
      <c r="K2443" s="41" t="n"/>
      <c r="L2443" s="48" t="n"/>
      <c r="M2443" s="45" t="n"/>
      <c r="N2443" s="39">
        <f>IF($B2443="","",IF(SUMPRODUCT((LISTAS!$O$3:$O$42&lt;&gt;"")*ISNUMBER(SEARCH(LISTAS!$O$3:$O$42,$I2443&amp;" "&amp;$K2443)))&gt;0,"CERCANA","NACIONAL"))</f>
        <v/>
      </c>
      <c r="O2443" s="39">
        <f>IF($B2443="","",IF(COUNTIFS(NOVEDADES!$C$4:$C$2003,$B2443)=0,"—","SÍ ("&amp;COUNTIFS(NOVEDADES!$C$4:$C$2003,$B2443)&amp;")"))</f>
        <v/>
      </c>
    </row>
    <row r="2444">
      <c r="A2444" s="41" t="n"/>
      <c r="B2444" s="41" t="n"/>
      <c r="C2444" s="41" t="n"/>
      <c r="D2444" s="41" t="n"/>
      <c r="E2444" s="46" t="n"/>
      <c r="F2444" s="41" t="n"/>
      <c r="G2444" s="41" t="n"/>
      <c r="H2444" s="41" t="n"/>
      <c r="I2444" s="41" t="n"/>
      <c r="J2444" s="47" t="n"/>
      <c r="K2444" s="41" t="n"/>
      <c r="L2444" s="48" t="n"/>
      <c r="M2444" s="45" t="n"/>
      <c r="N2444" s="39">
        <f>IF($B2444="","",IF(SUMPRODUCT((LISTAS!$O$3:$O$42&lt;&gt;"")*ISNUMBER(SEARCH(LISTAS!$O$3:$O$42,$I2444&amp;" "&amp;$K2444)))&gt;0,"CERCANA","NACIONAL"))</f>
        <v/>
      </c>
      <c r="O2444" s="39">
        <f>IF($B2444="","",IF(COUNTIFS(NOVEDADES!$C$4:$C$2003,$B2444)=0,"—","SÍ ("&amp;COUNTIFS(NOVEDADES!$C$4:$C$2003,$B2444)&amp;")"))</f>
        <v/>
      </c>
    </row>
    <row r="2445">
      <c r="A2445" s="41" t="n"/>
      <c r="B2445" s="41" t="n"/>
      <c r="C2445" s="41" t="n"/>
      <c r="D2445" s="41" t="n"/>
      <c r="E2445" s="46" t="n"/>
      <c r="F2445" s="41" t="n"/>
      <c r="G2445" s="41" t="n"/>
      <c r="H2445" s="41" t="n"/>
      <c r="I2445" s="41" t="n"/>
      <c r="J2445" s="47" t="n"/>
      <c r="K2445" s="41" t="n"/>
      <c r="L2445" s="48" t="n"/>
      <c r="M2445" s="45" t="n"/>
      <c r="N2445" s="39">
        <f>IF($B2445="","",IF(SUMPRODUCT((LISTAS!$O$3:$O$42&lt;&gt;"")*ISNUMBER(SEARCH(LISTAS!$O$3:$O$42,$I2445&amp;" "&amp;$K2445)))&gt;0,"CERCANA","NACIONAL"))</f>
        <v/>
      </c>
      <c r="O2445" s="39">
        <f>IF($B2445="","",IF(COUNTIFS(NOVEDADES!$C$4:$C$2003,$B2445)=0,"—","SÍ ("&amp;COUNTIFS(NOVEDADES!$C$4:$C$2003,$B2445)&amp;")"))</f>
        <v/>
      </c>
    </row>
    <row r="2446">
      <c r="A2446" s="41" t="n"/>
      <c r="B2446" s="41" t="n"/>
      <c r="C2446" s="41" t="n"/>
      <c r="D2446" s="41" t="n"/>
      <c r="E2446" s="46" t="n"/>
      <c r="F2446" s="41" t="n"/>
      <c r="G2446" s="41" t="n"/>
      <c r="H2446" s="41" t="n"/>
      <c r="I2446" s="41" t="n"/>
      <c r="J2446" s="47" t="n"/>
      <c r="K2446" s="41" t="n"/>
      <c r="L2446" s="48" t="n"/>
      <c r="M2446" s="45" t="n"/>
      <c r="N2446" s="39">
        <f>IF($B2446="","",IF(SUMPRODUCT((LISTAS!$O$3:$O$42&lt;&gt;"")*ISNUMBER(SEARCH(LISTAS!$O$3:$O$42,$I2446&amp;" "&amp;$K2446)))&gt;0,"CERCANA","NACIONAL"))</f>
        <v/>
      </c>
      <c r="O2446" s="39">
        <f>IF($B2446="","",IF(COUNTIFS(NOVEDADES!$C$4:$C$2003,$B2446)=0,"—","SÍ ("&amp;COUNTIFS(NOVEDADES!$C$4:$C$2003,$B2446)&amp;")"))</f>
        <v/>
      </c>
    </row>
    <row r="2447">
      <c r="A2447" s="41" t="n"/>
      <c r="B2447" s="41" t="n"/>
      <c r="C2447" s="41" t="n"/>
      <c r="D2447" s="41" t="n"/>
      <c r="E2447" s="46" t="n"/>
      <c r="F2447" s="41" t="n"/>
      <c r="G2447" s="41" t="n"/>
      <c r="H2447" s="41" t="n"/>
      <c r="I2447" s="41" t="n"/>
      <c r="J2447" s="47" t="n"/>
      <c r="K2447" s="41" t="n"/>
      <c r="L2447" s="48" t="n"/>
      <c r="M2447" s="45" t="n"/>
      <c r="N2447" s="39">
        <f>IF($B2447="","",IF(SUMPRODUCT((LISTAS!$O$3:$O$42&lt;&gt;"")*ISNUMBER(SEARCH(LISTAS!$O$3:$O$42,$I2447&amp;" "&amp;$K2447)))&gt;0,"CERCANA","NACIONAL"))</f>
        <v/>
      </c>
      <c r="O2447" s="39">
        <f>IF($B2447="","",IF(COUNTIFS(NOVEDADES!$C$4:$C$2003,$B2447)=0,"—","SÍ ("&amp;COUNTIFS(NOVEDADES!$C$4:$C$2003,$B2447)&amp;")"))</f>
        <v/>
      </c>
    </row>
    <row r="2448">
      <c r="A2448" s="41" t="n"/>
      <c r="B2448" s="41" t="n"/>
      <c r="C2448" s="41" t="n"/>
      <c r="D2448" s="41" t="n"/>
      <c r="E2448" s="46" t="n"/>
      <c r="F2448" s="41" t="n"/>
      <c r="G2448" s="41" t="n"/>
      <c r="H2448" s="41" t="n"/>
      <c r="I2448" s="41" t="n"/>
      <c r="J2448" s="47" t="n"/>
      <c r="K2448" s="41" t="n"/>
      <c r="L2448" s="48" t="n"/>
      <c r="M2448" s="45" t="n"/>
      <c r="N2448" s="39">
        <f>IF($B2448="","",IF(SUMPRODUCT((LISTAS!$O$3:$O$42&lt;&gt;"")*ISNUMBER(SEARCH(LISTAS!$O$3:$O$42,$I2448&amp;" "&amp;$K2448)))&gt;0,"CERCANA","NACIONAL"))</f>
        <v/>
      </c>
      <c r="O2448" s="39">
        <f>IF($B2448="","",IF(COUNTIFS(NOVEDADES!$C$4:$C$2003,$B2448)=0,"—","SÍ ("&amp;COUNTIFS(NOVEDADES!$C$4:$C$2003,$B2448)&amp;")"))</f>
        <v/>
      </c>
    </row>
    <row r="2449">
      <c r="A2449" s="41" t="n"/>
      <c r="B2449" s="41" t="n"/>
      <c r="C2449" s="41" t="n"/>
      <c r="D2449" s="41" t="n"/>
      <c r="E2449" s="46" t="n"/>
      <c r="F2449" s="41" t="n"/>
      <c r="G2449" s="41" t="n"/>
      <c r="H2449" s="41" t="n"/>
      <c r="I2449" s="41" t="n"/>
      <c r="J2449" s="47" t="n"/>
      <c r="K2449" s="41" t="n"/>
      <c r="L2449" s="48" t="n"/>
      <c r="M2449" s="45" t="n"/>
      <c r="N2449" s="39">
        <f>IF($B2449="","",IF(SUMPRODUCT((LISTAS!$O$3:$O$42&lt;&gt;"")*ISNUMBER(SEARCH(LISTAS!$O$3:$O$42,$I2449&amp;" "&amp;$K2449)))&gt;0,"CERCANA","NACIONAL"))</f>
        <v/>
      </c>
      <c r="O2449" s="39">
        <f>IF($B2449="","",IF(COUNTIFS(NOVEDADES!$C$4:$C$2003,$B2449)=0,"—","SÍ ("&amp;COUNTIFS(NOVEDADES!$C$4:$C$2003,$B2449)&amp;")"))</f>
        <v/>
      </c>
    </row>
    <row r="2450">
      <c r="A2450" s="41" t="n"/>
      <c r="B2450" s="41" t="n"/>
      <c r="C2450" s="41" t="n"/>
      <c r="D2450" s="41" t="n"/>
      <c r="E2450" s="46" t="n"/>
      <c r="F2450" s="41" t="n"/>
      <c r="G2450" s="41" t="n"/>
      <c r="H2450" s="41" t="n"/>
      <c r="I2450" s="41" t="n"/>
      <c r="J2450" s="47" t="n"/>
      <c r="K2450" s="41" t="n"/>
      <c r="L2450" s="48" t="n"/>
      <c r="M2450" s="45" t="n"/>
      <c r="N2450" s="39">
        <f>IF($B2450="","",IF(SUMPRODUCT((LISTAS!$O$3:$O$42&lt;&gt;"")*ISNUMBER(SEARCH(LISTAS!$O$3:$O$42,$I2450&amp;" "&amp;$K2450)))&gt;0,"CERCANA","NACIONAL"))</f>
        <v/>
      </c>
      <c r="O2450" s="39">
        <f>IF($B2450="","",IF(COUNTIFS(NOVEDADES!$C$4:$C$2003,$B2450)=0,"—","SÍ ("&amp;COUNTIFS(NOVEDADES!$C$4:$C$2003,$B2450)&amp;")"))</f>
        <v/>
      </c>
    </row>
    <row r="2451">
      <c r="A2451" s="41" t="n"/>
      <c r="B2451" s="41" t="n"/>
      <c r="C2451" s="41" t="n"/>
      <c r="D2451" s="41" t="n"/>
      <c r="E2451" s="46" t="n"/>
      <c r="F2451" s="41" t="n"/>
      <c r="G2451" s="41" t="n"/>
      <c r="H2451" s="41" t="n"/>
      <c r="I2451" s="41" t="n"/>
      <c r="J2451" s="47" t="n"/>
      <c r="K2451" s="41" t="n"/>
      <c r="L2451" s="48" t="n"/>
      <c r="M2451" s="45" t="n"/>
      <c r="N2451" s="39">
        <f>IF($B2451="","",IF(SUMPRODUCT((LISTAS!$O$3:$O$42&lt;&gt;"")*ISNUMBER(SEARCH(LISTAS!$O$3:$O$42,$I2451&amp;" "&amp;$K2451)))&gt;0,"CERCANA","NACIONAL"))</f>
        <v/>
      </c>
      <c r="O2451" s="39">
        <f>IF($B2451="","",IF(COUNTIFS(NOVEDADES!$C$4:$C$2003,$B2451)=0,"—","SÍ ("&amp;COUNTIFS(NOVEDADES!$C$4:$C$2003,$B2451)&amp;")"))</f>
        <v/>
      </c>
    </row>
    <row r="2452">
      <c r="A2452" s="41" t="n"/>
      <c r="B2452" s="41" t="n"/>
      <c r="C2452" s="41" t="n"/>
      <c r="D2452" s="41" t="n"/>
      <c r="E2452" s="46" t="n"/>
      <c r="F2452" s="41" t="n"/>
      <c r="G2452" s="41" t="n"/>
      <c r="H2452" s="41" t="n"/>
      <c r="I2452" s="41" t="n"/>
      <c r="J2452" s="47" t="n"/>
      <c r="K2452" s="41" t="n"/>
      <c r="L2452" s="48" t="n"/>
      <c r="M2452" s="45" t="n"/>
      <c r="N2452" s="39">
        <f>IF($B2452="","",IF(SUMPRODUCT((LISTAS!$O$3:$O$42&lt;&gt;"")*ISNUMBER(SEARCH(LISTAS!$O$3:$O$42,$I2452&amp;" "&amp;$K2452)))&gt;0,"CERCANA","NACIONAL"))</f>
        <v/>
      </c>
      <c r="O2452" s="39">
        <f>IF($B2452="","",IF(COUNTIFS(NOVEDADES!$C$4:$C$2003,$B2452)=0,"—","SÍ ("&amp;COUNTIFS(NOVEDADES!$C$4:$C$2003,$B2452)&amp;")"))</f>
        <v/>
      </c>
    </row>
    <row r="2453">
      <c r="A2453" s="41" t="n"/>
      <c r="B2453" s="41" t="n"/>
      <c r="C2453" s="41" t="n"/>
      <c r="D2453" s="41" t="n"/>
      <c r="E2453" s="46" t="n"/>
      <c r="F2453" s="41" t="n"/>
      <c r="G2453" s="41" t="n"/>
      <c r="H2453" s="41" t="n"/>
      <c r="I2453" s="41" t="n"/>
      <c r="J2453" s="47" t="n"/>
      <c r="K2453" s="41" t="n"/>
      <c r="L2453" s="48" t="n"/>
      <c r="M2453" s="45" t="n"/>
      <c r="N2453" s="39">
        <f>IF($B2453="","",IF(SUMPRODUCT((LISTAS!$O$3:$O$42&lt;&gt;"")*ISNUMBER(SEARCH(LISTAS!$O$3:$O$42,$I2453&amp;" "&amp;$K2453)))&gt;0,"CERCANA","NACIONAL"))</f>
        <v/>
      </c>
      <c r="O2453" s="39">
        <f>IF($B2453="","",IF(COUNTIFS(NOVEDADES!$C$4:$C$2003,$B2453)=0,"—","SÍ ("&amp;COUNTIFS(NOVEDADES!$C$4:$C$2003,$B2453)&amp;")"))</f>
        <v/>
      </c>
    </row>
    <row r="2454">
      <c r="A2454" s="41" t="n"/>
      <c r="B2454" s="41" t="n"/>
      <c r="C2454" s="41" t="n"/>
      <c r="D2454" s="41" t="n"/>
      <c r="E2454" s="46" t="n"/>
      <c r="F2454" s="41" t="n"/>
      <c r="G2454" s="41" t="n"/>
      <c r="H2454" s="41" t="n"/>
      <c r="I2454" s="41" t="n"/>
      <c r="J2454" s="47" t="n"/>
      <c r="K2454" s="41" t="n"/>
      <c r="L2454" s="48" t="n"/>
      <c r="M2454" s="45" t="n"/>
      <c r="N2454" s="39">
        <f>IF($B2454="","",IF(SUMPRODUCT((LISTAS!$O$3:$O$42&lt;&gt;"")*ISNUMBER(SEARCH(LISTAS!$O$3:$O$42,$I2454&amp;" "&amp;$K2454)))&gt;0,"CERCANA","NACIONAL"))</f>
        <v/>
      </c>
      <c r="O2454" s="39">
        <f>IF($B2454="","",IF(COUNTIFS(NOVEDADES!$C$4:$C$2003,$B2454)=0,"—","SÍ ("&amp;COUNTIFS(NOVEDADES!$C$4:$C$2003,$B2454)&amp;")"))</f>
        <v/>
      </c>
    </row>
    <row r="2455">
      <c r="A2455" s="41" t="n"/>
      <c r="B2455" s="41" t="n"/>
      <c r="C2455" s="41" t="n"/>
      <c r="D2455" s="41" t="n"/>
      <c r="E2455" s="46" t="n"/>
      <c r="F2455" s="41" t="n"/>
      <c r="G2455" s="41" t="n"/>
      <c r="H2455" s="41" t="n"/>
      <c r="I2455" s="41" t="n"/>
      <c r="J2455" s="47" t="n"/>
      <c r="K2455" s="41" t="n"/>
      <c r="L2455" s="48" t="n"/>
      <c r="M2455" s="45" t="n"/>
      <c r="N2455" s="39">
        <f>IF($B2455="","",IF(SUMPRODUCT((LISTAS!$O$3:$O$42&lt;&gt;"")*ISNUMBER(SEARCH(LISTAS!$O$3:$O$42,$I2455&amp;" "&amp;$K2455)))&gt;0,"CERCANA","NACIONAL"))</f>
        <v/>
      </c>
      <c r="O2455" s="39">
        <f>IF($B2455="","",IF(COUNTIFS(NOVEDADES!$C$4:$C$2003,$B2455)=0,"—","SÍ ("&amp;COUNTIFS(NOVEDADES!$C$4:$C$2003,$B2455)&amp;")"))</f>
        <v/>
      </c>
    </row>
    <row r="2456">
      <c r="A2456" s="41" t="n"/>
      <c r="B2456" s="41" t="n"/>
      <c r="C2456" s="41" t="n"/>
      <c r="D2456" s="41" t="n"/>
      <c r="E2456" s="46" t="n"/>
      <c r="F2456" s="41" t="n"/>
      <c r="G2456" s="41" t="n"/>
      <c r="H2456" s="41" t="n"/>
      <c r="I2456" s="41" t="n"/>
      <c r="J2456" s="47" t="n"/>
      <c r="K2456" s="41" t="n"/>
      <c r="L2456" s="48" t="n"/>
      <c r="M2456" s="45" t="n"/>
      <c r="N2456" s="39">
        <f>IF($B2456="","",IF(SUMPRODUCT((LISTAS!$O$3:$O$42&lt;&gt;"")*ISNUMBER(SEARCH(LISTAS!$O$3:$O$42,$I2456&amp;" "&amp;$K2456)))&gt;0,"CERCANA","NACIONAL"))</f>
        <v/>
      </c>
      <c r="O2456" s="39">
        <f>IF($B2456="","",IF(COUNTIFS(NOVEDADES!$C$4:$C$2003,$B2456)=0,"—","SÍ ("&amp;COUNTIFS(NOVEDADES!$C$4:$C$2003,$B2456)&amp;")"))</f>
        <v/>
      </c>
    </row>
    <row r="2457">
      <c r="A2457" s="41" t="n"/>
      <c r="B2457" s="41" t="n"/>
      <c r="C2457" s="41" t="n"/>
      <c r="D2457" s="41" t="n"/>
      <c r="E2457" s="46" t="n"/>
      <c r="F2457" s="41" t="n"/>
      <c r="G2457" s="41" t="n"/>
      <c r="H2457" s="41" t="n"/>
      <c r="I2457" s="41" t="n"/>
      <c r="J2457" s="47" t="n"/>
      <c r="K2457" s="41" t="n"/>
      <c r="L2457" s="48" t="n"/>
      <c r="M2457" s="45" t="n"/>
      <c r="N2457" s="39">
        <f>IF($B2457="","",IF(SUMPRODUCT((LISTAS!$O$3:$O$42&lt;&gt;"")*ISNUMBER(SEARCH(LISTAS!$O$3:$O$42,$I2457&amp;" "&amp;$K2457)))&gt;0,"CERCANA","NACIONAL"))</f>
        <v/>
      </c>
      <c r="O2457" s="39">
        <f>IF($B2457="","",IF(COUNTIFS(NOVEDADES!$C$4:$C$2003,$B2457)=0,"—","SÍ ("&amp;COUNTIFS(NOVEDADES!$C$4:$C$2003,$B2457)&amp;")"))</f>
        <v/>
      </c>
    </row>
    <row r="2458">
      <c r="A2458" s="41" t="n"/>
      <c r="B2458" s="41" t="n"/>
      <c r="C2458" s="41" t="n"/>
      <c r="D2458" s="41" t="n"/>
      <c r="E2458" s="46" t="n"/>
      <c r="F2458" s="41" t="n"/>
      <c r="G2458" s="41" t="n"/>
      <c r="H2458" s="41" t="n"/>
      <c r="I2458" s="41" t="n"/>
      <c r="J2458" s="47" t="n"/>
      <c r="K2458" s="41" t="n"/>
      <c r="L2458" s="48" t="n"/>
      <c r="M2458" s="45" t="n"/>
      <c r="N2458" s="39">
        <f>IF($B2458="","",IF(SUMPRODUCT((LISTAS!$O$3:$O$42&lt;&gt;"")*ISNUMBER(SEARCH(LISTAS!$O$3:$O$42,$I2458&amp;" "&amp;$K2458)))&gt;0,"CERCANA","NACIONAL"))</f>
        <v/>
      </c>
      <c r="O2458" s="39">
        <f>IF($B2458="","",IF(COUNTIFS(NOVEDADES!$C$4:$C$2003,$B2458)=0,"—","SÍ ("&amp;COUNTIFS(NOVEDADES!$C$4:$C$2003,$B2458)&amp;")"))</f>
        <v/>
      </c>
    </row>
    <row r="2459">
      <c r="A2459" s="41" t="n"/>
      <c r="B2459" s="41" t="n"/>
      <c r="C2459" s="41" t="n"/>
      <c r="D2459" s="41" t="n"/>
      <c r="E2459" s="46" t="n"/>
      <c r="F2459" s="41" t="n"/>
      <c r="G2459" s="41" t="n"/>
      <c r="H2459" s="41" t="n"/>
      <c r="I2459" s="41" t="n"/>
      <c r="J2459" s="47" t="n"/>
      <c r="K2459" s="41" t="n"/>
      <c r="L2459" s="48" t="n"/>
      <c r="M2459" s="45" t="n"/>
      <c r="N2459" s="39">
        <f>IF($B2459="","",IF(SUMPRODUCT((LISTAS!$O$3:$O$42&lt;&gt;"")*ISNUMBER(SEARCH(LISTAS!$O$3:$O$42,$I2459&amp;" "&amp;$K2459)))&gt;0,"CERCANA","NACIONAL"))</f>
        <v/>
      </c>
      <c r="O2459" s="39">
        <f>IF($B2459="","",IF(COUNTIFS(NOVEDADES!$C$4:$C$2003,$B2459)=0,"—","SÍ ("&amp;COUNTIFS(NOVEDADES!$C$4:$C$2003,$B2459)&amp;")"))</f>
        <v/>
      </c>
    </row>
    <row r="2460">
      <c r="A2460" s="41" t="n"/>
      <c r="B2460" s="41" t="n"/>
      <c r="C2460" s="41" t="n"/>
      <c r="D2460" s="41" t="n"/>
      <c r="E2460" s="46" t="n"/>
      <c r="F2460" s="41" t="n"/>
      <c r="G2460" s="41" t="n"/>
      <c r="H2460" s="41" t="n"/>
      <c r="I2460" s="41" t="n"/>
      <c r="J2460" s="47" t="n"/>
      <c r="K2460" s="41" t="n"/>
      <c r="L2460" s="48" t="n"/>
      <c r="M2460" s="45" t="n"/>
      <c r="N2460" s="39">
        <f>IF($B2460="","",IF(SUMPRODUCT((LISTAS!$O$3:$O$42&lt;&gt;"")*ISNUMBER(SEARCH(LISTAS!$O$3:$O$42,$I2460&amp;" "&amp;$K2460)))&gt;0,"CERCANA","NACIONAL"))</f>
        <v/>
      </c>
      <c r="O2460" s="39">
        <f>IF($B2460="","",IF(COUNTIFS(NOVEDADES!$C$4:$C$2003,$B2460)=0,"—","SÍ ("&amp;COUNTIFS(NOVEDADES!$C$4:$C$2003,$B2460)&amp;")"))</f>
        <v/>
      </c>
    </row>
    <row r="2461">
      <c r="A2461" s="41" t="n"/>
      <c r="B2461" s="41" t="n"/>
      <c r="C2461" s="41" t="n"/>
      <c r="D2461" s="41" t="n"/>
      <c r="E2461" s="46" t="n"/>
      <c r="F2461" s="41" t="n"/>
      <c r="G2461" s="41" t="n"/>
      <c r="H2461" s="41" t="n"/>
      <c r="I2461" s="41" t="n"/>
      <c r="J2461" s="47" t="n"/>
      <c r="K2461" s="41" t="n"/>
      <c r="L2461" s="48" t="n"/>
      <c r="M2461" s="45" t="n"/>
      <c r="N2461" s="39">
        <f>IF($B2461="","",IF(SUMPRODUCT((LISTAS!$O$3:$O$42&lt;&gt;"")*ISNUMBER(SEARCH(LISTAS!$O$3:$O$42,$I2461&amp;" "&amp;$K2461)))&gt;0,"CERCANA","NACIONAL"))</f>
        <v/>
      </c>
      <c r="O2461" s="39">
        <f>IF($B2461="","",IF(COUNTIFS(NOVEDADES!$C$4:$C$2003,$B2461)=0,"—","SÍ ("&amp;COUNTIFS(NOVEDADES!$C$4:$C$2003,$B2461)&amp;")"))</f>
        <v/>
      </c>
    </row>
    <row r="2462">
      <c r="A2462" s="41" t="n"/>
      <c r="B2462" s="41" t="n"/>
      <c r="C2462" s="41" t="n"/>
      <c r="D2462" s="41" t="n"/>
      <c r="E2462" s="46" t="n"/>
      <c r="F2462" s="41" t="n"/>
      <c r="G2462" s="41" t="n"/>
      <c r="H2462" s="41" t="n"/>
      <c r="I2462" s="41" t="n"/>
      <c r="J2462" s="47" t="n"/>
      <c r="K2462" s="41" t="n"/>
      <c r="L2462" s="48" t="n"/>
      <c r="M2462" s="45" t="n"/>
      <c r="N2462" s="39">
        <f>IF($B2462="","",IF(SUMPRODUCT((LISTAS!$O$3:$O$42&lt;&gt;"")*ISNUMBER(SEARCH(LISTAS!$O$3:$O$42,$I2462&amp;" "&amp;$K2462)))&gt;0,"CERCANA","NACIONAL"))</f>
        <v/>
      </c>
      <c r="O2462" s="39">
        <f>IF($B2462="","",IF(COUNTIFS(NOVEDADES!$C$4:$C$2003,$B2462)=0,"—","SÍ ("&amp;COUNTIFS(NOVEDADES!$C$4:$C$2003,$B2462)&amp;")"))</f>
        <v/>
      </c>
    </row>
    <row r="2463">
      <c r="A2463" s="41" t="n"/>
      <c r="B2463" s="41" t="n"/>
      <c r="C2463" s="41" t="n"/>
      <c r="D2463" s="41" t="n"/>
      <c r="E2463" s="46" t="n"/>
      <c r="F2463" s="41" t="n"/>
      <c r="G2463" s="41" t="n"/>
      <c r="H2463" s="41" t="n"/>
      <c r="I2463" s="41" t="n"/>
      <c r="J2463" s="47" t="n"/>
      <c r="K2463" s="41" t="n"/>
      <c r="L2463" s="48" t="n"/>
      <c r="M2463" s="45" t="n"/>
      <c r="N2463" s="39">
        <f>IF($B2463="","",IF(SUMPRODUCT((LISTAS!$O$3:$O$42&lt;&gt;"")*ISNUMBER(SEARCH(LISTAS!$O$3:$O$42,$I2463&amp;" "&amp;$K2463)))&gt;0,"CERCANA","NACIONAL"))</f>
        <v/>
      </c>
      <c r="O2463" s="39">
        <f>IF($B2463="","",IF(COUNTIFS(NOVEDADES!$C$4:$C$2003,$B2463)=0,"—","SÍ ("&amp;COUNTIFS(NOVEDADES!$C$4:$C$2003,$B2463)&amp;")"))</f>
        <v/>
      </c>
    </row>
    <row r="2464">
      <c r="A2464" s="41" t="n"/>
      <c r="B2464" s="41" t="n"/>
      <c r="C2464" s="41" t="n"/>
      <c r="D2464" s="41" t="n"/>
      <c r="E2464" s="46" t="n"/>
      <c r="F2464" s="41" t="n"/>
      <c r="G2464" s="41" t="n"/>
      <c r="H2464" s="41" t="n"/>
      <c r="I2464" s="41" t="n"/>
      <c r="J2464" s="47" t="n"/>
      <c r="K2464" s="41" t="n"/>
      <c r="L2464" s="48" t="n"/>
      <c r="M2464" s="45" t="n"/>
      <c r="N2464" s="39">
        <f>IF($B2464="","",IF(SUMPRODUCT((LISTAS!$O$3:$O$42&lt;&gt;"")*ISNUMBER(SEARCH(LISTAS!$O$3:$O$42,$I2464&amp;" "&amp;$K2464)))&gt;0,"CERCANA","NACIONAL"))</f>
        <v/>
      </c>
      <c r="O2464" s="39">
        <f>IF($B2464="","",IF(COUNTIFS(NOVEDADES!$C$4:$C$2003,$B2464)=0,"—","SÍ ("&amp;COUNTIFS(NOVEDADES!$C$4:$C$2003,$B2464)&amp;")"))</f>
        <v/>
      </c>
    </row>
    <row r="2465">
      <c r="A2465" s="41" t="n"/>
      <c r="B2465" s="41" t="n"/>
      <c r="C2465" s="41" t="n"/>
      <c r="D2465" s="41" t="n"/>
      <c r="E2465" s="46" t="n"/>
      <c r="F2465" s="41" t="n"/>
      <c r="G2465" s="41" t="n"/>
      <c r="H2465" s="41" t="n"/>
      <c r="I2465" s="41" t="n"/>
      <c r="J2465" s="47" t="n"/>
      <c r="K2465" s="41" t="n"/>
      <c r="L2465" s="48" t="n"/>
      <c r="M2465" s="45" t="n"/>
      <c r="N2465" s="39">
        <f>IF($B2465="","",IF(SUMPRODUCT((LISTAS!$O$3:$O$42&lt;&gt;"")*ISNUMBER(SEARCH(LISTAS!$O$3:$O$42,$I2465&amp;" "&amp;$K2465)))&gt;0,"CERCANA","NACIONAL"))</f>
        <v/>
      </c>
      <c r="O2465" s="39">
        <f>IF($B2465="","",IF(COUNTIFS(NOVEDADES!$C$4:$C$2003,$B2465)=0,"—","SÍ ("&amp;COUNTIFS(NOVEDADES!$C$4:$C$2003,$B2465)&amp;")"))</f>
        <v/>
      </c>
    </row>
    <row r="2466">
      <c r="A2466" s="41" t="n"/>
      <c r="B2466" s="41" t="n"/>
      <c r="C2466" s="41" t="n"/>
      <c r="D2466" s="41" t="n"/>
      <c r="E2466" s="46" t="n"/>
      <c r="F2466" s="41" t="n"/>
      <c r="G2466" s="41" t="n"/>
      <c r="H2466" s="41" t="n"/>
      <c r="I2466" s="41" t="n"/>
      <c r="J2466" s="47" t="n"/>
      <c r="K2466" s="41" t="n"/>
      <c r="L2466" s="48" t="n"/>
      <c r="M2466" s="45" t="n"/>
      <c r="N2466" s="39">
        <f>IF($B2466="","",IF(SUMPRODUCT((LISTAS!$O$3:$O$42&lt;&gt;"")*ISNUMBER(SEARCH(LISTAS!$O$3:$O$42,$I2466&amp;" "&amp;$K2466)))&gt;0,"CERCANA","NACIONAL"))</f>
        <v/>
      </c>
      <c r="O2466" s="39">
        <f>IF($B2466="","",IF(COUNTIFS(NOVEDADES!$C$4:$C$2003,$B2466)=0,"—","SÍ ("&amp;COUNTIFS(NOVEDADES!$C$4:$C$2003,$B2466)&amp;")"))</f>
        <v/>
      </c>
    </row>
    <row r="2467">
      <c r="A2467" s="41" t="n"/>
      <c r="B2467" s="41" t="n"/>
      <c r="C2467" s="41" t="n"/>
      <c r="D2467" s="41" t="n"/>
      <c r="E2467" s="46" t="n"/>
      <c r="F2467" s="41" t="n"/>
      <c r="G2467" s="41" t="n"/>
      <c r="H2467" s="41" t="n"/>
      <c r="I2467" s="41" t="n"/>
      <c r="J2467" s="47" t="n"/>
      <c r="K2467" s="41" t="n"/>
      <c r="L2467" s="48" t="n"/>
      <c r="M2467" s="45" t="n"/>
      <c r="N2467" s="39">
        <f>IF($B2467="","",IF(SUMPRODUCT((LISTAS!$O$3:$O$42&lt;&gt;"")*ISNUMBER(SEARCH(LISTAS!$O$3:$O$42,$I2467&amp;" "&amp;$K2467)))&gt;0,"CERCANA","NACIONAL"))</f>
        <v/>
      </c>
      <c r="O2467" s="39">
        <f>IF($B2467="","",IF(COUNTIFS(NOVEDADES!$C$4:$C$2003,$B2467)=0,"—","SÍ ("&amp;COUNTIFS(NOVEDADES!$C$4:$C$2003,$B2467)&amp;")"))</f>
        <v/>
      </c>
    </row>
    <row r="2468">
      <c r="A2468" s="41" t="n"/>
      <c r="B2468" s="41" t="n"/>
      <c r="C2468" s="41" t="n"/>
      <c r="D2468" s="41" t="n"/>
      <c r="E2468" s="46" t="n"/>
      <c r="F2468" s="41" t="n"/>
      <c r="G2468" s="41" t="n"/>
      <c r="H2468" s="41" t="n"/>
      <c r="I2468" s="41" t="n"/>
      <c r="J2468" s="47" t="n"/>
      <c r="K2468" s="41" t="n"/>
      <c r="L2468" s="48" t="n"/>
      <c r="M2468" s="45" t="n"/>
      <c r="N2468" s="39">
        <f>IF($B2468="","",IF(SUMPRODUCT((LISTAS!$O$3:$O$42&lt;&gt;"")*ISNUMBER(SEARCH(LISTAS!$O$3:$O$42,$I2468&amp;" "&amp;$K2468)))&gt;0,"CERCANA","NACIONAL"))</f>
        <v/>
      </c>
      <c r="O2468" s="39">
        <f>IF($B2468="","",IF(COUNTIFS(NOVEDADES!$C$4:$C$2003,$B2468)=0,"—","SÍ ("&amp;COUNTIFS(NOVEDADES!$C$4:$C$2003,$B2468)&amp;")"))</f>
        <v/>
      </c>
    </row>
    <row r="2469">
      <c r="A2469" s="41" t="n"/>
      <c r="B2469" s="41" t="n"/>
      <c r="C2469" s="41" t="n"/>
      <c r="D2469" s="41" t="n"/>
      <c r="E2469" s="46" t="n"/>
      <c r="F2469" s="41" t="n"/>
      <c r="G2469" s="41" t="n"/>
      <c r="H2469" s="41" t="n"/>
      <c r="I2469" s="41" t="n"/>
      <c r="J2469" s="47" t="n"/>
      <c r="K2469" s="41" t="n"/>
      <c r="L2469" s="48" t="n"/>
      <c r="M2469" s="45" t="n"/>
      <c r="N2469" s="39">
        <f>IF($B2469="","",IF(SUMPRODUCT((LISTAS!$O$3:$O$42&lt;&gt;"")*ISNUMBER(SEARCH(LISTAS!$O$3:$O$42,$I2469&amp;" "&amp;$K2469)))&gt;0,"CERCANA","NACIONAL"))</f>
        <v/>
      </c>
      <c r="O2469" s="39">
        <f>IF($B2469="","",IF(COUNTIFS(NOVEDADES!$C$4:$C$2003,$B2469)=0,"—","SÍ ("&amp;COUNTIFS(NOVEDADES!$C$4:$C$2003,$B2469)&amp;")"))</f>
        <v/>
      </c>
    </row>
    <row r="2470">
      <c r="A2470" s="41" t="n"/>
      <c r="B2470" s="41" t="n"/>
      <c r="C2470" s="41" t="n"/>
      <c r="D2470" s="41" t="n"/>
      <c r="E2470" s="46" t="n"/>
      <c r="F2470" s="41" t="n"/>
      <c r="G2470" s="41" t="n"/>
      <c r="H2470" s="41" t="n"/>
      <c r="I2470" s="41" t="n"/>
      <c r="J2470" s="47" t="n"/>
      <c r="K2470" s="41" t="n"/>
      <c r="L2470" s="48" t="n"/>
      <c r="M2470" s="45" t="n"/>
      <c r="N2470" s="39">
        <f>IF($B2470="","",IF(SUMPRODUCT((LISTAS!$O$3:$O$42&lt;&gt;"")*ISNUMBER(SEARCH(LISTAS!$O$3:$O$42,$I2470&amp;" "&amp;$K2470)))&gt;0,"CERCANA","NACIONAL"))</f>
        <v/>
      </c>
      <c r="O2470" s="39">
        <f>IF($B2470="","",IF(COUNTIFS(NOVEDADES!$C$4:$C$2003,$B2470)=0,"—","SÍ ("&amp;COUNTIFS(NOVEDADES!$C$4:$C$2003,$B2470)&amp;")"))</f>
        <v/>
      </c>
    </row>
    <row r="2471">
      <c r="A2471" s="41" t="n"/>
      <c r="B2471" s="41" t="n"/>
      <c r="C2471" s="41" t="n"/>
      <c r="D2471" s="41" t="n"/>
      <c r="E2471" s="46" t="n"/>
      <c r="F2471" s="41" t="n"/>
      <c r="G2471" s="41" t="n"/>
      <c r="H2471" s="41" t="n"/>
      <c r="I2471" s="41" t="n"/>
      <c r="J2471" s="47" t="n"/>
      <c r="K2471" s="41" t="n"/>
      <c r="L2471" s="48" t="n"/>
      <c r="M2471" s="45" t="n"/>
      <c r="N2471" s="39">
        <f>IF($B2471="","",IF(SUMPRODUCT((LISTAS!$O$3:$O$42&lt;&gt;"")*ISNUMBER(SEARCH(LISTAS!$O$3:$O$42,$I2471&amp;" "&amp;$K2471)))&gt;0,"CERCANA","NACIONAL"))</f>
        <v/>
      </c>
      <c r="O2471" s="39">
        <f>IF($B2471="","",IF(COUNTIFS(NOVEDADES!$C$4:$C$2003,$B2471)=0,"—","SÍ ("&amp;COUNTIFS(NOVEDADES!$C$4:$C$2003,$B2471)&amp;")"))</f>
        <v/>
      </c>
    </row>
    <row r="2472">
      <c r="A2472" s="41" t="n"/>
      <c r="B2472" s="41" t="n"/>
      <c r="C2472" s="41" t="n"/>
      <c r="D2472" s="41" t="n"/>
      <c r="E2472" s="46" t="n"/>
      <c r="F2472" s="41" t="n"/>
      <c r="G2472" s="41" t="n"/>
      <c r="H2472" s="41" t="n"/>
      <c r="I2472" s="41" t="n"/>
      <c r="J2472" s="47" t="n"/>
      <c r="K2472" s="41" t="n"/>
      <c r="L2472" s="48" t="n"/>
      <c r="M2472" s="45" t="n"/>
      <c r="N2472" s="39">
        <f>IF($B2472="","",IF(SUMPRODUCT((LISTAS!$O$3:$O$42&lt;&gt;"")*ISNUMBER(SEARCH(LISTAS!$O$3:$O$42,$I2472&amp;" "&amp;$K2472)))&gt;0,"CERCANA","NACIONAL"))</f>
        <v/>
      </c>
      <c r="O2472" s="39">
        <f>IF($B2472="","",IF(COUNTIFS(NOVEDADES!$C$4:$C$2003,$B2472)=0,"—","SÍ ("&amp;COUNTIFS(NOVEDADES!$C$4:$C$2003,$B2472)&amp;")"))</f>
        <v/>
      </c>
    </row>
    <row r="2473">
      <c r="A2473" s="41" t="n"/>
      <c r="B2473" s="41" t="n"/>
      <c r="C2473" s="41" t="n"/>
      <c r="D2473" s="41" t="n"/>
      <c r="E2473" s="46" t="n"/>
      <c r="F2473" s="41" t="n"/>
      <c r="G2473" s="41" t="n"/>
      <c r="H2473" s="41" t="n"/>
      <c r="I2473" s="41" t="n"/>
      <c r="J2473" s="47" t="n"/>
      <c r="K2473" s="41" t="n"/>
      <c r="L2473" s="48" t="n"/>
      <c r="M2473" s="45" t="n"/>
      <c r="N2473" s="39">
        <f>IF($B2473="","",IF(SUMPRODUCT((LISTAS!$O$3:$O$42&lt;&gt;"")*ISNUMBER(SEARCH(LISTAS!$O$3:$O$42,$I2473&amp;" "&amp;$K2473)))&gt;0,"CERCANA","NACIONAL"))</f>
        <v/>
      </c>
      <c r="O2473" s="39">
        <f>IF($B2473="","",IF(COUNTIFS(NOVEDADES!$C$4:$C$2003,$B2473)=0,"—","SÍ ("&amp;COUNTIFS(NOVEDADES!$C$4:$C$2003,$B2473)&amp;")"))</f>
        <v/>
      </c>
    </row>
    <row r="2474">
      <c r="A2474" s="41" t="n"/>
      <c r="B2474" s="41" t="n"/>
      <c r="C2474" s="41" t="n"/>
      <c r="D2474" s="41" t="n"/>
      <c r="E2474" s="46" t="n"/>
      <c r="F2474" s="41" t="n"/>
      <c r="G2474" s="41" t="n"/>
      <c r="H2474" s="41" t="n"/>
      <c r="I2474" s="41" t="n"/>
      <c r="J2474" s="47" t="n"/>
      <c r="K2474" s="41" t="n"/>
      <c r="L2474" s="48" t="n"/>
      <c r="M2474" s="45" t="n"/>
      <c r="N2474" s="39">
        <f>IF($B2474="","",IF(SUMPRODUCT((LISTAS!$O$3:$O$42&lt;&gt;"")*ISNUMBER(SEARCH(LISTAS!$O$3:$O$42,$I2474&amp;" "&amp;$K2474)))&gt;0,"CERCANA","NACIONAL"))</f>
        <v/>
      </c>
      <c r="O2474" s="39">
        <f>IF($B2474="","",IF(COUNTIFS(NOVEDADES!$C$4:$C$2003,$B2474)=0,"—","SÍ ("&amp;COUNTIFS(NOVEDADES!$C$4:$C$2003,$B2474)&amp;")"))</f>
        <v/>
      </c>
    </row>
    <row r="2475">
      <c r="A2475" s="41" t="n"/>
      <c r="B2475" s="41" t="n"/>
      <c r="C2475" s="41" t="n"/>
      <c r="D2475" s="41" t="n"/>
      <c r="E2475" s="46" t="n"/>
      <c r="F2475" s="41" t="n"/>
      <c r="G2475" s="41" t="n"/>
      <c r="H2475" s="41" t="n"/>
      <c r="I2475" s="41" t="n"/>
      <c r="J2475" s="47" t="n"/>
      <c r="K2475" s="41" t="n"/>
      <c r="L2475" s="48" t="n"/>
      <c r="M2475" s="45" t="n"/>
      <c r="N2475" s="39">
        <f>IF($B2475="","",IF(SUMPRODUCT((LISTAS!$O$3:$O$42&lt;&gt;"")*ISNUMBER(SEARCH(LISTAS!$O$3:$O$42,$I2475&amp;" "&amp;$K2475)))&gt;0,"CERCANA","NACIONAL"))</f>
        <v/>
      </c>
      <c r="O2475" s="39">
        <f>IF($B2475="","",IF(COUNTIFS(NOVEDADES!$C$4:$C$2003,$B2475)=0,"—","SÍ ("&amp;COUNTIFS(NOVEDADES!$C$4:$C$2003,$B2475)&amp;")"))</f>
        <v/>
      </c>
    </row>
    <row r="2476">
      <c r="A2476" s="41" t="n"/>
      <c r="B2476" s="41" t="n"/>
      <c r="C2476" s="41" t="n"/>
      <c r="D2476" s="41" t="n"/>
      <c r="E2476" s="46" t="n"/>
      <c r="F2476" s="41" t="n"/>
      <c r="G2476" s="41" t="n"/>
      <c r="H2476" s="41" t="n"/>
      <c r="I2476" s="41" t="n"/>
      <c r="J2476" s="47" t="n"/>
      <c r="K2476" s="41" t="n"/>
      <c r="L2476" s="48" t="n"/>
      <c r="M2476" s="45" t="n"/>
      <c r="N2476" s="39">
        <f>IF($B2476="","",IF(SUMPRODUCT((LISTAS!$O$3:$O$42&lt;&gt;"")*ISNUMBER(SEARCH(LISTAS!$O$3:$O$42,$I2476&amp;" "&amp;$K2476)))&gt;0,"CERCANA","NACIONAL"))</f>
        <v/>
      </c>
      <c r="O2476" s="39">
        <f>IF($B2476="","",IF(COUNTIFS(NOVEDADES!$C$4:$C$2003,$B2476)=0,"—","SÍ ("&amp;COUNTIFS(NOVEDADES!$C$4:$C$2003,$B2476)&amp;")"))</f>
        <v/>
      </c>
    </row>
    <row r="2477">
      <c r="A2477" s="41" t="n"/>
      <c r="B2477" s="41" t="n"/>
      <c r="C2477" s="41" t="n"/>
      <c r="D2477" s="41" t="n"/>
      <c r="E2477" s="46" t="n"/>
      <c r="F2477" s="41" t="n"/>
      <c r="G2477" s="41" t="n"/>
      <c r="H2477" s="41" t="n"/>
      <c r="I2477" s="41" t="n"/>
      <c r="J2477" s="47" t="n"/>
      <c r="K2477" s="41" t="n"/>
      <c r="L2477" s="48" t="n"/>
      <c r="M2477" s="45" t="n"/>
      <c r="N2477" s="39">
        <f>IF($B2477="","",IF(SUMPRODUCT((LISTAS!$O$3:$O$42&lt;&gt;"")*ISNUMBER(SEARCH(LISTAS!$O$3:$O$42,$I2477&amp;" "&amp;$K2477)))&gt;0,"CERCANA","NACIONAL"))</f>
        <v/>
      </c>
      <c r="O2477" s="39">
        <f>IF($B2477="","",IF(COUNTIFS(NOVEDADES!$C$4:$C$2003,$B2477)=0,"—","SÍ ("&amp;COUNTIFS(NOVEDADES!$C$4:$C$2003,$B2477)&amp;")"))</f>
        <v/>
      </c>
    </row>
    <row r="2478">
      <c r="A2478" s="41" t="n"/>
      <c r="B2478" s="41" t="n"/>
      <c r="C2478" s="41" t="n"/>
      <c r="D2478" s="41" t="n"/>
      <c r="E2478" s="46" t="n"/>
      <c r="F2478" s="41" t="n"/>
      <c r="G2478" s="41" t="n"/>
      <c r="H2478" s="41" t="n"/>
      <c r="I2478" s="41" t="n"/>
      <c r="J2478" s="47" t="n"/>
      <c r="K2478" s="41" t="n"/>
      <c r="L2478" s="48" t="n"/>
      <c r="M2478" s="45" t="n"/>
      <c r="N2478" s="39">
        <f>IF($B2478="","",IF(SUMPRODUCT((LISTAS!$O$3:$O$42&lt;&gt;"")*ISNUMBER(SEARCH(LISTAS!$O$3:$O$42,$I2478&amp;" "&amp;$K2478)))&gt;0,"CERCANA","NACIONAL"))</f>
        <v/>
      </c>
      <c r="O2478" s="39">
        <f>IF($B2478="","",IF(COUNTIFS(NOVEDADES!$C$4:$C$2003,$B2478)=0,"—","SÍ ("&amp;COUNTIFS(NOVEDADES!$C$4:$C$2003,$B2478)&amp;")"))</f>
        <v/>
      </c>
    </row>
    <row r="2479">
      <c r="A2479" s="41" t="n"/>
      <c r="B2479" s="41" t="n"/>
      <c r="C2479" s="41" t="n"/>
      <c r="D2479" s="41" t="n"/>
      <c r="E2479" s="46" t="n"/>
      <c r="F2479" s="41" t="n"/>
      <c r="G2479" s="41" t="n"/>
      <c r="H2479" s="41" t="n"/>
      <c r="I2479" s="41" t="n"/>
      <c r="J2479" s="47" t="n"/>
      <c r="K2479" s="41" t="n"/>
      <c r="L2479" s="48" t="n"/>
      <c r="M2479" s="45" t="n"/>
      <c r="N2479" s="39">
        <f>IF($B2479="","",IF(SUMPRODUCT((LISTAS!$O$3:$O$42&lt;&gt;"")*ISNUMBER(SEARCH(LISTAS!$O$3:$O$42,$I2479&amp;" "&amp;$K2479)))&gt;0,"CERCANA","NACIONAL"))</f>
        <v/>
      </c>
      <c r="O2479" s="39">
        <f>IF($B2479="","",IF(COUNTIFS(NOVEDADES!$C$4:$C$2003,$B2479)=0,"—","SÍ ("&amp;COUNTIFS(NOVEDADES!$C$4:$C$2003,$B2479)&amp;")"))</f>
        <v/>
      </c>
    </row>
    <row r="2480">
      <c r="A2480" s="41" t="n"/>
      <c r="B2480" s="41" t="n"/>
      <c r="C2480" s="41" t="n"/>
      <c r="D2480" s="41" t="n"/>
      <c r="E2480" s="46" t="n"/>
      <c r="F2480" s="41" t="n"/>
      <c r="G2480" s="41" t="n"/>
      <c r="H2480" s="41" t="n"/>
      <c r="I2480" s="41" t="n"/>
      <c r="J2480" s="47" t="n"/>
      <c r="K2480" s="41" t="n"/>
      <c r="L2480" s="48" t="n"/>
      <c r="M2480" s="45" t="n"/>
      <c r="N2480" s="39">
        <f>IF($B2480="","",IF(SUMPRODUCT((LISTAS!$O$3:$O$42&lt;&gt;"")*ISNUMBER(SEARCH(LISTAS!$O$3:$O$42,$I2480&amp;" "&amp;$K2480)))&gt;0,"CERCANA","NACIONAL"))</f>
        <v/>
      </c>
      <c r="O2480" s="39">
        <f>IF($B2480="","",IF(COUNTIFS(NOVEDADES!$C$4:$C$2003,$B2480)=0,"—","SÍ ("&amp;COUNTIFS(NOVEDADES!$C$4:$C$2003,$B2480)&amp;")"))</f>
        <v/>
      </c>
    </row>
    <row r="2481">
      <c r="A2481" s="41" t="n"/>
      <c r="B2481" s="41" t="n"/>
      <c r="C2481" s="41" t="n"/>
      <c r="D2481" s="41" t="n"/>
      <c r="E2481" s="46" t="n"/>
      <c r="F2481" s="41" t="n"/>
      <c r="G2481" s="41" t="n"/>
      <c r="H2481" s="41" t="n"/>
      <c r="I2481" s="41" t="n"/>
      <c r="J2481" s="47" t="n"/>
      <c r="K2481" s="41" t="n"/>
      <c r="L2481" s="48" t="n"/>
      <c r="M2481" s="45" t="n"/>
      <c r="N2481" s="39">
        <f>IF($B2481="","",IF(SUMPRODUCT((LISTAS!$O$3:$O$42&lt;&gt;"")*ISNUMBER(SEARCH(LISTAS!$O$3:$O$42,$I2481&amp;" "&amp;$K2481)))&gt;0,"CERCANA","NACIONAL"))</f>
        <v/>
      </c>
      <c r="O2481" s="39">
        <f>IF($B2481="","",IF(COUNTIFS(NOVEDADES!$C$4:$C$2003,$B2481)=0,"—","SÍ ("&amp;COUNTIFS(NOVEDADES!$C$4:$C$2003,$B2481)&amp;")"))</f>
        <v/>
      </c>
    </row>
    <row r="2482">
      <c r="A2482" s="41" t="n"/>
      <c r="B2482" s="41" t="n"/>
      <c r="C2482" s="41" t="n"/>
      <c r="D2482" s="41" t="n"/>
      <c r="E2482" s="46" t="n"/>
      <c r="F2482" s="41" t="n"/>
      <c r="G2482" s="41" t="n"/>
      <c r="H2482" s="41" t="n"/>
      <c r="I2482" s="41" t="n"/>
      <c r="J2482" s="47" t="n"/>
      <c r="K2482" s="41" t="n"/>
      <c r="L2482" s="48" t="n"/>
      <c r="M2482" s="45" t="n"/>
      <c r="N2482" s="39">
        <f>IF($B2482="","",IF(SUMPRODUCT((LISTAS!$O$3:$O$42&lt;&gt;"")*ISNUMBER(SEARCH(LISTAS!$O$3:$O$42,$I2482&amp;" "&amp;$K2482)))&gt;0,"CERCANA","NACIONAL"))</f>
        <v/>
      </c>
      <c r="O2482" s="39">
        <f>IF($B2482="","",IF(COUNTIFS(NOVEDADES!$C$4:$C$2003,$B2482)=0,"—","SÍ ("&amp;COUNTIFS(NOVEDADES!$C$4:$C$2003,$B2482)&amp;")"))</f>
        <v/>
      </c>
    </row>
    <row r="2483">
      <c r="A2483" s="41" t="n"/>
      <c r="B2483" s="41" t="n"/>
      <c r="C2483" s="41" t="n"/>
      <c r="D2483" s="41" t="n"/>
      <c r="E2483" s="46" t="n"/>
      <c r="F2483" s="41" t="n"/>
      <c r="G2483" s="41" t="n"/>
      <c r="H2483" s="41" t="n"/>
      <c r="I2483" s="41" t="n"/>
      <c r="J2483" s="47" t="n"/>
      <c r="K2483" s="41" t="n"/>
      <c r="L2483" s="48" t="n"/>
      <c r="M2483" s="45" t="n"/>
      <c r="N2483" s="39">
        <f>IF($B2483="","",IF(SUMPRODUCT((LISTAS!$O$3:$O$42&lt;&gt;"")*ISNUMBER(SEARCH(LISTAS!$O$3:$O$42,$I2483&amp;" "&amp;$K2483)))&gt;0,"CERCANA","NACIONAL"))</f>
        <v/>
      </c>
      <c r="O2483" s="39">
        <f>IF($B2483="","",IF(COUNTIFS(NOVEDADES!$C$4:$C$2003,$B2483)=0,"—","SÍ ("&amp;COUNTIFS(NOVEDADES!$C$4:$C$2003,$B2483)&amp;")"))</f>
        <v/>
      </c>
    </row>
    <row r="2484">
      <c r="A2484" s="41" t="n"/>
      <c r="B2484" s="41" t="n"/>
      <c r="C2484" s="41" t="n"/>
      <c r="D2484" s="41" t="n"/>
      <c r="E2484" s="46" t="n"/>
      <c r="F2484" s="41" t="n"/>
      <c r="G2484" s="41" t="n"/>
      <c r="H2484" s="41" t="n"/>
      <c r="I2484" s="41" t="n"/>
      <c r="J2484" s="47" t="n"/>
      <c r="K2484" s="41" t="n"/>
      <c r="L2484" s="48" t="n"/>
      <c r="M2484" s="45" t="n"/>
      <c r="N2484" s="39">
        <f>IF($B2484="","",IF(SUMPRODUCT((LISTAS!$O$3:$O$42&lt;&gt;"")*ISNUMBER(SEARCH(LISTAS!$O$3:$O$42,$I2484&amp;" "&amp;$K2484)))&gt;0,"CERCANA","NACIONAL"))</f>
        <v/>
      </c>
      <c r="O2484" s="39">
        <f>IF($B2484="","",IF(COUNTIFS(NOVEDADES!$C$4:$C$2003,$B2484)=0,"—","SÍ ("&amp;COUNTIFS(NOVEDADES!$C$4:$C$2003,$B2484)&amp;")"))</f>
        <v/>
      </c>
    </row>
    <row r="2485">
      <c r="A2485" s="41" t="n"/>
      <c r="B2485" s="41" t="n"/>
      <c r="C2485" s="41" t="n"/>
      <c r="D2485" s="41" t="n"/>
      <c r="E2485" s="46" t="n"/>
      <c r="F2485" s="41" t="n"/>
      <c r="G2485" s="41" t="n"/>
      <c r="H2485" s="41" t="n"/>
      <c r="I2485" s="41" t="n"/>
      <c r="J2485" s="47" t="n"/>
      <c r="K2485" s="41" t="n"/>
      <c r="L2485" s="48" t="n"/>
      <c r="M2485" s="45" t="n"/>
      <c r="N2485" s="39">
        <f>IF($B2485="","",IF(SUMPRODUCT((LISTAS!$O$3:$O$42&lt;&gt;"")*ISNUMBER(SEARCH(LISTAS!$O$3:$O$42,$I2485&amp;" "&amp;$K2485)))&gt;0,"CERCANA","NACIONAL"))</f>
        <v/>
      </c>
      <c r="O2485" s="39">
        <f>IF($B2485="","",IF(COUNTIFS(NOVEDADES!$C$4:$C$2003,$B2485)=0,"—","SÍ ("&amp;COUNTIFS(NOVEDADES!$C$4:$C$2003,$B2485)&amp;")"))</f>
        <v/>
      </c>
    </row>
    <row r="2486">
      <c r="A2486" s="41" t="n"/>
      <c r="B2486" s="41" t="n"/>
      <c r="C2486" s="41" t="n"/>
      <c r="D2486" s="41" t="n"/>
      <c r="E2486" s="46" t="n"/>
      <c r="F2486" s="41" t="n"/>
      <c r="G2486" s="41" t="n"/>
      <c r="H2486" s="41" t="n"/>
      <c r="I2486" s="41" t="n"/>
      <c r="J2486" s="47" t="n"/>
      <c r="K2486" s="41" t="n"/>
      <c r="L2486" s="48" t="n"/>
      <c r="M2486" s="45" t="n"/>
      <c r="N2486" s="39">
        <f>IF($B2486="","",IF(SUMPRODUCT((LISTAS!$O$3:$O$42&lt;&gt;"")*ISNUMBER(SEARCH(LISTAS!$O$3:$O$42,$I2486&amp;" "&amp;$K2486)))&gt;0,"CERCANA","NACIONAL"))</f>
        <v/>
      </c>
      <c r="O2486" s="39">
        <f>IF($B2486="","",IF(COUNTIFS(NOVEDADES!$C$4:$C$2003,$B2486)=0,"—","SÍ ("&amp;COUNTIFS(NOVEDADES!$C$4:$C$2003,$B2486)&amp;")"))</f>
        <v/>
      </c>
    </row>
    <row r="2487">
      <c r="A2487" s="41" t="n"/>
      <c r="B2487" s="41" t="n"/>
      <c r="C2487" s="41" t="n"/>
      <c r="D2487" s="41" t="n"/>
      <c r="E2487" s="46" t="n"/>
      <c r="F2487" s="41" t="n"/>
      <c r="G2487" s="41" t="n"/>
      <c r="H2487" s="41" t="n"/>
      <c r="I2487" s="41" t="n"/>
      <c r="J2487" s="47" t="n"/>
      <c r="K2487" s="41" t="n"/>
      <c r="L2487" s="48" t="n"/>
      <c r="M2487" s="45" t="n"/>
      <c r="N2487" s="39">
        <f>IF($B2487="","",IF(SUMPRODUCT((LISTAS!$O$3:$O$42&lt;&gt;"")*ISNUMBER(SEARCH(LISTAS!$O$3:$O$42,$I2487&amp;" "&amp;$K2487)))&gt;0,"CERCANA","NACIONAL"))</f>
        <v/>
      </c>
      <c r="O2487" s="39">
        <f>IF($B2487="","",IF(COUNTIFS(NOVEDADES!$C$4:$C$2003,$B2487)=0,"—","SÍ ("&amp;COUNTIFS(NOVEDADES!$C$4:$C$2003,$B2487)&amp;")"))</f>
        <v/>
      </c>
    </row>
    <row r="2488">
      <c r="A2488" s="41" t="n"/>
      <c r="B2488" s="41" t="n"/>
      <c r="C2488" s="41" t="n"/>
      <c r="D2488" s="41" t="n"/>
      <c r="E2488" s="46" t="n"/>
      <c r="F2488" s="41" t="n"/>
      <c r="G2488" s="41" t="n"/>
      <c r="H2488" s="41" t="n"/>
      <c r="I2488" s="41" t="n"/>
      <c r="J2488" s="47" t="n"/>
      <c r="K2488" s="41" t="n"/>
      <c r="L2488" s="48" t="n"/>
      <c r="M2488" s="45" t="n"/>
      <c r="N2488" s="39">
        <f>IF($B2488="","",IF(SUMPRODUCT((LISTAS!$O$3:$O$42&lt;&gt;"")*ISNUMBER(SEARCH(LISTAS!$O$3:$O$42,$I2488&amp;" "&amp;$K2488)))&gt;0,"CERCANA","NACIONAL"))</f>
        <v/>
      </c>
      <c r="O2488" s="39">
        <f>IF($B2488="","",IF(COUNTIFS(NOVEDADES!$C$4:$C$2003,$B2488)=0,"—","SÍ ("&amp;COUNTIFS(NOVEDADES!$C$4:$C$2003,$B2488)&amp;")"))</f>
        <v/>
      </c>
    </row>
    <row r="2489">
      <c r="A2489" s="41" t="n"/>
      <c r="B2489" s="41" t="n"/>
      <c r="C2489" s="41" t="n"/>
      <c r="D2489" s="41" t="n"/>
      <c r="E2489" s="46" t="n"/>
      <c r="F2489" s="41" t="n"/>
      <c r="G2489" s="41" t="n"/>
      <c r="H2489" s="41" t="n"/>
      <c r="I2489" s="41" t="n"/>
      <c r="J2489" s="47" t="n"/>
      <c r="K2489" s="41" t="n"/>
      <c r="L2489" s="48" t="n"/>
      <c r="M2489" s="45" t="n"/>
      <c r="N2489" s="39">
        <f>IF($B2489="","",IF(SUMPRODUCT((LISTAS!$O$3:$O$42&lt;&gt;"")*ISNUMBER(SEARCH(LISTAS!$O$3:$O$42,$I2489&amp;" "&amp;$K2489)))&gt;0,"CERCANA","NACIONAL"))</f>
        <v/>
      </c>
      <c r="O2489" s="39">
        <f>IF($B2489="","",IF(COUNTIFS(NOVEDADES!$C$4:$C$2003,$B2489)=0,"—","SÍ ("&amp;COUNTIFS(NOVEDADES!$C$4:$C$2003,$B2489)&amp;")"))</f>
        <v/>
      </c>
    </row>
    <row r="2490">
      <c r="A2490" s="41" t="n"/>
      <c r="B2490" s="41" t="n"/>
      <c r="C2490" s="41" t="n"/>
      <c r="D2490" s="41" t="n"/>
      <c r="E2490" s="46" t="n"/>
      <c r="F2490" s="41" t="n"/>
      <c r="G2490" s="41" t="n"/>
      <c r="H2490" s="41" t="n"/>
      <c r="I2490" s="41" t="n"/>
      <c r="J2490" s="47" t="n"/>
      <c r="K2490" s="41" t="n"/>
      <c r="L2490" s="48" t="n"/>
      <c r="M2490" s="45" t="n"/>
      <c r="N2490" s="39">
        <f>IF($B2490="","",IF(SUMPRODUCT((LISTAS!$O$3:$O$42&lt;&gt;"")*ISNUMBER(SEARCH(LISTAS!$O$3:$O$42,$I2490&amp;" "&amp;$K2490)))&gt;0,"CERCANA","NACIONAL"))</f>
        <v/>
      </c>
      <c r="O2490" s="39">
        <f>IF($B2490="","",IF(COUNTIFS(NOVEDADES!$C$4:$C$2003,$B2490)=0,"—","SÍ ("&amp;COUNTIFS(NOVEDADES!$C$4:$C$2003,$B2490)&amp;")"))</f>
        <v/>
      </c>
    </row>
    <row r="2491">
      <c r="A2491" s="41" t="n"/>
      <c r="B2491" s="41" t="n"/>
      <c r="C2491" s="41" t="n"/>
      <c r="D2491" s="41" t="n"/>
      <c r="E2491" s="46" t="n"/>
      <c r="F2491" s="41" t="n"/>
      <c r="G2491" s="41" t="n"/>
      <c r="H2491" s="41" t="n"/>
      <c r="I2491" s="41" t="n"/>
      <c r="J2491" s="47" t="n"/>
      <c r="K2491" s="41" t="n"/>
      <c r="L2491" s="48" t="n"/>
      <c r="M2491" s="45" t="n"/>
      <c r="N2491" s="39">
        <f>IF($B2491="","",IF(SUMPRODUCT((LISTAS!$O$3:$O$42&lt;&gt;"")*ISNUMBER(SEARCH(LISTAS!$O$3:$O$42,$I2491&amp;" "&amp;$K2491)))&gt;0,"CERCANA","NACIONAL"))</f>
        <v/>
      </c>
      <c r="O2491" s="39">
        <f>IF($B2491="","",IF(COUNTIFS(NOVEDADES!$C$4:$C$2003,$B2491)=0,"—","SÍ ("&amp;COUNTIFS(NOVEDADES!$C$4:$C$2003,$B2491)&amp;")"))</f>
        <v/>
      </c>
    </row>
    <row r="2492">
      <c r="A2492" s="41" t="n"/>
      <c r="B2492" s="41" t="n"/>
      <c r="C2492" s="41" t="n"/>
      <c r="D2492" s="41" t="n"/>
      <c r="E2492" s="46" t="n"/>
      <c r="F2492" s="41" t="n"/>
      <c r="G2492" s="41" t="n"/>
      <c r="H2492" s="41" t="n"/>
      <c r="I2492" s="41" t="n"/>
      <c r="J2492" s="47" t="n"/>
      <c r="K2492" s="41" t="n"/>
      <c r="L2492" s="48" t="n"/>
      <c r="M2492" s="45" t="n"/>
      <c r="N2492" s="39">
        <f>IF($B2492="","",IF(SUMPRODUCT((LISTAS!$O$3:$O$42&lt;&gt;"")*ISNUMBER(SEARCH(LISTAS!$O$3:$O$42,$I2492&amp;" "&amp;$K2492)))&gt;0,"CERCANA","NACIONAL"))</f>
        <v/>
      </c>
      <c r="O2492" s="39">
        <f>IF($B2492="","",IF(COUNTIFS(NOVEDADES!$C$4:$C$2003,$B2492)=0,"—","SÍ ("&amp;COUNTIFS(NOVEDADES!$C$4:$C$2003,$B2492)&amp;")"))</f>
        <v/>
      </c>
    </row>
    <row r="2493">
      <c r="A2493" s="41" t="n"/>
      <c r="B2493" s="41" t="n"/>
      <c r="C2493" s="41" t="n"/>
      <c r="D2493" s="41" t="n"/>
      <c r="E2493" s="46" t="n"/>
      <c r="F2493" s="41" t="n"/>
      <c r="G2493" s="41" t="n"/>
      <c r="H2493" s="41" t="n"/>
      <c r="I2493" s="41" t="n"/>
      <c r="J2493" s="47" t="n"/>
      <c r="K2493" s="41" t="n"/>
      <c r="L2493" s="48" t="n"/>
      <c r="M2493" s="45" t="n"/>
      <c r="N2493" s="39">
        <f>IF($B2493="","",IF(SUMPRODUCT((LISTAS!$O$3:$O$42&lt;&gt;"")*ISNUMBER(SEARCH(LISTAS!$O$3:$O$42,$I2493&amp;" "&amp;$K2493)))&gt;0,"CERCANA","NACIONAL"))</f>
        <v/>
      </c>
      <c r="O2493" s="39">
        <f>IF($B2493="","",IF(COUNTIFS(NOVEDADES!$C$4:$C$2003,$B2493)=0,"—","SÍ ("&amp;COUNTIFS(NOVEDADES!$C$4:$C$2003,$B2493)&amp;")"))</f>
        <v/>
      </c>
    </row>
    <row r="2494">
      <c r="A2494" s="41" t="n"/>
      <c r="B2494" s="41" t="n"/>
      <c r="C2494" s="41" t="n"/>
      <c r="D2494" s="41" t="n"/>
      <c r="E2494" s="46" t="n"/>
      <c r="F2494" s="41" t="n"/>
      <c r="G2494" s="41" t="n"/>
      <c r="H2494" s="41" t="n"/>
      <c r="I2494" s="41" t="n"/>
      <c r="J2494" s="47" t="n"/>
      <c r="K2494" s="41" t="n"/>
      <c r="L2494" s="48" t="n"/>
      <c r="M2494" s="45" t="n"/>
      <c r="N2494" s="39">
        <f>IF($B2494="","",IF(SUMPRODUCT((LISTAS!$O$3:$O$42&lt;&gt;"")*ISNUMBER(SEARCH(LISTAS!$O$3:$O$42,$I2494&amp;" "&amp;$K2494)))&gt;0,"CERCANA","NACIONAL"))</f>
        <v/>
      </c>
      <c r="O2494" s="39">
        <f>IF($B2494="","",IF(COUNTIFS(NOVEDADES!$C$4:$C$2003,$B2494)=0,"—","SÍ ("&amp;COUNTIFS(NOVEDADES!$C$4:$C$2003,$B2494)&amp;")"))</f>
        <v/>
      </c>
    </row>
    <row r="2495">
      <c r="A2495" s="41" t="n"/>
      <c r="B2495" s="41" t="n"/>
      <c r="C2495" s="41" t="n"/>
      <c r="D2495" s="41" t="n"/>
      <c r="E2495" s="46" t="n"/>
      <c r="F2495" s="41" t="n"/>
      <c r="G2495" s="41" t="n"/>
      <c r="H2495" s="41" t="n"/>
      <c r="I2495" s="41" t="n"/>
      <c r="J2495" s="47" t="n"/>
      <c r="K2495" s="41" t="n"/>
      <c r="L2495" s="48" t="n"/>
      <c r="M2495" s="45" t="n"/>
      <c r="N2495" s="39">
        <f>IF($B2495="","",IF(SUMPRODUCT((LISTAS!$O$3:$O$42&lt;&gt;"")*ISNUMBER(SEARCH(LISTAS!$O$3:$O$42,$I2495&amp;" "&amp;$K2495)))&gt;0,"CERCANA","NACIONAL"))</f>
        <v/>
      </c>
      <c r="O2495" s="39">
        <f>IF($B2495="","",IF(COUNTIFS(NOVEDADES!$C$4:$C$2003,$B2495)=0,"—","SÍ ("&amp;COUNTIFS(NOVEDADES!$C$4:$C$2003,$B2495)&amp;")"))</f>
        <v/>
      </c>
    </row>
    <row r="2496">
      <c r="A2496" s="41" t="n"/>
      <c r="B2496" s="41" t="n"/>
      <c r="C2496" s="41" t="n"/>
      <c r="D2496" s="41" t="n"/>
      <c r="E2496" s="46" t="n"/>
      <c r="F2496" s="41" t="n"/>
      <c r="G2496" s="41" t="n"/>
      <c r="H2496" s="41" t="n"/>
      <c r="I2496" s="41" t="n"/>
      <c r="J2496" s="47" t="n"/>
      <c r="K2496" s="41" t="n"/>
      <c r="L2496" s="48" t="n"/>
      <c r="M2496" s="45" t="n"/>
      <c r="N2496" s="39">
        <f>IF($B2496="","",IF(SUMPRODUCT((LISTAS!$O$3:$O$42&lt;&gt;"")*ISNUMBER(SEARCH(LISTAS!$O$3:$O$42,$I2496&amp;" "&amp;$K2496)))&gt;0,"CERCANA","NACIONAL"))</f>
        <v/>
      </c>
      <c r="O2496" s="39">
        <f>IF($B2496="","",IF(COUNTIFS(NOVEDADES!$C$4:$C$2003,$B2496)=0,"—","SÍ ("&amp;COUNTIFS(NOVEDADES!$C$4:$C$2003,$B2496)&amp;")"))</f>
        <v/>
      </c>
    </row>
    <row r="2497">
      <c r="A2497" s="41" t="n"/>
      <c r="B2497" s="41" t="n"/>
      <c r="C2497" s="41" t="n"/>
      <c r="D2497" s="41" t="n"/>
      <c r="E2497" s="46" t="n"/>
      <c r="F2497" s="41" t="n"/>
      <c r="G2497" s="41" t="n"/>
      <c r="H2497" s="41" t="n"/>
      <c r="I2497" s="41" t="n"/>
      <c r="J2497" s="47" t="n"/>
      <c r="K2497" s="41" t="n"/>
      <c r="L2497" s="48" t="n"/>
      <c r="M2497" s="45" t="n"/>
      <c r="N2497" s="39">
        <f>IF($B2497="","",IF(SUMPRODUCT((LISTAS!$O$3:$O$42&lt;&gt;"")*ISNUMBER(SEARCH(LISTAS!$O$3:$O$42,$I2497&amp;" "&amp;$K2497)))&gt;0,"CERCANA","NACIONAL"))</f>
        <v/>
      </c>
      <c r="O2497" s="39">
        <f>IF($B2497="","",IF(COUNTIFS(NOVEDADES!$C$4:$C$2003,$B2497)=0,"—","SÍ ("&amp;COUNTIFS(NOVEDADES!$C$4:$C$2003,$B2497)&amp;")"))</f>
        <v/>
      </c>
    </row>
    <row r="2498">
      <c r="A2498" s="41" t="n"/>
      <c r="B2498" s="41" t="n"/>
      <c r="C2498" s="41" t="n"/>
      <c r="D2498" s="41" t="n"/>
      <c r="E2498" s="46" t="n"/>
      <c r="F2498" s="41" t="n"/>
      <c r="G2498" s="41" t="n"/>
      <c r="H2498" s="41" t="n"/>
      <c r="I2498" s="41" t="n"/>
      <c r="J2498" s="47" t="n"/>
      <c r="K2498" s="41" t="n"/>
      <c r="L2498" s="48" t="n"/>
      <c r="M2498" s="45" t="n"/>
      <c r="N2498" s="39">
        <f>IF($B2498="","",IF(SUMPRODUCT((LISTAS!$O$3:$O$42&lt;&gt;"")*ISNUMBER(SEARCH(LISTAS!$O$3:$O$42,$I2498&amp;" "&amp;$K2498)))&gt;0,"CERCANA","NACIONAL"))</f>
        <v/>
      </c>
      <c r="O2498" s="39">
        <f>IF($B2498="","",IF(COUNTIFS(NOVEDADES!$C$4:$C$2003,$B2498)=0,"—","SÍ ("&amp;COUNTIFS(NOVEDADES!$C$4:$C$2003,$B2498)&amp;")"))</f>
        <v/>
      </c>
    </row>
    <row r="2499">
      <c r="A2499" s="41" t="n"/>
      <c r="B2499" s="41" t="n"/>
      <c r="C2499" s="41" t="n"/>
      <c r="D2499" s="41" t="n"/>
      <c r="E2499" s="46" t="n"/>
      <c r="F2499" s="41" t="n"/>
      <c r="G2499" s="41" t="n"/>
      <c r="H2499" s="41" t="n"/>
      <c r="I2499" s="41" t="n"/>
      <c r="J2499" s="47" t="n"/>
      <c r="K2499" s="41" t="n"/>
      <c r="L2499" s="48" t="n"/>
      <c r="M2499" s="45" t="n"/>
      <c r="N2499" s="39">
        <f>IF($B2499="","",IF(SUMPRODUCT((LISTAS!$O$3:$O$42&lt;&gt;"")*ISNUMBER(SEARCH(LISTAS!$O$3:$O$42,$I2499&amp;" "&amp;$K2499)))&gt;0,"CERCANA","NACIONAL"))</f>
        <v/>
      </c>
      <c r="O2499" s="39">
        <f>IF($B2499="","",IF(COUNTIFS(NOVEDADES!$C$4:$C$2003,$B2499)=0,"—","SÍ ("&amp;COUNTIFS(NOVEDADES!$C$4:$C$2003,$B2499)&amp;")"))</f>
        <v/>
      </c>
    </row>
    <row r="2500">
      <c r="A2500" s="41" t="n"/>
      <c r="B2500" s="41" t="n"/>
      <c r="C2500" s="41" t="n"/>
      <c r="D2500" s="41" t="n"/>
      <c r="E2500" s="46" t="n"/>
      <c r="F2500" s="41" t="n"/>
      <c r="G2500" s="41" t="n"/>
      <c r="H2500" s="41" t="n"/>
      <c r="I2500" s="41" t="n"/>
      <c r="J2500" s="47" t="n"/>
      <c r="K2500" s="41" t="n"/>
      <c r="L2500" s="48" t="n"/>
      <c r="M2500" s="45" t="n"/>
      <c r="N2500" s="39">
        <f>IF($B2500="","",IF(SUMPRODUCT((LISTAS!$O$3:$O$42&lt;&gt;"")*ISNUMBER(SEARCH(LISTAS!$O$3:$O$42,$I2500&amp;" "&amp;$K2500)))&gt;0,"CERCANA","NACIONAL"))</f>
        <v/>
      </c>
      <c r="O2500" s="39">
        <f>IF($B2500="","",IF(COUNTIFS(NOVEDADES!$C$4:$C$2003,$B2500)=0,"—","SÍ ("&amp;COUNTIFS(NOVEDADES!$C$4:$C$2003,$B2500)&amp;")"))</f>
        <v/>
      </c>
    </row>
    <row r="2501">
      <c r="A2501" s="41" t="n"/>
      <c r="B2501" s="41" t="n"/>
      <c r="C2501" s="41" t="n"/>
      <c r="D2501" s="41" t="n"/>
      <c r="E2501" s="46" t="n"/>
      <c r="F2501" s="41" t="n"/>
      <c r="G2501" s="41" t="n"/>
      <c r="H2501" s="41" t="n"/>
      <c r="I2501" s="41" t="n"/>
      <c r="J2501" s="47" t="n"/>
      <c r="K2501" s="41" t="n"/>
      <c r="L2501" s="48" t="n"/>
      <c r="M2501" s="45" t="n"/>
      <c r="N2501" s="39">
        <f>IF($B2501="","",IF(SUMPRODUCT((LISTAS!$O$3:$O$42&lt;&gt;"")*ISNUMBER(SEARCH(LISTAS!$O$3:$O$42,$I2501&amp;" "&amp;$K2501)))&gt;0,"CERCANA","NACIONAL"))</f>
        <v/>
      </c>
      <c r="O2501" s="39">
        <f>IF($B2501="","",IF(COUNTIFS(NOVEDADES!$C$4:$C$2003,$B2501)=0,"—","SÍ ("&amp;COUNTIFS(NOVEDADES!$C$4:$C$2003,$B2501)&amp;")"))</f>
        <v/>
      </c>
    </row>
    <row r="2502">
      <c r="A2502" s="41" t="n"/>
      <c r="B2502" s="41" t="n"/>
      <c r="C2502" s="41" t="n"/>
      <c r="D2502" s="41" t="n"/>
      <c r="E2502" s="46" t="n"/>
      <c r="F2502" s="41" t="n"/>
      <c r="G2502" s="41" t="n"/>
      <c r="H2502" s="41" t="n"/>
      <c r="I2502" s="41" t="n"/>
      <c r="J2502" s="47" t="n"/>
      <c r="K2502" s="41" t="n"/>
      <c r="L2502" s="48" t="n"/>
      <c r="M2502" s="45" t="n"/>
      <c r="N2502" s="39">
        <f>IF($B2502="","",IF(SUMPRODUCT((LISTAS!$O$3:$O$42&lt;&gt;"")*ISNUMBER(SEARCH(LISTAS!$O$3:$O$42,$I2502&amp;" "&amp;$K2502)))&gt;0,"CERCANA","NACIONAL"))</f>
        <v/>
      </c>
      <c r="O2502" s="39">
        <f>IF($B2502="","",IF(COUNTIFS(NOVEDADES!$C$4:$C$2003,$B2502)=0,"—","SÍ ("&amp;COUNTIFS(NOVEDADES!$C$4:$C$2003,$B2502)&amp;")"))</f>
        <v/>
      </c>
    </row>
    <row r="2503">
      <c r="A2503" s="41" t="n"/>
      <c r="B2503" s="41" t="n"/>
      <c r="C2503" s="41" t="n"/>
      <c r="D2503" s="41" t="n"/>
      <c r="E2503" s="46" t="n"/>
      <c r="F2503" s="41" t="n"/>
      <c r="G2503" s="41" t="n"/>
      <c r="H2503" s="41" t="n"/>
      <c r="I2503" s="41" t="n"/>
      <c r="J2503" s="47" t="n"/>
      <c r="K2503" s="41" t="n"/>
      <c r="L2503" s="48" t="n"/>
      <c r="M2503" s="45" t="n"/>
      <c r="N2503" s="39">
        <f>IF($B2503="","",IF(SUMPRODUCT((LISTAS!$O$3:$O$42&lt;&gt;"")*ISNUMBER(SEARCH(LISTAS!$O$3:$O$42,$I2503&amp;" "&amp;$K2503)))&gt;0,"CERCANA","NACIONAL"))</f>
        <v/>
      </c>
      <c r="O2503" s="39">
        <f>IF($B2503="","",IF(COUNTIFS(NOVEDADES!$C$4:$C$2003,$B2503)=0,"—","SÍ ("&amp;COUNTIFS(NOVEDADES!$C$4:$C$2003,$B2503)&amp;")"))</f>
        <v/>
      </c>
    </row>
    <row r="2504">
      <c r="A2504" s="41" t="n"/>
      <c r="B2504" s="41" t="n"/>
      <c r="C2504" s="41" t="n"/>
      <c r="D2504" s="41" t="n"/>
      <c r="E2504" s="46" t="n"/>
      <c r="F2504" s="41" t="n"/>
      <c r="G2504" s="41" t="n"/>
      <c r="H2504" s="41" t="n"/>
      <c r="I2504" s="41" t="n"/>
      <c r="J2504" s="47" t="n"/>
      <c r="K2504" s="41" t="n"/>
      <c r="L2504" s="48" t="n"/>
      <c r="M2504" s="45" t="n"/>
      <c r="N2504" s="39">
        <f>IF($B2504="","",IF(SUMPRODUCT((LISTAS!$O$3:$O$42&lt;&gt;"")*ISNUMBER(SEARCH(LISTAS!$O$3:$O$42,$I2504&amp;" "&amp;$K2504)))&gt;0,"CERCANA","NACIONAL"))</f>
        <v/>
      </c>
      <c r="O2504" s="39">
        <f>IF($B2504="","",IF(COUNTIFS(NOVEDADES!$C$4:$C$2003,$B2504)=0,"—","SÍ ("&amp;COUNTIFS(NOVEDADES!$C$4:$C$2003,$B2504)&amp;")"))</f>
        <v/>
      </c>
    </row>
    <row r="2505">
      <c r="A2505" s="41" t="n"/>
      <c r="B2505" s="41" t="n"/>
      <c r="C2505" s="41" t="n"/>
      <c r="D2505" s="41" t="n"/>
      <c r="E2505" s="46" t="n"/>
      <c r="F2505" s="41" t="n"/>
      <c r="G2505" s="41" t="n"/>
      <c r="H2505" s="41" t="n"/>
      <c r="I2505" s="41" t="n"/>
      <c r="J2505" s="47" t="n"/>
      <c r="K2505" s="41" t="n"/>
      <c r="L2505" s="48" t="n"/>
      <c r="M2505" s="45" t="n"/>
      <c r="N2505" s="39">
        <f>IF($B2505="","",IF(SUMPRODUCT((LISTAS!$O$3:$O$42&lt;&gt;"")*ISNUMBER(SEARCH(LISTAS!$O$3:$O$42,$I2505&amp;" "&amp;$K2505)))&gt;0,"CERCANA","NACIONAL"))</f>
        <v/>
      </c>
      <c r="O2505" s="39">
        <f>IF($B2505="","",IF(COUNTIFS(NOVEDADES!$C$4:$C$2003,$B2505)=0,"—","SÍ ("&amp;COUNTIFS(NOVEDADES!$C$4:$C$2003,$B2505)&amp;")"))</f>
        <v/>
      </c>
    </row>
    <row r="2506">
      <c r="A2506" s="41" t="n"/>
      <c r="B2506" s="41" t="n"/>
      <c r="C2506" s="41" t="n"/>
      <c r="D2506" s="41" t="n"/>
      <c r="E2506" s="46" t="n"/>
      <c r="F2506" s="41" t="n"/>
      <c r="G2506" s="41" t="n"/>
      <c r="H2506" s="41" t="n"/>
      <c r="I2506" s="41" t="n"/>
      <c r="J2506" s="47" t="n"/>
      <c r="K2506" s="41" t="n"/>
      <c r="L2506" s="48" t="n"/>
      <c r="M2506" s="45" t="n"/>
      <c r="N2506" s="39">
        <f>IF($B2506="","",IF(SUMPRODUCT((LISTAS!$O$3:$O$42&lt;&gt;"")*ISNUMBER(SEARCH(LISTAS!$O$3:$O$42,$I2506&amp;" "&amp;$K2506)))&gt;0,"CERCANA","NACIONAL"))</f>
        <v/>
      </c>
      <c r="O2506" s="39">
        <f>IF($B2506="","",IF(COUNTIFS(NOVEDADES!$C$4:$C$2003,$B2506)=0,"—","SÍ ("&amp;COUNTIFS(NOVEDADES!$C$4:$C$2003,$B2506)&amp;")"))</f>
        <v/>
      </c>
    </row>
    <row r="2507">
      <c r="A2507" s="41" t="n"/>
      <c r="B2507" s="41" t="n"/>
      <c r="C2507" s="41" t="n"/>
      <c r="D2507" s="41" t="n"/>
      <c r="E2507" s="46" t="n"/>
      <c r="F2507" s="41" t="n"/>
      <c r="G2507" s="41" t="n"/>
      <c r="H2507" s="41" t="n"/>
      <c r="I2507" s="41" t="n"/>
      <c r="J2507" s="47" t="n"/>
      <c r="K2507" s="41" t="n"/>
      <c r="L2507" s="48" t="n"/>
      <c r="M2507" s="45" t="n"/>
      <c r="N2507" s="39">
        <f>IF($B2507="","",IF(SUMPRODUCT((LISTAS!$O$3:$O$42&lt;&gt;"")*ISNUMBER(SEARCH(LISTAS!$O$3:$O$42,$I2507&amp;" "&amp;$K2507)))&gt;0,"CERCANA","NACIONAL"))</f>
        <v/>
      </c>
      <c r="O2507" s="39">
        <f>IF($B2507="","",IF(COUNTIFS(NOVEDADES!$C$4:$C$2003,$B2507)=0,"—","SÍ ("&amp;COUNTIFS(NOVEDADES!$C$4:$C$2003,$B2507)&amp;")"))</f>
        <v/>
      </c>
    </row>
    <row r="2508">
      <c r="A2508" s="41" t="n"/>
      <c r="B2508" s="41" t="n"/>
      <c r="C2508" s="41" t="n"/>
      <c r="D2508" s="41" t="n"/>
      <c r="E2508" s="46" t="n"/>
      <c r="F2508" s="41" t="n"/>
      <c r="G2508" s="41" t="n"/>
      <c r="H2508" s="41" t="n"/>
      <c r="I2508" s="41" t="n"/>
      <c r="J2508" s="47" t="n"/>
      <c r="K2508" s="41" t="n"/>
      <c r="L2508" s="48" t="n"/>
      <c r="M2508" s="45" t="n"/>
      <c r="N2508" s="39">
        <f>IF($B2508="","",IF(SUMPRODUCT((LISTAS!$O$3:$O$42&lt;&gt;"")*ISNUMBER(SEARCH(LISTAS!$O$3:$O$42,$I2508&amp;" "&amp;$K2508)))&gt;0,"CERCANA","NACIONAL"))</f>
        <v/>
      </c>
      <c r="O2508" s="39">
        <f>IF($B2508="","",IF(COUNTIFS(NOVEDADES!$C$4:$C$2003,$B2508)=0,"—","SÍ ("&amp;COUNTIFS(NOVEDADES!$C$4:$C$2003,$B2508)&amp;")"))</f>
        <v/>
      </c>
    </row>
    <row r="2509">
      <c r="A2509" s="41" t="n"/>
      <c r="B2509" s="41" t="n"/>
      <c r="C2509" s="41" t="n"/>
      <c r="D2509" s="41" t="n"/>
      <c r="E2509" s="46" t="n"/>
      <c r="F2509" s="41" t="n"/>
      <c r="G2509" s="41" t="n"/>
      <c r="H2509" s="41" t="n"/>
      <c r="I2509" s="41" t="n"/>
      <c r="J2509" s="47" t="n"/>
      <c r="K2509" s="41" t="n"/>
      <c r="L2509" s="48" t="n"/>
      <c r="M2509" s="45" t="n"/>
      <c r="N2509" s="39">
        <f>IF($B2509="","",IF(SUMPRODUCT((LISTAS!$O$3:$O$42&lt;&gt;"")*ISNUMBER(SEARCH(LISTAS!$O$3:$O$42,$I2509&amp;" "&amp;$K2509)))&gt;0,"CERCANA","NACIONAL"))</f>
        <v/>
      </c>
      <c r="O2509" s="39">
        <f>IF($B2509="","",IF(COUNTIFS(NOVEDADES!$C$4:$C$2003,$B2509)=0,"—","SÍ ("&amp;COUNTIFS(NOVEDADES!$C$4:$C$2003,$B2509)&amp;")"))</f>
        <v/>
      </c>
    </row>
    <row r="2510">
      <c r="A2510" s="41" t="n"/>
      <c r="B2510" s="41" t="n"/>
      <c r="C2510" s="41" t="n"/>
      <c r="D2510" s="41" t="n"/>
      <c r="E2510" s="46" t="n"/>
      <c r="F2510" s="41" t="n"/>
      <c r="G2510" s="41" t="n"/>
      <c r="H2510" s="41" t="n"/>
      <c r="I2510" s="41" t="n"/>
      <c r="J2510" s="47" t="n"/>
      <c r="K2510" s="41" t="n"/>
      <c r="L2510" s="48" t="n"/>
      <c r="M2510" s="45" t="n"/>
      <c r="N2510" s="39">
        <f>IF($B2510="","",IF(SUMPRODUCT((LISTAS!$O$3:$O$42&lt;&gt;"")*ISNUMBER(SEARCH(LISTAS!$O$3:$O$42,$I2510&amp;" "&amp;$K2510)))&gt;0,"CERCANA","NACIONAL"))</f>
        <v/>
      </c>
      <c r="O2510" s="39">
        <f>IF($B2510="","",IF(COUNTIFS(NOVEDADES!$C$4:$C$2003,$B2510)=0,"—","SÍ ("&amp;COUNTIFS(NOVEDADES!$C$4:$C$2003,$B2510)&amp;")"))</f>
        <v/>
      </c>
    </row>
    <row r="2511">
      <c r="A2511" s="41" t="n"/>
      <c r="B2511" s="41" t="n"/>
      <c r="C2511" s="41" t="n"/>
      <c r="D2511" s="41" t="n"/>
      <c r="E2511" s="46" t="n"/>
      <c r="F2511" s="41" t="n"/>
      <c r="G2511" s="41" t="n"/>
      <c r="H2511" s="41" t="n"/>
      <c r="I2511" s="41" t="n"/>
      <c r="J2511" s="47" t="n"/>
      <c r="K2511" s="41" t="n"/>
      <c r="L2511" s="48" t="n"/>
      <c r="M2511" s="45" t="n"/>
      <c r="N2511" s="39">
        <f>IF($B2511="","",IF(SUMPRODUCT((LISTAS!$O$3:$O$42&lt;&gt;"")*ISNUMBER(SEARCH(LISTAS!$O$3:$O$42,$I2511&amp;" "&amp;$K2511)))&gt;0,"CERCANA","NACIONAL"))</f>
        <v/>
      </c>
      <c r="O2511" s="39">
        <f>IF($B2511="","",IF(COUNTIFS(NOVEDADES!$C$4:$C$2003,$B2511)=0,"—","SÍ ("&amp;COUNTIFS(NOVEDADES!$C$4:$C$2003,$B2511)&amp;")"))</f>
        <v/>
      </c>
    </row>
    <row r="2512">
      <c r="A2512" s="41" t="n"/>
      <c r="B2512" s="41" t="n"/>
      <c r="C2512" s="41" t="n"/>
      <c r="D2512" s="41" t="n"/>
      <c r="E2512" s="46" t="n"/>
      <c r="F2512" s="41" t="n"/>
      <c r="G2512" s="41" t="n"/>
      <c r="H2512" s="41" t="n"/>
      <c r="I2512" s="41" t="n"/>
      <c r="J2512" s="47" t="n"/>
      <c r="K2512" s="41" t="n"/>
      <c r="L2512" s="48" t="n"/>
      <c r="M2512" s="45" t="n"/>
      <c r="N2512" s="39">
        <f>IF($B2512="","",IF(SUMPRODUCT((LISTAS!$O$3:$O$42&lt;&gt;"")*ISNUMBER(SEARCH(LISTAS!$O$3:$O$42,$I2512&amp;" "&amp;$K2512)))&gt;0,"CERCANA","NACIONAL"))</f>
        <v/>
      </c>
      <c r="O2512" s="39">
        <f>IF($B2512="","",IF(COUNTIFS(NOVEDADES!$C$4:$C$2003,$B2512)=0,"—","SÍ ("&amp;COUNTIFS(NOVEDADES!$C$4:$C$2003,$B2512)&amp;")"))</f>
        <v/>
      </c>
    </row>
    <row r="2513">
      <c r="A2513" s="41" t="n"/>
      <c r="B2513" s="41" t="n"/>
      <c r="C2513" s="41" t="n"/>
      <c r="D2513" s="41" t="n"/>
      <c r="E2513" s="46" t="n"/>
      <c r="F2513" s="41" t="n"/>
      <c r="G2513" s="41" t="n"/>
      <c r="H2513" s="41" t="n"/>
      <c r="I2513" s="41" t="n"/>
      <c r="J2513" s="47" t="n"/>
      <c r="K2513" s="41" t="n"/>
      <c r="L2513" s="48" t="n"/>
      <c r="M2513" s="45" t="n"/>
      <c r="N2513" s="39">
        <f>IF($B2513="","",IF(SUMPRODUCT((LISTAS!$O$3:$O$42&lt;&gt;"")*ISNUMBER(SEARCH(LISTAS!$O$3:$O$42,$I2513&amp;" "&amp;$K2513)))&gt;0,"CERCANA","NACIONAL"))</f>
        <v/>
      </c>
      <c r="O2513" s="39">
        <f>IF($B2513="","",IF(COUNTIFS(NOVEDADES!$C$4:$C$2003,$B2513)=0,"—","SÍ ("&amp;COUNTIFS(NOVEDADES!$C$4:$C$2003,$B2513)&amp;")"))</f>
        <v/>
      </c>
    </row>
    <row r="2514">
      <c r="A2514" s="41" t="n"/>
      <c r="B2514" s="41" t="n"/>
      <c r="C2514" s="41" t="n"/>
      <c r="D2514" s="41" t="n"/>
      <c r="E2514" s="46" t="n"/>
      <c r="F2514" s="41" t="n"/>
      <c r="G2514" s="41" t="n"/>
      <c r="H2514" s="41" t="n"/>
      <c r="I2514" s="41" t="n"/>
      <c r="J2514" s="47" t="n"/>
      <c r="K2514" s="41" t="n"/>
      <c r="L2514" s="48" t="n"/>
      <c r="M2514" s="45" t="n"/>
      <c r="N2514" s="39">
        <f>IF($B2514="","",IF(SUMPRODUCT((LISTAS!$O$3:$O$42&lt;&gt;"")*ISNUMBER(SEARCH(LISTAS!$O$3:$O$42,$I2514&amp;" "&amp;$K2514)))&gt;0,"CERCANA","NACIONAL"))</f>
        <v/>
      </c>
      <c r="O2514" s="39">
        <f>IF($B2514="","",IF(COUNTIFS(NOVEDADES!$C$4:$C$2003,$B2514)=0,"—","SÍ ("&amp;COUNTIFS(NOVEDADES!$C$4:$C$2003,$B2514)&amp;")"))</f>
        <v/>
      </c>
    </row>
    <row r="2515">
      <c r="A2515" s="41" t="n"/>
      <c r="B2515" s="41" t="n"/>
      <c r="C2515" s="41" t="n"/>
      <c r="D2515" s="41" t="n"/>
      <c r="E2515" s="46" t="n"/>
      <c r="F2515" s="41" t="n"/>
      <c r="G2515" s="41" t="n"/>
      <c r="H2515" s="41" t="n"/>
      <c r="I2515" s="41" t="n"/>
      <c r="J2515" s="47" t="n"/>
      <c r="K2515" s="41" t="n"/>
      <c r="L2515" s="48" t="n"/>
      <c r="M2515" s="45" t="n"/>
      <c r="N2515" s="39">
        <f>IF($B2515="","",IF(SUMPRODUCT((LISTAS!$O$3:$O$42&lt;&gt;"")*ISNUMBER(SEARCH(LISTAS!$O$3:$O$42,$I2515&amp;" "&amp;$K2515)))&gt;0,"CERCANA","NACIONAL"))</f>
        <v/>
      </c>
      <c r="O2515" s="39">
        <f>IF($B2515="","",IF(COUNTIFS(NOVEDADES!$C$4:$C$2003,$B2515)=0,"—","SÍ ("&amp;COUNTIFS(NOVEDADES!$C$4:$C$2003,$B2515)&amp;")"))</f>
        <v/>
      </c>
    </row>
    <row r="2516">
      <c r="A2516" s="41" t="n"/>
      <c r="B2516" s="41" t="n"/>
      <c r="C2516" s="41" t="n"/>
      <c r="D2516" s="41" t="n"/>
      <c r="E2516" s="46" t="n"/>
      <c r="F2516" s="41" t="n"/>
      <c r="G2516" s="41" t="n"/>
      <c r="H2516" s="41" t="n"/>
      <c r="I2516" s="41" t="n"/>
      <c r="J2516" s="47" t="n"/>
      <c r="K2516" s="41" t="n"/>
      <c r="L2516" s="48" t="n"/>
      <c r="M2516" s="45" t="n"/>
      <c r="N2516" s="39">
        <f>IF($B2516="","",IF(SUMPRODUCT((LISTAS!$O$3:$O$42&lt;&gt;"")*ISNUMBER(SEARCH(LISTAS!$O$3:$O$42,$I2516&amp;" "&amp;$K2516)))&gt;0,"CERCANA","NACIONAL"))</f>
        <v/>
      </c>
      <c r="O2516" s="39">
        <f>IF($B2516="","",IF(COUNTIFS(NOVEDADES!$C$4:$C$2003,$B2516)=0,"—","SÍ ("&amp;COUNTIFS(NOVEDADES!$C$4:$C$2003,$B2516)&amp;")"))</f>
        <v/>
      </c>
    </row>
    <row r="2517">
      <c r="A2517" s="41" t="n"/>
      <c r="B2517" s="41" t="n"/>
      <c r="C2517" s="41" t="n"/>
      <c r="D2517" s="41" t="n"/>
      <c r="E2517" s="46" t="n"/>
      <c r="F2517" s="41" t="n"/>
      <c r="G2517" s="41" t="n"/>
      <c r="H2517" s="41" t="n"/>
      <c r="I2517" s="41" t="n"/>
      <c r="J2517" s="47" t="n"/>
      <c r="K2517" s="41" t="n"/>
      <c r="L2517" s="48" t="n"/>
      <c r="M2517" s="45" t="n"/>
      <c r="N2517" s="39">
        <f>IF($B2517="","",IF(SUMPRODUCT((LISTAS!$O$3:$O$42&lt;&gt;"")*ISNUMBER(SEARCH(LISTAS!$O$3:$O$42,$I2517&amp;" "&amp;$K2517)))&gt;0,"CERCANA","NACIONAL"))</f>
        <v/>
      </c>
      <c r="O2517" s="39">
        <f>IF($B2517="","",IF(COUNTIFS(NOVEDADES!$C$4:$C$2003,$B2517)=0,"—","SÍ ("&amp;COUNTIFS(NOVEDADES!$C$4:$C$2003,$B2517)&amp;")"))</f>
        <v/>
      </c>
    </row>
    <row r="2518">
      <c r="A2518" s="41" t="n"/>
      <c r="B2518" s="41" t="n"/>
      <c r="C2518" s="41" t="n"/>
      <c r="D2518" s="41" t="n"/>
      <c r="E2518" s="46" t="n"/>
      <c r="F2518" s="41" t="n"/>
      <c r="G2518" s="41" t="n"/>
      <c r="H2518" s="41" t="n"/>
      <c r="I2518" s="41" t="n"/>
      <c r="J2518" s="47" t="n"/>
      <c r="K2518" s="41" t="n"/>
      <c r="L2518" s="48" t="n"/>
      <c r="M2518" s="45" t="n"/>
      <c r="N2518" s="39">
        <f>IF($B2518="","",IF(SUMPRODUCT((LISTAS!$O$3:$O$42&lt;&gt;"")*ISNUMBER(SEARCH(LISTAS!$O$3:$O$42,$I2518&amp;" "&amp;$K2518)))&gt;0,"CERCANA","NACIONAL"))</f>
        <v/>
      </c>
      <c r="O2518" s="39">
        <f>IF($B2518="","",IF(COUNTIFS(NOVEDADES!$C$4:$C$2003,$B2518)=0,"—","SÍ ("&amp;COUNTIFS(NOVEDADES!$C$4:$C$2003,$B2518)&amp;")"))</f>
        <v/>
      </c>
    </row>
    <row r="2519">
      <c r="A2519" s="41" t="n"/>
      <c r="B2519" s="41" t="n"/>
      <c r="C2519" s="41" t="n"/>
      <c r="D2519" s="41" t="n"/>
      <c r="E2519" s="46" t="n"/>
      <c r="F2519" s="41" t="n"/>
      <c r="G2519" s="41" t="n"/>
      <c r="H2519" s="41" t="n"/>
      <c r="I2519" s="41" t="n"/>
      <c r="J2519" s="47" t="n"/>
      <c r="K2519" s="41" t="n"/>
      <c r="L2519" s="48" t="n"/>
      <c r="M2519" s="45" t="n"/>
      <c r="N2519" s="39">
        <f>IF($B2519="","",IF(SUMPRODUCT((LISTAS!$O$3:$O$42&lt;&gt;"")*ISNUMBER(SEARCH(LISTAS!$O$3:$O$42,$I2519&amp;" "&amp;$K2519)))&gt;0,"CERCANA","NACIONAL"))</f>
        <v/>
      </c>
      <c r="O2519" s="39">
        <f>IF($B2519="","",IF(COUNTIFS(NOVEDADES!$C$4:$C$2003,$B2519)=0,"—","SÍ ("&amp;COUNTIFS(NOVEDADES!$C$4:$C$2003,$B2519)&amp;")"))</f>
        <v/>
      </c>
    </row>
    <row r="2520">
      <c r="A2520" s="41" t="n"/>
      <c r="B2520" s="41" t="n"/>
      <c r="C2520" s="41" t="n"/>
      <c r="D2520" s="41" t="n"/>
      <c r="E2520" s="46" t="n"/>
      <c r="F2520" s="41" t="n"/>
      <c r="G2520" s="41" t="n"/>
      <c r="H2520" s="41" t="n"/>
      <c r="I2520" s="41" t="n"/>
      <c r="J2520" s="47" t="n"/>
      <c r="K2520" s="41" t="n"/>
      <c r="L2520" s="48" t="n"/>
      <c r="M2520" s="45" t="n"/>
      <c r="N2520" s="39">
        <f>IF($B2520="","",IF(SUMPRODUCT((LISTAS!$O$3:$O$42&lt;&gt;"")*ISNUMBER(SEARCH(LISTAS!$O$3:$O$42,$I2520&amp;" "&amp;$K2520)))&gt;0,"CERCANA","NACIONAL"))</f>
        <v/>
      </c>
      <c r="O2520" s="39">
        <f>IF($B2520="","",IF(COUNTIFS(NOVEDADES!$C$4:$C$2003,$B2520)=0,"—","SÍ ("&amp;COUNTIFS(NOVEDADES!$C$4:$C$2003,$B2520)&amp;")"))</f>
        <v/>
      </c>
    </row>
    <row r="2521">
      <c r="A2521" s="41" t="n"/>
      <c r="B2521" s="41" t="n"/>
      <c r="C2521" s="41" t="n"/>
      <c r="D2521" s="41" t="n"/>
      <c r="E2521" s="46" t="n"/>
      <c r="F2521" s="41" t="n"/>
      <c r="G2521" s="41" t="n"/>
      <c r="H2521" s="41" t="n"/>
      <c r="I2521" s="41" t="n"/>
      <c r="J2521" s="47" t="n"/>
      <c r="K2521" s="41" t="n"/>
      <c r="L2521" s="48" t="n"/>
      <c r="M2521" s="45" t="n"/>
      <c r="N2521" s="39">
        <f>IF($B2521="","",IF(SUMPRODUCT((LISTAS!$O$3:$O$42&lt;&gt;"")*ISNUMBER(SEARCH(LISTAS!$O$3:$O$42,$I2521&amp;" "&amp;$K2521)))&gt;0,"CERCANA","NACIONAL"))</f>
        <v/>
      </c>
      <c r="O2521" s="39">
        <f>IF($B2521="","",IF(COUNTIFS(NOVEDADES!$C$4:$C$2003,$B2521)=0,"—","SÍ ("&amp;COUNTIFS(NOVEDADES!$C$4:$C$2003,$B2521)&amp;")"))</f>
        <v/>
      </c>
    </row>
    <row r="2522">
      <c r="A2522" s="41" t="n"/>
      <c r="B2522" s="41" t="n"/>
      <c r="C2522" s="41" t="n"/>
      <c r="D2522" s="41" t="n"/>
      <c r="E2522" s="46" t="n"/>
      <c r="F2522" s="41" t="n"/>
      <c r="G2522" s="41" t="n"/>
      <c r="H2522" s="41" t="n"/>
      <c r="I2522" s="41" t="n"/>
      <c r="J2522" s="47" t="n"/>
      <c r="K2522" s="41" t="n"/>
      <c r="L2522" s="48" t="n"/>
      <c r="M2522" s="45" t="n"/>
      <c r="N2522" s="39">
        <f>IF($B2522="","",IF(SUMPRODUCT((LISTAS!$O$3:$O$42&lt;&gt;"")*ISNUMBER(SEARCH(LISTAS!$O$3:$O$42,$I2522&amp;" "&amp;$K2522)))&gt;0,"CERCANA","NACIONAL"))</f>
        <v/>
      </c>
      <c r="O2522" s="39">
        <f>IF($B2522="","",IF(COUNTIFS(NOVEDADES!$C$4:$C$2003,$B2522)=0,"—","SÍ ("&amp;COUNTIFS(NOVEDADES!$C$4:$C$2003,$B2522)&amp;")"))</f>
        <v/>
      </c>
    </row>
    <row r="2523">
      <c r="A2523" s="41" t="n"/>
      <c r="B2523" s="41" t="n"/>
      <c r="C2523" s="41" t="n"/>
      <c r="D2523" s="41" t="n"/>
      <c r="E2523" s="46" t="n"/>
      <c r="F2523" s="41" t="n"/>
      <c r="G2523" s="41" t="n"/>
      <c r="H2523" s="41" t="n"/>
      <c r="I2523" s="41" t="n"/>
      <c r="J2523" s="47" t="n"/>
      <c r="K2523" s="41" t="n"/>
      <c r="L2523" s="48" t="n"/>
      <c r="M2523" s="45" t="n"/>
      <c r="N2523" s="39">
        <f>IF($B2523="","",IF(SUMPRODUCT((LISTAS!$O$3:$O$42&lt;&gt;"")*ISNUMBER(SEARCH(LISTAS!$O$3:$O$42,$I2523&amp;" "&amp;$K2523)))&gt;0,"CERCANA","NACIONAL"))</f>
        <v/>
      </c>
      <c r="O2523" s="39">
        <f>IF($B2523="","",IF(COUNTIFS(NOVEDADES!$C$4:$C$2003,$B2523)=0,"—","SÍ ("&amp;COUNTIFS(NOVEDADES!$C$4:$C$2003,$B2523)&amp;")"))</f>
        <v/>
      </c>
    </row>
    <row r="2524">
      <c r="A2524" s="41" t="n"/>
      <c r="B2524" s="41" t="n"/>
      <c r="C2524" s="41" t="n"/>
      <c r="D2524" s="41" t="n"/>
      <c r="E2524" s="46" t="n"/>
      <c r="F2524" s="41" t="n"/>
      <c r="G2524" s="41" t="n"/>
      <c r="H2524" s="41" t="n"/>
      <c r="I2524" s="41" t="n"/>
      <c r="J2524" s="47" t="n"/>
      <c r="K2524" s="41" t="n"/>
      <c r="L2524" s="48" t="n"/>
      <c r="M2524" s="45" t="n"/>
      <c r="N2524" s="39">
        <f>IF($B2524="","",IF(SUMPRODUCT((LISTAS!$O$3:$O$42&lt;&gt;"")*ISNUMBER(SEARCH(LISTAS!$O$3:$O$42,$I2524&amp;" "&amp;$K2524)))&gt;0,"CERCANA","NACIONAL"))</f>
        <v/>
      </c>
      <c r="O2524" s="39">
        <f>IF($B2524="","",IF(COUNTIFS(NOVEDADES!$C$4:$C$2003,$B2524)=0,"—","SÍ ("&amp;COUNTIFS(NOVEDADES!$C$4:$C$2003,$B2524)&amp;")"))</f>
        <v/>
      </c>
    </row>
    <row r="2525">
      <c r="A2525" s="41" t="n"/>
      <c r="B2525" s="41" t="n"/>
      <c r="C2525" s="41" t="n"/>
      <c r="D2525" s="41" t="n"/>
      <c r="E2525" s="46" t="n"/>
      <c r="F2525" s="41" t="n"/>
      <c r="G2525" s="41" t="n"/>
      <c r="H2525" s="41" t="n"/>
      <c r="I2525" s="41" t="n"/>
      <c r="J2525" s="47" t="n"/>
      <c r="K2525" s="41" t="n"/>
      <c r="L2525" s="48" t="n"/>
      <c r="M2525" s="45" t="n"/>
      <c r="N2525" s="39">
        <f>IF($B2525="","",IF(SUMPRODUCT((LISTAS!$O$3:$O$42&lt;&gt;"")*ISNUMBER(SEARCH(LISTAS!$O$3:$O$42,$I2525&amp;" "&amp;$K2525)))&gt;0,"CERCANA","NACIONAL"))</f>
        <v/>
      </c>
      <c r="O2525" s="39">
        <f>IF($B2525="","",IF(COUNTIFS(NOVEDADES!$C$4:$C$2003,$B2525)=0,"—","SÍ ("&amp;COUNTIFS(NOVEDADES!$C$4:$C$2003,$B2525)&amp;")"))</f>
        <v/>
      </c>
    </row>
    <row r="2526">
      <c r="A2526" s="41" t="n"/>
      <c r="B2526" s="41" t="n"/>
      <c r="C2526" s="41" t="n"/>
      <c r="D2526" s="41" t="n"/>
      <c r="E2526" s="46" t="n"/>
      <c r="F2526" s="41" t="n"/>
      <c r="G2526" s="41" t="n"/>
      <c r="H2526" s="41" t="n"/>
      <c r="I2526" s="41" t="n"/>
      <c r="J2526" s="47" t="n"/>
      <c r="K2526" s="41" t="n"/>
      <c r="L2526" s="48" t="n"/>
      <c r="M2526" s="45" t="n"/>
      <c r="N2526" s="39">
        <f>IF($B2526="","",IF(SUMPRODUCT((LISTAS!$O$3:$O$42&lt;&gt;"")*ISNUMBER(SEARCH(LISTAS!$O$3:$O$42,$I2526&amp;" "&amp;$K2526)))&gt;0,"CERCANA","NACIONAL"))</f>
        <v/>
      </c>
      <c r="O2526" s="39">
        <f>IF($B2526="","",IF(COUNTIFS(NOVEDADES!$C$4:$C$2003,$B2526)=0,"—","SÍ ("&amp;COUNTIFS(NOVEDADES!$C$4:$C$2003,$B2526)&amp;")"))</f>
        <v/>
      </c>
    </row>
    <row r="2527">
      <c r="A2527" s="41" t="n"/>
      <c r="B2527" s="41" t="n"/>
      <c r="C2527" s="41" t="n"/>
      <c r="D2527" s="41" t="n"/>
      <c r="E2527" s="46" t="n"/>
      <c r="F2527" s="41" t="n"/>
      <c r="G2527" s="41" t="n"/>
      <c r="H2527" s="41" t="n"/>
      <c r="I2527" s="41" t="n"/>
      <c r="J2527" s="47" t="n"/>
      <c r="K2527" s="41" t="n"/>
      <c r="L2527" s="48" t="n"/>
      <c r="M2527" s="45" t="n"/>
      <c r="N2527" s="39">
        <f>IF($B2527="","",IF(SUMPRODUCT((LISTAS!$O$3:$O$42&lt;&gt;"")*ISNUMBER(SEARCH(LISTAS!$O$3:$O$42,$I2527&amp;" "&amp;$K2527)))&gt;0,"CERCANA","NACIONAL"))</f>
        <v/>
      </c>
      <c r="O2527" s="39">
        <f>IF($B2527="","",IF(COUNTIFS(NOVEDADES!$C$4:$C$2003,$B2527)=0,"—","SÍ ("&amp;COUNTIFS(NOVEDADES!$C$4:$C$2003,$B2527)&amp;")"))</f>
        <v/>
      </c>
    </row>
    <row r="2528">
      <c r="A2528" s="41" t="n"/>
      <c r="B2528" s="41" t="n"/>
      <c r="C2528" s="41" t="n"/>
      <c r="D2528" s="41" t="n"/>
      <c r="E2528" s="46" t="n"/>
      <c r="F2528" s="41" t="n"/>
      <c r="G2528" s="41" t="n"/>
      <c r="H2528" s="41" t="n"/>
      <c r="I2528" s="41" t="n"/>
      <c r="J2528" s="47" t="n"/>
      <c r="K2528" s="41" t="n"/>
      <c r="L2528" s="48" t="n"/>
      <c r="M2528" s="45" t="n"/>
      <c r="N2528" s="39">
        <f>IF($B2528="","",IF(SUMPRODUCT((LISTAS!$O$3:$O$42&lt;&gt;"")*ISNUMBER(SEARCH(LISTAS!$O$3:$O$42,$I2528&amp;" "&amp;$K2528)))&gt;0,"CERCANA","NACIONAL"))</f>
        <v/>
      </c>
      <c r="O2528" s="39">
        <f>IF($B2528="","",IF(COUNTIFS(NOVEDADES!$C$4:$C$2003,$B2528)=0,"—","SÍ ("&amp;COUNTIFS(NOVEDADES!$C$4:$C$2003,$B2528)&amp;")"))</f>
        <v/>
      </c>
    </row>
    <row r="2529">
      <c r="A2529" s="41" t="n"/>
      <c r="B2529" s="41" t="n"/>
      <c r="C2529" s="41" t="n"/>
      <c r="D2529" s="41" t="n"/>
      <c r="E2529" s="46" t="n"/>
      <c r="F2529" s="41" t="n"/>
      <c r="G2529" s="41" t="n"/>
      <c r="H2529" s="41" t="n"/>
      <c r="I2529" s="41" t="n"/>
      <c r="J2529" s="47" t="n"/>
      <c r="K2529" s="41" t="n"/>
      <c r="L2529" s="48" t="n"/>
      <c r="M2529" s="45" t="n"/>
      <c r="N2529" s="39">
        <f>IF($B2529="","",IF(SUMPRODUCT((LISTAS!$O$3:$O$42&lt;&gt;"")*ISNUMBER(SEARCH(LISTAS!$O$3:$O$42,$I2529&amp;" "&amp;$K2529)))&gt;0,"CERCANA","NACIONAL"))</f>
        <v/>
      </c>
      <c r="O2529" s="39">
        <f>IF($B2529="","",IF(COUNTIFS(NOVEDADES!$C$4:$C$2003,$B2529)=0,"—","SÍ ("&amp;COUNTIFS(NOVEDADES!$C$4:$C$2003,$B2529)&amp;")"))</f>
        <v/>
      </c>
    </row>
    <row r="2530">
      <c r="A2530" s="41" t="n"/>
      <c r="B2530" s="41" t="n"/>
      <c r="C2530" s="41" t="n"/>
      <c r="D2530" s="41" t="n"/>
      <c r="E2530" s="46" t="n"/>
      <c r="F2530" s="41" t="n"/>
      <c r="G2530" s="41" t="n"/>
      <c r="H2530" s="41" t="n"/>
      <c r="I2530" s="41" t="n"/>
      <c r="J2530" s="47" t="n"/>
      <c r="K2530" s="41" t="n"/>
      <c r="L2530" s="48" t="n"/>
      <c r="M2530" s="45" t="n"/>
      <c r="N2530" s="39">
        <f>IF($B2530="","",IF(SUMPRODUCT((LISTAS!$O$3:$O$42&lt;&gt;"")*ISNUMBER(SEARCH(LISTAS!$O$3:$O$42,$I2530&amp;" "&amp;$K2530)))&gt;0,"CERCANA","NACIONAL"))</f>
        <v/>
      </c>
      <c r="O2530" s="39">
        <f>IF($B2530="","",IF(COUNTIFS(NOVEDADES!$C$4:$C$2003,$B2530)=0,"—","SÍ ("&amp;COUNTIFS(NOVEDADES!$C$4:$C$2003,$B2530)&amp;")"))</f>
        <v/>
      </c>
    </row>
    <row r="2531">
      <c r="A2531" s="41" t="n"/>
      <c r="B2531" s="41" t="n"/>
      <c r="C2531" s="41" t="n"/>
      <c r="D2531" s="41" t="n"/>
      <c r="E2531" s="46" t="n"/>
      <c r="F2531" s="41" t="n"/>
      <c r="G2531" s="41" t="n"/>
      <c r="H2531" s="41" t="n"/>
      <c r="I2531" s="41" t="n"/>
      <c r="J2531" s="47" t="n"/>
      <c r="K2531" s="41" t="n"/>
      <c r="L2531" s="48" t="n"/>
      <c r="M2531" s="45" t="n"/>
      <c r="N2531" s="39">
        <f>IF($B2531="","",IF(SUMPRODUCT((LISTAS!$O$3:$O$42&lt;&gt;"")*ISNUMBER(SEARCH(LISTAS!$O$3:$O$42,$I2531&amp;" "&amp;$K2531)))&gt;0,"CERCANA","NACIONAL"))</f>
        <v/>
      </c>
      <c r="O2531" s="39">
        <f>IF($B2531="","",IF(COUNTIFS(NOVEDADES!$C$4:$C$2003,$B2531)=0,"—","SÍ ("&amp;COUNTIFS(NOVEDADES!$C$4:$C$2003,$B2531)&amp;")"))</f>
        <v/>
      </c>
    </row>
    <row r="2532">
      <c r="A2532" s="41" t="n"/>
      <c r="B2532" s="41" t="n"/>
      <c r="C2532" s="41" t="n"/>
      <c r="D2532" s="41" t="n"/>
      <c r="E2532" s="46" t="n"/>
      <c r="F2532" s="41" t="n"/>
      <c r="G2532" s="41" t="n"/>
      <c r="H2532" s="41" t="n"/>
      <c r="I2532" s="41" t="n"/>
      <c r="J2532" s="47" t="n"/>
      <c r="K2532" s="41" t="n"/>
      <c r="L2532" s="48" t="n"/>
      <c r="M2532" s="45" t="n"/>
      <c r="N2532" s="39">
        <f>IF($B2532="","",IF(SUMPRODUCT((LISTAS!$O$3:$O$42&lt;&gt;"")*ISNUMBER(SEARCH(LISTAS!$O$3:$O$42,$I2532&amp;" "&amp;$K2532)))&gt;0,"CERCANA","NACIONAL"))</f>
        <v/>
      </c>
      <c r="O2532" s="39">
        <f>IF($B2532="","",IF(COUNTIFS(NOVEDADES!$C$4:$C$2003,$B2532)=0,"—","SÍ ("&amp;COUNTIFS(NOVEDADES!$C$4:$C$2003,$B2532)&amp;")"))</f>
        <v/>
      </c>
    </row>
    <row r="2533">
      <c r="A2533" s="41" t="n"/>
      <c r="B2533" s="41" t="n"/>
      <c r="C2533" s="41" t="n"/>
      <c r="D2533" s="41" t="n"/>
      <c r="E2533" s="46" t="n"/>
      <c r="F2533" s="41" t="n"/>
      <c r="G2533" s="41" t="n"/>
      <c r="H2533" s="41" t="n"/>
      <c r="I2533" s="41" t="n"/>
      <c r="J2533" s="47" t="n"/>
      <c r="K2533" s="41" t="n"/>
      <c r="L2533" s="48" t="n"/>
      <c r="M2533" s="45" t="n"/>
      <c r="N2533" s="39">
        <f>IF($B2533="","",IF(SUMPRODUCT((LISTAS!$O$3:$O$42&lt;&gt;"")*ISNUMBER(SEARCH(LISTAS!$O$3:$O$42,$I2533&amp;" "&amp;$K2533)))&gt;0,"CERCANA","NACIONAL"))</f>
        <v/>
      </c>
      <c r="O2533" s="39">
        <f>IF($B2533="","",IF(COUNTIFS(NOVEDADES!$C$4:$C$2003,$B2533)=0,"—","SÍ ("&amp;COUNTIFS(NOVEDADES!$C$4:$C$2003,$B2533)&amp;")"))</f>
        <v/>
      </c>
    </row>
    <row r="2534">
      <c r="A2534" s="41" t="n"/>
      <c r="B2534" s="41" t="n"/>
      <c r="C2534" s="41" t="n"/>
      <c r="D2534" s="41" t="n"/>
      <c r="E2534" s="46" t="n"/>
      <c r="F2534" s="41" t="n"/>
      <c r="G2534" s="41" t="n"/>
      <c r="H2534" s="41" t="n"/>
      <c r="I2534" s="41" t="n"/>
      <c r="J2534" s="47" t="n"/>
      <c r="K2534" s="41" t="n"/>
      <c r="L2534" s="48" t="n"/>
      <c r="M2534" s="45" t="n"/>
      <c r="N2534" s="39">
        <f>IF($B2534="","",IF(SUMPRODUCT((LISTAS!$O$3:$O$42&lt;&gt;"")*ISNUMBER(SEARCH(LISTAS!$O$3:$O$42,$I2534&amp;" "&amp;$K2534)))&gt;0,"CERCANA","NACIONAL"))</f>
        <v/>
      </c>
      <c r="O2534" s="39">
        <f>IF($B2534="","",IF(COUNTIFS(NOVEDADES!$C$4:$C$2003,$B2534)=0,"—","SÍ ("&amp;COUNTIFS(NOVEDADES!$C$4:$C$2003,$B2534)&amp;")"))</f>
        <v/>
      </c>
    </row>
    <row r="2535">
      <c r="A2535" s="41" t="n"/>
      <c r="B2535" s="41" t="n"/>
      <c r="C2535" s="41" t="n"/>
      <c r="D2535" s="41" t="n"/>
      <c r="E2535" s="46" t="n"/>
      <c r="F2535" s="41" t="n"/>
      <c r="G2535" s="41" t="n"/>
      <c r="H2535" s="41" t="n"/>
      <c r="I2535" s="41" t="n"/>
      <c r="J2535" s="47" t="n"/>
      <c r="K2535" s="41" t="n"/>
      <c r="L2535" s="48" t="n"/>
      <c r="M2535" s="45" t="n"/>
      <c r="N2535" s="39">
        <f>IF($B2535="","",IF(SUMPRODUCT((LISTAS!$O$3:$O$42&lt;&gt;"")*ISNUMBER(SEARCH(LISTAS!$O$3:$O$42,$I2535&amp;" "&amp;$K2535)))&gt;0,"CERCANA","NACIONAL"))</f>
        <v/>
      </c>
      <c r="O2535" s="39">
        <f>IF($B2535="","",IF(COUNTIFS(NOVEDADES!$C$4:$C$2003,$B2535)=0,"—","SÍ ("&amp;COUNTIFS(NOVEDADES!$C$4:$C$2003,$B2535)&amp;")"))</f>
        <v/>
      </c>
    </row>
    <row r="2536">
      <c r="A2536" s="41" t="n"/>
      <c r="B2536" s="41" t="n"/>
      <c r="C2536" s="41" t="n"/>
      <c r="D2536" s="41" t="n"/>
      <c r="E2536" s="46" t="n"/>
      <c r="F2536" s="41" t="n"/>
      <c r="G2536" s="41" t="n"/>
      <c r="H2536" s="41" t="n"/>
      <c r="I2536" s="41" t="n"/>
      <c r="J2536" s="47" t="n"/>
      <c r="K2536" s="41" t="n"/>
      <c r="L2536" s="48" t="n"/>
      <c r="M2536" s="45" t="n"/>
      <c r="N2536" s="39">
        <f>IF($B2536="","",IF(SUMPRODUCT((LISTAS!$O$3:$O$42&lt;&gt;"")*ISNUMBER(SEARCH(LISTAS!$O$3:$O$42,$I2536&amp;" "&amp;$K2536)))&gt;0,"CERCANA","NACIONAL"))</f>
        <v/>
      </c>
      <c r="O2536" s="39">
        <f>IF($B2536="","",IF(COUNTIFS(NOVEDADES!$C$4:$C$2003,$B2536)=0,"—","SÍ ("&amp;COUNTIFS(NOVEDADES!$C$4:$C$2003,$B2536)&amp;")"))</f>
        <v/>
      </c>
    </row>
    <row r="2537">
      <c r="A2537" s="41" t="n"/>
      <c r="B2537" s="41" t="n"/>
      <c r="C2537" s="41" t="n"/>
      <c r="D2537" s="41" t="n"/>
      <c r="E2537" s="46" t="n"/>
      <c r="F2537" s="41" t="n"/>
      <c r="G2537" s="41" t="n"/>
      <c r="H2537" s="41" t="n"/>
      <c r="I2537" s="41" t="n"/>
      <c r="J2537" s="47" t="n"/>
      <c r="K2537" s="41" t="n"/>
      <c r="L2537" s="48" t="n"/>
      <c r="M2537" s="45" t="n"/>
      <c r="N2537" s="39">
        <f>IF($B2537="","",IF(SUMPRODUCT((LISTAS!$O$3:$O$42&lt;&gt;"")*ISNUMBER(SEARCH(LISTAS!$O$3:$O$42,$I2537&amp;" "&amp;$K2537)))&gt;0,"CERCANA","NACIONAL"))</f>
        <v/>
      </c>
      <c r="O2537" s="39">
        <f>IF($B2537="","",IF(COUNTIFS(NOVEDADES!$C$4:$C$2003,$B2537)=0,"—","SÍ ("&amp;COUNTIFS(NOVEDADES!$C$4:$C$2003,$B2537)&amp;")"))</f>
        <v/>
      </c>
    </row>
    <row r="2538">
      <c r="A2538" s="41" t="n"/>
      <c r="B2538" s="41" t="n"/>
      <c r="C2538" s="41" t="n"/>
      <c r="D2538" s="41" t="n"/>
      <c r="E2538" s="46" t="n"/>
      <c r="F2538" s="41" t="n"/>
      <c r="G2538" s="41" t="n"/>
      <c r="H2538" s="41" t="n"/>
      <c r="I2538" s="41" t="n"/>
      <c r="J2538" s="47" t="n"/>
      <c r="K2538" s="41" t="n"/>
      <c r="L2538" s="48" t="n"/>
      <c r="M2538" s="45" t="n"/>
      <c r="N2538" s="39">
        <f>IF($B2538="","",IF(SUMPRODUCT((LISTAS!$O$3:$O$42&lt;&gt;"")*ISNUMBER(SEARCH(LISTAS!$O$3:$O$42,$I2538&amp;" "&amp;$K2538)))&gt;0,"CERCANA","NACIONAL"))</f>
        <v/>
      </c>
      <c r="O2538" s="39">
        <f>IF($B2538="","",IF(COUNTIFS(NOVEDADES!$C$4:$C$2003,$B2538)=0,"—","SÍ ("&amp;COUNTIFS(NOVEDADES!$C$4:$C$2003,$B2538)&amp;")"))</f>
        <v/>
      </c>
    </row>
    <row r="2539">
      <c r="A2539" s="41" t="n"/>
      <c r="B2539" s="41" t="n"/>
      <c r="C2539" s="41" t="n"/>
      <c r="D2539" s="41" t="n"/>
      <c r="E2539" s="46" t="n"/>
      <c r="F2539" s="41" t="n"/>
      <c r="G2539" s="41" t="n"/>
      <c r="H2539" s="41" t="n"/>
      <c r="I2539" s="41" t="n"/>
      <c r="J2539" s="47" t="n"/>
      <c r="K2539" s="41" t="n"/>
      <c r="L2539" s="48" t="n"/>
      <c r="M2539" s="45" t="n"/>
      <c r="N2539" s="39">
        <f>IF($B2539="","",IF(SUMPRODUCT((LISTAS!$O$3:$O$42&lt;&gt;"")*ISNUMBER(SEARCH(LISTAS!$O$3:$O$42,$I2539&amp;" "&amp;$K2539)))&gt;0,"CERCANA","NACIONAL"))</f>
        <v/>
      </c>
      <c r="O2539" s="39">
        <f>IF($B2539="","",IF(COUNTIFS(NOVEDADES!$C$4:$C$2003,$B2539)=0,"—","SÍ ("&amp;COUNTIFS(NOVEDADES!$C$4:$C$2003,$B2539)&amp;")"))</f>
        <v/>
      </c>
    </row>
    <row r="2540">
      <c r="A2540" s="41" t="n"/>
      <c r="B2540" s="41" t="n"/>
      <c r="C2540" s="41" t="n"/>
      <c r="D2540" s="41" t="n"/>
      <c r="E2540" s="46" t="n"/>
      <c r="F2540" s="41" t="n"/>
      <c r="G2540" s="41" t="n"/>
      <c r="H2540" s="41" t="n"/>
      <c r="I2540" s="41" t="n"/>
      <c r="J2540" s="47" t="n"/>
      <c r="K2540" s="41" t="n"/>
      <c r="L2540" s="48" t="n"/>
      <c r="M2540" s="45" t="n"/>
      <c r="N2540" s="39">
        <f>IF($B2540="","",IF(SUMPRODUCT((LISTAS!$O$3:$O$42&lt;&gt;"")*ISNUMBER(SEARCH(LISTAS!$O$3:$O$42,$I2540&amp;" "&amp;$K2540)))&gt;0,"CERCANA","NACIONAL"))</f>
        <v/>
      </c>
      <c r="O2540" s="39">
        <f>IF($B2540="","",IF(COUNTIFS(NOVEDADES!$C$4:$C$2003,$B2540)=0,"—","SÍ ("&amp;COUNTIFS(NOVEDADES!$C$4:$C$2003,$B2540)&amp;")"))</f>
        <v/>
      </c>
    </row>
    <row r="2541">
      <c r="A2541" s="41" t="n"/>
      <c r="B2541" s="41" t="n"/>
      <c r="C2541" s="41" t="n"/>
      <c r="D2541" s="41" t="n"/>
      <c r="E2541" s="46" t="n"/>
      <c r="F2541" s="41" t="n"/>
      <c r="G2541" s="41" t="n"/>
      <c r="H2541" s="41" t="n"/>
      <c r="I2541" s="41" t="n"/>
      <c r="J2541" s="47" t="n"/>
      <c r="K2541" s="41" t="n"/>
      <c r="L2541" s="48" t="n"/>
      <c r="M2541" s="45" t="n"/>
      <c r="N2541" s="39">
        <f>IF($B2541="","",IF(SUMPRODUCT((LISTAS!$O$3:$O$42&lt;&gt;"")*ISNUMBER(SEARCH(LISTAS!$O$3:$O$42,$I2541&amp;" "&amp;$K2541)))&gt;0,"CERCANA","NACIONAL"))</f>
        <v/>
      </c>
      <c r="O2541" s="39">
        <f>IF($B2541="","",IF(COUNTIFS(NOVEDADES!$C$4:$C$2003,$B2541)=0,"—","SÍ ("&amp;COUNTIFS(NOVEDADES!$C$4:$C$2003,$B2541)&amp;")"))</f>
        <v/>
      </c>
    </row>
    <row r="2542">
      <c r="A2542" s="41" t="n"/>
      <c r="B2542" s="41" t="n"/>
      <c r="C2542" s="41" t="n"/>
      <c r="D2542" s="41" t="n"/>
      <c r="E2542" s="46" t="n"/>
      <c r="F2542" s="41" t="n"/>
      <c r="G2542" s="41" t="n"/>
      <c r="H2542" s="41" t="n"/>
      <c r="I2542" s="41" t="n"/>
      <c r="J2542" s="47" t="n"/>
      <c r="K2542" s="41" t="n"/>
      <c r="L2542" s="48" t="n"/>
      <c r="M2542" s="45" t="n"/>
      <c r="N2542" s="39">
        <f>IF($B2542="","",IF(SUMPRODUCT((LISTAS!$O$3:$O$42&lt;&gt;"")*ISNUMBER(SEARCH(LISTAS!$O$3:$O$42,$I2542&amp;" "&amp;$K2542)))&gt;0,"CERCANA","NACIONAL"))</f>
        <v/>
      </c>
      <c r="O2542" s="39">
        <f>IF($B2542="","",IF(COUNTIFS(NOVEDADES!$C$4:$C$2003,$B2542)=0,"—","SÍ ("&amp;COUNTIFS(NOVEDADES!$C$4:$C$2003,$B2542)&amp;")"))</f>
        <v/>
      </c>
    </row>
    <row r="2543">
      <c r="A2543" s="41" t="n"/>
      <c r="B2543" s="41" t="n"/>
      <c r="C2543" s="41" t="n"/>
      <c r="D2543" s="41" t="n"/>
      <c r="E2543" s="46" t="n"/>
      <c r="F2543" s="41" t="n"/>
      <c r="G2543" s="41" t="n"/>
      <c r="H2543" s="41" t="n"/>
      <c r="I2543" s="41" t="n"/>
      <c r="J2543" s="47" t="n"/>
      <c r="K2543" s="41" t="n"/>
      <c r="L2543" s="48" t="n"/>
      <c r="M2543" s="45" t="n"/>
      <c r="N2543" s="39">
        <f>IF($B2543="","",IF(SUMPRODUCT((LISTAS!$O$3:$O$42&lt;&gt;"")*ISNUMBER(SEARCH(LISTAS!$O$3:$O$42,$I2543&amp;" "&amp;$K2543)))&gt;0,"CERCANA","NACIONAL"))</f>
        <v/>
      </c>
      <c r="O2543" s="39">
        <f>IF($B2543="","",IF(COUNTIFS(NOVEDADES!$C$4:$C$2003,$B2543)=0,"—","SÍ ("&amp;COUNTIFS(NOVEDADES!$C$4:$C$2003,$B2543)&amp;")"))</f>
        <v/>
      </c>
    </row>
    <row r="2544">
      <c r="A2544" s="41" t="n"/>
      <c r="B2544" s="41" t="n"/>
      <c r="C2544" s="41" t="n"/>
      <c r="D2544" s="41" t="n"/>
      <c r="E2544" s="46" t="n"/>
      <c r="F2544" s="41" t="n"/>
      <c r="G2544" s="41" t="n"/>
      <c r="H2544" s="41" t="n"/>
      <c r="I2544" s="41" t="n"/>
      <c r="J2544" s="47" t="n"/>
      <c r="K2544" s="41" t="n"/>
      <c r="L2544" s="48" t="n"/>
      <c r="M2544" s="45" t="n"/>
      <c r="N2544" s="39">
        <f>IF($B2544="","",IF(SUMPRODUCT((LISTAS!$O$3:$O$42&lt;&gt;"")*ISNUMBER(SEARCH(LISTAS!$O$3:$O$42,$I2544&amp;" "&amp;$K2544)))&gt;0,"CERCANA","NACIONAL"))</f>
        <v/>
      </c>
      <c r="O2544" s="39">
        <f>IF($B2544="","",IF(COUNTIFS(NOVEDADES!$C$4:$C$2003,$B2544)=0,"—","SÍ ("&amp;COUNTIFS(NOVEDADES!$C$4:$C$2003,$B2544)&amp;")"))</f>
        <v/>
      </c>
    </row>
    <row r="2545">
      <c r="A2545" s="41" t="n"/>
      <c r="B2545" s="41" t="n"/>
      <c r="C2545" s="41" t="n"/>
      <c r="D2545" s="41" t="n"/>
      <c r="E2545" s="46" t="n"/>
      <c r="F2545" s="41" t="n"/>
      <c r="G2545" s="41" t="n"/>
      <c r="H2545" s="41" t="n"/>
      <c r="I2545" s="41" t="n"/>
      <c r="J2545" s="47" t="n"/>
      <c r="K2545" s="41" t="n"/>
      <c r="L2545" s="48" t="n"/>
      <c r="M2545" s="45" t="n"/>
      <c r="N2545" s="39">
        <f>IF($B2545="","",IF(SUMPRODUCT((LISTAS!$O$3:$O$42&lt;&gt;"")*ISNUMBER(SEARCH(LISTAS!$O$3:$O$42,$I2545&amp;" "&amp;$K2545)))&gt;0,"CERCANA","NACIONAL"))</f>
        <v/>
      </c>
      <c r="O2545" s="39">
        <f>IF($B2545="","",IF(COUNTIFS(NOVEDADES!$C$4:$C$2003,$B2545)=0,"—","SÍ ("&amp;COUNTIFS(NOVEDADES!$C$4:$C$2003,$B2545)&amp;")"))</f>
        <v/>
      </c>
    </row>
    <row r="2546">
      <c r="A2546" s="41" t="n"/>
      <c r="B2546" s="41" t="n"/>
      <c r="C2546" s="41" t="n"/>
      <c r="D2546" s="41" t="n"/>
      <c r="E2546" s="46" t="n"/>
      <c r="F2546" s="41" t="n"/>
      <c r="G2546" s="41" t="n"/>
      <c r="H2546" s="41" t="n"/>
      <c r="I2546" s="41" t="n"/>
      <c r="J2546" s="47" t="n"/>
      <c r="K2546" s="41" t="n"/>
      <c r="L2546" s="48" t="n"/>
      <c r="M2546" s="45" t="n"/>
      <c r="N2546" s="39">
        <f>IF($B2546="","",IF(SUMPRODUCT((LISTAS!$O$3:$O$42&lt;&gt;"")*ISNUMBER(SEARCH(LISTAS!$O$3:$O$42,$I2546&amp;" "&amp;$K2546)))&gt;0,"CERCANA","NACIONAL"))</f>
        <v/>
      </c>
      <c r="O2546" s="39">
        <f>IF($B2546="","",IF(COUNTIFS(NOVEDADES!$C$4:$C$2003,$B2546)=0,"—","SÍ ("&amp;COUNTIFS(NOVEDADES!$C$4:$C$2003,$B2546)&amp;")"))</f>
        <v/>
      </c>
    </row>
    <row r="2547">
      <c r="A2547" s="41" t="n"/>
      <c r="B2547" s="41" t="n"/>
      <c r="C2547" s="41" t="n"/>
      <c r="D2547" s="41" t="n"/>
      <c r="E2547" s="46" t="n"/>
      <c r="F2547" s="41" t="n"/>
      <c r="G2547" s="41" t="n"/>
      <c r="H2547" s="41" t="n"/>
      <c r="I2547" s="41" t="n"/>
      <c r="J2547" s="47" t="n"/>
      <c r="K2547" s="41" t="n"/>
      <c r="L2547" s="48" t="n"/>
      <c r="M2547" s="45" t="n"/>
      <c r="N2547" s="39">
        <f>IF($B2547="","",IF(SUMPRODUCT((LISTAS!$O$3:$O$42&lt;&gt;"")*ISNUMBER(SEARCH(LISTAS!$O$3:$O$42,$I2547&amp;" "&amp;$K2547)))&gt;0,"CERCANA","NACIONAL"))</f>
        <v/>
      </c>
      <c r="O2547" s="39">
        <f>IF($B2547="","",IF(COUNTIFS(NOVEDADES!$C$4:$C$2003,$B2547)=0,"—","SÍ ("&amp;COUNTIFS(NOVEDADES!$C$4:$C$2003,$B2547)&amp;")"))</f>
        <v/>
      </c>
    </row>
    <row r="2548">
      <c r="A2548" s="41" t="n"/>
      <c r="B2548" s="41" t="n"/>
      <c r="C2548" s="41" t="n"/>
      <c r="D2548" s="41" t="n"/>
      <c r="E2548" s="46" t="n"/>
      <c r="F2548" s="41" t="n"/>
      <c r="G2548" s="41" t="n"/>
      <c r="H2548" s="41" t="n"/>
      <c r="I2548" s="41" t="n"/>
      <c r="J2548" s="47" t="n"/>
      <c r="K2548" s="41" t="n"/>
      <c r="L2548" s="48" t="n"/>
      <c r="M2548" s="45" t="n"/>
      <c r="N2548" s="39">
        <f>IF($B2548="","",IF(SUMPRODUCT((LISTAS!$O$3:$O$42&lt;&gt;"")*ISNUMBER(SEARCH(LISTAS!$O$3:$O$42,$I2548&amp;" "&amp;$K2548)))&gt;0,"CERCANA","NACIONAL"))</f>
        <v/>
      </c>
      <c r="O2548" s="39">
        <f>IF($B2548="","",IF(COUNTIFS(NOVEDADES!$C$4:$C$2003,$B2548)=0,"—","SÍ ("&amp;COUNTIFS(NOVEDADES!$C$4:$C$2003,$B2548)&amp;")"))</f>
        <v/>
      </c>
    </row>
    <row r="2549">
      <c r="A2549" s="41" t="n"/>
      <c r="B2549" s="41" t="n"/>
      <c r="C2549" s="41" t="n"/>
      <c r="D2549" s="41" t="n"/>
      <c r="E2549" s="46" t="n"/>
      <c r="F2549" s="41" t="n"/>
      <c r="G2549" s="41" t="n"/>
      <c r="H2549" s="41" t="n"/>
      <c r="I2549" s="41" t="n"/>
      <c r="J2549" s="47" t="n"/>
      <c r="K2549" s="41" t="n"/>
      <c r="L2549" s="48" t="n"/>
      <c r="M2549" s="45" t="n"/>
      <c r="N2549" s="39">
        <f>IF($B2549="","",IF(SUMPRODUCT((LISTAS!$O$3:$O$42&lt;&gt;"")*ISNUMBER(SEARCH(LISTAS!$O$3:$O$42,$I2549&amp;" "&amp;$K2549)))&gt;0,"CERCANA","NACIONAL"))</f>
        <v/>
      </c>
      <c r="O2549" s="39">
        <f>IF($B2549="","",IF(COUNTIFS(NOVEDADES!$C$4:$C$2003,$B2549)=0,"—","SÍ ("&amp;COUNTIFS(NOVEDADES!$C$4:$C$2003,$B2549)&amp;")"))</f>
        <v/>
      </c>
    </row>
    <row r="2550">
      <c r="A2550" s="41" t="n"/>
      <c r="B2550" s="41" t="n"/>
      <c r="C2550" s="41" t="n"/>
      <c r="D2550" s="41" t="n"/>
      <c r="E2550" s="46" t="n"/>
      <c r="F2550" s="41" t="n"/>
      <c r="G2550" s="41" t="n"/>
      <c r="H2550" s="41" t="n"/>
      <c r="I2550" s="41" t="n"/>
      <c r="J2550" s="47" t="n"/>
      <c r="K2550" s="41" t="n"/>
      <c r="L2550" s="48" t="n"/>
      <c r="M2550" s="45" t="n"/>
      <c r="N2550" s="39">
        <f>IF($B2550="","",IF(SUMPRODUCT((LISTAS!$O$3:$O$42&lt;&gt;"")*ISNUMBER(SEARCH(LISTAS!$O$3:$O$42,$I2550&amp;" "&amp;$K2550)))&gt;0,"CERCANA","NACIONAL"))</f>
        <v/>
      </c>
      <c r="O2550" s="39">
        <f>IF($B2550="","",IF(COUNTIFS(NOVEDADES!$C$4:$C$2003,$B2550)=0,"—","SÍ ("&amp;COUNTIFS(NOVEDADES!$C$4:$C$2003,$B2550)&amp;")"))</f>
        <v/>
      </c>
    </row>
    <row r="2551">
      <c r="A2551" s="41" t="n"/>
      <c r="B2551" s="41" t="n"/>
      <c r="C2551" s="41" t="n"/>
      <c r="D2551" s="41" t="n"/>
      <c r="E2551" s="46" t="n"/>
      <c r="F2551" s="41" t="n"/>
      <c r="G2551" s="41" t="n"/>
      <c r="H2551" s="41" t="n"/>
      <c r="I2551" s="41" t="n"/>
      <c r="J2551" s="47" t="n"/>
      <c r="K2551" s="41" t="n"/>
      <c r="L2551" s="48" t="n"/>
      <c r="M2551" s="45" t="n"/>
      <c r="N2551" s="39">
        <f>IF($B2551="","",IF(SUMPRODUCT((LISTAS!$O$3:$O$42&lt;&gt;"")*ISNUMBER(SEARCH(LISTAS!$O$3:$O$42,$I2551&amp;" "&amp;$K2551)))&gt;0,"CERCANA","NACIONAL"))</f>
        <v/>
      </c>
      <c r="O2551" s="39">
        <f>IF($B2551="","",IF(COUNTIFS(NOVEDADES!$C$4:$C$2003,$B2551)=0,"—","SÍ ("&amp;COUNTIFS(NOVEDADES!$C$4:$C$2003,$B2551)&amp;")"))</f>
        <v/>
      </c>
    </row>
    <row r="2552">
      <c r="A2552" s="41" t="n"/>
      <c r="B2552" s="41" t="n"/>
      <c r="C2552" s="41" t="n"/>
      <c r="D2552" s="41" t="n"/>
      <c r="E2552" s="46" t="n"/>
      <c r="F2552" s="41" t="n"/>
      <c r="G2552" s="41" t="n"/>
      <c r="H2552" s="41" t="n"/>
      <c r="I2552" s="41" t="n"/>
      <c r="J2552" s="47" t="n"/>
      <c r="K2552" s="41" t="n"/>
      <c r="L2552" s="48" t="n"/>
      <c r="M2552" s="45" t="n"/>
      <c r="N2552" s="39">
        <f>IF($B2552="","",IF(SUMPRODUCT((LISTAS!$O$3:$O$42&lt;&gt;"")*ISNUMBER(SEARCH(LISTAS!$O$3:$O$42,$I2552&amp;" "&amp;$K2552)))&gt;0,"CERCANA","NACIONAL"))</f>
        <v/>
      </c>
      <c r="O2552" s="39">
        <f>IF($B2552="","",IF(COUNTIFS(NOVEDADES!$C$4:$C$2003,$B2552)=0,"—","SÍ ("&amp;COUNTIFS(NOVEDADES!$C$4:$C$2003,$B2552)&amp;")"))</f>
        <v/>
      </c>
    </row>
    <row r="2553">
      <c r="A2553" s="41" t="n"/>
      <c r="B2553" s="41" t="n"/>
      <c r="C2553" s="41" t="n"/>
      <c r="D2553" s="41" t="n"/>
      <c r="E2553" s="46" t="n"/>
      <c r="F2553" s="41" t="n"/>
      <c r="G2553" s="41" t="n"/>
      <c r="H2553" s="41" t="n"/>
      <c r="I2553" s="41" t="n"/>
      <c r="J2553" s="47" t="n"/>
      <c r="K2553" s="41" t="n"/>
      <c r="L2553" s="48" t="n"/>
      <c r="M2553" s="45" t="n"/>
      <c r="N2553" s="39">
        <f>IF($B2553="","",IF(SUMPRODUCT((LISTAS!$O$3:$O$42&lt;&gt;"")*ISNUMBER(SEARCH(LISTAS!$O$3:$O$42,$I2553&amp;" "&amp;$K2553)))&gt;0,"CERCANA","NACIONAL"))</f>
        <v/>
      </c>
      <c r="O2553" s="39">
        <f>IF($B2553="","",IF(COUNTIFS(NOVEDADES!$C$4:$C$2003,$B2553)=0,"—","SÍ ("&amp;COUNTIFS(NOVEDADES!$C$4:$C$2003,$B2553)&amp;")"))</f>
        <v/>
      </c>
    </row>
    <row r="2554">
      <c r="A2554" s="41" t="n"/>
      <c r="B2554" s="41" t="n"/>
      <c r="C2554" s="41" t="n"/>
      <c r="D2554" s="41" t="n"/>
      <c r="E2554" s="46" t="n"/>
      <c r="F2554" s="41" t="n"/>
      <c r="G2554" s="41" t="n"/>
      <c r="H2554" s="41" t="n"/>
      <c r="I2554" s="41" t="n"/>
      <c r="J2554" s="47" t="n"/>
      <c r="K2554" s="41" t="n"/>
      <c r="L2554" s="48" t="n"/>
      <c r="M2554" s="45" t="n"/>
      <c r="N2554" s="39">
        <f>IF($B2554="","",IF(SUMPRODUCT((LISTAS!$O$3:$O$42&lt;&gt;"")*ISNUMBER(SEARCH(LISTAS!$O$3:$O$42,$I2554&amp;" "&amp;$K2554)))&gt;0,"CERCANA","NACIONAL"))</f>
        <v/>
      </c>
      <c r="O2554" s="39">
        <f>IF($B2554="","",IF(COUNTIFS(NOVEDADES!$C$4:$C$2003,$B2554)=0,"—","SÍ ("&amp;COUNTIFS(NOVEDADES!$C$4:$C$2003,$B2554)&amp;")"))</f>
        <v/>
      </c>
    </row>
    <row r="2555">
      <c r="A2555" s="41" t="n"/>
      <c r="B2555" s="41" t="n"/>
      <c r="C2555" s="41" t="n"/>
      <c r="D2555" s="41" t="n"/>
      <c r="E2555" s="46" t="n"/>
      <c r="F2555" s="41" t="n"/>
      <c r="G2555" s="41" t="n"/>
      <c r="H2555" s="41" t="n"/>
      <c r="I2555" s="41" t="n"/>
      <c r="J2555" s="47" t="n"/>
      <c r="K2555" s="41" t="n"/>
      <c r="L2555" s="48" t="n"/>
      <c r="M2555" s="45" t="n"/>
      <c r="N2555" s="39">
        <f>IF($B2555="","",IF(SUMPRODUCT((LISTAS!$O$3:$O$42&lt;&gt;"")*ISNUMBER(SEARCH(LISTAS!$O$3:$O$42,$I2555&amp;" "&amp;$K2555)))&gt;0,"CERCANA","NACIONAL"))</f>
        <v/>
      </c>
      <c r="O2555" s="39">
        <f>IF($B2555="","",IF(COUNTIFS(NOVEDADES!$C$4:$C$2003,$B2555)=0,"—","SÍ ("&amp;COUNTIFS(NOVEDADES!$C$4:$C$2003,$B2555)&amp;")"))</f>
        <v/>
      </c>
    </row>
    <row r="2556">
      <c r="A2556" s="41" t="n"/>
      <c r="B2556" s="41" t="n"/>
      <c r="C2556" s="41" t="n"/>
      <c r="D2556" s="41" t="n"/>
      <c r="E2556" s="46" t="n"/>
      <c r="F2556" s="41" t="n"/>
      <c r="G2556" s="41" t="n"/>
      <c r="H2556" s="41" t="n"/>
      <c r="I2556" s="41" t="n"/>
      <c r="J2556" s="47" t="n"/>
      <c r="K2556" s="41" t="n"/>
      <c r="L2556" s="48" t="n"/>
      <c r="M2556" s="45" t="n"/>
      <c r="N2556" s="39">
        <f>IF($B2556="","",IF(SUMPRODUCT((LISTAS!$O$3:$O$42&lt;&gt;"")*ISNUMBER(SEARCH(LISTAS!$O$3:$O$42,$I2556&amp;" "&amp;$K2556)))&gt;0,"CERCANA","NACIONAL"))</f>
        <v/>
      </c>
      <c r="O2556" s="39">
        <f>IF($B2556="","",IF(COUNTIFS(NOVEDADES!$C$4:$C$2003,$B2556)=0,"—","SÍ ("&amp;COUNTIFS(NOVEDADES!$C$4:$C$2003,$B2556)&amp;")"))</f>
        <v/>
      </c>
    </row>
    <row r="2557">
      <c r="A2557" s="41" t="n"/>
      <c r="B2557" s="41" t="n"/>
      <c r="C2557" s="41" t="n"/>
      <c r="D2557" s="41" t="n"/>
      <c r="E2557" s="46" t="n"/>
      <c r="F2557" s="41" t="n"/>
      <c r="G2557" s="41" t="n"/>
      <c r="H2557" s="41" t="n"/>
      <c r="I2557" s="41" t="n"/>
      <c r="J2557" s="47" t="n"/>
      <c r="K2557" s="41" t="n"/>
      <c r="L2557" s="48" t="n"/>
      <c r="M2557" s="45" t="n"/>
      <c r="N2557" s="39">
        <f>IF($B2557="","",IF(SUMPRODUCT((LISTAS!$O$3:$O$42&lt;&gt;"")*ISNUMBER(SEARCH(LISTAS!$O$3:$O$42,$I2557&amp;" "&amp;$K2557)))&gt;0,"CERCANA","NACIONAL"))</f>
        <v/>
      </c>
      <c r="O2557" s="39">
        <f>IF($B2557="","",IF(COUNTIFS(NOVEDADES!$C$4:$C$2003,$B2557)=0,"—","SÍ ("&amp;COUNTIFS(NOVEDADES!$C$4:$C$2003,$B2557)&amp;")"))</f>
        <v/>
      </c>
    </row>
    <row r="2558">
      <c r="A2558" s="41" t="n"/>
      <c r="B2558" s="41" t="n"/>
      <c r="C2558" s="41" t="n"/>
      <c r="D2558" s="41" t="n"/>
      <c r="E2558" s="46" t="n"/>
      <c r="F2558" s="41" t="n"/>
      <c r="G2558" s="41" t="n"/>
      <c r="H2558" s="41" t="n"/>
      <c r="I2558" s="41" t="n"/>
      <c r="J2558" s="47" t="n"/>
      <c r="K2558" s="41" t="n"/>
      <c r="L2558" s="48" t="n"/>
      <c r="M2558" s="45" t="n"/>
      <c r="N2558" s="39">
        <f>IF($B2558="","",IF(SUMPRODUCT((LISTAS!$O$3:$O$42&lt;&gt;"")*ISNUMBER(SEARCH(LISTAS!$O$3:$O$42,$I2558&amp;" "&amp;$K2558)))&gt;0,"CERCANA","NACIONAL"))</f>
        <v/>
      </c>
      <c r="O2558" s="39">
        <f>IF($B2558="","",IF(COUNTIFS(NOVEDADES!$C$4:$C$2003,$B2558)=0,"—","SÍ ("&amp;COUNTIFS(NOVEDADES!$C$4:$C$2003,$B2558)&amp;")"))</f>
        <v/>
      </c>
    </row>
    <row r="2559">
      <c r="A2559" s="41" t="n"/>
      <c r="B2559" s="41" t="n"/>
      <c r="C2559" s="41" t="n"/>
      <c r="D2559" s="41" t="n"/>
      <c r="E2559" s="46" t="n"/>
      <c r="F2559" s="41" t="n"/>
      <c r="G2559" s="41" t="n"/>
      <c r="H2559" s="41" t="n"/>
      <c r="I2559" s="41" t="n"/>
      <c r="J2559" s="47" t="n"/>
      <c r="K2559" s="41" t="n"/>
      <c r="L2559" s="48" t="n"/>
      <c r="M2559" s="45" t="n"/>
      <c r="N2559" s="39">
        <f>IF($B2559="","",IF(SUMPRODUCT((LISTAS!$O$3:$O$42&lt;&gt;"")*ISNUMBER(SEARCH(LISTAS!$O$3:$O$42,$I2559&amp;" "&amp;$K2559)))&gt;0,"CERCANA","NACIONAL"))</f>
        <v/>
      </c>
      <c r="O2559" s="39">
        <f>IF($B2559="","",IF(COUNTIFS(NOVEDADES!$C$4:$C$2003,$B2559)=0,"—","SÍ ("&amp;COUNTIFS(NOVEDADES!$C$4:$C$2003,$B2559)&amp;")"))</f>
        <v/>
      </c>
    </row>
    <row r="2560">
      <c r="A2560" s="41" t="n"/>
      <c r="B2560" s="41" t="n"/>
      <c r="C2560" s="41" t="n"/>
      <c r="D2560" s="41" t="n"/>
      <c r="E2560" s="46" t="n"/>
      <c r="F2560" s="41" t="n"/>
      <c r="G2560" s="41" t="n"/>
      <c r="H2560" s="41" t="n"/>
      <c r="I2560" s="41" t="n"/>
      <c r="J2560" s="47" t="n"/>
      <c r="K2560" s="41" t="n"/>
      <c r="L2560" s="48" t="n"/>
      <c r="M2560" s="45" t="n"/>
      <c r="N2560" s="39">
        <f>IF($B2560="","",IF(SUMPRODUCT((LISTAS!$O$3:$O$42&lt;&gt;"")*ISNUMBER(SEARCH(LISTAS!$O$3:$O$42,$I2560&amp;" "&amp;$K2560)))&gt;0,"CERCANA","NACIONAL"))</f>
        <v/>
      </c>
      <c r="O2560" s="39">
        <f>IF($B2560="","",IF(COUNTIFS(NOVEDADES!$C$4:$C$2003,$B2560)=0,"—","SÍ ("&amp;COUNTIFS(NOVEDADES!$C$4:$C$2003,$B2560)&amp;")"))</f>
        <v/>
      </c>
    </row>
    <row r="2561">
      <c r="A2561" s="41" t="n"/>
      <c r="B2561" s="41" t="n"/>
      <c r="C2561" s="41" t="n"/>
      <c r="D2561" s="41" t="n"/>
      <c r="E2561" s="46" t="n"/>
      <c r="F2561" s="41" t="n"/>
      <c r="G2561" s="41" t="n"/>
      <c r="H2561" s="41" t="n"/>
      <c r="I2561" s="41" t="n"/>
      <c r="J2561" s="47" t="n"/>
      <c r="K2561" s="41" t="n"/>
      <c r="L2561" s="48" t="n"/>
      <c r="M2561" s="45" t="n"/>
      <c r="N2561" s="39">
        <f>IF($B2561="","",IF(SUMPRODUCT((LISTAS!$O$3:$O$42&lt;&gt;"")*ISNUMBER(SEARCH(LISTAS!$O$3:$O$42,$I2561&amp;" "&amp;$K2561)))&gt;0,"CERCANA","NACIONAL"))</f>
        <v/>
      </c>
      <c r="O2561" s="39">
        <f>IF($B2561="","",IF(COUNTIFS(NOVEDADES!$C$4:$C$2003,$B2561)=0,"—","SÍ ("&amp;COUNTIFS(NOVEDADES!$C$4:$C$2003,$B2561)&amp;")"))</f>
        <v/>
      </c>
    </row>
    <row r="2562">
      <c r="A2562" s="41" t="n"/>
      <c r="B2562" s="41" t="n"/>
      <c r="C2562" s="41" t="n"/>
      <c r="D2562" s="41" t="n"/>
      <c r="E2562" s="46" t="n"/>
      <c r="F2562" s="41" t="n"/>
      <c r="G2562" s="41" t="n"/>
      <c r="H2562" s="41" t="n"/>
      <c r="I2562" s="41" t="n"/>
      <c r="J2562" s="47" t="n"/>
      <c r="K2562" s="41" t="n"/>
      <c r="L2562" s="48" t="n"/>
      <c r="M2562" s="45" t="n"/>
      <c r="N2562" s="39">
        <f>IF($B2562="","",IF(SUMPRODUCT((LISTAS!$O$3:$O$42&lt;&gt;"")*ISNUMBER(SEARCH(LISTAS!$O$3:$O$42,$I2562&amp;" "&amp;$K2562)))&gt;0,"CERCANA","NACIONAL"))</f>
        <v/>
      </c>
      <c r="O2562" s="39">
        <f>IF($B2562="","",IF(COUNTIFS(NOVEDADES!$C$4:$C$2003,$B2562)=0,"—","SÍ ("&amp;COUNTIFS(NOVEDADES!$C$4:$C$2003,$B2562)&amp;")"))</f>
        <v/>
      </c>
    </row>
    <row r="2563">
      <c r="A2563" s="41" t="n"/>
      <c r="B2563" s="41" t="n"/>
      <c r="C2563" s="41" t="n"/>
      <c r="D2563" s="41" t="n"/>
      <c r="E2563" s="46" t="n"/>
      <c r="F2563" s="41" t="n"/>
      <c r="G2563" s="41" t="n"/>
      <c r="H2563" s="41" t="n"/>
      <c r="I2563" s="41" t="n"/>
      <c r="J2563" s="47" t="n"/>
      <c r="K2563" s="41" t="n"/>
      <c r="L2563" s="48" t="n"/>
      <c r="M2563" s="45" t="n"/>
      <c r="N2563" s="39">
        <f>IF($B2563="","",IF(SUMPRODUCT((LISTAS!$O$3:$O$42&lt;&gt;"")*ISNUMBER(SEARCH(LISTAS!$O$3:$O$42,$I2563&amp;" "&amp;$K2563)))&gt;0,"CERCANA","NACIONAL"))</f>
        <v/>
      </c>
      <c r="O2563" s="39">
        <f>IF($B2563="","",IF(COUNTIFS(NOVEDADES!$C$4:$C$2003,$B2563)=0,"—","SÍ ("&amp;COUNTIFS(NOVEDADES!$C$4:$C$2003,$B2563)&amp;")"))</f>
        <v/>
      </c>
    </row>
    <row r="2564">
      <c r="A2564" s="41" t="n"/>
      <c r="B2564" s="41" t="n"/>
      <c r="C2564" s="41" t="n"/>
      <c r="D2564" s="41" t="n"/>
      <c r="E2564" s="46" t="n"/>
      <c r="F2564" s="41" t="n"/>
      <c r="G2564" s="41" t="n"/>
      <c r="H2564" s="41" t="n"/>
      <c r="I2564" s="41" t="n"/>
      <c r="J2564" s="47" t="n"/>
      <c r="K2564" s="41" t="n"/>
      <c r="L2564" s="48" t="n"/>
      <c r="M2564" s="45" t="n"/>
      <c r="N2564" s="39">
        <f>IF($B2564="","",IF(SUMPRODUCT((LISTAS!$O$3:$O$42&lt;&gt;"")*ISNUMBER(SEARCH(LISTAS!$O$3:$O$42,$I2564&amp;" "&amp;$K2564)))&gt;0,"CERCANA","NACIONAL"))</f>
        <v/>
      </c>
      <c r="O2564" s="39">
        <f>IF($B2564="","",IF(COUNTIFS(NOVEDADES!$C$4:$C$2003,$B2564)=0,"—","SÍ ("&amp;COUNTIFS(NOVEDADES!$C$4:$C$2003,$B2564)&amp;")"))</f>
        <v/>
      </c>
    </row>
    <row r="2565">
      <c r="A2565" s="41" t="n"/>
      <c r="B2565" s="41" t="n"/>
      <c r="C2565" s="41" t="n"/>
      <c r="D2565" s="41" t="n"/>
      <c r="E2565" s="46" t="n"/>
      <c r="F2565" s="41" t="n"/>
      <c r="G2565" s="41" t="n"/>
      <c r="H2565" s="41" t="n"/>
      <c r="I2565" s="41" t="n"/>
      <c r="J2565" s="47" t="n"/>
      <c r="K2565" s="41" t="n"/>
      <c r="L2565" s="48" t="n"/>
      <c r="M2565" s="45" t="n"/>
      <c r="N2565" s="39">
        <f>IF($B2565="","",IF(SUMPRODUCT((LISTAS!$O$3:$O$42&lt;&gt;"")*ISNUMBER(SEARCH(LISTAS!$O$3:$O$42,$I2565&amp;" "&amp;$K2565)))&gt;0,"CERCANA","NACIONAL"))</f>
        <v/>
      </c>
      <c r="O2565" s="39">
        <f>IF($B2565="","",IF(COUNTIFS(NOVEDADES!$C$4:$C$2003,$B2565)=0,"—","SÍ ("&amp;COUNTIFS(NOVEDADES!$C$4:$C$2003,$B2565)&amp;")"))</f>
        <v/>
      </c>
    </row>
    <row r="2566">
      <c r="A2566" s="41" t="n"/>
      <c r="B2566" s="41" t="n"/>
      <c r="C2566" s="41" t="n"/>
      <c r="D2566" s="41" t="n"/>
      <c r="E2566" s="46" t="n"/>
      <c r="F2566" s="41" t="n"/>
      <c r="G2566" s="41" t="n"/>
      <c r="H2566" s="41" t="n"/>
      <c r="I2566" s="41" t="n"/>
      <c r="J2566" s="47" t="n"/>
      <c r="K2566" s="41" t="n"/>
      <c r="L2566" s="48" t="n"/>
      <c r="M2566" s="45" t="n"/>
      <c r="N2566" s="39">
        <f>IF($B2566="","",IF(SUMPRODUCT((LISTAS!$O$3:$O$42&lt;&gt;"")*ISNUMBER(SEARCH(LISTAS!$O$3:$O$42,$I2566&amp;" "&amp;$K2566)))&gt;0,"CERCANA","NACIONAL"))</f>
        <v/>
      </c>
      <c r="O2566" s="39">
        <f>IF($B2566="","",IF(COUNTIFS(NOVEDADES!$C$4:$C$2003,$B2566)=0,"—","SÍ ("&amp;COUNTIFS(NOVEDADES!$C$4:$C$2003,$B2566)&amp;")"))</f>
        <v/>
      </c>
    </row>
    <row r="2567">
      <c r="A2567" s="41" t="n"/>
      <c r="B2567" s="41" t="n"/>
      <c r="C2567" s="41" t="n"/>
      <c r="D2567" s="41" t="n"/>
      <c r="E2567" s="46" t="n"/>
      <c r="F2567" s="41" t="n"/>
      <c r="G2567" s="41" t="n"/>
      <c r="H2567" s="41" t="n"/>
      <c r="I2567" s="41" t="n"/>
      <c r="J2567" s="47" t="n"/>
      <c r="K2567" s="41" t="n"/>
      <c r="L2567" s="48" t="n"/>
      <c r="M2567" s="45" t="n"/>
      <c r="N2567" s="39">
        <f>IF($B2567="","",IF(SUMPRODUCT((LISTAS!$O$3:$O$42&lt;&gt;"")*ISNUMBER(SEARCH(LISTAS!$O$3:$O$42,$I2567&amp;" "&amp;$K2567)))&gt;0,"CERCANA","NACIONAL"))</f>
        <v/>
      </c>
      <c r="O2567" s="39">
        <f>IF($B2567="","",IF(COUNTIFS(NOVEDADES!$C$4:$C$2003,$B2567)=0,"—","SÍ ("&amp;COUNTIFS(NOVEDADES!$C$4:$C$2003,$B2567)&amp;")"))</f>
        <v/>
      </c>
    </row>
    <row r="2568">
      <c r="A2568" s="41" t="n"/>
      <c r="B2568" s="41" t="n"/>
      <c r="C2568" s="41" t="n"/>
      <c r="D2568" s="41" t="n"/>
      <c r="E2568" s="46" t="n"/>
      <c r="F2568" s="41" t="n"/>
      <c r="G2568" s="41" t="n"/>
      <c r="H2568" s="41" t="n"/>
      <c r="I2568" s="41" t="n"/>
      <c r="J2568" s="47" t="n"/>
      <c r="K2568" s="41" t="n"/>
      <c r="L2568" s="48" t="n"/>
      <c r="M2568" s="45" t="n"/>
      <c r="N2568" s="39">
        <f>IF($B2568="","",IF(SUMPRODUCT((LISTAS!$O$3:$O$42&lt;&gt;"")*ISNUMBER(SEARCH(LISTAS!$O$3:$O$42,$I2568&amp;" "&amp;$K2568)))&gt;0,"CERCANA","NACIONAL"))</f>
        <v/>
      </c>
      <c r="O2568" s="39">
        <f>IF($B2568="","",IF(COUNTIFS(NOVEDADES!$C$4:$C$2003,$B2568)=0,"—","SÍ ("&amp;COUNTIFS(NOVEDADES!$C$4:$C$2003,$B2568)&amp;")"))</f>
        <v/>
      </c>
    </row>
    <row r="2569">
      <c r="A2569" s="41" t="n"/>
      <c r="B2569" s="41" t="n"/>
      <c r="C2569" s="41" t="n"/>
      <c r="D2569" s="41" t="n"/>
      <c r="E2569" s="46" t="n"/>
      <c r="F2569" s="41" t="n"/>
      <c r="G2569" s="41" t="n"/>
      <c r="H2569" s="41" t="n"/>
      <c r="I2569" s="41" t="n"/>
      <c r="J2569" s="47" t="n"/>
      <c r="K2569" s="41" t="n"/>
      <c r="L2569" s="48" t="n"/>
      <c r="M2569" s="45" t="n"/>
      <c r="N2569" s="39">
        <f>IF($B2569="","",IF(SUMPRODUCT((LISTAS!$O$3:$O$42&lt;&gt;"")*ISNUMBER(SEARCH(LISTAS!$O$3:$O$42,$I2569&amp;" "&amp;$K2569)))&gt;0,"CERCANA","NACIONAL"))</f>
        <v/>
      </c>
      <c r="O2569" s="39">
        <f>IF($B2569="","",IF(COUNTIFS(NOVEDADES!$C$4:$C$2003,$B2569)=0,"—","SÍ ("&amp;COUNTIFS(NOVEDADES!$C$4:$C$2003,$B2569)&amp;")"))</f>
        <v/>
      </c>
    </row>
    <row r="2570">
      <c r="A2570" s="41" t="n"/>
      <c r="B2570" s="41" t="n"/>
      <c r="C2570" s="41" t="n"/>
      <c r="D2570" s="41" t="n"/>
      <c r="E2570" s="46" t="n"/>
      <c r="F2570" s="41" t="n"/>
      <c r="G2570" s="41" t="n"/>
      <c r="H2570" s="41" t="n"/>
      <c r="I2570" s="41" t="n"/>
      <c r="J2570" s="47" t="n"/>
      <c r="K2570" s="41" t="n"/>
      <c r="L2570" s="48" t="n"/>
      <c r="M2570" s="45" t="n"/>
      <c r="N2570" s="39">
        <f>IF($B2570="","",IF(SUMPRODUCT((LISTAS!$O$3:$O$42&lt;&gt;"")*ISNUMBER(SEARCH(LISTAS!$O$3:$O$42,$I2570&amp;" "&amp;$K2570)))&gt;0,"CERCANA","NACIONAL"))</f>
        <v/>
      </c>
      <c r="O2570" s="39">
        <f>IF($B2570="","",IF(COUNTIFS(NOVEDADES!$C$4:$C$2003,$B2570)=0,"—","SÍ ("&amp;COUNTIFS(NOVEDADES!$C$4:$C$2003,$B2570)&amp;")"))</f>
        <v/>
      </c>
    </row>
    <row r="2571">
      <c r="A2571" s="41" t="n"/>
      <c r="B2571" s="41" t="n"/>
      <c r="C2571" s="41" t="n"/>
      <c r="D2571" s="41" t="n"/>
      <c r="E2571" s="46" t="n"/>
      <c r="F2571" s="41" t="n"/>
      <c r="G2571" s="41" t="n"/>
      <c r="H2571" s="41" t="n"/>
      <c r="I2571" s="41" t="n"/>
      <c r="J2571" s="47" t="n"/>
      <c r="K2571" s="41" t="n"/>
      <c r="L2571" s="48" t="n"/>
      <c r="M2571" s="45" t="n"/>
      <c r="N2571" s="39">
        <f>IF($B2571="","",IF(SUMPRODUCT((LISTAS!$O$3:$O$42&lt;&gt;"")*ISNUMBER(SEARCH(LISTAS!$O$3:$O$42,$I2571&amp;" "&amp;$K2571)))&gt;0,"CERCANA","NACIONAL"))</f>
        <v/>
      </c>
      <c r="O2571" s="39">
        <f>IF($B2571="","",IF(COUNTIFS(NOVEDADES!$C$4:$C$2003,$B2571)=0,"—","SÍ ("&amp;COUNTIFS(NOVEDADES!$C$4:$C$2003,$B2571)&amp;")"))</f>
        <v/>
      </c>
    </row>
    <row r="2572">
      <c r="A2572" s="41" t="n"/>
      <c r="B2572" s="41" t="n"/>
      <c r="C2572" s="41" t="n"/>
      <c r="D2572" s="41" t="n"/>
      <c r="E2572" s="46" t="n"/>
      <c r="F2572" s="41" t="n"/>
      <c r="G2572" s="41" t="n"/>
      <c r="H2572" s="41" t="n"/>
      <c r="I2572" s="41" t="n"/>
      <c r="J2572" s="47" t="n"/>
      <c r="K2572" s="41" t="n"/>
      <c r="L2572" s="48" t="n"/>
      <c r="M2572" s="45" t="n"/>
      <c r="N2572" s="39">
        <f>IF($B2572="","",IF(SUMPRODUCT((LISTAS!$O$3:$O$42&lt;&gt;"")*ISNUMBER(SEARCH(LISTAS!$O$3:$O$42,$I2572&amp;" "&amp;$K2572)))&gt;0,"CERCANA","NACIONAL"))</f>
        <v/>
      </c>
      <c r="O2572" s="39">
        <f>IF($B2572="","",IF(COUNTIFS(NOVEDADES!$C$4:$C$2003,$B2572)=0,"—","SÍ ("&amp;COUNTIFS(NOVEDADES!$C$4:$C$2003,$B2572)&amp;")"))</f>
        <v/>
      </c>
    </row>
    <row r="2573">
      <c r="A2573" s="41" t="n"/>
      <c r="B2573" s="41" t="n"/>
      <c r="C2573" s="41" t="n"/>
      <c r="D2573" s="41" t="n"/>
      <c r="E2573" s="46" t="n"/>
      <c r="F2573" s="41" t="n"/>
      <c r="G2573" s="41" t="n"/>
      <c r="H2573" s="41" t="n"/>
      <c r="I2573" s="41" t="n"/>
      <c r="J2573" s="47" t="n"/>
      <c r="K2573" s="41" t="n"/>
      <c r="L2573" s="48" t="n"/>
      <c r="M2573" s="45" t="n"/>
      <c r="N2573" s="39">
        <f>IF($B2573="","",IF(SUMPRODUCT((LISTAS!$O$3:$O$42&lt;&gt;"")*ISNUMBER(SEARCH(LISTAS!$O$3:$O$42,$I2573&amp;" "&amp;$K2573)))&gt;0,"CERCANA","NACIONAL"))</f>
        <v/>
      </c>
      <c r="O2573" s="39">
        <f>IF($B2573="","",IF(COUNTIFS(NOVEDADES!$C$4:$C$2003,$B2573)=0,"—","SÍ ("&amp;COUNTIFS(NOVEDADES!$C$4:$C$2003,$B2573)&amp;")"))</f>
        <v/>
      </c>
    </row>
    <row r="2574">
      <c r="A2574" s="41" t="n"/>
      <c r="B2574" s="41" t="n"/>
      <c r="C2574" s="41" t="n"/>
      <c r="D2574" s="41" t="n"/>
      <c r="E2574" s="46" t="n"/>
      <c r="F2574" s="41" t="n"/>
      <c r="G2574" s="41" t="n"/>
      <c r="H2574" s="41" t="n"/>
      <c r="I2574" s="41" t="n"/>
      <c r="J2574" s="47" t="n"/>
      <c r="K2574" s="41" t="n"/>
      <c r="L2574" s="48" t="n"/>
      <c r="M2574" s="45" t="n"/>
      <c r="N2574" s="39">
        <f>IF($B2574="","",IF(SUMPRODUCT((LISTAS!$O$3:$O$42&lt;&gt;"")*ISNUMBER(SEARCH(LISTAS!$O$3:$O$42,$I2574&amp;" "&amp;$K2574)))&gt;0,"CERCANA","NACIONAL"))</f>
        <v/>
      </c>
      <c r="O2574" s="39">
        <f>IF($B2574="","",IF(COUNTIFS(NOVEDADES!$C$4:$C$2003,$B2574)=0,"—","SÍ ("&amp;COUNTIFS(NOVEDADES!$C$4:$C$2003,$B2574)&amp;")"))</f>
        <v/>
      </c>
    </row>
    <row r="2575">
      <c r="A2575" s="41" t="n"/>
      <c r="B2575" s="41" t="n"/>
      <c r="C2575" s="41" t="n"/>
      <c r="D2575" s="41" t="n"/>
      <c r="E2575" s="46" t="n"/>
      <c r="F2575" s="41" t="n"/>
      <c r="G2575" s="41" t="n"/>
      <c r="H2575" s="41" t="n"/>
      <c r="I2575" s="41" t="n"/>
      <c r="J2575" s="47" t="n"/>
      <c r="K2575" s="41" t="n"/>
      <c r="L2575" s="48" t="n"/>
      <c r="M2575" s="45" t="n"/>
      <c r="N2575" s="39">
        <f>IF($B2575="","",IF(SUMPRODUCT((LISTAS!$O$3:$O$42&lt;&gt;"")*ISNUMBER(SEARCH(LISTAS!$O$3:$O$42,$I2575&amp;" "&amp;$K2575)))&gt;0,"CERCANA","NACIONAL"))</f>
        <v/>
      </c>
      <c r="O2575" s="39">
        <f>IF($B2575="","",IF(COUNTIFS(NOVEDADES!$C$4:$C$2003,$B2575)=0,"—","SÍ ("&amp;COUNTIFS(NOVEDADES!$C$4:$C$2003,$B2575)&amp;")"))</f>
        <v/>
      </c>
    </row>
    <row r="2576">
      <c r="A2576" s="41" t="n"/>
      <c r="B2576" s="41" t="n"/>
      <c r="C2576" s="41" t="n"/>
      <c r="D2576" s="41" t="n"/>
      <c r="E2576" s="46" t="n"/>
      <c r="F2576" s="41" t="n"/>
      <c r="G2576" s="41" t="n"/>
      <c r="H2576" s="41" t="n"/>
      <c r="I2576" s="41" t="n"/>
      <c r="J2576" s="47" t="n"/>
      <c r="K2576" s="41" t="n"/>
      <c r="L2576" s="48" t="n"/>
      <c r="M2576" s="45" t="n"/>
      <c r="N2576" s="39">
        <f>IF($B2576="","",IF(SUMPRODUCT((LISTAS!$O$3:$O$42&lt;&gt;"")*ISNUMBER(SEARCH(LISTAS!$O$3:$O$42,$I2576&amp;" "&amp;$K2576)))&gt;0,"CERCANA","NACIONAL"))</f>
        <v/>
      </c>
      <c r="O2576" s="39">
        <f>IF($B2576="","",IF(COUNTIFS(NOVEDADES!$C$4:$C$2003,$B2576)=0,"—","SÍ ("&amp;COUNTIFS(NOVEDADES!$C$4:$C$2003,$B2576)&amp;")"))</f>
        <v/>
      </c>
    </row>
    <row r="2577">
      <c r="A2577" s="41" t="n"/>
      <c r="B2577" s="41" t="n"/>
      <c r="C2577" s="41" t="n"/>
      <c r="D2577" s="41" t="n"/>
      <c r="E2577" s="46" t="n"/>
      <c r="F2577" s="41" t="n"/>
      <c r="G2577" s="41" t="n"/>
      <c r="H2577" s="41" t="n"/>
      <c r="I2577" s="41" t="n"/>
      <c r="J2577" s="47" t="n"/>
      <c r="K2577" s="41" t="n"/>
      <c r="L2577" s="48" t="n"/>
      <c r="M2577" s="45" t="n"/>
      <c r="N2577" s="39">
        <f>IF($B2577="","",IF(SUMPRODUCT((LISTAS!$O$3:$O$42&lt;&gt;"")*ISNUMBER(SEARCH(LISTAS!$O$3:$O$42,$I2577&amp;" "&amp;$K2577)))&gt;0,"CERCANA","NACIONAL"))</f>
        <v/>
      </c>
      <c r="O2577" s="39">
        <f>IF($B2577="","",IF(COUNTIFS(NOVEDADES!$C$4:$C$2003,$B2577)=0,"—","SÍ ("&amp;COUNTIFS(NOVEDADES!$C$4:$C$2003,$B2577)&amp;")"))</f>
        <v/>
      </c>
    </row>
    <row r="2578">
      <c r="A2578" s="41" t="n"/>
      <c r="B2578" s="41" t="n"/>
      <c r="C2578" s="41" t="n"/>
      <c r="D2578" s="41" t="n"/>
      <c r="E2578" s="46" t="n"/>
      <c r="F2578" s="41" t="n"/>
      <c r="G2578" s="41" t="n"/>
      <c r="H2578" s="41" t="n"/>
      <c r="I2578" s="41" t="n"/>
      <c r="J2578" s="47" t="n"/>
      <c r="K2578" s="41" t="n"/>
      <c r="L2578" s="48" t="n"/>
      <c r="M2578" s="45" t="n"/>
      <c r="N2578" s="39">
        <f>IF($B2578="","",IF(SUMPRODUCT((LISTAS!$O$3:$O$42&lt;&gt;"")*ISNUMBER(SEARCH(LISTAS!$O$3:$O$42,$I2578&amp;" "&amp;$K2578)))&gt;0,"CERCANA","NACIONAL"))</f>
        <v/>
      </c>
      <c r="O2578" s="39">
        <f>IF($B2578="","",IF(COUNTIFS(NOVEDADES!$C$4:$C$2003,$B2578)=0,"—","SÍ ("&amp;COUNTIFS(NOVEDADES!$C$4:$C$2003,$B2578)&amp;")"))</f>
        <v/>
      </c>
    </row>
    <row r="2579">
      <c r="A2579" s="41" t="n"/>
      <c r="B2579" s="41" t="n"/>
      <c r="C2579" s="41" t="n"/>
      <c r="D2579" s="41" t="n"/>
      <c r="E2579" s="46" t="n"/>
      <c r="F2579" s="41" t="n"/>
      <c r="G2579" s="41" t="n"/>
      <c r="H2579" s="41" t="n"/>
      <c r="I2579" s="41" t="n"/>
      <c r="J2579" s="47" t="n"/>
      <c r="K2579" s="41" t="n"/>
      <c r="L2579" s="48" t="n"/>
      <c r="M2579" s="45" t="n"/>
      <c r="N2579" s="39">
        <f>IF($B2579="","",IF(SUMPRODUCT((LISTAS!$O$3:$O$42&lt;&gt;"")*ISNUMBER(SEARCH(LISTAS!$O$3:$O$42,$I2579&amp;" "&amp;$K2579)))&gt;0,"CERCANA","NACIONAL"))</f>
        <v/>
      </c>
      <c r="O2579" s="39">
        <f>IF($B2579="","",IF(COUNTIFS(NOVEDADES!$C$4:$C$2003,$B2579)=0,"—","SÍ ("&amp;COUNTIFS(NOVEDADES!$C$4:$C$2003,$B2579)&amp;")"))</f>
        <v/>
      </c>
    </row>
    <row r="2580">
      <c r="A2580" s="41" t="n"/>
      <c r="B2580" s="41" t="n"/>
      <c r="C2580" s="41" t="n"/>
      <c r="D2580" s="41" t="n"/>
      <c r="E2580" s="46" t="n"/>
      <c r="F2580" s="41" t="n"/>
      <c r="G2580" s="41" t="n"/>
      <c r="H2580" s="41" t="n"/>
      <c r="I2580" s="41" t="n"/>
      <c r="J2580" s="47" t="n"/>
      <c r="K2580" s="41" t="n"/>
      <c r="L2580" s="48" t="n"/>
      <c r="M2580" s="45" t="n"/>
      <c r="N2580" s="39">
        <f>IF($B2580="","",IF(SUMPRODUCT((LISTAS!$O$3:$O$42&lt;&gt;"")*ISNUMBER(SEARCH(LISTAS!$O$3:$O$42,$I2580&amp;" "&amp;$K2580)))&gt;0,"CERCANA","NACIONAL"))</f>
        <v/>
      </c>
      <c r="O2580" s="39">
        <f>IF($B2580="","",IF(COUNTIFS(NOVEDADES!$C$4:$C$2003,$B2580)=0,"—","SÍ ("&amp;COUNTIFS(NOVEDADES!$C$4:$C$2003,$B2580)&amp;")"))</f>
        <v/>
      </c>
    </row>
    <row r="2581">
      <c r="A2581" s="41" t="n"/>
      <c r="B2581" s="41" t="n"/>
      <c r="C2581" s="41" t="n"/>
      <c r="D2581" s="41" t="n"/>
      <c r="E2581" s="46" t="n"/>
      <c r="F2581" s="41" t="n"/>
      <c r="G2581" s="41" t="n"/>
      <c r="H2581" s="41" t="n"/>
      <c r="I2581" s="41" t="n"/>
      <c r="J2581" s="47" t="n"/>
      <c r="K2581" s="41" t="n"/>
      <c r="L2581" s="48" t="n"/>
      <c r="M2581" s="45" t="n"/>
      <c r="N2581" s="39">
        <f>IF($B2581="","",IF(SUMPRODUCT((LISTAS!$O$3:$O$42&lt;&gt;"")*ISNUMBER(SEARCH(LISTAS!$O$3:$O$42,$I2581&amp;" "&amp;$K2581)))&gt;0,"CERCANA","NACIONAL"))</f>
        <v/>
      </c>
      <c r="O2581" s="39">
        <f>IF($B2581="","",IF(COUNTIFS(NOVEDADES!$C$4:$C$2003,$B2581)=0,"—","SÍ ("&amp;COUNTIFS(NOVEDADES!$C$4:$C$2003,$B2581)&amp;")"))</f>
        <v/>
      </c>
    </row>
    <row r="2582">
      <c r="A2582" s="41" t="n"/>
      <c r="B2582" s="41" t="n"/>
      <c r="C2582" s="41" t="n"/>
      <c r="D2582" s="41" t="n"/>
      <c r="E2582" s="46" t="n"/>
      <c r="F2582" s="41" t="n"/>
      <c r="G2582" s="41" t="n"/>
      <c r="H2582" s="41" t="n"/>
      <c r="I2582" s="41" t="n"/>
      <c r="J2582" s="47" t="n"/>
      <c r="K2582" s="41" t="n"/>
      <c r="L2582" s="48" t="n"/>
      <c r="M2582" s="45" t="n"/>
      <c r="N2582" s="39">
        <f>IF($B2582="","",IF(SUMPRODUCT((LISTAS!$O$3:$O$42&lt;&gt;"")*ISNUMBER(SEARCH(LISTAS!$O$3:$O$42,$I2582&amp;" "&amp;$K2582)))&gt;0,"CERCANA","NACIONAL"))</f>
        <v/>
      </c>
      <c r="O2582" s="39">
        <f>IF($B2582="","",IF(COUNTIFS(NOVEDADES!$C$4:$C$2003,$B2582)=0,"—","SÍ ("&amp;COUNTIFS(NOVEDADES!$C$4:$C$2003,$B2582)&amp;")"))</f>
        <v/>
      </c>
    </row>
    <row r="2583">
      <c r="A2583" s="41" t="n"/>
      <c r="B2583" s="41" t="n"/>
      <c r="C2583" s="41" t="n"/>
      <c r="D2583" s="41" t="n"/>
      <c r="E2583" s="46" t="n"/>
      <c r="F2583" s="41" t="n"/>
      <c r="G2583" s="41" t="n"/>
      <c r="H2583" s="41" t="n"/>
      <c r="I2583" s="41" t="n"/>
      <c r="J2583" s="47" t="n"/>
      <c r="K2583" s="41" t="n"/>
      <c r="L2583" s="48" t="n"/>
      <c r="M2583" s="45" t="n"/>
      <c r="N2583" s="39">
        <f>IF($B2583="","",IF(SUMPRODUCT((LISTAS!$O$3:$O$42&lt;&gt;"")*ISNUMBER(SEARCH(LISTAS!$O$3:$O$42,$I2583&amp;" "&amp;$K2583)))&gt;0,"CERCANA","NACIONAL"))</f>
        <v/>
      </c>
      <c r="O2583" s="39">
        <f>IF($B2583="","",IF(COUNTIFS(NOVEDADES!$C$4:$C$2003,$B2583)=0,"—","SÍ ("&amp;COUNTIFS(NOVEDADES!$C$4:$C$2003,$B2583)&amp;")"))</f>
        <v/>
      </c>
    </row>
    <row r="2584">
      <c r="A2584" s="41" t="n"/>
      <c r="B2584" s="41" t="n"/>
      <c r="C2584" s="41" t="n"/>
      <c r="D2584" s="41" t="n"/>
      <c r="E2584" s="46" t="n"/>
      <c r="F2584" s="41" t="n"/>
      <c r="G2584" s="41" t="n"/>
      <c r="H2584" s="41" t="n"/>
      <c r="I2584" s="41" t="n"/>
      <c r="J2584" s="47" t="n"/>
      <c r="K2584" s="41" t="n"/>
      <c r="L2584" s="48" t="n"/>
      <c r="M2584" s="45" t="n"/>
      <c r="N2584" s="39">
        <f>IF($B2584="","",IF(SUMPRODUCT((LISTAS!$O$3:$O$42&lt;&gt;"")*ISNUMBER(SEARCH(LISTAS!$O$3:$O$42,$I2584&amp;" "&amp;$K2584)))&gt;0,"CERCANA","NACIONAL"))</f>
        <v/>
      </c>
      <c r="O2584" s="39">
        <f>IF($B2584="","",IF(COUNTIFS(NOVEDADES!$C$4:$C$2003,$B2584)=0,"—","SÍ ("&amp;COUNTIFS(NOVEDADES!$C$4:$C$2003,$B2584)&amp;")"))</f>
        <v/>
      </c>
    </row>
    <row r="2585">
      <c r="A2585" s="41" t="n"/>
      <c r="B2585" s="41" t="n"/>
      <c r="C2585" s="41" t="n"/>
      <c r="D2585" s="41" t="n"/>
      <c r="E2585" s="46" t="n"/>
      <c r="F2585" s="41" t="n"/>
      <c r="G2585" s="41" t="n"/>
      <c r="H2585" s="41" t="n"/>
      <c r="I2585" s="41" t="n"/>
      <c r="J2585" s="47" t="n"/>
      <c r="K2585" s="41" t="n"/>
      <c r="L2585" s="48" t="n"/>
      <c r="M2585" s="45" t="n"/>
      <c r="N2585" s="39">
        <f>IF($B2585="","",IF(SUMPRODUCT((LISTAS!$O$3:$O$42&lt;&gt;"")*ISNUMBER(SEARCH(LISTAS!$O$3:$O$42,$I2585&amp;" "&amp;$K2585)))&gt;0,"CERCANA","NACIONAL"))</f>
        <v/>
      </c>
      <c r="O2585" s="39">
        <f>IF($B2585="","",IF(COUNTIFS(NOVEDADES!$C$4:$C$2003,$B2585)=0,"—","SÍ ("&amp;COUNTIFS(NOVEDADES!$C$4:$C$2003,$B2585)&amp;")"))</f>
        <v/>
      </c>
    </row>
    <row r="2586">
      <c r="A2586" s="41" t="n"/>
      <c r="B2586" s="41" t="n"/>
      <c r="C2586" s="41" t="n"/>
      <c r="D2586" s="41" t="n"/>
      <c r="E2586" s="46" t="n"/>
      <c r="F2586" s="41" t="n"/>
      <c r="G2586" s="41" t="n"/>
      <c r="H2586" s="41" t="n"/>
      <c r="I2586" s="41" t="n"/>
      <c r="J2586" s="47" t="n"/>
      <c r="K2586" s="41" t="n"/>
      <c r="L2586" s="48" t="n"/>
      <c r="M2586" s="45" t="n"/>
      <c r="N2586" s="39">
        <f>IF($B2586="","",IF(SUMPRODUCT((LISTAS!$O$3:$O$42&lt;&gt;"")*ISNUMBER(SEARCH(LISTAS!$O$3:$O$42,$I2586&amp;" "&amp;$K2586)))&gt;0,"CERCANA","NACIONAL"))</f>
        <v/>
      </c>
      <c r="O2586" s="39">
        <f>IF($B2586="","",IF(COUNTIFS(NOVEDADES!$C$4:$C$2003,$B2586)=0,"—","SÍ ("&amp;COUNTIFS(NOVEDADES!$C$4:$C$2003,$B2586)&amp;")"))</f>
        <v/>
      </c>
    </row>
    <row r="2587">
      <c r="A2587" s="41" t="n"/>
      <c r="B2587" s="41" t="n"/>
      <c r="C2587" s="41" t="n"/>
      <c r="D2587" s="41" t="n"/>
      <c r="E2587" s="46" t="n"/>
      <c r="F2587" s="41" t="n"/>
      <c r="G2587" s="41" t="n"/>
      <c r="H2587" s="41" t="n"/>
      <c r="I2587" s="41" t="n"/>
      <c r="J2587" s="47" t="n"/>
      <c r="K2587" s="41" t="n"/>
      <c r="L2587" s="48" t="n"/>
      <c r="M2587" s="45" t="n"/>
      <c r="N2587" s="39">
        <f>IF($B2587="","",IF(SUMPRODUCT((LISTAS!$O$3:$O$42&lt;&gt;"")*ISNUMBER(SEARCH(LISTAS!$O$3:$O$42,$I2587&amp;" "&amp;$K2587)))&gt;0,"CERCANA","NACIONAL"))</f>
        <v/>
      </c>
      <c r="O2587" s="39">
        <f>IF($B2587="","",IF(COUNTIFS(NOVEDADES!$C$4:$C$2003,$B2587)=0,"—","SÍ ("&amp;COUNTIFS(NOVEDADES!$C$4:$C$2003,$B2587)&amp;")"))</f>
        <v/>
      </c>
    </row>
    <row r="2588">
      <c r="A2588" s="41" t="n"/>
      <c r="B2588" s="41" t="n"/>
      <c r="C2588" s="41" t="n"/>
      <c r="D2588" s="41" t="n"/>
      <c r="E2588" s="46" t="n"/>
      <c r="F2588" s="41" t="n"/>
      <c r="G2588" s="41" t="n"/>
      <c r="H2588" s="41" t="n"/>
      <c r="I2588" s="41" t="n"/>
      <c r="J2588" s="47" t="n"/>
      <c r="K2588" s="41" t="n"/>
      <c r="L2588" s="48" t="n"/>
      <c r="M2588" s="45" t="n"/>
      <c r="N2588" s="39">
        <f>IF($B2588="","",IF(SUMPRODUCT((LISTAS!$O$3:$O$42&lt;&gt;"")*ISNUMBER(SEARCH(LISTAS!$O$3:$O$42,$I2588&amp;" "&amp;$K2588)))&gt;0,"CERCANA","NACIONAL"))</f>
        <v/>
      </c>
      <c r="O2588" s="39">
        <f>IF($B2588="","",IF(COUNTIFS(NOVEDADES!$C$4:$C$2003,$B2588)=0,"—","SÍ ("&amp;COUNTIFS(NOVEDADES!$C$4:$C$2003,$B2588)&amp;")"))</f>
        <v/>
      </c>
    </row>
    <row r="2589">
      <c r="A2589" s="41" t="n"/>
      <c r="B2589" s="41" t="n"/>
      <c r="C2589" s="41" t="n"/>
      <c r="D2589" s="41" t="n"/>
      <c r="E2589" s="46" t="n"/>
      <c r="F2589" s="41" t="n"/>
      <c r="G2589" s="41" t="n"/>
      <c r="H2589" s="41" t="n"/>
      <c r="I2589" s="41" t="n"/>
      <c r="J2589" s="47" t="n"/>
      <c r="K2589" s="41" t="n"/>
      <c r="L2589" s="48" t="n"/>
      <c r="M2589" s="45" t="n"/>
      <c r="N2589" s="39">
        <f>IF($B2589="","",IF(SUMPRODUCT((LISTAS!$O$3:$O$42&lt;&gt;"")*ISNUMBER(SEARCH(LISTAS!$O$3:$O$42,$I2589&amp;" "&amp;$K2589)))&gt;0,"CERCANA","NACIONAL"))</f>
        <v/>
      </c>
      <c r="O2589" s="39">
        <f>IF($B2589="","",IF(COUNTIFS(NOVEDADES!$C$4:$C$2003,$B2589)=0,"—","SÍ ("&amp;COUNTIFS(NOVEDADES!$C$4:$C$2003,$B2589)&amp;")"))</f>
        <v/>
      </c>
    </row>
    <row r="2590">
      <c r="A2590" s="41" t="n"/>
      <c r="B2590" s="41" t="n"/>
      <c r="C2590" s="41" t="n"/>
      <c r="D2590" s="41" t="n"/>
      <c r="E2590" s="46" t="n"/>
      <c r="F2590" s="41" t="n"/>
      <c r="G2590" s="41" t="n"/>
      <c r="H2590" s="41" t="n"/>
      <c r="I2590" s="41" t="n"/>
      <c r="J2590" s="47" t="n"/>
      <c r="K2590" s="41" t="n"/>
      <c r="L2590" s="48" t="n"/>
      <c r="M2590" s="45" t="n"/>
      <c r="N2590" s="39">
        <f>IF($B2590="","",IF(SUMPRODUCT((LISTAS!$O$3:$O$42&lt;&gt;"")*ISNUMBER(SEARCH(LISTAS!$O$3:$O$42,$I2590&amp;" "&amp;$K2590)))&gt;0,"CERCANA","NACIONAL"))</f>
        <v/>
      </c>
      <c r="O2590" s="39">
        <f>IF($B2590="","",IF(COUNTIFS(NOVEDADES!$C$4:$C$2003,$B2590)=0,"—","SÍ ("&amp;COUNTIFS(NOVEDADES!$C$4:$C$2003,$B2590)&amp;")"))</f>
        <v/>
      </c>
    </row>
    <row r="2591">
      <c r="A2591" s="41" t="n"/>
      <c r="B2591" s="41" t="n"/>
      <c r="C2591" s="41" t="n"/>
      <c r="D2591" s="41" t="n"/>
      <c r="E2591" s="46" t="n"/>
      <c r="F2591" s="41" t="n"/>
      <c r="G2591" s="41" t="n"/>
      <c r="H2591" s="41" t="n"/>
      <c r="I2591" s="41" t="n"/>
      <c r="J2591" s="47" t="n"/>
      <c r="K2591" s="41" t="n"/>
      <c r="L2591" s="48" t="n"/>
      <c r="M2591" s="45" t="n"/>
      <c r="N2591" s="39">
        <f>IF($B2591="","",IF(SUMPRODUCT((LISTAS!$O$3:$O$42&lt;&gt;"")*ISNUMBER(SEARCH(LISTAS!$O$3:$O$42,$I2591&amp;" "&amp;$K2591)))&gt;0,"CERCANA","NACIONAL"))</f>
        <v/>
      </c>
      <c r="O2591" s="39">
        <f>IF($B2591="","",IF(COUNTIFS(NOVEDADES!$C$4:$C$2003,$B2591)=0,"—","SÍ ("&amp;COUNTIFS(NOVEDADES!$C$4:$C$2003,$B2591)&amp;")"))</f>
        <v/>
      </c>
    </row>
    <row r="2592">
      <c r="A2592" s="41" t="n"/>
      <c r="B2592" s="41" t="n"/>
      <c r="C2592" s="41" t="n"/>
      <c r="D2592" s="41" t="n"/>
      <c r="E2592" s="46" t="n"/>
      <c r="F2592" s="41" t="n"/>
      <c r="G2592" s="41" t="n"/>
      <c r="H2592" s="41" t="n"/>
      <c r="I2592" s="41" t="n"/>
      <c r="J2592" s="47" t="n"/>
      <c r="K2592" s="41" t="n"/>
      <c r="L2592" s="48" t="n"/>
      <c r="M2592" s="45" t="n"/>
      <c r="N2592" s="39">
        <f>IF($B2592="","",IF(SUMPRODUCT((LISTAS!$O$3:$O$42&lt;&gt;"")*ISNUMBER(SEARCH(LISTAS!$O$3:$O$42,$I2592&amp;" "&amp;$K2592)))&gt;0,"CERCANA","NACIONAL"))</f>
        <v/>
      </c>
      <c r="O2592" s="39">
        <f>IF($B2592="","",IF(COUNTIFS(NOVEDADES!$C$4:$C$2003,$B2592)=0,"—","SÍ ("&amp;COUNTIFS(NOVEDADES!$C$4:$C$2003,$B2592)&amp;")"))</f>
        <v/>
      </c>
    </row>
    <row r="2593">
      <c r="A2593" s="41" t="n"/>
      <c r="B2593" s="41" t="n"/>
      <c r="C2593" s="41" t="n"/>
      <c r="D2593" s="41" t="n"/>
      <c r="E2593" s="46" t="n"/>
      <c r="F2593" s="41" t="n"/>
      <c r="G2593" s="41" t="n"/>
      <c r="H2593" s="41" t="n"/>
      <c r="I2593" s="41" t="n"/>
      <c r="J2593" s="47" t="n"/>
      <c r="K2593" s="41" t="n"/>
      <c r="L2593" s="48" t="n"/>
      <c r="M2593" s="45" t="n"/>
      <c r="N2593" s="39">
        <f>IF($B2593="","",IF(SUMPRODUCT((LISTAS!$O$3:$O$42&lt;&gt;"")*ISNUMBER(SEARCH(LISTAS!$O$3:$O$42,$I2593&amp;" "&amp;$K2593)))&gt;0,"CERCANA","NACIONAL"))</f>
        <v/>
      </c>
      <c r="O2593" s="39">
        <f>IF($B2593="","",IF(COUNTIFS(NOVEDADES!$C$4:$C$2003,$B2593)=0,"—","SÍ ("&amp;COUNTIFS(NOVEDADES!$C$4:$C$2003,$B2593)&amp;")"))</f>
        <v/>
      </c>
    </row>
    <row r="2594">
      <c r="A2594" s="41" t="n"/>
      <c r="B2594" s="41" t="n"/>
      <c r="C2594" s="41" t="n"/>
      <c r="D2594" s="41" t="n"/>
      <c r="E2594" s="46" t="n"/>
      <c r="F2594" s="41" t="n"/>
      <c r="G2594" s="41" t="n"/>
      <c r="H2594" s="41" t="n"/>
      <c r="I2594" s="41" t="n"/>
      <c r="J2594" s="47" t="n"/>
      <c r="K2594" s="41" t="n"/>
      <c r="L2594" s="48" t="n"/>
      <c r="M2594" s="45" t="n"/>
      <c r="N2594" s="39">
        <f>IF($B2594="","",IF(SUMPRODUCT((LISTAS!$O$3:$O$42&lt;&gt;"")*ISNUMBER(SEARCH(LISTAS!$O$3:$O$42,$I2594&amp;" "&amp;$K2594)))&gt;0,"CERCANA","NACIONAL"))</f>
        <v/>
      </c>
      <c r="O2594" s="39">
        <f>IF($B2594="","",IF(COUNTIFS(NOVEDADES!$C$4:$C$2003,$B2594)=0,"—","SÍ ("&amp;COUNTIFS(NOVEDADES!$C$4:$C$2003,$B2594)&amp;")"))</f>
        <v/>
      </c>
    </row>
    <row r="2595">
      <c r="A2595" s="41" t="n"/>
      <c r="B2595" s="41" t="n"/>
      <c r="C2595" s="41" t="n"/>
      <c r="D2595" s="41" t="n"/>
      <c r="E2595" s="46" t="n"/>
      <c r="F2595" s="41" t="n"/>
      <c r="G2595" s="41" t="n"/>
      <c r="H2595" s="41" t="n"/>
      <c r="I2595" s="41" t="n"/>
      <c r="J2595" s="47" t="n"/>
      <c r="K2595" s="41" t="n"/>
      <c r="L2595" s="48" t="n"/>
      <c r="M2595" s="45" t="n"/>
      <c r="N2595" s="39">
        <f>IF($B2595="","",IF(SUMPRODUCT((LISTAS!$O$3:$O$42&lt;&gt;"")*ISNUMBER(SEARCH(LISTAS!$O$3:$O$42,$I2595&amp;" "&amp;$K2595)))&gt;0,"CERCANA","NACIONAL"))</f>
        <v/>
      </c>
      <c r="O2595" s="39">
        <f>IF($B2595="","",IF(COUNTIFS(NOVEDADES!$C$4:$C$2003,$B2595)=0,"—","SÍ ("&amp;COUNTIFS(NOVEDADES!$C$4:$C$2003,$B2595)&amp;")"))</f>
        <v/>
      </c>
    </row>
    <row r="2596">
      <c r="A2596" s="41" t="n"/>
      <c r="B2596" s="41" t="n"/>
      <c r="C2596" s="41" t="n"/>
      <c r="D2596" s="41" t="n"/>
      <c r="E2596" s="46" t="n"/>
      <c r="F2596" s="41" t="n"/>
      <c r="G2596" s="41" t="n"/>
      <c r="H2596" s="41" t="n"/>
      <c r="I2596" s="41" t="n"/>
      <c r="J2596" s="47" t="n"/>
      <c r="K2596" s="41" t="n"/>
      <c r="L2596" s="48" t="n"/>
      <c r="M2596" s="45" t="n"/>
      <c r="N2596" s="39">
        <f>IF($B2596="","",IF(SUMPRODUCT((LISTAS!$O$3:$O$42&lt;&gt;"")*ISNUMBER(SEARCH(LISTAS!$O$3:$O$42,$I2596&amp;" "&amp;$K2596)))&gt;0,"CERCANA","NACIONAL"))</f>
        <v/>
      </c>
      <c r="O2596" s="39">
        <f>IF($B2596="","",IF(COUNTIFS(NOVEDADES!$C$4:$C$2003,$B2596)=0,"—","SÍ ("&amp;COUNTIFS(NOVEDADES!$C$4:$C$2003,$B2596)&amp;")"))</f>
        <v/>
      </c>
    </row>
    <row r="2597">
      <c r="A2597" s="41" t="n"/>
      <c r="B2597" s="41" t="n"/>
      <c r="C2597" s="41" t="n"/>
      <c r="D2597" s="41" t="n"/>
      <c r="E2597" s="46" t="n"/>
      <c r="F2597" s="41" t="n"/>
      <c r="G2597" s="41" t="n"/>
      <c r="H2597" s="41" t="n"/>
      <c r="I2597" s="41" t="n"/>
      <c r="J2597" s="47" t="n"/>
      <c r="K2597" s="41" t="n"/>
      <c r="L2597" s="48" t="n"/>
      <c r="M2597" s="45" t="n"/>
      <c r="N2597" s="39">
        <f>IF($B2597="","",IF(SUMPRODUCT((LISTAS!$O$3:$O$42&lt;&gt;"")*ISNUMBER(SEARCH(LISTAS!$O$3:$O$42,$I2597&amp;" "&amp;$K2597)))&gt;0,"CERCANA","NACIONAL"))</f>
        <v/>
      </c>
      <c r="O2597" s="39">
        <f>IF($B2597="","",IF(COUNTIFS(NOVEDADES!$C$4:$C$2003,$B2597)=0,"—","SÍ ("&amp;COUNTIFS(NOVEDADES!$C$4:$C$2003,$B2597)&amp;")"))</f>
        <v/>
      </c>
    </row>
    <row r="2598">
      <c r="A2598" s="41" t="n"/>
      <c r="B2598" s="41" t="n"/>
      <c r="C2598" s="41" t="n"/>
      <c r="D2598" s="41" t="n"/>
      <c r="E2598" s="46" t="n"/>
      <c r="F2598" s="41" t="n"/>
      <c r="G2598" s="41" t="n"/>
      <c r="H2598" s="41" t="n"/>
      <c r="I2598" s="41" t="n"/>
      <c r="J2598" s="47" t="n"/>
      <c r="K2598" s="41" t="n"/>
      <c r="L2598" s="48" t="n"/>
      <c r="M2598" s="45" t="n"/>
      <c r="N2598" s="39">
        <f>IF($B2598="","",IF(SUMPRODUCT((LISTAS!$O$3:$O$42&lt;&gt;"")*ISNUMBER(SEARCH(LISTAS!$O$3:$O$42,$I2598&amp;" "&amp;$K2598)))&gt;0,"CERCANA","NACIONAL"))</f>
        <v/>
      </c>
      <c r="O2598" s="39">
        <f>IF($B2598="","",IF(COUNTIFS(NOVEDADES!$C$4:$C$2003,$B2598)=0,"—","SÍ ("&amp;COUNTIFS(NOVEDADES!$C$4:$C$2003,$B2598)&amp;")"))</f>
        <v/>
      </c>
    </row>
    <row r="2599">
      <c r="A2599" s="41" t="n"/>
      <c r="B2599" s="41" t="n"/>
      <c r="C2599" s="41" t="n"/>
      <c r="D2599" s="41" t="n"/>
      <c r="E2599" s="46" t="n"/>
      <c r="F2599" s="41" t="n"/>
      <c r="G2599" s="41" t="n"/>
      <c r="H2599" s="41" t="n"/>
      <c r="I2599" s="41" t="n"/>
      <c r="J2599" s="47" t="n"/>
      <c r="K2599" s="41" t="n"/>
      <c r="L2599" s="48" t="n"/>
      <c r="M2599" s="45" t="n"/>
      <c r="N2599" s="39">
        <f>IF($B2599="","",IF(SUMPRODUCT((LISTAS!$O$3:$O$42&lt;&gt;"")*ISNUMBER(SEARCH(LISTAS!$O$3:$O$42,$I2599&amp;" "&amp;$K2599)))&gt;0,"CERCANA","NACIONAL"))</f>
        <v/>
      </c>
      <c r="O2599" s="39">
        <f>IF($B2599="","",IF(COUNTIFS(NOVEDADES!$C$4:$C$2003,$B2599)=0,"—","SÍ ("&amp;COUNTIFS(NOVEDADES!$C$4:$C$2003,$B2599)&amp;")"))</f>
        <v/>
      </c>
    </row>
    <row r="2600">
      <c r="A2600" s="41" t="n"/>
      <c r="B2600" s="41" t="n"/>
      <c r="C2600" s="41" t="n"/>
      <c r="D2600" s="41" t="n"/>
      <c r="E2600" s="46" t="n"/>
      <c r="F2600" s="41" t="n"/>
      <c r="G2600" s="41" t="n"/>
      <c r="H2600" s="41" t="n"/>
      <c r="I2600" s="41" t="n"/>
      <c r="J2600" s="47" t="n"/>
      <c r="K2600" s="41" t="n"/>
      <c r="L2600" s="48" t="n"/>
      <c r="M2600" s="45" t="n"/>
      <c r="N2600" s="39">
        <f>IF($B2600="","",IF(SUMPRODUCT((LISTAS!$O$3:$O$42&lt;&gt;"")*ISNUMBER(SEARCH(LISTAS!$O$3:$O$42,$I2600&amp;" "&amp;$K2600)))&gt;0,"CERCANA","NACIONAL"))</f>
        <v/>
      </c>
      <c r="O2600" s="39">
        <f>IF($B2600="","",IF(COUNTIFS(NOVEDADES!$C$4:$C$2003,$B2600)=0,"—","SÍ ("&amp;COUNTIFS(NOVEDADES!$C$4:$C$2003,$B2600)&amp;")"))</f>
        <v/>
      </c>
    </row>
    <row r="2601">
      <c r="A2601" s="41" t="n"/>
      <c r="B2601" s="41" t="n"/>
      <c r="C2601" s="41" t="n"/>
      <c r="D2601" s="41" t="n"/>
      <c r="E2601" s="46" t="n"/>
      <c r="F2601" s="41" t="n"/>
      <c r="G2601" s="41" t="n"/>
      <c r="H2601" s="41" t="n"/>
      <c r="I2601" s="41" t="n"/>
      <c r="J2601" s="47" t="n"/>
      <c r="K2601" s="41" t="n"/>
      <c r="L2601" s="48" t="n"/>
      <c r="M2601" s="45" t="n"/>
      <c r="N2601" s="39">
        <f>IF($B2601="","",IF(SUMPRODUCT((LISTAS!$O$3:$O$42&lt;&gt;"")*ISNUMBER(SEARCH(LISTAS!$O$3:$O$42,$I2601&amp;" "&amp;$K2601)))&gt;0,"CERCANA","NACIONAL"))</f>
        <v/>
      </c>
      <c r="O2601" s="39">
        <f>IF($B2601="","",IF(COUNTIFS(NOVEDADES!$C$4:$C$2003,$B2601)=0,"—","SÍ ("&amp;COUNTIFS(NOVEDADES!$C$4:$C$2003,$B2601)&amp;")"))</f>
        <v/>
      </c>
    </row>
    <row r="2602">
      <c r="A2602" s="41" t="n"/>
      <c r="B2602" s="41" t="n"/>
      <c r="C2602" s="41" t="n"/>
      <c r="D2602" s="41" t="n"/>
      <c r="E2602" s="46" t="n"/>
      <c r="F2602" s="41" t="n"/>
      <c r="G2602" s="41" t="n"/>
      <c r="H2602" s="41" t="n"/>
      <c r="I2602" s="41" t="n"/>
      <c r="J2602" s="47" t="n"/>
      <c r="K2602" s="41" t="n"/>
      <c r="L2602" s="48" t="n"/>
      <c r="M2602" s="45" t="n"/>
      <c r="N2602" s="39">
        <f>IF($B2602="","",IF(SUMPRODUCT((LISTAS!$O$3:$O$42&lt;&gt;"")*ISNUMBER(SEARCH(LISTAS!$O$3:$O$42,$I2602&amp;" "&amp;$K2602)))&gt;0,"CERCANA","NACIONAL"))</f>
        <v/>
      </c>
      <c r="O2602" s="39">
        <f>IF($B2602="","",IF(COUNTIFS(NOVEDADES!$C$4:$C$2003,$B2602)=0,"—","SÍ ("&amp;COUNTIFS(NOVEDADES!$C$4:$C$2003,$B2602)&amp;")"))</f>
        <v/>
      </c>
    </row>
    <row r="2603">
      <c r="A2603" s="41" t="n"/>
      <c r="B2603" s="41" t="n"/>
      <c r="C2603" s="41" t="n"/>
      <c r="D2603" s="41" t="n"/>
      <c r="E2603" s="46" t="n"/>
      <c r="F2603" s="41" t="n"/>
      <c r="G2603" s="41" t="n"/>
      <c r="H2603" s="41" t="n"/>
      <c r="I2603" s="41" t="n"/>
      <c r="J2603" s="47" t="n"/>
      <c r="K2603" s="41" t="n"/>
      <c r="L2603" s="48" t="n"/>
      <c r="M2603" s="45" t="n"/>
      <c r="N2603" s="39">
        <f>IF($B2603="","",IF(SUMPRODUCT((LISTAS!$O$3:$O$42&lt;&gt;"")*ISNUMBER(SEARCH(LISTAS!$O$3:$O$42,$I2603&amp;" "&amp;$K2603)))&gt;0,"CERCANA","NACIONAL"))</f>
        <v/>
      </c>
      <c r="O2603" s="39">
        <f>IF($B2603="","",IF(COUNTIFS(NOVEDADES!$C$4:$C$2003,$B2603)=0,"—","SÍ ("&amp;COUNTIFS(NOVEDADES!$C$4:$C$2003,$B2603)&amp;")"))</f>
        <v/>
      </c>
    </row>
    <row r="2604">
      <c r="A2604" s="41" t="n"/>
      <c r="B2604" s="41" t="n"/>
      <c r="C2604" s="41" t="n"/>
      <c r="D2604" s="41" t="n"/>
      <c r="E2604" s="46" t="n"/>
      <c r="F2604" s="41" t="n"/>
      <c r="G2604" s="41" t="n"/>
      <c r="H2604" s="41" t="n"/>
      <c r="I2604" s="41" t="n"/>
      <c r="J2604" s="47" t="n"/>
      <c r="K2604" s="41" t="n"/>
      <c r="L2604" s="48" t="n"/>
      <c r="M2604" s="45" t="n"/>
      <c r="N2604" s="39">
        <f>IF($B2604="","",IF(SUMPRODUCT((LISTAS!$O$3:$O$42&lt;&gt;"")*ISNUMBER(SEARCH(LISTAS!$O$3:$O$42,$I2604&amp;" "&amp;$K2604)))&gt;0,"CERCANA","NACIONAL"))</f>
        <v/>
      </c>
      <c r="O2604" s="39">
        <f>IF($B2604="","",IF(COUNTIFS(NOVEDADES!$C$4:$C$2003,$B2604)=0,"—","SÍ ("&amp;COUNTIFS(NOVEDADES!$C$4:$C$2003,$B2604)&amp;")"))</f>
        <v/>
      </c>
    </row>
    <row r="2605">
      <c r="A2605" s="41" t="n"/>
      <c r="B2605" s="41" t="n"/>
      <c r="C2605" s="41" t="n"/>
      <c r="D2605" s="41" t="n"/>
      <c r="E2605" s="46" t="n"/>
      <c r="F2605" s="41" t="n"/>
      <c r="G2605" s="41" t="n"/>
      <c r="H2605" s="41" t="n"/>
      <c r="I2605" s="41" t="n"/>
      <c r="J2605" s="47" t="n"/>
      <c r="K2605" s="41" t="n"/>
      <c r="L2605" s="48" t="n"/>
      <c r="M2605" s="45" t="n"/>
      <c r="N2605" s="39">
        <f>IF($B2605="","",IF(SUMPRODUCT((LISTAS!$O$3:$O$42&lt;&gt;"")*ISNUMBER(SEARCH(LISTAS!$O$3:$O$42,$I2605&amp;" "&amp;$K2605)))&gt;0,"CERCANA","NACIONAL"))</f>
        <v/>
      </c>
      <c r="O2605" s="39">
        <f>IF($B2605="","",IF(COUNTIFS(NOVEDADES!$C$4:$C$2003,$B2605)=0,"—","SÍ ("&amp;COUNTIFS(NOVEDADES!$C$4:$C$2003,$B2605)&amp;")"))</f>
        <v/>
      </c>
    </row>
    <row r="2606">
      <c r="A2606" s="41" t="n"/>
      <c r="B2606" s="41" t="n"/>
      <c r="C2606" s="41" t="n"/>
      <c r="D2606" s="41" t="n"/>
      <c r="E2606" s="46" t="n"/>
      <c r="F2606" s="41" t="n"/>
      <c r="G2606" s="41" t="n"/>
      <c r="H2606" s="41" t="n"/>
      <c r="I2606" s="41" t="n"/>
      <c r="J2606" s="47" t="n"/>
      <c r="K2606" s="41" t="n"/>
      <c r="L2606" s="48" t="n"/>
      <c r="M2606" s="45" t="n"/>
      <c r="N2606" s="39">
        <f>IF($B2606="","",IF(SUMPRODUCT((LISTAS!$O$3:$O$42&lt;&gt;"")*ISNUMBER(SEARCH(LISTAS!$O$3:$O$42,$I2606&amp;" "&amp;$K2606)))&gt;0,"CERCANA","NACIONAL"))</f>
        <v/>
      </c>
      <c r="O2606" s="39">
        <f>IF($B2606="","",IF(COUNTIFS(NOVEDADES!$C$4:$C$2003,$B2606)=0,"—","SÍ ("&amp;COUNTIFS(NOVEDADES!$C$4:$C$2003,$B2606)&amp;")"))</f>
        <v/>
      </c>
    </row>
    <row r="2607">
      <c r="A2607" s="41" t="n"/>
      <c r="B2607" s="41" t="n"/>
      <c r="C2607" s="41" t="n"/>
      <c r="D2607" s="41" t="n"/>
      <c r="E2607" s="46" t="n"/>
      <c r="F2607" s="41" t="n"/>
      <c r="G2607" s="41" t="n"/>
      <c r="H2607" s="41" t="n"/>
      <c r="I2607" s="41" t="n"/>
      <c r="J2607" s="47" t="n"/>
      <c r="K2607" s="41" t="n"/>
      <c r="L2607" s="48" t="n"/>
      <c r="M2607" s="45" t="n"/>
      <c r="N2607" s="39">
        <f>IF($B2607="","",IF(SUMPRODUCT((LISTAS!$O$3:$O$42&lt;&gt;"")*ISNUMBER(SEARCH(LISTAS!$O$3:$O$42,$I2607&amp;" "&amp;$K2607)))&gt;0,"CERCANA","NACIONAL"))</f>
        <v/>
      </c>
      <c r="O2607" s="39">
        <f>IF($B2607="","",IF(COUNTIFS(NOVEDADES!$C$4:$C$2003,$B2607)=0,"—","SÍ ("&amp;COUNTIFS(NOVEDADES!$C$4:$C$2003,$B2607)&amp;")"))</f>
        <v/>
      </c>
    </row>
    <row r="2608">
      <c r="A2608" s="41" t="n"/>
      <c r="B2608" s="41" t="n"/>
      <c r="C2608" s="41" t="n"/>
      <c r="D2608" s="41" t="n"/>
      <c r="E2608" s="46" t="n"/>
      <c r="F2608" s="41" t="n"/>
      <c r="G2608" s="41" t="n"/>
      <c r="H2608" s="41" t="n"/>
      <c r="I2608" s="41" t="n"/>
      <c r="J2608" s="47" t="n"/>
      <c r="K2608" s="41" t="n"/>
      <c r="L2608" s="48" t="n"/>
      <c r="M2608" s="45" t="n"/>
      <c r="N2608" s="39">
        <f>IF($B2608="","",IF(SUMPRODUCT((LISTAS!$O$3:$O$42&lt;&gt;"")*ISNUMBER(SEARCH(LISTAS!$O$3:$O$42,$I2608&amp;" "&amp;$K2608)))&gt;0,"CERCANA","NACIONAL"))</f>
        <v/>
      </c>
      <c r="O2608" s="39">
        <f>IF($B2608="","",IF(COUNTIFS(NOVEDADES!$C$4:$C$2003,$B2608)=0,"—","SÍ ("&amp;COUNTIFS(NOVEDADES!$C$4:$C$2003,$B2608)&amp;")"))</f>
        <v/>
      </c>
    </row>
    <row r="2609">
      <c r="A2609" s="41" t="n"/>
      <c r="B2609" s="41" t="n"/>
      <c r="C2609" s="41" t="n"/>
      <c r="D2609" s="41" t="n"/>
      <c r="E2609" s="46" t="n"/>
      <c r="F2609" s="41" t="n"/>
      <c r="G2609" s="41" t="n"/>
      <c r="H2609" s="41" t="n"/>
      <c r="I2609" s="41" t="n"/>
      <c r="J2609" s="47" t="n"/>
      <c r="K2609" s="41" t="n"/>
      <c r="L2609" s="48" t="n"/>
      <c r="M2609" s="45" t="n"/>
      <c r="N2609" s="39">
        <f>IF($B2609="","",IF(SUMPRODUCT((LISTAS!$O$3:$O$42&lt;&gt;"")*ISNUMBER(SEARCH(LISTAS!$O$3:$O$42,$I2609&amp;" "&amp;$K2609)))&gt;0,"CERCANA","NACIONAL"))</f>
        <v/>
      </c>
      <c r="O2609" s="39">
        <f>IF($B2609="","",IF(COUNTIFS(NOVEDADES!$C$4:$C$2003,$B2609)=0,"—","SÍ ("&amp;COUNTIFS(NOVEDADES!$C$4:$C$2003,$B2609)&amp;")"))</f>
        <v/>
      </c>
    </row>
    <row r="2610">
      <c r="A2610" s="41" t="n"/>
      <c r="B2610" s="41" t="n"/>
      <c r="C2610" s="41" t="n"/>
      <c r="D2610" s="41" t="n"/>
      <c r="E2610" s="46" t="n"/>
      <c r="F2610" s="41" t="n"/>
      <c r="G2610" s="41" t="n"/>
      <c r="H2610" s="41" t="n"/>
      <c r="I2610" s="41" t="n"/>
      <c r="J2610" s="47" t="n"/>
      <c r="K2610" s="41" t="n"/>
      <c r="L2610" s="48" t="n"/>
      <c r="M2610" s="45" t="n"/>
      <c r="N2610" s="39">
        <f>IF($B2610="","",IF(SUMPRODUCT((LISTAS!$O$3:$O$42&lt;&gt;"")*ISNUMBER(SEARCH(LISTAS!$O$3:$O$42,$I2610&amp;" "&amp;$K2610)))&gt;0,"CERCANA","NACIONAL"))</f>
        <v/>
      </c>
      <c r="O2610" s="39">
        <f>IF($B2610="","",IF(COUNTIFS(NOVEDADES!$C$4:$C$2003,$B2610)=0,"—","SÍ ("&amp;COUNTIFS(NOVEDADES!$C$4:$C$2003,$B2610)&amp;")"))</f>
        <v/>
      </c>
    </row>
    <row r="2611">
      <c r="A2611" s="41" t="n"/>
      <c r="B2611" s="41" t="n"/>
      <c r="C2611" s="41" t="n"/>
      <c r="D2611" s="41" t="n"/>
      <c r="E2611" s="46" t="n"/>
      <c r="F2611" s="41" t="n"/>
      <c r="G2611" s="41" t="n"/>
      <c r="H2611" s="41" t="n"/>
      <c r="I2611" s="41" t="n"/>
      <c r="J2611" s="47" t="n"/>
      <c r="K2611" s="41" t="n"/>
      <c r="L2611" s="48" t="n"/>
      <c r="M2611" s="45" t="n"/>
      <c r="N2611" s="39">
        <f>IF($B2611="","",IF(SUMPRODUCT((LISTAS!$O$3:$O$42&lt;&gt;"")*ISNUMBER(SEARCH(LISTAS!$O$3:$O$42,$I2611&amp;" "&amp;$K2611)))&gt;0,"CERCANA","NACIONAL"))</f>
        <v/>
      </c>
      <c r="O2611" s="39">
        <f>IF($B2611="","",IF(COUNTIFS(NOVEDADES!$C$4:$C$2003,$B2611)=0,"—","SÍ ("&amp;COUNTIFS(NOVEDADES!$C$4:$C$2003,$B2611)&amp;")"))</f>
        <v/>
      </c>
    </row>
    <row r="2612">
      <c r="A2612" s="41" t="n"/>
      <c r="B2612" s="41" t="n"/>
      <c r="C2612" s="41" t="n"/>
      <c r="D2612" s="41" t="n"/>
      <c r="E2612" s="46" t="n"/>
      <c r="F2612" s="41" t="n"/>
      <c r="G2612" s="41" t="n"/>
      <c r="H2612" s="41" t="n"/>
      <c r="I2612" s="41" t="n"/>
      <c r="J2612" s="47" t="n"/>
      <c r="K2612" s="41" t="n"/>
      <c r="L2612" s="48" t="n"/>
      <c r="M2612" s="45" t="n"/>
      <c r="N2612" s="39">
        <f>IF($B2612="","",IF(SUMPRODUCT((LISTAS!$O$3:$O$42&lt;&gt;"")*ISNUMBER(SEARCH(LISTAS!$O$3:$O$42,$I2612&amp;" "&amp;$K2612)))&gt;0,"CERCANA","NACIONAL"))</f>
        <v/>
      </c>
      <c r="O2612" s="39">
        <f>IF($B2612="","",IF(COUNTIFS(NOVEDADES!$C$4:$C$2003,$B2612)=0,"—","SÍ ("&amp;COUNTIFS(NOVEDADES!$C$4:$C$2003,$B2612)&amp;")"))</f>
        <v/>
      </c>
    </row>
    <row r="2613">
      <c r="A2613" s="41" t="n"/>
      <c r="B2613" s="41" t="n"/>
      <c r="C2613" s="41" t="n"/>
      <c r="D2613" s="41" t="n"/>
      <c r="E2613" s="46" t="n"/>
      <c r="F2613" s="41" t="n"/>
      <c r="G2613" s="41" t="n"/>
      <c r="H2613" s="41" t="n"/>
      <c r="I2613" s="41" t="n"/>
      <c r="J2613" s="47" t="n"/>
      <c r="K2613" s="41" t="n"/>
      <c r="L2613" s="48" t="n"/>
      <c r="M2613" s="45" t="n"/>
      <c r="N2613" s="39">
        <f>IF($B2613="","",IF(SUMPRODUCT((LISTAS!$O$3:$O$42&lt;&gt;"")*ISNUMBER(SEARCH(LISTAS!$O$3:$O$42,$I2613&amp;" "&amp;$K2613)))&gt;0,"CERCANA","NACIONAL"))</f>
        <v/>
      </c>
      <c r="O2613" s="39">
        <f>IF($B2613="","",IF(COUNTIFS(NOVEDADES!$C$4:$C$2003,$B2613)=0,"—","SÍ ("&amp;COUNTIFS(NOVEDADES!$C$4:$C$2003,$B2613)&amp;")"))</f>
        <v/>
      </c>
    </row>
    <row r="2614">
      <c r="A2614" s="41" t="n"/>
      <c r="B2614" s="41" t="n"/>
      <c r="C2614" s="41" t="n"/>
      <c r="D2614" s="41" t="n"/>
      <c r="E2614" s="46" t="n"/>
      <c r="F2614" s="41" t="n"/>
      <c r="G2614" s="41" t="n"/>
      <c r="H2614" s="41" t="n"/>
      <c r="I2614" s="41" t="n"/>
      <c r="J2614" s="47" t="n"/>
      <c r="K2614" s="41" t="n"/>
      <c r="L2614" s="48" t="n"/>
      <c r="M2614" s="45" t="n"/>
      <c r="N2614" s="39">
        <f>IF($B2614="","",IF(SUMPRODUCT((LISTAS!$O$3:$O$42&lt;&gt;"")*ISNUMBER(SEARCH(LISTAS!$O$3:$O$42,$I2614&amp;" "&amp;$K2614)))&gt;0,"CERCANA","NACIONAL"))</f>
        <v/>
      </c>
      <c r="O2614" s="39">
        <f>IF($B2614="","",IF(COUNTIFS(NOVEDADES!$C$4:$C$2003,$B2614)=0,"—","SÍ ("&amp;COUNTIFS(NOVEDADES!$C$4:$C$2003,$B2614)&amp;")"))</f>
        <v/>
      </c>
    </row>
    <row r="2615">
      <c r="A2615" s="41" t="n"/>
      <c r="B2615" s="41" t="n"/>
      <c r="C2615" s="41" t="n"/>
      <c r="D2615" s="41" t="n"/>
      <c r="E2615" s="46" t="n"/>
      <c r="F2615" s="41" t="n"/>
      <c r="G2615" s="41" t="n"/>
      <c r="H2615" s="41" t="n"/>
      <c r="I2615" s="41" t="n"/>
      <c r="J2615" s="47" t="n"/>
      <c r="K2615" s="41" t="n"/>
      <c r="L2615" s="48" t="n"/>
      <c r="M2615" s="45" t="n"/>
      <c r="N2615" s="39">
        <f>IF($B2615="","",IF(SUMPRODUCT((LISTAS!$O$3:$O$42&lt;&gt;"")*ISNUMBER(SEARCH(LISTAS!$O$3:$O$42,$I2615&amp;" "&amp;$K2615)))&gt;0,"CERCANA","NACIONAL"))</f>
        <v/>
      </c>
      <c r="O2615" s="39">
        <f>IF($B2615="","",IF(COUNTIFS(NOVEDADES!$C$4:$C$2003,$B2615)=0,"—","SÍ ("&amp;COUNTIFS(NOVEDADES!$C$4:$C$2003,$B2615)&amp;")"))</f>
        <v/>
      </c>
    </row>
    <row r="2616">
      <c r="A2616" s="41" t="n"/>
      <c r="B2616" s="41" t="n"/>
      <c r="C2616" s="41" t="n"/>
      <c r="D2616" s="41" t="n"/>
      <c r="E2616" s="46" t="n"/>
      <c r="F2616" s="41" t="n"/>
      <c r="G2616" s="41" t="n"/>
      <c r="H2616" s="41" t="n"/>
      <c r="I2616" s="41" t="n"/>
      <c r="J2616" s="47" t="n"/>
      <c r="K2616" s="41" t="n"/>
      <c r="L2616" s="48" t="n"/>
      <c r="M2616" s="45" t="n"/>
      <c r="N2616" s="39">
        <f>IF($B2616="","",IF(SUMPRODUCT((LISTAS!$O$3:$O$42&lt;&gt;"")*ISNUMBER(SEARCH(LISTAS!$O$3:$O$42,$I2616&amp;" "&amp;$K2616)))&gt;0,"CERCANA","NACIONAL"))</f>
        <v/>
      </c>
      <c r="O2616" s="39">
        <f>IF($B2616="","",IF(COUNTIFS(NOVEDADES!$C$4:$C$2003,$B2616)=0,"—","SÍ ("&amp;COUNTIFS(NOVEDADES!$C$4:$C$2003,$B2616)&amp;")"))</f>
        <v/>
      </c>
    </row>
    <row r="2617">
      <c r="A2617" s="41" t="n"/>
      <c r="B2617" s="41" t="n"/>
      <c r="C2617" s="41" t="n"/>
      <c r="D2617" s="41" t="n"/>
      <c r="E2617" s="46" t="n"/>
      <c r="F2617" s="41" t="n"/>
      <c r="G2617" s="41" t="n"/>
      <c r="H2617" s="41" t="n"/>
      <c r="I2617" s="41" t="n"/>
      <c r="J2617" s="47" t="n"/>
      <c r="K2617" s="41" t="n"/>
      <c r="L2617" s="48" t="n"/>
      <c r="M2617" s="45" t="n"/>
      <c r="N2617" s="39">
        <f>IF($B2617="","",IF(SUMPRODUCT((LISTAS!$O$3:$O$42&lt;&gt;"")*ISNUMBER(SEARCH(LISTAS!$O$3:$O$42,$I2617&amp;" "&amp;$K2617)))&gt;0,"CERCANA","NACIONAL"))</f>
        <v/>
      </c>
      <c r="O2617" s="39">
        <f>IF($B2617="","",IF(COUNTIFS(NOVEDADES!$C$4:$C$2003,$B2617)=0,"—","SÍ ("&amp;COUNTIFS(NOVEDADES!$C$4:$C$2003,$B2617)&amp;")"))</f>
        <v/>
      </c>
    </row>
    <row r="2618">
      <c r="A2618" s="41" t="n"/>
      <c r="B2618" s="41" t="n"/>
      <c r="C2618" s="41" t="n"/>
      <c r="D2618" s="41" t="n"/>
      <c r="E2618" s="46" t="n"/>
      <c r="F2618" s="41" t="n"/>
      <c r="G2618" s="41" t="n"/>
      <c r="H2618" s="41" t="n"/>
      <c r="I2618" s="41" t="n"/>
      <c r="J2618" s="47" t="n"/>
      <c r="K2618" s="41" t="n"/>
      <c r="L2618" s="48" t="n"/>
      <c r="M2618" s="45" t="n"/>
      <c r="N2618" s="39">
        <f>IF($B2618="","",IF(SUMPRODUCT((LISTAS!$O$3:$O$42&lt;&gt;"")*ISNUMBER(SEARCH(LISTAS!$O$3:$O$42,$I2618&amp;" "&amp;$K2618)))&gt;0,"CERCANA","NACIONAL"))</f>
        <v/>
      </c>
      <c r="O2618" s="39">
        <f>IF($B2618="","",IF(COUNTIFS(NOVEDADES!$C$4:$C$2003,$B2618)=0,"—","SÍ ("&amp;COUNTIFS(NOVEDADES!$C$4:$C$2003,$B2618)&amp;")"))</f>
        <v/>
      </c>
    </row>
    <row r="2619">
      <c r="A2619" s="41" t="n"/>
      <c r="B2619" s="41" t="n"/>
      <c r="C2619" s="41" t="n"/>
      <c r="D2619" s="41" t="n"/>
      <c r="E2619" s="46" t="n"/>
      <c r="F2619" s="41" t="n"/>
      <c r="G2619" s="41" t="n"/>
      <c r="H2619" s="41" t="n"/>
      <c r="I2619" s="41" t="n"/>
      <c r="J2619" s="47" t="n"/>
      <c r="K2619" s="41" t="n"/>
      <c r="L2619" s="48" t="n"/>
      <c r="M2619" s="45" t="n"/>
      <c r="N2619" s="39">
        <f>IF($B2619="","",IF(SUMPRODUCT((LISTAS!$O$3:$O$42&lt;&gt;"")*ISNUMBER(SEARCH(LISTAS!$O$3:$O$42,$I2619&amp;" "&amp;$K2619)))&gt;0,"CERCANA","NACIONAL"))</f>
        <v/>
      </c>
      <c r="O2619" s="39">
        <f>IF($B2619="","",IF(COUNTIFS(NOVEDADES!$C$4:$C$2003,$B2619)=0,"—","SÍ ("&amp;COUNTIFS(NOVEDADES!$C$4:$C$2003,$B2619)&amp;")"))</f>
        <v/>
      </c>
    </row>
    <row r="2620">
      <c r="A2620" s="41" t="n"/>
      <c r="B2620" s="41" t="n"/>
      <c r="C2620" s="41" t="n"/>
      <c r="D2620" s="41" t="n"/>
      <c r="E2620" s="46" t="n"/>
      <c r="F2620" s="41" t="n"/>
      <c r="G2620" s="41" t="n"/>
      <c r="H2620" s="41" t="n"/>
      <c r="I2620" s="41" t="n"/>
      <c r="J2620" s="47" t="n"/>
      <c r="K2620" s="41" t="n"/>
      <c r="L2620" s="48" t="n"/>
      <c r="M2620" s="45" t="n"/>
      <c r="N2620" s="39">
        <f>IF($B2620="","",IF(SUMPRODUCT((LISTAS!$O$3:$O$42&lt;&gt;"")*ISNUMBER(SEARCH(LISTAS!$O$3:$O$42,$I2620&amp;" "&amp;$K2620)))&gt;0,"CERCANA","NACIONAL"))</f>
        <v/>
      </c>
      <c r="O2620" s="39">
        <f>IF($B2620="","",IF(COUNTIFS(NOVEDADES!$C$4:$C$2003,$B2620)=0,"—","SÍ ("&amp;COUNTIFS(NOVEDADES!$C$4:$C$2003,$B2620)&amp;")"))</f>
        <v/>
      </c>
    </row>
    <row r="2621">
      <c r="A2621" s="41" t="n"/>
      <c r="B2621" s="41" t="n"/>
      <c r="C2621" s="41" t="n"/>
      <c r="D2621" s="41" t="n"/>
      <c r="E2621" s="46" t="n"/>
      <c r="F2621" s="41" t="n"/>
      <c r="G2621" s="41" t="n"/>
      <c r="H2621" s="41" t="n"/>
      <c r="I2621" s="41" t="n"/>
      <c r="J2621" s="47" t="n"/>
      <c r="K2621" s="41" t="n"/>
      <c r="L2621" s="48" t="n"/>
      <c r="M2621" s="45" t="n"/>
      <c r="N2621" s="39">
        <f>IF($B2621="","",IF(SUMPRODUCT((LISTAS!$O$3:$O$42&lt;&gt;"")*ISNUMBER(SEARCH(LISTAS!$O$3:$O$42,$I2621&amp;" "&amp;$K2621)))&gt;0,"CERCANA","NACIONAL"))</f>
        <v/>
      </c>
      <c r="O2621" s="39">
        <f>IF($B2621="","",IF(COUNTIFS(NOVEDADES!$C$4:$C$2003,$B2621)=0,"—","SÍ ("&amp;COUNTIFS(NOVEDADES!$C$4:$C$2003,$B2621)&amp;")"))</f>
        <v/>
      </c>
    </row>
    <row r="2622">
      <c r="A2622" s="41" t="n"/>
      <c r="B2622" s="41" t="n"/>
      <c r="C2622" s="41" t="n"/>
      <c r="D2622" s="41" t="n"/>
      <c r="E2622" s="46" t="n"/>
      <c r="F2622" s="41" t="n"/>
      <c r="G2622" s="41" t="n"/>
      <c r="H2622" s="41" t="n"/>
      <c r="I2622" s="41" t="n"/>
      <c r="J2622" s="47" t="n"/>
      <c r="K2622" s="41" t="n"/>
      <c r="L2622" s="48" t="n"/>
      <c r="M2622" s="45" t="n"/>
      <c r="N2622" s="39">
        <f>IF($B2622="","",IF(SUMPRODUCT((LISTAS!$O$3:$O$42&lt;&gt;"")*ISNUMBER(SEARCH(LISTAS!$O$3:$O$42,$I2622&amp;" "&amp;$K2622)))&gt;0,"CERCANA","NACIONAL"))</f>
        <v/>
      </c>
      <c r="O2622" s="39">
        <f>IF($B2622="","",IF(COUNTIFS(NOVEDADES!$C$4:$C$2003,$B2622)=0,"—","SÍ ("&amp;COUNTIFS(NOVEDADES!$C$4:$C$2003,$B2622)&amp;")"))</f>
        <v/>
      </c>
    </row>
    <row r="2623">
      <c r="A2623" s="41" t="n"/>
      <c r="B2623" s="41" t="n"/>
      <c r="C2623" s="41" t="n"/>
      <c r="D2623" s="41" t="n"/>
      <c r="E2623" s="46" t="n"/>
      <c r="F2623" s="41" t="n"/>
      <c r="G2623" s="41" t="n"/>
      <c r="H2623" s="41" t="n"/>
      <c r="I2623" s="41" t="n"/>
      <c r="J2623" s="47" t="n"/>
      <c r="K2623" s="41" t="n"/>
      <c r="L2623" s="48" t="n"/>
      <c r="M2623" s="45" t="n"/>
      <c r="N2623" s="39">
        <f>IF($B2623="","",IF(SUMPRODUCT((LISTAS!$O$3:$O$42&lt;&gt;"")*ISNUMBER(SEARCH(LISTAS!$O$3:$O$42,$I2623&amp;" "&amp;$K2623)))&gt;0,"CERCANA","NACIONAL"))</f>
        <v/>
      </c>
      <c r="O2623" s="39">
        <f>IF($B2623="","",IF(COUNTIFS(NOVEDADES!$C$4:$C$2003,$B2623)=0,"—","SÍ ("&amp;COUNTIFS(NOVEDADES!$C$4:$C$2003,$B2623)&amp;")"))</f>
        <v/>
      </c>
    </row>
    <row r="2624">
      <c r="A2624" s="41" t="n"/>
      <c r="B2624" s="41" t="n"/>
      <c r="C2624" s="41" t="n"/>
      <c r="D2624" s="41" t="n"/>
      <c r="E2624" s="46" t="n"/>
      <c r="F2624" s="41" t="n"/>
      <c r="G2624" s="41" t="n"/>
      <c r="H2624" s="41" t="n"/>
      <c r="I2624" s="41" t="n"/>
      <c r="J2624" s="47" t="n"/>
      <c r="K2624" s="41" t="n"/>
      <c r="L2624" s="48" t="n"/>
      <c r="M2624" s="45" t="n"/>
      <c r="N2624" s="39">
        <f>IF($B2624="","",IF(SUMPRODUCT((LISTAS!$O$3:$O$42&lt;&gt;"")*ISNUMBER(SEARCH(LISTAS!$O$3:$O$42,$I2624&amp;" "&amp;$K2624)))&gt;0,"CERCANA","NACIONAL"))</f>
        <v/>
      </c>
      <c r="O2624" s="39">
        <f>IF($B2624="","",IF(COUNTIFS(NOVEDADES!$C$4:$C$2003,$B2624)=0,"—","SÍ ("&amp;COUNTIFS(NOVEDADES!$C$4:$C$2003,$B2624)&amp;")"))</f>
        <v/>
      </c>
    </row>
    <row r="2625">
      <c r="A2625" s="41" t="n"/>
      <c r="B2625" s="41" t="n"/>
      <c r="C2625" s="41" t="n"/>
      <c r="D2625" s="41" t="n"/>
      <c r="E2625" s="46" t="n"/>
      <c r="F2625" s="41" t="n"/>
      <c r="G2625" s="41" t="n"/>
      <c r="H2625" s="41" t="n"/>
      <c r="I2625" s="41" t="n"/>
      <c r="J2625" s="47" t="n"/>
      <c r="K2625" s="41" t="n"/>
      <c r="L2625" s="48" t="n"/>
      <c r="M2625" s="45" t="n"/>
      <c r="N2625" s="39">
        <f>IF($B2625="","",IF(SUMPRODUCT((LISTAS!$O$3:$O$42&lt;&gt;"")*ISNUMBER(SEARCH(LISTAS!$O$3:$O$42,$I2625&amp;" "&amp;$K2625)))&gt;0,"CERCANA","NACIONAL"))</f>
        <v/>
      </c>
      <c r="O2625" s="39">
        <f>IF($B2625="","",IF(COUNTIFS(NOVEDADES!$C$4:$C$2003,$B2625)=0,"—","SÍ ("&amp;COUNTIFS(NOVEDADES!$C$4:$C$2003,$B2625)&amp;")"))</f>
        <v/>
      </c>
    </row>
    <row r="2626">
      <c r="A2626" s="41" t="n"/>
      <c r="B2626" s="41" t="n"/>
      <c r="C2626" s="41" t="n"/>
      <c r="D2626" s="41" t="n"/>
      <c r="E2626" s="46" t="n"/>
      <c r="F2626" s="41" t="n"/>
      <c r="G2626" s="41" t="n"/>
      <c r="H2626" s="41" t="n"/>
      <c r="I2626" s="41" t="n"/>
      <c r="J2626" s="47" t="n"/>
      <c r="K2626" s="41" t="n"/>
      <c r="L2626" s="48" t="n"/>
      <c r="M2626" s="45" t="n"/>
      <c r="N2626" s="39">
        <f>IF($B2626="","",IF(SUMPRODUCT((LISTAS!$O$3:$O$42&lt;&gt;"")*ISNUMBER(SEARCH(LISTAS!$O$3:$O$42,$I2626&amp;" "&amp;$K2626)))&gt;0,"CERCANA","NACIONAL"))</f>
        <v/>
      </c>
      <c r="O2626" s="39">
        <f>IF($B2626="","",IF(COUNTIFS(NOVEDADES!$C$4:$C$2003,$B2626)=0,"—","SÍ ("&amp;COUNTIFS(NOVEDADES!$C$4:$C$2003,$B2626)&amp;")"))</f>
        <v/>
      </c>
    </row>
    <row r="2627">
      <c r="A2627" s="41" t="n"/>
      <c r="B2627" s="41" t="n"/>
      <c r="C2627" s="41" t="n"/>
      <c r="D2627" s="41" t="n"/>
      <c r="E2627" s="46" t="n"/>
      <c r="F2627" s="41" t="n"/>
      <c r="G2627" s="41" t="n"/>
      <c r="H2627" s="41" t="n"/>
      <c r="I2627" s="41" t="n"/>
      <c r="J2627" s="47" t="n"/>
      <c r="K2627" s="41" t="n"/>
      <c r="L2627" s="48" t="n"/>
      <c r="M2627" s="45" t="n"/>
      <c r="N2627" s="39">
        <f>IF($B2627="","",IF(SUMPRODUCT((LISTAS!$O$3:$O$42&lt;&gt;"")*ISNUMBER(SEARCH(LISTAS!$O$3:$O$42,$I2627&amp;" "&amp;$K2627)))&gt;0,"CERCANA","NACIONAL"))</f>
        <v/>
      </c>
      <c r="O2627" s="39">
        <f>IF($B2627="","",IF(COUNTIFS(NOVEDADES!$C$4:$C$2003,$B2627)=0,"—","SÍ ("&amp;COUNTIFS(NOVEDADES!$C$4:$C$2003,$B2627)&amp;")"))</f>
        <v/>
      </c>
    </row>
    <row r="2628">
      <c r="A2628" s="41" t="n"/>
      <c r="B2628" s="41" t="n"/>
      <c r="C2628" s="41" t="n"/>
      <c r="D2628" s="41" t="n"/>
      <c r="E2628" s="46" t="n"/>
      <c r="F2628" s="41" t="n"/>
      <c r="G2628" s="41" t="n"/>
      <c r="H2628" s="41" t="n"/>
      <c r="I2628" s="41" t="n"/>
      <c r="J2628" s="47" t="n"/>
      <c r="K2628" s="41" t="n"/>
      <c r="L2628" s="48" t="n"/>
      <c r="M2628" s="45" t="n"/>
      <c r="N2628" s="39">
        <f>IF($B2628="","",IF(SUMPRODUCT((LISTAS!$O$3:$O$42&lt;&gt;"")*ISNUMBER(SEARCH(LISTAS!$O$3:$O$42,$I2628&amp;" "&amp;$K2628)))&gt;0,"CERCANA","NACIONAL"))</f>
        <v/>
      </c>
      <c r="O2628" s="39">
        <f>IF($B2628="","",IF(COUNTIFS(NOVEDADES!$C$4:$C$2003,$B2628)=0,"—","SÍ ("&amp;COUNTIFS(NOVEDADES!$C$4:$C$2003,$B2628)&amp;")"))</f>
        <v/>
      </c>
    </row>
    <row r="2629">
      <c r="A2629" s="41" t="n"/>
      <c r="B2629" s="41" t="n"/>
      <c r="C2629" s="41" t="n"/>
      <c r="D2629" s="41" t="n"/>
      <c r="E2629" s="46" t="n"/>
      <c r="F2629" s="41" t="n"/>
      <c r="G2629" s="41" t="n"/>
      <c r="H2629" s="41" t="n"/>
      <c r="I2629" s="41" t="n"/>
      <c r="J2629" s="47" t="n"/>
      <c r="K2629" s="41" t="n"/>
      <c r="L2629" s="48" t="n"/>
      <c r="M2629" s="45" t="n"/>
      <c r="N2629" s="39">
        <f>IF($B2629="","",IF(SUMPRODUCT((LISTAS!$O$3:$O$42&lt;&gt;"")*ISNUMBER(SEARCH(LISTAS!$O$3:$O$42,$I2629&amp;" "&amp;$K2629)))&gt;0,"CERCANA","NACIONAL"))</f>
        <v/>
      </c>
      <c r="O2629" s="39">
        <f>IF($B2629="","",IF(COUNTIFS(NOVEDADES!$C$4:$C$2003,$B2629)=0,"—","SÍ ("&amp;COUNTIFS(NOVEDADES!$C$4:$C$2003,$B2629)&amp;")"))</f>
        <v/>
      </c>
    </row>
    <row r="2630">
      <c r="A2630" s="41" t="n"/>
      <c r="B2630" s="41" t="n"/>
      <c r="C2630" s="41" t="n"/>
      <c r="D2630" s="41" t="n"/>
      <c r="E2630" s="46" t="n"/>
      <c r="F2630" s="41" t="n"/>
      <c r="G2630" s="41" t="n"/>
      <c r="H2630" s="41" t="n"/>
      <c r="I2630" s="41" t="n"/>
      <c r="J2630" s="47" t="n"/>
      <c r="K2630" s="41" t="n"/>
      <c r="L2630" s="48" t="n"/>
      <c r="M2630" s="45" t="n"/>
      <c r="N2630" s="39">
        <f>IF($B2630="","",IF(SUMPRODUCT((LISTAS!$O$3:$O$42&lt;&gt;"")*ISNUMBER(SEARCH(LISTAS!$O$3:$O$42,$I2630&amp;" "&amp;$K2630)))&gt;0,"CERCANA","NACIONAL"))</f>
        <v/>
      </c>
      <c r="O2630" s="39">
        <f>IF($B2630="","",IF(COUNTIFS(NOVEDADES!$C$4:$C$2003,$B2630)=0,"—","SÍ ("&amp;COUNTIFS(NOVEDADES!$C$4:$C$2003,$B2630)&amp;")"))</f>
        <v/>
      </c>
    </row>
    <row r="2631">
      <c r="A2631" s="41" t="n"/>
      <c r="B2631" s="41" t="n"/>
      <c r="C2631" s="41" t="n"/>
      <c r="D2631" s="41" t="n"/>
      <c r="E2631" s="46" t="n"/>
      <c r="F2631" s="41" t="n"/>
      <c r="G2631" s="41" t="n"/>
      <c r="H2631" s="41" t="n"/>
      <c r="I2631" s="41" t="n"/>
      <c r="J2631" s="47" t="n"/>
      <c r="K2631" s="41" t="n"/>
      <c r="L2631" s="48" t="n"/>
      <c r="M2631" s="45" t="n"/>
      <c r="N2631" s="39">
        <f>IF($B2631="","",IF(SUMPRODUCT((LISTAS!$O$3:$O$42&lt;&gt;"")*ISNUMBER(SEARCH(LISTAS!$O$3:$O$42,$I2631&amp;" "&amp;$K2631)))&gt;0,"CERCANA","NACIONAL"))</f>
        <v/>
      </c>
      <c r="O2631" s="39">
        <f>IF($B2631="","",IF(COUNTIFS(NOVEDADES!$C$4:$C$2003,$B2631)=0,"—","SÍ ("&amp;COUNTIFS(NOVEDADES!$C$4:$C$2003,$B2631)&amp;")"))</f>
        <v/>
      </c>
    </row>
    <row r="2632">
      <c r="A2632" s="41" t="n"/>
      <c r="B2632" s="41" t="n"/>
      <c r="C2632" s="41" t="n"/>
      <c r="D2632" s="41" t="n"/>
      <c r="E2632" s="46" t="n"/>
      <c r="F2632" s="41" t="n"/>
      <c r="G2632" s="41" t="n"/>
      <c r="H2632" s="41" t="n"/>
      <c r="I2632" s="41" t="n"/>
      <c r="J2632" s="47" t="n"/>
      <c r="K2632" s="41" t="n"/>
      <c r="L2632" s="48" t="n"/>
      <c r="M2632" s="45" t="n"/>
      <c r="N2632" s="39">
        <f>IF($B2632="","",IF(SUMPRODUCT((LISTAS!$O$3:$O$42&lt;&gt;"")*ISNUMBER(SEARCH(LISTAS!$O$3:$O$42,$I2632&amp;" "&amp;$K2632)))&gt;0,"CERCANA","NACIONAL"))</f>
        <v/>
      </c>
      <c r="O2632" s="39">
        <f>IF($B2632="","",IF(COUNTIFS(NOVEDADES!$C$4:$C$2003,$B2632)=0,"—","SÍ ("&amp;COUNTIFS(NOVEDADES!$C$4:$C$2003,$B2632)&amp;")"))</f>
        <v/>
      </c>
    </row>
    <row r="2633">
      <c r="A2633" s="41" t="n"/>
      <c r="B2633" s="41" t="n"/>
      <c r="C2633" s="41" t="n"/>
      <c r="D2633" s="41" t="n"/>
      <c r="E2633" s="46" t="n"/>
      <c r="F2633" s="41" t="n"/>
      <c r="G2633" s="41" t="n"/>
      <c r="H2633" s="41" t="n"/>
      <c r="I2633" s="41" t="n"/>
      <c r="J2633" s="47" t="n"/>
      <c r="K2633" s="41" t="n"/>
      <c r="L2633" s="48" t="n"/>
      <c r="M2633" s="45" t="n"/>
      <c r="N2633" s="39">
        <f>IF($B2633="","",IF(SUMPRODUCT((LISTAS!$O$3:$O$42&lt;&gt;"")*ISNUMBER(SEARCH(LISTAS!$O$3:$O$42,$I2633&amp;" "&amp;$K2633)))&gt;0,"CERCANA","NACIONAL"))</f>
        <v/>
      </c>
      <c r="O2633" s="39">
        <f>IF($B2633="","",IF(COUNTIFS(NOVEDADES!$C$4:$C$2003,$B2633)=0,"—","SÍ ("&amp;COUNTIFS(NOVEDADES!$C$4:$C$2003,$B2633)&amp;")"))</f>
        <v/>
      </c>
    </row>
    <row r="2634">
      <c r="A2634" s="41" t="n"/>
      <c r="B2634" s="41" t="n"/>
      <c r="C2634" s="41" t="n"/>
      <c r="D2634" s="41" t="n"/>
      <c r="E2634" s="46" t="n"/>
      <c r="F2634" s="41" t="n"/>
      <c r="G2634" s="41" t="n"/>
      <c r="H2634" s="41" t="n"/>
      <c r="I2634" s="41" t="n"/>
      <c r="J2634" s="47" t="n"/>
      <c r="K2634" s="41" t="n"/>
      <c r="L2634" s="48" t="n"/>
      <c r="M2634" s="45" t="n"/>
      <c r="N2634" s="39">
        <f>IF($B2634="","",IF(SUMPRODUCT((LISTAS!$O$3:$O$42&lt;&gt;"")*ISNUMBER(SEARCH(LISTAS!$O$3:$O$42,$I2634&amp;" "&amp;$K2634)))&gt;0,"CERCANA","NACIONAL"))</f>
        <v/>
      </c>
      <c r="O2634" s="39">
        <f>IF($B2634="","",IF(COUNTIFS(NOVEDADES!$C$4:$C$2003,$B2634)=0,"—","SÍ ("&amp;COUNTIFS(NOVEDADES!$C$4:$C$2003,$B2634)&amp;")"))</f>
        <v/>
      </c>
    </row>
    <row r="2635">
      <c r="A2635" s="41" t="n"/>
      <c r="B2635" s="41" t="n"/>
      <c r="C2635" s="41" t="n"/>
      <c r="D2635" s="41" t="n"/>
      <c r="E2635" s="46" t="n"/>
      <c r="F2635" s="41" t="n"/>
      <c r="G2635" s="41" t="n"/>
      <c r="H2635" s="41" t="n"/>
      <c r="I2635" s="41" t="n"/>
      <c r="J2635" s="47" t="n"/>
      <c r="K2635" s="41" t="n"/>
      <c r="L2635" s="48" t="n"/>
      <c r="M2635" s="45" t="n"/>
      <c r="N2635" s="39">
        <f>IF($B2635="","",IF(SUMPRODUCT((LISTAS!$O$3:$O$42&lt;&gt;"")*ISNUMBER(SEARCH(LISTAS!$O$3:$O$42,$I2635&amp;" "&amp;$K2635)))&gt;0,"CERCANA","NACIONAL"))</f>
        <v/>
      </c>
      <c r="O2635" s="39">
        <f>IF($B2635="","",IF(COUNTIFS(NOVEDADES!$C$4:$C$2003,$B2635)=0,"—","SÍ ("&amp;COUNTIFS(NOVEDADES!$C$4:$C$2003,$B2635)&amp;")"))</f>
        <v/>
      </c>
    </row>
    <row r="2636">
      <c r="A2636" s="41" t="n"/>
      <c r="B2636" s="41" t="n"/>
      <c r="C2636" s="41" t="n"/>
      <c r="D2636" s="41" t="n"/>
      <c r="E2636" s="46" t="n"/>
      <c r="F2636" s="41" t="n"/>
      <c r="G2636" s="41" t="n"/>
      <c r="H2636" s="41" t="n"/>
      <c r="I2636" s="41" t="n"/>
      <c r="J2636" s="47" t="n"/>
      <c r="K2636" s="41" t="n"/>
      <c r="L2636" s="48" t="n"/>
      <c r="M2636" s="45" t="n"/>
      <c r="N2636" s="39">
        <f>IF($B2636="","",IF(SUMPRODUCT((LISTAS!$O$3:$O$42&lt;&gt;"")*ISNUMBER(SEARCH(LISTAS!$O$3:$O$42,$I2636&amp;" "&amp;$K2636)))&gt;0,"CERCANA","NACIONAL"))</f>
        <v/>
      </c>
      <c r="O2636" s="39">
        <f>IF($B2636="","",IF(COUNTIFS(NOVEDADES!$C$4:$C$2003,$B2636)=0,"—","SÍ ("&amp;COUNTIFS(NOVEDADES!$C$4:$C$2003,$B2636)&amp;")"))</f>
        <v/>
      </c>
    </row>
    <row r="2637">
      <c r="A2637" s="41" t="n"/>
      <c r="B2637" s="41" t="n"/>
      <c r="C2637" s="41" t="n"/>
      <c r="D2637" s="41" t="n"/>
      <c r="E2637" s="46" t="n"/>
      <c r="F2637" s="41" t="n"/>
      <c r="G2637" s="41" t="n"/>
      <c r="H2637" s="41" t="n"/>
      <c r="I2637" s="41" t="n"/>
      <c r="J2637" s="47" t="n"/>
      <c r="K2637" s="41" t="n"/>
      <c r="L2637" s="48" t="n"/>
      <c r="M2637" s="45" t="n"/>
      <c r="N2637" s="39">
        <f>IF($B2637="","",IF(SUMPRODUCT((LISTAS!$O$3:$O$42&lt;&gt;"")*ISNUMBER(SEARCH(LISTAS!$O$3:$O$42,$I2637&amp;" "&amp;$K2637)))&gt;0,"CERCANA","NACIONAL"))</f>
        <v/>
      </c>
      <c r="O2637" s="39">
        <f>IF($B2637="","",IF(COUNTIFS(NOVEDADES!$C$4:$C$2003,$B2637)=0,"—","SÍ ("&amp;COUNTIFS(NOVEDADES!$C$4:$C$2003,$B2637)&amp;")"))</f>
        <v/>
      </c>
    </row>
    <row r="2638">
      <c r="A2638" s="41" t="n"/>
      <c r="B2638" s="41" t="n"/>
      <c r="C2638" s="41" t="n"/>
      <c r="D2638" s="41" t="n"/>
      <c r="E2638" s="46" t="n"/>
      <c r="F2638" s="41" t="n"/>
      <c r="G2638" s="41" t="n"/>
      <c r="H2638" s="41" t="n"/>
      <c r="I2638" s="41" t="n"/>
      <c r="J2638" s="47" t="n"/>
      <c r="K2638" s="41" t="n"/>
      <c r="L2638" s="48" t="n"/>
      <c r="M2638" s="45" t="n"/>
      <c r="N2638" s="39">
        <f>IF($B2638="","",IF(SUMPRODUCT((LISTAS!$O$3:$O$42&lt;&gt;"")*ISNUMBER(SEARCH(LISTAS!$O$3:$O$42,$I2638&amp;" "&amp;$K2638)))&gt;0,"CERCANA","NACIONAL"))</f>
        <v/>
      </c>
      <c r="O2638" s="39">
        <f>IF($B2638="","",IF(COUNTIFS(NOVEDADES!$C$4:$C$2003,$B2638)=0,"—","SÍ ("&amp;COUNTIFS(NOVEDADES!$C$4:$C$2003,$B2638)&amp;")"))</f>
        <v/>
      </c>
    </row>
    <row r="2639">
      <c r="A2639" s="41" t="n"/>
      <c r="B2639" s="41" t="n"/>
      <c r="C2639" s="41" t="n"/>
      <c r="D2639" s="41" t="n"/>
      <c r="E2639" s="46" t="n"/>
      <c r="F2639" s="41" t="n"/>
      <c r="G2639" s="41" t="n"/>
      <c r="H2639" s="41" t="n"/>
      <c r="I2639" s="41" t="n"/>
      <c r="J2639" s="47" t="n"/>
      <c r="K2639" s="41" t="n"/>
      <c r="L2639" s="48" t="n"/>
      <c r="M2639" s="45" t="n"/>
      <c r="N2639" s="39">
        <f>IF($B2639="","",IF(SUMPRODUCT((LISTAS!$O$3:$O$42&lt;&gt;"")*ISNUMBER(SEARCH(LISTAS!$O$3:$O$42,$I2639&amp;" "&amp;$K2639)))&gt;0,"CERCANA","NACIONAL"))</f>
        <v/>
      </c>
      <c r="O2639" s="39">
        <f>IF($B2639="","",IF(COUNTIFS(NOVEDADES!$C$4:$C$2003,$B2639)=0,"—","SÍ ("&amp;COUNTIFS(NOVEDADES!$C$4:$C$2003,$B2639)&amp;")"))</f>
        <v/>
      </c>
    </row>
    <row r="2640">
      <c r="A2640" s="41" t="n"/>
      <c r="B2640" s="41" t="n"/>
      <c r="C2640" s="41" t="n"/>
      <c r="D2640" s="41" t="n"/>
      <c r="E2640" s="46" t="n"/>
      <c r="F2640" s="41" t="n"/>
      <c r="G2640" s="41" t="n"/>
      <c r="H2640" s="41" t="n"/>
      <c r="I2640" s="41" t="n"/>
      <c r="J2640" s="47" t="n"/>
      <c r="K2640" s="41" t="n"/>
      <c r="L2640" s="48" t="n"/>
      <c r="M2640" s="45" t="n"/>
      <c r="N2640" s="39">
        <f>IF($B2640="","",IF(SUMPRODUCT((LISTAS!$O$3:$O$42&lt;&gt;"")*ISNUMBER(SEARCH(LISTAS!$O$3:$O$42,$I2640&amp;" "&amp;$K2640)))&gt;0,"CERCANA","NACIONAL"))</f>
        <v/>
      </c>
      <c r="O2640" s="39">
        <f>IF($B2640="","",IF(COUNTIFS(NOVEDADES!$C$4:$C$2003,$B2640)=0,"—","SÍ ("&amp;COUNTIFS(NOVEDADES!$C$4:$C$2003,$B2640)&amp;")"))</f>
        <v/>
      </c>
    </row>
    <row r="2641">
      <c r="A2641" s="41" t="n"/>
      <c r="B2641" s="41" t="n"/>
      <c r="C2641" s="41" t="n"/>
      <c r="D2641" s="41" t="n"/>
      <c r="E2641" s="46" t="n"/>
      <c r="F2641" s="41" t="n"/>
      <c r="G2641" s="41" t="n"/>
      <c r="H2641" s="41" t="n"/>
      <c r="I2641" s="41" t="n"/>
      <c r="J2641" s="47" t="n"/>
      <c r="K2641" s="41" t="n"/>
      <c r="L2641" s="48" t="n"/>
      <c r="M2641" s="45" t="n"/>
      <c r="N2641" s="39">
        <f>IF($B2641="","",IF(SUMPRODUCT((LISTAS!$O$3:$O$42&lt;&gt;"")*ISNUMBER(SEARCH(LISTAS!$O$3:$O$42,$I2641&amp;" "&amp;$K2641)))&gt;0,"CERCANA","NACIONAL"))</f>
        <v/>
      </c>
      <c r="O2641" s="39">
        <f>IF($B2641="","",IF(COUNTIFS(NOVEDADES!$C$4:$C$2003,$B2641)=0,"—","SÍ ("&amp;COUNTIFS(NOVEDADES!$C$4:$C$2003,$B2641)&amp;")"))</f>
        <v/>
      </c>
    </row>
    <row r="2642">
      <c r="A2642" s="41" t="n"/>
      <c r="B2642" s="41" t="n"/>
      <c r="C2642" s="41" t="n"/>
      <c r="D2642" s="41" t="n"/>
      <c r="E2642" s="46" t="n"/>
      <c r="F2642" s="41" t="n"/>
      <c r="G2642" s="41" t="n"/>
      <c r="H2642" s="41" t="n"/>
      <c r="I2642" s="41" t="n"/>
      <c r="J2642" s="47" t="n"/>
      <c r="K2642" s="41" t="n"/>
      <c r="L2642" s="48" t="n"/>
      <c r="M2642" s="45" t="n"/>
      <c r="N2642" s="39">
        <f>IF($B2642="","",IF(SUMPRODUCT((LISTAS!$O$3:$O$42&lt;&gt;"")*ISNUMBER(SEARCH(LISTAS!$O$3:$O$42,$I2642&amp;" "&amp;$K2642)))&gt;0,"CERCANA","NACIONAL"))</f>
        <v/>
      </c>
      <c r="O2642" s="39">
        <f>IF($B2642="","",IF(COUNTIFS(NOVEDADES!$C$4:$C$2003,$B2642)=0,"—","SÍ ("&amp;COUNTIFS(NOVEDADES!$C$4:$C$2003,$B2642)&amp;")"))</f>
        <v/>
      </c>
    </row>
    <row r="2643">
      <c r="A2643" s="41" t="n"/>
      <c r="B2643" s="41" t="n"/>
      <c r="C2643" s="41" t="n"/>
      <c r="D2643" s="41" t="n"/>
      <c r="E2643" s="46" t="n"/>
      <c r="F2643" s="41" t="n"/>
      <c r="G2643" s="41" t="n"/>
      <c r="H2643" s="41" t="n"/>
      <c r="I2643" s="41" t="n"/>
      <c r="J2643" s="47" t="n"/>
      <c r="K2643" s="41" t="n"/>
      <c r="L2643" s="48" t="n"/>
      <c r="M2643" s="45" t="n"/>
      <c r="N2643" s="39">
        <f>IF($B2643="","",IF(SUMPRODUCT((LISTAS!$O$3:$O$42&lt;&gt;"")*ISNUMBER(SEARCH(LISTAS!$O$3:$O$42,$I2643&amp;" "&amp;$K2643)))&gt;0,"CERCANA","NACIONAL"))</f>
        <v/>
      </c>
      <c r="O2643" s="39">
        <f>IF($B2643="","",IF(COUNTIFS(NOVEDADES!$C$4:$C$2003,$B2643)=0,"—","SÍ ("&amp;COUNTIFS(NOVEDADES!$C$4:$C$2003,$B2643)&amp;")"))</f>
        <v/>
      </c>
    </row>
    <row r="2644">
      <c r="A2644" s="41" t="n"/>
      <c r="B2644" s="41" t="n"/>
      <c r="C2644" s="41" t="n"/>
      <c r="D2644" s="41" t="n"/>
      <c r="E2644" s="46" t="n"/>
      <c r="F2644" s="41" t="n"/>
      <c r="G2644" s="41" t="n"/>
      <c r="H2644" s="41" t="n"/>
      <c r="I2644" s="41" t="n"/>
      <c r="J2644" s="47" t="n"/>
      <c r="K2644" s="41" t="n"/>
      <c r="L2644" s="48" t="n"/>
      <c r="M2644" s="45" t="n"/>
      <c r="N2644" s="39">
        <f>IF($B2644="","",IF(SUMPRODUCT((LISTAS!$O$3:$O$42&lt;&gt;"")*ISNUMBER(SEARCH(LISTAS!$O$3:$O$42,$I2644&amp;" "&amp;$K2644)))&gt;0,"CERCANA","NACIONAL"))</f>
        <v/>
      </c>
      <c r="O2644" s="39">
        <f>IF($B2644="","",IF(COUNTIFS(NOVEDADES!$C$4:$C$2003,$B2644)=0,"—","SÍ ("&amp;COUNTIFS(NOVEDADES!$C$4:$C$2003,$B2644)&amp;")"))</f>
        <v/>
      </c>
    </row>
    <row r="2645">
      <c r="A2645" s="41" t="n"/>
      <c r="B2645" s="41" t="n"/>
      <c r="C2645" s="41" t="n"/>
      <c r="D2645" s="41" t="n"/>
      <c r="E2645" s="46" t="n"/>
      <c r="F2645" s="41" t="n"/>
      <c r="G2645" s="41" t="n"/>
      <c r="H2645" s="41" t="n"/>
      <c r="I2645" s="41" t="n"/>
      <c r="J2645" s="47" t="n"/>
      <c r="K2645" s="41" t="n"/>
      <c r="L2645" s="48" t="n"/>
      <c r="M2645" s="45" t="n"/>
      <c r="N2645" s="39">
        <f>IF($B2645="","",IF(SUMPRODUCT((LISTAS!$O$3:$O$42&lt;&gt;"")*ISNUMBER(SEARCH(LISTAS!$O$3:$O$42,$I2645&amp;" "&amp;$K2645)))&gt;0,"CERCANA","NACIONAL"))</f>
        <v/>
      </c>
      <c r="O2645" s="39">
        <f>IF($B2645="","",IF(COUNTIFS(NOVEDADES!$C$4:$C$2003,$B2645)=0,"—","SÍ ("&amp;COUNTIFS(NOVEDADES!$C$4:$C$2003,$B2645)&amp;")"))</f>
        <v/>
      </c>
    </row>
    <row r="2646">
      <c r="A2646" s="41" t="n"/>
      <c r="B2646" s="41" t="n"/>
      <c r="C2646" s="41" t="n"/>
      <c r="D2646" s="41" t="n"/>
      <c r="E2646" s="46" t="n"/>
      <c r="F2646" s="41" t="n"/>
      <c r="G2646" s="41" t="n"/>
      <c r="H2646" s="41" t="n"/>
      <c r="I2646" s="41" t="n"/>
      <c r="J2646" s="47" t="n"/>
      <c r="K2646" s="41" t="n"/>
      <c r="L2646" s="48" t="n"/>
      <c r="M2646" s="45" t="n"/>
      <c r="N2646" s="39">
        <f>IF($B2646="","",IF(SUMPRODUCT((LISTAS!$O$3:$O$42&lt;&gt;"")*ISNUMBER(SEARCH(LISTAS!$O$3:$O$42,$I2646&amp;" "&amp;$K2646)))&gt;0,"CERCANA","NACIONAL"))</f>
        <v/>
      </c>
      <c r="O2646" s="39">
        <f>IF($B2646="","",IF(COUNTIFS(NOVEDADES!$C$4:$C$2003,$B2646)=0,"—","SÍ ("&amp;COUNTIFS(NOVEDADES!$C$4:$C$2003,$B2646)&amp;")"))</f>
        <v/>
      </c>
    </row>
    <row r="2647">
      <c r="A2647" s="41" t="n"/>
      <c r="B2647" s="41" t="n"/>
      <c r="C2647" s="41" t="n"/>
      <c r="D2647" s="41" t="n"/>
      <c r="E2647" s="46" t="n"/>
      <c r="F2647" s="41" t="n"/>
      <c r="G2647" s="41" t="n"/>
      <c r="H2647" s="41" t="n"/>
      <c r="I2647" s="41" t="n"/>
      <c r="J2647" s="47" t="n"/>
      <c r="K2647" s="41" t="n"/>
      <c r="L2647" s="48" t="n"/>
      <c r="M2647" s="45" t="n"/>
      <c r="N2647" s="39">
        <f>IF($B2647="","",IF(SUMPRODUCT((LISTAS!$O$3:$O$42&lt;&gt;"")*ISNUMBER(SEARCH(LISTAS!$O$3:$O$42,$I2647&amp;" "&amp;$K2647)))&gt;0,"CERCANA","NACIONAL"))</f>
        <v/>
      </c>
      <c r="O2647" s="39">
        <f>IF($B2647="","",IF(COUNTIFS(NOVEDADES!$C$4:$C$2003,$B2647)=0,"—","SÍ ("&amp;COUNTIFS(NOVEDADES!$C$4:$C$2003,$B2647)&amp;")"))</f>
        <v/>
      </c>
    </row>
    <row r="2648">
      <c r="A2648" s="41" t="n"/>
      <c r="B2648" s="41" t="n"/>
      <c r="C2648" s="41" t="n"/>
      <c r="D2648" s="41" t="n"/>
      <c r="E2648" s="46" t="n"/>
      <c r="F2648" s="41" t="n"/>
      <c r="G2648" s="41" t="n"/>
      <c r="H2648" s="41" t="n"/>
      <c r="I2648" s="41" t="n"/>
      <c r="J2648" s="47" t="n"/>
      <c r="K2648" s="41" t="n"/>
      <c r="L2648" s="48" t="n"/>
      <c r="M2648" s="45" t="n"/>
      <c r="N2648" s="39">
        <f>IF($B2648="","",IF(SUMPRODUCT((LISTAS!$O$3:$O$42&lt;&gt;"")*ISNUMBER(SEARCH(LISTAS!$O$3:$O$42,$I2648&amp;" "&amp;$K2648)))&gt;0,"CERCANA","NACIONAL"))</f>
        <v/>
      </c>
      <c r="O2648" s="39">
        <f>IF($B2648="","",IF(COUNTIFS(NOVEDADES!$C$4:$C$2003,$B2648)=0,"—","SÍ ("&amp;COUNTIFS(NOVEDADES!$C$4:$C$2003,$B2648)&amp;")"))</f>
        <v/>
      </c>
    </row>
    <row r="2649">
      <c r="A2649" s="41" t="n"/>
      <c r="B2649" s="41" t="n"/>
      <c r="C2649" s="41" t="n"/>
      <c r="D2649" s="41" t="n"/>
      <c r="E2649" s="46" t="n"/>
      <c r="F2649" s="41" t="n"/>
      <c r="G2649" s="41" t="n"/>
      <c r="H2649" s="41" t="n"/>
      <c r="I2649" s="41" t="n"/>
      <c r="J2649" s="47" t="n"/>
      <c r="K2649" s="41" t="n"/>
      <c r="L2649" s="48" t="n"/>
      <c r="M2649" s="45" t="n"/>
      <c r="N2649" s="39">
        <f>IF($B2649="","",IF(SUMPRODUCT((LISTAS!$O$3:$O$42&lt;&gt;"")*ISNUMBER(SEARCH(LISTAS!$O$3:$O$42,$I2649&amp;" "&amp;$K2649)))&gt;0,"CERCANA","NACIONAL"))</f>
        <v/>
      </c>
      <c r="O2649" s="39">
        <f>IF($B2649="","",IF(COUNTIFS(NOVEDADES!$C$4:$C$2003,$B2649)=0,"—","SÍ ("&amp;COUNTIFS(NOVEDADES!$C$4:$C$2003,$B2649)&amp;")"))</f>
        <v/>
      </c>
    </row>
    <row r="2650">
      <c r="A2650" s="41" t="n"/>
      <c r="B2650" s="41" t="n"/>
      <c r="C2650" s="41" t="n"/>
      <c r="D2650" s="41" t="n"/>
      <c r="E2650" s="46" t="n"/>
      <c r="F2650" s="41" t="n"/>
      <c r="G2650" s="41" t="n"/>
      <c r="H2650" s="41" t="n"/>
      <c r="I2650" s="41" t="n"/>
      <c r="J2650" s="47" t="n"/>
      <c r="K2650" s="41" t="n"/>
      <c r="L2650" s="48" t="n"/>
      <c r="M2650" s="45" t="n"/>
      <c r="N2650" s="39">
        <f>IF($B2650="","",IF(SUMPRODUCT((LISTAS!$O$3:$O$42&lt;&gt;"")*ISNUMBER(SEARCH(LISTAS!$O$3:$O$42,$I2650&amp;" "&amp;$K2650)))&gt;0,"CERCANA","NACIONAL"))</f>
        <v/>
      </c>
      <c r="O2650" s="39">
        <f>IF($B2650="","",IF(COUNTIFS(NOVEDADES!$C$4:$C$2003,$B2650)=0,"—","SÍ ("&amp;COUNTIFS(NOVEDADES!$C$4:$C$2003,$B2650)&amp;")"))</f>
        <v/>
      </c>
    </row>
    <row r="2651">
      <c r="A2651" s="41" t="n"/>
      <c r="B2651" s="41" t="n"/>
      <c r="C2651" s="41" t="n"/>
      <c r="D2651" s="41" t="n"/>
      <c r="E2651" s="46" t="n"/>
      <c r="F2651" s="41" t="n"/>
      <c r="G2651" s="41" t="n"/>
      <c r="H2651" s="41" t="n"/>
      <c r="I2651" s="41" t="n"/>
      <c r="J2651" s="47" t="n"/>
      <c r="K2651" s="41" t="n"/>
      <c r="L2651" s="48" t="n"/>
      <c r="M2651" s="45" t="n"/>
      <c r="N2651" s="39">
        <f>IF($B2651="","",IF(SUMPRODUCT((LISTAS!$O$3:$O$42&lt;&gt;"")*ISNUMBER(SEARCH(LISTAS!$O$3:$O$42,$I2651&amp;" "&amp;$K2651)))&gt;0,"CERCANA","NACIONAL"))</f>
        <v/>
      </c>
      <c r="O2651" s="39">
        <f>IF($B2651="","",IF(COUNTIFS(NOVEDADES!$C$4:$C$2003,$B2651)=0,"—","SÍ ("&amp;COUNTIFS(NOVEDADES!$C$4:$C$2003,$B2651)&amp;")"))</f>
        <v/>
      </c>
    </row>
    <row r="2652">
      <c r="A2652" s="41" t="n"/>
      <c r="B2652" s="41" t="n"/>
      <c r="C2652" s="41" t="n"/>
      <c r="D2652" s="41" t="n"/>
      <c r="E2652" s="46" t="n"/>
      <c r="F2652" s="41" t="n"/>
      <c r="G2652" s="41" t="n"/>
      <c r="H2652" s="41" t="n"/>
      <c r="I2652" s="41" t="n"/>
      <c r="J2652" s="47" t="n"/>
      <c r="K2652" s="41" t="n"/>
      <c r="L2652" s="48" t="n"/>
      <c r="M2652" s="45" t="n"/>
      <c r="N2652" s="39">
        <f>IF($B2652="","",IF(SUMPRODUCT((LISTAS!$O$3:$O$42&lt;&gt;"")*ISNUMBER(SEARCH(LISTAS!$O$3:$O$42,$I2652&amp;" "&amp;$K2652)))&gt;0,"CERCANA","NACIONAL"))</f>
        <v/>
      </c>
      <c r="O2652" s="39">
        <f>IF($B2652="","",IF(COUNTIFS(NOVEDADES!$C$4:$C$2003,$B2652)=0,"—","SÍ ("&amp;COUNTIFS(NOVEDADES!$C$4:$C$2003,$B2652)&amp;")"))</f>
        <v/>
      </c>
    </row>
    <row r="2653">
      <c r="A2653" s="41" t="n"/>
      <c r="B2653" s="41" t="n"/>
      <c r="C2653" s="41" t="n"/>
      <c r="D2653" s="41" t="n"/>
      <c r="E2653" s="46" t="n"/>
      <c r="F2653" s="41" t="n"/>
      <c r="G2653" s="41" t="n"/>
      <c r="H2653" s="41" t="n"/>
      <c r="I2653" s="41" t="n"/>
      <c r="J2653" s="47" t="n"/>
      <c r="K2653" s="41" t="n"/>
      <c r="L2653" s="48" t="n"/>
      <c r="M2653" s="45" t="n"/>
      <c r="N2653" s="39">
        <f>IF($B2653="","",IF(SUMPRODUCT((LISTAS!$O$3:$O$42&lt;&gt;"")*ISNUMBER(SEARCH(LISTAS!$O$3:$O$42,$I2653&amp;" "&amp;$K2653)))&gt;0,"CERCANA","NACIONAL"))</f>
        <v/>
      </c>
      <c r="O2653" s="39">
        <f>IF($B2653="","",IF(COUNTIFS(NOVEDADES!$C$4:$C$2003,$B2653)=0,"—","SÍ ("&amp;COUNTIFS(NOVEDADES!$C$4:$C$2003,$B2653)&amp;")"))</f>
        <v/>
      </c>
    </row>
    <row r="2654">
      <c r="A2654" s="41" t="n"/>
      <c r="B2654" s="41" t="n"/>
      <c r="C2654" s="41" t="n"/>
      <c r="D2654" s="41" t="n"/>
      <c r="E2654" s="46" t="n"/>
      <c r="F2654" s="41" t="n"/>
      <c r="G2654" s="41" t="n"/>
      <c r="H2654" s="41" t="n"/>
      <c r="I2654" s="41" t="n"/>
      <c r="J2654" s="47" t="n"/>
      <c r="K2654" s="41" t="n"/>
      <c r="L2654" s="48" t="n"/>
      <c r="M2654" s="45" t="n"/>
      <c r="N2654" s="39">
        <f>IF($B2654="","",IF(SUMPRODUCT((LISTAS!$O$3:$O$42&lt;&gt;"")*ISNUMBER(SEARCH(LISTAS!$O$3:$O$42,$I2654&amp;" "&amp;$K2654)))&gt;0,"CERCANA","NACIONAL"))</f>
        <v/>
      </c>
      <c r="O2654" s="39">
        <f>IF($B2654="","",IF(COUNTIFS(NOVEDADES!$C$4:$C$2003,$B2654)=0,"—","SÍ ("&amp;COUNTIFS(NOVEDADES!$C$4:$C$2003,$B2654)&amp;")"))</f>
        <v/>
      </c>
    </row>
    <row r="2655">
      <c r="A2655" s="41" t="n"/>
      <c r="B2655" s="41" t="n"/>
      <c r="C2655" s="41" t="n"/>
      <c r="D2655" s="41" t="n"/>
      <c r="E2655" s="46" t="n"/>
      <c r="F2655" s="41" t="n"/>
      <c r="G2655" s="41" t="n"/>
      <c r="H2655" s="41" t="n"/>
      <c r="I2655" s="41" t="n"/>
      <c r="J2655" s="47" t="n"/>
      <c r="K2655" s="41" t="n"/>
      <c r="L2655" s="48" t="n"/>
      <c r="M2655" s="45" t="n"/>
      <c r="N2655" s="39">
        <f>IF($B2655="","",IF(SUMPRODUCT((LISTAS!$O$3:$O$42&lt;&gt;"")*ISNUMBER(SEARCH(LISTAS!$O$3:$O$42,$I2655&amp;" "&amp;$K2655)))&gt;0,"CERCANA","NACIONAL"))</f>
        <v/>
      </c>
      <c r="O2655" s="39">
        <f>IF($B2655="","",IF(COUNTIFS(NOVEDADES!$C$4:$C$2003,$B2655)=0,"—","SÍ ("&amp;COUNTIFS(NOVEDADES!$C$4:$C$2003,$B2655)&amp;")"))</f>
        <v/>
      </c>
    </row>
    <row r="2656">
      <c r="A2656" s="41" t="n"/>
      <c r="B2656" s="41" t="n"/>
      <c r="C2656" s="41" t="n"/>
      <c r="D2656" s="41" t="n"/>
      <c r="E2656" s="46" t="n"/>
      <c r="F2656" s="41" t="n"/>
      <c r="G2656" s="41" t="n"/>
      <c r="H2656" s="41" t="n"/>
      <c r="I2656" s="41" t="n"/>
      <c r="J2656" s="47" t="n"/>
      <c r="K2656" s="41" t="n"/>
      <c r="L2656" s="48" t="n"/>
      <c r="M2656" s="45" t="n"/>
      <c r="N2656" s="39">
        <f>IF($B2656="","",IF(SUMPRODUCT((LISTAS!$O$3:$O$42&lt;&gt;"")*ISNUMBER(SEARCH(LISTAS!$O$3:$O$42,$I2656&amp;" "&amp;$K2656)))&gt;0,"CERCANA","NACIONAL"))</f>
        <v/>
      </c>
      <c r="O2656" s="39">
        <f>IF($B2656="","",IF(COUNTIFS(NOVEDADES!$C$4:$C$2003,$B2656)=0,"—","SÍ ("&amp;COUNTIFS(NOVEDADES!$C$4:$C$2003,$B2656)&amp;")"))</f>
        <v/>
      </c>
    </row>
    <row r="2657">
      <c r="A2657" s="41" t="n"/>
      <c r="B2657" s="41" t="n"/>
      <c r="C2657" s="41" t="n"/>
      <c r="D2657" s="41" t="n"/>
      <c r="E2657" s="46" t="n"/>
      <c r="F2657" s="41" t="n"/>
      <c r="G2657" s="41" t="n"/>
      <c r="H2657" s="41" t="n"/>
      <c r="I2657" s="41" t="n"/>
      <c r="J2657" s="47" t="n"/>
      <c r="K2657" s="41" t="n"/>
      <c r="L2657" s="48" t="n"/>
      <c r="M2657" s="45" t="n"/>
      <c r="N2657" s="39">
        <f>IF($B2657="","",IF(SUMPRODUCT((LISTAS!$O$3:$O$42&lt;&gt;"")*ISNUMBER(SEARCH(LISTAS!$O$3:$O$42,$I2657&amp;" "&amp;$K2657)))&gt;0,"CERCANA","NACIONAL"))</f>
        <v/>
      </c>
      <c r="O2657" s="39">
        <f>IF($B2657="","",IF(COUNTIFS(NOVEDADES!$C$4:$C$2003,$B2657)=0,"—","SÍ ("&amp;COUNTIFS(NOVEDADES!$C$4:$C$2003,$B2657)&amp;")"))</f>
        <v/>
      </c>
    </row>
    <row r="2658">
      <c r="A2658" s="41" t="n"/>
      <c r="B2658" s="41" t="n"/>
      <c r="C2658" s="41" t="n"/>
      <c r="D2658" s="41" t="n"/>
      <c r="E2658" s="46" t="n"/>
      <c r="F2658" s="41" t="n"/>
      <c r="G2658" s="41" t="n"/>
      <c r="H2658" s="41" t="n"/>
      <c r="I2658" s="41" t="n"/>
      <c r="J2658" s="47" t="n"/>
      <c r="K2658" s="41" t="n"/>
      <c r="L2658" s="48" t="n"/>
      <c r="M2658" s="45" t="n"/>
      <c r="N2658" s="39">
        <f>IF($B2658="","",IF(SUMPRODUCT((LISTAS!$O$3:$O$42&lt;&gt;"")*ISNUMBER(SEARCH(LISTAS!$O$3:$O$42,$I2658&amp;" "&amp;$K2658)))&gt;0,"CERCANA","NACIONAL"))</f>
        <v/>
      </c>
      <c r="O2658" s="39">
        <f>IF($B2658="","",IF(COUNTIFS(NOVEDADES!$C$4:$C$2003,$B2658)=0,"—","SÍ ("&amp;COUNTIFS(NOVEDADES!$C$4:$C$2003,$B2658)&amp;")"))</f>
        <v/>
      </c>
    </row>
    <row r="2659">
      <c r="A2659" s="41" t="n"/>
      <c r="B2659" s="41" t="n"/>
      <c r="C2659" s="41" t="n"/>
      <c r="D2659" s="41" t="n"/>
      <c r="E2659" s="46" t="n"/>
      <c r="F2659" s="41" t="n"/>
      <c r="G2659" s="41" t="n"/>
      <c r="H2659" s="41" t="n"/>
      <c r="I2659" s="41" t="n"/>
      <c r="J2659" s="47" t="n"/>
      <c r="K2659" s="41" t="n"/>
      <c r="L2659" s="48" t="n"/>
      <c r="M2659" s="45" t="n"/>
      <c r="N2659" s="39">
        <f>IF($B2659="","",IF(SUMPRODUCT((LISTAS!$O$3:$O$42&lt;&gt;"")*ISNUMBER(SEARCH(LISTAS!$O$3:$O$42,$I2659&amp;" "&amp;$K2659)))&gt;0,"CERCANA","NACIONAL"))</f>
        <v/>
      </c>
      <c r="O2659" s="39">
        <f>IF($B2659="","",IF(COUNTIFS(NOVEDADES!$C$4:$C$2003,$B2659)=0,"—","SÍ ("&amp;COUNTIFS(NOVEDADES!$C$4:$C$2003,$B2659)&amp;")"))</f>
        <v/>
      </c>
    </row>
    <row r="2660">
      <c r="A2660" s="41" t="n"/>
      <c r="B2660" s="41" t="n"/>
      <c r="C2660" s="41" t="n"/>
      <c r="D2660" s="41" t="n"/>
      <c r="E2660" s="46" t="n"/>
      <c r="F2660" s="41" t="n"/>
      <c r="G2660" s="41" t="n"/>
      <c r="H2660" s="41" t="n"/>
      <c r="I2660" s="41" t="n"/>
      <c r="J2660" s="47" t="n"/>
      <c r="K2660" s="41" t="n"/>
      <c r="L2660" s="48" t="n"/>
      <c r="M2660" s="45" t="n"/>
      <c r="N2660" s="39">
        <f>IF($B2660="","",IF(SUMPRODUCT((LISTAS!$O$3:$O$42&lt;&gt;"")*ISNUMBER(SEARCH(LISTAS!$O$3:$O$42,$I2660&amp;" "&amp;$K2660)))&gt;0,"CERCANA","NACIONAL"))</f>
        <v/>
      </c>
      <c r="O2660" s="39">
        <f>IF($B2660="","",IF(COUNTIFS(NOVEDADES!$C$4:$C$2003,$B2660)=0,"—","SÍ ("&amp;COUNTIFS(NOVEDADES!$C$4:$C$2003,$B2660)&amp;")"))</f>
        <v/>
      </c>
    </row>
    <row r="2661">
      <c r="A2661" s="41" t="n"/>
      <c r="B2661" s="41" t="n"/>
      <c r="C2661" s="41" t="n"/>
      <c r="D2661" s="41" t="n"/>
      <c r="E2661" s="46" t="n"/>
      <c r="F2661" s="41" t="n"/>
      <c r="G2661" s="41" t="n"/>
      <c r="H2661" s="41" t="n"/>
      <c r="I2661" s="41" t="n"/>
      <c r="J2661" s="47" t="n"/>
      <c r="K2661" s="41" t="n"/>
      <c r="L2661" s="48" t="n"/>
      <c r="M2661" s="45" t="n"/>
      <c r="N2661" s="39">
        <f>IF($B2661="","",IF(SUMPRODUCT((LISTAS!$O$3:$O$42&lt;&gt;"")*ISNUMBER(SEARCH(LISTAS!$O$3:$O$42,$I2661&amp;" "&amp;$K2661)))&gt;0,"CERCANA","NACIONAL"))</f>
        <v/>
      </c>
      <c r="O2661" s="39">
        <f>IF($B2661="","",IF(COUNTIFS(NOVEDADES!$C$4:$C$2003,$B2661)=0,"—","SÍ ("&amp;COUNTIFS(NOVEDADES!$C$4:$C$2003,$B2661)&amp;")"))</f>
        <v/>
      </c>
    </row>
    <row r="2662">
      <c r="A2662" s="41" t="n"/>
      <c r="B2662" s="41" t="n"/>
      <c r="C2662" s="41" t="n"/>
      <c r="D2662" s="41" t="n"/>
      <c r="E2662" s="46" t="n"/>
      <c r="F2662" s="41" t="n"/>
      <c r="G2662" s="41" t="n"/>
      <c r="H2662" s="41" t="n"/>
      <c r="I2662" s="41" t="n"/>
      <c r="J2662" s="47" t="n"/>
      <c r="K2662" s="41" t="n"/>
      <c r="L2662" s="48" t="n"/>
      <c r="M2662" s="45" t="n"/>
      <c r="N2662" s="39">
        <f>IF($B2662="","",IF(SUMPRODUCT((LISTAS!$O$3:$O$42&lt;&gt;"")*ISNUMBER(SEARCH(LISTAS!$O$3:$O$42,$I2662&amp;" "&amp;$K2662)))&gt;0,"CERCANA","NACIONAL"))</f>
        <v/>
      </c>
      <c r="O2662" s="39">
        <f>IF($B2662="","",IF(COUNTIFS(NOVEDADES!$C$4:$C$2003,$B2662)=0,"—","SÍ ("&amp;COUNTIFS(NOVEDADES!$C$4:$C$2003,$B2662)&amp;")"))</f>
        <v/>
      </c>
    </row>
    <row r="2663">
      <c r="A2663" s="41" t="n"/>
      <c r="B2663" s="41" t="n"/>
      <c r="C2663" s="41" t="n"/>
      <c r="D2663" s="41" t="n"/>
      <c r="E2663" s="46" t="n"/>
      <c r="F2663" s="41" t="n"/>
      <c r="G2663" s="41" t="n"/>
      <c r="H2663" s="41" t="n"/>
      <c r="I2663" s="41" t="n"/>
      <c r="J2663" s="47" t="n"/>
      <c r="K2663" s="41" t="n"/>
      <c r="L2663" s="48" t="n"/>
      <c r="M2663" s="45" t="n"/>
      <c r="N2663" s="39">
        <f>IF($B2663="","",IF(SUMPRODUCT((LISTAS!$O$3:$O$42&lt;&gt;"")*ISNUMBER(SEARCH(LISTAS!$O$3:$O$42,$I2663&amp;" "&amp;$K2663)))&gt;0,"CERCANA","NACIONAL"))</f>
        <v/>
      </c>
      <c r="O2663" s="39">
        <f>IF($B2663="","",IF(COUNTIFS(NOVEDADES!$C$4:$C$2003,$B2663)=0,"—","SÍ ("&amp;COUNTIFS(NOVEDADES!$C$4:$C$2003,$B2663)&amp;")"))</f>
        <v/>
      </c>
    </row>
    <row r="2664">
      <c r="A2664" s="41" t="n"/>
      <c r="B2664" s="41" t="n"/>
      <c r="C2664" s="41" t="n"/>
      <c r="D2664" s="41" t="n"/>
      <c r="E2664" s="46" t="n"/>
      <c r="F2664" s="41" t="n"/>
      <c r="G2664" s="41" t="n"/>
      <c r="H2664" s="41" t="n"/>
      <c r="I2664" s="41" t="n"/>
      <c r="J2664" s="47" t="n"/>
      <c r="K2664" s="41" t="n"/>
      <c r="L2664" s="48" t="n"/>
      <c r="M2664" s="45" t="n"/>
      <c r="N2664" s="39">
        <f>IF($B2664="","",IF(SUMPRODUCT((LISTAS!$O$3:$O$42&lt;&gt;"")*ISNUMBER(SEARCH(LISTAS!$O$3:$O$42,$I2664&amp;" "&amp;$K2664)))&gt;0,"CERCANA","NACIONAL"))</f>
        <v/>
      </c>
      <c r="O2664" s="39">
        <f>IF($B2664="","",IF(COUNTIFS(NOVEDADES!$C$4:$C$2003,$B2664)=0,"—","SÍ ("&amp;COUNTIFS(NOVEDADES!$C$4:$C$2003,$B2664)&amp;")"))</f>
        <v/>
      </c>
    </row>
    <row r="2665">
      <c r="A2665" s="41" t="n"/>
      <c r="B2665" s="41" t="n"/>
      <c r="C2665" s="41" t="n"/>
      <c r="D2665" s="41" t="n"/>
      <c r="E2665" s="46" t="n"/>
      <c r="F2665" s="41" t="n"/>
      <c r="G2665" s="41" t="n"/>
      <c r="H2665" s="41" t="n"/>
      <c r="I2665" s="41" t="n"/>
      <c r="J2665" s="47" t="n"/>
      <c r="K2665" s="41" t="n"/>
      <c r="L2665" s="48" t="n"/>
      <c r="M2665" s="45" t="n"/>
      <c r="N2665" s="39">
        <f>IF($B2665="","",IF(SUMPRODUCT((LISTAS!$O$3:$O$42&lt;&gt;"")*ISNUMBER(SEARCH(LISTAS!$O$3:$O$42,$I2665&amp;" "&amp;$K2665)))&gt;0,"CERCANA","NACIONAL"))</f>
        <v/>
      </c>
      <c r="O2665" s="39">
        <f>IF($B2665="","",IF(COUNTIFS(NOVEDADES!$C$4:$C$2003,$B2665)=0,"—","SÍ ("&amp;COUNTIFS(NOVEDADES!$C$4:$C$2003,$B2665)&amp;")"))</f>
        <v/>
      </c>
    </row>
    <row r="2666">
      <c r="A2666" s="41" t="n"/>
      <c r="B2666" s="41" t="n"/>
      <c r="C2666" s="41" t="n"/>
      <c r="D2666" s="41" t="n"/>
      <c r="E2666" s="46" t="n"/>
      <c r="F2666" s="41" t="n"/>
      <c r="G2666" s="41" t="n"/>
      <c r="H2666" s="41" t="n"/>
      <c r="I2666" s="41" t="n"/>
      <c r="J2666" s="47" t="n"/>
      <c r="K2666" s="41" t="n"/>
      <c r="L2666" s="48" t="n"/>
      <c r="M2666" s="45" t="n"/>
      <c r="N2666" s="39">
        <f>IF($B2666="","",IF(SUMPRODUCT((LISTAS!$O$3:$O$42&lt;&gt;"")*ISNUMBER(SEARCH(LISTAS!$O$3:$O$42,$I2666&amp;" "&amp;$K2666)))&gt;0,"CERCANA","NACIONAL"))</f>
        <v/>
      </c>
      <c r="O2666" s="39">
        <f>IF($B2666="","",IF(COUNTIFS(NOVEDADES!$C$4:$C$2003,$B2666)=0,"—","SÍ ("&amp;COUNTIFS(NOVEDADES!$C$4:$C$2003,$B2666)&amp;")"))</f>
        <v/>
      </c>
    </row>
    <row r="2667">
      <c r="A2667" s="41" t="n"/>
      <c r="B2667" s="41" t="n"/>
      <c r="C2667" s="41" t="n"/>
      <c r="D2667" s="41" t="n"/>
      <c r="E2667" s="46" t="n"/>
      <c r="F2667" s="41" t="n"/>
      <c r="G2667" s="41" t="n"/>
      <c r="H2667" s="41" t="n"/>
      <c r="I2667" s="41" t="n"/>
      <c r="J2667" s="47" t="n"/>
      <c r="K2667" s="41" t="n"/>
      <c r="L2667" s="48" t="n"/>
      <c r="M2667" s="45" t="n"/>
      <c r="N2667" s="39">
        <f>IF($B2667="","",IF(SUMPRODUCT((LISTAS!$O$3:$O$42&lt;&gt;"")*ISNUMBER(SEARCH(LISTAS!$O$3:$O$42,$I2667&amp;" "&amp;$K2667)))&gt;0,"CERCANA","NACIONAL"))</f>
        <v/>
      </c>
      <c r="O2667" s="39">
        <f>IF($B2667="","",IF(COUNTIFS(NOVEDADES!$C$4:$C$2003,$B2667)=0,"—","SÍ ("&amp;COUNTIFS(NOVEDADES!$C$4:$C$2003,$B2667)&amp;")"))</f>
        <v/>
      </c>
    </row>
    <row r="2668">
      <c r="A2668" s="41" t="n"/>
      <c r="B2668" s="41" t="n"/>
      <c r="C2668" s="41" t="n"/>
      <c r="D2668" s="41" t="n"/>
      <c r="E2668" s="46" t="n"/>
      <c r="F2668" s="41" t="n"/>
      <c r="G2668" s="41" t="n"/>
      <c r="H2668" s="41" t="n"/>
      <c r="I2668" s="41" t="n"/>
      <c r="J2668" s="47" t="n"/>
      <c r="K2668" s="41" t="n"/>
      <c r="L2668" s="48" t="n"/>
      <c r="M2668" s="45" t="n"/>
      <c r="N2668" s="39">
        <f>IF($B2668="","",IF(SUMPRODUCT((LISTAS!$O$3:$O$42&lt;&gt;"")*ISNUMBER(SEARCH(LISTAS!$O$3:$O$42,$I2668&amp;" "&amp;$K2668)))&gt;0,"CERCANA","NACIONAL"))</f>
        <v/>
      </c>
      <c r="O2668" s="39">
        <f>IF($B2668="","",IF(COUNTIFS(NOVEDADES!$C$4:$C$2003,$B2668)=0,"—","SÍ ("&amp;COUNTIFS(NOVEDADES!$C$4:$C$2003,$B2668)&amp;")"))</f>
        <v/>
      </c>
    </row>
    <row r="2669">
      <c r="A2669" s="41" t="n"/>
      <c r="B2669" s="41" t="n"/>
      <c r="C2669" s="41" t="n"/>
      <c r="D2669" s="41" t="n"/>
      <c r="E2669" s="46" t="n"/>
      <c r="F2669" s="41" t="n"/>
      <c r="G2669" s="41" t="n"/>
      <c r="H2669" s="41" t="n"/>
      <c r="I2669" s="41" t="n"/>
      <c r="J2669" s="47" t="n"/>
      <c r="K2669" s="41" t="n"/>
      <c r="L2669" s="48" t="n"/>
      <c r="M2669" s="45" t="n"/>
      <c r="N2669" s="39">
        <f>IF($B2669="","",IF(SUMPRODUCT((LISTAS!$O$3:$O$42&lt;&gt;"")*ISNUMBER(SEARCH(LISTAS!$O$3:$O$42,$I2669&amp;" "&amp;$K2669)))&gt;0,"CERCANA","NACIONAL"))</f>
        <v/>
      </c>
      <c r="O2669" s="39">
        <f>IF($B2669="","",IF(COUNTIFS(NOVEDADES!$C$4:$C$2003,$B2669)=0,"—","SÍ ("&amp;COUNTIFS(NOVEDADES!$C$4:$C$2003,$B2669)&amp;")"))</f>
        <v/>
      </c>
    </row>
    <row r="2670">
      <c r="A2670" s="41" t="n"/>
      <c r="B2670" s="41" t="n"/>
      <c r="C2670" s="41" t="n"/>
      <c r="D2670" s="41" t="n"/>
      <c r="E2670" s="46" t="n"/>
      <c r="F2670" s="41" t="n"/>
      <c r="G2670" s="41" t="n"/>
      <c r="H2670" s="41" t="n"/>
      <c r="I2670" s="41" t="n"/>
      <c r="J2670" s="47" t="n"/>
      <c r="K2670" s="41" t="n"/>
      <c r="L2670" s="48" t="n"/>
      <c r="M2670" s="45" t="n"/>
      <c r="N2670" s="39">
        <f>IF($B2670="","",IF(SUMPRODUCT((LISTAS!$O$3:$O$42&lt;&gt;"")*ISNUMBER(SEARCH(LISTAS!$O$3:$O$42,$I2670&amp;" "&amp;$K2670)))&gt;0,"CERCANA","NACIONAL"))</f>
        <v/>
      </c>
      <c r="O2670" s="39">
        <f>IF($B2670="","",IF(COUNTIFS(NOVEDADES!$C$4:$C$2003,$B2670)=0,"—","SÍ ("&amp;COUNTIFS(NOVEDADES!$C$4:$C$2003,$B2670)&amp;")"))</f>
        <v/>
      </c>
    </row>
    <row r="2671">
      <c r="A2671" s="41" t="n"/>
      <c r="B2671" s="41" t="n"/>
      <c r="C2671" s="41" t="n"/>
      <c r="D2671" s="41" t="n"/>
      <c r="E2671" s="46" t="n"/>
      <c r="F2671" s="41" t="n"/>
      <c r="G2671" s="41" t="n"/>
      <c r="H2671" s="41" t="n"/>
      <c r="I2671" s="41" t="n"/>
      <c r="J2671" s="47" t="n"/>
      <c r="K2671" s="41" t="n"/>
      <c r="L2671" s="48" t="n"/>
      <c r="M2671" s="45" t="n"/>
      <c r="N2671" s="39">
        <f>IF($B2671="","",IF(SUMPRODUCT((LISTAS!$O$3:$O$42&lt;&gt;"")*ISNUMBER(SEARCH(LISTAS!$O$3:$O$42,$I2671&amp;" "&amp;$K2671)))&gt;0,"CERCANA","NACIONAL"))</f>
        <v/>
      </c>
      <c r="O2671" s="39">
        <f>IF($B2671="","",IF(COUNTIFS(NOVEDADES!$C$4:$C$2003,$B2671)=0,"—","SÍ ("&amp;COUNTIFS(NOVEDADES!$C$4:$C$2003,$B2671)&amp;")"))</f>
        <v/>
      </c>
    </row>
    <row r="2672">
      <c r="A2672" s="41" t="n"/>
      <c r="B2672" s="41" t="n"/>
      <c r="C2672" s="41" t="n"/>
      <c r="D2672" s="41" t="n"/>
      <c r="E2672" s="46" t="n"/>
      <c r="F2672" s="41" t="n"/>
      <c r="G2672" s="41" t="n"/>
      <c r="H2672" s="41" t="n"/>
      <c r="I2672" s="41" t="n"/>
      <c r="J2672" s="47" t="n"/>
      <c r="K2672" s="41" t="n"/>
      <c r="L2672" s="48" t="n"/>
      <c r="M2672" s="45" t="n"/>
      <c r="N2672" s="39">
        <f>IF($B2672="","",IF(SUMPRODUCT((LISTAS!$O$3:$O$42&lt;&gt;"")*ISNUMBER(SEARCH(LISTAS!$O$3:$O$42,$I2672&amp;" "&amp;$K2672)))&gt;0,"CERCANA","NACIONAL"))</f>
        <v/>
      </c>
      <c r="O2672" s="39">
        <f>IF($B2672="","",IF(COUNTIFS(NOVEDADES!$C$4:$C$2003,$B2672)=0,"—","SÍ ("&amp;COUNTIFS(NOVEDADES!$C$4:$C$2003,$B2672)&amp;")"))</f>
        <v/>
      </c>
    </row>
    <row r="2673">
      <c r="A2673" s="41" t="n"/>
      <c r="B2673" s="41" t="n"/>
      <c r="C2673" s="41" t="n"/>
      <c r="D2673" s="41" t="n"/>
      <c r="E2673" s="46" t="n"/>
      <c r="F2673" s="41" t="n"/>
      <c r="G2673" s="41" t="n"/>
      <c r="H2673" s="41" t="n"/>
      <c r="I2673" s="41" t="n"/>
      <c r="J2673" s="47" t="n"/>
      <c r="K2673" s="41" t="n"/>
      <c r="L2673" s="48" t="n"/>
      <c r="M2673" s="45" t="n"/>
      <c r="N2673" s="39">
        <f>IF($B2673="","",IF(SUMPRODUCT((LISTAS!$O$3:$O$42&lt;&gt;"")*ISNUMBER(SEARCH(LISTAS!$O$3:$O$42,$I2673&amp;" "&amp;$K2673)))&gt;0,"CERCANA","NACIONAL"))</f>
        <v/>
      </c>
      <c r="O2673" s="39">
        <f>IF($B2673="","",IF(COUNTIFS(NOVEDADES!$C$4:$C$2003,$B2673)=0,"—","SÍ ("&amp;COUNTIFS(NOVEDADES!$C$4:$C$2003,$B2673)&amp;")"))</f>
        <v/>
      </c>
    </row>
    <row r="2674">
      <c r="A2674" s="41" t="n"/>
      <c r="B2674" s="41" t="n"/>
      <c r="C2674" s="41" t="n"/>
      <c r="D2674" s="41" t="n"/>
      <c r="E2674" s="46" t="n"/>
      <c r="F2674" s="41" t="n"/>
      <c r="G2674" s="41" t="n"/>
      <c r="H2674" s="41" t="n"/>
      <c r="I2674" s="41" t="n"/>
      <c r="J2674" s="47" t="n"/>
      <c r="K2674" s="41" t="n"/>
      <c r="L2674" s="48" t="n"/>
      <c r="M2674" s="45" t="n"/>
      <c r="N2674" s="39">
        <f>IF($B2674="","",IF(SUMPRODUCT((LISTAS!$O$3:$O$42&lt;&gt;"")*ISNUMBER(SEARCH(LISTAS!$O$3:$O$42,$I2674&amp;" "&amp;$K2674)))&gt;0,"CERCANA","NACIONAL"))</f>
        <v/>
      </c>
      <c r="O2674" s="39">
        <f>IF($B2674="","",IF(COUNTIFS(NOVEDADES!$C$4:$C$2003,$B2674)=0,"—","SÍ ("&amp;COUNTIFS(NOVEDADES!$C$4:$C$2003,$B2674)&amp;")"))</f>
        <v/>
      </c>
    </row>
    <row r="2675">
      <c r="A2675" s="41" t="n"/>
      <c r="B2675" s="41" t="n"/>
      <c r="C2675" s="41" t="n"/>
      <c r="D2675" s="41" t="n"/>
      <c r="E2675" s="46" t="n"/>
      <c r="F2675" s="41" t="n"/>
      <c r="G2675" s="41" t="n"/>
      <c r="H2675" s="41" t="n"/>
      <c r="I2675" s="41" t="n"/>
      <c r="J2675" s="47" t="n"/>
      <c r="K2675" s="41" t="n"/>
      <c r="L2675" s="48" t="n"/>
      <c r="M2675" s="45" t="n"/>
      <c r="N2675" s="39">
        <f>IF($B2675="","",IF(SUMPRODUCT((LISTAS!$O$3:$O$42&lt;&gt;"")*ISNUMBER(SEARCH(LISTAS!$O$3:$O$42,$I2675&amp;" "&amp;$K2675)))&gt;0,"CERCANA","NACIONAL"))</f>
        <v/>
      </c>
      <c r="O2675" s="39">
        <f>IF($B2675="","",IF(COUNTIFS(NOVEDADES!$C$4:$C$2003,$B2675)=0,"—","SÍ ("&amp;COUNTIFS(NOVEDADES!$C$4:$C$2003,$B2675)&amp;")"))</f>
        <v/>
      </c>
    </row>
    <row r="2676">
      <c r="A2676" s="41" t="n"/>
      <c r="B2676" s="41" t="n"/>
      <c r="C2676" s="41" t="n"/>
      <c r="D2676" s="41" t="n"/>
      <c r="E2676" s="46" t="n"/>
      <c r="F2676" s="41" t="n"/>
      <c r="G2676" s="41" t="n"/>
      <c r="H2676" s="41" t="n"/>
      <c r="I2676" s="41" t="n"/>
      <c r="J2676" s="47" t="n"/>
      <c r="K2676" s="41" t="n"/>
      <c r="L2676" s="48" t="n"/>
      <c r="M2676" s="45" t="n"/>
      <c r="N2676" s="39">
        <f>IF($B2676="","",IF(SUMPRODUCT((LISTAS!$O$3:$O$42&lt;&gt;"")*ISNUMBER(SEARCH(LISTAS!$O$3:$O$42,$I2676&amp;" "&amp;$K2676)))&gt;0,"CERCANA","NACIONAL"))</f>
        <v/>
      </c>
      <c r="O2676" s="39">
        <f>IF($B2676="","",IF(COUNTIFS(NOVEDADES!$C$4:$C$2003,$B2676)=0,"—","SÍ ("&amp;COUNTIFS(NOVEDADES!$C$4:$C$2003,$B2676)&amp;")"))</f>
        <v/>
      </c>
    </row>
    <row r="2677">
      <c r="A2677" s="41" t="n"/>
      <c r="B2677" s="41" t="n"/>
      <c r="C2677" s="41" t="n"/>
      <c r="D2677" s="41" t="n"/>
      <c r="E2677" s="46" t="n"/>
      <c r="F2677" s="41" t="n"/>
      <c r="G2677" s="41" t="n"/>
      <c r="H2677" s="41" t="n"/>
      <c r="I2677" s="41" t="n"/>
      <c r="J2677" s="47" t="n"/>
      <c r="K2677" s="41" t="n"/>
      <c r="L2677" s="48" t="n"/>
      <c r="M2677" s="45" t="n"/>
      <c r="N2677" s="39">
        <f>IF($B2677="","",IF(SUMPRODUCT((LISTAS!$O$3:$O$42&lt;&gt;"")*ISNUMBER(SEARCH(LISTAS!$O$3:$O$42,$I2677&amp;" "&amp;$K2677)))&gt;0,"CERCANA","NACIONAL"))</f>
        <v/>
      </c>
      <c r="O2677" s="39">
        <f>IF($B2677="","",IF(COUNTIFS(NOVEDADES!$C$4:$C$2003,$B2677)=0,"—","SÍ ("&amp;COUNTIFS(NOVEDADES!$C$4:$C$2003,$B2677)&amp;")"))</f>
        <v/>
      </c>
    </row>
    <row r="2678">
      <c r="A2678" s="41" t="n"/>
      <c r="B2678" s="41" t="n"/>
      <c r="C2678" s="41" t="n"/>
      <c r="D2678" s="41" t="n"/>
      <c r="E2678" s="46" t="n"/>
      <c r="F2678" s="41" t="n"/>
      <c r="G2678" s="41" t="n"/>
      <c r="H2678" s="41" t="n"/>
      <c r="I2678" s="41" t="n"/>
      <c r="J2678" s="47" t="n"/>
      <c r="K2678" s="41" t="n"/>
      <c r="L2678" s="48" t="n"/>
      <c r="M2678" s="45" t="n"/>
      <c r="N2678" s="39">
        <f>IF($B2678="","",IF(SUMPRODUCT((LISTAS!$O$3:$O$42&lt;&gt;"")*ISNUMBER(SEARCH(LISTAS!$O$3:$O$42,$I2678&amp;" "&amp;$K2678)))&gt;0,"CERCANA","NACIONAL"))</f>
        <v/>
      </c>
      <c r="O2678" s="39">
        <f>IF($B2678="","",IF(COUNTIFS(NOVEDADES!$C$4:$C$2003,$B2678)=0,"—","SÍ ("&amp;COUNTIFS(NOVEDADES!$C$4:$C$2003,$B2678)&amp;")"))</f>
        <v/>
      </c>
    </row>
    <row r="2679">
      <c r="A2679" s="41" t="n"/>
      <c r="B2679" s="41" t="n"/>
      <c r="C2679" s="41" t="n"/>
      <c r="D2679" s="41" t="n"/>
      <c r="E2679" s="46" t="n"/>
      <c r="F2679" s="41" t="n"/>
      <c r="G2679" s="41" t="n"/>
      <c r="H2679" s="41" t="n"/>
      <c r="I2679" s="41" t="n"/>
      <c r="J2679" s="47" t="n"/>
      <c r="K2679" s="41" t="n"/>
      <c r="L2679" s="48" t="n"/>
      <c r="M2679" s="45" t="n"/>
      <c r="N2679" s="39">
        <f>IF($B2679="","",IF(SUMPRODUCT((LISTAS!$O$3:$O$42&lt;&gt;"")*ISNUMBER(SEARCH(LISTAS!$O$3:$O$42,$I2679&amp;" "&amp;$K2679)))&gt;0,"CERCANA","NACIONAL"))</f>
        <v/>
      </c>
      <c r="O2679" s="39">
        <f>IF($B2679="","",IF(COUNTIFS(NOVEDADES!$C$4:$C$2003,$B2679)=0,"—","SÍ ("&amp;COUNTIFS(NOVEDADES!$C$4:$C$2003,$B2679)&amp;")"))</f>
        <v/>
      </c>
    </row>
    <row r="2680">
      <c r="A2680" s="41" t="n"/>
      <c r="B2680" s="41" t="n"/>
      <c r="C2680" s="41" t="n"/>
      <c r="D2680" s="41" t="n"/>
      <c r="E2680" s="46" t="n"/>
      <c r="F2680" s="41" t="n"/>
      <c r="G2680" s="41" t="n"/>
      <c r="H2680" s="41" t="n"/>
      <c r="I2680" s="41" t="n"/>
      <c r="J2680" s="47" t="n"/>
      <c r="K2680" s="41" t="n"/>
      <c r="L2680" s="48" t="n"/>
      <c r="M2680" s="45" t="n"/>
      <c r="N2680" s="39">
        <f>IF($B2680="","",IF(SUMPRODUCT((LISTAS!$O$3:$O$42&lt;&gt;"")*ISNUMBER(SEARCH(LISTAS!$O$3:$O$42,$I2680&amp;" "&amp;$K2680)))&gt;0,"CERCANA","NACIONAL"))</f>
        <v/>
      </c>
      <c r="O2680" s="39">
        <f>IF($B2680="","",IF(COUNTIFS(NOVEDADES!$C$4:$C$2003,$B2680)=0,"—","SÍ ("&amp;COUNTIFS(NOVEDADES!$C$4:$C$2003,$B2680)&amp;")"))</f>
        <v/>
      </c>
    </row>
    <row r="2681">
      <c r="A2681" s="41" t="n"/>
      <c r="B2681" s="41" t="n"/>
      <c r="C2681" s="41" t="n"/>
      <c r="D2681" s="41" t="n"/>
      <c r="E2681" s="46" t="n"/>
      <c r="F2681" s="41" t="n"/>
      <c r="G2681" s="41" t="n"/>
      <c r="H2681" s="41" t="n"/>
      <c r="I2681" s="41" t="n"/>
      <c r="J2681" s="47" t="n"/>
      <c r="K2681" s="41" t="n"/>
      <c r="L2681" s="48" t="n"/>
      <c r="M2681" s="45" t="n"/>
      <c r="N2681" s="39">
        <f>IF($B2681="","",IF(SUMPRODUCT((LISTAS!$O$3:$O$42&lt;&gt;"")*ISNUMBER(SEARCH(LISTAS!$O$3:$O$42,$I2681&amp;" "&amp;$K2681)))&gt;0,"CERCANA","NACIONAL"))</f>
        <v/>
      </c>
      <c r="O2681" s="39">
        <f>IF($B2681="","",IF(COUNTIFS(NOVEDADES!$C$4:$C$2003,$B2681)=0,"—","SÍ ("&amp;COUNTIFS(NOVEDADES!$C$4:$C$2003,$B2681)&amp;")"))</f>
        <v/>
      </c>
    </row>
    <row r="2682">
      <c r="A2682" s="41" t="n"/>
      <c r="B2682" s="41" t="n"/>
      <c r="C2682" s="41" t="n"/>
      <c r="D2682" s="41" t="n"/>
      <c r="E2682" s="46" t="n"/>
      <c r="F2682" s="41" t="n"/>
      <c r="G2682" s="41" t="n"/>
      <c r="H2682" s="41" t="n"/>
      <c r="I2682" s="41" t="n"/>
      <c r="J2682" s="47" t="n"/>
      <c r="K2682" s="41" t="n"/>
      <c r="L2682" s="48" t="n"/>
      <c r="M2682" s="45" t="n"/>
      <c r="N2682" s="39">
        <f>IF($B2682="","",IF(SUMPRODUCT((LISTAS!$O$3:$O$42&lt;&gt;"")*ISNUMBER(SEARCH(LISTAS!$O$3:$O$42,$I2682&amp;" "&amp;$K2682)))&gt;0,"CERCANA","NACIONAL"))</f>
        <v/>
      </c>
      <c r="O2682" s="39">
        <f>IF($B2682="","",IF(COUNTIFS(NOVEDADES!$C$4:$C$2003,$B2682)=0,"—","SÍ ("&amp;COUNTIFS(NOVEDADES!$C$4:$C$2003,$B2682)&amp;")"))</f>
        <v/>
      </c>
    </row>
    <row r="2683">
      <c r="A2683" s="41" t="n"/>
      <c r="B2683" s="41" t="n"/>
      <c r="C2683" s="41" t="n"/>
      <c r="D2683" s="41" t="n"/>
      <c r="E2683" s="46" t="n"/>
      <c r="F2683" s="41" t="n"/>
      <c r="G2683" s="41" t="n"/>
      <c r="H2683" s="41" t="n"/>
      <c r="I2683" s="41" t="n"/>
      <c r="J2683" s="47" t="n"/>
      <c r="K2683" s="41" t="n"/>
      <c r="L2683" s="48" t="n"/>
      <c r="M2683" s="45" t="n"/>
      <c r="N2683" s="39">
        <f>IF($B2683="","",IF(SUMPRODUCT((LISTAS!$O$3:$O$42&lt;&gt;"")*ISNUMBER(SEARCH(LISTAS!$O$3:$O$42,$I2683&amp;" "&amp;$K2683)))&gt;0,"CERCANA","NACIONAL"))</f>
        <v/>
      </c>
      <c r="O2683" s="39">
        <f>IF($B2683="","",IF(COUNTIFS(NOVEDADES!$C$4:$C$2003,$B2683)=0,"—","SÍ ("&amp;COUNTIFS(NOVEDADES!$C$4:$C$2003,$B2683)&amp;")"))</f>
        <v/>
      </c>
    </row>
    <row r="2684">
      <c r="A2684" s="41" t="n"/>
      <c r="B2684" s="41" t="n"/>
      <c r="C2684" s="41" t="n"/>
      <c r="D2684" s="41" t="n"/>
      <c r="E2684" s="46" t="n"/>
      <c r="F2684" s="41" t="n"/>
      <c r="G2684" s="41" t="n"/>
      <c r="H2684" s="41" t="n"/>
      <c r="I2684" s="41" t="n"/>
      <c r="J2684" s="47" t="n"/>
      <c r="K2684" s="41" t="n"/>
      <c r="L2684" s="48" t="n"/>
      <c r="M2684" s="45" t="n"/>
      <c r="N2684" s="39">
        <f>IF($B2684="","",IF(SUMPRODUCT((LISTAS!$O$3:$O$42&lt;&gt;"")*ISNUMBER(SEARCH(LISTAS!$O$3:$O$42,$I2684&amp;" "&amp;$K2684)))&gt;0,"CERCANA","NACIONAL"))</f>
        <v/>
      </c>
      <c r="O2684" s="39">
        <f>IF($B2684="","",IF(COUNTIFS(NOVEDADES!$C$4:$C$2003,$B2684)=0,"—","SÍ ("&amp;COUNTIFS(NOVEDADES!$C$4:$C$2003,$B2684)&amp;")"))</f>
        <v/>
      </c>
    </row>
    <row r="2685">
      <c r="A2685" s="41" t="n"/>
      <c r="B2685" s="41" t="n"/>
      <c r="C2685" s="41" t="n"/>
      <c r="D2685" s="41" t="n"/>
      <c r="E2685" s="46" t="n"/>
      <c r="F2685" s="41" t="n"/>
      <c r="G2685" s="41" t="n"/>
      <c r="H2685" s="41" t="n"/>
      <c r="I2685" s="41" t="n"/>
      <c r="J2685" s="47" t="n"/>
      <c r="K2685" s="41" t="n"/>
      <c r="L2685" s="48" t="n"/>
      <c r="M2685" s="45" t="n"/>
      <c r="N2685" s="39">
        <f>IF($B2685="","",IF(SUMPRODUCT((LISTAS!$O$3:$O$42&lt;&gt;"")*ISNUMBER(SEARCH(LISTAS!$O$3:$O$42,$I2685&amp;" "&amp;$K2685)))&gt;0,"CERCANA","NACIONAL"))</f>
        <v/>
      </c>
      <c r="O2685" s="39">
        <f>IF($B2685="","",IF(COUNTIFS(NOVEDADES!$C$4:$C$2003,$B2685)=0,"—","SÍ ("&amp;COUNTIFS(NOVEDADES!$C$4:$C$2003,$B2685)&amp;")"))</f>
        <v/>
      </c>
    </row>
    <row r="2686">
      <c r="A2686" s="41" t="n"/>
      <c r="B2686" s="41" t="n"/>
      <c r="C2686" s="41" t="n"/>
      <c r="D2686" s="41" t="n"/>
      <c r="E2686" s="46" t="n"/>
      <c r="F2686" s="41" t="n"/>
      <c r="G2686" s="41" t="n"/>
      <c r="H2686" s="41" t="n"/>
      <c r="I2686" s="41" t="n"/>
      <c r="J2686" s="47" t="n"/>
      <c r="K2686" s="41" t="n"/>
      <c r="L2686" s="48" t="n"/>
      <c r="M2686" s="45" t="n"/>
      <c r="N2686" s="39">
        <f>IF($B2686="","",IF(SUMPRODUCT((LISTAS!$O$3:$O$42&lt;&gt;"")*ISNUMBER(SEARCH(LISTAS!$O$3:$O$42,$I2686&amp;" "&amp;$K2686)))&gt;0,"CERCANA","NACIONAL"))</f>
        <v/>
      </c>
      <c r="O2686" s="39">
        <f>IF($B2686="","",IF(COUNTIFS(NOVEDADES!$C$4:$C$2003,$B2686)=0,"—","SÍ ("&amp;COUNTIFS(NOVEDADES!$C$4:$C$2003,$B2686)&amp;")"))</f>
        <v/>
      </c>
    </row>
    <row r="2687">
      <c r="A2687" s="41" t="n"/>
      <c r="B2687" s="41" t="n"/>
      <c r="C2687" s="41" t="n"/>
      <c r="D2687" s="41" t="n"/>
      <c r="E2687" s="46" t="n"/>
      <c r="F2687" s="41" t="n"/>
      <c r="G2687" s="41" t="n"/>
      <c r="H2687" s="41" t="n"/>
      <c r="I2687" s="41" t="n"/>
      <c r="J2687" s="47" t="n"/>
      <c r="K2687" s="41" t="n"/>
      <c r="L2687" s="48" t="n"/>
      <c r="M2687" s="45" t="n"/>
      <c r="N2687" s="39">
        <f>IF($B2687="","",IF(SUMPRODUCT((LISTAS!$O$3:$O$42&lt;&gt;"")*ISNUMBER(SEARCH(LISTAS!$O$3:$O$42,$I2687&amp;" "&amp;$K2687)))&gt;0,"CERCANA","NACIONAL"))</f>
        <v/>
      </c>
      <c r="O2687" s="39">
        <f>IF($B2687="","",IF(COUNTIFS(NOVEDADES!$C$4:$C$2003,$B2687)=0,"—","SÍ ("&amp;COUNTIFS(NOVEDADES!$C$4:$C$2003,$B2687)&amp;")"))</f>
        <v/>
      </c>
    </row>
    <row r="2688">
      <c r="A2688" s="41" t="n"/>
      <c r="B2688" s="41" t="n"/>
      <c r="C2688" s="41" t="n"/>
      <c r="D2688" s="41" t="n"/>
      <c r="E2688" s="46" t="n"/>
      <c r="F2688" s="41" t="n"/>
      <c r="G2688" s="41" t="n"/>
      <c r="H2688" s="41" t="n"/>
      <c r="I2688" s="41" t="n"/>
      <c r="J2688" s="47" t="n"/>
      <c r="K2688" s="41" t="n"/>
      <c r="L2688" s="48" t="n"/>
      <c r="M2688" s="45" t="n"/>
      <c r="N2688" s="39">
        <f>IF($B2688="","",IF(SUMPRODUCT((LISTAS!$O$3:$O$42&lt;&gt;"")*ISNUMBER(SEARCH(LISTAS!$O$3:$O$42,$I2688&amp;" "&amp;$K2688)))&gt;0,"CERCANA","NACIONAL"))</f>
        <v/>
      </c>
      <c r="O2688" s="39">
        <f>IF($B2688="","",IF(COUNTIFS(NOVEDADES!$C$4:$C$2003,$B2688)=0,"—","SÍ ("&amp;COUNTIFS(NOVEDADES!$C$4:$C$2003,$B2688)&amp;")"))</f>
        <v/>
      </c>
    </row>
    <row r="2689">
      <c r="A2689" s="41" t="n"/>
      <c r="B2689" s="41" t="n"/>
      <c r="C2689" s="41" t="n"/>
      <c r="D2689" s="41" t="n"/>
      <c r="E2689" s="46" t="n"/>
      <c r="F2689" s="41" t="n"/>
      <c r="G2689" s="41" t="n"/>
      <c r="H2689" s="41" t="n"/>
      <c r="I2689" s="41" t="n"/>
      <c r="J2689" s="47" t="n"/>
      <c r="K2689" s="41" t="n"/>
      <c r="L2689" s="48" t="n"/>
      <c r="M2689" s="45" t="n"/>
      <c r="N2689" s="39">
        <f>IF($B2689="","",IF(SUMPRODUCT((LISTAS!$O$3:$O$42&lt;&gt;"")*ISNUMBER(SEARCH(LISTAS!$O$3:$O$42,$I2689&amp;" "&amp;$K2689)))&gt;0,"CERCANA","NACIONAL"))</f>
        <v/>
      </c>
      <c r="O2689" s="39">
        <f>IF($B2689="","",IF(COUNTIFS(NOVEDADES!$C$4:$C$2003,$B2689)=0,"—","SÍ ("&amp;COUNTIFS(NOVEDADES!$C$4:$C$2003,$B2689)&amp;")"))</f>
        <v/>
      </c>
    </row>
    <row r="2690">
      <c r="A2690" s="41" t="n"/>
      <c r="B2690" s="41" t="n"/>
      <c r="C2690" s="41" t="n"/>
      <c r="D2690" s="41" t="n"/>
      <c r="E2690" s="46" t="n"/>
      <c r="F2690" s="41" t="n"/>
      <c r="G2690" s="41" t="n"/>
      <c r="H2690" s="41" t="n"/>
      <c r="I2690" s="41" t="n"/>
      <c r="J2690" s="47" t="n"/>
      <c r="K2690" s="41" t="n"/>
      <c r="L2690" s="48" t="n"/>
      <c r="M2690" s="45" t="n"/>
      <c r="N2690" s="39">
        <f>IF($B2690="","",IF(SUMPRODUCT((LISTAS!$O$3:$O$42&lt;&gt;"")*ISNUMBER(SEARCH(LISTAS!$O$3:$O$42,$I2690&amp;" "&amp;$K2690)))&gt;0,"CERCANA","NACIONAL"))</f>
        <v/>
      </c>
      <c r="O2690" s="39">
        <f>IF($B2690="","",IF(COUNTIFS(NOVEDADES!$C$4:$C$2003,$B2690)=0,"—","SÍ ("&amp;COUNTIFS(NOVEDADES!$C$4:$C$2003,$B2690)&amp;")"))</f>
        <v/>
      </c>
    </row>
    <row r="2691">
      <c r="A2691" s="41" t="n"/>
      <c r="B2691" s="41" t="n"/>
      <c r="C2691" s="41" t="n"/>
      <c r="D2691" s="41" t="n"/>
      <c r="E2691" s="46" t="n"/>
      <c r="F2691" s="41" t="n"/>
      <c r="G2691" s="41" t="n"/>
      <c r="H2691" s="41" t="n"/>
      <c r="I2691" s="41" t="n"/>
      <c r="J2691" s="47" t="n"/>
      <c r="K2691" s="41" t="n"/>
      <c r="L2691" s="48" t="n"/>
      <c r="M2691" s="45" t="n"/>
      <c r="N2691" s="39">
        <f>IF($B2691="","",IF(SUMPRODUCT((LISTAS!$O$3:$O$42&lt;&gt;"")*ISNUMBER(SEARCH(LISTAS!$O$3:$O$42,$I2691&amp;" "&amp;$K2691)))&gt;0,"CERCANA","NACIONAL"))</f>
        <v/>
      </c>
      <c r="O2691" s="39">
        <f>IF($B2691="","",IF(COUNTIFS(NOVEDADES!$C$4:$C$2003,$B2691)=0,"—","SÍ ("&amp;COUNTIFS(NOVEDADES!$C$4:$C$2003,$B2691)&amp;")"))</f>
        <v/>
      </c>
    </row>
    <row r="2692">
      <c r="A2692" s="41" t="n"/>
      <c r="B2692" s="41" t="n"/>
      <c r="C2692" s="41" t="n"/>
      <c r="D2692" s="41" t="n"/>
      <c r="E2692" s="46" t="n"/>
      <c r="F2692" s="41" t="n"/>
      <c r="G2692" s="41" t="n"/>
      <c r="H2692" s="41" t="n"/>
      <c r="I2692" s="41" t="n"/>
      <c r="J2692" s="47" t="n"/>
      <c r="K2692" s="41" t="n"/>
      <c r="L2692" s="48" t="n"/>
      <c r="M2692" s="45" t="n"/>
      <c r="N2692" s="39">
        <f>IF($B2692="","",IF(SUMPRODUCT((LISTAS!$O$3:$O$42&lt;&gt;"")*ISNUMBER(SEARCH(LISTAS!$O$3:$O$42,$I2692&amp;" "&amp;$K2692)))&gt;0,"CERCANA","NACIONAL"))</f>
        <v/>
      </c>
      <c r="O2692" s="39">
        <f>IF($B2692="","",IF(COUNTIFS(NOVEDADES!$C$4:$C$2003,$B2692)=0,"—","SÍ ("&amp;COUNTIFS(NOVEDADES!$C$4:$C$2003,$B2692)&amp;")"))</f>
        <v/>
      </c>
    </row>
    <row r="2693">
      <c r="A2693" s="41" t="n"/>
      <c r="B2693" s="41" t="n"/>
      <c r="C2693" s="41" t="n"/>
      <c r="D2693" s="41" t="n"/>
      <c r="E2693" s="46" t="n"/>
      <c r="F2693" s="41" t="n"/>
      <c r="G2693" s="41" t="n"/>
      <c r="H2693" s="41" t="n"/>
      <c r="I2693" s="41" t="n"/>
      <c r="J2693" s="47" t="n"/>
      <c r="K2693" s="41" t="n"/>
      <c r="L2693" s="48" t="n"/>
      <c r="M2693" s="45" t="n"/>
      <c r="N2693" s="39">
        <f>IF($B2693="","",IF(SUMPRODUCT((LISTAS!$O$3:$O$42&lt;&gt;"")*ISNUMBER(SEARCH(LISTAS!$O$3:$O$42,$I2693&amp;" "&amp;$K2693)))&gt;0,"CERCANA","NACIONAL"))</f>
        <v/>
      </c>
      <c r="O2693" s="39">
        <f>IF($B2693="","",IF(COUNTIFS(NOVEDADES!$C$4:$C$2003,$B2693)=0,"—","SÍ ("&amp;COUNTIFS(NOVEDADES!$C$4:$C$2003,$B2693)&amp;")"))</f>
        <v/>
      </c>
    </row>
    <row r="2694">
      <c r="A2694" s="41" t="n"/>
      <c r="B2694" s="41" t="n"/>
      <c r="C2694" s="41" t="n"/>
      <c r="D2694" s="41" t="n"/>
      <c r="E2694" s="46" t="n"/>
      <c r="F2694" s="41" t="n"/>
      <c r="G2694" s="41" t="n"/>
      <c r="H2694" s="41" t="n"/>
      <c r="I2694" s="41" t="n"/>
      <c r="J2694" s="47" t="n"/>
      <c r="K2694" s="41" t="n"/>
      <c r="L2694" s="48" t="n"/>
      <c r="M2694" s="45" t="n"/>
      <c r="N2694" s="39">
        <f>IF($B2694="","",IF(SUMPRODUCT((LISTAS!$O$3:$O$42&lt;&gt;"")*ISNUMBER(SEARCH(LISTAS!$O$3:$O$42,$I2694&amp;" "&amp;$K2694)))&gt;0,"CERCANA","NACIONAL"))</f>
        <v/>
      </c>
      <c r="O2694" s="39">
        <f>IF($B2694="","",IF(COUNTIFS(NOVEDADES!$C$4:$C$2003,$B2694)=0,"—","SÍ ("&amp;COUNTIFS(NOVEDADES!$C$4:$C$2003,$B2694)&amp;")"))</f>
        <v/>
      </c>
    </row>
    <row r="2695">
      <c r="A2695" s="41" t="n"/>
      <c r="B2695" s="41" t="n"/>
      <c r="C2695" s="41" t="n"/>
      <c r="D2695" s="41" t="n"/>
      <c r="E2695" s="46" t="n"/>
      <c r="F2695" s="41" t="n"/>
      <c r="G2695" s="41" t="n"/>
      <c r="H2695" s="41" t="n"/>
      <c r="I2695" s="41" t="n"/>
      <c r="J2695" s="47" t="n"/>
      <c r="K2695" s="41" t="n"/>
      <c r="L2695" s="48" t="n"/>
      <c r="M2695" s="45" t="n"/>
      <c r="N2695" s="39">
        <f>IF($B2695="","",IF(SUMPRODUCT((LISTAS!$O$3:$O$42&lt;&gt;"")*ISNUMBER(SEARCH(LISTAS!$O$3:$O$42,$I2695&amp;" "&amp;$K2695)))&gt;0,"CERCANA","NACIONAL"))</f>
        <v/>
      </c>
      <c r="O2695" s="39">
        <f>IF($B2695="","",IF(COUNTIFS(NOVEDADES!$C$4:$C$2003,$B2695)=0,"—","SÍ ("&amp;COUNTIFS(NOVEDADES!$C$4:$C$2003,$B2695)&amp;")"))</f>
        <v/>
      </c>
    </row>
    <row r="2696">
      <c r="A2696" s="41" t="n"/>
      <c r="B2696" s="41" t="n"/>
      <c r="C2696" s="41" t="n"/>
      <c r="D2696" s="41" t="n"/>
      <c r="E2696" s="46" t="n"/>
      <c r="F2696" s="41" t="n"/>
      <c r="G2696" s="41" t="n"/>
      <c r="H2696" s="41" t="n"/>
      <c r="I2696" s="41" t="n"/>
      <c r="J2696" s="47" t="n"/>
      <c r="K2696" s="41" t="n"/>
      <c r="L2696" s="48" t="n"/>
      <c r="M2696" s="45" t="n"/>
      <c r="N2696" s="39">
        <f>IF($B2696="","",IF(SUMPRODUCT((LISTAS!$O$3:$O$42&lt;&gt;"")*ISNUMBER(SEARCH(LISTAS!$O$3:$O$42,$I2696&amp;" "&amp;$K2696)))&gt;0,"CERCANA","NACIONAL"))</f>
        <v/>
      </c>
      <c r="O2696" s="39">
        <f>IF($B2696="","",IF(COUNTIFS(NOVEDADES!$C$4:$C$2003,$B2696)=0,"—","SÍ ("&amp;COUNTIFS(NOVEDADES!$C$4:$C$2003,$B2696)&amp;")"))</f>
        <v/>
      </c>
    </row>
    <row r="2697">
      <c r="A2697" s="41" t="n"/>
      <c r="B2697" s="41" t="n"/>
      <c r="C2697" s="41" t="n"/>
      <c r="D2697" s="41" t="n"/>
      <c r="E2697" s="46" t="n"/>
      <c r="F2697" s="41" t="n"/>
      <c r="G2697" s="41" t="n"/>
      <c r="H2697" s="41" t="n"/>
      <c r="I2697" s="41" t="n"/>
      <c r="J2697" s="47" t="n"/>
      <c r="K2697" s="41" t="n"/>
      <c r="L2697" s="48" t="n"/>
      <c r="M2697" s="45" t="n"/>
      <c r="N2697" s="39">
        <f>IF($B2697="","",IF(SUMPRODUCT((LISTAS!$O$3:$O$42&lt;&gt;"")*ISNUMBER(SEARCH(LISTAS!$O$3:$O$42,$I2697&amp;" "&amp;$K2697)))&gt;0,"CERCANA","NACIONAL"))</f>
        <v/>
      </c>
      <c r="O2697" s="39">
        <f>IF($B2697="","",IF(COUNTIFS(NOVEDADES!$C$4:$C$2003,$B2697)=0,"—","SÍ ("&amp;COUNTIFS(NOVEDADES!$C$4:$C$2003,$B2697)&amp;")"))</f>
        <v/>
      </c>
    </row>
    <row r="2698">
      <c r="A2698" s="41" t="n"/>
      <c r="B2698" s="41" t="n"/>
      <c r="C2698" s="41" t="n"/>
      <c r="D2698" s="41" t="n"/>
      <c r="E2698" s="46" t="n"/>
      <c r="F2698" s="41" t="n"/>
      <c r="G2698" s="41" t="n"/>
      <c r="H2698" s="41" t="n"/>
      <c r="I2698" s="41" t="n"/>
      <c r="J2698" s="47" t="n"/>
      <c r="K2698" s="41" t="n"/>
      <c r="L2698" s="48" t="n"/>
      <c r="M2698" s="45" t="n"/>
      <c r="N2698" s="39">
        <f>IF($B2698="","",IF(SUMPRODUCT((LISTAS!$O$3:$O$42&lt;&gt;"")*ISNUMBER(SEARCH(LISTAS!$O$3:$O$42,$I2698&amp;" "&amp;$K2698)))&gt;0,"CERCANA","NACIONAL"))</f>
        <v/>
      </c>
      <c r="O2698" s="39">
        <f>IF($B2698="","",IF(COUNTIFS(NOVEDADES!$C$4:$C$2003,$B2698)=0,"—","SÍ ("&amp;COUNTIFS(NOVEDADES!$C$4:$C$2003,$B2698)&amp;")"))</f>
        <v/>
      </c>
    </row>
    <row r="2699">
      <c r="A2699" s="41" t="n"/>
      <c r="B2699" s="41" t="n"/>
      <c r="C2699" s="41" t="n"/>
      <c r="D2699" s="41" t="n"/>
      <c r="E2699" s="46" t="n"/>
      <c r="F2699" s="41" t="n"/>
      <c r="G2699" s="41" t="n"/>
      <c r="H2699" s="41" t="n"/>
      <c r="I2699" s="41" t="n"/>
      <c r="J2699" s="47" t="n"/>
      <c r="K2699" s="41" t="n"/>
      <c r="L2699" s="48" t="n"/>
      <c r="M2699" s="45" t="n"/>
      <c r="N2699" s="39">
        <f>IF($B2699="","",IF(SUMPRODUCT((LISTAS!$O$3:$O$42&lt;&gt;"")*ISNUMBER(SEARCH(LISTAS!$O$3:$O$42,$I2699&amp;" "&amp;$K2699)))&gt;0,"CERCANA","NACIONAL"))</f>
        <v/>
      </c>
      <c r="O2699" s="39">
        <f>IF($B2699="","",IF(COUNTIFS(NOVEDADES!$C$4:$C$2003,$B2699)=0,"—","SÍ ("&amp;COUNTIFS(NOVEDADES!$C$4:$C$2003,$B2699)&amp;")"))</f>
        <v/>
      </c>
    </row>
    <row r="2700">
      <c r="A2700" s="41" t="n"/>
      <c r="B2700" s="41" t="n"/>
      <c r="C2700" s="41" t="n"/>
      <c r="D2700" s="41" t="n"/>
      <c r="E2700" s="46" t="n"/>
      <c r="F2700" s="41" t="n"/>
      <c r="G2700" s="41" t="n"/>
      <c r="H2700" s="41" t="n"/>
      <c r="I2700" s="41" t="n"/>
      <c r="J2700" s="47" t="n"/>
      <c r="K2700" s="41" t="n"/>
      <c r="L2700" s="48" t="n"/>
      <c r="M2700" s="45" t="n"/>
      <c r="N2700" s="39">
        <f>IF($B2700="","",IF(SUMPRODUCT((LISTAS!$O$3:$O$42&lt;&gt;"")*ISNUMBER(SEARCH(LISTAS!$O$3:$O$42,$I2700&amp;" "&amp;$K2700)))&gt;0,"CERCANA","NACIONAL"))</f>
        <v/>
      </c>
      <c r="O2700" s="39">
        <f>IF($B2700="","",IF(COUNTIFS(NOVEDADES!$C$4:$C$2003,$B2700)=0,"—","SÍ ("&amp;COUNTIFS(NOVEDADES!$C$4:$C$2003,$B2700)&amp;")"))</f>
        <v/>
      </c>
    </row>
    <row r="2701">
      <c r="A2701" s="41" t="n"/>
      <c r="B2701" s="41" t="n"/>
      <c r="C2701" s="41" t="n"/>
      <c r="D2701" s="41" t="n"/>
      <c r="E2701" s="46" t="n"/>
      <c r="F2701" s="41" t="n"/>
      <c r="G2701" s="41" t="n"/>
      <c r="H2701" s="41" t="n"/>
      <c r="I2701" s="41" t="n"/>
      <c r="J2701" s="47" t="n"/>
      <c r="K2701" s="41" t="n"/>
      <c r="L2701" s="48" t="n"/>
      <c r="M2701" s="45" t="n"/>
      <c r="N2701" s="39">
        <f>IF($B2701="","",IF(SUMPRODUCT((LISTAS!$O$3:$O$42&lt;&gt;"")*ISNUMBER(SEARCH(LISTAS!$O$3:$O$42,$I2701&amp;" "&amp;$K2701)))&gt;0,"CERCANA","NACIONAL"))</f>
        <v/>
      </c>
      <c r="O2701" s="39">
        <f>IF($B2701="","",IF(COUNTIFS(NOVEDADES!$C$4:$C$2003,$B2701)=0,"—","SÍ ("&amp;COUNTIFS(NOVEDADES!$C$4:$C$2003,$B2701)&amp;")"))</f>
        <v/>
      </c>
    </row>
    <row r="2702">
      <c r="A2702" s="41" t="n"/>
      <c r="B2702" s="41" t="n"/>
      <c r="C2702" s="41" t="n"/>
      <c r="D2702" s="41" t="n"/>
      <c r="E2702" s="46" t="n"/>
      <c r="F2702" s="41" t="n"/>
      <c r="G2702" s="41" t="n"/>
      <c r="H2702" s="41" t="n"/>
      <c r="I2702" s="41" t="n"/>
      <c r="J2702" s="47" t="n"/>
      <c r="K2702" s="41" t="n"/>
      <c r="L2702" s="48" t="n"/>
      <c r="M2702" s="45" t="n"/>
      <c r="N2702" s="39">
        <f>IF($B2702="","",IF(SUMPRODUCT((LISTAS!$O$3:$O$42&lt;&gt;"")*ISNUMBER(SEARCH(LISTAS!$O$3:$O$42,$I2702&amp;" "&amp;$K2702)))&gt;0,"CERCANA","NACIONAL"))</f>
        <v/>
      </c>
      <c r="O2702" s="39">
        <f>IF($B2702="","",IF(COUNTIFS(NOVEDADES!$C$4:$C$2003,$B2702)=0,"—","SÍ ("&amp;COUNTIFS(NOVEDADES!$C$4:$C$2003,$B2702)&amp;")"))</f>
        <v/>
      </c>
    </row>
    <row r="2703">
      <c r="A2703" s="41" t="n"/>
      <c r="B2703" s="41" t="n"/>
      <c r="C2703" s="41" t="n"/>
      <c r="D2703" s="41" t="n"/>
      <c r="E2703" s="46" t="n"/>
      <c r="F2703" s="41" t="n"/>
      <c r="G2703" s="41" t="n"/>
      <c r="H2703" s="41" t="n"/>
      <c r="I2703" s="41" t="n"/>
      <c r="J2703" s="47" t="n"/>
      <c r="K2703" s="41" t="n"/>
      <c r="L2703" s="48" t="n"/>
      <c r="M2703" s="45" t="n"/>
      <c r="N2703" s="39">
        <f>IF($B2703="","",IF(SUMPRODUCT((LISTAS!$O$3:$O$42&lt;&gt;"")*ISNUMBER(SEARCH(LISTAS!$O$3:$O$42,$I2703&amp;" "&amp;$K2703)))&gt;0,"CERCANA","NACIONAL"))</f>
        <v/>
      </c>
      <c r="O2703" s="39">
        <f>IF($B2703="","",IF(COUNTIFS(NOVEDADES!$C$4:$C$2003,$B2703)=0,"—","SÍ ("&amp;COUNTIFS(NOVEDADES!$C$4:$C$2003,$B2703)&amp;")"))</f>
        <v/>
      </c>
    </row>
    <row r="2704">
      <c r="A2704" s="41" t="n"/>
      <c r="B2704" s="41" t="n"/>
      <c r="C2704" s="41" t="n"/>
      <c r="D2704" s="41" t="n"/>
      <c r="E2704" s="46" t="n"/>
      <c r="F2704" s="41" t="n"/>
      <c r="G2704" s="41" t="n"/>
      <c r="H2704" s="41" t="n"/>
      <c r="I2704" s="41" t="n"/>
      <c r="J2704" s="47" t="n"/>
      <c r="K2704" s="41" t="n"/>
      <c r="L2704" s="48" t="n"/>
      <c r="M2704" s="45" t="n"/>
      <c r="N2704" s="39">
        <f>IF($B2704="","",IF(SUMPRODUCT((LISTAS!$O$3:$O$42&lt;&gt;"")*ISNUMBER(SEARCH(LISTAS!$O$3:$O$42,$I2704&amp;" "&amp;$K2704)))&gt;0,"CERCANA","NACIONAL"))</f>
        <v/>
      </c>
      <c r="O2704" s="39">
        <f>IF($B2704="","",IF(COUNTIFS(NOVEDADES!$C$4:$C$2003,$B2704)=0,"—","SÍ ("&amp;COUNTIFS(NOVEDADES!$C$4:$C$2003,$B2704)&amp;")"))</f>
        <v/>
      </c>
    </row>
    <row r="2705">
      <c r="A2705" s="41" t="n"/>
      <c r="B2705" s="41" t="n"/>
      <c r="C2705" s="41" t="n"/>
      <c r="D2705" s="41" t="n"/>
      <c r="E2705" s="46" t="n"/>
      <c r="F2705" s="41" t="n"/>
      <c r="G2705" s="41" t="n"/>
      <c r="H2705" s="41" t="n"/>
      <c r="I2705" s="41" t="n"/>
      <c r="J2705" s="47" t="n"/>
      <c r="K2705" s="41" t="n"/>
      <c r="L2705" s="48" t="n"/>
      <c r="M2705" s="45" t="n"/>
      <c r="N2705" s="39">
        <f>IF($B2705="","",IF(SUMPRODUCT((LISTAS!$O$3:$O$42&lt;&gt;"")*ISNUMBER(SEARCH(LISTAS!$O$3:$O$42,$I2705&amp;" "&amp;$K2705)))&gt;0,"CERCANA","NACIONAL"))</f>
        <v/>
      </c>
      <c r="O2705" s="39">
        <f>IF($B2705="","",IF(COUNTIFS(NOVEDADES!$C$4:$C$2003,$B2705)=0,"—","SÍ ("&amp;COUNTIFS(NOVEDADES!$C$4:$C$2003,$B2705)&amp;")"))</f>
        <v/>
      </c>
    </row>
    <row r="2706">
      <c r="A2706" s="41" t="n"/>
      <c r="B2706" s="41" t="n"/>
      <c r="C2706" s="41" t="n"/>
      <c r="D2706" s="41" t="n"/>
      <c r="E2706" s="46" t="n"/>
      <c r="F2706" s="41" t="n"/>
      <c r="G2706" s="41" t="n"/>
      <c r="H2706" s="41" t="n"/>
      <c r="I2706" s="41" t="n"/>
      <c r="J2706" s="47" t="n"/>
      <c r="K2706" s="41" t="n"/>
      <c r="L2706" s="48" t="n"/>
      <c r="M2706" s="45" t="n"/>
      <c r="N2706" s="39">
        <f>IF($B2706="","",IF(SUMPRODUCT((LISTAS!$O$3:$O$42&lt;&gt;"")*ISNUMBER(SEARCH(LISTAS!$O$3:$O$42,$I2706&amp;" "&amp;$K2706)))&gt;0,"CERCANA","NACIONAL"))</f>
        <v/>
      </c>
      <c r="O2706" s="39">
        <f>IF($B2706="","",IF(COUNTIFS(NOVEDADES!$C$4:$C$2003,$B2706)=0,"—","SÍ ("&amp;COUNTIFS(NOVEDADES!$C$4:$C$2003,$B2706)&amp;")"))</f>
        <v/>
      </c>
    </row>
    <row r="2707">
      <c r="A2707" s="41" t="n"/>
      <c r="B2707" s="41" t="n"/>
      <c r="C2707" s="41" t="n"/>
      <c r="D2707" s="41" t="n"/>
      <c r="E2707" s="46" t="n"/>
      <c r="F2707" s="41" t="n"/>
      <c r="G2707" s="41" t="n"/>
      <c r="H2707" s="41" t="n"/>
      <c r="I2707" s="41" t="n"/>
      <c r="J2707" s="47" t="n"/>
      <c r="K2707" s="41" t="n"/>
      <c r="L2707" s="48" t="n"/>
      <c r="M2707" s="45" t="n"/>
      <c r="N2707" s="39">
        <f>IF($B2707="","",IF(SUMPRODUCT((LISTAS!$O$3:$O$42&lt;&gt;"")*ISNUMBER(SEARCH(LISTAS!$O$3:$O$42,$I2707&amp;" "&amp;$K2707)))&gt;0,"CERCANA","NACIONAL"))</f>
        <v/>
      </c>
      <c r="O2707" s="39">
        <f>IF($B2707="","",IF(COUNTIFS(NOVEDADES!$C$4:$C$2003,$B2707)=0,"—","SÍ ("&amp;COUNTIFS(NOVEDADES!$C$4:$C$2003,$B2707)&amp;")"))</f>
        <v/>
      </c>
    </row>
    <row r="2708">
      <c r="A2708" s="41" t="n"/>
      <c r="B2708" s="41" t="n"/>
      <c r="C2708" s="41" t="n"/>
      <c r="D2708" s="41" t="n"/>
      <c r="E2708" s="46" t="n"/>
      <c r="F2708" s="41" t="n"/>
      <c r="G2708" s="41" t="n"/>
      <c r="H2708" s="41" t="n"/>
      <c r="I2708" s="41" t="n"/>
      <c r="J2708" s="47" t="n"/>
      <c r="K2708" s="41" t="n"/>
      <c r="L2708" s="48" t="n"/>
      <c r="M2708" s="45" t="n"/>
      <c r="N2708" s="39">
        <f>IF($B2708="","",IF(SUMPRODUCT((LISTAS!$O$3:$O$42&lt;&gt;"")*ISNUMBER(SEARCH(LISTAS!$O$3:$O$42,$I2708&amp;" "&amp;$K2708)))&gt;0,"CERCANA","NACIONAL"))</f>
        <v/>
      </c>
      <c r="O2708" s="39">
        <f>IF($B2708="","",IF(COUNTIFS(NOVEDADES!$C$4:$C$2003,$B2708)=0,"—","SÍ ("&amp;COUNTIFS(NOVEDADES!$C$4:$C$2003,$B2708)&amp;")"))</f>
        <v/>
      </c>
    </row>
    <row r="2709">
      <c r="A2709" s="41" t="n"/>
      <c r="B2709" s="41" t="n"/>
      <c r="C2709" s="41" t="n"/>
      <c r="D2709" s="41" t="n"/>
      <c r="E2709" s="46" t="n"/>
      <c r="F2709" s="41" t="n"/>
      <c r="G2709" s="41" t="n"/>
      <c r="H2709" s="41" t="n"/>
      <c r="I2709" s="41" t="n"/>
      <c r="J2709" s="47" t="n"/>
      <c r="K2709" s="41" t="n"/>
      <c r="L2709" s="48" t="n"/>
      <c r="M2709" s="45" t="n"/>
      <c r="N2709" s="39">
        <f>IF($B2709="","",IF(SUMPRODUCT((LISTAS!$O$3:$O$42&lt;&gt;"")*ISNUMBER(SEARCH(LISTAS!$O$3:$O$42,$I2709&amp;" "&amp;$K2709)))&gt;0,"CERCANA","NACIONAL"))</f>
        <v/>
      </c>
      <c r="O2709" s="39">
        <f>IF($B2709="","",IF(COUNTIFS(NOVEDADES!$C$4:$C$2003,$B2709)=0,"—","SÍ ("&amp;COUNTIFS(NOVEDADES!$C$4:$C$2003,$B2709)&amp;")"))</f>
        <v/>
      </c>
    </row>
    <row r="2710">
      <c r="A2710" s="41" t="n"/>
      <c r="B2710" s="41" t="n"/>
      <c r="C2710" s="41" t="n"/>
      <c r="D2710" s="41" t="n"/>
      <c r="E2710" s="46" t="n"/>
      <c r="F2710" s="41" t="n"/>
      <c r="G2710" s="41" t="n"/>
      <c r="H2710" s="41" t="n"/>
      <c r="I2710" s="41" t="n"/>
      <c r="J2710" s="47" t="n"/>
      <c r="K2710" s="41" t="n"/>
      <c r="L2710" s="48" t="n"/>
      <c r="M2710" s="45" t="n"/>
      <c r="N2710" s="39">
        <f>IF($B2710="","",IF(SUMPRODUCT((LISTAS!$O$3:$O$42&lt;&gt;"")*ISNUMBER(SEARCH(LISTAS!$O$3:$O$42,$I2710&amp;" "&amp;$K2710)))&gt;0,"CERCANA","NACIONAL"))</f>
        <v/>
      </c>
      <c r="O2710" s="39">
        <f>IF($B2710="","",IF(COUNTIFS(NOVEDADES!$C$4:$C$2003,$B2710)=0,"—","SÍ ("&amp;COUNTIFS(NOVEDADES!$C$4:$C$2003,$B2710)&amp;")"))</f>
        <v/>
      </c>
    </row>
    <row r="2711">
      <c r="A2711" s="41" t="n"/>
      <c r="B2711" s="41" t="n"/>
      <c r="C2711" s="41" t="n"/>
      <c r="D2711" s="41" t="n"/>
      <c r="E2711" s="46" t="n"/>
      <c r="F2711" s="41" t="n"/>
      <c r="G2711" s="41" t="n"/>
      <c r="H2711" s="41" t="n"/>
      <c r="I2711" s="41" t="n"/>
      <c r="J2711" s="47" t="n"/>
      <c r="K2711" s="41" t="n"/>
      <c r="L2711" s="48" t="n"/>
      <c r="M2711" s="45" t="n"/>
      <c r="N2711" s="39">
        <f>IF($B2711="","",IF(SUMPRODUCT((LISTAS!$O$3:$O$42&lt;&gt;"")*ISNUMBER(SEARCH(LISTAS!$O$3:$O$42,$I2711&amp;" "&amp;$K2711)))&gt;0,"CERCANA","NACIONAL"))</f>
        <v/>
      </c>
      <c r="O2711" s="39">
        <f>IF($B2711="","",IF(COUNTIFS(NOVEDADES!$C$4:$C$2003,$B2711)=0,"—","SÍ ("&amp;COUNTIFS(NOVEDADES!$C$4:$C$2003,$B2711)&amp;")"))</f>
        <v/>
      </c>
    </row>
    <row r="2712">
      <c r="A2712" s="41" t="n"/>
      <c r="B2712" s="41" t="n"/>
      <c r="C2712" s="41" t="n"/>
      <c r="D2712" s="41" t="n"/>
      <c r="E2712" s="46" t="n"/>
      <c r="F2712" s="41" t="n"/>
      <c r="G2712" s="41" t="n"/>
      <c r="H2712" s="41" t="n"/>
      <c r="I2712" s="41" t="n"/>
      <c r="J2712" s="47" t="n"/>
      <c r="K2712" s="41" t="n"/>
      <c r="L2712" s="48" t="n"/>
      <c r="M2712" s="45" t="n"/>
      <c r="N2712" s="39">
        <f>IF($B2712="","",IF(SUMPRODUCT((LISTAS!$O$3:$O$42&lt;&gt;"")*ISNUMBER(SEARCH(LISTAS!$O$3:$O$42,$I2712&amp;" "&amp;$K2712)))&gt;0,"CERCANA","NACIONAL"))</f>
        <v/>
      </c>
      <c r="O2712" s="39">
        <f>IF($B2712="","",IF(COUNTIFS(NOVEDADES!$C$4:$C$2003,$B2712)=0,"—","SÍ ("&amp;COUNTIFS(NOVEDADES!$C$4:$C$2003,$B2712)&amp;")"))</f>
        <v/>
      </c>
    </row>
    <row r="2713">
      <c r="A2713" s="41" t="n"/>
      <c r="B2713" s="41" t="n"/>
      <c r="C2713" s="41" t="n"/>
      <c r="D2713" s="41" t="n"/>
      <c r="E2713" s="46" t="n"/>
      <c r="F2713" s="41" t="n"/>
      <c r="G2713" s="41" t="n"/>
      <c r="H2713" s="41" t="n"/>
      <c r="I2713" s="41" t="n"/>
      <c r="J2713" s="47" t="n"/>
      <c r="K2713" s="41" t="n"/>
      <c r="L2713" s="48" t="n"/>
      <c r="M2713" s="45" t="n"/>
      <c r="N2713" s="39">
        <f>IF($B2713="","",IF(SUMPRODUCT((LISTAS!$O$3:$O$42&lt;&gt;"")*ISNUMBER(SEARCH(LISTAS!$O$3:$O$42,$I2713&amp;" "&amp;$K2713)))&gt;0,"CERCANA","NACIONAL"))</f>
        <v/>
      </c>
      <c r="O2713" s="39">
        <f>IF($B2713="","",IF(COUNTIFS(NOVEDADES!$C$4:$C$2003,$B2713)=0,"—","SÍ ("&amp;COUNTIFS(NOVEDADES!$C$4:$C$2003,$B2713)&amp;")"))</f>
        <v/>
      </c>
    </row>
    <row r="2714">
      <c r="A2714" s="41" t="n"/>
      <c r="B2714" s="41" t="n"/>
      <c r="C2714" s="41" t="n"/>
      <c r="D2714" s="41" t="n"/>
      <c r="E2714" s="46" t="n"/>
      <c r="F2714" s="41" t="n"/>
      <c r="G2714" s="41" t="n"/>
      <c r="H2714" s="41" t="n"/>
      <c r="I2714" s="41" t="n"/>
      <c r="J2714" s="47" t="n"/>
      <c r="K2714" s="41" t="n"/>
      <c r="L2714" s="48" t="n"/>
      <c r="M2714" s="45" t="n"/>
      <c r="N2714" s="39">
        <f>IF($B2714="","",IF(SUMPRODUCT((LISTAS!$O$3:$O$42&lt;&gt;"")*ISNUMBER(SEARCH(LISTAS!$O$3:$O$42,$I2714&amp;" "&amp;$K2714)))&gt;0,"CERCANA","NACIONAL"))</f>
        <v/>
      </c>
      <c r="O2714" s="39">
        <f>IF($B2714="","",IF(COUNTIFS(NOVEDADES!$C$4:$C$2003,$B2714)=0,"—","SÍ ("&amp;COUNTIFS(NOVEDADES!$C$4:$C$2003,$B2714)&amp;")"))</f>
        <v/>
      </c>
    </row>
    <row r="2715">
      <c r="A2715" s="41" t="n"/>
      <c r="B2715" s="41" t="n"/>
      <c r="C2715" s="41" t="n"/>
      <c r="D2715" s="41" t="n"/>
      <c r="E2715" s="46" t="n"/>
      <c r="F2715" s="41" t="n"/>
      <c r="G2715" s="41" t="n"/>
      <c r="H2715" s="41" t="n"/>
      <c r="I2715" s="41" t="n"/>
      <c r="J2715" s="47" t="n"/>
      <c r="K2715" s="41" t="n"/>
      <c r="L2715" s="48" t="n"/>
      <c r="M2715" s="45" t="n"/>
      <c r="N2715" s="39">
        <f>IF($B2715="","",IF(SUMPRODUCT((LISTAS!$O$3:$O$42&lt;&gt;"")*ISNUMBER(SEARCH(LISTAS!$O$3:$O$42,$I2715&amp;" "&amp;$K2715)))&gt;0,"CERCANA","NACIONAL"))</f>
        <v/>
      </c>
      <c r="O2715" s="39">
        <f>IF($B2715="","",IF(COUNTIFS(NOVEDADES!$C$4:$C$2003,$B2715)=0,"—","SÍ ("&amp;COUNTIFS(NOVEDADES!$C$4:$C$2003,$B2715)&amp;")"))</f>
        <v/>
      </c>
    </row>
    <row r="2716">
      <c r="A2716" s="41" t="n"/>
      <c r="B2716" s="41" t="n"/>
      <c r="C2716" s="41" t="n"/>
      <c r="D2716" s="41" t="n"/>
      <c r="E2716" s="46" t="n"/>
      <c r="F2716" s="41" t="n"/>
      <c r="G2716" s="41" t="n"/>
      <c r="H2716" s="41" t="n"/>
      <c r="I2716" s="41" t="n"/>
      <c r="J2716" s="47" t="n"/>
      <c r="K2716" s="41" t="n"/>
      <c r="L2716" s="48" t="n"/>
      <c r="M2716" s="45" t="n"/>
      <c r="N2716" s="39">
        <f>IF($B2716="","",IF(SUMPRODUCT((LISTAS!$O$3:$O$42&lt;&gt;"")*ISNUMBER(SEARCH(LISTAS!$O$3:$O$42,$I2716&amp;" "&amp;$K2716)))&gt;0,"CERCANA","NACIONAL"))</f>
        <v/>
      </c>
      <c r="O2716" s="39">
        <f>IF($B2716="","",IF(COUNTIFS(NOVEDADES!$C$4:$C$2003,$B2716)=0,"—","SÍ ("&amp;COUNTIFS(NOVEDADES!$C$4:$C$2003,$B2716)&amp;")"))</f>
        <v/>
      </c>
    </row>
    <row r="2717">
      <c r="A2717" s="41" t="n"/>
      <c r="B2717" s="41" t="n"/>
      <c r="C2717" s="41" t="n"/>
      <c r="D2717" s="41" t="n"/>
      <c r="E2717" s="46" t="n"/>
      <c r="F2717" s="41" t="n"/>
      <c r="G2717" s="41" t="n"/>
      <c r="H2717" s="41" t="n"/>
      <c r="I2717" s="41" t="n"/>
      <c r="J2717" s="47" t="n"/>
      <c r="K2717" s="41" t="n"/>
      <c r="L2717" s="48" t="n"/>
      <c r="M2717" s="45" t="n"/>
      <c r="N2717" s="39">
        <f>IF($B2717="","",IF(SUMPRODUCT((LISTAS!$O$3:$O$42&lt;&gt;"")*ISNUMBER(SEARCH(LISTAS!$O$3:$O$42,$I2717&amp;" "&amp;$K2717)))&gt;0,"CERCANA","NACIONAL"))</f>
        <v/>
      </c>
      <c r="O2717" s="39">
        <f>IF($B2717="","",IF(COUNTIFS(NOVEDADES!$C$4:$C$2003,$B2717)=0,"—","SÍ ("&amp;COUNTIFS(NOVEDADES!$C$4:$C$2003,$B2717)&amp;")"))</f>
        <v/>
      </c>
    </row>
    <row r="2718">
      <c r="A2718" s="41" t="n"/>
      <c r="B2718" s="41" t="n"/>
      <c r="C2718" s="41" t="n"/>
      <c r="D2718" s="41" t="n"/>
      <c r="E2718" s="46" t="n"/>
      <c r="F2718" s="41" t="n"/>
      <c r="G2718" s="41" t="n"/>
      <c r="H2718" s="41" t="n"/>
      <c r="I2718" s="41" t="n"/>
      <c r="J2718" s="47" t="n"/>
      <c r="K2718" s="41" t="n"/>
      <c r="L2718" s="48" t="n"/>
      <c r="M2718" s="45" t="n"/>
      <c r="N2718" s="39">
        <f>IF($B2718="","",IF(SUMPRODUCT((LISTAS!$O$3:$O$42&lt;&gt;"")*ISNUMBER(SEARCH(LISTAS!$O$3:$O$42,$I2718&amp;" "&amp;$K2718)))&gt;0,"CERCANA","NACIONAL"))</f>
        <v/>
      </c>
      <c r="O2718" s="39">
        <f>IF($B2718="","",IF(COUNTIFS(NOVEDADES!$C$4:$C$2003,$B2718)=0,"—","SÍ ("&amp;COUNTIFS(NOVEDADES!$C$4:$C$2003,$B2718)&amp;")"))</f>
        <v/>
      </c>
    </row>
    <row r="2719">
      <c r="A2719" s="41" t="n"/>
      <c r="B2719" s="41" t="n"/>
      <c r="C2719" s="41" t="n"/>
      <c r="D2719" s="41" t="n"/>
      <c r="E2719" s="46" t="n"/>
      <c r="F2719" s="41" t="n"/>
      <c r="G2719" s="41" t="n"/>
      <c r="H2719" s="41" t="n"/>
      <c r="I2719" s="41" t="n"/>
      <c r="J2719" s="47" t="n"/>
      <c r="K2719" s="41" t="n"/>
      <c r="L2719" s="48" t="n"/>
      <c r="M2719" s="45" t="n"/>
      <c r="N2719" s="39">
        <f>IF($B2719="","",IF(SUMPRODUCT((LISTAS!$O$3:$O$42&lt;&gt;"")*ISNUMBER(SEARCH(LISTAS!$O$3:$O$42,$I2719&amp;" "&amp;$K2719)))&gt;0,"CERCANA","NACIONAL"))</f>
        <v/>
      </c>
      <c r="O2719" s="39">
        <f>IF($B2719="","",IF(COUNTIFS(NOVEDADES!$C$4:$C$2003,$B2719)=0,"—","SÍ ("&amp;COUNTIFS(NOVEDADES!$C$4:$C$2003,$B2719)&amp;")"))</f>
        <v/>
      </c>
    </row>
    <row r="2720">
      <c r="A2720" s="41" t="n"/>
      <c r="B2720" s="41" t="n"/>
      <c r="C2720" s="41" t="n"/>
      <c r="D2720" s="41" t="n"/>
      <c r="E2720" s="46" t="n"/>
      <c r="F2720" s="41" t="n"/>
      <c r="G2720" s="41" t="n"/>
      <c r="H2720" s="41" t="n"/>
      <c r="I2720" s="41" t="n"/>
      <c r="J2720" s="47" t="n"/>
      <c r="K2720" s="41" t="n"/>
      <c r="L2720" s="48" t="n"/>
      <c r="M2720" s="45" t="n"/>
      <c r="N2720" s="39">
        <f>IF($B2720="","",IF(SUMPRODUCT((LISTAS!$O$3:$O$42&lt;&gt;"")*ISNUMBER(SEARCH(LISTAS!$O$3:$O$42,$I2720&amp;" "&amp;$K2720)))&gt;0,"CERCANA","NACIONAL"))</f>
        <v/>
      </c>
      <c r="O2720" s="39">
        <f>IF($B2720="","",IF(COUNTIFS(NOVEDADES!$C$4:$C$2003,$B2720)=0,"—","SÍ ("&amp;COUNTIFS(NOVEDADES!$C$4:$C$2003,$B2720)&amp;")"))</f>
        <v/>
      </c>
    </row>
    <row r="2721">
      <c r="A2721" s="41" t="n"/>
      <c r="B2721" s="41" t="n"/>
      <c r="C2721" s="41" t="n"/>
      <c r="D2721" s="41" t="n"/>
      <c r="E2721" s="46" t="n"/>
      <c r="F2721" s="41" t="n"/>
      <c r="G2721" s="41" t="n"/>
      <c r="H2721" s="41" t="n"/>
      <c r="I2721" s="41" t="n"/>
      <c r="J2721" s="47" t="n"/>
      <c r="K2721" s="41" t="n"/>
      <c r="L2721" s="48" t="n"/>
      <c r="M2721" s="45" t="n"/>
      <c r="N2721" s="39">
        <f>IF($B2721="","",IF(SUMPRODUCT((LISTAS!$O$3:$O$42&lt;&gt;"")*ISNUMBER(SEARCH(LISTAS!$O$3:$O$42,$I2721&amp;" "&amp;$K2721)))&gt;0,"CERCANA","NACIONAL"))</f>
        <v/>
      </c>
      <c r="O2721" s="39">
        <f>IF($B2721="","",IF(COUNTIFS(NOVEDADES!$C$4:$C$2003,$B2721)=0,"—","SÍ ("&amp;COUNTIFS(NOVEDADES!$C$4:$C$2003,$B2721)&amp;")"))</f>
        <v/>
      </c>
    </row>
    <row r="2722">
      <c r="A2722" s="41" t="n"/>
      <c r="B2722" s="41" t="n"/>
      <c r="C2722" s="41" t="n"/>
      <c r="D2722" s="41" t="n"/>
      <c r="E2722" s="46" t="n"/>
      <c r="F2722" s="41" t="n"/>
      <c r="G2722" s="41" t="n"/>
      <c r="H2722" s="41" t="n"/>
      <c r="I2722" s="41" t="n"/>
      <c r="J2722" s="47" t="n"/>
      <c r="K2722" s="41" t="n"/>
      <c r="L2722" s="48" t="n"/>
      <c r="M2722" s="45" t="n"/>
      <c r="N2722" s="39">
        <f>IF($B2722="","",IF(SUMPRODUCT((LISTAS!$O$3:$O$42&lt;&gt;"")*ISNUMBER(SEARCH(LISTAS!$O$3:$O$42,$I2722&amp;" "&amp;$K2722)))&gt;0,"CERCANA","NACIONAL"))</f>
        <v/>
      </c>
      <c r="O2722" s="39">
        <f>IF($B2722="","",IF(COUNTIFS(NOVEDADES!$C$4:$C$2003,$B2722)=0,"—","SÍ ("&amp;COUNTIFS(NOVEDADES!$C$4:$C$2003,$B2722)&amp;")"))</f>
        <v/>
      </c>
    </row>
    <row r="2723">
      <c r="A2723" s="41" t="n"/>
      <c r="B2723" s="41" t="n"/>
      <c r="C2723" s="41" t="n"/>
      <c r="D2723" s="41" t="n"/>
      <c r="E2723" s="46" t="n"/>
      <c r="F2723" s="41" t="n"/>
      <c r="G2723" s="41" t="n"/>
      <c r="H2723" s="41" t="n"/>
      <c r="I2723" s="41" t="n"/>
      <c r="J2723" s="47" t="n"/>
      <c r="K2723" s="41" t="n"/>
      <c r="L2723" s="48" t="n"/>
      <c r="M2723" s="45" t="n"/>
      <c r="N2723" s="39">
        <f>IF($B2723="","",IF(SUMPRODUCT((LISTAS!$O$3:$O$42&lt;&gt;"")*ISNUMBER(SEARCH(LISTAS!$O$3:$O$42,$I2723&amp;" "&amp;$K2723)))&gt;0,"CERCANA","NACIONAL"))</f>
        <v/>
      </c>
      <c r="O2723" s="39">
        <f>IF($B2723="","",IF(COUNTIFS(NOVEDADES!$C$4:$C$2003,$B2723)=0,"—","SÍ ("&amp;COUNTIFS(NOVEDADES!$C$4:$C$2003,$B2723)&amp;")"))</f>
        <v/>
      </c>
    </row>
    <row r="2724">
      <c r="A2724" s="41" t="n"/>
      <c r="B2724" s="41" t="n"/>
      <c r="C2724" s="41" t="n"/>
      <c r="D2724" s="41" t="n"/>
      <c r="E2724" s="46" t="n"/>
      <c r="F2724" s="41" t="n"/>
      <c r="G2724" s="41" t="n"/>
      <c r="H2724" s="41" t="n"/>
      <c r="I2724" s="41" t="n"/>
      <c r="J2724" s="47" t="n"/>
      <c r="K2724" s="41" t="n"/>
      <c r="L2724" s="48" t="n"/>
      <c r="M2724" s="45" t="n"/>
      <c r="N2724" s="39">
        <f>IF($B2724="","",IF(SUMPRODUCT((LISTAS!$O$3:$O$42&lt;&gt;"")*ISNUMBER(SEARCH(LISTAS!$O$3:$O$42,$I2724&amp;" "&amp;$K2724)))&gt;0,"CERCANA","NACIONAL"))</f>
        <v/>
      </c>
      <c r="O2724" s="39">
        <f>IF($B2724="","",IF(COUNTIFS(NOVEDADES!$C$4:$C$2003,$B2724)=0,"—","SÍ ("&amp;COUNTIFS(NOVEDADES!$C$4:$C$2003,$B2724)&amp;")"))</f>
        <v/>
      </c>
    </row>
    <row r="2725">
      <c r="A2725" s="41" t="n"/>
      <c r="B2725" s="41" t="n"/>
      <c r="C2725" s="41" t="n"/>
      <c r="D2725" s="41" t="n"/>
      <c r="E2725" s="46" t="n"/>
      <c r="F2725" s="41" t="n"/>
      <c r="G2725" s="41" t="n"/>
      <c r="H2725" s="41" t="n"/>
      <c r="I2725" s="41" t="n"/>
      <c r="J2725" s="47" t="n"/>
      <c r="K2725" s="41" t="n"/>
      <c r="L2725" s="48" t="n"/>
      <c r="M2725" s="45" t="n"/>
      <c r="N2725" s="39">
        <f>IF($B2725="","",IF(SUMPRODUCT((LISTAS!$O$3:$O$42&lt;&gt;"")*ISNUMBER(SEARCH(LISTAS!$O$3:$O$42,$I2725&amp;" "&amp;$K2725)))&gt;0,"CERCANA","NACIONAL"))</f>
        <v/>
      </c>
      <c r="O2725" s="39">
        <f>IF($B2725="","",IF(COUNTIFS(NOVEDADES!$C$4:$C$2003,$B2725)=0,"—","SÍ ("&amp;COUNTIFS(NOVEDADES!$C$4:$C$2003,$B2725)&amp;")"))</f>
        <v/>
      </c>
    </row>
    <row r="2726">
      <c r="A2726" s="41" t="n"/>
      <c r="B2726" s="41" t="n"/>
      <c r="C2726" s="41" t="n"/>
      <c r="D2726" s="41" t="n"/>
      <c r="E2726" s="46" t="n"/>
      <c r="F2726" s="41" t="n"/>
      <c r="G2726" s="41" t="n"/>
      <c r="H2726" s="41" t="n"/>
      <c r="I2726" s="41" t="n"/>
      <c r="J2726" s="47" t="n"/>
      <c r="K2726" s="41" t="n"/>
      <c r="L2726" s="48" t="n"/>
      <c r="M2726" s="45" t="n"/>
      <c r="N2726" s="39">
        <f>IF($B2726="","",IF(SUMPRODUCT((LISTAS!$O$3:$O$42&lt;&gt;"")*ISNUMBER(SEARCH(LISTAS!$O$3:$O$42,$I2726&amp;" "&amp;$K2726)))&gt;0,"CERCANA","NACIONAL"))</f>
        <v/>
      </c>
      <c r="O2726" s="39">
        <f>IF($B2726="","",IF(COUNTIFS(NOVEDADES!$C$4:$C$2003,$B2726)=0,"—","SÍ ("&amp;COUNTIFS(NOVEDADES!$C$4:$C$2003,$B2726)&amp;")"))</f>
        <v/>
      </c>
    </row>
    <row r="2727">
      <c r="A2727" s="41" t="n"/>
      <c r="B2727" s="41" t="n"/>
      <c r="C2727" s="41" t="n"/>
      <c r="D2727" s="41" t="n"/>
      <c r="E2727" s="46" t="n"/>
      <c r="F2727" s="41" t="n"/>
      <c r="G2727" s="41" t="n"/>
      <c r="H2727" s="41" t="n"/>
      <c r="I2727" s="41" t="n"/>
      <c r="J2727" s="47" t="n"/>
      <c r="K2727" s="41" t="n"/>
      <c r="L2727" s="48" t="n"/>
      <c r="M2727" s="45" t="n"/>
      <c r="N2727" s="39">
        <f>IF($B2727="","",IF(SUMPRODUCT((LISTAS!$O$3:$O$42&lt;&gt;"")*ISNUMBER(SEARCH(LISTAS!$O$3:$O$42,$I2727&amp;" "&amp;$K2727)))&gt;0,"CERCANA","NACIONAL"))</f>
        <v/>
      </c>
      <c r="O2727" s="39">
        <f>IF($B2727="","",IF(COUNTIFS(NOVEDADES!$C$4:$C$2003,$B2727)=0,"—","SÍ ("&amp;COUNTIFS(NOVEDADES!$C$4:$C$2003,$B2727)&amp;")"))</f>
        <v/>
      </c>
    </row>
    <row r="2728">
      <c r="A2728" s="41" t="n"/>
      <c r="B2728" s="41" t="n"/>
      <c r="C2728" s="41" t="n"/>
      <c r="D2728" s="41" t="n"/>
      <c r="E2728" s="46" t="n"/>
      <c r="F2728" s="41" t="n"/>
      <c r="G2728" s="41" t="n"/>
      <c r="H2728" s="41" t="n"/>
      <c r="I2728" s="41" t="n"/>
      <c r="J2728" s="47" t="n"/>
      <c r="K2728" s="41" t="n"/>
      <c r="L2728" s="48" t="n"/>
      <c r="M2728" s="45" t="n"/>
      <c r="N2728" s="39">
        <f>IF($B2728="","",IF(SUMPRODUCT((LISTAS!$O$3:$O$42&lt;&gt;"")*ISNUMBER(SEARCH(LISTAS!$O$3:$O$42,$I2728&amp;" "&amp;$K2728)))&gt;0,"CERCANA","NACIONAL"))</f>
        <v/>
      </c>
      <c r="O2728" s="39">
        <f>IF($B2728="","",IF(COUNTIFS(NOVEDADES!$C$4:$C$2003,$B2728)=0,"—","SÍ ("&amp;COUNTIFS(NOVEDADES!$C$4:$C$2003,$B2728)&amp;")"))</f>
        <v/>
      </c>
    </row>
    <row r="2729">
      <c r="A2729" s="41" t="n"/>
      <c r="B2729" s="41" t="n"/>
      <c r="C2729" s="41" t="n"/>
      <c r="D2729" s="41" t="n"/>
      <c r="E2729" s="46" t="n"/>
      <c r="F2729" s="41" t="n"/>
      <c r="G2729" s="41" t="n"/>
      <c r="H2729" s="41" t="n"/>
      <c r="I2729" s="41" t="n"/>
      <c r="J2729" s="47" t="n"/>
      <c r="K2729" s="41" t="n"/>
      <c r="L2729" s="48" t="n"/>
      <c r="M2729" s="45" t="n"/>
      <c r="N2729" s="39">
        <f>IF($B2729="","",IF(SUMPRODUCT((LISTAS!$O$3:$O$42&lt;&gt;"")*ISNUMBER(SEARCH(LISTAS!$O$3:$O$42,$I2729&amp;" "&amp;$K2729)))&gt;0,"CERCANA","NACIONAL"))</f>
        <v/>
      </c>
      <c r="O2729" s="39">
        <f>IF($B2729="","",IF(COUNTIFS(NOVEDADES!$C$4:$C$2003,$B2729)=0,"—","SÍ ("&amp;COUNTIFS(NOVEDADES!$C$4:$C$2003,$B2729)&amp;")"))</f>
        <v/>
      </c>
    </row>
    <row r="2730">
      <c r="A2730" s="41" t="n"/>
      <c r="B2730" s="41" t="n"/>
      <c r="C2730" s="41" t="n"/>
      <c r="D2730" s="41" t="n"/>
      <c r="E2730" s="46" t="n"/>
      <c r="F2730" s="41" t="n"/>
      <c r="G2730" s="41" t="n"/>
      <c r="H2730" s="41" t="n"/>
      <c r="I2730" s="41" t="n"/>
      <c r="J2730" s="47" t="n"/>
      <c r="K2730" s="41" t="n"/>
      <c r="L2730" s="48" t="n"/>
      <c r="M2730" s="45" t="n"/>
      <c r="N2730" s="39">
        <f>IF($B2730="","",IF(SUMPRODUCT((LISTAS!$O$3:$O$42&lt;&gt;"")*ISNUMBER(SEARCH(LISTAS!$O$3:$O$42,$I2730&amp;" "&amp;$K2730)))&gt;0,"CERCANA","NACIONAL"))</f>
        <v/>
      </c>
      <c r="O2730" s="39">
        <f>IF($B2730="","",IF(COUNTIFS(NOVEDADES!$C$4:$C$2003,$B2730)=0,"—","SÍ ("&amp;COUNTIFS(NOVEDADES!$C$4:$C$2003,$B2730)&amp;")"))</f>
        <v/>
      </c>
    </row>
    <row r="2731">
      <c r="A2731" s="41" t="n"/>
      <c r="B2731" s="41" t="n"/>
      <c r="C2731" s="41" t="n"/>
      <c r="D2731" s="41" t="n"/>
      <c r="E2731" s="46" t="n"/>
      <c r="F2731" s="41" t="n"/>
      <c r="G2731" s="41" t="n"/>
      <c r="H2731" s="41" t="n"/>
      <c r="I2731" s="41" t="n"/>
      <c r="J2731" s="47" t="n"/>
      <c r="K2731" s="41" t="n"/>
      <c r="L2731" s="48" t="n"/>
      <c r="M2731" s="45" t="n"/>
      <c r="N2731" s="39">
        <f>IF($B2731="","",IF(SUMPRODUCT((LISTAS!$O$3:$O$42&lt;&gt;"")*ISNUMBER(SEARCH(LISTAS!$O$3:$O$42,$I2731&amp;" "&amp;$K2731)))&gt;0,"CERCANA","NACIONAL"))</f>
        <v/>
      </c>
      <c r="O2731" s="39">
        <f>IF($B2731="","",IF(COUNTIFS(NOVEDADES!$C$4:$C$2003,$B2731)=0,"—","SÍ ("&amp;COUNTIFS(NOVEDADES!$C$4:$C$2003,$B2731)&amp;")"))</f>
        <v/>
      </c>
    </row>
    <row r="2732">
      <c r="A2732" s="41" t="n"/>
      <c r="B2732" s="41" t="n"/>
      <c r="C2732" s="41" t="n"/>
      <c r="D2732" s="41" t="n"/>
      <c r="E2732" s="46" t="n"/>
      <c r="F2732" s="41" t="n"/>
      <c r="G2732" s="41" t="n"/>
      <c r="H2732" s="41" t="n"/>
      <c r="I2732" s="41" t="n"/>
      <c r="J2732" s="47" t="n"/>
      <c r="K2732" s="41" t="n"/>
      <c r="L2732" s="48" t="n"/>
      <c r="M2732" s="45" t="n"/>
      <c r="N2732" s="39">
        <f>IF($B2732="","",IF(SUMPRODUCT((LISTAS!$O$3:$O$42&lt;&gt;"")*ISNUMBER(SEARCH(LISTAS!$O$3:$O$42,$I2732&amp;" "&amp;$K2732)))&gt;0,"CERCANA","NACIONAL"))</f>
        <v/>
      </c>
      <c r="O2732" s="39">
        <f>IF($B2732="","",IF(COUNTIFS(NOVEDADES!$C$4:$C$2003,$B2732)=0,"—","SÍ ("&amp;COUNTIFS(NOVEDADES!$C$4:$C$2003,$B2732)&amp;")"))</f>
        <v/>
      </c>
    </row>
    <row r="2733">
      <c r="A2733" s="41" t="n"/>
      <c r="B2733" s="41" t="n"/>
      <c r="C2733" s="41" t="n"/>
      <c r="D2733" s="41" t="n"/>
      <c r="E2733" s="46" t="n"/>
      <c r="F2733" s="41" t="n"/>
      <c r="G2733" s="41" t="n"/>
      <c r="H2733" s="41" t="n"/>
      <c r="I2733" s="41" t="n"/>
      <c r="J2733" s="47" t="n"/>
      <c r="K2733" s="41" t="n"/>
      <c r="L2733" s="48" t="n"/>
      <c r="M2733" s="45" t="n"/>
      <c r="N2733" s="39">
        <f>IF($B2733="","",IF(SUMPRODUCT((LISTAS!$O$3:$O$42&lt;&gt;"")*ISNUMBER(SEARCH(LISTAS!$O$3:$O$42,$I2733&amp;" "&amp;$K2733)))&gt;0,"CERCANA","NACIONAL"))</f>
        <v/>
      </c>
      <c r="O2733" s="39">
        <f>IF($B2733="","",IF(COUNTIFS(NOVEDADES!$C$4:$C$2003,$B2733)=0,"—","SÍ ("&amp;COUNTIFS(NOVEDADES!$C$4:$C$2003,$B2733)&amp;")"))</f>
        <v/>
      </c>
    </row>
    <row r="2734">
      <c r="A2734" s="41" t="n"/>
      <c r="B2734" s="41" t="n"/>
      <c r="C2734" s="41" t="n"/>
      <c r="D2734" s="41" t="n"/>
      <c r="E2734" s="46" t="n"/>
      <c r="F2734" s="41" t="n"/>
      <c r="G2734" s="41" t="n"/>
      <c r="H2734" s="41" t="n"/>
      <c r="I2734" s="41" t="n"/>
      <c r="J2734" s="47" t="n"/>
      <c r="K2734" s="41" t="n"/>
      <c r="L2734" s="48" t="n"/>
      <c r="M2734" s="45" t="n"/>
      <c r="N2734" s="39">
        <f>IF($B2734="","",IF(SUMPRODUCT((LISTAS!$O$3:$O$42&lt;&gt;"")*ISNUMBER(SEARCH(LISTAS!$O$3:$O$42,$I2734&amp;" "&amp;$K2734)))&gt;0,"CERCANA","NACIONAL"))</f>
        <v/>
      </c>
      <c r="O2734" s="39">
        <f>IF($B2734="","",IF(COUNTIFS(NOVEDADES!$C$4:$C$2003,$B2734)=0,"—","SÍ ("&amp;COUNTIFS(NOVEDADES!$C$4:$C$2003,$B2734)&amp;")"))</f>
        <v/>
      </c>
    </row>
    <row r="2735">
      <c r="A2735" s="41" t="n"/>
      <c r="B2735" s="41" t="n"/>
      <c r="C2735" s="41" t="n"/>
      <c r="D2735" s="41" t="n"/>
      <c r="E2735" s="46" t="n"/>
      <c r="F2735" s="41" t="n"/>
      <c r="G2735" s="41" t="n"/>
      <c r="H2735" s="41" t="n"/>
      <c r="I2735" s="41" t="n"/>
      <c r="J2735" s="47" t="n"/>
      <c r="K2735" s="41" t="n"/>
      <c r="L2735" s="48" t="n"/>
      <c r="M2735" s="45" t="n"/>
      <c r="N2735" s="39">
        <f>IF($B2735="","",IF(SUMPRODUCT((LISTAS!$O$3:$O$42&lt;&gt;"")*ISNUMBER(SEARCH(LISTAS!$O$3:$O$42,$I2735&amp;" "&amp;$K2735)))&gt;0,"CERCANA","NACIONAL"))</f>
        <v/>
      </c>
      <c r="O2735" s="39">
        <f>IF($B2735="","",IF(COUNTIFS(NOVEDADES!$C$4:$C$2003,$B2735)=0,"—","SÍ ("&amp;COUNTIFS(NOVEDADES!$C$4:$C$2003,$B2735)&amp;")"))</f>
        <v/>
      </c>
    </row>
    <row r="2736">
      <c r="A2736" s="41" t="n"/>
      <c r="B2736" s="41" t="n"/>
      <c r="C2736" s="41" t="n"/>
      <c r="D2736" s="41" t="n"/>
      <c r="E2736" s="46" t="n"/>
      <c r="F2736" s="41" t="n"/>
      <c r="G2736" s="41" t="n"/>
      <c r="H2736" s="41" t="n"/>
      <c r="I2736" s="41" t="n"/>
      <c r="J2736" s="47" t="n"/>
      <c r="K2736" s="41" t="n"/>
      <c r="L2736" s="48" t="n"/>
      <c r="M2736" s="45" t="n"/>
      <c r="N2736" s="39">
        <f>IF($B2736="","",IF(SUMPRODUCT((LISTAS!$O$3:$O$42&lt;&gt;"")*ISNUMBER(SEARCH(LISTAS!$O$3:$O$42,$I2736&amp;" "&amp;$K2736)))&gt;0,"CERCANA","NACIONAL"))</f>
        <v/>
      </c>
      <c r="O2736" s="39">
        <f>IF($B2736="","",IF(COUNTIFS(NOVEDADES!$C$4:$C$2003,$B2736)=0,"—","SÍ ("&amp;COUNTIFS(NOVEDADES!$C$4:$C$2003,$B2736)&amp;")"))</f>
        <v/>
      </c>
    </row>
    <row r="2737">
      <c r="A2737" s="41" t="n"/>
      <c r="B2737" s="41" t="n"/>
      <c r="C2737" s="41" t="n"/>
      <c r="D2737" s="41" t="n"/>
      <c r="E2737" s="46" t="n"/>
      <c r="F2737" s="41" t="n"/>
      <c r="G2737" s="41" t="n"/>
      <c r="H2737" s="41" t="n"/>
      <c r="I2737" s="41" t="n"/>
      <c r="J2737" s="47" t="n"/>
      <c r="K2737" s="41" t="n"/>
      <c r="L2737" s="48" t="n"/>
      <c r="M2737" s="45" t="n"/>
      <c r="N2737" s="39">
        <f>IF($B2737="","",IF(SUMPRODUCT((LISTAS!$O$3:$O$42&lt;&gt;"")*ISNUMBER(SEARCH(LISTAS!$O$3:$O$42,$I2737&amp;" "&amp;$K2737)))&gt;0,"CERCANA","NACIONAL"))</f>
        <v/>
      </c>
      <c r="O2737" s="39">
        <f>IF($B2737="","",IF(COUNTIFS(NOVEDADES!$C$4:$C$2003,$B2737)=0,"—","SÍ ("&amp;COUNTIFS(NOVEDADES!$C$4:$C$2003,$B2737)&amp;")"))</f>
        <v/>
      </c>
    </row>
    <row r="2738">
      <c r="A2738" s="41" t="n"/>
      <c r="B2738" s="41" t="n"/>
      <c r="C2738" s="41" t="n"/>
      <c r="D2738" s="41" t="n"/>
      <c r="E2738" s="46" t="n"/>
      <c r="F2738" s="41" t="n"/>
      <c r="G2738" s="41" t="n"/>
      <c r="H2738" s="41" t="n"/>
      <c r="I2738" s="41" t="n"/>
      <c r="J2738" s="47" t="n"/>
      <c r="K2738" s="41" t="n"/>
      <c r="L2738" s="48" t="n"/>
      <c r="M2738" s="45" t="n"/>
      <c r="N2738" s="39">
        <f>IF($B2738="","",IF(SUMPRODUCT((LISTAS!$O$3:$O$42&lt;&gt;"")*ISNUMBER(SEARCH(LISTAS!$O$3:$O$42,$I2738&amp;" "&amp;$K2738)))&gt;0,"CERCANA","NACIONAL"))</f>
        <v/>
      </c>
      <c r="O2738" s="39">
        <f>IF($B2738="","",IF(COUNTIFS(NOVEDADES!$C$4:$C$2003,$B2738)=0,"—","SÍ ("&amp;COUNTIFS(NOVEDADES!$C$4:$C$2003,$B2738)&amp;")"))</f>
        <v/>
      </c>
    </row>
    <row r="2739">
      <c r="A2739" s="41" t="n"/>
      <c r="B2739" s="41" t="n"/>
      <c r="C2739" s="41" t="n"/>
      <c r="D2739" s="41" t="n"/>
      <c r="E2739" s="46" t="n"/>
      <c r="F2739" s="41" t="n"/>
      <c r="G2739" s="41" t="n"/>
      <c r="H2739" s="41" t="n"/>
      <c r="I2739" s="41" t="n"/>
      <c r="J2739" s="47" t="n"/>
      <c r="K2739" s="41" t="n"/>
      <c r="L2739" s="48" t="n"/>
      <c r="M2739" s="45" t="n"/>
      <c r="N2739" s="39">
        <f>IF($B2739="","",IF(SUMPRODUCT((LISTAS!$O$3:$O$42&lt;&gt;"")*ISNUMBER(SEARCH(LISTAS!$O$3:$O$42,$I2739&amp;" "&amp;$K2739)))&gt;0,"CERCANA","NACIONAL"))</f>
        <v/>
      </c>
      <c r="O2739" s="39">
        <f>IF($B2739="","",IF(COUNTIFS(NOVEDADES!$C$4:$C$2003,$B2739)=0,"—","SÍ ("&amp;COUNTIFS(NOVEDADES!$C$4:$C$2003,$B2739)&amp;")"))</f>
        <v/>
      </c>
    </row>
    <row r="2740">
      <c r="A2740" s="41" t="n"/>
      <c r="B2740" s="41" t="n"/>
      <c r="C2740" s="41" t="n"/>
      <c r="D2740" s="41" t="n"/>
      <c r="E2740" s="46" t="n"/>
      <c r="F2740" s="41" t="n"/>
      <c r="G2740" s="41" t="n"/>
      <c r="H2740" s="41" t="n"/>
      <c r="I2740" s="41" t="n"/>
      <c r="J2740" s="47" t="n"/>
      <c r="K2740" s="41" t="n"/>
      <c r="L2740" s="48" t="n"/>
      <c r="M2740" s="45" t="n"/>
      <c r="N2740" s="39">
        <f>IF($B2740="","",IF(SUMPRODUCT((LISTAS!$O$3:$O$42&lt;&gt;"")*ISNUMBER(SEARCH(LISTAS!$O$3:$O$42,$I2740&amp;" "&amp;$K2740)))&gt;0,"CERCANA","NACIONAL"))</f>
        <v/>
      </c>
      <c r="O2740" s="39">
        <f>IF($B2740="","",IF(COUNTIFS(NOVEDADES!$C$4:$C$2003,$B2740)=0,"—","SÍ ("&amp;COUNTIFS(NOVEDADES!$C$4:$C$2003,$B2740)&amp;")"))</f>
        <v/>
      </c>
    </row>
    <row r="2741">
      <c r="A2741" s="41" t="n"/>
      <c r="B2741" s="41" t="n"/>
      <c r="C2741" s="41" t="n"/>
      <c r="D2741" s="41" t="n"/>
      <c r="E2741" s="46" t="n"/>
      <c r="F2741" s="41" t="n"/>
      <c r="G2741" s="41" t="n"/>
      <c r="H2741" s="41" t="n"/>
      <c r="I2741" s="41" t="n"/>
      <c r="J2741" s="47" t="n"/>
      <c r="K2741" s="41" t="n"/>
      <c r="L2741" s="48" t="n"/>
      <c r="M2741" s="45" t="n"/>
      <c r="N2741" s="39">
        <f>IF($B2741="","",IF(SUMPRODUCT((LISTAS!$O$3:$O$42&lt;&gt;"")*ISNUMBER(SEARCH(LISTAS!$O$3:$O$42,$I2741&amp;" "&amp;$K2741)))&gt;0,"CERCANA","NACIONAL"))</f>
        <v/>
      </c>
      <c r="O2741" s="39">
        <f>IF($B2741="","",IF(COUNTIFS(NOVEDADES!$C$4:$C$2003,$B2741)=0,"—","SÍ ("&amp;COUNTIFS(NOVEDADES!$C$4:$C$2003,$B2741)&amp;")"))</f>
        <v/>
      </c>
    </row>
    <row r="2742">
      <c r="A2742" s="41" t="n"/>
      <c r="B2742" s="41" t="n"/>
      <c r="C2742" s="41" t="n"/>
      <c r="D2742" s="41" t="n"/>
      <c r="E2742" s="46" t="n"/>
      <c r="F2742" s="41" t="n"/>
      <c r="G2742" s="41" t="n"/>
      <c r="H2742" s="41" t="n"/>
      <c r="I2742" s="41" t="n"/>
      <c r="J2742" s="47" t="n"/>
      <c r="K2742" s="41" t="n"/>
      <c r="L2742" s="48" t="n"/>
      <c r="M2742" s="45" t="n"/>
      <c r="N2742" s="39">
        <f>IF($B2742="","",IF(SUMPRODUCT((LISTAS!$O$3:$O$42&lt;&gt;"")*ISNUMBER(SEARCH(LISTAS!$O$3:$O$42,$I2742&amp;" "&amp;$K2742)))&gt;0,"CERCANA","NACIONAL"))</f>
        <v/>
      </c>
      <c r="O2742" s="39">
        <f>IF($B2742="","",IF(COUNTIFS(NOVEDADES!$C$4:$C$2003,$B2742)=0,"—","SÍ ("&amp;COUNTIFS(NOVEDADES!$C$4:$C$2003,$B2742)&amp;")"))</f>
        <v/>
      </c>
    </row>
    <row r="2743">
      <c r="A2743" s="41" t="n"/>
      <c r="B2743" s="41" t="n"/>
      <c r="C2743" s="41" t="n"/>
      <c r="D2743" s="41" t="n"/>
      <c r="E2743" s="46" t="n"/>
      <c r="F2743" s="41" t="n"/>
      <c r="G2743" s="41" t="n"/>
      <c r="H2743" s="41" t="n"/>
      <c r="I2743" s="41" t="n"/>
      <c r="J2743" s="47" t="n"/>
      <c r="K2743" s="41" t="n"/>
      <c r="L2743" s="48" t="n"/>
      <c r="M2743" s="45" t="n"/>
      <c r="N2743" s="39">
        <f>IF($B2743="","",IF(SUMPRODUCT((LISTAS!$O$3:$O$42&lt;&gt;"")*ISNUMBER(SEARCH(LISTAS!$O$3:$O$42,$I2743&amp;" "&amp;$K2743)))&gt;0,"CERCANA","NACIONAL"))</f>
        <v/>
      </c>
      <c r="O2743" s="39">
        <f>IF($B2743="","",IF(COUNTIFS(NOVEDADES!$C$4:$C$2003,$B2743)=0,"—","SÍ ("&amp;COUNTIFS(NOVEDADES!$C$4:$C$2003,$B2743)&amp;")"))</f>
        <v/>
      </c>
    </row>
    <row r="2744">
      <c r="A2744" s="41" t="n"/>
      <c r="B2744" s="41" t="n"/>
      <c r="C2744" s="41" t="n"/>
      <c r="D2744" s="41" t="n"/>
      <c r="E2744" s="46" t="n"/>
      <c r="F2744" s="41" t="n"/>
      <c r="G2744" s="41" t="n"/>
      <c r="H2744" s="41" t="n"/>
      <c r="I2744" s="41" t="n"/>
      <c r="J2744" s="47" t="n"/>
      <c r="K2744" s="41" t="n"/>
      <c r="L2744" s="48" t="n"/>
      <c r="M2744" s="45" t="n"/>
      <c r="N2744" s="39">
        <f>IF($B2744="","",IF(SUMPRODUCT((LISTAS!$O$3:$O$42&lt;&gt;"")*ISNUMBER(SEARCH(LISTAS!$O$3:$O$42,$I2744&amp;" "&amp;$K2744)))&gt;0,"CERCANA","NACIONAL"))</f>
        <v/>
      </c>
      <c r="O2744" s="39">
        <f>IF($B2744="","",IF(COUNTIFS(NOVEDADES!$C$4:$C$2003,$B2744)=0,"—","SÍ ("&amp;COUNTIFS(NOVEDADES!$C$4:$C$2003,$B2744)&amp;")"))</f>
        <v/>
      </c>
    </row>
    <row r="2745">
      <c r="A2745" s="41" t="n"/>
      <c r="B2745" s="41" t="n"/>
      <c r="C2745" s="41" t="n"/>
      <c r="D2745" s="41" t="n"/>
      <c r="E2745" s="46" t="n"/>
      <c r="F2745" s="41" t="n"/>
      <c r="G2745" s="41" t="n"/>
      <c r="H2745" s="41" t="n"/>
      <c r="I2745" s="41" t="n"/>
      <c r="J2745" s="47" t="n"/>
      <c r="K2745" s="41" t="n"/>
      <c r="L2745" s="48" t="n"/>
      <c r="M2745" s="45" t="n"/>
      <c r="N2745" s="39">
        <f>IF($B2745="","",IF(SUMPRODUCT((LISTAS!$O$3:$O$42&lt;&gt;"")*ISNUMBER(SEARCH(LISTAS!$O$3:$O$42,$I2745&amp;" "&amp;$K2745)))&gt;0,"CERCANA","NACIONAL"))</f>
        <v/>
      </c>
      <c r="O2745" s="39">
        <f>IF($B2745="","",IF(COUNTIFS(NOVEDADES!$C$4:$C$2003,$B2745)=0,"—","SÍ ("&amp;COUNTIFS(NOVEDADES!$C$4:$C$2003,$B2745)&amp;")"))</f>
        <v/>
      </c>
    </row>
    <row r="2746">
      <c r="A2746" s="41" t="n"/>
      <c r="B2746" s="41" t="n"/>
      <c r="C2746" s="41" t="n"/>
      <c r="D2746" s="41" t="n"/>
      <c r="E2746" s="46" t="n"/>
      <c r="F2746" s="41" t="n"/>
      <c r="G2746" s="41" t="n"/>
      <c r="H2746" s="41" t="n"/>
      <c r="I2746" s="41" t="n"/>
      <c r="J2746" s="47" t="n"/>
      <c r="K2746" s="41" t="n"/>
      <c r="L2746" s="48" t="n"/>
      <c r="M2746" s="45" t="n"/>
      <c r="N2746" s="39">
        <f>IF($B2746="","",IF(SUMPRODUCT((LISTAS!$O$3:$O$42&lt;&gt;"")*ISNUMBER(SEARCH(LISTAS!$O$3:$O$42,$I2746&amp;" "&amp;$K2746)))&gt;0,"CERCANA","NACIONAL"))</f>
        <v/>
      </c>
      <c r="O2746" s="39">
        <f>IF($B2746="","",IF(COUNTIFS(NOVEDADES!$C$4:$C$2003,$B2746)=0,"—","SÍ ("&amp;COUNTIFS(NOVEDADES!$C$4:$C$2003,$B2746)&amp;")"))</f>
        <v/>
      </c>
    </row>
    <row r="2747">
      <c r="A2747" s="41" t="n"/>
      <c r="B2747" s="41" t="n"/>
      <c r="C2747" s="41" t="n"/>
      <c r="D2747" s="41" t="n"/>
      <c r="E2747" s="46" t="n"/>
      <c r="F2747" s="41" t="n"/>
      <c r="G2747" s="41" t="n"/>
      <c r="H2747" s="41" t="n"/>
      <c r="I2747" s="41" t="n"/>
      <c r="J2747" s="47" t="n"/>
      <c r="K2747" s="41" t="n"/>
      <c r="L2747" s="48" t="n"/>
      <c r="M2747" s="45" t="n"/>
      <c r="N2747" s="39">
        <f>IF($B2747="","",IF(SUMPRODUCT((LISTAS!$O$3:$O$42&lt;&gt;"")*ISNUMBER(SEARCH(LISTAS!$O$3:$O$42,$I2747&amp;" "&amp;$K2747)))&gt;0,"CERCANA","NACIONAL"))</f>
        <v/>
      </c>
      <c r="O2747" s="39">
        <f>IF($B2747="","",IF(COUNTIFS(NOVEDADES!$C$4:$C$2003,$B2747)=0,"—","SÍ ("&amp;COUNTIFS(NOVEDADES!$C$4:$C$2003,$B2747)&amp;")"))</f>
        <v/>
      </c>
    </row>
    <row r="2748">
      <c r="A2748" s="41" t="n"/>
      <c r="B2748" s="41" t="n"/>
      <c r="C2748" s="41" t="n"/>
      <c r="D2748" s="41" t="n"/>
      <c r="E2748" s="46" t="n"/>
      <c r="F2748" s="41" t="n"/>
      <c r="G2748" s="41" t="n"/>
      <c r="H2748" s="41" t="n"/>
      <c r="I2748" s="41" t="n"/>
      <c r="J2748" s="47" t="n"/>
      <c r="K2748" s="41" t="n"/>
      <c r="L2748" s="48" t="n"/>
      <c r="M2748" s="45" t="n"/>
      <c r="N2748" s="39">
        <f>IF($B2748="","",IF(SUMPRODUCT((LISTAS!$O$3:$O$42&lt;&gt;"")*ISNUMBER(SEARCH(LISTAS!$O$3:$O$42,$I2748&amp;" "&amp;$K2748)))&gt;0,"CERCANA","NACIONAL"))</f>
        <v/>
      </c>
      <c r="O2748" s="39">
        <f>IF($B2748="","",IF(COUNTIFS(NOVEDADES!$C$4:$C$2003,$B2748)=0,"—","SÍ ("&amp;COUNTIFS(NOVEDADES!$C$4:$C$2003,$B2748)&amp;")"))</f>
        <v/>
      </c>
    </row>
    <row r="2749">
      <c r="A2749" s="41" t="n"/>
      <c r="B2749" s="41" t="n"/>
      <c r="C2749" s="41" t="n"/>
      <c r="D2749" s="41" t="n"/>
      <c r="E2749" s="46" t="n"/>
      <c r="F2749" s="41" t="n"/>
      <c r="G2749" s="41" t="n"/>
      <c r="H2749" s="41" t="n"/>
      <c r="I2749" s="41" t="n"/>
      <c r="J2749" s="47" t="n"/>
      <c r="K2749" s="41" t="n"/>
      <c r="L2749" s="48" t="n"/>
      <c r="M2749" s="45" t="n"/>
      <c r="N2749" s="39">
        <f>IF($B2749="","",IF(SUMPRODUCT((LISTAS!$O$3:$O$42&lt;&gt;"")*ISNUMBER(SEARCH(LISTAS!$O$3:$O$42,$I2749&amp;" "&amp;$K2749)))&gt;0,"CERCANA","NACIONAL"))</f>
        <v/>
      </c>
      <c r="O2749" s="39">
        <f>IF($B2749="","",IF(COUNTIFS(NOVEDADES!$C$4:$C$2003,$B2749)=0,"—","SÍ ("&amp;COUNTIFS(NOVEDADES!$C$4:$C$2003,$B2749)&amp;")"))</f>
        <v/>
      </c>
    </row>
    <row r="2750">
      <c r="A2750" s="41" t="n"/>
      <c r="B2750" s="41" t="n"/>
      <c r="C2750" s="41" t="n"/>
      <c r="D2750" s="41" t="n"/>
      <c r="E2750" s="46" t="n"/>
      <c r="F2750" s="41" t="n"/>
      <c r="G2750" s="41" t="n"/>
      <c r="H2750" s="41" t="n"/>
      <c r="I2750" s="41" t="n"/>
      <c r="J2750" s="47" t="n"/>
      <c r="K2750" s="41" t="n"/>
      <c r="L2750" s="48" t="n"/>
      <c r="M2750" s="45" t="n"/>
      <c r="N2750" s="39">
        <f>IF($B2750="","",IF(SUMPRODUCT((LISTAS!$O$3:$O$42&lt;&gt;"")*ISNUMBER(SEARCH(LISTAS!$O$3:$O$42,$I2750&amp;" "&amp;$K2750)))&gt;0,"CERCANA","NACIONAL"))</f>
        <v/>
      </c>
      <c r="O2750" s="39">
        <f>IF($B2750="","",IF(COUNTIFS(NOVEDADES!$C$4:$C$2003,$B2750)=0,"—","SÍ ("&amp;COUNTIFS(NOVEDADES!$C$4:$C$2003,$B2750)&amp;")"))</f>
        <v/>
      </c>
    </row>
    <row r="2751">
      <c r="A2751" s="41" t="n"/>
      <c r="B2751" s="41" t="n"/>
      <c r="C2751" s="41" t="n"/>
      <c r="D2751" s="41" t="n"/>
      <c r="E2751" s="46" t="n"/>
      <c r="F2751" s="41" t="n"/>
      <c r="G2751" s="41" t="n"/>
      <c r="H2751" s="41" t="n"/>
      <c r="I2751" s="41" t="n"/>
      <c r="J2751" s="47" t="n"/>
      <c r="K2751" s="41" t="n"/>
      <c r="L2751" s="48" t="n"/>
      <c r="M2751" s="45" t="n"/>
      <c r="N2751" s="39">
        <f>IF($B2751="","",IF(SUMPRODUCT((LISTAS!$O$3:$O$42&lt;&gt;"")*ISNUMBER(SEARCH(LISTAS!$O$3:$O$42,$I2751&amp;" "&amp;$K2751)))&gt;0,"CERCANA","NACIONAL"))</f>
        <v/>
      </c>
      <c r="O2751" s="39">
        <f>IF($B2751="","",IF(COUNTIFS(NOVEDADES!$C$4:$C$2003,$B2751)=0,"—","SÍ ("&amp;COUNTIFS(NOVEDADES!$C$4:$C$2003,$B2751)&amp;")"))</f>
        <v/>
      </c>
    </row>
    <row r="2752">
      <c r="A2752" s="41" t="n"/>
      <c r="B2752" s="41" t="n"/>
      <c r="C2752" s="41" t="n"/>
      <c r="D2752" s="41" t="n"/>
      <c r="E2752" s="46" t="n"/>
      <c r="F2752" s="41" t="n"/>
      <c r="G2752" s="41" t="n"/>
      <c r="H2752" s="41" t="n"/>
      <c r="I2752" s="41" t="n"/>
      <c r="J2752" s="47" t="n"/>
      <c r="K2752" s="41" t="n"/>
      <c r="L2752" s="48" t="n"/>
      <c r="M2752" s="45" t="n"/>
      <c r="N2752" s="39">
        <f>IF($B2752="","",IF(SUMPRODUCT((LISTAS!$O$3:$O$42&lt;&gt;"")*ISNUMBER(SEARCH(LISTAS!$O$3:$O$42,$I2752&amp;" "&amp;$K2752)))&gt;0,"CERCANA","NACIONAL"))</f>
        <v/>
      </c>
      <c r="O2752" s="39">
        <f>IF($B2752="","",IF(COUNTIFS(NOVEDADES!$C$4:$C$2003,$B2752)=0,"—","SÍ ("&amp;COUNTIFS(NOVEDADES!$C$4:$C$2003,$B2752)&amp;")"))</f>
        <v/>
      </c>
    </row>
    <row r="2753">
      <c r="A2753" s="41" t="n"/>
      <c r="B2753" s="41" t="n"/>
      <c r="C2753" s="41" t="n"/>
      <c r="D2753" s="41" t="n"/>
      <c r="E2753" s="46" t="n"/>
      <c r="F2753" s="41" t="n"/>
      <c r="G2753" s="41" t="n"/>
      <c r="H2753" s="41" t="n"/>
      <c r="I2753" s="41" t="n"/>
      <c r="J2753" s="47" t="n"/>
      <c r="K2753" s="41" t="n"/>
      <c r="L2753" s="48" t="n"/>
      <c r="M2753" s="45" t="n"/>
      <c r="N2753" s="39">
        <f>IF($B2753="","",IF(SUMPRODUCT((LISTAS!$O$3:$O$42&lt;&gt;"")*ISNUMBER(SEARCH(LISTAS!$O$3:$O$42,$I2753&amp;" "&amp;$K2753)))&gt;0,"CERCANA","NACIONAL"))</f>
        <v/>
      </c>
      <c r="O2753" s="39">
        <f>IF($B2753="","",IF(COUNTIFS(NOVEDADES!$C$4:$C$2003,$B2753)=0,"—","SÍ ("&amp;COUNTIFS(NOVEDADES!$C$4:$C$2003,$B2753)&amp;")"))</f>
        <v/>
      </c>
    </row>
    <row r="2754">
      <c r="A2754" s="41" t="n"/>
      <c r="B2754" s="41" t="n"/>
      <c r="C2754" s="41" t="n"/>
      <c r="D2754" s="41" t="n"/>
      <c r="E2754" s="46" t="n"/>
      <c r="F2754" s="41" t="n"/>
      <c r="G2754" s="41" t="n"/>
      <c r="H2754" s="41" t="n"/>
      <c r="I2754" s="41" t="n"/>
      <c r="J2754" s="47" t="n"/>
      <c r="K2754" s="41" t="n"/>
      <c r="L2754" s="48" t="n"/>
      <c r="M2754" s="45" t="n"/>
      <c r="N2754" s="39">
        <f>IF($B2754="","",IF(SUMPRODUCT((LISTAS!$O$3:$O$42&lt;&gt;"")*ISNUMBER(SEARCH(LISTAS!$O$3:$O$42,$I2754&amp;" "&amp;$K2754)))&gt;0,"CERCANA","NACIONAL"))</f>
        <v/>
      </c>
      <c r="O2754" s="39">
        <f>IF($B2754="","",IF(COUNTIFS(NOVEDADES!$C$4:$C$2003,$B2754)=0,"—","SÍ ("&amp;COUNTIFS(NOVEDADES!$C$4:$C$2003,$B2754)&amp;")"))</f>
        <v/>
      </c>
    </row>
    <row r="2755">
      <c r="A2755" s="41" t="n"/>
      <c r="B2755" s="41" t="n"/>
      <c r="C2755" s="41" t="n"/>
      <c r="D2755" s="41" t="n"/>
      <c r="E2755" s="46" t="n"/>
      <c r="F2755" s="41" t="n"/>
      <c r="G2755" s="41" t="n"/>
      <c r="H2755" s="41" t="n"/>
      <c r="I2755" s="41" t="n"/>
      <c r="J2755" s="47" t="n"/>
      <c r="K2755" s="41" t="n"/>
      <c r="L2755" s="48" t="n"/>
      <c r="M2755" s="45" t="n"/>
      <c r="N2755" s="39">
        <f>IF($B2755="","",IF(SUMPRODUCT((LISTAS!$O$3:$O$42&lt;&gt;"")*ISNUMBER(SEARCH(LISTAS!$O$3:$O$42,$I2755&amp;" "&amp;$K2755)))&gt;0,"CERCANA","NACIONAL"))</f>
        <v/>
      </c>
      <c r="O2755" s="39">
        <f>IF($B2755="","",IF(COUNTIFS(NOVEDADES!$C$4:$C$2003,$B2755)=0,"—","SÍ ("&amp;COUNTIFS(NOVEDADES!$C$4:$C$2003,$B2755)&amp;")"))</f>
        <v/>
      </c>
    </row>
    <row r="2756">
      <c r="A2756" s="41" t="n"/>
      <c r="B2756" s="41" t="n"/>
      <c r="C2756" s="41" t="n"/>
      <c r="D2756" s="41" t="n"/>
      <c r="E2756" s="46" t="n"/>
      <c r="F2756" s="41" t="n"/>
      <c r="G2756" s="41" t="n"/>
      <c r="H2756" s="41" t="n"/>
      <c r="I2756" s="41" t="n"/>
      <c r="J2756" s="47" t="n"/>
      <c r="K2756" s="41" t="n"/>
      <c r="L2756" s="48" t="n"/>
      <c r="M2756" s="45" t="n"/>
      <c r="N2756" s="39">
        <f>IF($B2756="","",IF(SUMPRODUCT((LISTAS!$O$3:$O$42&lt;&gt;"")*ISNUMBER(SEARCH(LISTAS!$O$3:$O$42,$I2756&amp;" "&amp;$K2756)))&gt;0,"CERCANA","NACIONAL"))</f>
        <v/>
      </c>
      <c r="O2756" s="39">
        <f>IF($B2756="","",IF(COUNTIFS(NOVEDADES!$C$4:$C$2003,$B2756)=0,"—","SÍ ("&amp;COUNTIFS(NOVEDADES!$C$4:$C$2003,$B2756)&amp;")"))</f>
        <v/>
      </c>
    </row>
    <row r="2757">
      <c r="A2757" s="41" t="n"/>
      <c r="B2757" s="41" t="n"/>
      <c r="C2757" s="41" t="n"/>
      <c r="D2757" s="41" t="n"/>
      <c r="E2757" s="46" t="n"/>
      <c r="F2757" s="41" t="n"/>
      <c r="G2757" s="41" t="n"/>
      <c r="H2757" s="41" t="n"/>
      <c r="I2757" s="41" t="n"/>
      <c r="J2757" s="47" t="n"/>
      <c r="K2757" s="41" t="n"/>
      <c r="L2757" s="48" t="n"/>
      <c r="M2757" s="45" t="n"/>
      <c r="N2757" s="39">
        <f>IF($B2757="","",IF(SUMPRODUCT((LISTAS!$O$3:$O$42&lt;&gt;"")*ISNUMBER(SEARCH(LISTAS!$O$3:$O$42,$I2757&amp;" "&amp;$K2757)))&gt;0,"CERCANA","NACIONAL"))</f>
        <v/>
      </c>
      <c r="O2757" s="39">
        <f>IF($B2757="","",IF(COUNTIFS(NOVEDADES!$C$4:$C$2003,$B2757)=0,"—","SÍ ("&amp;COUNTIFS(NOVEDADES!$C$4:$C$2003,$B2757)&amp;")"))</f>
        <v/>
      </c>
    </row>
    <row r="2758">
      <c r="A2758" s="41" t="n"/>
      <c r="B2758" s="41" t="n"/>
      <c r="C2758" s="41" t="n"/>
      <c r="D2758" s="41" t="n"/>
      <c r="E2758" s="46" t="n"/>
      <c r="F2758" s="41" t="n"/>
      <c r="G2758" s="41" t="n"/>
      <c r="H2758" s="41" t="n"/>
      <c r="I2758" s="41" t="n"/>
      <c r="J2758" s="47" t="n"/>
      <c r="K2758" s="41" t="n"/>
      <c r="L2758" s="48" t="n"/>
      <c r="M2758" s="45" t="n"/>
      <c r="N2758" s="39">
        <f>IF($B2758="","",IF(SUMPRODUCT((LISTAS!$O$3:$O$42&lt;&gt;"")*ISNUMBER(SEARCH(LISTAS!$O$3:$O$42,$I2758&amp;" "&amp;$K2758)))&gt;0,"CERCANA","NACIONAL"))</f>
        <v/>
      </c>
      <c r="O2758" s="39">
        <f>IF($B2758="","",IF(COUNTIFS(NOVEDADES!$C$4:$C$2003,$B2758)=0,"—","SÍ ("&amp;COUNTIFS(NOVEDADES!$C$4:$C$2003,$B2758)&amp;")"))</f>
        <v/>
      </c>
    </row>
    <row r="2759">
      <c r="A2759" s="41" t="n"/>
      <c r="B2759" s="41" t="n"/>
      <c r="C2759" s="41" t="n"/>
      <c r="D2759" s="41" t="n"/>
      <c r="E2759" s="46" t="n"/>
      <c r="F2759" s="41" t="n"/>
      <c r="G2759" s="41" t="n"/>
      <c r="H2759" s="41" t="n"/>
      <c r="I2759" s="41" t="n"/>
      <c r="J2759" s="47" t="n"/>
      <c r="K2759" s="41" t="n"/>
      <c r="L2759" s="48" t="n"/>
      <c r="M2759" s="45" t="n"/>
      <c r="N2759" s="39">
        <f>IF($B2759="","",IF(SUMPRODUCT((LISTAS!$O$3:$O$42&lt;&gt;"")*ISNUMBER(SEARCH(LISTAS!$O$3:$O$42,$I2759&amp;" "&amp;$K2759)))&gt;0,"CERCANA","NACIONAL"))</f>
        <v/>
      </c>
      <c r="O2759" s="39">
        <f>IF($B2759="","",IF(COUNTIFS(NOVEDADES!$C$4:$C$2003,$B2759)=0,"—","SÍ ("&amp;COUNTIFS(NOVEDADES!$C$4:$C$2003,$B2759)&amp;")"))</f>
        <v/>
      </c>
    </row>
    <row r="2760">
      <c r="A2760" s="41" t="n"/>
      <c r="B2760" s="41" t="n"/>
      <c r="C2760" s="41" t="n"/>
      <c r="D2760" s="41" t="n"/>
      <c r="E2760" s="46" t="n"/>
      <c r="F2760" s="41" t="n"/>
      <c r="G2760" s="41" t="n"/>
      <c r="H2760" s="41" t="n"/>
      <c r="I2760" s="41" t="n"/>
      <c r="J2760" s="47" t="n"/>
      <c r="K2760" s="41" t="n"/>
      <c r="L2760" s="48" t="n"/>
      <c r="M2760" s="45" t="n"/>
      <c r="N2760" s="39">
        <f>IF($B2760="","",IF(SUMPRODUCT((LISTAS!$O$3:$O$42&lt;&gt;"")*ISNUMBER(SEARCH(LISTAS!$O$3:$O$42,$I2760&amp;" "&amp;$K2760)))&gt;0,"CERCANA","NACIONAL"))</f>
        <v/>
      </c>
      <c r="O2760" s="39">
        <f>IF($B2760="","",IF(COUNTIFS(NOVEDADES!$C$4:$C$2003,$B2760)=0,"—","SÍ ("&amp;COUNTIFS(NOVEDADES!$C$4:$C$2003,$B2760)&amp;")"))</f>
        <v/>
      </c>
    </row>
    <row r="2761">
      <c r="A2761" s="41" t="n"/>
      <c r="B2761" s="41" t="n"/>
      <c r="C2761" s="41" t="n"/>
      <c r="D2761" s="41" t="n"/>
      <c r="E2761" s="46" t="n"/>
      <c r="F2761" s="41" t="n"/>
      <c r="G2761" s="41" t="n"/>
      <c r="H2761" s="41" t="n"/>
      <c r="I2761" s="41" t="n"/>
      <c r="J2761" s="47" t="n"/>
      <c r="K2761" s="41" t="n"/>
      <c r="L2761" s="48" t="n"/>
      <c r="M2761" s="45" t="n"/>
      <c r="N2761" s="39">
        <f>IF($B2761="","",IF(SUMPRODUCT((LISTAS!$O$3:$O$42&lt;&gt;"")*ISNUMBER(SEARCH(LISTAS!$O$3:$O$42,$I2761&amp;" "&amp;$K2761)))&gt;0,"CERCANA","NACIONAL"))</f>
        <v/>
      </c>
      <c r="O2761" s="39">
        <f>IF($B2761="","",IF(COUNTIFS(NOVEDADES!$C$4:$C$2003,$B2761)=0,"—","SÍ ("&amp;COUNTIFS(NOVEDADES!$C$4:$C$2003,$B2761)&amp;")"))</f>
        <v/>
      </c>
    </row>
    <row r="2762">
      <c r="A2762" s="41" t="n"/>
      <c r="B2762" s="41" t="n"/>
      <c r="C2762" s="41" t="n"/>
      <c r="D2762" s="41" t="n"/>
      <c r="E2762" s="46" t="n"/>
      <c r="F2762" s="41" t="n"/>
      <c r="G2762" s="41" t="n"/>
      <c r="H2762" s="41" t="n"/>
      <c r="I2762" s="41" t="n"/>
      <c r="J2762" s="47" t="n"/>
      <c r="K2762" s="41" t="n"/>
      <c r="L2762" s="48" t="n"/>
      <c r="M2762" s="45" t="n"/>
      <c r="N2762" s="39">
        <f>IF($B2762="","",IF(SUMPRODUCT((LISTAS!$O$3:$O$42&lt;&gt;"")*ISNUMBER(SEARCH(LISTAS!$O$3:$O$42,$I2762&amp;" "&amp;$K2762)))&gt;0,"CERCANA","NACIONAL"))</f>
        <v/>
      </c>
      <c r="O2762" s="39">
        <f>IF($B2762="","",IF(COUNTIFS(NOVEDADES!$C$4:$C$2003,$B2762)=0,"—","SÍ ("&amp;COUNTIFS(NOVEDADES!$C$4:$C$2003,$B2762)&amp;")"))</f>
        <v/>
      </c>
    </row>
    <row r="2763">
      <c r="A2763" s="41" t="n"/>
      <c r="B2763" s="41" t="n"/>
      <c r="C2763" s="41" t="n"/>
      <c r="D2763" s="41" t="n"/>
      <c r="E2763" s="46" t="n"/>
      <c r="F2763" s="41" t="n"/>
      <c r="G2763" s="41" t="n"/>
      <c r="H2763" s="41" t="n"/>
      <c r="I2763" s="41" t="n"/>
      <c r="J2763" s="47" t="n"/>
      <c r="K2763" s="41" t="n"/>
      <c r="L2763" s="48" t="n"/>
      <c r="M2763" s="45" t="n"/>
      <c r="N2763" s="39">
        <f>IF($B2763="","",IF(SUMPRODUCT((LISTAS!$O$3:$O$42&lt;&gt;"")*ISNUMBER(SEARCH(LISTAS!$O$3:$O$42,$I2763&amp;" "&amp;$K2763)))&gt;0,"CERCANA","NACIONAL"))</f>
        <v/>
      </c>
      <c r="O2763" s="39">
        <f>IF($B2763="","",IF(COUNTIFS(NOVEDADES!$C$4:$C$2003,$B2763)=0,"—","SÍ ("&amp;COUNTIFS(NOVEDADES!$C$4:$C$2003,$B2763)&amp;")"))</f>
        <v/>
      </c>
    </row>
    <row r="2764">
      <c r="A2764" s="41" t="n"/>
      <c r="B2764" s="41" t="n"/>
      <c r="C2764" s="41" t="n"/>
      <c r="D2764" s="41" t="n"/>
      <c r="E2764" s="46" t="n"/>
      <c r="F2764" s="41" t="n"/>
      <c r="G2764" s="41" t="n"/>
      <c r="H2764" s="41" t="n"/>
      <c r="I2764" s="41" t="n"/>
      <c r="J2764" s="47" t="n"/>
      <c r="K2764" s="41" t="n"/>
      <c r="L2764" s="48" t="n"/>
      <c r="M2764" s="45" t="n"/>
      <c r="N2764" s="39">
        <f>IF($B2764="","",IF(SUMPRODUCT((LISTAS!$O$3:$O$42&lt;&gt;"")*ISNUMBER(SEARCH(LISTAS!$O$3:$O$42,$I2764&amp;" "&amp;$K2764)))&gt;0,"CERCANA","NACIONAL"))</f>
        <v/>
      </c>
      <c r="O2764" s="39">
        <f>IF($B2764="","",IF(COUNTIFS(NOVEDADES!$C$4:$C$2003,$B2764)=0,"—","SÍ ("&amp;COUNTIFS(NOVEDADES!$C$4:$C$2003,$B2764)&amp;")"))</f>
        <v/>
      </c>
    </row>
    <row r="2765">
      <c r="A2765" s="41" t="n"/>
      <c r="B2765" s="41" t="n"/>
      <c r="C2765" s="41" t="n"/>
      <c r="D2765" s="41" t="n"/>
      <c r="E2765" s="46" t="n"/>
      <c r="F2765" s="41" t="n"/>
      <c r="G2765" s="41" t="n"/>
      <c r="H2765" s="41" t="n"/>
      <c r="I2765" s="41" t="n"/>
      <c r="J2765" s="47" t="n"/>
      <c r="K2765" s="41" t="n"/>
      <c r="L2765" s="48" t="n"/>
      <c r="M2765" s="45" t="n"/>
      <c r="N2765" s="39">
        <f>IF($B2765="","",IF(SUMPRODUCT((LISTAS!$O$3:$O$42&lt;&gt;"")*ISNUMBER(SEARCH(LISTAS!$O$3:$O$42,$I2765&amp;" "&amp;$K2765)))&gt;0,"CERCANA","NACIONAL"))</f>
        <v/>
      </c>
      <c r="O2765" s="39">
        <f>IF($B2765="","",IF(COUNTIFS(NOVEDADES!$C$4:$C$2003,$B2765)=0,"—","SÍ ("&amp;COUNTIFS(NOVEDADES!$C$4:$C$2003,$B2765)&amp;")"))</f>
        <v/>
      </c>
    </row>
    <row r="2766">
      <c r="A2766" s="41" t="n"/>
      <c r="B2766" s="41" t="n"/>
      <c r="C2766" s="41" t="n"/>
      <c r="D2766" s="41" t="n"/>
      <c r="E2766" s="46" t="n"/>
      <c r="F2766" s="41" t="n"/>
      <c r="G2766" s="41" t="n"/>
      <c r="H2766" s="41" t="n"/>
      <c r="I2766" s="41" t="n"/>
      <c r="J2766" s="47" t="n"/>
      <c r="K2766" s="41" t="n"/>
      <c r="L2766" s="48" t="n"/>
      <c r="M2766" s="45" t="n"/>
      <c r="N2766" s="39">
        <f>IF($B2766="","",IF(SUMPRODUCT((LISTAS!$O$3:$O$42&lt;&gt;"")*ISNUMBER(SEARCH(LISTAS!$O$3:$O$42,$I2766&amp;" "&amp;$K2766)))&gt;0,"CERCANA","NACIONAL"))</f>
        <v/>
      </c>
      <c r="O2766" s="39">
        <f>IF($B2766="","",IF(COUNTIFS(NOVEDADES!$C$4:$C$2003,$B2766)=0,"—","SÍ ("&amp;COUNTIFS(NOVEDADES!$C$4:$C$2003,$B2766)&amp;")"))</f>
        <v/>
      </c>
    </row>
    <row r="2767">
      <c r="A2767" s="41" t="n"/>
      <c r="B2767" s="41" t="n"/>
      <c r="C2767" s="41" t="n"/>
      <c r="D2767" s="41" t="n"/>
      <c r="E2767" s="46" t="n"/>
      <c r="F2767" s="41" t="n"/>
      <c r="G2767" s="41" t="n"/>
      <c r="H2767" s="41" t="n"/>
      <c r="I2767" s="41" t="n"/>
      <c r="J2767" s="47" t="n"/>
      <c r="K2767" s="41" t="n"/>
      <c r="L2767" s="48" t="n"/>
      <c r="M2767" s="45" t="n"/>
      <c r="N2767" s="39">
        <f>IF($B2767="","",IF(SUMPRODUCT((LISTAS!$O$3:$O$42&lt;&gt;"")*ISNUMBER(SEARCH(LISTAS!$O$3:$O$42,$I2767&amp;" "&amp;$K2767)))&gt;0,"CERCANA","NACIONAL"))</f>
        <v/>
      </c>
      <c r="O2767" s="39">
        <f>IF($B2767="","",IF(COUNTIFS(NOVEDADES!$C$4:$C$2003,$B2767)=0,"—","SÍ ("&amp;COUNTIFS(NOVEDADES!$C$4:$C$2003,$B2767)&amp;")"))</f>
        <v/>
      </c>
    </row>
    <row r="2768">
      <c r="A2768" s="41" t="n"/>
      <c r="B2768" s="41" t="n"/>
      <c r="C2768" s="41" t="n"/>
      <c r="D2768" s="41" t="n"/>
      <c r="E2768" s="46" t="n"/>
      <c r="F2768" s="41" t="n"/>
      <c r="G2768" s="41" t="n"/>
      <c r="H2768" s="41" t="n"/>
      <c r="I2768" s="41" t="n"/>
      <c r="J2768" s="47" t="n"/>
      <c r="K2768" s="41" t="n"/>
      <c r="L2768" s="48" t="n"/>
      <c r="M2768" s="45" t="n"/>
      <c r="N2768" s="39">
        <f>IF($B2768="","",IF(SUMPRODUCT((LISTAS!$O$3:$O$42&lt;&gt;"")*ISNUMBER(SEARCH(LISTAS!$O$3:$O$42,$I2768&amp;" "&amp;$K2768)))&gt;0,"CERCANA","NACIONAL"))</f>
        <v/>
      </c>
      <c r="O2768" s="39">
        <f>IF($B2768="","",IF(COUNTIFS(NOVEDADES!$C$4:$C$2003,$B2768)=0,"—","SÍ ("&amp;COUNTIFS(NOVEDADES!$C$4:$C$2003,$B2768)&amp;")"))</f>
        <v/>
      </c>
    </row>
    <row r="2769">
      <c r="A2769" s="41" t="n"/>
      <c r="B2769" s="41" t="n"/>
      <c r="C2769" s="41" t="n"/>
      <c r="D2769" s="41" t="n"/>
      <c r="E2769" s="46" t="n"/>
      <c r="F2769" s="41" t="n"/>
      <c r="G2769" s="41" t="n"/>
      <c r="H2769" s="41" t="n"/>
      <c r="I2769" s="41" t="n"/>
      <c r="J2769" s="47" t="n"/>
      <c r="K2769" s="41" t="n"/>
      <c r="L2769" s="48" t="n"/>
      <c r="M2769" s="45" t="n"/>
      <c r="N2769" s="39">
        <f>IF($B2769="","",IF(SUMPRODUCT((LISTAS!$O$3:$O$42&lt;&gt;"")*ISNUMBER(SEARCH(LISTAS!$O$3:$O$42,$I2769&amp;" "&amp;$K2769)))&gt;0,"CERCANA","NACIONAL"))</f>
        <v/>
      </c>
      <c r="O2769" s="39">
        <f>IF($B2769="","",IF(COUNTIFS(NOVEDADES!$C$4:$C$2003,$B2769)=0,"—","SÍ ("&amp;COUNTIFS(NOVEDADES!$C$4:$C$2003,$B2769)&amp;")"))</f>
        <v/>
      </c>
    </row>
    <row r="2770">
      <c r="A2770" s="41" t="n"/>
      <c r="B2770" s="41" t="n"/>
      <c r="C2770" s="41" t="n"/>
      <c r="D2770" s="41" t="n"/>
      <c r="E2770" s="46" t="n"/>
      <c r="F2770" s="41" t="n"/>
      <c r="G2770" s="41" t="n"/>
      <c r="H2770" s="41" t="n"/>
      <c r="I2770" s="41" t="n"/>
      <c r="J2770" s="47" t="n"/>
      <c r="K2770" s="41" t="n"/>
      <c r="L2770" s="48" t="n"/>
      <c r="M2770" s="45" t="n"/>
      <c r="N2770" s="39">
        <f>IF($B2770="","",IF(SUMPRODUCT((LISTAS!$O$3:$O$42&lt;&gt;"")*ISNUMBER(SEARCH(LISTAS!$O$3:$O$42,$I2770&amp;" "&amp;$K2770)))&gt;0,"CERCANA","NACIONAL"))</f>
        <v/>
      </c>
      <c r="O2770" s="39">
        <f>IF($B2770="","",IF(COUNTIFS(NOVEDADES!$C$4:$C$2003,$B2770)=0,"—","SÍ ("&amp;COUNTIFS(NOVEDADES!$C$4:$C$2003,$B2770)&amp;")"))</f>
        <v/>
      </c>
    </row>
    <row r="2771">
      <c r="A2771" s="41" t="n"/>
      <c r="B2771" s="41" t="n"/>
      <c r="C2771" s="41" t="n"/>
      <c r="D2771" s="41" t="n"/>
      <c r="E2771" s="46" t="n"/>
      <c r="F2771" s="41" t="n"/>
      <c r="G2771" s="41" t="n"/>
      <c r="H2771" s="41" t="n"/>
      <c r="I2771" s="41" t="n"/>
      <c r="J2771" s="47" t="n"/>
      <c r="K2771" s="41" t="n"/>
      <c r="L2771" s="48" t="n"/>
      <c r="M2771" s="45" t="n"/>
      <c r="N2771" s="39">
        <f>IF($B2771="","",IF(SUMPRODUCT((LISTAS!$O$3:$O$42&lt;&gt;"")*ISNUMBER(SEARCH(LISTAS!$O$3:$O$42,$I2771&amp;" "&amp;$K2771)))&gt;0,"CERCANA","NACIONAL"))</f>
        <v/>
      </c>
      <c r="O2771" s="39">
        <f>IF($B2771="","",IF(COUNTIFS(NOVEDADES!$C$4:$C$2003,$B2771)=0,"—","SÍ ("&amp;COUNTIFS(NOVEDADES!$C$4:$C$2003,$B2771)&amp;")"))</f>
        <v/>
      </c>
    </row>
    <row r="2772">
      <c r="A2772" s="41" t="n"/>
      <c r="B2772" s="41" t="n"/>
      <c r="C2772" s="41" t="n"/>
      <c r="D2772" s="41" t="n"/>
      <c r="E2772" s="46" t="n"/>
      <c r="F2772" s="41" t="n"/>
      <c r="G2772" s="41" t="n"/>
      <c r="H2772" s="41" t="n"/>
      <c r="I2772" s="41" t="n"/>
      <c r="J2772" s="47" t="n"/>
      <c r="K2772" s="41" t="n"/>
      <c r="L2772" s="48" t="n"/>
      <c r="M2772" s="45" t="n"/>
      <c r="N2772" s="39">
        <f>IF($B2772="","",IF(SUMPRODUCT((LISTAS!$O$3:$O$42&lt;&gt;"")*ISNUMBER(SEARCH(LISTAS!$O$3:$O$42,$I2772&amp;" "&amp;$K2772)))&gt;0,"CERCANA","NACIONAL"))</f>
        <v/>
      </c>
      <c r="O2772" s="39">
        <f>IF($B2772="","",IF(COUNTIFS(NOVEDADES!$C$4:$C$2003,$B2772)=0,"—","SÍ ("&amp;COUNTIFS(NOVEDADES!$C$4:$C$2003,$B2772)&amp;")"))</f>
        <v/>
      </c>
    </row>
    <row r="2773">
      <c r="A2773" s="41" t="n"/>
      <c r="B2773" s="41" t="n"/>
      <c r="C2773" s="41" t="n"/>
      <c r="D2773" s="41" t="n"/>
      <c r="E2773" s="46" t="n"/>
      <c r="F2773" s="41" t="n"/>
      <c r="G2773" s="41" t="n"/>
      <c r="H2773" s="41" t="n"/>
      <c r="I2773" s="41" t="n"/>
      <c r="J2773" s="47" t="n"/>
      <c r="K2773" s="41" t="n"/>
      <c r="L2773" s="48" t="n"/>
      <c r="M2773" s="45" t="n"/>
      <c r="N2773" s="39">
        <f>IF($B2773="","",IF(SUMPRODUCT((LISTAS!$O$3:$O$42&lt;&gt;"")*ISNUMBER(SEARCH(LISTAS!$O$3:$O$42,$I2773&amp;" "&amp;$K2773)))&gt;0,"CERCANA","NACIONAL"))</f>
        <v/>
      </c>
      <c r="O2773" s="39">
        <f>IF($B2773="","",IF(COUNTIFS(NOVEDADES!$C$4:$C$2003,$B2773)=0,"—","SÍ ("&amp;COUNTIFS(NOVEDADES!$C$4:$C$2003,$B2773)&amp;")"))</f>
        <v/>
      </c>
    </row>
    <row r="2774">
      <c r="A2774" s="41" t="n"/>
      <c r="B2774" s="41" t="n"/>
      <c r="C2774" s="41" t="n"/>
      <c r="D2774" s="41" t="n"/>
      <c r="E2774" s="46" t="n"/>
      <c r="F2774" s="41" t="n"/>
      <c r="G2774" s="41" t="n"/>
      <c r="H2774" s="41" t="n"/>
      <c r="I2774" s="41" t="n"/>
      <c r="J2774" s="47" t="n"/>
      <c r="K2774" s="41" t="n"/>
      <c r="L2774" s="48" t="n"/>
      <c r="M2774" s="45" t="n"/>
      <c r="N2774" s="39">
        <f>IF($B2774="","",IF(SUMPRODUCT((LISTAS!$O$3:$O$42&lt;&gt;"")*ISNUMBER(SEARCH(LISTAS!$O$3:$O$42,$I2774&amp;" "&amp;$K2774)))&gt;0,"CERCANA","NACIONAL"))</f>
        <v/>
      </c>
      <c r="O2774" s="39">
        <f>IF($B2774="","",IF(COUNTIFS(NOVEDADES!$C$4:$C$2003,$B2774)=0,"—","SÍ ("&amp;COUNTIFS(NOVEDADES!$C$4:$C$2003,$B2774)&amp;")"))</f>
        <v/>
      </c>
    </row>
    <row r="2775">
      <c r="A2775" s="41" t="n"/>
      <c r="B2775" s="41" t="n"/>
      <c r="C2775" s="41" t="n"/>
      <c r="D2775" s="41" t="n"/>
      <c r="E2775" s="46" t="n"/>
      <c r="F2775" s="41" t="n"/>
      <c r="G2775" s="41" t="n"/>
      <c r="H2775" s="41" t="n"/>
      <c r="I2775" s="41" t="n"/>
      <c r="J2775" s="47" t="n"/>
      <c r="K2775" s="41" t="n"/>
      <c r="L2775" s="48" t="n"/>
      <c r="M2775" s="45" t="n"/>
      <c r="N2775" s="39">
        <f>IF($B2775="","",IF(SUMPRODUCT((LISTAS!$O$3:$O$42&lt;&gt;"")*ISNUMBER(SEARCH(LISTAS!$O$3:$O$42,$I2775&amp;" "&amp;$K2775)))&gt;0,"CERCANA","NACIONAL"))</f>
        <v/>
      </c>
      <c r="O2775" s="39">
        <f>IF($B2775="","",IF(COUNTIFS(NOVEDADES!$C$4:$C$2003,$B2775)=0,"—","SÍ ("&amp;COUNTIFS(NOVEDADES!$C$4:$C$2003,$B2775)&amp;")"))</f>
        <v/>
      </c>
    </row>
    <row r="2776">
      <c r="A2776" s="41" t="n"/>
      <c r="B2776" s="41" t="n"/>
      <c r="C2776" s="41" t="n"/>
      <c r="D2776" s="41" t="n"/>
      <c r="E2776" s="46" t="n"/>
      <c r="F2776" s="41" t="n"/>
      <c r="G2776" s="41" t="n"/>
      <c r="H2776" s="41" t="n"/>
      <c r="I2776" s="41" t="n"/>
      <c r="J2776" s="47" t="n"/>
      <c r="K2776" s="41" t="n"/>
      <c r="L2776" s="48" t="n"/>
      <c r="M2776" s="45" t="n"/>
      <c r="N2776" s="39">
        <f>IF($B2776="","",IF(SUMPRODUCT((LISTAS!$O$3:$O$42&lt;&gt;"")*ISNUMBER(SEARCH(LISTAS!$O$3:$O$42,$I2776&amp;" "&amp;$K2776)))&gt;0,"CERCANA","NACIONAL"))</f>
        <v/>
      </c>
      <c r="O2776" s="39">
        <f>IF($B2776="","",IF(COUNTIFS(NOVEDADES!$C$4:$C$2003,$B2776)=0,"—","SÍ ("&amp;COUNTIFS(NOVEDADES!$C$4:$C$2003,$B2776)&amp;")"))</f>
        <v/>
      </c>
    </row>
    <row r="2777">
      <c r="A2777" s="41" t="n"/>
      <c r="B2777" s="41" t="n"/>
      <c r="C2777" s="41" t="n"/>
      <c r="D2777" s="41" t="n"/>
      <c r="E2777" s="46" t="n"/>
      <c r="F2777" s="41" t="n"/>
      <c r="G2777" s="41" t="n"/>
      <c r="H2777" s="41" t="n"/>
      <c r="I2777" s="41" t="n"/>
      <c r="J2777" s="47" t="n"/>
      <c r="K2777" s="41" t="n"/>
      <c r="L2777" s="48" t="n"/>
      <c r="M2777" s="45" t="n"/>
      <c r="N2777" s="39">
        <f>IF($B2777="","",IF(SUMPRODUCT((LISTAS!$O$3:$O$42&lt;&gt;"")*ISNUMBER(SEARCH(LISTAS!$O$3:$O$42,$I2777&amp;" "&amp;$K2777)))&gt;0,"CERCANA","NACIONAL"))</f>
        <v/>
      </c>
      <c r="O2777" s="39">
        <f>IF($B2777="","",IF(COUNTIFS(NOVEDADES!$C$4:$C$2003,$B2777)=0,"—","SÍ ("&amp;COUNTIFS(NOVEDADES!$C$4:$C$2003,$B2777)&amp;")"))</f>
        <v/>
      </c>
    </row>
    <row r="2778">
      <c r="A2778" s="41" t="n"/>
      <c r="B2778" s="41" t="n"/>
      <c r="C2778" s="41" t="n"/>
      <c r="D2778" s="41" t="n"/>
      <c r="E2778" s="46" t="n"/>
      <c r="F2778" s="41" t="n"/>
      <c r="G2778" s="41" t="n"/>
      <c r="H2778" s="41" t="n"/>
      <c r="I2778" s="41" t="n"/>
      <c r="J2778" s="47" t="n"/>
      <c r="K2778" s="41" t="n"/>
      <c r="L2778" s="48" t="n"/>
      <c r="M2778" s="45" t="n"/>
      <c r="N2778" s="39">
        <f>IF($B2778="","",IF(SUMPRODUCT((LISTAS!$O$3:$O$42&lt;&gt;"")*ISNUMBER(SEARCH(LISTAS!$O$3:$O$42,$I2778&amp;" "&amp;$K2778)))&gt;0,"CERCANA","NACIONAL"))</f>
        <v/>
      </c>
      <c r="O2778" s="39">
        <f>IF($B2778="","",IF(COUNTIFS(NOVEDADES!$C$4:$C$2003,$B2778)=0,"—","SÍ ("&amp;COUNTIFS(NOVEDADES!$C$4:$C$2003,$B2778)&amp;")"))</f>
        <v/>
      </c>
    </row>
    <row r="2779">
      <c r="A2779" s="41" t="n"/>
      <c r="B2779" s="41" t="n"/>
      <c r="C2779" s="41" t="n"/>
      <c r="D2779" s="41" t="n"/>
      <c r="E2779" s="46" t="n"/>
      <c r="F2779" s="41" t="n"/>
      <c r="G2779" s="41" t="n"/>
      <c r="H2779" s="41" t="n"/>
      <c r="I2779" s="41" t="n"/>
      <c r="J2779" s="47" t="n"/>
      <c r="K2779" s="41" t="n"/>
      <c r="L2779" s="48" t="n"/>
      <c r="M2779" s="45" t="n"/>
      <c r="N2779" s="39">
        <f>IF($B2779="","",IF(SUMPRODUCT((LISTAS!$O$3:$O$42&lt;&gt;"")*ISNUMBER(SEARCH(LISTAS!$O$3:$O$42,$I2779&amp;" "&amp;$K2779)))&gt;0,"CERCANA","NACIONAL"))</f>
        <v/>
      </c>
      <c r="O2779" s="39">
        <f>IF($B2779="","",IF(COUNTIFS(NOVEDADES!$C$4:$C$2003,$B2779)=0,"—","SÍ ("&amp;COUNTIFS(NOVEDADES!$C$4:$C$2003,$B2779)&amp;")"))</f>
        <v/>
      </c>
    </row>
    <row r="2780">
      <c r="A2780" s="41" t="n"/>
      <c r="B2780" s="41" t="n"/>
      <c r="C2780" s="41" t="n"/>
      <c r="D2780" s="41" t="n"/>
      <c r="E2780" s="46" t="n"/>
      <c r="F2780" s="41" t="n"/>
      <c r="G2780" s="41" t="n"/>
      <c r="H2780" s="41" t="n"/>
      <c r="I2780" s="41" t="n"/>
      <c r="J2780" s="47" t="n"/>
      <c r="K2780" s="41" t="n"/>
      <c r="L2780" s="48" t="n"/>
      <c r="M2780" s="45" t="n"/>
      <c r="N2780" s="39">
        <f>IF($B2780="","",IF(SUMPRODUCT((LISTAS!$O$3:$O$42&lt;&gt;"")*ISNUMBER(SEARCH(LISTAS!$O$3:$O$42,$I2780&amp;" "&amp;$K2780)))&gt;0,"CERCANA","NACIONAL"))</f>
        <v/>
      </c>
      <c r="O2780" s="39">
        <f>IF($B2780="","",IF(COUNTIFS(NOVEDADES!$C$4:$C$2003,$B2780)=0,"—","SÍ ("&amp;COUNTIFS(NOVEDADES!$C$4:$C$2003,$B2780)&amp;")"))</f>
        <v/>
      </c>
    </row>
    <row r="2781">
      <c r="A2781" s="41" t="n"/>
      <c r="B2781" s="41" t="n"/>
      <c r="C2781" s="41" t="n"/>
      <c r="D2781" s="41" t="n"/>
      <c r="E2781" s="46" t="n"/>
      <c r="F2781" s="41" t="n"/>
      <c r="G2781" s="41" t="n"/>
      <c r="H2781" s="41" t="n"/>
      <c r="I2781" s="41" t="n"/>
      <c r="J2781" s="47" t="n"/>
      <c r="K2781" s="41" t="n"/>
      <c r="L2781" s="48" t="n"/>
      <c r="M2781" s="45" t="n"/>
      <c r="N2781" s="39">
        <f>IF($B2781="","",IF(SUMPRODUCT((LISTAS!$O$3:$O$42&lt;&gt;"")*ISNUMBER(SEARCH(LISTAS!$O$3:$O$42,$I2781&amp;" "&amp;$K2781)))&gt;0,"CERCANA","NACIONAL"))</f>
        <v/>
      </c>
      <c r="O2781" s="39">
        <f>IF($B2781="","",IF(COUNTIFS(NOVEDADES!$C$4:$C$2003,$B2781)=0,"—","SÍ ("&amp;COUNTIFS(NOVEDADES!$C$4:$C$2003,$B2781)&amp;")"))</f>
        <v/>
      </c>
    </row>
    <row r="2782">
      <c r="A2782" s="41" t="n"/>
      <c r="B2782" s="41" t="n"/>
      <c r="C2782" s="41" t="n"/>
      <c r="D2782" s="41" t="n"/>
      <c r="E2782" s="46" t="n"/>
      <c r="F2782" s="41" t="n"/>
      <c r="G2782" s="41" t="n"/>
      <c r="H2782" s="41" t="n"/>
      <c r="I2782" s="41" t="n"/>
      <c r="J2782" s="47" t="n"/>
      <c r="K2782" s="41" t="n"/>
      <c r="L2782" s="48" t="n"/>
      <c r="M2782" s="45" t="n"/>
      <c r="N2782" s="39">
        <f>IF($B2782="","",IF(SUMPRODUCT((LISTAS!$O$3:$O$42&lt;&gt;"")*ISNUMBER(SEARCH(LISTAS!$O$3:$O$42,$I2782&amp;" "&amp;$K2782)))&gt;0,"CERCANA","NACIONAL"))</f>
        <v/>
      </c>
      <c r="O2782" s="39">
        <f>IF($B2782="","",IF(COUNTIFS(NOVEDADES!$C$4:$C$2003,$B2782)=0,"—","SÍ ("&amp;COUNTIFS(NOVEDADES!$C$4:$C$2003,$B2782)&amp;")"))</f>
        <v/>
      </c>
    </row>
    <row r="2783">
      <c r="A2783" s="41" t="n"/>
      <c r="B2783" s="41" t="n"/>
      <c r="C2783" s="41" t="n"/>
      <c r="D2783" s="41" t="n"/>
      <c r="E2783" s="46" t="n"/>
      <c r="F2783" s="41" t="n"/>
      <c r="G2783" s="41" t="n"/>
      <c r="H2783" s="41" t="n"/>
      <c r="I2783" s="41" t="n"/>
      <c r="J2783" s="47" t="n"/>
      <c r="K2783" s="41" t="n"/>
      <c r="L2783" s="48" t="n"/>
      <c r="M2783" s="45" t="n"/>
      <c r="N2783" s="39">
        <f>IF($B2783="","",IF(SUMPRODUCT((LISTAS!$O$3:$O$42&lt;&gt;"")*ISNUMBER(SEARCH(LISTAS!$O$3:$O$42,$I2783&amp;" "&amp;$K2783)))&gt;0,"CERCANA","NACIONAL"))</f>
        <v/>
      </c>
      <c r="O2783" s="39">
        <f>IF($B2783="","",IF(COUNTIFS(NOVEDADES!$C$4:$C$2003,$B2783)=0,"—","SÍ ("&amp;COUNTIFS(NOVEDADES!$C$4:$C$2003,$B2783)&amp;")"))</f>
        <v/>
      </c>
    </row>
    <row r="2784">
      <c r="A2784" s="41" t="n"/>
      <c r="B2784" s="41" t="n"/>
      <c r="C2784" s="41" t="n"/>
      <c r="D2784" s="41" t="n"/>
      <c r="E2784" s="46" t="n"/>
      <c r="F2784" s="41" t="n"/>
      <c r="G2784" s="41" t="n"/>
      <c r="H2784" s="41" t="n"/>
      <c r="I2784" s="41" t="n"/>
      <c r="J2784" s="47" t="n"/>
      <c r="K2784" s="41" t="n"/>
      <c r="L2784" s="48" t="n"/>
      <c r="M2784" s="45" t="n"/>
      <c r="N2784" s="39">
        <f>IF($B2784="","",IF(SUMPRODUCT((LISTAS!$O$3:$O$42&lt;&gt;"")*ISNUMBER(SEARCH(LISTAS!$O$3:$O$42,$I2784&amp;" "&amp;$K2784)))&gt;0,"CERCANA","NACIONAL"))</f>
        <v/>
      </c>
      <c r="O2784" s="39">
        <f>IF($B2784="","",IF(COUNTIFS(NOVEDADES!$C$4:$C$2003,$B2784)=0,"—","SÍ ("&amp;COUNTIFS(NOVEDADES!$C$4:$C$2003,$B2784)&amp;")"))</f>
        <v/>
      </c>
    </row>
    <row r="2785">
      <c r="A2785" s="41" t="n"/>
      <c r="B2785" s="41" t="n"/>
      <c r="C2785" s="41" t="n"/>
      <c r="D2785" s="41" t="n"/>
      <c r="E2785" s="46" t="n"/>
      <c r="F2785" s="41" t="n"/>
      <c r="G2785" s="41" t="n"/>
      <c r="H2785" s="41" t="n"/>
      <c r="I2785" s="41" t="n"/>
      <c r="J2785" s="47" t="n"/>
      <c r="K2785" s="41" t="n"/>
      <c r="L2785" s="48" t="n"/>
      <c r="M2785" s="45" t="n"/>
      <c r="N2785" s="39">
        <f>IF($B2785="","",IF(SUMPRODUCT((LISTAS!$O$3:$O$42&lt;&gt;"")*ISNUMBER(SEARCH(LISTAS!$O$3:$O$42,$I2785&amp;" "&amp;$K2785)))&gt;0,"CERCANA","NACIONAL"))</f>
        <v/>
      </c>
      <c r="O2785" s="39">
        <f>IF($B2785="","",IF(COUNTIFS(NOVEDADES!$C$4:$C$2003,$B2785)=0,"—","SÍ ("&amp;COUNTIFS(NOVEDADES!$C$4:$C$2003,$B2785)&amp;")"))</f>
        <v/>
      </c>
    </row>
    <row r="2786">
      <c r="A2786" s="41" t="n"/>
      <c r="B2786" s="41" t="n"/>
      <c r="C2786" s="41" t="n"/>
      <c r="D2786" s="41" t="n"/>
      <c r="E2786" s="46" t="n"/>
      <c r="F2786" s="41" t="n"/>
      <c r="G2786" s="41" t="n"/>
      <c r="H2786" s="41" t="n"/>
      <c r="I2786" s="41" t="n"/>
      <c r="J2786" s="47" t="n"/>
      <c r="K2786" s="41" t="n"/>
      <c r="L2786" s="48" t="n"/>
      <c r="M2786" s="45" t="n"/>
      <c r="N2786" s="39">
        <f>IF($B2786="","",IF(SUMPRODUCT((LISTAS!$O$3:$O$42&lt;&gt;"")*ISNUMBER(SEARCH(LISTAS!$O$3:$O$42,$I2786&amp;" "&amp;$K2786)))&gt;0,"CERCANA","NACIONAL"))</f>
        <v/>
      </c>
      <c r="O2786" s="39">
        <f>IF($B2786="","",IF(COUNTIFS(NOVEDADES!$C$4:$C$2003,$B2786)=0,"—","SÍ ("&amp;COUNTIFS(NOVEDADES!$C$4:$C$2003,$B2786)&amp;")"))</f>
        <v/>
      </c>
    </row>
    <row r="2787">
      <c r="A2787" s="41" t="n"/>
      <c r="B2787" s="41" t="n"/>
      <c r="C2787" s="41" t="n"/>
      <c r="D2787" s="41" t="n"/>
      <c r="E2787" s="46" t="n"/>
      <c r="F2787" s="41" t="n"/>
      <c r="G2787" s="41" t="n"/>
      <c r="H2787" s="41" t="n"/>
      <c r="I2787" s="41" t="n"/>
      <c r="J2787" s="47" t="n"/>
      <c r="K2787" s="41" t="n"/>
      <c r="L2787" s="48" t="n"/>
      <c r="M2787" s="45" t="n"/>
      <c r="N2787" s="39">
        <f>IF($B2787="","",IF(SUMPRODUCT((LISTAS!$O$3:$O$42&lt;&gt;"")*ISNUMBER(SEARCH(LISTAS!$O$3:$O$42,$I2787&amp;" "&amp;$K2787)))&gt;0,"CERCANA","NACIONAL"))</f>
        <v/>
      </c>
      <c r="O2787" s="39">
        <f>IF($B2787="","",IF(COUNTIFS(NOVEDADES!$C$4:$C$2003,$B2787)=0,"—","SÍ ("&amp;COUNTIFS(NOVEDADES!$C$4:$C$2003,$B2787)&amp;")"))</f>
        <v/>
      </c>
    </row>
    <row r="2788">
      <c r="A2788" s="41" t="n"/>
      <c r="B2788" s="41" t="n"/>
      <c r="C2788" s="41" t="n"/>
      <c r="D2788" s="41" t="n"/>
      <c r="E2788" s="46" t="n"/>
      <c r="F2788" s="41" t="n"/>
      <c r="G2788" s="41" t="n"/>
      <c r="H2788" s="41" t="n"/>
      <c r="I2788" s="41" t="n"/>
      <c r="J2788" s="47" t="n"/>
      <c r="K2788" s="41" t="n"/>
      <c r="L2788" s="48" t="n"/>
      <c r="M2788" s="45" t="n"/>
      <c r="N2788" s="39">
        <f>IF($B2788="","",IF(SUMPRODUCT((LISTAS!$O$3:$O$42&lt;&gt;"")*ISNUMBER(SEARCH(LISTAS!$O$3:$O$42,$I2788&amp;" "&amp;$K2788)))&gt;0,"CERCANA","NACIONAL"))</f>
        <v/>
      </c>
      <c r="O2788" s="39">
        <f>IF($B2788="","",IF(COUNTIFS(NOVEDADES!$C$4:$C$2003,$B2788)=0,"—","SÍ ("&amp;COUNTIFS(NOVEDADES!$C$4:$C$2003,$B2788)&amp;")"))</f>
        <v/>
      </c>
    </row>
    <row r="2789">
      <c r="A2789" s="41" t="n"/>
      <c r="B2789" s="41" t="n"/>
      <c r="C2789" s="41" t="n"/>
      <c r="D2789" s="41" t="n"/>
      <c r="E2789" s="46" t="n"/>
      <c r="F2789" s="41" t="n"/>
      <c r="G2789" s="41" t="n"/>
      <c r="H2789" s="41" t="n"/>
      <c r="I2789" s="41" t="n"/>
      <c r="J2789" s="47" t="n"/>
      <c r="K2789" s="41" t="n"/>
      <c r="L2789" s="48" t="n"/>
      <c r="M2789" s="45" t="n"/>
      <c r="N2789" s="39">
        <f>IF($B2789="","",IF(SUMPRODUCT((LISTAS!$O$3:$O$42&lt;&gt;"")*ISNUMBER(SEARCH(LISTAS!$O$3:$O$42,$I2789&amp;" "&amp;$K2789)))&gt;0,"CERCANA","NACIONAL"))</f>
        <v/>
      </c>
      <c r="O2789" s="39">
        <f>IF($B2789="","",IF(COUNTIFS(NOVEDADES!$C$4:$C$2003,$B2789)=0,"—","SÍ ("&amp;COUNTIFS(NOVEDADES!$C$4:$C$2003,$B2789)&amp;")"))</f>
        <v/>
      </c>
    </row>
    <row r="2790">
      <c r="A2790" s="41" t="n"/>
      <c r="B2790" s="41" t="n"/>
      <c r="C2790" s="41" t="n"/>
      <c r="D2790" s="41" t="n"/>
      <c r="E2790" s="46" t="n"/>
      <c r="F2790" s="41" t="n"/>
      <c r="G2790" s="41" t="n"/>
      <c r="H2790" s="41" t="n"/>
      <c r="I2790" s="41" t="n"/>
      <c r="J2790" s="47" t="n"/>
      <c r="K2790" s="41" t="n"/>
      <c r="L2790" s="48" t="n"/>
      <c r="M2790" s="45" t="n"/>
      <c r="N2790" s="39">
        <f>IF($B2790="","",IF(SUMPRODUCT((LISTAS!$O$3:$O$42&lt;&gt;"")*ISNUMBER(SEARCH(LISTAS!$O$3:$O$42,$I2790&amp;" "&amp;$K2790)))&gt;0,"CERCANA","NACIONAL"))</f>
        <v/>
      </c>
      <c r="O2790" s="39">
        <f>IF($B2790="","",IF(COUNTIFS(NOVEDADES!$C$4:$C$2003,$B2790)=0,"—","SÍ ("&amp;COUNTIFS(NOVEDADES!$C$4:$C$2003,$B2790)&amp;")"))</f>
        <v/>
      </c>
    </row>
    <row r="2791">
      <c r="A2791" s="41" t="n"/>
      <c r="B2791" s="41" t="n"/>
      <c r="C2791" s="41" t="n"/>
      <c r="D2791" s="41" t="n"/>
      <c r="E2791" s="46" t="n"/>
      <c r="F2791" s="41" t="n"/>
      <c r="G2791" s="41" t="n"/>
      <c r="H2791" s="41" t="n"/>
      <c r="I2791" s="41" t="n"/>
      <c r="J2791" s="47" t="n"/>
      <c r="K2791" s="41" t="n"/>
      <c r="L2791" s="48" t="n"/>
      <c r="M2791" s="45" t="n"/>
      <c r="N2791" s="39">
        <f>IF($B2791="","",IF(SUMPRODUCT((LISTAS!$O$3:$O$42&lt;&gt;"")*ISNUMBER(SEARCH(LISTAS!$O$3:$O$42,$I2791&amp;" "&amp;$K2791)))&gt;0,"CERCANA","NACIONAL"))</f>
        <v/>
      </c>
      <c r="O2791" s="39">
        <f>IF($B2791="","",IF(COUNTIFS(NOVEDADES!$C$4:$C$2003,$B2791)=0,"—","SÍ ("&amp;COUNTIFS(NOVEDADES!$C$4:$C$2003,$B2791)&amp;")"))</f>
        <v/>
      </c>
    </row>
    <row r="2792">
      <c r="A2792" s="41" t="n"/>
      <c r="B2792" s="41" t="n"/>
      <c r="C2792" s="41" t="n"/>
      <c r="D2792" s="41" t="n"/>
      <c r="E2792" s="46" t="n"/>
      <c r="F2792" s="41" t="n"/>
      <c r="G2792" s="41" t="n"/>
      <c r="H2792" s="41" t="n"/>
      <c r="I2792" s="41" t="n"/>
      <c r="J2792" s="47" t="n"/>
      <c r="K2792" s="41" t="n"/>
      <c r="L2792" s="48" t="n"/>
      <c r="M2792" s="45" t="n"/>
      <c r="N2792" s="39">
        <f>IF($B2792="","",IF(SUMPRODUCT((LISTAS!$O$3:$O$42&lt;&gt;"")*ISNUMBER(SEARCH(LISTAS!$O$3:$O$42,$I2792&amp;" "&amp;$K2792)))&gt;0,"CERCANA","NACIONAL"))</f>
        <v/>
      </c>
      <c r="O2792" s="39">
        <f>IF($B2792="","",IF(COUNTIFS(NOVEDADES!$C$4:$C$2003,$B2792)=0,"—","SÍ ("&amp;COUNTIFS(NOVEDADES!$C$4:$C$2003,$B2792)&amp;")"))</f>
        <v/>
      </c>
    </row>
    <row r="2793">
      <c r="A2793" s="41" t="n"/>
      <c r="B2793" s="41" t="n"/>
      <c r="C2793" s="41" t="n"/>
      <c r="D2793" s="41" t="n"/>
      <c r="E2793" s="46" t="n"/>
      <c r="F2793" s="41" t="n"/>
      <c r="G2793" s="41" t="n"/>
      <c r="H2793" s="41" t="n"/>
      <c r="I2793" s="41" t="n"/>
      <c r="J2793" s="47" t="n"/>
      <c r="K2793" s="41" t="n"/>
      <c r="L2793" s="48" t="n"/>
      <c r="M2793" s="45" t="n"/>
      <c r="N2793" s="39">
        <f>IF($B2793="","",IF(SUMPRODUCT((LISTAS!$O$3:$O$42&lt;&gt;"")*ISNUMBER(SEARCH(LISTAS!$O$3:$O$42,$I2793&amp;" "&amp;$K2793)))&gt;0,"CERCANA","NACIONAL"))</f>
        <v/>
      </c>
      <c r="O2793" s="39">
        <f>IF($B2793="","",IF(COUNTIFS(NOVEDADES!$C$4:$C$2003,$B2793)=0,"—","SÍ ("&amp;COUNTIFS(NOVEDADES!$C$4:$C$2003,$B2793)&amp;")"))</f>
        <v/>
      </c>
    </row>
    <row r="2794">
      <c r="A2794" s="41" t="n"/>
      <c r="B2794" s="41" t="n"/>
      <c r="C2794" s="41" t="n"/>
      <c r="D2794" s="41" t="n"/>
      <c r="E2794" s="46" t="n"/>
      <c r="F2794" s="41" t="n"/>
      <c r="G2794" s="41" t="n"/>
      <c r="H2794" s="41" t="n"/>
      <c r="I2794" s="41" t="n"/>
      <c r="J2794" s="47" t="n"/>
      <c r="K2794" s="41" t="n"/>
      <c r="L2794" s="48" t="n"/>
      <c r="M2794" s="45" t="n"/>
      <c r="N2794" s="39">
        <f>IF($B2794="","",IF(SUMPRODUCT((LISTAS!$O$3:$O$42&lt;&gt;"")*ISNUMBER(SEARCH(LISTAS!$O$3:$O$42,$I2794&amp;" "&amp;$K2794)))&gt;0,"CERCANA","NACIONAL"))</f>
        <v/>
      </c>
      <c r="O2794" s="39">
        <f>IF($B2794="","",IF(COUNTIFS(NOVEDADES!$C$4:$C$2003,$B2794)=0,"—","SÍ ("&amp;COUNTIFS(NOVEDADES!$C$4:$C$2003,$B2794)&amp;")"))</f>
        <v/>
      </c>
    </row>
    <row r="2795">
      <c r="A2795" s="41" t="n"/>
      <c r="B2795" s="41" t="n"/>
      <c r="C2795" s="41" t="n"/>
      <c r="D2795" s="41" t="n"/>
      <c r="E2795" s="46" t="n"/>
      <c r="F2795" s="41" t="n"/>
      <c r="G2795" s="41" t="n"/>
      <c r="H2795" s="41" t="n"/>
      <c r="I2795" s="41" t="n"/>
      <c r="J2795" s="47" t="n"/>
      <c r="K2795" s="41" t="n"/>
      <c r="L2795" s="48" t="n"/>
      <c r="M2795" s="45" t="n"/>
      <c r="N2795" s="39">
        <f>IF($B2795="","",IF(SUMPRODUCT((LISTAS!$O$3:$O$42&lt;&gt;"")*ISNUMBER(SEARCH(LISTAS!$O$3:$O$42,$I2795&amp;" "&amp;$K2795)))&gt;0,"CERCANA","NACIONAL"))</f>
        <v/>
      </c>
      <c r="O2795" s="39">
        <f>IF($B2795="","",IF(COUNTIFS(NOVEDADES!$C$4:$C$2003,$B2795)=0,"—","SÍ ("&amp;COUNTIFS(NOVEDADES!$C$4:$C$2003,$B2795)&amp;")"))</f>
        <v/>
      </c>
    </row>
    <row r="2796">
      <c r="A2796" s="41" t="n"/>
      <c r="B2796" s="41" t="n"/>
      <c r="C2796" s="41" t="n"/>
      <c r="D2796" s="41" t="n"/>
      <c r="E2796" s="46" t="n"/>
      <c r="F2796" s="41" t="n"/>
      <c r="G2796" s="41" t="n"/>
      <c r="H2796" s="41" t="n"/>
      <c r="I2796" s="41" t="n"/>
      <c r="J2796" s="47" t="n"/>
      <c r="K2796" s="41" t="n"/>
      <c r="L2796" s="48" t="n"/>
      <c r="M2796" s="45" t="n"/>
      <c r="N2796" s="39">
        <f>IF($B2796="","",IF(SUMPRODUCT((LISTAS!$O$3:$O$42&lt;&gt;"")*ISNUMBER(SEARCH(LISTAS!$O$3:$O$42,$I2796&amp;" "&amp;$K2796)))&gt;0,"CERCANA","NACIONAL"))</f>
        <v/>
      </c>
      <c r="O2796" s="39">
        <f>IF($B2796="","",IF(COUNTIFS(NOVEDADES!$C$4:$C$2003,$B2796)=0,"—","SÍ ("&amp;COUNTIFS(NOVEDADES!$C$4:$C$2003,$B2796)&amp;")"))</f>
        <v/>
      </c>
    </row>
    <row r="2797">
      <c r="A2797" s="41" t="n"/>
      <c r="B2797" s="41" t="n"/>
      <c r="C2797" s="41" t="n"/>
      <c r="D2797" s="41" t="n"/>
      <c r="E2797" s="46" t="n"/>
      <c r="F2797" s="41" t="n"/>
      <c r="G2797" s="41" t="n"/>
      <c r="H2797" s="41" t="n"/>
      <c r="I2797" s="41" t="n"/>
      <c r="J2797" s="47" t="n"/>
      <c r="K2797" s="41" t="n"/>
      <c r="L2797" s="48" t="n"/>
      <c r="M2797" s="45" t="n"/>
      <c r="N2797" s="39">
        <f>IF($B2797="","",IF(SUMPRODUCT((LISTAS!$O$3:$O$42&lt;&gt;"")*ISNUMBER(SEARCH(LISTAS!$O$3:$O$42,$I2797&amp;" "&amp;$K2797)))&gt;0,"CERCANA","NACIONAL"))</f>
        <v/>
      </c>
      <c r="O2797" s="39">
        <f>IF($B2797="","",IF(COUNTIFS(NOVEDADES!$C$4:$C$2003,$B2797)=0,"—","SÍ ("&amp;COUNTIFS(NOVEDADES!$C$4:$C$2003,$B2797)&amp;")"))</f>
        <v/>
      </c>
    </row>
    <row r="2798">
      <c r="A2798" s="41" t="n"/>
      <c r="B2798" s="41" t="n"/>
      <c r="C2798" s="41" t="n"/>
      <c r="D2798" s="41" t="n"/>
      <c r="E2798" s="46" t="n"/>
      <c r="F2798" s="41" t="n"/>
      <c r="G2798" s="41" t="n"/>
      <c r="H2798" s="41" t="n"/>
      <c r="I2798" s="41" t="n"/>
      <c r="J2798" s="47" t="n"/>
      <c r="K2798" s="41" t="n"/>
      <c r="L2798" s="48" t="n"/>
      <c r="M2798" s="45" t="n"/>
      <c r="N2798" s="39">
        <f>IF($B2798="","",IF(SUMPRODUCT((LISTAS!$O$3:$O$42&lt;&gt;"")*ISNUMBER(SEARCH(LISTAS!$O$3:$O$42,$I2798&amp;" "&amp;$K2798)))&gt;0,"CERCANA","NACIONAL"))</f>
        <v/>
      </c>
      <c r="O2798" s="39">
        <f>IF($B2798="","",IF(COUNTIFS(NOVEDADES!$C$4:$C$2003,$B2798)=0,"—","SÍ ("&amp;COUNTIFS(NOVEDADES!$C$4:$C$2003,$B2798)&amp;")"))</f>
        <v/>
      </c>
    </row>
    <row r="2799">
      <c r="A2799" s="41" t="n"/>
      <c r="B2799" s="41" t="n"/>
      <c r="C2799" s="41" t="n"/>
      <c r="D2799" s="41" t="n"/>
      <c r="E2799" s="46" t="n"/>
      <c r="F2799" s="41" t="n"/>
      <c r="G2799" s="41" t="n"/>
      <c r="H2799" s="41" t="n"/>
      <c r="I2799" s="41" t="n"/>
      <c r="J2799" s="47" t="n"/>
      <c r="K2799" s="41" t="n"/>
      <c r="L2799" s="48" t="n"/>
      <c r="M2799" s="45" t="n"/>
      <c r="N2799" s="39">
        <f>IF($B2799="","",IF(SUMPRODUCT((LISTAS!$O$3:$O$42&lt;&gt;"")*ISNUMBER(SEARCH(LISTAS!$O$3:$O$42,$I2799&amp;" "&amp;$K2799)))&gt;0,"CERCANA","NACIONAL"))</f>
        <v/>
      </c>
      <c r="O2799" s="39">
        <f>IF($B2799="","",IF(COUNTIFS(NOVEDADES!$C$4:$C$2003,$B2799)=0,"—","SÍ ("&amp;COUNTIFS(NOVEDADES!$C$4:$C$2003,$B2799)&amp;")"))</f>
        <v/>
      </c>
    </row>
    <row r="2800">
      <c r="A2800" s="41" t="n"/>
      <c r="B2800" s="41" t="n"/>
      <c r="C2800" s="41" t="n"/>
      <c r="D2800" s="41" t="n"/>
      <c r="E2800" s="46" t="n"/>
      <c r="F2800" s="41" t="n"/>
      <c r="G2800" s="41" t="n"/>
      <c r="H2800" s="41" t="n"/>
      <c r="I2800" s="41" t="n"/>
      <c r="J2800" s="47" t="n"/>
      <c r="K2800" s="41" t="n"/>
      <c r="L2800" s="48" t="n"/>
      <c r="M2800" s="45" t="n"/>
      <c r="N2800" s="39">
        <f>IF($B2800="","",IF(SUMPRODUCT((LISTAS!$O$3:$O$42&lt;&gt;"")*ISNUMBER(SEARCH(LISTAS!$O$3:$O$42,$I2800&amp;" "&amp;$K2800)))&gt;0,"CERCANA","NACIONAL"))</f>
        <v/>
      </c>
      <c r="O2800" s="39">
        <f>IF($B2800="","",IF(COUNTIFS(NOVEDADES!$C$4:$C$2003,$B2800)=0,"—","SÍ ("&amp;COUNTIFS(NOVEDADES!$C$4:$C$2003,$B2800)&amp;")"))</f>
        <v/>
      </c>
    </row>
    <row r="2801">
      <c r="A2801" s="41" t="n"/>
      <c r="B2801" s="41" t="n"/>
      <c r="C2801" s="41" t="n"/>
      <c r="D2801" s="41" t="n"/>
      <c r="E2801" s="46" t="n"/>
      <c r="F2801" s="41" t="n"/>
      <c r="G2801" s="41" t="n"/>
      <c r="H2801" s="41" t="n"/>
      <c r="I2801" s="41" t="n"/>
      <c r="J2801" s="47" t="n"/>
      <c r="K2801" s="41" t="n"/>
      <c r="L2801" s="48" t="n"/>
      <c r="M2801" s="45" t="n"/>
      <c r="N2801" s="39">
        <f>IF($B2801="","",IF(SUMPRODUCT((LISTAS!$O$3:$O$42&lt;&gt;"")*ISNUMBER(SEARCH(LISTAS!$O$3:$O$42,$I2801&amp;" "&amp;$K2801)))&gt;0,"CERCANA","NACIONAL"))</f>
        <v/>
      </c>
      <c r="O2801" s="39">
        <f>IF($B2801="","",IF(COUNTIFS(NOVEDADES!$C$4:$C$2003,$B2801)=0,"—","SÍ ("&amp;COUNTIFS(NOVEDADES!$C$4:$C$2003,$B2801)&amp;")"))</f>
        <v/>
      </c>
    </row>
    <row r="2802">
      <c r="A2802" s="41" t="n"/>
      <c r="B2802" s="41" t="n"/>
      <c r="C2802" s="41" t="n"/>
      <c r="D2802" s="41" t="n"/>
      <c r="E2802" s="46" t="n"/>
      <c r="F2802" s="41" t="n"/>
      <c r="G2802" s="41" t="n"/>
      <c r="H2802" s="41" t="n"/>
      <c r="I2802" s="41" t="n"/>
      <c r="J2802" s="47" t="n"/>
      <c r="K2802" s="41" t="n"/>
      <c r="L2802" s="48" t="n"/>
      <c r="M2802" s="45" t="n"/>
      <c r="N2802" s="39">
        <f>IF($B2802="","",IF(SUMPRODUCT((LISTAS!$O$3:$O$42&lt;&gt;"")*ISNUMBER(SEARCH(LISTAS!$O$3:$O$42,$I2802&amp;" "&amp;$K2802)))&gt;0,"CERCANA","NACIONAL"))</f>
        <v/>
      </c>
      <c r="O2802" s="39">
        <f>IF($B2802="","",IF(COUNTIFS(NOVEDADES!$C$4:$C$2003,$B2802)=0,"—","SÍ ("&amp;COUNTIFS(NOVEDADES!$C$4:$C$2003,$B2802)&amp;")"))</f>
        <v/>
      </c>
    </row>
    <row r="2803">
      <c r="A2803" s="41" t="n"/>
      <c r="B2803" s="41" t="n"/>
      <c r="C2803" s="41" t="n"/>
      <c r="D2803" s="41" t="n"/>
      <c r="E2803" s="46" t="n"/>
      <c r="F2803" s="41" t="n"/>
      <c r="G2803" s="41" t="n"/>
      <c r="H2803" s="41" t="n"/>
      <c r="I2803" s="41" t="n"/>
      <c r="J2803" s="47" t="n"/>
      <c r="K2803" s="41" t="n"/>
      <c r="L2803" s="48" t="n"/>
      <c r="M2803" s="45" t="n"/>
      <c r="N2803" s="39">
        <f>IF($B2803="","",IF(SUMPRODUCT((LISTAS!$O$3:$O$42&lt;&gt;"")*ISNUMBER(SEARCH(LISTAS!$O$3:$O$42,$I2803&amp;" "&amp;$K2803)))&gt;0,"CERCANA","NACIONAL"))</f>
        <v/>
      </c>
      <c r="O2803" s="39">
        <f>IF($B2803="","",IF(COUNTIFS(NOVEDADES!$C$4:$C$2003,$B2803)=0,"—","SÍ ("&amp;COUNTIFS(NOVEDADES!$C$4:$C$2003,$B2803)&amp;")"))</f>
        <v/>
      </c>
    </row>
    <row r="2804">
      <c r="A2804" s="41" t="n"/>
      <c r="B2804" s="41" t="n"/>
      <c r="C2804" s="41" t="n"/>
      <c r="D2804" s="41" t="n"/>
      <c r="E2804" s="46" t="n"/>
      <c r="F2804" s="41" t="n"/>
      <c r="G2804" s="41" t="n"/>
      <c r="H2804" s="41" t="n"/>
      <c r="I2804" s="41" t="n"/>
      <c r="J2804" s="47" t="n"/>
      <c r="K2804" s="41" t="n"/>
      <c r="L2804" s="48" t="n"/>
      <c r="M2804" s="45" t="n"/>
      <c r="N2804" s="39">
        <f>IF($B2804="","",IF(SUMPRODUCT((LISTAS!$O$3:$O$42&lt;&gt;"")*ISNUMBER(SEARCH(LISTAS!$O$3:$O$42,$I2804&amp;" "&amp;$K2804)))&gt;0,"CERCANA","NACIONAL"))</f>
        <v/>
      </c>
      <c r="O2804" s="39">
        <f>IF($B2804="","",IF(COUNTIFS(NOVEDADES!$C$4:$C$2003,$B2804)=0,"—","SÍ ("&amp;COUNTIFS(NOVEDADES!$C$4:$C$2003,$B2804)&amp;")"))</f>
        <v/>
      </c>
    </row>
    <row r="2805">
      <c r="A2805" s="41" t="n"/>
      <c r="B2805" s="41" t="n"/>
      <c r="C2805" s="41" t="n"/>
      <c r="D2805" s="41" t="n"/>
      <c r="E2805" s="46" t="n"/>
      <c r="F2805" s="41" t="n"/>
      <c r="G2805" s="41" t="n"/>
      <c r="H2805" s="41" t="n"/>
      <c r="I2805" s="41" t="n"/>
      <c r="J2805" s="47" t="n"/>
      <c r="K2805" s="41" t="n"/>
      <c r="L2805" s="48" t="n"/>
      <c r="M2805" s="45" t="n"/>
      <c r="N2805" s="39">
        <f>IF($B2805="","",IF(SUMPRODUCT((LISTAS!$O$3:$O$42&lt;&gt;"")*ISNUMBER(SEARCH(LISTAS!$O$3:$O$42,$I2805&amp;" "&amp;$K2805)))&gt;0,"CERCANA","NACIONAL"))</f>
        <v/>
      </c>
      <c r="O2805" s="39">
        <f>IF($B2805="","",IF(COUNTIFS(NOVEDADES!$C$4:$C$2003,$B2805)=0,"—","SÍ ("&amp;COUNTIFS(NOVEDADES!$C$4:$C$2003,$B2805)&amp;")"))</f>
        <v/>
      </c>
    </row>
    <row r="2806">
      <c r="A2806" s="41" t="n"/>
      <c r="B2806" s="41" t="n"/>
      <c r="C2806" s="41" t="n"/>
      <c r="D2806" s="41" t="n"/>
      <c r="E2806" s="46" t="n"/>
      <c r="F2806" s="41" t="n"/>
      <c r="G2806" s="41" t="n"/>
      <c r="H2806" s="41" t="n"/>
      <c r="I2806" s="41" t="n"/>
      <c r="J2806" s="47" t="n"/>
      <c r="K2806" s="41" t="n"/>
      <c r="L2806" s="48" t="n"/>
      <c r="M2806" s="45" t="n"/>
      <c r="N2806" s="39">
        <f>IF($B2806="","",IF(SUMPRODUCT((LISTAS!$O$3:$O$42&lt;&gt;"")*ISNUMBER(SEARCH(LISTAS!$O$3:$O$42,$I2806&amp;" "&amp;$K2806)))&gt;0,"CERCANA","NACIONAL"))</f>
        <v/>
      </c>
      <c r="O2806" s="39">
        <f>IF($B2806="","",IF(COUNTIFS(NOVEDADES!$C$4:$C$2003,$B2806)=0,"—","SÍ ("&amp;COUNTIFS(NOVEDADES!$C$4:$C$2003,$B2806)&amp;")"))</f>
        <v/>
      </c>
    </row>
    <row r="2807">
      <c r="A2807" s="41" t="n"/>
      <c r="B2807" s="41" t="n"/>
      <c r="C2807" s="41" t="n"/>
      <c r="D2807" s="41" t="n"/>
      <c r="E2807" s="46" t="n"/>
      <c r="F2807" s="41" t="n"/>
      <c r="G2807" s="41" t="n"/>
      <c r="H2807" s="41" t="n"/>
      <c r="I2807" s="41" t="n"/>
      <c r="J2807" s="47" t="n"/>
      <c r="K2807" s="41" t="n"/>
      <c r="L2807" s="48" t="n"/>
      <c r="M2807" s="45" t="n"/>
      <c r="N2807" s="39">
        <f>IF($B2807="","",IF(SUMPRODUCT((LISTAS!$O$3:$O$42&lt;&gt;"")*ISNUMBER(SEARCH(LISTAS!$O$3:$O$42,$I2807&amp;" "&amp;$K2807)))&gt;0,"CERCANA","NACIONAL"))</f>
        <v/>
      </c>
      <c r="O2807" s="39">
        <f>IF($B2807="","",IF(COUNTIFS(NOVEDADES!$C$4:$C$2003,$B2807)=0,"—","SÍ ("&amp;COUNTIFS(NOVEDADES!$C$4:$C$2003,$B2807)&amp;")"))</f>
        <v/>
      </c>
    </row>
    <row r="2808">
      <c r="A2808" s="41" t="n"/>
      <c r="B2808" s="41" t="n"/>
      <c r="C2808" s="41" t="n"/>
      <c r="D2808" s="41" t="n"/>
      <c r="E2808" s="46" t="n"/>
      <c r="F2808" s="41" t="n"/>
      <c r="G2808" s="41" t="n"/>
      <c r="H2808" s="41" t="n"/>
      <c r="I2808" s="41" t="n"/>
      <c r="J2808" s="47" t="n"/>
      <c r="K2808" s="41" t="n"/>
      <c r="L2808" s="48" t="n"/>
      <c r="M2808" s="45" t="n"/>
      <c r="N2808" s="39">
        <f>IF($B2808="","",IF(SUMPRODUCT((LISTAS!$O$3:$O$42&lt;&gt;"")*ISNUMBER(SEARCH(LISTAS!$O$3:$O$42,$I2808&amp;" "&amp;$K2808)))&gt;0,"CERCANA","NACIONAL"))</f>
        <v/>
      </c>
      <c r="O2808" s="39">
        <f>IF($B2808="","",IF(COUNTIFS(NOVEDADES!$C$4:$C$2003,$B2808)=0,"—","SÍ ("&amp;COUNTIFS(NOVEDADES!$C$4:$C$2003,$B2808)&amp;")"))</f>
        <v/>
      </c>
    </row>
    <row r="2809">
      <c r="A2809" s="41" t="n"/>
      <c r="B2809" s="41" t="n"/>
      <c r="C2809" s="41" t="n"/>
      <c r="D2809" s="41" t="n"/>
      <c r="E2809" s="46" t="n"/>
      <c r="F2809" s="41" t="n"/>
      <c r="G2809" s="41" t="n"/>
      <c r="H2809" s="41" t="n"/>
      <c r="I2809" s="41" t="n"/>
      <c r="J2809" s="47" t="n"/>
      <c r="K2809" s="41" t="n"/>
      <c r="L2809" s="48" t="n"/>
      <c r="M2809" s="45" t="n"/>
      <c r="N2809" s="39">
        <f>IF($B2809="","",IF(SUMPRODUCT((LISTAS!$O$3:$O$42&lt;&gt;"")*ISNUMBER(SEARCH(LISTAS!$O$3:$O$42,$I2809&amp;" "&amp;$K2809)))&gt;0,"CERCANA","NACIONAL"))</f>
        <v/>
      </c>
      <c r="O2809" s="39">
        <f>IF($B2809="","",IF(COUNTIFS(NOVEDADES!$C$4:$C$2003,$B2809)=0,"—","SÍ ("&amp;COUNTIFS(NOVEDADES!$C$4:$C$2003,$B2809)&amp;")"))</f>
        <v/>
      </c>
    </row>
    <row r="2810">
      <c r="A2810" s="41" t="n"/>
      <c r="B2810" s="41" t="n"/>
      <c r="C2810" s="41" t="n"/>
      <c r="D2810" s="41" t="n"/>
      <c r="E2810" s="46" t="n"/>
      <c r="F2810" s="41" t="n"/>
      <c r="G2810" s="41" t="n"/>
      <c r="H2810" s="41" t="n"/>
      <c r="I2810" s="41" t="n"/>
      <c r="J2810" s="47" t="n"/>
      <c r="K2810" s="41" t="n"/>
      <c r="L2810" s="48" t="n"/>
      <c r="M2810" s="45" t="n"/>
      <c r="N2810" s="39">
        <f>IF($B2810="","",IF(SUMPRODUCT((LISTAS!$O$3:$O$42&lt;&gt;"")*ISNUMBER(SEARCH(LISTAS!$O$3:$O$42,$I2810&amp;" "&amp;$K2810)))&gt;0,"CERCANA","NACIONAL"))</f>
        <v/>
      </c>
      <c r="O2810" s="39">
        <f>IF($B2810="","",IF(COUNTIFS(NOVEDADES!$C$4:$C$2003,$B2810)=0,"—","SÍ ("&amp;COUNTIFS(NOVEDADES!$C$4:$C$2003,$B2810)&amp;")"))</f>
        <v/>
      </c>
    </row>
    <row r="2811">
      <c r="A2811" s="41" t="n"/>
      <c r="B2811" s="41" t="n"/>
      <c r="C2811" s="41" t="n"/>
      <c r="D2811" s="41" t="n"/>
      <c r="E2811" s="46" t="n"/>
      <c r="F2811" s="41" t="n"/>
      <c r="G2811" s="41" t="n"/>
      <c r="H2811" s="41" t="n"/>
      <c r="I2811" s="41" t="n"/>
      <c r="J2811" s="47" t="n"/>
      <c r="K2811" s="41" t="n"/>
      <c r="L2811" s="48" t="n"/>
      <c r="M2811" s="45" t="n"/>
      <c r="N2811" s="39">
        <f>IF($B2811="","",IF(SUMPRODUCT((LISTAS!$O$3:$O$42&lt;&gt;"")*ISNUMBER(SEARCH(LISTAS!$O$3:$O$42,$I2811&amp;" "&amp;$K2811)))&gt;0,"CERCANA","NACIONAL"))</f>
        <v/>
      </c>
      <c r="O2811" s="39">
        <f>IF($B2811="","",IF(COUNTIFS(NOVEDADES!$C$4:$C$2003,$B2811)=0,"—","SÍ ("&amp;COUNTIFS(NOVEDADES!$C$4:$C$2003,$B2811)&amp;")"))</f>
        <v/>
      </c>
    </row>
    <row r="2812">
      <c r="A2812" s="41" t="n"/>
      <c r="B2812" s="41" t="n"/>
      <c r="C2812" s="41" t="n"/>
      <c r="D2812" s="41" t="n"/>
      <c r="E2812" s="46" t="n"/>
      <c r="F2812" s="41" t="n"/>
      <c r="G2812" s="41" t="n"/>
      <c r="H2812" s="41" t="n"/>
      <c r="I2812" s="41" t="n"/>
      <c r="J2812" s="47" t="n"/>
      <c r="K2812" s="41" t="n"/>
      <c r="L2812" s="48" t="n"/>
      <c r="M2812" s="45" t="n"/>
      <c r="N2812" s="39">
        <f>IF($B2812="","",IF(SUMPRODUCT((LISTAS!$O$3:$O$42&lt;&gt;"")*ISNUMBER(SEARCH(LISTAS!$O$3:$O$42,$I2812&amp;" "&amp;$K2812)))&gt;0,"CERCANA","NACIONAL"))</f>
        <v/>
      </c>
      <c r="O2812" s="39">
        <f>IF($B2812="","",IF(COUNTIFS(NOVEDADES!$C$4:$C$2003,$B2812)=0,"—","SÍ ("&amp;COUNTIFS(NOVEDADES!$C$4:$C$2003,$B2812)&amp;")"))</f>
        <v/>
      </c>
    </row>
    <row r="2813">
      <c r="A2813" s="41" t="n"/>
      <c r="B2813" s="41" t="n"/>
      <c r="C2813" s="41" t="n"/>
      <c r="D2813" s="41" t="n"/>
      <c r="E2813" s="46" t="n"/>
      <c r="F2813" s="41" t="n"/>
      <c r="G2813" s="41" t="n"/>
      <c r="H2813" s="41" t="n"/>
      <c r="I2813" s="41" t="n"/>
      <c r="J2813" s="47" t="n"/>
      <c r="K2813" s="41" t="n"/>
      <c r="L2813" s="48" t="n"/>
      <c r="M2813" s="45" t="n"/>
      <c r="N2813" s="39">
        <f>IF($B2813="","",IF(SUMPRODUCT((LISTAS!$O$3:$O$42&lt;&gt;"")*ISNUMBER(SEARCH(LISTAS!$O$3:$O$42,$I2813&amp;" "&amp;$K2813)))&gt;0,"CERCANA","NACIONAL"))</f>
        <v/>
      </c>
      <c r="O2813" s="39">
        <f>IF($B2813="","",IF(COUNTIFS(NOVEDADES!$C$4:$C$2003,$B2813)=0,"—","SÍ ("&amp;COUNTIFS(NOVEDADES!$C$4:$C$2003,$B2813)&amp;")"))</f>
        <v/>
      </c>
    </row>
    <row r="2814">
      <c r="A2814" s="41" t="n"/>
      <c r="B2814" s="41" t="n"/>
      <c r="C2814" s="41" t="n"/>
      <c r="D2814" s="41" t="n"/>
      <c r="E2814" s="46" t="n"/>
      <c r="F2814" s="41" t="n"/>
      <c r="G2814" s="41" t="n"/>
      <c r="H2814" s="41" t="n"/>
      <c r="I2814" s="41" t="n"/>
      <c r="J2814" s="47" t="n"/>
      <c r="K2814" s="41" t="n"/>
      <c r="L2814" s="48" t="n"/>
      <c r="M2814" s="45" t="n"/>
      <c r="N2814" s="39">
        <f>IF($B2814="","",IF(SUMPRODUCT((LISTAS!$O$3:$O$42&lt;&gt;"")*ISNUMBER(SEARCH(LISTAS!$O$3:$O$42,$I2814&amp;" "&amp;$K2814)))&gt;0,"CERCANA","NACIONAL"))</f>
        <v/>
      </c>
      <c r="O2814" s="39">
        <f>IF($B2814="","",IF(COUNTIFS(NOVEDADES!$C$4:$C$2003,$B2814)=0,"—","SÍ ("&amp;COUNTIFS(NOVEDADES!$C$4:$C$2003,$B2814)&amp;")"))</f>
        <v/>
      </c>
    </row>
    <row r="2815">
      <c r="A2815" s="41" t="n"/>
      <c r="B2815" s="41" t="n"/>
      <c r="C2815" s="41" t="n"/>
      <c r="D2815" s="41" t="n"/>
      <c r="E2815" s="46" t="n"/>
      <c r="F2815" s="41" t="n"/>
      <c r="G2815" s="41" t="n"/>
      <c r="H2815" s="41" t="n"/>
      <c r="I2815" s="41" t="n"/>
      <c r="J2815" s="47" t="n"/>
      <c r="K2815" s="41" t="n"/>
      <c r="L2815" s="48" t="n"/>
      <c r="M2815" s="45" t="n"/>
      <c r="N2815" s="39">
        <f>IF($B2815="","",IF(SUMPRODUCT((LISTAS!$O$3:$O$42&lt;&gt;"")*ISNUMBER(SEARCH(LISTAS!$O$3:$O$42,$I2815&amp;" "&amp;$K2815)))&gt;0,"CERCANA","NACIONAL"))</f>
        <v/>
      </c>
      <c r="O2815" s="39">
        <f>IF($B2815="","",IF(COUNTIFS(NOVEDADES!$C$4:$C$2003,$B2815)=0,"—","SÍ ("&amp;COUNTIFS(NOVEDADES!$C$4:$C$2003,$B2815)&amp;")"))</f>
        <v/>
      </c>
    </row>
    <row r="2816">
      <c r="A2816" s="41" t="n"/>
      <c r="B2816" s="41" t="n"/>
      <c r="C2816" s="41" t="n"/>
      <c r="D2816" s="41" t="n"/>
      <c r="E2816" s="46" t="n"/>
      <c r="F2816" s="41" t="n"/>
      <c r="G2816" s="41" t="n"/>
      <c r="H2816" s="41" t="n"/>
      <c r="I2816" s="41" t="n"/>
      <c r="J2816" s="47" t="n"/>
      <c r="K2816" s="41" t="n"/>
      <c r="L2816" s="48" t="n"/>
      <c r="M2816" s="45" t="n"/>
      <c r="N2816" s="39">
        <f>IF($B2816="","",IF(SUMPRODUCT((LISTAS!$O$3:$O$42&lt;&gt;"")*ISNUMBER(SEARCH(LISTAS!$O$3:$O$42,$I2816&amp;" "&amp;$K2816)))&gt;0,"CERCANA","NACIONAL"))</f>
        <v/>
      </c>
      <c r="O2816" s="39">
        <f>IF($B2816="","",IF(COUNTIFS(NOVEDADES!$C$4:$C$2003,$B2816)=0,"—","SÍ ("&amp;COUNTIFS(NOVEDADES!$C$4:$C$2003,$B2816)&amp;")"))</f>
        <v/>
      </c>
    </row>
    <row r="2817">
      <c r="A2817" s="41" t="n"/>
      <c r="B2817" s="41" t="n"/>
      <c r="C2817" s="41" t="n"/>
      <c r="D2817" s="41" t="n"/>
      <c r="E2817" s="46" t="n"/>
      <c r="F2817" s="41" t="n"/>
      <c r="G2817" s="41" t="n"/>
      <c r="H2817" s="41" t="n"/>
      <c r="I2817" s="41" t="n"/>
      <c r="J2817" s="47" t="n"/>
      <c r="K2817" s="41" t="n"/>
      <c r="L2817" s="48" t="n"/>
      <c r="M2817" s="45" t="n"/>
      <c r="N2817" s="39">
        <f>IF($B2817="","",IF(SUMPRODUCT((LISTAS!$O$3:$O$42&lt;&gt;"")*ISNUMBER(SEARCH(LISTAS!$O$3:$O$42,$I2817&amp;" "&amp;$K2817)))&gt;0,"CERCANA","NACIONAL"))</f>
        <v/>
      </c>
      <c r="O2817" s="39">
        <f>IF($B2817="","",IF(COUNTIFS(NOVEDADES!$C$4:$C$2003,$B2817)=0,"—","SÍ ("&amp;COUNTIFS(NOVEDADES!$C$4:$C$2003,$B2817)&amp;")"))</f>
        <v/>
      </c>
    </row>
    <row r="2818">
      <c r="A2818" s="41" t="n"/>
      <c r="B2818" s="41" t="n"/>
      <c r="C2818" s="41" t="n"/>
      <c r="D2818" s="41" t="n"/>
      <c r="E2818" s="46" t="n"/>
      <c r="F2818" s="41" t="n"/>
      <c r="G2818" s="41" t="n"/>
      <c r="H2818" s="41" t="n"/>
      <c r="I2818" s="41" t="n"/>
      <c r="J2818" s="47" t="n"/>
      <c r="K2818" s="41" t="n"/>
      <c r="L2818" s="48" t="n"/>
      <c r="M2818" s="45" t="n"/>
      <c r="N2818" s="39">
        <f>IF($B2818="","",IF(SUMPRODUCT((LISTAS!$O$3:$O$42&lt;&gt;"")*ISNUMBER(SEARCH(LISTAS!$O$3:$O$42,$I2818&amp;" "&amp;$K2818)))&gt;0,"CERCANA","NACIONAL"))</f>
        <v/>
      </c>
      <c r="O2818" s="39">
        <f>IF($B2818="","",IF(COUNTIFS(NOVEDADES!$C$4:$C$2003,$B2818)=0,"—","SÍ ("&amp;COUNTIFS(NOVEDADES!$C$4:$C$2003,$B2818)&amp;")"))</f>
        <v/>
      </c>
    </row>
    <row r="2819">
      <c r="A2819" s="41" t="n"/>
      <c r="B2819" s="41" t="n"/>
      <c r="C2819" s="41" t="n"/>
      <c r="D2819" s="41" t="n"/>
      <c r="E2819" s="46" t="n"/>
      <c r="F2819" s="41" t="n"/>
      <c r="G2819" s="41" t="n"/>
      <c r="H2819" s="41" t="n"/>
      <c r="I2819" s="41" t="n"/>
      <c r="J2819" s="47" t="n"/>
      <c r="K2819" s="41" t="n"/>
      <c r="L2819" s="48" t="n"/>
      <c r="M2819" s="45" t="n"/>
      <c r="N2819" s="39">
        <f>IF($B2819="","",IF(SUMPRODUCT((LISTAS!$O$3:$O$42&lt;&gt;"")*ISNUMBER(SEARCH(LISTAS!$O$3:$O$42,$I2819&amp;" "&amp;$K2819)))&gt;0,"CERCANA","NACIONAL"))</f>
        <v/>
      </c>
      <c r="O2819" s="39">
        <f>IF($B2819="","",IF(COUNTIFS(NOVEDADES!$C$4:$C$2003,$B2819)=0,"—","SÍ ("&amp;COUNTIFS(NOVEDADES!$C$4:$C$2003,$B2819)&amp;")"))</f>
        <v/>
      </c>
    </row>
    <row r="2820">
      <c r="A2820" s="41" t="n"/>
      <c r="B2820" s="41" t="n"/>
      <c r="C2820" s="41" t="n"/>
      <c r="D2820" s="41" t="n"/>
      <c r="E2820" s="46" t="n"/>
      <c r="F2820" s="41" t="n"/>
      <c r="G2820" s="41" t="n"/>
      <c r="H2820" s="41" t="n"/>
      <c r="I2820" s="41" t="n"/>
      <c r="J2820" s="47" t="n"/>
      <c r="K2820" s="41" t="n"/>
      <c r="L2820" s="48" t="n"/>
      <c r="M2820" s="45" t="n"/>
      <c r="N2820" s="39">
        <f>IF($B2820="","",IF(SUMPRODUCT((LISTAS!$O$3:$O$42&lt;&gt;"")*ISNUMBER(SEARCH(LISTAS!$O$3:$O$42,$I2820&amp;" "&amp;$K2820)))&gt;0,"CERCANA","NACIONAL"))</f>
        <v/>
      </c>
      <c r="O2820" s="39">
        <f>IF($B2820="","",IF(COUNTIFS(NOVEDADES!$C$4:$C$2003,$B2820)=0,"—","SÍ ("&amp;COUNTIFS(NOVEDADES!$C$4:$C$2003,$B2820)&amp;")"))</f>
        <v/>
      </c>
    </row>
    <row r="2821">
      <c r="A2821" s="41" t="n"/>
      <c r="B2821" s="41" t="n"/>
      <c r="C2821" s="41" t="n"/>
      <c r="D2821" s="41" t="n"/>
      <c r="E2821" s="46" t="n"/>
      <c r="F2821" s="41" t="n"/>
      <c r="G2821" s="41" t="n"/>
      <c r="H2821" s="41" t="n"/>
      <c r="I2821" s="41" t="n"/>
      <c r="J2821" s="47" t="n"/>
      <c r="K2821" s="41" t="n"/>
      <c r="L2821" s="48" t="n"/>
      <c r="M2821" s="45" t="n"/>
      <c r="N2821" s="39">
        <f>IF($B2821="","",IF(SUMPRODUCT((LISTAS!$O$3:$O$42&lt;&gt;"")*ISNUMBER(SEARCH(LISTAS!$O$3:$O$42,$I2821&amp;" "&amp;$K2821)))&gt;0,"CERCANA","NACIONAL"))</f>
        <v/>
      </c>
      <c r="O2821" s="39">
        <f>IF($B2821="","",IF(COUNTIFS(NOVEDADES!$C$4:$C$2003,$B2821)=0,"—","SÍ ("&amp;COUNTIFS(NOVEDADES!$C$4:$C$2003,$B2821)&amp;")"))</f>
        <v/>
      </c>
    </row>
    <row r="2822">
      <c r="A2822" s="41" t="n"/>
      <c r="B2822" s="41" t="n"/>
      <c r="C2822" s="41" t="n"/>
      <c r="D2822" s="41" t="n"/>
      <c r="E2822" s="46" t="n"/>
      <c r="F2822" s="41" t="n"/>
      <c r="G2822" s="41" t="n"/>
      <c r="H2822" s="41" t="n"/>
      <c r="I2822" s="41" t="n"/>
      <c r="J2822" s="47" t="n"/>
      <c r="K2822" s="41" t="n"/>
      <c r="L2822" s="48" t="n"/>
      <c r="M2822" s="45" t="n"/>
      <c r="N2822" s="39">
        <f>IF($B2822="","",IF(SUMPRODUCT((LISTAS!$O$3:$O$42&lt;&gt;"")*ISNUMBER(SEARCH(LISTAS!$O$3:$O$42,$I2822&amp;" "&amp;$K2822)))&gt;0,"CERCANA","NACIONAL"))</f>
        <v/>
      </c>
      <c r="O2822" s="39">
        <f>IF($B2822="","",IF(COUNTIFS(NOVEDADES!$C$4:$C$2003,$B2822)=0,"—","SÍ ("&amp;COUNTIFS(NOVEDADES!$C$4:$C$2003,$B2822)&amp;")"))</f>
        <v/>
      </c>
    </row>
    <row r="2823">
      <c r="A2823" s="41" t="n"/>
      <c r="B2823" s="41" t="n"/>
      <c r="C2823" s="41" t="n"/>
      <c r="D2823" s="41" t="n"/>
      <c r="E2823" s="46" t="n"/>
      <c r="F2823" s="41" t="n"/>
      <c r="G2823" s="41" t="n"/>
      <c r="H2823" s="41" t="n"/>
      <c r="I2823" s="41" t="n"/>
      <c r="J2823" s="47" t="n"/>
      <c r="K2823" s="41" t="n"/>
      <c r="L2823" s="48" t="n"/>
      <c r="M2823" s="45" t="n"/>
      <c r="N2823" s="39">
        <f>IF($B2823="","",IF(SUMPRODUCT((LISTAS!$O$3:$O$42&lt;&gt;"")*ISNUMBER(SEARCH(LISTAS!$O$3:$O$42,$I2823&amp;" "&amp;$K2823)))&gt;0,"CERCANA","NACIONAL"))</f>
        <v/>
      </c>
      <c r="O2823" s="39">
        <f>IF($B2823="","",IF(COUNTIFS(NOVEDADES!$C$4:$C$2003,$B2823)=0,"—","SÍ ("&amp;COUNTIFS(NOVEDADES!$C$4:$C$2003,$B2823)&amp;")"))</f>
        <v/>
      </c>
    </row>
    <row r="2824">
      <c r="A2824" s="41" t="n"/>
      <c r="B2824" s="41" t="n"/>
      <c r="C2824" s="41" t="n"/>
      <c r="D2824" s="41" t="n"/>
      <c r="E2824" s="46" t="n"/>
      <c r="F2824" s="41" t="n"/>
      <c r="G2824" s="41" t="n"/>
      <c r="H2824" s="41" t="n"/>
      <c r="I2824" s="41" t="n"/>
      <c r="J2824" s="47" t="n"/>
      <c r="K2824" s="41" t="n"/>
      <c r="L2824" s="48" t="n"/>
      <c r="M2824" s="45" t="n"/>
      <c r="N2824" s="39">
        <f>IF($B2824="","",IF(SUMPRODUCT((LISTAS!$O$3:$O$42&lt;&gt;"")*ISNUMBER(SEARCH(LISTAS!$O$3:$O$42,$I2824&amp;" "&amp;$K2824)))&gt;0,"CERCANA","NACIONAL"))</f>
        <v/>
      </c>
      <c r="O2824" s="39">
        <f>IF($B2824="","",IF(COUNTIFS(NOVEDADES!$C$4:$C$2003,$B2824)=0,"—","SÍ ("&amp;COUNTIFS(NOVEDADES!$C$4:$C$2003,$B2824)&amp;")"))</f>
        <v/>
      </c>
    </row>
    <row r="2825">
      <c r="A2825" s="41" t="n"/>
      <c r="B2825" s="41" t="n"/>
      <c r="C2825" s="41" t="n"/>
      <c r="D2825" s="41" t="n"/>
      <c r="E2825" s="46" t="n"/>
      <c r="F2825" s="41" t="n"/>
      <c r="G2825" s="41" t="n"/>
      <c r="H2825" s="41" t="n"/>
      <c r="I2825" s="41" t="n"/>
      <c r="J2825" s="47" t="n"/>
      <c r="K2825" s="41" t="n"/>
      <c r="L2825" s="48" t="n"/>
      <c r="M2825" s="45" t="n"/>
      <c r="N2825" s="39">
        <f>IF($B2825="","",IF(SUMPRODUCT((LISTAS!$O$3:$O$42&lt;&gt;"")*ISNUMBER(SEARCH(LISTAS!$O$3:$O$42,$I2825&amp;" "&amp;$K2825)))&gt;0,"CERCANA","NACIONAL"))</f>
        <v/>
      </c>
      <c r="O2825" s="39">
        <f>IF($B2825="","",IF(COUNTIFS(NOVEDADES!$C$4:$C$2003,$B2825)=0,"—","SÍ ("&amp;COUNTIFS(NOVEDADES!$C$4:$C$2003,$B2825)&amp;")"))</f>
        <v/>
      </c>
    </row>
    <row r="2826">
      <c r="A2826" s="41" t="n"/>
      <c r="B2826" s="41" t="n"/>
      <c r="C2826" s="41" t="n"/>
      <c r="D2826" s="41" t="n"/>
      <c r="E2826" s="46" t="n"/>
      <c r="F2826" s="41" t="n"/>
      <c r="G2826" s="41" t="n"/>
      <c r="H2826" s="41" t="n"/>
      <c r="I2826" s="41" t="n"/>
      <c r="J2826" s="47" t="n"/>
      <c r="K2826" s="41" t="n"/>
      <c r="L2826" s="48" t="n"/>
      <c r="M2826" s="45" t="n"/>
      <c r="N2826" s="39">
        <f>IF($B2826="","",IF(SUMPRODUCT((LISTAS!$O$3:$O$42&lt;&gt;"")*ISNUMBER(SEARCH(LISTAS!$O$3:$O$42,$I2826&amp;" "&amp;$K2826)))&gt;0,"CERCANA","NACIONAL"))</f>
        <v/>
      </c>
      <c r="O2826" s="39">
        <f>IF($B2826="","",IF(COUNTIFS(NOVEDADES!$C$4:$C$2003,$B2826)=0,"—","SÍ ("&amp;COUNTIFS(NOVEDADES!$C$4:$C$2003,$B2826)&amp;")"))</f>
        <v/>
      </c>
    </row>
    <row r="2827">
      <c r="A2827" s="41" t="n"/>
      <c r="B2827" s="41" t="n"/>
      <c r="C2827" s="41" t="n"/>
      <c r="D2827" s="41" t="n"/>
      <c r="E2827" s="46" t="n"/>
      <c r="F2827" s="41" t="n"/>
      <c r="G2827" s="41" t="n"/>
      <c r="H2827" s="41" t="n"/>
      <c r="I2827" s="41" t="n"/>
      <c r="J2827" s="47" t="n"/>
      <c r="K2827" s="41" t="n"/>
      <c r="L2827" s="48" t="n"/>
      <c r="M2827" s="45" t="n"/>
      <c r="N2827" s="39">
        <f>IF($B2827="","",IF(SUMPRODUCT((LISTAS!$O$3:$O$42&lt;&gt;"")*ISNUMBER(SEARCH(LISTAS!$O$3:$O$42,$I2827&amp;" "&amp;$K2827)))&gt;0,"CERCANA","NACIONAL"))</f>
        <v/>
      </c>
      <c r="O2827" s="39">
        <f>IF($B2827="","",IF(COUNTIFS(NOVEDADES!$C$4:$C$2003,$B2827)=0,"—","SÍ ("&amp;COUNTIFS(NOVEDADES!$C$4:$C$2003,$B2827)&amp;")"))</f>
        <v/>
      </c>
    </row>
    <row r="2828">
      <c r="A2828" s="41" t="n"/>
      <c r="B2828" s="41" t="n"/>
      <c r="C2828" s="41" t="n"/>
      <c r="D2828" s="41" t="n"/>
      <c r="E2828" s="46" t="n"/>
      <c r="F2828" s="41" t="n"/>
      <c r="G2828" s="41" t="n"/>
      <c r="H2828" s="41" t="n"/>
      <c r="I2828" s="41" t="n"/>
      <c r="J2828" s="47" t="n"/>
      <c r="K2828" s="41" t="n"/>
      <c r="L2828" s="48" t="n"/>
      <c r="M2828" s="45" t="n"/>
      <c r="N2828" s="39">
        <f>IF($B2828="","",IF(SUMPRODUCT((LISTAS!$O$3:$O$42&lt;&gt;"")*ISNUMBER(SEARCH(LISTAS!$O$3:$O$42,$I2828&amp;" "&amp;$K2828)))&gt;0,"CERCANA","NACIONAL"))</f>
        <v/>
      </c>
      <c r="O2828" s="39">
        <f>IF($B2828="","",IF(COUNTIFS(NOVEDADES!$C$4:$C$2003,$B2828)=0,"—","SÍ ("&amp;COUNTIFS(NOVEDADES!$C$4:$C$2003,$B2828)&amp;")"))</f>
        <v/>
      </c>
    </row>
    <row r="2829">
      <c r="A2829" s="41" t="n"/>
      <c r="B2829" s="41" t="n"/>
      <c r="C2829" s="41" t="n"/>
      <c r="D2829" s="41" t="n"/>
      <c r="E2829" s="46" t="n"/>
      <c r="F2829" s="41" t="n"/>
      <c r="G2829" s="41" t="n"/>
      <c r="H2829" s="41" t="n"/>
      <c r="I2829" s="41" t="n"/>
      <c r="J2829" s="47" t="n"/>
      <c r="K2829" s="41" t="n"/>
      <c r="L2829" s="48" t="n"/>
      <c r="M2829" s="45" t="n"/>
      <c r="N2829" s="39">
        <f>IF($B2829="","",IF(SUMPRODUCT((LISTAS!$O$3:$O$42&lt;&gt;"")*ISNUMBER(SEARCH(LISTAS!$O$3:$O$42,$I2829&amp;" "&amp;$K2829)))&gt;0,"CERCANA","NACIONAL"))</f>
        <v/>
      </c>
      <c r="O2829" s="39">
        <f>IF($B2829="","",IF(COUNTIFS(NOVEDADES!$C$4:$C$2003,$B2829)=0,"—","SÍ ("&amp;COUNTIFS(NOVEDADES!$C$4:$C$2003,$B2829)&amp;")"))</f>
        <v/>
      </c>
    </row>
    <row r="2830">
      <c r="A2830" s="41" t="n"/>
      <c r="B2830" s="41" t="n"/>
      <c r="C2830" s="41" t="n"/>
      <c r="D2830" s="41" t="n"/>
      <c r="E2830" s="46" t="n"/>
      <c r="F2830" s="41" t="n"/>
      <c r="G2830" s="41" t="n"/>
      <c r="H2830" s="41" t="n"/>
      <c r="I2830" s="41" t="n"/>
      <c r="J2830" s="47" t="n"/>
      <c r="K2830" s="41" t="n"/>
      <c r="L2830" s="48" t="n"/>
      <c r="M2830" s="45" t="n"/>
      <c r="N2830" s="39">
        <f>IF($B2830="","",IF(SUMPRODUCT((LISTAS!$O$3:$O$42&lt;&gt;"")*ISNUMBER(SEARCH(LISTAS!$O$3:$O$42,$I2830&amp;" "&amp;$K2830)))&gt;0,"CERCANA","NACIONAL"))</f>
        <v/>
      </c>
      <c r="O2830" s="39">
        <f>IF($B2830="","",IF(COUNTIFS(NOVEDADES!$C$4:$C$2003,$B2830)=0,"—","SÍ ("&amp;COUNTIFS(NOVEDADES!$C$4:$C$2003,$B2830)&amp;")"))</f>
        <v/>
      </c>
    </row>
    <row r="2831">
      <c r="A2831" s="41" t="n"/>
      <c r="B2831" s="41" t="n"/>
      <c r="C2831" s="41" t="n"/>
      <c r="D2831" s="41" t="n"/>
      <c r="E2831" s="46" t="n"/>
      <c r="F2831" s="41" t="n"/>
      <c r="G2831" s="41" t="n"/>
      <c r="H2831" s="41" t="n"/>
      <c r="I2831" s="41" t="n"/>
      <c r="J2831" s="47" t="n"/>
      <c r="K2831" s="41" t="n"/>
      <c r="L2831" s="48" t="n"/>
      <c r="M2831" s="45" t="n"/>
      <c r="N2831" s="39">
        <f>IF($B2831="","",IF(SUMPRODUCT((LISTAS!$O$3:$O$42&lt;&gt;"")*ISNUMBER(SEARCH(LISTAS!$O$3:$O$42,$I2831&amp;" "&amp;$K2831)))&gt;0,"CERCANA","NACIONAL"))</f>
        <v/>
      </c>
      <c r="O2831" s="39">
        <f>IF($B2831="","",IF(COUNTIFS(NOVEDADES!$C$4:$C$2003,$B2831)=0,"—","SÍ ("&amp;COUNTIFS(NOVEDADES!$C$4:$C$2003,$B2831)&amp;")"))</f>
        <v/>
      </c>
    </row>
    <row r="2832">
      <c r="A2832" s="41" t="n"/>
      <c r="B2832" s="41" t="n"/>
      <c r="C2832" s="41" t="n"/>
      <c r="D2832" s="41" t="n"/>
      <c r="E2832" s="46" t="n"/>
      <c r="F2832" s="41" t="n"/>
      <c r="G2832" s="41" t="n"/>
      <c r="H2832" s="41" t="n"/>
      <c r="I2832" s="41" t="n"/>
      <c r="J2832" s="47" t="n"/>
      <c r="K2832" s="41" t="n"/>
      <c r="L2832" s="48" t="n"/>
      <c r="M2832" s="45" t="n"/>
      <c r="N2832" s="39">
        <f>IF($B2832="","",IF(SUMPRODUCT((LISTAS!$O$3:$O$42&lt;&gt;"")*ISNUMBER(SEARCH(LISTAS!$O$3:$O$42,$I2832&amp;" "&amp;$K2832)))&gt;0,"CERCANA","NACIONAL"))</f>
        <v/>
      </c>
      <c r="O2832" s="39">
        <f>IF($B2832="","",IF(COUNTIFS(NOVEDADES!$C$4:$C$2003,$B2832)=0,"—","SÍ ("&amp;COUNTIFS(NOVEDADES!$C$4:$C$2003,$B2832)&amp;")"))</f>
        <v/>
      </c>
    </row>
    <row r="2833">
      <c r="A2833" s="41" t="n"/>
      <c r="B2833" s="41" t="n"/>
      <c r="C2833" s="41" t="n"/>
      <c r="D2833" s="41" t="n"/>
      <c r="E2833" s="46" t="n"/>
      <c r="F2833" s="41" t="n"/>
      <c r="G2833" s="41" t="n"/>
      <c r="H2833" s="41" t="n"/>
      <c r="I2833" s="41" t="n"/>
      <c r="J2833" s="47" t="n"/>
      <c r="K2833" s="41" t="n"/>
      <c r="L2833" s="48" t="n"/>
      <c r="M2833" s="45" t="n"/>
      <c r="N2833" s="39">
        <f>IF($B2833="","",IF(SUMPRODUCT((LISTAS!$O$3:$O$42&lt;&gt;"")*ISNUMBER(SEARCH(LISTAS!$O$3:$O$42,$I2833&amp;" "&amp;$K2833)))&gt;0,"CERCANA","NACIONAL"))</f>
        <v/>
      </c>
      <c r="O2833" s="39">
        <f>IF($B2833="","",IF(COUNTIFS(NOVEDADES!$C$4:$C$2003,$B2833)=0,"—","SÍ ("&amp;COUNTIFS(NOVEDADES!$C$4:$C$2003,$B2833)&amp;")"))</f>
        <v/>
      </c>
    </row>
    <row r="2834">
      <c r="A2834" s="41" t="n"/>
      <c r="B2834" s="41" t="n"/>
      <c r="C2834" s="41" t="n"/>
      <c r="D2834" s="41" t="n"/>
      <c r="E2834" s="46" t="n"/>
      <c r="F2834" s="41" t="n"/>
      <c r="G2834" s="41" t="n"/>
      <c r="H2834" s="41" t="n"/>
      <c r="I2834" s="41" t="n"/>
      <c r="J2834" s="47" t="n"/>
      <c r="K2834" s="41" t="n"/>
      <c r="L2834" s="48" t="n"/>
      <c r="M2834" s="45" t="n"/>
      <c r="N2834" s="39">
        <f>IF($B2834="","",IF(SUMPRODUCT((LISTAS!$O$3:$O$42&lt;&gt;"")*ISNUMBER(SEARCH(LISTAS!$O$3:$O$42,$I2834&amp;" "&amp;$K2834)))&gt;0,"CERCANA","NACIONAL"))</f>
        <v/>
      </c>
      <c r="O2834" s="39">
        <f>IF($B2834="","",IF(COUNTIFS(NOVEDADES!$C$4:$C$2003,$B2834)=0,"—","SÍ ("&amp;COUNTIFS(NOVEDADES!$C$4:$C$2003,$B2834)&amp;")"))</f>
        <v/>
      </c>
    </row>
    <row r="2835">
      <c r="A2835" s="41" t="n"/>
      <c r="B2835" s="41" t="n"/>
      <c r="C2835" s="41" t="n"/>
      <c r="D2835" s="41" t="n"/>
      <c r="E2835" s="46" t="n"/>
      <c r="F2835" s="41" t="n"/>
      <c r="G2835" s="41" t="n"/>
      <c r="H2835" s="41" t="n"/>
      <c r="I2835" s="41" t="n"/>
      <c r="J2835" s="47" t="n"/>
      <c r="K2835" s="41" t="n"/>
      <c r="L2835" s="48" t="n"/>
      <c r="M2835" s="45" t="n"/>
      <c r="N2835" s="39">
        <f>IF($B2835="","",IF(SUMPRODUCT((LISTAS!$O$3:$O$42&lt;&gt;"")*ISNUMBER(SEARCH(LISTAS!$O$3:$O$42,$I2835&amp;" "&amp;$K2835)))&gt;0,"CERCANA","NACIONAL"))</f>
        <v/>
      </c>
      <c r="O2835" s="39">
        <f>IF($B2835="","",IF(COUNTIFS(NOVEDADES!$C$4:$C$2003,$B2835)=0,"—","SÍ ("&amp;COUNTIFS(NOVEDADES!$C$4:$C$2003,$B2835)&amp;")"))</f>
        <v/>
      </c>
    </row>
    <row r="2836">
      <c r="A2836" s="41" t="n"/>
      <c r="B2836" s="41" t="n"/>
      <c r="C2836" s="41" t="n"/>
      <c r="D2836" s="41" t="n"/>
      <c r="E2836" s="46" t="n"/>
      <c r="F2836" s="41" t="n"/>
      <c r="G2836" s="41" t="n"/>
      <c r="H2836" s="41" t="n"/>
      <c r="I2836" s="41" t="n"/>
      <c r="J2836" s="47" t="n"/>
      <c r="K2836" s="41" t="n"/>
      <c r="L2836" s="48" t="n"/>
      <c r="M2836" s="45" t="n"/>
      <c r="N2836" s="39">
        <f>IF($B2836="","",IF(SUMPRODUCT((LISTAS!$O$3:$O$42&lt;&gt;"")*ISNUMBER(SEARCH(LISTAS!$O$3:$O$42,$I2836&amp;" "&amp;$K2836)))&gt;0,"CERCANA","NACIONAL"))</f>
        <v/>
      </c>
      <c r="O2836" s="39">
        <f>IF($B2836="","",IF(COUNTIFS(NOVEDADES!$C$4:$C$2003,$B2836)=0,"—","SÍ ("&amp;COUNTIFS(NOVEDADES!$C$4:$C$2003,$B2836)&amp;")"))</f>
        <v/>
      </c>
    </row>
    <row r="2837">
      <c r="A2837" s="41" t="n"/>
      <c r="B2837" s="41" t="n"/>
      <c r="C2837" s="41" t="n"/>
      <c r="D2837" s="41" t="n"/>
      <c r="E2837" s="46" t="n"/>
      <c r="F2837" s="41" t="n"/>
      <c r="G2837" s="41" t="n"/>
      <c r="H2837" s="41" t="n"/>
      <c r="I2837" s="41" t="n"/>
      <c r="J2837" s="47" t="n"/>
      <c r="K2837" s="41" t="n"/>
      <c r="L2837" s="48" t="n"/>
      <c r="M2837" s="45" t="n"/>
      <c r="N2837" s="39">
        <f>IF($B2837="","",IF(SUMPRODUCT((LISTAS!$O$3:$O$42&lt;&gt;"")*ISNUMBER(SEARCH(LISTAS!$O$3:$O$42,$I2837&amp;" "&amp;$K2837)))&gt;0,"CERCANA","NACIONAL"))</f>
        <v/>
      </c>
      <c r="O2837" s="39">
        <f>IF($B2837="","",IF(COUNTIFS(NOVEDADES!$C$4:$C$2003,$B2837)=0,"—","SÍ ("&amp;COUNTIFS(NOVEDADES!$C$4:$C$2003,$B2837)&amp;")"))</f>
        <v/>
      </c>
    </row>
    <row r="2838">
      <c r="A2838" s="41" t="n"/>
      <c r="B2838" s="41" t="n"/>
      <c r="C2838" s="41" t="n"/>
      <c r="D2838" s="41" t="n"/>
      <c r="E2838" s="46" t="n"/>
      <c r="F2838" s="41" t="n"/>
      <c r="G2838" s="41" t="n"/>
      <c r="H2838" s="41" t="n"/>
      <c r="I2838" s="41" t="n"/>
      <c r="J2838" s="47" t="n"/>
      <c r="K2838" s="41" t="n"/>
      <c r="L2838" s="48" t="n"/>
      <c r="M2838" s="45" t="n"/>
      <c r="N2838" s="39">
        <f>IF($B2838="","",IF(SUMPRODUCT((LISTAS!$O$3:$O$42&lt;&gt;"")*ISNUMBER(SEARCH(LISTAS!$O$3:$O$42,$I2838&amp;" "&amp;$K2838)))&gt;0,"CERCANA","NACIONAL"))</f>
        <v/>
      </c>
      <c r="O2838" s="39">
        <f>IF($B2838="","",IF(COUNTIFS(NOVEDADES!$C$4:$C$2003,$B2838)=0,"—","SÍ ("&amp;COUNTIFS(NOVEDADES!$C$4:$C$2003,$B2838)&amp;")"))</f>
        <v/>
      </c>
    </row>
    <row r="2839">
      <c r="A2839" s="41" t="n"/>
      <c r="B2839" s="41" t="n"/>
      <c r="C2839" s="41" t="n"/>
      <c r="D2839" s="41" t="n"/>
      <c r="E2839" s="46" t="n"/>
      <c r="F2839" s="41" t="n"/>
      <c r="G2839" s="41" t="n"/>
      <c r="H2839" s="41" t="n"/>
      <c r="I2839" s="41" t="n"/>
      <c r="J2839" s="47" t="n"/>
      <c r="K2839" s="41" t="n"/>
      <c r="L2839" s="48" t="n"/>
      <c r="M2839" s="45" t="n"/>
      <c r="N2839" s="39">
        <f>IF($B2839="","",IF(SUMPRODUCT((LISTAS!$O$3:$O$42&lt;&gt;"")*ISNUMBER(SEARCH(LISTAS!$O$3:$O$42,$I2839&amp;" "&amp;$K2839)))&gt;0,"CERCANA","NACIONAL"))</f>
        <v/>
      </c>
      <c r="O2839" s="39">
        <f>IF($B2839="","",IF(COUNTIFS(NOVEDADES!$C$4:$C$2003,$B2839)=0,"—","SÍ ("&amp;COUNTIFS(NOVEDADES!$C$4:$C$2003,$B2839)&amp;")"))</f>
        <v/>
      </c>
    </row>
    <row r="2840">
      <c r="A2840" s="41" t="n"/>
      <c r="B2840" s="41" t="n"/>
      <c r="C2840" s="41" t="n"/>
      <c r="D2840" s="41" t="n"/>
      <c r="E2840" s="46" t="n"/>
      <c r="F2840" s="41" t="n"/>
      <c r="G2840" s="41" t="n"/>
      <c r="H2840" s="41" t="n"/>
      <c r="I2840" s="41" t="n"/>
      <c r="J2840" s="47" t="n"/>
      <c r="K2840" s="41" t="n"/>
      <c r="L2840" s="48" t="n"/>
      <c r="M2840" s="45" t="n"/>
      <c r="N2840" s="39">
        <f>IF($B2840="","",IF(SUMPRODUCT((LISTAS!$O$3:$O$42&lt;&gt;"")*ISNUMBER(SEARCH(LISTAS!$O$3:$O$42,$I2840&amp;" "&amp;$K2840)))&gt;0,"CERCANA","NACIONAL"))</f>
        <v/>
      </c>
      <c r="O2840" s="39">
        <f>IF($B2840="","",IF(COUNTIFS(NOVEDADES!$C$4:$C$2003,$B2840)=0,"—","SÍ ("&amp;COUNTIFS(NOVEDADES!$C$4:$C$2003,$B2840)&amp;")"))</f>
        <v/>
      </c>
    </row>
    <row r="2841">
      <c r="A2841" s="41" t="n"/>
      <c r="B2841" s="41" t="n"/>
      <c r="C2841" s="41" t="n"/>
      <c r="D2841" s="41" t="n"/>
      <c r="E2841" s="46" t="n"/>
      <c r="F2841" s="41" t="n"/>
      <c r="G2841" s="41" t="n"/>
      <c r="H2841" s="41" t="n"/>
      <c r="I2841" s="41" t="n"/>
      <c r="J2841" s="47" t="n"/>
      <c r="K2841" s="41" t="n"/>
      <c r="L2841" s="48" t="n"/>
      <c r="M2841" s="45" t="n"/>
      <c r="N2841" s="39">
        <f>IF($B2841="","",IF(SUMPRODUCT((LISTAS!$O$3:$O$42&lt;&gt;"")*ISNUMBER(SEARCH(LISTAS!$O$3:$O$42,$I2841&amp;" "&amp;$K2841)))&gt;0,"CERCANA","NACIONAL"))</f>
        <v/>
      </c>
      <c r="O2841" s="39">
        <f>IF($B2841="","",IF(COUNTIFS(NOVEDADES!$C$4:$C$2003,$B2841)=0,"—","SÍ ("&amp;COUNTIFS(NOVEDADES!$C$4:$C$2003,$B2841)&amp;")"))</f>
        <v/>
      </c>
    </row>
    <row r="2842">
      <c r="A2842" s="41" t="n"/>
      <c r="B2842" s="41" t="n"/>
      <c r="C2842" s="41" t="n"/>
      <c r="D2842" s="41" t="n"/>
      <c r="E2842" s="46" t="n"/>
      <c r="F2842" s="41" t="n"/>
      <c r="G2842" s="41" t="n"/>
      <c r="H2842" s="41" t="n"/>
      <c r="I2842" s="41" t="n"/>
      <c r="J2842" s="47" t="n"/>
      <c r="K2842" s="41" t="n"/>
      <c r="L2842" s="48" t="n"/>
      <c r="M2842" s="45" t="n"/>
      <c r="N2842" s="39">
        <f>IF($B2842="","",IF(SUMPRODUCT((LISTAS!$O$3:$O$42&lt;&gt;"")*ISNUMBER(SEARCH(LISTAS!$O$3:$O$42,$I2842&amp;" "&amp;$K2842)))&gt;0,"CERCANA","NACIONAL"))</f>
        <v/>
      </c>
      <c r="O2842" s="39">
        <f>IF($B2842="","",IF(COUNTIFS(NOVEDADES!$C$4:$C$2003,$B2842)=0,"—","SÍ ("&amp;COUNTIFS(NOVEDADES!$C$4:$C$2003,$B2842)&amp;")"))</f>
        <v/>
      </c>
    </row>
    <row r="2843">
      <c r="A2843" s="41" t="n"/>
      <c r="B2843" s="41" t="n"/>
      <c r="C2843" s="41" t="n"/>
      <c r="D2843" s="41" t="n"/>
      <c r="E2843" s="46" t="n"/>
      <c r="F2843" s="41" t="n"/>
      <c r="G2843" s="41" t="n"/>
      <c r="H2843" s="41" t="n"/>
      <c r="I2843" s="41" t="n"/>
      <c r="J2843" s="47" t="n"/>
      <c r="K2843" s="41" t="n"/>
      <c r="L2843" s="48" t="n"/>
      <c r="M2843" s="45" t="n"/>
      <c r="N2843" s="39">
        <f>IF($B2843="","",IF(SUMPRODUCT((LISTAS!$O$3:$O$42&lt;&gt;"")*ISNUMBER(SEARCH(LISTAS!$O$3:$O$42,$I2843&amp;" "&amp;$K2843)))&gt;0,"CERCANA","NACIONAL"))</f>
        <v/>
      </c>
      <c r="O2843" s="39">
        <f>IF($B2843="","",IF(COUNTIFS(NOVEDADES!$C$4:$C$2003,$B2843)=0,"—","SÍ ("&amp;COUNTIFS(NOVEDADES!$C$4:$C$2003,$B2843)&amp;")"))</f>
        <v/>
      </c>
    </row>
    <row r="2844">
      <c r="A2844" s="41" t="n"/>
      <c r="B2844" s="41" t="n"/>
      <c r="C2844" s="41" t="n"/>
      <c r="D2844" s="41" t="n"/>
      <c r="E2844" s="46" t="n"/>
      <c r="F2844" s="41" t="n"/>
      <c r="G2844" s="41" t="n"/>
      <c r="H2844" s="41" t="n"/>
      <c r="I2844" s="41" t="n"/>
      <c r="J2844" s="47" t="n"/>
      <c r="K2844" s="41" t="n"/>
      <c r="L2844" s="48" t="n"/>
      <c r="M2844" s="45" t="n"/>
      <c r="N2844" s="39">
        <f>IF($B2844="","",IF(SUMPRODUCT((LISTAS!$O$3:$O$42&lt;&gt;"")*ISNUMBER(SEARCH(LISTAS!$O$3:$O$42,$I2844&amp;" "&amp;$K2844)))&gt;0,"CERCANA","NACIONAL"))</f>
        <v/>
      </c>
      <c r="O2844" s="39">
        <f>IF($B2844="","",IF(COUNTIFS(NOVEDADES!$C$4:$C$2003,$B2844)=0,"—","SÍ ("&amp;COUNTIFS(NOVEDADES!$C$4:$C$2003,$B2844)&amp;")"))</f>
        <v/>
      </c>
    </row>
    <row r="2845">
      <c r="A2845" s="41" t="n"/>
      <c r="B2845" s="41" t="n"/>
      <c r="C2845" s="41" t="n"/>
      <c r="D2845" s="41" t="n"/>
      <c r="E2845" s="46" t="n"/>
      <c r="F2845" s="41" t="n"/>
      <c r="G2845" s="41" t="n"/>
      <c r="H2845" s="41" t="n"/>
      <c r="I2845" s="41" t="n"/>
      <c r="J2845" s="47" t="n"/>
      <c r="K2845" s="41" t="n"/>
      <c r="L2845" s="48" t="n"/>
      <c r="M2845" s="45" t="n"/>
      <c r="N2845" s="39">
        <f>IF($B2845="","",IF(SUMPRODUCT((LISTAS!$O$3:$O$42&lt;&gt;"")*ISNUMBER(SEARCH(LISTAS!$O$3:$O$42,$I2845&amp;" "&amp;$K2845)))&gt;0,"CERCANA","NACIONAL"))</f>
        <v/>
      </c>
      <c r="O2845" s="39">
        <f>IF($B2845="","",IF(COUNTIFS(NOVEDADES!$C$4:$C$2003,$B2845)=0,"—","SÍ ("&amp;COUNTIFS(NOVEDADES!$C$4:$C$2003,$B2845)&amp;")"))</f>
        <v/>
      </c>
    </row>
    <row r="2846">
      <c r="A2846" s="41" t="n"/>
      <c r="B2846" s="41" t="n"/>
      <c r="C2846" s="41" t="n"/>
      <c r="D2846" s="41" t="n"/>
      <c r="E2846" s="46" t="n"/>
      <c r="F2846" s="41" t="n"/>
      <c r="G2846" s="41" t="n"/>
      <c r="H2846" s="41" t="n"/>
      <c r="I2846" s="41" t="n"/>
      <c r="J2846" s="47" t="n"/>
      <c r="K2846" s="41" t="n"/>
      <c r="L2846" s="48" t="n"/>
      <c r="M2846" s="45" t="n"/>
      <c r="N2846" s="39">
        <f>IF($B2846="","",IF(SUMPRODUCT((LISTAS!$O$3:$O$42&lt;&gt;"")*ISNUMBER(SEARCH(LISTAS!$O$3:$O$42,$I2846&amp;" "&amp;$K2846)))&gt;0,"CERCANA","NACIONAL"))</f>
        <v/>
      </c>
      <c r="O2846" s="39">
        <f>IF($B2846="","",IF(COUNTIFS(NOVEDADES!$C$4:$C$2003,$B2846)=0,"—","SÍ ("&amp;COUNTIFS(NOVEDADES!$C$4:$C$2003,$B2846)&amp;")"))</f>
        <v/>
      </c>
    </row>
    <row r="2847">
      <c r="A2847" s="41" t="n"/>
      <c r="B2847" s="41" t="n"/>
      <c r="C2847" s="41" t="n"/>
      <c r="D2847" s="41" t="n"/>
      <c r="E2847" s="46" t="n"/>
      <c r="F2847" s="41" t="n"/>
      <c r="G2847" s="41" t="n"/>
      <c r="H2847" s="41" t="n"/>
      <c r="I2847" s="41" t="n"/>
      <c r="J2847" s="47" t="n"/>
      <c r="K2847" s="41" t="n"/>
      <c r="L2847" s="48" t="n"/>
      <c r="M2847" s="45" t="n"/>
      <c r="N2847" s="39">
        <f>IF($B2847="","",IF(SUMPRODUCT((LISTAS!$O$3:$O$42&lt;&gt;"")*ISNUMBER(SEARCH(LISTAS!$O$3:$O$42,$I2847&amp;" "&amp;$K2847)))&gt;0,"CERCANA","NACIONAL"))</f>
        <v/>
      </c>
      <c r="O2847" s="39">
        <f>IF($B2847="","",IF(COUNTIFS(NOVEDADES!$C$4:$C$2003,$B2847)=0,"—","SÍ ("&amp;COUNTIFS(NOVEDADES!$C$4:$C$2003,$B2847)&amp;")"))</f>
        <v/>
      </c>
    </row>
    <row r="2848">
      <c r="A2848" s="41" t="n"/>
      <c r="B2848" s="41" t="n"/>
      <c r="C2848" s="41" t="n"/>
      <c r="D2848" s="41" t="n"/>
      <c r="E2848" s="46" t="n"/>
      <c r="F2848" s="41" t="n"/>
      <c r="G2848" s="41" t="n"/>
      <c r="H2848" s="41" t="n"/>
      <c r="I2848" s="41" t="n"/>
      <c r="J2848" s="47" t="n"/>
      <c r="K2848" s="41" t="n"/>
      <c r="L2848" s="48" t="n"/>
      <c r="M2848" s="45" t="n"/>
      <c r="N2848" s="39">
        <f>IF($B2848="","",IF(SUMPRODUCT((LISTAS!$O$3:$O$42&lt;&gt;"")*ISNUMBER(SEARCH(LISTAS!$O$3:$O$42,$I2848&amp;" "&amp;$K2848)))&gt;0,"CERCANA","NACIONAL"))</f>
        <v/>
      </c>
      <c r="O2848" s="39">
        <f>IF($B2848="","",IF(COUNTIFS(NOVEDADES!$C$4:$C$2003,$B2848)=0,"—","SÍ ("&amp;COUNTIFS(NOVEDADES!$C$4:$C$2003,$B2848)&amp;")"))</f>
        <v/>
      </c>
    </row>
    <row r="2849">
      <c r="A2849" s="41" t="n"/>
      <c r="B2849" s="41" t="n"/>
      <c r="C2849" s="41" t="n"/>
      <c r="D2849" s="41" t="n"/>
      <c r="E2849" s="46" t="n"/>
      <c r="F2849" s="41" t="n"/>
      <c r="G2849" s="41" t="n"/>
      <c r="H2849" s="41" t="n"/>
      <c r="I2849" s="41" t="n"/>
      <c r="J2849" s="47" t="n"/>
      <c r="K2849" s="41" t="n"/>
      <c r="L2849" s="48" t="n"/>
      <c r="M2849" s="45" t="n"/>
      <c r="N2849" s="39">
        <f>IF($B2849="","",IF(SUMPRODUCT((LISTAS!$O$3:$O$42&lt;&gt;"")*ISNUMBER(SEARCH(LISTAS!$O$3:$O$42,$I2849&amp;" "&amp;$K2849)))&gt;0,"CERCANA","NACIONAL"))</f>
        <v/>
      </c>
      <c r="O2849" s="39">
        <f>IF($B2849="","",IF(COUNTIFS(NOVEDADES!$C$4:$C$2003,$B2849)=0,"—","SÍ ("&amp;COUNTIFS(NOVEDADES!$C$4:$C$2003,$B2849)&amp;")"))</f>
        <v/>
      </c>
    </row>
    <row r="2850">
      <c r="A2850" s="41" t="n"/>
      <c r="B2850" s="41" t="n"/>
      <c r="C2850" s="41" t="n"/>
      <c r="D2850" s="41" t="n"/>
      <c r="E2850" s="46" t="n"/>
      <c r="F2850" s="41" t="n"/>
      <c r="G2850" s="41" t="n"/>
      <c r="H2850" s="41" t="n"/>
      <c r="I2850" s="41" t="n"/>
      <c r="J2850" s="47" t="n"/>
      <c r="K2850" s="41" t="n"/>
      <c r="L2850" s="48" t="n"/>
      <c r="M2850" s="45" t="n"/>
      <c r="N2850" s="39">
        <f>IF($B2850="","",IF(SUMPRODUCT((LISTAS!$O$3:$O$42&lt;&gt;"")*ISNUMBER(SEARCH(LISTAS!$O$3:$O$42,$I2850&amp;" "&amp;$K2850)))&gt;0,"CERCANA","NACIONAL"))</f>
        <v/>
      </c>
      <c r="O2850" s="39">
        <f>IF($B2850="","",IF(COUNTIFS(NOVEDADES!$C$4:$C$2003,$B2850)=0,"—","SÍ ("&amp;COUNTIFS(NOVEDADES!$C$4:$C$2003,$B2850)&amp;")"))</f>
        <v/>
      </c>
    </row>
    <row r="2851">
      <c r="A2851" s="41" t="n"/>
      <c r="B2851" s="41" t="n"/>
      <c r="C2851" s="41" t="n"/>
      <c r="D2851" s="41" t="n"/>
      <c r="E2851" s="46" t="n"/>
      <c r="F2851" s="41" t="n"/>
      <c r="G2851" s="41" t="n"/>
      <c r="H2851" s="41" t="n"/>
      <c r="I2851" s="41" t="n"/>
      <c r="J2851" s="47" t="n"/>
      <c r="K2851" s="41" t="n"/>
      <c r="L2851" s="48" t="n"/>
      <c r="M2851" s="45" t="n"/>
      <c r="N2851" s="39">
        <f>IF($B2851="","",IF(SUMPRODUCT((LISTAS!$O$3:$O$42&lt;&gt;"")*ISNUMBER(SEARCH(LISTAS!$O$3:$O$42,$I2851&amp;" "&amp;$K2851)))&gt;0,"CERCANA","NACIONAL"))</f>
        <v/>
      </c>
      <c r="O2851" s="39">
        <f>IF($B2851="","",IF(COUNTIFS(NOVEDADES!$C$4:$C$2003,$B2851)=0,"—","SÍ ("&amp;COUNTIFS(NOVEDADES!$C$4:$C$2003,$B2851)&amp;")"))</f>
        <v/>
      </c>
    </row>
    <row r="2852">
      <c r="A2852" s="41" t="n"/>
      <c r="B2852" s="41" t="n"/>
      <c r="C2852" s="41" t="n"/>
      <c r="D2852" s="41" t="n"/>
      <c r="E2852" s="46" t="n"/>
      <c r="F2852" s="41" t="n"/>
      <c r="G2852" s="41" t="n"/>
      <c r="H2852" s="41" t="n"/>
      <c r="I2852" s="41" t="n"/>
      <c r="J2852" s="47" t="n"/>
      <c r="K2852" s="41" t="n"/>
      <c r="L2852" s="48" t="n"/>
      <c r="M2852" s="45" t="n"/>
      <c r="N2852" s="39">
        <f>IF($B2852="","",IF(SUMPRODUCT((LISTAS!$O$3:$O$42&lt;&gt;"")*ISNUMBER(SEARCH(LISTAS!$O$3:$O$42,$I2852&amp;" "&amp;$K2852)))&gt;0,"CERCANA","NACIONAL"))</f>
        <v/>
      </c>
      <c r="O2852" s="39">
        <f>IF($B2852="","",IF(COUNTIFS(NOVEDADES!$C$4:$C$2003,$B2852)=0,"—","SÍ ("&amp;COUNTIFS(NOVEDADES!$C$4:$C$2003,$B2852)&amp;")"))</f>
        <v/>
      </c>
    </row>
    <row r="2853">
      <c r="A2853" s="41" t="n"/>
      <c r="B2853" s="41" t="n"/>
      <c r="C2853" s="41" t="n"/>
      <c r="D2853" s="41" t="n"/>
      <c r="E2853" s="46" t="n"/>
      <c r="F2853" s="41" t="n"/>
      <c r="G2853" s="41" t="n"/>
      <c r="H2853" s="41" t="n"/>
      <c r="I2853" s="41" t="n"/>
      <c r="J2853" s="47" t="n"/>
      <c r="K2853" s="41" t="n"/>
      <c r="L2853" s="48" t="n"/>
      <c r="M2853" s="45" t="n"/>
      <c r="N2853" s="39">
        <f>IF($B2853="","",IF(SUMPRODUCT((LISTAS!$O$3:$O$42&lt;&gt;"")*ISNUMBER(SEARCH(LISTAS!$O$3:$O$42,$I2853&amp;" "&amp;$K2853)))&gt;0,"CERCANA","NACIONAL"))</f>
        <v/>
      </c>
      <c r="O2853" s="39">
        <f>IF($B2853="","",IF(COUNTIFS(NOVEDADES!$C$4:$C$2003,$B2853)=0,"—","SÍ ("&amp;COUNTIFS(NOVEDADES!$C$4:$C$2003,$B2853)&amp;")"))</f>
        <v/>
      </c>
    </row>
    <row r="2854">
      <c r="A2854" s="41" t="n"/>
      <c r="B2854" s="41" t="n"/>
      <c r="C2854" s="41" t="n"/>
      <c r="D2854" s="41" t="n"/>
      <c r="E2854" s="46" t="n"/>
      <c r="F2854" s="41" t="n"/>
      <c r="G2854" s="41" t="n"/>
      <c r="H2854" s="41" t="n"/>
      <c r="I2854" s="41" t="n"/>
      <c r="J2854" s="47" t="n"/>
      <c r="K2854" s="41" t="n"/>
      <c r="L2854" s="48" t="n"/>
      <c r="M2854" s="45" t="n"/>
      <c r="N2854" s="39">
        <f>IF($B2854="","",IF(SUMPRODUCT((LISTAS!$O$3:$O$42&lt;&gt;"")*ISNUMBER(SEARCH(LISTAS!$O$3:$O$42,$I2854&amp;" "&amp;$K2854)))&gt;0,"CERCANA","NACIONAL"))</f>
        <v/>
      </c>
      <c r="O2854" s="39">
        <f>IF($B2854="","",IF(COUNTIFS(NOVEDADES!$C$4:$C$2003,$B2854)=0,"—","SÍ ("&amp;COUNTIFS(NOVEDADES!$C$4:$C$2003,$B2854)&amp;")"))</f>
        <v/>
      </c>
    </row>
    <row r="2855">
      <c r="A2855" s="41" t="n"/>
      <c r="B2855" s="41" t="n"/>
      <c r="C2855" s="41" t="n"/>
      <c r="D2855" s="41" t="n"/>
      <c r="E2855" s="46" t="n"/>
      <c r="F2855" s="41" t="n"/>
      <c r="G2855" s="41" t="n"/>
      <c r="H2855" s="41" t="n"/>
      <c r="I2855" s="41" t="n"/>
      <c r="J2855" s="47" t="n"/>
      <c r="K2855" s="41" t="n"/>
      <c r="L2855" s="48" t="n"/>
      <c r="M2855" s="45" t="n"/>
      <c r="N2855" s="39">
        <f>IF($B2855="","",IF(SUMPRODUCT((LISTAS!$O$3:$O$42&lt;&gt;"")*ISNUMBER(SEARCH(LISTAS!$O$3:$O$42,$I2855&amp;" "&amp;$K2855)))&gt;0,"CERCANA","NACIONAL"))</f>
        <v/>
      </c>
      <c r="O2855" s="39">
        <f>IF($B2855="","",IF(COUNTIFS(NOVEDADES!$C$4:$C$2003,$B2855)=0,"—","SÍ ("&amp;COUNTIFS(NOVEDADES!$C$4:$C$2003,$B2855)&amp;")"))</f>
        <v/>
      </c>
    </row>
    <row r="2856">
      <c r="A2856" s="41" t="n"/>
      <c r="B2856" s="41" t="n"/>
      <c r="C2856" s="41" t="n"/>
      <c r="D2856" s="41" t="n"/>
      <c r="E2856" s="46" t="n"/>
      <c r="F2856" s="41" t="n"/>
      <c r="G2856" s="41" t="n"/>
      <c r="H2856" s="41" t="n"/>
      <c r="I2856" s="41" t="n"/>
      <c r="J2856" s="47" t="n"/>
      <c r="K2856" s="41" t="n"/>
      <c r="L2856" s="48" t="n"/>
      <c r="M2856" s="45" t="n"/>
      <c r="N2856" s="39">
        <f>IF($B2856="","",IF(SUMPRODUCT((LISTAS!$O$3:$O$42&lt;&gt;"")*ISNUMBER(SEARCH(LISTAS!$O$3:$O$42,$I2856&amp;" "&amp;$K2856)))&gt;0,"CERCANA","NACIONAL"))</f>
        <v/>
      </c>
      <c r="O2856" s="39">
        <f>IF($B2856="","",IF(COUNTIFS(NOVEDADES!$C$4:$C$2003,$B2856)=0,"—","SÍ ("&amp;COUNTIFS(NOVEDADES!$C$4:$C$2003,$B2856)&amp;")"))</f>
        <v/>
      </c>
    </row>
    <row r="2857">
      <c r="A2857" s="41" t="n"/>
      <c r="B2857" s="41" t="n"/>
      <c r="C2857" s="41" t="n"/>
      <c r="D2857" s="41" t="n"/>
      <c r="E2857" s="46" t="n"/>
      <c r="F2857" s="41" t="n"/>
      <c r="G2857" s="41" t="n"/>
      <c r="H2857" s="41" t="n"/>
      <c r="I2857" s="41" t="n"/>
      <c r="J2857" s="47" t="n"/>
      <c r="K2857" s="41" t="n"/>
      <c r="L2857" s="48" t="n"/>
      <c r="M2857" s="45" t="n"/>
      <c r="N2857" s="39">
        <f>IF($B2857="","",IF(SUMPRODUCT((LISTAS!$O$3:$O$42&lt;&gt;"")*ISNUMBER(SEARCH(LISTAS!$O$3:$O$42,$I2857&amp;" "&amp;$K2857)))&gt;0,"CERCANA","NACIONAL"))</f>
        <v/>
      </c>
      <c r="O2857" s="39">
        <f>IF($B2857="","",IF(COUNTIFS(NOVEDADES!$C$4:$C$2003,$B2857)=0,"—","SÍ ("&amp;COUNTIFS(NOVEDADES!$C$4:$C$2003,$B2857)&amp;")"))</f>
        <v/>
      </c>
    </row>
    <row r="2858">
      <c r="A2858" s="41" t="n"/>
      <c r="B2858" s="41" t="n"/>
      <c r="C2858" s="41" t="n"/>
      <c r="D2858" s="41" t="n"/>
      <c r="E2858" s="46" t="n"/>
      <c r="F2858" s="41" t="n"/>
      <c r="G2858" s="41" t="n"/>
      <c r="H2858" s="41" t="n"/>
      <c r="I2858" s="41" t="n"/>
      <c r="J2858" s="47" t="n"/>
      <c r="K2858" s="41" t="n"/>
      <c r="L2858" s="48" t="n"/>
      <c r="M2858" s="45" t="n"/>
      <c r="N2858" s="39">
        <f>IF($B2858="","",IF(SUMPRODUCT((LISTAS!$O$3:$O$42&lt;&gt;"")*ISNUMBER(SEARCH(LISTAS!$O$3:$O$42,$I2858&amp;" "&amp;$K2858)))&gt;0,"CERCANA","NACIONAL"))</f>
        <v/>
      </c>
      <c r="O2858" s="39">
        <f>IF($B2858="","",IF(COUNTIFS(NOVEDADES!$C$4:$C$2003,$B2858)=0,"—","SÍ ("&amp;COUNTIFS(NOVEDADES!$C$4:$C$2003,$B2858)&amp;")"))</f>
        <v/>
      </c>
    </row>
    <row r="2859">
      <c r="A2859" s="41" t="n"/>
      <c r="B2859" s="41" t="n"/>
      <c r="C2859" s="41" t="n"/>
      <c r="D2859" s="41" t="n"/>
      <c r="E2859" s="46" t="n"/>
      <c r="F2859" s="41" t="n"/>
      <c r="G2859" s="41" t="n"/>
      <c r="H2859" s="41" t="n"/>
      <c r="I2859" s="41" t="n"/>
      <c r="J2859" s="47" t="n"/>
      <c r="K2859" s="41" t="n"/>
      <c r="L2859" s="48" t="n"/>
      <c r="M2859" s="45" t="n"/>
      <c r="N2859" s="39">
        <f>IF($B2859="","",IF(SUMPRODUCT((LISTAS!$O$3:$O$42&lt;&gt;"")*ISNUMBER(SEARCH(LISTAS!$O$3:$O$42,$I2859&amp;" "&amp;$K2859)))&gt;0,"CERCANA","NACIONAL"))</f>
        <v/>
      </c>
      <c r="O2859" s="39">
        <f>IF($B2859="","",IF(COUNTIFS(NOVEDADES!$C$4:$C$2003,$B2859)=0,"—","SÍ ("&amp;COUNTIFS(NOVEDADES!$C$4:$C$2003,$B2859)&amp;")"))</f>
        <v/>
      </c>
    </row>
    <row r="2860">
      <c r="A2860" s="41" t="n"/>
      <c r="B2860" s="41" t="n"/>
      <c r="C2860" s="41" t="n"/>
      <c r="D2860" s="41" t="n"/>
      <c r="E2860" s="46" t="n"/>
      <c r="F2860" s="41" t="n"/>
      <c r="G2860" s="41" t="n"/>
      <c r="H2860" s="41" t="n"/>
      <c r="I2860" s="41" t="n"/>
      <c r="J2860" s="47" t="n"/>
      <c r="K2860" s="41" t="n"/>
      <c r="L2860" s="48" t="n"/>
      <c r="M2860" s="45" t="n"/>
      <c r="N2860" s="39">
        <f>IF($B2860="","",IF(SUMPRODUCT((LISTAS!$O$3:$O$42&lt;&gt;"")*ISNUMBER(SEARCH(LISTAS!$O$3:$O$42,$I2860&amp;" "&amp;$K2860)))&gt;0,"CERCANA","NACIONAL"))</f>
        <v/>
      </c>
      <c r="O2860" s="39">
        <f>IF($B2860="","",IF(COUNTIFS(NOVEDADES!$C$4:$C$2003,$B2860)=0,"—","SÍ ("&amp;COUNTIFS(NOVEDADES!$C$4:$C$2003,$B2860)&amp;")"))</f>
        <v/>
      </c>
    </row>
    <row r="2861">
      <c r="A2861" s="41" t="n"/>
      <c r="B2861" s="41" t="n"/>
      <c r="C2861" s="41" t="n"/>
      <c r="D2861" s="41" t="n"/>
      <c r="E2861" s="46" t="n"/>
      <c r="F2861" s="41" t="n"/>
      <c r="G2861" s="41" t="n"/>
      <c r="H2861" s="41" t="n"/>
      <c r="I2861" s="41" t="n"/>
      <c r="J2861" s="47" t="n"/>
      <c r="K2861" s="41" t="n"/>
      <c r="L2861" s="48" t="n"/>
      <c r="M2861" s="45" t="n"/>
      <c r="N2861" s="39">
        <f>IF($B2861="","",IF(SUMPRODUCT((LISTAS!$O$3:$O$42&lt;&gt;"")*ISNUMBER(SEARCH(LISTAS!$O$3:$O$42,$I2861&amp;" "&amp;$K2861)))&gt;0,"CERCANA","NACIONAL"))</f>
        <v/>
      </c>
      <c r="O2861" s="39">
        <f>IF($B2861="","",IF(COUNTIFS(NOVEDADES!$C$4:$C$2003,$B2861)=0,"—","SÍ ("&amp;COUNTIFS(NOVEDADES!$C$4:$C$2003,$B2861)&amp;")"))</f>
        <v/>
      </c>
    </row>
    <row r="2862">
      <c r="A2862" s="41" t="n"/>
      <c r="B2862" s="41" t="n"/>
      <c r="C2862" s="41" t="n"/>
      <c r="D2862" s="41" t="n"/>
      <c r="E2862" s="46" t="n"/>
      <c r="F2862" s="41" t="n"/>
      <c r="G2862" s="41" t="n"/>
      <c r="H2862" s="41" t="n"/>
      <c r="I2862" s="41" t="n"/>
      <c r="J2862" s="47" t="n"/>
      <c r="K2862" s="41" t="n"/>
      <c r="L2862" s="48" t="n"/>
      <c r="M2862" s="45" t="n"/>
      <c r="N2862" s="39">
        <f>IF($B2862="","",IF(SUMPRODUCT((LISTAS!$O$3:$O$42&lt;&gt;"")*ISNUMBER(SEARCH(LISTAS!$O$3:$O$42,$I2862&amp;" "&amp;$K2862)))&gt;0,"CERCANA","NACIONAL"))</f>
        <v/>
      </c>
      <c r="O2862" s="39">
        <f>IF($B2862="","",IF(COUNTIFS(NOVEDADES!$C$4:$C$2003,$B2862)=0,"—","SÍ ("&amp;COUNTIFS(NOVEDADES!$C$4:$C$2003,$B2862)&amp;")"))</f>
        <v/>
      </c>
    </row>
    <row r="2863">
      <c r="A2863" s="41" t="n"/>
      <c r="B2863" s="41" t="n"/>
      <c r="C2863" s="41" t="n"/>
      <c r="D2863" s="41" t="n"/>
      <c r="E2863" s="46" t="n"/>
      <c r="F2863" s="41" t="n"/>
      <c r="G2863" s="41" t="n"/>
      <c r="H2863" s="41" t="n"/>
      <c r="I2863" s="41" t="n"/>
      <c r="J2863" s="47" t="n"/>
      <c r="K2863" s="41" t="n"/>
      <c r="L2863" s="48" t="n"/>
      <c r="M2863" s="45" t="n"/>
      <c r="N2863" s="39">
        <f>IF($B2863="","",IF(SUMPRODUCT((LISTAS!$O$3:$O$42&lt;&gt;"")*ISNUMBER(SEARCH(LISTAS!$O$3:$O$42,$I2863&amp;" "&amp;$K2863)))&gt;0,"CERCANA","NACIONAL"))</f>
        <v/>
      </c>
      <c r="O2863" s="39">
        <f>IF($B2863="","",IF(COUNTIFS(NOVEDADES!$C$4:$C$2003,$B2863)=0,"—","SÍ ("&amp;COUNTIFS(NOVEDADES!$C$4:$C$2003,$B2863)&amp;")"))</f>
        <v/>
      </c>
    </row>
    <row r="2864">
      <c r="A2864" s="41" t="n"/>
      <c r="B2864" s="41" t="n"/>
      <c r="C2864" s="41" t="n"/>
      <c r="D2864" s="41" t="n"/>
      <c r="E2864" s="46" t="n"/>
      <c r="F2864" s="41" t="n"/>
      <c r="G2864" s="41" t="n"/>
      <c r="H2864" s="41" t="n"/>
      <c r="I2864" s="41" t="n"/>
      <c r="J2864" s="47" t="n"/>
      <c r="K2864" s="41" t="n"/>
      <c r="L2864" s="48" t="n"/>
      <c r="M2864" s="45" t="n"/>
      <c r="N2864" s="39">
        <f>IF($B2864="","",IF(SUMPRODUCT((LISTAS!$O$3:$O$42&lt;&gt;"")*ISNUMBER(SEARCH(LISTAS!$O$3:$O$42,$I2864&amp;" "&amp;$K2864)))&gt;0,"CERCANA","NACIONAL"))</f>
        <v/>
      </c>
      <c r="O2864" s="39">
        <f>IF($B2864="","",IF(COUNTIFS(NOVEDADES!$C$4:$C$2003,$B2864)=0,"—","SÍ ("&amp;COUNTIFS(NOVEDADES!$C$4:$C$2003,$B2864)&amp;")"))</f>
        <v/>
      </c>
    </row>
    <row r="2865">
      <c r="A2865" s="41" t="n"/>
      <c r="B2865" s="41" t="n"/>
      <c r="C2865" s="41" t="n"/>
      <c r="D2865" s="41" t="n"/>
      <c r="E2865" s="46" t="n"/>
      <c r="F2865" s="41" t="n"/>
      <c r="G2865" s="41" t="n"/>
      <c r="H2865" s="41" t="n"/>
      <c r="I2865" s="41" t="n"/>
      <c r="J2865" s="47" t="n"/>
      <c r="K2865" s="41" t="n"/>
      <c r="L2865" s="48" t="n"/>
      <c r="M2865" s="45" t="n"/>
      <c r="N2865" s="39">
        <f>IF($B2865="","",IF(SUMPRODUCT((LISTAS!$O$3:$O$42&lt;&gt;"")*ISNUMBER(SEARCH(LISTAS!$O$3:$O$42,$I2865&amp;" "&amp;$K2865)))&gt;0,"CERCANA","NACIONAL"))</f>
        <v/>
      </c>
      <c r="O2865" s="39">
        <f>IF($B2865="","",IF(COUNTIFS(NOVEDADES!$C$4:$C$2003,$B2865)=0,"—","SÍ ("&amp;COUNTIFS(NOVEDADES!$C$4:$C$2003,$B2865)&amp;")"))</f>
        <v/>
      </c>
    </row>
    <row r="2866">
      <c r="A2866" s="41" t="n"/>
      <c r="B2866" s="41" t="n"/>
      <c r="C2866" s="41" t="n"/>
      <c r="D2866" s="41" t="n"/>
      <c r="E2866" s="46" t="n"/>
      <c r="F2866" s="41" t="n"/>
      <c r="G2866" s="41" t="n"/>
      <c r="H2866" s="41" t="n"/>
      <c r="I2866" s="41" t="n"/>
      <c r="J2866" s="47" t="n"/>
      <c r="K2866" s="41" t="n"/>
      <c r="L2866" s="48" t="n"/>
      <c r="M2866" s="45" t="n"/>
      <c r="N2866" s="39">
        <f>IF($B2866="","",IF(SUMPRODUCT((LISTAS!$O$3:$O$42&lt;&gt;"")*ISNUMBER(SEARCH(LISTAS!$O$3:$O$42,$I2866&amp;" "&amp;$K2866)))&gt;0,"CERCANA","NACIONAL"))</f>
        <v/>
      </c>
      <c r="O2866" s="39">
        <f>IF($B2866="","",IF(COUNTIFS(NOVEDADES!$C$4:$C$2003,$B2866)=0,"—","SÍ ("&amp;COUNTIFS(NOVEDADES!$C$4:$C$2003,$B2866)&amp;")"))</f>
        <v/>
      </c>
    </row>
    <row r="2867">
      <c r="A2867" s="41" t="n"/>
      <c r="B2867" s="41" t="n"/>
      <c r="C2867" s="41" t="n"/>
      <c r="D2867" s="41" t="n"/>
      <c r="E2867" s="46" t="n"/>
      <c r="F2867" s="41" t="n"/>
      <c r="G2867" s="41" t="n"/>
      <c r="H2867" s="41" t="n"/>
      <c r="I2867" s="41" t="n"/>
      <c r="J2867" s="47" t="n"/>
      <c r="K2867" s="41" t="n"/>
      <c r="L2867" s="48" t="n"/>
      <c r="M2867" s="45" t="n"/>
      <c r="N2867" s="39">
        <f>IF($B2867="","",IF(SUMPRODUCT((LISTAS!$O$3:$O$42&lt;&gt;"")*ISNUMBER(SEARCH(LISTAS!$O$3:$O$42,$I2867&amp;" "&amp;$K2867)))&gt;0,"CERCANA","NACIONAL"))</f>
        <v/>
      </c>
      <c r="O2867" s="39">
        <f>IF($B2867="","",IF(COUNTIFS(NOVEDADES!$C$4:$C$2003,$B2867)=0,"—","SÍ ("&amp;COUNTIFS(NOVEDADES!$C$4:$C$2003,$B2867)&amp;")"))</f>
        <v/>
      </c>
    </row>
    <row r="2868">
      <c r="A2868" s="41" t="n"/>
      <c r="B2868" s="41" t="n"/>
      <c r="C2868" s="41" t="n"/>
      <c r="D2868" s="41" t="n"/>
      <c r="E2868" s="46" t="n"/>
      <c r="F2868" s="41" t="n"/>
      <c r="G2868" s="41" t="n"/>
      <c r="H2868" s="41" t="n"/>
      <c r="I2868" s="41" t="n"/>
      <c r="J2868" s="47" t="n"/>
      <c r="K2868" s="41" t="n"/>
      <c r="L2868" s="48" t="n"/>
      <c r="M2868" s="45" t="n"/>
      <c r="N2868" s="39">
        <f>IF($B2868="","",IF(SUMPRODUCT((LISTAS!$O$3:$O$42&lt;&gt;"")*ISNUMBER(SEARCH(LISTAS!$O$3:$O$42,$I2868&amp;" "&amp;$K2868)))&gt;0,"CERCANA","NACIONAL"))</f>
        <v/>
      </c>
      <c r="O2868" s="39">
        <f>IF($B2868="","",IF(COUNTIFS(NOVEDADES!$C$4:$C$2003,$B2868)=0,"—","SÍ ("&amp;COUNTIFS(NOVEDADES!$C$4:$C$2003,$B2868)&amp;")"))</f>
        <v/>
      </c>
    </row>
    <row r="2869">
      <c r="A2869" s="41" t="n"/>
      <c r="B2869" s="41" t="n"/>
      <c r="C2869" s="41" t="n"/>
      <c r="D2869" s="41" t="n"/>
      <c r="E2869" s="46" t="n"/>
      <c r="F2869" s="41" t="n"/>
      <c r="G2869" s="41" t="n"/>
      <c r="H2869" s="41" t="n"/>
      <c r="I2869" s="41" t="n"/>
      <c r="J2869" s="47" t="n"/>
      <c r="K2869" s="41" t="n"/>
      <c r="L2869" s="48" t="n"/>
      <c r="M2869" s="45" t="n"/>
      <c r="N2869" s="39">
        <f>IF($B2869="","",IF(SUMPRODUCT((LISTAS!$O$3:$O$42&lt;&gt;"")*ISNUMBER(SEARCH(LISTAS!$O$3:$O$42,$I2869&amp;" "&amp;$K2869)))&gt;0,"CERCANA","NACIONAL"))</f>
        <v/>
      </c>
      <c r="O2869" s="39">
        <f>IF($B2869="","",IF(COUNTIFS(NOVEDADES!$C$4:$C$2003,$B2869)=0,"—","SÍ ("&amp;COUNTIFS(NOVEDADES!$C$4:$C$2003,$B2869)&amp;")"))</f>
        <v/>
      </c>
    </row>
    <row r="2870">
      <c r="A2870" s="41" t="n"/>
      <c r="B2870" s="41" t="n"/>
      <c r="C2870" s="41" t="n"/>
      <c r="D2870" s="41" t="n"/>
      <c r="E2870" s="46" t="n"/>
      <c r="F2870" s="41" t="n"/>
      <c r="G2870" s="41" t="n"/>
      <c r="H2870" s="41" t="n"/>
      <c r="I2870" s="41" t="n"/>
      <c r="J2870" s="47" t="n"/>
      <c r="K2870" s="41" t="n"/>
      <c r="L2870" s="48" t="n"/>
      <c r="M2870" s="45" t="n"/>
      <c r="N2870" s="39">
        <f>IF($B2870="","",IF(SUMPRODUCT((LISTAS!$O$3:$O$42&lt;&gt;"")*ISNUMBER(SEARCH(LISTAS!$O$3:$O$42,$I2870&amp;" "&amp;$K2870)))&gt;0,"CERCANA","NACIONAL"))</f>
        <v/>
      </c>
      <c r="O2870" s="39">
        <f>IF($B2870="","",IF(COUNTIFS(NOVEDADES!$C$4:$C$2003,$B2870)=0,"—","SÍ ("&amp;COUNTIFS(NOVEDADES!$C$4:$C$2003,$B2870)&amp;")"))</f>
        <v/>
      </c>
    </row>
    <row r="2871">
      <c r="A2871" s="41" t="n"/>
      <c r="B2871" s="41" t="n"/>
      <c r="C2871" s="41" t="n"/>
      <c r="D2871" s="41" t="n"/>
      <c r="E2871" s="46" t="n"/>
      <c r="F2871" s="41" t="n"/>
      <c r="G2871" s="41" t="n"/>
      <c r="H2871" s="41" t="n"/>
      <c r="I2871" s="41" t="n"/>
      <c r="J2871" s="47" t="n"/>
      <c r="K2871" s="41" t="n"/>
      <c r="L2871" s="48" t="n"/>
      <c r="M2871" s="45" t="n"/>
      <c r="N2871" s="39">
        <f>IF($B2871="","",IF(SUMPRODUCT((LISTAS!$O$3:$O$42&lt;&gt;"")*ISNUMBER(SEARCH(LISTAS!$O$3:$O$42,$I2871&amp;" "&amp;$K2871)))&gt;0,"CERCANA","NACIONAL"))</f>
        <v/>
      </c>
      <c r="O2871" s="39">
        <f>IF($B2871="","",IF(COUNTIFS(NOVEDADES!$C$4:$C$2003,$B2871)=0,"—","SÍ ("&amp;COUNTIFS(NOVEDADES!$C$4:$C$2003,$B2871)&amp;")"))</f>
        <v/>
      </c>
    </row>
    <row r="2872">
      <c r="A2872" s="41" t="n"/>
      <c r="B2872" s="41" t="n"/>
      <c r="C2872" s="41" t="n"/>
      <c r="D2872" s="41" t="n"/>
      <c r="E2872" s="46" t="n"/>
      <c r="F2872" s="41" t="n"/>
      <c r="G2872" s="41" t="n"/>
      <c r="H2872" s="41" t="n"/>
      <c r="I2872" s="41" t="n"/>
      <c r="J2872" s="47" t="n"/>
      <c r="K2872" s="41" t="n"/>
      <c r="L2872" s="48" t="n"/>
      <c r="M2872" s="45" t="n"/>
      <c r="N2872" s="39">
        <f>IF($B2872="","",IF(SUMPRODUCT((LISTAS!$O$3:$O$42&lt;&gt;"")*ISNUMBER(SEARCH(LISTAS!$O$3:$O$42,$I2872&amp;" "&amp;$K2872)))&gt;0,"CERCANA","NACIONAL"))</f>
        <v/>
      </c>
      <c r="O2872" s="39">
        <f>IF($B2872="","",IF(COUNTIFS(NOVEDADES!$C$4:$C$2003,$B2872)=0,"—","SÍ ("&amp;COUNTIFS(NOVEDADES!$C$4:$C$2003,$B2872)&amp;")"))</f>
        <v/>
      </c>
    </row>
    <row r="2873">
      <c r="A2873" s="41" t="n"/>
      <c r="B2873" s="41" t="n"/>
      <c r="C2873" s="41" t="n"/>
      <c r="D2873" s="41" t="n"/>
      <c r="E2873" s="46" t="n"/>
      <c r="F2873" s="41" t="n"/>
      <c r="G2873" s="41" t="n"/>
      <c r="H2873" s="41" t="n"/>
      <c r="I2873" s="41" t="n"/>
      <c r="J2873" s="47" t="n"/>
      <c r="K2873" s="41" t="n"/>
      <c r="L2873" s="48" t="n"/>
      <c r="M2873" s="45" t="n"/>
      <c r="N2873" s="39">
        <f>IF($B2873="","",IF(SUMPRODUCT((LISTAS!$O$3:$O$42&lt;&gt;"")*ISNUMBER(SEARCH(LISTAS!$O$3:$O$42,$I2873&amp;" "&amp;$K2873)))&gt;0,"CERCANA","NACIONAL"))</f>
        <v/>
      </c>
      <c r="O2873" s="39">
        <f>IF($B2873="","",IF(COUNTIFS(NOVEDADES!$C$4:$C$2003,$B2873)=0,"—","SÍ ("&amp;COUNTIFS(NOVEDADES!$C$4:$C$2003,$B2873)&amp;")"))</f>
        <v/>
      </c>
    </row>
    <row r="2874">
      <c r="A2874" s="41" t="n"/>
      <c r="B2874" s="41" t="n"/>
      <c r="C2874" s="41" t="n"/>
      <c r="D2874" s="41" t="n"/>
      <c r="E2874" s="46" t="n"/>
      <c r="F2874" s="41" t="n"/>
      <c r="G2874" s="41" t="n"/>
      <c r="H2874" s="41" t="n"/>
      <c r="I2874" s="41" t="n"/>
      <c r="J2874" s="47" t="n"/>
      <c r="K2874" s="41" t="n"/>
      <c r="L2874" s="48" t="n"/>
      <c r="M2874" s="45" t="n"/>
      <c r="N2874" s="39">
        <f>IF($B2874="","",IF(SUMPRODUCT((LISTAS!$O$3:$O$42&lt;&gt;"")*ISNUMBER(SEARCH(LISTAS!$O$3:$O$42,$I2874&amp;" "&amp;$K2874)))&gt;0,"CERCANA","NACIONAL"))</f>
        <v/>
      </c>
      <c r="O2874" s="39">
        <f>IF($B2874="","",IF(COUNTIFS(NOVEDADES!$C$4:$C$2003,$B2874)=0,"—","SÍ ("&amp;COUNTIFS(NOVEDADES!$C$4:$C$2003,$B2874)&amp;")"))</f>
        <v/>
      </c>
    </row>
    <row r="2875">
      <c r="A2875" s="41" t="n"/>
      <c r="B2875" s="41" t="n"/>
      <c r="C2875" s="41" t="n"/>
      <c r="D2875" s="41" t="n"/>
      <c r="E2875" s="46" t="n"/>
      <c r="F2875" s="41" t="n"/>
      <c r="G2875" s="41" t="n"/>
      <c r="H2875" s="41" t="n"/>
      <c r="I2875" s="41" t="n"/>
      <c r="J2875" s="47" t="n"/>
      <c r="K2875" s="41" t="n"/>
      <c r="L2875" s="48" t="n"/>
      <c r="M2875" s="45" t="n"/>
      <c r="N2875" s="39">
        <f>IF($B2875="","",IF(SUMPRODUCT((LISTAS!$O$3:$O$42&lt;&gt;"")*ISNUMBER(SEARCH(LISTAS!$O$3:$O$42,$I2875&amp;" "&amp;$K2875)))&gt;0,"CERCANA","NACIONAL"))</f>
        <v/>
      </c>
      <c r="O2875" s="39">
        <f>IF($B2875="","",IF(COUNTIFS(NOVEDADES!$C$4:$C$2003,$B2875)=0,"—","SÍ ("&amp;COUNTIFS(NOVEDADES!$C$4:$C$2003,$B2875)&amp;")"))</f>
        <v/>
      </c>
    </row>
    <row r="2876">
      <c r="A2876" s="41" t="n"/>
      <c r="B2876" s="41" t="n"/>
      <c r="C2876" s="41" t="n"/>
      <c r="D2876" s="41" t="n"/>
      <c r="E2876" s="46" t="n"/>
      <c r="F2876" s="41" t="n"/>
      <c r="G2876" s="41" t="n"/>
      <c r="H2876" s="41" t="n"/>
      <c r="I2876" s="41" t="n"/>
      <c r="J2876" s="47" t="n"/>
      <c r="K2876" s="41" t="n"/>
      <c r="L2876" s="48" t="n"/>
      <c r="M2876" s="45" t="n"/>
      <c r="N2876" s="39">
        <f>IF($B2876="","",IF(SUMPRODUCT((LISTAS!$O$3:$O$42&lt;&gt;"")*ISNUMBER(SEARCH(LISTAS!$O$3:$O$42,$I2876&amp;" "&amp;$K2876)))&gt;0,"CERCANA","NACIONAL"))</f>
        <v/>
      </c>
      <c r="O2876" s="39">
        <f>IF($B2876="","",IF(COUNTIFS(NOVEDADES!$C$4:$C$2003,$B2876)=0,"—","SÍ ("&amp;COUNTIFS(NOVEDADES!$C$4:$C$2003,$B2876)&amp;")"))</f>
        <v/>
      </c>
    </row>
    <row r="2877">
      <c r="A2877" s="41" t="n"/>
      <c r="B2877" s="41" t="n"/>
      <c r="C2877" s="41" t="n"/>
      <c r="D2877" s="41" t="n"/>
      <c r="E2877" s="46" t="n"/>
      <c r="F2877" s="41" t="n"/>
      <c r="G2877" s="41" t="n"/>
      <c r="H2877" s="41" t="n"/>
      <c r="I2877" s="41" t="n"/>
      <c r="J2877" s="47" t="n"/>
      <c r="K2877" s="41" t="n"/>
      <c r="L2877" s="48" t="n"/>
      <c r="M2877" s="45" t="n"/>
      <c r="N2877" s="39">
        <f>IF($B2877="","",IF(SUMPRODUCT((LISTAS!$O$3:$O$42&lt;&gt;"")*ISNUMBER(SEARCH(LISTAS!$O$3:$O$42,$I2877&amp;" "&amp;$K2877)))&gt;0,"CERCANA","NACIONAL"))</f>
        <v/>
      </c>
      <c r="O2877" s="39">
        <f>IF($B2877="","",IF(COUNTIFS(NOVEDADES!$C$4:$C$2003,$B2877)=0,"—","SÍ ("&amp;COUNTIFS(NOVEDADES!$C$4:$C$2003,$B2877)&amp;")"))</f>
        <v/>
      </c>
    </row>
    <row r="2878">
      <c r="A2878" s="41" t="n"/>
      <c r="B2878" s="41" t="n"/>
      <c r="C2878" s="41" t="n"/>
      <c r="D2878" s="41" t="n"/>
      <c r="E2878" s="46" t="n"/>
      <c r="F2878" s="41" t="n"/>
      <c r="G2878" s="41" t="n"/>
      <c r="H2878" s="41" t="n"/>
      <c r="I2878" s="41" t="n"/>
      <c r="J2878" s="47" t="n"/>
      <c r="K2878" s="41" t="n"/>
      <c r="L2878" s="48" t="n"/>
      <c r="M2878" s="45" t="n"/>
      <c r="N2878" s="39">
        <f>IF($B2878="","",IF(SUMPRODUCT((LISTAS!$O$3:$O$42&lt;&gt;"")*ISNUMBER(SEARCH(LISTAS!$O$3:$O$42,$I2878&amp;" "&amp;$K2878)))&gt;0,"CERCANA","NACIONAL"))</f>
        <v/>
      </c>
      <c r="O2878" s="39">
        <f>IF($B2878="","",IF(COUNTIFS(NOVEDADES!$C$4:$C$2003,$B2878)=0,"—","SÍ ("&amp;COUNTIFS(NOVEDADES!$C$4:$C$2003,$B2878)&amp;")"))</f>
        <v/>
      </c>
    </row>
    <row r="2879">
      <c r="A2879" s="41" t="n"/>
      <c r="B2879" s="41" t="n"/>
      <c r="C2879" s="41" t="n"/>
      <c r="D2879" s="41" t="n"/>
      <c r="E2879" s="46" t="n"/>
      <c r="F2879" s="41" t="n"/>
      <c r="G2879" s="41" t="n"/>
      <c r="H2879" s="41" t="n"/>
      <c r="I2879" s="41" t="n"/>
      <c r="J2879" s="47" t="n"/>
      <c r="K2879" s="41" t="n"/>
      <c r="L2879" s="48" t="n"/>
      <c r="M2879" s="45" t="n"/>
      <c r="N2879" s="39">
        <f>IF($B2879="","",IF(SUMPRODUCT((LISTAS!$O$3:$O$42&lt;&gt;"")*ISNUMBER(SEARCH(LISTAS!$O$3:$O$42,$I2879&amp;" "&amp;$K2879)))&gt;0,"CERCANA","NACIONAL"))</f>
        <v/>
      </c>
      <c r="O2879" s="39">
        <f>IF($B2879="","",IF(COUNTIFS(NOVEDADES!$C$4:$C$2003,$B2879)=0,"—","SÍ ("&amp;COUNTIFS(NOVEDADES!$C$4:$C$2003,$B2879)&amp;")"))</f>
        <v/>
      </c>
    </row>
    <row r="2880">
      <c r="A2880" s="41" t="n"/>
      <c r="B2880" s="41" t="n"/>
      <c r="C2880" s="41" t="n"/>
      <c r="D2880" s="41" t="n"/>
      <c r="E2880" s="46" t="n"/>
      <c r="F2880" s="41" t="n"/>
      <c r="G2880" s="41" t="n"/>
      <c r="H2880" s="41" t="n"/>
      <c r="I2880" s="41" t="n"/>
      <c r="J2880" s="47" t="n"/>
      <c r="K2880" s="41" t="n"/>
      <c r="L2880" s="48" t="n"/>
      <c r="M2880" s="45" t="n"/>
      <c r="N2880" s="39">
        <f>IF($B2880="","",IF(SUMPRODUCT((LISTAS!$O$3:$O$42&lt;&gt;"")*ISNUMBER(SEARCH(LISTAS!$O$3:$O$42,$I2880&amp;" "&amp;$K2880)))&gt;0,"CERCANA","NACIONAL"))</f>
        <v/>
      </c>
      <c r="O2880" s="39">
        <f>IF($B2880="","",IF(COUNTIFS(NOVEDADES!$C$4:$C$2003,$B2880)=0,"—","SÍ ("&amp;COUNTIFS(NOVEDADES!$C$4:$C$2003,$B2880)&amp;")"))</f>
        <v/>
      </c>
    </row>
    <row r="2881">
      <c r="A2881" s="41" t="n"/>
      <c r="B2881" s="41" t="n"/>
      <c r="C2881" s="41" t="n"/>
      <c r="D2881" s="41" t="n"/>
      <c r="E2881" s="46" t="n"/>
      <c r="F2881" s="41" t="n"/>
      <c r="G2881" s="41" t="n"/>
      <c r="H2881" s="41" t="n"/>
      <c r="I2881" s="41" t="n"/>
      <c r="J2881" s="47" t="n"/>
      <c r="K2881" s="41" t="n"/>
      <c r="L2881" s="48" t="n"/>
      <c r="M2881" s="45" t="n"/>
      <c r="N2881" s="39">
        <f>IF($B2881="","",IF(SUMPRODUCT((LISTAS!$O$3:$O$42&lt;&gt;"")*ISNUMBER(SEARCH(LISTAS!$O$3:$O$42,$I2881&amp;" "&amp;$K2881)))&gt;0,"CERCANA","NACIONAL"))</f>
        <v/>
      </c>
      <c r="O2881" s="39">
        <f>IF($B2881="","",IF(COUNTIFS(NOVEDADES!$C$4:$C$2003,$B2881)=0,"—","SÍ ("&amp;COUNTIFS(NOVEDADES!$C$4:$C$2003,$B2881)&amp;")"))</f>
        <v/>
      </c>
    </row>
    <row r="2882">
      <c r="A2882" s="41" t="n"/>
      <c r="B2882" s="41" t="n"/>
      <c r="C2882" s="41" t="n"/>
      <c r="D2882" s="41" t="n"/>
      <c r="E2882" s="46" t="n"/>
      <c r="F2882" s="41" t="n"/>
      <c r="G2882" s="41" t="n"/>
      <c r="H2882" s="41" t="n"/>
      <c r="I2882" s="41" t="n"/>
      <c r="J2882" s="47" t="n"/>
      <c r="K2882" s="41" t="n"/>
      <c r="L2882" s="48" t="n"/>
      <c r="M2882" s="45" t="n"/>
      <c r="N2882" s="39">
        <f>IF($B2882="","",IF(SUMPRODUCT((LISTAS!$O$3:$O$42&lt;&gt;"")*ISNUMBER(SEARCH(LISTAS!$O$3:$O$42,$I2882&amp;" "&amp;$K2882)))&gt;0,"CERCANA","NACIONAL"))</f>
        <v/>
      </c>
      <c r="O2882" s="39">
        <f>IF($B2882="","",IF(COUNTIFS(NOVEDADES!$C$4:$C$2003,$B2882)=0,"—","SÍ ("&amp;COUNTIFS(NOVEDADES!$C$4:$C$2003,$B2882)&amp;")"))</f>
        <v/>
      </c>
    </row>
    <row r="2883">
      <c r="A2883" s="41" t="n"/>
      <c r="B2883" s="41" t="n"/>
      <c r="C2883" s="41" t="n"/>
      <c r="D2883" s="41" t="n"/>
      <c r="E2883" s="46" t="n"/>
      <c r="F2883" s="41" t="n"/>
      <c r="G2883" s="41" t="n"/>
      <c r="H2883" s="41" t="n"/>
      <c r="I2883" s="41" t="n"/>
      <c r="J2883" s="47" t="n"/>
      <c r="K2883" s="41" t="n"/>
      <c r="L2883" s="48" t="n"/>
      <c r="M2883" s="45" t="n"/>
      <c r="N2883" s="39">
        <f>IF($B2883="","",IF(SUMPRODUCT((LISTAS!$O$3:$O$42&lt;&gt;"")*ISNUMBER(SEARCH(LISTAS!$O$3:$O$42,$I2883&amp;" "&amp;$K2883)))&gt;0,"CERCANA","NACIONAL"))</f>
        <v/>
      </c>
      <c r="O2883" s="39">
        <f>IF($B2883="","",IF(COUNTIFS(NOVEDADES!$C$4:$C$2003,$B2883)=0,"—","SÍ ("&amp;COUNTIFS(NOVEDADES!$C$4:$C$2003,$B2883)&amp;")"))</f>
        <v/>
      </c>
    </row>
    <row r="2884">
      <c r="A2884" s="41" t="n"/>
      <c r="B2884" s="41" t="n"/>
      <c r="C2884" s="41" t="n"/>
      <c r="D2884" s="41" t="n"/>
      <c r="E2884" s="46" t="n"/>
      <c r="F2884" s="41" t="n"/>
      <c r="G2884" s="41" t="n"/>
      <c r="H2884" s="41" t="n"/>
      <c r="I2884" s="41" t="n"/>
      <c r="J2884" s="47" t="n"/>
      <c r="K2884" s="41" t="n"/>
      <c r="L2884" s="48" t="n"/>
      <c r="M2884" s="45" t="n"/>
      <c r="N2884" s="39">
        <f>IF($B2884="","",IF(SUMPRODUCT((LISTAS!$O$3:$O$42&lt;&gt;"")*ISNUMBER(SEARCH(LISTAS!$O$3:$O$42,$I2884&amp;" "&amp;$K2884)))&gt;0,"CERCANA","NACIONAL"))</f>
        <v/>
      </c>
      <c r="O2884" s="39">
        <f>IF($B2884="","",IF(COUNTIFS(NOVEDADES!$C$4:$C$2003,$B2884)=0,"—","SÍ ("&amp;COUNTIFS(NOVEDADES!$C$4:$C$2003,$B2884)&amp;")"))</f>
        <v/>
      </c>
    </row>
    <row r="2885">
      <c r="A2885" s="41" t="n"/>
      <c r="B2885" s="41" t="n"/>
      <c r="C2885" s="41" t="n"/>
      <c r="D2885" s="41" t="n"/>
      <c r="E2885" s="46" t="n"/>
      <c r="F2885" s="41" t="n"/>
      <c r="G2885" s="41" t="n"/>
      <c r="H2885" s="41" t="n"/>
      <c r="I2885" s="41" t="n"/>
      <c r="J2885" s="47" t="n"/>
      <c r="K2885" s="41" t="n"/>
      <c r="L2885" s="48" t="n"/>
      <c r="M2885" s="45" t="n"/>
      <c r="N2885" s="39">
        <f>IF($B2885="","",IF(SUMPRODUCT((LISTAS!$O$3:$O$42&lt;&gt;"")*ISNUMBER(SEARCH(LISTAS!$O$3:$O$42,$I2885&amp;" "&amp;$K2885)))&gt;0,"CERCANA","NACIONAL"))</f>
        <v/>
      </c>
      <c r="O2885" s="39">
        <f>IF($B2885="","",IF(COUNTIFS(NOVEDADES!$C$4:$C$2003,$B2885)=0,"—","SÍ ("&amp;COUNTIFS(NOVEDADES!$C$4:$C$2003,$B2885)&amp;")"))</f>
        <v/>
      </c>
    </row>
    <row r="2886">
      <c r="A2886" s="41" t="n"/>
      <c r="B2886" s="41" t="n"/>
      <c r="C2886" s="41" t="n"/>
      <c r="D2886" s="41" t="n"/>
      <c r="E2886" s="46" t="n"/>
      <c r="F2886" s="41" t="n"/>
      <c r="G2886" s="41" t="n"/>
      <c r="H2886" s="41" t="n"/>
      <c r="I2886" s="41" t="n"/>
      <c r="J2886" s="47" t="n"/>
      <c r="K2886" s="41" t="n"/>
      <c r="L2886" s="48" t="n"/>
      <c r="M2886" s="45" t="n"/>
      <c r="N2886" s="39">
        <f>IF($B2886="","",IF(SUMPRODUCT((LISTAS!$O$3:$O$42&lt;&gt;"")*ISNUMBER(SEARCH(LISTAS!$O$3:$O$42,$I2886&amp;" "&amp;$K2886)))&gt;0,"CERCANA","NACIONAL"))</f>
        <v/>
      </c>
      <c r="O2886" s="39">
        <f>IF($B2886="","",IF(COUNTIFS(NOVEDADES!$C$4:$C$2003,$B2886)=0,"—","SÍ ("&amp;COUNTIFS(NOVEDADES!$C$4:$C$2003,$B2886)&amp;")"))</f>
        <v/>
      </c>
    </row>
    <row r="2887">
      <c r="A2887" s="41" t="n"/>
      <c r="B2887" s="41" t="n"/>
      <c r="C2887" s="41" t="n"/>
      <c r="D2887" s="41" t="n"/>
      <c r="E2887" s="46" t="n"/>
      <c r="F2887" s="41" t="n"/>
      <c r="G2887" s="41" t="n"/>
      <c r="H2887" s="41" t="n"/>
      <c r="I2887" s="41" t="n"/>
      <c r="J2887" s="47" t="n"/>
      <c r="K2887" s="41" t="n"/>
      <c r="L2887" s="48" t="n"/>
      <c r="M2887" s="45" t="n"/>
      <c r="N2887" s="39">
        <f>IF($B2887="","",IF(SUMPRODUCT((LISTAS!$O$3:$O$42&lt;&gt;"")*ISNUMBER(SEARCH(LISTAS!$O$3:$O$42,$I2887&amp;" "&amp;$K2887)))&gt;0,"CERCANA","NACIONAL"))</f>
        <v/>
      </c>
      <c r="O2887" s="39">
        <f>IF($B2887="","",IF(COUNTIFS(NOVEDADES!$C$4:$C$2003,$B2887)=0,"—","SÍ ("&amp;COUNTIFS(NOVEDADES!$C$4:$C$2003,$B2887)&amp;")"))</f>
        <v/>
      </c>
    </row>
    <row r="2888">
      <c r="A2888" s="41" t="n"/>
      <c r="B2888" s="41" t="n"/>
      <c r="C2888" s="41" t="n"/>
      <c r="D2888" s="41" t="n"/>
      <c r="E2888" s="46" t="n"/>
      <c r="F2888" s="41" t="n"/>
      <c r="G2888" s="41" t="n"/>
      <c r="H2888" s="41" t="n"/>
      <c r="I2888" s="41" t="n"/>
      <c r="J2888" s="47" t="n"/>
      <c r="K2888" s="41" t="n"/>
      <c r="L2888" s="48" t="n"/>
      <c r="M2888" s="45" t="n"/>
      <c r="N2888" s="39">
        <f>IF($B2888="","",IF(SUMPRODUCT((LISTAS!$O$3:$O$42&lt;&gt;"")*ISNUMBER(SEARCH(LISTAS!$O$3:$O$42,$I2888&amp;" "&amp;$K2888)))&gt;0,"CERCANA","NACIONAL"))</f>
        <v/>
      </c>
      <c r="O2888" s="39">
        <f>IF($B2888="","",IF(COUNTIFS(NOVEDADES!$C$4:$C$2003,$B2888)=0,"—","SÍ ("&amp;COUNTIFS(NOVEDADES!$C$4:$C$2003,$B2888)&amp;")"))</f>
        <v/>
      </c>
    </row>
    <row r="2889">
      <c r="A2889" s="41" t="n"/>
      <c r="B2889" s="41" t="n"/>
      <c r="C2889" s="41" t="n"/>
      <c r="D2889" s="41" t="n"/>
      <c r="E2889" s="46" t="n"/>
      <c r="F2889" s="41" t="n"/>
      <c r="G2889" s="41" t="n"/>
      <c r="H2889" s="41" t="n"/>
      <c r="I2889" s="41" t="n"/>
      <c r="J2889" s="47" t="n"/>
      <c r="K2889" s="41" t="n"/>
      <c r="L2889" s="48" t="n"/>
      <c r="M2889" s="45" t="n"/>
      <c r="N2889" s="39">
        <f>IF($B2889="","",IF(SUMPRODUCT((LISTAS!$O$3:$O$42&lt;&gt;"")*ISNUMBER(SEARCH(LISTAS!$O$3:$O$42,$I2889&amp;" "&amp;$K2889)))&gt;0,"CERCANA","NACIONAL"))</f>
        <v/>
      </c>
      <c r="O2889" s="39">
        <f>IF($B2889="","",IF(COUNTIFS(NOVEDADES!$C$4:$C$2003,$B2889)=0,"—","SÍ ("&amp;COUNTIFS(NOVEDADES!$C$4:$C$2003,$B2889)&amp;")"))</f>
        <v/>
      </c>
    </row>
    <row r="2890">
      <c r="A2890" s="41" t="n"/>
      <c r="B2890" s="41" t="n"/>
      <c r="C2890" s="41" t="n"/>
      <c r="D2890" s="41" t="n"/>
      <c r="E2890" s="46" t="n"/>
      <c r="F2890" s="41" t="n"/>
      <c r="G2890" s="41" t="n"/>
      <c r="H2890" s="41" t="n"/>
      <c r="I2890" s="41" t="n"/>
      <c r="J2890" s="47" t="n"/>
      <c r="K2890" s="41" t="n"/>
      <c r="L2890" s="48" t="n"/>
      <c r="M2890" s="45" t="n"/>
      <c r="N2890" s="39">
        <f>IF($B2890="","",IF(SUMPRODUCT((LISTAS!$O$3:$O$42&lt;&gt;"")*ISNUMBER(SEARCH(LISTAS!$O$3:$O$42,$I2890&amp;" "&amp;$K2890)))&gt;0,"CERCANA","NACIONAL"))</f>
        <v/>
      </c>
      <c r="O2890" s="39">
        <f>IF($B2890="","",IF(COUNTIFS(NOVEDADES!$C$4:$C$2003,$B2890)=0,"—","SÍ ("&amp;COUNTIFS(NOVEDADES!$C$4:$C$2003,$B2890)&amp;")"))</f>
        <v/>
      </c>
    </row>
    <row r="2891">
      <c r="A2891" s="41" t="n"/>
      <c r="B2891" s="41" t="n"/>
      <c r="C2891" s="41" t="n"/>
      <c r="D2891" s="41" t="n"/>
      <c r="E2891" s="46" t="n"/>
      <c r="F2891" s="41" t="n"/>
      <c r="G2891" s="41" t="n"/>
      <c r="H2891" s="41" t="n"/>
      <c r="I2891" s="41" t="n"/>
      <c r="J2891" s="47" t="n"/>
      <c r="K2891" s="41" t="n"/>
      <c r="L2891" s="48" t="n"/>
      <c r="M2891" s="45" t="n"/>
      <c r="N2891" s="39">
        <f>IF($B2891="","",IF(SUMPRODUCT((LISTAS!$O$3:$O$42&lt;&gt;"")*ISNUMBER(SEARCH(LISTAS!$O$3:$O$42,$I2891&amp;" "&amp;$K2891)))&gt;0,"CERCANA","NACIONAL"))</f>
        <v/>
      </c>
      <c r="O2891" s="39">
        <f>IF($B2891="","",IF(COUNTIFS(NOVEDADES!$C$4:$C$2003,$B2891)=0,"—","SÍ ("&amp;COUNTIFS(NOVEDADES!$C$4:$C$2003,$B2891)&amp;")"))</f>
        <v/>
      </c>
    </row>
    <row r="2892">
      <c r="A2892" s="41" t="n"/>
      <c r="B2892" s="41" t="n"/>
      <c r="C2892" s="41" t="n"/>
      <c r="D2892" s="41" t="n"/>
      <c r="E2892" s="46" t="n"/>
      <c r="F2892" s="41" t="n"/>
      <c r="G2892" s="41" t="n"/>
      <c r="H2892" s="41" t="n"/>
      <c r="I2892" s="41" t="n"/>
      <c r="J2892" s="47" t="n"/>
      <c r="K2892" s="41" t="n"/>
      <c r="L2892" s="48" t="n"/>
      <c r="M2892" s="45" t="n"/>
      <c r="N2892" s="39">
        <f>IF($B2892="","",IF(SUMPRODUCT((LISTAS!$O$3:$O$42&lt;&gt;"")*ISNUMBER(SEARCH(LISTAS!$O$3:$O$42,$I2892&amp;" "&amp;$K2892)))&gt;0,"CERCANA","NACIONAL"))</f>
        <v/>
      </c>
      <c r="O2892" s="39">
        <f>IF($B2892="","",IF(COUNTIFS(NOVEDADES!$C$4:$C$2003,$B2892)=0,"—","SÍ ("&amp;COUNTIFS(NOVEDADES!$C$4:$C$2003,$B2892)&amp;")"))</f>
        <v/>
      </c>
    </row>
    <row r="2893">
      <c r="A2893" s="41" t="n"/>
      <c r="B2893" s="41" t="n"/>
      <c r="C2893" s="41" t="n"/>
      <c r="D2893" s="41" t="n"/>
      <c r="E2893" s="46" t="n"/>
      <c r="F2893" s="41" t="n"/>
      <c r="G2893" s="41" t="n"/>
      <c r="H2893" s="41" t="n"/>
      <c r="I2893" s="41" t="n"/>
      <c r="J2893" s="47" t="n"/>
      <c r="K2893" s="41" t="n"/>
      <c r="L2893" s="48" t="n"/>
      <c r="M2893" s="45" t="n"/>
      <c r="N2893" s="39">
        <f>IF($B2893="","",IF(SUMPRODUCT((LISTAS!$O$3:$O$42&lt;&gt;"")*ISNUMBER(SEARCH(LISTAS!$O$3:$O$42,$I2893&amp;" "&amp;$K2893)))&gt;0,"CERCANA","NACIONAL"))</f>
        <v/>
      </c>
      <c r="O2893" s="39">
        <f>IF($B2893="","",IF(COUNTIFS(NOVEDADES!$C$4:$C$2003,$B2893)=0,"—","SÍ ("&amp;COUNTIFS(NOVEDADES!$C$4:$C$2003,$B2893)&amp;")"))</f>
        <v/>
      </c>
    </row>
    <row r="2894">
      <c r="A2894" s="41" t="n"/>
      <c r="B2894" s="41" t="n"/>
      <c r="C2894" s="41" t="n"/>
      <c r="D2894" s="41" t="n"/>
      <c r="E2894" s="46" t="n"/>
      <c r="F2894" s="41" t="n"/>
      <c r="G2894" s="41" t="n"/>
      <c r="H2894" s="41" t="n"/>
      <c r="I2894" s="41" t="n"/>
      <c r="J2894" s="47" t="n"/>
      <c r="K2894" s="41" t="n"/>
      <c r="L2894" s="48" t="n"/>
      <c r="M2894" s="45" t="n"/>
      <c r="N2894" s="39">
        <f>IF($B2894="","",IF(SUMPRODUCT((LISTAS!$O$3:$O$42&lt;&gt;"")*ISNUMBER(SEARCH(LISTAS!$O$3:$O$42,$I2894&amp;" "&amp;$K2894)))&gt;0,"CERCANA","NACIONAL"))</f>
        <v/>
      </c>
      <c r="O2894" s="39">
        <f>IF($B2894="","",IF(COUNTIFS(NOVEDADES!$C$4:$C$2003,$B2894)=0,"—","SÍ ("&amp;COUNTIFS(NOVEDADES!$C$4:$C$2003,$B2894)&amp;")"))</f>
        <v/>
      </c>
    </row>
    <row r="2895">
      <c r="A2895" s="41" t="n"/>
      <c r="B2895" s="41" t="n"/>
      <c r="C2895" s="41" t="n"/>
      <c r="D2895" s="41" t="n"/>
      <c r="E2895" s="46" t="n"/>
      <c r="F2895" s="41" t="n"/>
      <c r="G2895" s="41" t="n"/>
      <c r="H2895" s="41" t="n"/>
      <c r="I2895" s="41" t="n"/>
      <c r="J2895" s="47" t="n"/>
      <c r="K2895" s="41" t="n"/>
      <c r="L2895" s="48" t="n"/>
      <c r="M2895" s="45" t="n"/>
      <c r="N2895" s="39">
        <f>IF($B2895="","",IF(SUMPRODUCT((LISTAS!$O$3:$O$42&lt;&gt;"")*ISNUMBER(SEARCH(LISTAS!$O$3:$O$42,$I2895&amp;" "&amp;$K2895)))&gt;0,"CERCANA","NACIONAL"))</f>
        <v/>
      </c>
      <c r="O2895" s="39">
        <f>IF($B2895="","",IF(COUNTIFS(NOVEDADES!$C$4:$C$2003,$B2895)=0,"—","SÍ ("&amp;COUNTIFS(NOVEDADES!$C$4:$C$2003,$B2895)&amp;")"))</f>
        <v/>
      </c>
    </row>
    <row r="2896">
      <c r="A2896" s="41" t="n"/>
      <c r="B2896" s="41" t="n"/>
      <c r="C2896" s="41" t="n"/>
      <c r="D2896" s="41" t="n"/>
      <c r="E2896" s="46" t="n"/>
      <c r="F2896" s="41" t="n"/>
      <c r="G2896" s="41" t="n"/>
      <c r="H2896" s="41" t="n"/>
      <c r="I2896" s="41" t="n"/>
      <c r="J2896" s="47" t="n"/>
      <c r="K2896" s="41" t="n"/>
      <c r="L2896" s="48" t="n"/>
      <c r="M2896" s="45" t="n"/>
      <c r="N2896" s="39">
        <f>IF($B2896="","",IF(SUMPRODUCT((LISTAS!$O$3:$O$42&lt;&gt;"")*ISNUMBER(SEARCH(LISTAS!$O$3:$O$42,$I2896&amp;" "&amp;$K2896)))&gt;0,"CERCANA","NACIONAL"))</f>
        <v/>
      </c>
      <c r="O2896" s="39">
        <f>IF($B2896="","",IF(COUNTIFS(NOVEDADES!$C$4:$C$2003,$B2896)=0,"—","SÍ ("&amp;COUNTIFS(NOVEDADES!$C$4:$C$2003,$B2896)&amp;")"))</f>
        <v/>
      </c>
    </row>
    <row r="2897">
      <c r="A2897" s="41" t="n"/>
      <c r="B2897" s="41" t="n"/>
      <c r="C2897" s="41" t="n"/>
      <c r="D2897" s="41" t="n"/>
      <c r="E2897" s="46" t="n"/>
      <c r="F2897" s="41" t="n"/>
      <c r="G2897" s="41" t="n"/>
      <c r="H2897" s="41" t="n"/>
      <c r="I2897" s="41" t="n"/>
      <c r="J2897" s="47" t="n"/>
      <c r="K2897" s="41" t="n"/>
      <c r="L2897" s="48" t="n"/>
      <c r="M2897" s="45" t="n"/>
      <c r="N2897" s="39">
        <f>IF($B2897="","",IF(SUMPRODUCT((LISTAS!$O$3:$O$42&lt;&gt;"")*ISNUMBER(SEARCH(LISTAS!$O$3:$O$42,$I2897&amp;" "&amp;$K2897)))&gt;0,"CERCANA","NACIONAL"))</f>
        <v/>
      </c>
      <c r="O2897" s="39">
        <f>IF($B2897="","",IF(COUNTIFS(NOVEDADES!$C$4:$C$2003,$B2897)=0,"—","SÍ ("&amp;COUNTIFS(NOVEDADES!$C$4:$C$2003,$B2897)&amp;")"))</f>
        <v/>
      </c>
    </row>
    <row r="2898">
      <c r="A2898" s="41" t="n"/>
      <c r="B2898" s="41" t="n"/>
      <c r="C2898" s="41" t="n"/>
      <c r="D2898" s="41" t="n"/>
      <c r="E2898" s="46" t="n"/>
      <c r="F2898" s="41" t="n"/>
      <c r="G2898" s="41" t="n"/>
      <c r="H2898" s="41" t="n"/>
      <c r="I2898" s="41" t="n"/>
      <c r="J2898" s="47" t="n"/>
      <c r="K2898" s="41" t="n"/>
      <c r="L2898" s="48" t="n"/>
      <c r="M2898" s="45" t="n"/>
      <c r="N2898" s="39">
        <f>IF($B2898="","",IF(SUMPRODUCT((LISTAS!$O$3:$O$42&lt;&gt;"")*ISNUMBER(SEARCH(LISTAS!$O$3:$O$42,$I2898&amp;" "&amp;$K2898)))&gt;0,"CERCANA","NACIONAL"))</f>
        <v/>
      </c>
      <c r="O2898" s="39">
        <f>IF($B2898="","",IF(COUNTIFS(NOVEDADES!$C$4:$C$2003,$B2898)=0,"—","SÍ ("&amp;COUNTIFS(NOVEDADES!$C$4:$C$2003,$B2898)&amp;")"))</f>
        <v/>
      </c>
    </row>
    <row r="2899">
      <c r="A2899" s="41" t="n"/>
      <c r="B2899" s="41" t="n"/>
      <c r="C2899" s="41" t="n"/>
      <c r="D2899" s="41" t="n"/>
      <c r="E2899" s="46" t="n"/>
      <c r="F2899" s="41" t="n"/>
      <c r="G2899" s="41" t="n"/>
      <c r="H2899" s="41" t="n"/>
      <c r="I2899" s="41" t="n"/>
      <c r="J2899" s="47" t="n"/>
      <c r="K2899" s="41" t="n"/>
      <c r="L2899" s="48" t="n"/>
      <c r="M2899" s="45" t="n"/>
      <c r="N2899" s="39">
        <f>IF($B2899="","",IF(SUMPRODUCT((LISTAS!$O$3:$O$42&lt;&gt;"")*ISNUMBER(SEARCH(LISTAS!$O$3:$O$42,$I2899&amp;" "&amp;$K2899)))&gt;0,"CERCANA","NACIONAL"))</f>
        <v/>
      </c>
      <c r="O2899" s="39">
        <f>IF($B2899="","",IF(COUNTIFS(NOVEDADES!$C$4:$C$2003,$B2899)=0,"—","SÍ ("&amp;COUNTIFS(NOVEDADES!$C$4:$C$2003,$B2899)&amp;")"))</f>
        <v/>
      </c>
    </row>
    <row r="2900">
      <c r="A2900" s="41" t="n"/>
      <c r="B2900" s="41" t="n"/>
      <c r="C2900" s="41" t="n"/>
      <c r="D2900" s="41" t="n"/>
      <c r="E2900" s="46" t="n"/>
      <c r="F2900" s="41" t="n"/>
      <c r="G2900" s="41" t="n"/>
      <c r="H2900" s="41" t="n"/>
      <c r="I2900" s="41" t="n"/>
      <c r="J2900" s="47" t="n"/>
      <c r="K2900" s="41" t="n"/>
      <c r="L2900" s="48" t="n"/>
      <c r="M2900" s="45" t="n"/>
      <c r="N2900" s="39">
        <f>IF($B2900="","",IF(SUMPRODUCT((LISTAS!$O$3:$O$42&lt;&gt;"")*ISNUMBER(SEARCH(LISTAS!$O$3:$O$42,$I2900&amp;" "&amp;$K2900)))&gt;0,"CERCANA","NACIONAL"))</f>
        <v/>
      </c>
      <c r="O2900" s="39">
        <f>IF($B2900="","",IF(COUNTIFS(NOVEDADES!$C$4:$C$2003,$B2900)=0,"—","SÍ ("&amp;COUNTIFS(NOVEDADES!$C$4:$C$2003,$B2900)&amp;")"))</f>
        <v/>
      </c>
    </row>
    <row r="2901">
      <c r="A2901" s="41" t="n"/>
      <c r="B2901" s="41" t="n"/>
      <c r="C2901" s="41" t="n"/>
      <c r="D2901" s="41" t="n"/>
      <c r="E2901" s="46" t="n"/>
      <c r="F2901" s="41" t="n"/>
      <c r="G2901" s="41" t="n"/>
      <c r="H2901" s="41" t="n"/>
      <c r="I2901" s="41" t="n"/>
      <c r="J2901" s="47" t="n"/>
      <c r="K2901" s="41" t="n"/>
      <c r="L2901" s="48" t="n"/>
      <c r="M2901" s="45" t="n"/>
      <c r="N2901" s="39">
        <f>IF($B2901="","",IF(SUMPRODUCT((LISTAS!$O$3:$O$42&lt;&gt;"")*ISNUMBER(SEARCH(LISTAS!$O$3:$O$42,$I2901&amp;" "&amp;$K2901)))&gt;0,"CERCANA","NACIONAL"))</f>
        <v/>
      </c>
      <c r="O2901" s="39">
        <f>IF($B2901="","",IF(COUNTIFS(NOVEDADES!$C$4:$C$2003,$B2901)=0,"—","SÍ ("&amp;COUNTIFS(NOVEDADES!$C$4:$C$2003,$B2901)&amp;")"))</f>
        <v/>
      </c>
    </row>
    <row r="2902">
      <c r="A2902" s="41" t="n"/>
      <c r="B2902" s="41" t="n"/>
      <c r="C2902" s="41" t="n"/>
      <c r="D2902" s="41" t="n"/>
      <c r="E2902" s="46" t="n"/>
      <c r="F2902" s="41" t="n"/>
      <c r="G2902" s="41" t="n"/>
      <c r="H2902" s="41" t="n"/>
      <c r="I2902" s="41" t="n"/>
      <c r="J2902" s="47" t="n"/>
      <c r="K2902" s="41" t="n"/>
      <c r="L2902" s="48" t="n"/>
      <c r="M2902" s="45" t="n"/>
      <c r="N2902" s="39">
        <f>IF($B2902="","",IF(SUMPRODUCT((LISTAS!$O$3:$O$42&lt;&gt;"")*ISNUMBER(SEARCH(LISTAS!$O$3:$O$42,$I2902&amp;" "&amp;$K2902)))&gt;0,"CERCANA","NACIONAL"))</f>
        <v/>
      </c>
      <c r="O2902" s="39">
        <f>IF($B2902="","",IF(COUNTIFS(NOVEDADES!$C$4:$C$2003,$B2902)=0,"—","SÍ ("&amp;COUNTIFS(NOVEDADES!$C$4:$C$2003,$B2902)&amp;")"))</f>
        <v/>
      </c>
    </row>
    <row r="2903">
      <c r="A2903" s="41" t="n"/>
      <c r="B2903" s="41" t="n"/>
      <c r="C2903" s="41" t="n"/>
      <c r="D2903" s="41" t="n"/>
      <c r="E2903" s="46" t="n"/>
      <c r="F2903" s="41" t="n"/>
      <c r="G2903" s="41" t="n"/>
      <c r="H2903" s="41" t="n"/>
      <c r="I2903" s="41" t="n"/>
      <c r="J2903" s="47" t="n"/>
      <c r="K2903" s="41" t="n"/>
      <c r="L2903" s="48" t="n"/>
      <c r="M2903" s="45" t="n"/>
      <c r="N2903" s="39">
        <f>IF($B2903="","",IF(SUMPRODUCT((LISTAS!$O$3:$O$42&lt;&gt;"")*ISNUMBER(SEARCH(LISTAS!$O$3:$O$42,$I2903&amp;" "&amp;$K2903)))&gt;0,"CERCANA","NACIONAL"))</f>
        <v/>
      </c>
      <c r="O2903" s="39">
        <f>IF($B2903="","",IF(COUNTIFS(NOVEDADES!$C$4:$C$2003,$B2903)=0,"—","SÍ ("&amp;COUNTIFS(NOVEDADES!$C$4:$C$2003,$B2903)&amp;")"))</f>
        <v/>
      </c>
    </row>
    <row r="2904">
      <c r="A2904" s="41" t="n"/>
      <c r="B2904" s="41" t="n"/>
      <c r="C2904" s="41" t="n"/>
      <c r="D2904" s="41" t="n"/>
      <c r="E2904" s="46" t="n"/>
      <c r="F2904" s="41" t="n"/>
      <c r="G2904" s="41" t="n"/>
      <c r="H2904" s="41" t="n"/>
      <c r="I2904" s="41" t="n"/>
      <c r="J2904" s="47" t="n"/>
      <c r="K2904" s="41" t="n"/>
      <c r="L2904" s="48" t="n"/>
      <c r="M2904" s="45" t="n"/>
      <c r="N2904" s="39">
        <f>IF($B2904="","",IF(SUMPRODUCT((LISTAS!$O$3:$O$42&lt;&gt;"")*ISNUMBER(SEARCH(LISTAS!$O$3:$O$42,$I2904&amp;" "&amp;$K2904)))&gt;0,"CERCANA","NACIONAL"))</f>
        <v/>
      </c>
      <c r="O2904" s="39">
        <f>IF($B2904="","",IF(COUNTIFS(NOVEDADES!$C$4:$C$2003,$B2904)=0,"—","SÍ ("&amp;COUNTIFS(NOVEDADES!$C$4:$C$2003,$B2904)&amp;")"))</f>
        <v/>
      </c>
    </row>
    <row r="2905">
      <c r="A2905" s="41" t="n"/>
      <c r="B2905" s="41" t="n"/>
      <c r="C2905" s="41" t="n"/>
      <c r="D2905" s="41" t="n"/>
      <c r="E2905" s="46" t="n"/>
      <c r="F2905" s="41" t="n"/>
      <c r="G2905" s="41" t="n"/>
      <c r="H2905" s="41" t="n"/>
      <c r="I2905" s="41" t="n"/>
      <c r="J2905" s="47" t="n"/>
      <c r="K2905" s="41" t="n"/>
      <c r="L2905" s="48" t="n"/>
      <c r="M2905" s="45" t="n"/>
      <c r="N2905" s="39">
        <f>IF($B2905="","",IF(SUMPRODUCT((LISTAS!$O$3:$O$42&lt;&gt;"")*ISNUMBER(SEARCH(LISTAS!$O$3:$O$42,$I2905&amp;" "&amp;$K2905)))&gt;0,"CERCANA","NACIONAL"))</f>
        <v/>
      </c>
      <c r="O2905" s="39">
        <f>IF($B2905="","",IF(COUNTIFS(NOVEDADES!$C$4:$C$2003,$B2905)=0,"—","SÍ ("&amp;COUNTIFS(NOVEDADES!$C$4:$C$2003,$B2905)&amp;")"))</f>
        <v/>
      </c>
    </row>
    <row r="2906">
      <c r="A2906" s="41" t="n"/>
      <c r="B2906" s="41" t="n"/>
      <c r="C2906" s="41" t="n"/>
      <c r="D2906" s="41" t="n"/>
      <c r="E2906" s="46" t="n"/>
      <c r="F2906" s="41" t="n"/>
      <c r="G2906" s="41" t="n"/>
      <c r="H2906" s="41" t="n"/>
      <c r="I2906" s="41" t="n"/>
      <c r="J2906" s="47" t="n"/>
      <c r="K2906" s="41" t="n"/>
      <c r="L2906" s="48" t="n"/>
      <c r="M2906" s="45" t="n"/>
      <c r="N2906" s="39">
        <f>IF($B2906="","",IF(SUMPRODUCT((LISTAS!$O$3:$O$42&lt;&gt;"")*ISNUMBER(SEARCH(LISTAS!$O$3:$O$42,$I2906&amp;" "&amp;$K2906)))&gt;0,"CERCANA","NACIONAL"))</f>
        <v/>
      </c>
      <c r="O2906" s="39">
        <f>IF($B2906="","",IF(COUNTIFS(NOVEDADES!$C$4:$C$2003,$B2906)=0,"—","SÍ ("&amp;COUNTIFS(NOVEDADES!$C$4:$C$2003,$B2906)&amp;")"))</f>
        <v/>
      </c>
    </row>
    <row r="2907">
      <c r="A2907" s="41" t="n"/>
      <c r="B2907" s="41" t="n"/>
      <c r="C2907" s="41" t="n"/>
      <c r="D2907" s="41" t="n"/>
      <c r="E2907" s="46" t="n"/>
      <c r="F2907" s="41" t="n"/>
      <c r="G2907" s="41" t="n"/>
      <c r="H2907" s="41" t="n"/>
      <c r="I2907" s="41" t="n"/>
      <c r="J2907" s="47" t="n"/>
      <c r="K2907" s="41" t="n"/>
      <c r="L2907" s="48" t="n"/>
      <c r="M2907" s="45" t="n"/>
      <c r="N2907" s="39">
        <f>IF($B2907="","",IF(SUMPRODUCT((LISTAS!$O$3:$O$42&lt;&gt;"")*ISNUMBER(SEARCH(LISTAS!$O$3:$O$42,$I2907&amp;" "&amp;$K2907)))&gt;0,"CERCANA","NACIONAL"))</f>
        <v/>
      </c>
      <c r="O2907" s="39">
        <f>IF($B2907="","",IF(COUNTIFS(NOVEDADES!$C$4:$C$2003,$B2907)=0,"—","SÍ ("&amp;COUNTIFS(NOVEDADES!$C$4:$C$2003,$B2907)&amp;")"))</f>
        <v/>
      </c>
    </row>
    <row r="2908">
      <c r="A2908" s="41" t="n"/>
      <c r="B2908" s="41" t="n"/>
      <c r="C2908" s="41" t="n"/>
      <c r="D2908" s="41" t="n"/>
      <c r="E2908" s="46" t="n"/>
      <c r="F2908" s="41" t="n"/>
      <c r="G2908" s="41" t="n"/>
      <c r="H2908" s="41" t="n"/>
      <c r="I2908" s="41" t="n"/>
      <c r="J2908" s="47" t="n"/>
      <c r="K2908" s="41" t="n"/>
      <c r="L2908" s="48" t="n"/>
      <c r="M2908" s="45" t="n"/>
      <c r="N2908" s="39">
        <f>IF($B2908="","",IF(SUMPRODUCT((LISTAS!$O$3:$O$42&lt;&gt;"")*ISNUMBER(SEARCH(LISTAS!$O$3:$O$42,$I2908&amp;" "&amp;$K2908)))&gt;0,"CERCANA","NACIONAL"))</f>
        <v/>
      </c>
      <c r="O2908" s="39">
        <f>IF($B2908="","",IF(COUNTIFS(NOVEDADES!$C$4:$C$2003,$B2908)=0,"—","SÍ ("&amp;COUNTIFS(NOVEDADES!$C$4:$C$2003,$B2908)&amp;")"))</f>
        <v/>
      </c>
    </row>
    <row r="2909">
      <c r="A2909" s="41" t="n"/>
      <c r="B2909" s="41" t="n"/>
      <c r="C2909" s="41" t="n"/>
      <c r="D2909" s="41" t="n"/>
      <c r="E2909" s="46" t="n"/>
      <c r="F2909" s="41" t="n"/>
      <c r="G2909" s="41" t="n"/>
      <c r="H2909" s="41" t="n"/>
      <c r="I2909" s="41" t="n"/>
      <c r="J2909" s="47" t="n"/>
      <c r="K2909" s="41" t="n"/>
      <c r="L2909" s="48" t="n"/>
      <c r="M2909" s="45" t="n"/>
      <c r="N2909" s="39">
        <f>IF($B2909="","",IF(SUMPRODUCT((LISTAS!$O$3:$O$42&lt;&gt;"")*ISNUMBER(SEARCH(LISTAS!$O$3:$O$42,$I2909&amp;" "&amp;$K2909)))&gt;0,"CERCANA","NACIONAL"))</f>
        <v/>
      </c>
      <c r="O2909" s="39">
        <f>IF($B2909="","",IF(COUNTIFS(NOVEDADES!$C$4:$C$2003,$B2909)=0,"—","SÍ ("&amp;COUNTIFS(NOVEDADES!$C$4:$C$2003,$B2909)&amp;")"))</f>
        <v/>
      </c>
    </row>
    <row r="2910">
      <c r="A2910" s="41" t="n"/>
      <c r="B2910" s="41" t="n"/>
      <c r="C2910" s="41" t="n"/>
      <c r="D2910" s="41" t="n"/>
      <c r="E2910" s="46" t="n"/>
      <c r="F2910" s="41" t="n"/>
      <c r="G2910" s="41" t="n"/>
      <c r="H2910" s="41" t="n"/>
      <c r="I2910" s="41" t="n"/>
      <c r="J2910" s="47" t="n"/>
      <c r="K2910" s="41" t="n"/>
      <c r="L2910" s="48" t="n"/>
      <c r="M2910" s="45" t="n"/>
      <c r="N2910" s="39">
        <f>IF($B2910="","",IF(SUMPRODUCT((LISTAS!$O$3:$O$42&lt;&gt;"")*ISNUMBER(SEARCH(LISTAS!$O$3:$O$42,$I2910&amp;" "&amp;$K2910)))&gt;0,"CERCANA","NACIONAL"))</f>
        <v/>
      </c>
      <c r="O2910" s="39">
        <f>IF($B2910="","",IF(COUNTIFS(NOVEDADES!$C$4:$C$2003,$B2910)=0,"—","SÍ ("&amp;COUNTIFS(NOVEDADES!$C$4:$C$2003,$B2910)&amp;")"))</f>
        <v/>
      </c>
    </row>
    <row r="2911">
      <c r="A2911" s="41" t="n"/>
      <c r="B2911" s="41" t="n"/>
      <c r="C2911" s="41" t="n"/>
      <c r="D2911" s="41" t="n"/>
      <c r="E2911" s="46" t="n"/>
      <c r="F2911" s="41" t="n"/>
      <c r="G2911" s="41" t="n"/>
      <c r="H2911" s="41" t="n"/>
      <c r="I2911" s="41" t="n"/>
      <c r="J2911" s="47" t="n"/>
      <c r="K2911" s="41" t="n"/>
      <c r="L2911" s="48" t="n"/>
      <c r="M2911" s="45" t="n"/>
      <c r="N2911" s="39">
        <f>IF($B2911="","",IF(SUMPRODUCT((LISTAS!$O$3:$O$42&lt;&gt;"")*ISNUMBER(SEARCH(LISTAS!$O$3:$O$42,$I2911&amp;" "&amp;$K2911)))&gt;0,"CERCANA","NACIONAL"))</f>
        <v/>
      </c>
      <c r="O2911" s="39">
        <f>IF($B2911="","",IF(COUNTIFS(NOVEDADES!$C$4:$C$2003,$B2911)=0,"—","SÍ ("&amp;COUNTIFS(NOVEDADES!$C$4:$C$2003,$B2911)&amp;")"))</f>
        <v/>
      </c>
    </row>
    <row r="2912">
      <c r="A2912" s="41" t="n"/>
      <c r="B2912" s="41" t="n"/>
      <c r="C2912" s="41" t="n"/>
      <c r="D2912" s="41" t="n"/>
      <c r="E2912" s="46" t="n"/>
      <c r="F2912" s="41" t="n"/>
      <c r="G2912" s="41" t="n"/>
      <c r="H2912" s="41" t="n"/>
      <c r="I2912" s="41" t="n"/>
      <c r="J2912" s="47" t="n"/>
      <c r="K2912" s="41" t="n"/>
      <c r="L2912" s="48" t="n"/>
      <c r="M2912" s="45" t="n"/>
      <c r="N2912" s="39">
        <f>IF($B2912="","",IF(SUMPRODUCT((LISTAS!$O$3:$O$42&lt;&gt;"")*ISNUMBER(SEARCH(LISTAS!$O$3:$O$42,$I2912&amp;" "&amp;$K2912)))&gt;0,"CERCANA","NACIONAL"))</f>
        <v/>
      </c>
      <c r="O2912" s="39">
        <f>IF($B2912="","",IF(COUNTIFS(NOVEDADES!$C$4:$C$2003,$B2912)=0,"—","SÍ ("&amp;COUNTIFS(NOVEDADES!$C$4:$C$2003,$B2912)&amp;")"))</f>
        <v/>
      </c>
    </row>
    <row r="2913">
      <c r="A2913" s="41" t="n"/>
      <c r="B2913" s="41" t="n"/>
      <c r="C2913" s="41" t="n"/>
      <c r="D2913" s="41" t="n"/>
      <c r="E2913" s="46" t="n"/>
      <c r="F2913" s="41" t="n"/>
      <c r="G2913" s="41" t="n"/>
      <c r="H2913" s="41" t="n"/>
      <c r="I2913" s="41" t="n"/>
      <c r="J2913" s="47" t="n"/>
      <c r="K2913" s="41" t="n"/>
      <c r="L2913" s="48" t="n"/>
      <c r="M2913" s="45" t="n"/>
      <c r="N2913" s="39">
        <f>IF($B2913="","",IF(SUMPRODUCT((LISTAS!$O$3:$O$42&lt;&gt;"")*ISNUMBER(SEARCH(LISTAS!$O$3:$O$42,$I2913&amp;" "&amp;$K2913)))&gt;0,"CERCANA","NACIONAL"))</f>
        <v/>
      </c>
      <c r="O2913" s="39">
        <f>IF($B2913="","",IF(COUNTIFS(NOVEDADES!$C$4:$C$2003,$B2913)=0,"—","SÍ ("&amp;COUNTIFS(NOVEDADES!$C$4:$C$2003,$B2913)&amp;")"))</f>
        <v/>
      </c>
    </row>
    <row r="2914">
      <c r="A2914" s="41" t="n"/>
      <c r="B2914" s="41" t="n"/>
      <c r="C2914" s="41" t="n"/>
      <c r="D2914" s="41" t="n"/>
      <c r="E2914" s="46" t="n"/>
      <c r="F2914" s="41" t="n"/>
      <c r="G2914" s="41" t="n"/>
      <c r="H2914" s="41" t="n"/>
      <c r="I2914" s="41" t="n"/>
      <c r="J2914" s="47" t="n"/>
      <c r="K2914" s="41" t="n"/>
      <c r="L2914" s="48" t="n"/>
      <c r="M2914" s="45" t="n"/>
      <c r="N2914" s="39">
        <f>IF($B2914="","",IF(SUMPRODUCT((LISTAS!$O$3:$O$42&lt;&gt;"")*ISNUMBER(SEARCH(LISTAS!$O$3:$O$42,$I2914&amp;" "&amp;$K2914)))&gt;0,"CERCANA","NACIONAL"))</f>
        <v/>
      </c>
      <c r="O2914" s="39">
        <f>IF($B2914="","",IF(COUNTIFS(NOVEDADES!$C$4:$C$2003,$B2914)=0,"—","SÍ ("&amp;COUNTIFS(NOVEDADES!$C$4:$C$2003,$B2914)&amp;")"))</f>
        <v/>
      </c>
    </row>
    <row r="2915">
      <c r="A2915" s="41" t="n"/>
      <c r="B2915" s="41" t="n"/>
      <c r="C2915" s="41" t="n"/>
      <c r="D2915" s="41" t="n"/>
      <c r="E2915" s="46" t="n"/>
      <c r="F2915" s="41" t="n"/>
      <c r="G2915" s="41" t="n"/>
      <c r="H2915" s="41" t="n"/>
      <c r="I2915" s="41" t="n"/>
      <c r="J2915" s="47" t="n"/>
      <c r="K2915" s="41" t="n"/>
      <c r="L2915" s="48" t="n"/>
      <c r="M2915" s="45" t="n"/>
      <c r="N2915" s="39">
        <f>IF($B2915="","",IF(SUMPRODUCT((LISTAS!$O$3:$O$42&lt;&gt;"")*ISNUMBER(SEARCH(LISTAS!$O$3:$O$42,$I2915&amp;" "&amp;$K2915)))&gt;0,"CERCANA","NACIONAL"))</f>
        <v/>
      </c>
      <c r="O2915" s="39">
        <f>IF($B2915="","",IF(COUNTIFS(NOVEDADES!$C$4:$C$2003,$B2915)=0,"—","SÍ ("&amp;COUNTIFS(NOVEDADES!$C$4:$C$2003,$B2915)&amp;")"))</f>
        <v/>
      </c>
    </row>
    <row r="2916">
      <c r="A2916" s="41" t="n"/>
      <c r="B2916" s="41" t="n"/>
      <c r="C2916" s="41" t="n"/>
      <c r="D2916" s="41" t="n"/>
      <c r="E2916" s="46" t="n"/>
      <c r="F2916" s="41" t="n"/>
      <c r="G2916" s="41" t="n"/>
      <c r="H2916" s="41" t="n"/>
      <c r="I2916" s="41" t="n"/>
      <c r="J2916" s="47" t="n"/>
      <c r="K2916" s="41" t="n"/>
      <c r="L2916" s="48" t="n"/>
      <c r="M2916" s="45" t="n"/>
      <c r="N2916" s="39">
        <f>IF($B2916="","",IF(SUMPRODUCT((LISTAS!$O$3:$O$42&lt;&gt;"")*ISNUMBER(SEARCH(LISTAS!$O$3:$O$42,$I2916&amp;" "&amp;$K2916)))&gt;0,"CERCANA","NACIONAL"))</f>
        <v/>
      </c>
      <c r="O2916" s="39">
        <f>IF($B2916="","",IF(COUNTIFS(NOVEDADES!$C$4:$C$2003,$B2916)=0,"—","SÍ ("&amp;COUNTIFS(NOVEDADES!$C$4:$C$2003,$B2916)&amp;")"))</f>
        <v/>
      </c>
    </row>
    <row r="2917">
      <c r="A2917" s="41" t="n"/>
      <c r="B2917" s="41" t="n"/>
      <c r="C2917" s="41" t="n"/>
      <c r="D2917" s="41" t="n"/>
      <c r="E2917" s="46" t="n"/>
      <c r="F2917" s="41" t="n"/>
      <c r="G2917" s="41" t="n"/>
      <c r="H2917" s="41" t="n"/>
      <c r="I2917" s="41" t="n"/>
      <c r="J2917" s="47" t="n"/>
      <c r="K2917" s="41" t="n"/>
      <c r="L2917" s="48" t="n"/>
      <c r="M2917" s="45" t="n"/>
      <c r="N2917" s="39">
        <f>IF($B2917="","",IF(SUMPRODUCT((LISTAS!$O$3:$O$42&lt;&gt;"")*ISNUMBER(SEARCH(LISTAS!$O$3:$O$42,$I2917&amp;" "&amp;$K2917)))&gt;0,"CERCANA","NACIONAL"))</f>
        <v/>
      </c>
      <c r="O2917" s="39">
        <f>IF($B2917="","",IF(COUNTIFS(NOVEDADES!$C$4:$C$2003,$B2917)=0,"—","SÍ ("&amp;COUNTIFS(NOVEDADES!$C$4:$C$2003,$B2917)&amp;")"))</f>
        <v/>
      </c>
    </row>
    <row r="2918">
      <c r="A2918" s="41" t="n"/>
      <c r="B2918" s="41" t="n"/>
      <c r="C2918" s="41" t="n"/>
      <c r="D2918" s="41" t="n"/>
      <c r="E2918" s="46" t="n"/>
      <c r="F2918" s="41" t="n"/>
      <c r="G2918" s="41" t="n"/>
      <c r="H2918" s="41" t="n"/>
      <c r="I2918" s="41" t="n"/>
      <c r="J2918" s="47" t="n"/>
      <c r="K2918" s="41" t="n"/>
      <c r="L2918" s="48" t="n"/>
      <c r="M2918" s="45" t="n"/>
      <c r="N2918" s="39">
        <f>IF($B2918="","",IF(SUMPRODUCT((LISTAS!$O$3:$O$42&lt;&gt;"")*ISNUMBER(SEARCH(LISTAS!$O$3:$O$42,$I2918&amp;" "&amp;$K2918)))&gt;0,"CERCANA","NACIONAL"))</f>
        <v/>
      </c>
      <c r="O2918" s="39">
        <f>IF($B2918="","",IF(COUNTIFS(NOVEDADES!$C$4:$C$2003,$B2918)=0,"—","SÍ ("&amp;COUNTIFS(NOVEDADES!$C$4:$C$2003,$B2918)&amp;")"))</f>
        <v/>
      </c>
    </row>
    <row r="2919">
      <c r="A2919" s="41" t="n"/>
      <c r="B2919" s="41" t="n"/>
      <c r="C2919" s="41" t="n"/>
      <c r="D2919" s="41" t="n"/>
      <c r="E2919" s="46" t="n"/>
      <c r="F2919" s="41" t="n"/>
      <c r="G2919" s="41" t="n"/>
      <c r="H2919" s="41" t="n"/>
      <c r="I2919" s="41" t="n"/>
      <c r="J2919" s="47" t="n"/>
      <c r="K2919" s="41" t="n"/>
      <c r="L2919" s="48" t="n"/>
      <c r="M2919" s="45" t="n"/>
      <c r="N2919" s="39">
        <f>IF($B2919="","",IF(SUMPRODUCT((LISTAS!$O$3:$O$42&lt;&gt;"")*ISNUMBER(SEARCH(LISTAS!$O$3:$O$42,$I2919&amp;" "&amp;$K2919)))&gt;0,"CERCANA","NACIONAL"))</f>
        <v/>
      </c>
      <c r="O2919" s="39">
        <f>IF($B2919="","",IF(COUNTIFS(NOVEDADES!$C$4:$C$2003,$B2919)=0,"—","SÍ ("&amp;COUNTIFS(NOVEDADES!$C$4:$C$2003,$B2919)&amp;")"))</f>
        <v/>
      </c>
    </row>
    <row r="2920">
      <c r="A2920" s="41" t="n"/>
      <c r="B2920" s="41" t="n"/>
      <c r="C2920" s="41" t="n"/>
      <c r="D2920" s="41" t="n"/>
      <c r="E2920" s="46" t="n"/>
      <c r="F2920" s="41" t="n"/>
      <c r="G2920" s="41" t="n"/>
      <c r="H2920" s="41" t="n"/>
      <c r="I2920" s="41" t="n"/>
      <c r="J2920" s="47" t="n"/>
      <c r="K2920" s="41" t="n"/>
      <c r="L2920" s="48" t="n"/>
      <c r="M2920" s="45" t="n"/>
      <c r="N2920" s="39">
        <f>IF($B2920="","",IF(SUMPRODUCT((LISTAS!$O$3:$O$42&lt;&gt;"")*ISNUMBER(SEARCH(LISTAS!$O$3:$O$42,$I2920&amp;" "&amp;$K2920)))&gt;0,"CERCANA","NACIONAL"))</f>
        <v/>
      </c>
      <c r="O2920" s="39">
        <f>IF($B2920="","",IF(COUNTIFS(NOVEDADES!$C$4:$C$2003,$B2920)=0,"—","SÍ ("&amp;COUNTIFS(NOVEDADES!$C$4:$C$2003,$B2920)&amp;")"))</f>
        <v/>
      </c>
    </row>
    <row r="2921">
      <c r="A2921" s="41" t="n"/>
      <c r="B2921" s="41" t="n"/>
      <c r="C2921" s="41" t="n"/>
      <c r="D2921" s="41" t="n"/>
      <c r="E2921" s="46" t="n"/>
      <c r="F2921" s="41" t="n"/>
      <c r="G2921" s="41" t="n"/>
      <c r="H2921" s="41" t="n"/>
      <c r="I2921" s="41" t="n"/>
      <c r="J2921" s="47" t="n"/>
      <c r="K2921" s="41" t="n"/>
      <c r="L2921" s="48" t="n"/>
      <c r="M2921" s="45" t="n"/>
      <c r="N2921" s="39">
        <f>IF($B2921="","",IF(SUMPRODUCT((LISTAS!$O$3:$O$42&lt;&gt;"")*ISNUMBER(SEARCH(LISTAS!$O$3:$O$42,$I2921&amp;" "&amp;$K2921)))&gt;0,"CERCANA","NACIONAL"))</f>
        <v/>
      </c>
      <c r="O2921" s="39">
        <f>IF($B2921="","",IF(COUNTIFS(NOVEDADES!$C$4:$C$2003,$B2921)=0,"—","SÍ ("&amp;COUNTIFS(NOVEDADES!$C$4:$C$2003,$B2921)&amp;")"))</f>
        <v/>
      </c>
    </row>
    <row r="2922">
      <c r="A2922" s="41" t="n"/>
      <c r="B2922" s="41" t="n"/>
      <c r="C2922" s="41" t="n"/>
      <c r="D2922" s="41" t="n"/>
      <c r="E2922" s="46" t="n"/>
      <c r="F2922" s="41" t="n"/>
      <c r="G2922" s="41" t="n"/>
      <c r="H2922" s="41" t="n"/>
      <c r="I2922" s="41" t="n"/>
      <c r="J2922" s="47" t="n"/>
      <c r="K2922" s="41" t="n"/>
      <c r="L2922" s="48" t="n"/>
      <c r="M2922" s="45" t="n"/>
      <c r="N2922" s="39">
        <f>IF($B2922="","",IF(SUMPRODUCT((LISTAS!$O$3:$O$42&lt;&gt;"")*ISNUMBER(SEARCH(LISTAS!$O$3:$O$42,$I2922&amp;" "&amp;$K2922)))&gt;0,"CERCANA","NACIONAL"))</f>
        <v/>
      </c>
      <c r="O2922" s="39">
        <f>IF($B2922="","",IF(COUNTIFS(NOVEDADES!$C$4:$C$2003,$B2922)=0,"—","SÍ ("&amp;COUNTIFS(NOVEDADES!$C$4:$C$2003,$B2922)&amp;")"))</f>
        <v/>
      </c>
    </row>
    <row r="2923">
      <c r="A2923" s="41" t="n"/>
      <c r="B2923" s="41" t="n"/>
      <c r="C2923" s="41" t="n"/>
      <c r="D2923" s="41" t="n"/>
      <c r="E2923" s="46" t="n"/>
      <c r="F2923" s="41" t="n"/>
      <c r="G2923" s="41" t="n"/>
      <c r="H2923" s="41" t="n"/>
      <c r="I2923" s="41" t="n"/>
      <c r="J2923" s="47" t="n"/>
      <c r="K2923" s="41" t="n"/>
      <c r="L2923" s="48" t="n"/>
      <c r="M2923" s="45" t="n"/>
      <c r="N2923" s="39">
        <f>IF($B2923="","",IF(SUMPRODUCT((LISTAS!$O$3:$O$42&lt;&gt;"")*ISNUMBER(SEARCH(LISTAS!$O$3:$O$42,$I2923&amp;" "&amp;$K2923)))&gt;0,"CERCANA","NACIONAL"))</f>
        <v/>
      </c>
      <c r="O2923" s="39">
        <f>IF($B2923="","",IF(COUNTIFS(NOVEDADES!$C$4:$C$2003,$B2923)=0,"—","SÍ ("&amp;COUNTIFS(NOVEDADES!$C$4:$C$2003,$B2923)&amp;")"))</f>
        <v/>
      </c>
    </row>
    <row r="2924">
      <c r="A2924" s="41" t="n"/>
      <c r="B2924" s="41" t="n"/>
      <c r="C2924" s="41" t="n"/>
      <c r="D2924" s="41" t="n"/>
      <c r="E2924" s="46" t="n"/>
      <c r="F2924" s="41" t="n"/>
      <c r="G2924" s="41" t="n"/>
      <c r="H2924" s="41" t="n"/>
      <c r="I2924" s="41" t="n"/>
      <c r="J2924" s="47" t="n"/>
      <c r="K2924" s="41" t="n"/>
      <c r="L2924" s="48" t="n"/>
      <c r="M2924" s="45" t="n"/>
      <c r="N2924" s="39">
        <f>IF($B2924="","",IF(SUMPRODUCT((LISTAS!$O$3:$O$42&lt;&gt;"")*ISNUMBER(SEARCH(LISTAS!$O$3:$O$42,$I2924&amp;" "&amp;$K2924)))&gt;0,"CERCANA","NACIONAL"))</f>
        <v/>
      </c>
      <c r="O2924" s="39">
        <f>IF($B2924="","",IF(COUNTIFS(NOVEDADES!$C$4:$C$2003,$B2924)=0,"—","SÍ ("&amp;COUNTIFS(NOVEDADES!$C$4:$C$2003,$B2924)&amp;")"))</f>
        <v/>
      </c>
    </row>
    <row r="2925">
      <c r="A2925" s="41" t="n"/>
      <c r="B2925" s="41" t="n"/>
      <c r="C2925" s="41" t="n"/>
      <c r="D2925" s="41" t="n"/>
      <c r="E2925" s="46" t="n"/>
      <c r="F2925" s="41" t="n"/>
      <c r="G2925" s="41" t="n"/>
      <c r="H2925" s="41" t="n"/>
      <c r="I2925" s="41" t="n"/>
      <c r="J2925" s="47" t="n"/>
      <c r="K2925" s="41" t="n"/>
      <c r="L2925" s="48" t="n"/>
      <c r="M2925" s="45" t="n"/>
      <c r="N2925" s="39">
        <f>IF($B2925="","",IF(SUMPRODUCT((LISTAS!$O$3:$O$42&lt;&gt;"")*ISNUMBER(SEARCH(LISTAS!$O$3:$O$42,$I2925&amp;" "&amp;$K2925)))&gt;0,"CERCANA","NACIONAL"))</f>
        <v/>
      </c>
      <c r="O2925" s="39">
        <f>IF($B2925="","",IF(COUNTIFS(NOVEDADES!$C$4:$C$2003,$B2925)=0,"—","SÍ ("&amp;COUNTIFS(NOVEDADES!$C$4:$C$2003,$B2925)&amp;")"))</f>
        <v/>
      </c>
    </row>
    <row r="2926">
      <c r="A2926" s="41" t="n"/>
      <c r="B2926" s="41" t="n"/>
      <c r="C2926" s="41" t="n"/>
      <c r="D2926" s="41" t="n"/>
      <c r="E2926" s="46" t="n"/>
      <c r="F2926" s="41" t="n"/>
      <c r="G2926" s="41" t="n"/>
      <c r="H2926" s="41" t="n"/>
      <c r="I2926" s="41" t="n"/>
      <c r="J2926" s="47" t="n"/>
      <c r="K2926" s="41" t="n"/>
      <c r="L2926" s="48" t="n"/>
      <c r="M2926" s="45" t="n"/>
      <c r="N2926" s="39">
        <f>IF($B2926="","",IF(SUMPRODUCT((LISTAS!$O$3:$O$42&lt;&gt;"")*ISNUMBER(SEARCH(LISTAS!$O$3:$O$42,$I2926&amp;" "&amp;$K2926)))&gt;0,"CERCANA","NACIONAL"))</f>
        <v/>
      </c>
      <c r="O2926" s="39">
        <f>IF($B2926="","",IF(COUNTIFS(NOVEDADES!$C$4:$C$2003,$B2926)=0,"—","SÍ ("&amp;COUNTIFS(NOVEDADES!$C$4:$C$2003,$B2926)&amp;")"))</f>
        <v/>
      </c>
    </row>
    <row r="2927">
      <c r="A2927" s="41" t="n"/>
      <c r="B2927" s="41" t="n"/>
      <c r="C2927" s="41" t="n"/>
      <c r="D2927" s="41" t="n"/>
      <c r="E2927" s="46" t="n"/>
      <c r="F2927" s="41" t="n"/>
      <c r="G2927" s="41" t="n"/>
      <c r="H2927" s="41" t="n"/>
      <c r="I2927" s="41" t="n"/>
      <c r="J2927" s="47" t="n"/>
      <c r="K2927" s="41" t="n"/>
      <c r="L2927" s="48" t="n"/>
      <c r="M2927" s="45" t="n"/>
      <c r="N2927" s="39">
        <f>IF($B2927="","",IF(SUMPRODUCT((LISTAS!$O$3:$O$42&lt;&gt;"")*ISNUMBER(SEARCH(LISTAS!$O$3:$O$42,$I2927&amp;" "&amp;$K2927)))&gt;0,"CERCANA","NACIONAL"))</f>
        <v/>
      </c>
      <c r="O2927" s="39">
        <f>IF($B2927="","",IF(COUNTIFS(NOVEDADES!$C$4:$C$2003,$B2927)=0,"—","SÍ ("&amp;COUNTIFS(NOVEDADES!$C$4:$C$2003,$B2927)&amp;")"))</f>
        <v/>
      </c>
    </row>
    <row r="2928">
      <c r="A2928" s="41" t="n"/>
      <c r="B2928" s="41" t="n"/>
      <c r="C2928" s="41" t="n"/>
      <c r="D2928" s="41" t="n"/>
      <c r="E2928" s="46" t="n"/>
      <c r="F2928" s="41" t="n"/>
      <c r="G2928" s="41" t="n"/>
      <c r="H2928" s="41" t="n"/>
      <c r="I2928" s="41" t="n"/>
      <c r="J2928" s="47" t="n"/>
      <c r="K2928" s="41" t="n"/>
      <c r="L2928" s="48" t="n"/>
      <c r="M2928" s="45" t="n"/>
      <c r="N2928" s="39">
        <f>IF($B2928="","",IF(SUMPRODUCT((LISTAS!$O$3:$O$42&lt;&gt;"")*ISNUMBER(SEARCH(LISTAS!$O$3:$O$42,$I2928&amp;" "&amp;$K2928)))&gt;0,"CERCANA","NACIONAL"))</f>
        <v/>
      </c>
      <c r="O2928" s="39">
        <f>IF($B2928="","",IF(COUNTIFS(NOVEDADES!$C$4:$C$2003,$B2928)=0,"—","SÍ ("&amp;COUNTIFS(NOVEDADES!$C$4:$C$2003,$B2928)&amp;")"))</f>
        <v/>
      </c>
    </row>
    <row r="2929">
      <c r="A2929" s="41" t="n"/>
      <c r="B2929" s="41" t="n"/>
      <c r="C2929" s="41" t="n"/>
      <c r="D2929" s="41" t="n"/>
      <c r="E2929" s="46" t="n"/>
      <c r="F2929" s="41" t="n"/>
      <c r="G2929" s="41" t="n"/>
      <c r="H2929" s="41" t="n"/>
      <c r="I2929" s="41" t="n"/>
      <c r="J2929" s="47" t="n"/>
      <c r="K2929" s="41" t="n"/>
      <c r="L2929" s="48" t="n"/>
      <c r="M2929" s="45" t="n"/>
      <c r="N2929" s="39">
        <f>IF($B2929="","",IF(SUMPRODUCT((LISTAS!$O$3:$O$42&lt;&gt;"")*ISNUMBER(SEARCH(LISTAS!$O$3:$O$42,$I2929&amp;" "&amp;$K2929)))&gt;0,"CERCANA","NACIONAL"))</f>
        <v/>
      </c>
      <c r="O2929" s="39">
        <f>IF($B2929="","",IF(COUNTIFS(NOVEDADES!$C$4:$C$2003,$B2929)=0,"—","SÍ ("&amp;COUNTIFS(NOVEDADES!$C$4:$C$2003,$B2929)&amp;")"))</f>
        <v/>
      </c>
    </row>
    <row r="2930">
      <c r="A2930" s="41" t="n"/>
      <c r="B2930" s="41" t="n"/>
      <c r="C2930" s="41" t="n"/>
      <c r="D2930" s="41" t="n"/>
      <c r="E2930" s="46" t="n"/>
      <c r="F2930" s="41" t="n"/>
      <c r="G2930" s="41" t="n"/>
      <c r="H2930" s="41" t="n"/>
      <c r="I2930" s="41" t="n"/>
      <c r="J2930" s="47" t="n"/>
      <c r="K2930" s="41" t="n"/>
      <c r="L2930" s="48" t="n"/>
      <c r="M2930" s="45" t="n"/>
      <c r="N2930" s="39">
        <f>IF($B2930="","",IF(SUMPRODUCT((LISTAS!$O$3:$O$42&lt;&gt;"")*ISNUMBER(SEARCH(LISTAS!$O$3:$O$42,$I2930&amp;" "&amp;$K2930)))&gt;0,"CERCANA","NACIONAL"))</f>
        <v/>
      </c>
      <c r="O2930" s="39">
        <f>IF($B2930="","",IF(COUNTIFS(NOVEDADES!$C$4:$C$2003,$B2930)=0,"—","SÍ ("&amp;COUNTIFS(NOVEDADES!$C$4:$C$2003,$B2930)&amp;")"))</f>
        <v/>
      </c>
    </row>
    <row r="2931">
      <c r="A2931" s="41" t="n"/>
      <c r="B2931" s="41" t="n"/>
      <c r="C2931" s="41" t="n"/>
      <c r="D2931" s="41" t="n"/>
      <c r="E2931" s="46" t="n"/>
      <c r="F2931" s="41" t="n"/>
      <c r="G2931" s="41" t="n"/>
      <c r="H2931" s="41" t="n"/>
      <c r="I2931" s="41" t="n"/>
      <c r="J2931" s="47" t="n"/>
      <c r="K2931" s="41" t="n"/>
      <c r="L2931" s="48" t="n"/>
      <c r="M2931" s="45" t="n"/>
      <c r="N2931" s="39">
        <f>IF($B2931="","",IF(SUMPRODUCT((LISTAS!$O$3:$O$42&lt;&gt;"")*ISNUMBER(SEARCH(LISTAS!$O$3:$O$42,$I2931&amp;" "&amp;$K2931)))&gt;0,"CERCANA","NACIONAL"))</f>
        <v/>
      </c>
      <c r="O2931" s="39">
        <f>IF($B2931="","",IF(COUNTIFS(NOVEDADES!$C$4:$C$2003,$B2931)=0,"—","SÍ ("&amp;COUNTIFS(NOVEDADES!$C$4:$C$2003,$B2931)&amp;")"))</f>
        <v/>
      </c>
    </row>
    <row r="2932">
      <c r="A2932" s="41" t="n"/>
      <c r="B2932" s="41" t="n"/>
      <c r="C2932" s="41" t="n"/>
      <c r="D2932" s="41" t="n"/>
      <c r="E2932" s="46" t="n"/>
      <c r="F2932" s="41" t="n"/>
      <c r="G2932" s="41" t="n"/>
      <c r="H2932" s="41" t="n"/>
      <c r="I2932" s="41" t="n"/>
      <c r="J2932" s="47" t="n"/>
      <c r="K2932" s="41" t="n"/>
      <c r="L2932" s="48" t="n"/>
      <c r="M2932" s="45" t="n"/>
      <c r="N2932" s="39">
        <f>IF($B2932="","",IF(SUMPRODUCT((LISTAS!$O$3:$O$42&lt;&gt;"")*ISNUMBER(SEARCH(LISTAS!$O$3:$O$42,$I2932&amp;" "&amp;$K2932)))&gt;0,"CERCANA","NACIONAL"))</f>
        <v/>
      </c>
      <c r="O2932" s="39">
        <f>IF($B2932="","",IF(COUNTIFS(NOVEDADES!$C$4:$C$2003,$B2932)=0,"—","SÍ ("&amp;COUNTIFS(NOVEDADES!$C$4:$C$2003,$B2932)&amp;")"))</f>
        <v/>
      </c>
    </row>
    <row r="2933">
      <c r="A2933" s="41" t="n"/>
      <c r="B2933" s="41" t="n"/>
      <c r="C2933" s="41" t="n"/>
      <c r="D2933" s="41" t="n"/>
      <c r="E2933" s="46" t="n"/>
      <c r="F2933" s="41" t="n"/>
      <c r="G2933" s="41" t="n"/>
      <c r="H2933" s="41" t="n"/>
      <c r="I2933" s="41" t="n"/>
      <c r="J2933" s="47" t="n"/>
      <c r="K2933" s="41" t="n"/>
      <c r="L2933" s="48" t="n"/>
      <c r="M2933" s="45" t="n"/>
      <c r="N2933" s="39">
        <f>IF($B2933="","",IF(SUMPRODUCT((LISTAS!$O$3:$O$42&lt;&gt;"")*ISNUMBER(SEARCH(LISTAS!$O$3:$O$42,$I2933&amp;" "&amp;$K2933)))&gt;0,"CERCANA","NACIONAL"))</f>
        <v/>
      </c>
      <c r="O2933" s="39">
        <f>IF($B2933="","",IF(COUNTIFS(NOVEDADES!$C$4:$C$2003,$B2933)=0,"—","SÍ ("&amp;COUNTIFS(NOVEDADES!$C$4:$C$2003,$B2933)&amp;")"))</f>
        <v/>
      </c>
    </row>
    <row r="2934">
      <c r="A2934" s="41" t="n"/>
      <c r="B2934" s="41" t="n"/>
      <c r="C2934" s="41" t="n"/>
      <c r="D2934" s="41" t="n"/>
      <c r="E2934" s="46" t="n"/>
      <c r="F2934" s="41" t="n"/>
      <c r="G2934" s="41" t="n"/>
      <c r="H2934" s="41" t="n"/>
      <c r="I2934" s="41" t="n"/>
      <c r="J2934" s="47" t="n"/>
      <c r="K2934" s="41" t="n"/>
      <c r="L2934" s="48" t="n"/>
      <c r="M2934" s="45" t="n"/>
      <c r="N2934" s="39">
        <f>IF($B2934="","",IF(SUMPRODUCT((LISTAS!$O$3:$O$42&lt;&gt;"")*ISNUMBER(SEARCH(LISTAS!$O$3:$O$42,$I2934&amp;" "&amp;$K2934)))&gt;0,"CERCANA","NACIONAL"))</f>
        <v/>
      </c>
      <c r="O2934" s="39">
        <f>IF($B2934="","",IF(COUNTIFS(NOVEDADES!$C$4:$C$2003,$B2934)=0,"—","SÍ ("&amp;COUNTIFS(NOVEDADES!$C$4:$C$2003,$B2934)&amp;")"))</f>
        <v/>
      </c>
    </row>
    <row r="2935">
      <c r="A2935" s="41" t="n"/>
      <c r="B2935" s="41" t="n"/>
      <c r="C2935" s="41" t="n"/>
      <c r="D2935" s="41" t="n"/>
      <c r="E2935" s="46" t="n"/>
      <c r="F2935" s="41" t="n"/>
      <c r="G2935" s="41" t="n"/>
      <c r="H2935" s="41" t="n"/>
      <c r="I2935" s="41" t="n"/>
      <c r="J2935" s="47" t="n"/>
      <c r="K2935" s="41" t="n"/>
      <c r="L2935" s="48" t="n"/>
      <c r="M2935" s="45" t="n"/>
      <c r="N2935" s="39">
        <f>IF($B2935="","",IF(SUMPRODUCT((LISTAS!$O$3:$O$42&lt;&gt;"")*ISNUMBER(SEARCH(LISTAS!$O$3:$O$42,$I2935&amp;" "&amp;$K2935)))&gt;0,"CERCANA","NACIONAL"))</f>
        <v/>
      </c>
      <c r="O2935" s="39">
        <f>IF($B2935="","",IF(COUNTIFS(NOVEDADES!$C$4:$C$2003,$B2935)=0,"—","SÍ ("&amp;COUNTIFS(NOVEDADES!$C$4:$C$2003,$B2935)&amp;")"))</f>
        <v/>
      </c>
    </row>
    <row r="2936">
      <c r="A2936" s="41" t="n"/>
      <c r="B2936" s="41" t="n"/>
      <c r="C2936" s="41" t="n"/>
      <c r="D2936" s="41" t="n"/>
      <c r="E2936" s="46" t="n"/>
      <c r="F2936" s="41" t="n"/>
      <c r="G2936" s="41" t="n"/>
      <c r="H2936" s="41" t="n"/>
      <c r="I2936" s="41" t="n"/>
      <c r="J2936" s="47" t="n"/>
      <c r="K2936" s="41" t="n"/>
      <c r="L2936" s="48" t="n"/>
      <c r="M2936" s="45" t="n"/>
      <c r="N2936" s="39">
        <f>IF($B2936="","",IF(SUMPRODUCT((LISTAS!$O$3:$O$42&lt;&gt;"")*ISNUMBER(SEARCH(LISTAS!$O$3:$O$42,$I2936&amp;" "&amp;$K2936)))&gt;0,"CERCANA","NACIONAL"))</f>
        <v/>
      </c>
      <c r="O2936" s="39">
        <f>IF($B2936="","",IF(COUNTIFS(NOVEDADES!$C$4:$C$2003,$B2936)=0,"—","SÍ ("&amp;COUNTIFS(NOVEDADES!$C$4:$C$2003,$B2936)&amp;")"))</f>
        <v/>
      </c>
    </row>
    <row r="2937">
      <c r="A2937" s="41" t="n"/>
      <c r="B2937" s="41" t="n"/>
      <c r="C2937" s="41" t="n"/>
      <c r="D2937" s="41" t="n"/>
      <c r="E2937" s="46" t="n"/>
      <c r="F2937" s="41" t="n"/>
      <c r="G2937" s="41" t="n"/>
      <c r="H2937" s="41" t="n"/>
      <c r="I2937" s="41" t="n"/>
      <c r="J2937" s="47" t="n"/>
      <c r="K2937" s="41" t="n"/>
      <c r="L2937" s="48" t="n"/>
      <c r="M2937" s="45" t="n"/>
      <c r="N2937" s="39">
        <f>IF($B2937="","",IF(SUMPRODUCT((LISTAS!$O$3:$O$42&lt;&gt;"")*ISNUMBER(SEARCH(LISTAS!$O$3:$O$42,$I2937&amp;" "&amp;$K2937)))&gt;0,"CERCANA","NACIONAL"))</f>
        <v/>
      </c>
      <c r="O2937" s="39">
        <f>IF($B2937="","",IF(COUNTIFS(NOVEDADES!$C$4:$C$2003,$B2937)=0,"—","SÍ ("&amp;COUNTIFS(NOVEDADES!$C$4:$C$2003,$B2937)&amp;")"))</f>
        <v/>
      </c>
    </row>
    <row r="2938">
      <c r="A2938" s="41" t="n"/>
      <c r="B2938" s="41" t="n"/>
      <c r="C2938" s="41" t="n"/>
      <c r="D2938" s="41" t="n"/>
      <c r="E2938" s="46" t="n"/>
      <c r="F2938" s="41" t="n"/>
      <c r="G2938" s="41" t="n"/>
      <c r="H2938" s="41" t="n"/>
      <c r="I2938" s="41" t="n"/>
      <c r="J2938" s="47" t="n"/>
      <c r="K2938" s="41" t="n"/>
      <c r="L2938" s="48" t="n"/>
      <c r="M2938" s="45" t="n"/>
      <c r="N2938" s="39">
        <f>IF($B2938="","",IF(SUMPRODUCT((LISTAS!$O$3:$O$42&lt;&gt;"")*ISNUMBER(SEARCH(LISTAS!$O$3:$O$42,$I2938&amp;" "&amp;$K2938)))&gt;0,"CERCANA","NACIONAL"))</f>
        <v/>
      </c>
      <c r="O2938" s="39">
        <f>IF($B2938="","",IF(COUNTIFS(NOVEDADES!$C$4:$C$2003,$B2938)=0,"—","SÍ ("&amp;COUNTIFS(NOVEDADES!$C$4:$C$2003,$B2938)&amp;")"))</f>
        <v/>
      </c>
    </row>
    <row r="2939">
      <c r="A2939" s="41" t="n"/>
      <c r="B2939" s="41" t="n"/>
      <c r="C2939" s="41" t="n"/>
      <c r="D2939" s="41" t="n"/>
      <c r="E2939" s="46" t="n"/>
      <c r="F2939" s="41" t="n"/>
      <c r="G2939" s="41" t="n"/>
      <c r="H2939" s="41" t="n"/>
      <c r="I2939" s="41" t="n"/>
      <c r="J2939" s="47" t="n"/>
      <c r="K2939" s="41" t="n"/>
      <c r="L2939" s="48" t="n"/>
      <c r="M2939" s="45" t="n"/>
      <c r="N2939" s="39">
        <f>IF($B2939="","",IF(SUMPRODUCT((LISTAS!$O$3:$O$42&lt;&gt;"")*ISNUMBER(SEARCH(LISTAS!$O$3:$O$42,$I2939&amp;" "&amp;$K2939)))&gt;0,"CERCANA","NACIONAL"))</f>
        <v/>
      </c>
      <c r="O2939" s="39">
        <f>IF($B2939="","",IF(COUNTIFS(NOVEDADES!$C$4:$C$2003,$B2939)=0,"—","SÍ ("&amp;COUNTIFS(NOVEDADES!$C$4:$C$2003,$B2939)&amp;")"))</f>
        <v/>
      </c>
    </row>
    <row r="2940">
      <c r="A2940" s="41" t="n"/>
      <c r="B2940" s="41" t="n"/>
      <c r="C2940" s="41" t="n"/>
      <c r="D2940" s="41" t="n"/>
      <c r="E2940" s="46" t="n"/>
      <c r="F2940" s="41" t="n"/>
      <c r="G2940" s="41" t="n"/>
      <c r="H2940" s="41" t="n"/>
      <c r="I2940" s="41" t="n"/>
      <c r="J2940" s="47" t="n"/>
      <c r="K2940" s="41" t="n"/>
      <c r="L2940" s="48" t="n"/>
      <c r="M2940" s="45" t="n"/>
      <c r="N2940" s="39">
        <f>IF($B2940="","",IF(SUMPRODUCT((LISTAS!$O$3:$O$42&lt;&gt;"")*ISNUMBER(SEARCH(LISTAS!$O$3:$O$42,$I2940&amp;" "&amp;$K2940)))&gt;0,"CERCANA","NACIONAL"))</f>
        <v/>
      </c>
      <c r="O2940" s="39">
        <f>IF($B2940="","",IF(COUNTIFS(NOVEDADES!$C$4:$C$2003,$B2940)=0,"—","SÍ ("&amp;COUNTIFS(NOVEDADES!$C$4:$C$2003,$B2940)&amp;")"))</f>
        <v/>
      </c>
    </row>
    <row r="2941">
      <c r="A2941" s="41" t="n"/>
      <c r="B2941" s="41" t="n"/>
      <c r="C2941" s="41" t="n"/>
      <c r="D2941" s="41" t="n"/>
      <c r="E2941" s="46" t="n"/>
      <c r="F2941" s="41" t="n"/>
      <c r="G2941" s="41" t="n"/>
      <c r="H2941" s="41" t="n"/>
      <c r="I2941" s="41" t="n"/>
      <c r="J2941" s="47" t="n"/>
      <c r="K2941" s="41" t="n"/>
      <c r="L2941" s="48" t="n"/>
      <c r="M2941" s="45" t="n"/>
      <c r="N2941" s="39">
        <f>IF($B2941="","",IF(SUMPRODUCT((LISTAS!$O$3:$O$42&lt;&gt;"")*ISNUMBER(SEARCH(LISTAS!$O$3:$O$42,$I2941&amp;" "&amp;$K2941)))&gt;0,"CERCANA","NACIONAL"))</f>
        <v/>
      </c>
      <c r="O2941" s="39">
        <f>IF($B2941="","",IF(COUNTIFS(NOVEDADES!$C$4:$C$2003,$B2941)=0,"—","SÍ ("&amp;COUNTIFS(NOVEDADES!$C$4:$C$2003,$B2941)&amp;")"))</f>
        <v/>
      </c>
    </row>
    <row r="2942">
      <c r="A2942" s="41" t="n"/>
      <c r="B2942" s="41" t="n"/>
      <c r="C2942" s="41" t="n"/>
      <c r="D2942" s="41" t="n"/>
      <c r="E2942" s="46" t="n"/>
      <c r="F2942" s="41" t="n"/>
      <c r="G2942" s="41" t="n"/>
      <c r="H2942" s="41" t="n"/>
      <c r="I2942" s="41" t="n"/>
      <c r="J2942" s="47" t="n"/>
      <c r="K2942" s="41" t="n"/>
      <c r="L2942" s="48" t="n"/>
      <c r="M2942" s="45" t="n"/>
      <c r="N2942" s="39">
        <f>IF($B2942="","",IF(SUMPRODUCT((LISTAS!$O$3:$O$42&lt;&gt;"")*ISNUMBER(SEARCH(LISTAS!$O$3:$O$42,$I2942&amp;" "&amp;$K2942)))&gt;0,"CERCANA","NACIONAL"))</f>
        <v/>
      </c>
      <c r="O2942" s="39">
        <f>IF($B2942="","",IF(COUNTIFS(NOVEDADES!$C$4:$C$2003,$B2942)=0,"—","SÍ ("&amp;COUNTIFS(NOVEDADES!$C$4:$C$2003,$B2942)&amp;")"))</f>
        <v/>
      </c>
    </row>
    <row r="2943">
      <c r="A2943" s="41" t="n"/>
      <c r="B2943" s="41" t="n"/>
      <c r="C2943" s="41" t="n"/>
      <c r="D2943" s="41" t="n"/>
      <c r="E2943" s="46" t="n"/>
      <c r="F2943" s="41" t="n"/>
      <c r="G2943" s="41" t="n"/>
      <c r="H2943" s="41" t="n"/>
      <c r="I2943" s="41" t="n"/>
      <c r="J2943" s="47" t="n"/>
      <c r="K2943" s="41" t="n"/>
      <c r="L2943" s="48" t="n"/>
      <c r="M2943" s="45" t="n"/>
      <c r="N2943" s="39">
        <f>IF($B2943="","",IF(SUMPRODUCT((LISTAS!$O$3:$O$42&lt;&gt;"")*ISNUMBER(SEARCH(LISTAS!$O$3:$O$42,$I2943&amp;" "&amp;$K2943)))&gt;0,"CERCANA","NACIONAL"))</f>
        <v/>
      </c>
      <c r="O2943" s="39">
        <f>IF($B2943="","",IF(COUNTIFS(NOVEDADES!$C$4:$C$2003,$B2943)=0,"—","SÍ ("&amp;COUNTIFS(NOVEDADES!$C$4:$C$2003,$B2943)&amp;")"))</f>
        <v/>
      </c>
    </row>
    <row r="2944">
      <c r="A2944" s="41" t="n"/>
      <c r="B2944" s="41" t="n"/>
      <c r="C2944" s="41" t="n"/>
      <c r="D2944" s="41" t="n"/>
      <c r="E2944" s="46" t="n"/>
      <c r="F2944" s="41" t="n"/>
      <c r="G2944" s="41" t="n"/>
      <c r="H2944" s="41" t="n"/>
      <c r="I2944" s="41" t="n"/>
      <c r="J2944" s="47" t="n"/>
      <c r="K2944" s="41" t="n"/>
      <c r="L2944" s="48" t="n"/>
      <c r="M2944" s="45" t="n"/>
      <c r="N2944" s="39">
        <f>IF($B2944="","",IF(SUMPRODUCT((LISTAS!$O$3:$O$42&lt;&gt;"")*ISNUMBER(SEARCH(LISTAS!$O$3:$O$42,$I2944&amp;" "&amp;$K2944)))&gt;0,"CERCANA","NACIONAL"))</f>
        <v/>
      </c>
      <c r="O2944" s="39">
        <f>IF($B2944="","",IF(COUNTIFS(NOVEDADES!$C$4:$C$2003,$B2944)=0,"—","SÍ ("&amp;COUNTIFS(NOVEDADES!$C$4:$C$2003,$B2944)&amp;")"))</f>
        <v/>
      </c>
    </row>
    <row r="2945">
      <c r="A2945" s="41" t="n"/>
      <c r="B2945" s="41" t="n"/>
      <c r="C2945" s="41" t="n"/>
      <c r="D2945" s="41" t="n"/>
      <c r="E2945" s="46" t="n"/>
      <c r="F2945" s="41" t="n"/>
      <c r="G2945" s="41" t="n"/>
      <c r="H2945" s="41" t="n"/>
      <c r="I2945" s="41" t="n"/>
      <c r="J2945" s="47" t="n"/>
      <c r="K2945" s="41" t="n"/>
      <c r="L2945" s="48" t="n"/>
      <c r="M2945" s="45" t="n"/>
      <c r="N2945" s="39">
        <f>IF($B2945="","",IF(SUMPRODUCT((LISTAS!$O$3:$O$42&lt;&gt;"")*ISNUMBER(SEARCH(LISTAS!$O$3:$O$42,$I2945&amp;" "&amp;$K2945)))&gt;0,"CERCANA","NACIONAL"))</f>
        <v/>
      </c>
      <c r="O2945" s="39">
        <f>IF($B2945="","",IF(COUNTIFS(NOVEDADES!$C$4:$C$2003,$B2945)=0,"—","SÍ ("&amp;COUNTIFS(NOVEDADES!$C$4:$C$2003,$B2945)&amp;")"))</f>
        <v/>
      </c>
    </row>
    <row r="2946">
      <c r="A2946" s="41" t="n"/>
      <c r="B2946" s="41" t="n"/>
      <c r="C2946" s="41" t="n"/>
      <c r="D2946" s="41" t="n"/>
      <c r="E2946" s="46" t="n"/>
      <c r="F2946" s="41" t="n"/>
      <c r="G2946" s="41" t="n"/>
      <c r="H2946" s="41" t="n"/>
      <c r="I2946" s="41" t="n"/>
      <c r="J2946" s="47" t="n"/>
      <c r="K2946" s="41" t="n"/>
      <c r="L2946" s="48" t="n"/>
      <c r="M2946" s="45" t="n"/>
      <c r="N2946" s="39">
        <f>IF($B2946="","",IF(SUMPRODUCT((LISTAS!$O$3:$O$42&lt;&gt;"")*ISNUMBER(SEARCH(LISTAS!$O$3:$O$42,$I2946&amp;" "&amp;$K2946)))&gt;0,"CERCANA","NACIONAL"))</f>
        <v/>
      </c>
      <c r="O2946" s="39">
        <f>IF($B2946="","",IF(COUNTIFS(NOVEDADES!$C$4:$C$2003,$B2946)=0,"—","SÍ ("&amp;COUNTIFS(NOVEDADES!$C$4:$C$2003,$B2946)&amp;")"))</f>
        <v/>
      </c>
    </row>
    <row r="2947">
      <c r="A2947" s="41" t="n"/>
      <c r="B2947" s="41" t="n"/>
      <c r="C2947" s="41" t="n"/>
      <c r="D2947" s="41" t="n"/>
      <c r="E2947" s="46" t="n"/>
      <c r="F2947" s="41" t="n"/>
      <c r="G2947" s="41" t="n"/>
      <c r="H2947" s="41" t="n"/>
      <c r="I2947" s="41" t="n"/>
      <c r="J2947" s="47" t="n"/>
      <c r="K2947" s="41" t="n"/>
      <c r="L2947" s="48" t="n"/>
      <c r="M2947" s="45" t="n"/>
      <c r="N2947" s="39">
        <f>IF($B2947="","",IF(SUMPRODUCT((LISTAS!$O$3:$O$42&lt;&gt;"")*ISNUMBER(SEARCH(LISTAS!$O$3:$O$42,$I2947&amp;" "&amp;$K2947)))&gt;0,"CERCANA","NACIONAL"))</f>
        <v/>
      </c>
      <c r="O2947" s="39">
        <f>IF($B2947="","",IF(COUNTIFS(NOVEDADES!$C$4:$C$2003,$B2947)=0,"—","SÍ ("&amp;COUNTIFS(NOVEDADES!$C$4:$C$2003,$B2947)&amp;")"))</f>
        <v/>
      </c>
    </row>
    <row r="2948">
      <c r="A2948" s="41" t="n"/>
      <c r="B2948" s="41" t="n"/>
      <c r="C2948" s="41" t="n"/>
      <c r="D2948" s="41" t="n"/>
      <c r="E2948" s="46" t="n"/>
      <c r="F2948" s="41" t="n"/>
      <c r="G2948" s="41" t="n"/>
      <c r="H2948" s="41" t="n"/>
      <c r="I2948" s="41" t="n"/>
      <c r="J2948" s="47" t="n"/>
      <c r="K2948" s="41" t="n"/>
      <c r="L2948" s="48" t="n"/>
      <c r="M2948" s="45" t="n"/>
      <c r="N2948" s="39">
        <f>IF($B2948="","",IF(SUMPRODUCT((LISTAS!$O$3:$O$42&lt;&gt;"")*ISNUMBER(SEARCH(LISTAS!$O$3:$O$42,$I2948&amp;" "&amp;$K2948)))&gt;0,"CERCANA","NACIONAL"))</f>
        <v/>
      </c>
      <c r="O2948" s="39">
        <f>IF($B2948="","",IF(COUNTIFS(NOVEDADES!$C$4:$C$2003,$B2948)=0,"—","SÍ ("&amp;COUNTIFS(NOVEDADES!$C$4:$C$2003,$B2948)&amp;")"))</f>
        <v/>
      </c>
    </row>
    <row r="2949">
      <c r="A2949" s="41" t="n"/>
      <c r="B2949" s="41" t="n"/>
      <c r="C2949" s="41" t="n"/>
      <c r="D2949" s="41" t="n"/>
      <c r="E2949" s="46" t="n"/>
      <c r="F2949" s="41" t="n"/>
      <c r="G2949" s="41" t="n"/>
      <c r="H2949" s="41" t="n"/>
      <c r="I2949" s="41" t="n"/>
      <c r="J2949" s="47" t="n"/>
      <c r="K2949" s="41" t="n"/>
      <c r="L2949" s="48" t="n"/>
      <c r="M2949" s="45" t="n"/>
      <c r="N2949" s="39">
        <f>IF($B2949="","",IF(SUMPRODUCT((LISTAS!$O$3:$O$42&lt;&gt;"")*ISNUMBER(SEARCH(LISTAS!$O$3:$O$42,$I2949&amp;" "&amp;$K2949)))&gt;0,"CERCANA","NACIONAL"))</f>
        <v/>
      </c>
      <c r="O2949" s="39">
        <f>IF($B2949="","",IF(COUNTIFS(NOVEDADES!$C$4:$C$2003,$B2949)=0,"—","SÍ ("&amp;COUNTIFS(NOVEDADES!$C$4:$C$2003,$B2949)&amp;")"))</f>
        <v/>
      </c>
    </row>
    <row r="2950">
      <c r="A2950" s="41" t="n"/>
      <c r="B2950" s="41" t="n"/>
      <c r="C2950" s="41" t="n"/>
      <c r="D2950" s="41" t="n"/>
      <c r="E2950" s="46" t="n"/>
      <c r="F2950" s="41" t="n"/>
      <c r="G2950" s="41" t="n"/>
      <c r="H2950" s="41" t="n"/>
      <c r="I2950" s="41" t="n"/>
      <c r="J2950" s="47" t="n"/>
      <c r="K2950" s="41" t="n"/>
      <c r="L2950" s="48" t="n"/>
      <c r="M2950" s="45" t="n"/>
      <c r="N2950" s="39">
        <f>IF($B2950="","",IF(SUMPRODUCT((LISTAS!$O$3:$O$42&lt;&gt;"")*ISNUMBER(SEARCH(LISTAS!$O$3:$O$42,$I2950&amp;" "&amp;$K2950)))&gt;0,"CERCANA","NACIONAL"))</f>
        <v/>
      </c>
      <c r="O2950" s="39">
        <f>IF($B2950="","",IF(COUNTIFS(NOVEDADES!$C$4:$C$2003,$B2950)=0,"—","SÍ ("&amp;COUNTIFS(NOVEDADES!$C$4:$C$2003,$B2950)&amp;")"))</f>
        <v/>
      </c>
    </row>
    <row r="2951">
      <c r="A2951" s="41" t="n"/>
      <c r="B2951" s="41" t="n"/>
      <c r="C2951" s="41" t="n"/>
      <c r="D2951" s="41" t="n"/>
      <c r="E2951" s="46" t="n"/>
      <c r="F2951" s="41" t="n"/>
      <c r="G2951" s="41" t="n"/>
      <c r="H2951" s="41" t="n"/>
      <c r="I2951" s="41" t="n"/>
      <c r="J2951" s="47" t="n"/>
      <c r="K2951" s="41" t="n"/>
      <c r="L2951" s="48" t="n"/>
      <c r="M2951" s="45" t="n"/>
      <c r="N2951" s="39">
        <f>IF($B2951="","",IF(SUMPRODUCT((LISTAS!$O$3:$O$42&lt;&gt;"")*ISNUMBER(SEARCH(LISTAS!$O$3:$O$42,$I2951&amp;" "&amp;$K2951)))&gt;0,"CERCANA","NACIONAL"))</f>
        <v/>
      </c>
      <c r="O2951" s="39">
        <f>IF($B2951="","",IF(COUNTIFS(NOVEDADES!$C$4:$C$2003,$B2951)=0,"—","SÍ ("&amp;COUNTIFS(NOVEDADES!$C$4:$C$2003,$B2951)&amp;")"))</f>
        <v/>
      </c>
    </row>
    <row r="2952">
      <c r="A2952" s="41" t="n"/>
      <c r="B2952" s="41" t="n"/>
      <c r="C2952" s="41" t="n"/>
      <c r="D2952" s="41" t="n"/>
      <c r="E2952" s="46" t="n"/>
      <c r="F2952" s="41" t="n"/>
      <c r="G2952" s="41" t="n"/>
      <c r="H2952" s="41" t="n"/>
      <c r="I2952" s="41" t="n"/>
      <c r="J2952" s="47" t="n"/>
      <c r="K2952" s="41" t="n"/>
      <c r="L2952" s="48" t="n"/>
      <c r="M2952" s="45" t="n"/>
      <c r="N2952" s="39">
        <f>IF($B2952="","",IF(SUMPRODUCT((LISTAS!$O$3:$O$42&lt;&gt;"")*ISNUMBER(SEARCH(LISTAS!$O$3:$O$42,$I2952&amp;" "&amp;$K2952)))&gt;0,"CERCANA","NACIONAL"))</f>
        <v/>
      </c>
      <c r="O2952" s="39">
        <f>IF($B2952="","",IF(COUNTIFS(NOVEDADES!$C$4:$C$2003,$B2952)=0,"—","SÍ ("&amp;COUNTIFS(NOVEDADES!$C$4:$C$2003,$B2952)&amp;")"))</f>
        <v/>
      </c>
    </row>
    <row r="2953">
      <c r="A2953" s="41" t="n"/>
      <c r="B2953" s="41" t="n"/>
      <c r="C2953" s="41" t="n"/>
      <c r="D2953" s="41" t="n"/>
      <c r="E2953" s="46" t="n"/>
      <c r="F2953" s="41" t="n"/>
      <c r="G2953" s="41" t="n"/>
      <c r="H2953" s="41" t="n"/>
      <c r="I2953" s="41" t="n"/>
      <c r="J2953" s="47" t="n"/>
      <c r="K2953" s="41" t="n"/>
      <c r="L2953" s="48" t="n"/>
      <c r="M2953" s="45" t="n"/>
      <c r="N2953" s="39">
        <f>IF($B2953="","",IF(SUMPRODUCT((LISTAS!$O$3:$O$42&lt;&gt;"")*ISNUMBER(SEARCH(LISTAS!$O$3:$O$42,$I2953&amp;" "&amp;$K2953)))&gt;0,"CERCANA","NACIONAL"))</f>
        <v/>
      </c>
      <c r="O2953" s="39">
        <f>IF($B2953="","",IF(COUNTIFS(NOVEDADES!$C$4:$C$2003,$B2953)=0,"—","SÍ ("&amp;COUNTIFS(NOVEDADES!$C$4:$C$2003,$B2953)&amp;")"))</f>
        <v/>
      </c>
    </row>
    <row r="2954">
      <c r="A2954" s="41" t="n"/>
      <c r="B2954" s="41" t="n"/>
      <c r="C2954" s="41" t="n"/>
      <c r="D2954" s="41" t="n"/>
      <c r="E2954" s="46" t="n"/>
      <c r="F2954" s="41" t="n"/>
      <c r="G2954" s="41" t="n"/>
      <c r="H2954" s="41" t="n"/>
      <c r="I2954" s="41" t="n"/>
      <c r="J2954" s="47" t="n"/>
      <c r="K2954" s="41" t="n"/>
      <c r="L2954" s="48" t="n"/>
      <c r="M2954" s="45" t="n"/>
      <c r="N2954" s="39">
        <f>IF($B2954="","",IF(SUMPRODUCT((LISTAS!$O$3:$O$42&lt;&gt;"")*ISNUMBER(SEARCH(LISTAS!$O$3:$O$42,$I2954&amp;" "&amp;$K2954)))&gt;0,"CERCANA","NACIONAL"))</f>
        <v/>
      </c>
      <c r="O2954" s="39">
        <f>IF($B2954="","",IF(COUNTIFS(NOVEDADES!$C$4:$C$2003,$B2954)=0,"—","SÍ ("&amp;COUNTIFS(NOVEDADES!$C$4:$C$2003,$B2954)&amp;")"))</f>
        <v/>
      </c>
    </row>
    <row r="2955">
      <c r="A2955" s="41" t="n"/>
      <c r="B2955" s="41" t="n"/>
      <c r="C2955" s="41" t="n"/>
      <c r="D2955" s="41" t="n"/>
      <c r="E2955" s="46" t="n"/>
      <c r="F2955" s="41" t="n"/>
      <c r="G2955" s="41" t="n"/>
      <c r="H2955" s="41" t="n"/>
      <c r="I2955" s="41" t="n"/>
      <c r="J2955" s="47" t="n"/>
      <c r="K2955" s="41" t="n"/>
      <c r="L2955" s="48" t="n"/>
      <c r="M2955" s="45" t="n"/>
      <c r="N2955" s="39">
        <f>IF($B2955="","",IF(SUMPRODUCT((LISTAS!$O$3:$O$42&lt;&gt;"")*ISNUMBER(SEARCH(LISTAS!$O$3:$O$42,$I2955&amp;" "&amp;$K2955)))&gt;0,"CERCANA","NACIONAL"))</f>
        <v/>
      </c>
      <c r="O2955" s="39">
        <f>IF($B2955="","",IF(COUNTIFS(NOVEDADES!$C$4:$C$2003,$B2955)=0,"—","SÍ ("&amp;COUNTIFS(NOVEDADES!$C$4:$C$2003,$B2955)&amp;")"))</f>
        <v/>
      </c>
    </row>
    <row r="2956">
      <c r="A2956" s="41" t="n"/>
      <c r="B2956" s="41" t="n"/>
      <c r="C2956" s="41" t="n"/>
      <c r="D2956" s="41" t="n"/>
      <c r="E2956" s="46" t="n"/>
      <c r="F2956" s="41" t="n"/>
      <c r="G2956" s="41" t="n"/>
      <c r="H2956" s="41" t="n"/>
      <c r="I2956" s="41" t="n"/>
      <c r="J2956" s="47" t="n"/>
      <c r="K2956" s="41" t="n"/>
      <c r="L2956" s="48" t="n"/>
      <c r="M2956" s="45" t="n"/>
      <c r="N2956" s="39">
        <f>IF($B2956="","",IF(SUMPRODUCT((LISTAS!$O$3:$O$42&lt;&gt;"")*ISNUMBER(SEARCH(LISTAS!$O$3:$O$42,$I2956&amp;" "&amp;$K2956)))&gt;0,"CERCANA","NACIONAL"))</f>
        <v/>
      </c>
      <c r="O2956" s="39">
        <f>IF($B2956="","",IF(COUNTIFS(NOVEDADES!$C$4:$C$2003,$B2956)=0,"—","SÍ ("&amp;COUNTIFS(NOVEDADES!$C$4:$C$2003,$B2956)&amp;")"))</f>
        <v/>
      </c>
    </row>
    <row r="2957">
      <c r="A2957" s="41" t="n"/>
      <c r="B2957" s="41" t="n"/>
      <c r="C2957" s="41" t="n"/>
      <c r="D2957" s="41" t="n"/>
      <c r="E2957" s="46" t="n"/>
      <c r="F2957" s="41" t="n"/>
      <c r="G2957" s="41" t="n"/>
      <c r="H2957" s="41" t="n"/>
      <c r="I2957" s="41" t="n"/>
      <c r="J2957" s="47" t="n"/>
      <c r="K2957" s="41" t="n"/>
      <c r="L2957" s="48" t="n"/>
      <c r="M2957" s="45" t="n"/>
      <c r="N2957" s="39">
        <f>IF($B2957="","",IF(SUMPRODUCT((LISTAS!$O$3:$O$42&lt;&gt;"")*ISNUMBER(SEARCH(LISTAS!$O$3:$O$42,$I2957&amp;" "&amp;$K2957)))&gt;0,"CERCANA","NACIONAL"))</f>
        <v/>
      </c>
      <c r="O2957" s="39">
        <f>IF($B2957="","",IF(COUNTIFS(NOVEDADES!$C$4:$C$2003,$B2957)=0,"—","SÍ ("&amp;COUNTIFS(NOVEDADES!$C$4:$C$2003,$B2957)&amp;")"))</f>
        <v/>
      </c>
    </row>
    <row r="2958">
      <c r="A2958" s="41" t="n"/>
      <c r="B2958" s="41" t="n"/>
      <c r="C2958" s="41" t="n"/>
      <c r="D2958" s="41" t="n"/>
      <c r="E2958" s="46" t="n"/>
      <c r="F2958" s="41" t="n"/>
      <c r="G2958" s="41" t="n"/>
      <c r="H2958" s="41" t="n"/>
      <c r="I2958" s="41" t="n"/>
      <c r="J2958" s="47" t="n"/>
      <c r="K2958" s="41" t="n"/>
      <c r="L2958" s="48" t="n"/>
      <c r="M2958" s="45" t="n"/>
      <c r="N2958" s="39">
        <f>IF($B2958="","",IF(SUMPRODUCT((LISTAS!$O$3:$O$42&lt;&gt;"")*ISNUMBER(SEARCH(LISTAS!$O$3:$O$42,$I2958&amp;" "&amp;$K2958)))&gt;0,"CERCANA","NACIONAL"))</f>
        <v/>
      </c>
      <c r="O2958" s="39">
        <f>IF($B2958="","",IF(COUNTIFS(NOVEDADES!$C$4:$C$2003,$B2958)=0,"—","SÍ ("&amp;COUNTIFS(NOVEDADES!$C$4:$C$2003,$B2958)&amp;")"))</f>
        <v/>
      </c>
    </row>
    <row r="2959">
      <c r="A2959" s="41" t="n"/>
      <c r="B2959" s="41" t="n"/>
      <c r="C2959" s="41" t="n"/>
      <c r="D2959" s="41" t="n"/>
      <c r="E2959" s="46" t="n"/>
      <c r="F2959" s="41" t="n"/>
      <c r="G2959" s="41" t="n"/>
      <c r="H2959" s="41" t="n"/>
      <c r="I2959" s="41" t="n"/>
      <c r="J2959" s="47" t="n"/>
      <c r="K2959" s="41" t="n"/>
      <c r="L2959" s="48" t="n"/>
      <c r="M2959" s="45" t="n"/>
      <c r="N2959" s="39">
        <f>IF($B2959="","",IF(SUMPRODUCT((LISTAS!$O$3:$O$42&lt;&gt;"")*ISNUMBER(SEARCH(LISTAS!$O$3:$O$42,$I2959&amp;" "&amp;$K2959)))&gt;0,"CERCANA","NACIONAL"))</f>
        <v/>
      </c>
      <c r="O2959" s="39">
        <f>IF($B2959="","",IF(COUNTIFS(NOVEDADES!$C$4:$C$2003,$B2959)=0,"—","SÍ ("&amp;COUNTIFS(NOVEDADES!$C$4:$C$2003,$B2959)&amp;")"))</f>
        <v/>
      </c>
    </row>
    <row r="2960">
      <c r="A2960" s="41" t="n"/>
      <c r="B2960" s="41" t="n"/>
      <c r="C2960" s="41" t="n"/>
      <c r="D2960" s="41" t="n"/>
      <c r="E2960" s="46" t="n"/>
      <c r="F2960" s="41" t="n"/>
      <c r="G2960" s="41" t="n"/>
      <c r="H2960" s="41" t="n"/>
      <c r="I2960" s="41" t="n"/>
      <c r="J2960" s="47" t="n"/>
      <c r="K2960" s="41" t="n"/>
      <c r="L2960" s="48" t="n"/>
      <c r="M2960" s="45" t="n"/>
      <c r="N2960" s="39">
        <f>IF($B2960="","",IF(SUMPRODUCT((LISTAS!$O$3:$O$42&lt;&gt;"")*ISNUMBER(SEARCH(LISTAS!$O$3:$O$42,$I2960&amp;" "&amp;$K2960)))&gt;0,"CERCANA","NACIONAL"))</f>
        <v/>
      </c>
      <c r="O2960" s="39">
        <f>IF($B2960="","",IF(COUNTIFS(NOVEDADES!$C$4:$C$2003,$B2960)=0,"—","SÍ ("&amp;COUNTIFS(NOVEDADES!$C$4:$C$2003,$B2960)&amp;")"))</f>
        <v/>
      </c>
    </row>
    <row r="2961">
      <c r="A2961" s="41" t="n"/>
      <c r="B2961" s="41" t="n"/>
      <c r="C2961" s="41" t="n"/>
      <c r="D2961" s="41" t="n"/>
      <c r="E2961" s="46" t="n"/>
      <c r="F2961" s="41" t="n"/>
      <c r="G2961" s="41" t="n"/>
      <c r="H2961" s="41" t="n"/>
      <c r="I2961" s="41" t="n"/>
      <c r="J2961" s="47" t="n"/>
      <c r="K2961" s="41" t="n"/>
      <c r="L2961" s="48" t="n"/>
      <c r="M2961" s="45" t="n"/>
      <c r="N2961" s="39">
        <f>IF($B2961="","",IF(SUMPRODUCT((LISTAS!$O$3:$O$42&lt;&gt;"")*ISNUMBER(SEARCH(LISTAS!$O$3:$O$42,$I2961&amp;" "&amp;$K2961)))&gt;0,"CERCANA","NACIONAL"))</f>
        <v/>
      </c>
      <c r="O2961" s="39">
        <f>IF($B2961="","",IF(COUNTIFS(NOVEDADES!$C$4:$C$2003,$B2961)=0,"—","SÍ ("&amp;COUNTIFS(NOVEDADES!$C$4:$C$2003,$B2961)&amp;")"))</f>
        <v/>
      </c>
    </row>
    <row r="2962">
      <c r="A2962" s="41" t="n"/>
      <c r="B2962" s="41" t="n"/>
      <c r="C2962" s="41" t="n"/>
      <c r="D2962" s="41" t="n"/>
      <c r="E2962" s="46" t="n"/>
      <c r="F2962" s="41" t="n"/>
      <c r="G2962" s="41" t="n"/>
      <c r="H2962" s="41" t="n"/>
      <c r="I2962" s="41" t="n"/>
      <c r="J2962" s="47" t="n"/>
      <c r="K2962" s="41" t="n"/>
      <c r="L2962" s="48" t="n"/>
      <c r="M2962" s="45" t="n"/>
      <c r="N2962" s="39">
        <f>IF($B2962="","",IF(SUMPRODUCT((LISTAS!$O$3:$O$42&lt;&gt;"")*ISNUMBER(SEARCH(LISTAS!$O$3:$O$42,$I2962&amp;" "&amp;$K2962)))&gt;0,"CERCANA","NACIONAL"))</f>
        <v/>
      </c>
      <c r="O2962" s="39">
        <f>IF($B2962="","",IF(COUNTIFS(NOVEDADES!$C$4:$C$2003,$B2962)=0,"—","SÍ ("&amp;COUNTIFS(NOVEDADES!$C$4:$C$2003,$B2962)&amp;")"))</f>
        <v/>
      </c>
    </row>
    <row r="2963">
      <c r="A2963" s="41" t="n"/>
      <c r="B2963" s="41" t="n"/>
      <c r="C2963" s="41" t="n"/>
      <c r="D2963" s="41" t="n"/>
      <c r="E2963" s="46" t="n"/>
      <c r="F2963" s="41" t="n"/>
      <c r="G2963" s="41" t="n"/>
      <c r="H2963" s="41" t="n"/>
      <c r="I2963" s="41" t="n"/>
      <c r="J2963" s="47" t="n"/>
      <c r="K2963" s="41" t="n"/>
      <c r="L2963" s="48" t="n"/>
      <c r="M2963" s="45" t="n"/>
      <c r="N2963" s="39">
        <f>IF($B2963="","",IF(SUMPRODUCT((LISTAS!$O$3:$O$42&lt;&gt;"")*ISNUMBER(SEARCH(LISTAS!$O$3:$O$42,$I2963&amp;" "&amp;$K2963)))&gt;0,"CERCANA","NACIONAL"))</f>
        <v/>
      </c>
      <c r="O2963" s="39">
        <f>IF($B2963="","",IF(COUNTIFS(NOVEDADES!$C$4:$C$2003,$B2963)=0,"—","SÍ ("&amp;COUNTIFS(NOVEDADES!$C$4:$C$2003,$B2963)&amp;")"))</f>
        <v/>
      </c>
    </row>
    <row r="2964">
      <c r="A2964" s="41" t="n"/>
      <c r="B2964" s="41" t="n"/>
      <c r="C2964" s="41" t="n"/>
      <c r="D2964" s="41" t="n"/>
      <c r="E2964" s="46" t="n"/>
      <c r="F2964" s="41" t="n"/>
      <c r="G2964" s="41" t="n"/>
      <c r="H2964" s="41" t="n"/>
      <c r="I2964" s="41" t="n"/>
      <c r="J2964" s="47" t="n"/>
      <c r="K2964" s="41" t="n"/>
      <c r="L2964" s="48" t="n"/>
      <c r="M2964" s="45" t="n"/>
      <c r="N2964" s="39">
        <f>IF($B2964="","",IF(SUMPRODUCT((LISTAS!$O$3:$O$42&lt;&gt;"")*ISNUMBER(SEARCH(LISTAS!$O$3:$O$42,$I2964&amp;" "&amp;$K2964)))&gt;0,"CERCANA","NACIONAL"))</f>
        <v/>
      </c>
      <c r="O2964" s="39">
        <f>IF($B2964="","",IF(COUNTIFS(NOVEDADES!$C$4:$C$2003,$B2964)=0,"—","SÍ ("&amp;COUNTIFS(NOVEDADES!$C$4:$C$2003,$B2964)&amp;")"))</f>
        <v/>
      </c>
    </row>
    <row r="2965">
      <c r="A2965" s="41" t="n"/>
      <c r="B2965" s="41" t="n"/>
      <c r="C2965" s="41" t="n"/>
      <c r="D2965" s="41" t="n"/>
      <c r="E2965" s="46" t="n"/>
      <c r="F2965" s="41" t="n"/>
      <c r="G2965" s="41" t="n"/>
      <c r="H2965" s="41" t="n"/>
      <c r="I2965" s="41" t="n"/>
      <c r="J2965" s="47" t="n"/>
      <c r="K2965" s="41" t="n"/>
      <c r="L2965" s="48" t="n"/>
      <c r="M2965" s="45" t="n"/>
      <c r="N2965" s="39">
        <f>IF($B2965="","",IF(SUMPRODUCT((LISTAS!$O$3:$O$42&lt;&gt;"")*ISNUMBER(SEARCH(LISTAS!$O$3:$O$42,$I2965&amp;" "&amp;$K2965)))&gt;0,"CERCANA","NACIONAL"))</f>
        <v/>
      </c>
      <c r="O2965" s="39">
        <f>IF($B2965="","",IF(COUNTIFS(NOVEDADES!$C$4:$C$2003,$B2965)=0,"—","SÍ ("&amp;COUNTIFS(NOVEDADES!$C$4:$C$2003,$B2965)&amp;")"))</f>
        <v/>
      </c>
    </row>
    <row r="2966">
      <c r="A2966" s="41" t="n"/>
      <c r="B2966" s="41" t="n"/>
      <c r="C2966" s="41" t="n"/>
      <c r="D2966" s="41" t="n"/>
      <c r="E2966" s="46" t="n"/>
      <c r="F2966" s="41" t="n"/>
      <c r="G2966" s="41" t="n"/>
      <c r="H2966" s="41" t="n"/>
      <c r="I2966" s="41" t="n"/>
      <c r="J2966" s="47" t="n"/>
      <c r="K2966" s="41" t="n"/>
      <c r="L2966" s="48" t="n"/>
      <c r="M2966" s="45" t="n"/>
      <c r="N2966" s="39">
        <f>IF($B2966="","",IF(SUMPRODUCT((LISTAS!$O$3:$O$42&lt;&gt;"")*ISNUMBER(SEARCH(LISTAS!$O$3:$O$42,$I2966&amp;" "&amp;$K2966)))&gt;0,"CERCANA","NACIONAL"))</f>
        <v/>
      </c>
      <c r="O2966" s="39">
        <f>IF($B2966="","",IF(COUNTIFS(NOVEDADES!$C$4:$C$2003,$B2966)=0,"—","SÍ ("&amp;COUNTIFS(NOVEDADES!$C$4:$C$2003,$B2966)&amp;")"))</f>
        <v/>
      </c>
    </row>
    <row r="2967">
      <c r="A2967" s="41" t="n"/>
      <c r="B2967" s="41" t="n"/>
      <c r="C2967" s="41" t="n"/>
      <c r="D2967" s="41" t="n"/>
      <c r="E2967" s="46" t="n"/>
      <c r="F2967" s="41" t="n"/>
      <c r="G2967" s="41" t="n"/>
      <c r="H2967" s="41" t="n"/>
      <c r="I2967" s="41" t="n"/>
      <c r="J2967" s="47" t="n"/>
      <c r="K2967" s="41" t="n"/>
      <c r="L2967" s="48" t="n"/>
      <c r="M2967" s="45" t="n"/>
      <c r="N2967" s="39">
        <f>IF($B2967="","",IF(SUMPRODUCT((LISTAS!$O$3:$O$42&lt;&gt;"")*ISNUMBER(SEARCH(LISTAS!$O$3:$O$42,$I2967&amp;" "&amp;$K2967)))&gt;0,"CERCANA","NACIONAL"))</f>
        <v/>
      </c>
      <c r="O2967" s="39">
        <f>IF($B2967="","",IF(COUNTIFS(NOVEDADES!$C$4:$C$2003,$B2967)=0,"—","SÍ ("&amp;COUNTIFS(NOVEDADES!$C$4:$C$2003,$B2967)&amp;")"))</f>
        <v/>
      </c>
    </row>
    <row r="2968">
      <c r="A2968" s="41" t="n"/>
      <c r="B2968" s="41" t="n"/>
      <c r="C2968" s="41" t="n"/>
      <c r="D2968" s="41" t="n"/>
      <c r="E2968" s="46" t="n"/>
      <c r="F2968" s="41" t="n"/>
      <c r="G2968" s="41" t="n"/>
      <c r="H2968" s="41" t="n"/>
      <c r="I2968" s="41" t="n"/>
      <c r="J2968" s="47" t="n"/>
      <c r="K2968" s="41" t="n"/>
      <c r="L2968" s="48" t="n"/>
      <c r="M2968" s="45" t="n"/>
      <c r="N2968" s="39">
        <f>IF($B2968="","",IF(SUMPRODUCT((LISTAS!$O$3:$O$42&lt;&gt;"")*ISNUMBER(SEARCH(LISTAS!$O$3:$O$42,$I2968&amp;" "&amp;$K2968)))&gt;0,"CERCANA","NACIONAL"))</f>
        <v/>
      </c>
      <c r="O2968" s="39">
        <f>IF($B2968="","",IF(COUNTIFS(NOVEDADES!$C$4:$C$2003,$B2968)=0,"—","SÍ ("&amp;COUNTIFS(NOVEDADES!$C$4:$C$2003,$B2968)&amp;")"))</f>
        <v/>
      </c>
    </row>
    <row r="2969">
      <c r="A2969" s="41" t="n"/>
      <c r="B2969" s="41" t="n"/>
      <c r="C2969" s="41" t="n"/>
      <c r="D2969" s="41" t="n"/>
      <c r="E2969" s="46" t="n"/>
      <c r="F2969" s="41" t="n"/>
      <c r="G2969" s="41" t="n"/>
      <c r="H2969" s="41" t="n"/>
      <c r="I2969" s="41" t="n"/>
      <c r="J2969" s="47" t="n"/>
      <c r="K2969" s="41" t="n"/>
      <c r="L2969" s="48" t="n"/>
      <c r="M2969" s="45" t="n"/>
      <c r="N2969" s="39">
        <f>IF($B2969="","",IF(SUMPRODUCT((LISTAS!$O$3:$O$42&lt;&gt;"")*ISNUMBER(SEARCH(LISTAS!$O$3:$O$42,$I2969&amp;" "&amp;$K2969)))&gt;0,"CERCANA","NACIONAL"))</f>
        <v/>
      </c>
      <c r="O2969" s="39">
        <f>IF($B2969="","",IF(COUNTIFS(NOVEDADES!$C$4:$C$2003,$B2969)=0,"—","SÍ ("&amp;COUNTIFS(NOVEDADES!$C$4:$C$2003,$B2969)&amp;")"))</f>
        <v/>
      </c>
    </row>
    <row r="2970">
      <c r="A2970" s="41" t="n"/>
      <c r="B2970" s="41" t="n"/>
      <c r="C2970" s="41" t="n"/>
      <c r="D2970" s="41" t="n"/>
      <c r="E2970" s="46" t="n"/>
      <c r="F2970" s="41" t="n"/>
      <c r="G2970" s="41" t="n"/>
      <c r="H2970" s="41" t="n"/>
      <c r="I2970" s="41" t="n"/>
      <c r="J2970" s="47" t="n"/>
      <c r="K2970" s="41" t="n"/>
      <c r="L2970" s="48" t="n"/>
      <c r="M2970" s="45" t="n"/>
      <c r="N2970" s="39">
        <f>IF($B2970="","",IF(SUMPRODUCT((LISTAS!$O$3:$O$42&lt;&gt;"")*ISNUMBER(SEARCH(LISTAS!$O$3:$O$42,$I2970&amp;" "&amp;$K2970)))&gt;0,"CERCANA","NACIONAL"))</f>
        <v/>
      </c>
      <c r="O2970" s="39">
        <f>IF($B2970="","",IF(COUNTIFS(NOVEDADES!$C$4:$C$2003,$B2970)=0,"—","SÍ ("&amp;COUNTIFS(NOVEDADES!$C$4:$C$2003,$B2970)&amp;")"))</f>
        <v/>
      </c>
    </row>
    <row r="2971">
      <c r="A2971" s="41" t="n"/>
      <c r="B2971" s="41" t="n"/>
      <c r="C2971" s="41" t="n"/>
      <c r="D2971" s="41" t="n"/>
      <c r="E2971" s="46" t="n"/>
      <c r="F2971" s="41" t="n"/>
      <c r="G2971" s="41" t="n"/>
      <c r="H2971" s="41" t="n"/>
      <c r="I2971" s="41" t="n"/>
      <c r="J2971" s="47" t="n"/>
      <c r="K2971" s="41" t="n"/>
      <c r="L2971" s="48" t="n"/>
      <c r="M2971" s="45" t="n"/>
      <c r="N2971" s="39">
        <f>IF($B2971="","",IF(SUMPRODUCT((LISTAS!$O$3:$O$42&lt;&gt;"")*ISNUMBER(SEARCH(LISTAS!$O$3:$O$42,$I2971&amp;" "&amp;$K2971)))&gt;0,"CERCANA","NACIONAL"))</f>
        <v/>
      </c>
      <c r="O2971" s="39">
        <f>IF($B2971="","",IF(COUNTIFS(NOVEDADES!$C$4:$C$2003,$B2971)=0,"—","SÍ ("&amp;COUNTIFS(NOVEDADES!$C$4:$C$2003,$B2971)&amp;")"))</f>
        <v/>
      </c>
    </row>
    <row r="2972">
      <c r="A2972" s="41" t="n"/>
      <c r="B2972" s="41" t="n"/>
      <c r="C2972" s="41" t="n"/>
      <c r="D2972" s="41" t="n"/>
      <c r="E2972" s="46" t="n"/>
      <c r="F2972" s="41" t="n"/>
      <c r="G2972" s="41" t="n"/>
      <c r="H2972" s="41" t="n"/>
      <c r="I2972" s="41" t="n"/>
      <c r="J2972" s="47" t="n"/>
      <c r="K2972" s="41" t="n"/>
      <c r="L2972" s="48" t="n"/>
      <c r="M2972" s="45" t="n"/>
      <c r="N2972" s="39">
        <f>IF($B2972="","",IF(SUMPRODUCT((LISTAS!$O$3:$O$42&lt;&gt;"")*ISNUMBER(SEARCH(LISTAS!$O$3:$O$42,$I2972&amp;" "&amp;$K2972)))&gt;0,"CERCANA","NACIONAL"))</f>
        <v/>
      </c>
      <c r="O2972" s="39">
        <f>IF($B2972="","",IF(COUNTIFS(NOVEDADES!$C$4:$C$2003,$B2972)=0,"—","SÍ ("&amp;COUNTIFS(NOVEDADES!$C$4:$C$2003,$B2972)&amp;")"))</f>
        <v/>
      </c>
    </row>
    <row r="2973">
      <c r="A2973" s="41" t="n"/>
      <c r="B2973" s="41" t="n"/>
      <c r="C2973" s="41" t="n"/>
      <c r="D2973" s="41" t="n"/>
      <c r="E2973" s="46" t="n"/>
      <c r="F2973" s="41" t="n"/>
      <c r="G2973" s="41" t="n"/>
      <c r="H2973" s="41" t="n"/>
      <c r="I2973" s="41" t="n"/>
      <c r="J2973" s="47" t="n"/>
      <c r="K2973" s="41" t="n"/>
      <c r="L2973" s="48" t="n"/>
      <c r="M2973" s="45" t="n"/>
      <c r="N2973" s="39">
        <f>IF($B2973="","",IF(SUMPRODUCT((LISTAS!$O$3:$O$42&lt;&gt;"")*ISNUMBER(SEARCH(LISTAS!$O$3:$O$42,$I2973&amp;" "&amp;$K2973)))&gt;0,"CERCANA","NACIONAL"))</f>
        <v/>
      </c>
      <c r="O2973" s="39">
        <f>IF($B2973="","",IF(COUNTIFS(NOVEDADES!$C$4:$C$2003,$B2973)=0,"—","SÍ ("&amp;COUNTIFS(NOVEDADES!$C$4:$C$2003,$B2973)&amp;")"))</f>
        <v/>
      </c>
    </row>
    <row r="2974">
      <c r="A2974" s="41" t="n"/>
      <c r="B2974" s="41" t="n"/>
      <c r="C2974" s="41" t="n"/>
      <c r="D2974" s="41" t="n"/>
      <c r="E2974" s="46" t="n"/>
      <c r="F2974" s="41" t="n"/>
      <c r="G2974" s="41" t="n"/>
      <c r="H2974" s="41" t="n"/>
      <c r="I2974" s="41" t="n"/>
      <c r="J2974" s="47" t="n"/>
      <c r="K2974" s="41" t="n"/>
      <c r="L2974" s="48" t="n"/>
      <c r="M2974" s="45" t="n"/>
      <c r="N2974" s="39">
        <f>IF($B2974="","",IF(SUMPRODUCT((LISTAS!$O$3:$O$42&lt;&gt;"")*ISNUMBER(SEARCH(LISTAS!$O$3:$O$42,$I2974&amp;" "&amp;$K2974)))&gt;0,"CERCANA","NACIONAL"))</f>
        <v/>
      </c>
      <c r="O2974" s="39">
        <f>IF($B2974="","",IF(COUNTIFS(NOVEDADES!$C$4:$C$2003,$B2974)=0,"—","SÍ ("&amp;COUNTIFS(NOVEDADES!$C$4:$C$2003,$B2974)&amp;")"))</f>
        <v/>
      </c>
    </row>
    <row r="2975">
      <c r="A2975" s="41" t="n"/>
      <c r="B2975" s="41" t="n"/>
      <c r="C2975" s="41" t="n"/>
      <c r="D2975" s="41" t="n"/>
      <c r="E2975" s="46" t="n"/>
      <c r="F2975" s="41" t="n"/>
      <c r="G2975" s="41" t="n"/>
      <c r="H2975" s="41" t="n"/>
      <c r="I2975" s="41" t="n"/>
      <c r="J2975" s="47" t="n"/>
      <c r="K2975" s="41" t="n"/>
      <c r="L2975" s="48" t="n"/>
      <c r="M2975" s="45" t="n"/>
      <c r="N2975" s="39">
        <f>IF($B2975="","",IF(SUMPRODUCT((LISTAS!$O$3:$O$42&lt;&gt;"")*ISNUMBER(SEARCH(LISTAS!$O$3:$O$42,$I2975&amp;" "&amp;$K2975)))&gt;0,"CERCANA","NACIONAL"))</f>
        <v/>
      </c>
      <c r="O2975" s="39">
        <f>IF($B2975="","",IF(COUNTIFS(NOVEDADES!$C$4:$C$2003,$B2975)=0,"—","SÍ ("&amp;COUNTIFS(NOVEDADES!$C$4:$C$2003,$B2975)&amp;")"))</f>
        <v/>
      </c>
    </row>
    <row r="2976">
      <c r="A2976" s="41" t="n"/>
      <c r="B2976" s="41" t="n"/>
      <c r="C2976" s="41" t="n"/>
      <c r="D2976" s="41" t="n"/>
      <c r="E2976" s="46" t="n"/>
      <c r="F2976" s="41" t="n"/>
      <c r="G2976" s="41" t="n"/>
      <c r="H2976" s="41" t="n"/>
      <c r="I2976" s="41" t="n"/>
      <c r="J2976" s="47" t="n"/>
      <c r="K2976" s="41" t="n"/>
      <c r="L2976" s="48" t="n"/>
      <c r="M2976" s="45" t="n"/>
      <c r="N2976" s="39">
        <f>IF($B2976="","",IF(SUMPRODUCT((LISTAS!$O$3:$O$42&lt;&gt;"")*ISNUMBER(SEARCH(LISTAS!$O$3:$O$42,$I2976&amp;" "&amp;$K2976)))&gt;0,"CERCANA","NACIONAL"))</f>
        <v/>
      </c>
      <c r="O2976" s="39">
        <f>IF($B2976="","",IF(COUNTIFS(NOVEDADES!$C$4:$C$2003,$B2976)=0,"—","SÍ ("&amp;COUNTIFS(NOVEDADES!$C$4:$C$2003,$B2976)&amp;")"))</f>
        <v/>
      </c>
    </row>
    <row r="2977">
      <c r="A2977" s="41" t="n"/>
      <c r="B2977" s="41" t="n"/>
      <c r="C2977" s="41" t="n"/>
      <c r="D2977" s="41" t="n"/>
      <c r="E2977" s="46" t="n"/>
      <c r="F2977" s="41" t="n"/>
      <c r="G2977" s="41" t="n"/>
      <c r="H2977" s="41" t="n"/>
      <c r="I2977" s="41" t="n"/>
      <c r="J2977" s="47" t="n"/>
      <c r="K2977" s="41" t="n"/>
      <c r="L2977" s="48" t="n"/>
      <c r="M2977" s="45" t="n"/>
      <c r="N2977" s="39">
        <f>IF($B2977="","",IF(SUMPRODUCT((LISTAS!$O$3:$O$42&lt;&gt;"")*ISNUMBER(SEARCH(LISTAS!$O$3:$O$42,$I2977&amp;" "&amp;$K2977)))&gt;0,"CERCANA","NACIONAL"))</f>
        <v/>
      </c>
      <c r="O2977" s="39">
        <f>IF($B2977="","",IF(COUNTIFS(NOVEDADES!$C$4:$C$2003,$B2977)=0,"—","SÍ ("&amp;COUNTIFS(NOVEDADES!$C$4:$C$2003,$B2977)&amp;")"))</f>
        <v/>
      </c>
    </row>
    <row r="2978">
      <c r="A2978" s="41" t="n"/>
      <c r="B2978" s="41" t="n"/>
      <c r="C2978" s="41" t="n"/>
      <c r="D2978" s="41" t="n"/>
      <c r="E2978" s="46" t="n"/>
      <c r="F2978" s="41" t="n"/>
      <c r="G2978" s="41" t="n"/>
      <c r="H2978" s="41" t="n"/>
      <c r="I2978" s="41" t="n"/>
      <c r="J2978" s="47" t="n"/>
      <c r="K2978" s="41" t="n"/>
      <c r="L2978" s="48" t="n"/>
      <c r="M2978" s="45" t="n"/>
      <c r="N2978" s="39">
        <f>IF($B2978="","",IF(SUMPRODUCT((LISTAS!$O$3:$O$42&lt;&gt;"")*ISNUMBER(SEARCH(LISTAS!$O$3:$O$42,$I2978&amp;" "&amp;$K2978)))&gt;0,"CERCANA","NACIONAL"))</f>
        <v/>
      </c>
      <c r="O2978" s="39">
        <f>IF($B2978="","",IF(COUNTIFS(NOVEDADES!$C$4:$C$2003,$B2978)=0,"—","SÍ ("&amp;COUNTIFS(NOVEDADES!$C$4:$C$2003,$B2978)&amp;")"))</f>
        <v/>
      </c>
    </row>
    <row r="2979">
      <c r="A2979" s="41" t="n"/>
      <c r="B2979" s="41" t="n"/>
      <c r="C2979" s="41" t="n"/>
      <c r="D2979" s="41" t="n"/>
      <c r="E2979" s="46" t="n"/>
      <c r="F2979" s="41" t="n"/>
      <c r="G2979" s="41" t="n"/>
      <c r="H2979" s="41" t="n"/>
      <c r="I2979" s="41" t="n"/>
      <c r="J2979" s="47" t="n"/>
      <c r="K2979" s="41" t="n"/>
      <c r="L2979" s="48" t="n"/>
      <c r="M2979" s="45" t="n"/>
      <c r="N2979" s="39">
        <f>IF($B2979="","",IF(SUMPRODUCT((LISTAS!$O$3:$O$42&lt;&gt;"")*ISNUMBER(SEARCH(LISTAS!$O$3:$O$42,$I2979&amp;" "&amp;$K2979)))&gt;0,"CERCANA","NACIONAL"))</f>
        <v/>
      </c>
      <c r="O2979" s="39">
        <f>IF($B2979="","",IF(COUNTIFS(NOVEDADES!$C$4:$C$2003,$B2979)=0,"—","SÍ ("&amp;COUNTIFS(NOVEDADES!$C$4:$C$2003,$B2979)&amp;")"))</f>
        <v/>
      </c>
    </row>
    <row r="2980">
      <c r="A2980" s="41" t="n"/>
      <c r="B2980" s="41" t="n"/>
      <c r="C2980" s="41" t="n"/>
      <c r="D2980" s="41" t="n"/>
      <c r="E2980" s="46" t="n"/>
      <c r="F2980" s="41" t="n"/>
      <c r="G2980" s="41" t="n"/>
      <c r="H2980" s="41" t="n"/>
      <c r="I2980" s="41" t="n"/>
      <c r="J2980" s="47" t="n"/>
      <c r="K2980" s="41" t="n"/>
      <c r="L2980" s="48" t="n"/>
      <c r="M2980" s="45" t="n"/>
      <c r="N2980" s="39">
        <f>IF($B2980="","",IF(SUMPRODUCT((LISTAS!$O$3:$O$42&lt;&gt;"")*ISNUMBER(SEARCH(LISTAS!$O$3:$O$42,$I2980&amp;" "&amp;$K2980)))&gt;0,"CERCANA","NACIONAL"))</f>
        <v/>
      </c>
      <c r="O2980" s="39">
        <f>IF($B2980="","",IF(COUNTIFS(NOVEDADES!$C$4:$C$2003,$B2980)=0,"—","SÍ ("&amp;COUNTIFS(NOVEDADES!$C$4:$C$2003,$B2980)&amp;")"))</f>
        <v/>
      </c>
    </row>
    <row r="2981">
      <c r="A2981" s="41" t="n"/>
      <c r="B2981" s="41" t="n"/>
      <c r="C2981" s="41" t="n"/>
      <c r="D2981" s="41" t="n"/>
      <c r="E2981" s="46" t="n"/>
      <c r="F2981" s="41" t="n"/>
      <c r="G2981" s="41" t="n"/>
      <c r="H2981" s="41" t="n"/>
      <c r="I2981" s="41" t="n"/>
      <c r="J2981" s="47" t="n"/>
      <c r="K2981" s="41" t="n"/>
      <c r="L2981" s="48" t="n"/>
      <c r="M2981" s="45" t="n"/>
      <c r="N2981" s="39">
        <f>IF($B2981="","",IF(SUMPRODUCT((LISTAS!$O$3:$O$42&lt;&gt;"")*ISNUMBER(SEARCH(LISTAS!$O$3:$O$42,$I2981&amp;" "&amp;$K2981)))&gt;0,"CERCANA","NACIONAL"))</f>
        <v/>
      </c>
      <c r="O2981" s="39">
        <f>IF($B2981="","",IF(COUNTIFS(NOVEDADES!$C$4:$C$2003,$B2981)=0,"—","SÍ ("&amp;COUNTIFS(NOVEDADES!$C$4:$C$2003,$B2981)&amp;")"))</f>
        <v/>
      </c>
    </row>
    <row r="2982">
      <c r="A2982" s="41" t="n"/>
      <c r="B2982" s="41" t="n"/>
      <c r="C2982" s="41" t="n"/>
      <c r="D2982" s="41" t="n"/>
      <c r="E2982" s="46" t="n"/>
      <c r="F2982" s="41" t="n"/>
      <c r="G2982" s="41" t="n"/>
      <c r="H2982" s="41" t="n"/>
      <c r="I2982" s="41" t="n"/>
      <c r="J2982" s="47" t="n"/>
      <c r="K2982" s="41" t="n"/>
      <c r="L2982" s="48" t="n"/>
      <c r="M2982" s="45" t="n"/>
      <c r="N2982" s="39">
        <f>IF($B2982="","",IF(SUMPRODUCT((LISTAS!$O$3:$O$42&lt;&gt;"")*ISNUMBER(SEARCH(LISTAS!$O$3:$O$42,$I2982&amp;" "&amp;$K2982)))&gt;0,"CERCANA","NACIONAL"))</f>
        <v/>
      </c>
      <c r="O2982" s="39">
        <f>IF($B2982="","",IF(COUNTIFS(NOVEDADES!$C$4:$C$2003,$B2982)=0,"—","SÍ ("&amp;COUNTIFS(NOVEDADES!$C$4:$C$2003,$B2982)&amp;")"))</f>
        <v/>
      </c>
    </row>
    <row r="2983">
      <c r="A2983" s="41" t="n"/>
      <c r="B2983" s="41" t="n"/>
      <c r="C2983" s="41" t="n"/>
      <c r="D2983" s="41" t="n"/>
      <c r="E2983" s="46" t="n"/>
      <c r="F2983" s="41" t="n"/>
      <c r="G2983" s="41" t="n"/>
      <c r="H2983" s="41" t="n"/>
      <c r="I2983" s="41" t="n"/>
      <c r="J2983" s="47" t="n"/>
      <c r="K2983" s="41" t="n"/>
      <c r="L2983" s="48" t="n"/>
      <c r="M2983" s="45" t="n"/>
      <c r="N2983" s="39">
        <f>IF($B2983="","",IF(SUMPRODUCT((LISTAS!$O$3:$O$42&lt;&gt;"")*ISNUMBER(SEARCH(LISTAS!$O$3:$O$42,$I2983&amp;" "&amp;$K2983)))&gt;0,"CERCANA","NACIONAL"))</f>
        <v/>
      </c>
      <c r="O2983" s="39">
        <f>IF($B2983="","",IF(COUNTIFS(NOVEDADES!$C$4:$C$2003,$B2983)=0,"—","SÍ ("&amp;COUNTIFS(NOVEDADES!$C$4:$C$2003,$B2983)&amp;")"))</f>
        <v/>
      </c>
    </row>
    <row r="2984">
      <c r="A2984" s="41" t="n"/>
      <c r="B2984" s="41" t="n"/>
      <c r="C2984" s="41" t="n"/>
      <c r="D2984" s="41" t="n"/>
      <c r="E2984" s="46" t="n"/>
      <c r="F2984" s="41" t="n"/>
      <c r="G2984" s="41" t="n"/>
      <c r="H2984" s="41" t="n"/>
      <c r="I2984" s="41" t="n"/>
      <c r="J2984" s="47" t="n"/>
      <c r="K2984" s="41" t="n"/>
      <c r="L2984" s="48" t="n"/>
      <c r="M2984" s="45" t="n"/>
      <c r="N2984" s="39">
        <f>IF($B2984="","",IF(SUMPRODUCT((LISTAS!$O$3:$O$42&lt;&gt;"")*ISNUMBER(SEARCH(LISTAS!$O$3:$O$42,$I2984&amp;" "&amp;$K2984)))&gt;0,"CERCANA","NACIONAL"))</f>
        <v/>
      </c>
      <c r="O2984" s="39">
        <f>IF($B2984="","",IF(COUNTIFS(NOVEDADES!$C$4:$C$2003,$B2984)=0,"—","SÍ ("&amp;COUNTIFS(NOVEDADES!$C$4:$C$2003,$B2984)&amp;")"))</f>
        <v/>
      </c>
    </row>
    <row r="2985">
      <c r="A2985" s="41" t="n"/>
      <c r="B2985" s="41" t="n"/>
      <c r="C2985" s="41" t="n"/>
      <c r="D2985" s="41" t="n"/>
      <c r="E2985" s="46" t="n"/>
      <c r="F2985" s="41" t="n"/>
      <c r="G2985" s="41" t="n"/>
      <c r="H2985" s="41" t="n"/>
      <c r="I2985" s="41" t="n"/>
      <c r="J2985" s="47" t="n"/>
      <c r="K2985" s="41" t="n"/>
      <c r="L2985" s="48" t="n"/>
      <c r="M2985" s="45" t="n"/>
      <c r="N2985" s="39">
        <f>IF($B2985="","",IF(SUMPRODUCT((LISTAS!$O$3:$O$42&lt;&gt;"")*ISNUMBER(SEARCH(LISTAS!$O$3:$O$42,$I2985&amp;" "&amp;$K2985)))&gt;0,"CERCANA","NACIONAL"))</f>
        <v/>
      </c>
      <c r="O2985" s="39">
        <f>IF($B2985="","",IF(COUNTIFS(NOVEDADES!$C$4:$C$2003,$B2985)=0,"—","SÍ ("&amp;COUNTIFS(NOVEDADES!$C$4:$C$2003,$B2985)&amp;")"))</f>
        <v/>
      </c>
    </row>
    <row r="2986">
      <c r="A2986" s="41" t="n"/>
      <c r="B2986" s="41" t="n"/>
      <c r="C2986" s="41" t="n"/>
      <c r="D2986" s="41" t="n"/>
      <c r="E2986" s="46" t="n"/>
      <c r="F2986" s="41" t="n"/>
      <c r="G2986" s="41" t="n"/>
      <c r="H2986" s="41" t="n"/>
      <c r="I2986" s="41" t="n"/>
      <c r="J2986" s="47" t="n"/>
      <c r="K2986" s="41" t="n"/>
      <c r="L2986" s="48" t="n"/>
      <c r="M2986" s="45" t="n"/>
      <c r="N2986" s="39">
        <f>IF($B2986="","",IF(SUMPRODUCT((LISTAS!$O$3:$O$42&lt;&gt;"")*ISNUMBER(SEARCH(LISTAS!$O$3:$O$42,$I2986&amp;" "&amp;$K2986)))&gt;0,"CERCANA","NACIONAL"))</f>
        <v/>
      </c>
      <c r="O2986" s="39">
        <f>IF($B2986="","",IF(COUNTIFS(NOVEDADES!$C$4:$C$2003,$B2986)=0,"—","SÍ ("&amp;COUNTIFS(NOVEDADES!$C$4:$C$2003,$B2986)&amp;")"))</f>
        <v/>
      </c>
    </row>
    <row r="2987">
      <c r="A2987" s="41" t="n"/>
      <c r="B2987" s="41" t="n"/>
      <c r="C2987" s="41" t="n"/>
      <c r="D2987" s="41" t="n"/>
      <c r="E2987" s="46" t="n"/>
      <c r="F2987" s="41" t="n"/>
      <c r="G2987" s="41" t="n"/>
      <c r="H2987" s="41" t="n"/>
      <c r="I2987" s="41" t="n"/>
      <c r="J2987" s="47" t="n"/>
      <c r="K2987" s="41" t="n"/>
      <c r="L2987" s="48" t="n"/>
      <c r="M2987" s="45" t="n"/>
      <c r="N2987" s="39">
        <f>IF($B2987="","",IF(SUMPRODUCT((LISTAS!$O$3:$O$42&lt;&gt;"")*ISNUMBER(SEARCH(LISTAS!$O$3:$O$42,$I2987&amp;" "&amp;$K2987)))&gt;0,"CERCANA","NACIONAL"))</f>
        <v/>
      </c>
      <c r="O2987" s="39">
        <f>IF($B2987="","",IF(COUNTIFS(NOVEDADES!$C$4:$C$2003,$B2987)=0,"—","SÍ ("&amp;COUNTIFS(NOVEDADES!$C$4:$C$2003,$B2987)&amp;")"))</f>
        <v/>
      </c>
    </row>
    <row r="2988">
      <c r="A2988" s="41" t="n"/>
      <c r="B2988" s="41" t="n"/>
      <c r="C2988" s="41" t="n"/>
      <c r="D2988" s="41" t="n"/>
      <c r="E2988" s="46" t="n"/>
      <c r="F2988" s="41" t="n"/>
      <c r="G2988" s="41" t="n"/>
      <c r="H2988" s="41" t="n"/>
      <c r="I2988" s="41" t="n"/>
      <c r="J2988" s="47" t="n"/>
      <c r="K2988" s="41" t="n"/>
      <c r="L2988" s="48" t="n"/>
      <c r="M2988" s="45" t="n"/>
      <c r="N2988" s="39">
        <f>IF($B2988="","",IF(SUMPRODUCT((LISTAS!$O$3:$O$42&lt;&gt;"")*ISNUMBER(SEARCH(LISTAS!$O$3:$O$42,$I2988&amp;" "&amp;$K2988)))&gt;0,"CERCANA","NACIONAL"))</f>
        <v/>
      </c>
      <c r="O2988" s="39">
        <f>IF($B2988="","",IF(COUNTIFS(NOVEDADES!$C$4:$C$2003,$B2988)=0,"—","SÍ ("&amp;COUNTIFS(NOVEDADES!$C$4:$C$2003,$B2988)&amp;")"))</f>
        <v/>
      </c>
    </row>
    <row r="2989">
      <c r="A2989" s="41" t="n"/>
      <c r="B2989" s="41" t="n"/>
      <c r="C2989" s="41" t="n"/>
      <c r="D2989" s="41" t="n"/>
      <c r="E2989" s="46" t="n"/>
      <c r="F2989" s="41" t="n"/>
      <c r="G2989" s="41" t="n"/>
      <c r="H2989" s="41" t="n"/>
      <c r="I2989" s="41" t="n"/>
      <c r="J2989" s="47" t="n"/>
      <c r="K2989" s="41" t="n"/>
      <c r="L2989" s="48" t="n"/>
      <c r="M2989" s="45" t="n"/>
      <c r="N2989" s="39">
        <f>IF($B2989="","",IF(SUMPRODUCT((LISTAS!$O$3:$O$42&lt;&gt;"")*ISNUMBER(SEARCH(LISTAS!$O$3:$O$42,$I2989&amp;" "&amp;$K2989)))&gt;0,"CERCANA","NACIONAL"))</f>
        <v/>
      </c>
      <c r="O2989" s="39">
        <f>IF($B2989="","",IF(COUNTIFS(NOVEDADES!$C$4:$C$2003,$B2989)=0,"—","SÍ ("&amp;COUNTIFS(NOVEDADES!$C$4:$C$2003,$B2989)&amp;")"))</f>
        <v/>
      </c>
    </row>
    <row r="2990">
      <c r="A2990" s="41" t="n"/>
      <c r="B2990" s="41" t="n"/>
      <c r="C2990" s="41" t="n"/>
      <c r="D2990" s="41" t="n"/>
      <c r="E2990" s="46" t="n"/>
      <c r="F2990" s="41" t="n"/>
      <c r="G2990" s="41" t="n"/>
      <c r="H2990" s="41" t="n"/>
      <c r="I2990" s="41" t="n"/>
      <c r="J2990" s="47" t="n"/>
      <c r="K2990" s="41" t="n"/>
      <c r="L2990" s="48" t="n"/>
      <c r="M2990" s="45" t="n"/>
      <c r="N2990" s="39">
        <f>IF($B2990="","",IF(SUMPRODUCT((LISTAS!$O$3:$O$42&lt;&gt;"")*ISNUMBER(SEARCH(LISTAS!$O$3:$O$42,$I2990&amp;" "&amp;$K2990)))&gt;0,"CERCANA","NACIONAL"))</f>
        <v/>
      </c>
      <c r="O2990" s="39">
        <f>IF($B2990="","",IF(COUNTIFS(NOVEDADES!$C$4:$C$2003,$B2990)=0,"—","SÍ ("&amp;COUNTIFS(NOVEDADES!$C$4:$C$2003,$B2990)&amp;")"))</f>
        <v/>
      </c>
    </row>
    <row r="2991">
      <c r="A2991" s="41" t="n"/>
      <c r="B2991" s="41" t="n"/>
      <c r="C2991" s="41" t="n"/>
      <c r="D2991" s="41" t="n"/>
      <c r="E2991" s="46" t="n"/>
      <c r="F2991" s="41" t="n"/>
      <c r="G2991" s="41" t="n"/>
      <c r="H2991" s="41" t="n"/>
      <c r="I2991" s="41" t="n"/>
      <c r="J2991" s="47" t="n"/>
      <c r="K2991" s="41" t="n"/>
      <c r="L2991" s="48" t="n"/>
      <c r="M2991" s="45" t="n"/>
      <c r="N2991" s="39">
        <f>IF($B2991="","",IF(SUMPRODUCT((LISTAS!$O$3:$O$42&lt;&gt;"")*ISNUMBER(SEARCH(LISTAS!$O$3:$O$42,$I2991&amp;" "&amp;$K2991)))&gt;0,"CERCANA","NACIONAL"))</f>
        <v/>
      </c>
      <c r="O2991" s="39">
        <f>IF($B2991="","",IF(COUNTIFS(NOVEDADES!$C$4:$C$2003,$B2991)=0,"—","SÍ ("&amp;COUNTIFS(NOVEDADES!$C$4:$C$2003,$B2991)&amp;")"))</f>
        <v/>
      </c>
    </row>
    <row r="2992">
      <c r="A2992" s="41" t="n"/>
      <c r="B2992" s="41" t="n"/>
      <c r="C2992" s="41" t="n"/>
      <c r="D2992" s="41" t="n"/>
      <c r="E2992" s="46" t="n"/>
      <c r="F2992" s="41" t="n"/>
      <c r="G2992" s="41" t="n"/>
      <c r="H2992" s="41" t="n"/>
      <c r="I2992" s="41" t="n"/>
      <c r="J2992" s="47" t="n"/>
      <c r="K2992" s="41" t="n"/>
      <c r="L2992" s="48" t="n"/>
      <c r="M2992" s="45" t="n"/>
      <c r="N2992" s="39">
        <f>IF($B2992="","",IF(SUMPRODUCT((LISTAS!$O$3:$O$42&lt;&gt;"")*ISNUMBER(SEARCH(LISTAS!$O$3:$O$42,$I2992&amp;" "&amp;$K2992)))&gt;0,"CERCANA","NACIONAL"))</f>
        <v/>
      </c>
      <c r="O2992" s="39">
        <f>IF($B2992="","",IF(COUNTIFS(NOVEDADES!$C$4:$C$2003,$B2992)=0,"—","SÍ ("&amp;COUNTIFS(NOVEDADES!$C$4:$C$2003,$B2992)&amp;")"))</f>
        <v/>
      </c>
    </row>
    <row r="2993">
      <c r="A2993" s="41" t="n"/>
      <c r="B2993" s="41" t="n"/>
      <c r="C2993" s="41" t="n"/>
      <c r="D2993" s="41" t="n"/>
      <c r="E2993" s="46" t="n"/>
      <c r="F2993" s="41" t="n"/>
      <c r="G2993" s="41" t="n"/>
      <c r="H2993" s="41" t="n"/>
      <c r="I2993" s="41" t="n"/>
      <c r="J2993" s="47" t="n"/>
      <c r="K2993" s="41" t="n"/>
      <c r="L2993" s="48" t="n"/>
      <c r="M2993" s="45" t="n"/>
      <c r="N2993" s="39">
        <f>IF($B2993="","",IF(SUMPRODUCT((LISTAS!$O$3:$O$42&lt;&gt;"")*ISNUMBER(SEARCH(LISTAS!$O$3:$O$42,$I2993&amp;" "&amp;$K2993)))&gt;0,"CERCANA","NACIONAL"))</f>
        <v/>
      </c>
      <c r="O2993" s="39">
        <f>IF($B2993="","",IF(COUNTIFS(NOVEDADES!$C$4:$C$2003,$B2993)=0,"—","SÍ ("&amp;COUNTIFS(NOVEDADES!$C$4:$C$2003,$B2993)&amp;")"))</f>
        <v/>
      </c>
    </row>
    <row r="2994">
      <c r="A2994" s="41" t="n"/>
      <c r="B2994" s="41" t="n"/>
      <c r="C2994" s="41" t="n"/>
      <c r="D2994" s="41" t="n"/>
      <c r="E2994" s="46" t="n"/>
      <c r="F2994" s="41" t="n"/>
      <c r="G2994" s="41" t="n"/>
      <c r="H2994" s="41" t="n"/>
      <c r="I2994" s="41" t="n"/>
      <c r="J2994" s="47" t="n"/>
      <c r="K2994" s="41" t="n"/>
      <c r="L2994" s="48" t="n"/>
      <c r="M2994" s="45" t="n"/>
      <c r="N2994" s="39">
        <f>IF($B2994="","",IF(SUMPRODUCT((LISTAS!$O$3:$O$42&lt;&gt;"")*ISNUMBER(SEARCH(LISTAS!$O$3:$O$42,$I2994&amp;" "&amp;$K2994)))&gt;0,"CERCANA","NACIONAL"))</f>
        <v/>
      </c>
      <c r="O2994" s="39">
        <f>IF($B2994="","",IF(COUNTIFS(NOVEDADES!$C$4:$C$2003,$B2994)=0,"—","SÍ ("&amp;COUNTIFS(NOVEDADES!$C$4:$C$2003,$B2994)&amp;")"))</f>
        <v/>
      </c>
    </row>
    <row r="2995">
      <c r="A2995" s="41" t="n"/>
      <c r="B2995" s="41" t="n"/>
      <c r="C2995" s="41" t="n"/>
      <c r="D2995" s="41" t="n"/>
      <c r="E2995" s="46" t="n"/>
      <c r="F2995" s="41" t="n"/>
      <c r="G2995" s="41" t="n"/>
      <c r="H2995" s="41" t="n"/>
      <c r="I2995" s="41" t="n"/>
      <c r="J2995" s="47" t="n"/>
      <c r="K2995" s="41" t="n"/>
      <c r="L2995" s="48" t="n"/>
      <c r="M2995" s="45" t="n"/>
      <c r="N2995" s="39">
        <f>IF($B2995="","",IF(SUMPRODUCT((LISTAS!$O$3:$O$42&lt;&gt;"")*ISNUMBER(SEARCH(LISTAS!$O$3:$O$42,$I2995&amp;" "&amp;$K2995)))&gt;0,"CERCANA","NACIONAL"))</f>
        <v/>
      </c>
      <c r="O2995" s="39">
        <f>IF($B2995="","",IF(COUNTIFS(NOVEDADES!$C$4:$C$2003,$B2995)=0,"—","SÍ ("&amp;COUNTIFS(NOVEDADES!$C$4:$C$2003,$B2995)&amp;")"))</f>
        <v/>
      </c>
    </row>
    <row r="2996">
      <c r="A2996" s="41" t="n"/>
      <c r="B2996" s="41" t="n"/>
      <c r="C2996" s="41" t="n"/>
      <c r="D2996" s="41" t="n"/>
      <c r="E2996" s="46" t="n"/>
      <c r="F2996" s="41" t="n"/>
      <c r="G2996" s="41" t="n"/>
      <c r="H2996" s="41" t="n"/>
      <c r="I2996" s="41" t="n"/>
      <c r="J2996" s="47" t="n"/>
      <c r="K2996" s="41" t="n"/>
      <c r="L2996" s="48" t="n"/>
      <c r="M2996" s="45" t="n"/>
      <c r="N2996" s="39">
        <f>IF($B2996="","",IF(SUMPRODUCT((LISTAS!$O$3:$O$42&lt;&gt;"")*ISNUMBER(SEARCH(LISTAS!$O$3:$O$42,$I2996&amp;" "&amp;$K2996)))&gt;0,"CERCANA","NACIONAL"))</f>
        <v/>
      </c>
      <c r="O2996" s="39">
        <f>IF($B2996="","",IF(COUNTIFS(NOVEDADES!$C$4:$C$2003,$B2996)=0,"—","SÍ ("&amp;COUNTIFS(NOVEDADES!$C$4:$C$2003,$B2996)&amp;")"))</f>
        <v/>
      </c>
    </row>
    <row r="2997">
      <c r="A2997" s="41" t="n"/>
      <c r="B2997" s="41" t="n"/>
      <c r="C2997" s="41" t="n"/>
      <c r="D2997" s="41" t="n"/>
      <c r="E2997" s="46" t="n"/>
      <c r="F2997" s="41" t="n"/>
      <c r="G2997" s="41" t="n"/>
      <c r="H2997" s="41" t="n"/>
      <c r="I2997" s="41" t="n"/>
      <c r="J2997" s="47" t="n"/>
      <c r="K2997" s="41" t="n"/>
      <c r="L2997" s="48" t="n"/>
      <c r="M2997" s="45" t="n"/>
      <c r="N2997" s="39">
        <f>IF($B2997="","",IF(SUMPRODUCT((LISTAS!$O$3:$O$42&lt;&gt;"")*ISNUMBER(SEARCH(LISTAS!$O$3:$O$42,$I2997&amp;" "&amp;$K2997)))&gt;0,"CERCANA","NACIONAL"))</f>
        <v/>
      </c>
      <c r="O2997" s="39">
        <f>IF($B2997="","",IF(COUNTIFS(NOVEDADES!$C$4:$C$2003,$B2997)=0,"—","SÍ ("&amp;COUNTIFS(NOVEDADES!$C$4:$C$2003,$B2997)&amp;")"))</f>
        <v/>
      </c>
    </row>
    <row r="2998">
      <c r="A2998" s="41" t="n"/>
      <c r="B2998" s="41" t="n"/>
      <c r="C2998" s="41" t="n"/>
      <c r="D2998" s="41" t="n"/>
      <c r="E2998" s="46" t="n"/>
      <c r="F2998" s="41" t="n"/>
      <c r="G2998" s="41" t="n"/>
      <c r="H2998" s="41" t="n"/>
      <c r="I2998" s="41" t="n"/>
      <c r="J2998" s="47" t="n"/>
      <c r="K2998" s="41" t="n"/>
      <c r="L2998" s="48" t="n"/>
      <c r="M2998" s="45" t="n"/>
      <c r="N2998" s="39">
        <f>IF($B2998="","",IF(SUMPRODUCT((LISTAS!$O$3:$O$42&lt;&gt;"")*ISNUMBER(SEARCH(LISTAS!$O$3:$O$42,$I2998&amp;" "&amp;$K2998)))&gt;0,"CERCANA","NACIONAL"))</f>
        <v/>
      </c>
      <c r="O2998" s="39">
        <f>IF($B2998="","",IF(COUNTIFS(NOVEDADES!$C$4:$C$2003,$B2998)=0,"—","SÍ ("&amp;COUNTIFS(NOVEDADES!$C$4:$C$2003,$B2998)&amp;")"))</f>
        <v/>
      </c>
    </row>
    <row r="2999">
      <c r="A2999" s="41" t="n"/>
      <c r="B2999" s="41" t="n"/>
      <c r="C2999" s="41" t="n"/>
      <c r="D2999" s="41" t="n"/>
      <c r="E2999" s="46" t="n"/>
      <c r="F2999" s="41" t="n"/>
      <c r="G2999" s="41" t="n"/>
      <c r="H2999" s="41" t="n"/>
      <c r="I2999" s="41" t="n"/>
      <c r="J2999" s="47" t="n"/>
      <c r="K2999" s="41" t="n"/>
      <c r="L2999" s="48" t="n"/>
      <c r="M2999" s="45" t="n"/>
      <c r="N2999" s="39">
        <f>IF($B2999="","",IF(SUMPRODUCT((LISTAS!$O$3:$O$42&lt;&gt;"")*ISNUMBER(SEARCH(LISTAS!$O$3:$O$42,$I2999&amp;" "&amp;$K2999)))&gt;0,"CERCANA","NACIONAL"))</f>
        <v/>
      </c>
      <c r="O2999" s="39">
        <f>IF($B2999="","",IF(COUNTIFS(NOVEDADES!$C$4:$C$2003,$B2999)=0,"—","SÍ ("&amp;COUNTIFS(NOVEDADES!$C$4:$C$2003,$B2999)&amp;")"))</f>
        <v/>
      </c>
    </row>
    <row r="3000">
      <c r="A3000" s="41" t="n"/>
      <c r="B3000" s="41" t="n"/>
      <c r="C3000" s="41" t="n"/>
      <c r="D3000" s="41" t="n"/>
      <c r="E3000" s="46" t="n"/>
      <c r="F3000" s="41" t="n"/>
      <c r="G3000" s="41" t="n"/>
      <c r="H3000" s="41" t="n"/>
      <c r="I3000" s="41" t="n"/>
      <c r="J3000" s="47" t="n"/>
      <c r="K3000" s="41" t="n"/>
      <c r="L3000" s="48" t="n"/>
      <c r="M3000" s="45" t="n"/>
      <c r="N3000" s="39">
        <f>IF($B3000="","",IF(SUMPRODUCT((LISTAS!$O$3:$O$42&lt;&gt;"")*ISNUMBER(SEARCH(LISTAS!$O$3:$O$42,$I3000&amp;" "&amp;$K3000)))&gt;0,"CERCANA","NACIONAL"))</f>
        <v/>
      </c>
      <c r="O3000" s="39">
        <f>IF($B3000="","",IF(COUNTIFS(NOVEDADES!$C$4:$C$2003,$B3000)=0,"—","SÍ ("&amp;COUNTIFS(NOVEDADES!$C$4:$C$2003,$B3000)&amp;")"))</f>
        <v/>
      </c>
    </row>
    <row r="3001">
      <c r="A3001" s="41" t="n"/>
      <c r="B3001" s="41" t="n"/>
      <c r="C3001" s="41" t="n"/>
      <c r="D3001" s="41" t="n"/>
      <c r="E3001" s="46" t="n"/>
      <c r="F3001" s="41" t="n"/>
      <c r="G3001" s="41" t="n"/>
      <c r="H3001" s="41" t="n"/>
      <c r="I3001" s="41" t="n"/>
      <c r="J3001" s="47" t="n"/>
      <c r="K3001" s="41" t="n"/>
      <c r="L3001" s="48" t="n"/>
      <c r="M3001" s="45" t="n"/>
      <c r="N3001" s="39">
        <f>IF($B3001="","",IF(SUMPRODUCT((LISTAS!$O$3:$O$42&lt;&gt;"")*ISNUMBER(SEARCH(LISTAS!$O$3:$O$42,$I3001&amp;" "&amp;$K3001)))&gt;0,"CERCANA","NACIONAL"))</f>
        <v/>
      </c>
      <c r="O3001" s="39">
        <f>IF($B3001="","",IF(COUNTIFS(NOVEDADES!$C$4:$C$2003,$B3001)=0,"—","SÍ ("&amp;COUNTIFS(NOVEDADES!$C$4:$C$2003,$B3001)&amp;")"))</f>
        <v/>
      </c>
    </row>
    <row r="3002">
      <c r="A3002" s="41" t="n"/>
      <c r="B3002" s="41" t="n"/>
      <c r="C3002" s="41" t="n"/>
      <c r="D3002" s="41" t="n"/>
      <c r="E3002" s="46" t="n"/>
      <c r="F3002" s="41" t="n"/>
      <c r="G3002" s="41" t="n"/>
      <c r="H3002" s="41" t="n"/>
      <c r="I3002" s="41" t="n"/>
      <c r="J3002" s="47" t="n"/>
      <c r="K3002" s="41" t="n"/>
      <c r="L3002" s="48" t="n"/>
      <c r="M3002" s="45" t="n"/>
      <c r="N3002" s="39">
        <f>IF($B3002="","",IF(SUMPRODUCT((LISTAS!$O$3:$O$42&lt;&gt;"")*ISNUMBER(SEARCH(LISTAS!$O$3:$O$42,$I3002&amp;" "&amp;$K3002)))&gt;0,"CERCANA","NACIONAL"))</f>
        <v/>
      </c>
      <c r="O3002" s="39">
        <f>IF($B3002="","",IF(COUNTIFS(NOVEDADES!$C$4:$C$2003,$B3002)=0,"—","SÍ ("&amp;COUNTIFS(NOVEDADES!$C$4:$C$2003,$B3002)&amp;")"))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C1B"/>
  <autoFilter ref="A2:O3002"/>
  <mergeCells count="1">
    <mergeCell ref="A1:O1"/>
  </mergeCells>
  <conditionalFormatting sqref="O3:O3002">
    <cfRule type="expression" priority="1" dxfId="4">
      <formula>LEFT($O3,2)="SÍ"</formula>
    </cfRule>
  </conditionalFormatting>
  <conditionalFormatting sqref="A3:O3002">
    <cfRule type="expression" priority="2" dxfId="11">
      <formula>AND($B3&lt;&gt;"",COUNTIFS($B$3:$B$3002,$B3)&gt;1)</formula>
    </cfRule>
  </conditionalFormatting>
  <dataValidations count="4">
    <dataValidation sqref="F3:F3002" showDropDown="0" showInputMessage="0" showErrorMessage="1" allowBlank="1" errorTitle="Transportadora nueva" error="No está en LISTAS. Si es correcta, agréguela en LISTAS columna K para que entre al tablero." type="list" errorStyle="warning">
      <formula1>TRANSPORTADORAS</formula1>
    </dataValidation>
    <dataValidation sqref="J3:J3002" showDropDown="0" showInputMessage="0" showErrorMessage="1" allowBlank="1" errorTitle="Fecha no válida" error="Escriba una fecha real (dd/mm/aaaa)" type="date" errorStyle="warning" operator="between">
      <formula1>DATE(2020,1,1)</formula1>
      <formula2>DATE(2035,12,31)</formula2>
    </dataValidation>
    <dataValidation sqref="L3:L3002" showDropDown="0" showInputMessage="0" showErrorMessage="0" allowBlank="1" type="decimal" operator="greaterThanOrEqual">
      <formula1>0</formula1>
    </dataValidation>
    <dataValidation sqref="M3:M3002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808080"/>
    <outlinePr summaryBelow="1" summaryRight="1"/>
    <pageSetUpPr/>
  </sheetPr>
  <dimension ref="A1:S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1" customWidth="1" min="3" max="3"/>
    <col width="2" customWidth="1" min="4" max="4"/>
    <col width="36" customWidth="1" min="5" max="5"/>
    <col width="16" customWidth="1" min="6" max="6"/>
    <col width="2" customWidth="1" min="7" max="7"/>
    <col width="24" customWidth="1" min="8" max="8"/>
    <col width="14" customWidth="1" min="9" max="9"/>
    <col width="2" customWidth="1" min="10" max="10"/>
    <col width="24" customWidth="1" min="11" max="11"/>
    <col width="2" customWidth="1" min="12" max="12"/>
    <col width="24" customWidth="1" min="13" max="13"/>
    <col width="2" customWidth="1" min="14" max="14"/>
    <col width="26" customWidth="1" min="15" max="15"/>
    <col width="2" customWidth="1" min="16" max="16"/>
    <col width="13" customWidth="1" min="17" max="17"/>
    <col width="13" customWidth="1" min="18" max="18"/>
  </cols>
  <sheetData>
    <row r="1" ht="26" customHeight="1">
      <c r="A1" s="36" t="inlineStr">
        <is>
          <t>CATÁLOGOS Y REGLAS DE NEGOCIO — no borre encabezados, agregue filas hacia abajo</t>
        </is>
      </c>
    </row>
    <row r="2" ht="30" customHeight="1">
      <c r="A2" s="38" t="inlineStr">
        <is>
          <t>TIPO DE NOVEDAD</t>
        </is>
      </c>
      <c r="B2" s="38" t="inlineStr">
        <is>
          <t>CRITICIDAD</t>
        </is>
      </c>
      <c r="C2" s="38" t="inlineStr">
        <is>
          <t>SLA (días hábiles)</t>
        </is>
      </c>
      <c r="E2" s="38" t="inlineStr">
        <is>
          <t>CAUSA RAÍZ</t>
        </is>
      </c>
      <c r="F2" s="38" t="inlineStr">
        <is>
          <t>ÁREA RESPONSABLE</t>
        </is>
      </c>
      <c r="H2" s="38" t="inlineStr">
        <is>
          <t>ESTADO</t>
        </is>
      </c>
      <c r="I2" s="38" t="inlineStr">
        <is>
          <t>¿CIERRA? (SÍ/NO)</t>
        </is>
      </c>
      <c r="K2" s="38" t="inlineStr">
        <is>
          <t>TRANSPORTADORA</t>
        </is>
      </c>
      <c r="M2" s="38" t="inlineStr">
        <is>
          <t>RESPONSABLE</t>
        </is>
      </c>
      <c r="O2" s="38" t="inlineStr">
        <is>
          <t>ZONA CERCANA (SLA corto)</t>
        </is>
      </c>
      <c r="Q2" s="38" t="inlineStr">
        <is>
          <t>PLAZO ZONA CERCANA (días)</t>
        </is>
      </c>
      <c r="R2" s="38" t="inlineStr">
        <is>
          <t>PLAZO NACIONAL (días)</t>
        </is>
      </c>
    </row>
    <row r="3">
      <c r="A3" s="49" t="inlineStr">
        <is>
          <t>Avería / producto dañado en transporte</t>
        </is>
      </c>
      <c r="B3" s="49" t="inlineStr">
        <is>
          <t>Alta</t>
        </is>
      </c>
      <c r="C3" s="50" t="n">
        <v>3</v>
      </c>
      <c r="E3" s="49" t="inlineStr">
        <is>
          <t>Manipulación en cargue / descargue</t>
        </is>
      </c>
      <c r="F3" s="49" t="inlineStr">
        <is>
          <t>Transporte</t>
        </is>
      </c>
      <c r="H3" s="49" t="inlineStr">
        <is>
          <t>Pendiente</t>
        </is>
      </c>
      <c r="I3" s="49" t="inlineStr">
        <is>
          <t>NO</t>
        </is>
      </c>
      <c r="K3" s="49" t="inlineStr">
        <is>
          <t>CG CARGA SAS</t>
        </is>
      </c>
      <c r="M3" s="49" t="inlineStr">
        <is>
          <t>BRAYAN</t>
        </is>
      </c>
      <c r="O3" s="49" t="inlineStr">
        <is>
          <t>BOGOT</t>
        </is>
      </c>
      <c r="Q3" s="50" t="n">
        <v>2</v>
      </c>
      <c r="R3" s="50" t="n">
        <v>5</v>
      </c>
    </row>
    <row r="4">
      <c r="A4" s="49" t="inlineStr">
        <is>
          <t>Devolución parcial</t>
        </is>
      </c>
      <c r="B4" s="49" t="inlineStr">
        <is>
          <t>Media</t>
        </is>
      </c>
      <c r="C4" s="50" t="n">
        <v>3</v>
      </c>
      <c r="E4" s="49" t="inlineStr">
        <is>
          <t>Estibado o embalaje deficiente</t>
        </is>
      </c>
      <c r="F4" s="49" t="inlineStr">
        <is>
          <t>Bodega</t>
        </is>
      </c>
      <c r="H4" s="49" t="inlineStr">
        <is>
          <t>En gestión</t>
        </is>
      </c>
      <c r="I4" s="49" t="inlineStr">
        <is>
          <t>NO</t>
        </is>
      </c>
      <c r="K4" s="49" t="inlineStr">
        <is>
          <t>GESTO AGRO S.A.S</t>
        </is>
      </c>
      <c r="M4" s="49" t="inlineStr">
        <is>
          <t>COORD. LOGÍSTICA</t>
        </is>
      </c>
      <c r="O4" s="49" t="inlineStr">
        <is>
          <t>NORTE - SUR</t>
        </is>
      </c>
    </row>
    <row r="5">
      <c r="A5" s="49" t="inlineStr">
        <is>
          <t>Rechazo total del pedido</t>
        </is>
      </c>
      <c r="B5" s="49" t="inlineStr">
        <is>
          <t>Alta</t>
        </is>
      </c>
      <c r="C5" s="50" t="n">
        <v>2</v>
      </c>
      <c r="E5" s="49" t="inlineStr">
        <is>
          <t>Error de alistamiento (picking)</t>
        </is>
      </c>
      <c r="F5" s="49" t="inlineStr">
        <is>
          <t>Bodega</t>
        </is>
      </c>
      <c r="H5" s="49" t="inlineStr">
        <is>
          <t>En tránsito (retorno)</t>
        </is>
      </c>
      <c r="I5" s="49" t="inlineStr">
        <is>
          <t>NO</t>
        </is>
      </c>
      <c r="K5" s="49" t="inlineStr">
        <is>
          <t>TACMO SAS</t>
        </is>
      </c>
      <c r="M5" s="49" t="inlineStr">
        <is>
          <t>JEFE DE BODEGA</t>
        </is>
      </c>
      <c r="O5" s="49" t="inlineStr">
        <is>
          <t>CORABASTOS</t>
        </is>
      </c>
    </row>
    <row r="6">
      <c r="A6" s="49" t="inlineStr">
        <is>
          <t>Faltante en la entrega</t>
        </is>
      </c>
      <c r="B6" s="49" t="inlineStr">
        <is>
          <t>Alta</t>
        </is>
      </c>
      <c r="C6" s="50" t="n">
        <v>2</v>
      </c>
      <c r="E6" s="49" t="inlineStr">
        <is>
          <t>Sobrecupo o mal acomodo en vehículo</t>
        </is>
      </c>
      <c r="F6" s="49" t="inlineStr">
        <is>
          <t>Transporte</t>
        </is>
      </c>
      <c r="H6" s="49" t="inlineStr">
        <is>
          <t>Recibida en bodega</t>
        </is>
      </c>
      <c r="I6" s="49" t="inlineStr">
        <is>
          <t>NO</t>
        </is>
      </c>
      <c r="K6" s="49" t="inlineStr">
        <is>
          <t>GOLDEN</t>
        </is>
      </c>
      <c r="M6" s="49" t="inlineStr">
        <is>
          <t>ANALISTA DE TRANSPORTE</t>
        </is>
      </c>
      <c r="O6" s="49" t="inlineStr">
        <is>
          <t>SUBA</t>
        </is>
      </c>
    </row>
    <row r="7">
      <c r="A7" s="49" t="inlineStr">
        <is>
          <t>Sobrante en la entrega</t>
        </is>
      </c>
      <c r="B7" s="49" t="inlineStr">
        <is>
          <t>Baja</t>
        </is>
      </c>
      <c r="C7" s="50" t="n">
        <v>5</v>
      </c>
      <c r="E7" s="49" t="inlineStr">
        <is>
          <t>Demora del transportador</t>
        </is>
      </c>
      <c r="F7" s="49" t="inlineStr">
        <is>
          <t>Transporte</t>
        </is>
      </c>
      <c r="H7" s="49" t="inlineStr">
        <is>
          <t>En inspección</t>
        </is>
      </c>
      <c r="I7" s="49" t="inlineStr">
        <is>
          <t>NO</t>
        </is>
      </c>
      <c r="M7" s="49" t="inlineStr">
        <is>
          <t>FACTURACIÓN</t>
        </is>
      </c>
      <c r="O7" s="49" t="inlineStr">
        <is>
          <t>COTA</t>
        </is>
      </c>
    </row>
    <row r="8">
      <c r="A8" s="49" t="inlineStr">
        <is>
          <t>Producto equivocado</t>
        </is>
      </c>
      <c r="B8" s="49" t="inlineStr">
        <is>
          <t>Alta</t>
        </is>
      </c>
      <c r="C8" s="50" t="n">
        <v>2</v>
      </c>
      <c r="E8" s="49" t="inlineStr">
        <is>
          <t>Falla mecánica del vehículo</t>
        </is>
      </c>
      <c r="F8" s="49" t="inlineStr">
        <is>
          <t>Transporte</t>
        </is>
      </c>
      <c r="H8" s="49" t="inlineStr">
        <is>
          <t>Escalada a transportadora</t>
        </is>
      </c>
      <c r="I8" s="49" t="inlineStr">
        <is>
          <t>NO</t>
        </is>
      </c>
      <c r="M8" s="49" t="inlineStr">
        <is>
          <t>CARTERA</t>
        </is>
      </c>
      <c r="O8" s="49" t="inlineStr">
        <is>
          <t>FUNZA</t>
        </is>
      </c>
    </row>
    <row r="9">
      <c r="A9" s="49" t="inlineStr">
        <is>
          <t>Producto vencido o próximo a vencer</t>
        </is>
      </c>
      <c r="B9" s="49" t="inlineStr">
        <is>
          <t>Alta</t>
        </is>
      </c>
      <c r="C9" s="50" t="n">
        <v>3</v>
      </c>
      <c r="E9" s="49" t="inlineStr">
        <is>
          <t>Ruta mal programada</t>
        </is>
      </c>
      <c r="F9" s="49" t="inlineStr">
        <is>
          <t>Logística</t>
        </is>
      </c>
      <c r="H9" s="49" t="inlineStr">
        <is>
          <t>Pendiente nota crédito</t>
        </is>
      </c>
      <c r="I9" s="49" t="inlineStr">
        <is>
          <t>NO</t>
        </is>
      </c>
      <c r="M9" s="49" t="inlineStr">
        <is>
          <t>COMERCIAL</t>
        </is>
      </c>
      <c r="O9" s="49" t="inlineStr">
        <is>
          <t>SOACHA</t>
        </is>
      </c>
    </row>
    <row r="10">
      <c r="A10" s="49" t="inlineStr">
        <is>
          <t>Empaque en mal estado</t>
        </is>
      </c>
      <c r="B10" s="49" t="inlineStr">
        <is>
          <t>Media</t>
        </is>
      </c>
      <c r="C10" s="50" t="n">
        <v>3</v>
      </c>
      <c r="E10" s="49" t="inlineStr">
        <is>
          <t>Error de digitación del pedido</t>
        </is>
      </c>
      <c r="F10" s="49" t="inlineStr">
        <is>
          <t>Comercial</t>
        </is>
      </c>
      <c r="H10" s="49" t="inlineStr">
        <is>
          <t>Resuelto / Cerrado</t>
        </is>
      </c>
      <c r="I10" s="49" t="inlineStr">
        <is>
          <t>SÍ</t>
        </is>
      </c>
      <c r="M10" s="49" t="inlineStr">
        <is>
          <t>CALIDAD</t>
        </is>
      </c>
      <c r="O10" s="49" t="inlineStr">
        <is>
          <t>GACHANCIPA</t>
        </is>
      </c>
    </row>
    <row r="11">
      <c r="A11" s="49" t="inlineStr">
        <is>
          <t>Retraso en vía / entrega tardía</t>
        </is>
      </c>
      <c r="B11" s="49" t="inlineStr">
        <is>
          <t>Alta</t>
        </is>
      </c>
      <c r="C11" s="50" t="n">
        <v>1</v>
      </c>
      <c r="E11" s="49" t="inlineStr">
        <is>
          <t>Error en facturación</t>
        </is>
      </c>
      <c r="F11" s="49" t="inlineStr">
        <is>
          <t>Facturación</t>
        </is>
      </c>
      <c r="H11" s="49" t="inlineStr">
        <is>
          <t>Cerrada sin costo</t>
        </is>
      </c>
      <c r="I11" s="49" t="inlineStr">
        <is>
          <t>SÍ</t>
        </is>
      </c>
      <c r="O11" s="49" t="inlineStr">
        <is>
          <t>TOCANCIPA</t>
        </is>
      </c>
    </row>
    <row r="12">
      <c r="A12" s="49" t="inlineStr">
        <is>
          <t>Cliente cerrado / no ubicado</t>
        </is>
      </c>
      <c r="B12" s="49" t="inlineStr">
        <is>
          <t>Media</t>
        </is>
      </c>
      <c r="C12" s="50" t="n">
        <v>2</v>
      </c>
      <c r="E12" s="49" t="inlineStr">
        <is>
          <t>Dirección desactualizada en maestro</t>
        </is>
      </c>
      <c r="F12" s="49" t="inlineStr">
        <is>
          <t>Comercial</t>
        </is>
      </c>
      <c r="H12" s="49" t="inlineStr">
        <is>
          <t>Anulada</t>
        </is>
      </c>
      <c r="I12" s="49" t="inlineStr">
        <is>
          <t>SÍ</t>
        </is>
      </c>
      <c r="O12" s="49" t="inlineStr">
        <is>
          <t>CHIA</t>
        </is>
      </c>
    </row>
    <row r="13">
      <c r="A13" s="49" t="inlineStr">
        <is>
          <t>Cliente rechaza / no recibe</t>
        </is>
      </c>
      <c r="B13" s="49" t="inlineStr">
        <is>
          <t>Media</t>
        </is>
      </c>
      <c r="C13" s="50" t="n">
        <v>2</v>
      </c>
      <c r="E13" s="49" t="inlineStr">
        <is>
          <t>Cliente sin cupo / cartera bloqueada</t>
        </is>
      </c>
      <c r="F13" s="49" t="inlineStr">
        <is>
          <t>Cartera</t>
        </is>
      </c>
      <c r="O13" s="49" t="inlineStr">
        <is>
          <t>CAJICA</t>
        </is>
      </c>
    </row>
    <row r="14">
      <c r="A14" s="49" t="inlineStr">
        <is>
          <t>Dirección errada</t>
        </is>
      </c>
      <c r="B14" s="49" t="inlineStr">
        <is>
          <t>Media</t>
        </is>
      </c>
      <c r="C14" s="50" t="n">
        <v>2</v>
      </c>
      <c r="E14" s="49" t="inlineStr">
        <is>
          <t>Cliente no disponible / fuera de horario</t>
        </is>
      </c>
      <c r="F14" s="49" t="inlineStr">
        <is>
          <t>Comercial</t>
        </is>
      </c>
      <c r="O14" s="49" t="inlineStr">
        <is>
          <t>ZIPAQUIRA</t>
        </is>
      </c>
    </row>
    <row r="15">
      <c r="A15" s="49" t="inlineStr">
        <is>
          <t>Vehículo varado / falla mecánica</t>
        </is>
      </c>
      <c r="B15" s="49" t="inlineStr">
        <is>
          <t>Alta</t>
        </is>
      </c>
      <c r="C15" s="50" t="n">
        <v>1</v>
      </c>
      <c r="E15" s="49" t="inlineStr">
        <is>
          <t>Producto con baja rotación / vencido</t>
        </is>
      </c>
      <c r="F15" s="49" t="inlineStr">
        <is>
          <t>Calidad</t>
        </is>
      </c>
      <c r="O15" s="49" t="inlineStr">
        <is>
          <t>MOSQUERA</t>
        </is>
      </c>
    </row>
    <row r="16">
      <c r="A16" s="49" t="inlineStr">
        <is>
          <t>Cobro pendiente / flete no liquidado</t>
        </is>
      </c>
      <c r="B16" s="49" t="inlineStr">
        <is>
          <t>Media</t>
        </is>
      </c>
      <c r="C16" s="50" t="n">
        <v>5</v>
      </c>
      <c r="E16" s="49" t="inlineStr">
        <is>
          <t>Acuerdo comercial con el cliente</t>
        </is>
      </c>
      <c r="F16" s="49" t="inlineStr">
        <is>
          <t>Comercial</t>
        </is>
      </c>
      <c r="O16" s="49" t="inlineStr">
        <is>
          <t>MADRID</t>
        </is>
      </c>
    </row>
    <row r="17">
      <c r="A17" s="49" t="inlineStr">
        <is>
          <t>Cumplido / soporte no entregado</t>
        </is>
      </c>
      <c r="B17" s="49" t="inlineStr">
        <is>
          <t>Media</t>
        </is>
      </c>
      <c r="C17" s="50" t="n">
        <v>4</v>
      </c>
      <c r="E17" s="49" t="inlineStr">
        <is>
          <t>Tráfico, cierre vial u orden público</t>
        </is>
      </c>
      <c r="F17" s="49" t="inlineStr">
        <is>
          <t>Externo</t>
        </is>
      </c>
      <c r="O17" s="49" t="inlineStr">
        <is>
          <t>TENJO</t>
        </is>
      </c>
    </row>
    <row r="18">
      <c r="A18" s="49" t="inlineStr">
        <is>
          <t>Diferencia en facturación o precio</t>
        </is>
      </c>
      <c r="B18" s="49" t="inlineStr">
        <is>
          <t>Media</t>
        </is>
      </c>
      <c r="C18" s="50" t="n">
        <v>5</v>
      </c>
      <c r="E18" s="49" t="inlineStr">
        <is>
          <t>Clima adverso</t>
        </is>
      </c>
      <c r="F18" s="49" t="inlineStr">
        <is>
          <t>Externo</t>
        </is>
      </c>
      <c r="O18" s="49" t="inlineStr">
        <is>
          <t>TABIO</t>
        </is>
      </c>
    </row>
    <row r="19">
      <c r="E19" s="49" t="inlineStr">
        <is>
          <t>Sin causa asignada</t>
        </is>
      </c>
      <c r="F19" s="49" t="inlineStr">
        <is>
          <t>Por definir</t>
        </is>
      </c>
      <c r="O19" s="49" t="inlineStr">
        <is>
          <t>SOPO</t>
        </is>
      </c>
    </row>
    <row r="20">
      <c r="O20" s="49" t="inlineStr">
        <is>
          <t>LA CALERA</t>
        </is>
      </c>
    </row>
    <row r="21">
      <c r="O21" s="49" t="inlineStr">
        <is>
          <t>FACATATIVA</t>
        </is>
      </c>
    </row>
    <row r="22">
      <c r="O22" s="49" t="inlineStr">
        <is>
          <t>SIBATE</t>
        </is>
      </c>
    </row>
    <row r="23">
      <c r="O23" s="49" t="inlineStr">
        <is>
          <t>SABAN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2026-09-10T01:44:45Z</dcterms:created>
  <dcterms:modified xsi:type="dcterms:W3CDTF">2026-09-10T01:44:52Z</dcterms:modified>
</cp:coreProperties>
</file>